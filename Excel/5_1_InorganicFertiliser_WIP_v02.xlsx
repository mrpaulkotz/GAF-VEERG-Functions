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5273E9AE-BE89-4F72-B062-E12F71348093}" xr6:coauthVersionLast="47" xr6:coauthVersionMax="47" xr10:uidLastSave="{00000000-0000-0000-0000-000000000000}"/>
  <bookViews>
    <workbookView xWindow="0" yWindow="390" windowWidth="28875" windowHeight="16890" firstSheet="3" activeTab="6" xr2:uid="{992023F3-CAB7-4E5B-A348-08D563A0EF40}"/>
  </bookViews>
  <sheets>
    <sheet name="Home" sheetId="71" r:id="rId1"/>
    <sheet name="Results" sheetId="13" r:id="rId2"/>
    <sheet name="Input - Site" sheetId="15" r:id="rId3"/>
    <sheet name="Input - Inorganic fertiliser" sheetId="70" r:id="rId4"/>
    <sheet name="5.1.1.1-2 Inorganic fert N2O" sheetId="69" r:id="rId5"/>
    <sheet name="5.1.1.3-4 Inorganic fert CO2" sheetId="74" r:id="rId6"/>
    <sheet name="Constants - Fertiliser" sheetId="110" r:id="rId7"/>
    <sheet name="Constants - Poultry" sheetId="79" r:id="rId8"/>
    <sheet name="Constants - Common" sheetId="103" r:id="rId9"/>
    <sheet name="Constants - Livestock" sheetId="43" r:id="rId10"/>
    <sheet name="Acknowledgements" sheetId="72" r:id="rId11"/>
  </sheets>
  <externalReferences>
    <externalReference r:id="rId12"/>
    <externalReference r:id="rId13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Cropping_SourceData.CommonCropping_SourceData_FracGASFfInorganicFertiliser_Data">_xlfn.LAMBDA(_xlfn.MAKEARRAY(6, 3, _xlfn.LAMBDA(_xlpm.r,_xlpm.c, INDEX({"Fertiliser type f","FracGASFf","Basis";"Urea-based fertilisers",0.15,"Urea";"Ammonium-based fertilisers",0.08,"Ammonium";"Nitrate-based fertilisers",0.01,"Nitrate";"Ammonium-nitrate based fertilisers",0.05,"Ammonium-nitrate";"Other fertilisers",0.11,"Other"}, _xlpm.r, _xlpm.c))))</definedName>
    <definedName name="CommonCropping_SourceData.CommonCropping_SourceData_FracGASFfInorganicFertiliser_NIRReference">_xlfn.LAMBDA("IPCC 2019 Refinement Volume 4 Table 11.3 [1, p. 11]")</definedName>
    <definedName name="CommonCropping_SourceData.CommonCropping_SourceData_FracGASFfInorganicFertiliser_Source">_xlfn.LAMBDA("VEERG 2026:Table 12.2.2.9")</definedName>
    <definedName name="CommonCropping_SourceData.CommonCropping_SourceData_FracGASFfInorganicFertiliser_Title">_xlfn.LAMBDA("The direct nitrous oxide EF from the organic fertiliser when applied to soils")</definedName>
    <definedName name="CommonCropping_SourceData.CommonCropping_SourceData_FracGASFfInorganicFertiliser_Unit">_xlfn.LAMBDA("(kg NH3-N + NOx-N)/kg N")</definedName>
    <definedName name="CommonCropping_SourceData.CommonCropping_SourceData_FracGASFfInorganicFertiliser_Variation">_xlfn.LAMBDA(("VARIATION FROM SOURCE DATA: Added extra 'Basis' column with simplified naming to assis with lookups in equations"))</definedName>
    <definedName name="CommonLivestock_InputFunctions.AverageLiveweightEndOfMonth" localSheetId="6">_xlfn.LAMBDA(_xlpm.Month,_xlpm.LivestockClass,_xlpm.HeadAtStart,_xlpm.LiveweightAtStart,_xlpm.LiveweightGain, [0]!CommonLivestock_InputFunctions.LivestockMovement_ProportionalAverageLiveweightAddedDuringMonth(_xlpm.Month, _xlpm.LivestockClass, _xlpm.HeadAtStart) + 'Constants - Fertiliser'!CommonLivestock_InputFunctions.LivestockMovement_ProportionalAverageLiveweightRemainingAtEndOfMonth(_xlpm.Month,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8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8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8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6">_xlfn.LAMBDA(_xlpm.LivestockClass,_xlpm.MovementDate,_xlpm.WeightAtMovementDate,_xlpm.Head, IFERROR(_xlpm.Head * (_xlpm.WeightAtMovementDate + 'Constants - Fertiliser'!CommonLivestock_InputFunctions.LivestockMovement_LiveweightGrownDuringMonthPerHead(_xlpm.LivestockClass,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6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6">_xlfn.LAMBDA(_xlpm.LivestockClass,_xlpm.Month, 'Constants - Fertiliser'!CommonLivestock_InputFunctions.LivestockMovement_LiveweightGrownDuringMonthPerHead(_xlpm.LivestockClass,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6">_xlfn.LAMBDA(_xlpm.LivestockClass,_xlpm.Month,_xlpm.HeadAtStartOfMonth, [0]!CommonLivestock_InputFunctions.LivestockMovement_HeadRemainingAtMonthEnd(_xlpm.Month, _xlpm.LivestockClass, _xlpm.HeadAtStartOfMonth) * 'Constants - Fertiliser'!CommonLivestock_InputFunctions.LivestockMovement_LiveweightGrownFromMonthStartPerHead(_xlpm.LivestockClass,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6">_xlfn.LAMBDA(_xlpm.LivestockClass,_xlpm.MovementDate,_xlpm.Head, 'Constants - Fertiliser'!CommonLivestock_InputFunctions.LivestockMovement_LiveweightGrownDuringMonthPerHead(_xlpm.LivestockClass,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6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8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8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6">_xlfn.LAMBDA(_xlpm.Month,_xlpm.LivestockClass,_xlpm.HeadAtStart, 'Constants - Fertiliser'!CommonLivestock_InputFunctions.LivestockMovement_LiveweightGrownFromMonthStartTotal(_xlpm.LivestockClass,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Fertiliser_Equations_InorganicCO2.VEERG_5_1_1_3__1_InorganicFertiliserApplicationCO2Emissions">_xlfn.LAMBDA(_xlpm.MU_jf,_xlpm.EF_ureaCO2,_xlpm.C_CO2, (_xlpm.MU_jf * _xlpm.EF_ureaCO2 * _xlpm.C_CO2) * 10 ^ -3)</definedName>
    <definedName name="Fertiliser_Equations_InorganicCO2.VEERG_5_1_1_3__1_InorganicFertiliserApplicationCO2Emissions_Arguments">_xlfn.LAMBDA(_xlfn.MAKEARRAY(5, 3, _xlfn.LAMBDA(_xlpm.r,_xlpm.c, INDEX({"MU_jf","mass of urea of inorganic fertiliser type f applied to production system j : kg urea","Calculated";"EF_ureaCO2","emission factor for carbon emissions from urea-based fertilisers : kg C/kg urea","Constant";"C_CO2","factor to convert elemental mass of carbon to molecular mass of carbon dioxide","Constant";"j","Production system","Input";"f","Inorganic fertiliser type","Lookup"}, _xlpm.r, _xlpm.c))))</definedName>
    <definedName name="Fertiliser_Equations_InorganicCO2.VEERG_5_1_1_3__1_InorganicFertiliserApplicationCO2Emissions_LatexEquation">_xlfn.LAMBDA("E_{CO2}=\sum_{j}\sum_{f}((MU_{jf}\times EF_{urea,CO2}\times C_{CO2})\times 10^{-3})")</definedName>
    <definedName name="Fertiliser_Equations_InorganicCO2.VEERG_5_1_1_3__1_InorganicFertiliserApplicationCO2Emissions_NIRReference">_xlfn.LAMBDA("")</definedName>
    <definedName name="Fertiliser_Equations_InorganicCO2.VEERG_5_1_1_3__1_InorganicFertiliserApplicationCO2Emissions_Source">_xlfn.LAMBDA("VEERG 2026: 5.1.1.3, Equation (1)")</definedName>
    <definedName name="Fertiliser_Equations_InorganicCO2.VEERG_5_1_1_3__1_InorganicFertiliserApplicationCO2Emissions_Title">_xlfn.LAMBDA("Carbon dioxide emissions resulting from the use of all inorganic, urea-based fertilisers")</definedName>
    <definedName name="Fertiliser_Equations_InorganicCO2.VEERG_5_1_1_3__1_InorganicFertiliserApplicationCO2Emissions_Unit">_xlfn.LAMBDA("t CO2")</definedName>
    <definedName name="Fertiliser_Equations_InorganicCO2.VEERG_5_1_1_3__1_InorganicFertiliserApplicationCO2Emissions_Variable">_xlfn.LAMBDA("E_CO2")</definedName>
    <definedName name="Fertiliser_Equations_InorganicCO2.VEERG_5_1_1_3__2_MassOfUreaInInorganicFertiliser">_xlfn.LAMBDA(_xlpm.TM_jf,_xlpm.FU_f, _xlpm.TM_jf * _xlpm.FU_f)</definedName>
    <definedName name="Fertiliser_Equations_InorganicCO2.VEERG_5_1_1_3__2_MassOfUreaInInorganicFertiliser_Arguments">_xlfn.LAMBDA(_xlfn.MAKEARRAY(2, 3, _xlfn.LAMBDA(_xlpm.r,_xlpm.c, INDEX({"TM_jf","total mass of inorganic fertiliser type f applied to production system j : kg","Input";"FU_f","fraction of urea in fertiliser type f : kg urea/kg","Lookup"}, _xlpm.r, _xlpm.c))))</definedName>
    <definedName name="Fertiliser_Equations_InorganicCO2.VEERG_5_1_1_3__2_MassOfUreaInInorganicFertiliser_LatexEquation">_xlfn.LAMBDA("{MU}_{jf}=TM_{jf}\times FU_f")</definedName>
    <definedName name="Fertiliser_Equations_InorganicCO2.VEERG_5_1_1_3__2_MassOfUreaInInorganicFertiliser_NIRReference">_xlfn.LAMBDA("")</definedName>
    <definedName name="Fertiliser_Equations_InorganicCO2.VEERG_5_1_1_3__2_MassOfUreaInInorganicFertiliser_Source">_xlfn.LAMBDA("VEERG 2026: 5.1.1.3, Equation (2)")</definedName>
    <definedName name="Fertiliser_Equations_InorganicCO2.VEERG_5_1_1_3__2_MassOfUreaInInorganicFertiliser_Title">_xlfn.LAMBDA("Mass of urea applied to production system")</definedName>
    <definedName name="Fertiliser_Equations_InorganicCO2.VEERG_5_1_1_3__2_MassOfUreaInInorganicFertiliser_Unit">_xlfn.LAMBDA("kg urea")</definedName>
    <definedName name="Fertiliser_Equations_InorganicCO2.VEERG_5_1_1_3__2_MassOfUreaInInorganicFertiliser_Variable">_xlfn.LAMBDA("MU_jf")</definedName>
    <definedName name="Fertiliser_Equations_InorganicN2O.VEERG_5_1_1_1__1_InorganicFertiliserApplicationN2OEmissions">_xlfn.LAMBDA(_xlpm.MN_jf,_xlpm.EF_jN2O,_xlpm.C_N2O, (_xlpm.MN_jf * _xlpm.EF_jN2O * _xlpm.C_N2O) * 10 ^ -3)</definedName>
    <definedName name="Fertiliser_Equations_InorganicN2O.VEERG_5_1_1_1__1_InorganicFertiliserApplicationN2OEmissions_Arguments">_xlfn.LAMBDA(_xlfn.MAKEARRAY(7, 3, _xlfn.LAMBDA(_xlpm.r,_xlpm.c, INDEX({"MN_jf","mass of nitrogen in inorganic fertiliser type f applied to production system j (kg N)","Calculated";"EF_jN2O","emission factor for nitrous oxide for inorganic fertilisers (kg N2O-N/kg N applied)","Constant";"C_N2O","factor to convert elemental mass of nitrous oxide to molecular mass","Constant";"j","Production system","Input";"f","Inorganic fertiliser type","Constant";"ir","irrigation method","Input";"z","rainfall zone","Input"}, _xlpm.r, _xlpm.c))))</definedName>
    <definedName name="Fertiliser_Equations_InorganicN2O.VEERG_5_1_1_1__1_InorganicFertiliserApplicationN2OEmissions_Arguments_Method2">_xlfn.LAMBDA(_xlfn.MAKEARRAY(8, 3, _xlfn.LAMBDA(_xlpm.r,_xlpm.c, INDEX({"MN_jf","mass of nitrogen in inorganic fertiliser type f applied to production system j (kg N)","Calculated";"EF_jN2O","emission factor for nitrous oxide for inorganic fertilisers (kg N2O-N/kg N applied)","Lookup";"C_N2O","factor to convert elemental mass of nitrous oxide to molecular mass","Constant";"j","Production system","Input";"c","Crop type","Input";"f","Inorganic fertiliser type","Constant";"ir","irrigation method","Input";"z","rainfall zone","Input"}, _xlpm.r, _xlpm.c))))</definedName>
    <definedName name="Fertiliser_Equations_InorganicN2O.VEERG_5_1_1_1__1_InorganicFertiliserApplicationN2OEmissions_LatexEquation">_xlfn.LAMBDA("E_{N2O}=\sum_{j}\sum_{f}((MN_{jf}\times EF_{j,N2O}\times C_{N2O})\times 10^{-3})")</definedName>
    <definedName name="Fertiliser_Equations_InorganicN2O.VEERG_5_1_1_1__1_InorganicFertiliserApplicationN2OEmissions_NIRReference">_xlfn.LAMBDA("")</definedName>
    <definedName name="Fertiliser_Equations_InorganicN2O.VEERG_5_1_1_1__1_InorganicFertiliserApplicationN2OEmissions_Source">_xlfn.LAMBDA("VEERG 2026: 5.1.1.1, Equation (1)")</definedName>
    <definedName name="Fertiliser_Equations_InorganicN2O.VEERG_5_1_1_1__1_InorganicFertiliserApplicationN2OEmissions_Title">_xlfn.LAMBDA("Nitrous oxide emissions from the application of all inorganic fertiliser types f to all production systems j")</definedName>
    <definedName name="Fertiliser_Equations_InorganicN2O.VEERG_5_1_1_1__1_InorganicFertiliserApplicationN2OEmissions_Unit">_xlfn.LAMBDA("t N2O")</definedName>
    <definedName name="Fertiliser_Equations_InorganicN2O.VEERG_5_1_1_1__1_InorganicFertiliserApplicationN2OEmissions_Variable">_xlfn.LAMBDA("E_N2O")</definedName>
    <definedName name="Fertiliser_Equations_InorganicN2O.VEERG_5_1_1_1__2_MassOfNitrogenInInorganicFertiliser">_xlfn.LAMBDA(_xlpm.TM_jf,_xlpm.FN_inorganicf, _xlpm.TM_jf * _xlpm.FN_inorganicf)</definedName>
    <definedName name="Fertiliser_Equations_InorganicN2O.VEERG_5_1_1_1__2_MassOfNitrogenInInorganicFertiliser_Arguments">_xlfn.LAMBDA(_xlfn.MAKEARRAY(2, 3, _xlfn.LAMBDA(_xlpm.r,_xlpm.c, INDEX({"TM_jf","total mass of inorganic fertiliser type f applied to production system j (kg)","Input";"FN_inorganicf","fraction of nitrogen in inorganic fertiliser type f (kg N/kg)","Constant"}, _xlpm.r, _xlpm.c))))</definedName>
    <definedName name="Fertiliser_Equations_InorganicN2O.VEERG_5_1_1_1__2_MassOfNitrogenInInorganicFertiliser_LatexEquation">_xlfn.LAMBDA("{MN}_{jf}=TM_{jf}\times FN_{inorganic,f}")</definedName>
    <definedName name="Fertiliser_Equations_InorganicN2O.VEERG_5_1_1_1__2_MassOfNitrogenInInorganicFertiliser_NIRReference">_xlfn.LAMBDA("")</definedName>
    <definedName name="Fertiliser_Equations_InorganicN2O.VEERG_5_1_1_1__2_MassOfNitrogenInInorganicFertiliser_Source">_xlfn.LAMBDA("VEERG 2026: 5.1.1.1, Equation (2)")</definedName>
    <definedName name="Fertiliser_Equations_InorganicN2O.VEERG_5_1_1_1__2_MassOfNitrogenInInorganicFertiliser_Title">_xlfn.LAMBDA("Mass of nitrogen in inorganic fertiliser applied to production system")</definedName>
    <definedName name="Fertiliser_Equations_InorganicN2O.VEERG_5_1_1_1__2_MassOfNitrogenInInorganicFertiliser_Unit">_xlfn.LAMBDA("kg N")</definedName>
    <definedName name="Fertiliser_Equations_InorganicN2O.VEERG_5_1_1_1__2_MassOfNitrogenInInorganicFertiliser_Variable">_xlfn.LAMBDA("MN_jf")</definedName>
    <definedName name="Fertiliser_Equations_InorganicN2O.VEERG_5_1_1_2__1_EmissionFactorIrrigatedMaize">_xlfn.LAMBDA(_xlpm.N_fjIrrigatedMaize, (-0.1474 + (0.0061 * _xlpm.N_fjIrrigatedMaize)) * 10 ^ -2)</definedName>
    <definedName name="Fertiliser_Equations_InorganicN2O.VEERG_5_1_1_2__1_EmissionFactorIrrigatedMaize_Arguments">_xlfn.LAMBDA(_xlfn.MAKEARRAY(2, 3, _xlfn.LAMBDA(_xlpm.r,_xlpm.c, INDEX({"N_fjIrrigatedMaize","application rate of inorganic fertiliser type f in the irrigated maize crop (kg N/ha)","Input";"f","Inorganic fertiliser type","Constant"}, _xlpm.r, _xlpm.c))))</definedName>
    <definedName name="Fertiliser_Equations_InorganicN2O.VEERG_5_1_1_2__1_EmissionFactorIrrigatedMaize_LatexEquation">_xlfn.LAMBDA("EF_{fj=irrigatedmaize,N2O}=(-0.1474+(0.0061\times N_{fj=irrigatedmaize}))\times 10^{-2}")</definedName>
    <definedName name="Fertiliser_Equations_InorganicN2O.VEERG_5_1_1_2__1_EmissionFactorIrrigatedMaize_NIRReference">_xlfn.LAMBDA("")</definedName>
    <definedName name="Fertiliser_Equations_InorganicN2O.VEERG_5_1_1_2__1_EmissionFactorIrrigatedMaize_Source">_xlfn.LAMBDA("VEERG 2026: 5.1.1.2, Equation (1)")</definedName>
    <definedName name="Fertiliser_Equations_InorganicN2O.VEERG_5_1_1_2__1_EmissionFactorIrrigatedMaize_Title">_xlfn.LAMBDA("Emission factor for nitrous oxide for irrigated maize")</definedName>
    <definedName name="Fertiliser_Equations_InorganicN2O.VEERG_5_1_1_2__1_EmissionFactorIrrigatedMaize_Unit">_xlfn.LAMBDA("kg N2O-N/kg N applied")</definedName>
    <definedName name="Fertiliser_Equations_InorganicN2O.VEERG_5_1_1_2__1_EmissionFactorIrrigatedMaize_Variable">_xlfn.LAMBDA("EF_fjIrrigatedMaizeN2O")</definedName>
    <definedName name="Fertiliser_Equations_InorganicN2O.VEERG_5_1_1_2__2_EmissionFactorNonIrrigatedGrainsHighRainfall">_xlfn.LAMBDA(_xlpm.N_fjNonIrrigatedGrains, (0.0781 + (0.0075 * _xlpm.N_fjNonIrrigatedGrains)) * 10 ^ -2)</definedName>
    <definedName name="Fertiliser_Equations_InorganicN2O.VEERG_5_1_1_2__2_EmissionFactorNonIrrigatedGrainsHighRainfall_Arguments">_xlfn.LAMBDA(_xlfn.MAKEARRAY(2, 3, _xlfn.LAMBDA(_xlpm.r,_xlpm.c, INDEX({"N_fjNonIrrigatedGrains","application rate of inorganic fertiliser type f in the grains crop (kg N/ha)","Input";"f","Inorganic fertiliser type","Constant"}, _xlpm.r, _xlpm.c))))</definedName>
    <definedName name="Fertiliser_Equations_InorganicN2O.VEERG_5_1_1_2__2_EmissionFactorNonIrrigatedGrainsHighRainfall_LatexEquation">_xlfn.LAMBDA("EF_{fj=nonirrigatedgrains,N2O}=(0.0781+(0.0075\times N_{fj=nonirrigatedgrains}))\times 10^{-2}")</definedName>
    <definedName name="Fertiliser_Equations_InorganicN2O.VEERG_5_1_1_2__2_EmissionFactorNonIrrigatedGrainsHighRainfall_NIRReference">_xlfn.LAMBDA("")</definedName>
    <definedName name="Fertiliser_Equations_InorganicN2O.VEERG_5_1_1_2__2_EmissionFactorNonIrrigatedGrainsHighRainfall_Source">_xlfn.LAMBDA("VEERG 2026: 5.1.1.2, Equation (2)")</definedName>
    <definedName name="Fertiliser_Equations_InorganicN2O.VEERG_5_1_1_2__2_EmissionFactorNonIrrigatedGrainsHighRainfall_Title">_xlfn.LAMBDA("Emission factor for nitrous oxide for non-irrigated grains in high rainfall zone")</definedName>
    <definedName name="Fertiliser_Equations_InorganicN2O.VEERG_5_1_1_2__2_EmissionFactorNonIrrigatedGrainsHighRainfall_Unit">_xlfn.LAMBDA("kg N2O-N/kg N applied")</definedName>
    <definedName name="Fertiliser_Equations_InorganicN2O.VEERG_5_1_1_2__2_EmissionFactorNonIrrigatedGrainsHighRainfall_Variable">_xlfn.LAMBDA("EF_fjNonIrrigatedGrainsN2O")</definedName>
    <definedName name="Fertiliser_Equations_InorganicN2O.VEERG_5_1_1_2__3_EmissionFactorCotton">_xlfn.LAMBDA(_xlpm.N_fjCotton, (0.01 * (0.29 + ((0.007 * (EXP(0.037 * _xlpm.N_fjCotton) - 1)) / _xlpm.N_fjCotton))) * 10 ^ -2)</definedName>
    <definedName name="Fertiliser_Equations_InorganicN2O.VEERG_5_1_1_2__3_EmissionFactorCotton_Arguments">_xlfn.LAMBDA(_xlfn.MAKEARRAY(2, 3, _xlfn.LAMBDA(_xlpm.r,_xlpm.c, INDEX({"N_fjCotton","application rate of inorganic fertiliser type f in the cotton crop (kg N/ha)","Input";"f","Inorganic fertiliser type","Constant"}, _xlpm.r, _xlpm.c))))</definedName>
    <definedName name="Fertiliser_Equations_InorganicN2O.VEERG_5_1_1_2__3_EmissionFactorCotton_LatexEquation">_xlfn.LAMBDA("EF_{fj=cotton,N2O}=(0.01 \times (0.29 + \frac{0.007(e^{0.037 \times N_{fj=cotton}}-1)}{N_{fj=cotton}})) \times 10^{-2}
")</definedName>
    <definedName name="Fertiliser_Equations_InorganicN2O.VEERG_5_1_1_2__3_EmissionFactorCotton_NIRReference">_xlfn.LAMBDA("")</definedName>
    <definedName name="Fertiliser_Equations_InorganicN2O.VEERG_5_1_1_2__3_EmissionFactorCotton_Source">_xlfn.LAMBDA("VEERG 2026: 5.1.1.2, Equation (3)")</definedName>
    <definedName name="Fertiliser_Equations_InorganicN2O.VEERG_5_1_1_2__3_EmissionFactorCotton_Title">_xlfn.LAMBDA("Emission factor for nitrous oxide for cotton")</definedName>
    <definedName name="Fertiliser_Equations_InorganicN2O.VEERG_5_1_1_2__3_EmissionFactorCotton_Unit">_xlfn.LAMBDA("kg N2O-N/kg N applied")</definedName>
    <definedName name="Fertiliser_Equations_InorganicN2O.VEERG_5_1_1_2__3_EmissionFactorCotton_Variable">_xlfn.LAMBDA("EF_fjCottonN2O")</definedName>
    <definedName name="Fertiliser_InputFunctions.Fertiliser_FertiliserProductLookup">_xlfn.LAMBDA(_xlpm.Product,_xlpm.ProductAttribute,_xlpm.ProductArray,_xlpm.ProductArrayColumn,_xlpm.ProductArrayHeaders, IFERROR(INDEX(_xlpm.ProductArray, _xlfn.XMATCH(TRIM(_xlpm.Product), _xlpm.ProductArrayColumn, 0), _xlfn.XMATCH(TRIM(_xlpm.ProductAttribute), _xlpm.ProductArrayHeaders, 0)), ""))</definedName>
    <definedName name="Fertiliser_InputFunctions.Fertiliser_GetChemicalCompoundElementFraction">_xlfn.LAMBDA(_xlpm.ChemicalCompound,_xlpm.Element,_xlpm.ChemicalCompoundArray,_xlpm.ChemicalCompoundColumn,_xlpm.ElementRow, INDEX(_xlpm.ChemicalCompoundArray, MATCH(_xlpm.ChemicalCompound, _xlpm.ChemicalCompoundColumn, 0), MATCH(_xlpm.Element, _xlpm.ElementRow, 0)))</definedName>
    <definedName name="Fertiliser_InputFunctions.Fertiliser_GetScope3EF">_xlfn.LAMBDA(_xlpm.ChemicalCompound,_xlpm.Scope3Array,_xlpm.ChemicalCompoundColumn,_xlpm.Source,_xlpm.SourceRow, INDEX(_xlpm.Scope3Array, MATCH(_xlpm.ChemicalCompound, _xlpm.ChemicalCompoundColumn, 0), MATCH(_xlpm.Source, _xlpm.SourceRow, 0)))</definedName>
    <definedName name="Fertiliser_InputFunctions.Fertiliser_SumProductApplied">_xlfn.LAMBDA(_xlpm.LookupTarget1,_xlpm.LookupArray1,_xlpm.AmountApplied,_xlop.LookupTarget2,_xlop.LookupArray2, _xlfn.LET(_xlpm.criteria1, --(_xlpm.LookupArray1 = _xlpm.LookupTarget1), _xlpm.criteria2, IF(_xlfn.ISOMITTED(_xlpm.LookupTarget2), 1, --(_xlpm.LookupArray2 = _xlpm.LookupTarget2)), SUMPRODUCT(_xlpm.criteria1 * _xlpm.criteria2 * _xlpm.AmountApplied)))</definedName>
    <definedName name="Fertiliser_InputFunctions.Fertiliser_TotalChemicalCompoundAppliedAllIngredients">_xlfn.LAMBDA(_xlpm.ChemicalCompound,_xlpm.AmountApplied,_xlpm.ProductIngredient1,_xlpm.ProductIngredientPercent1,_xlop.ProductIngredient2,_xlop.ProductIngredientPercent2,_xlop.ProductIngredient3,_xlop.ProductIngredientPercent3,_xlop.ProductIngredient4,_xlop.ProductIngredientPercent4,_xlop.ProductIngredient5,_xlop.ProductIngredientPercent5,_xlop.ProductIngredient6,_xlop.ProductIngredientPercent6, _xlfn.LET(_xlpm.calculatedAmount1, (_xlpm.AmountApplied * _xlpm.ProductIngredientPercent1), _xlpm.calculatedAmount2, (_xlpm.AmountApplied * _xlpm.ProductIngredientPercent2), _xlpm.calculatedAmount3, (_xlpm.AmountApplied * _xlpm.ProductIngredientPercent3), _xlpm.calculatedAmount4, (_xlpm.AmountApplied * _xlpm.ProductIngredientPercent4), _xlpm.calculatedAmount5, (_xlpm.AmountApplied * _xlpm.ProductIngredientPercent5), _xlpm.calculatedAmount6, (_xlpm.AmountApplied * _xlpm.ProductIngredientPercent6), Fertiliser_InputFunctions.Fertiliser_SumProductApplied(_xlpm.ChemicalCompound, _xlpm.ProductIngredient1, _xlpm.calculatedAmount1) + IFERROR(Fertiliser_InputFunctions.Fertiliser_SumProductApplied(_xlpm.ChemicalCompound, _xlpm.ProductIngredient2, _xlpm.calculatedAmount2), 0) + IFERROR(Fertiliser_InputFunctions.Fertiliser_SumProductApplied(_xlpm.ChemicalCompound, _xlpm.ProductIngredient3, _xlpm.calculatedAmount3), 0) + IFERROR(Fertiliser_InputFunctions.Fertiliser_SumProductApplied(_xlpm.ChemicalCompound, _xlpm.ProductIngredient4, _xlpm.calculatedAmount4), 0) + IFERROR(Fertiliser_InputFunctions.Fertiliser_SumProductApplied(_xlpm.ChemicalCompound, _xlpm.ProductIngredient5, _xlpm.calculatedAmount5), 0) + IFERROR(Fertiliser_InputFunctions.Fertiliser_SumProductApplied(_xlpm.ChemicalCompound, _xlpm.ProductIngredient6, _xlpm.calculatedAmount6), 0)))</definedName>
    <definedName name="Fertiliser_InputFunctions.Fertiliser_TotalChemicalCompoundtAppliedBySourceAllIngredients">_xlfn.LAMBDA(_xlpm.ChemicalCompound,_xlpm.Source,_xlpm.AmountApplied,_xlpm.ProductIngredient1,_xlpm.ProductIngredientPercent1,_xlpm.ProductIngredient1Source,_xlop.ProductIngredient2,_xlop.ProductIngredientPercent2,_xlop.ProductIngredient2Source,_xlop.ProductIngredient3,_xlop.ProductIngredientPercent3,_xlop.ProductIngredient3Source,_xlop.ProductIngredient4,_xlop.ProductIngredientPercent4,_xlop.ProductIngredient4Source,_xlop.ProductIngredient5,_xlop.ProductIngredientPercent5,_xlop.ProductIngredient5Source,_xlop.ProductIngredient6,_xlop.ProductIngredientPercent6,_xlop.ProductIngredient6Source, _xlfn.LET(_xlpm.calculatedAmount1, (_xlpm.AmountApplied * _xlpm.ProductIngredientPercent1), _xlpm.calculatedAmount2, (_xlpm.AmountApplied * _xlpm.ProductIngredientPercent2), _xlpm.calculatedAmount3, (_xlpm.AmountApplied * _xlpm.ProductIngredientPercent3), _xlpm.calculatedAmount4, (_xlpm.AmountApplied * _xlpm.ProductIngredientPercent4), _xlpm.calculatedAmount5, (_xlpm.AmountApplied * _xlpm.ProductIngredientPercent5), _xlpm.calculatedAmount6, (_xlpm.AmountApplied * _xlpm.ProductIngredientPercent6), Fertiliser_InputFunctions.Fertiliser_SumProductApplied(_xlpm.ChemicalCompound, _xlpm.ProductIngredient1, _xlpm.calculatedAmount1, _xlpm.Source, _xlpm.ProductIngredient1Source) + IFERROR(Fertiliser_InputFunctions.Fertiliser_SumProductApplied(_xlpm.ChemicalCompound, _xlpm.ProductIngredient2, _xlpm.calculatedAmount2, _xlpm.Source, _xlpm.ProductIngredient2Source), 0) + IFERROR(Fertiliser_InputFunctions.Fertiliser_SumProductApplied(_xlpm.ChemicalCompound, _xlpm.ProductIngredient3, _xlpm.calculatedAmount3, _xlpm.Source, _xlpm.ProductIngredient3Source), 0) + IFERROR(Fertiliser_InputFunctions.Fertiliser_SumProductApplied(_xlpm.ChemicalCompound, _xlpm.ProductIngredient4, _xlpm.calculatedAmount4, _xlpm.Source, _xlpm.ProductIngredient4Source), 0) + IFERROR(Fertiliser_InputFunctions.Fertiliser_SumProductApplied(_xlpm.ChemicalCompound, _xlpm.ProductIngredient5, _xlpm.calculatedAmount5, _xlpm.Source, _xlpm.ProductIngredient5Source), 0) + IFERROR(Fertiliser_InputFunctions.Fertiliser_SumProductApplied(_xlpm.ChemicalCompound, _xlpm.ProductIngredient6, _xlpm.calculatedAmount6, _xlpm.Source, _xlpm.ProductIngredient6Source), 0)))</definedName>
    <definedName name="Fertiliser_InputFunctions.Fertiliser_TotalSoilAmendmentApplied">_xlfn.LAMBDA(_xlpm.AmountApplied,_xlpm.AmendmentPercent, SUMPRODUCT(_xlpm.AmountApplied * _xlpm.AmendmentPercent))</definedName>
    <definedName name="Fertiliser_SourceData.Fertiliser_ChemicalCompoundElements_Data">_xlfn.LAMBDA(_xlfn.MAKEARRAY(19, 6, _xlfn.LAMBDA(_xlpm.r,_xlpm.c, INDEX({"Fertiliser Type f","FNinorganic,f","FUf","Basis","LifeCycles Scope 3 definition","Source";"Monoammonium phosphate (MAP)",0.1,0,"Ammonium-based fertilisers","Monoammonium phosphate (MAP)","VEERG";"Diammonium phosphate (DAP)",0.18,0,"Ammonium-based fertilisers","Diammonium phosphate (DAP)","VEERG";"Urea",0.46,1,"Urea-based fertilisers","Urea","VEERG";"Sulphate of ammonia (SOA)",0.21,0,"Ammonium-based fertilisers","Sulphate of ammonia (SOA)","VEERG";"Urea-ammonium nitrate (UAN)",0.32,0.35,"Urea-based fertilisers","Urea-ammonium nitrate (UAN)","VEERG";"Ammonium nitrate (AN)",0.337,0,"Ammonium-nitrate based fertilisers","Ammonium nitrate (AN)","VEERG";"Calcium ammonium nitrate (CAN)",0.27,0,"Ammonium-nitrate based fertilisers","Calcium ammonium nitrate (CAN)","VEERG";"Nitrogen - Ammoniacal",1,0,"Ammonium-based fertilisers","Nitrogen from Ammonia","LifeCycles";"Nitrogen - Nitrate",1,0,"Nitrate-based fertilisers","Nitrogen from Nitrate","LifeCycles";"Nitrogen - generic",1,0,"Other fertilisers","Nitrogen from fertiliser","LifeCycles";"Phosphorus - generic",0,0,"Other fertilisers","Phosphorus from fertiliser","LifeCycles";"Potassium - generic",0,0,"Other fertilisers","Potassium from fertiliser","LifeCycles";"Sulfur - generic",0,0,"Other fertilisers","Sulfur from fertiliser","LifeCycles";"Zinc - generic",0,0,"Other fertilisers","Zinc from fertiliser","LifeCycles";"Muriate of potash (MOP)",0,0,"Other fertilisers","Muriate of potash (MOP)","LifeCycles";"Double superphosphate",0,0,"Other fertilisers","Double superphosphate","LifeCycles";"Single superphosphate (SSP)",0,0,"Other fertilisers","Single superphosphate (SSP)","LifeCycles";"Ammonia",0.82,0,"Ammonium-based fertilisers","Ammonia","LifeCycles"}, _xlpm.r, _xlpm.c))))</definedName>
    <definedName name="Fertiliser_SourceData.Fertiliser_ChemicalCompoundElements_Source">_xlfn.LAMBDA(("Table A.2.2.3: Fraction of nitrogen in common inorganic fertilisers (kgN/kg) (FNorganic,f) AND Table A.2.2.4: Fraction of urea in common inorganic fertilisers (kg urea/kg) (FUf)"))</definedName>
    <definedName name="Fertiliser_SourceData.Fertiliser_ChemicalCompoundElements_Title">_xlfn.LAMBDA(("Common inorganic fertilisers"))</definedName>
    <definedName name="Fertiliser_SourceData.Fertiliser_ChemicalCompoundElements_Variation">_xlfn.LAMBDA(_xlfn.MAKEARRAY(9, 1, _xlfn.LAMBDA(_xlpm.r,_xlpm.c, INDEX({"VARIATION ON SOURCE";"Added 'Basis' column to allow cross-referencing with table Table A.2.2.6: Fraction of inorganic fertiliser f that volatilises as NH3 and NOx ((kg NH3-N + NOx-N)/kg N) (FracGASFf)";"Added extra fertiliser types and generic chemical compounds to allow for custom NPKS blends";"Added extra 'Scope 3 definition' column to allow mapping with scope 3 data";"Added 'Source' column";"Combined data from Table A.2.2.3 and Table A.2.2.4 into one table to aid lookup.";"Excluded 'References' column";"Excluded 'Ammonium sulfate' as it is a duplicate of 'Sulphate of ammonia (SOA)'";"Excluded 'Calcium nitrate' as no scope 3 value available."}, _xlpm.r, _xlpm.c))))</definedName>
    <definedName name="Fertiliser_SourceData.Fertiliser_FracGASF_Data">_xlfn.LAMBDA(_xlfn.MAKEARRAY(6, 2, _xlfn.LAMBDA(_xlpm.r,_xlpm.c, INDEX({"Fertiliser type f","FracGASFf";"Urea-based fertilisers",0.15;"Ammonium-based fertilisers",0.08;"Nitrate-based fertilisers",0.01;"Ammonium-nitrate based fertilisers",0.05;"Other fertilisers",0.11}, _xlpm.r, _xlpm.c))))</definedName>
    <definedName name="Fertiliser_SourceData.Fertiliser_FracGASF_Source">_xlfn.LAMBDA(("Table A.2.2.6: Fraction of inorganic fertiliser f that volatilises as NH3 and NOx ((kg NH3–N + NOx–N)/kg N) (FracGASFf)"))</definedName>
    <definedName name="Fertiliser_SourceData.Fertiliser_FracGASF_Title">_xlfn.LAMBDA(("Fraction of inorganic fertiliser that volatilises as NH3 and NOx"))</definedName>
    <definedName name="Fertiliser_SourceData.Fertiliser_FracGASF_Variation">_xlfn.LAMBDA("")</definedName>
    <definedName name="Fertiliser_SourceData.Fertiliser_LimeDolomiteGypsumConstants_Data">_xlfn.LAMBDA(_xlfn.MAKEARRAY(4, 3, _xlfn.LAMBDA(_xlpm.r,_xlpm.c, INDEX({"Element","P","EF";"Lime (Calcium carbonate)",0.9,0.12;"Dolomite (Magnesium carbonate)",0.95,0.13;"Gypsum",0,0}, _xlpm.r, _xlpm.c))))</definedName>
    <definedName name="Fertiliser_SourceData.Fertiliser_LimeDolomiteGypsumConstants_Description">_xlfn.LAMBDA(("Constants for lime, dolomite and gypsum"))</definedName>
    <definedName name="Fertiliser_SourceData.Fertiliser_LimeDolomiteGypsumConstants_Source">_xlfn.LAMBDA(("National Inventory Report 2023 Volume 1: 5.8.2 Methodological issues, equation 3G_1"))</definedName>
    <definedName name="Fertiliser_SourceData.Fertiliser_LimeDolomiteGypsumConstants_Title">_xlfn.LAMBDA(("Constants for lime, dolomite and gypsum"))</definedName>
    <definedName name="Fertiliser_SourceData.Fertiliser_LimeDolomiteGypsumConstants_Variation">_xlfn.LAMBDA(("VARIATION FROM SOURCE DATA: Gypsum has been added with placeholder values of 0 for P and EF."))</definedName>
    <definedName name="Fertiliser_SourceData.Fertiliser_Products_Data1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link";"75% MAP 25% MOP","Monoammonium phosphate (MAP)",0.75,"Location not specified","Muriate of Potash (MOP / KCL)",0.25,"Location not specified","","","","","","","","","","","","","";"75% Urea 25% MOP","Urea",0.75,"Location not specified","Muriate of Potash (MOP / KCL)",0.25,"Location not specified","","","","","","","","","","","","","";"80% Urea 20% MAP","Urea-Ammonium Nitrate (UAN)",0.8,"China","Monoammonium phosphate (MAP)",0.2,"Location not specified","","","","","","","","","","","","","";"Activate N","Nitrogen - Ammoniacal",0.071,"Location not specified","Nitrogen - Nitrate",0.006,"Location not specified","Nitrogen - Ureic",0.093,"Location not specified","Phosphorus - Generic",0.01,"Location not specified","Potassium - Generic",0.04,"Location not specified","Sulfur - Generic",0.82,"Location not specified","Active N (Lawnpride.com.au)";"Activist Max Zinc","Nitrogen - Generic",0.07,"Location not specified","Zinc - Generic",0.7,"Location not specified","","","","","","","","","","","","","ACTIVIST-MAX.pdf (agrichem.com.au)";"Agflow","Nitrogen - Generic",0.129,"Location not specified","Phosphorus - Generic",0.177,"Location not specified","Sulfur - Generic",0.06,"Location not specified","","","","","","","","","","CSBP High / Maintenance S";"Agflow Boost","Nitrogen - Generic",0.121,"Location not specified","Phosphorus - Generic",0.198,"Location not specified","Sulfur - Generic",0.041,"Location not specified","","","","","","","","","","CSBP High / Maintenance S";"Agflow Boost Extra","Nitrogen - Generic",0.12,"Location not specified","Phosphorus - Generic",0.197,"Location not specified","Sulfur - Generic",0.04,"Location not specified","","","","","","","","","","CSBP High / Maintenance S";"AgNP","","","","","","","","","","","","","","","","","","","CSBP High / Maintenance S";"AllStar","","","","","","","","","","","","","","","","","","","Summit Fertilizers";"Ammo 36","Urea",0.4,"Location not specified","Sulphate of Ammonia (SOA)",0.6,"Location not specified","","","","","","","","","","","","","Ravensdown";"Apex GaIXe Low P 21-1-6","","","","","","","","","","","","","","","","","","","Baileys controlled release fertilisers";"Big N","","","","","","","","","","","","","","","","","","","Big N Anhydrous ammonia NH3";"Big Phos","","","","","","","","","","","","","","","","","","","CSBP Fertilisers Pulse and Lupins";"Campbells Quick-N","","","","","","","","","","","","","","","","","","","Quick - N | Campbells Fertilisers Australia";"CK 55 Ameliorant","","","","","","","","","","","","","","","","","","","Pacific Fertilisers Crop King";"Crop Booster Plus","","","","","","","","","","","","","","","","","","","SL TEC Fertilisers Crop Booster Plus";"DAP","","","","","","","","","","","","","","","","","","","MountCompass Fertilisers Blends";"DAPSZC","","","","","","","","","","","","","","","","","","","Summit Fertilizers";"Easy N Bulk","","","","","","","","","","","","","","","","","","","Incitec Pivot Fertilisers";"Entec Urea","","","","","","","","","","","","","","","","","","","Nuturf Urea Granular";"Ezyflow Nano Calbud","","","","","","","","","","","","","","","","","","","EzyFlow Nano Calbud | Loveland (lovelandagriproducts.com.au)";"Flexi-N NI only","","","","","","","","","","","","","","","","","","","Ravensdown";"Glytrel ZnP 0-7-0","","","","","","","","","","","","","","","","","","","YaraVita Glytrel ZnP";"Gran-Am","","","","","","","","","","","","","","","","","","","Incitec Pivot Fertilisers";"Granulock SS","","","","","","","","","","","","","","","","","","","Incitec Pivot Fertilisers";"Granulock Z","","","","","","","","","","","","","","","","","","","Incitec Pivot Fertilisers";"Green Urea NV","","","","","","","","","","","","","","","","","","","Incitec Pivot Fertilisers";"Gypsum Sulphur","","","","","","","","","","","","","","","","","","","Gypsum Incitec Pivot Fertilisers";"Invigor8 0-37-37","","","","","","","","","","","","","","","","","","","Genesis AG"}, _xlpm.r, _xlpm.c))))</definedName>
    <definedName name="Fertiliser_SourceData.Fertiliser_Products_Data2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link";"Manganese Sulphate","","","","","","","","","","","","","","","","","","","Incitec Pivot Fertilisers";"MAP","","","","","","","","","","","","","","","","","","","Incitec Pivot Fertilisers";"MAP Impact","","","","","","","","","","","","","","","","","","","Impact fertilisers";"MAPSZC","","","","","","","","","","","","","","","","","","","Summit Fertilizers";"Maximum N-Pact 29-0-0","","","","","","","","","","","","","","","","","","","Maximum N-Pact | Loveland (lovelandagriproducts.com.au)";"Microsol 12-6-44","","","","","","","","","","","","","","","","","","","Rigbytaylor Microsol Range";"Microsol 16-32-16","","","","","","","","","","","","","","","","","","","Rigbytaylor Microsol Range";"Microsol 25-5-10","","","","","","","","","","","","","","","","","","","Rigbytaylor Microsol Range";"Microsol 28-0-14","","","","","","","","","","","","","","","","","","","Rigbytaylor Microsol Range";"Mono Potassium Phosphate MKP","","","","","","","","","","","","","","","","","","","Swancrop";"Muriate Of Potash MOP","","","","","","","","","","","","","","","","","","","MountCompass Fertilisers Blends";"NitroPlus","","","","","","","","","","","","","","","","","","","AgroStock Group Nitro Plus";"NutraGold","","","","","","","","","","","","","","","","","","","Swancrop";"Pro Performance 18-3-6","","","","","","","","","","","","","","","","","","","Pro Turf Formula";"SOA","","","","","","","","","","","","","","","","","","","MountCompass Fertilisers Blends";"SSP","","","","","","","","","","","","","","","","","","","Impact fertilisers";"Super Phos","","","","","","","","","","","","","","","","","","","CSBP Super PHOS";"Super SR Extra","","","","","","","","","","","","","","","","","","","CSBP Super Potash";"SuPerfect","","","","","","","","","","","","","","","","","","","Incitec Pivot Fertilisers";"SuperPasture Potash 5:1","","","","","","","","","","","","","","","","","","","CSBP Super Potash";"Trace-it Mn","","","","","","","","","","","","","","","","","","","Campbells fertilisers Australia";"UniSZon","","","","","","","","","","","","","","","","","","","WengfuAustralia uniSZon";"Urea","","","","","","","","","","","","","","","","","","","ProductCard_Adelaide_web.pdf (incitecpivotfertilisers.com.au)";"Wengfu Slam Granular","","","","","","","","","","","","","","","","","","","Straights (wengfu.com.au)";"Yara FlowPhos 10","","","","","","","","","","","","","","","","","","","Crop Nutrition Solutions (Yara Australia)";"Yara FlowPhos 13Z","","","","","","","","","","","","","","","","","","","Crop Nutrition Solutions (Yara Australia)";"Yara FlowPhos 15","","","","","","","","","","","","","","","","","","","Crop Nutrition Solutions (Yara Australia)";"Yara FlowPhos KZ","","","","","","","","","","","","","","","","","","","Crop Nutrition Solutions (Yara Australia)";"Yara KeyPro Trace","","","","","","","","","","","","","","","","","","","Crop Nutrition Solutions (Yara Australia)";"Yara KeyPro Zinc","","","","","","","","","","","","","","","","","","","Crop Nutrition Solutions (Yara Australia)"}, _xlpm.r, _xlpm.c))))</definedName>
    <definedName name="Fertiliser_SourceData.Fertiliser_Products_Data3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link";"Yara K-Flow 0-0-15","","","","","","","","","","","","","","","","","","","Crop Nutrition Solutions (Yara Australia)";"Yara K-Flow 0-14-30","","","","","","","","","","","","","","","","","","","Crop Nutrition Solutions (Yara Australia)";"Yara K-Flow 0-7-36","","","","","","","","","","","","","","","","","","","Crop Nutrition Solutions (Yara Australia)";"Yara K-Flow 13-0-7","","","","","","","","","","","","","","","","","","","Crop Nutrition Solutions (Yara Australia)";"Yara K-Flow 4-0-12","","","","","","","","","","","","","","","","","","","Crop Nutrition Solutions (Yara Australia)";"Yara Liquids MICRO-SUL","","","","","","","","","","","","","","","","","","","Crop Nutrition Solutions (Yara Australia)";"Yara Liquids N24","","","","","","","","","","","","","","","","","","","Crop Nutrition Solutions (Yara Australia)";"Yara Liquids N25","","","","","","","","","","","","","","","","","","","Crop Nutrition Solutions (Yara Australia)";"Yara Liquids N26","","","","","","","","","","","","","","","","","","","Crop Nutrition Solutions (Yara Australia)";"Yara Liquids N42","","","","","","","","","","","","","","","","","","","Crop Nutrition Solutions (Yara Australia)";"Yara Liquids N-CAL 15+18Ca","","","","","","","","","","","","","","","","","","","Crop Nutrition Solutions (Yara Australia)";"Yara Liquids N-CAL 20+10Ca+B","","","","","","","","","","","","","","","","","","","Crop Nutrition Solutions (Yara Australia)";"Yara Liquids N-CAL 35+6Ca","","","","","","","","","","","","","","","","","","","Crop Nutrition Solutions (Yara Australia)";"Yara Liquids N-FOL 24","","","","","","","","","","","","","","","","","","","Crop Nutrition Solutions (Yara Australia)";"Yara Liquids N-FOL 24+TE","","","","","","","","","","","","","","","","","","","Crop Nutrition Solutions (Yara Australia)";"Yara Liquids P-FOL Zinc","","","","","","","","","","","","","","","","","","","Crop Nutrition Solutions (Yara Australia)";"Yara Liquids SULSA 11-0-0+12S","","","","","","","","","","","","","","","","","","","Crop Nutrition Solutions (Yara Australia)";"Yara Liquids SULSA 24-3-0+6S","","","","","","","","","","","","","","","","","","","Crop Nutrition Solutions (Yara Australia)";"Yara Liquids SULSA 27-0-0+7S","","","","","","","","","","","","","","","","","","","Crop Nutrition Solutions (Yara Australia)";"Yara Liquids SULSA 36-0-0+3S","","","","","","","","","","","","","","","","","","","Crop Nutrition Solutions (Yara Australia)";"YaraLiva CALCINIT B","","","","","","","","","","","","","","","","","","","Crop Nutrition Solutions (Yara Australia)";"YaraLiva NITRABOR","","","","","","","","","","","","","","","","","","","YaraLiva NITRABOR | Yara Australia";"YaraLiva TROPICOTE","","","","","","","","","","","","","","","","","","","Crop Nutrition Solutions (Yara Australia)";"YaraMila Complex","","","","","","","","","","","","","","","","","","","Crop Nutrition Solutions (Yara Australia)";"YaraMila Complex 17-5-10(4)","","","","","","","","","","","","","","","","","","","Crop Nutrition Solutions (Yara Australia)";"YaraMila Complex 21-7-3(4)","","","","","","","","","","","","","","","","","","","Crop Nutrition Solutions (Yara Australia)";"YaraMila UNIVERSAL","","","","","","","","","","","","","","","","","","","Crop Nutrition Solutions (Yara Australia)";"YaraRega 13-2-21","","","","","","","","","","","","","","","","","","","Crop Nutrition Solutions (Yara Australia)";"YaraVita BORTRAC","","","","","","","","","","","","","","","","","","","Crop Nutrition Solutions (Yara Australia)";"YaraVita BRASSITREL DF","","","","","","","","","","","","","","","","","","","Crop Nutrition Solutions (Yara Australia)"}, _xlpm.r, _xlpm.c))))</definedName>
    <definedName name="Fertiliser_SourceData.Fertiliser_Products_Data4">_xlfn.LAMBDA(_xlfn.MAKEARRAY(16,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link";"YaraVita BRASSITREL PRO","","","","","","","","","","","","","","","","","","","Crop Nutrition Solutions (Yara Australia)";"YaraVita BUD BUILDER FL","","","","","","","","","","","","","","","","","","","Crop Nutrition Solutions (Yara Australia)";"YaraVita FRUTREL","","","","","","","","","","","","","","","","","","","Crop Nutrition Solutions (Yara Australia)";"YaraVita GLYTREL ZnP","","","","","","","","","","","","","","","","","","","Crop Nutrition Solutions (Yara Australia)";"YaraVita GRAMITREL","","","","","","","","","","","","","","","","","","","Crop Nutrition Solutions (Yara Australia)";"YaraVita KOMBIPHOS","","","","","","","","","","","","","","","","","","","Crop Nutrition Solutions (Yara Australia)";"YaraVita MANGZINC","","","","","","","","","","","","","","","","","","","Crop Nutrition Solutions (Yara Australia)";"YaraVita MOLYTRAC","","","","","","","","","","","","","","","","","","","Crop Nutrition Solutions (Yara Australia)";"YaraVita SENIPHOS","","","","","","","","","","","","","","","","","","","Crop Nutrition Solutions (Yara Australia)";"YaraVita ZINTRAC","","","","","","","","","","","","","","","","","","","Crop Nutrition Solutions (Yara Australia)";"Zinc Sulphate Monohydrate","","","","","","","","","","","","","","","","","","","Incitec Pivot Fertilisers";"Zincsol","","","","","","","","","","","","","","","","","","","Sulfate Zincsol";"ZincStar","","","","","","","","","","","","","","","","","","","Impact fertilisers";"ZMC-1","","","","","","","","","","","","","","","","","","","Kemgro ZMC-1";"Zn 7000","","","","","","","","","","","","","","","","","","","Rutec Zn 7000"}, _xlpm.r, _xlpm.c))))</definedName>
    <definedName name="Fertiliser_SourceData.Fertiliser_Products_Description">_xlfn.LAMBDA(("Popular fertiliser products used in Australia, along with their chemical compound composition"))</definedName>
    <definedName name="Fertiliser_SourceData.Fertiliser_Products_Source">_xlfn.LAMBDA(("XXXXXXX"))</definedName>
    <definedName name="Fertiliser_SourceData.Fertiliser_Products_Title">_xlfn.LAMBDA(("Fertiliser products"))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Dairy_AtmosphericDeposition_Equations.VEERG_4_3_1_5__1_AnnualAtmosphericDepositionEmissionsFromMMS">_xlfn.LAMBDA(_xlpm.MN_ATMOS,_xlpm.EF_N2O,_xlpm.C_N2O, _xlpm.MN_ATMOS * _xlpm.EF_N2O * _xlpm.C_N2O * 10 ^ -3)</definedName>
    <definedName name="MMS_PastureBeef_Soil_AtmosphericDeposition_Equations.VEERG_4_2_1_5__1_AtmosphericDepositionEmissionsFromUrineAndDungOnPasture">_xlfn.LAMBDA(_xlpm.M_vol,_xlpm.EF_N2O,_xlpm.C_N2O, _xlpm.M_vol * _xlpm.EF_N2O * _xlpm.C_N2O * 10 ^ -3)</definedName>
    <definedName name="MMS_Poultry_AtmosphericDeposition_Equations.VEERG_4_6_1_5__1_TotalAnnualAtmosphericDepositionEmissionsFromMMS">_xlfn.LAMBDA(_xlpm.MMS_ATMOS,_xlpm.EF_N2O,_xlpm.C_N2O, (_xlpm.MMS_ATMOS * _xlpm.EF_N2O * _xlpm.C_N2O) * 10 ^ -3)</definedName>
    <definedName name="MMS_Poultry_AtmosphericDeposition_Equations.VEERG_4_6_1_5__1_TotalAnnualAtmosphericDepositionEmissionsFromMM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system";"ir","irrigation method";"r","rainfall region"}, _xlpm.r, _xlpm.c))))</definedName>
    <definedName name="MMS_Poultry_AtmosphericDeposition_Equations.VEERG_4_6_1_5__1_TotalAnnualAtmosphericDepositionEmissionsFromMMS_LatexEquation">_xlfn.LAMBDA("E_{N2O,ad}=(MMS_{ATMOS}\times EF_{N2O}\times C_{N2O})\times10^{-3}")</definedName>
    <definedName name="MMS_Poultry_AtmosphericDeposition_Equations.VEERG_4_6_1_5__1_TotalAnnualAtmosphericDepositionEmissionsFromMMS_NIRReference">_xlfn.LAMBDA("")</definedName>
    <definedName name="MMS_Poultry_AtmosphericDeposition_Equations.VEERG_4_6_1_5__1_TotalAnnualAtmosphericDepositionEmissionsFromMMS_Source">_xlfn.LAMBDA("VEERG 2026: 4.6.1.5, Equation (1)")</definedName>
    <definedName name="MMS_Poultry_AtmosphericDeposition_Equations.VEERG_4_6_1_5__1_TotalAnnualAtmosphericDepositionEmissionsFromMMS_Title">_xlfn.LAMBDA("Total annual atmospheric deposition emissions from manure management")</definedName>
    <definedName name="MMS_Poultry_AtmosphericDeposition_Equations.VEERG_4_6_1_5__1_TotalAnnualAtmosphericDepositionEmissionsFromMMS_Unit">_xlfn.LAMBDA("t N2O")</definedName>
    <definedName name="MMS_Poultry_AtmosphericDeposition_Equations.VEERG_4_6_1_5__1_TotalAnnualAtmosphericDepositionEmissionsFromMMS_Variable">_xlfn.LAMBDA("E_N2Oad")</definedName>
    <definedName name="MMS_Poultry_AtmosphericDeposition_Equations.VEERG_4_6_1_5__2_TotalNitrogenVolatilisedFromMMS">_xlfn.LAMBDA(_xlpm.MN_jkmT,_xlpm.FracGASM_mT, _xlpm.MN_jkmT * _xlpm.FracGASM_mT)</definedName>
    <definedName name="MMS_Poultry_AtmosphericDeposition_Equations.VEERG_4_6_1_5__2_TotalNitrogenVolatilisedFromMMS_Arguments">_xlfn.LAMBDA(_xlfn.MAKEARRAY(2, 2, _xlfn.LAMBDA(_xlpm.r,_xlpm.c, INDEX({"MN_jkmT","nitrogen in each treatment stage MMS (excluding MN_jkm13T2) : kg N";"FracGASM_mT","fraction of N volatilised in each MMS : (kg NH3-N + NOx-N)/kg N"}, _xlpm.r, _xlpm.c))))</definedName>
    <definedName name="MMS_Poultry_AtmosphericDeposition_Equations.VEERG_4_6_1_5__2_TotalNitrogenVolatilisedFromMMS_LatexEquation">_xlfn.LAMBDA("MMS_{ATMOS}=\sum_{j}\sum_{k}\sum_{m}\sum_{T}(MN_{jkmT}\times FracGASM_{mT})")</definedName>
    <definedName name="MMS_Poultry_AtmosphericDeposition_Equations.VEERG_4_6_1_5__2_TotalNitrogenVolatilisedFromMMS_NIRReference">_xlfn.LAMBDA("")</definedName>
    <definedName name="MMS_Poultry_AtmosphericDeposition_Equations.VEERG_4_6_1_5__2_TotalNitrogenVolatilisedFromMMS_Source">_xlfn.LAMBDA("VEERG 2026: 4.6.1.5, Equation (2)")</definedName>
    <definedName name="MMS_Poultry_AtmosphericDeposition_Equations.VEERG_4_6_1_5__2_TotalNitrogenVolatilisedFromMMS_Title">_xlfn.LAMBDA("Total nitrogen volatilised from manure management systems")</definedName>
    <definedName name="MMS_Poultry_AtmosphericDeposition_Equations.VEERG_4_6_1_5__2_TotalNitrogenVolatilisedFromMMS_Unit">_xlfn.LAMBDA("kg N")</definedName>
    <definedName name="MMS_Poultry_AtmosphericDeposition_Equations.VEERG_4_6_1_5__2_TotalNitrogenVolatilisedFromMMS_Variable">_xlfn.LAMBDA("MMS_ATMOS")</definedName>
    <definedName name="MMS_Poultry_LeachingAndRunoff_Equations.VEERG_4_6_1_7__1_AnnualEmissionsFromLeachingAndRunoffFromMMS">_xlfn.LAMBDA(_xlpm.MNLeach_jkm4,_xlpm.EF_leach,_xlpm.C_N2O, (_xlpm.MNLeach_jkm4 * _xlpm.EF_leach * _xlpm.C_N2O) * 10 ^ -3)</definedName>
    <definedName name="MMS_Poultry_LeachingAndRunoff_Equations.VEERG_4_6_1_7__1_AnnualEmissionsFromLeachingAndRunoffFromMMS_Arguments">_xlfn.LAMBDA(_xlfn.MAKEARRAY(3, 2, _xlfn.LAMBDA(_xlpm.r,_xlpm.c, INDEX({"MNLeach_jkm4","mass of N lost through leaching and runoff from each MMS : kg N";"EF_leach","emission factor for leaching and runoff : kg N2O-N/kg N";"C_N2O","factor to convert elemental mass of N2O to molecular mass : ratio"}, _xlpm.r, _xlpm.c))))</definedName>
    <definedName name="MMS_Poultry_LeachingAndRunoff_Equations.VEERG_4_6_1_7__1_AnnualEmissionsFromLeachingAndRunoffFromMMS_LatexEquation">_xlfn.LAMBDA("E_{N2O,leach}=MNLeach_{jkm=4}\times EF_{leach}\times C_{N2O}\times10^{-3}")</definedName>
    <definedName name="MMS_Poultry_LeachingAndRunoff_Equations.VEERG_4_6_1_7__1_AnnualEmissionsFromLeachingAndRunoffFromMMS_NIRReference">_xlfn.LAMBDA("")</definedName>
    <definedName name="MMS_Poultry_LeachingAndRunoff_Equations.VEERG_4_6_1_7__1_AnnualEmissionsFromLeachingAndRunoffFromMMS_Source">_xlfn.LAMBDA("VEERG 2026: 4.6.1.7, Equation (1)")</definedName>
    <definedName name="MMS_Poultry_LeachingAndRunoff_Equations.VEERG_4_6_1_7__1_AnnualEmissionsFromLeachingAndRunoffFromMMS_Title">_xlfn.LAMBDA("Annual emissions from leaching and runoff from each MMS")</definedName>
    <definedName name="MMS_Poultry_LeachingAndRunoff_Equations.VEERG_4_6_1_7__1_AnnualEmissionsFromLeachingAndRunoffFromMMS_Unit">_xlfn.LAMBDA("t N2O")</definedName>
    <definedName name="MMS_Poultry_LeachingAndRunoff_Equations.VEERG_4_6_1_7__1_AnnualEmissionsFromLeachingAndRunoffFromMMS_Variable">_xlfn.LAMBDA("E_N2Oleach")</definedName>
    <definedName name="MMS_Poultry_LeachingAndRunoff_Equations.VEERG_4_6_1_7__2_MassOfNitrogenLostToLeachingAndRunoffFromSolidStorage">_xlfn.LAMBDA(_xlpm.MN_jkm4T1,_xlpm.FracWET,_xlpm.FracLEACH_MS, _xlpm.MN_jkm4T1 * _xlpm.FracWET * _xlpm.FracLEACH_MS)</definedName>
    <definedName name="MMS_Poultry_LeachingAndRunoff_Equations.VEERG_4_6_1_7__2_MassOfNitrogenLostToLeachingAndRunoffFromSolidStorage_Arguments">_xlfn.LAMBDA(_xlfn.MAKEARRAY(6, 2, _xlfn.LAMBDA(_xlpm.r,_xlpm.c, INDEX({"MN_jkm4T1","nitrogen in solid storage MMS treatment stage 1 : kg N";"FracWET","fraction of N available for leaching and runoff : fraction";"FracLEACH_MS","fraction of N lost through leaching and runoff : fraction";"z","location in leaching zone";"j","production system";"ir","irrigation method"}, _xlpm.r, _xlpm.c))))</definedName>
    <definedName name="MMS_Poultry_LeachingAndRunoff_Equations.VEERG_4_6_1_7__2_MassOfNitrogenLostToLeachingAndRunoffFromSolidStorage_LatexEquation">_xlfn.LAMBDA("MNLeach_{jkm=4}=MN_{jkm=4,T=1}\times FracWET\times FracLEACH_{MS}")</definedName>
    <definedName name="MMS_Poultry_LeachingAndRunoff_Equations.VEERG_4_6_1_7__2_MassOfNitrogenLostToLeachingAndRunoffFromSolidStorage_NIRReference">_xlfn.LAMBDA("")</definedName>
    <definedName name="MMS_Poultry_LeachingAndRunoff_Equations.VEERG_4_6_1_7__2_MassOfNitrogenLostToLeachingAndRunoffFromSolidStorage_Source">_xlfn.LAMBDA("VEERG 2026: 4.6.1.7, Equation (2)")</definedName>
    <definedName name="MMS_Poultry_LeachingAndRunoff_Equations.VEERG_4_6_1_7__2_MassOfNitrogenLostToLeachingAndRunoffFromSolidStorage_Title">_xlfn.LAMBDA("Mass of nitrogen lost to leaching and runoff from solid storage systems")</definedName>
    <definedName name="MMS_Poultry_LeachingAndRunoff_Equations.VEERG_4_6_1_7__2_MassOfNitrogenLostToLeachingAndRunoffFromSolidStorage_Unit">_xlfn.LAMBDA("kg N")</definedName>
    <definedName name="MMS_Poultry_LeachingAndRunoff_Equations.VEERG_4_6_1_7__2_MassOfNitrogenLostToLeachingAndRunoffFromSolidStorage_Variable">_xlfn.LAMBDA("MNLeach_jkm4")</definedName>
    <definedName name="MMS_Poultry_ManureAppliedToSoils_Equations.VEERG_4_6_1_9__1_MassOfNitrogenAppliedToSoilsScope1">_xlfn.LAMBDA(_xlpm.MN_jmT2,_xlpm.EF_mT2,_xlpm.FracGASM_mT2,_xlpm.MNLeach_MMS,_xlpm.PF, (_xlpm.MN_jmT2 * (1 - _xlpm.EF_mT2 - _xlpm.FracGASM_mT2) - _xlpm.MNLeach_MMS) * _xlpm.PF)</definedName>
    <definedName name="MMS_Poultry_ManureAppliedToSoils_Equations.VEERG_4_6_1_9__1_MassOfNitrogenAppliedToSoilsScope1_Arguments">_xlfn.LAMBDA(_xlfn.MAKEARRAY(5, 2, _xlfn.LAMBDA(_xlpm.r,_xlpm.c, INDEX({"MN_jmT2","mass of N in secondary treatment stage as calculated for manure management : kg N";"EF_mT2","nitrous oxide emission factor for each MMS : kg N2O-N/kg N";"FracGASM_mT2","fraction of animal waste N volatilised in each MMS : (kg NH3-N + NOx-N)/kg N";"MNLeach_MMS","mass of N lost through leaching and runoff from MMS : kg N";"PF","fraction of manure applied to soil within the farm boundary : fraction"}, _xlpm.r, _xlpm.c))))</definedName>
    <definedName name="MMS_Poultry_ManureAppliedToSoils_Equations.VEERG_4_6_1_9__1_MassOfNitrogenAppliedToSoilsScope1_LatexEquation">_xlfn.LAMBDA("MNSoil_{scope1}=\sum_{j}\sum_{m}(MN_{jm,T=2}\times(1-EF_{mT=2}-FracGASM_{mT=2})-MNLeach_{MMS})\times PF")</definedName>
    <definedName name="MMS_Poultry_ManureAppliedToSoils_Equations.VEERG_4_6_1_9__1_MassOfNitrogenAppliedToSoilsScope1_NIRReference">_xlfn.LAMBDA("")</definedName>
    <definedName name="MMS_Poultry_ManureAppliedToSoils_Equations.VEERG_4_6_1_9__1_MassOfNitrogenAppliedToSoilsScope1_Source">_xlfn.LAMBDA("VEERG 2026: 4.6.1.9, Equation (1)")</definedName>
    <definedName name="MMS_Poultry_ManureAppliedToSoils_Equations.VEERG_4_6_1_9__1_MassOfNitrogenAppliedToSoilsScope1_Title">_xlfn.LAMBDA("Mass of nitrogen applied to soils for scope 1 emissions")</definedName>
    <definedName name="MMS_Poultry_ManureAppliedToSoils_Equations.VEERG_4_6_1_9__1_MassOfNitrogenAppliedToSoilsScope1_Unit">_xlfn.LAMBDA("kg N")</definedName>
    <definedName name="MMS_Poultry_ManureAppliedToSoils_Equations.VEERG_4_6_1_9__1_MassOfNitrogenAppliedToSoilsScope1_Variable">_xlfn.LAMBDA("MNSoil_scope1")</definedName>
    <definedName name="MMS_Poultry_ManureAppliedToSoils_Equations.VEERG_4_6_1_9__2_MassOfNitrogenAppliedToSoilsScope3">_xlfn.LAMBDA(_xlpm.MN_jmT2,_xlpm.EF_mT2,_xlpm.FracGASM_mT2,_xlpm.MNLeach_MMS,_xlpm.PF, (_xlpm.MN_jmT2 * (1 - _xlpm.EF_mT2 - _xlpm.FracGASM_mT2) - _xlpm.MNLeach_MMS) * (1 - _xlpm.PF))</definedName>
    <definedName name="MMS_Poultry_ManureAppliedToSoils_Equations.VEERG_4_6_1_9__2_MassOfNitrogenAppliedToSoilsScope3_Arguments">_xlfn.LAMBDA(_xlfn.MAKEARRAY(5, 2, _xlfn.LAMBDA(_xlpm.r,_xlpm.c, INDEX({"MN_jmT2","mass of N in secondary treatment stage as calculated for manure management : kg N";"EF_mT2","nitrous oxide emission factor for each MMS : kg N2O-N/kg N";"FracGASM_mT2","fraction of animal waste N volatilised in each MMS : (kg NH3-N + NOx-N)/kg N";"MNLeach_MMS","mass of N lost through leaching and runoff from MMS : kg N";"PF","fraction of manure applied to soil within the farm boundary : fraction"}, _xlpm.r, _xlpm.c))))</definedName>
    <definedName name="MMS_Poultry_ManureAppliedToSoils_Equations.VEERG_4_6_1_9__2_MassOfNitrogenAppliedToSoilsScope3_LatexEquation">_xlfn.LAMBDA("MNSoil_{scope3}=\sum_{j}\sum_{m}(MN_{jm,T=2}\times(1-EF_{mT=2}-FracGASM_{mT=2})-MNLeach_{MMS})\times(1-PF)")</definedName>
    <definedName name="MMS_Poultry_ManureAppliedToSoils_Equations.VEERG_4_6_1_9__2_MassOfNitrogenAppliedToSoilsScope3_NIRReference">_xlfn.LAMBDA("")</definedName>
    <definedName name="MMS_Poultry_ManureAppliedToSoils_Equations.VEERG_4_6_1_9__2_MassOfNitrogenAppliedToSoilsScope3_Source">_xlfn.LAMBDA("VEERG 2026: 4.6.1.9, Equation (2)")</definedName>
    <definedName name="MMS_Poultry_ManureAppliedToSoils_Equations.VEERG_4_6_1_9__2_MassOfNitrogenAppliedToSoilsScope3_Title">_xlfn.LAMBDA("Mass of nitrogen applied to soils for scope 3 emissions")</definedName>
    <definedName name="MMS_Poultry_ManureAppliedToSoils_Equations.VEERG_4_6_1_9__2_MassOfNitrogenAppliedToSoilsScope3_Unit">_xlfn.LAMBDA("kg N")</definedName>
    <definedName name="MMS_Poultry_ManureAppliedToSoils_Equations.VEERG_4_6_1_9__2_MassOfNitrogenAppliedToSoilsScope3_Variable">_xlfn.LAMBDA("MNSoil_scope3")</definedName>
    <definedName name="MMS_Poultry_Methane_Equations.VEERG_4_6_1_1__1_TotalAnnualMethaneEmissions">_xlfn.LAMBDA(_xlpm.D_jk,_xlpm.M_jkmT,_xlpm.N_jk, (_xlpm.D_jk * _xlpm.M_jkmT * _xlpm.N_jk) * 10 ^ -3)</definedName>
    <definedName name="MMS_Poultry_Methane_Equations.VEERG_4_6_1_1__1_TotalAnnualMethaneEmissions_Arguments">_xlfn.LAMBDA(_xlfn.MAKEARRAY(3, 2, _xlfn.LAMBDA(_xlpm.r,_xlpm.c, INDEX({"D_jk","duration of stay of each class and subclass of poultry : days";"M_jkmT","methane production from manure per class, subclass, MMS, and treatment stage : kg CH4/bird/day";"N_jk","numbers of poultry in each class and subclass : bird"}, _xlpm.r, _xlpm.c))))</definedName>
    <definedName name="MMS_Poultry_Methane_Equations.VEERG_4_6_1_1__1_TotalAnnualMethaneEmissions_LatexEquation">_xlfn.LAMBDA("E_{CH4}=\sum_{j}\sum_{k}\sum_{m}\sum_{T}(D_{jk}\times M_{jkmT}\times N_{jk})\times10^{-3}")</definedName>
    <definedName name="MMS_Poultry_Methane_Equations.VEERG_4_6_1_1__1_TotalAnnualMethaneEmissions_NIRReference">_xlfn.LAMBDA("")</definedName>
    <definedName name="MMS_Poultry_Methane_Equations.VEERG_4_6_1_1__1_TotalAnnualMethaneEmissions_Source">_xlfn.LAMBDA("VEERG 2026: 4.4.1.1, Equation (1)")</definedName>
    <definedName name="MMS_Poultry_Methane_Equations.VEERG_4_6_1_1__1_TotalAnnualMethaneEmissions_Title">_xlfn.LAMBDA("Total annual methane emissions from manure management")</definedName>
    <definedName name="MMS_Poultry_Methane_Equations.VEERG_4_6_1_1__1_TotalAnnualMethaneEmissions_Unit">_xlfn.LAMBDA("t CH4")</definedName>
    <definedName name="MMS_Poultry_Methane_Equations.VEERG_4_6_1_1__1_TotalAnnualMethaneEmissions_Variable">_xlfn.LAMBDA("E_CH4")</definedName>
    <definedName name="MMS_Poultry_Methane_Equations.VEERG_4_6_1_1__2_Stage1MethaneProduction">_xlfn.LAMBDA(_xlpm.VS_jk,_xlpm.BO_j,_xlpm.MMS_jmT1,_xlpm.MCF_im,_xlpm.rho, _xlpm.VS_jk * _xlpm.BO_j * _xlpm.MMS_jmT1 * _xlpm.MCF_im * _xlpm.rho)</definedName>
    <definedName name="MMS_Poultry_Methane_Equations.VEERG_4_6_1_1__2_Stage1MethaneProduction_Arguments">_xlfn.LAMBDA(_xlfn.MAKEARRAY(6, 2, _xlfn.LAMBDA(_xlpm.r,_xlpm.c, INDEX({"VS_jk","volatile solid production poultry classes : kg VS/bird/day";"BO_j","emissions potential per class : m3 CH4/kg VS";"MMS_jmT1","fraction of manure in each primary system : fraction";"MCF_im","methane conversion factor for temperature zone and MMS : fraction";"rho","density of methane : kg/m3";"i","state"}, _xlpm.r, _xlpm.c))))</definedName>
    <definedName name="MMS_Poultry_Methane_Equations.VEERG_4_6_1_1__2_Stage1MethaneProduction_LatexEquation">_xlfn.LAMBDA("M_{jkmT=1}=VS_{jk}\times BO_{j}\times MMS_{jmT=1}\times MCF_{im}\times \rho")</definedName>
    <definedName name="MMS_Poultry_Methane_Equations.VEERG_4_6_1_1__2_Stage1MethaneProduction_NIRReference">_xlfn.LAMBDA("")</definedName>
    <definedName name="MMS_Poultry_Methane_Equations.VEERG_4_6_1_1__2_Stage1MethaneProduction_Source">_xlfn.LAMBDA("VEERG 2026: 4.4.1.1, Equation (2)")</definedName>
    <definedName name="MMS_Poultry_Methane_Equations.VEERG_4_6_1_1__2_Stage1MethaneProduction_Title">_xlfn.LAMBDA("Production of methane in treatment stage 1 MMS")</definedName>
    <definedName name="MMS_Poultry_Methane_Equations.VEERG_4_6_1_1__2_Stage1MethaneProduction_Unit">_xlfn.LAMBDA("kg CH4/bird/day")</definedName>
    <definedName name="MMS_Poultry_Methane_Equations.VEERG_4_6_1_1__2_Stage1MethaneProduction_Variable">_xlfn.LAMBDA("M_jkmT1")</definedName>
    <definedName name="MMS_Poultry_Methane_Equations.VEERG_4_6_1_1__3_Stage2MethaneProduction">_xlfn.LAMBDA(_xlpm.VST_jk,_xlpm.BO,_xlpm.MMS_jmT2,_xlpm.MCF_im,_xlpm.rho, _xlpm.VST_jk * _xlpm.BO * _xlpm.MMS_jmT2 * _xlpm.MCF_im * _xlpm.rho)</definedName>
    <definedName name="MMS_Poultry_Methane_Equations.VEERG_4_6_1_1__3_Stage2MethaneProduction_Arguments">_xlfn.LAMBDA(_xlfn.MAKEARRAY(6, 2, _xlfn.LAMBDA(_xlpm.r,_xlpm.c, INDEX({"VST_jk","volatile solids transferred to treatment stage 2 MMS : kg VS/bird/day";"BO","emissions potential : m3 CH4/kg VS";"MMS_jmT2","fraction of manure in each secondary system : fraction";"MCF_im","methane conversion factor for temperature zone and MMS : fraction";"rho","density of methane : kg/m3";"i","state"}, _xlpm.r, _xlpm.c))))</definedName>
    <definedName name="MMS_Poultry_Methane_Equations.VEERG_4_6_1_1__3_Stage2MethaneProduction_LatexEquation">_xlfn.LAMBDA("M_{jkmT=2}=VST_{jk}\times BO\times MMS_{jmT=2}\times MCF_{im}\times \rho")</definedName>
    <definedName name="MMS_Poultry_Methane_Equations.VEERG_4_6_1_1__3_Stage2MethaneProduction_NIRReference">_xlfn.LAMBDA("")</definedName>
    <definedName name="MMS_Poultry_Methane_Equations.VEERG_4_6_1_1__3_Stage2MethaneProduction_Source">_xlfn.LAMBDA("VEERG 2026: 4.4.1.1, Equation (3)")</definedName>
    <definedName name="MMS_Poultry_Methane_Equations.VEERG_4_6_1_1__3_Stage2MethaneProduction_Title">_xlfn.LAMBDA("Production of methane in treatment stage 2 MMS")</definedName>
    <definedName name="MMS_Poultry_Methane_Equations.VEERG_4_6_1_1__3_Stage2MethaneProduction_Unit">_xlfn.LAMBDA("kg CH4/bird/day")</definedName>
    <definedName name="MMS_Poultry_Methane_Equations.VEERG_4_6_1_1__3_Stage2MethaneProduction_Variable">_xlfn.LAMBDA("M_jkmT2")</definedName>
    <definedName name="MMS_Poultry_Methane_Equations.VEERG_4_6_1_1__4_VolatileSolidsTransferred">_xlfn.LAMBDA(_xlpm.VS_jk,_xlpm.MMS_jmT1,_xlpm.VSL_mT1, _xlpm.VS_jk * _xlpm.MMS_jmT1 * (1 - _xlpm.VSL_mT1))</definedName>
    <definedName name="MMS_Poultry_Methane_Equations.VEERG_4_6_1_1__4_VolatileSolidsTransferred_Arguments">_xlfn.LAMBDA(_xlfn.MAKEARRAY(3, 2, _xlfn.LAMBDA(_xlpm.r,_xlpm.c, INDEX({"VS_jk","volatile solid production poultry classes : kg VS/bird/day";"MMS_jmT1","fraction of manure in each primary system : fraction";"VSL_mT1","fraction of volatile solids lost during storage in the primary system : fraction"}, _xlpm.r, _xlpm.c))))</definedName>
    <definedName name="MMS_Poultry_Methane_Equations.VEERG_4_6_1_1__4_VolatileSolidsTransferred_LatexEquation">_xlfn.LAMBDA("VST_{jk}=VS_{jk}\times MMS_{jmT=1}\times (1-VSL_{mT=1})")</definedName>
    <definedName name="MMS_Poultry_Methane_Equations.VEERG_4_6_1_1__4_VolatileSolidsTransferred_NIRReference">_xlfn.LAMBDA("")</definedName>
    <definedName name="MMS_Poultry_Methane_Equations.VEERG_4_6_1_1__4_VolatileSolidsTransferred_Source">_xlfn.LAMBDA("VEERG 2026: 4.4.1.1, Equation (4)")</definedName>
    <definedName name="MMS_Poultry_Methane_Equations.VEERG_4_6_1_1__4_VolatileSolidsTransferred_Title">_xlfn.LAMBDA("Volatile solids transferred to treatment stage 2 MMS")</definedName>
    <definedName name="MMS_Poultry_Methane_Equations.VEERG_4_6_1_1__4_VolatileSolidsTransferred_Unit">_xlfn.LAMBDA("kg VS/bird/day")</definedName>
    <definedName name="MMS_Poultry_Methane_Equations.VEERG_4_6_1_1__4_VolatileSolidsTransferred_Variable">_xlfn.LAMBDA("VST_jk")</definedName>
    <definedName name="MMS_Poultry_Methane_Equations.VEERG_4_6_1_1__5_VolatileSolidProduction">_xlfn.LAMBDA(_xlpm.I_jk,_xlpm.DMD_jk,_xlpm.A_j, _xlpm.I_jk * (1 - _xlpm.DMD_jk) * (1 - _xlpm.A_j))</definedName>
    <definedName name="MMS_Poultry_Methane_Equations.VEERG_4_6_1_1__5_VolatileSolidProduction_Arguments">_xlfn.LAMBDA(_xlfn.MAKEARRAY(3, 2, _xlfn.LAMBDA(_xlpm.r,_xlpm.c, INDEX({"I_jk","dry matter intake for each class and subclass : kg DM/bird/day";"DMD_jk","dry matter digestibility for each class and subclass : fraction";"A_j","ash content of manure for each class and subclass : fraction"}, _xlpm.r, _xlpm.c))))</definedName>
    <definedName name="MMS_Poultry_Methane_Equations.VEERG_4_6_1_1__5_VolatileSolidProduction_LatexEquation">_xlfn.LAMBDA("VS_{jk}=I_{jk}\times (1-DMD_{jk})\times (1-A_{j})")</definedName>
    <definedName name="MMS_Poultry_Methane_Equations.VEERG_4_6_1_1__5_VolatileSolidProduction_NIRReference">_xlfn.LAMBDA("")</definedName>
    <definedName name="MMS_Poultry_Methane_Equations.VEERG_4_6_1_1__5_VolatileSolidProduction_Source">_xlfn.LAMBDA("VEERG 2026: 4.4.1.1, Equation (5)")</definedName>
    <definedName name="MMS_Poultry_Methane_Equations.VEERG_4_6_1_1__5_VolatileSolidProduction_Title">_xlfn.LAMBDA("Volatile solid production poultry classes")</definedName>
    <definedName name="MMS_Poultry_Methane_Equations.VEERG_4_6_1_1__5_VolatileSolidProduction_Unit">_xlfn.LAMBDA("kg VS/bird/day")</definedName>
    <definedName name="MMS_Poultry_Methane_Equations.VEERG_4_6_1_1__5_VolatileSolidProduction_Variable">_xlfn.LAMBDA("VS_jk")</definedName>
    <definedName name="MMS_Poultry_N2ODirect_Equations.VEERG_4_6_1_3__1_TotalAnnualDirectNitrousOxideEmissionsFromMMS">_xlfn.LAMBDA(_xlpm.MN_jkmT,_xlpm.EF_jm,_xlpm.C_N2O, _xlpm.MN_jkmT * _xlpm.EF_jm * _xlpm.C_N2O * 10 ^ -3)</definedName>
    <definedName name="MMS_Poultry_N2ODirect_Equations.VEERG_4_6_1_3__1_TotalAnnualDirectNitrousOxideEmissionsFromMMS_Arguments">_xlfn.LAMBDA(_xlfn.MAKEARRAY(3, 2, _xlfn.LAMBDA(_xlpm.r,_xlpm.c, INDEX({"MN_jkmT","nitrogen per poultry class, subclass, MMS and treatment stage : kg N";"EF_jm","nitrous oxide emission factor for MMS : kg N2O-N/kg N";"C_N2O","factor to convert elemental mass of nitrous oxide to molecular mass : ratio"}, _xlpm.r, _xlpm.c))))</definedName>
    <definedName name="MMS_Poultry_N2ODirect_Equations.VEERG_4_6_1_3__1_TotalAnnualDirectNitrousOxideEmissionsFromMMS_LatexEquation">_xlfn.LAMBDA("E_{N2O,dir}=\sum_{j}\sum_{k}\sum_{m}\sum_{T}(MN_{jkmT}\times EF_{jm}\times C_{N2O})\times10^{-3}")</definedName>
    <definedName name="MMS_Poultry_N2ODirect_Equations.VEERG_4_6_1_3__1_TotalAnnualDirectNitrousOxideEmissionsFromMMS_NIRReference">_xlfn.LAMBDA("")</definedName>
    <definedName name="MMS_Poultry_N2ODirect_Equations.VEERG_4_6_1_3__1_TotalAnnualDirectNitrousOxideEmissionsFromMMS_Source">_xlfn.LAMBDA("VEERG 2026: 4.6.1.3, Equation (1)")</definedName>
    <definedName name="MMS_Poultry_N2ODirect_Equations.VEERG_4_6_1_3__1_TotalAnnualDirectNitrousOxideEmissionsFromMMS_Title">_xlfn.LAMBDA("Total annual direct nitrous oxide emissions from manure management systems")</definedName>
    <definedName name="MMS_Poultry_N2ODirect_Equations.VEERG_4_6_1_3__1_TotalAnnualDirectNitrousOxideEmissionsFromMMS_Unit">_xlfn.LAMBDA("t N2O")</definedName>
    <definedName name="MMS_Poultry_N2ODirect_Equations.VEERG_4_6_1_3__1_TotalAnnualDirectNitrousOxideEmissionsFromMMS_Variable">_xlfn.LAMBDA("E_N2Odir")</definedName>
    <definedName name="MMS_Poultry_N2ODirect_Equations.VEERG_4_6_1_3__2_Stage1NitrogenInMMS">_xlfn.LAMBDA(_xlpm.AE_jk,_xlpm.MMS_jmT1, _xlpm.AE_jk * _xlpm.MMS_jmT1)</definedName>
    <definedName name="MMS_Poultry_N2ODirect_Equations.VEERG_4_6_1_3__2_Stage1NitrogenInMMS_Arguments">_xlfn.LAMBDA(_xlfn.MAKEARRAY(2, 2, _xlfn.LAMBDA(_xlpm.r,_xlpm.c, INDEX({"AE_jk","total nitrogen excreted by each poultry class and subclass : kg N";"MMS_jmT1","fraction of manure in each primary system : fraction"}, _xlpm.r, _xlpm.c))))</definedName>
    <definedName name="MMS_Poultry_N2ODirect_Equations.VEERG_4_6_1_3__2_Stage1NitrogenInMMS_LatexEquation">_xlfn.LAMBDA("MN_{jkm,T=1}=AE_{jk}\times MMS_{jm,T=1}")</definedName>
    <definedName name="MMS_Poultry_N2ODirect_Equations.VEERG_4_6_1_3__2_Stage1NitrogenInMMS_NIRReference">_xlfn.LAMBDA("")</definedName>
    <definedName name="MMS_Poultry_N2ODirect_Equations.VEERG_4_6_1_3__2_Stage1NitrogenInMMS_Source">_xlfn.LAMBDA("VEERG 2026: 4.6.1.3, Equation (2)")</definedName>
    <definedName name="MMS_Poultry_N2ODirect_Equations.VEERG_4_6_1_3__2_Stage1NitrogenInMMS_Title">_xlfn.LAMBDA("Nitrogen in treatment stage 1 MMS")</definedName>
    <definedName name="MMS_Poultry_N2ODirect_Equations.VEERG_4_6_1_3__2_Stage1NitrogenInMMS_Unit">_xlfn.LAMBDA("kg N")</definedName>
    <definedName name="MMS_Poultry_N2ODirect_Equations.VEERG_4_6_1_3__2_Stage1NitrogenInMMS_Variable">_xlfn.LAMBDA("MN_jkmT1")</definedName>
    <definedName name="MMS_Poultry_N2ODirect_Equations.VEERG_4_6_1_3__3_AnnualNitrogenExcretion">_xlfn.LAMBDA(_xlpm.N_jk,_xlpm.NE_jk,_xlpm.D_jk, _xlpm.N_jk * _xlpm.NE_jk * _xlpm.D_jk)</definedName>
    <definedName name="MMS_Poultry_N2ODirect_Equations.VEERG_4_6_1_3__3_AnnualNitrogenExcretion_Arguments">_xlfn.LAMBDA(_xlfn.MAKEARRAY(3, 2, _xlfn.LAMBDA(_xlpm.r,_xlpm.c, INDEX({"N_jk","number of poultry in each class and subclass : bird";"NE_jk","nitrogen excretion : kg N/bird/day";"D_jk","duration of stay of each class and subclass : days"}, _xlpm.r, _xlpm.c))))</definedName>
    <definedName name="MMS_Poultry_N2ODirect_Equations.VEERG_4_6_1_3__3_AnnualNitrogenExcretion_LatexEquation">_xlfn.LAMBDA("AE_{jk}=N_{jk}\times NE_{jk}\times D_{jk}")</definedName>
    <definedName name="MMS_Poultry_N2ODirect_Equations.VEERG_4_6_1_3__3_AnnualNitrogenExcretion_NIRReference">_xlfn.LAMBDA("")</definedName>
    <definedName name="MMS_Poultry_N2ODirect_Equations.VEERG_4_6_1_3__3_AnnualNitrogenExcretion_Source">_xlfn.LAMBDA("VEERG 2026: 4.6.1.3, Equation (3)")</definedName>
    <definedName name="MMS_Poultry_N2ODirect_Equations.VEERG_4_6_1_3__3_AnnualNitrogenExcretion_Title">_xlfn.LAMBDA("Annual nitrogen excretion for each poultry class and subclass")</definedName>
    <definedName name="MMS_Poultry_N2ODirect_Equations.VEERG_4_6_1_3__3_AnnualNitrogenExcretion_Unit">_xlfn.LAMBDA("kg N")</definedName>
    <definedName name="MMS_Poultry_N2ODirect_Equations.VEERG_4_6_1_3__3_AnnualNitrogenExcretion_Variable">_xlfn.LAMBDA("AE_jk")</definedName>
    <definedName name="MMS_Poultry_N2ODirect_Equations.VEERG_4_6_1_3__4_NitrogenExcretionPerBird">_xlfn.LAMBDA(_xlpm.NI_jk,_xlpm.NR_jk, _xlpm.NI_jk * (1 - _xlpm.NR_jk))</definedName>
    <definedName name="MMS_Poultry_N2ODirect_Equations.VEERG_4_6_1_3__4_NitrogenExcretionPerBird_Arguments">_xlfn.LAMBDA(_xlfn.MAKEARRAY(2, 2, _xlfn.LAMBDA(_xlpm.r,_xlpm.c, INDEX({"NI_jk","nitrogen intake : kg N/bird/day";"NR_jk","nitrogen retention expressed as a fraction of intake : fraction"}, _xlpm.r, _xlpm.c))))</definedName>
    <definedName name="MMS_Poultry_N2ODirect_Equations.VEERG_4_6_1_3__4_NitrogenExcretionPerBird_LatexEquation">_xlfn.LAMBDA("NE_{jk}=NI_{jk}\times(1-NR_{jk})")</definedName>
    <definedName name="MMS_Poultry_N2ODirect_Equations.VEERG_4_6_1_3__4_NitrogenExcretionPerBird_NIRReference">_xlfn.LAMBDA("")</definedName>
    <definedName name="MMS_Poultry_N2ODirect_Equations.VEERG_4_6_1_3__4_NitrogenExcretionPerBird_Source">_xlfn.LAMBDA("VEERG 2026: 4.6.1.3, Equation (4)")</definedName>
    <definedName name="MMS_Poultry_N2ODirect_Equations.VEERG_4_6_1_3__4_NitrogenExcretionPerBird_Title">_xlfn.LAMBDA("Nitrogen excretion per bird per day")</definedName>
    <definedName name="MMS_Poultry_N2ODirect_Equations.VEERG_4_6_1_3__4_NitrogenExcretionPerBird_Unit">_xlfn.LAMBDA("kg N/bird/day")</definedName>
    <definedName name="MMS_Poultry_N2ODirect_Equations.VEERG_4_6_1_3__4_NitrogenExcretionPerBird_Variable">_xlfn.LAMBDA("NE_jk")</definedName>
    <definedName name="MMS_Poultry_N2ODirect_Equations.VEERG_4_6_1_3__5_NitrogenIntake">_xlfn.LAMBDA(_xlpm.I_jk,_xlpm.CP_jk, _xlpm.I_jk * _xlpm.CP_jk / 6.25)</definedName>
    <definedName name="MMS_Poultry_N2ODirect_Equations.VEERG_4_6_1_3__5_NitrogenIntake_Arguments">_xlfn.LAMBDA(_xlfn.MAKEARRAY(3, 2, _xlfn.LAMBDA(_xlpm.r,_xlpm.c, INDEX({"I_jk","dry matter intake for each class and subclass : kg DM/bird/day";"CP_jk","crude protein content of feed : fraction";"6.25","factor for converting crude protein into nitrogen : ratio"}, _xlpm.r, _xlpm.c))))</definedName>
    <definedName name="MMS_Poultry_N2ODirect_Equations.VEERG_4_6_1_3__5_NitrogenIntake_LatexEquation">_xlfn.LAMBDA("NI_{jk}=I_{jk}\times CP_{jk}\div 6.25")</definedName>
    <definedName name="MMS_Poultry_N2ODirect_Equations.VEERG_4_6_1_3__5_NitrogenIntake_NIRReference">_xlfn.LAMBDA("")</definedName>
    <definedName name="MMS_Poultry_N2ODirect_Equations.VEERG_4_6_1_3__5_NitrogenIntake_Source">_xlfn.LAMBDA("VEERG 2026: 4.6.1.3, Equation (5)")</definedName>
    <definedName name="MMS_Poultry_N2ODirect_Equations.VEERG_4_6_1_3__5_NitrogenIntake_Title">_xlfn.LAMBDA("Nitrogen intake of poultry")</definedName>
    <definedName name="MMS_Poultry_N2ODirect_Equations.VEERG_4_6_1_3__5_NitrogenIntake_Unit">_xlfn.LAMBDA("kg N/bird/day")</definedName>
    <definedName name="MMS_Poultry_N2ODirect_Equations.VEERG_4_6_1_3__5_NitrogenIntake_Variable">_xlfn.LAMBDA("NI_jk")</definedName>
    <definedName name="MMS_Poultry_N2ODirect_Equations.VEERG_4_6_1_3__6_Stage2NitrogenInMMS">_xlfn.LAMBDA(_xlpm.NT_jkmT2,_xlpm.MMS_mT2, _xlpm.NT_jkmT2 * _xlpm.MMS_mT2)</definedName>
    <definedName name="MMS_Poultry_N2ODirect_Equations.VEERG_4_6_1_3__6_Stage2NitrogenInMMS_Arguments">_xlfn.LAMBDA(_xlfn.MAKEARRAY(2, 2, _xlfn.LAMBDA(_xlpm.r,_xlpm.c, INDEX({"NT_jkmT2","nitrogen transferred to secondary treatment MMS : kg N";"MMS_mT2","fraction of manure in each secondary system : fraction"}, _xlpm.r, _xlpm.c))))</definedName>
    <definedName name="MMS_Poultry_N2ODirect_Equations.VEERG_4_6_1_3__6_Stage2NitrogenInMMS_LatexEquation">_xlfn.LAMBDA("MN_{jkm,T=2}=NT_{jkm,T=2}\times MMS_{m,T=2}")</definedName>
    <definedName name="MMS_Poultry_N2ODirect_Equations.VEERG_4_6_1_3__6_Stage2NitrogenInMMS_NIRReference">_xlfn.LAMBDA("")</definedName>
    <definedName name="MMS_Poultry_N2ODirect_Equations.VEERG_4_6_1_3__6_Stage2NitrogenInMMS_Source">_xlfn.LAMBDA("VEERG 2026: 4.6.1.3, Equation (6)")</definedName>
    <definedName name="MMS_Poultry_N2ODirect_Equations.VEERG_4_6_1_3__6_Stage2NitrogenInMMS_Title">_xlfn.LAMBDA("Nitrogen in treatment stage 2 MMS")</definedName>
    <definedName name="MMS_Poultry_N2ODirect_Equations.VEERG_4_6_1_3__6_Stage2NitrogenInMMS_Unit">_xlfn.LAMBDA("kg N")</definedName>
    <definedName name="MMS_Poultry_N2ODirect_Equations.VEERG_4_6_1_3__6_Stage2NitrogenInMMS_Variable">_xlfn.LAMBDA("MN_jkmT2")</definedName>
    <definedName name="MMS_Poultry_N2ODirect_Equations.VEERG_4_6_1_3__7_NitrogenTransferredToStage2MMS">_xlfn.LAMBDA(_xlpm.MN_jkmT1,_xlpm.FracGASM_mT1,_xlpm.EF_mT1, _xlpm.MN_jkmT1 * (1 - _xlpm.FracGASM_mT1 - _xlpm.EF_mT1))</definedName>
    <definedName name="MMS_Poultry_N2ODirect_Equations.VEERG_4_6_1_3__7_NitrogenTransferredToStage2MMS_Arguments">_xlfn.LAMBDA(_xlfn.MAKEARRAY(3, 2, _xlfn.LAMBDA(_xlpm.r,_xlpm.c, INDEX({"MN_jkmT1","nitrogen in MMS treatment stage 1 : kg N";"FracGASM_mT1","fraction of N volatilised from MMS treatment at stage 1 : fraction";"EF_mT1","nitrous oxide emission factor for MMS treatment at stage 1 : kg N2O-N/kg N"}, _xlpm.r, _xlpm.c))))</definedName>
    <definedName name="MMS_Poultry_N2ODirect_Equations.VEERG_4_6_1_3__7_NitrogenTransferredToStage2MMS_LatexEquation">_xlfn.LAMBDA("NT_{jkm,T=2}=MN_{jkm,T=1}\times(1-FracGASM_{m,T=1}-EF_{m,T=1})")</definedName>
    <definedName name="MMS_Poultry_N2ODirect_Equations.VEERG_4_6_1_3__7_NitrogenTransferredToStage2MMS_NIRReference">_xlfn.LAMBDA("")</definedName>
    <definedName name="MMS_Poultry_N2ODirect_Equations.VEERG_4_6_1_3__7_NitrogenTransferredToStage2MMS_Source">_xlfn.LAMBDA("VEERG 2026: 4.6.1.3, Equation (7)")</definedName>
    <definedName name="MMS_Poultry_N2ODirect_Equations.VEERG_4_6_1_3__7_NitrogenTransferredToStage2MMS_Title">_xlfn.LAMBDA("Nitrogen transferred to treatment stage 2 MMS")</definedName>
    <definedName name="MMS_Poultry_N2ODirect_Equations.VEERG_4_6_1_3__7_NitrogenTransferredToStage2MMS_Unit">_xlfn.LAMBDA("kg N")</definedName>
    <definedName name="MMS_Poultry_N2ODirect_Equations.VEERG_4_6_1_3__7_NitrogenTransferredToStage2MMS_Variable">_xlfn.LAMBDA("NT_jkmT2")</definedName>
    <definedName name="MMS_Poultry_Soil_AtmosphericDeposition_Equations.VEERG_4_6_1_12__1_AtmosphericDepositionEmissionsFromPoultryManureOnPasture">_xlfn.LAMBDA(_xlpm.M_vol_m14,_xlpm.EF_N2O,_xlpm.C_N2O, _xlpm.M_vol_m14 * _xlpm.EF_N2O * _xlpm.C_N2O * 10 ^ -3)</definedName>
    <definedName name="MMS_Poultry_Soil_AtmosphericDeposition_Equations.VEERG_4_6_1_12__1_AtmosphericDepositionEmissionsFromPoultryManureOnPasture_Arguments">_xlfn.LAMBDA(_xlfn.MAKEARRAY(6, 2, _xlfn.LAMBDA(_xlpm.r,_xlpm.c, INDEX({"M_vol_m14","mass of nitrogen volatilised from manure deposited on pasture (kg N)";"EF_N2O","emission factor for atmospheric deposition (kg N2O-N/kg N)";"C_N2O","factor to convert elemental mass of N2O to molecular mass";"j","production system";"ir","irrigation method";"r","rainfall region"}, _xlpm.r, _xlpm.c))))</definedName>
    <definedName name="MMS_Poultry_Soil_AtmosphericDeposition_Equations.VEERG_4_6_1_12__1_AtmosphericDepositionEmissionsFromPoultryManureOnPasture_LatexEquation">_xlfn.LAMBDA("E_{N2O,ad}=M_{vol,m=14}\times EF_{N2O}\times C_{N2O}\times 10^{-3}")</definedName>
    <definedName name="MMS_Poultry_Soil_AtmosphericDeposition_Equations.VEERG_4_6_1_12__1_AtmosphericDepositionEmissionsFromPoultryManureOnPasture_NIRReference">_xlfn.LAMBDA("")</definedName>
    <definedName name="MMS_Poultry_Soil_AtmosphericDeposition_Equations.VEERG_4_6_1_12__1_AtmosphericDepositionEmissionsFromPoultryManureOnPasture_Source">_xlfn.LAMBDA("VEERG 2026: 4.6.1.12, Equation (1)")</definedName>
    <definedName name="MMS_Poultry_Soil_AtmosphericDeposition_Equations.VEERG_4_6_1_12__1_AtmosphericDepositionEmissionsFromPoultryManureOnPasture_Title">_xlfn.LAMBDA("Atmospheric deposition emissions from poultry manure deposited on pasture")</definedName>
    <definedName name="MMS_Poultry_Soil_AtmosphericDeposition_Equations.VEERG_4_6_1_12__1_AtmosphericDepositionEmissionsFromPoultryManureOnPasture_Unit">_xlfn.LAMBDA("t N2O")</definedName>
    <definedName name="MMS_Poultry_Soil_AtmosphericDeposition_Equations.VEERG_4_6_1_12__1_AtmosphericDepositionEmissionsFromPoultryManureOnPasture_Variable">_xlfn.LAMBDA("E_N2Oad")</definedName>
    <definedName name="MMS_Poultry_Soil_AtmosphericDeposition_Equations.VEERG_4_6_1_12__2_MassOfNitrogenVolatilisedFromPoultryManureOnPasture">_xlfn.LAMBDA(_xlpm.MN_jkm14T1,_xlpm.FracGASMsoil, _xlpm.MN_jkm14T1 * _xlpm.FracGASMsoil)</definedName>
    <definedName name="MMS_Poultry_Soil_AtmosphericDeposition_Equations.VEERG_4_6_1_12__2_MassOfNitrogenVolatilisedFromPoultryManureOnPasture_Arguments">_xlfn.LAMBDA(_xlfn.MAKEARRAY(2, 2, _xlfn.LAMBDA(_xlpm.r,_xlpm.c, INDEX({"MN_jkm14T1","mass of nitrogen excreted directly on pasture by poultry class and subclass (kg N)";"FracGASMsoil","fraction of nitrogen volatilised from manure deposited on pasture ((kg NH3-N + NOx-N)/kg N)"}, _xlpm.r, _xlpm.c))))</definedName>
    <definedName name="MMS_Poultry_Soil_AtmosphericDeposition_Equations.VEERG_4_6_1_12__2_MassOfNitrogenVolatilisedFromPoultryManureOnPasture_LatexEquation">_xlfn.LAMBDA("M_{vol,m=14}=\sum_{j}\sum_{k}(MN_{jkm=14,T=1}\times FracGASMsoil)")</definedName>
    <definedName name="MMS_Poultry_Soil_AtmosphericDeposition_Equations.VEERG_4_6_1_12__2_MassOfNitrogenVolatilisedFromPoultryManureOnPasture_NIRReference">_xlfn.LAMBDA("")</definedName>
    <definedName name="MMS_Poultry_Soil_AtmosphericDeposition_Equations.VEERG_4_6_1_12__2_MassOfNitrogenVolatilisedFromPoultryManureOnPasture_Source">_xlfn.LAMBDA("VEERG 2026: 4.6.1.12, Equation (2)")</definedName>
    <definedName name="MMS_Poultry_Soil_AtmosphericDeposition_Equations.VEERG_4_6_1_12__2_MassOfNitrogenVolatilisedFromPoultryManureOnPasture_Title">_xlfn.LAMBDA("Mass of nitrogen volatilised from poultry manure deposited on pasture")</definedName>
    <definedName name="MMS_Poultry_Soil_AtmosphericDeposition_Equations.VEERG_4_6_1_12__2_MassOfNitrogenVolatilisedFromPoultryManureOnPasture_Unit">_xlfn.LAMBDA("kg N")</definedName>
    <definedName name="MMS_Poultry_Soil_AtmosphericDeposition_Equations.VEERG_4_6_1_12__2_MassOfNitrogenVolatilisedFromPoultryManureOnPasture_Variable">_xlfn.LAMBDA("M_vol_m14")</definedName>
    <definedName name="MMS_Poultry_Soil_LeachingAndRunoff_Equations.VEERG_4_6_1_14__1_LeachingAndRunoffEmissionsFromPoultryManureOnPasture">_xlfn.LAMBDA(_xlpm.M_leach_m14,_xlpm.EF_leach,_xlpm.C_N2O, _xlpm.M_leach_m14 * _xlpm.EF_leach * _xlpm.C_N2O * 10 ^ -3)</definedName>
    <definedName name="MMS_Poultry_Soil_LeachingAndRunoff_Equations.VEERG_4_6_1_14__1_LeachingAndRunoffEmissionsFromPoultryManureOnPasture_Arguments">_xlfn.LAMBDA(_xlfn.MAKEARRAY(3, 2, _xlfn.LAMBDA(_xlpm.r,_xlpm.c, INDEX({"M_leach_m14","mass of nitrogen lost to leaching and runoff from poultry manure deposited on pasture (kg N)";"EF_leach","emission factor for leaching and runoff (kg N2O-N/kg N)";"C_N2O","factor to convert elemental mass of N2O to molecular mass"}, _xlpm.r, _xlpm.c))))</definedName>
    <definedName name="MMS_Poultry_Soil_LeachingAndRunoff_Equations.VEERG_4_6_1_14__1_LeachingAndRunoffEmissionsFromPoultryManureOnPasture_LatexEquation">_xlfn.LAMBDA("E_{N2O,leach}=M_{leach,m=14}\times EF_{leach}\times C_{N2O}\times 10^{-3}")</definedName>
    <definedName name="MMS_Poultry_Soil_LeachingAndRunoff_Equations.VEERG_4_6_1_14__1_LeachingAndRunoffEmissionsFromPoultryManureOnPasture_NIRReference">_xlfn.LAMBDA("")</definedName>
    <definedName name="MMS_Poultry_Soil_LeachingAndRunoff_Equations.VEERG_4_6_1_14__1_LeachingAndRunoffEmissionsFromPoultryManureOnPasture_Source">_xlfn.LAMBDA("VEERG 2026: 4.6.1.14, Equation (1)")</definedName>
    <definedName name="MMS_Poultry_Soil_LeachingAndRunoff_Equations.VEERG_4_6_1_14__1_LeachingAndRunoffEmissionsFromPoultryManureOnPasture_Title">_xlfn.LAMBDA("Leaching and runoff emissions from poultry manure deposited on pasture")</definedName>
    <definedName name="MMS_Poultry_Soil_LeachingAndRunoff_Equations.VEERG_4_6_1_14__1_LeachingAndRunoffEmissionsFromPoultryManureOnPasture_Unit">_xlfn.LAMBDA("t N2O")</definedName>
    <definedName name="MMS_Poultry_Soil_LeachingAndRunoff_Equations.VEERG_4_6_1_14__1_LeachingAndRunoffEmissionsFromPoultryManureOnPasture_Variable">_xlfn.LAMBDA("E_N2Oleach")</definedName>
    <definedName name="MMS_Poultry_Soil_LeachingAndRunoff_Equations.VEERG_4_6_1_14__2_MassOfNitrogenLostToLeachingAndRunoffFromPoultryManureOnPasture">_xlfn.LAMBDA(_xlpm.MN_jkm14T1,_xlpm.FracWet,_xlpm.FracLEACH_MS, _xlpm.MN_jkm14T1 * _xlpm.FracWet * _xlpm.FracLEACH_MS)</definedName>
    <definedName name="MMS_Poultry_Soil_LeachingAndRunoff_Equations.VEERG_4_6_1_14__2_MassOfNitrogenLostToLeachingAndRunoffFromPoultryManureOnPasture_Arguments">_xlfn.LAMBDA(_xlfn.MAKEARRAY(6, 2, _xlfn.LAMBDA(_xlpm.r,_xlpm.c, INDEX({"MN_jkm14T1","mass of nitrogen excreted directly on pasture by poultry class and subclass (kg N)";"FracWet","fraction of N available for leaching and runoff";"FracLEACH_MS","fraction of N that is lost through leaching and runoff";"z","location in leaching zone";"j","production system";"ir","irrigation method"}, _xlpm.r, _xlpm.c))))</definedName>
    <definedName name="MMS_Poultry_Soil_LeachingAndRunoff_Equations.VEERG_4_6_1_14__2_MassOfNitrogenLostToLeachingAndRunoffFromPoultryManureOnPasture_LatexEquation">_xlfn.LAMBDA("M_{leach,m=14}=\sum_{j}\sum_{k}(MN_{jkm=14,T=1}\times FracWet\times FracLEACH_MS)")</definedName>
    <definedName name="MMS_Poultry_Soil_LeachingAndRunoff_Equations.VEERG_4_6_1_14__2_MassOfNitrogenLostToLeachingAndRunoffFromPoultryManureOnPasture_NIRReference">_xlfn.LAMBDA("")</definedName>
    <definedName name="MMS_Poultry_Soil_LeachingAndRunoff_Equations.VEERG_4_6_1_14__2_MassOfNitrogenLostToLeachingAndRunoffFromPoultryManureOnPasture_Source">_xlfn.LAMBDA("VEERG 2026: 4.6.1.14, Equation (2)")</definedName>
    <definedName name="MMS_Poultry_Soil_LeachingAndRunoff_Equations.VEERG_4_6_1_14__2_MassOfNitrogenLostToLeachingAndRunoffFromPoultryManureOnPasture_Title">_xlfn.LAMBDA("Mass of nitrogen lost to leaching and runoff from poultry manure deposited on pasture")</definedName>
    <definedName name="MMS_Poultry_Soil_LeachingAndRunoff_Equations.VEERG_4_6_1_14__2_MassOfNitrogenLostToLeachingAndRunoffFromPoultryManureOnPasture_Unit">_xlfn.LAMBDA("kg N")</definedName>
    <definedName name="MMS_Poultry_Soil_LeachingAndRunoff_Equations.VEERG_4_6_1_14__2_MassOfNitrogenLostToLeachingAndRunoffFromPoultryManureOnPasture_Variable">_xlfn.LAMBDA("M_leach_m14")</definedName>
    <definedName name="MMS_Poultry_Soil_N2ODirect_Equations.VEERG_4_6_1_10__1_DirectNitrousOxideEmissionsFromPoultryManure">_xlfn.LAMBDA(_xlpm.MN_jkm14T1,_xlpm.EF_PRP,_xlpm.C_N2O, _xlpm.MN_jkm14T1 * _xlpm.EF_PRP * _xlpm.C_N2O * 10 ^ -3)</definedName>
    <definedName name="MMS_Poultry_Soil_N2ODirect_Equations.VEERG_4_6_1_10__1_DirectNitrousOxideEmissionsFromPoultryManure_Arguments">_xlfn.LAMBDA(_xlfn.MAKEARRAY(3, 2, _xlfn.LAMBDA(_xlpm.r,_xlpm.c, INDEX({"MN_jkm14T1","mass of nitrogen excreted directly on pasture by poultry class and subclass (kg N)";"EF_PRP","nitrous oxide emission factor for manure deposited on pasture (kg N2O-N/kg N deposited)";"C_N2O","factor to convert elemental mass of N2O to molecular mass"}, _xlpm.r, _xlpm.c))))</definedName>
    <definedName name="MMS_Poultry_Soil_N2ODirect_Equations.VEERG_4_6_1_10__1_DirectNitrousOxideEmissionsFromPoultryManure_LatexEquation">_xlfn.LAMBDA("EM_{N2O,PRP,dir}=\sum_{j}\sum_{k}(MN_{jkm=14,T=1}\times EF_{PRP}\times C_{N2O})\times 10^{-3}")</definedName>
    <definedName name="MMS_Poultry_Soil_N2ODirect_Equations.VEERG_4_6_1_10__1_DirectNitrousOxideEmissionsFromPoultryManure_NIRReference">_xlfn.LAMBDA("")</definedName>
    <definedName name="MMS_Poultry_Soil_N2ODirect_Equations.VEERG_4_6_1_10__1_DirectNitrousOxideEmissionsFromPoultryManure_Source">_xlfn.LAMBDA("VEERG 2026: 4.6.1.10, Equation (1)")</definedName>
    <definedName name="MMS_Poultry_Soil_N2ODirect_Equations.VEERG_4_6_1_10__1_DirectNitrousOxideEmissionsFromPoultryManure_Title">_xlfn.LAMBDA("Direct nitrous oxide emissions from poultry manure on pasture")</definedName>
    <definedName name="MMS_Poultry_Soil_N2ODirect_Equations.VEERG_4_6_1_10__1_DirectNitrousOxideEmissionsFromPoultryManure_Unit">_xlfn.LAMBDA("t N2O")</definedName>
    <definedName name="MMS_Poultry_Soil_N2ODirect_Equations.VEERG_4_6_1_10__1_DirectNitrousOxideEmissionsFromPoultryManure_Variable">_xlfn.LAMBDA("EM_N2OPRPdir")</definedName>
    <definedName name="Range_LivestockStartingValues">#REF!</definedName>
    <definedName name="SourceData_Poultry.SourceData_Poultry_DietProperties_Data">_xlfn.LAMBDA(_xlfn.MAKEARRAY(6, 5, _xlfn.LAMBDA(_xlpm.r,_xlpm.c, INDEX({"Nutrient analysis","Layers","Meat chicken growers","Meat chicken breeder","Meat other";"Dry matter intake (kg/head/day)",0.086,0.093,0.103,0.093;"Dry matter digestibility",0.8,0.8,0.8,0.8;"Crude protein",0.19,0.23,0.19,0.23;"Nitrogen retention rate",0.35,0.47,0.32,0.47;"Manure ash",0.18,0.15,0.18,0.15}, _xlpm.r, _xlpm.c))))</definedName>
    <definedName name="SourceData_Poultry.SourceData_Poultry_DietProperties_Source">_xlfn.LAMBDA("VEERG 2026: Table A.1.7.1: Poultry - Diet properties")</definedName>
    <definedName name="SourceData_Poultry.SourceData_Poultry_DietProperties_Title">_xlfn.LAMBDA("Poultry - Diet properties")</definedName>
    <definedName name="SourceData_Poultry.SourceData_Poultry_DietProperties_Unit">_xlfn.LAMBDA("")</definedName>
    <definedName name="SourceData_Poultry.SourceData_Poultry_DietProperties_Variation">_xlfn.LAMBDA("")</definedName>
    <definedName name="SourceData_Poultry.SourceData_Poultry_EFmT_Data">_xlfn.LAMBDA(_xlfn.MAKEARRAY(9, 3, _xlfn.LAMBDA(_xlpm.r,_xlpm.c, INDEX({"MMS m","EFmT","NIR reference";"Poultry manure with litter (housing)",0.001,"Poultry manure with bedding";"Poultry manure without litter (housing)",0.001,"Belt manure removal";"Poultry manure without litter (housing)",0.001,"Manure stored in house";"Pasture range and paddock (free range)",0.02,"Pasture range and paddock";"Solid storage (stockpile)",0.005,"Solid storage";"Composting (passive windrow)",0.01,"Composting (passive windrow)";"Direct processing",0,"Direct processing";"Anaerobic digester / covered pond",0,"Digester / covered lagoons"}, _xlpm.r, _xlpm.c))))</definedName>
    <definedName name="SourceData_Poultry.SourceData_Poultry_EFmT_Source">_xlfn.LAMBDA("VEERG 2026: Table A.1.7.3")</definedName>
    <definedName name="SourceData_Poultry.SourceData_Poultry_EFmT_Title">_xlfn.LAMBDA("Poultry - Nitrous oxide EFs by MMS (kgN2O-N/kgN) (EFmT)")</definedName>
    <definedName name="SourceData_Poultry.SourceData_Poultry_EFmT_Unit">_xlfn.LAMBDA("kgN2O - N / kgN")</definedName>
    <definedName name="SourceData_Poultry.SourceData_Poultry_EFmT_Variation">_xlfn.LAMBDA("VARIATION ON SOURCE: Added 'NIR definition column'. Duplicated 'Poultry manure without litter' row for NIR MMS 'Belt manure removal' and 'Manure stored in house'.")</definedName>
    <definedName name="SourceData_Poultry.SourceData_Poultry_FracGASMmT_Data">_xlfn.LAMBDA(_xlfn.MAKEARRAY(8, 3, _xlfn.LAMBDA(_xlpm.r,_xlpm.c, INDEX({"MMS m","FracGASMmT","NIR reference";"Poultry manure with litter (housing)",0.3,"Poultry manure with bedding";"Poultry manure without litter (housing) Belt manure removal",0.05,"Belt manure removal";"Poultry manure without litter (housing) Manure stored in house under cages or slat",0.4,"Manure stored in house";"Solid storage (stockpile)",0.2,"Solid storage";"Composting (passive windrow)",0.2,"Composting (passive windrow)";"Direct processing",0,"Direct processing";"Anaerobic digester / covered pond",0,"Digester / covered lagoons"}, _xlpm.r, _xlpm.c))))</definedName>
    <definedName name="SourceData_Poultry.SourceData_Poultry_FracGASMmT_Source">_xlfn.LAMBDA("VEERG 2026: Table A.1.7.2")</definedName>
    <definedName name="SourceData_Poultry.SourceData_Poultry_FracGASMmT_Title">_xlfn.LAMBDA("Poultry - Fraction of N volatilised by MMS ((kg NH3-N + NOx-N)/kgN) (FracGASMmT)")</definedName>
    <definedName name="SourceData_Poultry.SourceData_Poultry_FracGASMmT_Unit">_xlfn.LAMBDA("(kg NH3-N + NOx-N)/kgN")</definedName>
    <definedName name="SourceData_Poultry.SourceData_Poultry_FracGASMmT_Variation">_xlfn.LAMBDA("VARIATION ON SOURCE: Added 'NIR definition column'.")</definedName>
    <definedName name="SourceData_Poultry.SourceData_Poultry_FractionOfNitrogenLostThroughLeachingAndRunoff_Data">_xlfn.LAMBDA(0.02)</definedName>
    <definedName name="SourceData_Poultry.SourceData_Poultry_FractionOfNitrogenLostThroughLeachingAndRunoff_Source">_xlfn.LAMBDA("VEERG 2026: 4.6.2.3 CONSTANTS")</definedName>
    <definedName name="SourceData_Poultry.SourceData_Poultry_FractionOfNitrogenLostThroughLeachingAndRunoff_Title">_xlfn.LAMBDA("Fraction of N that is lost through leaching and runoff")</definedName>
    <definedName name="SourceData_Poultry.SourceData_Poultry_FractionOfNitrogenLostThroughLeachingAndRunoff_Unit">_xlfn.LAMBDA("Dimensionless")</definedName>
    <definedName name="SourceData_Poultry.SourceData_Poultry_FractionOfNitrogenLostThroughLeachingAndRunoff_Variable">_xlfn.LAMBDA("Frac_LEACH_MS")</definedName>
    <definedName name="SourceData_Poultry.SourceData_Poultry_FractionOfNitrogenLostThroughLeachingAndRunoff_Variation">_xlfn.LAMBDA("")</definedName>
    <definedName name="SourceData_Poultry.SourceData_Poultry_MCF_Data">_xlfn.LAMBDA(_xlfn.MAKEARRAY(10, 11, _xlfn.LAMBDA(_xlpm.r,_xlpm.c, INDEX({"MMS m","All states","NSW","ACT","QLD","NT","VIC","SA","WA","TAS","NIR definition";"Poultry manure with litter",0.015,0.015,0.015,0.015,0.015,0.015,0.015,0.015,0.015,"Poultry manure with bedding";"Poultry manure without litter",0.015,0.015,0.015,0.015,0.015,0.015,0.015,0.015,0.015,"Belt manure removal";"Poultry manure without litter",0.015,0.015,0.015,0.015,0.015,0.015,0.015,0.015,0.015,"Manure stored in house";"Pasture range and paddock","n/a",0.01,0.01,0.03,0.03,0.01,0.01,0.01,0.01,"Pasture range and paddock";"Solid storage",0.02,0.02,0.02,0.02,0.02,0.02,0.02,0.02,0.02,"Solid storage";"Composting (passive windrow)","n/a",0.01,0.01,0.01,0.01,0.01,0.01,0.01,0.005,"Composting (passive windrow)";"Anaerobic digester / Covered pond",0.1,0.1,0.1,0.1,0.1,0.1,0.1,0.1,0.1,"Digester / covered lagoons";"Direct processing",0,0,0,0,0,0,0,0,0,"Direct processing";"Direct application to soil",0,0,0,0,0,0,0,0,0,"Direct application"}, _xlpm.r, _xlpm.c))))</definedName>
    <definedName name="SourceData_Poultry.SourceData_Poultry_MCF_Notes">_xlfn.LAMBDA("'Pasture range and paddock' applies MCF for drylot.")</definedName>
    <definedName name="SourceData_Poultry.SourceData_Poultry_MCF_Source">_xlfn.LAMBDA("VEERG 2026: Table A.1.7.4: Poultry - MCFs")</definedName>
    <definedName name="SourceData_Poultry.SourceData_Poultry_MCF_Title">_xlfn.LAMBDA("Poultry - MCFs")</definedName>
    <definedName name="SourceData_Poultry.SourceData_Poultry_MCF_Unit">_xlfn.LAMBDA("")</definedName>
    <definedName name="SourceData_Poultry.SourceData_Poultry_MCF_Variation">_xlfn.LAMBDA(_xlfn.MAKEARRAY(5, 1, _xlfn.LAMBDA(_xlpm.r,_xlpm.c, INDEX({"VARIATION ON SOURCE:";"Split NSW and ACT into separate states. Split QLD and NT into separate states.";"Included values for each state when 'All states' value is given.";"Added 'NIR definition' column with MMS names that match NIR definitions.";"Duplicated 'Poultry manure without litter' row for NIR MMS 'Belt manure removal' and 'Manure stored in house'"}, _xlpm.r, _xlpm.c))))</definedName>
    <definedName name="SourceData_Poultry.SourceData_Poultry_MethaneEmissionsPotential_Data">_xlfn.LAMBDA(_xlfn.MAKEARRAY(3, 2, _xlfn.LAMBDA(_xlpm.r,_xlpm.c, INDEX({"Poultry class","B0";"Layers",0.39;"Meat chickens",0.36}, _xlpm.r, _xlpm.c))))</definedName>
    <definedName name="SourceData_Poultry.SourceData_Poultry_MethaneEmissionsPotential_Source">_xlfn.LAMBDA("VEERG 2026: 4.6.2.3 CONSTANT: Poultry - Methane emissions potential per class")</definedName>
    <definedName name="SourceData_Poultry.SourceData_Poultry_MethaneEmissionsPotential_Title">_xlfn.LAMBDA("Poultry - Methane emissions potential per class")</definedName>
    <definedName name="SourceData_Poultry.SourceData_Poultry_MethaneEmissionsPotential_Unit">_xlfn.LAMBDA("m3 CH4/kg VS")</definedName>
    <definedName name="SourceData_Poultry.SourceData_Poultry_MethaneEmissionsPotential_Variation">_xlfn.LAMBDA("")</definedName>
    <definedName name="SourceData_Poultry.SourceData_Poultry_ProductionSystems_Data">_xlfn.LAMBDA(_xlfn.MAKEARRAY(4, 1, _xlfn.LAMBDA(_xlpm.r,_xlpm.c, INDEX({"Production system";"Free range";"Barn";"Cage"}, _xlpm.r, _xlpm.c))))</definedName>
    <definedName name="SourceData_Poultry.SourceData_Poultry_ProductionSystems_Source">_xlfn.LAMBDA("VEERG 2026: 4.6 Poultry")</definedName>
    <definedName name="SourceData_Poultry.SourceData_Poultry_ProductionSystems_Title">_xlfn.LAMBDA("Poultry - Production systems")</definedName>
    <definedName name="SourceData_Poultry.SourceData_Poultry_ProductionSystems_Unit">_xlfn.LAMBDA("")</definedName>
    <definedName name="SourceData_Poultry.SourceData_Poultry_ProductionSystems_Variation">_xlfn.LAMBDA("")</definedName>
    <definedName name="SourceData_Poultry.SourceData_Poultry_VSL_Data">_xlfn.LAMBDA(_xlfn.MAKEARRAY(4, 3, _xlfn.LAMBDA(_xlpm.r,_xlpm.c, INDEX({"MMS","VSL","NIR definition";"Poultry manure with litter",0.15,"Poultry manure with bedding";"Poultry manure without litter - stored in house",0.2,"Manure stored in house";"Poultry manure without litter - belt removal",0,"Belt manure removal"}, _xlpm.r, _xlpm.c))))</definedName>
    <definedName name="SourceData_Poultry.SourceData_Poultry_VSL_Source">_xlfn.LAMBDA("VEERG 2026: 4.6.2.3 CONSTANT")</definedName>
    <definedName name="SourceData_Poultry.SourceData_Poultry_VSL_Title">_xlfn.LAMBDA("Poultry - Fraction of volatile solids lost in the primary MMS")</definedName>
    <definedName name="SourceData_Poultry.SourceData_Poultry_VSL_Unit">_xlfn.LAMBDA("")</definedName>
    <definedName name="SourceData_Poultry.SourceData_Poultry_VSL_Variation">_xlfn.LAMBDA("VARIATION ON SOURCE: Table generated from line items. Added 'NIR definition column'.")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74" l="1"/>
  <c r="E63" i="74" a="1"/>
  <c r="E63" i="74" s="1"/>
  <c r="E62" i="74" a="1"/>
  <c r="E62" i="74" s="1"/>
  <c r="D61" i="74" a="1"/>
  <c r="D61" i="74" s="1"/>
  <c r="H55" i="69"/>
  <c r="H53" i="69"/>
  <c r="G52" i="74"/>
  <c r="G50" i="74"/>
  <c r="H50" i="74" a="1"/>
  <c r="H50" i="74" s="1"/>
  <c r="D50" i="74" a="1"/>
  <c r="D50" i="74" s="1"/>
  <c r="E48" i="74" a="1"/>
  <c r="E48" i="74" s="1"/>
  <c r="E47" i="74" a="1"/>
  <c r="E47" i="74" s="1"/>
  <c r="D43" i="74" a="1"/>
  <c r="D43" i="74" s="1"/>
  <c r="D42" i="74" a="1"/>
  <c r="D42" i="74" s="1"/>
  <c r="M60" i="69" a="1"/>
  <c r="M60" i="69" s="1"/>
  <c r="N66" i="69" a="1"/>
  <c r="N66" i="69" s="1"/>
  <c r="N65" i="69" a="1"/>
  <c r="N65" i="69" s="1"/>
  <c r="H13" i="74" a="1"/>
  <c r="H13" i="74" s="1"/>
  <c r="D13" i="74" a="1"/>
  <c r="D13" i="74" s="1"/>
  <c r="G14" i="74"/>
  <c r="G13" i="74"/>
  <c r="D21" i="74" a="1"/>
  <c r="F34" i="74" s="1" a="1"/>
  <c r="F34" i="74" s="1"/>
  <c r="G19" i="74"/>
  <c r="E11" i="74" a="1"/>
  <c r="E11" i="74" s="1"/>
  <c r="E10" i="74" a="1"/>
  <c r="E10" i="74" s="1"/>
  <c r="D6" i="74" a="1"/>
  <c r="D6" i="74"/>
  <c r="D5" i="74" a="1"/>
  <c r="D5" i="74" s="1"/>
  <c r="S68" i="69" a="1"/>
  <c r="S68" i="69" s="1"/>
  <c r="M68" i="69" a="1"/>
  <c r="M68" i="69" s="1"/>
  <c r="M59" i="69" a="1"/>
  <c r="M59" i="69" s="1"/>
  <c r="V55" i="69" a="1"/>
  <c r="V55" i="69" s="1"/>
  <c r="S55" i="69" a="1"/>
  <c r="S55" i="69" s="1"/>
  <c r="R55" i="69"/>
  <c r="R55" i="69" a="1"/>
  <c r="I51" i="69" a="1"/>
  <c r="I51" i="69" s="1"/>
  <c r="D51" i="69" a="1"/>
  <c r="D51" i="69" s="1"/>
  <c r="V54" i="69" a="1"/>
  <c r="V54" i="69" s="1"/>
  <c r="S54" i="69" a="1"/>
  <c r="S54" i="69" s="1"/>
  <c r="R54" i="69" a="1"/>
  <c r="R54" i="69" s="1"/>
  <c r="V53" i="69" a="1"/>
  <c r="V53" i="69" s="1"/>
  <c r="S53" i="69"/>
  <c r="S53" i="69" a="1"/>
  <c r="R53" i="69" a="1"/>
  <c r="R53" i="69" s="1"/>
  <c r="E49" i="69" a="1"/>
  <c r="E49" i="69" s="1"/>
  <c r="V52" i="69" a="1"/>
  <c r="V52" i="69" s="1"/>
  <c r="S52" i="69" a="1"/>
  <c r="S52" i="69" s="1"/>
  <c r="R52" i="69" a="1"/>
  <c r="R52" i="69" s="1"/>
  <c r="E48" i="69" a="1"/>
  <c r="E48" i="69" s="1"/>
  <c r="V50" i="69" a="1"/>
  <c r="V50" i="69" s="1"/>
  <c r="S50" i="69" a="1"/>
  <c r="S50" i="69" s="1"/>
  <c r="R50" i="69" a="1"/>
  <c r="R50" i="69" s="1"/>
  <c r="V49" i="69" a="1"/>
  <c r="V49" i="69" s="1"/>
  <c r="S49" i="69"/>
  <c r="S49" i="69" a="1"/>
  <c r="R49" i="69" a="1"/>
  <c r="R49" i="69" s="1"/>
  <c r="V48" i="69" a="1"/>
  <c r="V48" i="69" s="1"/>
  <c r="S48" i="69" a="1"/>
  <c r="S48" i="69" s="1"/>
  <c r="R48" i="69" a="1"/>
  <c r="R48" i="69" s="1"/>
  <c r="V47" i="69" a="1"/>
  <c r="V47" i="69" s="1"/>
  <c r="S47" i="69" a="1"/>
  <c r="S47" i="69" s="1"/>
  <c r="R47" i="69"/>
  <c r="R47" i="69" a="1"/>
  <c r="D43" i="69" a="1"/>
  <c r="D43" i="69" s="1"/>
  <c r="D42" i="69" a="1"/>
  <c r="D42" i="69" s="1"/>
  <c r="S35" i="69" a="1"/>
  <c r="S35" i="69" s="1"/>
  <c r="M35" i="69" a="1"/>
  <c r="M35" i="69" s="1"/>
  <c r="N33" i="69" a="1"/>
  <c r="N33" i="69" s="1"/>
  <c r="V44" i="69" s="1"/>
  <c r="N32" i="69" a="1"/>
  <c r="N32" i="69" s="1"/>
  <c r="M28" i="69" a="1"/>
  <c r="M28" i="69" s="1"/>
  <c r="M27" i="69" a="1"/>
  <c r="M27" i="69" s="1"/>
  <c r="S23" i="69" a="1"/>
  <c r="S23" i="69" s="1"/>
  <c r="M23" i="69" a="1"/>
  <c r="M23" i="69" s="1"/>
  <c r="N21" i="69" a="1"/>
  <c r="N21" i="69" s="1"/>
  <c r="S44" i="69" s="1"/>
  <c r="N20" i="69" a="1"/>
  <c r="N20" i="69" s="1"/>
  <c r="M17" i="69" a="1"/>
  <c r="M17" i="69" s="1"/>
  <c r="M16" i="69" a="1"/>
  <c r="M16" i="69" s="1"/>
  <c r="H13" i="69" a="1"/>
  <c r="H13" i="69" s="1"/>
  <c r="D13" i="69" a="1"/>
  <c r="D13" i="69" s="1"/>
  <c r="S12" i="69" a="1"/>
  <c r="S12" i="69" s="1"/>
  <c r="M12" i="69" a="1"/>
  <c r="M12" i="69" s="1"/>
  <c r="E11" i="69" a="1"/>
  <c r="E11" i="69" s="1"/>
  <c r="N10" i="69" a="1"/>
  <c r="N10" i="69" s="1"/>
  <c r="R44" i="69" s="1"/>
  <c r="E10" i="69" a="1"/>
  <c r="E10" i="69" s="1"/>
  <c r="N9" i="69" a="1"/>
  <c r="N9" i="69" s="1"/>
  <c r="M6" i="69" a="1"/>
  <c r="M6" i="69" s="1"/>
  <c r="D6" i="69" a="1"/>
  <c r="D6" i="69" s="1"/>
  <c r="M5" i="69" a="1"/>
  <c r="M5" i="69" s="1"/>
  <c r="D5" i="69" a="1"/>
  <c r="D5" i="69" s="1"/>
  <c r="I41" i="70"/>
  <c r="J41" i="70" s="1"/>
  <c r="H41" i="70"/>
  <c r="K41" i="70" s="1"/>
  <c r="F32" i="70"/>
  <c r="G32" i="70" s="1"/>
  <c r="W55" i="69"/>
  <c r="W54" i="69"/>
  <c r="W53" i="69"/>
  <c r="W52" i="69"/>
  <c r="W50" i="69"/>
  <c r="W49" i="69"/>
  <c r="W48" i="69"/>
  <c r="W47" i="69"/>
  <c r="Q55" i="69"/>
  <c r="Q54" i="69"/>
  <c r="Q53" i="69"/>
  <c r="Q52" i="69"/>
  <c r="Q50" i="69"/>
  <c r="Q49" i="69"/>
  <c r="Q48" i="69"/>
  <c r="F23" i="70"/>
  <c r="F18" i="70"/>
  <c r="S18" i="70" a="1"/>
  <c r="S18" i="70" s="1"/>
  <c r="R18" i="70" a="1"/>
  <c r="R18" i="70" s="1"/>
  <c r="Q18" i="70" a="1"/>
  <c r="Q18" i="70" s="1"/>
  <c r="P18" i="70" a="1"/>
  <c r="P18" i="70" s="1"/>
  <c r="O18" i="70" a="1"/>
  <c r="O18" i="70" s="1"/>
  <c r="N18" i="70" a="1"/>
  <c r="N18" i="70" s="1"/>
  <c r="M18" i="70" a="1"/>
  <c r="M18" i="70" s="1"/>
  <c r="L18" i="70" a="1"/>
  <c r="L18" i="70" s="1"/>
  <c r="K18" i="70" a="1"/>
  <c r="K18" i="70" s="1"/>
  <c r="J18" i="70" a="1"/>
  <c r="J18" i="70" s="1"/>
  <c r="I18" i="70" a="1"/>
  <c r="I18" i="70" s="1"/>
  <c r="H18" i="70" a="1"/>
  <c r="H18" i="70" s="1"/>
  <c r="O94" i="69" a="1"/>
  <c r="O94" i="69" s="1"/>
  <c r="P92" i="69"/>
  <c r="M91" i="69" a="1"/>
  <c r="M91" i="69" s="1"/>
  <c r="N83" i="69" a="1"/>
  <c r="N83" i="69" s="1"/>
  <c r="N78" i="69" a="1"/>
  <c r="N78" i="69" s="1"/>
  <c r="Q72" i="69"/>
  <c r="Q68" i="69"/>
  <c r="Q12" i="69"/>
  <c r="T55" i="69"/>
  <c r="T54" i="69"/>
  <c r="T53" i="69"/>
  <c r="U53" i="69" s="1"/>
  <c r="T52" i="69"/>
  <c r="U52" i="69" s="1"/>
  <c r="T50" i="69"/>
  <c r="U50" i="69" s="1"/>
  <c r="T49" i="69"/>
  <c r="U49" i="69" s="1"/>
  <c r="T48" i="69"/>
  <c r="U48" i="69" s="1"/>
  <c r="Q23" i="69"/>
  <c r="Q35" i="69"/>
  <c r="N51" i="69" a="1"/>
  <c r="N51" i="69" s="1"/>
  <c r="N46" i="69" a="1"/>
  <c r="N46" i="69" s="1"/>
  <c r="P23" i="70"/>
  <c r="O51" i="69" s="1" a="1"/>
  <c r="O51" i="69" s="1"/>
  <c r="T51" i="69" s="1"/>
  <c r="V51" i="69" s="1" a="1"/>
  <c r="V51" i="69" s="1"/>
  <c r="Q75" i="69"/>
  <c r="Q74" i="69"/>
  <c r="Q71" i="69"/>
  <c r="Q70" i="69"/>
  <c r="F88" i="69" a="1"/>
  <c r="F88" i="69" s="1"/>
  <c r="G86" i="69"/>
  <c r="D85" i="69" a="1"/>
  <c r="D85" i="69" s="1"/>
  <c r="D64" i="69" a="1"/>
  <c r="D64" i="69" s="1"/>
  <c r="E44" i="74" a="1"/>
  <c r="E7" i="74" a="1"/>
  <c r="N61" i="69" a="1"/>
  <c r="E44" i="69" a="1"/>
  <c r="T18" i="70" l="1"/>
  <c r="S51" i="69" a="1"/>
  <c r="S51" i="69" s="1"/>
  <c r="R51" i="69" a="1"/>
  <c r="R51" i="69" s="1"/>
  <c r="E44" i="74"/>
  <c r="E7" i="74"/>
  <c r="N61" i="69"/>
  <c r="E44" i="69"/>
  <c r="F35" i="74" a="1"/>
  <c r="F35" i="74" s="1"/>
  <c r="F23" i="74" a="1"/>
  <c r="F23" i="74" s="1"/>
  <c r="F37" i="74" a="1"/>
  <c r="F37" i="74" s="1"/>
  <c r="F30" i="74" a="1"/>
  <c r="F30" i="74" s="1"/>
  <c r="F36" i="74" a="1"/>
  <c r="F36" i="74" s="1"/>
  <c r="F25" i="74" a="1"/>
  <c r="F25" i="74" s="1"/>
  <c r="F26" i="74" a="1"/>
  <c r="F26" i="74" s="1"/>
  <c r="F31" i="74" a="1"/>
  <c r="F31" i="74" s="1"/>
  <c r="F22" i="74" a="1"/>
  <c r="F22" i="74" s="1"/>
  <c r="F24" i="74" a="1"/>
  <c r="F24" i="74" s="1"/>
  <c r="F38" i="74" a="1"/>
  <c r="F38" i="74" s="1"/>
  <c r="F27" i="74" a="1"/>
  <c r="F27" i="74" s="1"/>
  <c r="F28" i="74" a="1"/>
  <c r="F28" i="74" s="1"/>
  <c r="F32" i="74" a="1"/>
  <c r="F32" i="74" s="1"/>
  <c r="F29" i="74" a="1"/>
  <c r="F29" i="74" s="1"/>
  <c r="F33" i="74" a="1"/>
  <c r="F33" i="74" s="1"/>
  <c r="D21" i="74"/>
  <c r="F21" i="74" s="1" a="1"/>
  <c r="F21" i="74" s="1"/>
  <c r="W51" i="69"/>
  <c r="O46" i="69" a="1"/>
  <c r="O46" i="69" s="1"/>
  <c r="Q69" i="69" a="1"/>
  <c r="Q69" i="69" s="1"/>
  <c r="U54" i="69"/>
  <c r="U55" i="69"/>
  <c r="S46" i="69" l="1" a="1"/>
  <c r="S46" i="69" s="1"/>
  <c r="O78" i="69" s="1" a="1"/>
  <c r="O78" i="69" s="1"/>
  <c r="R46" i="69" a="1"/>
  <c r="R46" i="69" s="1"/>
  <c r="T46" i="69"/>
  <c r="V46" i="69" s="1" a="1"/>
  <c r="V46" i="69" s="1"/>
  <c r="W46" i="69"/>
  <c r="O87" i="69" a="1"/>
  <c r="O87" i="69" s="1"/>
  <c r="P87" i="69" s="1" a="1"/>
  <c r="P87" i="69" s="1"/>
  <c r="O85" i="69" a="1"/>
  <c r="O85" i="69" s="1"/>
  <c r="P85" i="69" s="1" a="1"/>
  <c r="P85" i="69" s="1"/>
  <c r="O79" i="69" a="1"/>
  <c r="O79" i="69" s="1"/>
  <c r="P79" i="69" s="1" a="1"/>
  <c r="P79" i="69" s="1"/>
  <c r="O81" i="69" a="1"/>
  <c r="O81" i="69" s="1"/>
  <c r="P81" i="69" s="1" a="1"/>
  <c r="P81" i="69" s="1"/>
  <c r="O80" i="69" a="1"/>
  <c r="O80" i="69" s="1"/>
  <c r="P80" i="69" s="1" a="1"/>
  <c r="P80" i="69" s="1"/>
  <c r="O84" i="69" a="1"/>
  <c r="O84" i="69" s="1"/>
  <c r="P84" i="69" s="1" a="1"/>
  <c r="P84" i="69" s="1"/>
  <c r="O86" i="69" a="1"/>
  <c r="O86" i="69" s="1"/>
  <c r="P86" i="69" s="1" a="1"/>
  <c r="P86" i="69" s="1"/>
  <c r="O83" i="69" a="1"/>
  <c r="O83" i="69" s="1"/>
  <c r="O82" i="69" a="1"/>
  <c r="O82" i="69" s="1"/>
  <c r="P82" i="69" s="1" a="1"/>
  <c r="P82" i="69" s="1"/>
  <c r="T47" i="69"/>
  <c r="H51" i="69" l="1"/>
  <c r="O89" i="69"/>
  <c r="E7" i="69" a="1"/>
  <c r="G18" i="70" l="1"/>
  <c r="P46" i="69" a="1"/>
  <c r="G23" i="70"/>
  <c r="P51" i="69" a="1"/>
  <c r="P51" i="69" s="1"/>
  <c r="Q51" i="69" s="1"/>
  <c r="P83" i="69" s="1" a="1"/>
  <c r="P83" i="69" s="1"/>
  <c r="F83" i="69"/>
  <c r="E62" i="69"/>
  <c r="E7" i="69"/>
  <c r="E28" i="74" l="1" a="1"/>
  <c r="E28" i="74" s="1"/>
  <c r="G28" i="74" s="1" a="1"/>
  <c r="G28" i="74" s="1"/>
  <c r="E71" i="74" s="1" a="1"/>
  <c r="E71" i="74" s="1"/>
  <c r="E25" i="74" a="1"/>
  <c r="E25" i="74" s="1"/>
  <c r="G25" i="74" s="1" a="1"/>
  <c r="G25" i="74" s="1"/>
  <c r="E68" i="74" s="1" a="1"/>
  <c r="E68" i="74" s="1"/>
  <c r="E35" i="74" a="1"/>
  <c r="E35" i="74" s="1"/>
  <c r="G35" i="74" s="1" a="1"/>
  <c r="G35" i="74" s="1"/>
  <c r="E78" i="74" s="1" a="1"/>
  <c r="E78" i="74" s="1"/>
  <c r="E32" i="74" a="1"/>
  <c r="E32" i="74" s="1"/>
  <c r="G32" i="74" s="1" a="1"/>
  <c r="G32" i="74" s="1"/>
  <c r="E75" i="74" s="1" a="1"/>
  <c r="E75" i="74" s="1"/>
  <c r="E24" i="74" a="1"/>
  <c r="E24" i="74" s="1"/>
  <c r="G24" i="74" s="1" a="1"/>
  <c r="G24" i="74" s="1"/>
  <c r="E67" i="74" s="1" a="1"/>
  <c r="E67" i="74" s="1"/>
  <c r="E31" i="74" a="1"/>
  <c r="E31" i="74" s="1"/>
  <c r="G31" i="74" s="1" a="1"/>
  <c r="G31" i="74" s="1"/>
  <c r="E74" i="74" s="1" a="1"/>
  <c r="E74" i="74" s="1"/>
  <c r="E22" i="74" a="1"/>
  <c r="E22" i="74" s="1"/>
  <c r="G22" i="74" s="1" a="1"/>
  <c r="G22" i="74" s="1"/>
  <c r="E65" i="74" s="1" a="1"/>
  <c r="E65" i="74" s="1"/>
  <c r="E23" i="74" a="1"/>
  <c r="E23" i="74" s="1"/>
  <c r="G23" i="74" s="1" a="1"/>
  <c r="G23" i="74" s="1"/>
  <c r="E66" i="74" s="1" a="1"/>
  <c r="E66" i="74" s="1"/>
  <c r="E27" i="74" a="1"/>
  <c r="E27" i="74" s="1"/>
  <c r="G27" i="74" s="1" a="1"/>
  <c r="G27" i="74" s="1"/>
  <c r="E70" i="74" s="1" a="1"/>
  <c r="E70" i="74" s="1"/>
  <c r="E29" i="74" a="1"/>
  <c r="E29" i="74" s="1"/>
  <c r="G29" i="74" s="1" a="1"/>
  <c r="G29" i="74" s="1"/>
  <c r="E72" i="74" s="1" a="1"/>
  <c r="E72" i="74" s="1"/>
  <c r="E36" i="74" a="1"/>
  <c r="E36" i="74" s="1"/>
  <c r="G36" i="74" s="1" a="1"/>
  <c r="G36" i="74" s="1"/>
  <c r="E33" i="74" a="1"/>
  <c r="E33" i="74" s="1"/>
  <c r="G33" i="74" s="1" a="1"/>
  <c r="G33" i="74" s="1"/>
  <c r="E76" i="74" s="1" a="1"/>
  <c r="E76" i="74" s="1"/>
  <c r="E37" i="74" a="1"/>
  <c r="E37" i="74" s="1"/>
  <c r="G37" i="74" s="1" a="1"/>
  <c r="G37" i="74" s="1"/>
  <c r="E34" i="74" a="1"/>
  <c r="E34" i="74" s="1"/>
  <c r="G34" i="74" s="1" a="1"/>
  <c r="G34" i="74" s="1"/>
  <c r="E77" i="74" s="1" a="1"/>
  <c r="E77" i="74" s="1"/>
  <c r="E30" i="74" a="1"/>
  <c r="E30" i="74" s="1"/>
  <c r="G30" i="74" s="1" a="1"/>
  <c r="G30" i="74" s="1"/>
  <c r="E73" i="74" s="1" a="1"/>
  <c r="E73" i="74" s="1"/>
  <c r="E26" i="74" a="1"/>
  <c r="E26" i="74" s="1"/>
  <c r="G26" i="74" s="1" a="1"/>
  <c r="G26" i="74" s="1"/>
  <c r="E69" i="74" s="1" a="1"/>
  <c r="E69" i="74" s="1"/>
  <c r="E38" i="74" a="1"/>
  <c r="E38" i="74" s="1"/>
  <c r="G38" i="74" s="1" a="1"/>
  <c r="G38" i="74" s="1"/>
  <c r="E21" i="74" a="1"/>
  <c r="E21" i="74" s="1"/>
  <c r="G21" i="74" s="1" a="1"/>
  <c r="G21" i="74" s="1"/>
  <c r="P46" i="69"/>
  <c r="U47" i="69"/>
  <c r="Q47" i="69"/>
  <c r="U51" i="69"/>
  <c r="E61" i="74" l="1" a="1"/>
  <c r="E61" i="74" s="1"/>
  <c r="E64" i="74" a="1"/>
  <c r="E64" i="74" s="1"/>
  <c r="Q46" i="69"/>
  <c r="U46" i="69"/>
  <c r="P78" i="69" l="1" a="1"/>
  <c r="P78" i="69" s="1"/>
  <c r="N89" i="69" s="1"/>
  <c r="P91" i="69" s="1"/>
  <c r="N94" i="69" s="1" a="1"/>
  <c r="N94" i="69" s="1"/>
  <c r="H57" i="69" l="1"/>
  <c r="H54" i="69"/>
  <c r="H56" i="69"/>
  <c r="D21" i="69" a="1"/>
  <c r="G14" i="69"/>
  <c r="G13" i="69"/>
  <c r="H52" i="69" l="1"/>
  <c r="F30" i="69" a="1"/>
  <c r="F30" i="69" s="1"/>
  <c r="F38" i="69" a="1"/>
  <c r="F38" i="69" s="1"/>
  <c r="F37" i="69" a="1"/>
  <c r="F37" i="69" s="1"/>
  <c r="F23" i="69" a="1"/>
  <c r="F23" i="69" s="1"/>
  <c r="F36" i="69" a="1"/>
  <c r="F36" i="69" s="1"/>
  <c r="F22" i="69" a="1"/>
  <c r="F22" i="69" s="1"/>
  <c r="F33" i="69" a="1"/>
  <c r="F33" i="69" s="1"/>
  <c r="F29" i="69" a="1"/>
  <c r="F29" i="69" s="1"/>
  <c r="F28" i="69" a="1"/>
  <c r="F28" i="69" s="1"/>
  <c r="F27" i="69" a="1"/>
  <c r="F27" i="69" s="1"/>
  <c r="F26" i="69" a="1"/>
  <c r="F26" i="69" s="1"/>
  <c r="F25" i="69" a="1"/>
  <c r="F25" i="69" s="1"/>
  <c r="F24" i="69" a="1"/>
  <c r="F24" i="69" s="1"/>
  <c r="F35" i="69" a="1"/>
  <c r="F35" i="69" s="1"/>
  <c r="F34" i="69" a="1"/>
  <c r="F34" i="69" s="1"/>
  <c r="F32" i="69" a="1"/>
  <c r="F32" i="69" s="1"/>
  <c r="F31" i="69" a="1"/>
  <c r="F31" i="69" s="1"/>
  <c r="D21" i="69"/>
  <c r="E38" i="69" a="1"/>
  <c r="E38" i="69" s="1"/>
  <c r="G38" i="69" s="1" a="1"/>
  <c r="G38" i="69" s="1"/>
  <c r="E24" i="69" a="1"/>
  <c r="E24" i="69" s="1"/>
  <c r="E34" i="69" a="1"/>
  <c r="E34" i="69" s="1"/>
  <c r="G34" i="69" s="1" a="1"/>
  <c r="G34" i="69" s="1"/>
  <c r="E29" i="69" a="1"/>
  <c r="E29" i="69" s="1"/>
  <c r="G29" i="69" s="1" a="1"/>
  <c r="G29" i="69" s="1"/>
  <c r="E25" i="69" a="1"/>
  <c r="E25" i="69" s="1"/>
  <c r="E37" i="69" a="1"/>
  <c r="E37" i="69" s="1"/>
  <c r="G37" i="69" s="1" a="1"/>
  <c r="G37" i="69" s="1"/>
  <c r="E23" i="69" a="1"/>
  <c r="E23" i="69" s="1"/>
  <c r="G23" i="69" s="1" a="1"/>
  <c r="G23" i="69" s="1"/>
  <c r="E30" i="69" a="1"/>
  <c r="E30" i="69" s="1"/>
  <c r="G30" i="69" s="1" a="1"/>
  <c r="G30" i="69" s="1"/>
  <c r="E27" i="69" a="1"/>
  <c r="E27" i="69" s="1"/>
  <c r="G27" i="69" s="1" a="1"/>
  <c r="G27" i="69" s="1"/>
  <c r="E36" i="69" a="1"/>
  <c r="E36" i="69" s="1"/>
  <c r="E22" i="69" a="1"/>
  <c r="E22" i="69" s="1"/>
  <c r="E35" i="69" a="1"/>
  <c r="E35" i="69" s="1"/>
  <c r="G35" i="69" s="1" a="1"/>
  <c r="G35" i="69" s="1"/>
  <c r="E33" i="69" a="1"/>
  <c r="E33" i="69" s="1"/>
  <c r="E32" i="69" a="1"/>
  <c r="E32" i="69" s="1"/>
  <c r="G32" i="69" s="1" a="1"/>
  <c r="G32" i="69" s="1"/>
  <c r="E31" i="69" a="1"/>
  <c r="E31" i="69" s="1"/>
  <c r="G31" i="69" s="1" a="1"/>
  <c r="G31" i="69" s="1"/>
  <c r="E28" i="69" a="1"/>
  <c r="E28" i="69" s="1"/>
  <c r="E26" i="69" a="1"/>
  <c r="E26" i="69" s="1"/>
  <c r="G36" i="69" l="1" a="1"/>
  <c r="G36" i="69" s="1"/>
  <c r="G25" i="69" a="1"/>
  <c r="G25" i="69" s="1"/>
  <c r="E68" i="69" s="1" a="1"/>
  <c r="E68" i="69" s="1"/>
  <c r="G28" i="69" a="1"/>
  <c r="G28" i="69" s="1"/>
  <c r="E71" i="69" s="1" a="1"/>
  <c r="E71" i="69" s="1"/>
  <c r="G33" i="69" a="1"/>
  <c r="G33" i="69" s="1"/>
  <c r="G22" i="69" a="1"/>
  <c r="G22" i="69" s="1"/>
  <c r="G26" i="69" a="1"/>
  <c r="G26" i="69" s="1"/>
  <c r="G24" i="69" a="1"/>
  <c r="G24" i="69" s="1"/>
  <c r="E73" i="69" a="1"/>
  <c r="E73" i="69" s="1"/>
  <c r="E76" i="69" a="1"/>
  <c r="E76" i="69" s="1"/>
  <c r="E65" i="69" a="1"/>
  <c r="E65" i="69" s="1"/>
  <c r="E67" i="69" a="1"/>
  <c r="E67" i="69" s="1"/>
  <c r="E66" i="69" a="1"/>
  <c r="E66" i="69" s="1"/>
  <c r="E78" i="69" a="1"/>
  <c r="E78" i="69" s="1"/>
  <c r="E69" i="69" a="1"/>
  <c r="E69" i="69" s="1"/>
  <c r="E70" i="69" a="1"/>
  <c r="E70" i="69" s="1"/>
  <c r="E81" i="69" a="1"/>
  <c r="E81" i="69" s="1"/>
  <c r="E77" i="69" a="1"/>
  <c r="E77" i="69" s="1"/>
  <c r="E80" i="69" a="1"/>
  <c r="E80" i="69" s="1"/>
  <c r="E72" i="69" a="1"/>
  <c r="E72" i="69" s="1"/>
  <c r="E79" i="69" a="1"/>
  <c r="E79" i="69" s="1"/>
  <c r="E74" i="69" a="1"/>
  <c r="E74" i="69" s="1"/>
  <c r="E75" i="69" a="1"/>
  <c r="E75" i="69" s="1"/>
  <c r="E21" i="69" a="1"/>
  <c r="E21" i="69" s="1"/>
  <c r="G21" i="69" s="1" a="1"/>
  <c r="G21" i="69" s="1"/>
  <c r="E64" i="69" s="1" a="1"/>
  <c r="E64" i="69" s="1"/>
  <c r="F21" i="69" a="1"/>
  <c r="F21" i="69" s="1"/>
  <c r="E83" i="69" l="1"/>
  <c r="G85" i="69" s="1"/>
  <c r="E88" i="69" s="1" a="1"/>
  <c r="E88" i="69" s="1"/>
  <c r="D52" i="110" l="1" a="1"/>
  <c r="D52" i="110" s="1"/>
  <c r="E52" i="110" a="1"/>
  <c r="E52" i="110" s="1"/>
  <c r="D51" i="110" a="1"/>
  <c r="D51" i="110" s="1"/>
  <c r="E51" i="110" a="1"/>
  <c r="E51" i="110" s="1"/>
  <c r="D50" i="110" a="1"/>
  <c r="D50" i="110" s="1"/>
  <c r="E50" i="110" a="1"/>
  <c r="E50" i="110" s="1"/>
  <c r="D49" i="110" a="1"/>
  <c r="D49" i="110" s="1"/>
  <c r="E49" i="110" a="1"/>
  <c r="E49" i="110" s="1"/>
  <c r="E48" i="110" a="1"/>
  <c r="E48" i="110" s="1"/>
  <c r="D48" i="110" a="1"/>
  <c r="D48" i="110" s="1"/>
  <c r="D46" i="110" a="1"/>
  <c r="D46" i="110" s="1"/>
  <c r="D45" i="110" a="1"/>
  <c r="D45" i="110" s="1"/>
  <c r="D7" i="110" a="1"/>
  <c r="D7" i="110" s="1"/>
  <c r="D6" i="110" a="1"/>
  <c r="D6" i="110" s="1"/>
  <c r="G19" i="69" l="1"/>
  <c r="W162" i="110" a="1"/>
  <c r="W162" i="110" s="1"/>
  <c r="V162" i="110" a="1"/>
  <c r="V162" i="110" s="1"/>
  <c r="U162" i="110" a="1"/>
  <c r="U162" i="110" s="1"/>
  <c r="T162" i="110" a="1"/>
  <c r="T162" i="110" s="1"/>
  <c r="S162" i="110" a="1"/>
  <c r="S162" i="110" s="1"/>
  <c r="R162" i="110" a="1"/>
  <c r="R162" i="110" s="1"/>
  <c r="Q162" i="110" a="1"/>
  <c r="Q162" i="110" s="1"/>
  <c r="P162" i="110" a="1"/>
  <c r="P162" i="110" s="1"/>
  <c r="O162" i="110" a="1"/>
  <c r="O162" i="110" s="1"/>
  <c r="N162" i="110" a="1"/>
  <c r="N162" i="110" s="1"/>
  <c r="M162" i="110" a="1"/>
  <c r="M162" i="110" s="1"/>
  <c r="L162" i="110" a="1"/>
  <c r="L162" i="110" s="1"/>
  <c r="K162" i="110" a="1"/>
  <c r="K162" i="110" s="1"/>
  <c r="J162" i="110" a="1"/>
  <c r="J162" i="110" s="1"/>
  <c r="I162" i="110" a="1"/>
  <c r="I162" i="110" s="1"/>
  <c r="H162" i="110" a="1"/>
  <c r="H162" i="110" s="1"/>
  <c r="G162" i="110" a="1"/>
  <c r="G162" i="110" s="1"/>
  <c r="F162" i="110" a="1"/>
  <c r="F162" i="110" s="1"/>
  <c r="E162" i="110" a="1"/>
  <c r="E162" i="110" s="1"/>
  <c r="D162" i="110" a="1"/>
  <c r="D162" i="110" s="1"/>
  <c r="W161" i="110" a="1"/>
  <c r="W161" i="110" s="1"/>
  <c r="V161" i="110" a="1"/>
  <c r="V161" i="110" s="1"/>
  <c r="U161" i="110" a="1"/>
  <c r="U161" i="110" s="1"/>
  <c r="T161" i="110" a="1"/>
  <c r="T161" i="110" s="1"/>
  <c r="S161" i="110" a="1"/>
  <c r="S161" i="110" s="1"/>
  <c r="R161" i="110" a="1"/>
  <c r="R161" i="110" s="1"/>
  <c r="Q161" i="110" a="1"/>
  <c r="Q161" i="110" s="1"/>
  <c r="P161" i="110" a="1"/>
  <c r="P161" i="110" s="1"/>
  <c r="O161" i="110" a="1"/>
  <c r="O161" i="110" s="1"/>
  <c r="N161" i="110" a="1"/>
  <c r="N161" i="110" s="1"/>
  <c r="M161" i="110" a="1"/>
  <c r="M161" i="110" s="1"/>
  <c r="L161" i="110" a="1"/>
  <c r="L161" i="110" s="1"/>
  <c r="K161" i="110" a="1"/>
  <c r="K161" i="110" s="1"/>
  <c r="J161" i="110" a="1"/>
  <c r="J161" i="110" s="1"/>
  <c r="I161" i="110" a="1"/>
  <c r="I161" i="110" s="1"/>
  <c r="H161" i="110" a="1"/>
  <c r="H161" i="110" s="1"/>
  <c r="G161" i="110" a="1"/>
  <c r="G161" i="110" s="1"/>
  <c r="F161" i="110" a="1"/>
  <c r="F161" i="110" s="1"/>
  <c r="E161" i="110" a="1"/>
  <c r="E161" i="110" s="1"/>
  <c r="D161" i="110" a="1"/>
  <c r="D161" i="110" s="1"/>
  <c r="W160" i="110"/>
  <c r="W160" i="110" a="1"/>
  <c r="V160" i="110" a="1"/>
  <c r="V160" i="110" s="1"/>
  <c r="U160" i="110" a="1"/>
  <c r="U160" i="110" s="1"/>
  <c r="T160" i="110" a="1"/>
  <c r="T160" i="110" s="1"/>
  <c r="S160" i="110" a="1"/>
  <c r="S160" i="110" s="1"/>
  <c r="R160" i="110" a="1"/>
  <c r="R160" i="110" s="1"/>
  <c r="Q160" i="110" a="1"/>
  <c r="Q160" i="110" s="1"/>
  <c r="P160" i="110" a="1"/>
  <c r="P160" i="110" s="1"/>
  <c r="O160" i="110" a="1"/>
  <c r="O160" i="110" s="1"/>
  <c r="N160" i="110" a="1"/>
  <c r="N160" i="110" s="1"/>
  <c r="M160" i="110" a="1"/>
  <c r="M160" i="110" s="1"/>
  <c r="L160" i="110" a="1"/>
  <c r="L160" i="110" s="1"/>
  <c r="K160" i="110" a="1"/>
  <c r="K160" i="110" s="1"/>
  <c r="J160" i="110" a="1"/>
  <c r="J160" i="110" s="1"/>
  <c r="I160" i="110" a="1"/>
  <c r="I160" i="110" s="1"/>
  <c r="H160" i="110" a="1"/>
  <c r="H160" i="110" s="1"/>
  <c r="G160" i="110" a="1"/>
  <c r="G160" i="110" s="1"/>
  <c r="F160" i="110" a="1"/>
  <c r="F160" i="110" s="1"/>
  <c r="E160" i="110" a="1"/>
  <c r="E160" i="110" s="1"/>
  <c r="D160" i="110" a="1"/>
  <c r="D160" i="110" s="1"/>
  <c r="W159" i="110" a="1"/>
  <c r="W159" i="110" s="1"/>
  <c r="V159" i="110" a="1"/>
  <c r="V159" i="110" s="1"/>
  <c r="U159" i="110" a="1"/>
  <c r="U159" i="110" s="1"/>
  <c r="T159" i="110" a="1"/>
  <c r="T159" i="110" s="1"/>
  <c r="S159" i="110" a="1"/>
  <c r="S159" i="110" s="1"/>
  <c r="R159" i="110"/>
  <c r="R159" i="110" a="1"/>
  <c r="Q159" i="110" a="1"/>
  <c r="Q159" i="110" s="1"/>
  <c r="P159" i="110" a="1"/>
  <c r="P159" i="110" s="1"/>
  <c r="O159" i="110" a="1"/>
  <c r="O159" i="110" s="1"/>
  <c r="N159" i="110" a="1"/>
  <c r="N159" i="110" s="1"/>
  <c r="M159" i="110" a="1"/>
  <c r="M159" i="110" s="1"/>
  <c r="L159" i="110" a="1"/>
  <c r="L159" i="110" s="1"/>
  <c r="K159" i="110" a="1"/>
  <c r="K159" i="110" s="1"/>
  <c r="J159" i="110" a="1"/>
  <c r="J159" i="110" s="1"/>
  <c r="I159" i="110" a="1"/>
  <c r="I159" i="110" s="1"/>
  <c r="H159" i="110"/>
  <c r="H159" i="110" a="1"/>
  <c r="G159" i="110" a="1"/>
  <c r="G159" i="110" s="1"/>
  <c r="F159" i="110" a="1"/>
  <c r="F159" i="110" s="1"/>
  <c r="E159" i="110" a="1"/>
  <c r="E159" i="110" s="1"/>
  <c r="D159" i="110"/>
  <c r="D159" i="110" a="1"/>
  <c r="W158" i="110" a="1"/>
  <c r="W158" i="110" s="1"/>
  <c r="V158" i="110" a="1"/>
  <c r="V158" i="110" s="1"/>
  <c r="U158" i="110" a="1"/>
  <c r="U158" i="110" s="1"/>
  <c r="T158" i="110" a="1"/>
  <c r="T158" i="110" s="1"/>
  <c r="S158" i="110" a="1"/>
  <c r="S158" i="110" s="1"/>
  <c r="R158" i="110" a="1"/>
  <c r="R158" i="110" s="1"/>
  <c r="Q158" i="110" a="1"/>
  <c r="Q158" i="110" s="1"/>
  <c r="P158" i="110" a="1"/>
  <c r="P158" i="110" s="1"/>
  <c r="O158" i="110" a="1"/>
  <c r="O158" i="110" s="1"/>
  <c r="N158" i="110" a="1"/>
  <c r="N158" i="110" s="1"/>
  <c r="M158" i="110" a="1"/>
  <c r="M158" i="110" s="1"/>
  <c r="L158" i="110" a="1"/>
  <c r="L158" i="110" s="1"/>
  <c r="K158" i="110" a="1"/>
  <c r="K158" i="110" s="1"/>
  <c r="J158" i="110" a="1"/>
  <c r="J158" i="110" s="1"/>
  <c r="I158" i="110" a="1"/>
  <c r="I158" i="110" s="1"/>
  <c r="H158" i="110" a="1"/>
  <c r="H158" i="110" s="1"/>
  <c r="G158" i="110" a="1"/>
  <c r="G158" i="110" s="1"/>
  <c r="F158" i="110" a="1"/>
  <c r="F158" i="110" s="1"/>
  <c r="E158" i="110" a="1"/>
  <c r="E158" i="110" s="1"/>
  <c r="D158" i="110" a="1"/>
  <c r="D158" i="110" s="1"/>
  <c r="W157" i="110" a="1"/>
  <c r="W157" i="110" s="1"/>
  <c r="V157" i="110" a="1"/>
  <c r="V157" i="110" s="1"/>
  <c r="U157" i="110" a="1"/>
  <c r="U157" i="110" s="1"/>
  <c r="T157" i="110" a="1"/>
  <c r="T157" i="110" s="1"/>
  <c r="S157" i="110" a="1"/>
  <c r="S157" i="110" s="1"/>
  <c r="R157" i="110" a="1"/>
  <c r="R157" i="110" s="1"/>
  <c r="Q157" i="110" a="1"/>
  <c r="Q157" i="110" s="1"/>
  <c r="P157" i="110" a="1"/>
  <c r="P157" i="110" s="1"/>
  <c r="O157" i="110" a="1"/>
  <c r="O157" i="110" s="1"/>
  <c r="N157" i="110" a="1"/>
  <c r="N157" i="110" s="1"/>
  <c r="M157" i="110" a="1"/>
  <c r="M157" i="110" s="1"/>
  <c r="L157" i="110" a="1"/>
  <c r="L157" i="110" s="1"/>
  <c r="K157" i="110" a="1"/>
  <c r="K157" i="110" s="1"/>
  <c r="J157" i="110" a="1"/>
  <c r="J157" i="110" s="1"/>
  <c r="I157" i="110" a="1"/>
  <c r="I157" i="110" s="1"/>
  <c r="H157" i="110" a="1"/>
  <c r="H157" i="110" s="1"/>
  <c r="G157" i="110" a="1"/>
  <c r="G157" i="110" s="1"/>
  <c r="F157" i="110" a="1"/>
  <c r="F157" i="110" s="1"/>
  <c r="E157" i="110" a="1"/>
  <c r="E157" i="110" s="1"/>
  <c r="D157" i="110" a="1"/>
  <c r="D157" i="110" s="1"/>
  <c r="W156" i="110" a="1"/>
  <c r="W156" i="110" s="1"/>
  <c r="V156" i="110" a="1"/>
  <c r="V156" i="110" s="1"/>
  <c r="U156" i="110" a="1"/>
  <c r="U156" i="110" s="1"/>
  <c r="T156" i="110" a="1"/>
  <c r="T156" i="110" s="1"/>
  <c r="S156" i="110" a="1"/>
  <c r="S156" i="110" s="1"/>
  <c r="R156" i="110" a="1"/>
  <c r="R156" i="110" s="1"/>
  <c r="Q156" i="110" a="1"/>
  <c r="Q156" i="110" s="1"/>
  <c r="P156" i="110" a="1"/>
  <c r="P156" i="110" s="1"/>
  <c r="O156" i="110" a="1"/>
  <c r="O156" i="110" s="1"/>
  <c r="N156" i="110" a="1"/>
  <c r="N156" i="110" s="1"/>
  <c r="M156" i="110" a="1"/>
  <c r="M156" i="110" s="1"/>
  <c r="L156" i="110" a="1"/>
  <c r="L156" i="110" s="1"/>
  <c r="K156" i="110"/>
  <c r="K156" i="110" a="1"/>
  <c r="J156" i="110" a="1"/>
  <c r="J156" i="110" s="1"/>
  <c r="I156" i="110" a="1"/>
  <c r="I156" i="110" s="1"/>
  <c r="H156" i="110" a="1"/>
  <c r="H156" i="110" s="1"/>
  <c r="G156" i="110" a="1"/>
  <c r="G156" i="110" s="1"/>
  <c r="F156" i="110" a="1"/>
  <c r="F156" i="110" s="1"/>
  <c r="E156" i="110"/>
  <c r="E156" i="110" a="1"/>
  <c r="D156" i="110" a="1"/>
  <c r="D156" i="110" s="1"/>
  <c r="W155" i="110" a="1"/>
  <c r="W155" i="110" s="1"/>
  <c r="V155" i="110" a="1"/>
  <c r="V155" i="110" s="1"/>
  <c r="U155" i="110" a="1"/>
  <c r="U155" i="110" s="1"/>
  <c r="T155" i="110" a="1"/>
  <c r="T155" i="110" s="1"/>
  <c r="S155" i="110" a="1"/>
  <c r="S155" i="110" s="1"/>
  <c r="R155" i="110" a="1"/>
  <c r="R155" i="110" s="1"/>
  <c r="Q155" i="110" a="1"/>
  <c r="Q155" i="110" s="1"/>
  <c r="P155" i="110" a="1"/>
  <c r="P155" i="110" s="1"/>
  <c r="O155" i="110" a="1"/>
  <c r="O155" i="110" s="1"/>
  <c r="N155" i="110" a="1"/>
  <c r="N155" i="110" s="1"/>
  <c r="M155" i="110" a="1"/>
  <c r="M155" i="110" s="1"/>
  <c r="L155" i="110" a="1"/>
  <c r="L155" i="110" s="1"/>
  <c r="K155" i="110" a="1"/>
  <c r="K155" i="110" s="1"/>
  <c r="J155" i="110" a="1"/>
  <c r="J155" i="110" s="1"/>
  <c r="I155" i="110" a="1"/>
  <c r="I155" i="110" s="1"/>
  <c r="H155" i="110" a="1"/>
  <c r="H155" i="110" s="1"/>
  <c r="G155" i="110" a="1"/>
  <c r="G155" i="110" s="1"/>
  <c r="F155" i="110" a="1"/>
  <c r="F155" i="110" s="1"/>
  <c r="E155" i="110" a="1"/>
  <c r="E155" i="110" s="1"/>
  <c r="D155" i="110" a="1"/>
  <c r="D155" i="110" s="1"/>
  <c r="W154" i="110" a="1"/>
  <c r="W154" i="110" s="1"/>
  <c r="V154" i="110" a="1"/>
  <c r="V154" i="110" s="1"/>
  <c r="U154" i="110" a="1"/>
  <c r="U154" i="110" s="1"/>
  <c r="T154" i="110" a="1"/>
  <c r="T154" i="110" s="1"/>
  <c r="S154" i="110" a="1"/>
  <c r="S154" i="110" s="1"/>
  <c r="R154" i="110" a="1"/>
  <c r="R154" i="110" s="1"/>
  <c r="Q154" i="110" a="1"/>
  <c r="Q154" i="110" s="1"/>
  <c r="P154" i="110" a="1"/>
  <c r="P154" i="110" s="1"/>
  <c r="O154" i="110" a="1"/>
  <c r="O154" i="110" s="1"/>
  <c r="N154" i="110" a="1"/>
  <c r="N154" i="110" s="1"/>
  <c r="M154" i="110" a="1"/>
  <c r="M154" i="110" s="1"/>
  <c r="L154" i="110" a="1"/>
  <c r="L154" i="110" s="1"/>
  <c r="K154" i="110" a="1"/>
  <c r="K154" i="110" s="1"/>
  <c r="J154" i="110" a="1"/>
  <c r="J154" i="110" s="1"/>
  <c r="I154" i="110" a="1"/>
  <c r="I154" i="110" s="1"/>
  <c r="H154" i="110" a="1"/>
  <c r="H154" i="110" s="1"/>
  <c r="G154" i="110" a="1"/>
  <c r="G154" i="110" s="1"/>
  <c r="F154" i="110" a="1"/>
  <c r="F154" i="110" s="1"/>
  <c r="E154" i="110" a="1"/>
  <c r="E154" i="110" s="1"/>
  <c r="D154" i="110" a="1"/>
  <c r="D154" i="110" s="1"/>
  <c r="W153" i="110" a="1"/>
  <c r="W153" i="110" s="1"/>
  <c r="V153" i="110" a="1"/>
  <c r="V153" i="110" s="1"/>
  <c r="U153" i="110" a="1"/>
  <c r="U153" i="110" s="1"/>
  <c r="T153" i="110" a="1"/>
  <c r="T153" i="110" s="1"/>
  <c r="S153" i="110" a="1"/>
  <c r="S153" i="110" s="1"/>
  <c r="R153" i="110" a="1"/>
  <c r="R153" i="110" s="1"/>
  <c r="Q153" i="110" a="1"/>
  <c r="Q153" i="110" s="1"/>
  <c r="P153" i="110" a="1"/>
  <c r="P153" i="110" s="1"/>
  <c r="O153" i="110" a="1"/>
  <c r="O153" i="110" s="1"/>
  <c r="N153" i="110" a="1"/>
  <c r="N153" i="110" s="1"/>
  <c r="M153" i="110" a="1"/>
  <c r="M153" i="110" s="1"/>
  <c r="L153" i="110" a="1"/>
  <c r="L153" i="110" s="1"/>
  <c r="K153" i="110" a="1"/>
  <c r="K153" i="110" s="1"/>
  <c r="J153" i="110"/>
  <c r="J153" i="110" a="1"/>
  <c r="I153" i="110" a="1"/>
  <c r="I153" i="110" s="1"/>
  <c r="H153" i="110" a="1"/>
  <c r="H153" i="110" s="1"/>
  <c r="G153" i="110" a="1"/>
  <c r="G153" i="110" s="1"/>
  <c r="F153" i="110" a="1"/>
  <c r="F153" i="110" s="1"/>
  <c r="E153" i="110" a="1"/>
  <c r="E153" i="110" s="1"/>
  <c r="D153" i="110" a="1"/>
  <c r="D153" i="110" s="1"/>
  <c r="W152" i="110" a="1"/>
  <c r="W152" i="110" s="1"/>
  <c r="V152" i="110" a="1"/>
  <c r="V152" i="110" s="1"/>
  <c r="U152" i="110" a="1"/>
  <c r="U152" i="110" s="1"/>
  <c r="T152" i="110" a="1"/>
  <c r="T152" i="110" s="1"/>
  <c r="S152" i="110" a="1"/>
  <c r="S152" i="110" s="1"/>
  <c r="R152" i="110" a="1"/>
  <c r="R152" i="110" s="1"/>
  <c r="Q152" i="110" a="1"/>
  <c r="Q152" i="110" s="1"/>
  <c r="P152" i="110" a="1"/>
  <c r="P152" i="110" s="1"/>
  <c r="O152" i="110" a="1"/>
  <c r="O152" i="110" s="1"/>
  <c r="N152" i="110" a="1"/>
  <c r="N152" i="110" s="1"/>
  <c r="M152" i="110" a="1"/>
  <c r="M152" i="110" s="1"/>
  <c r="L152" i="110" a="1"/>
  <c r="L152" i="110" s="1"/>
  <c r="K152" i="110" a="1"/>
  <c r="K152" i="110" s="1"/>
  <c r="J152" i="110" a="1"/>
  <c r="J152" i="110" s="1"/>
  <c r="I152" i="110"/>
  <c r="I152" i="110" a="1"/>
  <c r="H152" i="110" a="1"/>
  <c r="H152" i="110" s="1"/>
  <c r="G152" i="110" a="1"/>
  <c r="G152" i="110" s="1"/>
  <c r="F152" i="110" a="1"/>
  <c r="F152" i="110" s="1"/>
  <c r="E152" i="110" a="1"/>
  <c r="E152" i="110" s="1"/>
  <c r="D152" i="110" a="1"/>
  <c r="D152" i="110" s="1"/>
  <c r="W151" i="110" a="1"/>
  <c r="W151" i="110" s="1"/>
  <c r="V151" i="110" a="1"/>
  <c r="V151" i="110" s="1"/>
  <c r="U151" i="110" a="1"/>
  <c r="U151" i="110" s="1"/>
  <c r="T151" i="110"/>
  <c r="T151" i="110" a="1"/>
  <c r="S151" i="110" a="1"/>
  <c r="S151" i="110" s="1"/>
  <c r="R151" i="110" a="1"/>
  <c r="R151" i="110" s="1"/>
  <c r="Q151" i="110" a="1"/>
  <c r="Q151" i="110" s="1"/>
  <c r="P151" i="110" a="1"/>
  <c r="P151" i="110" s="1"/>
  <c r="O151" i="110" a="1"/>
  <c r="O151" i="110" s="1"/>
  <c r="N151" i="110" a="1"/>
  <c r="N151" i="110" s="1"/>
  <c r="M151" i="110"/>
  <c r="M151" i="110" a="1"/>
  <c r="L151" i="110" a="1"/>
  <c r="L151" i="110" s="1"/>
  <c r="K151" i="110" a="1"/>
  <c r="K151" i="110" s="1"/>
  <c r="J151" i="110" a="1"/>
  <c r="J151" i="110" s="1"/>
  <c r="I151" i="110" a="1"/>
  <c r="I151" i="110" s="1"/>
  <c r="H151" i="110" a="1"/>
  <c r="H151" i="110" s="1"/>
  <c r="G151" i="110" a="1"/>
  <c r="G151" i="110" s="1"/>
  <c r="F151" i="110" a="1"/>
  <c r="F151" i="110" s="1"/>
  <c r="E151" i="110" a="1"/>
  <c r="E151" i="110" s="1"/>
  <c r="D151" i="110" a="1"/>
  <c r="D151" i="110" s="1"/>
  <c r="W150" i="110" a="1"/>
  <c r="W150" i="110" s="1"/>
  <c r="V150" i="110" a="1"/>
  <c r="V150" i="110" s="1"/>
  <c r="U150" i="110" a="1"/>
  <c r="U150" i="110" s="1"/>
  <c r="T150" i="110" a="1"/>
  <c r="T150" i="110" s="1"/>
  <c r="S150" i="110" a="1"/>
  <c r="S150" i="110" s="1"/>
  <c r="R150" i="110" a="1"/>
  <c r="R150" i="110" s="1"/>
  <c r="Q150" i="110" a="1"/>
  <c r="Q150" i="110" s="1"/>
  <c r="P150" i="110" a="1"/>
  <c r="P150" i="110" s="1"/>
  <c r="O150" i="110" a="1"/>
  <c r="O150" i="110" s="1"/>
  <c r="N150" i="110" a="1"/>
  <c r="N150" i="110" s="1"/>
  <c r="M150" i="110" a="1"/>
  <c r="M150" i="110" s="1"/>
  <c r="L150" i="110" a="1"/>
  <c r="L150" i="110" s="1"/>
  <c r="K150" i="110" a="1"/>
  <c r="K150" i="110" s="1"/>
  <c r="J150" i="110" a="1"/>
  <c r="J150" i="110" s="1"/>
  <c r="I150" i="110" a="1"/>
  <c r="I150" i="110" s="1"/>
  <c r="H150" i="110" a="1"/>
  <c r="H150" i="110" s="1"/>
  <c r="G150" i="110" a="1"/>
  <c r="G150" i="110" s="1"/>
  <c r="F150" i="110" a="1"/>
  <c r="F150" i="110" s="1"/>
  <c r="E150" i="110" a="1"/>
  <c r="E150" i="110" s="1"/>
  <c r="D150" i="110" a="1"/>
  <c r="D150" i="110" s="1"/>
  <c r="W149" i="110" a="1"/>
  <c r="W149" i="110" s="1"/>
  <c r="V149" i="110" a="1"/>
  <c r="V149" i="110" s="1"/>
  <c r="U149" i="110" a="1"/>
  <c r="U149" i="110" s="1"/>
  <c r="T149" i="110" a="1"/>
  <c r="T149" i="110" s="1"/>
  <c r="S149" i="110"/>
  <c r="S149" i="110" a="1"/>
  <c r="R149" i="110" a="1"/>
  <c r="R149" i="110" s="1"/>
  <c r="Q149" i="110" a="1"/>
  <c r="Q149" i="110" s="1"/>
  <c r="P149" i="110" a="1"/>
  <c r="P149" i="110" s="1"/>
  <c r="O149" i="110" a="1"/>
  <c r="O149" i="110" s="1"/>
  <c r="N149" i="110" a="1"/>
  <c r="N149" i="110" s="1"/>
  <c r="M149" i="110" a="1"/>
  <c r="M149" i="110" s="1"/>
  <c r="L149" i="110" a="1"/>
  <c r="L149" i="110" s="1"/>
  <c r="K149" i="110" a="1"/>
  <c r="K149" i="110" s="1"/>
  <c r="J149" i="110" a="1"/>
  <c r="J149" i="110" s="1"/>
  <c r="I149" i="110" a="1"/>
  <c r="I149" i="110" s="1"/>
  <c r="H149" i="110" a="1"/>
  <c r="H149" i="110" s="1"/>
  <c r="G149" i="110" a="1"/>
  <c r="G149" i="110" s="1"/>
  <c r="F149" i="110" a="1"/>
  <c r="F149" i="110" s="1"/>
  <c r="E149" i="110" a="1"/>
  <c r="E149" i="110" s="1"/>
  <c r="D149" i="110" a="1"/>
  <c r="D149" i="110" s="1"/>
  <c r="W148" i="110" a="1"/>
  <c r="W148" i="110" s="1"/>
  <c r="V148" i="110" a="1"/>
  <c r="V148" i="110" s="1"/>
  <c r="U148" i="110" a="1"/>
  <c r="U148" i="110" s="1"/>
  <c r="T148" i="110" a="1"/>
  <c r="T148" i="110" s="1"/>
  <c r="S148" i="110" a="1"/>
  <c r="S148" i="110" s="1"/>
  <c r="R148" i="110" a="1"/>
  <c r="R148" i="110" s="1"/>
  <c r="Q148" i="110" a="1"/>
  <c r="Q148" i="110" s="1"/>
  <c r="P148" i="110" a="1"/>
  <c r="P148" i="110" s="1"/>
  <c r="O148" i="110" a="1"/>
  <c r="O148" i="110" s="1"/>
  <c r="N148" i="110" a="1"/>
  <c r="N148" i="110" s="1"/>
  <c r="M148" i="110" a="1"/>
  <c r="M148" i="110" s="1"/>
  <c r="L148" i="110" a="1"/>
  <c r="L148" i="110" s="1"/>
  <c r="K148" i="110" a="1"/>
  <c r="K148" i="110" s="1"/>
  <c r="J148" i="110" a="1"/>
  <c r="J148" i="110" s="1"/>
  <c r="I148" i="110" a="1"/>
  <c r="I148" i="110" s="1"/>
  <c r="H148" i="110" a="1"/>
  <c r="H148" i="110" s="1"/>
  <c r="G148" i="110" a="1"/>
  <c r="G148" i="110" s="1"/>
  <c r="F148" i="110" a="1"/>
  <c r="F148" i="110" s="1"/>
  <c r="E148" i="110" a="1"/>
  <c r="E148" i="110" s="1"/>
  <c r="D148" i="110"/>
  <c r="D148" i="110" a="1"/>
  <c r="W147" i="110" a="1"/>
  <c r="W147" i="110" s="1"/>
  <c r="V147" i="110" a="1"/>
  <c r="V147" i="110" s="1"/>
  <c r="U147" i="110" a="1"/>
  <c r="U147" i="110" s="1"/>
  <c r="T147" i="110" a="1"/>
  <c r="T147" i="110" s="1"/>
  <c r="S147" i="110" a="1"/>
  <c r="S147" i="110" s="1"/>
  <c r="R147" i="110" a="1"/>
  <c r="R147" i="110" s="1"/>
  <c r="Q147" i="110" a="1"/>
  <c r="Q147" i="110" s="1"/>
  <c r="P147" i="110" a="1"/>
  <c r="P147" i="110" s="1"/>
  <c r="O147" i="110" a="1"/>
  <c r="O147" i="110" s="1"/>
  <c r="N147" i="110" a="1"/>
  <c r="N147" i="110" s="1"/>
  <c r="M147" i="110" a="1"/>
  <c r="M147" i="110" s="1"/>
  <c r="L147" i="110" a="1"/>
  <c r="L147" i="110" s="1"/>
  <c r="K147" i="110" a="1"/>
  <c r="K147" i="110" s="1"/>
  <c r="J147" i="110" a="1"/>
  <c r="J147" i="110" s="1"/>
  <c r="I147" i="110" a="1"/>
  <c r="I147" i="110" s="1"/>
  <c r="H147" i="110" a="1"/>
  <c r="H147" i="110" s="1"/>
  <c r="G147" i="110" a="1"/>
  <c r="G147" i="110" s="1"/>
  <c r="F147" i="110" a="1"/>
  <c r="F147" i="110" s="1"/>
  <c r="E147" i="110" a="1"/>
  <c r="E147" i="110" s="1"/>
  <c r="D147" i="110" a="1"/>
  <c r="D147" i="110" s="1"/>
  <c r="W146" i="110" a="1"/>
  <c r="W146" i="110" s="1"/>
  <c r="V146" i="110"/>
  <c r="V146" i="110" a="1"/>
  <c r="U146" i="110" a="1"/>
  <c r="U146" i="110" s="1"/>
  <c r="T146" i="110" a="1"/>
  <c r="T146" i="110" s="1"/>
  <c r="S146" i="110" a="1"/>
  <c r="S146" i="110" s="1"/>
  <c r="R146" i="110" a="1"/>
  <c r="R146" i="110" s="1"/>
  <c r="Q146" i="110" a="1"/>
  <c r="Q146" i="110" s="1"/>
  <c r="P146" i="110" a="1"/>
  <c r="P146" i="110" s="1"/>
  <c r="O146" i="110" a="1"/>
  <c r="O146" i="110" s="1"/>
  <c r="N146" i="110" a="1"/>
  <c r="N146" i="110" s="1"/>
  <c r="M146" i="110" a="1"/>
  <c r="M146" i="110" s="1"/>
  <c r="L146" i="110" a="1"/>
  <c r="L146" i="110" s="1"/>
  <c r="K146" i="110" a="1"/>
  <c r="K146" i="110" s="1"/>
  <c r="J146" i="110" a="1"/>
  <c r="J146" i="110" s="1"/>
  <c r="I146" i="110" a="1"/>
  <c r="I146" i="110" s="1"/>
  <c r="H146" i="110" a="1"/>
  <c r="H146" i="110" s="1"/>
  <c r="G146" i="110" a="1"/>
  <c r="G146" i="110" s="1"/>
  <c r="F146" i="110" a="1"/>
  <c r="F146" i="110" s="1"/>
  <c r="E146" i="110" a="1"/>
  <c r="E146" i="110" s="1"/>
  <c r="D146" i="110" a="1"/>
  <c r="D146" i="110" s="1"/>
  <c r="W145" i="110" a="1"/>
  <c r="W145" i="110" s="1"/>
  <c r="V145" i="110" a="1"/>
  <c r="V145" i="110" s="1"/>
  <c r="U145" i="110" a="1"/>
  <c r="U145" i="110" s="1"/>
  <c r="T145" i="110" a="1"/>
  <c r="T145" i="110" s="1"/>
  <c r="S145" i="110" a="1"/>
  <c r="S145" i="110" s="1"/>
  <c r="R145" i="110" a="1"/>
  <c r="R145" i="110" s="1"/>
  <c r="Q145" i="110" a="1"/>
  <c r="Q145" i="110" s="1"/>
  <c r="P145" i="110" a="1"/>
  <c r="P145" i="110" s="1"/>
  <c r="O145" i="110" a="1"/>
  <c r="O145" i="110" s="1"/>
  <c r="N145" i="110" a="1"/>
  <c r="N145" i="110" s="1"/>
  <c r="M145" i="110" a="1"/>
  <c r="M145" i="110" s="1"/>
  <c r="L145" i="110" a="1"/>
  <c r="L145" i="110" s="1"/>
  <c r="K145" i="110" a="1"/>
  <c r="K145" i="110" s="1"/>
  <c r="J145" i="110" a="1"/>
  <c r="J145" i="110" s="1"/>
  <c r="I145" i="110" a="1"/>
  <c r="I145" i="110" s="1"/>
  <c r="H145" i="110" a="1"/>
  <c r="H145" i="110" s="1"/>
  <c r="G145" i="110" a="1"/>
  <c r="G145" i="110" s="1"/>
  <c r="F145" i="110" a="1"/>
  <c r="F145" i="110" s="1"/>
  <c r="E145" i="110" a="1"/>
  <c r="E145" i="110" s="1"/>
  <c r="D145" i="110" a="1"/>
  <c r="D145" i="110" s="1"/>
  <c r="W144" i="110" a="1"/>
  <c r="W144" i="110" s="1"/>
  <c r="V144" i="110" a="1"/>
  <c r="V144" i="110" s="1"/>
  <c r="U144" i="110" a="1"/>
  <c r="U144" i="110" s="1"/>
  <c r="T144" i="110" a="1"/>
  <c r="T144" i="110" s="1"/>
  <c r="S144" i="110" a="1"/>
  <c r="S144" i="110" s="1"/>
  <c r="R144" i="110" a="1"/>
  <c r="R144" i="110" s="1"/>
  <c r="Q144" i="110" a="1"/>
  <c r="Q144" i="110" s="1"/>
  <c r="P144" i="110" a="1"/>
  <c r="P144" i="110" s="1"/>
  <c r="O144" i="110" a="1"/>
  <c r="O144" i="110" s="1"/>
  <c r="N144" i="110" a="1"/>
  <c r="N144" i="110" s="1"/>
  <c r="M144" i="110" a="1"/>
  <c r="M144" i="110" s="1"/>
  <c r="L144" i="110" a="1"/>
  <c r="L144" i="110" s="1"/>
  <c r="K144" i="110" a="1"/>
  <c r="K144" i="110" s="1"/>
  <c r="J144" i="110" a="1"/>
  <c r="J144" i="110" s="1"/>
  <c r="I144" i="110" a="1"/>
  <c r="I144" i="110" s="1"/>
  <c r="H144" i="110" a="1"/>
  <c r="H144" i="110" s="1"/>
  <c r="G144" i="110" a="1"/>
  <c r="G144" i="110" s="1"/>
  <c r="F144" i="110" a="1"/>
  <c r="F144" i="110" s="1"/>
  <c r="E144" i="110" a="1"/>
  <c r="E144" i="110" s="1"/>
  <c r="D144" i="110" a="1"/>
  <c r="D144" i="110" s="1"/>
  <c r="W143" i="110" a="1"/>
  <c r="W143" i="110" s="1"/>
  <c r="V143" i="110" a="1"/>
  <c r="V143" i="110" s="1"/>
  <c r="U143" i="110" a="1"/>
  <c r="U143" i="110" s="1"/>
  <c r="T143" i="110" a="1"/>
  <c r="T143" i="110" s="1"/>
  <c r="S143" i="110" a="1"/>
  <c r="S143" i="110" s="1"/>
  <c r="R143" i="110" a="1"/>
  <c r="R143" i="110" s="1"/>
  <c r="Q143" i="110" a="1"/>
  <c r="Q143" i="110" s="1"/>
  <c r="P143" i="110" a="1"/>
  <c r="P143" i="110" s="1"/>
  <c r="O143" i="110" a="1"/>
  <c r="O143" i="110" s="1"/>
  <c r="N143" i="110" a="1"/>
  <c r="N143" i="110" s="1"/>
  <c r="M143" i="110" a="1"/>
  <c r="M143" i="110" s="1"/>
  <c r="L143" i="110" a="1"/>
  <c r="L143" i="110" s="1"/>
  <c r="K143" i="110" a="1"/>
  <c r="K143" i="110" s="1"/>
  <c r="J143" i="110" a="1"/>
  <c r="J143" i="110" s="1"/>
  <c r="I143" i="110" a="1"/>
  <c r="I143" i="110" s="1"/>
  <c r="H143" i="110" a="1"/>
  <c r="H143" i="110" s="1"/>
  <c r="G143" i="110"/>
  <c r="G143" i="110" a="1"/>
  <c r="F143" i="110" a="1"/>
  <c r="F143" i="110" s="1"/>
  <c r="E143" i="110" a="1"/>
  <c r="E143" i="110" s="1"/>
  <c r="D143" i="110" a="1"/>
  <c r="D143" i="110" s="1"/>
  <c r="W142" i="110" a="1"/>
  <c r="W142" i="110" s="1"/>
  <c r="V142" i="110" a="1"/>
  <c r="V142" i="110" s="1"/>
  <c r="U142" i="110" a="1"/>
  <c r="U142" i="110" s="1"/>
  <c r="T142" i="110" a="1"/>
  <c r="T142" i="110" s="1"/>
  <c r="S142" i="110" a="1"/>
  <c r="S142" i="110" s="1"/>
  <c r="R142" i="110" a="1"/>
  <c r="R142" i="110" s="1"/>
  <c r="Q142" i="110" a="1"/>
  <c r="Q142" i="110" s="1"/>
  <c r="P142" i="110" a="1"/>
  <c r="P142" i="110" s="1"/>
  <c r="O142" i="110" a="1"/>
  <c r="O142" i="110" s="1"/>
  <c r="N142" i="110" a="1"/>
  <c r="N142" i="110" s="1"/>
  <c r="M142" i="110" a="1"/>
  <c r="M142" i="110" s="1"/>
  <c r="L142" i="110" a="1"/>
  <c r="L142" i="110" s="1"/>
  <c r="K142" i="110" a="1"/>
  <c r="K142" i="110" s="1"/>
  <c r="J142" i="110" a="1"/>
  <c r="J142" i="110" s="1"/>
  <c r="I142" i="110" a="1"/>
  <c r="I142" i="110" s="1"/>
  <c r="H142" i="110" a="1"/>
  <c r="H142" i="110" s="1"/>
  <c r="G142" i="110" a="1"/>
  <c r="G142" i="110" s="1"/>
  <c r="F142" i="110" a="1"/>
  <c r="F142" i="110" s="1"/>
  <c r="E142" i="110" a="1"/>
  <c r="E142" i="110" s="1"/>
  <c r="D142" i="110" a="1"/>
  <c r="D142" i="110" s="1"/>
  <c r="W141" i="110" a="1"/>
  <c r="W141" i="110" s="1"/>
  <c r="V141" i="110" a="1"/>
  <c r="V141" i="110" s="1"/>
  <c r="U141" i="110" a="1"/>
  <c r="U141" i="110" s="1"/>
  <c r="T141" i="110" a="1"/>
  <c r="T141" i="110" s="1"/>
  <c r="S141" i="110" a="1"/>
  <c r="S141" i="110" s="1"/>
  <c r="R141" i="110" a="1"/>
  <c r="R141" i="110" s="1"/>
  <c r="Q141" i="110" a="1"/>
  <c r="Q141" i="110" s="1"/>
  <c r="P141" i="110" a="1"/>
  <c r="P141" i="110" s="1"/>
  <c r="O141" i="110" a="1"/>
  <c r="O141" i="110" s="1"/>
  <c r="N141" i="110" a="1"/>
  <c r="N141" i="110" s="1"/>
  <c r="M141" i="110" a="1"/>
  <c r="M141" i="110" s="1"/>
  <c r="L141" i="110" a="1"/>
  <c r="L141" i="110" s="1"/>
  <c r="K141" i="110" a="1"/>
  <c r="K141" i="110" s="1"/>
  <c r="J141" i="110" a="1"/>
  <c r="J141" i="110" s="1"/>
  <c r="I141" i="110" a="1"/>
  <c r="I141" i="110" s="1"/>
  <c r="H141" i="110" a="1"/>
  <c r="H141" i="110" s="1"/>
  <c r="G141" i="110" a="1"/>
  <c r="G141" i="110" s="1"/>
  <c r="F141" i="110" a="1"/>
  <c r="F141" i="110" s="1"/>
  <c r="E141" i="110" a="1"/>
  <c r="E141" i="110" s="1"/>
  <c r="D141" i="110" a="1"/>
  <c r="D141" i="110" s="1"/>
  <c r="W140" i="110" a="1"/>
  <c r="W140" i="110" s="1"/>
  <c r="V140" i="110" a="1"/>
  <c r="V140" i="110" s="1"/>
  <c r="U140" i="110" a="1"/>
  <c r="U140" i="110" s="1"/>
  <c r="T140" i="110"/>
  <c r="T140" i="110" a="1"/>
  <c r="S140" i="110" a="1"/>
  <c r="S140" i="110" s="1"/>
  <c r="R140" i="110" a="1"/>
  <c r="R140" i="110" s="1"/>
  <c r="Q140" i="110" a="1"/>
  <c r="Q140" i="110" s="1"/>
  <c r="P140" i="110" a="1"/>
  <c r="P140" i="110" s="1"/>
  <c r="O140" i="110" a="1"/>
  <c r="O140" i="110" s="1"/>
  <c r="N140" i="110" a="1"/>
  <c r="N140" i="110" s="1"/>
  <c r="M140" i="110" a="1"/>
  <c r="M140" i="110" s="1"/>
  <c r="L140" i="110" a="1"/>
  <c r="L140" i="110" s="1"/>
  <c r="K140" i="110" a="1"/>
  <c r="K140" i="110" s="1"/>
  <c r="J140" i="110" a="1"/>
  <c r="J140" i="110" s="1"/>
  <c r="I140" i="110" a="1"/>
  <c r="I140" i="110" s="1"/>
  <c r="H140" i="110" a="1"/>
  <c r="H140" i="110" s="1"/>
  <c r="G140" i="110" a="1"/>
  <c r="G140" i="110" s="1"/>
  <c r="F140" i="110" a="1"/>
  <c r="F140" i="110" s="1"/>
  <c r="E140" i="110" a="1"/>
  <c r="E140" i="110" s="1"/>
  <c r="D140" i="110"/>
  <c r="D140" i="110" a="1"/>
  <c r="W139" i="110" a="1"/>
  <c r="W139" i="110" s="1"/>
  <c r="V139" i="110" a="1"/>
  <c r="V139" i="110" s="1"/>
  <c r="U139" i="110" a="1"/>
  <c r="U139" i="110" s="1"/>
  <c r="T139" i="110" a="1"/>
  <c r="T139" i="110" s="1"/>
  <c r="S139" i="110" a="1"/>
  <c r="S139" i="110" s="1"/>
  <c r="R139" i="110" a="1"/>
  <c r="R139" i="110" s="1"/>
  <c r="Q139" i="110" a="1"/>
  <c r="Q139" i="110" s="1"/>
  <c r="P139" i="110" a="1"/>
  <c r="P139" i="110" s="1"/>
  <c r="O139" i="110" a="1"/>
  <c r="O139" i="110" s="1"/>
  <c r="N139" i="110" a="1"/>
  <c r="N139" i="110" s="1"/>
  <c r="M139" i="110" a="1"/>
  <c r="M139" i="110" s="1"/>
  <c r="L139" i="110" a="1"/>
  <c r="L139" i="110" s="1"/>
  <c r="K139" i="110" a="1"/>
  <c r="K139" i="110" s="1"/>
  <c r="J139" i="110" a="1"/>
  <c r="J139" i="110" s="1"/>
  <c r="I139" i="110" a="1"/>
  <c r="I139" i="110" s="1"/>
  <c r="H139" i="110" a="1"/>
  <c r="H139" i="110" s="1"/>
  <c r="G139" i="110" a="1"/>
  <c r="G139" i="110" s="1"/>
  <c r="F139" i="110" a="1"/>
  <c r="F139" i="110" s="1"/>
  <c r="E139" i="110"/>
  <c r="E139" i="110" a="1"/>
  <c r="D139" i="110" a="1"/>
  <c r="D139" i="110" s="1"/>
  <c r="W138" i="110" a="1"/>
  <c r="W138" i="110" s="1"/>
  <c r="V138" i="110" a="1"/>
  <c r="V138" i="110" s="1"/>
  <c r="U138" i="110" a="1"/>
  <c r="U138" i="110" s="1"/>
  <c r="T138" i="110" a="1"/>
  <c r="T138" i="110" s="1"/>
  <c r="S138" i="110" a="1"/>
  <c r="S138" i="110" s="1"/>
  <c r="R138" i="110" a="1"/>
  <c r="R138" i="110" s="1"/>
  <c r="Q138" i="110" a="1"/>
  <c r="Q138" i="110" s="1"/>
  <c r="P138" i="110" a="1"/>
  <c r="P138" i="110" s="1"/>
  <c r="O138" i="110" a="1"/>
  <c r="O138" i="110" s="1"/>
  <c r="N138" i="110" a="1"/>
  <c r="N138" i="110" s="1"/>
  <c r="M138" i="110" a="1"/>
  <c r="M138" i="110" s="1"/>
  <c r="L138" i="110" a="1"/>
  <c r="L138" i="110" s="1"/>
  <c r="K138" i="110" a="1"/>
  <c r="K138" i="110" s="1"/>
  <c r="J138" i="110" a="1"/>
  <c r="J138" i="110" s="1"/>
  <c r="I138" i="110" a="1"/>
  <c r="I138" i="110" s="1"/>
  <c r="H138" i="110" a="1"/>
  <c r="H138" i="110" s="1"/>
  <c r="G138" i="110" a="1"/>
  <c r="G138" i="110" s="1"/>
  <c r="F138" i="110" a="1"/>
  <c r="F138" i="110" s="1"/>
  <c r="E138" i="110" a="1"/>
  <c r="E138" i="110" s="1"/>
  <c r="D138" i="110" a="1"/>
  <c r="D138" i="110" s="1"/>
  <c r="W137" i="110" a="1"/>
  <c r="W137" i="110" s="1"/>
  <c r="V137" i="110" a="1"/>
  <c r="V137" i="110" s="1"/>
  <c r="U137" i="110" a="1"/>
  <c r="U137" i="110" s="1"/>
  <c r="T137" i="110" a="1"/>
  <c r="T137" i="110" s="1"/>
  <c r="S137" i="110" a="1"/>
  <c r="S137" i="110" s="1"/>
  <c r="R137" i="110" a="1"/>
  <c r="R137" i="110" s="1"/>
  <c r="Q137" i="110" a="1"/>
  <c r="Q137" i="110" s="1"/>
  <c r="P137" i="110" a="1"/>
  <c r="P137" i="110" s="1"/>
  <c r="O137" i="110" a="1"/>
  <c r="O137" i="110" s="1"/>
  <c r="N137" i="110" a="1"/>
  <c r="N137" i="110" s="1"/>
  <c r="M137" i="110" a="1"/>
  <c r="M137" i="110" s="1"/>
  <c r="L137" i="110" a="1"/>
  <c r="L137" i="110" s="1"/>
  <c r="K137" i="110" a="1"/>
  <c r="K137" i="110" s="1"/>
  <c r="J137" i="110" a="1"/>
  <c r="J137" i="110" s="1"/>
  <c r="I137" i="110" a="1"/>
  <c r="I137" i="110" s="1"/>
  <c r="H137" i="110" a="1"/>
  <c r="H137" i="110" s="1"/>
  <c r="G137" i="110" a="1"/>
  <c r="G137" i="110" s="1"/>
  <c r="F137" i="110" a="1"/>
  <c r="F137" i="110" s="1"/>
  <c r="E137" i="110" a="1"/>
  <c r="E137" i="110" s="1"/>
  <c r="D137" i="110" a="1"/>
  <c r="D137" i="110" s="1"/>
  <c r="W136" i="110" a="1"/>
  <c r="W136" i="110" s="1"/>
  <c r="V136" i="110" a="1"/>
  <c r="V136" i="110" s="1"/>
  <c r="U136" i="110" a="1"/>
  <c r="U136" i="110" s="1"/>
  <c r="T136" i="110" a="1"/>
  <c r="T136" i="110" s="1"/>
  <c r="S136" i="110" a="1"/>
  <c r="S136" i="110" s="1"/>
  <c r="R136" i="110" a="1"/>
  <c r="R136" i="110" s="1"/>
  <c r="Q136" i="110" a="1"/>
  <c r="Q136" i="110" s="1"/>
  <c r="P136" i="110" a="1"/>
  <c r="P136" i="110" s="1"/>
  <c r="O136" i="110" a="1"/>
  <c r="O136" i="110" s="1"/>
  <c r="N136" i="110" a="1"/>
  <c r="N136" i="110" s="1"/>
  <c r="M136" i="110" a="1"/>
  <c r="M136" i="110" s="1"/>
  <c r="L136" i="110" a="1"/>
  <c r="L136" i="110" s="1"/>
  <c r="K136" i="110" a="1"/>
  <c r="K136" i="110" s="1"/>
  <c r="J136" i="110" a="1"/>
  <c r="J136" i="110" s="1"/>
  <c r="I136" i="110" a="1"/>
  <c r="I136" i="110" s="1"/>
  <c r="H136" i="110" a="1"/>
  <c r="H136" i="110" s="1"/>
  <c r="G136" i="110" a="1"/>
  <c r="G136" i="110" s="1"/>
  <c r="F136" i="110" a="1"/>
  <c r="F136" i="110" s="1"/>
  <c r="E136" i="110" a="1"/>
  <c r="E136" i="110" s="1"/>
  <c r="D136" i="110" a="1"/>
  <c r="D136" i="110" s="1"/>
  <c r="W135" i="110" a="1"/>
  <c r="W135" i="110" s="1"/>
  <c r="V135" i="110" a="1"/>
  <c r="V135" i="110" s="1"/>
  <c r="U135" i="110" a="1"/>
  <c r="U135" i="110" s="1"/>
  <c r="T135" i="110" a="1"/>
  <c r="T135" i="110" s="1"/>
  <c r="S135" i="110" a="1"/>
  <c r="S135" i="110" s="1"/>
  <c r="R135" i="110" a="1"/>
  <c r="R135" i="110" s="1"/>
  <c r="Q135" i="110" a="1"/>
  <c r="Q135" i="110" s="1"/>
  <c r="P135" i="110" a="1"/>
  <c r="P135" i="110" s="1"/>
  <c r="O135" i="110" a="1"/>
  <c r="O135" i="110" s="1"/>
  <c r="N135" i="110" a="1"/>
  <c r="N135" i="110" s="1"/>
  <c r="M135" i="110" a="1"/>
  <c r="M135" i="110" s="1"/>
  <c r="L135" i="110" a="1"/>
  <c r="L135" i="110" s="1"/>
  <c r="K135" i="110" a="1"/>
  <c r="K135" i="110" s="1"/>
  <c r="J135" i="110" a="1"/>
  <c r="J135" i="110" s="1"/>
  <c r="I135" i="110" a="1"/>
  <c r="I135" i="110" s="1"/>
  <c r="H135" i="110"/>
  <c r="H135" i="110" a="1"/>
  <c r="G135" i="110" a="1"/>
  <c r="G135" i="110" s="1"/>
  <c r="F135" i="110" a="1"/>
  <c r="F135" i="110" s="1"/>
  <c r="E135" i="110" a="1"/>
  <c r="E135" i="110" s="1"/>
  <c r="D135" i="110" a="1"/>
  <c r="D135" i="110" s="1"/>
  <c r="W134" i="110" a="1"/>
  <c r="W134" i="110" s="1"/>
  <c r="V134" i="110" a="1"/>
  <c r="V134" i="110" s="1"/>
  <c r="U134" i="110" a="1"/>
  <c r="U134" i="110" s="1"/>
  <c r="T134" i="110" a="1"/>
  <c r="T134" i="110" s="1"/>
  <c r="S134" i="110" a="1"/>
  <c r="S134" i="110" s="1"/>
  <c r="R134" i="110" a="1"/>
  <c r="R134" i="110" s="1"/>
  <c r="Q134" i="110" a="1"/>
  <c r="Q134" i="110" s="1"/>
  <c r="P134" i="110" a="1"/>
  <c r="P134" i="110" s="1"/>
  <c r="O134" i="110" a="1"/>
  <c r="O134" i="110" s="1"/>
  <c r="N134" i="110"/>
  <c r="N134" i="110" a="1"/>
  <c r="M134" i="110" a="1"/>
  <c r="M134" i="110" s="1"/>
  <c r="L134" i="110" a="1"/>
  <c r="L134" i="110" s="1"/>
  <c r="K134" i="110"/>
  <c r="K134" i="110" a="1"/>
  <c r="J134" i="110" a="1"/>
  <c r="J134" i="110" s="1"/>
  <c r="I134" i="110" a="1"/>
  <c r="I134" i="110" s="1"/>
  <c r="H134" i="110" a="1"/>
  <c r="H134" i="110" s="1"/>
  <c r="G134" i="110" a="1"/>
  <c r="G134" i="110" s="1"/>
  <c r="F134" i="110" a="1"/>
  <c r="F134" i="110" s="1"/>
  <c r="E134" i="110" a="1"/>
  <c r="E134" i="110" s="1"/>
  <c r="D134" i="110" a="1"/>
  <c r="D134" i="110" s="1"/>
  <c r="W133" i="110" a="1"/>
  <c r="W133" i="110" s="1"/>
  <c r="V133" i="110" a="1"/>
  <c r="V133" i="110" s="1"/>
  <c r="U133" i="110" a="1"/>
  <c r="U133" i="110" s="1"/>
  <c r="T133" i="110" a="1"/>
  <c r="T133" i="110" s="1"/>
  <c r="S133" i="110" a="1"/>
  <c r="S133" i="110" s="1"/>
  <c r="R133" i="110" a="1"/>
  <c r="R133" i="110" s="1"/>
  <c r="Q133" i="110" a="1"/>
  <c r="Q133" i="110" s="1"/>
  <c r="P133" i="110" a="1"/>
  <c r="P133" i="110" s="1"/>
  <c r="O133" i="110" a="1"/>
  <c r="O133" i="110" s="1"/>
  <c r="N133" i="110" a="1"/>
  <c r="N133" i="110" s="1"/>
  <c r="M133" i="110" a="1"/>
  <c r="M133" i="110" s="1"/>
  <c r="L133" i="110" a="1"/>
  <c r="L133" i="110" s="1"/>
  <c r="K133" i="110" a="1"/>
  <c r="K133" i="110" s="1"/>
  <c r="J133" i="110" a="1"/>
  <c r="J133" i="110" s="1"/>
  <c r="I133" i="110" a="1"/>
  <c r="I133" i="110" s="1"/>
  <c r="H133" i="110" a="1"/>
  <c r="H133" i="110" s="1"/>
  <c r="G133" i="110"/>
  <c r="G133" i="110" a="1"/>
  <c r="F133" i="110" a="1"/>
  <c r="F133" i="110" s="1"/>
  <c r="E133" i="110"/>
  <c r="E133" i="110" a="1"/>
  <c r="D133" i="110" a="1"/>
  <c r="D133" i="110" s="1"/>
  <c r="W132" i="110" a="1"/>
  <c r="W132" i="110" s="1"/>
  <c r="V132" i="110" a="1"/>
  <c r="V132" i="110" s="1"/>
  <c r="U132" i="110" a="1"/>
  <c r="U132" i="110" s="1"/>
  <c r="T132" i="110" a="1"/>
  <c r="T132" i="110" s="1"/>
  <c r="S132" i="110" a="1"/>
  <c r="S132" i="110" s="1"/>
  <c r="R132" i="110" a="1"/>
  <c r="R132" i="110" s="1"/>
  <c r="Q132" i="110" a="1"/>
  <c r="Q132" i="110" s="1"/>
  <c r="P132" i="110" a="1"/>
  <c r="P132" i="110" s="1"/>
  <c r="O132" i="110" a="1"/>
  <c r="O132" i="110" s="1"/>
  <c r="N132" i="110" a="1"/>
  <c r="N132" i="110" s="1"/>
  <c r="M132" i="110" a="1"/>
  <c r="M132" i="110" s="1"/>
  <c r="L132" i="110" a="1"/>
  <c r="L132" i="110" s="1"/>
  <c r="K132" i="110" a="1"/>
  <c r="K132" i="110" s="1"/>
  <c r="J132" i="110" a="1"/>
  <c r="J132" i="110" s="1"/>
  <c r="I132" i="110" a="1"/>
  <c r="I132" i="110" s="1"/>
  <c r="H132" i="110" a="1"/>
  <c r="H132" i="110" s="1"/>
  <c r="G132" i="110" a="1"/>
  <c r="G132" i="110" s="1"/>
  <c r="F132" i="110"/>
  <c r="F132" i="110" a="1"/>
  <c r="E132" i="110" a="1"/>
  <c r="E132" i="110" s="1"/>
  <c r="D132" i="110" a="1"/>
  <c r="D132" i="110" s="1"/>
  <c r="W131" i="110" a="1"/>
  <c r="W131" i="110" s="1"/>
  <c r="V131" i="110" a="1"/>
  <c r="V131" i="110" s="1"/>
  <c r="U131" i="110" a="1"/>
  <c r="U131" i="110" s="1"/>
  <c r="T131" i="110" a="1"/>
  <c r="T131" i="110" s="1"/>
  <c r="S131" i="110" a="1"/>
  <c r="S131" i="110" s="1"/>
  <c r="R131" i="110" a="1"/>
  <c r="R131" i="110" s="1"/>
  <c r="Q131" i="110" a="1"/>
  <c r="Q131" i="110" s="1"/>
  <c r="P131" i="110" a="1"/>
  <c r="P131" i="110" s="1"/>
  <c r="O131" i="110" a="1"/>
  <c r="O131" i="110" s="1"/>
  <c r="N131" i="110" a="1"/>
  <c r="N131" i="110" s="1"/>
  <c r="M131" i="110" a="1"/>
  <c r="M131" i="110" s="1"/>
  <c r="L131" i="110" a="1"/>
  <c r="L131" i="110" s="1"/>
  <c r="K131" i="110" a="1"/>
  <c r="K131" i="110" s="1"/>
  <c r="J131" i="110" a="1"/>
  <c r="J131" i="110" s="1"/>
  <c r="I131" i="110" a="1"/>
  <c r="I131" i="110" s="1"/>
  <c r="H131" i="110" a="1"/>
  <c r="H131" i="110" s="1"/>
  <c r="G131" i="110" a="1"/>
  <c r="G131" i="110" s="1"/>
  <c r="F131" i="110" a="1"/>
  <c r="F131" i="110" s="1"/>
  <c r="E131" i="110" a="1"/>
  <c r="E131" i="110" s="1"/>
  <c r="D131" i="110" a="1"/>
  <c r="D131" i="110" s="1"/>
  <c r="W130" i="110" a="1"/>
  <c r="W130" i="110" s="1"/>
  <c r="V130" i="110" a="1"/>
  <c r="V130" i="110" s="1"/>
  <c r="U130" i="110" a="1"/>
  <c r="U130" i="110" s="1"/>
  <c r="T130" i="110" a="1"/>
  <c r="T130" i="110" s="1"/>
  <c r="S130" i="110" a="1"/>
  <c r="S130" i="110" s="1"/>
  <c r="R130" i="110" a="1"/>
  <c r="R130" i="110" s="1"/>
  <c r="Q130" i="110" a="1"/>
  <c r="Q130" i="110" s="1"/>
  <c r="P130" i="110" a="1"/>
  <c r="P130" i="110" s="1"/>
  <c r="O130" i="110" a="1"/>
  <c r="O130" i="110" s="1"/>
  <c r="N130" i="110" a="1"/>
  <c r="N130" i="110" s="1"/>
  <c r="M130" i="110" a="1"/>
  <c r="M130" i="110" s="1"/>
  <c r="L130" i="110" a="1"/>
  <c r="L130" i="110" s="1"/>
  <c r="K130" i="110" a="1"/>
  <c r="K130" i="110" s="1"/>
  <c r="J130" i="110" a="1"/>
  <c r="J130" i="110" s="1"/>
  <c r="I130" i="110" a="1"/>
  <c r="I130" i="110" s="1"/>
  <c r="H130" i="110" a="1"/>
  <c r="H130" i="110" s="1"/>
  <c r="G130" i="110" a="1"/>
  <c r="G130" i="110" s="1"/>
  <c r="F130" i="110" a="1"/>
  <c r="F130" i="110" s="1"/>
  <c r="E130" i="110" a="1"/>
  <c r="E130" i="110" s="1"/>
  <c r="D130" i="110" a="1"/>
  <c r="D130" i="110" s="1"/>
  <c r="W129" i="110" a="1"/>
  <c r="W129" i="110" s="1"/>
  <c r="V129" i="110" a="1"/>
  <c r="V129" i="110" s="1"/>
  <c r="U129" i="110" a="1"/>
  <c r="U129" i="110" s="1"/>
  <c r="T129" i="110" a="1"/>
  <c r="T129" i="110" s="1"/>
  <c r="S129" i="110" a="1"/>
  <c r="S129" i="110" s="1"/>
  <c r="R129" i="110" a="1"/>
  <c r="R129" i="110" s="1"/>
  <c r="Q129" i="110" a="1"/>
  <c r="Q129" i="110" s="1"/>
  <c r="P129" i="110" a="1"/>
  <c r="P129" i="110" s="1"/>
  <c r="O129" i="110" a="1"/>
  <c r="O129" i="110" s="1"/>
  <c r="N129" i="110" a="1"/>
  <c r="N129" i="110" s="1"/>
  <c r="M129" i="110" a="1"/>
  <c r="M129" i="110" s="1"/>
  <c r="L129" i="110" a="1"/>
  <c r="L129" i="110" s="1"/>
  <c r="K129" i="110" a="1"/>
  <c r="K129" i="110" s="1"/>
  <c r="J129" i="110" a="1"/>
  <c r="J129" i="110" s="1"/>
  <c r="I129" i="110" a="1"/>
  <c r="I129" i="110" s="1"/>
  <c r="H129" i="110" a="1"/>
  <c r="H129" i="110" s="1"/>
  <c r="G129" i="110" a="1"/>
  <c r="G129" i="110" s="1"/>
  <c r="F129" i="110"/>
  <c r="F129" i="110" a="1"/>
  <c r="E129" i="110" a="1"/>
  <c r="E129" i="110" s="1"/>
  <c r="D129" i="110" a="1"/>
  <c r="D129" i="110" s="1"/>
  <c r="W128" i="110" a="1"/>
  <c r="W128" i="110" s="1"/>
  <c r="V128" i="110" a="1"/>
  <c r="V128" i="110" s="1"/>
  <c r="U128" i="110" a="1"/>
  <c r="U128" i="110" s="1"/>
  <c r="T128" i="110" a="1"/>
  <c r="T128" i="110" s="1"/>
  <c r="S128" i="110" a="1"/>
  <c r="S128" i="110" s="1"/>
  <c r="R128" i="110" a="1"/>
  <c r="R128" i="110" s="1"/>
  <c r="Q128" i="110" a="1"/>
  <c r="Q128" i="110" s="1"/>
  <c r="P128" i="110" a="1"/>
  <c r="P128" i="110" s="1"/>
  <c r="O128" i="110" a="1"/>
  <c r="O128" i="110" s="1"/>
  <c r="N128" i="110" a="1"/>
  <c r="N128" i="110" s="1"/>
  <c r="M128" i="110" a="1"/>
  <c r="M128" i="110" s="1"/>
  <c r="L128" i="110" a="1"/>
  <c r="L128" i="110" s="1"/>
  <c r="K128" i="110" a="1"/>
  <c r="K128" i="110" s="1"/>
  <c r="J128" i="110"/>
  <c r="J128" i="110" a="1"/>
  <c r="I128" i="110"/>
  <c r="I128" i="110" a="1"/>
  <c r="H128" i="110" a="1"/>
  <c r="H128" i="110" s="1"/>
  <c r="G128" i="110" a="1"/>
  <c r="G128" i="110" s="1"/>
  <c r="F128" i="110"/>
  <c r="F128" i="110" a="1"/>
  <c r="E128" i="110" a="1"/>
  <c r="E128" i="110" s="1"/>
  <c r="D128" i="110" a="1"/>
  <c r="D128" i="110" s="1"/>
  <c r="W127" i="110" a="1"/>
  <c r="W127" i="110" s="1"/>
  <c r="V127" i="110" a="1"/>
  <c r="V127" i="110" s="1"/>
  <c r="U127" i="110" a="1"/>
  <c r="U127" i="110" s="1"/>
  <c r="T127" i="110"/>
  <c r="T127" i="110" a="1"/>
  <c r="S127" i="110" a="1"/>
  <c r="S127" i="110" s="1"/>
  <c r="R127" i="110" a="1"/>
  <c r="R127" i="110" s="1"/>
  <c r="Q127" i="110" a="1"/>
  <c r="Q127" i="110" s="1"/>
  <c r="P127" i="110" a="1"/>
  <c r="P127" i="110" s="1"/>
  <c r="O127" i="110"/>
  <c r="O127" i="110" a="1"/>
  <c r="N127" i="110" a="1"/>
  <c r="N127" i="110" s="1"/>
  <c r="M127" i="110" a="1"/>
  <c r="M127" i="110" s="1"/>
  <c r="L127" i="110" a="1"/>
  <c r="L127" i="110" s="1"/>
  <c r="K127" i="110" a="1"/>
  <c r="K127" i="110" s="1"/>
  <c r="J127" i="110" a="1"/>
  <c r="J127" i="110" s="1"/>
  <c r="I127" i="110" a="1"/>
  <c r="I127" i="110" s="1"/>
  <c r="H127" i="110" a="1"/>
  <c r="H127" i="110" s="1"/>
  <c r="G127" i="110" a="1"/>
  <c r="G127" i="110" s="1"/>
  <c r="F127" i="110" a="1"/>
  <c r="F127" i="110" s="1"/>
  <c r="E127" i="110" a="1"/>
  <c r="E127" i="110" s="1"/>
  <c r="D127" i="110" a="1"/>
  <c r="D127" i="110" s="1"/>
  <c r="W126" i="110" a="1"/>
  <c r="W126" i="110" s="1"/>
  <c r="V126" i="110" a="1"/>
  <c r="V126" i="110" s="1"/>
  <c r="U126" i="110" a="1"/>
  <c r="U126" i="110" s="1"/>
  <c r="T126" i="110"/>
  <c r="T126" i="110" a="1"/>
  <c r="S126" i="110"/>
  <c r="S126" i="110" a="1"/>
  <c r="R126" i="110" a="1"/>
  <c r="R126" i="110" s="1"/>
  <c r="Q126" i="110"/>
  <c r="Q126" i="110" a="1"/>
  <c r="P126" i="110" a="1"/>
  <c r="P126" i="110" s="1"/>
  <c r="O126" i="110" a="1"/>
  <c r="O126" i="110" s="1"/>
  <c r="N126" i="110" a="1"/>
  <c r="N126" i="110" s="1"/>
  <c r="M126" i="110" a="1"/>
  <c r="M126" i="110" s="1"/>
  <c r="L126" i="110" a="1"/>
  <c r="L126" i="110" s="1"/>
  <c r="K126" i="110" a="1"/>
  <c r="K126" i="110" s="1"/>
  <c r="J126" i="110" a="1"/>
  <c r="J126" i="110" s="1"/>
  <c r="I126" i="110" a="1"/>
  <c r="I126" i="110" s="1"/>
  <c r="H126" i="110" a="1"/>
  <c r="H126" i="110" s="1"/>
  <c r="G126" i="110" a="1"/>
  <c r="G126" i="110" s="1"/>
  <c r="F126" i="110" a="1"/>
  <c r="F126" i="110" s="1"/>
  <c r="E126" i="110"/>
  <c r="E126" i="110" a="1"/>
  <c r="D126" i="110" a="1"/>
  <c r="D126" i="110" s="1"/>
  <c r="W125" i="110"/>
  <c r="W125" i="110" a="1"/>
  <c r="V125" i="110" a="1"/>
  <c r="V125" i="110" s="1"/>
  <c r="U125" i="110" a="1"/>
  <c r="U125" i="110" s="1"/>
  <c r="T125" i="110" a="1"/>
  <c r="T125" i="110" s="1"/>
  <c r="S125" i="110" a="1"/>
  <c r="S125" i="110" s="1"/>
  <c r="R125" i="110" a="1"/>
  <c r="R125" i="110" s="1"/>
  <c r="Q125" i="110" a="1"/>
  <c r="Q125" i="110" s="1"/>
  <c r="P125" i="110" a="1"/>
  <c r="P125" i="110" s="1"/>
  <c r="O125" i="110" a="1"/>
  <c r="O125" i="110" s="1"/>
  <c r="N125" i="110" a="1"/>
  <c r="N125" i="110" s="1"/>
  <c r="M125" i="110" a="1"/>
  <c r="M125" i="110" s="1"/>
  <c r="L125" i="110" a="1"/>
  <c r="L125" i="110" s="1"/>
  <c r="K125" i="110" a="1"/>
  <c r="K125" i="110" s="1"/>
  <c r="J125" i="110" a="1"/>
  <c r="J125" i="110" s="1"/>
  <c r="I125" i="110" a="1"/>
  <c r="I125" i="110" s="1"/>
  <c r="H125" i="110" a="1"/>
  <c r="H125" i="110" s="1"/>
  <c r="G125" i="110" a="1"/>
  <c r="G125" i="110" s="1"/>
  <c r="F125" i="110" a="1"/>
  <c r="F125" i="110" s="1"/>
  <c r="E125" i="110" a="1"/>
  <c r="E125" i="110" s="1"/>
  <c r="D125" i="110" a="1"/>
  <c r="D125" i="110" s="1"/>
  <c r="W124" i="110" a="1"/>
  <c r="W124" i="110" s="1"/>
  <c r="V124" i="110" a="1"/>
  <c r="V124" i="110" s="1"/>
  <c r="U124" i="110" a="1"/>
  <c r="U124" i="110" s="1"/>
  <c r="T124" i="110" a="1"/>
  <c r="T124" i="110" s="1"/>
  <c r="S124" i="110"/>
  <c r="S124" i="110" a="1"/>
  <c r="R124" i="110" a="1"/>
  <c r="R124" i="110" s="1"/>
  <c r="Q124" i="110" a="1"/>
  <c r="Q124" i="110" s="1"/>
  <c r="P124" i="110" a="1"/>
  <c r="P124" i="110" s="1"/>
  <c r="O124" i="110" a="1"/>
  <c r="O124" i="110" s="1"/>
  <c r="N124" i="110" a="1"/>
  <c r="N124" i="110" s="1"/>
  <c r="M124" i="110" a="1"/>
  <c r="M124" i="110" s="1"/>
  <c r="L124" i="110" a="1"/>
  <c r="L124" i="110" s="1"/>
  <c r="K124" i="110" a="1"/>
  <c r="K124" i="110" s="1"/>
  <c r="J124" i="110" a="1"/>
  <c r="J124" i="110" s="1"/>
  <c r="I124" i="110" a="1"/>
  <c r="I124" i="110" s="1"/>
  <c r="H124" i="110" a="1"/>
  <c r="H124" i="110" s="1"/>
  <c r="G124" i="110" a="1"/>
  <c r="G124" i="110" s="1"/>
  <c r="F124" i="110"/>
  <c r="F124" i="110" a="1"/>
  <c r="E124" i="110" a="1"/>
  <c r="E124" i="110" s="1"/>
  <c r="D124" i="110" a="1"/>
  <c r="D124" i="110" s="1"/>
  <c r="W123" i="110" a="1"/>
  <c r="W123" i="110" s="1"/>
  <c r="V123" i="110" a="1"/>
  <c r="V123" i="110" s="1"/>
  <c r="U123" i="110" a="1"/>
  <c r="U123" i="110" s="1"/>
  <c r="T123" i="110" a="1"/>
  <c r="T123" i="110" s="1"/>
  <c r="S123" i="110" a="1"/>
  <c r="S123" i="110" s="1"/>
  <c r="R123" i="110" a="1"/>
  <c r="R123" i="110" s="1"/>
  <c r="Q123" i="110" a="1"/>
  <c r="Q123" i="110" s="1"/>
  <c r="P123" i="110" a="1"/>
  <c r="P123" i="110" s="1"/>
  <c r="O123" i="110" a="1"/>
  <c r="O123" i="110" s="1"/>
  <c r="N123" i="110"/>
  <c r="N123" i="110" a="1"/>
  <c r="M123" i="110" a="1"/>
  <c r="M123" i="110" s="1"/>
  <c r="L123" i="110" a="1"/>
  <c r="L123" i="110" s="1"/>
  <c r="K123" i="110" a="1"/>
  <c r="K123" i="110" s="1"/>
  <c r="J123" i="110" a="1"/>
  <c r="J123" i="110" s="1"/>
  <c r="I123" i="110" a="1"/>
  <c r="I123" i="110" s="1"/>
  <c r="H123" i="110" a="1"/>
  <c r="H123" i="110" s="1"/>
  <c r="G123" i="110" a="1"/>
  <c r="G123" i="110" s="1"/>
  <c r="F123" i="110" a="1"/>
  <c r="F123" i="110" s="1"/>
  <c r="E123" i="110" a="1"/>
  <c r="E123" i="110" s="1"/>
  <c r="D123" i="110" a="1"/>
  <c r="D123" i="110" s="1"/>
  <c r="W122" i="110" a="1"/>
  <c r="W122" i="110" s="1"/>
  <c r="V122" i="110" a="1"/>
  <c r="V122" i="110" s="1"/>
  <c r="U122" i="110" a="1"/>
  <c r="U122" i="110" s="1"/>
  <c r="T122" i="110" a="1"/>
  <c r="T122" i="110" s="1"/>
  <c r="S122" i="110" a="1"/>
  <c r="S122" i="110" s="1"/>
  <c r="R122" i="110" a="1"/>
  <c r="R122" i="110" s="1"/>
  <c r="Q122" i="110" a="1"/>
  <c r="Q122" i="110" s="1"/>
  <c r="P122" i="110" a="1"/>
  <c r="P122" i="110" s="1"/>
  <c r="O122" i="110" a="1"/>
  <c r="O122" i="110" s="1"/>
  <c r="N122" i="110" a="1"/>
  <c r="N122" i="110" s="1"/>
  <c r="M122" i="110" a="1"/>
  <c r="M122" i="110" s="1"/>
  <c r="L122" i="110" a="1"/>
  <c r="L122" i="110" s="1"/>
  <c r="K122" i="110" a="1"/>
  <c r="K122" i="110" s="1"/>
  <c r="J122" i="110" a="1"/>
  <c r="J122" i="110" s="1"/>
  <c r="I122" i="110" a="1"/>
  <c r="I122" i="110" s="1"/>
  <c r="H122" i="110" a="1"/>
  <c r="H122" i="110" s="1"/>
  <c r="G122" i="110" a="1"/>
  <c r="G122" i="110" s="1"/>
  <c r="F122" i="110" a="1"/>
  <c r="F122" i="110" s="1"/>
  <c r="E122" i="110" a="1"/>
  <c r="E122" i="110" s="1"/>
  <c r="D122" i="110" a="1"/>
  <c r="D122" i="110" s="1"/>
  <c r="W121" i="110" a="1"/>
  <c r="W121" i="110" s="1"/>
  <c r="V121" i="110" a="1"/>
  <c r="V121" i="110" s="1"/>
  <c r="U121" i="110" a="1"/>
  <c r="U121" i="110" s="1"/>
  <c r="T121" i="110" a="1"/>
  <c r="T121" i="110" s="1"/>
  <c r="S121" i="110" a="1"/>
  <c r="S121" i="110" s="1"/>
  <c r="R121" i="110" a="1"/>
  <c r="R121" i="110" s="1"/>
  <c r="Q121" i="110" a="1"/>
  <c r="Q121" i="110" s="1"/>
  <c r="P121" i="110" a="1"/>
  <c r="P121" i="110" s="1"/>
  <c r="O121" i="110"/>
  <c r="O121" i="110" a="1"/>
  <c r="N121" i="110" a="1"/>
  <c r="N121" i="110" s="1"/>
  <c r="M121" i="110" a="1"/>
  <c r="M121" i="110" s="1"/>
  <c r="L121" i="110"/>
  <c r="L121" i="110" a="1"/>
  <c r="K121" i="110" a="1"/>
  <c r="K121" i="110" s="1"/>
  <c r="J121" i="110" a="1"/>
  <c r="J121" i="110" s="1"/>
  <c r="I121" i="110" a="1"/>
  <c r="I121" i="110" s="1"/>
  <c r="H121" i="110" a="1"/>
  <c r="H121" i="110" s="1"/>
  <c r="G121" i="110" a="1"/>
  <c r="G121" i="110" s="1"/>
  <c r="F121" i="110" a="1"/>
  <c r="F121" i="110" s="1"/>
  <c r="E121" i="110" a="1"/>
  <c r="E121" i="110" s="1"/>
  <c r="D121" i="110" a="1"/>
  <c r="D121" i="110" s="1"/>
  <c r="W120" i="110" a="1"/>
  <c r="W120" i="110" s="1"/>
  <c r="V120" i="110" a="1"/>
  <c r="V120" i="110" s="1"/>
  <c r="U120" i="110" a="1"/>
  <c r="U120" i="110" s="1"/>
  <c r="T120" i="110" a="1"/>
  <c r="T120" i="110" s="1"/>
  <c r="S120" i="110" a="1"/>
  <c r="S120" i="110" s="1"/>
  <c r="R120" i="110" a="1"/>
  <c r="R120" i="110" s="1"/>
  <c r="Q120" i="110" a="1"/>
  <c r="Q120" i="110" s="1"/>
  <c r="P120" i="110" a="1"/>
  <c r="P120" i="110" s="1"/>
  <c r="O120" i="110" a="1"/>
  <c r="O120" i="110" s="1"/>
  <c r="N120" i="110" a="1"/>
  <c r="N120" i="110" s="1"/>
  <c r="M120" i="110" a="1"/>
  <c r="M120" i="110" s="1"/>
  <c r="L120" i="110" a="1"/>
  <c r="L120" i="110" s="1"/>
  <c r="K120" i="110" a="1"/>
  <c r="K120" i="110" s="1"/>
  <c r="J120" i="110" a="1"/>
  <c r="J120" i="110" s="1"/>
  <c r="I120" i="110" a="1"/>
  <c r="I120" i="110" s="1"/>
  <c r="H120" i="110" a="1"/>
  <c r="H120" i="110" s="1"/>
  <c r="G120" i="110" a="1"/>
  <c r="G120" i="110" s="1"/>
  <c r="F120" i="110" a="1"/>
  <c r="F120" i="110" s="1"/>
  <c r="E120" i="110" a="1"/>
  <c r="E120" i="110" s="1"/>
  <c r="D120" i="110" a="1"/>
  <c r="D120" i="110" s="1"/>
  <c r="W119" i="110" a="1"/>
  <c r="W119" i="110" s="1"/>
  <c r="V119" i="110" a="1"/>
  <c r="V119" i="110" s="1"/>
  <c r="U119" i="110" a="1"/>
  <c r="U119" i="110" s="1"/>
  <c r="T119" i="110" a="1"/>
  <c r="T119" i="110" s="1"/>
  <c r="S119" i="110" a="1"/>
  <c r="S119" i="110" s="1"/>
  <c r="R119" i="110"/>
  <c r="R119" i="110" a="1"/>
  <c r="Q119" i="110" a="1"/>
  <c r="Q119" i="110" s="1"/>
  <c r="P119" i="110" a="1"/>
  <c r="P119" i="110" s="1"/>
  <c r="O119" i="110" a="1"/>
  <c r="O119" i="110" s="1"/>
  <c r="N119" i="110"/>
  <c r="N119" i="110" a="1"/>
  <c r="M119" i="110" a="1"/>
  <c r="M119" i="110" s="1"/>
  <c r="L119" i="110" a="1"/>
  <c r="L119" i="110" s="1"/>
  <c r="K119" i="110" a="1"/>
  <c r="K119" i="110" s="1"/>
  <c r="J119" i="110" a="1"/>
  <c r="J119" i="110" s="1"/>
  <c r="I119" i="110" a="1"/>
  <c r="I119" i="110" s="1"/>
  <c r="H119" i="110" a="1"/>
  <c r="H119" i="110" s="1"/>
  <c r="G119" i="110" a="1"/>
  <c r="G119" i="110" s="1"/>
  <c r="F119" i="110" a="1"/>
  <c r="F119" i="110" s="1"/>
  <c r="E119" i="110" a="1"/>
  <c r="E119" i="110" s="1"/>
  <c r="D119" i="110"/>
  <c r="D119" i="110" a="1"/>
  <c r="W118" i="110"/>
  <c r="W118" i="110" a="1"/>
  <c r="V118" i="110" a="1"/>
  <c r="V118" i="110" s="1"/>
  <c r="U118" i="110" a="1"/>
  <c r="U118" i="110" s="1"/>
  <c r="T118" i="110" a="1"/>
  <c r="T118" i="110" s="1"/>
  <c r="S118" i="110" a="1"/>
  <c r="S118" i="110" s="1"/>
  <c r="R118" i="110" a="1"/>
  <c r="R118" i="110" s="1"/>
  <c r="Q118" i="110" a="1"/>
  <c r="Q118" i="110" s="1"/>
  <c r="P118" i="110" a="1"/>
  <c r="P118" i="110" s="1"/>
  <c r="O118" i="110" a="1"/>
  <c r="O118" i="110" s="1"/>
  <c r="N118" i="110" a="1"/>
  <c r="N118" i="110" s="1"/>
  <c r="M118" i="110" a="1"/>
  <c r="M118" i="110" s="1"/>
  <c r="L118" i="110" a="1"/>
  <c r="L118" i="110" s="1"/>
  <c r="K118" i="110" a="1"/>
  <c r="K118" i="110" s="1"/>
  <c r="J118" i="110" a="1"/>
  <c r="J118" i="110" s="1"/>
  <c r="I118" i="110" a="1"/>
  <c r="I118" i="110" s="1"/>
  <c r="H118" i="110" a="1"/>
  <c r="H118" i="110" s="1"/>
  <c r="G118" i="110" a="1"/>
  <c r="G118" i="110" s="1"/>
  <c r="F118" i="110" a="1"/>
  <c r="F118" i="110" s="1"/>
  <c r="E118" i="110" a="1"/>
  <c r="E118" i="110" s="1"/>
  <c r="D118" i="110" a="1"/>
  <c r="D118" i="110" s="1"/>
  <c r="W117" i="110" a="1"/>
  <c r="W117" i="110" s="1"/>
  <c r="V117" i="110" a="1"/>
  <c r="V117" i="110" s="1"/>
  <c r="U117" i="110" a="1"/>
  <c r="U117" i="110" s="1"/>
  <c r="T117" i="110" a="1"/>
  <c r="T117" i="110" s="1"/>
  <c r="S117" i="110" a="1"/>
  <c r="S117" i="110" s="1"/>
  <c r="R117" i="110" a="1"/>
  <c r="R117" i="110" s="1"/>
  <c r="Q117" i="110" a="1"/>
  <c r="Q117" i="110" s="1"/>
  <c r="P117" i="110" a="1"/>
  <c r="P117" i="110" s="1"/>
  <c r="O117" i="110" a="1"/>
  <c r="O117" i="110" s="1"/>
  <c r="N117" i="110" a="1"/>
  <c r="N117" i="110" s="1"/>
  <c r="M117" i="110" a="1"/>
  <c r="M117" i="110" s="1"/>
  <c r="L117" i="110" a="1"/>
  <c r="L117" i="110" s="1"/>
  <c r="K117" i="110" a="1"/>
  <c r="K117" i="110" s="1"/>
  <c r="J117" i="110" a="1"/>
  <c r="J117" i="110" s="1"/>
  <c r="I117" i="110" a="1"/>
  <c r="I117" i="110" s="1"/>
  <c r="H117" i="110" a="1"/>
  <c r="H117" i="110" s="1"/>
  <c r="G117" i="110" a="1"/>
  <c r="G117" i="110" s="1"/>
  <c r="F117" i="110" a="1"/>
  <c r="F117" i="110" s="1"/>
  <c r="E117" i="110" a="1"/>
  <c r="E117" i="110" s="1"/>
  <c r="D117" i="110" a="1"/>
  <c r="D117" i="110" s="1"/>
  <c r="W116" i="110" a="1"/>
  <c r="W116" i="110" s="1"/>
  <c r="V116" i="110" a="1"/>
  <c r="V116" i="110" s="1"/>
  <c r="U116" i="110" a="1"/>
  <c r="U116" i="110" s="1"/>
  <c r="T116" i="110" a="1"/>
  <c r="T116" i="110" s="1"/>
  <c r="S116" i="110"/>
  <c r="S116" i="110" a="1"/>
  <c r="R116" i="110" a="1"/>
  <c r="R116" i="110" s="1"/>
  <c r="Q116" i="110" a="1"/>
  <c r="Q116" i="110" s="1"/>
  <c r="P116" i="110" a="1"/>
  <c r="P116" i="110" s="1"/>
  <c r="O116" i="110"/>
  <c r="O116" i="110" a="1"/>
  <c r="N116" i="110" a="1"/>
  <c r="N116" i="110" s="1"/>
  <c r="M116" i="110" a="1"/>
  <c r="M116" i="110" s="1"/>
  <c r="L116" i="110" a="1"/>
  <c r="L116" i="110" s="1"/>
  <c r="K116" i="110" a="1"/>
  <c r="K116" i="110" s="1"/>
  <c r="J116" i="110" a="1"/>
  <c r="J116" i="110" s="1"/>
  <c r="I116" i="110" a="1"/>
  <c r="I116" i="110" s="1"/>
  <c r="H116" i="110" a="1"/>
  <c r="H116" i="110" s="1"/>
  <c r="G116" i="110" a="1"/>
  <c r="G116" i="110" s="1"/>
  <c r="F116" i="110" a="1"/>
  <c r="F116" i="110" s="1"/>
  <c r="E116" i="110" a="1"/>
  <c r="E116" i="110" s="1"/>
  <c r="D116" i="110"/>
  <c r="D116" i="110" a="1"/>
  <c r="W115" i="110" a="1"/>
  <c r="W115" i="110" s="1"/>
  <c r="V115" i="110" a="1"/>
  <c r="V115" i="110" s="1"/>
  <c r="U115" i="110" a="1"/>
  <c r="U115" i="110" s="1"/>
  <c r="T115" i="110" a="1"/>
  <c r="T115" i="110" s="1"/>
  <c r="S115" i="110" a="1"/>
  <c r="S115" i="110" s="1"/>
  <c r="R115" i="110" a="1"/>
  <c r="R115" i="110" s="1"/>
  <c r="Q115" i="110" a="1"/>
  <c r="Q115" i="110" s="1"/>
  <c r="P115" i="110" a="1"/>
  <c r="P115" i="110" s="1"/>
  <c r="O115" i="110" a="1"/>
  <c r="O115" i="110" s="1"/>
  <c r="N115" i="110" a="1"/>
  <c r="N115" i="110" s="1"/>
  <c r="M115" i="110" a="1"/>
  <c r="M115" i="110" s="1"/>
  <c r="L115" i="110" a="1"/>
  <c r="L115" i="110" s="1"/>
  <c r="K115" i="110" a="1"/>
  <c r="K115" i="110" s="1"/>
  <c r="J115" i="110" a="1"/>
  <c r="J115" i="110" s="1"/>
  <c r="I115" i="110" a="1"/>
  <c r="I115" i="110" s="1"/>
  <c r="H115" i="110" a="1"/>
  <c r="H115" i="110" s="1"/>
  <c r="G115" i="110" a="1"/>
  <c r="G115" i="110" s="1"/>
  <c r="F115" i="110" a="1"/>
  <c r="F115" i="110" s="1"/>
  <c r="E115" i="110" a="1"/>
  <c r="E115" i="110" s="1"/>
  <c r="D115" i="110" a="1"/>
  <c r="D115" i="110" s="1"/>
  <c r="W114" i="110" a="1"/>
  <c r="W114" i="110" s="1"/>
  <c r="V114" i="110" a="1"/>
  <c r="V114" i="110" s="1"/>
  <c r="U114" i="110" a="1"/>
  <c r="U114" i="110" s="1"/>
  <c r="T114" i="110" a="1"/>
  <c r="T114" i="110" s="1"/>
  <c r="S114" i="110" a="1"/>
  <c r="S114" i="110" s="1"/>
  <c r="R114" i="110" a="1"/>
  <c r="R114" i="110" s="1"/>
  <c r="Q114" i="110" a="1"/>
  <c r="Q114" i="110" s="1"/>
  <c r="P114" i="110" a="1"/>
  <c r="P114" i="110" s="1"/>
  <c r="O114" i="110" a="1"/>
  <c r="O114" i="110" s="1"/>
  <c r="N114" i="110" a="1"/>
  <c r="N114" i="110" s="1"/>
  <c r="M114" i="110" a="1"/>
  <c r="M114" i="110" s="1"/>
  <c r="L114" i="110"/>
  <c r="L114" i="110" a="1"/>
  <c r="K114" i="110" a="1"/>
  <c r="K114" i="110" s="1"/>
  <c r="J114" i="110" a="1"/>
  <c r="J114" i="110" s="1"/>
  <c r="I114" i="110"/>
  <c r="I114" i="110" a="1"/>
  <c r="H114" i="110" a="1"/>
  <c r="H114" i="110" s="1"/>
  <c r="G114" i="110" a="1"/>
  <c r="G114" i="110" s="1"/>
  <c r="F114" i="110" a="1"/>
  <c r="F114" i="110" s="1"/>
  <c r="E114" i="110" a="1"/>
  <c r="E114" i="110" s="1"/>
  <c r="D114" i="110" a="1"/>
  <c r="D114" i="110" s="1"/>
  <c r="W113" i="110" a="1"/>
  <c r="W113" i="110" s="1"/>
  <c r="V113" i="110" a="1"/>
  <c r="V113" i="110" s="1"/>
  <c r="U113" i="110" a="1"/>
  <c r="U113" i="110" s="1"/>
  <c r="T113" i="110" a="1"/>
  <c r="T113" i="110" s="1"/>
  <c r="S113" i="110" a="1"/>
  <c r="S113" i="110" s="1"/>
  <c r="R113" i="110" a="1"/>
  <c r="R113" i="110" s="1"/>
  <c r="Q113" i="110" a="1"/>
  <c r="Q113" i="110" s="1"/>
  <c r="P113" i="110"/>
  <c r="P113" i="110" a="1"/>
  <c r="O113" i="110" a="1"/>
  <c r="O113" i="110" s="1"/>
  <c r="N113" i="110" a="1"/>
  <c r="N113" i="110" s="1"/>
  <c r="M113" i="110" a="1"/>
  <c r="M113" i="110" s="1"/>
  <c r="L113" i="110" a="1"/>
  <c r="L113" i="110" s="1"/>
  <c r="K113" i="110" a="1"/>
  <c r="K113" i="110" s="1"/>
  <c r="J113" i="110" a="1"/>
  <c r="J113" i="110" s="1"/>
  <c r="I113" i="110" a="1"/>
  <c r="I113" i="110" s="1"/>
  <c r="H113" i="110" a="1"/>
  <c r="H113" i="110" s="1"/>
  <c r="G113" i="110" a="1"/>
  <c r="G113" i="110" s="1"/>
  <c r="F113" i="110" a="1"/>
  <c r="F113" i="110" s="1"/>
  <c r="E113" i="110" a="1"/>
  <c r="E113" i="110" s="1"/>
  <c r="D113" i="110" a="1"/>
  <c r="D113" i="110" s="1"/>
  <c r="W112" i="110" a="1"/>
  <c r="W112" i="110" s="1"/>
  <c r="V112" i="110" a="1"/>
  <c r="V112" i="110" s="1"/>
  <c r="U112" i="110"/>
  <c r="U112" i="110" a="1"/>
  <c r="T112" i="110" a="1"/>
  <c r="T112" i="110" s="1"/>
  <c r="S112" i="110" a="1"/>
  <c r="S112" i="110" s="1"/>
  <c r="R112" i="110" a="1"/>
  <c r="R112" i="110" s="1"/>
  <c r="Q112" i="110" a="1"/>
  <c r="Q112" i="110" s="1"/>
  <c r="P112" i="110" a="1"/>
  <c r="P112" i="110" s="1"/>
  <c r="O112" i="110" a="1"/>
  <c r="O112" i="110" s="1"/>
  <c r="N112" i="110" a="1"/>
  <c r="N112" i="110" s="1"/>
  <c r="M112" i="110" a="1"/>
  <c r="M112" i="110" s="1"/>
  <c r="L112" i="110" a="1"/>
  <c r="L112" i="110" s="1"/>
  <c r="K112" i="110" a="1"/>
  <c r="K112" i="110" s="1"/>
  <c r="J112" i="110" a="1"/>
  <c r="J112" i="110" s="1"/>
  <c r="I112" i="110" a="1"/>
  <c r="I112" i="110" s="1"/>
  <c r="H112" i="110" a="1"/>
  <c r="H112" i="110" s="1"/>
  <c r="G112" i="110" a="1"/>
  <c r="G112" i="110" s="1"/>
  <c r="F112" i="110" a="1"/>
  <c r="F112" i="110" s="1"/>
  <c r="E112" i="110" a="1"/>
  <c r="E112" i="110" s="1"/>
  <c r="D112" i="110" a="1"/>
  <c r="D112" i="110" s="1"/>
  <c r="W111" i="110" a="1"/>
  <c r="W111" i="110" s="1"/>
  <c r="V111" i="110" a="1"/>
  <c r="V111" i="110" s="1"/>
  <c r="U111" i="110" a="1"/>
  <c r="U111" i="110" s="1"/>
  <c r="T111" i="110" a="1"/>
  <c r="T111" i="110" s="1"/>
  <c r="S111" i="110" a="1"/>
  <c r="S111" i="110" s="1"/>
  <c r="R111" i="110" a="1"/>
  <c r="R111" i="110" s="1"/>
  <c r="Q111" i="110" a="1"/>
  <c r="Q111" i="110" s="1"/>
  <c r="P111" i="110" a="1"/>
  <c r="P111" i="110" s="1"/>
  <c r="O111" i="110" a="1"/>
  <c r="O111" i="110" s="1"/>
  <c r="N111" i="110" a="1"/>
  <c r="N111" i="110" s="1"/>
  <c r="M111" i="110" a="1"/>
  <c r="M111" i="110" s="1"/>
  <c r="L111" i="110" a="1"/>
  <c r="L111" i="110" s="1"/>
  <c r="K111" i="110" a="1"/>
  <c r="K111" i="110" s="1"/>
  <c r="J111" i="110" a="1"/>
  <c r="J111" i="110" s="1"/>
  <c r="I111" i="110" a="1"/>
  <c r="I111" i="110" s="1"/>
  <c r="H111" i="110" a="1"/>
  <c r="H111" i="110" s="1"/>
  <c r="G111" i="110" a="1"/>
  <c r="G111" i="110" s="1"/>
  <c r="F111" i="110" a="1"/>
  <c r="F111" i="110" s="1"/>
  <c r="E111" i="110" a="1"/>
  <c r="E111" i="110" s="1"/>
  <c r="D111" i="110" a="1"/>
  <c r="D111" i="110" s="1"/>
  <c r="W110" i="110" a="1"/>
  <c r="W110" i="110" s="1"/>
  <c r="V110" i="110" a="1"/>
  <c r="V110" i="110" s="1"/>
  <c r="U110" i="110" a="1"/>
  <c r="U110" i="110" s="1"/>
  <c r="T110" i="110" a="1"/>
  <c r="T110" i="110" s="1"/>
  <c r="S110" i="110" a="1"/>
  <c r="S110" i="110" s="1"/>
  <c r="R110" i="110" a="1"/>
  <c r="R110" i="110" s="1"/>
  <c r="Q110" i="110" a="1"/>
  <c r="Q110" i="110" s="1"/>
  <c r="P110" i="110" a="1"/>
  <c r="P110" i="110" s="1"/>
  <c r="O110" i="110" a="1"/>
  <c r="O110" i="110" s="1"/>
  <c r="N110" i="110" a="1"/>
  <c r="N110" i="110" s="1"/>
  <c r="M110" i="110" a="1"/>
  <c r="M110" i="110" s="1"/>
  <c r="L110" i="110" a="1"/>
  <c r="L110" i="110" s="1"/>
  <c r="K110" i="110" a="1"/>
  <c r="K110" i="110" s="1"/>
  <c r="J110" i="110" a="1"/>
  <c r="J110" i="110" s="1"/>
  <c r="I110" i="110" a="1"/>
  <c r="I110" i="110" s="1"/>
  <c r="H110" i="110"/>
  <c r="H110" i="110" a="1"/>
  <c r="G110" i="110" a="1"/>
  <c r="G110" i="110" s="1"/>
  <c r="F110" i="110" a="1"/>
  <c r="F110" i="110" s="1"/>
  <c r="E110" i="110"/>
  <c r="E110" i="110" a="1"/>
  <c r="D110" i="110" a="1"/>
  <c r="D110" i="110" s="1"/>
  <c r="W109" i="110" a="1"/>
  <c r="W109" i="110" s="1"/>
  <c r="V109" i="110" a="1"/>
  <c r="V109" i="110" s="1"/>
  <c r="U109" i="110" a="1"/>
  <c r="U109" i="110" s="1"/>
  <c r="T109" i="110" a="1"/>
  <c r="T109" i="110" s="1"/>
  <c r="S109" i="110" a="1"/>
  <c r="S109" i="110" s="1"/>
  <c r="R109" i="110" a="1"/>
  <c r="R109" i="110" s="1"/>
  <c r="Q109" i="110" a="1"/>
  <c r="Q109" i="110" s="1"/>
  <c r="P109" i="110" a="1"/>
  <c r="P109" i="110" s="1"/>
  <c r="O109" i="110" a="1"/>
  <c r="O109" i="110" s="1"/>
  <c r="N109" i="110" a="1"/>
  <c r="N109" i="110" s="1"/>
  <c r="M109" i="110" a="1"/>
  <c r="M109" i="110" s="1"/>
  <c r="L109" i="110" a="1"/>
  <c r="L109" i="110" s="1"/>
  <c r="K109" i="110" a="1"/>
  <c r="K109" i="110" s="1"/>
  <c r="J109" i="110" a="1"/>
  <c r="J109" i="110" s="1"/>
  <c r="I109" i="110" a="1"/>
  <c r="I109" i="110" s="1"/>
  <c r="H109" i="110" a="1"/>
  <c r="H109" i="110" s="1"/>
  <c r="G109" i="110" a="1"/>
  <c r="G109" i="110" s="1"/>
  <c r="F109" i="110" a="1"/>
  <c r="F109" i="110" s="1"/>
  <c r="E109" i="110" a="1"/>
  <c r="E109" i="110" s="1"/>
  <c r="D109" i="110" a="1"/>
  <c r="D109" i="110" s="1"/>
  <c r="W108" i="110" a="1"/>
  <c r="W108" i="110" s="1"/>
  <c r="V108" i="110"/>
  <c r="V108" i="110" a="1"/>
  <c r="U108" i="110" a="1"/>
  <c r="U108" i="110" s="1"/>
  <c r="T108" i="110" a="1"/>
  <c r="T108" i="110" s="1"/>
  <c r="S108" i="110" a="1"/>
  <c r="S108" i="110" s="1"/>
  <c r="R108" i="110" a="1"/>
  <c r="R108" i="110" s="1"/>
  <c r="Q108" i="110" a="1"/>
  <c r="Q108" i="110" s="1"/>
  <c r="P108" i="110" a="1"/>
  <c r="P108" i="110" s="1"/>
  <c r="O108" i="110" a="1"/>
  <c r="O108" i="110" s="1"/>
  <c r="N108" i="110" a="1"/>
  <c r="N108" i="110" s="1"/>
  <c r="M108" i="110" a="1"/>
  <c r="M108" i="110" s="1"/>
  <c r="L108" i="110" a="1"/>
  <c r="L108" i="110" s="1"/>
  <c r="K108" i="110" a="1"/>
  <c r="K108" i="110" s="1"/>
  <c r="J108" i="110" a="1"/>
  <c r="J108" i="110" s="1"/>
  <c r="I108" i="110" a="1"/>
  <c r="I108" i="110" s="1"/>
  <c r="H108" i="110" a="1"/>
  <c r="H108" i="110" s="1"/>
  <c r="G108" i="110" a="1"/>
  <c r="G108" i="110" s="1"/>
  <c r="F108" i="110" a="1"/>
  <c r="F108" i="110" s="1"/>
  <c r="E108" i="110" a="1"/>
  <c r="E108" i="110" s="1"/>
  <c r="D108" i="110" a="1"/>
  <c r="D108" i="110" s="1"/>
  <c r="W107" i="110" a="1"/>
  <c r="W107" i="110" s="1"/>
  <c r="V107" i="110" a="1"/>
  <c r="V107" i="110" s="1"/>
  <c r="U107" i="110" a="1"/>
  <c r="U107" i="110" s="1"/>
  <c r="T107" i="110" a="1"/>
  <c r="T107" i="110" s="1"/>
  <c r="S107" i="110" a="1"/>
  <c r="S107" i="110" s="1"/>
  <c r="R107" i="110"/>
  <c r="R107" i="110" a="1"/>
  <c r="Q107" i="110" a="1"/>
  <c r="Q107" i="110" s="1"/>
  <c r="P107" i="110" a="1"/>
  <c r="P107" i="110" s="1"/>
  <c r="O107" i="110" a="1"/>
  <c r="O107" i="110" s="1"/>
  <c r="N107" i="110" a="1"/>
  <c r="N107" i="110" s="1"/>
  <c r="M107" i="110" a="1"/>
  <c r="M107" i="110" s="1"/>
  <c r="L107" i="110" a="1"/>
  <c r="L107" i="110" s="1"/>
  <c r="K107" i="110" a="1"/>
  <c r="K107" i="110" s="1"/>
  <c r="J107" i="110" a="1"/>
  <c r="J107" i="110" s="1"/>
  <c r="I107" i="110" a="1"/>
  <c r="I107" i="110" s="1"/>
  <c r="H107" i="110" a="1"/>
  <c r="H107" i="110" s="1"/>
  <c r="G107" i="110" a="1"/>
  <c r="G107" i="110" s="1"/>
  <c r="F107" i="110" a="1"/>
  <c r="F107" i="110" s="1"/>
  <c r="E107" i="110" a="1"/>
  <c r="E107" i="110" s="1"/>
  <c r="D107" i="110" a="1"/>
  <c r="D107" i="110" s="1"/>
  <c r="W106" i="110" a="1"/>
  <c r="W106" i="110" s="1"/>
  <c r="V106" i="110" a="1"/>
  <c r="V106" i="110" s="1"/>
  <c r="U106" i="110" a="1"/>
  <c r="U106" i="110" s="1"/>
  <c r="T106" i="110" a="1"/>
  <c r="T106" i="110" s="1"/>
  <c r="S106" i="110" a="1"/>
  <c r="S106" i="110" s="1"/>
  <c r="R106" i="110" a="1"/>
  <c r="R106" i="110" s="1"/>
  <c r="Q106" i="110" a="1"/>
  <c r="Q106" i="110" s="1"/>
  <c r="P106" i="110" a="1"/>
  <c r="P106" i="110" s="1"/>
  <c r="O106" i="110" a="1"/>
  <c r="O106" i="110" s="1"/>
  <c r="N106" i="110" a="1"/>
  <c r="N106" i="110" s="1"/>
  <c r="M106" i="110" a="1"/>
  <c r="M106" i="110" s="1"/>
  <c r="L106" i="110" a="1"/>
  <c r="L106" i="110" s="1"/>
  <c r="K106" i="110" a="1"/>
  <c r="K106" i="110" s="1"/>
  <c r="J106" i="110" a="1"/>
  <c r="J106" i="110" s="1"/>
  <c r="I106" i="110" a="1"/>
  <c r="I106" i="110" s="1"/>
  <c r="H106" i="110" a="1"/>
  <c r="H106" i="110" s="1"/>
  <c r="G106" i="110" a="1"/>
  <c r="G106" i="110" s="1"/>
  <c r="F106" i="110" a="1"/>
  <c r="F106" i="110" s="1"/>
  <c r="E106" i="110" a="1"/>
  <c r="E106" i="110" s="1"/>
  <c r="D106" i="110" a="1"/>
  <c r="D106" i="110" s="1"/>
  <c r="W105" i="110" a="1"/>
  <c r="W105" i="110" s="1"/>
  <c r="V105" i="110" a="1"/>
  <c r="V105" i="110" s="1"/>
  <c r="U105" i="110" a="1"/>
  <c r="U105" i="110" s="1"/>
  <c r="T105" i="110" a="1"/>
  <c r="T105" i="110" s="1"/>
  <c r="S105" i="110" a="1"/>
  <c r="S105" i="110" s="1"/>
  <c r="R105" i="110" a="1"/>
  <c r="R105" i="110" s="1"/>
  <c r="Q105" i="110" a="1"/>
  <c r="Q105" i="110" s="1"/>
  <c r="P105" i="110" a="1"/>
  <c r="P105" i="110" s="1"/>
  <c r="O105" i="110" a="1"/>
  <c r="O105" i="110" s="1"/>
  <c r="N105" i="110" a="1"/>
  <c r="N105" i="110" s="1"/>
  <c r="M105" i="110" a="1"/>
  <c r="M105" i="110" s="1"/>
  <c r="L105" i="110" a="1"/>
  <c r="L105" i="110" s="1"/>
  <c r="K105" i="110" a="1"/>
  <c r="K105" i="110" s="1"/>
  <c r="J105" i="110" a="1"/>
  <c r="J105" i="110" s="1"/>
  <c r="I105" i="110" a="1"/>
  <c r="I105" i="110" s="1"/>
  <c r="H105" i="110" a="1"/>
  <c r="H105" i="110" s="1"/>
  <c r="G105" i="110" a="1"/>
  <c r="G105" i="110" s="1"/>
  <c r="F105" i="110" a="1"/>
  <c r="F105" i="110" s="1"/>
  <c r="E105" i="110" a="1"/>
  <c r="E105" i="110" s="1"/>
  <c r="D105" i="110" a="1"/>
  <c r="D105" i="110" s="1"/>
  <c r="W104" i="110" a="1"/>
  <c r="W104" i="110" s="1"/>
  <c r="V104" i="110" a="1"/>
  <c r="V104" i="110" s="1"/>
  <c r="U104" i="110" a="1"/>
  <c r="U104" i="110" s="1"/>
  <c r="T104" i="110" a="1"/>
  <c r="T104" i="110" s="1"/>
  <c r="S104" i="110" a="1"/>
  <c r="S104" i="110" s="1"/>
  <c r="R104" i="110" a="1"/>
  <c r="R104" i="110" s="1"/>
  <c r="Q104" i="110" a="1"/>
  <c r="Q104" i="110" s="1"/>
  <c r="P104" i="110" a="1"/>
  <c r="P104" i="110" s="1"/>
  <c r="O104" i="110" a="1"/>
  <c r="O104" i="110" s="1"/>
  <c r="N104" i="110" a="1"/>
  <c r="N104" i="110" s="1"/>
  <c r="M104" i="110" a="1"/>
  <c r="M104" i="110" s="1"/>
  <c r="L104" i="110" a="1"/>
  <c r="L104" i="110" s="1"/>
  <c r="K104" i="110" a="1"/>
  <c r="K104" i="110" s="1"/>
  <c r="J104" i="110" a="1"/>
  <c r="J104" i="110" s="1"/>
  <c r="I104" i="110" a="1"/>
  <c r="I104" i="110" s="1"/>
  <c r="H104" i="110" a="1"/>
  <c r="H104" i="110" s="1"/>
  <c r="G104" i="110" a="1"/>
  <c r="G104" i="110" s="1"/>
  <c r="F104" i="110" a="1"/>
  <c r="F104" i="110" s="1"/>
  <c r="E104" i="110" a="1"/>
  <c r="E104" i="110" s="1"/>
  <c r="D104" i="110" a="1"/>
  <c r="D104" i="110" s="1"/>
  <c r="W103" i="110" a="1"/>
  <c r="W103" i="110" s="1"/>
  <c r="V103" i="110" a="1"/>
  <c r="V103" i="110" s="1"/>
  <c r="U103" i="110" a="1"/>
  <c r="U103" i="110" s="1"/>
  <c r="T103" i="110" a="1"/>
  <c r="T103" i="110" s="1"/>
  <c r="S103" i="110" a="1"/>
  <c r="S103" i="110" s="1"/>
  <c r="R103" i="110" a="1"/>
  <c r="R103" i="110" s="1"/>
  <c r="Q103" i="110" a="1"/>
  <c r="Q103" i="110" s="1"/>
  <c r="P103" i="110" a="1"/>
  <c r="P103" i="110" s="1"/>
  <c r="O103" i="110" a="1"/>
  <c r="O103" i="110" s="1"/>
  <c r="N103" i="110" a="1"/>
  <c r="N103" i="110" s="1"/>
  <c r="M103" i="110" a="1"/>
  <c r="M103" i="110" s="1"/>
  <c r="L103" i="110" a="1"/>
  <c r="L103" i="110" s="1"/>
  <c r="K103" i="110" a="1"/>
  <c r="K103" i="110" s="1"/>
  <c r="J103" i="110" a="1"/>
  <c r="J103" i="110" s="1"/>
  <c r="I103" i="110" a="1"/>
  <c r="I103" i="110" s="1"/>
  <c r="H103" i="110" a="1"/>
  <c r="H103" i="110" s="1"/>
  <c r="G103" i="110" a="1"/>
  <c r="G103" i="110" s="1"/>
  <c r="F103" i="110" a="1"/>
  <c r="F103" i="110" s="1"/>
  <c r="E103" i="110" a="1"/>
  <c r="E103" i="110" s="1"/>
  <c r="D103" i="110" a="1"/>
  <c r="D103" i="110" s="1"/>
  <c r="W102" i="110" a="1"/>
  <c r="W102" i="110" s="1"/>
  <c r="V102" i="110" a="1"/>
  <c r="V102" i="110" s="1"/>
  <c r="U102" i="110" a="1"/>
  <c r="U102" i="110" s="1"/>
  <c r="T102" i="110" a="1"/>
  <c r="T102" i="110" s="1"/>
  <c r="S102" i="110" a="1"/>
  <c r="S102" i="110" s="1"/>
  <c r="R102" i="110" a="1"/>
  <c r="R102" i="110" s="1"/>
  <c r="Q102" i="110" a="1"/>
  <c r="Q102" i="110" s="1"/>
  <c r="P102" i="110"/>
  <c r="P102" i="110" a="1"/>
  <c r="O102" i="110"/>
  <c r="O102" i="110" a="1"/>
  <c r="N102" i="110" a="1"/>
  <c r="N102" i="110" s="1"/>
  <c r="M102" i="110" a="1"/>
  <c r="M102" i="110" s="1"/>
  <c r="L102" i="110" a="1"/>
  <c r="L102" i="110" s="1"/>
  <c r="K102" i="110" a="1"/>
  <c r="K102" i="110" s="1"/>
  <c r="J102" i="110" a="1"/>
  <c r="J102" i="110" s="1"/>
  <c r="I102" i="110" a="1"/>
  <c r="I102" i="110" s="1"/>
  <c r="H102" i="110" a="1"/>
  <c r="H102" i="110" s="1"/>
  <c r="G102" i="110" a="1"/>
  <c r="G102" i="110" s="1"/>
  <c r="F102" i="110" a="1"/>
  <c r="F102" i="110" s="1"/>
  <c r="E102" i="110" a="1"/>
  <c r="E102" i="110" s="1"/>
  <c r="D102" i="110" a="1"/>
  <c r="D102" i="110" s="1"/>
  <c r="W101" i="110" a="1"/>
  <c r="W101" i="110" s="1"/>
  <c r="V101" i="110" a="1"/>
  <c r="V101" i="110" s="1"/>
  <c r="U101" i="110"/>
  <c r="U101" i="110" a="1"/>
  <c r="T101" i="110" a="1"/>
  <c r="T101" i="110" s="1"/>
  <c r="S101" i="110" a="1"/>
  <c r="S101" i="110" s="1"/>
  <c r="R101" i="110" a="1"/>
  <c r="R101" i="110" s="1"/>
  <c r="Q101" i="110" a="1"/>
  <c r="Q101" i="110" s="1"/>
  <c r="P101" i="110" a="1"/>
  <c r="P101" i="110" s="1"/>
  <c r="O101" i="110" a="1"/>
  <c r="O101" i="110" s="1"/>
  <c r="N101" i="110" a="1"/>
  <c r="N101" i="110" s="1"/>
  <c r="M101" i="110" a="1"/>
  <c r="M101" i="110" s="1"/>
  <c r="L101" i="110" a="1"/>
  <c r="L101" i="110" s="1"/>
  <c r="K101" i="110" a="1"/>
  <c r="K101" i="110" s="1"/>
  <c r="J101" i="110" a="1"/>
  <c r="J101" i="110" s="1"/>
  <c r="I101" i="110" a="1"/>
  <c r="I101" i="110" s="1"/>
  <c r="H101" i="110" a="1"/>
  <c r="H101" i="110" s="1"/>
  <c r="G101" i="110" a="1"/>
  <c r="G101" i="110" s="1"/>
  <c r="F101" i="110" a="1"/>
  <c r="F101" i="110" s="1"/>
  <c r="E101" i="110" a="1"/>
  <c r="E101" i="110" s="1"/>
  <c r="D101" i="110" a="1"/>
  <c r="D101" i="110" s="1"/>
  <c r="W100" i="110"/>
  <c r="W100" i="110" a="1"/>
  <c r="V100" i="110" a="1"/>
  <c r="V100" i="110" s="1"/>
  <c r="U100" i="110" a="1"/>
  <c r="U100" i="110" s="1"/>
  <c r="T100" i="110" a="1"/>
  <c r="T100" i="110" s="1"/>
  <c r="S100" i="110" a="1"/>
  <c r="S100" i="110" s="1"/>
  <c r="R100" i="110" a="1"/>
  <c r="R100" i="110" s="1"/>
  <c r="Q100" i="110" a="1"/>
  <c r="Q100" i="110" s="1"/>
  <c r="P100" i="110" a="1"/>
  <c r="P100" i="110" s="1"/>
  <c r="O100" i="110" a="1"/>
  <c r="O100" i="110" s="1"/>
  <c r="N100" i="110" a="1"/>
  <c r="N100" i="110" s="1"/>
  <c r="M100" i="110" a="1"/>
  <c r="M100" i="110" s="1"/>
  <c r="L100" i="110" a="1"/>
  <c r="L100" i="110" s="1"/>
  <c r="K100" i="110" a="1"/>
  <c r="K100" i="110" s="1"/>
  <c r="J100" i="110" a="1"/>
  <c r="J100" i="110" s="1"/>
  <c r="I100" i="110" a="1"/>
  <c r="I100" i="110" s="1"/>
  <c r="H100" i="110" a="1"/>
  <c r="H100" i="110" s="1"/>
  <c r="G100" i="110" a="1"/>
  <c r="G100" i="110" s="1"/>
  <c r="F100" i="110" a="1"/>
  <c r="F100" i="110" s="1"/>
  <c r="E100" i="110" a="1"/>
  <c r="E100" i="110" s="1"/>
  <c r="D100" i="110" a="1"/>
  <c r="D100" i="110" s="1"/>
  <c r="W99" i="110" a="1"/>
  <c r="W99" i="110" s="1"/>
  <c r="V99" i="110" a="1"/>
  <c r="V99" i="110" s="1"/>
  <c r="U99" i="110" a="1"/>
  <c r="U99" i="110" s="1"/>
  <c r="T99" i="110" a="1"/>
  <c r="T99" i="110" s="1"/>
  <c r="S99" i="110" a="1"/>
  <c r="S99" i="110" s="1"/>
  <c r="R99" i="110" a="1"/>
  <c r="R99" i="110" s="1"/>
  <c r="Q99" i="110"/>
  <c r="Q99" i="110" a="1"/>
  <c r="P99" i="110" a="1"/>
  <c r="P99" i="110" s="1"/>
  <c r="O99" i="110" a="1"/>
  <c r="O99" i="110" s="1"/>
  <c r="N99" i="110" a="1"/>
  <c r="N99" i="110" s="1"/>
  <c r="M99" i="110" a="1"/>
  <c r="M99" i="110" s="1"/>
  <c r="L99" i="110" a="1"/>
  <c r="L99" i="110" s="1"/>
  <c r="K99" i="110" a="1"/>
  <c r="K99" i="110" s="1"/>
  <c r="J99" i="110" a="1"/>
  <c r="J99" i="110" s="1"/>
  <c r="I99" i="110" a="1"/>
  <c r="I99" i="110" s="1"/>
  <c r="H99" i="110" a="1"/>
  <c r="H99" i="110" s="1"/>
  <c r="G99" i="110" a="1"/>
  <c r="G99" i="110" s="1"/>
  <c r="F99" i="110" a="1"/>
  <c r="F99" i="110" s="1"/>
  <c r="E99" i="110" a="1"/>
  <c r="E99" i="110" s="1"/>
  <c r="D99" i="110" a="1"/>
  <c r="D99" i="110" s="1"/>
  <c r="W98" i="110" a="1"/>
  <c r="W98" i="110" s="1"/>
  <c r="V98" i="110" a="1"/>
  <c r="V98" i="110" s="1"/>
  <c r="U98" i="110" a="1"/>
  <c r="U98" i="110" s="1"/>
  <c r="T98" i="110" a="1"/>
  <c r="T98" i="110" s="1"/>
  <c r="S98" i="110" a="1"/>
  <c r="S98" i="110" s="1"/>
  <c r="R98" i="110" a="1"/>
  <c r="R98" i="110" s="1"/>
  <c r="Q98" i="110"/>
  <c r="Q98" i="110" a="1"/>
  <c r="P98" i="110" a="1"/>
  <c r="P98" i="110" s="1"/>
  <c r="O98" i="110" a="1"/>
  <c r="O98" i="110" s="1"/>
  <c r="N98" i="110" a="1"/>
  <c r="N98" i="110" s="1"/>
  <c r="M98" i="110" a="1"/>
  <c r="M98" i="110" s="1"/>
  <c r="L98" i="110" a="1"/>
  <c r="L98" i="110" s="1"/>
  <c r="K98" i="110" a="1"/>
  <c r="K98" i="110" s="1"/>
  <c r="J98" i="110" a="1"/>
  <c r="J98" i="110" s="1"/>
  <c r="I98" i="110" a="1"/>
  <c r="I98" i="110" s="1"/>
  <c r="H98" i="110" a="1"/>
  <c r="H98" i="110" s="1"/>
  <c r="G98" i="110" a="1"/>
  <c r="G98" i="110" s="1"/>
  <c r="F98" i="110" a="1"/>
  <c r="F98" i="110" s="1"/>
  <c r="E98" i="110" a="1"/>
  <c r="E98" i="110" s="1"/>
  <c r="D98" i="110" a="1"/>
  <c r="D98" i="110" s="1"/>
  <c r="W97" i="110" a="1"/>
  <c r="W97" i="110" s="1"/>
  <c r="V97" i="110"/>
  <c r="V97" i="110" a="1"/>
  <c r="U97" i="110" a="1"/>
  <c r="U97" i="110" s="1"/>
  <c r="T97" i="110" a="1"/>
  <c r="T97" i="110" s="1"/>
  <c r="S97" i="110" a="1"/>
  <c r="S97" i="110" s="1"/>
  <c r="R97" i="110" a="1"/>
  <c r="R97" i="110" s="1"/>
  <c r="Q97" i="110" a="1"/>
  <c r="Q97" i="110" s="1"/>
  <c r="P97" i="110"/>
  <c r="P97" i="110" a="1"/>
  <c r="O97" i="110" a="1"/>
  <c r="O97" i="110" s="1"/>
  <c r="N97" i="110" a="1"/>
  <c r="N97" i="110" s="1"/>
  <c r="M97" i="110" a="1"/>
  <c r="M97" i="110" s="1"/>
  <c r="L97" i="110" a="1"/>
  <c r="L97" i="110" s="1"/>
  <c r="K97" i="110" a="1"/>
  <c r="K97" i="110" s="1"/>
  <c r="J97" i="110" a="1"/>
  <c r="J97" i="110" s="1"/>
  <c r="I97" i="110"/>
  <c r="I97" i="110" a="1"/>
  <c r="H97" i="110" a="1"/>
  <c r="H97" i="110" s="1"/>
  <c r="G97" i="110" a="1"/>
  <c r="G97" i="110" s="1"/>
  <c r="F97" i="110" a="1"/>
  <c r="F97" i="110" s="1"/>
  <c r="E97" i="110" a="1"/>
  <c r="E97" i="110" s="1"/>
  <c r="D97" i="110" a="1"/>
  <c r="D97" i="110" s="1"/>
  <c r="W96" i="110" a="1"/>
  <c r="W96" i="110" s="1"/>
  <c r="V96" i="110" a="1"/>
  <c r="V96" i="110" s="1"/>
  <c r="U96" i="110" a="1"/>
  <c r="U96" i="110" s="1"/>
  <c r="T96" i="110" a="1"/>
  <c r="T96" i="110" s="1"/>
  <c r="S96" i="110" a="1"/>
  <c r="S96" i="110" s="1"/>
  <c r="R96" i="110" a="1"/>
  <c r="R96" i="110" s="1"/>
  <c r="Q96" i="110" a="1"/>
  <c r="Q96" i="110" s="1"/>
  <c r="P96" i="110" a="1"/>
  <c r="P96" i="110" s="1"/>
  <c r="O96" i="110" a="1"/>
  <c r="O96" i="110" s="1"/>
  <c r="N96" i="110" a="1"/>
  <c r="N96" i="110" s="1"/>
  <c r="M96" i="110" a="1"/>
  <c r="M96" i="110" s="1"/>
  <c r="L96" i="110" a="1"/>
  <c r="L96" i="110" s="1"/>
  <c r="K96" i="110" a="1"/>
  <c r="K96" i="110" s="1"/>
  <c r="J96" i="110" a="1"/>
  <c r="J96" i="110" s="1"/>
  <c r="I96" i="110" a="1"/>
  <c r="I96" i="110" s="1"/>
  <c r="H96" i="110" a="1"/>
  <c r="H96" i="110" s="1"/>
  <c r="G96" i="110" a="1"/>
  <c r="G96" i="110" s="1"/>
  <c r="F96" i="110" a="1"/>
  <c r="F96" i="110" s="1"/>
  <c r="E96" i="110" a="1"/>
  <c r="E96" i="110" s="1"/>
  <c r="D96" i="110" a="1"/>
  <c r="D96" i="110" s="1"/>
  <c r="W95" i="110" a="1"/>
  <c r="W95" i="110" s="1"/>
  <c r="V95" i="110" a="1"/>
  <c r="V95" i="110" s="1"/>
  <c r="U95" i="110" a="1"/>
  <c r="U95" i="110" s="1"/>
  <c r="T95" i="110" a="1"/>
  <c r="T95" i="110" s="1"/>
  <c r="S95" i="110" a="1"/>
  <c r="S95" i="110" s="1"/>
  <c r="R95" i="110" a="1"/>
  <c r="R95" i="110" s="1"/>
  <c r="Q95" i="110" a="1"/>
  <c r="Q95" i="110" s="1"/>
  <c r="P95" i="110" a="1"/>
  <c r="P95" i="110" s="1"/>
  <c r="O95" i="110" a="1"/>
  <c r="O95" i="110" s="1"/>
  <c r="N95" i="110" a="1"/>
  <c r="N95" i="110" s="1"/>
  <c r="M95" i="110" a="1"/>
  <c r="M95" i="110" s="1"/>
  <c r="L95" i="110" a="1"/>
  <c r="L95" i="110" s="1"/>
  <c r="K95" i="110" a="1"/>
  <c r="K95" i="110" s="1"/>
  <c r="J95" i="110" a="1"/>
  <c r="J95" i="110" s="1"/>
  <c r="I95" i="110" a="1"/>
  <c r="I95" i="110" s="1"/>
  <c r="H95" i="110" a="1"/>
  <c r="H95" i="110" s="1"/>
  <c r="G95" i="110" a="1"/>
  <c r="G95" i="110" s="1"/>
  <c r="F95" i="110" a="1"/>
  <c r="F95" i="110" s="1"/>
  <c r="E95" i="110" a="1"/>
  <c r="E95" i="110" s="1"/>
  <c r="D95" i="110" a="1"/>
  <c r="D95" i="110" s="1"/>
  <c r="W94" i="110" a="1"/>
  <c r="W94" i="110" s="1"/>
  <c r="V94" i="110" a="1"/>
  <c r="V94" i="110" s="1"/>
  <c r="U94" i="110" a="1"/>
  <c r="U94" i="110" s="1"/>
  <c r="T94" i="110" a="1"/>
  <c r="T94" i="110" s="1"/>
  <c r="S94" i="110" a="1"/>
  <c r="S94" i="110" s="1"/>
  <c r="R94" i="110" a="1"/>
  <c r="R94" i="110" s="1"/>
  <c r="Q94" i="110" a="1"/>
  <c r="Q94" i="110" s="1"/>
  <c r="P94" i="110" a="1"/>
  <c r="P94" i="110" s="1"/>
  <c r="O94" i="110" a="1"/>
  <c r="O94" i="110" s="1"/>
  <c r="N94" i="110" a="1"/>
  <c r="N94" i="110" s="1"/>
  <c r="M94" i="110" a="1"/>
  <c r="M94" i="110" s="1"/>
  <c r="L94" i="110" a="1"/>
  <c r="L94" i="110" s="1"/>
  <c r="K94" i="110" a="1"/>
  <c r="K94" i="110" s="1"/>
  <c r="J94" i="110" a="1"/>
  <c r="J94" i="110" s="1"/>
  <c r="I94" i="110" a="1"/>
  <c r="I94" i="110" s="1"/>
  <c r="H94" i="110" a="1"/>
  <c r="H94" i="110" s="1"/>
  <c r="G94" i="110" a="1"/>
  <c r="G94" i="110" s="1"/>
  <c r="F94" i="110" a="1"/>
  <c r="F94" i="110" s="1"/>
  <c r="E94" i="110" a="1"/>
  <c r="E94" i="110" s="1"/>
  <c r="D94" i="110"/>
  <c r="D94" i="110" a="1"/>
  <c r="W93" i="110"/>
  <c r="W93" i="110" a="1"/>
  <c r="V93" i="110" a="1"/>
  <c r="V93" i="110" s="1"/>
  <c r="U93" i="110" a="1"/>
  <c r="U93" i="110" s="1"/>
  <c r="T93" i="110" a="1"/>
  <c r="T93" i="110" s="1"/>
  <c r="S93" i="110" a="1"/>
  <c r="S93" i="110" s="1"/>
  <c r="R93" i="110" a="1"/>
  <c r="R93" i="110" s="1"/>
  <c r="Q93" i="110" a="1"/>
  <c r="Q93" i="110" s="1"/>
  <c r="P93" i="110" a="1"/>
  <c r="P93" i="110" s="1"/>
  <c r="O93" i="110" a="1"/>
  <c r="O93" i="110" s="1"/>
  <c r="N93" i="110" a="1"/>
  <c r="N93" i="110" s="1"/>
  <c r="M93" i="110" a="1"/>
  <c r="M93" i="110" s="1"/>
  <c r="L93" i="110" a="1"/>
  <c r="L93" i="110" s="1"/>
  <c r="K93" i="110" a="1"/>
  <c r="K93" i="110" s="1"/>
  <c r="J93" i="110" a="1"/>
  <c r="J93" i="110" s="1"/>
  <c r="I93" i="110" a="1"/>
  <c r="I93" i="110" s="1"/>
  <c r="H93" i="110" a="1"/>
  <c r="H93" i="110" s="1"/>
  <c r="G93" i="110" a="1"/>
  <c r="G93" i="110" s="1"/>
  <c r="F93" i="110" a="1"/>
  <c r="F93" i="110" s="1"/>
  <c r="E93" i="110" a="1"/>
  <c r="E93" i="110" s="1"/>
  <c r="D93" i="110"/>
  <c r="D93" i="110" a="1"/>
  <c r="W92" i="110" a="1"/>
  <c r="W92" i="110" s="1"/>
  <c r="V92" i="110" a="1"/>
  <c r="V92" i="110" s="1"/>
  <c r="U92" i="110" a="1"/>
  <c r="U92" i="110" s="1"/>
  <c r="T92" i="110" a="1"/>
  <c r="T92" i="110" s="1"/>
  <c r="S92" i="110" a="1"/>
  <c r="S92" i="110" s="1"/>
  <c r="R92" i="110"/>
  <c r="R92" i="110" a="1"/>
  <c r="Q92" i="110" a="1"/>
  <c r="Q92" i="110" s="1"/>
  <c r="P92" i="110" a="1"/>
  <c r="P92" i="110" s="1"/>
  <c r="O92" i="110" a="1"/>
  <c r="O92" i="110" s="1"/>
  <c r="N92" i="110" a="1"/>
  <c r="N92" i="110" s="1"/>
  <c r="M92" i="110" a="1"/>
  <c r="M92" i="110" s="1"/>
  <c r="L92" i="110" a="1"/>
  <c r="L92" i="110" s="1"/>
  <c r="K92" i="110" a="1"/>
  <c r="K92" i="110" s="1"/>
  <c r="J92" i="110" a="1"/>
  <c r="J92" i="110" s="1"/>
  <c r="I92" i="110" a="1"/>
  <c r="I92" i="110" s="1"/>
  <c r="H92" i="110" a="1"/>
  <c r="H92" i="110" s="1"/>
  <c r="G92" i="110" a="1"/>
  <c r="G92" i="110" s="1"/>
  <c r="F92" i="110" a="1"/>
  <c r="F92" i="110" s="1"/>
  <c r="E92" i="110" a="1"/>
  <c r="E92" i="110" s="1"/>
  <c r="D92" i="110" a="1"/>
  <c r="D92" i="110" s="1"/>
  <c r="W91" i="110" a="1"/>
  <c r="W91" i="110" s="1"/>
  <c r="V91" i="110" a="1"/>
  <c r="V91" i="110" s="1"/>
  <c r="U91" i="110" a="1"/>
  <c r="U91" i="110" s="1"/>
  <c r="T91" i="110" a="1"/>
  <c r="T91" i="110" s="1"/>
  <c r="S91" i="110" a="1"/>
  <c r="S91" i="110" s="1"/>
  <c r="R91" i="110" a="1"/>
  <c r="R91" i="110" s="1"/>
  <c r="Q91" i="110" a="1"/>
  <c r="Q91" i="110" s="1"/>
  <c r="P91" i="110" a="1"/>
  <c r="P91" i="110" s="1"/>
  <c r="O91" i="110" a="1"/>
  <c r="O91" i="110" s="1"/>
  <c r="N91" i="110" a="1"/>
  <c r="N91" i="110" s="1"/>
  <c r="M91" i="110" a="1"/>
  <c r="M91" i="110" s="1"/>
  <c r="L91" i="110" a="1"/>
  <c r="L91" i="110" s="1"/>
  <c r="K91" i="110" a="1"/>
  <c r="K91" i="110" s="1"/>
  <c r="J91" i="110" a="1"/>
  <c r="J91" i="110" s="1"/>
  <c r="I91" i="110" a="1"/>
  <c r="I91" i="110" s="1"/>
  <c r="H91" i="110" a="1"/>
  <c r="H91" i="110" s="1"/>
  <c r="G91" i="110" a="1"/>
  <c r="G91" i="110" s="1"/>
  <c r="F91" i="110" a="1"/>
  <c r="F91" i="110" s="1"/>
  <c r="E91" i="110" a="1"/>
  <c r="E91" i="110" s="1"/>
  <c r="D91" i="110" a="1"/>
  <c r="D91" i="110" s="1"/>
  <c r="W90" i="110" a="1"/>
  <c r="W90" i="110" s="1"/>
  <c r="V90" i="110" a="1"/>
  <c r="V90" i="110" s="1"/>
  <c r="U90" i="110" a="1"/>
  <c r="U90" i="110" s="1"/>
  <c r="T90" i="110" a="1"/>
  <c r="T90" i="110" s="1"/>
  <c r="S90" i="110" a="1"/>
  <c r="S90" i="110" s="1"/>
  <c r="R90" i="110" a="1"/>
  <c r="R90" i="110" s="1"/>
  <c r="Q90" i="110" a="1"/>
  <c r="Q90" i="110" s="1"/>
  <c r="P90" i="110" a="1"/>
  <c r="P90" i="110" s="1"/>
  <c r="O90" i="110" a="1"/>
  <c r="O90" i="110" s="1"/>
  <c r="N90" i="110" a="1"/>
  <c r="N90" i="110" s="1"/>
  <c r="M90" i="110" a="1"/>
  <c r="M90" i="110" s="1"/>
  <c r="L90" i="110"/>
  <c r="L90" i="110" a="1"/>
  <c r="K90" i="110" a="1"/>
  <c r="K90" i="110" s="1"/>
  <c r="J90" i="110" a="1"/>
  <c r="J90" i="110" s="1"/>
  <c r="I90" i="110" a="1"/>
  <c r="I90" i="110" s="1"/>
  <c r="H90" i="110" a="1"/>
  <c r="H90" i="110" s="1"/>
  <c r="G90" i="110" a="1"/>
  <c r="G90" i="110" s="1"/>
  <c r="F90" i="110" a="1"/>
  <c r="F90" i="110" s="1"/>
  <c r="E90" i="110" a="1"/>
  <c r="E90" i="110" s="1"/>
  <c r="D90" i="110" a="1"/>
  <c r="D90" i="110" s="1"/>
  <c r="W89" i="110" a="1"/>
  <c r="W89" i="110" s="1"/>
  <c r="V89" i="110" a="1"/>
  <c r="V89" i="110" s="1"/>
  <c r="U89" i="110" a="1"/>
  <c r="U89" i="110" s="1"/>
  <c r="T89" i="110" a="1"/>
  <c r="T89" i="110" s="1"/>
  <c r="S89" i="110" a="1"/>
  <c r="S89" i="110" s="1"/>
  <c r="R89" i="110" a="1"/>
  <c r="R89" i="110" s="1"/>
  <c r="Q89" i="110" a="1"/>
  <c r="Q89" i="110" s="1"/>
  <c r="P89" i="110" a="1"/>
  <c r="P89" i="110" s="1"/>
  <c r="O89" i="110" a="1"/>
  <c r="O89" i="110" s="1"/>
  <c r="N89" i="110" a="1"/>
  <c r="N89" i="110" s="1"/>
  <c r="M89" i="110" a="1"/>
  <c r="M89" i="110" s="1"/>
  <c r="L89" i="110" a="1"/>
  <c r="L89" i="110" s="1"/>
  <c r="K89" i="110" a="1"/>
  <c r="K89" i="110" s="1"/>
  <c r="J89" i="110" a="1"/>
  <c r="J89" i="110" s="1"/>
  <c r="I89" i="110" a="1"/>
  <c r="I89" i="110" s="1"/>
  <c r="H89" i="110" a="1"/>
  <c r="H89" i="110" s="1"/>
  <c r="G89" i="110" a="1"/>
  <c r="G89" i="110" s="1"/>
  <c r="F89" i="110" a="1"/>
  <c r="F89" i="110" s="1"/>
  <c r="E89" i="110" a="1"/>
  <c r="E89" i="110" s="1"/>
  <c r="D89" i="110" a="1"/>
  <c r="D89" i="110" s="1"/>
  <c r="W88" i="110" a="1"/>
  <c r="W88" i="110" s="1"/>
  <c r="V88" i="110" a="1"/>
  <c r="V88" i="110" s="1"/>
  <c r="U88" i="110" a="1"/>
  <c r="U88" i="110" s="1"/>
  <c r="T88" i="110" a="1"/>
  <c r="T88" i="110" s="1"/>
  <c r="S88" i="110" a="1"/>
  <c r="S88" i="110" s="1"/>
  <c r="R88" i="110" a="1"/>
  <c r="R88" i="110" s="1"/>
  <c r="Q88" i="110" a="1"/>
  <c r="Q88" i="110" s="1"/>
  <c r="P88" i="110" a="1"/>
  <c r="P88" i="110" s="1"/>
  <c r="O88" i="110" a="1"/>
  <c r="O88" i="110" s="1"/>
  <c r="N88" i="110"/>
  <c r="N88" i="110" a="1"/>
  <c r="M88" i="110" a="1"/>
  <c r="M88" i="110" s="1"/>
  <c r="L88" i="110" a="1"/>
  <c r="L88" i="110" s="1"/>
  <c r="K88" i="110" a="1"/>
  <c r="K88" i="110" s="1"/>
  <c r="J88" i="110" a="1"/>
  <c r="J88" i="110" s="1"/>
  <c r="I88" i="110" a="1"/>
  <c r="I88" i="110" s="1"/>
  <c r="H88" i="110" a="1"/>
  <c r="H88" i="110" s="1"/>
  <c r="G88" i="110" a="1"/>
  <c r="G88" i="110" s="1"/>
  <c r="F88" i="110" a="1"/>
  <c r="F88" i="110" s="1"/>
  <c r="E88" i="110" a="1"/>
  <c r="E88" i="110" s="1"/>
  <c r="D88" i="110" a="1"/>
  <c r="D88" i="110" s="1"/>
  <c r="W87" i="110"/>
  <c r="W87" i="110" a="1"/>
  <c r="V87" i="110" a="1"/>
  <c r="V87" i="110" s="1"/>
  <c r="U87" i="110" a="1"/>
  <c r="U87" i="110" s="1"/>
  <c r="T87" i="110" a="1"/>
  <c r="T87" i="110" s="1"/>
  <c r="S87" i="110" a="1"/>
  <c r="S87" i="110" s="1"/>
  <c r="R87" i="110" a="1"/>
  <c r="R87" i="110" s="1"/>
  <c r="Q87" i="110" a="1"/>
  <c r="Q87" i="110" s="1"/>
  <c r="P87" i="110" a="1"/>
  <c r="P87" i="110" s="1"/>
  <c r="O87" i="110" a="1"/>
  <c r="O87" i="110" s="1"/>
  <c r="N87" i="110" a="1"/>
  <c r="N87" i="110" s="1"/>
  <c r="M87" i="110" a="1"/>
  <c r="M87" i="110" s="1"/>
  <c r="L87" i="110" a="1"/>
  <c r="L87" i="110" s="1"/>
  <c r="K87" i="110" a="1"/>
  <c r="K87" i="110" s="1"/>
  <c r="J87" i="110" a="1"/>
  <c r="J87" i="110" s="1"/>
  <c r="I87" i="110" a="1"/>
  <c r="I87" i="110" s="1"/>
  <c r="H87" i="110" a="1"/>
  <c r="H87" i="110" s="1"/>
  <c r="G87" i="110" a="1"/>
  <c r="G87" i="110" s="1"/>
  <c r="F87" i="110" a="1"/>
  <c r="F87" i="110" s="1"/>
  <c r="E87" i="110" a="1"/>
  <c r="E87" i="110" s="1"/>
  <c r="D87" i="110" a="1"/>
  <c r="D87" i="110" s="1"/>
  <c r="W86" i="110" a="1"/>
  <c r="W86" i="110" s="1"/>
  <c r="V86" i="110" a="1"/>
  <c r="V86" i="110" s="1"/>
  <c r="U86" i="110" a="1"/>
  <c r="U86" i="110" s="1"/>
  <c r="T86" i="110" a="1"/>
  <c r="T86" i="110" s="1"/>
  <c r="S86" i="110" a="1"/>
  <c r="S86" i="110" s="1"/>
  <c r="R86" i="110" a="1"/>
  <c r="R86" i="110" s="1"/>
  <c r="Q86" i="110" a="1"/>
  <c r="Q86" i="110" s="1"/>
  <c r="P86" i="110" a="1"/>
  <c r="P86" i="110" s="1"/>
  <c r="O86" i="110" a="1"/>
  <c r="O86" i="110" s="1"/>
  <c r="N86" i="110" a="1"/>
  <c r="N86" i="110" s="1"/>
  <c r="M86" i="110" a="1"/>
  <c r="M86" i="110" s="1"/>
  <c r="L86" i="110" a="1"/>
  <c r="L86" i="110" s="1"/>
  <c r="K86" i="110" a="1"/>
  <c r="K86" i="110" s="1"/>
  <c r="J86" i="110" a="1"/>
  <c r="J86" i="110" s="1"/>
  <c r="I86" i="110" a="1"/>
  <c r="I86" i="110" s="1"/>
  <c r="H86" i="110" a="1"/>
  <c r="H86" i="110" s="1"/>
  <c r="G86" i="110" a="1"/>
  <c r="G86" i="110" s="1"/>
  <c r="F86" i="110" a="1"/>
  <c r="F86" i="110" s="1"/>
  <c r="E86" i="110" a="1"/>
  <c r="E86" i="110" s="1"/>
  <c r="D86" i="110" a="1"/>
  <c r="D86" i="110" s="1"/>
  <c r="W85" i="110" a="1"/>
  <c r="W85" i="110" s="1"/>
  <c r="V85" i="110" a="1"/>
  <c r="V85" i="110" s="1"/>
  <c r="U85" i="110" a="1"/>
  <c r="U85" i="110" s="1"/>
  <c r="T85" i="110" a="1"/>
  <c r="T85" i="110" s="1"/>
  <c r="S85" i="110" a="1"/>
  <c r="S85" i="110" s="1"/>
  <c r="R85" i="110" a="1"/>
  <c r="R85" i="110" s="1"/>
  <c r="Q85" i="110" a="1"/>
  <c r="Q85" i="110" s="1"/>
  <c r="P85" i="110" a="1"/>
  <c r="P85" i="110" s="1"/>
  <c r="O85" i="110" a="1"/>
  <c r="O85" i="110" s="1"/>
  <c r="N85" i="110" a="1"/>
  <c r="N85" i="110" s="1"/>
  <c r="M85" i="110" a="1"/>
  <c r="M85" i="110" s="1"/>
  <c r="L85" i="110"/>
  <c r="L85" i="110" a="1"/>
  <c r="K85" i="110" a="1"/>
  <c r="K85" i="110" s="1"/>
  <c r="J85" i="110" a="1"/>
  <c r="J85" i="110" s="1"/>
  <c r="I85" i="110" a="1"/>
  <c r="I85" i="110" s="1"/>
  <c r="H85" i="110" a="1"/>
  <c r="H85" i="110" s="1"/>
  <c r="G85" i="110" a="1"/>
  <c r="G85" i="110" s="1"/>
  <c r="F85" i="110" a="1"/>
  <c r="F85" i="110" s="1"/>
  <c r="E85" i="110" a="1"/>
  <c r="E85" i="110" s="1"/>
  <c r="D85" i="110" a="1"/>
  <c r="D85" i="110" s="1"/>
  <c r="W84" i="110" a="1"/>
  <c r="W84" i="110" s="1"/>
  <c r="V84" i="110" a="1"/>
  <c r="V84" i="110" s="1"/>
  <c r="U84" i="110"/>
  <c r="U84" i="110" a="1"/>
  <c r="T84" i="110" a="1"/>
  <c r="T84" i="110" s="1"/>
  <c r="S84" i="110" a="1"/>
  <c r="S84" i="110" s="1"/>
  <c r="R84" i="110" a="1"/>
  <c r="R84" i="110" s="1"/>
  <c r="Q84" i="110" a="1"/>
  <c r="Q84" i="110" s="1"/>
  <c r="P84" i="110" a="1"/>
  <c r="P84" i="110" s="1"/>
  <c r="O84" i="110" a="1"/>
  <c r="O84" i="110" s="1"/>
  <c r="N84" i="110" a="1"/>
  <c r="N84" i="110" s="1"/>
  <c r="M84" i="110" a="1"/>
  <c r="M84" i="110" s="1"/>
  <c r="L84" i="110" a="1"/>
  <c r="L84" i="110" s="1"/>
  <c r="K84" i="110" a="1"/>
  <c r="K84" i="110" s="1"/>
  <c r="J84" i="110" a="1"/>
  <c r="J84" i="110" s="1"/>
  <c r="I84" i="110" a="1"/>
  <c r="I84" i="110" s="1"/>
  <c r="H84" i="110"/>
  <c r="H84" i="110" a="1"/>
  <c r="G84" i="110" a="1"/>
  <c r="G84" i="110" s="1"/>
  <c r="F84" i="110" a="1"/>
  <c r="F84" i="110" s="1"/>
  <c r="E84" i="110" a="1"/>
  <c r="E84" i="110" s="1"/>
  <c r="D84" i="110" a="1"/>
  <c r="D84" i="110" s="1"/>
  <c r="W83" i="110" a="1"/>
  <c r="W83" i="110" s="1"/>
  <c r="V83" i="110" a="1"/>
  <c r="V83" i="110" s="1"/>
  <c r="U83" i="110"/>
  <c r="U83" i="110" a="1"/>
  <c r="T83" i="110" a="1"/>
  <c r="T83" i="110" s="1"/>
  <c r="S83" i="110" a="1"/>
  <c r="S83" i="110" s="1"/>
  <c r="R83" i="110" a="1"/>
  <c r="R83" i="110" s="1"/>
  <c r="Q83" i="110" a="1"/>
  <c r="Q83" i="110" s="1"/>
  <c r="P83" i="110" a="1"/>
  <c r="P83" i="110" s="1"/>
  <c r="O83" i="110" a="1"/>
  <c r="O83" i="110" s="1"/>
  <c r="N83" i="110" a="1"/>
  <c r="N83" i="110" s="1"/>
  <c r="M83" i="110" a="1"/>
  <c r="M83" i="110" s="1"/>
  <c r="L83" i="110"/>
  <c r="L83" i="110" a="1"/>
  <c r="K83" i="110" a="1"/>
  <c r="K83" i="110" s="1"/>
  <c r="J83" i="110"/>
  <c r="J83" i="110" a="1"/>
  <c r="I83" i="110" a="1"/>
  <c r="I83" i="110" s="1"/>
  <c r="H83" i="110" a="1"/>
  <c r="H83" i="110" s="1"/>
  <c r="G83" i="110" a="1"/>
  <c r="G83" i="110" s="1"/>
  <c r="F83" i="110" a="1"/>
  <c r="F83" i="110" s="1"/>
  <c r="E83" i="110" a="1"/>
  <c r="E83" i="110" s="1"/>
  <c r="D83" i="110" a="1"/>
  <c r="D83" i="110" s="1"/>
  <c r="W82" i="110" a="1"/>
  <c r="W82" i="110" s="1"/>
  <c r="V82" i="110" a="1"/>
  <c r="V82" i="110" s="1"/>
  <c r="U82" i="110" a="1"/>
  <c r="U82" i="110" s="1"/>
  <c r="T82" i="110" a="1"/>
  <c r="T82" i="110" s="1"/>
  <c r="S82" i="110" a="1"/>
  <c r="S82" i="110" s="1"/>
  <c r="R82" i="110" a="1"/>
  <c r="R82" i="110" s="1"/>
  <c r="Q82" i="110" a="1"/>
  <c r="Q82" i="110" s="1"/>
  <c r="P82" i="110" a="1"/>
  <c r="P82" i="110" s="1"/>
  <c r="O82" i="110" a="1"/>
  <c r="O82" i="110" s="1"/>
  <c r="N82" i="110" a="1"/>
  <c r="N82" i="110" s="1"/>
  <c r="M82" i="110" a="1"/>
  <c r="M82" i="110" s="1"/>
  <c r="L82" i="110" a="1"/>
  <c r="L82" i="110" s="1"/>
  <c r="K82" i="110" a="1"/>
  <c r="K82" i="110" s="1"/>
  <c r="J82" i="110" a="1"/>
  <c r="J82" i="110" s="1"/>
  <c r="I82" i="110" a="1"/>
  <c r="I82" i="110" s="1"/>
  <c r="H82" i="110" a="1"/>
  <c r="H82" i="110" s="1"/>
  <c r="G82" i="110" a="1"/>
  <c r="G82" i="110" s="1"/>
  <c r="F82" i="110" a="1"/>
  <c r="F82" i="110" s="1"/>
  <c r="E82" i="110" a="1"/>
  <c r="E82" i="110" s="1"/>
  <c r="D82" i="110" a="1"/>
  <c r="D82" i="110" s="1"/>
  <c r="W81" i="110" a="1"/>
  <c r="W81" i="110" s="1"/>
  <c r="V81" i="110" a="1"/>
  <c r="V81" i="110" s="1"/>
  <c r="U81" i="110" a="1"/>
  <c r="U81" i="110" s="1"/>
  <c r="T81" i="110" a="1"/>
  <c r="T81" i="110" s="1"/>
  <c r="S81" i="110" a="1"/>
  <c r="S81" i="110" s="1"/>
  <c r="R81" i="110" a="1"/>
  <c r="R81" i="110" s="1"/>
  <c r="Q81" i="110" a="1"/>
  <c r="Q81" i="110" s="1"/>
  <c r="P81" i="110" a="1"/>
  <c r="P81" i="110" s="1"/>
  <c r="O81" i="110" a="1"/>
  <c r="O81" i="110" s="1"/>
  <c r="N81" i="110" a="1"/>
  <c r="N81" i="110" s="1"/>
  <c r="M81" i="110" a="1"/>
  <c r="M81" i="110" s="1"/>
  <c r="L81" i="110" a="1"/>
  <c r="L81" i="110" s="1"/>
  <c r="K81" i="110" a="1"/>
  <c r="K81" i="110" s="1"/>
  <c r="J81" i="110" a="1"/>
  <c r="J81" i="110" s="1"/>
  <c r="I81" i="110" a="1"/>
  <c r="I81" i="110" s="1"/>
  <c r="H81" i="110" a="1"/>
  <c r="H81" i="110" s="1"/>
  <c r="G81" i="110" a="1"/>
  <c r="G81" i="110" s="1"/>
  <c r="F81" i="110" a="1"/>
  <c r="F81" i="110" s="1"/>
  <c r="E81" i="110" a="1"/>
  <c r="E81" i="110" s="1"/>
  <c r="D81" i="110" a="1"/>
  <c r="D81" i="110" s="1"/>
  <c r="W80" i="110" a="1"/>
  <c r="W80" i="110" s="1"/>
  <c r="V80" i="110" a="1"/>
  <c r="V80" i="110" s="1"/>
  <c r="U80" i="110" a="1"/>
  <c r="U80" i="110" s="1"/>
  <c r="T80" i="110" a="1"/>
  <c r="T80" i="110" s="1"/>
  <c r="S80" i="110" a="1"/>
  <c r="S80" i="110" s="1"/>
  <c r="R80" i="110" a="1"/>
  <c r="R80" i="110" s="1"/>
  <c r="Q80" i="110" a="1"/>
  <c r="Q80" i="110" s="1"/>
  <c r="P80" i="110" a="1"/>
  <c r="P80" i="110" s="1"/>
  <c r="O80" i="110" a="1"/>
  <c r="O80" i="110" s="1"/>
  <c r="N80" i="110" a="1"/>
  <c r="N80" i="110" s="1"/>
  <c r="M80" i="110" a="1"/>
  <c r="M80" i="110" s="1"/>
  <c r="L80" i="110" a="1"/>
  <c r="L80" i="110" s="1"/>
  <c r="K80" i="110" a="1"/>
  <c r="K80" i="110" s="1"/>
  <c r="J80" i="110" a="1"/>
  <c r="J80" i="110" s="1"/>
  <c r="I80" i="110" a="1"/>
  <c r="I80" i="110" s="1"/>
  <c r="H80" i="110" a="1"/>
  <c r="H80" i="110" s="1"/>
  <c r="G80" i="110" a="1"/>
  <c r="G80" i="110" s="1"/>
  <c r="F80" i="110" a="1"/>
  <c r="F80" i="110" s="1"/>
  <c r="E80" i="110" a="1"/>
  <c r="E80" i="110" s="1"/>
  <c r="D80" i="110" a="1"/>
  <c r="D80" i="110" s="1"/>
  <c r="W79" i="110" a="1"/>
  <c r="W79" i="110" s="1"/>
  <c r="V79" i="110" a="1"/>
  <c r="V79" i="110" s="1"/>
  <c r="U79" i="110" a="1"/>
  <c r="U79" i="110" s="1"/>
  <c r="T79" i="110" a="1"/>
  <c r="T79" i="110" s="1"/>
  <c r="S79" i="110" a="1"/>
  <c r="S79" i="110" s="1"/>
  <c r="R79" i="110" a="1"/>
  <c r="R79" i="110" s="1"/>
  <c r="Q79" i="110" a="1"/>
  <c r="Q79" i="110" s="1"/>
  <c r="P79" i="110" a="1"/>
  <c r="P79" i="110" s="1"/>
  <c r="O79" i="110" a="1"/>
  <c r="O79" i="110" s="1"/>
  <c r="N79" i="110" a="1"/>
  <c r="N79" i="110" s="1"/>
  <c r="M79" i="110" a="1"/>
  <c r="M79" i="110" s="1"/>
  <c r="L79" i="110"/>
  <c r="L79" i="110" a="1"/>
  <c r="K79" i="110" a="1"/>
  <c r="K79" i="110" s="1"/>
  <c r="J79" i="110" a="1"/>
  <c r="J79" i="110" s="1"/>
  <c r="I79" i="110" a="1"/>
  <c r="I79" i="110" s="1"/>
  <c r="H79" i="110" a="1"/>
  <c r="H79" i="110" s="1"/>
  <c r="G79" i="110" a="1"/>
  <c r="G79" i="110" s="1"/>
  <c r="F79" i="110" a="1"/>
  <c r="F79" i="110" s="1"/>
  <c r="E79" i="110" a="1"/>
  <c r="E79" i="110" s="1"/>
  <c r="D79" i="110" a="1"/>
  <c r="D79" i="110" s="1"/>
  <c r="W78" i="110" a="1"/>
  <c r="W78" i="110" s="1"/>
  <c r="V78" i="110" a="1"/>
  <c r="V78" i="110" s="1"/>
  <c r="U78" i="110" a="1"/>
  <c r="U78" i="110" s="1"/>
  <c r="T78" i="110" a="1"/>
  <c r="T78" i="110" s="1"/>
  <c r="S78" i="110" a="1"/>
  <c r="S78" i="110" s="1"/>
  <c r="R78" i="110"/>
  <c r="R78" i="110" a="1"/>
  <c r="Q78" i="110" a="1"/>
  <c r="Q78" i="110" s="1"/>
  <c r="P78" i="110" a="1"/>
  <c r="P78" i="110" s="1"/>
  <c r="O78" i="110" a="1"/>
  <c r="O78" i="110" s="1"/>
  <c r="N78" i="110" a="1"/>
  <c r="N78" i="110" s="1"/>
  <c r="M78" i="110" a="1"/>
  <c r="M78" i="110" s="1"/>
  <c r="L78" i="110" a="1"/>
  <c r="L78" i="110" s="1"/>
  <c r="K78" i="110" a="1"/>
  <c r="K78" i="110" s="1"/>
  <c r="J78" i="110" a="1"/>
  <c r="J78" i="110" s="1"/>
  <c r="I78" i="110" a="1"/>
  <c r="I78" i="110" s="1"/>
  <c r="H78" i="110" a="1"/>
  <c r="H78" i="110" s="1"/>
  <c r="G78" i="110" a="1"/>
  <c r="G78" i="110" s="1"/>
  <c r="F78" i="110" a="1"/>
  <c r="F78" i="110" s="1"/>
  <c r="E78" i="110" a="1"/>
  <c r="E78" i="110" s="1"/>
  <c r="D78" i="110" a="1"/>
  <c r="D78" i="110" s="1"/>
  <c r="W77" i="110" a="1"/>
  <c r="W77" i="110" s="1"/>
  <c r="V77" i="110" a="1"/>
  <c r="V77" i="110" s="1"/>
  <c r="U77" i="110" a="1"/>
  <c r="U77" i="110" s="1"/>
  <c r="T77" i="110" a="1"/>
  <c r="T77" i="110" s="1"/>
  <c r="S77" i="110" a="1"/>
  <c r="S77" i="110" s="1"/>
  <c r="R77" i="110" a="1"/>
  <c r="R77" i="110" s="1"/>
  <c r="Q77" i="110" a="1"/>
  <c r="Q77" i="110" s="1"/>
  <c r="P77" i="110" a="1"/>
  <c r="P77" i="110" s="1"/>
  <c r="O77" i="110" a="1"/>
  <c r="O77" i="110" s="1"/>
  <c r="N77" i="110" a="1"/>
  <c r="N77" i="110" s="1"/>
  <c r="M77" i="110" a="1"/>
  <c r="M77" i="110" s="1"/>
  <c r="L77" i="110" a="1"/>
  <c r="L77" i="110" s="1"/>
  <c r="K77" i="110" a="1"/>
  <c r="K77" i="110" s="1"/>
  <c r="J77" i="110" a="1"/>
  <c r="J77" i="110" s="1"/>
  <c r="I77" i="110" a="1"/>
  <c r="I77" i="110" s="1"/>
  <c r="H77" i="110" a="1"/>
  <c r="H77" i="110" s="1"/>
  <c r="G77" i="110" a="1"/>
  <c r="G77" i="110" s="1"/>
  <c r="F77" i="110" a="1"/>
  <c r="F77" i="110" s="1"/>
  <c r="E77" i="110" a="1"/>
  <c r="E77" i="110" s="1"/>
  <c r="D77" i="110" a="1"/>
  <c r="D77" i="110" s="1"/>
  <c r="W76" i="110" a="1"/>
  <c r="W76" i="110" s="1"/>
  <c r="V76" i="110" a="1"/>
  <c r="V76" i="110" s="1"/>
  <c r="U76" i="110" a="1"/>
  <c r="U76" i="110" s="1"/>
  <c r="T76" i="110" a="1"/>
  <c r="T76" i="110" s="1"/>
  <c r="S76" i="110" a="1"/>
  <c r="S76" i="110" s="1"/>
  <c r="R76" i="110" a="1"/>
  <c r="R76" i="110" s="1"/>
  <c r="Q76" i="110" a="1"/>
  <c r="Q76" i="110" s="1"/>
  <c r="P76" i="110" a="1"/>
  <c r="P76" i="110" s="1"/>
  <c r="O76" i="110" a="1"/>
  <c r="O76" i="110" s="1"/>
  <c r="N76" i="110" a="1"/>
  <c r="N76" i="110" s="1"/>
  <c r="M76" i="110" a="1"/>
  <c r="M76" i="110" s="1"/>
  <c r="L76" i="110" a="1"/>
  <c r="L76" i="110" s="1"/>
  <c r="K76" i="110" a="1"/>
  <c r="K76" i="110" s="1"/>
  <c r="J76" i="110" a="1"/>
  <c r="J76" i="110" s="1"/>
  <c r="I76" i="110" a="1"/>
  <c r="I76" i="110" s="1"/>
  <c r="H76" i="110" a="1"/>
  <c r="H76" i="110" s="1"/>
  <c r="G76" i="110" a="1"/>
  <c r="G76" i="110" s="1"/>
  <c r="F76" i="110" a="1"/>
  <c r="F76" i="110" s="1"/>
  <c r="E76" i="110" a="1"/>
  <c r="E76" i="110" s="1"/>
  <c r="D76" i="110" a="1"/>
  <c r="D76" i="110" s="1"/>
  <c r="W75" i="110" a="1"/>
  <c r="W75" i="110" s="1"/>
  <c r="V75" i="110" a="1"/>
  <c r="V75" i="110" s="1"/>
  <c r="U75" i="110" a="1"/>
  <c r="U75" i="110" s="1"/>
  <c r="T75" i="110" a="1"/>
  <c r="T75" i="110" s="1"/>
  <c r="S75" i="110" a="1"/>
  <c r="S75" i="110" s="1"/>
  <c r="R75" i="110" a="1"/>
  <c r="R75" i="110" s="1"/>
  <c r="Q75" i="110" a="1"/>
  <c r="Q75" i="110" s="1"/>
  <c r="P75" i="110" a="1"/>
  <c r="P75" i="110" s="1"/>
  <c r="O75" i="110" a="1"/>
  <c r="O75" i="110" s="1"/>
  <c r="N75" i="110" a="1"/>
  <c r="N75" i="110" s="1"/>
  <c r="M75" i="110" a="1"/>
  <c r="M75" i="110" s="1"/>
  <c r="L75" i="110" a="1"/>
  <c r="L75" i="110" s="1"/>
  <c r="K75" i="110" a="1"/>
  <c r="K75" i="110" s="1"/>
  <c r="J75" i="110" a="1"/>
  <c r="J75" i="110" s="1"/>
  <c r="I75" i="110" a="1"/>
  <c r="I75" i="110" s="1"/>
  <c r="H75" i="110" a="1"/>
  <c r="H75" i="110" s="1"/>
  <c r="G75" i="110" a="1"/>
  <c r="G75" i="110" s="1"/>
  <c r="F75" i="110" a="1"/>
  <c r="F75" i="110" s="1"/>
  <c r="E75" i="110" a="1"/>
  <c r="E75" i="110" s="1"/>
  <c r="D75" i="110" a="1"/>
  <c r="D75" i="110" s="1"/>
  <c r="W74" i="110" a="1"/>
  <c r="W74" i="110" s="1"/>
  <c r="V74" i="110" a="1"/>
  <c r="V74" i="110" s="1"/>
  <c r="U74" i="110" a="1"/>
  <c r="U74" i="110" s="1"/>
  <c r="T74" i="110" a="1"/>
  <c r="T74" i="110" s="1"/>
  <c r="S74" i="110" a="1"/>
  <c r="S74" i="110" s="1"/>
  <c r="R74" i="110" a="1"/>
  <c r="R74" i="110" s="1"/>
  <c r="Q74" i="110" a="1"/>
  <c r="Q74" i="110" s="1"/>
  <c r="P74" i="110" a="1"/>
  <c r="P74" i="110" s="1"/>
  <c r="O74" i="110" a="1"/>
  <c r="O74" i="110" s="1"/>
  <c r="N74" i="110" a="1"/>
  <c r="N74" i="110" s="1"/>
  <c r="M74" i="110" a="1"/>
  <c r="M74" i="110" s="1"/>
  <c r="L74" i="110" a="1"/>
  <c r="L74" i="110" s="1"/>
  <c r="K74" i="110" a="1"/>
  <c r="K74" i="110" s="1"/>
  <c r="J74" i="110" a="1"/>
  <c r="J74" i="110" s="1"/>
  <c r="I74" i="110" a="1"/>
  <c r="I74" i="110" s="1"/>
  <c r="H74" i="110"/>
  <c r="H74" i="110" a="1"/>
  <c r="G74" i="110" a="1"/>
  <c r="G74" i="110" s="1"/>
  <c r="F74" i="110" a="1"/>
  <c r="F74" i="110" s="1"/>
  <c r="E74" i="110" a="1"/>
  <c r="E74" i="110" s="1"/>
  <c r="D74" i="110" a="1"/>
  <c r="D74" i="110" s="1"/>
  <c r="W73" i="110" a="1"/>
  <c r="W73" i="110" s="1"/>
  <c r="V73" i="110" a="1"/>
  <c r="V73" i="110" s="1"/>
  <c r="U73" i="110" a="1"/>
  <c r="U73" i="110" s="1"/>
  <c r="T73" i="110" a="1"/>
  <c r="T73" i="110" s="1"/>
  <c r="S73" i="110" a="1"/>
  <c r="S73" i="110" s="1"/>
  <c r="R73" i="110" a="1"/>
  <c r="R73" i="110" s="1"/>
  <c r="Q73" i="110" a="1"/>
  <c r="Q73" i="110" s="1"/>
  <c r="P73" i="110" a="1"/>
  <c r="P73" i="110" s="1"/>
  <c r="O73" i="110" a="1"/>
  <c r="O73" i="110" s="1"/>
  <c r="N73" i="110" a="1"/>
  <c r="N73" i="110" s="1"/>
  <c r="M73" i="110" a="1"/>
  <c r="M73" i="110" s="1"/>
  <c r="L73" i="110" a="1"/>
  <c r="L73" i="110" s="1"/>
  <c r="K73" i="110" a="1"/>
  <c r="K73" i="110" s="1"/>
  <c r="J73" i="110" a="1"/>
  <c r="J73" i="110" s="1"/>
  <c r="I73" i="110" a="1"/>
  <c r="I73" i="110" s="1"/>
  <c r="H73" i="110" a="1"/>
  <c r="H73" i="110" s="1"/>
  <c r="G73" i="110" a="1"/>
  <c r="G73" i="110" s="1"/>
  <c r="F73" i="110" a="1"/>
  <c r="F73" i="110" s="1"/>
  <c r="E73" i="110" a="1"/>
  <c r="E73" i="110" s="1"/>
  <c r="D73" i="110" a="1"/>
  <c r="D73" i="110" s="1"/>
  <c r="W72" i="110" a="1"/>
  <c r="W72" i="110" s="1"/>
  <c r="V72" i="110" a="1"/>
  <c r="V72" i="110" s="1"/>
  <c r="U72" i="110" a="1"/>
  <c r="U72" i="110" s="1"/>
  <c r="T72" i="110" a="1"/>
  <c r="T72" i="110" s="1"/>
  <c r="S72" i="110" a="1"/>
  <c r="S72" i="110" s="1"/>
  <c r="R72" i="110" a="1"/>
  <c r="R72" i="110" s="1"/>
  <c r="Q72" i="110" a="1"/>
  <c r="Q72" i="110" s="1"/>
  <c r="P72" i="110" a="1"/>
  <c r="P72" i="110" s="1"/>
  <c r="O72" i="110" a="1"/>
  <c r="O72" i="110" s="1"/>
  <c r="N72" i="110" a="1"/>
  <c r="N72" i="110" s="1"/>
  <c r="M72" i="110" a="1"/>
  <c r="M72" i="110" s="1"/>
  <c r="L72" i="110" a="1"/>
  <c r="L72" i="110" s="1"/>
  <c r="K72" i="110" a="1"/>
  <c r="K72" i="110" s="1"/>
  <c r="J72" i="110" a="1"/>
  <c r="J72" i="110" s="1"/>
  <c r="I72" i="110" a="1"/>
  <c r="I72" i="110" s="1"/>
  <c r="H72" i="110" a="1"/>
  <c r="H72" i="110" s="1"/>
  <c r="G72" i="110" a="1"/>
  <c r="G72" i="110" s="1"/>
  <c r="F72" i="110" a="1"/>
  <c r="F72" i="110" s="1"/>
  <c r="E72" i="110" a="1"/>
  <c r="E72" i="110" s="1"/>
  <c r="D72" i="110" a="1"/>
  <c r="D72" i="110" s="1"/>
  <c r="W71" i="110" a="1"/>
  <c r="W71" i="110" s="1"/>
  <c r="V71" i="110" a="1"/>
  <c r="V71" i="110" s="1"/>
  <c r="U71" i="110" a="1"/>
  <c r="U71" i="110" s="1"/>
  <c r="T71" i="110" a="1"/>
  <c r="T71" i="110" s="1"/>
  <c r="S71" i="110"/>
  <c r="S71" i="110" a="1"/>
  <c r="R71" i="110" a="1"/>
  <c r="R71" i="110" s="1"/>
  <c r="Q71" i="110" a="1"/>
  <c r="Q71" i="110" s="1"/>
  <c r="P71" i="110" a="1"/>
  <c r="P71" i="110" s="1"/>
  <c r="O71" i="110" a="1"/>
  <c r="O71" i="110" s="1"/>
  <c r="N71" i="110" a="1"/>
  <c r="N71" i="110" s="1"/>
  <c r="M71" i="110" a="1"/>
  <c r="M71" i="110" s="1"/>
  <c r="L71" i="110" a="1"/>
  <c r="L71" i="110" s="1"/>
  <c r="K71" i="110" a="1"/>
  <c r="K71" i="110" s="1"/>
  <c r="J71" i="110" a="1"/>
  <c r="J71" i="110" s="1"/>
  <c r="I71" i="110" a="1"/>
  <c r="I71" i="110" s="1"/>
  <c r="H71" i="110" a="1"/>
  <c r="H71" i="110" s="1"/>
  <c r="G71" i="110" a="1"/>
  <c r="G71" i="110" s="1"/>
  <c r="F71" i="110" a="1"/>
  <c r="F71" i="110" s="1"/>
  <c r="E71" i="110" a="1"/>
  <c r="E71" i="110" s="1"/>
  <c r="D71" i="110"/>
  <c r="D71" i="110" a="1"/>
  <c r="W70" i="110" a="1"/>
  <c r="W70" i="110" s="1"/>
  <c r="V70" i="110" a="1"/>
  <c r="V70" i="110" s="1"/>
  <c r="U70" i="110" a="1"/>
  <c r="U70" i="110" s="1"/>
  <c r="T70" i="110" a="1"/>
  <c r="T70" i="110" s="1"/>
  <c r="S70" i="110" a="1"/>
  <c r="S70" i="110" s="1"/>
  <c r="R70" i="110" a="1"/>
  <c r="R70" i="110" s="1"/>
  <c r="Q70" i="110" a="1"/>
  <c r="Q70" i="110" s="1"/>
  <c r="P70" i="110" a="1"/>
  <c r="P70" i="110" s="1"/>
  <c r="O70" i="110" a="1"/>
  <c r="O70" i="110" s="1"/>
  <c r="N70" i="110" a="1"/>
  <c r="N70" i="110" s="1"/>
  <c r="M70" i="110" a="1"/>
  <c r="M70" i="110" s="1"/>
  <c r="L70" i="110" a="1"/>
  <c r="L70" i="110" s="1"/>
  <c r="K70" i="110" a="1"/>
  <c r="K70" i="110" s="1"/>
  <c r="J70" i="110" a="1"/>
  <c r="J70" i="110" s="1"/>
  <c r="I70" i="110" a="1"/>
  <c r="I70" i="110" s="1"/>
  <c r="H70" i="110" a="1"/>
  <c r="H70" i="110" s="1"/>
  <c r="G70" i="110" a="1"/>
  <c r="G70" i="110" s="1"/>
  <c r="F70" i="110" a="1"/>
  <c r="F70" i="110" s="1"/>
  <c r="E70" i="110" a="1"/>
  <c r="E70" i="110" s="1"/>
  <c r="D70" i="110" a="1"/>
  <c r="D70" i="110" s="1"/>
  <c r="W69" i="110" a="1"/>
  <c r="W69" i="110" s="1"/>
  <c r="V69" i="110" a="1"/>
  <c r="V69" i="110" s="1"/>
  <c r="U69" i="110" a="1"/>
  <c r="U69" i="110" s="1"/>
  <c r="T69" i="110" a="1"/>
  <c r="T69" i="110" s="1"/>
  <c r="S69" i="110" a="1"/>
  <c r="S69" i="110" s="1"/>
  <c r="R69" i="110" a="1"/>
  <c r="R69" i="110" s="1"/>
  <c r="Q69" i="110" a="1"/>
  <c r="Q69" i="110" s="1"/>
  <c r="P69" i="110" a="1"/>
  <c r="P69" i="110" s="1"/>
  <c r="O69" i="110" a="1"/>
  <c r="O69" i="110" s="1"/>
  <c r="N69" i="110" a="1"/>
  <c r="N69" i="110" s="1"/>
  <c r="M69" i="110" a="1"/>
  <c r="M69" i="110" s="1"/>
  <c r="L69" i="110" a="1"/>
  <c r="L69" i="110" s="1"/>
  <c r="K69" i="110" a="1"/>
  <c r="K69" i="110" s="1"/>
  <c r="J69" i="110" a="1"/>
  <c r="J69" i="110" s="1"/>
  <c r="I69" i="110" a="1"/>
  <c r="I69" i="110" s="1"/>
  <c r="H69" i="110" a="1"/>
  <c r="H69" i="110" s="1"/>
  <c r="G69" i="110" a="1"/>
  <c r="G69" i="110" s="1"/>
  <c r="F69" i="110" a="1"/>
  <c r="F69" i="110" s="1"/>
  <c r="E69" i="110" a="1"/>
  <c r="E69" i="110" s="1"/>
  <c r="D69" i="110" a="1"/>
  <c r="D69" i="110" s="1"/>
  <c r="W68" i="110" a="1"/>
  <c r="W68" i="110" s="1"/>
  <c r="V68" i="110"/>
  <c r="V68" i="110" a="1"/>
  <c r="U68" i="110" a="1"/>
  <c r="U68" i="110" s="1"/>
  <c r="T68" i="110" a="1"/>
  <c r="T68" i="110" s="1"/>
  <c r="S68" i="110" a="1"/>
  <c r="S68" i="110" s="1"/>
  <c r="R68" i="110" a="1"/>
  <c r="R68" i="110" s="1"/>
  <c r="Q68" i="110" a="1"/>
  <c r="Q68" i="110" s="1"/>
  <c r="P68" i="110" a="1"/>
  <c r="P68" i="110" s="1"/>
  <c r="O68" i="110" a="1"/>
  <c r="O68" i="110" s="1"/>
  <c r="N68" i="110" a="1"/>
  <c r="N68" i="110" s="1"/>
  <c r="M68" i="110" a="1"/>
  <c r="M68" i="110" s="1"/>
  <c r="L68" i="110" a="1"/>
  <c r="L68" i="110" s="1"/>
  <c r="K68" i="110" a="1"/>
  <c r="K68" i="110" s="1"/>
  <c r="J68" i="110" a="1"/>
  <c r="J68" i="110" s="1"/>
  <c r="I68" i="110"/>
  <c r="I68" i="110" a="1"/>
  <c r="H68" i="110" a="1"/>
  <c r="H68" i="110" s="1"/>
  <c r="G68" i="110" a="1"/>
  <c r="G68" i="110" s="1"/>
  <c r="F68" i="110" a="1"/>
  <c r="F68" i="110" s="1"/>
  <c r="E68" i="110" a="1"/>
  <c r="E68" i="110" s="1"/>
  <c r="D68" i="110" a="1"/>
  <c r="D68" i="110" s="1"/>
  <c r="W67" i="110" a="1"/>
  <c r="W67" i="110" s="1"/>
  <c r="V67" i="110" a="1"/>
  <c r="V67" i="110" s="1"/>
  <c r="U67" i="110" a="1"/>
  <c r="U67" i="110" s="1"/>
  <c r="T67" i="110" a="1"/>
  <c r="T67" i="110" s="1"/>
  <c r="S67" i="110" a="1"/>
  <c r="S67" i="110" s="1"/>
  <c r="R67" i="110" a="1"/>
  <c r="R67" i="110" s="1"/>
  <c r="Q67" i="110" a="1"/>
  <c r="Q67" i="110" s="1"/>
  <c r="P67" i="110" a="1"/>
  <c r="P67" i="110" s="1"/>
  <c r="O67" i="110" a="1"/>
  <c r="O67" i="110" s="1"/>
  <c r="N67" i="110" a="1"/>
  <c r="N67" i="110" s="1"/>
  <c r="M67" i="110" a="1"/>
  <c r="M67" i="110" s="1"/>
  <c r="L67" i="110" a="1"/>
  <c r="L67" i="110" s="1"/>
  <c r="K67" i="110" a="1"/>
  <c r="K67" i="110" s="1"/>
  <c r="J67" i="110" a="1"/>
  <c r="J67" i="110" s="1"/>
  <c r="I67" i="110" a="1"/>
  <c r="I67" i="110" s="1"/>
  <c r="H67" i="110" a="1"/>
  <c r="H67" i="110" s="1"/>
  <c r="G67" i="110" a="1"/>
  <c r="G67" i="110" s="1"/>
  <c r="F67" i="110" a="1"/>
  <c r="F67" i="110" s="1"/>
  <c r="E67" i="110" a="1"/>
  <c r="E67" i="110" s="1"/>
  <c r="D67" i="110" a="1"/>
  <c r="D67" i="110" s="1"/>
  <c r="W66" i="110" a="1"/>
  <c r="W66" i="110" s="1"/>
  <c r="V66" i="110" a="1"/>
  <c r="V66" i="110" s="1"/>
  <c r="U66" i="110" a="1"/>
  <c r="U66" i="110" s="1"/>
  <c r="T66" i="110" a="1"/>
  <c r="T66" i="110" s="1"/>
  <c r="S66" i="110" a="1"/>
  <c r="S66" i="110" s="1"/>
  <c r="R66" i="110" a="1"/>
  <c r="R66" i="110" s="1"/>
  <c r="Q66" i="110" a="1"/>
  <c r="Q66" i="110" s="1"/>
  <c r="P66" i="110" a="1"/>
  <c r="P66" i="110" s="1"/>
  <c r="O66" i="110" a="1"/>
  <c r="O66" i="110" s="1"/>
  <c r="N66" i="110" a="1"/>
  <c r="N66" i="110" s="1"/>
  <c r="M66" i="110" a="1"/>
  <c r="M66" i="110" s="1"/>
  <c r="L66" i="110" a="1"/>
  <c r="L66" i="110" s="1"/>
  <c r="K66" i="110" a="1"/>
  <c r="K66" i="110" s="1"/>
  <c r="J66" i="110" a="1"/>
  <c r="J66" i="110" s="1"/>
  <c r="I66" i="110" a="1"/>
  <c r="I66" i="110" s="1"/>
  <c r="H66" i="110" a="1"/>
  <c r="H66" i="110" s="1"/>
  <c r="G66" i="110" a="1"/>
  <c r="G66" i="110" s="1"/>
  <c r="F66" i="110" a="1"/>
  <c r="F66" i="110" s="1"/>
  <c r="E66" i="110" a="1"/>
  <c r="E66" i="110" s="1"/>
  <c r="D66" i="110" a="1"/>
  <c r="D66" i="110" s="1"/>
  <c r="W65" i="110" a="1"/>
  <c r="W65" i="110" s="1"/>
  <c r="V65" i="110" a="1"/>
  <c r="V65" i="110" s="1"/>
  <c r="U65" i="110" a="1"/>
  <c r="U65" i="110" s="1"/>
  <c r="T65" i="110" a="1"/>
  <c r="T65" i="110" s="1"/>
  <c r="S65" i="110" a="1"/>
  <c r="S65" i="110" s="1"/>
  <c r="R65" i="110" a="1"/>
  <c r="R65" i="110" s="1"/>
  <c r="Q65" i="110" a="1"/>
  <c r="Q65" i="110" s="1"/>
  <c r="P65" i="110" a="1"/>
  <c r="P65" i="110" s="1"/>
  <c r="O65" i="110" a="1"/>
  <c r="O65" i="110" s="1"/>
  <c r="N65" i="110" a="1"/>
  <c r="N65" i="110" s="1"/>
  <c r="M65" i="110" a="1"/>
  <c r="M65" i="110" s="1"/>
  <c r="L65" i="110" a="1"/>
  <c r="L65" i="110" s="1"/>
  <c r="K65" i="110" a="1"/>
  <c r="K65" i="110" s="1"/>
  <c r="J65" i="110" a="1"/>
  <c r="J65" i="110" s="1"/>
  <c r="I65" i="110" a="1"/>
  <c r="I65" i="110" s="1"/>
  <c r="H65" i="110" a="1"/>
  <c r="H65" i="110" s="1"/>
  <c r="G65" i="110" a="1"/>
  <c r="G65" i="110" s="1"/>
  <c r="F65" i="110" a="1"/>
  <c r="F65" i="110" s="1"/>
  <c r="E65" i="110"/>
  <c r="E65" i="110" a="1"/>
  <c r="D65" i="110" a="1"/>
  <c r="D65" i="110" s="1"/>
  <c r="W64" i="110" a="1"/>
  <c r="W64" i="110" s="1"/>
  <c r="V64" i="110" a="1"/>
  <c r="V64" i="110" s="1"/>
  <c r="U64" i="110" a="1"/>
  <c r="U64" i="110" s="1"/>
  <c r="T64" i="110" a="1"/>
  <c r="T64" i="110" s="1"/>
  <c r="S64" i="110" a="1"/>
  <c r="S64" i="110" s="1"/>
  <c r="R64" i="110" a="1"/>
  <c r="R64" i="110" s="1"/>
  <c r="Q64" i="110" a="1"/>
  <c r="Q64" i="110" s="1"/>
  <c r="P64" i="110" a="1"/>
  <c r="P64" i="110" s="1"/>
  <c r="O64" i="110" a="1"/>
  <c r="O64" i="110" s="1"/>
  <c r="N64" i="110" a="1"/>
  <c r="N64" i="110" s="1"/>
  <c r="M64" i="110" a="1"/>
  <c r="M64" i="110" s="1"/>
  <c r="L64" i="110" a="1"/>
  <c r="L64" i="110" s="1"/>
  <c r="K64" i="110" a="1"/>
  <c r="K64" i="110" s="1"/>
  <c r="J64" i="110" a="1"/>
  <c r="J64" i="110" s="1"/>
  <c r="I64" i="110" a="1"/>
  <c r="I64" i="110" s="1"/>
  <c r="H64" i="110" a="1"/>
  <c r="H64" i="110" s="1"/>
  <c r="G64" i="110" a="1"/>
  <c r="G64" i="110" s="1"/>
  <c r="F64" i="110" a="1"/>
  <c r="F64" i="110" s="1"/>
  <c r="E64" i="110" a="1"/>
  <c r="E64" i="110" s="1"/>
  <c r="D64" i="110" a="1"/>
  <c r="D64" i="110" s="1"/>
  <c r="W63" i="110" a="1"/>
  <c r="W63" i="110" s="1"/>
  <c r="V63" i="110" a="1"/>
  <c r="V63" i="110" s="1"/>
  <c r="U63" i="110" a="1"/>
  <c r="U63" i="110" s="1"/>
  <c r="T63" i="110" a="1"/>
  <c r="T63" i="110" s="1"/>
  <c r="S63" i="110" a="1"/>
  <c r="S63" i="110" s="1"/>
  <c r="R63" i="110" a="1"/>
  <c r="R63" i="110" s="1"/>
  <c r="Q63" i="110" a="1"/>
  <c r="Q63" i="110" s="1"/>
  <c r="P63" i="110" a="1"/>
  <c r="P63" i="110" s="1"/>
  <c r="O63" i="110" a="1"/>
  <c r="O63" i="110" s="1"/>
  <c r="N63" i="110" a="1"/>
  <c r="N63" i="110" s="1"/>
  <c r="M63" i="110" a="1"/>
  <c r="M63" i="110" s="1"/>
  <c r="L63" i="110" a="1"/>
  <c r="L63" i="110" s="1"/>
  <c r="K63" i="110" a="1"/>
  <c r="K63" i="110" s="1"/>
  <c r="J63" i="110" a="1"/>
  <c r="J63" i="110" s="1"/>
  <c r="I63" i="110" a="1"/>
  <c r="I63" i="110" s="1"/>
  <c r="H63" i="110" a="1"/>
  <c r="H63" i="110" s="1"/>
  <c r="G63" i="110" a="1"/>
  <c r="G63" i="110" s="1"/>
  <c r="F63" i="110" a="1"/>
  <c r="F63" i="110" s="1"/>
  <c r="E63" i="110" a="1"/>
  <c r="E63" i="110" s="1"/>
  <c r="D63" i="110" a="1"/>
  <c r="D63" i="110" s="1"/>
  <c r="W62" i="110" a="1"/>
  <c r="W62" i="110" s="1"/>
  <c r="V62" i="110" a="1"/>
  <c r="V62" i="110" s="1"/>
  <c r="U62" i="110" a="1"/>
  <c r="U62" i="110" s="1"/>
  <c r="T62" i="110" a="1"/>
  <c r="T62" i="110" s="1"/>
  <c r="S62" i="110" a="1"/>
  <c r="S62" i="110" s="1"/>
  <c r="R62" i="110" a="1"/>
  <c r="R62" i="110" s="1"/>
  <c r="Q62" i="110" a="1"/>
  <c r="Q62" i="110" s="1"/>
  <c r="P62" i="110" a="1"/>
  <c r="P62" i="110" s="1"/>
  <c r="O62" i="110" a="1"/>
  <c r="O62" i="110" s="1"/>
  <c r="N62" i="110" a="1"/>
  <c r="N62" i="110" s="1"/>
  <c r="M62" i="110" a="1"/>
  <c r="M62" i="110" s="1"/>
  <c r="L62" i="110" a="1"/>
  <c r="L62" i="110" s="1"/>
  <c r="K62" i="110" a="1"/>
  <c r="K62" i="110" s="1"/>
  <c r="J62" i="110" a="1"/>
  <c r="J62" i="110" s="1"/>
  <c r="I62" i="110" a="1"/>
  <c r="I62" i="110" s="1"/>
  <c r="H62" i="110" a="1"/>
  <c r="H62" i="110" s="1"/>
  <c r="G62" i="110" a="1"/>
  <c r="G62" i="110" s="1"/>
  <c r="F62" i="110" a="1"/>
  <c r="F62" i="110" s="1"/>
  <c r="E62" i="110" a="1"/>
  <c r="E62" i="110" s="1"/>
  <c r="D62" i="110" a="1"/>
  <c r="D62" i="110" s="1"/>
  <c r="W61" i="110" a="1"/>
  <c r="W61" i="110" s="1"/>
  <c r="V61" i="110" a="1"/>
  <c r="V61" i="110" s="1"/>
  <c r="U61" i="110" a="1"/>
  <c r="U61" i="110" s="1"/>
  <c r="T61" i="110" a="1"/>
  <c r="T61" i="110" s="1"/>
  <c r="S61" i="110" a="1"/>
  <c r="S61" i="110" s="1"/>
  <c r="R61" i="110" a="1"/>
  <c r="R61" i="110" s="1"/>
  <c r="Q61" i="110" a="1"/>
  <c r="Q61" i="110" s="1"/>
  <c r="P61" i="110" a="1"/>
  <c r="P61" i="110" s="1"/>
  <c r="O61" i="110" a="1"/>
  <c r="O61" i="110" s="1"/>
  <c r="N61" i="110" a="1"/>
  <c r="N61" i="110" s="1"/>
  <c r="M61" i="110" a="1"/>
  <c r="M61" i="110" s="1"/>
  <c r="L61" i="110" a="1"/>
  <c r="L61" i="110" s="1"/>
  <c r="K61" i="110" a="1"/>
  <c r="K61" i="110" s="1"/>
  <c r="J61" i="110" a="1"/>
  <c r="J61" i="110" s="1"/>
  <c r="I61" i="110" a="1"/>
  <c r="I61" i="110" s="1"/>
  <c r="H61" i="110" a="1"/>
  <c r="H61" i="110" s="1"/>
  <c r="G61" i="110" a="1"/>
  <c r="G61" i="110" s="1"/>
  <c r="F61" i="110" a="1"/>
  <c r="F61" i="110" s="1"/>
  <c r="E61" i="110" a="1"/>
  <c r="E61" i="110" s="1"/>
  <c r="D61" i="110" a="1"/>
  <c r="D61" i="110" s="1"/>
  <c r="W60" i="110" a="1"/>
  <c r="W60" i="110" s="1"/>
  <c r="V60" i="110" a="1"/>
  <c r="V60" i="110" s="1"/>
  <c r="U60" i="110" a="1"/>
  <c r="U60" i="110" s="1"/>
  <c r="T60" i="110" a="1"/>
  <c r="T60" i="110" s="1"/>
  <c r="S60" i="110" a="1"/>
  <c r="S60" i="110" s="1"/>
  <c r="R60" i="110" a="1"/>
  <c r="R60" i="110" s="1"/>
  <c r="Q60" i="110" a="1"/>
  <c r="Q60" i="110" s="1"/>
  <c r="P60" i="110" a="1"/>
  <c r="P60" i="110" s="1"/>
  <c r="O60" i="110" a="1"/>
  <c r="O60" i="110" s="1"/>
  <c r="N60" i="110" a="1"/>
  <c r="N60" i="110" s="1"/>
  <c r="M60" i="110" a="1"/>
  <c r="M60" i="110" s="1"/>
  <c r="L60" i="110" a="1"/>
  <c r="L60" i="110" s="1"/>
  <c r="K60" i="110" a="1"/>
  <c r="K60" i="110" s="1"/>
  <c r="J60" i="110" a="1"/>
  <c r="J60" i="110" s="1"/>
  <c r="I60" i="110" a="1"/>
  <c r="I60" i="110" s="1"/>
  <c r="H60" i="110" a="1"/>
  <c r="H60" i="110" s="1"/>
  <c r="G60" i="110" a="1"/>
  <c r="G60" i="110" s="1"/>
  <c r="F60" i="110" a="1"/>
  <c r="F60" i="110" s="1"/>
  <c r="E60" i="110" a="1"/>
  <c r="E60" i="110" s="1"/>
  <c r="D60" i="110" a="1"/>
  <c r="D60" i="110" s="1"/>
  <c r="W59" i="110" a="1"/>
  <c r="W59" i="110" s="1"/>
  <c r="V59" i="110" a="1"/>
  <c r="V59" i="110" s="1"/>
  <c r="U59" i="110" a="1"/>
  <c r="U59" i="110" s="1"/>
  <c r="T59" i="110" a="1"/>
  <c r="T59" i="110" s="1"/>
  <c r="S59" i="110" a="1"/>
  <c r="S59" i="110" s="1"/>
  <c r="R59" i="110" a="1"/>
  <c r="R59" i="110" s="1"/>
  <c r="Q59" i="110" a="1"/>
  <c r="Q59" i="110" s="1"/>
  <c r="P59" i="110"/>
  <c r="P59" i="110" a="1"/>
  <c r="O59" i="110" a="1"/>
  <c r="O59" i="110" s="1"/>
  <c r="N59" i="110" a="1"/>
  <c r="N59" i="110" s="1"/>
  <c r="M59" i="110" a="1"/>
  <c r="M59" i="110" s="1"/>
  <c r="L59" i="110" a="1"/>
  <c r="L59" i="110" s="1"/>
  <c r="K59" i="110" a="1"/>
  <c r="K59" i="110" s="1"/>
  <c r="J59" i="110" a="1"/>
  <c r="J59" i="110" s="1"/>
  <c r="I59" i="110" a="1"/>
  <c r="I59" i="110" s="1"/>
  <c r="H59" i="110" a="1"/>
  <c r="H59" i="110" s="1"/>
  <c r="G59" i="110" a="1"/>
  <c r="G59" i="110" s="1"/>
  <c r="F59" i="110" a="1"/>
  <c r="F59" i="110" s="1"/>
  <c r="E59" i="110" a="1"/>
  <c r="E59" i="110" s="1"/>
  <c r="D59" i="110" a="1"/>
  <c r="D59" i="110" s="1"/>
  <c r="W58" i="110" a="1"/>
  <c r="W58" i="110" s="1"/>
  <c r="V58" i="110" a="1"/>
  <c r="V58" i="110" s="1"/>
  <c r="U58" i="110" a="1"/>
  <c r="U58" i="110" s="1"/>
  <c r="T58" i="110" a="1"/>
  <c r="T58" i="110" s="1"/>
  <c r="S58" i="110" a="1"/>
  <c r="S58" i="110" s="1"/>
  <c r="R58" i="110" a="1"/>
  <c r="R58" i="110" s="1"/>
  <c r="Q58" i="110" a="1"/>
  <c r="Q58" i="110" s="1"/>
  <c r="P58" i="110" a="1"/>
  <c r="P58" i="110" s="1"/>
  <c r="O58" i="110" a="1"/>
  <c r="O58" i="110" s="1"/>
  <c r="N58" i="110" a="1"/>
  <c r="N58" i="110" s="1"/>
  <c r="M58" i="110" a="1"/>
  <c r="M58" i="110" s="1"/>
  <c r="L58" i="110" a="1"/>
  <c r="L58" i="110" s="1"/>
  <c r="K58" i="110" a="1"/>
  <c r="K58" i="110" s="1"/>
  <c r="J58" i="110" a="1"/>
  <c r="J58" i="110" s="1"/>
  <c r="I58" i="110"/>
  <c r="I58" i="110" a="1"/>
  <c r="H58" i="110"/>
  <c r="H58" i="110" a="1"/>
  <c r="G58" i="110" a="1"/>
  <c r="G58" i="110" s="1"/>
  <c r="F58" i="110" a="1"/>
  <c r="F58" i="110" s="1"/>
  <c r="E58" i="110" a="1"/>
  <c r="E58" i="110" s="1"/>
  <c r="D58" i="110" a="1"/>
  <c r="D58" i="110" s="1"/>
  <c r="I34" i="110" a="1"/>
  <c r="I34" i="110" s="1"/>
  <c r="H34" i="110" a="1"/>
  <c r="H34" i="110" s="1"/>
  <c r="G34" i="110" a="1"/>
  <c r="G34" i="110" s="1"/>
  <c r="F34" i="110" a="1"/>
  <c r="F34" i="110" s="1"/>
  <c r="E34" i="110" a="1"/>
  <c r="E34" i="110" s="1"/>
  <c r="D34" i="110" a="1"/>
  <c r="D34" i="110" s="1"/>
  <c r="I33" i="110" a="1"/>
  <c r="I33" i="110" s="1"/>
  <c r="H33" i="110" a="1"/>
  <c r="H33" i="110" s="1"/>
  <c r="G33" i="110" a="1"/>
  <c r="G33" i="110" s="1"/>
  <c r="F33" i="110" a="1"/>
  <c r="F33" i="110" s="1"/>
  <c r="E33" i="110" a="1"/>
  <c r="E33" i="110" s="1"/>
  <c r="D33" i="110" a="1"/>
  <c r="D33" i="110" s="1"/>
  <c r="I32" i="110" a="1"/>
  <c r="I32" i="110" s="1"/>
  <c r="H32" i="110" a="1"/>
  <c r="H32" i="110" s="1"/>
  <c r="G32" i="110" a="1"/>
  <c r="G32" i="110" s="1"/>
  <c r="F32" i="110" a="1"/>
  <c r="F32" i="110" s="1"/>
  <c r="E32" i="110" a="1"/>
  <c r="E32" i="110" s="1"/>
  <c r="D32" i="110" a="1"/>
  <c r="D32" i="110" s="1"/>
  <c r="I31" i="110" a="1"/>
  <c r="I31" i="110" s="1"/>
  <c r="H31" i="110" a="1"/>
  <c r="H31" i="110" s="1"/>
  <c r="G31" i="110" a="1"/>
  <c r="G31" i="110" s="1"/>
  <c r="F31" i="110" a="1"/>
  <c r="F31" i="110" s="1"/>
  <c r="E31" i="110" a="1"/>
  <c r="E31" i="110" s="1"/>
  <c r="D31" i="110" a="1"/>
  <c r="D31" i="110" s="1"/>
  <c r="I30" i="110" a="1"/>
  <c r="I30" i="110" s="1"/>
  <c r="H30" i="110" a="1"/>
  <c r="H30" i="110" s="1"/>
  <c r="G30" i="110" a="1"/>
  <c r="G30" i="110" s="1"/>
  <c r="F30" i="110" a="1"/>
  <c r="F30" i="110" s="1"/>
  <c r="E30" i="110" a="1"/>
  <c r="E30" i="110" s="1"/>
  <c r="D30" i="110" a="1"/>
  <c r="D30" i="110" s="1"/>
  <c r="I29" i="110" a="1"/>
  <c r="I29" i="110" s="1"/>
  <c r="H29" i="110" a="1"/>
  <c r="H29" i="110" s="1"/>
  <c r="G29" i="110" a="1"/>
  <c r="G29" i="110" s="1"/>
  <c r="F29" i="110" a="1"/>
  <c r="F29" i="110" s="1"/>
  <c r="E29" i="110" a="1"/>
  <c r="E29" i="110" s="1"/>
  <c r="D29" i="110" a="1"/>
  <c r="D29" i="110" s="1"/>
  <c r="I28" i="110" a="1"/>
  <c r="I28" i="110" s="1"/>
  <c r="H28" i="110" a="1"/>
  <c r="H28" i="110" s="1"/>
  <c r="G28" i="110" a="1"/>
  <c r="G28" i="110" s="1"/>
  <c r="F28" i="110" a="1"/>
  <c r="F28" i="110" s="1"/>
  <c r="E28" i="110" a="1"/>
  <c r="E28" i="110" s="1"/>
  <c r="D28" i="110" a="1"/>
  <c r="D28" i="110" s="1"/>
  <c r="I27" i="110" a="1"/>
  <c r="I27" i="110" s="1"/>
  <c r="H27" i="110" a="1"/>
  <c r="H27" i="110" s="1"/>
  <c r="G27" i="110" a="1"/>
  <c r="G27" i="110" s="1"/>
  <c r="F27" i="110" a="1"/>
  <c r="F27" i="110" s="1"/>
  <c r="E27" i="110" a="1"/>
  <c r="E27" i="110" s="1"/>
  <c r="D27" i="110" a="1"/>
  <c r="D27" i="110" s="1"/>
  <c r="I26" i="110" a="1"/>
  <c r="I26" i="110" s="1"/>
  <c r="H26" i="110" a="1"/>
  <c r="H26" i="110" s="1"/>
  <c r="G26" i="110" a="1"/>
  <c r="G26" i="110" s="1"/>
  <c r="F26" i="110" a="1"/>
  <c r="F26" i="110" s="1"/>
  <c r="E26" i="110" a="1"/>
  <c r="E26" i="110" s="1"/>
  <c r="D26" i="110" a="1"/>
  <c r="D26" i="110" s="1"/>
  <c r="I25" i="110" a="1"/>
  <c r="I25" i="110" s="1"/>
  <c r="H25" i="110" a="1"/>
  <c r="H25" i="110" s="1"/>
  <c r="G25" i="110" a="1"/>
  <c r="G25" i="110" s="1"/>
  <c r="F25" i="110" a="1"/>
  <c r="F25" i="110" s="1"/>
  <c r="E25" i="110" a="1"/>
  <c r="E25" i="110" s="1"/>
  <c r="D25" i="110" a="1"/>
  <c r="D25" i="110" s="1"/>
  <c r="I24" i="110" a="1"/>
  <c r="I24" i="110" s="1"/>
  <c r="H24" i="110" a="1"/>
  <c r="H24" i="110" s="1"/>
  <c r="G24" i="110" a="1"/>
  <c r="G24" i="110" s="1"/>
  <c r="F24" i="110" a="1"/>
  <c r="F24" i="110" s="1"/>
  <c r="E24" i="110" a="1"/>
  <c r="E24" i="110" s="1"/>
  <c r="D24" i="110" a="1"/>
  <c r="D24" i="110" s="1"/>
  <c r="I23" i="110" a="1"/>
  <c r="I23" i="110" s="1"/>
  <c r="H23" i="110" a="1"/>
  <c r="H23" i="110" s="1"/>
  <c r="G23" i="110" a="1"/>
  <c r="G23" i="110" s="1"/>
  <c r="F23" i="110" a="1"/>
  <c r="F23" i="110" s="1"/>
  <c r="E23" i="110" a="1"/>
  <c r="E23" i="110" s="1"/>
  <c r="D23" i="110" a="1"/>
  <c r="D23" i="110" s="1"/>
  <c r="I22" i="110" a="1"/>
  <c r="I22" i="110" s="1"/>
  <c r="H22" i="110" a="1"/>
  <c r="H22" i="110" s="1"/>
  <c r="G22" i="110" a="1"/>
  <c r="G22" i="110" s="1"/>
  <c r="F22" i="110" a="1"/>
  <c r="F22" i="110" s="1"/>
  <c r="E22" i="110" a="1"/>
  <c r="E22" i="110" s="1"/>
  <c r="D22" i="110" a="1"/>
  <c r="D22" i="110" s="1"/>
  <c r="I21" i="110" a="1"/>
  <c r="I21" i="110" s="1"/>
  <c r="H21" i="110" a="1"/>
  <c r="H21" i="110" s="1"/>
  <c r="G21" i="110" a="1"/>
  <c r="G21" i="110" s="1"/>
  <c r="F21" i="110" a="1"/>
  <c r="F21" i="110" s="1"/>
  <c r="E21" i="110" a="1"/>
  <c r="E21" i="110" s="1"/>
  <c r="D21" i="110" a="1"/>
  <c r="D21" i="110" s="1"/>
  <c r="I20" i="110" a="1"/>
  <c r="I20" i="110" s="1"/>
  <c r="H20" i="110" a="1"/>
  <c r="H20" i="110" s="1"/>
  <c r="G20" i="110" a="1"/>
  <c r="G20" i="110" s="1"/>
  <c r="F20" i="110" a="1"/>
  <c r="F20" i="110" s="1"/>
  <c r="E20" i="110" a="1"/>
  <c r="E20" i="110" s="1"/>
  <c r="D20" i="110" a="1"/>
  <c r="D20" i="110" s="1"/>
  <c r="I19" i="110" a="1"/>
  <c r="I19" i="110" s="1"/>
  <c r="H19" i="110" a="1"/>
  <c r="H19" i="110" s="1"/>
  <c r="G19" i="110" a="1"/>
  <c r="G19" i="110" s="1"/>
  <c r="F19" i="110" a="1"/>
  <c r="F19" i="110" s="1"/>
  <c r="E19" i="110" a="1"/>
  <c r="E19" i="110" s="1"/>
  <c r="D19" i="110" a="1"/>
  <c r="D19" i="110" s="1"/>
  <c r="I18" i="110" a="1"/>
  <c r="I18" i="110" s="1"/>
  <c r="H18" i="110" a="1"/>
  <c r="H18" i="110" s="1"/>
  <c r="G18" i="110" a="1"/>
  <c r="G18" i="110" s="1"/>
  <c r="F18" i="110" a="1"/>
  <c r="F18" i="110" s="1"/>
  <c r="E18" i="110" a="1"/>
  <c r="E18" i="110" s="1"/>
  <c r="D18" i="110" a="1"/>
  <c r="D18" i="110" s="1"/>
  <c r="I17" i="110" a="1"/>
  <c r="I17" i="110" s="1"/>
  <c r="H17" i="110" a="1"/>
  <c r="H17" i="110" s="1"/>
  <c r="G17" i="110" a="1"/>
  <c r="G17" i="110" s="1"/>
  <c r="F17" i="110" a="1"/>
  <c r="F17" i="110" s="1"/>
  <c r="E17" i="110" a="1"/>
  <c r="E17" i="110" s="1"/>
  <c r="D17" i="110" a="1"/>
  <c r="D17" i="110" s="1"/>
  <c r="D5" i="110" a="1"/>
  <c r="D5" i="110" s="1"/>
  <c r="A13" i="43" l="1"/>
  <c r="A13" i="79"/>
  <c r="A13" i="15"/>
  <c r="A13" i="13"/>
  <c r="A24" i="43"/>
  <c r="A23" i="43"/>
  <c r="A22" i="43"/>
  <c r="A21" i="43"/>
  <c r="A18" i="43"/>
  <c r="A17" i="43"/>
  <c r="A16" i="43"/>
  <c r="A15" i="43"/>
  <c r="A14" i="43"/>
  <c r="A12" i="43"/>
  <c r="A11" i="43"/>
  <c r="A8" i="43"/>
  <c r="A7" i="43"/>
  <c r="A4" i="43"/>
  <c r="A3" i="43"/>
  <c r="A24" i="79"/>
  <c r="A23" i="79"/>
  <c r="A22" i="79"/>
  <c r="A21" i="79"/>
  <c r="A18" i="79"/>
  <c r="A17" i="79"/>
  <c r="A16" i="79"/>
  <c r="A15" i="79"/>
  <c r="A14" i="79"/>
  <c r="A12" i="79"/>
  <c r="A11" i="79"/>
  <c r="A8" i="79"/>
  <c r="A7" i="79"/>
  <c r="A4" i="79"/>
  <c r="A3" i="79"/>
  <c r="A24" i="15"/>
  <c r="A23" i="15"/>
  <c r="A22" i="15"/>
  <c r="A21" i="15"/>
  <c r="A18" i="15"/>
  <c r="A17" i="15"/>
  <c r="A16" i="15"/>
  <c r="A15" i="15"/>
  <c r="A14" i="15"/>
  <c r="A12" i="15"/>
  <c r="A11" i="15"/>
  <c r="A8" i="15"/>
  <c r="A7" i="15"/>
  <c r="A4" i="15"/>
  <c r="A3" i="15"/>
  <c r="A21" i="13"/>
  <c r="A8" i="13"/>
  <c r="A18" i="13"/>
  <c r="A17" i="13"/>
  <c r="A16" i="13"/>
  <c r="A24" i="13"/>
  <c r="A23" i="13"/>
  <c r="A22" i="13"/>
  <c r="A15" i="13"/>
  <c r="A14" i="13"/>
  <c r="A12" i="13"/>
  <c r="A11" i="13"/>
  <c r="E111" i="79" l="1" a="1"/>
  <c r="E111" i="79" s="1"/>
  <c r="D111" i="79" a="1"/>
  <c r="D111" i="79" s="1"/>
  <c r="D110" i="79" a="1"/>
  <c r="D110" i="79" s="1"/>
  <c r="D109" i="79" a="1"/>
  <c r="D109" i="79" s="1"/>
  <c r="D106" i="79" a="1"/>
  <c r="D106" i="79" s="1"/>
  <c r="E106" i="79" a="1"/>
  <c r="E106" i="79" s="1"/>
  <c r="F106" i="79" a="1"/>
  <c r="F106" i="79" s="1"/>
  <c r="D105" i="79" a="1"/>
  <c r="D105" i="79" s="1"/>
  <c r="E105" i="79" a="1"/>
  <c r="E105" i="79" s="1"/>
  <c r="F105" i="79" a="1"/>
  <c r="F105" i="79" s="1"/>
  <c r="D104" i="79" a="1"/>
  <c r="D104" i="79" s="1"/>
  <c r="E104" i="79" a="1"/>
  <c r="E104" i="79" s="1"/>
  <c r="F104" i="79" a="1"/>
  <c r="F104" i="79" s="1"/>
  <c r="D103" i="79" a="1"/>
  <c r="D103" i="79" s="1"/>
  <c r="E103" i="79" a="1"/>
  <c r="E103" i="79" s="1"/>
  <c r="F103" i="79" a="1"/>
  <c r="F103" i="79" s="1"/>
  <c r="D102" i="79" a="1"/>
  <c r="D102" i="79" s="1"/>
  <c r="E102" i="79" a="1"/>
  <c r="E102" i="79" s="1"/>
  <c r="F102" i="79" a="1"/>
  <c r="F102" i="79" s="1"/>
  <c r="D101" i="79" a="1"/>
  <c r="D101" i="79" s="1"/>
  <c r="E101" i="79" a="1"/>
  <c r="E101" i="79" s="1"/>
  <c r="F101" i="79" a="1"/>
  <c r="F101" i="79" s="1"/>
  <c r="D100" i="79" a="1"/>
  <c r="D100" i="79" s="1"/>
  <c r="E100" i="79" a="1"/>
  <c r="E100" i="79" s="1"/>
  <c r="F100" i="79" a="1"/>
  <c r="F100" i="79" s="1"/>
  <c r="F99" i="79" a="1"/>
  <c r="F99" i="79" s="1"/>
  <c r="E99" i="79" a="1"/>
  <c r="E99" i="79" s="1"/>
  <c r="D99" i="79" a="1"/>
  <c r="D99" i="79" s="1"/>
  <c r="D97" i="79" a="1"/>
  <c r="D97" i="79" s="1"/>
  <c r="D96" i="79" a="1"/>
  <c r="D96" i="79" s="1"/>
  <c r="D95" i="79" a="1"/>
  <c r="D95" i="79" s="1"/>
  <c r="D92" i="79" a="1"/>
  <c r="D92" i="79" s="1"/>
  <c r="E92" i="79" a="1"/>
  <c r="E92" i="79" s="1"/>
  <c r="F92" i="79" a="1"/>
  <c r="F92" i="79" s="1"/>
  <c r="D91" i="79" a="1"/>
  <c r="D91" i="79" s="1"/>
  <c r="E91" i="79" a="1"/>
  <c r="E91" i="79" s="1"/>
  <c r="F91" i="79" a="1"/>
  <c r="F91" i="79" s="1"/>
  <c r="D90" i="79" a="1"/>
  <c r="D90" i="79" s="1"/>
  <c r="E90" i="79" a="1"/>
  <c r="E90" i="79" s="1"/>
  <c r="F90" i="79" a="1"/>
  <c r="F90" i="79" s="1"/>
  <c r="D89" i="79" a="1"/>
  <c r="D89" i="79" s="1"/>
  <c r="E89" i="79" a="1"/>
  <c r="E89" i="79" s="1"/>
  <c r="F89" i="79" a="1"/>
  <c r="F89" i="79" s="1"/>
  <c r="D88" i="79" a="1"/>
  <c r="D88" i="79" s="1"/>
  <c r="E88" i="79" a="1"/>
  <c r="E88" i="79" s="1"/>
  <c r="F88" i="79" a="1"/>
  <c r="F88" i="79" s="1"/>
  <c r="D87" i="79" a="1"/>
  <c r="D87" i="79" s="1"/>
  <c r="E87" i="79" a="1"/>
  <c r="E87" i="79" s="1"/>
  <c r="F87" i="79" a="1"/>
  <c r="F87" i="79" s="1"/>
  <c r="F86" i="79" a="1"/>
  <c r="F86" i="79" s="1"/>
  <c r="E86" i="79" a="1"/>
  <c r="E86" i="79" s="1"/>
  <c r="D86" i="79" a="1"/>
  <c r="D86" i="79" s="1"/>
  <c r="D84" i="79" a="1"/>
  <c r="D84" i="79" s="1"/>
  <c r="D83" i="79" a="1"/>
  <c r="D83" i="79" s="1"/>
  <c r="D82" i="79" a="1"/>
  <c r="D82" i="79" s="1"/>
  <c r="F79" i="79" a="1"/>
  <c r="F79" i="79" s="1"/>
  <c r="E79" i="79" a="1"/>
  <c r="E79" i="79" s="1"/>
  <c r="D79" i="79" a="1"/>
  <c r="D79" i="79" s="1"/>
  <c r="F78" i="79" a="1"/>
  <c r="F78" i="79" s="1"/>
  <c r="E78" i="79" a="1"/>
  <c r="E78" i="79" s="1"/>
  <c r="D78" i="79" a="1"/>
  <c r="D78" i="79" s="1"/>
  <c r="F77" i="79" a="1"/>
  <c r="F77" i="79" s="1"/>
  <c r="E77" i="79" a="1"/>
  <c r="E77" i="79" s="1"/>
  <c r="D77" i="79" a="1"/>
  <c r="D77" i="79" s="1"/>
  <c r="D74" i="79" a="1"/>
  <c r="D74" i="79" s="1"/>
  <c r="D73" i="79" a="1"/>
  <c r="D73" i="79" s="1"/>
  <c r="D72" i="79" a="1"/>
  <c r="D72" i="79" s="1"/>
  <c r="N68" i="79" a="1"/>
  <c r="N68" i="79" s="1"/>
  <c r="M68" i="79" a="1"/>
  <c r="M68" i="79" s="1"/>
  <c r="L68" i="79" a="1"/>
  <c r="L68" i="79" s="1"/>
  <c r="K68" i="79" a="1"/>
  <c r="K68" i="79" s="1"/>
  <c r="J68" i="79" a="1"/>
  <c r="J68" i="79" s="1"/>
  <c r="I68" i="79" a="1"/>
  <c r="I68" i="79" s="1"/>
  <c r="H68" i="79" a="1"/>
  <c r="H68" i="79" s="1"/>
  <c r="G68" i="79" a="1"/>
  <c r="G68" i="79" s="1"/>
  <c r="F68" i="79" a="1"/>
  <c r="F68" i="79" s="1"/>
  <c r="E68" i="79" a="1"/>
  <c r="E68" i="79" s="1"/>
  <c r="D68" i="79" a="1"/>
  <c r="D68" i="79" s="1"/>
  <c r="N67" i="79" a="1"/>
  <c r="N67" i="79" s="1"/>
  <c r="M67" i="79" a="1"/>
  <c r="M67" i="79" s="1"/>
  <c r="L67" i="79" a="1"/>
  <c r="L67" i="79" s="1"/>
  <c r="K67" i="79" a="1"/>
  <c r="K67" i="79" s="1"/>
  <c r="J67" i="79" a="1"/>
  <c r="J67" i="79" s="1"/>
  <c r="I67" i="79" a="1"/>
  <c r="I67" i="79" s="1"/>
  <c r="H67" i="79" a="1"/>
  <c r="H67" i="79" s="1"/>
  <c r="G67" i="79" a="1"/>
  <c r="G67" i="79" s="1"/>
  <c r="F67" i="79" a="1"/>
  <c r="F67" i="79" s="1"/>
  <c r="E67" i="79" a="1"/>
  <c r="E67" i="79" s="1"/>
  <c r="D67" i="79" a="1"/>
  <c r="D67" i="79" s="1"/>
  <c r="N66" i="79" a="1"/>
  <c r="N66" i="79" s="1"/>
  <c r="M66" i="79" a="1"/>
  <c r="M66" i="79" s="1"/>
  <c r="L66" i="79" a="1"/>
  <c r="L66" i="79" s="1"/>
  <c r="K66" i="79" a="1"/>
  <c r="K66" i="79" s="1"/>
  <c r="J66" i="79" a="1"/>
  <c r="J66" i="79" s="1"/>
  <c r="I66" i="79" a="1"/>
  <c r="I66" i="79" s="1"/>
  <c r="H66" i="79" a="1"/>
  <c r="H66" i="79" s="1"/>
  <c r="G66" i="79" a="1"/>
  <c r="G66" i="79" s="1"/>
  <c r="F66" i="79" a="1"/>
  <c r="F66" i="79" s="1"/>
  <c r="E66" i="79" a="1"/>
  <c r="E66" i="79" s="1"/>
  <c r="D66" i="79" a="1"/>
  <c r="D66" i="79" s="1"/>
  <c r="N65" i="79" a="1"/>
  <c r="N65" i="79" s="1"/>
  <c r="M65" i="79" a="1"/>
  <c r="M65" i="79" s="1"/>
  <c r="L65" i="79" a="1"/>
  <c r="L65" i="79" s="1"/>
  <c r="K65" i="79" a="1"/>
  <c r="K65" i="79" s="1"/>
  <c r="J65" i="79" a="1"/>
  <c r="J65" i="79" s="1"/>
  <c r="I65" i="79" a="1"/>
  <c r="I65" i="79" s="1"/>
  <c r="H65" i="79" a="1"/>
  <c r="H65" i="79" s="1"/>
  <c r="G65" i="79" a="1"/>
  <c r="G65" i="79" s="1"/>
  <c r="F65" i="79" a="1"/>
  <c r="F65" i="79" s="1"/>
  <c r="E65" i="79" a="1"/>
  <c r="E65" i="79" s="1"/>
  <c r="D65" i="79" a="1"/>
  <c r="D65" i="79" s="1"/>
  <c r="N64" i="79" a="1"/>
  <c r="N64" i="79" s="1"/>
  <c r="M64" i="79" a="1"/>
  <c r="M64" i="79" s="1"/>
  <c r="L64" i="79" a="1"/>
  <c r="L64" i="79" s="1"/>
  <c r="K64" i="79" a="1"/>
  <c r="K64" i="79" s="1"/>
  <c r="J64" i="79" a="1"/>
  <c r="J64" i="79" s="1"/>
  <c r="I64" i="79" a="1"/>
  <c r="I64" i="79" s="1"/>
  <c r="H64" i="79" a="1"/>
  <c r="H64" i="79" s="1"/>
  <c r="G64" i="79" a="1"/>
  <c r="G64" i="79" s="1"/>
  <c r="F64" i="79" a="1"/>
  <c r="F64" i="79" s="1"/>
  <c r="E64" i="79" a="1"/>
  <c r="E64" i="79" s="1"/>
  <c r="D64" i="79" a="1"/>
  <c r="D64" i="79" s="1"/>
  <c r="N63" i="79" a="1"/>
  <c r="N63" i="79" s="1"/>
  <c r="M63" i="79" a="1"/>
  <c r="M63" i="79" s="1"/>
  <c r="L63" i="79" a="1"/>
  <c r="L63" i="79" s="1"/>
  <c r="K63" i="79" a="1"/>
  <c r="K63" i="79" s="1"/>
  <c r="J63" i="79" a="1"/>
  <c r="J63" i="79" s="1"/>
  <c r="I63" i="79" a="1"/>
  <c r="I63" i="79" s="1"/>
  <c r="H63" i="79" a="1"/>
  <c r="H63" i="79" s="1"/>
  <c r="G63" i="79" a="1"/>
  <c r="G63" i="79" s="1"/>
  <c r="F63" i="79" a="1"/>
  <c r="F63" i="79" s="1"/>
  <c r="E63" i="79" a="1"/>
  <c r="E63" i="79" s="1"/>
  <c r="D63" i="79" a="1"/>
  <c r="D63" i="79" s="1"/>
  <c r="N62" i="79" a="1"/>
  <c r="N62" i="79" s="1"/>
  <c r="M62" i="79" a="1"/>
  <c r="M62" i="79" s="1"/>
  <c r="L62" i="79" a="1"/>
  <c r="L62" i="79" s="1"/>
  <c r="K62" i="79" a="1"/>
  <c r="K62" i="79" s="1"/>
  <c r="J62" i="79" a="1"/>
  <c r="J62" i="79" s="1"/>
  <c r="I62" i="79" a="1"/>
  <c r="I62" i="79" s="1"/>
  <c r="H62" i="79" a="1"/>
  <c r="H62" i="79" s="1"/>
  <c r="G62" i="79" a="1"/>
  <c r="G62" i="79" s="1"/>
  <c r="F62" i="79" a="1"/>
  <c r="F62" i="79" s="1"/>
  <c r="E62" i="79" a="1"/>
  <c r="E62" i="79" s="1"/>
  <c r="D62" i="79" a="1"/>
  <c r="D62" i="79" s="1"/>
  <c r="N61" i="79" a="1"/>
  <c r="N61" i="79" s="1"/>
  <c r="M61" i="79" a="1"/>
  <c r="M61" i="79" s="1"/>
  <c r="L61" i="79" a="1"/>
  <c r="L61" i="79" s="1"/>
  <c r="K61" i="79" a="1"/>
  <c r="K61" i="79" s="1"/>
  <c r="J61" i="79" a="1"/>
  <c r="J61" i="79" s="1"/>
  <c r="I61" i="79" a="1"/>
  <c r="I61" i="79" s="1"/>
  <c r="H61" i="79" a="1"/>
  <c r="H61" i="79" s="1"/>
  <c r="G61" i="79" a="1"/>
  <c r="G61" i="79" s="1"/>
  <c r="F61" i="79" a="1"/>
  <c r="F61" i="79" s="1"/>
  <c r="E61" i="79" a="1"/>
  <c r="E61" i="79" s="1"/>
  <c r="D61" i="79" a="1"/>
  <c r="D61" i="79" s="1"/>
  <c r="N60" i="79" a="1"/>
  <c r="N60" i="79" s="1"/>
  <c r="M60" i="79" a="1"/>
  <c r="M60" i="79" s="1"/>
  <c r="L60" i="79" a="1"/>
  <c r="L60" i="79" s="1"/>
  <c r="K60" i="79" a="1"/>
  <c r="K60" i="79" s="1"/>
  <c r="J60" i="79" a="1"/>
  <c r="J60" i="79" s="1"/>
  <c r="I60" i="79" a="1"/>
  <c r="I60" i="79" s="1"/>
  <c r="H60" i="79" a="1"/>
  <c r="H60" i="79" s="1"/>
  <c r="G60" i="79" a="1"/>
  <c r="G60" i="79" s="1"/>
  <c r="F60" i="79" a="1"/>
  <c r="F60" i="79" s="1"/>
  <c r="E60" i="79" a="1"/>
  <c r="E60" i="79" s="1"/>
  <c r="D60" i="79" a="1"/>
  <c r="D60" i="79" s="1"/>
  <c r="D53" i="79" a="1"/>
  <c r="D53" i="79" s="1"/>
  <c r="D52" i="79" a="1"/>
  <c r="D52" i="79" s="1"/>
  <c r="D51" i="79" a="1"/>
  <c r="D51" i="79" s="1"/>
  <c r="D47" i="79" a="1"/>
  <c r="D47" i="79" s="1"/>
  <c r="D46" i="79" a="1"/>
  <c r="D46" i="79" s="1"/>
  <c r="D45" i="79" a="1"/>
  <c r="D45" i="79" s="1"/>
  <c r="E21" i="79" a="1"/>
  <c r="E21" i="79" s="1"/>
  <c r="D21" i="79" a="1"/>
  <c r="D21" i="79" s="1"/>
  <c r="E20" i="79" a="1"/>
  <c r="E20" i="79" s="1"/>
  <c r="D20" i="79" a="1"/>
  <c r="D20" i="79" s="1"/>
  <c r="D18" i="79" a="1"/>
  <c r="D18" i="79" s="1"/>
  <c r="D17" i="79" a="1"/>
  <c r="D17" i="79" s="1"/>
  <c r="H13" i="79" a="1"/>
  <c r="H13" i="79" s="1"/>
  <c r="G13" i="79" a="1"/>
  <c r="G13" i="79" s="1"/>
  <c r="F13" i="79" a="1"/>
  <c r="F13" i="79" s="1"/>
  <c r="E13" i="79" a="1"/>
  <c r="E13" i="79" s="1"/>
  <c r="D13" i="79" a="1"/>
  <c r="D13" i="79" s="1"/>
  <c r="H12" i="79" a="1"/>
  <c r="H12" i="79" s="1"/>
  <c r="G12" i="79" a="1"/>
  <c r="G12" i="79" s="1"/>
  <c r="F12" i="79" a="1"/>
  <c r="F12" i="79" s="1"/>
  <c r="E12" i="79" a="1"/>
  <c r="E12" i="79" s="1"/>
  <c r="D12" i="79" a="1"/>
  <c r="D12" i="79" s="1"/>
  <c r="H11" i="79" a="1"/>
  <c r="H11" i="79" s="1"/>
  <c r="G11" i="79" a="1"/>
  <c r="G11" i="79" s="1"/>
  <c r="F11" i="79" a="1"/>
  <c r="F11" i="79" s="1"/>
  <c r="E11" i="79" a="1"/>
  <c r="E11" i="79" s="1"/>
  <c r="D11" i="79" a="1"/>
  <c r="D11" i="79" s="1"/>
  <c r="H10" i="79" a="1"/>
  <c r="H10" i="79" s="1"/>
  <c r="G10" i="79" a="1"/>
  <c r="G10" i="79" s="1"/>
  <c r="F10" i="79" a="1"/>
  <c r="F10" i="79" s="1"/>
  <c r="E10" i="79" a="1"/>
  <c r="E10" i="79" s="1"/>
  <c r="D10" i="79" a="1"/>
  <c r="D10" i="79" s="1"/>
  <c r="H9" i="79" a="1"/>
  <c r="H9" i="79" s="1"/>
  <c r="G9" i="79" a="1"/>
  <c r="G9" i="79" s="1"/>
  <c r="F9" i="79" a="1"/>
  <c r="F9" i="79" s="1"/>
  <c r="E9" i="79" a="1"/>
  <c r="E9" i="79" s="1"/>
  <c r="D9" i="79" a="1"/>
  <c r="D9" i="79" s="1"/>
  <c r="D6" i="79" a="1"/>
  <c r="D6" i="79" s="1"/>
  <c r="D5" i="79" a="1"/>
  <c r="D5" i="79" s="1"/>
  <c r="A7" i="13"/>
  <c r="A4" i="13"/>
  <c r="A3" i="13"/>
  <c r="E224" i="103" l="1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E30" i="15" l="1"/>
  <c r="E31" i="15"/>
  <c r="E32" i="15" s="1"/>
  <c r="E33" i="15"/>
  <c r="D170" i="103"/>
  <c r="H51" i="103"/>
  <c r="H49" i="103"/>
  <c r="H54" i="103"/>
  <c r="H50" i="103"/>
  <c r="H52" i="103"/>
  <c r="H48" i="103"/>
  <c r="H53" i="103"/>
  <c r="I12" i="13" l="1"/>
  <c r="F12" i="13"/>
  <c r="I13" i="13"/>
  <c r="F13" i="13"/>
  <c r="H9" i="13"/>
  <c r="E9" i="13"/>
  <c r="I9" i="13"/>
  <c r="F9" i="13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H12" i="13" l="1"/>
  <c r="E12" i="13"/>
  <c r="H13" i="13"/>
  <c r="E13" i="13"/>
  <c r="I7" i="13"/>
  <c r="F7" i="13"/>
  <c r="I8" i="13"/>
  <c r="F8" i="13"/>
  <c r="H8" i="13"/>
  <c r="E8" i="13"/>
  <c r="H7" i="13"/>
  <c r="E7" i="13"/>
  <c r="E29" i="15"/>
  <c r="H10" i="13" l="1"/>
  <c r="E10" i="13"/>
  <c r="I11" i="13"/>
  <c r="I14" i="13" s="1"/>
  <c r="F11" i="13"/>
  <c r="I10" i="13"/>
  <c r="F10" i="13"/>
  <c r="H11" i="13"/>
  <c r="H14" i="13" s="1"/>
  <c r="E11" i="13"/>
  <c r="E21" i="13"/>
  <c r="E20" i="13"/>
  <c r="E22" i="13"/>
  <c r="E13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<sst xmlns="http://schemas.openxmlformats.org/spreadsheetml/2006/main" count="495" uniqueCount="312">
  <si>
    <t>Home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</si>
  <si>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</si>
  <si>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</si>
  <si>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</si>
  <si>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</si>
  <si>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</si>
  <si>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</si>
  <si>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</si>
  <si>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</si>
  <si>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</si>
  <si>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</si>
  <si>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</si>
  <si>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</si>
  <si>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</si>
  <si>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</si>
  <si>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</si>
  <si>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</si>
  <si>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</si>
  <si>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</si>
  <si>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</si>
  <si>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</si>
  <si>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</si>
  <si>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</si>
  <si>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</si>
  <si>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</si>
  <si>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</si>
  <si>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</si>
  <si>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</si>
  <si>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</si>
  <si>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</si>
  <si>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</si>
  <si>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</si>
  <si>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</si>
  <si>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</si>
  <si>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</si>
  <si>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</si>
  <si>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</si>
  <si>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</si>
  <si>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</si>
  <si>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</si>
  <si>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</si>
  <si>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</si>
  <si>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</si>
  <si>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</si>
  <si>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</si>
  <si>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</si>
  <si>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</si>
  <si>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</si>
  <si>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</si>
  <si>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</si>
  <si>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</si>
  <si>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</si>
  <si>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</si>
  <si>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</si>
  <si>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</si>
  <si>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</si>
  <si>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</si>
  <si>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</si>
  <si>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</si>
  <si>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</si>
  <si>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</si>
  <si>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</si>
  <si>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</si>
  <si>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</si>
  <si>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</si>
  <si>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</si>
  <si>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</si>
  <si>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</si>
  <si>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</si>
  <si>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</si>
  <si>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</si>
  <si>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CALCULATIONS</t>
  </si>
  <si>
    <t>Constants - Common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</si>
  <si>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</si>
  <si>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</si>
  <si>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</si>
  <si>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</si>
  <si>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</si>
  <si>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</si>
  <si>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</si>
  <si>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</si>
  <si>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</si>
  <si>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</si>
  <si>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</si>
  <si>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</si>
  <si>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</si>
  <si>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</si>
  <si>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</si>
  <si>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</si>
  <si>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</si>
  <si>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</si>
  <si>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</si>
  <si>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</si>
  <si>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</si>
  <si>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</si>
  <si>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</si>
  <si>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</si>
  <si>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</si>
  <si>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</si>
  <si>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</si>
  <si>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</si>
  <si>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Total</t>
  </si>
  <si>
    <t>GHG Unit</t>
  </si>
  <si>
    <t>CO2-e unit</t>
  </si>
  <si>
    <t>Month</t>
  </si>
  <si>
    <t>fraction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</si>
  <si>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</si>
  <si>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</si>
  <si>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</si>
  <si>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</si>
  <si>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</si>
  <si>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</si>
  <si>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</si>
  <si>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</si>
  <si>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Season</t>
  </si>
  <si>
    <t>Western Australia</t>
  </si>
  <si>
    <t>t N2O</t>
  </si>
  <si>
    <t>Acknowledgements</t>
  </si>
  <si>
    <t>NIR definition</t>
  </si>
  <si>
    <t>VSL</t>
  </si>
  <si>
    <t>MMSm</t>
  </si>
  <si>
    <t>FracGASMmT</t>
  </si>
  <si>
    <t>NIR reference</t>
  </si>
  <si>
    <t>EFmT</t>
  </si>
  <si>
    <t>kg N</t>
  </si>
  <si>
    <t>WARNING: Manure nitrogen that was applied to soils must be accounted for</t>
  </si>
  <si>
    <t>See the table below for how to account for manure applied to soils for scope 1 and 3.</t>
  </si>
  <si>
    <t>Manure nitrogen use</t>
  </si>
  <si>
    <t>Amount of N in manure</t>
  </si>
  <si>
    <t>N unit</t>
  </si>
  <si>
    <t>Emissions allocated to</t>
  </si>
  <si>
    <t>VEERG Calculation method</t>
  </si>
  <si>
    <r>
      <t>Manure nitrogen deposited on farm soils (</t>
    </r>
    <r>
      <rPr>
        <i/>
        <sz val="12"/>
        <color theme="1" tint="0.24994659260841701"/>
        <rFont val="Times New Roman"/>
        <family val="1"/>
      </rPr>
      <t>including</t>
    </r>
    <r>
      <rPr>
        <sz val="12"/>
        <color theme="1" tint="0.24994659260841701"/>
        <rFont val="Times New Roman"/>
        <family val="1"/>
      </rPr>
      <t xml:space="preserve"> use as fertiliser for other enterprises on own farm eg crops)</t>
    </r>
  </si>
  <si>
    <t>5.2.2.1 (1), 5.4.1.3 (1, 2), 5.5.1.1 (1, 3)</t>
  </si>
  <si>
    <t>Manure nitrogen deposited on farm soils as fertiliser for other farm enterpsies (eg crops)</t>
  </si>
  <si>
    <t>Manure nitrogen sold</t>
  </si>
  <si>
    <t>Scope 3 (downstream)</t>
  </si>
  <si>
    <t>15.13.1.1 (1), 5.2.2.1 (1), 5.4.1.3 (1, 2), 5.5.1.1 (1, 3)</t>
  </si>
  <si>
    <t>Constants - Poultry</t>
  </si>
  <si>
    <t>Nutrient analysis</t>
  </si>
  <si>
    <t>Layers</t>
  </si>
  <si>
    <t>Meat chicken growers</t>
  </si>
  <si>
    <t>Meat chicken breeder</t>
  </si>
  <si>
    <t>Meat other</t>
  </si>
  <si>
    <t>Poultry class</t>
  </si>
  <si>
    <t>B0</t>
  </si>
  <si>
    <t>Poultry manure management systems</t>
  </si>
  <si>
    <t>Poultry manure management systems - Stage 1</t>
  </si>
  <si>
    <t>Poultry manure management systems - Stage 2</t>
  </si>
  <si>
    <t>No MMS</t>
  </si>
  <si>
    <t>Poultry production systems</t>
  </si>
  <si>
    <t>MMS m</t>
  </si>
  <si>
    <t>All states</t>
  </si>
  <si>
    <t>Couldn't find these numbers in NIR - what is the source?</t>
  </si>
  <si>
    <t>4.6.1.7-8 Leaching and runoff</t>
  </si>
  <si>
    <t>4.6.1.9 Manure applied to soils</t>
  </si>
  <si>
    <t>4.6.1.10-11 Soil direct N2O</t>
  </si>
  <si>
    <t>4.6.1.14-15 Soil leaching and runoff</t>
  </si>
  <si>
    <t>4.6.1.1-2 Manure methane</t>
  </si>
  <si>
    <t>4.6.1.3-4 Direct N2O</t>
  </si>
  <si>
    <t>4.6.1.5-6 Atmospheric deposition</t>
  </si>
  <si>
    <t>4.6.1.12-13 Soil Atmospheric deposition</t>
  </si>
  <si>
    <t>Scope 1 - This poultry enterprise</t>
  </si>
  <si>
    <t>Poultry manure with bedding</t>
  </si>
  <si>
    <t>Poultry manure with bedding (m=10)</t>
  </si>
  <si>
    <t>Solid storage</t>
  </si>
  <si>
    <t>Solid storage (m=4)</t>
  </si>
  <si>
    <t>Belt manure removal</t>
  </si>
  <si>
    <t>Belt manure removal (m=11a)</t>
  </si>
  <si>
    <t>Composting (passive windrow)</t>
  </si>
  <si>
    <t>Composting (passive windrow) (m=6)</t>
  </si>
  <si>
    <t>Manure stored in house</t>
  </si>
  <si>
    <t>Manure stored in house (m=11b)</t>
  </si>
  <si>
    <t>Digester / covered lagoons</t>
  </si>
  <si>
    <t>Digester / covered lagoons (m=7)</t>
  </si>
  <si>
    <t>Pasture range and paddock</t>
  </si>
  <si>
    <t>Pasture range and paddock (m=14)</t>
  </si>
  <si>
    <t>Direct processing</t>
  </si>
  <si>
    <t>Direct processing (m=12)</t>
  </si>
  <si>
    <t>Direct application</t>
  </si>
  <si>
    <t>Direct application (m=13)</t>
  </si>
  <si>
    <t>5.1 Inorganic Fertiliser</t>
  </si>
  <si>
    <t>Constants - Fertiliser</t>
  </si>
  <si>
    <t>Basis</t>
  </si>
  <si>
    <t>Source</t>
  </si>
  <si>
    <t>Fertiliser type f</t>
  </si>
  <si>
    <t>Fertiliser products</t>
  </si>
  <si>
    <t>Product</t>
  </si>
  <si>
    <t>Ingredient 1</t>
  </si>
  <si>
    <t>Ingredient 1 percent</t>
  </si>
  <si>
    <t>Ingredient 1 source</t>
  </si>
  <si>
    <t>Ingredient 2</t>
  </si>
  <si>
    <t>Ingredient 2 percent</t>
  </si>
  <si>
    <t>Ingredient 2 source</t>
  </si>
  <si>
    <t>Ingredient 3</t>
  </si>
  <si>
    <t>Ingredient 3 percent</t>
  </si>
  <si>
    <t>Ingredient 3 source</t>
  </si>
  <si>
    <t>Ingredient 4</t>
  </si>
  <si>
    <t>Ingredient 4 percent</t>
  </si>
  <si>
    <t>Ingredient 4 source</t>
  </si>
  <si>
    <t>Ingredient 5</t>
  </si>
  <si>
    <t>Ingredient 5 percent</t>
  </si>
  <si>
    <t>Ingredient 5 source</t>
  </si>
  <si>
    <t>Ingredient 6</t>
  </si>
  <si>
    <t>Ingredient 6 percent</t>
  </si>
  <si>
    <t>Ingredient 6 source</t>
  </si>
  <si>
    <t>Product info link</t>
  </si>
  <si>
    <t>Input - Inorganic Fertiliser</t>
  </si>
  <si>
    <t>FU f</t>
  </si>
  <si>
    <t>FNinorganic f</t>
  </si>
  <si>
    <t>Lifecycles Scope 3 definition</t>
  </si>
  <si>
    <t>TODO: Check basis</t>
  </si>
  <si>
    <t>FracGASF f</t>
  </si>
  <si>
    <t>Crop</t>
  </si>
  <si>
    <t>Sprinkler irrigation</t>
  </si>
  <si>
    <t>Irrigation methods</t>
  </si>
  <si>
    <t>Pasture</t>
  </si>
  <si>
    <t>Not irrigated</t>
  </si>
  <si>
    <t>Drip irrigation</t>
  </si>
  <si>
    <t>Surface irrigation</t>
  </si>
  <si>
    <t>Other irrigation</t>
  </si>
  <si>
    <t>Crop or pasture production systems</t>
  </si>
  <si>
    <t>Make common</t>
  </si>
  <si>
    <t>Maize</t>
  </si>
  <si>
    <t>Cotton</t>
  </si>
  <si>
    <t>Grains</t>
  </si>
  <si>
    <t>Input</t>
  </si>
  <si>
    <t>Lookup</t>
  </si>
  <si>
    <t>kg</t>
  </si>
  <si>
    <r>
      <t>FN</t>
    </r>
    <r>
      <rPr>
        <b/>
        <vertAlign val="subscript"/>
        <sz val="11"/>
        <color rgb="FF183C1B"/>
        <rFont val="Times New Roman"/>
        <family val="1"/>
      </rPr>
      <t>inorganic,f</t>
    </r>
  </si>
  <si>
    <r>
      <t>TM</t>
    </r>
    <r>
      <rPr>
        <b/>
        <vertAlign val="subscript"/>
        <sz val="11"/>
        <color rgb="FF533001"/>
        <rFont val="Times New Roman"/>
        <family val="1"/>
      </rPr>
      <t>jf</t>
    </r>
  </si>
  <si>
    <t>Table_MN_j_f</t>
  </si>
  <si>
    <t>Inorganic fertiliser applied</t>
  </si>
  <si>
    <t>💡You can add more rows to tables by right-clicking on the table and selecting "Insert &gt; Table rows above/below".</t>
  </si>
  <si>
    <t>💡The application area is the same as the area under pasture / cropping by default. You can edit it if the application area is different.</t>
  </si>
  <si>
    <t>Branded fertiliser products</t>
  </si>
  <si>
    <t>Product (select)</t>
  </si>
  <si>
    <t>Application area (ha)</t>
  </si>
  <si>
    <t>Total applied (kg)</t>
  </si>
  <si>
    <t>80% Urea 20% MAP</t>
  </si>
  <si>
    <t>Location not specified</t>
  </si>
  <si>
    <t>Custom fertiliser blends</t>
  </si>
  <si>
    <t>Custom blend name</t>
  </si>
  <si>
    <t>Ingredient 1 (select)</t>
  </si>
  <si>
    <t>My first custom blend</t>
  </si>
  <si>
    <t>Phosphorus - Generic</t>
  </si>
  <si>
    <t>Potassium - Generic</t>
  </si>
  <si>
    <t>Sulfur - Generic</t>
  </si>
  <si>
    <r>
      <t xml:space="preserve">Amount applied </t>
    </r>
    <r>
      <rPr>
        <sz val="11"/>
        <color theme="1"/>
        <rFont val="Times New Roman"/>
        <family val="1"/>
      </rPr>
      <t>(kg / ha)</t>
    </r>
  </si>
  <si>
    <t>Calculated</t>
  </si>
  <si>
    <r>
      <t>MN</t>
    </r>
    <r>
      <rPr>
        <b/>
        <vertAlign val="subscript"/>
        <sz val="11"/>
        <color rgb="FF533001"/>
        <rFont val="Times New Roman"/>
        <family val="1"/>
      </rPr>
      <t>jf</t>
    </r>
  </si>
  <si>
    <t>Constant</t>
  </si>
  <si>
    <t>Mass of nitrogen applied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</si>
  <si>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</t>
    </r>
  </si>
  <si>
    <t>Crop types</t>
  </si>
  <si>
    <t>Crop type</t>
  </si>
  <si>
    <t>N application rate (kg/ha)</t>
  </si>
  <si>
    <t>N Application rate</t>
  </si>
  <si>
    <t>Application area</t>
  </si>
  <si>
    <t>MN</t>
  </si>
  <si>
    <t>M1_Table_E_N2O</t>
  </si>
  <si>
    <t>Nitrous oxide emissions from inorganic fertiliser application (Method 1)</t>
  </si>
  <si>
    <t>Product applied</t>
  </si>
  <si>
    <t>Fertiliser product applications (Method 2)</t>
  </si>
  <si>
    <t>Not used - application rate calculated per product blend application</t>
  </si>
  <si>
    <t>M2_Table_FertApplications</t>
  </si>
  <si>
    <t>Custom blend</t>
  </si>
  <si>
    <t>Branded product</t>
  </si>
  <si>
    <t>MN for cotton</t>
  </si>
  <si>
    <t>hectares</t>
  </si>
  <si>
    <t>kg / hectare</t>
  </si>
  <si>
    <t>kg N2O-N/kg N applied</t>
  </si>
  <si>
    <t>EFjN2O</t>
  </si>
  <si>
    <t>N App. rate for cotton (max 300)</t>
  </si>
  <si>
    <r>
      <t>ALERT: For method 2 the application rate (N) and mass of nitrogen (MN) is calculated per</t>
    </r>
    <r>
      <rPr>
        <b/>
        <i/>
        <sz val="12"/>
        <color rgb="FFCC6600"/>
        <rFont val="Times New Roman"/>
        <family val="1"/>
      </rPr>
      <t xml:space="preserve"> fertiliser application instance</t>
    </r>
    <r>
      <rPr>
        <b/>
        <sz val="12"/>
        <color rgb="FFCC6600"/>
        <rFont val="Times New Roman"/>
        <family val="1"/>
      </rPr>
      <t>, not per fertiliser type.</t>
    </r>
  </si>
  <si>
    <r>
      <t>E</t>
    </r>
    <r>
      <rPr>
        <b/>
        <vertAlign val="subscript"/>
        <sz val="11"/>
        <color rgb="FF183C1B"/>
        <rFont val="Times New Roman"/>
        <family val="1"/>
      </rPr>
      <t>N2O</t>
    </r>
  </si>
  <si>
    <t>EFfjirrigatemaizeN2O</t>
  </si>
  <si>
    <t>EFfjnonirrigatedgrainsN2O</t>
  </si>
  <si>
    <t>EFfjcottonN2O</t>
  </si>
  <si>
    <r>
      <t>EFj</t>
    </r>
    <r>
      <rPr>
        <b/>
        <vertAlign val="subscript"/>
        <sz val="11"/>
        <color rgb="FF183C1B"/>
        <rFont val="Times New Roman"/>
        <family val="1"/>
      </rPr>
      <t>N2O</t>
    </r>
  </si>
  <si>
    <t>Not used</t>
  </si>
  <si>
    <t>Nitrogen - generic</t>
  </si>
  <si>
    <t>Area under cropping</t>
  </si>
  <si>
    <t>Soil amendments</t>
  </si>
  <si>
    <t>💡 You can add more rows to the table by right-clicking on the table and selecting "Insert &gt; Table rows above/below".</t>
  </si>
  <si>
    <t>💡 'Lime' refers to calcium carbonate - CaCO3. 'Dolomite' refers to calcium magnesium carbonate - CaMg(CO3)2</t>
  </si>
  <si>
    <t>Amount applied (t/hectare)</t>
  </si>
  <si>
    <t>Total amount applied (t)</t>
  </si>
  <si>
    <r>
      <t>Percent Lime CaCO</t>
    </r>
    <r>
      <rPr>
        <b/>
        <vertAlign val="subscript"/>
        <sz val="11"/>
        <color rgb="FF533001"/>
        <rFont val="Times New Roman"/>
        <family val="1"/>
      </rPr>
      <t>3</t>
    </r>
  </si>
  <si>
    <r>
      <t>Percent Dolomite CaMg(CO</t>
    </r>
    <r>
      <rPr>
        <b/>
        <vertAlign val="subscript"/>
        <sz val="11"/>
        <color rgb="FF533001"/>
        <rFont val="Times New Roman"/>
        <family val="1"/>
      </rPr>
      <t>3</t>
    </r>
    <r>
      <rPr>
        <b/>
        <sz val="11"/>
        <color rgb="FF533001"/>
        <rFont val="Times New Roman"/>
        <family val="1"/>
      </rPr>
      <t>)</t>
    </r>
    <r>
      <rPr>
        <b/>
        <vertAlign val="subscript"/>
        <sz val="11"/>
        <color rgb="FF533001"/>
        <rFont val="Times New Roman"/>
        <family val="1"/>
      </rPr>
      <t>2</t>
    </r>
  </si>
  <si>
    <r>
      <t>Percent Lime Sand CaCO</t>
    </r>
    <r>
      <rPr>
        <b/>
        <vertAlign val="subscript"/>
        <sz val="11"/>
        <color rgb="FF533001"/>
        <rFont val="Times New Roman"/>
        <family val="1"/>
      </rPr>
      <t>3</t>
    </r>
  </si>
  <si>
    <t>Percent Gypsum</t>
  </si>
  <si>
    <t>Percent Potash</t>
  </si>
  <si>
    <t>gfdgfdgd</t>
  </si>
  <si>
    <t>Organic fertiliser applied</t>
  </si>
  <si>
    <t>Organic fertiliser type (select)</t>
  </si>
  <si>
    <t>Source (select)</t>
  </si>
  <si>
    <t>Percentage of N in fertiliser</t>
  </si>
  <si>
    <t>Amount applied (kg/hectare)</t>
  </si>
  <si>
    <t>Amount N applied (kg/hectare)</t>
  </si>
  <si>
    <t>Total organic fertliser applied</t>
  </si>
  <si>
    <t>Total nitrogen applied (kg)</t>
  </si>
  <si>
    <t>Dairy Manure</t>
  </si>
  <si>
    <t>Capped cotton applicationj rate to 300 based on VEERG "application rate of inorganic fertiliser type f in the cotton crop (kg N/ha). This is capped at a maximum of 0.0183 kg CO2e/kg N, equivalent to N application rates of 300 kg N/ha "</t>
  </si>
  <si>
    <t>5.1.1.1-2 Inorganic fertiliser application N2O emissions</t>
  </si>
  <si>
    <t>5.1.1.3-4 Inorganic fertiliser application CO2 emissions</t>
  </si>
  <si>
    <t>Table_MU_j_f</t>
  </si>
  <si>
    <t>Mass of urea applied</t>
  </si>
  <si>
    <r>
      <t>FU</t>
    </r>
    <r>
      <rPr>
        <b/>
        <vertAlign val="subscript"/>
        <sz val="11"/>
        <color rgb="FF183C1B"/>
        <rFont val="Times New Roman"/>
        <family val="1"/>
      </rPr>
      <t>f</t>
    </r>
  </si>
  <si>
    <t>M1_Table_E_CO2</t>
  </si>
  <si>
    <t>Carbon dioxide oxide emissions from inorganic fertiliser application (Method 1)</t>
  </si>
  <si>
    <r>
      <t>MU</t>
    </r>
    <r>
      <rPr>
        <b/>
        <vertAlign val="subscript"/>
        <sz val="11"/>
        <color rgb="FF533001"/>
        <rFont val="Times New Roman"/>
        <family val="1"/>
      </rPr>
      <t>jf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</si>
</sst>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00000000"/>
  </numFmts>
  <fonts count="70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i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12"/>
      <name val="Times New Roman"/>
      <family val="1"/>
    </font>
    <font>
      <sz val="9"/>
      <color theme="1"/>
      <name val="Times New Roman"/>
      <family val="2"/>
      <scheme val="minor"/>
    </font>
    <font>
      <i/>
      <sz val="10"/>
      <color theme="6" tint="-0.499984740745262"/>
      <name val="Times New Roman"/>
      <family val="1"/>
    </font>
    <font>
      <i/>
      <sz val="10"/>
      <color theme="5" tint="-0.499984740745262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vertAlign val="subscript"/>
      <sz val="11"/>
      <color rgb="FF53300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i/>
      <sz val="12"/>
      <color rgb="FFCC6600"/>
      <name val="Times New Roman"/>
      <family val="1"/>
    </font>
    <font>
      <b/>
      <sz val="10"/>
      <color theme="1" tint="0.1499984740745262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CECD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</borders>
  <cellStyleXfs count="67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3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5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4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2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8" fillId="4" borderId="0">
      <alignment horizontal="left" vertical="center"/>
    </xf>
    <xf numFmtId="0" fontId="49" fillId="4" borderId="0">
      <alignment horizontal="left" vertical="center"/>
    </xf>
    <xf numFmtId="0" fontId="55" fillId="4" borderId="0">
      <alignment horizontal="left" vertical="center"/>
    </xf>
    <xf numFmtId="0" fontId="47" fillId="11" borderId="0">
      <alignment horizontal="center" vertical="center"/>
    </xf>
    <xf numFmtId="0" fontId="22" fillId="11" borderId="0">
      <alignment horizontal="left" vertical="center" indent="1"/>
    </xf>
    <xf numFmtId="0" fontId="63" fillId="16" borderId="0">
      <alignment horizontal="center" vertical="center"/>
    </xf>
    <xf numFmtId="0" fontId="62" fillId="17" borderId="0">
      <alignment horizontal="center" vertical="center"/>
    </xf>
  </cellStyleXfs>
  <cellXfs count="161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3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5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3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40" fillId="4" borderId="1" xfId="8" applyBorder="1">
      <alignment horizontal="left" vertical="center"/>
    </xf>
    <xf numFmtId="4" fontId="26" fillId="0" borderId="0" xfId="18" applyFont="1" applyBorder="1">
      <alignment horizontal="center" vertical="center"/>
    </xf>
    <xf numFmtId="0" fontId="54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1" fillId="4" borderId="0" xfId="8" applyFont="1">
      <alignment horizontal="left" vertical="center"/>
    </xf>
    <xf numFmtId="0" fontId="6" fillId="4" borderId="0" xfId="56">
      <alignment horizontal="left" vertical="center"/>
    </xf>
    <xf numFmtId="0" fontId="42" fillId="4" borderId="0" xfId="57">
      <alignment horizontal="left" vertical="center"/>
    </xf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44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5" fillId="13" borderId="10" xfId="41" applyBorder="1">
      <alignment horizontal="left" vertical="center"/>
    </xf>
    <xf numFmtId="0" fontId="45" fillId="13" borderId="12" xfId="41" applyBorder="1">
      <alignment horizontal="left" vertical="center"/>
    </xf>
    <xf numFmtId="0" fontId="45" fillId="13" borderId="14" xfId="41" applyBorder="1">
      <alignment horizontal="left" vertical="center"/>
    </xf>
    <xf numFmtId="0" fontId="45" fillId="13" borderId="13" xfId="41" applyBorder="1">
      <alignment horizontal="left" vertical="center"/>
    </xf>
    <xf numFmtId="0" fontId="45" fillId="13" borderId="15" xfId="41" applyBorder="1">
      <alignment horizontal="left" vertical="center"/>
    </xf>
    <xf numFmtId="0" fontId="45" fillId="13" borderId="17" xfId="41" applyBorder="1">
      <alignment horizontal="left" vertical="center"/>
    </xf>
    <xf numFmtId="0" fontId="45" fillId="13" borderId="11" xfId="41" applyBorder="1">
      <alignment horizontal="left" vertical="center"/>
    </xf>
    <xf numFmtId="0" fontId="45" fillId="13" borderId="16" xfId="41" applyBorder="1">
      <alignment horizontal="left" vertical="center"/>
    </xf>
    <xf numFmtId="0" fontId="45" fillId="13" borderId="18" xfId="41" applyBorder="1">
      <alignment horizontal="left" vertical="center"/>
    </xf>
    <xf numFmtId="0" fontId="46" fillId="13" borderId="9" xfId="41" applyFont="1" applyBorder="1">
      <alignment horizontal="left" vertical="center"/>
    </xf>
    <xf numFmtId="0" fontId="49" fillId="4" borderId="0" xfId="61">
      <alignment horizontal="left" vertical="center"/>
    </xf>
    <xf numFmtId="0" fontId="48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0" fillId="4" borderId="1" xfId="8" applyFont="1" applyBorder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5" fillId="4" borderId="0" xfId="62">
      <alignment horizontal="left" vertical="center"/>
    </xf>
    <xf numFmtId="0" fontId="40" fillId="14" borderId="0" xfId="8" applyFill="1">
      <alignment horizontal="left"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2" fontId="32" fillId="4" borderId="1" xfId="0" applyNumberFormat="1" applyFont="1" applyFill="1" applyBorder="1" applyAlignment="1">
      <alignment horizontal="center"/>
    </xf>
    <xf numFmtId="0" fontId="47" fillId="11" borderId="0" xfId="63">
      <alignment horizontal="center" vertical="center"/>
    </xf>
    <xf numFmtId="0" fontId="57" fillId="0" borderId="0" xfId="2" applyFont="1"/>
    <xf numFmtId="0" fontId="0" fillId="0" borderId="0" xfId="1" applyFont="1" applyFill="1">
      <alignment horizontal="left" vertical="center" indent="1"/>
      <protection locked="0"/>
    </xf>
    <xf numFmtId="0" fontId="40" fillId="4" borderId="0" xfId="8" applyAlignment="1">
      <alignment horizontal="center" vertical="center"/>
    </xf>
    <xf numFmtId="0" fontId="45" fillId="13" borderId="9" xfId="41" applyBorder="1">
      <alignment horizontal="left" vertical="center"/>
    </xf>
    <xf numFmtId="0" fontId="59" fillId="4" borderId="0" xfId="62" applyFont="1">
      <alignment horizontal="left" vertical="center"/>
    </xf>
    <xf numFmtId="0" fontId="22" fillId="10" borderId="0" xfId="37">
      <alignment horizontal="left" vertical="center" indent="1"/>
    </xf>
    <xf numFmtId="0" fontId="22" fillId="5" borderId="0" xfId="38">
      <alignment horizontal="left" vertical="center" indent="1"/>
    </xf>
    <xf numFmtId="0" fontId="22" fillId="11" borderId="0" xfId="64">
      <alignment horizontal="left" vertical="center" indent="1"/>
    </xf>
    <xf numFmtId="170" fontId="8" fillId="4" borderId="0" xfId="10" applyNumberFormat="1">
      <alignment horizontal="center" vertical="center"/>
    </xf>
    <xf numFmtId="0" fontId="60" fillId="4" borderId="0" xfId="0" applyFont="1" applyFill="1"/>
    <xf numFmtId="0" fontId="37" fillId="4" borderId="0" xfId="0" applyFont="1" applyFill="1"/>
    <xf numFmtId="0" fontId="0" fillId="0" borderId="0" xfId="0" applyAlignment="1">
      <alignment vertical="center"/>
    </xf>
    <xf numFmtId="0" fontId="61" fillId="0" borderId="0" xfId="0" applyFont="1" applyAlignment="1">
      <alignment vertical="center" wrapText="1"/>
    </xf>
    <xf numFmtId="0" fontId="61" fillId="0" borderId="20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1" fillId="0" borderId="21" xfId="0" applyFont="1" applyBorder="1" applyAlignment="1">
      <alignment horizontal="center" vertical="center" wrapText="1"/>
    </xf>
    <xf numFmtId="0" fontId="61" fillId="0" borderId="22" xfId="0" applyFont="1" applyBorder="1" applyAlignment="1">
      <alignment horizontal="center" vertical="center" wrapText="1"/>
    </xf>
    <xf numFmtId="0" fontId="61" fillId="4" borderId="1" xfId="0" applyFont="1" applyFill="1" applyBorder="1" applyAlignment="1">
      <alignment vertical="center"/>
    </xf>
    <xf numFmtId="0" fontId="0" fillId="15" borderId="0" xfId="0" applyFill="1" applyAlignment="1">
      <alignment vertical="center"/>
    </xf>
    <xf numFmtId="0" fontId="37" fillId="14" borderId="0" xfId="0" applyFont="1" applyFill="1"/>
    <xf numFmtId="0" fontId="38" fillId="14" borderId="0" xfId="5" applyFill="1">
      <alignment horizontal="left" vertical="center"/>
    </xf>
    <xf numFmtId="0" fontId="13" fillId="6" borderId="0" xfId="30">
      <alignment horizontal="center" vertical="center"/>
      <protection locked="0"/>
    </xf>
    <xf numFmtId="0" fontId="62" fillId="17" borderId="0" xfId="8" applyFont="1" applyFill="1" applyAlignment="1">
      <alignment horizontal="center" vertical="center"/>
    </xf>
    <xf numFmtId="0" fontId="63" fillId="16" borderId="0" xfId="8" applyFont="1" applyFill="1" applyAlignment="1">
      <alignment horizontal="center" vertical="center"/>
    </xf>
    <xf numFmtId="0" fontId="66" fillId="4" borderId="0" xfId="0" applyFont="1" applyFill="1" applyAlignment="1">
      <alignment horizontal="center" vertical="center"/>
    </xf>
    <xf numFmtId="0" fontId="66" fillId="4" borderId="0" xfId="0" applyFont="1" applyFill="1"/>
    <xf numFmtId="0" fontId="67" fillId="4" borderId="0" xfId="0" applyFont="1" applyFill="1"/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6" fillId="4" borderId="0" xfId="12" applyAlignment="1">
      <alignment horizontal="center" vertical="center"/>
    </xf>
    <xf numFmtId="0" fontId="62" fillId="17" borderId="0" xfId="66">
      <alignment horizontal="center" vertical="center"/>
    </xf>
    <xf numFmtId="0" fontId="63" fillId="16" borderId="0" xfId="65">
      <alignment horizontal="center" vertical="center"/>
    </xf>
    <xf numFmtId="0" fontId="35" fillId="4" borderId="6" xfId="55" applyBorder="1">
      <alignment horizontal="center" vertical="center"/>
    </xf>
    <xf numFmtId="0" fontId="3" fillId="12" borderId="2" xfId="16" applyAlignment="1">
      <alignment horizontal="center" vertical="center" wrapText="1"/>
    </xf>
    <xf numFmtId="4" fontId="0" fillId="0" borderId="0" xfId="18" applyFont="1" applyBorder="1" applyAlignment="1">
      <alignment horizontal="center" vertical="center" wrapText="1"/>
    </xf>
    <xf numFmtId="0" fontId="35" fillId="4" borderId="2" xfId="55" applyAlignment="1">
      <alignment horizontal="center" vertical="center" wrapText="1"/>
    </xf>
    <xf numFmtId="0" fontId="25" fillId="4" borderId="0" xfId="46" applyFont="1" applyFill="1" applyAlignment="1">
      <alignment horizontal="left" vertical="center" wrapText="1"/>
    </xf>
    <xf numFmtId="2" fontId="66" fillId="4" borderId="0" xfId="42" applyNumberFormat="1" applyFont="1" applyFill="1" applyBorder="1" applyAlignment="1" applyProtection="1">
      <alignment horizontal="center" wrapText="1"/>
      <protection locked="0"/>
    </xf>
    <xf numFmtId="1" fontId="66" fillId="4" borderId="0" xfId="42" applyNumberFormat="1" applyFont="1" applyFill="1" applyBorder="1" applyAlignment="1" applyProtection="1">
      <alignment horizontal="center" wrapText="1"/>
      <protection locked="0"/>
    </xf>
    <xf numFmtId="0" fontId="66" fillId="4" borderId="0" xfId="0" applyFont="1" applyFill="1" applyAlignment="1">
      <alignment horizontal="left" wrapText="1"/>
    </xf>
    <xf numFmtId="0" fontId="67" fillId="4" borderId="0" xfId="0" applyFont="1" applyFill="1" applyAlignment="1">
      <alignment wrapText="1"/>
    </xf>
    <xf numFmtId="0" fontId="40" fillId="4" borderId="0" xfId="8" applyAlignment="1">
      <alignment horizontal="left" vertical="center" wrapText="1"/>
    </xf>
    <xf numFmtId="0" fontId="54" fillId="4" borderId="0" xfId="50" applyAlignment="1">
      <alignment horizontal="left" vertical="center"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69" fillId="12" borderId="2" xfId="16" applyFont="1" applyAlignment="1">
      <alignment horizontal="center" vertical="center" wrapText="1"/>
    </xf>
    <xf numFmtId="0" fontId="69" fillId="12" borderId="2" xfId="16" applyFont="1">
      <alignment horizontal="center" vertical="center"/>
    </xf>
    <xf numFmtId="0" fontId="2" fillId="0" borderId="2" xfId="59">
      <alignment horizontal="center" vertical="center"/>
    </xf>
    <xf numFmtId="9" fontId="0" fillId="0" borderId="0" xfId="14" applyFont="1" applyFill="1" applyBorder="1" applyAlignment="1">
      <alignment horizontal="center" vertical="center" wrapText="1"/>
    </xf>
    <xf numFmtId="0" fontId="45" fillId="13" borderId="23" xfId="41" applyBorder="1">
      <alignment horizontal="left" vertical="center"/>
    </xf>
    <xf numFmtId="9" fontId="0" fillId="4" borderId="0" xfId="0" applyNumberFormat="1" applyFill="1"/>
    <xf numFmtId="0" fontId="13" fillId="6" borderId="0" xfId="30" applyAlignment="1">
      <alignment horizontal="center" vertical="center" wrapText="1"/>
      <protection locked="0"/>
    </xf>
    <xf numFmtId="0" fontId="0" fillId="0" borderId="0" xfId="15" applyFont="1" applyBorder="1" applyAlignment="1">
      <alignment horizontal="center" vertical="center" wrapText="1"/>
    </xf>
    <xf numFmtId="9" fontId="0" fillId="0" borderId="0" xfId="17" applyFont="1" applyBorder="1" applyAlignment="1">
      <alignment horizontal="center" vertical="center" wrapText="1"/>
    </xf>
    <xf numFmtId="0" fontId="37" fillId="0" borderId="0" xfId="0" applyFont="1" applyAlignment="1">
      <alignment wrapText="1"/>
    </xf>
  </cellXfs>
  <cellStyles count="67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  <cellStyle name="Variable type input" xfId="65" xr:uid="{83ED2376-8555-47B3-98E3-2416CC880284}"/>
    <cellStyle name="Variable type other" xfId="66" xr:uid="{6646F6F7-E4F9-4165-8015-E25083532B5B}"/>
  </cellStyles>
  <dxfs count="195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outline="0">
        <left style="thin">
          <color theme="0" tint="-0.34998626667073579"/>
        </left>
        <right style="thin">
          <color theme="0" tint="-0.34998626667073579"/>
        </right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 tint="0.14999847407452621"/>
        <name val="Times New Roman"/>
        <family val="1"/>
        <scheme val="none"/>
      </font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outline="0">
        <left style="thin">
          <color theme="0" tint="-0.34998626667073579"/>
        </left>
        <right style="thin">
          <color theme="0" tint="-0.34998626667073579"/>
        </right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outline="0">
        <left style="thin">
          <color theme="0" tint="-0.34998626667073579"/>
        </left>
        <right style="thin">
          <color theme="0" tint="-0.34998626667073579"/>
        </right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Times New Roman"/>
        <family val="1"/>
        <scheme val="none"/>
      </font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1"/>
        <color theme="1"/>
        <family val="2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  <border outline="0">
        <left style="thin">
          <color theme="0" tint="-0.34998626667073579"/>
        </left>
      </border>
    </dxf>
    <dxf>
      <alignment textRotation="0" wrapText="1" indent="0" justifyLastLine="0" shrinkToFit="0" readingOrder="0"/>
      <border outline="0">
        <right style="thin">
          <color theme="0" tint="-0.34998626667073579"/>
        </right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>
          <bgColor theme="0" tint="-4.9989318521683403E-2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imes New Roman"/>
        <family val="2"/>
        <scheme val="minor"/>
      </font>
      <alignment vertical="center" textRotation="0" indent="0" justifyLastLine="0" shrinkToFit="0" readingOrder="0"/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94"/>
      <tableStyleElement type="headerRow" dxfId="193"/>
      <tableStyleElement type="totalRow" dxfId="192"/>
      <tableStyleElement type="firstColumn" dxfId="191"/>
      <tableStyleElement type="firstRowStripe" dxfId="190"/>
      <tableStyleElement type="secondRowStripe" dxfId="189"/>
    </tableStyle>
    <tableStyle name="Equation table" pivot="0" count="6" xr9:uid="{B247698E-E41D-4CCD-AA0A-C14817E9DE65}">
      <tableStyleElement type="wholeTable" dxfId="188"/>
      <tableStyleElement type="headerRow" dxfId="187"/>
      <tableStyleElement type="totalRow" dxfId="186"/>
      <tableStyleElement type="firstColumn" dxfId="185"/>
      <tableStyleElement type="firstRowStripe" dxfId="184"/>
      <tableStyleElement type="secondRowStripe" dxfId="183"/>
    </tableStyle>
    <tableStyle name="Table Style 1" pivot="0" count="0" xr9:uid="{97B370DB-5463-4A31-9160-5A96BD6A559D}"/>
  </tableStyles>
  <colors>
    <mruColors>
      <color rgb="FFDCECD0"/>
      <color rgb="FFB2D498"/>
      <color rgb="FFFFCCCC"/>
      <color rgb="FFC44340"/>
      <color rgb="FF0C769E"/>
      <color rgb="FF008000"/>
      <color rgb="FFC4433F"/>
      <color rgb="FFE9F2FB"/>
      <color rgb="FF183C1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169</xdr:row>
      <xdr:rowOff>76200</xdr:rowOff>
    </xdr:from>
    <xdr:ext cx="3010631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𝐸_𝐶𝐻4=∑8_𝑗▒∑8_𝑘▒∑8_𝑚▒∑8_𝑇▒(𝐷_𝑗𝑘×𝑀_𝑗𝑘𝑚𝑇×𝑁_𝑗𝑘 ) 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24652</xdr:colOff>
      <xdr:row>7</xdr:row>
      <xdr:rowOff>181536</xdr:rowOff>
    </xdr:from>
    <xdr:ext cx="17922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1FB30AC-E33A-F343-8B67-BB3CFAAFE6E2}"/>
                </a:ext>
              </a:extLst>
            </xdr:cNvPr>
            <xdr:cNvSpPr txBox="1"/>
          </xdr:nvSpPr>
          <xdr:spPr>
            <a:xfrm>
              <a:off x="2702858" y="2041712"/>
              <a:ext cx="17922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𝑗𝑓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𝑇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𝑗𝑓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𝑖𝑛𝑜𝑟𝑔𝑎𝑛𝑖𝑐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1FB30AC-E33A-F343-8B67-BB3CFAAFE6E2}"/>
                </a:ext>
              </a:extLst>
            </xdr:cNvPr>
            <xdr:cNvSpPr txBox="1"/>
          </xdr:nvSpPr>
          <xdr:spPr>
            <a:xfrm>
              <a:off x="2702858" y="2041712"/>
              <a:ext cx="17922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𝑀𝑁_𝑗𝑓=𝑇𝑀_𝑗𝑓×𝐹𝑁_(𝑖𝑛𝑜𝑟𝑔𝑎𝑛𝑖𝑐,𝑓)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24653</xdr:colOff>
      <xdr:row>44</xdr:row>
      <xdr:rowOff>125506</xdr:rowOff>
    </xdr:from>
    <xdr:ext cx="3047693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4E911B-9FB0-FD59-88DE-C21768783A0A}"/>
                </a:ext>
              </a:extLst>
            </xdr:cNvPr>
            <xdr:cNvSpPr txBox="1"/>
          </xdr:nvSpPr>
          <xdr:spPr>
            <a:xfrm>
              <a:off x="2702859" y="12093388"/>
              <a:ext cx="3047693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𝑗𝑓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,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sSup>
                                  <m:s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10</m:t>
                                    </m:r>
                                  </m:e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−3</m:t>
                                    </m:r>
                                  </m:sup>
                                </m:sSup>
                              </m:e>
                            </m:d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4E911B-9FB0-FD59-88DE-C21768783A0A}"/>
                </a:ext>
              </a:extLst>
            </xdr:cNvPr>
            <xdr:cNvSpPr txBox="1"/>
          </xdr:nvSpPr>
          <xdr:spPr>
            <a:xfrm>
              <a:off x="2702859" y="12093388"/>
              <a:ext cx="3047693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𝐸_𝑁2𝑂=∑8_𝑗▒∑8_𝑓▒((𝑀𝑁_𝑗𝑓×𝐸𝐹_(𝑗,𝑁2𝑂)×𝐶_𝑁2𝑂 )×10^(−3)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12</xdr:col>
      <xdr:colOff>13446</xdr:colOff>
      <xdr:row>6</xdr:row>
      <xdr:rowOff>125506</xdr:rowOff>
    </xdr:from>
    <xdr:ext cx="4661725" cy="2533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4BDAFE-15D9-F24A-1A28-4F14CBD3C9A0}"/>
                </a:ext>
              </a:extLst>
            </xdr:cNvPr>
            <xdr:cNvSpPr txBox="1"/>
          </xdr:nvSpPr>
          <xdr:spPr>
            <a:xfrm>
              <a:off x="17987681" y="11846859"/>
              <a:ext cx="4661725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𝑓𝑗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𝑖𝑟𝑟𝑖𝑔𝑎𝑡𝑒𝑑𝑚𝑎𝑖𝑧𝑒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−0.1474+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0.0061×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𝑓𝑗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𝑖𝑟𝑟𝑖𝑔𝑎𝑡𝑒𝑑𝑚𝑎𝑖𝑧𝑒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4BDAFE-15D9-F24A-1A28-4F14CBD3C9A0}"/>
                </a:ext>
              </a:extLst>
            </xdr:cNvPr>
            <xdr:cNvSpPr txBox="1"/>
          </xdr:nvSpPr>
          <xdr:spPr>
            <a:xfrm>
              <a:off x="17987681" y="11846859"/>
              <a:ext cx="4661725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𝐸𝐹_(𝑓𝑗=𝑖𝑟𝑟𝑖𝑔𝑎𝑡𝑒𝑑𝑚𝑎𝑖𝑧𝑒,𝑁2𝑂)=(−0.1474+(0.0061×𝑁_(𝑓𝑗=𝑖𝑟𝑟𝑖𝑔𝑎𝑡𝑒𝑑𝑚𝑎𝑖𝑧𝑒) ))×10^(−2)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11</xdr:col>
      <xdr:colOff>304799</xdr:colOff>
      <xdr:row>17</xdr:row>
      <xdr:rowOff>114300</xdr:rowOff>
    </xdr:from>
    <xdr:ext cx="5008229" cy="2533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84309B4-7C0D-3238-ABE9-58748142C042}"/>
                </a:ext>
              </a:extLst>
            </xdr:cNvPr>
            <xdr:cNvSpPr txBox="1"/>
          </xdr:nvSpPr>
          <xdr:spPr>
            <a:xfrm>
              <a:off x="17965270" y="4439771"/>
              <a:ext cx="500822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𝑓𝑗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𝑛𝑜𝑛𝑖𝑟𝑟𝑖𝑔𝑎𝑡𝑒𝑑𝑔𝑟𝑎𝑖𝑛𝑠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0.0781+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0.0075×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𝑓𝑗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𝑛𝑜𝑛𝑖𝑟𝑟𝑖𝑔𝑎𝑡𝑒𝑑𝑔𝑟𝑎𝑖𝑛𝑠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84309B4-7C0D-3238-ABE9-58748142C042}"/>
                </a:ext>
              </a:extLst>
            </xdr:cNvPr>
            <xdr:cNvSpPr txBox="1"/>
          </xdr:nvSpPr>
          <xdr:spPr>
            <a:xfrm>
              <a:off x="17965270" y="4439771"/>
              <a:ext cx="500822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𝐸𝐹_(𝑓𝑗=𝑛𝑜𝑛𝑖𝑟𝑟𝑖𝑔𝑎𝑡𝑒𝑑𝑔𝑟𝑎𝑖𝑛𝑠,𝑁2𝑂)=(0.0781+(0.0075×𝑁_(𝑓𝑗=𝑛𝑜𝑛𝑖𝑟𝑟𝑖𝑔𝑎𝑡𝑒𝑑𝑔𝑟𝑎𝑖𝑛𝑠) ))×10^(−2)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11</xdr:col>
      <xdr:colOff>293593</xdr:colOff>
      <xdr:row>28</xdr:row>
      <xdr:rowOff>79081</xdr:rowOff>
    </xdr:from>
    <xdr:ext cx="3370345" cy="5449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4B47DAE-FE55-9067-CC98-962EEAD3D533}"/>
                </a:ext>
              </a:extLst>
            </xdr:cNvPr>
            <xdr:cNvSpPr txBox="1"/>
          </xdr:nvSpPr>
          <xdr:spPr>
            <a:xfrm>
              <a:off x="17982879" y="7073152"/>
              <a:ext cx="3370345" cy="544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0.01×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0.29+</m:t>
                            </m:r>
                            <m:f>
                              <m:f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0.007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0.037×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𝑓𝑗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𝑐𝑜𝑡𝑡𝑜𝑛</m:t>
                                            </m:r>
                                          </m:sub>
                                        </m:sSub>
                                      </m:sup>
                                    </m:s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−1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𝑓𝑗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𝑐𝑜𝑡𝑡𝑜𝑛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4B47DAE-FE55-9067-CC98-962EEAD3D533}"/>
                </a:ext>
              </a:extLst>
            </xdr:cNvPr>
            <xdr:cNvSpPr txBox="1"/>
          </xdr:nvSpPr>
          <xdr:spPr>
            <a:xfrm>
              <a:off x="17982879" y="7073152"/>
              <a:ext cx="3370345" cy="544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(0.01×(0.29+0.007(𝑒^(0.037×𝑁_(𝑓𝑗=𝑐𝑜𝑡𝑡𝑜𝑛) )−1)/𝑁_(𝑓𝑗=𝑐𝑜𝑡𝑡𝑜𝑛) ))×10^(−2)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11</xdr:col>
      <xdr:colOff>304800</xdr:colOff>
      <xdr:row>61</xdr:row>
      <xdr:rowOff>133350</xdr:rowOff>
    </xdr:from>
    <xdr:ext cx="3047693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16E71D4-6A6E-4B5E-BC97-56CE145D218E}"/>
                </a:ext>
              </a:extLst>
            </xdr:cNvPr>
            <xdr:cNvSpPr txBox="1"/>
          </xdr:nvSpPr>
          <xdr:spPr>
            <a:xfrm>
              <a:off x="15897225" y="15373350"/>
              <a:ext cx="3047693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𝑗𝑓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,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sSup>
                                  <m:s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10</m:t>
                                    </m:r>
                                  </m:e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−3</m:t>
                                    </m:r>
                                  </m:sup>
                                </m:sSup>
                              </m:e>
                            </m:d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16E71D4-6A6E-4B5E-BC97-56CE145D218E}"/>
                </a:ext>
              </a:extLst>
            </xdr:cNvPr>
            <xdr:cNvSpPr txBox="1"/>
          </xdr:nvSpPr>
          <xdr:spPr>
            <a:xfrm>
              <a:off x="15897225" y="15373350"/>
              <a:ext cx="3047693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𝐸_𝑁2𝑂=∑8_𝑗▒∑8_𝑓▒((𝑀𝑁_𝑗𝑓×𝐸𝐹_(𝑗,𝑁2𝑂)×𝐶_𝑁2𝑂 )×10^(−3) ) 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104775</xdr:rowOff>
    </xdr:from>
    <xdr:ext cx="1248098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4CA656-6B28-0575-1032-D64942AF2694}"/>
                </a:ext>
              </a:extLst>
            </xdr:cNvPr>
            <xdr:cNvSpPr txBox="1"/>
          </xdr:nvSpPr>
          <xdr:spPr>
            <a:xfrm>
              <a:off x="2681287" y="1971675"/>
              <a:ext cx="124809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𝑈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𝑗𝑓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𝑇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𝑗𝑓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𝑈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4CA656-6B28-0575-1032-D64942AF2694}"/>
                </a:ext>
              </a:extLst>
            </xdr:cNvPr>
            <xdr:cNvSpPr txBox="1"/>
          </xdr:nvSpPr>
          <xdr:spPr>
            <a:xfrm>
              <a:off x="2681287" y="1971675"/>
              <a:ext cx="124809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𝑀𝑈_𝑗𝑓=𝑇𝑀_𝑗𝑓×𝐹𝑈_𝑓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44</xdr:row>
      <xdr:rowOff>19050</xdr:rowOff>
    </xdr:from>
    <xdr:ext cx="3195747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047CA4-BA3A-C23E-A326-33867DB7E1E6}"/>
                </a:ext>
              </a:extLst>
            </xdr:cNvPr>
            <xdr:cNvSpPr txBox="1"/>
          </xdr:nvSpPr>
          <xdr:spPr>
            <a:xfrm>
              <a:off x="2671762" y="11049000"/>
              <a:ext cx="3195747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𝑈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𝑗𝑓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𝑢𝑟𝑒𝑎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,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𝐶𝑂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𝐶𝑂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sSup>
                                  <m:s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10</m:t>
                                    </m:r>
                                  </m:e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−3</m:t>
                                    </m:r>
                                  </m:sup>
                                </m:sSup>
                              </m:e>
                            </m:d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2047CA4-BA3A-C23E-A326-33867DB7E1E6}"/>
                </a:ext>
              </a:extLst>
            </xdr:cNvPr>
            <xdr:cNvSpPr txBox="1"/>
          </xdr:nvSpPr>
          <xdr:spPr>
            <a:xfrm>
              <a:off x="2671762" y="11049000"/>
              <a:ext cx="3195747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𝐸_𝐶𝑂2=∑8_𝑗▒∑8_𝑓▒((𝑀𝑈_𝑗𝑓×𝐸𝐹_(𝑢𝑟𝑒𝑎,𝐶𝑂2)×𝐶_𝐶𝑂2 )×10^(−3) ) 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Old\GAF2-Template-WIP-v30.xlsx" TargetMode="External"/><Relationship Id="rId1" Type="http://schemas.openxmlformats.org/officeDocument/2006/relationships/externalLinkPath" Target="Old/GAF2-Template-WIP-v3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2_ManureManagement_BeefPasture_WIP_v03.xlsx" TargetMode="External"/><Relationship Id="rId1" Type="http://schemas.openxmlformats.org/officeDocument/2006/relationships/externalLinkPath" Target="4_2_ManureManagement_BeefPasture_WIP_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- MMS - Feedlot"/>
      <sheetName val="Calcs - CH4 MMS Feedlot"/>
      <sheetName val="Input - MMS - Poultry"/>
      <sheetName val="Calcs - CH4 MMS Poultry"/>
      <sheetName val="Input - Herd - Swine"/>
      <sheetName val="Input - MMS - Swine"/>
      <sheetName val="Calcs - CH4 MMS Swine"/>
      <sheetName val="Tab template"/>
      <sheetName val="Results"/>
      <sheetName val="Input - Site"/>
      <sheetName val="Input - Production"/>
      <sheetName val="Input - Herd - Dairy"/>
      <sheetName val="Input - Feed - Dairy"/>
      <sheetName val="Input - Herd - Feedlot"/>
      <sheetName val="Input - Grains"/>
      <sheetName val="Input - Pasture"/>
      <sheetName val="Input - Fert Lime Chem"/>
      <sheetName val="Input - Fuel &amp; Energy"/>
      <sheetName val="Input - Other Farm Inputs"/>
      <sheetName val="Input - Aquaculture"/>
      <sheetName val="Input - Data Quality"/>
      <sheetName val="Input - LULUCF"/>
      <sheetName val="Calcs - Fert Lime"/>
      <sheetName val="Calcs - Residue mgmt - Crop"/>
      <sheetName val="Calcs - Residue mgmt - Pasture"/>
      <sheetName val="Calcs - Field burning"/>
      <sheetName val="Calcs - Fuel"/>
      <sheetName val="Calcs - Electricity"/>
      <sheetName val="Calcs - Refrigerants"/>
      <sheetName val="Calcs - Scope 3"/>
      <sheetName val="Constants - Common"/>
      <sheetName val="Constants - Cropping"/>
      <sheetName val="Constants - Livestock"/>
      <sheetName val="Constants - Dairy"/>
      <sheetName val="Constants - Feedlot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">
          <cell r="E12">
            <v>100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Pasture Beef"/>
      <sheetName val="4.2.1.1-2 Methane"/>
      <sheetName val="4.2.1.3-4 Soil direct N20"/>
      <sheetName val="4.2.1.5-6 Soil Atmos Dep"/>
      <sheetName val="4.2.1.7-8 Soil leach runoff"/>
      <sheetName val="Constants - Pature Beef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673927C-FAF3-425F-8E58-192CAB5E17D4}" name="Table_Input_InorganicFertiliser_Brands" displayName="Table_Input_InorganicFertiliser_Brands" ref="D17:T18" headerRowDxfId="67" dataDxfId="65" totalsRowDxfId="66">
  <autoFilter ref="D17:T18" xr:uid="{5673927C-FAF3-425F-8E58-192CAB5E17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2" xr3:uid="{D8E438D7-21E3-48DD-9144-E15C10C5819E}" name="Product (select)" dataDxfId="84" totalsRowDxfId="95" dataCellStyle="Input select"/>
    <tableColumn id="23" xr3:uid="{59B08BC3-EF27-48EB-BCEA-84F2987787EF}" name="Amount applied (kg / ha)" totalsRowFunction="custom" dataDxfId="83" totalsRowDxfId="94">
      <totalsRowFormula>SUM(Table_Input_InorganicFertiliser_Brands[[#Headers],[#Data],[Amount applied (kg / ha)]])</totalsRowFormula>
    </tableColumn>
    <tableColumn id="6" xr3:uid="{6844C17C-E015-4F91-924B-1E5867E2DFCF}" name="Application area (ha)" dataDxfId="82" totalsRowDxfId="93">
      <calculatedColumnFormula>$E$9</calculatedColumnFormula>
    </tableColumn>
    <tableColumn id="1" xr3:uid="{3BF774D0-ADA2-40B3-9242-8DFBBB9443B7}" name="Total applied (kg)" dataDxfId="81" totalsRowDxfId="92" dataCellStyle="Input number general calculated">
      <calculatedColumnFormula>Table_Input_InorganicFertiliser_Brands[[#This Row],[Amount applied (kg / ha)]]*Table_Input_InorganicFertiliser_Brands[[#This Row],[Application area (ha)]]</calculatedColumnFormula>
    </tableColumn>
    <tableColumn id="3" xr3:uid="{F58E0D71-91B7-42EC-AE70-0662CA20A4A0}" name="Ingredient 1" dataDxfId="80" totalsRowDxfId="91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1]], FertiliserProducts[#Data], FertiliserProducts[Product], FertiliserProducts[#Headers])</calculatedColumnFormula>
    </tableColumn>
    <tableColumn id="4" xr3:uid="{E044E44D-94BE-4206-90A4-BA1AC9629175}" name="Ingredient 1 percent" dataDxfId="79" totalsRowDxfId="90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1 percent]], FertiliserProducts[#Data], FertiliserProducts[Product], FertiliserProducts[#Headers])</calculatedColumnFormula>
    </tableColumn>
    <tableColumn id="7" xr3:uid="{658506A8-773F-406D-BF6E-4A595EC2B83E}" name="Ingredient 2" dataDxfId="78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2]], FertiliserProducts[#Data], FertiliserProducts[Product], FertiliserProducts[#Headers])</calculatedColumnFormula>
    </tableColumn>
    <tableColumn id="8" xr3:uid="{14C6792D-E1B3-4C47-95A3-750975538DDF}" name="Ingredient 2 percent" dataDxfId="77" totalsRowDxfId="89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2 percent]], FertiliserProducts[#Data], FertiliserProducts[Product], FertiliserProducts[#Headers])</calculatedColumnFormula>
    </tableColumn>
    <tableColumn id="10" xr3:uid="{AAA6B0A4-09BF-4E94-A9FE-688D347CF7F0}" name="Ingredient 3" dataDxfId="76" totalsRowDxfId="88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3]], FertiliserProducts[#Data], FertiliserProducts[Product], FertiliserProducts[#Headers])</calculatedColumnFormula>
    </tableColumn>
    <tableColumn id="11" xr3:uid="{A67D8906-DD6A-480D-A8F6-E0E2FD65B673}" name="Ingredient 3 percent" dataDxfId="75" totalsRowDxfId="87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3 percent]], FertiliserProducts[#Data], FertiliserProducts[Product], FertiliserProducts[#Headers])</calculatedColumnFormula>
    </tableColumn>
    <tableColumn id="13" xr3:uid="{239B3315-A1C7-4286-B68A-3639868C0EF9}" name="Ingredient 4" dataDxfId="74" totalsRowDxfId="86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4]], FertiliserProducts[#Data], FertiliserProducts[Product], FertiliserProducts[#Headers])</calculatedColumnFormula>
    </tableColumn>
    <tableColumn id="14" xr3:uid="{E99F178D-5310-4698-B219-B1950B041870}" name="Ingredient 4 percent" dataDxfId="73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4 percent]], FertiliserProducts[#Data], FertiliserProducts[Product], FertiliserProducts[#Headers])</calculatedColumnFormula>
    </tableColumn>
    <tableColumn id="16" xr3:uid="{3E5AE9CD-D391-4137-B063-ACC476CDF5C0}" name="Ingredient 5" dataDxfId="72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5]], FertiliserProducts[#Data], FertiliserProducts[Product], FertiliserProducts[#Headers])</calculatedColumnFormula>
    </tableColumn>
    <tableColumn id="17" xr3:uid="{7C4F06C2-A537-435A-A087-76B91A9DF178}" name="Ingredient 5 percent" dataDxfId="71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5 percent]], FertiliserProducts[#Data], FertiliserProducts[Product], FertiliserProducts[#Headers])</calculatedColumnFormula>
    </tableColumn>
    <tableColumn id="19" xr3:uid="{F29E9025-612B-444E-ABC6-F122293B67EE}" name="Ingredient 6" dataDxfId="70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6]], FertiliserProducts[#Data], FertiliserProducts[Product], FertiliserProducts[#Headers])</calculatedColumnFormula>
    </tableColumn>
    <tableColumn id="20" xr3:uid="{890ECB12-1799-4587-AABE-EB26A9F59082}" name="Ingredient 6 percent" dataDxfId="69" dataCellStyle="Input number general calculated">
      <calculatedColumnFormula array="1">Fertiliser_InputFunctions.Fertiliser_FertiliserProductLookup(Table_Input_InorganicFertiliser_Brands[[#This Row],[Product (select)]], Table_Input_InorganicFertiliser_Brands[[#Headers],[Ingredient 6 percent]], FertiliserProducts[#Data], FertiliserProducts[Product], FertiliserProducts[#Headers])</calculatedColumnFormula>
    </tableColumn>
    <tableColumn id="5" xr3:uid="{79855DE6-CD57-4A4D-9E7A-DBDBAC0C93A1}" name="N application rate (kg/ha)" dataDxfId="68" totalsRowDxfId="85" dataCellStyle="Input number general calculated">
      <calculatedColumnFormula>Table_Input_InorganicFertiliser_Brands[[#This Row],[Amount applied (kg / ha)]]*(IFERROR((_xlfn.XLOOKUP(Table_Input_InorganicFertiliser_Brands[[#This Row],[Ingredient 1]], Table_Fertiliser_ChemicalCompounds[Fertiliser type f],Table_Fertiliser_ChemicalCompounds[FNinorganic f])*Table_Input_InorganicFertiliser_Brands[[#This Row],[Ingredient 1 percent]]), 0)+
IFERROR((_xlfn.XLOOKUP(Table_Input_InorganicFertiliser_Brands[[#This Row],[Ingredient 2]],Table_Fertiliser_ChemicalCompounds[Fertiliser type f],Table_Fertiliser_ChemicalCompounds[FNinorganic f])*Table_Input_InorganicFertiliser_Brands[[#This Row],[Ingredient 2 percent]]), 0)+
IFERROR((_xlfn.XLOOKUP(Table_Input_InorganicFertiliser_Brands[[#This Row],[Ingredient 3]],Table_Fertiliser_ChemicalCompounds[Fertiliser type f],Table_Fertiliser_ChemicalCompounds[FNinorganic f])*Table_Input_InorganicFertiliser_Brands[[#This Row],[Ingredient 3 percent]]), 0)+
IFERROR((_xlfn.XLOOKUP(Table_Input_InorganicFertiliser_Brands[[#This Row],[Ingredient 4]],Table_Fertiliser_ChemicalCompounds[Fertiliser type f],Table_Fertiliser_ChemicalCompounds[FNinorganic f])*Table_Input_InorganicFertiliser_Brands[[#This Row],[Ingredient 4 percent]]), 0)+
IFERROR((_xlfn.XLOOKUP(Table_Input_InorganicFertiliser_Brands[[#This Row],[Ingredient 5]],Table_Fertiliser_ChemicalCompounds[Fertiliser type f],Table_Fertiliser_ChemicalCompounds[FNinorganic f])*Table_Input_InorganicFertiliser_Brands[[#This Row],[Ingredient 5 percent]]), 0)+
IFERROR((_xlfn.XLOOKUP(Table_Input_InorganicFertiliser_Brands[[#This Row],[Ingredient 6]],Table_Fertiliser_ChemicalCompounds[Fertiliser type f],Table_Fertiliser_ChemicalCompounds[FNinorganic f])*Table_Input_InorganicFertiliser_Brands[[#This Row],[Ingredient 6 percent]]), 0))</calculatedColumnFormula>
    </tableColumn>
  </tableColumns>
  <tableStyleInfo name="Editable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024A338-4140-4535-9AA6-449DA88B1C2C}" name="Table_Input_InorganicFertiliser_Custom" displayName="Table_Input_InorganicFertiliser_Custom" ref="D22:P23" totalsRowShown="0" headerRowDxfId="63" dataDxfId="62">
  <autoFilter ref="D22:P23" xr:uid="{6024A338-4140-4535-9AA6-449DA88B1C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5F1DF07-A1A2-4FA2-8A3F-B3BE5D6FA2EF}" name="Custom blend name" dataCellStyle="Input text"/>
    <tableColumn id="2" xr3:uid="{7C7F2F97-8F52-4B32-ADCE-CCF50441D95B}" name="Amount applied (kg / ha)" dataDxfId="58"/>
    <tableColumn id="3" xr3:uid="{7EF8A17B-D965-4D18-A7A2-D90F9F680015}" name="Application area (ha)" dataDxfId="59" dataCellStyle="Input number 2 decimal places">
      <calculatedColumnFormula>$E$9</calculatedColumnFormula>
    </tableColumn>
    <tableColumn id="4" xr3:uid="{B5004E38-6D68-4E13-BED4-CB556D548532}" name="Total applied (kg)" dataDxfId="61" dataCellStyle="Input number general calculated">
      <calculatedColumnFormula>Table_Input_InorganicFertiliser_Custom[[#This Row],[Amount applied (kg / ha)]]*Table_Input_InorganicFertiliser_Custom[[#This Row],[Application area (ha)]]</calculatedColumnFormula>
    </tableColumn>
    <tableColumn id="5" xr3:uid="{412210B2-0F3E-4380-B533-FB2A32DCF46E}" name="Ingredient 1 (select)" dataDxfId="57" dataCellStyle="Input select"/>
    <tableColumn id="6" xr3:uid="{E4FC8E72-0059-40E6-A5E8-C29893BBF371}" name="Ingredient 1 percent" dataDxfId="56"/>
    <tableColumn id="8" xr3:uid="{3568E299-41D5-4DA4-822C-91EFC2C68B68}" name="Ingredient 2" dataDxfId="55" dataCellStyle="Input select"/>
    <tableColumn id="9" xr3:uid="{9DFD8E7A-8101-4927-89BF-3E994EB31F96}" name="Ingredient 2 percent" dataDxfId="54"/>
    <tableColumn id="11" xr3:uid="{A7F2C8C6-1FC3-42D4-A36B-254F6E195571}" name="Ingredient 3" dataDxfId="53" dataCellStyle="Input select"/>
    <tableColumn id="12" xr3:uid="{43F6AA9D-3E97-4BA6-8E27-81AE530E1428}" name="Ingredient 3 percent" dataDxfId="51"/>
    <tableColumn id="14" xr3:uid="{AAE79728-DB2A-45E8-B9AB-496D82682D02}" name="Ingredient 4" dataDxfId="52" dataCellStyle="Input select"/>
    <tableColumn id="15" xr3:uid="{48BA5E25-4596-49E4-8F81-BC0D52974ECA}" name="Ingredient 4 percent" dataDxfId="60" dataCellStyle="Input number general calculated"/>
    <tableColumn id="7" xr3:uid="{8A68B805-7FB6-49A9-B9BB-58ADF30E43B7}" name="N application rate (kg/ha)" dataDxfId="64" dataCellStyle="Input number general calculated">
      <calculatedColumnFormula>Table_Input_InorganicFertiliser_Custom[[#This Row],[Amount applied (kg / ha)]]*
(IFERROR((_xlfn.XLOOKUP(Table_Input_InorganicFertiliser_Custom[[#This Row],[Ingredient 1 (select)]], Table_Fertiliser_ChemicalCompounds[Fertiliser type f],Table_Fertiliser_ChemicalCompounds[FNinorganic f])*Table_Input_InorganicFertiliser_Custom[[#This Row],[Ingredient 1 percent]]), 0) +
IFERROR((_xlfn.XLOOKUP(Table_Input_InorganicFertiliser_Custom[[#This Row],[Ingredient 2]], Table_Fertiliser_ChemicalCompounds[Fertiliser type f],Table_Fertiliser_ChemicalCompounds[FNinorganic f])*Table_Input_InorganicFertiliser_Custom[[#This Row],[Ingredient 2 percent]]), 0) +
IFERROR((_xlfn.XLOOKUP(Table_Input_InorganicFertiliser_Custom[[#This Row],[Ingredient 3]], Table_Fertiliser_ChemicalCompounds[Fertiliser type f],Table_Fertiliser_ChemicalCompounds[FNinorganic f])*Table_Input_InorganicFertiliser_Custom[[#This Row],[Ingredient 3 percent]]), 0) +
IFERROR((_xlfn.XLOOKUP(Table_Input_InorganicFertiliser_Custom[[#This Row],[Ingredient 4]], Table_Fertiliser_ChemicalCompounds[Fertiliser type f],Table_Fertiliser_ChemicalCompounds[FNinorganic f])*Table_Input_InorganicFertiliser_Custom[[#This Row],[Ingredient 4 percent]]), 0)
)</calculatedColumnFormula>
    </tableColumn>
  </tableColumns>
  <tableStyleInfo name="Editable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C84B33D-ED8D-4C1D-B319-1B5D2D0181A1}" name="Table_Input_Lime" displayName="Table_Input_Lime" ref="D31:L32" totalsRowShown="0" headerRowDxfId="41" dataDxfId="40" headerRowCellStyle="Input table column header">
  <autoFilter ref="D31:L32" xr:uid="{2C84B33D-ED8D-4C1D-B319-1B5D2D0181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2EBE8C9-DDAA-458C-A7AA-DCB847581DFF}" name="Product" dataDxfId="50"/>
    <tableColumn id="2" xr3:uid="{B4EAD8A0-4563-4BA4-8C32-F444D747B623}" name="Amount applied (t/hectare)" dataDxfId="49"/>
    <tableColumn id="4" xr3:uid="{AEB6AB68-6478-4B2B-9B85-2B6FAFAF4B19}" name="Application area (ha)" dataDxfId="48">
      <calculatedColumnFormula>'[1]Input - Pasture'!$E$12</calculatedColumnFormula>
    </tableColumn>
    <tableColumn id="3" xr3:uid="{CB52F796-ECF9-4D56-B08E-72C1A090ECED}" name="Total amount applied (t)" dataDxfId="47" dataCellStyle="Input number general calculated">
      <calculatedColumnFormula>IFERROR(Table_Input_Lime[[#This Row],[Amount applied (t/hectare)]]*Table_Input_Lime[[#This Row],[Application area (ha)]], 0)</calculatedColumnFormula>
    </tableColumn>
    <tableColumn id="6" xr3:uid="{463C4932-5481-444B-B89A-91DEAB645D48}" name="Percent Lime CaCO3" dataDxfId="46"/>
    <tableColumn id="8" xr3:uid="{E6AC5B83-E41F-4CA3-8CB5-DAE2C8D31386}" name="Percent Dolomite CaMg(CO3)2" dataDxfId="45"/>
    <tableColumn id="5" xr3:uid="{9E9BD61A-5A29-40F7-9923-A8D01F2E60C5}" name="Percent Lime Sand CaCO3" dataDxfId="44"/>
    <tableColumn id="7" xr3:uid="{C2FA7C98-73DF-4B0B-9D0B-AF335608BA35}" name="Percent Gypsum" dataDxfId="43"/>
    <tableColumn id="9" xr3:uid="{B7176A02-8377-4825-B7A1-ECCC697302EA}" name="Percent Potash" dataDxfId="42"/>
  </tableColumns>
  <tableStyleInfo name="Editable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424D04C-9CD1-4344-A611-A0F26AAC6A09}" name="Table_Input_OrganicFertiliser" displayName="Table_Input_OrganicFertiliser" ref="D40:K41" totalsRowShown="0" headerRowDxfId="31" dataDxfId="30" headerRowCellStyle="Input table column header">
  <autoFilter ref="D40:K41" xr:uid="{1424D04C-9CD1-4344-A611-A0F26AAC6A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A0150C9-E95C-4634-ACAA-18237EE0F81C}" name="Organic fertiliser type (select)" dataDxfId="39" dataCellStyle="Input select"/>
    <tableColumn id="6" xr3:uid="{2FFB48C1-DA8E-477A-A3A8-09E889FE7E8C}" name="Source (select)" dataDxfId="38" dataCellStyle="Input select"/>
    <tableColumn id="5" xr3:uid="{A4835DDC-D01F-4121-BA81-061BD582AD81}" name="Percentage of N in fertiliser" dataDxfId="37"/>
    <tableColumn id="2" xr3:uid="{78F23607-4221-4C96-AE58-1738D148B281}" name="Amount applied (kg/hectare)" dataDxfId="36"/>
    <tableColumn id="11" xr3:uid="{743E34BE-5366-4C2E-A066-60503FC1C110}" name="Amount N applied (kg/hectare)" dataDxfId="35" dataCellStyle="Input number general calculated">
      <calculatedColumnFormula>Table_Input_OrganicFertiliser[[#This Row],[Amount applied (kg/hectare)]]*Table_Input_OrganicFertiliser[[#This Row],[Percentage of N in fertiliser]]</calculatedColumnFormula>
    </tableColumn>
    <tableColumn id="4" xr3:uid="{B88F455B-D8D9-4441-954D-CD168CA9D851}" name="Application area (ha)" dataDxfId="34">
      <calculatedColumnFormula>'[1]Input - Pasture'!$E$12</calculatedColumnFormula>
    </tableColumn>
    <tableColumn id="7" xr3:uid="{7CBB769C-0807-447F-BE25-34DAD65EC446}" name="Total organic fertliser applied" dataDxfId="33" dataCellStyle="Input number general calculated">
      <calculatedColumnFormula>Table_Input_OrganicFertiliser[[#This Row],[Amount applied (kg/hectare)]]*Table_Input_OrganicFertiliser[[#This Row],[Application area (ha)]]</calculatedColumnFormula>
    </tableColumn>
    <tableColumn id="3" xr3:uid="{1F74E9BE-0840-40F9-B7FF-8F62A4E651FA}" name="Total nitrogen applied (kg)" dataDxfId="32" dataCellStyle="Input number general calculated">
      <calculatedColumnFormula>IFERROR(Table_Input_OrganicFertiliser[[#This Row],[Amount N applied (kg/hectare)]]*Table_Input_OrganicFertiliser[[#This Row],[Application area (ha)]], 0)</calculatedColumnFormula>
    </tableColumn>
  </tableColumns>
  <tableStyleInfo name="Editable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DD19F-CBC4-42A0-AD7E-F034180A8AA9}" name="Table_Fertiliser_ChemicalCompounds" displayName="Table_Fertiliser_ChemicalCompounds" ref="D16:I34" totalsRowShown="0">
  <autoFilter ref="D16:I34" xr:uid="{C62DD19F-CBC4-42A0-AD7E-F034180A8A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4C01E3-2923-4F94-8346-41D989BDE40D}" name="Fertiliser type f">
      <calculatedColumnFormula array="1">Common_InputFunctions.Utility_DisplayArrayInTable(Fertiliser_SourceData.Fertiliser_ChemicalCompoundElements_Data(),Table_Fertiliser_ChemicalCompounds[[#Headers],[Fertiliser type f]], 0)</calculatedColumnFormula>
    </tableColumn>
    <tableColumn id="2" xr3:uid="{72E07C71-DD8D-4126-8655-0AFD44FCC6AB}" name="FNinorganic f">
      <calculatedColumnFormula array="1">Common_InputFunctions.Utility_DisplayArrayInTable(Fertiliser_SourceData.Fertiliser_ChemicalCompoundElements_Data(),Table_Fertiliser_ChemicalCompounds[[#Headers],[Fertiliser type f]], 0)</calculatedColumnFormula>
    </tableColumn>
    <tableColumn id="3" xr3:uid="{30037BC3-4142-4B1B-B7E0-8A23D8ADC7CE}" name="FU f">
      <calculatedColumnFormula array="1">Common_InputFunctions.Utility_DisplayArrayInTable(Fertiliser_SourceData.Fertiliser_ChemicalCompoundElements_Data(),Table_Fertiliser_ChemicalCompounds[[#Headers],[Fertiliser type f]], 0)</calculatedColumnFormula>
    </tableColumn>
    <tableColumn id="4" xr3:uid="{EAEC1FB5-77BC-47F7-AAD2-E4475E63C604}" name="Basis">
      <calculatedColumnFormula array="1">Common_InputFunctions.Utility_DisplayArrayInTable(Fertiliser_SourceData.Fertiliser_ChemicalCompoundElements_Data(),Table_Fertiliser_ChemicalCompounds[[#Headers],[Fertiliser type f]], 0)</calculatedColumnFormula>
    </tableColumn>
    <tableColumn id="5" xr3:uid="{10C0FE6E-3C31-41D7-A8E3-A5873BBFAF53}" name="Lifecycles Scope 3 definition">
      <calculatedColumnFormula array="1">Common_InputFunctions.Utility_DisplayArrayInTable(Fertiliser_SourceData.Fertiliser_ChemicalCompoundElements_Data(),Table_Fertiliser_ChemicalCompounds[[#Headers],[Fertiliser type f]], 0)</calculatedColumnFormula>
    </tableColumn>
    <tableColumn id="6" xr3:uid="{DBEA0D9E-021A-42DD-879C-0FE0921BFAA5}" name="Source">
      <calculatedColumnFormula array="1">Common_InputFunctions.Utility_DisplayArrayInTable(Fertiliser_SourceData.Fertiliser_ChemicalCompoundElements_Data(),Table_Fertiliser_ChemicalCompounds[[#Headers],[Fertiliser type f]],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F03620B-9968-447A-A13F-E60FF3C81E47}" name="FertiliserProducts" displayName="FertiliserProducts" ref="D57:W162" totalsRowShown="0" headerRowDxfId="182" dataDxfId="181">
  <autoFilter ref="D57:W162" xr:uid="{CF03620B-9968-447A-A13F-E60FF3C81E47}"/>
  <tableColumns count="20">
    <tableColumn id="1" xr3:uid="{A3F0E066-456E-4CE4-AA6E-2432945E94BE}" name="Product" dataDxfId="180" totalsRowDxfId="179"/>
    <tableColumn id="2" xr3:uid="{A1127254-05BE-4396-ABB5-A675D872078F}" name="Ingredient 1" dataDxfId="178" totalsRowDxfId="177"/>
    <tableColumn id="3" xr3:uid="{38D957B7-EEA5-463D-BDB3-85B9FFD5BAA7}" name="Ingredient 1 percent" dataDxfId="176" totalsRowDxfId="175"/>
    <tableColumn id="4" xr3:uid="{B66302A1-05EA-480E-AA2A-DA54BBD38A46}" name="Ingredient 1 source" dataDxfId="174" totalsRowDxfId="173"/>
    <tableColumn id="5" xr3:uid="{1DD9CD43-0FC6-467F-B81B-17F2B18D92A6}" name="Ingredient 2" dataDxfId="172" totalsRowDxfId="171"/>
    <tableColumn id="6" xr3:uid="{2726F29B-265E-4968-9BDB-0822F320EC19}" name="Ingredient 2 percent" dataDxfId="170" totalsRowDxfId="169"/>
    <tableColumn id="7" xr3:uid="{BF1AF56A-2845-4920-860F-B10A736587C1}" name="Ingredient 2 source" dataDxfId="168" totalsRowDxfId="167"/>
    <tableColumn id="8" xr3:uid="{E2EDC11B-C8E4-42A8-A90F-976309289390}" name="Ingredient 3" dataDxfId="166" totalsRowDxfId="165"/>
    <tableColumn id="9" xr3:uid="{24252A97-7709-44EA-ABC3-5F607CC0348F}" name="Ingredient 3 percent" dataDxfId="164" totalsRowDxfId="163"/>
    <tableColumn id="10" xr3:uid="{11AF6B47-3A72-4D46-9A4D-BBF30EC4193E}" name="Ingredient 3 source" dataDxfId="162" totalsRowDxfId="161"/>
    <tableColumn id="11" xr3:uid="{0AAFCB45-5C80-4123-8736-D764334BFDB4}" name="Ingredient 4" dataDxfId="160" totalsRowDxfId="159"/>
    <tableColumn id="12" xr3:uid="{1191C429-7048-41F0-B9F1-7F3F733CF190}" name="Ingredient 4 percent" dataDxfId="158" totalsRowDxfId="157"/>
    <tableColumn id="13" xr3:uid="{FA476FFC-F776-4F53-9E0E-72EDBA1D1AE9}" name="Ingredient 4 source" dataDxfId="156" totalsRowDxfId="155"/>
    <tableColumn id="14" xr3:uid="{659EB097-21AA-48F2-ABBA-84390DA814E8}" name="Ingredient 5" dataDxfId="154" totalsRowDxfId="153"/>
    <tableColumn id="15" xr3:uid="{41225C63-628E-47D6-9916-54724FB26AA0}" name="Ingredient 5 percent" dataDxfId="152" totalsRowDxfId="151"/>
    <tableColumn id="16" xr3:uid="{5CC4BD9F-F4DC-4AFB-B330-906140042C26}" name="Ingredient 5 source" dataDxfId="150" totalsRowDxfId="149"/>
    <tableColumn id="17" xr3:uid="{C8419B25-8A41-4C9D-9C06-4A39DBA4FAEA}" name="Ingredient 6" dataDxfId="148" totalsRowDxfId="147"/>
    <tableColumn id="18" xr3:uid="{E02EF3B5-039F-4565-B2D4-9A23C40746B9}" name="Ingredient 6 percent" dataDxfId="146" totalsRowDxfId="145"/>
    <tableColumn id="19" xr3:uid="{AC8B170D-2E32-4FB7-BD07-9CD91A23BA09}" name="Ingredient 6 source" dataDxfId="144" totalsRowDxfId="143"/>
    <tableColumn id="37" xr3:uid="{D87106C6-8480-4F48-8501-41D31D7A5FF8}" name="Product info link" dataDxfId="142" totalsRowDxfId="141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A6279EA-7DA2-46FA-80C0-81926E3CFC51}" name="Table_SourceData_Fertiliser_FracGASF" displayName="Table_SourceData_Fertiliser_FracGASF" ref="D47:E52" totalsRowShown="0">
  <autoFilter ref="D47:E52" xr:uid="{BA6279EA-7DA2-46FA-80C0-81926E3CFC51}">
    <filterColumn colId="0" hiddenButton="1"/>
    <filterColumn colId="1" hiddenButton="1"/>
  </autoFilter>
  <tableColumns count="2">
    <tableColumn id="1" xr3:uid="{19E09D05-8D4E-4AE2-8358-E4A5E671DAF1}" name="Fertiliser type f">
      <calculatedColumnFormula array="1">Common_InputFunctions.Utility_DisplayArrayInTable(Fertiliser_SourceData.Fertiliser_FracGASF_Data(), Table_SourceData_Fertiliser_FracGASF[[#Headers],[Fertiliser type f]], 0)</calculatedColumnFormula>
    </tableColumn>
    <tableColumn id="2" xr3:uid="{DA8F3147-84CA-4496-93BC-D8C87A2057DC}" name="FracGASF f" dataDxfId="140" dataCellStyle="Content normal">
      <calculatedColumnFormula array="1">Common_InputFunctions.Utility_DisplayArrayInTable(Fertiliser_SourceData.Fertiliser_FracGASF_Data(), Table_SourceData_Fertiliser_FracGASF[[#Headers],[Fertiliser type f]],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4F3A11E-40F5-4BB9-BFF4-A71FA2ADA0EF}" name="Table_SourceData_Fertiliser_CropProdSystems" displayName="Table_SourceData_Fertiliser_CropProdSystems" ref="D39:D41" totalsRowShown="0">
  <autoFilter ref="D39:D41" xr:uid="{24F3A11E-40F5-4BB9-BFF4-A71FA2ADA0EF}"/>
  <tableColumns count="1">
    <tableColumn id="1" xr3:uid="{E0B29DD2-DF66-45FE-971C-A5602D100E6D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754DF9-B9B7-4777-A419-208519289931}" name="Table_SourceData_Fertiliser_IrrigationMethods" displayName="Table_SourceData_Fertiliser_IrrigationMethods" ref="H39:H44" totalsRowShown="0">
  <autoFilter ref="H39:H44" xr:uid="{B6754DF9-B9B7-4777-A419-208519289931}"/>
  <tableColumns count="1">
    <tableColumn id="1" xr3:uid="{A7BA260A-A23A-44C9-AF41-8341440492AC}" name="Irrigation method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B5044B5-FA3C-4AA2-B1AB-72F7E61D072F}" name="Table_SourceData_Fertiliser_CropTypes" displayName="Table_SourceData_Fertiliser_CropTypes" ref="F39:F43" totalsRowShown="0">
  <autoFilter ref="F39:F43" xr:uid="{CB5044B5-FA3C-4AA2-B1AB-72F7E61D072F}">
    <filterColumn colId="0" hiddenButton="1"/>
  </autoFilter>
  <tableColumns count="1">
    <tableColumn id="1" xr3:uid="{EAFA6706-EC03-46CB-966D-E46F556BEEFE}" name="Production system"/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EBB88F-78E2-4301-A115-5D57142F74BA}" name="Table_SourceData_Poultry_DietProperties" displayName="Table_SourceData_Poultry_DietProperties" ref="D8:H13" totalsRowShown="0">
  <autoFilter ref="D8:H13" xr:uid="{C0EBB88F-78E2-4301-A115-5D57142F74BA}"/>
  <tableColumns count="5">
    <tableColumn id="1" xr3:uid="{C87DC6D9-335D-4EE2-BBEC-7AD45CC183B5}" name="Nutrient analysis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2" xr3:uid="{57461AF5-0667-4FCB-8332-88C8FE7F18B5}" name="Layers" dataDxfId="139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3" xr3:uid="{BBD63E84-AE9F-4272-BEE7-379028D818EB}" name="Meat chicken growers" dataDxfId="138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4" xr3:uid="{20F9064F-204E-49AA-B166-1040B3B7326B}" name="Meat chicken breeder" dataDxfId="137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5" xr3:uid="{B7F00411-E5E4-487B-81BB-C26564C09F24}" name="Meat other" dataDxfId="136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337049C-2437-4EFA-AAFD-35A825C8877D}" name="Table_SourceData_Poultry_MethaneEmissionsPotential" displayName="Table_SourceData_Poultry_MethaneEmissionsPotential" ref="D19:E21" totalsRowShown="0">
  <autoFilter ref="D19:E21" xr:uid="{B337049C-2437-4EFA-AAFD-35A825C8877D}"/>
  <tableColumns count="2">
    <tableColumn id="1" xr3:uid="{DEBB59A0-CAC2-4DEA-9982-17651E388A17}" name="Poultry class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  <tableColumn id="2" xr3:uid="{920E8514-DD22-464B-9DB6-900D6A99CD4D}" name="B0" dataDxfId="135" dataCellStyle="Content normal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F7090B5-6718-41B7-9B26-A00EDB46BAC3}" name="Table_SourceData_PoultryMMS" displayName="Table_SourceData_PoultryMMS" ref="D28:E38" totalsRowShown="0">
  <autoFilter ref="D28:E38" xr:uid="{AF7090B5-6718-41B7-9B26-A00EDB46BAC3}"/>
  <tableColumns count="2">
    <tableColumn id="1" xr3:uid="{47CF50D5-E766-4A0D-8070-E14082E43836}" name="MMS"/>
    <tableColumn id="2" xr3:uid="{EABA1EC1-40EE-4DB0-9429-6D402A5B5F90}" name="Symbol and MMS" dataDxfId="134" dataCellStyle="Content normal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10106E-36C6-489E-8962-5DE08C5F2EAC}" name="Table_SourceData_Poultry_ProductionSystems" displayName="Table_SourceData_Poultry_ProductionSystems" ref="D44:D47" totalsRowShown="0">
  <autoFilter ref="D44:D47" xr:uid="{5810106E-36C6-489E-8962-5DE08C5F2EAC}"/>
  <tableColumns count="1">
    <tableColumn id="1" xr3:uid="{F1CB7D97-90DF-41BF-87CB-E70D8254376B}" name="Production system">
      <calculatedColumnFormula array="1">Common_InputFunctions.Utility_DisplayArrayInTable(SourceData_Poultry.SourceData_Poultry_ProductionSystems_Data(), Table_SourceData_Poultry_ProductionSystems[[#Headers],[Production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26BAEA5-5A43-49B7-A0AB-1CF0D30AA767}" name="Table_SourceData_Poultry_MMSMCF" displayName="Table_SourceData_Poultry_MMSMCF" ref="D59:N68" totalsRowShown="0">
  <autoFilter ref="D59:N68" xr:uid="{F26BAEA5-5A43-49B7-A0AB-1CF0D30AA767}"/>
  <tableColumns count="11">
    <tableColumn id="1" xr3:uid="{E7FEC0DD-5366-4EB8-BE39-F19E084CE3E5}" name="MMS m">
      <calculatedColumnFormula array="1">Common_InputFunctions.Utility_DisplayArrayInTable(SourceData_Poultry.SourceData_Poultry_MCF_Data(), Table_SourceData_Poultry_MMSMCF[[#Headers],[MMS m]], 0)</calculatedColumnFormula>
    </tableColumn>
    <tableColumn id="2" xr3:uid="{269563D6-D06B-469F-866D-B00E1ED1865F}" name="All states" dataDxfId="133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3" xr3:uid="{7C7AFB2F-9F78-49C3-824F-3F0C9D5E1146}" name="NSW" dataDxfId="132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4" xr3:uid="{8F6C8F7B-16F4-4119-9CD6-B9D7410A1058}" name="ACT" dataDxfId="131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5" xr3:uid="{35DF7A08-4598-4E85-8418-B56B47561C03}" name="QLD" dataDxfId="130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6" xr3:uid="{0B5D1F9A-8137-494F-B4FA-06AEED00BE12}" name="NT" dataDxfId="129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7" xr3:uid="{20E75A60-87D5-4323-B301-DFEBFE0A70D0}" name="VIC" dataDxfId="128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8" xr3:uid="{704B2AB5-8F76-4A6E-BC83-4EE3CB8F0CD9}" name="SA" dataDxfId="127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9" xr3:uid="{DCEEC972-73B0-4C14-9A4D-FCB373657CEB}" name="WA" dataDxfId="126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0" xr3:uid="{94C744BC-E6D5-4FB2-974B-2F4DFD6F4EFB}" name="TAS" dataDxfId="125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1" xr3:uid="{F98C8970-3F12-428D-A15A-417E592F316E}" name="NIR definition" dataDxfId="124" dataCellStyle="Content normal">
      <calculatedColumnFormula array="1">Common_InputFunctions.Utility_DisplayArrayInTable(SourceData_Poultry.SourceData_Poultry_MCF_Data(), Table_SourceData_Poultry_MMSMCF[[#Headers],[MMS m]],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EE6EA5E-2B4D-4BFE-9875-EACD468C453A}" name="Table_SourceData_PoultryMMSSTage1" displayName="Table_SourceData_PoultryMMSSTage1" ref="G28:H33" totalsRowShown="0">
  <autoFilter ref="G28:H33" xr:uid="{DEE6EA5E-2B4D-4BFE-9875-EACD468C453A}"/>
  <tableColumns count="2">
    <tableColumn id="1" xr3:uid="{4E5C4C69-995C-42D1-BBE3-542B0FF491A1}" name="MMS"/>
    <tableColumn id="2" xr3:uid="{8B69BB2A-335F-47C5-9D1B-E4F564913CD2}" name="Symbol and MMS" dataDxfId="123" dataCellStyle="Content normal"/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C4CB048-5E1F-4D26-9F6C-B04ADADF31C3}" name="Table_SourceData_PoultryMMSStage2" displayName="Table_SourceData_PoultryMMSStage2" ref="J28:K34" totalsRowShown="0">
  <autoFilter ref="J28:K34" xr:uid="{EC4CB048-5E1F-4D26-9F6C-B04ADADF31C3}"/>
  <tableColumns count="2">
    <tableColumn id="1" xr3:uid="{A833F318-5E96-452B-914B-56EBEE0F957E}" name="MMS"/>
    <tableColumn id="2" xr3:uid="{6F353241-E782-4530-8CAF-E831533C8B4E}" name="Symbol and MMS" dataDxfId="122" dataCellStyle="Content normal"/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227BAFF-4BC8-4D7F-BDAE-6BC460B8A0CA}" name="Table_SourceData_Poultry_MMSVSL" displayName="Table_SourceData_Poultry_MMSVSL" ref="D76:F79" totalsRowShown="0">
  <autoFilter ref="D76:F79" xr:uid="{9227BAFF-4BC8-4D7F-BDAE-6BC460B8A0CA}"/>
  <tableColumns count="3">
    <tableColumn id="1" xr3:uid="{3F31A5AB-9F38-4ADE-A3EA-A68D670EEA61}" name="MMS">
      <calculatedColumnFormula array="1">Common_InputFunctions.Utility_DisplayArrayInTable(SourceData_Poultry.SourceData_Poultry_VSL_Data(), Table_SourceData_Poultry_MMSVSL[[#Headers],[MMS]], 0)</calculatedColumnFormula>
    </tableColumn>
    <tableColumn id="2" xr3:uid="{C618765F-80B1-4CE0-8745-39A121688928}" name="VSL" dataDxfId="121" dataCellStyle="Content normal">
      <calculatedColumnFormula array="1">Common_InputFunctions.Utility_DisplayArrayInTable(SourceData_Poultry.SourceData_Poultry_VSL_Data(), Table_SourceData_Poultry_MMSVSL[[#Headers],[MMS]], 0)</calculatedColumnFormula>
    </tableColumn>
    <tableColumn id="3" xr3:uid="{29EBD005-C894-48D5-96B7-8F2BE6A56B71}" name="NIR definition" dataDxfId="120" dataCellStyle="Content normal">
      <calculatedColumnFormula array="1">Common_InputFunctions.Utility_DisplayArrayInTable(SourceData_Poultry.SourceData_Poultry_VSL_Data(), Table_SourceData_Poultry_MMSVSL[[#Headers],[MMS]],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BA131A3-0B04-413F-9D7A-86F5FB660776}" name="Table_SourceData_Poultry_FracGASM" displayName="Table_SourceData_Poultry_FracGASM" ref="D85:F92" totalsRowShown="0">
  <autoFilter ref="D85:F92" xr:uid="{9BA131A3-0B04-413F-9D7A-86F5FB660776}">
    <filterColumn colId="0" hiddenButton="1"/>
    <filterColumn colId="1" hiddenButton="1"/>
    <filterColumn colId="2" hiddenButton="1"/>
  </autoFilter>
  <tableColumns count="3">
    <tableColumn id="1" xr3:uid="{196CD414-F336-4607-9663-271DD653A2CF}" name="MMSm">
      <calculatedColumnFormula array="1">Common_InputFunctions.Utility_DisplayArrayInTable(SourceData_Poultry.SourceData_Poultry_FracGASMmT_Data(), Table_SourceData_Poultry_FracGASM[[#Headers],[MMSm]], 0)</calculatedColumnFormula>
    </tableColumn>
    <tableColumn id="2" xr3:uid="{8525C18F-EC46-466C-9313-CE932691CFFA}" name="FracGASMmT" dataDxfId="119" dataCellStyle="Content normal">
      <calculatedColumnFormula array="1">Common_InputFunctions.Utility_DisplayArrayInTable(SourceData_Poultry.SourceData_Poultry_FracGASMmT_Data(), Table_SourceData_Poultry_FracGASM[[#Headers],[MMSm]], 0)</calculatedColumnFormula>
    </tableColumn>
    <tableColumn id="3" xr3:uid="{BF75B3E6-C5BF-4822-ADCF-E7FF0C1AA46F}" name="NIR reference" dataDxfId="118" dataCellStyle="Content normal">
      <calculatedColumnFormula array="1">Common_InputFunctions.Utility_DisplayArrayInTable(SourceData_Poultry.SourceData_Poultry_FracGASMmT_Data(), Table_SourceData_Poultry_FracGASM[[#Headers],[MMSm]],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DCEB6AC-6595-49CF-B6BF-C7F6309D3288}" name="Table_SourceData_Poultry_EFmT" displayName="Table_SourceData_Poultry_EFmT" ref="D98:F106" totalsRowShown="0">
  <autoFilter ref="D98:F106" xr:uid="{1DCEB6AC-6595-49CF-B6BF-C7F6309D3288}">
    <filterColumn colId="0" hiddenButton="1"/>
    <filterColumn colId="1" hiddenButton="1"/>
    <filterColumn colId="2" hiddenButton="1"/>
  </autoFilter>
  <tableColumns count="3">
    <tableColumn id="1" xr3:uid="{F09762C4-A2FE-4E41-9D55-47BAECA3B88C}" name="MMSm">
      <calculatedColumnFormula array="1">Common_InputFunctions.Utility_DisplayArrayInTable(SourceData_Poultry.SourceData_Poultry_EFmT_Data(),Table_SourceData_Poultry_EFmT[[#Headers],[MMSm]], 0)</calculatedColumnFormula>
    </tableColumn>
    <tableColumn id="2" xr3:uid="{FE2E40D4-6F56-4728-A4BC-EDAB5A737C4D}" name="EFmT" dataDxfId="117" dataCellStyle="Content normal">
      <calculatedColumnFormula array="1">Common_InputFunctions.Utility_DisplayArrayInTable(SourceData_Poultry.SourceData_Poultry_EFmT_Data(),Table_SourceData_Poultry_EFmT[[#Headers],[MMSm]], 0)</calculatedColumnFormula>
    </tableColumn>
    <tableColumn id="3" xr3:uid="{A4683055-F26C-4120-A660-7D1BE201E4C8}" name="NIR reference" dataDxfId="116" dataCellStyle="Content normal">
      <calculatedColumnFormula array="1">Common_InputFunctions.Utility_DisplayArrayInTable(SourceData_Poultry.SourceData_Poultry_EFmT_Data(),Table_SourceData_Poultry_EFmT[[#Headers],[MMSm]],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1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1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1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1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1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1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10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10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10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10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10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10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10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10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10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100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99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98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97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96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13" Type="http://schemas.openxmlformats.org/officeDocument/2006/relationships/table" Target="../tables/table33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5" Type="http://schemas.openxmlformats.org/officeDocument/2006/relationships/table" Target="../tables/table35.xml"/><Relationship Id="rId10" Type="http://schemas.openxmlformats.org/officeDocument/2006/relationships/table" Target="../tables/table30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Relationship Id="rId14" Type="http://schemas.openxmlformats.org/officeDocument/2006/relationships/table" Target="../tables/table3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8" sqref="A8"/>
    </sheetView>
  </sheetViews>
  <sheetFormatPr defaultRowHeight="15" x14ac:dyDescent="0.25"/>
  <cols>
    <col min="1" max="1" width="30.7109375" customWidth="1"/>
    <col min="2" max="3" width="2.7109375" customWidth="1"/>
    <col min="4" max="4" width="97.1406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3" t="e" vm="1">
        <v>#VALUE!</v>
      </c>
      <c r="C1" s="106" t="s">
        <v>181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13" t="str">
        <f>HYPERLINK("#'Results'!A1", "Results")</f>
        <v>Results</v>
      </c>
      <c r="C4" s="22"/>
      <c r="D4" s="6" t="s">
        <v>3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1</v>
      </c>
      <c r="C6" s="22"/>
      <c r="D6" s="105" t="s">
        <v>95</v>
      </c>
      <c r="E6" s="105" t="s">
        <v>110</v>
      </c>
      <c r="F6" s="105" t="s">
        <v>111</v>
      </c>
      <c r="G6" s="105" t="s">
        <v>102</v>
      </c>
      <c r="H6" s="105" t="s">
        <v>112</v>
      </c>
      <c r="I6" s="105" t="s">
        <v>113</v>
      </c>
      <c r="J6" s="105" t="s">
        <v>103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158</v>
      </c>
      <c r="E7" s="114">
        <f>'5.1.1.1-2 Inorganic fert N2O'!E209</f>
        <v>0</v>
      </c>
      <c r="F7" s="114">
        <f>'5.1.1.1-2 Inorganic fert N2O'!N209</f>
        <v>0</v>
      </c>
      <c r="G7" s="52" t="s">
        <v>106</v>
      </c>
      <c r="H7" s="103">
        <f>'5.1.1.1-2 Inorganic fert N2O'!E214</f>
        <v>0</v>
      </c>
      <c r="I7" s="103">
        <f>'5.1.1.1-2 Inorganic fert N2O'!N214</f>
        <v>0</v>
      </c>
      <c r="J7" s="52" t="s">
        <v>108</v>
      </c>
      <c r="K7" s="22"/>
    </row>
    <row r="8" spans="1:11" ht="20.100000000000001" customHeight="1" x14ac:dyDescent="0.25">
      <c r="A8" s="17" t="str">
        <f>HYPERLINK("#'Input - Poultry'!A1", "Poultry")</f>
        <v>Poultry</v>
      </c>
      <c r="C8" s="22"/>
      <c r="D8" s="1" t="s">
        <v>159</v>
      </c>
      <c r="E8" s="114" t="e">
        <f>#REF!</f>
        <v>#REF!</v>
      </c>
      <c r="F8" s="114" t="e">
        <f>#REF!</f>
        <v>#REF!</v>
      </c>
      <c r="G8" s="52" t="s">
        <v>116</v>
      </c>
      <c r="H8" s="103" t="e">
        <f>#REF!</f>
        <v>#REF!</v>
      </c>
      <c r="I8" s="103" t="e">
        <f>#REF!</f>
        <v>#REF!</v>
      </c>
      <c r="J8" s="52" t="s">
        <v>108</v>
      </c>
      <c r="K8" s="22"/>
    </row>
    <row r="9" spans="1:11" ht="20.100000000000001" customHeight="1" x14ac:dyDescent="0.25">
      <c r="A9" s="17"/>
      <c r="C9" s="22"/>
      <c r="D9" s="1" t="s">
        <v>160</v>
      </c>
      <c r="E9" s="114" t="e">
        <f>#REF!</f>
        <v>#REF!</v>
      </c>
      <c r="F9" s="114" t="e">
        <f>#REF!</f>
        <v>#REF!</v>
      </c>
      <c r="G9" s="52" t="s">
        <v>116</v>
      </c>
      <c r="H9" s="103" t="e">
        <f>#REF!</f>
        <v>#REF!</v>
      </c>
      <c r="I9" s="103" t="e">
        <f>#REF!</f>
        <v>#REF!</v>
      </c>
      <c r="J9" s="52" t="s">
        <v>108</v>
      </c>
      <c r="K9" s="22"/>
    </row>
    <row r="10" spans="1:11" ht="20.100000000000001" customHeight="1" x14ac:dyDescent="0.25">
      <c r="A10" s="19" t="s">
        <v>71</v>
      </c>
      <c r="C10" s="22"/>
      <c r="D10" s="1" t="s">
        <v>154</v>
      </c>
      <c r="E10" s="114" t="e">
        <f>#REF!</f>
        <v>#REF!</v>
      </c>
      <c r="F10" s="114" t="e">
        <f>#REF!</f>
        <v>#REF!</v>
      </c>
      <c r="G10" s="52" t="s">
        <v>116</v>
      </c>
      <c r="H10" s="103" t="e">
        <f>#REF!</f>
        <v>#REF!</v>
      </c>
      <c r="I10" s="103" t="e">
        <f>#REF!</f>
        <v>#REF!</v>
      </c>
      <c r="J10" s="52" t="s">
        <v>108</v>
      </c>
      <c r="K10" s="22"/>
    </row>
    <row r="11" spans="1:11" ht="20.100000000000001" customHeight="1" x14ac:dyDescent="0.25">
      <c r="A11" s="17" t="str">
        <f>HYPERLINK("#'4.6.1.1-2 Methane'!A1", "4.6.1.1-2 Methane")</f>
        <v>4.6.1.1-2 Methane</v>
      </c>
      <c r="C11" s="22"/>
      <c r="D11" s="1" t="s">
        <v>156</v>
      </c>
      <c r="E11" s="114" t="e">
        <f>#REF!</f>
        <v>#REF!</v>
      </c>
      <c r="F11" s="114" t="e">
        <f>#REF!</f>
        <v>#REF!</v>
      </c>
      <c r="G11" s="52" t="s">
        <v>116</v>
      </c>
      <c r="H11" s="103" t="e">
        <f>#REF!</f>
        <v>#REF!</v>
      </c>
      <c r="I11" s="103" t="e">
        <f>#REF!</f>
        <v>#REF!</v>
      </c>
      <c r="J11" s="52" t="s">
        <v>108</v>
      </c>
      <c r="K11" s="22"/>
    </row>
    <row r="12" spans="1:11" ht="20.100000000000001" customHeight="1" x14ac:dyDescent="0.25">
      <c r="A12" s="17" t="str">
        <f>HYPERLINK("#'4.6.1.3-4 Direct N20'!A1", "4.6.1.3-4 Direct N2O")</f>
        <v>4.6.1.3-4 Direct N2O</v>
      </c>
      <c r="C12" s="22"/>
      <c r="D12" s="1" t="s">
        <v>161</v>
      </c>
      <c r="E12" s="114" t="e">
        <f>#REF!</f>
        <v>#REF!</v>
      </c>
      <c r="F12" s="114" t="e">
        <f>#REF!</f>
        <v>#REF!</v>
      </c>
      <c r="G12" s="52" t="s">
        <v>116</v>
      </c>
      <c r="H12" s="103" t="e">
        <f>#REF!</f>
        <v>#REF!</v>
      </c>
      <c r="I12" s="103" t="e">
        <f>#REF!</f>
        <v>#REF!</v>
      </c>
      <c r="J12" s="52" t="s">
        <v>108</v>
      </c>
      <c r="K12" s="22"/>
    </row>
    <row r="13" spans="1:11" ht="20.100000000000001" customHeight="1" x14ac:dyDescent="0.25">
      <c r="A13" s="17" t="str">
        <f>HYPERLINK("#'4.6.1.5-6 Atmos Dep'!A1", "4.6.1.5-6 Atmospheric deposition")</f>
        <v>4.6.1.5-6 Atmospheric deposition</v>
      </c>
      <c r="C13" s="22"/>
      <c r="D13" s="1" t="s">
        <v>157</v>
      </c>
      <c r="E13" s="114" t="e">
        <f>#REF!</f>
        <v>#REF!</v>
      </c>
      <c r="F13" s="114" t="e">
        <f>#REF!</f>
        <v>#REF!</v>
      </c>
      <c r="G13" s="52" t="s">
        <v>116</v>
      </c>
      <c r="H13" s="103" t="e">
        <f>#REF!</f>
        <v>#REF!</v>
      </c>
      <c r="I13" s="103" t="e">
        <f>#REF!</f>
        <v>#REF!</v>
      </c>
      <c r="J13" s="52" t="s">
        <v>108</v>
      </c>
      <c r="K13" s="22"/>
    </row>
    <row r="14" spans="1:11" ht="20.100000000000001" customHeight="1" x14ac:dyDescent="0.3">
      <c r="A14" s="17" t="str">
        <f>HYPERLINK("#'4.6.1.7-8 Leaching and runoff'!A1", "4.6.1.7-8 Leaching &amp; runoff")</f>
        <v>4.6.1.7-8 Leaching &amp; runoff</v>
      </c>
      <c r="C14" s="22"/>
      <c r="D14" s="29" t="s">
        <v>101</v>
      </c>
      <c r="E14" s="23"/>
      <c r="F14" s="23"/>
      <c r="G14" s="29"/>
      <c r="H14" s="104" t="e">
        <f>SUM(H7:H13)</f>
        <v>#REF!</v>
      </c>
      <c r="I14" s="104" t="e">
        <f>SUM(I7:I13)</f>
        <v>#REF!</v>
      </c>
      <c r="J14" s="99" t="s">
        <v>108</v>
      </c>
      <c r="K14" s="22"/>
    </row>
    <row r="15" spans="1:11" ht="20.100000000000001" customHeight="1" x14ac:dyDescent="0.25">
      <c r="A15" s="17" t="str">
        <f>HYPERLINK("#'4.6.1.9 Manure applied to soils'!A1", "4.6.1.9 Manure applied to soils")</f>
        <v>4.6.1.9 Manure applied to soils</v>
      </c>
      <c r="C15" s="22"/>
      <c r="D15" s="1"/>
      <c r="E15" s="1"/>
      <c r="F15" s="1"/>
      <c r="G15" s="24"/>
      <c r="H15" s="22"/>
      <c r="I15" s="1"/>
      <c r="J15" s="1"/>
      <c r="K15" s="22"/>
    </row>
    <row r="16" spans="1:11" ht="20.100000000000001" customHeight="1" x14ac:dyDescent="0.25">
      <c r="A16" s="17" t="str">
        <f>HYPERLINK("#'4.6.1.10-11 Soil direct N2O'!A1", "4.6.1.10-11 Soil direct N2O")</f>
        <v>4.6.1.10-11 Soil direct N2O</v>
      </c>
      <c r="C16" s="22"/>
      <c r="D16" s="46" t="s">
        <v>155</v>
      </c>
      <c r="E16" s="1"/>
      <c r="F16" s="1"/>
      <c r="G16" s="1"/>
      <c r="H16" s="24"/>
      <c r="I16" s="1"/>
      <c r="J16" s="22"/>
      <c r="K16" s="22"/>
    </row>
    <row r="17" spans="1:11" ht="20.100000000000001" customHeight="1" x14ac:dyDescent="0.25">
      <c r="A17" s="17" t="str">
        <f>HYPERLINK("#'4.6.1.12-13 Soil atmos dep'!A1", "4.6.1.12-13 Soil Atm. deposition")</f>
        <v>4.6.1.12-13 Soil Atm. deposition</v>
      </c>
      <c r="C17" s="22"/>
      <c r="D17" s="100" t="s">
        <v>125</v>
      </c>
      <c r="E17" s="1"/>
      <c r="F17" s="1"/>
      <c r="G17" s="1"/>
      <c r="H17" s="1"/>
      <c r="I17" s="1"/>
      <c r="J17" s="22"/>
      <c r="K17" s="22"/>
    </row>
    <row r="18" spans="1:11" ht="20.100000000000001" customHeight="1" x14ac:dyDescent="0.25">
      <c r="A18" s="17" t="str">
        <f>HYPERLINK("#'4.6.1.14-15 Soil leach runoff'!A1", "4.6.1.14-15 Soil leach &amp; runoff")</f>
        <v>4.6.1.14-15 Soil leach &amp; runoff</v>
      </c>
      <c r="C18" s="22"/>
      <c r="D18" s="110" t="s">
        <v>126</v>
      </c>
      <c r="E18" s="1"/>
      <c r="F18" s="1"/>
      <c r="G18" s="1"/>
      <c r="H18" s="1"/>
      <c r="I18" s="1"/>
      <c r="J18" s="22"/>
      <c r="K18" s="22"/>
    </row>
    <row r="19" spans="1:11" ht="20.100000000000001" customHeight="1" x14ac:dyDescent="0.25">
      <c r="C19" s="22"/>
      <c r="D19" s="105" t="s">
        <v>127</v>
      </c>
      <c r="E19" s="105" t="s">
        <v>128</v>
      </c>
      <c r="F19" s="105" t="s">
        <v>129</v>
      </c>
      <c r="G19" s="105" t="s">
        <v>130</v>
      </c>
      <c r="H19" s="105" t="s">
        <v>131</v>
      </c>
      <c r="I19" s="1"/>
      <c r="J19" s="22"/>
      <c r="K19" s="22"/>
    </row>
    <row r="20" spans="1:11" ht="20.100000000000001" customHeight="1" x14ac:dyDescent="0.25">
      <c r="A20" s="18" t="s">
        <v>2</v>
      </c>
      <c r="C20" s="22"/>
      <c r="D20" s="1" t="s">
        <v>132</v>
      </c>
      <c r="E20" s="108" t="e">
        <f>#REF!</f>
        <v>#REF!</v>
      </c>
      <c r="F20" s="52" t="s">
        <v>124</v>
      </c>
      <c r="G20" s="1" t="s">
        <v>162</v>
      </c>
      <c r="H20" s="1" t="s">
        <v>133</v>
      </c>
      <c r="I20" s="1"/>
      <c r="J20" s="22"/>
      <c r="K20" s="22"/>
    </row>
    <row r="21" spans="1:11" ht="20.100000000000001" customHeight="1" x14ac:dyDescent="0.25">
      <c r="A21" s="17" t="str">
        <f>HYPERLINK("#'Constants - Poultry'!A1", "Constants - Poultry")</f>
        <v>Constants - Poultry</v>
      </c>
      <c r="C21" s="22"/>
      <c r="D21" s="1" t="s">
        <v>134</v>
      </c>
      <c r="E21" s="108" t="e">
        <f>#REF!</f>
        <v>#REF!</v>
      </c>
      <c r="F21" s="52" t="s">
        <v>124</v>
      </c>
      <c r="G21" s="1" t="s">
        <v>162</v>
      </c>
      <c r="H21" s="1" t="s">
        <v>133</v>
      </c>
      <c r="I21" s="22"/>
      <c r="J21" s="22"/>
      <c r="K21" s="22"/>
    </row>
    <row r="22" spans="1:11" ht="20.100000000000001" customHeight="1" x14ac:dyDescent="0.25">
      <c r="A22" s="17" t="str">
        <f>HYPERLINK("#'Constants - Livestock'!A1", "Constants - Livestock")</f>
        <v>Constants - Livestock</v>
      </c>
      <c r="C22" s="22"/>
      <c r="D22" s="1" t="s">
        <v>135</v>
      </c>
      <c r="E22" s="108" t="e">
        <f>#REF!</f>
        <v>#REF!</v>
      </c>
      <c r="F22" s="52" t="s">
        <v>124</v>
      </c>
      <c r="G22" s="1" t="s">
        <v>136</v>
      </c>
      <c r="H22" s="1" t="s">
        <v>137</v>
      </c>
      <c r="I22" s="22"/>
      <c r="J22" s="22"/>
      <c r="K22" s="22"/>
    </row>
    <row r="23" spans="1:11" ht="20.100000000000001" customHeight="1" x14ac:dyDescent="0.3">
      <c r="A23" s="17" t="str">
        <f>HYPERLINK("#'Constants - Common'!A1", "Constants - Common")</f>
        <v>Constants - Common</v>
      </c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 t="str">
        <f>HYPERLINK("#'Acknowledgements'!A1", "Acknowledgements")</f>
        <v>Acknowledgements</v>
      </c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02"/>
      <c r="J38" s="102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02"/>
      <c r="J39" s="102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02"/>
      <c r="J40" s="102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02"/>
      <c r="J41" s="102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02"/>
      <c r="J42" s="102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02"/>
      <c r="J43" s="102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02"/>
      <c r="J44" s="102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02"/>
      <c r="J45" s="102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02"/>
      <c r="J46" s="102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02"/>
      <c r="J47" s="102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02"/>
      <c r="J48" s="102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02"/>
      <c r="I49" s="102"/>
      <c r="J49" s="102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02"/>
      <c r="I50" s="102"/>
      <c r="J50" s="102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02"/>
      <c r="I51" s="102"/>
      <c r="J51" s="102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02"/>
      <c r="I52" s="102"/>
      <c r="J52" s="102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02"/>
      <c r="I53" s="102"/>
      <c r="J53" s="102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topLeftCell="A4" zoomScaleNormal="100" workbookViewId="0">
      <selection activeCell="A13" sqref="A1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3" t="e" vm="1">
        <v>#VALUE!</v>
      </c>
      <c r="C1" s="12" t="s">
        <v>85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4"/>
      <c r="D4" s="64"/>
      <c r="E4" s="64"/>
      <c r="F4" s="64"/>
      <c r="G4" s="64"/>
      <c r="H4" s="64"/>
      <c r="I4" s="64"/>
      <c r="J4" s="64"/>
      <c r="K4" s="64"/>
    </row>
    <row r="5" spans="1:24" ht="20.100000000000001" customHeight="1" x14ac:dyDescent="0.25">
      <c r="D5" s="6" t="s">
        <v>13</v>
      </c>
      <c r="N5" s="40"/>
    </row>
    <row r="6" spans="1:24" ht="20.100000000000001" customHeight="1" x14ac:dyDescent="0.25">
      <c r="A6" s="20" t="s">
        <v>1</v>
      </c>
      <c r="D6" s="14"/>
      <c r="N6" s="41"/>
    </row>
    <row r="7" spans="1:24" ht="20.100000000000001" customHeight="1" x14ac:dyDescent="0.25">
      <c r="A7" s="112" t="str">
        <f>HYPERLINK("#'Input - Site'!A1", "Site")</f>
        <v>Site</v>
      </c>
      <c r="D7" s="1" t="s">
        <v>5</v>
      </c>
      <c r="E7" s="33" t="s">
        <v>4</v>
      </c>
      <c r="F7" s="2"/>
    </row>
    <row r="8" spans="1:24" ht="20.100000000000001" customHeight="1" x14ac:dyDescent="0.25">
      <c r="A8" s="17" t="str">
        <f>HYPERLINK("#'Input - Poultry'!A1", "Poultry")</f>
        <v>Poultry</v>
      </c>
      <c r="D8" s="10" t="s">
        <v>69</v>
      </c>
      <c r="E8" s="33" t="s">
        <v>70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71</v>
      </c>
      <c r="D10" s="89" t="s">
        <v>84</v>
      </c>
      <c r="E10" s="87"/>
      <c r="F10" s="90"/>
      <c r="G10" s="84"/>
      <c r="N10" s="42"/>
    </row>
    <row r="11" spans="1:24" ht="20.100000000000001" customHeight="1" x14ac:dyDescent="0.25">
      <c r="A11" s="17" t="str">
        <f>HYPERLINK("#'4.6.1.1-2 Methane'!A1", "4.6.1.1-2 Methane")</f>
        <v>4.6.1.1-2 Methane</v>
      </c>
      <c r="N11" s="43"/>
    </row>
    <row r="12" spans="1:24" ht="20.100000000000001" customHeight="1" x14ac:dyDescent="0.25">
      <c r="A12" s="17" t="str">
        <f>HYPERLINK("#'4.6.1.3-4 Direct N20'!A1", "4.6.1.3-4 Direct N2O")</f>
        <v>4.6.1.3-4 Direct N2O</v>
      </c>
      <c r="D12" s="10" t="s">
        <v>90</v>
      </c>
      <c r="E12" s="60">
        <v>45292</v>
      </c>
      <c r="F12" s="2" t="s">
        <v>67</v>
      </c>
    </row>
    <row r="13" spans="1:24" ht="20.100000000000001" customHeight="1" x14ac:dyDescent="0.25">
      <c r="A13" s="17" t="str">
        <f>HYPERLINK("#'4.6.1.5-6 Atmos Dep'!A1", "4.6.1.5-6 Atmospheric deposition")</f>
        <v>4.6.1.5-6 Atmospheric deposition</v>
      </c>
      <c r="D13" s="10" t="s">
        <v>91</v>
      </c>
      <c r="E13" s="65">
        <f>DATE(YEAR(E12)+1,MONTH(E12),DAY(E12))-1</f>
        <v>45657</v>
      </c>
      <c r="F13" s="2" t="s">
        <v>15</v>
      </c>
      <c r="N13" s="38"/>
      <c r="O13" s="38"/>
    </row>
    <row r="14" spans="1:24" ht="20.100000000000001" customHeight="1" x14ac:dyDescent="0.25">
      <c r="A14" s="17" t="str">
        <f>HYPERLINK("#'4.6.1.7-8 Leaching and runoff'!A1", "4.6.1.7-8 Leaching &amp; runoff")</f>
        <v>4.6.1.7-8 Leaching &amp; runoff</v>
      </c>
      <c r="N14" s="38"/>
      <c r="O14" s="38"/>
    </row>
    <row r="15" spans="1:24" ht="20.100000000000001" customHeight="1" x14ac:dyDescent="0.25">
      <c r="A15" s="17" t="str">
        <f>HYPERLINK("#'4.6.1.9 Manure applied to soils'!A1", "4.6.1.9 Manure applied to soils")</f>
        <v>4.6.1.9 Manure applied to soils</v>
      </c>
      <c r="N15" s="38"/>
      <c r="O15" s="38"/>
    </row>
    <row r="16" spans="1:24" ht="20.100000000000001" customHeight="1" x14ac:dyDescent="0.25">
      <c r="A16" s="17" t="str">
        <f>HYPERLINK("#'4.6.1.10-11 Soil direct N2O'!A1", "4.6.1.10-11 Soil direct N2O")</f>
        <v>4.6.1.10-11 Soil direct N2O</v>
      </c>
      <c r="D16" s="6" t="s">
        <v>12</v>
      </c>
      <c r="N16" s="38"/>
      <c r="O16" s="38"/>
    </row>
    <row r="17" spans="1:25" ht="20.100000000000001" customHeight="1" x14ac:dyDescent="0.25">
      <c r="A17" s="17" t="str">
        <f>HYPERLINK("#'4.6.1.12-13 Soil atmos dep'!A1", "4.6.1.12-13 Soil Atm. deposition")</f>
        <v>4.6.1.12-13 Soil Atm. deposition</v>
      </c>
    </row>
    <row r="18" spans="1:25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1" t="s">
        <v>14</v>
      </c>
      <c r="E18" s="86"/>
      <c r="F18" s="86"/>
      <c r="G18" s="82"/>
    </row>
    <row r="19" spans="1:25" ht="20.100000000000001" customHeight="1" x14ac:dyDescent="0.25">
      <c r="A19"/>
      <c r="D19" s="88" t="s">
        <v>68</v>
      </c>
      <c r="E19" s="85"/>
      <c r="F19" s="85"/>
      <c r="G19" s="83"/>
      <c r="N19" s="40"/>
    </row>
    <row r="20" spans="1:25" ht="20.100000000000001" customHeight="1" x14ac:dyDescent="0.25">
      <c r="A20" s="18" t="s">
        <v>2</v>
      </c>
      <c r="D20" s="1"/>
      <c r="E20" s="31"/>
      <c r="F20" s="2"/>
      <c r="N20" s="41"/>
    </row>
    <row r="21" spans="1:25" ht="20.100000000000001" customHeight="1" x14ac:dyDescent="0.25">
      <c r="A21" s="17" t="str">
        <f>HYPERLINK("#'Constants - Poultry'!A1", "Constants - Poultry")</f>
        <v>Constants - Poultry</v>
      </c>
      <c r="D21" s="1" t="s">
        <v>6</v>
      </c>
      <c r="E21" s="39" t="s">
        <v>115</v>
      </c>
      <c r="F21" s="2" t="s">
        <v>9</v>
      </c>
    </row>
    <row r="22" spans="1:25" ht="20.100000000000001" customHeight="1" x14ac:dyDescent="0.25">
      <c r="A22" s="17" t="str">
        <f>HYPERLINK("#'Constants - Livestock'!A1", "Constants - Livestock")</f>
        <v>Constants - Livestock</v>
      </c>
      <c r="D22" s="1" t="s">
        <v>22</v>
      </c>
      <c r="E22" s="39" t="s">
        <v>31</v>
      </c>
      <c r="F22" s="2" t="s">
        <v>9</v>
      </c>
      <c r="G22" s="1"/>
    </row>
    <row r="23" spans="1:25" ht="20.100000000000001" customHeight="1" x14ac:dyDescent="0.25">
      <c r="A23" s="17" t="str">
        <f>HYPERLINK("#'Constants - Common'!A1", "Constants - Common")</f>
        <v>Constants - Common</v>
      </c>
      <c r="D23" s="1" t="s">
        <v>7</v>
      </c>
      <c r="E23" s="39" t="s">
        <v>89</v>
      </c>
      <c r="F23" s="2" t="s">
        <v>9</v>
      </c>
    </row>
    <row r="24" spans="1:25" ht="20.100000000000001" customHeight="1" x14ac:dyDescent="0.25">
      <c r="A24" s="17" t="str">
        <f>HYPERLINK("#'Acknowledgements'!A1", "Acknowledgements")</f>
        <v>Acknowledgements</v>
      </c>
      <c r="D24" s="1" t="s">
        <v>36</v>
      </c>
      <c r="E24" s="33">
        <v>307.7</v>
      </c>
      <c r="F24" s="2" t="s">
        <v>50</v>
      </c>
    </row>
    <row r="25" spans="1:25" ht="20.100000000000001" customHeight="1" x14ac:dyDescent="0.25">
      <c r="A25"/>
      <c r="D25" s="1" t="s">
        <v>58</v>
      </c>
      <c r="E25" s="33">
        <v>18</v>
      </c>
      <c r="F25" s="2" t="s">
        <v>10</v>
      </c>
      <c r="N25" s="41"/>
    </row>
    <row r="26" spans="1:25" ht="20.100000000000001" customHeight="1" x14ac:dyDescent="0.25">
      <c r="A26"/>
      <c r="D26" s="1" t="s">
        <v>59</v>
      </c>
      <c r="E26" s="33">
        <v>601</v>
      </c>
      <c r="F26" s="2" t="s">
        <v>11</v>
      </c>
    </row>
    <row r="27" spans="1:25" ht="20.100000000000001" customHeight="1" x14ac:dyDescent="0.25">
      <c r="A27"/>
      <c r="D27" s="10" t="s">
        <v>60</v>
      </c>
      <c r="E27" s="33">
        <v>1326</v>
      </c>
      <c r="F27" s="2" t="s">
        <v>11</v>
      </c>
    </row>
    <row r="28" spans="1:25" ht="20.100000000000001" customHeight="1" x14ac:dyDescent="0.25">
      <c r="A28"/>
      <c r="D28" s="1" t="s">
        <v>61</v>
      </c>
      <c r="E28" s="33">
        <v>7</v>
      </c>
      <c r="F28" s="2" t="s">
        <v>51</v>
      </c>
    </row>
    <row r="29" spans="1:25" ht="20.100000000000001" customHeight="1" x14ac:dyDescent="0.25">
      <c r="A29"/>
      <c r="D29" s="10" t="s">
        <v>57</v>
      </c>
      <c r="E29" s="50">
        <f>E26/E27</f>
        <v>0.45324283559577677</v>
      </c>
      <c r="F29" s="2"/>
    </row>
    <row r="30" spans="1:25" ht="20.100000000000001" customHeight="1" x14ac:dyDescent="0.25">
      <c r="A30"/>
      <c r="D30" s="10" t="s">
        <v>32</v>
      </c>
      <c r="E30" s="50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 spans="1:25" ht="20.100000000000001" customHeight="1" x14ac:dyDescent="0.25">
      <c r="A31"/>
      <c r="D31" s="1" t="s">
        <v>8</v>
      </c>
      <c r="E31" s="50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 spans="1:25" ht="20.100000000000001" customHeight="1" x14ac:dyDescent="0.25">
      <c r="A32"/>
      <c r="D32" s="1" t="s">
        <v>86</v>
      </c>
      <c r="E32" s="50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1:25" ht="20.100000000000001" customHeight="1" x14ac:dyDescent="0.25">
      <c r="A33"/>
      <c r="D33" s="1" t="s">
        <v>49</v>
      </c>
      <c r="E33" s="50" t="str">
        <f>Common_InputFunctions.Utility_LookupItemFromMinMax(E25,Table_SourceData_TemperatureZones[Min MAT],Table_SourceData_TemperatureZones[Max MAT],Table_SourceData_TemperatureZones[Temperature Zone])</f>
        <v>Temperate</v>
      </c>
      <c r="G33" s="66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spans="1:25" ht="20.100000000000001" customHeight="1" x14ac:dyDescent="0.25">
      <c r="A34"/>
      <c r="J34" s="58"/>
      <c r="K34" s="69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 ht="20.100000000000001" customHeight="1" x14ac:dyDescent="0.25">
      <c r="A35"/>
      <c r="J35" s="58"/>
      <c r="K35" s="69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spans="1:25" ht="20.100000000000001" customHeight="1" x14ac:dyDescent="0.25">
      <c r="A36"/>
      <c r="D36" s="67"/>
      <c r="E36" s="67"/>
      <c r="F36" s="68"/>
      <c r="G36" s="58"/>
      <c r="H36" s="58"/>
      <c r="I36" s="59"/>
      <c r="J36" s="58"/>
      <c r="K36" s="69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spans="1:25" ht="20.100000000000001" customHeight="1" x14ac:dyDescent="0.25">
      <c r="A37"/>
      <c r="D37" s="67"/>
      <c r="E37" s="67"/>
      <c r="F37" s="68"/>
      <c r="G37" s="58"/>
      <c r="H37" s="58"/>
      <c r="I37" s="59"/>
      <c r="J37" s="58"/>
      <c r="K37" s="69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 spans="1:25" ht="20.100000000000001" customHeight="1" x14ac:dyDescent="0.25">
      <c r="A38"/>
      <c r="D38" s="67"/>
      <c r="E38" s="67"/>
      <c r="F38" s="68"/>
      <c r="G38" s="58"/>
      <c r="H38" s="58"/>
      <c r="I38" s="59"/>
      <c r="J38" s="58"/>
      <c r="K38" s="69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spans="1:25" ht="20.100000000000001" customHeight="1" x14ac:dyDescent="0.25">
      <c r="A39"/>
      <c r="D39" s="67"/>
      <c r="E39" s="67"/>
      <c r="F39" s="68"/>
      <c r="G39" s="58"/>
      <c r="H39" s="58"/>
      <c r="I39" s="59"/>
      <c r="J39" s="58"/>
      <c r="K39" s="69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spans="1:25" ht="20.100000000000001" customHeight="1" x14ac:dyDescent="0.25">
      <c r="A40"/>
      <c r="D40" s="70"/>
      <c r="E40" s="70"/>
      <c r="F40" s="70"/>
      <c r="G40" s="71"/>
      <c r="H40" s="72"/>
      <c r="I40" s="72"/>
      <c r="J40" s="72"/>
      <c r="K40" s="72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3"/>
      <c r="E47" s="73"/>
      <c r="F47" s="73"/>
      <c r="G47" s="73"/>
      <c r="H47" s="73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4"/>
      <c r="E51" s="75"/>
      <c r="F51" s="75"/>
      <c r="G51" s="75"/>
      <c r="H51" s="76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77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78"/>
    </row>
    <row r="58" spans="4:8" ht="20.100000000000001" customHeight="1" x14ac:dyDescent="0.25">
      <c r="D58" s="1"/>
      <c r="E58" s="79"/>
    </row>
    <row r="59" spans="4:8" ht="20.100000000000001" customHeight="1" x14ac:dyDescent="0.25">
      <c r="D59" s="1"/>
      <c r="E59" s="79"/>
    </row>
    <row r="60" spans="4:8" ht="20.100000000000001" customHeight="1" x14ac:dyDescent="0.25">
      <c r="D60" s="1"/>
      <c r="E60" s="80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79"/>
    </row>
    <row r="65" spans="4:9" ht="20.100000000000001" customHeight="1" x14ac:dyDescent="0.25">
      <c r="D65" s="1"/>
      <c r="E65" s="79"/>
    </row>
    <row r="66" spans="4:9" ht="20.100000000000001" customHeight="1" x14ac:dyDescent="0.25">
      <c r="D66" s="1"/>
      <c r="E66" s="80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57"/>
      <c r="E69" s="57"/>
      <c r="F69" s="57"/>
      <c r="G69" s="57"/>
      <c r="H69" s="57"/>
      <c r="I69" s="57"/>
    </row>
    <row r="70" spans="4:9" ht="20.100000000000001" customHeight="1" x14ac:dyDescent="0.25">
      <c r="D70" s="57"/>
      <c r="E70" s="57"/>
      <c r="F70" s="57"/>
      <c r="G70" s="57"/>
      <c r="H70" s="57"/>
      <c r="I70" s="57"/>
    </row>
    <row r="71" spans="4:9" ht="20.100000000000001" customHeight="1" x14ac:dyDescent="0.25">
      <c r="D71" s="57"/>
      <c r="E71" s="57"/>
      <c r="F71" s="57"/>
      <c r="G71" s="57"/>
      <c r="H71" s="57"/>
      <c r="I71" s="57"/>
    </row>
    <row r="72" spans="4:9" ht="20.100000000000001" customHeight="1" x14ac:dyDescent="0.25">
      <c r="D72" s="57"/>
      <c r="E72" s="57"/>
      <c r="F72" s="57"/>
      <c r="G72" s="57"/>
      <c r="H72" s="57"/>
      <c r="I72" s="57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1"/>
    </row>
    <row r="79" spans="4:9" ht="20.100000000000001" customHeight="1" x14ac:dyDescent="0.25">
      <c r="D79" s="81"/>
    </row>
    <row r="80" spans="4:9" ht="20.100000000000001" customHeight="1" x14ac:dyDescent="0.25">
      <c r="D80" s="81"/>
    </row>
    <row r="81" spans="4:4" ht="20.100000000000001" customHeight="1" x14ac:dyDescent="0.25">
      <c r="D81" s="81"/>
    </row>
    <row r="82" spans="4:4" ht="20.100000000000001" customHeight="1" x14ac:dyDescent="0.25">
      <c r="D82" s="81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U356"/>
  <sheetViews>
    <sheetView showGridLines="0" zoomScale="85" zoomScaleNormal="85" workbookViewId="0">
      <selection activeCell="J36" sqref="J3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52.140625" style="1" customWidth="1"/>
    <col min="5" max="5" width="30.7109375" style="1" customWidth="1"/>
    <col min="6" max="20" width="15.7109375" style="1" customWidth="1"/>
    <col min="21" max="21" width="4.7109375" style="1" customWidth="1"/>
    <col min="22" max="22" width="4.7109375" customWidth="1"/>
  </cols>
  <sheetData>
    <row r="1" spans="1:21" s="63" customFormat="1" ht="30" customHeight="1" x14ac:dyDescent="0.35">
      <c r="A1" s="63" t="e" vm="1">
        <v>#VALUE!</v>
      </c>
      <c r="C1" s="63" t="s">
        <v>207</v>
      </c>
    </row>
    <row r="2" spans="1:21" s="9" customFormat="1" ht="20.100000000000001" customHeight="1" x14ac:dyDescent="0.25"/>
    <row r="3" spans="1:21" ht="20.100000000000001" customHeight="1" x14ac:dyDescent="0.2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ht="20.100000000000001" customHeight="1" x14ac:dyDescent="0.25"/>
    <row r="5" spans="1:21" ht="20.100000000000001" customHeight="1" x14ac:dyDescent="0.25"/>
    <row r="6" spans="1:21" ht="20.100000000000001" customHeight="1" x14ac:dyDescent="0.25">
      <c r="D6" s="1" t="s">
        <v>100</v>
      </c>
      <c r="E6" s="39" t="s">
        <v>213</v>
      </c>
      <c r="F6" s="2" t="s">
        <v>9</v>
      </c>
    </row>
    <row r="7" spans="1:21" ht="20.100000000000001" customHeight="1" x14ac:dyDescent="0.25">
      <c r="D7" s="1" t="s">
        <v>255</v>
      </c>
      <c r="E7" s="39" t="s">
        <v>225</v>
      </c>
      <c r="F7" s="2" t="s">
        <v>9</v>
      </c>
    </row>
    <row r="8" spans="1:21" ht="20.100000000000001" customHeight="1" x14ac:dyDescent="0.25">
      <c r="D8" s="1" t="s">
        <v>99</v>
      </c>
      <c r="E8" s="39" t="s">
        <v>217</v>
      </c>
      <c r="F8" s="2" t="s">
        <v>9</v>
      </c>
    </row>
    <row r="9" spans="1:21" ht="20.100000000000001" customHeight="1" x14ac:dyDescent="0.25">
      <c r="D9" s="1" t="s">
        <v>282</v>
      </c>
      <c r="E9" s="153">
        <v>100</v>
      </c>
      <c r="F9" s="2" t="s">
        <v>269</v>
      </c>
    </row>
    <row r="10" spans="1:21" ht="20.100000000000001" customHeight="1" x14ac:dyDescent="0.25"/>
    <row r="11" spans="1:21" ht="20.100000000000001" customHeight="1" x14ac:dyDescent="0.25">
      <c r="D11" s="6" t="s">
        <v>232</v>
      </c>
      <c r="E11" s="3"/>
      <c r="F11" s="3"/>
      <c r="G11" s="3"/>
      <c r="H11" s="3"/>
      <c r="I11" s="3"/>
      <c r="J11" s="3"/>
      <c r="K11" s="3"/>
      <c r="L11" s="3"/>
      <c r="M11" s="3"/>
    </row>
    <row r="12" spans="1:21" ht="20.100000000000001" customHeight="1" x14ac:dyDescent="0.25"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21" ht="20.100000000000001" customHeight="1" x14ac:dyDescent="0.25">
      <c r="D13" s="109" t="s">
        <v>233</v>
      </c>
      <c r="E13" s="86"/>
      <c r="F13" s="86"/>
      <c r="G13" s="86"/>
      <c r="H13" s="82"/>
      <c r="I13" s="130"/>
      <c r="J13" s="131"/>
      <c r="K13" s="132"/>
      <c r="L13" s="132"/>
      <c r="M13" s="132"/>
    </row>
    <row r="14" spans="1:21" ht="20.100000000000001" customHeight="1" x14ac:dyDescent="0.25">
      <c r="D14" s="88" t="s">
        <v>234</v>
      </c>
      <c r="E14" s="85"/>
      <c r="F14" s="85"/>
      <c r="G14" s="83"/>
      <c r="H14" s="155"/>
      <c r="I14" s="22"/>
      <c r="J14" s="22"/>
      <c r="K14" s="22"/>
      <c r="L14" s="22"/>
      <c r="M14" s="22"/>
    </row>
    <row r="15" spans="1:21" ht="20.100000000000001" customHeight="1" x14ac:dyDescent="0.25"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21" ht="20.100000000000001" customHeight="1" x14ac:dyDescent="0.25">
      <c r="D16" s="46" t="s">
        <v>235</v>
      </c>
      <c r="E16" s="22"/>
      <c r="F16" s="22"/>
      <c r="G16" s="22"/>
      <c r="H16" s="22"/>
      <c r="I16" s="22"/>
      <c r="J16" s="22"/>
      <c r="K16" s="22"/>
      <c r="L16" s="22"/>
      <c r="M16" s="22"/>
    </row>
    <row r="17" spans="1:20" ht="36" customHeight="1" x14ac:dyDescent="0.25">
      <c r="D17" s="133" t="s">
        <v>236</v>
      </c>
      <c r="E17" s="134" t="s">
        <v>248</v>
      </c>
      <c r="F17" s="134" t="s">
        <v>237</v>
      </c>
      <c r="G17" s="134" t="s">
        <v>238</v>
      </c>
      <c r="H17" s="133" t="s">
        <v>188</v>
      </c>
      <c r="I17" s="133" t="s">
        <v>189</v>
      </c>
      <c r="J17" s="133" t="s">
        <v>191</v>
      </c>
      <c r="K17" s="133" t="s">
        <v>192</v>
      </c>
      <c r="L17" s="133" t="s">
        <v>194</v>
      </c>
      <c r="M17" s="133" t="s">
        <v>195</v>
      </c>
      <c r="N17" s="133" t="s">
        <v>197</v>
      </c>
      <c r="O17" s="133" t="s">
        <v>198</v>
      </c>
      <c r="P17" s="133" t="s">
        <v>200</v>
      </c>
      <c r="Q17" s="133" t="s">
        <v>201</v>
      </c>
      <c r="R17" s="133" t="s">
        <v>203</v>
      </c>
      <c r="S17" s="133" t="s">
        <v>204</v>
      </c>
      <c r="T17" s="133" t="s">
        <v>256</v>
      </c>
    </row>
    <row r="18" spans="1:20" ht="36" customHeight="1" x14ac:dyDescent="0.25">
      <c r="D18" s="139" t="s">
        <v>239</v>
      </c>
      <c r="E18" s="140">
        <v>200</v>
      </c>
      <c r="F18" s="140">
        <f>$E$9</f>
        <v>100</v>
      </c>
      <c r="G18" s="141">
        <f>Table_Input_InorganicFertiliser_Brands[[#This Row],[Amount applied (kg / ha)]]*Table_Input_InorganicFertiliser_Brands[[#This Row],[Application area (ha)]]</f>
        <v>20000</v>
      </c>
      <c r="H18" s="141" t="str" cm="1">
        <f t="array" ref="H18">Fertiliser_InputFunctions.Fertiliser_FertiliserProductLookup(Table_Input_InorganicFertiliser_Brands[[#This Row],[Product (select)]], Table_Input_InorganicFertiliser_Brands[[#Headers],[Ingredient 1]], FertiliserProducts[#Data], FertiliserProducts[Product], FertiliserProducts[#Headers])</f>
        <v>Urea-Ammonium Nitrate (UAN)</v>
      </c>
      <c r="I18" s="141" cm="1">
        <f t="array" ref="I18">Fertiliser_InputFunctions.Fertiliser_FertiliserProductLookup(Table_Input_InorganicFertiliser_Brands[[#This Row],[Product (select)]], Table_Input_InorganicFertiliser_Brands[[#Headers],[Ingredient 1 percent]], FertiliserProducts[#Data], FertiliserProducts[Product], FertiliserProducts[#Headers])</f>
        <v>0.8</v>
      </c>
      <c r="J18" s="141" t="str" cm="1">
        <f t="array" ref="J18">Fertiliser_InputFunctions.Fertiliser_FertiliserProductLookup(Table_Input_InorganicFertiliser_Brands[[#This Row],[Product (select)]], Table_Input_InorganicFertiliser_Brands[[#Headers],[Ingredient 2]], FertiliserProducts[#Data], FertiliserProducts[Product], FertiliserProducts[#Headers])</f>
        <v>Monoammonium phosphate (MAP)</v>
      </c>
      <c r="K18" s="141" cm="1">
        <f t="array" ref="K18">Fertiliser_InputFunctions.Fertiliser_FertiliserProductLookup(Table_Input_InorganicFertiliser_Brands[[#This Row],[Product (select)]], Table_Input_InorganicFertiliser_Brands[[#Headers],[Ingredient 2 percent]], FertiliserProducts[#Data], FertiliserProducts[Product], FertiliserProducts[#Headers])</f>
        <v>0.2</v>
      </c>
      <c r="L18" s="141" t="str" cm="1">
        <f t="array" ref="L18">Fertiliser_InputFunctions.Fertiliser_FertiliserProductLookup(Table_Input_InorganicFertiliser_Brands[[#This Row],[Product (select)]], Table_Input_InorganicFertiliser_Brands[[#Headers],[Ingredient 3]], FertiliserProducts[#Data], FertiliserProducts[Product], FertiliserProducts[#Headers])</f>
        <v/>
      </c>
      <c r="M18" s="141" t="str" cm="1">
        <f t="array" ref="M18">Fertiliser_InputFunctions.Fertiliser_FertiliserProductLookup(Table_Input_InorganicFertiliser_Brands[[#This Row],[Product (select)]], Table_Input_InorganicFertiliser_Brands[[#Headers],[Ingredient 3 percent]], FertiliserProducts[#Data], FertiliserProducts[Product], FertiliserProducts[#Headers])</f>
        <v/>
      </c>
      <c r="N18" s="141" t="str" cm="1">
        <f t="array" ref="N18">Fertiliser_InputFunctions.Fertiliser_FertiliserProductLookup(Table_Input_InorganicFertiliser_Brands[[#This Row],[Product (select)]], Table_Input_InorganicFertiliser_Brands[[#Headers],[Ingredient 4]], FertiliserProducts[#Data], FertiliserProducts[Product], FertiliserProducts[#Headers])</f>
        <v/>
      </c>
      <c r="O18" s="141" t="str" cm="1">
        <f t="array" ref="O18">Fertiliser_InputFunctions.Fertiliser_FertiliserProductLookup(Table_Input_InorganicFertiliser_Brands[[#This Row],[Product (select)]], Table_Input_InorganicFertiliser_Brands[[#Headers],[Ingredient 4 percent]], FertiliserProducts[#Data], FertiliserProducts[Product], FertiliserProducts[#Headers])</f>
        <v/>
      </c>
      <c r="P18" s="141" t="str" cm="1">
        <f t="array" ref="P18">Fertiliser_InputFunctions.Fertiliser_FertiliserProductLookup(Table_Input_InorganicFertiliser_Brands[[#This Row],[Product (select)]], Table_Input_InorganicFertiliser_Brands[[#Headers],[Ingredient 5]], FertiliserProducts[#Data], FertiliserProducts[Product], FertiliserProducts[#Headers])</f>
        <v/>
      </c>
      <c r="Q18" s="141" t="str" cm="1">
        <f t="array" ref="Q18">Fertiliser_InputFunctions.Fertiliser_FertiliserProductLookup(Table_Input_InorganicFertiliser_Brands[[#This Row],[Product (select)]], Table_Input_InorganicFertiliser_Brands[[#Headers],[Ingredient 5 percent]], FertiliserProducts[#Data], FertiliserProducts[Product], FertiliserProducts[#Headers])</f>
        <v/>
      </c>
      <c r="R18" s="141" t="str" cm="1">
        <f t="array" ref="R18">Fertiliser_InputFunctions.Fertiliser_FertiliserProductLookup(Table_Input_InorganicFertiliser_Brands[[#This Row],[Product (select)]], Table_Input_InorganicFertiliser_Brands[[#Headers],[Ingredient 6]], FertiliserProducts[#Data], FertiliserProducts[Product], FertiliserProducts[#Headers])</f>
        <v/>
      </c>
      <c r="S18" s="141" t="str" cm="1">
        <f t="array" ref="S18">Fertiliser_InputFunctions.Fertiliser_FertiliserProductLookup(Table_Input_InorganicFertiliser_Brands[[#This Row],[Product (select)]], Table_Input_InorganicFertiliser_Brands[[#Headers],[Ingredient 6 percent]], FertiliserProducts[#Data], FertiliserProducts[Product], FertiliserProducts[#Headers])</f>
        <v/>
      </c>
      <c r="T18" s="141">
        <f>Table_Input_InorganicFertiliser_Brands[[#This Row],[Amount applied (kg / ha)]]*(IFERROR((_xlfn.XLOOKUP(Table_Input_InorganicFertiliser_Brands[[#This Row],[Ingredient 1]], Table_Fertiliser_ChemicalCompounds[Fertiliser type f],Table_Fertiliser_ChemicalCompounds[FNinorganic f])*Table_Input_InorganicFertiliser_Brands[[#This Row],[Ingredient 1 percent]]), 0)+
IFERROR((_xlfn.XLOOKUP(Table_Input_InorganicFertiliser_Brands[[#This Row],[Ingredient 2]],Table_Fertiliser_ChemicalCompounds[Fertiliser type f],Table_Fertiliser_ChemicalCompounds[FNinorganic f])*Table_Input_InorganicFertiliser_Brands[[#This Row],[Ingredient 2 percent]]), 0)+
IFERROR((_xlfn.XLOOKUP(Table_Input_InorganicFertiliser_Brands[[#This Row],[Ingredient 3]],Table_Fertiliser_ChemicalCompounds[Fertiliser type f],Table_Fertiliser_ChemicalCompounds[FNinorganic f])*Table_Input_InorganicFertiliser_Brands[[#This Row],[Ingredient 3 percent]]), 0)+
IFERROR((_xlfn.XLOOKUP(Table_Input_InorganicFertiliser_Brands[[#This Row],[Ingredient 4]],Table_Fertiliser_ChemicalCompounds[Fertiliser type f],Table_Fertiliser_ChemicalCompounds[FNinorganic f])*Table_Input_InorganicFertiliser_Brands[[#This Row],[Ingredient 4 percent]]), 0)+
IFERROR((_xlfn.XLOOKUP(Table_Input_InorganicFertiliser_Brands[[#This Row],[Ingredient 5]],Table_Fertiliser_ChemicalCompounds[Fertiliser type f],Table_Fertiliser_ChemicalCompounds[FNinorganic f])*Table_Input_InorganicFertiliser_Brands[[#This Row],[Ingredient 5 percent]]), 0)+
IFERROR((_xlfn.XLOOKUP(Table_Input_InorganicFertiliser_Brands[[#This Row],[Ingredient 6]],Table_Fertiliser_ChemicalCompounds[Fertiliser type f],Table_Fertiliser_ChemicalCompounds[FNinorganic f])*Table_Input_InorganicFertiliser_Brands[[#This Row],[Ingredient 6 percent]]), 0))</f>
        <v>55.2</v>
      </c>
    </row>
    <row r="19" spans="1:20" ht="20.100000000000001" customHeight="1" x14ac:dyDescent="0.25">
      <c r="D19" s="142"/>
      <c r="E19" s="143"/>
      <c r="F19" s="144"/>
      <c r="G19" s="144"/>
      <c r="H19" s="144"/>
      <c r="I19" s="144"/>
      <c r="J19" s="145"/>
      <c r="K19" s="145"/>
      <c r="L19" s="146"/>
      <c r="M19" s="146"/>
      <c r="N19" s="147"/>
      <c r="O19" s="147"/>
      <c r="P19" s="147"/>
      <c r="Q19" s="147"/>
      <c r="R19" s="147"/>
      <c r="S19" s="147"/>
      <c r="T19" s="147"/>
    </row>
    <row r="20" spans="1:20" ht="20.100000000000001" customHeight="1" x14ac:dyDescent="0.25">
      <c r="Q20" s="147"/>
      <c r="R20" s="147"/>
      <c r="S20" s="147"/>
      <c r="T20" s="147"/>
    </row>
    <row r="21" spans="1:20" ht="20.100000000000001" customHeight="1" x14ac:dyDescent="0.25">
      <c r="D21" s="148" t="s">
        <v>241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7"/>
      <c r="O21" s="147"/>
      <c r="P21" s="147"/>
      <c r="Q21" s="147"/>
      <c r="R21" s="147"/>
      <c r="S21" s="147"/>
      <c r="T21" s="147"/>
    </row>
    <row r="22" spans="1:20" ht="36" customHeight="1" x14ac:dyDescent="0.25">
      <c r="D22" s="134" t="s">
        <v>242</v>
      </c>
      <c r="E22" s="134" t="s">
        <v>248</v>
      </c>
      <c r="F22" s="134" t="s">
        <v>237</v>
      </c>
      <c r="G22" s="134" t="s">
        <v>238</v>
      </c>
      <c r="H22" s="134" t="s">
        <v>243</v>
      </c>
      <c r="I22" s="134" t="s">
        <v>189</v>
      </c>
      <c r="J22" s="134" t="s">
        <v>191</v>
      </c>
      <c r="K22" s="134" t="s">
        <v>192</v>
      </c>
      <c r="L22" s="134" t="s">
        <v>194</v>
      </c>
      <c r="M22" s="134" t="s">
        <v>195</v>
      </c>
      <c r="N22" s="134" t="s">
        <v>197</v>
      </c>
      <c r="O22" s="134" t="s">
        <v>198</v>
      </c>
      <c r="P22" s="134" t="s">
        <v>256</v>
      </c>
      <c r="Q22" s="147"/>
      <c r="R22" s="147"/>
      <c r="S22" s="147"/>
      <c r="T22" s="147"/>
    </row>
    <row r="23" spans="1:20" ht="36" customHeight="1" x14ac:dyDescent="0.25">
      <c r="D23" s="33" t="s">
        <v>244</v>
      </c>
      <c r="E23" s="134">
        <v>200</v>
      </c>
      <c r="F23" s="140">
        <f>$E$9</f>
        <v>100</v>
      </c>
      <c r="G23" s="141">
        <f>Table_Input_InorganicFertiliser_Custom[[#This Row],[Amount applied (kg / ha)]]*Table_Input_InorganicFertiliser_Custom[[#This Row],[Application area (ha)]]</f>
        <v>20000</v>
      </c>
      <c r="H23" s="151" t="s">
        <v>281</v>
      </c>
      <c r="I23" s="154">
        <v>0.45</v>
      </c>
      <c r="J23" s="151" t="s">
        <v>245</v>
      </c>
      <c r="K23" s="154">
        <v>0.3</v>
      </c>
      <c r="L23" s="151" t="s">
        <v>246</v>
      </c>
      <c r="M23" s="154">
        <v>0.1</v>
      </c>
      <c r="N23" s="152" t="s">
        <v>247</v>
      </c>
      <c r="O23" s="141">
        <v>0.05</v>
      </c>
      <c r="P23" s="141">
        <f>Table_Input_InorganicFertiliser_Custom[[#This Row],[Amount applied (kg / ha)]]*
(IFERROR((_xlfn.XLOOKUP(Table_Input_InorganicFertiliser_Custom[[#This Row],[Ingredient 1 (select)]], Table_Fertiliser_ChemicalCompounds[Fertiliser type f],Table_Fertiliser_ChemicalCompounds[FNinorganic f])*Table_Input_InorganicFertiliser_Custom[[#This Row],[Ingredient 1 percent]]), 0) +
IFERROR((_xlfn.XLOOKUP(Table_Input_InorganicFertiliser_Custom[[#This Row],[Ingredient 2]], Table_Fertiliser_ChemicalCompounds[Fertiliser type f],Table_Fertiliser_ChemicalCompounds[FNinorganic f])*Table_Input_InorganicFertiliser_Custom[[#This Row],[Ingredient 2 percent]]), 0) +
IFERROR((_xlfn.XLOOKUP(Table_Input_InorganicFertiliser_Custom[[#This Row],[Ingredient 3]], Table_Fertiliser_ChemicalCompounds[Fertiliser type f],Table_Fertiliser_ChemicalCompounds[FNinorganic f])*Table_Input_InorganicFertiliser_Custom[[#This Row],[Ingredient 3 percent]]), 0) +
IFERROR((_xlfn.XLOOKUP(Table_Input_InorganicFertiliser_Custom[[#This Row],[Ingredient 4]], Table_Fertiliser_ChemicalCompounds[Fertiliser type f],Table_Fertiliser_ChemicalCompounds[FNinorganic f])*Table_Input_InorganicFertiliser_Custom[[#This Row],[Ingredient 4 percent]]), 0)
)</f>
        <v>90</v>
      </c>
    </row>
    <row r="24" spans="1:20" ht="20.100000000000001" customHeight="1" x14ac:dyDescent="0.25"/>
    <row r="25" spans="1:20" ht="20.100000000000001" customHeight="1" x14ac:dyDescent="0.25"/>
    <row r="26" spans="1:20" ht="20.100000000000001" customHeight="1" x14ac:dyDescent="0.25">
      <c r="D26" s="6" t="s">
        <v>283</v>
      </c>
      <c r="E26" s="3"/>
      <c r="F26" s="3"/>
      <c r="G26" s="3"/>
      <c r="H26" s="3"/>
      <c r="I26" s="3"/>
      <c r="J26" s="3"/>
      <c r="K26" s="22"/>
      <c r="L26" s="22"/>
      <c r="M26" s="22"/>
    </row>
    <row r="27" spans="1:20" ht="20.100000000000001" customHeight="1" x14ac:dyDescent="0.25">
      <c r="A27" s="17"/>
      <c r="D27" s="22"/>
      <c r="E27" s="22"/>
      <c r="F27" s="22"/>
      <c r="G27" s="22"/>
      <c r="H27" s="22"/>
      <c r="I27" s="22"/>
      <c r="J27" s="22"/>
      <c r="K27" s="22"/>
      <c r="L27" s="22"/>
      <c r="M27" s="3"/>
    </row>
    <row r="28" spans="1:20" ht="20.100000000000001" customHeight="1" x14ac:dyDescent="0.25">
      <c r="A28" s="17"/>
      <c r="D28" s="109" t="s">
        <v>284</v>
      </c>
      <c r="E28" s="86"/>
      <c r="F28" s="82"/>
      <c r="G28" s="109"/>
      <c r="H28" s="82"/>
      <c r="I28" s="3"/>
      <c r="J28" s="3"/>
      <c r="K28" s="22"/>
      <c r="L28" s="22"/>
      <c r="M28" s="22"/>
    </row>
    <row r="29" spans="1:20" ht="20.100000000000001" customHeight="1" x14ac:dyDescent="0.25">
      <c r="A29" s="17"/>
      <c r="D29" s="88" t="s">
        <v>285</v>
      </c>
      <c r="E29" s="85"/>
      <c r="F29" s="83"/>
      <c r="G29" s="88"/>
      <c r="H29" s="83"/>
      <c r="I29" s="22"/>
      <c r="J29" s="22"/>
      <c r="K29" s="22"/>
      <c r="L29" s="22"/>
      <c r="M29" s="3"/>
    </row>
    <row r="30" spans="1:20" ht="20.100000000000001" customHeight="1" x14ac:dyDescent="0.25">
      <c r="A30" s="17"/>
      <c r="D30" s="22"/>
      <c r="E30" s="22"/>
      <c r="F30" s="22"/>
      <c r="G30" s="22"/>
      <c r="H30" s="22"/>
      <c r="I30" s="22"/>
      <c r="J30" s="22"/>
      <c r="K30" s="22"/>
      <c r="L30" s="22"/>
      <c r="M30" s="3"/>
    </row>
    <row r="31" spans="1:20" ht="36" customHeight="1" x14ac:dyDescent="0.25">
      <c r="A31" s="62"/>
      <c r="D31" s="157" t="s">
        <v>187</v>
      </c>
      <c r="E31" s="157" t="s">
        <v>286</v>
      </c>
      <c r="F31" s="157" t="s">
        <v>237</v>
      </c>
      <c r="G31" s="157" t="s">
        <v>287</v>
      </c>
      <c r="H31" s="157" t="s">
        <v>288</v>
      </c>
      <c r="I31" s="157" t="s">
        <v>289</v>
      </c>
      <c r="J31" s="157" t="s">
        <v>290</v>
      </c>
      <c r="K31" s="157" t="s">
        <v>291</v>
      </c>
      <c r="L31" s="157" t="s">
        <v>292</v>
      </c>
    </row>
    <row r="32" spans="1:20" ht="36" customHeight="1" x14ac:dyDescent="0.25">
      <c r="A32" s="62"/>
      <c r="D32" s="158" t="s">
        <v>293</v>
      </c>
      <c r="E32" s="140">
        <v>10</v>
      </c>
      <c r="F32" s="140">
        <f>'[1]Input - Pasture'!$E$12</f>
        <v>100</v>
      </c>
      <c r="G32" s="141">
        <f>IFERROR(Table_Input_Lime[[#This Row],[Amount applied (t/hectare)]]*Table_Input_Lime[[#This Row],[Application area (ha)]], 0)</f>
        <v>1000</v>
      </c>
      <c r="H32" s="159">
        <v>0.4</v>
      </c>
      <c r="I32" s="159">
        <v>0.3</v>
      </c>
      <c r="J32" s="159">
        <v>0.15</v>
      </c>
      <c r="K32" s="159">
        <v>0.1</v>
      </c>
      <c r="L32" s="159">
        <v>0.05</v>
      </c>
      <c r="M32" s="3"/>
    </row>
    <row r="33" spans="1:21" ht="20.100000000000001" customHeight="1" x14ac:dyDescent="0.25">
      <c r="A33" s="17"/>
      <c r="D33" s="22"/>
      <c r="E33" s="22"/>
      <c r="F33" s="22"/>
      <c r="G33" s="22"/>
      <c r="H33" s="22"/>
      <c r="I33" s="22"/>
      <c r="J33" s="22"/>
      <c r="L33" s="3"/>
      <c r="M33" s="3"/>
    </row>
    <row r="34" spans="1:21" ht="20.100000000000001" customHeight="1" x14ac:dyDescent="0.25">
      <c r="D34" s="22"/>
      <c r="E34" s="22"/>
      <c r="F34" s="22"/>
      <c r="G34" s="22"/>
      <c r="H34" s="22"/>
      <c r="I34" s="22"/>
      <c r="J34" s="156"/>
      <c r="K34" s="3"/>
      <c r="L34" s="3"/>
      <c r="M34" s="3"/>
    </row>
    <row r="35" spans="1:21" ht="20.100000000000001" customHeight="1" x14ac:dyDescent="0.25">
      <c r="D35" s="6" t="s">
        <v>294</v>
      </c>
      <c r="E35" s="3"/>
      <c r="F35" s="3"/>
      <c r="G35" s="3"/>
      <c r="H35" s="22"/>
      <c r="I35" s="22"/>
      <c r="J35" s="22"/>
      <c r="K35" s="22"/>
      <c r="L35" s="22"/>
      <c r="M35" s="3"/>
    </row>
    <row r="36" spans="1:21" ht="20.100000000000001" customHeight="1" x14ac:dyDescent="0.25"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1:21" ht="20.100000000000001" customHeight="1" x14ac:dyDescent="0.25">
      <c r="D37" s="109" t="s">
        <v>284</v>
      </c>
      <c r="E37" s="86"/>
      <c r="F37" s="86"/>
      <c r="G37" s="86"/>
      <c r="H37" s="82"/>
      <c r="I37" s="22"/>
      <c r="J37" s="22"/>
      <c r="K37" s="22"/>
      <c r="L37" s="22"/>
      <c r="M37" s="22"/>
    </row>
    <row r="38" spans="1:21" ht="20.100000000000001" customHeight="1" x14ac:dyDescent="0.25">
      <c r="D38" s="88" t="s">
        <v>234</v>
      </c>
      <c r="E38" s="85"/>
      <c r="F38" s="85"/>
      <c r="G38" s="85"/>
      <c r="H38" s="83"/>
      <c r="I38" s="22"/>
      <c r="J38" s="22"/>
      <c r="K38" s="22"/>
      <c r="L38" s="22"/>
      <c r="M38" s="22"/>
    </row>
    <row r="39" spans="1:21" ht="20.100000000000001" customHeight="1" x14ac:dyDescent="0.25">
      <c r="A39" s="17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1:21" s="150" customFormat="1" ht="36" customHeight="1" x14ac:dyDescent="0.25">
      <c r="C40" s="147"/>
      <c r="D40" s="157" t="s">
        <v>295</v>
      </c>
      <c r="E40" s="157" t="s">
        <v>296</v>
      </c>
      <c r="F40" s="157" t="s">
        <v>297</v>
      </c>
      <c r="G40" s="157" t="s">
        <v>298</v>
      </c>
      <c r="H40" s="157" t="s">
        <v>299</v>
      </c>
      <c r="I40" s="157" t="s">
        <v>237</v>
      </c>
      <c r="J40" s="157" t="s">
        <v>300</v>
      </c>
      <c r="K40" s="157" t="s">
        <v>301</v>
      </c>
      <c r="L40" s="149"/>
      <c r="M40" s="149"/>
      <c r="N40" s="147"/>
      <c r="O40" s="147"/>
      <c r="P40" s="147"/>
      <c r="Q40" s="147"/>
      <c r="R40" s="147"/>
      <c r="S40" s="147"/>
      <c r="T40" s="147"/>
      <c r="U40" s="147"/>
    </row>
    <row r="41" spans="1:21" s="150" customFormat="1" ht="36" customHeight="1" x14ac:dyDescent="0.25">
      <c r="A41" s="160"/>
      <c r="C41" s="147"/>
      <c r="D41" s="139" t="s">
        <v>302</v>
      </c>
      <c r="E41" s="139" t="s">
        <v>240</v>
      </c>
      <c r="F41" s="159">
        <v>0.3</v>
      </c>
      <c r="G41" s="140">
        <v>10</v>
      </c>
      <c r="H41" s="141">
        <f>Table_Input_OrganicFertiliser[[#This Row],[Amount applied (kg/hectare)]]*Table_Input_OrganicFertiliser[[#This Row],[Percentage of N in fertiliser]]</f>
        <v>3</v>
      </c>
      <c r="I41" s="140">
        <f>'[1]Input - Pasture'!$E$12</f>
        <v>100</v>
      </c>
      <c r="J41" s="141">
        <f>Table_Input_OrganicFertiliser[[#This Row],[Amount applied (kg/hectare)]]*Table_Input_OrganicFertiliser[[#This Row],[Application area (ha)]]</f>
        <v>1000</v>
      </c>
      <c r="K41" s="141">
        <f>IFERROR(Table_Input_OrganicFertiliser[[#This Row],[Amount N applied (kg/hectare)]]*Table_Input_OrganicFertiliser[[#This Row],[Application area (ha)]], 0)</f>
        <v>300</v>
      </c>
      <c r="L41" s="149"/>
      <c r="M41" s="149"/>
      <c r="N41" s="147"/>
      <c r="O41" s="147"/>
      <c r="P41" s="147"/>
      <c r="Q41" s="147"/>
      <c r="R41" s="147"/>
      <c r="S41" s="147"/>
      <c r="T41" s="147"/>
      <c r="U41" s="147"/>
    </row>
    <row r="42" spans="1:21" ht="20.100000000000001" customHeight="1" x14ac:dyDescent="0.25"/>
    <row r="43" spans="1:21" ht="20.100000000000001" customHeight="1" x14ac:dyDescent="0.25"/>
    <row r="44" spans="1:21" ht="20.100000000000001" customHeight="1" x14ac:dyDescent="0.25"/>
    <row r="45" spans="1:21" ht="20.100000000000001" customHeight="1" x14ac:dyDescent="0.25"/>
    <row r="46" spans="1:21" ht="20.100000000000001" customHeight="1" x14ac:dyDescent="0.25"/>
    <row r="47" spans="1:21" ht="20.100000000000001" customHeight="1" x14ac:dyDescent="0.25"/>
    <row r="48" spans="1:2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spans="13:13" ht="20.100000000000001" customHeight="1" x14ac:dyDescent="0.25"/>
    <row r="98" spans="13:13" ht="20.100000000000001" customHeight="1" x14ac:dyDescent="0.25"/>
    <row r="99" spans="13:13" ht="20.100000000000001" customHeight="1" x14ac:dyDescent="0.25"/>
    <row r="100" spans="13:13" ht="20.100000000000001" customHeight="1" x14ac:dyDescent="0.25"/>
    <row r="101" spans="13:13" ht="20.100000000000001" customHeight="1" x14ac:dyDescent="0.25"/>
    <row r="102" spans="13:13" ht="20.100000000000001" customHeight="1" x14ac:dyDescent="0.25"/>
    <row r="103" spans="13:13" ht="20.100000000000001" customHeight="1" x14ac:dyDescent="0.25"/>
    <row r="104" spans="13:13" ht="20.100000000000001" customHeight="1" x14ac:dyDescent="0.25"/>
    <row r="105" spans="13:13" ht="20.100000000000001" customHeight="1" x14ac:dyDescent="0.25"/>
    <row r="106" spans="13:13" ht="20.100000000000001" customHeight="1" x14ac:dyDescent="0.25"/>
    <row r="107" spans="13:13" ht="20.100000000000001" customHeight="1" x14ac:dyDescent="0.25"/>
    <row r="108" spans="13:13" ht="20.100000000000001" customHeight="1" x14ac:dyDescent="0.25">
      <c r="M108" s="3"/>
    </row>
    <row r="109" spans="13:13" ht="20.100000000000001" customHeight="1" x14ac:dyDescent="0.25">
      <c r="M109" s="3"/>
    </row>
    <row r="110" spans="13:13" ht="20.100000000000001" customHeight="1" x14ac:dyDescent="0.25">
      <c r="M110" s="3"/>
    </row>
    <row r="111" spans="13:13" ht="20.100000000000001" customHeight="1" x14ac:dyDescent="0.25">
      <c r="M111" s="3"/>
    </row>
    <row r="112" spans="13:13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0"/>
    </row>
  </sheetData>
  <conditionalFormatting sqref="E205:G205">
    <cfRule type="cellIs" dxfId="29" priority="79" operator="lessThan">
      <formula>0</formula>
    </cfRule>
  </conditionalFormatting>
  <conditionalFormatting sqref="F43">
    <cfRule type="cellIs" dxfId="28" priority="62" operator="lessThan">
      <formula>0</formula>
    </cfRule>
  </conditionalFormatting>
  <conditionalFormatting sqref="F121:F122">
    <cfRule type="cellIs" dxfId="27" priority="21" operator="lessThan">
      <formula>0</formula>
    </cfRule>
  </conditionalFormatting>
  <conditionalFormatting sqref="F133:F134">
    <cfRule type="cellIs" dxfId="26" priority="20" operator="lessThan">
      <formula>0</formula>
    </cfRule>
  </conditionalFormatting>
  <conditionalFormatting sqref="F145:F146">
    <cfRule type="cellIs" dxfId="25" priority="19" operator="lessThan">
      <formula>0</formula>
    </cfRule>
  </conditionalFormatting>
  <conditionalFormatting sqref="F157:F158">
    <cfRule type="cellIs" dxfId="24" priority="18" operator="lessThan">
      <formula>0</formula>
    </cfRule>
  </conditionalFormatting>
  <conditionalFormatting sqref="F245:F246">
    <cfRule type="cellIs" dxfId="23" priority="93" operator="lessThan">
      <formula>0</formula>
    </cfRule>
  </conditionalFormatting>
  <conditionalFormatting sqref="F250:F251">
    <cfRule type="cellIs" dxfId="22" priority="92" operator="lessThan">
      <formula>0</formula>
    </cfRule>
  </conditionalFormatting>
  <conditionalFormatting sqref="F255:F256">
    <cfRule type="cellIs" dxfId="21" priority="91" operator="lessThan">
      <formula>0</formula>
    </cfRule>
  </conditionalFormatting>
  <conditionalFormatting sqref="F279:F280">
    <cfRule type="cellIs" dxfId="20" priority="85" operator="lessThan">
      <formula>0</formula>
    </cfRule>
  </conditionalFormatting>
  <conditionalFormatting sqref="F284:F285">
    <cfRule type="cellIs" dxfId="19" priority="84" operator="lessThan">
      <formula>0</formula>
    </cfRule>
  </conditionalFormatting>
  <conditionalFormatting sqref="F289:F290">
    <cfRule type="cellIs" dxfId="18" priority="83" operator="lessThan">
      <formula>0</formula>
    </cfRule>
  </conditionalFormatting>
  <conditionalFormatting sqref="I30:I34">
    <cfRule type="cellIs" dxfId="17" priority="55" operator="lessThan">
      <formula>0</formula>
    </cfRule>
  </conditionalFormatting>
  <conditionalFormatting sqref="I38:I42 N43:O43 I60 M101 I119:J119 K180:L180 K184:L185 K188:L189 K194:L195 K198:L198 I199:L199 I205:L205">
    <cfRule type="cellIs" dxfId="16" priority="74" operator="lessThan">
      <formula>0</formula>
    </cfRule>
  </conditionalFormatting>
  <conditionalFormatting sqref="I45:I49">
    <cfRule type="cellIs" dxfId="15" priority="6" operator="lessThan">
      <formula>0</formula>
    </cfRule>
  </conditionalFormatting>
  <conditionalFormatting sqref="I52:I56">
    <cfRule type="cellIs" dxfId="14" priority="5" operator="lessThan">
      <formula>0</formula>
    </cfRule>
  </conditionalFormatting>
  <conditionalFormatting sqref="I71:I73">
    <cfRule type="cellIs" dxfId="13" priority="4" operator="lessThan">
      <formula>0</formula>
    </cfRule>
  </conditionalFormatting>
  <conditionalFormatting sqref="I77:I80">
    <cfRule type="cellIs" dxfId="12" priority="3" operator="lessThan">
      <formula>0</formula>
    </cfRule>
  </conditionalFormatting>
  <conditionalFormatting sqref="I84:I88">
    <cfRule type="cellIs" dxfId="11" priority="1" operator="lessThan">
      <formula>0</formula>
    </cfRule>
  </conditionalFormatting>
  <conditionalFormatting sqref="J147">
    <cfRule type="cellIs" dxfId="10" priority="24" operator="lessThan">
      <formula>0</formula>
    </cfRule>
  </conditionalFormatting>
  <conditionalFormatting sqref="L113:L116">
    <cfRule type="cellIs" dxfId="9" priority="11" operator="lessThan">
      <formula>0</formula>
    </cfRule>
  </conditionalFormatting>
  <conditionalFormatting sqref="L119">
    <cfRule type="cellIs" dxfId="8" priority="17" operator="lessThan">
      <formula>0</formula>
    </cfRule>
  </conditionalFormatting>
  <conditionalFormatting sqref="L125:L128">
    <cfRule type="cellIs" dxfId="7" priority="10" operator="lessThan">
      <formula>0</formula>
    </cfRule>
  </conditionalFormatting>
  <conditionalFormatting sqref="L131">
    <cfRule type="cellIs" dxfId="6" priority="16" operator="lessThan">
      <formula>0</formula>
    </cfRule>
  </conditionalFormatting>
  <conditionalFormatting sqref="L137:L140">
    <cfRule type="cellIs" dxfId="5" priority="9" operator="lessThan">
      <formula>0</formula>
    </cfRule>
  </conditionalFormatting>
  <conditionalFormatting sqref="L143">
    <cfRule type="cellIs" dxfId="4" priority="15" operator="lessThan">
      <formula>0</formula>
    </cfRule>
  </conditionalFormatting>
  <conditionalFormatting sqref="L149:L152">
    <cfRule type="cellIs" dxfId="3" priority="8" operator="lessThan">
      <formula>0</formula>
    </cfRule>
  </conditionalFormatting>
  <conditionalFormatting sqref="L155">
    <cfRule type="cellIs" dxfId="2" priority="14" operator="lessThan">
      <formula>0</formula>
    </cfRule>
  </conditionalFormatting>
  <conditionalFormatting sqref="L159:L160">
    <cfRule type="cellIs" dxfId="1" priority="12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0" priority="102" operator="lessThan">
      <formula>0</formula>
    </cfRule>
  </conditionalFormatting>
  <dataValidations disablePrompts="1" count="12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56 E144 E120 E132" xr:uid="{00A4EA4C-90D3-4150-979D-4D71C7F37A31}">
      <formula1>"Yes, No"</formula1>
    </dataValidation>
    <dataValidation type="list" allowBlank="1" showInputMessage="1" showErrorMessage="1" sqref="E60" xr:uid="{DBA884B0-B52E-420E-8FD2-21B082EB75E2}">
      <formula1>INDIRECT("Table_SourceData_Swine_IrrigationMethods[Irrigation method]")</formula1>
    </dataValidation>
    <dataValidation type="list" allowBlank="1" showInputMessage="1" showErrorMessage="1" sqref="E59" xr:uid="{B95E29DC-96D0-4475-A29E-3F3A3B60CEA1}">
      <formula1>INDIRECT("Table_SourceData_Swine_CropProdSystems[Production system]")</formula1>
    </dataValidation>
    <dataValidation type="list" allowBlank="1" showInputMessage="1" showErrorMessage="1" sqref="E6" xr:uid="{0A0AE702-92B7-4071-9891-43CC75783AE0}">
      <formula1>INDIRECT("Table_SourceData_Fertiliser_CropProdSystems[Production system]")</formula1>
    </dataValidation>
    <dataValidation type="list" allowBlank="1" showInputMessage="1" showErrorMessage="1" sqref="E8" xr:uid="{A588F812-6D90-402D-B63E-4EE68B0D0E18}">
      <formula1>INDIRECT("Table_SourceData_Fertiliser_IrrigationMethods[Irrigation method]")</formula1>
    </dataValidation>
    <dataValidation type="list" allowBlank="1" showInputMessage="1" showErrorMessage="1" sqref="D18" xr:uid="{B23B57EC-703F-4AE4-9B1D-0AF66025057C}">
      <formula1>INDIRECT("FertiliserProducts[Product]")</formula1>
    </dataValidation>
    <dataValidation type="list" allowBlank="1" showInputMessage="1" showErrorMessage="1" sqref="E7" xr:uid="{F72409F7-4F43-4214-A0C3-EC1C9D02F963}">
      <formula1>INDIRECT("Table_SourceData_Fertiliser_CropTypes[Production system]")</formula1>
    </dataValidation>
    <dataValidation type="list" allowBlank="1" showInputMessage="1" showErrorMessage="1" sqref="H23 J23 L23 N23" xr:uid="{4A7ED0FB-DC6D-4B9E-B043-37B0C0BD600A}">
      <formula1>INDIRECT("Table_Fertiliser_ChemicalCompounds[Fertiliser type f]")</formula1>
    </dataValidation>
    <dataValidation type="list" allowBlank="1" showInputMessage="1" showErrorMessage="1" sqref="E41" xr:uid="{6C7DB618-A123-47D3-93F6-141BDDFC202B}">
      <formula1>INDIRECT("Table_ManureSources_" &amp; SUBSTITUTE($D$44:$D$44, " ", "") &amp; "[Source]")</formula1>
    </dataValidation>
    <dataValidation type="list" allowBlank="1" showInputMessage="1" showErrorMessage="1" sqref="D41" xr:uid="{23F8C720-A764-46DD-9B01-B7EA3D86E5AB}">
      <formula1>INDIRECT("Table_SourceData_OrganicFertiliserTypes[Organic fertiliser type]")</formula1>
    </dataValidation>
  </dataValidation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342"/>
  <sheetViews>
    <sheetView showGridLines="0" topLeftCell="A54" zoomScaleNormal="100" workbookViewId="0">
      <selection activeCell="D59" sqref="D59:E8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63" t="e" vm="1">
        <v>#VALUE!</v>
      </c>
      <c r="C1" s="8" t="s">
        <v>304</v>
      </c>
      <c r="K1"/>
    </row>
    <row r="2" spans="1:24" s="9" customFormat="1" ht="20.100000000000001" customHeight="1" x14ac:dyDescent="0.25">
      <c r="K2"/>
    </row>
    <row r="3" spans="1:24" ht="20.100000000000001" customHeight="1" x14ac:dyDescent="0.25">
      <c r="C3" s="4"/>
      <c r="D3" s="4" t="s">
        <v>93</v>
      </c>
      <c r="E3" s="4"/>
      <c r="F3" s="4"/>
      <c r="G3" s="4"/>
      <c r="H3" s="4"/>
      <c r="I3" s="4"/>
      <c r="J3" s="4"/>
      <c r="L3" s="4"/>
      <c r="M3" s="4" t="s">
        <v>94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/>
    <row r="5" spans="1:24" ht="20.100000000000001" customHeight="1" x14ac:dyDescent="0.25">
      <c r="D5" s="6" t="str" cm="1">
        <f t="array" ref="D5">Fertiliser_Equations_InorganicN2O.VEERG_5_1_1_1__2_MassOfNitrogenInInorganicFertiliser_Title()</f>
        <v>Mass of nitrogen in inorganic fertiliser applied to production system</v>
      </c>
      <c r="M5" s="6" t="str" cm="1">
        <f t="array" ref="M5">Fertiliser_Equations_InorganicN2O.VEERG_5_1_1_2__1_EmissionFactorIrrigatedMaize_Title()</f>
        <v>Emission factor for nitrous oxide for irrigated maize</v>
      </c>
    </row>
    <row r="6" spans="1:24" ht="20.100000000000001" customHeight="1" x14ac:dyDescent="0.25">
      <c r="D6" s="5" t="str" cm="1">
        <f t="array" ref="D6">Fertiliser_Equations_InorganicN2O.VEERG_5_1_1_1__2_MassOfNitrogenInInorganicFertiliser_Source()</f>
        <v>VEERG 2026: 5.1.1.1, Equation (2)</v>
      </c>
      <c r="M6" s="5" t="str" cm="1">
        <f t="array" ref="M6">Fertiliser_Equations_InorganicN2O.VEERG_5_1_1_2__1_EmissionFactorIrrigatedMaize_Source()</f>
        <v>VEERG 2026: 5.1.1.2, Equation (1)</v>
      </c>
    </row>
    <row r="7" spans="1:24" ht="20.100000000000001" customHeight="1" x14ac:dyDescent="0.25">
      <c r="D7" s="13" t="s">
        <v>23</v>
      </c>
      <c r="E7" s="13" t="str" cm="1">
        <f t="array" aca="1" ref="E7" ca="1">Common_InputFunctions.Utility_DisplayFunctionName(G21)</f>
        <v>=Fertiliser_Equations_InorganicN2O.VEERG_5_1_1_1__2_MassOfNitrogenInInorganicFertiliser</v>
      </c>
    </row>
    <row r="8" spans="1:24" ht="20.100000000000001" customHeight="1" x14ac:dyDescent="0.25"/>
    <row r="9" spans="1:24" ht="20.100000000000001" customHeight="1" x14ac:dyDescent="0.25">
      <c r="M9" s="51" t="s">
        <v>26</v>
      </c>
      <c r="N9" s="1" t="str" cm="1">
        <f t="array" ref="N9">Fertiliser_Equations_InorganicN2O.VEERG_5_1_1_2__1_EmissionFactorIrrigatedMaize_Variable()</f>
        <v>EF_fjIrrigatedMaizeN2O</v>
      </c>
    </row>
    <row r="10" spans="1:24" ht="20.100000000000001" customHeight="1" x14ac:dyDescent="0.25">
      <c r="D10" s="51" t="s">
        <v>26</v>
      </c>
      <c r="E10" s="1" t="str" cm="1">
        <f t="array" ref="E10">Fertiliser_Equations_InorganicN2O.VEERG_5_1_1_1__2_MassOfNitrogenInInorganicFertiliser_Variable()</f>
        <v>MN_jf</v>
      </c>
      <c r="M10" s="51" t="s">
        <v>16</v>
      </c>
      <c r="N10" s="52" t="str" cm="1">
        <f t="array" ref="N10">Fertiliser_Equations_InorganicN2O.VEERG_5_1_1_2__1_EmissionFactorIrrigatedMaize_Unit()</f>
        <v>kg N2O-N/kg N applied</v>
      </c>
    </row>
    <row r="11" spans="1:24" ht="20.100000000000001" customHeight="1" x14ac:dyDescent="0.25">
      <c r="D11" s="51" t="s">
        <v>16</v>
      </c>
      <c r="E11" s="52" t="str" cm="1">
        <f t="array" ref="E11">Fertiliser_Equations_InorganicN2O.VEERG_5_1_1_1__2_MassOfNitrogenInInorganicFertiliser_Unit()</f>
        <v>kg N</v>
      </c>
    </row>
    <row r="12" spans="1:24" ht="20.100000000000001" customHeight="1" x14ac:dyDescent="0.25">
      <c r="M12" s="54" t="str" cm="1">
        <f t="array" ref="M12:N13">_xlfn.CHOOSECOLS(Fertiliser_Equations_InorganicN2O.VEERG_5_1_1_2__1_EmissionFactorIrrigatedMaize_Arguments(), 1, 2)</f>
        <v>N_fjIrrigatedMaize</v>
      </c>
      <c r="N12" s="55" t="str">
        <v>application rate of inorganic fertiliser type f in the irrigated maize crop (kg N/ha)</v>
      </c>
      <c r="O12" s="94"/>
      <c r="P12" s="56"/>
      <c r="Q12" s="55" t="str">
        <f>"See " &amp; $M$41</f>
        <v>See M2_Table_FertApplications</v>
      </c>
      <c r="R12" s="138"/>
      <c r="S12" s="137" t="str" cm="1">
        <f t="array" ref="S12:S13">_xlfn.CHOOSECOLS(Fertiliser_Equations_InorganicN2O.VEERG_5_1_1_2__1_EmissionFactorIrrigatedMaize_Arguments(), 3)</f>
        <v>Input</v>
      </c>
    </row>
    <row r="13" spans="1:24" ht="20.100000000000001" customHeight="1" x14ac:dyDescent="0.25">
      <c r="D13" s="54" t="str" cm="1">
        <f t="array" ref="D13:E14">_xlfn.CHOOSECOLS(Fertiliser_Equations_InorganicN2O.VEERG_5_1_1_1__2_MassOfNitrogenInInorganicFertiliser_Arguments(), 1,2)</f>
        <v>TM_jf</v>
      </c>
      <c r="E13" s="54" t="str">
        <v>total mass of inorganic fertiliser type f applied to production system j (kg)</v>
      </c>
      <c r="F13" s="54"/>
      <c r="G13" s="54" t="str">
        <f>"See " &amp; $D$16</f>
        <v>See Table_MN_j_f</v>
      </c>
      <c r="H13" s="129" t="str" cm="1">
        <f t="array" ref="H13:H14">_xlfn.CHOOSECOLS(Fertiliser_Equations_InorganicN2O.VEERG_5_1_1_1__2_MassOfNitrogenInInorganicFertiliser_Arguments(), 3)</f>
        <v>Input</v>
      </c>
      <c r="M13" s="54" t="str">
        <v>f</v>
      </c>
      <c r="N13" s="55" t="str">
        <v>Inorganic fertiliser type</v>
      </c>
      <c r="O13" s="94"/>
      <c r="P13" s="56"/>
      <c r="Q13" s="55" t="s">
        <v>264</v>
      </c>
      <c r="R13" s="138"/>
      <c r="S13" s="136" t="str">
        <v>Constant</v>
      </c>
    </row>
    <row r="14" spans="1:24" ht="20.100000000000001" customHeight="1" x14ac:dyDescent="0.25">
      <c r="D14" s="54" t="str">
        <v>FN_inorganicf</v>
      </c>
      <c r="E14" s="55" t="str">
        <v>fraction of nitrogen in inorganic fertiliser type f (kg N/kg)</v>
      </c>
      <c r="F14" s="56"/>
      <c r="G14" s="54" t="str">
        <f>"See " &amp; $D$16</f>
        <v>See Table_MN_j_f</v>
      </c>
      <c r="H14" s="128" t="str">
        <v>Constant</v>
      </c>
    </row>
    <row r="15" spans="1:24" ht="20.100000000000001" customHeight="1" x14ac:dyDescent="0.25"/>
    <row r="16" spans="1:24" ht="20.100000000000001" customHeight="1" x14ac:dyDescent="0.25">
      <c r="D16" s="93" t="s">
        <v>231</v>
      </c>
      <c r="M16" s="6" t="str" cm="1">
        <f t="array" ref="M16">Fertiliser_Equations_InorganicN2O.VEERG_5_1_1_2__2_EmissionFactorNonIrrigatedGrainsHighRainfall_Title()</f>
        <v>Emission factor for nitrous oxide for non-irrigated grains in high rainfall zone</v>
      </c>
    </row>
    <row r="17" spans="4:19" ht="20.100000000000001" customHeight="1" x14ac:dyDescent="0.25">
      <c r="D17" s="92" t="s">
        <v>252</v>
      </c>
      <c r="M17" s="5" t="str" cm="1">
        <f t="array" ref="M17">Fertiliser_Equations_InorganicN2O.VEERG_5_1_1_2__2_EmissionFactorNonIrrigatedGrainsHighRainfall_Source()</f>
        <v>VEERG 2026: 5.1.1.2, Equation (2)</v>
      </c>
    </row>
    <row r="18" spans="4:19" ht="20.100000000000001" customHeight="1" x14ac:dyDescent="0.25">
      <c r="E18" s="137" t="s">
        <v>226</v>
      </c>
      <c r="F18" s="136" t="s">
        <v>251</v>
      </c>
      <c r="G18" s="136" t="s">
        <v>249</v>
      </c>
    </row>
    <row r="19" spans="4:19" ht="20.100000000000001" customHeight="1" x14ac:dyDescent="0.25">
      <c r="E19" s="135" t="s">
        <v>228</v>
      </c>
      <c r="F19" s="135" t="s">
        <v>105</v>
      </c>
      <c r="G19" s="135" t="str">
        <f>$E$11</f>
        <v>kg N</v>
      </c>
    </row>
    <row r="20" spans="4:19" ht="20.100000000000001" customHeight="1" x14ac:dyDescent="0.25">
      <c r="D20" s="49" t="s">
        <v>185</v>
      </c>
      <c r="E20" s="127" t="s">
        <v>230</v>
      </c>
      <c r="F20" s="49" t="s">
        <v>229</v>
      </c>
      <c r="G20" s="49" t="s">
        <v>250</v>
      </c>
      <c r="M20" s="51" t="s">
        <v>26</v>
      </c>
      <c r="N20" s="1" t="str" cm="1">
        <f t="array" ref="N20">Fertiliser_Equations_InorganicN2O.VEERG_5_1_1_2__2_EmissionFactorNonIrrigatedGrainsHighRainfall_Variable()</f>
        <v>EF_fjNonIrrigatedGrainsN2O</v>
      </c>
    </row>
    <row r="21" spans="4:19" ht="20.100000000000001" customHeight="1" x14ac:dyDescent="0.25">
      <c r="D21" s="50" t="str" cm="1">
        <f t="array" ref="D21:D38">Table_Fertiliser_ChemicalCompounds[Fertiliser type f]</f>
        <v>Monoammonium phosphate (MAP)</v>
      </c>
      <c r="E21" s="50" cm="1">
        <f t="array" ref="E21">Fertiliser_InputFunctions.Fertiliser_TotalChemicalCompoundAppliedAllIngredients($D21,Table_Input_InorganicFertiliser_Brands[Total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Fertiliser_InputFunctions.Fertiliser_TotalChemicalCompoundAppliedAllIngredients($D21,Table_Input_InorganicFertiliser_Custom[Total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4000</v>
      </c>
      <c r="F21" s="50" cm="1">
        <f t="array" ref="F21">Common_InputFunctions.Utility_LookupValueInTableNumber(D21,Table_Fertiliser_ChemicalCompounds[Fertiliser type f],Table_Fertiliser_ChemicalCompounds[FNinorganic f])</f>
        <v>0.1</v>
      </c>
      <c r="G21" s="50" cm="1">
        <f t="array" ref="G21">Fertiliser_Equations_InorganicN2O.VEERG_5_1_1_1__2_MassOfNitrogenInInorganicFertiliser(E21,F21)</f>
        <v>400</v>
      </c>
      <c r="M21" s="51" t="s">
        <v>16</v>
      </c>
      <c r="N21" s="52" t="str" cm="1">
        <f t="array" ref="N21">Fertiliser_Equations_InorganicN2O.VEERG_5_1_1_2__2_EmissionFactorNonIrrigatedGrainsHighRainfall_Unit()</f>
        <v>kg N2O-N/kg N applied</v>
      </c>
    </row>
    <row r="22" spans="4:19" ht="20.100000000000001" customHeight="1" x14ac:dyDescent="0.25">
      <c r="D22" s="50" t="str">
        <v>Diammonium phosphate (DAP)</v>
      </c>
      <c r="E22" s="50" cm="1">
        <f t="array" ref="E22">Fertiliser_InputFunctions.Fertiliser_TotalChemicalCompoundAppliedAllIngredients($D22,Table_Input_InorganicFertiliser_Brands[Total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Fertiliser_InputFunctions.Fertiliser_TotalChemicalCompoundAppliedAllIngredients($D22,Table_Input_InorganicFertiliser_Custom[Total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2" s="50" cm="1">
        <f t="array" ref="F22">Common_InputFunctions.Utility_LookupValueInTableNumber(D22,Table_Fertiliser_ChemicalCompounds[Fertiliser type f],Table_Fertiliser_ChemicalCompounds[FNinorganic f])</f>
        <v>0.18</v>
      </c>
      <c r="G22" s="50" cm="1">
        <f t="array" ref="G22">Fertiliser_Equations_InorganicN2O.VEERG_5_1_1_1__2_MassOfNitrogenInInorganicFertiliser(E22,F22)</f>
        <v>0</v>
      </c>
    </row>
    <row r="23" spans="4:19" ht="20.100000000000001" customHeight="1" x14ac:dyDescent="0.25">
      <c r="D23" s="50" t="str">
        <v>Urea</v>
      </c>
      <c r="E23" s="50" cm="1">
        <f t="array" ref="E23">Fertiliser_InputFunctions.Fertiliser_TotalChemicalCompoundAppliedAllIngredients($D23,Table_Input_InorganicFertiliser_Brands[Total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Fertiliser_InputFunctions.Fertiliser_TotalChemicalCompoundAppliedAllIngredients($D23,Table_Input_InorganicFertiliser_Custom[Total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3" s="50" cm="1">
        <f t="array" ref="F23">Common_InputFunctions.Utility_LookupValueInTableNumber(D23,Table_Fertiliser_ChemicalCompounds[Fertiliser type f],Table_Fertiliser_ChemicalCompounds[FNinorganic f])</f>
        <v>0.46</v>
      </c>
      <c r="G23" s="50" cm="1">
        <f t="array" ref="G23">Fertiliser_Equations_InorganicN2O.VEERG_5_1_1_1__2_MassOfNitrogenInInorganicFertiliser(E23,F23)</f>
        <v>0</v>
      </c>
      <c r="M23" s="54" t="str" cm="1">
        <f t="array" ref="M23:N24">_xlfn.CHOOSECOLS(Fertiliser_Equations_InorganicN2O.VEERG_5_1_1_2__2_EmissionFactorNonIrrigatedGrainsHighRainfall_Arguments(), 1, 2)</f>
        <v>N_fjNonIrrigatedGrains</v>
      </c>
      <c r="N23" s="55" t="str">
        <v>application rate of inorganic fertiliser type f in the grains crop (kg N/ha)</v>
      </c>
      <c r="O23" s="94"/>
      <c r="P23" s="56"/>
      <c r="Q23" s="55" t="str">
        <f>"See " &amp; $M$41</f>
        <v>See M2_Table_FertApplications</v>
      </c>
      <c r="R23" s="56"/>
      <c r="S23" s="137" t="str" cm="1">
        <f t="array" ref="S23:S24">_xlfn.CHOOSECOLS(Fertiliser_Equations_InorganicN2O.VEERG_5_1_1_2__2_EmissionFactorNonIrrigatedGrainsHighRainfall_Arguments(), 3)</f>
        <v>Input</v>
      </c>
    </row>
    <row r="24" spans="4:19" ht="20.100000000000001" customHeight="1" x14ac:dyDescent="0.25">
      <c r="D24" s="50" t="str">
        <v>Sulphate of ammonia (SOA)</v>
      </c>
      <c r="E24" s="50" cm="1">
        <f t="array" ref="E24">Fertiliser_InputFunctions.Fertiliser_TotalChemicalCompoundAppliedAllIngredients($D24,Table_Input_InorganicFertiliser_Brands[Total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Fertiliser_InputFunctions.Fertiliser_TotalChemicalCompoundAppliedAllIngredients($D24,Table_Input_InorganicFertiliser_Custom[Total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4" s="50" cm="1">
        <f t="array" ref="F24">Common_InputFunctions.Utility_LookupValueInTableNumber(D24,Table_Fertiliser_ChemicalCompounds[Fertiliser type f],Table_Fertiliser_ChemicalCompounds[FNinorganic f])</f>
        <v>0.21</v>
      </c>
      <c r="G24" s="50" cm="1">
        <f t="array" ref="G24">Fertiliser_Equations_InorganicN2O.VEERG_5_1_1_1__2_MassOfNitrogenInInorganicFertiliser(E24,F24)</f>
        <v>0</v>
      </c>
      <c r="M24" s="54" t="str">
        <v>f</v>
      </c>
      <c r="N24" s="55" t="str">
        <v>Inorganic fertiliser type</v>
      </c>
      <c r="O24" s="94"/>
      <c r="P24" s="56"/>
      <c r="Q24" s="55" t="s">
        <v>264</v>
      </c>
      <c r="R24" s="56"/>
      <c r="S24" s="136" t="str">
        <v>Constant</v>
      </c>
    </row>
    <row r="25" spans="4:19" ht="20.100000000000001" customHeight="1" x14ac:dyDescent="0.25">
      <c r="D25" s="50" t="str">
        <v>Urea-ammonium nitrate (UAN)</v>
      </c>
      <c r="E25" s="50" cm="1">
        <f t="array" ref="E25">Fertiliser_InputFunctions.Fertiliser_TotalChemicalCompoundAppliedAllIngredients($D25,Table_Input_InorganicFertiliser_Brands[Total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Fertiliser_InputFunctions.Fertiliser_TotalChemicalCompoundAppliedAllIngredients($D25,Table_Input_InorganicFertiliser_Custom[Total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16000</v>
      </c>
      <c r="F25" s="50" cm="1">
        <f t="array" ref="F25">Common_InputFunctions.Utility_LookupValueInTableNumber(D25,Table_Fertiliser_ChemicalCompounds[Fertiliser type f],Table_Fertiliser_ChemicalCompounds[FNinorganic f])</f>
        <v>0.32</v>
      </c>
      <c r="G25" s="50" cm="1">
        <f t="array" ref="G25">Fertiliser_Equations_InorganicN2O.VEERG_5_1_1_1__2_MassOfNitrogenInInorganicFertiliser(E25,F25)</f>
        <v>5120</v>
      </c>
    </row>
    <row r="26" spans="4:19" ht="20.100000000000001" customHeight="1" x14ac:dyDescent="0.25">
      <c r="D26" s="50" t="str">
        <v>Ammonium nitrate (AN)</v>
      </c>
      <c r="E26" s="50" cm="1">
        <f t="array" ref="E26">Fertiliser_InputFunctions.Fertiliser_TotalChemicalCompoundAppliedAllIngredients($D26,Table_Input_InorganicFertiliser_Brands[Total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Fertiliser_InputFunctions.Fertiliser_TotalChemicalCompoundAppliedAllIngredients($D26,Table_Input_InorganicFertiliser_Custom[Total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6" s="50" cm="1">
        <f t="array" ref="F26">Common_InputFunctions.Utility_LookupValueInTableNumber(D26,Table_Fertiliser_ChemicalCompounds[Fertiliser type f],Table_Fertiliser_ChemicalCompounds[FNinorganic f])</f>
        <v>0.33700000000000002</v>
      </c>
      <c r="G26" s="50" cm="1">
        <f t="array" ref="G26">Fertiliser_Equations_InorganicN2O.VEERG_5_1_1_1__2_MassOfNitrogenInInorganicFertiliser(E26,F26)</f>
        <v>0</v>
      </c>
      <c r="I26" s="2"/>
    </row>
    <row r="27" spans="4:19" ht="20.100000000000001" customHeight="1" x14ac:dyDescent="0.25">
      <c r="D27" s="50" t="str">
        <v>Calcium ammonium nitrate (CAN)</v>
      </c>
      <c r="E27" s="50" cm="1">
        <f t="array" ref="E27">Fertiliser_InputFunctions.Fertiliser_TotalChemicalCompoundAppliedAllIngredients($D27,Table_Input_InorganicFertiliser_Brands[Total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Fertiliser_InputFunctions.Fertiliser_TotalChemicalCompoundAppliedAllIngredients($D27,Table_Input_InorganicFertiliser_Custom[Total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7" s="50" cm="1">
        <f t="array" ref="F27">Common_InputFunctions.Utility_LookupValueInTableNumber(D27,Table_Fertiliser_ChemicalCompounds[Fertiliser type f],Table_Fertiliser_ChemicalCompounds[FNinorganic f])</f>
        <v>0.27</v>
      </c>
      <c r="G27" s="50" cm="1">
        <f t="array" ref="G27">Fertiliser_Equations_InorganicN2O.VEERG_5_1_1_1__2_MassOfNitrogenInInorganicFertiliser(E27,F27)</f>
        <v>0</v>
      </c>
      <c r="I27" s="2"/>
      <c r="M27" s="6" t="str" cm="1">
        <f t="array" ref="M27">Fertiliser_Equations_InorganicN2O.VEERG_5_1_1_2__3_EmissionFactorCotton_Title()</f>
        <v>Emission factor for nitrous oxide for cotton</v>
      </c>
    </row>
    <row r="28" spans="4:19" ht="20.100000000000001" customHeight="1" x14ac:dyDescent="0.25">
      <c r="D28" s="50" t="str">
        <v>Nitrogen - Ammoniacal</v>
      </c>
      <c r="E28" s="50" cm="1">
        <f t="array" ref="E28">Fertiliser_InputFunctions.Fertiliser_TotalChemicalCompoundAppliedAllIngredients($D28,Table_Input_InorganicFertiliser_Brands[Total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Fertiliser_InputFunctions.Fertiliser_TotalChemicalCompoundAppliedAllIngredients($D28,Table_Input_InorganicFertiliser_Custom[Total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8" s="50" cm="1">
        <f t="array" ref="F28">Common_InputFunctions.Utility_LookupValueInTableNumber(D28,Table_Fertiliser_ChemicalCompounds[Fertiliser type f],Table_Fertiliser_ChemicalCompounds[FNinorganic f])</f>
        <v>1</v>
      </c>
      <c r="G28" s="50" cm="1">
        <f t="array" ref="G28">Fertiliser_Equations_InorganicN2O.VEERG_5_1_1_1__2_MassOfNitrogenInInorganicFertiliser(E28,F28)</f>
        <v>0</v>
      </c>
      <c r="I28" s="2"/>
      <c r="M28" s="5" t="str" cm="1">
        <f t="array" ref="M28">Fertiliser_Equations_InorganicN2O.VEERG_5_1_1_2__3_EmissionFactorCotton_Source()</f>
        <v>VEERG 2026: 5.1.1.2, Equation (3)</v>
      </c>
    </row>
    <row r="29" spans="4:19" ht="20.100000000000001" customHeight="1" x14ac:dyDescent="0.25">
      <c r="D29" s="50" t="str">
        <v>Nitrogen - Nitrate</v>
      </c>
      <c r="E29" s="50" cm="1">
        <f t="array" ref="E29">Fertiliser_InputFunctions.Fertiliser_TotalChemicalCompoundAppliedAllIngredients($D29,Table_Input_InorganicFertiliser_Brands[Total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Fertiliser_InputFunctions.Fertiliser_TotalChemicalCompoundAppliedAllIngredients($D29,Table_Input_InorganicFertiliser_Custom[Total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9" s="50" cm="1">
        <f t="array" ref="F29">Common_InputFunctions.Utility_LookupValueInTableNumber(D29,Table_Fertiliser_ChemicalCompounds[Fertiliser type f],Table_Fertiliser_ChemicalCompounds[FNinorganic f])</f>
        <v>1</v>
      </c>
      <c r="G29" s="50" cm="1">
        <f t="array" ref="G29">Fertiliser_Equations_InorganicN2O.VEERG_5_1_1_1__2_MassOfNitrogenInInorganicFertiliser(E29,F29)</f>
        <v>0</v>
      </c>
      <c r="I29" s="2"/>
    </row>
    <row r="30" spans="4:19" ht="20.100000000000001" customHeight="1" x14ac:dyDescent="0.25">
      <c r="D30" s="50" t="str">
        <v>Nitrogen - generic</v>
      </c>
      <c r="E30" s="50" cm="1">
        <f t="array" ref="E30">Fertiliser_InputFunctions.Fertiliser_TotalChemicalCompoundAppliedAllIngredients($D30,Table_Input_InorganicFertiliser_Brands[Total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Fertiliser_InputFunctions.Fertiliser_TotalChemicalCompoundAppliedAllIngredients($D30,Table_Input_InorganicFertiliser_Custom[Total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9000</v>
      </c>
      <c r="F30" s="50" cm="1">
        <f t="array" ref="F30">Common_InputFunctions.Utility_LookupValueInTableNumber(D30,Table_Fertiliser_ChemicalCompounds[Fertiliser type f],Table_Fertiliser_ChemicalCompounds[FNinorganic f])</f>
        <v>1</v>
      </c>
      <c r="G30" s="50" cm="1">
        <f t="array" ref="G30">Fertiliser_Equations_InorganicN2O.VEERG_5_1_1_1__2_MassOfNitrogenInInorganicFertiliser(E30,F30)</f>
        <v>9000</v>
      </c>
      <c r="I30" s="2"/>
    </row>
    <row r="31" spans="4:19" ht="20.100000000000001" customHeight="1" x14ac:dyDescent="0.25">
      <c r="D31" s="50" t="str">
        <v>Phosphorus - generic</v>
      </c>
      <c r="E31" s="50" cm="1">
        <f t="array" ref="E31">Fertiliser_InputFunctions.Fertiliser_TotalChemicalCompoundAppliedAllIngredients($D31,Table_Input_InorganicFertiliser_Brands[Total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Fertiliser_InputFunctions.Fertiliser_TotalChemicalCompoundAppliedAllIngredients($D31,Table_Input_InorganicFertiliser_Custom[Total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6000</v>
      </c>
      <c r="F31" s="50" cm="1">
        <f t="array" ref="F31">Common_InputFunctions.Utility_LookupValueInTableNumber(D31,Table_Fertiliser_ChemicalCompounds[Fertiliser type f],Table_Fertiliser_ChemicalCompounds[FNinorganic f])</f>
        <v>0</v>
      </c>
      <c r="G31" s="50" cm="1">
        <f t="array" ref="G31">Fertiliser_Equations_InorganicN2O.VEERG_5_1_1_1__2_MassOfNitrogenInInorganicFertiliser(E31,F31)</f>
        <v>0</v>
      </c>
      <c r="I31" s="2"/>
    </row>
    <row r="32" spans="4:19" ht="20.100000000000001" customHeight="1" x14ac:dyDescent="0.25">
      <c r="D32" s="50" t="str">
        <v>Potassium - generic</v>
      </c>
      <c r="E32" s="50" cm="1">
        <f t="array" ref="E32">Fertiliser_InputFunctions.Fertiliser_TotalChemicalCompoundAppliedAllIngredients($D32,Table_Input_InorganicFertiliser_Brands[Total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Fertiliser_InputFunctions.Fertiliser_TotalChemicalCompoundAppliedAllIngredients($D32,Table_Input_InorganicFertiliser_Custom[Total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2000</v>
      </c>
      <c r="F32" s="50" cm="1">
        <f t="array" ref="F32">Common_InputFunctions.Utility_LookupValueInTableNumber(D32,Table_Fertiliser_ChemicalCompounds[Fertiliser type f],Table_Fertiliser_ChemicalCompounds[FNinorganic f])</f>
        <v>0</v>
      </c>
      <c r="G32" s="50" cm="1">
        <f t="array" ref="G32">Fertiliser_Equations_InorganicN2O.VEERG_5_1_1_1__2_MassOfNitrogenInInorganicFertiliser(E32,F32)</f>
        <v>0</v>
      </c>
      <c r="I32" s="2"/>
      <c r="M32" s="51" t="s">
        <v>26</v>
      </c>
      <c r="N32" s="1" t="str" cm="1">
        <f t="array" ref="N32">Fertiliser_Equations_InorganicN2O.VEERG_5_1_1_2__3_EmissionFactorCotton_Variable()</f>
        <v>EF_fjCottonN2O</v>
      </c>
    </row>
    <row r="33" spans="3:23" ht="20.100000000000001" customHeight="1" x14ac:dyDescent="0.25">
      <c r="D33" s="50" t="str">
        <v>Sulfur - generic</v>
      </c>
      <c r="E33" s="50" cm="1">
        <f t="array" ref="E33">Fertiliser_InputFunctions.Fertiliser_TotalChemicalCompoundAppliedAllIngredients($D33,Table_Input_InorganicFertiliser_Brands[Total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Fertiliser_InputFunctions.Fertiliser_TotalChemicalCompoundAppliedAllIngredients($D33,Table_Input_InorganicFertiliser_Custom[Total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1000</v>
      </c>
      <c r="F33" s="50" cm="1">
        <f t="array" ref="F33">Common_InputFunctions.Utility_LookupValueInTableNumber(D33,Table_Fertiliser_ChemicalCompounds[Fertiliser type f],Table_Fertiliser_ChemicalCompounds[FNinorganic f])</f>
        <v>0</v>
      </c>
      <c r="G33" s="50" cm="1">
        <f t="array" ref="G33">Fertiliser_Equations_InorganicN2O.VEERG_5_1_1_1__2_MassOfNitrogenInInorganicFertiliser(E33,F33)</f>
        <v>0</v>
      </c>
      <c r="I33" s="2"/>
      <c r="M33" s="51" t="s">
        <v>16</v>
      </c>
      <c r="N33" s="52" t="str" cm="1">
        <f t="array" ref="N33">Fertiliser_Equations_InorganicN2O.VEERG_5_1_1_2__3_EmissionFactorCotton_Unit()</f>
        <v>kg N2O-N/kg N applied</v>
      </c>
    </row>
    <row r="34" spans="3:23" ht="20.100000000000001" customHeight="1" x14ac:dyDescent="0.25">
      <c r="D34" s="50" t="str">
        <v>Zinc - generic</v>
      </c>
      <c r="E34" s="50" cm="1">
        <f t="array" ref="E34">Fertiliser_InputFunctions.Fertiliser_TotalChemicalCompoundAppliedAllIngredients($D34,Table_Input_InorganicFertiliser_Brands[Total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Fertiliser_InputFunctions.Fertiliser_TotalChemicalCompoundAppliedAllIngredients($D34,Table_Input_InorganicFertiliser_Custom[Total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4" s="50" cm="1">
        <f t="array" ref="F34">Common_InputFunctions.Utility_LookupValueInTableNumber(D34,Table_Fertiliser_ChemicalCompounds[Fertiliser type f],Table_Fertiliser_ChemicalCompounds[FNinorganic f])</f>
        <v>0</v>
      </c>
      <c r="G34" s="50" cm="1">
        <f t="array" ref="G34">Fertiliser_Equations_InorganicN2O.VEERG_5_1_1_1__2_MassOfNitrogenInInorganicFertiliser(E34,F34)</f>
        <v>0</v>
      </c>
      <c r="I34" s="2"/>
    </row>
    <row r="35" spans="3:23" ht="20.100000000000001" customHeight="1" x14ac:dyDescent="0.25">
      <c r="D35" s="50" t="str">
        <v>Muriate of potash (MOP)</v>
      </c>
      <c r="E35" s="50" cm="1">
        <f t="array" ref="E35">Fertiliser_InputFunctions.Fertiliser_TotalChemicalCompoundAppliedAllIngredients($D35,Table_Input_InorganicFertiliser_Brands[Total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Fertiliser_InputFunctions.Fertiliser_TotalChemicalCompoundAppliedAllIngredients($D35,Table_Input_InorganicFertiliser_Custom[Total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5" s="50" cm="1">
        <f t="array" ref="F35">Common_InputFunctions.Utility_LookupValueInTableNumber(D35,Table_Fertiliser_ChemicalCompounds[Fertiliser type f],Table_Fertiliser_ChemicalCompounds[FNinorganic f])</f>
        <v>0</v>
      </c>
      <c r="G35" s="50" cm="1">
        <f t="array" ref="G35">Fertiliser_Equations_InorganicN2O.VEERG_5_1_1_1__2_MassOfNitrogenInInorganicFertiliser(E35,F35)</f>
        <v>0</v>
      </c>
      <c r="I35" s="2"/>
      <c r="M35" s="54" t="str" cm="1">
        <f t="array" ref="M35:N36">_xlfn.CHOOSECOLS(Fertiliser_Equations_InorganicN2O.VEERG_5_1_1_2__3_EmissionFactorCotton_Arguments(), 1, 2)</f>
        <v>N_fjCotton</v>
      </c>
      <c r="N35" s="55" t="str">
        <v>application rate of inorganic fertiliser type f in the cotton crop (kg N/ha)</v>
      </c>
      <c r="O35" s="94"/>
      <c r="P35" s="56"/>
      <c r="Q35" s="55" t="str">
        <f>"See " &amp; $M$41</f>
        <v>See M2_Table_FertApplications</v>
      </c>
      <c r="R35" s="56"/>
      <c r="S35" s="137" t="str" cm="1">
        <f t="array" ref="S35:S36">_xlfn.CHOOSECOLS(Fertiliser_Equations_InorganicN2O.VEERG_5_1_1_2__3_EmissionFactorCotton_Arguments(), 3)</f>
        <v>Input</v>
      </c>
    </row>
    <row r="36" spans="3:23" ht="20.100000000000001" customHeight="1" x14ac:dyDescent="0.25">
      <c r="D36" s="50" t="str">
        <v>Double superphosphate</v>
      </c>
      <c r="E36" s="50" cm="1">
        <f t="array" ref="E36">Fertiliser_InputFunctions.Fertiliser_TotalChemicalCompoundAppliedAllIngredients($D36,Table_Input_InorganicFertiliser_Brands[Total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Fertiliser_InputFunctions.Fertiliser_TotalChemicalCompoundAppliedAllIngredients($D36,Table_Input_InorganicFertiliser_Custom[Total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6" s="50" cm="1">
        <f t="array" ref="F36">Common_InputFunctions.Utility_LookupValueInTableNumber(D36,Table_Fertiliser_ChemicalCompounds[Fertiliser type f],Table_Fertiliser_ChemicalCompounds[FNinorganic f])</f>
        <v>0</v>
      </c>
      <c r="G36" s="50" cm="1">
        <f t="array" ref="G36">Fertiliser_Equations_InorganicN2O.VEERG_5_1_1_1__2_MassOfNitrogenInInorganicFertiliser(E36,F36)</f>
        <v>0</v>
      </c>
      <c r="I36" s="2"/>
      <c r="M36" s="54" t="str">
        <v>f</v>
      </c>
      <c r="N36" s="55" t="str">
        <v>Inorganic fertiliser type</v>
      </c>
      <c r="O36" s="94"/>
      <c r="P36" s="56"/>
      <c r="Q36" s="55" t="s">
        <v>264</v>
      </c>
      <c r="R36" s="56"/>
      <c r="S36" s="136" t="str">
        <v>Constant</v>
      </c>
    </row>
    <row r="37" spans="3:23" ht="20.100000000000001" customHeight="1" x14ac:dyDescent="0.25">
      <c r="D37" s="50" t="str">
        <v>Single superphosphate (SSP)</v>
      </c>
      <c r="E37" s="50" cm="1">
        <f t="array" ref="E37">Fertiliser_InputFunctions.Fertiliser_TotalChemicalCompoundAppliedAllIngredients($D37,Table_Input_InorganicFertiliser_Brands[Total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Fertiliser_InputFunctions.Fertiliser_TotalChemicalCompoundAppliedAllIngredients($D37,Table_Input_InorganicFertiliser_Custom[Total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7" s="50" cm="1">
        <f t="array" ref="F37">Common_InputFunctions.Utility_LookupValueInTableNumber(D37,Table_Fertiliser_ChemicalCompounds[Fertiliser type f],Table_Fertiliser_ChemicalCompounds[FNinorganic f])</f>
        <v>0</v>
      </c>
      <c r="G37" s="50" cm="1">
        <f t="array" ref="G37">Fertiliser_Equations_InorganicN2O.VEERG_5_1_1_1__2_MassOfNitrogenInInorganicFertiliser(E37,F37)</f>
        <v>0</v>
      </c>
      <c r="I37" s="2"/>
    </row>
    <row r="38" spans="3:23" ht="20.100000000000001" customHeight="1" x14ac:dyDescent="0.25">
      <c r="D38" s="50" t="str">
        <v>Ammonia</v>
      </c>
      <c r="E38" s="50" cm="1">
        <f t="array" ref="E38">Fertiliser_InputFunctions.Fertiliser_TotalChemicalCompoundAppliedAllIngredients($D38,Table_Input_InorganicFertiliser_Brands[Total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Fertiliser_InputFunctions.Fertiliser_TotalChemicalCompoundAppliedAllIngredients($D38,Table_Input_InorganicFertiliser_Custom[Total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8" s="50" cm="1">
        <f t="array" ref="F38">Common_InputFunctions.Utility_LookupValueInTableNumber(D38,Table_Fertiliser_ChemicalCompounds[Fertiliser type f],Table_Fertiliser_ChemicalCompounds[FNinorganic f])</f>
        <v>0.82</v>
      </c>
      <c r="G38" s="50" cm="1">
        <f t="array" ref="G38">Fertiliser_Equations_InorganicN2O.VEERG_5_1_1_1__2_MassOfNitrogenInInorganicFertiliser(E38,F38)</f>
        <v>0</v>
      </c>
      <c r="I38" s="2"/>
      <c r="N38" s="100"/>
      <c r="O38" s="100"/>
      <c r="P38" s="100"/>
    </row>
    <row r="39" spans="3:23" ht="20.100000000000001" customHeight="1" x14ac:dyDescent="0.25">
      <c r="I39" s="2"/>
      <c r="M39" s="100" t="s">
        <v>274</v>
      </c>
    </row>
    <row r="40" spans="3:23" ht="20.100000000000001" customHeight="1" x14ac:dyDescent="0.25">
      <c r="I40" s="2"/>
    </row>
    <row r="41" spans="3:23" ht="20.100000000000001" customHeight="1" x14ac:dyDescent="0.25">
      <c r="C41" s="44"/>
      <c r="D41" s="44"/>
      <c r="E41" s="44"/>
      <c r="F41" s="44"/>
      <c r="G41" s="44"/>
      <c r="H41" s="44"/>
      <c r="I41" s="44"/>
      <c r="J41" s="44"/>
      <c r="M41" s="93" t="s">
        <v>265</v>
      </c>
    </row>
    <row r="42" spans="3:23" ht="20.100000000000001" customHeight="1" x14ac:dyDescent="0.25">
      <c r="D42" s="6" t="str" cm="1">
        <f t="array" ref="D42">Fertiliser_Equations_InorganicN2O.VEERG_5_1_1_1__1_InorganicFertiliserApplicationN2OEmissions_Title()</f>
        <v>Nitrous oxide emissions from the application of all inorganic fertiliser types f to all production systems j</v>
      </c>
      <c r="M42" s="92" t="s">
        <v>263</v>
      </c>
      <c r="T42" s="101" t="s">
        <v>303</v>
      </c>
    </row>
    <row r="43" spans="3:23" ht="20.100000000000001" customHeight="1" x14ac:dyDescent="0.25">
      <c r="D43" s="5" t="str" cm="1">
        <f t="array" ref="D43">Fertiliser_Equations_InorganicN2O.VEERG_5_1_1_1__1_InorganicFertiliserApplicationN2OEmissions_Source()</f>
        <v>VEERG 2026: 5.1.1.1, Equation (1)</v>
      </c>
      <c r="N43" s="137" t="s">
        <v>226</v>
      </c>
      <c r="O43" s="137" t="s">
        <v>226</v>
      </c>
      <c r="P43" s="137" t="s">
        <v>226</v>
      </c>
      <c r="Q43" s="136" t="s">
        <v>249</v>
      </c>
      <c r="R43" s="136" t="s">
        <v>249</v>
      </c>
      <c r="S43" s="136" t="s">
        <v>249</v>
      </c>
      <c r="T43" s="136" t="s">
        <v>249</v>
      </c>
      <c r="U43" s="136" t="s">
        <v>249</v>
      </c>
      <c r="V43" s="136" t="s">
        <v>249</v>
      </c>
      <c r="W43" s="136" t="s">
        <v>227</v>
      </c>
    </row>
    <row r="44" spans="3:23" ht="20.100000000000001" customHeight="1" x14ac:dyDescent="0.25">
      <c r="D44" s="13" t="s">
        <v>23</v>
      </c>
      <c r="E44" s="13" t="str" cm="1">
        <f t="array" aca="1" ref="E44" ca="1">Common_InputFunctions.Utility_DisplayFunctionName($E$64)</f>
        <v>=Fertiliser_Equations_InorganicN2O.VEERG_5_1_1_1__1_InorganicFertiliserApplicationN2OEmissions</v>
      </c>
      <c r="F44" s="2"/>
      <c r="O44" s="135" t="s">
        <v>270</v>
      </c>
      <c r="P44" s="135" t="s">
        <v>269</v>
      </c>
      <c r="Q44" s="135" t="s">
        <v>228</v>
      </c>
      <c r="R44" s="135" t="str">
        <f>$N$10</f>
        <v>kg N2O-N/kg N applied</v>
      </c>
      <c r="S44" s="135" t="str">
        <f>$N$21</f>
        <v>kg N2O-N/kg N applied</v>
      </c>
      <c r="T44" s="135" t="s">
        <v>270</v>
      </c>
      <c r="U44" s="135" t="s">
        <v>228</v>
      </c>
      <c r="V44" s="135" t="str">
        <f>$N$33</f>
        <v>kg N2O-N/kg N applied</v>
      </c>
      <c r="W44" s="135" t="s">
        <v>271</v>
      </c>
    </row>
    <row r="45" spans="3:23" ht="20.100000000000001" customHeight="1" x14ac:dyDescent="0.25">
      <c r="F45" s="2"/>
      <c r="M45" s="49" t="s">
        <v>262</v>
      </c>
      <c r="N45" s="49" t="s">
        <v>262</v>
      </c>
      <c r="O45" s="49" t="s">
        <v>257</v>
      </c>
      <c r="P45" s="49" t="s">
        <v>258</v>
      </c>
      <c r="Q45" s="49" t="s">
        <v>259</v>
      </c>
      <c r="R45" s="49" t="s">
        <v>276</v>
      </c>
      <c r="S45" s="49" t="s">
        <v>277</v>
      </c>
      <c r="T45" s="49" t="s">
        <v>273</v>
      </c>
      <c r="U45" s="49" t="s">
        <v>268</v>
      </c>
      <c r="V45" s="49" t="s">
        <v>278</v>
      </c>
      <c r="W45" s="49" t="s">
        <v>272</v>
      </c>
    </row>
    <row r="46" spans="3:23" ht="20.100000000000001" customHeight="1" x14ac:dyDescent="0.25">
      <c r="F46" s="2"/>
      <c r="M46" s="50" t="s">
        <v>267</v>
      </c>
      <c r="N46" s="50" t="str" cm="1">
        <f t="array" ref="N46">Table_Input_InorganicFertiliser_Brands[Product (select)]</f>
        <v>80% Urea 20% MAP</v>
      </c>
      <c r="O46" s="50" cm="1">
        <f t="array" ref="O46">Table_Input_InorganicFertiliser_Brands[N application rate (kg/ha)]</f>
        <v>55.2</v>
      </c>
      <c r="P46" s="50" cm="1">
        <f t="array" ref="P46">Table_Input_InorganicFertiliser_Brands[Application area (ha)]</f>
        <v>100</v>
      </c>
      <c r="Q46" s="50">
        <f>O46*P46</f>
        <v>5520</v>
      </c>
      <c r="R46" s="50" cm="1">
        <f t="array" ref="R46">IF(O46&gt;0, Fertiliser_Equations_InorganicN2O.VEERG_5_1_1_2__1_EmissionFactorIrrigatedMaize(O46), 0)</f>
        <v>1.8932000000000003E-3</v>
      </c>
      <c r="S46" s="50" cm="1">
        <f t="array" ref="S46">IF(O46&gt;0, Fertiliser_Equations_InorganicN2O.VEERG_5_1_1_2__2_EmissionFactorNonIrrigatedGrainsHighRainfall(O46), 0)</f>
        <v>4.921E-3</v>
      </c>
      <c r="T46" s="50">
        <f>IF(O46&gt;0, MIN(300, O46), 0)</f>
        <v>55.2</v>
      </c>
      <c r="U46" s="50">
        <f>P46*T46</f>
        <v>5520</v>
      </c>
      <c r="V46" s="50" cm="1">
        <f t="array" ref="V46">IF(O46&gt;0, Fertiliser_Equations_InorganicN2O.VEERG_5_1_1_2__3_EmissionFactorCotton(T46), 0)</f>
        <v>2.9085079024988197E-5</v>
      </c>
      <c r="W46" s="50">
        <f>IF(O46&gt;0,Common_InputFunctions.Utility_LookupN2OEFFromProdIrrigationRainfall($Q$71,$Q$74,$Q$75,Table_SourceData_Common_EFN2O[Production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8.0000000000000002E-3</v>
      </c>
    </row>
    <row r="47" spans="3:23" ht="20.100000000000001" customHeight="1" x14ac:dyDescent="0.25">
      <c r="F47" s="2"/>
      <c r="M47" s="50" t="s">
        <v>267</v>
      </c>
      <c r="N47" s="50"/>
      <c r="O47" s="50"/>
      <c r="P47" s="50"/>
      <c r="Q47" s="50">
        <f>O47*P47</f>
        <v>0</v>
      </c>
      <c r="R47" s="50" cm="1">
        <f t="array" ref="R47">IF(O47&gt;0, Fertiliser_Equations_InorganicN2O.VEERG_5_1_1_2__1_EmissionFactorIrrigatedMaize(O47), 0)</f>
        <v>0</v>
      </c>
      <c r="S47" s="50" cm="1">
        <f t="array" ref="S47">IF(O47&gt;0, Fertiliser_Equations_InorganicN2O.VEERG_5_1_1_2__2_EmissionFactorNonIrrigatedGrainsHighRainfall(O47), 0)</f>
        <v>0</v>
      </c>
      <c r="T47" s="50">
        <f t="shared" ref="T47:T55" si="0">IF(O47&gt;0, MIN(300, O47), 0)</f>
        <v>0</v>
      </c>
      <c r="U47" s="50">
        <f t="shared" ref="U47:U55" si="1">P47*T47</f>
        <v>0</v>
      </c>
      <c r="V47" s="50" cm="1">
        <f t="array" ref="V47">IF(O47&gt;0, Fertiliser_Equations_InorganicN2O.VEERG_5_1_1_2__3_EmissionFactorCotton(T47), 0)</f>
        <v>0</v>
      </c>
      <c r="W47" s="50">
        <f>IF(O47&gt;0,Common_InputFunctions.Utility_LookupN2OEFFromProdIrrigationRainfall($Q$71,$Q$74,$Q$75,Table_SourceData_Common_EFN2O[Production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48" spans="3:23" ht="20.100000000000001" customHeight="1" x14ac:dyDescent="0.25">
      <c r="D48" s="51" t="s">
        <v>26</v>
      </c>
      <c r="E48" s="1" t="str" cm="1">
        <f t="array" ref="E48">Fertiliser_Equations_InorganicN2O.VEERG_5_1_1_1__1_InorganicFertiliserApplicationN2OEmissions_Variable()</f>
        <v>E_N2O</v>
      </c>
      <c r="F48" s="2"/>
      <c r="M48" s="50" t="s">
        <v>267</v>
      </c>
      <c r="N48" s="50"/>
      <c r="O48" s="50"/>
      <c r="P48" s="50"/>
      <c r="Q48" s="50">
        <f t="shared" ref="Q48:Q55" si="2">O48*P48</f>
        <v>0</v>
      </c>
      <c r="R48" s="50" cm="1">
        <f t="array" ref="R48">IF(O48&gt;0, Fertiliser_Equations_InorganicN2O.VEERG_5_1_1_2__1_EmissionFactorIrrigatedMaize(O48), 0)</f>
        <v>0</v>
      </c>
      <c r="S48" s="50" cm="1">
        <f t="array" ref="S48">IF(O48&gt;0, Fertiliser_Equations_InorganicN2O.VEERG_5_1_1_2__2_EmissionFactorNonIrrigatedGrainsHighRainfall(O48), 0)</f>
        <v>0</v>
      </c>
      <c r="T48" s="50">
        <f t="shared" si="0"/>
        <v>0</v>
      </c>
      <c r="U48" s="50">
        <f t="shared" si="1"/>
        <v>0</v>
      </c>
      <c r="V48" s="50" cm="1">
        <f t="array" ref="V48">IF(O48&gt;0, Fertiliser_Equations_InorganicN2O.VEERG_5_1_1_2__3_EmissionFactorCotton(T48), 0)</f>
        <v>0</v>
      </c>
      <c r="W48" s="50">
        <f>IF(O48&gt;0,Common_InputFunctions.Utility_LookupN2OEFFromProdIrrigationRainfall($Q$71,$Q$74,$Q$75,Table_SourceData_Common_EFN2O[Production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49" spans="4:24" ht="20.100000000000001" customHeight="1" x14ac:dyDescent="0.25">
      <c r="D49" s="51" t="s">
        <v>16</v>
      </c>
      <c r="E49" s="52" t="str" cm="1">
        <f t="array" ref="E49">Fertiliser_Equations_InorganicN2O.VEERG_5_1_1_1__1_InorganicFertiliserApplicationN2OEmissions_Unit()</f>
        <v>t N2O</v>
      </c>
      <c r="F49" s="2"/>
      <c r="M49" s="50" t="s">
        <v>267</v>
      </c>
      <c r="N49" s="50"/>
      <c r="O49" s="50"/>
      <c r="P49" s="50"/>
      <c r="Q49" s="50">
        <f t="shared" si="2"/>
        <v>0</v>
      </c>
      <c r="R49" s="50" cm="1">
        <f t="array" ref="R49">IF(O49&gt;0, Fertiliser_Equations_InorganicN2O.VEERG_5_1_1_2__1_EmissionFactorIrrigatedMaize(O49), 0)</f>
        <v>0</v>
      </c>
      <c r="S49" s="50" cm="1">
        <f t="array" ref="S49">IF(O49&gt;0, Fertiliser_Equations_InorganicN2O.VEERG_5_1_1_2__2_EmissionFactorNonIrrigatedGrainsHighRainfall(O49), 0)</f>
        <v>0</v>
      </c>
      <c r="T49" s="50">
        <f t="shared" si="0"/>
        <v>0</v>
      </c>
      <c r="U49" s="50">
        <f t="shared" si="1"/>
        <v>0</v>
      </c>
      <c r="V49" s="50" cm="1">
        <f t="array" ref="V49">IF(O49&gt;0, Fertiliser_Equations_InorganicN2O.VEERG_5_1_1_2__3_EmissionFactorCotton(T49), 0)</f>
        <v>0</v>
      </c>
      <c r="W49" s="50">
        <f>IF(O49&gt;0,Common_InputFunctions.Utility_LookupN2OEFFromProdIrrigationRainfall($Q$71,$Q$74,$Q$75,Table_SourceData_Common_EFN2O[Production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50" spans="4:24" ht="20.100000000000001" customHeight="1" x14ac:dyDescent="0.25">
      <c r="F50" s="2"/>
      <c r="M50" s="50" t="s">
        <v>267</v>
      </c>
      <c r="N50" s="50"/>
      <c r="O50" s="50"/>
      <c r="P50" s="50"/>
      <c r="Q50" s="50">
        <f t="shared" si="2"/>
        <v>0</v>
      </c>
      <c r="R50" s="50" cm="1">
        <f t="array" ref="R50">IF(O50&gt;0, Fertiliser_Equations_InorganicN2O.VEERG_5_1_1_2__1_EmissionFactorIrrigatedMaize(O50), 0)</f>
        <v>0</v>
      </c>
      <c r="S50" s="50" cm="1">
        <f t="array" ref="S50">IF(O50&gt;0, Fertiliser_Equations_InorganicN2O.VEERG_5_1_1_2__2_EmissionFactorNonIrrigatedGrainsHighRainfall(O50), 0)</f>
        <v>0</v>
      </c>
      <c r="T50" s="50">
        <f t="shared" si="0"/>
        <v>0</v>
      </c>
      <c r="U50" s="50">
        <f t="shared" si="1"/>
        <v>0</v>
      </c>
      <c r="V50" s="50" cm="1">
        <f t="array" ref="V50">IF(O50&gt;0, Fertiliser_Equations_InorganicN2O.VEERG_5_1_1_2__3_EmissionFactorCotton(T50), 0)</f>
        <v>0</v>
      </c>
      <c r="W50" s="50">
        <f>IF(O50&gt;0,Common_InputFunctions.Utility_LookupN2OEFFromProdIrrigationRainfall($Q$71,$Q$74,$Q$75,Table_SourceData_Common_EFN2O[Production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51" spans="4:24" ht="20.100000000000001" customHeight="1" x14ac:dyDescent="0.25">
      <c r="D51" s="54" t="str" cm="1">
        <f t="array" ref="D51:E57">_xlfn.CHOOSECOLS(Fertiliser_Equations_InorganicN2O.VEERG_5_1_1_1__1_InorganicFertiliserApplicationN2OEmissions_Arguments(), 1, 2)</f>
        <v>MN_jf</v>
      </c>
      <c r="E51" s="55" t="str">
        <v>mass of nitrogen in inorganic fertiliser type f applied to production system j (kg N)</v>
      </c>
      <c r="F51" s="94"/>
      <c r="G51" s="56"/>
      <c r="H51" s="54" t="str">
        <f>"See " &amp; D16</f>
        <v>See Table_MN_j_f</v>
      </c>
      <c r="I51" s="136" t="str" cm="1">
        <f t="array" ref="I51:I57">_xlfn.CHOOSECOLS(Fertiliser_Equations_InorganicN2O.VEERG_5_1_1_1__1_InorganicFertiliserApplicationN2OEmissions_Arguments(), 3)</f>
        <v>Calculated</v>
      </c>
      <c r="M51" s="50" t="s">
        <v>266</v>
      </c>
      <c r="N51" s="50" t="str" cm="1">
        <f t="array" ref="N51">Table_Input_InorganicFertiliser_Custom[Custom blend name]</f>
        <v>My first custom blend</v>
      </c>
      <c r="O51" s="50" cm="1">
        <f t="array" ref="O51">Table_Input_InorganicFertiliser_Custom[N application rate (kg/ha)]</f>
        <v>90</v>
      </c>
      <c r="P51" s="50" cm="1">
        <f t="array" ref="P51">Table_Input_InorganicFertiliser_Custom[Application area (ha)]</f>
        <v>100</v>
      </c>
      <c r="Q51" s="50">
        <f t="shared" si="2"/>
        <v>9000</v>
      </c>
      <c r="R51" s="50" cm="1">
        <f t="array" ref="R51">IF(O51&gt;0, Fertiliser_Equations_InorganicN2O.VEERG_5_1_1_2__1_EmissionFactorIrrigatedMaize(O51), 0)</f>
        <v>4.0160000000000005E-3</v>
      </c>
      <c r="S51" s="50" cm="1">
        <f t="array" ref="S51">IF(O51&gt;0, Fertiliser_Equations_InorganicN2O.VEERG_5_1_1_2__2_EmissionFactorNonIrrigatedGrainsHighRainfall(O51), 0)</f>
        <v>7.5309999999999986E-3</v>
      </c>
      <c r="T51" s="50">
        <f t="shared" si="0"/>
        <v>90</v>
      </c>
      <c r="U51" s="50">
        <f t="shared" si="1"/>
        <v>9000</v>
      </c>
      <c r="V51" s="50" cm="1">
        <f t="array" ref="V51">IF(O51&gt;0, Fertiliser_Equations_InorganicN2O.VEERG_5_1_1_2__3_EmissionFactorCotton(T51), 0)</f>
        <v>2.9209520435469616E-5</v>
      </c>
      <c r="W51" s="50">
        <f>IF(O51&gt;0,Common_InputFunctions.Utility_LookupN2OEFFromProdIrrigationRainfall($Q$71,$Q$74,$Q$75,Table_SourceData_Common_EFN2O[Production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8.0000000000000002E-3</v>
      </c>
    </row>
    <row r="52" spans="4:24" ht="20.100000000000001" customHeight="1" x14ac:dyDescent="0.25">
      <c r="D52" s="54" t="str">
        <v>EF_jN2O</v>
      </c>
      <c r="E52" s="55" t="str">
        <v>emission factor for nitrous oxide for inorganic fertilisers (kg N2O-N/kg N applied)</v>
      </c>
      <c r="F52" s="94"/>
      <c r="G52" s="56"/>
      <c r="H52" s="54">
        <f>Common_InputFunctions.Utility_LookupN2OEFFromProdIrrigationRainfall(H54,H56,H57,Table_SourceData_Common_EFN2O[Production system only],Table_SourceData_Common_EFN2O[Irrigation method],Table_SourceData_Common_EFN2O[Rainfall zone],Table_SourceData_Common_EFN2O[EFN2O])</f>
        <v>8.0000000000000002E-3</v>
      </c>
      <c r="I52" s="136" t="str">
        <v>Constant</v>
      </c>
      <c r="M52" s="50" t="s">
        <v>266</v>
      </c>
      <c r="N52" s="50"/>
      <c r="O52" s="50"/>
      <c r="P52" s="50"/>
      <c r="Q52" s="50">
        <f t="shared" si="2"/>
        <v>0</v>
      </c>
      <c r="R52" s="50" cm="1">
        <f t="array" ref="R52">IF(O52&gt;0, Fertiliser_Equations_InorganicN2O.VEERG_5_1_1_2__1_EmissionFactorIrrigatedMaize(O52), 0)</f>
        <v>0</v>
      </c>
      <c r="S52" s="50" cm="1">
        <f t="array" ref="S52">IF(O52&gt;0, Fertiliser_Equations_InorganicN2O.VEERG_5_1_1_2__2_EmissionFactorNonIrrigatedGrainsHighRainfall(O52), 0)</f>
        <v>0</v>
      </c>
      <c r="T52" s="50">
        <f t="shared" si="0"/>
        <v>0</v>
      </c>
      <c r="U52" s="50">
        <f t="shared" si="1"/>
        <v>0</v>
      </c>
      <c r="V52" s="50" cm="1">
        <f t="array" ref="V52">IF(O52&gt;0, Fertiliser_Equations_InorganicN2O.VEERG_5_1_1_2__3_EmissionFactorCotton(T52), 0)</f>
        <v>0</v>
      </c>
      <c r="W52" s="50">
        <f>IF(O52&gt;0,Common_InputFunctions.Utility_LookupN2OEFFromProdIrrigationRainfall($Q$71,$Q$74,$Q$75,Table_SourceData_Common_EFN2O[Production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53" spans="4:24" ht="20.100000000000001" customHeight="1" x14ac:dyDescent="0.25">
      <c r="D53" s="54" t="str">
        <v>C_N2O</v>
      </c>
      <c r="E53" s="55" t="str">
        <v>factor to convert elemental mass of nitrous oxide to molecular mass</v>
      </c>
      <c r="F53" s="94"/>
      <c r="G53" s="56"/>
      <c r="H53" s="54">
        <f>Common_InputFunctions.Utility_LookupValueInTableNumber("N2O",Table_GasToMolecularConversionFactor[Gas],Table_GasToMolecularConversionFactor[Conversion factor combined])</f>
        <v>1.5714285714285714</v>
      </c>
      <c r="I53" s="136" t="str">
        <v>Constant</v>
      </c>
      <c r="M53" s="50" t="s">
        <v>266</v>
      </c>
      <c r="N53" s="50"/>
      <c r="O53" s="50"/>
      <c r="P53" s="50"/>
      <c r="Q53" s="50">
        <f t="shared" si="2"/>
        <v>0</v>
      </c>
      <c r="R53" s="50" cm="1">
        <f t="array" ref="R53">IF(O53&gt;0, Fertiliser_Equations_InorganicN2O.VEERG_5_1_1_2__1_EmissionFactorIrrigatedMaize(O53), 0)</f>
        <v>0</v>
      </c>
      <c r="S53" s="50" cm="1">
        <f t="array" ref="S53">IF(O53&gt;0, Fertiliser_Equations_InorganicN2O.VEERG_5_1_1_2__2_EmissionFactorNonIrrigatedGrainsHighRainfall(O53), 0)</f>
        <v>0</v>
      </c>
      <c r="T53" s="50">
        <f t="shared" si="0"/>
        <v>0</v>
      </c>
      <c r="U53" s="50">
        <f t="shared" si="1"/>
        <v>0</v>
      </c>
      <c r="V53" s="50" cm="1">
        <f t="array" ref="V53">IF(O53&gt;0, Fertiliser_Equations_InorganicN2O.VEERG_5_1_1_2__3_EmissionFactorCotton(T53), 0)</f>
        <v>0</v>
      </c>
      <c r="W53" s="50">
        <f>IF(O53&gt;0,Common_InputFunctions.Utility_LookupN2OEFFromProdIrrigationRainfall($Q$71,$Q$74,$Q$75,Table_SourceData_Common_EFN2O[Production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54" spans="4:24" ht="20.100000000000001" customHeight="1" x14ac:dyDescent="0.25">
      <c r="D54" s="54" t="str">
        <v>j</v>
      </c>
      <c r="E54" s="55" t="str">
        <v>Production system</v>
      </c>
      <c r="F54" s="94"/>
      <c r="G54" s="56"/>
      <c r="H54" s="54" t="str">
        <f>'Input - Inorganic fertiliser'!$E$6</f>
        <v>Crop</v>
      </c>
      <c r="I54" s="137" t="str">
        <v>Input</v>
      </c>
      <c r="M54" s="50" t="s">
        <v>266</v>
      </c>
      <c r="N54" s="50"/>
      <c r="O54" s="50"/>
      <c r="P54" s="50"/>
      <c r="Q54" s="50">
        <f t="shared" si="2"/>
        <v>0</v>
      </c>
      <c r="R54" s="50" cm="1">
        <f t="array" ref="R54">IF(O54&gt;0, Fertiliser_Equations_InorganicN2O.VEERG_5_1_1_2__1_EmissionFactorIrrigatedMaize(O54), 0)</f>
        <v>0</v>
      </c>
      <c r="S54" s="50" cm="1">
        <f t="array" ref="S54">IF(O54&gt;0, Fertiliser_Equations_InorganicN2O.VEERG_5_1_1_2__2_EmissionFactorNonIrrigatedGrainsHighRainfall(O54), 0)</f>
        <v>0</v>
      </c>
      <c r="T54" s="50">
        <f t="shared" si="0"/>
        <v>0</v>
      </c>
      <c r="U54" s="50">
        <f t="shared" si="1"/>
        <v>0</v>
      </c>
      <c r="V54" s="50" cm="1">
        <f t="array" ref="V54">IF(O54&gt;0, Fertiliser_Equations_InorganicN2O.VEERG_5_1_1_2__3_EmissionFactorCotton(T54), 0)</f>
        <v>0</v>
      </c>
      <c r="W54" s="50">
        <f>IF(O54&gt;0,Common_InputFunctions.Utility_LookupN2OEFFromProdIrrigationRainfall($Q$71,$Q$74,$Q$75,Table_SourceData_Common_EFN2O[Production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55" spans="4:24" ht="20.100000000000001" customHeight="1" x14ac:dyDescent="0.25">
      <c r="D55" s="54" t="str">
        <v>f</v>
      </c>
      <c r="E55" s="55" t="str">
        <v>Inorganic fertiliser type</v>
      </c>
      <c r="F55" s="94"/>
      <c r="G55" s="56"/>
      <c r="H55" s="54" t="str">
        <f>"See " &amp; D59</f>
        <v>See M1_Table_E_N2O</v>
      </c>
      <c r="I55" s="136" t="str">
        <v>Constant</v>
      </c>
      <c r="M55" s="50" t="s">
        <v>266</v>
      </c>
      <c r="N55" s="50"/>
      <c r="O55" s="50"/>
      <c r="P55" s="50"/>
      <c r="Q55" s="50">
        <f t="shared" si="2"/>
        <v>0</v>
      </c>
      <c r="R55" s="50" cm="1">
        <f t="array" ref="R55">IF(O55&gt;0, Fertiliser_Equations_InorganicN2O.VEERG_5_1_1_2__1_EmissionFactorIrrigatedMaize(O55), 0)</f>
        <v>0</v>
      </c>
      <c r="S55" s="50" cm="1">
        <f t="array" ref="S55">IF(O55&gt;0, Fertiliser_Equations_InorganicN2O.VEERG_5_1_1_2__2_EmissionFactorNonIrrigatedGrainsHighRainfall(O55), 0)</f>
        <v>0</v>
      </c>
      <c r="T55" s="50">
        <f t="shared" si="0"/>
        <v>0</v>
      </c>
      <c r="U55" s="50">
        <f t="shared" si="1"/>
        <v>0</v>
      </c>
      <c r="V55" s="50" cm="1">
        <f t="array" ref="V55">IF(O55&gt;0, Fertiliser_Equations_InorganicN2O.VEERG_5_1_1_2__3_EmissionFactorCotton(T55), 0)</f>
        <v>0</v>
      </c>
      <c r="W55" s="50">
        <f>IF(O55&gt;0,Common_InputFunctions.Utility_LookupN2OEFFromProdIrrigationRainfall($Q$71,$Q$74,$Q$75,Table_SourceData_Common_EFN2O[Production system only],Table_SourceData_Common_EFN2O[Irrigation method],Table_SourceData_Common_EFN2O[Rainfall zone],Table_SourceData_Common_EFN2O[EFN2O]), 0)</f>
        <v>0</v>
      </c>
    </row>
    <row r="56" spans="4:24" ht="20.100000000000001" customHeight="1" x14ac:dyDescent="0.25">
      <c r="D56" s="54" t="str">
        <v>ir</v>
      </c>
      <c r="E56" s="55" t="str">
        <v>irrigation method</v>
      </c>
      <c r="F56" s="94"/>
      <c r="G56" s="56"/>
      <c r="H56" s="54" t="str">
        <f>'Input - Inorganic fertiliser'!$E$8</f>
        <v>Not irrigated</v>
      </c>
      <c r="I56" s="137" t="str">
        <v>Input</v>
      </c>
    </row>
    <row r="57" spans="4:24" ht="20.100000000000001" customHeight="1" x14ac:dyDescent="0.25">
      <c r="D57" s="54" t="str">
        <v>z</v>
      </c>
      <c r="E57" s="55" t="str">
        <v>rainfall zone</v>
      </c>
      <c r="F57" s="94"/>
      <c r="G57" s="56"/>
      <c r="H57" s="54" t="str">
        <f>'Input - Site'!$E$30</f>
        <v>High rainfall</v>
      </c>
      <c r="I57" s="137" t="str">
        <v>Input</v>
      </c>
    </row>
    <row r="58" spans="4:24" ht="20.100000000000001" customHeight="1" x14ac:dyDescent="0.25">
      <c r="F58" s="2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spans="4:24" ht="20.100000000000001" customHeight="1" x14ac:dyDescent="0.25">
      <c r="D59" s="93" t="s">
        <v>260</v>
      </c>
      <c r="F59" s="2"/>
      <c r="M59" s="6" t="str" cm="1">
        <f t="array" ref="M59">Fertiliser_Equations_InorganicN2O.VEERG_5_1_1_1__1_InorganicFertiliserApplicationN2OEmissions_Title()</f>
        <v>Nitrous oxide emissions from the application of all inorganic fertiliser types f to all production systems j</v>
      </c>
    </row>
    <row r="60" spans="4:24" ht="20.100000000000001" customHeight="1" x14ac:dyDescent="0.25">
      <c r="D60" s="92" t="s">
        <v>261</v>
      </c>
      <c r="F60" s="2"/>
      <c r="M60" s="5" t="str" cm="1">
        <f t="array" ref="M60">Fertiliser_Equations_InorganicN2O.VEERG_5_1_1_1__1_InorganicFertiliserApplicationN2OEmissions_Source()</f>
        <v>VEERG 2026: 5.1.1.1, Equation (1)</v>
      </c>
    </row>
    <row r="61" spans="4:24" ht="20.100000000000001" customHeight="1" x14ac:dyDescent="0.25">
      <c r="E61" s="136" t="s">
        <v>249</v>
      </c>
      <c r="M61" s="13" t="s">
        <v>23</v>
      </c>
      <c r="N61" s="13" t="str" cm="1">
        <f t="array" aca="1" ref="N61" ca="1">Common_InputFunctions.Utility_DisplayFunctionName($E$64)</f>
        <v>=Fertiliser_Equations_InorganicN2O.VEERG_5_1_1_1__1_InorganicFertiliserApplicationN2OEmissions</v>
      </c>
    </row>
    <row r="62" spans="4:24" ht="20.100000000000001" customHeight="1" x14ac:dyDescent="0.25">
      <c r="E62" s="135" t="str">
        <f>$E$49</f>
        <v>t N2O</v>
      </c>
    </row>
    <row r="63" spans="4:24" ht="20.100000000000001" customHeight="1" x14ac:dyDescent="0.25">
      <c r="D63" s="49" t="s">
        <v>185</v>
      </c>
      <c r="E63" s="49" t="s">
        <v>275</v>
      </c>
    </row>
    <row r="64" spans="4:24" ht="20.100000000000001" customHeight="1" x14ac:dyDescent="0.25">
      <c r="D64" s="50" t="str" cm="1">
        <f t="array" ref="D64:D81">Table_Fertiliser_ChemicalCompounds[Fertiliser type f]</f>
        <v>Monoammonium phosphate (MAP)</v>
      </c>
      <c r="E64" s="50" cm="1">
        <f t="array" ref="E64">Fertiliser_Equations_InorganicN2O.VEERG_5_1_1_1__1_InorganicFertiliserApplicationN2OEmissions(G21,$H$52,$H$53)</f>
        <v>5.0285714285714283E-3</v>
      </c>
    </row>
    <row r="65" spans="4:19" ht="20.100000000000001" customHeight="1" x14ac:dyDescent="0.25">
      <c r="D65" s="50" t="str">
        <v>Diammonium phosphate (DAP)</v>
      </c>
      <c r="E65" s="50" cm="1">
        <f t="array" ref="E65">Fertiliser_Equations_InorganicN2O.VEERG_5_1_1_1__1_InorganicFertiliserApplicationN2OEmissions(G22,$H$52,$H$53)</f>
        <v>0</v>
      </c>
      <c r="M65" s="51" t="s">
        <v>26</v>
      </c>
      <c r="N65" s="1" t="str" cm="1">
        <f t="array" ref="N65">Fertiliser_Equations_InorganicN2O.VEERG_5_1_1_1__1_InorganicFertiliserApplicationN2OEmissions_Variable()</f>
        <v>E_N2O</v>
      </c>
    </row>
    <row r="66" spans="4:19" ht="20.100000000000001" customHeight="1" x14ac:dyDescent="0.25">
      <c r="D66" s="50" t="str">
        <v>Urea</v>
      </c>
      <c r="E66" s="50" cm="1">
        <f t="array" ref="E66">Fertiliser_Equations_InorganicN2O.VEERG_5_1_1_1__1_InorganicFertiliserApplicationN2OEmissions(G23,$H$52,$H$53)</f>
        <v>0</v>
      </c>
      <c r="M66" s="51" t="s">
        <v>16</v>
      </c>
      <c r="N66" s="52" t="str" cm="1">
        <f t="array" ref="N66">Fertiliser_Equations_InorganicN2O.VEERG_5_1_1_1__1_InorganicFertiliserApplicationN2OEmissions_Unit()</f>
        <v>t N2O</v>
      </c>
    </row>
    <row r="67" spans="4:19" ht="20.100000000000001" customHeight="1" x14ac:dyDescent="0.25">
      <c r="D67" s="50" t="str">
        <v>Sulphate of ammonia (SOA)</v>
      </c>
      <c r="E67" s="50" cm="1">
        <f t="array" ref="E67">Fertiliser_Equations_InorganicN2O.VEERG_5_1_1_1__1_InorganicFertiliserApplicationN2OEmissions(G24,$H$52,$H$53)</f>
        <v>0</v>
      </c>
    </row>
    <row r="68" spans="4:19" ht="20.100000000000001" customHeight="1" x14ac:dyDescent="0.25">
      <c r="D68" s="50" t="str">
        <v>Urea-ammonium nitrate (UAN)</v>
      </c>
      <c r="E68" s="50" cm="1">
        <f t="array" ref="E68">Fertiliser_Equations_InorganicN2O.VEERG_5_1_1_1__1_InorganicFertiliserApplicationN2OEmissions(G25,$H$52,$H$53)</f>
        <v>6.436571428571429E-2</v>
      </c>
      <c r="M68" s="54" t="str" cm="1">
        <f t="array" ref="M68:N75">_xlfn.CHOOSECOLS(Fertiliser_Equations_InorganicN2O.VEERG_5_1_1_1__1_InorganicFertiliserApplicationN2OEmissions_Arguments_Method2(), 1, 2)</f>
        <v>MN_jf</v>
      </c>
      <c r="N68" s="55" t="str">
        <v>mass of nitrogen in inorganic fertiliser type f applied to production system j (kg N)</v>
      </c>
      <c r="O68" s="94"/>
      <c r="P68" s="56"/>
      <c r="Q68" s="55" t="str">
        <f>"See " &amp; M41</f>
        <v>See M2_Table_FertApplications</v>
      </c>
      <c r="R68" s="56"/>
      <c r="S68" s="136" t="str" cm="1">
        <f t="array" ref="S68:S75">_xlfn.CHOOSECOLS(Fertiliser_Equations_InorganicN2O.VEERG_5_1_1_1__1_InorganicFertiliserApplicationN2OEmissions_Arguments_Method2(), 3)</f>
        <v>Calculated</v>
      </c>
    </row>
    <row r="69" spans="4:19" ht="20.100000000000001" customHeight="1" x14ac:dyDescent="0.25">
      <c r="D69" s="50" t="str">
        <v>Ammonium nitrate (AN)</v>
      </c>
      <c r="E69" s="50" cm="1">
        <f t="array" ref="E69">Fertiliser_Equations_InorganicN2O.VEERG_5_1_1_1__1_InorganicFertiliserApplicationN2OEmissions(G26,$H$52,$H$53)</f>
        <v>0</v>
      </c>
      <c r="M69" s="54" t="str">
        <v>EF_jN2O</v>
      </c>
      <c r="N69" s="55" t="str">
        <v>emission factor for nitrous oxide for inorganic fertilisers (kg N2O-N/kg N applied)</v>
      </c>
      <c r="O69" s="94"/>
      <c r="P69" s="56"/>
      <c r="Q69" s="55" t="str" cm="1">
        <f t="array" ref="Q69">_xlfn.IFS(
  AND(Q71="crop", Q72="grains", Q74="not irrigated", Q75="high rainfall"), $S$45,
  AND(Q71="Crop", Q72="maize", Q74&lt;&gt;"not irrigated"), $R$45,
  AND(Q71="Crop", Q72="cotton"), $V$45,
  TRUE, $W$45
)</f>
        <v>EFfjnonirrigatedgrainsN2O</v>
      </c>
      <c r="R69" s="56"/>
      <c r="S69" s="136" t="str">
        <v>Lookup</v>
      </c>
    </row>
    <row r="70" spans="4:19" ht="20.100000000000001" customHeight="1" x14ac:dyDescent="0.25">
      <c r="D70" s="50" t="str">
        <v>Calcium ammonium nitrate (CAN)</v>
      </c>
      <c r="E70" s="50" cm="1">
        <f t="array" ref="E70">Fertiliser_Equations_InorganicN2O.VEERG_5_1_1_1__1_InorganicFertiliserApplicationN2OEmissions(G27,$H$52,$H$53)</f>
        <v>0</v>
      </c>
      <c r="M70" s="54" t="str">
        <v>C_N2O</v>
      </c>
      <c r="N70" s="55" t="str">
        <v>factor to convert elemental mass of nitrous oxide to molecular mass</v>
      </c>
      <c r="O70" s="94"/>
      <c r="P70" s="56"/>
      <c r="Q70" s="55">
        <f>Common_InputFunctions.Utility_LookupValueInTableNumber("N2O",[2]!Table_GasToMolecularConversionFactor[Gas],[2]!Table_GasToMolecularConversionFactor[Conversion factor combined])</f>
        <v>1.5714285714285714</v>
      </c>
      <c r="R70" s="56"/>
      <c r="S70" s="136" t="str">
        <v>Constant</v>
      </c>
    </row>
    <row r="71" spans="4:19" ht="20.100000000000001" customHeight="1" x14ac:dyDescent="0.25">
      <c r="D71" s="50" t="str">
        <v>Nitrogen - Ammoniacal</v>
      </c>
      <c r="E71" s="50" cm="1">
        <f t="array" ref="E71">Fertiliser_Equations_InorganicN2O.VEERG_5_1_1_1__1_InorganicFertiliserApplicationN2OEmissions(G28,$H$52,$H$53)</f>
        <v>0</v>
      </c>
      <c r="M71" s="54" t="str">
        <v>j</v>
      </c>
      <c r="N71" s="55" t="str">
        <v>Production system</v>
      </c>
      <c r="O71" s="94"/>
      <c r="P71" s="56"/>
      <c r="Q71" s="55" t="str">
        <f>'Input - Inorganic fertiliser'!$E$6</f>
        <v>Crop</v>
      </c>
      <c r="R71" s="56"/>
      <c r="S71" s="137" t="str">
        <v>Input</v>
      </c>
    </row>
    <row r="72" spans="4:19" ht="20.100000000000001" customHeight="1" x14ac:dyDescent="0.25">
      <c r="D72" s="50" t="str">
        <v>Nitrogen - Nitrate</v>
      </c>
      <c r="E72" s="50" cm="1">
        <f t="array" ref="E72">Fertiliser_Equations_InorganicN2O.VEERG_5_1_1_1__1_InorganicFertiliserApplicationN2OEmissions(G29,$H$52,$H$53)</f>
        <v>0</v>
      </c>
      <c r="M72" s="54" t="str">
        <v>c</v>
      </c>
      <c r="N72" s="55" t="str">
        <v>Crop type</v>
      </c>
      <c r="O72" s="94"/>
      <c r="P72" s="56"/>
      <c r="Q72" s="55" t="str">
        <f>'Input - Inorganic fertiliser'!$E$7</f>
        <v>Grains</v>
      </c>
      <c r="R72" s="56"/>
      <c r="S72" s="137" t="str">
        <v>Input</v>
      </c>
    </row>
    <row r="73" spans="4:19" ht="20.100000000000001" customHeight="1" x14ac:dyDescent="0.25">
      <c r="D73" s="50" t="str">
        <v>Nitrogen - generic</v>
      </c>
      <c r="E73" s="50" cm="1">
        <f t="array" ref="E73">Fertiliser_Equations_InorganicN2O.VEERG_5_1_1_1__1_InorganicFertiliserApplicationN2OEmissions(G30,$H$52,$H$53)</f>
        <v>0.11314285714285714</v>
      </c>
      <c r="M73" s="54" t="str">
        <v>f</v>
      </c>
      <c r="N73" s="55" t="str">
        <v>Inorganic fertiliser type</v>
      </c>
      <c r="O73" s="94"/>
      <c r="P73" s="56"/>
      <c r="Q73" s="55" t="s">
        <v>280</v>
      </c>
      <c r="R73" s="56"/>
      <c r="S73" s="136" t="str">
        <v>Constant</v>
      </c>
    </row>
    <row r="74" spans="4:19" ht="20.100000000000001" customHeight="1" x14ac:dyDescent="0.25">
      <c r="D74" s="50" t="str">
        <v>Phosphorus - generic</v>
      </c>
      <c r="E74" s="50" cm="1">
        <f t="array" ref="E74">Fertiliser_Equations_InorganicN2O.VEERG_5_1_1_1__1_InorganicFertiliserApplicationN2OEmissions(G31,$H$52,$H$53)</f>
        <v>0</v>
      </c>
      <c r="M74" s="54" t="str">
        <v>ir</v>
      </c>
      <c r="N74" s="55" t="str">
        <v>irrigation method</v>
      </c>
      <c r="O74" s="94"/>
      <c r="P74" s="56"/>
      <c r="Q74" s="55" t="str">
        <f>'Input - Inorganic fertiliser'!$E$8</f>
        <v>Not irrigated</v>
      </c>
      <c r="R74" s="56"/>
      <c r="S74" s="137" t="str">
        <v>Input</v>
      </c>
    </row>
    <row r="75" spans="4:19" ht="20.100000000000001" customHeight="1" x14ac:dyDescent="0.25">
      <c r="D75" s="50" t="str">
        <v>Potassium - generic</v>
      </c>
      <c r="E75" s="50" cm="1">
        <f t="array" ref="E75">Fertiliser_Equations_InorganicN2O.VEERG_5_1_1_1__1_InorganicFertiliserApplicationN2OEmissions(G32,$H$52,$H$53)</f>
        <v>0</v>
      </c>
      <c r="M75" s="55" t="str">
        <v>z</v>
      </c>
      <c r="N75" s="55" t="str">
        <v>rainfall zone</v>
      </c>
      <c r="O75" s="94"/>
      <c r="P75" s="94"/>
      <c r="Q75" s="55" t="str">
        <f>'Input - Site'!$E$30</f>
        <v>High rainfall</v>
      </c>
      <c r="R75" s="94"/>
      <c r="S75" s="137" t="str">
        <v>Input</v>
      </c>
    </row>
    <row r="76" spans="4:19" ht="20.100000000000001" customHeight="1" x14ac:dyDescent="0.25">
      <c r="D76" s="50" t="str">
        <v>Sulfur - generic</v>
      </c>
      <c r="E76" s="50" cm="1">
        <f t="array" ref="E76">Fertiliser_Equations_InorganicN2O.VEERG_5_1_1_1__1_InorganicFertiliserApplicationN2OEmissions(G33,$H$52,$H$53)</f>
        <v>0</v>
      </c>
    </row>
    <row r="77" spans="4:19" ht="20.100000000000001" customHeight="1" x14ac:dyDescent="0.25">
      <c r="D77" s="50" t="str">
        <v>Zinc - generic</v>
      </c>
      <c r="E77" s="50" cm="1">
        <f t="array" ref="E77">Fertiliser_Equations_InorganicN2O.VEERG_5_1_1_1__1_InorganicFertiliserApplicationN2OEmissions(G34,$H$52,$H$53)</f>
        <v>0</v>
      </c>
      <c r="M77" s="49" t="s">
        <v>262</v>
      </c>
      <c r="N77" s="49" t="s">
        <v>262</v>
      </c>
      <c r="O77" s="49" t="s">
        <v>279</v>
      </c>
      <c r="P77" s="49" t="s">
        <v>275</v>
      </c>
    </row>
    <row r="78" spans="4:19" ht="20.100000000000001" customHeight="1" x14ac:dyDescent="0.25">
      <c r="D78" s="50" t="str">
        <v>Muriate of potash (MOP)</v>
      </c>
      <c r="E78" s="50" cm="1">
        <f t="array" ref="E78">Fertiliser_Equations_InorganicN2O.VEERG_5_1_1_1__1_InorganicFertiliserApplicationN2OEmissions(G35,$H$52,$H$53)</f>
        <v>0</v>
      </c>
      <c r="M78" s="50" t="s">
        <v>267</v>
      </c>
      <c r="N78" s="50" t="str" cm="1">
        <f t="array" ref="N78">Table_Input_InorganicFertiliser_Brands[Product (select)]</f>
        <v>80% Urea 20% MAP</v>
      </c>
      <c r="O78" s="50" cm="1">
        <f t="array" ref="O78">_xlfn.XLOOKUP(N78,$N$46:$N$55,_xlfn.XLOOKUP($Q$69,$R$45:$W$45,$R$46:$W$55), "")</f>
        <v>4.921E-3</v>
      </c>
      <c r="P78" s="50" cm="1">
        <f t="array" ref="P78">Fertiliser_Equations_InorganicN2O.VEERG_5_1_1_1__1_InorganicFertiliserApplicationN2OEmissions(Q46,O78,$Q$70)</f>
        <v>4.2686160000000001E-2</v>
      </c>
    </row>
    <row r="79" spans="4:19" ht="20.100000000000001" customHeight="1" x14ac:dyDescent="0.25">
      <c r="D79" s="50" t="str">
        <v>Double superphosphate</v>
      </c>
      <c r="E79" s="50" cm="1">
        <f t="array" ref="E79">Fertiliser_Equations_InorganicN2O.VEERG_5_1_1_1__1_InorganicFertiliserApplicationN2OEmissions(G36,$H$52,$H$53)</f>
        <v>0</v>
      </c>
      <c r="M79" s="50" t="s">
        <v>267</v>
      </c>
      <c r="N79" s="50"/>
      <c r="O79" s="50" cm="1">
        <f t="array" ref="O79">_xlfn.XLOOKUP(N79,$N$46:$N$55,_xlfn.XLOOKUP($Q$69,$R$45:$W$45,$R$46:$W$55), FALSE)</f>
        <v>0</v>
      </c>
      <c r="P79" s="50" cm="1">
        <f t="array" ref="P79">Fertiliser_Equations_InorganicN2O.VEERG_5_1_1_1__1_InorganicFertiliserApplicationN2OEmissions(Q47,O79,$Q$70)</f>
        <v>0</v>
      </c>
    </row>
    <row r="80" spans="4:19" ht="20.100000000000001" customHeight="1" x14ac:dyDescent="0.25">
      <c r="D80" s="50" t="str">
        <v>Single superphosphate (SSP)</v>
      </c>
      <c r="E80" s="50" cm="1">
        <f t="array" ref="E80">Fertiliser_Equations_InorganicN2O.VEERG_5_1_1_1__1_InorganicFertiliserApplicationN2OEmissions(G37,$H$52,$H$53)</f>
        <v>0</v>
      </c>
      <c r="M80" s="50" t="s">
        <v>267</v>
      </c>
      <c r="N80" s="50"/>
      <c r="O80" s="50" cm="1">
        <f t="array" ref="O80">_xlfn.XLOOKUP(N80,$N$46:$N$55,_xlfn.XLOOKUP($Q$69,$R$45:$W$45,$R$46:$W$55))</f>
        <v>0</v>
      </c>
      <c r="P80" s="50" cm="1">
        <f t="array" ref="P80">Fertiliser_Equations_InorganicN2O.VEERG_5_1_1_1__1_InorganicFertiliserApplicationN2OEmissions(Q48,O80,$Q$70)</f>
        <v>0</v>
      </c>
    </row>
    <row r="81" spans="4:16" ht="20.100000000000001" customHeight="1" x14ac:dyDescent="0.25">
      <c r="D81" s="50" t="str">
        <v>Ammonia</v>
      </c>
      <c r="E81" s="50" cm="1">
        <f t="array" ref="E81">Fertiliser_Equations_InorganicN2O.VEERG_5_1_1_1__1_InorganicFertiliserApplicationN2OEmissions(G38,$H$52,$H$53)</f>
        <v>0</v>
      </c>
      <c r="M81" s="50" t="s">
        <v>267</v>
      </c>
      <c r="N81" s="50"/>
      <c r="O81" s="50" cm="1">
        <f t="array" ref="O81">_xlfn.XLOOKUP(N81,$N$46:$N$55,_xlfn.XLOOKUP($Q$69,$R$45:$W$45,$R$46:$W$55))</f>
        <v>0</v>
      </c>
      <c r="P81" s="50" cm="1">
        <f t="array" ref="P81">Fertiliser_Equations_InorganicN2O.VEERG_5_1_1_1__1_InorganicFertiliserApplicationN2OEmissions(Q49,O81,$Q$70)</f>
        <v>0</v>
      </c>
    </row>
    <row r="82" spans="4:16" ht="20.100000000000001" customHeight="1" x14ac:dyDescent="0.25">
      <c r="M82" s="50" t="s">
        <v>267</v>
      </c>
      <c r="N82" s="50"/>
      <c r="O82" s="50" cm="1">
        <f t="array" ref="O82">_xlfn.XLOOKUP(N82,$N$46:$N$55,_xlfn.XLOOKUP($Q$69,$R$45:$W$45,$R$46:$W$55))</f>
        <v>0</v>
      </c>
      <c r="P82" s="50" cm="1">
        <f t="array" ref="P82">Fertiliser_Equations_InorganicN2O.VEERG_5_1_1_1__1_InorganicFertiliserApplicationN2OEmissions(Q50,O82,$Q$70)</f>
        <v>0</v>
      </c>
    </row>
    <row r="83" spans="4:16" ht="20.100000000000001" customHeight="1" x14ac:dyDescent="0.25">
      <c r="D83" s="95" t="s">
        <v>253</v>
      </c>
      <c r="E83" s="96">
        <f>SUM(E64:E81)</f>
        <v>0.18253714285714284</v>
      </c>
      <c r="F83" s="97" t="str">
        <f>$E$49</f>
        <v>t N2O</v>
      </c>
      <c r="M83" s="50" t="s">
        <v>266</v>
      </c>
      <c r="N83" s="50" t="str" cm="1">
        <f t="array" ref="N83">Table_Input_InorganicFertiliser_Custom[Custom blend name]</f>
        <v>My first custom blend</v>
      </c>
      <c r="O83" s="50" cm="1">
        <f t="array" ref="O83">_xlfn.XLOOKUP(N83,$N$46:$N$55,_xlfn.XLOOKUP($Q$69,$R$45:$W$45,$R$46:$W$55))</f>
        <v>7.5309999999999986E-3</v>
      </c>
      <c r="P83" s="50" cm="1">
        <f t="array" ref="P83">Fertiliser_Equations_InorganicN2O.VEERG_5_1_1_1__1_InorganicFertiliserApplicationN2OEmissions(Q51,O83,$Q$70)</f>
        <v>0.10650985714285711</v>
      </c>
    </row>
    <row r="84" spans="4:16" ht="20.100000000000001" customHeight="1" x14ac:dyDescent="0.25">
      <c r="M84" s="50" t="s">
        <v>266</v>
      </c>
      <c r="N84" s="50"/>
      <c r="O84" s="50" cm="1">
        <f t="array" ref="O84">_xlfn.XLOOKUP(N84,$N$46:$N$55,_xlfn.XLOOKUP($Q$69,$R$45:$W$45,$R$46:$W$55))</f>
        <v>0</v>
      </c>
      <c r="P84" s="50" cm="1">
        <f t="array" ref="P84">Fertiliser_Equations_InorganicN2O.VEERG_5_1_1_1__1_InorganicFertiliserApplicationN2OEmissions(Q52,O84,$Q$70)</f>
        <v>0</v>
      </c>
    </row>
    <row r="85" spans="4:16" ht="20.100000000000001" customHeight="1" x14ac:dyDescent="0.25">
      <c r="D85" s="54" t="str" cm="1">
        <f t="array" ref="D85:E86">Common_Equations.Common_ConvertN2OToCO2e_Arguments()</f>
        <v>EN2O</v>
      </c>
      <c r="E85" s="55" t="str">
        <v>Nitrous oxide emissions (t N2O)</v>
      </c>
      <c r="F85" s="98"/>
      <c r="G85" s="50">
        <f>E83</f>
        <v>0.18253714285714284</v>
      </c>
      <c r="M85" s="50" t="s">
        <v>266</v>
      </c>
      <c r="N85" s="50"/>
      <c r="O85" s="50" cm="1">
        <f t="array" ref="O85">_xlfn.XLOOKUP(N85,$N$46:$N$55,_xlfn.XLOOKUP($Q$69,$R$45:$W$45,$R$46:$W$55))</f>
        <v>0</v>
      </c>
      <c r="P85" s="50" cm="1">
        <f t="array" ref="P85">Fertiliser_Equations_InorganicN2O.VEERG_5_1_1_1__1_InorganicFertiliserApplicationN2OEmissions(Q53,O85,$Q$70)</f>
        <v>0</v>
      </c>
    </row>
    <row r="86" spans="4:16" ht="20.100000000000001" customHeight="1" x14ac:dyDescent="0.25">
      <c r="D86" s="54" t="str">
        <v>GWPN2O</v>
      </c>
      <c r="E86" s="55" t="str">
        <v>Global warming potential for nitrous oxide (t CO2-e / t N2O)</v>
      </c>
      <c r="F86" s="98"/>
      <c r="G86" s="50">
        <f>Common_InputFunctions.Utility_LookupValueInTableNumber("N2O",[2]!Table_GWPData[Gas],[2]!Table_GWPData[CO2-e factor])</f>
        <v>265</v>
      </c>
      <c r="M86" s="50" t="s">
        <v>266</v>
      </c>
      <c r="N86" s="50"/>
      <c r="O86" s="50" cm="1">
        <f t="array" ref="O86">_xlfn.XLOOKUP(N86,$N$46:$N$55,_xlfn.XLOOKUP($Q$69,$R$45:$W$45,$R$46:$W$55))</f>
        <v>0</v>
      </c>
      <c r="P86" s="50" cm="1">
        <f t="array" ref="P86">Fertiliser_Equations_InorganicN2O.VEERG_5_1_1_1__1_InorganicFertiliserApplicationN2OEmissions(Q54,O86,$Q$70)</f>
        <v>0</v>
      </c>
    </row>
    <row r="87" spans="4:16" ht="20.100000000000001" customHeight="1" x14ac:dyDescent="0.25">
      <c r="M87" s="50" t="s">
        <v>266</v>
      </c>
      <c r="N87" s="50"/>
      <c r="O87" s="50" cm="1">
        <f t="array" ref="O87">_xlfn.XLOOKUP(N87,$N$46:$N$55,_xlfn.XLOOKUP($Q$69,$R$45:$W$45,$R$46:$W$55))</f>
        <v>0</v>
      </c>
      <c r="P87" s="50" cm="1">
        <f t="array" ref="P87">Fertiliser_Equations_InorganicN2O.VEERG_5_1_1_1__1_InorganicFertiliserApplicationN2OEmissions(Q55,O87,$Q$70)</f>
        <v>0</v>
      </c>
    </row>
    <row r="88" spans="4:16" ht="20.100000000000001" customHeight="1" x14ac:dyDescent="0.25">
      <c r="D88" s="44" t="s">
        <v>92</v>
      </c>
      <c r="E88" s="44" cm="1">
        <f t="array" ref="E88">Common_Equations.Common_ConvertN2OToCO2e(G85,G86)</f>
        <v>48.372342857142854</v>
      </c>
      <c r="F88" s="99" t="str" cm="1">
        <f t="array" ref="F88">Common_Equations.Common_ConvertN2OToCO2e_Unit()</f>
        <v>t CO2e</v>
      </c>
    </row>
    <row r="89" spans="4:16" ht="20.100000000000001" customHeight="1" x14ac:dyDescent="0.25">
      <c r="M89" s="95" t="s">
        <v>253</v>
      </c>
      <c r="N89" s="96">
        <f>SUM(P78:P87)</f>
        <v>0.14919601714285713</v>
      </c>
      <c r="O89" s="97" t="str">
        <f>$E$49</f>
        <v>t N2O</v>
      </c>
    </row>
    <row r="90" spans="4:16" ht="20.100000000000001" customHeight="1" x14ac:dyDescent="0.25"/>
    <row r="91" spans="4:16" ht="20.100000000000001" customHeight="1" x14ac:dyDescent="0.25">
      <c r="M91" s="54" t="str" cm="1">
        <f t="array" ref="M91:N92">Common_Equations.Common_ConvertN2OToCO2e_Arguments()</f>
        <v>EN2O</v>
      </c>
      <c r="N91" s="55" t="str">
        <v>Nitrous oxide emissions (t N2O)</v>
      </c>
      <c r="O91" s="98"/>
      <c r="P91" s="50">
        <f>N89</f>
        <v>0.14919601714285713</v>
      </c>
    </row>
    <row r="92" spans="4:16" ht="20.100000000000001" customHeight="1" x14ac:dyDescent="0.25">
      <c r="M92" s="54" t="str">
        <v>GWPN2O</v>
      </c>
      <c r="N92" s="55" t="str">
        <v>Global warming potential for nitrous oxide (t CO2-e / t N2O)</v>
      </c>
      <c r="O92" s="98"/>
      <c r="P92" s="50">
        <f>Common_InputFunctions.Utility_LookupValueInTableNumber("N2O",[2]!Table_GWPData[Gas],[2]!Table_GWPData[CO2-e factor])</f>
        <v>265</v>
      </c>
    </row>
    <row r="93" spans="4:16" ht="20.100000000000001" customHeight="1" x14ac:dyDescent="0.25"/>
    <row r="94" spans="4:16" ht="20.100000000000001" customHeight="1" x14ac:dyDescent="0.25">
      <c r="M94" s="44" t="s">
        <v>92</v>
      </c>
      <c r="N94" s="44" cm="1">
        <f t="array" ref="N94">Common_Equations.Common_ConvertN2OToCO2e(P91,P92)</f>
        <v>39.536944542857142</v>
      </c>
      <c r="O94" s="99" t="str" cm="1">
        <f t="array" ref="O94">Common_Equations.Common_ConvertN2OToCO2e_Unit()</f>
        <v>t CO2e</v>
      </c>
    </row>
    <row r="95" spans="4:16" ht="20.100000000000001" customHeight="1" x14ac:dyDescent="0.25"/>
    <row r="96" spans="4:1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N172:W172 O150:R150 E269 N166:W166 O143:W144 E228 O167:W167 G132 I129:I133 F134:I134 F129:F132 H128:H132 G129 F148:I148 I149 F150:I150 R149:W149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B53" workbookViewId="0">
      <selection activeCell="G65" sqref="G6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305</v>
      </c>
    </row>
    <row r="2" spans="1:21" s="9" customFormat="1" ht="20.100000000000001" customHeight="1" x14ac:dyDescent="0.25">
      <c r="A2"/>
    </row>
    <row r="3" spans="1:21" ht="20.100000000000001" customHeight="1" x14ac:dyDescent="0.25">
      <c r="C3" s="4"/>
      <c r="D3" s="4" t="s">
        <v>93</v>
      </c>
      <c r="E3" s="4"/>
      <c r="F3" s="4"/>
      <c r="G3" s="4"/>
      <c r="H3" s="4"/>
      <c r="I3" s="4"/>
      <c r="J3" s="4"/>
      <c r="K3" s="4"/>
      <c r="L3" s="4"/>
      <c r="N3" s="4"/>
      <c r="O3" s="4" t="s">
        <v>94</v>
      </c>
      <c r="P3" s="4"/>
      <c r="Q3" s="4"/>
      <c r="R3" s="4"/>
      <c r="S3" s="4"/>
      <c r="T3" s="4"/>
      <c r="U3" s="4"/>
    </row>
    <row r="4" spans="1:21" ht="20.100000000000001" customHeight="1" x14ac:dyDescent="0.25"/>
    <row r="5" spans="1:21" ht="20.100000000000001" customHeight="1" x14ac:dyDescent="0.25">
      <c r="D5" s="6" t="str" cm="1">
        <f t="array" ref="D5">Fertiliser_Equations_InorganicCO2.VEERG_5_1_1_3__2_MassOfUreaInInorganicFertiliser_Title()</f>
        <v>Mass of urea applied to production system</v>
      </c>
    </row>
    <row r="6" spans="1:21" ht="20.100000000000001" customHeight="1" x14ac:dyDescent="0.25">
      <c r="D6" s="5" t="str" cm="1">
        <f t="array" ref="D6">Fertiliser_Equations_InorganicCO2.VEERG_5_1_1_3__2_MassOfUreaInInorganicFertiliser_Source()</f>
        <v>VEERG 2026: 5.1.1.3, Equation (2)</v>
      </c>
    </row>
    <row r="7" spans="1:21" ht="20.100000000000001" customHeight="1" x14ac:dyDescent="0.25">
      <c r="D7" s="13" t="s">
        <v>23</v>
      </c>
      <c r="E7" s="13" t="str" cm="1">
        <f t="array" aca="1" ref="E7" ca="1">Common_InputFunctions.Utility_DisplayFunctionName(G21)</f>
        <v>=Fertiliser_Equations_InorganicCO2.VEERG_5_1_1_3__2_MassOfUreaInInorganicFertiliser</v>
      </c>
    </row>
    <row r="8" spans="1:21" ht="20.100000000000001" customHeight="1" x14ac:dyDescent="0.25"/>
    <row r="9" spans="1:21" ht="20.100000000000001" customHeight="1" x14ac:dyDescent="0.25"/>
    <row r="10" spans="1:21" ht="20.100000000000001" customHeight="1" x14ac:dyDescent="0.25">
      <c r="D10" s="51" t="s">
        <v>26</v>
      </c>
      <c r="E10" s="1" t="str" cm="1">
        <f t="array" ref="E10">Fertiliser_Equations_InorganicCO2.VEERG_5_1_1_3__2_MassOfUreaInInorganicFertiliser_Variable()</f>
        <v>MU_jf</v>
      </c>
    </row>
    <row r="11" spans="1:21" ht="20.100000000000001" customHeight="1" x14ac:dyDescent="0.25">
      <c r="D11" s="51" t="s">
        <v>16</v>
      </c>
      <c r="E11" s="52" t="str" cm="1">
        <f t="array" ref="E11">Fertiliser_Equations_InorganicCO2.VEERG_5_1_1_3__2_MassOfUreaInInorganicFertiliser_Unit()</f>
        <v>kg urea</v>
      </c>
    </row>
    <row r="12" spans="1:21" ht="20.100000000000001" customHeight="1" x14ac:dyDescent="0.25"/>
    <row r="13" spans="1:21" ht="20.100000000000001" customHeight="1" x14ac:dyDescent="0.25">
      <c r="D13" s="54" t="str" cm="1">
        <f t="array" ref="D13:E14">_xlfn.CHOOSECOLS(Fertiliser_Equations_InorganicCO2.VEERG_5_1_1_3__2_MassOfUreaInInorganicFertiliser_Arguments(), 1, 2)</f>
        <v>TM_jf</v>
      </c>
      <c r="E13" s="55" t="str">
        <v>total mass of inorganic fertiliser type f applied to production system j : kg</v>
      </c>
      <c r="F13" s="56"/>
      <c r="G13" s="54" t="str">
        <f>"See " &amp; $D$16</f>
        <v>See Table_MU_j_f</v>
      </c>
      <c r="H13" s="137" t="str" cm="1">
        <f t="array" ref="H13:H14">_xlfn.CHOOSECOLS(Fertiliser_Equations_InorganicCO2.VEERG_5_1_1_3__2_MassOfUreaInInorganicFertiliser_Arguments(), 3)</f>
        <v>Input</v>
      </c>
    </row>
    <row r="14" spans="1:21" ht="20.100000000000001" customHeight="1" x14ac:dyDescent="0.25">
      <c r="D14" s="54" t="str">
        <v>FU_f</v>
      </c>
      <c r="E14" s="55" t="str">
        <v>fraction of urea in fertiliser type f : kg urea/kg</v>
      </c>
      <c r="F14" s="56"/>
      <c r="G14" s="54" t="str">
        <f>"See " &amp; $D$16</f>
        <v>See Table_MU_j_f</v>
      </c>
      <c r="H14" s="136" t="str">
        <v>Lookup</v>
      </c>
    </row>
    <row r="15" spans="1:21" ht="20.100000000000001" customHeight="1" x14ac:dyDescent="0.25"/>
    <row r="16" spans="1:21" ht="20.100000000000001" customHeight="1" x14ac:dyDescent="0.25">
      <c r="D16" s="93" t="s">
        <v>306</v>
      </c>
    </row>
    <row r="17" spans="4:7" ht="20.100000000000001" customHeight="1" x14ac:dyDescent="0.25">
      <c r="D17" s="92" t="s">
        <v>307</v>
      </c>
    </row>
    <row r="18" spans="4:7" ht="20.100000000000001" customHeight="1" x14ac:dyDescent="0.25">
      <c r="E18" s="137" t="s">
        <v>226</v>
      </c>
      <c r="F18" s="136" t="s">
        <v>251</v>
      </c>
      <c r="G18" s="136" t="s">
        <v>249</v>
      </c>
    </row>
    <row r="19" spans="4:7" ht="20.100000000000001" customHeight="1" x14ac:dyDescent="0.25">
      <c r="E19" s="135" t="s">
        <v>228</v>
      </c>
      <c r="F19" s="135" t="s">
        <v>105</v>
      </c>
      <c r="G19" s="135" t="str">
        <f>$E$11</f>
        <v>kg urea</v>
      </c>
    </row>
    <row r="20" spans="4:7" ht="20.100000000000001" customHeight="1" x14ac:dyDescent="0.25">
      <c r="D20" s="49" t="s">
        <v>185</v>
      </c>
      <c r="E20" s="127" t="s">
        <v>230</v>
      </c>
      <c r="F20" s="49" t="s">
        <v>308</v>
      </c>
      <c r="G20" s="49" t="s">
        <v>311</v>
      </c>
    </row>
    <row r="21" spans="4:7" ht="20.100000000000001" customHeight="1" x14ac:dyDescent="0.25">
      <c r="D21" s="50" t="str" cm="1">
        <f t="array" ref="D21:D38">Table_Fertiliser_ChemicalCompounds[Fertiliser type f]</f>
        <v>Monoammonium phosphate (MAP)</v>
      </c>
      <c r="E21" s="50" cm="1">
        <f t="array" ref="E21">Fertiliser_InputFunctions.Fertiliser_TotalChemicalCompoundAppliedAllIngredients($D21,Table_Input_InorganicFertiliser_Brands[Total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Fertiliser_InputFunctions.Fertiliser_TotalChemicalCompoundAppliedAllIngredients($D21,Table_Input_InorganicFertiliser_Custom[Total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4000</v>
      </c>
      <c r="F21" s="50" cm="1">
        <f t="array" ref="F21">Common_InputFunctions.Utility_LookupValueInTableNumber(D21,Table_Fertiliser_ChemicalCompounds[Fertiliser type f],Table_Fertiliser_ChemicalCompounds[FU f])</f>
        <v>0</v>
      </c>
      <c r="G21" s="50" cm="1">
        <f t="array" ref="G21">Fertiliser_Equations_InorganicCO2.VEERG_5_1_1_3__2_MassOfUreaInInorganicFertiliser(E21,F21)</f>
        <v>0</v>
      </c>
    </row>
    <row r="22" spans="4:7" ht="20.100000000000001" customHeight="1" x14ac:dyDescent="0.25">
      <c r="D22" s="50" t="str">
        <v>Diammonium phosphate (DAP)</v>
      </c>
      <c r="E22" s="50" cm="1">
        <f t="array" ref="E22">Fertiliser_InputFunctions.Fertiliser_TotalChemicalCompoundAppliedAllIngredients($D22,Table_Input_InorganicFertiliser_Brands[Total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Fertiliser_InputFunctions.Fertiliser_TotalChemicalCompoundAppliedAllIngredients($D22,Table_Input_InorganicFertiliser_Custom[Total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2" s="50" cm="1">
        <f t="array" ref="F22">Common_InputFunctions.Utility_LookupValueInTableNumber(D22,Table_Fertiliser_ChemicalCompounds[Fertiliser type f],Table_Fertiliser_ChemicalCompounds[FU f])</f>
        <v>0</v>
      </c>
      <c r="G22" s="50" cm="1">
        <f t="array" ref="G22">Fertiliser_Equations_InorganicCO2.VEERG_5_1_1_3__2_MassOfUreaInInorganicFertiliser(E22,F22)</f>
        <v>0</v>
      </c>
    </row>
    <row r="23" spans="4:7" ht="20.100000000000001" customHeight="1" x14ac:dyDescent="0.25">
      <c r="D23" s="50" t="str">
        <v>Urea</v>
      </c>
      <c r="E23" s="50" cm="1">
        <f t="array" ref="E23">Fertiliser_InputFunctions.Fertiliser_TotalChemicalCompoundAppliedAllIngredients($D23,Table_Input_InorganicFertiliser_Brands[Total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Fertiliser_InputFunctions.Fertiliser_TotalChemicalCompoundAppliedAllIngredients($D23,Table_Input_InorganicFertiliser_Custom[Total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3" s="50" cm="1">
        <f t="array" ref="F23">Common_InputFunctions.Utility_LookupValueInTableNumber(D23,Table_Fertiliser_ChemicalCompounds[Fertiliser type f],Table_Fertiliser_ChemicalCompounds[FU f])</f>
        <v>1</v>
      </c>
      <c r="G23" s="50" cm="1">
        <f t="array" ref="G23">Fertiliser_Equations_InorganicCO2.VEERG_5_1_1_3__2_MassOfUreaInInorganicFertiliser(E23,F23)</f>
        <v>0</v>
      </c>
    </row>
    <row r="24" spans="4:7" ht="20.100000000000001" customHeight="1" x14ac:dyDescent="0.25">
      <c r="D24" s="50" t="str">
        <v>Sulphate of ammonia (SOA)</v>
      </c>
      <c r="E24" s="50" cm="1">
        <f t="array" ref="E24">Fertiliser_InputFunctions.Fertiliser_TotalChemicalCompoundAppliedAllIngredients($D24,Table_Input_InorganicFertiliser_Brands[Total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Fertiliser_InputFunctions.Fertiliser_TotalChemicalCompoundAppliedAllIngredients($D24,Table_Input_InorganicFertiliser_Custom[Total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4" s="50" cm="1">
        <f t="array" ref="F24">Common_InputFunctions.Utility_LookupValueInTableNumber(D24,Table_Fertiliser_ChemicalCompounds[Fertiliser type f],Table_Fertiliser_ChemicalCompounds[FU f])</f>
        <v>0</v>
      </c>
      <c r="G24" s="50" cm="1">
        <f t="array" ref="G24">Fertiliser_Equations_InorganicCO2.VEERG_5_1_1_3__2_MassOfUreaInInorganicFertiliser(E24,F24)</f>
        <v>0</v>
      </c>
    </row>
    <row r="25" spans="4:7" ht="20.100000000000001" customHeight="1" x14ac:dyDescent="0.25">
      <c r="D25" s="50" t="str">
        <v>Urea-ammonium nitrate (UAN)</v>
      </c>
      <c r="E25" s="50" cm="1">
        <f t="array" ref="E25">Fertiliser_InputFunctions.Fertiliser_TotalChemicalCompoundAppliedAllIngredients($D25,Table_Input_InorganicFertiliser_Brands[Total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Fertiliser_InputFunctions.Fertiliser_TotalChemicalCompoundAppliedAllIngredients($D25,Table_Input_InorganicFertiliser_Custom[Total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16000</v>
      </c>
      <c r="F25" s="50" cm="1">
        <f t="array" ref="F25">Common_InputFunctions.Utility_LookupValueInTableNumber(D25,Table_Fertiliser_ChemicalCompounds[Fertiliser type f],Table_Fertiliser_ChemicalCompounds[FU f])</f>
        <v>0.35</v>
      </c>
      <c r="G25" s="50" cm="1">
        <f t="array" ref="G25">Fertiliser_Equations_InorganicCO2.VEERG_5_1_1_3__2_MassOfUreaInInorganicFertiliser(E25,F25)</f>
        <v>5600</v>
      </c>
    </row>
    <row r="26" spans="4:7" ht="20.100000000000001" customHeight="1" x14ac:dyDescent="0.25">
      <c r="D26" s="50" t="str">
        <v>Ammonium nitrate (AN)</v>
      </c>
      <c r="E26" s="50" cm="1">
        <f t="array" ref="E26">Fertiliser_InputFunctions.Fertiliser_TotalChemicalCompoundAppliedAllIngredients($D26,Table_Input_InorganicFertiliser_Brands[Total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Fertiliser_InputFunctions.Fertiliser_TotalChemicalCompoundAppliedAllIngredients($D26,Table_Input_InorganicFertiliser_Custom[Total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6" s="50" cm="1">
        <f t="array" ref="F26">Common_InputFunctions.Utility_LookupValueInTableNumber(D26,Table_Fertiliser_ChemicalCompounds[Fertiliser type f],Table_Fertiliser_ChemicalCompounds[FU f])</f>
        <v>0</v>
      </c>
      <c r="G26" s="50" cm="1">
        <f t="array" ref="G26">Fertiliser_Equations_InorganicCO2.VEERG_5_1_1_3__2_MassOfUreaInInorganicFertiliser(E26,F26)</f>
        <v>0</v>
      </c>
    </row>
    <row r="27" spans="4:7" ht="20.100000000000001" customHeight="1" x14ac:dyDescent="0.25">
      <c r="D27" s="50" t="str">
        <v>Calcium ammonium nitrate (CAN)</v>
      </c>
      <c r="E27" s="50" cm="1">
        <f t="array" ref="E27">Fertiliser_InputFunctions.Fertiliser_TotalChemicalCompoundAppliedAllIngredients($D27,Table_Input_InorganicFertiliser_Brands[Total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Fertiliser_InputFunctions.Fertiliser_TotalChemicalCompoundAppliedAllIngredients($D27,Table_Input_InorganicFertiliser_Custom[Total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7" s="50" cm="1">
        <f t="array" ref="F27">Common_InputFunctions.Utility_LookupValueInTableNumber(D27,Table_Fertiliser_ChemicalCompounds[Fertiliser type f],Table_Fertiliser_ChemicalCompounds[FU f])</f>
        <v>0</v>
      </c>
      <c r="G27" s="50" cm="1">
        <f t="array" ref="G27">Fertiliser_Equations_InorganicCO2.VEERG_5_1_1_3__2_MassOfUreaInInorganicFertiliser(E27,F27)</f>
        <v>0</v>
      </c>
    </row>
    <row r="28" spans="4:7" ht="20.100000000000001" customHeight="1" x14ac:dyDescent="0.25">
      <c r="D28" s="50" t="str">
        <v>Nitrogen - Ammoniacal</v>
      </c>
      <c r="E28" s="50" cm="1">
        <f t="array" ref="E28">Fertiliser_InputFunctions.Fertiliser_TotalChemicalCompoundAppliedAllIngredients($D28,Table_Input_InorganicFertiliser_Brands[Total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Fertiliser_InputFunctions.Fertiliser_TotalChemicalCompoundAppliedAllIngredients($D28,Table_Input_InorganicFertiliser_Custom[Total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8" s="50" cm="1">
        <f t="array" ref="F28">Common_InputFunctions.Utility_LookupValueInTableNumber(D28,Table_Fertiliser_ChemicalCompounds[Fertiliser type f],Table_Fertiliser_ChemicalCompounds[FU f])</f>
        <v>0</v>
      </c>
      <c r="G28" s="50" cm="1">
        <f t="array" ref="G28">Fertiliser_Equations_InorganicCO2.VEERG_5_1_1_3__2_MassOfUreaInInorganicFertiliser(E28,F28)</f>
        <v>0</v>
      </c>
    </row>
    <row r="29" spans="4:7" ht="20.100000000000001" customHeight="1" x14ac:dyDescent="0.25">
      <c r="D29" s="50" t="str">
        <v>Nitrogen - Nitrate</v>
      </c>
      <c r="E29" s="50" cm="1">
        <f t="array" ref="E29">Fertiliser_InputFunctions.Fertiliser_TotalChemicalCompoundAppliedAllIngredients($D29,Table_Input_InorganicFertiliser_Brands[Total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Fertiliser_InputFunctions.Fertiliser_TotalChemicalCompoundAppliedAllIngredients($D29,Table_Input_InorganicFertiliser_Custom[Total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29" s="50" cm="1">
        <f t="array" ref="F29">Common_InputFunctions.Utility_LookupValueInTableNumber(D29,Table_Fertiliser_ChemicalCompounds[Fertiliser type f],Table_Fertiliser_ChemicalCompounds[FU f])</f>
        <v>0</v>
      </c>
      <c r="G29" s="50" cm="1">
        <f t="array" ref="G29">Fertiliser_Equations_InorganicCO2.VEERG_5_1_1_3__2_MassOfUreaInInorganicFertiliser(E29,F29)</f>
        <v>0</v>
      </c>
    </row>
    <row r="30" spans="4:7" ht="20.100000000000001" customHeight="1" x14ac:dyDescent="0.25">
      <c r="D30" s="50" t="str">
        <v>Nitrogen - generic</v>
      </c>
      <c r="E30" s="50" cm="1">
        <f t="array" ref="E30">Fertiliser_InputFunctions.Fertiliser_TotalChemicalCompoundAppliedAllIngredients($D30,Table_Input_InorganicFertiliser_Brands[Total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Fertiliser_InputFunctions.Fertiliser_TotalChemicalCompoundAppliedAllIngredients($D30,Table_Input_InorganicFertiliser_Custom[Total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9000</v>
      </c>
      <c r="F30" s="50" cm="1">
        <f t="array" ref="F30">Common_InputFunctions.Utility_LookupValueInTableNumber(D30,Table_Fertiliser_ChemicalCompounds[Fertiliser type f],Table_Fertiliser_ChemicalCompounds[FU f])</f>
        <v>0</v>
      </c>
      <c r="G30" s="50" cm="1">
        <f t="array" ref="G30">Fertiliser_Equations_InorganicCO2.VEERG_5_1_1_3__2_MassOfUreaInInorganicFertiliser(E30,F30)</f>
        <v>0</v>
      </c>
    </row>
    <row r="31" spans="4:7" ht="20.100000000000001" customHeight="1" x14ac:dyDescent="0.25">
      <c r="D31" s="50" t="str">
        <v>Phosphorus - generic</v>
      </c>
      <c r="E31" s="50" cm="1">
        <f t="array" ref="E31">Fertiliser_InputFunctions.Fertiliser_TotalChemicalCompoundAppliedAllIngredients($D31,Table_Input_InorganicFertiliser_Brands[Total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Fertiliser_InputFunctions.Fertiliser_TotalChemicalCompoundAppliedAllIngredients($D31,Table_Input_InorganicFertiliser_Custom[Total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6000</v>
      </c>
      <c r="F31" s="50" cm="1">
        <f t="array" ref="F31">Common_InputFunctions.Utility_LookupValueInTableNumber(D31,Table_Fertiliser_ChemicalCompounds[Fertiliser type f],Table_Fertiliser_ChemicalCompounds[FU f])</f>
        <v>0</v>
      </c>
      <c r="G31" s="50" cm="1">
        <f t="array" ref="G31">Fertiliser_Equations_InorganicCO2.VEERG_5_1_1_3__2_MassOfUreaInInorganicFertiliser(E31,F31)</f>
        <v>0</v>
      </c>
    </row>
    <row r="32" spans="4:7" ht="20.100000000000001" customHeight="1" x14ac:dyDescent="0.25">
      <c r="D32" s="50" t="str">
        <v>Potassium - generic</v>
      </c>
      <c r="E32" s="50" cm="1">
        <f t="array" ref="E32">Fertiliser_InputFunctions.Fertiliser_TotalChemicalCompoundAppliedAllIngredients($D32,Table_Input_InorganicFertiliser_Brands[Total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Fertiliser_InputFunctions.Fertiliser_TotalChemicalCompoundAppliedAllIngredients($D32,Table_Input_InorganicFertiliser_Custom[Total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2000</v>
      </c>
      <c r="F32" s="50" cm="1">
        <f t="array" ref="F32">Common_InputFunctions.Utility_LookupValueInTableNumber(D32,Table_Fertiliser_ChemicalCompounds[Fertiliser type f],Table_Fertiliser_ChemicalCompounds[FU f])</f>
        <v>0</v>
      </c>
      <c r="G32" s="50" cm="1">
        <f t="array" ref="G32">Fertiliser_Equations_InorganicCO2.VEERG_5_1_1_3__2_MassOfUreaInInorganicFertiliser(E32,F32)</f>
        <v>0</v>
      </c>
    </row>
    <row r="33" spans="3:12" ht="20.100000000000001" customHeight="1" x14ac:dyDescent="0.25">
      <c r="D33" s="50" t="str">
        <v>Sulfur - generic</v>
      </c>
      <c r="E33" s="50" cm="1">
        <f t="array" ref="E33">Fertiliser_InputFunctions.Fertiliser_TotalChemicalCompoundAppliedAllIngredients($D33,Table_Input_InorganicFertiliser_Brands[Total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Fertiliser_InputFunctions.Fertiliser_TotalChemicalCompoundAppliedAllIngredients($D33,Table_Input_InorganicFertiliser_Custom[Total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1000</v>
      </c>
      <c r="F33" s="50" cm="1">
        <f t="array" ref="F33">Common_InputFunctions.Utility_LookupValueInTableNumber(D33,Table_Fertiliser_ChemicalCompounds[Fertiliser type f],Table_Fertiliser_ChemicalCompounds[FU f])</f>
        <v>0</v>
      </c>
      <c r="G33" s="50" cm="1">
        <f t="array" ref="G33">Fertiliser_Equations_InorganicCO2.VEERG_5_1_1_3__2_MassOfUreaInInorganicFertiliser(E33,F33)</f>
        <v>0</v>
      </c>
    </row>
    <row r="34" spans="3:12" ht="20.100000000000001" customHeight="1" x14ac:dyDescent="0.25">
      <c r="D34" s="50" t="str">
        <v>Zinc - generic</v>
      </c>
      <c r="E34" s="50" cm="1">
        <f t="array" ref="E34">Fertiliser_InputFunctions.Fertiliser_TotalChemicalCompoundAppliedAllIngredients($D34,Table_Input_InorganicFertiliser_Brands[Total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Fertiliser_InputFunctions.Fertiliser_TotalChemicalCompoundAppliedAllIngredients($D34,Table_Input_InorganicFertiliser_Custom[Total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4" s="50" cm="1">
        <f t="array" ref="F34">Common_InputFunctions.Utility_LookupValueInTableNumber(D34,Table_Fertiliser_ChemicalCompounds[Fertiliser type f],Table_Fertiliser_ChemicalCompounds[FU f])</f>
        <v>0</v>
      </c>
      <c r="G34" s="50" cm="1">
        <f t="array" ref="G34">Fertiliser_Equations_InorganicCO2.VEERG_5_1_1_3__2_MassOfUreaInInorganicFertiliser(E34,F34)</f>
        <v>0</v>
      </c>
    </row>
    <row r="35" spans="3:12" ht="20.100000000000001" customHeight="1" x14ac:dyDescent="0.25">
      <c r="D35" s="50" t="str">
        <v>Muriate of potash (MOP)</v>
      </c>
      <c r="E35" s="50" cm="1">
        <f t="array" ref="E35">Fertiliser_InputFunctions.Fertiliser_TotalChemicalCompoundAppliedAllIngredients($D35,Table_Input_InorganicFertiliser_Brands[Total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Fertiliser_InputFunctions.Fertiliser_TotalChemicalCompoundAppliedAllIngredients($D35,Table_Input_InorganicFertiliser_Custom[Total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5" s="50" cm="1">
        <f t="array" ref="F35">Common_InputFunctions.Utility_LookupValueInTableNumber(D35,Table_Fertiliser_ChemicalCompounds[Fertiliser type f],Table_Fertiliser_ChemicalCompounds[FU f])</f>
        <v>0</v>
      </c>
      <c r="G35" s="50" cm="1">
        <f t="array" ref="G35">Fertiliser_Equations_InorganicCO2.VEERG_5_1_1_3__2_MassOfUreaInInorganicFertiliser(E35,F35)</f>
        <v>0</v>
      </c>
    </row>
    <row r="36" spans="3:12" ht="20.100000000000001" customHeight="1" x14ac:dyDescent="0.25">
      <c r="D36" s="50" t="str">
        <v>Double superphosphate</v>
      </c>
      <c r="E36" s="50" cm="1">
        <f t="array" ref="E36">Fertiliser_InputFunctions.Fertiliser_TotalChemicalCompoundAppliedAllIngredients($D36,Table_Input_InorganicFertiliser_Brands[Total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Fertiliser_InputFunctions.Fertiliser_TotalChemicalCompoundAppliedAllIngredients($D36,Table_Input_InorganicFertiliser_Custom[Total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6" s="50" cm="1">
        <f t="array" ref="F36">Common_InputFunctions.Utility_LookupValueInTableNumber(D36,Table_Fertiliser_ChemicalCompounds[Fertiliser type f],Table_Fertiliser_ChemicalCompounds[FU f])</f>
        <v>0</v>
      </c>
      <c r="G36" s="50" cm="1">
        <f t="array" ref="G36">Fertiliser_Equations_InorganicCO2.VEERG_5_1_1_3__2_MassOfUreaInInorganicFertiliser(E36,F36)</f>
        <v>0</v>
      </c>
    </row>
    <row r="37" spans="3:12" ht="20.100000000000001" customHeight="1" x14ac:dyDescent="0.25">
      <c r="D37" s="50" t="str">
        <v>Single superphosphate (SSP)</v>
      </c>
      <c r="E37" s="50" cm="1">
        <f t="array" ref="E37">Fertiliser_InputFunctions.Fertiliser_TotalChemicalCompoundAppliedAllIngredients($D37,Table_Input_InorganicFertiliser_Brands[Total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Fertiliser_InputFunctions.Fertiliser_TotalChemicalCompoundAppliedAllIngredients($D37,Table_Input_InorganicFertiliser_Custom[Total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7" s="50" cm="1">
        <f t="array" ref="F37">Common_InputFunctions.Utility_LookupValueInTableNumber(D37,Table_Fertiliser_ChemicalCompounds[Fertiliser type f],Table_Fertiliser_ChemicalCompounds[FU f])</f>
        <v>0</v>
      </c>
      <c r="G37" s="50" cm="1">
        <f t="array" ref="G37">Fertiliser_Equations_InorganicCO2.VEERG_5_1_1_3__2_MassOfUreaInInorganicFertiliser(E37,F37)</f>
        <v>0</v>
      </c>
    </row>
    <row r="38" spans="3:12" ht="20.100000000000001" customHeight="1" x14ac:dyDescent="0.25">
      <c r="D38" s="50" t="str">
        <v>Ammonia</v>
      </c>
      <c r="E38" s="50" cm="1">
        <f t="array" ref="E38">Fertiliser_InputFunctions.Fertiliser_TotalChemicalCompoundAppliedAllIngredients($D38,Table_Input_InorganicFertiliser_Brands[Total applied (kg)],Table_Input_InorganicFertiliser_Brands[Ingredient 1],Table_Input_InorganicFertiliser_Brands[Ingredient 1 percent],Table_Input_InorganicFertiliser_Brands[Ingredient 2],Table_Input_InorganicFertiliser_Brands[Ingredient 2 percent],Table_Input_InorganicFertiliser_Brands[Ingredient 3],Table_Input_InorganicFertiliser_Brands[Ingredient 3 percent],Table_Input_InorganicFertiliser_Brands[Ingredient 4],Table_Input_InorganicFertiliser_Brands[Ingredient 4 percent],Table_Input_InorganicFertiliser_Brands[Ingredient 5],Table_Input_InorganicFertiliser_Brands[Ingredient 5 percent],Table_Input_InorganicFertiliser_Brands[Ingredient 6],Table_Input_InorganicFertiliser_Brands[Ingredient 6 percent])+
Fertiliser_InputFunctions.Fertiliser_TotalChemicalCompoundAppliedAllIngredients($D38,Table_Input_InorganicFertiliser_Custom[Total applied (kg)],Table_Input_InorganicFertiliser_Custom[Ingredient 1 (select)],Table_Input_InorganicFertiliser_Custom[Ingredient 1 percent],Table_Input_InorganicFertiliser_Custom[Ingredient 2],Table_Input_InorganicFertiliser_Custom[Ingredient 2 percent],Table_Input_InorganicFertiliser_Custom[Ingredient 3],Table_Input_InorganicFertiliser_Custom[Ingredient 3 percent],Table_Input_InorganicFertiliser_Custom[Ingredient 4],Table_Input_InorganicFertiliser_Custom[Ingredient 4 percent])</f>
        <v>0</v>
      </c>
      <c r="F38" s="50" cm="1">
        <f t="array" ref="F38">Common_InputFunctions.Utility_LookupValueInTableNumber(D38,Table_Fertiliser_ChemicalCompounds[Fertiliser type f],Table_Fertiliser_ChemicalCompounds[FU f])</f>
        <v>0</v>
      </c>
      <c r="G38" s="50" cm="1">
        <f t="array" ref="G38">Fertiliser_Equations_InorganicCO2.VEERG_5_1_1_3__2_MassOfUreaInInorganicFertiliser(E38,F38)</f>
        <v>0</v>
      </c>
    </row>
    <row r="39" spans="3:12" ht="20.100000000000001" customHeight="1" x14ac:dyDescent="0.25"/>
    <row r="40" spans="3:12" ht="20.100000000000001" customHeight="1" x14ac:dyDescent="0.25"/>
    <row r="41" spans="3:12" ht="20.100000000000001" customHeight="1" x14ac:dyDescent="0.25">
      <c r="C41" s="44"/>
      <c r="D41" s="44"/>
      <c r="E41" s="44"/>
      <c r="F41" s="44"/>
      <c r="G41" s="44"/>
      <c r="H41" s="44"/>
      <c r="I41" s="44"/>
      <c r="J41" s="44"/>
      <c r="K41" s="44"/>
      <c r="L41" s="44"/>
    </row>
    <row r="42" spans="3:12" ht="20.100000000000001" customHeight="1" x14ac:dyDescent="0.25">
      <c r="D42" s="6" t="str" cm="1">
        <f t="array" ref="D42">Fertiliser_Equations_InorganicCO2.VEERG_5_1_1_3__1_InorganicFertiliserApplicationCO2Emissions_Title()</f>
        <v>Carbon dioxide emissions resulting from the use of all inorganic, urea-based fertilisers</v>
      </c>
    </row>
    <row r="43" spans="3:12" ht="20.100000000000001" customHeight="1" x14ac:dyDescent="0.25">
      <c r="D43" s="5" t="str" cm="1">
        <f t="array" ref="D43">Fertiliser_Equations_InorganicCO2.VEERG_5_1_1_3__1_InorganicFertiliserApplicationCO2Emissions_Source()</f>
        <v>VEERG 2026: 5.1.1.3, Equation (1)</v>
      </c>
    </row>
    <row r="44" spans="3:12" ht="20.100000000000001" customHeight="1" x14ac:dyDescent="0.25">
      <c r="D44" s="13" t="s">
        <v>23</v>
      </c>
      <c r="E44" s="13" t="e" cm="1">
        <f t="array" aca="1" ref="E44" ca="1">Common_InputFunctions.Utility_DisplayFunctionName(G58)</f>
        <v>#N/A</v>
      </c>
    </row>
    <row r="45" spans="3:12" ht="20.100000000000001" customHeight="1" x14ac:dyDescent="0.25"/>
    <row r="46" spans="3:12" ht="20.100000000000001" customHeight="1" x14ac:dyDescent="0.25"/>
    <row r="47" spans="3:12" ht="20.100000000000001" customHeight="1" x14ac:dyDescent="0.25">
      <c r="D47" s="51" t="s">
        <v>26</v>
      </c>
      <c r="E47" s="1" t="str" cm="1">
        <f t="array" ref="E47">Fertiliser_Equations_InorganicCO2.VEERG_5_1_1_3__1_InorganicFertiliserApplicationCO2Emissions_Variable()</f>
        <v>E_CO2</v>
      </c>
    </row>
    <row r="48" spans="3:12" ht="20.100000000000001" customHeight="1" x14ac:dyDescent="0.25">
      <c r="D48" s="51" t="s">
        <v>16</v>
      </c>
      <c r="E48" s="52" t="str" cm="1">
        <f t="array" ref="E48">Fertiliser_Equations_InorganicCO2.VEERG_5_1_1_3__1_InorganicFertiliserApplicationCO2Emissions_Unit()</f>
        <v>t CO2</v>
      </c>
    </row>
    <row r="49" spans="4:8" ht="20.100000000000001" customHeight="1" x14ac:dyDescent="0.25"/>
    <row r="50" spans="4:8" ht="20.100000000000001" customHeight="1" x14ac:dyDescent="0.25">
      <c r="D50" s="54" t="str" cm="1">
        <f t="array" ref="D50:E54">_xlfn.CHOOSECOLS(Fertiliser_Equations_InorganicCO2.VEERG_5_1_1_3__1_InorganicFertiliserApplicationCO2Emissions_Arguments(), 1, 2)</f>
        <v>MU_jf</v>
      </c>
      <c r="E50" s="55" t="str">
        <v>mass of urea of inorganic fertiliser type f applied to production system j : kg urea</v>
      </c>
      <c r="F50" s="56"/>
      <c r="G50" s="54" t="str">
        <f>"See " &amp; D16</f>
        <v>See Table_MU_j_f</v>
      </c>
      <c r="H50" s="136" t="str" cm="1">
        <f t="array" ref="H50:H54">_xlfn.CHOOSECOLS(Fertiliser_Equations_InorganicCO2.VEERG_5_1_1_3__1_InorganicFertiliserApplicationCO2Emissions_Arguments(), 3)</f>
        <v>Calculated</v>
      </c>
    </row>
    <row r="51" spans="4:8" ht="20.100000000000001" customHeight="1" x14ac:dyDescent="0.25">
      <c r="D51" s="54" t="str">
        <v>EF_ureaCO2</v>
      </c>
      <c r="E51" s="55" t="str">
        <v>emission factor for carbon emissions from urea-based fertilisers : kg C/kg urea</v>
      </c>
      <c r="F51" s="56"/>
      <c r="G51" s="50"/>
      <c r="H51" s="136" t="str">
        <v>Constant</v>
      </c>
    </row>
    <row r="52" spans="4:8" ht="20.100000000000001" customHeight="1" x14ac:dyDescent="0.25">
      <c r="D52" s="54" t="str">
        <v>C_CO2</v>
      </c>
      <c r="E52" s="55" t="str">
        <v>factor to convert elemental mass of carbon to molecular mass of carbon dioxide</v>
      </c>
      <c r="F52" s="56"/>
      <c r="G52" s="54">
        <f>Common_InputFunctions.Utility_LookupValueInTableNumber("CO2",Table_GasToMolecularConversionFactor[Gas], Table_GasToMolecularConversionFactor[Conversion factor combined])</f>
        <v>3.6666666666666665</v>
      </c>
      <c r="H52" s="136" t="str">
        <v>Constant</v>
      </c>
    </row>
    <row r="53" spans="4:8" ht="20.100000000000001" customHeight="1" x14ac:dyDescent="0.25">
      <c r="D53" s="54" t="str">
        <v>j</v>
      </c>
      <c r="E53" s="55" t="str">
        <v>Production system</v>
      </c>
      <c r="F53" s="56"/>
      <c r="G53" s="54"/>
      <c r="H53" s="137" t="str">
        <v>Input</v>
      </c>
    </row>
    <row r="54" spans="4:8" ht="20.100000000000001" customHeight="1" x14ac:dyDescent="0.25">
      <c r="D54" s="54" t="str">
        <v>f</v>
      </c>
      <c r="E54" s="55" t="str">
        <v>Inorganic fertiliser type</v>
      </c>
      <c r="F54" s="56"/>
      <c r="G54" s="54"/>
      <c r="H54" s="136" t="str">
        <v>Lookup</v>
      </c>
    </row>
    <row r="55" spans="4:8" ht="20.100000000000001" customHeight="1" x14ac:dyDescent="0.25"/>
    <row r="56" spans="4:8" ht="20.100000000000001" customHeight="1" x14ac:dyDescent="0.25">
      <c r="D56" s="93" t="s">
        <v>309</v>
      </c>
    </row>
    <row r="57" spans="4:8" ht="20.100000000000001" customHeight="1" x14ac:dyDescent="0.25">
      <c r="D57" s="92" t="s">
        <v>310</v>
      </c>
    </row>
    <row r="58" spans="4:8" ht="20.100000000000001" customHeight="1" x14ac:dyDescent="0.25">
      <c r="E58" s="136" t="s">
        <v>249</v>
      </c>
    </row>
    <row r="59" spans="4:8" ht="20.100000000000001" customHeight="1" x14ac:dyDescent="0.25">
      <c r="E59" s="135" t="str">
        <f>$E$48</f>
        <v>t CO2</v>
      </c>
    </row>
    <row r="60" spans="4:8" ht="20.100000000000001" customHeight="1" x14ac:dyDescent="0.25">
      <c r="D60" s="49" t="s">
        <v>185</v>
      </c>
      <c r="E60" s="49" t="s">
        <v>275</v>
      </c>
    </row>
    <row r="61" spans="4:8" ht="20.100000000000001" customHeight="1" x14ac:dyDescent="0.25">
      <c r="D61" s="50" t="str" cm="1">
        <f t="array" ref="D61:D78">Table_Fertiliser_ChemicalCompounds[Fertiliser type f]</f>
        <v>Monoammonium phosphate (MAP)</v>
      </c>
      <c r="E61" s="50" cm="1">
        <f t="array" ref="E61">Fertiliser_Equations_InorganicCO2.VEERG_5_1_1_3__1_InorganicFertiliserApplicationCO2Emissions(G21,G51,G52)</f>
        <v>0</v>
      </c>
    </row>
    <row r="62" spans="4:8" ht="20.100000000000001" customHeight="1" x14ac:dyDescent="0.25">
      <c r="D62" s="50" t="str">
        <v>Diammonium phosphate (DAP)</v>
      </c>
      <c r="E62" s="50" t="e" cm="1">
        <f t="array" ref="E62">Fertiliser_Equations_InorganicN2O.VEERG_5_1_1_1__1_InorganicFertiliserApplicationN2OEmissions(G19,$H$52,$H$53)</f>
        <v>#VALUE!</v>
      </c>
    </row>
    <row r="63" spans="4:8" ht="20.100000000000001" customHeight="1" x14ac:dyDescent="0.25">
      <c r="D63" s="50" t="str">
        <v>Urea</v>
      </c>
      <c r="E63" s="50" t="e" cm="1">
        <f t="array" ref="E63">Fertiliser_Equations_InorganicN2O.VEERG_5_1_1_1__1_InorganicFertiliserApplicationN2OEmissions(G20,$H$52,$H$53)</f>
        <v>#VALUE!</v>
      </c>
    </row>
    <row r="64" spans="4:8" ht="20.100000000000001" customHeight="1" x14ac:dyDescent="0.25">
      <c r="D64" s="50" t="str">
        <v>Sulphate of ammonia (SOA)</v>
      </c>
      <c r="E64" s="50" t="e" cm="1">
        <f t="array" ref="E64">Fertiliser_Equations_InorganicN2O.VEERG_5_1_1_1__1_InorganicFertiliserApplicationN2OEmissions(G21,$H$52,$H$53)</f>
        <v>#VALUE!</v>
      </c>
    </row>
    <row r="65" spans="4:5" ht="20.100000000000001" customHeight="1" x14ac:dyDescent="0.25">
      <c r="D65" s="50" t="str">
        <v>Urea-ammonium nitrate (UAN)</v>
      </c>
      <c r="E65" s="50" t="e" cm="1">
        <f t="array" ref="E65">Fertiliser_Equations_InorganicN2O.VEERG_5_1_1_1__1_InorganicFertiliserApplicationN2OEmissions(G22,$H$52,$H$53)</f>
        <v>#VALUE!</v>
      </c>
    </row>
    <row r="66" spans="4:5" ht="20.100000000000001" customHeight="1" x14ac:dyDescent="0.25">
      <c r="D66" s="50" t="str">
        <v>Ammonium nitrate (AN)</v>
      </c>
      <c r="E66" s="50" t="e" cm="1">
        <f t="array" ref="E66">Fertiliser_Equations_InorganicN2O.VEERG_5_1_1_1__1_InorganicFertiliserApplicationN2OEmissions(G23,$H$52,$H$53)</f>
        <v>#VALUE!</v>
      </c>
    </row>
    <row r="67" spans="4:5" ht="20.100000000000001" customHeight="1" x14ac:dyDescent="0.25">
      <c r="D67" s="50" t="str">
        <v>Calcium ammonium nitrate (CAN)</v>
      </c>
      <c r="E67" s="50" t="e" cm="1">
        <f t="array" ref="E67">Fertiliser_Equations_InorganicN2O.VEERG_5_1_1_1__1_InorganicFertiliserApplicationN2OEmissions(G24,$H$52,$H$53)</f>
        <v>#VALUE!</v>
      </c>
    </row>
    <row r="68" spans="4:5" ht="20.100000000000001" customHeight="1" x14ac:dyDescent="0.25">
      <c r="D68" s="50" t="str">
        <v>Nitrogen - Ammoniacal</v>
      </c>
      <c r="E68" s="50" t="e" cm="1">
        <f t="array" ref="E68">Fertiliser_Equations_InorganicN2O.VEERG_5_1_1_1__1_InorganicFertiliserApplicationN2OEmissions(G25,$H$52,$H$53)</f>
        <v>#VALUE!</v>
      </c>
    </row>
    <row r="69" spans="4:5" ht="20.100000000000001" customHeight="1" x14ac:dyDescent="0.25">
      <c r="D69" s="50" t="str">
        <v>Nitrogen - Nitrate</v>
      </c>
      <c r="E69" s="50" t="e" cm="1">
        <f t="array" ref="E69">Fertiliser_Equations_InorganicN2O.VEERG_5_1_1_1__1_InorganicFertiliserApplicationN2OEmissions(G26,$H$52,$H$53)</f>
        <v>#VALUE!</v>
      </c>
    </row>
    <row r="70" spans="4:5" ht="20.100000000000001" customHeight="1" x14ac:dyDescent="0.25">
      <c r="D70" s="50" t="str">
        <v>Nitrogen - generic</v>
      </c>
      <c r="E70" s="50" t="e" cm="1">
        <f t="array" ref="E70">Fertiliser_Equations_InorganicN2O.VEERG_5_1_1_1__1_InorganicFertiliserApplicationN2OEmissions(G27,$H$52,$H$53)</f>
        <v>#VALUE!</v>
      </c>
    </row>
    <row r="71" spans="4:5" ht="20.100000000000001" customHeight="1" x14ac:dyDescent="0.25">
      <c r="D71" s="50" t="str">
        <v>Phosphorus - generic</v>
      </c>
      <c r="E71" s="50" t="e" cm="1">
        <f t="array" ref="E71">Fertiliser_Equations_InorganicN2O.VEERG_5_1_1_1__1_InorganicFertiliserApplicationN2OEmissions(G28,$H$52,$H$53)</f>
        <v>#VALUE!</v>
      </c>
    </row>
    <row r="72" spans="4:5" ht="20.100000000000001" customHeight="1" x14ac:dyDescent="0.25">
      <c r="D72" s="50" t="str">
        <v>Potassium - generic</v>
      </c>
      <c r="E72" s="50" t="e" cm="1">
        <f t="array" ref="E72">Fertiliser_Equations_InorganicN2O.VEERG_5_1_1_1__1_InorganicFertiliserApplicationN2OEmissions(G29,$H$52,$H$53)</f>
        <v>#VALUE!</v>
      </c>
    </row>
    <row r="73" spans="4:5" ht="20.100000000000001" customHeight="1" x14ac:dyDescent="0.25">
      <c r="D73" s="50" t="str">
        <v>Sulfur - generic</v>
      </c>
      <c r="E73" s="50" t="e" cm="1">
        <f t="array" ref="E73">Fertiliser_Equations_InorganicN2O.VEERG_5_1_1_1__1_InorganicFertiliserApplicationN2OEmissions(G30,$H$52,$H$53)</f>
        <v>#VALUE!</v>
      </c>
    </row>
    <row r="74" spans="4:5" ht="20.100000000000001" customHeight="1" x14ac:dyDescent="0.25">
      <c r="D74" s="50" t="str">
        <v>Zinc - generic</v>
      </c>
      <c r="E74" s="50" t="e" cm="1">
        <f t="array" ref="E74">Fertiliser_Equations_InorganicN2O.VEERG_5_1_1_1__1_InorganicFertiliserApplicationN2OEmissions(G31,$H$52,$H$53)</f>
        <v>#VALUE!</v>
      </c>
    </row>
    <row r="75" spans="4:5" ht="20.100000000000001" customHeight="1" x14ac:dyDescent="0.25">
      <c r="D75" s="50" t="str">
        <v>Muriate of potash (MOP)</v>
      </c>
      <c r="E75" s="50" t="e" cm="1">
        <f t="array" ref="E75">Fertiliser_Equations_InorganicN2O.VEERG_5_1_1_1__1_InorganicFertiliserApplicationN2OEmissions(G32,$H$52,$H$53)</f>
        <v>#VALUE!</v>
      </c>
    </row>
    <row r="76" spans="4:5" ht="20.100000000000001" customHeight="1" x14ac:dyDescent="0.25">
      <c r="D76" s="50" t="str">
        <v>Double superphosphate</v>
      </c>
      <c r="E76" s="50" t="e" cm="1">
        <f t="array" ref="E76">Fertiliser_Equations_InorganicN2O.VEERG_5_1_1_1__1_InorganicFertiliserApplicationN2OEmissions(G33,$H$52,$H$53)</f>
        <v>#VALUE!</v>
      </c>
    </row>
    <row r="77" spans="4:5" ht="20.100000000000001" customHeight="1" x14ac:dyDescent="0.25">
      <c r="D77" s="50" t="str">
        <v>Single superphosphate (SSP)</v>
      </c>
      <c r="E77" s="50" t="e" cm="1">
        <f t="array" ref="E77">Fertiliser_Equations_InorganicN2O.VEERG_5_1_1_1__1_InorganicFertiliserApplicationN2OEmissions(G34,$H$52,$H$53)</f>
        <v>#VALUE!</v>
      </c>
    </row>
    <row r="78" spans="4:5" ht="20.100000000000001" customHeight="1" x14ac:dyDescent="0.25">
      <c r="D78" s="50" t="str">
        <v>Ammonia</v>
      </c>
      <c r="E78" s="50" t="e" cm="1">
        <f t="array" ref="E78">Fertiliser_Equations_InorganicN2O.VEERG_5_1_1_1__1_InorganicFertiliserApplicationN2OEmissions(G35,$H$52,$H$53)</f>
        <v>#VALUE!</v>
      </c>
    </row>
    <row r="79" spans="4:5" ht="20.100000000000001" customHeight="1" x14ac:dyDescent="0.25"/>
    <row r="80" spans="4:5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A36D-67BF-491B-8BEC-65303FBC20AD}">
  <dimension ref="A1:W165"/>
  <sheetViews>
    <sheetView showGridLines="0" tabSelected="1" topLeftCell="A37" workbookViewId="0">
      <selection activeCell="G44" sqref="G4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182</v>
      </c>
    </row>
    <row r="2" spans="1:21" s="9" customFormat="1" ht="20.100000000000001" customHeight="1" x14ac:dyDescent="0.25">
      <c r="A2"/>
    </row>
    <row r="3" spans="1:21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/>
    <row r="5" spans="1:21" ht="20.100000000000001" customHeight="1" x14ac:dyDescent="0.25">
      <c r="D5" s="6" t="str" cm="1">
        <f t="array" ref="D5">Fertiliser_SourceData.Fertiliser_ChemicalCompoundElements_Title()</f>
        <v>Common inorganic fertilisers</v>
      </c>
      <c r="E5" s="116"/>
      <c r="F5" s="125" t="s">
        <v>211</v>
      </c>
      <c r="G5" s="116"/>
      <c r="H5" s="116"/>
      <c r="I5" s="116"/>
      <c r="J5" s="116"/>
    </row>
    <row r="6" spans="1:21" ht="20.100000000000001" customHeight="1" x14ac:dyDescent="0.25">
      <c r="D6" s="5" t="str" cm="1">
        <f t="array" ref="D6">Fertiliser_SourceData.Fertiliser_ChemicalCompoundElements_Source()</f>
        <v>Table A.2.2.3: Fraction of nitrogen in common inorganic fertilisers (kgN/kg) (FNorganic,f) AND Table A.2.2.4: Fraction of urea in common inorganic fertilisers (kg urea/kg) (FUf)</v>
      </c>
    </row>
    <row r="7" spans="1:21" ht="20.100000000000001" customHeight="1" x14ac:dyDescent="0.25">
      <c r="D7" s="53" t="str" cm="1">
        <f t="array" ref="D7:D15">Fertiliser_SourceData.Fertiliser_ChemicalCompoundElements_Variation()</f>
        <v>VARIATION ON SOURCE</v>
      </c>
    </row>
    <row r="8" spans="1:21" ht="20.100000000000001" customHeight="1" x14ac:dyDescent="0.25">
      <c r="D8" s="53" t="str">
        <v>Added 'Basis' column to allow cross-referencing with table Table A.2.2.6: Fraction of inorganic fertiliser f that volatilises as NH3 and NOx ((kg NH3-N + NOx-N)/kg N) (FracGASFf)</v>
      </c>
    </row>
    <row r="9" spans="1:21" ht="20.100000000000001" customHeight="1" x14ac:dyDescent="0.25">
      <c r="D9" s="53" t="str">
        <v>Added extra fertiliser types and generic chemical compounds to allow for custom NPKS blends</v>
      </c>
    </row>
    <row r="10" spans="1:21" ht="20.100000000000001" customHeight="1" x14ac:dyDescent="0.25">
      <c r="D10" s="53" t="str">
        <v>Added extra 'Scope 3 definition' column to allow mapping with scope 3 data</v>
      </c>
    </row>
    <row r="11" spans="1:21" ht="20.100000000000001" customHeight="1" x14ac:dyDescent="0.25">
      <c r="D11" s="53" t="str">
        <v>Added 'Source' column</v>
      </c>
    </row>
    <row r="12" spans="1:21" ht="20.100000000000001" customHeight="1" x14ac:dyDescent="0.25">
      <c r="D12" s="53" t="str">
        <v>Combined data from Table A.2.2.3 and Table A.2.2.4 into one table to aid lookup.</v>
      </c>
    </row>
    <row r="13" spans="1:21" ht="20.100000000000001" customHeight="1" x14ac:dyDescent="0.25">
      <c r="D13" s="53" t="str">
        <v>Excluded 'References' column</v>
      </c>
    </row>
    <row r="14" spans="1:21" ht="20.100000000000001" customHeight="1" x14ac:dyDescent="0.25">
      <c r="D14" s="53" t="str">
        <v>Excluded 'Ammonium sulfate' as it is a duplicate of 'Sulphate of ammonia (SOA)'</v>
      </c>
    </row>
    <row r="15" spans="1:21" ht="20.100000000000001" customHeight="1" x14ac:dyDescent="0.25">
      <c r="D15" s="53" t="str">
        <v>Excluded 'Calcium nitrate' as no scope 3 value available.</v>
      </c>
    </row>
    <row r="16" spans="1:21" ht="20.100000000000001" customHeight="1" x14ac:dyDescent="0.25">
      <c r="D16" t="s">
        <v>185</v>
      </c>
      <c r="E16" t="s">
        <v>209</v>
      </c>
      <c r="F16" t="s">
        <v>208</v>
      </c>
      <c r="G16" t="s">
        <v>183</v>
      </c>
      <c r="H16" t="s">
        <v>210</v>
      </c>
      <c r="I16" t="s">
        <v>184</v>
      </c>
    </row>
    <row r="17" spans="4:9" ht="20.100000000000001" customHeight="1" x14ac:dyDescent="0.25">
      <c r="D17" s="117" t="str" cm="1">
        <f t="array" ref="D17">Common_InputFunctions.Utility_DisplayArrayInTable(Fertiliser_SourceData.Fertiliser_ChemicalCompoundElements_Data(),Table_Fertiliser_ChemicalCompounds[[#Headers],[Fertiliser type f]], 0)</f>
        <v>Monoammonium phosphate (MAP)</v>
      </c>
      <c r="E17" s="117" cm="1">
        <f t="array" ref="E17">Common_InputFunctions.Utility_DisplayArrayInTable(Fertiliser_SourceData.Fertiliser_ChemicalCompoundElements_Data(),Table_Fertiliser_ChemicalCompounds[[#Headers],[Fertiliser type f]], 0)</f>
        <v>0.1</v>
      </c>
      <c r="F17" s="117" cm="1">
        <f t="array" ref="F17">Common_InputFunctions.Utility_DisplayArrayInTable(Fertiliser_SourceData.Fertiliser_ChemicalCompoundElements_Data(),Table_Fertiliser_ChemicalCompounds[[#Headers],[Fertiliser type f]], 0)</f>
        <v>0</v>
      </c>
      <c r="G17" s="117" t="str" cm="1">
        <f t="array" ref="G17">Common_InputFunctions.Utility_DisplayArrayInTable(Fertiliser_SourceData.Fertiliser_ChemicalCompoundElements_Data(),Table_Fertiliser_ChemicalCompounds[[#Headers],[Fertiliser type f]], 0)</f>
        <v>Ammonium-based fertilisers</v>
      </c>
      <c r="H17" s="117" t="str" cm="1">
        <f t="array" ref="H17">Common_InputFunctions.Utility_DisplayArrayInTable(Fertiliser_SourceData.Fertiliser_ChemicalCompoundElements_Data(),Table_Fertiliser_ChemicalCompounds[[#Headers],[Fertiliser type f]], 0)</f>
        <v>Monoammonium phosphate (MAP)</v>
      </c>
      <c r="I17" s="117" t="str" cm="1">
        <f t="array" ref="I17">Common_InputFunctions.Utility_DisplayArrayInTable(Fertiliser_SourceData.Fertiliser_ChemicalCompoundElements_Data(),Table_Fertiliser_ChemicalCompounds[[#Headers],[Fertiliser type f]], 0)</f>
        <v>VEERG</v>
      </c>
    </row>
    <row r="18" spans="4:9" ht="20.100000000000001" customHeight="1" x14ac:dyDescent="0.25">
      <c r="D18" s="117" t="str" cm="1">
        <f t="array" ref="D18">Common_InputFunctions.Utility_DisplayArrayInTable(Fertiliser_SourceData.Fertiliser_ChemicalCompoundElements_Data(),Table_Fertiliser_ChemicalCompounds[[#Headers],[Fertiliser type f]], 0)</f>
        <v>Diammonium phosphate (DAP)</v>
      </c>
      <c r="E18" s="117" cm="1">
        <f t="array" ref="E18">Common_InputFunctions.Utility_DisplayArrayInTable(Fertiliser_SourceData.Fertiliser_ChemicalCompoundElements_Data(),Table_Fertiliser_ChemicalCompounds[[#Headers],[Fertiliser type f]], 0)</f>
        <v>0.18</v>
      </c>
      <c r="F18" s="117" cm="1">
        <f t="array" ref="F18">Common_InputFunctions.Utility_DisplayArrayInTable(Fertiliser_SourceData.Fertiliser_ChemicalCompoundElements_Data(),Table_Fertiliser_ChemicalCompounds[[#Headers],[Fertiliser type f]], 0)</f>
        <v>0</v>
      </c>
      <c r="G18" s="117" t="str" cm="1">
        <f t="array" ref="G18">Common_InputFunctions.Utility_DisplayArrayInTable(Fertiliser_SourceData.Fertiliser_ChemicalCompoundElements_Data(),Table_Fertiliser_ChemicalCompounds[[#Headers],[Fertiliser type f]], 0)</f>
        <v>Ammonium-based fertilisers</v>
      </c>
      <c r="H18" s="117" t="str" cm="1">
        <f t="array" ref="H18">Common_InputFunctions.Utility_DisplayArrayInTable(Fertiliser_SourceData.Fertiliser_ChemicalCompoundElements_Data(),Table_Fertiliser_ChemicalCompounds[[#Headers],[Fertiliser type f]], 0)</f>
        <v>Diammonium phosphate (DAP)</v>
      </c>
      <c r="I18" s="117" t="str" cm="1">
        <f t="array" ref="I18">Common_InputFunctions.Utility_DisplayArrayInTable(Fertiliser_SourceData.Fertiliser_ChemicalCompoundElements_Data(),Table_Fertiliser_ChemicalCompounds[[#Headers],[Fertiliser type f]], 0)</f>
        <v>VEERG</v>
      </c>
    </row>
    <row r="19" spans="4:9" ht="20.100000000000001" customHeight="1" x14ac:dyDescent="0.25">
      <c r="D19" s="117" t="str" cm="1">
        <f t="array" ref="D19">Common_InputFunctions.Utility_DisplayArrayInTable(Fertiliser_SourceData.Fertiliser_ChemicalCompoundElements_Data(),Table_Fertiliser_ChemicalCompounds[[#Headers],[Fertiliser type f]], 0)</f>
        <v>Urea</v>
      </c>
      <c r="E19" s="117" cm="1">
        <f t="array" ref="E19">Common_InputFunctions.Utility_DisplayArrayInTable(Fertiliser_SourceData.Fertiliser_ChemicalCompoundElements_Data(),Table_Fertiliser_ChemicalCompounds[[#Headers],[Fertiliser type f]], 0)</f>
        <v>0.46</v>
      </c>
      <c r="F19" s="117" cm="1">
        <f t="array" ref="F19">Common_InputFunctions.Utility_DisplayArrayInTable(Fertiliser_SourceData.Fertiliser_ChemicalCompoundElements_Data(),Table_Fertiliser_ChemicalCompounds[[#Headers],[Fertiliser type f]], 0)</f>
        <v>1</v>
      </c>
      <c r="G19" s="117" t="str" cm="1">
        <f t="array" ref="G19">Common_InputFunctions.Utility_DisplayArrayInTable(Fertiliser_SourceData.Fertiliser_ChemicalCompoundElements_Data(),Table_Fertiliser_ChemicalCompounds[[#Headers],[Fertiliser type f]], 0)</f>
        <v>Urea-based fertilisers</v>
      </c>
      <c r="H19" s="117" t="str" cm="1">
        <f t="array" ref="H19">Common_InputFunctions.Utility_DisplayArrayInTable(Fertiliser_SourceData.Fertiliser_ChemicalCompoundElements_Data(),Table_Fertiliser_ChemicalCompounds[[#Headers],[Fertiliser type f]], 0)</f>
        <v>Urea</v>
      </c>
      <c r="I19" s="117" t="str" cm="1">
        <f t="array" ref="I19">Common_InputFunctions.Utility_DisplayArrayInTable(Fertiliser_SourceData.Fertiliser_ChemicalCompoundElements_Data(),Table_Fertiliser_ChemicalCompounds[[#Headers],[Fertiliser type f]], 0)</f>
        <v>VEERG</v>
      </c>
    </row>
    <row r="20" spans="4:9" ht="20.100000000000001" customHeight="1" x14ac:dyDescent="0.25">
      <c r="D20" s="117" t="str" cm="1">
        <f t="array" ref="D20">Common_InputFunctions.Utility_DisplayArrayInTable(Fertiliser_SourceData.Fertiliser_ChemicalCompoundElements_Data(),Table_Fertiliser_ChemicalCompounds[[#Headers],[Fertiliser type f]], 0)</f>
        <v>Sulphate of ammonia (SOA)</v>
      </c>
      <c r="E20" s="117" cm="1">
        <f t="array" ref="E20">Common_InputFunctions.Utility_DisplayArrayInTable(Fertiliser_SourceData.Fertiliser_ChemicalCompoundElements_Data(),Table_Fertiliser_ChemicalCompounds[[#Headers],[Fertiliser type f]], 0)</f>
        <v>0.21</v>
      </c>
      <c r="F20" s="117" cm="1">
        <f t="array" ref="F20">Common_InputFunctions.Utility_DisplayArrayInTable(Fertiliser_SourceData.Fertiliser_ChemicalCompoundElements_Data(),Table_Fertiliser_ChemicalCompounds[[#Headers],[Fertiliser type f]], 0)</f>
        <v>0</v>
      </c>
      <c r="G20" s="117" t="str" cm="1">
        <f t="array" ref="G20">Common_InputFunctions.Utility_DisplayArrayInTable(Fertiliser_SourceData.Fertiliser_ChemicalCompoundElements_Data(),Table_Fertiliser_ChemicalCompounds[[#Headers],[Fertiliser type f]], 0)</f>
        <v>Ammonium-based fertilisers</v>
      </c>
      <c r="H20" s="117" t="str" cm="1">
        <f t="array" ref="H20">Common_InputFunctions.Utility_DisplayArrayInTable(Fertiliser_SourceData.Fertiliser_ChemicalCompoundElements_Data(),Table_Fertiliser_ChemicalCompounds[[#Headers],[Fertiliser type f]], 0)</f>
        <v>Sulphate of ammonia (SOA)</v>
      </c>
      <c r="I20" s="117" t="str" cm="1">
        <f t="array" ref="I20">Common_InputFunctions.Utility_DisplayArrayInTable(Fertiliser_SourceData.Fertiliser_ChemicalCompoundElements_Data(),Table_Fertiliser_ChemicalCompounds[[#Headers],[Fertiliser type f]], 0)</f>
        <v>VEERG</v>
      </c>
    </row>
    <row r="21" spans="4:9" ht="20.100000000000001" customHeight="1" x14ac:dyDescent="0.25">
      <c r="D21" s="117" t="str" cm="1">
        <f t="array" ref="D21">Common_InputFunctions.Utility_DisplayArrayInTable(Fertiliser_SourceData.Fertiliser_ChemicalCompoundElements_Data(),Table_Fertiliser_ChemicalCompounds[[#Headers],[Fertiliser type f]], 0)</f>
        <v>Urea-ammonium nitrate (UAN)</v>
      </c>
      <c r="E21" s="117" cm="1">
        <f t="array" ref="E21">Common_InputFunctions.Utility_DisplayArrayInTable(Fertiliser_SourceData.Fertiliser_ChemicalCompoundElements_Data(),Table_Fertiliser_ChemicalCompounds[[#Headers],[Fertiliser type f]], 0)</f>
        <v>0.32</v>
      </c>
      <c r="F21" s="117" cm="1">
        <f t="array" ref="F21">Common_InputFunctions.Utility_DisplayArrayInTable(Fertiliser_SourceData.Fertiliser_ChemicalCompoundElements_Data(),Table_Fertiliser_ChemicalCompounds[[#Headers],[Fertiliser type f]], 0)</f>
        <v>0.35</v>
      </c>
      <c r="G21" s="124" t="str" cm="1">
        <f t="array" ref="G21">Common_InputFunctions.Utility_DisplayArrayInTable(Fertiliser_SourceData.Fertiliser_ChemicalCompoundElements_Data(),Table_Fertiliser_ChemicalCompounds[[#Headers],[Fertiliser type f]], 0)</f>
        <v>Urea-based fertilisers</v>
      </c>
      <c r="H21" s="117" t="str" cm="1">
        <f t="array" ref="H21">Common_InputFunctions.Utility_DisplayArrayInTable(Fertiliser_SourceData.Fertiliser_ChemicalCompoundElements_Data(),Table_Fertiliser_ChemicalCompounds[[#Headers],[Fertiliser type f]], 0)</f>
        <v>Urea-ammonium nitrate (UAN)</v>
      </c>
      <c r="I21" s="117" t="str" cm="1">
        <f t="array" ref="I21">Common_InputFunctions.Utility_DisplayArrayInTable(Fertiliser_SourceData.Fertiliser_ChemicalCompoundElements_Data(),Table_Fertiliser_ChemicalCompounds[[#Headers],[Fertiliser type f]], 0)</f>
        <v>VEERG</v>
      </c>
    </row>
    <row r="22" spans="4:9" ht="20.100000000000001" customHeight="1" x14ac:dyDescent="0.25">
      <c r="D22" s="117" t="str" cm="1">
        <f t="array" ref="D22">Common_InputFunctions.Utility_DisplayArrayInTable(Fertiliser_SourceData.Fertiliser_ChemicalCompoundElements_Data(),Table_Fertiliser_ChemicalCompounds[[#Headers],[Fertiliser type f]], 0)</f>
        <v>Ammonium nitrate (AN)</v>
      </c>
      <c r="E22" s="117" cm="1">
        <f t="array" ref="E22">Common_InputFunctions.Utility_DisplayArrayInTable(Fertiliser_SourceData.Fertiliser_ChemicalCompoundElements_Data(),Table_Fertiliser_ChemicalCompounds[[#Headers],[Fertiliser type f]], 0)</f>
        <v>0.33700000000000002</v>
      </c>
      <c r="F22" s="117" cm="1">
        <f t="array" ref="F22">Common_InputFunctions.Utility_DisplayArrayInTable(Fertiliser_SourceData.Fertiliser_ChemicalCompoundElements_Data(),Table_Fertiliser_ChemicalCompounds[[#Headers],[Fertiliser type f]], 0)</f>
        <v>0</v>
      </c>
      <c r="G22" s="117" t="str" cm="1">
        <f t="array" ref="G22">Common_InputFunctions.Utility_DisplayArrayInTable(Fertiliser_SourceData.Fertiliser_ChemicalCompoundElements_Data(),Table_Fertiliser_ChemicalCompounds[[#Headers],[Fertiliser type f]], 0)</f>
        <v>Ammonium-nitrate based fertilisers</v>
      </c>
      <c r="H22" s="117" t="str" cm="1">
        <f t="array" ref="H22">Common_InputFunctions.Utility_DisplayArrayInTable(Fertiliser_SourceData.Fertiliser_ChemicalCompoundElements_Data(),Table_Fertiliser_ChemicalCompounds[[#Headers],[Fertiliser type f]], 0)</f>
        <v>Ammonium nitrate (AN)</v>
      </c>
      <c r="I22" s="117" t="str" cm="1">
        <f t="array" ref="I22">Common_InputFunctions.Utility_DisplayArrayInTable(Fertiliser_SourceData.Fertiliser_ChemicalCompoundElements_Data(),Table_Fertiliser_ChemicalCompounds[[#Headers],[Fertiliser type f]], 0)</f>
        <v>VEERG</v>
      </c>
    </row>
    <row r="23" spans="4:9" ht="20.100000000000001" customHeight="1" x14ac:dyDescent="0.25">
      <c r="D23" s="117" t="str" cm="1">
        <f t="array" ref="D23">Common_InputFunctions.Utility_DisplayArrayInTable(Fertiliser_SourceData.Fertiliser_ChemicalCompoundElements_Data(),Table_Fertiliser_ChemicalCompounds[[#Headers],[Fertiliser type f]], 0)</f>
        <v>Calcium ammonium nitrate (CAN)</v>
      </c>
      <c r="E23" s="117" cm="1">
        <f t="array" ref="E23">Common_InputFunctions.Utility_DisplayArrayInTable(Fertiliser_SourceData.Fertiliser_ChemicalCompoundElements_Data(),Table_Fertiliser_ChemicalCompounds[[#Headers],[Fertiliser type f]], 0)</f>
        <v>0.27</v>
      </c>
      <c r="F23" s="117" cm="1">
        <f t="array" ref="F23">Common_InputFunctions.Utility_DisplayArrayInTable(Fertiliser_SourceData.Fertiliser_ChemicalCompoundElements_Data(),Table_Fertiliser_ChemicalCompounds[[#Headers],[Fertiliser type f]], 0)</f>
        <v>0</v>
      </c>
      <c r="G23" s="117" t="str" cm="1">
        <f t="array" ref="G23">Common_InputFunctions.Utility_DisplayArrayInTable(Fertiliser_SourceData.Fertiliser_ChemicalCompoundElements_Data(),Table_Fertiliser_ChemicalCompounds[[#Headers],[Fertiliser type f]], 0)</f>
        <v>Ammonium-nitrate based fertilisers</v>
      </c>
      <c r="H23" s="117" t="str" cm="1">
        <f t="array" ref="H23">Common_InputFunctions.Utility_DisplayArrayInTable(Fertiliser_SourceData.Fertiliser_ChemicalCompoundElements_Data(),Table_Fertiliser_ChemicalCompounds[[#Headers],[Fertiliser type f]], 0)</f>
        <v>Calcium ammonium nitrate (CAN)</v>
      </c>
      <c r="I23" s="117" t="str" cm="1">
        <f t="array" ref="I23">Common_InputFunctions.Utility_DisplayArrayInTable(Fertiliser_SourceData.Fertiliser_ChemicalCompoundElements_Data(),Table_Fertiliser_ChemicalCompounds[[#Headers],[Fertiliser type f]], 0)</f>
        <v>VEERG</v>
      </c>
    </row>
    <row r="24" spans="4:9" ht="20.100000000000001" customHeight="1" x14ac:dyDescent="0.25">
      <c r="D24" s="117" t="str" cm="1">
        <f t="array" ref="D24">Common_InputFunctions.Utility_DisplayArrayInTable(Fertiliser_SourceData.Fertiliser_ChemicalCompoundElements_Data(),Table_Fertiliser_ChemicalCompounds[[#Headers],[Fertiliser type f]], 0)</f>
        <v>Nitrogen - Ammoniacal</v>
      </c>
      <c r="E24" s="117" cm="1">
        <f t="array" ref="E24">Common_InputFunctions.Utility_DisplayArrayInTable(Fertiliser_SourceData.Fertiliser_ChemicalCompoundElements_Data(),Table_Fertiliser_ChemicalCompounds[[#Headers],[Fertiliser type f]], 0)</f>
        <v>1</v>
      </c>
      <c r="F24" s="117" cm="1">
        <f t="array" ref="F24">Common_InputFunctions.Utility_DisplayArrayInTable(Fertiliser_SourceData.Fertiliser_ChemicalCompoundElements_Data(),Table_Fertiliser_ChemicalCompounds[[#Headers],[Fertiliser type f]], 0)</f>
        <v>0</v>
      </c>
      <c r="G24" s="117" t="str" cm="1">
        <f t="array" ref="G24">Common_InputFunctions.Utility_DisplayArrayInTable(Fertiliser_SourceData.Fertiliser_ChemicalCompoundElements_Data(),Table_Fertiliser_ChemicalCompounds[[#Headers],[Fertiliser type f]], 0)</f>
        <v>Ammonium-based fertilisers</v>
      </c>
      <c r="H24" s="117" t="str" cm="1">
        <f t="array" ref="H24">Common_InputFunctions.Utility_DisplayArrayInTable(Fertiliser_SourceData.Fertiliser_ChemicalCompoundElements_Data(),Table_Fertiliser_ChemicalCompounds[[#Headers],[Fertiliser type f]], 0)</f>
        <v>Nitrogen from Ammonia</v>
      </c>
      <c r="I24" s="117" t="str" cm="1">
        <f t="array" ref="I24">Common_InputFunctions.Utility_DisplayArrayInTable(Fertiliser_SourceData.Fertiliser_ChemicalCompoundElements_Data(),Table_Fertiliser_ChemicalCompounds[[#Headers],[Fertiliser type f]], 0)</f>
        <v>LifeCycles</v>
      </c>
    </row>
    <row r="25" spans="4:9" ht="20.100000000000001" customHeight="1" x14ac:dyDescent="0.25">
      <c r="D25" s="117" t="str" cm="1">
        <f t="array" ref="D25">Common_InputFunctions.Utility_DisplayArrayInTable(Fertiliser_SourceData.Fertiliser_ChemicalCompoundElements_Data(),Table_Fertiliser_ChemicalCompounds[[#Headers],[Fertiliser type f]], 0)</f>
        <v>Nitrogen - Nitrate</v>
      </c>
      <c r="E25" s="117" cm="1">
        <f t="array" ref="E25">Common_InputFunctions.Utility_DisplayArrayInTable(Fertiliser_SourceData.Fertiliser_ChemicalCompoundElements_Data(),Table_Fertiliser_ChemicalCompounds[[#Headers],[Fertiliser type f]], 0)</f>
        <v>1</v>
      </c>
      <c r="F25" s="117" cm="1">
        <f t="array" ref="F25">Common_InputFunctions.Utility_DisplayArrayInTable(Fertiliser_SourceData.Fertiliser_ChemicalCompoundElements_Data(),Table_Fertiliser_ChemicalCompounds[[#Headers],[Fertiliser type f]], 0)</f>
        <v>0</v>
      </c>
      <c r="G25" s="117" t="str" cm="1">
        <f t="array" ref="G25">Common_InputFunctions.Utility_DisplayArrayInTable(Fertiliser_SourceData.Fertiliser_ChemicalCompoundElements_Data(),Table_Fertiliser_ChemicalCompounds[[#Headers],[Fertiliser type f]], 0)</f>
        <v>Nitrate-based fertilisers</v>
      </c>
      <c r="H25" s="117" t="str" cm="1">
        <f t="array" ref="H25">Common_InputFunctions.Utility_DisplayArrayInTable(Fertiliser_SourceData.Fertiliser_ChemicalCompoundElements_Data(),Table_Fertiliser_ChemicalCompounds[[#Headers],[Fertiliser type f]], 0)</f>
        <v>Nitrogen from Nitrate</v>
      </c>
      <c r="I25" s="117" t="str" cm="1">
        <f t="array" ref="I25">Common_InputFunctions.Utility_DisplayArrayInTable(Fertiliser_SourceData.Fertiliser_ChemicalCompoundElements_Data(),Table_Fertiliser_ChemicalCompounds[[#Headers],[Fertiliser type f]], 0)</f>
        <v>LifeCycles</v>
      </c>
    </row>
    <row r="26" spans="4:9" ht="20.100000000000001" customHeight="1" x14ac:dyDescent="0.25">
      <c r="D26" s="117" t="str" cm="1">
        <f t="array" ref="D26">Common_InputFunctions.Utility_DisplayArrayInTable(Fertiliser_SourceData.Fertiliser_ChemicalCompoundElements_Data(),Table_Fertiliser_ChemicalCompounds[[#Headers],[Fertiliser type f]], 0)</f>
        <v>Nitrogen - generic</v>
      </c>
      <c r="E26" s="117" cm="1">
        <f t="array" ref="E26">Common_InputFunctions.Utility_DisplayArrayInTable(Fertiliser_SourceData.Fertiliser_ChemicalCompoundElements_Data(),Table_Fertiliser_ChemicalCompounds[[#Headers],[Fertiliser type f]], 0)</f>
        <v>1</v>
      </c>
      <c r="F26" s="117" cm="1">
        <f t="array" ref="F26">Common_InputFunctions.Utility_DisplayArrayInTable(Fertiliser_SourceData.Fertiliser_ChemicalCompoundElements_Data(),Table_Fertiliser_ChemicalCompounds[[#Headers],[Fertiliser type f]], 0)</f>
        <v>0</v>
      </c>
      <c r="G26" s="124" t="str" cm="1">
        <f t="array" ref="G26">Common_InputFunctions.Utility_DisplayArrayInTable(Fertiliser_SourceData.Fertiliser_ChemicalCompoundElements_Data(),Table_Fertiliser_ChemicalCompounds[[#Headers],[Fertiliser type f]], 0)</f>
        <v>Other fertilisers</v>
      </c>
      <c r="H26" s="117" t="str" cm="1">
        <f t="array" ref="H26">Common_InputFunctions.Utility_DisplayArrayInTable(Fertiliser_SourceData.Fertiliser_ChemicalCompoundElements_Data(),Table_Fertiliser_ChemicalCompounds[[#Headers],[Fertiliser type f]], 0)</f>
        <v>Nitrogen from fertiliser</v>
      </c>
      <c r="I26" s="117" t="str" cm="1">
        <f t="array" ref="I26">Common_InputFunctions.Utility_DisplayArrayInTable(Fertiliser_SourceData.Fertiliser_ChemicalCompoundElements_Data(),Table_Fertiliser_ChemicalCompounds[[#Headers],[Fertiliser type f]], 0)</f>
        <v>LifeCycles</v>
      </c>
    </row>
    <row r="27" spans="4:9" ht="20.100000000000001" customHeight="1" x14ac:dyDescent="0.25">
      <c r="D27" s="117" t="str" cm="1">
        <f t="array" ref="D27">Common_InputFunctions.Utility_DisplayArrayInTable(Fertiliser_SourceData.Fertiliser_ChemicalCompoundElements_Data(),Table_Fertiliser_ChemicalCompounds[[#Headers],[Fertiliser type f]], 0)</f>
        <v>Phosphorus - generic</v>
      </c>
      <c r="E27" s="117" cm="1">
        <f t="array" ref="E27">Common_InputFunctions.Utility_DisplayArrayInTable(Fertiliser_SourceData.Fertiliser_ChemicalCompoundElements_Data(),Table_Fertiliser_ChemicalCompounds[[#Headers],[Fertiliser type f]], 0)</f>
        <v>0</v>
      </c>
      <c r="F27" s="117" cm="1">
        <f t="array" ref="F27">Common_InputFunctions.Utility_DisplayArrayInTable(Fertiliser_SourceData.Fertiliser_ChemicalCompoundElements_Data(),Table_Fertiliser_ChemicalCompounds[[#Headers],[Fertiliser type f]], 0)</f>
        <v>0</v>
      </c>
      <c r="G27" s="117" t="str" cm="1">
        <f t="array" ref="G27">Common_InputFunctions.Utility_DisplayArrayInTable(Fertiliser_SourceData.Fertiliser_ChemicalCompoundElements_Data(),Table_Fertiliser_ChemicalCompounds[[#Headers],[Fertiliser type f]], 0)</f>
        <v>Other fertilisers</v>
      </c>
      <c r="H27" s="117" t="str" cm="1">
        <f t="array" ref="H27">Common_InputFunctions.Utility_DisplayArrayInTable(Fertiliser_SourceData.Fertiliser_ChemicalCompoundElements_Data(),Table_Fertiliser_ChemicalCompounds[[#Headers],[Fertiliser type f]], 0)</f>
        <v>Phosphorus from fertiliser</v>
      </c>
      <c r="I27" s="117" t="str" cm="1">
        <f t="array" ref="I27">Common_InputFunctions.Utility_DisplayArrayInTable(Fertiliser_SourceData.Fertiliser_ChemicalCompoundElements_Data(),Table_Fertiliser_ChemicalCompounds[[#Headers],[Fertiliser type f]], 0)</f>
        <v>LifeCycles</v>
      </c>
    </row>
    <row r="28" spans="4:9" ht="20.100000000000001" customHeight="1" x14ac:dyDescent="0.25">
      <c r="D28" s="117" t="str" cm="1">
        <f t="array" ref="D28">Common_InputFunctions.Utility_DisplayArrayInTable(Fertiliser_SourceData.Fertiliser_ChemicalCompoundElements_Data(),Table_Fertiliser_ChemicalCompounds[[#Headers],[Fertiliser type f]], 0)</f>
        <v>Potassium - generic</v>
      </c>
      <c r="E28" s="117" cm="1">
        <f t="array" ref="E28">Common_InputFunctions.Utility_DisplayArrayInTable(Fertiliser_SourceData.Fertiliser_ChemicalCompoundElements_Data(),Table_Fertiliser_ChemicalCompounds[[#Headers],[Fertiliser type f]], 0)</f>
        <v>0</v>
      </c>
      <c r="F28" s="117" cm="1">
        <f t="array" ref="F28">Common_InputFunctions.Utility_DisplayArrayInTable(Fertiliser_SourceData.Fertiliser_ChemicalCompoundElements_Data(),Table_Fertiliser_ChemicalCompounds[[#Headers],[Fertiliser type f]], 0)</f>
        <v>0</v>
      </c>
      <c r="G28" s="117" t="str" cm="1">
        <f t="array" ref="G28">Common_InputFunctions.Utility_DisplayArrayInTable(Fertiliser_SourceData.Fertiliser_ChemicalCompoundElements_Data(),Table_Fertiliser_ChemicalCompounds[[#Headers],[Fertiliser type f]], 0)</f>
        <v>Other fertilisers</v>
      </c>
      <c r="H28" s="117" t="str" cm="1">
        <f t="array" ref="H28">Common_InputFunctions.Utility_DisplayArrayInTable(Fertiliser_SourceData.Fertiliser_ChemicalCompoundElements_Data(),Table_Fertiliser_ChemicalCompounds[[#Headers],[Fertiliser type f]], 0)</f>
        <v>Potassium from fertiliser</v>
      </c>
      <c r="I28" s="117" t="str" cm="1">
        <f t="array" ref="I28">Common_InputFunctions.Utility_DisplayArrayInTable(Fertiliser_SourceData.Fertiliser_ChemicalCompoundElements_Data(),Table_Fertiliser_ChemicalCompounds[[#Headers],[Fertiliser type f]], 0)</f>
        <v>LifeCycles</v>
      </c>
    </row>
    <row r="29" spans="4:9" ht="20.100000000000001" customHeight="1" x14ac:dyDescent="0.25">
      <c r="D29" s="117" t="str" cm="1">
        <f t="array" ref="D29">Common_InputFunctions.Utility_DisplayArrayInTable(Fertiliser_SourceData.Fertiliser_ChemicalCompoundElements_Data(),Table_Fertiliser_ChemicalCompounds[[#Headers],[Fertiliser type f]], 0)</f>
        <v>Sulfur - generic</v>
      </c>
      <c r="E29" s="117" cm="1">
        <f t="array" ref="E29">Common_InputFunctions.Utility_DisplayArrayInTable(Fertiliser_SourceData.Fertiliser_ChemicalCompoundElements_Data(),Table_Fertiliser_ChemicalCompounds[[#Headers],[Fertiliser type f]], 0)</f>
        <v>0</v>
      </c>
      <c r="F29" s="117" cm="1">
        <f t="array" ref="F29">Common_InputFunctions.Utility_DisplayArrayInTable(Fertiliser_SourceData.Fertiliser_ChemicalCompoundElements_Data(),Table_Fertiliser_ChemicalCompounds[[#Headers],[Fertiliser type f]], 0)</f>
        <v>0</v>
      </c>
      <c r="G29" s="117" t="str" cm="1">
        <f t="array" ref="G29">Common_InputFunctions.Utility_DisplayArrayInTable(Fertiliser_SourceData.Fertiliser_ChemicalCompoundElements_Data(),Table_Fertiliser_ChemicalCompounds[[#Headers],[Fertiliser type f]], 0)</f>
        <v>Other fertilisers</v>
      </c>
      <c r="H29" s="117" t="str" cm="1">
        <f t="array" ref="H29">Common_InputFunctions.Utility_DisplayArrayInTable(Fertiliser_SourceData.Fertiliser_ChemicalCompoundElements_Data(),Table_Fertiliser_ChemicalCompounds[[#Headers],[Fertiliser type f]], 0)</f>
        <v>Sulfur from fertiliser</v>
      </c>
      <c r="I29" s="117" t="str" cm="1">
        <f t="array" ref="I29">Common_InputFunctions.Utility_DisplayArrayInTable(Fertiliser_SourceData.Fertiliser_ChemicalCompoundElements_Data(),Table_Fertiliser_ChemicalCompounds[[#Headers],[Fertiliser type f]], 0)</f>
        <v>LifeCycles</v>
      </c>
    </row>
    <row r="30" spans="4:9" ht="20.100000000000001" customHeight="1" x14ac:dyDescent="0.25">
      <c r="D30" s="117" t="str" cm="1">
        <f t="array" ref="D30">Common_InputFunctions.Utility_DisplayArrayInTable(Fertiliser_SourceData.Fertiliser_ChemicalCompoundElements_Data(),Table_Fertiliser_ChemicalCompounds[[#Headers],[Fertiliser type f]], 0)</f>
        <v>Zinc - generic</v>
      </c>
      <c r="E30" s="117" cm="1">
        <f t="array" ref="E30">Common_InputFunctions.Utility_DisplayArrayInTable(Fertiliser_SourceData.Fertiliser_ChemicalCompoundElements_Data(),Table_Fertiliser_ChemicalCompounds[[#Headers],[Fertiliser type f]], 0)</f>
        <v>0</v>
      </c>
      <c r="F30" s="117" cm="1">
        <f t="array" ref="F30">Common_InputFunctions.Utility_DisplayArrayInTable(Fertiliser_SourceData.Fertiliser_ChemicalCompoundElements_Data(),Table_Fertiliser_ChemicalCompounds[[#Headers],[Fertiliser type f]], 0)</f>
        <v>0</v>
      </c>
      <c r="G30" s="117" t="str" cm="1">
        <f t="array" ref="G30">Common_InputFunctions.Utility_DisplayArrayInTable(Fertiliser_SourceData.Fertiliser_ChemicalCompoundElements_Data(),Table_Fertiliser_ChemicalCompounds[[#Headers],[Fertiliser type f]], 0)</f>
        <v>Other fertilisers</v>
      </c>
      <c r="H30" s="117" t="str" cm="1">
        <f t="array" ref="H30">Common_InputFunctions.Utility_DisplayArrayInTable(Fertiliser_SourceData.Fertiliser_ChemicalCompoundElements_Data(),Table_Fertiliser_ChemicalCompounds[[#Headers],[Fertiliser type f]], 0)</f>
        <v>Zinc from fertiliser</v>
      </c>
      <c r="I30" s="117" t="str" cm="1">
        <f t="array" ref="I30">Common_InputFunctions.Utility_DisplayArrayInTable(Fertiliser_SourceData.Fertiliser_ChemicalCompoundElements_Data(),Table_Fertiliser_ChemicalCompounds[[#Headers],[Fertiliser type f]], 0)</f>
        <v>LifeCycles</v>
      </c>
    </row>
    <row r="31" spans="4:9" ht="20.100000000000001" customHeight="1" x14ac:dyDescent="0.25">
      <c r="D31" s="117" t="str" cm="1">
        <f t="array" ref="D31">Common_InputFunctions.Utility_DisplayArrayInTable(Fertiliser_SourceData.Fertiliser_ChemicalCompoundElements_Data(),Table_Fertiliser_ChemicalCompounds[[#Headers],[Fertiliser type f]], 0)</f>
        <v>Muriate of potash (MOP)</v>
      </c>
      <c r="E31" s="117" cm="1">
        <f t="array" ref="E31">Common_InputFunctions.Utility_DisplayArrayInTable(Fertiliser_SourceData.Fertiliser_ChemicalCompoundElements_Data(),Table_Fertiliser_ChemicalCompounds[[#Headers],[Fertiliser type f]], 0)</f>
        <v>0</v>
      </c>
      <c r="F31" s="117" cm="1">
        <f t="array" ref="F31">Common_InputFunctions.Utility_DisplayArrayInTable(Fertiliser_SourceData.Fertiliser_ChemicalCompoundElements_Data(),Table_Fertiliser_ChemicalCompounds[[#Headers],[Fertiliser type f]], 0)</f>
        <v>0</v>
      </c>
      <c r="G31" s="117" t="str" cm="1">
        <f t="array" ref="G31">Common_InputFunctions.Utility_DisplayArrayInTable(Fertiliser_SourceData.Fertiliser_ChemicalCompoundElements_Data(),Table_Fertiliser_ChemicalCompounds[[#Headers],[Fertiliser type f]], 0)</f>
        <v>Other fertilisers</v>
      </c>
      <c r="H31" s="117" t="str" cm="1">
        <f t="array" ref="H31">Common_InputFunctions.Utility_DisplayArrayInTable(Fertiliser_SourceData.Fertiliser_ChemicalCompoundElements_Data(),Table_Fertiliser_ChemicalCompounds[[#Headers],[Fertiliser type f]], 0)</f>
        <v>Muriate of potash (MOP)</v>
      </c>
      <c r="I31" s="117" t="str" cm="1">
        <f t="array" ref="I31">Common_InputFunctions.Utility_DisplayArrayInTable(Fertiliser_SourceData.Fertiliser_ChemicalCompoundElements_Data(),Table_Fertiliser_ChemicalCompounds[[#Headers],[Fertiliser type f]], 0)</f>
        <v>LifeCycles</v>
      </c>
    </row>
    <row r="32" spans="4:9" ht="20.100000000000001" customHeight="1" x14ac:dyDescent="0.25">
      <c r="D32" s="117" t="str" cm="1">
        <f t="array" ref="D32">Common_InputFunctions.Utility_DisplayArrayInTable(Fertiliser_SourceData.Fertiliser_ChemicalCompoundElements_Data(),Table_Fertiliser_ChemicalCompounds[[#Headers],[Fertiliser type f]], 0)</f>
        <v>Double superphosphate</v>
      </c>
      <c r="E32" s="117" cm="1">
        <f t="array" ref="E32">Common_InputFunctions.Utility_DisplayArrayInTable(Fertiliser_SourceData.Fertiliser_ChemicalCompoundElements_Data(),Table_Fertiliser_ChemicalCompounds[[#Headers],[Fertiliser type f]], 0)</f>
        <v>0</v>
      </c>
      <c r="F32" s="117" cm="1">
        <f t="array" ref="F32">Common_InputFunctions.Utility_DisplayArrayInTable(Fertiliser_SourceData.Fertiliser_ChemicalCompoundElements_Data(),Table_Fertiliser_ChemicalCompounds[[#Headers],[Fertiliser type f]], 0)</f>
        <v>0</v>
      </c>
      <c r="G32" s="117" t="str" cm="1">
        <f t="array" ref="G32">Common_InputFunctions.Utility_DisplayArrayInTable(Fertiliser_SourceData.Fertiliser_ChemicalCompoundElements_Data(),Table_Fertiliser_ChemicalCompounds[[#Headers],[Fertiliser type f]], 0)</f>
        <v>Other fertilisers</v>
      </c>
      <c r="H32" s="117" t="str" cm="1">
        <f t="array" ref="H32">Common_InputFunctions.Utility_DisplayArrayInTable(Fertiliser_SourceData.Fertiliser_ChemicalCompoundElements_Data(),Table_Fertiliser_ChemicalCompounds[[#Headers],[Fertiliser type f]], 0)</f>
        <v>Double superphosphate</v>
      </c>
      <c r="I32" s="117" t="str" cm="1">
        <f t="array" ref="I32">Common_InputFunctions.Utility_DisplayArrayInTable(Fertiliser_SourceData.Fertiliser_ChemicalCompoundElements_Data(),Table_Fertiliser_ChemicalCompounds[[#Headers],[Fertiliser type f]], 0)</f>
        <v>LifeCycles</v>
      </c>
    </row>
    <row r="33" spans="4:9" ht="20.100000000000001" customHeight="1" x14ac:dyDescent="0.25">
      <c r="D33" s="117" t="str" cm="1">
        <f t="array" ref="D33">Common_InputFunctions.Utility_DisplayArrayInTable(Fertiliser_SourceData.Fertiliser_ChemicalCompoundElements_Data(),Table_Fertiliser_ChemicalCompounds[[#Headers],[Fertiliser type f]], 0)</f>
        <v>Single superphosphate (SSP)</v>
      </c>
      <c r="E33" s="117" cm="1">
        <f t="array" ref="E33">Common_InputFunctions.Utility_DisplayArrayInTable(Fertiliser_SourceData.Fertiliser_ChemicalCompoundElements_Data(),Table_Fertiliser_ChemicalCompounds[[#Headers],[Fertiliser type f]], 0)</f>
        <v>0</v>
      </c>
      <c r="F33" s="117" cm="1">
        <f t="array" ref="F33">Common_InputFunctions.Utility_DisplayArrayInTable(Fertiliser_SourceData.Fertiliser_ChemicalCompoundElements_Data(),Table_Fertiliser_ChemicalCompounds[[#Headers],[Fertiliser type f]], 0)</f>
        <v>0</v>
      </c>
      <c r="G33" s="117" t="str" cm="1">
        <f t="array" ref="G33">Common_InputFunctions.Utility_DisplayArrayInTable(Fertiliser_SourceData.Fertiliser_ChemicalCompoundElements_Data(),Table_Fertiliser_ChemicalCompounds[[#Headers],[Fertiliser type f]], 0)</f>
        <v>Other fertilisers</v>
      </c>
      <c r="H33" s="117" t="str" cm="1">
        <f t="array" ref="H33">Common_InputFunctions.Utility_DisplayArrayInTable(Fertiliser_SourceData.Fertiliser_ChemicalCompoundElements_Data(),Table_Fertiliser_ChemicalCompounds[[#Headers],[Fertiliser type f]], 0)</f>
        <v>Single superphosphate (SSP)</v>
      </c>
      <c r="I33" s="117" t="str" cm="1">
        <f t="array" ref="I33">Common_InputFunctions.Utility_DisplayArrayInTable(Fertiliser_SourceData.Fertiliser_ChemicalCompoundElements_Data(),Table_Fertiliser_ChemicalCompounds[[#Headers],[Fertiliser type f]], 0)</f>
        <v>LifeCycles</v>
      </c>
    </row>
    <row r="34" spans="4:9" ht="20.100000000000001" customHeight="1" x14ac:dyDescent="0.25">
      <c r="D34" s="117" t="str" cm="1">
        <f t="array" ref="D34">Common_InputFunctions.Utility_DisplayArrayInTable(Fertiliser_SourceData.Fertiliser_ChemicalCompoundElements_Data(),Table_Fertiliser_ChemicalCompounds[[#Headers],[Fertiliser type f]], 0)</f>
        <v>Ammonia</v>
      </c>
      <c r="E34" s="124" cm="1">
        <f t="array" ref="E34">Common_InputFunctions.Utility_DisplayArrayInTable(Fertiliser_SourceData.Fertiliser_ChemicalCompoundElements_Data(),Table_Fertiliser_ChemicalCompounds[[#Headers],[Fertiliser type f]], 0)</f>
        <v>0.82</v>
      </c>
      <c r="F34" s="117" cm="1">
        <f t="array" ref="F34">Common_InputFunctions.Utility_DisplayArrayInTable(Fertiliser_SourceData.Fertiliser_ChemicalCompoundElements_Data(),Table_Fertiliser_ChemicalCompounds[[#Headers],[Fertiliser type f]], 0)</f>
        <v>0</v>
      </c>
      <c r="G34" s="117" t="str" cm="1">
        <f t="array" ref="G34">Common_InputFunctions.Utility_DisplayArrayInTable(Fertiliser_SourceData.Fertiliser_ChemicalCompoundElements_Data(),Table_Fertiliser_ChemicalCompounds[[#Headers],[Fertiliser type f]], 0)</f>
        <v>Ammonium-based fertilisers</v>
      </c>
      <c r="H34" s="117" t="str" cm="1">
        <f t="array" ref="H34">Common_InputFunctions.Utility_DisplayArrayInTable(Fertiliser_SourceData.Fertiliser_ChemicalCompoundElements_Data(),Table_Fertiliser_ChemicalCompounds[[#Headers],[Fertiliser type f]], 0)</f>
        <v>Ammonia</v>
      </c>
      <c r="I34" s="117" t="str" cm="1">
        <f t="array" ref="I34">Common_InputFunctions.Utility_DisplayArrayInTable(Fertiliser_SourceData.Fertiliser_ChemicalCompoundElements_Data(),Table_Fertiliser_ChemicalCompounds[[#Headers],[Fertiliser type f]], 0)</f>
        <v>LifeCycles</v>
      </c>
    </row>
    <row r="35" spans="4:9" ht="20.100000000000001" customHeight="1" x14ac:dyDescent="0.25"/>
    <row r="36" spans="4:9" ht="20.100000000000001" customHeight="1" x14ac:dyDescent="0.25"/>
    <row r="37" spans="4:9" ht="20.100000000000001" customHeight="1" x14ac:dyDescent="0.25">
      <c r="D37" s="126" t="s">
        <v>221</v>
      </c>
      <c r="F37" s="126" t="s">
        <v>254</v>
      </c>
      <c r="G37" s="101" t="s">
        <v>222</v>
      </c>
      <c r="H37" s="126" t="s">
        <v>215</v>
      </c>
    </row>
    <row r="38" spans="4:9" ht="20.100000000000001" customHeight="1" x14ac:dyDescent="0.25"/>
    <row r="39" spans="4:9" ht="20.100000000000001" customHeight="1" x14ac:dyDescent="0.25">
      <c r="D39" s="37" t="s">
        <v>100</v>
      </c>
      <c r="F39" s="37" t="s">
        <v>100</v>
      </c>
      <c r="H39" s="37" t="s">
        <v>99</v>
      </c>
    </row>
    <row r="40" spans="4:9" ht="20.100000000000001" customHeight="1" x14ac:dyDescent="0.25">
      <c r="D40" s="37" t="s">
        <v>216</v>
      </c>
      <c r="F40" s="37" t="s">
        <v>216</v>
      </c>
      <c r="H40" s="37" t="s">
        <v>217</v>
      </c>
    </row>
    <row r="41" spans="4:9" ht="20.100000000000001" customHeight="1" x14ac:dyDescent="0.25">
      <c r="D41" s="1" t="s">
        <v>213</v>
      </c>
      <c r="F41" s="1" t="s">
        <v>225</v>
      </c>
      <c r="H41" s="37" t="s">
        <v>218</v>
      </c>
    </row>
    <row r="42" spans="4:9" ht="20.100000000000001" customHeight="1" x14ac:dyDescent="0.25">
      <c r="F42" s="1" t="s">
        <v>223</v>
      </c>
      <c r="H42" s="1" t="s">
        <v>214</v>
      </c>
    </row>
    <row r="43" spans="4:9" ht="20.100000000000001" customHeight="1" x14ac:dyDescent="0.25">
      <c r="F43" s="1" t="s">
        <v>224</v>
      </c>
      <c r="H43" s="1" t="s">
        <v>219</v>
      </c>
    </row>
    <row r="44" spans="4:9" ht="20.100000000000001" customHeight="1" x14ac:dyDescent="0.25">
      <c r="H44" s="1" t="s">
        <v>220</v>
      </c>
    </row>
    <row r="45" spans="4:9" ht="20.100000000000001" customHeight="1" x14ac:dyDescent="0.25">
      <c r="D45" s="6" t="str" cm="1">
        <f t="array" ref="D45">Fertiliser_SourceData.Fertiliser_FracGASF_Title()</f>
        <v>Fraction of inorganic fertiliser that volatilises as NH3 and NOx</v>
      </c>
      <c r="G45" s="116"/>
    </row>
    <row r="46" spans="4:9" ht="20.100000000000001" customHeight="1" x14ac:dyDescent="0.25">
      <c r="D46" s="5" t="str" cm="1">
        <f t="array" ref="D46">Fertiliser_SourceData.Fertiliser_FracGASF_Source()</f>
        <v>Table A.2.2.6: Fraction of inorganic fertiliser f that volatilises as NH3 and NOx ((kg NH3–N + NOx–N)/kg N) (FracGASFf)</v>
      </c>
      <c r="G46" s="116"/>
    </row>
    <row r="47" spans="4:9" ht="20.100000000000001" customHeight="1" x14ac:dyDescent="0.25">
      <c r="D47" s="37" t="s">
        <v>185</v>
      </c>
      <c r="E47" s="37" t="s">
        <v>212</v>
      </c>
      <c r="G47" s="116"/>
    </row>
    <row r="48" spans="4:9" ht="20.100000000000001" customHeight="1" x14ac:dyDescent="0.25">
      <c r="D48" s="37" t="str" cm="1">
        <f t="array" ref="D48">Common_InputFunctions.Utility_DisplayArrayInTable(Fertiliser_SourceData.Fertiliser_FracGASF_Data(), Table_SourceData_Fertiliser_FracGASF[[#Headers],[Fertiliser type f]], 0)</f>
        <v>Urea-based fertilisers</v>
      </c>
      <c r="E48" s="37" cm="1">
        <f t="array" ref="E48">Common_InputFunctions.Utility_DisplayArrayInTable(Fertiliser_SourceData.Fertiliser_FracGASF_Data(), Table_SourceData_Fertiliser_FracGASF[[#Headers],[Fertiliser type f]], 0)</f>
        <v>0.15</v>
      </c>
      <c r="G48" s="116"/>
    </row>
    <row r="49" spans="4:23" ht="20.100000000000001" customHeight="1" x14ac:dyDescent="0.25">
      <c r="D49" s="1" t="str" cm="1">
        <f t="array" ref="D49">Common_InputFunctions.Utility_DisplayArrayInTable(Fertiliser_SourceData.Fertiliser_FracGASF_Data(), Table_SourceData_Fertiliser_FracGASF[[#Headers],[Fertiliser type f]], 0)</f>
        <v>Ammonium-based fertilisers</v>
      </c>
      <c r="E49" s="37" cm="1">
        <f t="array" ref="E49">Common_InputFunctions.Utility_DisplayArrayInTable(Fertiliser_SourceData.Fertiliser_FracGASF_Data(), Table_SourceData_Fertiliser_FracGASF[[#Headers],[Fertiliser type f]], 0)</f>
        <v>0.08</v>
      </c>
      <c r="G49" s="116"/>
    </row>
    <row r="50" spans="4:23" ht="20.100000000000001" customHeight="1" x14ac:dyDescent="0.25">
      <c r="D50" s="1" t="str" cm="1">
        <f t="array" ref="D50">Common_InputFunctions.Utility_DisplayArrayInTable(Fertiliser_SourceData.Fertiliser_FracGASF_Data(), Table_SourceData_Fertiliser_FracGASF[[#Headers],[Fertiliser type f]], 0)</f>
        <v>Nitrate-based fertilisers</v>
      </c>
      <c r="E50" s="37" cm="1">
        <f t="array" ref="E50">Common_InputFunctions.Utility_DisplayArrayInTable(Fertiliser_SourceData.Fertiliser_FracGASF_Data(), Table_SourceData_Fertiliser_FracGASF[[#Headers],[Fertiliser type f]], 0)</f>
        <v>0.01</v>
      </c>
      <c r="G50" s="116"/>
    </row>
    <row r="51" spans="4:23" ht="20.100000000000001" customHeight="1" x14ac:dyDescent="0.25">
      <c r="D51" s="1" t="str" cm="1">
        <f t="array" ref="D51">Common_InputFunctions.Utility_DisplayArrayInTable(Fertiliser_SourceData.Fertiliser_FracGASF_Data(), Table_SourceData_Fertiliser_FracGASF[[#Headers],[Fertiliser type f]], 0)</f>
        <v>Ammonium-nitrate based fertilisers</v>
      </c>
      <c r="E51" s="37" cm="1">
        <f t="array" ref="E51">Common_InputFunctions.Utility_DisplayArrayInTable(Fertiliser_SourceData.Fertiliser_FracGASF_Data(), Table_SourceData_Fertiliser_FracGASF[[#Headers],[Fertiliser type f]], 0)</f>
        <v>0.05</v>
      </c>
      <c r="G51" s="116"/>
      <c r="H51" s="116"/>
    </row>
    <row r="52" spans="4:23" ht="20.100000000000001" customHeight="1" x14ac:dyDescent="0.25">
      <c r="D52" s="1" t="str" cm="1">
        <f t="array" ref="D52">Common_InputFunctions.Utility_DisplayArrayInTable(Fertiliser_SourceData.Fertiliser_FracGASF_Data(), Table_SourceData_Fertiliser_FracGASF[[#Headers],[Fertiliser type f]], 0)</f>
        <v>Other fertilisers</v>
      </c>
      <c r="E52" s="37" cm="1">
        <f t="array" ref="E52">Common_InputFunctions.Utility_DisplayArrayInTable(Fertiliser_SourceData.Fertiliser_FracGASF_Data(), Table_SourceData_Fertiliser_FracGASF[[#Headers],[Fertiliser type f]], 0)</f>
        <v>0.11</v>
      </c>
      <c r="G52" s="116"/>
      <c r="H52" s="116"/>
    </row>
    <row r="53" spans="4:23" ht="20.100000000000001" customHeight="1" x14ac:dyDescent="0.25"/>
    <row r="54" spans="4:23" ht="20.100000000000001" customHeight="1" x14ac:dyDescent="0.25"/>
    <row r="55" spans="4:23" ht="20.100000000000001" customHeight="1" x14ac:dyDescent="0.25">
      <c r="D55" s="115" t="s">
        <v>186</v>
      </c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4:23" ht="20.100000000000001" customHeight="1" x14ac:dyDescent="0.25">
      <c r="D56" s="116"/>
      <c r="M56" s="1"/>
      <c r="V56" s="1"/>
      <c r="W56" s="116"/>
    </row>
    <row r="57" spans="4:23" ht="20.100000000000001" customHeight="1" x14ac:dyDescent="0.25">
      <c r="D57" s="118" t="s">
        <v>187</v>
      </c>
      <c r="E57" s="119" t="s">
        <v>188</v>
      </c>
      <c r="F57" s="120" t="s">
        <v>189</v>
      </c>
      <c r="G57" s="121" t="s">
        <v>190</v>
      </c>
      <c r="H57" s="120" t="s">
        <v>191</v>
      </c>
      <c r="I57" s="120" t="s">
        <v>192</v>
      </c>
      <c r="J57" s="120" t="s">
        <v>193</v>
      </c>
      <c r="K57" s="122" t="s">
        <v>194</v>
      </c>
      <c r="L57" s="120" t="s">
        <v>195</v>
      </c>
      <c r="M57" s="120" t="s">
        <v>196</v>
      </c>
      <c r="N57" s="119" t="s">
        <v>197</v>
      </c>
      <c r="O57" s="120" t="s">
        <v>198</v>
      </c>
      <c r="P57" s="120" t="s">
        <v>199</v>
      </c>
      <c r="Q57" s="119" t="s">
        <v>200</v>
      </c>
      <c r="R57" s="120" t="s">
        <v>201</v>
      </c>
      <c r="S57" s="120" t="s">
        <v>202</v>
      </c>
      <c r="T57" s="119" t="s">
        <v>203</v>
      </c>
      <c r="U57" s="120" t="s">
        <v>204</v>
      </c>
      <c r="V57" s="120" t="s">
        <v>205</v>
      </c>
      <c r="W57" s="119" t="s">
        <v>206</v>
      </c>
    </row>
    <row r="58" spans="4:23" ht="20.100000000000001" customHeight="1" x14ac:dyDescent="0.25">
      <c r="D58" s="123" t="str" cm="1">
        <f t="array" ref="D58">Common_InputFunctions.Utility_DisplayArrayInTable(Fertiliser_SourceData.Fertiliser_Products_Data1(),FertiliserProducts[[#Headers],[Product]], 0)</f>
        <v>75% MAP 25% MOP</v>
      </c>
      <c r="E58" s="123" t="str" cm="1">
        <f t="array" ref="E58">Common_InputFunctions.Utility_DisplayArrayInTable(Fertiliser_SourceData.Fertiliser_Products_Data1(),FertiliserProducts[[#Headers],[Product]], 0)</f>
        <v>Monoammonium phosphate (MAP)</v>
      </c>
      <c r="F58" s="123" cm="1">
        <f t="array" ref="F58">Common_InputFunctions.Utility_DisplayArrayInTable(Fertiliser_SourceData.Fertiliser_Products_Data1(),FertiliserProducts[[#Headers],[Product]], 0)</f>
        <v>0.75</v>
      </c>
      <c r="G58" s="123" t="str" cm="1">
        <f t="array" ref="G58">Common_InputFunctions.Utility_DisplayArrayInTable(Fertiliser_SourceData.Fertiliser_Products_Data1(),FertiliserProducts[[#Headers],[Product]], 0)</f>
        <v>Location not specified</v>
      </c>
      <c r="H58" s="123" t="str" cm="1">
        <f t="array" ref="H58">Common_InputFunctions.Utility_DisplayArrayInTable(Fertiliser_SourceData.Fertiliser_Products_Data1(),FertiliserProducts[[#Headers],[Product]], 0)</f>
        <v>Muriate of Potash (MOP / KCL)</v>
      </c>
      <c r="I58" s="123" cm="1">
        <f t="array" ref="I58">Common_InputFunctions.Utility_DisplayArrayInTable(Fertiliser_SourceData.Fertiliser_Products_Data1(),FertiliserProducts[[#Headers],[Product]], 0)</f>
        <v>0.25</v>
      </c>
      <c r="J58" s="123" t="str" cm="1">
        <f t="array" ref="J58">Common_InputFunctions.Utility_DisplayArrayInTable(Fertiliser_SourceData.Fertiliser_Products_Data1(),FertiliserProducts[[#Headers],[Product]], 0)</f>
        <v>Location not specified</v>
      </c>
      <c r="K58" s="123" t="str" cm="1">
        <f t="array" ref="K58">Common_InputFunctions.Utility_DisplayArrayInTable(Fertiliser_SourceData.Fertiliser_Products_Data1(),FertiliserProducts[[#Headers],[Product]], 0)</f>
        <v/>
      </c>
      <c r="L58" s="123" t="str" cm="1">
        <f t="array" ref="L58">Common_InputFunctions.Utility_DisplayArrayInTable(Fertiliser_SourceData.Fertiliser_Products_Data1(),FertiliserProducts[[#Headers],[Product]], 0)</f>
        <v/>
      </c>
      <c r="M58" s="123" t="str" cm="1">
        <f t="array" ref="M58">Common_InputFunctions.Utility_DisplayArrayInTable(Fertiliser_SourceData.Fertiliser_Products_Data1(),FertiliserProducts[[#Headers],[Product]], 0)</f>
        <v/>
      </c>
      <c r="N58" s="123" t="str" cm="1">
        <f t="array" ref="N58">Common_InputFunctions.Utility_DisplayArrayInTable(Fertiliser_SourceData.Fertiliser_Products_Data1(),FertiliserProducts[[#Headers],[Product]], 0)</f>
        <v/>
      </c>
      <c r="O58" s="123" t="str" cm="1">
        <f t="array" ref="O58">Common_InputFunctions.Utility_DisplayArrayInTable(Fertiliser_SourceData.Fertiliser_Products_Data1(),FertiliserProducts[[#Headers],[Product]], 0)</f>
        <v/>
      </c>
      <c r="P58" s="123" t="str" cm="1">
        <f t="array" ref="P58">Common_InputFunctions.Utility_DisplayArrayInTable(Fertiliser_SourceData.Fertiliser_Products_Data1(),FertiliserProducts[[#Headers],[Product]], 0)</f>
        <v/>
      </c>
      <c r="Q58" s="123" t="str" cm="1">
        <f t="array" ref="Q58">Common_InputFunctions.Utility_DisplayArrayInTable(Fertiliser_SourceData.Fertiliser_Products_Data1(),FertiliserProducts[[#Headers],[Product]], 0)</f>
        <v/>
      </c>
      <c r="R58" s="123" t="str" cm="1">
        <f t="array" ref="R58">Common_InputFunctions.Utility_DisplayArrayInTable(Fertiliser_SourceData.Fertiliser_Products_Data1(),FertiliserProducts[[#Headers],[Product]], 0)</f>
        <v/>
      </c>
      <c r="S58" s="123" t="str" cm="1">
        <f t="array" ref="S58">Common_InputFunctions.Utility_DisplayArrayInTable(Fertiliser_SourceData.Fertiliser_Products_Data1(),FertiliserProducts[[#Headers],[Product]], 0)</f>
        <v/>
      </c>
      <c r="T58" s="123" t="str" cm="1">
        <f t="array" ref="T58">Common_InputFunctions.Utility_DisplayArrayInTable(Fertiliser_SourceData.Fertiliser_Products_Data1(),FertiliserProducts[[#Headers],[Product]], 0)</f>
        <v/>
      </c>
      <c r="U58" s="123" t="str" cm="1">
        <f t="array" ref="U58">Common_InputFunctions.Utility_DisplayArrayInTable(Fertiliser_SourceData.Fertiliser_Products_Data1(),FertiliserProducts[[#Headers],[Product]], 0)</f>
        <v/>
      </c>
      <c r="V58" s="123" t="str" cm="1">
        <f t="array" ref="V58">Common_InputFunctions.Utility_DisplayArrayInTable(Fertiliser_SourceData.Fertiliser_Products_Data1(),FertiliserProducts[[#Headers],[Product]], 0)</f>
        <v/>
      </c>
      <c r="W58" s="123" t="str" cm="1">
        <f t="array" ref="W58">Common_InputFunctions.Utility_DisplayArrayInTable(Fertiliser_SourceData.Fertiliser_Products_Data1(),FertiliserProducts[[#Headers],[Product]], 0)</f>
        <v/>
      </c>
    </row>
    <row r="59" spans="4:23" ht="20.100000000000001" customHeight="1" x14ac:dyDescent="0.25">
      <c r="D59" s="123" t="str" cm="1">
        <f t="array" ref="D59">Common_InputFunctions.Utility_DisplayArrayInTable(Fertiliser_SourceData.Fertiliser_Products_Data1(),FertiliserProducts[[#Headers],[Product]], 0)</f>
        <v>75% Urea 25% MOP</v>
      </c>
      <c r="E59" s="123" t="str" cm="1">
        <f t="array" ref="E59">Common_InputFunctions.Utility_DisplayArrayInTable(Fertiliser_SourceData.Fertiliser_Products_Data1(),FertiliserProducts[[#Headers],[Product]], 0)</f>
        <v>Urea</v>
      </c>
      <c r="F59" s="123" cm="1">
        <f t="array" ref="F59">Common_InputFunctions.Utility_DisplayArrayInTable(Fertiliser_SourceData.Fertiliser_Products_Data1(),FertiliserProducts[[#Headers],[Product]], 0)</f>
        <v>0.75</v>
      </c>
      <c r="G59" s="123" t="str" cm="1">
        <f t="array" ref="G59">Common_InputFunctions.Utility_DisplayArrayInTable(Fertiliser_SourceData.Fertiliser_Products_Data1(),FertiliserProducts[[#Headers],[Product]], 0)</f>
        <v>Location not specified</v>
      </c>
      <c r="H59" s="123" t="str" cm="1">
        <f t="array" ref="H59">Common_InputFunctions.Utility_DisplayArrayInTable(Fertiliser_SourceData.Fertiliser_Products_Data1(),FertiliserProducts[[#Headers],[Product]], 0)</f>
        <v>Muriate of Potash (MOP / KCL)</v>
      </c>
      <c r="I59" s="123" cm="1">
        <f t="array" ref="I59">Common_InputFunctions.Utility_DisplayArrayInTable(Fertiliser_SourceData.Fertiliser_Products_Data1(),FertiliserProducts[[#Headers],[Product]], 0)</f>
        <v>0.25</v>
      </c>
      <c r="J59" s="123" t="str" cm="1">
        <f t="array" ref="J59">Common_InputFunctions.Utility_DisplayArrayInTable(Fertiliser_SourceData.Fertiliser_Products_Data1(),FertiliserProducts[[#Headers],[Product]], 0)</f>
        <v>Location not specified</v>
      </c>
      <c r="K59" s="123" t="str" cm="1">
        <f t="array" ref="K59">Common_InputFunctions.Utility_DisplayArrayInTable(Fertiliser_SourceData.Fertiliser_Products_Data1(),FertiliserProducts[[#Headers],[Product]], 0)</f>
        <v/>
      </c>
      <c r="L59" s="123" t="str" cm="1">
        <f t="array" ref="L59">Common_InputFunctions.Utility_DisplayArrayInTable(Fertiliser_SourceData.Fertiliser_Products_Data1(),FertiliserProducts[[#Headers],[Product]], 0)</f>
        <v/>
      </c>
      <c r="M59" s="123" t="str" cm="1">
        <f t="array" ref="M59">Common_InputFunctions.Utility_DisplayArrayInTable(Fertiliser_SourceData.Fertiliser_Products_Data1(),FertiliserProducts[[#Headers],[Product]], 0)</f>
        <v/>
      </c>
      <c r="N59" s="123" t="str" cm="1">
        <f t="array" ref="N59">Common_InputFunctions.Utility_DisplayArrayInTable(Fertiliser_SourceData.Fertiliser_Products_Data1(),FertiliserProducts[[#Headers],[Product]], 0)</f>
        <v/>
      </c>
      <c r="O59" s="123" t="str" cm="1">
        <f t="array" ref="O59">Common_InputFunctions.Utility_DisplayArrayInTable(Fertiliser_SourceData.Fertiliser_Products_Data1(),FertiliserProducts[[#Headers],[Product]], 0)</f>
        <v/>
      </c>
      <c r="P59" s="123" t="str" cm="1">
        <f t="array" ref="P59">Common_InputFunctions.Utility_DisplayArrayInTable(Fertiliser_SourceData.Fertiliser_Products_Data1(),FertiliserProducts[[#Headers],[Product]], 0)</f>
        <v/>
      </c>
      <c r="Q59" s="123" t="str" cm="1">
        <f t="array" ref="Q59">Common_InputFunctions.Utility_DisplayArrayInTable(Fertiliser_SourceData.Fertiliser_Products_Data1(),FertiliserProducts[[#Headers],[Product]], 0)</f>
        <v/>
      </c>
      <c r="R59" s="123" t="str" cm="1">
        <f t="array" ref="R59">Common_InputFunctions.Utility_DisplayArrayInTable(Fertiliser_SourceData.Fertiliser_Products_Data1(),FertiliserProducts[[#Headers],[Product]], 0)</f>
        <v/>
      </c>
      <c r="S59" s="123" t="str" cm="1">
        <f t="array" ref="S59">Common_InputFunctions.Utility_DisplayArrayInTable(Fertiliser_SourceData.Fertiliser_Products_Data1(),FertiliserProducts[[#Headers],[Product]], 0)</f>
        <v/>
      </c>
      <c r="T59" s="123" t="str" cm="1">
        <f t="array" ref="T59">Common_InputFunctions.Utility_DisplayArrayInTable(Fertiliser_SourceData.Fertiliser_Products_Data1(),FertiliserProducts[[#Headers],[Product]], 0)</f>
        <v/>
      </c>
      <c r="U59" s="123" t="str" cm="1">
        <f t="array" ref="U59">Common_InputFunctions.Utility_DisplayArrayInTable(Fertiliser_SourceData.Fertiliser_Products_Data1(),FertiliserProducts[[#Headers],[Product]], 0)</f>
        <v/>
      </c>
      <c r="V59" s="123" t="str" cm="1">
        <f t="array" ref="V59">Common_InputFunctions.Utility_DisplayArrayInTable(Fertiliser_SourceData.Fertiliser_Products_Data1(),FertiliserProducts[[#Headers],[Product]], 0)</f>
        <v/>
      </c>
      <c r="W59" s="123" t="str" cm="1">
        <f t="array" ref="W59">Common_InputFunctions.Utility_DisplayArrayInTable(Fertiliser_SourceData.Fertiliser_Products_Data1(),FertiliserProducts[[#Headers],[Product]], 0)</f>
        <v/>
      </c>
    </row>
    <row r="60" spans="4:23" ht="20.100000000000001" customHeight="1" x14ac:dyDescent="0.25">
      <c r="D60" s="123" t="str" cm="1">
        <f t="array" ref="D60">Common_InputFunctions.Utility_DisplayArrayInTable(Fertiliser_SourceData.Fertiliser_Products_Data1(),FertiliserProducts[[#Headers],[Product]], 0)</f>
        <v>80% Urea 20% MAP</v>
      </c>
      <c r="E60" s="123" t="str" cm="1">
        <f t="array" ref="E60">Common_InputFunctions.Utility_DisplayArrayInTable(Fertiliser_SourceData.Fertiliser_Products_Data1(),FertiliserProducts[[#Headers],[Product]], 0)</f>
        <v>Urea-Ammonium Nitrate (UAN)</v>
      </c>
      <c r="F60" s="123" cm="1">
        <f t="array" ref="F60">Common_InputFunctions.Utility_DisplayArrayInTable(Fertiliser_SourceData.Fertiliser_Products_Data1(),FertiliserProducts[[#Headers],[Product]], 0)</f>
        <v>0.8</v>
      </c>
      <c r="G60" s="123" t="str" cm="1">
        <f t="array" ref="G60">Common_InputFunctions.Utility_DisplayArrayInTable(Fertiliser_SourceData.Fertiliser_Products_Data1(),FertiliserProducts[[#Headers],[Product]], 0)</f>
        <v>China</v>
      </c>
      <c r="H60" s="123" t="str" cm="1">
        <f t="array" ref="H60">Common_InputFunctions.Utility_DisplayArrayInTable(Fertiliser_SourceData.Fertiliser_Products_Data1(),FertiliserProducts[[#Headers],[Product]], 0)</f>
        <v>Monoammonium phosphate (MAP)</v>
      </c>
      <c r="I60" s="123" cm="1">
        <f t="array" ref="I60">Common_InputFunctions.Utility_DisplayArrayInTable(Fertiliser_SourceData.Fertiliser_Products_Data1(),FertiliserProducts[[#Headers],[Product]], 0)</f>
        <v>0.2</v>
      </c>
      <c r="J60" s="123" t="str" cm="1">
        <f t="array" ref="J60">Common_InputFunctions.Utility_DisplayArrayInTable(Fertiliser_SourceData.Fertiliser_Products_Data1(),FertiliserProducts[[#Headers],[Product]], 0)</f>
        <v>Location not specified</v>
      </c>
      <c r="K60" s="123" t="str" cm="1">
        <f t="array" ref="K60">Common_InputFunctions.Utility_DisplayArrayInTable(Fertiliser_SourceData.Fertiliser_Products_Data1(),FertiliserProducts[[#Headers],[Product]], 0)</f>
        <v/>
      </c>
      <c r="L60" s="123" t="str" cm="1">
        <f t="array" ref="L60">Common_InputFunctions.Utility_DisplayArrayInTable(Fertiliser_SourceData.Fertiliser_Products_Data1(),FertiliserProducts[[#Headers],[Product]], 0)</f>
        <v/>
      </c>
      <c r="M60" s="123" t="str" cm="1">
        <f t="array" ref="M60">Common_InputFunctions.Utility_DisplayArrayInTable(Fertiliser_SourceData.Fertiliser_Products_Data1(),FertiliserProducts[[#Headers],[Product]], 0)</f>
        <v/>
      </c>
      <c r="N60" s="123" t="str" cm="1">
        <f t="array" ref="N60">Common_InputFunctions.Utility_DisplayArrayInTable(Fertiliser_SourceData.Fertiliser_Products_Data1(),FertiliserProducts[[#Headers],[Product]], 0)</f>
        <v/>
      </c>
      <c r="O60" s="123" t="str" cm="1">
        <f t="array" ref="O60">Common_InputFunctions.Utility_DisplayArrayInTable(Fertiliser_SourceData.Fertiliser_Products_Data1(),FertiliserProducts[[#Headers],[Product]], 0)</f>
        <v/>
      </c>
      <c r="P60" s="123" t="str" cm="1">
        <f t="array" ref="P60">Common_InputFunctions.Utility_DisplayArrayInTable(Fertiliser_SourceData.Fertiliser_Products_Data1(),FertiliserProducts[[#Headers],[Product]], 0)</f>
        <v/>
      </c>
      <c r="Q60" s="123" t="str" cm="1">
        <f t="array" ref="Q60">Common_InputFunctions.Utility_DisplayArrayInTable(Fertiliser_SourceData.Fertiliser_Products_Data1(),FertiliserProducts[[#Headers],[Product]], 0)</f>
        <v/>
      </c>
      <c r="R60" s="123" t="str" cm="1">
        <f t="array" ref="R60">Common_InputFunctions.Utility_DisplayArrayInTable(Fertiliser_SourceData.Fertiliser_Products_Data1(),FertiliserProducts[[#Headers],[Product]], 0)</f>
        <v/>
      </c>
      <c r="S60" s="123" t="str" cm="1">
        <f t="array" ref="S60">Common_InputFunctions.Utility_DisplayArrayInTable(Fertiliser_SourceData.Fertiliser_Products_Data1(),FertiliserProducts[[#Headers],[Product]], 0)</f>
        <v/>
      </c>
      <c r="T60" s="123" t="str" cm="1">
        <f t="array" ref="T60">Common_InputFunctions.Utility_DisplayArrayInTable(Fertiliser_SourceData.Fertiliser_Products_Data1(),FertiliserProducts[[#Headers],[Product]], 0)</f>
        <v/>
      </c>
      <c r="U60" s="123" t="str" cm="1">
        <f t="array" ref="U60">Common_InputFunctions.Utility_DisplayArrayInTable(Fertiliser_SourceData.Fertiliser_Products_Data1(),FertiliserProducts[[#Headers],[Product]], 0)</f>
        <v/>
      </c>
      <c r="V60" s="123" t="str" cm="1">
        <f t="array" ref="V60">Common_InputFunctions.Utility_DisplayArrayInTable(Fertiliser_SourceData.Fertiliser_Products_Data1(),FertiliserProducts[[#Headers],[Product]], 0)</f>
        <v/>
      </c>
      <c r="W60" s="123" t="str" cm="1">
        <f t="array" ref="W60">Common_InputFunctions.Utility_DisplayArrayInTable(Fertiliser_SourceData.Fertiliser_Products_Data1(),FertiliserProducts[[#Headers],[Product]], 0)</f>
        <v/>
      </c>
    </row>
    <row r="61" spans="4:23" ht="20.100000000000001" customHeight="1" x14ac:dyDescent="0.25">
      <c r="D61" s="123" t="str" cm="1">
        <f t="array" ref="D61">Common_InputFunctions.Utility_DisplayArrayInTable(Fertiliser_SourceData.Fertiliser_Products_Data1(),FertiliserProducts[[#Headers],[Product]], 0)</f>
        <v>Activate N</v>
      </c>
      <c r="E61" s="123" t="str" cm="1">
        <f t="array" ref="E61">Common_InputFunctions.Utility_DisplayArrayInTable(Fertiliser_SourceData.Fertiliser_Products_Data1(),FertiliserProducts[[#Headers],[Product]], 0)</f>
        <v>Nitrogen - Ammoniacal</v>
      </c>
      <c r="F61" s="123" cm="1">
        <f t="array" ref="F61">Common_InputFunctions.Utility_DisplayArrayInTable(Fertiliser_SourceData.Fertiliser_Products_Data1(),FertiliserProducts[[#Headers],[Product]], 0)</f>
        <v>7.0999999999999994E-2</v>
      </c>
      <c r="G61" s="123" t="str" cm="1">
        <f t="array" ref="G61">Common_InputFunctions.Utility_DisplayArrayInTable(Fertiliser_SourceData.Fertiliser_Products_Data1(),FertiliserProducts[[#Headers],[Product]], 0)</f>
        <v>Location not specified</v>
      </c>
      <c r="H61" s="123" t="str" cm="1">
        <f t="array" ref="H61">Common_InputFunctions.Utility_DisplayArrayInTable(Fertiliser_SourceData.Fertiliser_Products_Data1(),FertiliserProducts[[#Headers],[Product]], 0)</f>
        <v>Nitrogen - Nitrate</v>
      </c>
      <c r="I61" s="123" cm="1">
        <f t="array" ref="I61">Common_InputFunctions.Utility_DisplayArrayInTable(Fertiliser_SourceData.Fertiliser_Products_Data1(),FertiliserProducts[[#Headers],[Product]], 0)</f>
        <v>6.0000000000000001E-3</v>
      </c>
      <c r="J61" s="123" t="str" cm="1">
        <f t="array" ref="J61">Common_InputFunctions.Utility_DisplayArrayInTable(Fertiliser_SourceData.Fertiliser_Products_Data1(),FertiliserProducts[[#Headers],[Product]], 0)</f>
        <v>Location not specified</v>
      </c>
      <c r="K61" s="123" t="str" cm="1">
        <f t="array" ref="K61">Common_InputFunctions.Utility_DisplayArrayInTable(Fertiliser_SourceData.Fertiliser_Products_Data1(),FertiliserProducts[[#Headers],[Product]], 0)</f>
        <v>Nitrogen - Ureic</v>
      </c>
      <c r="L61" s="123" cm="1">
        <f t="array" ref="L61">Common_InputFunctions.Utility_DisplayArrayInTable(Fertiliser_SourceData.Fertiliser_Products_Data1(),FertiliserProducts[[#Headers],[Product]], 0)</f>
        <v>9.2999999999999999E-2</v>
      </c>
      <c r="M61" s="123" t="str" cm="1">
        <f t="array" ref="M61">Common_InputFunctions.Utility_DisplayArrayInTable(Fertiliser_SourceData.Fertiliser_Products_Data1(),FertiliserProducts[[#Headers],[Product]], 0)</f>
        <v>Location not specified</v>
      </c>
      <c r="N61" s="123" t="str" cm="1">
        <f t="array" ref="N61">Common_InputFunctions.Utility_DisplayArrayInTable(Fertiliser_SourceData.Fertiliser_Products_Data1(),FertiliserProducts[[#Headers],[Product]], 0)</f>
        <v>Phosphorus - Generic</v>
      </c>
      <c r="O61" s="123" cm="1">
        <f t="array" ref="O61">Common_InputFunctions.Utility_DisplayArrayInTable(Fertiliser_SourceData.Fertiliser_Products_Data1(),FertiliserProducts[[#Headers],[Product]], 0)</f>
        <v>0.01</v>
      </c>
      <c r="P61" s="123" t="str" cm="1">
        <f t="array" ref="P61">Common_InputFunctions.Utility_DisplayArrayInTable(Fertiliser_SourceData.Fertiliser_Products_Data1(),FertiliserProducts[[#Headers],[Product]], 0)</f>
        <v>Location not specified</v>
      </c>
      <c r="Q61" s="123" t="str" cm="1">
        <f t="array" ref="Q61">Common_InputFunctions.Utility_DisplayArrayInTable(Fertiliser_SourceData.Fertiliser_Products_Data1(),FertiliserProducts[[#Headers],[Product]], 0)</f>
        <v>Potassium - Generic</v>
      </c>
      <c r="R61" s="123" cm="1">
        <f t="array" ref="R61">Common_InputFunctions.Utility_DisplayArrayInTable(Fertiliser_SourceData.Fertiliser_Products_Data1(),FertiliserProducts[[#Headers],[Product]], 0)</f>
        <v>0.04</v>
      </c>
      <c r="S61" s="123" t="str" cm="1">
        <f t="array" ref="S61">Common_InputFunctions.Utility_DisplayArrayInTable(Fertiliser_SourceData.Fertiliser_Products_Data1(),FertiliserProducts[[#Headers],[Product]], 0)</f>
        <v>Location not specified</v>
      </c>
      <c r="T61" s="123" t="str" cm="1">
        <f t="array" ref="T61">Common_InputFunctions.Utility_DisplayArrayInTable(Fertiliser_SourceData.Fertiliser_Products_Data1(),FertiliserProducts[[#Headers],[Product]], 0)</f>
        <v>Sulfur - Generic</v>
      </c>
      <c r="U61" s="123" cm="1">
        <f t="array" ref="U61">Common_InputFunctions.Utility_DisplayArrayInTable(Fertiliser_SourceData.Fertiliser_Products_Data1(),FertiliserProducts[[#Headers],[Product]], 0)</f>
        <v>0.82</v>
      </c>
      <c r="V61" s="123" t="str" cm="1">
        <f t="array" ref="V61">Common_InputFunctions.Utility_DisplayArrayInTable(Fertiliser_SourceData.Fertiliser_Products_Data1(),FertiliserProducts[[#Headers],[Product]], 0)</f>
        <v>Location not specified</v>
      </c>
      <c r="W61" s="123" t="str" cm="1">
        <f t="array" ref="W61">Common_InputFunctions.Utility_DisplayArrayInTable(Fertiliser_SourceData.Fertiliser_Products_Data1(),FertiliserProducts[[#Headers],[Product]], 0)</f>
        <v>Active N (Lawnpride.com.au)</v>
      </c>
    </row>
    <row r="62" spans="4:23" ht="20.100000000000001" customHeight="1" x14ac:dyDescent="0.25">
      <c r="D62" s="123" t="str" cm="1">
        <f t="array" ref="D62">Common_InputFunctions.Utility_DisplayArrayInTable(Fertiliser_SourceData.Fertiliser_Products_Data1(),FertiliserProducts[[#Headers],[Product]], 0)</f>
        <v>Activist Max Zinc</v>
      </c>
      <c r="E62" s="123" t="str" cm="1">
        <f t="array" ref="E62">Common_InputFunctions.Utility_DisplayArrayInTable(Fertiliser_SourceData.Fertiliser_Products_Data1(),FertiliserProducts[[#Headers],[Product]], 0)</f>
        <v>Nitrogen - Generic</v>
      </c>
      <c r="F62" s="123" cm="1">
        <f t="array" ref="F62">Common_InputFunctions.Utility_DisplayArrayInTable(Fertiliser_SourceData.Fertiliser_Products_Data1(),FertiliserProducts[[#Headers],[Product]], 0)</f>
        <v>7.0000000000000007E-2</v>
      </c>
      <c r="G62" s="123" t="str" cm="1">
        <f t="array" ref="G62">Common_InputFunctions.Utility_DisplayArrayInTable(Fertiliser_SourceData.Fertiliser_Products_Data1(),FertiliserProducts[[#Headers],[Product]], 0)</f>
        <v>Location not specified</v>
      </c>
      <c r="H62" s="123" t="str" cm="1">
        <f t="array" ref="H62">Common_InputFunctions.Utility_DisplayArrayInTable(Fertiliser_SourceData.Fertiliser_Products_Data1(),FertiliserProducts[[#Headers],[Product]], 0)</f>
        <v>Zinc - Generic</v>
      </c>
      <c r="I62" s="123" cm="1">
        <f t="array" ref="I62">Common_InputFunctions.Utility_DisplayArrayInTable(Fertiliser_SourceData.Fertiliser_Products_Data1(),FertiliserProducts[[#Headers],[Product]], 0)</f>
        <v>0.7</v>
      </c>
      <c r="J62" s="123" t="str" cm="1">
        <f t="array" ref="J62">Common_InputFunctions.Utility_DisplayArrayInTable(Fertiliser_SourceData.Fertiliser_Products_Data1(),FertiliserProducts[[#Headers],[Product]], 0)</f>
        <v>Location not specified</v>
      </c>
      <c r="K62" s="123" t="str" cm="1">
        <f t="array" ref="K62">Common_InputFunctions.Utility_DisplayArrayInTable(Fertiliser_SourceData.Fertiliser_Products_Data1(),FertiliserProducts[[#Headers],[Product]], 0)</f>
        <v/>
      </c>
      <c r="L62" s="123" t="str" cm="1">
        <f t="array" ref="L62">Common_InputFunctions.Utility_DisplayArrayInTable(Fertiliser_SourceData.Fertiliser_Products_Data1(),FertiliserProducts[[#Headers],[Product]], 0)</f>
        <v/>
      </c>
      <c r="M62" s="123" t="str" cm="1">
        <f t="array" ref="M62">Common_InputFunctions.Utility_DisplayArrayInTable(Fertiliser_SourceData.Fertiliser_Products_Data1(),FertiliserProducts[[#Headers],[Product]], 0)</f>
        <v/>
      </c>
      <c r="N62" s="123" t="str" cm="1">
        <f t="array" ref="N62">Common_InputFunctions.Utility_DisplayArrayInTable(Fertiliser_SourceData.Fertiliser_Products_Data1(),FertiliserProducts[[#Headers],[Product]], 0)</f>
        <v/>
      </c>
      <c r="O62" s="123" t="str" cm="1">
        <f t="array" ref="O62">Common_InputFunctions.Utility_DisplayArrayInTable(Fertiliser_SourceData.Fertiliser_Products_Data1(),FertiliserProducts[[#Headers],[Product]], 0)</f>
        <v/>
      </c>
      <c r="P62" s="123" t="str" cm="1">
        <f t="array" ref="P62">Common_InputFunctions.Utility_DisplayArrayInTable(Fertiliser_SourceData.Fertiliser_Products_Data1(),FertiliserProducts[[#Headers],[Product]], 0)</f>
        <v/>
      </c>
      <c r="Q62" s="123" t="str" cm="1">
        <f t="array" ref="Q62">Common_InputFunctions.Utility_DisplayArrayInTable(Fertiliser_SourceData.Fertiliser_Products_Data1(),FertiliserProducts[[#Headers],[Product]], 0)</f>
        <v/>
      </c>
      <c r="R62" s="123" t="str" cm="1">
        <f t="array" ref="R62">Common_InputFunctions.Utility_DisplayArrayInTable(Fertiliser_SourceData.Fertiliser_Products_Data1(),FertiliserProducts[[#Headers],[Product]], 0)</f>
        <v/>
      </c>
      <c r="S62" s="123" t="str" cm="1">
        <f t="array" ref="S62">Common_InputFunctions.Utility_DisplayArrayInTable(Fertiliser_SourceData.Fertiliser_Products_Data1(),FertiliserProducts[[#Headers],[Product]], 0)</f>
        <v/>
      </c>
      <c r="T62" s="123" t="str" cm="1">
        <f t="array" ref="T62">Common_InputFunctions.Utility_DisplayArrayInTable(Fertiliser_SourceData.Fertiliser_Products_Data1(),FertiliserProducts[[#Headers],[Product]], 0)</f>
        <v/>
      </c>
      <c r="U62" s="123" t="str" cm="1">
        <f t="array" ref="U62">Common_InputFunctions.Utility_DisplayArrayInTable(Fertiliser_SourceData.Fertiliser_Products_Data1(),FertiliserProducts[[#Headers],[Product]], 0)</f>
        <v/>
      </c>
      <c r="V62" s="123" t="str" cm="1">
        <f t="array" ref="V62">Common_InputFunctions.Utility_DisplayArrayInTable(Fertiliser_SourceData.Fertiliser_Products_Data1(),FertiliserProducts[[#Headers],[Product]], 0)</f>
        <v/>
      </c>
      <c r="W62" s="123" t="str" cm="1">
        <f t="array" ref="W62">Common_InputFunctions.Utility_DisplayArrayInTable(Fertiliser_SourceData.Fertiliser_Products_Data1(),FertiliserProducts[[#Headers],[Product]], 0)</f>
        <v>ACTIVIST-MAX.pdf (agrichem.com.au)</v>
      </c>
    </row>
    <row r="63" spans="4:23" ht="20.100000000000001" customHeight="1" x14ac:dyDescent="0.25">
      <c r="D63" s="123" t="str" cm="1">
        <f t="array" ref="D63">Common_InputFunctions.Utility_DisplayArrayInTable(Fertiliser_SourceData.Fertiliser_Products_Data1(),FertiliserProducts[[#Headers],[Product]], 0)</f>
        <v>Agflow</v>
      </c>
      <c r="E63" s="123" t="str" cm="1">
        <f t="array" ref="E63">Common_InputFunctions.Utility_DisplayArrayInTable(Fertiliser_SourceData.Fertiliser_Products_Data1(),FertiliserProducts[[#Headers],[Product]], 0)</f>
        <v>Nitrogen - Generic</v>
      </c>
      <c r="F63" s="123" cm="1">
        <f t="array" ref="F63">Common_InputFunctions.Utility_DisplayArrayInTable(Fertiliser_SourceData.Fertiliser_Products_Data1(),FertiliserProducts[[#Headers],[Product]], 0)</f>
        <v>0.129</v>
      </c>
      <c r="G63" s="123" t="str" cm="1">
        <f t="array" ref="G63">Common_InputFunctions.Utility_DisplayArrayInTable(Fertiliser_SourceData.Fertiliser_Products_Data1(),FertiliserProducts[[#Headers],[Product]], 0)</f>
        <v>Location not specified</v>
      </c>
      <c r="H63" s="123" t="str" cm="1">
        <f t="array" ref="H63">Common_InputFunctions.Utility_DisplayArrayInTable(Fertiliser_SourceData.Fertiliser_Products_Data1(),FertiliserProducts[[#Headers],[Product]], 0)</f>
        <v>Phosphorus - Generic</v>
      </c>
      <c r="I63" s="123" cm="1">
        <f t="array" ref="I63">Common_InputFunctions.Utility_DisplayArrayInTable(Fertiliser_SourceData.Fertiliser_Products_Data1(),FertiliserProducts[[#Headers],[Product]], 0)</f>
        <v>0.17699999999999999</v>
      </c>
      <c r="J63" s="123" t="str" cm="1">
        <f t="array" ref="J63">Common_InputFunctions.Utility_DisplayArrayInTable(Fertiliser_SourceData.Fertiliser_Products_Data1(),FertiliserProducts[[#Headers],[Product]], 0)</f>
        <v>Location not specified</v>
      </c>
      <c r="K63" s="123" t="str" cm="1">
        <f t="array" ref="K63">Common_InputFunctions.Utility_DisplayArrayInTable(Fertiliser_SourceData.Fertiliser_Products_Data1(),FertiliserProducts[[#Headers],[Product]], 0)</f>
        <v>Sulfur - Generic</v>
      </c>
      <c r="L63" s="123" cm="1">
        <f t="array" ref="L63">Common_InputFunctions.Utility_DisplayArrayInTable(Fertiliser_SourceData.Fertiliser_Products_Data1(),FertiliserProducts[[#Headers],[Product]], 0)</f>
        <v>0.06</v>
      </c>
      <c r="M63" s="123" t="str" cm="1">
        <f t="array" ref="M63">Common_InputFunctions.Utility_DisplayArrayInTable(Fertiliser_SourceData.Fertiliser_Products_Data1(),FertiliserProducts[[#Headers],[Product]], 0)</f>
        <v>Location not specified</v>
      </c>
      <c r="N63" s="123" t="str" cm="1">
        <f t="array" ref="N63">Common_InputFunctions.Utility_DisplayArrayInTable(Fertiliser_SourceData.Fertiliser_Products_Data1(),FertiliserProducts[[#Headers],[Product]], 0)</f>
        <v/>
      </c>
      <c r="O63" s="123" t="str" cm="1">
        <f t="array" ref="O63">Common_InputFunctions.Utility_DisplayArrayInTable(Fertiliser_SourceData.Fertiliser_Products_Data1(),FertiliserProducts[[#Headers],[Product]], 0)</f>
        <v/>
      </c>
      <c r="P63" s="123" t="str" cm="1">
        <f t="array" ref="P63">Common_InputFunctions.Utility_DisplayArrayInTable(Fertiliser_SourceData.Fertiliser_Products_Data1(),FertiliserProducts[[#Headers],[Product]], 0)</f>
        <v/>
      </c>
      <c r="Q63" s="123" t="str" cm="1">
        <f t="array" ref="Q63">Common_InputFunctions.Utility_DisplayArrayInTable(Fertiliser_SourceData.Fertiliser_Products_Data1(),FertiliserProducts[[#Headers],[Product]], 0)</f>
        <v/>
      </c>
      <c r="R63" s="123" t="str" cm="1">
        <f t="array" ref="R63">Common_InputFunctions.Utility_DisplayArrayInTable(Fertiliser_SourceData.Fertiliser_Products_Data1(),FertiliserProducts[[#Headers],[Product]], 0)</f>
        <v/>
      </c>
      <c r="S63" s="123" t="str" cm="1">
        <f t="array" ref="S63">Common_InputFunctions.Utility_DisplayArrayInTable(Fertiliser_SourceData.Fertiliser_Products_Data1(),FertiliserProducts[[#Headers],[Product]], 0)</f>
        <v/>
      </c>
      <c r="T63" s="123" t="str" cm="1">
        <f t="array" ref="T63">Common_InputFunctions.Utility_DisplayArrayInTable(Fertiliser_SourceData.Fertiliser_Products_Data1(),FertiliserProducts[[#Headers],[Product]], 0)</f>
        <v/>
      </c>
      <c r="U63" s="123" t="str" cm="1">
        <f t="array" ref="U63">Common_InputFunctions.Utility_DisplayArrayInTable(Fertiliser_SourceData.Fertiliser_Products_Data1(),FertiliserProducts[[#Headers],[Product]], 0)</f>
        <v/>
      </c>
      <c r="V63" s="123" t="str" cm="1">
        <f t="array" ref="V63">Common_InputFunctions.Utility_DisplayArrayInTable(Fertiliser_SourceData.Fertiliser_Products_Data1(),FertiliserProducts[[#Headers],[Product]], 0)</f>
        <v/>
      </c>
      <c r="W63" s="123" t="str" cm="1">
        <f t="array" ref="W63">Common_InputFunctions.Utility_DisplayArrayInTable(Fertiliser_SourceData.Fertiliser_Products_Data1(),FertiliserProducts[[#Headers],[Product]], 0)</f>
        <v>CSBP High / Maintenance S</v>
      </c>
    </row>
    <row r="64" spans="4:23" ht="20.100000000000001" customHeight="1" x14ac:dyDescent="0.25">
      <c r="D64" s="123" t="str" cm="1">
        <f t="array" ref="D64">Common_InputFunctions.Utility_DisplayArrayInTable(Fertiliser_SourceData.Fertiliser_Products_Data1(),FertiliserProducts[[#Headers],[Product]], 0)</f>
        <v>Agflow Boost</v>
      </c>
      <c r="E64" s="123" t="str" cm="1">
        <f t="array" ref="E64">Common_InputFunctions.Utility_DisplayArrayInTable(Fertiliser_SourceData.Fertiliser_Products_Data1(),FertiliserProducts[[#Headers],[Product]], 0)</f>
        <v>Nitrogen - Generic</v>
      </c>
      <c r="F64" s="123" cm="1">
        <f t="array" ref="F64">Common_InputFunctions.Utility_DisplayArrayInTable(Fertiliser_SourceData.Fertiliser_Products_Data1(),FertiliserProducts[[#Headers],[Product]], 0)</f>
        <v>0.121</v>
      </c>
      <c r="G64" s="123" t="str" cm="1">
        <f t="array" ref="G64">Common_InputFunctions.Utility_DisplayArrayInTable(Fertiliser_SourceData.Fertiliser_Products_Data1(),FertiliserProducts[[#Headers],[Product]], 0)</f>
        <v>Location not specified</v>
      </c>
      <c r="H64" s="123" t="str" cm="1">
        <f t="array" ref="H64">Common_InputFunctions.Utility_DisplayArrayInTable(Fertiliser_SourceData.Fertiliser_Products_Data1(),FertiliserProducts[[#Headers],[Product]], 0)</f>
        <v>Phosphorus - Generic</v>
      </c>
      <c r="I64" s="123" cm="1">
        <f t="array" ref="I64">Common_InputFunctions.Utility_DisplayArrayInTable(Fertiliser_SourceData.Fertiliser_Products_Data1(),FertiliserProducts[[#Headers],[Product]], 0)</f>
        <v>0.19800000000000001</v>
      </c>
      <c r="J64" s="123" t="str" cm="1">
        <f t="array" ref="J64">Common_InputFunctions.Utility_DisplayArrayInTable(Fertiliser_SourceData.Fertiliser_Products_Data1(),FertiliserProducts[[#Headers],[Product]], 0)</f>
        <v>Location not specified</v>
      </c>
      <c r="K64" s="123" t="str" cm="1">
        <f t="array" ref="K64">Common_InputFunctions.Utility_DisplayArrayInTable(Fertiliser_SourceData.Fertiliser_Products_Data1(),FertiliserProducts[[#Headers],[Product]], 0)</f>
        <v>Sulfur - Generic</v>
      </c>
      <c r="L64" s="123" cm="1">
        <f t="array" ref="L64">Common_InputFunctions.Utility_DisplayArrayInTable(Fertiliser_SourceData.Fertiliser_Products_Data1(),FertiliserProducts[[#Headers],[Product]], 0)</f>
        <v>4.1000000000000002E-2</v>
      </c>
      <c r="M64" s="123" t="str" cm="1">
        <f t="array" ref="M64">Common_InputFunctions.Utility_DisplayArrayInTable(Fertiliser_SourceData.Fertiliser_Products_Data1(),FertiliserProducts[[#Headers],[Product]], 0)</f>
        <v>Location not specified</v>
      </c>
      <c r="N64" s="123" t="str" cm="1">
        <f t="array" ref="N64">Common_InputFunctions.Utility_DisplayArrayInTable(Fertiliser_SourceData.Fertiliser_Products_Data1(),FertiliserProducts[[#Headers],[Product]], 0)</f>
        <v/>
      </c>
      <c r="O64" s="123" t="str" cm="1">
        <f t="array" ref="O64">Common_InputFunctions.Utility_DisplayArrayInTable(Fertiliser_SourceData.Fertiliser_Products_Data1(),FertiliserProducts[[#Headers],[Product]], 0)</f>
        <v/>
      </c>
      <c r="P64" s="123" t="str" cm="1">
        <f t="array" ref="P64">Common_InputFunctions.Utility_DisplayArrayInTable(Fertiliser_SourceData.Fertiliser_Products_Data1(),FertiliserProducts[[#Headers],[Product]], 0)</f>
        <v/>
      </c>
      <c r="Q64" s="123" t="str" cm="1">
        <f t="array" ref="Q64">Common_InputFunctions.Utility_DisplayArrayInTable(Fertiliser_SourceData.Fertiliser_Products_Data1(),FertiliserProducts[[#Headers],[Product]], 0)</f>
        <v/>
      </c>
      <c r="R64" s="123" t="str" cm="1">
        <f t="array" ref="R64">Common_InputFunctions.Utility_DisplayArrayInTable(Fertiliser_SourceData.Fertiliser_Products_Data1(),FertiliserProducts[[#Headers],[Product]], 0)</f>
        <v/>
      </c>
      <c r="S64" s="123" t="str" cm="1">
        <f t="array" ref="S64">Common_InputFunctions.Utility_DisplayArrayInTable(Fertiliser_SourceData.Fertiliser_Products_Data1(),FertiliserProducts[[#Headers],[Product]], 0)</f>
        <v/>
      </c>
      <c r="T64" s="123" t="str" cm="1">
        <f t="array" ref="T64">Common_InputFunctions.Utility_DisplayArrayInTable(Fertiliser_SourceData.Fertiliser_Products_Data1(),FertiliserProducts[[#Headers],[Product]], 0)</f>
        <v/>
      </c>
      <c r="U64" s="123" t="str" cm="1">
        <f t="array" ref="U64">Common_InputFunctions.Utility_DisplayArrayInTable(Fertiliser_SourceData.Fertiliser_Products_Data1(),FertiliserProducts[[#Headers],[Product]], 0)</f>
        <v/>
      </c>
      <c r="V64" s="123" t="str" cm="1">
        <f t="array" ref="V64">Common_InputFunctions.Utility_DisplayArrayInTable(Fertiliser_SourceData.Fertiliser_Products_Data1(),FertiliserProducts[[#Headers],[Product]], 0)</f>
        <v/>
      </c>
      <c r="W64" s="123" t="str" cm="1">
        <f t="array" ref="W64">Common_InputFunctions.Utility_DisplayArrayInTable(Fertiliser_SourceData.Fertiliser_Products_Data1(),FertiliserProducts[[#Headers],[Product]], 0)</f>
        <v>CSBP High / Maintenance S</v>
      </c>
    </row>
    <row r="65" spans="4:23" ht="20.100000000000001" customHeight="1" x14ac:dyDescent="0.25">
      <c r="D65" s="123" t="str" cm="1">
        <f t="array" ref="D65">Common_InputFunctions.Utility_DisplayArrayInTable(Fertiliser_SourceData.Fertiliser_Products_Data1(),FertiliserProducts[[#Headers],[Product]], 0)</f>
        <v>Agflow Boost Extra</v>
      </c>
      <c r="E65" s="123" t="str" cm="1">
        <f t="array" ref="E65">Common_InputFunctions.Utility_DisplayArrayInTable(Fertiliser_SourceData.Fertiliser_Products_Data1(),FertiliserProducts[[#Headers],[Product]], 0)</f>
        <v>Nitrogen - Generic</v>
      </c>
      <c r="F65" s="123" cm="1">
        <f t="array" ref="F65">Common_InputFunctions.Utility_DisplayArrayInTable(Fertiliser_SourceData.Fertiliser_Products_Data1(),FertiliserProducts[[#Headers],[Product]], 0)</f>
        <v>0.12</v>
      </c>
      <c r="G65" s="123" t="str" cm="1">
        <f t="array" ref="G65">Common_InputFunctions.Utility_DisplayArrayInTable(Fertiliser_SourceData.Fertiliser_Products_Data1(),FertiliserProducts[[#Headers],[Product]], 0)</f>
        <v>Location not specified</v>
      </c>
      <c r="H65" s="123" t="str" cm="1">
        <f t="array" ref="H65">Common_InputFunctions.Utility_DisplayArrayInTable(Fertiliser_SourceData.Fertiliser_Products_Data1(),FertiliserProducts[[#Headers],[Product]], 0)</f>
        <v>Phosphorus - Generic</v>
      </c>
      <c r="I65" s="123" cm="1">
        <f t="array" ref="I65">Common_InputFunctions.Utility_DisplayArrayInTable(Fertiliser_SourceData.Fertiliser_Products_Data1(),FertiliserProducts[[#Headers],[Product]], 0)</f>
        <v>0.19700000000000001</v>
      </c>
      <c r="J65" s="123" t="str" cm="1">
        <f t="array" ref="J65">Common_InputFunctions.Utility_DisplayArrayInTable(Fertiliser_SourceData.Fertiliser_Products_Data1(),FertiliserProducts[[#Headers],[Product]], 0)</f>
        <v>Location not specified</v>
      </c>
      <c r="K65" s="123" t="str" cm="1">
        <f t="array" ref="K65">Common_InputFunctions.Utility_DisplayArrayInTable(Fertiliser_SourceData.Fertiliser_Products_Data1(),FertiliserProducts[[#Headers],[Product]], 0)</f>
        <v>Sulfur - Generic</v>
      </c>
      <c r="L65" s="123" cm="1">
        <f t="array" ref="L65">Common_InputFunctions.Utility_DisplayArrayInTable(Fertiliser_SourceData.Fertiliser_Products_Data1(),FertiliserProducts[[#Headers],[Product]], 0)</f>
        <v>0.04</v>
      </c>
      <c r="M65" s="123" t="str" cm="1">
        <f t="array" ref="M65">Common_InputFunctions.Utility_DisplayArrayInTable(Fertiliser_SourceData.Fertiliser_Products_Data1(),FertiliserProducts[[#Headers],[Product]], 0)</f>
        <v>Location not specified</v>
      </c>
      <c r="N65" s="123" t="str" cm="1">
        <f t="array" ref="N65">Common_InputFunctions.Utility_DisplayArrayInTable(Fertiliser_SourceData.Fertiliser_Products_Data1(),FertiliserProducts[[#Headers],[Product]], 0)</f>
        <v/>
      </c>
      <c r="O65" s="123" t="str" cm="1">
        <f t="array" ref="O65">Common_InputFunctions.Utility_DisplayArrayInTable(Fertiliser_SourceData.Fertiliser_Products_Data1(),FertiliserProducts[[#Headers],[Product]], 0)</f>
        <v/>
      </c>
      <c r="P65" s="123" t="str" cm="1">
        <f t="array" ref="P65">Common_InputFunctions.Utility_DisplayArrayInTable(Fertiliser_SourceData.Fertiliser_Products_Data1(),FertiliserProducts[[#Headers],[Product]], 0)</f>
        <v/>
      </c>
      <c r="Q65" s="123" t="str" cm="1">
        <f t="array" ref="Q65">Common_InputFunctions.Utility_DisplayArrayInTable(Fertiliser_SourceData.Fertiliser_Products_Data1(),FertiliserProducts[[#Headers],[Product]], 0)</f>
        <v/>
      </c>
      <c r="R65" s="123" t="str" cm="1">
        <f t="array" ref="R65">Common_InputFunctions.Utility_DisplayArrayInTable(Fertiliser_SourceData.Fertiliser_Products_Data1(),FertiliserProducts[[#Headers],[Product]], 0)</f>
        <v/>
      </c>
      <c r="S65" s="123" t="str" cm="1">
        <f t="array" ref="S65">Common_InputFunctions.Utility_DisplayArrayInTable(Fertiliser_SourceData.Fertiliser_Products_Data1(),FertiliserProducts[[#Headers],[Product]], 0)</f>
        <v/>
      </c>
      <c r="T65" s="123" t="str" cm="1">
        <f t="array" ref="T65">Common_InputFunctions.Utility_DisplayArrayInTable(Fertiliser_SourceData.Fertiliser_Products_Data1(),FertiliserProducts[[#Headers],[Product]], 0)</f>
        <v/>
      </c>
      <c r="U65" s="123" t="str" cm="1">
        <f t="array" ref="U65">Common_InputFunctions.Utility_DisplayArrayInTable(Fertiliser_SourceData.Fertiliser_Products_Data1(),FertiliserProducts[[#Headers],[Product]], 0)</f>
        <v/>
      </c>
      <c r="V65" s="123" t="str" cm="1">
        <f t="array" ref="V65">Common_InputFunctions.Utility_DisplayArrayInTable(Fertiliser_SourceData.Fertiliser_Products_Data1(),FertiliserProducts[[#Headers],[Product]], 0)</f>
        <v/>
      </c>
      <c r="W65" s="123" t="str" cm="1">
        <f t="array" ref="W65">Common_InputFunctions.Utility_DisplayArrayInTable(Fertiliser_SourceData.Fertiliser_Products_Data1(),FertiliserProducts[[#Headers],[Product]], 0)</f>
        <v>CSBP High / Maintenance S</v>
      </c>
    </row>
    <row r="66" spans="4:23" ht="20.100000000000001" customHeight="1" x14ac:dyDescent="0.25">
      <c r="D66" s="123" t="str" cm="1">
        <f t="array" ref="D66">Common_InputFunctions.Utility_DisplayArrayInTable(Fertiliser_SourceData.Fertiliser_Products_Data1(),FertiliserProducts[[#Headers],[Product]], 0)</f>
        <v>AgNP</v>
      </c>
      <c r="E66" s="123" t="str" cm="1">
        <f t="array" ref="E66">Common_InputFunctions.Utility_DisplayArrayInTable(Fertiliser_SourceData.Fertiliser_Products_Data1(),FertiliserProducts[[#Headers],[Product]], 0)</f>
        <v/>
      </c>
      <c r="F66" s="123" t="str" cm="1">
        <f t="array" ref="F66">Common_InputFunctions.Utility_DisplayArrayInTable(Fertiliser_SourceData.Fertiliser_Products_Data1(),FertiliserProducts[[#Headers],[Product]], 0)</f>
        <v/>
      </c>
      <c r="G66" s="123" t="str" cm="1">
        <f t="array" ref="G66">Common_InputFunctions.Utility_DisplayArrayInTable(Fertiliser_SourceData.Fertiliser_Products_Data1(),FertiliserProducts[[#Headers],[Product]], 0)</f>
        <v/>
      </c>
      <c r="H66" s="123" t="str" cm="1">
        <f t="array" ref="H66">Common_InputFunctions.Utility_DisplayArrayInTable(Fertiliser_SourceData.Fertiliser_Products_Data1(),FertiliserProducts[[#Headers],[Product]], 0)</f>
        <v/>
      </c>
      <c r="I66" s="123" t="str" cm="1">
        <f t="array" ref="I66">Common_InputFunctions.Utility_DisplayArrayInTable(Fertiliser_SourceData.Fertiliser_Products_Data1(),FertiliserProducts[[#Headers],[Product]], 0)</f>
        <v/>
      </c>
      <c r="J66" s="123" t="str" cm="1">
        <f t="array" ref="J66">Common_InputFunctions.Utility_DisplayArrayInTable(Fertiliser_SourceData.Fertiliser_Products_Data1(),FertiliserProducts[[#Headers],[Product]], 0)</f>
        <v/>
      </c>
      <c r="K66" s="123" t="str" cm="1">
        <f t="array" ref="K66">Common_InputFunctions.Utility_DisplayArrayInTable(Fertiliser_SourceData.Fertiliser_Products_Data1(),FertiliserProducts[[#Headers],[Product]], 0)</f>
        <v/>
      </c>
      <c r="L66" s="123" t="str" cm="1">
        <f t="array" ref="L66">Common_InputFunctions.Utility_DisplayArrayInTable(Fertiliser_SourceData.Fertiliser_Products_Data1(),FertiliserProducts[[#Headers],[Product]], 0)</f>
        <v/>
      </c>
      <c r="M66" s="123" t="str" cm="1">
        <f t="array" ref="M66">Common_InputFunctions.Utility_DisplayArrayInTable(Fertiliser_SourceData.Fertiliser_Products_Data1(),FertiliserProducts[[#Headers],[Product]], 0)</f>
        <v/>
      </c>
      <c r="N66" s="123" t="str" cm="1">
        <f t="array" ref="N66">Common_InputFunctions.Utility_DisplayArrayInTable(Fertiliser_SourceData.Fertiliser_Products_Data1(),FertiliserProducts[[#Headers],[Product]], 0)</f>
        <v/>
      </c>
      <c r="O66" s="123" t="str" cm="1">
        <f t="array" ref="O66">Common_InputFunctions.Utility_DisplayArrayInTable(Fertiliser_SourceData.Fertiliser_Products_Data1(),FertiliserProducts[[#Headers],[Product]], 0)</f>
        <v/>
      </c>
      <c r="P66" s="123" t="str" cm="1">
        <f t="array" ref="P66">Common_InputFunctions.Utility_DisplayArrayInTable(Fertiliser_SourceData.Fertiliser_Products_Data1(),FertiliserProducts[[#Headers],[Product]], 0)</f>
        <v/>
      </c>
      <c r="Q66" s="123" t="str" cm="1">
        <f t="array" ref="Q66">Common_InputFunctions.Utility_DisplayArrayInTable(Fertiliser_SourceData.Fertiliser_Products_Data1(),FertiliserProducts[[#Headers],[Product]], 0)</f>
        <v/>
      </c>
      <c r="R66" s="123" t="str" cm="1">
        <f t="array" ref="R66">Common_InputFunctions.Utility_DisplayArrayInTable(Fertiliser_SourceData.Fertiliser_Products_Data1(),FertiliserProducts[[#Headers],[Product]], 0)</f>
        <v/>
      </c>
      <c r="S66" s="123" t="str" cm="1">
        <f t="array" ref="S66">Common_InputFunctions.Utility_DisplayArrayInTable(Fertiliser_SourceData.Fertiliser_Products_Data1(),FertiliserProducts[[#Headers],[Product]], 0)</f>
        <v/>
      </c>
      <c r="T66" s="123" t="str" cm="1">
        <f t="array" ref="T66">Common_InputFunctions.Utility_DisplayArrayInTable(Fertiliser_SourceData.Fertiliser_Products_Data1(),FertiliserProducts[[#Headers],[Product]], 0)</f>
        <v/>
      </c>
      <c r="U66" s="123" t="str" cm="1">
        <f t="array" ref="U66">Common_InputFunctions.Utility_DisplayArrayInTable(Fertiliser_SourceData.Fertiliser_Products_Data1(),FertiliserProducts[[#Headers],[Product]], 0)</f>
        <v/>
      </c>
      <c r="V66" s="123" t="str" cm="1">
        <f t="array" ref="V66">Common_InputFunctions.Utility_DisplayArrayInTable(Fertiliser_SourceData.Fertiliser_Products_Data1(),FertiliserProducts[[#Headers],[Product]], 0)</f>
        <v/>
      </c>
      <c r="W66" s="123" t="str" cm="1">
        <f t="array" ref="W66">Common_InputFunctions.Utility_DisplayArrayInTable(Fertiliser_SourceData.Fertiliser_Products_Data1(),FertiliserProducts[[#Headers],[Product]], 0)</f>
        <v>CSBP High / Maintenance S</v>
      </c>
    </row>
    <row r="67" spans="4:23" ht="20.100000000000001" customHeight="1" x14ac:dyDescent="0.25">
      <c r="D67" s="123" t="str" cm="1">
        <f t="array" ref="D67">Common_InputFunctions.Utility_DisplayArrayInTable(Fertiliser_SourceData.Fertiliser_Products_Data1(),FertiliserProducts[[#Headers],[Product]], 0)</f>
        <v>AllStar</v>
      </c>
      <c r="E67" s="123" t="str" cm="1">
        <f t="array" ref="E67">Common_InputFunctions.Utility_DisplayArrayInTable(Fertiliser_SourceData.Fertiliser_Products_Data1(),FertiliserProducts[[#Headers],[Product]], 0)</f>
        <v/>
      </c>
      <c r="F67" s="123" t="str" cm="1">
        <f t="array" ref="F67">Common_InputFunctions.Utility_DisplayArrayInTable(Fertiliser_SourceData.Fertiliser_Products_Data1(),FertiliserProducts[[#Headers],[Product]], 0)</f>
        <v/>
      </c>
      <c r="G67" s="123" t="str" cm="1">
        <f t="array" ref="G67">Common_InputFunctions.Utility_DisplayArrayInTable(Fertiliser_SourceData.Fertiliser_Products_Data1(),FertiliserProducts[[#Headers],[Product]], 0)</f>
        <v/>
      </c>
      <c r="H67" s="123" t="str" cm="1">
        <f t="array" ref="H67">Common_InputFunctions.Utility_DisplayArrayInTable(Fertiliser_SourceData.Fertiliser_Products_Data1(),FertiliserProducts[[#Headers],[Product]], 0)</f>
        <v/>
      </c>
      <c r="I67" s="123" t="str" cm="1">
        <f t="array" ref="I67">Common_InputFunctions.Utility_DisplayArrayInTable(Fertiliser_SourceData.Fertiliser_Products_Data1(),FertiliserProducts[[#Headers],[Product]], 0)</f>
        <v/>
      </c>
      <c r="J67" s="123" t="str" cm="1">
        <f t="array" ref="J67">Common_InputFunctions.Utility_DisplayArrayInTable(Fertiliser_SourceData.Fertiliser_Products_Data1(),FertiliserProducts[[#Headers],[Product]], 0)</f>
        <v/>
      </c>
      <c r="K67" s="123" t="str" cm="1">
        <f t="array" ref="K67">Common_InputFunctions.Utility_DisplayArrayInTable(Fertiliser_SourceData.Fertiliser_Products_Data1(),FertiliserProducts[[#Headers],[Product]], 0)</f>
        <v/>
      </c>
      <c r="L67" s="123" t="str" cm="1">
        <f t="array" ref="L67">Common_InputFunctions.Utility_DisplayArrayInTable(Fertiliser_SourceData.Fertiliser_Products_Data1(),FertiliserProducts[[#Headers],[Product]], 0)</f>
        <v/>
      </c>
      <c r="M67" s="123" t="str" cm="1">
        <f t="array" ref="M67">Common_InputFunctions.Utility_DisplayArrayInTable(Fertiliser_SourceData.Fertiliser_Products_Data1(),FertiliserProducts[[#Headers],[Product]], 0)</f>
        <v/>
      </c>
      <c r="N67" s="123" t="str" cm="1">
        <f t="array" ref="N67">Common_InputFunctions.Utility_DisplayArrayInTable(Fertiliser_SourceData.Fertiliser_Products_Data1(),FertiliserProducts[[#Headers],[Product]], 0)</f>
        <v/>
      </c>
      <c r="O67" s="123" t="str" cm="1">
        <f t="array" ref="O67">Common_InputFunctions.Utility_DisplayArrayInTable(Fertiliser_SourceData.Fertiliser_Products_Data1(),FertiliserProducts[[#Headers],[Product]], 0)</f>
        <v/>
      </c>
      <c r="P67" s="123" t="str" cm="1">
        <f t="array" ref="P67">Common_InputFunctions.Utility_DisplayArrayInTable(Fertiliser_SourceData.Fertiliser_Products_Data1(),FertiliserProducts[[#Headers],[Product]], 0)</f>
        <v/>
      </c>
      <c r="Q67" s="123" t="str" cm="1">
        <f t="array" ref="Q67">Common_InputFunctions.Utility_DisplayArrayInTable(Fertiliser_SourceData.Fertiliser_Products_Data1(),FertiliserProducts[[#Headers],[Product]], 0)</f>
        <v/>
      </c>
      <c r="R67" s="123" t="str" cm="1">
        <f t="array" ref="R67">Common_InputFunctions.Utility_DisplayArrayInTable(Fertiliser_SourceData.Fertiliser_Products_Data1(),FertiliserProducts[[#Headers],[Product]], 0)</f>
        <v/>
      </c>
      <c r="S67" s="123" t="str" cm="1">
        <f t="array" ref="S67">Common_InputFunctions.Utility_DisplayArrayInTable(Fertiliser_SourceData.Fertiliser_Products_Data1(),FertiliserProducts[[#Headers],[Product]], 0)</f>
        <v/>
      </c>
      <c r="T67" s="123" t="str" cm="1">
        <f t="array" ref="T67">Common_InputFunctions.Utility_DisplayArrayInTable(Fertiliser_SourceData.Fertiliser_Products_Data1(),FertiliserProducts[[#Headers],[Product]], 0)</f>
        <v/>
      </c>
      <c r="U67" s="123" t="str" cm="1">
        <f t="array" ref="U67">Common_InputFunctions.Utility_DisplayArrayInTable(Fertiliser_SourceData.Fertiliser_Products_Data1(),FertiliserProducts[[#Headers],[Product]], 0)</f>
        <v/>
      </c>
      <c r="V67" s="123" t="str" cm="1">
        <f t="array" ref="V67">Common_InputFunctions.Utility_DisplayArrayInTable(Fertiliser_SourceData.Fertiliser_Products_Data1(),FertiliserProducts[[#Headers],[Product]], 0)</f>
        <v/>
      </c>
      <c r="W67" s="123" t="str" cm="1">
        <f t="array" ref="W67">Common_InputFunctions.Utility_DisplayArrayInTable(Fertiliser_SourceData.Fertiliser_Products_Data1(),FertiliserProducts[[#Headers],[Product]], 0)</f>
        <v>Summit Fertilizers</v>
      </c>
    </row>
    <row r="68" spans="4:23" ht="20.100000000000001" customHeight="1" x14ac:dyDescent="0.25">
      <c r="D68" s="123" t="str" cm="1">
        <f t="array" ref="D68">Common_InputFunctions.Utility_DisplayArrayInTable(Fertiliser_SourceData.Fertiliser_Products_Data1(),FertiliserProducts[[#Headers],[Product]], 0)</f>
        <v>Ammo 36</v>
      </c>
      <c r="E68" s="123" t="str" cm="1">
        <f t="array" ref="E68">Common_InputFunctions.Utility_DisplayArrayInTable(Fertiliser_SourceData.Fertiliser_Products_Data1(),FertiliserProducts[[#Headers],[Product]], 0)</f>
        <v>Urea</v>
      </c>
      <c r="F68" s="123" cm="1">
        <f t="array" ref="F68">Common_InputFunctions.Utility_DisplayArrayInTable(Fertiliser_SourceData.Fertiliser_Products_Data1(),FertiliserProducts[[#Headers],[Product]], 0)</f>
        <v>0.4</v>
      </c>
      <c r="G68" s="123" t="str" cm="1">
        <f t="array" ref="G68">Common_InputFunctions.Utility_DisplayArrayInTable(Fertiliser_SourceData.Fertiliser_Products_Data1(),FertiliserProducts[[#Headers],[Product]], 0)</f>
        <v>Location not specified</v>
      </c>
      <c r="H68" s="123" t="str" cm="1">
        <f t="array" ref="H68">Common_InputFunctions.Utility_DisplayArrayInTable(Fertiliser_SourceData.Fertiliser_Products_Data1(),FertiliserProducts[[#Headers],[Product]], 0)</f>
        <v>Sulphate of Ammonia (SOA)</v>
      </c>
      <c r="I68" s="123" cm="1">
        <f t="array" ref="I68">Common_InputFunctions.Utility_DisplayArrayInTable(Fertiliser_SourceData.Fertiliser_Products_Data1(),FertiliserProducts[[#Headers],[Product]], 0)</f>
        <v>0.6</v>
      </c>
      <c r="J68" s="123" t="str" cm="1">
        <f t="array" ref="J68">Common_InputFunctions.Utility_DisplayArrayInTable(Fertiliser_SourceData.Fertiliser_Products_Data1(),FertiliserProducts[[#Headers],[Product]], 0)</f>
        <v>Location not specified</v>
      </c>
      <c r="K68" s="123" t="str" cm="1">
        <f t="array" ref="K68">Common_InputFunctions.Utility_DisplayArrayInTable(Fertiliser_SourceData.Fertiliser_Products_Data1(),FertiliserProducts[[#Headers],[Product]], 0)</f>
        <v/>
      </c>
      <c r="L68" s="123" t="str" cm="1">
        <f t="array" ref="L68">Common_InputFunctions.Utility_DisplayArrayInTable(Fertiliser_SourceData.Fertiliser_Products_Data1(),FertiliserProducts[[#Headers],[Product]], 0)</f>
        <v/>
      </c>
      <c r="M68" s="123" t="str" cm="1">
        <f t="array" ref="M68">Common_InputFunctions.Utility_DisplayArrayInTable(Fertiliser_SourceData.Fertiliser_Products_Data1(),FertiliserProducts[[#Headers],[Product]], 0)</f>
        <v/>
      </c>
      <c r="N68" s="123" t="str" cm="1">
        <f t="array" ref="N68">Common_InputFunctions.Utility_DisplayArrayInTable(Fertiliser_SourceData.Fertiliser_Products_Data1(),FertiliserProducts[[#Headers],[Product]], 0)</f>
        <v/>
      </c>
      <c r="O68" s="123" t="str" cm="1">
        <f t="array" ref="O68">Common_InputFunctions.Utility_DisplayArrayInTable(Fertiliser_SourceData.Fertiliser_Products_Data1(),FertiliserProducts[[#Headers],[Product]], 0)</f>
        <v/>
      </c>
      <c r="P68" s="123" t="str" cm="1">
        <f t="array" ref="P68">Common_InputFunctions.Utility_DisplayArrayInTable(Fertiliser_SourceData.Fertiliser_Products_Data1(),FertiliserProducts[[#Headers],[Product]], 0)</f>
        <v/>
      </c>
      <c r="Q68" s="123" t="str" cm="1">
        <f t="array" ref="Q68">Common_InputFunctions.Utility_DisplayArrayInTable(Fertiliser_SourceData.Fertiliser_Products_Data1(),FertiliserProducts[[#Headers],[Product]], 0)</f>
        <v/>
      </c>
      <c r="R68" s="123" t="str" cm="1">
        <f t="array" ref="R68">Common_InputFunctions.Utility_DisplayArrayInTable(Fertiliser_SourceData.Fertiliser_Products_Data1(),FertiliserProducts[[#Headers],[Product]], 0)</f>
        <v/>
      </c>
      <c r="S68" s="123" t="str" cm="1">
        <f t="array" ref="S68">Common_InputFunctions.Utility_DisplayArrayInTable(Fertiliser_SourceData.Fertiliser_Products_Data1(),FertiliserProducts[[#Headers],[Product]], 0)</f>
        <v/>
      </c>
      <c r="T68" s="123" t="str" cm="1">
        <f t="array" ref="T68">Common_InputFunctions.Utility_DisplayArrayInTable(Fertiliser_SourceData.Fertiliser_Products_Data1(),FertiliserProducts[[#Headers],[Product]], 0)</f>
        <v/>
      </c>
      <c r="U68" s="123" t="str" cm="1">
        <f t="array" ref="U68">Common_InputFunctions.Utility_DisplayArrayInTable(Fertiliser_SourceData.Fertiliser_Products_Data1(),FertiliserProducts[[#Headers],[Product]], 0)</f>
        <v/>
      </c>
      <c r="V68" s="123" t="str" cm="1">
        <f t="array" ref="V68">Common_InputFunctions.Utility_DisplayArrayInTable(Fertiliser_SourceData.Fertiliser_Products_Data1(),FertiliserProducts[[#Headers],[Product]], 0)</f>
        <v/>
      </c>
      <c r="W68" s="123" t="str" cm="1">
        <f t="array" ref="W68">Common_InputFunctions.Utility_DisplayArrayInTable(Fertiliser_SourceData.Fertiliser_Products_Data1(),FertiliserProducts[[#Headers],[Product]], 0)</f>
        <v>Ravensdown</v>
      </c>
    </row>
    <row r="69" spans="4:23" ht="20.100000000000001" customHeight="1" x14ac:dyDescent="0.25">
      <c r="D69" s="123" t="str" cm="1">
        <f t="array" ref="D69">Common_InputFunctions.Utility_DisplayArrayInTable(Fertiliser_SourceData.Fertiliser_Products_Data1(),FertiliserProducts[[#Headers],[Product]], 0)</f>
        <v>Apex GaIXe Low P 21-1-6</v>
      </c>
      <c r="E69" s="123" t="str" cm="1">
        <f t="array" ref="E69">Common_InputFunctions.Utility_DisplayArrayInTable(Fertiliser_SourceData.Fertiliser_Products_Data1(),FertiliserProducts[[#Headers],[Product]], 0)</f>
        <v/>
      </c>
      <c r="F69" s="123" t="str" cm="1">
        <f t="array" ref="F69">Common_InputFunctions.Utility_DisplayArrayInTable(Fertiliser_SourceData.Fertiliser_Products_Data1(),FertiliserProducts[[#Headers],[Product]], 0)</f>
        <v/>
      </c>
      <c r="G69" s="123" t="str" cm="1">
        <f t="array" ref="G69">Common_InputFunctions.Utility_DisplayArrayInTable(Fertiliser_SourceData.Fertiliser_Products_Data1(),FertiliserProducts[[#Headers],[Product]], 0)</f>
        <v/>
      </c>
      <c r="H69" s="123" t="str" cm="1">
        <f t="array" ref="H69">Common_InputFunctions.Utility_DisplayArrayInTable(Fertiliser_SourceData.Fertiliser_Products_Data1(),FertiliserProducts[[#Headers],[Product]], 0)</f>
        <v/>
      </c>
      <c r="I69" s="123" t="str" cm="1">
        <f t="array" ref="I69">Common_InputFunctions.Utility_DisplayArrayInTable(Fertiliser_SourceData.Fertiliser_Products_Data1(),FertiliserProducts[[#Headers],[Product]], 0)</f>
        <v/>
      </c>
      <c r="J69" s="123" t="str" cm="1">
        <f t="array" ref="J69">Common_InputFunctions.Utility_DisplayArrayInTable(Fertiliser_SourceData.Fertiliser_Products_Data1(),FertiliserProducts[[#Headers],[Product]], 0)</f>
        <v/>
      </c>
      <c r="K69" s="123" t="str" cm="1">
        <f t="array" ref="K69">Common_InputFunctions.Utility_DisplayArrayInTable(Fertiliser_SourceData.Fertiliser_Products_Data1(),FertiliserProducts[[#Headers],[Product]], 0)</f>
        <v/>
      </c>
      <c r="L69" s="123" t="str" cm="1">
        <f t="array" ref="L69">Common_InputFunctions.Utility_DisplayArrayInTable(Fertiliser_SourceData.Fertiliser_Products_Data1(),FertiliserProducts[[#Headers],[Product]], 0)</f>
        <v/>
      </c>
      <c r="M69" s="123" t="str" cm="1">
        <f t="array" ref="M69">Common_InputFunctions.Utility_DisplayArrayInTable(Fertiliser_SourceData.Fertiliser_Products_Data1(),FertiliserProducts[[#Headers],[Product]], 0)</f>
        <v/>
      </c>
      <c r="N69" s="123" t="str" cm="1">
        <f t="array" ref="N69">Common_InputFunctions.Utility_DisplayArrayInTable(Fertiliser_SourceData.Fertiliser_Products_Data1(),FertiliserProducts[[#Headers],[Product]], 0)</f>
        <v/>
      </c>
      <c r="O69" s="123" t="str" cm="1">
        <f t="array" ref="O69">Common_InputFunctions.Utility_DisplayArrayInTable(Fertiliser_SourceData.Fertiliser_Products_Data1(),FertiliserProducts[[#Headers],[Product]], 0)</f>
        <v/>
      </c>
      <c r="P69" s="123" t="str" cm="1">
        <f t="array" ref="P69">Common_InputFunctions.Utility_DisplayArrayInTable(Fertiliser_SourceData.Fertiliser_Products_Data1(),FertiliserProducts[[#Headers],[Product]], 0)</f>
        <v/>
      </c>
      <c r="Q69" s="123" t="str" cm="1">
        <f t="array" ref="Q69">Common_InputFunctions.Utility_DisplayArrayInTable(Fertiliser_SourceData.Fertiliser_Products_Data1(),FertiliserProducts[[#Headers],[Product]], 0)</f>
        <v/>
      </c>
      <c r="R69" s="123" t="str" cm="1">
        <f t="array" ref="R69">Common_InputFunctions.Utility_DisplayArrayInTable(Fertiliser_SourceData.Fertiliser_Products_Data1(),FertiliserProducts[[#Headers],[Product]], 0)</f>
        <v/>
      </c>
      <c r="S69" s="123" t="str" cm="1">
        <f t="array" ref="S69">Common_InputFunctions.Utility_DisplayArrayInTable(Fertiliser_SourceData.Fertiliser_Products_Data1(),FertiliserProducts[[#Headers],[Product]], 0)</f>
        <v/>
      </c>
      <c r="T69" s="123" t="str" cm="1">
        <f t="array" ref="T69">Common_InputFunctions.Utility_DisplayArrayInTable(Fertiliser_SourceData.Fertiliser_Products_Data1(),FertiliserProducts[[#Headers],[Product]], 0)</f>
        <v/>
      </c>
      <c r="U69" s="123" t="str" cm="1">
        <f t="array" ref="U69">Common_InputFunctions.Utility_DisplayArrayInTable(Fertiliser_SourceData.Fertiliser_Products_Data1(),FertiliserProducts[[#Headers],[Product]], 0)</f>
        <v/>
      </c>
      <c r="V69" s="123" t="str" cm="1">
        <f t="array" ref="V69">Common_InputFunctions.Utility_DisplayArrayInTable(Fertiliser_SourceData.Fertiliser_Products_Data1(),FertiliserProducts[[#Headers],[Product]], 0)</f>
        <v/>
      </c>
      <c r="W69" s="123" t="str" cm="1">
        <f t="array" ref="W69">Common_InputFunctions.Utility_DisplayArrayInTable(Fertiliser_SourceData.Fertiliser_Products_Data1(),FertiliserProducts[[#Headers],[Product]], 0)</f>
        <v>Baileys controlled release fertilisers</v>
      </c>
    </row>
    <row r="70" spans="4:23" ht="20.100000000000001" customHeight="1" x14ac:dyDescent="0.25">
      <c r="D70" s="123" t="str" cm="1">
        <f t="array" ref="D70">Common_InputFunctions.Utility_DisplayArrayInTable(Fertiliser_SourceData.Fertiliser_Products_Data1(),FertiliserProducts[[#Headers],[Product]], 0)</f>
        <v>Big N</v>
      </c>
      <c r="E70" s="123" t="str" cm="1">
        <f t="array" ref="E70">Common_InputFunctions.Utility_DisplayArrayInTable(Fertiliser_SourceData.Fertiliser_Products_Data1(),FertiliserProducts[[#Headers],[Product]], 0)</f>
        <v/>
      </c>
      <c r="F70" s="123" t="str" cm="1">
        <f t="array" ref="F70">Common_InputFunctions.Utility_DisplayArrayInTable(Fertiliser_SourceData.Fertiliser_Products_Data1(),FertiliserProducts[[#Headers],[Product]], 0)</f>
        <v/>
      </c>
      <c r="G70" s="123" t="str" cm="1">
        <f t="array" ref="G70">Common_InputFunctions.Utility_DisplayArrayInTable(Fertiliser_SourceData.Fertiliser_Products_Data1(),FertiliserProducts[[#Headers],[Product]], 0)</f>
        <v/>
      </c>
      <c r="H70" s="123" t="str" cm="1">
        <f t="array" ref="H70">Common_InputFunctions.Utility_DisplayArrayInTable(Fertiliser_SourceData.Fertiliser_Products_Data1(),FertiliserProducts[[#Headers],[Product]], 0)</f>
        <v/>
      </c>
      <c r="I70" s="123" t="str" cm="1">
        <f t="array" ref="I70">Common_InputFunctions.Utility_DisplayArrayInTable(Fertiliser_SourceData.Fertiliser_Products_Data1(),FertiliserProducts[[#Headers],[Product]], 0)</f>
        <v/>
      </c>
      <c r="J70" s="123" t="str" cm="1">
        <f t="array" ref="J70">Common_InputFunctions.Utility_DisplayArrayInTable(Fertiliser_SourceData.Fertiliser_Products_Data1(),FertiliserProducts[[#Headers],[Product]], 0)</f>
        <v/>
      </c>
      <c r="K70" s="123" t="str" cm="1">
        <f t="array" ref="K70">Common_InputFunctions.Utility_DisplayArrayInTable(Fertiliser_SourceData.Fertiliser_Products_Data1(),FertiliserProducts[[#Headers],[Product]], 0)</f>
        <v/>
      </c>
      <c r="L70" s="123" t="str" cm="1">
        <f t="array" ref="L70">Common_InputFunctions.Utility_DisplayArrayInTable(Fertiliser_SourceData.Fertiliser_Products_Data1(),FertiliserProducts[[#Headers],[Product]], 0)</f>
        <v/>
      </c>
      <c r="M70" s="123" t="str" cm="1">
        <f t="array" ref="M70">Common_InputFunctions.Utility_DisplayArrayInTable(Fertiliser_SourceData.Fertiliser_Products_Data1(),FertiliserProducts[[#Headers],[Product]], 0)</f>
        <v/>
      </c>
      <c r="N70" s="123" t="str" cm="1">
        <f t="array" ref="N70">Common_InputFunctions.Utility_DisplayArrayInTable(Fertiliser_SourceData.Fertiliser_Products_Data1(),FertiliserProducts[[#Headers],[Product]], 0)</f>
        <v/>
      </c>
      <c r="O70" s="123" t="str" cm="1">
        <f t="array" ref="O70">Common_InputFunctions.Utility_DisplayArrayInTable(Fertiliser_SourceData.Fertiliser_Products_Data1(),FertiliserProducts[[#Headers],[Product]], 0)</f>
        <v/>
      </c>
      <c r="P70" s="123" t="str" cm="1">
        <f t="array" ref="P70">Common_InputFunctions.Utility_DisplayArrayInTable(Fertiliser_SourceData.Fertiliser_Products_Data1(),FertiliserProducts[[#Headers],[Product]], 0)</f>
        <v/>
      </c>
      <c r="Q70" s="123" t="str" cm="1">
        <f t="array" ref="Q70">Common_InputFunctions.Utility_DisplayArrayInTable(Fertiliser_SourceData.Fertiliser_Products_Data1(),FertiliserProducts[[#Headers],[Product]], 0)</f>
        <v/>
      </c>
      <c r="R70" s="123" t="str" cm="1">
        <f t="array" ref="R70">Common_InputFunctions.Utility_DisplayArrayInTable(Fertiliser_SourceData.Fertiliser_Products_Data1(),FertiliserProducts[[#Headers],[Product]], 0)</f>
        <v/>
      </c>
      <c r="S70" s="123" t="str" cm="1">
        <f t="array" ref="S70">Common_InputFunctions.Utility_DisplayArrayInTable(Fertiliser_SourceData.Fertiliser_Products_Data1(),FertiliserProducts[[#Headers],[Product]], 0)</f>
        <v/>
      </c>
      <c r="T70" s="123" t="str" cm="1">
        <f t="array" ref="T70">Common_InputFunctions.Utility_DisplayArrayInTable(Fertiliser_SourceData.Fertiliser_Products_Data1(),FertiliserProducts[[#Headers],[Product]], 0)</f>
        <v/>
      </c>
      <c r="U70" s="123" t="str" cm="1">
        <f t="array" ref="U70">Common_InputFunctions.Utility_DisplayArrayInTable(Fertiliser_SourceData.Fertiliser_Products_Data1(),FertiliserProducts[[#Headers],[Product]], 0)</f>
        <v/>
      </c>
      <c r="V70" s="123" t="str" cm="1">
        <f t="array" ref="V70">Common_InputFunctions.Utility_DisplayArrayInTable(Fertiliser_SourceData.Fertiliser_Products_Data1(),FertiliserProducts[[#Headers],[Product]], 0)</f>
        <v/>
      </c>
      <c r="W70" s="123" t="str" cm="1">
        <f t="array" ref="W70">Common_InputFunctions.Utility_DisplayArrayInTable(Fertiliser_SourceData.Fertiliser_Products_Data1(),FertiliserProducts[[#Headers],[Product]], 0)</f>
        <v>Big N Anhydrous ammonia NH3</v>
      </c>
    </row>
    <row r="71" spans="4:23" ht="20.100000000000001" customHeight="1" x14ac:dyDescent="0.25">
      <c r="D71" s="123" t="str" cm="1">
        <f t="array" ref="D71">Common_InputFunctions.Utility_DisplayArrayInTable(Fertiliser_SourceData.Fertiliser_Products_Data1(),FertiliserProducts[[#Headers],[Product]], 0)</f>
        <v>Big Phos</v>
      </c>
      <c r="E71" s="123" t="str" cm="1">
        <f t="array" ref="E71">Common_InputFunctions.Utility_DisplayArrayInTable(Fertiliser_SourceData.Fertiliser_Products_Data1(),FertiliserProducts[[#Headers],[Product]], 0)</f>
        <v/>
      </c>
      <c r="F71" s="123" t="str" cm="1">
        <f t="array" ref="F71">Common_InputFunctions.Utility_DisplayArrayInTable(Fertiliser_SourceData.Fertiliser_Products_Data1(),FertiliserProducts[[#Headers],[Product]], 0)</f>
        <v/>
      </c>
      <c r="G71" s="123" t="str" cm="1">
        <f t="array" ref="G71">Common_InputFunctions.Utility_DisplayArrayInTable(Fertiliser_SourceData.Fertiliser_Products_Data1(),FertiliserProducts[[#Headers],[Product]], 0)</f>
        <v/>
      </c>
      <c r="H71" s="123" t="str" cm="1">
        <f t="array" ref="H71">Common_InputFunctions.Utility_DisplayArrayInTable(Fertiliser_SourceData.Fertiliser_Products_Data1(),FertiliserProducts[[#Headers],[Product]], 0)</f>
        <v/>
      </c>
      <c r="I71" s="123" t="str" cm="1">
        <f t="array" ref="I71">Common_InputFunctions.Utility_DisplayArrayInTable(Fertiliser_SourceData.Fertiliser_Products_Data1(),FertiliserProducts[[#Headers],[Product]], 0)</f>
        <v/>
      </c>
      <c r="J71" s="123" t="str" cm="1">
        <f t="array" ref="J71">Common_InputFunctions.Utility_DisplayArrayInTable(Fertiliser_SourceData.Fertiliser_Products_Data1(),FertiliserProducts[[#Headers],[Product]], 0)</f>
        <v/>
      </c>
      <c r="K71" s="123" t="str" cm="1">
        <f t="array" ref="K71">Common_InputFunctions.Utility_DisplayArrayInTable(Fertiliser_SourceData.Fertiliser_Products_Data1(),FertiliserProducts[[#Headers],[Product]], 0)</f>
        <v/>
      </c>
      <c r="L71" s="123" t="str" cm="1">
        <f t="array" ref="L71">Common_InputFunctions.Utility_DisplayArrayInTable(Fertiliser_SourceData.Fertiliser_Products_Data1(),FertiliserProducts[[#Headers],[Product]], 0)</f>
        <v/>
      </c>
      <c r="M71" s="123" t="str" cm="1">
        <f t="array" ref="M71">Common_InputFunctions.Utility_DisplayArrayInTable(Fertiliser_SourceData.Fertiliser_Products_Data1(),FertiliserProducts[[#Headers],[Product]], 0)</f>
        <v/>
      </c>
      <c r="N71" s="123" t="str" cm="1">
        <f t="array" ref="N71">Common_InputFunctions.Utility_DisplayArrayInTable(Fertiliser_SourceData.Fertiliser_Products_Data1(),FertiliserProducts[[#Headers],[Product]], 0)</f>
        <v/>
      </c>
      <c r="O71" s="123" t="str" cm="1">
        <f t="array" ref="O71">Common_InputFunctions.Utility_DisplayArrayInTable(Fertiliser_SourceData.Fertiliser_Products_Data1(),FertiliserProducts[[#Headers],[Product]], 0)</f>
        <v/>
      </c>
      <c r="P71" s="123" t="str" cm="1">
        <f t="array" ref="P71">Common_InputFunctions.Utility_DisplayArrayInTable(Fertiliser_SourceData.Fertiliser_Products_Data1(),FertiliserProducts[[#Headers],[Product]], 0)</f>
        <v/>
      </c>
      <c r="Q71" s="123" t="str" cm="1">
        <f t="array" ref="Q71">Common_InputFunctions.Utility_DisplayArrayInTable(Fertiliser_SourceData.Fertiliser_Products_Data1(),FertiliserProducts[[#Headers],[Product]], 0)</f>
        <v/>
      </c>
      <c r="R71" s="123" t="str" cm="1">
        <f t="array" ref="R71">Common_InputFunctions.Utility_DisplayArrayInTable(Fertiliser_SourceData.Fertiliser_Products_Data1(),FertiliserProducts[[#Headers],[Product]], 0)</f>
        <v/>
      </c>
      <c r="S71" s="123" t="str" cm="1">
        <f t="array" ref="S71">Common_InputFunctions.Utility_DisplayArrayInTable(Fertiliser_SourceData.Fertiliser_Products_Data1(),FertiliserProducts[[#Headers],[Product]], 0)</f>
        <v/>
      </c>
      <c r="T71" s="123" t="str" cm="1">
        <f t="array" ref="T71">Common_InputFunctions.Utility_DisplayArrayInTable(Fertiliser_SourceData.Fertiliser_Products_Data1(),FertiliserProducts[[#Headers],[Product]], 0)</f>
        <v/>
      </c>
      <c r="U71" s="123" t="str" cm="1">
        <f t="array" ref="U71">Common_InputFunctions.Utility_DisplayArrayInTable(Fertiliser_SourceData.Fertiliser_Products_Data1(),FertiliserProducts[[#Headers],[Product]], 0)</f>
        <v/>
      </c>
      <c r="V71" s="123" t="str" cm="1">
        <f t="array" ref="V71">Common_InputFunctions.Utility_DisplayArrayInTable(Fertiliser_SourceData.Fertiliser_Products_Data1(),FertiliserProducts[[#Headers],[Product]], 0)</f>
        <v/>
      </c>
      <c r="W71" s="123" t="str" cm="1">
        <f t="array" ref="W71">Common_InputFunctions.Utility_DisplayArrayInTable(Fertiliser_SourceData.Fertiliser_Products_Data1(),FertiliserProducts[[#Headers],[Product]], 0)</f>
        <v>CSBP Fertilisers Pulse and Lupins</v>
      </c>
    </row>
    <row r="72" spans="4:23" ht="20.100000000000001" customHeight="1" x14ac:dyDescent="0.25">
      <c r="D72" s="123" t="str" cm="1">
        <f t="array" ref="D72">Common_InputFunctions.Utility_DisplayArrayInTable(Fertiliser_SourceData.Fertiliser_Products_Data1(),FertiliserProducts[[#Headers],[Product]], 0)</f>
        <v>Campbells Quick-N</v>
      </c>
      <c r="E72" s="123" t="str" cm="1">
        <f t="array" ref="E72">Common_InputFunctions.Utility_DisplayArrayInTable(Fertiliser_SourceData.Fertiliser_Products_Data1(),FertiliserProducts[[#Headers],[Product]], 0)</f>
        <v/>
      </c>
      <c r="F72" s="123" t="str" cm="1">
        <f t="array" ref="F72">Common_InputFunctions.Utility_DisplayArrayInTable(Fertiliser_SourceData.Fertiliser_Products_Data1(),FertiliserProducts[[#Headers],[Product]], 0)</f>
        <v/>
      </c>
      <c r="G72" s="123" t="str" cm="1">
        <f t="array" ref="G72">Common_InputFunctions.Utility_DisplayArrayInTable(Fertiliser_SourceData.Fertiliser_Products_Data1(),FertiliserProducts[[#Headers],[Product]], 0)</f>
        <v/>
      </c>
      <c r="H72" s="123" t="str" cm="1">
        <f t="array" ref="H72">Common_InputFunctions.Utility_DisplayArrayInTable(Fertiliser_SourceData.Fertiliser_Products_Data1(),FertiliserProducts[[#Headers],[Product]], 0)</f>
        <v/>
      </c>
      <c r="I72" s="123" t="str" cm="1">
        <f t="array" ref="I72">Common_InputFunctions.Utility_DisplayArrayInTable(Fertiliser_SourceData.Fertiliser_Products_Data1(),FertiliserProducts[[#Headers],[Product]], 0)</f>
        <v/>
      </c>
      <c r="J72" s="123" t="str" cm="1">
        <f t="array" ref="J72">Common_InputFunctions.Utility_DisplayArrayInTable(Fertiliser_SourceData.Fertiliser_Products_Data1(),FertiliserProducts[[#Headers],[Product]], 0)</f>
        <v/>
      </c>
      <c r="K72" s="123" t="str" cm="1">
        <f t="array" ref="K72">Common_InputFunctions.Utility_DisplayArrayInTable(Fertiliser_SourceData.Fertiliser_Products_Data1(),FertiliserProducts[[#Headers],[Product]], 0)</f>
        <v/>
      </c>
      <c r="L72" s="123" t="str" cm="1">
        <f t="array" ref="L72">Common_InputFunctions.Utility_DisplayArrayInTable(Fertiliser_SourceData.Fertiliser_Products_Data1(),FertiliserProducts[[#Headers],[Product]], 0)</f>
        <v/>
      </c>
      <c r="M72" s="123" t="str" cm="1">
        <f t="array" ref="M72">Common_InputFunctions.Utility_DisplayArrayInTable(Fertiliser_SourceData.Fertiliser_Products_Data1(),FertiliserProducts[[#Headers],[Product]], 0)</f>
        <v/>
      </c>
      <c r="N72" s="123" t="str" cm="1">
        <f t="array" ref="N72">Common_InputFunctions.Utility_DisplayArrayInTable(Fertiliser_SourceData.Fertiliser_Products_Data1(),FertiliserProducts[[#Headers],[Product]], 0)</f>
        <v/>
      </c>
      <c r="O72" s="123" t="str" cm="1">
        <f t="array" ref="O72">Common_InputFunctions.Utility_DisplayArrayInTable(Fertiliser_SourceData.Fertiliser_Products_Data1(),FertiliserProducts[[#Headers],[Product]], 0)</f>
        <v/>
      </c>
      <c r="P72" s="123" t="str" cm="1">
        <f t="array" ref="P72">Common_InputFunctions.Utility_DisplayArrayInTable(Fertiliser_SourceData.Fertiliser_Products_Data1(),FertiliserProducts[[#Headers],[Product]], 0)</f>
        <v/>
      </c>
      <c r="Q72" s="123" t="str" cm="1">
        <f t="array" ref="Q72">Common_InputFunctions.Utility_DisplayArrayInTable(Fertiliser_SourceData.Fertiliser_Products_Data1(),FertiliserProducts[[#Headers],[Product]], 0)</f>
        <v/>
      </c>
      <c r="R72" s="123" t="str" cm="1">
        <f t="array" ref="R72">Common_InputFunctions.Utility_DisplayArrayInTable(Fertiliser_SourceData.Fertiliser_Products_Data1(),FertiliserProducts[[#Headers],[Product]], 0)</f>
        <v/>
      </c>
      <c r="S72" s="123" t="str" cm="1">
        <f t="array" ref="S72">Common_InputFunctions.Utility_DisplayArrayInTable(Fertiliser_SourceData.Fertiliser_Products_Data1(),FertiliserProducts[[#Headers],[Product]], 0)</f>
        <v/>
      </c>
      <c r="T72" s="123" t="str" cm="1">
        <f t="array" ref="T72">Common_InputFunctions.Utility_DisplayArrayInTable(Fertiliser_SourceData.Fertiliser_Products_Data1(),FertiliserProducts[[#Headers],[Product]], 0)</f>
        <v/>
      </c>
      <c r="U72" s="123" t="str" cm="1">
        <f t="array" ref="U72">Common_InputFunctions.Utility_DisplayArrayInTable(Fertiliser_SourceData.Fertiliser_Products_Data1(),FertiliserProducts[[#Headers],[Product]], 0)</f>
        <v/>
      </c>
      <c r="V72" s="123" t="str" cm="1">
        <f t="array" ref="V72">Common_InputFunctions.Utility_DisplayArrayInTable(Fertiliser_SourceData.Fertiliser_Products_Data1(),FertiliserProducts[[#Headers],[Product]], 0)</f>
        <v/>
      </c>
      <c r="W72" s="123" t="str" cm="1">
        <f t="array" ref="W72">Common_InputFunctions.Utility_DisplayArrayInTable(Fertiliser_SourceData.Fertiliser_Products_Data1(),FertiliserProducts[[#Headers],[Product]], 0)</f>
        <v>Quick - N | Campbells Fertilisers Australia</v>
      </c>
    </row>
    <row r="73" spans="4:23" ht="20.100000000000001" customHeight="1" x14ac:dyDescent="0.25">
      <c r="D73" s="123" t="str" cm="1">
        <f t="array" ref="D73">Common_InputFunctions.Utility_DisplayArrayInTable(Fertiliser_SourceData.Fertiliser_Products_Data1(),FertiliserProducts[[#Headers],[Product]], 0)</f>
        <v>CK 55 Ameliorant</v>
      </c>
      <c r="E73" s="123" t="str" cm="1">
        <f t="array" ref="E73">Common_InputFunctions.Utility_DisplayArrayInTable(Fertiliser_SourceData.Fertiliser_Products_Data1(),FertiliserProducts[[#Headers],[Product]], 0)</f>
        <v/>
      </c>
      <c r="F73" s="123" t="str" cm="1">
        <f t="array" ref="F73">Common_InputFunctions.Utility_DisplayArrayInTable(Fertiliser_SourceData.Fertiliser_Products_Data1(),FertiliserProducts[[#Headers],[Product]], 0)</f>
        <v/>
      </c>
      <c r="G73" s="123" t="str" cm="1">
        <f t="array" ref="G73">Common_InputFunctions.Utility_DisplayArrayInTable(Fertiliser_SourceData.Fertiliser_Products_Data1(),FertiliserProducts[[#Headers],[Product]], 0)</f>
        <v/>
      </c>
      <c r="H73" s="123" t="str" cm="1">
        <f t="array" ref="H73">Common_InputFunctions.Utility_DisplayArrayInTable(Fertiliser_SourceData.Fertiliser_Products_Data1(),FertiliserProducts[[#Headers],[Product]], 0)</f>
        <v/>
      </c>
      <c r="I73" s="123" t="str" cm="1">
        <f t="array" ref="I73">Common_InputFunctions.Utility_DisplayArrayInTable(Fertiliser_SourceData.Fertiliser_Products_Data1(),FertiliserProducts[[#Headers],[Product]], 0)</f>
        <v/>
      </c>
      <c r="J73" s="123" t="str" cm="1">
        <f t="array" ref="J73">Common_InputFunctions.Utility_DisplayArrayInTable(Fertiliser_SourceData.Fertiliser_Products_Data1(),FertiliserProducts[[#Headers],[Product]], 0)</f>
        <v/>
      </c>
      <c r="K73" s="123" t="str" cm="1">
        <f t="array" ref="K73">Common_InputFunctions.Utility_DisplayArrayInTable(Fertiliser_SourceData.Fertiliser_Products_Data1(),FertiliserProducts[[#Headers],[Product]], 0)</f>
        <v/>
      </c>
      <c r="L73" s="123" t="str" cm="1">
        <f t="array" ref="L73">Common_InputFunctions.Utility_DisplayArrayInTable(Fertiliser_SourceData.Fertiliser_Products_Data1(),FertiliserProducts[[#Headers],[Product]], 0)</f>
        <v/>
      </c>
      <c r="M73" s="123" t="str" cm="1">
        <f t="array" ref="M73">Common_InputFunctions.Utility_DisplayArrayInTable(Fertiliser_SourceData.Fertiliser_Products_Data1(),FertiliserProducts[[#Headers],[Product]], 0)</f>
        <v/>
      </c>
      <c r="N73" s="123" t="str" cm="1">
        <f t="array" ref="N73">Common_InputFunctions.Utility_DisplayArrayInTable(Fertiliser_SourceData.Fertiliser_Products_Data1(),FertiliserProducts[[#Headers],[Product]], 0)</f>
        <v/>
      </c>
      <c r="O73" s="123" t="str" cm="1">
        <f t="array" ref="O73">Common_InputFunctions.Utility_DisplayArrayInTable(Fertiliser_SourceData.Fertiliser_Products_Data1(),FertiliserProducts[[#Headers],[Product]], 0)</f>
        <v/>
      </c>
      <c r="P73" s="123" t="str" cm="1">
        <f t="array" ref="P73">Common_InputFunctions.Utility_DisplayArrayInTable(Fertiliser_SourceData.Fertiliser_Products_Data1(),FertiliserProducts[[#Headers],[Product]], 0)</f>
        <v/>
      </c>
      <c r="Q73" s="123" t="str" cm="1">
        <f t="array" ref="Q73">Common_InputFunctions.Utility_DisplayArrayInTable(Fertiliser_SourceData.Fertiliser_Products_Data1(),FertiliserProducts[[#Headers],[Product]], 0)</f>
        <v/>
      </c>
      <c r="R73" s="123" t="str" cm="1">
        <f t="array" ref="R73">Common_InputFunctions.Utility_DisplayArrayInTable(Fertiliser_SourceData.Fertiliser_Products_Data1(),FertiliserProducts[[#Headers],[Product]], 0)</f>
        <v/>
      </c>
      <c r="S73" s="123" t="str" cm="1">
        <f t="array" ref="S73">Common_InputFunctions.Utility_DisplayArrayInTable(Fertiliser_SourceData.Fertiliser_Products_Data1(),FertiliserProducts[[#Headers],[Product]], 0)</f>
        <v/>
      </c>
      <c r="T73" s="123" t="str" cm="1">
        <f t="array" ref="T73">Common_InputFunctions.Utility_DisplayArrayInTable(Fertiliser_SourceData.Fertiliser_Products_Data1(),FertiliserProducts[[#Headers],[Product]], 0)</f>
        <v/>
      </c>
      <c r="U73" s="123" t="str" cm="1">
        <f t="array" ref="U73">Common_InputFunctions.Utility_DisplayArrayInTable(Fertiliser_SourceData.Fertiliser_Products_Data1(),FertiliserProducts[[#Headers],[Product]], 0)</f>
        <v/>
      </c>
      <c r="V73" s="123" t="str" cm="1">
        <f t="array" ref="V73">Common_InputFunctions.Utility_DisplayArrayInTable(Fertiliser_SourceData.Fertiliser_Products_Data1(),FertiliserProducts[[#Headers],[Product]], 0)</f>
        <v/>
      </c>
      <c r="W73" s="123" t="str" cm="1">
        <f t="array" ref="W73">Common_InputFunctions.Utility_DisplayArrayInTable(Fertiliser_SourceData.Fertiliser_Products_Data1(),FertiliserProducts[[#Headers],[Product]], 0)</f>
        <v>Pacific Fertilisers Crop King</v>
      </c>
    </row>
    <row r="74" spans="4:23" ht="20.100000000000001" customHeight="1" x14ac:dyDescent="0.25">
      <c r="D74" s="123" t="str" cm="1">
        <f t="array" ref="D74">Common_InputFunctions.Utility_DisplayArrayInTable(Fertiliser_SourceData.Fertiliser_Products_Data1(),FertiliserProducts[[#Headers],[Product]], 0)</f>
        <v>Crop Booster Plus</v>
      </c>
      <c r="E74" s="123" t="str" cm="1">
        <f t="array" ref="E74">Common_InputFunctions.Utility_DisplayArrayInTable(Fertiliser_SourceData.Fertiliser_Products_Data1(),FertiliserProducts[[#Headers],[Product]], 0)</f>
        <v/>
      </c>
      <c r="F74" s="123" t="str" cm="1">
        <f t="array" ref="F74">Common_InputFunctions.Utility_DisplayArrayInTable(Fertiliser_SourceData.Fertiliser_Products_Data1(),FertiliserProducts[[#Headers],[Product]], 0)</f>
        <v/>
      </c>
      <c r="G74" s="123" t="str" cm="1">
        <f t="array" ref="G74">Common_InputFunctions.Utility_DisplayArrayInTable(Fertiliser_SourceData.Fertiliser_Products_Data1(),FertiliserProducts[[#Headers],[Product]], 0)</f>
        <v/>
      </c>
      <c r="H74" s="123" t="str" cm="1">
        <f t="array" ref="H74">Common_InputFunctions.Utility_DisplayArrayInTable(Fertiliser_SourceData.Fertiliser_Products_Data1(),FertiliserProducts[[#Headers],[Product]], 0)</f>
        <v/>
      </c>
      <c r="I74" s="123" t="str" cm="1">
        <f t="array" ref="I74">Common_InputFunctions.Utility_DisplayArrayInTable(Fertiliser_SourceData.Fertiliser_Products_Data1(),FertiliserProducts[[#Headers],[Product]], 0)</f>
        <v/>
      </c>
      <c r="J74" s="123" t="str" cm="1">
        <f t="array" ref="J74">Common_InputFunctions.Utility_DisplayArrayInTable(Fertiliser_SourceData.Fertiliser_Products_Data1(),FertiliserProducts[[#Headers],[Product]], 0)</f>
        <v/>
      </c>
      <c r="K74" s="123" t="str" cm="1">
        <f t="array" ref="K74">Common_InputFunctions.Utility_DisplayArrayInTable(Fertiliser_SourceData.Fertiliser_Products_Data1(),FertiliserProducts[[#Headers],[Product]], 0)</f>
        <v/>
      </c>
      <c r="L74" s="123" t="str" cm="1">
        <f t="array" ref="L74">Common_InputFunctions.Utility_DisplayArrayInTable(Fertiliser_SourceData.Fertiliser_Products_Data1(),FertiliserProducts[[#Headers],[Product]], 0)</f>
        <v/>
      </c>
      <c r="M74" s="123" t="str" cm="1">
        <f t="array" ref="M74">Common_InputFunctions.Utility_DisplayArrayInTable(Fertiliser_SourceData.Fertiliser_Products_Data1(),FertiliserProducts[[#Headers],[Product]], 0)</f>
        <v/>
      </c>
      <c r="N74" s="123" t="str" cm="1">
        <f t="array" ref="N74">Common_InputFunctions.Utility_DisplayArrayInTable(Fertiliser_SourceData.Fertiliser_Products_Data1(),FertiliserProducts[[#Headers],[Product]], 0)</f>
        <v/>
      </c>
      <c r="O74" s="123" t="str" cm="1">
        <f t="array" ref="O74">Common_InputFunctions.Utility_DisplayArrayInTable(Fertiliser_SourceData.Fertiliser_Products_Data1(),FertiliserProducts[[#Headers],[Product]], 0)</f>
        <v/>
      </c>
      <c r="P74" s="123" t="str" cm="1">
        <f t="array" ref="P74">Common_InputFunctions.Utility_DisplayArrayInTable(Fertiliser_SourceData.Fertiliser_Products_Data1(),FertiliserProducts[[#Headers],[Product]], 0)</f>
        <v/>
      </c>
      <c r="Q74" s="123" t="str" cm="1">
        <f t="array" ref="Q74">Common_InputFunctions.Utility_DisplayArrayInTable(Fertiliser_SourceData.Fertiliser_Products_Data1(),FertiliserProducts[[#Headers],[Product]], 0)</f>
        <v/>
      </c>
      <c r="R74" s="123" t="str" cm="1">
        <f t="array" ref="R74">Common_InputFunctions.Utility_DisplayArrayInTable(Fertiliser_SourceData.Fertiliser_Products_Data1(),FertiliserProducts[[#Headers],[Product]], 0)</f>
        <v/>
      </c>
      <c r="S74" s="123" t="str" cm="1">
        <f t="array" ref="S74">Common_InputFunctions.Utility_DisplayArrayInTable(Fertiliser_SourceData.Fertiliser_Products_Data1(),FertiliserProducts[[#Headers],[Product]], 0)</f>
        <v/>
      </c>
      <c r="T74" s="123" t="str" cm="1">
        <f t="array" ref="T74">Common_InputFunctions.Utility_DisplayArrayInTable(Fertiliser_SourceData.Fertiliser_Products_Data1(),FertiliserProducts[[#Headers],[Product]], 0)</f>
        <v/>
      </c>
      <c r="U74" s="123" t="str" cm="1">
        <f t="array" ref="U74">Common_InputFunctions.Utility_DisplayArrayInTable(Fertiliser_SourceData.Fertiliser_Products_Data1(),FertiliserProducts[[#Headers],[Product]], 0)</f>
        <v/>
      </c>
      <c r="V74" s="123" t="str" cm="1">
        <f t="array" ref="V74">Common_InputFunctions.Utility_DisplayArrayInTable(Fertiliser_SourceData.Fertiliser_Products_Data1(),FertiliserProducts[[#Headers],[Product]], 0)</f>
        <v/>
      </c>
      <c r="W74" s="123" t="str" cm="1">
        <f t="array" ref="W74">Common_InputFunctions.Utility_DisplayArrayInTable(Fertiliser_SourceData.Fertiliser_Products_Data1(),FertiliserProducts[[#Headers],[Product]], 0)</f>
        <v>SL TEC Fertilisers Crop Booster Plus</v>
      </c>
    </row>
    <row r="75" spans="4:23" ht="20.100000000000001" customHeight="1" x14ac:dyDescent="0.25">
      <c r="D75" s="123" t="str" cm="1">
        <f t="array" ref="D75">Common_InputFunctions.Utility_DisplayArrayInTable(Fertiliser_SourceData.Fertiliser_Products_Data1(),FertiliserProducts[[#Headers],[Product]], 0)</f>
        <v>DAP</v>
      </c>
      <c r="E75" s="123" t="str" cm="1">
        <f t="array" ref="E75">Common_InputFunctions.Utility_DisplayArrayInTable(Fertiliser_SourceData.Fertiliser_Products_Data1(),FertiliserProducts[[#Headers],[Product]], 0)</f>
        <v/>
      </c>
      <c r="F75" s="123" t="str" cm="1">
        <f t="array" ref="F75">Common_InputFunctions.Utility_DisplayArrayInTable(Fertiliser_SourceData.Fertiliser_Products_Data1(),FertiliserProducts[[#Headers],[Product]], 0)</f>
        <v/>
      </c>
      <c r="G75" s="123" t="str" cm="1">
        <f t="array" ref="G75">Common_InputFunctions.Utility_DisplayArrayInTable(Fertiliser_SourceData.Fertiliser_Products_Data1(),FertiliserProducts[[#Headers],[Product]], 0)</f>
        <v/>
      </c>
      <c r="H75" s="123" t="str" cm="1">
        <f t="array" ref="H75">Common_InputFunctions.Utility_DisplayArrayInTable(Fertiliser_SourceData.Fertiliser_Products_Data1(),FertiliserProducts[[#Headers],[Product]], 0)</f>
        <v/>
      </c>
      <c r="I75" s="123" t="str" cm="1">
        <f t="array" ref="I75">Common_InputFunctions.Utility_DisplayArrayInTable(Fertiliser_SourceData.Fertiliser_Products_Data1(),FertiliserProducts[[#Headers],[Product]], 0)</f>
        <v/>
      </c>
      <c r="J75" s="123" t="str" cm="1">
        <f t="array" ref="J75">Common_InputFunctions.Utility_DisplayArrayInTable(Fertiliser_SourceData.Fertiliser_Products_Data1(),FertiliserProducts[[#Headers],[Product]], 0)</f>
        <v/>
      </c>
      <c r="K75" s="123" t="str" cm="1">
        <f t="array" ref="K75">Common_InputFunctions.Utility_DisplayArrayInTable(Fertiliser_SourceData.Fertiliser_Products_Data1(),FertiliserProducts[[#Headers],[Product]], 0)</f>
        <v/>
      </c>
      <c r="L75" s="123" t="str" cm="1">
        <f t="array" ref="L75">Common_InputFunctions.Utility_DisplayArrayInTable(Fertiliser_SourceData.Fertiliser_Products_Data1(),FertiliserProducts[[#Headers],[Product]], 0)</f>
        <v/>
      </c>
      <c r="M75" s="123" t="str" cm="1">
        <f t="array" ref="M75">Common_InputFunctions.Utility_DisplayArrayInTable(Fertiliser_SourceData.Fertiliser_Products_Data1(),FertiliserProducts[[#Headers],[Product]], 0)</f>
        <v/>
      </c>
      <c r="N75" s="123" t="str" cm="1">
        <f t="array" ref="N75">Common_InputFunctions.Utility_DisplayArrayInTable(Fertiliser_SourceData.Fertiliser_Products_Data1(),FertiliserProducts[[#Headers],[Product]], 0)</f>
        <v/>
      </c>
      <c r="O75" s="123" t="str" cm="1">
        <f t="array" ref="O75">Common_InputFunctions.Utility_DisplayArrayInTable(Fertiliser_SourceData.Fertiliser_Products_Data1(),FertiliserProducts[[#Headers],[Product]], 0)</f>
        <v/>
      </c>
      <c r="P75" s="123" t="str" cm="1">
        <f t="array" ref="P75">Common_InputFunctions.Utility_DisplayArrayInTable(Fertiliser_SourceData.Fertiliser_Products_Data1(),FertiliserProducts[[#Headers],[Product]], 0)</f>
        <v/>
      </c>
      <c r="Q75" s="123" t="str" cm="1">
        <f t="array" ref="Q75">Common_InputFunctions.Utility_DisplayArrayInTable(Fertiliser_SourceData.Fertiliser_Products_Data1(),FertiliserProducts[[#Headers],[Product]], 0)</f>
        <v/>
      </c>
      <c r="R75" s="123" t="str" cm="1">
        <f t="array" ref="R75">Common_InputFunctions.Utility_DisplayArrayInTable(Fertiliser_SourceData.Fertiliser_Products_Data1(),FertiliserProducts[[#Headers],[Product]], 0)</f>
        <v/>
      </c>
      <c r="S75" s="123" t="str" cm="1">
        <f t="array" ref="S75">Common_InputFunctions.Utility_DisplayArrayInTable(Fertiliser_SourceData.Fertiliser_Products_Data1(),FertiliserProducts[[#Headers],[Product]], 0)</f>
        <v/>
      </c>
      <c r="T75" s="123" t="str" cm="1">
        <f t="array" ref="T75">Common_InputFunctions.Utility_DisplayArrayInTable(Fertiliser_SourceData.Fertiliser_Products_Data1(),FertiliserProducts[[#Headers],[Product]], 0)</f>
        <v/>
      </c>
      <c r="U75" s="123" t="str" cm="1">
        <f t="array" ref="U75">Common_InputFunctions.Utility_DisplayArrayInTable(Fertiliser_SourceData.Fertiliser_Products_Data1(),FertiliserProducts[[#Headers],[Product]], 0)</f>
        <v/>
      </c>
      <c r="V75" s="123" t="str" cm="1">
        <f t="array" ref="V75">Common_InputFunctions.Utility_DisplayArrayInTable(Fertiliser_SourceData.Fertiliser_Products_Data1(),FertiliserProducts[[#Headers],[Product]], 0)</f>
        <v/>
      </c>
      <c r="W75" s="123" t="str" cm="1">
        <f t="array" ref="W75">Common_InputFunctions.Utility_DisplayArrayInTable(Fertiliser_SourceData.Fertiliser_Products_Data1(),FertiliserProducts[[#Headers],[Product]], 0)</f>
        <v>MountCompass Fertilisers Blends</v>
      </c>
    </row>
    <row r="76" spans="4:23" ht="20.100000000000001" customHeight="1" x14ac:dyDescent="0.25">
      <c r="D76" s="123" t="str" cm="1">
        <f t="array" ref="D76">Common_InputFunctions.Utility_DisplayArrayInTable(Fertiliser_SourceData.Fertiliser_Products_Data1(),FertiliserProducts[[#Headers],[Product]], 0)</f>
        <v>DAPSZC</v>
      </c>
      <c r="E76" s="123" t="str" cm="1">
        <f t="array" ref="E76">Common_InputFunctions.Utility_DisplayArrayInTable(Fertiliser_SourceData.Fertiliser_Products_Data1(),FertiliserProducts[[#Headers],[Product]], 0)</f>
        <v/>
      </c>
      <c r="F76" s="123" t="str" cm="1">
        <f t="array" ref="F76">Common_InputFunctions.Utility_DisplayArrayInTable(Fertiliser_SourceData.Fertiliser_Products_Data1(),FertiliserProducts[[#Headers],[Product]], 0)</f>
        <v/>
      </c>
      <c r="G76" s="123" t="str" cm="1">
        <f t="array" ref="G76">Common_InputFunctions.Utility_DisplayArrayInTable(Fertiliser_SourceData.Fertiliser_Products_Data1(),FertiliserProducts[[#Headers],[Product]], 0)</f>
        <v/>
      </c>
      <c r="H76" s="123" t="str" cm="1">
        <f t="array" ref="H76">Common_InputFunctions.Utility_DisplayArrayInTable(Fertiliser_SourceData.Fertiliser_Products_Data1(),FertiliserProducts[[#Headers],[Product]], 0)</f>
        <v/>
      </c>
      <c r="I76" s="123" t="str" cm="1">
        <f t="array" ref="I76">Common_InputFunctions.Utility_DisplayArrayInTable(Fertiliser_SourceData.Fertiliser_Products_Data1(),FertiliserProducts[[#Headers],[Product]], 0)</f>
        <v/>
      </c>
      <c r="J76" s="123" t="str" cm="1">
        <f t="array" ref="J76">Common_InputFunctions.Utility_DisplayArrayInTable(Fertiliser_SourceData.Fertiliser_Products_Data1(),FertiliserProducts[[#Headers],[Product]], 0)</f>
        <v/>
      </c>
      <c r="K76" s="123" t="str" cm="1">
        <f t="array" ref="K76">Common_InputFunctions.Utility_DisplayArrayInTable(Fertiliser_SourceData.Fertiliser_Products_Data1(),FertiliserProducts[[#Headers],[Product]], 0)</f>
        <v/>
      </c>
      <c r="L76" s="123" t="str" cm="1">
        <f t="array" ref="L76">Common_InputFunctions.Utility_DisplayArrayInTable(Fertiliser_SourceData.Fertiliser_Products_Data1(),FertiliserProducts[[#Headers],[Product]], 0)</f>
        <v/>
      </c>
      <c r="M76" s="123" t="str" cm="1">
        <f t="array" ref="M76">Common_InputFunctions.Utility_DisplayArrayInTable(Fertiliser_SourceData.Fertiliser_Products_Data1(),FertiliserProducts[[#Headers],[Product]], 0)</f>
        <v/>
      </c>
      <c r="N76" s="123" t="str" cm="1">
        <f t="array" ref="N76">Common_InputFunctions.Utility_DisplayArrayInTable(Fertiliser_SourceData.Fertiliser_Products_Data1(),FertiliserProducts[[#Headers],[Product]], 0)</f>
        <v/>
      </c>
      <c r="O76" s="123" t="str" cm="1">
        <f t="array" ref="O76">Common_InputFunctions.Utility_DisplayArrayInTable(Fertiliser_SourceData.Fertiliser_Products_Data1(),FertiliserProducts[[#Headers],[Product]], 0)</f>
        <v/>
      </c>
      <c r="P76" s="123" t="str" cm="1">
        <f t="array" ref="P76">Common_InputFunctions.Utility_DisplayArrayInTable(Fertiliser_SourceData.Fertiliser_Products_Data1(),FertiliserProducts[[#Headers],[Product]], 0)</f>
        <v/>
      </c>
      <c r="Q76" s="123" t="str" cm="1">
        <f t="array" ref="Q76">Common_InputFunctions.Utility_DisplayArrayInTable(Fertiliser_SourceData.Fertiliser_Products_Data1(),FertiliserProducts[[#Headers],[Product]], 0)</f>
        <v/>
      </c>
      <c r="R76" s="123" t="str" cm="1">
        <f t="array" ref="R76">Common_InputFunctions.Utility_DisplayArrayInTable(Fertiliser_SourceData.Fertiliser_Products_Data1(),FertiliserProducts[[#Headers],[Product]], 0)</f>
        <v/>
      </c>
      <c r="S76" s="123" t="str" cm="1">
        <f t="array" ref="S76">Common_InputFunctions.Utility_DisplayArrayInTable(Fertiliser_SourceData.Fertiliser_Products_Data1(),FertiliserProducts[[#Headers],[Product]], 0)</f>
        <v/>
      </c>
      <c r="T76" s="123" t="str" cm="1">
        <f t="array" ref="T76">Common_InputFunctions.Utility_DisplayArrayInTable(Fertiliser_SourceData.Fertiliser_Products_Data1(),FertiliserProducts[[#Headers],[Product]], 0)</f>
        <v/>
      </c>
      <c r="U76" s="123" t="str" cm="1">
        <f t="array" ref="U76">Common_InputFunctions.Utility_DisplayArrayInTable(Fertiliser_SourceData.Fertiliser_Products_Data1(),FertiliserProducts[[#Headers],[Product]], 0)</f>
        <v/>
      </c>
      <c r="V76" s="123" t="str" cm="1">
        <f t="array" ref="V76">Common_InputFunctions.Utility_DisplayArrayInTable(Fertiliser_SourceData.Fertiliser_Products_Data1(),FertiliserProducts[[#Headers],[Product]], 0)</f>
        <v/>
      </c>
      <c r="W76" s="123" t="str" cm="1">
        <f t="array" ref="W76">Common_InputFunctions.Utility_DisplayArrayInTable(Fertiliser_SourceData.Fertiliser_Products_Data1(),FertiliserProducts[[#Headers],[Product]], 0)</f>
        <v>Summit Fertilizers</v>
      </c>
    </row>
    <row r="77" spans="4:23" ht="20.100000000000001" customHeight="1" x14ac:dyDescent="0.25">
      <c r="D77" s="123" t="str" cm="1">
        <f t="array" ref="D77">Common_InputFunctions.Utility_DisplayArrayInTable(Fertiliser_SourceData.Fertiliser_Products_Data1(),FertiliserProducts[[#Headers],[Product]], 0)</f>
        <v>Easy N Bulk</v>
      </c>
      <c r="E77" s="123" t="str" cm="1">
        <f t="array" ref="E77">Common_InputFunctions.Utility_DisplayArrayInTable(Fertiliser_SourceData.Fertiliser_Products_Data1(),FertiliserProducts[[#Headers],[Product]], 0)</f>
        <v/>
      </c>
      <c r="F77" s="123" t="str" cm="1">
        <f t="array" ref="F77">Common_InputFunctions.Utility_DisplayArrayInTable(Fertiliser_SourceData.Fertiliser_Products_Data1(),FertiliserProducts[[#Headers],[Product]], 0)</f>
        <v/>
      </c>
      <c r="G77" s="123" t="str" cm="1">
        <f t="array" ref="G77">Common_InputFunctions.Utility_DisplayArrayInTable(Fertiliser_SourceData.Fertiliser_Products_Data1(),FertiliserProducts[[#Headers],[Product]], 0)</f>
        <v/>
      </c>
      <c r="H77" s="123" t="str" cm="1">
        <f t="array" ref="H77">Common_InputFunctions.Utility_DisplayArrayInTable(Fertiliser_SourceData.Fertiliser_Products_Data1(),FertiliserProducts[[#Headers],[Product]], 0)</f>
        <v/>
      </c>
      <c r="I77" s="123" t="str" cm="1">
        <f t="array" ref="I77">Common_InputFunctions.Utility_DisplayArrayInTable(Fertiliser_SourceData.Fertiliser_Products_Data1(),FertiliserProducts[[#Headers],[Product]], 0)</f>
        <v/>
      </c>
      <c r="J77" s="123" t="str" cm="1">
        <f t="array" ref="J77">Common_InputFunctions.Utility_DisplayArrayInTable(Fertiliser_SourceData.Fertiliser_Products_Data1(),FertiliserProducts[[#Headers],[Product]], 0)</f>
        <v/>
      </c>
      <c r="K77" s="123" t="str" cm="1">
        <f t="array" ref="K77">Common_InputFunctions.Utility_DisplayArrayInTable(Fertiliser_SourceData.Fertiliser_Products_Data1(),FertiliserProducts[[#Headers],[Product]], 0)</f>
        <v/>
      </c>
      <c r="L77" s="123" t="str" cm="1">
        <f t="array" ref="L77">Common_InputFunctions.Utility_DisplayArrayInTable(Fertiliser_SourceData.Fertiliser_Products_Data1(),FertiliserProducts[[#Headers],[Product]], 0)</f>
        <v/>
      </c>
      <c r="M77" s="123" t="str" cm="1">
        <f t="array" ref="M77">Common_InputFunctions.Utility_DisplayArrayInTable(Fertiliser_SourceData.Fertiliser_Products_Data1(),FertiliserProducts[[#Headers],[Product]], 0)</f>
        <v/>
      </c>
      <c r="N77" s="123" t="str" cm="1">
        <f t="array" ref="N77">Common_InputFunctions.Utility_DisplayArrayInTable(Fertiliser_SourceData.Fertiliser_Products_Data1(),FertiliserProducts[[#Headers],[Product]], 0)</f>
        <v/>
      </c>
      <c r="O77" s="123" t="str" cm="1">
        <f t="array" ref="O77">Common_InputFunctions.Utility_DisplayArrayInTable(Fertiliser_SourceData.Fertiliser_Products_Data1(),FertiliserProducts[[#Headers],[Product]], 0)</f>
        <v/>
      </c>
      <c r="P77" s="123" t="str" cm="1">
        <f t="array" ref="P77">Common_InputFunctions.Utility_DisplayArrayInTable(Fertiliser_SourceData.Fertiliser_Products_Data1(),FertiliserProducts[[#Headers],[Product]], 0)</f>
        <v/>
      </c>
      <c r="Q77" s="123" t="str" cm="1">
        <f t="array" ref="Q77">Common_InputFunctions.Utility_DisplayArrayInTable(Fertiliser_SourceData.Fertiliser_Products_Data1(),FertiliserProducts[[#Headers],[Product]], 0)</f>
        <v/>
      </c>
      <c r="R77" s="123" t="str" cm="1">
        <f t="array" ref="R77">Common_InputFunctions.Utility_DisplayArrayInTable(Fertiliser_SourceData.Fertiliser_Products_Data1(),FertiliserProducts[[#Headers],[Product]], 0)</f>
        <v/>
      </c>
      <c r="S77" s="123" t="str" cm="1">
        <f t="array" ref="S77">Common_InputFunctions.Utility_DisplayArrayInTable(Fertiliser_SourceData.Fertiliser_Products_Data1(),FertiliserProducts[[#Headers],[Product]], 0)</f>
        <v/>
      </c>
      <c r="T77" s="123" t="str" cm="1">
        <f t="array" ref="T77">Common_InputFunctions.Utility_DisplayArrayInTable(Fertiliser_SourceData.Fertiliser_Products_Data1(),FertiliserProducts[[#Headers],[Product]], 0)</f>
        <v/>
      </c>
      <c r="U77" s="123" t="str" cm="1">
        <f t="array" ref="U77">Common_InputFunctions.Utility_DisplayArrayInTable(Fertiliser_SourceData.Fertiliser_Products_Data1(),FertiliserProducts[[#Headers],[Product]], 0)</f>
        <v/>
      </c>
      <c r="V77" s="123" t="str" cm="1">
        <f t="array" ref="V77">Common_InputFunctions.Utility_DisplayArrayInTable(Fertiliser_SourceData.Fertiliser_Products_Data1(),FertiliserProducts[[#Headers],[Product]], 0)</f>
        <v/>
      </c>
      <c r="W77" s="123" t="str" cm="1">
        <f t="array" ref="W77">Common_InputFunctions.Utility_DisplayArrayInTable(Fertiliser_SourceData.Fertiliser_Products_Data1(),FertiliserProducts[[#Headers],[Product]], 0)</f>
        <v>Incitec Pivot Fertilisers</v>
      </c>
    </row>
    <row r="78" spans="4:23" ht="20.100000000000001" customHeight="1" x14ac:dyDescent="0.25">
      <c r="D78" s="123" t="str" cm="1">
        <f t="array" ref="D78">Common_InputFunctions.Utility_DisplayArrayInTable(Fertiliser_SourceData.Fertiliser_Products_Data1(),FertiliserProducts[[#Headers],[Product]], 0)</f>
        <v>Entec Urea</v>
      </c>
      <c r="E78" s="123" t="str" cm="1">
        <f t="array" ref="E78">Common_InputFunctions.Utility_DisplayArrayInTable(Fertiliser_SourceData.Fertiliser_Products_Data1(),FertiliserProducts[[#Headers],[Product]], 0)</f>
        <v/>
      </c>
      <c r="F78" s="123" t="str" cm="1">
        <f t="array" ref="F78">Common_InputFunctions.Utility_DisplayArrayInTable(Fertiliser_SourceData.Fertiliser_Products_Data1(),FertiliserProducts[[#Headers],[Product]], 0)</f>
        <v/>
      </c>
      <c r="G78" s="123" t="str" cm="1">
        <f t="array" ref="G78">Common_InputFunctions.Utility_DisplayArrayInTable(Fertiliser_SourceData.Fertiliser_Products_Data1(),FertiliserProducts[[#Headers],[Product]], 0)</f>
        <v/>
      </c>
      <c r="H78" s="123" t="str" cm="1">
        <f t="array" ref="H78">Common_InputFunctions.Utility_DisplayArrayInTable(Fertiliser_SourceData.Fertiliser_Products_Data1(),FertiliserProducts[[#Headers],[Product]], 0)</f>
        <v/>
      </c>
      <c r="I78" s="123" t="str" cm="1">
        <f t="array" ref="I78">Common_InputFunctions.Utility_DisplayArrayInTable(Fertiliser_SourceData.Fertiliser_Products_Data1(),FertiliserProducts[[#Headers],[Product]], 0)</f>
        <v/>
      </c>
      <c r="J78" s="123" t="str" cm="1">
        <f t="array" ref="J78">Common_InputFunctions.Utility_DisplayArrayInTable(Fertiliser_SourceData.Fertiliser_Products_Data1(),FertiliserProducts[[#Headers],[Product]], 0)</f>
        <v/>
      </c>
      <c r="K78" s="123" t="str" cm="1">
        <f t="array" ref="K78">Common_InputFunctions.Utility_DisplayArrayInTable(Fertiliser_SourceData.Fertiliser_Products_Data1(),FertiliserProducts[[#Headers],[Product]], 0)</f>
        <v/>
      </c>
      <c r="L78" s="123" t="str" cm="1">
        <f t="array" ref="L78">Common_InputFunctions.Utility_DisplayArrayInTable(Fertiliser_SourceData.Fertiliser_Products_Data1(),FertiliserProducts[[#Headers],[Product]], 0)</f>
        <v/>
      </c>
      <c r="M78" s="123" t="str" cm="1">
        <f t="array" ref="M78">Common_InputFunctions.Utility_DisplayArrayInTable(Fertiliser_SourceData.Fertiliser_Products_Data1(),FertiliserProducts[[#Headers],[Product]], 0)</f>
        <v/>
      </c>
      <c r="N78" s="123" t="str" cm="1">
        <f t="array" ref="N78">Common_InputFunctions.Utility_DisplayArrayInTable(Fertiliser_SourceData.Fertiliser_Products_Data1(),FertiliserProducts[[#Headers],[Product]], 0)</f>
        <v/>
      </c>
      <c r="O78" s="123" t="str" cm="1">
        <f t="array" ref="O78">Common_InputFunctions.Utility_DisplayArrayInTable(Fertiliser_SourceData.Fertiliser_Products_Data1(),FertiliserProducts[[#Headers],[Product]], 0)</f>
        <v/>
      </c>
      <c r="P78" s="123" t="str" cm="1">
        <f t="array" ref="P78">Common_InputFunctions.Utility_DisplayArrayInTable(Fertiliser_SourceData.Fertiliser_Products_Data1(),FertiliserProducts[[#Headers],[Product]], 0)</f>
        <v/>
      </c>
      <c r="Q78" s="123" t="str" cm="1">
        <f t="array" ref="Q78">Common_InputFunctions.Utility_DisplayArrayInTable(Fertiliser_SourceData.Fertiliser_Products_Data1(),FertiliserProducts[[#Headers],[Product]], 0)</f>
        <v/>
      </c>
      <c r="R78" s="123" t="str" cm="1">
        <f t="array" ref="R78">Common_InputFunctions.Utility_DisplayArrayInTable(Fertiliser_SourceData.Fertiliser_Products_Data1(),FertiliserProducts[[#Headers],[Product]], 0)</f>
        <v/>
      </c>
      <c r="S78" s="123" t="str" cm="1">
        <f t="array" ref="S78">Common_InputFunctions.Utility_DisplayArrayInTable(Fertiliser_SourceData.Fertiliser_Products_Data1(),FertiliserProducts[[#Headers],[Product]], 0)</f>
        <v/>
      </c>
      <c r="T78" s="123" t="str" cm="1">
        <f t="array" ref="T78">Common_InputFunctions.Utility_DisplayArrayInTable(Fertiliser_SourceData.Fertiliser_Products_Data1(),FertiliserProducts[[#Headers],[Product]], 0)</f>
        <v/>
      </c>
      <c r="U78" s="123" t="str" cm="1">
        <f t="array" ref="U78">Common_InputFunctions.Utility_DisplayArrayInTable(Fertiliser_SourceData.Fertiliser_Products_Data1(),FertiliserProducts[[#Headers],[Product]], 0)</f>
        <v/>
      </c>
      <c r="V78" s="123" t="str" cm="1">
        <f t="array" ref="V78">Common_InputFunctions.Utility_DisplayArrayInTable(Fertiliser_SourceData.Fertiliser_Products_Data1(),FertiliserProducts[[#Headers],[Product]], 0)</f>
        <v/>
      </c>
      <c r="W78" s="123" t="str" cm="1">
        <f t="array" ref="W78">Common_InputFunctions.Utility_DisplayArrayInTable(Fertiliser_SourceData.Fertiliser_Products_Data1(),FertiliserProducts[[#Headers],[Product]], 0)</f>
        <v>Nuturf Urea Granular</v>
      </c>
    </row>
    <row r="79" spans="4:23" ht="20.100000000000001" customHeight="1" x14ac:dyDescent="0.25">
      <c r="D79" s="123" t="str" cm="1">
        <f t="array" ref="D79">Common_InputFunctions.Utility_DisplayArrayInTable(Fertiliser_SourceData.Fertiliser_Products_Data1(),FertiliserProducts[[#Headers],[Product]], 0)</f>
        <v>Ezyflow Nano Calbud</v>
      </c>
      <c r="E79" s="123" t="str" cm="1">
        <f t="array" ref="E79">Common_InputFunctions.Utility_DisplayArrayInTable(Fertiliser_SourceData.Fertiliser_Products_Data1(),FertiliserProducts[[#Headers],[Product]], 0)</f>
        <v/>
      </c>
      <c r="F79" s="123" t="str" cm="1">
        <f t="array" ref="F79">Common_InputFunctions.Utility_DisplayArrayInTable(Fertiliser_SourceData.Fertiliser_Products_Data1(),FertiliserProducts[[#Headers],[Product]], 0)</f>
        <v/>
      </c>
      <c r="G79" s="123" t="str" cm="1">
        <f t="array" ref="G79">Common_InputFunctions.Utility_DisplayArrayInTable(Fertiliser_SourceData.Fertiliser_Products_Data1(),FertiliserProducts[[#Headers],[Product]], 0)</f>
        <v/>
      </c>
      <c r="H79" s="123" t="str" cm="1">
        <f t="array" ref="H79">Common_InputFunctions.Utility_DisplayArrayInTable(Fertiliser_SourceData.Fertiliser_Products_Data1(),FertiliserProducts[[#Headers],[Product]], 0)</f>
        <v/>
      </c>
      <c r="I79" s="123" t="str" cm="1">
        <f t="array" ref="I79">Common_InputFunctions.Utility_DisplayArrayInTable(Fertiliser_SourceData.Fertiliser_Products_Data1(),FertiliserProducts[[#Headers],[Product]], 0)</f>
        <v/>
      </c>
      <c r="J79" s="123" t="str" cm="1">
        <f t="array" ref="J79">Common_InputFunctions.Utility_DisplayArrayInTable(Fertiliser_SourceData.Fertiliser_Products_Data1(),FertiliserProducts[[#Headers],[Product]], 0)</f>
        <v/>
      </c>
      <c r="K79" s="123" t="str" cm="1">
        <f t="array" ref="K79">Common_InputFunctions.Utility_DisplayArrayInTable(Fertiliser_SourceData.Fertiliser_Products_Data1(),FertiliserProducts[[#Headers],[Product]], 0)</f>
        <v/>
      </c>
      <c r="L79" s="123" t="str" cm="1">
        <f t="array" ref="L79">Common_InputFunctions.Utility_DisplayArrayInTable(Fertiliser_SourceData.Fertiliser_Products_Data1(),FertiliserProducts[[#Headers],[Product]], 0)</f>
        <v/>
      </c>
      <c r="M79" s="123" t="str" cm="1">
        <f t="array" ref="M79">Common_InputFunctions.Utility_DisplayArrayInTable(Fertiliser_SourceData.Fertiliser_Products_Data1(),FertiliserProducts[[#Headers],[Product]], 0)</f>
        <v/>
      </c>
      <c r="N79" s="123" t="str" cm="1">
        <f t="array" ref="N79">Common_InputFunctions.Utility_DisplayArrayInTable(Fertiliser_SourceData.Fertiliser_Products_Data1(),FertiliserProducts[[#Headers],[Product]], 0)</f>
        <v/>
      </c>
      <c r="O79" s="123" t="str" cm="1">
        <f t="array" ref="O79">Common_InputFunctions.Utility_DisplayArrayInTable(Fertiliser_SourceData.Fertiliser_Products_Data1(),FertiliserProducts[[#Headers],[Product]], 0)</f>
        <v/>
      </c>
      <c r="P79" s="123" t="str" cm="1">
        <f t="array" ref="P79">Common_InputFunctions.Utility_DisplayArrayInTable(Fertiliser_SourceData.Fertiliser_Products_Data1(),FertiliserProducts[[#Headers],[Product]], 0)</f>
        <v/>
      </c>
      <c r="Q79" s="123" t="str" cm="1">
        <f t="array" ref="Q79">Common_InputFunctions.Utility_DisplayArrayInTable(Fertiliser_SourceData.Fertiliser_Products_Data1(),FertiliserProducts[[#Headers],[Product]], 0)</f>
        <v/>
      </c>
      <c r="R79" s="123" t="str" cm="1">
        <f t="array" ref="R79">Common_InputFunctions.Utility_DisplayArrayInTable(Fertiliser_SourceData.Fertiliser_Products_Data1(),FertiliserProducts[[#Headers],[Product]], 0)</f>
        <v/>
      </c>
      <c r="S79" s="123" t="str" cm="1">
        <f t="array" ref="S79">Common_InputFunctions.Utility_DisplayArrayInTable(Fertiliser_SourceData.Fertiliser_Products_Data1(),FertiliserProducts[[#Headers],[Product]], 0)</f>
        <v/>
      </c>
      <c r="T79" s="123" t="str" cm="1">
        <f t="array" ref="T79">Common_InputFunctions.Utility_DisplayArrayInTable(Fertiliser_SourceData.Fertiliser_Products_Data1(),FertiliserProducts[[#Headers],[Product]], 0)</f>
        <v/>
      </c>
      <c r="U79" s="123" t="str" cm="1">
        <f t="array" ref="U79">Common_InputFunctions.Utility_DisplayArrayInTable(Fertiliser_SourceData.Fertiliser_Products_Data1(),FertiliserProducts[[#Headers],[Product]], 0)</f>
        <v/>
      </c>
      <c r="V79" s="123" t="str" cm="1">
        <f t="array" ref="V79">Common_InputFunctions.Utility_DisplayArrayInTable(Fertiliser_SourceData.Fertiliser_Products_Data1(),FertiliserProducts[[#Headers],[Product]], 0)</f>
        <v/>
      </c>
      <c r="W79" s="123" t="str" cm="1">
        <f t="array" ref="W79">Common_InputFunctions.Utility_DisplayArrayInTable(Fertiliser_SourceData.Fertiliser_Products_Data1(),FertiliserProducts[[#Headers],[Product]], 0)</f>
        <v>EzyFlow Nano Calbud | Loveland (lovelandagriproducts.com.au)</v>
      </c>
    </row>
    <row r="80" spans="4:23" ht="20.100000000000001" customHeight="1" x14ac:dyDescent="0.25">
      <c r="D80" s="123" t="str" cm="1">
        <f t="array" ref="D80">Common_InputFunctions.Utility_DisplayArrayInTable(Fertiliser_SourceData.Fertiliser_Products_Data1(),FertiliserProducts[[#Headers],[Product]], 0)</f>
        <v>Flexi-N NI only</v>
      </c>
      <c r="E80" s="123" t="str" cm="1">
        <f t="array" ref="E80">Common_InputFunctions.Utility_DisplayArrayInTable(Fertiliser_SourceData.Fertiliser_Products_Data1(),FertiliserProducts[[#Headers],[Product]], 0)</f>
        <v/>
      </c>
      <c r="F80" s="123" t="str" cm="1">
        <f t="array" ref="F80">Common_InputFunctions.Utility_DisplayArrayInTable(Fertiliser_SourceData.Fertiliser_Products_Data1(),FertiliserProducts[[#Headers],[Product]], 0)</f>
        <v/>
      </c>
      <c r="G80" s="123" t="str" cm="1">
        <f t="array" ref="G80">Common_InputFunctions.Utility_DisplayArrayInTable(Fertiliser_SourceData.Fertiliser_Products_Data1(),FertiliserProducts[[#Headers],[Product]], 0)</f>
        <v/>
      </c>
      <c r="H80" s="123" t="str" cm="1">
        <f t="array" ref="H80">Common_InputFunctions.Utility_DisplayArrayInTable(Fertiliser_SourceData.Fertiliser_Products_Data1(),FertiliserProducts[[#Headers],[Product]], 0)</f>
        <v/>
      </c>
      <c r="I80" s="123" t="str" cm="1">
        <f t="array" ref="I80">Common_InputFunctions.Utility_DisplayArrayInTable(Fertiliser_SourceData.Fertiliser_Products_Data1(),FertiliserProducts[[#Headers],[Product]], 0)</f>
        <v/>
      </c>
      <c r="J80" s="123" t="str" cm="1">
        <f t="array" ref="J80">Common_InputFunctions.Utility_DisplayArrayInTable(Fertiliser_SourceData.Fertiliser_Products_Data1(),FertiliserProducts[[#Headers],[Product]], 0)</f>
        <v/>
      </c>
      <c r="K80" s="123" t="str" cm="1">
        <f t="array" ref="K80">Common_InputFunctions.Utility_DisplayArrayInTable(Fertiliser_SourceData.Fertiliser_Products_Data1(),FertiliserProducts[[#Headers],[Product]], 0)</f>
        <v/>
      </c>
      <c r="L80" s="123" t="str" cm="1">
        <f t="array" ref="L80">Common_InputFunctions.Utility_DisplayArrayInTable(Fertiliser_SourceData.Fertiliser_Products_Data1(),FertiliserProducts[[#Headers],[Product]], 0)</f>
        <v/>
      </c>
      <c r="M80" s="123" t="str" cm="1">
        <f t="array" ref="M80">Common_InputFunctions.Utility_DisplayArrayInTable(Fertiliser_SourceData.Fertiliser_Products_Data1(),FertiliserProducts[[#Headers],[Product]], 0)</f>
        <v/>
      </c>
      <c r="N80" s="123" t="str" cm="1">
        <f t="array" ref="N80">Common_InputFunctions.Utility_DisplayArrayInTable(Fertiliser_SourceData.Fertiliser_Products_Data1(),FertiliserProducts[[#Headers],[Product]], 0)</f>
        <v/>
      </c>
      <c r="O80" s="123" t="str" cm="1">
        <f t="array" ref="O80">Common_InputFunctions.Utility_DisplayArrayInTable(Fertiliser_SourceData.Fertiliser_Products_Data1(),FertiliserProducts[[#Headers],[Product]], 0)</f>
        <v/>
      </c>
      <c r="P80" s="123" t="str" cm="1">
        <f t="array" ref="P80">Common_InputFunctions.Utility_DisplayArrayInTable(Fertiliser_SourceData.Fertiliser_Products_Data1(),FertiliserProducts[[#Headers],[Product]], 0)</f>
        <v/>
      </c>
      <c r="Q80" s="123" t="str" cm="1">
        <f t="array" ref="Q80">Common_InputFunctions.Utility_DisplayArrayInTable(Fertiliser_SourceData.Fertiliser_Products_Data1(),FertiliserProducts[[#Headers],[Product]], 0)</f>
        <v/>
      </c>
      <c r="R80" s="123" t="str" cm="1">
        <f t="array" ref="R80">Common_InputFunctions.Utility_DisplayArrayInTable(Fertiliser_SourceData.Fertiliser_Products_Data1(),FertiliserProducts[[#Headers],[Product]], 0)</f>
        <v/>
      </c>
      <c r="S80" s="123" t="str" cm="1">
        <f t="array" ref="S80">Common_InputFunctions.Utility_DisplayArrayInTable(Fertiliser_SourceData.Fertiliser_Products_Data1(),FertiliserProducts[[#Headers],[Product]], 0)</f>
        <v/>
      </c>
      <c r="T80" s="123" t="str" cm="1">
        <f t="array" ref="T80">Common_InputFunctions.Utility_DisplayArrayInTable(Fertiliser_SourceData.Fertiliser_Products_Data1(),FertiliserProducts[[#Headers],[Product]], 0)</f>
        <v/>
      </c>
      <c r="U80" s="123" t="str" cm="1">
        <f t="array" ref="U80">Common_InputFunctions.Utility_DisplayArrayInTable(Fertiliser_SourceData.Fertiliser_Products_Data1(),FertiliserProducts[[#Headers],[Product]], 0)</f>
        <v/>
      </c>
      <c r="V80" s="123" t="str" cm="1">
        <f t="array" ref="V80">Common_InputFunctions.Utility_DisplayArrayInTable(Fertiliser_SourceData.Fertiliser_Products_Data1(),FertiliserProducts[[#Headers],[Product]], 0)</f>
        <v/>
      </c>
      <c r="W80" s="123" t="str" cm="1">
        <f t="array" ref="W80">Common_InputFunctions.Utility_DisplayArrayInTable(Fertiliser_SourceData.Fertiliser_Products_Data1(),FertiliserProducts[[#Headers],[Product]], 0)</f>
        <v>Ravensdown</v>
      </c>
    </row>
    <row r="81" spans="4:23" ht="20.100000000000001" customHeight="1" x14ac:dyDescent="0.25">
      <c r="D81" s="123" t="str" cm="1">
        <f t="array" ref="D81">Common_InputFunctions.Utility_DisplayArrayInTable(Fertiliser_SourceData.Fertiliser_Products_Data1(),FertiliserProducts[[#Headers],[Product]], 0)</f>
        <v>Glytrel ZnP 0-7-0</v>
      </c>
      <c r="E81" s="123" t="str" cm="1">
        <f t="array" ref="E81">Common_InputFunctions.Utility_DisplayArrayInTable(Fertiliser_SourceData.Fertiliser_Products_Data1(),FertiliserProducts[[#Headers],[Product]], 0)</f>
        <v/>
      </c>
      <c r="F81" s="123" t="str" cm="1">
        <f t="array" ref="F81">Common_InputFunctions.Utility_DisplayArrayInTable(Fertiliser_SourceData.Fertiliser_Products_Data1(),FertiliserProducts[[#Headers],[Product]], 0)</f>
        <v/>
      </c>
      <c r="G81" s="123" t="str" cm="1">
        <f t="array" ref="G81">Common_InputFunctions.Utility_DisplayArrayInTable(Fertiliser_SourceData.Fertiliser_Products_Data1(),FertiliserProducts[[#Headers],[Product]], 0)</f>
        <v/>
      </c>
      <c r="H81" s="123" t="str" cm="1">
        <f t="array" ref="H81">Common_InputFunctions.Utility_DisplayArrayInTable(Fertiliser_SourceData.Fertiliser_Products_Data1(),FertiliserProducts[[#Headers],[Product]], 0)</f>
        <v/>
      </c>
      <c r="I81" s="123" t="str" cm="1">
        <f t="array" ref="I81">Common_InputFunctions.Utility_DisplayArrayInTable(Fertiliser_SourceData.Fertiliser_Products_Data1(),FertiliserProducts[[#Headers],[Product]], 0)</f>
        <v/>
      </c>
      <c r="J81" s="123" t="str" cm="1">
        <f t="array" ref="J81">Common_InputFunctions.Utility_DisplayArrayInTable(Fertiliser_SourceData.Fertiliser_Products_Data1(),FertiliserProducts[[#Headers],[Product]], 0)</f>
        <v/>
      </c>
      <c r="K81" s="123" t="str" cm="1">
        <f t="array" ref="K81">Common_InputFunctions.Utility_DisplayArrayInTable(Fertiliser_SourceData.Fertiliser_Products_Data1(),FertiliserProducts[[#Headers],[Product]], 0)</f>
        <v/>
      </c>
      <c r="L81" s="123" t="str" cm="1">
        <f t="array" ref="L81">Common_InputFunctions.Utility_DisplayArrayInTable(Fertiliser_SourceData.Fertiliser_Products_Data1(),FertiliserProducts[[#Headers],[Product]], 0)</f>
        <v/>
      </c>
      <c r="M81" s="123" t="str" cm="1">
        <f t="array" ref="M81">Common_InputFunctions.Utility_DisplayArrayInTable(Fertiliser_SourceData.Fertiliser_Products_Data1(),FertiliserProducts[[#Headers],[Product]], 0)</f>
        <v/>
      </c>
      <c r="N81" s="123" t="str" cm="1">
        <f t="array" ref="N81">Common_InputFunctions.Utility_DisplayArrayInTable(Fertiliser_SourceData.Fertiliser_Products_Data1(),FertiliserProducts[[#Headers],[Product]], 0)</f>
        <v/>
      </c>
      <c r="O81" s="123" t="str" cm="1">
        <f t="array" ref="O81">Common_InputFunctions.Utility_DisplayArrayInTable(Fertiliser_SourceData.Fertiliser_Products_Data1(),FertiliserProducts[[#Headers],[Product]], 0)</f>
        <v/>
      </c>
      <c r="P81" s="123" t="str" cm="1">
        <f t="array" ref="P81">Common_InputFunctions.Utility_DisplayArrayInTable(Fertiliser_SourceData.Fertiliser_Products_Data1(),FertiliserProducts[[#Headers],[Product]], 0)</f>
        <v/>
      </c>
      <c r="Q81" s="123" t="str" cm="1">
        <f t="array" ref="Q81">Common_InputFunctions.Utility_DisplayArrayInTable(Fertiliser_SourceData.Fertiliser_Products_Data1(),FertiliserProducts[[#Headers],[Product]], 0)</f>
        <v/>
      </c>
      <c r="R81" s="123" t="str" cm="1">
        <f t="array" ref="R81">Common_InputFunctions.Utility_DisplayArrayInTable(Fertiliser_SourceData.Fertiliser_Products_Data1(),FertiliserProducts[[#Headers],[Product]], 0)</f>
        <v/>
      </c>
      <c r="S81" s="123" t="str" cm="1">
        <f t="array" ref="S81">Common_InputFunctions.Utility_DisplayArrayInTable(Fertiliser_SourceData.Fertiliser_Products_Data1(),FertiliserProducts[[#Headers],[Product]], 0)</f>
        <v/>
      </c>
      <c r="T81" s="123" t="str" cm="1">
        <f t="array" ref="T81">Common_InputFunctions.Utility_DisplayArrayInTable(Fertiliser_SourceData.Fertiliser_Products_Data1(),FertiliserProducts[[#Headers],[Product]], 0)</f>
        <v/>
      </c>
      <c r="U81" s="123" t="str" cm="1">
        <f t="array" ref="U81">Common_InputFunctions.Utility_DisplayArrayInTable(Fertiliser_SourceData.Fertiliser_Products_Data1(),FertiliserProducts[[#Headers],[Product]], 0)</f>
        <v/>
      </c>
      <c r="V81" s="123" t="str" cm="1">
        <f t="array" ref="V81">Common_InputFunctions.Utility_DisplayArrayInTable(Fertiliser_SourceData.Fertiliser_Products_Data1(),FertiliserProducts[[#Headers],[Product]], 0)</f>
        <v/>
      </c>
      <c r="W81" s="123" t="str" cm="1">
        <f t="array" ref="W81">Common_InputFunctions.Utility_DisplayArrayInTable(Fertiliser_SourceData.Fertiliser_Products_Data1(),FertiliserProducts[[#Headers],[Product]], 0)</f>
        <v>YaraVita Glytrel ZnP</v>
      </c>
    </row>
    <row r="82" spans="4:23" ht="20.100000000000001" customHeight="1" x14ac:dyDescent="0.25">
      <c r="D82" s="123" t="str" cm="1">
        <f t="array" ref="D82">Common_InputFunctions.Utility_DisplayArrayInTable(Fertiliser_SourceData.Fertiliser_Products_Data1(),FertiliserProducts[[#Headers],[Product]], 0)</f>
        <v>Gran-Am</v>
      </c>
      <c r="E82" s="123" t="str" cm="1">
        <f t="array" ref="E82">Common_InputFunctions.Utility_DisplayArrayInTable(Fertiliser_SourceData.Fertiliser_Products_Data1(),FertiliserProducts[[#Headers],[Product]], 0)</f>
        <v/>
      </c>
      <c r="F82" s="123" t="str" cm="1">
        <f t="array" ref="F82">Common_InputFunctions.Utility_DisplayArrayInTable(Fertiliser_SourceData.Fertiliser_Products_Data1(),FertiliserProducts[[#Headers],[Product]], 0)</f>
        <v/>
      </c>
      <c r="G82" s="123" t="str" cm="1">
        <f t="array" ref="G82">Common_InputFunctions.Utility_DisplayArrayInTable(Fertiliser_SourceData.Fertiliser_Products_Data1(),FertiliserProducts[[#Headers],[Product]], 0)</f>
        <v/>
      </c>
      <c r="H82" s="123" t="str" cm="1">
        <f t="array" ref="H82">Common_InputFunctions.Utility_DisplayArrayInTable(Fertiliser_SourceData.Fertiliser_Products_Data1(),FertiliserProducts[[#Headers],[Product]], 0)</f>
        <v/>
      </c>
      <c r="I82" s="123" t="str" cm="1">
        <f t="array" ref="I82">Common_InputFunctions.Utility_DisplayArrayInTable(Fertiliser_SourceData.Fertiliser_Products_Data1(),FertiliserProducts[[#Headers],[Product]], 0)</f>
        <v/>
      </c>
      <c r="J82" s="123" t="str" cm="1">
        <f t="array" ref="J82">Common_InputFunctions.Utility_DisplayArrayInTable(Fertiliser_SourceData.Fertiliser_Products_Data1(),FertiliserProducts[[#Headers],[Product]], 0)</f>
        <v/>
      </c>
      <c r="K82" s="123" t="str" cm="1">
        <f t="array" ref="K82">Common_InputFunctions.Utility_DisplayArrayInTable(Fertiliser_SourceData.Fertiliser_Products_Data1(),FertiliserProducts[[#Headers],[Product]], 0)</f>
        <v/>
      </c>
      <c r="L82" s="123" t="str" cm="1">
        <f t="array" ref="L82">Common_InputFunctions.Utility_DisplayArrayInTable(Fertiliser_SourceData.Fertiliser_Products_Data1(),FertiliserProducts[[#Headers],[Product]], 0)</f>
        <v/>
      </c>
      <c r="M82" s="123" t="str" cm="1">
        <f t="array" ref="M82">Common_InputFunctions.Utility_DisplayArrayInTable(Fertiliser_SourceData.Fertiliser_Products_Data1(),FertiliserProducts[[#Headers],[Product]], 0)</f>
        <v/>
      </c>
      <c r="N82" s="123" t="str" cm="1">
        <f t="array" ref="N82">Common_InputFunctions.Utility_DisplayArrayInTable(Fertiliser_SourceData.Fertiliser_Products_Data1(),FertiliserProducts[[#Headers],[Product]], 0)</f>
        <v/>
      </c>
      <c r="O82" s="123" t="str" cm="1">
        <f t="array" ref="O82">Common_InputFunctions.Utility_DisplayArrayInTable(Fertiliser_SourceData.Fertiliser_Products_Data1(),FertiliserProducts[[#Headers],[Product]], 0)</f>
        <v/>
      </c>
      <c r="P82" s="123" t="str" cm="1">
        <f t="array" ref="P82">Common_InputFunctions.Utility_DisplayArrayInTable(Fertiliser_SourceData.Fertiliser_Products_Data1(),FertiliserProducts[[#Headers],[Product]], 0)</f>
        <v/>
      </c>
      <c r="Q82" s="123" t="str" cm="1">
        <f t="array" ref="Q82">Common_InputFunctions.Utility_DisplayArrayInTable(Fertiliser_SourceData.Fertiliser_Products_Data1(),FertiliserProducts[[#Headers],[Product]], 0)</f>
        <v/>
      </c>
      <c r="R82" s="123" t="str" cm="1">
        <f t="array" ref="R82">Common_InputFunctions.Utility_DisplayArrayInTable(Fertiliser_SourceData.Fertiliser_Products_Data1(),FertiliserProducts[[#Headers],[Product]], 0)</f>
        <v/>
      </c>
      <c r="S82" s="123" t="str" cm="1">
        <f t="array" ref="S82">Common_InputFunctions.Utility_DisplayArrayInTable(Fertiliser_SourceData.Fertiliser_Products_Data1(),FertiliserProducts[[#Headers],[Product]], 0)</f>
        <v/>
      </c>
      <c r="T82" s="123" t="str" cm="1">
        <f t="array" ref="T82">Common_InputFunctions.Utility_DisplayArrayInTable(Fertiliser_SourceData.Fertiliser_Products_Data1(),FertiliserProducts[[#Headers],[Product]], 0)</f>
        <v/>
      </c>
      <c r="U82" s="123" t="str" cm="1">
        <f t="array" ref="U82">Common_InputFunctions.Utility_DisplayArrayInTable(Fertiliser_SourceData.Fertiliser_Products_Data1(),FertiliserProducts[[#Headers],[Product]], 0)</f>
        <v/>
      </c>
      <c r="V82" s="123" t="str" cm="1">
        <f t="array" ref="V82">Common_InputFunctions.Utility_DisplayArrayInTable(Fertiliser_SourceData.Fertiliser_Products_Data1(),FertiliserProducts[[#Headers],[Product]], 0)</f>
        <v/>
      </c>
      <c r="W82" s="123" t="str" cm="1">
        <f t="array" ref="W82">Common_InputFunctions.Utility_DisplayArrayInTable(Fertiliser_SourceData.Fertiliser_Products_Data1(),FertiliserProducts[[#Headers],[Product]], 0)</f>
        <v>Incitec Pivot Fertilisers</v>
      </c>
    </row>
    <row r="83" spans="4:23" ht="20.100000000000001" customHeight="1" x14ac:dyDescent="0.25">
      <c r="D83" s="123" t="str" cm="1">
        <f t="array" ref="D83">Common_InputFunctions.Utility_DisplayArrayInTable(Fertiliser_SourceData.Fertiliser_Products_Data1(),FertiliserProducts[[#Headers],[Product]], 0)</f>
        <v>Granulock SS</v>
      </c>
      <c r="E83" s="123" t="str" cm="1">
        <f t="array" ref="E83">Common_InputFunctions.Utility_DisplayArrayInTable(Fertiliser_SourceData.Fertiliser_Products_Data1(),FertiliserProducts[[#Headers],[Product]], 0)</f>
        <v/>
      </c>
      <c r="F83" s="123" t="str" cm="1">
        <f t="array" ref="F83">Common_InputFunctions.Utility_DisplayArrayInTable(Fertiliser_SourceData.Fertiliser_Products_Data1(),FertiliserProducts[[#Headers],[Product]], 0)</f>
        <v/>
      </c>
      <c r="G83" s="123" t="str" cm="1">
        <f t="array" ref="G83">Common_InputFunctions.Utility_DisplayArrayInTable(Fertiliser_SourceData.Fertiliser_Products_Data1(),FertiliserProducts[[#Headers],[Product]], 0)</f>
        <v/>
      </c>
      <c r="H83" s="123" t="str" cm="1">
        <f t="array" ref="H83">Common_InputFunctions.Utility_DisplayArrayInTable(Fertiliser_SourceData.Fertiliser_Products_Data1(),FertiliserProducts[[#Headers],[Product]], 0)</f>
        <v/>
      </c>
      <c r="I83" s="123" t="str" cm="1">
        <f t="array" ref="I83">Common_InputFunctions.Utility_DisplayArrayInTable(Fertiliser_SourceData.Fertiliser_Products_Data1(),FertiliserProducts[[#Headers],[Product]], 0)</f>
        <v/>
      </c>
      <c r="J83" s="123" t="str" cm="1">
        <f t="array" ref="J83">Common_InputFunctions.Utility_DisplayArrayInTable(Fertiliser_SourceData.Fertiliser_Products_Data1(),FertiliserProducts[[#Headers],[Product]], 0)</f>
        <v/>
      </c>
      <c r="K83" s="123" t="str" cm="1">
        <f t="array" ref="K83">Common_InputFunctions.Utility_DisplayArrayInTable(Fertiliser_SourceData.Fertiliser_Products_Data1(),FertiliserProducts[[#Headers],[Product]], 0)</f>
        <v/>
      </c>
      <c r="L83" s="123" t="str" cm="1">
        <f t="array" ref="L83">Common_InputFunctions.Utility_DisplayArrayInTable(Fertiliser_SourceData.Fertiliser_Products_Data1(),FertiliserProducts[[#Headers],[Product]], 0)</f>
        <v/>
      </c>
      <c r="M83" s="123" t="str" cm="1">
        <f t="array" ref="M83">Common_InputFunctions.Utility_DisplayArrayInTable(Fertiliser_SourceData.Fertiliser_Products_Data1(),FertiliserProducts[[#Headers],[Product]], 0)</f>
        <v/>
      </c>
      <c r="N83" s="123" t="str" cm="1">
        <f t="array" ref="N83">Common_InputFunctions.Utility_DisplayArrayInTable(Fertiliser_SourceData.Fertiliser_Products_Data1(),FertiliserProducts[[#Headers],[Product]], 0)</f>
        <v/>
      </c>
      <c r="O83" s="123" t="str" cm="1">
        <f t="array" ref="O83">Common_InputFunctions.Utility_DisplayArrayInTable(Fertiliser_SourceData.Fertiliser_Products_Data1(),FertiliserProducts[[#Headers],[Product]], 0)</f>
        <v/>
      </c>
      <c r="P83" s="123" t="str" cm="1">
        <f t="array" ref="P83">Common_InputFunctions.Utility_DisplayArrayInTable(Fertiliser_SourceData.Fertiliser_Products_Data1(),FertiliserProducts[[#Headers],[Product]], 0)</f>
        <v/>
      </c>
      <c r="Q83" s="123" t="str" cm="1">
        <f t="array" ref="Q83">Common_InputFunctions.Utility_DisplayArrayInTable(Fertiliser_SourceData.Fertiliser_Products_Data1(),FertiliserProducts[[#Headers],[Product]], 0)</f>
        <v/>
      </c>
      <c r="R83" s="123" t="str" cm="1">
        <f t="array" ref="R83">Common_InputFunctions.Utility_DisplayArrayInTable(Fertiliser_SourceData.Fertiliser_Products_Data1(),FertiliserProducts[[#Headers],[Product]], 0)</f>
        <v/>
      </c>
      <c r="S83" s="123" t="str" cm="1">
        <f t="array" ref="S83">Common_InputFunctions.Utility_DisplayArrayInTable(Fertiliser_SourceData.Fertiliser_Products_Data1(),FertiliserProducts[[#Headers],[Product]], 0)</f>
        <v/>
      </c>
      <c r="T83" s="123" t="str" cm="1">
        <f t="array" ref="T83">Common_InputFunctions.Utility_DisplayArrayInTable(Fertiliser_SourceData.Fertiliser_Products_Data1(),FertiliserProducts[[#Headers],[Product]], 0)</f>
        <v/>
      </c>
      <c r="U83" s="123" t="str" cm="1">
        <f t="array" ref="U83">Common_InputFunctions.Utility_DisplayArrayInTable(Fertiliser_SourceData.Fertiliser_Products_Data1(),FertiliserProducts[[#Headers],[Product]], 0)</f>
        <v/>
      </c>
      <c r="V83" s="123" t="str" cm="1">
        <f t="array" ref="V83">Common_InputFunctions.Utility_DisplayArrayInTable(Fertiliser_SourceData.Fertiliser_Products_Data1(),FertiliserProducts[[#Headers],[Product]], 0)</f>
        <v/>
      </c>
      <c r="W83" s="123" t="str" cm="1">
        <f t="array" ref="W83">Common_InputFunctions.Utility_DisplayArrayInTable(Fertiliser_SourceData.Fertiliser_Products_Data1(),FertiliserProducts[[#Headers],[Product]], 0)</f>
        <v>Incitec Pivot Fertilisers</v>
      </c>
    </row>
    <row r="84" spans="4:23" ht="20.100000000000001" customHeight="1" x14ac:dyDescent="0.25">
      <c r="D84" s="123" t="str" cm="1">
        <f t="array" ref="D84">Common_InputFunctions.Utility_DisplayArrayInTable(Fertiliser_SourceData.Fertiliser_Products_Data1(),FertiliserProducts[[#Headers],[Product]], 0)</f>
        <v>Granulock Z</v>
      </c>
      <c r="E84" s="123" t="str" cm="1">
        <f t="array" ref="E84">Common_InputFunctions.Utility_DisplayArrayInTable(Fertiliser_SourceData.Fertiliser_Products_Data1(),FertiliserProducts[[#Headers],[Product]], 0)</f>
        <v/>
      </c>
      <c r="F84" s="123" t="str" cm="1">
        <f t="array" ref="F84">Common_InputFunctions.Utility_DisplayArrayInTable(Fertiliser_SourceData.Fertiliser_Products_Data1(),FertiliserProducts[[#Headers],[Product]], 0)</f>
        <v/>
      </c>
      <c r="G84" s="123" t="str" cm="1">
        <f t="array" ref="G84">Common_InputFunctions.Utility_DisplayArrayInTable(Fertiliser_SourceData.Fertiliser_Products_Data1(),FertiliserProducts[[#Headers],[Product]], 0)</f>
        <v/>
      </c>
      <c r="H84" s="123" t="str" cm="1">
        <f t="array" ref="H84">Common_InputFunctions.Utility_DisplayArrayInTable(Fertiliser_SourceData.Fertiliser_Products_Data1(),FertiliserProducts[[#Headers],[Product]], 0)</f>
        <v/>
      </c>
      <c r="I84" s="123" t="str" cm="1">
        <f t="array" ref="I84">Common_InputFunctions.Utility_DisplayArrayInTable(Fertiliser_SourceData.Fertiliser_Products_Data1(),FertiliserProducts[[#Headers],[Product]], 0)</f>
        <v/>
      </c>
      <c r="J84" s="123" t="str" cm="1">
        <f t="array" ref="J84">Common_InputFunctions.Utility_DisplayArrayInTable(Fertiliser_SourceData.Fertiliser_Products_Data1(),FertiliserProducts[[#Headers],[Product]], 0)</f>
        <v/>
      </c>
      <c r="K84" s="123" t="str" cm="1">
        <f t="array" ref="K84">Common_InputFunctions.Utility_DisplayArrayInTable(Fertiliser_SourceData.Fertiliser_Products_Data1(),FertiliserProducts[[#Headers],[Product]], 0)</f>
        <v/>
      </c>
      <c r="L84" s="123" t="str" cm="1">
        <f t="array" ref="L84">Common_InputFunctions.Utility_DisplayArrayInTable(Fertiliser_SourceData.Fertiliser_Products_Data1(),FertiliserProducts[[#Headers],[Product]], 0)</f>
        <v/>
      </c>
      <c r="M84" s="123" t="str" cm="1">
        <f t="array" ref="M84">Common_InputFunctions.Utility_DisplayArrayInTable(Fertiliser_SourceData.Fertiliser_Products_Data1(),FertiliserProducts[[#Headers],[Product]], 0)</f>
        <v/>
      </c>
      <c r="N84" s="123" t="str" cm="1">
        <f t="array" ref="N84">Common_InputFunctions.Utility_DisplayArrayInTable(Fertiliser_SourceData.Fertiliser_Products_Data1(),FertiliserProducts[[#Headers],[Product]], 0)</f>
        <v/>
      </c>
      <c r="O84" s="123" t="str" cm="1">
        <f t="array" ref="O84">Common_InputFunctions.Utility_DisplayArrayInTable(Fertiliser_SourceData.Fertiliser_Products_Data1(),FertiliserProducts[[#Headers],[Product]], 0)</f>
        <v/>
      </c>
      <c r="P84" s="123" t="str" cm="1">
        <f t="array" ref="P84">Common_InputFunctions.Utility_DisplayArrayInTable(Fertiliser_SourceData.Fertiliser_Products_Data1(),FertiliserProducts[[#Headers],[Product]], 0)</f>
        <v/>
      </c>
      <c r="Q84" s="123" t="str" cm="1">
        <f t="array" ref="Q84">Common_InputFunctions.Utility_DisplayArrayInTable(Fertiliser_SourceData.Fertiliser_Products_Data1(),FertiliserProducts[[#Headers],[Product]], 0)</f>
        <v/>
      </c>
      <c r="R84" s="123" t="str" cm="1">
        <f t="array" ref="R84">Common_InputFunctions.Utility_DisplayArrayInTable(Fertiliser_SourceData.Fertiliser_Products_Data1(),FertiliserProducts[[#Headers],[Product]], 0)</f>
        <v/>
      </c>
      <c r="S84" s="123" t="str" cm="1">
        <f t="array" ref="S84">Common_InputFunctions.Utility_DisplayArrayInTable(Fertiliser_SourceData.Fertiliser_Products_Data1(),FertiliserProducts[[#Headers],[Product]], 0)</f>
        <v/>
      </c>
      <c r="T84" s="123" t="str" cm="1">
        <f t="array" ref="T84">Common_InputFunctions.Utility_DisplayArrayInTable(Fertiliser_SourceData.Fertiliser_Products_Data1(),FertiliserProducts[[#Headers],[Product]], 0)</f>
        <v/>
      </c>
      <c r="U84" s="123" t="str" cm="1">
        <f t="array" ref="U84">Common_InputFunctions.Utility_DisplayArrayInTable(Fertiliser_SourceData.Fertiliser_Products_Data1(),FertiliserProducts[[#Headers],[Product]], 0)</f>
        <v/>
      </c>
      <c r="V84" s="123" t="str" cm="1">
        <f t="array" ref="V84">Common_InputFunctions.Utility_DisplayArrayInTable(Fertiliser_SourceData.Fertiliser_Products_Data1(),FertiliserProducts[[#Headers],[Product]], 0)</f>
        <v/>
      </c>
      <c r="W84" s="123" t="str" cm="1">
        <f t="array" ref="W84">Common_InputFunctions.Utility_DisplayArrayInTable(Fertiliser_SourceData.Fertiliser_Products_Data1(),FertiliserProducts[[#Headers],[Product]], 0)</f>
        <v>Incitec Pivot Fertilisers</v>
      </c>
    </row>
    <row r="85" spans="4:23" ht="20.100000000000001" customHeight="1" x14ac:dyDescent="0.25">
      <c r="D85" s="123" t="str" cm="1">
        <f t="array" ref="D85">Common_InputFunctions.Utility_DisplayArrayInTable(Fertiliser_SourceData.Fertiliser_Products_Data1(),FertiliserProducts[[#Headers],[Product]], 0)</f>
        <v>Green Urea NV</v>
      </c>
      <c r="E85" s="123" t="str" cm="1">
        <f t="array" ref="E85">Common_InputFunctions.Utility_DisplayArrayInTable(Fertiliser_SourceData.Fertiliser_Products_Data1(),FertiliserProducts[[#Headers],[Product]], 0)</f>
        <v/>
      </c>
      <c r="F85" s="123" t="str" cm="1">
        <f t="array" ref="F85">Common_InputFunctions.Utility_DisplayArrayInTable(Fertiliser_SourceData.Fertiliser_Products_Data1(),FertiliserProducts[[#Headers],[Product]], 0)</f>
        <v/>
      </c>
      <c r="G85" s="123" t="str" cm="1">
        <f t="array" ref="G85">Common_InputFunctions.Utility_DisplayArrayInTable(Fertiliser_SourceData.Fertiliser_Products_Data1(),FertiliserProducts[[#Headers],[Product]], 0)</f>
        <v/>
      </c>
      <c r="H85" s="123" t="str" cm="1">
        <f t="array" ref="H85">Common_InputFunctions.Utility_DisplayArrayInTable(Fertiliser_SourceData.Fertiliser_Products_Data1(),FertiliserProducts[[#Headers],[Product]], 0)</f>
        <v/>
      </c>
      <c r="I85" s="123" t="str" cm="1">
        <f t="array" ref="I85">Common_InputFunctions.Utility_DisplayArrayInTable(Fertiliser_SourceData.Fertiliser_Products_Data1(),FertiliserProducts[[#Headers],[Product]], 0)</f>
        <v/>
      </c>
      <c r="J85" s="123" t="str" cm="1">
        <f t="array" ref="J85">Common_InputFunctions.Utility_DisplayArrayInTable(Fertiliser_SourceData.Fertiliser_Products_Data1(),FertiliserProducts[[#Headers],[Product]], 0)</f>
        <v/>
      </c>
      <c r="K85" s="123" t="str" cm="1">
        <f t="array" ref="K85">Common_InputFunctions.Utility_DisplayArrayInTable(Fertiliser_SourceData.Fertiliser_Products_Data1(),FertiliserProducts[[#Headers],[Product]], 0)</f>
        <v/>
      </c>
      <c r="L85" s="123" t="str" cm="1">
        <f t="array" ref="L85">Common_InputFunctions.Utility_DisplayArrayInTable(Fertiliser_SourceData.Fertiliser_Products_Data1(),FertiliserProducts[[#Headers],[Product]], 0)</f>
        <v/>
      </c>
      <c r="M85" s="123" t="str" cm="1">
        <f t="array" ref="M85">Common_InputFunctions.Utility_DisplayArrayInTable(Fertiliser_SourceData.Fertiliser_Products_Data1(),FertiliserProducts[[#Headers],[Product]], 0)</f>
        <v/>
      </c>
      <c r="N85" s="123" t="str" cm="1">
        <f t="array" ref="N85">Common_InputFunctions.Utility_DisplayArrayInTable(Fertiliser_SourceData.Fertiliser_Products_Data1(),FertiliserProducts[[#Headers],[Product]], 0)</f>
        <v/>
      </c>
      <c r="O85" s="123" t="str" cm="1">
        <f t="array" ref="O85">Common_InputFunctions.Utility_DisplayArrayInTable(Fertiliser_SourceData.Fertiliser_Products_Data1(),FertiliserProducts[[#Headers],[Product]], 0)</f>
        <v/>
      </c>
      <c r="P85" s="123" t="str" cm="1">
        <f t="array" ref="P85">Common_InputFunctions.Utility_DisplayArrayInTable(Fertiliser_SourceData.Fertiliser_Products_Data1(),FertiliserProducts[[#Headers],[Product]], 0)</f>
        <v/>
      </c>
      <c r="Q85" s="123" t="str" cm="1">
        <f t="array" ref="Q85">Common_InputFunctions.Utility_DisplayArrayInTable(Fertiliser_SourceData.Fertiliser_Products_Data1(),FertiliserProducts[[#Headers],[Product]], 0)</f>
        <v/>
      </c>
      <c r="R85" s="123" t="str" cm="1">
        <f t="array" ref="R85">Common_InputFunctions.Utility_DisplayArrayInTable(Fertiliser_SourceData.Fertiliser_Products_Data1(),FertiliserProducts[[#Headers],[Product]], 0)</f>
        <v/>
      </c>
      <c r="S85" s="123" t="str" cm="1">
        <f t="array" ref="S85">Common_InputFunctions.Utility_DisplayArrayInTable(Fertiliser_SourceData.Fertiliser_Products_Data1(),FertiliserProducts[[#Headers],[Product]], 0)</f>
        <v/>
      </c>
      <c r="T85" s="123" t="str" cm="1">
        <f t="array" ref="T85">Common_InputFunctions.Utility_DisplayArrayInTable(Fertiliser_SourceData.Fertiliser_Products_Data1(),FertiliserProducts[[#Headers],[Product]], 0)</f>
        <v/>
      </c>
      <c r="U85" s="123" t="str" cm="1">
        <f t="array" ref="U85">Common_InputFunctions.Utility_DisplayArrayInTable(Fertiliser_SourceData.Fertiliser_Products_Data1(),FertiliserProducts[[#Headers],[Product]], 0)</f>
        <v/>
      </c>
      <c r="V85" s="123" t="str" cm="1">
        <f t="array" ref="V85">Common_InputFunctions.Utility_DisplayArrayInTable(Fertiliser_SourceData.Fertiliser_Products_Data1(),FertiliserProducts[[#Headers],[Product]], 0)</f>
        <v/>
      </c>
      <c r="W85" s="123" t="str" cm="1">
        <f t="array" ref="W85">Common_InputFunctions.Utility_DisplayArrayInTable(Fertiliser_SourceData.Fertiliser_Products_Data1(),FertiliserProducts[[#Headers],[Product]], 0)</f>
        <v>Incitec Pivot Fertilisers</v>
      </c>
    </row>
    <row r="86" spans="4:23" ht="20.100000000000001" customHeight="1" x14ac:dyDescent="0.25">
      <c r="D86" s="123" t="str" cm="1">
        <f t="array" ref="D86">Common_InputFunctions.Utility_DisplayArrayInTable(Fertiliser_SourceData.Fertiliser_Products_Data1(),FertiliserProducts[[#Headers],[Product]], 0)</f>
        <v>Gypsum Sulphur</v>
      </c>
      <c r="E86" s="123" t="str" cm="1">
        <f t="array" ref="E86">Common_InputFunctions.Utility_DisplayArrayInTable(Fertiliser_SourceData.Fertiliser_Products_Data1(),FertiliserProducts[[#Headers],[Product]], 0)</f>
        <v/>
      </c>
      <c r="F86" s="123" t="str" cm="1">
        <f t="array" ref="F86">Common_InputFunctions.Utility_DisplayArrayInTable(Fertiliser_SourceData.Fertiliser_Products_Data1(),FertiliserProducts[[#Headers],[Product]], 0)</f>
        <v/>
      </c>
      <c r="G86" s="123" t="str" cm="1">
        <f t="array" ref="G86">Common_InputFunctions.Utility_DisplayArrayInTable(Fertiliser_SourceData.Fertiliser_Products_Data1(),FertiliserProducts[[#Headers],[Product]], 0)</f>
        <v/>
      </c>
      <c r="H86" s="123" t="str" cm="1">
        <f t="array" ref="H86">Common_InputFunctions.Utility_DisplayArrayInTable(Fertiliser_SourceData.Fertiliser_Products_Data1(),FertiliserProducts[[#Headers],[Product]], 0)</f>
        <v/>
      </c>
      <c r="I86" s="123" t="str" cm="1">
        <f t="array" ref="I86">Common_InputFunctions.Utility_DisplayArrayInTable(Fertiliser_SourceData.Fertiliser_Products_Data1(),FertiliserProducts[[#Headers],[Product]], 0)</f>
        <v/>
      </c>
      <c r="J86" s="123" t="str" cm="1">
        <f t="array" ref="J86">Common_InputFunctions.Utility_DisplayArrayInTable(Fertiliser_SourceData.Fertiliser_Products_Data1(),FertiliserProducts[[#Headers],[Product]], 0)</f>
        <v/>
      </c>
      <c r="K86" s="123" t="str" cm="1">
        <f t="array" ref="K86">Common_InputFunctions.Utility_DisplayArrayInTable(Fertiliser_SourceData.Fertiliser_Products_Data1(),FertiliserProducts[[#Headers],[Product]], 0)</f>
        <v/>
      </c>
      <c r="L86" s="123" t="str" cm="1">
        <f t="array" ref="L86">Common_InputFunctions.Utility_DisplayArrayInTable(Fertiliser_SourceData.Fertiliser_Products_Data1(),FertiliserProducts[[#Headers],[Product]], 0)</f>
        <v/>
      </c>
      <c r="M86" s="123" t="str" cm="1">
        <f t="array" ref="M86">Common_InputFunctions.Utility_DisplayArrayInTable(Fertiliser_SourceData.Fertiliser_Products_Data1(),FertiliserProducts[[#Headers],[Product]], 0)</f>
        <v/>
      </c>
      <c r="N86" s="123" t="str" cm="1">
        <f t="array" ref="N86">Common_InputFunctions.Utility_DisplayArrayInTable(Fertiliser_SourceData.Fertiliser_Products_Data1(),FertiliserProducts[[#Headers],[Product]], 0)</f>
        <v/>
      </c>
      <c r="O86" s="123" t="str" cm="1">
        <f t="array" ref="O86">Common_InputFunctions.Utility_DisplayArrayInTable(Fertiliser_SourceData.Fertiliser_Products_Data1(),FertiliserProducts[[#Headers],[Product]], 0)</f>
        <v/>
      </c>
      <c r="P86" s="123" t="str" cm="1">
        <f t="array" ref="P86">Common_InputFunctions.Utility_DisplayArrayInTable(Fertiliser_SourceData.Fertiliser_Products_Data1(),FertiliserProducts[[#Headers],[Product]], 0)</f>
        <v/>
      </c>
      <c r="Q86" s="123" t="str" cm="1">
        <f t="array" ref="Q86">Common_InputFunctions.Utility_DisplayArrayInTable(Fertiliser_SourceData.Fertiliser_Products_Data1(),FertiliserProducts[[#Headers],[Product]], 0)</f>
        <v/>
      </c>
      <c r="R86" s="123" t="str" cm="1">
        <f t="array" ref="R86">Common_InputFunctions.Utility_DisplayArrayInTable(Fertiliser_SourceData.Fertiliser_Products_Data1(),FertiliserProducts[[#Headers],[Product]], 0)</f>
        <v/>
      </c>
      <c r="S86" s="123" t="str" cm="1">
        <f t="array" ref="S86">Common_InputFunctions.Utility_DisplayArrayInTable(Fertiliser_SourceData.Fertiliser_Products_Data1(),FertiliserProducts[[#Headers],[Product]], 0)</f>
        <v/>
      </c>
      <c r="T86" s="123" t="str" cm="1">
        <f t="array" ref="T86">Common_InputFunctions.Utility_DisplayArrayInTable(Fertiliser_SourceData.Fertiliser_Products_Data1(),FertiliserProducts[[#Headers],[Product]], 0)</f>
        <v/>
      </c>
      <c r="U86" s="123" t="str" cm="1">
        <f t="array" ref="U86">Common_InputFunctions.Utility_DisplayArrayInTable(Fertiliser_SourceData.Fertiliser_Products_Data1(),FertiliserProducts[[#Headers],[Product]], 0)</f>
        <v/>
      </c>
      <c r="V86" s="123" t="str" cm="1">
        <f t="array" ref="V86">Common_InputFunctions.Utility_DisplayArrayInTable(Fertiliser_SourceData.Fertiliser_Products_Data1(),FertiliserProducts[[#Headers],[Product]], 0)</f>
        <v/>
      </c>
      <c r="W86" s="123" t="str" cm="1">
        <f t="array" ref="W86">Common_InputFunctions.Utility_DisplayArrayInTable(Fertiliser_SourceData.Fertiliser_Products_Data1(),FertiliserProducts[[#Headers],[Product]], 0)</f>
        <v>Gypsum Incitec Pivot Fertilisers</v>
      </c>
    </row>
    <row r="87" spans="4:23" ht="20.100000000000001" customHeight="1" x14ac:dyDescent="0.25">
      <c r="D87" s="123" t="str" cm="1">
        <f t="array" ref="D87">Common_InputFunctions.Utility_DisplayArrayInTable(Fertiliser_SourceData.Fertiliser_Products_Data1(),FertiliserProducts[[#Headers],[Product]], 0)</f>
        <v>Invigor8 0-37-37</v>
      </c>
      <c r="E87" s="123" t="str" cm="1">
        <f t="array" ref="E87">Common_InputFunctions.Utility_DisplayArrayInTable(Fertiliser_SourceData.Fertiliser_Products_Data1(),FertiliserProducts[[#Headers],[Product]], 0)</f>
        <v/>
      </c>
      <c r="F87" s="123" t="str" cm="1">
        <f t="array" ref="F87">Common_InputFunctions.Utility_DisplayArrayInTable(Fertiliser_SourceData.Fertiliser_Products_Data1(),FertiliserProducts[[#Headers],[Product]], 0)</f>
        <v/>
      </c>
      <c r="G87" s="123" t="str" cm="1">
        <f t="array" ref="G87">Common_InputFunctions.Utility_DisplayArrayInTable(Fertiliser_SourceData.Fertiliser_Products_Data1(),FertiliserProducts[[#Headers],[Product]], 0)</f>
        <v/>
      </c>
      <c r="H87" s="123" t="str" cm="1">
        <f t="array" ref="H87">Common_InputFunctions.Utility_DisplayArrayInTable(Fertiliser_SourceData.Fertiliser_Products_Data1(),FertiliserProducts[[#Headers],[Product]], 0)</f>
        <v/>
      </c>
      <c r="I87" s="123" t="str" cm="1">
        <f t="array" ref="I87">Common_InputFunctions.Utility_DisplayArrayInTable(Fertiliser_SourceData.Fertiliser_Products_Data1(),FertiliserProducts[[#Headers],[Product]], 0)</f>
        <v/>
      </c>
      <c r="J87" s="123" t="str" cm="1">
        <f t="array" ref="J87">Common_InputFunctions.Utility_DisplayArrayInTable(Fertiliser_SourceData.Fertiliser_Products_Data1(),FertiliserProducts[[#Headers],[Product]], 0)</f>
        <v/>
      </c>
      <c r="K87" s="123" t="str" cm="1">
        <f t="array" ref="K87">Common_InputFunctions.Utility_DisplayArrayInTable(Fertiliser_SourceData.Fertiliser_Products_Data1(),FertiliserProducts[[#Headers],[Product]], 0)</f>
        <v/>
      </c>
      <c r="L87" s="123" t="str" cm="1">
        <f t="array" ref="L87">Common_InputFunctions.Utility_DisplayArrayInTable(Fertiliser_SourceData.Fertiliser_Products_Data1(),FertiliserProducts[[#Headers],[Product]], 0)</f>
        <v/>
      </c>
      <c r="M87" s="123" t="str" cm="1">
        <f t="array" ref="M87">Common_InputFunctions.Utility_DisplayArrayInTable(Fertiliser_SourceData.Fertiliser_Products_Data1(),FertiliserProducts[[#Headers],[Product]], 0)</f>
        <v/>
      </c>
      <c r="N87" s="123" t="str" cm="1">
        <f t="array" ref="N87">Common_InputFunctions.Utility_DisplayArrayInTable(Fertiliser_SourceData.Fertiliser_Products_Data1(),FertiliserProducts[[#Headers],[Product]], 0)</f>
        <v/>
      </c>
      <c r="O87" s="123" t="str" cm="1">
        <f t="array" ref="O87">Common_InputFunctions.Utility_DisplayArrayInTable(Fertiliser_SourceData.Fertiliser_Products_Data1(),FertiliserProducts[[#Headers],[Product]], 0)</f>
        <v/>
      </c>
      <c r="P87" s="123" t="str" cm="1">
        <f t="array" ref="P87">Common_InputFunctions.Utility_DisplayArrayInTable(Fertiliser_SourceData.Fertiliser_Products_Data1(),FertiliserProducts[[#Headers],[Product]], 0)</f>
        <v/>
      </c>
      <c r="Q87" s="123" t="str" cm="1">
        <f t="array" ref="Q87">Common_InputFunctions.Utility_DisplayArrayInTable(Fertiliser_SourceData.Fertiliser_Products_Data1(),FertiliserProducts[[#Headers],[Product]], 0)</f>
        <v/>
      </c>
      <c r="R87" s="123" t="str" cm="1">
        <f t="array" ref="R87">Common_InputFunctions.Utility_DisplayArrayInTable(Fertiliser_SourceData.Fertiliser_Products_Data1(),FertiliserProducts[[#Headers],[Product]], 0)</f>
        <v/>
      </c>
      <c r="S87" s="123" t="str" cm="1">
        <f t="array" ref="S87">Common_InputFunctions.Utility_DisplayArrayInTable(Fertiliser_SourceData.Fertiliser_Products_Data1(),FertiliserProducts[[#Headers],[Product]], 0)</f>
        <v/>
      </c>
      <c r="T87" s="123" t="str" cm="1">
        <f t="array" ref="T87">Common_InputFunctions.Utility_DisplayArrayInTable(Fertiliser_SourceData.Fertiliser_Products_Data1(),FertiliserProducts[[#Headers],[Product]], 0)</f>
        <v/>
      </c>
      <c r="U87" s="123" t="str" cm="1">
        <f t="array" ref="U87">Common_InputFunctions.Utility_DisplayArrayInTable(Fertiliser_SourceData.Fertiliser_Products_Data1(),FertiliserProducts[[#Headers],[Product]], 0)</f>
        <v/>
      </c>
      <c r="V87" s="123" t="str" cm="1">
        <f t="array" ref="V87">Common_InputFunctions.Utility_DisplayArrayInTable(Fertiliser_SourceData.Fertiliser_Products_Data1(),FertiliserProducts[[#Headers],[Product]], 0)</f>
        <v/>
      </c>
      <c r="W87" s="123" t="str" cm="1">
        <f t="array" ref="W87">Common_InputFunctions.Utility_DisplayArrayInTable(Fertiliser_SourceData.Fertiliser_Products_Data1(),FertiliserProducts[[#Headers],[Product]], 0)</f>
        <v>Genesis AG</v>
      </c>
    </row>
    <row r="88" spans="4:23" ht="20.100000000000001" customHeight="1" x14ac:dyDescent="0.25">
      <c r="D88" s="123" t="str" cm="1">
        <f t="array" ref="D88">Common_InputFunctions.Utility_DisplayArrayInTable(Fertiliser_SourceData.Fertiliser_Products_Data2(),FertiliserProducts[[#Headers],[Product]], 30)</f>
        <v>Manganese Sulphate</v>
      </c>
      <c r="E88" s="123" t="str" cm="1">
        <f t="array" ref="E88">Common_InputFunctions.Utility_DisplayArrayInTable(Fertiliser_SourceData.Fertiliser_Products_Data2(),FertiliserProducts[[#Headers],[Product]], 30)</f>
        <v/>
      </c>
      <c r="F88" s="123" t="str" cm="1">
        <f t="array" ref="F88">Common_InputFunctions.Utility_DisplayArrayInTable(Fertiliser_SourceData.Fertiliser_Products_Data2(),FertiliserProducts[[#Headers],[Product]], 30)</f>
        <v/>
      </c>
      <c r="G88" s="123" t="str" cm="1">
        <f t="array" ref="G88">Common_InputFunctions.Utility_DisplayArrayInTable(Fertiliser_SourceData.Fertiliser_Products_Data2(),FertiliserProducts[[#Headers],[Product]], 30)</f>
        <v/>
      </c>
      <c r="H88" s="123" t="str" cm="1">
        <f t="array" ref="H88">Common_InputFunctions.Utility_DisplayArrayInTable(Fertiliser_SourceData.Fertiliser_Products_Data2(),FertiliserProducts[[#Headers],[Product]], 30)</f>
        <v/>
      </c>
      <c r="I88" s="123" t="str" cm="1">
        <f t="array" ref="I88">Common_InputFunctions.Utility_DisplayArrayInTable(Fertiliser_SourceData.Fertiliser_Products_Data2(),FertiliserProducts[[#Headers],[Product]], 30)</f>
        <v/>
      </c>
      <c r="J88" s="123" t="str" cm="1">
        <f t="array" ref="J88">Common_InputFunctions.Utility_DisplayArrayInTable(Fertiliser_SourceData.Fertiliser_Products_Data2(),FertiliserProducts[[#Headers],[Product]], 30)</f>
        <v/>
      </c>
      <c r="K88" s="123" t="str" cm="1">
        <f t="array" ref="K88">Common_InputFunctions.Utility_DisplayArrayInTable(Fertiliser_SourceData.Fertiliser_Products_Data2(),FertiliserProducts[[#Headers],[Product]], 30)</f>
        <v/>
      </c>
      <c r="L88" s="123" t="str" cm="1">
        <f t="array" ref="L88">Common_InputFunctions.Utility_DisplayArrayInTable(Fertiliser_SourceData.Fertiliser_Products_Data2(),FertiliserProducts[[#Headers],[Product]], 30)</f>
        <v/>
      </c>
      <c r="M88" s="123" t="str" cm="1">
        <f t="array" ref="M88">Common_InputFunctions.Utility_DisplayArrayInTable(Fertiliser_SourceData.Fertiliser_Products_Data2(),FertiliserProducts[[#Headers],[Product]], 30)</f>
        <v/>
      </c>
      <c r="N88" s="123" t="str" cm="1">
        <f t="array" ref="N88">Common_InputFunctions.Utility_DisplayArrayInTable(Fertiliser_SourceData.Fertiliser_Products_Data2(),FertiliserProducts[[#Headers],[Product]], 30)</f>
        <v/>
      </c>
      <c r="O88" s="123" t="str" cm="1">
        <f t="array" ref="O88">Common_InputFunctions.Utility_DisplayArrayInTable(Fertiliser_SourceData.Fertiliser_Products_Data2(),FertiliserProducts[[#Headers],[Product]], 30)</f>
        <v/>
      </c>
      <c r="P88" s="123" t="str" cm="1">
        <f t="array" ref="P88">Common_InputFunctions.Utility_DisplayArrayInTable(Fertiliser_SourceData.Fertiliser_Products_Data2(),FertiliserProducts[[#Headers],[Product]], 30)</f>
        <v/>
      </c>
      <c r="Q88" s="123" t="str" cm="1">
        <f t="array" ref="Q88">Common_InputFunctions.Utility_DisplayArrayInTable(Fertiliser_SourceData.Fertiliser_Products_Data2(),FertiliserProducts[[#Headers],[Product]], 30)</f>
        <v/>
      </c>
      <c r="R88" s="123" t="str" cm="1">
        <f t="array" ref="R88">Common_InputFunctions.Utility_DisplayArrayInTable(Fertiliser_SourceData.Fertiliser_Products_Data2(),FertiliserProducts[[#Headers],[Product]], 30)</f>
        <v/>
      </c>
      <c r="S88" s="123" t="str" cm="1">
        <f t="array" ref="S88">Common_InputFunctions.Utility_DisplayArrayInTable(Fertiliser_SourceData.Fertiliser_Products_Data2(),FertiliserProducts[[#Headers],[Product]], 30)</f>
        <v/>
      </c>
      <c r="T88" s="123" t="str" cm="1">
        <f t="array" ref="T88">Common_InputFunctions.Utility_DisplayArrayInTable(Fertiliser_SourceData.Fertiliser_Products_Data2(),FertiliserProducts[[#Headers],[Product]], 30)</f>
        <v/>
      </c>
      <c r="U88" s="123" t="str" cm="1">
        <f t="array" ref="U88">Common_InputFunctions.Utility_DisplayArrayInTable(Fertiliser_SourceData.Fertiliser_Products_Data2(),FertiliserProducts[[#Headers],[Product]], 30)</f>
        <v/>
      </c>
      <c r="V88" s="123" t="str" cm="1">
        <f t="array" ref="V88">Common_InputFunctions.Utility_DisplayArrayInTable(Fertiliser_SourceData.Fertiliser_Products_Data2(),FertiliserProducts[[#Headers],[Product]], 30)</f>
        <v/>
      </c>
      <c r="W88" s="123" t="str" cm="1">
        <f t="array" ref="W88">Common_InputFunctions.Utility_DisplayArrayInTable(Fertiliser_SourceData.Fertiliser_Products_Data2(),FertiliserProducts[[#Headers],[Product]], 30)</f>
        <v>Incitec Pivot Fertilisers</v>
      </c>
    </row>
    <row r="89" spans="4:23" ht="20.100000000000001" customHeight="1" x14ac:dyDescent="0.25">
      <c r="D89" s="123" t="str" cm="1">
        <f t="array" ref="D89">Common_InputFunctions.Utility_DisplayArrayInTable(Fertiliser_SourceData.Fertiliser_Products_Data2(),FertiliserProducts[[#Headers],[Product]], 30)</f>
        <v>MAP</v>
      </c>
      <c r="E89" s="123" t="str" cm="1">
        <f t="array" ref="E89">Common_InputFunctions.Utility_DisplayArrayInTable(Fertiliser_SourceData.Fertiliser_Products_Data2(),FertiliserProducts[[#Headers],[Product]], 30)</f>
        <v/>
      </c>
      <c r="F89" s="123" t="str" cm="1">
        <f t="array" ref="F89">Common_InputFunctions.Utility_DisplayArrayInTable(Fertiliser_SourceData.Fertiliser_Products_Data2(),FertiliserProducts[[#Headers],[Product]], 30)</f>
        <v/>
      </c>
      <c r="G89" s="123" t="str" cm="1">
        <f t="array" ref="G89">Common_InputFunctions.Utility_DisplayArrayInTable(Fertiliser_SourceData.Fertiliser_Products_Data2(),FertiliserProducts[[#Headers],[Product]], 30)</f>
        <v/>
      </c>
      <c r="H89" s="123" t="str" cm="1">
        <f t="array" ref="H89">Common_InputFunctions.Utility_DisplayArrayInTable(Fertiliser_SourceData.Fertiliser_Products_Data2(),FertiliserProducts[[#Headers],[Product]], 30)</f>
        <v/>
      </c>
      <c r="I89" s="123" t="str" cm="1">
        <f t="array" ref="I89">Common_InputFunctions.Utility_DisplayArrayInTable(Fertiliser_SourceData.Fertiliser_Products_Data2(),FertiliserProducts[[#Headers],[Product]], 30)</f>
        <v/>
      </c>
      <c r="J89" s="123" t="str" cm="1">
        <f t="array" ref="J89">Common_InputFunctions.Utility_DisplayArrayInTable(Fertiliser_SourceData.Fertiliser_Products_Data2(),FertiliserProducts[[#Headers],[Product]], 30)</f>
        <v/>
      </c>
      <c r="K89" s="123" t="str" cm="1">
        <f t="array" ref="K89">Common_InputFunctions.Utility_DisplayArrayInTable(Fertiliser_SourceData.Fertiliser_Products_Data2(),FertiliserProducts[[#Headers],[Product]], 30)</f>
        <v/>
      </c>
      <c r="L89" s="123" t="str" cm="1">
        <f t="array" ref="L89">Common_InputFunctions.Utility_DisplayArrayInTable(Fertiliser_SourceData.Fertiliser_Products_Data2(),FertiliserProducts[[#Headers],[Product]], 30)</f>
        <v/>
      </c>
      <c r="M89" s="123" t="str" cm="1">
        <f t="array" ref="M89">Common_InputFunctions.Utility_DisplayArrayInTable(Fertiliser_SourceData.Fertiliser_Products_Data2(),FertiliserProducts[[#Headers],[Product]], 30)</f>
        <v/>
      </c>
      <c r="N89" s="123" t="str" cm="1">
        <f t="array" ref="N89">Common_InputFunctions.Utility_DisplayArrayInTable(Fertiliser_SourceData.Fertiliser_Products_Data2(),FertiliserProducts[[#Headers],[Product]], 30)</f>
        <v/>
      </c>
      <c r="O89" s="123" t="str" cm="1">
        <f t="array" ref="O89">Common_InputFunctions.Utility_DisplayArrayInTable(Fertiliser_SourceData.Fertiliser_Products_Data2(),FertiliserProducts[[#Headers],[Product]], 30)</f>
        <v/>
      </c>
      <c r="P89" s="123" t="str" cm="1">
        <f t="array" ref="P89">Common_InputFunctions.Utility_DisplayArrayInTable(Fertiliser_SourceData.Fertiliser_Products_Data2(),FertiliserProducts[[#Headers],[Product]], 30)</f>
        <v/>
      </c>
      <c r="Q89" s="123" t="str" cm="1">
        <f t="array" ref="Q89">Common_InputFunctions.Utility_DisplayArrayInTable(Fertiliser_SourceData.Fertiliser_Products_Data2(),FertiliserProducts[[#Headers],[Product]], 30)</f>
        <v/>
      </c>
      <c r="R89" s="123" t="str" cm="1">
        <f t="array" ref="R89">Common_InputFunctions.Utility_DisplayArrayInTable(Fertiliser_SourceData.Fertiliser_Products_Data2(),FertiliserProducts[[#Headers],[Product]], 30)</f>
        <v/>
      </c>
      <c r="S89" s="123" t="str" cm="1">
        <f t="array" ref="S89">Common_InputFunctions.Utility_DisplayArrayInTable(Fertiliser_SourceData.Fertiliser_Products_Data2(),FertiliserProducts[[#Headers],[Product]], 30)</f>
        <v/>
      </c>
      <c r="T89" s="123" t="str" cm="1">
        <f t="array" ref="T89">Common_InputFunctions.Utility_DisplayArrayInTable(Fertiliser_SourceData.Fertiliser_Products_Data2(),FertiliserProducts[[#Headers],[Product]], 30)</f>
        <v/>
      </c>
      <c r="U89" s="123" t="str" cm="1">
        <f t="array" ref="U89">Common_InputFunctions.Utility_DisplayArrayInTable(Fertiliser_SourceData.Fertiliser_Products_Data2(),FertiliserProducts[[#Headers],[Product]], 30)</f>
        <v/>
      </c>
      <c r="V89" s="123" t="str" cm="1">
        <f t="array" ref="V89">Common_InputFunctions.Utility_DisplayArrayInTable(Fertiliser_SourceData.Fertiliser_Products_Data2(),FertiliserProducts[[#Headers],[Product]], 30)</f>
        <v/>
      </c>
      <c r="W89" s="123" t="str" cm="1">
        <f t="array" ref="W89">Common_InputFunctions.Utility_DisplayArrayInTable(Fertiliser_SourceData.Fertiliser_Products_Data2(),FertiliserProducts[[#Headers],[Product]], 30)</f>
        <v>Incitec Pivot Fertilisers</v>
      </c>
    </row>
    <row r="90" spans="4:23" ht="20.100000000000001" customHeight="1" x14ac:dyDescent="0.25">
      <c r="D90" s="123" t="str" cm="1">
        <f t="array" ref="D90">Common_InputFunctions.Utility_DisplayArrayInTable(Fertiliser_SourceData.Fertiliser_Products_Data2(),FertiliserProducts[[#Headers],[Product]], 30)</f>
        <v>MAP Impact</v>
      </c>
      <c r="E90" s="123" t="str" cm="1">
        <f t="array" ref="E90">Common_InputFunctions.Utility_DisplayArrayInTable(Fertiliser_SourceData.Fertiliser_Products_Data2(),FertiliserProducts[[#Headers],[Product]], 30)</f>
        <v/>
      </c>
      <c r="F90" s="123" t="str" cm="1">
        <f t="array" ref="F90">Common_InputFunctions.Utility_DisplayArrayInTable(Fertiliser_SourceData.Fertiliser_Products_Data2(),FertiliserProducts[[#Headers],[Product]], 30)</f>
        <v/>
      </c>
      <c r="G90" s="123" t="str" cm="1">
        <f t="array" ref="G90">Common_InputFunctions.Utility_DisplayArrayInTable(Fertiliser_SourceData.Fertiliser_Products_Data2(),FertiliserProducts[[#Headers],[Product]], 30)</f>
        <v/>
      </c>
      <c r="H90" s="123" t="str" cm="1">
        <f t="array" ref="H90">Common_InputFunctions.Utility_DisplayArrayInTable(Fertiliser_SourceData.Fertiliser_Products_Data2(),FertiliserProducts[[#Headers],[Product]], 30)</f>
        <v/>
      </c>
      <c r="I90" s="123" t="str" cm="1">
        <f t="array" ref="I90">Common_InputFunctions.Utility_DisplayArrayInTable(Fertiliser_SourceData.Fertiliser_Products_Data2(),FertiliserProducts[[#Headers],[Product]], 30)</f>
        <v/>
      </c>
      <c r="J90" s="123" t="str" cm="1">
        <f t="array" ref="J90">Common_InputFunctions.Utility_DisplayArrayInTable(Fertiliser_SourceData.Fertiliser_Products_Data2(),FertiliserProducts[[#Headers],[Product]], 30)</f>
        <v/>
      </c>
      <c r="K90" s="123" t="str" cm="1">
        <f t="array" ref="K90">Common_InputFunctions.Utility_DisplayArrayInTable(Fertiliser_SourceData.Fertiliser_Products_Data2(),FertiliserProducts[[#Headers],[Product]], 30)</f>
        <v/>
      </c>
      <c r="L90" s="123" t="str" cm="1">
        <f t="array" ref="L90">Common_InputFunctions.Utility_DisplayArrayInTable(Fertiliser_SourceData.Fertiliser_Products_Data2(),FertiliserProducts[[#Headers],[Product]], 30)</f>
        <v/>
      </c>
      <c r="M90" s="123" t="str" cm="1">
        <f t="array" ref="M90">Common_InputFunctions.Utility_DisplayArrayInTable(Fertiliser_SourceData.Fertiliser_Products_Data2(),FertiliserProducts[[#Headers],[Product]], 30)</f>
        <v/>
      </c>
      <c r="N90" s="123" t="str" cm="1">
        <f t="array" ref="N90">Common_InputFunctions.Utility_DisplayArrayInTable(Fertiliser_SourceData.Fertiliser_Products_Data2(),FertiliserProducts[[#Headers],[Product]], 30)</f>
        <v/>
      </c>
      <c r="O90" s="123" t="str" cm="1">
        <f t="array" ref="O90">Common_InputFunctions.Utility_DisplayArrayInTable(Fertiliser_SourceData.Fertiliser_Products_Data2(),FertiliserProducts[[#Headers],[Product]], 30)</f>
        <v/>
      </c>
      <c r="P90" s="123" t="str" cm="1">
        <f t="array" ref="P90">Common_InputFunctions.Utility_DisplayArrayInTable(Fertiliser_SourceData.Fertiliser_Products_Data2(),FertiliserProducts[[#Headers],[Product]], 30)</f>
        <v/>
      </c>
      <c r="Q90" s="123" t="str" cm="1">
        <f t="array" ref="Q90">Common_InputFunctions.Utility_DisplayArrayInTable(Fertiliser_SourceData.Fertiliser_Products_Data2(),FertiliserProducts[[#Headers],[Product]], 30)</f>
        <v/>
      </c>
      <c r="R90" s="123" t="str" cm="1">
        <f t="array" ref="R90">Common_InputFunctions.Utility_DisplayArrayInTable(Fertiliser_SourceData.Fertiliser_Products_Data2(),FertiliserProducts[[#Headers],[Product]], 30)</f>
        <v/>
      </c>
      <c r="S90" s="123" t="str" cm="1">
        <f t="array" ref="S90">Common_InputFunctions.Utility_DisplayArrayInTable(Fertiliser_SourceData.Fertiliser_Products_Data2(),FertiliserProducts[[#Headers],[Product]], 30)</f>
        <v/>
      </c>
      <c r="T90" s="123" t="str" cm="1">
        <f t="array" ref="T90">Common_InputFunctions.Utility_DisplayArrayInTable(Fertiliser_SourceData.Fertiliser_Products_Data2(),FertiliserProducts[[#Headers],[Product]], 30)</f>
        <v/>
      </c>
      <c r="U90" s="123" t="str" cm="1">
        <f t="array" ref="U90">Common_InputFunctions.Utility_DisplayArrayInTable(Fertiliser_SourceData.Fertiliser_Products_Data2(),FertiliserProducts[[#Headers],[Product]], 30)</f>
        <v/>
      </c>
      <c r="V90" s="123" t="str" cm="1">
        <f t="array" ref="V90">Common_InputFunctions.Utility_DisplayArrayInTable(Fertiliser_SourceData.Fertiliser_Products_Data2(),FertiliserProducts[[#Headers],[Product]], 30)</f>
        <v/>
      </c>
      <c r="W90" s="123" t="str" cm="1">
        <f t="array" ref="W90">Common_InputFunctions.Utility_DisplayArrayInTable(Fertiliser_SourceData.Fertiliser_Products_Data2(),FertiliserProducts[[#Headers],[Product]], 30)</f>
        <v>Impact fertilisers</v>
      </c>
    </row>
    <row r="91" spans="4:23" ht="20.100000000000001" customHeight="1" x14ac:dyDescent="0.25">
      <c r="D91" s="123" t="str" cm="1">
        <f t="array" ref="D91">Common_InputFunctions.Utility_DisplayArrayInTable(Fertiliser_SourceData.Fertiliser_Products_Data2(),FertiliserProducts[[#Headers],[Product]], 30)</f>
        <v>MAPSZC</v>
      </c>
      <c r="E91" s="123" t="str" cm="1">
        <f t="array" ref="E91">Common_InputFunctions.Utility_DisplayArrayInTable(Fertiliser_SourceData.Fertiliser_Products_Data2(),FertiliserProducts[[#Headers],[Product]], 30)</f>
        <v/>
      </c>
      <c r="F91" s="123" t="str" cm="1">
        <f t="array" ref="F91">Common_InputFunctions.Utility_DisplayArrayInTable(Fertiliser_SourceData.Fertiliser_Products_Data2(),FertiliserProducts[[#Headers],[Product]], 30)</f>
        <v/>
      </c>
      <c r="G91" s="123" t="str" cm="1">
        <f t="array" ref="G91">Common_InputFunctions.Utility_DisplayArrayInTable(Fertiliser_SourceData.Fertiliser_Products_Data2(),FertiliserProducts[[#Headers],[Product]], 30)</f>
        <v/>
      </c>
      <c r="H91" s="123" t="str" cm="1">
        <f t="array" ref="H91">Common_InputFunctions.Utility_DisplayArrayInTable(Fertiliser_SourceData.Fertiliser_Products_Data2(),FertiliserProducts[[#Headers],[Product]], 30)</f>
        <v/>
      </c>
      <c r="I91" s="123" t="str" cm="1">
        <f t="array" ref="I91">Common_InputFunctions.Utility_DisplayArrayInTable(Fertiliser_SourceData.Fertiliser_Products_Data2(),FertiliserProducts[[#Headers],[Product]], 30)</f>
        <v/>
      </c>
      <c r="J91" s="123" t="str" cm="1">
        <f t="array" ref="J91">Common_InputFunctions.Utility_DisplayArrayInTable(Fertiliser_SourceData.Fertiliser_Products_Data2(),FertiliserProducts[[#Headers],[Product]], 30)</f>
        <v/>
      </c>
      <c r="K91" s="123" t="str" cm="1">
        <f t="array" ref="K91">Common_InputFunctions.Utility_DisplayArrayInTable(Fertiliser_SourceData.Fertiliser_Products_Data2(),FertiliserProducts[[#Headers],[Product]], 30)</f>
        <v/>
      </c>
      <c r="L91" s="123" t="str" cm="1">
        <f t="array" ref="L91">Common_InputFunctions.Utility_DisplayArrayInTable(Fertiliser_SourceData.Fertiliser_Products_Data2(),FertiliserProducts[[#Headers],[Product]], 30)</f>
        <v/>
      </c>
      <c r="M91" s="123" t="str" cm="1">
        <f t="array" ref="M91">Common_InputFunctions.Utility_DisplayArrayInTable(Fertiliser_SourceData.Fertiliser_Products_Data2(),FertiliserProducts[[#Headers],[Product]], 30)</f>
        <v/>
      </c>
      <c r="N91" s="123" t="str" cm="1">
        <f t="array" ref="N91">Common_InputFunctions.Utility_DisplayArrayInTable(Fertiliser_SourceData.Fertiliser_Products_Data2(),FertiliserProducts[[#Headers],[Product]], 30)</f>
        <v/>
      </c>
      <c r="O91" s="123" t="str" cm="1">
        <f t="array" ref="O91">Common_InputFunctions.Utility_DisplayArrayInTable(Fertiliser_SourceData.Fertiliser_Products_Data2(),FertiliserProducts[[#Headers],[Product]], 30)</f>
        <v/>
      </c>
      <c r="P91" s="123" t="str" cm="1">
        <f t="array" ref="P91">Common_InputFunctions.Utility_DisplayArrayInTable(Fertiliser_SourceData.Fertiliser_Products_Data2(),FertiliserProducts[[#Headers],[Product]], 30)</f>
        <v/>
      </c>
      <c r="Q91" s="123" t="str" cm="1">
        <f t="array" ref="Q91">Common_InputFunctions.Utility_DisplayArrayInTable(Fertiliser_SourceData.Fertiliser_Products_Data2(),FertiliserProducts[[#Headers],[Product]], 30)</f>
        <v/>
      </c>
      <c r="R91" s="123" t="str" cm="1">
        <f t="array" ref="R91">Common_InputFunctions.Utility_DisplayArrayInTable(Fertiliser_SourceData.Fertiliser_Products_Data2(),FertiliserProducts[[#Headers],[Product]], 30)</f>
        <v/>
      </c>
      <c r="S91" s="123" t="str" cm="1">
        <f t="array" ref="S91">Common_InputFunctions.Utility_DisplayArrayInTable(Fertiliser_SourceData.Fertiliser_Products_Data2(),FertiliserProducts[[#Headers],[Product]], 30)</f>
        <v/>
      </c>
      <c r="T91" s="123" t="str" cm="1">
        <f t="array" ref="T91">Common_InputFunctions.Utility_DisplayArrayInTable(Fertiliser_SourceData.Fertiliser_Products_Data2(),FertiliserProducts[[#Headers],[Product]], 30)</f>
        <v/>
      </c>
      <c r="U91" s="123" t="str" cm="1">
        <f t="array" ref="U91">Common_InputFunctions.Utility_DisplayArrayInTable(Fertiliser_SourceData.Fertiliser_Products_Data2(),FertiliserProducts[[#Headers],[Product]], 30)</f>
        <v/>
      </c>
      <c r="V91" s="123" t="str" cm="1">
        <f t="array" ref="V91">Common_InputFunctions.Utility_DisplayArrayInTable(Fertiliser_SourceData.Fertiliser_Products_Data2(),FertiliserProducts[[#Headers],[Product]], 30)</f>
        <v/>
      </c>
      <c r="W91" s="123" t="str" cm="1">
        <f t="array" ref="W91">Common_InputFunctions.Utility_DisplayArrayInTable(Fertiliser_SourceData.Fertiliser_Products_Data2(),FertiliserProducts[[#Headers],[Product]], 30)</f>
        <v>Summit Fertilizers</v>
      </c>
    </row>
    <row r="92" spans="4:23" ht="20.100000000000001" customHeight="1" x14ac:dyDescent="0.25">
      <c r="D92" s="123" t="str" cm="1">
        <f t="array" ref="D92">Common_InputFunctions.Utility_DisplayArrayInTable(Fertiliser_SourceData.Fertiliser_Products_Data2(),FertiliserProducts[[#Headers],[Product]], 30)</f>
        <v>Maximum N-Pact 29-0-0</v>
      </c>
      <c r="E92" s="123" t="str" cm="1">
        <f t="array" ref="E92">Common_InputFunctions.Utility_DisplayArrayInTable(Fertiliser_SourceData.Fertiliser_Products_Data2(),FertiliserProducts[[#Headers],[Product]], 30)</f>
        <v/>
      </c>
      <c r="F92" s="123" t="str" cm="1">
        <f t="array" ref="F92">Common_InputFunctions.Utility_DisplayArrayInTable(Fertiliser_SourceData.Fertiliser_Products_Data2(),FertiliserProducts[[#Headers],[Product]], 30)</f>
        <v/>
      </c>
      <c r="G92" s="123" t="str" cm="1">
        <f t="array" ref="G92">Common_InputFunctions.Utility_DisplayArrayInTable(Fertiliser_SourceData.Fertiliser_Products_Data2(),FertiliserProducts[[#Headers],[Product]], 30)</f>
        <v/>
      </c>
      <c r="H92" s="123" t="str" cm="1">
        <f t="array" ref="H92">Common_InputFunctions.Utility_DisplayArrayInTable(Fertiliser_SourceData.Fertiliser_Products_Data2(),FertiliserProducts[[#Headers],[Product]], 30)</f>
        <v/>
      </c>
      <c r="I92" s="123" t="str" cm="1">
        <f t="array" ref="I92">Common_InputFunctions.Utility_DisplayArrayInTable(Fertiliser_SourceData.Fertiliser_Products_Data2(),FertiliserProducts[[#Headers],[Product]], 30)</f>
        <v/>
      </c>
      <c r="J92" s="123" t="str" cm="1">
        <f t="array" ref="J92">Common_InputFunctions.Utility_DisplayArrayInTable(Fertiliser_SourceData.Fertiliser_Products_Data2(),FertiliserProducts[[#Headers],[Product]], 30)</f>
        <v/>
      </c>
      <c r="K92" s="123" t="str" cm="1">
        <f t="array" ref="K92">Common_InputFunctions.Utility_DisplayArrayInTable(Fertiliser_SourceData.Fertiliser_Products_Data2(),FertiliserProducts[[#Headers],[Product]], 30)</f>
        <v/>
      </c>
      <c r="L92" s="123" t="str" cm="1">
        <f t="array" ref="L92">Common_InputFunctions.Utility_DisplayArrayInTable(Fertiliser_SourceData.Fertiliser_Products_Data2(),FertiliserProducts[[#Headers],[Product]], 30)</f>
        <v/>
      </c>
      <c r="M92" s="123" t="str" cm="1">
        <f t="array" ref="M92">Common_InputFunctions.Utility_DisplayArrayInTable(Fertiliser_SourceData.Fertiliser_Products_Data2(),FertiliserProducts[[#Headers],[Product]], 30)</f>
        <v/>
      </c>
      <c r="N92" s="123" t="str" cm="1">
        <f t="array" ref="N92">Common_InputFunctions.Utility_DisplayArrayInTable(Fertiliser_SourceData.Fertiliser_Products_Data2(),FertiliserProducts[[#Headers],[Product]], 30)</f>
        <v/>
      </c>
      <c r="O92" s="123" t="str" cm="1">
        <f t="array" ref="O92">Common_InputFunctions.Utility_DisplayArrayInTable(Fertiliser_SourceData.Fertiliser_Products_Data2(),FertiliserProducts[[#Headers],[Product]], 30)</f>
        <v/>
      </c>
      <c r="P92" s="123" t="str" cm="1">
        <f t="array" ref="P92">Common_InputFunctions.Utility_DisplayArrayInTable(Fertiliser_SourceData.Fertiliser_Products_Data2(),FertiliserProducts[[#Headers],[Product]], 30)</f>
        <v/>
      </c>
      <c r="Q92" s="123" t="str" cm="1">
        <f t="array" ref="Q92">Common_InputFunctions.Utility_DisplayArrayInTable(Fertiliser_SourceData.Fertiliser_Products_Data2(),FertiliserProducts[[#Headers],[Product]], 30)</f>
        <v/>
      </c>
      <c r="R92" s="123" t="str" cm="1">
        <f t="array" ref="R92">Common_InputFunctions.Utility_DisplayArrayInTable(Fertiliser_SourceData.Fertiliser_Products_Data2(),FertiliserProducts[[#Headers],[Product]], 30)</f>
        <v/>
      </c>
      <c r="S92" s="123" t="str" cm="1">
        <f t="array" ref="S92">Common_InputFunctions.Utility_DisplayArrayInTable(Fertiliser_SourceData.Fertiliser_Products_Data2(),FertiliserProducts[[#Headers],[Product]], 30)</f>
        <v/>
      </c>
      <c r="T92" s="123" t="str" cm="1">
        <f t="array" ref="T92">Common_InputFunctions.Utility_DisplayArrayInTable(Fertiliser_SourceData.Fertiliser_Products_Data2(),FertiliserProducts[[#Headers],[Product]], 30)</f>
        <v/>
      </c>
      <c r="U92" s="123" t="str" cm="1">
        <f t="array" ref="U92">Common_InputFunctions.Utility_DisplayArrayInTable(Fertiliser_SourceData.Fertiliser_Products_Data2(),FertiliserProducts[[#Headers],[Product]], 30)</f>
        <v/>
      </c>
      <c r="V92" s="123" t="str" cm="1">
        <f t="array" ref="V92">Common_InputFunctions.Utility_DisplayArrayInTable(Fertiliser_SourceData.Fertiliser_Products_Data2(),FertiliserProducts[[#Headers],[Product]], 30)</f>
        <v/>
      </c>
      <c r="W92" s="123" t="str" cm="1">
        <f t="array" ref="W92">Common_InputFunctions.Utility_DisplayArrayInTable(Fertiliser_SourceData.Fertiliser_Products_Data2(),FertiliserProducts[[#Headers],[Product]], 30)</f>
        <v>Maximum N-Pact | Loveland (lovelandagriproducts.com.au)</v>
      </c>
    </row>
    <row r="93" spans="4:23" ht="20.100000000000001" customHeight="1" x14ac:dyDescent="0.25">
      <c r="D93" s="123" t="str" cm="1">
        <f t="array" ref="D93">Common_InputFunctions.Utility_DisplayArrayInTable(Fertiliser_SourceData.Fertiliser_Products_Data2(),FertiliserProducts[[#Headers],[Product]], 30)</f>
        <v>Microsol 12-6-44</v>
      </c>
      <c r="E93" s="123" t="str" cm="1">
        <f t="array" ref="E93">Common_InputFunctions.Utility_DisplayArrayInTable(Fertiliser_SourceData.Fertiliser_Products_Data2(),FertiliserProducts[[#Headers],[Product]], 30)</f>
        <v/>
      </c>
      <c r="F93" s="123" t="str" cm="1">
        <f t="array" ref="F93">Common_InputFunctions.Utility_DisplayArrayInTable(Fertiliser_SourceData.Fertiliser_Products_Data2(),FertiliserProducts[[#Headers],[Product]], 30)</f>
        <v/>
      </c>
      <c r="G93" s="123" t="str" cm="1">
        <f t="array" ref="G93">Common_InputFunctions.Utility_DisplayArrayInTable(Fertiliser_SourceData.Fertiliser_Products_Data2(),FertiliserProducts[[#Headers],[Product]], 30)</f>
        <v/>
      </c>
      <c r="H93" s="123" t="str" cm="1">
        <f t="array" ref="H93">Common_InputFunctions.Utility_DisplayArrayInTable(Fertiliser_SourceData.Fertiliser_Products_Data2(),FertiliserProducts[[#Headers],[Product]], 30)</f>
        <v/>
      </c>
      <c r="I93" s="123" t="str" cm="1">
        <f t="array" ref="I93">Common_InputFunctions.Utility_DisplayArrayInTable(Fertiliser_SourceData.Fertiliser_Products_Data2(),FertiliserProducts[[#Headers],[Product]], 30)</f>
        <v/>
      </c>
      <c r="J93" s="123" t="str" cm="1">
        <f t="array" ref="J93">Common_InputFunctions.Utility_DisplayArrayInTable(Fertiliser_SourceData.Fertiliser_Products_Data2(),FertiliserProducts[[#Headers],[Product]], 30)</f>
        <v/>
      </c>
      <c r="K93" s="123" t="str" cm="1">
        <f t="array" ref="K93">Common_InputFunctions.Utility_DisplayArrayInTable(Fertiliser_SourceData.Fertiliser_Products_Data2(),FertiliserProducts[[#Headers],[Product]], 30)</f>
        <v/>
      </c>
      <c r="L93" s="123" t="str" cm="1">
        <f t="array" ref="L93">Common_InputFunctions.Utility_DisplayArrayInTable(Fertiliser_SourceData.Fertiliser_Products_Data2(),FertiliserProducts[[#Headers],[Product]], 30)</f>
        <v/>
      </c>
      <c r="M93" s="123" t="str" cm="1">
        <f t="array" ref="M93">Common_InputFunctions.Utility_DisplayArrayInTable(Fertiliser_SourceData.Fertiliser_Products_Data2(),FertiliserProducts[[#Headers],[Product]], 30)</f>
        <v/>
      </c>
      <c r="N93" s="123" t="str" cm="1">
        <f t="array" ref="N93">Common_InputFunctions.Utility_DisplayArrayInTable(Fertiliser_SourceData.Fertiliser_Products_Data2(),FertiliserProducts[[#Headers],[Product]], 30)</f>
        <v/>
      </c>
      <c r="O93" s="123" t="str" cm="1">
        <f t="array" ref="O93">Common_InputFunctions.Utility_DisplayArrayInTable(Fertiliser_SourceData.Fertiliser_Products_Data2(),FertiliserProducts[[#Headers],[Product]], 30)</f>
        <v/>
      </c>
      <c r="P93" s="123" t="str" cm="1">
        <f t="array" ref="P93">Common_InputFunctions.Utility_DisplayArrayInTable(Fertiliser_SourceData.Fertiliser_Products_Data2(),FertiliserProducts[[#Headers],[Product]], 30)</f>
        <v/>
      </c>
      <c r="Q93" s="123" t="str" cm="1">
        <f t="array" ref="Q93">Common_InputFunctions.Utility_DisplayArrayInTable(Fertiliser_SourceData.Fertiliser_Products_Data2(),FertiliserProducts[[#Headers],[Product]], 30)</f>
        <v/>
      </c>
      <c r="R93" s="123" t="str" cm="1">
        <f t="array" ref="R93">Common_InputFunctions.Utility_DisplayArrayInTable(Fertiliser_SourceData.Fertiliser_Products_Data2(),FertiliserProducts[[#Headers],[Product]], 30)</f>
        <v/>
      </c>
      <c r="S93" s="123" t="str" cm="1">
        <f t="array" ref="S93">Common_InputFunctions.Utility_DisplayArrayInTable(Fertiliser_SourceData.Fertiliser_Products_Data2(),FertiliserProducts[[#Headers],[Product]], 30)</f>
        <v/>
      </c>
      <c r="T93" s="123" t="str" cm="1">
        <f t="array" ref="T93">Common_InputFunctions.Utility_DisplayArrayInTable(Fertiliser_SourceData.Fertiliser_Products_Data2(),FertiliserProducts[[#Headers],[Product]], 30)</f>
        <v/>
      </c>
      <c r="U93" s="123" t="str" cm="1">
        <f t="array" ref="U93">Common_InputFunctions.Utility_DisplayArrayInTable(Fertiliser_SourceData.Fertiliser_Products_Data2(),FertiliserProducts[[#Headers],[Product]], 30)</f>
        <v/>
      </c>
      <c r="V93" s="123" t="str" cm="1">
        <f t="array" ref="V93">Common_InputFunctions.Utility_DisplayArrayInTable(Fertiliser_SourceData.Fertiliser_Products_Data2(),FertiliserProducts[[#Headers],[Product]], 30)</f>
        <v/>
      </c>
      <c r="W93" s="123" t="str" cm="1">
        <f t="array" ref="W93">Common_InputFunctions.Utility_DisplayArrayInTable(Fertiliser_SourceData.Fertiliser_Products_Data2(),FertiliserProducts[[#Headers],[Product]], 30)</f>
        <v>Rigbytaylor Microsol Range</v>
      </c>
    </row>
    <row r="94" spans="4:23" ht="20.100000000000001" customHeight="1" x14ac:dyDescent="0.25">
      <c r="D94" s="123" t="str" cm="1">
        <f t="array" ref="D94">Common_InputFunctions.Utility_DisplayArrayInTable(Fertiliser_SourceData.Fertiliser_Products_Data2(),FertiliserProducts[[#Headers],[Product]], 30)</f>
        <v>Microsol 16-32-16</v>
      </c>
      <c r="E94" s="123" t="str" cm="1">
        <f t="array" ref="E94">Common_InputFunctions.Utility_DisplayArrayInTable(Fertiliser_SourceData.Fertiliser_Products_Data2(),FertiliserProducts[[#Headers],[Product]], 30)</f>
        <v/>
      </c>
      <c r="F94" s="123" t="str" cm="1">
        <f t="array" ref="F94">Common_InputFunctions.Utility_DisplayArrayInTable(Fertiliser_SourceData.Fertiliser_Products_Data2(),FertiliserProducts[[#Headers],[Product]], 30)</f>
        <v/>
      </c>
      <c r="G94" s="123" t="str" cm="1">
        <f t="array" ref="G94">Common_InputFunctions.Utility_DisplayArrayInTable(Fertiliser_SourceData.Fertiliser_Products_Data2(),FertiliserProducts[[#Headers],[Product]], 30)</f>
        <v/>
      </c>
      <c r="H94" s="123" t="str" cm="1">
        <f t="array" ref="H94">Common_InputFunctions.Utility_DisplayArrayInTable(Fertiliser_SourceData.Fertiliser_Products_Data2(),FertiliserProducts[[#Headers],[Product]], 30)</f>
        <v/>
      </c>
      <c r="I94" s="123" t="str" cm="1">
        <f t="array" ref="I94">Common_InputFunctions.Utility_DisplayArrayInTable(Fertiliser_SourceData.Fertiliser_Products_Data2(),FertiliserProducts[[#Headers],[Product]], 30)</f>
        <v/>
      </c>
      <c r="J94" s="123" t="str" cm="1">
        <f t="array" ref="J94">Common_InputFunctions.Utility_DisplayArrayInTable(Fertiliser_SourceData.Fertiliser_Products_Data2(),FertiliserProducts[[#Headers],[Product]], 30)</f>
        <v/>
      </c>
      <c r="K94" s="123" t="str" cm="1">
        <f t="array" ref="K94">Common_InputFunctions.Utility_DisplayArrayInTable(Fertiliser_SourceData.Fertiliser_Products_Data2(),FertiliserProducts[[#Headers],[Product]], 30)</f>
        <v/>
      </c>
      <c r="L94" s="123" t="str" cm="1">
        <f t="array" ref="L94">Common_InputFunctions.Utility_DisplayArrayInTable(Fertiliser_SourceData.Fertiliser_Products_Data2(),FertiliserProducts[[#Headers],[Product]], 30)</f>
        <v/>
      </c>
      <c r="M94" s="123" t="str" cm="1">
        <f t="array" ref="M94">Common_InputFunctions.Utility_DisplayArrayInTable(Fertiliser_SourceData.Fertiliser_Products_Data2(),FertiliserProducts[[#Headers],[Product]], 30)</f>
        <v/>
      </c>
      <c r="N94" s="123" t="str" cm="1">
        <f t="array" ref="N94">Common_InputFunctions.Utility_DisplayArrayInTable(Fertiliser_SourceData.Fertiliser_Products_Data2(),FertiliserProducts[[#Headers],[Product]], 30)</f>
        <v/>
      </c>
      <c r="O94" s="123" t="str" cm="1">
        <f t="array" ref="O94">Common_InputFunctions.Utility_DisplayArrayInTable(Fertiliser_SourceData.Fertiliser_Products_Data2(),FertiliserProducts[[#Headers],[Product]], 30)</f>
        <v/>
      </c>
      <c r="P94" s="123" t="str" cm="1">
        <f t="array" ref="P94">Common_InputFunctions.Utility_DisplayArrayInTable(Fertiliser_SourceData.Fertiliser_Products_Data2(),FertiliserProducts[[#Headers],[Product]], 30)</f>
        <v/>
      </c>
      <c r="Q94" s="123" t="str" cm="1">
        <f t="array" ref="Q94">Common_InputFunctions.Utility_DisplayArrayInTable(Fertiliser_SourceData.Fertiliser_Products_Data2(),FertiliserProducts[[#Headers],[Product]], 30)</f>
        <v/>
      </c>
      <c r="R94" s="123" t="str" cm="1">
        <f t="array" ref="R94">Common_InputFunctions.Utility_DisplayArrayInTable(Fertiliser_SourceData.Fertiliser_Products_Data2(),FertiliserProducts[[#Headers],[Product]], 30)</f>
        <v/>
      </c>
      <c r="S94" s="123" t="str" cm="1">
        <f t="array" ref="S94">Common_InputFunctions.Utility_DisplayArrayInTable(Fertiliser_SourceData.Fertiliser_Products_Data2(),FertiliserProducts[[#Headers],[Product]], 30)</f>
        <v/>
      </c>
      <c r="T94" s="123" t="str" cm="1">
        <f t="array" ref="T94">Common_InputFunctions.Utility_DisplayArrayInTable(Fertiliser_SourceData.Fertiliser_Products_Data2(),FertiliserProducts[[#Headers],[Product]], 30)</f>
        <v/>
      </c>
      <c r="U94" s="123" t="str" cm="1">
        <f t="array" ref="U94">Common_InputFunctions.Utility_DisplayArrayInTable(Fertiliser_SourceData.Fertiliser_Products_Data2(),FertiliserProducts[[#Headers],[Product]], 30)</f>
        <v/>
      </c>
      <c r="V94" s="123" t="str" cm="1">
        <f t="array" ref="V94">Common_InputFunctions.Utility_DisplayArrayInTable(Fertiliser_SourceData.Fertiliser_Products_Data2(),FertiliserProducts[[#Headers],[Product]], 30)</f>
        <v/>
      </c>
      <c r="W94" s="123" t="str" cm="1">
        <f t="array" ref="W94">Common_InputFunctions.Utility_DisplayArrayInTable(Fertiliser_SourceData.Fertiliser_Products_Data2(),FertiliserProducts[[#Headers],[Product]], 30)</f>
        <v>Rigbytaylor Microsol Range</v>
      </c>
    </row>
    <row r="95" spans="4:23" ht="20.100000000000001" customHeight="1" x14ac:dyDescent="0.25">
      <c r="D95" s="123" t="str" cm="1">
        <f t="array" ref="D95">Common_InputFunctions.Utility_DisplayArrayInTable(Fertiliser_SourceData.Fertiliser_Products_Data2(),FertiliserProducts[[#Headers],[Product]], 30)</f>
        <v>Microsol 25-5-10</v>
      </c>
      <c r="E95" s="123" t="str" cm="1">
        <f t="array" ref="E95">Common_InputFunctions.Utility_DisplayArrayInTable(Fertiliser_SourceData.Fertiliser_Products_Data2(),FertiliserProducts[[#Headers],[Product]], 30)</f>
        <v/>
      </c>
      <c r="F95" s="123" t="str" cm="1">
        <f t="array" ref="F95">Common_InputFunctions.Utility_DisplayArrayInTable(Fertiliser_SourceData.Fertiliser_Products_Data2(),FertiliserProducts[[#Headers],[Product]], 30)</f>
        <v/>
      </c>
      <c r="G95" s="123" t="str" cm="1">
        <f t="array" ref="G95">Common_InputFunctions.Utility_DisplayArrayInTable(Fertiliser_SourceData.Fertiliser_Products_Data2(),FertiliserProducts[[#Headers],[Product]], 30)</f>
        <v/>
      </c>
      <c r="H95" s="123" t="str" cm="1">
        <f t="array" ref="H95">Common_InputFunctions.Utility_DisplayArrayInTable(Fertiliser_SourceData.Fertiliser_Products_Data2(),FertiliserProducts[[#Headers],[Product]], 30)</f>
        <v/>
      </c>
      <c r="I95" s="123" t="str" cm="1">
        <f t="array" ref="I95">Common_InputFunctions.Utility_DisplayArrayInTable(Fertiliser_SourceData.Fertiliser_Products_Data2(),FertiliserProducts[[#Headers],[Product]], 30)</f>
        <v/>
      </c>
      <c r="J95" s="123" t="str" cm="1">
        <f t="array" ref="J95">Common_InputFunctions.Utility_DisplayArrayInTable(Fertiliser_SourceData.Fertiliser_Products_Data2(),FertiliserProducts[[#Headers],[Product]], 30)</f>
        <v/>
      </c>
      <c r="K95" s="123" t="str" cm="1">
        <f t="array" ref="K95">Common_InputFunctions.Utility_DisplayArrayInTable(Fertiliser_SourceData.Fertiliser_Products_Data2(),FertiliserProducts[[#Headers],[Product]], 30)</f>
        <v/>
      </c>
      <c r="L95" s="123" t="str" cm="1">
        <f t="array" ref="L95">Common_InputFunctions.Utility_DisplayArrayInTable(Fertiliser_SourceData.Fertiliser_Products_Data2(),FertiliserProducts[[#Headers],[Product]], 30)</f>
        <v/>
      </c>
      <c r="M95" s="123" t="str" cm="1">
        <f t="array" ref="M95">Common_InputFunctions.Utility_DisplayArrayInTable(Fertiliser_SourceData.Fertiliser_Products_Data2(),FertiliserProducts[[#Headers],[Product]], 30)</f>
        <v/>
      </c>
      <c r="N95" s="123" t="str" cm="1">
        <f t="array" ref="N95">Common_InputFunctions.Utility_DisplayArrayInTable(Fertiliser_SourceData.Fertiliser_Products_Data2(),FertiliserProducts[[#Headers],[Product]], 30)</f>
        <v/>
      </c>
      <c r="O95" s="123" t="str" cm="1">
        <f t="array" ref="O95">Common_InputFunctions.Utility_DisplayArrayInTable(Fertiliser_SourceData.Fertiliser_Products_Data2(),FertiliserProducts[[#Headers],[Product]], 30)</f>
        <v/>
      </c>
      <c r="P95" s="123" t="str" cm="1">
        <f t="array" ref="P95">Common_InputFunctions.Utility_DisplayArrayInTable(Fertiliser_SourceData.Fertiliser_Products_Data2(),FertiliserProducts[[#Headers],[Product]], 30)</f>
        <v/>
      </c>
      <c r="Q95" s="123" t="str" cm="1">
        <f t="array" ref="Q95">Common_InputFunctions.Utility_DisplayArrayInTable(Fertiliser_SourceData.Fertiliser_Products_Data2(),FertiliserProducts[[#Headers],[Product]], 30)</f>
        <v/>
      </c>
      <c r="R95" s="123" t="str" cm="1">
        <f t="array" ref="R95">Common_InputFunctions.Utility_DisplayArrayInTable(Fertiliser_SourceData.Fertiliser_Products_Data2(),FertiliserProducts[[#Headers],[Product]], 30)</f>
        <v/>
      </c>
      <c r="S95" s="123" t="str" cm="1">
        <f t="array" ref="S95">Common_InputFunctions.Utility_DisplayArrayInTable(Fertiliser_SourceData.Fertiliser_Products_Data2(),FertiliserProducts[[#Headers],[Product]], 30)</f>
        <v/>
      </c>
      <c r="T95" s="123" t="str" cm="1">
        <f t="array" ref="T95">Common_InputFunctions.Utility_DisplayArrayInTable(Fertiliser_SourceData.Fertiliser_Products_Data2(),FertiliserProducts[[#Headers],[Product]], 30)</f>
        <v/>
      </c>
      <c r="U95" s="123" t="str" cm="1">
        <f t="array" ref="U95">Common_InputFunctions.Utility_DisplayArrayInTable(Fertiliser_SourceData.Fertiliser_Products_Data2(),FertiliserProducts[[#Headers],[Product]], 30)</f>
        <v/>
      </c>
      <c r="V95" s="123" t="str" cm="1">
        <f t="array" ref="V95">Common_InputFunctions.Utility_DisplayArrayInTable(Fertiliser_SourceData.Fertiliser_Products_Data2(),FertiliserProducts[[#Headers],[Product]], 30)</f>
        <v/>
      </c>
      <c r="W95" s="123" t="str" cm="1">
        <f t="array" ref="W95">Common_InputFunctions.Utility_DisplayArrayInTable(Fertiliser_SourceData.Fertiliser_Products_Data2(),FertiliserProducts[[#Headers],[Product]], 30)</f>
        <v>Rigbytaylor Microsol Range</v>
      </c>
    </row>
    <row r="96" spans="4:23" ht="20.100000000000001" customHeight="1" x14ac:dyDescent="0.25">
      <c r="D96" s="123" t="str" cm="1">
        <f t="array" ref="D96">Common_InputFunctions.Utility_DisplayArrayInTable(Fertiliser_SourceData.Fertiliser_Products_Data2(),FertiliserProducts[[#Headers],[Product]], 30)</f>
        <v>Microsol 28-0-14</v>
      </c>
      <c r="E96" s="123" t="str" cm="1">
        <f t="array" ref="E96">Common_InputFunctions.Utility_DisplayArrayInTable(Fertiliser_SourceData.Fertiliser_Products_Data2(),FertiliserProducts[[#Headers],[Product]], 30)</f>
        <v/>
      </c>
      <c r="F96" s="123" t="str" cm="1">
        <f t="array" ref="F96">Common_InputFunctions.Utility_DisplayArrayInTable(Fertiliser_SourceData.Fertiliser_Products_Data2(),FertiliserProducts[[#Headers],[Product]], 30)</f>
        <v/>
      </c>
      <c r="G96" s="123" t="str" cm="1">
        <f t="array" ref="G96">Common_InputFunctions.Utility_DisplayArrayInTable(Fertiliser_SourceData.Fertiliser_Products_Data2(),FertiliserProducts[[#Headers],[Product]], 30)</f>
        <v/>
      </c>
      <c r="H96" s="123" t="str" cm="1">
        <f t="array" ref="H96">Common_InputFunctions.Utility_DisplayArrayInTable(Fertiliser_SourceData.Fertiliser_Products_Data2(),FertiliserProducts[[#Headers],[Product]], 30)</f>
        <v/>
      </c>
      <c r="I96" s="123" t="str" cm="1">
        <f t="array" ref="I96">Common_InputFunctions.Utility_DisplayArrayInTable(Fertiliser_SourceData.Fertiliser_Products_Data2(),FertiliserProducts[[#Headers],[Product]], 30)</f>
        <v/>
      </c>
      <c r="J96" s="123" t="str" cm="1">
        <f t="array" ref="J96">Common_InputFunctions.Utility_DisplayArrayInTable(Fertiliser_SourceData.Fertiliser_Products_Data2(),FertiliserProducts[[#Headers],[Product]], 30)</f>
        <v/>
      </c>
      <c r="K96" s="123" t="str" cm="1">
        <f t="array" ref="K96">Common_InputFunctions.Utility_DisplayArrayInTable(Fertiliser_SourceData.Fertiliser_Products_Data2(),FertiliserProducts[[#Headers],[Product]], 30)</f>
        <v/>
      </c>
      <c r="L96" s="123" t="str" cm="1">
        <f t="array" ref="L96">Common_InputFunctions.Utility_DisplayArrayInTable(Fertiliser_SourceData.Fertiliser_Products_Data2(),FertiliserProducts[[#Headers],[Product]], 30)</f>
        <v/>
      </c>
      <c r="M96" s="123" t="str" cm="1">
        <f t="array" ref="M96">Common_InputFunctions.Utility_DisplayArrayInTable(Fertiliser_SourceData.Fertiliser_Products_Data2(),FertiliserProducts[[#Headers],[Product]], 30)</f>
        <v/>
      </c>
      <c r="N96" s="123" t="str" cm="1">
        <f t="array" ref="N96">Common_InputFunctions.Utility_DisplayArrayInTable(Fertiliser_SourceData.Fertiliser_Products_Data2(),FertiliserProducts[[#Headers],[Product]], 30)</f>
        <v/>
      </c>
      <c r="O96" s="123" t="str" cm="1">
        <f t="array" ref="O96">Common_InputFunctions.Utility_DisplayArrayInTable(Fertiliser_SourceData.Fertiliser_Products_Data2(),FertiliserProducts[[#Headers],[Product]], 30)</f>
        <v/>
      </c>
      <c r="P96" s="123" t="str" cm="1">
        <f t="array" ref="P96">Common_InputFunctions.Utility_DisplayArrayInTable(Fertiliser_SourceData.Fertiliser_Products_Data2(),FertiliserProducts[[#Headers],[Product]], 30)</f>
        <v/>
      </c>
      <c r="Q96" s="123" t="str" cm="1">
        <f t="array" ref="Q96">Common_InputFunctions.Utility_DisplayArrayInTable(Fertiliser_SourceData.Fertiliser_Products_Data2(),FertiliserProducts[[#Headers],[Product]], 30)</f>
        <v/>
      </c>
      <c r="R96" s="123" t="str" cm="1">
        <f t="array" ref="R96">Common_InputFunctions.Utility_DisplayArrayInTable(Fertiliser_SourceData.Fertiliser_Products_Data2(),FertiliserProducts[[#Headers],[Product]], 30)</f>
        <v/>
      </c>
      <c r="S96" s="123" t="str" cm="1">
        <f t="array" ref="S96">Common_InputFunctions.Utility_DisplayArrayInTable(Fertiliser_SourceData.Fertiliser_Products_Data2(),FertiliserProducts[[#Headers],[Product]], 30)</f>
        <v/>
      </c>
      <c r="T96" s="123" t="str" cm="1">
        <f t="array" ref="T96">Common_InputFunctions.Utility_DisplayArrayInTable(Fertiliser_SourceData.Fertiliser_Products_Data2(),FertiliserProducts[[#Headers],[Product]], 30)</f>
        <v/>
      </c>
      <c r="U96" s="123" t="str" cm="1">
        <f t="array" ref="U96">Common_InputFunctions.Utility_DisplayArrayInTable(Fertiliser_SourceData.Fertiliser_Products_Data2(),FertiliserProducts[[#Headers],[Product]], 30)</f>
        <v/>
      </c>
      <c r="V96" s="123" t="str" cm="1">
        <f t="array" ref="V96">Common_InputFunctions.Utility_DisplayArrayInTable(Fertiliser_SourceData.Fertiliser_Products_Data2(),FertiliserProducts[[#Headers],[Product]], 30)</f>
        <v/>
      </c>
      <c r="W96" s="123" t="str" cm="1">
        <f t="array" ref="W96">Common_InputFunctions.Utility_DisplayArrayInTable(Fertiliser_SourceData.Fertiliser_Products_Data2(),FertiliserProducts[[#Headers],[Product]], 30)</f>
        <v>Rigbytaylor Microsol Range</v>
      </c>
    </row>
    <row r="97" spans="4:23" ht="20.100000000000001" customHeight="1" x14ac:dyDescent="0.25">
      <c r="D97" s="123" t="str" cm="1">
        <f t="array" ref="D97">Common_InputFunctions.Utility_DisplayArrayInTable(Fertiliser_SourceData.Fertiliser_Products_Data2(),FertiliserProducts[[#Headers],[Product]], 30)</f>
        <v>Mono Potassium Phosphate MKP</v>
      </c>
      <c r="E97" s="123" t="str" cm="1">
        <f t="array" ref="E97">Common_InputFunctions.Utility_DisplayArrayInTable(Fertiliser_SourceData.Fertiliser_Products_Data2(),FertiliserProducts[[#Headers],[Product]], 30)</f>
        <v/>
      </c>
      <c r="F97" s="123" t="str" cm="1">
        <f t="array" ref="F97">Common_InputFunctions.Utility_DisplayArrayInTable(Fertiliser_SourceData.Fertiliser_Products_Data2(),FertiliserProducts[[#Headers],[Product]], 30)</f>
        <v/>
      </c>
      <c r="G97" s="123" t="str" cm="1">
        <f t="array" ref="G97">Common_InputFunctions.Utility_DisplayArrayInTable(Fertiliser_SourceData.Fertiliser_Products_Data2(),FertiliserProducts[[#Headers],[Product]], 30)</f>
        <v/>
      </c>
      <c r="H97" s="123" t="str" cm="1">
        <f t="array" ref="H97">Common_InputFunctions.Utility_DisplayArrayInTable(Fertiliser_SourceData.Fertiliser_Products_Data2(),FertiliserProducts[[#Headers],[Product]], 30)</f>
        <v/>
      </c>
      <c r="I97" s="123" t="str" cm="1">
        <f t="array" ref="I97">Common_InputFunctions.Utility_DisplayArrayInTable(Fertiliser_SourceData.Fertiliser_Products_Data2(),FertiliserProducts[[#Headers],[Product]], 30)</f>
        <v/>
      </c>
      <c r="J97" s="123" t="str" cm="1">
        <f t="array" ref="J97">Common_InputFunctions.Utility_DisplayArrayInTable(Fertiliser_SourceData.Fertiliser_Products_Data2(),FertiliserProducts[[#Headers],[Product]], 30)</f>
        <v/>
      </c>
      <c r="K97" s="123" t="str" cm="1">
        <f t="array" ref="K97">Common_InputFunctions.Utility_DisplayArrayInTable(Fertiliser_SourceData.Fertiliser_Products_Data2(),FertiliserProducts[[#Headers],[Product]], 30)</f>
        <v/>
      </c>
      <c r="L97" s="123" t="str" cm="1">
        <f t="array" ref="L97">Common_InputFunctions.Utility_DisplayArrayInTable(Fertiliser_SourceData.Fertiliser_Products_Data2(),FertiliserProducts[[#Headers],[Product]], 30)</f>
        <v/>
      </c>
      <c r="M97" s="123" t="str" cm="1">
        <f t="array" ref="M97">Common_InputFunctions.Utility_DisplayArrayInTable(Fertiliser_SourceData.Fertiliser_Products_Data2(),FertiliserProducts[[#Headers],[Product]], 30)</f>
        <v/>
      </c>
      <c r="N97" s="123" t="str" cm="1">
        <f t="array" ref="N97">Common_InputFunctions.Utility_DisplayArrayInTable(Fertiliser_SourceData.Fertiliser_Products_Data2(),FertiliserProducts[[#Headers],[Product]], 30)</f>
        <v/>
      </c>
      <c r="O97" s="123" t="str" cm="1">
        <f t="array" ref="O97">Common_InputFunctions.Utility_DisplayArrayInTable(Fertiliser_SourceData.Fertiliser_Products_Data2(),FertiliserProducts[[#Headers],[Product]], 30)</f>
        <v/>
      </c>
      <c r="P97" s="123" t="str" cm="1">
        <f t="array" ref="P97">Common_InputFunctions.Utility_DisplayArrayInTable(Fertiliser_SourceData.Fertiliser_Products_Data2(),FertiliserProducts[[#Headers],[Product]], 30)</f>
        <v/>
      </c>
      <c r="Q97" s="123" t="str" cm="1">
        <f t="array" ref="Q97">Common_InputFunctions.Utility_DisplayArrayInTable(Fertiliser_SourceData.Fertiliser_Products_Data2(),FertiliserProducts[[#Headers],[Product]], 30)</f>
        <v/>
      </c>
      <c r="R97" s="123" t="str" cm="1">
        <f t="array" ref="R97">Common_InputFunctions.Utility_DisplayArrayInTable(Fertiliser_SourceData.Fertiliser_Products_Data2(),FertiliserProducts[[#Headers],[Product]], 30)</f>
        <v/>
      </c>
      <c r="S97" s="123" t="str" cm="1">
        <f t="array" ref="S97">Common_InputFunctions.Utility_DisplayArrayInTable(Fertiliser_SourceData.Fertiliser_Products_Data2(),FertiliserProducts[[#Headers],[Product]], 30)</f>
        <v/>
      </c>
      <c r="T97" s="123" t="str" cm="1">
        <f t="array" ref="T97">Common_InputFunctions.Utility_DisplayArrayInTable(Fertiliser_SourceData.Fertiliser_Products_Data2(),FertiliserProducts[[#Headers],[Product]], 30)</f>
        <v/>
      </c>
      <c r="U97" s="123" t="str" cm="1">
        <f t="array" ref="U97">Common_InputFunctions.Utility_DisplayArrayInTable(Fertiliser_SourceData.Fertiliser_Products_Data2(),FertiliserProducts[[#Headers],[Product]], 30)</f>
        <v/>
      </c>
      <c r="V97" s="123" t="str" cm="1">
        <f t="array" ref="V97">Common_InputFunctions.Utility_DisplayArrayInTable(Fertiliser_SourceData.Fertiliser_Products_Data2(),FertiliserProducts[[#Headers],[Product]], 30)</f>
        <v/>
      </c>
      <c r="W97" s="123" t="str" cm="1">
        <f t="array" ref="W97">Common_InputFunctions.Utility_DisplayArrayInTable(Fertiliser_SourceData.Fertiliser_Products_Data2(),FertiliserProducts[[#Headers],[Product]], 30)</f>
        <v>Swancrop</v>
      </c>
    </row>
    <row r="98" spans="4:23" ht="20.100000000000001" customHeight="1" x14ac:dyDescent="0.25">
      <c r="D98" s="123" t="str" cm="1">
        <f t="array" ref="D98">Common_InputFunctions.Utility_DisplayArrayInTable(Fertiliser_SourceData.Fertiliser_Products_Data2(),FertiliserProducts[[#Headers],[Product]], 30)</f>
        <v>Muriate Of Potash MOP</v>
      </c>
      <c r="E98" s="123" t="str" cm="1">
        <f t="array" ref="E98">Common_InputFunctions.Utility_DisplayArrayInTable(Fertiliser_SourceData.Fertiliser_Products_Data2(),FertiliserProducts[[#Headers],[Product]], 30)</f>
        <v/>
      </c>
      <c r="F98" s="123" t="str" cm="1">
        <f t="array" ref="F98">Common_InputFunctions.Utility_DisplayArrayInTable(Fertiliser_SourceData.Fertiliser_Products_Data2(),FertiliserProducts[[#Headers],[Product]], 30)</f>
        <v/>
      </c>
      <c r="G98" s="123" t="str" cm="1">
        <f t="array" ref="G98">Common_InputFunctions.Utility_DisplayArrayInTable(Fertiliser_SourceData.Fertiliser_Products_Data2(),FertiliserProducts[[#Headers],[Product]], 30)</f>
        <v/>
      </c>
      <c r="H98" s="123" t="str" cm="1">
        <f t="array" ref="H98">Common_InputFunctions.Utility_DisplayArrayInTable(Fertiliser_SourceData.Fertiliser_Products_Data2(),FertiliserProducts[[#Headers],[Product]], 30)</f>
        <v/>
      </c>
      <c r="I98" s="123" t="str" cm="1">
        <f t="array" ref="I98">Common_InputFunctions.Utility_DisplayArrayInTable(Fertiliser_SourceData.Fertiliser_Products_Data2(),FertiliserProducts[[#Headers],[Product]], 30)</f>
        <v/>
      </c>
      <c r="J98" s="123" t="str" cm="1">
        <f t="array" ref="J98">Common_InputFunctions.Utility_DisplayArrayInTable(Fertiliser_SourceData.Fertiliser_Products_Data2(),FertiliserProducts[[#Headers],[Product]], 30)</f>
        <v/>
      </c>
      <c r="K98" s="123" t="str" cm="1">
        <f t="array" ref="K98">Common_InputFunctions.Utility_DisplayArrayInTable(Fertiliser_SourceData.Fertiliser_Products_Data2(),FertiliserProducts[[#Headers],[Product]], 30)</f>
        <v/>
      </c>
      <c r="L98" s="123" t="str" cm="1">
        <f t="array" ref="L98">Common_InputFunctions.Utility_DisplayArrayInTable(Fertiliser_SourceData.Fertiliser_Products_Data2(),FertiliserProducts[[#Headers],[Product]], 30)</f>
        <v/>
      </c>
      <c r="M98" s="123" t="str" cm="1">
        <f t="array" ref="M98">Common_InputFunctions.Utility_DisplayArrayInTable(Fertiliser_SourceData.Fertiliser_Products_Data2(),FertiliserProducts[[#Headers],[Product]], 30)</f>
        <v/>
      </c>
      <c r="N98" s="123" t="str" cm="1">
        <f t="array" ref="N98">Common_InputFunctions.Utility_DisplayArrayInTable(Fertiliser_SourceData.Fertiliser_Products_Data2(),FertiliserProducts[[#Headers],[Product]], 30)</f>
        <v/>
      </c>
      <c r="O98" s="123" t="str" cm="1">
        <f t="array" ref="O98">Common_InputFunctions.Utility_DisplayArrayInTable(Fertiliser_SourceData.Fertiliser_Products_Data2(),FertiliserProducts[[#Headers],[Product]], 30)</f>
        <v/>
      </c>
      <c r="P98" s="123" t="str" cm="1">
        <f t="array" ref="P98">Common_InputFunctions.Utility_DisplayArrayInTable(Fertiliser_SourceData.Fertiliser_Products_Data2(),FertiliserProducts[[#Headers],[Product]], 30)</f>
        <v/>
      </c>
      <c r="Q98" s="123" t="str" cm="1">
        <f t="array" ref="Q98">Common_InputFunctions.Utility_DisplayArrayInTable(Fertiliser_SourceData.Fertiliser_Products_Data2(),FertiliserProducts[[#Headers],[Product]], 30)</f>
        <v/>
      </c>
      <c r="R98" s="123" t="str" cm="1">
        <f t="array" ref="R98">Common_InputFunctions.Utility_DisplayArrayInTable(Fertiliser_SourceData.Fertiliser_Products_Data2(),FertiliserProducts[[#Headers],[Product]], 30)</f>
        <v/>
      </c>
      <c r="S98" s="123" t="str" cm="1">
        <f t="array" ref="S98">Common_InputFunctions.Utility_DisplayArrayInTable(Fertiliser_SourceData.Fertiliser_Products_Data2(),FertiliserProducts[[#Headers],[Product]], 30)</f>
        <v/>
      </c>
      <c r="T98" s="123" t="str" cm="1">
        <f t="array" ref="T98">Common_InputFunctions.Utility_DisplayArrayInTable(Fertiliser_SourceData.Fertiliser_Products_Data2(),FertiliserProducts[[#Headers],[Product]], 30)</f>
        <v/>
      </c>
      <c r="U98" s="123" t="str" cm="1">
        <f t="array" ref="U98">Common_InputFunctions.Utility_DisplayArrayInTable(Fertiliser_SourceData.Fertiliser_Products_Data2(),FertiliserProducts[[#Headers],[Product]], 30)</f>
        <v/>
      </c>
      <c r="V98" s="123" t="str" cm="1">
        <f t="array" ref="V98">Common_InputFunctions.Utility_DisplayArrayInTable(Fertiliser_SourceData.Fertiliser_Products_Data2(),FertiliserProducts[[#Headers],[Product]], 30)</f>
        <v/>
      </c>
      <c r="W98" s="123" t="str" cm="1">
        <f t="array" ref="W98">Common_InputFunctions.Utility_DisplayArrayInTable(Fertiliser_SourceData.Fertiliser_Products_Data2(),FertiliserProducts[[#Headers],[Product]], 30)</f>
        <v>MountCompass Fertilisers Blends</v>
      </c>
    </row>
    <row r="99" spans="4:23" ht="20.100000000000001" customHeight="1" x14ac:dyDescent="0.25">
      <c r="D99" s="123" t="str" cm="1">
        <f t="array" ref="D99">Common_InputFunctions.Utility_DisplayArrayInTable(Fertiliser_SourceData.Fertiliser_Products_Data2(),FertiliserProducts[[#Headers],[Product]], 30)</f>
        <v>NitroPlus</v>
      </c>
      <c r="E99" s="123" t="str" cm="1">
        <f t="array" ref="E99">Common_InputFunctions.Utility_DisplayArrayInTable(Fertiliser_SourceData.Fertiliser_Products_Data2(),FertiliserProducts[[#Headers],[Product]], 30)</f>
        <v/>
      </c>
      <c r="F99" s="123" t="str" cm="1">
        <f t="array" ref="F99">Common_InputFunctions.Utility_DisplayArrayInTable(Fertiliser_SourceData.Fertiliser_Products_Data2(),FertiliserProducts[[#Headers],[Product]], 30)</f>
        <v/>
      </c>
      <c r="G99" s="123" t="str" cm="1">
        <f t="array" ref="G99">Common_InputFunctions.Utility_DisplayArrayInTable(Fertiliser_SourceData.Fertiliser_Products_Data2(),FertiliserProducts[[#Headers],[Product]], 30)</f>
        <v/>
      </c>
      <c r="H99" s="123" t="str" cm="1">
        <f t="array" ref="H99">Common_InputFunctions.Utility_DisplayArrayInTable(Fertiliser_SourceData.Fertiliser_Products_Data2(),FertiliserProducts[[#Headers],[Product]], 30)</f>
        <v/>
      </c>
      <c r="I99" s="123" t="str" cm="1">
        <f t="array" ref="I99">Common_InputFunctions.Utility_DisplayArrayInTable(Fertiliser_SourceData.Fertiliser_Products_Data2(),FertiliserProducts[[#Headers],[Product]], 30)</f>
        <v/>
      </c>
      <c r="J99" s="123" t="str" cm="1">
        <f t="array" ref="J99">Common_InputFunctions.Utility_DisplayArrayInTable(Fertiliser_SourceData.Fertiliser_Products_Data2(),FertiliserProducts[[#Headers],[Product]], 30)</f>
        <v/>
      </c>
      <c r="K99" s="123" t="str" cm="1">
        <f t="array" ref="K99">Common_InputFunctions.Utility_DisplayArrayInTable(Fertiliser_SourceData.Fertiliser_Products_Data2(),FertiliserProducts[[#Headers],[Product]], 30)</f>
        <v/>
      </c>
      <c r="L99" s="123" t="str" cm="1">
        <f t="array" ref="L99">Common_InputFunctions.Utility_DisplayArrayInTable(Fertiliser_SourceData.Fertiliser_Products_Data2(),FertiliserProducts[[#Headers],[Product]], 30)</f>
        <v/>
      </c>
      <c r="M99" s="123" t="str" cm="1">
        <f t="array" ref="M99">Common_InputFunctions.Utility_DisplayArrayInTable(Fertiliser_SourceData.Fertiliser_Products_Data2(),FertiliserProducts[[#Headers],[Product]], 30)</f>
        <v/>
      </c>
      <c r="N99" s="123" t="str" cm="1">
        <f t="array" ref="N99">Common_InputFunctions.Utility_DisplayArrayInTable(Fertiliser_SourceData.Fertiliser_Products_Data2(),FertiliserProducts[[#Headers],[Product]], 30)</f>
        <v/>
      </c>
      <c r="O99" s="123" t="str" cm="1">
        <f t="array" ref="O99">Common_InputFunctions.Utility_DisplayArrayInTable(Fertiliser_SourceData.Fertiliser_Products_Data2(),FertiliserProducts[[#Headers],[Product]], 30)</f>
        <v/>
      </c>
      <c r="P99" s="123" t="str" cm="1">
        <f t="array" ref="P99">Common_InputFunctions.Utility_DisplayArrayInTable(Fertiliser_SourceData.Fertiliser_Products_Data2(),FertiliserProducts[[#Headers],[Product]], 30)</f>
        <v/>
      </c>
      <c r="Q99" s="123" t="str" cm="1">
        <f t="array" ref="Q99">Common_InputFunctions.Utility_DisplayArrayInTable(Fertiliser_SourceData.Fertiliser_Products_Data2(),FertiliserProducts[[#Headers],[Product]], 30)</f>
        <v/>
      </c>
      <c r="R99" s="123" t="str" cm="1">
        <f t="array" ref="R99">Common_InputFunctions.Utility_DisplayArrayInTable(Fertiliser_SourceData.Fertiliser_Products_Data2(),FertiliserProducts[[#Headers],[Product]], 30)</f>
        <v/>
      </c>
      <c r="S99" s="123" t="str" cm="1">
        <f t="array" ref="S99">Common_InputFunctions.Utility_DisplayArrayInTable(Fertiliser_SourceData.Fertiliser_Products_Data2(),FertiliserProducts[[#Headers],[Product]], 30)</f>
        <v/>
      </c>
      <c r="T99" s="123" t="str" cm="1">
        <f t="array" ref="T99">Common_InputFunctions.Utility_DisplayArrayInTable(Fertiliser_SourceData.Fertiliser_Products_Data2(),FertiliserProducts[[#Headers],[Product]], 30)</f>
        <v/>
      </c>
      <c r="U99" s="123" t="str" cm="1">
        <f t="array" ref="U99">Common_InputFunctions.Utility_DisplayArrayInTable(Fertiliser_SourceData.Fertiliser_Products_Data2(),FertiliserProducts[[#Headers],[Product]], 30)</f>
        <v/>
      </c>
      <c r="V99" s="123" t="str" cm="1">
        <f t="array" ref="V99">Common_InputFunctions.Utility_DisplayArrayInTable(Fertiliser_SourceData.Fertiliser_Products_Data2(),FertiliserProducts[[#Headers],[Product]], 30)</f>
        <v/>
      </c>
      <c r="W99" s="123" t="str" cm="1">
        <f t="array" ref="W99">Common_InputFunctions.Utility_DisplayArrayInTable(Fertiliser_SourceData.Fertiliser_Products_Data2(),FertiliserProducts[[#Headers],[Product]], 30)</f>
        <v>AgroStock Group Nitro Plus</v>
      </c>
    </row>
    <row r="100" spans="4:23" ht="20.100000000000001" customHeight="1" x14ac:dyDescent="0.25">
      <c r="D100" s="123" t="str" cm="1">
        <f t="array" ref="D100">Common_InputFunctions.Utility_DisplayArrayInTable(Fertiliser_SourceData.Fertiliser_Products_Data2(),FertiliserProducts[[#Headers],[Product]], 30)</f>
        <v>NutraGold</v>
      </c>
      <c r="E100" s="123" t="str" cm="1">
        <f t="array" ref="E100">Common_InputFunctions.Utility_DisplayArrayInTable(Fertiliser_SourceData.Fertiliser_Products_Data2(),FertiliserProducts[[#Headers],[Product]], 30)</f>
        <v/>
      </c>
      <c r="F100" s="123" t="str" cm="1">
        <f t="array" ref="F100">Common_InputFunctions.Utility_DisplayArrayInTable(Fertiliser_SourceData.Fertiliser_Products_Data2(),FertiliserProducts[[#Headers],[Product]], 30)</f>
        <v/>
      </c>
      <c r="G100" s="123" t="str" cm="1">
        <f t="array" ref="G100">Common_InputFunctions.Utility_DisplayArrayInTable(Fertiliser_SourceData.Fertiliser_Products_Data2(),FertiliserProducts[[#Headers],[Product]], 30)</f>
        <v/>
      </c>
      <c r="H100" s="123" t="str" cm="1">
        <f t="array" ref="H100">Common_InputFunctions.Utility_DisplayArrayInTable(Fertiliser_SourceData.Fertiliser_Products_Data2(),FertiliserProducts[[#Headers],[Product]], 30)</f>
        <v/>
      </c>
      <c r="I100" s="123" t="str" cm="1">
        <f t="array" ref="I100">Common_InputFunctions.Utility_DisplayArrayInTable(Fertiliser_SourceData.Fertiliser_Products_Data2(),FertiliserProducts[[#Headers],[Product]], 30)</f>
        <v/>
      </c>
      <c r="J100" s="123" t="str" cm="1">
        <f t="array" ref="J100">Common_InputFunctions.Utility_DisplayArrayInTable(Fertiliser_SourceData.Fertiliser_Products_Data2(),FertiliserProducts[[#Headers],[Product]], 30)</f>
        <v/>
      </c>
      <c r="K100" s="123" t="str" cm="1">
        <f t="array" ref="K100">Common_InputFunctions.Utility_DisplayArrayInTable(Fertiliser_SourceData.Fertiliser_Products_Data2(),FertiliserProducts[[#Headers],[Product]], 30)</f>
        <v/>
      </c>
      <c r="L100" s="123" t="str" cm="1">
        <f t="array" ref="L100">Common_InputFunctions.Utility_DisplayArrayInTable(Fertiliser_SourceData.Fertiliser_Products_Data2(),FertiliserProducts[[#Headers],[Product]], 30)</f>
        <v/>
      </c>
      <c r="M100" s="123" t="str" cm="1">
        <f t="array" ref="M100">Common_InputFunctions.Utility_DisplayArrayInTable(Fertiliser_SourceData.Fertiliser_Products_Data2(),FertiliserProducts[[#Headers],[Product]], 30)</f>
        <v/>
      </c>
      <c r="N100" s="123" t="str" cm="1">
        <f t="array" ref="N100">Common_InputFunctions.Utility_DisplayArrayInTable(Fertiliser_SourceData.Fertiliser_Products_Data2(),FertiliserProducts[[#Headers],[Product]], 30)</f>
        <v/>
      </c>
      <c r="O100" s="123" t="str" cm="1">
        <f t="array" ref="O100">Common_InputFunctions.Utility_DisplayArrayInTable(Fertiliser_SourceData.Fertiliser_Products_Data2(),FertiliserProducts[[#Headers],[Product]], 30)</f>
        <v/>
      </c>
      <c r="P100" s="123" t="str" cm="1">
        <f t="array" ref="P100">Common_InputFunctions.Utility_DisplayArrayInTable(Fertiliser_SourceData.Fertiliser_Products_Data2(),FertiliserProducts[[#Headers],[Product]], 30)</f>
        <v/>
      </c>
      <c r="Q100" s="123" t="str" cm="1">
        <f t="array" ref="Q100">Common_InputFunctions.Utility_DisplayArrayInTable(Fertiliser_SourceData.Fertiliser_Products_Data2(),FertiliserProducts[[#Headers],[Product]], 30)</f>
        <v/>
      </c>
      <c r="R100" s="123" t="str" cm="1">
        <f t="array" ref="R100">Common_InputFunctions.Utility_DisplayArrayInTable(Fertiliser_SourceData.Fertiliser_Products_Data2(),FertiliserProducts[[#Headers],[Product]], 30)</f>
        <v/>
      </c>
      <c r="S100" s="123" t="str" cm="1">
        <f t="array" ref="S100">Common_InputFunctions.Utility_DisplayArrayInTable(Fertiliser_SourceData.Fertiliser_Products_Data2(),FertiliserProducts[[#Headers],[Product]], 30)</f>
        <v/>
      </c>
      <c r="T100" s="123" t="str" cm="1">
        <f t="array" ref="T100">Common_InputFunctions.Utility_DisplayArrayInTable(Fertiliser_SourceData.Fertiliser_Products_Data2(),FertiliserProducts[[#Headers],[Product]], 30)</f>
        <v/>
      </c>
      <c r="U100" s="123" t="str" cm="1">
        <f t="array" ref="U100">Common_InputFunctions.Utility_DisplayArrayInTable(Fertiliser_SourceData.Fertiliser_Products_Data2(),FertiliserProducts[[#Headers],[Product]], 30)</f>
        <v/>
      </c>
      <c r="V100" s="123" t="str" cm="1">
        <f t="array" ref="V100">Common_InputFunctions.Utility_DisplayArrayInTable(Fertiliser_SourceData.Fertiliser_Products_Data2(),FertiliserProducts[[#Headers],[Product]], 30)</f>
        <v/>
      </c>
      <c r="W100" s="123" t="str" cm="1">
        <f t="array" ref="W100">Common_InputFunctions.Utility_DisplayArrayInTable(Fertiliser_SourceData.Fertiliser_Products_Data2(),FertiliserProducts[[#Headers],[Product]], 30)</f>
        <v>Swancrop</v>
      </c>
    </row>
    <row r="101" spans="4:23" ht="20.100000000000001" customHeight="1" x14ac:dyDescent="0.25">
      <c r="D101" s="123" t="str" cm="1">
        <f t="array" ref="D101">Common_InputFunctions.Utility_DisplayArrayInTable(Fertiliser_SourceData.Fertiliser_Products_Data2(),FertiliserProducts[[#Headers],[Product]], 30)</f>
        <v>Pro Performance 18-3-6</v>
      </c>
      <c r="E101" s="123" t="str" cm="1">
        <f t="array" ref="E101">Common_InputFunctions.Utility_DisplayArrayInTable(Fertiliser_SourceData.Fertiliser_Products_Data2(),FertiliserProducts[[#Headers],[Product]], 30)</f>
        <v/>
      </c>
      <c r="F101" s="123" t="str" cm="1">
        <f t="array" ref="F101">Common_InputFunctions.Utility_DisplayArrayInTable(Fertiliser_SourceData.Fertiliser_Products_Data2(),FertiliserProducts[[#Headers],[Product]], 30)</f>
        <v/>
      </c>
      <c r="G101" s="123" t="str" cm="1">
        <f t="array" ref="G101">Common_InputFunctions.Utility_DisplayArrayInTable(Fertiliser_SourceData.Fertiliser_Products_Data2(),FertiliserProducts[[#Headers],[Product]], 30)</f>
        <v/>
      </c>
      <c r="H101" s="123" t="str" cm="1">
        <f t="array" ref="H101">Common_InputFunctions.Utility_DisplayArrayInTable(Fertiliser_SourceData.Fertiliser_Products_Data2(),FertiliserProducts[[#Headers],[Product]], 30)</f>
        <v/>
      </c>
      <c r="I101" s="123" t="str" cm="1">
        <f t="array" ref="I101">Common_InputFunctions.Utility_DisplayArrayInTable(Fertiliser_SourceData.Fertiliser_Products_Data2(),FertiliserProducts[[#Headers],[Product]], 30)</f>
        <v/>
      </c>
      <c r="J101" s="123" t="str" cm="1">
        <f t="array" ref="J101">Common_InputFunctions.Utility_DisplayArrayInTable(Fertiliser_SourceData.Fertiliser_Products_Data2(),FertiliserProducts[[#Headers],[Product]], 30)</f>
        <v/>
      </c>
      <c r="K101" s="123" t="str" cm="1">
        <f t="array" ref="K101">Common_InputFunctions.Utility_DisplayArrayInTable(Fertiliser_SourceData.Fertiliser_Products_Data2(),FertiliserProducts[[#Headers],[Product]], 30)</f>
        <v/>
      </c>
      <c r="L101" s="123" t="str" cm="1">
        <f t="array" ref="L101">Common_InputFunctions.Utility_DisplayArrayInTable(Fertiliser_SourceData.Fertiliser_Products_Data2(),FertiliserProducts[[#Headers],[Product]], 30)</f>
        <v/>
      </c>
      <c r="M101" s="123" t="str" cm="1">
        <f t="array" ref="M101">Common_InputFunctions.Utility_DisplayArrayInTable(Fertiliser_SourceData.Fertiliser_Products_Data2(),FertiliserProducts[[#Headers],[Product]], 30)</f>
        <v/>
      </c>
      <c r="N101" s="123" t="str" cm="1">
        <f t="array" ref="N101">Common_InputFunctions.Utility_DisplayArrayInTable(Fertiliser_SourceData.Fertiliser_Products_Data2(),FertiliserProducts[[#Headers],[Product]], 30)</f>
        <v/>
      </c>
      <c r="O101" s="123" t="str" cm="1">
        <f t="array" ref="O101">Common_InputFunctions.Utility_DisplayArrayInTable(Fertiliser_SourceData.Fertiliser_Products_Data2(),FertiliserProducts[[#Headers],[Product]], 30)</f>
        <v/>
      </c>
      <c r="P101" s="123" t="str" cm="1">
        <f t="array" ref="P101">Common_InputFunctions.Utility_DisplayArrayInTable(Fertiliser_SourceData.Fertiliser_Products_Data2(),FertiliserProducts[[#Headers],[Product]], 30)</f>
        <v/>
      </c>
      <c r="Q101" s="123" t="str" cm="1">
        <f t="array" ref="Q101">Common_InputFunctions.Utility_DisplayArrayInTable(Fertiliser_SourceData.Fertiliser_Products_Data2(),FertiliserProducts[[#Headers],[Product]], 30)</f>
        <v/>
      </c>
      <c r="R101" s="123" t="str" cm="1">
        <f t="array" ref="R101">Common_InputFunctions.Utility_DisplayArrayInTable(Fertiliser_SourceData.Fertiliser_Products_Data2(),FertiliserProducts[[#Headers],[Product]], 30)</f>
        <v/>
      </c>
      <c r="S101" s="123" t="str" cm="1">
        <f t="array" ref="S101">Common_InputFunctions.Utility_DisplayArrayInTable(Fertiliser_SourceData.Fertiliser_Products_Data2(),FertiliserProducts[[#Headers],[Product]], 30)</f>
        <v/>
      </c>
      <c r="T101" s="123" t="str" cm="1">
        <f t="array" ref="T101">Common_InputFunctions.Utility_DisplayArrayInTable(Fertiliser_SourceData.Fertiliser_Products_Data2(),FertiliserProducts[[#Headers],[Product]], 30)</f>
        <v/>
      </c>
      <c r="U101" s="123" t="str" cm="1">
        <f t="array" ref="U101">Common_InputFunctions.Utility_DisplayArrayInTable(Fertiliser_SourceData.Fertiliser_Products_Data2(),FertiliserProducts[[#Headers],[Product]], 30)</f>
        <v/>
      </c>
      <c r="V101" s="123" t="str" cm="1">
        <f t="array" ref="V101">Common_InputFunctions.Utility_DisplayArrayInTable(Fertiliser_SourceData.Fertiliser_Products_Data2(),FertiliserProducts[[#Headers],[Product]], 30)</f>
        <v/>
      </c>
      <c r="W101" s="123" t="str" cm="1">
        <f t="array" ref="W101">Common_InputFunctions.Utility_DisplayArrayInTable(Fertiliser_SourceData.Fertiliser_Products_Data2(),FertiliserProducts[[#Headers],[Product]], 30)</f>
        <v>Pro Turf Formula</v>
      </c>
    </row>
    <row r="102" spans="4:23" ht="20.100000000000001" customHeight="1" x14ac:dyDescent="0.25">
      <c r="D102" s="123" t="str" cm="1">
        <f t="array" ref="D102">Common_InputFunctions.Utility_DisplayArrayInTable(Fertiliser_SourceData.Fertiliser_Products_Data2(),FertiliserProducts[[#Headers],[Product]], 30)</f>
        <v>SOA</v>
      </c>
      <c r="E102" s="123" t="str" cm="1">
        <f t="array" ref="E102">Common_InputFunctions.Utility_DisplayArrayInTable(Fertiliser_SourceData.Fertiliser_Products_Data2(),FertiliserProducts[[#Headers],[Product]], 30)</f>
        <v/>
      </c>
      <c r="F102" s="123" t="str" cm="1">
        <f t="array" ref="F102">Common_InputFunctions.Utility_DisplayArrayInTable(Fertiliser_SourceData.Fertiliser_Products_Data2(),FertiliserProducts[[#Headers],[Product]], 30)</f>
        <v/>
      </c>
      <c r="G102" s="123" t="str" cm="1">
        <f t="array" ref="G102">Common_InputFunctions.Utility_DisplayArrayInTable(Fertiliser_SourceData.Fertiliser_Products_Data2(),FertiliserProducts[[#Headers],[Product]], 30)</f>
        <v/>
      </c>
      <c r="H102" s="123" t="str" cm="1">
        <f t="array" ref="H102">Common_InputFunctions.Utility_DisplayArrayInTable(Fertiliser_SourceData.Fertiliser_Products_Data2(),FertiliserProducts[[#Headers],[Product]], 30)</f>
        <v/>
      </c>
      <c r="I102" s="123" t="str" cm="1">
        <f t="array" ref="I102">Common_InputFunctions.Utility_DisplayArrayInTable(Fertiliser_SourceData.Fertiliser_Products_Data2(),FertiliserProducts[[#Headers],[Product]], 30)</f>
        <v/>
      </c>
      <c r="J102" s="123" t="str" cm="1">
        <f t="array" ref="J102">Common_InputFunctions.Utility_DisplayArrayInTable(Fertiliser_SourceData.Fertiliser_Products_Data2(),FertiliserProducts[[#Headers],[Product]], 30)</f>
        <v/>
      </c>
      <c r="K102" s="123" t="str" cm="1">
        <f t="array" ref="K102">Common_InputFunctions.Utility_DisplayArrayInTable(Fertiliser_SourceData.Fertiliser_Products_Data2(),FertiliserProducts[[#Headers],[Product]], 30)</f>
        <v/>
      </c>
      <c r="L102" s="123" t="str" cm="1">
        <f t="array" ref="L102">Common_InputFunctions.Utility_DisplayArrayInTable(Fertiliser_SourceData.Fertiliser_Products_Data2(),FertiliserProducts[[#Headers],[Product]], 30)</f>
        <v/>
      </c>
      <c r="M102" s="123" t="str" cm="1">
        <f t="array" ref="M102">Common_InputFunctions.Utility_DisplayArrayInTable(Fertiliser_SourceData.Fertiliser_Products_Data2(),FertiliserProducts[[#Headers],[Product]], 30)</f>
        <v/>
      </c>
      <c r="N102" s="123" t="str" cm="1">
        <f t="array" ref="N102">Common_InputFunctions.Utility_DisplayArrayInTable(Fertiliser_SourceData.Fertiliser_Products_Data2(),FertiliserProducts[[#Headers],[Product]], 30)</f>
        <v/>
      </c>
      <c r="O102" s="123" t="str" cm="1">
        <f t="array" ref="O102">Common_InputFunctions.Utility_DisplayArrayInTable(Fertiliser_SourceData.Fertiliser_Products_Data2(),FertiliserProducts[[#Headers],[Product]], 30)</f>
        <v/>
      </c>
      <c r="P102" s="123" t="str" cm="1">
        <f t="array" ref="P102">Common_InputFunctions.Utility_DisplayArrayInTable(Fertiliser_SourceData.Fertiliser_Products_Data2(),FertiliserProducts[[#Headers],[Product]], 30)</f>
        <v/>
      </c>
      <c r="Q102" s="123" t="str" cm="1">
        <f t="array" ref="Q102">Common_InputFunctions.Utility_DisplayArrayInTable(Fertiliser_SourceData.Fertiliser_Products_Data2(),FertiliserProducts[[#Headers],[Product]], 30)</f>
        <v/>
      </c>
      <c r="R102" s="123" t="str" cm="1">
        <f t="array" ref="R102">Common_InputFunctions.Utility_DisplayArrayInTable(Fertiliser_SourceData.Fertiliser_Products_Data2(),FertiliserProducts[[#Headers],[Product]], 30)</f>
        <v/>
      </c>
      <c r="S102" s="123" t="str" cm="1">
        <f t="array" ref="S102">Common_InputFunctions.Utility_DisplayArrayInTable(Fertiliser_SourceData.Fertiliser_Products_Data2(),FertiliserProducts[[#Headers],[Product]], 30)</f>
        <v/>
      </c>
      <c r="T102" s="123" t="str" cm="1">
        <f t="array" ref="T102">Common_InputFunctions.Utility_DisplayArrayInTable(Fertiliser_SourceData.Fertiliser_Products_Data2(),FertiliserProducts[[#Headers],[Product]], 30)</f>
        <v/>
      </c>
      <c r="U102" s="123" t="str" cm="1">
        <f t="array" ref="U102">Common_InputFunctions.Utility_DisplayArrayInTable(Fertiliser_SourceData.Fertiliser_Products_Data2(),FertiliserProducts[[#Headers],[Product]], 30)</f>
        <v/>
      </c>
      <c r="V102" s="123" t="str" cm="1">
        <f t="array" ref="V102">Common_InputFunctions.Utility_DisplayArrayInTable(Fertiliser_SourceData.Fertiliser_Products_Data2(),FertiliserProducts[[#Headers],[Product]], 30)</f>
        <v/>
      </c>
      <c r="W102" s="123" t="str" cm="1">
        <f t="array" ref="W102">Common_InputFunctions.Utility_DisplayArrayInTable(Fertiliser_SourceData.Fertiliser_Products_Data2(),FertiliserProducts[[#Headers],[Product]], 30)</f>
        <v>MountCompass Fertilisers Blends</v>
      </c>
    </row>
    <row r="103" spans="4:23" ht="20.100000000000001" customHeight="1" x14ac:dyDescent="0.25">
      <c r="D103" s="123" t="str" cm="1">
        <f t="array" ref="D103">Common_InputFunctions.Utility_DisplayArrayInTable(Fertiliser_SourceData.Fertiliser_Products_Data2(),FertiliserProducts[[#Headers],[Product]], 30)</f>
        <v>SSP</v>
      </c>
      <c r="E103" s="123" t="str" cm="1">
        <f t="array" ref="E103">Common_InputFunctions.Utility_DisplayArrayInTable(Fertiliser_SourceData.Fertiliser_Products_Data2(),FertiliserProducts[[#Headers],[Product]], 30)</f>
        <v/>
      </c>
      <c r="F103" s="123" t="str" cm="1">
        <f t="array" ref="F103">Common_InputFunctions.Utility_DisplayArrayInTable(Fertiliser_SourceData.Fertiliser_Products_Data2(),FertiliserProducts[[#Headers],[Product]], 30)</f>
        <v/>
      </c>
      <c r="G103" s="123" t="str" cm="1">
        <f t="array" ref="G103">Common_InputFunctions.Utility_DisplayArrayInTable(Fertiliser_SourceData.Fertiliser_Products_Data2(),FertiliserProducts[[#Headers],[Product]], 30)</f>
        <v/>
      </c>
      <c r="H103" s="123" t="str" cm="1">
        <f t="array" ref="H103">Common_InputFunctions.Utility_DisplayArrayInTable(Fertiliser_SourceData.Fertiliser_Products_Data2(),FertiliserProducts[[#Headers],[Product]], 30)</f>
        <v/>
      </c>
      <c r="I103" s="123" t="str" cm="1">
        <f t="array" ref="I103">Common_InputFunctions.Utility_DisplayArrayInTable(Fertiliser_SourceData.Fertiliser_Products_Data2(),FertiliserProducts[[#Headers],[Product]], 30)</f>
        <v/>
      </c>
      <c r="J103" s="123" t="str" cm="1">
        <f t="array" ref="J103">Common_InputFunctions.Utility_DisplayArrayInTable(Fertiliser_SourceData.Fertiliser_Products_Data2(),FertiliserProducts[[#Headers],[Product]], 30)</f>
        <v/>
      </c>
      <c r="K103" s="123" t="str" cm="1">
        <f t="array" ref="K103">Common_InputFunctions.Utility_DisplayArrayInTable(Fertiliser_SourceData.Fertiliser_Products_Data2(),FertiliserProducts[[#Headers],[Product]], 30)</f>
        <v/>
      </c>
      <c r="L103" s="123" t="str" cm="1">
        <f t="array" ref="L103">Common_InputFunctions.Utility_DisplayArrayInTable(Fertiliser_SourceData.Fertiliser_Products_Data2(),FertiliserProducts[[#Headers],[Product]], 30)</f>
        <v/>
      </c>
      <c r="M103" s="123" t="str" cm="1">
        <f t="array" ref="M103">Common_InputFunctions.Utility_DisplayArrayInTable(Fertiliser_SourceData.Fertiliser_Products_Data2(),FertiliserProducts[[#Headers],[Product]], 30)</f>
        <v/>
      </c>
      <c r="N103" s="123" t="str" cm="1">
        <f t="array" ref="N103">Common_InputFunctions.Utility_DisplayArrayInTable(Fertiliser_SourceData.Fertiliser_Products_Data2(),FertiliserProducts[[#Headers],[Product]], 30)</f>
        <v/>
      </c>
      <c r="O103" s="123" t="str" cm="1">
        <f t="array" ref="O103">Common_InputFunctions.Utility_DisplayArrayInTable(Fertiliser_SourceData.Fertiliser_Products_Data2(),FertiliserProducts[[#Headers],[Product]], 30)</f>
        <v/>
      </c>
      <c r="P103" s="123" t="str" cm="1">
        <f t="array" ref="P103">Common_InputFunctions.Utility_DisplayArrayInTable(Fertiliser_SourceData.Fertiliser_Products_Data2(),FertiliserProducts[[#Headers],[Product]], 30)</f>
        <v/>
      </c>
      <c r="Q103" s="123" t="str" cm="1">
        <f t="array" ref="Q103">Common_InputFunctions.Utility_DisplayArrayInTable(Fertiliser_SourceData.Fertiliser_Products_Data2(),FertiliserProducts[[#Headers],[Product]], 30)</f>
        <v/>
      </c>
      <c r="R103" s="123" t="str" cm="1">
        <f t="array" ref="R103">Common_InputFunctions.Utility_DisplayArrayInTable(Fertiliser_SourceData.Fertiliser_Products_Data2(),FertiliserProducts[[#Headers],[Product]], 30)</f>
        <v/>
      </c>
      <c r="S103" s="123" t="str" cm="1">
        <f t="array" ref="S103">Common_InputFunctions.Utility_DisplayArrayInTable(Fertiliser_SourceData.Fertiliser_Products_Data2(),FertiliserProducts[[#Headers],[Product]], 30)</f>
        <v/>
      </c>
      <c r="T103" s="123" t="str" cm="1">
        <f t="array" ref="T103">Common_InputFunctions.Utility_DisplayArrayInTable(Fertiliser_SourceData.Fertiliser_Products_Data2(),FertiliserProducts[[#Headers],[Product]], 30)</f>
        <v/>
      </c>
      <c r="U103" s="123" t="str" cm="1">
        <f t="array" ref="U103">Common_InputFunctions.Utility_DisplayArrayInTable(Fertiliser_SourceData.Fertiliser_Products_Data2(),FertiliserProducts[[#Headers],[Product]], 30)</f>
        <v/>
      </c>
      <c r="V103" s="123" t="str" cm="1">
        <f t="array" ref="V103">Common_InputFunctions.Utility_DisplayArrayInTable(Fertiliser_SourceData.Fertiliser_Products_Data2(),FertiliserProducts[[#Headers],[Product]], 30)</f>
        <v/>
      </c>
      <c r="W103" s="123" t="str" cm="1">
        <f t="array" ref="W103">Common_InputFunctions.Utility_DisplayArrayInTable(Fertiliser_SourceData.Fertiliser_Products_Data2(),FertiliserProducts[[#Headers],[Product]], 30)</f>
        <v>Impact fertilisers</v>
      </c>
    </row>
    <row r="104" spans="4:23" ht="20.100000000000001" customHeight="1" x14ac:dyDescent="0.25">
      <c r="D104" s="123" t="str" cm="1">
        <f t="array" ref="D104">Common_InputFunctions.Utility_DisplayArrayInTable(Fertiliser_SourceData.Fertiliser_Products_Data2(),FertiliserProducts[[#Headers],[Product]], 30)</f>
        <v>Super Phos</v>
      </c>
      <c r="E104" s="123" t="str" cm="1">
        <f t="array" ref="E104">Common_InputFunctions.Utility_DisplayArrayInTable(Fertiliser_SourceData.Fertiliser_Products_Data2(),FertiliserProducts[[#Headers],[Product]], 30)</f>
        <v/>
      </c>
      <c r="F104" s="123" t="str" cm="1">
        <f t="array" ref="F104">Common_InputFunctions.Utility_DisplayArrayInTable(Fertiliser_SourceData.Fertiliser_Products_Data2(),FertiliserProducts[[#Headers],[Product]], 30)</f>
        <v/>
      </c>
      <c r="G104" s="123" t="str" cm="1">
        <f t="array" ref="G104">Common_InputFunctions.Utility_DisplayArrayInTable(Fertiliser_SourceData.Fertiliser_Products_Data2(),FertiliserProducts[[#Headers],[Product]], 30)</f>
        <v/>
      </c>
      <c r="H104" s="123" t="str" cm="1">
        <f t="array" ref="H104">Common_InputFunctions.Utility_DisplayArrayInTable(Fertiliser_SourceData.Fertiliser_Products_Data2(),FertiliserProducts[[#Headers],[Product]], 30)</f>
        <v/>
      </c>
      <c r="I104" s="123" t="str" cm="1">
        <f t="array" ref="I104">Common_InputFunctions.Utility_DisplayArrayInTable(Fertiliser_SourceData.Fertiliser_Products_Data2(),FertiliserProducts[[#Headers],[Product]], 30)</f>
        <v/>
      </c>
      <c r="J104" s="123" t="str" cm="1">
        <f t="array" ref="J104">Common_InputFunctions.Utility_DisplayArrayInTable(Fertiliser_SourceData.Fertiliser_Products_Data2(),FertiliserProducts[[#Headers],[Product]], 30)</f>
        <v/>
      </c>
      <c r="K104" s="123" t="str" cm="1">
        <f t="array" ref="K104">Common_InputFunctions.Utility_DisplayArrayInTable(Fertiliser_SourceData.Fertiliser_Products_Data2(),FertiliserProducts[[#Headers],[Product]], 30)</f>
        <v/>
      </c>
      <c r="L104" s="123" t="str" cm="1">
        <f t="array" ref="L104">Common_InputFunctions.Utility_DisplayArrayInTable(Fertiliser_SourceData.Fertiliser_Products_Data2(),FertiliserProducts[[#Headers],[Product]], 30)</f>
        <v/>
      </c>
      <c r="M104" s="123" t="str" cm="1">
        <f t="array" ref="M104">Common_InputFunctions.Utility_DisplayArrayInTable(Fertiliser_SourceData.Fertiliser_Products_Data2(),FertiliserProducts[[#Headers],[Product]], 30)</f>
        <v/>
      </c>
      <c r="N104" s="123" t="str" cm="1">
        <f t="array" ref="N104">Common_InputFunctions.Utility_DisplayArrayInTable(Fertiliser_SourceData.Fertiliser_Products_Data2(),FertiliserProducts[[#Headers],[Product]], 30)</f>
        <v/>
      </c>
      <c r="O104" s="123" t="str" cm="1">
        <f t="array" ref="O104">Common_InputFunctions.Utility_DisplayArrayInTable(Fertiliser_SourceData.Fertiliser_Products_Data2(),FertiliserProducts[[#Headers],[Product]], 30)</f>
        <v/>
      </c>
      <c r="P104" s="123" t="str" cm="1">
        <f t="array" ref="P104">Common_InputFunctions.Utility_DisplayArrayInTable(Fertiliser_SourceData.Fertiliser_Products_Data2(),FertiliserProducts[[#Headers],[Product]], 30)</f>
        <v/>
      </c>
      <c r="Q104" s="123" t="str" cm="1">
        <f t="array" ref="Q104">Common_InputFunctions.Utility_DisplayArrayInTable(Fertiliser_SourceData.Fertiliser_Products_Data2(),FertiliserProducts[[#Headers],[Product]], 30)</f>
        <v/>
      </c>
      <c r="R104" s="123" t="str" cm="1">
        <f t="array" ref="R104">Common_InputFunctions.Utility_DisplayArrayInTable(Fertiliser_SourceData.Fertiliser_Products_Data2(),FertiliserProducts[[#Headers],[Product]], 30)</f>
        <v/>
      </c>
      <c r="S104" s="123" t="str" cm="1">
        <f t="array" ref="S104">Common_InputFunctions.Utility_DisplayArrayInTable(Fertiliser_SourceData.Fertiliser_Products_Data2(),FertiliserProducts[[#Headers],[Product]], 30)</f>
        <v/>
      </c>
      <c r="T104" s="123" t="str" cm="1">
        <f t="array" ref="T104">Common_InputFunctions.Utility_DisplayArrayInTable(Fertiliser_SourceData.Fertiliser_Products_Data2(),FertiliserProducts[[#Headers],[Product]], 30)</f>
        <v/>
      </c>
      <c r="U104" s="123" t="str" cm="1">
        <f t="array" ref="U104">Common_InputFunctions.Utility_DisplayArrayInTable(Fertiliser_SourceData.Fertiliser_Products_Data2(),FertiliserProducts[[#Headers],[Product]], 30)</f>
        <v/>
      </c>
      <c r="V104" s="123" t="str" cm="1">
        <f t="array" ref="V104">Common_InputFunctions.Utility_DisplayArrayInTable(Fertiliser_SourceData.Fertiliser_Products_Data2(),FertiliserProducts[[#Headers],[Product]], 30)</f>
        <v/>
      </c>
      <c r="W104" s="123" t="str" cm="1">
        <f t="array" ref="W104">Common_InputFunctions.Utility_DisplayArrayInTable(Fertiliser_SourceData.Fertiliser_Products_Data2(),FertiliserProducts[[#Headers],[Product]], 30)</f>
        <v>CSBP Super PHOS</v>
      </c>
    </row>
    <row r="105" spans="4:23" ht="20.100000000000001" customHeight="1" x14ac:dyDescent="0.25">
      <c r="D105" s="123" t="str" cm="1">
        <f t="array" ref="D105">Common_InputFunctions.Utility_DisplayArrayInTable(Fertiliser_SourceData.Fertiliser_Products_Data2(),FertiliserProducts[[#Headers],[Product]], 30)</f>
        <v>Super SR Extra</v>
      </c>
      <c r="E105" s="123" t="str" cm="1">
        <f t="array" ref="E105">Common_InputFunctions.Utility_DisplayArrayInTable(Fertiliser_SourceData.Fertiliser_Products_Data2(),FertiliserProducts[[#Headers],[Product]], 30)</f>
        <v/>
      </c>
      <c r="F105" s="123" t="str" cm="1">
        <f t="array" ref="F105">Common_InputFunctions.Utility_DisplayArrayInTable(Fertiliser_SourceData.Fertiliser_Products_Data2(),FertiliserProducts[[#Headers],[Product]], 30)</f>
        <v/>
      </c>
      <c r="G105" s="123" t="str" cm="1">
        <f t="array" ref="G105">Common_InputFunctions.Utility_DisplayArrayInTable(Fertiliser_SourceData.Fertiliser_Products_Data2(),FertiliserProducts[[#Headers],[Product]], 30)</f>
        <v/>
      </c>
      <c r="H105" s="123" t="str" cm="1">
        <f t="array" ref="H105">Common_InputFunctions.Utility_DisplayArrayInTable(Fertiliser_SourceData.Fertiliser_Products_Data2(),FertiliserProducts[[#Headers],[Product]], 30)</f>
        <v/>
      </c>
      <c r="I105" s="123" t="str" cm="1">
        <f t="array" ref="I105">Common_InputFunctions.Utility_DisplayArrayInTable(Fertiliser_SourceData.Fertiliser_Products_Data2(),FertiliserProducts[[#Headers],[Product]], 30)</f>
        <v/>
      </c>
      <c r="J105" s="123" t="str" cm="1">
        <f t="array" ref="J105">Common_InputFunctions.Utility_DisplayArrayInTable(Fertiliser_SourceData.Fertiliser_Products_Data2(),FertiliserProducts[[#Headers],[Product]], 30)</f>
        <v/>
      </c>
      <c r="K105" s="123" t="str" cm="1">
        <f t="array" ref="K105">Common_InputFunctions.Utility_DisplayArrayInTable(Fertiliser_SourceData.Fertiliser_Products_Data2(),FertiliserProducts[[#Headers],[Product]], 30)</f>
        <v/>
      </c>
      <c r="L105" s="123" t="str" cm="1">
        <f t="array" ref="L105">Common_InputFunctions.Utility_DisplayArrayInTable(Fertiliser_SourceData.Fertiliser_Products_Data2(),FertiliserProducts[[#Headers],[Product]], 30)</f>
        <v/>
      </c>
      <c r="M105" s="123" t="str" cm="1">
        <f t="array" ref="M105">Common_InputFunctions.Utility_DisplayArrayInTable(Fertiliser_SourceData.Fertiliser_Products_Data2(),FertiliserProducts[[#Headers],[Product]], 30)</f>
        <v/>
      </c>
      <c r="N105" s="123" t="str" cm="1">
        <f t="array" ref="N105">Common_InputFunctions.Utility_DisplayArrayInTable(Fertiliser_SourceData.Fertiliser_Products_Data2(),FertiliserProducts[[#Headers],[Product]], 30)</f>
        <v/>
      </c>
      <c r="O105" s="123" t="str" cm="1">
        <f t="array" ref="O105">Common_InputFunctions.Utility_DisplayArrayInTable(Fertiliser_SourceData.Fertiliser_Products_Data2(),FertiliserProducts[[#Headers],[Product]], 30)</f>
        <v/>
      </c>
      <c r="P105" s="123" t="str" cm="1">
        <f t="array" ref="P105">Common_InputFunctions.Utility_DisplayArrayInTable(Fertiliser_SourceData.Fertiliser_Products_Data2(),FertiliserProducts[[#Headers],[Product]], 30)</f>
        <v/>
      </c>
      <c r="Q105" s="123" t="str" cm="1">
        <f t="array" ref="Q105">Common_InputFunctions.Utility_DisplayArrayInTable(Fertiliser_SourceData.Fertiliser_Products_Data2(),FertiliserProducts[[#Headers],[Product]], 30)</f>
        <v/>
      </c>
      <c r="R105" s="123" t="str" cm="1">
        <f t="array" ref="R105">Common_InputFunctions.Utility_DisplayArrayInTable(Fertiliser_SourceData.Fertiliser_Products_Data2(),FertiliserProducts[[#Headers],[Product]], 30)</f>
        <v/>
      </c>
      <c r="S105" s="123" t="str" cm="1">
        <f t="array" ref="S105">Common_InputFunctions.Utility_DisplayArrayInTable(Fertiliser_SourceData.Fertiliser_Products_Data2(),FertiliserProducts[[#Headers],[Product]], 30)</f>
        <v/>
      </c>
      <c r="T105" s="123" t="str" cm="1">
        <f t="array" ref="T105">Common_InputFunctions.Utility_DisplayArrayInTable(Fertiliser_SourceData.Fertiliser_Products_Data2(),FertiliserProducts[[#Headers],[Product]], 30)</f>
        <v/>
      </c>
      <c r="U105" s="123" t="str" cm="1">
        <f t="array" ref="U105">Common_InputFunctions.Utility_DisplayArrayInTable(Fertiliser_SourceData.Fertiliser_Products_Data2(),FertiliserProducts[[#Headers],[Product]], 30)</f>
        <v/>
      </c>
      <c r="V105" s="123" t="str" cm="1">
        <f t="array" ref="V105">Common_InputFunctions.Utility_DisplayArrayInTable(Fertiliser_SourceData.Fertiliser_Products_Data2(),FertiliserProducts[[#Headers],[Product]], 30)</f>
        <v/>
      </c>
      <c r="W105" s="123" t="str" cm="1">
        <f t="array" ref="W105">Common_InputFunctions.Utility_DisplayArrayInTable(Fertiliser_SourceData.Fertiliser_Products_Data2(),FertiliserProducts[[#Headers],[Product]], 30)</f>
        <v>CSBP Super Potash</v>
      </c>
    </row>
    <row r="106" spans="4:23" ht="20.100000000000001" customHeight="1" x14ac:dyDescent="0.25">
      <c r="D106" s="123" t="str" cm="1">
        <f t="array" ref="D106">Common_InputFunctions.Utility_DisplayArrayInTable(Fertiliser_SourceData.Fertiliser_Products_Data2(),FertiliserProducts[[#Headers],[Product]], 30)</f>
        <v>SuPerfect</v>
      </c>
      <c r="E106" s="123" t="str" cm="1">
        <f t="array" ref="E106">Common_InputFunctions.Utility_DisplayArrayInTable(Fertiliser_SourceData.Fertiliser_Products_Data2(),FertiliserProducts[[#Headers],[Product]], 30)</f>
        <v/>
      </c>
      <c r="F106" s="123" t="str" cm="1">
        <f t="array" ref="F106">Common_InputFunctions.Utility_DisplayArrayInTable(Fertiliser_SourceData.Fertiliser_Products_Data2(),FertiliserProducts[[#Headers],[Product]], 30)</f>
        <v/>
      </c>
      <c r="G106" s="123" t="str" cm="1">
        <f t="array" ref="G106">Common_InputFunctions.Utility_DisplayArrayInTable(Fertiliser_SourceData.Fertiliser_Products_Data2(),FertiliserProducts[[#Headers],[Product]], 30)</f>
        <v/>
      </c>
      <c r="H106" s="123" t="str" cm="1">
        <f t="array" ref="H106">Common_InputFunctions.Utility_DisplayArrayInTable(Fertiliser_SourceData.Fertiliser_Products_Data2(),FertiliserProducts[[#Headers],[Product]], 30)</f>
        <v/>
      </c>
      <c r="I106" s="123" t="str" cm="1">
        <f t="array" ref="I106">Common_InputFunctions.Utility_DisplayArrayInTable(Fertiliser_SourceData.Fertiliser_Products_Data2(),FertiliserProducts[[#Headers],[Product]], 30)</f>
        <v/>
      </c>
      <c r="J106" s="123" t="str" cm="1">
        <f t="array" ref="J106">Common_InputFunctions.Utility_DisplayArrayInTable(Fertiliser_SourceData.Fertiliser_Products_Data2(),FertiliserProducts[[#Headers],[Product]], 30)</f>
        <v/>
      </c>
      <c r="K106" s="123" t="str" cm="1">
        <f t="array" ref="K106">Common_InputFunctions.Utility_DisplayArrayInTable(Fertiliser_SourceData.Fertiliser_Products_Data2(),FertiliserProducts[[#Headers],[Product]], 30)</f>
        <v/>
      </c>
      <c r="L106" s="123" t="str" cm="1">
        <f t="array" ref="L106">Common_InputFunctions.Utility_DisplayArrayInTable(Fertiliser_SourceData.Fertiliser_Products_Data2(),FertiliserProducts[[#Headers],[Product]], 30)</f>
        <v/>
      </c>
      <c r="M106" s="123" t="str" cm="1">
        <f t="array" ref="M106">Common_InputFunctions.Utility_DisplayArrayInTable(Fertiliser_SourceData.Fertiliser_Products_Data2(),FertiliserProducts[[#Headers],[Product]], 30)</f>
        <v/>
      </c>
      <c r="N106" s="123" t="str" cm="1">
        <f t="array" ref="N106">Common_InputFunctions.Utility_DisplayArrayInTable(Fertiliser_SourceData.Fertiliser_Products_Data2(),FertiliserProducts[[#Headers],[Product]], 30)</f>
        <v/>
      </c>
      <c r="O106" s="123" t="str" cm="1">
        <f t="array" ref="O106">Common_InputFunctions.Utility_DisplayArrayInTable(Fertiliser_SourceData.Fertiliser_Products_Data2(),FertiliserProducts[[#Headers],[Product]], 30)</f>
        <v/>
      </c>
      <c r="P106" s="123" t="str" cm="1">
        <f t="array" ref="P106">Common_InputFunctions.Utility_DisplayArrayInTable(Fertiliser_SourceData.Fertiliser_Products_Data2(),FertiliserProducts[[#Headers],[Product]], 30)</f>
        <v/>
      </c>
      <c r="Q106" s="123" t="str" cm="1">
        <f t="array" ref="Q106">Common_InputFunctions.Utility_DisplayArrayInTable(Fertiliser_SourceData.Fertiliser_Products_Data2(),FertiliserProducts[[#Headers],[Product]], 30)</f>
        <v/>
      </c>
      <c r="R106" s="123" t="str" cm="1">
        <f t="array" ref="R106">Common_InputFunctions.Utility_DisplayArrayInTable(Fertiliser_SourceData.Fertiliser_Products_Data2(),FertiliserProducts[[#Headers],[Product]], 30)</f>
        <v/>
      </c>
      <c r="S106" s="123" t="str" cm="1">
        <f t="array" ref="S106">Common_InputFunctions.Utility_DisplayArrayInTable(Fertiliser_SourceData.Fertiliser_Products_Data2(),FertiliserProducts[[#Headers],[Product]], 30)</f>
        <v/>
      </c>
      <c r="T106" s="123" t="str" cm="1">
        <f t="array" ref="T106">Common_InputFunctions.Utility_DisplayArrayInTable(Fertiliser_SourceData.Fertiliser_Products_Data2(),FertiliserProducts[[#Headers],[Product]], 30)</f>
        <v/>
      </c>
      <c r="U106" s="123" t="str" cm="1">
        <f t="array" ref="U106">Common_InputFunctions.Utility_DisplayArrayInTable(Fertiliser_SourceData.Fertiliser_Products_Data2(),FertiliserProducts[[#Headers],[Product]], 30)</f>
        <v/>
      </c>
      <c r="V106" s="123" t="str" cm="1">
        <f t="array" ref="V106">Common_InputFunctions.Utility_DisplayArrayInTable(Fertiliser_SourceData.Fertiliser_Products_Data2(),FertiliserProducts[[#Headers],[Product]], 30)</f>
        <v/>
      </c>
      <c r="W106" s="123" t="str" cm="1">
        <f t="array" ref="W106">Common_InputFunctions.Utility_DisplayArrayInTable(Fertiliser_SourceData.Fertiliser_Products_Data2(),FertiliserProducts[[#Headers],[Product]], 30)</f>
        <v>Incitec Pivot Fertilisers</v>
      </c>
    </row>
    <row r="107" spans="4:23" ht="20.100000000000001" customHeight="1" x14ac:dyDescent="0.25">
      <c r="D107" s="123" t="str" cm="1">
        <f t="array" ref="D107">Common_InputFunctions.Utility_DisplayArrayInTable(Fertiliser_SourceData.Fertiliser_Products_Data2(),FertiliserProducts[[#Headers],[Product]], 30)</f>
        <v>SuperPasture Potash 5:1</v>
      </c>
      <c r="E107" s="123" t="str" cm="1">
        <f t="array" ref="E107">Common_InputFunctions.Utility_DisplayArrayInTable(Fertiliser_SourceData.Fertiliser_Products_Data2(),FertiliserProducts[[#Headers],[Product]], 30)</f>
        <v/>
      </c>
      <c r="F107" s="123" t="str" cm="1">
        <f t="array" ref="F107">Common_InputFunctions.Utility_DisplayArrayInTable(Fertiliser_SourceData.Fertiliser_Products_Data2(),FertiliserProducts[[#Headers],[Product]], 30)</f>
        <v/>
      </c>
      <c r="G107" s="123" t="str" cm="1">
        <f t="array" ref="G107">Common_InputFunctions.Utility_DisplayArrayInTable(Fertiliser_SourceData.Fertiliser_Products_Data2(),FertiliserProducts[[#Headers],[Product]], 30)</f>
        <v/>
      </c>
      <c r="H107" s="123" t="str" cm="1">
        <f t="array" ref="H107">Common_InputFunctions.Utility_DisplayArrayInTable(Fertiliser_SourceData.Fertiliser_Products_Data2(),FertiliserProducts[[#Headers],[Product]], 30)</f>
        <v/>
      </c>
      <c r="I107" s="123" t="str" cm="1">
        <f t="array" ref="I107">Common_InputFunctions.Utility_DisplayArrayInTable(Fertiliser_SourceData.Fertiliser_Products_Data2(),FertiliserProducts[[#Headers],[Product]], 30)</f>
        <v/>
      </c>
      <c r="J107" s="123" t="str" cm="1">
        <f t="array" ref="J107">Common_InputFunctions.Utility_DisplayArrayInTable(Fertiliser_SourceData.Fertiliser_Products_Data2(),FertiliserProducts[[#Headers],[Product]], 30)</f>
        <v/>
      </c>
      <c r="K107" s="123" t="str" cm="1">
        <f t="array" ref="K107">Common_InputFunctions.Utility_DisplayArrayInTable(Fertiliser_SourceData.Fertiliser_Products_Data2(),FertiliserProducts[[#Headers],[Product]], 30)</f>
        <v/>
      </c>
      <c r="L107" s="123" t="str" cm="1">
        <f t="array" ref="L107">Common_InputFunctions.Utility_DisplayArrayInTable(Fertiliser_SourceData.Fertiliser_Products_Data2(),FertiliserProducts[[#Headers],[Product]], 30)</f>
        <v/>
      </c>
      <c r="M107" s="123" t="str" cm="1">
        <f t="array" ref="M107">Common_InputFunctions.Utility_DisplayArrayInTable(Fertiliser_SourceData.Fertiliser_Products_Data2(),FertiliserProducts[[#Headers],[Product]], 30)</f>
        <v/>
      </c>
      <c r="N107" s="123" t="str" cm="1">
        <f t="array" ref="N107">Common_InputFunctions.Utility_DisplayArrayInTable(Fertiliser_SourceData.Fertiliser_Products_Data2(),FertiliserProducts[[#Headers],[Product]], 30)</f>
        <v/>
      </c>
      <c r="O107" s="123" t="str" cm="1">
        <f t="array" ref="O107">Common_InputFunctions.Utility_DisplayArrayInTable(Fertiliser_SourceData.Fertiliser_Products_Data2(),FertiliserProducts[[#Headers],[Product]], 30)</f>
        <v/>
      </c>
      <c r="P107" s="123" t="str" cm="1">
        <f t="array" ref="P107">Common_InputFunctions.Utility_DisplayArrayInTable(Fertiliser_SourceData.Fertiliser_Products_Data2(),FertiliserProducts[[#Headers],[Product]], 30)</f>
        <v/>
      </c>
      <c r="Q107" s="123" t="str" cm="1">
        <f t="array" ref="Q107">Common_InputFunctions.Utility_DisplayArrayInTable(Fertiliser_SourceData.Fertiliser_Products_Data2(),FertiliserProducts[[#Headers],[Product]], 30)</f>
        <v/>
      </c>
      <c r="R107" s="123" t="str" cm="1">
        <f t="array" ref="R107">Common_InputFunctions.Utility_DisplayArrayInTable(Fertiliser_SourceData.Fertiliser_Products_Data2(),FertiliserProducts[[#Headers],[Product]], 30)</f>
        <v/>
      </c>
      <c r="S107" s="123" t="str" cm="1">
        <f t="array" ref="S107">Common_InputFunctions.Utility_DisplayArrayInTable(Fertiliser_SourceData.Fertiliser_Products_Data2(),FertiliserProducts[[#Headers],[Product]], 30)</f>
        <v/>
      </c>
      <c r="T107" s="123" t="str" cm="1">
        <f t="array" ref="T107">Common_InputFunctions.Utility_DisplayArrayInTable(Fertiliser_SourceData.Fertiliser_Products_Data2(),FertiliserProducts[[#Headers],[Product]], 30)</f>
        <v/>
      </c>
      <c r="U107" s="123" t="str" cm="1">
        <f t="array" ref="U107">Common_InputFunctions.Utility_DisplayArrayInTable(Fertiliser_SourceData.Fertiliser_Products_Data2(),FertiliserProducts[[#Headers],[Product]], 30)</f>
        <v/>
      </c>
      <c r="V107" s="123" t="str" cm="1">
        <f t="array" ref="V107">Common_InputFunctions.Utility_DisplayArrayInTable(Fertiliser_SourceData.Fertiliser_Products_Data2(),FertiliserProducts[[#Headers],[Product]], 30)</f>
        <v/>
      </c>
      <c r="W107" s="123" t="str" cm="1">
        <f t="array" ref="W107">Common_InputFunctions.Utility_DisplayArrayInTable(Fertiliser_SourceData.Fertiliser_Products_Data2(),FertiliserProducts[[#Headers],[Product]], 30)</f>
        <v>CSBP Super Potash</v>
      </c>
    </row>
    <row r="108" spans="4:23" ht="20.100000000000001" customHeight="1" x14ac:dyDescent="0.25">
      <c r="D108" s="123" t="str" cm="1">
        <f t="array" ref="D108">Common_InputFunctions.Utility_DisplayArrayInTable(Fertiliser_SourceData.Fertiliser_Products_Data2(),FertiliserProducts[[#Headers],[Product]], 30)</f>
        <v>Trace-it Mn</v>
      </c>
      <c r="E108" s="123" t="str" cm="1">
        <f t="array" ref="E108">Common_InputFunctions.Utility_DisplayArrayInTable(Fertiliser_SourceData.Fertiliser_Products_Data2(),FertiliserProducts[[#Headers],[Product]], 30)</f>
        <v/>
      </c>
      <c r="F108" s="123" t="str" cm="1">
        <f t="array" ref="F108">Common_InputFunctions.Utility_DisplayArrayInTable(Fertiliser_SourceData.Fertiliser_Products_Data2(),FertiliserProducts[[#Headers],[Product]], 30)</f>
        <v/>
      </c>
      <c r="G108" s="123" t="str" cm="1">
        <f t="array" ref="G108">Common_InputFunctions.Utility_DisplayArrayInTable(Fertiliser_SourceData.Fertiliser_Products_Data2(),FertiliserProducts[[#Headers],[Product]], 30)</f>
        <v/>
      </c>
      <c r="H108" s="123" t="str" cm="1">
        <f t="array" ref="H108">Common_InputFunctions.Utility_DisplayArrayInTable(Fertiliser_SourceData.Fertiliser_Products_Data2(),FertiliserProducts[[#Headers],[Product]], 30)</f>
        <v/>
      </c>
      <c r="I108" s="123" t="str" cm="1">
        <f t="array" ref="I108">Common_InputFunctions.Utility_DisplayArrayInTable(Fertiliser_SourceData.Fertiliser_Products_Data2(),FertiliserProducts[[#Headers],[Product]], 30)</f>
        <v/>
      </c>
      <c r="J108" s="123" t="str" cm="1">
        <f t="array" ref="J108">Common_InputFunctions.Utility_DisplayArrayInTable(Fertiliser_SourceData.Fertiliser_Products_Data2(),FertiliserProducts[[#Headers],[Product]], 30)</f>
        <v/>
      </c>
      <c r="K108" s="123" t="str" cm="1">
        <f t="array" ref="K108">Common_InputFunctions.Utility_DisplayArrayInTable(Fertiliser_SourceData.Fertiliser_Products_Data2(),FertiliserProducts[[#Headers],[Product]], 30)</f>
        <v/>
      </c>
      <c r="L108" s="123" t="str" cm="1">
        <f t="array" ref="L108">Common_InputFunctions.Utility_DisplayArrayInTable(Fertiliser_SourceData.Fertiliser_Products_Data2(),FertiliserProducts[[#Headers],[Product]], 30)</f>
        <v/>
      </c>
      <c r="M108" s="123" t="str" cm="1">
        <f t="array" ref="M108">Common_InputFunctions.Utility_DisplayArrayInTable(Fertiliser_SourceData.Fertiliser_Products_Data2(),FertiliserProducts[[#Headers],[Product]], 30)</f>
        <v/>
      </c>
      <c r="N108" s="123" t="str" cm="1">
        <f t="array" ref="N108">Common_InputFunctions.Utility_DisplayArrayInTable(Fertiliser_SourceData.Fertiliser_Products_Data2(),FertiliserProducts[[#Headers],[Product]], 30)</f>
        <v/>
      </c>
      <c r="O108" s="123" t="str" cm="1">
        <f t="array" ref="O108">Common_InputFunctions.Utility_DisplayArrayInTable(Fertiliser_SourceData.Fertiliser_Products_Data2(),FertiliserProducts[[#Headers],[Product]], 30)</f>
        <v/>
      </c>
      <c r="P108" s="123" t="str" cm="1">
        <f t="array" ref="P108">Common_InputFunctions.Utility_DisplayArrayInTable(Fertiliser_SourceData.Fertiliser_Products_Data2(),FertiliserProducts[[#Headers],[Product]], 30)</f>
        <v/>
      </c>
      <c r="Q108" s="123" t="str" cm="1">
        <f t="array" ref="Q108">Common_InputFunctions.Utility_DisplayArrayInTable(Fertiliser_SourceData.Fertiliser_Products_Data2(),FertiliserProducts[[#Headers],[Product]], 30)</f>
        <v/>
      </c>
      <c r="R108" s="123" t="str" cm="1">
        <f t="array" ref="R108">Common_InputFunctions.Utility_DisplayArrayInTable(Fertiliser_SourceData.Fertiliser_Products_Data2(),FertiliserProducts[[#Headers],[Product]], 30)</f>
        <v/>
      </c>
      <c r="S108" s="123" t="str" cm="1">
        <f t="array" ref="S108">Common_InputFunctions.Utility_DisplayArrayInTable(Fertiliser_SourceData.Fertiliser_Products_Data2(),FertiliserProducts[[#Headers],[Product]], 30)</f>
        <v/>
      </c>
      <c r="T108" s="123" t="str" cm="1">
        <f t="array" ref="T108">Common_InputFunctions.Utility_DisplayArrayInTable(Fertiliser_SourceData.Fertiliser_Products_Data2(),FertiliserProducts[[#Headers],[Product]], 30)</f>
        <v/>
      </c>
      <c r="U108" s="123" t="str" cm="1">
        <f t="array" ref="U108">Common_InputFunctions.Utility_DisplayArrayInTable(Fertiliser_SourceData.Fertiliser_Products_Data2(),FertiliserProducts[[#Headers],[Product]], 30)</f>
        <v/>
      </c>
      <c r="V108" s="123" t="str" cm="1">
        <f t="array" ref="V108">Common_InputFunctions.Utility_DisplayArrayInTable(Fertiliser_SourceData.Fertiliser_Products_Data2(),FertiliserProducts[[#Headers],[Product]], 30)</f>
        <v/>
      </c>
      <c r="W108" s="123" t="str" cm="1">
        <f t="array" ref="W108">Common_InputFunctions.Utility_DisplayArrayInTable(Fertiliser_SourceData.Fertiliser_Products_Data2(),FertiliserProducts[[#Headers],[Product]], 30)</f>
        <v>Campbells fertilisers Australia</v>
      </c>
    </row>
    <row r="109" spans="4:23" ht="20.100000000000001" customHeight="1" x14ac:dyDescent="0.25">
      <c r="D109" s="123" t="str" cm="1">
        <f t="array" ref="D109">Common_InputFunctions.Utility_DisplayArrayInTable(Fertiliser_SourceData.Fertiliser_Products_Data2(),FertiliserProducts[[#Headers],[Product]], 30)</f>
        <v>UniSZon</v>
      </c>
      <c r="E109" s="123" t="str" cm="1">
        <f t="array" ref="E109">Common_InputFunctions.Utility_DisplayArrayInTable(Fertiliser_SourceData.Fertiliser_Products_Data2(),FertiliserProducts[[#Headers],[Product]], 30)</f>
        <v/>
      </c>
      <c r="F109" s="123" t="str" cm="1">
        <f t="array" ref="F109">Common_InputFunctions.Utility_DisplayArrayInTable(Fertiliser_SourceData.Fertiliser_Products_Data2(),FertiliserProducts[[#Headers],[Product]], 30)</f>
        <v/>
      </c>
      <c r="G109" s="123" t="str" cm="1">
        <f t="array" ref="G109">Common_InputFunctions.Utility_DisplayArrayInTable(Fertiliser_SourceData.Fertiliser_Products_Data2(),FertiliserProducts[[#Headers],[Product]], 30)</f>
        <v/>
      </c>
      <c r="H109" s="123" t="str" cm="1">
        <f t="array" ref="H109">Common_InputFunctions.Utility_DisplayArrayInTable(Fertiliser_SourceData.Fertiliser_Products_Data2(),FertiliserProducts[[#Headers],[Product]], 30)</f>
        <v/>
      </c>
      <c r="I109" s="123" t="str" cm="1">
        <f t="array" ref="I109">Common_InputFunctions.Utility_DisplayArrayInTable(Fertiliser_SourceData.Fertiliser_Products_Data2(),FertiliserProducts[[#Headers],[Product]], 30)</f>
        <v/>
      </c>
      <c r="J109" s="123" t="str" cm="1">
        <f t="array" ref="J109">Common_InputFunctions.Utility_DisplayArrayInTable(Fertiliser_SourceData.Fertiliser_Products_Data2(),FertiliserProducts[[#Headers],[Product]], 30)</f>
        <v/>
      </c>
      <c r="K109" s="123" t="str" cm="1">
        <f t="array" ref="K109">Common_InputFunctions.Utility_DisplayArrayInTable(Fertiliser_SourceData.Fertiliser_Products_Data2(),FertiliserProducts[[#Headers],[Product]], 30)</f>
        <v/>
      </c>
      <c r="L109" s="123" t="str" cm="1">
        <f t="array" ref="L109">Common_InputFunctions.Utility_DisplayArrayInTable(Fertiliser_SourceData.Fertiliser_Products_Data2(),FertiliserProducts[[#Headers],[Product]], 30)</f>
        <v/>
      </c>
      <c r="M109" s="123" t="str" cm="1">
        <f t="array" ref="M109">Common_InputFunctions.Utility_DisplayArrayInTable(Fertiliser_SourceData.Fertiliser_Products_Data2(),FertiliserProducts[[#Headers],[Product]], 30)</f>
        <v/>
      </c>
      <c r="N109" s="123" t="str" cm="1">
        <f t="array" ref="N109">Common_InputFunctions.Utility_DisplayArrayInTable(Fertiliser_SourceData.Fertiliser_Products_Data2(),FertiliserProducts[[#Headers],[Product]], 30)</f>
        <v/>
      </c>
      <c r="O109" s="123" t="str" cm="1">
        <f t="array" ref="O109">Common_InputFunctions.Utility_DisplayArrayInTable(Fertiliser_SourceData.Fertiliser_Products_Data2(),FertiliserProducts[[#Headers],[Product]], 30)</f>
        <v/>
      </c>
      <c r="P109" s="123" t="str" cm="1">
        <f t="array" ref="P109">Common_InputFunctions.Utility_DisplayArrayInTable(Fertiliser_SourceData.Fertiliser_Products_Data2(),FertiliserProducts[[#Headers],[Product]], 30)</f>
        <v/>
      </c>
      <c r="Q109" s="123" t="str" cm="1">
        <f t="array" ref="Q109">Common_InputFunctions.Utility_DisplayArrayInTable(Fertiliser_SourceData.Fertiliser_Products_Data2(),FertiliserProducts[[#Headers],[Product]], 30)</f>
        <v/>
      </c>
      <c r="R109" s="123" t="str" cm="1">
        <f t="array" ref="R109">Common_InputFunctions.Utility_DisplayArrayInTable(Fertiliser_SourceData.Fertiliser_Products_Data2(),FertiliserProducts[[#Headers],[Product]], 30)</f>
        <v/>
      </c>
      <c r="S109" s="123" t="str" cm="1">
        <f t="array" ref="S109">Common_InputFunctions.Utility_DisplayArrayInTable(Fertiliser_SourceData.Fertiliser_Products_Data2(),FertiliserProducts[[#Headers],[Product]], 30)</f>
        <v/>
      </c>
      <c r="T109" s="123" t="str" cm="1">
        <f t="array" ref="T109">Common_InputFunctions.Utility_DisplayArrayInTable(Fertiliser_SourceData.Fertiliser_Products_Data2(),FertiliserProducts[[#Headers],[Product]], 30)</f>
        <v/>
      </c>
      <c r="U109" s="123" t="str" cm="1">
        <f t="array" ref="U109">Common_InputFunctions.Utility_DisplayArrayInTable(Fertiliser_SourceData.Fertiliser_Products_Data2(),FertiliserProducts[[#Headers],[Product]], 30)</f>
        <v/>
      </c>
      <c r="V109" s="123" t="str" cm="1">
        <f t="array" ref="V109">Common_InputFunctions.Utility_DisplayArrayInTable(Fertiliser_SourceData.Fertiliser_Products_Data2(),FertiliserProducts[[#Headers],[Product]], 30)</f>
        <v/>
      </c>
      <c r="W109" s="123" t="str" cm="1">
        <f t="array" ref="W109">Common_InputFunctions.Utility_DisplayArrayInTable(Fertiliser_SourceData.Fertiliser_Products_Data2(),FertiliserProducts[[#Headers],[Product]], 30)</f>
        <v>WengfuAustralia uniSZon</v>
      </c>
    </row>
    <row r="110" spans="4:23" ht="20.100000000000001" customHeight="1" x14ac:dyDescent="0.25">
      <c r="D110" s="123" t="str" cm="1">
        <f t="array" ref="D110">Common_InputFunctions.Utility_DisplayArrayInTable(Fertiliser_SourceData.Fertiliser_Products_Data2(),FertiliserProducts[[#Headers],[Product]], 30)</f>
        <v>Urea</v>
      </c>
      <c r="E110" s="123" t="str" cm="1">
        <f t="array" ref="E110">Common_InputFunctions.Utility_DisplayArrayInTable(Fertiliser_SourceData.Fertiliser_Products_Data2(),FertiliserProducts[[#Headers],[Product]], 30)</f>
        <v/>
      </c>
      <c r="F110" s="123" t="str" cm="1">
        <f t="array" ref="F110">Common_InputFunctions.Utility_DisplayArrayInTable(Fertiliser_SourceData.Fertiliser_Products_Data2(),FertiliserProducts[[#Headers],[Product]], 30)</f>
        <v/>
      </c>
      <c r="G110" s="123" t="str" cm="1">
        <f t="array" ref="G110">Common_InputFunctions.Utility_DisplayArrayInTable(Fertiliser_SourceData.Fertiliser_Products_Data2(),FertiliserProducts[[#Headers],[Product]], 30)</f>
        <v/>
      </c>
      <c r="H110" s="123" t="str" cm="1">
        <f t="array" ref="H110">Common_InputFunctions.Utility_DisplayArrayInTable(Fertiliser_SourceData.Fertiliser_Products_Data2(),FertiliserProducts[[#Headers],[Product]], 30)</f>
        <v/>
      </c>
      <c r="I110" s="123" t="str" cm="1">
        <f t="array" ref="I110">Common_InputFunctions.Utility_DisplayArrayInTable(Fertiliser_SourceData.Fertiliser_Products_Data2(),FertiliserProducts[[#Headers],[Product]], 30)</f>
        <v/>
      </c>
      <c r="J110" s="123" t="str" cm="1">
        <f t="array" ref="J110">Common_InputFunctions.Utility_DisplayArrayInTable(Fertiliser_SourceData.Fertiliser_Products_Data2(),FertiliserProducts[[#Headers],[Product]], 30)</f>
        <v/>
      </c>
      <c r="K110" s="123" t="str" cm="1">
        <f t="array" ref="K110">Common_InputFunctions.Utility_DisplayArrayInTable(Fertiliser_SourceData.Fertiliser_Products_Data2(),FertiliserProducts[[#Headers],[Product]], 30)</f>
        <v/>
      </c>
      <c r="L110" s="123" t="str" cm="1">
        <f t="array" ref="L110">Common_InputFunctions.Utility_DisplayArrayInTable(Fertiliser_SourceData.Fertiliser_Products_Data2(),FertiliserProducts[[#Headers],[Product]], 30)</f>
        <v/>
      </c>
      <c r="M110" s="123" t="str" cm="1">
        <f t="array" ref="M110">Common_InputFunctions.Utility_DisplayArrayInTable(Fertiliser_SourceData.Fertiliser_Products_Data2(),FertiliserProducts[[#Headers],[Product]], 30)</f>
        <v/>
      </c>
      <c r="N110" s="123" t="str" cm="1">
        <f t="array" ref="N110">Common_InputFunctions.Utility_DisplayArrayInTable(Fertiliser_SourceData.Fertiliser_Products_Data2(),FertiliserProducts[[#Headers],[Product]], 30)</f>
        <v/>
      </c>
      <c r="O110" s="123" t="str" cm="1">
        <f t="array" ref="O110">Common_InputFunctions.Utility_DisplayArrayInTable(Fertiliser_SourceData.Fertiliser_Products_Data2(),FertiliserProducts[[#Headers],[Product]], 30)</f>
        <v/>
      </c>
      <c r="P110" s="123" t="str" cm="1">
        <f t="array" ref="P110">Common_InputFunctions.Utility_DisplayArrayInTable(Fertiliser_SourceData.Fertiliser_Products_Data2(),FertiliserProducts[[#Headers],[Product]], 30)</f>
        <v/>
      </c>
      <c r="Q110" s="123" t="str" cm="1">
        <f t="array" ref="Q110">Common_InputFunctions.Utility_DisplayArrayInTable(Fertiliser_SourceData.Fertiliser_Products_Data2(),FertiliserProducts[[#Headers],[Product]], 30)</f>
        <v/>
      </c>
      <c r="R110" s="123" t="str" cm="1">
        <f t="array" ref="R110">Common_InputFunctions.Utility_DisplayArrayInTable(Fertiliser_SourceData.Fertiliser_Products_Data2(),FertiliserProducts[[#Headers],[Product]], 30)</f>
        <v/>
      </c>
      <c r="S110" s="123" t="str" cm="1">
        <f t="array" ref="S110">Common_InputFunctions.Utility_DisplayArrayInTable(Fertiliser_SourceData.Fertiliser_Products_Data2(),FertiliserProducts[[#Headers],[Product]], 30)</f>
        <v/>
      </c>
      <c r="T110" s="123" t="str" cm="1">
        <f t="array" ref="T110">Common_InputFunctions.Utility_DisplayArrayInTable(Fertiliser_SourceData.Fertiliser_Products_Data2(),FertiliserProducts[[#Headers],[Product]], 30)</f>
        <v/>
      </c>
      <c r="U110" s="123" t="str" cm="1">
        <f t="array" ref="U110">Common_InputFunctions.Utility_DisplayArrayInTable(Fertiliser_SourceData.Fertiliser_Products_Data2(),FertiliserProducts[[#Headers],[Product]], 30)</f>
        <v/>
      </c>
      <c r="V110" s="123" t="str" cm="1">
        <f t="array" ref="V110">Common_InputFunctions.Utility_DisplayArrayInTable(Fertiliser_SourceData.Fertiliser_Products_Data2(),FertiliserProducts[[#Headers],[Product]], 30)</f>
        <v/>
      </c>
      <c r="W110" s="123" t="str" cm="1">
        <f t="array" ref="W110">Common_InputFunctions.Utility_DisplayArrayInTable(Fertiliser_SourceData.Fertiliser_Products_Data2(),FertiliserProducts[[#Headers],[Product]], 30)</f>
        <v>ProductCard_Adelaide_web.pdf (incitecpivotfertilisers.com.au)</v>
      </c>
    </row>
    <row r="111" spans="4:23" ht="20.100000000000001" customHeight="1" x14ac:dyDescent="0.25">
      <c r="D111" s="123" t="str" cm="1">
        <f t="array" ref="D111">Common_InputFunctions.Utility_DisplayArrayInTable(Fertiliser_SourceData.Fertiliser_Products_Data2(),FertiliserProducts[[#Headers],[Product]], 30)</f>
        <v>Wengfu Slam Granular</v>
      </c>
      <c r="E111" s="123" t="str" cm="1">
        <f t="array" ref="E111">Common_InputFunctions.Utility_DisplayArrayInTable(Fertiliser_SourceData.Fertiliser_Products_Data2(),FertiliserProducts[[#Headers],[Product]], 30)</f>
        <v/>
      </c>
      <c r="F111" s="123" t="str" cm="1">
        <f t="array" ref="F111">Common_InputFunctions.Utility_DisplayArrayInTable(Fertiliser_SourceData.Fertiliser_Products_Data2(),FertiliserProducts[[#Headers],[Product]], 30)</f>
        <v/>
      </c>
      <c r="G111" s="123" t="str" cm="1">
        <f t="array" ref="G111">Common_InputFunctions.Utility_DisplayArrayInTable(Fertiliser_SourceData.Fertiliser_Products_Data2(),FertiliserProducts[[#Headers],[Product]], 30)</f>
        <v/>
      </c>
      <c r="H111" s="123" t="str" cm="1">
        <f t="array" ref="H111">Common_InputFunctions.Utility_DisplayArrayInTable(Fertiliser_SourceData.Fertiliser_Products_Data2(),FertiliserProducts[[#Headers],[Product]], 30)</f>
        <v/>
      </c>
      <c r="I111" s="123" t="str" cm="1">
        <f t="array" ref="I111">Common_InputFunctions.Utility_DisplayArrayInTable(Fertiliser_SourceData.Fertiliser_Products_Data2(),FertiliserProducts[[#Headers],[Product]], 30)</f>
        <v/>
      </c>
      <c r="J111" s="123" t="str" cm="1">
        <f t="array" ref="J111">Common_InputFunctions.Utility_DisplayArrayInTable(Fertiliser_SourceData.Fertiliser_Products_Data2(),FertiliserProducts[[#Headers],[Product]], 30)</f>
        <v/>
      </c>
      <c r="K111" s="123" t="str" cm="1">
        <f t="array" ref="K111">Common_InputFunctions.Utility_DisplayArrayInTable(Fertiliser_SourceData.Fertiliser_Products_Data2(),FertiliserProducts[[#Headers],[Product]], 30)</f>
        <v/>
      </c>
      <c r="L111" s="123" t="str" cm="1">
        <f t="array" ref="L111">Common_InputFunctions.Utility_DisplayArrayInTable(Fertiliser_SourceData.Fertiliser_Products_Data2(),FertiliserProducts[[#Headers],[Product]], 30)</f>
        <v/>
      </c>
      <c r="M111" s="123" t="str" cm="1">
        <f t="array" ref="M111">Common_InputFunctions.Utility_DisplayArrayInTable(Fertiliser_SourceData.Fertiliser_Products_Data2(),FertiliserProducts[[#Headers],[Product]], 30)</f>
        <v/>
      </c>
      <c r="N111" s="123" t="str" cm="1">
        <f t="array" ref="N111">Common_InputFunctions.Utility_DisplayArrayInTable(Fertiliser_SourceData.Fertiliser_Products_Data2(),FertiliserProducts[[#Headers],[Product]], 30)</f>
        <v/>
      </c>
      <c r="O111" s="123" t="str" cm="1">
        <f t="array" ref="O111">Common_InputFunctions.Utility_DisplayArrayInTable(Fertiliser_SourceData.Fertiliser_Products_Data2(),FertiliserProducts[[#Headers],[Product]], 30)</f>
        <v/>
      </c>
      <c r="P111" s="123" t="str" cm="1">
        <f t="array" ref="P111">Common_InputFunctions.Utility_DisplayArrayInTable(Fertiliser_SourceData.Fertiliser_Products_Data2(),FertiliserProducts[[#Headers],[Product]], 30)</f>
        <v/>
      </c>
      <c r="Q111" s="123" t="str" cm="1">
        <f t="array" ref="Q111">Common_InputFunctions.Utility_DisplayArrayInTable(Fertiliser_SourceData.Fertiliser_Products_Data2(),FertiliserProducts[[#Headers],[Product]], 30)</f>
        <v/>
      </c>
      <c r="R111" s="123" t="str" cm="1">
        <f t="array" ref="R111">Common_InputFunctions.Utility_DisplayArrayInTable(Fertiliser_SourceData.Fertiliser_Products_Data2(),FertiliserProducts[[#Headers],[Product]], 30)</f>
        <v/>
      </c>
      <c r="S111" s="123" t="str" cm="1">
        <f t="array" ref="S111">Common_InputFunctions.Utility_DisplayArrayInTable(Fertiliser_SourceData.Fertiliser_Products_Data2(),FertiliserProducts[[#Headers],[Product]], 30)</f>
        <v/>
      </c>
      <c r="T111" s="123" t="str" cm="1">
        <f t="array" ref="T111">Common_InputFunctions.Utility_DisplayArrayInTable(Fertiliser_SourceData.Fertiliser_Products_Data2(),FertiliserProducts[[#Headers],[Product]], 30)</f>
        <v/>
      </c>
      <c r="U111" s="123" t="str" cm="1">
        <f t="array" ref="U111">Common_InputFunctions.Utility_DisplayArrayInTable(Fertiliser_SourceData.Fertiliser_Products_Data2(),FertiliserProducts[[#Headers],[Product]], 30)</f>
        <v/>
      </c>
      <c r="V111" s="123" t="str" cm="1">
        <f t="array" ref="V111">Common_InputFunctions.Utility_DisplayArrayInTable(Fertiliser_SourceData.Fertiliser_Products_Data2(),FertiliserProducts[[#Headers],[Product]], 30)</f>
        <v/>
      </c>
      <c r="W111" s="123" t="str" cm="1">
        <f t="array" ref="W111">Common_InputFunctions.Utility_DisplayArrayInTable(Fertiliser_SourceData.Fertiliser_Products_Data2(),FertiliserProducts[[#Headers],[Product]], 30)</f>
        <v>Straights (wengfu.com.au)</v>
      </c>
    </row>
    <row r="112" spans="4:23" ht="20.100000000000001" customHeight="1" x14ac:dyDescent="0.25">
      <c r="D112" s="123" t="str" cm="1">
        <f t="array" ref="D112">Common_InputFunctions.Utility_DisplayArrayInTable(Fertiliser_SourceData.Fertiliser_Products_Data2(),FertiliserProducts[[#Headers],[Product]], 30)</f>
        <v>Yara FlowPhos 10</v>
      </c>
      <c r="E112" s="123" t="str" cm="1">
        <f t="array" ref="E112">Common_InputFunctions.Utility_DisplayArrayInTable(Fertiliser_SourceData.Fertiliser_Products_Data2(),FertiliserProducts[[#Headers],[Product]], 30)</f>
        <v/>
      </c>
      <c r="F112" s="123" t="str" cm="1">
        <f t="array" ref="F112">Common_InputFunctions.Utility_DisplayArrayInTable(Fertiliser_SourceData.Fertiliser_Products_Data2(),FertiliserProducts[[#Headers],[Product]], 30)</f>
        <v/>
      </c>
      <c r="G112" s="123" t="str" cm="1">
        <f t="array" ref="G112">Common_InputFunctions.Utility_DisplayArrayInTable(Fertiliser_SourceData.Fertiliser_Products_Data2(),FertiliserProducts[[#Headers],[Product]], 30)</f>
        <v/>
      </c>
      <c r="H112" s="123" t="str" cm="1">
        <f t="array" ref="H112">Common_InputFunctions.Utility_DisplayArrayInTable(Fertiliser_SourceData.Fertiliser_Products_Data2(),FertiliserProducts[[#Headers],[Product]], 30)</f>
        <v/>
      </c>
      <c r="I112" s="123" t="str" cm="1">
        <f t="array" ref="I112">Common_InputFunctions.Utility_DisplayArrayInTable(Fertiliser_SourceData.Fertiliser_Products_Data2(),FertiliserProducts[[#Headers],[Product]], 30)</f>
        <v/>
      </c>
      <c r="J112" s="123" t="str" cm="1">
        <f t="array" ref="J112">Common_InputFunctions.Utility_DisplayArrayInTable(Fertiliser_SourceData.Fertiliser_Products_Data2(),FertiliserProducts[[#Headers],[Product]], 30)</f>
        <v/>
      </c>
      <c r="K112" s="123" t="str" cm="1">
        <f t="array" ref="K112">Common_InputFunctions.Utility_DisplayArrayInTable(Fertiliser_SourceData.Fertiliser_Products_Data2(),FertiliserProducts[[#Headers],[Product]], 30)</f>
        <v/>
      </c>
      <c r="L112" s="123" t="str" cm="1">
        <f t="array" ref="L112">Common_InputFunctions.Utility_DisplayArrayInTable(Fertiliser_SourceData.Fertiliser_Products_Data2(),FertiliserProducts[[#Headers],[Product]], 30)</f>
        <v/>
      </c>
      <c r="M112" s="123" t="str" cm="1">
        <f t="array" ref="M112">Common_InputFunctions.Utility_DisplayArrayInTable(Fertiliser_SourceData.Fertiliser_Products_Data2(),FertiliserProducts[[#Headers],[Product]], 30)</f>
        <v/>
      </c>
      <c r="N112" s="123" t="str" cm="1">
        <f t="array" ref="N112">Common_InputFunctions.Utility_DisplayArrayInTable(Fertiliser_SourceData.Fertiliser_Products_Data2(),FertiliserProducts[[#Headers],[Product]], 30)</f>
        <v/>
      </c>
      <c r="O112" s="123" t="str" cm="1">
        <f t="array" ref="O112">Common_InputFunctions.Utility_DisplayArrayInTable(Fertiliser_SourceData.Fertiliser_Products_Data2(),FertiliserProducts[[#Headers],[Product]], 30)</f>
        <v/>
      </c>
      <c r="P112" s="123" t="str" cm="1">
        <f t="array" ref="P112">Common_InputFunctions.Utility_DisplayArrayInTable(Fertiliser_SourceData.Fertiliser_Products_Data2(),FertiliserProducts[[#Headers],[Product]], 30)</f>
        <v/>
      </c>
      <c r="Q112" s="123" t="str" cm="1">
        <f t="array" ref="Q112">Common_InputFunctions.Utility_DisplayArrayInTable(Fertiliser_SourceData.Fertiliser_Products_Data2(),FertiliserProducts[[#Headers],[Product]], 30)</f>
        <v/>
      </c>
      <c r="R112" s="123" t="str" cm="1">
        <f t="array" ref="R112">Common_InputFunctions.Utility_DisplayArrayInTable(Fertiliser_SourceData.Fertiliser_Products_Data2(),FertiliserProducts[[#Headers],[Product]], 30)</f>
        <v/>
      </c>
      <c r="S112" s="123" t="str" cm="1">
        <f t="array" ref="S112">Common_InputFunctions.Utility_DisplayArrayInTable(Fertiliser_SourceData.Fertiliser_Products_Data2(),FertiliserProducts[[#Headers],[Product]], 30)</f>
        <v/>
      </c>
      <c r="T112" s="123" t="str" cm="1">
        <f t="array" ref="T112">Common_InputFunctions.Utility_DisplayArrayInTable(Fertiliser_SourceData.Fertiliser_Products_Data2(),FertiliserProducts[[#Headers],[Product]], 30)</f>
        <v/>
      </c>
      <c r="U112" s="123" t="str" cm="1">
        <f t="array" ref="U112">Common_InputFunctions.Utility_DisplayArrayInTable(Fertiliser_SourceData.Fertiliser_Products_Data2(),FertiliserProducts[[#Headers],[Product]], 30)</f>
        <v/>
      </c>
      <c r="V112" s="123" t="str" cm="1">
        <f t="array" ref="V112">Common_InputFunctions.Utility_DisplayArrayInTable(Fertiliser_SourceData.Fertiliser_Products_Data2(),FertiliserProducts[[#Headers],[Product]], 30)</f>
        <v/>
      </c>
      <c r="W112" s="123" t="str" cm="1">
        <f t="array" ref="W112">Common_InputFunctions.Utility_DisplayArrayInTable(Fertiliser_SourceData.Fertiliser_Products_Data2(),FertiliserProducts[[#Headers],[Product]], 30)</f>
        <v>Crop Nutrition Solutions (Yara Australia)</v>
      </c>
    </row>
    <row r="113" spans="4:23" ht="20.100000000000001" customHeight="1" x14ac:dyDescent="0.25">
      <c r="D113" s="123" t="str" cm="1">
        <f t="array" ref="D113">Common_InputFunctions.Utility_DisplayArrayInTable(Fertiliser_SourceData.Fertiliser_Products_Data2(),FertiliserProducts[[#Headers],[Product]], 30)</f>
        <v>Yara FlowPhos 13Z</v>
      </c>
      <c r="E113" s="123" t="str" cm="1">
        <f t="array" ref="E113">Common_InputFunctions.Utility_DisplayArrayInTable(Fertiliser_SourceData.Fertiliser_Products_Data2(),FertiliserProducts[[#Headers],[Product]], 30)</f>
        <v/>
      </c>
      <c r="F113" s="123" t="str" cm="1">
        <f t="array" ref="F113">Common_InputFunctions.Utility_DisplayArrayInTable(Fertiliser_SourceData.Fertiliser_Products_Data2(),FertiliserProducts[[#Headers],[Product]], 30)</f>
        <v/>
      </c>
      <c r="G113" s="123" t="str" cm="1">
        <f t="array" ref="G113">Common_InputFunctions.Utility_DisplayArrayInTable(Fertiliser_SourceData.Fertiliser_Products_Data2(),FertiliserProducts[[#Headers],[Product]], 30)</f>
        <v/>
      </c>
      <c r="H113" s="123" t="str" cm="1">
        <f t="array" ref="H113">Common_InputFunctions.Utility_DisplayArrayInTable(Fertiliser_SourceData.Fertiliser_Products_Data2(),FertiliserProducts[[#Headers],[Product]], 30)</f>
        <v/>
      </c>
      <c r="I113" s="123" t="str" cm="1">
        <f t="array" ref="I113">Common_InputFunctions.Utility_DisplayArrayInTable(Fertiliser_SourceData.Fertiliser_Products_Data2(),FertiliserProducts[[#Headers],[Product]], 30)</f>
        <v/>
      </c>
      <c r="J113" s="123" t="str" cm="1">
        <f t="array" ref="J113">Common_InputFunctions.Utility_DisplayArrayInTable(Fertiliser_SourceData.Fertiliser_Products_Data2(),FertiliserProducts[[#Headers],[Product]], 30)</f>
        <v/>
      </c>
      <c r="K113" s="123" t="str" cm="1">
        <f t="array" ref="K113">Common_InputFunctions.Utility_DisplayArrayInTable(Fertiliser_SourceData.Fertiliser_Products_Data2(),FertiliserProducts[[#Headers],[Product]], 30)</f>
        <v/>
      </c>
      <c r="L113" s="123" t="str" cm="1">
        <f t="array" ref="L113">Common_InputFunctions.Utility_DisplayArrayInTable(Fertiliser_SourceData.Fertiliser_Products_Data2(),FertiliserProducts[[#Headers],[Product]], 30)</f>
        <v/>
      </c>
      <c r="M113" s="123" t="str" cm="1">
        <f t="array" ref="M113">Common_InputFunctions.Utility_DisplayArrayInTable(Fertiliser_SourceData.Fertiliser_Products_Data2(),FertiliserProducts[[#Headers],[Product]], 30)</f>
        <v/>
      </c>
      <c r="N113" s="123" t="str" cm="1">
        <f t="array" ref="N113">Common_InputFunctions.Utility_DisplayArrayInTable(Fertiliser_SourceData.Fertiliser_Products_Data2(),FertiliserProducts[[#Headers],[Product]], 30)</f>
        <v/>
      </c>
      <c r="O113" s="123" t="str" cm="1">
        <f t="array" ref="O113">Common_InputFunctions.Utility_DisplayArrayInTable(Fertiliser_SourceData.Fertiliser_Products_Data2(),FertiliserProducts[[#Headers],[Product]], 30)</f>
        <v/>
      </c>
      <c r="P113" s="123" t="str" cm="1">
        <f t="array" ref="P113">Common_InputFunctions.Utility_DisplayArrayInTable(Fertiliser_SourceData.Fertiliser_Products_Data2(),FertiliserProducts[[#Headers],[Product]], 30)</f>
        <v/>
      </c>
      <c r="Q113" s="123" t="str" cm="1">
        <f t="array" ref="Q113">Common_InputFunctions.Utility_DisplayArrayInTable(Fertiliser_SourceData.Fertiliser_Products_Data2(),FertiliserProducts[[#Headers],[Product]], 30)</f>
        <v/>
      </c>
      <c r="R113" s="123" t="str" cm="1">
        <f t="array" ref="R113">Common_InputFunctions.Utility_DisplayArrayInTable(Fertiliser_SourceData.Fertiliser_Products_Data2(),FertiliserProducts[[#Headers],[Product]], 30)</f>
        <v/>
      </c>
      <c r="S113" s="123" t="str" cm="1">
        <f t="array" ref="S113">Common_InputFunctions.Utility_DisplayArrayInTable(Fertiliser_SourceData.Fertiliser_Products_Data2(),FertiliserProducts[[#Headers],[Product]], 30)</f>
        <v/>
      </c>
      <c r="T113" s="123" t="str" cm="1">
        <f t="array" ref="T113">Common_InputFunctions.Utility_DisplayArrayInTable(Fertiliser_SourceData.Fertiliser_Products_Data2(),FertiliserProducts[[#Headers],[Product]], 30)</f>
        <v/>
      </c>
      <c r="U113" s="123" t="str" cm="1">
        <f t="array" ref="U113">Common_InputFunctions.Utility_DisplayArrayInTable(Fertiliser_SourceData.Fertiliser_Products_Data2(),FertiliserProducts[[#Headers],[Product]], 30)</f>
        <v/>
      </c>
      <c r="V113" s="123" t="str" cm="1">
        <f t="array" ref="V113">Common_InputFunctions.Utility_DisplayArrayInTable(Fertiliser_SourceData.Fertiliser_Products_Data2(),FertiliserProducts[[#Headers],[Product]], 30)</f>
        <v/>
      </c>
      <c r="W113" s="123" t="str" cm="1">
        <f t="array" ref="W113">Common_InputFunctions.Utility_DisplayArrayInTable(Fertiliser_SourceData.Fertiliser_Products_Data2(),FertiliserProducts[[#Headers],[Product]], 30)</f>
        <v>Crop Nutrition Solutions (Yara Australia)</v>
      </c>
    </row>
    <row r="114" spans="4:23" ht="20.100000000000001" customHeight="1" x14ac:dyDescent="0.25">
      <c r="D114" s="123" t="str" cm="1">
        <f t="array" ref="D114">Common_InputFunctions.Utility_DisplayArrayInTable(Fertiliser_SourceData.Fertiliser_Products_Data2(),FertiliserProducts[[#Headers],[Product]], 30)</f>
        <v>Yara FlowPhos 15</v>
      </c>
      <c r="E114" s="123" t="str" cm="1">
        <f t="array" ref="E114">Common_InputFunctions.Utility_DisplayArrayInTable(Fertiliser_SourceData.Fertiliser_Products_Data2(),FertiliserProducts[[#Headers],[Product]], 30)</f>
        <v/>
      </c>
      <c r="F114" s="123" t="str" cm="1">
        <f t="array" ref="F114">Common_InputFunctions.Utility_DisplayArrayInTable(Fertiliser_SourceData.Fertiliser_Products_Data2(),FertiliserProducts[[#Headers],[Product]], 30)</f>
        <v/>
      </c>
      <c r="G114" s="123" t="str" cm="1">
        <f t="array" ref="G114">Common_InputFunctions.Utility_DisplayArrayInTable(Fertiliser_SourceData.Fertiliser_Products_Data2(),FertiliserProducts[[#Headers],[Product]], 30)</f>
        <v/>
      </c>
      <c r="H114" s="123" t="str" cm="1">
        <f t="array" ref="H114">Common_InputFunctions.Utility_DisplayArrayInTable(Fertiliser_SourceData.Fertiliser_Products_Data2(),FertiliserProducts[[#Headers],[Product]], 30)</f>
        <v/>
      </c>
      <c r="I114" s="123" t="str" cm="1">
        <f t="array" ref="I114">Common_InputFunctions.Utility_DisplayArrayInTable(Fertiliser_SourceData.Fertiliser_Products_Data2(),FertiliserProducts[[#Headers],[Product]], 30)</f>
        <v/>
      </c>
      <c r="J114" s="123" t="str" cm="1">
        <f t="array" ref="J114">Common_InputFunctions.Utility_DisplayArrayInTable(Fertiliser_SourceData.Fertiliser_Products_Data2(),FertiliserProducts[[#Headers],[Product]], 30)</f>
        <v/>
      </c>
      <c r="K114" s="123" t="str" cm="1">
        <f t="array" ref="K114">Common_InputFunctions.Utility_DisplayArrayInTable(Fertiliser_SourceData.Fertiliser_Products_Data2(),FertiliserProducts[[#Headers],[Product]], 30)</f>
        <v/>
      </c>
      <c r="L114" s="123" t="str" cm="1">
        <f t="array" ref="L114">Common_InputFunctions.Utility_DisplayArrayInTable(Fertiliser_SourceData.Fertiliser_Products_Data2(),FertiliserProducts[[#Headers],[Product]], 30)</f>
        <v/>
      </c>
      <c r="M114" s="123" t="str" cm="1">
        <f t="array" ref="M114">Common_InputFunctions.Utility_DisplayArrayInTable(Fertiliser_SourceData.Fertiliser_Products_Data2(),FertiliserProducts[[#Headers],[Product]], 30)</f>
        <v/>
      </c>
      <c r="N114" s="123" t="str" cm="1">
        <f t="array" ref="N114">Common_InputFunctions.Utility_DisplayArrayInTable(Fertiliser_SourceData.Fertiliser_Products_Data2(),FertiliserProducts[[#Headers],[Product]], 30)</f>
        <v/>
      </c>
      <c r="O114" s="123" t="str" cm="1">
        <f t="array" ref="O114">Common_InputFunctions.Utility_DisplayArrayInTable(Fertiliser_SourceData.Fertiliser_Products_Data2(),FertiliserProducts[[#Headers],[Product]], 30)</f>
        <v/>
      </c>
      <c r="P114" s="123" t="str" cm="1">
        <f t="array" ref="P114">Common_InputFunctions.Utility_DisplayArrayInTable(Fertiliser_SourceData.Fertiliser_Products_Data2(),FertiliserProducts[[#Headers],[Product]], 30)</f>
        <v/>
      </c>
      <c r="Q114" s="123" t="str" cm="1">
        <f t="array" ref="Q114">Common_InputFunctions.Utility_DisplayArrayInTable(Fertiliser_SourceData.Fertiliser_Products_Data2(),FertiliserProducts[[#Headers],[Product]], 30)</f>
        <v/>
      </c>
      <c r="R114" s="123" t="str" cm="1">
        <f t="array" ref="R114">Common_InputFunctions.Utility_DisplayArrayInTable(Fertiliser_SourceData.Fertiliser_Products_Data2(),FertiliserProducts[[#Headers],[Product]], 30)</f>
        <v/>
      </c>
      <c r="S114" s="123" t="str" cm="1">
        <f t="array" ref="S114">Common_InputFunctions.Utility_DisplayArrayInTable(Fertiliser_SourceData.Fertiliser_Products_Data2(),FertiliserProducts[[#Headers],[Product]], 30)</f>
        <v/>
      </c>
      <c r="T114" s="123" t="str" cm="1">
        <f t="array" ref="T114">Common_InputFunctions.Utility_DisplayArrayInTable(Fertiliser_SourceData.Fertiliser_Products_Data2(),FertiliserProducts[[#Headers],[Product]], 30)</f>
        <v/>
      </c>
      <c r="U114" s="123" t="str" cm="1">
        <f t="array" ref="U114">Common_InputFunctions.Utility_DisplayArrayInTable(Fertiliser_SourceData.Fertiliser_Products_Data2(),FertiliserProducts[[#Headers],[Product]], 30)</f>
        <v/>
      </c>
      <c r="V114" s="123" t="str" cm="1">
        <f t="array" ref="V114">Common_InputFunctions.Utility_DisplayArrayInTable(Fertiliser_SourceData.Fertiliser_Products_Data2(),FertiliserProducts[[#Headers],[Product]], 30)</f>
        <v/>
      </c>
      <c r="W114" s="123" t="str" cm="1">
        <f t="array" ref="W114">Common_InputFunctions.Utility_DisplayArrayInTable(Fertiliser_SourceData.Fertiliser_Products_Data2(),FertiliserProducts[[#Headers],[Product]], 30)</f>
        <v>Crop Nutrition Solutions (Yara Australia)</v>
      </c>
    </row>
    <row r="115" spans="4:23" ht="20.100000000000001" customHeight="1" x14ac:dyDescent="0.25">
      <c r="D115" s="123" t="str" cm="1">
        <f t="array" ref="D115">Common_InputFunctions.Utility_DisplayArrayInTable(Fertiliser_SourceData.Fertiliser_Products_Data2(),FertiliserProducts[[#Headers],[Product]], 30)</f>
        <v>Yara FlowPhos KZ</v>
      </c>
      <c r="E115" s="123" t="str" cm="1">
        <f t="array" ref="E115">Common_InputFunctions.Utility_DisplayArrayInTable(Fertiliser_SourceData.Fertiliser_Products_Data2(),FertiliserProducts[[#Headers],[Product]], 30)</f>
        <v/>
      </c>
      <c r="F115" s="123" t="str" cm="1">
        <f t="array" ref="F115">Common_InputFunctions.Utility_DisplayArrayInTable(Fertiliser_SourceData.Fertiliser_Products_Data2(),FertiliserProducts[[#Headers],[Product]], 30)</f>
        <v/>
      </c>
      <c r="G115" s="123" t="str" cm="1">
        <f t="array" ref="G115">Common_InputFunctions.Utility_DisplayArrayInTable(Fertiliser_SourceData.Fertiliser_Products_Data2(),FertiliserProducts[[#Headers],[Product]], 30)</f>
        <v/>
      </c>
      <c r="H115" s="123" t="str" cm="1">
        <f t="array" ref="H115">Common_InputFunctions.Utility_DisplayArrayInTable(Fertiliser_SourceData.Fertiliser_Products_Data2(),FertiliserProducts[[#Headers],[Product]], 30)</f>
        <v/>
      </c>
      <c r="I115" s="123" t="str" cm="1">
        <f t="array" ref="I115">Common_InputFunctions.Utility_DisplayArrayInTable(Fertiliser_SourceData.Fertiliser_Products_Data2(),FertiliserProducts[[#Headers],[Product]], 30)</f>
        <v/>
      </c>
      <c r="J115" s="123" t="str" cm="1">
        <f t="array" ref="J115">Common_InputFunctions.Utility_DisplayArrayInTable(Fertiliser_SourceData.Fertiliser_Products_Data2(),FertiliserProducts[[#Headers],[Product]], 30)</f>
        <v/>
      </c>
      <c r="K115" s="123" t="str" cm="1">
        <f t="array" ref="K115">Common_InputFunctions.Utility_DisplayArrayInTable(Fertiliser_SourceData.Fertiliser_Products_Data2(),FertiliserProducts[[#Headers],[Product]], 30)</f>
        <v/>
      </c>
      <c r="L115" s="123" t="str" cm="1">
        <f t="array" ref="L115">Common_InputFunctions.Utility_DisplayArrayInTable(Fertiliser_SourceData.Fertiliser_Products_Data2(),FertiliserProducts[[#Headers],[Product]], 30)</f>
        <v/>
      </c>
      <c r="M115" s="123" t="str" cm="1">
        <f t="array" ref="M115">Common_InputFunctions.Utility_DisplayArrayInTable(Fertiliser_SourceData.Fertiliser_Products_Data2(),FertiliserProducts[[#Headers],[Product]], 30)</f>
        <v/>
      </c>
      <c r="N115" s="123" t="str" cm="1">
        <f t="array" ref="N115">Common_InputFunctions.Utility_DisplayArrayInTable(Fertiliser_SourceData.Fertiliser_Products_Data2(),FertiliserProducts[[#Headers],[Product]], 30)</f>
        <v/>
      </c>
      <c r="O115" s="123" t="str" cm="1">
        <f t="array" ref="O115">Common_InputFunctions.Utility_DisplayArrayInTable(Fertiliser_SourceData.Fertiliser_Products_Data2(),FertiliserProducts[[#Headers],[Product]], 30)</f>
        <v/>
      </c>
      <c r="P115" s="123" t="str" cm="1">
        <f t="array" ref="P115">Common_InputFunctions.Utility_DisplayArrayInTable(Fertiliser_SourceData.Fertiliser_Products_Data2(),FertiliserProducts[[#Headers],[Product]], 30)</f>
        <v/>
      </c>
      <c r="Q115" s="123" t="str" cm="1">
        <f t="array" ref="Q115">Common_InputFunctions.Utility_DisplayArrayInTable(Fertiliser_SourceData.Fertiliser_Products_Data2(),FertiliserProducts[[#Headers],[Product]], 30)</f>
        <v/>
      </c>
      <c r="R115" s="123" t="str" cm="1">
        <f t="array" ref="R115">Common_InputFunctions.Utility_DisplayArrayInTable(Fertiliser_SourceData.Fertiliser_Products_Data2(),FertiliserProducts[[#Headers],[Product]], 30)</f>
        <v/>
      </c>
      <c r="S115" s="123" t="str" cm="1">
        <f t="array" ref="S115">Common_InputFunctions.Utility_DisplayArrayInTable(Fertiliser_SourceData.Fertiliser_Products_Data2(),FertiliserProducts[[#Headers],[Product]], 30)</f>
        <v/>
      </c>
      <c r="T115" s="123" t="str" cm="1">
        <f t="array" ref="T115">Common_InputFunctions.Utility_DisplayArrayInTable(Fertiliser_SourceData.Fertiliser_Products_Data2(),FertiliserProducts[[#Headers],[Product]], 30)</f>
        <v/>
      </c>
      <c r="U115" s="123" t="str" cm="1">
        <f t="array" ref="U115">Common_InputFunctions.Utility_DisplayArrayInTable(Fertiliser_SourceData.Fertiliser_Products_Data2(),FertiliserProducts[[#Headers],[Product]], 30)</f>
        <v/>
      </c>
      <c r="V115" s="123" t="str" cm="1">
        <f t="array" ref="V115">Common_InputFunctions.Utility_DisplayArrayInTable(Fertiliser_SourceData.Fertiliser_Products_Data2(),FertiliserProducts[[#Headers],[Product]], 30)</f>
        <v/>
      </c>
      <c r="W115" s="123" t="str" cm="1">
        <f t="array" ref="W115">Common_InputFunctions.Utility_DisplayArrayInTable(Fertiliser_SourceData.Fertiliser_Products_Data2(),FertiliserProducts[[#Headers],[Product]], 30)</f>
        <v>Crop Nutrition Solutions (Yara Australia)</v>
      </c>
    </row>
    <row r="116" spans="4:23" ht="20.100000000000001" customHeight="1" x14ac:dyDescent="0.25">
      <c r="D116" s="123" t="str" cm="1">
        <f t="array" ref="D116">Common_InputFunctions.Utility_DisplayArrayInTable(Fertiliser_SourceData.Fertiliser_Products_Data2(),FertiliserProducts[[#Headers],[Product]], 30)</f>
        <v>Yara KeyPro Trace</v>
      </c>
      <c r="E116" s="123" t="str" cm="1">
        <f t="array" ref="E116">Common_InputFunctions.Utility_DisplayArrayInTable(Fertiliser_SourceData.Fertiliser_Products_Data2(),FertiliserProducts[[#Headers],[Product]], 30)</f>
        <v/>
      </c>
      <c r="F116" s="123" t="str" cm="1">
        <f t="array" ref="F116">Common_InputFunctions.Utility_DisplayArrayInTable(Fertiliser_SourceData.Fertiliser_Products_Data2(),FertiliserProducts[[#Headers],[Product]], 30)</f>
        <v/>
      </c>
      <c r="G116" s="123" t="str" cm="1">
        <f t="array" ref="G116">Common_InputFunctions.Utility_DisplayArrayInTable(Fertiliser_SourceData.Fertiliser_Products_Data2(),FertiliserProducts[[#Headers],[Product]], 30)</f>
        <v/>
      </c>
      <c r="H116" s="123" t="str" cm="1">
        <f t="array" ref="H116">Common_InputFunctions.Utility_DisplayArrayInTable(Fertiliser_SourceData.Fertiliser_Products_Data2(),FertiliserProducts[[#Headers],[Product]], 30)</f>
        <v/>
      </c>
      <c r="I116" s="123" t="str" cm="1">
        <f t="array" ref="I116">Common_InputFunctions.Utility_DisplayArrayInTable(Fertiliser_SourceData.Fertiliser_Products_Data2(),FertiliserProducts[[#Headers],[Product]], 30)</f>
        <v/>
      </c>
      <c r="J116" s="123" t="str" cm="1">
        <f t="array" ref="J116">Common_InputFunctions.Utility_DisplayArrayInTable(Fertiliser_SourceData.Fertiliser_Products_Data2(),FertiliserProducts[[#Headers],[Product]], 30)</f>
        <v/>
      </c>
      <c r="K116" s="123" t="str" cm="1">
        <f t="array" ref="K116">Common_InputFunctions.Utility_DisplayArrayInTable(Fertiliser_SourceData.Fertiliser_Products_Data2(),FertiliserProducts[[#Headers],[Product]], 30)</f>
        <v/>
      </c>
      <c r="L116" s="123" t="str" cm="1">
        <f t="array" ref="L116">Common_InputFunctions.Utility_DisplayArrayInTable(Fertiliser_SourceData.Fertiliser_Products_Data2(),FertiliserProducts[[#Headers],[Product]], 30)</f>
        <v/>
      </c>
      <c r="M116" s="123" t="str" cm="1">
        <f t="array" ref="M116">Common_InputFunctions.Utility_DisplayArrayInTable(Fertiliser_SourceData.Fertiliser_Products_Data2(),FertiliserProducts[[#Headers],[Product]], 30)</f>
        <v/>
      </c>
      <c r="N116" s="123" t="str" cm="1">
        <f t="array" ref="N116">Common_InputFunctions.Utility_DisplayArrayInTable(Fertiliser_SourceData.Fertiliser_Products_Data2(),FertiliserProducts[[#Headers],[Product]], 30)</f>
        <v/>
      </c>
      <c r="O116" s="123" t="str" cm="1">
        <f t="array" ref="O116">Common_InputFunctions.Utility_DisplayArrayInTable(Fertiliser_SourceData.Fertiliser_Products_Data2(),FertiliserProducts[[#Headers],[Product]], 30)</f>
        <v/>
      </c>
      <c r="P116" s="123" t="str" cm="1">
        <f t="array" ref="P116">Common_InputFunctions.Utility_DisplayArrayInTable(Fertiliser_SourceData.Fertiliser_Products_Data2(),FertiliserProducts[[#Headers],[Product]], 30)</f>
        <v/>
      </c>
      <c r="Q116" s="123" t="str" cm="1">
        <f t="array" ref="Q116">Common_InputFunctions.Utility_DisplayArrayInTable(Fertiliser_SourceData.Fertiliser_Products_Data2(),FertiliserProducts[[#Headers],[Product]], 30)</f>
        <v/>
      </c>
      <c r="R116" s="123" t="str" cm="1">
        <f t="array" ref="R116">Common_InputFunctions.Utility_DisplayArrayInTable(Fertiliser_SourceData.Fertiliser_Products_Data2(),FertiliserProducts[[#Headers],[Product]], 30)</f>
        <v/>
      </c>
      <c r="S116" s="123" t="str" cm="1">
        <f t="array" ref="S116">Common_InputFunctions.Utility_DisplayArrayInTable(Fertiliser_SourceData.Fertiliser_Products_Data2(),FertiliserProducts[[#Headers],[Product]], 30)</f>
        <v/>
      </c>
      <c r="T116" s="123" t="str" cm="1">
        <f t="array" ref="T116">Common_InputFunctions.Utility_DisplayArrayInTable(Fertiliser_SourceData.Fertiliser_Products_Data2(),FertiliserProducts[[#Headers],[Product]], 30)</f>
        <v/>
      </c>
      <c r="U116" s="123" t="str" cm="1">
        <f t="array" ref="U116">Common_InputFunctions.Utility_DisplayArrayInTable(Fertiliser_SourceData.Fertiliser_Products_Data2(),FertiliserProducts[[#Headers],[Product]], 30)</f>
        <v/>
      </c>
      <c r="V116" s="123" t="str" cm="1">
        <f t="array" ref="V116">Common_InputFunctions.Utility_DisplayArrayInTable(Fertiliser_SourceData.Fertiliser_Products_Data2(),FertiliserProducts[[#Headers],[Product]], 30)</f>
        <v/>
      </c>
      <c r="W116" s="123" t="str" cm="1">
        <f t="array" ref="W116">Common_InputFunctions.Utility_DisplayArrayInTable(Fertiliser_SourceData.Fertiliser_Products_Data2(),FertiliserProducts[[#Headers],[Product]], 30)</f>
        <v>Crop Nutrition Solutions (Yara Australia)</v>
      </c>
    </row>
    <row r="117" spans="4:23" ht="20.100000000000001" customHeight="1" x14ac:dyDescent="0.25">
      <c r="D117" s="123" t="str" cm="1">
        <f t="array" ref="D117">Common_InputFunctions.Utility_DisplayArrayInTable(Fertiliser_SourceData.Fertiliser_Products_Data2(),FertiliserProducts[[#Headers],[Product]], 30)</f>
        <v>Yara KeyPro Zinc</v>
      </c>
      <c r="E117" s="123" t="str" cm="1">
        <f t="array" ref="E117">Common_InputFunctions.Utility_DisplayArrayInTable(Fertiliser_SourceData.Fertiliser_Products_Data2(),FertiliserProducts[[#Headers],[Product]], 30)</f>
        <v/>
      </c>
      <c r="F117" s="123" t="str" cm="1">
        <f t="array" ref="F117">Common_InputFunctions.Utility_DisplayArrayInTable(Fertiliser_SourceData.Fertiliser_Products_Data2(),FertiliserProducts[[#Headers],[Product]], 30)</f>
        <v/>
      </c>
      <c r="G117" s="123" t="str" cm="1">
        <f t="array" ref="G117">Common_InputFunctions.Utility_DisplayArrayInTable(Fertiliser_SourceData.Fertiliser_Products_Data2(),FertiliserProducts[[#Headers],[Product]], 30)</f>
        <v/>
      </c>
      <c r="H117" s="123" t="str" cm="1">
        <f t="array" ref="H117">Common_InputFunctions.Utility_DisplayArrayInTable(Fertiliser_SourceData.Fertiliser_Products_Data2(),FertiliserProducts[[#Headers],[Product]], 30)</f>
        <v/>
      </c>
      <c r="I117" s="123" t="str" cm="1">
        <f t="array" ref="I117">Common_InputFunctions.Utility_DisplayArrayInTable(Fertiliser_SourceData.Fertiliser_Products_Data2(),FertiliserProducts[[#Headers],[Product]], 30)</f>
        <v/>
      </c>
      <c r="J117" s="123" t="str" cm="1">
        <f t="array" ref="J117">Common_InputFunctions.Utility_DisplayArrayInTable(Fertiliser_SourceData.Fertiliser_Products_Data2(),FertiliserProducts[[#Headers],[Product]], 30)</f>
        <v/>
      </c>
      <c r="K117" s="123" t="str" cm="1">
        <f t="array" ref="K117">Common_InputFunctions.Utility_DisplayArrayInTable(Fertiliser_SourceData.Fertiliser_Products_Data2(),FertiliserProducts[[#Headers],[Product]], 30)</f>
        <v/>
      </c>
      <c r="L117" s="123" t="str" cm="1">
        <f t="array" ref="L117">Common_InputFunctions.Utility_DisplayArrayInTable(Fertiliser_SourceData.Fertiliser_Products_Data2(),FertiliserProducts[[#Headers],[Product]], 30)</f>
        <v/>
      </c>
      <c r="M117" s="123" t="str" cm="1">
        <f t="array" ref="M117">Common_InputFunctions.Utility_DisplayArrayInTable(Fertiliser_SourceData.Fertiliser_Products_Data2(),FertiliserProducts[[#Headers],[Product]], 30)</f>
        <v/>
      </c>
      <c r="N117" s="123" t="str" cm="1">
        <f t="array" ref="N117">Common_InputFunctions.Utility_DisplayArrayInTable(Fertiliser_SourceData.Fertiliser_Products_Data2(),FertiliserProducts[[#Headers],[Product]], 30)</f>
        <v/>
      </c>
      <c r="O117" s="123" t="str" cm="1">
        <f t="array" ref="O117">Common_InputFunctions.Utility_DisplayArrayInTable(Fertiliser_SourceData.Fertiliser_Products_Data2(),FertiliserProducts[[#Headers],[Product]], 30)</f>
        <v/>
      </c>
      <c r="P117" s="123" t="str" cm="1">
        <f t="array" ref="P117">Common_InputFunctions.Utility_DisplayArrayInTable(Fertiliser_SourceData.Fertiliser_Products_Data2(),FertiliserProducts[[#Headers],[Product]], 30)</f>
        <v/>
      </c>
      <c r="Q117" s="123" t="str" cm="1">
        <f t="array" ref="Q117">Common_InputFunctions.Utility_DisplayArrayInTable(Fertiliser_SourceData.Fertiliser_Products_Data2(),FertiliserProducts[[#Headers],[Product]], 30)</f>
        <v/>
      </c>
      <c r="R117" s="123" t="str" cm="1">
        <f t="array" ref="R117">Common_InputFunctions.Utility_DisplayArrayInTable(Fertiliser_SourceData.Fertiliser_Products_Data2(),FertiliserProducts[[#Headers],[Product]], 30)</f>
        <v/>
      </c>
      <c r="S117" s="123" t="str" cm="1">
        <f t="array" ref="S117">Common_InputFunctions.Utility_DisplayArrayInTable(Fertiliser_SourceData.Fertiliser_Products_Data2(),FertiliserProducts[[#Headers],[Product]], 30)</f>
        <v/>
      </c>
      <c r="T117" s="123" t="str" cm="1">
        <f t="array" ref="T117">Common_InputFunctions.Utility_DisplayArrayInTable(Fertiliser_SourceData.Fertiliser_Products_Data2(),FertiliserProducts[[#Headers],[Product]], 30)</f>
        <v/>
      </c>
      <c r="U117" s="123" t="str" cm="1">
        <f t="array" ref="U117">Common_InputFunctions.Utility_DisplayArrayInTable(Fertiliser_SourceData.Fertiliser_Products_Data2(),FertiliserProducts[[#Headers],[Product]], 30)</f>
        <v/>
      </c>
      <c r="V117" s="123" t="str" cm="1">
        <f t="array" ref="V117">Common_InputFunctions.Utility_DisplayArrayInTable(Fertiliser_SourceData.Fertiliser_Products_Data2(),FertiliserProducts[[#Headers],[Product]], 30)</f>
        <v/>
      </c>
      <c r="W117" s="123" t="str" cm="1">
        <f t="array" ref="W117">Common_InputFunctions.Utility_DisplayArrayInTable(Fertiliser_SourceData.Fertiliser_Products_Data2(),FertiliserProducts[[#Headers],[Product]], 30)</f>
        <v>Crop Nutrition Solutions (Yara Australia)</v>
      </c>
    </row>
    <row r="118" spans="4:23" ht="20.100000000000001" customHeight="1" x14ac:dyDescent="0.25">
      <c r="D118" s="123" t="str" cm="1">
        <f t="array" ref="D118">Common_InputFunctions.Utility_DisplayArrayInTable(Fertiliser_SourceData.Fertiliser_Products_Data3(),FertiliserProducts[[#Headers],[Product]], 60)</f>
        <v>Yara K-Flow 0-0-15</v>
      </c>
      <c r="E118" s="123" t="str" cm="1">
        <f t="array" ref="E118">Common_InputFunctions.Utility_DisplayArrayInTable(Fertiliser_SourceData.Fertiliser_Products_Data3(),FertiliserProducts[[#Headers],[Product]], 60)</f>
        <v/>
      </c>
      <c r="F118" s="123" t="str" cm="1">
        <f t="array" ref="F118">Common_InputFunctions.Utility_DisplayArrayInTable(Fertiliser_SourceData.Fertiliser_Products_Data3(),FertiliserProducts[[#Headers],[Product]], 60)</f>
        <v/>
      </c>
      <c r="G118" s="123" t="str" cm="1">
        <f t="array" ref="G118">Common_InputFunctions.Utility_DisplayArrayInTable(Fertiliser_SourceData.Fertiliser_Products_Data3(),FertiliserProducts[[#Headers],[Product]], 60)</f>
        <v/>
      </c>
      <c r="H118" s="123" t="str" cm="1">
        <f t="array" ref="H118">Common_InputFunctions.Utility_DisplayArrayInTable(Fertiliser_SourceData.Fertiliser_Products_Data3(),FertiliserProducts[[#Headers],[Product]], 60)</f>
        <v/>
      </c>
      <c r="I118" s="123" t="str" cm="1">
        <f t="array" ref="I118">Common_InputFunctions.Utility_DisplayArrayInTable(Fertiliser_SourceData.Fertiliser_Products_Data3(),FertiliserProducts[[#Headers],[Product]], 60)</f>
        <v/>
      </c>
      <c r="J118" s="123" t="str" cm="1">
        <f t="array" ref="J118">Common_InputFunctions.Utility_DisplayArrayInTable(Fertiliser_SourceData.Fertiliser_Products_Data3(),FertiliserProducts[[#Headers],[Product]], 60)</f>
        <v/>
      </c>
      <c r="K118" s="123" t="str" cm="1">
        <f t="array" ref="K118">Common_InputFunctions.Utility_DisplayArrayInTable(Fertiliser_SourceData.Fertiliser_Products_Data3(),FertiliserProducts[[#Headers],[Product]], 60)</f>
        <v/>
      </c>
      <c r="L118" s="123" t="str" cm="1">
        <f t="array" ref="L118">Common_InputFunctions.Utility_DisplayArrayInTable(Fertiliser_SourceData.Fertiliser_Products_Data3(),FertiliserProducts[[#Headers],[Product]], 60)</f>
        <v/>
      </c>
      <c r="M118" s="123" t="str" cm="1">
        <f t="array" ref="M118">Common_InputFunctions.Utility_DisplayArrayInTable(Fertiliser_SourceData.Fertiliser_Products_Data3(),FertiliserProducts[[#Headers],[Product]], 60)</f>
        <v/>
      </c>
      <c r="N118" s="123" t="str" cm="1">
        <f t="array" ref="N118">Common_InputFunctions.Utility_DisplayArrayInTable(Fertiliser_SourceData.Fertiliser_Products_Data3(),FertiliserProducts[[#Headers],[Product]], 60)</f>
        <v/>
      </c>
      <c r="O118" s="123" t="str" cm="1">
        <f t="array" ref="O118">Common_InputFunctions.Utility_DisplayArrayInTable(Fertiliser_SourceData.Fertiliser_Products_Data3(),FertiliserProducts[[#Headers],[Product]], 60)</f>
        <v/>
      </c>
      <c r="P118" s="123" t="str" cm="1">
        <f t="array" ref="P118">Common_InputFunctions.Utility_DisplayArrayInTable(Fertiliser_SourceData.Fertiliser_Products_Data3(),FertiliserProducts[[#Headers],[Product]], 60)</f>
        <v/>
      </c>
      <c r="Q118" s="123" t="str" cm="1">
        <f t="array" ref="Q118">Common_InputFunctions.Utility_DisplayArrayInTable(Fertiliser_SourceData.Fertiliser_Products_Data3(),FertiliserProducts[[#Headers],[Product]], 60)</f>
        <v/>
      </c>
      <c r="R118" s="123" t="str" cm="1">
        <f t="array" ref="R118">Common_InputFunctions.Utility_DisplayArrayInTable(Fertiliser_SourceData.Fertiliser_Products_Data3(),FertiliserProducts[[#Headers],[Product]], 60)</f>
        <v/>
      </c>
      <c r="S118" s="123" t="str" cm="1">
        <f t="array" ref="S118">Common_InputFunctions.Utility_DisplayArrayInTable(Fertiliser_SourceData.Fertiliser_Products_Data3(),FertiliserProducts[[#Headers],[Product]], 60)</f>
        <v/>
      </c>
      <c r="T118" s="123" t="str" cm="1">
        <f t="array" ref="T118">Common_InputFunctions.Utility_DisplayArrayInTable(Fertiliser_SourceData.Fertiliser_Products_Data3(),FertiliserProducts[[#Headers],[Product]], 60)</f>
        <v/>
      </c>
      <c r="U118" s="123" t="str" cm="1">
        <f t="array" ref="U118">Common_InputFunctions.Utility_DisplayArrayInTable(Fertiliser_SourceData.Fertiliser_Products_Data3(),FertiliserProducts[[#Headers],[Product]], 60)</f>
        <v/>
      </c>
      <c r="V118" s="123" t="str" cm="1">
        <f t="array" ref="V118">Common_InputFunctions.Utility_DisplayArrayInTable(Fertiliser_SourceData.Fertiliser_Products_Data3(),FertiliserProducts[[#Headers],[Product]], 60)</f>
        <v/>
      </c>
      <c r="W118" s="123" t="str" cm="1">
        <f t="array" ref="W118">Common_InputFunctions.Utility_DisplayArrayInTable(Fertiliser_SourceData.Fertiliser_Products_Data3(),FertiliserProducts[[#Headers],[Product]], 60)</f>
        <v>Crop Nutrition Solutions (Yara Australia)</v>
      </c>
    </row>
    <row r="119" spans="4:23" ht="20.100000000000001" customHeight="1" x14ac:dyDescent="0.25">
      <c r="D119" s="123" t="str" cm="1">
        <f t="array" ref="D119">Common_InputFunctions.Utility_DisplayArrayInTable(Fertiliser_SourceData.Fertiliser_Products_Data3(),FertiliserProducts[[#Headers],[Product]], 60)</f>
        <v>Yara K-Flow 0-14-30</v>
      </c>
      <c r="E119" s="123" t="str" cm="1">
        <f t="array" ref="E119">Common_InputFunctions.Utility_DisplayArrayInTable(Fertiliser_SourceData.Fertiliser_Products_Data3(),FertiliserProducts[[#Headers],[Product]], 60)</f>
        <v/>
      </c>
      <c r="F119" s="123" t="str" cm="1">
        <f t="array" ref="F119">Common_InputFunctions.Utility_DisplayArrayInTable(Fertiliser_SourceData.Fertiliser_Products_Data3(),FertiliserProducts[[#Headers],[Product]], 60)</f>
        <v/>
      </c>
      <c r="G119" s="123" t="str" cm="1">
        <f t="array" ref="G119">Common_InputFunctions.Utility_DisplayArrayInTable(Fertiliser_SourceData.Fertiliser_Products_Data3(),FertiliserProducts[[#Headers],[Product]], 60)</f>
        <v/>
      </c>
      <c r="H119" s="123" t="str" cm="1">
        <f t="array" ref="H119">Common_InputFunctions.Utility_DisplayArrayInTable(Fertiliser_SourceData.Fertiliser_Products_Data3(),FertiliserProducts[[#Headers],[Product]], 60)</f>
        <v/>
      </c>
      <c r="I119" s="123" t="str" cm="1">
        <f t="array" ref="I119">Common_InputFunctions.Utility_DisplayArrayInTable(Fertiliser_SourceData.Fertiliser_Products_Data3(),FertiliserProducts[[#Headers],[Product]], 60)</f>
        <v/>
      </c>
      <c r="J119" s="123" t="str" cm="1">
        <f t="array" ref="J119">Common_InputFunctions.Utility_DisplayArrayInTable(Fertiliser_SourceData.Fertiliser_Products_Data3(),FertiliserProducts[[#Headers],[Product]], 60)</f>
        <v/>
      </c>
      <c r="K119" s="123" t="str" cm="1">
        <f t="array" ref="K119">Common_InputFunctions.Utility_DisplayArrayInTable(Fertiliser_SourceData.Fertiliser_Products_Data3(),FertiliserProducts[[#Headers],[Product]], 60)</f>
        <v/>
      </c>
      <c r="L119" s="123" t="str" cm="1">
        <f t="array" ref="L119">Common_InputFunctions.Utility_DisplayArrayInTable(Fertiliser_SourceData.Fertiliser_Products_Data3(),FertiliserProducts[[#Headers],[Product]], 60)</f>
        <v/>
      </c>
      <c r="M119" s="123" t="str" cm="1">
        <f t="array" ref="M119">Common_InputFunctions.Utility_DisplayArrayInTable(Fertiliser_SourceData.Fertiliser_Products_Data3(),FertiliserProducts[[#Headers],[Product]], 60)</f>
        <v/>
      </c>
      <c r="N119" s="123" t="str" cm="1">
        <f t="array" ref="N119">Common_InputFunctions.Utility_DisplayArrayInTable(Fertiliser_SourceData.Fertiliser_Products_Data3(),FertiliserProducts[[#Headers],[Product]], 60)</f>
        <v/>
      </c>
      <c r="O119" s="123" t="str" cm="1">
        <f t="array" ref="O119">Common_InputFunctions.Utility_DisplayArrayInTable(Fertiliser_SourceData.Fertiliser_Products_Data3(),FertiliserProducts[[#Headers],[Product]], 60)</f>
        <v/>
      </c>
      <c r="P119" s="123" t="str" cm="1">
        <f t="array" ref="P119">Common_InputFunctions.Utility_DisplayArrayInTable(Fertiliser_SourceData.Fertiliser_Products_Data3(),FertiliserProducts[[#Headers],[Product]], 60)</f>
        <v/>
      </c>
      <c r="Q119" s="123" t="str" cm="1">
        <f t="array" ref="Q119">Common_InputFunctions.Utility_DisplayArrayInTable(Fertiliser_SourceData.Fertiliser_Products_Data3(),FertiliserProducts[[#Headers],[Product]], 60)</f>
        <v/>
      </c>
      <c r="R119" s="123" t="str" cm="1">
        <f t="array" ref="R119">Common_InputFunctions.Utility_DisplayArrayInTable(Fertiliser_SourceData.Fertiliser_Products_Data3(),FertiliserProducts[[#Headers],[Product]], 60)</f>
        <v/>
      </c>
      <c r="S119" s="123" t="str" cm="1">
        <f t="array" ref="S119">Common_InputFunctions.Utility_DisplayArrayInTable(Fertiliser_SourceData.Fertiliser_Products_Data3(),FertiliserProducts[[#Headers],[Product]], 60)</f>
        <v/>
      </c>
      <c r="T119" s="123" t="str" cm="1">
        <f t="array" ref="T119">Common_InputFunctions.Utility_DisplayArrayInTable(Fertiliser_SourceData.Fertiliser_Products_Data3(),FertiliserProducts[[#Headers],[Product]], 60)</f>
        <v/>
      </c>
      <c r="U119" s="123" t="str" cm="1">
        <f t="array" ref="U119">Common_InputFunctions.Utility_DisplayArrayInTable(Fertiliser_SourceData.Fertiliser_Products_Data3(),FertiliserProducts[[#Headers],[Product]], 60)</f>
        <v/>
      </c>
      <c r="V119" s="123" t="str" cm="1">
        <f t="array" ref="V119">Common_InputFunctions.Utility_DisplayArrayInTable(Fertiliser_SourceData.Fertiliser_Products_Data3(),FertiliserProducts[[#Headers],[Product]], 60)</f>
        <v/>
      </c>
      <c r="W119" s="123" t="str" cm="1">
        <f t="array" ref="W119">Common_InputFunctions.Utility_DisplayArrayInTable(Fertiliser_SourceData.Fertiliser_Products_Data3(),FertiliserProducts[[#Headers],[Product]], 60)</f>
        <v>Crop Nutrition Solutions (Yara Australia)</v>
      </c>
    </row>
    <row r="120" spans="4:23" ht="20.100000000000001" customHeight="1" x14ac:dyDescent="0.25">
      <c r="D120" s="123" t="str" cm="1">
        <f t="array" ref="D120">Common_InputFunctions.Utility_DisplayArrayInTable(Fertiliser_SourceData.Fertiliser_Products_Data3(),FertiliserProducts[[#Headers],[Product]], 60)</f>
        <v>Yara K-Flow 0-7-36</v>
      </c>
      <c r="E120" s="123" t="str" cm="1">
        <f t="array" ref="E120">Common_InputFunctions.Utility_DisplayArrayInTable(Fertiliser_SourceData.Fertiliser_Products_Data3(),FertiliserProducts[[#Headers],[Product]], 60)</f>
        <v/>
      </c>
      <c r="F120" s="123" t="str" cm="1">
        <f t="array" ref="F120">Common_InputFunctions.Utility_DisplayArrayInTable(Fertiliser_SourceData.Fertiliser_Products_Data3(),FertiliserProducts[[#Headers],[Product]], 60)</f>
        <v/>
      </c>
      <c r="G120" s="123" t="str" cm="1">
        <f t="array" ref="G120">Common_InputFunctions.Utility_DisplayArrayInTable(Fertiliser_SourceData.Fertiliser_Products_Data3(),FertiliserProducts[[#Headers],[Product]], 60)</f>
        <v/>
      </c>
      <c r="H120" s="123" t="str" cm="1">
        <f t="array" ref="H120">Common_InputFunctions.Utility_DisplayArrayInTable(Fertiliser_SourceData.Fertiliser_Products_Data3(),FertiliserProducts[[#Headers],[Product]], 60)</f>
        <v/>
      </c>
      <c r="I120" s="123" t="str" cm="1">
        <f t="array" ref="I120">Common_InputFunctions.Utility_DisplayArrayInTable(Fertiliser_SourceData.Fertiliser_Products_Data3(),FertiliserProducts[[#Headers],[Product]], 60)</f>
        <v/>
      </c>
      <c r="J120" s="123" t="str" cm="1">
        <f t="array" ref="J120">Common_InputFunctions.Utility_DisplayArrayInTable(Fertiliser_SourceData.Fertiliser_Products_Data3(),FertiliserProducts[[#Headers],[Product]], 60)</f>
        <v/>
      </c>
      <c r="K120" s="123" t="str" cm="1">
        <f t="array" ref="K120">Common_InputFunctions.Utility_DisplayArrayInTable(Fertiliser_SourceData.Fertiliser_Products_Data3(),FertiliserProducts[[#Headers],[Product]], 60)</f>
        <v/>
      </c>
      <c r="L120" s="123" t="str" cm="1">
        <f t="array" ref="L120">Common_InputFunctions.Utility_DisplayArrayInTable(Fertiliser_SourceData.Fertiliser_Products_Data3(),FertiliserProducts[[#Headers],[Product]], 60)</f>
        <v/>
      </c>
      <c r="M120" s="123" t="str" cm="1">
        <f t="array" ref="M120">Common_InputFunctions.Utility_DisplayArrayInTable(Fertiliser_SourceData.Fertiliser_Products_Data3(),FertiliserProducts[[#Headers],[Product]], 60)</f>
        <v/>
      </c>
      <c r="N120" s="123" t="str" cm="1">
        <f t="array" ref="N120">Common_InputFunctions.Utility_DisplayArrayInTable(Fertiliser_SourceData.Fertiliser_Products_Data3(),FertiliserProducts[[#Headers],[Product]], 60)</f>
        <v/>
      </c>
      <c r="O120" s="123" t="str" cm="1">
        <f t="array" ref="O120">Common_InputFunctions.Utility_DisplayArrayInTable(Fertiliser_SourceData.Fertiliser_Products_Data3(),FertiliserProducts[[#Headers],[Product]], 60)</f>
        <v/>
      </c>
      <c r="P120" s="123" t="str" cm="1">
        <f t="array" ref="P120">Common_InputFunctions.Utility_DisplayArrayInTable(Fertiliser_SourceData.Fertiliser_Products_Data3(),FertiliserProducts[[#Headers],[Product]], 60)</f>
        <v/>
      </c>
      <c r="Q120" s="123" t="str" cm="1">
        <f t="array" ref="Q120">Common_InputFunctions.Utility_DisplayArrayInTable(Fertiliser_SourceData.Fertiliser_Products_Data3(),FertiliserProducts[[#Headers],[Product]], 60)</f>
        <v/>
      </c>
      <c r="R120" s="123" t="str" cm="1">
        <f t="array" ref="R120">Common_InputFunctions.Utility_DisplayArrayInTable(Fertiliser_SourceData.Fertiliser_Products_Data3(),FertiliserProducts[[#Headers],[Product]], 60)</f>
        <v/>
      </c>
      <c r="S120" s="123" t="str" cm="1">
        <f t="array" ref="S120">Common_InputFunctions.Utility_DisplayArrayInTable(Fertiliser_SourceData.Fertiliser_Products_Data3(),FertiliserProducts[[#Headers],[Product]], 60)</f>
        <v/>
      </c>
      <c r="T120" s="123" t="str" cm="1">
        <f t="array" ref="T120">Common_InputFunctions.Utility_DisplayArrayInTable(Fertiliser_SourceData.Fertiliser_Products_Data3(),FertiliserProducts[[#Headers],[Product]], 60)</f>
        <v/>
      </c>
      <c r="U120" s="123" t="str" cm="1">
        <f t="array" ref="U120">Common_InputFunctions.Utility_DisplayArrayInTable(Fertiliser_SourceData.Fertiliser_Products_Data3(),FertiliserProducts[[#Headers],[Product]], 60)</f>
        <v/>
      </c>
      <c r="V120" s="123" t="str" cm="1">
        <f t="array" ref="V120">Common_InputFunctions.Utility_DisplayArrayInTable(Fertiliser_SourceData.Fertiliser_Products_Data3(),FertiliserProducts[[#Headers],[Product]], 60)</f>
        <v/>
      </c>
      <c r="W120" s="123" t="str" cm="1">
        <f t="array" ref="W120">Common_InputFunctions.Utility_DisplayArrayInTable(Fertiliser_SourceData.Fertiliser_Products_Data3(),FertiliserProducts[[#Headers],[Product]], 60)</f>
        <v>Crop Nutrition Solutions (Yara Australia)</v>
      </c>
    </row>
    <row r="121" spans="4:23" ht="20.100000000000001" customHeight="1" x14ac:dyDescent="0.25">
      <c r="D121" s="123" t="str" cm="1">
        <f t="array" ref="D121">Common_InputFunctions.Utility_DisplayArrayInTable(Fertiliser_SourceData.Fertiliser_Products_Data3(),FertiliserProducts[[#Headers],[Product]], 60)</f>
        <v>Yara K-Flow 13-0-7</v>
      </c>
      <c r="E121" s="123" t="str" cm="1">
        <f t="array" ref="E121">Common_InputFunctions.Utility_DisplayArrayInTable(Fertiliser_SourceData.Fertiliser_Products_Data3(),FertiliserProducts[[#Headers],[Product]], 60)</f>
        <v/>
      </c>
      <c r="F121" s="123" t="str" cm="1">
        <f t="array" ref="F121">Common_InputFunctions.Utility_DisplayArrayInTable(Fertiliser_SourceData.Fertiliser_Products_Data3(),FertiliserProducts[[#Headers],[Product]], 60)</f>
        <v/>
      </c>
      <c r="G121" s="123" t="str" cm="1">
        <f t="array" ref="G121">Common_InputFunctions.Utility_DisplayArrayInTable(Fertiliser_SourceData.Fertiliser_Products_Data3(),FertiliserProducts[[#Headers],[Product]], 60)</f>
        <v/>
      </c>
      <c r="H121" s="123" t="str" cm="1">
        <f t="array" ref="H121">Common_InputFunctions.Utility_DisplayArrayInTable(Fertiliser_SourceData.Fertiliser_Products_Data3(),FertiliserProducts[[#Headers],[Product]], 60)</f>
        <v/>
      </c>
      <c r="I121" s="123" t="str" cm="1">
        <f t="array" ref="I121">Common_InputFunctions.Utility_DisplayArrayInTable(Fertiliser_SourceData.Fertiliser_Products_Data3(),FertiliserProducts[[#Headers],[Product]], 60)</f>
        <v/>
      </c>
      <c r="J121" s="123" t="str" cm="1">
        <f t="array" ref="J121">Common_InputFunctions.Utility_DisplayArrayInTable(Fertiliser_SourceData.Fertiliser_Products_Data3(),FertiliserProducts[[#Headers],[Product]], 60)</f>
        <v/>
      </c>
      <c r="K121" s="123" t="str" cm="1">
        <f t="array" ref="K121">Common_InputFunctions.Utility_DisplayArrayInTable(Fertiliser_SourceData.Fertiliser_Products_Data3(),FertiliserProducts[[#Headers],[Product]], 60)</f>
        <v/>
      </c>
      <c r="L121" s="123" t="str" cm="1">
        <f t="array" ref="L121">Common_InputFunctions.Utility_DisplayArrayInTable(Fertiliser_SourceData.Fertiliser_Products_Data3(),FertiliserProducts[[#Headers],[Product]], 60)</f>
        <v/>
      </c>
      <c r="M121" s="123" t="str" cm="1">
        <f t="array" ref="M121">Common_InputFunctions.Utility_DisplayArrayInTable(Fertiliser_SourceData.Fertiliser_Products_Data3(),FertiliserProducts[[#Headers],[Product]], 60)</f>
        <v/>
      </c>
      <c r="N121" s="123" t="str" cm="1">
        <f t="array" ref="N121">Common_InputFunctions.Utility_DisplayArrayInTable(Fertiliser_SourceData.Fertiliser_Products_Data3(),FertiliserProducts[[#Headers],[Product]], 60)</f>
        <v/>
      </c>
      <c r="O121" s="123" t="str" cm="1">
        <f t="array" ref="O121">Common_InputFunctions.Utility_DisplayArrayInTable(Fertiliser_SourceData.Fertiliser_Products_Data3(),FertiliserProducts[[#Headers],[Product]], 60)</f>
        <v/>
      </c>
      <c r="P121" s="123" t="str" cm="1">
        <f t="array" ref="P121">Common_InputFunctions.Utility_DisplayArrayInTable(Fertiliser_SourceData.Fertiliser_Products_Data3(),FertiliserProducts[[#Headers],[Product]], 60)</f>
        <v/>
      </c>
      <c r="Q121" s="123" t="str" cm="1">
        <f t="array" ref="Q121">Common_InputFunctions.Utility_DisplayArrayInTable(Fertiliser_SourceData.Fertiliser_Products_Data3(),FertiliserProducts[[#Headers],[Product]], 60)</f>
        <v/>
      </c>
      <c r="R121" s="123" t="str" cm="1">
        <f t="array" ref="R121">Common_InputFunctions.Utility_DisplayArrayInTable(Fertiliser_SourceData.Fertiliser_Products_Data3(),FertiliserProducts[[#Headers],[Product]], 60)</f>
        <v/>
      </c>
      <c r="S121" s="123" t="str" cm="1">
        <f t="array" ref="S121">Common_InputFunctions.Utility_DisplayArrayInTable(Fertiliser_SourceData.Fertiliser_Products_Data3(),FertiliserProducts[[#Headers],[Product]], 60)</f>
        <v/>
      </c>
      <c r="T121" s="123" t="str" cm="1">
        <f t="array" ref="T121">Common_InputFunctions.Utility_DisplayArrayInTable(Fertiliser_SourceData.Fertiliser_Products_Data3(),FertiliserProducts[[#Headers],[Product]], 60)</f>
        <v/>
      </c>
      <c r="U121" s="123" t="str" cm="1">
        <f t="array" ref="U121">Common_InputFunctions.Utility_DisplayArrayInTable(Fertiliser_SourceData.Fertiliser_Products_Data3(),FertiliserProducts[[#Headers],[Product]], 60)</f>
        <v/>
      </c>
      <c r="V121" s="123" t="str" cm="1">
        <f t="array" ref="V121">Common_InputFunctions.Utility_DisplayArrayInTable(Fertiliser_SourceData.Fertiliser_Products_Data3(),FertiliserProducts[[#Headers],[Product]], 60)</f>
        <v/>
      </c>
      <c r="W121" s="123" t="str" cm="1">
        <f t="array" ref="W121">Common_InputFunctions.Utility_DisplayArrayInTable(Fertiliser_SourceData.Fertiliser_Products_Data3(),FertiliserProducts[[#Headers],[Product]], 60)</f>
        <v>Crop Nutrition Solutions (Yara Australia)</v>
      </c>
    </row>
    <row r="122" spans="4:23" ht="20.100000000000001" customHeight="1" x14ac:dyDescent="0.25">
      <c r="D122" s="123" t="str" cm="1">
        <f t="array" ref="D122">Common_InputFunctions.Utility_DisplayArrayInTable(Fertiliser_SourceData.Fertiliser_Products_Data3(),FertiliserProducts[[#Headers],[Product]], 60)</f>
        <v>Yara K-Flow 4-0-12</v>
      </c>
      <c r="E122" s="123" t="str" cm="1">
        <f t="array" ref="E122">Common_InputFunctions.Utility_DisplayArrayInTable(Fertiliser_SourceData.Fertiliser_Products_Data3(),FertiliserProducts[[#Headers],[Product]], 60)</f>
        <v/>
      </c>
      <c r="F122" s="123" t="str" cm="1">
        <f t="array" ref="F122">Common_InputFunctions.Utility_DisplayArrayInTable(Fertiliser_SourceData.Fertiliser_Products_Data3(),FertiliserProducts[[#Headers],[Product]], 60)</f>
        <v/>
      </c>
      <c r="G122" s="123" t="str" cm="1">
        <f t="array" ref="G122">Common_InputFunctions.Utility_DisplayArrayInTable(Fertiliser_SourceData.Fertiliser_Products_Data3(),FertiliserProducts[[#Headers],[Product]], 60)</f>
        <v/>
      </c>
      <c r="H122" s="123" t="str" cm="1">
        <f t="array" ref="H122">Common_InputFunctions.Utility_DisplayArrayInTable(Fertiliser_SourceData.Fertiliser_Products_Data3(),FertiliserProducts[[#Headers],[Product]], 60)</f>
        <v/>
      </c>
      <c r="I122" s="123" t="str" cm="1">
        <f t="array" ref="I122">Common_InputFunctions.Utility_DisplayArrayInTable(Fertiliser_SourceData.Fertiliser_Products_Data3(),FertiliserProducts[[#Headers],[Product]], 60)</f>
        <v/>
      </c>
      <c r="J122" s="123" t="str" cm="1">
        <f t="array" ref="J122">Common_InputFunctions.Utility_DisplayArrayInTable(Fertiliser_SourceData.Fertiliser_Products_Data3(),FertiliserProducts[[#Headers],[Product]], 60)</f>
        <v/>
      </c>
      <c r="K122" s="123" t="str" cm="1">
        <f t="array" ref="K122">Common_InputFunctions.Utility_DisplayArrayInTable(Fertiliser_SourceData.Fertiliser_Products_Data3(),FertiliserProducts[[#Headers],[Product]], 60)</f>
        <v/>
      </c>
      <c r="L122" s="123" t="str" cm="1">
        <f t="array" ref="L122">Common_InputFunctions.Utility_DisplayArrayInTable(Fertiliser_SourceData.Fertiliser_Products_Data3(),FertiliserProducts[[#Headers],[Product]], 60)</f>
        <v/>
      </c>
      <c r="M122" s="123" t="str" cm="1">
        <f t="array" ref="M122">Common_InputFunctions.Utility_DisplayArrayInTable(Fertiliser_SourceData.Fertiliser_Products_Data3(),FertiliserProducts[[#Headers],[Product]], 60)</f>
        <v/>
      </c>
      <c r="N122" s="123" t="str" cm="1">
        <f t="array" ref="N122">Common_InputFunctions.Utility_DisplayArrayInTable(Fertiliser_SourceData.Fertiliser_Products_Data3(),FertiliserProducts[[#Headers],[Product]], 60)</f>
        <v/>
      </c>
      <c r="O122" s="123" t="str" cm="1">
        <f t="array" ref="O122">Common_InputFunctions.Utility_DisplayArrayInTable(Fertiliser_SourceData.Fertiliser_Products_Data3(),FertiliserProducts[[#Headers],[Product]], 60)</f>
        <v/>
      </c>
      <c r="P122" s="123" t="str" cm="1">
        <f t="array" ref="P122">Common_InputFunctions.Utility_DisplayArrayInTable(Fertiliser_SourceData.Fertiliser_Products_Data3(),FertiliserProducts[[#Headers],[Product]], 60)</f>
        <v/>
      </c>
      <c r="Q122" s="123" t="str" cm="1">
        <f t="array" ref="Q122">Common_InputFunctions.Utility_DisplayArrayInTable(Fertiliser_SourceData.Fertiliser_Products_Data3(),FertiliserProducts[[#Headers],[Product]], 60)</f>
        <v/>
      </c>
      <c r="R122" s="123" t="str" cm="1">
        <f t="array" ref="R122">Common_InputFunctions.Utility_DisplayArrayInTable(Fertiliser_SourceData.Fertiliser_Products_Data3(),FertiliserProducts[[#Headers],[Product]], 60)</f>
        <v/>
      </c>
      <c r="S122" s="123" t="str" cm="1">
        <f t="array" ref="S122">Common_InputFunctions.Utility_DisplayArrayInTable(Fertiliser_SourceData.Fertiliser_Products_Data3(),FertiliserProducts[[#Headers],[Product]], 60)</f>
        <v/>
      </c>
      <c r="T122" s="123" t="str" cm="1">
        <f t="array" ref="T122">Common_InputFunctions.Utility_DisplayArrayInTable(Fertiliser_SourceData.Fertiliser_Products_Data3(),FertiliserProducts[[#Headers],[Product]], 60)</f>
        <v/>
      </c>
      <c r="U122" s="123" t="str" cm="1">
        <f t="array" ref="U122">Common_InputFunctions.Utility_DisplayArrayInTable(Fertiliser_SourceData.Fertiliser_Products_Data3(),FertiliserProducts[[#Headers],[Product]], 60)</f>
        <v/>
      </c>
      <c r="V122" s="123" t="str" cm="1">
        <f t="array" ref="V122">Common_InputFunctions.Utility_DisplayArrayInTable(Fertiliser_SourceData.Fertiliser_Products_Data3(),FertiliserProducts[[#Headers],[Product]], 60)</f>
        <v/>
      </c>
      <c r="W122" s="123" t="str" cm="1">
        <f t="array" ref="W122">Common_InputFunctions.Utility_DisplayArrayInTable(Fertiliser_SourceData.Fertiliser_Products_Data3(),FertiliserProducts[[#Headers],[Product]], 60)</f>
        <v>Crop Nutrition Solutions (Yara Australia)</v>
      </c>
    </row>
    <row r="123" spans="4:23" ht="20.100000000000001" customHeight="1" x14ac:dyDescent="0.25">
      <c r="D123" s="123" t="str" cm="1">
        <f t="array" ref="D123">Common_InputFunctions.Utility_DisplayArrayInTable(Fertiliser_SourceData.Fertiliser_Products_Data3(),FertiliserProducts[[#Headers],[Product]], 60)</f>
        <v>Yara Liquids MICRO-SUL</v>
      </c>
      <c r="E123" s="123" t="str" cm="1">
        <f t="array" ref="E123">Common_InputFunctions.Utility_DisplayArrayInTable(Fertiliser_SourceData.Fertiliser_Products_Data3(),FertiliserProducts[[#Headers],[Product]], 60)</f>
        <v/>
      </c>
      <c r="F123" s="123" t="str" cm="1">
        <f t="array" ref="F123">Common_InputFunctions.Utility_DisplayArrayInTable(Fertiliser_SourceData.Fertiliser_Products_Data3(),FertiliserProducts[[#Headers],[Product]], 60)</f>
        <v/>
      </c>
      <c r="G123" s="123" t="str" cm="1">
        <f t="array" ref="G123">Common_InputFunctions.Utility_DisplayArrayInTable(Fertiliser_SourceData.Fertiliser_Products_Data3(),FertiliserProducts[[#Headers],[Product]], 60)</f>
        <v/>
      </c>
      <c r="H123" s="123" t="str" cm="1">
        <f t="array" ref="H123">Common_InputFunctions.Utility_DisplayArrayInTable(Fertiliser_SourceData.Fertiliser_Products_Data3(),FertiliserProducts[[#Headers],[Product]], 60)</f>
        <v/>
      </c>
      <c r="I123" s="123" t="str" cm="1">
        <f t="array" ref="I123">Common_InputFunctions.Utility_DisplayArrayInTable(Fertiliser_SourceData.Fertiliser_Products_Data3(),FertiliserProducts[[#Headers],[Product]], 60)</f>
        <v/>
      </c>
      <c r="J123" s="123" t="str" cm="1">
        <f t="array" ref="J123">Common_InputFunctions.Utility_DisplayArrayInTable(Fertiliser_SourceData.Fertiliser_Products_Data3(),FertiliserProducts[[#Headers],[Product]], 60)</f>
        <v/>
      </c>
      <c r="K123" s="123" t="str" cm="1">
        <f t="array" ref="K123">Common_InputFunctions.Utility_DisplayArrayInTable(Fertiliser_SourceData.Fertiliser_Products_Data3(),FertiliserProducts[[#Headers],[Product]], 60)</f>
        <v/>
      </c>
      <c r="L123" s="123" t="str" cm="1">
        <f t="array" ref="L123">Common_InputFunctions.Utility_DisplayArrayInTable(Fertiliser_SourceData.Fertiliser_Products_Data3(),FertiliserProducts[[#Headers],[Product]], 60)</f>
        <v/>
      </c>
      <c r="M123" s="123" t="str" cm="1">
        <f t="array" ref="M123">Common_InputFunctions.Utility_DisplayArrayInTable(Fertiliser_SourceData.Fertiliser_Products_Data3(),FertiliserProducts[[#Headers],[Product]], 60)</f>
        <v/>
      </c>
      <c r="N123" s="123" t="str" cm="1">
        <f t="array" ref="N123">Common_InputFunctions.Utility_DisplayArrayInTable(Fertiliser_SourceData.Fertiliser_Products_Data3(),FertiliserProducts[[#Headers],[Product]], 60)</f>
        <v/>
      </c>
      <c r="O123" s="123" t="str" cm="1">
        <f t="array" ref="O123">Common_InputFunctions.Utility_DisplayArrayInTable(Fertiliser_SourceData.Fertiliser_Products_Data3(),FertiliserProducts[[#Headers],[Product]], 60)</f>
        <v/>
      </c>
      <c r="P123" s="123" t="str" cm="1">
        <f t="array" ref="P123">Common_InputFunctions.Utility_DisplayArrayInTable(Fertiliser_SourceData.Fertiliser_Products_Data3(),FertiliserProducts[[#Headers],[Product]], 60)</f>
        <v/>
      </c>
      <c r="Q123" s="123" t="str" cm="1">
        <f t="array" ref="Q123">Common_InputFunctions.Utility_DisplayArrayInTable(Fertiliser_SourceData.Fertiliser_Products_Data3(),FertiliserProducts[[#Headers],[Product]], 60)</f>
        <v/>
      </c>
      <c r="R123" s="123" t="str" cm="1">
        <f t="array" ref="R123">Common_InputFunctions.Utility_DisplayArrayInTable(Fertiliser_SourceData.Fertiliser_Products_Data3(),FertiliserProducts[[#Headers],[Product]], 60)</f>
        <v/>
      </c>
      <c r="S123" s="123" t="str" cm="1">
        <f t="array" ref="S123">Common_InputFunctions.Utility_DisplayArrayInTable(Fertiliser_SourceData.Fertiliser_Products_Data3(),FertiliserProducts[[#Headers],[Product]], 60)</f>
        <v/>
      </c>
      <c r="T123" s="123" t="str" cm="1">
        <f t="array" ref="T123">Common_InputFunctions.Utility_DisplayArrayInTable(Fertiliser_SourceData.Fertiliser_Products_Data3(),FertiliserProducts[[#Headers],[Product]], 60)</f>
        <v/>
      </c>
      <c r="U123" s="123" t="str" cm="1">
        <f t="array" ref="U123">Common_InputFunctions.Utility_DisplayArrayInTable(Fertiliser_SourceData.Fertiliser_Products_Data3(),FertiliserProducts[[#Headers],[Product]], 60)</f>
        <v/>
      </c>
      <c r="V123" s="123" t="str" cm="1">
        <f t="array" ref="V123">Common_InputFunctions.Utility_DisplayArrayInTable(Fertiliser_SourceData.Fertiliser_Products_Data3(),FertiliserProducts[[#Headers],[Product]], 60)</f>
        <v/>
      </c>
      <c r="W123" s="123" t="str" cm="1">
        <f t="array" ref="W123">Common_InputFunctions.Utility_DisplayArrayInTable(Fertiliser_SourceData.Fertiliser_Products_Data3(),FertiliserProducts[[#Headers],[Product]], 60)</f>
        <v>Crop Nutrition Solutions (Yara Australia)</v>
      </c>
    </row>
    <row r="124" spans="4:23" ht="20.100000000000001" customHeight="1" x14ac:dyDescent="0.25">
      <c r="D124" s="123" t="str" cm="1">
        <f t="array" ref="D124">Common_InputFunctions.Utility_DisplayArrayInTable(Fertiliser_SourceData.Fertiliser_Products_Data3(),FertiliserProducts[[#Headers],[Product]], 60)</f>
        <v>Yara Liquids N24</v>
      </c>
      <c r="E124" s="123" t="str" cm="1">
        <f t="array" ref="E124">Common_InputFunctions.Utility_DisplayArrayInTable(Fertiliser_SourceData.Fertiliser_Products_Data3(),FertiliserProducts[[#Headers],[Product]], 60)</f>
        <v/>
      </c>
      <c r="F124" s="123" t="str" cm="1">
        <f t="array" ref="F124">Common_InputFunctions.Utility_DisplayArrayInTable(Fertiliser_SourceData.Fertiliser_Products_Data3(),FertiliserProducts[[#Headers],[Product]], 60)</f>
        <v/>
      </c>
      <c r="G124" s="123" t="str" cm="1">
        <f t="array" ref="G124">Common_InputFunctions.Utility_DisplayArrayInTable(Fertiliser_SourceData.Fertiliser_Products_Data3(),FertiliserProducts[[#Headers],[Product]], 60)</f>
        <v/>
      </c>
      <c r="H124" s="123" t="str" cm="1">
        <f t="array" ref="H124">Common_InputFunctions.Utility_DisplayArrayInTable(Fertiliser_SourceData.Fertiliser_Products_Data3(),FertiliserProducts[[#Headers],[Product]], 60)</f>
        <v/>
      </c>
      <c r="I124" s="123" t="str" cm="1">
        <f t="array" ref="I124">Common_InputFunctions.Utility_DisplayArrayInTable(Fertiliser_SourceData.Fertiliser_Products_Data3(),FertiliserProducts[[#Headers],[Product]], 60)</f>
        <v/>
      </c>
      <c r="J124" s="123" t="str" cm="1">
        <f t="array" ref="J124">Common_InputFunctions.Utility_DisplayArrayInTable(Fertiliser_SourceData.Fertiliser_Products_Data3(),FertiliserProducts[[#Headers],[Product]], 60)</f>
        <v/>
      </c>
      <c r="K124" s="123" t="str" cm="1">
        <f t="array" ref="K124">Common_InputFunctions.Utility_DisplayArrayInTable(Fertiliser_SourceData.Fertiliser_Products_Data3(),FertiliserProducts[[#Headers],[Product]], 60)</f>
        <v/>
      </c>
      <c r="L124" s="123" t="str" cm="1">
        <f t="array" ref="L124">Common_InputFunctions.Utility_DisplayArrayInTable(Fertiliser_SourceData.Fertiliser_Products_Data3(),FertiliserProducts[[#Headers],[Product]], 60)</f>
        <v/>
      </c>
      <c r="M124" s="123" t="str" cm="1">
        <f t="array" ref="M124">Common_InputFunctions.Utility_DisplayArrayInTable(Fertiliser_SourceData.Fertiliser_Products_Data3(),FertiliserProducts[[#Headers],[Product]], 60)</f>
        <v/>
      </c>
      <c r="N124" s="123" t="str" cm="1">
        <f t="array" ref="N124">Common_InputFunctions.Utility_DisplayArrayInTable(Fertiliser_SourceData.Fertiliser_Products_Data3(),FertiliserProducts[[#Headers],[Product]], 60)</f>
        <v/>
      </c>
      <c r="O124" s="123" t="str" cm="1">
        <f t="array" ref="O124">Common_InputFunctions.Utility_DisplayArrayInTable(Fertiliser_SourceData.Fertiliser_Products_Data3(),FertiliserProducts[[#Headers],[Product]], 60)</f>
        <v/>
      </c>
      <c r="P124" s="123" t="str" cm="1">
        <f t="array" ref="P124">Common_InputFunctions.Utility_DisplayArrayInTable(Fertiliser_SourceData.Fertiliser_Products_Data3(),FertiliserProducts[[#Headers],[Product]], 60)</f>
        <v/>
      </c>
      <c r="Q124" s="123" t="str" cm="1">
        <f t="array" ref="Q124">Common_InputFunctions.Utility_DisplayArrayInTable(Fertiliser_SourceData.Fertiliser_Products_Data3(),FertiliserProducts[[#Headers],[Product]], 60)</f>
        <v/>
      </c>
      <c r="R124" s="123" t="str" cm="1">
        <f t="array" ref="R124">Common_InputFunctions.Utility_DisplayArrayInTable(Fertiliser_SourceData.Fertiliser_Products_Data3(),FertiliserProducts[[#Headers],[Product]], 60)</f>
        <v/>
      </c>
      <c r="S124" s="123" t="str" cm="1">
        <f t="array" ref="S124">Common_InputFunctions.Utility_DisplayArrayInTable(Fertiliser_SourceData.Fertiliser_Products_Data3(),FertiliserProducts[[#Headers],[Product]], 60)</f>
        <v/>
      </c>
      <c r="T124" s="123" t="str" cm="1">
        <f t="array" ref="T124">Common_InputFunctions.Utility_DisplayArrayInTable(Fertiliser_SourceData.Fertiliser_Products_Data3(),FertiliserProducts[[#Headers],[Product]], 60)</f>
        <v/>
      </c>
      <c r="U124" s="123" t="str" cm="1">
        <f t="array" ref="U124">Common_InputFunctions.Utility_DisplayArrayInTable(Fertiliser_SourceData.Fertiliser_Products_Data3(),FertiliserProducts[[#Headers],[Product]], 60)</f>
        <v/>
      </c>
      <c r="V124" s="123" t="str" cm="1">
        <f t="array" ref="V124">Common_InputFunctions.Utility_DisplayArrayInTable(Fertiliser_SourceData.Fertiliser_Products_Data3(),FertiliserProducts[[#Headers],[Product]], 60)</f>
        <v/>
      </c>
      <c r="W124" s="123" t="str" cm="1">
        <f t="array" ref="W124">Common_InputFunctions.Utility_DisplayArrayInTable(Fertiliser_SourceData.Fertiliser_Products_Data3(),FertiliserProducts[[#Headers],[Product]], 60)</f>
        <v>Crop Nutrition Solutions (Yara Australia)</v>
      </c>
    </row>
    <row r="125" spans="4:23" ht="20.100000000000001" customHeight="1" x14ac:dyDescent="0.25">
      <c r="D125" s="123" t="str" cm="1">
        <f t="array" ref="D125">Common_InputFunctions.Utility_DisplayArrayInTable(Fertiliser_SourceData.Fertiliser_Products_Data3(),FertiliserProducts[[#Headers],[Product]], 60)</f>
        <v>Yara Liquids N25</v>
      </c>
      <c r="E125" s="123" t="str" cm="1">
        <f t="array" ref="E125">Common_InputFunctions.Utility_DisplayArrayInTable(Fertiliser_SourceData.Fertiliser_Products_Data3(),FertiliserProducts[[#Headers],[Product]], 60)</f>
        <v/>
      </c>
      <c r="F125" s="123" t="str" cm="1">
        <f t="array" ref="F125">Common_InputFunctions.Utility_DisplayArrayInTable(Fertiliser_SourceData.Fertiliser_Products_Data3(),FertiliserProducts[[#Headers],[Product]], 60)</f>
        <v/>
      </c>
      <c r="G125" s="123" t="str" cm="1">
        <f t="array" ref="G125">Common_InputFunctions.Utility_DisplayArrayInTable(Fertiliser_SourceData.Fertiliser_Products_Data3(),FertiliserProducts[[#Headers],[Product]], 60)</f>
        <v/>
      </c>
      <c r="H125" s="123" t="str" cm="1">
        <f t="array" ref="H125">Common_InputFunctions.Utility_DisplayArrayInTable(Fertiliser_SourceData.Fertiliser_Products_Data3(),FertiliserProducts[[#Headers],[Product]], 60)</f>
        <v/>
      </c>
      <c r="I125" s="123" t="str" cm="1">
        <f t="array" ref="I125">Common_InputFunctions.Utility_DisplayArrayInTable(Fertiliser_SourceData.Fertiliser_Products_Data3(),FertiliserProducts[[#Headers],[Product]], 60)</f>
        <v/>
      </c>
      <c r="J125" s="123" t="str" cm="1">
        <f t="array" ref="J125">Common_InputFunctions.Utility_DisplayArrayInTable(Fertiliser_SourceData.Fertiliser_Products_Data3(),FertiliserProducts[[#Headers],[Product]], 60)</f>
        <v/>
      </c>
      <c r="K125" s="123" t="str" cm="1">
        <f t="array" ref="K125">Common_InputFunctions.Utility_DisplayArrayInTable(Fertiliser_SourceData.Fertiliser_Products_Data3(),FertiliserProducts[[#Headers],[Product]], 60)</f>
        <v/>
      </c>
      <c r="L125" s="123" t="str" cm="1">
        <f t="array" ref="L125">Common_InputFunctions.Utility_DisplayArrayInTable(Fertiliser_SourceData.Fertiliser_Products_Data3(),FertiliserProducts[[#Headers],[Product]], 60)</f>
        <v/>
      </c>
      <c r="M125" s="123" t="str" cm="1">
        <f t="array" ref="M125">Common_InputFunctions.Utility_DisplayArrayInTable(Fertiliser_SourceData.Fertiliser_Products_Data3(),FertiliserProducts[[#Headers],[Product]], 60)</f>
        <v/>
      </c>
      <c r="N125" s="123" t="str" cm="1">
        <f t="array" ref="N125">Common_InputFunctions.Utility_DisplayArrayInTable(Fertiliser_SourceData.Fertiliser_Products_Data3(),FertiliserProducts[[#Headers],[Product]], 60)</f>
        <v/>
      </c>
      <c r="O125" s="123" t="str" cm="1">
        <f t="array" ref="O125">Common_InputFunctions.Utility_DisplayArrayInTable(Fertiliser_SourceData.Fertiliser_Products_Data3(),FertiliserProducts[[#Headers],[Product]], 60)</f>
        <v/>
      </c>
      <c r="P125" s="123" t="str" cm="1">
        <f t="array" ref="P125">Common_InputFunctions.Utility_DisplayArrayInTable(Fertiliser_SourceData.Fertiliser_Products_Data3(),FertiliserProducts[[#Headers],[Product]], 60)</f>
        <v/>
      </c>
      <c r="Q125" s="123" t="str" cm="1">
        <f t="array" ref="Q125">Common_InputFunctions.Utility_DisplayArrayInTable(Fertiliser_SourceData.Fertiliser_Products_Data3(),FertiliserProducts[[#Headers],[Product]], 60)</f>
        <v/>
      </c>
      <c r="R125" s="123" t="str" cm="1">
        <f t="array" ref="R125">Common_InputFunctions.Utility_DisplayArrayInTable(Fertiliser_SourceData.Fertiliser_Products_Data3(),FertiliserProducts[[#Headers],[Product]], 60)</f>
        <v/>
      </c>
      <c r="S125" s="123" t="str" cm="1">
        <f t="array" ref="S125">Common_InputFunctions.Utility_DisplayArrayInTable(Fertiliser_SourceData.Fertiliser_Products_Data3(),FertiliserProducts[[#Headers],[Product]], 60)</f>
        <v/>
      </c>
      <c r="T125" s="123" t="str" cm="1">
        <f t="array" ref="T125">Common_InputFunctions.Utility_DisplayArrayInTable(Fertiliser_SourceData.Fertiliser_Products_Data3(),FertiliserProducts[[#Headers],[Product]], 60)</f>
        <v/>
      </c>
      <c r="U125" s="123" t="str" cm="1">
        <f t="array" ref="U125">Common_InputFunctions.Utility_DisplayArrayInTable(Fertiliser_SourceData.Fertiliser_Products_Data3(),FertiliserProducts[[#Headers],[Product]], 60)</f>
        <v/>
      </c>
      <c r="V125" s="123" t="str" cm="1">
        <f t="array" ref="V125">Common_InputFunctions.Utility_DisplayArrayInTable(Fertiliser_SourceData.Fertiliser_Products_Data3(),FertiliserProducts[[#Headers],[Product]], 60)</f>
        <v/>
      </c>
      <c r="W125" s="123" t="str" cm="1">
        <f t="array" ref="W125">Common_InputFunctions.Utility_DisplayArrayInTable(Fertiliser_SourceData.Fertiliser_Products_Data3(),FertiliserProducts[[#Headers],[Product]], 60)</f>
        <v>Crop Nutrition Solutions (Yara Australia)</v>
      </c>
    </row>
    <row r="126" spans="4:23" ht="20.100000000000001" customHeight="1" x14ac:dyDescent="0.25">
      <c r="D126" s="123" t="str" cm="1">
        <f t="array" ref="D126">Common_InputFunctions.Utility_DisplayArrayInTable(Fertiliser_SourceData.Fertiliser_Products_Data3(),FertiliserProducts[[#Headers],[Product]], 60)</f>
        <v>Yara Liquids N26</v>
      </c>
      <c r="E126" s="123" t="str" cm="1">
        <f t="array" ref="E126">Common_InputFunctions.Utility_DisplayArrayInTable(Fertiliser_SourceData.Fertiliser_Products_Data3(),FertiliserProducts[[#Headers],[Product]], 60)</f>
        <v/>
      </c>
      <c r="F126" s="123" t="str" cm="1">
        <f t="array" ref="F126">Common_InputFunctions.Utility_DisplayArrayInTable(Fertiliser_SourceData.Fertiliser_Products_Data3(),FertiliserProducts[[#Headers],[Product]], 60)</f>
        <v/>
      </c>
      <c r="G126" s="123" t="str" cm="1">
        <f t="array" ref="G126">Common_InputFunctions.Utility_DisplayArrayInTable(Fertiliser_SourceData.Fertiliser_Products_Data3(),FertiliserProducts[[#Headers],[Product]], 60)</f>
        <v/>
      </c>
      <c r="H126" s="123" t="str" cm="1">
        <f t="array" ref="H126">Common_InputFunctions.Utility_DisplayArrayInTable(Fertiliser_SourceData.Fertiliser_Products_Data3(),FertiliserProducts[[#Headers],[Product]], 60)</f>
        <v/>
      </c>
      <c r="I126" s="123" t="str" cm="1">
        <f t="array" ref="I126">Common_InputFunctions.Utility_DisplayArrayInTable(Fertiliser_SourceData.Fertiliser_Products_Data3(),FertiliserProducts[[#Headers],[Product]], 60)</f>
        <v/>
      </c>
      <c r="J126" s="123" t="str" cm="1">
        <f t="array" ref="J126">Common_InputFunctions.Utility_DisplayArrayInTable(Fertiliser_SourceData.Fertiliser_Products_Data3(),FertiliserProducts[[#Headers],[Product]], 60)</f>
        <v/>
      </c>
      <c r="K126" s="123" t="str" cm="1">
        <f t="array" ref="K126">Common_InputFunctions.Utility_DisplayArrayInTable(Fertiliser_SourceData.Fertiliser_Products_Data3(),FertiliserProducts[[#Headers],[Product]], 60)</f>
        <v/>
      </c>
      <c r="L126" s="123" t="str" cm="1">
        <f t="array" ref="L126">Common_InputFunctions.Utility_DisplayArrayInTable(Fertiliser_SourceData.Fertiliser_Products_Data3(),FertiliserProducts[[#Headers],[Product]], 60)</f>
        <v/>
      </c>
      <c r="M126" s="123" t="str" cm="1">
        <f t="array" ref="M126">Common_InputFunctions.Utility_DisplayArrayInTable(Fertiliser_SourceData.Fertiliser_Products_Data3(),FertiliserProducts[[#Headers],[Product]], 60)</f>
        <v/>
      </c>
      <c r="N126" s="123" t="str" cm="1">
        <f t="array" ref="N126">Common_InputFunctions.Utility_DisplayArrayInTable(Fertiliser_SourceData.Fertiliser_Products_Data3(),FertiliserProducts[[#Headers],[Product]], 60)</f>
        <v/>
      </c>
      <c r="O126" s="123" t="str" cm="1">
        <f t="array" ref="O126">Common_InputFunctions.Utility_DisplayArrayInTable(Fertiliser_SourceData.Fertiliser_Products_Data3(),FertiliserProducts[[#Headers],[Product]], 60)</f>
        <v/>
      </c>
      <c r="P126" s="123" t="str" cm="1">
        <f t="array" ref="P126">Common_InputFunctions.Utility_DisplayArrayInTable(Fertiliser_SourceData.Fertiliser_Products_Data3(),FertiliserProducts[[#Headers],[Product]], 60)</f>
        <v/>
      </c>
      <c r="Q126" s="123" t="str" cm="1">
        <f t="array" ref="Q126">Common_InputFunctions.Utility_DisplayArrayInTable(Fertiliser_SourceData.Fertiliser_Products_Data3(),FertiliserProducts[[#Headers],[Product]], 60)</f>
        <v/>
      </c>
      <c r="R126" s="123" t="str" cm="1">
        <f t="array" ref="R126">Common_InputFunctions.Utility_DisplayArrayInTable(Fertiliser_SourceData.Fertiliser_Products_Data3(),FertiliserProducts[[#Headers],[Product]], 60)</f>
        <v/>
      </c>
      <c r="S126" s="123" t="str" cm="1">
        <f t="array" ref="S126">Common_InputFunctions.Utility_DisplayArrayInTable(Fertiliser_SourceData.Fertiliser_Products_Data3(),FertiliserProducts[[#Headers],[Product]], 60)</f>
        <v/>
      </c>
      <c r="T126" s="123" t="str" cm="1">
        <f t="array" ref="T126">Common_InputFunctions.Utility_DisplayArrayInTable(Fertiliser_SourceData.Fertiliser_Products_Data3(),FertiliserProducts[[#Headers],[Product]], 60)</f>
        <v/>
      </c>
      <c r="U126" s="123" t="str" cm="1">
        <f t="array" ref="U126">Common_InputFunctions.Utility_DisplayArrayInTable(Fertiliser_SourceData.Fertiliser_Products_Data3(),FertiliserProducts[[#Headers],[Product]], 60)</f>
        <v/>
      </c>
      <c r="V126" s="123" t="str" cm="1">
        <f t="array" ref="V126">Common_InputFunctions.Utility_DisplayArrayInTable(Fertiliser_SourceData.Fertiliser_Products_Data3(),FertiliserProducts[[#Headers],[Product]], 60)</f>
        <v/>
      </c>
      <c r="W126" s="123" t="str" cm="1">
        <f t="array" ref="W126">Common_InputFunctions.Utility_DisplayArrayInTable(Fertiliser_SourceData.Fertiliser_Products_Data3(),FertiliserProducts[[#Headers],[Product]], 60)</f>
        <v>Crop Nutrition Solutions (Yara Australia)</v>
      </c>
    </row>
    <row r="127" spans="4:23" ht="20.100000000000001" customHeight="1" x14ac:dyDescent="0.25">
      <c r="D127" s="123" t="str" cm="1">
        <f t="array" ref="D127">Common_InputFunctions.Utility_DisplayArrayInTable(Fertiliser_SourceData.Fertiliser_Products_Data3(),FertiliserProducts[[#Headers],[Product]], 60)</f>
        <v>Yara Liquids N42</v>
      </c>
      <c r="E127" s="123" t="str" cm="1">
        <f t="array" ref="E127">Common_InputFunctions.Utility_DisplayArrayInTable(Fertiliser_SourceData.Fertiliser_Products_Data3(),FertiliserProducts[[#Headers],[Product]], 60)</f>
        <v/>
      </c>
      <c r="F127" s="123" t="str" cm="1">
        <f t="array" ref="F127">Common_InputFunctions.Utility_DisplayArrayInTable(Fertiliser_SourceData.Fertiliser_Products_Data3(),FertiliserProducts[[#Headers],[Product]], 60)</f>
        <v/>
      </c>
      <c r="G127" s="123" t="str" cm="1">
        <f t="array" ref="G127">Common_InputFunctions.Utility_DisplayArrayInTable(Fertiliser_SourceData.Fertiliser_Products_Data3(),FertiliserProducts[[#Headers],[Product]], 60)</f>
        <v/>
      </c>
      <c r="H127" s="123" t="str" cm="1">
        <f t="array" ref="H127">Common_InputFunctions.Utility_DisplayArrayInTable(Fertiliser_SourceData.Fertiliser_Products_Data3(),FertiliserProducts[[#Headers],[Product]], 60)</f>
        <v/>
      </c>
      <c r="I127" s="123" t="str" cm="1">
        <f t="array" ref="I127">Common_InputFunctions.Utility_DisplayArrayInTable(Fertiliser_SourceData.Fertiliser_Products_Data3(),FertiliserProducts[[#Headers],[Product]], 60)</f>
        <v/>
      </c>
      <c r="J127" s="123" t="str" cm="1">
        <f t="array" ref="J127">Common_InputFunctions.Utility_DisplayArrayInTable(Fertiliser_SourceData.Fertiliser_Products_Data3(),FertiliserProducts[[#Headers],[Product]], 60)</f>
        <v/>
      </c>
      <c r="K127" s="123" t="str" cm="1">
        <f t="array" ref="K127">Common_InputFunctions.Utility_DisplayArrayInTable(Fertiliser_SourceData.Fertiliser_Products_Data3(),FertiliserProducts[[#Headers],[Product]], 60)</f>
        <v/>
      </c>
      <c r="L127" s="123" t="str" cm="1">
        <f t="array" ref="L127">Common_InputFunctions.Utility_DisplayArrayInTable(Fertiliser_SourceData.Fertiliser_Products_Data3(),FertiliserProducts[[#Headers],[Product]], 60)</f>
        <v/>
      </c>
      <c r="M127" s="123" t="str" cm="1">
        <f t="array" ref="M127">Common_InputFunctions.Utility_DisplayArrayInTable(Fertiliser_SourceData.Fertiliser_Products_Data3(),FertiliserProducts[[#Headers],[Product]], 60)</f>
        <v/>
      </c>
      <c r="N127" s="123" t="str" cm="1">
        <f t="array" ref="N127">Common_InputFunctions.Utility_DisplayArrayInTable(Fertiliser_SourceData.Fertiliser_Products_Data3(),FertiliserProducts[[#Headers],[Product]], 60)</f>
        <v/>
      </c>
      <c r="O127" s="123" t="str" cm="1">
        <f t="array" ref="O127">Common_InputFunctions.Utility_DisplayArrayInTable(Fertiliser_SourceData.Fertiliser_Products_Data3(),FertiliserProducts[[#Headers],[Product]], 60)</f>
        <v/>
      </c>
      <c r="P127" s="123" t="str" cm="1">
        <f t="array" ref="P127">Common_InputFunctions.Utility_DisplayArrayInTable(Fertiliser_SourceData.Fertiliser_Products_Data3(),FertiliserProducts[[#Headers],[Product]], 60)</f>
        <v/>
      </c>
      <c r="Q127" s="123" t="str" cm="1">
        <f t="array" ref="Q127">Common_InputFunctions.Utility_DisplayArrayInTable(Fertiliser_SourceData.Fertiliser_Products_Data3(),FertiliserProducts[[#Headers],[Product]], 60)</f>
        <v/>
      </c>
      <c r="R127" s="123" t="str" cm="1">
        <f t="array" ref="R127">Common_InputFunctions.Utility_DisplayArrayInTable(Fertiliser_SourceData.Fertiliser_Products_Data3(),FertiliserProducts[[#Headers],[Product]], 60)</f>
        <v/>
      </c>
      <c r="S127" s="123" t="str" cm="1">
        <f t="array" ref="S127">Common_InputFunctions.Utility_DisplayArrayInTable(Fertiliser_SourceData.Fertiliser_Products_Data3(),FertiliserProducts[[#Headers],[Product]], 60)</f>
        <v/>
      </c>
      <c r="T127" s="123" t="str" cm="1">
        <f t="array" ref="T127">Common_InputFunctions.Utility_DisplayArrayInTable(Fertiliser_SourceData.Fertiliser_Products_Data3(),FertiliserProducts[[#Headers],[Product]], 60)</f>
        <v/>
      </c>
      <c r="U127" s="123" t="str" cm="1">
        <f t="array" ref="U127">Common_InputFunctions.Utility_DisplayArrayInTable(Fertiliser_SourceData.Fertiliser_Products_Data3(),FertiliserProducts[[#Headers],[Product]], 60)</f>
        <v/>
      </c>
      <c r="V127" s="123" t="str" cm="1">
        <f t="array" ref="V127">Common_InputFunctions.Utility_DisplayArrayInTable(Fertiliser_SourceData.Fertiliser_Products_Data3(),FertiliserProducts[[#Headers],[Product]], 60)</f>
        <v/>
      </c>
      <c r="W127" s="123" t="str" cm="1">
        <f t="array" ref="W127">Common_InputFunctions.Utility_DisplayArrayInTable(Fertiliser_SourceData.Fertiliser_Products_Data3(),FertiliserProducts[[#Headers],[Product]], 60)</f>
        <v>Crop Nutrition Solutions (Yara Australia)</v>
      </c>
    </row>
    <row r="128" spans="4:23" ht="20.100000000000001" customHeight="1" x14ac:dyDescent="0.25">
      <c r="D128" s="123" t="str" cm="1">
        <f t="array" ref="D128">Common_InputFunctions.Utility_DisplayArrayInTable(Fertiliser_SourceData.Fertiliser_Products_Data3(),FertiliserProducts[[#Headers],[Product]], 60)</f>
        <v>Yara Liquids N-CAL 15+18Ca</v>
      </c>
      <c r="E128" s="123" t="str" cm="1">
        <f t="array" ref="E128">Common_InputFunctions.Utility_DisplayArrayInTable(Fertiliser_SourceData.Fertiliser_Products_Data3(),FertiliserProducts[[#Headers],[Product]], 60)</f>
        <v/>
      </c>
      <c r="F128" s="123" t="str" cm="1">
        <f t="array" ref="F128">Common_InputFunctions.Utility_DisplayArrayInTable(Fertiliser_SourceData.Fertiliser_Products_Data3(),FertiliserProducts[[#Headers],[Product]], 60)</f>
        <v/>
      </c>
      <c r="G128" s="123" t="str" cm="1">
        <f t="array" ref="G128">Common_InputFunctions.Utility_DisplayArrayInTable(Fertiliser_SourceData.Fertiliser_Products_Data3(),FertiliserProducts[[#Headers],[Product]], 60)</f>
        <v/>
      </c>
      <c r="H128" s="123" t="str" cm="1">
        <f t="array" ref="H128">Common_InputFunctions.Utility_DisplayArrayInTable(Fertiliser_SourceData.Fertiliser_Products_Data3(),FertiliserProducts[[#Headers],[Product]], 60)</f>
        <v/>
      </c>
      <c r="I128" s="123" t="str" cm="1">
        <f t="array" ref="I128">Common_InputFunctions.Utility_DisplayArrayInTable(Fertiliser_SourceData.Fertiliser_Products_Data3(),FertiliserProducts[[#Headers],[Product]], 60)</f>
        <v/>
      </c>
      <c r="J128" s="123" t="str" cm="1">
        <f t="array" ref="J128">Common_InputFunctions.Utility_DisplayArrayInTable(Fertiliser_SourceData.Fertiliser_Products_Data3(),FertiliserProducts[[#Headers],[Product]], 60)</f>
        <v/>
      </c>
      <c r="K128" s="123" t="str" cm="1">
        <f t="array" ref="K128">Common_InputFunctions.Utility_DisplayArrayInTable(Fertiliser_SourceData.Fertiliser_Products_Data3(),FertiliserProducts[[#Headers],[Product]], 60)</f>
        <v/>
      </c>
      <c r="L128" s="123" t="str" cm="1">
        <f t="array" ref="L128">Common_InputFunctions.Utility_DisplayArrayInTable(Fertiliser_SourceData.Fertiliser_Products_Data3(),FertiliserProducts[[#Headers],[Product]], 60)</f>
        <v/>
      </c>
      <c r="M128" s="123" t="str" cm="1">
        <f t="array" ref="M128">Common_InputFunctions.Utility_DisplayArrayInTable(Fertiliser_SourceData.Fertiliser_Products_Data3(),FertiliserProducts[[#Headers],[Product]], 60)</f>
        <v/>
      </c>
      <c r="N128" s="123" t="str" cm="1">
        <f t="array" ref="N128">Common_InputFunctions.Utility_DisplayArrayInTable(Fertiliser_SourceData.Fertiliser_Products_Data3(),FertiliserProducts[[#Headers],[Product]], 60)</f>
        <v/>
      </c>
      <c r="O128" s="123" t="str" cm="1">
        <f t="array" ref="O128">Common_InputFunctions.Utility_DisplayArrayInTable(Fertiliser_SourceData.Fertiliser_Products_Data3(),FertiliserProducts[[#Headers],[Product]], 60)</f>
        <v/>
      </c>
      <c r="P128" s="123" t="str" cm="1">
        <f t="array" ref="P128">Common_InputFunctions.Utility_DisplayArrayInTable(Fertiliser_SourceData.Fertiliser_Products_Data3(),FertiliserProducts[[#Headers],[Product]], 60)</f>
        <v/>
      </c>
      <c r="Q128" s="123" t="str" cm="1">
        <f t="array" ref="Q128">Common_InputFunctions.Utility_DisplayArrayInTable(Fertiliser_SourceData.Fertiliser_Products_Data3(),FertiliserProducts[[#Headers],[Product]], 60)</f>
        <v/>
      </c>
      <c r="R128" s="123" t="str" cm="1">
        <f t="array" ref="R128">Common_InputFunctions.Utility_DisplayArrayInTable(Fertiliser_SourceData.Fertiliser_Products_Data3(),FertiliserProducts[[#Headers],[Product]], 60)</f>
        <v/>
      </c>
      <c r="S128" s="123" t="str" cm="1">
        <f t="array" ref="S128">Common_InputFunctions.Utility_DisplayArrayInTable(Fertiliser_SourceData.Fertiliser_Products_Data3(),FertiliserProducts[[#Headers],[Product]], 60)</f>
        <v/>
      </c>
      <c r="T128" s="123" t="str" cm="1">
        <f t="array" ref="T128">Common_InputFunctions.Utility_DisplayArrayInTable(Fertiliser_SourceData.Fertiliser_Products_Data3(),FertiliserProducts[[#Headers],[Product]], 60)</f>
        <v/>
      </c>
      <c r="U128" s="123" t="str" cm="1">
        <f t="array" ref="U128">Common_InputFunctions.Utility_DisplayArrayInTable(Fertiliser_SourceData.Fertiliser_Products_Data3(),FertiliserProducts[[#Headers],[Product]], 60)</f>
        <v/>
      </c>
      <c r="V128" s="123" t="str" cm="1">
        <f t="array" ref="V128">Common_InputFunctions.Utility_DisplayArrayInTable(Fertiliser_SourceData.Fertiliser_Products_Data3(),FertiliserProducts[[#Headers],[Product]], 60)</f>
        <v/>
      </c>
      <c r="W128" s="123" t="str" cm="1">
        <f t="array" ref="W128">Common_InputFunctions.Utility_DisplayArrayInTable(Fertiliser_SourceData.Fertiliser_Products_Data3(),FertiliserProducts[[#Headers],[Product]], 60)</f>
        <v>Crop Nutrition Solutions (Yara Australia)</v>
      </c>
    </row>
    <row r="129" spans="4:23" ht="20.100000000000001" customHeight="1" x14ac:dyDescent="0.25">
      <c r="D129" s="123" t="str" cm="1">
        <f t="array" ref="D129">Common_InputFunctions.Utility_DisplayArrayInTable(Fertiliser_SourceData.Fertiliser_Products_Data3(),FertiliserProducts[[#Headers],[Product]], 60)</f>
        <v>Yara Liquids N-CAL 20+10Ca+B</v>
      </c>
      <c r="E129" s="123" t="str" cm="1">
        <f t="array" ref="E129">Common_InputFunctions.Utility_DisplayArrayInTable(Fertiliser_SourceData.Fertiliser_Products_Data3(),FertiliserProducts[[#Headers],[Product]], 60)</f>
        <v/>
      </c>
      <c r="F129" s="123" t="str" cm="1">
        <f t="array" ref="F129">Common_InputFunctions.Utility_DisplayArrayInTable(Fertiliser_SourceData.Fertiliser_Products_Data3(),FertiliserProducts[[#Headers],[Product]], 60)</f>
        <v/>
      </c>
      <c r="G129" s="123" t="str" cm="1">
        <f t="array" ref="G129">Common_InputFunctions.Utility_DisplayArrayInTable(Fertiliser_SourceData.Fertiliser_Products_Data3(),FertiliserProducts[[#Headers],[Product]], 60)</f>
        <v/>
      </c>
      <c r="H129" s="123" t="str" cm="1">
        <f t="array" ref="H129">Common_InputFunctions.Utility_DisplayArrayInTable(Fertiliser_SourceData.Fertiliser_Products_Data3(),FertiliserProducts[[#Headers],[Product]], 60)</f>
        <v/>
      </c>
      <c r="I129" s="123" t="str" cm="1">
        <f t="array" ref="I129">Common_InputFunctions.Utility_DisplayArrayInTable(Fertiliser_SourceData.Fertiliser_Products_Data3(),FertiliserProducts[[#Headers],[Product]], 60)</f>
        <v/>
      </c>
      <c r="J129" s="123" t="str" cm="1">
        <f t="array" ref="J129">Common_InputFunctions.Utility_DisplayArrayInTable(Fertiliser_SourceData.Fertiliser_Products_Data3(),FertiliserProducts[[#Headers],[Product]], 60)</f>
        <v/>
      </c>
      <c r="K129" s="123" t="str" cm="1">
        <f t="array" ref="K129">Common_InputFunctions.Utility_DisplayArrayInTable(Fertiliser_SourceData.Fertiliser_Products_Data3(),FertiliserProducts[[#Headers],[Product]], 60)</f>
        <v/>
      </c>
      <c r="L129" s="123" t="str" cm="1">
        <f t="array" ref="L129">Common_InputFunctions.Utility_DisplayArrayInTable(Fertiliser_SourceData.Fertiliser_Products_Data3(),FertiliserProducts[[#Headers],[Product]], 60)</f>
        <v/>
      </c>
      <c r="M129" s="123" t="str" cm="1">
        <f t="array" ref="M129">Common_InputFunctions.Utility_DisplayArrayInTable(Fertiliser_SourceData.Fertiliser_Products_Data3(),FertiliserProducts[[#Headers],[Product]], 60)</f>
        <v/>
      </c>
      <c r="N129" s="123" t="str" cm="1">
        <f t="array" ref="N129">Common_InputFunctions.Utility_DisplayArrayInTable(Fertiliser_SourceData.Fertiliser_Products_Data3(),FertiliserProducts[[#Headers],[Product]], 60)</f>
        <v/>
      </c>
      <c r="O129" s="123" t="str" cm="1">
        <f t="array" ref="O129">Common_InputFunctions.Utility_DisplayArrayInTable(Fertiliser_SourceData.Fertiliser_Products_Data3(),FertiliserProducts[[#Headers],[Product]], 60)</f>
        <v/>
      </c>
      <c r="P129" s="123" t="str" cm="1">
        <f t="array" ref="P129">Common_InputFunctions.Utility_DisplayArrayInTable(Fertiliser_SourceData.Fertiliser_Products_Data3(),FertiliserProducts[[#Headers],[Product]], 60)</f>
        <v/>
      </c>
      <c r="Q129" s="123" t="str" cm="1">
        <f t="array" ref="Q129">Common_InputFunctions.Utility_DisplayArrayInTable(Fertiliser_SourceData.Fertiliser_Products_Data3(),FertiliserProducts[[#Headers],[Product]], 60)</f>
        <v/>
      </c>
      <c r="R129" s="123" t="str" cm="1">
        <f t="array" ref="R129">Common_InputFunctions.Utility_DisplayArrayInTable(Fertiliser_SourceData.Fertiliser_Products_Data3(),FertiliserProducts[[#Headers],[Product]], 60)</f>
        <v/>
      </c>
      <c r="S129" s="123" t="str" cm="1">
        <f t="array" ref="S129">Common_InputFunctions.Utility_DisplayArrayInTable(Fertiliser_SourceData.Fertiliser_Products_Data3(),FertiliserProducts[[#Headers],[Product]], 60)</f>
        <v/>
      </c>
      <c r="T129" s="123" t="str" cm="1">
        <f t="array" ref="T129">Common_InputFunctions.Utility_DisplayArrayInTable(Fertiliser_SourceData.Fertiliser_Products_Data3(),FertiliserProducts[[#Headers],[Product]], 60)</f>
        <v/>
      </c>
      <c r="U129" s="123" t="str" cm="1">
        <f t="array" ref="U129">Common_InputFunctions.Utility_DisplayArrayInTable(Fertiliser_SourceData.Fertiliser_Products_Data3(),FertiliserProducts[[#Headers],[Product]], 60)</f>
        <v/>
      </c>
      <c r="V129" s="123" t="str" cm="1">
        <f t="array" ref="V129">Common_InputFunctions.Utility_DisplayArrayInTable(Fertiliser_SourceData.Fertiliser_Products_Data3(),FertiliserProducts[[#Headers],[Product]], 60)</f>
        <v/>
      </c>
      <c r="W129" s="123" t="str" cm="1">
        <f t="array" ref="W129">Common_InputFunctions.Utility_DisplayArrayInTable(Fertiliser_SourceData.Fertiliser_Products_Data3(),FertiliserProducts[[#Headers],[Product]], 60)</f>
        <v>Crop Nutrition Solutions (Yara Australia)</v>
      </c>
    </row>
    <row r="130" spans="4:23" ht="20.100000000000001" customHeight="1" x14ac:dyDescent="0.25">
      <c r="D130" s="123" t="str" cm="1">
        <f t="array" ref="D130">Common_InputFunctions.Utility_DisplayArrayInTable(Fertiliser_SourceData.Fertiliser_Products_Data3(),FertiliserProducts[[#Headers],[Product]], 60)</f>
        <v>Yara Liquids N-CAL 35+6Ca</v>
      </c>
      <c r="E130" s="123" t="str" cm="1">
        <f t="array" ref="E130">Common_InputFunctions.Utility_DisplayArrayInTable(Fertiliser_SourceData.Fertiliser_Products_Data3(),FertiliserProducts[[#Headers],[Product]], 60)</f>
        <v/>
      </c>
      <c r="F130" s="123" t="str" cm="1">
        <f t="array" ref="F130">Common_InputFunctions.Utility_DisplayArrayInTable(Fertiliser_SourceData.Fertiliser_Products_Data3(),FertiliserProducts[[#Headers],[Product]], 60)</f>
        <v/>
      </c>
      <c r="G130" s="123" t="str" cm="1">
        <f t="array" ref="G130">Common_InputFunctions.Utility_DisplayArrayInTable(Fertiliser_SourceData.Fertiliser_Products_Data3(),FertiliserProducts[[#Headers],[Product]], 60)</f>
        <v/>
      </c>
      <c r="H130" s="123" t="str" cm="1">
        <f t="array" ref="H130">Common_InputFunctions.Utility_DisplayArrayInTable(Fertiliser_SourceData.Fertiliser_Products_Data3(),FertiliserProducts[[#Headers],[Product]], 60)</f>
        <v/>
      </c>
      <c r="I130" s="123" t="str" cm="1">
        <f t="array" ref="I130">Common_InputFunctions.Utility_DisplayArrayInTable(Fertiliser_SourceData.Fertiliser_Products_Data3(),FertiliserProducts[[#Headers],[Product]], 60)</f>
        <v/>
      </c>
      <c r="J130" s="123" t="str" cm="1">
        <f t="array" ref="J130">Common_InputFunctions.Utility_DisplayArrayInTable(Fertiliser_SourceData.Fertiliser_Products_Data3(),FertiliserProducts[[#Headers],[Product]], 60)</f>
        <v/>
      </c>
      <c r="K130" s="123" t="str" cm="1">
        <f t="array" ref="K130">Common_InputFunctions.Utility_DisplayArrayInTable(Fertiliser_SourceData.Fertiliser_Products_Data3(),FertiliserProducts[[#Headers],[Product]], 60)</f>
        <v/>
      </c>
      <c r="L130" s="123" t="str" cm="1">
        <f t="array" ref="L130">Common_InputFunctions.Utility_DisplayArrayInTable(Fertiliser_SourceData.Fertiliser_Products_Data3(),FertiliserProducts[[#Headers],[Product]], 60)</f>
        <v/>
      </c>
      <c r="M130" s="123" t="str" cm="1">
        <f t="array" ref="M130">Common_InputFunctions.Utility_DisplayArrayInTable(Fertiliser_SourceData.Fertiliser_Products_Data3(),FertiliserProducts[[#Headers],[Product]], 60)</f>
        <v/>
      </c>
      <c r="N130" s="123" t="str" cm="1">
        <f t="array" ref="N130">Common_InputFunctions.Utility_DisplayArrayInTable(Fertiliser_SourceData.Fertiliser_Products_Data3(),FertiliserProducts[[#Headers],[Product]], 60)</f>
        <v/>
      </c>
      <c r="O130" s="123" t="str" cm="1">
        <f t="array" ref="O130">Common_InputFunctions.Utility_DisplayArrayInTable(Fertiliser_SourceData.Fertiliser_Products_Data3(),FertiliserProducts[[#Headers],[Product]], 60)</f>
        <v/>
      </c>
      <c r="P130" s="123" t="str" cm="1">
        <f t="array" ref="P130">Common_InputFunctions.Utility_DisplayArrayInTable(Fertiliser_SourceData.Fertiliser_Products_Data3(),FertiliserProducts[[#Headers],[Product]], 60)</f>
        <v/>
      </c>
      <c r="Q130" s="123" t="str" cm="1">
        <f t="array" ref="Q130">Common_InputFunctions.Utility_DisplayArrayInTable(Fertiliser_SourceData.Fertiliser_Products_Data3(),FertiliserProducts[[#Headers],[Product]], 60)</f>
        <v/>
      </c>
      <c r="R130" s="123" t="str" cm="1">
        <f t="array" ref="R130">Common_InputFunctions.Utility_DisplayArrayInTable(Fertiliser_SourceData.Fertiliser_Products_Data3(),FertiliserProducts[[#Headers],[Product]], 60)</f>
        <v/>
      </c>
      <c r="S130" s="123" t="str" cm="1">
        <f t="array" ref="S130">Common_InputFunctions.Utility_DisplayArrayInTable(Fertiliser_SourceData.Fertiliser_Products_Data3(),FertiliserProducts[[#Headers],[Product]], 60)</f>
        <v/>
      </c>
      <c r="T130" s="123" t="str" cm="1">
        <f t="array" ref="T130">Common_InputFunctions.Utility_DisplayArrayInTable(Fertiliser_SourceData.Fertiliser_Products_Data3(),FertiliserProducts[[#Headers],[Product]], 60)</f>
        <v/>
      </c>
      <c r="U130" s="123" t="str" cm="1">
        <f t="array" ref="U130">Common_InputFunctions.Utility_DisplayArrayInTable(Fertiliser_SourceData.Fertiliser_Products_Data3(),FertiliserProducts[[#Headers],[Product]], 60)</f>
        <v/>
      </c>
      <c r="V130" s="123" t="str" cm="1">
        <f t="array" ref="V130">Common_InputFunctions.Utility_DisplayArrayInTable(Fertiliser_SourceData.Fertiliser_Products_Data3(),FertiliserProducts[[#Headers],[Product]], 60)</f>
        <v/>
      </c>
      <c r="W130" s="123" t="str" cm="1">
        <f t="array" ref="W130">Common_InputFunctions.Utility_DisplayArrayInTable(Fertiliser_SourceData.Fertiliser_Products_Data3(),FertiliserProducts[[#Headers],[Product]], 60)</f>
        <v>Crop Nutrition Solutions (Yara Australia)</v>
      </c>
    </row>
    <row r="131" spans="4:23" ht="20.100000000000001" customHeight="1" x14ac:dyDescent="0.25">
      <c r="D131" s="123" t="str" cm="1">
        <f t="array" ref="D131">Common_InputFunctions.Utility_DisplayArrayInTable(Fertiliser_SourceData.Fertiliser_Products_Data3(),FertiliserProducts[[#Headers],[Product]], 60)</f>
        <v>Yara Liquids N-FOL 24</v>
      </c>
      <c r="E131" s="123" t="str" cm="1">
        <f t="array" ref="E131">Common_InputFunctions.Utility_DisplayArrayInTable(Fertiliser_SourceData.Fertiliser_Products_Data3(),FertiliserProducts[[#Headers],[Product]], 60)</f>
        <v/>
      </c>
      <c r="F131" s="123" t="str" cm="1">
        <f t="array" ref="F131">Common_InputFunctions.Utility_DisplayArrayInTable(Fertiliser_SourceData.Fertiliser_Products_Data3(),FertiliserProducts[[#Headers],[Product]], 60)</f>
        <v/>
      </c>
      <c r="G131" s="123" t="str" cm="1">
        <f t="array" ref="G131">Common_InputFunctions.Utility_DisplayArrayInTable(Fertiliser_SourceData.Fertiliser_Products_Data3(),FertiliserProducts[[#Headers],[Product]], 60)</f>
        <v/>
      </c>
      <c r="H131" s="123" t="str" cm="1">
        <f t="array" ref="H131">Common_InputFunctions.Utility_DisplayArrayInTable(Fertiliser_SourceData.Fertiliser_Products_Data3(),FertiliserProducts[[#Headers],[Product]], 60)</f>
        <v/>
      </c>
      <c r="I131" s="123" t="str" cm="1">
        <f t="array" ref="I131">Common_InputFunctions.Utility_DisplayArrayInTable(Fertiliser_SourceData.Fertiliser_Products_Data3(),FertiliserProducts[[#Headers],[Product]], 60)</f>
        <v/>
      </c>
      <c r="J131" s="123" t="str" cm="1">
        <f t="array" ref="J131">Common_InputFunctions.Utility_DisplayArrayInTable(Fertiliser_SourceData.Fertiliser_Products_Data3(),FertiliserProducts[[#Headers],[Product]], 60)</f>
        <v/>
      </c>
      <c r="K131" s="123" t="str" cm="1">
        <f t="array" ref="K131">Common_InputFunctions.Utility_DisplayArrayInTable(Fertiliser_SourceData.Fertiliser_Products_Data3(),FertiliserProducts[[#Headers],[Product]], 60)</f>
        <v/>
      </c>
      <c r="L131" s="123" t="str" cm="1">
        <f t="array" ref="L131">Common_InputFunctions.Utility_DisplayArrayInTable(Fertiliser_SourceData.Fertiliser_Products_Data3(),FertiliserProducts[[#Headers],[Product]], 60)</f>
        <v/>
      </c>
      <c r="M131" s="123" t="str" cm="1">
        <f t="array" ref="M131">Common_InputFunctions.Utility_DisplayArrayInTable(Fertiliser_SourceData.Fertiliser_Products_Data3(),FertiliserProducts[[#Headers],[Product]], 60)</f>
        <v/>
      </c>
      <c r="N131" s="123" t="str" cm="1">
        <f t="array" ref="N131">Common_InputFunctions.Utility_DisplayArrayInTable(Fertiliser_SourceData.Fertiliser_Products_Data3(),FertiliserProducts[[#Headers],[Product]], 60)</f>
        <v/>
      </c>
      <c r="O131" s="123" t="str" cm="1">
        <f t="array" ref="O131">Common_InputFunctions.Utility_DisplayArrayInTable(Fertiliser_SourceData.Fertiliser_Products_Data3(),FertiliserProducts[[#Headers],[Product]], 60)</f>
        <v/>
      </c>
      <c r="P131" s="123" t="str" cm="1">
        <f t="array" ref="P131">Common_InputFunctions.Utility_DisplayArrayInTable(Fertiliser_SourceData.Fertiliser_Products_Data3(),FertiliserProducts[[#Headers],[Product]], 60)</f>
        <v/>
      </c>
      <c r="Q131" s="123" t="str" cm="1">
        <f t="array" ref="Q131">Common_InputFunctions.Utility_DisplayArrayInTable(Fertiliser_SourceData.Fertiliser_Products_Data3(),FertiliserProducts[[#Headers],[Product]], 60)</f>
        <v/>
      </c>
      <c r="R131" s="123" t="str" cm="1">
        <f t="array" ref="R131">Common_InputFunctions.Utility_DisplayArrayInTable(Fertiliser_SourceData.Fertiliser_Products_Data3(),FertiliserProducts[[#Headers],[Product]], 60)</f>
        <v/>
      </c>
      <c r="S131" s="123" t="str" cm="1">
        <f t="array" ref="S131">Common_InputFunctions.Utility_DisplayArrayInTable(Fertiliser_SourceData.Fertiliser_Products_Data3(),FertiliserProducts[[#Headers],[Product]], 60)</f>
        <v/>
      </c>
      <c r="T131" s="123" t="str" cm="1">
        <f t="array" ref="T131">Common_InputFunctions.Utility_DisplayArrayInTable(Fertiliser_SourceData.Fertiliser_Products_Data3(),FertiliserProducts[[#Headers],[Product]], 60)</f>
        <v/>
      </c>
      <c r="U131" s="123" t="str" cm="1">
        <f t="array" ref="U131">Common_InputFunctions.Utility_DisplayArrayInTable(Fertiliser_SourceData.Fertiliser_Products_Data3(),FertiliserProducts[[#Headers],[Product]], 60)</f>
        <v/>
      </c>
      <c r="V131" s="123" t="str" cm="1">
        <f t="array" ref="V131">Common_InputFunctions.Utility_DisplayArrayInTable(Fertiliser_SourceData.Fertiliser_Products_Data3(),FertiliserProducts[[#Headers],[Product]], 60)</f>
        <v/>
      </c>
      <c r="W131" s="123" t="str" cm="1">
        <f t="array" ref="W131">Common_InputFunctions.Utility_DisplayArrayInTable(Fertiliser_SourceData.Fertiliser_Products_Data3(),FertiliserProducts[[#Headers],[Product]], 60)</f>
        <v>Crop Nutrition Solutions (Yara Australia)</v>
      </c>
    </row>
    <row r="132" spans="4:23" ht="20.100000000000001" customHeight="1" x14ac:dyDescent="0.25">
      <c r="D132" s="123" t="str" cm="1">
        <f t="array" ref="D132">Common_InputFunctions.Utility_DisplayArrayInTable(Fertiliser_SourceData.Fertiliser_Products_Data3(),FertiliserProducts[[#Headers],[Product]], 60)</f>
        <v>Yara Liquids N-FOL 24+TE</v>
      </c>
      <c r="E132" s="123" t="str" cm="1">
        <f t="array" ref="E132">Common_InputFunctions.Utility_DisplayArrayInTable(Fertiliser_SourceData.Fertiliser_Products_Data3(),FertiliserProducts[[#Headers],[Product]], 60)</f>
        <v/>
      </c>
      <c r="F132" s="123" t="str" cm="1">
        <f t="array" ref="F132">Common_InputFunctions.Utility_DisplayArrayInTable(Fertiliser_SourceData.Fertiliser_Products_Data3(),FertiliserProducts[[#Headers],[Product]], 60)</f>
        <v/>
      </c>
      <c r="G132" s="123" t="str" cm="1">
        <f t="array" ref="G132">Common_InputFunctions.Utility_DisplayArrayInTable(Fertiliser_SourceData.Fertiliser_Products_Data3(),FertiliserProducts[[#Headers],[Product]], 60)</f>
        <v/>
      </c>
      <c r="H132" s="123" t="str" cm="1">
        <f t="array" ref="H132">Common_InputFunctions.Utility_DisplayArrayInTable(Fertiliser_SourceData.Fertiliser_Products_Data3(),FertiliserProducts[[#Headers],[Product]], 60)</f>
        <v/>
      </c>
      <c r="I132" s="123" t="str" cm="1">
        <f t="array" ref="I132">Common_InputFunctions.Utility_DisplayArrayInTable(Fertiliser_SourceData.Fertiliser_Products_Data3(),FertiliserProducts[[#Headers],[Product]], 60)</f>
        <v/>
      </c>
      <c r="J132" s="123" t="str" cm="1">
        <f t="array" ref="J132">Common_InputFunctions.Utility_DisplayArrayInTable(Fertiliser_SourceData.Fertiliser_Products_Data3(),FertiliserProducts[[#Headers],[Product]], 60)</f>
        <v/>
      </c>
      <c r="K132" s="123" t="str" cm="1">
        <f t="array" ref="K132">Common_InputFunctions.Utility_DisplayArrayInTable(Fertiliser_SourceData.Fertiliser_Products_Data3(),FertiliserProducts[[#Headers],[Product]], 60)</f>
        <v/>
      </c>
      <c r="L132" s="123" t="str" cm="1">
        <f t="array" ref="L132">Common_InputFunctions.Utility_DisplayArrayInTable(Fertiliser_SourceData.Fertiliser_Products_Data3(),FertiliserProducts[[#Headers],[Product]], 60)</f>
        <v/>
      </c>
      <c r="M132" s="123" t="str" cm="1">
        <f t="array" ref="M132">Common_InputFunctions.Utility_DisplayArrayInTable(Fertiliser_SourceData.Fertiliser_Products_Data3(),FertiliserProducts[[#Headers],[Product]], 60)</f>
        <v/>
      </c>
      <c r="N132" s="123" t="str" cm="1">
        <f t="array" ref="N132">Common_InputFunctions.Utility_DisplayArrayInTable(Fertiliser_SourceData.Fertiliser_Products_Data3(),FertiliserProducts[[#Headers],[Product]], 60)</f>
        <v/>
      </c>
      <c r="O132" s="123" t="str" cm="1">
        <f t="array" ref="O132">Common_InputFunctions.Utility_DisplayArrayInTable(Fertiliser_SourceData.Fertiliser_Products_Data3(),FertiliserProducts[[#Headers],[Product]], 60)</f>
        <v/>
      </c>
      <c r="P132" s="123" t="str" cm="1">
        <f t="array" ref="P132">Common_InputFunctions.Utility_DisplayArrayInTable(Fertiliser_SourceData.Fertiliser_Products_Data3(),FertiliserProducts[[#Headers],[Product]], 60)</f>
        <v/>
      </c>
      <c r="Q132" s="123" t="str" cm="1">
        <f t="array" ref="Q132">Common_InputFunctions.Utility_DisplayArrayInTable(Fertiliser_SourceData.Fertiliser_Products_Data3(),FertiliserProducts[[#Headers],[Product]], 60)</f>
        <v/>
      </c>
      <c r="R132" s="123" t="str" cm="1">
        <f t="array" ref="R132">Common_InputFunctions.Utility_DisplayArrayInTable(Fertiliser_SourceData.Fertiliser_Products_Data3(),FertiliserProducts[[#Headers],[Product]], 60)</f>
        <v/>
      </c>
      <c r="S132" s="123" t="str" cm="1">
        <f t="array" ref="S132">Common_InputFunctions.Utility_DisplayArrayInTable(Fertiliser_SourceData.Fertiliser_Products_Data3(),FertiliserProducts[[#Headers],[Product]], 60)</f>
        <v/>
      </c>
      <c r="T132" s="123" t="str" cm="1">
        <f t="array" ref="T132">Common_InputFunctions.Utility_DisplayArrayInTable(Fertiliser_SourceData.Fertiliser_Products_Data3(),FertiliserProducts[[#Headers],[Product]], 60)</f>
        <v/>
      </c>
      <c r="U132" s="123" t="str" cm="1">
        <f t="array" ref="U132">Common_InputFunctions.Utility_DisplayArrayInTable(Fertiliser_SourceData.Fertiliser_Products_Data3(),FertiliserProducts[[#Headers],[Product]], 60)</f>
        <v/>
      </c>
      <c r="V132" s="123" t="str" cm="1">
        <f t="array" ref="V132">Common_InputFunctions.Utility_DisplayArrayInTable(Fertiliser_SourceData.Fertiliser_Products_Data3(),FertiliserProducts[[#Headers],[Product]], 60)</f>
        <v/>
      </c>
      <c r="W132" s="123" t="str" cm="1">
        <f t="array" ref="W132">Common_InputFunctions.Utility_DisplayArrayInTable(Fertiliser_SourceData.Fertiliser_Products_Data3(),FertiliserProducts[[#Headers],[Product]], 60)</f>
        <v>Crop Nutrition Solutions (Yara Australia)</v>
      </c>
    </row>
    <row r="133" spans="4:23" ht="20.100000000000001" customHeight="1" x14ac:dyDescent="0.25">
      <c r="D133" s="123" t="str" cm="1">
        <f t="array" ref="D133">Common_InputFunctions.Utility_DisplayArrayInTable(Fertiliser_SourceData.Fertiliser_Products_Data3(),FertiliserProducts[[#Headers],[Product]], 60)</f>
        <v>Yara Liquids P-FOL Zinc</v>
      </c>
      <c r="E133" s="123" t="str" cm="1">
        <f t="array" ref="E133">Common_InputFunctions.Utility_DisplayArrayInTable(Fertiliser_SourceData.Fertiliser_Products_Data3(),FertiliserProducts[[#Headers],[Product]], 60)</f>
        <v/>
      </c>
      <c r="F133" s="123" t="str" cm="1">
        <f t="array" ref="F133">Common_InputFunctions.Utility_DisplayArrayInTable(Fertiliser_SourceData.Fertiliser_Products_Data3(),FertiliserProducts[[#Headers],[Product]], 60)</f>
        <v/>
      </c>
      <c r="G133" s="123" t="str" cm="1">
        <f t="array" ref="G133">Common_InputFunctions.Utility_DisplayArrayInTable(Fertiliser_SourceData.Fertiliser_Products_Data3(),FertiliserProducts[[#Headers],[Product]], 60)</f>
        <v/>
      </c>
      <c r="H133" s="123" t="str" cm="1">
        <f t="array" ref="H133">Common_InputFunctions.Utility_DisplayArrayInTable(Fertiliser_SourceData.Fertiliser_Products_Data3(),FertiliserProducts[[#Headers],[Product]], 60)</f>
        <v/>
      </c>
      <c r="I133" s="123" t="str" cm="1">
        <f t="array" ref="I133">Common_InputFunctions.Utility_DisplayArrayInTable(Fertiliser_SourceData.Fertiliser_Products_Data3(),FertiliserProducts[[#Headers],[Product]], 60)</f>
        <v/>
      </c>
      <c r="J133" s="123" t="str" cm="1">
        <f t="array" ref="J133">Common_InputFunctions.Utility_DisplayArrayInTable(Fertiliser_SourceData.Fertiliser_Products_Data3(),FertiliserProducts[[#Headers],[Product]], 60)</f>
        <v/>
      </c>
      <c r="K133" s="123" t="str" cm="1">
        <f t="array" ref="K133">Common_InputFunctions.Utility_DisplayArrayInTable(Fertiliser_SourceData.Fertiliser_Products_Data3(),FertiliserProducts[[#Headers],[Product]], 60)</f>
        <v/>
      </c>
      <c r="L133" s="123" t="str" cm="1">
        <f t="array" ref="L133">Common_InputFunctions.Utility_DisplayArrayInTable(Fertiliser_SourceData.Fertiliser_Products_Data3(),FertiliserProducts[[#Headers],[Product]], 60)</f>
        <v/>
      </c>
      <c r="M133" s="123" t="str" cm="1">
        <f t="array" ref="M133">Common_InputFunctions.Utility_DisplayArrayInTable(Fertiliser_SourceData.Fertiliser_Products_Data3(),FertiliserProducts[[#Headers],[Product]], 60)</f>
        <v/>
      </c>
      <c r="N133" s="123" t="str" cm="1">
        <f t="array" ref="N133">Common_InputFunctions.Utility_DisplayArrayInTable(Fertiliser_SourceData.Fertiliser_Products_Data3(),FertiliserProducts[[#Headers],[Product]], 60)</f>
        <v/>
      </c>
      <c r="O133" s="123" t="str" cm="1">
        <f t="array" ref="O133">Common_InputFunctions.Utility_DisplayArrayInTable(Fertiliser_SourceData.Fertiliser_Products_Data3(),FertiliserProducts[[#Headers],[Product]], 60)</f>
        <v/>
      </c>
      <c r="P133" s="123" t="str" cm="1">
        <f t="array" ref="P133">Common_InputFunctions.Utility_DisplayArrayInTable(Fertiliser_SourceData.Fertiliser_Products_Data3(),FertiliserProducts[[#Headers],[Product]], 60)</f>
        <v/>
      </c>
      <c r="Q133" s="123" t="str" cm="1">
        <f t="array" ref="Q133">Common_InputFunctions.Utility_DisplayArrayInTable(Fertiliser_SourceData.Fertiliser_Products_Data3(),FertiliserProducts[[#Headers],[Product]], 60)</f>
        <v/>
      </c>
      <c r="R133" s="123" t="str" cm="1">
        <f t="array" ref="R133">Common_InputFunctions.Utility_DisplayArrayInTable(Fertiliser_SourceData.Fertiliser_Products_Data3(),FertiliserProducts[[#Headers],[Product]], 60)</f>
        <v/>
      </c>
      <c r="S133" s="123" t="str" cm="1">
        <f t="array" ref="S133">Common_InputFunctions.Utility_DisplayArrayInTable(Fertiliser_SourceData.Fertiliser_Products_Data3(),FertiliserProducts[[#Headers],[Product]], 60)</f>
        <v/>
      </c>
      <c r="T133" s="123" t="str" cm="1">
        <f t="array" ref="T133">Common_InputFunctions.Utility_DisplayArrayInTable(Fertiliser_SourceData.Fertiliser_Products_Data3(),FertiliserProducts[[#Headers],[Product]], 60)</f>
        <v/>
      </c>
      <c r="U133" s="123" t="str" cm="1">
        <f t="array" ref="U133">Common_InputFunctions.Utility_DisplayArrayInTable(Fertiliser_SourceData.Fertiliser_Products_Data3(),FertiliserProducts[[#Headers],[Product]], 60)</f>
        <v/>
      </c>
      <c r="V133" s="123" t="str" cm="1">
        <f t="array" ref="V133">Common_InputFunctions.Utility_DisplayArrayInTable(Fertiliser_SourceData.Fertiliser_Products_Data3(),FertiliserProducts[[#Headers],[Product]], 60)</f>
        <v/>
      </c>
      <c r="W133" s="123" t="str" cm="1">
        <f t="array" ref="W133">Common_InputFunctions.Utility_DisplayArrayInTable(Fertiliser_SourceData.Fertiliser_Products_Data3(),FertiliserProducts[[#Headers],[Product]], 60)</f>
        <v>Crop Nutrition Solutions (Yara Australia)</v>
      </c>
    </row>
    <row r="134" spans="4:23" ht="20.100000000000001" customHeight="1" x14ac:dyDescent="0.25">
      <c r="D134" s="123" t="str" cm="1">
        <f t="array" ref="D134">Common_InputFunctions.Utility_DisplayArrayInTable(Fertiliser_SourceData.Fertiliser_Products_Data3(),FertiliserProducts[[#Headers],[Product]], 60)</f>
        <v>Yara Liquids SULSA 11-0-0+12S</v>
      </c>
      <c r="E134" s="123" t="str" cm="1">
        <f t="array" ref="E134">Common_InputFunctions.Utility_DisplayArrayInTable(Fertiliser_SourceData.Fertiliser_Products_Data3(),FertiliserProducts[[#Headers],[Product]], 60)</f>
        <v/>
      </c>
      <c r="F134" s="123" t="str" cm="1">
        <f t="array" ref="F134">Common_InputFunctions.Utility_DisplayArrayInTable(Fertiliser_SourceData.Fertiliser_Products_Data3(),FertiliserProducts[[#Headers],[Product]], 60)</f>
        <v/>
      </c>
      <c r="G134" s="123" t="str" cm="1">
        <f t="array" ref="G134">Common_InputFunctions.Utility_DisplayArrayInTable(Fertiliser_SourceData.Fertiliser_Products_Data3(),FertiliserProducts[[#Headers],[Product]], 60)</f>
        <v/>
      </c>
      <c r="H134" s="123" t="str" cm="1">
        <f t="array" ref="H134">Common_InputFunctions.Utility_DisplayArrayInTable(Fertiliser_SourceData.Fertiliser_Products_Data3(),FertiliserProducts[[#Headers],[Product]], 60)</f>
        <v/>
      </c>
      <c r="I134" s="123" t="str" cm="1">
        <f t="array" ref="I134">Common_InputFunctions.Utility_DisplayArrayInTable(Fertiliser_SourceData.Fertiliser_Products_Data3(),FertiliserProducts[[#Headers],[Product]], 60)</f>
        <v/>
      </c>
      <c r="J134" s="123" t="str" cm="1">
        <f t="array" ref="J134">Common_InputFunctions.Utility_DisplayArrayInTable(Fertiliser_SourceData.Fertiliser_Products_Data3(),FertiliserProducts[[#Headers],[Product]], 60)</f>
        <v/>
      </c>
      <c r="K134" s="123" t="str" cm="1">
        <f t="array" ref="K134">Common_InputFunctions.Utility_DisplayArrayInTable(Fertiliser_SourceData.Fertiliser_Products_Data3(),FertiliserProducts[[#Headers],[Product]], 60)</f>
        <v/>
      </c>
      <c r="L134" s="123" t="str" cm="1">
        <f t="array" ref="L134">Common_InputFunctions.Utility_DisplayArrayInTable(Fertiliser_SourceData.Fertiliser_Products_Data3(),FertiliserProducts[[#Headers],[Product]], 60)</f>
        <v/>
      </c>
      <c r="M134" s="123" t="str" cm="1">
        <f t="array" ref="M134">Common_InputFunctions.Utility_DisplayArrayInTable(Fertiliser_SourceData.Fertiliser_Products_Data3(),FertiliserProducts[[#Headers],[Product]], 60)</f>
        <v/>
      </c>
      <c r="N134" s="123" t="str" cm="1">
        <f t="array" ref="N134">Common_InputFunctions.Utility_DisplayArrayInTable(Fertiliser_SourceData.Fertiliser_Products_Data3(),FertiliserProducts[[#Headers],[Product]], 60)</f>
        <v/>
      </c>
      <c r="O134" s="123" t="str" cm="1">
        <f t="array" ref="O134">Common_InputFunctions.Utility_DisplayArrayInTable(Fertiliser_SourceData.Fertiliser_Products_Data3(),FertiliserProducts[[#Headers],[Product]], 60)</f>
        <v/>
      </c>
      <c r="P134" s="123" t="str" cm="1">
        <f t="array" ref="P134">Common_InputFunctions.Utility_DisplayArrayInTable(Fertiliser_SourceData.Fertiliser_Products_Data3(),FertiliserProducts[[#Headers],[Product]], 60)</f>
        <v/>
      </c>
      <c r="Q134" s="123" t="str" cm="1">
        <f t="array" ref="Q134">Common_InputFunctions.Utility_DisplayArrayInTable(Fertiliser_SourceData.Fertiliser_Products_Data3(),FertiliserProducts[[#Headers],[Product]], 60)</f>
        <v/>
      </c>
      <c r="R134" s="123" t="str" cm="1">
        <f t="array" ref="R134">Common_InputFunctions.Utility_DisplayArrayInTable(Fertiliser_SourceData.Fertiliser_Products_Data3(),FertiliserProducts[[#Headers],[Product]], 60)</f>
        <v/>
      </c>
      <c r="S134" s="123" t="str" cm="1">
        <f t="array" ref="S134">Common_InputFunctions.Utility_DisplayArrayInTable(Fertiliser_SourceData.Fertiliser_Products_Data3(),FertiliserProducts[[#Headers],[Product]], 60)</f>
        <v/>
      </c>
      <c r="T134" s="123" t="str" cm="1">
        <f t="array" ref="T134">Common_InputFunctions.Utility_DisplayArrayInTable(Fertiliser_SourceData.Fertiliser_Products_Data3(),FertiliserProducts[[#Headers],[Product]], 60)</f>
        <v/>
      </c>
      <c r="U134" s="123" t="str" cm="1">
        <f t="array" ref="U134">Common_InputFunctions.Utility_DisplayArrayInTable(Fertiliser_SourceData.Fertiliser_Products_Data3(),FertiliserProducts[[#Headers],[Product]], 60)</f>
        <v/>
      </c>
      <c r="V134" s="123" t="str" cm="1">
        <f t="array" ref="V134">Common_InputFunctions.Utility_DisplayArrayInTable(Fertiliser_SourceData.Fertiliser_Products_Data3(),FertiliserProducts[[#Headers],[Product]], 60)</f>
        <v/>
      </c>
      <c r="W134" s="123" t="str" cm="1">
        <f t="array" ref="W134">Common_InputFunctions.Utility_DisplayArrayInTable(Fertiliser_SourceData.Fertiliser_Products_Data3(),FertiliserProducts[[#Headers],[Product]], 60)</f>
        <v>Crop Nutrition Solutions (Yara Australia)</v>
      </c>
    </row>
    <row r="135" spans="4:23" ht="20.100000000000001" customHeight="1" x14ac:dyDescent="0.25">
      <c r="D135" s="123" t="str" cm="1">
        <f t="array" ref="D135">Common_InputFunctions.Utility_DisplayArrayInTable(Fertiliser_SourceData.Fertiliser_Products_Data3(),FertiliserProducts[[#Headers],[Product]], 60)</f>
        <v>Yara Liquids SULSA 24-3-0+6S</v>
      </c>
      <c r="E135" s="123" t="str" cm="1">
        <f t="array" ref="E135">Common_InputFunctions.Utility_DisplayArrayInTable(Fertiliser_SourceData.Fertiliser_Products_Data3(),FertiliserProducts[[#Headers],[Product]], 60)</f>
        <v/>
      </c>
      <c r="F135" s="123" t="str" cm="1">
        <f t="array" ref="F135">Common_InputFunctions.Utility_DisplayArrayInTable(Fertiliser_SourceData.Fertiliser_Products_Data3(),FertiliserProducts[[#Headers],[Product]], 60)</f>
        <v/>
      </c>
      <c r="G135" s="123" t="str" cm="1">
        <f t="array" ref="G135">Common_InputFunctions.Utility_DisplayArrayInTable(Fertiliser_SourceData.Fertiliser_Products_Data3(),FertiliserProducts[[#Headers],[Product]], 60)</f>
        <v/>
      </c>
      <c r="H135" s="123" t="str" cm="1">
        <f t="array" ref="H135">Common_InputFunctions.Utility_DisplayArrayInTable(Fertiliser_SourceData.Fertiliser_Products_Data3(),FertiliserProducts[[#Headers],[Product]], 60)</f>
        <v/>
      </c>
      <c r="I135" s="123" t="str" cm="1">
        <f t="array" ref="I135">Common_InputFunctions.Utility_DisplayArrayInTable(Fertiliser_SourceData.Fertiliser_Products_Data3(),FertiliserProducts[[#Headers],[Product]], 60)</f>
        <v/>
      </c>
      <c r="J135" s="123" t="str" cm="1">
        <f t="array" ref="J135">Common_InputFunctions.Utility_DisplayArrayInTable(Fertiliser_SourceData.Fertiliser_Products_Data3(),FertiliserProducts[[#Headers],[Product]], 60)</f>
        <v/>
      </c>
      <c r="K135" s="123" t="str" cm="1">
        <f t="array" ref="K135">Common_InputFunctions.Utility_DisplayArrayInTable(Fertiliser_SourceData.Fertiliser_Products_Data3(),FertiliserProducts[[#Headers],[Product]], 60)</f>
        <v/>
      </c>
      <c r="L135" s="123" t="str" cm="1">
        <f t="array" ref="L135">Common_InputFunctions.Utility_DisplayArrayInTable(Fertiliser_SourceData.Fertiliser_Products_Data3(),FertiliserProducts[[#Headers],[Product]], 60)</f>
        <v/>
      </c>
      <c r="M135" s="123" t="str" cm="1">
        <f t="array" ref="M135">Common_InputFunctions.Utility_DisplayArrayInTable(Fertiliser_SourceData.Fertiliser_Products_Data3(),FertiliserProducts[[#Headers],[Product]], 60)</f>
        <v/>
      </c>
      <c r="N135" s="123" t="str" cm="1">
        <f t="array" ref="N135">Common_InputFunctions.Utility_DisplayArrayInTable(Fertiliser_SourceData.Fertiliser_Products_Data3(),FertiliserProducts[[#Headers],[Product]], 60)</f>
        <v/>
      </c>
      <c r="O135" s="123" t="str" cm="1">
        <f t="array" ref="O135">Common_InputFunctions.Utility_DisplayArrayInTable(Fertiliser_SourceData.Fertiliser_Products_Data3(),FertiliserProducts[[#Headers],[Product]], 60)</f>
        <v/>
      </c>
      <c r="P135" s="123" t="str" cm="1">
        <f t="array" ref="P135">Common_InputFunctions.Utility_DisplayArrayInTable(Fertiliser_SourceData.Fertiliser_Products_Data3(),FertiliserProducts[[#Headers],[Product]], 60)</f>
        <v/>
      </c>
      <c r="Q135" s="123" t="str" cm="1">
        <f t="array" ref="Q135">Common_InputFunctions.Utility_DisplayArrayInTable(Fertiliser_SourceData.Fertiliser_Products_Data3(),FertiliserProducts[[#Headers],[Product]], 60)</f>
        <v/>
      </c>
      <c r="R135" s="123" t="str" cm="1">
        <f t="array" ref="R135">Common_InputFunctions.Utility_DisplayArrayInTable(Fertiliser_SourceData.Fertiliser_Products_Data3(),FertiliserProducts[[#Headers],[Product]], 60)</f>
        <v/>
      </c>
      <c r="S135" s="123" t="str" cm="1">
        <f t="array" ref="S135">Common_InputFunctions.Utility_DisplayArrayInTable(Fertiliser_SourceData.Fertiliser_Products_Data3(),FertiliserProducts[[#Headers],[Product]], 60)</f>
        <v/>
      </c>
      <c r="T135" s="123" t="str" cm="1">
        <f t="array" ref="T135">Common_InputFunctions.Utility_DisplayArrayInTable(Fertiliser_SourceData.Fertiliser_Products_Data3(),FertiliserProducts[[#Headers],[Product]], 60)</f>
        <v/>
      </c>
      <c r="U135" s="123" t="str" cm="1">
        <f t="array" ref="U135">Common_InputFunctions.Utility_DisplayArrayInTable(Fertiliser_SourceData.Fertiliser_Products_Data3(),FertiliserProducts[[#Headers],[Product]], 60)</f>
        <v/>
      </c>
      <c r="V135" s="123" t="str" cm="1">
        <f t="array" ref="V135">Common_InputFunctions.Utility_DisplayArrayInTable(Fertiliser_SourceData.Fertiliser_Products_Data3(),FertiliserProducts[[#Headers],[Product]], 60)</f>
        <v/>
      </c>
      <c r="W135" s="123" t="str" cm="1">
        <f t="array" ref="W135">Common_InputFunctions.Utility_DisplayArrayInTable(Fertiliser_SourceData.Fertiliser_Products_Data3(),FertiliserProducts[[#Headers],[Product]], 60)</f>
        <v>Crop Nutrition Solutions (Yara Australia)</v>
      </c>
    </row>
    <row r="136" spans="4:23" ht="20.100000000000001" customHeight="1" x14ac:dyDescent="0.25">
      <c r="D136" s="123" t="str" cm="1">
        <f t="array" ref="D136">Common_InputFunctions.Utility_DisplayArrayInTable(Fertiliser_SourceData.Fertiliser_Products_Data3(),FertiliserProducts[[#Headers],[Product]], 60)</f>
        <v>Yara Liquids SULSA 27-0-0+7S</v>
      </c>
      <c r="E136" s="123" t="str" cm="1">
        <f t="array" ref="E136">Common_InputFunctions.Utility_DisplayArrayInTable(Fertiliser_SourceData.Fertiliser_Products_Data3(),FertiliserProducts[[#Headers],[Product]], 60)</f>
        <v/>
      </c>
      <c r="F136" s="123" t="str" cm="1">
        <f t="array" ref="F136">Common_InputFunctions.Utility_DisplayArrayInTable(Fertiliser_SourceData.Fertiliser_Products_Data3(),FertiliserProducts[[#Headers],[Product]], 60)</f>
        <v/>
      </c>
      <c r="G136" s="123" t="str" cm="1">
        <f t="array" ref="G136">Common_InputFunctions.Utility_DisplayArrayInTable(Fertiliser_SourceData.Fertiliser_Products_Data3(),FertiliserProducts[[#Headers],[Product]], 60)</f>
        <v/>
      </c>
      <c r="H136" s="123" t="str" cm="1">
        <f t="array" ref="H136">Common_InputFunctions.Utility_DisplayArrayInTable(Fertiliser_SourceData.Fertiliser_Products_Data3(),FertiliserProducts[[#Headers],[Product]], 60)</f>
        <v/>
      </c>
      <c r="I136" s="123" t="str" cm="1">
        <f t="array" ref="I136">Common_InputFunctions.Utility_DisplayArrayInTable(Fertiliser_SourceData.Fertiliser_Products_Data3(),FertiliserProducts[[#Headers],[Product]], 60)</f>
        <v/>
      </c>
      <c r="J136" s="123" t="str" cm="1">
        <f t="array" ref="J136">Common_InputFunctions.Utility_DisplayArrayInTable(Fertiliser_SourceData.Fertiliser_Products_Data3(),FertiliserProducts[[#Headers],[Product]], 60)</f>
        <v/>
      </c>
      <c r="K136" s="123" t="str" cm="1">
        <f t="array" ref="K136">Common_InputFunctions.Utility_DisplayArrayInTable(Fertiliser_SourceData.Fertiliser_Products_Data3(),FertiliserProducts[[#Headers],[Product]], 60)</f>
        <v/>
      </c>
      <c r="L136" s="123" t="str" cm="1">
        <f t="array" ref="L136">Common_InputFunctions.Utility_DisplayArrayInTable(Fertiliser_SourceData.Fertiliser_Products_Data3(),FertiliserProducts[[#Headers],[Product]], 60)</f>
        <v/>
      </c>
      <c r="M136" s="123" t="str" cm="1">
        <f t="array" ref="M136">Common_InputFunctions.Utility_DisplayArrayInTable(Fertiliser_SourceData.Fertiliser_Products_Data3(),FertiliserProducts[[#Headers],[Product]], 60)</f>
        <v/>
      </c>
      <c r="N136" s="123" t="str" cm="1">
        <f t="array" ref="N136">Common_InputFunctions.Utility_DisplayArrayInTable(Fertiliser_SourceData.Fertiliser_Products_Data3(),FertiliserProducts[[#Headers],[Product]], 60)</f>
        <v/>
      </c>
      <c r="O136" s="123" t="str" cm="1">
        <f t="array" ref="O136">Common_InputFunctions.Utility_DisplayArrayInTable(Fertiliser_SourceData.Fertiliser_Products_Data3(),FertiliserProducts[[#Headers],[Product]], 60)</f>
        <v/>
      </c>
      <c r="P136" s="123" t="str" cm="1">
        <f t="array" ref="P136">Common_InputFunctions.Utility_DisplayArrayInTable(Fertiliser_SourceData.Fertiliser_Products_Data3(),FertiliserProducts[[#Headers],[Product]], 60)</f>
        <v/>
      </c>
      <c r="Q136" s="123" t="str" cm="1">
        <f t="array" ref="Q136">Common_InputFunctions.Utility_DisplayArrayInTable(Fertiliser_SourceData.Fertiliser_Products_Data3(),FertiliserProducts[[#Headers],[Product]], 60)</f>
        <v/>
      </c>
      <c r="R136" s="123" t="str" cm="1">
        <f t="array" ref="R136">Common_InputFunctions.Utility_DisplayArrayInTable(Fertiliser_SourceData.Fertiliser_Products_Data3(),FertiliserProducts[[#Headers],[Product]], 60)</f>
        <v/>
      </c>
      <c r="S136" s="123" t="str" cm="1">
        <f t="array" ref="S136">Common_InputFunctions.Utility_DisplayArrayInTable(Fertiliser_SourceData.Fertiliser_Products_Data3(),FertiliserProducts[[#Headers],[Product]], 60)</f>
        <v/>
      </c>
      <c r="T136" s="123" t="str" cm="1">
        <f t="array" ref="T136">Common_InputFunctions.Utility_DisplayArrayInTable(Fertiliser_SourceData.Fertiliser_Products_Data3(),FertiliserProducts[[#Headers],[Product]], 60)</f>
        <v/>
      </c>
      <c r="U136" s="123" t="str" cm="1">
        <f t="array" ref="U136">Common_InputFunctions.Utility_DisplayArrayInTable(Fertiliser_SourceData.Fertiliser_Products_Data3(),FertiliserProducts[[#Headers],[Product]], 60)</f>
        <v/>
      </c>
      <c r="V136" s="123" t="str" cm="1">
        <f t="array" ref="V136">Common_InputFunctions.Utility_DisplayArrayInTable(Fertiliser_SourceData.Fertiliser_Products_Data3(),FertiliserProducts[[#Headers],[Product]], 60)</f>
        <v/>
      </c>
      <c r="W136" s="123" t="str" cm="1">
        <f t="array" ref="W136">Common_InputFunctions.Utility_DisplayArrayInTable(Fertiliser_SourceData.Fertiliser_Products_Data3(),FertiliserProducts[[#Headers],[Product]], 60)</f>
        <v>Crop Nutrition Solutions (Yara Australia)</v>
      </c>
    </row>
    <row r="137" spans="4:23" ht="20.100000000000001" customHeight="1" x14ac:dyDescent="0.25">
      <c r="D137" s="123" t="str" cm="1">
        <f t="array" ref="D137">Common_InputFunctions.Utility_DisplayArrayInTable(Fertiliser_SourceData.Fertiliser_Products_Data3(),FertiliserProducts[[#Headers],[Product]], 60)</f>
        <v>Yara Liquids SULSA 36-0-0+3S</v>
      </c>
      <c r="E137" s="123" t="str" cm="1">
        <f t="array" ref="E137">Common_InputFunctions.Utility_DisplayArrayInTable(Fertiliser_SourceData.Fertiliser_Products_Data3(),FertiliserProducts[[#Headers],[Product]], 60)</f>
        <v/>
      </c>
      <c r="F137" s="123" t="str" cm="1">
        <f t="array" ref="F137">Common_InputFunctions.Utility_DisplayArrayInTable(Fertiliser_SourceData.Fertiliser_Products_Data3(),FertiliserProducts[[#Headers],[Product]], 60)</f>
        <v/>
      </c>
      <c r="G137" s="123" t="str" cm="1">
        <f t="array" ref="G137">Common_InputFunctions.Utility_DisplayArrayInTable(Fertiliser_SourceData.Fertiliser_Products_Data3(),FertiliserProducts[[#Headers],[Product]], 60)</f>
        <v/>
      </c>
      <c r="H137" s="123" t="str" cm="1">
        <f t="array" ref="H137">Common_InputFunctions.Utility_DisplayArrayInTable(Fertiliser_SourceData.Fertiliser_Products_Data3(),FertiliserProducts[[#Headers],[Product]], 60)</f>
        <v/>
      </c>
      <c r="I137" s="123" t="str" cm="1">
        <f t="array" ref="I137">Common_InputFunctions.Utility_DisplayArrayInTable(Fertiliser_SourceData.Fertiliser_Products_Data3(),FertiliserProducts[[#Headers],[Product]], 60)</f>
        <v/>
      </c>
      <c r="J137" s="123" t="str" cm="1">
        <f t="array" ref="J137">Common_InputFunctions.Utility_DisplayArrayInTable(Fertiliser_SourceData.Fertiliser_Products_Data3(),FertiliserProducts[[#Headers],[Product]], 60)</f>
        <v/>
      </c>
      <c r="K137" s="123" t="str" cm="1">
        <f t="array" ref="K137">Common_InputFunctions.Utility_DisplayArrayInTable(Fertiliser_SourceData.Fertiliser_Products_Data3(),FertiliserProducts[[#Headers],[Product]], 60)</f>
        <v/>
      </c>
      <c r="L137" s="123" t="str" cm="1">
        <f t="array" ref="L137">Common_InputFunctions.Utility_DisplayArrayInTable(Fertiliser_SourceData.Fertiliser_Products_Data3(),FertiliserProducts[[#Headers],[Product]], 60)</f>
        <v/>
      </c>
      <c r="M137" s="123" t="str" cm="1">
        <f t="array" ref="M137">Common_InputFunctions.Utility_DisplayArrayInTable(Fertiliser_SourceData.Fertiliser_Products_Data3(),FertiliserProducts[[#Headers],[Product]], 60)</f>
        <v/>
      </c>
      <c r="N137" s="123" t="str" cm="1">
        <f t="array" ref="N137">Common_InputFunctions.Utility_DisplayArrayInTable(Fertiliser_SourceData.Fertiliser_Products_Data3(),FertiliserProducts[[#Headers],[Product]], 60)</f>
        <v/>
      </c>
      <c r="O137" s="123" t="str" cm="1">
        <f t="array" ref="O137">Common_InputFunctions.Utility_DisplayArrayInTable(Fertiliser_SourceData.Fertiliser_Products_Data3(),FertiliserProducts[[#Headers],[Product]], 60)</f>
        <v/>
      </c>
      <c r="P137" s="123" t="str" cm="1">
        <f t="array" ref="P137">Common_InputFunctions.Utility_DisplayArrayInTable(Fertiliser_SourceData.Fertiliser_Products_Data3(),FertiliserProducts[[#Headers],[Product]], 60)</f>
        <v/>
      </c>
      <c r="Q137" s="123" t="str" cm="1">
        <f t="array" ref="Q137">Common_InputFunctions.Utility_DisplayArrayInTable(Fertiliser_SourceData.Fertiliser_Products_Data3(),FertiliserProducts[[#Headers],[Product]], 60)</f>
        <v/>
      </c>
      <c r="R137" s="123" t="str" cm="1">
        <f t="array" ref="R137">Common_InputFunctions.Utility_DisplayArrayInTable(Fertiliser_SourceData.Fertiliser_Products_Data3(),FertiliserProducts[[#Headers],[Product]], 60)</f>
        <v/>
      </c>
      <c r="S137" s="123" t="str" cm="1">
        <f t="array" ref="S137">Common_InputFunctions.Utility_DisplayArrayInTable(Fertiliser_SourceData.Fertiliser_Products_Data3(),FertiliserProducts[[#Headers],[Product]], 60)</f>
        <v/>
      </c>
      <c r="T137" s="123" t="str" cm="1">
        <f t="array" ref="T137">Common_InputFunctions.Utility_DisplayArrayInTable(Fertiliser_SourceData.Fertiliser_Products_Data3(),FertiliserProducts[[#Headers],[Product]], 60)</f>
        <v/>
      </c>
      <c r="U137" s="123" t="str" cm="1">
        <f t="array" ref="U137">Common_InputFunctions.Utility_DisplayArrayInTable(Fertiliser_SourceData.Fertiliser_Products_Data3(),FertiliserProducts[[#Headers],[Product]], 60)</f>
        <v/>
      </c>
      <c r="V137" s="123" t="str" cm="1">
        <f t="array" ref="V137">Common_InputFunctions.Utility_DisplayArrayInTable(Fertiliser_SourceData.Fertiliser_Products_Data3(),FertiliserProducts[[#Headers],[Product]], 60)</f>
        <v/>
      </c>
      <c r="W137" s="123" t="str" cm="1">
        <f t="array" ref="W137">Common_InputFunctions.Utility_DisplayArrayInTable(Fertiliser_SourceData.Fertiliser_Products_Data3(),FertiliserProducts[[#Headers],[Product]], 60)</f>
        <v>Crop Nutrition Solutions (Yara Australia)</v>
      </c>
    </row>
    <row r="138" spans="4:23" ht="20.100000000000001" customHeight="1" x14ac:dyDescent="0.25">
      <c r="D138" s="123" t="str" cm="1">
        <f t="array" ref="D138">Common_InputFunctions.Utility_DisplayArrayInTable(Fertiliser_SourceData.Fertiliser_Products_Data3(),FertiliserProducts[[#Headers],[Product]], 60)</f>
        <v>YaraLiva CALCINIT B</v>
      </c>
      <c r="E138" s="123" t="str" cm="1">
        <f t="array" ref="E138">Common_InputFunctions.Utility_DisplayArrayInTable(Fertiliser_SourceData.Fertiliser_Products_Data3(),FertiliserProducts[[#Headers],[Product]], 60)</f>
        <v/>
      </c>
      <c r="F138" s="123" t="str" cm="1">
        <f t="array" ref="F138">Common_InputFunctions.Utility_DisplayArrayInTable(Fertiliser_SourceData.Fertiliser_Products_Data3(),FertiliserProducts[[#Headers],[Product]], 60)</f>
        <v/>
      </c>
      <c r="G138" s="123" t="str" cm="1">
        <f t="array" ref="G138">Common_InputFunctions.Utility_DisplayArrayInTable(Fertiliser_SourceData.Fertiliser_Products_Data3(),FertiliserProducts[[#Headers],[Product]], 60)</f>
        <v/>
      </c>
      <c r="H138" s="123" t="str" cm="1">
        <f t="array" ref="H138">Common_InputFunctions.Utility_DisplayArrayInTable(Fertiliser_SourceData.Fertiliser_Products_Data3(),FertiliserProducts[[#Headers],[Product]], 60)</f>
        <v/>
      </c>
      <c r="I138" s="123" t="str" cm="1">
        <f t="array" ref="I138">Common_InputFunctions.Utility_DisplayArrayInTable(Fertiliser_SourceData.Fertiliser_Products_Data3(),FertiliserProducts[[#Headers],[Product]], 60)</f>
        <v/>
      </c>
      <c r="J138" s="123" t="str" cm="1">
        <f t="array" ref="J138">Common_InputFunctions.Utility_DisplayArrayInTable(Fertiliser_SourceData.Fertiliser_Products_Data3(),FertiliserProducts[[#Headers],[Product]], 60)</f>
        <v/>
      </c>
      <c r="K138" s="123" t="str" cm="1">
        <f t="array" ref="K138">Common_InputFunctions.Utility_DisplayArrayInTable(Fertiliser_SourceData.Fertiliser_Products_Data3(),FertiliserProducts[[#Headers],[Product]], 60)</f>
        <v/>
      </c>
      <c r="L138" s="123" t="str" cm="1">
        <f t="array" ref="L138">Common_InputFunctions.Utility_DisplayArrayInTable(Fertiliser_SourceData.Fertiliser_Products_Data3(),FertiliserProducts[[#Headers],[Product]], 60)</f>
        <v/>
      </c>
      <c r="M138" s="123" t="str" cm="1">
        <f t="array" ref="M138">Common_InputFunctions.Utility_DisplayArrayInTable(Fertiliser_SourceData.Fertiliser_Products_Data3(),FertiliserProducts[[#Headers],[Product]], 60)</f>
        <v/>
      </c>
      <c r="N138" s="123" t="str" cm="1">
        <f t="array" ref="N138">Common_InputFunctions.Utility_DisplayArrayInTable(Fertiliser_SourceData.Fertiliser_Products_Data3(),FertiliserProducts[[#Headers],[Product]], 60)</f>
        <v/>
      </c>
      <c r="O138" s="123" t="str" cm="1">
        <f t="array" ref="O138">Common_InputFunctions.Utility_DisplayArrayInTable(Fertiliser_SourceData.Fertiliser_Products_Data3(),FertiliserProducts[[#Headers],[Product]], 60)</f>
        <v/>
      </c>
      <c r="P138" s="123" t="str" cm="1">
        <f t="array" ref="P138">Common_InputFunctions.Utility_DisplayArrayInTable(Fertiliser_SourceData.Fertiliser_Products_Data3(),FertiliserProducts[[#Headers],[Product]], 60)</f>
        <v/>
      </c>
      <c r="Q138" s="123" t="str" cm="1">
        <f t="array" ref="Q138">Common_InputFunctions.Utility_DisplayArrayInTable(Fertiliser_SourceData.Fertiliser_Products_Data3(),FertiliserProducts[[#Headers],[Product]], 60)</f>
        <v/>
      </c>
      <c r="R138" s="123" t="str" cm="1">
        <f t="array" ref="R138">Common_InputFunctions.Utility_DisplayArrayInTable(Fertiliser_SourceData.Fertiliser_Products_Data3(),FertiliserProducts[[#Headers],[Product]], 60)</f>
        <v/>
      </c>
      <c r="S138" s="123" t="str" cm="1">
        <f t="array" ref="S138">Common_InputFunctions.Utility_DisplayArrayInTable(Fertiliser_SourceData.Fertiliser_Products_Data3(),FertiliserProducts[[#Headers],[Product]], 60)</f>
        <v/>
      </c>
      <c r="T138" s="123" t="str" cm="1">
        <f t="array" ref="T138">Common_InputFunctions.Utility_DisplayArrayInTable(Fertiliser_SourceData.Fertiliser_Products_Data3(),FertiliserProducts[[#Headers],[Product]], 60)</f>
        <v/>
      </c>
      <c r="U138" s="123" t="str" cm="1">
        <f t="array" ref="U138">Common_InputFunctions.Utility_DisplayArrayInTable(Fertiliser_SourceData.Fertiliser_Products_Data3(),FertiliserProducts[[#Headers],[Product]], 60)</f>
        <v/>
      </c>
      <c r="V138" s="123" t="str" cm="1">
        <f t="array" ref="V138">Common_InputFunctions.Utility_DisplayArrayInTable(Fertiliser_SourceData.Fertiliser_Products_Data3(),FertiliserProducts[[#Headers],[Product]], 60)</f>
        <v/>
      </c>
      <c r="W138" s="123" t="str" cm="1">
        <f t="array" ref="W138">Common_InputFunctions.Utility_DisplayArrayInTable(Fertiliser_SourceData.Fertiliser_Products_Data3(),FertiliserProducts[[#Headers],[Product]], 60)</f>
        <v>Crop Nutrition Solutions (Yara Australia)</v>
      </c>
    </row>
    <row r="139" spans="4:23" ht="20.100000000000001" customHeight="1" x14ac:dyDescent="0.25">
      <c r="D139" s="123" t="str" cm="1">
        <f t="array" ref="D139">Common_InputFunctions.Utility_DisplayArrayInTable(Fertiliser_SourceData.Fertiliser_Products_Data3(),FertiliserProducts[[#Headers],[Product]], 60)</f>
        <v>YaraLiva NITRABOR</v>
      </c>
      <c r="E139" s="123" t="str" cm="1">
        <f t="array" ref="E139">Common_InputFunctions.Utility_DisplayArrayInTable(Fertiliser_SourceData.Fertiliser_Products_Data3(),FertiliserProducts[[#Headers],[Product]], 60)</f>
        <v/>
      </c>
      <c r="F139" s="123" t="str" cm="1">
        <f t="array" ref="F139">Common_InputFunctions.Utility_DisplayArrayInTable(Fertiliser_SourceData.Fertiliser_Products_Data3(),FertiliserProducts[[#Headers],[Product]], 60)</f>
        <v/>
      </c>
      <c r="G139" s="123" t="str" cm="1">
        <f t="array" ref="G139">Common_InputFunctions.Utility_DisplayArrayInTable(Fertiliser_SourceData.Fertiliser_Products_Data3(),FertiliserProducts[[#Headers],[Product]], 60)</f>
        <v/>
      </c>
      <c r="H139" s="123" t="str" cm="1">
        <f t="array" ref="H139">Common_InputFunctions.Utility_DisplayArrayInTable(Fertiliser_SourceData.Fertiliser_Products_Data3(),FertiliserProducts[[#Headers],[Product]], 60)</f>
        <v/>
      </c>
      <c r="I139" s="123" t="str" cm="1">
        <f t="array" ref="I139">Common_InputFunctions.Utility_DisplayArrayInTable(Fertiliser_SourceData.Fertiliser_Products_Data3(),FertiliserProducts[[#Headers],[Product]], 60)</f>
        <v/>
      </c>
      <c r="J139" s="123" t="str" cm="1">
        <f t="array" ref="J139">Common_InputFunctions.Utility_DisplayArrayInTable(Fertiliser_SourceData.Fertiliser_Products_Data3(),FertiliserProducts[[#Headers],[Product]], 60)</f>
        <v/>
      </c>
      <c r="K139" s="123" t="str" cm="1">
        <f t="array" ref="K139">Common_InputFunctions.Utility_DisplayArrayInTable(Fertiliser_SourceData.Fertiliser_Products_Data3(),FertiliserProducts[[#Headers],[Product]], 60)</f>
        <v/>
      </c>
      <c r="L139" s="123" t="str" cm="1">
        <f t="array" ref="L139">Common_InputFunctions.Utility_DisplayArrayInTable(Fertiliser_SourceData.Fertiliser_Products_Data3(),FertiliserProducts[[#Headers],[Product]], 60)</f>
        <v/>
      </c>
      <c r="M139" s="123" t="str" cm="1">
        <f t="array" ref="M139">Common_InputFunctions.Utility_DisplayArrayInTable(Fertiliser_SourceData.Fertiliser_Products_Data3(),FertiliserProducts[[#Headers],[Product]], 60)</f>
        <v/>
      </c>
      <c r="N139" s="123" t="str" cm="1">
        <f t="array" ref="N139">Common_InputFunctions.Utility_DisplayArrayInTable(Fertiliser_SourceData.Fertiliser_Products_Data3(),FertiliserProducts[[#Headers],[Product]], 60)</f>
        <v/>
      </c>
      <c r="O139" s="123" t="str" cm="1">
        <f t="array" ref="O139">Common_InputFunctions.Utility_DisplayArrayInTable(Fertiliser_SourceData.Fertiliser_Products_Data3(),FertiliserProducts[[#Headers],[Product]], 60)</f>
        <v/>
      </c>
      <c r="P139" s="123" t="str" cm="1">
        <f t="array" ref="P139">Common_InputFunctions.Utility_DisplayArrayInTable(Fertiliser_SourceData.Fertiliser_Products_Data3(),FertiliserProducts[[#Headers],[Product]], 60)</f>
        <v/>
      </c>
      <c r="Q139" s="123" t="str" cm="1">
        <f t="array" ref="Q139">Common_InputFunctions.Utility_DisplayArrayInTable(Fertiliser_SourceData.Fertiliser_Products_Data3(),FertiliserProducts[[#Headers],[Product]], 60)</f>
        <v/>
      </c>
      <c r="R139" s="123" t="str" cm="1">
        <f t="array" ref="R139">Common_InputFunctions.Utility_DisplayArrayInTable(Fertiliser_SourceData.Fertiliser_Products_Data3(),FertiliserProducts[[#Headers],[Product]], 60)</f>
        <v/>
      </c>
      <c r="S139" s="123" t="str" cm="1">
        <f t="array" ref="S139">Common_InputFunctions.Utility_DisplayArrayInTable(Fertiliser_SourceData.Fertiliser_Products_Data3(),FertiliserProducts[[#Headers],[Product]], 60)</f>
        <v/>
      </c>
      <c r="T139" s="123" t="str" cm="1">
        <f t="array" ref="T139">Common_InputFunctions.Utility_DisplayArrayInTable(Fertiliser_SourceData.Fertiliser_Products_Data3(),FertiliserProducts[[#Headers],[Product]], 60)</f>
        <v/>
      </c>
      <c r="U139" s="123" t="str" cm="1">
        <f t="array" ref="U139">Common_InputFunctions.Utility_DisplayArrayInTable(Fertiliser_SourceData.Fertiliser_Products_Data3(),FertiliserProducts[[#Headers],[Product]], 60)</f>
        <v/>
      </c>
      <c r="V139" s="123" t="str" cm="1">
        <f t="array" ref="V139">Common_InputFunctions.Utility_DisplayArrayInTable(Fertiliser_SourceData.Fertiliser_Products_Data3(),FertiliserProducts[[#Headers],[Product]], 60)</f>
        <v/>
      </c>
      <c r="W139" s="123" t="str" cm="1">
        <f t="array" ref="W139">Common_InputFunctions.Utility_DisplayArrayInTable(Fertiliser_SourceData.Fertiliser_Products_Data3(),FertiliserProducts[[#Headers],[Product]], 60)</f>
        <v>YaraLiva NITRABOR | Yara Australia</v>
      </c>
    </row>
    <row r="140" spans="4:23" ht="20.100000000000001" customHeight="1" x14ac:dyDescent="0.25">
      <c r="D140" s="123" t="str" cm="1">
        <f t="array" ref="D140">Common_InputFunctions.Utility_DisplayArrayInTable(Fertiliser_SourceData.Fertiliser_Products_Data3(),FertiliserProducts[[#Headers],[Product]], 60)</f>
        <v>YaraLiva TROPICOTE</v>
      </c>
      <c r="E140" s="123" t="str" cm="1">
        <f t="array" ref="E140">Common_InputFunctions.Utility_DisplayArrayInTable(Fertiliser_SourceData.Fertiliser_Products_Data3(),FertiliserProducts[[#Headers],[Product]], 60)</f>
        <v/>
      </c>
      <c r="F140" s="123" t="str" cm="1">
        <f t="array" ref="F140">Common_InputFunctions.Utility_DisplayArrayInTable(Fertiliser_SourceData.Fertiliser_Products_Data3(),FertiliserProducts[[#Headers],[Product]], 60)</f>
        <v/>
      </c>
      <c r="G140" s="123" t="str" cm="1">
        <f t="array" ref="G140">Common_InputFunctions.Utility_DisplayArrayInTable(Fertiliser_SourceData.Fertiliser_Products_Data3(),FertiliserProducts[[#Headers],[Product]], 60)</f>
        <v/>
      </c>
      <c r="H140" s="123" t="str" cm="1">
        <f t="array" ref="H140">Common_InputFunctions.Utility_DisplayArrayInTable(Fertiliser_SourceData.Fertiliser_Products_Data3(),FertiliserProducts[[#Headers],[Product]], 60)</f>
        <v/>
      </c>
      <c r="I140" s="123" t="str" cm="1">
        <f t="array" ref="I140">Common_InputFunctions.Utility_DisplayArrayInTable(Fertiliser_SourceData.Fertiliser_Products_Data3(),FertiliserProducts[[#Headers],[Product]], 60)</f>
        <v/>
      </c>
      <c r="J140" s="123" t="str" cm="1">
        <f t="array" ref="J140">Common_InputFunctions.Utility_DisplayArrayInTable(Fertiliser_SourceData.Fertiliser_Products_Data3(),FertiliserProducts[[#Headers],[Product]], 60)</f>
        <v/>
      </c>
      <c r="K140" s="123" t="str" cm="1">
        <f t="array" ref="K140">Common_InputFunctions.Utility_DisplayArrayInTable(Fertiliser_SourceData.Fertiliser_Products_Data3(),FertiliserProducts[[#Headers],[Product]], 60)</f>
        <v/>
      </c>
      <c r="L140" s="123" t="str" cm="1">
        <f t="array" ref="L140">Common_InputFunctions.Utility_DisplayArrayInTable(Fertiliser_SourceData.Fertiliser_Products_Data3(),FertiliserProducts[[#Headers],[Product]], 60)</f>
        <v/>
      </c>
      <c r="M140" s="123" t="str" cm="1">
        <f t="array" ref="M140">Common_InputFunctions.Utility_DisplayArrayInTable(Fertiliser_SourceData.Fertiliser_Products_Data3(),FertiliserProducts[[#Headers],[Product]], 60)</f>
        <v/>
      </c>
      <c r="N140" s="123" t="str" cm="1">
        <f t="array" ref="N140">Common_InputFunctions.Utility_DisplayArrayInTable(Fertiliser_SourceData.Fertiliser_Products_Data3(),FertiliserProducts[[#Headers],[Product]], 60)</f>
        <v/>
      </c>
      <c r="O140" s="123" t="str" cm="1">
        <f t="array" ref="O140">Common_InputFunctions.Utility_DisplayArrayInTable(Fertiliser_SourceData.Fertiliser_Products_Data3(),FertiliserProducts[[#Headers],[Product]], 60)</f>
        <v/>
      </c>
      <c r="P140" s="123" t="str" cm="1">
        <f t="array" ref="P140">Common_InputFunctions.Utility_DisplayArrayInTable(Fertiliser_SourceData.Fertiliser_Products_Data3(),FertiliserProducts[[#Headers],[Product]], 60)</f>
        <v/>
      </c>
      <c r="Q140" s="123" t="str" cm="1">
        <f t="array" ref="Q140">Common_InputFunctions.Utility_DisplayArrayInTable(Fertiliser_SourceData.Fertiliser_Products_Data3(),FertiliserProducts[[#Headers],[Product]], 60)</f>
        <v/>
      </c>
      <c r="R140" s="123" t="str" cm="1">
        <f t="array" ref="R140">Common_InputFunctions.Utility_DisplayArrayInTable(Fertiliser_SourceData.Fertiliser_Products_Data3(),FertiliserProducts[[#Headers],[Product]], 60)</f>
        <v/>
      </c>
      <c r="S140" s="123" t="str" cm="1">
        <f t="array" ref="S140">Common_InputFunctions.Utility_DisplayArrayInTable(Fertiliser_SourceData.Fertiliser_Products_Data3(),FertiliserProducts[[#Headers],[Product]], 60)</f>
        <v/>
      </c>
      <c r="T140" s="123" t="str" cm="1">
        <f t="array" ref="T140">Common_InputFunctions.Utility_DisplayArrayInTable(Fertiliser_SourceData.Fertiliser_Products_Data3(),FertiliserProducts[[#Headers],[Product]], 60)</f>
        <v/>
      </c>
      <c r="U140" s="123" t="str" cm="1">
        <f t="array" ref="U140">Common_InputFunctions.Utility_DisplayArrayInTable(Fertiliser_SourceData.Fertiliser_Products_Data3(),FertiliserProducts[[#Headers],[Product]], 60)</f>
        <v/>
      </c>
      <c r="V140" s="123" t="str" cm="1">
        <f t="array" ref="V140">Common_InputFunctions.Utility_DisplayArrayInTable(Fertiliser_SourceData.Fertiliser_Products_Data3(),FertiliserProducts[[#Headers],[Product]], 60)</f>
        <v/>
      </c>
      <c r="W140" s="123" t="str" cm="1">
        <f t="array" ref="W140">Common_InputFunctions.Utility_DisplayArrayInTable(Fertiliser_SourceData.Fertiliser_Products_Data3(),FertiliserProducts[[#Headers],[Product]], 60)</f>
        <v>Crop Nutrition Solutions (Yara Australia)</v>
      </c>
    </row>
    <row r="141" spans="4:23" ht="20.100000000000001" customHeight="1" x14ac:dyDescent="0.25">
      <c r="D141" s="123" t="str" cm="1">
        <f t="array" ref="D141">Common_InputFunctions.Utility_DisplayArrayInTable(Fertiliser_SourceData.Fertiliser_Products_Data3(),FertiliserProducts[[#Headers],[Product]], 60)</f>
        <v>YaraMila Complex</v>
      </c>
      <c r="E141" s="123" t="str" cm="1">
        <f t="array" ref="E141">Common_InputFunctions.Utility_DisplayArrayInTable(Fertiliser_SourceData.Fertiliser_Products_Data3(),FertiliserProducts[[#Headers],[Product]], 60)</f>
        <v/>
      </c>
      <c r="F141" s="123" t="str" cm="1">
        <f t="array" ref="F141">Common_InputFunctions.Utility_DisplayArrayInTable(Fertiliser_SourceData.Fertiliser_Products_Data3(),FertiliserProducts[[#Headers],[Product]], 60)</f>
        <v/>
      </c>
      <c r="G141" s="123" t="str" cm="1">
        <f t="array" ref="G141">Common_InputFunctions.Utility_DisplayArrayInTable(Fertiliser_SourceData.Fertiliser_Products_Data3(),FertiliserProducts[[#Headers],[Product]], 60)</f>
        <v/>
      </c>
      <c r="H141" s="123" t="str" cm="1">
        <f t="array" ref="H141">Common_InputFunctions.Utility_DisplayArrayInTable(Fertiliser_SourceData.Fertiliser_Products_Data3(),FertiliserProducts[[#Headers],[Product]], 60)</f>
        <v/>
      </c>
      <c r="I141" s="123" t="str" cm="1">
        <f t="array" ref="I141">Common_InputFunctions.Utility_DisplayArrayInTable(Fertiliser_SourceData.Fertiliser_Products_Data3(),FertiliserProducts[[#Headers],[Product]], 60)</f>
        <v/>
      </c>
      <c r="J141" s="123" t="str" cm="1">
        <f t="array" ref="J141">Common_InputFunctions.Utility_DisplayArrayInTable(Fertiliser_SourceData.Fertiliser_Products_Data3(),FertiliserProducts[[#Headers],[Product]], 60)</f>
        <v/>
      </c>
      <c r="K141" s="123" t="str" cm="1">
        <f t="array" ref="K141">Common_InputFunctions.Utility_DisplayArrayInTable(Fertiliser_SourceData.Fertiliser_Products_Data3(),FertiliserProducts[[#Headers],[Product]], 60)</f>
        <v/>
      </c>
      <c r="L141" s="123" t="str" cm="1">
        <f t="array" ref="L141">Common_InputFunctions.Utility_DisplayArrayInTable(Fertiliser_SourceData.Fertiliser_Products_Data3(),FertiliserProducts[[#Headers],[Product]], 60)</f>
        <v/>
      </c>
      <c r="M141" s="123" t="str" cm="1">
        <f t="array" ref="M141">Common_InputFunctions.Utility_DisplayArrayInTable(Fertiliser_SourceData.Fertiliser_Products_Data3(),FertiliserProducts[[#Headers],[Product]], 60)</f>
        <v/>
      </c>
      <c r="N141" s="123" t="str" cm="1">
        <f t="array" ref="N141">Common_InputFunctions.Utility_DisplayArrayInTable(Fertiliser_SourceData.Fertiliser_Products_Data3(),FertiliserProducts[[#Headers],[Product]], 60)</f>
        <v/>
      </c>
      <c r="O141" s="123" t="str" cm="1">
        <f t="array" ref="O141">Common_InputFunctions.Utility_DisplayArrayInTable(Fertiliser_SourceData.Fertiliser_Products_Data3(),FertiliserProducts[[#Headers],[Product]], 60)</f>
        <v/>
      </c>
      <c r="P141" s="123" t="str" cm="1">
        <f t="array" ref="P141">Common_InputFunctions.Utility_DisplayArrayInTable(Fertiliser_SourceData.Fertiliser_Products_Data3(),FertiliserProducts[[#Headers],[Product]], 60)</f>
        <v/>
      </c>
      <c r="Q141" s="123" t="str" cm="1">
        <f t="array" ref="Q141">Common_InputFunctions.Utility_DisplayArrayInTable(Fertiliser_SourceData.Fertiliser_Products_Data3(),FertiliserProducts[[#Headers],[Product]], 60)</f>
        <v/>
      </c>
      <c r="R141" s="123" t="str" cm="1">
        <f t="array" ref="R141">Common_InputFunctions.Utility_DisplayArrayInTable(Fertiliser_SourceData.Fertiliser_Products_Data3(),FertiliserProducts[[#Headers],[Product]], 60)</f>
        <v/>
      </c>
      <c r="S141" s="123" t="str" cm="1">
        <f t="array" ref="S141">Common_InputFunctions.Utility_DisplayArrayInTable(Fertiliser_SourceData.Fertiliser_Products_Data3(),FertiliserProducts[[#Headers],[Product]], 60)</f>
        <v/>
      </c>
      <c r="T141" s="123" t="str" cm="1">
        <f t="array" ref="T141">Common_InputFunctions.Utility_DisplayArrayInTable(Fertiliser_SourceData.Fertiliser_Products_Data3(),FertiliserProducts[[#Headers],[Product]], 60)</f>
        <v/>
      </c>
      <c r="U141" s="123" t="str" cm="1">
        <f t="array" ref="U141">Common_InputFunctions.Utility_DisplayArrayInTable(Fertiliser_SourceData.Fertiliser_Products_Data3(),FertiliserProducts[[#Headers],[Product]], 60)</f>
        <v/>
      </c>
      <c r="V141" s="123" t="str" cm="1">
        <f t="array" ref="V141">Common_InputFunctions.Utility_DisplayArrayInTable(Fertiliser_SourceData.Fertiliser_Products_Data3(),FertiliserProducts[[#Headers],[Product]], 60)</f>
        <v/>
      </c>
      <c r="W141" s="123" t="str" cm="1">
        <f t="array" ref="W141">Common_InputFunctions.Utility_DisplayArrayInTable(Fertiliser_SourceData.Fertiliser_Products_Data3(),FertiliserProducts[[#Headers],[Product]], 60)</f>
        <v>Crop Nutrition Solutions (Yara Australia)</v>
      </c>
    </row>
    <row r="142" spans="4:23" ht="20.100000000000001" customHeight="1" x14ac:dyDescent="0.25">
      <c r="D142" s="123" t="str" cm="1">
        <f t="array" ref="D142">Common_InputFunctions.Utility_DisplayArrayInTable(Fertiliser_SourceData.Fertiliser_Products_Data3(),FertiliserProducts[[#Headers],[Product]], 60)</f>
        <v>YaraMila Complex 17-5-10(4)</v>
      </c>
      <c r="E142" s="123" t="str" cm="1">
        <f t="array" ref="E142">Common_InputFunctions.Utility_DisplayArrayInTable(Fertiliser_SourceData.Fertiliser_Products_Data3(),FertiliserProducts[[#Headers],[Product]], 60)</f>
        <v/>
      </c>
      <c r="F142" s="123" t="str" cm="1">
        <f t="array" ref="F142">Common_InputFunctions.Utility_DisplayArrayInTable(Fertiliser_SourceData.Fertiliser_Products_Data3(),FertiliserProducts[[#Headers],[Product]], 60)</f>
        <v/>
      </c>
      <c r="G142" s="123" t="str" cm="1">
        <f t="array" ref="G142">Common_InputFunctions.Utility_DisplayArrayInTable(Fertiliser_SourceData.Fertiliser_Products_Data3(),FertiliserProducts[[#Headers],[Product]], 60)</f>
        <v/>
      </c>
      <c r="H142" s="123" t="str" cm="1">
        <f t="array" ref="H142">Common_InputFunctions.Utility_DisplayArrayInTable(Fertiliser_SourceData.Fertiliser_Products_Data3(),FertiliserProducts[[#Headers],[Product]], 60)</f>
        <v/>
      </c>
      <c r="I142" s="123" t="str" cm="1">
        <f t="array" ref="I142">Common_InputFunctions.Utility_DisplayArrayInTable(Fertiliser_SourceData.Fertiliser_Products_Data3(),FertiliserProducts[[#Headers],[Product]], 60)</f>
        <v/>
      </c>
      <c r="J142" s="123" t="str" cm="1">
        <f t="array" ref="J142">Common_InputFunctions.Utility_DisplayArrayInTable(Fertiliser_SourceData.Fertiliser_Products_Data3(),FertiliserProducts[[#Headers],[Product]], 60)</f>
        <v/>
      </c>
      <c r="K142" s="123" t="str" cm="1">
        <f t="array" ref="K142">Common_InputFunctions.Utility_DisplayArrayInTable(Fertiliser_SourceData.Fertiliser_Products_Data3(),FertiliserProducts[[#Headers],[Product]], 60)</f>
        <v/>
      </c>
      <c r="L142" s="123" t="str" cm="1">
        <f t="array" ref="L142">Common_InputFunctions.Utility_DisplayArrayInTable(Fertiliser_SourceData.Fertiliser_Products_Data3(),FertiliserProducts[[#Headers],[Product]], 60)</f>
        <v/>
      </c>
      <c r="M142" s="123" t="str" cm="1">
        <f t="array" ref="M142">Common_InputFunctions.Utility_DisplayArrayInTable(Fertiliser_SourceData.Fertiliser_Products_Data3(),FertiliserProducts[[#Headers],[Product]], 60)</f>
        <v/>
      </c>
      <c r="N142" s="123" t="str" cm="1">
        <f t="array" ref="N142">Common_InputFunctions.Utility_DisplayArrayInTable(Fertiliser_SourceData.Fertiliser_Products_Data3(),FertiliserProducts[[#Headers],[Product]], 60)</f>
        <v/>
      </c>
      <c r="O142" s="123" t="str" cm="1">
        <f t="array" ref="O142">Common_InputFunctions.Utility_DisplayArrayInTable(Fertiliser_SourceData.Fertiliser_Products_Data3(),FertiliserProducts[[#Headers],[Product]], 60)</f>
        <v/>
      </c>
      <c r="P142" s="123" t="str" cm="1">
        <f t="array" ref="P142">Common_InputFunctions.Utility_DisplayArrayInTable(Fertiliser_SourceData.Fertiliser_Products_Data3(),FertiliserProducts[[#Headers],[Product]], 60)</f>
        <v/>
      </c>
      <c r="Q142" s="123" t="str" cm="1">
        <f t="array" ref="Q142">Common_InputFunctions.Utility_DisplayArrayInTable(Fertiliser_SourceData.Fertiliser_Products_Data3(),FertiliserProducts[[#Headers],[Product]], 60)</f>
        <v/>
      </c>
      <c r="R142" s="123" t="str" cm="1">
        <f t="array" ref="R142">Common_InputFunctions.Utility_DisplayArrayInTable(Fertiliser_SourceData.Fertiliser_Products_Data3(),FertiliserProducts[[#Headers],[Product]], 60)</f>
        <v/>
      </c>
      <c r="S142" s="123" t="str" cm="1">
        <f t="array" ref="S142">Common_InputFunctions.Utility_DisplayArrayInTable(Fertiliser_SourceData.Fertiliser_Products_Data3(),FertiliserProducts[[#Headers],[Product]], 60)</f>
        <v/>
      </c>
      <c r="T142" s="123" t="str" cm="1">
        <f t="array" ref="T142">Common_InputFunctions.Utility_DisplayArrayInTable(Fertiliser_SourceData.Fertiliser_Products_Data3(),FertiliserProducts[[#Headers],[Product]], 60)</f>
        <v/>
      </c>
      <c r="U142" s="123" t="str" cm="1">
        <f t="array" ref="U142">Common_InputFunctions.Utility_DisplayArrayInTable(Fertiliser_SourceData.Fertiliser_Products_Data3(),FertiliserProducts[[#Headers],[Product]], 60)</f>
        <v/>
      </c>
      <c r="V142" s="123" t="str" cm="1">
        <f t="array" ref="V142">Common_InputFunctions.Utility_DisplayArrayInTable(Fertiliser_SourceData.Fertiliser_Products_Data3(),FertiliserProducts[[#Headers],[Product]], 60)</f>
        <v/>
      </c>
      <c r="W142" s="123" t="str" cm="1">
        <f t="array" ref="W142">Common_InputFunctions.Utility_DisplayArrayInTable(Fertiliser_SourceData.Fertiliser_Products_Data3(),FertiliserProducts[[#Headers],[Product]], 60)</f>
        <v>Crop Nutrition Solutions (Yara Australia)</v>
      </c>
    </row>
    <row r="143" spans="4:23" ht="20.100000000000001" customHeight="1" x14ac:dyDescent="0.25">
      <c r="D143" s="123" t="str" cm="1">
        <f t="array" ref="D143">Common_InputFunctions.Utility_DisplayArrayInTable(Fertiliser_SourceData.Fertiliser_Products_Data3(),FertiliserProducts[[#Headers],[Product]], 60)</f>
        <v>YaraMila Complex 21-7-3(4)</v>
      </c>
      <c r="E143" s="123" t="str" cm="1">
        <f t="array" ref="E143">Common_InputFunctions.Utility_DisplayArrayInTable(Fertiliser_SourceData.Fertiliser_Products_Data3(),FertiliserProducts[[#Headers],[Product]], 60)</f>
        <v/>
      </c>
      <c r="F143" s="123" t="str" cm="1">
        <f t="array" ref="F143">Common_InputFunctions.Utility_DisplayArrayInTable(Fertiliser_SourceData.Fertiliser_Products_Data3(),FertiliserProducts[[#Headers],[Product]], 60)</f>
        <v/>
      </c>
      <c r="G143" s="123" t="str" cm="1">
        <f t="array" ref="G143">Common_InputFunctions.Utility_DisplayArrayInTable(Fertiliser_SourceData.Fertiliser_Products_Data3(),FertiliserProducts[[#Headers],[Product]], 60)</f>
        <v/>
      </c>
      <c r="H143" s="123" t="str" cm="1">
        <f t="array" ref="H143">Common_InputFunctions.Utility_DisplayArrayInTable(Fertiliser_SourceData.Fertiliser_Products_Data3(),FertiliserProducts[[#Headers],[Product]], 60)</f>
        <v/>
      </c>
      <c r="I143" s="123" t="str" cm="1">
        <f t="array" ref="I143">Common_InputFunctions.Utility_DisplayArrayInTable(Fertiliser_SourceData.Fertiliser_Products_Data3(),FertiliserProducts[[#Headers],[Product]], 60)</f>
        <v/>
      </c>
      <c r="J143" s="123" t="str" cm="1">
        <f t="array" ref="J143">Common_InputFunctions.Utility_DisplayArrayInTable(Fertiliser_SourceData.Fertiliser_Products_Data3(),FertiliserProducts[[#Headers],[Product]], 60)</f>
        <v/>
      </c>
      <c r="K143" s="123" t="str" cm="1">
        <f t="array" ref="K143">Common_InputFunctions.Utility_DisplayArrayInTable(Fertiliser_SourceData.Fertiliser_Products_Data3(),FertiliserProducts[[#Headers],[Product]], 60)</f>
        <v/>
      </c>
      <c r="L143" s="123" t="str" cm="1">
        <f t="array" ref="L143">Common_InputFunctions.Utility_DisplayArrayInTable(Fertiliser_SourceData.Fertiliser_Products_Data3(),FertiliserProducts[[#Headers],[Product]], 60)</f>
        <v/>
      </c>
      <c r="M143" s="123" t="str" cm="1">
        <f t="array" ref="M143">Common_InputFunctions.Utility_DisplayArrayInTable(Fertiliser_SourceData.Fertiliser_Products_Data3(),FertiliserProducts[[#Headers],[Product]], 60)</f>
        <v/>
      </c>
      <c r="N143" s="123" t="str" cm="1">
        <f t="array" ref="N143">Common_InputFunctions.Utility_DisplayArrayInTable(Fertiliser_SourceData.Fertiliser_Products_Data3(),FertiliserProducts[[#Headers],[Product]], 60)</f>
        <v/>
      </c>
      <c r="O143" s="123" t="str" cm="1">
        <f t="array" ref="O143">Common_InputFunctions.Utility_DisplayArrayInTable(Fertiliser_SourceData.Fertiliser_Products_Data3(),FertiliserProducts[[#Headers],[Product]], 60)</f>
        <v/>
      </c>
      <c r="P143" s="123" t="str" cm="1">
        <f t="array" ref="P143">Common_InputFunctions.Utility_DisplayArrayInTable(Fertiliser_SourceData.Fertiliser_Products_Data3(),FertiliserProducts[[#Headers],[Product]], 60)</f>
        <v/>
      </c>
      <c r="Q143" s="123" t="str" cm="1">
        <f t="array" ref="Q143">Common_InputFunctions.Utility_DisplayArrayInTable(Fertiliser_SourceData.Fertiliser_Products_Data3(),FertiliserProducts[[#Headers],[Product]], 60)</f>
        <v/>
      </c>
      <c r="R143" s="123" t="str" cm="1">
        <f t="array" ref="R143">Common_InputFunctions.Utility_DisplayArrayInTable(Fertiliser_SourceData.Fertiliser_Products_Data3(),FertiliserProducts[[#Headers],[Product]], 60)</f>
        <v/>
      </c>
      <c r="S143" s="123" t="str" cm="1">
        <f t="array" ref="S143">Common_InputFunctions.Utility_DisplayArrayInTable(Fertiliser_SourceData.Fertiliser_Products_Data3(),FertiliserProducts[[#Headers],[Product]], 60)</f>
        <v/>
      </c>
      <c r="T143" s="123" t="str" cm="1">
        <f t="array" ref="T143">Common_InputFunctions.Utility_DisplayArrayInTable(Fertiliser_SourceData.Fertiliser_Products_Data3(),FertiliserProducts[[#Headers],[Product]], 60)</f>
        <v/>
      </c>
      <c r="U143" s="123" t="str" cm="1">
        <f t="array" ref="U143">Common_InputFunctions.Utility_DisplayArrayInTable(Fertiliser_SourceData.Fertiliser_Products_Data3(),FertiliserProducts[[#Headers],[Product]], 60)</f>
        <v/>
      </c>
      <c r="V143" s="123" t="str" cm="1">
        <f t="array" ref="V143">Common_InputFunctions.Utility_DisplayArrayInTable(Fertiliser_SourceData.Fertiliser_Products_Data3(),FertiliserProducts[[#Headers],[Product]], 60)</f>
        <v/>
      </c>
      <c r="W143" s="123" t="str" cm="1">
        <f t="array" ref="W143">Common_InputFunctions.Utility_DisplayArrayInTable(Fertiliser_SourceData.Fertiliser_Products_Data3(),FertiliserProducts[[#Headers],[Product]], 60)</f>
        <v>Crop Nutrition Solutions (Yara Australia)</v>
      </c>
    </row>
    <row r="144" spans="4:23" ht="20.100000000000001" customHeight="1" x14ac:dyDescent="0.25">
      <c r="D144" s="123" t="str" cm="1">
        <f t="array" ref="D144">Common_InputFunctions.Utility_DisplayArrayInTable(Fertiliser_SourceData.Fertiliser_Products_Data3(),FertiliserProducts[[#Headers],[Product]], 60)</f>
        <v>YaraMila UNIVERSAL</v>
      </c>
      <c r="E144" s="123" t="str" cm="1">
        <f t="array" ref="E144">Common_InputFunctions.Utility_DisplayArrayInTable(Fertiliser_SourceData.Fertiliser_Products_Data3(),FertiliserProducts[[#Headers],[Product]], 60)</f>
        <v/>
      </c>
      <c r="F144" s="123" t="str" cm="1">
        <f t="array" ref="F144">Common_InputFunctions.Utility_DisplayArrayInTable(Fertiliser_SourceData.Fertiliser_Products_Data3(),FertiliserProducts[[#Headers],[Product]], 60)</f>
        <v/>
      </c>
      <c r="G144" s="123" t="str" cm="1">
        <f t="array" ref="G144">Common_InputFunctions.Utility_DisplayArrayInTable(Fertiliser_SourceData.Fertiliser_Products_Data3(),FertiliserProducts[[#Headers],[Product]], 60)</f>
        <v/>
      </c>
      <c r="H144" s="123" t="str" cm="1">
        <f t="array" ref="H144">Common_InputFunctions.Utility_DisplayArrayInTable(Fertiliser_SourceData.Fertiliser_Products_Data3(),FertiliserProducts[[#Headers],[Product]], 60)</f>
        <v/>
      </c>
      <c r="I144" s="123" t="str" cm="1">
        <f t="array" ref="I144">Common_InputFunctions.Utility_DisplayArrayInTable(Fertiliser_SourceData.Fertiliser_Products_Data3(),FertiliserProducts[[#Headers],[Product]], 60)</f>
        <v/>
      </c>
      <c r="J144" s="123" t="str" cm="1">
        <f t="array" ref="J144">Common_InputFunctions.Utility_DisplayArrayInTable(Fertiliser_SourceData.Fertiliser_Products_Data3(),FertiliserProducts[[#Headers],[Product]], 60)</f>
        <v/>
      </c>
      <c r="K144" s="123" t="str" cm="1">
        <f t="array" ref="K144">Common_InputFunctions.Utility_DisplayArrayInTable(Fertiliser_SourceData.Fertiliser_Products_Data3(),FertiliserProducts[[#Headers],[Product]], 60)</f>
        <v/>
      </c>
      <c r="L144" s="123" t="str" cm="1">
        <f t="array" ref="L144">Common_InputFunctions.Utility_DisplayArrayInTable(Fertiliser_SourceData.Fertiliser_Products_Data3(),FertiliserProducts[[#Headers],[Product]], 60)</f>
        <v/>
      </c>
      <c r="M144" s="123" t="str" cm="1">
        <f t="array" ref="M144">Common_InputFunctions.Utility_DisplayArrayInTable(Fertiliser_SourceData.Fertiliser_Products_Data3(),FertiliserProducts[[#Headers],[Product]], 60)</f>
        <v/>
      </c>
      <c r="N144" s="123" t="str" cm="1">
        <f t="array" ref="N144">Common_InputFunctions.Utility_DisplayArrayInTable(Fertiliser_SourceData.Fertiliser_Products_Data3(),FertiliserProducts[[#Headers],[Product]], 60)</f>
        <v/>
      </c>
      <c r="O144" s="123" t="str" cm="1">
        <f t="array" ref="O144">Common_InputFunctions.Utility_DisplayArrayInTable(Fertiliser_SourceData.Fertiliser_Products_Data3(),FertiliserProducts[[#Headers],[Product]], 60)</f>
        <v/>
      </c>
      <c r="P144" s="123" t="str" cm="1">
        <f t="array" ref="P144">Common_InputFunctions.Utility_DisplayArrayInTable(Fertiliser_SourceData.Fertiliser_Products_Data3(),FertiliserProducts[[#Headers],[Product]], 60)</f>
        <v/>
      </c>
      <c r="Q144" s="123" t="str" cm="1">
        <f t="array" ref="Q144">Common_InputFunctions.Utility_DisplayArrayInTable(Fertiliser_SourceData.Fertiliser_Products_Data3(),FertiliserProducts[[#Headers],[Product]], 60)</f>
        <v/>
      </c>
      <c r="R144" s="123" t="str" cm="1">
        <f t="array" ref="R144">Common_InputFunctions.Utility_DisplayArrayInTable(Fertiliser_SourceData.Fertiliser_Products_Data3(),FertiliserProducts[[#Headers],[Product]], 60)</f>
        <v/>
      </c>
      <c r="S144" s="123" t="str" cm="1">
        <f t="array" ref="S144">Common_InputFunctions.Utility_DisplayArrayInTable(Fertiliser_SourceData.Fertiliser_Products_Data3(),FertiliserProducts[[#Headers],[Product]], 60)</f>
        <v/>
      </c>
      <c r="T144" s="123" t="str" cm="1">
        <f t="array" ref="T144">Common_InputFunctions.Utility_DisplayArrayInTable(Fertiliser_SourceData.Fertiliser_Products_Data3(),FertiliserProducts[[#Headers],[Product]], 60)</f>
        <v/>
      </c>
      <c r="U144" s="123" t="str" cm="1">
        <f t="array" ref="U144">Common_InputFunctions.Utility_DisplayArrayInTable(Fertiliser_SourceData.Fertiliser_Products_Data3(),FertiliserProducts[[#Headers],[Product]], 60)</f>
        <v/>
      </c>
      <c r="V144" s="123" t="str" cm="1">
        <f t="array" ref="V144">Common_InputFunctions.Utility_DisplayArrayInTable(Fertiliser_SourceData.Fertiliser_Products_Data3(),FertiliserProducts[[#Headers],[Product]], 60)</f>
        <v/>
      </c>
      <c r="W144" s="123" t="str" cm="1">
        <f t="array" ref="W144">Common_InputFunctions.Utility_DisplayArrayInTable(Fertiliser_SourceData.Fertiliser_Products_Data3(),FertiliserProducts[[#Headers],[Product]], 60)</f>
        <v>Crop Nutrition Solutions (Yara Australia)</v>
      </c>
    </row>
    <row r="145" spans="4:23" ht="20.100000000000001" customHeight="1" x14ac:dyDescent="0.25">
      <c r="D145" s="123" t="str" cm="1">
        <f t="array" ref="D145">Common_InputFunctions.Utility_DisplayArrayInTable(Fertiliser_SourceData.Fertiliser_Products_Data3(),FertiliserProducts[[#Headers],[Product]], 60)</f>
        <v>YaraRega 13-2-21</v>
      </c>
      <c r="E145" s="123" t="str" cm="1">
        <f t="array" ref="E145">Common_InputFunctions.Utility_DisplayArrayInTable(Fertiliser_SourceData.Fertiliser_Products_Data3(),FertiliserProducts[[#Headers],[Product]], 60)</f>
        <v/>
      </c>
      <c r="F145" s="123" t="str" cm="1">
        <f t="array" ref="F145">Common_InputFunctions.Utility_DisplayArrayInTable(Fertiliser_SourceData.Fertiliser_Products_Data3(),FertiliserProducts[[#Headers],[Product]], 60)</f>
        <v/>
      </c>
      <c r="G145" s="123" t="str" cm="1">
        <f t="array" ref="G145">Common_InputFunctions.Utility_DisplayArrayInTable(Fertiliser_SourceData.Fertiliser_Products_Data3(),FertiliserProducts[[#Headers],[Product]], 60)</f>
        <v/>
      </c>
      <c r="H145" s="123" t="str" cm="1">
        <f t="array" ref="H145">Common_InputFunctions.Utility_DisplayArrayInTable(Fertiliser_SourceData.Fertiliser_Products_Data3(),FertiliserProducts[[#Headers],[Product]], 60)</f>
        <v/>
      </c>
      <c r="I145" s="123" t="str" cm="1">
        <f t="array" ref="I145">Common_InputFunctions.Utility_DisplayArrayInTable(Fertiliser_SourceData.Fertiliser_Products_Data3(),FertiliserProducts[[#Headers],[Product]], 60)</f>
        <v/>
      </c>
      <c r="J145" s="123" t="str" cm="1">
        <f t="array" ref="J145">Common_InputFunctions.Utility_DisplayArrayInTable(Fertiliser_SourceData.Fertiliser_Products_Data3(),FertiliserProducts[[#Headers],[Product]], 60)</f>
        <v/>
      </c>
      <c r="K145" s="123" t="str" cm="1">
        <f t="array" ref="K145">Common_InputFunctions.Utility_DisplayArrayInTable(Fertiliser_SourceData.Fertiliser_Products_Data3(),FertiliserProducts[[#Headers],[Product]], 60)</f>
        <v/>
      </c>
      <c r="L145" s="123" t="str" cm="1">
        <f t="array" ref="L145">Common_InputFunctions.Utility_DisplayArrayInTable(Fertiliser_SourceData.Fertiliser_Products_Data3(),FertiliserProducts[[#Headers],[Product]], 60)</f>
        <v/>
      </c>
      <c r="M145" s="123" t="str" cm="1">
        <f t="array" ref="M145">Common_InputFunctions.Utility_DisplayArrayInTable(Fertiliser_SourceData.Fertiliser_Products_Data3(),FertiliserProducts[[#Headers],[Product]], 60)</f>
        <v/>
      </c>
      <c r="N145" s="123" t="str" cm="1">
        <f t="array" ref="N145">Common_InputFunctions.Utility_DisplayArrayInTable(Fertiliser_SourceData.Fertiliser_Products_Data3(),FertiliserProducts[[#Headers],[Product]], 60)</f>
        <v/>
      </c>
      <c r="O145" s="123" t="str" cm="1">
        <f t="array" ref="O145">Common_InputFunctions.Utility_DisplayArrayInTable(Fertiliser_SourceData.Fertiliser_Products_Data3(),FertiliserProducts[[#Headers],[Product]], 60)</f>
        <v/>
      </c>
      <c r="P145" s="123" t="str" cm="1">
        <f t="array" ref="P145">Common_InputFunctions.Utility_DisplayArrayInTable(Fertiliser_SourceData.Fertiliser_Products_Data3(),FertiliserProducts[[#Headers],[Product]], 60)</f>
        <v/>
      </c>
      <c r="Q145" s="123" t="str" cm="1">
        <f t="array" ref="Q145">Common_InputFunctions.Utility_DisplayArrayInTable(Fertiliser_SourceData.Fertiliser_Products_Data3(),FertiliserProducts[[#Headers],[Product]], 60)</f>
        <v/>
      </c>
      <c r="R145" s="123" t="str" cm="1">
        <f t="array" ref="R145">Common_InputFunctions.Utility_DisplayArrayInTable(Fertiliser_SourceData.Fertiliser_Products_Data3(),FertiliserProducts[[#Headers],[Product]], 60)</f>
        <v/>
      </c>
      <c r="S145" s="123" t="str" cm="1">
        <f t="array" ref="S145">Common_InputFunctions.Utility_DisplayArrayInTable(Fertiliser_SourceData.Fertiliser_Products_Data3(),FertiliserProducts[[#Headers],[Product]], 60)</f>
        <v/>
      </c>
      <c r="T145" s="123" t="str" cm="1">
        <f t="array" ref="T145">Common_InputFunctions.Utility_DisplayArrayInTable(Fertiliser_SourceData.Fertiliser_Products_Data3(),FertiliserProducts[[#Headers],[Product]], 60)</f>
        <v/>
      </c>
      <c r="U145" s="123" t="str" cm="1">
        <f t="array" ref="U145">Common_InputFunctions.Utility_DisplayArrayInTable(Fertiliser_SourceData.Fertiliser_Products_Data3(),FertiliserProducts[[#Headers],[Product]], 60)</f>
        <v/>
      </c>
      <c r="V145" s="123" t="str" cm="1">
        <f t="array" ref="V145">Common_InputFunctions.Utility_DisplayArrayInTable(Fertiliser_SourceData.Fertiliser_Products_Data3(),FertiliserProducts[[#Headers],[Product]], 60)</f>
        <v/>
      </c>
      <c r="W145" s="123" t="str" cm="1">
        <f t="array" ref="W145">Common_InputFunctions.Utility_DisplayArrayInTable(Fertiliser_SourceData.Fertiliser_Products_Data3(),FertiliserProducts[[#Headers],[Product]], 60)</f>
        <v>Crop Nutrition Solutions (Yara Australia)</v>
      </c>
    </row>
    <row r="146" spans="4:23" ht="20.100000000000001" customHeight="1" x14ac:dyDescent="0.25">
      <c r="D146" s="123" t="str" cm="1">
        <f t="array" ref="D146">Common_InputFunctions.Utility_DisplayArrayInTable(Fertiliser_SourceData.Fertiliser_Products_Data3(),FertiliserProducts[[#Headers],[Product]], 60)</f>
        <v>YaraVita BORTRAC</v>
      </c>
      <c r="E146" s="123" t="str" cm="1">
        <f t="array" ref="E146">Common_InputFunctions.Utility_DisplayArrayInTable(Fertiliser_SourceData.Fertiliser_Products_Data3(),FertiliserProducts[[#Headers],[Product]], 60)</f>
        <v/>
      </c>
      <c r="F146" s="123" t="str" cm="1">
        <f t="array" ref="F146">Common_InputFunctions.Utility_DisplayArrayInTable(Fertiliser_SourceData.Fertiliser_Products_Data3(),FertiliserProducts[[#Headers],[Product]], 60)</f>
        <v/>
      </c>
      <c r="G146" s="123" t="str" cm="1">
        <f t="array" ref="G146">Common_InputFunctions.Utility_DisplayArrayInTable(Fertiliser_SourceData.Fertiliser_Products_Data3(),FertiliserProducts[[#Headers],[Product]], 60)</f>
        <v/>
      </c>
      <c r="H146" s="123" t="str" cm="1">
        <f t="array" ref="H146">Common_InputFunctions.Utility_DisplayArrayInTable(Fertiliser_SourceData.Fertiliser_Products_Data3(),FertiliserProducts[[#Headers],[Product]], 60)</f>
        <v/>
      </c>
      <c r="I146" s="123" t="str" cm="1">
        <f t="array" ref="I146">Common_InputFunctions.Utility_DisplayArrayInTable(Fertiliser_SourceData.Fertiliser_Products_Data3(),FertiliserProducts[[#Headers],[Product]], 60)</f>
        <v/>
      </c>
      <c r="J146" s="123" t="str" cm="1">
        <f t="array" ref="J146">Common_InputFunctions.Utility_DisplayArrayInTable(Fertiliser_SourceData.Fertiliser_Products_Data3(),FertiliserProducts[[#Headers],[Product]], 60)</f>
        <v/>
      </c>
      <c r="K146" s="123" t="str" cm="1">
        <f t="array" ref="K146">Common_InputFunctions.Utility_DisplayArrayInTable(Fertiliser_SourceData.Fertiliser_Products_Data3(),FertiliserProducts[[#Headers],[Product]], 60)</f>
        <v/>
      </c>
      <c r="L146" s="123" t="str" cm="1">
        <f t="array" ref="L146">Common_InputFunctions.Utility_DisplayArrayInTable(Fertiliser_SourceData.Fertiliser_Products_Data3(),FertiliserProducts[[#Headers],[Product]], 60)</f>
        <v/>
      </c>
      <c r="M146" s="123" t="str" cm="1">
        <f t="array" ref="M146">Common_InputFunctions.Utility_DisplayArrayInTable(Fertiliser_SourceData.Fertiliser_Products_Data3(),FertiliserProducts[[#Headers],[Product]], 60)</f>
        <v/>
      </c>
      <c r="N146" s="123" t="str" cm="1">
        <f t="array" ref="N146">Common_InputFunctions.Utility_DisplayArrayInTable(Fertiliser_SourceData.Fertiliser_Products_Data3(),FertiliserProducts[[#Headers],[Product]], 60)</f>
        <v/>
      </c>
      <c r="O146" s="123" t="str" cm="1">
        <f t="array" ref="O146">Common_InputFunctions.Utility_DisplayArrayInTable(Fertiliser_SourceData.Fertiliser_Products_Data3(),FertiliserProducts[[#Headers],[Product]], 60)</f>
        <v/>
      </c>
      <c r="P146" s="123" t="str" cm="1">
        <f t="array" ref="P146">Common_InputFunctions.Utility_DisplayArrayInTable(Fertiliser_SourceData.Fertiliser_Products_Data3(),FertiliserProducts[[#Headers],[Product]], 60)</f>
        <v/>
      </c>
      <c r="Q146" s="123" t="str" cm="1">
        <f t="array" ref="Q146">Common_InputFunctions.Utility_DisplayArrayInTable(Fertiliser_SourceData.Fertiliser_Products_Data3(),FertiliserProducts[[#Headers],[Product]], 60)</f>
        <v/>
      </c>
      <c r="R146" s="123" t="str" cm="1">
        <f t="array" ref="R146">Common_InputFunctions.Utility_DisplayArrayInTable(Fertiliser_SourceData.Fertiliser_Products_Data3(),FertiliserProducts[[#Headers],[Product]], 60)</f>
        <v/>
      </c>
      <c r="S146" s="123" t="str" cm="1">
        <f t="array" ref="S146">Common_InputFunctions.Utility_DisplayArrayInTable(Fertiliser_SourceData.Fertiliser_Products_Data3(),FertiliserProducts[[#Headers],[Product]], 60)</f>
        <v/>
      </c>
      <c r="T146" s="123" t="str" cm="1">
        <f t="array" ref="T146">Common_InputFunctions.Utility_DisplayArrayInTable(Fertiliser_SourceData.Fertiliser_Products_Data3(),FertiliserProducts[[#Headers],[Product]], 60)</f>
        <v/>
      </c>
      <c r="U146" s="123" t="str" cm="1">
        <f t="array" ref="U146">Common_InputFunctions.Utility_DisplayArrayInTable(Fertiliser_SourceData.Fertiliser_Products_Data3(),FertiliserProducts[[#Headers],[Product]], 60)</f>
        <v/>
      </c>
      <c r="V146" s="123" t="str" cm="1">
        <f t="array" ref="V146">Common_InputFunctions.Utility_DisplayArrayInTable(Fertiliser_SourceData.Fertiliser_Products_Data3(),FertiliserProducts[[#Headers],[Product]], 60)</f>
        <v/>
      </c>
      <c r="W146" s="123" t="str" cm="1">
        <f t="array" ref="W146">Common_InputFunctions.Utility_DisplayArrayInTable(Fertiliser_SourceData.Fertiliser_Products_Data3(),FertiliserProducts[[#Headers],[Product]], 60)</f>
        <v>Crop Nutrition Solutions (Yara Australia)</v>
      </c>
    </row>
    <row r="147" spans="4:23" ht="20.100000000000001" customHeight="1" x14ac:dyDescent="0.25">
      <c r="D147" s="123" t="str" cm="1">
        <f t="array" ref="D147">Common_InputFunctions.Utility_DisplayArrayInTable(Fertiliser_SourceData.Fertiliser_Products_Data3(),FertiliserProducts[[#Headers],[Product]], 60)</f>
        <v>YaraVita BRASSITREL DF</v>
      </c>
      <c r="E147" s="123" t="str" cm="1">
        <f t="array" ref="E147">Common_InputFunctions.Utility_DisplayArrayInTable(Fertiliser_SourceData.Fertiliser_Products_Data3(),FertiliserProducts[[#Headers],[Product]], 60)</f>
        <v/>
      </c>
      <c r="F147" s="123" t="str" cm="1">
        <f t="array" ref="F147">Common_InputFunctions.Utility_DisplayArrayInTable(Fertiliser_SourceData.Fertiliser_Products_Data3(),FertiliserProducts[[#Headers],[Product]], 60)</f>
        <v/>
      </c>
      <c r="G147" s="123" t="str" cm="1">
        <f t="array" ref="G147">Common_InputFunctions.Utility_DisplayArrayInTable(Fertiliser_SourceData.Fertiliser_Products_Data3(),FertiliserProducts[[#Headers],[Product]], 60)</f>
        <v/>
      </c>
      <c r="H147" s="123" t="str" cm="1">
        <f t="array" ref="H147">Common_InputFunctions.Utility_DisplayArrayInTable(Fertiliser_SourceData.Fertiliser_Products_Data3(),FertiliserProducts[[#Headers],[Product]], 60)</f>
        <v/>
      </c>
      <c r="I147" s="123" t="str" cm="1">
        <f t="array" ref="I147">Common_InputFunctions.Utility_DisplayArrayInTable(Fertiliser_SourceData.Fertiliser_Products_Data3(),FertiliserProducts[[#Headers],[Product]], 60)</f>
        <v/>
      </c>
      <c r="J147" s="123" t="str" cm="1">
        <f t="array" ref="J147">Common_InputFunctions.Utility_DisplayArrayInTable(Fertiliser_SourceData.Fertiliser_Products_Data3(),FertiliserProducts[[#Headers],[Product]], 60)</f>
        <v/>
      </c>
      <c r="K147" s="123" t="str" cm="1">
        <f t="array" ref="K147">Common_InputFunctions.Utility_DisplayArrayInTable(Fertiliser_SourceData.Fertiliser_Products_Data3(),FertiliserProducts[[#Headers],[Product]], 60)</f>
        <v/>
      </c>
      <c r="L147" s="123" t="str" cm="1">
        <f t="array" ref="L147">Common_InputFunctions.Utility_DisplayArrayInTable(Fertiliser_SourceData.Fertiliser_Products_Data3(),FertiliserProducts[[#Headers],[Product]], 60)</f>
        <v/>
      </c>
      <c r="M147" s="123" t="str" cm="1">
        <f t="array" ref="M147">Common_InputFunctions.Utility_DisplayArrayInTable(Fertiliser_SourceData.Fertiliser_Products_Data3(),FertiliserProducts[[#Headers],[Product]], 60)</f>
        <v/>
      </c>
      <c r="N147" s="123" t="str" cm="1">
        <f t="array" ref="N147">Common_InputFunctions.Utility_DisplayArrayInTable(Fertiliser_SourceData.Fertiliser_Products_Data3(),FertiliserProducts[[#Headers],[Product]], 60)</f>
        <v/>
      </c>
      <c r="O147" s="123" t="str" cm="1">
        <f t="array" ref="O147">Common_InputFunctions.Utility_DisplayArrayInTable(Fertiliser_SourceData.Fertiliser_Products_Data3(),FertiliserProducts[[#Headers],[Product]], 60)</f>
        <v/>
      </c>
      <c r="P147" s="123" t="str" cm="1">
        <f t="array" ref="P147">Common_InputFunctions.Utility_DisplayArrayInTable(Fertiliser_SourceData.Fertiliser_Products_Data3(),FertiliserProducts[[#Headers],[Product]], 60)</f>
        <v/>
      </c>
      <c r="Q147" s="123" t="str" cm="1">
        <f t="array" ref="Q147">Common_InputFunctions.Utility_DisplayArrayInTable(Fertiliser_SourceData.Fertiliser_Products_Data3(),FertiliserProducts[[#Headers],[Product]], 60)</f>
        <v/>
      </c>
      <c r="R147" s="123" t="str" cm="1">
        <f t="array" ref="R147">Common_InputFunctions.Utility_DisplayArrayInTable(Fertiliser_SourceData.Fertiliser_Products_Data3(),FertiliserProducts[[#Headers],[Product]], 60)</f>
        <v/>
      </c>
      <c r="S147" s="123" t="str" cm="1">
        <f t="array" ref="S147">Common_InputFunctions.Utility_DisplayArrayInTable(Fertiliser_SourceData.Fertiliser_Products_Data3(),FertiliserProducts[[#Headers],[Product]], 60)</f>
        <v/>
      </c>
      <c r="T147" s="123" t="str" cm="1">
        <f t="array" ref="T147">Common_InputFunctions.Utility_DisplayArrayInTable(Fertiliser_SourceData.Fertiliser_Products_Data3(),FertiliserProducts[[#Headers],[Product]], 60)</f>
        <v/>
      </c>
      <c r="U147" s="123" t="str" cm="1">
        <f t="array" ref="U147">Common_InputFunctions.Utility_DisplayArrayInTable(Fertiliser_SourceData.Fertiliser_Products_Data3(),FertiliserProducts[[#Headers],[Product]], 60)</f>
        <v/>
      </c>
      <c r="V147" s="123" t="str" cm="1">
        <f t="array" ref="V147">Common_InputFunctions.Utility_DisplayArrayInTable(Fertiliser_SourceData.Fertiliser_Products_Data3(),FertiliserProducts[[#Headers],[Product]], 60)</f>
        <v/>
      </c>
      <c r="W147" s="123" t="str" cm="1">
        <f t="array" ref="W147">Common_InputFunctions.Utility_DisplayArrayInTable(Fertiliser_SourceData.Fertiliser_Products_Data3(),FertiliserProducts[[#Headers],[Product]], 60)</f>
        <v>Crop Nutrition Solutions (Yara Australia)</v>
      </c>
    </row>
    <row r="148" spans="4:23" ht="20.100000000000001" customHeight="1" x14ac:dyDescent="0.25">
      <c r="D148" s="123" t="str" cm="1">
        <f t="array" ref="D148">Common_InputFunctions.Utility_DisplayArrayInTable(Fertiliser_SourceData.Fertiliser_Products_Data4(),FertiliserProducts[[#Headers],[Product]], 90)</f>
        <v>YaraVita BRASSITREL PRO</v>
      </c>
      <c r="E148" s="123" t="str" cm="1">
        <f t="array" ref="E148">Common_InputFunctions.Utility_DisplayArrayInTable(Fertiliser_SourceData.Fertiliser_Products_Data4(),FertiliserProducts[[#Headers],[Product]], 90)</f>
        <v/>
      </c>
      <c r="F148" s="123" t="str" cm="1">
        <f t="array" ref="F148">Common_InputFunctions.Utility_DisplayArrayInTable(Fertiliser_SourceData.Fertiliser_Products_Data4(),FertiliserProducts[[#Headers],[Product]], 90)</f>
        <v/>
      </c>
      <c r="G148" s="123" t="str" cm="1">
        <f t="array" ref="G148">Common_InputFunctions.Utility_DisplayArrayInTable(Fertiliser_SourceData.Fertiliser_Products_Data4(),FertiliserProducts[[#Headers],[Product]], 90)</f>
        <v/>
      </c>
      <c r="H148" s="123" t="str" cm="1">
        <f t="array" ref="H148">Common_InputFunctions.Utility_DisplayArrayInTable(Fertiliser_SourceData.Fertiliser_Products_Data4(),FertiliserProducts[[#Headers],[Product]], 90)</f>
        <v/>
      </c>
      <c r="I148" s="123" t="str" cm="1">
        <f t="array" ref="I148">Common_InputFunctions.Utility_DisplayArrayInTable(Fertiliser_SourceData.Fertiliser_Products_Data4(),FertiliserProducts[[#Headers],[Product]], 90)</f>
        <v/>
      </c>
      <c r="J148" s="123" t="str" cm="1">
        <f t="array" ref="J148">Common_InputFunctions.Utility_DisplayArrayInTable(Fertiliser_SourceData.Fertiliser_Products_Data4(),FertiliserProducts[[#Headers],[Product]], 90)</f>
        <v/>
      </c>
      <c r="K148" s="123" t="str" cm="1">
        <f t="array" ref="K148">Common_InputFunctions.Utility_DisplayArrayInTable(Fertiliser_SourceData.Fertiliser_Products_Data4(),FertiliserProducts[[#Headers],[Product]], 90)</f>
        <v/>
      </c>
      <c r="L148" s="123" t="str" cm="1">
        <f t="array" ref="L148">Common_InputFunctions.Utility_DisplayArrayInTable(Fertiliser_SourceData.Fertiliser_Products_Data4(),FertiliserProducts[[#Headers],[Product]], 90)</f>
        <v/>
      </c>
      <c r="M148" s="123" t="str" cm="1">
        <f t="array" ref="M148">Common_InputFunctions.Utility_DisplayArrayInTable(Fertiliser_SourceData.Fertiliser_Products_Data4(),FertiliserProducts[[#Headers],[Product]], 90)</f>
        <v/>
      </c>
      <c r="N148" s="123" t="str" cm="1">
        <f t="array" ref="N148">Common_InputFunctions.Utility_DisplayArrayInTable(Fertiliser_SourceData.Fertiliser_Products_Data4(),FertiliserProducts[[#Headers],[Product]], 90)</f>
        <v/>
      </c>
      <c r="O148" s="123" t="str" cm="1">
        <f t="array" ref="O148">Common_InputFunctions.Utility_DisplayArrayInTable(Fertiliser_SourceData.Fertiliser_Products_Data4(),FertiliserProducts[[#Headers],[Product]], 90)</f>
        <v/>
      </c>
      <c r="P148" s="123" t="str" cm="1">
        <f t="array" ref="P148">Common_InputFunctions.Utility_DisplayArrayInTable(Fertiliser_SourceData.Fertiliser_Products_Data4(),FertiliserProducts[[#Headers],[Product]], 90)</f>
        <v/>
      </c>
      <c r="Q148" s="123" t="str" cm="1">
        <f t="array" ref="Q148">Common_InputFunctions.Utility_DisplayArrayInTable(Fertiliser_SourceData.Fertiliser_Products_Data4(),FertiliserProducts[[#Headers],[Product]], 90)</f>
        <v/>
      </c>
      <c r="R148" s="123" t="str" cm="1">
        <f t="array" ref="R148">Common_InputFunctions.Utility_DisplayArrayInTable(Fertiliser_SourceData.Fertiliser_Products_Data4(),FertiliserProducts[[#Headers],[Product]], 90)</f>
        <v/>
      </c>
      <c r="S148" s="123" t="str" cm="1">
        <f t="array" ref="S148">Common_InputFunctions.Utility_DisplayArrayInTable(Fertiliser_SourceData.Fertiliser_Products_Data4(),FertiliserProducts[[#Headers],[Product]], 90)</f>
        <v/>
      </c>
      <c r="T148" s="123" t="str" cm="1">
        <f t="array" ref="T148">Common_InputFunctions.Utility_DisplayArrayInTable(Fertiliser_SourceData.Fertiliser_Products_Data4(),FertiliserProducts[[#Headers],[Product]], 90)</f>
        <v/>
      </c>
      <c r="U148" s="123" t="str" cm="1">
        <f t="array" ref="U148">Common_InputFunctions.Utility_DisplayArrayInTable(Fertiliser_SourceData.Fertiliser_Products_Data4(),FertiliserProducts[[#Headers],[Product]], 90)</f>
        <v/>
      </c>
      <c r="V148" s="123" t="str" cm="1">
        <f t="array" ref="V148">Common_InputFunctions.Utility_DisplayArrayInTable(Fertiliser_SourceData.Fertiliser_Products_Data4(),FertiliserProducts[[#Headers],[Product]], 90)</f>
        <v/>
      </c>
      <c r="W148" s="123" t="str" cm="1">
        <f t="array" ref="W148">Common_InputFunctions.Utility_DisplayArrayInTable(Fertiliser_SourceData.Fertiliser_Products_Data4(),FertiliserProducts[[#Headers],[Product]], 90)</f>
        <v>Crop Nutrition Solutions (Yara Australia)</v>
      </c>
    </row>
    <row r="149" spans="4:23" ht="20.100000000000001" customHeight="1" x14ac:dyDescent="0.25">
      <c r="D149" s="123" t="str" cm="1">
        <f t="array" ref="D149">Common_InputFunctions.Utility_DisplayArrayInTable(Fertiliser_SourceData.Fertiliser_Products_Data4(),FertiliserProducts[[#Headers],[Product]], 90)</f>
        <v>YaraVita BUD BUILDER FL</v>
      </c>
      <c r="E149" s="123" t="str" cm="1">
        <f t="array" ref="E149">Common_InputFunctions.Utility_DisplayArrayInTable(Fertiliser_SourceData.Fertiliser_Products_Data4(),FertiliserProducts[[#Headers],[Product]], 90)</f>
        <v/>
      </c>
      <c r="F149" s="123" t="str" cm="1">
        <f t="array" ref="F149">Common_InputFunctions.Utility_DisplayArrayInTable(Fertiliser_SourceData.Fertiliser_Products_Data4(),FertiliserProducts[[#Headers],[Product]], 90)</f>
        <v/>
      </c>
      <c r="G149" s="123" t="str" cm="1">
        <f t="array" ref="G149">Common_InputFunctions.Utility_DisplayArrayInTable(Fertiliser_SourceData.Fertiliser_Products_Data4(),FertiliserProducts[[#Headers],[Product]], 90)</f>
        <v/>
      </c>
      <c r="H149" s="123" t="str" cm="1">
        <f t="array" ref="H149">Common_InputFunctions.Utility_DisplayArrayInTable(Fertiliser_SourceData.Fertiliser_Products_Data4(),FertiliserProducts[[#Headers],[Product]], 90)</f>
        <v/>
      </c>
      <c r="I149" s="123" t="str" cm="1">
        <f t="array" ref="I149">Common_InputFunctions.Utility_DisplayArrayInTable(Fertiliser_SourceData.Fertiliser_Products_Data4(),FertiliserProducts[[#Headers],[Product]], 90)</f>
        <v/>
      </c>
      <c r="J149" s="123" t="str" cm="1">
        <f t="array" ref="J149">Common_InputFunctions.Utility_DisplayArrayInTable(Fertiliser_SourceData.Fertiliser_Products_Data4(),FertiliserProducts[[#Headers],[Product]], 90)</f>
        <v/>
      </c>
      <c r="K149" s="123" t="str" cm="1">
        <f t="array" ref="K149">Common_InputFunctions.Utility_DisplayArrayInTable(Fertiliser_SourceData.Fertiliser_Products_Data4(),FertiliserProducts[[#Headers],[Product]], 90)</f>
        <v/>
      </c>
      <c r="L149" s="123" t="str" cm="1">
        <f t="array" ref="L149">Common_InputFunctions.Utility_DisplayArrayInTable(Fertiliser_SourceData.Fertiliser_Products_Data4(),FertiliserProducts[[#Headers],[Product]], 90)</f>
        <v/>
      </c>
      <c r="M149" s="123" t="str" cm="1">
        <f t="array" ref="M149">Common_InputFunctions.Utility_DisplayArrayInTable(Fertiliser_SourceData.Fertiliser_Products_Data4(),FertiliserProducts[[#Headers],[Product]], 90)</f>
        <v/>
      </c>
      <c r="N149" s="123" t="str" cm="1">
        <f t="array" ref="N149">Common_InputFunctions.Utility_DisplayArrayInTable(Fertiliser_SourceData.Fertiliser_Products_Data4(),FertiliserProducts[[#Headers],[Product]], 90)</f>
        <v/>
      </c>
      <c r="O149" s="123" t="str" cm="1">
        <f t="array" ref="O149">Common_InputFunctions.Utility_DisplayArrayInTable(Fertiliser_SourceData.Fertiliser_Products_Data4(),FertiliserProducts[[#Headers],[Product]], 90)</f>
        <v/>
      </c>
      <c r="P149" s="123" t="str" cm="1">
        <f t="array" ref="P149">Common_InputFunctions.Utility_DisplayArrayInTable(Fertiliser_SourceData.Fertiliser_Products_Data4(),FertiliserProducts[[#Headers],[Product]], 90)</f>
        <v/>
      </c>
      <c r="Q149" s="123" t="str" cm="1">
        <f t="array" ref="Q149">Common_InputFunctions.Utility_DisplayArrayInTable(Fertiliser_SourceData.Fertiliser_Products_Data4(),FertiliserProducts[[#Headers],[Product]], 90)</f>
        <v/>
      </c>
      <c r="R149" s="123" t="str" cm="1">
        <f t="array" ref="R149">Common_InputFunctions.Utility_DisplayArrayInTable(Fertiliser_SourceData.Fertiliser_Products_Data4(),FertiliserProducts[[#Headers],[Product]], 90)</f>
        <v/>
      </c>
      <c r="S149" s="123" t="str" cm="1">
        <f t="array" ref="S149">Common_InputFunctions.Utility_DisplayArrayInTable(Fertiliser_SourceData.Fertiliser_Products_Data4(),FertiliserProducts[[#Headers],[Product]], 90)</f>
        <v/>
      </c>
      <c r="T149" s="123" t="str" cm="1">
        <f t="array" ref="T149">Common_InputFunctions.Utility_DisplayArrayInTable(Fertiliser_SourceData.Fertiliser_Products_Data4(),FertiliserProducts[[#Headers],[Product]], 90)</f>
        <v/>
      </c>
      <c r="U149" s="123" t="str" cm="1">
        <f t="array" ref="U149">Common_InputFunctions.Utility_DisplayArrayInTable(Fertiliser_SourceData.Fertiliser_Products_Data4(),FertiliserProducts[[#Headers],[Product]], 90)</f>
        <v/>
      </c>
      <c r="V149" s="123" t="str" cm="1">
        <f t="array" ref="V149">Common_InputFunctions.Utility_DisplayArrayInTable(Fertiliser_SourceData.Fertiliser_Products_Data4(),FertiliserProducts[[#Headers],[Product]], 90)</f>
        <v/>
      </c>
      <c r="W149" s="123" t="str" cm="1">
        <f t="array" ref="W149">Common_InputFunctions.Utility_DisplayArrayInTable(Fertiliser_SourceData.Fertiliser_Products_Data4(),FertiliserProducts[[#Headers],[Product]], 90)</f>
        <v>Crop Nutrition Solutions (Yara Australia)</v>
      </c>
    </row>
    <row r="150" spans="4:23" ht="20.100000000000001" customHeight="1" x14ac:dyDescent="0.25">
      <c r="D150" s="123" t="str" cm="1">
        <f t="array" ref="D150">Common_InputFunctions.Utility_DisplayArrayInTable(Fertiliser_SourceData.Fertiliser_Products_Data4(),FertiliserProducts[[#Headers],[Product]], 90)</f>
        <v>YaraVita FRUTREL</v>
      </c>
      <c r="E150" s="123" t="str" cm="1">
        <f t="array" ref="E150">Common_InputFunctions.Utility_DisplayArrayInTable(Fertiliser_SourceData.Fertiliser_Products_Data4(),FertiliserProducts[[#Headers],[Product]], 90)</f>
        <v/>
      </c>
      <c r="F150" s="123" t="str" cm="1">
        <f t="array" ref="F150">Common_InputFunctions.Utility_DisplayArrayInTable(Fertiliser_SourceData.Fertiliser_Products_Data4(),FertiliserProducts[[#Headers],[Product]], 90)</f>
        <v/>
      </c>
      <c r="G150" s="123" t="str" cm="1">
        <f t="array" ref="G150">Common_InputFunctions.Utility_DisplayArrayInTable(Fertiliser_SourceData.Fertiliser_Products_Data4(),FertiliserProducts[[#Headers],[Product]], 90)</f>
        <v/>
      </c>
      <c r="H150" s="123" t="str" cm="1">
        <f t="array" ref="H150">Common_InputFunctions.Utility_DisplayArrayInTable(Fertiliser_SourceData.Fertiliser_Products_Data4(),FertiliserProducts[[#Headers],[Product]], 90)</f>
        <v/>
      </c>
      <c r="I150" s="123" t="str" cm="1">
        <f t="array" ref="I150">Common_InputFunctions.Utility_DisplayArrayInTable(Fertiliser_SourceData.Fertiliser_Products_Data4(),FertiliserProducts[[#Headers],[Product]], 90)</f>
        <v/>
      </c>
      <c r="J150" s="123" t="str" cm="1">
        <f t="array" ref="J150">Common_InputFunctions.Utility_DisplayArrayInTable(Fertiliser_SourceData.Fertiliser_Products_Data4(),FertiliserProducts[[#Headers],[Product]], 90)</f>
        <v/>
      </c>
      <c r="K150" s="123" t="str" cm="1">
        <f t="array" ref="K150">Common_InputFunctions.Utility_DisplayArrayInTable(Fertiliser_SourceData.Fertiliser_Products_Data4(),FertiliserProducts[[#Headers],[Product]], 90)</f>
        <v/>
      </c>
      <c r="L150" s="123" t="str" cm="1">
        <f t="array" ref="L150">Common_InputFunctions.Utility_DisplayArrayInTable(Fertiliser_SourceData.Fertiliser_Products_Data4(),FertiliserProducts[[#Headers],[Product]], 90)</f>
        <v/>
      </c>
      <c r="M150" s="123" t="str" cm="1">
        <f t="array" ref="M150">Common_InputFunctions.Utility_DisplayArrayInTable(Fertiliser_SourceData.Fertiliser_Products_Data4(),FertiliserProducts[[#Headers],[Product]], 90)</f>
        <v/>
      </c>
      <c r="N150" s="123" t="str" cm="1">
        <f t="array" ref="N150">Common_InputFunctions.Utility_DisplayArrayInTable(Fertiliser_SourceData.Fertiliser_Products_Data4(),FertiliserProducts[[#Headers],[Product]], 90)</f>
        <v/>
      </c>
      <c r="O150" s="123" t="str" cm="1">
        <f t="array" ref="O150">Common_InputFunctions.Utility_DisplayArrayInTable(Fertiliser_SourceData.Fertiliser_Products_Data4(),FertiliserProducts[[#Headers],[Product]], 90)</f>
        <v/>
      </c>
      <c r="P150" s="123" t="str" cm="1">
        <f t="array" ref="P150">Common_InputFunctions.Utility_DisplayArrayInTable(Fertiliser_SourceData.Fertiliser_Products_Data4(),FertiliserProducts[[#Headers],[Product]], 90)</f>
        <v/>
      </c>
      <c r="Q150" s="123" t="str" cm="1">
        <f t="array" ref="Q150">Common_InputFunctions.Utility_DisplayArrayInTable(Fertiliser_SourceData.Fertiliser_Products_Data4(),FertiliserProducts[[#Headers],[Product]], 90)</f>
        <v/>
      </c>
      <c r="R150" s="123" t="str" cm="1">
        <f t="array" ref="R150">Common_InputFunctions.Utility_DisplayArrayInTable(Fertiliser_SourceData.Fertiliser_Products_Data4(),FertiliserProducts[[#Headers],[Product]], 90)</f>
        <v/>
      </c>
      <c r="S150" s="123" t="str" cm="1">
        <f t="array" ref="S150">Common_InputFunctions.Utility_DisplayArrayInTable(Fertiliser_SourceData.Fertiliser_Products_Data4(),FertiliserProducts[[#Headers],[Product]], 90)</f>
        <v/>
      </c>
      <c r="T150" s="123" t="str" cm="1">
        <f t="array" ref="T150">Common_InputFunctions.Utility_DisplayArrayInTable(Fertiliser_SourceData.Fertiliser_Products_Data4(),FertiliserProducts[[#Headers],[Product]], 90)</f>
        <v/>
      </c>
      <c r="U150" s="123" t="str" cm="1">
        <f t="array" ref="U150">Common_InputFunctions.Utility_DisplayArrayInTable(Fertiliser_SourceData.Fertiliser_Products_Data4(),FertiliserProducts[[#Headers],[Product]], 90)</f>
        <v/>
      </c>
      <c r="V150" s="123" t="str" cm="1">
        <f t="array" ref="V150">Common_InputFunctions.Utility_DisplayArrayInTable(Fertiliser_SourceData.Fertiliser_Products_Data4(),FertiliserProducts[[#Headers],[Product]], 90)</f>
        <v/>
      </c>
      <c r="W150" s="123" t="str" cm="1">
        <f t="array" ref="W150">Common_InputFunctions.Utility_DisplayArrayInTable(Fertiliser_SourceData.Fertiliser_Products_Data4(),FertiliserProducts[[#Headers],[Product]], 90)</f>
        <v>Crop Nutrition Solutions (Yara Australia)</v>
      </c>
    </row>
    <row r="151" spans="4:23" ht="20.100000000000001" customHeight="1" x14ac:dyDescent="0.25">
      <c r="D151" s="123" t="str" cm="1">
        <f t="array" ref="D151">Common_InputFunctions.Utility_DisplayArrayInTable(Fertiliser_SourceData.Fertiliser_Products_Data4(),FertiliserProducts[[#Headers],[Product]], 90)</f>
        <v>YaraVita GLYTREL ZnP</v>
      </c>
      <c r="E151" s="123" t="str" cm="1">
        <f t="array" ref="E151">Common_InputFunctions.Utility_DisplayArrayInTable(Fertiliser_SourceData.Fertiliser_Products_Data4(),FertiliserProducts[[#Headers],[Product]], 90)</f>
        <v/>
      </c>
      <c r="F151" s="123" t="str" cm="1">
        <f t="array" ref="F151">Common_InputFunctions.Utility_DisplayArrayInTable(Fertiliser_SourceData.Fertiliser_Products_Data4(),FertiliserProducts[[#Headers],[Product]], 90)</f>
        <v/>
      </c>
      <c r="G151" s="123" t="str" cm="1">
        <f t="array" ref="G151">Common_InputFunctions.Utility_DisplayArrayInTable(Fertiliser_SourceData.Fertiliser_Products_Data4(),FertiliserProducts[[#Headers],[Product]], 90)</f>
        <v/>
      </c>
      <c r="H151" s="123" t="str" cm="1">
        <f t="array" ref="H151">Common_InputFunctions.Utility_DisplayArrayInTable(Fertiliser_SourceData.Fertiliser_Products_Data4(),FertiliserProducts[[#Headers],[Product]], 90)</f>
        <v/>
      </c>
      <c r="I151" s="123" t="str" cm="1">
        <f t="array" ref="I151">Common_InputFunctions.Utility_DisplayArrayInTable(Fertiliser_SourceData.Fertiliser_Products_Data4(),FertiliserProducts[[#Headers],[Product]], 90)</f>
        <v/>
      </c>
      <c r="J151" s="123" t="str" cm="1">
        <f t="array" ref="J151">Common_InputFunctions.Utility_DisplayArrayInTable(Fertiliser_SourceData.Fertiliser_Products_Data4(),FertiliserProducts[[#Headers],[Product]], 90)</f>
        <v/>
      </c>
      <c r="K151" s="123" t="str" cm="1">
        <f t="array" ref="K151">Common_InputFunctions.Utility_DisplayArrayInTable(Fertiliser_SourceData.Fertiliser_Products_Data4(),FertiliserProducts[[#Headers],[Product]], 90)</f>
        <v/>
      </c>
      <c r="L151" s="123" t="str" cm="1">
        <f t="array" ref="L151">Common_InputFunctions.Utility_DisplayArrayInTable(Fertiliser_SourceData.Fertiliser_Products_Data4(),FertiliserProducts[[#Headers],[Product]], 90)</f>
        <v/>
      </c>
      <c r="M151" s="123" t="str" cm="1">
        <f t="array" ref="M151">Common_InputFunctions.Utility_DisplayArrayInTable(Fertiliser_SourceData.Fertiliser_Products_Data4(),FertiliserProducts[[#Headers],[Product]], 90)</f>
        <v/>
      </c>
      <c r="N151" s="123" t="str" cm="1">
        <f t="array" ref="N151">Common_InputFunctions.Utility_DisplayArrayInTable(Fertiliser_SourceData.Fertiliser_Products_Data4(),FertiliserProducts[[#Headers],[Product]], 90)</f>
        <v/>
      </c>
      <c r="O151" s="123" t="str" cm="1">
        <f t="array" ref="O151">Common_InputFunctions.Utility_DisplayArrayInTable(Fertiliser_SourceData.Fertiliser_Products_Data4(),FertiliserProducts[[#Headers],[Product]], 90)</f>
        <v/>
      </c>
      <c r="P151" s="123" t="str" cm="1">
        <f t="array" ref="P151">Common_InputFunctions.Utility_DisplayArrayInTable(Fertiliser_SourceData.Fertiliser_Products_Data4(),FertiliserProducts[[#Headers],[Product]], 90)</f>
        <v/>
      </c>
      <c r="Q151" s="123" t="str" cm="1">
        <f t="array" ref="Q151">Common_InputFunctions.Utility_DisplayArrayInTable(Fertiliser_SourceData.Fertiliser_Products_Data4(),FertiliserProducts[[#Headers],[Product]], 90)</f>
        <v/>
      </c>
      <c r="R151" s="123" t="str" cm="1">
        <f t="array" ref="R151">Common_InputFunctions.Utility_DisplayArrayInTable(Fertiliser_SourceData.Fertiliser_Products_Data4(),FertiliserProducts[[#Headers],[Product]], 90)</f>
        <v/>
      </c>
      <c r="S151" s="123" t="str" cm="1">
        <f t="array" ref="S151">Common_InputFunctions.Utility_DisplayArrayInTable(Fertiliser_SourceData.Fertiliser_Products_Data4(),FertiliserProducts[[#Headers],[Product]], 90)</f>
        <v/>
      </c>
      <c r="T151" s="123" t="str" cm="1">
        <f t="array" ref="T151">Common_InputFunctions.Utility_DisplayArrayInTable(Fertiliser_SourceData.Fertiliser_Products_Data4(),FertiliserProducts[[#Headers],[Product]], 90)</f>
        <v/>
      </c>
      <c r="U151" s="123" t="str" cm="1">
        <f t="array" ref="U151">Common_InputFunctions.Utility_DisplayArrayInTable(Fertiliser_SourceData.Fertiliser_Products_Data4(),FertiliserProducts[[#Headers],[Product]], 90)</f>
        <v/>
      </c>
      <c r="V151" s="123" t="str" cm="1">
        <f t="array" ref="V151">Common_InputFunctions.Utility_DisplayArrayInTable(Fertiliser_SourceData.Fertiliser_Products_Data4(),FertiliserProducts[[#Headers],[Product]], 90)</f>
        <v/>
      </c>
      <c r="W151" s="123" t="str" cm="1">
        <f t="array" ref="W151">Common_InputFunctions.Utility_DisplayArrayInTable(Fertiliser_SourceData.Fertiliser_Products_Data4(),FertiliserProducts[[#Headers],[Product]], 90)</f>
        <v>Crop Nutrition Solutions (Yara Australia)</v>
      </c>
    </row>
    <row r="152" spans="4:23" ht="20.100000000000001" customHeight="1" x14ac:dyDescent="0.25">
      <c r="D152" s="123" t="str" cm="1">
        <f t="array" ref="D152">Common_InputFunctions.Utility_DisplayArrayInTable(Fertiliser_SourceData.Fertiliser_Products_Data4(),FertiliserProducts[[#Headers],[Product]], 90)</f>
        <v>YaraVita GRAMITREL</v>
      </c>
      <c r="E152" s="123" t="str" cm="1">
        <f t="array" ref="E152">Common_InputFunctions.Utility_DisplayArrayInTable(Fertiliser_SourceData.Fertiliser_Products_Data4(),FertiliserProducts[[#Headers],[Product]], 90)</f>
        <v/>
      </c>
      <c r="F152" s="123" t="str" cm="1">
        <f t="array" ref="F152">Common_InputFunctions.Utility_DisplayArrayInTable(Fertiliser_SourceData.Fertiliser_Products_Data4(),FertiliserProducts[[#Headers],[Product]], 90)</f>
        <v/>
      </c>
      <c r="G152" s="123" t="str" cm="1">
        <f t="array" ref="G152">Common_InputFunctions.Utility_DisplayArrayInTable(Fertiliser_SourceData.Fertiliser_Products_Data4(),FertiliserProducts[[#Headers],[Product]], 90)</f>
        <v/>
      </c>
      <c r="H152" s="123" t="str" cm="1">
        <f t="array" ref="H152">Common_InputFunctions.Utility_DisplayArrayInTable(Fertiliser_SourceData.Fertiliser_Products_Data4(),FertiliserProducts[[#Headers],[Product]], 90)</f>
        <v/>
      </c>
      <c r="I152" s="123" t="str" cm="1">
        <f t="array" ref="I152">Common_InputFunctions.Utility_DisplayArrayInTable(Fertiliser_SourceData.Fertiliser_Products_Data4(),FertiliserProducts[[#Headers],[Product]], 90)</f>
        <v/>
      </c>
      <c r="J152" s="123" t="str" cm="1">
        <f t="array" ref="J152">Common_InputFunctions.Utility_DisplayArrayInTable(Fertiliser_SourceData.Fertiliser_Products_Data4(),FertiliserProducts[[#Headers],[Product]], 90)</f>
        <v/>
      </c>
      <c r="K152" s="123" t="str" cm="1">
        <f t="array" ref="K152">Common_InputFunctions.Utility_DisplayArrayInTable(Fertiliser_SourceData.Fertiliser_Products_Data4(),FertiliserProducts[[#Headers],[Product]], 90)</f>
        <v/>
      </c>
      <c r="L152" s="123" t="str" cm="1">
        <f t="array" ref="L152">Common_InputFunctions.Utility_DisplayArrayInTable(Fertiliser_SourceData.Fertiliser_Products_Data4(),FertiliserProducts[[#Headers],[Product]], 90)</f>
        <v/>
      </c>
      <c r="M152" s="123" t="str" cm="1">
        <f t="array" ref="M152">Common_InputFunctions.Utility_DisplayArrayInTable(Fertiliser_SourceData.Fertiliser_Products_Data4(),FertiliserProducts[[#Headers],[Product]], 90)</f>
        <v/>
      </c>
      <c r="N152" s="123" t="str" cm="1">
        <f t="array" ref="N152">Common_InputFunctions.Utility_DisplayArrayInTable(Fertiliser_SourceData.Fertiliser_Products_Data4(),FertiliserProducts[[#Headers],[Product]], 90)</f>
        <v/>
      </c>
      <c r="O152" s="123" t="str" cm="1">
        <f t="array" ref="O152">Common_InputFunctions.Utility_DisplayArrayInTable(Fertiliser_SourceData.Fertiliser_Products_Data4(),FertiliserProducts[[#Headers],[Product]], 90)</f>
        <v/>
      </c>
      <c r="P152" s="123" t="str" cm="1">
        <f t="array" ref="P152">Common_InputFunctions.Utility_DisplayArrayInTable(Fertiliser_SourceData.Fertiliser_Products_Data4(),FertiliserProducts[[#Headers],[Product]], 90)</f>
        <v/>
      </c>
      <c r="Q152" s="123" t="str" cm="1">
        <f t="array" ref="Q152">Common_InputFunctions.Utility_DisplayArrayInTable(Fertiliser_SourceData.Fertiliser_Products_Data4(),FertiliserProducts[[#Headers],[Product]], 90)</f>
        <v/>
      </c>
      <c r="R152" s="123" t="str" cm="1">
        <f t="array" ref="R152">Common_InputFunctions.Utility_DisplayArrayInTable(Fertiliser_SourceData.Fertiliser_Products_Data4(),FertiliserProducts[[#Headers],[Product]], 90)</f>
        <v/>
      </c>
      <c r="S152" s="123" t="str" cm="1">
        <f t="array" ref="S152">Common_InputFunctions.Utility_DisplayArrayInTable(Fertiliser_SourceData.Fertiliser_Products_Data4(),FertiliserProducts[[#Headers],[Product]], 90)</f>
        <v/>
      </c>
      <c r="T152" s="123" t="str" cm="1">
        <f t="array" ref="T152">Common_InputFunctions.Utility_DisplayArrayInTable(Fertiliser_SourceData.Fertiliser_Products_Data4(),FertiliserProducts[[#Headers],[Product]], 90)</f>
        <v/>
      </c>
      <c r="U152" s="123" t="str" cm="1">
        <f t="array" ref="U152">Common_InputFunctions.Utility_DisplayArrayInTable(Fertiliser_SourceData.Fertiliser_Products_Data4(),FertiliserProducts[[#Headers],[Product]], 90)</f>
        <v/>
      </c>
      <c r="V152" s="123" t="str" cm="1">
        <f t="array" ref="V152">Common_InputFunctions.Utility_DisplayArrayInTable(Fertiliser_SourceData.Fertiliser_Products_Data4(),FertiliserProducts[[#Headers],[Product]], 90)</f>
        <v/>
      </c>
      <c r="W152" s="123" t="str" cm="1">
        <f t="array" ref="W152">Common_InputFunctions.Utility_DisplayArrayInTable(Fertiliser_SourceData.Fertiliser_Products_Data4(),FertiliserProducts[[#Headers],[Product]], 90)</f>
        <v>Crop Nutrition Solutions (Yara Australia)</v>
      </c>
    </row>
    <row r="153" spans="4:23" ht="20.100000000000001" customHeight="1" x14ac:dyDescent="0.25">
      <c r="D153" s="123" t="str" cm="1">
        <f t="array" ref="D153">Common_InputFunctions.Utility_DisplayArrayInTable(Fertiliser_SourceData.Fertiliser_Products_Data4(),FertiliserProducts[[#Headers],[Product]], 90)</f>
        <v>YaraVita KOMBIPHOS</v>
      </c>
      <c r="E153" s="123" t="str" cm="1">
        <f t="array" ref="E153">Common_InputFunctions.Utility_DisplayArrayInTable(Fertiliser_SourceData.Fertiliser_Products_Data4(),FertiliserProducts[[#Headers],[Product]], 90)</f>
        <v/>
      </c>
      <c r="F153" s="123" t="str" cm="1">
        <f t="array" ref="F153">Common_InputFunctions.Utility_DisplayArrayInTable(Fertiliser_SourceData.Fertiliser_Products_Data4(),FertiliserProducts[[#Headers],[Product]], 90)</f>
        <v/>
      </c>
      <c r="G153" s="123" t="str" cm="1">
        <f t="array" ref="G153">Common_InputFunctions.Utility_DisplayArrayInTable(Fertiliser_SourceData.Fertiliser_Products_Data4(),FertiliserProducts[[#Headers],[Product]], 90)</f>
        <v/>
      </c>
      <c r="H153" s="123" t="str" cm="1">
        <f t="array" ref="H153">Common_InputFunctions.Utility_DisplayArrayInTable(Fertiliser_SourceData.Fertiliser_Products_Data4(),FertiliserProducts[[#Headers],[Product]], 90)</f>
        <v/>
      </c>
      <c r="I153" s="123" t="str" cm="1">
        <f t="array" ref="I153">Common_InputFunctions.Utility_DisplayArrayInTable(Fertiliser_SourceData.Fertiliser_Products_Data4(),FertiliserProducts[[#Headers],[Product]], 90)</f>
        <v/>
      </c>
      <c r="J153" s="123" t="str" cm="1">
        <f t="array" ref="J153">Common_InputFunctions.Utility_DisplayArrayInTable(Fertiliser_SourceData.Fertiliser_Products_Data4(),FertiliserProducts[[#Headers],[Product]], 90)</f>
        <v/>
      </c>
      <c r="K153" s="123" t="str" cm="1">
        <f t="array" ref="K153">Common_InputFunctions.Utility_DisplayArrayInTable(Fertiliser_SourceData.Fertiliser_Products_Data4(),FertiliserProducts[[#Headers],[Product]], 90)</f>
        <v/>
      </c>
      <c r="L153" s="123" t="str" cm="1">
        <f t="array" ref="L153">Common_InputFunctions.Utility_DisplayArrayInTable(Fertiliser_SourceData.Fertiliser_Products_Data4(),FertiliserProducts[[#Headers],[Product]], 90)</f>
        <v/>
      </c>
      <c r="M153" s="123" t="str" cm="1">
        <f t="array" ref="M153">Common_InputFunctions.Utility_DisplayArrayInTable(Fertiliser_SourceData.Fertiliser_Products_Data4(),FertiliserProducts[[#Headers],[Product]], 90)</f>
        <v/>
      </c>
      <c r="N153" s="123" t="str" cm="1">
        <f t="array" ref="N153">Common_InputFunctions.Utility_DisplayArrayInTable(Fertiliser_SourceData.Fertiliser_Products_Data4(),FertiliserProducts[[#Headers],[Product]], 90)</f>
        <v/>
      </c>
      <c r="O153" s="123" t="str" cm="1">
        <f t="array" ref="O153">Common_InputFunctions.Utility_DisplayArrayInTable(Fertiliser_SourceData.Fertiliser_Products_Data4(),FertiliserProducts[[#Headers],[Product]], 90)</f>
        <v/>
      </c>
      <c r="P153" s="123" t="str" cm="1">
        <f t="array" ref="P153">Common_InputFunctions.Utility_DisplayArrayInTable(Fertiliser_SourceData.Fertiliser_Products_Data4(),FertiliserProducts[[#Headers],[Product]], 90)</f>
        <v/>
      </c>
      <c r="Q153" s="123" t="str" cm="1">
        <f t="array" ref="Q153">Common_InputFunctions.Utility_DisplayArrayInTable(Fertiliser_SourceData.Fertiliser_Products_Data4(),FertiliserProducts[[#Headers],[Product]], 90)</f>
        <v/>
      </c>
      <c r="R153" s="123" t="str" cm="1">
        <f t="array" ref="R153">Common_InputFunctions.Utility_DisplayArrayInTable(Fertiliser_SourceData.Fertiliser_Products_Data4(),FertiliserProducts[[#Headers],[Product]], 90)</f>
        <v/>
      </c>
      <c r="S153" s="123" t="str" cm="1">
        <f t="array" ref="S153">Common_InputFunctions.Utility_DisplayArrayInTable(Fertiliser_SourceData.Fertiliser_Products_Data4(),FertiliserProducts[[#Headers],[Product]], 90)</f>
        <v/>
      </c>
      <c r="T153" s="123" t="str" cm="1">
        <f t="array" ref="T153">Common_InputFunctions.Utility_DisplayArrayInTable(Fertiliser_SourceData.Fertiliser_Products_Data4(),FertiliserProducts[[#Headers],[Product]], 90)</f>
        <v/>
      </c>
      <c r="U153" s="123" t="str" cm="1">
        <f t="array" ref="U153">Common_InputFunctions.Utility_DisplayArrayInTable(Fertiliser_SourceData.Fertiliser_Products_Data4(),FertiliserProducts[[#Headers],[Product]], 90)</f>
        <v/>
      </c>
      <c r="V153" s="123" t="str" cm="1">
        <f t="array" ref="V153">Common_InputFunctions.Utility_DisplayArrayInTable(Fertiliser_SourceData.Fertiliser_Products_Data4(),FertiliserProducts[[#Headers],[Product]], 90)</f>
        <v/>
      </c>
      <c r="W153" s="123" t="str" cm="1">
        <f t="array" ref="W153">Common_InputFunctions.Utility_DisplayArrayInTable(Fertiliser_SourceData.Fertiliser_Products_Data4(),FertiliserProducts[[#Headers],[Product]], 90)</f>
        <v>Crop Nutrition Solutions (Yara Australia)</v>
      </c>
    </row>
    <row r="154" spans="4:23" ht="20.100000000000001" customHeight="1" x14ac:dyDescent="0.25">
      <c r="D154" s="123" t="str" cm="1">
        <f t="array" ref="D154">Common_InputFunctions.Utility_DisplayArrayInTable(Fertiliser_SourceData.Fertiliser_Products_Data4(),FertiliserProducts[[#Headers],[Product]], 90)</f>
        <v>YaraVita MANGZINC</v>
      </c>
      <c r="E154" s="123" t="str" cm="1">
        <f t="array" ref="E154">Common_InputFunctions.Utility_DisplayArrayInTable(Fertiliser_SourceData.Fertiliser_Products_Data4(),FertiliserProducts[[#Headers],[Product]], 90)</f>
        <v/>
      </c>
      <c r="F154" s="123" t="str" cm="1">
        <f t="array" ref="F154">Common_InputFunctions.Utility_DisplayArrayInTable(Fertiliser_SourceData.Fertiliser_Products_Data4(),FertiliserProducts[[#Headers],[Product]], 90)</f>
        <v/>
      </c>
      <c r="G154" s="123" t="str" cm="1">
        <f t="array" ref="G154">Common_InputFunctions.Utility_DisplayArrayInTable(Fertiliser_SourceData.Fertiliser_Products_Data4(),FertiliserProducts[[#Headers],[Product]], 90)</f>
        <v/>
      </c>
      <c r="H154" s="123" t="str" cm="1">
        <f t="array" ref="H154">Common_InputFunctions.Utility_DisplayArrayInTable(Fertiliser_SourceData.Fertiliser_Products_Data4(),FertiliserProducts[[#Headers],[Product]], 90)</f>
        <v/>
      </c>
      <c r="I154" s="123" t="str" cm="1">
        <f t="array" ref="I154">Common_InputFunctions.Utility_DisplayArrayInTable(Fertiliser_SourceData.Fertiliser_Products_Data4(),FertiliserProducts[[#Headers],[Product]], 90)</f>
        <v/>
      </c>
      <c r="J154" s="123" t="str" cm="1">
        <f t="array" ref="J154">Common_InputFunctions.Utility_DisplayArrayInTable(Fertiliser_SourceData.Fertiliser_Products_Data4(),FertiliserProducts[[#Headers],[Product]], 90)</f>
        <v/>
      </c>
      <c r="K154" s="123" t="str" cm="1">
        <f t="array" ref="K154">Common_InputFunctions.Utility_DisplayArrayInTable(Fertiliser_SourceData.Fertiliser_Products_Data4(),FertiliserProducts[[#Headers],[Product]], 90)</f>
        <v/>
      </c>
      <c r="L154" s="123" t="str" cm="1">
        <f t="array" ref="L154">Common_InputFunctions.Utility_DisplayArrayInTable(Fertiliser_SourceData.Fertiliser_Products_Data4(),FertiliserProducts[[#Headers],[Product]], 90)</f>
        <v/>
      </c>
      <c r="M154" s="123" t="str" cm="1">
        <f t="array" ref="M154">Common_InputFunctions.Utility_DisplayArrayInTable(Fertiliser_SourceData.Fertiliser_Products_Data4(),FertiliserProducts[[#Headers],[Product]], 90)</f>
        <v/>
      </c>
      <c r="N154" s="123" t="str" cm="1">
        <f t="array" ref="N154">Common_InputFunctions.Utility_DisplayArrayInTable(Fertiliser_SourceData.Fertiliser_Products_Data4(),FertiliserProducts[[#Headers],[Product]], 90)</f>
        <v/>
      </c>
      <c r="O154" s="123" t="str" cm="1">
        <f t="array" ref="O154">Common_InputFunctions.Utility_DisplayArrayInTable(Fertiliser_SourceData.Fertiliser_Products_Data4(),FertiliserProducts[[#Headers],[Product]], 90)</f>
        <v/>
      </c>
      <c r="P154" s="123" t="str" cm="1">
        <f t="array" ref="P154">Common_InputFunctions.Utility_DisplayArrayInTable(Fertiliser_SourceData.Fertiliser_Products_Data4(),FertiliserProducts[[#Headers],[Product]], 90)</f>
        <v/>
      </c>
      <c r="Q154" s="123" t="str" cm="1">
        <f t="array" ref="Q154">Common_InputFunctions.Utility_DisplayArrayInTable(Fertiliser_SourceData.Fertiliser_Products_Data4(),FertiliserProducts[[#Headers],[Product]], 90)</f>
        <v/>
      </c>
      <c r="R154" s="123" t="str" cm="1">
        <f t="array" ref="R154">Common_InputFunctions.Utility_DisplayArrayInTable(Fertiliser_SourceData.Fertiliser_Products_Data4(),FertiliserProducts[[#Headers],[Product]], 90)</f>
        <v/>
      </c>
      <c r="S154" s="123" t="str" cm="1">
        <f t="array" ref="S154">Common_InputFunctions.Utility_DisplayArrayInTable(Fertiliser_SourceData.Fertiliser_Products_Data4(),FertiliserProducts[[#Headers],[Product]], 90)</f>
        <v/>
      </c>
      <c r="T154" s="123" t="str" cm="1">
        <f t="array" ref="T154">Common_InputFunctions.Utility_DisplayArrayInTable(Fertiliser_SourceData.Fertiliser_Products_Data4(),FertiliserProducts[[#Headers],[Product]], 90)</f>
        <v/>
      </c>
      <c r="U154" s="123" t="str" cm="1">
        <f t="array" ref="U154">Common_InputFunctions.Utility_DisplayArrayInTable(Fertiliser_SourceData.Fertiliser_Products_Data4(),FertiliserProducts[[#Headers],[Product]], 90)</f>
        <v/>
      </c>
      <c r="V154" s="123" t="str" cm="1">
        <f t="array" ref="V154">Common_InputFunctions.Utility_DisplayArrayInTable(Fertiliser_SourceData.Fertiliser_Products_Data4(),FertiliserProducts[[#Headers],[Product]], 90)</f>
        <v/>
      </c>
      <c r="W154" s="123" t="str" cm="1">
        <f t="array" ref="W154">Common_InputFunctions.Utility_DisplayArrayInTable(Fertiliser_SourceData.Fertiliser_Products_Data4(),FertiliserProducts[[#Headers],[Product]], 90)</f>
        <v>Crop Nutrition Solutions (Yara Australia)</v>
      </c>
    </row>
    <row r="155" spans="4:23" ht="20.100000000000001" customHeight="1" x14ac:dyDescent="0.25">
      <c r="D155" s="123" t="str" cm="1">
        <f t="array" ref="D155">Common_InputFunctions.Utility_DisplayArrayInTable(Fertiliser_SourceData.Fertiliser_Products_Data4(),FertiliserProducts[[#Headers],[Product]], 90)</f>
        <v>YaraVita MOLYTRAC</v>
      </c>
      <c r="E155" s="123" t="str" cm="1">
        <f t="array" ref="E155">Common_InputFunctions.Utility_DisplayArrayInTable(Fertiliser_SourceData.Fertiliser_Products_Data4(),FertiliserProducts[[#Headers],[Product]], 90)</f>
        <v/>
      </c>
      <c r="F155" s="123" t="str" cm="1">
        <f t="array" ref="F155">Common_InputFunctions.Utility_DisplayArrayInTable(Fertiliser_SourceData.Fertiliser_Products_Data4(),FertiliserProducts[[#Headers],[Product]], 90)</f>
        <v/>
      </c>
      <c r="G155" s="123" t="str" cm="1">
        <f t="array" ref="G155">Common_InputFunctions.Utility_DisplayArrayInTable(Fertiliser_SourceData.Fertiliser_Products_Data4(),FertiliserProducts[[#Headers],[Product]], 90)</f>
        <v/>
      </c>
      <c r="H155" s="123" t="str" cm="1">
        <f t="array" ref="H155">Common_InputFunctions.Utility_DisplayArrayInTable(Fertiliser_SourceData.Fertiliser_Products_Data4(),FertiliserProducts[[#Headers],[Product]], 90)</f>
        <v/>
      </c>
      <c r="I155" s="123" t="str" cm="1">
        <f t="array" ref="I155">Common_InputFunctions.Utility_DisplayArrayInTable(Fertiliser_SourceData.Fertiliser_Products_Data4(),FertiliserProducts[[#Headers],[Product]], 90)</f>
        <v/>
      </c>
      <c r="J155" s="123" t="str" cm="1">
        <f t="array" ref="J155">Common_InputFunctions.Utility_DisplayArrayInTable(Fertiliser_SourceData.Fertiliser_Products_Data4(),FertiliserProducts[[#Headers],[Product]], 90)</f>
        <v/>
      </c>
      <c r="K155" s="123" t="str" cm="1">
        <f t="array" ref="K155">Common_InputFunctions.Utility_DisplayArrayInTable(Fertiliser_SourceData.Fertiliser_Products_Data4(),FertiliserProducts[[#Headers],[Product]], 90)</f>
        <v/>
      </c>
      <c r="L155" s="123" t="str" cm="1">
        <f t="array" ref="L155">Common_InputFunctions.Utility_DisplayArrayInTable(Fertiliser_SourceData.Fertiliser_Products_Data4(),FertiliserProducts[[#Headers],[Product]], 90)</f>
        <v/>
      </c>
      <c r="M155" s="123" t="str" cm="1">
        <f t="array" ref="M155">Common_InputFunctions.Utility_DisplayArrayInTable(Fertiliser_SourceData.Fertiliser_Products_Data4(),FertiliserProducts[[#Headers],[Product]], 90)</f>
        <v/>
      </c>
      <c r="N155" s="123" t="str" cm="1">
        <f t="array" ref="N155">Common_InputFunctions.Utility_DisplayArrayInTable(Fertiliser_SourceData.Fertiliser_Products_Data4(),FertiliserProducts[[#Headers],[Product]], 90)</f>
        <v/>
      </c>
      <c r="O155" s="123" t="str" cm="1">
        <f t="array" ref="O155">Common_InputFunctions.Utility_DisplayArrayInTable(Fertiliser_SourceData.Fertiliser_Products_Data4(),FertiliserProducts[[#Headers],[Product]], 90)</f>
        <v/>
      </c>
      <c r="P155" s="123" t="str" cm="1">
        <f t="array" ref="P155">Common_InputFunctions.Utility_DisplayArrayInTable(Fertiliser_SourceData.Fertiliser_Products_Data4(),FertiliserProducts[[#Headers],[Product]], 90)</f>
        <v/>
      </c>
      <c r="Q155" s="123" t="str" cm="1">
        <f t="array" ref="Q155">Common_InputFunctions.Utility_DisplayArrayInTable(Fertiliser_SourceData.Fertiliser_Products_Data4(),FertiliserProducts[[#Headers],[Product]], 90)</f>
        <v/>
      </c>
      <c r="R155" s="123" t="str" cm="1">
        <f t="array" ref="R155">Common_InputFunctions.Utility_DisplayArrayInTable(Fertiliser_SourceData.Fertiliser_Products_Data4(),FertiliserProducts[[#Headers],[Product]], 90)</f>
        <v/>
      </c>
      <c r="S155" s="123" t="str" cm="1">
        <f t="array" ref="S155">Common_InputFunctions.Utility_DisplayArrayInTable(Fertiliser_SourceData.Fertiliser_Products_Data4(),FertiliserProducts[[#Headers],[Product]], 90)</f>
        <v/>
      </c>
      <c r="T155" s="123" t="str" cm="1">
        <f t="array" ref="T155">Common_InputFunctions.Utility_DisplayArrayInTable(Fertiliser_SourceData.Fertiliser_Products_Data4(),FertiliserProducts[[#Headers],[Product]], 90)</f>
        <v/>
      </c>
      <c r="U155" s="123" t="str" cm="1">
        <f t="array" ref="U155">Common_InputFunctions.Utility_DisplayArrayInTable(Fertiliser_SourceData.Fertiliser_Products_Data4(),FertiliserProducts[[#Headers],[Product]], 90)</f>
        <v/>
      </c>
      <c r="V155" s="123" t="str" cm="1">
        <f t="array" ref="V155">Common_InputFunctions.Utility_DisplayArrayInTable(Fertiliser_SourceData.Fertiliser_Products_Data4(),FertiliserProducts[[#Headers],[Product]], 90)</f>
        <v/>
      </c>
      <c r="W155" s="123" t="str" cm="1">
        <f t="array" ref="W155">Common_InputFunctions.Utility_DisplayArrayInTable(Fertiliser_SourceData.Fertiliser_Products_Data4(),FertiliserProducts[[#Headers],[Product]], 90)</f>
        <v>Crop Nutrition Solutions (Yara Australia)</v>
      </c>
    </row>
    <row r="156" spans="4:23" ht="20.100000000000001" customHeight="1" x14ac:dyDescent="0.25">
      <c r="D156" s="123" t="str" cm="1">
        <f t="array" ref="D156">Common_InputFunctions.Utility_DisplayArrayInTable(Fertiliser_SourceData.Fertiliser_Products_Data4(),FertiliserProducts[[#Headers],[Product]], 90)</f>
        <v>YaraVita SENIPHOS</v>
      </c>
      <c r="E156" s="123" t="str" cm="1">
        <f t="array" ref="E156">Common_InputFunctions.Utility_DisplayArrayInTable(Fertiliser_SourceData.Fertiliser_Products_Data4(),FertiliserProducts[[#Headers],[Product]], 90)</f>
        <v/>
      </c>
      <c r="F156" s="123" t="str" cm="1">
        <f t="array" ref="F156">Common_InputFunctions.Utility_DisplayArrayInTable(Fertiliser_SourceData.Fertiliser_Products_Data4(),FertiliserProducts[[#Headers],[Product]], 90)</f>
        <v/>
      </c>
      <c r="G156" s="123" t="str" cm="1">
        <f t="array" ref="G156">Common_InputFunctions.Utility_DisplayArrayInTable(Fertiliser_SourceData.Fertiliser_Products_Data4(),FertiliserProducts[[#Headers],[Product]], 90)</f>
        <v/>
      </c>
      <c r="H156" s="123" t="str" cm="1">
        <f t="array" ref="H156">Common_InputFunctions.Utility_DisplayArrayInTable(Fertiliser_SourceData.Fertiliser_Products_Data4(),FertiliserProducts[[#Headers],[Product]], 90)</f>
        <v/>
      </c>
      <c r="I156" s="123" t="str" cm="1">
        <f t="array" ref="I156">Common_InputFunctions.Utility_DisplayArrayInTable(Fertiliser_SourceData.Fertiliser_Products_Data4(),FertiliserProducts[[#Headers],[Product]], 90)</f>
        <v/>
      </c>
      <c r="J156" s="123" t="str" cm="1">
        <f t="array" ref="J156">Common_InputFunctions.Utility_DisplayArrayInTable(Fertiliser_SourceData.Fertiliser_Products_Data4(),FertiliserProducts[[#Headers],[Product]], 90)</f>
        <v/>
      </c>
      <c r="K156" s="123" t="str" cm="1">
        <f t="array" ref="K156">Common_InputFunctions.Utility_DisplayArrayInTable(Fertiliser_SourceData.Fertiliser_Products_Data4(),FertiliserProducts[[#Headers],[Product]], 90)</f>
        <v/>
      </c>
      <c r="L156" s="123" t="str" cm="1">
        <f t="array" ref="L156">Common_InputFunctions.Utility_DisplayArrayInTable(Fertiliser_SourceData.Fertiliser_Products_Data4(),FertiliserProducts[[#Headers],[Product]], 90)</f>
        <v/>
      </c>
      <c r="M156" s="123" t="str" cm="1">
        <f t="array" ref="M156">Common_InputFunctions.Utility_DisplayArrayInTable(Fertiliser_SourceData.Fertiliser_Products_Data4(),FertiliserProducts[[#Headers],[Product]], 90)</f>
        <v/>
      </c>
      <c r="N156" s="123" t="str" cm="1">
        <f t="array" ref="N156">Common_InputFunctions.Utility_DisplayArrayInTable(Fertiliser_SourceData.Fertiliser_Products_Data4(),FertiliserProducts[[#Headers],[Product]], 90)</f>
        <v/>
      </c>
      <c r="O156" s="123" t="str" cm="1">
        <f t="array" ref="O156">Common_InputFunctions.Utility_DisplayArrayInTable(Fertiliser_SourceData.Fertiliser_Products_Data4(),FertiliserProducts[[#Headers],[Product]], 90)</f>
        <v/>
      </c>
      <c r="P156" s="123" t="str" cm="1">
        <f t="array" ref="P156">Common_InputFunctions.Utility_DisplayArrayInTable(Fertiliser_SourceData.Fertiliser_Products_Data4(),FertiliserProducts[[#Headers],[Product]], 90)</f>
        <v/>
      </c>
      <c r="Q156" s="123" t="str" cm="1">
        <f t="array" ref="Q156">Common_InputFunctions.Utility_DisplayArrayInTable(Fertiliser_SourceData.Fertiliser_Products_Data4(),FertiliserProducts[[#Headers],[Product]], 90)</f>
        <v/>
      </c>
      <c r="R156" s="123" t="str" cm="1">
        <f t="array" ref="R156">Common_InputFunctions.Utility_DisplayArrayInTable(Fertiliser_SourceData.Fertiliser_Products_Data4(),FertiliserProducts[[#Headers],[Product]], 90)</f>
        <v/>
      </c>
      <c r="S156" s="123" t="str" cm="1">
        <f t="array" ref="S156">Common_InputFunctions.Utility_DisplayArrayInTable(Fertiliser_SourceData.Fertiliser_Products_Data4(),FertiliserProducts[[#Headers],[Product]], 90)</f>
        <v/>
      </c>
      <c r="T156" s="123" t="str" cm="1">
        <f t="array" ref="T156">Common_InputFunctions.Utility_DisplayArrayInTable(Fertiliser_SourceData.Fertiliser_Products_Data4(),FertiliserProducts[[#Headers],[Product]], 90)</f>
        <v/>
      </c>
      <c r="U156" s="123" t="str" cm="1">
        <f t="array" ref="U156">Common_InputFunctions.Utility_DisplayArrayInTable(Fertiliser_SourceData.Fertiliser_Products_Data4(),FertiliserProducts[[#Headers],[Product]], 90)</f>
        <v/>
      </c>
      <c r="V156" s="123" t="str" cm="1">
        <f t="array" ref="V156">Common_InputFunctions.Utility_DisplayArrayInTable(Fertiliser_SourceData.Fertiliser_Products_Data4(),FertiliserProducts[[#Headers],[Product]], 90)</f>
        <v/>
      </c>
      <c r="W156" s="123" t="str" cm="1">
        <f t="array" ref="W156">Common_InputFunctions.Utility_DisplayArrayInTable(Fertiliser_SourceData.Fertiliser_Products_Data4(),FertiliserProducts[[#Headers],[Product]], 90)</f>
        <v>Crop Nutrition Solutions (Yara Australia)</v>
      </c>
    </row>
    <row r="157" spans="4:23" ht="20.100000000000001" customHeight="1" x14ac:dyDescent="0.25">
      <c r="D157" s="123" t="str" cm="1">
        <f t="array" ref="D157">Common_InputFunctions.Utility_DisplayArrayInTable(Fertiliser_SourceData.Fertiliser_Products_Data4(),FertiliserProducts[[#Headers],[Product]], 90)</f>
        <v>YaraVita ZINTRAC</v>
      </c>
      <c r="E157" s="123" t="str" cm="1">
        <f t="array" ref="E157">Common_InputFunctions.Utility_DisplayArrayInTable(Fertiliser_SourceData.Fertiliser_Products_Data4(),FertiliserProducts[[#Headers],[Product]], 90)</f>
        <v/>
      </c>
      <c r="F157" s="123" t="str" cm="1">
        <f t="array" ref="F157">Common_InputFunctions.Utility_DisplayArrayInTable(Fertiliser_SourceData.Fertiliser_Products_Data4(),FertiliserProducts[[#Headers],[Product]], 90)</f>
        <v/>
      </c>
      <c r="G157" s="123" t="str" cm="1">
        <f t="array" ref="G157">Common_InputFunctions.Utility_DisplayArrayInTable(Fertiliser_SourceData.Fertiliser_Products_Data4(),FertiliserProducts[[#Headers],[Product]], 90)</f>
        <v/>
      </c>
      <c r="H157" s="123" t="str" cm="1">
        <f t="array" ref="H157">Common_InputFunctions.Utility_DisplayArrayInTable(Fertiliser_SourceData.Fertiliser_Products_Data4(),FertiliserProducts[[#Headers],[Product]], 90)</f>
        <v/>
      </c>
      <c r="I157" s="123" t="str" cm="1">
        <f t="array" ref="I157">Common_InputFunctions.Utility_DisplayArrayInTable(Fertiliser_SourceData.Fertiliser_Products_Data4(),FertiliserProducts[[#Headers],[Product]], 90)</f>
        <v/>
      </c>
      <c r="J157" s="123" t="str" cm="1">
        <f t="array" ref="J157">Common_InputFunctions.Utility_DisplayArrayInTable(Fertiliser_SourceData.Fertiliser_Products_Data4(),FertiliserProducts[[#Headers],[Product]], 90)</f>
        <v/>
      </c>
      <c r="K157" s="123" t="str" cm="1">
        <f t="array" ref="K157">Common_InputFunctions.Utility_DisplayArrayInTable(Fertiliser_SourceData.Fertiliser_Products_Data4(),FertiliserProducts[[#Headers],[Product]], 90)</f>
        <v/>
      </c>
      <c r="L157" s="123" t="str" cm="1">
        <f t="array" ref="L157">Common_InputFunctions.Utility_DisplayArrayInTable(Fertiliser_SourceData.Fertiliser_Products_Data4(),FertiliserProducts[[#Headers],[Product]], 90)</f>
        <v/>
      </c>
      <c r="M157" s="123" t="str" cm="1">
        <f t="array" ref="M157">Common_InputFunctions.Utility_DisplayArrayInTable(Fertiliser_SourceData.Fertiliser_Products_Data4(),FertiliserProducts[[#Headers],[Product]], 90)</f>
        <v/>
      </c>
      <c r="N157" s="123" t="str" cm="1">
        <f t="array" ref="N157">Common_InputFunctions.Utility_DisplayArrayInTable(Fertiliser_SourceData.Fertiliser_Products_Data4(),FertiliserProducts[[#Headers],[Product]], 90)</f>
        <v/>
      </c>
      <c r="O157" s="123" t="str" cm="1">
        <f t="array" ref="O157">Common_InputFunctions.Utility_DisplayArrayInTable(Fertiliser_SourceData.Fertiliser_Products_Data4(),FertiliserProducts[[#Headers],[Product]], 90)</f>
        <v/>
      </c>
      <c r="P157" s="123" t="str" cm="1">
        <f t="array" ref="P157">Common_InputFunctions.Utility_DisplayArrayInTable(Fertiliser_SourceData.Fertiliser_Products_Data4(),FertiliserProducts[[#Headers],[Product]], 90)</f>
        <v/>
      </c>
      <c r="Q157" s="123" t="str" cm="1">
        <f t="array" ref="Q157">Common_InputFunctions.Utility_DisplayArrayInTable(Fertiliser_SourceData.Fertiliser_Products_Data4(),FertiliserProducts[[#Headers],[Product]], 90)</f>
        <v/>
      </c>
      <c r="R157" s="123" t="str" cm="1">
        <f t="array" ref="R157">Common_InputFunctions.Utility_DisplayArrayInTable(Fertiliser_SourceData.Fertiliser_Products_Data4(),FertiliserProducts[[#Headers],[Product]], 90)</f>
        <v/>
      </c>
      <c r="S157" s="123" t="str" cm="1">
        <f t="array" ref="S157">Common_InputFunctions.Utility_DisplayArrayInTable(Fertiliser_SourceData.Fertiliser_Products_Data4(),FertiliserProducts[[#Headers],[Product]], 90)</f>
        <v/>
      </c>
      <c r="T157" s="123" t="str" cm="1">
        <f t="array" ref="T157">Common_InputFunctions.Utility_DisplayArrayInTable(Fertiliser_SourceData.Fertiliser_Products_Data4(),FertiliserProducts[[#Headers],[Product]], 90)</f>
        <v/>
      </c>
      <c r="U157" s="123" t="str" cm="1">
        <f t="array" ref="U157">Common_InputFunctions.Utility_DisplayArrayInTable(Fertiliser_SourceData.Fertiliser_Products_Data4(),FertiliserProducts[[#Headers],[Product]], 90)</f>
        <v/>
      </c>
      <c r="V157" s="123" t="str" cm="1">
        <f t="array" ref="V157">Common_InputFunctions.Utility_DisplayArrayInTable(Fertiliser_SourceData.Fertiliser_Products_Data4(),FertiliserProducts[[#Headers],[Product]], 90)</f>
        <v/>
      </c>
      <c r="W157" s="123" t="str" cm="1">
        <f t="array" ref="W157">Common_InputFunctions.Utility_DisplayArrayInTable(Fertiliser_SourceData.Fertiliser_Products_Data4(),FertiliserProducts[[#Headers],[Product]], 90)</f>
        <v>Crop Nutrition Solutions (Yara Australia)</v>
      </c>
    </row>
    <row r="158" spans="4:23" ht="20.100000000000001" customHeight="1" x14ac:dyDescent="0.25">
      <c r="D158" s="123" t="str" cm="1">
        <f t="array" ref="D158">Common_InputFunctions.Utility_DisplayArrayInTable(Fertiliser_SourceData.Fertiliser_Products_Data4(),FertiliserProducts[[#Headers],[Product]], 90)</f>
        <v>Zinc Sulphate Monohydrate</v>
      </c>
      <c r="E158" s="123" t="str" cm="1">
        <f t="array" ref="E158">Common_InputFunctions.Utility_DisplayArrayInTable(Fertiliser_SourceData.Fertiliser_Products_Data4(),FertiliserProducts[[#Headers],[Product]], 90)</f>
        <v/>
      </c>
      <c r="F158" s="123" t="str" cm="1">
        <f t="array" ref="F158">Common_InputFunctions.Utility_DisplayArrayInTable(Fertiliser_SourceData.Fertiliser_Products_Data4(),FertiliserProducts[[#Headers],[Product]], 90)</f>
        <v/>
      </c>
      <c r="G158" s="123" t="str" cm="1">
        <f t="array" ref="G158">Common_InputFunctions.Utility_DisplayArrayInTable(Fertiliser_SourceData.Fertiliser_Products_Data4(),FertiliserProducts[[#Headers],[Product]], 90)</f>
        <v/>
      </c>
      <c r="H158" s="123" t="str" cm="1">
        <f t="array" ref="H158">Common_InputFunctions.Utility_DisplayArrayInTable(Fertiliser_SourceData.Fertiliser_Products_Data4(),FertiliserProducts[[#Headers],[Product]], 90)</f>
        <v/>
      </c>
      <c r="I158" s="123" t="str" cm="1">
        <f t="array" ref="I158">Common_InputFunctions.Utility_DisplayArrayInTable(Fertiliser_SourceData.Fertiliser_Products_Data4(),FertiliserProducts[[#Headers],[Product]], 90)</f>
        <v/>
      </c>
      <c r="J158" s="123" t="str" cm="1">
        <f t="array" ref="J158">Common_InputFunctions.Utility_DisplayArrayInTable(Fertiliser_SourceData.Fertiliser_Products_Data4(),FertiliserProducts[[#Headers],[Product]], 90)</f>
        <v/>
      </c>
      <c r="K158" s="123" t="str" cm="1">
        <f t="array" ref="K158">Common_InputFunctions.Utility_DisplayArrayInTable(Fertiliser_SourceData.Fertiliser_Products_Data4(),FertiliserProducts[[#Headers],[Product]], 90)</f>
        <v/>
      </c>
      <c r="L158" s="123" t="str" cm="1">
        <f t="array" ref="L158">Common_InputFunctions.Utility_DisplayArrayInTable(Fertiliser_SourceData.Fertiliser_Products_Data4(),FertiliserProducts[[#Headers],[Product]], 90)</f>
        <v/>
      </c>
      <c r="M158" s="123" t="str" cm="1">
        <f t="array" ref="M158">Common_InputFunctions.Utility_DisplayArrayInTable(Fertiliser_SourceData.Fertiliser_Products_Data4(),FertiliserProducts[[#Headers],[Product]], 90)</f>
        <v/>
      </c>
      <c r="N158" s="123" t="str" cm="1">
        <f t="array" ref="N158">Common_InputFunctions.Utility_DisplayArrayInTable(Fertiliser_SourceData.Fertiliser_Products_Data4(),FertiliserProducts[[#Headers],[Product]], 90)</f>
        <v/>
      </c>
      <c r="O158" s="123" t="str" cm="1">
        <f t="array" ref="O158">Common_InputFunctions.Utility_DisplayArrayInTable(Fertiliser_SourceData.Fertiliser_Products_Data4(),FertiliserProducts[[#Headers],[Product]], 90)</f>
        <v/>
      </c>
      <c r="P158" s="123" t="str" cm="1">
        <f t="array" ref="P158">Common_InputFunctions.Utility_DisplayArrayInTable(Fertiliser_SourceData.Fertiliser_Products_Data4(),FertiliserProducts[[#Headers],[Product]], 90)</f>
        <v/>
      </c>
      <c r="Q158" s="123" t="str" cm="1">
        <f t="array" ref="Q158">Common_InputFunctions.Utility_DisplayArrayInTable(Fertiliser_SourceData.Fertiliser_Products_Data4(),FertiliserProducts[[#Headers],[Product]], 90)</f>
        <v/>
      </c>
      <c r="R158" s="123" t="str" cm="1">
        <f t="array" ref="R158">Common_InputFunctions.Utility_DisplayArrayInTable(Fertiliser_SourceData.Fertiliser_Products_Data4(),FertiliserProducts[[#Headers],[Product]], 90)</f>
        <v/>
      </c>
      <c r="S158" s="123" t="str" cm="1">
        <f t="array" ref="S158">Common_InputFunctions.Utility_DisplayArrayInTable(Fertiliser_SourceData.Fertiliser_Products_Data4(),FertiliserProducts[[#Headers],[Product]], 90)</f>
        <v/>
      </c>
      <c r="T158" s="123" t="str" cm="1">
        <f t="array" ref="T158">Common_InputFunctions.Utility_DisplayArrayInTable(Fertiliser_SourceData.Fertiliser_Products_Data4(),FertiliserProducts[[#Headers],[Product]], 90)</f>
        <v/>
      </c>
      <c r="U158" s="123" t="str" cm="1">
        <f t="array" ref="U158">Common_InputFunctions.Utility_DisplayArrayInTable(Fertiliser_SourceData.Fertiliser_Products_Data4(),FertiliserProducts[[#Headers],[Product]], 90)</f>
        <v/>
      </c>
      <c r="V158" s="123" t="str" cm="1">
        <f t="array" ref="V158">Common_InputFunctions.Utility_DisplayArrayInTable(Fertiliser_SourceData.Fertiliser_Products_Data4(),FertiliserProducts[[#Headers],[Product]], 90)</f>
        <v/>
      </c>
      <c r="W158" s="123" t="str" cm="1">
        <f t="array" ref="W158">Common_InputFunctions.Utility_DisplayArrayInTable(Fertiliser_SourceData.Fertiliser_Products_Data4(),FertiliserProducts[[#Headers],[Product]], 90)</f>
        <v>Incitec Pivot Fertilisers</v>
      </c>
    </row>
    <row r="159" spans="4:23" ht="20.100000000000001" customHeight="1" x14ac:dyDescent="0.25">
      <c r="D159" s="123" t="str" cm="1">
        <f t="array" ref="D159">Common_InputFunctions.Utility_DisplayArrayInTable(Fertiliser_SourceData.Fertiliser_Products_Data4(),FertiliserProducts[[#Headers],[Product]], 90)</f>
        <v>Zincsol</v>
      </c>
      <c r="E159" s="123" t="str" cm="1">
        <f t="array" ref="E159">Common_InputFunctions.Utility_DisplayArrayInTable(Fertiliser_SourceData.Fertiliser_Products_Data4(),FertiliserProducts[[#Headers],[Product]], 90)</f>
        <v/>
      </c>
      <c r="F159" s="123" t="str" cm="1">
        <f t="array" ref="F159">Common_InputFunctions.Utility_DisplayArrayInTable(Fertiliser_SourceData.Fertiliser_Products_Data4(),FertiliserProducts[[#Headers],[Product]], 90)</f>
        <v/>
      </c>
      <c r="G159" s="123" t="str" cm="1">
        <f t="array" ref="G159">Common_InputFunctions.Utility_DisplayArrayInTable(Fertiliser_SourceData.Fertiliser_Products_Data4(),FertiliserProducts[[#Headers],[Product]], 90)</f>
        <v/>
      </c>
      <c r="H159" s="123" t="str" cm="1">
        <f t="array" ref="H159">Common_InputFunctions.Utility_DisplayArrayInTable(Fertiliser_SourceData.Fertiliser_Products_Data4(),FertiliserProducts[[#Headers],[Product]], 90)</f>
        <v/>
      </c>
      <c r="I159" s="123" t="str" cm="1">
        <f t="array" ref="I159">Common_InputFunctions.Utility_DisplayArrayInTable(Fertiliser_SourceData.Fertiliser_Products_Data4(),FertiliserProducts[[#Headers],[Product]], 90)</f>
        <v/>
      </c>
      <c r="J159" s="123" t="str" cm="1">
        <f t="array" ref="J159">Common_InputFunctions.Utility_DisplayArrayInTable(Fertiliser_SourceData.Fertiliser_Products_Data4(),FertiliserProducts[[#Headers],[Product]], 90)</f>
        <v/>
      </c>
      <c r="K159" s="123" t="str" cm="1">
        <f t="array" ref="K159">Common_InputFunctions.Utility_DisplayArrayInTable(Fertiliser_SourceData.Fertiliser_Products_Data4(),FertiliserProducts[[#Headers],[Product]], 90)</f>
        <v/>
      </c>
      <c r="L159" s="123" t="str" cm="1">
        <f t="array" ref="L159">Common_InputFunctions.Utility_DisplayArrayInTable(Fertiliser_SourceData.Fertiliser_Products_Data4(),FertiliserProducts[[#Headers],[Product]], 90)</f>
        <v/>
      </c>
      <c r="M159" s="123" t="str" cm="1">
        <f t="array" ref="M159">Common_InputFunctions.Utility_DisplayArrayInTable(Fertiliser_SourceData.Fertiliser_Products_Data4(),FertiliserProducts[[#Headers],[Product]], 90)</f>
        <v/>
      </c>
      <c r="N159" s="123" t="str" cm="1">
        <f t="array" ref="N159">Common_InputFunctions.Utility_DisplayArrayInTable(Fertiliser_SourceData.Fertiliser_Products_Data4(),FertiliserProducts[[#Headers],[Product]], 90)</f>
        <v/>
      </c>
      <c r="O159" s="123" t="str" cm="1">
        <f t="array" ref="O159">Common_InputFunctions.Utility_DisplayArrayInTable(Fertiliser_SourceData.Fertiliser_Products_Data4(),FertiliserProducts[[#Headers],[Product]], 90)</f>
        <v/>
      </c>
      <c r="P159" s="123" t="str" cm="1">
        <f t="array" ref="P159">Common_InputFunctions.Utility_DisplayArrayInTable(Fertiliser_SourceData.Fertiliser_Products_Data4(),FertiliserProducts[[#Headers],[Product]], 90)</f>
        <v/>
      </c>
      <c r="Q159" s="123" t="str" cm="1">
        <f t="array" ref="Q159">Common_InputFunctions.Utility_DisplayArrayInTable(Fertiliser_SourceData.Fertiliser_Products_Data4(),FertiliserProducts[[#Headers],[Product]], 90)</f>
        <v/>
      </c>
      <c r="R159" s="123" t="str" cm="1">
        <f t="array" ref="R159">Common_InputFunctions.Utility_DisplayArrayInTable(Fertiliser_SourceData.Fertiliser_Products_Data4(),FertiliserProducts[[#Headers],[Product]], 90)</f>
        <v/>
      </c>
      <c r="S159" s="123" t="str" cm="1">
        <f t="array" ref="S159">Common_InputFunctions.Utility_DisplayArrayInTable(Fertiliser_SourceData.Fertiliser_Products_Data4(),FertiliserProducts[[#Headers],[Product]], 90)</f>
        <v/>
      </c>
      <c r="T159" s="123" t="str" cm="1">
        <f t="array" ref="T159">Common_InputFunctions.Utility_DisplayArrayInTable(Fertiliser_SourceData.Fertiliser_Products_Data4(),FertiliserProducts[[#Headers],[Product]], 90)</f>
        <v/>
      </c>
      <c r="U159" s="123" t="str" cm="1">
        <f t="array" ref="U159">Common_InputFunctions.Utility_DisplayArrayInTable(Fertiliser_SourceData.Fertiliser_Products_Data4(),FertiliserProducts[[#Headers],[Product]], 90)</f>
        <v/>
      </c>
      <c r="V159" s="123" t="str" cm="1">
        <f t="array" ref="V159">Common_InputFunctions.Utility_DisplayArrayInTable(Fertiliser_SourceData.Fertiliser_Products_Data4(),FertiliserProducts[[#Headers],[Product]], 90)</f>
        <v/>
      </c>
      <c r="W159" s="123" t="str" cm="1">
        <f t="array" ref="W159">Common_InputFunctions.Utility_DisplayArrayInTable(Fertiliser_SourceData.Fertiliser_Products_Data4(),FertiliserProducts[[#Headers],[Product]], 90)</f>
        <v>Sulfate Zincsol</v>
      </c>
    </row>
    <row r="160" spans="4:23" ht="20.100000000000001" customHeight="1" x14ac:dyDescent="0.25">
      <c r="D160" s="123" t="str" cm="1">
        <f t="array" ref="D160">Common_InputFunctions.Utility_DisplayArrayInTable(Fertiliser_SourceData.Fertiliser_Products_Data4(),FertiliserProducts[[#Headers],[Product]], 90)</f>
        <v>ZincStar</v>
      </c>
      <c r="E160" s="123" t="str" cm="1">
        <f t="array" ref="E160">Common_InputFunctions.Utility_DisplayArrayInTable(Fertiliser_SourceData.Fertiliser_Products_Data4(),FertiliserProducts[[#Headers],[Product]], 90)</f>
        <v/>
      </c>
      <c r="F160" s="123" t="str" cm="1">
        <f t="array" ref="F160">Common_InputFunctions.Utility_DisplayArrayInTable(Fertiliser_SourceData.Fertiliser_Products_Data4(),FertiliserProducts[[#Headers],[Product]], 90)</f>
        <v/>
      </c>
      <c r="G160" s="123" t="str" cm="1">
        <f t="array" ref="G160">Common_InputFunctions.Utility_DisplayArrayInTable(Fertiliser_SourceData.Fertiliser_Products_Data4(),FertiliserProducts[[#Headers],[Product]], 90)</f>
        <v/>
      </c>
      <c r="H160" s="123" t="str" cm="1">
        <f t="array" ref="H160">Common_InputFunctions.Utility_DisplayArrayInTable(Fertiliser_SourceData.Fertiliser_Products_Data4(),FertiliserProducts[[#Headers],[Product]], 90)</f>
        <v/>
      </c>
      <c r="I160" s="123" t="str" cm="1">
        <f t="array" ref="I160">Common_InputFunctions.Utility_DisplayArrayInTable(Fertiliser_SourceData.Fertiliser_Products_Data4(),FertiliserProducts[[#Headers],[Product]], 90)</f>
        <v/>
      </c>
      <c r="J160" s="123" t="str" cm="1">
        <f t="array" ref="J160">Common_InputFunctions.Utility_DisplayArrayInTable(Fertiliser_SourceData.Fertiliser_Products_Data4(),FertiliserProducts[[#Headers],[Product]], 90)</f>
        <v/>
      </c>
      <c r="K160" s="123" t="str" cm="1">
        <f t="array" ref="K160">Common_InputFunctions.Utility_DisplayArrayInTable(Fertiliser_SourceData.Fertiliser_Products_Data4(),FertiliserProducts[[#Headers],[Product]], 90)</f>
        <v/>
      </c>
      <c r="L160" s="123" t="str" cm="1">
        <f t="array" ref="L160">Common_InputFunctions.Utility_DisplayArrayInTable(Fertiliser_SourceData.Fertiliser_Products_Data4(),FertiliserProducts[[#Headers],[Product]], 90)</f>
        <v/>
      </c>
      <c r="M160" s="123" t="str" cm="1">
        <f t="array" ref="M160">Common_InputFunctions.Utility_DisplayArrayInTable(Fertiliser_SourceData.Fertiliser_Products_Data4(),FertiliserProducts[[#Headers],[Product]], 90)</f>
        <v/>
      </c>
      <c r="N160" s="123" t="str" cm="1">
        <f t="array" ref="N160">Common_InputFunctions.Utility_DisplayArrayInTable(Fertiliser_SourceData.Fertiliser_Products_Data4(),FertiliserProducts[[#Headers],[Product]], 90)</f>
        <v/>
      </c>
      <c r="O160" s="123" t="str" cm="1">
        <f t="array" ref="O160">Common_InputFunctions.Utility_DisplayArrayInTable(Fertiliser_SourceData.Fertiliser_Products_Data4(),FertiliserProducts[[#Headers],[Product]], 90)</f>
        <v/>
      </c>
      <c r="P160" s="123" t="str" cm="1">
        <f t="array" ref="P160">Common_InputFunctions.Utility_DisplayArrayInTable(Fertiliser_SourceData.Fertiliser_Products_Data4(),FertiliserProducts[[#Headers],[Product]], 90)</f>
        <v/>
      </c>
      <c r="Q160" s="123" t="str" cm="1">
        <f t="array" ref="Q160">Common_InputFunctions.Utility_DisplayArrayInTable(Fertiliser_SourceData.Fertiliser_Products_Data4(),FertiliserProducts[[#Headers],[Product]], 90)</f>
        <v/>
      </c>
      <c r="R160" s="123" t="str" cm="1">
        <f t="array" ref="R160">Common_InputFunctions.Utility_DisplayArrayInTable(Fertiliser_SourceData.Fertiliser_Products_Data4(),FertiliserProducts[[#Headers],[Product]], 90)</f>
        <v/>
      </c>
      <c r="S160" s="123" t="str" cm="1">
        <f t="array" ref="S160">Common_InputFunctions.Utility_DisplayArrayInTable(Fertiliser_SourceData.Fertiliser_Products_Data4(),FertiliserProducts[[#Headers],[Product]], 90)</f>
        <v/>
      </c>
      <c r="T160" s="123" t="str" cm="1">
        <f t="array" ref="T160">Common_InputFunctions.Utility_DisplayArrayInTable(Fertiliser_SourceData.Fertiliser_Products_Data4(),FertiliserProducts[[#Headers],[Product]], 90)</f>
        <v/>
      </c>
      <c r="U160" s="123" t="str" cm="1">
        <f t="array" ref="U160">Common_InputFunctions.Utility_DisplayArrayInTable(Fertiliser_SourceData.Fertiliser_Products_Data4(),FertiliserProducts[[#Headers],[Product]], 90)</f>
        <v/>
      </c>
      <c r="V160" s="123" t="str" cm="1">
        <f t="array" ref="V160">Common_InputFunctions.Utility_DisplayArrayInTable(Fertiliser_SourceData.Fertiliser_Products_Data4(),FertiliserProducts[[#Headers],[Product]], 90)</f>
        <v/>
      </c>
      <c r="W160" s="123" t="str" cm="1">
        <f t="array" ref="W160">Common_InputFunctions.Utility_DisplayArrayInTable(Fertiliser_SourceData.Fertiliser_Products_Data4(),FertiliserProducts[[#Headers],[Product]], 90)</f>
        <v>Impact fertilisers</v>
      </c>
    </row>
    <row r="161" spans="4:23" ht="20.100000000000001" customHeight="1" x14ac:dyDescent="0.25">
      <c r="D161" s="123" t="str" cm="1">
        <f t="array" ref="D161">Common_InputFunctions.Utility_DisplayArrayInTable(Fertiliser_SourceData.Fertiliser_Products_Data4(),FertiliserProducts[[#Headers],[Product]], 90)</f>
        <v>ZMC-1</v>
      </c>
      <c r="E161" s="123" t="str" cm="1">
        <f t="array" ref="E161">Common_InputFunctions.Utility_DisplayArrayInTable(Fertiliser_SourceData.Fertiliser_Products_Data4(),FertiliserProducts[[#Headers],[Product]], 90)</f>
        <v/>
      </c>
      <c r="F161" s="123" t="str" cm="1">
        <f t="array" ref="F161">Common_InputFunctions.Utility_DisplayArrayInTable(Fertiliser_SourceData.Fertiliser_Products_Data4(),FertiliserProducts[[#Headers],[Product]], 90)</f>
        <v/>
      </c>
      <c r="G161" s="123" t="str" cm="1">
        <f t="array" ref="G161">Common_InputFunctions.Utility_DisplayArrayInTable(Fertiliser_SourceData.Fertiliser_Products_Data4(),FertiliserProducts[[#Headers],[Product]], 90)</f>
        <v/>
      </c>
      <c r="H161" s="123" t="str" cm="1">
        <f t="array" ref="H161">Common_InputFunctions.Utility_DisplayArrayInTable(Fertiliser_SourceData.Fertiliser_Products_Data4(),FertiliserProducts[[#Headers],[Product]], 90)</f>
        <v/>
      </c>
      <c r="I161" s="123" t="str" cm="1">
        <f t="array" ref="I161">Common_InputFunctions.Utility_DisplayArrayInTable(Fertiliser_SourceData.Fertiliser_Products_Data4(),FertiliserProducts[[#Headers],[Product]], 90)</f>
        <v/>
      </c>
      <c r="J161" s="123" t="str" cm="1">
        <f t="array" ref="J161">Common_InputFunctions.Utility_DisplayArrayInTable(Fertiliser_SourceData.Fertiliser_Products_Data4(),FertiliserProducts[[#Headers],[Product]], 90)</f>
        <v/>
      </c>
      <c r="K161" s="123" t="str" cm="1">
        <f t="array" ref="K161">Common_InputFunctions.Utility_DisplayArrayInTable(Fertiliser_SourceData.Fertiliser_Products_Data4(),FertiliserProducts[[#Headers],[Product]], 90)</f>
        <v/>
      </c>
      <c r="L161" s="123" t="str" cm="1">
        <f t="array" ref="L161">Common_InputFunctions.Utility_DisplayArrayInTable(Fertiliser_SourceData.Fertiliser_Products_Data4(),FertiliserProducts[[#Headers],[Product]], 90)</f>
        <v/>
      </c>
      <c r="M161" s="123" t="str" cm="1">
        <f t="array" ref="M161">Common_InputFunctions.Utility_DisplayArrayInTable(Fertiliser_SourceData.Fertiliser_Products_Data4(),FertiliserProducts[[#Headers],[Product]], 90)</f>
        <v/>
      </c>
      <c r="N161" s="123" t="str" cm="1">
        <f t="array" ref="N161">Common_InputFunctions.Utility_DisplayArrayInTable(Fertiliser_SourceData.Fertiliser_Products_Data4(),FertiliserProducts[[#Headers],[Product]], 90)</f>
        <v/>
      </c>
      <c r="O161" s="123" t="str" cm="1">
        <f t="array" ref="O161">Common_InputFunctions.Utility_DisplayArrayInTable(Fertiliser_SourceData.Fertiliser_Products_Data4(),FertiliserProducts[[#Headers],[Product]], 90)</f>
        <v/>
      </c>
      <c r="P161" s="123" t="str" cm="1">
        <f t="array" ref="P161">Common_InputFunctions.Utility_DisplayArrayInTable(Fertiliser_SourceData.Fertiliser_Products_Data4(),FertiliserProducts[[#Headers],[Product]], 90)</f>
        <v/>
      </c>
      <c r="Q161" s="123" t="str" cm="1">
        <f t="array" ref="Q161">Common_InputFunctions.Utility_DisplayArrayInTable(Fertiliser_SourceData.Fertiliser_Products_Data4(),FertiliserProducts[[#Headers],[Product]], 90)</f>
        <v/>
      </c>
      <c r="R161" s="123" t="str" cm="1">
        <f t="array" ref="R161">Common_InputFunctions.Utility_DisplayArrayInTable(Fertiliser_SourceData.Fertiliser_Products_Data4(),FertiliserProducts[[#Headers],[Product]], 90)</f>
        <v/>
      </c>
      <c r="S161" s="123" t="str" cm="1">
        <f t="array" ref="S161">Common_InputFunctions.Utility_DisplayArrayInTable(Fertiliser_SourceData.Fertiliser_Products_Data4(),FertiliserProducts[[#Headers],[Product]], 90)</f>
        <v/>
      </c>
      <c r="T161" s="123" t="str" cm="1">
        <f t="array" ref="T161">Common_InputFunctions.Utility_DisplayArrayInTable(Fertiliser_SourceData.Fertiliser_Products_Data4(),FertiliserProducts[[#Headers],[Product]], 90)</f>
        <v/>
      </c>
      <c r="U161" s="123" t="str" cm="1">
        <f t="array" ref="U161">Common_InputFunctions.Utility_DisplayArrayInTable(Fertiliser_SourceData.Fertiliser_Products_Data4(),FertiliserProducts[[#Headers],[Product]], 90)</f>
        <v/>
      </c>
      <c r="V161" s="123" t="str" cm="1">
        <f t="array" ref="V161">Common_InputFunctions.Utility_DisplayArrayInTable(Fertiliser_SourceData.Fertiliser_Products_Data4(),FertiliserProducts[[#Headers],[Product]], 90)</f>
        <v/>
      </c>
      <c r="W161" s="123" t="str" cm="1">
        <f t="array" ref="W161">Common_InputFunctions.Utility_DisplayArrayInTable(Fertiliser_SourceData.Fertiliser_Products_Data4(),FertiliserProducts[[#Headers],[Product]], 90)</f>
        <v>Kemgro ZMC-1</v>
      </c>
    </row>
    <row r="162" spans="4:23" ht="20.100000000000001" customHeight="1" x14ac:dyDescent="0.25">
      <c r="D162" s="123" t="str" cm="1">
        <f t="array" ref="D162">Common_InputFunctions.Utility_DisplayArrayInTable(Fertiliser_SourceData.Fertiliser_Products_Data4(),FertiliserProducts[[#Headers],[Product]], 90)</f>
        <v>Zn 7000</v>
      </c>
      <c r="E162" s="123" t="str" cm="1">
        <f t="array" ref="E162">Common_InputFunctions.Utility_DisplayArrayInTable(Fertiliser_SourceData.Fertiliser_Products_Data4(),FertiliserProducts[[#Headers],[Product]], 90)</f>
        <v/>
      </c>
      <c r="F162" s="123" t="str" cm="1">
        <f t="array" ref="F162">Common_InputFunctions.Utility_DisplayArrayInTable(Fertiliser_SourceData.Fertiliser_Products_Data4(),FertiliserProducts[[#Headers],[Product]], 90)</f>
        <v/>
      </c>
      <c r="G162" s="123" t="str" cm="1">
        <f t="array" ref="G162">Common_InputFunctions.Utility_DisplayArrayInTable(Fertiliser_SourceData.Fertiliser_Products_Data4(),FertiliserProducts[[#Headers],[Product]], 90)</f>
        <v/>
      </c>
      <c r="H162" s="123" t="str" cm="1">
        <f t="array" ref="H162">Common_InputFunctions.Utility_DisplayArrayInTable(Fertiliser_SourceData.Fertiliser_Products_Data4(),FertiliserProducts[[#Headers],[Product]], 90)</f>
        <v/>
      </c>
      <c r="I162" s="123" t="str" cm="1">
        <f t="array" ref="I162">Common_InputFunctions.Utility_DisplayArrayInTable(Fertiliser_SourceData.Fertiliser_Products_Data4(),FertiliserProducts[[#Headers],[Product]], 90)</f>
        <v/>
      </c>
      <c r="J162" s="123" t="str" cm="1">
        <f t="array" ref="J162">Common_InputFunctions.Utility_DisplayArrayInTable(Fertiliser_SourceData.Fertiliser_Products_Data4(),FertiliserProducts[[#Headers],[Product]], 90)</f>
        <v/>
      </c>
      <c r="K162" s="123" t="str" cm="1">
        <f t="array" ref="K162">Common_InputFunctions.Utility_DisplayArrayInTable(Fertiliser_SourceData.Fertiliser_Products_Data4(),FertiliserProducts[[#Headers],[Product]], 90)</f>
        <v/>
      </c>
      <c r="L162" s="123" t="str" cm="1">
        <f t="array" ref="L162">Common_InputFunctions.Utility_DisplayArrayInTable(Fertiliser_SourceData.Fertiliser_Products_Data4(),FertiliserProducts[[#Headers],[Product]], 90)</f>
        <v/>
      </c>
      <c r="M162" s="123" t="str" cm="1">
        <f t="array" ref="M162">Common_InputFunctions.Utility_DisplayArrayInTable(Fertiliser_SourceData.Fertiliser_Products_Data4(),FertiliserProducts[[#Headers],[Product]], 90)</f>
        <v/>
      </c>
      <c r="N162" s="123" t="str" cm="1">
        <f t="array" ref="N162">Common_InputFunctions.Utility_DisplayArrayInTable(Fertiliser_SourceData.Fertiliser_Products_Data4(),FertiliserProducts[[#Headers],[Product]], 90)</f>
        <v/>
      </c>
      <c r="O162" s="123" t="str" cm="1">
        <f t="array" ref="O162">Common_InputFunctions.Utility_DisplayArrayInTable(Fertiliser_SourceData.Fertiliser_Products_Data4(),FertiliserProducts[[#Headers],[Product]], 90)</f>
        <v/>
      </c>
      <c r="P162" s="123" t="str" cm="1">
        <f t="array" ref="P162">Common_InputFunctions.Utility_DisplayArrayInTable(Fertiliser_SourceData.Fertiliser_Products_Data4(),FertiliserProducts[[#Headers],[Product]], 90)</f>
        <v/>
      </c>
      <c r="Q162" s="123" t="str" cm="1">
        <f t="array" ref="Q162">Common_InputFunctions.Utility_DisplayArrayInTable(Fertiliser_SourceData.Fertiliser_Products_Data4(),FertiliserProducts[[#Headers],[Product]], 90)</f>
        <v/>
      </c>
      <c r="R162" s="123" t="str" cm="1">
        <f t="array" ref="R162">Common_InputFunctions.Utility_DisplayArrayInTable(Fertiliser_SourceData.Fertiliser_Products_Data4(),FertiliserProducts[[#Headers],[Product]], 90)</f>
        <v/>
      </c>
      <c r="S162" s="123" t="str" cm="1">
        <f t="array" ref="S162">Common_InputFunctions.Utility_DisplayArrayInTable(Fertiliser_SourceData.Fertiliser_Products_Data4(),FertiliserProducts[[#Headers],[Product]], 90)</f>
        <v/>
      </c>
      <c r="T162" s="123" t="str" cm="1">
        <f t="array" ref="T162">Common_InputFunctions.Utility_DisplayArrayInTable(Fertiliser_SourceData.Fertiliser_Products_Data4(),FertiliserProducts[[#Headers],[Product]], 90)</f>
        <v/>
      </c>
      <c r="U162" s="123" t="str" cm="1">
        <f t="array" ref="U162">Common_InputFunctions.Utility_DisplayArrayInTable(Fertiliser_SourceData.Fertiliser_Products_Data4(),FertiliserProducts[[#Headers],[Product]], 90)</f>
        <v/>
      </c>
      <c r="V162" s="123" t="str" cm="1">
        <f t="array" ref="V162">Common_InputFunctions.Utility_DisplayArrayInTable(Fertiliser_SourceData.Fertiliser_Products_Data4(),FertiliserProducts[[#Headers],[Product]], 90)</f>
        <v/>
      </c>
      <c r="W162" s="123" t="str" cm="1">
        <f t="array" ref="W162">Common_InputFunctions.Utility_DisplayArrayInTable(Fertiliser_SourceData.Fertiliser_Products_Data4(),FertiliserProducts[[#Headers],[Product]], 90)</f>
        <v>Rutec Zn 7000</v>
      </c>
    </row>
    <row r="163" spans="4:23" ht="20.100000000000001" customHeight="1" x14ac:dyDescent="0.25"/>
    <row r="164" spans="4:23" ht="20.100000000000001" customHeight="1" x14ac:dyDescent="0.25"/>
    <row r="165" spans="4:23" ht="20.100000000000001" customHeight="1" x14ac:dyDescent="0.25"/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W452"/>
  <sheetViews>
    <sheetView showGridLines="0" topLeftCell="A88" zoomScale="85" zoomScaleNormal="85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138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tr" cm="1">
        <f t="array" ref="D5">SourceData_Poultry.SourceData_Poultry_DietProperties_Title()</f>
        <v>Poultry - Diet properties</v>
      </c>
      <c r="M5" s="1"/>
    </row>
    <row r="6" spans="1:21" ht="20.100000000000001" customHeight="1" x14ac:dyDescent="0.25">
      <c r="A6" s="20" t="s">
        <v>1</v>
      </c>
      <c r="D6" s="5" t="str" cm="1">
        <f t="array" ref="D6">SourceData_Poultry.SourceData_Poultry_DietProperties_Source()</f>
        <v>VEERG 2026: Table A.1.7.1: Poultry - Diet properties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Poultry'!A1", "Poultry")</f>
        <v>Poultry</v>
      </c>
      <c r="D8" s="37" t="s">
        <v>139</v>
      </c>
      <c r="E8" s="37" t="s">
        <v>140</v>
      </c>
      <c r="F8" s="37" t="s">
        <v>141</v>
      </c>
      <c r="G8" s="37" t="s">
        <v>142</v>
      </c>
      <c r="H8" s="37" t="s">
        <v>143</v>
      </c>
      <c r="M8" s="1"/>
    </row>
    <row r="9" spans="1:21" ht="20.100000000000001" customHeight="1" x14ac:dyDescent="0.25">
      <c r="A9" s="17"/>
      <c r="D9" s="37" t="str" cm="1">
        <f t="array" ref="D9">Common_InputFunctions.Utility_DisplayArrayInTable(SourceData_Poultry.SourceData_Poultry_DietProperties_Data(), Table_SourceData_Poultry_DietProperties[[#Headers],[Nutrient analysis]], 0)</f>
        <v>Dry matter intake (kg/head/day)</v>
      </c>
      <c r="E9" s="37" cm="1">
        <f t="array" ref="E9">Common_InputFunctions.Utility_DisplayArrayInTable(SourceData_Poultry.SourceData_Poultry_DietProperties_Data(), Table_SourceData_Poultry_DietProperties[[#Headers],[Nutrient analysis]], 0)</f>
        <v>8.5999999999999993E-2</v>
      </c>
      <c r="F9" s="37" cm="1">
        <f t="array" ref="F9">Common_InputFunctions.Utility_DisplayArrayInTable(SourceData_Poultry.SourceData_Poultry_DietProperties_Data(), Table_SourceData_Poultry_DietProperties[[#Headers],[Nutrient analysis]], 0)</f>
        <v>9.2999999999999999E-2</v>
      </c>
      <c r="G9" s="37" cm="1">
        <f t="array" ref="G9">Common_InputFunctions.Utility_DisplayArrayInTable(SourceData_Poultry.SourceData_Poultry_DietProperties_Data(), Table_SourceData_Poultry_DietProperties[[#Headers],[Nutrient analysis]], 0)</f>
        <v>0.10299999999999999</v>
      </c>
      <c r="H9" s="37" cm="1">
        <f t="array" ref="H9">Common_InputFunctions.Utility_DisplayArrayInTable(SourceData_Poultry.SourceData_Poultry_DietProperties_Data(), Table_SourceData_Poultry_DietProperties[[#Headers],[Nutrient analysis]], 0)</f>
        <v>9.2999999999999999E-2</v>
      </c>
      <c r="M9" s="1"/>
    </row>
    <row r="10" spans="1:21" ht="20.100000000000001" customHeight="1" x14ac:dyDescent="0.25">
      <c r="A10" s="19" t="s">
        <v>71</v>
      </c>
      <c r="D10" s="1" t="str" cm="1">
        <f t="array" ref="D10">Common_InputFunctions.Utility_DisplayArrayInTable(SourceData_Poultry.SourceData_Poultry_DietProperties_Data(), Table_SourceData_Poultry_DietProperties[[#Headers],[Nutrient analysis]], 0)</f>
        <v>Dry matter digestibility</v>
      </c>
      <c r="E10" s="37" cm="1">
        <f t="array" ref="E10">Common_InputFunctions.Utility_DisplayArrayInTable(SourceData_Poultry.SourceData_Poultry_DietProperties_Data(), Table_SourceData_Poultry_DietProperties[[#Headers],[Nutrient analysis]], 0)</f>
        <v>0.8</v>
      </c>
      <c r="F10" s="37" cm="1">
        <f t="array" ref="F10">Common_InputFunctions.Utility_DisplayArrayInTable(SourceData_Poultry.SourceData_Poultry_DietProperties_Data(), Table_SourceData_Poultry_DietProperties[[#Headers],[Nutrient analysis]], 0)</f>
        <v>0.8</v>
      </c>
      <c r="G10" s="37" cm="1">
        <f t="array" ref="G10">Common_InputFunctions.Utility_DisplayArrayInTable(SourceData_Poultry.SourceData_Poultry_DietProperties_Data(), Table_SourceData_Poultry_DietProperties[[#Headers],[Nutrient analysis]], 0)</f>
        <v>0.8</v>
      </c>
      <c r="H10" s="37" cm="1">
        <f t="array" ref="H10">Common_InputFunctions.Utility_DisplayArrayInTable(SourceData_Poultry.SourceData_Poultry_DietProperties_Data(), Table_SourceData_Poultry_DietProperties[[#Headers],[Nutrient analysis]], 0)</f>
        <v>0.8</v>
      </c>
      <c r="M10" s="1"/>
    </row>
    <row r="11" spans="1:21" ht="20.100000000000001" customHeight="1" x14ac:dyDescent="0.25">
      <c r="A11" s="17" t="str">
        <f>HYPERLINK("#'4.6.1.1-2 Methane'!A1", "4.6.1.1-2 Methane")</f>
        <v>4.6.1.1-2 Methane</v>
      </c>
      <c r="D11" s="1" t="str" cm="1">
        <f t="array" ref="D11">Common_InputFunctions.Utility_DisplayArrayInTable(SourceData_Poultry.SourceData_Poultry_DietProperties_Data(), Table_SourceData_Poultry_DietProperties[[#Headers],[Nutrient analysis]], 0)</f>
        <v>Crude protein</v>
      </c>
      <c r="E11" s="37" cm="1">
        <f t="array" ref="E11">Common_InputFunctions.Utility_DisplayArrayInTable(SourceData_Poultry.SourceData_Poultry_DietProperties_Data(), Table_SourceData_Poultry_DietProperties[[#Headers],[Nutrient analysis]], 0)</f>
        <v>0.19</v>
      </c>
      <c r="F11" s="37" cm="1">
        <f t="array" ref="F11">Common_InputFunctions.Utility_DisplayArrayInTable(SourceData_Poultry.SourceData_Poultry_DietProperties_Data(), Table_SourceData_Poultry_DietProperties[[#Headers],[Nutrient analysis]], 0)</f>
        <v>0.23</v>
      </c>
      <c r="G11" s="37" cm="1">
        <f t="array" ref="G11">Common_InputFunctions.Utility_DisplayArrayInTable(SourceData_Poultry.SourceData_Poultry_DietProperties_Data(), Table_SourceData_Poultry_DietProperties[[#Headers],[Nutrient analysis]], 0)</f>
        <v>0.19</v>
      </c>
      <c r="H11" s="37" cm="1">
        <f t="array" ref="H11">Common_InputFunctions.Utility_DisplayArrayInTable(SourceData_Poultry.SourceData_Poultry_DietProperties_Data(), Table_SourceData_Poultry_DietProperties[[#Headers],[Nutrient analysis]], 0)</f>
        <v>0.23</v>
      </c>
      <c r="M11" s="1"/>
    </row>
    <row r="12" spans="1:21" ht="20.100000000000001" customHeight="1" x14ac:dyDescent="0.25">
      <c r="A12" s="17" t="str">
        <f>HYPERLINK("#'4.6.1.3-4 Direct N20'!A1", "4.6.1.3-4 Direct N2O")</f>
        <v>4.6.1.3-4 Direct N2O</v>
      </c>
      <c r="D12" s="1" t="str" cm="1">
        <f t="array" ref="D12">Common_InputFunctions.Utility_DisplayArrayInTable(SourceData_Poultry.SourceData_Poultry_DietProperties_Data(), Table_SourceData_Poultry_DietProperties[[#Headers],[Nutrient analysis]], 0)</f>
        <v>Nitrogen retention rate</v>
      </c>
      <c r="E12" s="37" cm="1">
        <f t="array" ref="E12">Common_InputFunctions.Utility_DisplayArrayInTable(SourceData_Poultry.SourceData_Poultry_DietProperties_Data(), Table_SourceData_Poultry_DietProperties[[#Headers],[Nutrient analysis]], 0)</f>
        <v>0.35</v>
      </c>
      <c r="F12" s="37" cm="1">
        <f t="array" ref="F12">Common_InputFunctions.Utility_DisplayArrayInTable(SourceData_Poultry.SourceData_Poultry_DietProperties_Data(), Table_SourceData_Poultry_DietProperties[[#Headers],[Nutrient analysis]], 0)</f>
        <v>0.47</v>
      </c>
      <c r="G12" s="37" cm="1">
        <f t="array" ref="G12">Common_InputFunctions.Utility_DisplayArrayInTable(SourceData_Poultry.SourceData_Poultry_DietProperties_Data(), Table_SourceData_Poultry_DietProperties[[#Headers],[Nutrient analysis]], 0)</f>
        <v>0.32</v>
      </c>
      <c r="H12" s="37" cm="1">
        <f t="array" ref="H12">Common_InputFunctions.Utility_DisplayArrayInTable(SourceData_Poultry.SourceData_Poultry_DietProperties_Data(), Table_SourceData_Poultry_DietProperties[[#Headers],[Nutrient analysis]], 0)</f>
        <v>0.47</v>
      </c>
      <c r="M12" s="1"/>
    </row>
    <row r="13" spans="1:21" ht="20.100000000000001" customHeight="1" x14ac:dyDescent="0.25">
      <c r="A13" s="17" t="str">
        <f>HYPERLINK("#'4.6.1.5-6 Atmos Dep'!A1", "4.6.1.5-6 Atmospheric deposition")</f>
        <v>4.6.1.5-6 Atmospheric deposition</v>
      </c>
      <c r="D13" s="1" t="str" cm="1">
        <f t="array" ref="D13">Common_InputFunctions.Utility_DisplayArrayInTable(SourceData_Poultry.SourceData_Poultry_DietProperties_Data(), Table_SourceData_Poultry_DietProperties[[#Headers],[Nutrient analysis]], 0)</f>
        <v>Manure ash</v>
      </c>
      <c r="E13" s="37" cm="1">
        <f t="array" ref="E13">Common_InputFunctions.Utility_DisplayArrayInTable(SourceData_Poultry.SourceData_Poultry_DietProperties_Data(), Table_SourceData_Poultry_DietProperties[[#Headers],[Nutrient analysis]], 0)</f>
        <v>0.18</v>
      </c>
      <c r="F13" s="37" cm="1">
        <f t="array" ref="F13">Common_InputFunctions.Utility_DisplayArrayInTable(SourceData_Poultry.SourceData_Poultry_DietProperties_Data(), Table_SourceData_Poultry_DietProperties[[#Headers],[Nutrient analysis]], 0)</f>
        <v>0.15</v>
      </c>
      <c r="G13" s="37" cm="1">
        <f t="array" ref="G13">Common_InputFunctions.Utility_DisplayArrayInTable(SourceData_Poultry.SourceData_Poultry_DietProperties_Data(), Table_SourceData_Poultry_DietProperties[[#Headers],[Nutrient analysis]], 0)</f>
        <v>0.18</v>
      </c>
      <c r="H13" s="37" cm="1">
        <f t="array" ref="H13">Common_InputFunctions.Utility_DisplayArrayInTable(SourceData_Poultry.SourceData_Poultry_DietProperties_Data(), Table_SourceData_Poultry_DietProperties[[#Headers],[Nutrient analysis]], 0)</f>
        <v>0.15</v>
      </c>
      <c r="M13" s="1"/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M14" s="1"/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M15" s="1"/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M16" s="1"/>
    </row>
    <row r="17" spans="1:13" ht="20.100000000000001" customHeight="1" x14ac:dyDescent="0.25">
      <c r="A17" s="17" t="str">
        <f>HYPERLINK("#'4.6.1.12-13 Soil atmos dep'!A1", "4.6.1.12-13 Soil Atm. deposition")</f>
        <v>4.6.1.12-13 Soil Atm. deposition</v>
      </c>
      <c r="D17" s="6" t="str" cm="1">
        <f t="array" ref="D17">SourceData_Poultry.SourceData_Poultry_MethaneEmissionsPotential_Title()</f>
        <v>Poultry - Methane emissions potential per class</v>
      </c>
      <c r="M17" s="1"/>
    </row>
    <row r="18" spans="1:13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" t="str" cm="1">
        <f t="array" ref="D18">SourceData_Poultry.SourceData_Poultry_MethaneEmissionsPotential_Source()</f>
        <v>VEERG 2026: 4.6.2.3 CONSTANT: Poultry - Methane emissions potential per class</v>
      </c>
      <c r="M18" s="1"/>
    </row>
    <row r="19" spans="1:13" ht="20.100000000000001" customHeight="1" x14ac:dyDescent="0.25">
      <c r="D19" s="37" t="s">
        <v>144</v>
      </c>
      <c r="E19" s="37" t="s">
        <v>145</v>
      </c>
      <c r="M19" s="1"/>
    </row>
    <row r="20" spans="1:13" ht="20.100000000000001" customHeight="1" x14ac:dyDescent="0.25">
      <c r="A20" s="18" t="s">
        <v>2</v>
      </c>
      <c r="D20" s="37" t="str" cm="1">
        <f t="array" ref="D20">Common_InputFunctions.Utility_DisplayArrayInTable(SourceData_Poultry.SourceData_Poultry_MethaneEmissionsPotential_Data(), Table_SourceData_Poultry_MethaneEmissionsPotential[[#Headers],[Poultry class]], 0)</f>
        <v>Layers</v>
      </c>
      <c r="E20" s="37" cm="1">
        <f t="array" ref="E20">Common_InputFunctions.Utility_DisplayArrayInTable(SourceData_Poultry.SourceData_Poultry_MethaneEmissionsPotential_Data(), Table_SourceData_Poultry_MethaneEmissionsPotential[[#Headers],[Poultry class]], 0)</f>
        <v>0.39</v>
      </c>
      <c r="M20" s="1"/>
    </row>
    <row r="21" spans="1:13" ht="20.100000000000001" customHeight="1" x14ac:dyDescent="0.25">
      <c r="A21" s="111" t="str">
        <f>HYPERLINK("#'Constants - Poultry'!A1", "Constants - Poultry")</f>
        <v>Constants - Poultry</v>
      </c>
      <c r="D21" s="1" t="str" cm="1">
        <f t="array" ref="D21">Common_InputFunctions.Utility_DisplayArrayInTable(SourceData_Poultry.SourceData_Poultry_MethaneEmissionsPotential_Data(), Table_SourceData_Poultry_MethaneEmissionsPotential[[#Headers],[Poultry class]], 0)</f>
        <v>Meat chickens</v>
      </c>
      <c r="E21" s="37" cm="1">
        <f t="array" ref="E21">Common_InputFunctions.Utility_DisplayArrayInTable(SourceData_Poultry.SourceData_Poultry_MethaneEmissionsPotential_Data(), Table_SourceData_Poultry_MethaneEmissionsPotential[[#Headers],[Poultry class]], 0)</f>
        <v>0.36</v>
      </c>
      <c r="M21" s="1"/>
    </row>
    <row r="22" spans="1:13" ht="20.100000000000001" customHeight="1" x14ac:dyDescent="0.25">
      <c r="A22" s="17" t="str">
        <f>HYPERLINK("#'Constants - Livestock'!A1", "Constants - Livestock")</f>
        <v>Constants - Livestock</v>
      </c>
      <c r="M22" s="1"/>
    </row>
    <row r="23" spans="1:13" ht="20.100000000000001" customHeight="1" x14ac:dyDescent="0.25">
      <c r="A23" s="17" t="str">
        <f>HYPERLINK("#'Constants - Common'!A1", "Constants - Common")</f>
        <v>Constants - Common</v>
      </c>
      <c r="M23" s="1"/>
    </row>
    <row r="24" spans="1:13" ht="20.100000000000001" customHeight="1" x14ac:dyDescent="0.25">
      <c r="A24" s="17" t="str">
        <f>HYPERLINK("#'Acknowledgements'!A1", "Acknowledgements")</f>
        <v>Acknowledgements</v>
      </c>
      <c r="M24" s="1"/>
    </row>
    <row r="25" spans="1:13" ht="20.100000000000001" customHeight="1" x14ac:dyDescent="0.25">
      <c r="M25" s="1"/>
    </row>
    <row r="26" spans="1:13" ht="20.100000000000001" customHeight="1" x14ac:dyDescent="0.25">
      <c r="D26" s="6" t="s">
        <v>146</v>
      </c>
      <c r="G26" s="6" t="s">
        <v>147</v>
      </c>
      <c r="J26" s="6" t="s">
        <v>148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107" t="s">
        <v>64</v>
      </c>
      <c r="E28" s="37" t="s">
        <v>75</v>
      </c>
      <c r="G28" s="107" t="s">
        <v>64</v>
      </c>
      <c r="H28" s="37" t="s">
        <v>75</v>
      </c>
      <c r="J28" s="107" t="s">
        <v>64</v>
      </c>
      <c r="K28" s="37" t="s">
        <v>75</v>
      </c>
      <c r="M28" s="1"/>
    </row>
    <row r="29" spans="1:13" ht="20.100000000000001" customHeight="1" x14ac:dyDescent="0.25">
      <c r="D29" s="37" t="s">
        <v>163</v>
      </c>
      <c r="E29" s="37" t="s">
        <v>164</v>
      </c>
      <c r="G29" s="37" t="s">
        <v>163</v>
      </c>
      <c r="H29" s="37" t="s">
        <v>164</v>
      </c>
      <c r="J29" s="37" t="s">
        <v>165</v>
      </c>
      <c r="K29" s="37" t="s">
        <v>166</v>
      </c>
      <c r="M29" s="1"/>
    </row>
    <row r="30" spans="1:13" ht="20.100000000000001" customHeight="1" x14ac:dyDescent="0.25">
      <c r="D30" s="37" t="s">
        <v>167</v>
      </c>
      <c r="E30" s="37" t="s">
        <v>168</v>
      </c>
      <c r="G30" s="37" t="s">
        <v>167</v>
      </c>
      <c r="H30" s="37" t="s">
        <v>168</v>
      </c>
      <c r="J30" s="37" t="s">
        <v>169</v>
      </c>
      <c r="K30" s="37" t="s">
        <v>170</v>
      </c>
      <c r="M30" s="1"/>
    </row>
    <row r="31" spans="1:13" ht="20.100000000000001" customHeight="1" x14ac:dyDescent="0.25">
      <c r="D31" s="37" t="s">
        <v>171</v>
      </c>
      <c r="E31" s="37" t="s">
        <v>172</v>
      </c>
      <c r="G31" s="37" t="s">
        <v>171</v>
      </c>
      <c r="H31" s="37" t="s">
        <v>172</v>
      </c>
      <c r="J31" s="1" t="s">
        <v>173</v>
      </c>
      <c r="K31" s="1" t="s">
        <v>174</v>
      </c>
      <c r="M31" s="1"/>
    </row>
    <row r="32" spans="1:13" ht="20.100000000000001" customHeight="1" x14ac:dyDescent="0.25">
      <c r="D32" s="37" t="s">
        <v>175</v>
      </c>
      <c r="E32" s="37" t="s">
        <v>176</v>
      </c>
      <c r="G32" s="37" t="s">
        <v>175</v>
      </c>
      <c r="H32" s="37" t="s">
        <v>176</v>
      </c>
      <c r="J32" s="37" t="s">
        <v>177</v>
      </c>
      <c r="K32" s="37" t="s">
        <v>178</v>
      </c>
      <c r="M32" s="1"/>
    </row>
    <row r="33" spans="4:13" ht="20.100000000000001" customHeight="1" x14ac:dyDescent="0.25">
      <c r="D33" s="37" t="s">
        <v>165</v>
      </c>
      <c r="E33" s="37" t="s">
        <v>166</v>
      </c>
      <c r="G33" s="1" t="s">
        <v>149</v>
      </c>
      <c r="H33" s="37" t="s">
        <v>149</v>
      </c>
      <c r="J33" s="37" t="s">
        <v>179</v>
      </c>
      <c r="K33" s="37" t="s">
        <v>180</v>
      </c>
      <c r="M33" s="1"/>
    </row>
    <row r="34" spans="4:13" ht="20.100000000000001" customHeight="1" x14ac:dyDescent="0.25">
      <c r="D34" s="37" t="s">
        <v>169</v>
      </c>
      <c r="E34" s="37" t="s">
        <v>170</v>
      </c>
      <c r="J34" s="1" t="s">
        <v>149</v>
      </c>
      <c r="K34" s="37" t="s">
        <v>149</v>
      </c>
      <c r="M34" s="1"/>
    </row>
    <row r="35" spans="4:13" ht="20.100000000000001" customHeight="1" x14ac:dyDescent="0.25">
      <c r="D35" s="1" t="s">
        <v>173</v>
      </c>
      <c r="E35" s="1" t="s">
        <v>174</v>
      </c>
      <c r="M35" s="1"/>
    </row>
    <row r="36" spans="4:13" ht="20.100000000000001" customHeight="1" x14ac:dyDescent="0.25">
      <c r="D36" s="37" t="s">
        <v>177</v>
      </c>
      <c r="E36" s="37" t="s">
        <v>178</v>
      </c>
      <c r="M36" s="1"/>
    </row>
    <row r="37" spans="4:13" ht="20.100000000000001" customHeight="1" x14ac:dyDescent="0.25">
      <c r="D37" s="37" t="s">
        <v>179</v>
      </c>
      <c r="E37" s="37" t="s">
        <v>180</v>
      </c>
      <c r="M37" s="1"/>
    </row>
    <row r="38" spans="4:13" ht="20.100000000000001" customHeight="1" x14ac:dyDescent="0.25">
      <c r="D38" s="1" t="s">
        <v>149</v>
      </c>
      <c r="E38" s="37" t="s">
        <v>149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M40" s="1"/>
    </row>
    <row r="41" spans="4:13" ht="20.100000000000001" customHeight="1" x14ac:dyDescent="0.25">
      <c r="M41" s="1"/>
    </row>
    <row r="42" spans="4:13" ht="20.100000000000001" customHeight="1" x14ac:dyDescent="0.25">
      <c r="D42" s="6" t="s">
        <v>150</v>
      </c>
      <c r="M42" s="1"/>
    </row>
    <row r="43" spans="4:13" ht="20.100000000000001" customHeight="1" x14ac:dyDescent="0.25">
      <c r="M43" s="1"/>
    </row>
    <row r="44" spans="4:13" ht="20.100000000000001" customHeight="1" x14ac:dyDescent="0.25">
      <c r="D44" s="37" t="s">
        <v>100</v>
      </c>
      <c r="M44" s="1"/>
    </row>
    <row r="45" spans="4:13" ht="20.100000000000001" customHeight="1" x14ac:dyDescent="0.25">
      <c r="D45" s="37" t="str" cm="1">
        <f t="array" ref="D45">Common_InputFunctions.Utility_DisplayArrayInTable(SourceData_Poultry.SourceData_Poultry_ProductionSystems_Data(), Table_SourceData_Poultry_ProductionSystems[[#Headers],[Production system]], 0)</f>
        <v>Free range</v>
      </c>
      <c r="M45" s="1"/>
    </row>
    <row r="46" spans="4:13" ht="20.100000000000001" customHeight="1" x14ac:dyDescent="0.25">
      <c r="D46" s="1" t="str" cm="1">
        <f t="array" ref="D46">Common_InputFunctions.Utility_DisplayArrayInTable(SourceData_Poultry.SourceData_Poultry_ProductionSystems_Data(), Table_SourceData_Poultry_ProductionSystems[[#Headers],[Production system]], 0)</f>
        <v>Barn</v>
      </c>
      <c r="M46" s="1"/>
    </row>
    <row r="47" spans="4:13" ht="20.100000000000001" customHeight="1" x14ac:dyDescent="0.25">
      <c r="D47" s="1" t="str" cm="1">
        <f t="array" ref="D47">Common_InputFunctions.Utility_DisplayArrayInTable(SourceData_Poultry.SourceData_Poultry_ProductionSystems_Data(), Table_SourceData_Poultry_ProductionSystems[[#Headers],[Production system]], 0)</f>
        <v>Cage</v>
      </c>
      <c r="M47" s="1"/>
    </row>
    <row r="48" spans="4:13" ht="20.100000000000001" customHeight="1" x14ac:dyDescent="0.25">
      <c r="M48" s="1"/>
    </row>
    <row r="49" spans="4:14" ht="20.100000000000001" customHeight="1" x14ac:dyDescent="0.25">
      <c r="M49" s="1"/>
    </row>
    <row r="50" spans="4:14" ht="20.100000000000001" customHeight="1" x14ac:dyDescent="0.25">
      <c r="M50" s="1"/>
    </row>
    <row r="51" spans="4:14" ht="20.100000000000001" customHeight="1" x14ac:dyDescent="0.25">
      <c r="D51" s="6" t="str" cm="1">
        <f t="array" ref="D51">SourceData_Poultry.SourceData_Poultry_MCF_Title()</f>
        <v>Poultry - MCFs</v>
      </c>
      <c r="M51" s="1"/>
    </row>
    <row r="52" spans="4:14" ht="20.100000000000001" customHeight="1" x14ac:dyDescent="0.25">
      <c r="D52" s="5" t="str" cm="1">
        <f t="array" ref="D52">SourceData_Poultry.SourceData_Poultry_MCF_Source()</f>
        <v>VEERG 2026: Table A.1.7.4: Poultry - MCFs</v>
      </c>
      <c r="M52" s="1"/>
    </row>
    <row r="53" spans="4:14" ht="20.100000000000001" customHeight="1" x14ac:dyDescent="0.25">
      <c r="D53" s="53" t="str" cm="1">
        <f t="array" ref="D53:D57">SourceData_Poultry.SourceData_Poultry_MCF_Variation()</f>
        <v>VARIATION ON SOURCE:</v>
      </c>
      <c r="M53" s="1"/>
    </row>
    <row r="54" spans="4:14" ht="20.100000000000001" customHeight="1" x14ac:dyDescent="0.25">
      <c r="D54" s="53" t="str">
        <v>Split NSW and ACT into separate states. Split QLD and NT into separate states.</v>
      </c>
      <c r="M54" s="1"/>
    </row>
    <row r="55" spans="4:14" ht="20.100000000000001" customHeight="1" x14ac:dyDescent="0.25">
      <c r="D55" s="53" t="str">
        <v>Included values for each state when 'All states' value is given.</v>
      </c>
      <c r="M55" s="1"/>
    </row>
    <row r="56" spans="4:14" ht="20.100000000000001" customHeight="1" x14ac:dyDescent="0.25">
      <c r="D56" s="53" t="str">
        <v>Added 'NIR definition' column with MMS names that match NIR definitions.</v>
      </c>
      <c r="M56" s="1"/>
    </row>
    <row r="57" spans="4:14" ht="20.100000000000001" customHeight="1" x14ac:dyDescent="0.25">
      <c r="D57" s="53" t="str">
        <v>Duplicated 'Poultry manure without litter' row for NIR MMS 'Belt manure removal' and 'Manure stored in house'</v>
      </c>
      <c r="M57" s="1"/>
    </row>
    <row r="58" spans="4:14" ht="20.100000000000001" customHeight="1" x14ac:dyDescent="0.25">
      <c r="M58" s="1"/>
    </row>
    <row r="59" spans="4:14" ht="20.100000000000001" customHeight="1" x14ac:dyDescent="0.25">
      <c r="D59" s="37" t="s">
        <v>151</v>
      </c>
      <c r="E59" s="37" t="s">
        <v>152</v>
      </c>
      <c r="F59" s="37" t="s">
        <v>77</v>
      </c>
      <c r="G59" s="37" t="s">
        <v>76</v>
      </c>
      <c r="H59" s="37" t="s">
        <v>79</v>
      </c>
      <c r="I59" s="37" t="s">
        <v>78</v>
      </c>
      <c r="J59" s="37" t="s">
        <v>82</v>
      </c>
      <c r="K59" s="37" t="s">
        <v>80</v>
      </c>
      <c r="L59" s="37" t="s">
        <v>83</v>
      </c>
      <c r="M59" s="37" t="s">
        <v>81</v>
      </c>
      <c r="N59" s="37" t="s">
        <v>118</v>
      </c>
    </row>
    <row r="60" spans="4:14" ht="20.100000000000001" customHeight="1" x14ac:dyDescent="0.25">
      <c r="D60" s="37" t="str" cm="1">
        <f t="array" ref="D60">Common_InputFunctions.Utility_DisplayArrayInTable(SourceData_Poultry.SourceData_Poultry_MCF_Data(), Table_SourceData_Poultry_MMSMCF[[#Headers],[MMS m]], 0)</f>
        <v>Poultry manure with litter</v>
      </c>
      <c r="E60" s="37" cm="1">
        <f t="array" ref="E60">Common_InputFunctions.Utility_DisplayArrayInTable(SourceData_Poultry.SourceData_Poultry_MCF_Data(), Table_SourceData_Poultry_MMSMCF[[#Headers],[MMS m]], 0)</f>
        <v>1.4999999999999999E-2</v>
      </c>
      <c r="F60" s="37" cm="1">
        <f t="array" ref="F60">Common_InputFunctions.Utility_DisplayArrayInTable(SourceData_Poultry.SourceData_Poultry_MCF_Data(), Table_SourceData_Poultry_MMSMCF[[#Headers],[MMS m]], 0)</f>
        <v>1.4999999999999999E-2</v>
      </c>
      <c r="G60" s="37" cm="1">
        <f t="array" ref="G60">Common_InputFunctions.Utility_DisplayArrayInTable(SourceData_Poultry.SourceData_Poultry_MCF_Data(), Table_SourceData_Poultry_MMSMCF[[#Headers],[MMS m]], 0)</f>
        <v>1.4999999999999999E-2</v>
      </c>
      <c r="H60" s="37" cm="1">
        <f t="array" ref="H60">Common_InputFunctions.Utility_DisplayArrayInTable(SourceData_Poultry.SourceData_Poultry_MCF_Data(), Table_SourceData_Poultry_MMSMCF[[#Headers],[MMS m]], 0)</f>
        <v>1.4999999999999999E-2</v>
      </c>
      <c r="I60" s="37" cm="1">
        <f t="array" ref="I60">Common_InputFunctions.Utility_DisplayArrayInTable(SourceData_Poultry.SourceData_Poultry_MCF_Data(), Table_SourceData_Poultry_MMSMCF[[#Headers],[MMS m]], 0)</f>
        <v>1.4999999999999999E-2</v>
      </c>
      <c r="J60" s="37" cm="1">
        <f t="array" ref="J60">Common_InputFunctions.Utility_DisplayArrayInTable(SourceData_Poultry.SourceData_Poultry_MCF_Data(), Table_SourceData_Poultry_MMSMCF[[#Headers],[MMS m]], 0)</f>
        <v>1.4999999999999999E-2</v>
      </c>
      <c r="K60" s="37" cm="1">
        <f t="array" ref="K60">Common_InputFunctions.Utility_DisplayArrayInTable(SourceData_Poultry.SourceData_Poultry_MCF_Data(), Table_SourceData_Poultry_MMSMCF[[#Headers],[MMS m]], 0)</f>
        <v>1.4999999999999999E-2</v>
      </c>
      <c r="L60" s="37" cm="1">
        <f t="array" ref="L60">Common_InputFunctions.Utility_DisplayArrayInTable(SourceData_Poultry.SourceData_Poultry_MCF_Data(), Table_SourceData_Poultry_MMSMCF[[#Headers],[MMS m]], 0)</f>
        <v>1.4999999999999999E-2</v>
      </c>
      <c r="M60" s="37" cm="1">
        <f t="array" ref="M60">Common_InputFunctions.Utility_DisplayArrayInTable(SourceData_Poultry.SourceData_Poultry_MCF_Data(), Table_SourceData_Poultry_MMSMCF[[#Headers],[MMS m]], 0)</f>
        <v>1.4999999999999999E-2</v>
      </c>
      <c r="N60" s="37" t="str" cm="1">
        <f t="array" ref="N60">Common_InputFunctions.Utility_DisplayArrayInTable(SourceData_Poultry.SourceData_Poultry_MCF_Data(), Table_SourceData_Poultry_MMSMCF[[#Headers],[MMS m]], 0)</f>
        <v>Poultry manure with bedding</v>
      </c>
    </row>
    <row r="61" spans="4:14" ht="20.100000000000001" customHeight="1" x14ac:dyDescent="0.25">
      <c r="D61" s="1" t="str" cm="1">
        <f t="array" ref="D61">Common_InputFunctions.Utility_DisplayArrayInTable(SourceData_Poultry.SourceData_Poultry_MCF_Data(), Table_SourceData_Poultry_MMSMCF[[#Headers],[MMS m]], 0)</f>
        <v>Poultry manure without litter</v>
      </c>
      <c r="E61" s="37" cm="1">
        <f t="array" ref="E61">Common_InputFunctions.Utility_DisplayArrayInTable(SourceData_Poultry.SourceData_Poultry_MCF_Data(), Table_SourceData_Poultry_MMSMCF[[#Headers],[MMS m]], 0)</f>
        <v>1.4999999999999999E-2</v>
      </c>
      <c r="F61" s="37" cm="1">
        <f t="array" ref="F61">Common_InputFunctions.Utility_DisplayArrayInTable(SourceData_Poultry.SourceData_Poultry_MCF_Data(), Table_SourceData_Poultry_MMSMCF[[#Headers],[MMS m]], 0)</f>
        <v>1.4999999999999999E-2</v>
      </c>
      <c r="G61" s="37" cm="1">
        <f t="array" ref="G61">Common_InputFunctions.Utility_DisplayArrayInTable(SourceData_Poultry.SourceData_Poultry_MCF_Data(), Table_SourceData_Poultry_MMSMCF[[#Headers],[MMS m]], 0)</f>
        <v>1.4999999999999999E-2</v>
      </c>
      <c r="H61" s="37" cm="1">
        <f t="array" ref="H61">Common_InputFunctions.Utility_DisplayArrayInTable(SourceData_Poultry.SourceData_Poultry_MCF_Data(), Table_SourceData_Poultry_MMSMCF[[#Headers],[MMS m]], 0)</f>
        <v>1.4999999999999999E-2</v>
      </c>
      <c r="I61" s="37" cm="1">
        <f t="array" ref="I61">Common_InputFunctions.Utility_DisplayArrayInTable(SourceData_Poultry.SourceData_Poultry_MCF_Data(), Table_SourceData_Poultry_MMSMCF[[#Headers],[MMS m]], 0)</f>
        <v>1.4999999999999999E-2</v>
      </c>
      <c r="J61" s="37" cm="1">
        <f t="array" ref="J61">Common_InputFunctions.Utility_DisplayArrayInTable(SourceData_Poultry.SourceData_Poultry_MCF_Data(), Table_SourceData_Poultry_MMSMCF[[#Headers],[MMS m]], 0)</f>
        <v>1.4999999999999999E-2</v>
      </c>
      <c r="K61" s="37" cm="1">
        <f t="array" ref="K61">Common_InputFunctions.Utility_DisplayArrayInTable(SourceData_Poultry.SourceData_Poultry_MCF_Data(), Table_SourceData_Poultry_MMSMCF[[#Headers],[MMS m]], 0)</f>
        <v>1.4999999999999999E-2</v>
      </c>
      <c r="L61" s="37" cm="1">
        <f t="array" ref="L61">Common_InputFunctions.Utility_DisplayArrayInTable(SourceData_Poultry.SourceData_Poultry_MCF_Data(), Table_SourceData_Poultry_MMSMCF[[#Headers],[MMS m]], 0)</f>
        <v>1.4999999999999999E-2</v>
      </c>
      <c r="M61" s="37" cm="1">
        <f t="array" ref="M61">Common_InputFunctions.Utility_DisplayArrayInTable(SourceData_Poultry.SourceData_Poultry_MCF_Data(), Table_SourceData_Poultry_MMSMCF[[#Headers],[MMS m]], 0)</f>
        <v>1.4999999999999999E-2</v>
      </c>
      <c r="N61" s="37" t="str" cm="1">
        <f t="array" ref="N61">Common_InputFunctions.Utility_DisplayArrayInTable(SourceData_Poultry.SourceData_Poultry_MCF_Data(), Table_SourceData_Poultry_MMSMCF[[#Headers],[MMS m]], 0)</f>
        <v>Belt manure removal</v>
      </c>
    </row>
    <row r="62" spans="4:14" ht="20.100000000000001" customHeight="1" x14ac:dyDescent="0.25">
      <c r="D62" s="1" t="str" cm="1">
        <f t="array" ref="D62">Common_InputFunctions.Utility_DisplayArrayInTable(SourceData_Poultry.SourceData_Poultry_MCF_Data(), Table_SourceData_Poultry_MMSMCF[[#Headers],[MMS m]], 0)</f>
        <v>Poultry manure without litter</v>
      </c>
      <c r="E62" s="37" cm="1">
        <f t="array" ref="E62">Common_InputFunctions.Utility_DisplayArrayInTable(SourceData_Poultry.SourceData_Poultry_MCF_Data(), Table_SourceData_Poultry_MMSMCF[[#Headers],[MMS m]], 0)</f>
        <v>1.4999999999999999E-2</v>
      </c>
      <c r="F62" s="37" cm="1">
        <f t="array" ref="F62">Common_InputFunctions.Utility_DisplayArrayInTable(SourceData_Poultry.SourceData_Poultry_MCF_Data(), Table_SourceData_Poultry_MMSMCF[[#Headers],[MMS m]], 0)</f>
        <v>1.4999999999999999E-2</v>
      </c>
      <c r="G62" s="37" cm="1">
        <f t="array" ref="G62">Common_InputFunctions.Utility_DisplayArrayInTable(SourceData_Poultry.SourceData_Poultry_MCF_Data(), Table_SourceData_Poultry_MMSMCF[[#Headers],[MMS m]], 0)</f>
        <v>1.4999999999999999E-2</v>
      </c>
      <c r="H62" s="37" cm="1">
        <f t="array" ref="H62">Common_InputFunctions.Utility_DisplayArrayInTable(SourceData_Poultry.SourceData_Poultry_MCF_Data(), Table_SourceData_Poultry_MMSMCF[[#Headers],[MMS m]], 0)</f>
        <v>1.4999999999999999E-2</v>
      </c>
      <c r="I62" s="37" cm="1">
        <f t="array" ref="I62">Common_InputFunctions.Utility_DisplayArrayInTable(SourceData_Poultry.SourceData_Poultry_MCF_Data(), Table_SourceData_Poultry_MMSMCF[[#Headers],[MMS m]], 0)</f>
        <v>1.4999999999999999E-2</v>
      </c>
      <c r="J62" s="37" cm="1">
        <f t="array" ref="J62">Common_InputFunctions.Utility_DisplayArrayInTable(SourceData_Poultry.SourceData_Poultry_MCF_Data(), Table_SourceData_Poultry_MMSMCF[[#Headers],[MMS m]], 0)</f>
        <v>1.4999999999999999E-2</v>
      </c>
      <c r="K62" s="37" cm="1">
        <f t="array" ref="K62">Common_InputFunctions.Utility_DisplayArrayInTable(SourceData_Poultry.SourceData_Poultry_MCF_Data(), Table_SourceData_Poultry_MMSMCF[[#Headers],[MMS m]], 0)</f>
        <v>1.4999999999999999E-2</v>
      </c>
      <c r="L62" s="37" cm="1">
        <f t="array" ref="L62">Common_InputFunctions.Utility_DisplayArrayInTable(SourceData_Poultry.SourceData_Poultry_MCF_Data(), Table_SourceData_Poultry_MMSMCF[[#Headers],[MMS m]], 0)</f>
        <v>1.4999999999999999E-2</v>
      </c>
      <c r="M62" s="37" cm="1">
        <f t="array" ref="M62">Common_InputFunctions.Utility_DisplayArrayInTable(SourceData_Poultry.SourceData_Poultry_MCF_Data(), Table_SourceData_Poultry_MMSMCF[[#Headers],[MMS m]], 0)</f>
        <v>1.4999999999999999E-2</v>
      </c>
      <c r="N62" s="37" t="str" cm="1">
        <f t="array" ref="N62">Common_InputFunctions.Utility_DisplayArrayInTable(SourceData_Poultry.SourceData_Poultry_MCF_Data(), Table_SourceData_Poultry_MMSMCF[[#Headers],[MMS m]], 0)</f>
        <v>Manure stored in house</v>
      </c>
    </row>
    <row r="63" spans="4:14" ht="20.100000000000001" customHeight="1" x14ac:dyDescent="0.25">
      <c r="D63" s="1" t="str" cm="1">
        <f t="array" ref="D63">Common_InputFunctions.Utility_DisplayArrayInTable(SourceData_Poultry.SourceData_Poultry_MCF_Data(), Table_SourceData_Poultry_MMSMCF[[#Headers],[MMS m]], 0)</f>
        <v>Pasture range and paddock</v>
      </c>
      <c r="E63" s="37" t="str" cm="1">
        <f t="array" ref="E63">Common_InputFunctions.Utility_DisplayArrayInTable(SourceData_Poultry.SourceData_Poultry_MCF_Data(), Table_SourceData_Poultry_MMSMCF[[#Headers],[MMS m]], 0)</f>
        <v>n/a</v>
      </c>
      <c r="F63" s="37" cm="1">
        <f t="array" ref="F63">Common_InputFunctions.Utility_DisplayArrayInTable(SourceData_Poultry.SourceData_Poultry_MCF_Data(), Table_SourceData_Poultry_MMSMCF[[#Headers],[MMS m]], 0)</f>
        <v>0.01</v>
      </c>
      <c r="G63" s="37" cm="1">
        <f t="array" ref="G63">Common_InputFunctions.Utility_DisplayArrayInTable(SourceData_Poultry.SourceData_Poultry_MCF_Data(), Table_SourceData_Poultry_MMSMCF[[#Headers],[MMS m]], 0)</f>
        <v>0.01</v>
      </c>
      <c r="H63" s="37" cm="1">
        <f t="array" ref="H63">Common_InputFunctions.Utility_DisplayArrayInTable(SourceData_Poultry.SourceData_Poultry_MCF_Data(), Table_SourceData_Poultry_MMSMCF[[#Headers],[MMS m]], 0)</f>
        <v>0.03</v>
      </c>
      <c r="I63" s="37" cm="1">
        <f t="array" ref="I63">Common_InputFunctions.Utility_DisplayArrayInTable(SourceData_Poultry.SourceData_Poultry_MCF_Data(), Table_SourceData_Poultry_MMSMCF[[#Headers],[MMS m]], 0)</f>
        <v>0.03</v>
      </c>
      <c r="J63" s="37" cm="1">
        <f t="array" ref="J63">Common_InputFunctions.Utility_DisplayArrayInTable(SourceData_Poultry.SourceData_Poultry_MCF_Data(), Table_SourceData_Poultry_MMSMCF[[#Headers],[MMS m]], 0)</f>
        <v>0.01</v>
      </c>
      <c r="K63" s="37" cm="1">
        <f t="array" ref="K63">Common_InputFunctions.Utility_DisplayArrayInTable(SourceData_Poultry.SourceData_Poultry_MCF_Data(), Table_SourceData_Poultry_MMSMCF[[#Headers],[MMS m]], 0)</f>
        <v>0.01</v>
      </c>
      <c r="L63" s="37" cm="1">
        <f t="array" ref="L63">Common_InputFunctions.Utility_DisplayArrayInTable(SourceData_Poultry.SourceData_Poultry_MCF_Data(), Table_SourceData_Poultry_MMSMCF[[#Headers],[MMS m]], 0)</f>
        <v>0.01</v>
      </c>
      <c r="M63" s="37" cm="1">
        <f t="array" ref="M63">Common_InputFunctions.Utility_DisplayArrayInTable(SourceData_Poultry.SourceData_Poultry_MCF_Data(), Table_SourceData_Poultry_MMSMCF[[#Headers],[MMS m]], 0)</f>
        <v>0.01</v>
      </c>
      <c r="N63" s="37" t="str" cm="1">
        <f t="array" ref="N63">Common_InputFunctions.Utility_DisplayArrayInTable(SourceData_Poultry.SourceData_Poultry_MCF_Data(), Table_SourceData_Poultry_MMSMCF[[#Headers],[MMS m]], 0)</f>
        <v>Pasture range and paddock</v>
      </c>
    </row>
    <row r="64" spans="4:14" ht="20.100000000000001" customHeight="1" x14ac:dyDescent="0.25">
      <c r="D64" s="1" t="str" cm="1">
        <f t="array" ref="D64">Common_InputFunctions.Utility_DisplayArrayInTable(SourceData_Poultry.SourceData_Poultry_MCF_Data(), Table_SourceData_Poultry_MMSMCF[[#Headers],[MMS m]], 0)</f>
        <v>Solid storage</v>
      </c>
      <c r="E64" s="37" cm="1">
        <f t="array" ref="E64">Common_InputFunctions.Utility_DisplayArrayInTable(SourceData_Poultry.SourceData_Poultry_MCF_Data(), Table_SourceData_Poultry_MMSMCF[[#Headers],[MMS m]], 0)</f>
        <v>0.02</v>
      </c>
      <c r="F64" s="37" cm="1">
        <f t="array" ref="F64">Common_InputFunctions.Utility_DisplayArrayInTable(SourceData_Poultry.SourceData_Poultry_MCF_Data(), Table_SourceData_Poultry_MMSMCF[[#Headers],[MMS m]], 0)</f>
        <v>0.02</v>
      </c>
      <c r="G64" s="37" cm="1">
        <f t="array" ref="G64">Common_InputFunctions.Utility_DisplayArrayInTable(SourceData_Poultry.SourceData_Poultry_MCF_Data(), Table_SourceData_Poultry_MMSMCF[[#Headers],[MMS m]], 0)</f>
        <v>0.02</v>
      </c>
      <c r="H64" s="37" cm="1">
        <f t="array" ref="H64">Common_InputFunctions.Utility_DisplayArrayInTable(SourceData_Poultry.SourceData_Poultry_MCF_Data(), Table_SourceData_Poultry_MMSMCF[[#Headers],[MMS m]], 0)</f>
        <v>0.02</v>
      </c>
      <c r="I64" s="37" cm="1">
        <f t="array" ref="I64">Common_InputFunctions.Utility_DisplayArrayInTable(SourceData_Poultry.SourceData_Poultry_MCF_Data(), Table_SourceData_Poultry_MMSMCF[[#Headers],[MMS m]], 0)</f>
        <v>0.02</v>
      </c>
      <c r="J64" s="37" cm="1">
        <f t="array" ref="J64">Common_InputFunctions.Utility_DisplayArrayInTable(SourceData_Poultry.SourceData_Poultry_MCF_Data(), Table_SourceData_Poultry_MMSMCF[[#Headers],[MMS m]], 0)</f>
        <v>0.02</v>
      </c>
      <c r="K64" s="37" cm="1">
        <f t="array" ref="K64">Common_InputFunctions.Utility_DisplayArrayInTable(SourceData_Poultry.SourceData_Poultry_MCF_Data(), Table_SourceData_Poultry_MMSMCF[[#Headers],[MMS m]], 0)</f>
        <v>0.02</v>
      </c>
      <c r="L64" s="37" cm="1">
        <f t="array" ref="L64">Common_InputFunctions.Utility_DisplayArrayInTable(SourceData_Poultry.SourceData_Poultry_MCF_Data(), Table_SourceData_Poultry_MMSMCF[[#Headers],[MMS m]], 0)</f>
        <v>0.02</v>
      </c>
      <c r="M64" s="37" cm="1">
        <f t="array" ref="M64">Common_InputFunctions.Utility_DisplayArrayInTable(SourceData_Poultry.SourceData_Poultry_MCF_Data(), Table_SourceData_Poultry_MMSMCF[[#Headers],[MMS m]], 0)</f>
        <v>0.02</v>
      </c>
      <c r="N64" s="37" t="str" cm="1">
        <f t="array" ref="N64">Common_InputFunctions.Utility_DisplayArrayInTable(SourceData_Poultry.SourceData_Poultry_MCF_Data(), Table_SourceData_Poultry_MMSMCF[[#Headers],[MMS m]], 0)</f>
        <v>Solid storage</v>
      </c>
    </row>
    <row r="65" spans="4:22" ht="20.100000000000001" customHeight="1" x14ac:dyDescent="0.25">
      <c r="D65" s="1" t="str" cm="1">
        <f t="array" ref="D65">Common_InputFunctions.Utility_DisplayArrayInTable(SourceData_Poultry.SourceData_Poultry_MCF_Data(), Table_SourceData_Poultry_MMSMCF[[#Headers],[MMS m]], 0)</f>
        <v>Composting (passive windrow)</v>
      </c>
      <c r="E65" s="37" t="str" cm="1">
        <f t="array" ref="E65">Common_InputFunctions.Utility_DisplayArrayInTable(SourceData_Poultry.SourceData_Poultry_MCF_Data(), Table_SourceData_Poultry_MMSMCF[[#Headers],[MMS m]], 0)</f>
        <v>n/a</v>
      </c>
      <c r="F65" s="37" cm="1">
        <f t="array" ref="F65">Common_InputFunctions.Utility_DisplayArrayInTable(SourceData_Poultry.SourceData_Poultry_MCF_Data(), Table_SourceData_Poultry_MMSMCF[[#Headers],[MMS m]], 0)</f>
        <v>0.01</v>
      </c>
      <c r="G65" s="37" cm="1">
        <f t="array" ref="G65">Common_InputFunctions.Utility_DisplayArrayInTable(SourceData_Poultry.SourceData_Poultry_MCF_Data(), Table_SourceData_Poultry_MMSMCF[[#Headers],[MMS m]], 0)</f>
        <v>0.01</v>
      </c>
      <c r="H65" s="37" cm="1">
        <f t="array" ref="H65">Common_InputFunctions.Utility_DisplayArrayInTable(SourceData_Poultry.SourceData_Poultry_MCF_Data(), Table_SourceData_Poultry_MMSMCF[[#Headers],[MMS m]], 0)</f>
        <v>0.01</v>
      </c>
      <c r="I65" s="37" cm="1">
        <f t="array" ref="I65">Common_InputFunctions.Utility_DisplayArrayInTable(SourceData_Poultry.SourceData_Poultry_MCF_Data(), Table_SourceData_Poultry_MMSMCF[[#Headers],[MMS m]], 0)</f>
        <v>0.01</v>
      </c>
      <c r="J65" s="37" cm="1">
        <f t="array" ref="J65">Common_InputFunctions.Utility_DisplayArrayInTable(SourceData_Poultry.SourceData_Poultry_MCF_Data(), Table_SourceData_Poultry_MMSMCF[[#Headers],[MMS m]], 0)</f>
        <v>0.01</v>
      </c>
      <c r="K65" s="37" cm="1">
        <f t="array" ref="K65">Common_InputFunctions.Utility_DisplayArrayInTable(SourceData_Poultry.SourceData_Poultry_MCF_Data(), Table_SourceData_Poultry_MMSMCF[[#Headers],[MMS m]], 0)</f>
        <v>0.01</v>
      </c>
      <c r="L65" s="37" cm="1">
        <f t="array" ref="L65">Common_InputFunctions.Utility_DisplayArrayInTable(SourceData_Poultry.SourceData_Poultry_MCF_Data(), Table_SourceData_Poultry_MMSMCF[[#Headers],[MMS m]], 0)</f>
        <v>0.01</v>
      </c>
      <c r="M65" s="37" cm="1">
        <f t="array" ref="M65">Common_InputFunctions.Utility_DisplayArrayInTable(SourceData_Poultry.SourceData_Poultry_MCF_Data(), Table_SourceData_Poultry_MMSMCF[[#Headers],[MMS m]], 0)</f>
        <v>5.0000000000000001E-3</v>
      </c>
      <c r="N65" s="37" t="str" cm="1">
        <f t="array" ref="N65">Common_InputFunctions.Utility_DisplayArrayInTable(SourceData_Poultry.SourceData_Poultry_MCF_Data(), Table_SourceData_Poultry_MMSMCF[[#Headers],[MMS m]], 0)</f>
        <v>Composting (passive windrow)</v>
      </c>
    </row>
    <row r="66" spans="4:22" ht="20.100000000000001" customHeight="1" x14ac:dyDescent="0.25">
      <c r="D66" s="1" t="str" cm="1">
        <f t="array" ref="D66">Common_InputFunctions.Utility_DisplayArrayInTable(SourceData_Poultry.SourceData_Poultry_MCF_Data(), Table_SourceData_Poultry_MMSMCF[[#Headers],[MMS m]], 0)</f>
        <v>Anaerobic digester / Covered pond</v>
      </c>
      <c r="E66" s="37" cm="1">
        <f t="array" ref="E66">Common_InputFunctions.Utility_DisplayArrayInTable(SourceData_Poultry.SourceData_Poultry_MCF_Data(), Table_SourceData_Poultry_MMSMCF[[#Headers],[MMS m]], 0)</f>
        <v>0.1</v>
      </c>
      <c r="F66" s="37" cm="1">
        <f t="array" ref="F66">Common_InputFunctions.Utility_DisplayArrayInTable(SourceData_Poultry.SourceData_Poultry_MCF_Data(), Table_SourceData_Poultry_MMSMCF[[#Headers],[MMS m]], 0)</f>
        <v>0.1</v>
      </c>
      <c r="G66" s="37" cm="1">
        <f t="array" ref="G66">Common_InputFunctions.Utility_DisplayArrayInTable(SourceData_Poultry.SourceData_Poultry_MCF_Data(), Table_SourceData_Poultry_MMSMCF[[#Headers],[MMS m]], 0)</f>
        <v>0.1</v>
      </c>
      <c r="H66" s="37" cm="1">
        <f t="array" ref="H66">Common_InputFunctions.Utility_DisplayArrayInTable(SourceData_Poultry.SourceData_Poultry_MCF_Data(), Table_SourceData_Poultry_MMSMCF[[#Headers],[MMS m]], 0)</f>
        <v>0.1</v>
      </c>
      <c r="I66" s="37" cm="1">
        <f t="array" ref="I66">Common_InputFunctions.Utility_DisplayArrayInTable(SourceData_Poultry.SourceData_Poultry_MCF_Data(), Table_SourceData_Poultry_MMSMCF[[#Headers],[MMS m]], 0)</f>
        <v>0.1</v>
      </c>
      <c r="J66" s="37" cm="1">
        <f t="array" ref="J66">Common_InputFunctions.Utility_DisplayArrayInTable(SourceData_Poultry.SourceData_Poultry_MCF_Data(), Table_SourceData_Poultry_MMSMCF[[#Headers],[MMS m]], 0)</f>
        <v>0.1</v>
      </c>
      <c r="K66" s="37" cm="1">
        <f t="array" ref="K66">Common_InputFunctions.Utility_DisplayArrayInTable(SourceData_Poultry.SourceData_Poultry_MCF_Data(), Table_SourceData_Poultry_MMSMCF[[#Headers],[MMS m]], 0)</f>
        <v>0.1</v>
      </c>
      <c r="L66" s="37" cm="1">
        <f t="array" ref="L66">Common_InputFunctions.Utility_DisplayArrayInTable(SourceData_Poultry.SourceData_Poultry_MCF_Data(), Table_SourceData_Poultry_MMSMCF[[#Headers],[MMS m]], 0)</f>
        <v>0.1</v>
      </c>
      <c r="M66" s="37" cm="1">
        <f t="array" ref="M66">Common_InputFunctions.Utility_DisplayArrayInTable(SourceData_Poultry.SourceData_Poultry_MCF_Data(), Table_SourceData_Poultry_MMSMCF[[#Headers],[MMS m]], 0)</f>
        <v>0.1</v>
      </c>
      <c r="N66" s="37" t="str" cm="1">
        <f t="array" ref="N66">Common_InputFunctions.Utility_DisplayArrayInTable(SourceData_Poultry.SourceData_Poultry_MCF_Data(), Table_SourceData_Poultry_MMSMCF[[#Headers],[MMS m]], 0)</f>
        <v>Digester / covered lagoons</v>
      </c>
    </row>
    <row r="67" spans="4:22" ht="20.100000000000001" customHeight="1" x14ac:dyDescent="0.25">
      <c r="D67" s="1" t="str" cm="1">
        <f t="array" ref="D67">Common_InputFunctions.Utility_DisplayArrayInTable(SourceData_Poultry.SourceData_Poultry_MCF_Data(), Table_SourceData_Poultry_MMSMCF[[#Headers],[MMS m]], 0)</f>
        <v>Direct processing</v>
      </c>
      <c r="E67" s="37" cm="1">
        <f t="array" ref="E67">Common_InputFunctions.Utility_DisplayArrayInTable(SourceData_Poultry.SourceData_Poultry_MCF_Data(), Table_SourceData_Poultry_MMSMCF[[#Headers],[MMS m]], 0)</f>
        <v>0</v>
      </c>
      <c r="F67" s="37" cm="1">
        <f t="array" ref="F67">Common_InputFunctions.Utility_DisplayArrayInTable(SourceData_Poultry.SourceData_Poultry_MCF_Data(), Table_SourceData_Poultry_MMSMCF[[#Headers],[MMS m]], 0)</f>
        <v>0</v>
      </c>
      <c r="G67" s="37" cm="1">
        <f t="array" ref="G67">Common_InputFunctions.Utility_DisplayArrayInTable(SourceData_Poultry.SourceData_Poultry_MCF_Data(), Table_SourceData_Poultry_MMSMCF[[#Headers],[MMS m]], 0)</f>
        <v>0</v>
      </c>
      <c r="H67" s="37" cm="1">
        <f t="array" ref="H67">Common_InputFunctions.Utility_DisplayArrayInTable(SourceData_Poultry.SourceData_Poultry_MCF_Data(), Table_SourceData_Poultry_MMSMCF[[#Headers],[MMS m]], 0)</f>
        <v>0</v>
      </c>
      <c r="I67" s="37" cm="1">
        <f t="array" ref="I67">Common_InputFunctions.Utility_DisplayArrayInTable(SourceData_Poultry.SourceData_Poultry_MCF_Data(), Table_SourceData_Poultry_MMSMCF[[#Headers],[MMS m]], 0)</f>
        <v>0</v>
      </c>
      <c r="J67" s="37" cm="1">
        <f t="array" ref="J67">Common_InputFunctions.Utility_DisplayArrayInTable(SourceData_Poultry.SourceData_Poultry_MCF_Data(), Table_SourceData_Poultry_MMSMCF[[#Headers],[MMS m]], 0)</f>
        <v>0</v>
      </c>
      <c r="K67" s="37" cm="1">
        <f t="array" ref="K67">Common_InputFunctions.Utility_DisplayArrayInTable(SourceData_Poultry.SourceData_Poultry_MCF_Data(), Table_SourceData_Poultry_MMSMCF[[#Headers],[MMS m]], 0)</f>
        <v>0</v>
      </c>
      <c r="L67" s="37" cm="1">
        <f t="array" ref="L67">Common_InputFunctions.Utility_DisplayArrayInTable(SourceData_Poultry.SourceData_Poultry_MCF_Data(), Table_SourceData_Poultry_MMSMCF[[#Headers],[MMS m]], 0)</f>
        <v>0</v>
      </c>
      <c r="M67" s="37" cm="1">
        <f t="array" ref="M67">Common_InputFunctions.Utility_DisplayArrayInTable(SourceData_Poultry.SourceData_Poultry_MCF_Data(), Table_SourceData_Poultry_MMSMCF[[#Headers],[MMS m]], 0)</f>
        <v>0</v>
      </c>
      <c r="N67" s="37" t="str" cm="1">
        <f t="array" ref="N67">Common_InputFunctions.Utility_DisplayArrayInTable(SourceData_Poultry.SourceData_Poultry_MCF_Data(), Table_SourceData_Poultry_MMSMCF[[#Headers],[MMS m]], 0)</f>
        <v>Direct processing</v>
      </c>
    </row>
    <row r="68" spans="4:22" ht="20.100000000000001" customHeight="1" x14ac:dyDescent="0.25">
      <c r="D68" s="1" t="str" cm="1">
        <f t="array" ref="D68">Common_InputFunctions.Utility_DisplayArrayInTable(SourceData_Poultry.SourceData_Poultry_MCF_Data(), Table_SourceData_Poultry_MMSMCF[[#Headers],[MMS m]], 0)</f>
        <v>Direct application to soil</v>
      </c>
      <c r="E68" s="37" cm="1">
        <f t="array" ref="E68">Common_InputFunctions.Utility_DisplayArrayInTable(SourceData_Poultry.SourceData_Poultry_MCF_Data(), Table_SourceData_Poultry_MMSMCF[[#Headers],[MMS m]], 0)</f>
        <v>0</v>
      </c>
      <c r="F68" s="37" cm="1">
        <f t="array" ref="F68">Common_InputFunctions.Utility_DisplayArrayInTable(SourceData_Poultry.SourceData_Poultry_MCF_Data(), Table_SourceData_Poultry_MMSMCF[[#Headers],[MMS m]], 0)</f>
        <v>0</v>
      </c>
      <c r="G68" s="37" cm="1">
        <f t="array" ref="G68">Common_InputFunctions.Utility_DisplayArrayInTable(SourceData_Poultry.SourceData_Poultry_MCF_Data(), Table_SourceData_Poultry_MMSMCF[[#Headers],[MMS m]], 0)</f>
        <v>0</v>
      </c>
      <c r="H68" s="37" cm="1">
        <f t="array" ref="H68">Common_InputFunctions.Utility_DisplayArrayInTable(SourceData_Poultry.SourceData_Poultry_MCF_Data(), Table_SourceData_Poultry_MMSMCF[[#Headers],[MMS m]], 0)</f>
        <v>0</v>
      </c>
      <c r="I68" s="37" cm="1">
        <f t="array" ref="I68">Common_InputFunctions.Utility_DisplayArrayInTable(SourceData_Poultry.SourceData_Poultry_MCF_Data(), Table_SourceData_Poultry_MMSMCF[[#Headers],[MMS m]], 0)</f>
        <v>0</v>
      </c>
      <c r="J68" s="37" cm="1">
        <f t="array" ref="J68">Common_InputFunctions.Utility_DisplayArrayInTable(SourceData_Poultry.SourceData_Poultry_MCF_Data(), Table_SourceData_Poultry_MMSMCF[[#Headers],[MMS m]], 0)</f>
        <v>0</v>
      </c>
      <c r="K68" s="37" cm="1">
        <f t="array" ref="K68">Common_InputFunctions.Utility_DisplayArrayInTable(SourceData_Poultry.SourceData_Poultry_MCF_Data(), Table_SourceData_Poultry_MMSMCF[[#Headers],[MMS m]], 0)</f>
        <v>0</v>
      </c>
      <c r="L68" s="37" cm="1">
        <f t="array" ref="L68">Common_InputFunctions.Utility_DisplayArrayInTable(SourceData_Poultry.SourceData_Poultry_MCF_Data(), Table_SourceData_Poultry_MMSMCF[[#Headers],[MMS m]], 0)</f>
        <v>0</v>
      </c>
      <c r="M68" s="37" cm="1">
        <f t="array" ref="M68">Common_InputFunctions.Utility_DisplayArrayInTable(SourceData_Poultry.SourceData_Poultry_MCF_Data(), Table_SourceData_Poultry_MMSMCF[[#Headers],[MMS m]], 0)</f>
        <v>0</v>
      </c>
      <c r="N68" s="37" t="str" cm="1">
        <f t="array" ref="N68">Common_InputFunctions.Utility_DisplayArrayInTable(SourceData_Poultry.SourceData_Poultry_MCF_Data(), Table_SourceData_Poultry_MMSMCF[[#Headers],[MMS m]], 0)</f>
        <v>Direct application</v>
      </c>
    </row>
    <row r="69" spans="4:22" ht="20.100000000000001" customHeight="1" x14ac:dyDescent="0.25">
      <c r="M69" s="1"/>
    </row>
    <row r="70" spans="4:22" ht="20.100000000000001" customHeight="1" x14ac:dyDescent="0.25">
      <c r="M70" s="1"/>
    </row>
    <row r="71" spans="4:22" ht="20.100000000000001" customHeight="1" x14ac:dyDescent="0.25">
      <c r="M71" s="1"/>
      <c r="V71" s="1"/>
    </row>
    <row r="72" spans="4:22" ht="20.100000000000001" customHeight="1" x14ac:dyDescent="0.25">
      <c r="D72" s="6" t="str" cm="1">
        <f t="array" ref="D72">SourceData_Poultry.SourceData_Poultry_VSL_Title()</f>
        <v>Poultry - Fraction of volatile solids lost in the primary MMS</v>
      </c>
      <c r="M72" s="1"/>
      <c r="V72" s="1"/>
    </row>
    <row r="73" spans="4:22" ht="20.100000000000001" customHeight="1" x14ac:dyDescent="0.25">
      <c r="D73" s="5" t="str" cm="1">
        <f t="array" ref="D73">SourceData_Poultry.SourceData_Poultry_VSL_Source()</f>
        <v>VEERG 2026: 4.6.2.3 CONSTANT</v>
      </c>
      <c r="M73" s="1"/>
      <c r="V73" s="1"/>
    </row>
    <row r="74" spans="4:22" ht="20.100000000000001" customHeight="1" x14ac:dyDescent="0.25">
      <c r="D74" s="53" t="str" cm="1">
        <f t="array" ref="D74">SourceData_Poultry.SourceData_Poultry_VSL_Variation()</f>
        <v>VARIATION ON SOURCE: Table generated from line items. Added 'NIR definition column'.</v>
      </c>
      <c r="M74" s="1"/>
      <c r="V74" s="1"/>
    </row>
    <row r="75" spans="4:22" ht="20.100000000000001" customHeight="1" x14ac:dyDescent="0.25">
      <c r="D75" s="101" t="s">
        <v>153</v>
      </c>
      <c r="M75" s="1"/>
      <c r="V75" s="1"/>
    </row>
    <row r="76" spans="4:22" ht="20.100000000000001" customHeight="1" x14ac:dyDescent="0.25">
      <c r="D76" s="37" t="s">
        <v>64</v>
      </c>
      <c r="E76" s="37" t="s">
        <v>119</v>
      </c>
      <c r="F76" s="37" t="s">
        <v>118</v>
      </c>
      <c r="M76" s="1"/>
      <c r="V76" s="1"/>
    </row>
    <row r="77" spans="4:22" ht="20.100000000000001" customHeight="1" x14ac:dyDescent="0.25">
      <c r="D77" s="37" t="str" cm="1">
        <f t="array" ref="D77">Common_InputFunctions.Utility_DisplayArrayInTable(SourceData_Poultry.SourceData_Poultry_VSL_Data(), Table_SourceData_Poultry_MMSVSL[[#Headers],[MMS]], 0)</f>
        <v>Poultry manure with litter</v>
      </c>
      <c r="E77" s="37" cm="1">
        <f t="array" ref="E77">Common_InputFunctions.Utility_DisplayArrayInTable(SourceData_Poultry.SourceData_Poultry_VSL_Data(), Table_SourceData_Poultry_MMSVSL[[#Headers],[MMS]], 0)</f>
        <v>0.15</v>
      </c>
      <c r="F77" s="37" t="str" cm="1">
        <f t="array" ref="F77">Common_InputFunctions.Utility_DisplayArrayInTable(SourceData_Poultry.SourceData_Poultry_VSL_Data(), Table_SourceData_Poultry_MMSVSL[[#Headers],[MMS]], 0)</f>
        <v>Poultry manure with bedding</v>
      </c>
      <c r="M77" s="1"/>
      <c r="V77" s="1"/>
    </row>
    <row r="78" spans="4:22" ht="20.100000000000001" customHeight="1" x14ac:dyDescent="0.25">
      <c r="D78" s="1" t="str" cm="1">
        <f t="array" ref="D78">Common_InputFunctions.Utility_DisplayArrayInTable(SourceData_Poultry.SourceData_Poultry_VSL_Data(), Table_SourceData_Poultry_MMSVSL[[#Headers],[MMS]], 0)</f>
        <v>Poultry manure without litter - stored in house</v>
      </c>
      <c r="E78" s="37" cm="1">
        <f t="array" ref="E78">Common_InputFunctions.Utility_DisplayArrayInTable(SourceData_Poultry.SourceData_Poultry_VSL_Data(), Table_SourceData_Poultry_MMSVSL[[#Headers],[MMS]], 0)</f>
        <v>0.2</v>
      </c>
      <c r="F78" s="37" t="str" cm="1">
        <f t="array" ref="F78">Common_InputFunctions.Utility_DisplayArrayInTable(SourceData_Poultry.SourceData_Poultry_VSL_Data(), Table_SourceData_Poultry_MMSVSL[[#Headers],[MMS]], 0)</f>
        <v>Manure stored in house</v>
      </c>
      <c r="M78" s="1"/>
      <c r="V78" s="1"/>
    </row>
    <row r="79" spans="4:22" ht="20.100000000000001" customHeight="1" x14ac:dyDescent="0.25">
      <c r="D79" s="1" t="str" cm="1">
        <f t="array" ref="D79">Common_InputFunctions.Utility_DisplayArrayInTable(SourceData_Poultry.SourceData_Poultry_VSL_Data(), Table_SourceData_Poultry_MMSVSL[[#Headers],[MMS]], 0)</f>
        <v>Poultry manure without litter - belt removal</v>
      </c>
      <c r="E79" s="37" cm="1">
        <f t="array" ref="E79">Common_InputFunctions.Utility_DisplayArrayInTable(SourceData_Poultry.SourceData_Poultry_VSL_Data(), Table_SourceData_Poultry_MMSVSL[[#Headers],[MMS]], 0)</f>
        <v>0</v>
      </c>
      <c r="F79" s="37" t="str" cm="1">
        <f t="array" ref="F79">Common_InputFunctions.Utility_DisplayArrayInTable(SourceData_Poultry.SourceData_Poultry_VSL_Data(), Table_SourceData_Poultry_MMSVSL[[#Headers],[MMS]], 0)</f>
        <v>Belt manure removal</v>
      </c>
      <c r="M79" s="1"/>
      <c r="V79" s="1"/>
    </row>
    <row r="80" spans="4:22" ht="20.100000000000001" customHeight="1" x14ac:dyDescent="0.25">
      <c r="M80" s="1"/>
      <c r="V80" s="1"/>
    </row>
    <row r="81" spans="4:23" ht="20.100000000000001" customHeight="1" x14ac:dyDescent="0.25">
      <c r="M81" s="1"/>
      <c r="V81" s="1"/>
    </row>
    <row r="82" spans="4:23" ht="20.100000000000001" customHeight="1" x14ac:dyDescent="0.25">
      <c r="D82" s="6" t="str" cm="1">
        <f t="array" ref="D82">SourceData_Poultry.SourceData_Poultry_FracGASMmT_Title()</f>
        <v>Poultry - Fraction of N volatilised by MMS ((kg NH3-N + NOx-N)/kgN) (FracGASMmT)</v>
      </c>
      <c r="M82" s="1"/>
      <c r="V82" s="1"/>
    </row>
    <row r="83" spans="4:23" ht="20.100000000000001" customHeight="1" x14ac:dyDescent="0.25">
      <c r="D83" s="5" t="str" cm="1">
        <f t="array" ref="D83">SourceData_Poultry.SourceData_Poultry_FracGASMmT_Source()</f>
        <v>VEERG 2026: Table A.1.7.2</v>
      </c>
      <c r="M83" s="1"/>
    </row>
    <row r="84" spans="4:23" ht="20.100000000000001" customHeight="1" x14ac:dyDescent="0.25">
      <c r="D84" s="53" t="str" cm="1">
        <f t="array" ref="D84">SourceData_Poultry.SourceData_Poultry_FracGASMmT_Variation()</f>
        <v>VARIATION ON SOURCE: Added 'NIR definition column'.</v>
      </c>
      <c r="M84" s="1"/>
    </row>
    <row r="85" spans="4:23" ht="20.100000000000001" customHeight="1" x14ac:dyDescent="0.25">
      <c r="D85" s="37" t="s">
        <v>120</v>
      </c>
      <c r="E85" s="37" t="s">
        <v>121</v>
      </c>
      <c r="F85" s="37" t="s">
        <v>122</v>
      </c>
      <c r="M85" s="1"/>
      <c r="V85" s="1"/>
    </row>
    <row r="86" spans="4:23" ht="20.100000000000001" customHeight="1" x14ac:dyDescent="0.25">
      <c r="D86" s="37" t="str" cm="1">
        <f t="array" ref="D86">Common_InputFunctions.Utility_DisplayArrayInTable(SourceData_Poultry.SourceData_Poultry_FracGASMmT_Data(), Table_SourceData_Poultry_FracGASM[[#Headers],[MMSm]], 0)</f>
        <v>Poultry manure with litter (housing)</v>
      </c>
      <c r="E86" s="37" cm="1">
        <f t="array" ref="E86">Common_InputFunctions.Utility_DisplayArrayInTable(SourceData_Poultry.SourceData_Poultry_FracGASMmT_Data(), Table_SourceData_Poultry_FracGASM[[#Headers],[MMSm]], 0)</f>
        <v>0.3</v>
      </c>
      <c r="F86" s="37" t="str" cm="1">
        <f t="array" ref="F86">Common_InputFunctions.Utility_DisplayArrayInTable(SourceData_Poultry.SourceData_Poultry_FracGASMmT_Data(), Table_SourceData_Poultry_FracGASM[[#Headers],[MMSm]], 0)</f>
        <v>Poultry manure with bedding</v>
      </c>
      <c r="M86" s="1"/>
      <c r="V86" s="1"/>
    </row>
    <row r="87" spans="4:23" ht="20.100000000000001" customHeight="1" x14ac:dyDescent="0.25">
      <c r="D87" s="1" t="str" cm="1">
        <f t="array" ref="D87">Common_InputFunctions.Utility_DisplayArrayInTable(SourceData_Poultry.SourceData_Poultry_FracGASMmT_Data(), Table_SourceData_Poultry_FracGASM[[#Headers],[MMSm]], 0)</f>
        <v>Poultry manure without litter (housing) Belt manure removal</v>
      </c>
      <c r="E87" s="37" cm="1">
        <f t="array" ref="E87">Common_InputFunctions.Utility_DisplayArrayInTable(SourceData_Poultry.SourceData_Poultry_FracGASMmT_Data(), Table_SourceData_Poultry_FracGASM[[#Headers],[MMSm]], 0)</f>
        <v>0.05</v>
      </c>
      <c r="F87" s="37" t="str" cm="1">
        <f t="array" ref="F87">Common_InputFunctions.Utility_DisplayArrayInTable(SourceData_Poultry.SourceData_Poultry_FracGASMmT_Data(), Table_SourceData_Poultry_FracGASM[[#Headers],[MMSm]], 0)</f>
        <v>Belt manure removal</v>
      </c>
      <c r="M87" s="1"/>
      <c r="V87" s="1"/>
    </row>
    <row r="88" spans="4:23" ht="20.100000000000001" customHeight="1" x14ac:dyDescent="0.25">
      <c r="D88" s="1" t="str" cm="1">
        <f t="array" ref="D88">Common_InputFunctions.Utility_DisplayArrayInTable(SourceData_Poultry.SourceData_Poultry_FracGASMmT_Data(), Table_SourceData_Poultry_FracGASM[[#Headers],[MMSm]], 0)</f>
        <v>Poultry manure without litter (housing) Manure stored in house under cages or slat</v>
      </c>
      <c r="E88" s="37" cm="1">
        <f t="array" ref="E88">Common_InputFunctions.Utility_DisplayArrayInTable(SourceData_Poultry.SourceData_Poultry_FracGASMmT_Data(), Table_SourceData_Poultry_FracGASM[[#Headers],[MMSm]], 0)</f>
        <v>0.4</v>
      </c>
      <c r="F88" s="37" t="str" cm="1">
        <f t="array" ref="F88">Common_InputFunctions.Utility_DisplayArrayInTable(SourceData_Poultry.SourceData_Poultry_FracGASMmT_Data(), Table_SourceData_Poultry_FracGASM[[#Headers],[MMSm]], 0)</f>
        <v>Manure stored in house</v>
      </c>
      <c r="M88" s="1"/>
      <c r="V88" s="1"/>
    </row>
    <row r="89" spans="4:23" ht="20.100000000000001" customHeight="1" x14ac:dyDescent="0.25">
      <c r="D89" s="1" t="str" cm="1">
        <f t="array" ref="D89">Common_InputFunctions.Utility_DisplayArrayInTable(SourceData_Poultry.SourceData_Poultry_FracGASMmT_Data(), Table_SourceData_Poultry_FracGASM[[#Headers],[MMSm]], 0)</f>
        <v>Solid storage (stockpile)</v>
      </c>
      <c r="E89" s="37" cm="1">
        <f t="array" ref="E89">Common_InputFunctions.Utility_DisplayArrayInTable(SourceData_Poultry.SourceData_Poultry_FracGASMmT_Data(), Table_SourceData_Poultry_FracGASM[[#Headers],[MMSm]], 0)</f>
        <v>0.2</v>
      </c>
      <c r="F89" s="37" t="str" cm="1">
        <f t="array" ref="F89">Common_InputFunctions.Utility_DisplayArrayInTable(SourceData_Poultry.SourceData_Poultry_FracGASMmT_Data(), Table_SourceData_Poultry_FracGASM[[#Headers],[MMSm]], 0)</f>
        <v>Solid storage</v>
      </c>
      <c r="M89" s="1"/>
      <c r="V89" s="1"/>
      <c r="W89" s="1"/>
    </row>
    <row r="90" spans="4:23" ht="20.100000000000001" customHeight="1" x14ac:dyDescent="0.25">
      <c r="D90" s="1" t="str" cm="1">
        <f t="array" ref="D90">Common_InputFunctions.Utility_DisplayArrayInTable(SourceData_Poultry.SourceData_Poultry_FracGASMmT_Data(), Table_SourceData_Poultry_FracGASM[[#Headers],[MMSm]], 0)</f>
        <v>Composting (passive windrow)</v>
      </c>
      <c r="E90" s="37" cm="1">
        <f t="array" ref="E90">Common_InputFunctions.Utility_DisplayArrayInTable(SourceData_Poultry.SourceData_Poultry_FracGASMmT_Data(), Table_SourceData_Poultry_FracGASM[[#Headers],[MMSm]], 0)</f>
        <v>0.2</v>
      </c>
      <c r="F90" s="37" t="str" cm="1">
        <f t="array" ref="F90">Common_InputFunctions.Utility_DisplayArrayInTable(SourceData_Poultry.SourceData_Poultry_FracGASMmT_Data(), Table_SourceData_Poultry_FracGASM[[#Headers],[MMSm]], 0)</f>
        <v>Composting (passive windrow)</v>
      </c>
      <c r="M90" s="1"/>
      <c r="V90" s="1"/>
      <c r="W90" s="1"/>
    </row>
    <row r="91" spans="4:23" ht="20.100000000000001" customHeight="1" x14ac:dyDescent="0.25">
      <c r="D91" s="1" t="str" cm="1">
        <f t="array" ref="D91">Common_InputFunctions.Utility_DisplayArrayInTable(SourceData_Poultry.SourceData_Poultry_FracGASMmT_Data(), Table_SourceData_Poultry_FracGASM[[#Headers],[MMSm]], 0)</f>
        <v>Direct processing</v>
      </c>
      <c r="E91" s="37" cm="1">
        <f t="array" ref="E91">Common_InputFunctions.Utility_DisplayArrayInTable(SourceData_Poultry.SourceData_Poultry_FracGASMmT_Data(), Table_SourceData_Poultry_FracGASM[[#Headers],[MMSm]], 0)</f>
        <v>0</v>
      </c>
      <c r="F91" s="37" t="str" cm="1">
        <f t="array" ref="F91">Common_InputFunctions.Utility_DisplayArrayInTable(SourceData_Poultry.SourceData_Poultry_FracGASMmT_Data(), Table_SourceData_Poultry_FracGASM[[#Headers],[MMSm]], 0)</f>
        <v>Direct processing</v>
      </c>
      <c r="M91" s="1"/>
      <c r="V91" s="1"/>
    </row>
    <row r="92" spans="4:23" ht="20.100000000000001" customHeight="1" x14ac:dyDescent="0.25">
      <c r="D92" s="1" t="str" cm="1">
        <f t="array" ref="D92">Common_InputFunctions.Utility_DisplayArrayInTable(SourceData_Poultry.SourceData_Poultry_FracGASMmT_Data(), Table_SourceData_Poultry_FracGASM[[#Headers],[MMSm]], 0)</f>
        <v>Anaerobic digester / covered pond</v>
      </c>
      <c r="E92" s="37" cm="1">
        <f t="array" ref="E92">Common_InputFunctions.Utility_DisplayArrayInTable(SourceData_Poultry.SourceData_Poultry_FracGASMmT_Data(), Table_SourceData_Poultry_FracGASM[[#Headers],[MMSm]], 0)</f>
        <v>0</v>
      </c>
      <c r="F92" s="37" t="str" cm="1">
        <f t="array" ref="F92">Common_InputFunctions.Utility_DisplayArrayInTable(SourceData_Poultry.SourceData_Poultry_FracGASMmT_Data(), Table_SourceData_Poultry_FracGASM[[#Headers],[MMSm]], 0)</f>
        <v>Digester / covered lagoons</v>
      </c>
      <c r="M92" s="1"/>
      <c r="V92" s="1"/>
    </row>
    <row r="93" spans="4:23" ht="20.100000000000001" customHeight="1" x14ac:dyDescent="0.25">
      <c r="M93" s="1"/>
      <c r="V93" s="1"/>
    </row>
    <row r="94" spans="4:23" ht="20.100000000000001" customHeight="1" x14ac:dyDescent="0.25">
      <c r="M94" s="1"/>
    </row>
    <row r="95" spans="4:23" ht="20.100000000000001" customHeight="1" x14ac:dyDescent="0.25">
      <c r="D95" s="6" t="str" cm="1">
        <f t="array" ref="D95">SourceData_Poultry.SourceData_Poultry_EFmT_Title()</f>
        <v>Poultry - Nitrous oxide EFs by MMS (kgN2O-N/kgN) (EFmT)</v>
      </c>
      <c r="M95" s="1"/>
    </row>
    <row r="96" spans="4:23" ht="20.100000000000001" customHeight="1" x14ac:dyDescent="0.25">
      <c r="D96" s="5" t="str" cm="1">
        <f t="array" ref="D96">SourceData_Poultry.SourceData_Poultry_EFmT_Source()</f>
        <v>VEERG 2026: Table A.1.7.3</v>
      </c>
      <c r="M96" s="1"/>
    </row>
    <row r="97" spans="4:13" ht="20.100000000000001" customHeight="1" x14ac:dyDescent="0.25">
      <c r="D97" s="53" t="str" cm="1">
        <f t="array" ref="D97">SourceData_Poultry.SourceData_Poultry_EFmT_Variation()</f>
        <v>VARIATION ON SOURCE: Added 'NIR definition column'. Duplicated 'Poultry manure without litter' row for NIR MMS 'Belt manure removal' and 'Manure stored in house'.</v>
      </c>
      <c r="M97" s="1"/>
    </row>
    <row r="98" spans="4:13" ht="20.100000000000001" customHeight="1" x14ac:dyDescent="0.25">
      <c r="D98" s="37" t="s">
        <v>120</v>
      </c>
      <c r="E98" s="37" t="s">
        <v>123</v>
      </c>
      <c r="F98" s="37" t="s">
        <v>122</v>
      </c>
      <c r="M98" s="1"/>
    </row>
    <row r="99" spans="4:13" ht="20.100000000000001" customHeight="1" x14ac:dyDescent="0.25">
      <c r="D99" s="37" t="str" cm="1">
        <f t="array" ref="D99">Common_InputFunctions.Utility_DisplayArrayInTable(SourceData_Poultry.SourceData_Poultry_EFmT_Data(),Table_SourceData_Poultry_EFmT[[#Headers],[MMSm]], 0)</f>
        <v>Poultry manure with litter (housing)</v>
      </c>
      <c r="E99" s="37" cm="1">
        <f t="array" ref="E99">Common_InputFunctions.Utility_DisplayArrayInTable(SourceData_Poultry.SourceData_Poultry_EFmT_Data(),Table_SourceData_Poultry_EFmT[[#Headers],[MMSm]], 0)</f>
        <v>1E-3</v>
      </c>
      <c r="F99" s="37" t="str" cm="1">
        <f t="array" ref="F99">Common_InputFunctions.Utility_DisplayArrayInTable(SourceData_Poultry.SourceData_Poultry_EFmT_Data(),Table_SourceData_Poultry_EFmT[[#Headers],[MMSm]], 0)</f>
        <v>Poultry manure with bedding</v>
      </c>
      <c r="M99" s="1"/>
    </row>
    <row r="100" spans="4:13" ht="20.100000000000001" customHeight="1" x14ac:dyDescent="0.25">
      <c r="D100" s="1" t="str" cm="1">
        <f t="array" ref="D100">Common_InputFunctions.Utility_DisplayArrayInTable(SourceData_Poultry.SourceData_Poultry_EFmT_Data(),Table_SourceData_Poultry_EFmT[[#Headers],[MMSm]], 0)</f>
        <v>Poultry manure without litter (housing)</v>
      </c>
      <c r="E100" s="37" cm="1">
        <f t="array" ref="E100">Common_InputFunctions.Utility_DisplayArrayInTable(SourceData_Poultry.SourceData_Poultry_EFmT_Data(),Table_SourceData_Poultry_EFmT[[#Headers],[MMSm]], 0)</f>
        <v>1E-3</v>
      </c>
      <c r="F100" s="37" t="str" cm="1">
        <f t="array" ref="F100">Common_InputFunctions.Utility_DisplayArrayInTable(SourceData_Poultry.SourceData_Poultry_EFmT_Data(),Table_SourceData_Poultry_EFmT[[#Headers],[MMSm]], 0)</f>
        <v>Belt manure removal</v>
      </c>
      <c r="M100" s="1"/>
    </row>
    <row r="101" spans="4:13" ht="20.100000000000001" customHeight="1" x14ac:dyDescent="0.25">
      <c r="D101" s="1" t="str" cm="1">
        <f t="array" ref="D101">Common_InputFunctions.Utility_DisplayArrayInTable(SourceData_Poultry.SourceData_Poultry_EFmT_Data(),Table_SourceData_Poultry_EFmT[[#Headers],[MMSm]], 0)</f>
        <v>Poultry manure without litter (housing)</v>
      </c>
      <c r="E101" s="37" cm="1">
        <f t="array" ref="E101">Common_InputFunctions.Utility_DisplayArrayInTable(SourceData_Poultry.SourceData_Poultry_EFmT_Data(),Table_SourceData_Poultry_EFmT[[#Headers],[MMSm]], 0)</f>
        <v>1E-3</v>
      </c>
      <c r="F101" s="37" t="str" cm="1">
        <f t="array" ref="F101">Common_InputFunctions.Utility_DisplayArrayInTable(SourceData_Poultry.SourceData_Poultry_EFmT_Data(),Table_SourceData_Poultry_EFmT[[#Headers],[MMSm]], 0)</f>
        <v>Manure stored in house</v>
      </c>
      <c r="M101" s="1"/>
    </row>
    <row r="102" spans="4:13" ht="20.100000000000001" customHeight="1" x14ac:dyDescent="0.25">
      <c r="D102" s="1" t="str" cm="1">
        <f t="array" ref="D102">Common_InputFunctions.Utility_DisplayArrayInTable(SourceData_Poultry.SourceData_Poultry_EFmT_Data(),Table_SourceData_Poultry_EFmT[[#Headers],[MMSm]], 0)</f>
        <v>Pasture range and paddock (free range)</v>
      </c>
      <c r="E102" s="37" cm="1">
        <f t="array" ref="E102">Common_InputFunctions.Utility_DisplayArrayInTable(SourceData_Poultry.SourceData_Poultry_EFmT_Data(),Table_SourceData_Poultry_EFmT[[#Headers],[MMSm]], 0)</f>
        <v>0.02</v>
      </c>
      <c r="F102" s="37" t="str" cm="1">
        <f t="array" ref="F102">Common_InputFunctions.Utility_DisplayArrayInTable(SourceData_Poultry.SourceData_Poultry_EFmT_Data(),Table_SourceData_Poultry_EFmT[[#Headers],[MMSm]], 0)</f>
        <v>Pasture range and paddock</v>
      </c>
      <c r="M102" s="1"/>
    </row>
    <row r="103" spans="4:13" ht="20.100000000000001" customHeight="1" x14ac:dyDescent="0.25">
      <c r="D103" s="1" t="str" cm="1">
        <f t="array" ref="D103">Common_InputFunctions.Utility_DisplayArrayInTable(SourceData_Poultry.SourceData_Poultry_EFmT_Data(),Table_SourceData_Poultry_EFmT[[#Headers],[MMSm]], 0)</f>
        <v>Solid storage (stockpile)</v>
      </c>
      <c r="E103" s="37" cm="1">
        <f t="array" ref="E103">Common_InputFunctions.Utility_DisplayArrayInTable(SourceData_Poultry.SourceData_Poultry_EFmT_Data(),Table_SourceData_Poultry_EFmT[[#Headers],[MMSm]], 0)</f>
        <v>5.0000000000000001E-3</v>
      </c>
      <c r="F103" s="37" t="str" cm="1">
        <f t="array" ref="F103">Common_InputFunctions.Utility_DisplayArrayInTable(SourceData_Poultry.SourceData_Poultry_EFmT_Data(),Table_SourceData_Poultry_EFmT[[#Headers],[MMSm]], 0)</f>
        <v>Solid storage</v>
      </c>
      <c r="M103" s="1"/>
    </row>
    <row r="104" spans="4:13" ht="20.100000000000001" customHeight="1" x14ac:dyDescent="0.25">
      <c r="D104" s="1" t="str" cm="1">
        <f t="array" ref="D104">Common_InputFunctions.Utility_DisplayArrayInTable(SourceData_Poultry.SourceData_Poultry_EFmT_Data(),Table_SourceData_Poultry_EFmT[[#Headers],[MMSm]], 0)</f>
        <v>Composting (passive windrow)</v>
      </c>
      <c r="E104" s="37" cm="1">
        <f t="array" ref="E104">Common_InputFunctions.Utility_DisplayArrayInTable(SourceData_Poultry.SourceData_Poultry_EFmT_Data(),Table_SourceData_Poultry_EFmT[[#Headers],[MMSm]], 0)</f>
        <v>0.01</v>
      </c>
      <c r="F104" s="37" t="str" cm="1">
        <f t="array" ref="F104">Common_InputFunctions.Utility_DisplayArrayInTable(SourceData_Poultry.SourceData_Poultry_EFmT_Data(),Table_SourceData_Poultry_EFmT[[#Headers],[MMSm]], 0)</f>
        <v>Composting (passive windrow)</v>
      </c>
      <c r="M104" s="1"/>
    </row>
    <row r="105" spans="4:13" ht="20.100000000000001" customHeight="1" x14ac:dyDescent="0.25">
      <c r="D105" s="1" t="str" cm="1">
        <f t="array" ref="D105">Common_InputFunctions.Utility_DisplayArrayInTable(SourceData_Poultry.SourceData_Poultry_EFmT_Data(),Table_SourceData_Poultry_EFmT[[#Headers],[MMSm]], 0)</f>
        <v>Direct processing</v>
      </c>
      <c r="E105" s="37" cm="1">
        <f t="array" ref="E105">Common_InputFunctions.Utility_DisplayArrayInTable(SourceData_Poultry.SourceData_Poultry_EFmT_Data(),Table_SourceData_Poultry_EFmT[[#Headers],[MMSm]], 0)</f>
        <v>0</v>
      </c>
      <c r="F105" s="37" t="str" cm="1">
        <f t="array" ref="F105">Common_InputFunctions.Utility_DisplayArrayInTable(SourceData_Poultry.SourceData_Poultry_EFmT_Data(),Table_SourceData_Poultry_EFmT[[#Headers],[MMSm]], 0)</f>
        <v>Direct processing</v>
      </c>
      <c r="M105" s="1"/>
    </row>
    <row r="106" spans="4:13" ht="20.100000000000001" customHeight="1" x14ac:dyDescent="0.25">
      <c r="D106" s="1" t="str" cm="1">
        <f t="array" ref="D106">Common_InputFunctions.Utility_DisplayArrayInTable(SourceData_Poultry.SourceData_Poultry_EFmT_Data(),Table_SourceData_Poultry_EFmT[[#Headers],[MMSm]], 0)</f>
        <v>Anaerobic digester / covered pond</v>
      </c>
      <c r="E106" s="37" cm="1">
        <f t="array" ref="E106">Common_InputFunctions.Utility_DisplayArrayInTable(SourceData_Poultry.SourceData_Poultry_EFmT_Data(),Table_SourceData_Poultry_EFmT[[#Headers],[MMSm]], 0)</f>
        <v>0</v>
      </c>
      <c r="F106" s="37" t="str" cm="1">
        <f t="array" ref="F106">Common_InputFunctions.Utility_DisplayArrayInTable(SourceData_Poultry.SourceData_Poultry_EFmT_Data(),Table_SourceData_Poultry_EFmT[[#Headers],[MMSm]], 0)</f>
        <v>Digester / covered lagoons</v>
      </c>
      <c r="M106" s="1"/>
    </row>
    <row r="107" spans="4:13" ht="20.100000000000001" customHeight="1" x14ac:dyDescent="0.25">
      <c r="M107" s="1"/>
    </row>
    <row r="108" spans="4:13" ht="20.100000000000001" customHeight="1" x14ac:dyDescent="0.25">
      <c r="M108" s="1"/>
    </row>
    <row r="109" spans="4:13" ht="20.100000000000001" customHeight="1" x14ac:dyDescent="0.25">
      <c r="D109" s="6" t="str" cm="1">
        <f t="array" ref="D109">SourceData_Poultry.SourceData_Poultry_FractionOfNitrogenLostThroughLeachingAndRunoff_Title()</f>
        <v>Fraction of N that is lost through leaching and runoff</v>
      </c>
      <c r="M109" s="1"/>
    </row>
    <row r="110" spans="4:13" ht="20.100000000000001" customHeight="1" x14ac:dyDescent="0.25">
      <c r="D110" s="5" t="str" cm="1">
        <f t="array" ref="D110">SourceData_Poultry.SourceData_Poultry_FractionOfNitrogenLostThroughLeachingAndRunoff_Source()</f>
        <v>VEERG 2026: 4.6.2.3 CONSTANTS</v>
      </c>
      <c r="M110" s="1"/>
    </row>
    <row r="111" spans="4:13" ht="20.100000000000001" customHeight="1" x14ac:dyDescent="0.25">
      <c r="D111" s="51" t="str" cm="1">
        <f t="array" ref="D111">SourceData_Poultry.SourceData_Poultry_FractionOfNitrogenLostThroughLeachingAndRunoff_Variable()</f>
        <v>Frac_LEACH_MS</v>
      </c>
      <c r="E111" s="1" cm="1">
        <f t="array" ref="E111">SourceData_Poultry.SourceData_Poultry_FractionOfNitrogenLostThroughLeachingAndRunoff_Data()</f>
        <v>0.02</v>
      </c>
      <c r="M111" s="1"/>
    </row>
    <row r="112" spans="4:13" ht="20.100000000000001" customHeight="1" x14ac:dyDescent="0.25">
      <c r="M112" s="1"/>
    </row>
    <row r="113" spans="13:22" ht="20.100000000000001" customHeight="1" x14ac:dyDescent="0.25">
      <c r="M113" s="1"/>
    </row>
    <row r="114" spans="13:22" ht="20.100000000000001" customHeight="1" x14ac:dyDescent="0.25">
      <c r="M114" s="1"/>
    </row>
    <row r="115" spans="13:22" ht="20.100000000000001" customHeight="1" x14ac:dyDescent="0.25">
      <c r="M115" s="1"/>
      <c r="V115" s="1"/>
    </row>
    <row r="116" spans="13:22" ht="20.100000000000001" customHeight="1" x14ac:dyDescent="0.25">
      <c r="M116" s="1"/>
      <c r="V116" s="1"/>
    </row>
    <row r="117" spans="13:22" ht="20.100000000000001" customHeight="1" x14ac:dyDescent="0.25">
      <c r="M117" s="1"/>
      <c r="V117" s="1"/>
    </row>
    <row r="118" spans="13:22" ht="20.100000000000001" customHeight="1" x14ac:dyDescent="0.25">
      <c r="M118" s="1"/>
    </row>
    <row r="119" spans="13:22" ht="20.100000000000001" customHeight="1" x14ac:dyDescent="0.25">
      <c r="M119" s="1"/>
    </row>
    <row r="120" spans="13:22" ht="20.100000000000001" customHeight="1" x14ac:dyDescent="0.25">
      <c r="M120" s="1"/>
    </row>
    <row r="121" spans="13:22" ht="20.100000000000001" customHeight="1" x14ac:dyDescent="0.25">
      <c r="M121" s="1"/>
    </row>
    <row r="122" spans="13:22" ht="20.100000000000001" customHeight="1" x14ac:dyDescent="0.25">
      <c r="M122" s="1"/>
    </row>
    <row r="123" spans="13:22" ht="20.100000000000001" customHeight="1" x14ac:dyDescent="0.25">
      <c r="M123" s="1"/>
    </row>
    <row r="124" spans="13:22" ht="20.100000000000001" customHeight="1" x14ac:dyDescent="0.25">
      <c r="M124" s="1"/>
    </row>
    <row r="125" spans="13:22" ht="20.100000000000001" customHeight="1" x14ac:dyDescent="0.25">
      <c r="M125" s="1"/>
      <c r="V125" s="1"/>
    </row>
    <row r="126" spans="13:22" ht="20.100000000000001" customHeight="1" x14ac:dyDescent="0.25">
      <c r="M126" s="1"/>
      <c r="V126" s="1"/>
    </row>
    <row r="127" spans="13:22" ht="20.100000000000001" customHeight="1" x14ac:dyDescent="0.25">
      <c r="M127" s="1"/>
      <c r="V127" s="1"/>
    </row>
    <row r="128" spans="13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topLeftCell="A180" zoomScale="85" zoomScaleNormal="85" workbookViewId="0"/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72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18</v>
      </c>
      <c r="E6" s="37" t="s">
        <v>19</v>
      </c>
      <c r="F6" s="37" t="s">
        <v>20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21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24</v>
      </c>
      <c r="E36" s="37" t="s">
        <v>25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24</v>
      </c>
      <c r="E47" s="37" t="s">
        <v>27</v>
      </c>
      <c r="F47" s="37" t="s">
        <v>28</v>
      </c>
      <c r="G47" s="37" t="s">
        <v>29</v>
      </c>
      <c r="H47" s="37" t="s">
        <v>30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3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3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3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8</v>
      </c>
      <c r="E63" s="37" t="s">
        <v>45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3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3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3" t="str">
        <v>⚠️Fixed typo in MAT value for warm temperate dry - changed 10 to 11.</v>
      </c>
    </row>
    <row r="86" spans="4:19" ht="20.100000000000001" customHeight="1" x14ac:dyDescent="0.25">
      <c r="D86" s="53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3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8</v>
      </c>
      <c r="E89" s="37" t="s">
        <v>33</v>
      </c>
      <c r="F89" s="37" t="s">
        <v>34</v>
      </c>
      <c r="G89" s="37" t="s">
        <v>35</v>
      </c>
      <c r="H89" s="37" t="s">
        <v>36</v>
      </c>
      <c r="I89" s="37" t="s">
        <v>37</v>
      </c>
      <c r="J89" s="37" t="s">
        <v>38</v>
      </c>
      <c r="K89" s="37" t="s">
        <v>39</v>
      </c>
      <c r="L89" s="37" t="s">
        <v>40</v>
      </c>
      <c r="M89" s="37" t="s">
        <v>41</v>
      </c>
      <c r="N89" s="37" t="s">
        <v>42</v>
      </c>
      <c r="O89" s="37" t="s">
        <v>46</v>
      </c>
      <c r="P89" s="37" t="s">
        <v>43</v>
      </c>
      <c r="Q89" s="37" t="s">
        <v>47</v>
      </c>
      <c r="R89" s="37" t="s">
        <v>44</v>
      </c>
      <c r="S89" s="37" t="s">
        <v>48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2" t="str" cm="1">
        <f t="array" ref="D98:D101">Common_SourceData.Common_SourceData_ClimateZones_Appendices()</f>
        <v>Note:</v>
      </c>
    </row>
    <row r="99" spans="4:19" ht="20.100000000000001" customHeight="1" x14ac:dyDescent="0.25">
      <c r="D99" s="52" t="str">
        <v>MAT = mean annual temperature</v>
      </c>
    </row>
    <row r="100" spans="4:19" ht="20.100000000000001" customHeight="1" x14ac:dyDescent="0.25">
      <c r="D100" s="52" t="str">
        <v>MAP = mean annual precipitation</v>
      </c>
    </row>
    <row r="101" spans="4:19" ht="20.100000000000001" customHeight="1" x14ac:dyDescent="0.25">
      <c r="D101" s="52" t="str">
        <v>PET = potential evapotranspiration</v>
      </c>
    </row>
    <row r="102" spans="4:19" ht="20.100000000000001" customHeight="1" x14ac:dyDescent="0.25">
      <c r="D102" s="52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3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52</v>
      </c>
      <c r="E109" s="37" t="s">
        <v>33</v>
      </c>
      <c r="F109" s="37" t="s">
        <v>53</v>
      </c>
      <c r="G109" s="37" t="s">
        <v>54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3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55</v>
      </c>
      <c r="E119" s="37" t="s">
        <v>56</v>
      </c>
      <c r="F119" s="37" t="s">
        <v>40</v>
      </c>
      <c r="G119" s="37" t="s">
        <v>41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62</v>
      </c>
      <c r="E127" s="37" t="s">
        <v>63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87</v>
      </c>
      <c r="E134" t="s">
        <v>88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3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107</v>
      </c>
      <c r="E142" s="37" t="s">
        <v>88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65</v>
      </c>
      <c r="E153" s="37" t="s">
        <v>66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2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2" t="str" cm="1">
        <f t="array" ref="D180">Common_SourceData.Common_SourceData_EFN2O_Unit()</f>
        <v>(kg N2O-N / kg N</v>
      </c>
    </row>
    <row r="181" spans="4:67" ht="20.100000000000001" customHeight="1" x14ac:dyDescent="0.25">
      <c r="D181" s="53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3" t="str">
        <v>Removed duplicate 'Aquaculture' row.</v>
      </c>
    </row>
    <row r="183" spans="4:67" ht="20.100000000000001" customHeight="1" x14ac:dyDescent="0.25">
      <c r="D183" s="53" t="str">
        <v>Removed asterisks to aid lookup.</v>
      </c>
    </row>
    <row r="184" spans="4:67" ht="20.100000000000001" customHeight="1" x14ac:dyDescent="0.25">
      <c r="D184" s="53" t="str">
        <v>Added 'production system only', 'rainfall zone' and 'irrigation method' columns to aid lookup.</v>
      </c>
    </row>
    <row r="185" spans="4:67" ht="20.100000000000001" customHeight="1" x14ac:dyDescent="0.25">
      <c r="D185" s="53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96</v>
      </c>
      <c r="E186" s="37" t="s">
        <v>97</v>
      </c>
      <c r="F186" s="37" t="s">
        <v>98</v>
      </c>
      <c r="G186" s="37" t="s">
        <v>99</v>
      </c>
      <c r="H186" s="37" t="s">
        <v>32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3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2" t="str" cm="1">
        <f t="array" ref="D205">Common_SourceData.Common_SourceData_EFPastureRangeAndPaddock_Unit()</f>
        <v>kg N2O - N / kg N</v>
      </c>
    </row>
    <row r="206" spans="4:8" x14ac:dyDescent="0.25">
      <c r="D206" s="37" t="s">
        <v>8</v>
      </c>
      <c r="E206" s="37" t="s">
        <v>109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104</v>
      </c>
      <c r="E212" s="37" t="s">
        <v>114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1" t="e" vm="1">
        <v>#VALUE!</v>
      </c>
      <c r="C1" s="8" t="s">
        <v>73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1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Poultry'!A1", "Poultry")</f>
        <v>Poultry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74</v>
      </c>
      <c r="E9" s="37" t="s">
        <v>17</v>
      </c>
      <c r="F9" s="37" t="s">
        <v>75</v>
      </c>
      <c r="G9" s="3"/>
    </row>
    <row r="10" spans="1:13" ht="20.100000000000001" customHeight="1" x14ac:dyDescent="0.25">
      <c r="A10" s="19" t="s">
        <v>71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HYPERLINK("#'4.6.1.1-2 Methane'!A1", "4.6.1.1-2 Methane")</f>
        <v>4.6.1.1-2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HYPERLINK("#'4.6.1.3-4 Direct N20'!A1", "4.6.1.3-4 Direct N2O")</f>
        <v>4.6.1.3-4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HYPERLINK("#'4.6.1.5-6 Atmos Dep'!A1", "4.6.1.5-6 Atmospheric deposition")</f>
        <v>4.6.1.5-6 Atmospheric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HYPERLINK("#'4.6.1.7-8 Leaching and runoff'!A1", "4.6.1.7-8 Leaching &amp; runoff")</f>
        <v>4.6.1.7-8 Leaching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HYPERLINK("#'4.6.1.9 Manure applied to soils'!A1", "4.6.1.9 Manure applied to soils")</f>
        <v>4.6.1.9 Manure applied to soils</v>
      </c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7" t="str">
        <f>HYPERLINK("#'4.6.1.10-11 Soil direct N2O'!A1", "4.6.1.10-11 Soil direct N2O")</f>
        <v>4.6.1.10-11 Soil direct N2O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HYPERLINK("#'4.6.1.12-13 Soil atmos dep'!A1", "4.6.1.12-13 Soil Atm. deposition")</f>
        <v>4.6.1.12-13 Soil Atm. deposition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8" t="s">
        <v>2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7" t="str">
        <f>HYPERLINK("#'Constants - Poultry'!A1", "Constants - Poultry")</f>
        <v>Constants - Poultry</v>
      </c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11" t="str">
        <f>HYPERLINK("#'Constants - Livestock'!A1", "Constants - Livestock")</f>
        <v>Constants - Livestock</v>
      </c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 t="str">
        <f>HYPERLINK("#'Constants - Common'!A1", "Constants - Common")</f>
        <v>Constants - Common</v>
      </c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 t="str">
        <f>HYPERLINK("#'Acknowledgements'!A1", "Acknowledgements")</f>
        <v>Acknowledgements</v>
      </c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AnAE4ASQBSACAAZABlAGYAaQBuAGkAdABpAG8AbgAgAGMAbwBsAHUAbQBuAC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AnAE4ASQBSACAAZABlAGYAaQBuAGkAdABpAG8AbgAgAGMAbwBsAHUAbQBuACcALgAg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Mg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CAAOgAgAGsAZwAgAE4AXAAiADsAXABuACAAIAAgACAAIAAgACAAIAAgACAAXAAiAEUARgBfAGoAbQBcACIALABcACIAbgBpAHQAcgBvAHUAcwAgAG8AeABpAGQAZQAgAGUAbQBpAHMAcwBpAG8AbgAgAGYAYQBjAHQAbwByACAAZgBvAHIAIABNAE0AUw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AgADoAIABrAGcAIABOAFwAIgA7AFwAbgAgACAAIAAgACAAIAAgACAAIAAgAFwAIgBNAE0AUwBfAGoAbQBUADEAXAAiACwAXAAiAGYAcgBhAGMAdABpAG8AbgAgAG8AZgAgAG0AYQBuAHUAcgBlACAAaQBuACAAZQBhAGMAaAAgAHAAcgBpAG0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awBcACIALABcACIAbgB1AG0AYgBlAHIAIABvAGYAIABwAG8AdQBsAHQAcgB5ACAAaQBuACAAZQBhAGMAaAAgAGMAbABhAHMAcwAgAGEAbgBkACAAcwB1AGIAYwBsAGEAcwBzACAAOgAgAGIAaQByAGQAXAAiADsAXABuACAAIAAgACAAIAAgACAAIAAgACAAXAAiAE4ARQBfAGoAawBcACIALABcACIAbgBpAHQAcgBvAGcAZQBuACAAZQB4AGMAcgBlAHQAaQBvAG4AIAA6ACAAawBnACAATgAvAGIAaQByAGQALwBkAGEAeQBcACIAOwBcAG4AIAAgACAAIAAgACAAIAAgACAAIABcACIARABfAGoAawBcACIALABcACIAZAB1AHIAYQB0AGkAbwBuACAAbwBmACAAcwB0AGEAeQAgAG8AZgAgAGUAYQBjAGgAIABjAGwAYQBzAHMAIABhAG4AZAAgAHMAdQBiAGMAbABhAHMAcwAgADoAIABkAGEAeQBz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yACwAXABuACAAIAAgACAAIAAgAEwAQQBNAEIARABBACgAcgAsAGMALABcAG4AIAAgACAAIAAgACAAIAAgAEkATgBEAEUAWAAoAHsAXABuACAAIAAgACAAIAAgACAAIAAgACAAXAAiAE4ASQBfAGoAawBcACIALABcACIAbgBpAHQAcgBvAGcAZQBuACAAaQBuAHQAYQBrAGUAIAA6ACAAawBnACAATgAvAGIAaQByAGQALwBkAGEAeQBcACIAOwBcAG4AIAAgACAAIAAgACAAIAAgACAAIABcACIATgBSAF8AagBr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Mg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AgADoAIABrAGcAIABEAE0ALwBiAGkAcgBkAC8AZABhAHkAXAAiADsAXABuACAAIAAgACAAIAAgACAAIAAgACAAXAAiAEMAUABfAGoAawBcACIALABcACIAYwByAHUAZABlACAAcAByAG8AdABlAGkAbgAgAGMAbwBuAHQAZQBuAHQAIABvAGYAIABmAGUAZQBkACAAOgAgAGYAcgBhAGMAdABpAG8AbgBcACIAOwBcAG4AIAAgACAAIAAgACAAIAAgACAAIABcACIANgAuADIANQBcACIALABcACIAZgBhAGMAdABvAHIAIABmAG8AcgAgAGMAbwBuAHYAZQByAHQAaQBuAGcAIABjAHIAdQBkAGUAIABwAHIAbwB0AGUAaQBuACAAaQBuAHQAbwAgAG4AaQB0AHIAbwBnAGUAbg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Mg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AgADoAIABrAGcAIABOAFwAIgA7AFwAbgAgACAAIAAgACAAIAAgACAAIAAgAFwAIgBNAE0AUwBfAG0AVAAyAFwAIgAsAFwAIgBmAHIAYQBjAHQAaQBvAG4AIABvAGYAIABtAGEAbgB1AHIAZQAgAGkAbgAgAGUAYQBjAGgAIABzAGUAYwBvAG4AZA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IALABcAG4AIAAgACAAIAAgACAATABBAE0AQgBEAEEAKAByACwAYwAsAFwAbgAgACAAIAAgACAAIAAgACAASQBOAEQARQBYACgAewBcAG4AIAAgACAAIAAgACAAIAAgACAAIABcACIATQBOAF8AagBrAG0AVAAxAFwAIgAsAFwAIgBuAGkAdAByAG8AZwBlAG4AIABpAG4AIABNAE0AUwAgAHQAcgBlAGEAdABtAGUAbgB0ACAAcwB0AGEAZwBlACAAMQAgADoAIABrAGcAIABOAFwAIgA7AFwAbgAgACAAIAAgACAAIAAgACAAIAAgAFwAIgBGAHIAYQBjAEcAQQBTAE0AXwBtAFQAMQBcACIALABcACIAZgByAGEAYwB0AGkAbwBuACAAbwBmACAATgAgAHYAbwBsAGEAdABpAGwAaQBzAGUAZAAgAGYAcgBvAG0AIABNAE0AUwAgAHQAcgBlAGEAdABtAGUAbgB0ACAAYQB0ACAAcwB0AGEAZwBlACAAMQAgADoAIABmAHIAYQBjAHQAaQBvAG4AXAAiADsAXABuACAAIAAgACAAIAAgACAAIAAgACAAXAAiAEUARgBfAG0AVAAxAFwAIgAsAFwAIgBuAGkAdAByAG8AdQBzACAAbwB4AGkAZABlACAAZQBtAGkAcwBzAGkAbwBuACAAZgBhAGMAdABvAHIAIABmAG8AcgAgAE0ATQBTACAAdAByAGUAYQB0AG0AZQBuAHQAIABhAHQAIABzAHQAYQBnAGUAIAAxACAAOgAgAGsAZwAgAE4AMgBPAC0ATgAvAGsAZwAgAE4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yACwAXABuACAAIAAgACAAIAAgAEwAQQBNAEIARABBACgAcgAsAGMALABcAG4AIAAgACAAIAAgACAAIAAgAEkATgBEAEUAWAAoAHsAXABuACAAIAAgACAAIAAgACAAIAAgACAAXAAiAE0ATQBTAF8AQQBUAE0ATwBTAFwAIgAsAFwAIgBtAGEAcwBzACAAbwBmACAATgAgAHYAbwBsAGEAdABpAGwAaQBzAGUAZAAgAGYAcgBvAG0AIABNAE0AUwAgADoAIABrAGcAIABOAFwAIgA7AFwAbgAgACAAIAAgACAAIAAgACAAIAAgAFwAIgBFAEYAXwBOADIATwBcACIALABcACIAbgBpAHQAcgBvAHUAcwAgAG8AeABpAGQAZQAgAGUAbQBpAHMAcwBpAG8AbgAgAGYAYQBjAHQAbwByACAAZgBvAHIAIABhAHQAbQBvAHMAcABoAGUAcgBpAGMAIABkAGUAcABvAHMAaQB0AGkAbwBu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DsAXABuACAAIAAgACAAIAAgACAAIAAgACAAXAAiAGoAXAAiACwAIABcACIAcAByAG8AZAB1AGMAdABpAG8AbgAgAHMAeQBzAHQAZQBtAFwAIgA7AFwAbgAgACAAIAAgACAAIAAgACAAIAAgAFwAIgBpAHIAXAAiACwAIABcACIAaQByAHIAaQBnAGEAdABpAG8AbgAgAG0AZQB0AGgAbwBkAFwAIgA7AFwAbgAgACAAIAAgACAAIAAgACAAIAAgAFwAIgByAFwAIgAsACAAXAAiAHIAYQBpAG4AZgBhAGwAbAAgAHIAZQBn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I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I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AgADoAIABrAGcAIABOAFwAIgA7AFwAbgAgACAAIAAgACAAIAAgACAAIAAgAFwAIgBFAEYAXwBsAGUAYQBjAGgAXAAiACwAXAAiAGUAbQBpAHMAcwBpAG8AbgAgAGYAYQBjAHQAbwByACAAZgBvAHIAIABsAGUAYQBjAGgAaQBuAGcAIABhAG4AZAAgAHIAdQBuAG8AZgBmACAAOgAgAGsAZwAgAE4AMgBPAC0ATgAvAGsAZwAgAE4AXAAiADsAXABuACAAIAAgACAAIAAgACAAIAAgACAAXAAiAEMAXwBOADIATwBcACIALABcACIAZgBhAGMAdABvAHIAIAB0AG8AIABjAG8AbgB2AGUAcgB0ACAAZQBsAGUAbQBlAG4AdABhAGwAIABtAGEAcwBzACAAbwBmACAATgAyAE8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EALAAgAEYAcgBhAGMAVwBFAFQALAAgAEYAcgBhAGMATABFAEEAQwBIAF8ATQBTACwAXABuACAAIAAgACAATQBOAF8AagBrAG0ANABUADE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x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MgAsAFwAbgAgACAAIAAgACAAIABMAEEATQBCAEQAQQAoAHIALABjACwAXABuACAAIAAgACAAIAAgACAAIABJAE4ARABFAFgAKAB7AFwAbgAgACAAIAAgACAAIAAgACAAIAAgAFwAIgBNAE4AXwBqAGsAbQA0AFQAMQBcACIALABcACIAbgBpAHQAcgBvAGcAZQBuACAAaQBuACAAcwBvAGwAaQBkACAAcwB0AG8AcgBhAGcAZQAgAE0ATQBTACAAdAByAGUAYQB0AG0AZQBuAHQAIABzAHQAYQBnAGUAIAAxACAAOgAgAGsAZwAgAE4AXAAiADsAXABuACAAIAAgACAAIAAgACAAIAAgACAAXAAiAEYAcgBhAGMAVwBFAFQAXAAiACwAXAAiAGYAcgBhAGMAdABpAG8AbgAgAG8AZgAgAE4AIABhAHYAYQBpAGwAYQBiAGwAZQAgAGYAbwByACAAbABlAGEAYwBoAGkAbgBnACAAYQBuAGQAIAByAHUAbgBvAGYAZgAgADoAIABmAHIAYQBjAHQAaQBvAG4AXAAiADsAXABuACAAIAAgACAAIAAgACAAIAAgACAAXAAiAEYAcgBhAGMATABFAEEAQwBIAF8ATQBTAFwAIgAsAFwAIgBmAHIAYQBjAHQAaQBvAG4AIABvAGYAIABOACAAbABvAHMAdAAgAHQAaAByAG8AdQBnAGgAIABsAGUAYQBjAGgAaQBuAGcAIABhAG4AZAAgAHIAdQBuAG8AZgBmACAAOgAgAGYAcgBhAGMAdABpAG8Ab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IgB9ACwAewAiAHAAYQB0AGgAIgA6ACIALwBwAHIAbwBqAGUAYwB0AHMALwBNAE0AUwBfAFAAbwB1AGwAdA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CAATQBlAHQAaABvAGQAIAAxACAALQAgAE0AYQBuAHUAcgBlACAATQBlAHQAaABhAG4AZQ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EUAXwB7AEMASAA0AH0APQBcAFwAcwB1AG0AXwB7AGoAfQBcAFwAcwB1AG0AXwB7AGsAfQBcAFwAcwB1AG0AXwB7AG0AfQBcAFwAcwB1AG0AXwB7AFQAfQAoAEQAXwB7AGoAawB9AFwAXAB0AGkAbQBlAHMAIABNAF8AewBqAGsAbQBUAH0AXABcAHQAaQBtAGUAcwAgAE4AXwB7AGoAawB9ACkAXABcAHQAaQBtAGUAcwAxADAAXgB7AC0AMwB9AFwAbgBEAF8AagBrACAAPQAgAGQAdQByAGEAdABpAG8AbgAgAG8AZgAgAHMAdABhAHkAIABvAGYAIABlAGEAYwBoACAAYwBsAGEAcwBzACAAYQBuAGQAIABzAHUAYgBjAGwAYQBzAHMAIABvAGYAIABwAG8AdQBsAHQAcgB5ACAAOgAgAGQAYQB5AHMAXABuAE0AXwBqAGsAbQBUACAAPQAgAG0AZQB0AGgAYQBuAGUAIABwAHIAbwBkAHUAYwB0AGkAbwBuACAAZgByAG8AbQAgAG0AYQBuAHUAcgBlACAAcABlAHIAIABjAGwAYQBzAHMALAAgAHMAdQBiAGMAbABhAHMAcwAsACAATQBNAFMALAAgAGEAbgBkACAAdAByAGUAYQB0AG0AZQBuAHQAIABzAHQAYQBnAGUAIAA6ACAAawBnACAAQwBIADQALwBiAGkAcgBkAC8AZABhAHkAXABuAE4AXwBqAGsAIAA9ACAAbgB1AG0AYgBlAHIAcwAgAG8AZgAgAHAAbwB1AGwAdAByAHkAIABpAG4AIABlAGEAYwBoACAAYwBsAGEAcwBzACAAYQBuAGQAIABzAHUAYgBjAGwAYQBzAHMAIAA6ACAAYgBpAHI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fAGoAawAsACAATQBfAGoAawBtAFQALAAgAE4AXwBqAGsALABcAG4AIAAgACAAIAAoAEQAXwBqAGsAIAAqACAATQBfAGoAawBtAFQAIAAqACAATgBf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F8AQwBIADQAXAAiACkAOwBcAG4AXABuAFYARQBFAFIARwBfADQAXwA2AF8AMQBfADEAXwBfADEAXwBUAG8AdABhAGwAQQBuAG4AdQBhAGwATQBlAHQAaABhAG4AZQBFAG0AaQBzAHMAaQBvAG4AcwBfAFUAbgBpAHQAXABuACAAIAA9AEwAQQBNAEIARABBACgAXAAiAHQAIABDAEgANABcACIAKQA7AFwAbgBcAG4AVgBFAEUAUgBHAF8ANABfADYAXwAxAF8AMQBfAF8AMQBfAFQAbwB0AGEAbABBAG4AbgB1AGEAbABNAGUAdABoAGEAbgBlAEUAbQBpAHMAcwBpAG8AbgBzAF8AUwBvAHUAcgBjAGUAXABuACAAIAA9AEwAQQBNAEIARABBACgAXAAiAFYARQBFAFIARwAgADIAMAAyADYAOgAgADQALgA0AC4AMQAuADEALAAgAEUAcQB1AGEAdABpAG8AbgAgACgAMQApAFwAIgApADsAXABuAFwAbgBWAEUARQBSAEcAXwA0AF8ANgBfADEAXwAxAF8AXwAxAF8AVABvAHQAYQBsAEEAbgBuAHUAYQBsAE0AZQB0AGgAYQBuAGUARQBtAGkAcwBzAGkAbwBuAHMAXwBOAEkAUgBSAGUAZgBlAHIAZQBuAGMAZQBcAG4AIAAgAD0ATABBAE0AQgBEAEEAKABcACIAXAAiACkAOwBcAG4AXABuAFYARQBFAFIARwBfADQAXwA2AF8AMQBfADEAXwBfADEAXwBUAG8AdABhAGwAQQBuAG4AdQBhAGwATQBlAHQAaABhAG4AZQBFAG0AaQBzAHMAaQBvAG4AcwBfAEwAYQB0AGUAeABFAHEAdQBhAHQAaQBvAG4AXABuACAAIAA9AEwAQQBNAEIARABBACgAXAAiAEUAXwB7AEMASAA0AH0APQBcAFwAcwB1AG0AXwB7AGoAfQBcAFwAcwB1AG0AXwB7AGsAfQBcAFwAcwB1AG0AXwB7AG0AfQBcAFwAcwB1AG0AXwB7AFQAfQAoAEQAXwB7AGoAawB9AFwAXAB0AGkAbQBlAHMAIABNAF8AewBqAGsAbQBU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fAGoAawBcACIALABcACIAZAB1AHIAYQB0AGkAbwBuACAAbwBmACAAcwB0AGEAeQAgAG8AZgAgAGUAYQBjAGgAIABjAGwAYQBzAHMAIABhAG4AZAAgAHMAdQBiAGMAbABhAHMAcwAgAG8AZgAgAHAAbwB1AGwAdAByAHkAIAA6ACAAZABhAHkAcwBcACIAOwBcAG4AIAAgACAAIAAgACAAIAAgACAAIABcACIATQBfAGoAawBtAFQAXAAiACwAXAAiAG0AZQB0AGgAYQBuAGUAIABwAHIAbwBkAHUAYwB0AGkAbwBuACAAZgByAG8AbQAgAG0AYQBuAHUAcgBlACAAcABlAHIAIABjAGwAYQBzAHMALAAgAHMAdQBiAGMAbABhAHMAcwAsACAATQBNAFMALAAgAGEAbgBkACAAdAByAGUAYQB0AG0AZQBuAHQAIABzAHQAYQBnAGUAIAA6ACAAawBnACAAQwBIADQALwBiAGkAcgBkAC8AZABhAHkAXAAiADsAXABuACAAIAAgACAAIAAgACAAIAAgACAAXAAiAE4AXwBqAGsAXAAiACwAXAAiAG4AdQBtAGIAZQByAHMAIABvAGYAIABwAG8AdQBsAHQAcgB5ACAAaQBuACAAZQBhAGMAaAAgAGMAbABhAHMAcwAgAGEAbgBkACAAcwB1AGIAYwBsAGEAcwBzACAAOgAgAGIAaQByAG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fAGoAawBcACIALABcACIAdgBvAGwAYQB0AGkAbABlACAAcwBvAGwAaQBkACAAcAByAG8AZAB1AGMAdABpAG8AbgAgAHAAbwB1AGwAdAByAHkAIABjAGwAYQBzAHMAZQBzACAAOgAgAGsAZwAgAFYAUwAvAGIAaQByAGQALwBkAGEAeQBcACIAOwBcAG4AIAAgACAAIAAgACAAIAAgACAAIABcACIAQgBPAF8AagBcACIALABcACIAZQBtAGkAcwBzAGkAbwBuAHMAIABwAG8AdABlAG4AdABpAGEAbAAgAHAAZQByACAAYwBsAGEAcwBzACAAOgAgAG0AMwAgAEMASAA0AC8AawBnACAAVgBTAFwAIgA7AFwAbgAgACAAIAAgACAAIAAgACAAIAAgAFwAIgBNAE0AUwBfAGoAbQBUADEAXAAiACwAXAAiAGYAcgBhAGMAdABpAG8AbgAgAG8AZgAgAG0AYQBuAHUAcgBlACAAaQBuACAAZQBhAGMAaAAgAHAAcgBpAG0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AgADoAIABrAGcAIABWAFMALwBiAGkAcgBkAC8AZABhAHkAXAAiADsAXABuACAAIAAgACAAIAAgACAAIAAgACAAXAAiAEIATwBcACIALABcACIAZQBtAGkAcwBzAGkAbwBuAHMAIABwAG8AdABlAG4AdABpAGEAbAAgADoAIABtADMAIABDAEgANAAvAGsAZwAgAFYAUwBcACIAOwBcAG4AIAAgACAAIAAgACAAIAAgACAAIABcACIATQBNAFMAXwBq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IALABcAG4AIAAgACAAIAAgACAATABBAE0AQgBEAEEAKAByACwAYwAsAFwAbgAgACAAIAAgACAAIAAgACAASQBOAEQARQBYACgAewBcAG4AIAAgACAAIAAgACAAIAAgACAAIABcACIAVgBTAF8AagBrAFwAIgAsAFwAIgB2AG8AbABhAHQAaQBsAGUAIABzAG8AbABpAGQAIABwAHIAbwBkAHUAYwB0AGkAbwBuACAAcABvAHUAbAB0AHIAeQAgAGMAbABhAHMAcwBlAHMAIAA6ACAAawBnACAAVgBTAC8AYgBpAHIAZAAvAGQAYQB5AFwAIgA7AFwAbgAgACAAIAAgACAAIAAgACAAIAAgAFwAIgBNAE0AUwBfAGoAbQBUADEAXAAiACwAXAAiAGYAcgBhAGMAdABpAG8AbgAgAG8AZgAgAG0AYQBuAHUAcgBlACAAaQBuACAAZQBhAGMAaAAgAHAAcgBpAG0AYQByAHkAIABzAHkAcwB0AGUAbQAgADoAIABmAHIAYQBjAHQAaQBvAG4AXAAiADsAXABuACAAIAAgACAAIAAgACAAIAAgACAAXAAiAFYAUwBMAF8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CAAOgAgAGsAZwAgAEQATQAvAGIAaQByAGQALwBkAGEAeQBcACIAOwBcAG4AIAAgACAAIAAgACAAIAAgACAAIABcACIARABNAEQAXwBqAGsAXAAiACwAXAAiAGQAcgB5ACAAbQBhAHQAdABlAHIAIABkAGkAZwBlAHMAdABpAGIAaQBsAGkAdAB5ACAAZgBvAHIAIABlAGEAYwBoACAAYwBsAGEAcwBzACAAYQBuAGQAIABzAHUAYgBjAGwAYQBzAHMAIAA6ACAAZgByAGEAYwB0AGkAbwBuAFwAIgA7AFwAbgAgACAAIAAgACAAIAAgACAAIAAgAFwAIgBBAF8AagBcACIALABcACIAYQBzAGgAIABjAG8AbgB0AGUAbgB0ACAAbwBmACAAbQBhAG4AdQByAGUAIABmAG8AcgAgAGUAYQBjAGgAIABjAGwAYQBzAHMAIABhAG4AZAAgAHMAdQBiAGMAbABhAHMAcwAgADoAIABmAHIAYQBjAHQAaQBvAG4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y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AgADoAIABrAGcAIABOAFwAIgA7AFwAbgAgACAAIAAgACAAIAAgACAAIAAgAFwAIgBFAEYAXwBtAFQAMgBcACIALABcACIAbgBpAHQAcgBvAHUAcwAgAG8AeABpAGQAZQAgAGUAbQBpAHMAcwBpAG8AbgAgAGYAYQBjAHQAbwByACAAZgBvAHIAIABlAGEAYwBoACAATQBNAFMAIAA6ACAAawBnACAATgAyAE8ALQBOAC8AawBnACAATgBcACIAOwBcAG4AIAAgACAAIAAgACAAIAAgACAAIABcACIARgByAGEAYwBHAEEAUwBNAF8AbQBUADIAXAAiACwAXAAiAGYAcgBhAGMAdABpAG8AbgAgAG8AZgAgAGEAbgBpAG0AYQBsACAAdwBhAHMAdABlACAATgAgAHYAbwBsAGEAdABpAGwAaQBzAGUAZAAgAGkAbgAgAGUAYQBjAGgAIABNAE0AUwAgADoAIAAoAGsAZwAgAE4ASAAzAC0ATgAgACsAIABOAE8AeAAtAE4AKQAvAGsAZwAgAE4AXAAiADsAXABuACAAIAAgACAAIAAgACAAIAAgACAAXAAiAE0ATgBMAGUAYQBjAGgAXwBNAE0AUwBcACIALABcACIAbQBhAHMAcwAgAG8AZgAgAE4AIABsAG8AcwB0ACAAdABoAHIAbwB1AGcAaAAgAGwAZQBhAGMAaABpAG4AZwAgAGEAbgBkACAAcgB1AG4AbwBmAGYAIABmAHIAbwBtACAATQBNAFMAIAA6ACAAawBnACAATgBcACIAOwBcAG4AIAAgACAAIAAgACAAIAAgACAAIABcACIAUABGAFwAIgAsAFwAIgBmAHIAYQBjAHQAaQBvAG4AIABvAGYAIABtAGEAbgB1AHIAZQAgAGEAcABwAGwAaQBlAGQAIAB0AG8AIABzAG8AaQBsACAAdwBpAHQAaABpAG4AIAB0AGgAZQAgAGYAYQByAG0AIABiAG8AdQBuAGQAYQByAHk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IAA6ACAAawBnACAATgBcACIAOwBcAG4AIAAgACAAIAAgACAAIAAgACAAIABcACIARQBGAF8AbQBUADIAXAAiACwAXAAiAG4AaQB0AHIAbwB1AHMAIABvAHgAaQBkAGUAIABlAG0AaQBzAHMAaQBvAG4AIABmAGEAYwB0AG8AcgAgAGYAbwByACAAZQBhAGMAaAAgAE0ATQBTACAAOgAgAGsAZwAgAE4AMgBPAC0ATgAvAGsAZwAgAE4AXAAiADsAXABuACAAIAAgACAAIAAgACAAIAAgACAAXAAiAEYAcgBhAGMARwBBAFMATQBfAG0AVAAyAFwAIgAsAFwAIgBmAHIAYQBjAHQAaQBvAG4AIABvAGYAIABhAG4AaQBtAGEAbAAgAHcAYQBzAHQAZQAgAE4AIAB2AG8AbABhAHQAaQBsAGkAcwBlAGQAIABpAG4AIABlAGEAYwBoACAATQBNAFMAIAA6ACAAKABrAGcAIABOAEgAMwAtAE4AIAArACAATgBPAHgALQBOACkALwBrAGcAIABOAFwAIgA7AFwAbgAgACAAIAAgACAAIAAgACAAIAAgAFwAIgBNAE4ATABlAGEAYwBoAF8ATQBNAFMAXAAiACwAXAAiAG0AYQBzAHMAIABvAGYAIABOACAAbABvAHMAdAAgAHQAaAByAG8AdQBnAGgAIABsAGUAYQBjAGgAaQBuAGcAIABhAG4AZAAgAHIAdQBuAG8AZgBmACAAZgByAG8AbQAgAE0ATQBTACAAOgAgAGsAZwAgAE4AXAAiADsAXABuACAAIAAgACAAIAAgACAAIAAgACAAXAAiAFAARgBcACIALABcACIAZgByAGEAYwB0AGkAbwBuACAAbwBmACAAbQBhAG4AdQByAGUAIABhAHAAcABsAGkAZQBkACAAdABvACAAcwBvAGkAbAAgAHcAaQB0AGgAaQBuACAAdABoAGUAIABmAGEAcgBtACAAYgBvAHUAbgBkAGEAcgB5ACAAOgAgAGYAcgBhAGMAdABpAG8Abg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Mg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CAAKABrAGcAIABOACkAXAAiADsAXABuACAAIAAgACAAIAAgACAAIAAgACAAXAAiAEUARgBfAFAAUgBQAFwAIgAsACAAXAAiAG4AaQB0AHIAbwB1AHMAIABvAHgAaQBkAGUAIABlAG0AaQBzAHMAaQBvAG4AIABmAGEAYwB0AG8AcgAgAGYAbwByACAAbQBhAG4AdQByAGUAIABkAGUAcABvAHMAaQB0AGUAZAAgAG8AbgAgAHAAYQBzAHQAdQByAGUAIAAoAGsAZwAgAE4AMgBPAC0ATgAvAGsAZwAgAE4AIABkAGUAcABvAHMAaQB0AGUAZA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Mg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CAAKABrAGcAIABOACkAXAAiADsAXABuACAAIAAgACAAIAAgACAAIAAgACAAXAAiAEUARgBfAE4AMgBPAFwAIgAsACAAXAAi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QAyAF8AXwAyAF8ATQBhAHMAcwBPAGYATgBpAHQAcgBvAGcAZQBuAFYAbwBsAGEAdABpAGwAaQBzAGUAZABGAHIAbwBtAFAAbwB1AGwAdAByAHkATQBhAG4AdQByAGUATwBuAFAAYQBzAHQAdQByAGUAXABuAE0AYQBzAHMAIABvAGYAIABuAGkAdAByAG8AZwBlAG4AIAB2AG8AbABhAHQAaQBsAGkAcwBlAGQAIABmAHIAbwBtACAAcABvAHUAbAB0AHIAeQAgAG0AYQBuAHUAcgBlACAAZABlAHAAbwBzAGkAdABlAGQAIABvAG4AIABwAGEAcwB0AHUAcgBlAFwAbgBNAF8AdgBvAGwAXwBtADEANABcAG4AawBnACAATgBcAG4ATQBfAHsAdgBvAGwALABtAD0AMQA0AH0APQBNAE4AXwB7AGoAawBtAD0AMQA0ACwAVAA9ADEAfQBcAFwAdABpAG0AZQBzACAARgByAGEAYwBHAEEAUwBNAHMAbwBpAGwAXABuAE0ATgBfAGoAawBtADEANABUADEAIAA9ACAAbQBhAHMAcwAgAG8AZgAgAG4AaQB0AHIAbwBnAGUAbgAgAGUAeABjAHIAZQB0AGUAZAAgAGQAaQByAGUAYwB0AGwAeQAgAG8AbgAgAHAAYQBzAHQAdQByAGUAIABiAHkAIABwAG8AdQBsAHQAcgB5ACAAYwBsAGEAcwBzACAAYQBuAGQAIABzAHUAYgBjAGwAYQBzAHMAIAAoAGsAZwAgAE4AKQBcAG4ARgByAGEAYwBHAEEAUwBNAHMAbwBpAGwAIAA9ACAAZgByAGEAYwB0AGkAbwBuACAAbwBmACAAbgBpAHQAcgBvAGcAZQBuACAAdgBvAGwAYQB0AGkAbABpAHMAZQBkACAAZgByAG8AbQAgAG0AYQBuAHUAcgBlACAAZABlAHAAbwBzAGkAdABlAGQAIABvAG4AIABwAGEAcwB0AHUAcgBlACAAKAAoAGsAZwAgAE4ASAAzAC0ATgAgACsAIABOAE8AeAAtAE4AKQAvAGsAZwAgAE4AKQBcAG4ALQAtAC0ALQAtAC0ALQAtAC0ALQAtAC0ALQAtAC0ALQAtAC0ALQAtAC0ALQAtAC0ALQAtAC0ALQAtAC0ALQAtAC0ALQAtAC0ALQAtAFwAbgAqAC8AXABuAFwAbgBWAEUARQBSAEcAXwA0AF8ANgBfADEAXwAxADIAXwBfADIAXwBNAGEAcwBzAE8AZgBOAGkAdAByAG8AZwBlAG4AVgBvAGwAYQB0AGkAbABpAHMAZQBkAEYAcgBvAG0AUABvAHUAbAB0AHIAeQBNAGEAbgB1AHIAZQBPAG4AUABhAHMAdAB1AHIAZQBcAG4AIAAgAD0ATABBAE0AQgBEAEEAKABcAG4AIAAgACAAIABNAE4AXwBqAGsAbQAxADQAVAAxACwAIABGAHIAYQBjAEcAQQBTAE0AcwBvAGkAbAAsAFwAbgAgACAAIAAgAE0ATgBfAGoAawBtADEANABUADEAIAAqACAARgByAGEAYwBHAEEAUwBNAHMAbwBpAGwAXABuACAAIAApADsAXABuAFwAbgBWAEUARQBSAEcAXwA0AF8ANgBfADEAXwAxADIAXwBfADIAXwBNAGEAcwBzAE8AZgBOAGkAdAByAG8AZwBlAG4AVgBvAGwAYQB0AGkAbABpAHMAZQBkAEYAcgBvAG0AUABvAHUAbAB0AHIAeQBNAGEAbgB1AHIAZQBPAG4AUABhAHMAdAB1AHIAZQBfAFQAaQB0AGwAZQBcAG4AIAAgAD0ATABBAE0AQgBEAEEAKABcACIATQBhAHMAcwAgAG8AZgAgAG4AaQB0AHIAbwBnAGUAbgAgAHYAbwBsAGEAdABpAGwAaQBzAGUAZAAgAGYAcgBvAG0AIABwAG8AdQBsAHQAcgB5ACAAbQBhAG4AdQByAGUAIABkAGUAcABvAHMAaQB0AGUAZAAgAG8AbgAgAHAAYQBzAHQAdQByAGUAXAAiACkAOwBcAG4AXABuAFYARQBFAFIARwBfADQAXwA2AF8AMQBfADEAMgBfAF8AMgBfAE0AYQBzAHMATwBmAE4AaQB0AHIAbwBnAGUAbgBWAG8AbABhAHQAaQBsAGkAcwBlAGQARgByAG8AbQBQAG8AdQBsAHQAcgB5AE0AYQBuAHUAcgBlAE8AbgBQAGEAcwB0AHUAcgBlAF8AVgBhAHIAaQBhAGIAbABlAFwAbgAgACAAPQBMAEEATQBCAEQAQQAoAFwAIgBNAF8AdgBvAGwAXwBtADEANABcACIAKQA7AFwAbgBcAG4AVgBFAEUAUgBHAF8ANABfADYAXwAxAF8AMQAyAF8AXwAyAF8ATQBhAHMAcwBPAGYATgBpAHQAcgBvAGcAZQBuAFYAbwBsAGEAdABpAGwAaQBzAGUAZABGAHIAbwBtAFAAbwB1AGwAdAByAHkATQBhAG4AdQByAGUATwBuAFAAYQBzAHQAdQByAGUAXwBVAG4AaQB0AFwAbgAgACAAPQBMAEEATQBCAEQAQQAoAFwAIgBrAGcAIABOAFwAIgApADsAXABuAFwAbgBWAEUARQBSAEcAXwA0AF8ANgBfADEAXwAxADIAXwBfADIAXwBNAGEAcwBzAE8AZgBOAGkAdAByAG8AZwBlAG4AVgBvAGwAYQB0AGkAbABpAHMAZQBkAEYAcgBvAG0AUABvAHUAbAB0AHIAeQBNAGEAbgB1AHIAZQBPAG4AUABhAHMAdAB1AHIAZQBfAFMAbwB1AHIAYwBlAFwAbgAgACAAPQBMAEEATQBCAEQAQQAoAFwAIgBWAEUARQBSAEcAIAAyADAAMgA2ADoAIAA0AC4ANgAuADEALgAxADIALAAgAEUAcQB1AGEAdABpAG8AbgAgACgAMgApAFwAIgApADsAXABuAFwAbgBWAEUARQBSAEcAXwA0AF8ANgBfADEAXwAxADIAXwBfADIAXwBNAGEAcwBzAE8AZgBOAGkAdAByAG8AZwBlAG4AVgBvAGwAYQB0AGkAbABpAHMAZQBkAEYAcgBvAG0AUABvAHUAbAB0AHIAeQBNAGEAbgB1AHIAZQBPAG4AUABhAHMAdAB1AHIAZQBfAE4ASQBSAFIAZQBmAGUAcgBlAG4AYwBlAFwAbgAgACAAPQBMAEEATQBCAEQAQQAoAFwAIgBcACIAKQA7AFwAbgBcAG4AVgBFAEUAUgBHAF8ANABfADYAXwAxAF8AMQAyAF8AXwAyAF8ATQBhAHMAcwBPAGYATgBpAHQAcgBvAGcAZQBuAFYAbwBsAGEAdABpAGwAaQBzAGUAZABGAHIAbwBtAFAAbwB1AGwAdAByAHkATQBhAG4AdQByAGUATwBuAFAAYQBzAHQAdQByAGUAXwBMAGEAdABlAHgARQBxAHUAYQB0AGkAbwBuAFwAbgAgACAAPQBMAEEATQBCAEQAQQAoAFwAIgBNAF8AewB2AG8AbAAsAG0APQAxADQAfQA9AFwAXABzAHUAbQBfAHsAagB9AFwAXABzAHUAbQBfAHsAawB9ACgATQBOAF8AewBqAGsAbQA9ADEANAAsAFQAPQAxAH0AXABcAHQAaQBtAGUAcwAgAEYAcgBhAGMARwBBAFMATQBzAG8AaQBsACkAXAAiACkAOwBcAG4AXABuAFYARQBFAFIARwBfADQAXwA2AF8AMQBfADEAMgBfAF8AMgBfAE0AYQBzAHMATwBmAE4AaQB0AHIAbwBnAGUAbgBWAG8AbABhAHQAaQBsAGkAcwBlAGQARgByAG8AbQBQAG8AdQBsAHQAcgB5AE0AYQBuAHUAcgBlAE8AbgBQAGEAcwB0AHUAcgBlAF8AQQByAGcAdQBtAGUAbgB0AHMAXABuACAAIAA9AEwAQQBNAEIARABBACgAXABuACAAIAAgACAATQBBAEsARQBBAFIAUgBBAFkAKAAyACwAIAAy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IAAoAGsAZwAgAE4AKQBcACIAOwBcAG4AIAAgACAAIAAgACAAIAAgACAAIABcACIARgByAGEAYwBHAEEAUwBNAHMAbwBpAGwAXAAiACwAIABcACIAZgByAGEAYwB0AGkAbwBuACAAbwBmACAAbgBpAHQAcgBvAGcAZQBuACAAdgBvAGwAYQB0AGkAbABpAHMAZQBkACAAZgByAG8AbQAgAG0AYQBuAHUAcgBl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NgBfADEAXwAxADQAXwBfADIAXwBNAGEAcwBzAE8AZgBOAGkAdAByAG8AZwBlAG4ATABvAHMAdABUAG8ATABlAGEAYwBoAGkAbgBnAEEAbgBkAFIAdQBuAG8AZgBmAEYAcgBvAG0AUABvAHUAbAB0AHIAeQBNAGEAbgB1AHIAZQBPAG4AUABhAHMAdAB1AHIAZQBcAG4ATQBhAHMAcwAgAG8AZgAgAG4AaQB0AHIAbwBnAGUAbgAgAGwAbwBzAHQAIAB0AG8AIABsAGUAYQBjAGgAaQBuAGcAIABhAG4AZAAgAHIAdQBuAG8AZgBmACAAZgByAG8AbQAgAHAAbwB1AGwAdAByAHkAIABtAGEAbgB1AHIAZQAgAGQAZQBwAG8AcwBpAHQAZQBkACAAbwBuACAAcABhAHMAdAB1AHIAZQBcAG4ATQBfAGwAZQBhAGMAaABfAG0AMQA0AFwAbgBrAGcAIABOAFwAbgBNAF8AewBsAGUAYQBjAGgALABtAD0AMQA0AH0APQBNAE4AXwB7AGoAawBtAD0AMQA0ACwAVAA9ADEAfQBcAFwAdABpAG0AZQBzACAARgByAGEAYwBXAGUAdABcAFwAdABpAG0AZQBzACAARgByAGEAYwBMAEUAQQBDAEgAXwBNAFMAXABuAE0ATgBfAGoAawBtADEANABUADEAIAA9ACAAbQBhAHMAcwAgAG8AZgAgAG4AaQB0AHIAbwBnAGUAbgAgAGUAeABjAHIAZQB0AGUAZAAgAGQAaQByAGUAYwB0AGwAeQAgAG8AbgAgAHAAYQBzAHQAdQByAGUAIABiAHkAIABwAG8AdQBsAHQAcgB5ACAAYwBsAGEAcwBzACAAYQBuAGQAIABzAHUAYgBjAGwAYQBzAHMAIAAoAGsAZwAgAE4AKQBcAG4ARgByAGEAYwBXAGUAdAAgAD0AIABmAHIAYQBjAHQAaQBvAG4AIABvAGYAIABOACAAYQB2AGEAaQBsAGEAYgBsAGUAIABmAG8AcgAgAGwAZQBhAGMAaABpAG4AZwAgAGEAbgBkACAAcgB1AG4AbwBmAGYAXABuAEYAcgBhAGMATABFAEEAQwBIAF8ATQBTACAAPQAgAGYAcgBhAGMAdABpAG8AbgAgAG8AZgAgAE4AIAB0AGgAYQB0ACAAaQBzACAAbABvAHMAdAAgAHQAaAByAG8AdQBnAGgAIABsAGUAYQBjAGgAaQBuAGcAIABhAG4AZAAgAHIAdQBuAG8AZgBmAFwAbgAtAC0ALQAtAC0ALQAtAC0ALQAtAC0ALQAtAC0ALQAtAC0ALQAtAC0ALQAtAC0ALQAtAC0ALQAtAC0ALQAtAC0ALQAtAC0ALQAtAC0AXABuACoALwBcAG4AXABuAFYARQBFAFIARwBfADQAXwA2AF8AMQBfADEANABfAF8AMgBfAE0AYQBzAHMATwBmAE4AaQB0AHIAbwBnAGUAbgBMAG8AcwB0AFQAbwBMAGUAYQBjAGgAaQBuAGcAQQBuAGQAUgB1AG4AbwBmAGYARgByAG8AbQBQAG8AdQBsAHQAcgB5AE0AYQBuAHUAcgBlAE8AbgBQAGEAcwB0AHUAcgBlAFwAbgAgACAAPQBMAEEATQBCAEQAQQAoAFwAbgAgACAAIAAgAE0ATgBfAGoAawBtADEANABUADEALAAgAEYAcgBhAGMAVwBlAHQALAAgAEYAcgBhAGMATABFAEEAQwBIAF8ATQBTACwAXABuACAAIAAgACAATQBOAF8AagBrAG0AMQA0AFQAMQAgACoAIABGAHIAYQBjAFcAZQB0ACAAKgAgAEYAcgBhAGMATABFAEEAQwBIAF8ATQBTAFwAbgAgACAAKQA7AFwAbgBcAG4AVgBFAEUAUgBHAF8ANABfADYAXwAxAF8AMQA0AF8AXwAyAF8ATQBhAHMAcwBPAGYATgBpAHQAcgBvAGcAZQBuAEwAbwBzAHQAVABvAEwAZQBhAGMAaABpAG4AZwBBAG4AZABSAHUAbgBvAGYAZgBGAHIAbwBtAFAAbwB1AGwAdAByAHkATQBhAG4AdQByAGUATwBuAFAAYQBzAHQAdQByAGUAXwBUAGkAdABsAGUAXABuACAAIAA9AEwAQQBNAEIARABBACgAXAAiAE0AYQBzAHMAIABvAGYAIABuAGkAdAByAG8AZwBlAG4AIABsAG8AcwB0ACAAdABvACAAbABlAGEAYwBoAGkAbgBnACAAYQBuAGQAIAByAHUAbgBvAGYAZgAgAGYAcgBvAG0AIABwAG8AdQBsAHQAcgB5ACAAbQBhAG4AdQByAGUAIABkAGUAcABvAHMAaQB0AGUAZAAgAG8AbgAgAHAAYQBzAHQAdQByAGUAXAAiACkAOwBcAG4AXABuAFYARQBFAFIARwBfADQAXwA2AF8AMQBfADEANABfAF8AMgBfAE0AYQBzAHMATwBmAE4AaQB0AHIAbwBnAGUAbgBMAG8AcwB0AFQAbwBMAGUAYQBjAGgAaQBuAGcAQQBuAGQAUgB1AG4AbwBmAGYARgByAG8AbQBQAG8AdQBsAHQAcgB5AE0AYQBuAHUAcgBlAE8AbgBQAGEAcwB0AHUAcgBlAF8AVgBhAHIAaQBhAGIAbABlAFwAbgAgACAAPQBMAEEATQBCAEQAQQAoAFwAIgBNAF8AbABlAGEAYwBoAF8AbQAxADQAXAAiACkAOwBcAG4AXABuAFYARQBFAFIARwBfADQAXwA2AF8AMQBfADEANABfAF8AMgBfAE0AYQBzAHMATwBmAE4AaQB0AHIAbwBnAGUAbgBMAG8AcwB0AFQAbwBMAGUAYQBjAGgAaQBuAGcAQQBuAGQAUgB1AG4AbwBmAGYARgByAG8AbQBQAG8AdQBsAHQAcgB5AE0AYQBuAHUAcgBlAE8AbgBQAGEAcwB0AHUAcgBlAF8AVQBuAGkAdABcAG4AIAAgAD0ATABBAE0AQgBEAEEAKABcACIAawBnACAATgBcACIAKQA7AFwAbgBcAG4AVgBFAEUAUgBHAF8ANABfADYAXwAxAF8AMQA0AF8AXwAyAF8ATQBhAHMAcwBPAGYATgBpAHQAcgBvAGcAZQBuAEwAbwBzAHQAVABvAEwAZQBhAGMAaABpAG4AZwBBAG4AZABSAHUAbgBvAGYAZgBGAHIAbwBtAFAAbwB1AGwAdAByAHkATQBhAG4AdQByAGUATwBuAFAAYQBzAHQAdQByAGUAXwBTAG8AdQByAGMAZQBcAG4AIAAgAD0ATABBAE0AQgBEAEEAKABcACIAVgBFAEUAUgBHACAAMgAwADIANgA6ACAANAAuADYALgAxAC4AMQA0ACwAIABFAHEAdQBhAHQAaQBvAG4AIAAoADIAKQBcACIAKQA7AFwAbgBcAG4AVgBFAEUAUgBHAF8ANABfADYAXwAxAF8AMQA0AF8AXwAyAF8ATQBhAHMAcwBPAGYATgBpAHQAcgBvAGcAZQBuAEwAbwBzAHQAVABvAEwAZQBhAGMAaABpAG4AZwBBAG4AZABSAHUAbgBvAGYAZgBGAHIAbwBtAFAAbwB1AGwAdAByAHkATQBhAG4AdQByAGUATwBuAFAAYQBzAHQAdQByAGUAXwBOAEkAUgBSAGUAZgBlAHIAZQBuAGMAZQBcAG4AIAAgAD0ATABBAE0AQgBEAEEAKABcACIAXAAiACkAOwBcAG4AXABuAFYARQBFAFIARwBfADQAXwA2AF8AMQBfADEANABfAF8AMgBfAE0AYQBzAHMATwBmAE4AaQB0AHIAbwBnAGUAbgBMAG8AcwB0AFQAbwBMAGUAYQBjAGgAaQBuAGcAQQBuAGQAUgB1AG4AbwBmAGYARgByAG8AbQBQAG8AdQBsAHQAcgB5AE0AYQBuAHUAcgBlAE8AbgBQAGEAcwB0AHUAcgBlAF8ATABhAHQAZQB4AEUAcQB1AGEAdABpAG8AbgBcAG4AIAAgAD0ATABBAE0AQgBEAEEAKABcACIATQBfAHsAbABlAGEAYwBoACwAbQA9ADEANAB9AD0AXABcAHMAdQBtAF8AewBqAH0AXABcAHMAdQBtAF8AewBrAH0AKABNAE4AXwB7AGoAawBtAD0AMQA0ACwAVAA9ADEAfQBcAFwAdABpAG0AZQBzACAARgByAGEAYwBXAGUAdABcAFwAdABpAG0AZQBzACAARgByAGEAYwBMAEUAQQBDAEgAXwBNAFMAKQBcACIAKQA7AFwAbgBcAG4AVgBFAEUAUgBHAF8ANABfADYAXwAxAF8AMQA0AF8AXwAyAF8ATQBhAHMAcwBPAGYATgBpAHQAcgBvAGcAZQBuAEwAbwBzAHQAVABvAEwAZQBhAGMAaABpAG4AZwBBAG4AZABSAHUAbgBvAGYAZgBGAHIAbwBtAFAAbwB1AGwAdAByAHkATQBhAG4AdQByAGUATwBuAFAAYQBzAHQAdQByAGUAXwBBAHIAZwB1AG0AZQBuAHQAcwBcAG4AIAAgAD0ATABBAE0AQgBEAEEAKABcAG4AIAAgACAAIABNAEEASwBFAEEAUgBSAEEAWQAoADYALAAgADI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AgACgAawBnACAATgApAFwAIgA7AFwAbgAgACAAIAAgACAAIAAgACAAIAAgAFwAIgBGAHIAYQBjAFcAZQB0AFwAIgAsACAAXAAiAGYAcgBhAGMAdABpAG8AbgAgAG8AZgAgAE4AIABhAHYAYQBpAGwAYQBiAGwAZQAgAGYAbwByACAAbABlAGEAYwBoAGkAbgBnACAAYQBuAGQAIAByAHUAbgBvAGYAZgBcACIAOwBcAG4AIAAgACAAIAAgACAAIAAgACAAIABcACIARgByAGEAYwBMAEUAQQBDAEgAXwBNAFMAXAAiACwAIABcACIAZgByAGEAYwB0AGkAbwBuACAAbwBm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AgAE0AQQBLAEUAQQBSAFIAQQBZACgAMQA5ACwAIAA2ACwAXABuACAAIAAgACAATABBAE0AQgBEAEEAKAByACwAYwAsAFwAbgAgACAAIAAgACAAIABJAE4ARABFAFgAKAB7AFwAbgAgACAAIAAgACAAIAAgACAAXAAiAEYAZQByAHQAaQBsAGkAcwBlAHIAIABUAHkAcABlACAAZgBcACIALAAgAFwAIgBGAE4AaQBuAG8AcgBnAGEAbgBpAGMALABmAFwAIgAsACAAXAAiAEYAVQBmAFwAIgAsACAAIABcACIAQgBhAHMAaQBzAFwAIgAsACAAXAAiAEwAaQBmAGUAQwB5AGMAbABlAHMAIABTAGMAbwBwAGUAIAAzACAAZABlAGYAaQBuAGkAdABpAG8AbgBcACIALAAgAFwAIgBTAG8AdQByAGMAZQBcACIAOwBcAG4AIAAgACAAIAAgACA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CAAIAAgACA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AgACAAIAAgACAAIABcACIAVQByAGUAYQBcACIALAAgADAALgA0ADYALAAgADEALAAgAFwAIgBVAHIAZQBhAC0AYgBhAHMAZQBkACAAZgBlAHIAdABpAGwAaQBzAGUAcgBzAFwAIgAsACAAXAAiAFUAcgBlAGEAXAAiACwAIABcACIAVgBFAEUAUgBHAFwAIgA7AFwAbgAgACAAIAAgACAAIA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IAAgACAAIA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IAAgACAAIA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AgACAAIAAg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AgACAAIAAgACAAIABcACIATgBpAHQAcgBvAGcAZQBuACAALQAgAEEAbQBtAG8AbgBpAGEAYwBhAGwAXAAiACwAIAAxACwAIAAwACwAIABcACIAQQBtAG0AbwBuAGkAdQBtAC0AYgBhAHMAZQBkACAAZgBlAHIAdABpAGwAaQBzAGUAcgBzAFwAIgAsACAAXAAiAE4AaQB0AHIAbwBnAGUAbgAgAGYAcgBvAG0AIABBAG0AbQBvAG4AaQBhAFwAIgAsACAAXAAiAEwAaQBmAGUAQwB5AGMAbABlAHMAXAAiADsAXABuACAAIAAgACAAIAAg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IAAgACAAIAAgACAAXAAiAE4AaQB0AHIAbwBnAGUAbgAgAC0AIABnAGUAbgBlAHIAaQBjAFwAIgAsACAAMQAsACAAMAAsACAAXAAiAE8AdABoAGUAcgAgAGYAZQByAHQAaQBsAGkAcwBlAHIAcwBcACIALAAgAFwAIgBOAGkAdAByAG8AZwBlAG4AIABmAHIAbwBtACAAZgBlAHIAdABpAGwAaQBzAGUAcgBcACIALAAgAFwAIgBMAGkAZgBlAEMAeQBjAGwAZQBzAFwAIgA7AFwAbgAgACAAIAAgACAAIAAgACAAXAAiAFAAaABvAHMAcABoAG8AcgB1AHMAIAAtACAAZwBlAG4AZQByAGkAYwBcACIALAAgADAALAAgADAALAAgAFwAIgBPAHQAaABlAHIAIABmAGUAcgB0AGkAbABpAHMAZQByAHMAXAAiACwAIABcACIAUABoAG8AcwBwAGgAbwByAHUAcwAgAGYAcgBvAG0AIABmAGUAcgB0AGkAbABpAHMAZQByAFwAIgAsACAAXAAiAEwAaQBmAGUAQwB5AGMAbABlAHMAXAAiADsAXABuACAAIAAgACAAIAAgACAAIABcACIAUABvAHQAYQBzAHMAaQB1AG0AIAAtACAAZwBlAG4AZQByAGkAYwBcACIALAAgADAALAAgADAALAAgAFwAIgBPAHQAaABlAHIAIABmAGUAcgB0AGkAbABpAHMAZQByAHMAXAAiACwAIABcACIAUABvAHQAYQBzAHMAaQB1AG0AIABmAHIAbwBtACAAZgBlAHIAdABpAGwAaQBzAGUAcgBcACIALAAgAFwAIgBMAGkAZgBlAEMAeQBjAGwAZQBzAFwAIgA7AFwAbgAgACAAIAAgACAAIAAgACAAXAAiAFMAdQBsAGYAdQByACAALQAgAGcAZQBuAGUAcgBpAGMAXAAiACwAIAAwACwAIAAwACwAIABcACIATwB0AGgAZQByACAAZgBlAHIAdABpAGwAaQBzAGUAcgBzAFwAIgAsACAAXAAiAFMAdQBsAGYAdQByACAAZgByAG8AbQAgAGYAZQByAHQAaQBsAGkAcwBlAHIAXAAiACwAIABcACIATABpAGYAZQBDAHkAYwBsAGUAcwBcACIAOwBcAG4AIAAgACAAIAAgACAAIAAgAFwAIgBaAGkAbgBjACAALQAgAGcAZQBuAGUAcgBpAGMAXAAiACwAIAAwACwAIAAwACwAIABcACIATwB0AGgAZQByACAAZgBlAHIAdABpAGwAaQBzAGUAcgBzAFwAIgAsACAAXAAiAFoAaQBuAGMAIABmAHIAbwBtACAAZgBlAHIAdABpAGwAaQBzAGUAcgBcACIALAAgAFwAIgBMAGkAZgBlAEMAeQBjAGwAZQBzAFwAIgA7AFwAbgAgACAAIAAgACAAIA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AgACAAIAAgACAAIABcACIARABvAHUAYgBsAGUAIABzAHUAcABlAHIAcABoAG8AcwBwAGgAYQB0AGUAXAAiACwAIAAwACwAIAAwACwAIABcACIATwB0AGgAZQByACAAZgBlAHIAdABpAGwAaQBzAGUAcgBzAFwAIgAsACAAXAAiAEQAbwB1AGIAbABlACAAcwB1AHAAZQByAHAAaABvAHMAcABoAGEAdABlAFwAIgAsACAAXAAiAEwAaQBmAGUAQwB5AGMAbABlAHMAXAAiADsAXABuACAAIAAgACAAIAAg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AgACAAIAAgACAAIABcACIAQQBtAG0AbwBuAGkAYQBcACIALAAgADAALgA4ADIALAAgADAALAAgAFwAIgBBAG0AbQBvAG4AaQB1AG0ALQBiAGEAcwBlAGQAIABmAGUAcgB0AGkAbABpAHMAZQByAHMAXAAiACwAIABcACIAQQBtAG0AbwBuAGkAYQBcACIALAAgAFwAIgBMAGkAZgBlAEMAeQBjAGwAZQBzAFwAIgBcAG4AIAAgACAAIAAgACAAfQAsACAAcgAsACAAYwApAFwAbgApACkAKQA7AFwAbgBcAG4ARgBlAHIAdABpAGwAaQBzAGUAcgBfAEMAaABlAG0AaQBjAGEAbABDAG8AbQBwAG8AdQBuAGQARQBsAGUAbQBlAG4AdABzAF8AVgBhAHIAaQBhAHQAaQBvAG4AXABuAD0ATABBAE0AQgBEAEEAKABcAG4AIAAgAE0AQQBLAEUAQQBSAFIAQQBZACgAOQAsACAAMQAsAFwAbgAgACAAIAAgAEwAQQBNAEIARABBACgAcgAsAGMALABcAG4AIAAgACAAIAAgACAASQBOAEQARQBYACgAewBcAG4AIAAgACAAIAAgACAAIAAgAFwAIgBWAEEAUgBJAEEAVABJAE8ATgAgAE8ATgAgAFMATwBVAFIAQwBFAFwAIgA7AFwAbgAgACAAIAAgACAAIA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AgACAAIAAgACAAIABcACIAQQBkAGQAZQBkACAAZQB4AHQAcgBhACAAZgBlAHIAdABpAGwAaQBzAGUAcgAgAHQAeQBwAGUAcwAgAGEAbgBkACAAZwBlAG4AZQByAGkAYwAgAGMAaABlAG0AaQBjAGEAbAAgAGMAbwBtAHAAbwB1AG4AZABzACAAdABvACAAYQBsAGwAbwB3ACAAZgBvAHIAIABjAHUAcwB0AG8AbQAgAE4AUABLAFMAIABiAGwAZQBuAGQAcwBcACIAOwBcAG4AIAAgACAAIAAgACAAIAAgAFwAIgBBAGQAZABlAGQAIABlAHgAdAByAGEAIAAnAFMAYwBvAHAAZQAgADMAIABkAGUAZgBpAG4AaQB0AGkAbwBuACcAIABjAG8AbAB1AG0AbgAgAHQAbwAgAGEAbABsAG8AdwAgAG0AYQBwAHAAaQBuAGcAIAB3AGkAdABoACAAcwBjAG8AcABlACAAMwAgAGQAYQB0AGEAXAAiADsAXABuACAAIAAgACAAIAAgACAAIABcACIAQQBkAGQAZQBkACAAJwBTAG8AdQByAGMAZQAnACAAYwBvAGwAdQBtAG4AXAAiADsAXABuACAAIAAgACAAIAAgACAAIABcACIAQwBvAG0AYgBpAG4AZQBkACAAZABhAHQAYQAgAGYAcgBvAG0AIABUAGEAYgBsAGUAIABBAC4AMgAuADIALgAzACAAYQBuAGQAIABUAGEAYgBsAGUAIABBAC4AMgAuADIALgA0ACAAaQBuAHQAbwAgAG8AbgBlACAAdABhAGIAbABlACAAdABvACAAYQBpAGQAIABsAG8AbwBrAHUAcAAuAFwAIgA7AFwAbgAgACAAIAAgACAAIAAgACAAXAAiAEUAeABjAGwAdQBkAGUAZAAgACcAUgBlAGYAZQByAGUAbgBjAGUAcwAnACAAYwBvAGwAdQBtAG4AXAAiADsAXABuACAAIAAgACAAIAAgACAAIABcACIARQB4AGMAbAB1AGQAZQBkACAAJwBBAG0AbQBvAG4AaQB1AG0AIABzAHUAbABmAGEAdABlACcAIABhAHMAIABpAHQAIABpAHMAIABhACAAZAB1AHAAbABpAGMAYQB0AGUAIABvAGYAIAAnAFMAdQBsAHAAaABhAHQAZQAgAG8AZgAgAGEAbQBtAG8AbgBpAGEAIAAoAFMATwBBACkAJwBcACIAOwBcAG4AIAAgACAAIAAgACAAIAAgAFwAIgBFAHgAYwBsAHUAZABlAGQAIAAnAEMAYQBsAGMAaQB1AG0AIABuAGkAdAByAGEAdABlACcAIABhAHMAIABuAG8AIABzAGMAbwBwAGUAIAAzACAAdgBhAGwAdQBlACAAYQB2AGEAaQBsAGE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CAATQBBAEsARQBBAFIAUgBBAFkAKAA2ACwAIAAyACwAXABuACAAIAAgACAATABBAE0AQgBEAEEAKAByACwAYwAsAFwAbgAgACAAIAAgACAAIABJAE4ARABFAFgAKAB7AFwAbgAgACAAIAAgACAAIAAgACAAXAAiAEYAZQByAHQAaQBsAGkAcwBlAHIAIAB0AHkAcABlACAAZgBcACIALAAgAFwAIgBGAHIAYQBjAEcAQQBTAEYAZgBcACIAOwBcAG4AIAAgACAAIAAgACAAIAAgAFwAIgBVAHIAZQBhAC0AYgBhAHMAZQBkACAAZgBlAHIAdABpAGwAaQBzAGUAcgBzAFwAIgAsACAAMAAuADEANQA7AFwAbgAgACAAIAAgACAAIAAgACAAXAAiAEEAbQBtAG8AbgBpAHUAbQAtAGIAYQBzAGUAZAAgAGYAZQByAHQAaQBsAGkAcwBlAHIAcwBcACIALAAgADAALgAwADgAOwBcAG4AIAAgACAAIAAgACAAIAAgAFwAIgBOAGkAdAByAGEAdABlAC0AYgBhAHMAZQBkACAAZgBlAHIAdABpAGwAaQBzAGUAcgBzAFwAIgAsACAAMAAuADAAMQA7AFwAbgAgACAAIAAgACAAIAAgACAAXAAiAEEAbQBtAG8AbgBpAHUAbQAtAG4AaQB0AHIAYQB0AGUAIABiAGEAcwBlAGQAIABmAGUAcgB0AGkAbABpAHMAZQByAHMAXAAiACwAIAAwAC4AMAA1ADsAXABuACAAIAAgACAAIAAgACAAIABcACIATwB0AGgAZQByACAAZgBlAHIAdABpAGwAaQBzAGUAcgBzAFwAIgAsACAAMAAuADEAMQBcAG4AIAAgACAAIA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RgBlAHIAdABpAGwAaQBzAGUAcgAgAHAAcgBvAGQAdQBjAHQAcwBcACIAKQApADsAXABuAFwAbgBGAGUAcgB0AGkAbABpAHMAZQByAF8AUAByAG8AZAB1AGMAdABzAF8ARABlAHMAYwByAGkAcAB0AGkAbwBuAFwAbgA9AEwAQQBNAEIARABBACgAKABcACIAUABvAHAAdQBsAGEAcgAgAGYAZQByAHQAaQBsAGkAcwBlAHIAIABwAHIAbwBkAHUAYwB0AHMAIAB1AHMAZQBkACAAaQBuACAAQQB1AHMAdAByAGEAbABpAGEALAAgAGEAbABvAG4AZwAgAHcAaQB0AGgAIAB0AGgAZQBpAHIAIABjAGgAZQBtAGkAYwBhAGwAIABjAG8AbQBwAG8AdQBuAGQAIABjAG8AbQBwAG8AcwBpAHQAaQBvAG4AXAAiACkAKQA7AFwAbgBcAG4ARgBlAHIAdABpAGwAaQBzAGUAcgBfAFAAcgBvAGQAdQBjAHQAcwBfAFMAbwB1AHIAYwBlAFwAbgA9AEwAQQBNAEIARABBACgAKABcACIAWABYAFgAWABYAFgAWABcACIAKQApADsAXABuAFwAbgBGAGUAcgB0AGkAbABpAHMAZQByAF8AUAByAG8AZAB1AGMAdABzAF8ARABhAHQAYQAxAFwAbgA9AEwAQQBNAEIARABBACgAXABuACAAIABNAEEASwBFAEEAUgBSAEEAWQAoADMAMQAsACAAMgAwACwAXABuACAAIAAgACAATABBAE0AQgBEAEEAKAByACwAYwAsAFwAbgAgACAAIAAgACAAIABJAE4ARABFAFgAKAB7AFwAbgAgACAAIAAgACAAIAAgACAAXAAiAFAAcgBvAGQAdQBjAHQAXAAiACwAIABcACIASQBuAGcAcgBlAGQAaQBlAG4AdAAgADEAXAAiACwAIABcACIASQBuAGcAcgBlAGQAaQBlAG4AdAAgADEAIABwAGUAcgBjAGUAbgB0AFwAIgAsACAAXAAiAEkAbgBnAHIAZQBkAGkAZQBuAHQAIAAxACAAcwBvAHUAcgBjAGUAXAAiACwAIABcACIASQBuAGcAcgBlAGQAaQBlAG4AdAAgADIAXAAiACwAIABcACIASQBuAGcAcgBlAGQAaQBlAG4AdAAgADIAIABwAGUAcgBjAGUAbgB0AFwAIgAsACAAXAAiAEkAbgBnAHIAZQBkAGkAZQBuAHQAIAAyACAAcwBvAHUAcgBjAGUAXAAiACwAIABcACIASQBuAGcAcgBlAGQAaQBlAG4AdAAgADMAXAAiACwAIABcACIASQBuAGcAcgBlAGQAaQBlAG4AdAAgADMAIABwAGUAcgBjAGUAbgB0AFwAIgAsACAAXAAiAEkAbgBnAHIAZQBkAGkAZQBuAHQAIAAzACAAcwBvAHUAcgBjAGUAXAAiACwAIABcACIASQBuAGcAcgBlAGQAaQBlAG4AdAAgADQAXAAiACwAIABcACIASQBuAGcAcgBlAGQAaQBlAG4AdAAgADQAIABwAGUAcgBjAGUAbgB0AFwAIgAsACAAXAAiAEkAbgBnAHIAZQBkAGkAZQBuAHQAIAA0ACAAcwBvAHUAcgBjAGUAXAAiACwAIABcACIASQBuAGcAcgBlAGQAaQBlAG4AdAAgADUAXAAiACwAIABcACIASQBuAGcAcgBlAGQAaQBlAG4AdAAgADUAIABwAGUAcgBjAGUAbgB0AFwAIgAsACAAXAAiAEkAbgBnAHIAZQBkAGkAZQBuAHQAIAA1ACAAcwBvAHUAcgBjAGUAXAAiACwAIABcACIASQBuAGcAcgBlAGQAaQBlAG4AdAAgADYAXAAiACwAIABcACIASQBuAGcAcgBlAGQAaQBlAG4AdAAgADYAIABwAGUAcgBjAGUAbgB0AFwAIgAsACAAXAAiAEkAbgBnAHIAZQBkAGkAZQBuAHQAIAA2ACAAcwBvAHUAcgBjAGUAXAAiACwAIABcACIAUAByAG8AZAB1AGMAdAAgAGkAbgBmAG8AIABsAGkAbgBrAFwAIgA7AFwAbgAgACAAIAAgACAAIAAgACAAXAAiADcANQAlACAATQBBAFAAIAAyADUAJQAgAE0ATwBQAFwAIgAsACAAXAAiAE0AbwBuAG8AYQBtAG0AbwBuAGkAdQBtACAAcABoAG8AcwBwAGgAYQB0AGUAIAAoAE0AQQBQACkAXAAiACwAIAAwAC4ANwA1ACwAIABcACIATABvAGMAYQB0AGkAbwBuACAAbgBvAHQAIABzAHAAZQBjAGkAZgBpAGUAZABcACIALAAgAFwAIgBNAHUAcgBpAGEAdABlACAAbwBmACAAUABvAHQAYQBzAGgAIAAoAE0ATwBQACAALwAgAEsAQwBMACkAXAAiACwAIAAwAC4AMgA1ACwAIABcACIATABvAGMAYQB0AGkAbwBuACAAbgBvAHQAIABzAHAAZQBjAGkAZgBpAGUAZABcACIALAAgAFwAIgBcACIALAAgAFwAIgBcACIALAAgAFwAIgBcACIALAAgAFwAIgBcACIALAAgAFwAIgBcACIALAAgAFwAIgBcACIALAAgAFwAIgBcACIALAAgAFwAIgBcACIALAAgAFwAIgBcACIALAAgAFwAIgBcACIALAAgAFwAIgBcACIALAAgAFwAIgBcACIALAAgAFwAIgBcACIAOwBcAG4AIAAgACAAIAAgACAAIAAgAFwAIgA3ADUAJQAgAFUAcgBlAGEAIAAyADUAJQAgAE0ATwBQAFwAIgAsACAAXAAiAFUAcgBlAGEAXAAiACwAIAAwAC4ANwA1ACwAIABcACIATABvAGMAYQB0AGkAbwBuACAAbgBvAHQAIABzAHAAZQBjAGkAZgBpAGUAZABcACIALAAgAFwAIgBNAHUAcgBpAGEAdABlACAAbwBmACAAUABvAHQAYQBzAGgAIAAoAE0ATwBQACAALwAgAEsAQwBMACkAXAAiACwAIAAwAC4AMgA1ACwAIABcACIATABvAGMAYQB0AGkAbwBuACAAbgBvAHQAIABzAHAAZQBjAGkAZgBpAGUAZABcACIALAAgAFwAIgBcACIALAAgAFwAIgBcACIALAAgAFwAIgBcACIALAAgAFwAIgBcACIALAAgAFwAIgBcACIALAAgAFwAIgBcACIALAAgAFwAIgBcACIALAAgAFwAIgBcACIALAAgAFwAIgBcACIALAAgAFwAIgBcACIALAAgAFwAIgBcACIALAAgAFwAIgBcACIALAAgAFwAIgBcACIAOwBcAG4AIAAgACAAIAAgACAAIAAgAFwAIgA4ADAAJQAgAFUAcgBlAGEAIAAyADAAJQAgAE0AQQBQAFwAIgAsACAAXAAiAFUAcgBlAGEALQBBAG0AbQBvAG4AaQB1AG0AIABOAGkAdAByAGEAdABlACAAKABVAEEATgApAFwAIgAsACAAMAAuADgALAAgAFwAIgBDAGgAaQBuAGEAXAAiACwAIABcACIATQBvAG4AbwBhAG0AbQBvAG4AaQB1AG0AIABwAGgAbwBzAHAAaABhAHQAZQAgACgATQBBAFAAKQBcACIALAAgADAALgAyACwAIABcACIATABvAGMAYQB0AGkAbwBuACAAbgBvAHQAIABzAHAAZQBjAGkAZgBpAGUAZABcACIALAAgAFwAIgBcACIALAAgAFwAIgBcACIALAAgAFwAIgBcACIALAAgAFwAIgBcACIALAAgAFwAIgBcACIALAAgAFwAIgBcACIALAAgAFwAIgBcACIALAAgAFwAIgBcACIALAAgAFwAIgBcACIALAAgAFwAIgBcACIALAAgAFwAIgBcACIALAAgAFwAIgBcACIALAAgAFwAIgBcACIAOwBcAG4AIAAgACAAIAAgACAAIAAgAFwAIgBBAGMAdABpAHYAYQB0AGUAIABOAFwAIgAsACAAXAAiAE4AaQB0AHIAbwBnAGUAbgAgAC0AIABBAG0AbQBvAG4AaQBhAGMAYQBsAFwAIgAsACAAMAAuADAANwAxACwAIABcACIATABvAGMAYQB0AGkAbwBuACAAbgBvAHQAIABzAHAAZQBjAGkAZgBpAGUAZABcACIALAAgAFwAIgBOAGkAdAByAG8AZwBlAG4AIAAtACAATgBpAHQAcgBhAHQAZQBcACIALAAgADAALgAwADAANgAsACAAXAAiAEwAbwBjAGEAdABpAG8AbgAgAG4AbwB0ACAAcwBwAGUAYwBpAGYAaQBlAGQAXAAiACwAIABcACIATgBpAHQAcgBvAGcAZQBuACAALQAgAFUAcgBlAGkAYwBcACIALAAgADAALgAwADkAMwAsACAAXAAiAEwAbwBjAGEAdABpAG8AbgAgAG4AbwB0ACAAcwBwAGUAYwBpAGYAaQBlAGQAXAAiACwAIABcACIAUABoAG8AcwBwAGgAbwByAHUAcwAgAC0AIABHAGUAbgBlAHIAaQBjAFwAIgAsACAAMAAuADAAMQAsACAAXAAiAEwAbwBjAGEAdABpAG8AbgAgAG4AbwB0ACAAcwBwAGUAYwBpAGYAaQBlAGQAXAAiACwAIABcACIAUABvAHQAYQBzAHMAaQB1AG0AIAAtACAARwBlAG4AZQByAGkAYwBcACIALAAgADAALgAwADQALAAgAFwAIgBMAG8AYwBhAHQAaQBvAG4AIABuAG8AdAAgAHMAcABlAGMAaQBmAGkAZQBkAFwAIgAsACAAXAAiAFMAdQBsAGYAdQByACAALQAgAEcAZQBuAGUAcgBpAGMAXAAiACwAIAAwAC4AOAAyACwAIABcACIATABvAGMAYQB0AGkAbwBuACAAbgBvAHQAIABzAHAAZQBjAGkAZgBpAGUAZABcACIALAAgAFwAIgBBAGMAdABpAHYAZQAgAE4AIAAoAEwAYQB3AG4AcAByAGkAZABlAC4AYwBvAG0ALgBhAHUAKQBcACIAOwBcAG4AIAAgACAAIAAgACAAIAAgAFwAIgBBAGMAdABpAHYAaQBzAHQAIABNAGEAeAAgAFoAaQBuAGMAXAAiACwAIABcACIATgBpAHQAcgBvAGcAZQBuACAALQAgAEcAZQBuAGUAcgBpAGMAXAAiACwAIAAwAC4AMAA3ACwAIABcACIATABvAGMAYQB0AGkAbwBuACAAbgBvAHQAIABzAHAAZQBjAGkAZgBpAGUAZABcACIALAAgAFwAIgBaAGkAbgBjACAALQAgAEcAZQBuAGUAcgBpAGMAXAAiACwAIAAwAC4ANwAsACAAXAAiAEwAbwBjAGEAdABpAG8AbgAgAG4AbwB0ACAAcwBwAGUAYwBpAGYAaQBlAGQAXAAiACwAIABcACIAXAAiACwAIABcACIAXAAiACwAIABcACIAXAAiACwAIABcACIAXAAiACwAIABcACIAXAAiACwAIABcACIAXAAiACwAIABcACIAXAAiACwAIABcACIAXAAiACwAIABcACIAXAAiACwAIABcACIAXAAiACwAIABcACIAXAAiACwAIABcACIAXAAiACwAIABcACIAQQBDAFQASQBWAEkAUwBUAC0ATQBBAFgALgBwAGQAZgAgACgAYQBnAHIAaQBjAGgAZQBtAC4AYwBvAG0ALgBhAHUAKQBcACIAOwBcAG4AIAAgACAAIAAgACAAIAAgAFwAIgBBAGcAZgBsAG8AdwBcACIALAAgAFwAIgBOAGkAdAByAG8AZwBlAG4AIAAtACAARwBlAG4AZQByAGkAYwBcACIALAAgADAALgAxADIAOQAsACAAXAAiAEwAbwBjAGEAdABpAG8AbgAgAG4AbwB0ACAAcwBwAGUAYwBpAGYAaQBlAGQAXAAiACwAIABcACIAUABoAG8AcwBwAGgAbwByAHUAcwAgAC0AIABHAGUAbgBlAHIAaQBjAFwAIgAsACAAMAAuADEANwA3ACwAIABcACIATABvAGMAYQB0AGkAbwBuACAAbgBvAHQAIABzAHAAZQBjAGkAZgBpAGUAZABcACIALAAgAFwAIgBTAHUAbABmAHUAcgAgAC0AIABHAGUAbgBlAHIAaQBjAFwAIgAsACAAMAAuADAANgAsACAAXAAiAEwAbwBjAGEAdABpAG8AbgAgAG4AbwB0ACAAcwBwAGUAYwBpAGYAaQBlAGQAXAAiACwAIABcACIAXAAiACwAIABcACIAXAAiACwAIABcACIAXAAiACwAIABcACIAXAAiACwAIABcACIAXAAiACwAIABcACIAXAAiACwAIABcACIAXAAiACwAIABcACIAXAAiACwAIABcACIAXAAiACwAIABcACIAQwBTAEIAUAAgAEgAaQBnAGgAIAAvACAATQBhAGkAbgB0AGUAbgBhAG4AYwBlACAAUwBcACIAOwBcAG4AIAAgACAAIAAgACAAIAAgAFwAIgBBAGcAZgBsAG8AdwAgAEIAbwBvAHMAdABcACIALAAgAFwAIgBOAGkAdAByAG8AZwBlAG4AIAAtACAARwBlAG4AZQByAGkAYwBcACIALAAgADAALgAxADIAMQAsACAAXAAiAEwAbwBjAGEAdABpAG8AbgAgAG4AbwB0ACAAcwBwAGUAYwBpAGYAaQBlAGQAXAAiACwAIABcACIAUABoAG8AcwBwAGgAbwByAHUAcwAgAC0AIABHAGUAbgBlAHIAaQBjAFwAIgAsACAAMAAuADEAOQA4ACwAIABcACIATABvAGMAYQB0AGkAbwBuACAAbgBvAHQAIABzAHAAZQBjAGkAZgBpAGUAZABcACIALAAgAFwAIgBTAHUAbABmAHUAcgAgAC0AIABHAGUAbgBlAHIAaQBjAFwAIgAsACAAMAAuADAANAAxACwAIABcACIATABvAGMAYQB0AGkAbwBuACAAbgBvAHQAIABzAHAAZQBjAGkAZgBpAGUAZABcACIALAAgAFwAIgBcACIALAAgAFwAIgBcACIALAAgAFwAIgBcACIALAAgAFwAIgBcACIALAAgAFwAIgBcACIALAAgAFwAIgBcACIALAAgAFwAIgBcACIALAAgAFwAIgBcACIALAAgAFwAIgBcACIALAAgAFwAIgBDAFMAQgBQACAASABpAGcAaAAgAC8AIABNAGEAaQBuAHQAZQBuAGEAbgBjAGUAIABTAFwAIgA7AFwAbgAgACAAIAAgACAAIAAgACAAXAAiAEEAZwBmAGwAbwB3ACAAQgBvAG8AcwB0ACAARQB4AHQAcgBhAFwAIgAsACAAXAAiAE4AaQB0AHIAbwBnAGUAbgAgAC0AIABHAGUAbgBlAHIAaQBjAFwAIgAsACAAMAAuADEAMgAsACAAXAAiAEwAbwBjAGEAdABpAG8AbgAgAG4AbwB0ACAAcwBwAGUAYwBpAGYAaQBlAGQAXAAiACwAIABcACIAUABoAG8AcwBwAGgAbwByAHUAcwAgAC0AIABHAGUAbgBlAHIAaQBjAFwAIgAsACAAMAAuADEAOQA3ACwAIABcACIATABvAGMAYQB0AGkAbwBuACAAbgBvAHQAIABzAHAAZQBjAGkAZgBpAGUAZABcACIALAAgAFwAIgBTAHUAbABmAHUAcgAgAC0AIABHAGUAbgBlAHIAaQBjAFwAIgAsACAAMAAuADAANAAsACAAXAAiAEwAbwBjAGEAdABpAG8AbgAgAG4AbwB0ACAAcwBwAGUAYwBpAGYAaQBlAGQAXAAiACwAIABcACIAXAAiACwAIABcACIAXAAiACwAIABcACIAXAAiACwAIABcACIAXAAiACwAIABcACIAXAAiACwAIABcACIAXAAiACwAIABcACIAXAAiACwAIABcACIAXAAiACwAIABcACIAXAAiACwAIABcACIAQwBTAEIAUAAgAEgAaQBnAGgAIAAvACAATQBhAGkAbgB0AGUAbgBhAG4AYwBlACAAUwBcACIAOwBcAG4AIAAgACAAIAAgACAAIAAgAFwAIgBBAGcATg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IAGkAZwBoACAALwAgAE0AYQBpAG4AdABlAG4AYQBuAGMAZQAgAFMAXAAiADsAXABuACAAIAAgACAAIAAgACAAIABcACIAQQBsAGwAUwB0AGE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QBtAGkAdAAgAEYAZQByAHQAaQBsAGkAegBlAHIAcwBcACIAOwBcAG4AIAAgACAAIAAgACAAIAAgAFwAIgBBAG0AbQBvACAAMwA2AFwAIgAsACAAXAAiAFUAcgBlAGEAXAAiACwAIAAwAC4ANAAsACAAXAAiAEwAbwBjAGEAdABpAG8AbgAgAG4AbwB0ACAAcwBwAGUAYwBpAGYAaQBlAGQAXAAiACwAIABcACIAUwB1AGwAcABoAGEAdABlACAAbwBmACAAQQBtAG0AbwBuAGkAYQAgACgAUwBPAEEAKQBcACIALAAgADAALgA2ACwAIABcACIATABvAGMAYQB0AGkAbwBuACAAbgBvAHQAIABzAHAAZQBjAGkAZgBpAGUAZABcACIALAAgAFwAIgBcACIALAAgAFwAIgBcACIALAAgAFwAIgBcACIALAAgAFwAIgBcACIALAAgAFwAIgBcACIALAAgAFwAIgBcACIALAAgAFwAIgBcACIALAAgAFwAIgBcACIALAAgAFwAIgBcACIALAAgAFwAIgBcACIALAAgAFwAIgBcACIALAAgAFwAIgBcACIALAAgAFwAIgBSAGEAdgBlAG4AcwBkAG8AdwBuAFwAIgA7AFwAbgAgACAAIAAgACAAIAAgACAAXAAiAEEAcABlAHgAIABHAGEASQBYAGUAIABMAG8AdwAgAFAAIAAyADEALQAxAC0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GEAaQBsAGUAeQBzACAAYwBvAG4AdAByAG8AbABsAGUAZAAgAHIAZQBsAGUAYQBzAGUAIABmAGUAcgB0AGkAbABpAHMAZQByAHMAXAAiADsAXABuACAAIAAgACAAIAAgACAAIABcACIAQgBpAGcAIABO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IAaQBnACAATgAgAEEAbgBoAHkAZAByAG8AdQBzACAAYQBtAG0AbwBuAGkAYQAgAE4ASAAzAFwAIgA7AFwAbgAgACAAIAAgACAAIAAgACAAXAAiAEIAaQBnACAAUABoAG8Ac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RgBlAHIAdABpAGwAaQBzAGUAcgBzACAAUAB1AGwAcwBlACAAYQBuAGQAIABMAHUAcABpAG4AcwBcACIAOwBcAG4AIAAgACAAIAAgACAAIAAgAFwAIgBDAGEAbQBwAGIAZQBsAGwAcwAgAFEAdQBpAGMAawAtAE4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QB1AGkAYwBrACAALQAgAE4AIAB8ACAAQwBhAG0AcABiAGUAbABsAHMAIABGAGUAcgB0AGkAbABpAHMAZQByAHMAIABBAHUAcwB0AHIAYQBsAGkAYQBcACIAOwBcAG4AIAAgACAAIAAgACAAIAAgAFwAIgBDAEsAIAA1ADUAIABBAG0AZQBsAGkAbwByAGEAbgB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AAYQBjAGkAZgBpAGMAIABGAGUAcgB0AGkAbABpAHMAZQByAHMAIABDAHIAbwBwACAASwBpAG4AZwBcACIAOwBcAG4AIAAgACAAIAAgACAAIAAgAFwAIgBDAHIAbwBwACAAQgBvAG8AcwB0AGUAcgAgAFAAbAB1AH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MACAAVABFAEMAIABGAGUAcgB0AGkAbABpAHMAZQByAHMAIABDAHIAbwBwACAAQgBvAG8AcwB0AGUAcgAgAFAAbAB1AHMAXAAiADsAXABuACAAIAAgACAAIAAgACAAIABcACIARABB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TQBvAHUAbgB0AEMAbwBtAHAAYQBzAHMAIABGAGUAcgB0AGkAbABpAHMAZQByAHMAIABCAGwAZQBuAGQAcwBcACIAOwBcAG4AIAAgACAAIAAgACAAIAAgAFwAIgBEAEEAUABTAFo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QBtAGkAdAAgAEYAZQByAHQAaQBsAGkAegBlAHIAcwBcACIAOwBcAG4AIAAgACAAIAAgACAAIAAgAFwAIgBFAGEAcwB5ACAATgAgAEIAdQBsAGs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FAG4AdABlAGMAIABVAHIAZQ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4AdQB0AHUAcgBmACAAVQByAGUAYQAgAEcAcgBhAG4AdQBsAGEAcgBcACIAOwBcAG4AIAAgACAAIAAgACAAIAAgAFwAIgBFAHoAeQBmAGwAbwB3ACAATgBhAG4AbwAgAEMAYQBsAGIAdQBk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UAegB5AEYAbABvAHcAIABOAGEAbgBvACAAQwBhAGwAYgB1AGQAIAB8ACAATABvAHYAZQBsAGEAbgBkACAAKABsAG8AdgBlAGwAYQBuAGQAYQBnAHIAaQBwAHIAbwBkAHUAYwB0AHMALgBjAG8AbQAuAGEAdQApAFwAIgA7AFwAbgAgACAAIAAgACAAIAAgACAAXAAiAEYAbABlAHgAaQAtAE4AIABOAEkAIABvAG4AbAB5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YQB2AGUAbgBzAGQAbwB3AG4AXAAiADsAXABuACAAIAAgACAAIAAgACAAIABcACIARwBsAHkAdAByAGUAbAAgAFoAbgBQACAAMAAtADcALQ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kAYQByAGEAVgBpAHQAYQAgAEcAbAB5AHQAcgBlAGwAIABaAG4AUABcACIAOwBcAG4AIAAgACAAIAAgACAAIAAgAFwAIgBHAHIAYQBuAC0AQQ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yAGEAbgB1AGwAbwBjAGsAIABT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HAHIAYQBuAHUAbABvAGMAawAgAFo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HAHIAZQBlAG4AIABVAHIAZQBhACAATgB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5AHAAcwB1AG0AIABTAHUAbABwAGgAdQB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cAeQBwAHMAdQBtACAASQBuAGMAaQB0AGUAYwAgAFAAaQB2AG8AdAAgAEYAZQByAHQAaQBsAGkAcwBlAHIAcwBcACIAOwBcAG4AIAAgACAAIAAgACAAIAAgAFwAIgBJAG4AdgBpAGcAbwByADgAIAAwAC0AMwA3AC0AMwA3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cAZQBuAGUAcwBpAHMAIABBAEcAXAAiAFwAbgAgACAAIAAgACAAIAB9ACwAIAByACwAIABjACkAXABuACkAKQApADsAXABuAFwAbgBGAGUAcgB0AGkAbABpAHMAZQByAF8AUAByAG8AZAB1AGMAdABzAF8ARABhAHQAYQAyAFwAbgA9AEwAQQBNAEIARABBACgAXABuACAAIABNAEEASwBFAEEAUgBSAEEAWQAoADMAMQAsACAAMgAwACwAXABuACAAIAAgACAATABBAE0AQgBEAEEAKAByACwAYwAsAFwAbgAgACAAIAAgACAAIABJAE4ARABFAFgAKAB7AFwAbgAgACAAIAAgACAAIAAgACAAXAAiAFAAcgBvAGQAdQBjAHQAXAAiACwAIABcACIASQBuAGcAcgBlAGQAaQBlAG4AdAAgADEAXAAiACwAIABcACIASQBuAGcAcgBlAGQAaQBlAG4AdAAgADEAIABwAGUAcgBjAGUAbgB0AFwAIgAsACAAXAAiAEkAbgBnAHIAZQBkAGkAZQBuAHQAIAAxACAAcwBvAHUAcgBjAGUAXAAiACwAIABcACIASQBuAGcAcgBlAGQAaQBlAG4AdAAgADIAXAAiACwAIABcACIASQBuAGcAcgBlAGQAaQBlAG4AdAAgADIAIABwAGUAcgBjAGUAbgB0AFwAIgAsACAAXAAiAEkAbgBnAHIAZQBkAGkAZQBuAHQAIAAyACAAcwBvAHUAcgBjAGUAXAAiACwAIABcACIASQBuAGcAcgBlAGQAaQBlAG4AdAAgADMAXAAiACwAIABcACIASQBuAGcAcgBlAGQAaQBlAG4AdAAgADMAIABwAGUAcgBjAGUAbgB0AFwAIgAsACAAXAAiAEkAbgBnAHIAZQBkAGkAZQBuAHQAIAAzACAAcwBvAHUAcgBjAGUAXAAiACwAIABcACIASQBuAGcAcgBlAGQAaQBlAG4AdAAgADQAXAAiACwAIABcACIASQBuAGcAcgBlAGQAaQBlAG4AdAAgADQAIABwAGUAcgBjAGUAbgB0AFwAIgAsACAAXAAiAEkAbgBnAHIAZQBkAGkAZQBuAHQAIAA0ACAAcwBvAHUAcgBjAGUAXAAiACwAIABcACIASQBuAGcAcgBlAGQAaQBlAG4AdAAgADUAXAAiACwAIABcACIASQBuAGcAcgBlAGQAaQBlAG4AdAAgADUAIABwAGUAcgBjAGUAbgB0AFwAIgAsACAAXAAiAEkAbgBnAHIAZQBkAGkAZQBuAHQAIAA1ACAAcwBvAHUAcgBjAGUAXAAiACwAIABcACIASQBuAGcAcgBlAGQAaQBlAG4AdAAgADYAXAAiACwAIABcACIASQBuAGcAcgBlAGQAaQBlAG4AdAAgADYAIABwAGUAcgBjAGUAbgB0AFwAIgAsACAAXAAiAEkAbgBnAHIAZQBkAGkAZQBuAHQAIAA2ACAAcwBvAHUAcgBjAGUAXAAiACwAIABcACIAUAByAG8AZAB1AGMAdAAgAGkAbgBmAG8AIABsAGkAbgBrAFwAIgA7AFwAbgAgACAAIAAgACAAIAAgACAAXAAiAE0AYQBuAGcAYQBuAGUAcwBlACAAUwB1AGwAcABoAGEAdABl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TQBB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NAEEAUAAgAEkAbQBwAGEAYwB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QBwAGEAYwB0ACAAZgBlAHIAdABpAGwAaQBzAGUAcgBzAFwAIgA7AFwAbgAgACAAIAAgACAAIAAgACAAXAAiAE0AQQBQAFMAWg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QBtAG0AaQB0ACAARgBlAHIAdABpAGwAaQB6AGUAcgBzAFwAIgA7AFwAbgAgACAAIAAgACAAIAAgACAAXAAiAE0AYQB4AGkAbQB1AG0AIABOAC0AUABhAGMAdAAgADIAOQAtADAALQ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0AYQB4AGkAbQB1AG0AIABOAC0AUABhAGMAdAAgAHwAIABMAG8AdgBlAGwAYQBuAGQAIAAoAGwAbwB2AGUAbABhAG4AZABhAGcAcgBpAHAAcgBvAGQAdQBjAHQAcwAuAGMAbwBtAC4AYQB1ACkAXAAiADsAXABuACAAIAAgACAAIAAgACAAIABcACIATQBpAGMAcgBvAHMAbwBsACAAMQAyAC0ANgAtADQ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pAGMAcgBvAHMAbwBsACAAMQA2AC0AMwAyAC0AMQA2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aQBnAGIAeQB0AGEAeQBsAG8AcgAgAE0AaQBjAHIAbwBzAG8AbAAgAFIAYQBuAGcAZQBcACIAOwBcAG4AIAAgACAAIAAgACAAIAAgAFwAIgBNAGkAYwByAG8AcwBvAGwAIAAyADUALQA1AC0AMQ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aQBnAGIAeQB0AGEAeQBsAG8AcgAgAE0AaQBjAHIAbwBzAG8AbAAgAFIAYQBuAGcAZQBcACIAOwBcAG4AIAAgACAAIAAgACAAIAAgAFwAIgBNAGkAYwByAG8AcwBvAGwAIAAyADgALQAwAC0AMQA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aQBnAGIAeQB0AGEAeQBsAG8AcgAgAE0AaQBjAHIAbwBzAG8AbAAgAFIAYQBuAGcAZQBcACIAOwBcAG4AIAAgACAAIAAgACAAIAAgAFwAIgBNAG8AbgBvACAAUABvAHQAYQBzAHMAaQB1AG0AIABQAGgAbwBzAHAAaABhAHQAZQAgAE0ASw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wBhAG4AYwByAG8AcABcACIAOwBcAG4AIAAgACAAIAAgACAAIAAgAFwAIgBNAHUAcgBpAGEAdABlACAATwBmACAAUABvAHQAYQBzAGgAIABNAE8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NAG8AdQBuAHQAQwBvAG0AcABhAHMAcwAgAEYAZQByAHQAaQBsAGkAcwBlAHIAcwAgAEIAbABlAG4AZABzAFwAIgA7AFwAbgAgACAAIAAgACAAIAAgACAAXAAiAE4AaQB0AHIAbwBQAGwAdQBz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EAZwByAG8AUwB0AG8AYwBrACAARwByAG8AdQBwACAATgBpAHQAcgBvACAAUABsAHUAcwBcACIAOwBcAG4AIAAgACAAIAAgACAAIAAgAFwAIgBOAHUAdAByAGEARwBvAGwAZ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cAYQBuAGMAcgBvAHAAXAAiADsAXABuACAAIAAgACAAIAAgACAAIABcACIAUAByAG8AIABQAGUAcgBmAG8AcgBtAGEAbgBjAGUAIAAxADgALQAzAC0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QAHIAbwAgAFQAdQByAGYAIABGAG8AcgBtAHUAbABhAFwAIgA7AFwAbgAgACAAIAAgACAAIAAgACAAXAAiAFMATwBB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0AbwB1AG4AdABDAG8AbQBwAGEAcwBzACAARgBlAHIAdABpAGwAaQBzAGUAcgBzACAAQgBsAGUAbgBkAHMAXAAiADsAXABuACAAIAAgACAAIAAgACAAIABcACIAUwBT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tAHAAYQBjAHQAIABmAGUAcgB0AGkAbABpAHMAZQByAHMAXAAiADsAXABuACAAIAAgACAAIAAgACAAIABcACIAUwB1AHAAZQByACAAUABoAG8Ac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UwB1AHAAZQByACAAUABIAE8AUwBcACIAOwBcAG4AIAAgACAAIAAgACAAIAAgAFwAIgBTAHUAcABlAHIAIABTAFIAIABFAHgAdAByAG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FMAdQBwAGUAcgAgAFAAbwB0AGEAcwBoAFwAIgA7AFwAbgAgACAAIAAgACAAIAAgACAAXAAiAFMAdQBQAGUAcgBmAGUAYwB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UwB1AHAAZQByAFAAYQBzAHQAdQByAGUAIABQAG8AdABhAHMAaAAgADUAOgAx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TAHUAcABlAHIAIABQAG8AdABhAHMAaABcACIAOwBcAG4AIAAgACAAIAAgACAAIAAgAFwAIgBUAHIAYQBjAGUALQBpAHQAIABNAG4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hAG0AcABiAGUAbABsAHMAIABmAGUAcgB0AGkAbABpAHMAZQByAHMAIABBAHUAcwB0AHIAYQBsAGkAYQBcACIAOwBcAG4AIAAgACAAIAAgACAAIAAgAFwAIgBVAG4AaQBTAFoAbwBu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cAZQBuAGcAZgB1AEEAdQBzAHQAcgBhAGwAaQBhACAAdQBuAGkAUwBaAG8AbgBcACIAOwBcAG4AIAAgACAAIAAgACAAIAAgAFwAIgBVAHIAZQ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AAcgBvAGQAdQBjAHQAQwBhAHIAZABfAEEAZABlAGwAYQBpAGQAZQBfAHcAZQBiAC4AcABkAGYAIAAoAGkAbgBjAGkAdABlAGMAcABpAHYAbwB0AGYAZQByAHQAaQBsAGkAcwBlAHIAcwAuAGMAbwBtAC4AYQB1ACkAXAAiADsAXABuACAAIAAgACAAIAAgACAAIABcACIAVwBlAG4AZwBmAHUAIABTAGwAYQBtACAARwByAGEAbgB1AGwAYQB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AByAGEAaQBnAGgAdABzACAAKAB3AGUAbgBnAGYAdQAuAGMAbwBtAC4AYQB1ACkAXAAiADsAXABuACAAIAAgACAAIAAgACAAIABcACIAWQBhAHIAYQAgAEYAbABvAHcAUABoAG8AcwAgADE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YAbABvAHcAUABoAG8AcwAgADEAMwBa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RgBsAG8AdwBQAGgAbwBzACAAMQA1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RgBsAG8AdwBQAGgAbwBzACAASwBa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BlAHkAUAByAG8AIABUAHIAYQBjAG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GUAeQBQAHIAbwAgAFoAaQBuAG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BcAG4AIAAgACAAIAAgACAAfQAsACAAcgAsACAAYwApAFwAbgApACkAKQA7AFwAbgBcAG4ARgBlAHIAdABpAGwAaQBzAGUAcgBfAFAAcgBvAGQAdQBjAHQAcwBfAEQAYQB0AGEAMwBcAG4APQBMAEEATQBCAEQAQQAoAFwAbgAgACAATQBBAEsARQBBAFIAUgBBAFkAKAAzADE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BZAGEAcgBhACAASwAtAEYAbABvAHcAIAAwAC0AMAAtADEAN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LQBGAGwAbwB3ACAAMAAtADEANAAtADM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LQBGAGwAbwB3ACAAMAAtADcALQAz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C0ARgBsAG8AdwAgADEAMwAtADAALQA3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AtAEYAbABvAHcAIAA0AC0AMAAtADEAM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NAEkAQwBSAE8ALQBTAFU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I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IAN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I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QAM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QwBBAEwAIAAxADUAKwAxADgAQw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DAEEATAAgADIAMAArADEAMABDAGEAKwBC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DAEEATAAgADMANQArADYAQw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GAE8ATAAgADI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RgBPAEwAIAAyADQAKwBUAE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UAAtAEYATwBMACAAWgBpAG4AY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xADEALQAwAC0AMAArADEAMg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MAVQBMAFMAQQAgADIANAAtADMALQAwACsANg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MAVQBMAFMAQQAgADIANwAtADAALQAwACsAN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MAVQBMAFMAQQAgADMANgAtADAALQAwACsAM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wAaQB2AGEAIABDAEEATABDAEkATgBJAFQAIABC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wAaQB2AGEAIABOAEkAVABSAEEAQgBPAF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WQBhAHIAYQBMAGkAdgBhACAATgBJAFQAUgBBAEIATwBSACAAfAAgAFkAYQByAGEAIABBAHUAcwB0AHIAYQBsAGkAYQBcACIAOwBcAG4AIAAgACAAIAAgACAAIAAgAFwAIgBZAGEAcgBhAEwAaQB2AGEAIABUAFIATwBQAEkAQwBPAFQAR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NAGkAbABhACAAQwBvAG0AcABsAGUAe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NAGkAbABhACAAQwBvAG0AcABsAGUAeAAgADEANwAtADUALQAxADAAKAA0ACk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EMAbwBtAHAAbABlAHgAIAAyADEALQA3AC0AMwAoADQAK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NAGkAbABhACAAVQBOAEkAVgBFAFIAUwBB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UgBlAGcAYQAgADEAMwAtADIALQAyAD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IATwBSAFQAUgBB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IAUgBBAFMAUwBJAFQAUgBFAEwAIABEAE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BcAG4AIAAgACAAIAAgACAAfQAsACAAcgAsACAAYwApAFwAbgApACkAKQA7AFwAbgBcAG4ARgBlAHIAdABpAGwAaQBzAGUAcgBfAFAAcgBvAGQAdQBjAHQAcwBfAEQAYQB0AGEANABcAG4APQBMAEEATQBCAEQAQQAoAFwAbgAgACAATQBBAEsARQBBAFIAUgBBAFkAKAAxADY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BZAGEAcgBhAFYAaQB0AGEAIABCAFIAQQBTAFMASQBUAFIARQBMACAAUABSAE8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IAVQBEACAAQgBVAEkATABEAEUAUgAgAEY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RgBSAFUAVABSAEU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RwBMAFkAVABSAEUATAAgAFoAbg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HAFIAQQBNAEkAVABSAEU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SwBPAE0AQgBJAFAASABP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0AQQBOAEcAWgBJAE4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TQBPAEwAWQBUAFIAQQ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TAEUATgBJAFAASABP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FoASQBOAFQAUgBB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oAaQBuAGMAIABTAHUAbABwAGgAYQB0AGUAIABNAG8AbgBvAGgAeQBkAHIAYQB0AG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aAGkAbgBjAHMAbwBs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QBsAGYAYQB0AGUAIABaAGkAbgBjAHMAbwBsAFwAIgA7AFwAbgAgACAAIAAgACAAIAAgACAAXAAiAFoAaQBuAGMAUwB0AGE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0AcABhAGMAdAAgAGYAZQByAHQAaQBsAGkAcwBlAHIAcwBcACIAOwBcAG4AIAAgACAAIAAgACAAIAAgAFwAIgBaAE0AQwAtAD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wBlAG0AZwByAG8AIABaAE0AQwAtADEAXAAiADsAXABuACAAIAAgACAAIAAgACAAIABcACIAWgBuACAANwAwADA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HUAdABlAGMAIABaAG4AIAA3ADAAMAAw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OAGEAdABpAG8AbgBhAGwAIABJAG4AdgBlAG4AdABvAHIAeQAgAFIAZQBwAG8AcgB0ACAAMgAwADIAMwAgAFYAbwBsAHUAbQBlACAAMQA6ACAANQAuADgALgAyACAATQBlAHQAaABvAGQAbwBsAG8AZwBpAGMAYQBsACAAaQBzAHMAdQBlAHMALAAgAGUAcQB1AGEAdABpAG8AbgAgADMARwBfADEAXAAiACkAKQA7AFwAbgBcAG4ARgBlAHIAdABpAGwAaQBzAGUAcgBfAEwAaQBtAGUARABvAGwAbwBtAGkAdABlAEcAeQBwAHMAdQBtAEMAbwBuAHMAdABhAG4AdABzAF8ARABhAHQAYQBcAG4APQBMAEEATQBCAEQAQQAoAFwAbgAgACAATQBBAEsARQBBAFIAUgBBAFkAKAA0ACwAIAAzACwAXABuACAAIAAgACAATABBAE0AQgBEAEEAKAByACwAYwAsAFwAbgAgACAAIAAgACAAIABJAE4ARABFAFgAKAB7AFwAbgAgACAAIAAgACAAIAAgACAAXAAiAEUAbABlAG0AZQBuAHQAXAAiACwAIABcACIAUABcACIALAAgAFwAIgBFAEYAXAAiADsAXABuACAAIAAgACAAIAAgACAAIABcACIATABpAG0AZQAgACgAQwBhAGwAYwBpAHUAbQAgAGMAYQByAGIAbwBuAGEAdABlACkAXAAiACwAIAAwAC4AOQAsACAAMAAuADEAMgA7AFwAbgAgACAAIAAgACAAIAAgACAAXAAiAEQAbwBsAG8AbQBpAHQAZQAgACgATQBhAGcAbgBlAHMAaQB1AG0AIABjAGEAcgBiAG8AbgBhAHQAZQApAFwAIgAsACAAMAAuADkANQAsACAAMAAuADEAMwA7AFwAbgAgACAAIAAgACAAIAAgACAAXAAiAEcAeQBwAHMAdQBtAFwAIgAsACAAMAAsACAAMABcAG4AIAAgACAAIA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wAbwBvAGsAdQBwAEEAcgByAGEAeQAxAD0ATABvAG8AawB1AHAAVABhAHIAZwBlAHQAMQApACwAXABuACAAIAAgACAAYwByAGkAdABlAHIAaQBhADIALABJAEYAKABJAFMATwBNAEkAVABUAEUARAAoAEwAbwBvAGsAdQBwAFQAYQByAGcAZQB0ADIAKQAsADEALAAtAC0AKABMAG8AbwBrAHUAcABBAHIAcgBhAHkAMgA9AEwAbwBvAGsAdQBwAFQAYQByAGcAZQB0ADIAKQApACwAXABuACAAIAAgACAAUwBVAE0AUABSAE8ARABVAEMAVAAoAGMAcgBpAHQAZQByAGkAYQAxACoAYwByAGkAdABlAHIAaQBhADIAKgBBAG0AbwB1AG4AdABBAHAAcABsAGkAZQBk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FwAbgAgACAAIAAg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QAHIAbwBkAHUAYwB0AEkAbgBnAHIAZQBkAGkAZQBuAHQAMQBTAG8AdQByAGMAZQAsAFwAbgAgACAAWwBQAHIAbwBkAHUAYwB0AEkAbgBnAHIAZQBkAGkAZQBuAHQAMgBdACwAXABuACAAIABbAFAAcgBvAGQAdQBjAHQASQBuAGcAcgBlAGQAaQBlAG4AdABQAGUAcgBjAGUAbgB0ADIAXQAsAFwAbgAgACAAWwBQAHIAbwBkAHUAYwB0AEkAbgBnAHIAZQBkAGkAZQBuAHQAMgBTAG8AdQByAGMAZQBdACwAXABuACAAIABbAFAAcgBvAGQAdQBjAHQASQBuAGcAcgBlAGQAaQBlAG4AdAAzAF0ALABcAG4AIAAgAFsAUAByAG8AZAB1AGMAdABJAG4AZwByAGUAZABpAGUAbgB0AFAAZQByAGMAZQBuAHQAMwBdACwAXABuACAAIABbAFAAcgBvAGQAdQBjAHQASQBuAGcAcgBlAGQAaQBlAG4AdAAzAFMAbwB1AHIAYwBlAF0ALABcAG4AIAAgAFsAUAByAG8AZAB1AGMAdABJAG4AZwByAGUAZABpAGUAbgB0ADQAXQAsAFwAbgAgACAAWwBQAHIAbwBkAHUAYwB0AEkAbgBnAHIAZQBkAGkAZQBuAHQAUABlAHIAYwBlAG4AdAA0AF0ALABcAG4AIAAgAFsAUAByAG8AZAB1AGMAdABJAG4AZwByAGUAZABpAGUAbgB0ADQAUwBvAHUAcgBjAGUAXQAsAFwAbgAgACAAWwBQAHIAbwBkAHUAYwB0AEkAbgBnAHIAZQBkAGkAZQBuAHQANQBdACwAXABuACAAIABbAFAAcgBvAGQAdQBjAHQASQBuAGcAcgBlAGQAaQBlAG4AdABQAGUAcgBjAGUAbgB0ADUAXQAsAFwAbgAgACAAWwBQAHIAbwBkAHUAYwB0AEkAbgBnAHIAZQBkAGkAZQBuAHQANQBTAG8AdQByAGMAZQBdACwAXABuACAAIABbAFAAcgBvAGQAdQBjAHQASQBuAGcAcgBlAGQAaQBlAG4AdAA2AF0ALABcAG4AIAAgAFsAUAByAG8AZAB1AGMAdABJAG4AZwByAGUAZABpAGUAbgB0AFAAZQByAGMAZQBuAHQANgBdACwAXABuACAAIABbAFAAcgBvAGQAdQBjAHQASQBuAGcAcgBlAGQAaQBlAG4AdAA2AFMAbwB1AHIAYwBl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AsACAAUwBvAHUAcgBjAGUALAAgAFAAcgBvAGQAdQBjAHQASQBuAGcAcgBlAGQAaQBlAG4AdAAxAFMAbwB1AHIAYwBl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CwAIABTAG8AdQByAGMAZQAsACAAUAByAG8AZAB1AGMAdABJAG4AZwByAGUAZABpAGUAbgB0ADI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AzAFMAbwB1AHIAYwBl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LAAgAFMAbwB1AHIAYwBlACwAIABQAHIAbwBkAHUAYwB0AEkAbgBnAHIAZQBkAGkAZQBuAHQAN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CwAIABTAG8AdQByAGMAZQAsACAAUAByAG8AZAB1AGMAdABJAG4AZwByAGUAZABpAGUAbgB0ADU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A2AFMAbwB1AHIAYwBlAFwAbgAgACAAIAAgACkALAAgADAAKQBcAG4AIAAgACkAXABuACkAOwBcAG4AXABuAEYAZQByAHQAaQBsAGkAcwBlAHIAXwBHAGUAdABTAGMAbwBwAGUAMwBFAEYAXABuAD0ATABBAE0AQgBEAEEAKABcAG4AIAAgACAAIABDAGgAZQBtAGkAYwBhAGwAQwBvAG0AcABvAHUAbgBkACwAIABTAGMAbwBwAGUAMwBBAHIAcgBhAHkALAAgAEMAaABlAG0AaQBjAGEAbABDAG8AbQBwAG8AdQBuAGQAQwBvAGwAdQBtAG4ALAAgAFMAbwB1AHIAYwBlACwAIABTAG8AdQByAGMAZQBSAG8AdwAsAFwAbgAgACAAIAAgAEkATgBEAEUAWAAoAFMAYwBvAHAAZQAzAEEAcgByAGEAeQAsAFwAbgAgACAAIAAgACAAIAAgAE0AQQBUAEMASAAoAEMAaABlAG0AaQBjAGEAbABDAG8AbQBwAG8AdQBuAGQALAAgAEMAaABlAG0AaQBjAGEAbABDAG8AbQBwAG8AdQBuAGQAQwBvAGwAdQBtAG4ALAAgADAAKQAsAFwAbgAgACAAIAAgACAAIAAgAE0AQQBUAEMASAAoAFMAbwB1AHIAYwBlACwAIABTAG8AdQByAGMAZQBSAG8AdwAsACAAMAApAFwAbgAgACAAIAAgACkAXABuACkAOwBcAG4AXABuAEYAZQByAHQAaQBsAGkAcwBlAHIAXwBHAGUAdABDAGgAZQBtAGkAYwBhAGwAQwBvAG0AcABvAHUAbgBkAEUAbABlAG0AZQBuAHQARgByAGEAYwB0AGkAbwBuAFwAbgA9AEwAQQBNAEIARABBACgAXABuACAAIAAgACAAQwBoAGUAbQBpAGMAYQBsAEMAbwBtAHAAbwB1AG4AZAAsACAARQBsAGUAbQBlAG4AdAAsACAAQwBoAGUAbQBpAGMAYQBsAEMAbwBtAHAAbwB1AG4AZABBAHIAcgBhAHkALAAgAEMAaABlAG0AaQBjAGEAbABDAG8AbQBwAG8AdQBuAGQAQwBvAGwAdQBtAG4ALAAgAEUAbABlAG0AZQBuAHQAUgBvAHcALABcAG4AIAAgACAAIABJAE4ARABFAFgAKABDAGgAZQBtAGkAYwBhAGwAQwBvAG0AcABvAHUAbgBkAEEAcgByAGEAeQAsAFwAbgAgACAAIAAgACAAIABNAEEAVABDAEgAKABDAGgAZQBtAGkAYwBhAGwAQwBvAG0AcABvAHUAbgBkACwAIABDAGgAZQBtAGkAYwBhAGwAQwBvAG0AcABvAHUAbgBkAEMAbwBsAHUAbQBuACwAIAAwACkALABcAG4AIAAgACAAIAAgACAATQBBAFQAQwBIACgARQBsAGUAbQBlAG4AdAAsACAARQBsAGUAbQBlAG4AdABSAG8AdwAsACAAMAApAFwAbgAgACAAIAAgACkAXABuACkAOw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z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CAAKABrAGcAIABOACkAXAAiACwAIABcACIAQwBhAGwAYwB1AGwAYQB0AGUAZABcACIAOwBcAG4AIAAgACAAIAAgACAAIAAgACAAIABcACIARQBGAF8AagBOADIATwBcACIALABcACIAZQBtAGkAcwBzAGkAbwBuACAAZgBhAGMAdABvAHIAIABmAG8AcgAgAG4AaQB0AHIAbwB1AHMAIABvAHgAaQBkAGUAIABmAG8AcgAgAGkAbgBvAHIAZwBhAG4AaQBjACAAZgBlAHIAdABpAGwAaQBzAGUAcgBzACAAKABrAGcAIABOADIATwAtAE4ALwBrAGcAIABOACAAYQBwAHAAbABpAGUAZAAp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EMAbwBuAHMAdABhAG4AdABcACIAOwBcAG4AIAAgACAAIAAgACAAIAAgACAAIABcACIAagBcACIALABcACIAUAByAG8AZAB1AGMAdABpAG8AbgAgAHMAeQBzAHQAZQBtAFwAIgAsACAAXAAiAEkAbgBwAHUAdABcACIAOwBcAG4AIAAgACAAIAAgACAAIAAgACAAIABcACIAZgBcACIALABcACIASQBuAG8AcgBnAGEAbgBpAGMAIABmAGUAcgB0AGkAbABpAHMAZQByACAAdAB5AHAAZQBcACIALAAgAFwAIgBDAG8AbgBzAHQAYQBuAHQAXAAiADsAXABuACAAIAAgACAAIAAgACAAIAAgACAAXAAiAGkAcgBcACIALAAgAFwAIgBpAHIAcgBpAGcAYQB0AGkAbwBuACAAbQBlAHQAaABvAGQAXAAiACwAIABcACIASQBuAHAAdQB0AFwAIgA7AFwAbgAgACAAIAAgACAAIAAgACAAIAAgAFwAIgB6AFwAIgAsACAAXAAiAHIAYQBpAG4AZgBhAGwAbAAgAHoAbwBuAGU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Mw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AgACgAawBnACAATgApAFwAIgAsACAAXAAiAEMAYQBsAGMAdQBsAGEAdABlAGQAXAAiADsAXABuACAAIAAgACAAIAAgACAAIAAgACAAXAAiAEUARgBfAGoATgAyAE8AXAAiACwAXAAiAGUAbQBpAHMAcwBpAG8AbgAgAGYAYQBjAHQAbwByACAAZgBvAHIAIABuAGkAdAByAG8AdQBzACAAbwB4AGkAZABlACAAZgBvAHIAIABpAG4AbwByAGcAYQBuAGkAYwAgAGYAZQByAHQAaQBsAGkAcwBlAHIAcwAgACgAawBnACAATgAyAE8ALQBOAC8AawBnACAATgAgAGEAcABwAGwAaQBlAGQAKQ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EMAbwBuAHMAdABhAG4AdABcACIAOwBcAG4AIAAgACAAIAAgACAAIAAgACAAIABcACIAagBcACIALABcACIAUAByAG8AZAB1AGMAdABpAG8AbgAgAHMAeQBzAHQAZQBtAFwAIgAsACAAXAAiAEkAbgBwAHUAdABcACIAOwBcAG4AIAAgACAAIAAgACAAIAAgACAAIABcACIAYwBcACIALABcACIAQwByAG8AcAAgAHQAeQBwAGUAXAAiACwAIABcACIASQBuAHAAdQB0AFwAIgA7AFwAbgAgACAAIAAgACAAIAAgACAAIAAgAFwAIgBmAFwAIgAsAFwAIgBJAG4AbwByAGcAYQBuAGkAYwAgAGYAZQByAHQAaQBsAGkAcwBlAHIAIAB0AHkAcABlAFwAIgAsACAAXAAiAEMAbwBuAHMAdABhAG4AdABcACIAOwBcAG4AIAAgACAAIAAgACAAIAAgACAAIABcACIAaQByAFwAIgAsACAAXAAiAGkAcgByAGkAZwBhAHQAaQBvAG4AIABtAGUAdABoAG8AZABcACIALAAgAFwAIgBJAG4AcAB1AHQAXAAiADsAXABuACAAIAAgACAAIAAgACAAIAAgACAAXAAiAHoAXAAiACwAIABcACIAcgBhAGkAbgBmAGEAbABsACAAegBvAG4AZQ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AAcgBvAGQAdQBjAHQAaQBvAG4AIABzAHkAcwB0AGUAbQBcAG4ATQBOAF8AagBmAFwAbgBrAGcAIABOAFwAbgB7AE0ATgB9AF8AewBqAGYAfQA9AFQATQBfAHsAagBmAH0AXABcAHQAaQBtAGUAcwAgAEYATgBfAHsAaQBuAG8AcgBnAGEAbgBpAGMALABmAH0AXABuAFQATQBfAGoAZgBcAG4ARgBOAF8AaQBuAG8AcgBnAGEAbgBpAGMAZgBcAG4AagBcAG4AaQBuAG8AcgBnAGEAbgBpAGMAXABuAGYAXABuAC0ALQAtAC0ALQAtAC0ALQAtAC0ALQAtAC0ALQAtAC0ALQAtAC0ALQAtAC0ALQAtAC0ALQAtAC0ALQAtAC0ALQAtAC0ALQAtAC0ALQBcAG4AKgAvAFwAbgBcAG4AVgBFAEUAUgBHAF8ANQBfADEAXwAxAF8AMQBfAF8AMgBfAE0AYQBzAHMATwBmAE4AaQB0AHIAbwBnAGUAbgBJAG4ASQBuAG8AcgBnAGEAbgBpAGMARgBlAHIAdABpAGwAaQBzAGUAcgBcAG4AIAAgAD0ATABBAE0AQgBEAEEAKABcAG4AIAAgACAAIABUAE0AXwBqAGYALAAgAEYATgBfAGkAbgBvAHIAZwBhAG4AaQBjAGYALABcAG4AIAAgACAAIABUAE0AXwBqAGYAIAAqACAARgBOAF8AaQBuAG8AcgBnAGEAbgBpAGMAZgBcAG4AIAAgACk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AByAG8AZAB1AGMAdABpAG8AbgAgAHMAeQBzAHQAZQBtAFwAIgApADsAXABuAFwAbgBWAEUARQBSAEcAXwA1AF8AMQBfADEAXwAxAF8AXwAyAF8ATQBhAHMAcwBPAGYATgBpAHQAcgBvAGcAZQBuAEkAbgBJAG4AbwByAGcAYQBuAGkAYwBGAGUAcgB0AGkAbABpAHMAZQByAF8AVgBhAHIAaQBhAGIAbABlAFwAbgAgACAAPQBMAEEATQBCAEQAQQAoAFwAIgBNAE4AXw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FwAIgApADsAXABuAFwAbgBWAEUARQBSAEcAXwA1AF8AMQBfADEAXwAxAF8AXwAyAF8ATQBhAHMAcwBPAGYATgBpAHQAcgBvAGcAZQBuAEkAbgBJAG4AbwByAGcAYQBuAGkAYwBGAGUAcgB0AGkAbABpAHMAZQByAF8ATABhAHQAZQB4AEUAcQB1AGEAdABpAG8AbgBcAG4AIAAgAD0ATABBAE0AQgBEAEEAKABcACIAewBNAE4AfQBfAHsAagBmAH0APQBUAE0AXwB7AGoAZgB9AFwAXAB0AGkAbQBlAHMAIABGAE4AXwB7AGkAbgBvAHIAZwBhAG4AaQBjACwAZgB9AFwAIgApADsAXABuAFwAbgBWAEUARQBSAEcAXwA1AF8AMQBfADEAXwAxAF8AXwAyAF8ATQBhAHMAcwBPAGYATgBpAHQAcgBvAGcAZQBuAEkAbgBJAG4AbwByAGcAYQBuAGkAYwBGAGUAcgB0AGkAbABpAHMAZQByAF8AQQByAGcAdQBtAGUAbgB0AHMAXABuACAAIAA9AEwAQQBNAEIARABBACgAXABuACAAIAAgACAATQBBAEsARQBBAFIAUgBBAFkAKAAyACwAIAAz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CAAKABrAGcAKQBcACIALAAgAFwAIgBJAG4AcAB1AHQAXAAiADsAXABuACAAIAAgACAAIAAgACAAIAAgACAAXAAiAEYATgBfAGkAbgBvAHIAZwBhAG4AaQBjAGYAXAAiACwAXAAiAGYAcgBhAGMAdABpAG8AbgAgAG8AZgAgAG4AaQB0AHIAbwBnAGUAbgAgAGkAbgAgAGkAbgBvAHIAZwBhAG4AaQBjACAAZgBlAHIAdABpAGwAaQBzAGUAcgAgAHQAeQBwAGUAIABmACAAKABrAGcAIABOAC8AawBnACk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M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AgACgAawBnACAATgAvAGgAYQApAFwAIgAsACAAXAAiAEkAbgBwAHUAdABcACIAOwBcAG4AIAAgACAAIAAgACAAIAAgACAAIABcACIAZgBcACIALABcACIASQBuAG8AcgBnAGEAbgBpAGMAIABmAGUAcgB0AGkAbABpAHMAZQByACAAdAB5AHAAZQ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z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AgACgAawBnACAATgAvAGgAYQApAFwAIgAsACAAXAAiAEkAbgBwAHUAdABcACIAOwBcAG4AIAAgACAAIAAgACAAIAAgACAAIABcACIAZgBcACIALABcACIASQBuAG8AcgBnAGEAbgBpAGMAIABmAGUAcgB0AGkAbABpAHMAZQByACAAdAB5AHAAZQ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Mw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IAAoAGsAZwAgAE4ALwBoAGEAKQBcACIALAAgAFwAIgBJAG4AcAB1AHQAXAAiADsAXABuACAAIAAgACAAIAAgACAAIAAgACAAXAAiAGYAXAAiACwAXAAiAEkAbgBvAHIAZwBhAG4AaQBjACAAZgBlAHIAdABpAGwAaQBzAGUAcgAgAHQAeQBwAGU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z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AgADoAIA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IAA6ACA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EMAbwBuAHMAdABhAG4AdABcACIAOwBcAG4AIAAgACAAIAAgACAAIAAgACAAIABcACIAagBcACIALABcACIAUAByAG8AZAB1AGMAdABpAG8AbgAgAHMAeQBzAHQAZQBtAFwAIgAsACAAXAAiAEkAbgBwAHUAdABcACIAOwBcAG4AIAAgACAAIAAgACAAIAAgACAAIABcACIAZgBcACIALABcACIASQBuAG8AcgBnAGEAbgBpAGMAIABmAGUAcgB0AGkAbABpAHMAZQByACAAdAB5AHAAZQ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z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CAAOgAgAGsAZwBcACIALAAgAFwAIgBJAG4AcAB1AHQAXAAiADsAXABuACAAIAAgACAAIAAgACAAIAAgACAAXAAiAEYAVQBfAGYAXAAiACwAXAAiAGYAcgBhAGMAdABpAG8AbgAgAG8AZgAgAHUAcgBlAGEAIABpAG4AIABmAGUAcgB0AGkAbABpAHMAZQByACAAdAB5AHAAZQAgAGYAIAA6ACAAawBnACAAdQByAGUAYQAvAGsAZwBcACIALAAgAFwAIgBMAG8AbwBrAHUAc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UABvAHUAbAB0AHIAeQAuAFMAbwB1AHIAYwBlAEQAYQB0AGEAXwBQAG8AdQBsAHQAcgB5AF8ARABpAGUAdABQAHIAbwBwAGUAcgB0AGkAZQBzAF8AVABpAHQAbABlACIALAAiAFMAbwB1AHIAYwBlAEQAYQB0AGEAXwBQAG8AdQBsAHQAcgB5AC4AUwBvAHUAcgBjAGUARABhAHQAYQBfAFAAbwB1AGwAdAByAHkAXwBEAGkAZQB0AFAAcgBvAHAAZQByAHQAaQBlAHMAXwBVAG4AaQB0ACIALAAiAFMAbwB1AHIAYwBlAEQAYQB0AGEAXwBQAG8AdQBsAHQAcgB5AC4AUwBvAHUAcgBjAGUARABhAHQAYQBfAFAAbwB1AGwAdAByAHkAXwBEAGkAZQB0AFAAcgBvAHAAZQByAHQAaQBlAHMAXwBTAG8AdQByAGMAZQAiACwAIgBTAG8AdQByAGMAZQBEAGEAdABhAF8AUABvAHUAbAB0AHIAeQAuAFMAbwB1AHIAYwBlAEQAYQB0AGEAXwBQAG8AdQBsAHQAcgB5AF8ARABpAGUAdABQAHIAbwBwAGUAcgB0AGkAZQBzAF8AVgBhAHIAaQBhAHQAaQBvAG4AIgAsACIAUwBvAHUAcgBjAGUARABhAHQAYQBfAFAAbwB1AGwAdAByAHkALgBTAG8AdQByAGMAZQBEAGEAdABhAF8AUABvAHUAbAB0AHIAeQBfAEQAaQBlAHQAUAByAG8AcABlAHIAdABpAGUAcwBfAEQAYQB0AGEAIgAsACIAUwBvAHUAcgBjAGUARABhAHQAYQBfAFAAbwB1AGwAdAByAHkALgBTAG8AdQByAGMAZQBEAGEAdABhAF8AUABvAHUAbAB0AHIAeQBfAE0AQwBGAF8AVABpAHQAbABlACIALAAiAFMAbwB1AHIAYwBlAEQAYQB0AGEAXwBQAG8AdQBsAHQAcgB5AC4AUwBvAHUAcgBjAGUARABhAHQAYQBfAFAAbwB1AGwAdAByAHkAXwBNAEMARgBfAFUAbgBpAHQAIgAsACIAUwBvAHUAcgBjAGUARABhAHQAYQBfAFAAbwB1AGwAdAByAHkALgBTAG8AdQByAGMAZQBEAGEAdABhAF8AUABvAHUAbAB0AHIAeQBfAE0AQwBGAF8AUwBvAHUAcgBjAGUAIgAsACIAUwBvAHUAcgBjAGUARABhAHQAYQBfAFAAbwB1AGwAdAByAHkALgBTAG8AdQByAGMAZQBEAGEAdABhAF8AUABvAHUAbAB0AHIAeQBfAE0AQwBGAF8AVgBhAHIAaQBhAHQAaQBvAG4AIgAsACIAUwBvAHUAcgBjAGUARABhAHQAYQBfAFAAbwB1AGwAdAByAHkALgBTAG8AdQByAGMAZQBEAGEAdABhAF8AUABvAHUAbAB0AHIAeQBfAE0AQwBGAF8ARABhAHQAYQAiACwAIgBTAG8AdQByAGMAZQBEAGEAdABhAF8AUABvAHUAbAB0AHIAeQAuAFMAbwB1AHIAYwBlAEQAYQB0AGEAXwBQAG8AdQBsAHQAcgB5AF8ATQBDAEYAXwBOAG8AdABlAHMAIgAsACIAUwBvAHUAcgBjAGUARABhAHQAYQBfAFAAbwB1AGwAdAByAHkALgBTAG8AdQByAGMAZQBEAGEAdABhAF8AUABvAHUAbAB0AHIAeQBfAE0AZQB0AGgAYQBuAGUARQBtAGkAcwBzAGkAbwBuAHMAUABvAHQAZQBuAHQAaQBhAGwAXwBUAGkAdABsAGUAIgAsACIAUwBvAHUAcgBjAGUARABhAHQAYQBfAFAAbwB1AGwAdAByAHkALgBTAG8AdQByAGMAZQBEAGEAdABhAF8AUABvAHUAbAB0AHIAeQBfAE0AZQB0AGgAYQBuAGUARQBtAGkAcwBzAGkAbwBuAHMAUABvAHQAZQBuAHQAaQBhAGwAXwBVAG4AaQB0ACIALAAiAFMAbwB1AHIAYwBlAEQAYQB0AGEAXwBQAG8AdQBsAHQAcgB5AC4AUwBvAHUAcgBjAGUARABhAHQAYQBfAFAAbwB1AGwAdAByAHkAXwBNAGUAdABoAGEAbgBlAEUAbQBpAHMAcwBpAG8AbgBzAFAAbwB0AGUAbgB0AGkAYQBsAF8AUwBvAHUAcgBjAGUAIgAsACIAUwBvAHUAcgBjAGUARABhAHQAYQBfAFAAbwB1AGwAdAByAHkALgBTAG8AdQByAGMAZQBEAGEAdABhAF8AUABvAHUAbAB0AHIAeQBfAE0AZQB0AGgAYQBuAGUARQBtAGkAcwBzAGkAbwBuAHMAUABvAHQAZQBuAHQAaQBhAGwAXwBWAGEAcgBpAGEAdABpAG8AbgAiACwAIgBTAG8AdQByAGMAZQBEAGEAdABhAF8AUABvAHUAbAB0AHIAeQAuAFMAbwB1AHIAYwBlAEQAYQB0AGEAXwBQAG8AdQBsAHQAcgB5AF8ATQBlAHQAaABhAG4AZQBFAG0AaQBzAHMAaQBvAG4AcwBQAG8AdABlAG4AdABpAGEAbABfAEQAYQB0AGEAIgAsACIAUwBvAHUAcgBjAGUARABhAHQAYQBfAFAAbwB1AGwAdAByAHkALgBTAG8AdQByAGMAZQBEAGEAdABhAF8AUABvAHUAbAB0AHIAeQBfAFAAcgBvAGQAdQBjAHQAaQBvAG4AUwB5AHMAdABlAG0AcwBfAFQAaQB0AGwAZQAiACwAIgBTAG8AdQByAGMAZQBEAGEAdABhAF8AUABvAHUAbAB0AHIAeQAuAFMAbwB1AHIAYwBlAEQAYQB0AGEAXwBQAG8AdQBsAHQAcgB5AF8AUAByAG8AZAB1AGMAdABpAG8AbgBTAHkAcwB0AGUAbQBzAF8AVQBuAGkAdAAiACwAIgBTAG8AdQByAGMAZQBEAGEAdABhAF8AUABvAHUAbAB0AHIAeQAuAFMAbwB1AHIAYwBlAEQAYQB0AGEAXwBQAG8AdQBsAHQAcgB5AF8AUAByAG8AZAB1AGMAdABpAG8AbgBTAHkAcwB0AGUAbQBzAF8AUwBvAHUAcgBjAGUAIgAsACIAUwBvAHUAcgBjAGUARABhAHQAYQBfAFAAbwB1AGwAdAByAHkALgBTAG8AdQByAGMAZQBEAGEAdABhAF8AUABvAHUAbAB0AHIAeQBfAFAAcgBvAGQAdQBjAHQAaQBvAG4AUwB5AHMAdABlAG0AcwBfAFYAYQByAGkAYQB0AGkAbwBuACIALAAiAFMAbwB1AHIAYwBlAEQAYQB0AGEAXwBQAG8AdQBsAHQAcgB5AC4AUwBvAHUAcgBjAGUARABhAHQAYQBfAFAAbwB1AGwAdAByAHkAXwBQAHIAbwBkAHUAYwB0AGkAbwBuAFMAeQBzAHQAZQBtAHMAXwBEAGEAdABhACIALAAiAFMAbwB1AHIAYwBlAEQAYQB0AGEAXwBQAG8AdQBsAHQAcgB5AC4AUwBvAHUAcgBjAGUARABhAHQAYQBfAFAAbwB1AGwAdAByAHkAXwBWAFMATABfAFQAaQB0AGwAZQAiACwAIgBTAG8AdQByAGMAZQBEAGEAdABhAF8AUABvAHUAbAB0AHIAeQAuAFMAbwB1AHIAYwBlAEQAYQB0AGEAXwBQAG8AdQBsAHQAcgB5AF8AVgBTAEwAXwBVAG4AaQB0ACIALAAiAFMAbwB1AHIAYwBlAEQAYQB0AGEAXwBQAG8AdQBsAHQAcgB5AC4AUwBvAHUAcgBjAGUARABhAHQAYQBfAFAAbwB1AGwAdAByAHkAXwBWAFMATABfAFMAbwB1AHIAYwBlACIALAAiAFMAbwB1AHIAYwBlAEQAYQB0AGEAXwBQAG8AdQBsAHQAcgB5AC4AUwBvAHUAcgBjAGUARABhAHQAYQBfAFAAbwB1AGwAdAByAHkAXwBWAFMATABfAFYAYQByAGkAYQB0AGkAbwBuACIALAAiAFMAbwB1AHIAYwBlAEQAYQB0AGEAXwBQAG8AdQBsAHQAcgB5AC4AUwBvAHUAcgBjAGUARABhAHQAYQBfAFAAbwB1AGwAdAByAHkAXwBWAFMATABfAEQAYQB0AGEAIgAsACIAUwBvAHUAcgBjAGUARABhAHQAYQBfAFAAbwB1AGwAdAByAHkALgBTAG8AdQByAGMAZQBEAGEAdABhAF8AUABvAHUAbAB0AHIAeQBfAEYAcgBhAGMARwBBAFMATQBtAFQAXwBUAGkAdABsAGUAIgAsACIAUwBvAHUAcgBjAGUARABhAHQAYQBfAFAAbwB1AGwAdAByAHkALgBTAG8AdQByAGMAZQBEAGEAdABhAF8AUABvAHUAbAB0AHIAeQBfAEYAcgBhAGMARwBBAFMATQBtAFQAXwBVAG4AaQB0ACIALAAiAFMAbwB1AHIAYwBlAEQAYQB0AGEAXwBQAG8AdQBsAHQAcgB5AC4AUwBvAHUAcgBjAGUARABhAHQAYQBfAFAAbwB1AGwAdAByAHkAXwBGAHIAYQBjAEcAQQBTAE0AbQBUAF8AUwBvAHUAcgBjAGUAIgAsACIAUwBvAHUAcgBjAGUARABhAHQAYQBfAFAAbwB1AGwAdAByAHkALgBTAG8AdQByAGMAZQBEAGEAdABhAF8AUABvAHUAbAB0AHIAeQBfAEYAcgBhAGMARwBBAFMATQBtAFQAXwBWAGEAcgBpAGEAdABpAG8AbgAiACwAIgBTAG8AdQByAGMAZQBEAGEAdABhAF8AUABvAHUAbAB0AHIAeQAuAFMAbwB1AHIAYwBlAEQAYQB0AGEAXwBQAG8AdQBsAHQAcgB5AF8ARgByAGEAYwBHAEEAUwBNAG0AVABfAEQAYQB0AGEAIgAsACIAUwBvAHUAcgBjAGUARABhAHQAYQBfAFAAbwB1AGwAdAByAHkALgBTAG8AdQByAGMAZQBEAGEAdABhAF8AUABvAHUAbAB0AHIAeQBfAEUARgBtAFQAXwBUAGkAdABsAGUAIgAsACIAUwBvAHUAcgBjAGUARABhAHQAYQBfAFAAbwB1AGwAdAByAHkALgBTAG8AdQByAGMAZQBEAGEAdABhAF8AUABvAHUAbAB0AHIAeQBfAEUARgBtAFQAXwBVAG4AaQB0ACIALAAiAFMAbwB1AHIAYwBlAEQAYQB0AGEAXwBQAG8AdQBsAHQAcgB5AC4AUwBvAHUAcgBjAGUARABhAHQAYQBfAFAAbwB1AGwAdAByAHkAXwBFAEYAbQBUAF8AUwBvAHUAcgBjAGUAIgAsACIAUwBvAHUAcgBjAGUARABhAHQAYQBfAFAAbwB1AGwAdAByAHkALgBTAG8AdQByAGMAZQBEAGEAdABhAF8AUABvAHUAbAB0AHIAeQBfAEUARgBtAFQAXwBWAGEAcgBpAGEAdABpAG8AbgAiACwAIgBTAG8AdQByAGMAZQBEAGEAdABhAF8AUABvAHUAbAB0AHIAeQAuAFMAbwB1AHIAYwBlAEQAYQB0AGEAXwBQAG8AdQBsAHQAcgB5AF8ARQBGAG0AVABfAEQAYQB0AGEAIgAsACIAUwBvAHUAcgBjAGUARABhAHQAYQBfAFAAbwB1AGwAdAByAHkALgBTAG8AdQByAGMAZQBEAGEAdABhAF8AUABvAHUAbAB0AHIAeQBfAEYAcgBhAGMAdABpAG8AbgBPAGYATgBpAHQAcgBvAGcAZQBuAEwAbwBzAHQAVABoAHIAbwB1AGcAaABMAGUAYQBjAGgAaQBuAGcAQQBuAGQAUgB1AG4AbwBmAGYAXwBUAGkAdABsAGUAIgAsACIAUwBvAHUAcgBjAGUARABhAHQAYQBfAFAAbwB1AGwAdAByAHkALgBTAG8AdQByAGMAZQBEAGEAdABhAF8AUABvAHUAbAB0AHIAeQBfAEYAcgBhAGMAdABpAG8AbgBPAGYATgBpAHQAcgBvAGcAZQBuAEwAbwBzAHQAVABoAHIAbwB1AGcAaABMAGUAYQBjAGgAaQBuAGcAQQBuAGQAUgB1AG4AbwBmAGYAXwBWAGEAcgBpAGEAYgBsAGUAIgAsACIAUwBvAHUAcgBjAGUARABhAHQAYQBfAFAAbwB1AGwAdAByAHkALgBTAG8AdQByAGMAZQBEAGEAdABhAF8AUABvAHUAbAB0AHIAeQBfAEYAcgBhAGMAdABpAG8AbgBPAGYATgBpAHQAcgBvAGcAZQBuAEwAbwBzAHQAVABoAHIAbwB1AGcAaABMAGUAYQBjAGgAaQBuAGcAQQBuAGQAUgB1AG4AbwBmAGYAXwBVAG4AaQB0ACIALAAiAFMAbwB1AHIAYwBlAEQAYQB0AGEAXwBQAG8AdQBsAHQAcgB5AC4AUwBvAHUAcgBjAGUARABhAHQAYQBfAFAAbwB1AGwAdAByAHkAXwBGAHIAYQBjAHQAaQBvAG4ATwBmAE4AaQB0AHIAbwBnAGUAbgBMAG8AcwB0AFQAaAByAG8AdQBnAGgATABlAGEAYwBoAGkAbgBnAEEAbgBkAFIAdQBuAG8AZgBmAF8AUwBvAHUAcgBjAGUAIgAsACIAUwBvAHUAcgBjAGUARABhAHQAYQBfAFAAbwB1AGwAdAByAHkALgBTAG8AdQByAGMAZQBEAGEAdABhAF8AUABvAHUAbAB0AHIAeQBfAEYAcgBhAGMAdABpAG8AbgBPAGYATgBpAHQAcgBvAGcAZQBuAEwAbwBzAHQAVABoAHIAbwB1AGcAaABMAGUAYQBjAGgAaQBuAGcAQQBuAGQAUgB1AG4AbwBmAGYAXwBWAGEAcgBpAGEAdABpAG8AbgAiACwAIgBTAG8AdQByAGMAZQBEAGEAdABhAF8AUABvAHUAbAB0AHIAeQAuAFMAbwB1AHIAYwBlAEQAYQB0AGEAXwBQAG8AdQBsAHQAcgB5AF8ARgByAGEAYwB0AGkAbwBuAE8AZgBOAGkAdAByAG8AZwBlAG4ATABvAHMAdABUAGgAcgBvAHUAZwBoAEwAZQBhAGMAaABpAG4AZwBBAG4AZABSAHUAbgBvAGYAZgBfAEQAYQB0AGEAIgAsACIATQBNAFMAXwBQAG8AdQBsAHQAcgB5AF8ATgAyAE8ARABpAHIAZQBjAHQAXwBFAHEAdQBhAHQAaQBvAG4AcwAuAFYARQBFAFIARwBfADQAXwA2AF8AMQBfADMAXwBfADEAXwBUAG8AdABhAGwAQQBuAG4AdQBhAGwARABpAHIAZQBjAHQATgBpAHQAcgBvAHUAcwBPAHgAaQBkAGUARQBtAGkAcwBzAGkAbwBuAHMARgByAG8AbQBNAE0AUwAiACwAIgBNAE0AUwBfAFAAbwB1AGwAdAByAHkAXwBOADIATwBEAGkAcgBlAGMAdABfAEUAcQB1AGEAdABpAG8AbgBzAC4AVgBFAEUAUgBHAF8ANABfADYAXwAxAF8AMwBfAF8AMQBfAFQAbwB0AGEAbABBAG4AbgB1AGEAbABEAGkAcgBlAGMAdABOAGkAdAByAG8AdQBzAE8AeABpAGQAZQBFAG0AaQBzAHMAaQBvAG4AcwBGAHIAbwBtAE0ATQBTAF8AVABpAHQAbABlACIALAAiAE0ATQBTAF8AUABvAHUAbAB0AHIAeQBfAE4AMgBPAEQAaQByAGUAYwB0AF8ARQBxAHUAYQB0AGkAbwBuAHMALgBWAEUARQBSAEcAXwA0AF8ANgBfADEAXwAzAF8AXwAxAF8AVABvAHQAYQBsAEEAbgBuAHUAYQBsAEQAaQByAGUAYwB0AE4AaQB0AHIAbwB1AHMATwB4AGkAZABlAEUAbQBpAHMAcwBpAG8AbgBzAEYAcgBvAG0ATQBNAFMAXwBWAGEAcgBpAGEAYgBsAGUAIgAsACIATQBNAFMAXwBQAG8AdQBsAHQAcgB5AF8ATgAyAE8ARABpAHIAZQBjAHQAXwBFAHEAdQBhAHQAaQBvAG4AcwAuAFYARQBFAFIARwBfADQAXwA2AF8AMQBfADMAXwBfADEAXwBUAG8AdABhAGwAQQBuAG4AdQBhAGwARABpAHIAZQBjAHQATgBpAHQAcgBvAHUAcwBPAHgAaQBkAGUARQBtAGkAcwBzAGkAbwBuAHMARgByAG8AbQBNAE0AUwBfAFUAbgBpAHQAIgAsACIATQBNAFMAXwBQAG8AdQBsAHQAcgB5AF8ATgAyAE8ARABpAHIAZQBjAHQAXwBFAHEAdQBhAHQAaQBvAG4AcwAuAFYARQBFAFIARwBfADQAXwA2AF8AMQBfADMAXwBfADEAXwBUAG8AdABhAGwAQQBuAG4AdQBhAGwARABpAHIAZQBjAHQATgBpAHQAcgBvAHUAcwBPAHgAaQBkAGUARQBtAGkAcwBzAGkAbwBuAHMARgByAG8AbQBNAE0AUwBfAFMAbwB1AHIAYwBlACIALAAiAE0ATQBTAF8AUABvAHUAbAB0AHIAeQBfAE4AMgBPAEQAaQByAGUAYwB0AF8ARQBxAHUAYQB0AGkAbwBuAHMALgBWAEUARQBSAEcAXwA0AF8ANgBfADEAXwAzAF8AXwAxAF8AVABvAHQAYQBsAEEAbgBuAHUAYQBsAEQAaQByAGUAYwB0AE4AaQB0AHIAbwB1AHMATwB4AGkAZABlAEUAbQBpAHMAcwBpAG8AbgBzAEYAcgBvAG0ATQBNAFMAXwBOAEkAUgBSAGUAZgBlAHIAZQBuAGMAZQAiACwAIgBNAE0AUwBfAFAAbwB1AGwAdAByAHkAXwBOADIATwBEAGkAcgBlAGMAdABfAEUAcQB1AGEAdABpAG8AbgBzAC4AVgBFAEUAUgBHAF8ANABfADYAXwAxAF8AMwBfAF8AMQBfAFQAbwB0AGEAbABBAG4AbgB1AGEAbABEAGkAcgBlAGMAdABOAGkAdAByAG8AdQBzAE8AeABpAGQAZQBFAG0AaQBzAHMAaQBvAG4AcwBGAHIAbwBtAE0ATQBTAF8ATABhAHQAZQB4AEUAcQB1AGEAdABpAG8AbgAiACwAIgBNAE0AUwBfAFAAbwB1AGwAdAByAHkAXwBOADIATwBEAGkAcgBlAGMAdABfAEUAcQB1AGEAdABpAG8AbgBzAC4AVgBFAEUAUgBHAF8ANABfADYAXwAxAF8AMwBfAF8AMQBfAFQAbwB0AGEAbABBAG4AbgB1AGEAbABEAGkAcgBlAGMAdABOAGkAdAByAG8AdQBzAE8AeABpAGQAZQBFAG0AaQBzAHMAaQBvAG4AcwBGAHIAbwBtAE0ATQBTAF8AQQByAGcAdQBtAGUAbgB0AHMAIgAsACIATQBNAFMAXwBQAG8AdQBsAHQAcgB5AF8ATgAyAE8ARABpAHIAZQBjAHQAXwBFAHEAdQBhAHQAaQBvAG4AcwAuAFYARQBFAFIARwBfADQAXwA2AF8AMQBfADMAXwBfADIAXwBTAHQAYQBnAGUAMQBOAGkAdAByAG8AZwBlAG4ASQBuAE0ATQBTACIALAAiAE0ATQBTAF8AUABvAHUAbAB0AHIAeQBfAE4AMgBPAEQAaQByAGUAYwB0AF8ARQBxAHUAYQB0AGkAbwBuAHMALgBWAEUARQBSAEcAXwA0AF8ANgBfADEAXwAzAF8AXwAyAF8AUwB0AGEAZwBlADEATgBpAHQAcgBvAGcAZQBuAEkAbgBNAE0AUwBfAFQAaQB0AGwAZQAiACwAIgBNAE0AUwBfAFAAbwB1AGwAdAByAHkAXwBOADIATwBEAGkAcgBlAGMAdABfAEUAcQB1AGEAdABpAG8AbgBzAC4AVgBFAEUAUgBHAF8ANABfADYAXwAxAF8AMwBfAF8AMgBfAFMAdABhAGcAZQAxAE4AaQB0AHIAbwBnAGUAbgBJAG4ATQBNAFMAXwBWAGEAcgBpAGEAYgBsAGUAIgAsACIATQBNAFMAXwBQAG8AdQBsAHQAcgB5AF8ATgAyAE8ARABpAHIAZQBjAHQAXwBFAHEAdQBhAHQAaQBvAG4AcwAuAFYARQBFAFIARwBfADQAXwA2AF8AMQBfADMAXwBfADIAXwBTAHQAYQBnAGUAMQBOAGkAdAByAG8AZwBlAG4ASQBuAE0ATQBTAF8AVQBuAGkAdAAiACwAIgBNAE0AUwBfAFAAbwB1AGwAdAByAHkAXwBOADIATwBEAGkAcgBlAGMAdABfAEUAcQB1AGEAdABpAG8AbgBzAC4AVgBFAEUAUgBHAF8ANABfADYAXwAxAF8AMwBfAF8AMgBfAFMAdABhAGcAZQAxAE4AaQB0AHIAbwBnAGUAbgBJAG4ATQBNAFMAXwBTAG8AdQByAGMAZQAiACwAIgBNAE0AUwBfAFAAbwB1AGwAdAByAHkAXwBOADIATwBEAGkAcgBlAGMAdABfAEUAcQB1AGEAdABpAG8AbgBzAC4AVgBFAEUAUgBHAF8ANABfADYAXwAxAF8AMwBfAF8AMgBfAFMAdABhAGcAZQAxAE4AaQB0AHIAbwBnAGUAbgBJAG4ATQBNAFMAXwBOAEkAUgBSAGUAZgBlAHIAZQBuAGMAZQAiACwAIgBNAE0AUwBfAFAAbwB1AGwAdAByAHkAXwBOADIATwBEAGkAcgBlAGMAdABfAEUAcQB1AGEAdABpAG8AbgBzAC4AVgBFAEUAUgBHAF8ANABfADYAXwAxAF8AMwBfAF8AMgBfAFMAdABhAGcAZQAxAE4AaQB0AHIAbwBnAGUAbgBJAG4ATQBNAFMAXwBMAGEAdABlAHgARQBxAHUAYQB0AGkAbwBuACIALAAiAE0ATQBTAF8AUABvAHUAbAB0AHIAeQBfAE4AMgBPAEQAaQByAGUAYwB0AF8ARQBxAHUAYQB0AGkAbwBuAHMALgBWAEUARQBSAEcAXwA0AF8ANgBfADEAXwAzAF8AXwAyAF8AUwB0AGEAZwBlADEATgBpAHQAcgBvAGcAZQBuAEkAbgBNAE0AUwBfAEEAcgBnAHUAbQBlAG4AdABzACIALAAiAE0ATQBTAF8AUABvAHUAbAB0AHIAeQBfAE4AMgBPAEQAaQByAGUAYwB0AF8ARQBxAHUAYQB0AGkAbwBuAHMALgBWAEUARQBSAEcAXwA0AF8ANgBfADEAXwAzAF8AXwAzAF8AQQBuAG4AdQBhAGwATgBpAHQAcgBvAGcAZQBuAEUAeABjAHIAZQB0AGkAbwBuACIALAAiAE0ATQBTAF8AUABvAHUAbAB0AHIAeQBfAE4AMgBPAEQAaQByAGUAYwB0AF8ARQBxAHUAYQB0AGkAbwBuAHMALgBWAEUARQBSAEcAXwA0AF8ANgBfADEAXwAzAF8AXwAzAF8AQQBuAG4AdQBhAGwATgBpAHQAcgBvAGcAZQBuAEUAeABjAHIAZQB0AGkAbwBuAF8AVABpAHQAbABlACIALAAiAE0ATQBTAF8AUABvAHUAbAB0AHIAeQBfAE4AMgBPAEQAaQByAGUAYwB0AF8ARQBxAHUAYQB0AGkAbwBuAHMALgBWAEUARQBSAEcAXwA0AF8ANgBfADEAXwAzAF8AXwAzAF8AQQBuAG4AdQBhAGwATgBpAHQAcgBvAGcAZQBuAEUAeABjAHIAZQB0AGkAbwBuAF8AVgBhAHIAaQBhAGIAbABlACIALAAiAE0ATQBTAF8AUABvAHUAbAB0AHIAeQBfAE4AMgBPAEQAaQByAGUAYwB0AF8ARQBxAHUAYQB0AGkAbwBuAHMALgBWAEUARQBSAEcAXwA0AF8ANgBfADEAXwAzAF8AXwAzAF8AQQBuAG4AdQBhAGwATgBpAHQAcgBvAGcAZQBuAEUAeABjAHIAZQB0AGkAbwBuAF8AVQBuAGkAdAAiACwAIgBNAE0AUwBfAFAAbwB1AGwAdAByAHkAXwBOADIATwBEAGkAcgBlAGMAdABfAEUAcQB1AGEAdABpAG8AbgBzAC4AVgBFAEUAUgBHAF8ANABfADYAXwAxAF8AMwBfAF8AMwBfAEEAbgBuAHUAYQBsAE4AaQB0AHIAbwBnAGUAbgBFAHgAYwByAGUAdABpAG8AbgBfAFMAbwB1AHIAYwBlACIALAAiAE0ATQBTAF8AUABvAHUAbAB0AHIAeQBfAE4AMgBPAEQAaQByAGUAYwB0AF8ARQBxAHUAYQB0AGkAbwBuAHMALgBWAEUARQBSAEcAXwA0AF8ANgBfADEAXwAzAF8AXwAzAF8AQQBuAG4AdQBhAGwATgBpAHQAcgBvAGcAZQBuAEUAeABjAHIAZQB0AGkAbwBuAF8ATgBJAFIAUgBlAGYAZQByAGUAbgBjAGUAIgAsACIATQBNAFMAXwBQAG8AdQBsAHQAcgB5AF8ATgAyAE8ARABpAHIAZQBjAHQAXwBFAHEAdQBhAHQAaQBvAG4AcwAuAFYARQBFAFIARwBfADQAXwA2AF8AMQBfADMAXwBfADMAXwBBAG4AbgB1AGEAbABOAGkAdAByAG8AZwBlAG4ARQB4AGMAcgBlAHQAaQBvAG4AXwBMAGEAdABlAHgARQBxAHUAYQB0AGkAbwBuACIALAAiAE0ATQBTAF8AUABvAHUAbAB0AHIAeQBfAE4AMgBPAEQAaQByAGUAYwB0AF8ARQBxAHUAYQB0AGkAbwBuAHMALgBWAEUARQBSAEcAXwA0AF8ANgBfADEAXwAzAF8AXwAzAF8AQQBuAG4AdQBhAGwATgBpAHQAcgBvAGcAZQBuAEUAeABjAHIAZQB0AGkAbwBuAF8AQQByAGcAdQBtAGUAbgB0AHMAIgAsACIATQBNAFMAXwBQAG8AdQBsAHQAcgB5AF8ATgAyAE8ARABpAHIAZQBjAHQAXwBFAHEAdQBhAHQAaQBvAG4AcwAuAFYARQBFAFIARwBfADQAXwA2AF8AMQBfADMAXwBfADQAXwBOAGkAdAByAG8AZwBlAG4ARQB4AGMAcgBlAHQAaQBvAG4AUABlAHIAQgBpAHIAZAAiACwAIgBNAE0AUwBfAFAAbwB1AGwAdAByAHkAXwBOADIATwBEAGkAcgBlAGMAdABfAEUAcQB1AGEAdABpAG8AbgBzAC4AVgBFAEUAUgBHAF8ANABfADYAXwAxAF8AMwBfAF8ANABfAE4AaQB0AHIAbwBnAGUAbgBFAHgAYwByAGUAdABpAG8AbgBQAGUAcgBCAGkAcgBkAF8AVABpAHQAbABlACIALAAiAE0ATQBTAF8AUABvAHUAbAB0AHIAeQBfAE4AMgBPAEQAaQByAGUAYwB0AF8ARQBxAHUAYQB0AGkAbwBuAHMALgBWAEUARQBSAEcAXwA0AF8ANgBfADEAXwAzAF8AXwA0AF8ATgBpAHQAcgBvAGcAZQBuAEUAeABjAHIAZQB0AGkAbwBuAFAAZQByAEIAaQByAGQAXwBWAGEAcgBpAGEAYgBsAGUAIgAsACIATQBNAFMAXwBQAG8AdQBsAHQAcgB5AF8ATgAyAE8ARABpAHIAZQBjAHQAXwBFAHEAdQBhAHQAaQBvAG4AcwAuAFYARQBFAFIARwBfADQAXwA2AF8AMQBfADMAXwBfADQAXwBOAGkAdAByAG8AZwBlAG4ARQB4AGMAcgBlAHQAaQBvAG4AUABlAHIAQgBpAHIAZABfAFUAbgBpAHQAIgAsACIATQBNAFMAXwBQAG8AdQBsAHQAcgB5AF8ATgAyAE8ARABpAHIAZQBjAHQAXwBFAHEAdQBhAHQAaQBvAG4AcwAuAFYARQBFAFIARwBfADQAXwA2AF8AMQBfADMAXwBfADQAXwBOAGkAdAByAG8AZwBlAG4ARQB4AGMAcgBlAHQAaQBvAG4AUABlAHIAQgBpAHIAZABfAFMAbwB1AHIAYwBlACIALAAiAE0ATQBTAF8AUABvAHUAbAB0AHIAeQBfAE4AMgBPAEQAaQByAGUAYwB0AF8ARQBxAHUAYQB0AGkAbwBuAHMALgBWAEUARQBSAEcAXwA0AF8ANgBfADEAXwAzAF8AXwA0AF8ATgBpAHQAcgBvAGcAZQBuAEUAeABjAHIAZQB0AGkAbwBuAFAAZQByAEIAaQByAGQAXwBOAEkAUgBSAGUAZgBlAHIAZQBuAGMAZQAiACwAIgBNAE0AUwBfAFAAbwB1AGwAdAByAHkAXwBOADIATwBEAGkAcgBlAGMAdABfAEUAcQB1AGEAdABpAG8AbgBzAC4AVgBFAEUAUgBHAF8ANABfADYAXwAxAF8AMwBfAF8ANABfAE4AaQB0AHIAbwBnAGUAbgBFAHgAYwByAGUAdABpAG8AbgBQAGUAcgBCAGkAcgBkAF8ATABhAHQAZQB4AEUAcQB1AGEAdABpAG8AbgAiACwAIgBNAE0AUwBfAFAAbwB1AGwAdAByAHkAXwBOADIATwBEAGkAcgBlAGMAdABfAEUAcQB1AGEAdABpAG8AbgBzAC4AVgBFAEUAUgBHAF8ANABfADYAXwAxAF8AMwBfAF8ANABfAE4AaQB0AHIAbwBnAGUAbgBFAHgAYwByAGUAdABpAG8AbgBQAGUAcgBCAGkAcgBkAF8AQQByAGcAdQBtAGUAbgB0AHMAIgAsACIATQBNAFMAXwBQAG8AdQBsAHQAcgB5AF8ATgAyAE8ARABpAHIAZQBjAHQAXwBFAHEAdQBhAHQAaQBvAG4AcwAuAFYARQBFAFIARwBfADQAXwA2AF8AMQBfADMAXwBfADUAXwBOAGkAdAByAG8AZwBlAG4ASQBuAHQAYQBrAGUAIgAsACIATQBNAFMAXwBQAG8AdQBsAHQAcgB5AF8ATgAyAE8ARABpAHIAZQBjAHQAXwBFAHEAdQBhAHQAaQBvAG4AcwAuAFYARQBFAFIARwBfADQAXwA2AF8AMQBfADMAXwBfADUAXwBOAGkAdAByAG8AZwBlAG4ASQBuAHQAYQBrAGUAXwBUAGkAdABsAGUAIgAsACIATQBNAFMAXwBQAG8AdQBsAHQAcgB5AF8ATgAyAE8ARABpAHIAZQBjAHQAXwBFAHEAdQBhAHQAaQBvAG4AcwAuAFYARQBFAFIARwBfADQAXwA2AF8AMQBfADMAXwBfADUAXwBOAGkAdAByAG8AZwBlAG4ASQBuAHQAYQBrAGUAXwBWAGEAcgBpAGEAYgBsAGUAIgAsACIATQBNAFMAXwBQAG8AdQBsAHQAcgB5AF8ATgAyAE8ARABpAHIAZQBjAHQAXwBFAHEAdQBhAHQAaQBvAG4AcwAuAFYARQBFAFIARwBfADQAXwA2AF8AMQBfADMAXwBfADUAXwBOAGkAdAByAG8AZwBlAG4ASQBuAHQAYQBrAGUAXwBVAG4AaQB0ACIALAAiAE0ATQBTAF8AUABvAHUAbAB0AHIAeQBfAE4AMgBPAEQAaQByAGUAYwB0AF8ARQBxAHUAYQB0AGkAbwBuAHMALgBWAEUARQBSAEcAXwA0AF8ANgBfADEAXwAzAF8AXwA1AF8ATgBpAHQAcgBvAGcAZQBuAEkAbgB0AGEAawBlAF8AUwBvAHUAcgBjAGUAIgAsACIATQBNAFMAXwBQAG8AdQBsAHQAcgB5AF8ATgAyAE8ARABpAHIAZQBjAHQAXwBFAHEAdQBhAHQAaQBvAG4AcwAuAFYARQBFAFIARwBfADQAXwA2AF8AMQBfADMAXwBfADUAXwBOAGkAdAByAG8AZwBlAG4ASQBuAHQAYQBrAGUAXwBOAEkAUgBSAGUAZgBlAHIAZQBuAGMAZQAiACwAIgBNAE0AUwBfAFAAbwB1AGwAdAByAHkAXwBOADIATwBEAGkAcgBlAGMAdABfAEUAcQB1AGEAdABpAG8AbgBzAC4AVgBFAEUAUgBHAF8ANABfADYAXwAxAF8AMwBfAF8ANQBfAE4AaQB0AHIAbwBnAGUAbgBJAG4AdABhAGsAZQBfAEwAYQB0AGUAeABFAHEAdQBhAHQAaQBvAG4AIgAsACIATQBNAFMAXwBQAG8AdQBsAHQAcgB5AF8ATgAyAE8ARABpAHIAZQBjAHQAXwBFAHEAdQBhAHQAaQBvAG4AcwAuAFYARQBFAFIARwBfADQAXwA2AF8AMQBfADMAXwBfADUAXwBOAGkAdAByAG8AZwBlAG4ASQBuAHQAYQBrAGUAXwBBAHIAZwB1AG0AZQBuAHQAcwAiACwAIgBNAE0AUwBfAFAAbwB1AGwAdAByAHkAXwBOADIATwBEAGkAcgBlAGMAdABfAEUAcQB1AGEAdABpAG8AbgBzAC4AVgBFAEUAUgBHAF8ANABfADYAXwAxAF8AMwBfAF8ANgBfAFMAdABhAGcAZQAyAE4AaQB0AHIAbwBnAGUAbgBJAG4ATQBNAFMAIgAsACIATQBNAFMAXwBQAG8AdQBsAHQAcgB5AF8ATgAyAE8ARABpAHIAZQBjAHQAXwBFAHEAdQBhAHQAaQBvAG4AcwAuAFYARQBFAFIARwBfADQAXwA2AF8AMQBfADMAXwBfADYAXwBTAHQAYQBnAGUAMgBOAGkAdAByAG8AZwBlAG4ASQBuAE0ATQBTAF8AVABpAHQAbABlACIALAAiAE0ATQBTAF8AUABvAHUAbAB0AHIAeQBfAE4AMgBPAEQAaQByAGUAYwB0AF8ARQBxAHUAYQB0AGkAbwBuAHMALgBWAEUARQBSAEcAXwA0AF8ANgBfADEAXwAzAF8AXwA2AF8AUwB0AGEAZwBlADIATgBpAHQAcgBvAGcAZQBuAEkAbgBNAE0AUwBfAFYAYQByAGkAYQBiAGwAZQAiACwAIgBNAE0AUwBfAFAAbwB1AGwAdAByAHkAXwBOADIATwBEAGkAcgBlAGMAdABfAEUAcQB1AGEAdABpAG8AbgBzAC4AVgBFAEUAUgBHAF8ANABfADYAXwAxAF8AMwBfAF8ANgBfAFMAdABhAGcAZQAyAE4AaQB0AHIAbwBnAGUAbgBJAG4ATQBNAFMAXwBVAG4AaQB0ACIALAAiAE0ATQBTAF8AUABvAHUAbAB0AHIAeQBfAE4AMgBPAEQAaQByAGUAYwB0AF8ARQBxAHUAYQB0AGkAbwBuAHMALgBWAEUARQBSAEcAXwA0AF8ANgBfADEAXwAzAF8AXwA2AF8AUwB0AGEAZwBlADIATgBpAHQAcgBvAGcAZQBuAEkAbgBNAE0AUwBfAFMAbwB1AHIAYwBlACIALAAiAE0ATQBTAF8AUABvAHUAbAB0AHIAeQBfAE4AMgBPAEQAaQByAGUAYwB0AF8ARQBxAHUAYQB0AGkAbwBuAHMALgBWAEUARQBSAEcAXwA0AF8ANgBfADEAXwAzAF8AXwA2AF8AUwB0AGEAZwBlADIATgBpAHQAcgBvAGcAZQBuAEkAbgBNAE0AUwBfAE4ASQBSAFIAZQBmAGUAcgBlAG4AYwBlACIALAAiAE0ATQBTAF8AUABvAHUAbAB0AHIAeQBfAE4AMgBPAEQAaQByAGUAYwB0AF8ARQBxAHUAYQB0AGkAbwBuAHMALgBWAEUARQBSAEcAXwA0AF8ANgBfADEAXwAzAF8AXwA2AF8AUwB0AGEAZwBlADIATgBpAHQAcgBvAGcAZQBuAEkAbgBNAE0AUwBfAEwAYQB0AGUAeABFAHEAdQBhAHQAaQBvAG4AIgAsACIATQBNAFMAXwBQAG8AdQBsAHQAcgB5AF8ATgAyAE8ARABpAHIAZQBjAHQAXwBFAHEAdQBhAHQAaQBvAG4AcwAuAFYARQBFAFIARwBfADQAXwA2AF8AMQBfADMAXwBfADYAXwBTAHQAYQBnAGUAMgBOAGkAdAByAG8AZwBlAG4ASQBuAE0ATQBTAF8AQQByAGcAdQBtAGUAbgB0AHMAIgAsACIATQBNAFMAXwBQAG8AdQBsAHQAcgB5AF8ATgAyAE8ARABpAHIAZQBjAHQAXwBFAHEAdQBhAHQAaQBvAG4AcwAuAFYARQBFAFIARwBfADQAXwA2AF8AMQBfADMAXwBfADcAXwBOAGkAdAByAG8AZwBlAG4AVAByAGEAbgBzAGYAZQByAHIAZQBkAFQAbwBTAHQAYQBnAGUAMgBNAE0AUwAiACwAIgBNAE0AUwBfAFAAbwB1AGwAdAByAHkAXwBOADIATwBEAGkAcgBlAGMAdABfAEUAcQB1AGEAdABpAG8AbgBzAC4AVgBFAEUAUgBHAF8ANABfADYAXwAxAF8AMwBfAF8ANwBfAE4AaQB0AHIAbwBnAGUAbgBUAHIAYQBuAHMAZgBlAHIAcgBlAGQAVABvAFMAdABhAGcAZQAyAE0ATQBTAF8AVABpAHQAbABlACIALAAiAE0ATQBTAF8AUABvAHUAbAB0AHIAeQBfAE4AMgBPAEQAaQByAGUAYwB0AF8ARQBxAHUAYQB0AGkAbwBuAHMALgBWAEUARQBSAEcAXwA0AF8ANgBfADEAXwAzAF8AXwA3AF8ATgBpAHQAcgBvAGcAZQBuAFQAcgBhAG4AcwBmAGUAcgByAGUAZABUAG8AUwB0AGEAZwBlADIATQBNAFMAXwBWAGEAcgBpAGEAYgBsAGUAIgAsACIATQBNAFMAXwBQAG8AdQBsAHQAcgB5AF8ATgAyAE8ARABpAHIAZQBjAHQAXwBFAHEAdQBhAHQAaQBvAG4AcwAuAFYARQBFAFIARwBfADQAXwA2AF8AMQBfADMAXwBfADcAXwBOAGkAdAByAG8AZwBlAG4AVAByAGEAbgBzAGYAZQByAHIAZQBkAFQAbwBTAHQAYQBnAGUAMgBNAE0AUwBfAFUAbgBpAHQAIgAsACIATQBNAFMAXwBQAG8AdQBsAHQAcgB5AF8ATgAyAE8ARABpAHIAZQBjAHQAXwBFAHEAdQBhAHQAaQBvAG4AcwAuAFYARQBFAFIARwBfADQAXwA2AF8AMQBfADMAXwBfADcAXwBOAGkAdAByAG8AZwBlAG4AVAByAGEAbgBzAGYAZQByAHIAZQBkAFQAbwBTAHQAYQBnAGUAMgBNAE0AUwBfAFMAbwB1AHIAYwBlACIALAAiAE0ATQBTAF8AUABvAHUAbAB0AHIAeQBfAE4AMgBPAEQAaQByAGUAYwB0AF8ARQBxAHUAYQB0AGkAbwBuAHMALgBWAEUARQBSAEcAXwA0AF8ANgBfADEAXwAzAF8AXwA3AF8ATgBpAHQAcgBvAGcAZQBuAFQAcgBhAG4AcwBmAGUAcgByAGUAZABUAG8AUwB0AGEAZwBlADIATQBNAFMAXwBOAEkAUgBSAGUAZgBlAHIAZQBuAGMAZQAiACwAIgBNAE0AUwBfAFAAbwB1AGwAdAByAHkAXwBOADIATwBEAGkAcgBlAGMAdABfAEUAcQB1AGEAdABpAG8AbgBzAC4AVgBFAEUAUgBHAF8ANABfADYAXwAxAF8AMwBfAF8ANwBfAE4AaQB0AHIAbwBnAGUAbgBUAHIAYQBuAHMAZgBlAHIAcgBlAGQAVABvAFMAdABhAGcAZQAyAE0ATQBTAF8ATABhAHQAZQB4AEUAcQB1AGEAdABpAG8AbgAiACwAIgBNAE0AUwBfAFAAbwB1AGwAdAByAHkAXwBOADIATwBEAGkAcgBlAGMAdABfAEUAcQB1AGEAdABpAG8AbgBzAC4AVgBFAEUAUgBHAF8ANABfADYAXwAxAF8AMwBfAF8ANwBfAE4AaQB0AHIAbwBnAGUAbgBUAHIAYQBuAHMAZgBlAHIAcgBlAGQAVABvAFMAdABhAGcAZQAyAE0ATQBTAF8AQQByAGcAdQBtAGUAbgB0AH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ABpAHQ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WAGEAcgBpAGEAYg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UAbgBpAHQ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MAbwB1AHI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OAEkAUgBSAGUAZgBlAHIAZQBu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ABhAHQAZQB4AEUAcQB1AGEAdABpAG8Abg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QQByAGcAdQBtAGUAbgB0AHMAIgAsACIATQBNAFMAXwBQAG8AdQBsAHQAcgB5AF8AQQB0AG0AbwBzAHAAaABlAHIAaQBjAEQAZQBwAG8AcwBpAHQAaQBvAG4AXwBFAHEAdQBhAHQAaQBvAG4AcwAuAFYARQBFAFIARwBfADQAXwA2AF8AMQBfADUAXwBfADIAXwBUAG8AdABhAGwATgBpAHQAcgBvAGcAZQBuAFYAbwBsAGEAdABpAGwAaQBzAGUAZABGAHIAbwBtAE0ATQBTACIALAAiAE0ATQBTAF8AUABvAHUAbAB0AHIAeQBfAEEAdABtAG8AcwBwAGgAZQByAGkAYwBEAGUAcABvAHMAaQB0AGkAbwBuAF8ARQBxAHUAYQB0AGkAbwBuAHMALgBWAEUARQBSAEcAXwA0AF8ANgBfADEAXwA1AF8AXwAyAF8AVABvAHQAYQBsAE4AaQB0AHIAbwBnAGUAbgBWAG8AbABhAHQAaQBsAGkAcwBlAGQARgByAG8AbQBNAE0AUwBfAFQAaQB0AGwAZQAiACwAIgBNAE0AUwBfAFAAbwB1AGwAdAByAHkAXwBBAHQAbQBvAHMAcABoAGUAcgBpAGMARABlAHAAbwBzAGkAdABpAG8AbgBfAEUAcQB1AGEAdABpAG8AbgBzAC4AVgBFAEUAUgBHAF8ANABfADYAXwAxAF8ANQBfAF8AMgBfAFQAbwB0AGEAbABOAGkAdAByAG8AZwBlAG4AVgBvAGwAYQB0AGkAbABpAHMAZQBkAEYAcgBvAG0ATQBNAFMAXwBWAGEAcgBpAGEAYgBsAGUAIgAsACIATQBNAFMAXwBQAG8AdQBsAHQAcgB5AF8AQQB0AG0AbwBzAHAAaABlAHIAaQBjAEQAZQBwAG8AcwBpAHQAaQBvAG4AXwBFAHEAdQBhAHQAaQBvAG4AcwAuAFYARQBFAFIARwBfADQAXwA2AF8AMQBfADUAXwBfADIAXwBUAG8AdABhAGwATgBpAHQAcgBvAGcAZQBuAFYAbwBsAGEAdABpAGwAaQBzAGUAZABGAHIAbwBtAE0ATQBTAF8AVQBuAGkAdAAiACwAIgBNAE0AUwBfAFAAbwB1AGwAdAByAHkAXwBBAHQAbQBvAHMAcABoAGUAcgBpAGMARABlAHAAbwBzAGkAdABpAG8AbgBfAEUAcQB1AGEAdABpAG8AbgBzAC4AVgBFAEUAUgBHAF8ANABfADYAXwAxAF8ANQBfAF8AMgBfAFQAbwB0AGEAbABOAGkAdAByAG8AZwBlAG4AVgBvAGwAYQB0AGkAbABpAHMAZQBkAEYAcgBvAG0ATQBNAFMAXwBTAG8AdQByAGMAZQAiACwAIgBNAE0AUwBfAFAAbwB1AGwAdAByAHkAXwBBAHQAbQBvAHMAcABoAGUAcgBpAGMARABlAHAAbwBzAGkAdABpAG8AbgBfAEUAcQB1AGEAdABpAG8AbgBzAC4AVgBFAEUAUgBHAF8ANABfADYAXwAxAF8ANQBfAF8AMgBfAFQAbwB0AGEAbABOAGkAdAByAG8AZwBlAG4AVgBvAGwAYQB0AGkAbABpAHMAZQBkAEYAcgBvAG0ATQBNAFMAXwBOAEkAUgBSAGUAZgBlAHIAZQBuAGMAZQAiACwAIgBNAE0AUwBfAFAAbwB1AGwAdAByAHkAXwBBAHQAbQBvAHMAcABoAGUAcgBpAGMARABlAHAAbwBzAGkAdABpAG8AbgBfAEUAcQB1AGEAdABpAG8AbgBzAC4AVgBFAEUAUgBHAF8ANABfADYAXwAxAF8ANQBfAF8AMgBfAFQAbwB0AGEAbABOAGkAdAByAG8AZwBlAG4AVgBvAGwAYQB0AGkAbABpAHMAZQBkAEYAcgBvAG0ATQBNAFMAXwBMAGEAdABlAHgARQBxAHUAYQB0AGkAbwBuACIALAAiAE0ATQBTAF8AUABvAHUAbAB0AHIAeQBfAEEAdABtAG8AcwBwAGgAZQByAGkAYwBEAGUAcABvAHMAaQB0AGkAbwBuAF8ARQBxAHUAYQB0AGkAbwBuAHMALgBWAEUARQBSAEcAXwA0AF8ANgBfADEAXwA1AF8AXwAyAF8AVABvAHQAYQBsAE4AaQB0AHIAbwBnAGUAbgBWAG8AbABhAHQAaQBsAGkAcwBlAGQARgByAG8AbQBNAE0AUwBfAEEAcgBnAHUAbQBlAG4AdABzACIALAAiAE0ATQBTAF8AUABvAHUAbAB0AHIAeQBfAEwAZQBhAGMAaABpAG4AZwBBAG4AZABSAHUAbgBvAGYAZgBfAEUAcQB1AGEAdABpAG8AbgBzAC4AVgBFAEUAUgBHAF8ANABfADYAXwAxAF8ANwBfAF8AMQBfAEEAbgBuAHUAYQBsAEUAbQBpAHMAcwBpAG8AbgBzAEYAcgBvAG0ATABlAGEAYwBoAGkAbgBnAEEAbgBkAFIAdQBuAG8AZgBmAEYAcgBvAG0ATQBNAFMAIgAsACIATQBNAFMAXwBQAG8AdQBsAHQAcgB5AF8ATABlAGEAYwBoAGkAbgBnAEEAbgBkAFIAdQBuAG8AZgBmAF8ARQBxAHUAYQB0AGkAbwBuAHMALgBWAEUARQBSAEcAXwA0AF8ANgBfADEAXwA3AF8AXwAxAF8AQQBuAG4AdQBhAGwARQBtAGkAcwBzAGkAbwBuAHMARgByAG8AbQBMAGUAYQBjAGgAaQBuAGcAQQBuAGQAUgB1AG4AbwBmAGYARgByAG8AbQBNAE0AUwBfAFQAaQB0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gBhAHIAaQBhAGI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VAG4AaQB0ACIALAAiAE0ATQBTAF8AUABvAHUAbAB0AHIAeQBfAEwAZQBhAGMAaABpAG4AZwBBAG4AZABSAHUAbgBvAGYAZgBfAEUAcQB1AGEAdABpAG8AbgBzAC4AVgBFAEUAUgBHAF8ANABfADYAXwAxAF8ANwBfAF8AMQBfAEEAbgBuAHUAYQBsAEUAbQBpAHMAcwBpAG8AbgBzAEYAcgBvAG0ATABlAGEAYwBoAGkAbgBnAEEAbgBkAFIAdQBuAG8AZgBmAEYAcgBvAG0ATQBNAFMAXwBTAG8AdQBy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gBJAFIAUgBlAGYAZQByAGUAb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wAYQB0AGUAeABFAHEAdQBhAHQAaQBvAG4AIgAsACIATQBNAFMAXwBQAG8AdQBsAHQAcgB5AF8ATABlAGEAYwBoAGkAbgBnAEEAbgBkAFIAdQBuAG8AZgBmAF8ARQBxAHUAYQB0AGkAbwBuAHMALgBWAEUARQBSAEcAXwA0AF8ANgBfADEAXwA3AF8AXwAxAF8AQQBuAG4AdQBhAGwARQBtAGkAcwBzAGkAbwBuAHMARgByAG8AbQBMAGUAYQBjAGgAaQBuAGcAQQBuAGQAUgB1AG4AbwBmAGYARgByAG8AbQBNAE0AUwBfAEEAcgBnAHUAbQBlAG4AdABz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UAGkAdA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gBhAHIAaQBhAGI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UAbgBpAHQ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UwBvAHUAc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gBJAFIAUgBlAGYAZQByAGUAb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ABhAHQAZQB4AEUAcQB1AGEAdABpAG8Abg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BAHIAZwB1AG0AZQBuAHQAcwAiACwAIgBNAE0AUwBfAFAAbwB1AGwAdAByAHkAXwBNAGUAdABoAGEAbgBlAF8ARQBxAHUAYQB0AGkAbwBuAHMALgBWAEUARQBSAEcAXwA0AF8ANgBfADEAXwAxAF8AXwAxAF8AVABvAHQAYQBsAEEAbgBuAHUAYQBsAE0AZQB0AGgAYQBuAGUARQBtAGkAcwBzAGkAbwBuAHMAIgAsACIATQBNAFMAXwBQAG8AdQBsAHQAcgB5AF8ATQBlAHQAaABhAG4AZQBfAEUAcQB1AGEAdABpAG8AbgBzAC4AVgBFAEUAUgBHAF8ANABfADYAXwAxAF8AMQBfAF8AMQBfAFQAbwB0AGEAbABBAG4AbgB1AGEAbABNAGUAdABoAGEAbgBlAEUAbQBpAHMAcwBpAG8AbgBzAF8AVABpAHQAbABlACIALAAiAE0ATQBTAF8AUABvAHUAbAB0AHIAeQBfAE0AZQB0AGgAYQBuAGUAXwBFAHEAdQBhAHQAaQBvAG4AcwAuAFYARQBFAFIARwBfADQAXwA2AF8AMQBfADEAXwBfADEAXwBUAG8AdABhAGwAQQBuAG4AdQBhAGwATQBlAHQAaABhAG4AZQBFAG0AaQBzAHMAaQBvAG4AcwBfAFYAYQByAGkAYQBiAGwAZQAiACwAIgBNAE0AUwBfAFAAbwB1AGwAdAByAHkAXwBNAGUAdABoAGEAbgBlAF8ARQBxAHUAYQB0AGkAbwBuAHMALgBWAEUARQBSAEcAXwA0AF8ANgBfADEAXwAxAF8AXwAxAF8AVABvAHQAYQBsAEEAbgBuAHUAYQBsAE0AZQB0AGgAYQBuAGUARQBtAGkAcwBzAGkAbwBuAHMAXwBVAG4AaQB0ACIALAAiAE0ATQBTAF8AUABvAHUAbAB0AHIAeQBfAE0AZQB0AGgAYQBuAGUAXwBFAHEAdQBhAHQAaQBvAG4AcwAuAFYARQBFAFIARwBfADQAXwA2AF8AMQBfADEAXwBfADEAXwBUAG8AdABhAGwAQQBuAG4AdQBhAGwATQBlAHQAaABhAG4AZQBFAG0AaQBzAHMAaQBvAG4AcwBfAFMAbwB1AHIAYwBlACIALAAiAE0ATQBTAF8AUABvAHUAbAB0AHIAeQBfAE0AZQB0AGgAYQBuAGUAXwBFAHEAdQBhAHQAaQBvAG4AcwAuAFYARQBFAFIARwBfADQAXwA2AF8AMQBfADEAXwBfADEAXwBUAG8AdABhAGwAQQBuAG4AdQBhAGwATQBlAHQAaABhAG4AZQBFAG0AaQBzAHMAaQBvAG4AcwBfAE4ASQBSAFIAZQBmAGUAcgBlAG4AYwBlACIALAAiAE0ATQBTAF8AUABvAHUAbAB0AHIAeQBfAE0AZQB0AGgAYQBuAGUAXwBFAHEAdQBhAHQAaQBvAG4AcwAuAFYARQBFAFIARwBfADQAXwA2AF8AMQBfADEAXwBfADEAXwBUAG8AdABhAGwAQQBuAG4AdQBhAGwATQBlAHQAaABhAG4AZQBFAG0AaQBzAHMAaQBvAG4AcwBfAEwAYQB0AGUAeABFAHEAdQBhAHQAaQBvAG4AIgAsACIATQBNAFMAXwBQAG8AdQBsAHQAcgB5AF8ATQBlAHQAaABhAG4AZQBfAEUAcQB1AGEAdABpAG8AbgBzAC4AVgBFAEUAUgBHAF8ANABfADYAXwAxAF8AMQBfAF8AMQBfAFQAbwB0AGEAbABBAG4AbgB1AGEAbABNAGUAdABoAGEAbgBlAEUAbQBpAHMAcwBpAG8AbgBzAF8AQQByAGcAdQBtAGUAbgB0AHMAIgAsACIATQBNAFMAXwBQAG8AdQBsAHQAcgB5AF8ATQBlAHQAaABhAG4AZQBfAEUAcQB1AGEAdABpAG8AbgBzAC4AVgBFAEUAUgBHAF8ANABfADYAXwAxAF8AMQBfAF8AMgBfAFMAdABhAGcAZQAxAE0AZQB0AGgAYQBuAGUAUAByAG8AZAB1AGMAdABpAG8AbgAiACwAIgBNAE0AUwBfAFAAbwB1AGwAdAByAHkAXwBNAGUAdABoAGEAbgBlAF8ARQBxAHUAYQB0AGkAbwBuAHMALgBWAEUARQBSAEcAXwA0AF8ANgBfADEAXwAxAF8AXwAyAF8AUwB0AGEAZwBlADEATQBlAHQAaABhAG4AZQBQAHIAbwBkAHUAYwB0AGkAbwBuAF8AVABpAHQAbABlACIALAAiAE0ATQBTAF8AUABvAHUAbAB0AHIAeQBfAE0AZQB0AGgAYQBuAGUAXwBFAHEAdQBhAHQAaQBvAG4AcwAuAFYARQBFAFIARwBfADQAXwA2AF8AMQBfADEAXwBfADIAXwBTAHQAYQBnAGUAMQBNAGUAdABoAGEAbgBlAFAAcgBvAGQAdQBjAHQAaQBvAG4AXwBWAGEAcgBpAGEAYgBsAGUAIgAsACIATQBNAFMAXwBQAG8AdQBsAHQAcgB5AF8ATQBlAHQAaABhAG4AZQBfAEUAcQB1AGEAdABpAG8AbgBzAC4AVgBFAEUAUgBHAF8ANABfADYAXwAxAF8AMQBfAF8AMgBfAFMAdABhAGcAZQAxAE0AZQB0AGgAYQBuAGUAUAByAG8AZAB1AGMAdABpAG8AbgBfAFUAbgBpAHQAIgAsACIATQBNAFMAXwBQAG8AdQBsAHQAcgB5AF8ATQBlAHQAaABhAG4AZQBfAEUAcQB1AGEAdABpAG8AbgBzAC4AVgBFAEUAUgBHAF8ANABfADYAXwAxAF8AMQBfAF8AMgBfAFMAdABhAGcAZQAxAE0AZQB0AGgAYQBuAGUAUAByAG8AZAB1AGMAdABpAG8AbgBfAFMAbwB1AHIAYwBlACIALAAiAE0ATQBTAF8AUABvAHUAbAB0AHIAeQBfAE0AZQB0AGgAYQBuAGUAXwBFAHEAdQBhAHQAaQBvAG4AcwAuAFYARQBFAFIARwBfADQAXwA2AF8AMQBfADEAXwBfADIAXwBTAHQAYQBnAGUAMQBNAGUAdABoAGEAbgBlAFAAcgBvAGQAdQBjAHQAaQBvAG4AXwBOAEkAUgBSAGUAZgBlAHIAZQBuAGMAZQAiACwAIgBNAE0AUwBfAFAAbwB1AGwAdAByAHkAXwBNAGUAdABoAGEAbgBlAF8ARQBxAHUAYQB0AGkAbwBuAHMALgBWAEUARQBSAEcAXwA0AF8ANgBfADEAXwAxAF8AXwAyAF8AUwB0AGEAZwBlADEATQBlAHQAaABhAG4AZQBQAHIAbwBkAHUAYwB0AGkAbwBuAF8ATABhAHQAZQB4AEUAcQB1AGEAdABpAG8AbgAiACwAIgBNAE0AUwBfAFAAbwB1AGwAdAByAHkAXwBNAGUAdABoAGEAbgBlAF8ARQBxAHUAYQB0AGkAbwBuAHMALgBWAEUARQBSAEcAXwA0AF8ANgBfADEAXwAxAF8AXwAyAF8AUwB0AGEAZwBlADEATQBlAHQAaABhAG4AZQBQAHIAbwBkAHUAYwB0AGkAbwBuAF8AQQByAGcAdQBtAGUAbgB0AHMAIgAsACIATQBNAFMAXwBQAG8AdQBsAHQAcgB5AF8ATQBlAHQAaABhAG4AZQBfAEUAcQB1AGEAdABpAG8AbgBzAC4AVgBFAEUAUgBHAF8ANABfADYAXwAxAF8AMQBfAF8AMwBfAFMAdABhAGcAZQAyAE0AZQB0AGgAYQBuAGUAUAByAG8AZAB1AGMAdABpAG8AbgAiACwAIgBNAE0AUwBfAFAAbwB1AGwAdAByAHkAXwBNAGUAdABoAGEAbgBlAF8ARQBxAHUAYQB0AGkAbwBuAHMALgBWAEUARQBSAEcAXwA0AF8ANgBfADEAXwAxAF8AXwAzAF8AUwB0AGEAZwBlADIATQBlAHQAaABhAG4AZQBQAHIAbwBkAHUAYwB0AGkAbwBuAF8AVABpAHQAbABlACIALAAiAE0ATQBTAF8AUABvAHUAbAB0AHIAeQBfAE0AZQB0AGgAYQBuAGUAXwBFAHEAdQBhAHQAaQBvAG4AcwAuAFYARQBFAFIARwBfADQAXwA2AF8AMQBfADEAXwBfADMAXwBTAHQAYQBnAGUAMgBNAGUAdABoAGEAbgBlAFAAcgBvAGQAdQBjAHQAaQBvAG4AXwBWAGEAcgBpAGEAYgBsAGUAIgAsACIATQBNAFMAXwBQAG8AdQBsAHQAcgB5AF8ATQBlAHQAaABhAG4AZQBfAEUAcQB1AGEAdABpAG8AbgBzAC4AVgBFAEUAUgBHAF8ANABfADYAXwAxAF8AMQBfAF8AMwBfAFMAdABhAGcAZQAyAE0AZQB0AGgAYQBuAGUAUAByAG8AZAB1AGMAdABpAG8AbgBfAFUAbgBpAHQAIgAsACIATQBNAFMAXwBQAG8AdQBsAHQAcgB5AF8ATQBlAHQAaABhAG4AZQBfAEUAcQB1AGEAdABpAG8AbgBzAC4AVgBFAEUAUgBHAF8ANABfADYAXwAxAF8AMQBfAF8AMwBfAFMAdABhAGcAZQAyAE0AZQB0AGgAYQBuAGUAUAByAG8AZAB1AGMAdABpAG8AbgBfAFMAbwB1AHIAYwBlACIALAAiAE0ATQBTAF8AUABvAHUAbAB0AHIAeQBfAE0AZQB0AGgAYQBuAGUAXwBFAHEAdQBhAHQAaQBvAG4AcwAuAFYARQBFAFIARwBfADQAXwA2AF8AMQBfADEAXwBfADMAXwBTAHQAYQBnAGUAMgBNAGUAdABoAGEAbgBlAFAAcgBvAGQAdQBjAHQAaQBvAG4AXwBOAEkAUgBSAGUAZgBlAHIAZQBuAGMAZQAiACwAIgBNAE0AUwBfAFAAbwB1AGwAdAByAHkAXwBNAGUAdABoAGEAbgBlAF8ARQBxAHUAYQB0AGkAbwBuAHMALgBWAEUARQBSAEcAXwA0AF8ANgBfADEAXwAxAF8AXwAzAF8AUwB0AGEAZwBlADIATQBlAHQAaABhAG4AZQBQAHIAbwBkAHUAYwB0AGkAbwBuAF8ATABhAHQAZQB4AEUAcQB1AGEAdABpAG8AbgAiACwAIgBNAE0AUwBfAFAAbwB1AGwAdAByAHkAXwBNAGUAdABoAGEAbgBlAF8ARQBxAHUAYQB0AGkAbwBuAHMALgBWAEUARQBSAEcAXwA0AF8ANgBfADEAXwAxAF8AXwAzAF8AUwB0AGEAZwBlADIATQBlAHQAaABhAG4AZQBQAHIAbwBkAHUAYwB0AGkAbwBuAF8AQQByAGcAdQBtAGUAbgB0AHMAIgAsACIATQBNAFMAXwBQAG8AdQBsAHQAcgB5AF8ATQBlAHQAaABhAG4AZQBfAEUAcQB1AGEAdABpAG8AbgBzAC4AVgBFAEUAUgBHAF8ANABfADYAXwAxAF8AMQBfAF8ANABfAFYAbwBsAGEAdABpAGwAZQBTAG8AbABpAGQAcwBUAHIAYQBuAHMAZgBlAHIAcgBlAGQAIgAsACIATQBNAFMAXwBQAG8AdQBsAHQAcgB5AF8ATQBlAHQAaABhAG4AZQBfAEUAcQB1AGEAdABpAG8AbgBzAC4AVgBFAEUAUgBHAF8ANABfADYAXwAxAF8AMQBfAF8ANABfAFYAbwBsAGEAdABpAGwAZQBTAG8AbABpAGQAcwBUAHIAYQBuAHMAZgBlAHIAcgBlAGQAXwBUAGkAdABsAGUAIgAsACIATQBNAFMAXwBQAG8AdQBsAHQAcgB5AF8ATQBlAHQAaABhAG4AZQBfAEUAcQB1AGEAdABpAG8AbgBzAC4AVgBFAEUAUgBHAF8ANABfADYAXwAxAF8AMQBfAF8ANABfAFYAbwBsAGEAdABpAGwAZQBTAG8AbABpAGQAcwBUAHIAYQBuAHMAZgBlAHIAcgBlAGQAXwBWAGEAcgBpAGEAYgBsAGUAIgAsACIATQBNAFMAXwBQAG8AdQBsAHQAcgB5AF8ATQBlAHQAaABhAG4AZQBfAEUAcQB1AGEAdABpAG8AbgBzAC4AVgBFAEUAUgBHAF8ANABfADYAXwAxAF8AMQBfAF8ANABfAFYAbwBsAGEAdABpAGwAZQBTAG8AbABpAGQAcwBUAHIAYQBuAHMAZgBlAHIAcgBlAGQAXwBVAG4AaQB0ACIALAAiAE0ATQBTAF8AUABvAHUAbAB0AHIAeQBfAE0AZQB0AGgAYQBuAGUAXwBFAHEAdQBhAHQAaQBvAG4AcwAuAFYARQBFAFIARwBfADQAXwA2AF8AMQBfADEAXwBfADQAXwBWAG8AbABhAHQAaQBsAGUAUwBvAGwAaQBkAHMAVAByAGEAbgBzAGYAZQByAHIAZQBkAF8AUwBvAHUAcgBjAGUAIgAsACIATQBNAFMAXwBQAG8AdQBsAHQAcgB5AF8ATQBlAHQAaABhAG4AZQBfAEUAcQB1AGEAdABpAG8AbgBzAC4AVgBFAEUAUgBHAF8ANABfADYAXwAxAF8AMQBfAF8ANABfAFYAbwBsAGEAdABpAGwAZQBTAG8AbABpAGQAcwBUAHIAYQBuAHMAZgBlAHIAcgBlAGQAXwBOAEkAUgBSAGUAZgBlAHIAZQBuAGMAZQAiACwAIgBNAE0AUwBfAFAAbwB1AGwAdAByAHkAXwBNAGUAdABoAGEAbgBlAF8ARQBxAHUAYQB0AGkAbwBuAHMALgBWAEUARQBSAEcAXwA0AF8ANgBfADEAXwAxAF8AXwA0AF8AVgBvAGwAYQB0AGkAbABlAFMAbwBsAGkAZABzAFQAcgBhAG4AcwBmAGUAcgByAGUAZABfAEwAYQB0AGUAeABFAHEAdQBhAHQAaQBvAG4AIgAsACIATQBNAFMAXwBQAG8AdQBsAHQAcgB5AF8ATQBlAHQAaABhAG4AZQBfAEUAcQB1AGEAdABpAG8AbgBzAC4AVgBFAEUAUgBHAF8ANABfADYAXwAxAF8AMQBfAF8ANABfAFYAbwBsAGEAdABpAGwAZQBTAG8AbABpAGQAcwBUAHIAYQBuAHMAZgBlAHIAcgBlAGQAXwBBAHIAZwB1AG0AZQBuAHQAcwAiACwAIgBNAE0AUwBfAFAAbwB1AGwAdAByAHkAXwBNAGUAdABoAGEAbgBlAF8ARQBxAHUAYQB0AGkAbwBuAHMALgBWAEUARQBSAEcAXwA0AF8ANgBfADEAXwAxAF8AXwA1AF8AVgBvAGwAYQB0AGkAbABlAFMAbwBsAGkAZABQAHIAbwBkAHUAYwB0AGkAbwBuACIALAAiAE0ATQBTAF8AUABvAHUAbAB0AHIAeQBfAE0AZQB0AGgAYQBuAGUAXwBFAHEAdQBhAHQAaQBvAG4AcwAuAFYARQBFAFIARwBfADQAXwA2AF8AMQBfADEAXwBfADUAXwBWAG8AbABhAHQAaQBsAGUAUwBvAGwAaQBkAFAAcgBvAGQAdQBjAHQAaQBvAG4AXwBUAGkAdABsAGUAIgAsACIATQBNAFMAXwBQAG8AdQBsAHQAcgB5AF8ATQBlAHQAaABhAG4AZQBfAEUAcQB1AGEAdABpAG8AbgBzAC4AVgBFAEUAUgBHAF8ANABfADYAXwAxAF8AMQBfAF8ANQBfAFYAbwBsAGEAdABpAGwAZQBTAG8AbABpAGQAUAByAG8AZAB1AGMAdABpAG8AbgBfAFYAYQByAGkAYQBiAGwAZQAiACwAIgBNAE0AUwBfAFAAbwB1AGwAdAByAHkAXwBNAGUAdABoAGEAbgBlAF8ARQBxAHUAYQB0AGkAbwBuAHMALgBWAEUARQBSAEcAXwA0AF8ANgBfADEAXwAxAF8AXwA1AF8AVgBvAGwAYQB0AGkAbABlAFMAbwBsAGkAZABQAHIAbwBkAHUAYwB0AGkAbwBuAF8AVQBuAGkAdAAiACwAIgBNAE0AUwBfAFAAbwB1AGwAdAByAHkAXwBNAGUAdABoAGEAbgBlAF8ARQBxAHUAYQB0AGkAbwBuAHMALgBWAEUARQBSAEcAXwA0AF8ANgBfADEAXwAxAF8AXwA1AF8AVgBvAGwAYQB0AGkAbABlAFMAbwBsAGkAZABQAHIAbwBkAHUAYwB0AGkAbwBuAF8AUwBvAHUAcgBjAGUAIgAsACIATQBNAFMAXwBQAG8AdQBsAHQAcgB5AF8ATQBlAHQAaABhAG4AZQBfAEUAcQB1AGEAdABpAG8AbgBzAC4AVgBFAEUAUgBHAF8ANABfADYAXwAxAF8AMQBfAF8ANQBfAFYAbwBsAGEAdABpAGwAZQBTAG8AbABpAGQAUAByAG8AZAB1AGMAdABpAG8AbgBfAE4ASQBSAFIAZQBmAGUAcgBlAG4AYwBlACIALAAiAE0ATQBTAF8AUABvAHUAbAB0AHIAeQBfAE0AZQB0AGgAYQBuAGUAXwBFAHEAdQBhAHQAaQBvAG4AcwAuAFYARQBFAFIARwBfADQAXwA2AF8AMQBfADEAXwBfADUAXwBWAG8AbABhAHQAaQBsAGUAUwBvAGwAaQBkAFAAcgBvAGQAdQBjAHQAaQBvAG4AXwBMAGEAdABlAHgARQBxAHUAYQB0AGkAbwBuACIALAAiAE0ATQBTAF8AUABvAHUAbAB0AHIAeQBfAE0AZQB0AGgAYQBuAGUAXwBFAHEAdQBhAHQAaQBvAG4AcwAuAFYARQBFAFIARwBfADQAXwA2AF8AMQBfADEAXwBfADUAXwBWAG8AbABhAHQAaQBsAGUAUwBvAGwAaQBkAFAAcgBvAGQAdQBjAHQAaQBvAG4AXwBBAHIAZwB1AG0AZQBuAHQAcwAiACwAIgBNAE0AUwBfAFAAbwB1AGwAdAByAHkAXwBNAGEAbgB1AHIAZQBBAHAAcABsAGkAZQBkAFQAbwBTAG8AaQBsAHMAXwBFAHEAdQBhAHQAaQBvAG4AcwAuAFYARQBFAFIARwBfADQAXwA2AF8AMQBfADkAXwBfADEAXwBNAGEAcwBzAE8AZgBOAGkAdAByAG8AZwBlAG4AQQBwAHAAbABpAGUAZABUAG8AUwBvAGkAbABzAFMAYwBvAHAAZQAxACIALAAiAE0ATQBTAF8AUABvAHUAbAB0AHIAeQBfAE0AYQBuAHUAcgBlAEEAcABwAGwAaQBlAGQAVABvAFMAbwBpAGwAcwBfAEUAcQB1AGEAdABpAG8AbgBzAC4AVgBFAEUAUgBHAF8ANABfADYAXwAxAF8AOQBfAF8AMQBfAE0AYQBzAHMATwBmAE4AaQB0AHIAbwBnAGUAbgBBAHAAcABsAGkAZQBkAFQAbwBTAG8AaQBsAHMAUwBjAG8AcABlADEAXwBUAGkAdABsAGUAIgAsACIATQBNAFMAXwBQAG8AdQBsAHQAcgB5AF8ATQBhAG4AdQByAGUAQQBwAHAAbABpAGUAZABUAG8AUwBvAGkAbABzAF8ARQBxAHUAYQB0AGkAbwBuAHMALgBWAEUARQBSAEcAXwA0AF8ANgBfADEAXwA5AF8AXwAxAF8ATQBhAHMAcwBPAGYATgBpAHQAcgBvAGcAZQBuAEEAcABwAGwAaQBlAGQAVABvAFMAbwBpAGwAcwBTAGMAbwBwAGUAMQBfAFYAYQByAGkAYQBiAGwAZQAiACwAIgBNAE0AUwBfAFAAbwB1AGwAdAByAHkAXwBNAGEAbgB1AHIAZQBBAHAAcABsAGkAZQBkAFQAbwBTAG8AaQBsAHMAXwBFAHEAdQBhAHQAaQBvAG4AcwAuAFYARQBFAFIARwBfADQAXwA2AF8AMQBfADkAXwBfADEAXwBNAGEAcwBzAE8AZgBOAGkAdAByAG8AZwBlAG4AQQBwAHAAbABpAGUAZABUAG8AUwBvAGkAbABzAFMAYwBvAHAAZQAxAF8AVQBuAGkAdAAiACwAIgBNAE0AUwBfAFAAbwB1AGwAdAByAHkAXwBNAGEAbgB1AHIAZQBBAHAAcABsAGkAZQBkAFQAbwBTAG8AaQBsAHMAXwBFAHEAdQBhAHQAaQBvAG4AcwAuAFYARQBFAFIARwBfADQAXwA2AF8AMQBfADkAXwBfADEAXwBNAGEAcwBzAE8AZgBOAGkAdAByAG8AZwBlAG4AQQBwAHAAbABpAGUAZABUAG8AUwBvAGkAbABzAFMAYwBvAHAAZQAxAF8AUwBvAHUAcgBjAGUAIgAsACIATQBNAFMAXwBQAG8AdQBsAHQAcgB5AF8ATQBhAG4AdQByAGUAQQBwAHAAbABpAGUAZABUAG8AUwBvAGkAbABzAF8ARQBxAHUAYQB0AGkAbwBuAHMALgBWAEUARQBSAEcAXwA0AF8ANgBfADEAXwA5AF8AXwAxAF8ATQBhAHMAcwBPAGYATgBpAHQAcgBvAGcAZQBuAEEAcABwAGwAaQBlAGQAVABvAFMAbwBpAGwAcwBTAGMAbwBwAGUAMQBfAE4ASQBSAFIAZQBmAGUAcgBlAG4AYwBlACIALAAiAE0ATQBTAF8AUABvAHUAbAB0AHIAeQBfAE0AYQBuAHUAcgBlAEEAcABwAGwAaQBlAGQAVABvAFMAbwBpAGwAcwBfAEUAcQB1AGEAdABpAG8AbgBzAC4AVgBFAEUAUgBHAF8ANABfADYAXwAxAF8AOQBfAF8AMQBfAE0AYQBzAHMATwBmAE4AaQB0AHIAbwBnAGUAbgBBAHAAcABsAGkAZQBkAFQAbwBTAG8AaQBsAHMAUwBjAG8AcABlADEAXwBMAGEAdABlAHgARQBxAHUAYQB0AGkAbwBuACIALAAiAE0ATQBTAF8AUABvAHUAbAB0AHIAeQBfAE0AYQBuAHUAcgBlAEEAcABwAGwAaQBlAGQAVABvAFMAbwBpAGwAcwBfAEUAcQB1AGEAdABpAG8AbgBzAC4AVgBFAEUAUgBHAF8ANABfADYAXwAxAF8AOQBfAF8AMQBfAE0AYQBzAHMATwBmAE4AaQB0AHIAbwBnAGUAbgBBAHAAcABsAGkAZQBkAFQAbwBTAG8AaQBsAHMAUwBjAG8AcABlADEAXwBBAHIAZwB1AG0AZQBuAHQAcwAiACwAIgBNAE0AUwBfAFAAbwB1AGwAdAByAHkAXwBNAGEAbgB1AHIAZQBBAHAAcABsAGkAZQBkAFQAbwBTAG8AaQBsAHMAXwBFAHEAdQBhAHQAaQBvAG4AcwAuAFYARQBFAFIARwBfADQAXwA2AF8AMQBfADkAXwBfADIAXwBNAGEAcwBzAE8AZgBOAGkAdAByAG8AZwBlAG4AQQBwAHAAbABpAGUAZABUAG8AUwBvAGkAbABzAFMAYwBvAHAAZQAzACIALAAiAE0ATQBTAF8AUABvAHUAbAB0AHIAeQBfAE0AYQBuAHUAcgBlAEEAcABwAGwAaQBlAGQAVABvAFMAbwBpAGwAcwBfAEUAcQB1AGEAdABpAG8AbgBzAC4AVgBFAEUAUgBHAF8ANABfADYAXwAxAF8AOQBfAF8AMgBfAE0AYQBzAHMATwBmAE4AaQB0AHIAbwBnAGUAbgBBAHAAcABsAGkAZQBkAFQAbwBTAG8AaQBsAHMAUwBjAG8AcABlADMAXwBUAGkAdABsAGUAIgAsACIATQBNAFMAXwBQAG8AdQBsAHQAcgB5AF8ATQBhAG4AdQByAGUAQQBwAHAAbABpAGUAZABUAG8AUwBvAGkAbABzAF8ARQBxAHUAYQB0AGkAbwBuAHMALgBWAEUARQBSAEcAXwA0AF8ANgBfADEAXwA5AF8AXwAyAF8ATQBhAHMAcwBPAGYATgBpAHQAcgBvAGcAZQBuAEEAcABwAGwAaQBlAGQAVABvAFMAbwBpAGwAcwBTAGMAbwBwAGUAMwBfAFYAYQByAGkAYQBiAGwAZQAiACwAIgBNAE0AUwBfAFAAbwB1AGwAdAByAHkAXwBNAGEAbgB1AHIAZQBBAHAAcABsAGkAZQBkAFQAbwBTAG8AaQBsAHMAXwBFAHEAdQBhAHQAaQBvAG4AcwAuAFYARQBFAFIARwBfADQAXwA2AF8AMQBfADkAXwBfADIAXwBNAGEAcwBzAE8AZgBOAGkAdAByAG8AZwBlAG4AQQBwAHAAbABpAGUAZABUAG8AUwBvAGkAbABzAFMAYwBvAHAAZQAzAF8AVQBuAGkAdAAiACwAIgBNAE0AUwBfAFAAbwB1AGwAdAByAHkAXwBNAGEAbgB1AHIAZQBBAHAAcABsAGkAZQBkAFQAbwBTAG8AaQBsAHMAXwBFAHEAdQBhAHQAaQBvAG4AcwAuAFYARQBFAFIARwBfADQAXwA2AF8AMQBfADkAXwBfADIAXwBNAGEAcwBzAE8AZgBOAGkAdAByAG8AZwBlAG4AQQBwAHAAbABpAGUAZABUAG8AUwBvAGkAbABzAFMAYwBvAHAAZQAzAF8AUwBvAHUAcgBjAGUAIgAsACIATQBNAFMAXwBQAG8AdQBsAHQAcgB5AF8ATQBhAG4AdQByAGUAQQBwAHAAbABpAGUAZABUAG8AUwBvAGkAbABzAF8ARQBxAHUAYQB0AGkAbwBuAHMALgBWAEUARQBSAEcAXwA0AF8ANgBfADEAXwA5AF8AXwAyAF8ATQBhAHMAcwBPAGYATgBpAHQAcgBvAGcAZQBuAEEAcABwAGwAaQBlAGQAVABvAFMAbwBpAGwAcwBTAGMAbwBwAGUAMwBfAE4ASQBSAFIAZQBmAGUAcgBlAG4AYwBlACIALAAiAE0ATQBTAF8AUABvAHUAbAB0AHIAeQBfAE0AYQBuAHUAcgBlAEEAcABwAGwAaQBlAGQAVABvAFMAbwBpAGwAcwBfAEUAcQB1AGEAdABpAG8AbgBzAC4AVgBFAEUAUgBHAF8ANABfADYAXwAxAF8AOQBfAF8AMgBfAE0AYQBzAHMATwBmAE4AaQB0AHIAbwBnAGUAbgBBAHAAcABsAGkAZQBkAFQAbwBTAG8AaQBsAHMAUwBjAG8AcABlADMAXwBMAGEAdABlAHgARQBxAHUAYQB0AGkAbwBuACIALAAiAE0ATQBTAF8AUABvAHUAbAB0AHIAeQBfAE0AYQBuAHUAcgBlAEEAcABwAGwAaQBlAGQAVABvAFMAbwBpAGwAcwBfAEUAcQB1AGEAdABpAG8AbgBzAC4AVgBFAEUAUgBHAF8ANABfADYAXwAxAF8AOQBfAF8AMgBfAE0AYQBzAHMATwBmAE4AaQB0AHIAbwBnAGUAbgBBAHAAcABsAGkAZQBkAFQAbwBTAG8AaQBsAHMAUwBjAG8AcABlADMAXwBBAHIAZwB1AG0AZQBuAHQAcwAiACwAIgBNAE0AUwBfAFAAbwB1AGwAdAByAHkAXwBTAG8AaQBsAF8ATgAyAE8ARABpAHIAZQBjAHQAXwBFAHEAdQBhAHQAaQBvAG4AcwAuAFYARQBFAFIARwBfADQAXwA2AF8AMQBfADEAMABfAF8AMQBfAEQAaQByAGUAYwB0AE4AaQB0AHIAbwB1AHMATwB4AGkAZABlAEUAbQBpAHMAcwBpAG8AbgBzAEYAcgBvAG0AUABvAHUAbAB0AHIAeQBNAGEAbgB1AHIAZQAiACwAIgBNAE0AUwBfAFAAbwB1AGwAdAByAHkAXwBTAG8AaQBsAF8ATgAyAE8ARABpAHIAZQBjAHQAXwBFAHEAdQBhAHQAaQBvAG4AcwAuAFYARQBFAFIARwBfADQAXwA2AF8AMQBfADEAMABfAF8AMQBfAEQAaQByAGUAYwB0AE4AaQB0AHIAbwB1AHMATwB4AGkAZABlAEUAbQBpAHMAcwBpAG8AbgBzAEYAcgBvAG0AUABvAHUAbAB0AHIAeQBNAGEAbgB1AHIAZQBfAFQAaQB0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YAYQByAGkAYQBi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UAbgBpAHQAIgAsACIATQBNAFMAXwBQAG8AdQBsAHQAcgB5AF8AUwBvAGkAbABfAE4AMgBPAEQAaQByAGUAYwB0AF8ARQBxAHUAYQB0AGkAbwBuAHMALgBWAEUARQBSAEcAXwA0AF8ANgBfADEAXwAxADAAXwBfADEAXwBEAGkAcgBlAGMAdABOAGkAdAByAG8AdQBzAE8AeABpAGQAZQBFAG0AaQBzAHMAaQBvAG4AcwBGAHIAbwBtAFAAbwB1AGwAdAByAHkATQBhAG4AdQByAGUAXwBTAG8AdQBy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4ASQBSAFIAZQBmAGUAcgBlAG4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ABhAHQAZQB4AEUAcQB1AGEAdABpAG8AbgAiACwAIgBNAE0AUwBfAFAAbwB1AGwAdAByAHkAXwBTAG8AaQBsAF8ATgAyAE8ARABpAHIAZQBjAHQAXwBFAHEAdQBhAHQAaQBvAG4AcwAuAFYARQBFAFIARwBfADQAXwA2AF8AMQBfADEAMABfAF8AMQBfAEQAaQByAGUAYwB0AE4AaQB0AHIAbwB1AHMATwB4AGkAZABlAEUAbQBpAHMAcwBpAG8AbgBzAEYAcgBvAG0AUABvAHUAbAB0AHIAeQBNAGEAbgB1AHIAZQBfAEEAcgBnAHUAbQBlAG4AdABz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ABpAHQ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gBhAHIAaQBhAGI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QBuAGkAdA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MAbwB1AHI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QQByAGcAdQBtAGUAbgB0AHM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ABpAHQ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WAGEAcgBpAGEAYg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UAbgBpAHQ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MAbwB1AHI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QQByAGcAdQBtAGUAbgB0AHM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ABpAHQ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WAGEAcgBpAGEAYg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UAbgBpAHQ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MAbwB1AHI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OAEkAUgBSAGUAZgBlAHIAZQBu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ABhAHQAZQB4AEUAcQB1AGEAdABpAG8Abg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QQByAGcAdQBtAGUAbgB0AHM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UAGkAdA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WAGEAcgBpAGEAYg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VAG4AaQB0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UwBvAHUAc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OAEkAUgBSAGUAZgBlAHIAZQBu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wAYQB0AGUAeABFAHEAdQBhAHQAaQBvAG4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BAHIAZwB1AG0AZQBuAHQAcw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FAAcgBvAGQAdQBjAHQAcwBfAFQAaQB0AGwAZQAiACwAIgBGAGUAcgB0AGkAbABpAHMAZQByAF8AUwBvAHUAcgBjAGUARABhAHQAYQAuAEYAZQByAHQAaQBsAGkAcwBlAHIAXwBQAHIAbwBkAHUAYwB0AHMAXwBEAGUAcwBjAHIAaQBwAHQAaQBvAG4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TAG8AdQByAGMAZQBEAGEAdABhAC4ARgBlAHIAdABpAGwAaQBzAGUAcgBfAFAAcgBvAGQAdQBjAHQAcwBfAEQAYQB0AGEAMgAiACwAIgBGAGUAcgB0AGkAbABpAHMAZQByAF8AUwBvAHUAcgBjAGUARABhAHQAYQAuAEYAZQByAHQAaQBsAGkAcwBlAHIAXwBQAHIAbwBkAHUAYwB0AHMAXwBEAGEAdABhADMAIgAsACIARgBlAHIAdABpAGwAaQBzAGUAcgBfAFMAbwB1AHIAYwBlAEQAYQB0AGEALgBGAGUAcgB0AGkAbABpAHMAZQByAF8AUAByAG8AZAB1AGMAdABzAF8ARABhAHQAYQA0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Home</vt:lpstr>
      <vt:lpstr>Results</vt:lpstr>
      <vt:lpstr>Input - Site</vt:lpstr>
      <vt:lpstr>Input - Inorganic fertiliser</vt:lpstr>
      <vt:lpstr>5.1.1.1-2 Inorganic fert N2O</vt:lpstr>
      <vt:lpstr>5.1.1.3-4 Inorganic fert CO2</vt:lpstr>
      <vt:lpstr>Constants - Fertiliser</vt:lpstr>
      <vt:lpstr>Constants - Poultry</vt:lpstr>
      <vt:lpstr>Constants - Common</vt:lpstr>
      <vt:lpstr>Constants - Livestock</vt:lpstr>
      <vt:lpstr>Acknowledgements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2026-04-20T05:21:17Z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