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drawings/drawing2.xml" ContentType="application/vnd.openxmlformats-officedocument.drawing+xml"/>
  <Override PartName="/xl/drawings/drawing3.xml" ContentType="application/vnd.openxmlformats-officedocument.drawing+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52FE3798-1A53-4B17-B7FB-A8F61C73FABC}" xr6:coauthVersionLast="47" xr6:coauthVersionMax="47" xr10:uidLastSave="{00000000-0000-0000-0000-000000000000}"/>
  <bookViews>
    <workbookView xWindow="15" yWindow="420" windowWidth="28800" windowHeight="16890" firstSheet="3" activeTab="6" xr2:uid="{992023F3-CAB7-4E5B-A348-08D563A0EF40}"/>
  </bookViews>
  <sheets>
    <sheet name="Home" sheetId="71" r:id="rId1"/>
    <sheet name="Results" sheetId="13" r:id="rId2"/>
    <sheet name="Input - Site" sheetId="15" r:id="rId3"/>
    <sheet name="Input - Inorganic fertiliser" sheetId="70" r:id="rId4"/>
    <sheet name="5.1.1.1-2 Inorganic fert N2O" sheetId="69" r:id="rId5"/>
    <sheet name="5.1.1.3-4 Inorganic fert CO2" sheetId="74" r:id="rId6"/>
    <sheet name="Constants - Fertiliser" sheetId="110" r:id="rId7"/>
    <sheet name="Constants - Poultry" sheetId="79" r:id="rId8"/>
    <sheet name="Constants - Common" sheetId="111" r:id="rId9"/>
    <sheet name="Constants - Livestock" sheetId="43" r:id="rId10"/>
    <sheet name="Acknowledgements" sheetId="72" r:id="rId11"/>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8">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8">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8">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8">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8">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Fertiliser_Equations_InorganicCO2.VEERG_5_1_1_3__1_InorganicFertiliserApplicationCO2Emissions">_xlfn.LAMBDA(_xlpm.MU_jf,_xlpm.EF_ureaCO2,_xlpm.C_CO2, (_xlpm.MU_jf * _xlpm.EF_ureaCO2 * _xlpm.C_CO2) * 10 ^ -3)</definedName>
    <definedName name="Fertiliser_Equations_InorganicCO2.VEERG_5_1_1_3__1_InorganicFertiliserApplicationCO2Emissions_Arguments">_xlfn.LAMBDA(_xlfn.MAKEARRAY(5, 3, _xlfn.LAMBDA(_xlpm.r,_xlpm.c, INDEX({"MU_jf","mass of urea of inorganic fertiliser type f applied to production system j : kg urea","Calculated";"EF_ureaCO2","emission factor for carbon emissions from urea-based fertilisers : 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LatexEquation">_xlfn.LAMBDA("E_{CO2}=\sum_{j}\sum_{f}((MU_{jf}\times EF_{urea,CO2}\times C_{CO2})\times 10^{-3})")</definedName>
    <definedName name="Fertiliser_Equations_InorganicCO2.VEERG_5_1_1_3__1_InorganicFertiliserApplicationCO2Emissions_NIRReference">_xlfn.LAMBDA("")</definedName>
    <definedName name="Fertiliser_Equations_InorganicCO2.VEERG_5_1_1_3__1_InorganicFertiliserApplicationCO2Emissions_Source">_xlfn.LAMBDA("VEERG 2026: 5.1.1.3, Equation (1)")</definedName>
    <definedName name="Fertiliser_Equations_InorganicCO2.VEERG_5_1_1_3__1_InorganicFertiliserApplicationCO2Emissions_Title">_xlfn.LAMBDA("Carbon dioxide emissions resulting from the use of all inorganic, urea-based fertilisers")</definedName>
    <definedName name="Fertiliser_Equations_InorganicCO2.VEERG_5_1_1_3__1_InorganicFertiliserApplicationCO2Emissions_Unit">_xlfn.LAMBDA("t CO2")</definedName>
    <definedName name="Fertiliser_Equations_InorganicCO2.VEERG_5_1_1_3__1_InorganicFertiliserApplicationCO2Emissions_Variable">_xlfn.LAMBDA("E_CO2")</definedName>
    <definedName name="Fertiliser_Equations_InorganicCO2.VEERG_5_1_1_3__2_MassOfUreaInInorganicFertiliser">_xlfn.LAMBDA(_xlpm.TM_jf,_xlpm.FU_f, _xlpm.TM_jf * _xlpm.FU_f)</definedName>
    <definedName name="Fertiliser_Equations_InorganicCO2.VEERG_5_1_1_3__2_MassOfUreaInInorganicFertiliser_Arguments">_xlfn.LAMBDA(_xlfn.MAKEARRAY(2, 3, _xlfn.LAMBDA(_xlpm.r,_xlpm.c, INDEX({"TM_jf","total mass of inorganic fertiliser type f applied to production system j : kg","Input";"FU_f","fraction of urea in fertiliser type f : kg urea/kg","Lookup"}, _xlpm.r, _xlpm.c))))</definedName>
    <definedName name="Fertiliser_Equations_InorganicCO2.VEERG_5_1_1_3__2_MassOfUreaInInorganicFertiliser_LatexEquation">_xlfn.LAMBDA("{MU}_{jf}=TM_{jf}\times FU_f")</definedName>
    <definedName name="Fertiliser_Equations_InorganicCO2.VEERG_5_1_1_3__2_MassOfUreaInInorganicFertiliser_NIRReference">_xlfn.LAMBDA("")</definedName>
    <definedName name="Fertiliser_Equations_InorganicCO2.VEERG_5_1_1_3__2_MassOfUreaInInorganicFertiliser_Source">_xlfn.LAMBDA("VEERG 2026: 5.1.1.3, Equation (2)")</definedName>
    <definedName name="Fertiliser_Equations_InorganicCO2.VEERG_5_1_1_3__2_MassOfUreaInInorganicFertiliser_Title">_xlfn.LAMBDA("Mass of urea applied to production system")</definedName>
    <definedName name="Fertiliser_Equations_InorganicCO2.VEERG_5_1_1_3__2_MassOfUreaInInorganicFertiliser_Unit">_xlfn.LAMBDA("kg urea")</definedName>
    <definedName name="Fertiliser_Equations_InorganicCO2.VEERG_5_1_1_3__2_MassOfUreaInInorganicFertiliser_Variable">_xlfn.LAMBDA("MU_jf")</definedName>
    <definedName name="Fertiliser_Equations_InorganicN2O.VEERG_5_1_1_1__1_InorganicFertiliserApplicationN2OEmissions">_xlfn.LAMBDA(_xlpm.MN_jf,_xlpm.EF_jN2O,_xlpm.C_N2O, (_xlpm.MN_jf * _xlpm.EF_jN2O * _xlpm.C_N2O) * 10 ^ -3)</definedName>
    <definedName name="Fertiliser_Equations_InorganicN2O.VEERG_5_1_1_1__1_InorganicFertiliserApplicationN2OEmissions_Arguments">_xlfn.LAMBDA(_xlfn.MAKEARRAY(7, 3, _xlfn.LAMBDA(_xlpm.r,_xlpm.c, INDEX({"MN_jf","mass of nitrogen in inorganic fertiliser type f applied to production system j (kg N)","Calculated";"EF_jN2O","emission factor for nitrous oxide for inorganic fertilisers (kg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_Method2">_xlfn.LAMBDA(_xlfn.MAKEARRAY(8, 3, _xlfn.LAMBDA(_xlpm.r,_xlpm.c, INDEX({"MN_jf","mass of nitrogen in inorganic fertiliser type f applied to production system j (kg N)","Calculated";"EF_jN2O","emission factor for nitrous oxide for inorganic fertilisers (kg N2O-N/kg N applied)","Lookup";"C_N2O","factor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LatexEquation">_xlfn.LAMBDA("E_{N2O}=\sum_{j}\sum_{f}((MN_{jf}\times EF_{j,N2O}\times C_{N2O})\times 10^{-3})")</definedName>
    <definedName name="Fertiliser_Equations_InorganicN2O.VEERG_5_1_1_1__1_InorganicFertiliserApplicationN2OEmissions_NIRReference">_xlfn.LAMBDA("")</definedName>
    <definedName name="Fertiliser_Equations_InorganicN2O.VEERG_5_1_1_1__1_InorganicFertiliserApplicationN2OEmissions_Source">_xlfn.LAMBDA("VEERG 2026: 5.1.1.1, Equation (1)")</definedName>
    <definedName name="Fertiliser_Equations_InorganicN2O.VEERG_5_1_1_1__1_InorganicFertiliserApplicationN2OEmissions_Title">_xlfn.LAMBDA("Nitrous oxide emissions from the application of all inorganic fertiliser types f to all production systems j")</definedName>
    <definedName name="Fertiliser_Equations_InorganicN2O.VEERG_5_1_1_1__1_InorganicFertiliserApplicationN2OEmissions_Unit">_xlfn.LAMBDA("t N2O")</definedName>
    <definedName name="Fertiliser_Equations_InorganicN2O.VEERG_5_1_1_1__1_InorganicFertiliserApplicationN2OEmissions_Variable">_xlfn.LAMBDA("E_N2O")</definedName>
    <definedName name="Fertiliser_Equations_InorganicN2O.VEERG_5_1_1_1__2_MassOfNitrogenInInorganicFertiliser">_xlfn.LAMBDA(_xlpm.TM_jf,_xlpm.FN_inorganicf, _xlpm.TM_jf * _xlpm.FN_inorganicf)</definedName>
    <definedName name="Fertiliser_Equations_InorganicN2O.VEERG_5_1_1_1__2_MassOfNitrogenInInorganicFertiliser_Arguments">_xlfn.LAMBDA(_xlfn.MAKEARRAY(2, 3, _xlfn.LAMBDA(_xlpm.r,_xlpm.c, INDEX({"TM_jf","total mass of inorganic fertiliser type f applied to production system j (kg)","Input";"FN_inorganicf","fraction of nitrogen in inorganic fertiliser type f (kg N/kg)","Constant"}, _xlpm.r, _xlpm.c))))</definedName>
    <definedName name="Fertiliser_Equations_InorganicN2O.VEERG_5_1_1_1__2_MassOfNitrogenInInorganicFertiliser_LatexEquation">_xlfn.LAMBDA("{MN}_{jf}=TM_{jf}\times FN_{inorganic,f}")</definedName>
    <definedName name="Fertiliser_Equations_InorganicN2O.VEERG_5_1_1_1__2_MassOfNitrogenInInorganicFertiliser_NIRReference">_xlfn.LAMBDA("")</definedName>
    <definedName name="Fertiliser_Equations_InorganicN2O.VEERG_5_1_1_1__2_MassOfNitrogenInInorganicFertiliser_Source">_xlfn.LAMBDA("VEERG 2026: 5.1.1.1, Equation (2)")</definedName>
    <definedName name="Fertiliser_Equations_InorganicN2O.VEERG_5_1_1_1__2_MassOfNitrogenInInorganicFertiliser_Title">_xlfn.LAMBDA("Mass of nitrogen in inorganic fertiliser applied to production system")</definedName>
    <definedName name="Fertiliser_Equations_InorganicN2O.VEERG_5_1_1_1__2_MassOfNitrogenInInorganicFertiliser_Unit">_xlfn.LAMBDA("kg N")</definedName>
    <definedName name="Fertiliser_Equations_InorganicN2O.VEERG_5_1_1_1__2_MassOfNitrogenInInorganicFertiliser_Variable">_xlfn.LAMBDA("MN_jf")</definedName>
    <definedName name="Fertiliser_Equations_InorganicN2O.VEERG_5_1_1_2__1_EmissionFactorIrrigatedMaize">_xlfn.LAMBDA(_xlpm.N_fjIrrigatedMaize, (-0.1474 + (0.0061 * _xlpm.N_fjIrrigatedMaize)) * 10 ^ -2)</definedName>
    <definedName name="Fertiliser_Equations_InorganicN2O.VEERG_5_1_1_2__1_EmissionFactorIrrigatedMaize_Arguments">_xlfn.LAMBDA(_xlfn.MAKEARRAY(2, 3, _xlfn.LAMBDA(_xlpm.r,_xlpm.c, INDEX({"N_fjIrrigatedMaize","application rate of inorganic fertiliser type f in the irrigated maize crop (kg N/ha)","Input";"f","Inorganic fertiliser type","Constant"}, _xlpm.r, _xlpm.c))))</definedName>
    <definedName name="Fertiliser_Equations_InorganicN2O.VEERG_5_1_1_2__1_EmissionFactorIrrigatedMaize_LatexEquation">_xlfn.LAMBDA("EF_{fj=irrigatedmaize,N2O}=(-0.1474+(0.0061\times N_{fj=irrigatedmaize}))\times 10^{-2}")</definedName>
    <definedName name="Fertiliser_Equations_InorganicN2O.VEERG_5_1_1_2__1_EmissionFactorIrrigatedMaize_NIRReference">_xlfn.LAMBDA("")</definedName>
    <definedName name="Fertiliser_Equations_InorganicN2O.VEERG_5_1_1_2__1_EmissionFactorIrrigatedMaize_Source">_xlfn.LAMBDA("VEERG 2026: 5.1.1.2, Equation (1)")</definedName>
    <definedName name="Fertiliser_Equations_InorganicN2O.VEERG_5_1_1_2__1_EmissionFactorIrrigatedMaize_Title">_xlfn.LAMBDA("Emission factor for nitrous oxide for irrigated maize")</definedName>
    <definedName name="Fertiliser_Equations_InorganicN2O.VEERG_5_1_1_2__1_EmissionFactorIrrigatedMaize_Unit">_xlfn.LAMBDA("kg N2O-N/kg N applied")</definedName>
    <definedName name="Fertiliser_Equations_InorganicN2O.VEERG_5_1_1_2__1_EmissionFactorIrrigatedMaize_Variable">_xlfn.LAMBDA("EF_fjIrrigatedMaizeN2O")</definedName>
    <definedName name="Fertiliser_Equations_InorganicN2O.VEERG_5_1_1_2__2_EmissionFactorNonIrrigatedGrainsHighRainfall">_xlfn.LAMBDA(_xlpm.N_fjNonIrrigatedGrains, (0.0781 + (0.0075 * _xlpm.N_fjNonIrrigatedGrains)) * 10 ^ -2)</definedName>
    <definedName name="Fertiliser_Equations_InorganicN2O.VEERG_5_1_1_2__2_EmissionFactorNonIrrigatedGrainsHighRainfall_Arguments">_xlfn.LAMBDA(_xlfn.MAKEARRAY(2, 3, _xlfn.LAMBDA(_xlpm.r,_xlpm.c, INDEX({"N_fjNonIrrigatedGrains","application rate of inorganic fertiliser type f in the grains crop (kg N/ha)","Input";"f","Inorganic fertiliser type","Constant"}, _xlpm.r, _xlpm.c))))</definedName>
    <definedName name="Fertiliser_Equations_InorganicN2O.VEERG_5_1_1_2__2_EmissionFactorNonIrrigatedGrainsHighRainfall_LatexEquation">_xlfn.LAMBDA("EF_{fj=nonirrigatedgrains,N2O}=(0.0781+(0.0075\times N_{fj=nonirrigatedgrains}))\times 10^{-2}")</definedName>
    <definedName name="Fertiliser_Equations_InorganicN2O.VEERG_5_1_1_2__2_EmissionFactorNonIrrigatedGrainsHighRainfall_NIRReference">_xlfn.LAMBDA("")</definedName>
    <definedName name="Fertiliser_Equations_InorganicN2O.VEERG_5_1_1_2__2_EmissionFactorNonIrrigatedGrainsHighRainfall_Source">_xlfn.LAMBDA("VEERG 2026: 5.1.1.2, Equation (2)")</definedName>
    <definedName name="Fertiliser_Equations_InorganicN2O.VEERG_5_1_1_2__2_EmissionFactorNonIrrigatedGrainsHighRainfall_Title">_xlfn.LAMBDA("Emission factor for nitrous oxide for non-irrigated grains in high rainfall zone")</definedName>
    <definedName name="Fertiliser_Equations_InorganicN2O.VEERG_5_1_1_2__2_EmissionFactorNonIrrigatedGrainsHighRainfall_Unit">_xlfn.LAMBDA("kg N2O-N/kg N applied")</definedName>
    <definedName name="Fertiliser_Equations_InorganicN2O.VEERG_5_1_1_2__2_EmissionFactorNonIrrigatedGrainsHighRainfall_Variable">_xlfn.LAMBDA("EF_fjNonIrrigatedGrainsN2O")</definedName>
    <definedName name="Fertiliser_Equations_InorganicN2O.VEERG_5_1_1_2__3_EmissionFactorCotton">_xlfn.LAMBDA(_xlpm.N_fjCotton, (0.01 * (0.29 + ((0.007 * (EXP(0.037 * _xlpm.N_fjCotton) - 1)) / _xlpm.N_fjCotton))) * 10 ^ -2)</definedName>
    <definedName name="Fertiliser_Equations_InorganicN2O.VEERG_5_1_1_2__3_EmissionFactorCotton_Arguments">_xlfn.LAMBDA(_xlfn.MAKEARRAY(2, 3, _xlfn.LAMBDA(_xlpm.r,_xlpm.c, INDEX({"N_fjCotton","application rate of inorganic fertiliser type f in the cotton crop (kg N/ha)","Input";"f","Inorganic fertiliser type","Constant"}, _xlpm.r, _xlpm.c))))</definedName>
    <definedName name="Fertiliser_Equations_InorganicN2O.VEERG_5_1_1_2__3_EmissionFactorCotton_LatexEquation">_xlfn.LAMBDA("EF_{fj=cotton,N2O}=(0.01 \times (0.29 + \frac{0.007(e^{0.037 \times N_{fj=cotton}}-1)}{N_{fj=cotton}})) \times 10^{-2}
")</definedName>
    <definedName name="Fertiliser_Equations_InorganicN2O.VEERG_5_1_1_2__3_EmissionFactorCotton_NIRReference">_xlfn.LAMBDA("")</definedName>
    <definedName name="Fertiliser_Equations_InorganicN2O.VEERG_5_1_1_2__3_EmissionFactorCotton_Source">_xlfn.LAMBDA("VEERG 2026: 5.1.1.2, Equation (3)")</definedName>
    <definedName name="Fertiliser_Equations_InorganicN2O.VEERG_5_1_1_2__3_EmissionFactorCotton_Title">_xlfn.LAMBDA("Emission factor for nitrous oxide for cotton")</definedName>
    <definedName name="Fertiliser_Equations_InorganicN2O.VEERG_5_1_1_2__3_EmissionFactorCotton_Unit">_xlfn.LAMBDA("kg N2O-N/kg N applied")</definedName>
    <definedName name="Fertiliser_Equations_InorganicN2O.VEERG_5_1_1_2__3_EmissionFactorCotton_Variable">_xlfn.LAMBDA("EF_fjCottonN2O")</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_xlfn.LAMBDA(_xlpm.LookupTarget1,_xlpm.LookupArray1,_xlpm.AmountApplied,_xlop.LookupTarget2,_xlop.LookupArray2, _xlfn.LET(_xlpm.criteria1, --(_xlpm.LookupArray1 = _xlpm.LookupTarget1), _xlpm.criteria2, IF(_xlfn.ISOMITTED(_xlpm.LookupTarget2), 1, --(_xlpm.LookupArray2 = _xlpm.LookupTarget2)), SUMPRODUCT(_xlpm.criteria1 * _xlpm.criteria2 * _xlpm.AmountApplied)))</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_xlfn.LAMBDA(_xlpm.ChemicalCompound,_xlpm.Source,_xlpm.AmountApplied,_xlpm.ProductIngredient1,_xlpm.ProductIngredientPercent1,_xlpm.ProductIngredient1Source,_xlop.ProductIngredient2,_xlop.ProductIngredientPercent2,_xlop.ProductIngredient2Source,_xlop.ProductIngredient3,_xlop.ProductIngredientPercent3,_xlop.ProductIngredient3Source,_xlop.ProductIngredient4,_xlop.ProductIngredientPercent4,_xlop.ProductIngredient4Source,_xlop.ProductIngredient5,_xlop.ProductIngredientPercent5,_xlop.ProductIngredient5Source,_xlop.ProductIngredient6,_xlop.ProductIngredientPercent6,_xlop.ProductIngredient6Source,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_xlpm.Source, _xlpm.ProductIngredient1Source) + IFERROR(Fertiliser_InputFunctions.Fertiliser_SumProductApplied(_xlpm.ChemicalCompound, _xlpm.ProductIngredient2, _xlpm.calculatedAmount2, _xlpm.Source, _xlpm.ProductIngredient2Source), 0) + IFERROR(Fertiliser_InputFunctions.Fertiliser_SumProductApplied(_xlpm.ChemicalCompound, _xlpm.ProductIngredient3, _xlpm.calculatedAmount3, _xlpm.Source, _xlpm.ProductIngredient3Source), 0) + IFERROR(Fertiliser_InputFunctions.Fertiliser_SumProductApplied(_xlpm.ChemicalCompound, _xlpm.ProductIngredient4, _xlpm.calculatedAmount4, _xlpm.Source, _xlpm.ProductIngredient4Source), 0) + IFERROR(Fertiliser_InputFunctions.Fertiliser_SumProductApplied(_xlpm.ChemicalCompound, _xlpm.ProductIngredient5, _xlpm.calculatedAmount5, _xlpm.Source, _xlpm.ProductIngredient5Source), 0) + IFERROR(Fertiliser_InputFunctions.Fertiliser_SumProductApplied(_xlpm.ChemicalCompound, _xlpm.ProductIngredient6, _xlpm.calculatedAmount6, _xlpm.Source, _xlpm.ProductIngredient6Source),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_xlfn.LAMBDA(_xlfn.MAKEARRAY(19,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Generic",1,0,"Other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(SSP)","LifeCycles";"Ammonia",0.82,0,"Ammonium-based fertilisers","Ammonia","LifeCycles"}, _xlpm.r, _xlpm.c))))</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_xlfn.LAMBDA(_xlfn.MAKEARRAY(9,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 _xlpm.r, _xlpm.c))))</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_xlfn.LAMBDA(("Table A.2.2.6: Fraction of inorganic fertiliser f that volatilises as NH3 and NOx ((kg NH3–N + NOx–N)/kg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_xlfn.LAMBDA(("National Inventory Report 2023 Volume 1: 5.8.2 Methodological issues, equation 3G_1"))</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_xlfn.LAMBDA(_xlfn.MAKEARRAY(20, 33, _xlfn.LAMBDA(_xlpm.r,_xlpm.c, INDEX({"Product","Product Unit","Density (L to kg)","Ingredient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source","Ingredient 7","Ingredient 7 percent","Ingredient 7 source","Ingredient 8","Ingredient 8 percent","Ingredient 8 source","Ingredient 9","Ingredient 9 percent","Ingredient 9 source","Ingredient 10","Ingredient 10 percent","Ingredient 10 source";"Agflow Boost","kg",1,"Nitrogen - Ammoniacal",0.035,"Location not specified","Nitrogen from Nitrate",0.03,"Location not specified","Nitrogen - Generic",0.145,"Location not specified","Potassium - Generic",0.05,"Location not specified","Sulfur - Generic",0.055,"Location not specified","Magnesium - generic",0.019,"Location not specified","Iron - generic",0.017,"Location not specified","Phosphorus - Generic",0.008,"Location not specified","Copper - generic",0.0005,"Location not specified","Manganese - Generic",0.0005,"Location not specified";"AgNP","kg",1,"Nitrogen - Ammoniacal",0.255,"Location not specified","Sulfur - Generic",0.12,"Location not specified","","","","","","","","","","","","","","","","","","","","","","","","";"Ammonium Bicarbonate(N)","kg",1,"Nitrogen - Ammoniacal",0.17,"China","","","","","","","","","","","","","","","","","","","","","","","","","","","";"Ammonium Sulfate (N)","kg",1,"Sulfur - Generic",0.24,"China","Nitrogen - Ammoniacal",0.21,"China","","","","","","","","","","","","","","","","","","","","","","","","";"Ammonium Sulphate","kg",1,"Nitrogen - Ammoniacal",0.2,"Location not specified","Sulfur - Generic",0.23,"Location not specified","","","","","","","","","","","","","","","","","","","","","","","","";"Apex GaIXe Low P 21-1-6","kg",1,"Nitrogen - Ammoniacal",0.18,"Location not specified","Phosphorus - Generic",0.202,"Location not specified","Sulfur - Generic",0.015,"Location not specified","","","","","","","","","","","","","","","","","","","","","";"Aqua Nitro AN","L",1.25,"Nitrogen - Generic",0.223,"Location not specified","","","","","","","","","","","","","","","","","","","","","","","","","","","";"Big N","kg",1,"Phosphorus - Generic",0.182,"Location not specified","Nitrogen - Ammoniacal",0.169,"Location not specified","Sulfur - Generic",0.08,"Location not specified","Zinc - Generic",0.002,"Location not specified","Copper - generic",0.001,"Location not specified","","","","","","","","","","","","","","","";"Big Phos","L",1.32,"Nitrogen - Generic",0.215,"Location not specified","Nitrogen - Ammoniacal",0.105,"Location not specified","Nitrogen from Nitrate",0.105,"Location not specified","Biuret (impurity)",0.01,"Location not specified","","","","","","","","","","","","","","","","","","";"Bronze","kg",1,"Potassium - Generic",0.232,"Location not specified","Nitrogen - Ammoniacal",0.17,"Location not specified","Sulfur - Generic",0.005,"Location not specified","Magnesium - generic",0.0024,"Location not specified","Phosphorus - Generic",0.0004,"Location not specified","","","","","","","","","","","","","","","";"Bronze","kg",1,"Muriate of potash (MOP)",0.232,"Location not specified","Nitrogen - Generic",0.17,"Location not specified","Sulfur - Generic",0.005,"Location not specified","Magnesium - generic",0.0024,"Location not specified","Phosphorus - Generic",0.0004,"Location not specified","","","","","","","","","","","","","","","";"Calcium Ammonium Nitrate (CAN)","kg",1,"Nitrogen - Ammoniacal",0.135,"China","Nitrogen from Nitrate",0.135,"China","Calcium oxide",0.12,"China","Boron - generic",0.003,"China","","","","","","","","","","","","","","","","","","";"Campbells Quick-N","kg",1,"Nitrogen - Generic",0.46,"Location not specified","","","","","","","","","","","","","","","","","","","","","","","","","","","";"Compass","kg",1,"Nitrogen - Generic",0.15,"Location not specified","Potassium - Generic",0.125,"Location not specified","Phosphorus - Generic",0.065,"Location not specified","Sulfur - Generic",0.06,"Location not specified","","","","","","","","","","","","","","","","","","";"Crop K","L",1.31,"Potassium - Generic",0.21,"Location not specified","Nitrogen - Generic",0.03,"Location not specified","","","","","","","","","","","","","","","","","","","","","","","","";"Crop Starter","L",1.2,"Phosphorus - Generic",0.08,"Location not specified","Nitrogen - Generic",0.05,"Location not specified","Potassium - Generic",0.03,"Location not specified","","","","","","","","","","","","","","","","","","","","","";"DAP","kg",1,"Nitrogen - Ammoniacal",0.18,"Location not specified","Phosphorus - Generic",0.202,"Location not specified","Sulfur - Generic",0.015,"Location not specified","","","","","","","","","","","","","","","","","","","","","";"Double Trace","kg",1,"Sulfur - Generic",0.18,"Location not specified","Manganese - Generic",0.17,"Location not specified","Zinc - Generic",0.17,"Location not specified","","","","","","","","","","","","","","","","","","","","","";"Easy N Bulk","kg",1,"Nitrogen - Ammoniacal",0.205,"Location not specified","Sulfur - Generic",0.24,"Location not specified","","","","","","","","","","","","","","","","","","","","","","","",""}, _xlpm.r, _xlpm.c))))</definedName>
    <definedName name="Fertiliser_SourceData.Fertiliser_Products_Data2">_xlfn.LAMBDA(_xlfn.MAKEARRAY(20, 33, _xlfn.LAMBDA(_xlpm.r,_xlpm.c, INDEX({"Farm Ag Leichhardt","kg",1,"Nitrogen - Generic",0.276,"Location not specified","Nitrogen - Ammoniacal",0.049,"Location not specified","Phosphorus - Generic",0.054,"Location not specified","Potassium - Generic",0.065,"Location not specified","Sulfur - Generic",0.004,"Location not specified","Biuret",0.008,"Location not specified","","","","","","","","","","","","";"Flexi-N NBPT","kg",1,"Urea",0.99,"Location not specified","Magnesium Oxide",0.01,"Location not specified","Glaze Extend G3 Flexi",0.005,"Location not specified","","","","","","","","","","","","","","","","","","","","","";"Flexi-N NI only","kg",1,"Nitrogen - Generic",0.46,"Location not specified","Biuret (impurity)",0.014,"Location not specified","","","","","","","","","","","","","","","","","","","","","","","","";"Glytrel ZnP","L",1.354,"Phosphorus - Generic",0.044,"Location not specified","Zinc - Generic",0.1,"Location not specified","","","","","","","","","","","","","","","","","","","","","","","","";"Gold Premium","kg",1,"Potassium - Generic",0.166,"Location not specified","Nitrogen - Ammoniacal",0.15,"Location not specified","Sulfur - Generic",0.8,"Location not specified","Phosphorus - Generic",0.022,"Location not specified","Magnesium - generic",0.012,"Location not specified","Boron - generic",0.0002,"Location not specified","Zinc - Generic",0.0001,"Location not specified","","","","","","","","","";"Granu-K","kg",1,"Potassium - Generic",0.418,"Location not specified","Potassium - Generic",0.175,"Location not specified","","","","","","","","","","","","","","","","","","","","","","","","";"Granu-K Premium","kg",1,"Potassium - Generic",0.415,"Location not specified","Sulfur - Generic",0.17,"Location not specified","","","","","","","","","","","","","","","","","","","","","","","","";"High NS","L",1.299,"Nitrogen - Generic",0.212,"Location not specified","Nitrogen - Ammoniacal",0.092,"Location not specified","Nitrogen from Nitrate",0.076,"Location not specified","Sulfur - Generic",0.02,"Location not specified","","","","","","","","","","","","","","","","","","";"In Crop","L",1.2,"Potassium - Generic",0.11,"Location not specified","Nitrogen - Generic",0.1,"Location not specified","Phosphorus - Generic",0.01,"Location not specified","","","","","","","","","","","","","","","","","","","","","";"K20","L",1.3,"Potassium - Generic",0.22,"Location not specified","Nitrogen - Generic",0.03,"Location not specified","","","","","","","","","","","","","","","","","","","","","","","","";"MAP Impact","kg",1,"Nitrogen - Ammoniacal",0.1,"Location not specified","Phosphorus - Generic",0.219,"Location not specified","Sulfur - Generic",1.5,"Location not specified","","","","","","","","","","","","","","","","","","","","","";"MAP NUTURF","kg",1,"Nitrogen - Ammoniacal",0.12,"Location not specified","Phosphorus - Generic",0.27,"Location not specified","","","","","","","","","","","","","","","","","","","","","","","","";"Maximum N-Pact 29-0-0","L",1.2,"Nitrogen - Generic",0.1943,"Location not specified","Nitrogen - Generic",0.0957,"Location not specified","","","","","","","","","","","","","","","","","","","","","","","","";"Nitro -K Prills","kg",1,"Potassium - Generic",0.374,"Location not specified","Nitrogen from Nitrate",0.136,"Location not specified","","","","","","","","","","","","","","","","","","","","","","","","";"Nitro-P","L",1.44,"Phosphorus - Generic",0.233,"Location not specified","Nitrogen - Generic",0.158,"Location not specified","","","","","","","","","","","","","","","","","","","","","","","","";"Pasture MAXX","L",1.23,"Nitrogen - Generic",0.0971,"Location not specified","Potassium - Generic",0.0325,"Location not specified","Sulfur - Generic",0.0211,"Location not specified","Zinc - Generic",0.015,"Location not specified","Magnesium - generic",0.0115,"Location not specified","Iron - generic",0.0111,"Location not specified","Magnesium - generic",0.0045,"Location not specified","Boron - generic",0.002,"Location not specified","","","","","","";"Platinum nergetic","kg",1,"Phosphorus - Generic",0.109,"Location not specified","Nitrogen - Generic",0.1,"Location not specified","Potassium - Generic",0.1,"Location not specified","Sulfur - Generic",0.04,"Location not specified","Calcium - generic",0.014,"Location not specified","Magnesium - generic",0.012,"Location not specified","Zinc - Generic",0.0036,"Location not specified","Boron - generic",0.001,"","","","","","","";"Polypeptide Urea","kg",1,"Nitrogen - Generic",0.46,"China","","","","","","","","","","","","","","","","","","","","","","","","","","","";"Quick-N","kg",1,"Nitrogen - Generic",0.26,"Location not specified","Sulfur - Generic",0.13,"Location not specified","","","","","","","","","","","","","","","","","","","","","","","","";"Quick-N Nergetic","kg",1,"Nitrogen - Generic",0.25,"Location not specified","Sulfur - Generic",0.128,"Location not specified","Manganese - Generic",0.001,"Location not specified","Zinc - Generic",0.001,"Location not specified","Boron - generic",0.0001,"Location not specified","Molybdenum",0.00001,"Location not specified","","","","","","","","","","","",""}, _xlpm.r, _xlpm.c))))</definedName>
    <definedName name="Fertiliser_SourceData.Fertiliser_Products_Data3">_xlfn.LAMBDA(_xlfn.MAKEARRAY(20, 33, _xlfn.LAMBDA(_xlpm.r,_xlpm.c, INDEX({"Rustica Nergetic","kg",1,"Potassium - Generic",0.141,"Location not specified","Nitrogen - Generic",0.12,"Location not specified","Sulfur - Generic",0.096,"Location not specified","Phosphorus - Generic",0.052,"Location not specified","Magnesium - generic",0.012,"Location not specified","Zinc - Generic",0.0008,"Location not specified","Iron - generic",0.0007,"Location not specified","Manganese - Generic",0.0006,"Location not specified","Boron - generic",0.0002,"Location not specified","","","";"SETnSIZE","L",1.3,"Potassium - Generic",0.0792,"Location not specified","Phosphorus - Generic",0.0605,"Location not specified","Nitrogen - Generic",0.0108,"Location not specified","Zinc - Generic",0.0107,"Location not specified","Magnesium - generic",0.0104,"Location not specified","Manganese - Generic",0.0075,"Location not specified","Sulfur - Generic",0.0054,"Location not specified","Cobalt - generic",0.0018,"Location not specified","Iron - generic",0.0015,"Location not specified","Copper - generic",0.0011,"Location not specified";"SOA","kg",1,"Nitrogen - Ammoniacal",0.21,"Location not specified","Sulfur - Generic",0.24,"Location not specified","","","","","","","","","","","","","","","","","","","","","","","","";"Solu-MAP","kg",1,"Phosphorus - Generic",0.266,"Location not specified","Nitrogen - Ammoniacal",0.12,"Location not specified","","","","","","","","","","","","","","","","","","","","","","","","";"Solu-MKP","kg",1,"Phosphorus - Generic",0.227,"Location not specified","Potassium - Generic",0.285,"Location not specified","","","","","","","","","","","","","","","","","","","","","","","","";"Solu-Sam","kg",1,"Nitrogen - Ammoniacal",0.208,"Location not specified","Sulfur - Generic",0.238,"Location not specified","","","","","","","","","","","","","","","","","","","","","","","","";"Solu-Zinc","kg",1,"Zinc - Generic",0.21,"Location not specified","Sulfur - Generic",0.105,"Location not specified","","","","","","","","","","","","","","","","","","","","","","","","";"Thio-K","L",1.47,"Potassium - Generic",0.3,"Location not specified","Sulfur - Generic",0.25,"Location not specified","","","","","","","","","","","","","","","","","","","","","","","","";"Thio-N","L",1.32,"Nitrogen - Generic",0.372,"Location not specified","Sulfur - Generic",0.07,"Location not specified","","","","","","","","","","","","","","","","","","","","","","","","";"Thio-N Plus","L",1.32,"Nitrogen - Generic",0.364,"Location not specified","Sulfur - Generic",0.07,"Location not specified","","","","","","","","","","","","","","","","","","","","","","","","";"Thio-Sul","L",1.35,"Sulfur - Generic",0.35,"Location not specified","Nitrogen - Ammoniacal",0.16,"Location not specified","","","","","","","","","","","","","","","","","","","","","","","","";"UAS","L",1.235,"Nitrogen - Generic",0.209,"Location not specified","Sulfur - Generic",0.067,"Location not specified","Nitrogen - Ammoniacal",0.057,"Location not specified","","","","","","","","","","","","","","","","","","","","","";"Yara Liquids N-FOL 24+TE","kg",1,"Nitrogen - Generic",0.19,"Location not specified","Potassium - Generic",0.166,"Location not specified","Sulfur - Generic",0.03,"Location not specified","Phosphorus - Generic",0.026,"Location not specified","Magnesium - generic",0.018,"Location not specified","Iron - generic",0.0007,"Location not specified","Manganese - Generic",0.0004,"Location not specified","Boron - generic",0.00025,"Location not specified","Zinc - Generic",0.00025,"Location not specified","Copper - generic",0.0001,"Location not specified";"Yara Unika Plus","kg",1,"Potassium - Generic",0.382,"Location not specified","Nitrogen - Generic",0.12,"Location not specified","Sulfur - Generic",0.007,"Location not specified","","","","","","","","","","","","","","","","","","","","","";"YaraMila 21-7-3(4)","kg",1,"Nitrogen - Generic",0.21,"Location not specified","Phosphorus - Generic",0.074,"Location not specified","Sulfur - Generic",0.04,"Location not specified","Potassium - Generic",0.025,"Location not specified","Magnesium - generic",0.004,"Location not specified","Zinc - Generic",0.0015,"Location not specified","","","","","","","","","","","","";"YaraRega 13-2-21","kg",1,"Potassium - Generic",0.21,"Location not specified","Sulfur - Generic",0.108,"Location not specified","Nitrogen - Ammoniacal",0.077,"Location not specified","Nitrogen from Nitrate",0.053,"Location not specified","Phosphorus - Generic",0.0175,"Location not specified","Magnesium - generic",0.004,"Location not specified","Boron - generic",0.0008,"Location not specified","Zinc - Generic",0.0008,"Location not specified","","","","","","";"YaraRega 9-0-30 (14)","kg",1,"Potassium - Generic",0.3,"Location not specified","Sulfur - Generic",0.14,"Location not specified","Nitrogen - Ammoniacal",0.045,"Location not specified","Nitrogen from Nitrate",0.045,"Location not specified","","","","","","","","","","","","","","","","","","";"YaraTera KRISTA K PLUS","kg",1,"Nitrogen - Generic",0.137,"Location not specified","Potassium - Generic",0.384,"Location not specified","","","","","","","","","","","","","","","","","","","","","","","","";"YaraTera KRISTA MAP","kg",1,"Phosphorus - Generic",0.266,"Location not specified","Nitrogen - Ammoniacal",0.12,"Location not specified","","","","","","","","","","","","","","","","","","","","","","","","";"YaraTera KRISTA MKP","kg",1,"Potassium - Generic",0.282,"Location not specified","Phosphorus - Generic",0.227,"Location not specified","","","","","","","","","","","","","","","","","","","","","","","",""}, _xlpm.r, _xlpm.c))))</definedName>
    <definedName name="Fertiliser_SourceData.Fertiliser_Products_Data4">_xlfn.LAMBDA(_xlfn.MAKEARRAY(5, 33, _xlfn.LAMBDA(_xlpm.r,_xlpm.c, INDEX({"YaraTera KRISTALON RED","kg",1,"Potassium - Generic",0.2988,"Location not specified","Nitrogen - Generic",0.12,"Location not specified","Phosphorus - Generic",0.05244,"Location not specified","Sulfur - Generic",0.01,"Location not specified","Magnesium - generic",0.00603,"Location not specified","Iron - generic",0.0007,"Location not specified","Manganese - Generic",0.0004,"Location not specified","Boron - generic",0.00025,"Location not specified","Zinc - Generic",0.00025,"Location not specified","Copper - generic",0.0001,"Location not specified";"YaraTera KRISTALON SPECIAL","kg",1,"Nitrogen - Generic",0.18,"Location not specified","Potassium - Generic",0.149,"Location not specified","Phosphorus - Generic",0.079,"Location not specified","Sulfur - Generic",0.02,"Location not specified","Magnesium - generic",0.018,"Location not specified","Iron - generic",0.0007,"Location not specified","Manganese - Generic",0.0004,"Location not specified","Boron - generic",0.00025,"Location not specified","Zinc - Generic",0.00025,"Location not specified","Copper - generic",0.0001,"Location not specified";"YaraVita Glytrel ZnP","L",1.354,"Zinc - Generic",0.1,"Location not specified","Phosphorus - Generic",0.044,"Location not specified","","","","","","","","","","","","","","","","","","","","","","","","";"YaraVita Zintrac","L",1.734,"Zinc - Generic",0.7,"Location not specified","Nitrogen - Generic",0.018,"Location not specified","","","","","","","","","","","","","","","","","","","","","","","","";"ZincStar","kg",1,"Nitrogen - Ammoniacal",0.1,"Location not specified","Phosphorus - Generic",0.22,"Location not specified","Sulfur - Generic",0.02,"Location not specified","Zinc - Generic",0.01,"Location not specified","","","","","","","","","","","","","","","","","",""}, _xlpm.r, _xlpm.c))))</definedName>
    <definedName name="Fertiliser_SourceData.Fertiliser_Products_Source">_xlfn.LAMBDA(("TODO: Publish and attribute to Maria"))</definedName>
    <definedName name="Fertiliser_SourceData.Fertiliser_Products_Title">_xlfn.LAMBDA(("Branded fertiliser products and their chemical composition"))</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Dairy_AtmosphericDeposition_Equations.VEERG_4_3_1_5__1_AnnualAtmosphericDepositionEmissionsFromMMS">_xlfn.LAMBDA(_xlpm.MN_ATMOS,_xlpm.EF_N2O,_xlpm.C_N2O, _xlpm.MN_ATMOS * _xlpm.EF_N2O * _xlpm.C_N2O * 10 ^ -3)</definedName>
    <definedName name="MMS_PastureBeef_Soil_AtmosphericDeposition_Equations.VEERG_4_2_1_5__1_AtmosphericDepositionEmissionsFromUrineAndDungOnPasture">_xlfn.LAMBDA(_xlpm.M_vol,_xlpm.EF_N2O,_xlpm.C_N2O, _xlpm.M_vol * _xlpm.EF_N2O * _xlpm.C_N2O * 10 ^ -3)</definedName>
    <definedName name="MMS_Poultry_AtmosphericDeposition_Equations.VEERG_4_6_1_5__1_TotalAnnualAtmosphericDepositionEmissionsFromMMS">_xlfn.LAMBDA(_xlpm.MMS_ATMOS,_xlpm.EF_N2O,_xlpm.C_N2O, (_xlpm.MMS_ATMOS * _xlpm.EF_N2O * _xlpm.C_N2O) * 10 ^ -3)</definedName>
    <definedName name="MMS_Poultry_AtmosphericDeposition_Equations.VEERG_4_6_1_5__1_TotalAnnualAtmosphericDepositionEmissionsFromMMS_Arguments">_xlfn.LAMBDA(_xlfn.MAKEARRAY(6, 2, _xlfn.LAMBDA(_xlpm.r,_xlpm.c, INDEX({"MMS_ATMOS","mass of N volatilised from MMS : kg N";"EF_N2O","nitrous oxide emission factor for atmospheric deposition : kg N2O-N/kg N";"C_N2O","factor to convert elemental mass of nitrous oxide to molecular mass : ratio";"j","production system";"ir","irrigation method";"r","rainfall region"}, _xlpm.r, _xlpm.c))))</definedName>
    <definedName name="MMS_Poultry_AtmosphericDeposition_Equations.VEERG_4_6_1_5__1_TotalAnnualAtmosphericDepositionEmissionsFromMMS_LatexEquation">_xlfn.LAMBDA("E_{N2O,ad}=(MMS_{ATMOS}\times EF_{N2O}\times C_{N2O})\times10^{-3}")</definedName>
    <definedName name="MMS_Poultry_AtmosphericDeposition_Equations.VEERG_4_6_1_5__1_TotalAnnualAtmosphericDepositionEmissionsFromMMS_NIRReference">_xlfn.LAMBDA("")</definedName>
    <definedName name="MMS_Poultry_AtmosphericDeposition_Equations.VEERG_4_6_1_5__1_TotalAnnualAtmosphericDepositionEmissionsFromMMS_Source">_xlfn.LAMBDA("VEERG 2026: 4.6.1.5, Equation (1)")</definedName>
    <definedName name="MMS_Poultry_AtmosphericDeposition_Equations.VEERG_4_6_1_5__1_TotalAnnualAtmosphericDepositionEmissionsFromMMS_Title">_xlfn.LAMBDA("Total annual atmospheric deposition emissions from manure management")</definedName>
    <definedName name="MMS_Poultry_AtmosphericDeposition_Equations.VEERG_4_6_1_5__1_TotalAnnualAtmosphericDepositionEmissionsFromMMS_Unit">_xlfn.LAMBDA("t N2O")</definedName>
    <definedName name="MMS_Poultry_AtmosphericDeposition_Equations.VEERG_4_6_1_5__1_TotalAnnualAtmosphericDepositionEmissionsFromMMS_Variable">_xlfn.LAMBDA("E_N2Oad")</definedName>
    <definedName name="MMS_Poultry_AtmosphericDeposition_Equations.VEERG_4_6_1_5__2_TotalNitrogenVolatilisedFromMMS">_xlfn.LAMBDA(_xlpm.MN_jkmT,_xlpm.FracGASM_mT, _xlpm.MN_jkmT * _xlpm.FracGASM_mT)</definedName>
    <definedName name="MMS_Poultry_AtmosphericDeposition_Equations.VEERG_4_6_1_5__2_TotalNitrogenVolatilisedFromMMS_Arguments">_xlfn.LAMBDA(_xlfn.MAKEARRAY(2, 2, _xlfn.LAMBDA(_xlpm.r,_xlpm.c, INDEX({"MN_jkmT","nitrogen in each treatment stage MMS (excluding MN_jkm13T2) : kg N";"FracGASM_mT","fraction of N volatilised in each MMS : (kg NH3-N + NOx-N)/kg N"}, _xlpm.r, _xlpm.c))))</definedName>
    <definedName name="MMS_Poultry_AtmosphericDeposition_Equations.VEERG_4_6_1_5__2_TotalNitrogenVolatilisedFromMMS_LatexEquation">_xlfn.LAMBDA("MMS_{ATMOS}=\sum_{j}\sum_{k}\sum_{m}\sum_{T}(MN_{jkmT}\times FracGASM_{mT})")</definedName>
    <definedName name="MMS_Poultry_AtmosphericDeposition_Equations.VEERG_4_6_1_5__2_TotalNitrogenVolatilisedFromMMS_NIRReference">_xlfn.LAMBDA("")</definedName>
    <definedName name="MMS_Poultry_AtmosphericDeposition_Equations.VEERG_4_6_1_5__2_TotalNitrogenVolatilisedFromMMS_Source">_xlfn.LAMBDA("VEERG 2026: 4.6.1.5, Equation (2)")</definedName>
    <definedName name="MMS_Poultry_AtmosphericDeposition_Equations.VEERG_4_6_1_5__2_TotalNitrogenVolatilisedFromMMS_Title">_xlfn.LAMBDA("Total nitrogen volatilised from manure management systems")</definedName>
    <definedName name="MMS_Poultry_AtmosphericDeposition_Equations.VEERG_4_6_1_5__2_TotalNitrogenVolatilisedFromMMS_Unit">_xlfn.LAMBDA("kg N")</definedName>
    <definedName name="MMS_Poultry_AtmosphericDeposition_Equations.VEERG_4_6_1_5__2_TotalNitrogenVolatilisedFromMMS_Variable">_xlfn.LAMBDA("MMS_ATMOS")</definedName>
    <definedName name="MMS_Poultry_LeachingAndRunoff_Equations.VEERG_4_6_1_7__1_AnnualEmissionsFromLeachingAndRunoffFromMMS">_xlfn.LAMBDA(_xlpm.MNLeach_jkm4,_xlpm.EF_leach,_xlpm.C_N2O, (_xlpm.MNLeach_jkm4 * _xlpm.EF_leach * _xlpm.C_N2O) * 10 ^ -3)</definedName>
    <definedName name="MMS_Poultry_LeachingAndRunoff_Equations.VEERG_4_6_1_7__1_AnnualEmissionsFromLeachingAndRunoffFromMMS_Arguments">_xlfn.LAMBDA(_xlfn.MAKEARRAY(3, 2, _xlfn.LAMBDA(_xlpm.r,_xlpm.c, INDEX({"MNLeach_jkm4","mass of N lost through leaching and runoff from each MMS : kg N";"EF_leach","emission factor for leaching and runoff : kg N2O-N/kg N";"C_N2O","factor to convert elemental mass of N2O to molecular mass : ratio"}, _xlpm.r, _xlpm.c))))</definedName>
    <definedName name="MMS_Poultry_LeachingAndRunoff_Equations.VEERG_4_6_1_7__1_AnnualEmissionsFromLeachingAndRunoffFromMMS_LatexEquation">_xlfn.LAMBDA("E_{N2O,leach}=MNLeach_{jkm=4}\times EF_{leach}\times C_{N2O}\times10^{-3}")</definedName>
    <definedName name="MMS_Poultry_LeachingAndRunoff_Equations.VEERG_4_6_1_7__1_AnnualEmissionsFromLeachingAndRunoffFromMMS_NIRReference">_xlfn.LAMBDA("")</definedName>
    <definedName name="MMS_Poultry_LeachingAndRunoff_Equations.VEERG_4_6_1_7__1_AnnualEmissionsFromLeachingAndRunoffFromMMS_Source">_xlfn.LAMBDA("VEERG 2026: 4.6.1.7, Equation (1)")</definedName>
    <definedName name="MMS_Poultry_LeachingAndRunoff_Equations.VEERG_4_6_1_7__1_AnnualEmissionsFromLeachingAndRunoffFromMMS_Title">_xlfn.LAMBDA("Annual emissions from leaching and runoff from each MMS")</definedName>
    <definedName name="MMS_Poultry_LeachingAndRunoff_Equations.VEERG_4_6_1_7__1_AnnualEmissionsFromLeachingAndRunoffFromMMS_Unit">_xlfn.LAMBDA("t N2O")</definedName>
    <definedName name="MMS_Poultry_LeachingAndRunoff_Equations.VEERG_4_6_1_7__1_AnnualEmissionsFromLeachingAndRunoffFromMMS_Variable">_xlfn.LAMBDA("E_N2Oleach")</definedName>
    <definedName name="MMS_Poultry_LeachingAndRunoff_Equations.VEERG_4_6_1_7__2_MassOfNitrogenLostToLeachingAndRunoffFromSolidStorage">_xlfn.LAMBDA(_xlpm.MN_jkm4T1,_xlpm.FracWET,_xlpm.FracLEACH_MS, _xlpm.MN_jkm4T1 * _xlpm.FracWET * _xlpm.FracLEACH_MS)</definedName>
    <definedName name="MMS_Poultry_LeachingAndRunoff_Equations.VEERG_4_6_1_7__2_MassOfNitrogenLostToLeachingAndRunoffFromSolidStorage_Arguments">_xlfn.LAMBDA(_xlfn.MAKEARRAY(6, 2, _xlfn.LAMBDA(_xlpm.r,_xlpm.c, INDEX({"MN_jkm4T1","nitrogen in solid storage MMS treatment stage 1 : kg N";"FracWET","fraction of N available for leaching and runoff : fraction";"FracLEACH_MS","fraction of N lost through leaching and runoff : fraction";"z","location in leaching zone";"j","production system";"ir","irrigation method"}, _xlpm.r, _xlpm.c))))</definedName>
    <definedName name="MMS_Poultry_LeachingAndRunoff_Equations.VEERG_4_6_1_7__2_MassOfNitrogenLostToLeachingAndRunoffFromSolidStorage_LatexEquation">_xlfn.LAMBDA("MNLeach_{jkm=4}=MN_{jkm=4,T=1}\times FracWET\times FracLEACH_{MS}")</definedName>
    <definedName name="MMS_Poultry_LeachingAndRunoff_Equations.VEERG_4_6_1_7__2_MassOfNitrogenLostToLeachingAndRunoffFromSolidStorage_NIRReference">_xlfn.LAMBDA("")</definedName>
    <definedName name="MMS_Poultry_LeachingAndRunoff_Equations.VEERG_4_6_1_7__2_MassOfNitrogenLostToLeachingAndRunoffFromSolidStorage_Source">_xlfn.LAMBDA("VEERG 2026: 4.6.1.7, Equation (2)")</definedName>
    <definedName name="MMS_Poultry_LeachingAndRunoff_Equations.VEERG_4_6_1_7__2_MassOfNitrogenLostToLeachingAndRunoffFromSolidStorage_Title">_xlfn.LAMBDA("Mass of nitrogen lost to leaching and runoff from solid storage systems")</definedName>
    <definedName name="MMS_Poultry_LeachingAndRunoff_Equations.VEERG_4_6_1_7__2_MassOfNitrogenLostToLeachingAndRunoffFromSolidStorage_Unit">_xlfn.LAMBDA("kg N")</definedName>
    <definedName name="MMS_Poultry_LeachingAndRunoff_Equations.VEERG_4_6_1_7__2_MassOfNitrogenLostToLeachingAndRunoffFromSolidStorage_Variable">_xlfn.LAMBDA("MNLeach_jkm4")</definedName>
    <definedName name="MMS_Poultry_ManureAppliedToSoils_Equations.VEERG_4_6_1_9__1_MassOfNitrogenAppliedToSoilsScope1">_xlfn.LAMBDA(_xlpm.MN_jmT2,_xlpm.EF_mT2,_xlpm.FracGASM_mT2,_xlpm.MNLeach_MMS,_xlpm.PF, (_xlpm.MN_jmT2 * (1 - _xlpm.EF_mT2 - _xlpm.FracGASM_mT2) - _xlpm.MNLeach_MMS) * _xlpm.PF)</definedName>
    <definedName name="MMS_Poultry_ManureAppliedToSoils_Equations.VEERG_4_6_1_9__1_MassOfNitrogenAppliedToSoilsScope1_Arguments">_xlfn.LAMBDA(_xlfn.MAKEARRAY(5, 2, _xlfn.LAMBDA(_xlpm.r,_xlpm.c, INDEX({"MN_jmT2","mass of N in secondary treatment stage as calculated for manure management : kg N";"EF_mT2","nitrous oxide emission factor for each MMS : kg N2O-N/kg N";"FracGASM_mT2","fraction of animal waste N volatilised in each MMS : (kg NH3-N + NOx-N)/kg N";"MNLeach_MMS","mass of N lost through leaching and runoff from MMS : kg N";"PF","fraction of manure applied to soil within the farm boundary : fraction"}, _xlpm.r, _xlpm.c))))</definedName>
    <definedName name="MMS_Poultry_ManureAppliedToSoils_Equations.VEERG_4_6_1_9__1_MassOfNitrogenAppliedToSoilsScope1_LatexEquation">_xlfn.LAMBDA("MNSoil_{scope1}=\sum_{j}\sum_{m}(MN_{jm,T=2}\times(1-EF_{mT=2}-FracGASM_{mT=2})-MNLeach_{MMS})\times PF")</definedName>
    <definedName name="MMS_Poultry_ManureAppliedToSoils_Equations.VEERG_4_6_1_9__1_MassOfNitrogenAppliedToSoilsScope1_NIRReference">_xlfn.LAMBDA("")</definedName>
    <definedName name="MMS_Poultry_ManureAppliedToSoils_Equations.VEERG_4_6_1_9__1_MassOfNitrogenAppliedToSoilsScope1_Source">_xlfn.LAMBDA("VEERG 2026: 4.6.1.9, Equation (1)")</definedName>
    <definedName name="MMS_Poultry_ManureAppliedToSoils_Equations.VEERG_4_6_1_9__1_MassOfNitrogenAppliedToSoilsScope1_Title">_xlfn.LAMBDA("Mass of nitrogen applied to soils for scope 1 emissions")</definedName>
    <definedName name="MMS_Poultry_ManureAppliedToSoils_Equations.VEERG_4_6_1_9__1_MassOfNitrogenAppliedToSoilsScope1_Unit">_xlfn.LAMBDA("kg N")</definedName>
    <definedName name="MMS_Poultry_ManureAppliedToSoils_Equations.VEERG_4_6_1_9__1_MassOfNitrogenAppliedToSoilsScope1_Variable">_xlfn.LAMBDA("MNSoil_scope1")</definedName>
    <definedName name="MMS_Poultry_ManureAppliedToSoils_Equations.VEERG_4_6_1_9__2_MassOfNitrogenAppliedToSoilsScope3">_xlfn.LAMBDA(_xlpm.MN_jmT2,_xlpm.EF_mT2,_xlpm.FracGASM_mT2,_xlpm.MNLeach_MMS,_xlpm.PF, (_xlpm.MN_jmT2 * (1 - _xlpm.EF_mT2 - _xlpm.FracGASM_mT2) - _xlpm.MNLeach_MMS) * (1 - _xlpm.PF))</definedName>
    <definedName name="MMS_Poultry_ManureAppliedToSoils_Equations.VEERG_4_6_1_9__2_MassOfNitrogenAppliedToSoilsScope3_Arguments">_xlfn.LAMBDA(_xlfn.MAKEARRAY(5, 2, _xlfn.LAMBDA(_xlpm.r,_xlpm.c, INDEX({"MN_jmT2","mass of N in secondary treatment stage as calculated for manure management : kg N";"EF_mT2","nitrous oxide emission factor for each MMS : kg N2O-N/kg N";"FracGASM_mT2","fraction of animal waste N volatilised in each MMS : (kg NH3-N + NOx-N)/kg N";"MNLeach_MMS","mass of N lost through leaching and runoff from MMS : kg N";"PF","fraction of manure applied to soil within the farm boundary : fraction"}, _xlpm.r, _xlpm.c))))</definedName>
    <definedName name="MMS_Poultry_ManureAppliedToSoils_Equations.VEERG_4_6_1_9__2_MassOfNitrogenAppliedToSoilsScope3_LatexEquation">_xlfn.LAMBDA("MNSoil_{scope3}=\sum_{j}\sum_{m}(MN_{jm,T=2}\times(1-EF_{mT=2}-FracGASM_{mT=2})-MNLeach_{MMS})\times(1-PF)")</definedName>
    <definedName name="MMS_Poultry_ManureAppliedToSoils_Equations.VEERG_4_6_1_9__2_MassOfNitrogenAppliedToSoilsScope3_NIRReference">_xlfn.LAMBDA("")</definedName>
    <definedName name="MMS_Poultry_ManureAppliedToSoils_Equations.VEERG_4_6_1_9__2_MassOfNitrogenAppliedToSoilsScope3_Source">_xlfn.LAMBDA("VEERG 2026: 4.6.1.9, Equation (2)")</definedName>
    <definedName name="MMS_Poultry_ManureAppliedToSoils_Equations.VEERG_4_6_1_9__2_MassOfNitrogenAppliedToSoilsScope3_Title">_xlfn.LAMBDA("Mass of nitrogen applied to soils for scope 3 emissions")</definedName>
    <definedName name="MMS_Poultry_ManureAppliedToSoils_Equations.VEERG_4_6_1_9__2_MassOfNitrogenAppliedToSoilsScope3_Unit">_xlfn.LAMBDA("kg N")</definedName>
    <definedName name="MMS_Poultry_ManureAppliedToSoils_Equations.VEERG_4_6_1_9__2_MassOfNitrogenAppliedToSoilsScope3_Variable">_xlfn.LAMBDA("MNSoil_scope3")</definedName>
    <definedName name="MMS_Poultry_Methane_Equations.VEERG_4_6_1_1__1_TotalAnnualMethaneEmissions">_xlfn.LAMBDA(_xlpm.D_jk,_xlpm.M_jkmT,_xlpm.N_jk, (_xlpm.D_jk * _xlpm.M_jkmT * _xlpm.N_jk) * 10 ^ -3)</definedName>
    <definedName name="MMS_Poultry_Methane_Equations.VEERG_4_6_1_1__1_TotalAnnualMethaneEmissions_Arguments">_xlfn.LAMBDA(_xlfn.MAKEARRAY(3, 2, _xlfn.LAMBDA(_xlpm.r,_xlpm.c, INDEX({"D_jk","duration of stay of each class and subclass of poultry : days";"M_jkmT","methane production from manure per class, subclass, MMS, and treatment stage : kg CH4/bird/day";"N_jk","numbers of poultry in each class and subclass : bird"}, _xlpm.r, _xlpm.c))))</definedName>
    <definedName name="MMS_Poultry_Methane_Equations.VEERG_4_6_1_1__1_TotalAnnualMethaneEmissions_LatexEquation">_xlfn.LAMBDA("E_{CH4}=\sum_{j}\sum_{k}\sum_{m}\sum_{T}(D_{jk}\times M_{jkmT}\times N_{jk})\times10^{-3}")</definedName>
    <definedName name="MMS_Poultry_Methane_Equations.VEERG_4_6_1_1__1_TotalAnnualMethaneEmissions_NIRReference">_xlfn.LAMBDA("")</definedName>
    <definedName name="MMS_Poultry_Methane_Equations.VEERG_4_6_1_1__1_TotalAnnualMethaneEmissions_Source">_xlfn.LAMBDA("VEERG 2026: 4.4.1.1, Equation (1)")</definedName>
    <definedName name="MMS_Poultry_Methane_Equations.VEERG_4_6_1_1__1_TotalAnnualMethaneEmissions_Title">_xlfn.LAMBDA("Total annual methane emissions from manure management")</definedName>
    <definedName name="MMS_Poultry_Methane_Equations.VEERG_4_6_1_1__1_TotalAnnualMethaneEmissions_Unit">_xlfn.LAMBDA("t CH4")</definedName>
    <definedName name="MMS_Poultry_Methane_Equations.VEERG_4_6_1_1__1_TotalAnnualMethaneEmissions_Variable">_xlfn.LAMBDA("E_CH4")</definedName>
    <definedName name="MMS_Poultry_Methane_Equations.VEERG_4_6_1_1__2_Stage1MethaneProduction">_xlfn.LAMBDA(_xlpm.VS_jk,_xlpm.BO_j,_xlpm.MMS_jmT1,_xlpm.MCF_im,_xlpm.rho, _xlpm.VS_jk * _xlpm.BO_j * _xlpm.MMS_jmT1 * _xlpm.MCF_im * _xlpm.rho)</definedName>
    <definedName name="MMS_Poultry_Methane_Equations.VEERG_4_6_1_1__2_Stage1MethaneProduction_Arguments">_xlfn.LAMBDA(_xlfn.MAKEARRAY(6, 2, _xlfn.LAMBDA(_xlpm.r,_xlpm.c, INDEX({"VS_jk","volatile solid production poultry classes : kg VS/bird/day";"BO_j","emissions potential per class : m3 CH4/kg VS";"MMS_jmT1","fraction of manure in each primary system : fraction";"MCF_im","methane conversion factor for temperature zone and MMS : fraction";"rho","density of methane : kg/m3";"i","state"}, _xlpm.r, _xlpm.c))))</definedName>
    <definedName name="MMS_Poultry_Methane_Equations.VEERG_4_6_1_1__2_Stage1MethaneProduction_LatexEquation">_xlfn.LAMBDA("M_{jkmT=1}=VS_{jk}\times BO_{j}\times MMS_{jmT=1}\times MCF_{im}\times \rho")</definedName>
    <definedName name="MMS_Poultry_Methane_Equations.VEERG_4_6_1_1__2_Stage1MethaneProduction_NIRReference">_xlfn.LAMBDA("")</definedName>
    <definedName name="MMS_Poultry_Methane_Equations.VEERG_4_6_1_1__2_Stage1MethaneProduction_Source">_xlfn.LAMBDA("VEERG 2026: 4.4.1.1, Equation (2)")</definedName>
    <definedName name="MMS_Poultry_Methane_Equations.VEERG_4_6_1_1__2_Stage1MethaneProduction_Title">_xlfn.LAMBDA("Production of methane in treatment stage 1 MMS")</definedName>
    <definedName name="MMS_Poultry_Methane_Equations.VEERG_4_6_1_1__2_Stage1MethaneProduction_Unit">_xlfn.LAMBDA("kg CH4/bird/day")</definedName>
    <definedName name="MMS_Poultry_Methane_Equations.VEERG_4_6_1_1__2_Stage1MethaneProduction_Variable">_xlfn.LAMBDA("M_jkmT1")</definedName>
    <definedName name="MMS_Poultry_Methane_Equations.VEERG_4_6_1_1__3_Stage2MethaneProduction">_xlfn.LAMBDA(_xlpm.VST_jk,_xlpm.BO,_xlpm.MMS_jmT2,_xlpm.MCF_im,_xlpm.rho, _xlpm.VST_jk * _xlpm.BO * _xlpm.MMS_jmT2 * _xlpm.MCF_im * _xlpm.rho)</definedName>
    <definedName name="MMS_Poultry_Methane_Equations.VEERG_4_6_1_1__3_Stage2MethaneProduction_Arguments">_xlfn.LAMBDA(_xlfn.MAKEARRAY(6, 2, _xlfn.LAMBDA(_xlpm.r,_xlpm.c, INDEX({"VST_jk","volatile solids transferred to treatment stage 2 MMS : kg VS/bird/day";"BO","emissions potential : m3 CH4/kg VS";"MMS_jmT2","fraction of manure in each secondary system : fraction";"MCF_im","methane conversion factor for temperature zone and MMS : fraction";"rho","density of methane : kg/m3";"i","state"}, _xlpm.r, _xlpm.c))))</definedName>
    <definedName name="MMS_Poultry_Methane_Equations.VEERG_4_6_1_1__3_Stage2MethaneProduction_LatexEquation">_xlfn.LAMBDA("M_{jkmT=2}=VST_{jk}\times BO\times MMS_{jmT=2}\times MCF_{im}\times \rho")</definedName>
    <definedName name="MMS_Poultry_Methane_Equations.VEERG_4_6_1_1__3_Stage2MethaneProduction_NIRReference">_xlfn.LAMBDA("")</definedName>
    <definedName name="MMS_Poultry_Methane_Equations.VEERG_4_6_1_1__3_Stage2MethaneProduction_Source">_xlfn.LAMBDA("VEERG 2026: 4.4.1.1, Equation (3)")</definedName>
    <definedName name="MMS_Poultry_Methane_Equations.VEERG_4_6_1_1__3_Stage2MethaneProduction_Title">_xlfn.LAMBDA("Production of methane in treatment stage 2 MMS")</definedName>
    <definedName name="MMS_Poultry_Methane_Equations.VEERG_4_6_1_1__3_Stage2MethaneProduction_Unit">_xlfn.LAMBDA("kg CH4/bird/day")</definedName>
    <definedName name="MMS_Poultry_Methane_Equations.VEERG_4_6_1_1__3_Stage2MethaneProduction_Variable">_xlfn.LAMBDA("M_jkmT2")</definedName>
    <definedName name="MMS_Poultry_Methane_Equations.VEERG_4_6_1_1__4_VolatileSolidsTransferred">_xlfn.LAMBDA(_xlpm.VS_jk,_xlpm.MMS_jmT1,_xlpm.VSL_mT1, _xlpm.VS_jk * _xlpm.MMS_jmT1 * (1 - _xlpm.VSL_mT1))</definedName>
    <definedName name="MMS_Poultry_Methane_Equations.VEERG_4_6_1_1__4_VolatileSolidsTransferred_Arguments">_xlfn.LAMBDA(_xlfn.MAKEARRAY(3, 2, _xlfn.LAMBDA(_xlpm.r,_xlpm.c, INDEX({"VS_jk","volatile solid production poultry classes : kg VS/bird/day";"MMS_jmT1","fraction of manure in each primary system : fraction";"VSL_mT1","fraction of volatile solids lost during storage in the primary system : fraction"}, _xlpm.r, _xlpm.c))))</definedName>
    <definedName name="MMS_Poultry_Methane_Equations.VEERG_4_6_1_1__4_VolatileSolidsTransferred_LatexEquation">_xlfn.LAMBDA("VST_{jk}=VS_{jk}\times MMS_{jmT=1}\times (1-VSL_{mT=1})")</definedName>
    <definedName name="MMS_Poultry_Methane_Equations.VEERG_4_6_1_1__4_VolatileSolidsTransferred_NIRReference">_xlfn.LAMBDA("")</definedName>
    <definedName name="MMS_Poultry_Methane_Equations.VEERG_4_6_1_1__4_VolatileSolidsTransferred_Source">_xlfn.LAMBDA("VEERG 2026: 4.4.1.1, Equation (4)")</definedName>
    <definedName name="MMS_Poultry_Methane_Equations.VEERG_4_6_1_1__4_VolatileSolidsTransferred_Title">_xlfn.LAMBDA("Volatile solids transferred to treatment stage 2 MMS")</definedName>
    <definedName name="MMS_Poultry_Methane_Equations.VEERG_4_6_1_1__4_VolatileSolidsTransferred_Unit">_xlfn.LAMBDA("kg VS/bird/day")</definedName>
    <definedName name="MMS_Poultry_Methane_Equations.VEERG_4_6_1_1__4_VolatileSolidsTransferred_Variable">_xlfn.LAMBDA("VST_jk")</definedName>
    <definedName name="MMS_Poultry_Methane_Equations.VEERG_4_6_1_1__5_VolatileSolidProduction">_xlfn.LAMBDA(_xlpm.I_jk,_xlpm.DMD_jk,_xlpm.A_j, _xlpm.I_jk * (1 - _xlpm.DMD_jk) * (1 - _xlpm.A_j))</definedName>
    <definedName name="MMS_Poultry_Methane_Equations.VEERG_4_6_1_1__5_VolatileSolidProduction_Arguments">_xlfn.LAMBDA(_xlfn.MAKEARRAY(3, 2, _xlfn.LAMBDA(_xlpm.r,_xlpm.c, INDEX({"I_jk","dry matter intake for each class and subclass : kg DM/bird/day";"DMD_jk","dry matter digestibility for each class and subclass : fraction";"A_j","ash content of manure for each class and subclass : fraction"}, _xlpm.r, _xlpm.c))))</definedName>
    <definedName name="MMS_Poultry_Methane_Equations.VEERG_4_6_1_1__5_VolatileSolidProduction_LatexEquation">_xlfn.LAMBDA("VS_{jk}=I_{jk}\times (1-DMD_{jk})\times (1-A_{j})")</definedName>
    <definedName name="MMS_Poultry_Methane_Equations.VEERG_4_6_1_1__5_VolatileSolidProduction_NIRReference">_xlfn.LAMBDA("")</definedName>
    <definedName name="MMS_Poultry_Methane_Equations.VEERG_4_6_1_1__5_VolatileSolidProduction_Source">_xlfn.LAMBDA("VEERG 2026: 4.4.1.1, Equation (5)")</definedName>
    <definedName name="MMS_Poultry_Methane_Equations.VEERG_4_6_1_1__5_VolatileSolidProduction_Title">_xlfn.LAMBDA("Volatile solid production poultry classes")</definedName>
    <definedName name="MMS_Poultry_Methane_Equations.VEERG_4_6_1_1__5_VolatileSolidProduction_Unit">_xlfn.LAMBDA("kg VS/bird/day")</definedName>
    <definedName name="MMS_Poultry_Methane_Equations.VEERG_4_6_1_1__5_VolatileSolidProduction_Variable">_xlfn.LAMBDA("VS_jk")</definedName>
    <definedName name="MMS_Poultry_N2ODirect_Equations.VEERG_4_6_1_3__1_TotalAnnualDirectNitrousOxideEmissionsFromMMS">_xlfn.LAMBDA(_xlpm.MN_jkmT,_xlpm.EF_jm,_xlpm.C_N2O, _xlpm.MN_jkmT * _xlpm.EF_jm * _xlpm.C_N2O * 10 ^ -3)</definedName>
    <definedName name="MMS_Poultry_N2ODirect_Equations.VEERG_4_6_1_3__1_TotalAnnualDirectNitrousOxideEmissionsFromMMS_Arguments">_xlfn.LAMBDA(_xlfn.MAKEARRAY(3, 2, _xlfn.LAMBDA(_xlpm.r,_xlpm.c, INDEX({"MN_jkmT","nitrogen per poultry class, subclass, MMS and treatment stage : kg N";"EF_jm","nitrous oxide emission factor for MMS : kg N2O-N/kg N";"C_N2O","factor to convert elemental mass of nitrous oxide to molecular mass : ratio"}, _xlpm.r, _xlpm.c))))</definedName>
    <definedName name="MMS_Poultry_N2ODirect_Equations.VEERG_4_6_1_3__1_TotalAnnualDirectNitrousOxideEmissionsFromMMS_LatexEquation">_xlfn.LAMBDA("E_{N2O,dir}=\sum_{j}\sum_{k}\sum_{m}\sum_{T}(MN_{jkmT}\times EF_{jm}\times C_{N2O})\times10^{-3}")</definedName>
    <definedName name="MMS_Poultry_N2ODirect_Equations.VEERG_4_6_1_3__1_TotalAnnualDirectNitrousOxideEmissionsFromMMS_NIRReference">_xlfn.LAMBDA("")</definedName>
    <definedName name="MMS_Poultry_N2ODirect_Equations.VEERG_4_6_1_3__1_TotalAnnualDirectNitrousOxideEmissionsFromMMS_Source">_xlfn.LAMBDA("VEERG 2026: 4.6.1.3, Equation (1)")</definedName>
    <definedName name="MMS_Poultry_N2ODirect_Equations.VEERG_4_6_1_3__1_TotalAnnualDirectNitrousOxideEmissionsFromMMS_Title">_xlfn.LAMBDA("Total annual direct nitrous oxide emissions from manure management systems")</definedName>
    <definedName name="MMS_Poultry_N2ODirect_Equations.VEERG_4_6_1_3__1_TotalAnnualDirectNitrousOxideEmissionsFromMMS_Unit">_xlfn.LAMBDA("t N2O")</definedName>
    <definedName name="MMS_Poultry_N2ODirect_Equations.VEERG_4_6_1_3__1_TotalAnnualDirectNitrousOxideEmissionsFromMMS_Variable">_xlfn.LAMBDA("E_N2Odir")</definedName>
    <definedName name="MMS_Poultry_N2ODirect_Equations.VEERG_4_6_1_3__2_Stage1NitrogenInMMS">_xlfn.LAMBDA(_xlpm.AE_jk,_xlpm.MMS_jmT1, _xlpm.AE_jk * _xlpm.MMS_jmT1)</definedName>
    <definedName name="MMS_Poultry_N2ODirect_Equations.VEERG_4_6_1_3__2_Stage1NitrogenInMMS_Arguments">_xlfn.LAMBDA(_xlfn.MAKEARRAY(2, 2, _xlfn.LAMBDA(_xlpm.r,_xlpm.c, INDEX({"AE_jk","total nitrogen excreted by each poultry class and subclass : kg N";"MMS_jmT1","fraction of manure in each primary system : fraction"}, _xlpm.r, _xlpm.c))))</definedName>
    <definedName name="MMS_Poultry_N2ODirect_Equations.VEERG_4_6_1_3__2_Stage1NitrogenInMMS_LatexEquation">_xlfn.LAMBDA("MN_{jkm,T=1}=AE_{jk}\times MMS_{jm,T=1}")</definedName>
    <definedName name="MMS_Poultry_N2ODirect_Equations.VEERG_4_6_1_3__2_Stage1NitrogenInMMS_NIRReference">_xlfn.LAMBDA("")</definedName>
    <definedName name="MMS_Poultry_N2ODirect_Equations.VEERG_4_6_1_3__2_Stage1NitrogenInMMS_Source">_xlfn.LAMBDA("VEERG 2026: 4.6.1.3, Equation (2)")</definedName>
    <definedName name="MMS_Poultry_N2ODirect_Equations.VEERG_4_6_1_3__2_Stage1NitrogenInMMS_Title">_xlfn.LAMBDA("Nitrogen in treatment stage 1 MMS")</definedName>
    <definedName name="MMS_Poultry_N2ODirect_Equations.VEERG_4_6_1_3__2_Stage1NitrogenInMMS_Unit">_xlfn.LAMBDA("kg N")</definedName>
    <definedName name="MMS_Poultry_N2ODirect_Equations.VEERG_4_6_1_3__2_Stage1NitrogenInMMS_Variable">_xlfn.LAMBDA("MN_jkmT1")</definedName>
    <definedName name="MMS_Poultry_N2ODirect_Equations.VEERG_4_6_1_3__3_AnnualNitrogenExcretion">_xlfn.LAMBDA(_xlpm.N_jk,_xlpm.NE_jk,_xlpm.D_jk, _xlpm.N_jk * _xlpm.NE_jk * _xlpm.D_jk)</definedName>
    <definedName name="MMS_Poultry_N2ODirect_Equations.VEERG_4_6_1_3__3_AnnualNitrogenExcretion_Arguments">_xlfn.LAMBDA(_xlfn.MAKEARRAY(3, 2, _xlfn.LAMBDA(_xlpm.r,_xlpm.c, INDEX({"N_jk","number of poultry in each class and subclass : bird";"NE_jk","nitrogen excretion : kg N/bird/day";"D_jk","duration of stay of each class and subclass : days"}, _xlpm.r, _xlpm.c))))</definedName>
    <definedName name="MMS_Poultry_N2ODirect_Equations.VEERG_4_6_1_3__3_AnnualNitrogenExcretion_LatexEquation">_xlfn.LAMBDA("AE_{jk}=N_{jk}\times NE_{jk}\times D_{jk}")</definedName>
    <definedName name="MMS_Poultry_N2ODirect_Equations.VEERG_4_6_1_3__3_AnnualNitrogenExcretion_NIRReference">_xlfn.LAMBDA("")</definedName>
    <definedName name="MMS_Poultry_N2ODirect_Equations.VEERG_4_6_1_3__3_AnnualNitrogenExcretion_Source">_xlfn.LAMBDA("VEERG 2026: 4.6.1.3, Equation (3)")</definedName>
    <definedName name="MMS_Poultry_N2ODirect_Equations.VEERG_4_6_1_3__3_AnnualNitrogenExcretion_Title">_xlfn.LAMBDA("Annual nitrogen excretion for each poultry class and subclass")</definedName>
    <definedName name="MMS_Poultry_N2ODirect_Equations.VEERG_4_6_1_3__3_AnnualNitrogenExcretion_Unit">_xlfn.LAMBDA("kg N")</definedName>
    <definedName name="MMS_Poultry_N2ODirect_Equations.VEERG_4_6_1_3__3_AnnualNitrogenExcretion_Variable">_xlfn.LAMBDA("AE_jk")</definedName>
    <definedName name="MMS_Poultry_N2ODirect_Equations.VEERG_4_6_1_3__4_NitrogenExcretionPerBird">_xlfn.LAMBDA(_xlpm.NI_jk,_xlpm.NR_jk, _xlpm.NI_jk * (1 - _xlpm.NR_jk))</definedName>
    <definedName name="MMS_Poultry_N2ODirect_Equations.VEERG_4_6_1_3__4_NitrogenExcretionPerBird_Arguments">_xlfn.LAMBDA(_xlfn.MAKEARRAY(2, 2, _xlfn.LAMBDA(_xlpm.r,_xlpm.c, INDEX({"NI_jk","nitrogen intake : kg N/bird/day";"NR_jk","nitrogen retention expressed as a fraction of intake : fraction"}, _xlpm.r, _xlpm.c))))</definedName>
    <definedName name="MMS_Poultry_N2ODirect_Equations.VEERG_4_6_1_3__4_NitrogenExcretionPerBird_LatexEquation">_xlfn.LAMBDA("NE_{jk}=NI_{jk}\times(1-NR_{jk})")</definedName>
    <definedName name="MMS_Poultry_N2ODirect_Equations.VEERG_4_6_1_3__4_NitrogenExcretionPerBird_NIRReference">_xlfn.LAMBDA("")</definedName>
    <definedName name="MMS_Poultry_N2ODirect_Equations.VEERG_4_6_1_3__4_NitrogenExcretionPerBird_Source">_xlfn.LAMBDA("VEERG 2026: 4.6.1.3, Equation (4)")</definedName>
    <definedName name="MMS_Poultry_N2ODirect_Equations.VEERG_4_6_1_3__4_NitrogenExcretionPerBird_Title">_xlfn.LAMBDA("Nitrogen excretion per bird per day")</definedName>
    <definedName name="MMS_Poultry_N2ODirect_Equations.VEERG_4_6_1_3__4_NitrogenExcretionPerBird_Unit">_xlfn.LAMBDA("kg N/bird/day")</definedName>
    <definedName name="MMS_Poultry_N2ODirect_Equations.VEERG_4_6_1_3__4_NitrogenExcretionPerBird_Variable">_xlfn.LAMBDA("NE_jk")</definedName>
    <definedName name="MMS_Poultry_N2ODirect_Equations.VEERG_4_6_1_3__5_NitrogenIntake">_xlfn.LAMBDA(_xlpm.I_jk,_xlpm.CP_jk, _xlpm.I_jk * _xlpm.CP_jk / 6.25)</definedName>
    <definedName name="MMS_Poultry_N2ODirect_Equations.VEERG_4_6_1_3__5_NitrogenIntake_Arguments">_xlfn.LAMBDA(_xlfn.MAKEARRAY(3, 2, _xlfn.LAMBDA(_xlpm.r,_xlpm.c, INDEX({"I_jk","dry matter intake for each class and subclass : kg DM/bird/day";"CP_jk","crude protein content of feed : fraction";"6.25","factor for converting crude protein into nitrogen : ratio"}, _xlpm.r, _xlpm.c))))</definedName>
    <definedName name="MMS_Poultry_N2ODirect_Equations.VEERG_4_6_1_3__5_NitrogenIntake_LatexEquation">_xlfn.LAMBDA("NI_{jk}=I_{jk}\times CP_{jk}\div 6.25")</definedName>
    <definedName name="MMS_Poultry_N2ODirect_Equations.VEERG_4_6_1_3__5_NitrogenIntake_NIRReference">_xlfn.LAMBDA("")</definedName>
    <definedName name="MMS_Poultry_N2ODirect_Equations.VEERG_4_6_1_3__5_NitrogenIntake_Source">_xlfn.LAMBDA("VEERG 2026: 4.6.1.3, Equation (5)")</definedName>
    <definedName name="MMS_Poultry_N2ODirect_Equations.VEERG_4_6_1_3__5_NitrogenIntake_Title">_xlfn.LAMBDA("Nitrogen intake of poultry")</definedName>
    <definedName name="MMS_Poultry_N2ODirect_Equations.VEERG_4_6_1_3__5_NitrogenIntake_Unit">_xlfn.LAMBDA("kg N/bird/day")</definedName>
    <definedName name="MMS_Poultry_N2ODirect_Equations.VEERG_4_6_1_3__5_NitrogenIntake_Variable">_xlfn.LAMBDA("NI_jk")</definedName>
    <definedName name="MMS_Poultry_N2ODirect_Equations.VEERG_4_6_1_3__6_Stage2NitrogenInMMS">_xlfn.LAMBDA(_xlpm.NT_jkmT2,_xlpm.MMS_mT2, _xlpm.NT_jkmT2 * _xlpm.MMS_mT2)</definedName>
    <definedName name="MMS_Poultry_N2ODirect_Equations.VEERG_4_6_1_3__6_Stage2NitrogenInMMS_Arguments">_xlfn.LAMBDA(_xlfn.MAKEARRAY(2, 2, _xlfn.LAMBDA(_xlpm.r,_xlpm.c, INDEX({"NT_jkmT2","nitrogen transferred to secondary treatment MMS : kg N";"MMS_mT2","fraction of manure in each secondary system : fraction"}, _xlpm.r, _xlpm.c))))</definedName>
    <definedName name="MMS_Poultry_N2ODirect_Equations.VEERG_4_6_1_3__6_Stage2NitrogenInMMS_LatexEquation">_xlfn.LAMBDA("MN_{jkm,T=2}=NT_{jkm,T=2}\times MMS_{m,T=2}")</definedName>
    <definedName name="MMS_Poultry_N2ODirect_Equations.VEERG_4_6_1_3__6_Stage2NitrogenInMMS_NIRReference">_xlfn.LAMBDA("")</definedName>
    <definedName name="MMS_Poultry_N2ODirect_Equations.VEERG_4_6_1_3__6_Stage2NitrogenInMMS_Source">_xlfn.LAMBDA("VEERG 2026: 4.6.1.3, Equation (6)")</definedName>
    <definedName name="MMS_Poultry_N2ODirect_Equations.VEERG_4_6_1_3__6_Stage2NitrogenInMMS_Title">_xlfn.LAMBDA("Nitrogen in treatment stage 2 MMS")</definedName>
    <definedName name="MMS_Poultry_N2ODirect_Equations.VEERG_4_6_1_3__6_Stage2NitrogenInMMS_Unit">_xlfn.LAMBDA("kg N")</definedName>
    <definedName name="MMS_Poultry_N2ODirect_Equations.VEERG_4_6_1_3__6_Stage2NitrogenInMMS_Variable">_xlfn.LAMBDA("MN_jkmT2")</definedName>
    <definedName name="MMS_Poultry_N2ODirect_Equations.VEERG_4_6_1_3__7_NitrogenTransferredToStage2MMS">_xlfn.LAMBDA(_xlpm.MN_jkmT1,_xlpm.FracGASM_mT1,_xlpm.EF_mT1, _xlpm.MN_jkmT1 * (1 - _xlpm.FracGASM_mT1 - _xlpm.EF_mT1))</definedName>
    <definedName name="MMS_Poultry_N2ODirect_Equations.VEERG_4_6_1_3__7_NitrogenTransferredToStage2MMS_Arguments">_xlfn.LAMBDA(_xlfn.MAKEARRAY(3, 2, _xlfn.LAMBDA(_xlpm.r,_xlpm.c, INDEX({"MN_jkmT1","nitrogen in MMS treatment stage 1 : kg N";"FracGASM_mT1","fraction of N volatilised from MMS treatment at stage 1 : fraction";"EF_mT1","nitrous oxide emission factor for MMS treatment at stage 1 : kg N2O-N/kg N"}, _xlpm.r, _xlpm.c))))</definedName>
    <definedName name="MMS_Poultry_N2ODirect_Equations.VEERG_4_6_1_3__7_NitrogenTransferredToStage2MMS_LatexEquation">_xlfn.LAMBDA("NT_{jkm,T=2}=MN_{jkm,T=1}\times(1-FracGASM_{m,T=1}-EF_{m,T=1})")</definedName>
    <definedName name="MMS_Poultry_N2ODirect_Equations.VEERG_4_6_1_3__7_NitrogenTransferredToStage2MMS_NIRReference">_xlfn.LAMBDA("")</definedName>
    <definedName name="MMS_Poultry_N2ODirect_Equations.VEERG_4_6_1_3__7_NitrogenTransferredToStage2MMS_Source">_xlfn.LAMBDA("VEERG 2026: 4.6.1.3, Equation (7)")</definedName>
    <definedName name="MMS_Poultry_N2ODirect_Equations.VEERG_4_6_1_3__7_NitrogenTransferredToStage2MMS_Title">_xlfn.LAMBDA("Nitrogen transferred to treatment stage 2 MMS")</definedName>
    <definedName name="MMS_Poultry_N2ODirect_Equations.VEERG_4_6_1_3__7_NitrogenTransferredToStage2MMS_Unit">_xlfn.LAMBDA("kg N")</definedName>
    <definedName name="MMS_Poultry_N2ODirect_Equations.VEERG_4_6_1_3__7_NitrogenTransferredToStage2MMS_Variable">_xlfn.LAMBDA("NT_jkmT2")</definedName>
    <definedName name="MMS_Poultry_Soil_AtmosphericDeposition_Equations.VEERG_4_6_1_12__1_AtmosphericDepositionEmissionsFromPoultryManureOnPasture">_xlfn.LAMBDA(_xlpm.M_vol_m14,_xlpm.EF_N2O,_xlpm.C_N2O, _xlpm.M_vol_m14 * _xlpm.EF_N2O * _xlpm.C_N2O * 10 ^ -3)</definedName>
    <definedName name="MMS_Poultry_Soil_AtmosphericDeposition_Equations.VEERG_4_6_1_12__1_AtmosphericDepositionEmissionsFromPoultryManureOnPasture_Arguments">_xlfn.LAMBDA(_xlfn.MAKEARRAY(6, 2, _xlfn.LAMBDA(_xlpm.r,_xlpm.c, INDEX({"M_vol_m14","mass of nitrogen volatilised from manure deposited on pasture (kg N)";"EF_N2O","emission factor for atmospheric deposition (kg N2O-N/kg N)";"C_N2O","factor to convert elemental mass of N2O to molecular mass";"j","production system";"ir","irrigation method";"r","rainfall region"}, _xlpm.r, _xlpm.c))))</definedName>
    <definedName name="MMS_Poultry_Soil_AtmosphericDeposition_Equations.VEERG_4_6_1_12__1_AtmosphericDepositionEmissionsFromPoultryManureOnPasture_LatexEquation">_xlfn.LAMBDA("E_{N2O,ad}=M_{vol,m=14}\times EF_{N2O}\times C_{N2O}\times 10^{-3}")</definedName>
    <definedName name="MMS_Poultry_Soil_AtmosphericDeposition_Equations.VEERG_4_6_1_12__1_AtmosphericDepositionEmissionsFromPoultryManureOnPasture_NIRReference">_xlfn.LAMBDA("")</definedName>
    <definedName name="MMS_Poultry_Soil_AtmosphericDeposition_Equations.VEERG_4_6_1_12__1_AtmosphericDepositionEmissionsFromPoultryManureOnPasture_Source">_xlfn.LAMBDA("VEERG 2026: 4.6.1.12, Equation (1)")</definedName>
    <definedName name="MMS_Poultry_Soil_AtmosphericDeposition_Equations.VEERG_4_6_1_12__1_AtmosphericDepositionEmissionsFromPoultryManureOnPasture_Title">_xlfn.LAMBDA("Atmospheric deposition emissions from poultry manure deposited on pasture")</definedName>
    <definedName name="MMS_Poultry_Soil_AtmosphericDeposition_Equations.VEERG_4_6_1_12__1_AtmosphericDepositionEmissionsFromPoultryManureOnPasture_Unit">_xlfn.LAMBDA("t N2O")</definedName>
    <definedName name="MMS_Poultry_Soil_AtmosphericDeposition_Equations.VEERG_4_6_1_12__1_AtmosphericDepositionEmissionsFromPoultryManureOnPasture_Variable">_xlfn.LAMBDA("E_N2Oad")</definedName>
    <definedName name="MMS_Poultry_Soil_AtmosphericDeposition_Equations.VEERG_4_6_1_12__2_MassOfNitrogenVolatilisedFromPoultryManureOnPasture">_xlfn.LAMBDA(_xlpm.MN_jkm14T1,_xlpm.FracGASMsoil, _xlpm.MN_jkm14T1 * _xlpm.FracGASMsoil)</definedName>
    <definedName name="MMS_Poultry_Soil_AtmosphericDeposition_Equations.VEERG_4_6_1_12__2_MassOfNitrogenVolatilisedFromPoultryManureOnPasture_Arguments">_xlfn.LAMBDA(_xlfn.MAKEARRAY(2, 2, _xlfn.LAMBDA(_xlpm.r,_xlpm.c, INDEX({"MN_jkm14T1","mass of nitrogen excreted directly on pasture by poultry class and subclass (kg N)";"FracGASMsoil","fraction of nitrogen volatilised from manure deposited on pasture ((kg NH3-N + NOx-N)/kg N)"}, _xlpm.r, _xlpm.c))))</definedName>
    <definedName name="MMS_Poultry_Soil_AtmosphericDeposition_Equations.VEERG_4_6_1_12__2_MassOfNitrogenVolatilisedFromPoultryManureOnPasture_LatexEquation">_xlfn.LAMBDA("M_{vol,m=14}=\sum_{j}\sum_{k}(MN_{jkm=14,T=1}\times FracGASMsoil)")</definedName>
    <definedName name="MMS_Poultry_Soil_AtmosphericDeposition_Equations.VEERG_4_6_1_12__2_MassOfNitrogenVolatilisedFromPoultryManureOnPasture_NIRReference">_xlfn.LAMBDA("")</definedName>
    <definedName name="MMS_Poultry_Soil_AtmosphericDeposition_Equations.VEERG_4_6_1_12__2_MassOfNitrogenVolatilisedFromPoultryManureOnPasture_Source">_xlfn.LAMBDA("VEERG 2026: 4.6.1.12, Equation (2)")</definedName>
    <definedName name="MMS_Poultry_Soil_AtmosphericDeposition_Equations.VEERG_4_6_1_12__2_MassOfNitrogenVolatilisedFromPoultryManureOnPasture_Title">_xlfn.LAMBDA("Mass of nitrogen volatilised from poultry manure deposited on pasture")</definedName>
    <definedName name="MMS_Poultry_Soil_AtmosphericDeposition_Equations.VEERG_4_6_1_12__2_MassOfNitrogenVolatilisedFromPoultryManureOnPasture_Unit">_xlfn.LAMBDA("kg N")</definedName>
    <definedName name="MMS_Poultry_Soil_AtmosphericDeposition_Equations.VEERG_4_6_1_12__2_MassOfNitrogenVolatilisedFromPoultryManureOnPasture_Variable">_xlfn.LAMBDA("M_vol_m14")</definedName>
    <definedName name="MMS_Poultry_Soil_LeachingAndRunoff_Equations.VEERG_4_6_1_14__1_LeachingAndRunoffEmissionsFromPoultryManureOnPasture">_xlfn.LAMBDA(_xlpm.M_leach_m14,_xlpm.EF_leach,_xlpm.C_N2O, _xlpm.M_leach_m14 * _xlpm.EF_leach * _xlpm.C_N2O * 10 ^ -3)</definedName>
    <definedName name="MMS_Poultry_Soil_LeachingAndRunoff_Equations.VEERG_4_6_1_14__1_LeachingAndRunoffEmissionsFromPoultryManureOnPasture_Arguments">_xlfn.LAMBDA(_xlfn.MAKEARRAY(3, 2, _xlfn.LAMBDA(_xlpm.r,_xlpm.c, INDEX({"M_leach_m14","mass of nitrogen lost to leaching and runoff from poultry manure deposited on pasture (kg N)";"EF_leach","emission factor for leaching and runoff (kg N2O-N/kg N)";"C_N2O","factor to convert elemental mass of N2O to molecular mass"}, _xlpm.r, _xlpm.c))))</definedName>
    <definedName name="MMS_Poultry_Soil_LeachingAndRunoff_Equations.VEERG_4_6_1_14__1_LeachingAndRunoffEmissionsFromPoultryManureOnPasture_LatexEquation">_xlfn.LAMBDA("E_{N2O,leach}=M_{leach,m=14}\times EF_{leach}\times C_{N2O}\times 10^{-3}")</definedName>
    <definedName name="MMS_Poultry_Soil_LeachingAndRunoff_Equations.VEERG_4_6_1_14__1_LeachingAndRunoffEmissionsFromPoultryManureOnPasture_NIRReference">_xlfn.LAMBDA("")</definedName>
    <definedName name="MMS_Poultry_Soil_LeachingAndRunoff_Equations.VEERG_4_6_1_14__1_LeachingAndRunoffEmissionsFromPoultryManureOnPasture_Source">_xlfn.LAMBDA("VEERG 2026: 4.6.1.14, Equation (1)")</definedName>
    <definedName name="MMS_Poultry_Soil_LeachingAndRunoff_Equations.VEERG_4_6_1_14__1_LeachingAndRunoffEmissionsFromPoultryManureOnPasture_Title">_xlfn.LAMBDA("Leaching and runoff emissions from poultry manure deposited on pasture")</definedName>
    <definedName name="MMS_Poultry_Soil_LeachingAndRunoff_Equations.VEERG_4_6_1_14__1_LeachingAndRunoffEmissionsFromPoultryManureOnPasture_Unit">_xlfn.LAMBDA("t N2O")</definedName>
    <definedName name="MMS_Poultry_Soil_LeachingAndRunoff_Equations.VEERG_4_6_1_14__1_LeachingAndRunoffEmissionsFromPoultryManureOnPasture_Variable">_xlfn.LAMBDA("E_N2Oleach")</definedName>
    <definedName name="MMS_Poultry_Soil_LeachingAndRunoff_Equations.VEERG_4_6_1_14__2_MassOfNitrogenLostToLeachingAndRunoffFromPoultryManureOnPasture">_xlfn.LAMBDA(_xlpm.MN_jkm14T1,_xlpm.FracWet,_xlpm.FracLEACH_MS, _xlpm.MN_jkm14T1 * _xlpm.FracWet * _xlpm.FracLEACH_MS)</definedName>
    <definedName name="MMS_Poultry_Soil_LeachingAndRunoff_Equations.VEERG_4_6_1_14__2_MassOfNitrogenLostToLeachingAndRunoffFromPoultryManureOnPasture_Arguments">_xlfn.LAMBDA(_xlfn.MAKEARRAY(6, 2, _xlfn.LAMBDA(_xlpm.r,_xlpm.c, INDEX({"MN_jkm14T1","mass of nitrogen excreted directly on pasture by poultry class and subclass (kg N)";"FracWet","fraction of N available for leaching and runoff";"FracLEACH_MS","fraction of N that is lost through leaching and runoff";"z","location in leaching zone";"j","production system";"ir","irrigation method"}, _xlpm.r, _xlpm.c))))</definedName>
    <definedName name="MMS_Poultry_Soil_LeachingAndRunoff_Equations.VEERG_4_6_1_14__2_MassOfNitrogenLostToLeachingAndRunoffFromPoultryManureOnPasture_LatexEquation">_xlfn.LAMBDA("M_{leach,m=14}=\sum_{j}\sum_{k}(MN_{jkm=14,T=1}\times FracWet\times FracLEACH_MS)")</definedName>
    <definedName name="MMS_Poultry_Soil_LeachingAndRunoff_Equations.VEERG_4_6_1_14__2_MassOfNitrogenLostToLeachingAndRunoffFromPoultryManureOnPasture_NIRReference">_xlfn.LAMBDA("")</definedName>
    <definedName name="MMS_Poultry_Soil_LeachingAndRunoff_Equations.VEERG_4_6_1_14__2_MassOfNitrogenLostToLeachingAndRunoffFromPoultryManureOnPasture_Source">_xlfn.LAMBDA("VEERG 2026: 4.6.1.14, Equation (2)")</definedName>
    <definedName name="MMS_Poultry_Soil_LeachingAndRunoff_Equations.VEERG_4_6_1_14__2_MassOfNitrogenLostToLeachingAndRunoffFromPoultryManureOnPasture_Title">_xlfn.LAMBDA("Mass of nitrogen lost to leaching and runoff from poultry manure deposited on pasture")</definedName>
    <definedName name="MMS_Poultry_Soil_LeachingAndRunoff_Equations.VEERG_4_6_1_14__2_MassOfNitrogenLostToLeachingAndRunoffFromPoultryManureOnPasture_Unit">_xlfn.LAMBDA("kg N")</definedName>
    <definedName name="MMS_Poultry_Soil_LeachingAndRunoff_Equations.VEERG_4_6_1_14__2_MassOfNitrogenLostToLeachingAndRunoffFromPoultryManureOnPasture_Variable">_xlfn.LAMBDA("M_leach_m14")</definedName>
    <definedName name="MMS_Poultry_Soil_N2ODirect_Equations.VEERG_4_6_1_10__1_DirectNitrousOxideEmissionsFromPoultryManure">_xlfn.LAMBDA(_xlpm.MN_jkm14T1,_xlpm.EF_PRP,_xlpm.C_N2O, _xlpm.MN_jkm14T1 * _xlpm.EF_PRP * _xlpm.C_N2O * 10 ^ -3)</definedName>
    <definedName name="MMS_Poultry_Soil_N2ODirect_Equations.VEERG_4_6_1_10__1_DirectNitrousOxideEmissionsFromPoultryManure_Arguments">_xlfn.LAMBDA(_xlfn.MAKEARRAY(3, 2, _xlfn.LAMBDA(_xlpm.r,_xlpm.c, INDEX({"MN_jkm14T1","mass of nitrogen excreted directly on pasture by poultry class and subclass (kg N)";"EF_PRP","nitrous oxide emission factor for manure deposited on pasture (kg N2O-N/kg N deposited)";"C_N2O","factor to convert elemental mass of N2O to molecular mass"}, _xlpm.r, _xlpm.c))))</definedName>
    <definedName name="MMS_Poultry_Soil_N2ODirect_Equations.VEERG_4_6_1_10__1_DirectNitrousOxideEmissionsFromPoultryManure_LatexEquation">_xlfn.LAMBDA("EM_{N2O,PRP,dir}=\sum_{j}\sum_{k}(MN_{jkm=14,T=1}\times EF_{PRP}\times C_{N2O})\times 10^{-3}")</definedName>
    <definedName name="MMS_Poultry_Soil_N2ODirect_Equations.VEERG_4_6_1_10__1_DirectNitrousOxideEmissionsFromPoultryManure_NIRReference">_xlfn.LAMBDA("")</definedName>
    <definedName name="MMS_Poultry_Soil_N2ODirect_Equations.VEERG_4_6_1_10__1_DirectNitrousOxideEmissionsFromPoultryManure_Source">_xlfn.LAMBDA("VEERG 2026: 4.6.1.10, Equation (1)")</definedName>
    <definedName name="MMS_Poultry_Soil_N2ODirect_Equations.VEERG_4_6_1_10__1_DirectNitrousOxideEmissionsFromPoultryManure_Title">_xlfn.LAMBDA("Direct nitrous oxide emissions from poultry manure on pasture")</definedName>
    <definedName name="MMS_Poultry_Soil_N2ODirect_Equations.VEERG_4_6_1_10__1_DirectNitrousOxideEmissionsFromPoultryManure_Unit">_xlfn.LAMBDA("t N2O")</definedName>
    <definedName name="MMS_Poultry_Soil_N2ODirect_Equations.VEERG_4_6_1_10__1_DirectNitrousOxideEmissionsFromPoultryManure_Variable">_xlfn.LAMBDA("EM_N2OPRPdir")</definedName>
    <definedName name="Range_LivestockStartingValues">#REF!</definedName>
    <definedName name="SourceData_Poultry.SourceData_Poultry_DietProperties_Data">_xlfn.LAMBDA(_xlfn.MAKEARRAY(6,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definedName>
    <definedName name="SourceData_Poultry.SourceData_Poultry_DietProperties_Source">_xlfn.LAMBDA("VEERG 2026: Table A.1.7.1: Poultry - Diet properties")</definedName>
    <definedName name="SourceData_Poultry.SourceData_Poultry_DietProperties_Title">_xlfn.LAMBDA("Poultry - Diet properties")</definedName>
    <definedName name="SourceData_Poultry.SourceData_Poultry_DietProperties_Unit">_xlfn.LAMBDA("")</definedName>
    <definedName name="SourceData_Poultry.SourceData_Poultry_DietProperties_Variation">_xlfn.LAMBDA("")</definedName>
    <definedName name="SourceData_Poultry.SourceData_Poultry_EFmT_Data">_xlfn.LAMBDA(_xlfn.MAKEARRAY(9, 3, _xlfn.LAMBDA(_xlpm.r,_xlpm.c, INDEX({"MMS m","EFmT","NIR reference";"Poultry manure with litter (housing)",0.001,"Poultry manure with bedding";"Poultry manure without litter (housing)",0.001,"Belt manure removal";"Poultry manure without litter (housing)",0.001,"Manure stored in house";"Pasture range and paddock (free range)",0.02,"Pasture range and paddock";"Solid storage (stockpile)",0.005,"Solid storage";"Composting (passive windrow)",0.01,"Composting (passive windrow)";"Direct processing",0,"Direct processing";"Anaerobic digester / covered pond",0,"Digester / covered lagoons"}, _xlpm.r, _xlpm.c))))</definedName>
    <definedName name="SourceData_Poultry.SourceData_Poultry_EFmT_Source">_xlfn.LAMBDA("VEERG 2026: Table A.1.7.3")</definedName>
    <definedName name="SourceData_Poultry.SourceData_Poultry_EFmT_Title">_xlfn.LAMBDA("Poultry - Nitrous oxide EFs by MMS (kgN2O-N/kgN) (EFmT)")</definedName>
    <definedName name="SourceData_Poultry.SourceData_Poultry_EFmT_Unit">_xlfn.LAMBDA("kgN2O - N / kgN")</definedName>
    <definedName name="SourceData_Poultry.SourceData_Poultry_EFmT_Variation">_xlfn.LAMBDA("VARIATION ON SOURCE: Added 'NIR definition column'. Duplicated 'Poultry manure without litter' row for NIR MMS 'Belt manure removal' and 'Manure stored in house'.")</definedName>
    <definedName name="SourceData_Poultry.SourceData_Poultry_FracGASMmT_Data">_xlfn.LAMBDA(_xlfn.MAKEARRAY(8, 3, _xlfn.LAMBDA(_xlpm.r,_xlpm.c, INDEX({"MMS m","FracGASMmT","NIR reference";"Poultry manure with litter (housing)",0.3,"Poultry manure with bedding";"Poultry manure without litter (housing) Belt manure removal",0.05,"Belt manure removal";"Poultry manure without litter (housing) Manure stored in house under cages or slat",0.4,"Manure stored in house";"Solid storage (stockpile)",0.2,"Solid storage";"Composting (passive windrow)",0.2,"Composting (passive windrow)";"Direct processing",0,"Direct processing";"Anaerobic digester / covered pond",0,"Digester / covered lagoons"}, _xlpm.r, _xlpm.c))))</definedName>
    <definedName name="SourceData_Poultry.SourceData_Poultry_FracGASMmT_Source">_xlfn.LAMBDA("VEERG 2026: Table A.1.7.2")</definedName>
    <definedName name="SourceData_Poultry.SourceData_Poultry_FracGASMmT_Title">_xlfn.LAMBDA("Poultry - Fraction of N volatilised by MMS ((kg NH3-N + NOx-N)/kgN) (FracGASMmT)")</definedName>
    <definedName name="SourceData_Poultry.SourceData_Poultry_FracGASMmT_Unit">_xlfn.LAMBDA("(kg NH3-N + NOx-N)/kgN")</definedName>
    <definedName name="SourceData_Poultry.SourceData_Poultry_FracGASMmT_Variation">_xlfn.LAMBDA("VARIATION ON SOURCE: Added 'NIR definition column'.")</definedName>
    <definedName name="SourceData_Poultry.SourceData_Poultry_FractionOfNitrogenLostThroughLeachingAndRunoff_Data">_xlfn.LAMBDA(0.02)</definedName>
    <definedName name="SourceData_Poultry.SourceData_Poultry_FractionOfNitrogenLostThroughLeachingAndRunoff_Source">_xlfn.LAMBDA("VEERG 2026: 4.6.2.3 CONSTANTS")</definedName>
    <definedName name="SourceData_Poultry.SourceData_Poultry_FractionOfNitrogenLostThroughLeachingAndRunoff_Title">_xlfn.LAMBDA("Fraction of N that is lost through leaching and runoff")</definedName>
    <definedName name="SourceData_Poultry.SourceData_Poultry_FractionOfNitrogenLostThroughLeachingAndRunoff_Unit">_xlfn.LAMBDA("Dimensionless")</definedName>
    <definedName name="SourceData_Poultry.SourceData_Poultry_FractionOfNitrogenLostThroughLeachingAndRunoff_Variable">_xlfn.LAMBDA("Frac_LEACH_MS")</definedName>
    <definedName name="SourceData_Poultry.SourceData_Poultry_FractionOfNitrogenLostThroughLeachingAndRunoff_Variation">_xlfn.LAMBDA("")</definedName>
    <definedName name="SourceData_Poultry.SourceData_Poultry_MCF_Data">_xlfn.LAMBDA(_xlfn.MAKEARRAY(10, 11, _xlfn.LAMBDA(_xlpm.r,_xlpm.c, INDEX({"MMS m","All states","NSW","ACT","QLD","NT","VIC","SA","WA","TAS","NIR definition";"Poultry manure with litter",0.015,0.015,0.015,0.015,0.015,0.015,0.015,0.015,0.015,"Poultry manure with bedding";"Poultry manure without litter",0.015,0.015,0.015,0.015,0.015,0.015,0.015,0.015,0.015,"Belt manure removal";"Poultry manure without litter",0.015,0.015,0.015,0.015,0.015,0.015,0.015,0.015,0.015,"Manure stored in house";"Pasture range and paddock","n/a",0.01,0.01,0.03,0.03,0.01,0.01,0.01,0.01,"Pasture range and paddock";"Solid storage",0.02,0.02,0.02,0.02,0.02,0.02,0.02,0.02,0.02,"Solid storage";"Composting (passive windrow)","n/a",0.01,0.01,0.01,0.01,0.01,0.01,0.01,0.005,"Composting (passive windrow)";"Anaerobic digester / Covered pond",0.1,0.1,0.1,0.1,0.1,0.1,0.1,0.1,0.1,"Digester / covered lagoons";"Direct processing",0,0,0,0,0,0,0,0,0,"Direct processing";"Direct application to soil",0,0,0,0,0,0,0,0,0,"Direct application"}, _xlpm.r, _xlpm.c))))</definedName>
    <definedName name="SourceData_Poultry.SourceData_Poultry_MCF_Notes">_xlfn.LAMBDA("'Pasture range and paddock' applies MCF for drylot.")</definedName>
    <definedName name="SourceData_Poultry.SourceData_Poultry_MCF_Source">_xlfn.LAMBDA("VEERG 2026: Table A.1.7.4: Poultry - MCFs")</definedName>
    <definedName name="SourceData_Poultry.SourceData_Poultry_MCF_Title">_xlfn.LAMBDA("Poultry - MCFs")</definedName>
    <definedName name="SourceData_Poultry.SourceData_Poultry_MCF_Unit">_xlfn.LAMBDA("")</definedName>
    <definedName name="SourceData_Poultry.SourceData_Poultry_MCF_Variation">_xlfn.LAMBDA(_xlfn.MAKEARRAY(5, 1, _xlfn.LAMBDA(_xlpm.r,_xlpm.c, INDEX({"VARIATION ON SOURCE:";"Split NSW and ACT into separate states. Split QLD and NT into separate states.";"Included values for each state when 'All states' value is given.";"Added 'NIR definition' column with MMS names that match NIR definitions.";"Duplicated 'Poultry manure without litter' row for NIR MMS 'Belt manure removal' and 'Manure stored in house'"}, _xlpm.r, _xlpm.c))))</definedName>
    <definedName name="SourceData_Poultry.SourceData_Poultry_MethaneEmissionsPotential_Data">_xlfn.LAMBDA(_xlfn.MAKEARRAY(3, 2, _xlfn.LAMBDA(_xlpm.r,_xlpm.c, INDEX({"Poultry class","B0";"Layers",0.39;"Meat chickens",0.36}, _xlpm.r, _xlpm.c))))</definedName>
    <definedName name="SourceData_Poultry.SourceData_Poultry_MethaneEmissionsPotential_Source">_xlfn.LAMBDA("VEERG 2026: 4.6.2.3 CONSTANT: Poultry - Methane emissions potential per class")</definedName>
    <definedName name="SourceData_Poultry.SourceData_Poultry_MethaneEmissionsPotential_Title">_xlfn.LAMBDA("Poultry - Methane emissions potential per class")</definedName>
    <definedName name="SourceData_Poultry.SourceData_Poultry_MethaneEmissionsPotential_Unit">_xlfn.LAMBDA("m3 CH4/kg VS")</definedName>
    <definedName name="SourceData_Poultry.SourceData_Poultry_MethaneEmissionsPotential_Variation">_xlfn.LAMBDA("")</definedName>
    <definedName name="SourceData_Poultry.SourceData_Poultry_ProductionSystems_Data">_xlfn.LAMBDA(_xlfn.MAKEARRAY(4, 1, _xlfn.LAMBDA(_xlpm.r,_xlpm.c, INDEX({"Production system";"Free range";"Barn";"Cage"}, _xlpm.r, _xlpm.c))))</definedName>
    <definedName name="SourceData_Poultry.SourceData_Poultry_ProductionSystems_Source">_xlfn.LAMBDA("VEERG 2026: 4.6 Poultry")</definedName>
    <definedName name="SourceData_Poultry.SourceData_Poultry_ProductionSystems_Title">_xlfn.LAMBDA("Poultry - Production systems")</definedName>
    <definedName name="SourceData_Poultry.SourceData_Poultry_ProductionSystems_Unit">_xlfn.LAMBDA("")</definedName>
    <definedName name="SourceData_Poultry.SourceData_Poultry_ProductionSystems_Variation">_xlfn.LAMBDA("")</definedName>
    <definedName name="SourceData_Poultry.SourceData_Poultry_VSL_Data">_xlfn.LAMBDA(_xlfn.MAKEARRAY(4, 3, _xlfn.LAMBDA(_xlpm.r,_xlpm.c, INDEX({"MMS","VSL","NIR definition";"Poultry manure with litter",0.15,"Poultry manure with bedding";"Poultry manure without litter - stored in house",0.2,"Manure stored in house";"Poultry manure without litter - belt removal",0,"Belt manure removal"}, _xlpm.r, _xlpm.c))))</definedName>
    <definedName name="SourceData_Poultry.SourceData_Poultry_VSL_Source">_xlfn.LAMBDA("VEERG 2026: 4.6.2.3 CONSTANT")</definedName>
    <definedName name="SourceData_Poultry.SourceData_Poultry_VSL_Title">_xlfn.LAMBDA("Poultry - Fraction of volatile solids lost in the primary MMS")</definedName>
    <definedName name="SourceData_Poultry.SourceData_Poultry_VSL_Unit">_xlfn.LAMBDA("")</definedName>
    <definedName name="SourceData_Poultry.SourceData_Poultry_VSL_Variation">_xlfn.LAMBDA("VARIATION ON SOURCE: Table generated from line items. Added 'NIR definition column'.")</definedName>
    <definedName name="Step1">#REF!</definedName>
    <definedName name="Step2">#REF!</definedName>
    <definedName name="Step3">#REF!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J126" i="110" l="1" a="1"/>
  <c r="AJ126" i="110" s="1"/>
  <c r="AI126" i="110" a="1"/>
  <c r="AI126" i="110" s="1"/>
  <c r="AH126" i="110" a="1"/>
  <c r="AH126" i="110" s="1"/>
  <c r="AG126" i="110"/>
  <c r="AG126" i="110" a="1"/>
  <c r="AF126" i="110" a="1"/>
  <c r="AF126" i="110" s="1"/>
  <c r="AE126" i="110" a="1"/>
  <c r="AE126" i="110" s="1"/>
  <c r="AD126" i="110"/>
  <c r="AD126" i="110" a="1"/>
  <c r="AC126" i="110" a="1"/>
  <c r="AC126" i="110" s="1"/>
  <c r="AB126" i="110" a="1"/>
  <c r="AB126" i="110" s="1"/>
  <c r="AA126" i="110" a="1"/>
  <c r="AA126" i="110" s="1"/>
  <c r="Z126" i="110"/>
  <c r="Z126" i="110" a="1"/>
  <c r="Y126" i="110" a="1"/>
  <c r="Y126" i="110" s="1"/>
  <c r="X126" i="110" a="1"/>
  <c r="X126" i="110" s="1"/>
  <c r="W126" i="110"/>
  <c r="W126" i="110" a="1"/>
  <c r="V126" i="110" a="1"/>
  <c r="V126" i="110" s="1"/>
  <c r="AJ125" i="110" a="1"/>
  <c r="AJ125" i="110" s="1"/>
  <c r="AI125" i="110" a="1"/>
  <c r="AI125" i="110" s="1"/>
  <c r="AH125" i="110"/>
  <c r="AH125" i="110" a="1"/>
  <c r="AG125" i="110" a="1"/>
  <c r="AG125" i="110" s="1"/>
  <c r="AF125" i="110" a="1"/>
  <c r="AF125" i="110" s="1"/>
  <c r="AE125" i="110"/>
  <c r="AE125" i="110" a="1"/>
  <c r="AD125" i="110" a="1"/>
  <c r="AD125" i="110" s="1"/>
  <c r="AC125" i="110" a="1"/>
  <c r="AC125" i="110" s="1"/>
  <c r="AB125" i="110" a="1"/>
  <c r="AB125" i="110" s="1"/>
  <c r="AA125" i="110"/>
  <c r="AA125" i="110" a="1"/>
  <c r="Z125" i="110" a="1"/>
  <c r="Z125" i="110" s="1"/>
  <c r="Y125" i="110" a="1"/>
  <c r="Y125" i="110" s="1"/>
  <c r="X125" i="110"/>
  <c r="X125" i="110" a="1"/>
  <c r="W125" i="110" a="1"/>
  <c r="W125" i="110" s="1"/>
  <c r="V125" i="110" a="1"/>
  <c r="V125" i="110" s="1"/>
  <c r="AJ124" i="110" a="1"/>
  <c r="AJ124" i="110" s="1"/>
  <c r="AI124" i="110" a="1"/>
  <c r="AI124" i="110" s="1"/>
  <c r="AH124" i="110" a="1"/>
  <c r="AH124" i="110" s="1"/>
  <c r="AG124" i="110" a="1"/>
  <c r="AG124" i="110" s="1"/>
  <c r="AF124" i="110" a="1"/>
  <c r="AF124" i="110" s="1"/>
  <c r="AE124" i="110" a="1"/>
  <c r="AE124" i="110" s="1"/>
  <c r="AD124" i="110" a="1"/>
  <c r="AD124" i="110" s="1"/>
  <c r="AC124" i="110" a="1"/>
  <c r="AC124" i="110" s="1"/>
  <c r="AB124" i="110" a="1"/>
  <c r="AB124" i="110" s="1"/>
  <c r="AA124" i="110" a="1"/>
  <c r="AA124" i="110" s="1"/>
  <c r="Z124" i="110" a="1"/>
  <c r="Z124" i="110" s="1"/>
  <c r="Y124" i="110" a="1"/>
  <c r="Y124" i="110" s="1"/>
  <c r="X124" i="110" a="1"/>
  <c r="X124" i="110" s="1"/>
  <c r="W124" i="110" a="1"/>
  <c r="W124" i="110" s="1"/>
  <c r="V124" i="110" a="1"/>
  <c r="V124" i="110" s="1"/>
  <c r="AJ123" i="110" a="1"/>
  <c r="AJ123" i="110" s="1"/>
  <c r="AI123" i="110" a="1"/>
  <c r="AI123" i="110" s="1"/>
  <c r="AH123" i="110" a="1"/>
  <c r="AH123" i="110" s="1"/>
  <c r="AG123" i="110" a="1"/>
  <c r="AG123" i="110" s="1"/>
  <c r="AF123" i="110" a="1"/>
  <c r="AF123" i="110" s="1"/>
  <c r="AE123" i="110" a="1"/>
  <c r="AE123" i="110" s="1"/>
  <c r="AD123" i="110" a="1"/>
  <c r="AD123" i="110" s="1"/>
  <c r="AC123" i="110" a="1"/>
  <c r="AC123" i="110" s="1"/>
  <c r="AB123" i="110" a="1"/>
  <c r="AB123" i="110" s="1"/>
  <c r="AA123" i="110" a="1"/>
  <c r="AA123" i="110" s="1"/>
  <c r="Z123" i="110" a="1"/>
  <c r="Z123" i="110" s="1"/>
  <c r="Y123" i="110" a="1"/>
  <c r="Y123" i="110" s="1"/>
  <c r="X123" i="110" a="1"/>
  <c r="X123" i="110" s="1"/>
  <c r="W123" i="110" a="1"/>
  <c r="W123" i="110" s="1"/>
  <c r="V123" i="110" a="1"/>
  <c r="V123" i="110" s="1"/>
  <c r="AJ122" i="110" a="1"/>
  <c r="AJ122" i="110" s="1"/>
  <c r="AI122" i="110" a="1"/>
  <c r="AI122" i="110" s="1"/>
  <c r="AH122" i="110" a="1"/>
  <c r="AH122" i="110" s="1"/>
  <c r="AG122" i="110" a="1"/>
  <c r="AG122" i="110" s="1"/>
  <c r="AF122" i="110" a="1"/>
  <c r="AF122" i="110" s="1"/>
  <c r="AE122" i="110" a="1"/>
  <c r="AE122" i="110" s="1"/>
  <c r="AD122" i="110" a="1"/>
  <c r="AD122" i="110" s="1"/>
  <c r="AC122" i="110" a="1"/>
  <c r="AC122" i="110" s="1"/>
  <c r="AB122" i="110" a="1"/>
  <c r="AB122" i="110" s="1"/>
  <c r="AA122" i="110" a="1"/>
  <c r="AA122" i="110" s="1"/>
  <c r="Z122" i="110" a="1"/>
  <c r="Z122" i="110" s="1"/>
  <c r="Y122" i="110" a="1"/>
  <c r="Y122" i="110" s="1"/>
  <c r="X122" i="110" a="1"/>
  <c r="X122" i="110" s="1"/>
  <c r="W122" i="110" a="1"/>
  <c r="W122" i="110" s="1"/>
  <c r="V122" i="110" a="1"/>
  <c r="V122" i="110" s="1"/>
  <c r="AJ121" i="110" a="1"/>
  <c r="AJ121" i="110" s="1"/>
  <c r="AI121" i="110" a="1"/>
  <c r="AI121" i="110" s="1"/>
  <c r="AH121" i="110" a="1"/>
  <c r="AH121" i="110" s="1"/>
  <c r="AG121" i="110" a="1"/>
  <c r="AG121" i="110" s="1"/>
  <c r="AF121" i="110" a="1"/>
  <c r="AF121" i="110" s="1"/>
  <c r="AE121" i="110" a="1"/>
  <c r="AE121" i="110" s="1"/>
  <c r="AD121" i="110"/>
  <c r="AD121" i="110" a="1"/>
  <c r="AC121" i="110" a="1"/>
  <c r="AC121" i="110" s="1"/>
  <c r="AB121" i="110" a="1"/>
  <c r="AB121" i="110" s="1"/>
  <c r="AA121" i="110" a="1"/>
  <c r="AA121" i="110" s="1"/>
  <c r="Z121" i="110" a="1"/>
  <c r="Z121" i="110" s="1"/>
  <c r="Y121" i="110" a="1"/>
  <c r="Y121" i="110" s="1"/>
  <c r="X121" i="110" a="1"/>
  <c r="X121" i="110" s="1"/>
  <c r="W121" i="110" a="1"/>
  <c r="W121" i="110" s="1"/>
  <c r="V121" i="110" a="1"/>
  <c r="V121" i="110" s="1"/>
  <c r="AJ120" i="110" a="1"/>
  <c r="AJ120" i="110" s="1"/>
  <c r="AI120" i="110" a="1"/>
  <c r="AI120" i="110" s="1"/>
  <c r="AH120" i="110" a="1"/>
  <c r="AH120" i="110" s="1"/>
  <c r="AG120" i="110" a="1"/>
  <c r="AG120" i="110" s="1"/>
  <c r="AF120" i="110" a="1"/>
  <c r="AF120" i="110" s="1"/>
  <c r="AE120" i="110" a="1"/>
  <c r="AE120" i="110" s="1"/>
  <c r="AD120" i="110" a="1"/>
  <c r="AD120" i="110" s="1"/>
  <c r="AC120" i="110" a="1"/>
  <c r="AC120" i="110" s="1"/>
  <c r="AB120" i="110" a="1"/>
  <c r="AB120" i="110" s="1"/>
  <c r="AA120" i="110" a="1"/>
  <c r="AA120" i="110" s="1"/>
  <c r="Z120" i="110" a="1"/>
  <c r="Z120" i="110" s="1"/>
  <c r="Y120" i="110" a="1"/>
  <c r="Y120" i="110" s="1"/>
  <c r="X120" i="110" a="1"/>
  <c r="X120" i="110" s="1"/>
  <c r="W120" i="110" a="1"/>
  <c r="W120" i="110" s="1"/>
  <c r="V120" i="110" a="1"/>
  <c r="V120" i="110" s="1"/>
  <c r="AJ119" i="110" a="1"/>
  <c r="AJ119" i="110" s="1"/>
  <c r="AI119" i="110" a="1"/>
  <c r="AI119" i="110" s="1"/>
  <c r="AH119" i="110" a="1"/>
  <c r="AH119" i="110" s="1"/>
  <c r="AG119" i="110" a="1"/>
  <c r="AG119" i="110" s="1"/>
  <c r="AF119" i="110" a="1"/>
  <c r="AF119" i="110" s="1"/>
  <c r="AE119" i="110" a="1"/>
  <c r="AE119" i="110" s="1"/>
  <c r="AD119" i="110" a="1"/>
  <c r="AD119" i="110" s="1"/>
  <c r="AC119" i="110" a="1"/>
  <c r="AC119" i="110" s="1"/>
  <c r="AB119" i="110" a="1"/>
  <c r="AB119" i="110" s="1"/>
  <c r="AA119" i="110" a="1"/>
  <c r="AA119" i="110" s="1"/>
  <c r="Z119" i="110" a="1"/>
  <c r="Z119" i="110" s="1"/>
  <c r="Y119" i="110" a="1"/>
  <c r="Y119" i="110" s="1"/>
  <c r="X119" i="110" a="1"/>
  <c r="X119" i="110" s="1"/>
  <c r="W119" i="110" a="1"/>
  <c r="W119" i="110" s="1"/>
  <c r="V119" i="110" a="1"/>
  <c r="V119" i="110" s="1"/>
  <c r="AJ118" i="110" a="1"/>
  <c r="AJ118" i="110" s="1"/>
  <c r="AI118" i="110" a="1"/>
  <c r="AI118" i="110" s="1"/>
  <c r="AH118" i="110" a="1"/>
  <c r="AH118" i="110" s="1"/>
  <c r="AG118" i="110" a="1"/>
  <c r="AG118" i="110" s="1"/>
  <c r="AF118" i="110" a="1"/>
  <c r="AF118" i="110" s="1"/>
  <c r="AE118" i="110" a="1"/>
  <c r="AE118" i="110" s="1"/>
  <c r="AD118" i="110" a="1"/>
  <c r="AD118" i="110" s="1"/>
  <c r="AC118" i="110" a="1"/>
  <c r="AC118" i="110" s="1"/>
  <c r="AB118" i="110" a="1"/>
  <c r="AB118" i="110" s="1"/>
  <c r="AA118" i="110" a="1"/>
  <c r="AA118" i="110" s="1"/>
  <c r="Z118" i="110" a="1"/>
  <c r="Z118" i="110" s="1"/>
  <c r="Y118" i="110" a="1"/>
  <c r="Y118" i="110" s="1"/>
  <c r="X118" i="110" a="1"/>
  <c r="X118" i="110" s="1"/>
  <c r="W118" i="110" a="1"/>
  <c r="W118" i="110" s="1"/>
  <c r="V118" i="110" a="1"/>
  <c r="V118" i="110" s="1"/>
  <c r="AJ117" i="110" a="1"/>
  <c r="AJ117" i="110" s="1"/>
  <c r="AI117" i="110" a="1"/>
  <c r="AI117" i="110" s="1"/>
  <c r="AH117" i="110" a="1"/>
  <c r="AH117" i="110" s="1"/>
  <c r="AG117" i="110" a="1"/>
  <c r="AG117" i="110" s="1"/>
  <c r="AF117" i="110" a="1"/>
  <c r="AF117" i="110" s="1"/>
  <c r="AE117" i="110" a="1"/>
  <c r="AE117" i="110" s="1"/>
  <c r="AD117" i="110" a="1"/>
  <c r="AD117" i="110" s="1"/>
  <c r="AC117" i="110" a="1"/>
  <c r="AC117" i="110" s="1"/>
  <c r="AB117" i="110" a="1"/>
  <c r="AB117" i="110" s="1"/>
  <c r="AA117" i="110" a="1"/>
  <c r="AA117" i="110" s="1"/>
  <c r="Z117" i="110" a="1"/>
  <c r="Z117" i="110" s="1"/>
  <c r="Y117" i="110" a="1"/>
  <c r="Y117" i="110" s="1"/>
  <c r="X117" i="110" a="1"/>
  <c r="X117" i="110" s="1"/>
  <c r="W117" i="110" a="1"/>
  <c r="W117" i="110" s="1"/>
  <c r="V117" i="110" a="1"/>
  <c r="V117" i="110" s="1"/>
  <c r="AJ116" i="110" a="1"/>
  <c r="AJ116" i="110" s="1"/>
  <c r="AI116" i="110" a="1"/>
  <c r="AI116" i="110" s="1"/>
  <c r="AH116" i="110" a="1"/>
  <c r="AH116" i="110" s="1"/>
  <c r="AG116" i="110" a="1"/>
  <c r="AG116" i="110" s="1"/>
  <c r="AF116" i="110" a="1"/>
  <c r="AF116" i="110" s="1"/>
  <c r="AE116" i="110" a="1"/>
  <c r="AE116" i="110" s="1"/>
  <c r="AD116" i="110" a="1"/>
  <c r="AD116" i="110" s="1"/>
  <c r="AC116" i="110" a="1"/>
  <c r="AC116" i="110" s="1"/>
  <c r="AB116" i="110" a="1"/>
  <c r="AB116" i="110" s="1"/>
  <c r="AA116" i="110" a="1"/>
  <c r="AA116" i="110" s="1"/>
  <c r="Z116" i="110" a="1"/>
  <c r="Z116" i="110" s="1"/>
  <c r="Y116" i="110" a="1"/>
  <c r="Y116" i="110" s="1"/>
  <c r="X116" i="110" a="1"/>
  <c r="X116" i="110" s="1"/>
  <c r="W116" i="110" a="1"/>
  <c r="W116" i="110" s="1"/>
  <c r="V116" i="110" a="1"/>
  <c r="V116" i="110" s="1"/>
  <c r="AJ115" i="110" a="1"/>
  <c r="AJ115" i="110" s="1"/>
  <c r="AI115" i="110" a="1"/>
  <c r="AI115" i="110" s="1"/>
  <c r="AH115" i="110" a="1"/>
  <c r="AH115" i="110" s="1"/>
  <c r="AG115" i="110" a="1"/>
  <c r="AG115" i="110" s="1"/>
  <c r="AF115" i="110" a="1"/>
  <c r="AF115" i="110" s="1"/>
  <c r="AE115" i="110" a="1"/>
  <c r="AE115" i="110" s="1"/>
  <c r="AD115" i="110" a="1"/>
  <c r="AD115" i="110" s="1"/>
  <c r="AC115" i="110" a="1"/>
  <c r="AC115" i="110" s="1"/>
  <c r="AB115" i="110" a="1"/>
  <c r="AB115" i="110" s="1"/>
  <c r="AA115" i="110" a="1"/>
  <c r="AA115" i="110" s="1"/>
  <c r="Z115" i="110" a="1"/>
  <c r="Z115" i="110" s="1"/>
  <c r="Y115" i="110" a="1"/>
  <c r="Y115" i="110" s="1"/>
  <c r="X115" i="110" a="1"/>
  <c r="X115" i="110" s="1"/>
  <c r="W115" i="110" a="1"/>
  <c r="W115" i="110" s="1"/>
  <c r="V115" i="110" a="1"/>
  <c r="V115" i="110" s="1"/>
  <c r="AJ114" i="110" a="1"/>
  <c r="AJ114" i="110" s="1"/>
  <c r="AI114" i="110" a="1"/>
  <c r="AI114" i="110" s="1"/>
  <c r="AH114" i="110" a="1"/>
  <c r="AH114" i="110" s="1"/>
  <c r="AG114" i="110" a="1"/>
  <c r="AG114" i="110" s="1"/>
  <c r="AF114" i="110" a="1"/>
  <c r="AF114" i="110" s="1"/>
  <c r="AE114" i="110" a="1"/>
  <c r="AE114" i="110" s="1"/>
  <c r="AD114" i="110" a="1"/>
  <c r="AD114" i="110" s="1"/>
  <c r="AC114" i="110" a="1"/>
  <c r="AC114" i="110" s="1"/>
  <c r="AB114" i="110" a="1"/>
  <c r="AB114" i="110" s="1"/>
  <c r="AA114" i="110" a="1"/>
  <c r="AA114" i="110" s="1"/>
  <c r="Z114" i="110" a="1"/>
  <c r="Z114" i="110" s="1"/>
  <c r="Y114" i="110" a="1"/>
  <c r="Y114" i="110" s="1"/>
  <c r="X114" i="110" a="1"/>
  <c r="X114" i="110" s="1"/>
  <c r="W114" i="110" a="1"/>
  <c r="W114" i="110" s="1"/>
  <c r="V114" i="110" a="1"/>
  <c r="V114" i="110" s="1"/>
  <c r="AJ113" i="110" a="1"/>
  <c r="AJ113" i="110" s="1"/>
  <c r="AI113" i="110" a="1"/>
  <c r="AI113" i="110" s="1"/>
  <c r="AH113" i="110" a="1"/>
  <c r="AH113" i="110" s="1"/>
  <c r="AG113" i="110" a="1"/>
  <c r="AG113" i="110" s="1"/>
  <c r="AF113" i="110" a="1"/>
  <c r="AF113" i="110" s="1"/>
  <c r="AE113" i="110" a="1"/>
  <c r="AE113" i="110" s="1"/>
  <c r="AD113" i="110" a="1"/>
  <c r="AD113" i="110" s="1"/>
  <c r="AC113" i="110" a="1"/>
  <c r="AC113" i="110" s="1"/>
  <c r="AB113" i="110" a="1"/>
  <c r="AB113" i="110" s="1"/>
  <c r="AA113" i="110" a="1"/>
  <c r="AA113" i="110" s="1"/>
  <c r="Z113" i="110" a="1"/>
  <c r="Z113" i="110" s="1"/>
  <c r="Y113" i="110" a="1"/>
  <c r="Y113" i="110" s="1"/>
  <c r="X113" i="110" a="1"/>
  <c r="X113" i="110" s="1"/>
  <c r="W113" i="110" a="1"/>
  <c r="W113" i="110" s="1"/>
  <c r="V113" i="110" a="1"/>
  <c r="V113" i="110" s="1"/>
  <c r="AJ112" i="110" a="1"/>
  <c r="AJ112" i="110" s="1"/>
  <c r="AI112" i="110" a="1"/>
  <c r="AI112" i="110" s="1"/>
  <c r="AH112" i="110" a="1"/>
  <c r="AH112" i="110" s="1"/>
  <c r="AG112" i="110" a="1"/>
  <c r="AG112" i="110" s="1"/>
  <c r="AF112" i="110" a="1"/>
  <c r="AF112" i="110" s="1"/>
  <c r="AE112" i="110" a="1"/>
  <c r="AE112" i="110" s="1"/>
  <c r="AD112" i="110" a="1"/>
  <c r="AD112" i="110" s="1"/>
  <c r="AC112" i="110" a="1"/>
  <c r="AC112" i="110" s="1"/>
  <c r="AB112" i="110" a="1"/>
  <c r="AB112" i="110" s="1"/>
  <c r="AA112" i="110" a="1"/>
  <c r="AA112" i="110" s="1"/>
  <c r="Z112" i="110" a="1"/>
  <c r="Z112" i="110" s="1"/>
  <c r="Y112" i="110" a="1"/>
  <c r="Y112" i="110" s="1"/>
  <c r="X112" i="110" a="1"/>
  <c r="X112" i="110" s="1"/>
  <c r="W112" i="110" a="1"/>
  <c r="W112" i="110" s="1"/>
  <c r="V112" i="110" a="1"/>
  <c r="V112" i="110" s="1"/>
  <c r="AJ111" i="110" a="1"/>
  <c r="AJ111" i="110" s="1"/>
  <c r="AI111" i="110" a="1"/>
  <c r="AI111" i="110" s="1"/>
  <c r="AH111" i="110" a="1"/>
  <c r="AH111" i="110" s="1"/>
  <c r="AG111" i="110" a="1"/>
  <c r="AG111" i="110" s="1"/>
  <c r="AF111" i="110" a="1"/>
  <c r="AF111" i="110" s="1"/>
  <c r="AE111" i="110" a="1"/>
  <c r="AE111" i="110" s="1"/>
  <c r="AD111" i="110" a="1"/>
  <c r="AD111" i="110" s="1"/>
  <c r="AC111" i="110" a="1"/>
  <c r="AC111" i="110" s="1"/>
  <c r="AB111" i="110" a="1"/>
  <c r="AB111" i="110" s="1"/>
  <c r="AA111" i="110" a="1"/>
  <c r="AA111" i="110" s="1"/>
  <c r="Z111" i="110" a="1"/>
  <c r="Z111" i="110" s="1"/>
  <c r="Y111" i="110" a="1"/>
  <c r="Y111" i="110" s="1"/>
  <c r="X111" i="110" a="1"/>
  <c r="X111" i="110" s="1"/>
  <c r="W111" i="110" a="1"/>
  <c r="W111" i="110" s="1"/>
  <c r="V111" i="110" a="1"/>
  <c r="V111" i="110" s="1"/>
  <c r="AJ110" i="110" a="1"/>
  <c r="AJ110" i="110" s="1"/>
  <c r="AI110" i="110" a="1"/>
  <c r="AI110" i="110" s="1"/>
  <c r="AH110" i="110" a="1"/>
  <c r="AH110" i="110" s="1"/>
  <c r="AG110" i="110" a="1"/>
  <c r="AG110" i="110" s="1"/>
  <c r="AF110" i="110" a="1"/>
  <c r="AF110" i="110" s="1"/>
  <c r="AE110" i="110" a="1"/>
  <c r="AE110" i="110" s="1"/>
  <c r="AD110" i="110" a="1"/>
  <c r="AD110" i="110" s="1"/>
  <c r="AC110" i="110" a="1"/>
  <c r="AC110" i="110" s="1"/>
  <c r="AB110" i="110" a="1"/>
  <c r="AB110" i="110" s="1"/>
  <c r="AA110" i="110" a="1"/>
  <c r="AA110" i="110" s="1"/>
  <c r="Z110" i="110" a="1"/>
  <c r="Z110" i="110" s="1"/>
  <c r="Y110" i="110" a="1"/>
  <c r="Y110" i="110" s="1"/>
  <c r="X110" i="110" a="1"/>
  <c r="X110" i="110" s="1"/>
  <c r="W110" i="110" a="1"/>
  <c r="W110" i="110" s="1"/>
  <c r="V110" i="110" a="1"/>
  <c r="V110" i="110" s="1"/>
  <c r="AJ109" i="110" a="1"/>
  <c r="AJ109" i="110" s="1"/>
  <c r="AI109" i="110" a="1"/>
  <c r="AI109" i="110" s="1"/>
  <c r="AH109" i="110" a="1"/>
  <c r="AH109" i="110" s="1"/>
  <c r="AG109" i="110" a="1"/>
  <c r="AG109" i="110" s="1"/>
  <c r="AF109" i="110" a="1"/>
  <c r="AF109" i="110" s="1"/>
  <c r="AE109" i="110" a="1"/>
  <c r="AE109" i="110" s="1"/>
  <c r="AD109" i="110" a="1"/>
  <c r="AD109" i="110" s="1"/>
  <c r="AC109" i="110" a="1"/>
  <c r="AC109" i="110" s="1"/>
  <c r="AB109" i="110" a="1"/>
  <c r="AB109" i="110" s="1"/>
  <c r="AA109" i="110" a="1"/>
  <c r="AA109" i="110" s="1"/>
  <c r="Z109" i="110" a="1"/>
  <c r="Z109" i="110" s="1"/>
  <c r="Y109" i="110" a="1"/>
  <c r="Y109" i="110" s="1"/>
  <c r="X109" i="110" a="1"/>
  <c r="X109" i="110" s="1"/>
  <c r="W109" i="110" a="1"/>
  <c r="W109" i="110" s="1"/>
  <c r="V109" i="110" a="1"/>
  <c r="V109" i="110" s="1"/>
  <c r="AJ108" i="110" a="1"/>
  <c r="AJ108" i="110" s="1"/>
  <c r="AI108" i="110" a="1"/>
  <c r="AI108" i="110" s="1"/>
  <c r="AH108" i="110" a="1"/>
  <c r="AH108" i="110" s="1"/>
  <c r="AG108" i="110" a="1"/>
  <c r="AG108" i="110" s="1"/>
  <c r="AF108" i="110" a="1"/>
  <c r="AF108" i="110" s="1"/>
  <c r="AE108" i="110" a="1"/>
  <c r="AE108" i="110" s="1"/>
  <c r="AD108" i="110" a="1"/>
  <c r="AD108" i="110" s="1"/>
  <c r="AC108" i="110" a="1"/>
  <c r="AC108" i="110" s="1"/>
  <c r="AB108" i="110" a="1"/>
  <c r="AB108" i="110" s="1"/>
  <c r="AA108" i="110" a="1"/>
  <c r="AA108" i="110" s="1"/>
  <c r="Z108" i="110" a="1"/>
  <c r="Z108" i="110" s="1"/>
  <c r="Y108" i="110" a="1"/>
  <c r="Y108" i="110" s="1"/>
  <c r="X108" i="110" a="1"/>
  <c r="X108" i="110" s="1"/>
  <c r="W108" i="110" a="1"/>
  <c r="W108" i="110" s="1"/>
  <c r="V108" i="110" a="1"/>
  <c r="V108" i="110" s="1"/>
  <c r="AJ107" i="110" a="1"/>
  <c r="AJ107" i="110" s="1"/>
  <c r="AI107" i="110" a="1"/>
  <c r="AI107" i="110" s="1"/>
  <c r="AH107" i="110" a="1"/>
  <c r="AH107" i="110" s="1"/>
  <c r="AG107" i="110" a="1"/>
  <c r="AG107" i="110" s="1"/>
  <c r="AF107" i="110" a="1"/>
  <c r="AF107" i="110" s="1"/>
  <c r="AE107" i="110" a="1"/>
  <c r="AE107" i="110" s="1"/>
  <c r="AD107" i="110" a="1"/>
  <c r="AD107" i="110" s="1"/>
  <c r="AC107" i="110" a="1"/>
  <c r="AC107" i="110" s="1"/>
  <c r="AB107" i="110" a="1"/>
  <c r="AB107" i="110" s="1"/>
  <c r="AA107" i="110" a="1"/>
  <c r="AA107" i="110" s="1"/>
  <c r="Z107" i="110" a="1"/>
  <c r="Z107" i="110" s="1"/>
  <c r="Y107" i="110" a="1"/>
  <c r="Y107" i="110" s="1"/>
  <c r="X107" i="110" a="1"/>
  <c r="X107" i="110" s="1"/>
  <c r="W107" i="110" a="1"/>
  <c r="W107" i="110" s="1"/>
  <c r="V107" i="110" a="1"/>
  <c r="V107" i="110" s="1"/>
  <c r="AJ106" i="110" a="1"/>
  <c r="AJ106" i="110" s="1"/>
  <c r="AI106" i="110" a="1"/>
  <c r="AI106" i="110" s="1"/>
  <c r="AH106" i="110" a="1"/>
  <c r="AH106" i="110" s="1"/>
  <c r="AG106" i="110" a="1"/>
  <c r="AG106" i="110" s="1"/>
  <c r="AF106" i="110" a="1"/>
  <c r="AF106" i="110" s="1"/>
  <c r="AE106" i="110" a="1"/>
  <c r="AE106" i="110" s="1"/>
  <c r="AD106" i="110" a="1"/>
  <c r="AD106" i="110" s="1"/>
  <c r="AC106" i="110" a="1"/>
  <c r="AC106" i="110" s="1"/>
  <c r="AB106" i="110" a="1"/>
  <c r="AB106" i="110" s="1"/>
  <c r="AA106" i="110" a="1"/>
  <c r="AA106" i="110" s="1"/>
  <c r="Z106" i="110" a="1"/>
  <c r="Z106" i="110" s="1"/>
  <c r="Y106" i="110" a="1"/>
  <c r="Y106" i="110" s="1"/>
  <c r="X106" i="110" a="1"/>
  <c r="X106" i="110" s="1"/>
  <c r="W106" i="110" a="1"/>
  <c r="W106" i="110" s="1"/>
  <c r="V106" i="110" a="1"/>
  <c r="V106" i="110" s="1"/>
  <c r="AJ105" i="110" a="1"/>
  <c r="AJ105" i="110" s="1"/>
  <c r="AI105" i="110" a="1"/>
  <c r="AI105" i="110" s="1"/>
  <c r="AH105" i="110" a="1"/>
  <c r="AH105" i="110" s="1"/>
  <c r="AG105" i="110" a="1"/>
  <c r="AG105" i="110" s="1"/>
  <c r="AF105" i="110" a="1"/>
  <c r="AF105" i="110" s="1"/>
  <c r="AE105" i="110" a="1"/>
  <c r="AE105" i="110" s="1"/>
  <c r="AD105" i="110" a="1"/>
  <c r="AD105" i="110" s="1"/>
  <c r="AC105" i="110" a="1"/>
  <c r="AC105" i="110" s="1"/>
  <c r="AB105" i="110" a="1"/>
  <c r="AB105" i="110" s="1"/>
  <c r="AA105" i="110" a="1"/>
  <c r="AA105" i="110" s="1"/>
  <c r="Z105" i="110" a="1"/>
  <c r="Z105" i="110" s="1"/>
  <c r="Y105" i="110" a="1"/>
  <c r="Y105" i="110" s="1"/>
  <c r="X105" i="110" a="1"/>
  <c r="X105" i="110" s="1"/>
  <c r="W105" i="110" a="1"/>
  <c r="W105" i="110" s="1"/>
  <c r="V105" i="110" a="1"/>
  <c r="V105" i="110" s="1"/>
  <c r="AJ104" i="110" a="1"/>
  <c r="AJ104" i="110" s="1"/>
  <c r="AI104" i="110" a="1"/>
  <c r="AI104" i="110" s="1"/>
  <c r="AH104" i="110" a="1"/>
  <c r="AH104" i="110" s="1"/>
  <c r="AG104" i="110" a="1"/>
  <c r="AG104" i="110" s="1"/>
  <c r="AF104" i="110" a="1"/>
  <c r="AF104" i="110" s="1"/>
  <c r="AE104" i="110" a="1"/>
  <c r="AE104" i="110" s="1"/>
  <c r="AD104" i="110" a="1"/>
  <c r="AD104" i="110" s="1"/>
  <c r="AC104" i="110" a="1"/>
  <c r="AC104" i="110" s="1"/>
  <c r="AB104" i="110" a="1"/>
  <c r="AB104" i="110" s="1"/>
  <c r="AA104" i="110" a="1"/>
  <c r="AA104" i="110" s="1"/>
  <c r="Z104" i="110" a="1"/>
  <c r="Z104" i="110" s="1"/>
  <c r="Y104" i="110" a="1"/>
  <c r="Y104" i="110" s="1"/>
  <c r="X104" i="110" a="1"/>
  <c r="X104" i="110" s="1"/>
  <c r="W104" i="110" a="1"/>
  <c r="W104" i="110" s="1"/>
  <c r="V104" i="110" a="1"/>
  <c r="V104" i="110" s="1"/>
  <c r="AJ103" i="110" a="1"/>
  <c r="AJ103" i="110" s="1"/>
  <c r="AI103" i="110" a="1"/>
  <c r="AI103" i="110" s="1"/>
  <c r="AH103" i="110" a="1"/>
  <c r="AH103" i="110" s="1"/>
  <c r="AG103" i="110" a="1"/>
  <c r="AG103" i="110" s="1"/>
  <c r="AF103" i="110" a="1"/>
  <c r="AF103" i="110" s="1"/>
  <c r="AE103" i="110" a="1"/>
  <c r="AE103" i="110" s="1"/>
  <c r="AD103" i="110" a="1"/>
  <c r="AD103" i="110" s="1"/>
  <c r="AC103" i="110" a="1"/>
  <c r="AC103" i="110" s="1"/>
  <c r="AB103" i="110" a="1"/>
  <c r="AB103" i="110" s="1"/>
  <c r="AA103" i="110" a="1"/>
  <c r="AA103" i="110" s="1"/>
  <c r="Z103" i="110" a="1"/>
  <c r="Z103" i="110" s="1"/>
  <c r="Y103" i="110" a="1"/>
  <c r="Y103" i="110" s="1"/>
  <c r="X103" i="110" a="1"/>
  <c r="X103" i="110" s="1"/>
  <c r="W103" i="110" a="1"/>
  <c r="W103" i="110" s="1"/>
  <c r="V103" i="110" a="1"/>
  <c r="V103" i="110" s="1"/>
  <c r="AJ102" i="110" a="1"/>
  <c r="AJ102" i="110" s="1"/>
  <c r="AI102" i="110" a="1"/>
  <c r="AI102" i="110" s="1"/>
  <c r="AH102" i="110" a="1"/>
  <c r="AH102" i="110" s="1"/>
  <c r="AG102" i="110" a="1"/>
  <c r="AG102" i="110" s="1"/>
  <c r="AF102" i="110" a="1"/>
  <c r="AF102" i="110" s="1"/>
  <c r="AE102" i="110" a="1"/>
  <c r="AE102" i="110" s="1"/>
  <c r="AD102" i="110" a="1"/>
  <c r="AD102" i="110" s="1"/>
  <c r="AC102" i="110" a="1"/>
  <c r="AC102" i="110" s="1"/>
  <c r="AB102" i="110" a="1"/>
  <c r="AB102" i="110" s="1"/>
  <c r="AA102" i="110" a="1"/>
  <c r="AA102" i="110" s="1"/>
  <c r="Z102" i="110" a="1"/>
  <c r="Z102" i="110" s="1"/>
  <c r="Y102" i="110" a="1"/>
  <c r="Y102" i="110" s="1"/>
  <c r="X102" i="110" a="1"/>
  <c r="X102" i="110" s="1"/>
  <c r="W102" i="110" a="1"/>
  <c r="W102" i="110" s="1"/>
  <c r="V102" i="110" a="1"/>
  <c r="V102" i="110" s="1"/>
  <c r="AJ101" i="110" a="1"/>
  <c r="AJ101" i="110" s="1"/>
  <c r="AI101" i="110" a="1"/>
  <c r="AI101" i="110" s="1"/>
  <c r="AH101" i="110" a="1"/>
  <c r="AH101" i="110" s="1"/>
  <c r="AG101" i="110" a="1"/>
  <c r="AG101" i="110" s="1"/>
  <c r="AF101" i="110" a="1"/>
  <c r="AF101" i="110" s="1"/>
  <c r="AE101" i="110" a="1"/>
  <c r="AE101" i="110" s="1"/>
  <c r="AD101" i="110"/>
  <c r="AD101" i="110" a="1"/>
  <c r="AC101" i="110" a="1"/>
  <c r="AC101" i="110" s="1"/>
  <c r="AB101" i="110" a="1"/>
  <c r="AB101" i="110" s="1"/>
  <c r="AA101" i="110" a="1"/>
  <c r="AA101" i="110" s="1"/>
  <c r="Z101" i="110" a="1"/>
  <c r="Z101" i="110" s="1"/>
  <c r="Y101" i="110" a="1"/>
  <c r="Y101" i="110" s="1"/>
  <c r="X101" i="110" a="1"/>
  <c r="X101" i="110" s="1"/>
  <c r="W101" i="110"/>
  <c r="W101" i="110" a="1"/>
  <c r="V101" i="110" a="1"/>
  <c r="V101" i="110" s="1"/>
  <c r="AJ100" i="110" a="1"/>
  <c r="AJ100" i="110" s="1"/>
  <c r="AI100" i="110" a="1"/>
  <c r="AI100" i="110" s="1"/>
  <c r="AH100" i="110" a="1"/>
  <c r="AH100" i="110" s="1"/>
  <c r="AG100" i="110" a="1"/>
  <c r="AG100" i="110" s="1"/>
  <c r="AF100" i="110" a="1"/>
  <c r="AF100" i="110" s="1"/>
  <c r="AE100" i="110"/>
  <c r="AE100" i="110" a="1"/>
  <c r="AD100" i="110" a="1"/>
  <c r="AD100" i="110" s="1"/>
  <c r="AC100" i="110" a="1"/>
  <c r="AC100" i="110" s="1"/>
  <c r="AB100" i="110" a="1"/>
  <c r="AB100" i="110" s="1"/>
  <c r="AA100" i="110" a="1"/>
  <c r="AA100" i="110" s="1"/>
  <c r="Z100" i="110" a="1"/>
  <c r="Z100" i="110" s="1"/>
  <c r="Y100" i="110" a="1"/>
  <c r="Y100" i="110" s="1"/>
  <c r="X100" i="110" a="1"/>
  <c r="X100" i="110" s="1"/>
  <c r="W100" i="110" a="1"/>
  <c r="W100" i="110" s="1"/>
  <c r="V100" i="110" a="1"/>
  <c r="V100" i="110" s="1"/>
  <c r="AJ99" i="110" a="1"/>
  <c r="AJ99" i="110" s="1"/>
  <c r="AI99" i="110" a="1"/>
  <c r="AI99" i="110" s="1"/>
  <c r="AH99" i="110" a="1"/>
  <c r="AH99" i="110" s="1"/>
  <c r="AG99" i="110" a="1"/>
  <c r="AG99" i="110" s="1"/>
  <c r="AF99" i="110" a="1"/>
  <c r="AF99" i="110" s="1"/>
  <c r="AE99" i="110" a="1"/>
  <c r="AE99" i="110" s="1"/>
  <c r="AD99" i="110" a="1"/>
  <c r="AD99" i="110" s="1"/>
  <c r="AC99" i="110" a="1"/>
  <c r="AC99" i="110" s="1"/>
  <c r="AB99" i="110" a="1"/>
  <c r="AB99" i="110" s="1"/>
  <c r="AA99" i="110" a="1"/>
  <c r="AA99" i="110" s="1"/>
  <c r="Z99" i="110" a="1"/>
  <c r="Z99" i="110" s="1"/>
  <c r="Y99" i="110" a="1"/>
  <c r="Y99" i="110" s="1"/>
  <c r="X99" i="110" a="1"/>
  <c r="X99" i="110" s="1"/>
  <c r="W99" i="110" a="1"/>
  <c r="W99" i="110" s="1"/>
  <c r="V99" i="110" a="1"/>
  <c r="V99" i="110" s="1"/>
  <c r="AJ98" i="110" a="1"/>
  <c r="AJ98" i="110" s="1"/>
  <c r="AI98" i="110" a="1"/>
  <c r="AI98" i="110" s="1"/>
  <c r="AH98" i="110" a="1"/>
  <c r="AH98" i="110" s="1"/>
  <c r="AG98" i="110" a="1"/>
  <c r="AG98" i="110" s="1"/>
  <c r="AF98" i="110" a="1"/>
  <c r="AF98" i="110" s="1"/>
  <c r="AE98" i="110" a="1"/>
  <c r="AE98" i="110" s="1"/>
  <c r="AD98" i="110" a="1"/>
  <c r="AD98" i="110" s="1"/>
  <c r="AC98" i="110" a="1"/>
  <c r="AC98" i="110" s="1"/>
  <c r="AB98" i="110" a="1"/>
  <c r="AB98" i="110" s="1"/>
  <c r="AA98" i="110" a="1"/>
  <c r="AA98" i="110" s="1"/>
  <c r="Z98" i="110" a="1"/>
  <c r="Z98" i="110" s="1"/>
  <c r="Y98" i="110" a="1"/>
  <c r="Y98" i="110" s="1"/>
  <c r="X98" i="110" a="1"/>
  <c r="X98" i="110" s="1"/>
  <c r="W98" i="110" a="1"/>
  <c r="W98" i="110" s="1"/>
  <c r="V98" i="110" a="1"/>
  <c r="V98" i="110" s="1"/>
  <c r="AJ97" i="110" a="1"/>
  <c r="AJ97" i="110" s="1"/>
  <c r="AI97" i="110" a="1"/>
  <c r="AI97" i="110" s="1"/>
  <c r="AH97" i="110" a="1"/>
  <c r="AH97" i="110" s="1"/>
  <c r="AG97" i="110" a="1"/>
  <c r="AG97" i="110" s="1"/>
  <c r="AF97" i="110" a="1"/>
  <c r="AF97" i="110" s="1"/>
  <c r="AE97" i="110" a="1"/>
  <c r="AE97" i="110" s="1"/>
  <c r="AD97" i="110" a="1"/>
  <c r="AD97" i="110" s="1"/>
  <c r="AC97" i="110" a="1"/>
  <c r="AC97" i="110" s="1"/>
  <c r="AB97" i="110" a="1"/>
  <c r="AB97" i="110" s="1"/>
  <c r="AA97" i="110" a="1"/>
  <c r="AA97" i="110" s="1"/>
  <c r="Z97" i="110" a="1"/>
  <c r="Z97" i="110" s="1"/>
  <c r="Y97" i="110" a="1"/>
  <c r="Y97" i="110" s="1"/>
  <c r="X97" i="110" a="1"/>
  <c r="X97" i="110" s="1"/>
  <c r="W97" i="110" a="1"/>
  <c r="W97" i="110" s="1"/>
  <c r="V97" i="110" a="1"/>
  <c r="V97" i="110" s="1"/>
  <c r="AJ96" i="110" a="1"/>
  <c r="AJ96" i="110" s="1"/>
  <c r="AI96" i="110" a="1"/>
  <c r="AI96" i="110" s="1"/>
  <c r="AH96" i="110" a="1"/>
  <c r="AH96" i="110" s="1"/>
  <c r="AG96" i="110" a="1"/>
  <c r="AG96" i="110" s="1"/>
  <c r="AF96" i="110" a="1"/>
  <c r="AF96" i="110" s="1"/>
  <c r="AE96" i="110" a="1"/>
  <c r="AE96" i="110" s="1"/>
  <c r="AD96" i="110" a="1"/>
  <c r="AD96" i="110" s="1"/>
  <c r="AC96" i="110" a="1"/>
  <c r="AC96" i="110" s="1"/>
  <c r="AB96" i="110" a="1"/>
  <c r="AB96" i="110" s="1"/>
  <c r="AA96" i="110" a="1"/>
  <c r="AA96" i="110" s="1"/>
  <c r="Z96" i="110" a="1"/>
  <c r="Z96" i="110" s="1"/>
  <c r="Y96" i="110" a="1"/>
  <c r="Y96" i="110" s="1"/>
  <c r="X96" i="110" a="1"/>
  <c r="X96" i="110" s="1"/>
  <c r="W96" i="110" a="1"/>
  <c r="W96" i="110" s="1"/>
  <c r="V96" i="110" a="1"/>
  <c r="V96" i="110" s="1"/>
  <c r="AJ95" i="110" a="1"/>
  <c r="AJ95" i="110" s="1"/>
  <c r="AI95" i="110" a="1"/>
  <c r="AI95" i="110" s="1"/>
  <c r="AH95" i="110" a="1"/>
  <c r="AH95" i="110" s="1"/>
  <c r="AG95" i="110" a="1"/>
  <c r="AG95" i="110" s="1"/>
  <c r="AF95" i="110" a="1"/>
  <c r="AF95" i="110" s="1"/>
  <c r="AE95" i="110" a="1"/>
  <c r="AE95" i="110" s="1"/>
  <c r="AD95" i="110" a="1"/>
  <c r="AD95" i="110" s="1"/>
  <c r="AC95" i="110" a="1"/>
  <c r="AC95" i="110" s="1"/>
  <c r="AB95" i="110" a="1"/>
  <c r="AB95" i="110" s="1"/>
  <c r="AA95" i="110" a="1"/>
  <c r="AA95" i="110" s="1"/>
  <c r="Z95" i="110" a="1"/>
  <c r="Z95" i="110" s="1"/>
  <c r="Y95" i="110" a="1"/>
  <c r="Y95" i="110" s="1"/>
  <c r="X95" i="110" a="1"/>
  <c r="X95" i="110" s="1"/>
  <c r="W95" i="110" a="1"/>
  <c r="W95" i="110" s="1"/>
  <c r="V95" i="110" a="1"/>
  <c r="V95" i="110" s="1"/>
  <c r="AJ94" i="110" a="1"/>
  <c r="AJ94" i="110" s="1"/>
  <c r="AI94" i="110" a="1"/>
  <c r="AI94" i="110" s="1"/>
  <c r="AH94" i="110" a="1"/>
  <c r="AH94" i="110" s="1"/>
  <c r="AG94" i="110" a="1"/>
  <c r="AG94" i="110" s="1"/>
  <c r="AF94" i="110" a="1"/>
  <c r="AF94" i="110" s="1"/>
  <c r="AE94" i="110" a="1"/>
  <c r="AE94" i="110" s="1"/>
  <c r="AD94" i="110" a="1"/>
  <c r="AD94" i="110" s="1"/>
  <c r="AC94" i="110" a="1"/>
  <c r="AC94" i="110" s="1"/>
  <c r="AB94" i="110" a="1"/>
  <c r="AB94" i="110" s="1"/>
  <c r="AA94" i="110" a="1"/>
  <c r="AA94" i="110" s="1"/>
  <c r="Z94" i="110" a="1"/>
  <c r="Z94" i="110" s="1"/>
  <c r="Y94" i="110" a="1"/>
  <c r="Y94" i="110" s="1"/>
  <c r="X94" i="110" a="1"/>
  <c r="X94" i="110" s="1"/>
  <c r="W94" i="110" a="1"/>
  <c r="W94" i="110" s="1"/>
  <c r="V94" i="110" a="1"/>
  <c r="V94" i="110" s="1"/>
  <c r="AJ93" i="110" a="1"/>
  <c r="AJ93" i="110" s="1"/>
  <c r="AI93" i="110" a="1"/>
  <c r="AI93" i="110" s="1"/>
  <c r="AH93" i="110" a="1"/>
  <c r="AH93" i="110" s="1"/>
  <c r="AG93" i="110" a="1"/>
  <c r="AG93" i="110" s="1"/>
  <c r="AF93" i="110" a="1"/>
  <c r="AF93" i="110" s="1"/>
  <c r="AE93" i="110" a="1"/>
  <c r="AE93" i="110" s="1"/>
  <c r="AD93" i="110" a="1"/>
  <c r="AD93" i="110" s="1"/>
  <c r="AC93" i="110" a="1"/>
  <c r="AC93" i="110" s="1"/>
  <c r="AB93" i="110" a="1"/>
  <c r="AB93" i="110" s="1"/>
  <c r="AA93" i="110" a="1"/>
  <c r="AA93" i="110" s="1"/>
  <c r="Z93" i="110" a="1"/>
  <c r="Z93" i="110" s="1"/>
  <c r="Y93" i="110" a="1"/>
  <c r="Y93" i="110" s="1"/>
  <c r="X93" i="110" a="1"/>
  <c r="X93" i="110" s="1"/>
  <c r="W93" i="110" a="1"/>
  <c r="W93" i="110" s="1"/>
  <c r="V93" i="110" a="1"/>
  <c r="V93" i="110" s="1"/>
  <c r="AJ92" i="110" a="1"/>
  <c r="AJ92" i="110" s="1"/>
  <c r="AI92" i="110" a="1"/>
  <c r="AI92" i="110" s="1"/>
  <c r="AH92" i="110" a="1"/>
  <c r="AH92" i="110" s="1"/>
  <c r="AG92" i="110" a="1"/>
  <c r="AG92" i="110" s="1"/>
  <c r="AF92" i="110" a="1"/>
  <c r="AF92" i="110" s="1"/>
  <c r="AE92" i="110" a="1"/>
  <c r="AE92" i="110" s="1"/>
  <c r="AD92" i="110" a="1"/>
  <c r="AD92" i="110" s="1"/>
  <c r="AC92" i="110" a="1"/>
  <c r="AC92" i="110" s="1"/>
  <c r="AB92" i="110" a="1"/>
  <c r="AB92" i="110" s="1"/>
  <c r="AA92" i="110" a="1"/>
  <c r="AA92" i="110" s="1"/>
  <c r="Z92" i="110" a="1"/>
  <c r="Z92" i="110" s="1"/>
  <c r="Y92" i="110" a="1"/>
  <c r="Y92" i="110" s="1"/>
  <c r="X92" i="110" a="1"/>
  <c r="X92" i="110" s="1"/>
  <c r="W92" i="110" a="1"/>
  <c r="W92" i="110" s="1"/>
  <c r="V92" i="110" a="1"/>
  <c r="V92" i="110" s="1"/>
  <c r="AJ91" i="110" a="1"/>
  <c r="AJ91" i="110" s="1"/>
  <c r="AI91" i="110" a="1"/>
  <c r="AI91" i="110" s="1"/>
  <c r="AH91" i="110" a="1"/>
  <c r="AH91" i="110" s="1"/>
  <c r="AG91" i="110" a="1"/>
  <c r="AG91" i="110" s="1"/>
  <c r="AF91" i="110" a="1"/>
  <c r="AF91" i="110" s="1"/>
  <c r="AE91" i="110" a="1"/>
  <c r="AE91" i="110" s="1"/>
  <c r="AD91" i="110" a="1"/>
  <c r="AD91" i="110" s="1"/>
  <c r="AC91" i="110" a="1"/>
  <c r="AC91" i="110" s="1"/>
  <c r="AB91" i="110" a="1"/>
  <c r="AB91" i="110" s="1"/>
  <c r="AA91" i="110" a="1"/>
  <c r="AA91" i="110" s="1"/>
  <c r="Z91" i="110" a="1"/>
  <c r="Z91" i="110" s="1"/>
  <c r="Y91" i="110" a="1"/>
  <c r="Y91" i="110" s="1"/>
  <c r="X91" i="110" a="1"/>
  <c r="X91" i="110" s="1"/>
  <c r="W91" i="110" a="1"/>
  <c r="W91" i="110" s="1"/>
  <c r="V91" i="110" a="1"/>
  <c r="V91" i="110" s="1"/>
  <c r="AJ90" i="110" a="1"/>
  <c r="AJ90" i="110" s="1"/>
  <c r="AI90" i="110" a="1"/>
  <c r="AI90" i="110" s="1"/>
  <c r="AH90" i="110" a="1"/>
  <c r="AH90" i="110" s="1"/>
  <c r="AG90" i="110" a="1"/>
  <c r="AG90" i="110" s="1"/>
  <c r="AF90" i="110" a="1"/>
  <c r="AF90" i="110" s="1"/>
  <c r="AE90" i="110" a="1"/>
  <c r="AE90" i="110" s="1"/>
  <c r="AD90" i="110" a="1"/>
  <c r="AD90" i="110" s="1"/>
  <c r="AC90" i="110" a="1"/>
  <c r="AC90" i="110" s="1"/>
  <c r="AB90" i="110" a="1"/>
  <c r="AB90" i="110" s="1"/>
  <c r="AA90" i="110" a="1"/>
  <c r="AA90" i="110" s="1"/>
  <c r="Z90" i="110" a="1"/>
  <c r="Z90" i="110" s="1"/>
  <c r="Y90" i="110" a="1"/>
  <c r="Y90" i="110" s="1"/>
  <c r="X90" i="110" a="1"/>
  <c r="X90" i="110" s="1"/>
  <c r="W90" i="110" a="1"/>
  <c r="W90" i="110" s="1"/>
  <c r="V90" i="110" a="1"/>
  <c r="V90" i="110" s="1"/>
  <c r="AJ89" i="110" a="1"/>
  <c r="AJ89" i="110" s="1"/>
  <c r="AI89" i="110" a="1"/>
  <c r="AI89" i="110" s="1"/>
  <c r="AH89" i="110" a="1"/>
  <c r="AH89" i="110" s="1"/>
  <c r="AG89" i="110" a="1"/>
  <c r="AG89" i="110" s="1"/>
  <c r="AF89" i="110" a="1"/>
  <c r="AF89" i="110" s="1"/>
  <c r="AE89" i="110" a="1"/>
  <c r="AE89" i="110" s="1"/>
  <c r="AD89" i="110" a="1"/>
  <c r="AD89" i="110" s="1"/>
  <c r="AC89" i="110" a="1"/>
  <c r="AC89" i="110" s="1"/>
  <c r="AB89" i="110" a="1"/>
  <c r="AB89" i="110" s="1"/>
  <c r="AA89" i="110" a="1"/>
  <c r="AA89" i="110" s="1"/>
  <c r="Z89" i="110" a="1"/>
  <c r="Z89" i="110" s="1"/>
  <c r="Y89" i="110" a="1"/>
  <c r="Y89" i="110" s="1"/>
  <c r="X89" i="110" a="1"/>
  <c r="X89" i="110" s="1"/>
  <c r="W89" i="110" a="1"/>
  <c r="W89" i="110" s="1"/>
  <c r="V89" i="110" a="1"/>
  <c r="V89" i="110" s="1"/>
  <c r="AJ88" i="110" a="1"/>
  <c r="AJ88" i="110" s="1"/>
  <c r="AI88" i="110" a="1"/>
  <c r="AI88" i="110" s="1"/>
  <c r="AH88" i="110" a="1"/>
  <c r="AH88" i="110" s="1"/>
  <c r="AG88" i="110" a="1"/>
  <c r="AG88" i="110" s="1"/>
  <c r="AF88" i="110" a="1"/>
  <c r="AF88" i="110" s="1"/>
  <c r="AE88" i="110" a="1"/>
  <c r="AE88" i="110" s="1"/>
  <c r="AD88" i="110" a="1"/>
  <c r="AD88" i="110" s="1"/>
  <c r="AC88" i="110" a="1"/>
  <c r="AC88" i="110" s="1"/>
  <c r="AB88" i="110" a="1"/>
  <c r="AB88" i="110" s="1"/>
  <c r="AA88" i="110" a="1"/>
  <c r="AA88" i="110" s="1"/>
  <c r="Z88" i="110" a="1"/>
  <c r="Z88" i="110" s="1"/>
  <c r="Y88" i="110" a="1"/>
  <c r="Y88" i="110" s="1"/>
  <c r="X88" i="110" a="1"/>
  <c r="X88" i="110" s="1"/>
  <c r="W88" i="110" a="1"/>
  <c r="W88" i="110" s="1"/>
  <c r="V88" i="110" a="1"/>
  <c r="V88" i="110" s="1"/>
  <c r="AJ87" i="110" a="1"/>
  <c r="AJ87" i="110" s="1"/>
  <c r="AI87" i="110" a="1"/>
  <c r="AI87" i="110" s="1"/>
  <c r="AH87" i="110" a="1"/>
  <c r="AH87" i="110" s="1"/>
  <c r="AG87" i="110" a="1"/>
  <c r="AG87" i="110" s="1"/>
  <c r="AF87" i="110" a="1"/>
  <c r="AF87" i="110" s="1"/>
  <c r="AE87" i="110" a="1"/>
  <c r="AE87" i="110" s="1"/>
  <c r="AD87" i="110" a="1"/>
  <c r="AD87" i="110" s="1"/>
  <c r="AC87" i="110" a="1"/>
  <c r="AC87" i="110" s="1"/>
  <c r="AB87" i="110" a="1"/>
  <c r="AB87" i="110" s="1"/>
  <c r="AA87" i="110" a="1"/>
  <c r="AA87" i="110" s="1"/>
  <c r="Z87" i="110" a="1"/>
  <c r="Z87" i="110" s="1"/>
  <c r="Y87" i="110" a="1"/>
  <c r="Y87" i="110" s="1"/>
  <c r="X87" i="110" a="1"/>
  <c r="X87" i="110" s="1"/>
  <c r="W87" i="110" a="1"/>
  <c r="W87" i="110" s="1"/>
  <c r="V87" i="110" a="1"/>
  <c r="V87" i="110" s="1"/>
  <c r="AJ86" i="110" a="1"/>
  <c r="AJ86" i="110" s="1"/>
  <c r="AI86" i="110" a="1"/>
  <c r="AI86" i="110" s="1"/>
  <c r="AH86" i="110" a="1"/>
  <c r="AH86" i="110" s="1"/>
  <c r="AG86" i="110" a="1"/>
  <c r="AG86" i="110" s="1"/>
  <c r="AF86" i="110" a="1"/>
  <c r="AF86" i="110" s="1"/>
  <c r="AE86" i="110" a="1"/>
  <c r="AE86" i="110" s="1"/>
  <c r="AD86" i="110" a="1"/>
  <c r="AD86" i="110" s="1"/>
  <c r="AC86" i="110" a="1"/>
  <c r="AC86" i="110" s="1"/>
  <c r="AB86" i="110" a="1"/>
  <c r="AB86" i="110" s="1"/>
  <c r="AA86" i="110" a="1"/>
  <c r="AA86" i="110" s="1"/>
  <c r="Z86" i="110" a="1"/>
  <c r="Z86" i="110" s="1"/>
  <c r="Y86" i="110" a="1"/>
  <c r="Y86" i="110" s="1"/>
  <c r="X86" i="110" a="1"/>
  <c r="X86" i="110" s="1"/>
  <c r="W86" i="110" a="1"/>
  <c r="W86" i="110" s="1"/>
  <c r="V86" i="110" a="1"/>
  <c r="V86" i="110" s="1"/>
  <c r="AJ85" i="110" a="1"/>
  <c r="AJ85" i="110" s="1"/>
  <c r="AI85" i="110" a="1"/>
  <c r="AI85" i="110" s="1"/>
  <c r="AH85" i="110" a="1"/>
  <c r="AH85" i="110" s="1"/>
  <c r="AG85" i="110" a="1"/>
  <c r="AG85" i="110" s="1"/>
  <c r="AF85" i="110" a="1"/>
  <c r="AF85" i="110" s="1"/>
  <c r="AE85" i="110" a="1"/>
  <c r="AE85" i="110" s="1"/>
  <c r="AD85" i="110" a="1"/>
  <c r="AD85" i="110" s="1"/>
  <c r="AC85" i="110" a="1"/>
  <c r="AC85" i="110" s="1"/>
  <c r="AB85" i="110" a="1"/>
  <c r="AB85" i="110" s="1"/>
  <c r="AA85" i="110" a="1"/>
  <c r="AA85" i="110" s="1"/>
  <c r="Z85" i="110" a="1"/>
  <c r="Z85" i="110" s="1"/>
  <c r="Y85" i="110" a="1"/>
  <c r="Y85" i="110" s="1"/>
  <c r="X85" i="110" a="1"/>
  <c r="X85" i="110" s="1"/>
  <c r="W85" i="110" a="1"/>
  <c r="W85" i="110" s="1"/>
  <c r="V85" i="110" a="1"/>
  <c r="V85" i="110" s="1"/>
  <c r="AJ84" i="110" a="1"/>
  <c r="AJ84" i="110" s="1"/>
  <c r="AI84" i="110" a="1"/>
  <c r="AI84" i="110" s="1"/>
  <c r="AH84" i="110" a="1"/>
  <c r="AH84" i="110" s="1"/>
  <c r="AG84" i="110" a="1"/>
  <c r="AG84" i="110" s="1"/>
  <c r="AF84" i="110" a="1"/>
  <c r="AF84" i="110" s="1"/>
  <c r="AE84" i="110" a="1"/>
  <c r="AE84" i="110" s="1"/>
  <c r="AD84" i="110" a="1"/>
  <c r="AD84" i="110" s="1"/>
  <c r="AC84" i="110" a="1"/>
  <c r="AC84" i="110" s="1"/>
  <c r="AB84" i="110" a="1"/>
  <c r="AB84" i="110" s="1"/>
  <c r="AA84" i="110" a="1"/>
  <c r="AA84" i="110" s="1"/>
  <c r="Z84" i="110" a="1"/>
  <c r="Z84" i="110" s="1"/>
  <c r="Y84" i="110" a="1"/>
  <c r="Y84" i="110" s="1"/>
  <c r="X84" i="110" a="1"/>
  <c r="X84" i="110" s="1"/>
  <c r="W84" i="110" a="1"/>
  <c r="W84" i="110" s="1"/>
  <c r="V84" i="110" a="1"/>
  <c r="V84" i="110" s="1"/>
  <c r="AJ83" i="110" a="1"/>
  <c r="AJ83" i="110" s="1"/>
  <c r="AI83" i="110" a="1"/>
  <c r="AI83" i="110" s="1"/>
  <c r="AH83" i="110" a="1"/>
  <c r="AH83" i="110" s="1"/>
  <c r="AG83" i="110" a="1"/>
  <c r="AG83" i="110" s="1"/>
  <c r="AF83" i="110" a="1"/>
  <c r="AF83" i="110" s="1"/>
  <c r="AE83" i="110" a="1"/>
  <c r="AE83" i="110" s="1"/>
  <c r="AD83" i="110" a="1"/>
  <c r="AD83" i="110" s="1"/>
  <c r="AC83" i="110" a="1"/>
  <c r="AC83" i="110" s="1"/>
  <c r="AB83" i="110" a="1"/>
  <c r="AB83" i="110" s="1"/>
  <c r="AA83" i="110" a="1"/>
  <c r="AA83" i="110" s="1"/>
  <c r="Z83" i="110" a="1"/>
  <c r="Z83" i="110" s="1"/>
  <c r="Y83" i="110" a="1"/>
  <c r="Y83" i="110" s="1"/>
  <c r="X83" i="110" a="1"/>
  <c r="X83" i="110" s="1"/>
  <c r="W83" i="110" a="1"/>
  <c r="W83" i="110" s="1"/>
  <c r="V83" i="110" a="1"/>
  <c r="V83" i="110" s="1"/>
  <c r="AJ82" i="110" a="1"/>
  <c r="AJ82" i="110" s="1"/>
  <c r="AI82" i="110" a="1"/>
  <c r="AI82" i="110" s="1"/>
  <c r="AH82" i="110" a="1"/>
  <c r="AH82" i="110" s="1"/>
  <c r="AG82" i="110" a="1"/>
  <c r="AG82" i="110" s="1"/>
  <c r="AF82" i="110" a="1"/>
  <c r="AF82" i="110" s="1"/>
  <c r="AE82" i="110" a="1"/>
  <c r="AE82" i="110" s="1"/>
  <c r="AD82" i="110" a="1"/>
  <c r="AD82" i="110" s="1"/>
  <c r="AC82" i="110" a="1"/>
  <c r="AC82" i="110" s="1"/>
  <c r="AB82" i="110" a="1"/>
  <c r="AB82" i="110" s="1"/>
  <c r="AA82" i="110" a="1"/>
  <c r="AA82" i="110" s="1"/>
  <c r="Z82" i="110" a="1"/>
  <c r="Z82" i="110" s="1"/>
  <c r="Y82" i="110" a="1"/>
  <c r="Y82" i="110" s="1"/>
  <c r="X82" i="110" a="1"/>
  <c r="X82" i="110" s="1"/>
  <c r="W82" i="110" a="1"/>
  <c r="W82" i="110" s="1"/>
  <c r="V82" i="110" a="1"/>
  <c r="V82" i="110" s="1"/>
  <c r="AJ81" i="110" a="1"/>
  <c r="AJ81" i="110" s="1"/>
  <c r="AI81" i="110" a="1"/>
  <c r="AI81" i="110" s="1"/>
  <c r="AH81" i="110" a="1"/>
  <c r="AH81" i="110" s="1"/>
  <c r="AG81" i="110" a="1"/>
  <c r="AG81" i="110" s="1"/>
  <c r="AF81" i="110" a="1"/>
  <c r="AF81" i="110" s="1"/>
  <c r="AE81" i="110" a="1"/>
  <c r="AE81" i="110" s="1"/>
  <c r="AD81" i="110" a="1"/>
  <c r="AD81" i="110" s="1"/>
  <c r="AC81" i="110" a="1"/>
  <c r="AC81" i="110" s="1"/>
  <c r="AB81" i="110"/>
  <c r="AB81" i="110" a="1"/>
  <c r="AA81" i="110" a="1"/>
  <c r="AA81" i="110" s="1"/>
  <c r="Z81" i="110" a="1"/>
  <c r="Z81" i="110" s="1"/>
  <c r="Y81" i="110"/>
  <c r="Y81" i="110" a="1"/>
  <c r="X81" i="110" a="1"/>
  <c r="X81" i="110" s="1"/>
  <c r="AJ80" i="110" a="1"/>
  <c r="AJ80" i="110" s="1"/>
  <c r="AI80" i="110" a="1"/>
  <c r="AI80" i="110" s="1"/>
  <c r="AH80" i="110"/>
  <c r="AH80" i="110" a="1"/>
  <c r="AG80" i="110" a="1"/>
  <c r="AG80" i="110" s="1"/>
  <c r="AF80" i="110" a="1"/>
  <c r="AF80" i="110" s="1"/>
  <c r="AE80" i="110"/>
  <c r="AE80" i="110" a="1"/>
  <c r="AD80" i="110" a="1"/>
  <c r="AD80" i="110" s="1"/>
  <c r="AC80" i="110" a="1"/>
  <c r="AC80" i="110" s="1"/>
  <c r="AB80" i="110" a="1"/>
  <c r="AB80" i="110" s="1"/>
  <c r="AA80" i="110"/>
  <c r="AA80" i="110" a="1"/>
  <c r="Z80" i="110" a="1"/>
  <c r="Z80" i="110" s="1"/>
  <c r="Y80" i="110" a="1"/>
  <c r="Y80" i="110" s="1"/>
  <c r="X80" i="110"/>
  <c r="X80" i="110" a="1"/>
  <c r="AJ79" i="110" a="1"/>
  <c r="AJ79" i="110" s="1"/>
  <c r="AI79" i="110" a="1"/>
  <c r="AI79" i="110" s="1"/>
  <c r="AH79" i="110" a="1"/>
  <c r="AH79" i="110" s="1"/>
  <c r="AG79" i="110" a="1"/>
  <c r="AG79" i="110" s="1"/>
  <c r="AF79" i="110" a="1"/>
  <c r="AF79" i="110" s="1"/>
  <c r="AE79" i="110" a="1"/>
  <c r="AE79" i="110" s="1"/>
  <c r="AD79" i="110" a="1"/>
  <c r="AD79" i="110" s="1"/>
  <c r="AC79" i="110" a="1"/>
  <c r="AC79" i="110" s="1"/>
  <c r="AB79" i="110" a="1"/>
  <c r="AB79" i="110" s="1"/>
  <c r="AA79" i="110" a="1"/>
  <c r="AA79" i="110" s="1"/>
  <c r="Z79" i="110" a="1"/>
  <c r="Z79" i="110" s="1"/>
  <c r="Y79" i="110" a="1"/>
  <c r="Y79" i="110" s="1"/>
  <c r="X79" i="110" a="1"/>
  <c r="X79" i="110" s="1"/>
  <c r="AJ78" i="110" a="1"/>
  <c r="AJ78" i="110" s="1"/>
  <c r="AI78" i="110" a="1"/>
  <c r="AI78" i="110" s="1"/>
  <c r="AH78" i="110" a="1"/>
  <c r="AH78" i="110" s="1"/>
  <c r="AG78" i="110" a="1"/>
  <c r="AG78" i="110" s="1"/>
  <c r="AF78" i="110" a="1"/>
  <c r="AF78" i="110" s="1"/>
  <c r="AE78" i="110" a="1"/>
  <c r="AE78" i="110" s="1"/>
  <c r="AD78" i="110" a="1"/>
  <c r="AD78" i="110" s="1"/>
  <c r="AC78" i="110" a="1"/>
  <c r="AC78" i="110" s="1"/>
  <c r="AB78" i="110" a="1"/>
  <c r="AB78" i="110" s="1"/>
  <c r="AA78" i="110" a="1"/>
  <c r="AA78" i="110" s="1"/>
  <c r="Z78" i="110" a="1"/>
  <c r="Z78" i="110" s="1"/>
  <c r="Y78" i="110" a="1"/>
  <c r="Y78" i="110" s="1"/>
  <c r="X78" i="110" a="1"/>
  <c r="X78" i="110" s="1"/>
  <c r="AJ77" i="110" a="1"/>
  <c r="AJ77" i="110" s="1"/>
  <c r="AI77" i="110" a="1"/>
  <c r="AI77" i="110" s="1"/>
  <c r="AH77" i="110" a="1"/>
  <c r="AH77" i="110" s="1"/>
  <c r="AG77" i="110" a="1"/>
  <c r="AG77" i="110" s="1"/>
  <c r="AF77" i="110" a="1"/>
  <c r="AF77" i="110" s="1"/>
  <c r="AE77" i="110" a="1"/>
  <c r="AE77" i="110" s="1"/>
  <c r="AD77" i="110" a="1"/>
  <c r="AD77" i="110" s="1"/>
  <c r="AC77" i="110" a="1"/>
  <c r="AC77" i="110" s="1"/>
  <c r="AB77" i="110" a="1"/>
  <c r="AB77" i="110" s="1"/>
  <c r="AA77" i="110" a="1"/>
  <c r="AA77" i="110" s="1"/>
  <c r="Z77" i="110" a="1"/>
  <c r="Z77" i="110" s="1"/>
  <c r="Y77" i="110" a="1"/>
  <c r="Y77" i="110" s="1"/>
  <c r="X77" i="110" a="1"/>
  <c r="X77" i="110" s="1"/>
  <c r="AJ76" i="110" a="1"/>
  <c r="AJ76" i="110" s="1"/>
  <c r="AI76" i="110" a="1"/>
  <c r="AI76" i="110" s="1"/>
  <c r="AH76" i="110" a="1"/>
  <c r="AH76" i="110" s="1"/>
  <c r="AG76" i="110" a="1"/>
  <c r="AG76" i="110" s="1"/>
  <c r="AF76" i="110" a="1"/>
  <c r="AF76" i="110" s="1"/>
  <c r="AE76" i="110" a="1"/>
  <c r="AE76" i="110" s="1"/>
  <c r="AD76" i="110" a="1"/>
  <c r="AD76" i="110" s="1"/>
  <c r="AC76" i="110" a="1"/>
  <c r="AC76" i="110" s="1"/>
  <c r="AB76" i="110" a="1"/>
  <c r="AB76" i="110" s="1"/>
  <c r="AA76" i="110" a="1"/>
  <c r="AA76" i="110" s="1"/>
  <c r="Z76" i="110" a="1"/>
  <c r="Z76" i="110" s="1"/>
  <c r="Y76" i="110" a="1"/>
  <c r="Y76" i="110" s="1"/>
  <c r="X76" i="110" a="1"/>
  <c r="X76" i="110" s="1"/>
  <c r="AJ75" i="110" a="1"/>
  <c r="AJ75" i="110" s="1"/>
  <c r="AI75" i="110" a="1"/>
  <c r="AI75" i="110" s="1"/>
  <c r="AH75" i="110" a="1"/>
  <c r="AH75" i="110" s="1"/>
  <c r="AG75" i="110" a="1"/>
  <c r="AG75" i="110" s="1"/>
  <c r="AF75" i="110" a="1"/>
  <c r="AF75" i="110" s="1"/>
  <c r="AE75" i="110" a="1"/>
  <c r="AE75" i="110" s="1"/>
  <c r="AD75" i="110" a="1"/>
  <c r="AD75" i="110" s="1"/>
  <c r="AC75" i="110" a="1"/>
  <c r="AC75" i="110" s="1"/>
  <c r="AB75" i="110" a="1"/>
  <c r="AB75" i="110" s="1"/>
  <c r="AA75" i="110" a="1"/>
  <c r="AA75" i="110" s="1"/>
  <c r="Z75" i="110" a="1"/>
  <c r="Z75" i="110" s="1"/>
  <c r="Y75" i="110" a="1"/>
  <c r="Y75" i="110" s="1"/>
  <c r="X75" i="110" a="1"/>
  <c r="X75" i="110" s="1"/>
  <c r="AJ74" i="110" a="1"/>
  <c r="AJ74" i="110" s="1"/>
  <c r="AI74" i="110" a="1"/>
  <c r="AI74" i="110" s="1"/>
  <c r="AH74" i="110" a="1"/>
  <c r="AH74" i="110" s="1"/>
  <c r="AG74" i="110" a="1"/>
  <c r="AG74" i="110" s="1"/>
  <c r="AF74" i="110" a="1"/>
  <c r="AF74" i="110" s="1"/>
  <c r="AE74" i="110" a="1"/>
  <c r="AE74" i="110" s="1"/>
  <c r="AD74" i="110" a="1"/>
  <c r="AD74" i="110" s="1"/>
  <c r="AC74" i="110" a="1"/>
  <c r="AC74" i="110" s="1"/>
  <c r="AB74" i="110" a="1"/>
  <c r="AB74" i="110" s="1"/>
  <c r="AA74" i="110" a="1"/>
  <c r="AA74" i="110" s="1"/>
  <c r="Z74" i="110" a="1"/>
  <c r="Z74" i="110" s="1"/>
  <c r="Y74" i="110" a="1"/>
  <c r="Y74" i="110" s="1"/>
  <c r="X74" i="110" a="1"/>
  <c r="X74" i="110" s="1"/>
  <c r="AJ73" i="110" a="1"/>
  <c r="AJ73" i="110" s="1"/>
  <c r="AI73" i="110" a="1"/>
  <c r="AI73" i="110" s="1"/>
  <c r="AH73" i="110" a="1"/>
  <c r="AH73" i="110" s="1"/>
  <c r="AG73" i="110" a="1"/>
  <c r="AG73" i="110" s="1"/>
  <c r="AF73" i="110" a="1"/>
  <c r="AF73" i="110" s="1"/>
  <c r="AE73" i="110" a="1"/>
  <c r="AE73" i="110" s="1"/>
  <c r="AD73" i="110" a="1"/>
  <c r="AD73" i="110" s="1"/>
  <c r="AC73" i="110" a="1"/>
  <c r="AC73" i="110" s="1"/>
  <c r="AB73" i="110" a="1"/>
  <c r="AB73" i="110" s="1"/>
  <c r="AA73" i="110" a="1"/>
  <c r="AA73" i="110" s="1"/>
  <c r="Z73" i="110" a="1"/>
  <c r="Z73" i="110" s="1"/>
  <c r="Y73" i="110" a="1"/>
  <c r="Y73" i="110" s="1"/>
  <c r="X73" i="110" a="1"/>
  <c r="X73" i="110" s="1"/>
  <c r="AJ72" i="110" a="1"/>
  <c r="AJ72" i="110" s="1"/>
  <c r="AI72" i="110" a="1"/>
  <c r="AI72" i="110" s="1"/>
  <c r="AH72" i="110" a="1"/>
  <c r="AH72" i="110" s="1"/>
  <c r="AG72" i="110" a="1"/>
  <c r="AG72" i="110" s="1"/>
  <c r="AF72" i="110" a="1"/>
  <c r="AF72" i="110" s="1"/>
  <c r="AE72" i="110" a="1"/>
  <c r="AE72" i="110" s="1"/>
  <c r="AD72" i="110" a="1"/>
  <c r="AD72" i="110" s="1"/>
  <c r="AC72" i="110" a="1"/>
  <c r="AC72" i="110" s="1"/>
  <c r="AB72" i="110" a="1"/>
  <c r="AB72" i="110" s="1"/>
  <c r="AA72" i="110" a="1"/>
  <c r="AA72" i="110" s="1"/>
  <c r="Z72" i="110" a="1"/>
  <c r="Z72" i="110" s="1"/>
  <c r="Y72" i="110" a="1"/>
  <c r="Y72" i="110" s="1"/>
  <c r="X72" i="110" a="1"/>
  <c r="X72" i="110" s="1"/>
  <c r="AJ71" i="110" a="1"/>
  <c r="AJ71" i="110" s="1"/>
  <c r="AI71" i="110" a="1"/>
  <c r="AI71" i="110" s="1"/>
  <c r="AH71" i="110" a="1"/>
  <c r="AH71" i="110" s="1"/>
  <c r="AG71" i="110" a="1"/>
  <c r="AG71" i="110" s="1"/>
  <c r="AF71" i="110" a="1"/>
  <c r="AF71" i="110" s="1"/>
  <c r="AE71" i="110" a="1"/>
  <c r="AE71" i="110" s="1"/>
  <c r="AD71" i="110" a="1"/>
  <c r="AD71" i="110" s="1"/>
  <c r="AC71" i="110" a="1"/>
  <c r="AC71" i="110" s="1"/>
  <c r="AB71" i="110" a="1"/>
  <c r="AB71" i="110" s="1"/>
  <c r="AA71" i="110" a="1"/>
  <c r="AA71" i="110" s="1"/>
  <c r="Z71" i="110" a="1"/>
  <c r="Z71" i="110" s="1"/>
  <c r="Y71" i="110" a="1"/>
  <c r="Y71" i="110" s="1"/>
  <c r="X71" i="110" a="1"/>
  <c r="X71" i="110" s="1"/>
  <c r="AJ70" i="110" a="1"/>
  <c r="AJ70" i="110" s="1"/>
  <c r="AI70" i="110" a="1"/>
  <c r="AI70" i="110" s="1"/>
  <c r="AH70" i="110" a="1"/>
  <c r="AH70" i="110" s="1"/>
  <c r="AG70" i="110" a="1"/>
  <c r="AG70" i="110" s="1"/>
  <c r="AF70" i="110" a="1"/>
  <c r="AF70" i="110" s="1"/>
  <c r="AE70" i="110" a="1"/>
  <c r="AE70" i="110" s="1"/>
  <c r="AD70" i="110" a="1"/>
  <c r="AD70" i="110" s="1"/>
  <c r="AC70" i="110" a="1"/>
  <c r="AC70" i="110" s="1"/>
  <c r="AB70" i="110" a="1"/>
  <c r="AB70" i="110" s="1"/>
  <c r="AA70" i="110" a="1"/>
  <c r="AA70" i="110" s="1"/>
  <c r="Z70" i="110" a="1"/>
  <c r="Z70" i="110" s="1"/>
  <c r="Y70" i="110" a="1"/>
  <c r="Y70" i="110" s="1"/>
  <c r="X70" i="110" a="1"/>
  <c r="X70" i="110" s="1"/>
  <c r="AJ69" i="110" a="1"/>
  <c r="AJ69" i="110" s="1"/>
  <c r="AI69" i="110" a="1"/>
  <c r="AI69" i="110" s="1"/>
  <c r="AH69" i="110" a="1"/>
  <c r="AH69" i="110" s="1"/>
  <c r="AG69" i="110" a="1"/>
  <c r="AG69" i="110" s="1"/>
  <c r="AF69" i="110" a="1"/>
  <c r="AF69" i="110" s="1"/>
  <c r="AE69" i="110" a="1"/>
  <c r="AE69" i="110" s="1"/>
  <c r="AD69" i="110" a="1"/>
  <c r="AD69" i="110" s="1"/>
  <c r="AC69" i="110" a="1"/>
  <c r="AC69" i="110" s="1"/>
  <c r="AB69" i="110" a="1"/>
  <c r="AB69" i="110" s="1"/>
  <c r="AA69" i="110" a="1"/>
  <c r="AA69" i="110" s="1"/>
  <c r="Z69" i="110" a="1"/>
  <c r="Z69" i="110" s="1"/>
  <c r="Y69" i="110" a="1"/>
  <c r="Y69" i="110" s="1"/>
  <c r="X69" i="110" a="1"/>
  <c r="X69" i="110" s="1"/>
  <c r="AJ68" i="110" a="1"/>
  <c r="AJ68" i="110" s="1"/>
  <c r="AI68" i="110" a="1"/>
  <c r="AI68" i="110" s="1"/>
  <c r="AH68" i="110" a="1"/>
  <c r="AH68" i="110" s="1"/>
  <c r="AG68" i="110" a="1"/>
  <c r="AG68" i="110" s="1"/>
  <c r="AF68" i="110" a="1"/>
  <c r="AF68" i="110" s="1"/>
  <c r="AE68" i="110" a="1"/>
  <c r="AE68" i="110" s="1"/>
  <c r="AD68" i="110" a="1"/>
  <c r="AD68" i="110" s="1"/>
  <c r="AC68" i="110" a="1"/>
  <c r="AC68" i="110" s="1"/>
  <c r="AB68" i="110" a="1"/>
  <c r="AB68" i="110" s="1"/>
  <c r="AA68" i="110" a="1"/>
  <c r="AA68" i="110" s="1"/>
  <c r="Z68" i="110" a="1"/>
  <c r="Z68" i="110" s="1"/>
  <c r="Y68" i="110" a="1"/>
  <c r="Y68" i="110" s="1"/>
  <c r="X68" i="110" a="1"/>
  <c r="X68" i="110" s="1"/>
  <c r="AJ67" i="110" a="1"/>
  <c r="AJ67" i="110" s="1"/>
  <c r="AI67" i="110" a="1"/>
  <c r="AI67" i="110" s="1"/>
  <c r="AH67" i="110" a="1"/>
  <c r="AH67" i="110" s="1"/>
  <c r="AG67" i="110" a="1"/>
  <c r="AG67" i="110" s="1"/>
  <c r="AF67" i="110" a="1"/>
  <c r="AF67" i="110" s="1"/>
  <c r="AE67" i="110" a="1"/>
  <c r="AE67" i="110" s="1"/>
  <c r="AD67" i="110" a="1"/>
  <c r="AD67" i="110" s="1"/>
  <c r="AC67" i="110" a="1"/>
  <c r="AC67" i="110" s="1"/>
  <c r="AB67" i="110" a="1"/>
  <c r="AB67" i="110" s="1"/>
  <c r="AA67" i="110" a="1"/>
  <c r="AA67" i="110" s="1"/>
  <c r="Z67" i="110" a="1"/>
  <c r="Z67" i="110" s="1"/>
  <c r="Y67" i="110" a="1"/>
  <c r="Y67" i="110" s="1"/>
  <c r="X67" i="110" a="1"/>
  <c r="X67" i="110" s="1"/>
  <c r="AJ66" i="110" a="1"/>
  <c r="AJ66" i="110" s="1"/>
  <c r="AI66" i="110" a="1"/>
  <c r="AI66" i="110" s="1"/>
  <c r="AH66" i="110" a="1"/>
  <c r="AH66" i="110" s="1"/>
  <c r="AG66" i="110" a="1"/>
  <c r="AG66" i="110" s="1"/>
  <c r="AF66" i="110" a="1"/>
  <c r="AF66" i="110" s="1"/>
  <c r="AE66" i="110" a="1"/>
  <c r="AE66" i="110" s="1"/>
  <c r="AD66" i="110" a="1"/>
  <c r="AD66" i="110" s="1"/>
  <c r="AC66" i="110" a="1"/>
  <c r="AC66" i="110" s="1"/>
  <c r="AB66" i="110" a="1"/>
  <c r="AB66" i="110" s="1"/>
  <c r="AA66" i="110" a="1"/>
  <c r="AA66" i="110" s="1"/>
  <c r="Z66" i="110" a="1"/>
  <c r="Z66" i="110" s="1"/>
  <c r="Y66" i="110" a="1"/>
  <c r="Y66" i="110" s="1"/>
  <c r="X66" i="110" a="1"/>
  <c r="X66" i="110" s="1"/>
  <c r="AJ65" i="110" a="1"/>
  <c r="AJ65" i="110" s="1"/>
  <c r="AI65" i="110" a="1"/>
  <c r="AI65" i="110" s="1"/>
  <c r="AH65" i="110" a="1"/>
  <c r="AH65" i="110" s="1"/>
  <c r="AG65" i="110" a="1"/>
  <c r="AG65" i="110" s="1"/>
  <c r="AF65" i="110" a="1"/>
  <c r="AF65" i="110" s="1"/>
  <c r="AE65" i="110" a="1"/>
  <c r="AE65" i="110" s="1"/>
  <c r="AD65" i="110" a="1"/>
  <c r="AD65" i="110" s="1"/>
  <c r="AC65" i="110" a="1"/>
  <c r="AC65" i="110" s="1"/>
  <c r="AB65" i="110" a="1"/>
  <c r="AB65" i="110" s="1"/>
  <c r="AA65" i="110" a="1"/>
  <c r="AA65" i="110" s="1"/>
  <c r="Z65" i="110" a="1"/>
  <c r="Z65" i="110" s="1"/>
  <c r="Y65" i="110" a="1"/>
  <c r="Y65" i="110" s="1"/>
  <c r="X65" i="110" a="1"/>
  <c r="X65" i="110" s="1"/>
  <c r="AJ64" i="110" a="1"/>
  <c r="AJ64" i="110" s="1"/>
  <c r="AI64" i="110" a="1"/>
  <c r="AI64" i="110" s="1"/>
  <c r="AH64" i="110" a="1"/>
  <c r="AH64" i="110" s="1"/>
  <c r="AG64" i="110" a="1"/>
  <c r="AG64" i="110" s="1"/>
  <c r="AF64" i="110" a="1"/>
  <c r="AF64" i="110" s="1"/>
  <c r="AE64" i="110" a="1"/>
  <c r="AE64" i="110" s="1"/>
  <c r="AD64" i="110" a="1"/>
  <c r="AD64" i="110" s="1"/>
  <c r="AC64" i="110" a="1"/>
  <c r="AC64" i="110" s="1"/>
  <c r="AB64" i="110" a="1"/>
  <c r="AB64" i="110" s="1"/>
  <c r="AA64" i="110" a="1"/>
  <c r="AA64" i="110" s="1"/>
  <c r="Z64" i="110" a="1"/>
  <c r="Z64" i="110" s="1"/>
  <c r="Y64" i="110" a="1"/>
  <c r="Y64" i="110" s="1"/>
  <c r="X64" i="110" a="1"/>
  <c r="X64" i="110" s="1"/>
  <c r="AJ63" i="110" a="1"/>
  <c r="AJ63" i="110" s="1"/>
  <c r="AI63" i="110" a="1"/>
  <c r="AI63" i="110" s="1"/>
  <c r="AH63" i="110" a="1"/>
  <c r="AH63" i="110" s="1"/>
  <c r="AG63" i="110" a="1"/>
  <c r="AG63" i="110" s="1"/>
  <c r="AF63" i="110" a="1"/>
  <c r="AF63" i="110" s="1"/>
  <c r="AE63" i="110" a="1"/>
  <c r="AE63" i="110" s="1"/>
  <c r="AD63" i="110" a="1"/>
  <c r="AD63" i="110" s="1"/>
  <c r="AC63" i="110" a="1"/>
  <c r="AC63" i="110" s="1"/>
  <c r="AB63" i="110" a="1"/>
  <c r="AB63" i="110" s="1"/>
  <c r="AA63" i="110" a="1"/>
  <c r="AA63" i="110" s="1"/>
  <c r="Z63" i="110" a="1"/>
  <c r="Z63" i="110" s="1"/>
  <c r="Y63" i="110" a="1"/>
  <c r="Y63" i="110" s="1"/>
  <c r="X63" i="110" a="1"/>
  <c r="X63" i="110" s="1"/>
  <c r="U126" i="110" l="1" a="1"/>
  <c r="U126" i="110" s="1"/>
  <c r="T126" i="110" a="1"/>
  <c r="T126" i="110" s="1"/>
  <c r="S126" i="110" a="1"/>
  <c r="S126" i="110" s="1"/>
  <c r="R126" i="110" a="1"/>
  <c r="R126" i="110" s="1"/>
  <c r="Q126" i="110" a="1"/>
  <c r="Q126" i="110" s="1"/>
  <c r="P126" i="110" a="1"/>
  <c r="P126" i="110" s="1"/>
  <c r="O126" i="110" a="1"/>
  <c r="O126" i="110" s="1"/>
  <c r="N126" i="110" a="1"/>
  <c r="N126" i="110" s="1"/>
  <c r="M126" i="110" a="1"/>
  <c r="M126" i="110" s="1"/>
  <c r="L126" i="110" a="1"/>
  <c r="L126" i="110" s="1"/>
  <c r="K126" i="110" a="1"/>
  <c r="K126" i="110" s="1"/>
  <c r="J126" i="110" a="1"/>
  <c r="J126" i="110" s="1"/>
  <c r="I126" i="110" a="1"/>
  <c r="I126" i="110" s="1"/>
  <c r="H126" i="110" a="1"/>
  <c r="H126" i="110" s="1"/>
  <c r="G126" i="110" a="1"/>
  <c r="G126" i="110" s="1"/>
  <c r="F126" i="110" a="1"/>
  <c r="F126" i="110" s="1"/>
  <c r="E126" i="110" a="1"/>
  <c r="E126" i="110" s="1"/>
  <c r="D126" i="110" a="1"/>
  <c r="D126" i="110" s="1"/>
  <c r="U125" i="110" a="1"/>
  <c r="U125" i="110" s="1"/>
  <c r="T125" i="110" a="1"/>
  <c r="T125" i="110" s="1"/>
  <c r="S125" i="110" a="1"/>
  <c r="S125" i="110" s="1"/>
  <c r="R125" i="110" a="1"/>
  <c r="R125" i="110" s="1"/>
  <c r="Q125" i="110" a="1"/>
  <c r="Q125" i="110" s="1"/>
  <c r="P125" i="110" a="1"/>
  <c r="P125" i="110" s="1"/>
  <c r="O125" i="110" a="1"/>
  <c r="O125" i="110" s="1"/>
  <c r="N125" i="110" a="1"/>
  <c r="N125" i="110" s="1"/>
  <c r="M125" i="110" a="1"/>
  <c r="M125" i="110" s="1"/>
  <c r="L125" i="110" a="1"/>
  <c r="L125" i="110" s="1"/>
  <c r="K125" i="110" a="1"/>
  <c r="K125" i="110" s="1"/>
  <c r="J125" i="110" a="1"/>
  <c r="J125" i="110" s="1"/>
  <c r="I125" i="110" a="1"/>
  <c r="I125" i="110" s="1"/>
  <c r="H125" i="110" a="1"/>
  <c r="H125" i="110" s="1"/>
  <c r="G125" i="110" a="1"/>
  <c r="G125" i="110" s="1"/>
  <c r="F125" i="110" a="1"/>
  <c r="F125" i="110" s="1"/>
  <c r="E125" i="110" a="1"/>
  <c r="E125" i="110" s="1"/>
  <c r="D125" i="110" a="1"/>
  <c r="D125" i="110" s="1"/>
  <c r="U124" i="110" a="1"/>
  <c r="U124" i="110" s="1"/>
  <c r="T124" i="110" a="1"/>
  <c r="T124" i="110" s="1"/>
  <c r="S124" i="110" a="1"/>
  <c r="S124" i="110" s="1"/>
  <c r="R124" i="110" a="1"/>
  <c r="R124" i="110" s="1"/>
  <c r="Q124" i="110" a="1"/>
  <c r="Q124" i="110" s="1"/>
  <c r="P124" i="110" a="1"/>
  <c r="P124" i="110" s="1"/>
  <c r="O124" i="110" a="1"/>
  <c r="O124" i="110" s="1"/>
  <c r="N124" i="110" a="1"/>
  <c r="N124" i="110" s="1"/>
  <c r="M124" i="110" a="1"/>
  <c r="M124" i="110" s="1"/>
  <c r="L124" i="110" a="1"/>
  <c r="L124" i="110" s="1"/>
  <c r="K124" i="110" a="1"/>
  <c r="K124" i="110" s="1"/>
  <c r="J124" i="110" a="1"/>
  <c r="J124" i="110" s="1"/>
  <c r="I124" i="110" a="1"/>
  <c r="I124" i="110" s="1"/>
  <c r="H124" i="110" a="1"/>
  <c r="H124" i="110" s="1"/>
  <c r="G124" i="110" a="1"/>
  <c r="G124" i="110" s="1"/>
  <c r="F124" i="110" a="1"/>
  <c r="F124" i="110" s="1"/>
  <c r="E124" i="110" a="1"/>
  <c r="E124" i="110" s="1"/>
  <c r="D124" i="110" a="1"/>
  <c r="D124" i="110" s="1"/>
  <c r="U123" i="110" a="1"/>
  <c r="U123" i="110" s="1"/>
  <c r="T123" i="110" a="1"/>
  <c r="T123" i="110" s="1"/>
  <c r="S123" i="110" a="1"/>
  <c r="S123" i="110" s="1"/>
  <c r="R123" i="110" a="1"/>
  <c r="R123" i="110" s="1"/>
  <c r="Q123" i="110" a="1"/>
  <c r="Q123" i="110" s="1"/>
  <c r="P123" i="110" a="1"/>
  <c r="P123" i="110" s="1"/>
  <c r="O123" i="110" a="1"/>
  <c r="O123" i="110" s="1"/>
  <c r="N123" i="110" a="1"/>
  <c r="N123" i="110" s="1"/>
  <c r="M123" i="110" a="1"/>
  <c r="M123" i="110" s="1"/>
  <c r="L123" i="110" a="1"/>
  <c r="L123" i="110" s="1"/>
  <c r="K123" i="110" a="1"/>
  <c r="K123" i="110" s="1"/>
  <c r="J123" i="110" a="1"/>
  <c r="J123" i="110" s="1"/>
  <c r="I123" i="110" a="1"/>
  <c r="I123" i="110" s="1"/>
  <c r="H123" i="110" a="1"/>
  <c r="H123" i="110" s="1"/>
  <c r="G123" i="110" a="1"/>
  <c r="G123" i="110" s="1"/>
  <c r="F123" i="110" a="1"/>
  <c r="F123" i="110" s="1"/>
  <c r="E123" i="110" a="1"/>
  <c r="E123" i="110" s="1"/>
  <c r="D123" i="110" a="1"/>
  <c r="D123" i="110" s="1"/>
  <c r="U122" i="110" a="1"/>
  <c r="U122" i="110" s="1"/>
  <c r="T122" i="110" a="1"/>
  <c r="T122" i="110" s="1"/>
  <c r="S122" i="110" a="1"/>
  <c r="S122" i="110" s="1"/>
  <c r="R122" i="110" a="1"/>
  <c r="R122" i="110" s="1"/>
  <c r="Q122" i="110" a="1"/>
  <c r="Q122" i="110" s="1"/>
  <c r="P122" i="110" a="1"/>
  <c r="P122" i="110" s="1"/>
  <c r="O122" i="110" a="1"/>
  <c r="O122" i="110" s="1"/>
  <c r="N122" i="110" a="1"/>
  <c r="N122" i="110" s="1"/>
  <c r="M122" i="110" a="1"/>
  <c r="M122" i="110" s="1"/>
  <c r="L122" i="110" a="1"/>
  <c r="L122" i="110" s="1"/>
  <c r="K122" i="110" a="1"/>
  <c r="K122" i="110" s="1"/>
  <c r="J122" i="110" a="1"/>
  <c r="J122" i="110" s="1"/>
  <c r="I122" i="110" a="1"/>
  <c r="I122" i="110" s="1"/>
  <c r="H122" i="110" a="1"/>
  <c r="H122" i="110" s="1"/>
  <c r="G122" i="110" a="1"/>
  <c r="G122" i="110" s="1"/>
  <c r="F122" i="110" a="1"/>
  <c r="F122" i="110" s="1"/>
  <c r="E122" i="110" a="1"/>
  <c r="E122" i="110" s="1"/>
  <c r="D122" i="110" a="1"/>
  <c r="D122" i="110" s="1"/>
  <c r="U121" i="110" a="1"/>
  <c r="U121" i="110" s="1"/>
  <c r="T121" i="110" a="1"/>
  <c r="T121" i="110" s="1"/>
  <c r="S121" i="110" a="1"/>
  <c r="S121" i="110" s="1"/>
  <c r="R121" i="110" a="1"/>
  <c r="R121" i="110" s="1"/>
  <c r="Q121" i="110" a="1"/>
  <c r="Q121" i="110" s="1"/>
  <c r="P121" i="110" a="1"/>
  <c r="P121" i="110" s="1"/>
  <c r="O121" i="110" a="1"/>
  <c r="O121" i="110" s="1"/>
  <c r="N121" i="110" a="1"/>
  <c r="N121" i="110" s="1"/>
  <c r="M121" i="110" a="1"/>
  <c r="M121" i="110" s="1"/>
  <c r="L121" i="110" a="1"/>
  <c r="L121" i="110" s="1"/>
  <c r="K121" i="110" a="1"/>
  <c r="K121" i="110" s="1"/>
  <c r="J121" i="110" a="1"/>
  <c r="J121" i="110" s="1"/>
  <c r="I121" i="110" a="1"/>
  <c r="I121" i="110" s="1"/>
  <c r="H121" i="110" a="1"/>
  <c r="H121" i="110" s="1"/>
  <c r="G121" i="110" a="1"/>
  <c r="G121" i="110" s="1"/>
  <c r="F121" i="110" a="1"/>
  <c r="F121" i="110" s="1"/>
  <c r="E121" i="110" a="1"/>
  <c r="E121" i="110" s="1"/>
  <c r="D121" i="110" a="1"/>
  <c r="D121" i="110" s="1"/>
  <c r="U120" i="110" a="1"/>
  <c r="U120" i="110" s="1"/>
  <c r="T120" i="110" a="1"/>
  <c r="T120" i="110" s="1"/>
  <c r="S120" i="110" a="1"/>
  <c r="S120" i="110" s="1"/>
  <c r="R120" i="110" a="1"/>
  <c r="R120" i="110" s="1"/>
  <c r="Q120" i="110" a="1"/>
  <c r="Q120" i="110" s="1"/>
  <c r="P120" i="110" a="1"/>
  <c r="P120" i="110" s="1"/>
  <c r="O120" i="110" a="1"/>
  <c r="O120" i="110" s="1"/>
  <c r="N120" i="110" a="1"/>
  <c r="N120" i="110" s="1"/>
  <c r="M120" i="110" a="1"/>
  <c r="M120" i="110" s="1"/>
  <c r="L120" i="110" a="1"/>
  <c r="L120" i="110" s="1"/>
  <c r="K120" i="110" a="1"/>
  <c r="K120" i="110" s="1"/>
  <c r="J120" i="110" a="1"/>
  <c r="J120" i="110" s="1"/>
  <c r="I120" i="110" a="1"/>
  <c r="I120" i="110" s="1"/>
  <c r="H120" i="110" a="1"/>
  <c r="H120" i="110" s="1"/>
  <c r="G120" i="110" a="1"/>
  <c r="G120" i="110" s="1"/>
  <c r="F120" i="110" a="1"/>
  <c r="F120" i="110" s="1"/>
  <c r="E120" i="110" a="1"/>
  <c r="E120" i="110" s="1"/>
  <c r="D120" i="110" a="1"/>
  <c r="D120" i="110" s="1"/>
  <c r="U119" i="110" a="1"/>
  <c r="U119" i="110" s="1"/>
  <c r="T119" i="110" a="1"/>
  <c r="T119" i="110" s="1"/>
  <c r="S119" i="110" a="1"/>
  <c r="S119" i="110" s="1"/>
  <c r="R119" i="110" a="1"/>
  <c r="R119" i="110" s="1"/>
  <c r="Q119" i="110" a="1"/>
  <c r="Q119" i="110" s="1"/>
  <c r="P119" i="110" a="1"/>
  <c r="P119" i="110" s="1"/>
  <c r="O119" i="110" a="1"/>
  <c r="O119" i="110" s="1"/>
  <c r="N119" i="110" a="1"/>
  <c r="N119" i="110" s="1"/>
  <c r="M119" i="110" a="1"/>
  <c r="M119" i="110" s="1"/>
  <c r="L119" i="110" a="1"/>
  <c r="L119" i="110" s="1"/>
  <c r="K119" i="110" a="1"/>
  <c r="K119" i="110" s="1"/>
  <c r="J119" i="110" a="1"/>
  <c r="J119" i="110" s="1"/>
  <c r="I119" i="110" a="1"/>
  <c r="I119" i="110" s="1"/>
  <c r="H119" i="110" a="1"/>
  <c r="H119" i="110" s="1"/>
  <c r="G119" i="110" a="1"/>
  <c r="G119" i="110" s="1"/>
  <c r="F119" i="110" a="1"/>
  <c r="F119" i="110" s="1"/>
  <c r="E119" i="110" a="1"/>
  <c r="E119" i="110" s="1"/>
  <c r="D119" i="110" a="1"/>
  <c r="D119" i="110" s="1"/>
  <c r="U118" i="110" a="1"/>
  <c r="U118" i="110" s="1"/>
  <c r="T118" i="110" a="1"/>
  <c r="T118" i="110" s="1"/>
  <c r="S118" i="110" a="1"/>
  <c r="S118" i="110" s="1"/>
  <c r="R118" i="110" a="1"/>
  <c r="R118" i="110" s="1"/>
  <c r="Q118" i="110" a="1"/>
  <c r="Q118" i="110" s="1"/>
  <c r="P118" i="110" a="1"/>
  <c r="P118" i="110" s="1"/>
  <c r="O118" i="110" a="1"/>
  <c r="O118" i="110" s="1"/>
  <c r="N118" i="110" a="1"/>
  <c r="N118" i="110" s="1"/>
  <c r="M118" i="110" a="1"/>
  <c r="M118" i="110" s="1"/>
  <c r="L118" i="110" a="1"/>
  <c r="L118" i="110" s="1"/>
  <c r="K118" i="110" a="1"/>
  <c r="K118" i="110" s="1"/>
  <c r="J118" i="110" a="1"/>
  <c r="J118" i="110" s="1"/>
  <c r="I118" i="110" a="1"/>
  <c r="I118" i="110" s="1"/>
  <c r="H118" i="110" a="1"/>
  <c r="H118" i="110" s="1"/>
  <c r="G118" i="110" a="1"/>
  <c r="G118" i="110" s="1"/>
  <c r="F118" i="110" a="1"/>
  <c r="F118" i="110" s="1"/>
  <c r="E118" i="110" a="1"/>
  <c r="E118" i="110" s="1"/>
  <c r="D118" i="110" a="1"/>
  <c r="D118" i="110" s="1"/>
  <c r="U117" i="110" a="1"/>
  <c r="U117" i="110" s="1"/>
  <c r="T117" i="110" a="1"/>
  <c r="T117" i="110" s="1"/>
  <c r="S117" i="110" a="1"/>
  <c r="S117" i="110" s="1"/>
  <c r="R117" i="110" a="1"/>
  <c r="R117" i="110" s="1"/>
  <c r="Q117" i="110" a="1"/>
  <c r="Q117" i="110" s="1"/>
  <c r="P117" i="110" a="1"/>
  <c r="P117" i="110" s="1"/>
  <c r="O117" i="110" a="1"/>
  <c r="O117" i="110" s="1"/>
  <c r="N117" i="110" a="1"/>
  <c r="N117" i="110" s="1"/>
  <c r="M117" i="110" a="1"/>
  <c r="M117" i="110" s="1"/>
  <c r="L117" i="110" a="1"/>
  <c r="L117" i="110" s="1"/>
  <c r="K117" i="110" a="1"/>
  <c r="K117" i="110" s="1"/>
  <c r="J117" i="110" a="1"/>
  <c r="J117" i="110" s="1"/>
  <c r="I117" i="110" a="1"/>
  <c r="I117" i="110" s="1"/>
  <c r="H117" i="110" a="1"/>
  <c r="H117" i="110" s="1"/>
  <c r="G117" i="110" a="1"/>
  <c r="G117" i="110" s="1"/>
  <c r="F117" i="110" a="1"/>
  <c r="F117" i="110" s="1"/>
  <c r="E117" i="110" a="1"/>
  <c r="E117" i="110" s="1"/>
  <c r="D117" i="110" a="1"/>
  <c r="D117" i="110" s="1"/>
  <c r="U116" i="110" a="1"/>
  <c r="U116" i="110" s="1"/>
  <c r="T116" i="110" a="1"/>
  <c r="T116" i="110" s="1"/>
  <c r="S116" i="110" a="1"/>
  <c r="S116" i="110" s="1"/>
  <c r="R116" i="110" a="1"/>
  <c r="R116" i="110" s="1"/>
  <c r="Q116" i="110" a="1"/>
  <c r="Q116" i="110" s="1"/>
  <c r="P116" i="110" a="1"/>
  <c r="P116" i="110" s="1"/>
  <c r="O116" i="110" a="1"/>
  <c r="O116" i="110" s="1"/>
  <c r="N116" i="110" a="1"/>
  <c r="N116" i="110" s="1"/>
  <c r="M116" i="110" a="1"/>
  <c r="M116" i="110" s="1"/>
  <c r="L116" i="110" a="1"/>
  <c r="L116" i="110" s="1"/>
  <c r="K116" i="110" a="1"/>
  <c r="K116" i="110" s="1"/>
  <c r="J116" i="110" a="1"/>
  <c r="J116" i="110" s="1"/>
  <c r="I116" i="110" a="1"/>
  <c r="I116" i="110" s="1"/>
  <c r="H116" i="110" a="1"/>
  <c r="H116" i="110" s="1"/>
  <c r="G116" i="110" a="1"/>
  <c r="G116" i="110" s="1"/>
  <c r="F116" i="110" a="1"/>
  <c r="F116" i="110" s="1"/>
  <c r="E116" i="110" a="1"/>
  <c r="E116" i="110" s="1"/>
  <c r="D116" i="110" a="1"/>
  <c r="D116" i="110" s="1"/>
  <c r="U115" i="110" a="1"/>
  <c r="U115" i="110" s="1"/>
  <c r="T115" i="110" a="1"/>
  <c r="T115" i="110" s="1"/>
  <c r="S115" i="110" a="1"/>
  <c r="S115" i="110" s="1"/>
  <c r="R115" i="110" a="1"/>
  <c r="R115" i="110" s="1"/>
  <c r="Q115" i="110" a="1"/>
  <c r="Q115" i="110" s="1"/>
  <c r="P115" i="110" a="1"/>
  <c r="P115" i="110" s="1"/>
  <c r="O115" i="110" a="1"/>
  <c r="O115" i="110" s="1"/>
  <c r="N115" i="110" a="1"/>
  <c r="N115" i="110" s="1"/>
  <c r="M115" i="110" a="1"/>
  <c r="M115" i="110" s="1"/>
  <c r="L115" i="110" a="1"/>
  <c r="L115" i="110" s="1"/>
  <c r="K115" i="110" a="1"/>
  <c r="K115" i="110" s="1"/>
  <c r="J115" i="110" a="1"/>
  <c r="J115" i="110" s="1"/>
  <c r="I115" i="110" a="1"/>
  <c r="I115" i="110" s="1"/>
  <c r="H115" i="110" a="1"/>
  <c r="H115" i="110" s="1"/>
  <c r="G115" i="110" a="1"/>
  <c r="G115" i="110" s="1"/>
  <c r="F115" i="110" a="1"/>
  <c r="F115" i="110" s="1"/>
  <c r="E115" i="110" a="1"/>
  <c r="E115" i="110" s="1"/>
  <c r="D115" i="110" a="1"/>
  <c r="D115" i="110" s="1"/>
  <c r="U114" i="110" a="1"/>
  <c r="U114" i="110" s="1"/>
  <c r="T114" i="110" a="1"/>
  <c r="T114" i="110" s="1"/>
  <c r="S114" i="110" a="1"/>
  <c r="S114" i="110" s="1"/>
  <c r="R114" i="110" a="1"/>
  <c r="R114" i="110" s="1"/>
  <c r="Q114" i="110" a="1"/>
  <c r="Q114" i="110" s="1"/>
  <c r="P114" i="110" a="1"/>
  <c r="P114" i="110" s="1"/>
  <c r="O114" i="110" a="1"/>
  <c r="O114" i="110" s="1"/>
  <c r="N114" i="110" a="1"/>
  <c r="N114" i="110" s="1"/>
  <c r="M114" i="110" a="1"/>
  <c r="M114" i="110" s="1"/>
  <c r="L114" i="110" a="1"/>
  <c r="L114" i="110" s="1"/>
  <c r="K114" i="110" a="1"/>
  <c r="K114" i="110" s="1"/>
  <c r="J114" i="110" a="1"/>
  <c r="J114" i="110" s="1"/>
  <c r="I114" i="110" a="1"/>
  <c r="I114" i="110" s="1"/>
  <c r="H114" i="110" a="1"/>
  <c r="H114" i="110" s="1"/>
  <c r="G114" i="110" a="1"/>
  <c r="G114" i="110" s="1"/>
  <c r="F114" i="110" a="1"/>
  <c r="F114" i="110" s="1"/>
  <c r="E114" i="110" a="1"/>
  <c r="E114" i="110" s="1"/>
  <c r="D114" i="110" a="1"/>
  <c r="D114" i="110" s="1"/>
  <c r="U113" i="110" a="1"/>
  <c r="U113" i="110" s="1"/>
  <c r="T113" i="110" a="1"/>
  <c r="T113" i="110" s="1"/>
  <c r="S113" i="110" a="1"/>
  <c r="S113" i="110" s="1"/>
  <c r="R113" i="110" a="1"/>
  <c r="R113" i="110" s="1"/>
  <c r="Q113" i="110" a="1"/>
  <c r="Q113" i="110" s="1"/>
  <c r="P113" i="110" a="1"/>
  <c r="P113" i="110" s="1"/>
  <c r="O113" i="110" a="1"/>
  <c r="O113" i="110" s="1"/>
  <c r="N113" i="110" a="1"/>
  <c r="N113" i="110" s="1"/>
  <c r="M113" i="110" a="1"/>
  <c r="M113" i="110" s="1"/>
  <c r="L113" i="110" a="1"/>
  <c r="L113" i="110" s="1"/>
  <c r="K113" i="110" a="1"/>
  <c r="K113" i="110" s="1"/>
  <c r="J113" i="110" a="1"/>
  <c r="J113" i="110" s="1"/>
  <c r="I113" i="110" a="1"/>
  <c r="I113" i="110" s="1"/>
  <c r="H113" i="110" a="1"/>
  <c r="H113" i="110" s="1"/>
  <c r="G113" i="110" a="1"/>
  <c r="G113" i="110" s="1"/>
  <c r="F113" i="110" a="1"/>
  <c r="F113" i="110" s="1"/>
  <c r="E113" i="110" a="1"/>
  <c r="E113" i="110" s="1"/>
  <c r="D113" i="110" a="1"/>
  <c r="D113" i="110" s="1"/>
  <c r="U112" i="110" a="1"/>
  <c r="U112" i="110" s="1"/>
  <c r="T112" i="110" a="1"/>
  <c r="T112" i="110" s="1"/>
  <c r="S112" i="110" a="1"/>
  <c r="S112" i="110" s="1"/>
  <c r="R112" i="110" a="1"/>
  <c r="R112" i="110" s="1"/>
  <c r="Q112" i="110" a="1"/>
  <c r="Q112" i="110" s="1"/>
  <c r="P112" i="110" a="1"/>
  <c r="P112" i="110" s="1"/>
  <c r="O112" i="110" a="1"/>
  <c r="O112" i="110" s="1"/>
  <c r="N112" i="110" a="1"/>
  <c r="N112" i="110" s="1"/>
  <c r="M112" i="110" a="1"/>
  <c r="M112" i="110" s="1"/>
  <c r="L112" i="110" a="1"/>
  <c r="L112" i="110" s="1"/>
  <c r="K112" i="110" a="1"/>
  <c r="K112" i="110" s="1"/>
  <c r="J112" i="110" a="1"/>
  <c r="J112" i="110" s="1"/>
  <c r="I112" i="110" a="1"/>
  <c r="I112" i="110" s="1"/>
  <c r="H112" i="110" a="1"/>
  <c r="H112" i="110" s="1"/>
  <c r="G112" i="110" a="1"/>
  <c r="G112" i="110" s="1"/>
  <c r="F112" i="110" a="1"/>
  <c r="F112" i="110" s="1"/>
  <c r="E112" i="110" a="1"/>
  <c r="E112" i="110" s="1"/>
  <c r="D112" i="110" a="1"/>
  <c r="D112" i="110" s="1"/>
  <c r="U111" i="110" a="1"/>
  <c r="U111" i="110" s="1"/>
  <c r="T111" i="110" a="1"/>
  <c r="T111" i="110" s="1"/>
  <c r="S111" i="110" a="1"/>
  <c r="S111" i="110" s="1"/>
  <c r="R111" i="110" a="1"/>
  <c r="R111" i="110" s="1"/>
  <c r="Q111" i="110" a="1"/>
  <c r="Q111" i="110" s="1"/>
  <c r="P111" i="110" a="1"/>
  <c r="P111" i="110" s="1"/>
  <c r="O111" i="110" a="1"/>
  <c r="O111" i="110" s="1"/>
  <c r="N111" i="110" a="1"/>
  <c r="N111" i="110" s="1"/>
  <c r="M111" i="110" a="1"/>
  <c r="M111" i="110" s="1"/>
  <c r="L111" i="110" a="1"/>
  <c r="L111" i="110" s="1"/>
  <c r="K111" i="110" a="1"/>
  <c r="K111" i="110" s="1"/>
  <c r="J111" i="110" a="1"/>
  <c r="J111" i="110" s="1"/>
  <c r="I111" i="110" a="1"/>
  <c r="I111" i="110" s="1"/>
  <c r="H111" i="110" a="1"/>
  <c r="H111" i="110" s="1"/>
  <c r="G111" i="110" a="1"/>
  <c r="G111" i="110" s="1"/>
  <c r="F111" i="110" a="1"/>
  <c r="F111" i="110" s="1"/>
  <c r="E111" i="110" a="1"/>
  <c r="E111" i="110" s="1"/>
  <c r="D111" i="110" a="1"/>
  <c r="D111" i="110" s="1"/>
  <c r="U110" i="110" a="1"/>
  <c r="U110" i="110" s="1"/>
  <c r="T110" i="110" a="1"/>
  <c r="T110" i="110" s="1"/>
  <c r="S110" i="110" a="1"/>
  <c r="S110" i="110" s="1"/>
  <c r="R110" i="110" a="1"/>
  <c r="R110" i="110" s="1"/>
  <c r="Q110" i="110" a="1"/>
  <c r="Q110" i="110" s="1"/>
  <c r="P110" i="110" a="1"/>
  <c r="P110" i="110" s="1"/>
  <c r="O110" i="110" a="1"/>
  <c r="O110" i="110" s="1"/>
  <c r="N110" i="110" a="1"/>
  <c r="N110" i="110" s="1"/>
  <c r="M110" i="110" a="1"/>
  <c r="M110" i="110" s="1"/>
  <c r="L110" i="110" a="1"/>
  <c r="L110" i="110" s="1"/>
  <c r="K110" i="110" a="1"/>
  <c r="K110" i="110" s="1"/>
  <c r="J110" i="110" a="1"/>
  <c r="J110" i="110" s="1"/>
  <c r="I110" i="110" a="1"/>
  <c r="I110" i="110" s="1"/>
  <c r="H110" i="110" a="1"/>
  <c r="H110" i="110" s="1"/>
  <c r="G110" i="110" a="1"/>
  <c r="G110" i="110" s="1"/>
  <c r="F110" i="110" a="1"/>
  <c r="F110" i="110" s="1"/>
  <c r="E110" i="110" a="1"/>
  <c r="E110" i="110" s="1"/>
  <c r="D110" i="110" a="1"/>
  <c r="D110" i="110" s="1"/>
  <c r="U109" i="110" a="1"/>
  <c r="U109" i="110" s="1"/>
  <c r="T109" i="110" a="1"/>
  <c r="T109" i="110" s="1"/>
  <c r="S109" i="110" a="1"/>
  <c r="S109" i="110" s="1"/>
  <c r="R109" i="110" a="1"/>
  <c r="R109" i="110" s="1"/>
  <c r="Q109" i="110" a="1"/>
  <c r="Q109" i="110" s="1"/>
  <c r="P109" i="110" a="1"/>
  <c r="P109" i="110" s="1"/>
  <c r="O109" i="110" a="1"/>
  <c r="O109" i="110" s="1"/>
  <c r="N109" i="110" a="1"/>
  <c r="N109" i="110" s="1"/>
  <c r="M109" i="110" a="1"/>
  <c r="M109" i="110" s="1"/>
  <c r="L109" i="110" a="1"/>
  <c r="L109" i="110" s="1"/>
  <c r="K109" i="110" a="1"/>
  <c r="K109" i="110" s="1"/>
  <c r="J109" i="110" a="1"/>
  <c r="J109" i="110" s="1"/>
  <c r="I109" i="110" a="1"/>
  <c r="I109" i="110" s="1"/>
  <c r="H109" i="110" a="1"/>
  <c r="H109" i="110" s="1"/>
  <c r="G109" i="110" a="1"/>
  <c r="G109" i="110" s="1"/>
  <c r="F109" i="110" a="1"/>
  <c r="F109" i="110" s="1"/>
  <c r="E109" i="110" a="1"/>
  <c r="E109" i="110" s="1"/>
  <c r="D109" i="110" a="1"/>
  <c r="D109" i="110" s="1"/>
  <c r="U108" i="110" a="1"/>
  <c r="U108" i="110" s="1"/>
  <c r="T108" i="110" a="1"/>
  <c r="T108" i="110" s="1"/>
  <c r="S108" i="110" a="1"/>
  <c r="S108" i="110" s="1"/>
  <c r="R108" i="110" a="1"/>
  <c r="R108" i="110" s="1"/>
  <c r="Q108" i="110" a="1"/>
  <c r="Q108" i="110" s="1"/>
  <c r="P108" i="110" a="1"/>
  <c r="P108" i="110" s="1"/>
  <c r="O108" i="110" a="1"/>
  <c r="O108" i="110" s="1"/>
  <c r="N108" i="110" a="1"/>
  <c r="N108" i="110" s="1"/>
  <c r="M108" i="110" a="1"/>
  <c r="M108" i="110" s="1"/>
  <c r="L108" i="110" a="1"/>
  <c r="L108" i="110" s="1"/>
  <c r="K108" i="110" a="1"/>
  <c r="K108" i="110" s="1"/>
  <c r="J108" i="110" a="1"/>
  <c r="J108" i="110" s="1"/>
  <c r="I108" i="110" a="1"/>
  <c r="I108" i="110" s="1"/>
  <c r="H108" i="110" a="1"/>
  <c r="H108" i="110" s="1"/>
  <c r="G108" i="110" a="1"/>
  <c r="G108" i="110" s="1"/>
  <c r="F108" i="110" a="1"/>
  <c r="F108" i="110" s="1"/>
  <c r="E108" i="110" a="1"/>
  <c r="E108" i="110" s="1"/>
  <c r="D108" i="110" a="1"/>
  <c r="D108" i="110" s="1"/>
  <c r="U107" i="110" a="1"/>
  <c r="U107" i="110" s="1"/>
  <c r="T107" i="110" a="1"/>
  <c r="T107" i="110" s="1"/>
  <c r="S107" i="110" a="1"/>
  <c r="S107" i="110" s="1"/>
  <c r="R107" i="110" a="1"/>
  <c r="R107" i="110" s="1"/>
  <c r="Q107" i="110" a="1"/>
  <c r="Q107" i="110" s="1"/>
  <c r="P107" i="110" a="1"/>
  <c r="P107" i="110" s="1"/>
  <c r="O107" i="110" a="1"/>
  <c r="O107" i="110" s="1"/>
  <c r="N107" i="110" a="1"/>
  <c r="N107" i="110" s="1"/>
  <c r="M107" i="110" a="1"/>
  <c r="M107" i="110" s="1"/>
  <c r="L107" i="110" a="1"/>
  <c r="L107" i="110" s="1"/>
  <c r="K107" i="110" a="1"/>
  <c r="K107" i="110" s="1"/>
  <c r="J107" i="110" a="1"/>
  <c r="J107" i="110" s="1"/>
  <c r="I107" i="110" a="1"/>
  <c r="I107" i="110" s="1"/>
  <c r="H107" i="110" a="1"/>
  <c r="H107" i="110" s="1"/>
  <c r="G107" i="110" a="1"/>
  <c r="G107" i="110" s="1"/>
  <c r="F107" i="110" a="1"/>
  <c r="F107" i="110" s="1"/>
  <c r="E107" i="110" a="1"/>
  <c r="E107" i="110" s="1"/>
  <c r="D107" i="110" a="1"/>
  <c r="D107" i="110" s="1"/>
  <c r="U106" i="110" a="1"/>
  <c r="U106" i="110" s="1"/>
  <c r="T106" i="110" a="1"/>
  <c r="T106" i="110" s="1"/>
  <c r="S106" i="110" a="1"/>
  <c r="S106" i="110" s="1"/>
  <c r="R106" i="110" a="1"/>
  <c r="R106" i="110" s="1"/>
  <c r="Q106" i="110" a="1"/>
  <c r="Q106" i="110" s="1"/>
  <c r="P106" i="110" a="1"/>
  <c r="P106" i="110" s="1"/>
  <c r="O106" i="110" a="1"/>
  <c r="O106" i="110" s="1"/>
  <c r="N106" i="110" a="1"/>
  <c r="N106" i="110" s="1"/>
  <c r="M106" i="110" a="1"/>
  <c r="M106" i="110" s="1"/>
  <c r="L106" i="110" a="1"/>
  <c r="L106" i="110" s="1"/>
  <c r="K106" i="110" a="1"/>
  <c r="K106" i="110" s="1"/>
  <c r="J106" i="110" a="1"/>
  <c r="J106" i="110" s="1"/>
  <c r="I106" i="110" a="1"/>
  <c r="I106" i="110" s="1"/>
  <c r="H106" i="110" a="1"/>
  <c r="H106" i="110" s="1"/>
  <c r="G106" i="110" a="1"/>
  <c r="G106" i="110" s="1"/>
  <c r="F106" i="110" a="1"/>
  <c r="F106" i="110" s="1"/>
  <c r="E106" i="110" a="1"/>
  <c r="E106" i="110" s="1"/>
  <c r="D106" i="110" a="1"/>
  <c r="D106" i="110" s="1"/>
  <c r="U105" i="110" a="1"/>
  <c r="U105" i="110" s="1"/>
  <c r="T105" i="110" a="1"/>
  <c r="T105" i="110" s="1"/>
  <c r="S105" i="110" a="1"/>
  <c r="S105" i="110" s="1"/>
  <c r="R105" i="110" a="1"/>
  <c r="R105" i="110" s="1"/>
  <c r="Q105" i="110" a="1"/>
  <c r="Q105" i="110" s="1"/>
  <c r="P105" i="110" a="1"/>
  <c r="P105" i="110" s="1"/>
  <c r="O105" i="110" a="1"/>
  <c r="O105" i="110" s="1"/>
  <c r="N105" i="110" a="1"/>
  <c r="N105" i="110" s="1"/>
  <c r="M105" i="110" a="1"/>
  <c r="M105" i="110" s="1"/>
  <c r="L105" i="110" a="1"/>
  <c r="L105" i="110" s="1"/>
  <c r="K105" i="110" a="1"/>
  <c r="K105" i="110" s="1"/>
  <c r="J105" i="110" a="1"/>
  <c r="J105" i="110" s="1"/>
  <c r="I105" i="110" a="1"/>
  <c r="I105" i="110" s="1"/>
  <c r="H105" i="110" a="1"/>
  <c r="H105" i="110" s="1"/>
  <c r="G105" i="110" a="1"/>
  <c r="G105" i="110" s="1"/>
  <c r="F105" i="110" a="1"/>
  <c r="F105" i="110" s="1"/>
  <c r="E105" i="110" a="1"/>
  <c r="E105" i="110" s="1"/>
  <c r="D105" i="110" a="1"/>
  <c r="D105" i="110" s="1"/>
  <c r="U104" i="110" a="1"/>
  <c r="U104" i="110" s="1"/>
  <c r="T104" i="110" a="1"/>
  <c r="T104" i="110" s="1"/>
  <c r="S104" i="110" a="1"/>
  <c r="S104" i="110" s="1"/>
  <c r="R104" i="110" a="1"/>
  <c r="R104" i="110" s="1"/>
  <c r="Q104" i="110" a="1"/>
  <c r="Q104" i="110" s="1"/>
  <c r="P104" i="110" a="1"/>
  <c r="P104" i="110" s="1"/>
  <c r="O104" i="110" a="1"/>
  <c r="O104" i="110" s="1"/>
  <c r="N104" i="110" a="1"/>
  <c r="N104" i="110" s="1"/>
  <c r="M104" i="110" a="1"/>
  <c r="M104" i="110" s="1"/>
  <c r="L104" i="110" a="1"/>
  <c r="L104" i="110" s="1"/>
  <c r="K104" i="110" a="1"/>
  <c r="K104" i="110" s="1"/>
  <c r="J104" i="110" a="1"/>
  <c r="J104" i="110" s="1"/>
  <c r="I104" i="110" a="1"/>
  <c r="I104" i="110" s="1"/>
  <c r="H104" i="110" a="1"/>
  <c r="H104" i="110" s="1"/>
  <c r="G104" i="110" a="1"/>
  <c r="G104" i="110" s="1"/>
  <c r="F104" i="110" a="1"/>
  <c r="F104" i="110" s="1"/>
  <c r="E104" i="110" a="1"/>
  <c r="E104" i="110" s="1"/>
  <c r="D104" i="110" a="1"/>
  <c r="D104" i="110" s="1"/>
  <c r="U103" i="110" a="1"/>
  <c r="U103" i="110" s="1"/>
  <c r="T103" i="110" a="1"/>
  <c r="T103" i="110" s="1"/>
  <c r="S103" i="110" a="1"/>
  <c r="S103" i="110" s="1"/>
  <c r="R103" i="110" a="1"/>
  <c r="R103" i="110" s="1"/>
  <c r="Q103" i="110" a="1"/>
  <c r="Q103" i="110" s="1"/>
  <c r="P103" i="110" a="1"/>
  <c r="P103" i="110" s="1"/>
  <c r="O103" i="110" a="1"/>
  <c r="O103" i="110" s="1"/>
  <c r="N103" i="110" a="1"/>
  <c r="N103" i="110" s="1"/>
  <c r="M103" i="110" a="1"/>
  <c r="M103" i="110" s="1"/>
  <c r="L103" i="110" a="1"/>
  <c r="L103" i="110" s="1"/>
  <c r="K103" i="110" a="1"/>
  <c r="K103" i="110" s="1"/>
  <c r="J103" i="110" a="1"/>
  <c r="J103" i="110" s="1"/>
  <c r="I103" i="110" a="1"/>
  <c r="I103" i="110" s="1"/>
  <c r="H103" i="110" a="1"/>
  <c r="H103" i="110" s="1"/>
  <c r="G103" i="110" a="1"/>
  <c r="G103" i="110" s="1"/>
  <c r="F103" i="110" a="1"/>
  <c r="F103" i="110" s="1"/>
  <c r="E103" i="110" a="1"/>
  <c r="E103" i="110" s="1"/>
  <c r="D103" i="110" a="1"/>
  <c r="D103" i="110" s="1"/>
  <c r="U102" i="110" a="1"/>
  <c r="U102" i="110" s="1"/>
  <c r="T102" i="110" a="1"/>
  <c r="T102" i="110" s="1"/>
  <c r="S102" i="110" a="1"/>
  <c r="S102" i="110" s="1"/>
  <c r="R102" i="110" a="1"/>
  <c r="R102" i="110" s="1"/>
  <c r="Q102" i="110" a="1"/>
  <c r="Q102" i="110" s="1"/>
  <c r="P102" i="110" a="1"/>
  <c r="P102" i="110" s="1"/>
  <c r="O102" i="110" a="1"/>
  <c r="O102" i="110" s="1"/>
  <c r="N102" i="110" a="1"/>
  <c r="N102" i="110" s="1"/>
  <c r="M102" i="110" a="1"/>
  <c r="M102" i="110" s="1"/>
  <c r="L102" i="110" a="1"/>
  <c r="L102" i="110" s="1"/>
  <c r="K102" i="110" a="1"/>
  <c r="K102" i="110" s="1"/>
  <c r="J102" i="110" a="1"/>
  <c r="J102" i="110" s="1"/>
  <c r="I102" i="110" a="1"/>
  <c r="I102" i="110" s="1"/>
  <c r="H102" i="110" a="1"/>
  <c r="H102" i="110" s="1"/>
  <c r="G102" i="110" a="1"/>
  <c r="G102" i="110" s="1"/>
  <c r="F102" i="110" a="1"/>
  <c r="F102" i="110" s="1"/>
  <c r="E102" i="110" a="1"/>
  <c r="E102" i="110" s="1"/>
  <c r="D102" i="110" a="1"/>
  <c r="D102" i="110" s="1"/>
  <c r="U101" i="110" a="1"/>
  <c r="U101" i="110" s="1"/>
  <c r="T101" i="110" a="1"/>
  <c r="T101" i="110" s="1"/>
  <c r="S101" i="110" a="1"/>
  <c r="S101" i="110" s="1"/>
  <c r="R101" i="110" a="1"/>
  <c r="R101" i="110" s="1"/>
  <c r="Q101" i="110" a="1"/>
  <c r="Q101" i="110" s="1"/>
  <c r="P101" i="110" a="1"/>
  <c r="P101" i="110" s="1"/>
  <c r="O101" i="110" a="1"/>
  <c r="O101" i="110" s="1"/>
  <c r="N101" i="110" a="1"/>
  <c r="N101" i="110" s="1"/>
  <c r="M101" i="110" a="1"/>
  <c r="M101" i="110" s="1"/>
  <c r="L101" i="110" a="1"/>
  <c r="L101" i="110" s="1"/>
  <c r="K101" i="110" a="1"/>
  <c r="K101" i="110" s="1"/>
  <c r="J101" i="110" a="1"/>
  <c r="J101" i="110" s="1"/>
  <c r="I101" i="110" a="1"/>
  <c r="I101" i="110" s="1"/>
  <c r="H101" i="110" a="1"/>
  <c r="H101" i="110" s="1"/>
  <c r="G101" i="110" a="1"/>
  <c r="G101" i="110" s="1"/>
  <c r="F101" i="110" a="1"/>
  <c r="F101" i="110" s="1"/>
  <c r="E101" i="110" a="1"/>
  <c r="E101" i="110" s="1"/>
  <c r="D101" i="110" a="1"/>
  <c r="D101" i="110" s="1"/>
  <c r="U100" i="110" a="1"/>
  <c r="U100" i="110" s="1"/>
  <c r="T100" i="110" a="1"/>
  <c r="T100" i="110" s="1"/>
  <c r="S100" i="110" a="1"/>
  <c r="S100" i="110" s="1"/>
  <c r="R100" i="110" a="1"/>
  <c r="R100" i="110" s="1"/>
  <c r="Q100" i="110" a="1"/>
  <c r="Q100" i="110" s="1"/>
  <c r="P100" i="110" a="1"/>
  <c r="P100" i="110" s="1"/>
  <c r="O100" i="110" a="1"/>
  <c r="O100" i="110" s="1"/>
  <c r="N100" i="110" a="1"/>
  <c r="N100" i="110" s="1"/>
  <c r="M100" i="110" a="1"/>
  <c r="M100" i="110" s="1"/>
  <c r="L100" i="110" a="1"/>
  <c r="L100" i="110" s="1"/>
  <c r="K100" i="110" a="1"/>
  <c r="K100" i="110" s="1"/>
  <c r="J100" i="110" a="1"/>
  <c r="J100" i="110" s="1"/>
  <c r="I100" i="110" a="1"/>
  <c r="I100" i="110" s="1"/>
  <c r="H100" i="110" a="1"/>
  <c r="H100" i="110" s="1"/>
  <c r="G100" i="110" a="1"/>
  <c r="G100" i="110" s="1"/>
  <c r="F100" i="110" a="1"/>
  <c r="F100" i="110" s="1"/>
  <c r="E100" i="110" a="1"/>
  <c r="E100" i="110" s="1"/>
  <c r="D100" i="110" a="1"/>
  <c r="D100" i="110" s="1"/>
  <c r="U99" i="110" a="1"/>
  <c r="U99" i="110" s="1"/>
  <c r="T99" i="110" a="1"/>
  <c r="T99" i="110" s="1"/>
  <c r="S99" i="110" a="1"/>
  <c r="S99" i="110" s="1"/>
  <c r="R99" i="110" a="1"/>
  <c r="R99" i="110" s="1"/>
  <c r="Q99" i="110" a="1"/>
  <c r="Q99" i="110" s="1"/>
  <c r="P99" i="110" a="1"/>
  <c r="P99" i="110" s="1"/>
  <c r="O99" i="110" a="1"/>
  <c r="O99" i="110" s="1"/>
  <c r="N99" i="110" a="1"/>
  <c r="N99" i="110" s="1"/>
  <c r="M99" i="110" a="1"/>
  <c r="M99" i="110" s="1"/>
  <c r="L99" i="110" a="1"/>
  <c r="L99" i="110" s="1"/>
  <c r="K99" i="110" a="1"/>
  <c r="K99" i="110" s="1"/>
  <c r="J99" i="110" a="1"/>
  <c r="J99" i="110" s="1"/>
  <c r="I99" i="110" a="1"/>
  <c r="I99" i="110" s="1"/>
  <c r="H99" i="110" a="1"/>
  <c r="H99" i="110" s="1"/>
  <c r="G99" i="110" a="1"/>
  <c r="G99" i="110" s="1"/>
  <c r="F99" i="110" a="1"/>
  <c r="F99" i="110" s="1"/>
  <c r="E99" i="110" a="1"/>
  <c r="E99" i="110" s="1"/>
  <c r="D99" i="110" a="1"/>
  <c r="D99" i="110" s="1"/>
  <c r="U98" i="110" a="1"/>
  <c r="U98" i="110" s="1"/>
  <c r="T98" i="110" a="1"/>
  <c r="T98" i="110" s="1"/>
  <c r="S98" i="110" a="1"/>
  <c r="S98" i="110" s="1"/>
  <c r="R98" i="110" a="1"/>
  <c r="R98" i="110" s="1"/>
  <c r="Q98" i="110" a="1"/>
  <c r="Q98" i="110" s="1"/>
  <c r="P98" i="110" a="1"/>
  <c r="P98" i="110" s="1"/>
  <c r="O98" i="110" a="1"/>
  <c r="O98" i="110" s="1"/>
  <c r="N98" i="110" a="1"/>
  <c r="N98" i="110" s="1"/>
  <c r="M98" i="110" a="1"/>
  <c r="M98" i="110" s="1"/>
  <c r="L98" i="110" a="1"/>
  <c r="L98" i="110" s="1"/>
  <c r="K98" i="110" a="1"/>
  <c r="K98" i="110" s="1"/>
  <c r="J98" i="110" a="1"/>
  <c r="J98" i="110" s="1"/>
  <c r="I98" i="110" a="1"/>
  <c r="I98" i="110" s="1"/>
  <c r="H98" i="110" a="1"/>
  <c r="H98" i="110" s="1"/>
  <c r="G98" i="110" a="1"/>
  <c r="G98" i="110" s="1"/>
  <c r="F98" i="110" a="1"/>
  <c r="F98" i="110" s="1"/>
  <c r="E98" i="110" a="1"/>
  <c r="E98" i="110" s="1"/>
  <c r="D98" i="110" a="1"/>
  <c r="D98" i="110" s="1"/>
  <c r="U97" i="110" a="1"/>
  <c r="U97" i="110" s="1"/>
  <c r="T97" i="110" a="1"/>
  <c r="T97" i="110" s="1"/>
  <c r="S97" i="110" a="1"/>
  <c r="S97" i="110" s="1"/>
  <c r="R97" i="110" a="1"/>
  <c r="R97" i="110" s="1"/>
  <c r="Q97" i="110" a="1"/>
  <c r="Q97" i="110" s="1"/>
  <c r="P97" i="110" a="1"/>
  <c r="P97" i="110" s="1"/>
  <c r="O97" i="110" a="1"/>
  <c r="O97" i="110" s="1"/>
  <c r="N97" i="110" a="1"/>
  <c r="N97" i="110" s="1"/>
  <c r="M97" i="110" a="1"/>
  <c r="M97" i="110" s="1"/>
  <c r="L97" i="110" a="1"/>
  <c r="L97" i="110" s="1"/>
  <c r="K97" i="110" a="1"/>
  <c r="K97" i="110" s="1"/>
  <c r="J97" i="110" a="1"/>
  <c r="J97" i="110" s="1"/>
  <c r="I97" i="110" a="1"/>
  <c r="I97" i="110" s="1"/>
  <c r="H97" i="110" a="1"/>
  <c r="H97" i="110" s="1"/>
  <c r="G97" i="110" a="1"/>
  <c r="G97" i="110" s="1"/>
  <c r="F97" i="110" a="1"/>
  <c r="F97" i="110" s="1"/>
  <c r="E97" i="110" a="1"/>
  <c r="E97" i="110" s="1"/>
  <c r="D97" i="110" a="1"/>
  <c r="D97" i="110" s="1"/>
  <c r="U96" i="110" a="1"/>
  <c r="U96" i="110" s="1"/>
  <c r="T96" i="110" a="1"/>
  <c r="T96" i="110" s="1"/>
  <c r="S96" i="110" a="1"/>
  <c r="S96" i="110" s="1"/>
  <c r="R96" i="110" a="1"/>
  <c r="R96" i="110" s="1"/>
  <c r="Q96" i="110" a="1"/>
  <c r="Q96" i="110" s="1"/>
  <c r="P96" i="110" a="1"/>
  <c r="P96" i="110" s="1"/>
  <c r="O96" i="110" a="1"/>
  <c r="O96" i="110" s="1"/>
  <c r="N96" i="110" a="1"/>
  <c r="N96" i="110" s="1"/>
  <c r="M96" i="110" a="1"/>
  <c r="M96" i="110" s="1"/>
  <c r="L96" i="110" a="1"/>
  <c r="L96" i="110" s="1"/>
  <c r="K96" i="110" a="1"/>
  <c r="K96" i="110" s="1"/>
  <c r="J96" i="110" a="1"/>
  <c r="J96" i="110" s="1"/>
  <c r="I96" i="110" a="1"/>
  <c r="I96" i="110" s="1"/>
  <c r="H96" i="110" a="1"/>
  <c r="H96" i="110" s="1"/>
  <c r="G96" i="110" a="1"/>
  <c r="G96" i="110" s="1"/>
  <c r="F96" i="110" a="1"/>
  <c r="F96" i="110" s="1"/>
  <c r="E96" i="110" a="1"/>
  <c r="E96" i="110" s="1"/>
  <c r="D96" i="110" a="1"/>
  <c r="D96" i="110" s="1"/>
  <c r="U95" i="110" a="1"/>
  <c r="U95" i="110" s="1"/>
  <c r="T95" i="110" a="1"/>
  <c r="T95" i="110" s="1"/>
  <c r="S95" i="110" a="1"/>
  <c r="S95" i="110" s="1"/>
  <c r="R95" i="110" a="1"/>
  <c r="R95" i="110" s="1"/>
  <c r="Q95" i="110" a="1"/>
  <c r="Q95" i="110" s="1"/>
  <c r="P95" i="110" a="1"/>
  <c r="P95" i="110" s="1"/>
  <c r="O95" i="110" a="1"/>
  <c r="O95" i="110" s="1"/>
  <c r="N95" i="110" a="1"/>
  <c r="N95" i="110" s="1"/>
  <c r="M95" i="110" a="1"/>
  <c r="M95" i="110" s="1"/>
  <c r="L95" i="110" a="1"/>
  <c r="L95" i="110" s="1"/>
  <c r="K95" i="110" a="1"/>
  <c r="K95" i="110" s="1"/>
  <c r="J95" i="110" a="1"/>
  <c r="J95" i="110" s="1"/>
  <c r="I95" i="110" a="1"/>
  <c r="I95" i="110" s="1"/>
  <c r="H95" i="110" a="1"/>
  <c r="H95" i="110" s="1"/>
  <c r="G95" i="110" a="1"/>
  <c r="G95" i="110" s="1"/>
  <c r="F95" i="110" a="1"/>
  <c r="F95" i="110" s="1"/>
  <c r="E95" i="110" a="1"/>
  <c r="E95" i="110" s="1"/>
  <c r="D95" i="110" a="1"/>
  <c r="D95" i="110" s="1"/>
  <c r="U94" i="110" a="1"/>
  <c r="U94" i="110" s="1"/>
  <c r="T94" i="110" a="1"/>
  <c r="T94" i="110" s="1"/>
  <c r="S94" i="110" a="1"/>
  <c r="S94" i="110" s="1"/>
  <c r="R94" i="110" a="1"/>
  <c r="R94" i="110" s="1"/>
  <c r="Q94" i="110" a="1"/>
  <c r="Q94" i="110" s="1"/>
  <c r="P94" i="110" a="1"/>
  <c r="P94" i="110" s="1"/>
  <c r="O94" i="110" a="1"/>
  <c r="O94" i="110" s="1"/>
  <c r="N94" i="110" a="1"/>
  <c r="N94" i="110" s="1"/>
  <c r="M94" i="110" a="1"/>
  <c r="M94" i="110" s="1"/>
  <c r="L94" i="110" a="1"/>
  <c r="L94" i="110" s="1"/>
  <c r="K94" i="110" a="1"/>
  <c r="K94" i="110" s="1"/>
  <c r="J94" i="110" a="1"/>
  <c r="J94" i="110" s="1"/>
  <c r="I94" i="110" a="1"/>
  <c r="I94" i="110" s="1"/>
  <c r="H94" i="110" a="1"/>
  <c r="H94" i="110" s="1"/>
  <c r="G94" i="110" a="1"/>
  <c r="G94" i="110" s="1"/>
  <c r="F94" i="110" a="1"/>
  <c r="F94" i="110" s="1"/>
  <c r="E94" i="110" a="1"/>
  <c r="E94" i="110" s="1"/>
  <c r="D94" i="110" a="1"/>
  <c r="D94" i="110" s="1"/>
  <c r="U93" i="110" a="1"/>
  <c r="U93" i="110" s="1"/>
  <c r="T93" i="110" a="1"/>
  <c r="T93" i="110" s="1"/>
  <c r="S93" i="110" a="1"/>
  <c r="S93" i="110" s="1"/>
  <c r="R93" i="110" a="1"/>
  <c r="R93" i="110" s="1"/>
  <c r="Q93" i="110" a="1"/>
  <c r="Q93" i="110" s="1"/>
  <c r="P93" i="110" a="1"/>
  <c r="P93" i="110" s="1"/>
  <c r="O93" i="110" a="1"/>
  <c r="O93" i="110" s="1"/>
  <c r="N93" i="110" a="1"/>
  <c r="N93" i="110" s="1"/>
  <c r="M93" i="110" a="1"/>
  <c r="M93" i="110" s="1"/>
  <c r="L93" i="110" a="1"/>
  <c r="L93" i="110" s="1"/>
  <c r="K93" i="110" a="1"/>
  <c r="K93" i="110" s="1"/>
  <c r="J93" i="110" a="1"/>
  <c r="J93" i="110" s="1"/>
  <c r="I93" i="110" a="1"/>
  <c r="I93" i="110" s="1"/>
  <c r="H93" i="110" a="1"/>
  <c r="H93" i="110" s="1"/>
  <c r="G93" i="110" a="1"/>
  <c r="G93" i="110" s="1"/>
  <c r="F93" i="110" a="1"/>
  <c r="F93" i="110" s="1"/>
  <c r="E93" i="110" a="1"/>
  <c r="E93" i="110" s="1"/>
  <c r="D93" i="110" a="1"/>
  <c r="D93" i="110" s="1"/>
  <c r="U92" i="110" a="1"/>
  <c r="U92" i="110" s="1"/>
  <c r="T92" i="110" a="1"/>
  <c r="T92" i="110" s="1"/>
  <c r="S92" i="110" a="1"/>
  <c r="S92" i="110" s="1"/>
  <c r="R92" i="110" a="1"/>
  <c r="R92" i="110" s="1"/>
  <c r="Q92" i="110" a="1"/>
  <c r="Q92" i="110" s="1"/>
  <c r="P92" i="110" a="1"/>
  <c r="P92" i="110" s="1"/>
  <c r="O92" i="110" a="1"/>
  <c r="O92" i="110" s="1"/>
  <c r="N92" i="110" a="1"/>
  <c r="N92" i="110" s="1"/>
  <c r="M92" i="110" a="1"/>
  <c r="M92" i="110" s="1"/>
  <c r="L92" i="110" a="1"/>
  <c r="L92" i="110" s="1"/>
  <c r="K92" i="110" a="1"/>
  <c r="K92" i="110" s="1"/>
  <c r="J92" i="110" a="1"/>
  <c r="J92" i="110" s="1"/>
  <c r="I92" i="110" a="1"/>
  <c r="I92" i="110" s="1"/>
  <c r="H92" i="110" a="1"/>
  <c r="H92" i="110" s="1"/>
  <c r="G92" i="110" a="1"/>
  <c r="G92" i="110" s="1"/>
  <c r="F92" i="110" a="1"/>
  <c r="F92" i="110" s="1"/>
  <c r="E92" i="110" a="1"/>
  <c r="E92" i="110" s="1"/>
  <c r="D92" i="110" a="1"/>
  <c r="D92" i="110" s="1"/>
  <c r="U91" i="110" a="1"/>
  <c r="U91" i="110" s="1"/>
  <c r="T91" i="110" a="1"/>
  <c r="T91" i="110" s="1"/>
  <c r="S91" i="110" a="1"/>
  <c r="S91" i="110" s="1"/>
  <c r="R91" i="110" a="1"/>
  <c r="R91" i="110" s="1"/>
  <c r="Q91" i="110" a="1"/>
  <c r="Q91" i="110" s="1"/>
  <c r="P91" i="110" a="1"/>
  <c r="P91" i="110" s="1"/>
  <c r="O91" i="110" a="1"/>
  <c r="O91" i="110" s="1"/>
  <c r="N91" i="110" a="1"/>
  <c r="N91" i="110" s="1"/>
  <c r="M91" i="110" a="1"/>
  <c r="M91" i="110" s="1"/>
  <c r="L91" i="110" a="1"/>
  <c r="L91" i="110" s="1"/>
  <c r="K91" i="110" a="1"/>
  <c r="K91" i="110" s="1"/>
  <c r="J91" i="110" a="1"/>
  <c r="J91" i="110" s="1"/>
  <c r="I91" i="110" a="1"/>
  <c r="I91" i="110" s="1"/>
  <c r="H91" i="110" a="1"/>
  <c r="H91" i="110" s="1"/>
  <c r="G91" i="110" a="1"/>
  <c r="G91" i="110" s="1"/>
  <c r="F91" i="110" a="1"/>
  <c r="F91" i="110" s="1"/>
  <c r="E91" i="110" a="1"/>
  <c r="E91" i="110" s="1"/>
  <c r="D91" i="110" a="1"/>
  <c r="D91" i="110" s="1"/>
  <c r="U90" i="110" a="1"/>
  <c r="U90" i="110" s="1"/>
  <c r="T90" i="110" a="1"/>
  <c r="T90" i="110" s="1"/>
  <c r="S90" i="110" a="1"/>
  <c r="S90" i="110" s="1"/>
  <c r="R90" i="110" a="1"/>
  <c r="R90" i="110" s="1"/>
  <c r="Q90" i="110" a="1"/>
  <c r="Q90" i="110" s="1"/>
  <c r="P90" i="110" a="1"/>
  <c r="P90" i="110" s="1"/>
  <c r="O90" i="110" a="1"/>
  <c r="O90" i="110" s="1"/>
  <c r="N90" i="110" a="1"/>
  <c r="N90" i="110" s="1"/>
  <c r="M90" i="110" a="1"/>
  <c r="M90" i="110" s="1"/>
  <c r="L90" i="110" a="1"/>
  <c r="L90" i="110" s="1"/>
  <c r="K90" i="110" a="1"/>
  <c r="K90" i="110" s="1"/>
  <c r="J90" i="110" a="1"/>
  <c r="J90" i="110" s="1"/>
  <c r="I90" i="110" a="1"/>
  <c r="I90" i="110" s="1"/>
  <c r="H90" i="110" a="1"/>
  <c r="H90" i="110" s="1"/>
  <c r="G90" i="110" a="1"/>
  <c r="G90" i="110" s="1"/>
  <c r="F90" i="110" a="1"/>
  <c r="F90" i="110" s="1"/>
  <c r="E90" i="110" a="1"/>
  <c r="E90" i="110" s="1"/>
  <c r="D90" i="110" a="1"/>
  <c r="D90" i="110" s="1"/>
  <c r="U89" i="110" a="1"/>
  <c r="U89" i="110" s="1"/>
  <c r="T89" i="110" a="1"/>
  <c r="T89" i="110" s="1"/>
  <c r="S89" i="110" a="1"/>
  <c r="S89" i="110" s="1"/>
  <c r="R89" i="110" a="1"/>
  <c r="R89" i="110" s="1"/>
  <c r="Q89" i="110" a="1"/>
  <c r="Q89" i="110" s="1"/>
  <c r="P89" i="110" a="1"/>
  <c r="P89" i="110" s="1"/>
  <c r="O89" i="110" a="1"/>
  <c r="O89" i="110" s="1"/>
  <c r="N89" i="110" a="1"/>
  <c r="N89" i="110" s="1"/>
  <c r="M89" i="110" a="1"/>
  <c r="M89" i="110" s="1"/>
  <c r="L89" i="110" a="1"/>
  <c r="L89" i="110" s="1"/>
  <c r="K89" i="110" a="1"/>
  <c r="K89" i="110" s="1"/>
  <c r="J89" i="110" a="1"/>
  <c r="J89" i="110" s="1"/>
  <c r="I89" i="110" a="1"/>
  <c r="I89" i="110" s="1"/>
  <c r="H89" i="110" a="1"/>
  <c r="H89" i="110" s="1"/>
  <c r="G89" i="110" a="1"/>
  <c r="G89" i="110" s="1"/>
  <c r="F89" i="110" a="1"/>
  <c r="F89" i="110" s="1"/>
  <c r="E89" i="110" a="1"/>
  <c r="E89" i="110" s="1"/>
  <c r="D89" i="110" a="1"/>
  <c r="D89" i="110" s="1"/>
  <c r="U88" i="110" a="1"/>
  <c r="U88" i="110" s="1"/>
  <c r="T88" i="110" a="1"/>
  <c r="T88" i="110" s="1"/>
  <c r="S88" i="110" a="1"/>
  <c r="S88" i="110" s="1"/>
  <c r="R88" i="110" a="1"/>
  <c r="R88" i="110" s="1"/>
  <c r="Q88" i="110" a="1"/>
  <c r="Q88" i="110" s="1"/>
  <c r="P88" i="110" a="1"/>
  <c r="P88" i="110" s="1"/>
  <c r="O88" i="110" a="1"/>
  <c r="O88" i="110" s="1"/>
  <c r="N88" i="110" a="1"/>
  <c r="N88" i="110" s="1"/>
  <c r="M88" i="110" a="1"/>
  <c r="M88" i="110" s="1"/>
  <c r="L88" i="110" a="1"/>
  <c r="L88" i="110" s="1"/>
  <c r="K88" i="110" a="1"/>
  <c r="K88" i="110" s="1"/>
  <c r="J88" i="110" a="1"/>
  <c r="J88" i="110" s="1"/>
  <c r="I88" i="110" a="1"/>
  <c r="I88" i="110" s="1"/>
  <c r="H88" i="110" a="1"/>
  <c r="H88" i="110" s="1"/>
  <c r="G88" i="110" a="1"/>
  <c r="G88" i="110" s="1"/>
  <c r="F88" i="110" a="1"/>
  <c r="F88" i="110" s="1"/>
  <c r="E88" i="110" a="1"/>
  <c r="E88" i="110" s="1"/>
  <c r="D88" i="110" a="1"/>
  <c r="D88" i="110" s="1"/>
  <c r="U87" i="110" a="1"/>
  <c r="U87" i="110" s="1"/>
  <c r="T87" i="110" a="1"/>
  <c r="T87" i="110" s="1"/>
  <c r="S87" i="110" a="1"/>
  <c r="S87" i="110" s="1"/>
  <c r="R87" i="110" a="1"/>
  <c r="R87" i="110" s="1"/>
  <c r="Q87" i="110" a="1"/>
  <c r="Q87" i="110" s="1"/>
  <c r="P87" i="110" a="1"/>
  <c r="P87" i="110" s="1"/>
  <c r="O87" i="110" a="1"/>
  <c r="O87" i="110" s="1"/>
  <c r="N87" i="110" a="1"/>
  <c r="N87" i="110" s="1"/>
  <c r="M87" i="110" a="1"/>
  <c r="M87" i="110" s="1"/>
  <c r="L87" i="110" a="1"/>
  <c r="L87" i="110" s="1"/>
  <c r="K87" i="110" a="1"/>
  <c r="K87" i="110" s="1"/>
  <c r="J87" i="110" a="1"/>
  <c r="J87" i="110" s="1"/>
  <c r="I87" i="110" a="1"/>
  <c r="I87" i="110" s="1"/>
  <c r="H87" i="110" a="1"/>
  <c r="H87" i="110" s="1"/>
  <c r="G87" i="110" a="1"/>
  <c r="G87" i="110" s="1"/>
  <c r="F87" i="110" a="1"/>
  <c r="F87" i="110" s="1"/>
  <c r="E87" i="110" a="1"/>
  <c r="E87" i="110" s="1"/>
  <c r="D87" i="110" a="1"/>
  <c r="D87" i="110" s="1"/>
  <c r="U86" i="110" a="1"/>
  <c r="U86" i="110" s="1"/>
  <c r="T86" i="110" a="1"/>
  <c r="T86" i="110" s="1"/>
  <c r="S86" i="110" a="1"/>
  <c r="S86" i="110" s="1"/>
  <c r="R86" i="110" a="1"/>
  <c r="R86" i="110" s="1"/>
  <c r="Q86" i="110" a="1"/>
  <c r="Q86" i="110" s="1"/>
  <c r="P86" i="110" a="1"/>
  <c r="P86" i="110" s="1"/>
  <c r="O86" i="110" a="1"/>
  <c r="O86" i="110" s="1"/>
  <c r="N86" i="110" a="1"/>
  <c r="N86" i="110" s="1"/>
  <c r="M86" i="110" a="1"/>
  <c r="M86" i="110" s="1"/>
  <c r="L86" i="110" a="1"/>
  <c r="L86" i="110" s="1"/>
  <c r="K86" i="110" a="1"/>
  <c r="K86" i="110" s="1"/>
  <c r="J86" i="110" a="1"/>
  <c r="J86" i="110" s="1"/>
  <c r="I86" i="110" a="1"/>
  <c r="I86" i="110" s="1"/>
  <c r="H86" i="110" a="1"/>
  <c r="H86" i="110" s="1"/>
  <c r="G86" i="110" a="1"/>
  <c r="G86" i="110" s="1"/>
  <c r="F86" i="110" a="1"/>
  <c r="F86" i="110" s="1"/>
  <c r="E86" i="110" a="1"/>
  <c r="E86" i="110" s="1"/>
  <c r="D86" i="110" a="1"/>
  <c r="D86" i="110" s="1"/>
  <c r="U85" i="110" a="1"/>
  <c r="U85" i="110" s="1"/>
  <c r="T85" i="110" a="1"/>
  <c r="T85" i="110" s="1"/>
  <c r="S85" i="110" a="1"/>
  <c r="S85" i="110" s="1"/>
  <c r="R85" i="110" a="1"/>
  <c r="R85" i="110" s="1"/>
  <c r="Q85" i="110" a="1"/>
  <c r="Q85" i="110" s="1"/>
  <c r="P85" i="110" a="1"/>
  <c r="P85" i="110" s="1"/>
  <c r="O85" i="110" a="1"/>
  <c r="O85" i="110" s="1"/>
  <c r="N85" i="110" a="1"/>
  <c r="N85" i="110" s="1"/>
  <c r="M85" i="110" a="1"/>
  <c r="M85" i="110" s="1"/>
  <c r="L85" i="110" a="1"/>
  <c r="L85" i="110" s="1"/>
  <c r="K85" i="110" a="1"/>
  <c r="K85" i="110" s="1"/>
  <c r="J85" i="110" a="1"/>
  <c r="J85" i="110" s="1"/>
  <c r="I85" i="110" a="1"/>
  <c r="I85" i="110" s="1"/>
  <c r="H85" i="110" a="1"/>
  <c r="H85" i="110" s="1"/>
  <c r="G85" i="110" a="1"/>
  <c r="G85" i="110" s="1"/>
  <c r="F85" i="110" a="1"/>
  <c r="F85" i="110" s="1"/>
  <c r="E85" i="110" a="1"/>
  <c r="E85" i="110" s="1"/>
  <c r="D85" i="110" a="1"/>
  <c r="D85" i="110" s="1"/>
  <c r="U84" i="110" a="1"/>
  <c r="U84" i="110" s="1"/>
  <c r="T84" i="110" a="1"/>
  <c r="T84" i="110" s="1"/>
  <c r="S84" i="110" a="1"/>
  <c r="S84" i="110" s="1"/>
  <c r="R84" i="110" a="1"/>
  <c r="R84" i="110" s="1"/>
  <c r="Q84" i="110" a="1"/>
  <c r="Q84" i="110" s="1"/>
  <c r="P84" i="110" a="1"/>
  <c r="P84" i="110" s="1"/>
  <c r="O84" i="110" a="1"/>
  <c r="O84" i="110" s="1"/>
  <c r="N84" i="110" a="1"/>
  <c r="N84" i="110" s="1"/>
  <c r="M84" i="110" a="1"/>
  <c r="M84" i="110" s="1"/>
  <c r="L84" i="110" a="1"/>
  <c r="L84" i="110" s="1"/>
  <c r="K84" i="110" a="1"/>
  <c r="K84" i="110" s="1"/>
  <c r="J84" i="110" a="1"/>
  <c r="J84" i="110" s="1"/>
  <c r="I84" i="110" a="1"/>
  <c r="I84" i="110" s="1"/>
  <c r="H84" i="110" a="1"/>
  <c r="H84" i="110" s="1"/>
  <c r="G84" i="110" a="1"/>
  <c r="G84" i="110" s="1"/>
  <c r="F84" i="110" a="1"/>
  <c r="F84" i="110" s="1"/>
  <c r="E84" i="110" a="1"/>
  <c r="E84" i="110" s="1"/>
  <c r="D84" i="110" a="1"/>
  <c r="D84" i="110" s="1"/>
  <c r="U83" i="110" a="1"/>
  <c r="U83" i="110" s="1"/>
  <c r="T83" i="110" a="1"/>
  <c r="T83" i="110" s="1"/>
  <c r="S83" i="110" a="1"/>
  <c r="S83" i="110" s="1"/>
  <c r="R83" i="110" a="1"/>
  <c r="R83" i="110" s="1"/>
  <c r="Q83" i="110" a="1"/>
  <c r="Q83" i="110" s="1"/>
  <c r="P83" i="110" a="1"/>
  <c r="P83" i="110" s="1"/>
  <c r="O83" i="110" a="1"/>
  <c r="O83" i="110" s="1"/>
  <c r="N83" i="110" a="1"/>
  <c r="N83" i="110" s="1"/>
  <c r="M83" i="110" a="1"/>
  <c r="M83" i="110" s="1"/>
  <c r="L83" i="110" a="1"/>
  <c r="L83" i="110" s="1"/>
  <c r="K83" i="110" a="1"/>
  <c r="K83" i="110" s="1"/>
  <c r="J83" i="110" a="1"/>
  <c r="J83" i="110" s="1"/>
  <c r="I83" i="110" a="1"/>
  <c r="I83" i="110" s="1"/>
  <c r="H83" i="110" a="1"/>
  <c r="H83" i="110" s="1"/>
  <c r="G83" i="110" a="1"/>
  <c r="G83" i="110" s="1"/>
  <c r="F83" i="110" a="1"/>
  <c r="F83" i="110" s="1"/>
  <c r="E83" i="110" a="1"/>
  <c r="E83" i="110" s="1"/>
  <c r="D83" i="110" a="1"/>
  <c r="D83" i="110" s="1"/>
  <c r="U82" i="110" a="1"/>
  <c r="U82" i="110" s="1"/>
  <c r="T82" i="110" a="1"/>
  <c r="T82" i="110" s="1"/>
  <c r="S82" i="110" a="1"/>
  <c r="S82" i="110" s="1"/>
  <c r="R82" i="110" a="1"/>
  <c r="R82" i="110" s="1"/>
  <c r="Q82" i="110" a="1"/>
  <c r="Q82" i="110" s="1"/>
  <c r="P82" i="110" a="1"/>
  <c r="P82" i="110" s="1"/>
  <c r="O82" i="110" a="1"/>
  <c r="O82" i="110" s="1"/>
  <c r="N82" i="110" a="1"/>
  <c r="N82" i="110" s="1"/>
  <c r="M82" i="110" a="1"/>
  <c r="M82" i="110" s="1"/>
  <c r="L82" i="110" a="1"/>
  <c r="L82" i="110" s="1"/>
  <c r="K82" i="110" a="1"/>
  <c r="K82" i="110" s="1"/>
  <c r="J82" i="110" a="1"/>
  <c r="J82" i="110" s="1"/>
  <c r="I82" i="110" a="1"/>
  <c r="I82" i="110" s="1"/>
  <c r="H82" i="110" a="1"/>
  <c r="H82" i="110" s="1"/>
  <c r="G82" i="110" a="1"/>
  <c r="G82" i="110" s="1"/>
  <c r="F82" i="110" a="1"/>
  <c r="F82" i="110" s="1"/>
  <c r="E82" i="110" a="1"/>
  <c r="E82" i="110" s="1"/>
  <c r="D82" i="110" a="1"/>
  <c r="D82" i="110" s="1"/>
  <c r="H52" i="69"/>
  <c r="W55" i="69"/>
  <c r="W54" i="69"/>
  <c r="W53" i="69"/>
  <c r="W52" i="69"/>
  <c r="W50" i="69"/>
  <c r="W49" i="69"/>
  <c r="W48" i="69"/>
  <c r="W47" i="69"/>
  <c r="E30" i="15"/>
  <c r="E33" i="15"/>
  <c r="E32" i="15"/>
  <c r="E31" i="15"/>
  <c r="G52" i="74"/>
  <c r="H53" i="69"/>
  <c r="S250" i="111" a="1"/>
  <c r="S250" i="111" s="1"/>
  <c r="R250" i="111" a="1"/>
  <c r="R250" i="111" s="1"/>
  <c r="Q250" i="111" a="1"/>
  <c r="Q250" i="111" s="1"/>
  <c r="P250" i="111" a="1"/>
  <c r="P250" i="111" s="1"/>
  <c r="O250" i="111" a="1"/>
  <c r="O250" i="111" s="1"/>
  <c r="N250" i="111" a="1"/>
  <c r="N250" i="111" s="1"/>
  <c r="M250" i="111" a="1"/>
  <c r="M250" i="111" s="1"/>
  <c r="L250" i="111" a="1"/>
  <c r="L250" i="111" s="1"/>
  <c r="K250" i="111" a="1"/>
  <c r="K250" i="111" s="1"/>
  <c r="J250" i="111" a="1"/>
  <c r="J250" i="111" s="1"/>
  <c r="I250" i="111" a="1"/>
  <c r="I250" i="111" s="1"/>
  <c r="H250" i="111" a="1"/>
  <c r="H250" i="111" s="1"/>
  <c r="G250" i="111" a="1"/>
  <c r="G250" i="111" s="1"/>
  <c r="F250" i="111" a="1"/>
  <c r="F250" i="111" s="1"/>
  <c r="E250" i="111" a="1"/>
  <c r="E250" i="111" s="1"/>
  <c r="D250" i="111" a="1"/>
  <c r="D250" i="111" s="1"/>
  <c r="S249" i="111" a="1"/>
  <c r="S249" i="111" s="1"/>
  <c r="R249" i="111" a="1"/>
  <c r="R249" i="111" s="1"/>
  <c r="Q249" i="111" a="1"/>
  <c r="Q249" i="111" s="1"/>
  <c r="P249" i="111" a="1"/>
  <c r="P249" i="111" s="1"/>
  <c r="O249" i="111" a="1"/>
  <c r="O249" i="111" s="1"/>
  <c r="N249" i="111" a="1"/>
  <c r="N249" i="111" s="1"/>
  <c r="M249" i="111" a="1"/>
  <c r="M249" i="111" s="1"/>
  <c r="L249" i="111" a="1"/>
  <c r="L249" i="111" s="1"/>
  <c r="K249" i="111" a="1"/>
  <c r="K249" i="111" s="1"/>
  <c r="J249" i="111" a="1"/>
  <c r="J249" i="111" s="1"/>
  <c r="I249" i="111" a="1"/>
  <c r="I249" i="111" s="1"/>
  <c r="H249" i="111" a="1"/>
  <c r="H249" i="111" s="1"/>
  <c r="G249" i="111" a="1"/>
  <c r="G249" i="111" s="1"/>
  <c r="F249" i="111" a="1"/>
  <c r="F249" i="111" s="1"/>
  <c r="E249" i="111" a="1"/>
  <c r="E249" i="111" s="1"/>
  <c r="D249" i="111" a="1"/>
  <c r="D249" i="111" s="1"/>
  <c r="S248" i="111" a="1"/>
  <c r="S248" i="111" s="1"/>
  <c r="R248" i="111" a="1"/>
  <c r="R248" i="111" s="1"/>
  <c r="Q248" i="111" a="1"/>
  <c r="Q248" i="111" s="1"/>
  <c r="P248" i="111" a="1"/>
  <c r="P248" i="111" s="1"/>
  <c r="O248" i="111" a="1"/>
  <c r="O248" i="111" s="1"/>
  <c r="N248" i="111" a="1"/>
  <c r="N248" i="111" s="1"/>
  <c r="M248" i="111" a="1"/>
  <c r="M248" i="111" s="1"/>
  <c r="L248" i="111" a="1"/>
  <c r="L248" i="111" s="1"/>
  <c r="K248" i="111" a="1"/>
  <c r="K248" i="111" s="1"/>
  <c r="J248" i="111" a="1"/>
  <c r="J248" i="111" s="1"/>
  <c r="I248" i="111" a="1"/>
  <c r="I248" i="111" s="1"/>
  <c r="H248" i="111" a="1"/>
  <c r="H248" i="111" s="1"/>
  <c r="G248" i="111" a="1"/>
  <c r="G248" i="111" s="1"/>
  <c r="F248" i="111" a="1"/>
  <c r="F248" i="111" s="1"/>
  <c r="E248" i="111" a="1"/>
  <c r="E248" i="111" s="1"/>
  <c r="D248" i="111" a="1"/>
  <c r="D248" i="111" s="1"/>
  <c r="S247" i="111" a="1"/>
  <c r="S247" i="111" s="1"/>
  <c r="R247" i="111" a="1"/>
  <c r="R247" i="111" s="1"/>
  <c r="Q247" i="111" a="1"/>
  <c r="Q247" i="111" s="1"/>
  <c r="P247" i="111" a="1"/>
  <c r="P247" i="111" s="1"/>
  <c r="O247" i="111" a="1"/>
  <c r="O247" i="111" s="1"/>
  <c r="N247" i="111" a="1"/>
  <c r="N247" i="111" s="1"/>
  <c r="M247" i="111" a="1"/>
  <c r="M247" i="111" s="1"/>
  <c r="L247" i="111" a="1"/>
  <c r="L247" i="111" s="1"/>
  <c r="K247" i="111" a="1"/>
  <c r="K247" i="111" s="1"/>
  <c r="J247" i="111" a="1"/>
  <c r="J247" i="111" s="1"/>
  <c r="I247" i="111" a="1"/>
  <c r="I247" i="111" s="1"/>
  <c r="H247" i="111" a="1"/>
  <c r="H247" i="111" s="1"/>
  <c r="G247" i="111" a="1"/>
  <c r="G247" i="111" s="1"/>
  <c r="F247" i="111" a="1"/>
  <c r="F247" i="111" s="1"/>
  <c r="E247" i="111" a="1"/>
  <c r="E247" i="111" s="1"/>
  <c r="D247" i="111" a="1"/>
  <c r="D247" i="111" s="1"/>
  <c r="S246" i="111" a="1"/>
  <c r="S246" i="111" s="1"/>
  <c r="R246" i="111" a="1"/>
  <c r="R246" i="111" s="1"/>
  <c r="Q246" i="111" a="1"/>
  <c r="Q246" i="111" s="1"/>
  <c r="P246" i="111" a="1"/>
  <c r="P246" i="111" s="1"/>
  <c r="O246" i="111" a="1"/>
  <c r="O246" i="111" s="1"/>
  <c r="N246" i="111" a="1"/>
  <c r="N246" i="111" s="1"/>
  <c r="M246" i="111" a="1"/>
  <c r="M246" i="111" s="1"/>
  <c r="L246" i="111" a="1"/>
  <c r="L246" i="111" s="1"/>
  <c r="K246" i="111" a="1"/>
  <c r="K246" i="111" s="1"/>
  <c r="J246" i="111" a="1"/>
  <c r="J246" i="111" s="1"/>
  <c r="I246" i="111" a="1"/>
  <c r="I246" i="111" s="1"/>
  <c r="H246" i="111" a="1"/>
  <c r="H246" i="111" s="1"/>
  <c r="G246" i="111" a="1"/>
  <c r="G246" i="111" s="1"/>
  <c r="F246" i="111" a="1"/>
  <c r="F246" i="111" s="1"/>
  <c r="E246" i="111" a="1"/>
  <c r="E246" i="111" s="1"/>
  <c r="D246" i="111" a="1"/>
  <c r="D246" i="111" s="1"/>
  <c r="S245" i="111" a="1"/>
  <c r="S245" i="111" s="1"/>
  <c r="R245" i="111" a="1"/>
  <c r="R245" i="111" s="1"/>
  <c r="Q245" i="111" a="1"/>
  <c r="Q245" i="111" s="1"/>
  <c r="P245" i="111" a="1"/>
  <c r="P245" i="111" s="1"/>
  <c r="O245" i="111" a="1"/>
  <c r="O245" i="111" s="1"/>
  <c r="N245" i="111" a="1"/>
  <c r="N245" i="111" s="1"/>
  <c r="M245" i="111" a="1"/>
  <c r="M245" i="111" s="1"/>
  <c r="L245" i="111" a="1"/>
  <c r="L245" i="111" s="1"/>
  <c r="K245" i="111" a="1"/>
  <c r="K245" i="111" s="1"/>
  <c r="J245" i="111" a="1"/>
  <c r="J245" i="111" s="1"/>
  <c r="I245" i="111" a="1"/>
  <c r="I245" i="111" s="1"/>
  <c r="H245" i="111" a="1"/>
  <c r="H245" i="111" s="1"/>
  <c r="G245" i="111" a="1"/>
  <c r="G245" i="111" s="1"/>
  <c r="F245" i="111" a="1"/>
  <c r="F245" i="111" s="1"/>
  <c r="E245" i="111" a="1"/>
  <c r="E245" i="111" s="1"/>
  <c r="D245" i="111" a="1"/>
  <c r="D245" i="111" s="1"/>
  <c r="S244" i="111" a="1"/>
  <c r="S244" i="111" s="1"/>
  <c r="R244" i="111" a="1"/>
  <c r="R244" i="111" s="1"/>
  <c r="Q244" i="111" a="1"/>
  <c r="Q244" i="111" s="1"/>
  <c r="P244" i="111" a="1"/>
  <c r="P244" i="111" s="1"/>
  <c r="O244" i="111" a="1"/>
  <c r="O244" i="111" s="1"/>
  <c r="N244" i="111" a="1"/>
  <c r="N244" i="111" s="1"/>
  <c r="M244" i="111" a="1"/>
  <c r="M244" i="111" s="1"/>
  <c r="L244" i="111" a="1"/>
  <c r="L244" i="111" s="1"/>
  <c r="K244" i="111" a="1"/>
  <c r="K244" i="111" s="1"/>
  <c r="J244" i="111" a="1"/>
  <c r="J244" i="111" s="1"/>
  <c r="I244" i="111" a="1"/>
  <c r="I244" i="111" s="1"/>
  <c r="H244" i="111" a="1"/>
  <c r="H244" i="111" s="1"/>
  <c r="G244" i="111" a="1"/>
  <c r="G244" i="111" s="1"/>
  <c r="F244" i="111" a="1"/>
  <c r="F244" i="111" s="1"/>
  <c r="E244" i="111" a="1"/>
  <c r="E244" i="111" s="1"/>
  <c r="D244" i="111" a="1"/>
  <c r="D244" i="111" s="1"/>
  <c r="S243" i="111" a="1"/>
  <c r="S243" i="111" s="1"/>
  <c r="R243" i="111" a="1"/>
  <c r="R243" i="111" s="1"/>
  <c r="Q243" i="111" a="1"/>
  <c r="Q243" i="111" s="1"/>
  <c r="P243" i="111" a="1"/>
  <c r="P243" i="111" s="1"/>
  <c r="O243" i="111" a="1"/>
  <c r="O243" i="111" s="1"/>
  <c r="N243" i="111" a="1"/>
  <c r="N243" i="111" s="1"/>
  <c r="M243" i="111" a="1"/>
  <c r="M243" i="111" s="1"/>
  <c r="L243" i="111" a="1"/>
  <c r="L243" i="111" s="1"/>
  <c r="K243" i="111" a="1"/>
  <c r="K243" i="111" s="1"/>
  <c r="J243" i="111" a="1"/>
  <c r="J243" i="111" s="1"/>
  <c r="I243" i="111" a="1"/>
  <c r="I243" i="111" s="1"/>
  <c r="H243" i="111" a="1"/>
  <c r="H243" i="111" s="1"/>
  <c r="G243" i="111" a="1"/>
  <c r="G243" i="111" s="1"/>
  <c r="F243" i="111" a="1"/>
  <c r="F243" i="111" s="1"/>
  <c r="E243" i="111" a="1"/>
  <c r="E243" i="111" s="1"/>
  <c r="D243" i="111" a="1"/>
  <c r="D243" i="111" s="1"/>
  <c r="S242" i="111" a="1"/>
  <c r="S242" i="111" s="1"/>
  <c r="R242" i="111" a="1"/>
  <c r="R242" i="111" s="1"/>
  <c r="Q242" i="111" a="1"/>
  <c r="Q242" i="111" s="1"/>
  <c r="P242" i="111" a="1"/>
  <c r="P242" i="111" s="1"/>
  <c r="O242" i="111" a="1"/>
  <c r="O242" i="111" s="1"/>
  <c r="N242" i="111" a="1"/>
  <c r="N242" i="111" s="1"/>
  <c r="M242" i="111" a="1"/>
  <c r="M242" i="111" s="1"/>
  <c r="L242" i="111" a="1"/>
  <c r="L242" i="111" s="1"/>
  <c r="K242" i="111" a="1"/>
  <c r="K242" i="111" s="1"/>
  <c r="J242" i="111" a="1"/>
  <c r="J242" i="111" s="1"/>
  <c r="I242" i="111" a="1"/>
  <c r="I242" i="111" s="1"/>
  <c r="H242" i="111" a="1"/>
  <c r="H242" i="111" s="1"/>
  <c r="G242" i="111" a="1"/>
  <c r="G242" i="111" s="1"/>
  <c r="F242" i="111" a="1"/>
  <c r="F242" i="111" s="1"/>
  <c r="E242" i="111" a="1"/>
  <c r="E242" i="111" s="1"/>
  <c r="D242" i="111" a="1"/>
  <c r="D242" i="111" s="1"/>
  <c r="S241" i="111" a="1"/>
  <c r="S241" i="111" s="1"/>
  <c r="R241" i="111" a="1"/>
  <c r="R241" i="111" s="1"/>
  <c r="Q241" i="111" a="1"/>
  <c r="Q241" i="111" s="1"/>
  <c r="P241" i="111" a="1"/>
  <c r="P241" i="111" s="1"/>
  <c r="O241" i="111" a="1"/>
  <c r="O241" i="111" s="1"/>
  <c r="N241" i="111" a="1"/>
  <c r="N241" i="111" s="1"/>
  <c r="M241" i="111" a="1"/>
  <c r="M241" i="111" s="1"/>
  <c r="L241" i="111" a="1"/>
  <c r="L241" i="111" s="1"/>
  <c r="K241" i="111" a="1"/>
  <c r="K241" i="111" s="1"/>
  <c r="J241" i="111" a="1"/>
  <c r="J241" i="111" s="1"/>
  <c r="I241" i="111" a="1"/>
  <c r="I241" i="111" s="1"/>
  <c r="H241" i="111" a="1"/>
  <c r="H241" i="111" s="1"/>
  <c r="G241" i="111" a="1"/>
  <c r="G241" i="111" s="1"/>
  <c r="F241" i="111" a="1"/>
  <c r="F241" i="111" s="1"/>
  <c r="E241" i="111" a="1"/>
  <c r="E241" i="111" s="1"/>
  <c r="D241" i="111" a="1"/>
  <c r="D241" i="111" s="1"/>
  <c r="S240" i="111" a="1"/>
  <c r="S240" i="111" s="1"/>
  <c r="R240" i="111" a="1"/>
  <c r="R240" i="111" s="1"/>
  <c r="Q240" i="111" a="1"/>
  <c r="Q240" i="111" s="1"/>
  <c r="P240" i="111" a="1"/>
  <c r="P240" i="111" s="1"/>
  <c r="O240" i="111" a="1"/>
  <c r="O240" i="111" s="1"/>
  <c r="N240" i="111" a="1"/>
  <c r="N240" i="111" s="1"/>
  <c r="M240" i="111" a="1"/>
  <c r="M240" i="111" s="1"/>
  <c r="L240" i="111" a="1"/>
  <c r="L240" i="111" s="1"/>
  <c r="K240" i="111" a="1"/>
  <c r="K240" i="111" s="1"/>
  <c r="J240" i="111" a="1"/>
  <c r="J240" i="111" s="1"/>
  <c r="I240" i="111" a="1"/>
  <c r="I240" i="111" s="1"/>
  <c r="H240" i="111" a="1"/>
  <c r="H240" i="111" s="1"/>
  <c r="G240" i="111" a="1"/>
  <c r="G240" i="111" s="1"/>
  <c r="F240" i="111" a="1"/>
  <c r="F240" i="111" s="1"/>
  <c r="E240" i="111" a="1"/>
  <c r="E240" i="111" s="1"/>
  <c r="D240" i="111" a="1"/>
  <c r="D240" i="111" s="1"/>
  <c r="S239" i="111" a="1"/>
  <c r="S239" i="111" s="1"/>
  <c r="R239" i="111" a="1"/>
  <c r="R239" i="111" s="1"/>
  <c r="Q239" i="111" a="1"/>
  <c r="Q239" i="111" s="1"/>
  <c r="P239" i="111" a="1"/>
  <c r="P239" i="111" s="1"/>
  <c r="O239" i="111" a="1"/>
  <c r="O239" i="111" s="1"/>
  <c r="N239" i="111" a="1"/>
  <c r="N239" i="111" s="1"/>
  <c r="M239" i="111" a="1"/>
  <c r="M239" i="111" s="1"/>
  <c r="L239" i="111" a="1"/>
  <c r="L239" i="111" s="1"/>
  <c r="K239" i="111" a="1"/>
  <c r="K239" i="111" s="1"/>
  <c r="J239" i="111" a="1"/>
  <c r="J239" i="111" s="1"/>
  <c r="I239" i="111" a="1"/>
  <c r="I239" i="111" s="1"/>
  <c r="H239" i="111" a="1"/>
  <c r="H239" i="111" s="1"/>
  <c r="G239" i="111" a="1"/>
  <c r="G239" i="111" s="1"/>
  <c r="F239" i="111" a="1"/>
  <c r="F239" i="111" s="1"/>
  <c r="E239" i="111" a="1"/>
  <c r="E239" i="111" s="1"/>
  <c r="D239" i="111" a="1"/>
  <c r="D239" i="111" s="1"/>
  <c r="S238" i="111" a="1"/>
  <c r="S238" i="111" s="1"/>
  <c r="R238" i="111" a="1"/>
  <c r="R238" i="111" s="1"/>
  <c r="Q238" i="111" a="1"/>
  <c r="Q238" i="111" s="1"/>
  <c r="P238" i="111" a="1"/>
  <c r="P238" i="111" s="1"/>
  <c r="O238" i="111" a="1"/>
  <c r="O238" i="111" s="1"/>
  <c r="N238" i="111" a="1"/>
  <c r="N238" i="111" s="1"/>
  <c r="M238" i="111" a="1"/>
  <c r="M238" i="111" s="1"/>
  <c r="L238" i="111" a="1"/>
  <c r="L238" i="111" s="1"/>
  <c r="K238" i="111" a="1"/>
  <c r="K238" i="111" s="1"/>
  <c r="J238" i="111" a="1"/>
  <c r="J238" i="111" s="1"/>
  <c r="I238" i="111" a="1"/>
  <c r="I238" i="111" s="1"/>
  <c r="H238" i="111" a="1"/>
  <c r="H238" i="111" s="1"/>
  <c r="G238" i="111" a="1"/>
  <c r="G238" i="111" s="1"/>
  <c r="F238" i="111" a="1"/>
  <c r="F238" i="111" s="1"/>
  <c r="E238" i="111" a="1"/>
  <c r="E238" i="111" s="1"/>
  <c r="D238" i="111" a="1"/>
  <c r="D238" i="111" s="1"/>
  <c r="S237" i="111" a="1"/>
  <c r="S237" i="111" s="1"/>
  <c r="R237" i="111" a="1"/>
  <c r="R237" i="111" s="1"/>
  <c r="Q237" i="111" a="1"/>
  <c r="Q237" i="111" s="1"/>
  <c r="P237" i="111" a="1"/>
  <c r="P237" i="111" s="1"/>
  <c r="O237" i="111" a="1"/>
  <c r="O237" i="111" s="1"/>
  <c r="N237" i="111" a="1"/>
  <c r="N237" i="111" s="1"/>
  <c r="M237" i="111" a="1"/>
  <c r="M237" i="111" s="1"/>
  <c r="L237" i="111" a="1"/>
  <c r="L237" i="111" s="1"/>
  <c r="K237" i="111" a="1"/>
  <c r="K237" i="111" s="1"/>
  <c r="J237" i="111" a="1"/>
  <c r="J237" i="111" s="1"/>
  <c r="I237" i="111" a="1"/>
  <c r="I237" i="111" s="1"/>
  <c r="H237" i="111" a="1"/>
  <c r="H237" i="111" s="1"/>
  <c r="G237" i="111" a="1"/>
  <c r="G237" i="111" s="1"/>
  <c r="F237" i="111" a="1"/>
  <c r="F237" i="111" s="1"/>
  <c r="E237" i="111" a="1"/>
  <c r="E237" i="111" s="1"/>
  <c r="D237" i="111" a="1"/>
  <c r="D237" i="111" s="1"/>
  <c r="S236" i="111" a="1"/>
  <c r="S236" i="111" s="1"/>
  <c r="R236" i="111" a="1"/>
  <c r="R236" i="111" s="1"/>
  <c r="Q236" i="111" a="1"/>
  <c r="Q236" i="111" s="1"/>
  <c r="P236" i="111" a="1"/>
  <c r="P236" i="111" s="1"/>
  <c r="O236" i="111" a="1"/>
  <c r="O236" i="111" s="1"/>
  <c r="N236" i="111" a="1"/>
  <c r="N236" i="111" s="1"/>
  <c r="M236" i="111" a="1"/>
  <c r="M236" i="111" s="1"/>
  <c r="L236" i="111" a="1"/>
  <c r="L236" i="111" s="1"/>
  <c r="K236" i="111" a="1"/>
  <c r="K236" i="111" s="1"/>
  <c r="J236" i="111" a="1"/>
  <c r="J236" i="111" s="1"/>
  <c r="I236" i="111" a="1"/>
  <c r="I236" i="111" s="1"/>
  <c r="H236" i="111" a="1"/>
  <c r="H236" i="111" s="1"/>
  <c r="G236" i="111" a="1"/>
  <c r="G236" i="111" s="1"/>
  <c r="F236" i="111" a="1"/>
  <c r="F236" i="111" s="1"/>
  <c r="E236" i="111" a="1"/>
  <c r="E236" i="111" s="1"/>
  <c r="D236" i="111" a="1"/>
  <c r="D236" i="111" s="1"/>
  <c r="S235" i="111" a="1"/>
  <c r="S235" i="111" s="1"/>
  <c r="R235" i="111" a="1"/>
  <c r="R235" i="111" s="1"/>
  <c r="Q235" i="111" a="1"/>
  <c r="Q235" i="111" s="1"/>
  <c r="P235" i="111" a="1"/>
  <c r="P235" i="111" s="1"/>
  <c r="O235" i="111" a="1"/>
  <c r="O235" i="111" s="1"/>
  <c r="N235" i="111" a="1"/>
  <c r="N235" i="111" s="1"/>
  <c r="M235" i="111" a="1"/>
  <c r="M235" i="111" s="1"/>
  <c r="L235" i="111" a="1"/>
  <c r="L235" i="111" s="1"/>
  <c r="K235" i="111" a="1"/>
  <c r="K235" i="111" s="1"/>
  <c r="J235" i="111" a="1"/>
  <c r="J235" i="111" s="1"/>
  <c r="I235" i="111" a="1"/>
  <c r="I235" i="111" s="1"/>
  <c r="H235" i="111" a="1"/>
  <c r="H235" i="111" s="1"/>
  <c r="G235" i="111" a="1"/>
  <c r="G235" i="111" s="1"/>
  <c r="F235" i="111" a="1"/>
  <c r="F235" i="111" s="1"/>
  <c r="E235" i="111" a="1"/>
  <c r="E235" i="111" s="1"/>
  <c r="D235" i="111" a="1"/>
  <c r="D235" i="111" s="1"/>
  <c r="S234" i="111" a="1"/>
  <c r="S234" i="111" s="1"/>
  <c r="R234" i="111" a="1"/>
  <c r="R234" i="111" s="1"/>
  <c r="Q234" i="111" a="1"/>
  <c r="Q234" i="111" s="1"/>
  <c r="P234" i="111" a="1"/>
  <c r="P234" i="111" s="1"/>
  <c r="O234" i="111" a="1"/>
  <c r="O234" i="111" s="1"/>
  <c r="N234" i="111" a="1"/>
  <c r="N234" i="111" s="1"/>
  <c r="M234" i="111" a="1"/>
  <c r="M234" i="111" s="1"/>
  <c r="L234" i="111" a="1"/>
  <c r="L234" i="111" s="1"/>
  <c r="K234" i="111" a="1"/>
  <c r="K234" i="111" s="1"/>
  <c r="J234" i="111" a="1"/>
  <c r="J234" i="111" s="1"/>
  <c r="I234" i="111" a="1"/>
  <c r="I234" i="111" s="1"/>
  <c r="H234" i="111" a="1"/>
  <c r="H234" i="111" s="1"/>
  <c r="G234" i="111" a="1"/>
  <c r="G234" i="111" s="1"/>
  <c r="F234" i="111" a="1"/>
  <c r="F234" i="111" s="1"/>
  <c r="E234" i="111" a="1"/>
  <c r="E234" i="111" s="1"/>
  <c r="D234" i="111" a="1"/>
  <c r="D234" i="111" s="1"/>
  <c r="S233" i="111" a="1"/>
  <c r="S233" i="111" s="1"/>
  <c r="R233" i="111" a="1"/>
  <c r="R233" i="111" s="1"/>
  <c r="Q233" i="111" a="1"/>
  <c r="Q233" i="111" s="1"/>
  <c r="P233" i="111" a="1"/>
  <c r="P233" i="111" s="1"/>
  <c r="O233" i="111" a="1"/>
  <c r="O233" i="111" s="1"/>
  <c r="N233" i="111" a="1"/>
  <c r="N233" i="111" s="1"/>
  <c r="M233" i="111" a="1"/>
  <c r="M233" i="111" s="1"/>
  <c r="L233" i="111" a="1"/>
  <c r="L233" i="111" s="1"/>
  <c r="K233" i="111" a="1"/>
  <c r="K233" i="111" s="1"/>
  <c r="J233" i="111" a="1"/>
  <c r="J233" i="111" s="1"/>
  <c r="I233" i="111" a="1"/>
  <c r="I233" i="111" s="1"/>
  <c r="H233" i="111" a="1"/>
  <c r="H233" i="111" s="1"/>
  <c r="G233" i="111" a="1"/>
  <c r="G233" i="111" s="1"/>
  <c r="F233" i="111" a="1"/>
  <c r="F233" i="111" s="1"/>
  <c r="E233" i="111" a="1"/>
  <c r="E233" i="111" s="1"/>
  <c r="D233" i="111" a="1"/>
  <c r="D233" i="111" s="1"/>
  <c r="S232" i="111" a="1"/>
  <c r="S232" i="111" s="1"/>
  <c r="R232" i="111" a="1"/>
  <c r="R232" i="111" s="1"/>
  <c r="Q232" i="111" a="1"/>
  <c r="Q232" i="111" s="1"/>
  <c r="P232" i="111" a="1"/>
  <c r="P232" i="111" s="1"/>
  <c r="O232" i="111" a="1"/>
  <c r="O232" i="111" s="1"/>
  <c r="N232" i="111" a="1"/>
  <c r="N232" i="111" s="1"/>
  <c r="M232" i="111" a="1"/>
  <c r="M232" i="111" s="1"/>
  <c r="L232" i="111" a="1"/>
  <c r="L232" i="111" s="1"/>
  <c r="K232" i="111" a="1"/>
  <c r="K232" i="111" s="1"/>
  <c r="J232" i="111" a="1"/>
  <c r="J232" i="111" s="1"/>
  <c r="I232" i="111" a="1"/>
  <c r="I232" i="111" s="1"/>
  <c r="H232" i="111" a="1"/>
  <c r="H232" i="111" s="1"/>
  <c r="G232" i="111" a="1"/>
  <c r="G232" i="111" s="1"/>
  <c r="F232" i="111" a="1"/>
  <c r="F232" i="111" s="1"/>
  <c r="E232" i="111" a="1"/>
  <c r="E232" i="111" s="1"/>
  <c r="D232" i="111" a="1"/>
  <c r="D232" i="111" s="1"/>
  <c r="D229" i="111"/>
  <c r="D229" i="111" a="1"/>
  <c r="D228" i="111" a="1"/>
  <c r="D228" i="111" s="1"/>
  <c r="D227" i="111" a="1"/>
  <c r="D227" i="111" s="1"/>
  <c r="E224" i="111" a="1"/>
  <c r="E224" i="111" s="1"/>
  <c r="D224" i="111" a="1"/>
  <c r="D224" i="111" s="1"/>
  <c r="E223" i="111" a="1"/>
  <c r="E223" i="111" s="1"/>
  <c r="D223" i="111" a="1"/>
  <c r="D223" i="111" s="1"/>
  <c r="E222" i="111" a="1"/>
  <c r="E222" i="111" s="1"/>
  <c r="D222" i="111" a="1"/>
  <c r="D222" i="111" s="1"/>
  <c r="E221" i="111" a="1"/>
  <c r="E221" i="111" s="1"/>
  <c r="D221" i="111" a="1"/>
  <c r="D221" i="111" s="1"/>
  <c r="E220" i="111" a="1"/>
  <c r="E220" i="111" s="1"/>
  <c r="D220" i="111" a="1"/>
  <c r="D220" i="111" s="1"/>
  <c r="E219" i="111" a="1"/>
  <c r="E219" i="111" s="1"/>
  <c r="D219" i="111" a="1"/>
  <c r="D219" i="111" s="1"/>
  <c r="E218" i="111" a="1"/>
  <c r="E218" i="111" s="1"/>
  <c r="D218" i="111" a="1"/>
  <c r="D218" i="111" s="1"/>
  <c r="E217" i="111" a="1"/>
  <c r="E217" i="111" s="1"/>
  <c r="D217" i="111" a="1"/>
  <c r="D217" i="111" s="1"/>
  <c r="E216" i="111" a="1"/>
  <c r="E216" i="111" s="1"/>
  <c r="D216" i="111" a="1"/>
  <c r="D216" i="111" s="1"/>
  <c r="E215" i="111" a="1"/>
  <c r="E215" i="111" s="1"/>
  <c r="D215" i="111" a="1"/>
  <c r="D215" i="111" s="1"/>
  <c r="E214" i="111" a="1"/>
  <c r="E214" i="111" s="1"/>
  <c r="D214" i="111" a="1"/>
  <c r="D214" i="111" s="1"/>
  <c r="E213" i="111" a="1"/>
  <c r="E213" i="111" s="1"/>
  <c r="D213" i="111" a="1"/>
  <c r="D213" i="111" s="1"/>
  <c r="D211" i="111" a="1"/>
  <c r="D211" i="111" s="1"/>
  <c r="E208" i="111" a="1"/>
  <c r="E208" i="111" s="1"/>
  <c r="D208" i="111" a="1"/>
  <c r="D208" i="111" s="1"/>
  <c r="E207" i="111" a="1"/>
  <c r="E207" i="111" s="1"/>
  <c r="D207" i="111" a="1"/>
  <c r="D207" i="111" s="1"/>
  <c r="D205" i="111" a="1"/>
  <c r="D205" i="111" s="1"/>
  <c r="D204" i="111" a="1"/>
  <c r="D204" i="111" s="1"/>
  <c r="D203" i="111" a="1"/>
  <c r="D203" i="111" s="1"/>
  <c r="D202" i="111" a="1"/>
  <c r="D202" i="111" s="1"/>
  <c r="H199" i="111" a="1"/>
  <c r="H199" i="111" s="1"/>
  <c r="G199" i="111" a="1"/>
  <c r="G199" i="111" s="1"/>
  <c r="F199" i="111" a="1"/>
  <c r="F199" i="111" s="1"/>
  <c r="E199" i="111" a="1"/>
  <c r="E199" i="111" s="1"/>
  <c r="D199" i="111" a="1"/>
  <c r="D199" i="111" s="1"/>
  <c r="H198" i="111" a="1"/>
  <c r="H198" i="111" s="1"/>
  <c r="G198" i="111" a="1"/>
  <c r="G198" i="111" s="1"/>
  <c r="F198" i="111" a="1"/>
  <c r="F198" i="111" s="1"/>
  <c r="E198" i="111" a="1"/>
  <c r="E198" i="111" s="1"/>
  <c r="D198" i="111" a="1"/>
  <c r="D198" i="111" s="1"/>
  <c r="H197" i="111" a="1"/>
  <c r="H197" i="111" s="1"/>
  <c r="G197" i="111" a="1"/>
  <c r="G197" i="111" s="1"/>
  <c r="F197" i="111" a="1"/>
  <c r="F197" i="111" s="1"/>
  <c r="E197" i="111" a="1"/>
  <c r="E197" i="111" s="1"/>
  <c r="D197" i="111" a="1"/>
  <c r="D197" i="111" s="1"/>
  <c r="H196" i="111" a="1"/>
  <c r="H196" i="111" s="1"/>
  <c r="G196" i="111" a="1"/>
  <c r="G196" i="111" s="1"/>
  <c r="F196" i="111" a="1"/>
  <c r="F196" i="111" s="1"/>
  <c r="E196" i="111" a="1"/>
  <c r="E196" i="111" s="1"/>
  <c r="D196" i="111" a="1"/>
  <c r="D196" i="111" s="1"/>
  <c r="H195" i="111" a="1"/>
  <c r="H195" i="111" s="1"/>
  <c r="G195" i="111" a="1"/>
  <c r="G195" i="111" s="1"/>
  <c r="F195" i="111" a="1"/>
  <c r="F195" i="111" s="1"/>
  <c r="E195" i="111" a="1"/>
  <c r="E195" i="111" s="1"/>
  <c r="D195" i="111" a="1"/>
  <c r="D195" i="111" s="1"/>
  <c r="H194" i="111" a="1"/>
  <c r="H194" i="111" s="1"/>
  <c r="G194" i="111" a="1"/>
  <c r="G194" i="111" s="1"/>
  <c r="F194" i="111" a="1"/>
  <c r="F194" i="111" s="1"/>
  <c r="E194" i="111" a="1"/>
  <c r="E194" i="111" s="1"/>
  <c r="D194" i="111" a="1"/>
  <c r="D194" i="111" s="1"/>
  <c r="H193" i="111" a="1"/>
  <c r="H193" i="111" s="1"/>
  <c r="G193" i="111" a="1"/>
  <c r="G193" i="111" s="1"/>
  <c r="F193" i="111" a="1"/>
  <c r="F193" i="111" s="1"/>
  <c r="E193" i="111" a="1"/>
  <c r="E193" i="111" s="1"/>
  <c r="D193" i="111" a="1"/>
  <c r="D193" i="111" s="1"/>
  <c r="H192" i="111" a="1"/>
  <c r="H192" i="111" s="1"/>
  <c r="G192" i="111" a="1"/>
  <c r="G192" i="111" s="1"/>
  <c r="F192" i="111" a="1"/>
  <c r="F192" i="111" s="1"/>
  <c r="E192" i="111" a="1"/>
  <c r="E192" i="111" s="1"/>
  <c r="D192" i="111" a="1"/>
  <c r="D192" i="111" s="1"/>
  <c r="H191" i="111" a="1"/>
  <c r="H191" i="111" s="1"/>
  <c r="G191" i="111" a="1"/>
  <c r="G191" i="111" s="1"/>
  <c r="F191" i="111" a="1"/>
  <c r="F191" i="111" s="1"/>
  <c r="E191" i="111" a="1"/>
  <c r="E191" i="111" s="1"/>
  <c r="D191" i="111" a="1"/>
  <c r="D191" i="111" s="1"/>
  <c r="H190" i="111" a="1"/>
  <c r="H190" i="111" s="1"/>
  <c r="G190" i="111" a="1"/>
  <c r="G190" i="111" s="1"/>
  <c r="F190" i="111" a="1"/>
  <c r="F190" i="111" s="1"/>
  <c r="E190" i="111" a="1"/>
  <c r="E190" i="111" s="1"/>
  <c r="D190" i="111" a="1"/>
  <c r="D190" i="111" s="1"/>
  <c r="H189" i="111" a="1"/>
  <c r="H189" i="111" s="1"/>
  <c r="G189" i="111" a="1"/>
  <c r="G189" i="111" s="1"/>
  <c r="F189" i="111" a="1"/>
  <c r="F189" i="111" s="1"/>
  <c r="E189" i="111" a="1"/>
  <c r="E189" i="111" s="1"/>
  <c r="D189" i="111" a="1"/>
  <c r="D189" i="111" s="1"/>
  <c r="H188" i="111" a="1"/>
  <c r="H188" i="111" s="1"/>
  <c r="G188" i="111" a="1"/>
  <c r="G188" i="111" s="1"/>
  <c r="F188" i="111" a="1"/>
  <c r="F188" i="111" s="1"/>
  <c r="E188" i="111" a="1"/>
  <c r="E188" i="111" s="1"/>
  <c r="D188" i="111" a="1"/>
  <c r="D188" i="111" s="1"/>
  <c r="H187" i="111" a="1"/>
  <c r="H187" i="111" s="1"/>
  <c r="G187" i="111" a="1"/>
  <c r="G187" i="111" s="1"/>
  <c r="F187" i="111" a="1"/>
  <c r="F187" i="111" s="1"/>
  <c r="E187" i="111" a="1"/>
  <c r="E187" i="111" s="1"/>
  <c r="D187" i="111" a="1"/>
  <c r="D187" i="111" s="1"/>
  <c r="D181" i="111" a="1"/>
  <c r="D181" i="111" s="1"/>
  <c r="D180" i="111" a="1"/>
  <c r="D180" i="111" s="1"/>
  <c r="D179" i="111" a="1"/>
  <c r="D179" i="111" s="1"/>
  <c r="D178" i="111" a="1"/>
  <c r="D178" i="111" s="1"/>
  <c r="E175" i="111"/>
  <c r="E175" i="111" a="1"/>
  <c r="D175" i="111" a="1"/>
  <c r="D175" i="111" s="1"/>
  <c r="D174" i="111" a="1"/>
  <c r="D174" i="111" s="1"/>
  <c r="D173" i="111" a="1"/>
  <c r="D173" i="111" s="1"/>
  <c r="D170" i="111" a="1"/>
  <c r="D170" i="111" s="1"/>
  <c r="D169" i="111" a="1"/>
  <c r="D169" i="111" s="1"/>
  <c r="D168" i="111" a="1"/>
  <c r="D168" i="111" s="1"/>
  <c r="D167" i="111" a="1"/>
  <c r="D167" i="111" s="1"/>
  <c r="D164" i="111" a="1"/>
  <c r="D164" i="111" s="1"/>
  <c r="D163" i="111" a="1"/>
  <c r="D163" i="111" s="1"/>
  <c r="D162" i="111" a="1"/>
  <c r="D162" i="111" s="1"/>
  <c r="D161" i="111" a="1"/>
  <c r="D161" i="111" s="1"/>
  <c r="E158" i="111" a="1"/>
  <c r="E158" i="111" s="1"/>
  <c r="D158" i="111" a="1"/>
  <c r="D158" i="111" s="1"/>
  <c r="E157" i="111" a="1"/>
  <c r="E157" i="111" s="1"/>
  <c r="D157" i="111" a="1"/>
  <c r="D157" i="111" s="1"/>
  <c r="E156" i="111" a="1"/>
  <c r="E156" i="111" s="1"/>
  <c r="D156" i="111" a="1"/>
  <c r="D156" i="111" s="1"/>
  <c r="E155" i="111" a="1"/>
  <c r="E155" i="111" s="1"/>
  <c r="D155" i="111" a="1"/>
  <c r="D155" i="111" s="1"/>
  <c r="E154" i="111" a="1"/>
  <c r="E154" i="111" s="1"/>
  <c r="D154" i="111" a="1"/>
  <c r="D154" i="111" s="1"/>
  <c r="D151" i="111" a="1"/>
  <c r="D151" i="111" s="1"/>
  <c r="D150" i="111"/>
  <c r="D150" i="111" a="1"/>
  <c r="E147" i="111" a="1"/>
  <c r="E147" i="111" s="1"/>
  <c r="D147" i="111" a="1"/>
  <c r="D147" i="111" s="1"/>
  <c r="E146" i="111" a="1"/>
  <c r="E146" i="111" s="1"/>
  <c r="D146" i="111" a="1"/>
  <c r="D146" i="111" s="1"/>
  <c r="E145" i="111" a="1"/>
  <c r="E145" i="111" s="1"/>
  <c r="D145" i="111" a="1"/>
  <c r="D145" i="111" s="1"/>
  <c r="E144" i="111" a="1"/>
  <c r="E144" i="111" s="1"/>
  <c r="D144" i="111" a="1"/>
  <c r="D144" i="111" s="1"/>
  <c r="E143" i="111" a="1"/>
  <c r="E143" i="111" s="1"/>
  <c r="D143" i="111" a="1"/>
  <c r="D143" i="111" s="1"/>
  <c r="D141" i="111" a="1"/>
  <c r="D141" i="111" s="1"/>
  <c r="D140" i="111"/>
  <c r="D140" i="111" a="1"/>
  <c r="D139" i="111" a="1"/>
  <c r="D139" i="111" s="1"/>
  <c r="E136" i="111" a="1"/>
  <c r="E136" i="111" s="1"/>
  <c r="D136" i="111" a="1"/>
  <c r="D136" i="111" s="1"/>
  <c r="E135" i="111" a="1"/>
  <c r="E135" i="111" s="1"/>
  <c r="D135" i="111" a="1"/>
  <c r="D135" i="111" s="1"/>
  <c r="D133" i="111" a="1"/>
  <c r="D133" i="111" s="1"/>
  <c r="D132" i="111" a="1"/>
  <c r="D132" i="111" s="1"/>
  <c r="E129" i="111" a="1"/>
  <c r="E129" i="111" s="1"/>
  <c r="D129" i="111" a="1"/>
  <c r="D129" i="111" s="1"/>
  <c r="E128" i="111" a="1"/>
  <c r="E128" i="111" s="1"/>
  <c r="D128" i="111" a="1"/>
  <c r="D128" i="111" s="1"/>
  <c r="D125" i="111" a="1"/>
  <c r="D125" i="111" s="1"/>
  <c r="D124" i="111" a="1"/>
  <c r="D124" i="111" s="1"/>
  <c r="G121" i="111" a="1"/>
  <c r="G121" i="111" s="1"/>
  <c r="F121" i="111" a="1"/>
  <c r="F121" i="111" s="1"/>
  <c r="E121" i="111" a="1"/>
  <c r="E121" i="111" s="1"/>
  <c r="D121" i="111" a="1"/>
  <c r="D121" i="111" s="1"/>
  <c r="G120" i="111" a="1"/>
  <c r="G120" i="111" s="1"/>
  <c r="F120" i="111" a="1"/>
  <c r="F120" i="111" s="1"/>
  <c r="E120" i="111" a="1"/>
  <c r="E120" i="111" s="1"/>
  <c r="D120" i="111" a="1"/>
  <c r="D120" i="111" s="1"/>
  <c r="D117" i="111" a="1"/>
  <c r="D117" i="111" s="1"/>
  <c r="D116" i="111" a="1"/>
  <c r="D116" i="111" s="1"/>
  <c r="D115" i="111" a="1"/>
  <c r="D115" i="111" s="1"/>
  <c r="G112" i="111" a="1"/>
  <c r="G112" i="111" s="1"/>
  <c r="F112" i="111" a="1"/>
  <c r="F112" i="111" s="1"/>
  <c r="E112" i="111" a="1"/>
  <c r="E112" i="111" s="1"/>
  <c r="D112" i="111" a="1"/>
  <c r="D112" i="111" s="1"/>
  <c r="G111" i="111" a="1"/>
  <c r="G111" i="111" s="1"/>
  <c r="F111" i="111" a="1"/>
  <c r="F111" i="111" s="1"/>
  <c r="E111" i="111" a="1"/>
  <c r="E111" i="111" s="1"/>
  <c r="D111" i="111" a="1"/>
  <c r="D111" i="111" s="1"/>
  <c r="G110" i="111" a="1"/>
  <c r="G110" i="111" s="1"/>
  <c r="F110" i="111" a="1"/>
  <c r="F110" i="111" s="1"/>
  <c r="E110" i="111" a="1"/>
  <c r="E110" i="111" s="1"/>
  <c r="D110" i="111" a="1"/>
  <c r="D110" i="111" s="1"/>
  <c r="D107" i="111" a="1"/>
  <c r="D107" i="111" s="1"/>
  <c r="D106" i="111" a="1"/>
  <c r="D106" i="111" s="1"/>
  <c r="D105" i="111" a="1"/>
  <c r="D105" i="111" s="1"/>
  <c r="D98" i="111" a="1"/>
  <c r="D98" i="111" s="1"/>
  <c r="S97" i="111" a="1"/>
  <c r="S97" i="111" s="1"/>
  <c r="R97" i="111" a="1"/>
  <c r="R97" i="111" s="1"/>
  <c r="Q97" i="111" a="1"/>
  <c r="Q97" i="111" s="1"/>
  <c r="P97" i="111" a="1"/>
  <c r="P97" i="111" s="1"/>
  <c r="O97" i="111" a="1"/>
  <c r="O97" i="111" s="1"/>
  <c r="N97" i="111" a="1"/>
  <c r="N97" i="111" s="1"/>
  <c r="M97" i="111" a="1"/>
  <c r="M97" i="111" s="1"/>
  <c r="L97" i="111" a="1"/>
  <c r="L97" i="111" s="1"/>
  <c r="K97" i="111" a="1"/>
  <c r="K97" i="111" s="1"/>
  <c r="J97" i="111" a="1"/>
  <c r="J97" i="111" s="1"/>
  <c r="I97" i="111" a="1"/>
  <c r="I97" i="111" s="1"/>
  <c r="H97" i="111" a="1"/>
  <c r="H97" i="111" s="1"/>
  <c r="G97" i="111" a="1"/>
  <c r="G97" i="111" s="1"/>
  <c r="F97" i="111" a="1"/>
  <c r="F97" i="111" s="1"/>
  <c r="E97" i="111" a="1"/>
  <c r="E97" i="111" s="1"/>
  <c r="D97" i="111" a="1"/>
  <c r="D97" i="111" s="1"/>
  <c r="S96" i="111" a="1"/>
  <c r="S96" i="111" s="1"/>
  <c r="R96" i="111" a="1"/>
  <c r="R96" i="111" s="1"/>
  <c r="Q96" i="111" a="1"/>
  <c r="Q96" i="111" s="1"/>
  <c r="P96" i="111" a="1"/>
  <c r="P96" i="111" s="1"/>
  <c r="O96" i="111" a="1"/>
  <c r="O96" i="111" s="1"/>
  <c r="N96" i="111" a="1"/>
  <c r="N96" i="111" s="1"/>
  <c r="M96" i="111" a="1"/>
  <c r="M96" i="111" s="1"/>
  <c r="L96" i="111" a="1"/>
  <c r="L96" i="111" s="1"/>
  <c r="K96" i="111" a="1"/>
  <c r="K96" i="111" s="1"/>
  <c r="J96" i="111" a="1"/>
  <c r="J96" i="111" s="1"/>
  <c r="I96" i="111" a="1"/>
  <c r="I96" i="111" s="1"/>
  <c r="H96" i="111" a="1"/>
  <c r="H96" i="111" s="1"/>
  <c r="G96" i="111" a="1"/>
  <c r="G96" i="111" s="1"/>
  <c r="F96" i="111" a="1"/>
  <c r="F96" i="111" s="1"/>
  <c r="E96" i="111" a="1"/>
  <c r="E96" i="111" s="1"/>
  <c r="D96" i="111" a="1"/>
  <c r="D96" i="111" s="1"/>
  <c r="S95" i="111" a="1"/>
  <c r="S95" i="111" s="1"/>
  <c r="R95" i="111" a="1"/>
  <c r="R95" i="111" s="1"/>
  <c r="Q95" i="111" a="1"/>
  <c r="Q95" i="111" s="1"/>
  <c r="P95" i="111" a="1"/>
  <c r="P95" i="111" s="1"/>
  <c r="O95" i="111" a="1"/>
  <c r="O95" i="111" s="1"/>
  <c r="N95" i="111" a="1"/>
  <c r="N95" i="111" s="1"/>
  <c r="M95" i="111" a="1"/>
  <c r="M95" i="111" s="1"/>
  <c r="L95" i="111" a="1"/>
  <c r="L95" i="111" s="1"/>
  <c r="K95" i="111" a="1"/>
  <c r="K95" i="111" s="1"/>
  <c r="J95" i="111" a="1"/>
  <c r="J95" i="111" s="1"/>
  <c r="I95" i="111" a="1"/>
  <c r="I95" i="111" s="1"/>
  <c r="H95" i="111" a="1"/>
  <c r="H95" i="111" s="1"/>
  <c r="G95" i="111" a="1"/>
  <c r="G95" i="111" s="1"/>
  <c r="F95" i="111" a="1"/>
  <c r="F95" i="111" s="1"/>
  <c r="E95" i="111" a="1"/>
  <c r="E95" i="111" s="1"/>
  <c r="D95" i="111" a="1"/>
  <c r="D95" i="111" s="1"/>
  <c r="S94" i="111" a="1"/>
  <c r="S94" i="111" s="1"/>
  <c r="R94" i="111" a="1"/>
  <c r="R94" i="111" s="1"/>
  <c r="Q94" i="111" a="1"/>
  <c r="Q94" i="111" s="1"/>
  <c r="P94" i="111" a="1"/>
  <c r="P94" i="111" s="1"/>
  <c r="O94" i="111" a="1"/>
  <c r="O94" i="111" s="1"/>
  <c r="N94" i="111" a="1"/>
  <c r="N94" i="111" s="1"/>
  <c r="M94" i="111" a="1"/>
  <c r="M94" i="111" s="1"/>
  <c r="L94" i="111" a="1"/>
  <c r="L94" i="111" s="1"/>
  <c r="K94" i="111" a="1"/>
  <c r="K94" i="111" s="1"/>
  <c r="J94" i="111" a="1"/>
  <c r="J94" i="111" s="1"/>
  <c r="I94" i="111" a="1"/>
  <c r="I94" i="111" s="1"/>
  <c r="H94" i="111" a="1"/>
  <c r="H94" i="111" s="1"/>
  <c r="G94" i="111" a="1"/>
  <c r="G94" i="111" s="1"/>
  <c r="F94" i="111" a="1"/>
  <c r="F94" i="111" s="1"/>
  <c r="E94" i="111" a="1"/>
  <c r="E94" i="111" s="1"/>
  <c r="D94" i="111" a="1"/>
  <c r="D94" i="111" s="1"/>
  <c r="S93" i="111" a="1"/>
  <c r="S93" i="111" s="1"/>
  <c r="R93" i="111" a="1"/>
  <c r="R93" i="111" s="1"/>
  <c r="Q93" i="111" a="1"/>
  <c r="Q93" i="111" s="1"/>
  <c r="P93" i="111" a="1"/>
  <c r="P93" i="111" s="1"/>
  <c r="O93" i="111" a="1"/>
  <c r="O93" i="111" s="1"/>
  <c r="N93" i="111" a="1"/>
  <c r="N93" i="111" s="1"/>
  <c r="M93" i="111" a="1"/>
  <c r="M93" i="111" s="1"/>
  <c r="L93" i="111" a="1"/>
  <c r="L93" i="111" s="1"/>
  <c r="K93" i="111" a="1"/>
  <c r="K93" i="111" s="1"/>
  <c r="J93" i="111" a="1"/>
  <c r="J93" i="111" s="1"/>
  <c r="I93" i="111" a="1"/>
  <c r="I93" i="111" s="1"/>
  <c r="H93" i="111" a="1"/>
  <c r="H93" i="111" s="1"/>
  <c r="G93" i="111" a="1"/>
  <c r="G93" i="111" s="1"/>
  <c r="F93" i="111" a="1"/>
  <c r="F93" i="111" s="1"/>
  <c r="E93" i="111" a="1"/>
  <c r="E93" i="111" s="1"/>
  <c r="D93" i="111" a="1"/>
  <c r="D93" i="111" s="1"/>
  <c r="S92" i="111" a="1"/>
  <c r="S92" i="111" s="1"/>
  <c r="R92" i="111" a="1"/>
  <c r="R92" i="111" s="1"/>
  <c r="Q92" i="111" a="1"/>
  <c r="Q92" i="111" s="1"/>
  <c r="P92" i="111" a="1"/>
  <c r="P92" i="111" s="1"/>
  <c r="O92" i="111" a="1"/>
  <c r="O92" i="111" s="1"/>
  <c r="N92" i="111" a="1"/>
  <c r="N92" i="111" s="1"/>
  <c r="M92" i="111" a="1"/>
  <c r="M92" i="111" s="1"/>
  <c r="L92" i="111" a="1"/>
  <c r="L92" i="111" s="1"/>
  <c r="K92" i="111" a="1"/>
  <c r="K92" i="111" s="1"/>
  <c r="J92" i="111" a="1"/>
  <c r="J92" i="111" s="1"/>
  <c r="I92" i="111" a="1"/>
  <c r="I92" i="111" s="1"/>
  <c r="H92" i="111" a="1"/>
  <c r="H92" i="111" s="1"/>
  <c r="G92" i="111" a="1"/>
  <c r="G92" i="111" s="1"/>
  <c r="F92" i="111" a="1"/>
  <c r="F92" i="111" s="1"/>
  <c r="E92" i="111" a="1"/>
  <c r="E92" i="111" s="1"/>
  <c r="D92" i="111" a="1"/>
  <c r="D92" i="111" s="1"/>
  <c r="S91" i="111" a="1"/>
  <c r="S91" i="111" s="1"/>
  <c r="R91" i="111" a="1"/>
  <c r="R91" i="111" s="1"/>
  <c r="Q91" i="111" a="1"/>
  <c r="Q91" i="111" s="1"/>
  <c r="P91" i="111" a="1"/>
  <c r="P91" i="111" s="1"/>
  <c r="O91" i="111" a="1"/>
  <c r="O91" i="111" s="1"/>
  <c r="N91" i="111" a="1"/>
  <c r="N91" i="111" s="1"/>
  <c r="M91" i="111" a="1"/>
  <c r="M91" i="111" s="1"/>
  <c r="L91" i="111" a="1"/>
  <c r="L91" i="111" s="1"/>
  <c r="K91" i="111" a="1"/>
  <c r="K91" i="111" s="1"/>
  <c r="J91" i="111" a="1"/>
  <c r="J91" i="111" s="1"/>
  <c r="I91" i="111" a="1"/>
  <c r="I91" i="111" s="1"/>
  <c r="H91" i="111" a="1"/>
  <c r="H91" i="111" s="1"/>
  <c r="G91" i="111" a="1"/>
  <c r="G91" i="111" s="1"/>
  <c r="F91" i="111" a="1"/>
  <c r="F91" i="111" s="1"/>
  <c r="E91" i="111" a="1"/>
  <c r="E91" i="111" s="1"/>
  <c r="D91" i="111" a="1"/>
  <c r="D91" i="111" s="1"/>
  <c r="S90" i="111" a="1"/>
  <c r="S90" i="111" s="1"/>
  <c r="R90" i="111" a="1"/>
  <c r="R90" i="111" s="1"/>
  <c r="Q90" i="111" a="1"/>
  <c r="Q90" i="111" s="1"/>
  <c r="P90" i="111" a="1"/>
  <c r="P90" i="111" s="1"/>
  <c r="O90" i="111" a="1"/>
  <c r="O90" i="111" s="1"/>
  <c r="N90" i="111" a="1"/>
  <c r="N90" i="111" s="1"/>
  <c r="M90" i="111" a="1"/>
  <c r="M90" i="111" s="1"/>
  <c r="L90" i="111" a="1"/>
  <c r="L90" i="111" s="1"/>
  <c r="K90" i="111" a="1"/>
  <c r="K90" i="111" s="1"/>
  <c r="J90" i="111" a="1"/>
  <c r="J90" i="111" s="1"/>
  <c r="I90" i="111" a="1"/>
  <c r="I90" i="111" s="1"/>
  <c r="H90" i="111" a="1"/>
  <c r="H90" i="111" s="1"/>
  <c r="G90" i="111" a="1"/>
  <c r="G90" i="111" s="1"/>
  <c r="F90" i="111" a="1"/>
  <c r="F90" i="111" s="1"/>
  <c r="E90" i="111" a="1"/>
  <c r="E90" i="111" s="1"/>
  <c r="D90" i="111" a="1"/>
  <c r="D90" i="111" s="1"/>
  <c r="D83" i="111" a="1"/>
  <c r="D83" i="111" s="1"/>
  <c r="D82" i="111" a="1"/>
  <c r="D82" i="111" s="1"/>
  <c r="D81" i="111" a="1"/>
  <c r="D81" i="111" s="1"/>
  <c r="E77" i="111" a="1"/>
  <c r="E77" i="111" s="1"/>
  <c r="D77" i="111" a="1"/>
  <c r="D77" i="111" s="1"/>
  <c r="E76" i="111" a="1"/>
  <c r="E76" i="111" s="1"/>
  <c r="D76" i="111" a="1"/>
  <c r="D76" i="111" s="1"/>
  <c r="E75" i="111" a="1"/>
  <c r="E75" i="111" s="1"/>
  <c r="D75" i="111" a="1"/>
  <c r="D75" i="111" s="1"/>
  <c r="E74" i="111" a="1"/>
  <c r="E74" i="111" s="1"/>
  <c r="D74" i="111" a="1"/>
  <c r="D74" i="111" s="1"/>
  <c r="E73" i="111" a="1"/>
  <c r="E73" i="111" s="1"/>
  <c r="D73" i="111" a="1"/>
  <c r="D73" i="111" s="1"/>
  <c r="E72" i="111" a="1"/>
  <c r="E72" i="111" s="1"/>
  <c r="D72" i="111" a="1"/>
  <c r="D72" i="111" s="1"/>
  <c r="E71" i="111" a="1"/>
  <c r="E71" i="111" s="1"/>
  <c r="D71" i="111" a="1"/>
  <c r="D71" i="111" s="1"/>
  <c r="E70" i="111" a="1"/>
  <c r="E70" i="111" s="1"/>
  <c r="D70" i="111" a="1"/>
  <c r="D70" i="111" s="1"/>
  <c r="E69" i="111" a="1"/>
  <c r="E69" i="111" s="1"/>
  <c r="D69" i="111" a="1"/>
  <c r="D69" i="111" s="1"/>
  <c r="E68" i="111" a="1"/>
  <c r="E68" i="111" s="1"/>
  <c r="D68" i="111" a="1"/>
  <c r="D68" i="111" s="1"/>
  <c r="E67" i="111" a="1"/>
  <c r="E67" i="111" s="1"/>
  <c r="D67" i="111" a="1"/>
  <c r="D67" i="111" s="1"/>
  <c r="E66" i="111" a="1"/>
  <c r="E66" i="111" s="1"/>
  <c r="D66" i="111" a="1"/>
  <c r="D66" i="111" s="1"/>
  <c r="E65" i="111" a="1"/>
  <c r="E65" i="111" s="1"/>
  <c r="D65" i="111" a="1"/>
  <c r="D65" i="111" s="1"/>
  <c r="E64" i="111" a="1"/>
  <c r="E64" i="111" s="1"/>
  <c r="D64" i="111" a="1"/>
  <c r="D64" i="111" s="1"/>
  <c r="D59" i="111" a="1"/>
  <c r="D59" i="111" s="1"/>
  <c r="D58" i="111" a="1"/>
  <c r="D58" i="111" s="1"/>
  <c r="D57" i="111" a="1"/>
  <c r="D57" i="111" s="1"/>
  <c r="G54" i="111" a="1"/>
  <c r="G54" i="111" s="1"/>
  <c r="F54" i="111" a="1"/>
  <c r="F54" i="111" s="1"/>
  <c r="E54" i="111" a="1"/>
  <c r="E54" i="111" s="1"/>
  <c r="D54" i="111" a="1"/>
  <c r="D54" i="111" s="1"/>
  <c r="G53" i="111" a="1"/>
  <c r="G53" i="111" s="1"/>
  <c r="F53" i="111" a="1"/>
  <c r="F53" i="111" s="1"/>
  <c r="E53" i="111" a="1"/>
  <c r="E53" i="111" s="1"/>
  <c r="D53" i="111" a="1"/>
  <c r="D53" i="111" s="1"/>
  <c r="G52" i="111" a="1"/>
  <c r="G52" i="111" s="1"/>
  <c r="F52" i="111" a="1"/>
  <c r="F52" i="111" s="1"/>
  <c r="E52" i="111" a="1"/>
  <c r="E52" i="111" s="1"/>
  <c r="D52" i="111" a="1"/>
  <c r="D52" i="111" s="1"/>
  <c r="G51" i="111" a="1"/>
  <c r="G51" i="111" s="1"/>
  <c r="F51" i="111" a="1"/>
  <c r="F51" i="111" s="1"/>
  <c r="E51" i="111" a="1"/>
  <c r="E51" i="111" s="1"/>
  <c r="D51" i="111" a="1"/>
  <c r="D51" i="111" s="1"/>
  <c r="G50" i="111" a="1"/>
  <c r="G50" i="111" s="1"/>
  <c r="F50" i="111" a="1"/>
  <c r="F50" i="111" s="1"/>
  <c r="E50" i="111" a="1"/>
  <c r="E50" i="111" s="1"/>
  <c r="D50" i="111" a="1"/>
  <c r="D50" i="111" s="1"/>
  <c r="G49" i="111" a="1"/>
  <c r="G49" i="111" s="1"/>
  <c r="F49" i="111" a="1"/>
  <c r="F49" i="111" s="1"/>
  <c r="E49" i="111" a="1"/>
  <c r="E49" i="111" s="1"/>
  <c r="D49" i="111" a="1"/>
  <c r="D49" i="111" s="1"/>
  <c r="G48" i="111" a="1"/>
  <c r="G48" i="111" s="1"/>
  <c r="F48" i="111" a="1"/>
  <c r="F48" i="111" s="1"/>
  <c r="E48" i="111" a="1"/>
  <c r="E48" i="111" s="1"/>
  <c r="D48" i="111" a="1"/>
  <c r="D48" i="111" s="1"/>
  <c r="D46" i="111" a="1"/>
  <c r="D46" i="111" s="1"/>
  <c r="D45" i="111" a="1"/>
  <c r="D45" i="111" s="1"/>
  <c r="E43" i="111" a="1"/>
  <c r="E43" i="111" s="1"/>
  <c r="D43" i="111" a="1"/>
  <c r="D43" i="111" s="1"/>
  <c r="E42" i="111" a="1"/>
  <c r="E42" i="111" s="1"/>
  <c r="D42" i="111" a="1"/>
  <c r="D42" i="111" s="1"/>
  <c r="E41" i="111" a="1"/>
  <c r="E41" i="111" s="1"/>
  <c r="D41" i="111" a="1"/>
  <c r="D41" i="111" s="1"/>
  <c r="E40" i="111" a="1"/>
  <c r="E40" i="111" s="1"/>
  <c r="D40" i="111" a="1"/>
  <c r="D40" i="111" s="1"/>
  <c r="E39" i="111" a="1"/>
  <c r="E39" i="111" s="1"/>
  <c r="D39" i="111" a="1"/>
  <c r="D39" i="111" s="1"/>
  <c r="E38" i="111" a="1"/>
  <c r="E38" i="111" s="1"/>
  <c r="D38" i="111" a="1"/>
  <c r="D38" i="111" s="1"/>
  <c r="E37" i="111" a="1"/>
  <c r="E37" i="111" s="1"/>
  <c r="D37" i="111" a="1"/>
  <c r="D37" i="111" s="1"/>
  <c r="D35" i="111" a="1"/>
  <c r="D35" i="111" s="1"/>
  <c r="D34" i="111" a="1"/>
  <c r="D34" i="111" s="1"/>
  <c r="D30" i="111" a="1"/>
  <c r="D30" i="111" s="1"/>
  <c r="D29" i="111" a="1"/>
  <c r="D29" i="111" s="1"/>
  <c r="D28" i="111" a="1"/>
  <c r="D28" i="111" s="1"/>
  <c r="D27" i="111" a="1"/>
  <c r="D27" i="111" s="1"/>
  <c r="D26" i="111" a="1"/>
  <c r="D26" i="111" s="1"/>
  <c r="D25" i="111" a="1"/>
  <c r="D25" i="111" s="1"/>
  <c r="D24" i="111" a="1"/>
  <c r="D24" i="111" s="1"/>
  <c r="D23" i="111" a="1"/>
  <c r="D23" i="111" s="1"/>
  <c r="D22" i="111" a="1"/>
  <c r="D22" i="111" s="1"/>
  <c r="D21" i="111" a="1"/>
  <c r="D21" i="111" s="1"/>
  <c r="D19" i="111" a="1"/>
  <c r="D19" i="111" s="1"/>
  <c r="D18" i="111" a="1"/>
  <c r="D18" i="111" s="1"/>
  <c r="F14" i="111" a="1"/>
  <c r="F14" i="111" s="1"/>
  <c r="E14" i="111" a="1"/>
  <c r="E14" i="111" s="1"/>
  <c r="D14" i="111" a="1"/>
  <c r="D14" i="111" s="1"/>
  <c r="F13" i="111" a="1"/>
  <c r="F13" i="111" s="1"/>
  <c r="E13" i="111" a="1"/>
  <c r="E13" i="111" s="1"/>
  <c r="D13" i="111" a="1"/>
  <c r="D13" i="111" s="1"/>
  <c r="F12" i="111" a="1"/>
  <c r="F12" i="111" s="1"/>
  <c r="E12" i="111" a="1"/>
  <c r="E12" i="111" s="1"/>
  <c r="D12" i="111" a="1"/>
  <c r="D12" i="111" s="1"/>
  <c r="F11" i="111" a="1"/>
  <c r="F11" i="111" s="1"/>
  <c r="E11" i="111" a="1"/>
  <c r="E11" i="111" s="1"/>
  <c r="D11" i="111" a="1"/>
  <c r="D11" i="111" s="1"/>
  <c r="F10" i="111" a="1"/>
  <c r="F10" i="111" s="1"/>
  <c r="E10" i="111" a="1"/>
  <c r="E10" i="111" s="1"/>
  <c r="D10" i="111" a="1"/>
  <c r="D10" i="111" s="1"/>
  <c r="F9" i="111" a="1"/>
  <c r="F9" i="111" s="1"/>
  <c r="E9" i="111" a="1"/>
  <c r="E9" i="111" s="1"/>
  <c r="D9" i="111" a="1"/>
  <c r="D9" i="111" s="1"/>
  <c r="F8" i="111" a="1"/>
  <c r="F8" i="111" s="1"/>
  <c r="E8" i="111" a="1"/>
  <c r="E8" i="111" s="1"/>
  <c r="D8" i="111" a="1"/>
  <c r="D8" i="111" s="1"/>
  <c r="F7" i="111" a="1"/>
  <c r="F7" i="111" s="1"/>
  <c r="E7" i="111" a="1"/>
  <c r="E7" i="111" s="1"/>
  <c r="D7" i="111" a="1"/>
  <c r="D7" i="111" s="1"/>
  <c r="D5" i="111" a="1"/>
  <c r="D5" i="111" s="1"/>
  <c r="H55" i="69"/>
  <c r="G50" i="74"/>
  <c r="H50" i="74" a="1"/>
  <c r="H50" i="74" s="1"/>
  <c r="D50" i="74" a="1"/>
  <c r="D50" i="74" s="1"/>
  <c r="E48" i="74" a="1"/>
  <c r="E48" i="74" s="1"/>
  <c r="E59" i="74" s="1"/>
  <c r="E47" i="74" a="1"/>
  <c r="E47" i="74" s="1"/>
  <c r="D43" i="74" a="1"/>
  <c r="D43" i="74" s="1"/>
  <c r="D42" i="74" a="1"/>
  <c r="D42" i="74" s="1"/>
  <c r="M60" i="69" a="1"/>
  <c r="M60" i="69" s="1"/>
  <c r="N66" i="69" a="1"/>
  <c r="N66" i="69" s="1"/>
  <c r="N65" i="69" a="1"/>
  <c r="N65" i="69" s="1"/>
  <c r="H13" i="74" a="1"/>
  <c r="H13" i="74" s="1"/>
  <c r="D13" i="74" a="1"/>
  <c r="D13" i="74" s="1"/>
  <c r="G14" i="74"/>
  <c r="G13" i="74"/>
  <c r="E11" i="74" a="1"/>
  <c r="E11" i="74" s="1"/>
  <c r="G19" i="74" s="1"/>
  <c r="E62" i="74" s="1" a="1"/>
  <c r="E62" i="74" s="1"/>
  <c r="E10" i="74" a="1"/>
  <c r="E10" i="74" s="1"/>
  <c r="D6" i="74" a="1"/>
  <c r="D6" i="74"/>
  <c r="D5" i="74" a="1"/>
  <c r="D5" i="74" s="1"/>
  <c r="S68" i="69" a="1"/>
  <c r="S68" i="69" s="1"/>
  <c r="M68" i="69" a="1"/>
  <c r="M68" i="69" s="1"/>
  <c r="M59" i="69" a="1"/>
  <c r="M59" i="69" s="1"/>
  <c r="V55" i="69" a="1"/>
  <c r="V55" i="69" s="1"/>
  <c r="S55" i="69" a="1"/>
  <c r="S55" i="69" s="1"/>
  <c r="R55" i="69" a="1"/>
  <c r="R55" i="69" s="1"/>
  <c r="I51" i="69" a="1"/>
  <c r="I51" i="69" s="1"/>
  <c r="D51" i="69" a="1"/>
  <c r="D51" i="69" s="1"/>
  <c r="V54" i="69" a="1"/>
  <c r="V54" i="69" s="1"/>
  <c r="S54" i="69" a="1"/>
  <c r="S54" i="69" s="1"/>
  <c r="R54" i="69" a="1"/>
  <c r="R54" i="69" s="1"/>
  <c r="V53" i="69" a="1"/>
  <c r="V53" i="69" s="1"/>
  <c r="S53" i="69"/>
  <c r="S53" i="69" a="1"/>
  <c r="R53" i="69" a="1"/>
  <c r="R53" i="69" s="1"/>
  <c r="E49" i="69" a="1"/>
  <c r="E49" i="69" s="1"/>
  <c r="V52" i="69" a="1"/>
  <c r="V52" i="69" s="1"/>
  <c r="S52" i="69" a="1"/>
  <c r="S52" i="69" s="1"/>
  <c r="R52" i="69" a="1"/>
  <c r="R52" i="69" s="1"/>
  <c r="E48" i="69" a="1"/>
  <c r="E48" i="69" s="1"/>
  <c r="V50" i="69" a="1"/>
  <c r="V50" i="69" s="1"/>
  <c r="S50" i="69" a="1"/>
  <c r="S50" i="69" s="1"/>
  <c r="R50" i="69" a="1"/>
  <c r="R50" i="69" s="1"/>
  <c r="V49" i="69" a="1"/>
  <c r="V49" i="69" s="1"/>
  <c r="S49" i="69" a="1"/>
  <c r="S49" i="69" s="1"/>
  <c r="R49" i="69" a="1"/>
  <c r="R49" i="69" s="1"/>
  <c r="V48" i="69" a="1"/>
  <c r="V48" i="69" s="1"/>
  <c r="S48" i="69" a="1"/>
  <c r="S48" i="69" s="1"/>
  <c r="R48" i="69" a="1"/>
  <c r="R48" i="69" s="1"/>
  <c r="V47" i="69" a="1"/>
  <c r="V47" i="69" s="1"/>
  <c r="S47" i="69" a="1"/>
  <c r="S47" i="69" s="1"/>
  <c r="R47" i="69" a="1"/>
  <c r="R47" i="69" s="1"/>
  <c r="D43" i="69" a="1"/>
  <c r="D43" i="69" s="1"/>
  <c r="D42" i="69" a="1"/>
  <c r="D42" i="69" s="1"/>
  <c r="S35" i="69" a="1"/>
  <c r="S35" i="69" s="1"/>
  <c r="M35" i="69" a="1"/>
  <c r="M35" i="69" s="1"/>
  <c r="N33" i="69" a="1"/>
  <c r="N33" i="69" s="1"/>
  <c r="V44" i="69" s="1"/>
  <c r="N32" i="69" a="1"/>
  <c r="N32" i="69" s="1"/>
  <c r="M28" i="69" a="1"/>
  <c r="M28" i="69" s="1"/>
  <c r="M27" i="69" a="1"/>
  <c r="M27" i="69" s="1"/>
  <c r="S23" i="69" a="1"/>
  <c r="S23" i="69" s="1"/>
  <c r="M23" i="69" a="1"/>
  <c r="M23" i="69" s="1"/>
  <c r="N21" i="69" a="1"/>
  <c r="N21" i="69" s="1"/>
  <c r="S44" i="69" s="1"/>
  <c r="N20" i="69" a="1"/>
  <c r="N20" i="69" s="1"/>
  <c r="M17" i="69" a="1"/>
  <c r="M17" i="69" s="1"/>
  <c r="M16" i="69" a="1"/>
  <c r="M16" i="69" s="1"/>
  <c r="H13" i="69" a="1"/>
  <c r="H13" i="69" s="1"/>
  <c r="D13" i="69" a="1"/>
  <c r="D13" i="69" s="1"/>
  <c r="S12" i="69" a="1"/>
  <c r="S12" i="69" s="1"/>
  <c r="M12" i="69" a="1"/>
  <c r="M12" i="69" s="1"/>
  <c r="E11" i="69" a="1"/>
  <c r="E11" i="69" s="1"/>
  <c r="N10" i="69" a="1"/>
  <c r="N10" i="69" s="1"/>
  <c r="R44" i="69" s="1"/>
  <c r="E10" i="69" a="1"/>
  <c r="E10" i="69" s="1"/>
  <c r="N9" i="69" a="1"/>
  <c r="N9" i="69" s="1"/>
  <c r="M6" i="69" a="1"/>
  <c r="M6" i="69" s="1"/>
  <c r="D6" i="69" a="1"/>
  <c r="D6" i="69" s="1"/>
  <c r="M5" i="69" a="1"/>
  <c r="M5" i="69" s="1"/>
  <c r="D5" i="69" a="1"/>
  <c r="D5" i="69" s="1"/>
  <c r="J41" i="70"/>
  <c r="H41" i="70"/>
  <c r="G32" i="70"/>
  <c r="Q55" i="69"/>
  <c r="Q54" i="69"/>
  <c r="Q53" i="69"/>
  <c r="Q52" i="69"/>
  <c r="Q50" i="69"/>
  <c r="Q49" i="69"/>
  <c r="Q48" i="69"/>
  <c r="F23" i="70"/>
  <c r="F18" i="70"/>
  <c r="O94" i="69" a="1"/>
  <c r="O94" i="69" s="1"/>
  <c r="M91" i="69" a="1"/>
  <c r="M91" i="69" s="1"/>
  <c r="N83" i="69" a="1"/>
  <c r="N83" i="69" s="1"/>
  <c r="N78" i="69" a="1"/>
  <c r="N78" i="69" s="1"/>
  <c r="Q72" i="69"/>
  <c r="Q68" i="69"/>
  <c r="Q12" i="69"/>
  <c r="T55" i="69"/>
  <c r="T54" i="69"/>
  <c r="T53" i="69"/>
  <c r="U53" i="69" s="1"/>
  <c r="T52" i="69"/>
  <c r="U52" i="69" s="1"/>
  <c r="T50" i="69"/>
  <c r="U50" i="69" s="1"/>
  <c r="T49" i="69"/>
  <c r="U49" i="69" s="1"/>
  <c r="T48" i="69"/>
  <c r="U48" i="69" s="1"/>
  <c r="Q23" i="69"/>
  <c r="Q35" i="69"/>
  <c r="N51" i="69" a="1"/>
  <c r="N51" i="69" s="1"/>
  <c r="N46" i="69" a="1"/>
  <c r="N46" i="69" s="1"/>
  <c r="Q74" i="69"/>
  <c r="Q71" i="69"/>
  <c r="F88" i="69" a="1"/>
  <c r="F88" i="69" s="1"/>
  <c r="D85" i="69" a="1"/>
  <c r="D85" i="69" s="1"/>
  <c r="N61" i="69" a="1"/>
  <c r="E7" i="74" a="1"/>
  <c r="E44" i="69" a="1"/>
  <c r="E44" i="74" a="1"/>
  <c r="H50" i="111" l="1"/>
  <c r="H51" i="111"/>
  <c r="H49" i="111"/>
  <c r="H53" i="111"/>
  <c r="E63" i="74" a="1"/>
  <c r="E63" i="74" s="1"/>
  <c r="H48" i="111"/>
  <c r="H54" i="111"/>
  <c r="H52" i="111"/>
  <c r="K41" i="70"/>
  <c r="E44" i="74"/>
  <c r="E7" i="74"/>
  <c r="N61" i="69"/>
  <c r="E44" i="69"/>
  <c r="U54" i="69"/>
  <c r="U55" i="69"/>
  <c r="T47" i="69" l="1"/>
  <c r="H51" i="69" l="1"/>
  <c r="O89" i="69"/>
  <c r="E7" i="69" a="1"/>
  <c r="G18" i="70" l="1"/>
  <c r="P46" i="69" a="1"/>
  <c r="G23" i="70"/>
  <c r="P51" i="69" a="1"/>
  <c r="P51" i="69" s="1"/>
  <c r="F83" i="69"/>
  <c r="E62" i="69"/>
  <c r="E7" i="69"/>
  <c r="P46" i="69" l="1"/>
  <c r="U47" i="69"/>
  <c r="Q47" i="69"/>
  <c r="H54" i="69" l="1"/>
  <c r="H56" i="69"/>
  <c r="G14" i="69"/>
  <c r="G13" i="69"/>
  <c r="D52" i="110" l="1" a="1"/>
  <c r="D52" i="110" s="1"/>
  <c r="E52" i="110" a="1"/>
  <c r="E52" i="110" s="1"/>
  <c r="D51" i="110" a="1"/>
  <c r="D51" i="110" s="1"/>
  <c r="E51" i="110" a="1"/>
  <c r="E51" i="110" s="1"/>
  <c r="D50" i="110" a="1"/>
  <c r="D50" i="110" s="1"/>
  <c r="E50" i="110" a="1"/>
  <c r="E50" i="110" s="1"/>
  <c r="D49" i="110" a="1"/>
  <c r="D49" i="110" s="1"/>
  <c r="E49" i="110" a="1"/>
  <c r="E49" i="110" s="1"/>
  <c r="E48" i="110" a="1"/>
  <c r="E48" i="110" s="1"/>
  <c r="D48" i="110" a="1"/>
  <c r="D48" i="110" s="1"/>
  <c r="D46" i="110" a="1"/>
  <c r="D46" i="110" s="1"/>
  <c r="D45" i="110" a="1"/>
  <c r="D45" i="110" s="1"/>
  <c r="D7" i="110" a="1"/>
  <c r="D7" i="110" s="1"/>
  <c r="D6" i="110" a="1"/>
  <c r="D6" i="110" s="1"/>
  <c r="G19" i="69" l="1"/>
  <c r="W81" i="110" a="1"/>
  <c r="W81" i="110" s="1"/>
  <c r="V81" i="110" a="1"/>
  <c r="V81" i="110" s="1"/>
  <c r="U81" i="110" a="1"/>
  <c r="U81" i="110" s="1"/>
  <c r="T81" i="110" a="1"/>
  <c r="T81" i="110" s="1"/>
  <c r="S81" i="110" a="1"/>
  <c r="S81" i="110" s="1"/>
  <c r="R81" i="110" a="1"/>
  <c r="R81" i="110" s="1"/>
  <c r="Q81" i="110" a="1"/>
  <c r="Q81" i="110" s="1"/>
  <c r="P81" i="110" a="1"/>
  <c r="P81" i="110" s="1"/>
  <c r="O81" i="110" a="1"/>
  <c r="O81" i="110" s="1"/>
  <c r="N81" i="110" a="1"/>
  <c r="N81" i="110" s="1"/>
  <c r="M81" i="110" a="1"/>
  <c r="M81" i="110" s="1"/>
  <c r="L81" i="110" a="1"/>
  <c r="L81" i="110" s="1"/>
  <c r="K81" i="110" a="1"/>
  <c r="K81" i="110" s="1"/>
  <c r="J81" i="110" a="1"/>
  <c r="J81" i="110" s="1"/>
  <c r="I81" i="110" a="1"/>
  <c r="I81" i="110" s="1"/>
  <c r="H81" i="110" a="1"/>
  <c r="H81" i="110" s="1"/>
  <c r="G81" i="110" a="1"/>
  <c r="G81" i="110" s="1"/>
  <c r="F81" i="110" a="1"/>
  <c r="F81" i="110" s="1"/>
  <c r="E81" i="110" a="1"/>
  <c r="E81" i="110" s="1"/>
  <c r="D81" i="110" a="1"/>
  <c r="D81" i="110" s="1"/>
  <c r="W80" i="110" a="1"/>
  <c r="W80" i="110" s="1"/>
  <c r="V80" i="110" a="1"/>
  <c r="V80" i="110" s="1"/>
  <c r="U80" i="110" a="1"/>
  <c r="U80" i="110" s="1"/>
  <c r="T80" i="110" a="1"/>
  <c r="T80" i="110" s="1"/>
  <c r="S80" i="110" a="1"/>
  <c r="S80" i="110" s="1"/>
  <c r="R80" i="110" a="1"/>
  <c r="R80" i="110" s="1"/>
  <c r="Q80" i="110" a="1"/>
  <c r="Q80" i="110" s="1"/>
  <c r="P80" i="110" a="1"/>
  <c r="P80" i="110" s="1"/>
  <c r="O80" i="110" a="1"/>
  <c r="O80" i="110" s="1"/>
  <c r="N80" i="110" a="1"/>
  <c r="N80" i="110" s="1"/>
  <c r="M80" i="110" a="1"/>
  <c r="M80" i="110" s="1"/>
  <c r="L80" i="110" a="1"/>
  <c r="L80" i="110" s="1"/>
  <c r="K80" i="110" a="1"/>
  <c r="K80" i="110" s="1"/>
  <c r="J80" i="110" a="1"/>
  <c r="J80" i="110" s="1"/>
  <c r="I80" i="110" a="1"/>
  <c r="I80" i="110" s="1"/>
  <c r="H80" i="110" a="1"/>
  <c r="H80" i="110" s="1"/>
  <c r="G80" i="110" a="1"/>
  <c r="G80" i="110" s="1"/>
  <c r="F80" i="110" a="1"/>
  <c r="F80" i="110" s="1"/>
  <c r="E80" i="110" a="1"/>
  <c r="E80" i="110" s="1"/>
  <c r="D80" i="110" a="1"/>
  <c r="D80" i="110" s="1"/>
  <c r="W79" i="110" a="1"/>
  <c r="W79" i="110" s="1"/>
  <c r="V79" i="110" a="1"/>
  <c r="V79" i="110" s="1"/>
  <c r="U79" i="110" a="1"/>
  <c r="U79" i="110" s="1"/>
  <c r="T79" i="110" a="1"/>
  <c r="T79" i="110" s="1"/>
  <c r="S79" i="110" a="1"/>
  <c r="S79" i="110" s="1"/>
  <c r="R79" i="110" a="1"/>
  <c r="R79" i="110" s="1"/>
  <c r="Q79" i="110" a="1"/>
  <c r="Q79" i="110" s="1"/>
  <c r="P79" i="110" a="1"/>
  <c r="P79" i="110" s="1"/>
  <c r="O79" i="110" a="1"/>
  <c r="O79" i="110" s="1"/>
  <c r="N79" i="110" a="1"/>
  <c r="N79" i="110" s="1"/>
  <c r="M79" i="110" a="1"/>
  <c r="M79" i="110" s="1"/>
  <c r="L79" i="110" a="1"/>
  <c r="L79" i="110" s="1"/>
  <c r="K79" i="110" a="1"/>
  <c r="K79" i="110" s="1"/>
  <c r="J79" i="110" a="1"/>
  <c r="J79" i="110" s="1"/>
  <c r="I79" i="110" a="1"/>
  <c r="I79" i="110" s="1"/>
  <c r="H79" i="110" a="1"/>
  <c r="H79" i="110" s="1"/>
  <c r="G79" i="110" a="1"/>
  <c r="G79" i="110" s="1"/>
  <c r="F79" i="110" a="1"/>
  <c r="F79" i="110" s="1"/>
  <c r="E79" i="110" a="1"/>
  <c r="E79" i="110" s="1"/>
  <c r="D79" i="110" a="1"/>
  <c r="D79" i="110" s="1"/>
  <c r="W78" i="110" a="1"/>
  <c r="W78" i="110" s="1"/>
  <c r="V78" i="110" a="1"/>
  <c r="V78" i="110" s="1"/>
  <c r="U78" i="110" a="1"/>
  <c r="U78" i="110" s="1"/>
  <c r="T78" i="110" a="1"/>
  <c r="T78" i="110" s="1"/>
  <c r="S78" i="110" a="1"/>
  <c r="S78" i="110" s="1"/>
  <c r="R78" i="110" a="1"/>
  <c r="R78" i="110" s="1"/>
  <c r="Q78" i="110" a="1"/>
  <c r="Q78" i="110" s="1"/>
  <c r="P78" i="110" a="1"/>
  <c r="P78" i="110" s="1"/>
  <c r="O78" i="110" a="1"/>
  <c r="O78" i="110" s="1"/>
  <c r="N78" i="110" a="1"/>
  <c r="N78" i="110" s="1"/>
  <c r="M78" i="110" a="1"/>
  <c r="M78" i="110" s="1"/>
  <c r="L78" i="110" a="1"/>
  <c r="L78" i="110" s="1"/>
  <c r="K78" i="110" a="1"/>
  <c r="K78" i="110" s="1"/>
  <c r="J78" i="110" a="1"/>
  <c r="J78" i="110" s="1"/>
  <c r="I78" i="110" a="1"/>
  <c r="I78" i="110" s="1"/>
  <c r="H78" i="110" a="1"/>
  <c r="H78" i="110" s="1"/>
  <c r="G78" i="110" a="1"/>
  <c r="G78" i="110" s="1"/>
  <c r="F78" i="110" a="1"/>
  <c r="F78" i="110" s="1"/>
  <c r="E78" i="110" a="1"/>
  <c r="E78" i="110" s="1"/>
  <c r="D78" i="110" a="1"/>
  <c r="D78" i="110" s="1"/>
  <c r="W77" i="110" a="1"/>
  <c r="W77" i="110" s="1"/>
  <c r="V77" i="110" a="1"/>
  <c r="V77" i="110" s="1"/>
  <c r="U77" i="110" a="1"/>
  <c r="U77" i="110" s="1"/>
  <c r="T77" i="110" a="1"/>
  <c r="T77" i="110" s="1"/>
  <c r="S77" i="110" a="1"/>
  <c r="S77" i="110" s="1"/>
  <c r="R77" i="110" a="1"/>
  <c r="R77" i="110" s="1"/>
  <c r="Q77" i="110" a="1"/>
  <c r="Q77" i="110" s="1"/>
  <c r="P77" i="110" a="1"/>
  <c r="P77" i="110" s="1"/>
  <c r="O77" i="110" a="1"/>
  <c r="O77" i="110" s="1"/>
  <c r="N77" i="110" a="1"/>
  <c r="N77" i="110" s="1"/>
  <c r="M77" i="110" a="1"/>
  <c r="M77" i="110" s="1"/>
  <c r="L77" i="110" a="1"/>
  <c r="L77" i="110" s="1"/>
  <c r="K77" i="110" a="1"/>
  <c r="K77" i="110" s="1"/>
  <c r="J77" i="110" a="1"/>
  <c r="J77" i="110" s="1"/>
  <c r="I77" i="110" a="1"/>
  <c r="I77" i="110" s="1"/>
  <c r="H77" i="110" a="1"/>
  <c r="H77" i="110" s="1"/>
  <c r="G77" i="110" a="1"/>
  <c r="G77" i="110" s="1"/>
  <c r="F77" i="110" a="1"/>
  <c r="F77" i="110" s="1"/>
  <c r="E77" i="110" a="1"/>
  <c r="E77" i="110" s="1"/>
  <c r="D77" i="110" a="1"/>
  <c r="D77" i="110" s="1"/>
  <c r="W76" i="110" a="1"/>
  <c r="W76" i="110" s="1"/>
  <c r="V76" i="110" a="1"/>
  <c r="V76" i="110" s="1"/>
  <c r="U76" i="110" a="1"/>
  <c r="U76" i="110" s="1"/>
  <c r="T76" i="110" a="1"/>
  <c r="T76" i="110" s="1"/>
  <c r="S76" i="110" a="1"/>
  <c r="S76" i="110" s="1"/>
  <c r="R76" i="110" a="1"/>
  <c r="R76" i="110" s="1"/>
  <c r="Q76" i="110" a="1"/>
  <c r="Q76" i="110" s="1"/>
  <c r="P76" i="110" a="1"/>
  <c r="P76" i="110" s="1"/>
  <c r="O76" i="110" a="1"/>
  <c r="O76" i="110" s="1"/>
  <c r="N76" i="110" a="1"/>
  <c r="N76" i="110" s="1"/>
  <c r="M76" i="110" a="1"/>
  <c r="M76" i="110" s="1"/>
  <c r="L76" i="110" a="1"/>
  <c r="L76" i="110" s="1"/>
  <c r="K76" i="110" a="1"/>
  <c r="K76" i="110" s="1"/>
  <c r="J76" i="110" a="1"/>
  <c r="J76" i="110" s="1"/>
  <c r="I76" i="110" a="1"/>
  <c r="I76" i="110" s="1"/>
  <c r="H76" i="110" a="1"/>
  <c r="H76" i="110" s="1"/>
  <c r="G76" i="110" a="1"/>
  <c r="G76" i="110" s="1"/>
  <c r="F76" i="110" a="1"/>
  <c r="F76" i="110" s="1"/>
  <c r="E76" i="110" a="1"/>
  <c r="E76" i="110" s="1"/>
  <c r="D76" i="110" a="1"/>
  <c r="D76" i="110" s="1"/>
  <c r="W75" i="110" a="1"/>
  <c r="W75" i="110" s="1"/>
  <c r="V75" i="110" a="1"/>
  <c r="V75" i="110" s="1"/>
  <c r="U75" i="110" a="1"/>
  <c r="U75" i="110" s="1"/>
  <c r="T75" i="110" a="1"/>
  <c r="T75" i="110" s="1"/>
  <c r="S75" i="110" a="1"/>
  <c r="S75" i="110" s="1"/>
  <c r="R75" i="110" a="1"/>
  <c r="R75" i="110" s="1"/>
  <c r="Q75" i="110" a="1"/>
  <c r="Q75" i="110" s="1"/>
  <c r="P75" i="110" a="1"/>
  <c r="P75" i="110" s="1"/>
  <c r="O75" i="110" a="1"/>
  <c r="O75" i="110" s="1"/>
  <c r="N75" i="110" a="1"/>
  <c r="N75" i="110" s="1"/>
  <c r="M75" i="110" a="1"/>
  <c r="M75" i="110" s="1"/>
  <c r="L75" i="110" a="1"/>
  <c r="L75" i="110" s="1"/>
  <c r="K75" i="110" a="1"/>
  <c r="K75" i="110" s="1"/>
  <c r="J75" i="110" a="1"/>
  <c r="J75" i="110" s="1"/>
  <c r="I75" i="110" a="1"/>
  <c r="I75" i="110" s="1"/>
  <c r="H75" i="110" a="1"/>
  <c r="H75" i="110" s="1"/>
  <c r="G75" i="110" a="1"/>
  <c r="G75" i="110" s="1"/>
  <c r="F75" i="110" a="1"/>
  <c r="F75" i="110" s="1"/>
  <c r="E75" i="110" a="1"/>
  <c r="E75" i="110" s="1"/>
  <c r="D75" i="110" a="1"/>
  <c r="D75" i="110" s="1"/>
  <c r="W74" i="110" a="1"/>
  <c r="W74" i="110" s="1"/>
  <c r="V74" i="110" a="1"/>
  <c r="V74" i="110" s="1"/>
  <c r="U74" i="110" a="1"/>
  <c r="U74" i="110" s="1"/>
  <c r="T74" i="110" a="1"/>
  <c r="T74" i="110" s="1"/>
  <c r="S74" i="110" a="1"/>
  <c r="S74" i="110" s="1"/>
  <c r="R74" i="110" a="1"/>
  <c r="R74" i="110" s="1"/>
  <c r="Q74" i="110" a="1"/>
  <c r="Q74" i="110" s="1"/>
  <c r="P74" i="110" a="1"/>
  <c r="P74" i="110" s="1"/>
  <c r="O74" i="110" a="1"/>
  <c r="O74" i="110" s="1"/>
  <c r="N74" i="110" a="1"/>
  <c r="N74" i="110" s="1"/>
  <c r="M74" i="110" a="1"/>
  <c r="M74" i="110" s="1"/>
  <c r="L74" i="110" a="1"/>
  <c r="L74" i="110" s="1"/>
  <c r="K74" i="110" a="1"/>
  <c r="K74" i="110" s="1"/>
  <c r="J74" i="110" a="1"/>
  <c r="J74" i="110" s="1"/>
  <c r="I74" i="110" a="1"/>
  <c r="I74" i="110" s="1"/>
  <c r="H74" i="110" a="1"/>
  <c r="H74" i="110" s="1"/>
  <c r="G74" i="110" a="1"/>
  <c r="G74" i="110" s="1"/>
  <c r="F74" i="110" a="1"/>
  <c r="F74" i="110" s="1"/>
  <c r="E74" i="110" a="1"/>
  <c r="E74" i="110" s="1"/>
  <c r="D74" i="110" a="1"/>
  <c r="D74" i="110" s="1"/>
  <c r="W73" i="110" a="1"/>
  <c r="W73" i="110" s="1"/>
  <c r="V73" i="110" a="1"/>
  <c r="V73" i="110" s="1"/>
  <c r="U73" i="110" a="1"/>
  <c r="U73" i="110" s="1"/>
  <c r="T73" i="110" a="1"/>
  <c r="T73" i="110" s="1"/>
  <c r="S73" i="110" a="1"/>
  <c r="S73" i="110" s="1"/>
  <c r="R73" i="110" a="1"/>
  <c r="R73" i="110" s="1"/>
  <c r="Q73" i="110" a="1"/>
  <c r="Q73" i="110" s="1"/>
  <c r="P73" i="110" a="1"/>
  <c r="P73" i="110" s="1"/>
  <c r="O73" i="110" a="1"/>
  <c r="O73" i="110" s="1"/>
  <c r="N73" i="110" a="1"/>
  <c r="N73" i="110" s="1"/>
  <c r="M73" i="110" a="1"/>
  <c r="M73" i="110" s="1"/>
  <c r="L73" i="110" a="1"/>
  <c r="L73" i="110" s="1"/>
  <c r="K73" i="110" a="1"/>
  <c r="K73" i="110" s="1"/>
  <c r="J73" i="110" a="1"/>
  <c r="J73" i="110" s="1"/>
  <c r="I73" i="110" a="1"/>
  <c r="I73" i="110" s="1"/>
  <c r="H73" i="110" a="1"/>
  <c r="H73" i="110" s="1"/>
  <c r="G73" i="110" a="1"/>
  <c r="G73" i="110" s="1"/>
  <c r="F73" i="110" a="1"/>
  <c r="F73" i="110" s="1"/>
  <c r="E73" i="110" a="1"/>
  <c r="E73" i="110" s="1"/>
  <c r="D73" i="110" a="1"/>
  <c r="D73" i="110" s="1"/>
  <c r="W72" i="110" a="1"/>
  <c r="W72" i="110" s="1"/>
  <c r="V72" i="110" a="1"/>
  <c r="V72" i="110" s="1"/>
  <c r="U72" i="110" a="1"/>
  <c r="U72" i="110" s="1"/>
  <c r="T72" i="110" a="1"/>
  <c r="T72" i="110" s="1"/>
  <c r="S72" i="110" a="1"/>
  <c r="S72" i="110" s="1"/>
  <c r="R72" i="110" a="1"/>
  <c r="R72" i="110" s="1"/>
  <c r="Q72" i="110" a="1"/>
  <c r="Q72" i="110" s="1"/>
  <c r="P72" i="110" a="1"/>
  <c r="P72" i="110" s="1"/>
  <c r="O72" i="110" a="1"/>
  <c r="O72" i="110" s="1"/>
  <c r="N72" i="110" a="1"/>
  <c r="N72" i="110" s="1"/>
  <c r="M72" i="110" a="1"/>
  <c r="M72" i="110" s="1"/>
  <c r="L72" i="110" a="1"/>
  <c r="L72" i="110" s="1"/>
  <c r="K72" i="110" a="1"/>
  <c r="K72" i="110" s="1"/>
  <c r="J72" i="110" a="1"/>
  <c r="J72" i="110" s="1"/>
  <c r="I72" i="110" a="1"/>
  <c r="I72" i="110" s="1"/>
  <c r="H72" i="110" a="1"/>
  <c r="H72" i="110" s="1"/>
  <c r="G72" i="110" a="1"/>
  <c r="G72" i="110" s="1"/>
  <c r="F72" i="110" a="1"/>
  <c r="F72" i="110" s="1"/>
  <c r="E72" i="110" a="1"/>
  <c r="E72" i="110" s="1"/>
  <c r="D72" i="110" a="1"/>
  <c r="D72" i="110" s="1"/>
  <c r="W71" i="110" a="1"/>
  <c r="W71" i="110" s="1"/>
  <c r="V71" i="110" a="1"/>
  <c r="V71" i="110" s="1"/>
  <c r="U71" i="110" a="1"/>
  <c r="U71" i="110" s="1"/>
  <c r="T71" i="110" a="1"/>
  <c r="T71" i="110" s="1"/>
  <c r="S71" i="110" a="1"/>
  <c r="S71" i="110" s="1"/>
  <c r="R71" i="110" a="1"/>
  <c r="R71" i="110" s="1"/>
  <c r="Q71" i="110" a="1"/>
  <c r="Q71" i="110" s="1"/>
  <c r="P71" i="110" a="1"/>
  <c r="P71" i="110" s="1"/>
  <c r="O71" i="110" a="1"/>
  <c r="O71" i="110" s="1"/>
  <c r="N71" i="110" a="1"/>
  <c r="N71" i="110" s="1"/>
  <c r="M71" i="110" a="1"/>
  <c r="M71" i="110" s="1"/>
  <c r="L71" i="110" a="1"/>
  <c r="L71" i="110" s="1"/>
  <c r="K71" i="110" a="1"/>
  <c r="K71" i="110" s="1"/>
  <c r="J71" i="110" a="1"/>
  <c r="J71" i="110" s="1"/>
  <c r="I71" i="110" a="1"/>
  <c r="I71" i="110" s="1"/>
  <c r="H71" i="110" a="1"/>
  <c r="H71" i="110" s="1"/>
  <c r="G71" i="110" a="1"/>
  <c r="G71" i="110" s="1"/>
  <c r="F71" i="110" a="1"/>
  <c r="F71" i="110" s="1"/>
  <c r="E71" i="110" a="1"/>
  <c r="E71" i="110" s="1"/>
  <c r="D71" i="110" a="1"/>
  <c r="D71" i="110" s="1"/>
  <c r="W70" i="110" a="1"/>
  <c r="W70" i="110" s="1"/>
  <c r="V70" i="110" a="1"/>
  <c r="V70" i="110" s="1"/>
  <c r="U70" i="110" a="1"/>
  <c r="U70" i="110" s="1"/>
  <c r="T70" i="110" a="1"/>
  <c r="T70" i="110" s="1"/>
  <c r="S70" i="110" a="1"/>
  <c r="S70" i="110" s="1"/>
  <c r="R70" i="110" a="1"/>
  <c r="R70" i="110" s="1"/>
  <c r="Q70" i="110" a="1"/>
  <c r="Q70" i="110" s="1"/>
  <c r="P70" i="110" a="1"/>
  <c r="P70" i="110" s="1"/>
  <c r="O70" i="110" a="1"/>
  <c r="O70" i="110" s="1"/>
  <c r="N70" i="110" a="1"/>
  <c r="N70" i="110" s="1"/>
  <c r="M70" i="110" a="1"/>
  <c r="M70" i="110" s="1"/>
  <c r="L70" i="110" a="1"/>
  <c r="L70" i="110" s="1"/>
  <c r="K70" i="110" a="1"/>
  <c r="K70" i="110" s="1"/>
  <c r="J70" i="110" a="1"/>
  <c r="J70" i="110" s="1"/>
  <c r="I70" i="110" a="1"/>
  <c r="I70" i="110" s="1"/>
  <c r="H70" i="110" a="1"/>
  <c r="H70" i="110" s="1"/>
  <c r="G70" i="110" a="1"/>
  <c r="G70" i="110" s="1"/>
  <c r="F70" i="110" a="1"/>
  <c r="F70" i="110" s="1"/>
  <c r="E70" i="110" a="1"/>
  <c r="E70" i="110" s="1"/>
  <c r="D70" i="110" a="1"/>
  <c r="D70" i="110" s="1"/>
  <c r="W69" i="110" a="1"/>
  <c r="W69" i="110" s="1"/>
  <c r="V69" i="110" a="1"/>
  <c r="V69" i="110" s="1"/>
  <c r="U69" i="110" a="1"/>
  <c r="U69" i="110" s="1"/>
  <c r="T69" i="110" a="1"/>
  <c r="T69" i="110" s="1"/>
  <c r="S69" i="110" a="1"/>
  <c r="S69" i="110" s="1"/>
  <c r="R69" i="110" a="1"/>
  <c r="R69" i="110" s="1"/>
  <c r="Q69" i="110" a="1"/>
  <c r="Q69" i="110" s="1"/>
  <c r="P69" i="110" a="1"/>
  <c r="P69" i="110" s="1"/>
  <c r="O69" i="110" a="1"/>
  <c r="O69" i="110" s="1"/>
  <c r="N69" i="110" a="1"/>
  <c r="N69" i="110" s="1"/>
  <c r="M69" i="110" a="1"/>
  <c r="M69" i="110" s="1"/>
  <c r="L69" i="110" a="1"/>
  <c r="L69" i="110" s="1"/>
  <c r="K69" i="110" a="1"/>
  <c r="K69" i="110" s="1"/>
  <c r="J69" i="110" a="1"/>
  <c r="J69" i="110" s="1"/>
  <c r="I69" i="110" a="1"/>
  <c r="I69" i="110" s="1"/>
  <c r="H69" i="110" a="1"/>
  <c r="H69" i="110" s="1"/>
  <c r="G69" i="110" a="1"/>
  <c r="G69" i="110" s="1"/>
  <c r="F69" i="110" a="1"/>
  <c r="F69" i="110" s="1"/>
  <c r="E69" i="110" a="1"/>
  <c r="E69" i="110" s="1"/>
  <c r="D69" i="110" a="1"/>
  <c r="D69" i="110" s="1"/>
  <c r="W68" i="110" a="1"/>
  <c r="W68" i="110" s="1"/>
  <c r="V68" i="110" a="1"/>
  <c r="V68" i="110" s="1"/>
  <c r="U68" i="110" a="1"/>
  <c r="U68" i="110" s="1"/>
  <c r="T68" i="110" a="1"/>
  <c r="T68" i="110" s="1"/>
  <c r="S68" i="110" a="1"/>
  <c r="S68" i="110" s="1"/>
  <c r="R68" i="110" a="1"/>
  <c r="R68" i="110" s="1"/>
  <c r="Q68" i="110" a="1"/>
  <c r="Q68" i="110" s="1"/>
  <c r="P68" i="110" a="1"/>
  <c r="P68" i="110" s="1"/>
  <c r="O68" i="110" a="1"/>
  <c r="O68" i="110" s="1"/>
  <c r="N68" i="110" a="1"/>
  <c r="N68" i="110" s="1"/>
  <c r="M68" i="110" a="1"/>
  <c r="M68" i="110" s="1"/>
  <c r="L68" i="110" a="1"/>
  <c r="L68" i="110" s="1"/>
  <c r="K68" i="110" a="1"/>
  <c r="K68" i="110" s="1"/>
  <c r="J68" i="110" a="1"/>
  <c r="J68" i="110" s="1"/>
  <c r="I68" i="110" a="1"/>
  <c r="I68" i="110" s="1"/>
  <c r="H68" i="110" a="1"/>
  <c r="H68" i="110" s="1"/>
  <c r="G68" i="110" a="1"/>
  <c r="G68" i="110" s="1"/>
  <c r="F68" i="110" a="1"/>
  <c r="F68" i="110" s="1"/>
  <c r="E68" i="110" a="1"/>
  <c r="E68" i="110" s="1"/>
  <c r="D68" i="110" a="1"/>
  <c r="D68" i="110" s="1"/>
  <c r="W67" i="110" a="1"/>
  <c r="W67" i="110" s="1"/>
  <c r="V67" i="110" a="1"/>
  <c r="V67" i="110" s="1"/>
  <c r="U67" i="110" a="1"/>
  <c r="U67" i="110" s="1"/>
  <c r="T67" i="110" a="1"/>
  <c r="T67" i="110" s="1"/>
  <c r="S67" i="110" a="1"/>
  <c r="S67" i="110" s="1"/>
  <c r="R67" i="110" a="1"/>
  <c r="R67" i="110" s="1"/>
  <c r="Q67" i="110" a="1"/>
  <c r="Q67" i="110" s="1"/>
  <c r="P67" i="110" a="1"/>
  <c r="P67" i="110" s="1"/>
  <c r="O67" i="110" a="1"/>
  <c r="O67" i="110" s="1"/>
  <c r="N67" i="110" a="1"/>
  <c r="N67" i="110" s="1"/>
  <c r="M67" i="110" a="1"/>
  <c r="M67" i="110" s="1"/>
  <c r="L67" i="110" a="1"/>
  <c r="L67" i="110" s="1"/>
  <c r="K67" i="110" a="1"/>
  <c r="K67" i="110" s="1"/>
  <c r="J67" i="110" a="1"/>
  <c r="J67" i="110" s="1"/>
  <c r="I67" i="110" a="1"/>
  <c r="I67" i="110" s="1"/>
  <c r="H67" i="110" a="1"/>
  <c r="H67" i="110" s="1"/>
  <c r="G67" i="110" a="1"/>
  <c r="G67" i="110" s="1"/>
  <c r="F67" i="110" a="1"/>
  <c r="F67" i="110" s="1"/>
  <c r="E67" i="110" a="1"/>
  <c r="E67" i="110" s="1"/>
  <c r="D67" i="110" a="1"/>
  <c r="D67" i="110" s="1"/>
  <c r="W66" i="110" a="1"/>
  <c r="W66" i="110" s="1"/>
  <c r="V66" i="110" a="1"/>
  <c r="V66" i="110" s="1"/>
  <c r="U66" i="110" a="1"/>
  <c r="U66" i="110" s="1"/>
  <c r="T66" i="110" a="1"/>
  <c r="T66" i="110" s="1"/>
  <c r="S66" i="110" a="1"/>
  <c r="S66" i="110" s="1"/>
  <c r="R66" i="110" a="1"/>
  <c r="R66" i="110" s="1"/>
  <c r="Q66" i="110" a="1"/>
  <c r="Q66" i="110" s="1"/>
  <c r="P66" i="110" a="1"/>
  <c r="P66" i="110" s="1"/>
  <c r="O66" i="110" a="1"/>
  <c r="O66" i="110" s="1"/>
  <c r="N66" i="110" a="1"/>
  <c r="N66" i="110" s="1"/>
  <c r="M66" i="110" a="1"/>
  <c r="M66" i="110" s="1"/>
  <c r="L66" i="110" a="1"/>
  <c r="L66" i="110" s="1"/>
  <c r="K66" i="110" a="1"/>
  <c r="K66" i="110" s="1"/>
  <c r="J66" i="110" a="1"/>
  <c r="J66" i="110" s="1"/>
  <c r="I66" i="110" a="1"/>
  <c r="I66" i="110" s="1"/>
  <c r="H66" i="110" a="1"/>
  <c r="H66" i="110" s="1"/>
  <c r="G66" i="110" a="1"/>
  <c r="G66" i="110" s="1"/>
  <c r="F66" i="110" a="1"/>
  <c r="F66" i="110" s="1"/>
  <c r="E66" i="110" a="1"/>
  <c r="E66" i="110" s="1"/>
  <c r="D66" i="110" a="1"/>
  <c r="D66" i="110" s="1"/>
  <c r="W65" i="110" a="1"/>
  <c r="W65" i="110" s="1"/>
  <c r="V65" i="110" a="1"/>
  <c r="V65" i="110" s="1"/>
  <c r="U65" i="110" a="1"/>
  <c r="U65" i="110" s="1"/>
  <c r="T65" i="110" a="1"/>
  <c r="T65" i="110" s="1"/>
  <c r="S65" i="110" a="1"/>
  <c r="S65" i="110" s="1"/>
  <c r="R65" i="110" a="1"/>
  <c r="R65" i="110" s="1"/>
  <c r="Q65" i="110" a="1"/>
  <c r="Q65" i="110" s="1"/>
  <c r="P65" i="110" a="1"/>
  <c r="P65" i="110" s="1"/>
  <c r="O65" i="110" a="1"/>
  <c r="O65" i="110" s="1"/>
  <c r="N65" i="110" a="1"/>
  <c r="N65" i="110" s="1"/>
  <c r="M65" i="110" a="1"/>
  <c r="M65" i="110" s="1"/>
  <c r="L65" i="110" a="1"/>
  <c r="L65" i="110" s="1"/>
  <c r="K65" i="110" a="1"/>
  <c r="K65" i="110" s="1"/>
  <c r="J65" i="110" a="1"/>
  <c r="J65" i="110" s="1"/>
  <c r="I65" i="110" a="1"/>
  <c r="I65" i="110" s="1"/>
  <c r="H65" i="110" a="1"/>
  <c r="H65" i="110" s="1"/>
  <c r="G65" i="110" a="1"/>
  <c r="G65" i="110" s="1"/>
  <c r="F65" i="110" a="1"/>
  <c r="F65" i="110" s="1"/>
  <c r="E65" i="110" a="1"/>
  <c r="E65" i="110" s="1"/>
  <c r="D65" i="110" a="1"/>
  <c r="D65" i="110" s="1"/>
  <c r="W64" i="110" a="1"/>
  <c r="W64" i="110" s="1"/>
  <c r="V64" i="110" a="1"/>
  <c r="V64" i="110" s="1"/>
  <c r="U64" i="110" a="1"/>
  <c r="U64" i="110" s="1"/>
  <c r="T64" i="110" a="1"/>
  <c r="T64" i="110" s="1"/>
  <c r="S64" i="110" a="1"/>
  <c r="S64" i="110" s="1"/>
  <c r="R64" i="110" a="1"/>
  <c r="R64" i="110" s="1"/>
  <c r="Q64" i="110" a="1"/>
  <c r="Q64" i="110" s="1"/>
  <c r="P64" i="110" a="1"/>
  <c r="P64" i="110" s="1"/>
  <c r="O64" i="110" a="1"/>
  <c r="O64" i="110" s="1"/>
  <c r="N64" i="110" a="1"/>
  <c r="N64" i="110" s="1"/>
  <c r="M64" i="110" a="1"/>
  <c r="M64" i="110" s="1"/>
  <c r="L64" i="110" a="1"/>
  <c r="L64" i="110" s="1"/>
  <c r="K64" i="110" a="1"/>
  <c r="K64" i="110" s="1"/>
  <c r="J64" i="110" a="1"/>
  <c r="J64" i="110" s="1"/>
  <c r="I64" i="110" a="1"/>
  <c r="I64" i="110" s="1"/>
  <c r="H64" i="110" a="1"/>
  <c r="H64" i="110" s="1"/>
  <c r="G64" i="110" a="1"/>
  <c r="G64" i="110" s="1"/>
  <c r="F64" i="110" a="1"/>
  <c r="F64" i="110" s="1"/>
  <c r="E64" i="110" a="1"/>
  <c r="E64" i="110" s="1"/>
  <c r="D64" i="110" a="1"/>
  <c r="D64" i="110" s="1"/>
  <c r="W63" i="110" a="1"/>
  <c r="W63" i="110" s="1"/>
  <c r="V63" i="110" a="1"/>
  <c r="V63" i="110" s="1"/>
  <c r="U63" i="110" a="1"/>
  <c r="U63" i="110" s="1"/>
  <c r="T63" i="110" a="1"/>
  <c r="T63" i="110" s="1"/>
  <c r="S63" i="110" a="1"/>
  <c r="S63" i="110" s="1"/>
  <c r="R63" i="110" a="1"/>
  <c r="R63" i="110" s="1"/>
  <c r="Q63" i="110" a="1"/>
  <c r="Q63" i="110" s="1"/>
  <c r="P63" i="110" a="1"/>
  <c r="P63" i="110" s="1"/>
  <c r="O63" i="110" a="1"/>
  <c r="O63" i="110" s="1"/>
  <c r="N63" i="110" a="1"/>
  <c r="N63" i="110" s="1"/>
  <c r="M63" i="110" a="1"/>
  <c r="M63" i="110" s="1"/>
  <c r="L63" i="110" a="1"/>
  <c r="L63" i="110" s="1"/>
  <c r="K63" i="110" a="1"/>
  <c r="K63" i="110" s="1"/>
  <c r="J63" i="110" a="1"/>
  <c r="J63" i="110" s="1"/>
  <c r="I63" i="110" a="1"/>
  <c r="I63" i="110" s="1"/>
  <c r="H63" i="110" a="1"/>
  <c r="H63" i="110" s="1"/>
  <c r="G63" i="110" a="1"/>
  <c r="G63" i="110" s="1"/>
  <c r="F63" i="110" a="1"/>
  <c r="F63" i="110" s="1"/>
  <c r="E63" i="110" a="1"/>
  <c r="E63" i="110" s="1"/>
  <c r="D63" i="110" a="1"/>
  <c r="D63" i="110" s="1"/>
  <c r="I34" i="110" a="1"/>
  <c r="I34" i="110" s="1"/>
  <c r="H34" i="110" a="1"/>
  <c r="H34" i="110" s="1"/>
  <c r="G34" i="110" a="1"/>
  <c r="G34" i="110" s="1"/>
  <c r="F34" i="110" a="1"/>
  <c r="F34" i="110" s="1"/>
  <c r="E34" i="110" a="1"/>
  <c r="E34" i="110" s="1"/>
  <c r="D34" i="110" a="1"/>
  <c r="D34" i="110" s="1"/>
  <c r="I33" i="110" a="1"/>
  <c r="I33" i="110" s="1"/>
  <c r="H33" i="110" a="1"/>
  <c r="H33" i="110" s="1"/>
  <c r="G33" i="110" a="1"/>
  <c r="G33" i="110" s="1"/>
  <c r="F33" i="110" a="1"/>
  <c r="F33" i="110" s="1"/>
  <c r="E33" i="110" a="1"/>
  <c r="E33" i="110" s="1"/>
  <c r="D33" i="110" a="1"/>
  <c r="D33" i="110" s="1"/>
  <c r="I32" i="110" a="1"/>
  <c r="I32" i="110" s="1"/>
  <c r="H32" i="110" a="1"/>
  <c r="H32" i="110" s="1"/>
  <c r="G32" i="110" a="1"/>
  <c r="G32" i="110" s="1"/>
  <c r="F32" i="110" a="1"/>
  <c r="F32" i="110" s="1"/>
  <c r="E32" i="110" a="1"/>
  <c r="E32" i="110" s="1"/>
  <c r="D32" i="110" a="1"/>
  <c r="D32" i="110" s="1"/>
  <c r="I31" i="110" a="1"/>
  <c r="I31" i="110" s="1"/>
  <c r="H31" i="110" a="1"/>
  <c r="H31" i="110" s="1"/>
  <c r="G31" i="110" a="1"/>
  <c r="G31" i="110" s="1"/>
  <c r="F31" i="110" a="1"/>
  <c r="F31" i="110" s="1"/>
  <c r="E31" i="110" a="1"/>
  <c r="E31" i="110" s="1"/>
  <c r="D31" i="110" a="1"/>
  <c r="D31" i="110" s="1"/>
  <c r="I30" i="110" a="1"/>
  <c r="I30" i="110" s="1"/>
  <c r="H30" i="110" a="1"/>
  <c r="H30" i="110" s="1"/>
  <c r="G30" i="110" a="1"/>
  <c r="G30" i="110" s="1"/>
  <c r="F30" i="110" a="1"/>
  <c r="F30" i="110" s="1"/>
  <c r="E30" i="110" a="1"/>
  <c r="E30" i="110" s="1"/>
  <c r="D30" i="110" a="1"/>
  <c r="D30" i="110" s="1"/>
  <c r="I29" i="110" a="1"/>
  <c r="I29" i="110" s="1"/>
  <c r="H29" i="110" a="1"/>
  <c r="H29" i="110" s="1"/>
  <c r="G29" i="110" a="1"/>
  <c r="G29" i="110" s="1"/>
  <c r="F29" i="110" a="1"/>
  <c r="F29" i="110" s="1"/>
  <c r="E29" i="110" a="1"/>
  <c r="E29" i="110" s="1"/>
  <c r="D29" i="110" a="1"/>
  <c r="D29" i="110" s="1"/>
  <c r="I28" i="110" a="1"/>
  <c r="I28" i="110" s="1"/>
  <c r="H28" i="110" a="1"/>
  <c r="H28" i="110" s="1"/>
  <c r="G28" i="110" a="1"/>
  <c r="G28" i="110" s="1"/>
  <c r="F28" i="110" a="1"/>
  <c r="F28" i="110" s="1"/>
  <c r="E28" i="110" a="1"/>
  <c r="E28" i="110" s="1"/>
  <c r="D28" i="110" a="1"/>
  <c r="D28" i="110" s="1"/>
  <c r="I27" i="110" a="1"/>
  <c r="I27" i="110" s="1"/>
  <c r="H27" i="110" a="1"/>
  <c r="H27" i="110" s="1"/>
  <c r="G27" i="110" a="1"/>
  <c r="G27" i="110" s="1"/>
  <c r="F27" i="110" a="1"/>
  <c r="F27" i="110" s="1"/>
  <c r="E27" i="110" a="1"/>
  <c r="E27" i="110" s="1"/>
  <c r="D27" i="110" a="1"/>
  <c r="D27" i="110" s="1"/>
  <c r="I26" i="110" a="1"/>
  <c r="I26" i="110" s="1"/>
  <c r="H26" i="110" a="1"/>
  <c r="H26" i="110" s="1"/>
  <c r="G26" i="110" a="1"/>
  <c r="G26" i="110" s="1"/>
  <c r="F26" i="110" a="1"/>
  <c r="F26" i="110" s="1"/>
  <c r="E26" i="110" a="1"/>
  <c r="E26" i="110" s="1"/>
  <c r="D26" i="110" a="1"/>
  <c r="D26" i="110" s="1"/>
  <c r="I25" i="110" a="1"/>
  <c r="I25" i="110" s="1"/>
  <c r="H25" i="110" a="1"/>
  <c r="H25" i="110" s="1"/>
  <c r="G25" i="110" a="1"/>
  <c r="G25" i="110" s="1"/>
  <c r="F25" i="110" a="1"/>
  <c r="F25" i="110" s="1"/>
  <c r="E25" i="110" a="1"/>
  <c r="E25" i="110" s="1"/>
  <c r="D25" i="110" a="1"/>
  <c r="D25" i="110" s="1"/>
  <c r="I24" i="110" a="1"/>
  <c r="I24" i="110" s="1"/>
  <c r="H24" i="110" a="1"/>
  <c r="H24" i="110" s="1"/>
  <c r="G24" i="110" a="1"/>
  <c r="G24" i="110" s="1"/>
  <c r="F24" i="110" a="1"/>
  <c r="F24" i="110" s="1"/>
  <c r="E24" i="110" a="1"/>
  <c r="E24" i="110" s="1"/>
  <c r="D24" i="110" a="1"/>
  <c r="D24" i="110" s="1"/>
  <c r="I23" i="110" a="1"/>
  <c r="I23" i="110" s="1"/>
  <c r="H23" i="110" a="1"/>
  <c r="H23" i="110" s="1"/>
  <c r="G23" i="110" a="1"/>
  <c r="G23" i="110" s="1"/>
  <c r="F23" i="110" a="1"/>
  <c r="F23" i="110" s="1"/>
  <c r="E23" i="110" a="1"/>
  <c r="E23" i="110" s="1"/>
  <c r="D23" i="110" a="1"/>
  <c r="D23" i="110" s="1"/>
  <c r="I22" i="110" a="1"/>
  <c r="I22" i="110" s="1"/>
  <c r="H22" i="110" a="1"/>
  <c r="H22" i="110" s="1"/>
  <c r="G22" i="110" a="1"/>
  <c r="G22" i="110" s="1"/>
  <c r="F22" i="110" a="1"/>
  <c r="F22" i="110" s="1"/>
  <c r="E22" i="110" a="1"/>
  <c r="E22" i="110" s="1"/>
  <c r="D22" i="110" a="1"/>
  <c r="D22" i="110" s="1"/>
  <c r="I21" i="110" a="1"/>
  <c r="I21" i="110" s="1"/>
  <c r="H21" i="110" a="1"/>
  <c r="H21" i="110" s="1"/>
  <c r="G21" i="110" a="1"/>
  <c r="G21" i="110" s="1"/>
  <c r="F21" i="110" a="1"/>
  <c r="F21" i="110" s="1"/>
  <c r="E21" i="110" a="1"/>
  <c r="E21" i="110" s="1"/>
  <c r="D21" i="110" a="1"/>
  <c r="D21" i="110" s="1"/>
  <c r="I20" i="110" a="1"/>
  <c r="I20" i="110" s="1"/>
  <c r="H20" i="110" a="1"/>
  <c r="H20" i="110" s="1"/>
  <c r="G20" i="110" a="1"/>
  <c r="G20" i="110" s="1"/>
  <c r="F20" i="110" a="1"/>
  <c r="F20" i="110" s="1"/>
  <c r="E20" i="110" a="1"/>
  <c r="E20" i="110" s="1"/>
  <c r="D20" i="110" a="1"/>
  <c r="D20" i="110" s="1"/>
  <c r="I19" i="110" a="1"/>
  <c r="I19" i="110" s="1"/>
  <c r="H19" i="110" a="1"/>
  <c r="H19" i="110" s="1"/>
  <c r="G19" i="110" a="1"/>
  <c r="G19" i="110" s="1"/>
  <c r="F19" i="110" a="1"/>
  <c r="F19" i="110" s="1"/>
  <c r="E19" i="110" a="1"/>
  <c r="E19" i="110" s="1"/>
  <c r="D19" i="110" a="1"/>
  <c r="D19" i="110" s="1"/>
  <c r="I18" i="110" a="1"/>
  <c r="I18" i="110" s="1"/>
  <c r="H18" i="110" a="1"/>
  <c r="H18" i="110" s="1"/>
  <c r="G18" i="110" a="1"/>
  <c r="G18" i="110" s="1"/>
  <c r="F18" i="110" a="1"/>
  <c r="F18" i="110" s="1"/>
  <c r="E18" i="110" a="1"/>
  <c r="E18" i="110" s="1"/>
  <c r="D18" i="110" a="1"/>
  <c r="D18" i="110" s="1"/>
  <c r="I17" i="110" a="1"/>
  <c r="I17" i="110" s="1"/>
  <c r="H17" i="110" a="1"/>
  <c r="H17" i="110" s="1"/>
  <c r="G17" i="110" a="1"/>
  <c r="G17" i="110" s="1"/>
  <c r="F17" i="110" a="1"/>
  <c r="F17" i="110" s="1"/>
  <c r="E17" i="110" a="1"/>
  <c r="E17" i="110" s="1"/>
  <c r="D17" i="110" a="1"/>
  <c r="D17" i="110" s="1"/>
  <c r="D5" i="110" a="1"/>
  <c r="D5" i="110" s="1"/>
  <c r="P23" i="70" l="1"/>
  <c r="O51" i="69" s="1" a="1"/>
  <c r="O51" i="69" s="1"/>
  <c r="W51" i="69" s="1"/>
  <c r="D61" i="74" a="1"/>
  <c r="D61" i="74" s="1"/>
  <c r="D64" i="69" a="1"/>
  <c r="D64" i="69" s="1"/>
  <c r="D21" i="74" a="1"/>
  <c r="D21" i="69" a="1"/>
  <c r="P18" i="70" a="1"/>
  <c r="P18" i="70" s="1"/>
  <c r="I18" i="70" a="1"/>
  <c r="I18" i="70" s="1"/>
  <c r="O18" i="70" a="1"/>
  <c r="O18" i="70" s="1"/>
  <c r="N18" i="70" a="1"/>
  <c r="N18" i="70" s="1"/>
  <c r="L18" i="70" a="1"/>
  <c r="L18" i="70" s="1"/>
  <c r="K18" i="70" a="1"/>
  <c r="K18" i="70" s="1"/>
  <c r="S18" i="70" a="1"/>
  <c r="S18" i="70" s="1"/>
  <c r="M18" i="70" a="1"/>
  <c r="M18" i="70" s="1"/>
  <c r="Q18" i="70" a="1"/>
  <c r="Q18" i="70" s="1"/>
  <c r="J18" i="70" a="1"/>
  <c r="J18" i="70" s="1"/>
  <c r="H18" i="70" a="1"/>
  <c r="H18" i="70" s="1"/>
  <c r="R18" i="70" a="1"/>
  <c r="R18" i="70" s="1"/>
  <c r="A13" i="43"/>
  <c r="A13" i="79"/>
  <c r="A13" i="15"/>
  <c r="A13" i="13"/>
  <c r="A24" i="43"/>
  <c r="A23" i="43"/>
  <c r="A22" i="43"/>
  <c r="A21" i="43"/>
  <c r="A18" i="43"/>
  <c r="A17" i="43"/>
  <c r="A16" i="43"/>
  <c r="A15" i="43"/>
  <c r="A14" i="43"/>
  <c r="A12" i="43"/>
  <c r="A11" i="43"/>
  <c r="A8" i="43"/>
  <c r="A7" i="43"/>
  <c r="A4" i="43"/>
  <c r="A3" i="43"/>
  <c r="A24" i="79"/>
  <c r="A23" i="79"/>
  <c r="A22" i="79"/>
  <c r="A21" i="79"/>
  <c r="A18" i="79"/>
  <c r="A17" i="79"/>
  <c r="A16" i="79"/>
  <c r="A15" i="79"/>
  <c r="A14" i="79"/>
  <c r="A12" i="79"/>
  <c r="A11" i="79"/>
  <c r="A8" i="79"/>
  <c r="A7" i="79"/>
  <c r="A4" i="79"/>
  <c r="A3" i="79"/>
  <c r="A24" i="15"/>
  <c r="A23" i="15"/>
  <c r="A22" i="15"/>
  <c r="A21" i="15"/>
  <c r="A18" i="15"/>
  <c r="A17" i="15"/>
  <c r="A16" i="15"/>
  <c r="A15" i="15"/>
  <c r="A14" i="15"/>
  <c r="A12" i="15"/>
  <c r="A11" i="15"/>
  <c r="A8" i="15"/>
  <c r="A7" i="15"/>
  <c r="A4" i="15"/>
  <c r="A3" i="15"/>
  <c r="A21" i="13"/>
  <c r="A8" i="13"/>
  <c r="A18" i="13"/>
  <c r="A17" i="13"/>
  <c r="A16" i="13"/>
  <c r="A24" i="13"/>
  <c r="A23" i="13"/>
  <c r="A22" i="13"/>
  <c r="A15" i="13"/>
  <c r="A14" i="13"/>
  <c r="A12" i="13"/>
  <c r="A11" i="13"/>
  <c r="T51" i="69" l="1"/>
  <c r="S51" i="69" a="1"/>
  <c r="S51" i="69" s="1"/>
  <c r="R51" i="69" a="1"/>
  <c r="R51" i="69" s="1"/>
  <c r="Q51" i="69"/>
  <c r="E34" i="74" a="1"/>
  <c r="E34" i="74" s="1"/>
  <c r="E38" i="74" a="1"/>
  <c r="E38" i="74" s="1"/>
  <c r="E29" i="74" a="1"/>
  <c r="E29" i="74" s="1"/>
  <c r="E28" i="74" a="1"/>
  <c r="E28" i="74" s="1"/>
  <c r="E30" i="74" a="1"/>
  <c r="E30" i="74" s="1"/>
  <c r="E22" i="74" a="1"/>
  <c r="E22" i="74" s="1"/>
  <c r="E37" i="74" a="1"/>
  <c r="E37" i="74" s="1"/>
  <c r="E25" i="74" a="1"/>
  <c r="E25" i="74" s="1"/>
  <c r="E26" i="74" a="1"/>
  <c r="E26" i="74" s="1"/>
  <c r="E24" i="74" a="1"/>
  <c r="E24" i="74" s="1"/>
  <c r="E35" i="74" a="1"/>
  <c r="E35" i="74" s="1"/>
  <c r="E33" i="74" a="1"/>
  <c r="E33" i="74" s="1"/>
  <c r="E32" i="74" a="1"/>
  <c r="E32" i="74" s="1"/>
  <c r="E23" i="74" a="1"/>
  <c r="E23" i="74" s="1"/>
  <c r="E31" i="74" a="1"/>
  <c r="E31" i="74" s="1"/>
  <c r="E27" i="74" a="1"/>
  <c r="E27" i="74" s="1"/>
  <c r="E36" i="74" a="1"/>
  <c r="E36" i="74" s="1"/>
  <c r="E36" i="69" a="1"/>
  <c r="E36" i="69" s="1"/>
  <c r="E34" i="69" a="1"/>
  <c r="E34" i="69" s="1"/>
  <c r="E37" i="69" a="1"/>
  <c r="E37" i="69" s="1"/>
  <c r="E23" i="69" a="1"/>
  <c r="E23" i="69" s="1"/>
  <c r="E22" i="69" a="1"/>
  <c r="E22" i="69" s="1"/>
  <c r="E35" i="69" a="1"/>
  <c r="E35" i="69" s="1"/>
  <c r="E30" i="69" a="1"/>
  <c r="E30" i="69" s="1"/>
  <c r="E33" i="69" a="1"/>
  <c r="E33" i="69" s="1"/>
  <c r="E32" i="69" a="1"/>
  <c r="E32" i="69" s="1"/>
  <c r="E38" i="69" a="1"/>
  <c r="E38" i="69" s="1"/>
  <c r="E31" i="69" a="1"/>
  <c r="E31" i="69" s="1"/>
  <c r="E29" i="69" a="1"/>
  <c r="E29" i="69" s="1"/>
  <c r="E27" i="69" a="1"/>
  <c r="E27" i="69" s="1"/>
  <c r="E24" i="69" a="1"/>
  <c r="E24" i="69" s="1"/>
  <c r="E28" i="69" a="1"/>
  <c r="E28" i="69" s="1"/>
  <c r="E26" i="69" a="1"/>
  <c r="E26" i="69" s="1"/>
  <c r="E25" i="69" a="1"/>
  <c r="E25" i="69" s="1"/>
  <c r="F35" i="69" a="1"/>
  <c r="F35" i="69" s="1"/>
  <c r="F28" i="69" a="1"/>
  <c r="F28" i="69" s="1"/>
  <c r="F24" i="69" a="1"/>
  <c r="F24" i="69" s="1"/>
  <c r="F30" i="69" a="1"/>
  <c r="F30" i="69" s="1"/>
  <c r="F34" i="69" a="1"/>
  <c r="F34" i="69" s="1"/>
  <c r="F29" i="69" a="1"/>
  <c r="F29" i="69" s="1"/>
  <c r="F38" i="69" a="1"/>
  <c r="F38" i="69" s="1"/>
  <c r="F32" i="69" a="1"/>
  <c r="F32" i="69" s="1"/>
  <c r="F37" i="69" a="1"/>
  <c r="F37" i="69" s="1"/>
  <c r="F31" i="69" a="1"/>
  <c r="F31" i="69" s="1"/>
  <c r="F23" i="69" a="1"/>
  <c r="F23" i="69" s="1"/>
  <c r="D21" i="69"/>
  <c r="F21" i="69" s="1" a="1"/>
  <c r="F21" i="69" s="1"/>
  <c r="F36" i="69" a="1"/>
  <c r="F36" i="69" s="1"/>
  <c r="F33" i="69" a="1"/>
  <c r="F33" i="69" s="1"/>
  <c r="F27" i="69" a="1"/>
  <c r="F27" i="69" s="1"/>
  <c r="F26" i="69" a="1"/>
  <c r="F26" i="69" s="1"/>
  <c r="F25" i="69" a="1"/>
  <c r="F25" i="69" s="1"/>
  <c r="F22" i="69" a="1"/>
  <c r="F22" i="69" s="1"/>
  <c r="F34" i="74" a="1"/>
  <c r="F34" i="74" s="1"/>
  <c r="F26" i="74" a="1"/>
  <c r="F26" i="74" s="1"/>
  <c r="F22" i="74" a="1"/>
  <c r="F22" i="74" s="1"/>
  <c r="F24" i="74" a="1"/>
  <c r="F24" i="74" s="1"/>
  <c r="F27" i="74" a="1"/>
  <c r="F27" i="74" s="1"/>
  <c r="F37" i="74" a="1"/>
  <c r="F37" i="74" s="1"/>
  <c r="F31" i="74" a="1"/>
  <c r="F31" i="74" s="1"/>
  <c r="F38" i="74" a="1"/>
  <c r="F38" i="74" s="1"/>
  <c r="F33" i="74" a="1"/>
  <c r="F33" i="74" s="1"/>
  <c r="F36" i="74" a="1"/>
  <c r="F36" i="74" s="1"/>
  <c r="D21" i="74"/>
  <c r="F21" i="74" s="1" a="1"/>
  <c r="F21" i="74" s="1"/>
  <c r="F25" i="74" a="1"/>
  <c r="F25" i="74" s="1"/>
  <c r="F28" i="74" a="1"/>
  <c r="F28" i="74" s="1"/>
  <c r="F32" i="74" a="1"/>
  <c r="F32" i="74" s="1"/>
  <c r="F35" i="74" a="1"/>
  <c r="F35" i="74" s="1"/>
  <c r="F29" i="74" a="1"/>
  <c r="F29" i="74" s="1"/>
  <c r="F23" i="74" a="1"/>
  <c r="F23" i="74" s="1"/>
  <c r="F30" i="74" a="1"/>
  <c r="F30" i="74" s="1"/>
  <c r="T18" i="70"/>
  <c r="O46" i="69" s="1" a="1"/>
  <c r="O46" i="69" s="1"/>
  <c r="W46" i="69" s="1"/>
  <c r="E111" i="79" a="1"/>
  <c r="E111" i="79" s="1"/>
  <c r="D111" i="79" a="1"/>
  <c r="D111" i="79" s="1"/>
  <c r="D110" i="79" a="1"/>
  <c r="D110" i="79" s="1"/>
  <c r="D109" i="79" a="1"/>
  <c r="D109" i="79" s="1"/>
  <c r="D106" i="79" a="1"/>
  <c r="D106" i="79" s="1"/>
  <c r="E106" i="79" a="1"/>
  <c r="E106" i="79" s="1"/>
  <c r="F106" i="79" a="1"/>
  <c r="F106" i="79" s="1"/>
  <c r="D105" i="79" a="1"/>
  <c r="D105" i="79" s="1"/>
  <c r="E105" i="79" a="1"/>
  <c r="E105" i="79" s="1"/>
  <c r="F105" i="79" a="1"/>
  <c r="F105" i="79" s="1"/>
  <c r="D104" i="79" a="1"/>
  <c r="D104" i="79" s="1"/>
  <c r="E104" i="79" a="1"/>
  <c r="E104" i="79" s="1"/>
  <c r="F104" i="79" a="1"/>
  <c r="F104" i="79" s="1"/>
  <c r="D103" i="79" a="1"/>
  <c r="D103" i="79" s="1"/>
  <c r="E103" i="79" a="1"/>
  <c r="E103" i="79" s="1"/>
  <c r="F103" i="79" a="1"/>
  <c r="F103" i="79" s="1"/>
  <c r="D102" i="79" a="1"/>
  <c r="D102" i="79" s="1"/>
  <c r="E102" i="79" a="1"/>
  <c r="E102" i="79" s="1"/>
  <c r="F102" i="79" a="1"/>
  <c r="F102" i="79" s="1"/>
  <c r="D101" i="79" a="1"/>
  <c r="D101" i="79" s="1"/>
  <c r="E101" i="79" a="1"/>
  <c r="E101" i="79" s="1"/>
  <c r="F101" i="79" a="1"/>
  <c r="F101" i="79" s="1"/>
  <c r="D100" i="79" a="1"/>
  <c r="D100" i="79" s="1"/>
  <c r="E100" i="79" a="1"/>
  <c r="E100" i="79" s="1"/>
  <c r="F100" i="79" a="1"/>
  <c r="F100" i="79" s="1"/>
  <c r="F99" i="79" a="1"/>
  <c r="F99" i="79" s="1"/>
  <c r="E99" i="79" a="1"/>
  <c r="E99" i="79" s="1"/>
  <c r="D99" i="79" a="1"/>
  <c r="D99" i="79" s="1"/>
  <c r="D97" i="79" a="1"/>
  <c r="D97" i="79" s="1"/>
  <c r="D96" i="79" a="1"/>
  <c r="D96" i="79" s="1"/>
  <c r="D95" i="79" a="1"/>
  <c r="D95" i="79" s="1"/>
  <c r="D92" i="79" a="1"/>
  <c r="D92" i="79" s="1"/>
  <c r="E92" i="79" a="1"/>
  <c r="E92" i="79" s="1"/>
  <c r="F92" i="79" a="1"/>
  <c r="F92" i="79" s="1"/>
  <c r="D91" i="79" a="1"/>
  <c r="D91" i="79" s="1"/>
  <c r="E91" i="79" a="1"/>
  <c r="E91" i="79" s="1"/>
  <c r="F91" i="79" a="1"/>
  <c r="F91" i="79" s="1"/>
  <c r="D90" i="79" a="1"/>
  <c r="D90" i="79" s="1"/>
  <c r="E90" i="79" a="1"/>
  <c r="E90" i="79" s="1"/>
  <c r="F90" i="79" a="1"/>
  <c r="F90" i="79" s="1"/>
  <c r="D89" i="79" a="1"/>
  <c r="D89" i="79" s="1"/>
  <c r="E89" i="79" a="1"/>
  <c r="E89" i="79" s="1"/>
  <c r="F89" i="79" a="1"/>
  <c r="F89" i="79" s="1"/>
  <c r="D88" i="79" a="1"/>
  <c r="D88" i="79" s="1"/>
  <c r="E88" i="79" a="1"/>
  <c r="E88" i="79" s="1"/>
  <c r="F88" i="79" a="1"/>
  <c r="F88" i="79" s="1"/>
  <c r="D87" i="79" a="1"/>
  <c r="D87" i="79" s="1"/>
  <c r="E87" i="79" a="1"/>
  <c r="E87" i="79" s="1"/>
  <c r="F87" i="79" a="1"/>
  <c r="F87" i="79" s="1"/>
  <c r="F86" i="79" a="1"/>
  <c r="F86" i="79" s="1"/>
  <c r="E86" i="79" a="1"/>
  <c r="E86" i="79" s="1"/>
  <c r="D86" i="79" a="1"/>
  <c r="D86" i="79" s="1"/>
  <c r="D84" i="79" a="1"/>
  <c r="D84" i="79" s="1"/>
  <c r="D83" i="79" a="1"/>
  <c r="D83" i="79" s="1"/>
  <c r="D82" i="79" a="1"/>
  <c r="D82" i="79" s="1"/>
  <c r="F79" i="79" a="1"/>
  <c r="F79" i="79" s="1"/>
  <c r="E79" i="79" a="1"/>
  <c r="E79" i="79" s="1"/>
  <c r="D79" i="79" a="1"/>
  <c r="D79" i="79" s="1"/>
  <c r="F78" i="79" a="1"/>
  <c r="F78" i="79" s="1"/>
  <c r="E78" i="79" a="1"/>
  <c r="E78" i="79" s="1"/>
  <c r="D78" i="79" a="1"/>
  <c r="D78" i="79" s="1"/>
  <c r="F77" i="79" a="1"/>
  <c r="F77" i="79" s="1"/>
  <c r="E77" i="79" a="1"/>
  <c r="E77" i="79" s="1"/>
  <c r="D77" i="79" a="1"/>
  <c r="D77" i="79" s="1"/>
  <c r="D74" i="79" a="1"/>
  <c r="D74" i="79" s="1"/>
  <c r="D73" i="79" a="1"/>
  <c r="D73" i="79" s="1"/>
  <c r="D72" i="79" a="1"/>
  <c r="D72" i="79" s="1"/>
  <c r="N68" i="79" a="1"/>
  <c r="N68" i="79" s="1"/>
  <c r="M68" i="79" a="1"/>
  <c r="M68" i="79" s="1"/>
  <c r="L68" i="79" a="1"/>
  <c r="L68" i="79" s="1"/>
  <c r="K68" i="79" a="1"/>
  <c r="K68" i="79" s="1"/>
  <c r="J68" i="79" a="1"/>
  <c r="J68" i="79" s="1"/>
  <c r="I68" i="79" a="1"/>
  <c r="I68" i="79" s="1"/>
  <c r="H68" i="79" a="1"/>
  <c r="H68" i="79" s="1"/>
  <c r="G68" i="79" a="1"/>
  <c r="G68" i="79" s="1"/>
  <c r="F68" i="79" a="1"/>
  <c r="F68" i="79" s="1"/>
  <c r="E68" i="79" a="1"/>
  <c r="E68" i="79" s="1"/>
  <c r="D68" i="79" a="1"/>
  <c r="D68" i="79" s="1"/>
  <c r="N67" i="79" a="1"/>
  <c r="N67" i="79" s="1"/>
  <c r="M67" i="79" a="1"/>
  <c r="M67" i="79" s="1"/>
  <c r="L67" i="79" a="1"/>
  <c r="L67" i="79" s="1"/>
  <c r="K67" i="79" a="1"/>
  <c r="K67" i="79" s="1"/>
  <c r="J67" i="79" a="1"/>
  <c r="J67" i="79" s="1"/>
  <c r="I67" i="79" a="1"/>
  <c r="I67" i="79" s="1"/>
  <c r="H67" i="79" a="1"/>
  <c r="H67" i="79" s="1"/>
  <c r="G67" i="79" a="1"/>
  <c r="G67" i="79" s="1"/>
  <c r="F67" i="79" a="1"/>
  <c r="F67" i="79" s="1"/>
  <c r="E67" i="79" a="1"/>
  <c r="E67" i="79" s="1"/>
  <c r="D67" i="79" a="1"/>
  <c r="D67" i="79" s="1"/>
  <c r="N66" i="79" a="1"/>
  <c r="N66" i="79" s="1"/>
  <c r="M66" i="79" a="1"/>
  <c r="M66" i="79" s="1"/>
  <c r="L66" i="79" a="1"/>
  <c r="L66" i="79" s="1"/>
  <c r="K66" i="79" a="1"/>
  <c r="K66" i="79" s="1"/>
  <c r="J66" i="79" a="1"/>
  <c r="J66" i="79" s="1"/>
  <c r="I66" i="79" a="1"/>
  <c r="I66" i="79" s="1"/>
  <c r="H66" i="79" a="1"/>
  <c r="H66" i="79" s="1"/>
  <c r="G66" i="79" a="1"/>
  <c r="G66" i="79" s="1"/>
  <c r="F66" i="79" a="1"/>
  <c r="F66" i="79" s="1"/>
  <c r="E66" i="79" a="1"/>
  <c r="E66" i="79" s="1"/>
  <c r="D66" i="79" a="1"/>
  <c r="D66" i="79" s="1"/>
  <c r="N65" i="79" a="1"/>
  <c r="N65" i="79" s="1"/>
  <c r="M65" i="79" a="1"/>
  <c r="M65" i="79" s="1"/>
  <c r="L65" i="79" a="1"/>
  <c r="L65" i="79" s="1"/>
  <c r="K65" i="79" a="1"/>
  <c r="K65" i="79" s="1"/>
  <c r="J65" i="79" a="1"/>
  <c r="J65" i="79" s="1"/>
  <c r="I65" i="79" a="1"/>
  <c r="I65" i="79" s="1"/>
  <c r="H65" i="79" a="1"/>
  <c r="H65" i="79" s="1"/>
  <c r="G65" i="79" a="1"/>
  <c r="G65" i="79" s="1"/>
  <c r="F65" i="79" a="1"/>
  <c r="F65" i="79" s="1"/>
  <c r="E65" i="79" a="1"/>
  <c r="E65" i="79" s="1"/>
  <c r="D65" i="79" a="1"/>
  <c r="D65" i="79" s="1"/>
  <c r="N64" i="79" a="1"/>
  <c r="N64" i="79" s="1"/>
  <c r="M64" i="79" a="1"/>
  <c r="M64" i="79" s="1"/>
  <c r="L64" i="79" a="1"/>
  <c r="L64" i="79" s="1"/>
  <c r="K64" i="79" a="1"/>
  <c r="K64" i="79" s="1"/>
  <c r="J64" i="79" a="1"/>
  <c r="J64" i="79" s="1"/>
  <c r="I64" i="79" a="1"/>
  <c r="I64" i="79" s="1"/>
  <c r="H64" i="79" a="1"/>
  <c r="H64" i="79" s="1"/>
  <c r="G64" i="79" a="1"/>
  <c r="G64" i="79" s="1"/>
  <c r="F64" i="79" a="1"/>
  <c r="F64" i="79" s="1"/>
  <c r="E64" i="79" a="1"/>
  <c r="E64" i="79" s="1"/>
  <c r="D64" i="79" a="1"/>
  <c r="D64" i="79" s="1"/>
  <c r="N63" i="79" a="1"/>
  <c r="N63" i="79" s="1"/>
  <c r="M63" i="79" a="1"/>
  <c r="M63" i="79" s="1"/>
  <c r="L63" i="79" a="1"/>
  <c r="L63" i="79" s="1"/>
  <c r="K63" i="79" a="1"/>
  <c r="K63" i="79" s="1"/>
  <c r="J63" i="79" a="1"/>
  <c r="J63" i="79" s="1"/>
  <c r="I63" i="79" a="1"/>
  <c r="I63" i="79" s="1"/>
  <c r="H63" i="79" a="1"/>
  <c r="H63" i="79" s="1"/>
  <c r="G63" i="79" a="1"/>
  <c r="G63" i="79" s="1"/>
  <c r="F63" i="79" a="1"/>
  <c r="F63" i="79" s="1"/>
  <c r="E63" i="79" a="1"/>
  <c r="E63" i="79" s="1"/>
  <c r="D63" i="79" a="1"/>
  <c r="D63" i="79" s="1"/>
  <c r="N62" i="79" a="1"/>
  <c r="N62" i="79" s="1"/>
  <c r="M62" i="79" a="1"/>
  <c r="M62" i="79" s="1"/>
  <c r="L62" i="79" a="1"/>
  <c r="L62" i="79" s="1"/>
  <c r="K62" i="79" a="1"/>
  <c r="K62" i="79" s="1"/>
  <c r="J62" i="79" a="1"/>
  <c r="J62" i="79" s="1"/>
  <c r="I62" i="79" a="1"/>
  <c r="I62" i="79" s="1"/>
  <c r="H62" i="79" a="1"/>
  <c r="H62" i="79" s="1"/>
  <c r="G62" i="79" a="1"/>
  <c r="G62" i="79" s="1"/>
  <c r="F62" i="79" a="1"/>
  <c r="F62" i="79" s="1"/>
  <c r="E62" i="79" a="1"/>
  <c r="E62" i="79" s="1"/>
  <c r="D62" i="79" a="1"/>
  <c r="D62" i="79" s="1"/>
  <c r="N61" i="79" a="1"/>
  <c r="N61" i="79" s="1"/>
  <c r="M61" i="79" a="1"/>
  <c r="M61" i="79" s="1"/>
  <c r="L61" i="79" a="1"/>
  <c r="L61" i="79" s="1"/>
  <c r="K61" i="79" a="1"/>
  <c r="K61" i="79" s="1"/>
  <c r="J61" i="79" a="1"/>
  <c r="J61" i="79" s="1"/>
  <c r="I61" i="79" a="1"/>
  <c r="I61" i="79" s="1"/>
  <c r="H61" i="79" a="1"/>
  <c r="H61" i="79" s="1"/>
  <c r="G61" i="79" a="1"/>
  <c r="G61" i="79" s="1"/>
  <c r="F61" i="79" a="1"/>
  <c r="F61" i="79" s="1"/>
  <c r="E61" i="79" a="1"/>
  <c r="E61" i="79" s="1"/>
  <c r="D61" i="79" a="1"/>
  <c r="D61" i="79" s="1"/>
  <c r="N60" i="79" a="1"/>
  <c r="N60" i="79" s="1"/>
  <c r="M60" i="79" a="1"/>
  <c r="M60" i="79" s="1"/>
  <c r="L60" i="79" a="1"/>
  <c r="L60" i="79" s="1"/>
  <c r="K60" i="79" a="1"/>
  <c r="K60" i="79" s="1"/>
  <c r="J60" i="79" a="1"/>
  <c r="J60" i="79" s="1"/>
  <c r="I60" i="79" a="1"/>
  <c r="I60" i="79" s="1"/>
  <c r="H60" i="79" a="1"/>
  <c r="H60" i="79" s="1"/>
  <c r="G60" i="79" a="1"/>
  <c r="G60" i="79" s="1"/>
  <c r="F60" i="79" a="1"/>
  <c r="F60" i="79" s="1"/>
  <c r="E60" i="79" a="1"/>
  <c r="E60" i="79" s="1"/>
  <c r="D60" i="79" a="1"/>
  <c r="D60" i="79" s="1"/>
  <c r="D53" i="79" a="1"/>
  <c r="D53" i="79" s="1"/>
  <c r="D52" i="79" a="1"/>
  <c r="D52" i="79" s="1"/>
  <c r="D51" i="79" a="1"/>
  <c r="D51" i="79" s="1"/>
  <c r="D47" i="79" a="1"/>
  <c r="D47" i="79" s="1"/>
  <c r="D46" i="79" a="1"/>
  <c r="D46" i="79" s="1"/>
  <c r="D45" i="79" a="1"/>
  <c r="D45" i="79" s="1"/>
  <c r="E21" i="79" a="1"/>
  <c r="E21" i="79" s="1"/>
  <c r="D21" i="79" a="1"/>
  <c r="D21" i="79" s="1"/>
  <c r="E20" i="79" a="1"/>
  <c r="E20" i="79" s="1"/>
  <c r="D20" i="79" a="1"/>
  <c r="D20" i="79" s="1"/>
  <c r="D18" i="79" a="1"/>
  <c r="D18" i="79" s="1"/>
  <c r="D17" i="79" a="1"/>
  <c r="D17" i="79" s="1"/>
  <c r="H13" i="79" a="1"/>
  <c r="H13" i="79" s="1"/>
  <c r="G13" i="79" a="1"/>
  <c r="G13" i="79" s="1"/>
  <c r="F13" i="79" a="1"/>
  <c r="F13" i="79" s="1"/>
  <c r="E13" i="79" a="1"/>
  <c r="E13" i="79" s="1"/>
  <c r="D13" i="79" a="1"/>
  <c r="D13" i="79" s="1"/>
  <c r="H12" i="79" a="1"/>
  <c r="H12" i="79" s="1"/>
  <c r="G12" i="79" a="1"/>
  <c r="G12" i="79" s="1"/>
  <c r="F12" i="79" a="1"/>
  <c r="F12" i="79" s="1"/>
  <c r="E12" i="79" a="1"/>
  <c r="E12" i="79" s="1"/>
  <c r="D12" i="79" a="1"/>
  <c r="D12" i="79" s="1"/>
  <c r="H11" i="79" a="1"/>
  <c r="H11" i="79" s="1"/>
  <c r="G11" i="79" a="1"/>
  <c r="G11" i="79" s="1"/>
  <c r="F11" i="79" a="1"/>
  <c r="F11" i="79" s="1"/>
  <c r="E11" i="79" a="1"/>
  <c r="E11" i="79" s="1"/>
  <c r="D11" i="79" a="1"/>
  <c r="D11" i="79" s="1"/>
  <c r="H10" i="79" a="1"/>
  <c r="H10" i="79" s="1"/>
  <c r="G10" i="79" a="1"/>
  <c r="G10" i="79" s="1"/>
  <c r="F10" i="79" a="1"/>
  <c r="F10" i="79" s="1"/>
  <c r="E10" i="79" a="1"/>
  <c r="E10" i="79" s="1"/>
  <c r="D10" i="79" a="1"/>
  <c r="D10" i="79" s="1"/>
  <c r="H9" i="79" a="1"/>
  <c r="H9" i="79" s="1"/>
  <c r="G9" i="79" a="1"/>
  <c r="G9" i="79" s="1"/>
  <c r="F9" i="79" a="1"/>
  <c r="F9" i="79" s="1"/>
  <c r="E9" i="79" a="1"/>
  <c r="E9" i="79" s="1"/>
  <c r="D9" i="79" a="1"/>
  <c r="D9" i="79" s="1"/>
  <c r="D6" i="79" a="1"/>
  <c r="D6" i="79" s="1"/>
  <c r="D5" i="79" a="1"/>
  <c r="D5" i="79" s="1"/>
  <c r="A7" i="13"/>
  <c r="A4" i="13"/>
  <c r="A3" i="13"/>
  <c r="G22" i="69" l="1" a="1"/>
  <c r="G22" i="69" s="1"/>
  <c r="G26" i="74" a="1"/>
  <c r="G26" i="74" s="1"/>
  <c r="E69" i="74" s="1" a="1"/>
  <c r="E69" i="74" s="1"/>
  <c r="G29" i="69" a="1"/>
  <c r="G29" i="69" s="1"/>
  <c r="G22" i="74" a="1"/>
  <c r="G22" i="74" s="1"/>
  <c r="E65" i="74" s="1" a="1"/>
  <c r="E65" i="74" s="1"/>
  <c r="G26" i="69" a="1"/>
  <c r="G26" i="69" s="1"/>
  <c r="G34" i="69" a="1"/>
  <c r="G34" i="69" s="1"/>
  <c r="G30" i="74" a="1"/>
  <c r="G30" i="74" s="1"/>
  <c r="E73" i="74" s="1" a="1"/>
  <c r="E73" i="74" s="1"/>
  <c r="G28" i="69" a="1"/>
  <c r="G28" i="69" s="1"/>
  <c r="G36" i="69" a="1"/>
  <c r="G36" i="69" s="1"/>
  <c r="G24" i="69" a="1"/>
  <c r="G24" i="69" s="1"/>
  <c r="G36" i="74" a="1"/>
  <c r="G36" i="74" s="1"/>
  <c r="G34" i="74" a="1"/>
  <c r="G34" i="74" s="1"/>
  <c r="E77" i="74" s="1" a="1"/>
  <c r="E77" i="74" s="1"/>
  <c r="G31" i="69" a="1"/>
  <c r="G31" i="69" s="1"/>
  <c r="G32" i="74" a="1"/>
  <c r="G32" i="74" s="1"/>
  <c r="E75" i="74" s="1" a="1"/>
  <c r="E75" i="74" s="1"/>
  <c r="G35" i="74" a="1"/>
  <c r="G35" i="74" s="1"/>
  <c r="E78" i="74" s="1" a="1"/>
  <c r="E78" i="74" s="1"/>
  <c r="G30" i="69" a="1"/>
  <c r="G30" i="69" s="1"/>
  <c r="E21" i="69" a="1"/>
  <c r="E21" i="69" s="1"/>
  <c r="G21" i="69" s="1" a="1"/>
  <c r="G21" i="69" s="1"/>
  <c r="G23" i="69" a="1"/>
  <c r="G23" i="69" s="1"/>
  <c r="G25" i="74" a="1"/>
  <c r="G25" i="74" s="1"/>
  <c r="E68" i="74" s="1" a="1"/>
  <c r="E68" i="74" s="1"/>
  <c r="G25" i="69" a="1"/>
  <c r="G25" i="69" s="1"/>
  <c r="G37" i="69" a="1"/>
  <c r="G37" i="69" s="1"/>
  <c r="G37" i="74" a="1"/>
  <c r="G37" i="74" s="1"/>
  <c r="G27" i="69" a="1"/>
  <c r="G27" i="69" s="1"/>
  <c r="G27" i="74" a="1"/>
  <c r="G27" i="74" s="1"/>
  <c r="E70" i="74" s="1" a="1"/>
  <c r="E70" i="74" s="1"/>
  <c r="G29" i="74" a="1"/>
  <c r="G29" i="74" s="1"/>
  <c r="E72" i="74" s="1" a="1"/>
  <c r="E72" i="74" s="1"/>
  <c r="G31" i="74" a="1"/>
  <c r="G31" i="74" s="1"/>
  <c r="E74" i="74" s="1" a="1"/>
  <c r="E74" i="74" s="1"/>
  <c r="G38" i="74" a="1"/>
  <c r="G38" i="74" s="1"/>
  <c r="T46" i="69"/>
  <c r="R46" i="69" a="1"/>
  <c r="R46" i="69" s="1"/>
  <c r="S46" i="69" a="1"/>
  <c r="S46" i="69" s="1"/>
  <c r="Q46" i="69"/>
  <c r="G23" i="74" a="1"/>
  <c r="G23" i="74" s="1"/>
  <c r="E66" i="74" s="1" a="1"/>
  <c r="E66" i="74" s="1"/>
  <c r="G38" i="69" a="1"/>
  <c r="G38" i="69" s="1"/>
  <c r="G32" i="69" a="1"/>
  <c r="G32" i="69" s="1"/>
  <c r="G33" i="74" a="1"/>
  <c r="G33" i="74" s="1"/>
  <c r="E76" i="74" s="1" a="1"/>
  <c r="E76" i="74" s="1"/>
  <c r="G28" i="74" a="1"/>
  <c r="G28" i="74" s="1"/>
  <c r="E71" i="74" s="1" a="1"/>
  <c r="E71" i="74" s="1"/>
  <c r="G33" i="69" a="1"/>
  <c r="G33" i="69" s="1"/>
  <c r="E21" i="74" a="1"/>
  <c r="E21" i="74" s="1"/>
  <c r="G21" i="74" s="1" a="1"/>
  <c r="G21" i="74" s="1"/>
  <c r="G35" i="69" a="1"/>
  <c r="G35" i="69" s="1"/>
  <c r="G24" i="74" a="1"/>
  <c r="G24" i="74" s="1"/>
  <c r="E67" i="74" s="1" a="1"/>
  <c r="E67" i="74" s="1"/>
  <c r="V51" i="69" a="1"/>
  <c r="V51" i="69" s="1"/>
  <c r="U51" i="69"/>
  <c r="V46" i="69" l="1" a="1"/>
  <c r="V46" i="69" s="1"/>
  <c r="U46" i="69"/>
  <c r="E64" i="74" a="1"/>
  <c r="E64" i="74" s="1"/>
  <c r="E61" i="74" a="1"/>
  <c r="E61" i="74" s="1"/>
  <c r="Q75" i="69" l="1"/>
  <c r="H57" i="69"/>
  <c r="I12" i="13"/>
  <c r="F12" i="13"/>
  <c r="I13" i="13"/>
  <c r="F13" i="13"/>
  <c r="H9" i="13"/>
  <c r="E9" i="13"/>
  <c r="I9" i="13"/>
  <c r="F9" i="13"/>
  <c r="F27" i="43" a="1"/>
  <c r="F27" i="43" s="1"/>
  <c r="E27" i="43" a="1"/>
  <c r="E27" i="43" s="1"/>
  <c r="D27" i="43" a="1"/>
  <c r="D27" i="43" s="1"/>
  <c r="F26" i="43" a="1"/>
  <c r="F26" i="43" s="1"/>
  <c r="E26" i="43" a="1"/>
  <c r="E26" i="43"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17" i="43" a="1"/>
  <c r="E17" i="43" s="1"/>
  <c r="D17" i="43" a="1"/>
  <c r="D17" i="43" s="1"/>
  <c r="F16" i="43" a="1"/>
  <c r="F16" i="43" s="1"/>
  <c r="E16" i="43" a="1"/>
  <c r="E16" i="43" s="1"/>
  <c r="D16" i="43" a="1"/>
  <c r="D16" i="43" s="1"/>
  <c r="F15" i="43" a="1"/>
  <c r="F15" i="43"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10" i="43" a="1"/>
  <c r="E10" i="43" s="1"/>
  <c r="D10" i="43" a="1"/>
  <c r="D10" i="43" s="1"/>
  <c r="D8" i="43" a="1"/>
  <c r="D8" i="43" s="1"/>
  <c r="D7" i="43" a="1"/>
  <c r="D7" i="43" s="1"/>
  <c r="D6" i="43" a="1"/>
  <c r="D6" i="43" s="1"/>
  <c r="E78" i="69" l="1" a="1"/>
  <c r="E78" i="69" s="1"/>
  <c r="E66" i="69" a="1"/>
  <c r="E66" i="69" s="1"/>
  <c r="E69" i="69" a="1"/>
  <c r="E69" i="69" s="1"/>
  <c r="E76" i="69" a="1"/>
  <c r="E76" i="69" s="1"/>
  <c r="E74" i="69" a="1"/>
  <c r="E74" i="69" s="1"/>
  <c r="E70" i="69" a="1"/>
  <c r="E70" i="69" s="1"/>
  <c r="E64" i="69" a="1"/>
  <c r="E64" i="69" s="1"/>
  <c r="E67" i="69" a="1"/>
  <c r="E67" i="69" s="1"/>
  <c r="E73" i="69" a="1"/>
  <c r="E73" i="69" s="1"/>
  <c r="E72" i="69" a="1"/>
  <c r="E72" i="69" s="1"/>
  <c r="E75" i="69" a="1"/>
  <c r="E75" i="69" s="1"/>
  <c r="E80" i="69" a="1"/>
  <c r="E80" i="69" s="1"/>
  <c r="E79" i="69" a="1"/>
  <c r="E79" i="69" s="1"/>
  <c r="E65" i="69" a="1"/>
  <c r="E65" i="69" s="1"/>
  <c r="E71" i="69" a="1"/>
  <c r="E71" i="69" s="1"/>
  <c r="E81" i="69" a="1"/>
  <c r="E81" i="69" s="1"/>
  <c r="E68" i="69" a="1"/>
  <c r="E68" i="69" s="1"/>
  <c r="E77" i="69" a="1"/>
  <c r="E77" i="69" s="1"/>
  <c r="Q69" i="69" a="1"/>
  <c r="Q69" i="69" s="1"/>
  <c r="H12" i="13"/>
  <c r="E12" i="13"/>
  <c r="H13" i="13"/>
  <c r="E13" i="13"/>
  <c r="I7" i="13"/>
  <c r="F7" i="13"/>
  <c r="I8" i="13"/>
  <c r="F8" i="13"/>
  <c r="H8" i="13"/>
  <c r="E8" i="13"/>
  <c r="H7" i="13"/>
  <c r="E7" i="13"/>
  <c r="E29" i="15"/>
  <c r="E83" i="69" l="1"/>
  <c r="G85" i="69" s="1"/>
  <c r="E88" i="69" s="1" a="1"/>
  <c r="E88" i="69" s="1"/>
  <c r="O87" i="69" a="1"/>
  <c r="O87" i="69" s="1"/>
  <c r="P87" i="69" s="1" a="1"/>
  <c r="P87" i="69" s="1"/>
  <c r="O85" i="69" a="1"/>
  <c r="O85" i="69" s="1"/>
  <c r="P85" i="69" s="1" a="1"/>
  <c r="P85" i="69" s="1"/>
  <c r="O79" i="69" a="1"/>
  <c r="O79" i="69" s="1"/>
  <c r="P79" i="69" s="1" a="1"/>
  <c r="P79" i="69" s="1"/>
  <c r="O81" i="69" a="1"/>
  <c r="O81" i="69" s="1"/>
  <c r="P81" i="69" s="1" a="1"/>
  <c r="P81" i="69" s="1"/>
  <c r="O80" i="69" a="1"/>
  <c r="O80" i="69" s="1"/>
  <c r="P80" i="69" s="1" a="1"/>
  <c r="P80" i="69" s="1"/>
  <c r="O82" i="69" a="1"/>
  <c r="O82" i="69" s="1"/>
  <c r="P82" i="69" s="1" a="1"/>
  <c r="P82" i="69" s="1"/>
  <c r="O84" i="69" a="1"/>
  <c r="O84" i="69" s="1"/>
  <c r="P84" i="69" s="1" a="1"/>
  <c r="P84" i="69" s="1"/>
  <c r="O86" i="69" a="1"/>
  <c r="O86" i="69" s="1"/>
  <c r="P86" i="69" s="1" a="1"/>
  <c r="P86" i="69" s="1"/>
  <c r="O83" i="69" a="1"/>
  <c r="O83" i="69" s="1"/>
  <c r="P83" i="69" s="1" a="1"/>
  <c r="P83" i="69" s="1"/>
  <c r="O78" i="69" a="1"/>
  <c r="O78" i="69" s="1"/>
  <c r="P78" i="69" s="1" a="1"/>
  <c r="P78" i="69" s="1"/>
  <c r="H10" i="13"/>
  <c r="E10" i="13"/>
  <c r="I11" i="13"/>
  <c r="I14" i="13" s="1"/>
  <c r="F11" i="13"/>
  <c r="I10" i="13"/>
  <c r="F10" i="13"/>
  <c r="H11" i="13"/>
  <c r="H14" i="13" s="1"/>
  <c r="E11" i="13"/>
  <c r="E21" i="13"/>
  <c r="E20" i="13"/>
  <c r="E22" i="13"/>
  <c r="E13" i="15"/>
  <c r="N89" i="69" l="1"/>
  <c r="P91" i="69" s="1"/>
  <c r="N94" i="69" s="1" a="1"/>
  <c r="N94" i="69"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<sst xmlns="http://schemas.openxmlformats.org/spreadsheetml/2006/main" count="525" uniqueCount="333">
  <si>
    <t>Home</t>
  </si>
  <si>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</si>
  <si>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</si>
  <si>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</si>
  <si>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</si>
  <si>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</si>
  <si>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</si>
  <si>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</si>
  <si>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</si>
  <si>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</si>
  <si>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</si>
  <si>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</si>
  <si>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</si>
  <si>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</si>
  <si>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</si>
  <si>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</si>
  <si>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Unit</t>
  </si>
  <si>
    <t>Manure management system</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</si>
  <si>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</si>
  <si>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</si>
  <si>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</si>
  <si>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</si>
  <si>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</si>
  <si>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</si>
  <si>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</si>
  <si>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</si>
  <si>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</si>
  <si>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</si>
  <si>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</si>
  <si>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</si>
  <si>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</si>
  <si>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</si>
  <si>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</si>
  <si>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</si>
  <si>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</si>
  <si>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</si>
  <si>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</si>
  <si>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</si>
  <si>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</si>
  <si>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</si>
  <si>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</si>
  <si>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</si>
  <si>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</si>
  <si>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</si>
  <si>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</si>
  <si>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</si>
  <si>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</si>
  <si>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</si>
  <si>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</si>
  <si>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</si>
  <si>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</si>
  <si>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</si>
  <si>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</si>
  <si>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</si>
  <si>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</si>
  <si>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</si>
  <si>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</si>
  <si>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</si>
  <si>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</si>
  <si>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</si>
  <si>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</si>
  <si>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</si>
  <si>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</si>
  <si>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</si>
  <si>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</si>
  <si>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</si>
  <si>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</si>
  <si>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</si>
  <si>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</si>
  <si>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</si>
  <si>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</si>
  <si>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CALCULATIONS</t>
  </si>
  <si>
    <t>Constants - Common</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</si>
  <si>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</si>
  <si>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</si>
  <si>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</si>
  <si>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</si>
  <si>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</si>
  <si>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</si>
  <si>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</si>
  <si>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</si>
  <si>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</si>
  <si>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</si>
  <si>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</si>
  <si>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</si>
  <si>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</si>
  <si>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</si>
  <si>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</si>
  <si>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</si>
  <si>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</si>
  <si>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</si>
  <si>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</si>
  <si>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E</t>
    </r>
    <r>
      <rPr>
        <vertAlign val="subscript"/>
        <sz val="12"/>
        <color theme="1" tint="0.24994659260841701"/>
        <rFont val="Times New Roman"/>
        <family val="1"/>
      </rPr>
      <t>CO2e</t>
    </r>
  </si>
  <si>
    <t>Method 1</t>
  </si>
  <si>
    <t>Method 2</t>
  </si>
  <si>
    <t>Scope 1 source</t>
  </si>
  <si>
    <t>Production system j</t>
  </si>
  <si>
    <t>EFN2O</t>
  </si>
  <si>
    <t>Production system only</t>
  </si>
  <si>
    <t>Irrigation method</t>
  </si>
  <si>
    <t>Production system</t>
  </si>
  <si>
    <t>Total</t>
  </si>
  <si>
    <t>GHG Unit</t>
  </si>
  <si>
    <t>CO2-e unit</t>
  </si>
  <si>
    <t>Month</t>
  </si>
  <si>
    <t>fraction</t>
  </si>
  <si>
    <t>t CH4</t>
  </si>
  <si>
    <t>Irrigation type i</t>
  </si>
  <si>
    <t>t CO2e</t>
  </si>
  <si>
    <t>EFPRP</t>
  </si>
  <si>
    <t>GHG emissions method 1</t>
  </si>
  <si>
    <t>GHG emissions method 2</t>
  </si>
  <si>
    <t>CO2-e emissions method 1</t>
  </si>
  <si>
    <t>CO2-e emissions method 2</t>
  </si>
  <si>
    <t>Season</t>
  </si>
  <si>
    <t>Western Australia</t>
  </si>
  <si>
    <t>t N2O</t>
  </si>
  <si>
    <t>Acknowledgements</t>
  </si>
  <si>
    <t>NIR definition</t>
  </si>
  <si>
    <t>VSL</t>
  </si>
  <si>
    <t>MMSm</t>
  </si>
  <si>
    <t>FracGASMmT</t>
  </si>
  <si>
    <t>NIR reference</t>
  </si>
  <si>
    <t>EFmT</t>
  </si>
  <si>
    <t>kg N</t>
  </si>
  <si>
    <t>WARNING: Manure nitrogen that was applied to soils must be accounted for</t>
  </si>
  <si>
    <t>See the table below for how to account for manure applied to soils for scope 1 and 3.</t>
  </si>
  <si>
    <t>Manure nitrogen use</t>
  </si>
  <si>
    <t>Amount of N in manure</t>
  </si>
  <si>
    <t>N unit</t>
  </si>
  <si>
    <t>Emissions allocated to</t>
  </si>
  <si>
    <t>VEERG Calculation method</t>
  </si>
  <si>
    <r>
      <t>Manure nitrogen deposited on farm soils (</t>
    </r>
    <r>
      <rPr>
        <i/>
        <sz val="12"/>
        <color theme="1" tint="0.24994659260841701"/>
        <rFont val="Times New Roman"/>
        <family val="1"/>
      </rPr>
      <t>including</t>
    </r>
    <r>
      <rPr>
        <sz val="12"/>
        <color theme="1" tint="0.24994659260841701"/>
        <rFont val="Times New Roman"/>
        <family val="1"/>
      </rPr>
      <t xml:space="preserve"> use as fertiliser for other enterprises on own farm eg crops)</t>
    </r>
  </si>
  <si>
    <t>5.2.2.1 (1), 5.4.1.3 (1, 2), 5.5.1.1 (1, 3)</t>
  </si>
  <si>
    <t>Manure nitrogen deposited on farm soils as fertiliser for other farm enterpsies (eg crops)</t>
  </si>
  <si>
    <t>Manure nitrogen sold</t>
  </si>
  <si>
    <t>Scope 3 (downstream)</t>
  </si>
  <si>
    <t>15.13.1.1 (1), 5.2.2.1 (1), 5.4.1.3 (1, 2), 5.5.1.1 (1, 3)</t>
  </si>
  <si>
    <t>Constants - Poultry</t>
  </si>
  <si>
    <t>Nutrient analysis</t>
  </si>
  <si>
    <t>Layers</t>
  </si>
  <si>
    <t>Meat chicken growers</t>
  </si>
  <si>
    <t>Meat chicken breeder</t>
  </si>
  <si>
    <t>Meat other</t>
  </si>
  <si>
    <t>Poultry class</t>
  </si>
  <si>
    <t>B0</t>
  </si>
  <si>
    <t>Poultry manure management systems</t>
  </si>
  <si>
    <t>Poultry manure management systems - Stage 1</t>
  </si>
  <si>
    <t>Poultry manure management systems - Stage 2</t>
  </si>
  <si>
    <t>No MMS</t>
  </si>
  <si>
    <t>Poultry production systems</t>
  </si>
  <si>
    <t>MMS m</t>
  </si>
  <si>
    <t>All states</t>
  </si>
  <si>
    <t>Couldn't find these numbers in NIR - what is the source?</t>
  </si>
  <si>
    <t>4.6.1.7-8 Leaching and runoff</t>
  </si>
  <si>
    <t>4.6.1.9 Manure applied to soils</t>
  </si>
  <si>
    <t>4.6.1.10-11 Soil direct N2O</t>
  </si>
  <si>
    <t>4.6.1.14-15 Soil leaching and runoff</t>
  </si>
  <si>
    <t>4.6.1.1-2 Manure methane</t>
  </si>
  <si>
    <t>4.6.1.3-4 Direct N2O</t>
  </si>
  <si>
    <t>4.6.1.5-6 Atmospheric deposition</t>
  </si>
  <si>
    <t>4.6.1.12-13 Soil Atmospheric deposition</t>
  </si>
  <si>
    <t>Scope 1 - This poultry enterprise</t>
  </si>
  <si>
    <t>Poultry manure with bedding</t>
  </si>
  <si>
    <t>Poultry manure with bedding (m=10)</t>
  </si>
  <si>
    <t>Solid storage</t>
  </si>
  <si>
    <t>Solid storage (m=4)</t>
  </si>
  <si>
    <t>Belt manure removal</t>
  </si>
  <si>
    <t>Belt manure removal (m=11a)</t>
  </si>
  <si>
    <t>Composting (passive windrow)</t>
  </si>
  <si>
    <t>Composting (passive windrow) (m=6)</t>
  </si>
  <si>
    <t>Manure stored in house</t>
  </si>
  <si>
    <t>Manure stored in house (m=11b)</t>
  </si>
  <si>
    <t>Digester / covered lagoons</t>
  </si>
  <si>
    <t>Digester / covered lagoons (m=7)</t>
  </si>
  <si>
    <t>Pasture range and paddock</t>
  </si>
  <si>
    <t>Pasture range and paddock (m=14)</t>
  </si>
  <si>
    <t>Direct processing</t>
  </si>
  <si>
    <t>Direct processing (m=12)</t>
  </si>
  <si>
    <t>Direct application</t>
  </si>
  <si>
    <t>Direct application (m=13)</t>
  </si>
  <si>
    <t>5.1 Inorganic Fertiliser</t>
  </si>
  <si>
    <t>Constants - Fertiliser</t>
  </si>
  <si>
    <t>Basis</t>
  </si>
  <si>
    <t>Source</t>
  </si>
  <si>
    <t>Fertiliser type f</t>
  </si>
  <si>
    <t>Fertiliser products</t>
  </si>
  <si>
    <t>Product</t>
  </si>
  <si>
    <t>Ingredient 1</t>
  </si>
  <si>
    <t>Ingredient 1 percent</t>
  </si>
  <si>
    <t>Ingredient 1 source</t>
  </si>
  <si>
    <t>Ingredient 2</t>
  </si>
  <si>
    <t>Ingredient 2 percent</t>
  </si>
  <si>
    <t>Ingredient 2 source</t>
  </si>
  <si>
    <t>Ingredient 3</t>
  </si>
  <si>
    <t>Ingredient 3 percent</t>
  </si>
  <si>
    <t>Ingredient 3 source</t>
  </si>
  <si>
    <t>Ingredient 4</t>
  </si>
  <si>
    <t>Ingredient 4 percent</t>
  </si>
  <si>
    <t>Ingredient 4 source</t>
  </si>
  <si>
    <t>Ingredient 5</t>
  </si>
  <si>
    <t>Ingredient 5 percent</t>
  </si>
  <si>
    <t>Ingredient 5 source</t>
  </si>
  <si>
    <t>Ingredient 6</t>
  </si>
  <si>
    <t>Ingredient 6 percent</t>
  </si>
  <si>
    <t>Ingredient 6 source</t>
  </si>
  <si>
    <t>Input - Inorganic Fertiliser</t>
  </si>
  <si>
    <t>FU f</t>
  </si>
  <si>
    <t>FNinorganic f</t>
  </si>
  <si>
    <t>Lifecycles Scope 3 definition</t>
  </si>
  <si>
    <t>TODO: Check basis</t>
  </si>
  <si>
    <t>FracGASF f</t>
  </si>
  <si>
    <t>Crop</t>
  </si>
  <si>
    <t>Sprinkler irrigation</t>
  </si>
  <si>
    <t>Irrigation methods</t>
  </si>
  <si>
    <t>Pasture</t>
  </si>
  <si>
    <t>Not irrigated</t>
  </si>
  <si>
    <t>Drip irrigation</t>
  </si>
  <si>
    <t>Surface irrigation</t>
  </si>
  <si>
    <t>Other irrigation</t>
  </si>
  <si>
    <t>Crop or pasture production systems</t>
  </si>
  <si>
    <t>Make common</t>
  </si>
  <si>
    <t>Maize</t>
  </si>
  <si>
    <t>Cotton</t>
  </si>
  <si>
    <t>Grains</t>
  </si>
  <si>
    <t>Input</t>
  </si>
  <si>
    <t>Lookup</t>
  </si>
  <si>
    <t>kg</t>
  </si>
  <si>
    <r>
      <t>FN</t>
    </r>
    <r>
      <rPr>
        <b/>
        <vertAlign val="subscript"/>
        <sz val="11"/>
        <color rgb="FF183C1B"/>
        <rFont val="Times New Roman"/>
        <family val="1"/>
      </rPr>
      <t>inorganic,f</t>
    </r>
  </si>
  <si>
    <r>
      <t>TM</t>
    </r>
    <r>
      <rPr>
        <b/>
        <vertAlign val="subscript"/>
        <sz val="11"/>
        <color rgb="FF533001"/>
        <rFont val="Times New Roman"/>
        <family val="1"/>
      </rPr>
      <t>jf</t>
    </r>
  </si>
  <si>
    <t>Table_MN_j_f</t>
  </si>
  <si>
    <t>Inorganic fertiliser applied</t>
  </si>
  <si>
    <t>💡You can add more rows to tables by right-clicking on the table and selecting "Insert &gt; Table rows above/below".</t>
  </si>
  <si>
    <t>💡The application area is the same as the area under pasture / cropping by default. You can edit it if the application area is different.</t>
  </si>
  <si>
    <t>Branded fertiliser products</t>
  </si>
  <si>
    <t>Product (select)</t>
  </si>
  <si>
    <t>Application area (ha)</t>
  </si>
  <si>
    <t>Total applied (kg)</t>
  </si>
  <si>
    <t>Location not specified</t>
  </si>
  <si>
    <t>Custom fertiliser blends</t>
  </si>
  <si>
    <t>Custom blend name</t>
  </si>
  <si>
    <t>Ingredient 1 (select)</t>
  </si>
  <si>
    <t>My first custom blend</t>
  </si>
  <si>
    <t>Phosphorus - Generic</t>
  </si>
  <si>
    <t>Potassium - Generic</t>
  </si>
  <si>
    <t>Sulfur - Generic</t>
  </si>
  <si>
    <r>
      <t xml:space="preserve">Amount applied </t>
    </r>
    <r>
      <rPr>
        <sz val="11"/>
        <color theme="1"/>
        <rFont val="Times New Roman"/>
        <family val="1"/>
      </rPr>
      <t>(kg / ha)</t>
    </r>
  </si>
  <si>
    <t>Calculated</t>
  </si>
  <si>
    <r>
      <t>MN</t>
    </r>
    <r>
      <rPr>
        <b/>
        <vertAlign val="subscript"/>
        <sz val="11"/>
        <color rgb="FF533001"/>
        <rFont val="Times New Roman"/>
        <family val="1"/>
      </rPr>
      <t>jf</t>
    </r>
  </si>
  <si>
    <t>Constant</t>
  </si>
  <si>
    <t>Mass of nitrogen applied</t>
  </si>
  <si>
    <r>
      <t>E</t>
    </r>
    <r>
      <rPr>
        <b/>
        <vertAlign val="subscript"/>
        <sz val="16"/>
        <color theme="1" tint="0.24994659260841701"/>
        <rFont val="Times New Roman"/>
        <family val="1"/>
      </rPr>
      <t>N2O</t>
    </r>
  </si>
  <si>
    <t>Crop types</t>
  </si>
  <si>
    <t>Crop type</t>
  </si>
  <si>
    <t>N application rate (kg/ha)</t>
  </si>
  <si>
    <t>N Application rate</t>
  </si>
  <si>
    <t>Application area</t>
  </si>
  <si>
    <t>MN</t>
  </si>
  <si>
    <t>M1_Table_E_N2O</t>
  </si>
  <si>
    <t>Nitrous oxide emissions from inorganic fertiliser application (Method 1)</t>
  </si>
  <si>
    <t>Product applied</t>
  </si>
  <si>
    <t>Fertiliser product applications (Method 2)</t>
  </si>
  <si>
    <t>Not used - application rate calculated per product blend application</t>
  </si>
  <si>
    <t>M2_Table_FertApplications</t>
  </si>
  <si>
    <t>Custom blend</t>
  </si>
  <si>
    <t>Branded product</t>
  </si>
  <si>
    <t>MN for cotton</t>
  </si>
  <si>
    <t>hectares</t>
  </si>
  <si>
    <t>kg / hectare</t>
  </si>
  <si>
    <t>kg N2O-N/kg N applied</t>
  </si>
  <si>
    <t>EFjN2O</t>
  </si>
  <si>
    <t>N App. rate for cotton (max 300)</t>
  </si>
  <si>
    <r>
      <t>ALERT: For method 2 the application rate (N) and mass of nitrogen (MN) is calculated per</t>
    </r>
    <r>
      <rPr>
        <b/>
        <i/>
        <sz val="12"/>
        <color rgb="FFCC6600"/>
        <rFont val="Times New Roman"/>
        <family val="1"/>
      </rPr>
      <t xml:space="preserve"> fertiliser application instance</t>
    </r>
    <r>
      <rPr>
        <b/>
        <sz val="12"/>
        <color rgb="FFCC6600"/>
        <rFont val="Times New Roman"/>
        <family val="1"/>
      </rPr>
      <t>, not per fertiliser type.</t>
    </r>
  </si>
  <si>
    <r>
      <t>E</t>
    </r>
    <r>
      <rPr>
        <b/>
        <vertAlign val="subscript"/>
        <sz val="11"/>
        <color rgb="FF183C1B"/>
        <rFont val="Times New Roman"/>
        <family val="1"/>
      </rPr>
      <t>N2O</t>
    </r>
  </si>
  <si>
    <t>EFfjirrigatemaizeN2O</t>
  </si>
  <si>
    <t>EFfjnonirrigatedgrainsN2O</t>
  </si>
  <si>
    <t>EFfjcottonN2O</t>
  </si>
  <si>
    <r>
      <t>EFj</t>
    </r>
    <r>
      <rPr>
        <b/>
        <vertAlign val="subscript"/>
        <sz val="11"/>
        <color rgb="FF183C1B"/>
        <rFont val="Times New Roman"/>
        <family val="1"/>
      </rPr>
      <t>N2O</t>
    </r>
  </si>
  <si>
    <t>Not used</t>
  </si>
  <si>
    <t>Area under cropping</t>
  </si>
  <si>
    <t>Soil amendments</t>
  </si>
  <si>
    <t>💡 You can add more rows to the table by right-clicking on the table and selecting "Insert &gt; Table rows above/below".</t>
  </si>
  <si>
    <t>💡 'Lime' refers to calcium carbonate - CaCO3. 'Dolomite' refers to calcium magnesium carbonate - CaMg(CO3)2</t>
  </si>
  <si>
    <t>Amount applied (t/hectare)</t>
  </si>
  <si>
    <t>Total amount applied (t)</t>
  </si>
  <si>
    <r>
      <t>Percent Lime CaCO</t>
    </r>
    <r>
      <rPr>
        <b/>
        <vertAlign val="subscript"/>
        <sz val="11"/>
        <color rgb="FF533001"/>
        <rFont val="Times New Roman"/>
        <family val="1"/>
      </rPr>
      <t>3</t>
    </r>
  </si>
  <si>
    <r>
      <t>Percent Dolomite CaMg(CO</t>
    </r>
    <r>
      <rPr>
        <b/>
        <vertAlign val="subscript"/>
        <sz val="11"/>
        <color rgb="FF533001"/>
        <rFont val="Times New Roman"/>
        <family val="1"/>
      </rPr>
      <t>3</t>
    </r>
    <r>
      <rPr>
        <b/>
        <sz val="11"/>
        <color rgb="FF533001"/>
        <rFont val="Times New Roman"/>
        <family val="1"/>
      </rPr>
      <t>)</t>
    </r>
    <r>
      <rPr>
        <b/>
        <vertAlign val="subscript"/>
        <sz val="11"/>
        <color rgb="FF533001"/>
        <rFont val="Times New Roman"/>
        <family val="1"/>
      </rPr>
      <t>2</t>
    </r>
  </si>
  <si>
    <r>
      <t>Percent Lime Sand CaCO</t>
    </r>
    <r>
      <rPr>
        <b/>
        <vertAlign val="subscript"/>
        <sz val="11"/>
        <color rgb="FF533001"/>
        <rFont val="Times New Roman"/>
        <family val="1"/>
      </rPr>
      <t>3</t>
    </r>
  </si>
  <si>
    <t>Percent Gypsum</t>
  </si>
  <si>
    <t>Percent Potash</t>
  </si>
  <si>
    <t>gfdgfdgd</t>
  </si>
  <si>
    <t>Organic fertiliser applied</t>
  </si>
  <si>
    <t>Organic fertiliser type (select)</t>
  </si>
  <si>
    <t>Source (select)</t>
  </si>
  <si>
    <t>Percentage of N in fertiliser</t>
  </si>
  <si>
    <t>Amount applied (kg/hectare)</t>
  </si>
  <si>
    <t>Amount N applied (kg/hectare)</t>
  </si>
  <si>
    <t>Total organic fertliser applied</t>
  </si>
  <si>
    <t>Total nitrogen applied (kg)</t>
  </si>
  <si>
    <t>Dairy Manure</t>
  </si>
  <si>
    <t>Capped cotton applicationj rate to 300 based on VEERG "application rate of inorganic fertiliser type f in the cotton crop (kg N/ha). This is capped at a maximum of 0.0183 kg CO2e/kg N, equivalent to N application rates of 300 kg N/ha "</t>
  </si>
  <si>
    <t>5.1.1.1-2 Inorganic fertiliser application N2O emissions</t>
  </si>
  <si>
    <t>5.1.1.3-4 Inorganic fertiliser application CO2 emissions</t>
  </si>
  <si>
    <t>Table_MU_j_f</t>
  </si>
  <si>
    <t>Mass of urea applied</t>
  </si>
  <si>
    <r>
      <t>FU</t>
    </r>
    <r>
      <rPr>
        <b/>
        <vertAlign val="subscript"/>
        <sz val="11"/>
        <color rgb="FF183C1B"/>
        <rFont val="Times New Roman"/>
        <family val="1"/>
      </rPr>
      <t>f</t>
    </r>
  </si>
  <si>
    <t>M1_Table_E_CO2</t>
  </si>
  <si>
    <t>Carbon dioxide oxide emissions from inorganic fertiliser application (Method 1)</t>
  </si>
  <si>
    <r>
      <t>MU</t>
    </r>
    <r>
      <rPr>
        <b/>
        <vertAlign val="subscript"/>
        <sz val="11"/>
        <color rgb="FF533001"/>
        <rFont val="Times New Roman"/>
        <family val="1"/>
      </rPr>
      <t>jf</t>
    </r>
  </si>
  <si>
    <t>MAT (ºC)</t>
  </si>
  <si>
    <t>Anaerobic lagoon</t>
  </si>
  <si>
    <t>Liquid systems</t>
  </si>
  <si>
    <t>Daily spread</t>
  </si>
  <si>
    <t>Pit storage</t>
  </si>
  <si>
    <t>Deep litter</t>
  </si>
  <si>
    <t>Poultry manure without bedding</t>
  </si>
  <si>
    <t>MAT raw</t>
  </si>
  <si>
    <t>Density (L to kg)</t>
  </si>
  <si>
    <t>Nitrogen - Generic</t>
  </si>
  <si>
    <t>Big Phos</t>
  </si>
  <si>
    <t>add veerg tables</t>
  </si>
  <si>
    <t>Ingredient 7</t>
  </si>
  <si>
    <t>Ingredient 7 percent</t>
  </si>
  <si>
    <t>Ingredient 7 source</t>
  </si>
  <si>
    <t>Ingredient 8</t>
  </si>
  <si>
    <t>Ingredient 8 percent</t>
  </si>
  <si>
    <t>Ingredient 8 source</t>
  </si>
  <si>
    <t>Ingredient 9</t>
  </si>
  <si>
    <t>Ingredient 9 source</t>
  </si>
  <si>
    <t>Ingredient 9 percent</t>
  </si>
  <si>
    <t>Ingredient 10 source</t>
  </si>
  <si>
    <t>Imngredient 10</t>
  </si>
  <si>
    <t>Ingredient 10 percent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</si>
</sst>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00000000"/>
  </numFmts>
  <fonts count="68"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vertAlign val="subscript"/>
      <sz val="16"/>
      <color theme="1" tint="0.24994659260841701"/>
      <name val="Times New Roman"/>
      <family val="1"/>
    </font>
    <font>
      <b/>
      <sz val="20"/>
      <color theme="4" tint="-0.249977111117893"/>
      <name val="Times New Roman"/>
      <family val="1"/>
    </font>
    <font>
      <i/>
      <sz val="12"/>
      <color theme="1" tint="0.24994659260841701"/>
      <name val="Times New Roman"/>
      <family val="1"/>
    </font>
    <font>
      <sz val="12"/>
      <color rgb="FFCC6600"/>
      <name val="Times New Roman"/>
      <family val="1"/>
    </font>
    <font>
      <i/>
      <sz val="10"/>
      <color theme="6" tint="-0.499984740745262"/>
      <name val="Times New Roman"/>
      <family val="1"/>
    </font>
    <font>
      <i/>
      <sz val="10"/>
      <color theme="5" tint="-0.499984740745262"/>
      <name val="Times New Roman"/>
      <family val="1"/>
    </font>
    <font>
      <b/>
      <vertAlign val="subscript"/>
      <sz val="11"/>
      <color rgb="FF183C1B"/>
      <name val="Times New Roman"/>
      <family val="1"/>
    </font>
    <font>
      <b/>
      <vertAlign val="subscript"/>
      <sz val="11"/>
      <color rgb="FF533001"/>
      <name val="Times New Roman"/>
      <family val="1"/>
    </font>
    <font>
      <sz val="11"/>
      <name val="Times New Roman"/>
      <family val="1"/>
    </font>
    <font>
      <sz val="12"/>
      <name val="Times New Roman"/>
      <family val="1"/>
    </font>
    <font>
      <b/>
      <i/>
      <sz val="12"/>
      <color rgb="FFCC6600"/>
      <name val="Times New Roman"/>
      <family val="1"/>
    </font>
    <font>
      <b/>
      <sz val="10"/>
      <color theme="1" tint="0.14999847407452621"/>
      <name val="Times New Roman"/>
      <family val="1"/>
    </font>
  </fonts>
  <fills count="18">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FFFF00"/>
        <bgColor indexed="64"/>
      </patternFill>
    </fill>
    <fill>
      <patternFill patternType="solid">
        <fgColor rgb="FFFFCCCC"/>
        <bgColor indexed="64"/>
      </patternFill>
    </fill>
    <fill>
      <patternFill patternType="solid">
        <fgColor theme="9" tint="0.59999389629810485"/>
        <bgColor indexed="64"/>
      </patternFill>
    </fill>
    <fill>
      <patternFill patternType="solid">
        <fgColor rgb="FFDCECD0"/>
        <bgColor indexed="64"/>
      </patternFill>
    </fill>
  </fills>
  <borders count="21">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style="thin">
        <color theme="3" tint="0.749961851863155"/>
      </left>
      <right style="thin">
        <color theme="3" tint="0.749961851863155"/>
      </right>
      <top/>
      <bottom style="thin">
        <color theme="3" tint="0.749961851863155"/>
      </bottom>
      <diagonal/>
    </border>
  </borders>
  <cellStyleXfs count="67">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8" fillId="4" borderId="0">
      <alignment horizontal="left" vertical="center"/>
    </xf>
    <xf numFmtId="0" fontId="43" fillId="4" borderId="0">
      <alignment vertical="center"/>
    </xf>
    <xf numFmtId="0" fontId="3" fillId="4" borderId="0">
      <alignment horizontal="left" vertical="center"/>
    </xf>
    <xf numFmtId="0" fontId="40"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5"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4" fillId="4" borderId="0">
      <alignment horizontal="left" vertical="center"/>
    </xf>
    <xf numFmtId="0" fontId="39"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2" fillId="4" borderId="0">
      <alignment horizontal="left" vertical="center"/>
    </xf>
    <xf numFmtId="0" fontId="10" fillId="0" borderId="0"/>
    <xf numFmtId="0" fontId="2" fillId="0" borderId="2">
      <alignment horizontal="center" vertical="center"/>
    </xf>
    <xf numFmtId="0" fontId="48" fillId="4" borderId="0">
      <alignment horizontal="left" vertical="center"/>
    </xf>
    <xf numFmtId="0" fontId="49" fillId="4" borderId="0">
      <alignment horizontal="left" vertical="center"/>
    </xf>
    <xf numFmtId="0" fontId="55" fillId="4" borderId="0">
      <alignment horizontal="left" vertical="center"/>
    </xf>
    <xf numFmtId="0" fontId="47" fillId="11" borderId="0">
      <alignment horizontal="center" vertical="center"/>
    </xf>
    <xf numFmtId="0" fontId="22" fillId="11" borderId="0">
      <alignment horizontal="left" vertical="center" indent="1"/>
    </xf>
    <xf numFmtId="0" fontId="61" fillId="16" borderId="0">
      <alignment horizontal="center" vertical="center"/>
    </xf>
    <xf numFmtId="0" fontId="60" fillId="17" borderId="0">
      <alignment horizontal="center" vertical="center"/>
    </xf>
  </cellStyleXfs>
  <cellXfs count="159">
    <xf numFmtId="0" fontId="0" fillId="0" borderId="0" xfId="0"/>
    <xf numFmtId="0" fontId="40"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3" fillId="4" borderId="0" xfId="6">
      <alignment vertical="center"/>
    </xf>
    <xf numFmtId="0" fontId="38"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19" fillId="9" borderId="5" xfId="36">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45"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40"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3" fillId="12" borderId="2" xfId="16">
      <alignment horizontal="center" vertical="center"/>
    </xf>
    <xf numFmtId="0" fontId="38" fillId="0" borderId="0" xfId="5" applyFill="1">
      <alignment horizontal="left" vertical="center"/>
    </xf>
    <xf numFmtId="0" fontId="43" fillId="0" borderId="0" xfId="6" applyFill="1">
      <alignment vertical="center"/>
    </xf>
    <xf numFmtId="0" fontId="40" fillId="0" borderId="0" xfId="8" applyFill="1">
      <alignment horizontal="left" vertical="center"/>
    </xf>
    <xf numFmtId="0" fontId="9" fillId="0" borderId="0" xfId="12" applyFont="1" applyFill="1" applyAlignment="1">
      <alignment horizontal="left" vertical="center"/>
    </xf>
    <xf numFmtId="0" fontId="40" fillId="4" borderId="1" xfId="8" applyBorder="1">
      <alignment horizontal="left" vertical="center"/>
    </xf>
    <xf numFmtId="4" fontId="26" fillId="0" borderId="0" xfId="18" applyFont="1" applyBorder="1">
      <alignment horizontal="center" vertical="center"/>
    </xf>
    <xf numFmtId="0" fontId="54" fillId="4" borderId="0" xfId="50">
      <alignment horizontal="left"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1" fillId="4" borderId="0" xfId="8" applyFont="1">
      <alignment horizontal="left" vertical="center"/>
    </xf>
    <xf numFmtId="0" fontId="6" fillId="4" borderId="0" xfId="56">
      <alignment horizontal="left" vertical="center"/>
    </xf>
    <xf numFmtId="0" fontId="42" fillId="4" borderId="0" xfId="57">
      <alignment horizontal="left" vertical="center"/>
    </xf>
    <xf numFmtId="0" fontId="35" fillId="4" borderId="2" xfId="55" applyAlignment="1">
      <alignment horizontal="left" vertical="center"/>
    </xf>
    <xf numFmtId="0" fontId="35" fillId="4" borderId="7" xfId="55" applyBorder="1" applyAlignment="1">
      <alignment horizontal="left" vertical="center"/>
    </xf>
    <xf numFmtId="0" fontId="35" fillId="4" borderId="6"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168" fontId="2" fillId="0" borderId="2" xfId="44">
      <alignment horizontal="center" vertical="center"/>
    </xf>
    <xf numFmtId="0" fontId="2" fillId="0" borderId="0" xfId="7" applyFont="1" applyFill="1" applyAlignment="1">
      <alignment horizontal="left" vertical="center" indent="1"/>
    </xf>
    <xf numFmtId="0" fontId="44" fillId="0" borderId="0" xfId="35" applyFont="1">
      <alignment horizontal="left" vertical="center" indent="1"/>
    </xf>
    <xf numFmtId="0" fontId="11" fillId="0" borderId="0" xfId="33"/>
    <xf numFmtId="0" fontId="3" fillId="4" borderId="3" xfId="7" applyBorder="1">
      <alignment horizontal="left" vertical="center"/>
    </xf>
    <xf numFmtId="166" fontId="35" fillId="4" borderId="2" xfId="43" applyNumberFormat="1">
      <alignment horizontal="center" vertical="center"/>
    </xf>
    <xf numFmtId="164" fontId="8" fillId="4" borderId="0" xfId="27" applyBorder="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5" fillId="13" borderId="10" xfId="41" applyBorder="1">
      <alignment horizontal="left" vertical="center"/>
    </xf>
    <xf numFmtId="0" fontId="45" fillId="13" borderId="12" xfId="41" applyBorder="1">
      <alignment horizontal="left" vertical="center"/>
    </xf>
    <xf numFmtId="0" fontId="45" fillId="13" borderId="14" xfId="41" applyBorder="1">
      <alignment horizontal="left" vertical="center"/>
    </xf>
    <xf numFmtId="0" fontId="45" fillId="13" borderId="13" xfId="41" applyBorder="1">
      <alignment horizontal="left" vertical="center"/>
    </xf>
    <xf numFmtId="0" fontId="45" fillId="13" borderId="15" xfId="41" applyBorder="1">
      <alignment horizontal="left" vertical="center"/>
    </xf>
    <xf numFmtId="0" fontId="45" fillId="13" borderId="17" xfId="41" applyBorder="1">
      <alignment horizontal="left" vertical="center"/>
    </xf>
    <xf numFmtId="0" fontId="45" fillId="13" borderId="11" xfId="41" applyBorder="1">
      <alignment horizontal="left" vertical="center"/>
    </xf>
    <xf numFmtId="0" fontId="45" fillId="13" borderId="16" xfId="41" applyBorder="1">
      <alignment horizontal="left" vertical="center"/>
    </xf>
    <xf numFmtId="0" fontId="45" fillId="13" borderId="18" xfId="41" applyBorder="1">
      <alignment horizontal="left" vertical="center"/>
    </xf>
    <xf numFmtId="0" fontId="46" fillId="13" borderId="9" xfId="41" applyFont="1" applyBorder="1">
      <alignment horizontal="left" vertical="center"/>
    </xf>
    <xf numFmtId="0" fontId="49" fillId="4" borderId="0" xfId="61">
      <alignment horizontal="left" vertical="center"/>
    </xf>
    <xf numFmtId="0" fontId="48" fillId="4" borderId="0" xfId="60">
      <alignment horizontal="left" vertical="center"/>
    </xf>
    <xf numFmtId="0" fontId="35" fillId="4" borderId="19" xfId="55" applyBorder="1" applyAlignment="1">
      <alignment horizontal="left" vertical="center"/>
    </xf>
    <xf numFmtId="0" fontId="50" fillId="4" borderId="1" xfId="8" applyFont="1" applyBorder="1">
      <alignment horizontal="left" vertical="center"/>
    </xf>
    <xf numFmtId="0" fontId="51" fillId="4" borderId="1" xfId="8" applyFont="1" applyBorder="1">
      <alignment horizontal="left" vertical="center"/>
    </xf>
    <xf numFmtId="0" fontId="52"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55" fillId="4" borderId="0" xfId="62">
      <alignment horizontal="left" vertical="center"/>
    </xf>
    <xf numFmtId="0" fontId="40" fillId="14" borderId="0" xfId="8" applyFill="1">
      <alignment horizontal="left" vertical="center"/>
    </xf>
    <xf numFmtId="9" fontId="8" fillId="4" borderId="0" xfId="11">
      <alignment horizontal="center" vertical="center"/>
    </xf>
    <xf numFmtId="164" fontId="8" fillId="4" borderId="0" xfId="10">
      <alignment horizontal="center" vertical="center"/>
    </xf>
    <xf numFmtId="2" fontId="32" fillId="4" borderId="1" xfId="0" applyNumberFormat="1" applyFont="1" applyFill="1" applyBorder="1" applyAlignment="1">
      <alignment horizontal="center"/>
    </xf>
    <xf numFmtId="0" fontId="47" fillId="11" borderId="0" xfId="63">
      <alignment horizontal="center" vertical="center"/>
    </xf>
    <xf numFmtId="0" fontId="57" fillId="0" borderId="0" xfId="2" applyFont="1"/>
    <xf numFmtId="0" fontId="0" fillId="0" borderId="0" xfId="1" applyFont="1" applyFill="1">
      <alignment horizontal="left" vertical="center" indent="1"/>
      <protection locked="0"/>
    </xf>
    <xf numFmtId="0" fontId="40" fillId="4" borderId="0" xfId="8" applyAlignment="1">
      <alignment horizontal="center" vertical="center"/>
    </xf>
    <xf numFmtId="0" fontId="45" fillId="13" borderId="9" xfId="41" applyBorder="1">
      <alignment horizontal="left" vertical="center"/>
    </xf>
    <xf numFmtId="0" fontId="59" fillId="4" borderId="0" xfId="62" applyFont="1">
      <alignment horizontal="left" vertical="center"/>
    </xf>
    <xf numFmtId="0" fontId="22" fillId="10" borderId="0" xfId="37">
      <alignment horizontal="left" vertical="center" indent="1"/>
    </xf>
    <xf numFmtId="0" fontId="22" fillId="5" borderId="0" xfId="38">
      <alignment horizontal="left" vertical="center" indent="1"/>
    </xf>
    <xf numFmtId="0" fontId="22" fillId="11" borderId="0" xfId="64">
      <alignment horizontal="left" vertical="center" indent="1"/>
    </xf>
    <xf numFmtId="170" fontId="8" fillId="4" borderId="0" xfId="10" applyNumberFormat="1">
      <alignment horizontal="center" vertical="center"/>
    </xf>
    <xf numFmtId="0" fontId="37" fillId="4" borderId="0" xfId="0" applyFont="1" applyFill="1"/>
    <xf numFmtId="0" fontId="0" fillId="0" borderId="0" xfId="0" applyAlignment="1">
      <alignment vertical="center"/>
    </xf>
    <xf numFmtId="0" fontId="0" fillId="15" borderId="0" xfId="0" applyFill="1" applyAlignment="1">
      <alignment vertical="center"/>
    </xf>
    <xf numFmtId="0" fontId="37" fillId="14" borderId="0" xfId="0" applyFont="1" applyFill="1"/>
    <xf numFmtId="0" fontId="38" fillId="14" borderId="0" xfId="5" applyFill="1">
      <alignment horizontal="left" vertical="center"/>
    </xf>
    <xf numFmtId="0" fontId="13" fillId="6" borderId="0" xfId="30">
      <alignment horizontal="center" vertical="center"/>
      <protection locked="0"/>
    </xf>
    <xf numFmtId="0" fontId="60" fillId="17" borderId="0" xfId="8" applyFont="1" applyFill="1" applyAlignment="1">
      <alignment horizontal="center" vertical="center"/>
    </xf>
    <xf numFmtId="0" fontId="61" fillId="16" borderId="0" xfId="8" applyFont="1" applyFill="1" applyAlignment="1">
      <alignment horizontal="center" vertical="center"/>
    </xf>
    <xf numFmtId="0" fontId="64" fillId="4" borderId="0" xfId="0" applyFont="1" applyFill="1" applyAlignment="1">
      <alignment horizontal="center" vertical="center"/>
    </xf>
    <xf numFmtId="0" fontId="64" fillId="4" borderId="0" xfId="0" applyFont="1" applyFill="1"/>
    <xf numFmtId="0" fontId="65" fillId="4" borderId="0" xfId="0" applyFont="1" applyFill="1"/>
    <xf numFmtId="0" fontId="0" fillId="0" borderId="0" xfId="0" applyAlignment="1" applyProtection="1">
      <alignment horizontal="center" vertical="center" wrapText="1"/>
      <protection locked="0"/>
    </xf>
    <xf numFmtId="0" fontId="0" fillId="0" borderId="0" xfId="0" applyAlignment="1">
      <alignment horizontal="center" vertical="center" wrapText="1"/>
    </xf>
    <xf numFmtId="0" fontId="6" fillId="4" borderId="0" xfId="12" applyAlignment="1">
      <alignment horizontal="center" vertical="center"/>
    </xf>
    <xf numFmtId="0" fontId="60" fillId="17" borderId="0" xfId="66">
      <alignment horizontal="center" vertical="center"/>
    </xf>
    <xf numFmtId="0" fontId="61" fillId="16" borderId="0" xfId="65">
      <alignment horizontal="center" vertical="center"/>
    </xf>
    <xf numFmtId="0" fontId="35" fillId="4" borderId="6" xfId="55" applyBorder="1">
      <alignment horizontal="center" vertical="center"/>
    </xf>
    <xf numFmtId="0" fontId="3" fillId="12" borderId="2" xfId="16" applyAlignment="1">
      <alignment horizontal="center" vertical="center" wrapText="1"/>
    </xf>
    <xf numFmtId="4" fontId="0" fillId="0" borderId="0" xfId="18" applyFont="1" applyBorder="1" applyAlignment="1">
      <alignment horizontal="center" vertical="center" wrapText="1"/>
    </xf>
    <xf numFmtId="0" fontId="35" fillId="4" borderId="2" xfId="55" applyAlignment="1">
      <alignment horizontal="center" vertical="center" wrapText="1"/>
    </xf>
    <xf numFmtId="0" fontId="25" fillId="4" borderId="0" xfId="46" applyFont="1" applyFill="1" applyAlignment="1">
      <alignment horizontal="left" vertical="center" wrapText="1"/>
    </xf>
    <xf numFmtId="2" fontId="64" fillId="4" borderId="0" xfId="42" applyNumberFormat="1" applyFont="1" applyFill="1" applyBorder="1" applyAlignment="1" applyProtection="1">
      <alignment horizontal="center" wrapText="1"/>
      <protection locked="0"/>
    </xf>
    <xf numFmtId="1" fontId="64" fillId="4" borderId="0" xfId="42" applyNumberFormat="1" applyFont="1" applyFill="1" applyBorder="1" applyAlignment="1" applyProtection="1">
      <alignment horizontal="center" wrapText="1"/>
      <protection locked="0"/>
    </xf>
    <xf numFmtId="0" fontId="64" fillId="4" borderId="0" xfId="0" applyFont="1" applyFill="1" applyAlignment="1">
      <alignment horizontal="left" wrapText="1"/>
    </xf>
    <xf numFmtId="0" fontId="65" fillId="4" borderId="0" xfId="0" applyFont="1" applyFill="1" applyAlignment="1">
      <alignment wrapText="1"/>
    </xf>
    <xf numFmtId="0" fontId="40" fillId="4" borderId="0" xfId="8" applyAlignment="1">
      <alignment horizontal="left" vertical="center" wrapText="1"/>
    </xf>
    <xf numFmtId="0" fontId="54" fillId="4" borderId="0" xfId="50" applyAlignment="1">
      <alignment horizontal="left" vertical="center" wrapText="1"/>
    </xf>
    <xf numFmtId="0" fontId="0" fillId="4" borderId="0" xfId="0" applyFill="1" applyAlignment="1">
      <alignment wrapText="1"/>
    </xf>
    <xf numFmtId="0" fontId="0" fillId="0" borderId="0" xfId="0" applyAlignment="1">
      <alignment wrapText="1"/>
    </xf>
    <xf numFmtId="0" fontId="67" fillId="12" borderId="2" xfId="16" applyFont="1" applyAlignment="1">
      <alignment horizontal="center" vertical="center" wrapText="1"/>
    </xf>
    <xf numFmtId="0" fontId="67" fillId="12" borderId="2" xfId="16" applyFont="1">
      <alignment horizontal="center" vertical="center"/>
    </xf>
    <xf numFmtId="0" fontId="2" fillId="0" borderId="2" xfId="59">
      <alignment horizontal="center" vertical="center"/>
    </xf>
    <xf numFmtId="9" fontId="0" fillId="0" borderId="0" xfId="14" applyFont="1" applyFill="1" applyBorder="1" applyAlignment="1">
      <alignment horizontal="center" vertical="center" wrapText="1"/>
    </xf>
    <xf numFmtId="0" fontId="45" fillId="13" borderId="20" xfId="41" applyBorder="1">
      <alignment horizontal="left" vertical="center"/>
    </xf>
    <xf numFmtId="9" fontId="0" fillId="4" borderId="0" xfId="0" applyNumberFormat="1" applyFill="1"/>
    <xf numFmtId="0" fontId="13" fillId="6" borderId="0" xfId="30" applyAlignment="1">
      <alignment horizontal="center" vertical="center" wrapText="1"/>
      <protection locked="0"/>
    </xf>
    <xf numFmtId="0" fontId="0" fillId="0" borderId="0" xfId="15" applyFont="1" applyBorder="1" applyAlignment="1">
      <alignment horizontal="center" vertical="center" wrapText="1"/>
    </xf>
    <xf numFmtId="9" fontId="0" fillId="0" borderId="0" xfId="17" applyFont="1" applyBorder="1" applyAlignment="1">
      <alignment horizontal="center" vertical="center" wrapText="1"/>
    </xf>
    <xf numFmtId="0" fontId="37" fillId="0" borderId="0" xfId="0" applyFont="1" applyAlignment="1">
      <alignment wrapText="1"/>
    </xf>
    <xf numFmtId="0" fontId="0" fillId="0" borderId="0" xfId="0" applyFont="1" applyFill="1" applyBorder="1" applyAlignment="1">
      <alignment vertical="center" wrapText="1"/>
    </xf>
    <xf numFmtId="0" fontId="0" fillId="0" borderId="0" xfId="8" applyFont="1" applyFill="1" applyBorder="1" applyAlignment="1">
      <alignment horizontal="left" vertical="center"/>
    </xf>
    <xf numFmtId="0" fontId="0" fillId="0" borderId="0" xfId="0" applyFont="1" applyFill="1" applyBorder="1" applyAlignment="1">
      <alignment horizontal="center" vertical="center" wrapText="1"/>
    </xf>
    <xf numFmtId="0" fontId="0" fillId="0" borderId="0" xfId="0" applyFont="1" applyFill="1" applyBorder="1" applyAlignment="1">
      <alignment vertical="center"/>
    </xf>
    <xf numFmtId="0" fontId="0" fillId="0" borderId="0" xfId="8" applyFont="1" applyFill="1" applyBorder="1">
      <alignment horizontal="left" vertical="center"/>
    </xf>
  </cellXfs>
  <cellStyles count="67">
    <cellStyle name="Alert" xfId="62" xr:uid="{34EFE908-8095-4010-8F93-8CFE88055637}"/>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5" xr:uid="{83ED2376-8555-47B3-98E3-2416CC880284}"/>
    <cellStyle name="Variable type other" xfId="66" xr:uid="{6646F6F7-E4F9-4165-8015-E25083532B5B}"/>
  </cellStyles>
  <dxfs count="188">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general" vertical="center" textRotation="0" wrapText="0" indent="0" justifyLastLine="0" shrinkToFit="0" readingOrder="0"/>
      <border diagonalUp="0" diagonalDown="0" outline="0">
        <left/>
        <right/>
        <top style="thin">
          <color indexed="64"/>
        </top>
        <bottom/>
      </border>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border outline="0">
        <left style="thin">
          <color theme="0" tint="-0.34998626667073579"/>
        </left>
      </border>
    </dxf>
    <dxf>
      <font>
        <strike val="0"/>
        <outline val="0"/>
        <shadow val="0"/>
        <u val="none"/>
        <vertAlign val="baseline"/>
        <sz val="10"/>
        <color theme="1" tint="0.14999847407452621"/>
        <name val="Times New Roman"/>
        <family val="1"/>
        <scheme val="none"/>
      </font>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horizontal="center" vertical="center"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textRotation="0" wrapText="1" indent="0" justifyLastLine="0" shrinkToFit="0" readingOrder="0"/>
      <border outline="0">
        <right style="thin">
          <color theme="0" tint="-0.34998626667073579"/>
        </right>
      </border>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fill>
        <patternFill>
          <bgColor theme="0" tint="-4.9989318521683403E-2"/>
        </patternFill>
      </fill>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alignment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187"/>
      <tableStyleElement type="headerRow" dxfId="186"/>
      <tableStyleElement type="totalRow" dxfId="185"/>
      <tableStyleElement type="firstColumn" dxfId="184"/>
      <tableStyleElement type="firstRowStripe" dxfId="183"/>
      <tableStyleElement type="secondRowStripe" dxfId="182"/>
    </tableStyle>
    <tableStyle name="Equation table" pivot="0" count="6" xr9:uid="{B247698E-E41D-4CCD-AA0A-C14817E9DE65}">
      <tableStyleElement type="wholeTable" dxfId="181"/>
      <tableStyleElement type="headerRow" dxfId="180"/>
      <tableStyleElement type="totalRow" dxfId="179"/>
      <tableStyleElement type="firstColumn" dxfId="178"/>
      <tableStyleElement type="firstRowStripe" dxfId="177"/>
      <tableStyleElement type="secondRowStripe" dxfId="176"/>
    </tableStyle>
    <tableStyle name="Table Style 1" pivot="0" count="0" xr9:uid="{97B370DB-5463-4A31-9160-5A96BD6A559D}"/>
  </tableStyles>
  <colors>
    <mruColors>
      <color rgb="FFDCECD0"/>
      <color rgb="FFB2D498"/>
      <color rgb="FFFFCCCC"/>
      <color rgb="FFC44340"/>
      <color rgb="FF0C769E"/>
      <color rgb="FF008000"/>
      <color rgb="FFC4433F"/>
      <color rgb="FFE9F2FB"/>
      <color rgb="FF183C1B"/>
      <color rgb="FFCC6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microsoft.com/office/2017/06/relationships/rdRichValueStructure" Target="richData/rdrichvaluestructure.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theme" Target="theme/theme1.xml"/><Relationship Id="rId17" Type="http://schemas.microsoft.com/office/2017/06/relationships/rdRichValue" Target="richData/rdrichvalue.xml"/><Relationship Id="rId2" Type="http://schemas.openxmlformats.org/officeDocument/2006/relationships/worksheet" Target="worksheets/sheet2.xml"/><Relationship Id="rId16" Type="http://schemas.microsoft.com/office/2022/10/relationships/richValueRel" Target="richData/richValueRel.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sheetMetadata" Target="metadata.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𝐸_𝐶𝐻4=∑8_𝑗▒∑8_𝑘▒∑8_𝑚▒∑8_𝑇▒(𝐷_𝑗𝑘×𝑀_𝑗𝑘𝑚𝑇×𝑁_𝑗𝑘 ) ×10^(−3)</a:t>
              </a:r>
              <a:endParaRPr lang="en-AU" sz="1100"/>
            </a:p>
          </xdr:txBody>
        </xdr:sp>
      </mc:Fallback>
    </mc:AlternateContent>
    <xdr:clientData/>
  </xdr:oneCellAnchor>
  <xdr:oneCellAnchor>
    <xdr:from>
      <xdr:col>3</xdr:col>
      <xdr:colOff>24652</xdr:colOff>
      <xdr:row>7</xdr:row>
      <xdr:rowOff>181536</xdr:rowOff>
    </xdr:from>
    <xdr:ext cx="1792286"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1FB30AC-E33A-F343-8B67-BB3CFAAFE6E2}"/>
                </a:ext>
              </a:extLst>
            </xdr:cNvPr>
            <xdr:cNvSpPr txBox="1"/>
          </xdr:nvSpPr>
          <xdr:spPr>
            <a:xfrm>
              <a:off x="2702858" y="2041712"/>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01FB30AC-E33A-F343-8B67-BB3CFAAFE6E2}"/>
                </a:ext>
              </a:extLst>
            </xdr:cNvPr>
            <xdr:cNvSpPr txBox="1"/>
          </xdr:nvSpPr>
          <xdr:spPr>
            <a:xfrm>
              <a:off x="2702858" y="2041712"/>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𝑀𝑁_𝑗𝑓=𝑇𝑀_𝑗𝑓×𝐹𝑁_(𝑖𝑛𝑜𝑟𝑔𝑎𝑛𝑖𝑐,𝑓)</a:t>
              </a:r>
              <a:endParaRPr lang="en-AU" sz="1100"/>
            </a:p>
          </xdr:txBody>
        </xdr:sp>
      </mc:Fallback>
    </mc:AlternateContent>
    <xdr:clientData/>
  </xdr:oneCellAnchor>
  <xdr:oneCellAnchor>
    <xdr:from>
      <xdr:col>3</xdr:col>
      <xdr:colOff>24653</xdr:colOff>
      <xdr:row>44</xdr:row>
      <xdr:rowOff>125506</xdr:rowOff>
    </xdr:from>
    <xdr:ext cx="3047693"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74E911B-9FB0-FD59-88DE-C21768783A0A}"/>
                </a:ext>
              </a:extLst>
            </xdr:cNvPr>
            <xdr:cNvSpPr txBox="1"/>
          </xdr:nvSpPr>
          <xdr:spPr>
            <a:xfrm>
              <a:off x="2702859" y="12093388"/>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574E911B-9FB0-FD59-88DE-C21768783A0A}"/>
                </a:ext>
              </a:extLst>
            </xdr:cNvPr>
            <xdr:cNvSpPr txBox="1"/>
          </xdr:nvSpPr>
          <xdr:spPr>
            <a:xfrm>
              <a:off x="2702859" y="12093388"/>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𝐸_𝑁2𝑂=∑8_𝑗▒∑8_𝑓▒((𝑀𝑁_𝑗𝑓×𝐸𝐹_(𝑗,𝑁2𝑂)×𝐶_𝑁2𝑂 )×10^(−3) ) </a:t>
              </a:r>
              <a:endParaRPr lang="en-AU" sz="1100"/>
            </a:p>
          </xdr:txBody>
        </xdr:sp>
      </mc:Fallback>
    </mc:AlternateContent>
    <xdr:clientData/>
  </xdr:oneCellAnchor>
  <xdr:oneCellAnchor>
    <xdr:from>
      <xdr:col>12</xdr:col>
      <xdr:colOff>13446</xdr:colOff>
      <xdr:row>6</xdr:row>
      <xdr:rowOff>125506</xdr:rowOff>
    </xdr:from>
    <xdr:ext cx="4661725" cy="25333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2E4BDAFE-15D9-F24A-1A28-4F14CBD3C9A0}"/>
                </a:ext>
              </a:extLst>
            </xdr:cNvPr>
            <xdr:cNvSpPr txBox="1"/>
          </xdr:nvSpPr>
          <xdr:spPr>
            <a:xfrm>
              <a:off x="17987681" y="11846859"/>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−0.1474+</m:t>
                        </m:r>
                        <m:d>
                          <m:dPr>
                            <m:ctrlPr>
                              <a:rPr lang="en-AU" sz="1100" i="1">
                                <a:latin typeface="Cambria Math" panose="02040503050406030204" pitchFamily="18" charset="0"/>
                              </a:rPr>
                            </m:ctrlPr>
                          </m:dPr>
                          <m:e>
                            <m:r>
                              <a:rPr lang="en-AU" sz="1100" i="1">
                                <a:latin typeface="Cambria Math" panose="02040503050406030204" pitchFamily="18" charset="0"/>
                              </a:rPr>
                              <m:t>0.0061×</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2E4BDAFE-15D9-F24A-1A28-4F14CBD3C9A0}"/>
                </a:ext>
              </a:extLst>
            </xdr:cNvPr>
            <xdr:cNvSpPr txBox="1"/>
          </xdr:nvSpPr>
          <xdr:spPr>
            <a:xfrm>
              <a:off x="17987681" y="11846859"/>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𝐸𝐹_(𝑓𝑗=𝑖𝑟𝑟𝑖𝑔𝑎𝑡𝑒𝑑𝑚𝑎𝑖𝑧𝑒,𝑁2𝑂)=(−0.1474+(0.0061×𝑁_(𝑓𝑗=𝑖𝑟𝑟𝑖𝑔𝑎𝑡𝑒𝑑𝑚𝑎𝑖𝑧𝑒) ))×10^(−2)</a:t>
              </a:r>
              <a:endParaRPr lang="en-AU" sz="1100"/>
            </a:p>
          </xdr:txBody>
        </xdr:sp>
      </mc:Fallback>
    </mc:AlternateContent>
    <xdr:clientData/>
  </xdr:oneCellAnchor>
  <xdr:oneCellAnchor>
    <xdr:from>
      <xdr:col>11</xdr:col>
      <xdr:colOff>304799</xdr:colOff>
      <xdr:row>17</xdr:row>
      <xdr:rowOff>114300</xdr:rowOff>
    </xdr:from>
    <xdr:ext cx="5008229" cy="25333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184309B4-7C0D-3238-ABE9-58748142C042}"/>
                </a:ext>
              </a:extLst>
            </xdr:cNvPr>
            <xdr:cNvSpPr txBox="1"/>
          </xdr:nvSpPr>
          <xdr:spPr>
            <a:xfrm>
              <a:off x="17965270" y="4439771"/>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0.0781+</m:t>
                        </m:r>
                        <m:d>
                          <m:dPr>
                            <m:ctrlPr>
                              <a:rPr lang="en-AU" sz="1100" i="1">
                                <a:latin typeface="Cambria Math" panose="02040503050406030204" pitchFamily="18" charset="0"/>
                              </a:rPr>
                            </m:ctrlPr>
                          </m:dPr>
                          <m:e>
                            <m:r>
                              <a:rPr lang="en-AU" sz="1100" i="1">
                                <a:latin typeface="Cambria Math" panose="02040503050406030204" pitchFamily="18" charset="0"/>
                              </a:rPr>
                              <m:t>0.0075×</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6" name="TextBox 5">
              <a:extLst>
                <a:ext uri="{FF2B5EF4-FFF2-40B4-BE49-F238E27FC236}">
                  <a16:creationId xmlns:a16="http://schemas.microsoft.com/office/drawing/2014/main" id="{184309B4-7C0D-3238-ABE9-58748142C042}"/>
                </a:ext>
              </a:extLst>
            </xdr:cNvPr>
            <xdr:cNvSpPr txBox="1"/>
          </xdr:nvSpPr>
          <xdr:spPr>
            <a:xfrm>
              <a:off x="17965270" y="4439771"/>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𝐸𝐹_(𝑓𝑗=𝑛𝑜𝑛𝑖𝑟𝑟𝑖𝑔𝑎𝑡𝑒𝑑𝑔𝑟𝑎𝑖𝑛𝑠,𝑁2𝑂)=(0.0781+(0.0075×𝑁_(𝑓𝑗=𝑛𝑜𝑛𝑖𝑟𝑟𝑖𝑔𝑎𝑡𝑒𝑑𝑔𝑟𝑎𝑖𝑛𝑠) ))×10^(−2)</a:t>
              </a:r>
              <a:endParaRPr lang="en-AU" sz="1100"/>
            </a:p>
          </xdr:txBody>
        </xdr:sp>
      </mc:Fallback>
    </mc:AlternateContent>
    <xdr:clientData/>
  </xdr:oneCellAnchor>
  <xdr:oneCellAnchor>
    <xdr:from>
      <xdr:col>11</xdr:col>
      <xdr:colOff>293593</xdr:colOff>
      <xdr:row>28</xdr:row>
      <xdr:rowOff>79081</xdr:rowOff>
    </xdr:from>
    <xdr:ext cx="3370345" cy="544957"/>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C4B47DAE-FE55-9067-CC98-962EEAD3D533}"/>
                </a:ext>
              </a:extLst>
            </xdr:cNvPr>
            <xdr:cNvSpPr txBox="1"/>
          </xdr:nvSpPr>
          <xdr:spPr>
            <a:xfrm>
              <a:off x="17982879" y="7073152"/>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d>
                      <m:dPr>
                        <m:ctrlPr>
                          <a:rPr lang="en-AU" sz="1100" i="1">
                            <a:latin typeface="Cambria Math" panose="02040503050406030204" pitchFamily="18" charset="0"/>
                          </a:rPr>
                        </m:ctrlPr>
                      </m:dPr>
                      <m:e>
                        <m:r>
                          <a:rPr lang="en-AU" sz="1100" i="1">
                            <a:latin typeface="Cambria Math" panose="02040503050406030204" pitchFamily="18" charset="0"/>
                          </a:rPr>
                          <m:t>0.01×</m:t>
                        </m:r>
                        <m:d>
                          <m:dPr>
                            <m:ctrlPr>
                              <a:rPr lang="en-AU" sz="1100" i="1">
                                <a:latin typeface="Cambria Math" panose="02040503050406030204" pitchFamily="18" charset="0"/>
                              </a:rPr>
                            </m:ctrlPr>
                          </m:dPr>
                          <m:e>
                            <m:r>
                              <a:rPr lang="en-AU" sz="1100" i="1">
                                <a:latin typeface="Cambria Math" panose="02040503050406030204" pitchFamily="18" charset="0"/>
                              </a:rPr>
                              <m:t>0.29+</m:t>
                            </m:r>
                            <m:f>
                              <m:fPr>
                                <m:ctrlPr>
                                  <a:rPr lang="en-AU" sz="1100" i="1">
                                    <a:latin typeface="Cambria Math" panose="02040503050406030204" pitchFamily="18" charset="0"/>
                                  </a:rPr>
                                </m:ctrlPr>
                              </m:fPr>
                              <m:num>
                                <m:r>
                                  <a:rPr lang="en-AU" sz="1100" i="1">
                                    <a:latin typeface="Cambria Math" panose="02040503050406030204" pitchFamily="18" charset="0"/>
                                  </a:rPr>
                                  <m:t>0.007</m:t>
                                </m:r>
                                <m:d>
                                  <m:dPr>
                                    <m:ctrlPr>
                                      <a:rPr lang="en-AU" sz="1100" i="1">
                                        <a:latin typeface="Cambria Math" panose="02040503050406030204" pitchFamily="18" charset="0"/>
                                      </a:rPr>
                                    </m:ctrlPr>
                                  </m:dPr>
                                  <m:e>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r>
                                          <a:rPr lang="en-AU" sz="1100" i="1">
                                            <a:latin typeface="Cambria Math" panose="02040503050406030204" pitchFamily="18" charset="0"/>
                                          </a:rPr>
                                          <m:t>0.037×</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sup>
                                    </m:sSup>
                                    <m:r>
                                      <a:rPr lang="en-AU" sz="1100" i="1">
                                        <a:latin typeface="Cambria Math" panose="02040503050406030204" pitchFamily="18" charset="0"/>
                                      </a:rPr>
                                      <m:t>−1</m:t>
                                    </m:r>
                                  </m:e>
                                </m:d>
                              </m:num>
                              <m:den>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den>
                            </m:f>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7" name="TextBox 6">
              <a:extLst>
                <a:ext uri="{FF2B5EF4-FFF2-40B4-BE49-F238E27FC236}">
                  <a16:creationId xmlns:a16="http://schemas.microsoft.com/office/drawing/2014/main" id="{C4B47DAE-FE55-9067-CC98-962EEAD3D533}"/>
                </a:ext>
              </a:extLst>
            </xdr:cNvPr>
            <xdr:cNvSpPr txBox="1"/>
          </xdr:nvSpPr>
          <xdr:spPr>
            <a:xfrm>
              <a:off x="17982879" y="7073152"/>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(0.01×(0.29+0.007(𝑒^(0.037×𝑁_(𝑓𝑗=𝑐𝑜𝑡𝑡𝑜𝑛) )−1)/𝑁_(𝑓𝑗=𝑐𝑜𝑡𝑡𝑜𝑛) ))×10^(−2)</a:t>
              </a:r>
              <a:endParaRPr lang="en-AU" sz="1100"/>
            </a:p>
          </xdr:txBody>
        </xdr:sp>
      </mc:Fallback>
    </mc:AlternateContent>
    <xdr:clientData/>
  </xdr:oneCellAnchor>
  <xdr:oneCellAnchor>
    <xdr:from>
      <xdr:col>11</xdr:col>
      <xdr:colOff>304800</xdr:colOff>
      <xdr:row>61</xdr:row>
      <xdr:rowOff>133350</xdr:rowOff>
    </xdr:from>
    <xdr:ext cx="3047693" cy="429926"/>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016E71D4-6A6E-4B5E-BC97-56CE145D218E}"/>
                </a:ext>
              </a:extLst>
            </xdr:cNvPr>
            <xdr:cNvSpPr txBox="1"/>
          </xdr:nvSpPr>
          <xdr:spPr>
            <a:xfrm>
              <a:off x="15897225" y="1537335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11" name="TextBox 10">
              <a:extLst>
                <a:ext uri="{FF2B5EF4-FFF2-40B4-BE49-F238E27FC236}">
                  <a16:creationId xmlns:a16="http://schemas.microsoft.com/office/drawing/2014/main" id="{016E71D4-6A6E-4B5E-BC97-56CE145D218E}"/>
                </a:ext>
              </a:extLst>
            </xdr:cNvPr>
            <xdr:cNvSpPr txBox="1"/>
          </xdr:nvSpPr>
          <xdr:spPr>
            <a:xfrm>
              <a:off x="15897225" y="1537335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𝐸_𝑁2𝑂=∑8_𝑗▒∑8_𝑓▒((𝑀𝑁_𝑗𝑓×𝐸𝐹_(𝑗,𝑁2𝑂)×𝐶_𝑁2𝑂 )×10^(−3) ) </a:t>
              </a:r>
              <a:endParaRPr lang="en-AU" sz="1100"/>
            </a:p>
          </xdr:txBody>
        </xdr:sp>
      </mc:Fallback>
    </mc:AlternateContent>
    <xdr:clientData/>
  </xdr:oneCellAnchor>
</xdr:wsDr>
</file>

<file path=xl/drawings/drawing3.xml><?xml version="1.0" encoding="utf-8"?>
<xdr:wsDr xmlns:xdr="http://schemas.openxmlformats.org/drawingml/2006/spreadsheetDrawing" xmlns:a="http://schemas.openxmlformats.org/drawingml/2006/main">
  <xdr:oneCellAnchor>
    <xdr:from>
      <xdr:col>3</xdr:col>
      <xdr:colOff>4762</xdr:colOff>
      <xdr:row>7</xdr:row>
      <xdr:rowOff>104775</xdr:rowOff>
    </xdr:from>
    <xdr:ext cx="1248098"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ED4CA656-6B28-0575-1032-D64942AF2694}"/>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ED4CA656-6B28-0575-1032-D64942AF2694}"/>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𝑀𝑈_𝑗𝑓=𝑇𝑀_𝑗𝑓×𝐹𝑈_𝑓</a:t>
              </a:r>
              <a:endParaRPr lang="en-AU" sz="1100"/>
            </a:p>
          </xdr:txBody>
        </xdr:sp>
      </mc:Fallback>
    </mc:AlternateContent>
    <xdr:clientData/>
  </xdr:oneCellAnchor>
  <xdr:oneCellAnchor>
    <xdr:from>
      <xdr:col>2</xdr:col>
      <xdr:colOff>309562</xdr:colOff>
      <xdr:row>44</xdr:row>
      <xdr:rowOff>19050</xdr:rowOff>
    </xdr:from>
    <xdr:ext cx="3195747"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2047CA4-BA3A-C23E-A326-33867DB7E1E6}"/>
                </a:ext>
              </a:extLst>
            </xdr:cNvPr>
            <xdr:cNvSpPr txBox="1"/>
          </xdr:nvSpPr>
          <xdr:spPr>
            <a:xfrm>
              <a:off x="2671762" y="1104900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𝑢𝑟𝑒𝑎</m:t>
                                        </m:r>
                                        <m:r>
                                          <a:rPr lang="en-AU" sz="1100" i="1">
                                            <a:latin typeface="Cambria Math" panose="02040503050406030204" pitchFamily="18" charset="0"/>
                                          </a:rPr>
                                          <m:t>,</m:t>
                                        </m:r>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72047CA4-BA3A-C23E-A326-33867DB7E1E6}"/>
                </a:ext>
              </a:extLst>
            </xdr:cNvPr>
            <xdr:cNvSpPr txBox="1"/>
          </xdr:nvSpPr>
          <xdr:spPr>
            <a:xfrm>
              <a:off x="2671762" y="1104900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𝐸_𝐶𝑂2=∑8_𝑗▒∑8_𝑓▒((𝑀𝑈_𝑗𝑓×𝐸𝐹_(𝑢𝑟𝑒𝑎,𝐶𝑂2)×𝐶_𝐶𝑂2 )×10^(−3) ) </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5673927C-FAF3-425F-8E58-192CAB5E17D4}" name="Table_Input_InorganicFertiliser_Brands" displayName="Table_Input_InorganicFertiliser_Brands" ref="D17:T18" headerRowDxfId="140" dataDxfId="139" totalsRowDxfId="138">
  <autoFilter ref="D17:T18" xr:uid="{5673927C-FAF3-425F-8E58-192CAB5E17D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autoFilter>
  <tableColumns count="17">
    <tableColumn id="2" xr3:uid="{D8E438D7-21E3-48DD-9144-E15C10C5819E}" name="Product (select)" dataDxfId="137" totalsRowDxfId="136" dataCellStyle="Input select"/>
    <tableColumn id="23" xr3:uid="{59B08BC3-EF27-48EB-BCEA-84F2987787EF}" name="Amount applied (kg / ha)" totalsRowFunction="custom" dataDxfId="135" totalsRowDxfId="134">
      <totalsRowFormula>SUM(Table_Input_InorganicFertiliser_Brands[[#Headers],[#Data],[Amount applied (kg / ha)]])</totalsRowFormula>
    </tableColumn>
    <tableColumn id="6" xr3:uid="{6844C17C-E015-4F91-924B-1E5867E2DFCF}" name="Application area (ha)" dataDxfId="133" totalsRowDxfId="132">
      <calculatedColumnFormula>$E$9</calculatedColumnFormula>
    </tableColumn>
    <tableColumn id="1" xr3:uid="{3BF774D0-ADA2-40B3-9242-8DFBBB9443B7}" name="Total applied (kg)" dataDxfId="131" totalsRowDxfId="130" dataCellStyle="Input number general calculated">
      <calculatedColumnFormula>Table_Input_InorganicFertiliser_Brands[[#This Row],[Amount applied (kg / ha)]]*Table_Input_InorganicFertiliser_Brands[[#This Row],[Application area (ha)]]</calculatedColumnFormula>
    </tableColumn>
    <tableColumn id="3" xr3:uid="{F58E0D71-91B7-42EC-AE70-0662CA20A4A0}" name="Ingredient 1" dataDxfId="129" totalsRowDxfId="128" dataCellStyle="Input number general calculated">
      <calculatedColumnFormula array="1">Fertiliser_InputFunctions.Fertiliser_FertiliserProductLookup(Table_Input_InorganicFertiliser_Brands[[#This Row],[Product (select)]], Table_Input_InorganicFertiliser_Brands[[#Headers],[Ingredient 1]], FertiliserProducts[#Data], FertiliserProducts[Product], FertiliserProducts[#Headers])</calculatedColumnFormula>
    </tableColumn>
    <tableColumn id="4" xr3:uid="{E044E44D-94BE-4206-90A4-BA1AC9629175}" name="Ingredient 1 percent" dataDxfId="127" totalsRowDxfId="126" dataCellStyle="Input number general calculated">
      <calculatedColumnFormula array="1">Fertiliser_InputFunctions.Fertiliser_FertiliserProductLookup(Table_Input_InorganicFertiliser_Brands[[#This Row],[Product (select)]], Table_Input_InorganicFertiliser_Brands[[#Headers],[Ingredient 1 percent]], FertiliserProducts[#Data], FertiliserProducts[Product], FertiliserProducts[#Headers])</calculatedColumnFormula>
    </tableColumn>
    <tableColumn id="7" xr3:uid="{658506A8-773F-406D-BF6E-4A595EC2B83E}" name="Ingredient 2" dataDxfId="125" dataCellStyle="Input number general calculated">
      <calculatedColumnFormula array="1">Fertiliser_InputFunctions.Fertiliser_FertiliserProductLookup(Table_Input_InorganicFertiliser_Brands[[#This Row],[Product (select)]], Table_Input_InorganicFertiliser_Brands[[#Headers],[Ingredient 2]], FertiliserProducts[#Data], FertiliserProducts[Product], FertiliserProducts[#Headers])</calculatedColumnFormula>
    </tableColumn>
    <tableColumn id="8" xr3:uid="{14C6792D-E1B3-4C47-95A3-750975538DDF}" name="Ingredient 2 percent" dataDxfId="124" totalsRowDxfId="123" dataCellStyle="Input number general calculated">
      <calculatedColumnFormula array="1">Fertiliser_InputFunctions.Fertiliser_FertiliserProductLookup(Table_Input_InorganicFertiliser_Brands[[#This Row],[Product (select)]], Table_Input_InorganicFertiliser_Brands[[#Headers],[Ingredient 2 percent]], FertiliserProducts[#Data], FertiliserProducts[Product], FertiliserProducts[#Headers])</calculatedColumnFormula>
    </tableColumn>
    <tableColumn id="10" xr3:uid="{AAA6B0A4-09BF-4E94-A9FE-688D347CF7F0}" name="Ingredient 3" dataDxfId="122" totalsRowDxfId="121" dataCellStyle="Input number general calculated">
      <calculatedColumnFormula array="1">Fertiliser_InputFunctions.Fertiliser_FertiliserProductLookup(Table_Input_InorganicFertiliser_Brands[[#This Row],[Product (select)]], Table_Input_InorganicFertiliser_Brands[[#Headers],[Ingredient 3]], FertiliserProducts[#Data], FertiliserProducts[Product], FertiliserProducts[#Headers])</calculatedColumnFormula>
    </tableColumn>
    <tableColumn id="11" xr3:uid="{A67D8906-DD6A-480D-A8F6-E0E2FD65B673}" name="Ingredient 3 percent" dataDxfId="120" totalsRowDxfId="119" dataCellStyle="Input number general calculated">
      <calculatedColumnFormula array="1">Fertiliser_InputFunctions.Fertiliser_FertiliserProductLookup(Table_Input_InorganicFertiliser_Brands[[#This Row],[Product (select)]], Table_Input_InorganicFertiliser_Brands[[#Headers],[Ingredient 3 percent]], FertiliserProducts[#Data], FertiliserProducts[Product], FertiliserProducts[#Headers])</calculatedColumnFormula>
    </tableColumn>
    <tableColumn id="13" xr3:uid="{239B3315-A1C7-4286-B68A-3639868C0EF9}" name="Ingredient 4" dataDxfId="118" totalsRowDxfId="117" dataCellStyle="Input number general calculated">
      <calculatedColumnFormula array="1">Fertiliser_InputFunctions.Fertiliser_FertiliserProductLookup(Table_Input_InorganicFertiliser_Brands[[#This Row],[Product (select)]], Table_Input_InorganicFertiliser_Brands[[#Headers],[Ingredient 4]], FertiliserProducts[#Data], FertiliserProducts[Product], FertiliserProducts[#Headers])</calculatedColumnFormula>
    </tableColumn>
    <tableColumn id="14" xr3:uid="{E99F178D-5310-4698-B219-B1950B041870}" name="Ingredient 4 percent" dataDxfId="116" dataCellStyle="Input number general calculated">
      <calculatedColumnFormula array="1">Fertiliser_InputFunctions.Fertiliser_FertiliserProductLookup(Table_Input_InorganicFertiliser_Brands[[#This Row],[Product (select)]], Table_Input_InorganicFertiliser_Brands[[#Headers],[Ingredient 4 percent]], FertiliserProducts[#Data], FertiliserProducts[Product], FertiliserProducts[#Headers])</calculatedColumnFormula>
    </tableColumn>
    <tableColumn id="16" xr3:uid="{3E5AE9CD-D391-4137-B063-ACC476CDF5C0}" name="Ingredient 5" dataDxfId="115" dataCellStyle="Input number general calculated">
      <calculatedColumnFormula array="1">Fertiliser_InputFunctions.Fertiliser_FertiliserProductLookup(Table_Input_InorganicFertiliser_Brands[[#This Row],[Product (select)]], Table_Input_InorganicFertiliser_Brands[[#Headers],[Ingredient 5]], FertiliserProducts[#Data], FertiliserProducts[Product], FertiliserProducts[#Headers])</calculatedColumnFormula>
    </tableColumn>
    <tableColumn id="17" xr3:uid="{7C4F06C2-A537-435A-A087-76B91A9DF178}" name="Ingredient 5 percent" dataDxfId="114" dataCellStyle="Input number general calculated">
      <calculatedColumnFormula array="1">Fertiliser_InputFunctions.Fertiliser_FertiliserProductLookup(Table_Input_InorganicFertiliser_Brands[[#This Row],[Product (select)]], Table_Input_InorganicFertiliser_Brands[[#Headers],[Ingredient 5 percent]], FertiliserProducts[#Data], FertiliserProducts[Product], FertiliserProducts[#Headers])</calculatedColumnFormula>
    </tableColumn>
    <tableColumn id="19" xr3:uid="{F29E9025-612B-444E-ABC6-F122293B67EE}" name="Ingredient 6" dataDxfId="113" dataCellStyle="Input number general calculated">
      <calculatedColumnFormula array="1">Fertiliser_InputFunctions.Fertiliser_FertiliserProductLookup(Table_Input_InorganicFertiliser_Brands[[#This Row],[Product (select)]], Table_Input_InorganicFertiliser_Brands[[#Headers],[Ingredient 6]], FertiliserProducts[#Data], FertiliserProducts[Product], FertiliserProducts[#Headers])</calculatedColumnFormula>
    </tableColumn>
    <tableColumn id="20" xr3:uid="{890ECB12-1799-4587-AABE-EB26A9F59082}" name="Ingredient 6 percent" dataDxfId="112" dataCellStyle="Input number general calculated">
      <calculatedColumnFormula array="1">Fertiliser_InputFunctions.Fertiliser_FertiliserProductLookup(Table_Input_InorganicFertiliser_Brands[[#This Row],[Product (select)]], Table_Input_InorganicFertiliser_Brands[[#Headers],[Ingredient 6 percent]], FertiliserProducts[#Data], FertiliserProducts[Product], FertiliserProducts[#Headers])</calculatedColumnFormula>
    </tableColumn>
    <tableColumn id="5" xr3:uid="{79855DE6-CD57-4A4D-9E7A-DBDBAC0C93A1}" name="N application rate (kg/ha)" dataDxfId="111" totalsRowDxfId="110" dataCellStyle="Input number general calculated">
      <calculatedColumnFormula>Table_Input_InorganicFertiliser_Brands[[#This Row],[Amount applied (kg / ha)]]*(IFERROR((_xlfn.XLOOKUP(Table_Input_InorganicFertiliser_Brands[[#This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calculatedColumn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6024A338-4140-4535-9AA6-449DA88B1C2C}" name="Table_Input_InorganicFertiliser_Custom" displayName="Table_Input_InorganicFertiliser_Custom" ref="D22:P23" totalsRowShown="0" headerRowDxfId="109" dataDxfId="108">
  <autoFilter ref="D22:P23" xr:uid="{6024A338-4140-4535-9AA6-449DA88B1C2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B5F1DF07-A1A2-4FA2-8A3F-B3BE5D6FA2EF}" name="Custom blend name" dataCellStyle="Input text"/>
    <tableColumn id="2" xr3:uid="{7C7F2F97-8F52-4B32-ADCE-CCF50441D95B}" name="Amount applied (kg / ha)" dataDxfId="107"/>
    <tableColumn id="3" xr3:uid="{7EF8A17B-D965-4D18-A7A2-D90F9F680015}" name="Application area (ha)" dataDxfId="106" dataCellStyle="Input number 2 decimal places">
      <calculatedColumnFormula>$E$9</calculatedColumnFormula>
    </tableColumn>
    <tableColumn id="4" xr3:uid="{B5004E38-6D68-4E13-BED4-CB556D548532}" name="Total applied (kg)" dataDxfId="105" dataCellStyle="Input number general calculated">
      <calculatedColumnFormula>Table_Input_InorganicFertiliser_Custom[[#This Row],[Amount applied (kg / ha)]]*Table_Input_InorganicFertiliser_Custom[[#This Row],[Application area (ha)]]</calculatedColumnFormula>
    </tableColumn>
    <tableColumn id="5" xr3:uid="{412210B2-0F3E-4380-B533-FB2A32DCF46E}" name="Ingredient 1 (select)" dataDxfId="104" dataCellStyle="Input select"/>
    <tableColumn id="6" xr3:uid="{E4FC8E72-0059-40E6-A5E8-C29893BBF371}" name="Ingredient 1 percent" dataDxfId="103"/>
    <tableColumn id="8" xr3:uid="{3568E299-41D5-4DA4-822C-91EFC2C68B68}" name="Ingredient 2" dataDxfId="102" dataCellStyle="Input select"/>
    <tableColumn id="9" xr3:uid="{9DFD8E7A-8101-4927-89BF-3E994EB31F96}" name="Ingredient 2 percent" dataDxfId="101"/>
    <tableColumn id="11" xr3:uid="{A7F2C8C6-1FC3-42D4-A36B-254F6E195571}" name="Ingredient 3" dataDxfId="100" dataCellStyle="Input select"/>
    <tableColumn id="12" xr3:uid="{43F6AA9D-3E97-4BA6-8E27-81AE530E1428}" name="Ingredient 3 percent" dataDxfId="99"/>
    <tableColumn id="14" xr3:uid="{AAE79728-DB2A-45E8-B9AB-496D82682D02}" name="Ingredient 4" dataDxfId="98" dataCellStyle="Input select"/>
    <tableColumn id="15" xr3:uid="{48BA5E25-4596-49E4-8F81-BC0D52974ECA}" name="Ingredient 4 percent" dataDxfId="97" dataCellStyle="Input number general calculated"/>
    <tableColumn id="7" xr3:uid="{8A68B805-7FB6-49A9-B9BB-58ADF30E43B7}" name="N application rate (kg/ha)" dataDxfId="96" dataCellStyle="Input number general calculated">
      <calculatedColumnFormula>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calculatedColumnFormula>
    </tableColumn>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2C84B33D-ED8D-4C1D-B319-1B5D2D0181A1}" name="Table_Input_Lime" displayName="Table_Input_Lime" ref="D31:L32" totalsRowShown="0" headerRowDxfId="95" dataDxfId="94" headerRowCellStyle="Input table column header">
  <autoFilter ref="D31:L32" xr:uid="{2C84B33D-ED8D-4C1D-B319-1B5D2D0181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82EBE8C9-DDAA-458C-A7AA-DCB847581DFF}" name="Product" dataDxfId="93"/>
    <tableColumn id="2" xr3:uid="{B4EAD8A0-4563-4BA4-8C32-F444D747B623}" name="Amount applied (t/hectare)" dataDxfId="92"/>
    <tableColumn id="4" xr3:uid="{AEB6AB68-6478-4B2B-9B85-2B6FAFAF4B19}" name="Application area (ha)" dataDxfId="91"/>
    <tableColumn id="3" xr3:uid="{CB52F796-ECF9-4D56-B08E-72C1A090ECED}" name="Total amount applied (t)" dataDxfId="90" dataCellStyle="Input number general calculated">
      <calculatedColumnFormula>IFERROR(Table_Input_Lime[[#This Row],[Amount applied (t/hectare)]]*Table_Input_Lime[[#This Row],[Application area (ha)]], 0)</calculatedColumnFormula>
    </tableColumn>
    <tableColumn id="6" xr3:uid="{463C4932-5481-444B-B89A-91DEAB645D48}" name="Percent Lime CaCO3" dataDxfId="89"/>
    <tableColumn id="8" xr3:uid="{E6AC5B83-E41F-4CA3-8CB5-DAE2C8D31386}" name="Percent Dolomite CaMg(CO3)2" dataDxfId="88"/>
    <tableColumn id="5" xr3:uid="{9E9BD61A-5A29-40F7-9923-A8D01F2E60C5}" name="Percent Lime Sand CaCO3" dataDxfId="87"/>
    <tableColumn id="7" xr3:uid="{C2FA7C98-73DF-4B0B-9D0B-AF335608BA35}" name="Percent Gypsum" dataDxfId="86"/>
    <tableColumn id="9" xr3:uid="{B7176A02-8377-4825-B7A1-ECCC697302EA}" name="Percent Potash" dataDxfId="85"/>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1424D04C-9CD1-4344-A611-A0F26AAC6A09}" name="Table_Input_OrganicFertiliser" displayName="Table_Input_OrganicFertiliser" ref="D40:K41" totalsRowShown="0" headerRowDxfId="84" dataDxfId="83" headerRowCellStyle="Input table column header">
  <autoFilter ref="D40:K41" xr:uid="{1424D04C-9CD1-4344-A611-A0F26AAC6A09}">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2A0150C9-E95C-4634-ACAA-18237EE0F81C}" name="Organic fertiliser type (select)" dataDxfId="82" dataCellStyle="Input select"/>
    <tableColumn id="6" xr3:uid="{2FFB48C1-DA8E-477A-A3A8-09E889FE7E8C}" name="Source (select)" dataDxfId="81" dataCellStyle="Input select"/>
    <tableColumn id="5" xr3:uid="{A4835DDC-D01F-4121-BA81-061BD582AD81}" name="Percentage of N in fertiliser" dataDxfId="80"/>
    <tableColumn id="2" xr3:uid="{78F23607-4221-4C96-AE58-1738D148B281}" name="Amount applied (kg/hectare)" dataDxfId="79"/>
    <tableColumn id="11" xr3:uid="{743E34BE-5366-4C2E-A066-60503FC1C110}" name="Amount N applied (kg/hectare)" dataDxfId="78" dataCellStyle="Input number general calculated">
      <calculatedColumnFormula>Table_Input_OrganicFertiliser[[#This Row],[Amount applied (kg/hectare)]]*Table_Input_OrganicFertiliser[[#This Row],[Percentage of N in fertiliser]]</calculatedColumnFormula>
    </tableColumn>
    <tableColumn id="4" xr3:uid="{B88F455B-D8D9-4441-954D-CD168CA9D851}" name="Application area (ha)" dataDxfId="77"/>
    <tableColumn id="7" xr3:uid="{7CBB769C-0807-447F-BE25-34DAD65EC446}" name="Total organic fertliser applied" dataDxfId="76" dataCellStyle="Input number general calculated">
      <calculatedColumnFormula>Table_Input_OrganicFertiliser[[#This Row],[Amount applied (kg/hectare)]]*Table_Input_OrganicFertiliser[[#This Row],[Application area (ha)]]</calculatedColumnFormula>
    </tableColumn>
    <tableColumn id="3" xr3:uid="{1F74E9BE-0840-40F9-B7FF-8F62A4E651FA}" name="Total nitrogen applied (kg)" dataDxfId="75" dataCellStyle="Input number general calculated">
      <calculatedColumnFormula>IFERROR(Table_Input_OrganicFertiliser[[#This Row],[Amount N applied (kg/hectare)]]*Table_Input_OrganicFertiliser[[#This Row],[Application area (ha)]], 0)</calculatedColumnFormula>
    </tableColumn>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62DD19F-CBC4-42A0-AD7E-F034180A8AA9}" name="Table_Fertiliser_ChemicalCompounds" displayName="Table_Fertiliser_ChemicalCompounds" ref="D16:I34" totalsRowShown="0">
  <autoFilter ref="D16:I34" xr:uid="{C62DD19F-CBC4-42A0-AD7E-F034180A8AA9}">
    <filterColumn colId="0" hiddenButton="1"/>
    <filterColumn colId="1" hiddenButton="1"/>
    <filterColumn colId="2" hiddenButton="1"/>
    <filterColumn colId="3" hiddenButton="1"/>
    <filterColumn colId="4" hiddenButton="1"/>
    <filterColumn colId="5" hiddenButton="1"/>
  </autoFilter>
  <tableColumns count="6">
    <tableColumn id="1" xr3:uid="{8C4C01E3-2923-4F94-8346-41D989BDE40D}" name="Fertiliser type f">
      <calculatedColumnFormula array="1">Common_InputFunctions.Utility_DisplayArrayInTable(Fertiliser_SourceData.Fertiliser_ChemicalCompoundElements_Data(),Table_Fertiliser_ChemicalCompounds[[#Headers],[Fertiliser type f]], 0)</calculatedColumnFormula>
    </tableColumn>
    <tableColumn id="2" xr3:uid="{72E07C71-DD8D-4126-8655-0AFD44FCC6AB}" name="FNinorganic f">
      <calculatedColumnFormula array="1">Common_InputFunctions.Utility_DisplayArrayInTable(Fertiliser_SourceData.Fertiliser_ChemicalCompoundElements_Data(),Table_Fertiliser_ChemicalCompounds[[#Headers],[Fertiliser type f]], 0)</calculatedColumnFormula>
    </tableColumn>
    <tableColumn id="3" xr3:uid="{30037BC3-4142-4B1B-B7E0-8A23D8ADC7CE}" name="FU f">
      <calculatedColumnFormula array="1">Common_InputFunctions.Utility_DisplayArrayInTable(Fertiliser_SourceData.Fertiliser_ChemicalCompoundElements_Data(),Table_Fertiliser_ChemicalCompounds[[#Headers],[Fertiliser type f]], 0)</calculatedColumnFormula>
    </tableColumn>
    <tableColumn id="4" xr3:uid="{EAEC1FB5-77BC-47F7-AAD2-E4475E63C604}" name="Basis">
      <calculatedColumnFormula array="1">Common_InputFunctions.Utility_DisplayArrayInTable(Fertiliser_SourceData.Fertiliser_ChemicalCompoundElements_Data(),Table_Fertiliser_ChemicalCompounds[[#Headers],[Fertiliser type f]], 0)</calculatedColumnFormula>
    </tableColumn>
    <tableColumn id="5" xr3:uid="{10C0FE6E-3C31-41D7-A8E3-A5873BBFAF53}" name="Lifecycles Scope 3 definition">
      <calculatedColumnFormula array="1">Common_InputFunctions.Utility_DisplayArrayInTable(Fertiliser_SourceData.Fertiliser_ChemicalCompoundElements_Data(),Table_Fertiliser_ChemicalCompounds[[#Headers],[Fertiliser type f]], 0)</calculatedColumnFormula>
    </tableColumn>
    <tableColumn id="6" xr3:uid="{DBEA0D9E-021A-42DD-879C-0FE0921BFAA5}" name="Source">
      <calculatedColumnFormula array="1">Common_InputFunctions.Utility_DisplayArrayInTable(Fertiliser_SourceData.Fertiliser_ChemicalCompoundElements_Data(),Table_Fertiliser_ChemicalCompounds[[#Headers],[Fertiliser type f]],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CF03620B-9968-447A-A13F-E60FF3C81E47}" name="FertiliserProducts" displayName="FertiliserProducts" ref="D62:AJ126" totalsRowShown="0">
  <autoFilter ref="D62:AJ126" xr:uid="{CF03620B-9968-447A-A13F-E60FF3C81E4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autoFilter>
  <tableColumns count="33">
    <tableColumn id="1" xr3:uid="{A3F0E066-456E-4CE4-AA6E-2432945E94BE}" name="Product" totalsRowDxfId="74"/>
    <tableColumn id="2" xr3:uid="{A1127254-05BE-4396-ABB5-A675D872078F}" name="Unit" totalsRowDxfId="73"/>
    <tableColumn id="3" xr3:uid="{38D957B7-EEA5-463D-BDB3-85B9FFD5BAA7}" name="Density (L to kg)" totalsRowDxfId="72"/>
    <tableColumn id="4" xr3:uid="{B66302A1-05EA-480E-AA2A-DA54BBD38A46}" name="Ingredient 1" totalsRowDxfId="71"/>
    <tableColumn id="5" xr3:uid="{1DD9CD43-0FC6-467F-B81B-17F2B18D92A6}" name="Ingredient 1 percent" totalsRowDxfId="70"/>
    <tableColumn id="6" xr3:uid="{2726F29B-265E-4968-9BDB-0822F320EC19}" name="Ingredient 1 source" totalsRowDxfId="69"/>
    <tableColumn id="7" xr3:uid="{BF1AF56A-2845-4920-860F-B10A736587C1}" name="Ingredient 2" totalsRowDxfId="68"/>
    <tableColumn id="8" xr3:uid="{E2EDC11B-C8E4-42A8-A90F-976309289390}" name="Ingredient 2 percent" totalsRowDxfId="67"/>
    <tableColumn id="9" xr3:uid="{24252A97-7709-44EA-ABC3-5F607CC0348F}" name="Ingredient 2 source" totalsRowDxfId="66"/>
    <tableColumn id="10" xr3:uid="{11AF6B47-3A72-4D46-9A4D-BBF30EC4193E}" name="Ingredient 3" totalsRowDxfId="65"/>
    <tableColumn id="11" xr3:uid="{0AAFCB45-5C80-4123-8736-D764334BFDB4}" name="Ingredient 3 percent" totalsRowDxfId="64"/>
    <tableColumn id="12" xr3:uid="{1191C429-7048-41F0-B9F1-7F3F733CF190}" name="Ingredient 3 source" totalsRowDxfId="63"/>
    <tableColumn id="13" xr3:uid="{FA476FFC-F776-4F53-9E0E-72EDBA1D1AE9}" name="Ingredient 4" totalsRowDxfId="62"/>
    <tableColumn id="14" xr3:uid="{659EB097-21AA-48F2-ABBA-84390DA814E8}" name="Ingredient 4 percent" totalsRowDxfId="61"/>
    <tableColumn id="15" xr3:uid="{41225C63-628E-47D6-9916-54724FB26AA0}" name="Ingredient 4 source" totalsRowDxfId="60"/>
    <tableColumn id="16" xr3:uid="{5CC4BD9F-F4DC-4AFB-B330-906140042C26}" name="Ingredient 5" totalsRowDxfId="59"/>
    <tableColumn id="17" xr3:uid="{C8419B25-8A41-4C9D-9C06-4A39DBA4FAEA}" name="Ingredient 5 percent" totalsRowDxfId="58"/>
    <tableColumn id="18" xr3:uid="{E02EF3B5-039F-4565-B2D4-9A23C40746B9}" name="Ingredient 5 source" totalsRowDxfId="57"/>
    <tableColumn id="19" xr3:uid="{AC8B170D-2E32-4FB7-BD07-9CD91A23BA09}" name="Ingredient 6" totalsRowDxfId="56"/>
    <tableColumn id="37" xr3:uid="{D87106C6-8480-4F48-8501-41D31D7A5FF8}" name="Ingredient 6 percent" totalsRowDxfId="55"/>
    <tableColumn id="20" xr3:uid="{BA505D28-522B-43EB-A12C-7C8BE25DD8C7}" name="Ingredient 6 source"/>
    <tableColumn id="24" xr3:uid="{3C80D87A-0310-479A-B767-6AACE3B3E29B}" name="Ingredient 7"/>
    <tableColumn id="23" xr3:uid="{CD58DC3E-C0F2-43B2-A1B0-76B51355BEA1}" name="Ingredient 7 percent"/>
    <tableColumn id="26" xr3:uid="{42E03324-7FDE-410D-A6C4-4B89738E9819}" name="Ingredient 7 source"/>
    <tableColumn id="25" xr3:uid="{84EB4292-6D04-4B8E-8047-079CEB05EA1D}" name="Ingredient 8"/>
    <tableColumn id="30" xr3:uid="{EC662245-DC04-4101-9534-1830E772B6D9}" name="Ingredient 8 percent"/>
    <tableColumn id="29" xr3:uid="{1CC52630-7C0B-476C-B2D2-4186BA938468}" name="Ingredient 8 source"/>
    <tableColumn id="28" xr3:uid="{50F2BD5C-4FB9-4A6E-843C-95FB18A62F65}" name="Ingredient 9"/>
    <tableColumn id="27" xr3:uid="{DE5688C0-B62F-42E5-981A-8DE88DA9EE0A}" name="Ingredient 9 percent"/>
    <tableColumn id="21" xr3:uid="{ADC3682E-A534-4CFB-908A-3806C0E6990F}" name="Ingredient 9 source"/>
    <tableColumn id="32" xr3:uid="{C0AD78D2-8049-4C1A-AE90-6490D76E130F}" name="Imngredient 10"/>
    <tableColumn id="31" xr3:uid="{E6317D96-E7C7-4A07-BB78-09373338FD98}" name="Ingredient 10 percent"/>
    <tableColumn id="22" xr3:uid="{6A4D302C-53FB-4244-A336-C3EA14DF4DFC}" name="Ingredient 10 source"/>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BA6279EA-7DA2-46FA-80C0-81926E3CFC51}" name="Table_SourceData_Fertiliser_FracGASF" displayName="Table_SourceData_Fertiliser_FracGASF" ref="D47:E52" totalsRowShown="0">
  <autoFilter ref="D47:E52" xr:uid="{BA6279EA-7DA2-46FA-80C0-81926E3CFC51}">
    <filterColumn colId="0" hiddenButton="1"/>
    <filterColumn colId="1" hiddenButton="1"/>
  </autoFilter>
  <tableColumns count="2">
    <tableColumn id="1" xr3:uid="{19E09D05-8D4E-4AE2-8358-E4A5E671DAF1}" name="Fertiliser type f">
      <calculatedColumnFormula array="1">Common_InputFunctions.Utility_DisplayArrayInTable(Fertiliser_SourceData.Fertiliser_FracGASF_Data(), Table_SourceData_Fertiliser_FracGASF[[#Headers],[Fertiliser type f]], 0)</calculatedColumnFormula>
    </tableColumn>
    <tableColumn id="2" xr3:uid="{DA8F3147-84CA-4496-93BC-D8C87A2057DC}" name="FracGASF f" dataDxfId="54" dataCellStyle="Content normal">
      <calculatedColumnFormula array="1">Common_InputFunctions.Utility_DisplayArrayInTable(Fertiliser_SourceData.Fertiliser_FracGASF_Data(), Table_SourceData_Fertiliser_FracGASF[[#Headers],[Fertiliser type f]],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4F3A11E-40F5-4BB9-BFF4-A71FA2ADA0EF}" name="Table_SourceData_Fertiliser_CropProdSystems" displayName="Table_SourceData_Fertiliser_CropProdSystems" ref="D39:D41" totalsRowShown="0">
  <autoFilter ref="D39:D41" xr:uid="{24F3A11E-40F5-4BB9-BFF4-A71FA2ADA0EF}"/>
  <tableColumns count="1">
    <tableColumn id="1" xr3:uid="{E0B29DD2-DF66-45FE-971C-A5602D100E6D}" name="Production system">
      <calculatedColumnFormula>#REF!</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6754DF9-B9B7-4777-A419-208519289931}" name="Table_SourceData_Fertiliser_IrrigationMethods" displayName="Table_SourceData_Fertiliser_IrrigationMethods" ref="H39:H44" totalsRowShown="0">
  <autoFilter ref="H39:H44" xr:uid="{B6754DF9-B9B7-4777-A419-208519289931}"/>
  <tableColumns count="1">
    <tableColumn id="1" xr3:uid="{A7BA260A-A23A-44C9-AF41-8341440492AC}" name="Irrigation method"/>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CB5044B5-FA3C-4AA2-B1AB-72F7E61D072F}" name="Table_SourceData_Fertiliser_CropTypes" displayName="Table_SourceData_Fertiliser_CropTypes" ref="F39:F43" totalsRowShown="0">
  <autoFilter ref="F39:F43" xr:uid="{CB5044B5-FA3C-4AA2-B1AB-72F7E61D072F}">
    <filterColumn colId="0" hiddenButton="1"/>
  </autoFilter>
  <tableColumns count="1">
    <tableColumn id="1" xr3:uid="{EAFA6706-EC03-46CB-966D-E46F556BEEFE}" name="Production system"/>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C0EBB88F-78E2-4301-A115-5D57142F74BA}" name="Table_SourceData_Poultry_DietProperties" displayName="Table_SourceData_Poultry_DietProperties" ref="D8:H13" totalsRowShown="0">
  <autoFilter ref="D8:H13" xr:uid="{C0EBB88F-78E2-4301-A115-5D57142F74BA}"/>
  <tableColumns count="5">
    <tableColumn id="1" xr3:uid="{C87DC6D9-335D-4EE2-BBEC-7AD45CC183B5}" name="Nutrient analysis">
      <calculatedColumnFormula array="1">Common_InputFunctions.Utility_DisplayArrayInTable(SourceData_Poultry.SourceData_Poultry_DietProperties_Data(), Table_SourceData_Poultry_DietProperties[[#Headers],[Nutrient analysis]], 0)</calculatedColumnFormula>
    </tableColumn>
    <tableColumn id="2" xr3:uid="{57461AF5-0667-4FCB-8332-88C8FE7F18B5}" name="Layers" dataDxfId="53" dataCellStyle="Content normal">
      <calculatedColumnFormula array="1">Common_InputFunctions.Utility_DisplayArrayInTable(SourceData_Poultry.SourceData_Poultry_DietProperties_Data(), Table_SourceData_Poultry_DietProperties[[#Headers],[Nutrient analysis]], 0)</calculatedColumnFormula>
    </tableColumn>
    <tableColumn id="3" xr3:uid="{BBD63E84-AE9F-4272-BEE7-379028D818EB}" name="Meat chicken growers" dataDxfId="52" dataCellStyle="Content normal">
      <calculatedColumnFormula array="1">Common_InputFunctions.Utility_DisplayArrayInTable(SourceData_Poultry.SourceData_Poultry_DietProperties_Data(), Table_SourceData_Poultry_DietProperties[[#Headers],[Nutrient analysis]], 0)</calculatedColumnFormula>
    </tableColumn>
    <tableColumn id="4" xr3:uid="{20F9064F-204E-49AA-B166-1040B3B7326B}" name="Meat chicken breeder" dataDxfId="51" dataCellStyle="Content normal">
      <calculatedColumnFormula array="1">Common_InputFunctions.Utility_DisplayArrayInTable(SourceData_Poultry.SourceData_Poultry_DietProperties_Data(), Table_SourceData_Poultry_DietProperties[[#Headers],[Nutrient analysis]], 0)</calculatedColumnFormula>
    </tableColumn>
    <tableColumn id="5" xr3:uid="{B7F00411-E5E4-487B-81BB-C26564C09F24}" name="Meat other" dataDxfId="50" dataCellStyle="Content normal">
      <calculatedColumnFormula array="1">Common_InputFunctions.Utility_DisplayArrayInTable(SourceData_Poultry.SourceData_Poultry_DietProperties_Data(), Table_SourceData_Poultry_DietProperties[[#Headers],[Nutrient analysis]],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B337049C-2437-4EFA-AAFD-35A825C8877D}" name="Table_SourceData_Poultry_MethaneEmissionsPotential" displayName="Table_SourceData_Poultry_MethaneEmissionsPotential" ref="D19:E21" totalsRowShown="0">
  <autoFilter ref="D19:E21" xr:uid="{B337049C-2437-4EFA-AAFD-35A825C8877D}"/>
  <tableColumns count="2">
    <tableColumn id="1" xr3:uid="{DEBB59A0-CAC2-4DEA-9982-17651E388A17}" name="Poultry class">
      <calculatedColumnFormula array="1">Common_InputFunctions.Utility_DisplayArrayInTable(SourceData_Poultry.SourceData_Poultry_MethaneEmissionsPotential_Data(), Table_SourceData_Poultry_MethaneEmissionsPotential[[#Headers],[Poultry class]], 0)</calculatedColumnFormula>
    </tableColumn>
    <tableColumn id="2" xr3:uid="{920E8514-DD22-464B-9DB6-900D6A99CD4D}" name="B0" dataDxfId="49" dataCellStyle="Content normal">
      <calculatedColumnFormula array="1">Common_InputFunctions.Utility_DisplayArrayInTable(SourceData_Poultry.SourceData_Poultry_MethaneEmissionsPotential_Data(), Table_SourceData_Poultry_MethaneEmissionsPotential[[#Headers],[Poultry class]],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AF7090B5-6718-41B7-9B26-A00EDB46BAC3}" name="Table_SourceData_PoultryMMS" displayName="Table_SourceData_PoultryMMS" ref="D28:E38" totalsRowShown="0">
  <autoFilter ref="D28:E38" xr:uid="{AF7090B5-6718-41B7-9B26-A00EDB46BAC3}"/>
  <tableColumns count="2">
    <tableColumn id="1" xr3:uid="{47CF50D5-E766-4A0D-8070-E14082E43836}" name="MMS"/>
    <tableColumn id="2" xr3:uid="{EABA1EC1-40EE-4DB0-9429-6D402A5B5F90}" name="Symbol and MMS" dataDxfId="48" dataCellStyle="Content normal"/>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5810106E-36C6-489E-8962-5DE08C5F2EAC}" name="Table_SourceData_Poultry_ProductionSystems" displayName="Table_SourceData_Poultry_ProductionSystems" ref="D44:D47" totalsRowShown="0">
  <autoFilter ref="D44:D47" xr:uid="{5810106E-36C6-489E-8962-5DE08C5F2EAC}"/>
  <tableColumns count="1">
    <tableColumn id="1" xr3:uid="{F1CB7D97-90DF-41BF-87CB-E70D8254376B}" name="Production system">
      <calculatedColumnFormula array="1">Common_InputFunctions.Utility_DisplayArrayInTable(SourceData_Poultry.SourceData_Poultry_ProductionSystems_Data(), Table_SourceData_Poultry_ProductionSystems[[#Headers],[Production system]],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F26BAEA5-5A43-49B7-A0AB-1CF0D30AA767}" name="Table_SourceData_Poultry_MMSMCF" displayName="Table_SourceData_Poultry_MMSMCF" ref="D59:N68" totalsRowShown="0">
  <autoFilter ref="D59:N68" xr:uid="{F26BAEA5-5A43-49B7-A0AB-1CF0D30AA767}"/>
  <tableColumns count="11">
    <tableColumn id="1" xr3:uid="{E7FEC0DD-5366-4EB8-BE39-F19E084CE3E5}" name="MMS m">
      <calculatedColumnFormula array="1">Common_InputFunctions.Utility_DisplayArrayInTable(SourceData_Poultry.SourceData_Poultry_MCF_Data(), Table_SourceData_Poultry_MMSMCF[[#Headers],[MMS m]], 0)</calculatedColumnFormula>
    </tableColumn>
    <tableColumn id="2" xr3:uid="{269563D6-D06B-469F-866D-B00E1ED1865F}" name="All states" dataDxfId="47" dataCellStyle="Content normal">
      <calculatedColumnFormula array="1">Common_InputFunctions.Utility_DisplayArrayInTable(SourceData_Poultry.SourceData_Poultry_MCF_Data(), Table_SourceData_Poultry_MMSMCF[[#Headers],[MMS m]], 0)</calculatedColumnFormula>
    </tableColumn>
    <tableColumn id="3" xr3:uid="{7C7AFB2F-9F78-49C3-824F-3F0C9D5E1146}" name="NSW" dataDxfId="46" dataCellStyle="Content normal">
      <calculatedColumnFormula array="1">Common_InputFunctions.Utility_DisplayArrayInTable(SourceData_Poultry.SourceData_Poultry_MCF_Data(), Table_SourceData_Poultry_MMSMCF[[#Headers],[MMS m]], 0)</calculatedColumnFormula>
    </tableColumn>
    <tableColumn id="4" xr3:uid="{8F6C8F7B-16F4-4119-9CD6-B9D7410A1058}" name="ACT" dataDxfId="45" dataCellStyle="Content normal">
      <calculatedColumnFormula array="1">Common_InputFunctions.Utility_DisplayArrayInTable(SourceData_Poultry.SourceData_Poultry_MCF_Data(), Table_SourceData_Poultry_MMSMCF[[#Headers],[MMS m]], 0)</calculatedColumnFormula>
    </tableColumn>
    <tableColumn id="5" xr3:uid="{35DF7A08-4598-4E85-8418-B56B47561C03}" name="QLD" dataDxfId="44" dataCellStyle="Content normal">
      <calculatedColumnFormula array="1">Common_InputFunctions.Utility_DisplayArrayInTable(SourceData_Poultry.SourceData_Poultry_MCF_Data(), Table_SourceData_Poultry_MMSMCF[[#Headers],[MMS m]], 0)</calculatedColumnFormula>
    </tableColumn>
    <tableColumn id="6" xr3:uid="{0B5D1F9A-8137-494F-B4FA-06AEED00BE12}" name="NT" dataDxfId="43" dataCellStyle="Content normal">
      <calculatedColumnFormula array="1">Common_InputFunctions.Utility_DisplayArrayInTable(SourceData_Poultry.SourceData_Poultry_MCF_Data(), Table_SourceData_Poultry_MMSMCF[[#Headers],[MMS m]], 0)</calculatedColumnFormula>
    </tableColumn>
    <tableColumn id="7" xr3:uid="{20E75A60-87D5-4323-B301-DFEBFE0A70D0}" name="VIC" dataDxfId="42" dataCellStyle="Content normal">
      <calculatedColumnFormula array="1">Common_InputFunctions.Utility_DisplayArrayInTable(SourceData_Poultry.SourceData_Poultry_MCF_Data(), Table_SourceData_Poultry_MMSMCF[[#Headers],[MMS m]], 0)</calculatedColumnFormula>
    </tableColumn>
    <tableColumn id="8" xr3:uid="{704B2AB5-8F76-4A6E-BC83-4EE3CB8F0CD9}" name="SA" dataDxfId="41" dataCellStyle="Content normal">
      <calculatedColumnFormula array="1">Common_InputFunctions.Utility_DisplayArrayInTable(SourceData_Poultry.SourceData_Poultry_MCF_Data(), Table_SourceData_Poultry_MMSMCF[[#Headers],[MMS m]], 0)</calculatedColumnFormula>
    </tableColumn>
    <tableColumn id="9" xr3:uid="{DCEEC972-73B0-4C14-9A4D-FCB373657CEB}" name="WA" dataDxfId="40" dataCellStyle="Content normal">
      <calculatedColumnFormula array="1">Common_InputFunctions.Utility_DisplayArrayInTable(SourceData_Poultry.SourceData_Poultry_MCF_Data(), Table_SourceData_Poultry_MMSMCF[[#Headers],[MMS m]], 0)</calculatedColumnFormula>
    </tableColumn>
    <tableColumn id="10" xr3:uid="{94C744BC-E6D5-4FB2-974B-2F4DFD6F4EFB}" name="TAS" dataDxfId="39" dataCellStyle="Content normal">
      <calculatedColumnFormula array="1">Common_InputFunctions.Utility_DisplayArrayInTable(SourceData_Poultry.SourceData_Poultry_MCF_Data(), Table_SourceData_Poultry_MMSMCF[[#Headers],[MMS m]], 0)</calculatedColumnFormula>
    </tableColumn>
    <tableColumn id="11" xr3:uid="{F98C8970-3F12-428D-A15A-417E592F316E}" name="NIR definition" dataDxfId="38" dataCellStyle="Content normal">
      <calculatedColumnFormula array="1">Common_InputFunctions.Utility_DisplayArrayInTable(SourceData_Poultry.SourceData_Poultry_MCF_Data(), Table_SourceData_Poultry_MMSMCF[[#Headers],[MMS m]],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DEE6EA5E-2B4D-4BFE-9875-EACD468C453A}" name="Table_SourceData_PoultryMMSSTage1" displayName="Table_SourceData_PoultryMMSSTage1" ref="G28:H33" totalsRowShown="0">
  <autoFilter ref="G28:H33" xr:uid="{DEE6EA5E-2B4D-4BFE-9875-EACD468C453A}"/>
  <tableColumns count="2">
    <tableColumn id="1" xr3:uid="{4E5C4C69-995C-42D1-BBE3-542B0FF491A1}" name="MMS"/>
    <tableColumn id="2" xr3:uid="{8B69BB2A-335F-47C5-9D1B-E4F564913CD2}" name="Symbol and MMS" dataDxfId="37" dataCellStyle="Content normal"/>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EC4CB048-5E1F-4D26-9F6C-B04ADADF31C3}" name="Table_SourceData_PoultryMMSStage2" displayName="Table_SourceData_PoultryMMSStage2" ref="J28:K34" totalsRowShown="0">
  <autoFilter ref="J28:K34" xr:uid="{EC4CB048-5E1F-4D26-9F6C-B04ADADF31C3}"/>
  <tableColumns count="2">
    <tableColumn id="1" xr3:uid="{A833F318-5E96-452B-914B-56EBEE0F957E}" name="MMS"/>
    <tableColumn id="2" xr3:uid="{6F353241-E782-4530-8CAF-E831533C8B4E}" name="Symbol and MMS" dataDxfId="36" dataCellStyle="Content normal"/>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9227BAFF-4BC8-4D7F-BDAE-6BC460B8A0CA}" name="Table_SourceData_Poultry_MMSVSL" displayName="Table_SourceData_Poultry_MMSVSL" ref="D76:F79" totalsRowShown="0">
  <autoFilter ref="D76:F79" xr:uid="{9227BAFF-4BC8-4D7F-BDAE-6BC460B8A0CA}"/>
  <tableColumns count="3">
    <tableColumn id="1" xr3:uid="{3F31A5AB-9F38-4ADE-A3EA-A68D670EEA61}" name="MMS">
      <calculatedColumnFormula array="1">Common_InputFunctions.Utility_DisplayArrayInTable(SourceData_Poultry.SourceData_Poultry_VSL_Data(), Table_SourceData_Poultry_MMSVSL[[#Headers],[MMS]], 0)</calculatedColumnFormula>
    </tableColumn>
    <tableColumn id="2" xr3:uid="{C618765F-80B1-4CE0-8745-39A121688928}" name="VSL" dataDxfId="35" dataCellStyle="Content normal">
      <calculatedColumnFormula array="1">Common_InputFunctions.Utility_DisplayArrayInTable(SourceData_Poultry.SourceData_Poultry_VSL_Data(), Table_SourceData_Poultry_MMSVSL[[#Headers],[MMS]], 0)</calculatedColumnFormula>
    </tableColumn>
    <tableColumn id="3" xr3:uid="{29EBD005-C894-48D5-96B7-8F2BE6A56B71}" name="NIR definition" dataDxfId="34" dataCellStyle="Content normal">
      <calculatedColumnFormula array="1">Common_InputFunctions.Utility_DisplayArrayInTable(SourceData_Poultry.SourceData_Poultry_VSL_Data(), Table_SourceData_Poultry_MMSVSL[[#Headers],[MMS]],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9BA131A3-0B04-413F-9D7A-86F5FB660776}" name="Table_SourceData_Poultry_FracGASM" displayName="Table_SourceData_Poultry_FracGASM" ref="D85:F92" totalsRowShown="0">
  <autoFilter ref="D85:F92" xr:uid="{9BA131A3-0B04-413F-9D7A-86F5FB660776}">
    <filterColumn colId="0" hiddenButton="1"/>
    <filterColumn colId="1" hiddenButton="1"/>
    <filterColumn colId="2" hiddenButton="1"/>
  </autoFilter>
  <tableColumns count="3">
    <tableColumn id="1" xr3:uid="{196CD414-F336-4607-9663-271DD653A2CF}" name="MMSm">
      <calculatedColumnFormula array="1">Common_InputFunctions.Utility_DisplayArrayInTable(SourceData_Poultry.SourceData_Poultry_FracGASMmT_Data(), Table_SourceData_Poultry_FracGASM[[#Headers],[MMSm]], 0)</calculatedColumnFormula>
    </tableColumn>
    <tableColumn id="2" xr3:uid="{8525C18F-EC46-466C-9313-CE932691CFFA}" name="FracGASMmT" dataDxfId="33" dataCellStyle="Content normal">
      <calculatedColumnFormula array="1">Common_InputFunctions.Utility_DisplayArrayInTable(SourceData_Poultry.SourceData_Poultry_FracGASMmT_Data(), Table_SourceData_Poultry_FracGASM[[#Headers],[MMSm]], 0)</calculatedColumnFormula>
    </tableColumn>
    <tableColumn id="3" xr3:uid="{BF75B3E6-C5BF-4822-ADCF-E7FF0C1AA46F}" name="NIR reference" dataDxfId="32" dataCellStyle="Content normal">
      <calculatedColumnFormula array="1">Common_InputFunctions.Utility_DisplayArrayInTable(SourceData_Poultry.SourceData_Poultry_FracGASMmT_Data(), Table_SourceData_Poultry_FracGASM[[#Headers],[MMSm]],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1DCEB6AC-6595-49CF-B6BF-C7F6309D3288}" name="Table_SourceData_Poultry_EFmT" displayName="Table_SourceData_Poultry_EFmT" ref="D98:F106" totalsRowShown="0">
  <autoFilter ref="D98:F106" xr:uid="{1DCEB6AC-6595-49CF-B6BF-C7F6309D3288}">
    <filterColumn colId="0" hiddenButton="1"/>
    <filterColumn colId="1" hiddenButton="1"/>
    <filterColumn colId="2" hiddenButton="1"/>
  </autoFilter>
  <tableColumns count="3">
    <tableColumn id="1" xr3:uid="{F09762C4-A2FE-4E41-9D55-47BAECA3B88C}" name="MMSm">
      <calculatedColumnFormula array="1">Common_InputFunctions.Utility_DisplayArrayInTable(SourceData_Poultry.SourceData_Poultry_EFmT_Data(),Table_SourceData_Poultry_EFmT[[#Headers],[MMSm]], 0)</calculatedColumnFormula>
    </tableColumn>
    <tableColumn id="2" xr3:uid="{FE2E40D4-6F56-4728-A4BC-EDAB5A737C4D}" name="EFmT" dataDxfId="31" dataCellStyle="Content normal">
      <calculatedColumnFormula array="1">Common_InputFunctions.Utility_DisplayArrayInTable(SourceData_Poultry.SourceData_Poultry_EFmT_Data(),Table_SourceData_Poultry_EFmT[[#Headers],[MMSm]], 0)</calculatedColumnFormula>
    </tableColumn>
    <tableColumn id="3" xr3:uid="{A4683055-F26C-4120-A660-7D1BE201E4C8}" name="NIR reference" dataDxfId="30" dataCellStyle="Content normal">
      <calculatedColumnFormula array="1">Common_InputFunctions.Utility_DisplayArrayInTable(SourceData_Poultry.SourceData_Poultry_EFmT_Data(),Table_SourceData_Poultry_EFmT[[#Headers],[MMSm]],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E6144E-A1E7-4518-B032-EF188F35C422}"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A67EF497-7B1B-4776-9D83-A8AD1BEAF517}" name="State/Territory">
      <calculatedColumnFormula array="1">Common_InputFunctions.Utility_DisplayArrayInTable(Common_SourceData.Common_SourceData_AustralianStatesTerritories_Data(),Table_AustralianStates[[#Headers],[State/Territory]],0)</calculatedColumnFormula>
    </tableColumn>
    <tableColumn id="2" xr3:uid="{6E9614A8-2F7E-4491-9C0D-E14664D3CBD5}" name="Common Name">
      <calculatedColumnFormula array="1">Common_InputFunctions.Utility_DisplayArrayInTable(Common_SourceData.Common_SourceData_AustralianStatesTerritories_Data(),Table_AustralianStates[[#Headers],[State/Territory]],0)</calculatedColumnFormula>
    </tableColumn>
    <tableColumn id="3" xr3:uid="{48FCC7EC-93CF-4022-930C-DFF884BE9C3A}"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98080EA-F2FB-4179-A336-59EF5AF50E8F}" name="Table_WASA4Areas" displayName="Table_WASA4Areas" ref="D20:D30" totalsRowShown="0">
  <autoFilter ref="D20:D30" xr:uid="{5FA81339-C6C8-4D36-BEEA-6C4AEDD9E676}">
    <filterColumn colId="0" hiddenButton="1"/>
  </autoFilter>
  <tableColumns count="1">
    <tableColumn id="1" xr3:uid="{8E44BE92-8969-4CB0-B814-3C00C2C18F3C}"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3B270221-00F4-4B48-BE2F-1F9DCAB7874A}" name="Table_GWPData" displayName="Table_GWPData" ref="D36:E43" totalsRowShown="0">
  <autoFilter ref="D36:E43" xr:uid="{B8E87A66-3E41-4AD3-925D-01EE21B43D7A}">
    <filterColumn colId="0" hiddenButton="1"/>
    <filterColumn colId="1" hiddenButton="1"/>
  </autoFilter>
  <tableColumns count="2">
    <tableColumn id="1" xr3:uid="{D82C5D5A-F88F-46E7-868F-025402490369}" name="Gas">
      <calculatedColumnFormula array="1">Common_InputFunctions.Utility_DisplayArrayInTable(Common_SourceData.Common_SourceData_GWP_Data(), Table_GWPData[[#Headers],[Gas]], 0)</calculatedColumnFormula>
    </tableColumn>
    <tableColumn id="2" xr3:uid="{6DC661F8-0615-4FB7-8AE2-83962657C55A}"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79E591EE-C4BF-4FA2-8F75-39DA84C25602}"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BABC03E3-165B-407A-BF04-28738E72D28A}" name="Gas">
      <calculatedColumnFormula array="1">Common_InputFunctions.Utility_DisplayArrayInTable(Common_SourceData.Common_SourceData_ConvertGasElementalToMolecular_Data(),Table_GasToMolecularConversionFactor[[#Headers],[Gas]], 0)</calculatedColumnFormula>
    </tableColumn>
    <tableColumn id="5" xr3:uid="{CF0196FE-D2CF-4F66-8847-9CE3DB549E9B}" name="Conversion factor">
      <calculatedColumnFormula array="1">Common_InputFunctions.Utility_DisplayArrayInTable(Common_SourceData.Common_SourceData_ConvertGasElementalToMolecular_Data(),Table_GasToMolecularConversionFactor[[#Headers],[Gas]], 0)</calculatedColumnFormula>
    </tableColumn>
    <tableColumn id="2" xr3:uid="{71C50FB6-28B8-4C5F-B7F7-F9E98423215B}" name="Conversion factor 1">
      <calculatedColumnFormula array="1">Common_InputFunctions.Utility_DisplayArrayInTable(Common_SourceData.Common_SourceData_ConvertGasElementalToMolecular_Data(),Table_GasToMolecularConversionFactor[[#Headers],[Gas]], 0)</calculatedColumnFormula>
    </tableColumn>
    <tableColumn id="3" xr3:uid="{9E60D175-C714-4272-922B-6384C81A6A4A}" name="Conversion factor 2">
      <calculatedColumnFormula array="1">Common_InputFunctions.Utility_DisplayArrayInTable(Common_SourceData.Common_SourceData_ConvertGasElementalToMolecular_Data(),Table_GasToMolecularConversionFactor[[#Headers],[Gas]], 0)</calculatedColumnFormula>
    </tableColumn>
    <tableColumn id="4" xr3:uid="{77C6E5B1-2CB1-4714-9B60-3FC1F2C784D3}"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5EB24DAD-7938-4A28-8102-A92DD6232701}"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7C646E3D-156E-438B-9E75-102B5E96E255}"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3F6652C3-1BDE-4F33-9D5E-1BA7F24CFE1E}" name="MAT" totalsRowDxfId="175" totalsRowCellStyle="Content bold">
      <calculatedColumnFormula array="1">Common_InputFunctions.Utility_DisplayArrayInTable(Common_SourceData.Common_SourceData_ClimateZones_Data(), Table_SourceData_ClimateZones[[#Headers],[Climate zone]], 0)</calculatedColumnFormula>
    </tableColumn>
    <tableColumn id="3" xr3:uid="{68D3A033-0C56-472E-A3CF-B482905871CF}" name="MAP" totalsRowDxfId="174" totalsRowCellStyle="Content bold">
      <calculatedColumnFormula array="1">Common_InputFunctions.Utility_DisplayArrayInTable(Common_SourceData.Common_SourceData_ClimateZones_Data(), Table_SourceData_ClimateZones[[#Headers],[Climate zone]], 0)</calculatedColumnFormula>
    </tableColumn>
    <tableColumn id="4" xr3:uid="{18D7CFC5-1F89-47C0-AF12-0FD6A80AD2C8}" name="Frost days per year" totalsRowDxfId="173" totalsRowCellStyle="Content bold">
      <calculatedColumnFormula array="1">Common_InputFunctions.Utility_DisplayArrayInTable(Common_SourceData.Common_SourceData_ClimateZones_Data(), Table_SourceData_ClimateZones[[#Headers],[Climate zone]], 0)</calculatedColumnFormula>
    </tableColumn>
    <tableColumn id="5" xr3:uid="{694DED4D-19CA-49A7-A7A4-ED3CD36E0BA2}" name="Elevation" totalsRowDxfId="172" totalsRowCellStyle="Content bold">
      <calculatedColumnFormula array="1">Common_InputFunctions.Utility_DisplayArrayInTable(Common_SourceData.Common_SourceData_ClimateZones_Data(), Table_SourceData_ClimateZones[[#Headers],[Climate zone]], 0)</calculatedColumnFormula>
    </tableColumn>
    <tableColumn id="6" xr3:uid="{BE47AD00-59A1-4916-A3FF-4E905492D142}" name="MAP:PET" totalsRowDxfId="171" totalsRowCellStyle="Content bold">
      <calculatedColumnFormula array="1">Common_InputFunctions.Utility_DisplayArrayInTable(Common_SourceData.Common_SourceData_ClimateZones_Data(), Table_SourceData_ClimateZones[[#Headers],[Climate zone]], 0)</calculatedColumnFormula>
    </tableColumn>
    <tableColumn id="7" xr3:uid="{8CD0BB0E-B9A0-4065-920B-F859089361EB}" name="Min temp" totalsRowDxfId="170" totalsRowCellStyle="Content bold">
      <calculatedColumnFormula array="1">Common_InputFunctions.Utility_DisplayArrayInTable(Common_SourceData.Common_SourceData_ClimateZones_Data(), Table_SourceData_ClimateZones[[#Headers],[Climate zone]], 0)</calculatedColumnFormula>
    </tableColumn>
    <tableColumn id="8" xr3:uid="{9AD474F5-6F0E-4F15-87EA-A3E86BD8CD84}" name="Max temp" totalsRowDxfId="169" totalsRowCellStyle="Content bold">
      <calculatedColumnFormula array="1">Common_InputFunctions.Utility_DisplayArrayInTable(Common_SourceData.Common_SourceData_ClimateZones_Data(), Table_SourceData_ClimateZones[[#Headers],[Climate zone]], 0)</calculatedColumnFormula>
    </tableColumn>
    <tableColumn id="9" xr3:uid="{4132B96D-08DF-47B8-9134-F88DA6CBA26A}" name="Min rainfall" totalsRowDxfId="168" totalsRowCellStyle="Content bold">
      <calculatedColumnFormula array="1">Common_InputFunctions.Utility_DisplayArrayInTable(Common_SourceData.Common_SourceData_ClimateZones_Data(), Table_SourceData_ClimateZones[[#Headers],[Climate zone]], 0)</calculatedColumnFormula>
    </tableColumn>
    <tableColumn id="10" xr3:uid="{799D2CC4-68A8-4F6B-B5E8-BA9B134CD629}" name="Max rainfall" totalsRowDxfId="167" totalsRowCellStyle="Content bold">
      <calculatedColumnFormula array="1">Common_InputFunctions.Utility_DisplayArrayInTable(Common_SourceData.Common_SourceData_ClimateZones_Data(), Table_SourceData_ClimateZones[[#Headers],[Climate zone]], 0)</calculatedColumnFormula>
    </tableColumn>
    <tableColumn id="11" xr3:uid="{FF3C7CFE-CC8F-4407-9CD2-DB7BCF735828}" name="Min frost days" totalsRowDxfId="166" totalsRowCellStyle="Content bold">
      <calculatedColumnFormula array="1">Common_InputFunctions.Utility_DisplayArrayInTable(Common_SourceData.Common_SourceData_ClimateZones_Data(), Table_SourceData_ClimateZones[[#Headers],[Climate zone]], 0)</calculatedColumnFormula>
    </tableColumn>
    <tableColumn id="15" xr3:uid="{9CB12B6D-F283-41CE-A0AC-7DA70F3FEA35}" name="Max frost days" totalsRowDxfId="165" totalsRowCellStyle="Content bold">
      <calculatedColumnFormula array="1">Common_InputFunctions.Utility_DisplayArrayInTable(Common_SourceData.Common_SourceData_ClimateZones_Data(), Table_SourceData_ClimateZones[[#Headers],[Climate zone]], 0)</calculatedColumnFormula>
    </tableColumn>
    <tableColumn id="12" xr3:uid="{DE6B8D57-DEA5-4CDB-BEA5-6794B3B8B4C1}" name="Min elevation" totalsRowDxfId="164" totalsRowCellStyle="Content bold">
      <calculatedColumnFormula array="1">Common_InputFunctions.Utility_DisplayArrayInTable(Common_SourceData.Common_SourceData_ClimateZones_Data(), Table_SourceData_ClimateZones[[#Headers],[Climate zone]], 0)</calculatedColumnFormula>
    </tableColumn>
    <tableColumn id="16" xr3:uid="{F1C5507D-FFFD-4456-AAE0-9309987F0339}" name="Max elevation" totalsRowDxfId="163" totalsRowCellStyle="Content bold">
      <calculatedColumnFormula array="1">Common_InputFunctions.Utility_DisplayArrayInTable(Common_SourceData.Common_SourceData_ClimateZones_Data(), Table_SourceData_ClimateZones[[#Headers],[Climate zone]], 0)</calculatedColumnFormula>
    </tableColumn>
    <tableColumn id="13" xr3:uid="{BB91B1DF-4B57-426B-BF6A-71715747D3B2}" name="Min MAP:PET" totalsRowDxfId="162" totalsRowCellStyle="Content bold">
      <calculatedColumnFormula array="1">Common_InputFunctions.Utility_DisplayArrayInTable(Common_SourceData.Common_SourceData_ClimateZones_Data(), Table_SourceData_ClimateZones[[#Headers],[Climate zone]], 0)</calculatedColumnFormula>
    </tableColumn>
    <tableColumn id="17" xr3:uid="{7674CAA3-6E67-48AA-BF62-AECA84F01CB9}" name="Max MAP:PET" totalsRowDxfId="161"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3FAC77B2-7BB0-4B78-B387-3E2D5CA67215}"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9DF69629-1C76-40A4-BBA1-FB28BF754268}"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99A9C0E3-7924-426C-A581-5C219452362E}" name="Wet or Dry Zone" totalsRowDxfId="160"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AE4202F8-BB52-48CE-B368-8D0A44A67525}"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4BD1B715-E9FF-4B2E-A162-3DD06FA33AAE}" name="Temperature Zone">
      <calculatedColumnFormula array="1">Common_InputFunctions.Utility_DisplayArrayInTable(Common_SourceData.Common_SourceData_TemperatureZones_Data(),Table_SourceData_TemperatureZones[[#Headers],[Temperature Zone]],0)</calculatedColumnFormula>
    </tableColumn>
    <tableColumn id="2" xr3:uid="{3FDEC609-65F3-40EC-B489-B99CC8E44680}" name="MAT">
      <calculatedColumnFormula array="1">Common_InputFunctions.Utility_DisplayArrayInTable(Common_SourceData.Common_SourceData_TemperatureZones_Data(),Table_SourceData_TemperatureZones[[#Headers],[Temperature Zone]],0)</calculatedColumnFormula>
    </tableColumn>
    <tableColumn id="3" xr3:uid="{25C140A7-4F53-46DB-A6E5-3FFA5FE81DD6}" name="Min MAT">
      <calculatedColumnFormula array="1">Common_InputFunctions.Utility_DisplayArrayInTable(Common_SourceData.Common_SourceData_TemperatureZones_Data(),Table_SourceData_TemperatureZones[[#Headers],[Temperature Zone]],0)</calculatedColumnFormula>
    </tableColumn>
    <tableColumn id="4" xr3:uid="{C2D4126F-3B56-4A19-AD7E-FA0C2ECA0D87}"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F8066D7D-5B7A-4C2D-96C5-0B642AEDBDD8}"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CFC2CD32-0D6A-477F-9AB9-8CC735000875}" name="Rainfall Zone">
      <calculatedColumnFormula array="1">Common_InputFunctions.Utility_DisplayArrayInTable(Common_SourceData.Common_SourceData_RainfallZones_Data(),Table_SourceData_RainfallZones[[#Headers],[Rainfall Zone]],0)</calculatedColumnFormula>
    </tableColumn>
    <tableColumn id="2" xr3:uid="{66F05498-A494-40EC-A370-E31F9319F6E9}" name="Annual rainfall">
      <calculatedColumnFormula array="1">Common_InputFunctions.Utility_DisplayArrayInTable(Common_SourceData.Common_SourceData_RainfallZones_Data(),Table_SourceData_RainfallZones[[#Headers],[Rainfall Zone]],0)</calculatedColumnFormula>
    </tableColumn>
    <tableColumn id="3" xr3:uid="{0FEB24E7-52AA-4E09-8CAD-E3593BA1850C}" name="Min rainfall">
      <calculatedColumnFormula array="1">Common_InputFunctions.Utility_DisplayArrayInTable(Common_SourceData.Common_SourceData_RainfallZones_Data(),Table_SourceData_RainfallZones[[#Headers],[Rainfall Zone]],0)</calculatedColumnFormula>
    </tableColumn>
    <tableColumn id="4" xr3:uid="{B9588CB4-A6E3-43EF-86F2-28512F6C0466}"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371EB3B0-E5DE-49F4-9F8F-370B9594177E}"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1EC0469C-3AAC-4C25-8B45-E899791ECD1F}" name="Leaching Zone">
      <calculatedColumnFormula array="1">Common_InputFunctions.Utility_DisplayArrayInTable(Common_SourceData.Common_SourceData_LeachingZones_Data(), Table_SourceData_LeachingZones[[#Headers],[Leaching Zone]], 0)</calculatedColumnFormula>
    </tableColumn>
    <tableColumn id="2" xr3:uid="{D8738CB7-C0A6-466E-AD54-75590BF18BAC}"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8320C659-C167-4CAA-9C06-854A612436E9}"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2CBE0C09-88F8-4FC0-91F9-37AD76A1AEAA}" name="Data source">
      <calculatedColumnFormula array="1">Common_InputFunctions.Utility_DisplayArrayInTable(Common_SourceData.Common_SourceData_DataScores_Scope3_Data(), Table_SourceData_DataScores_Scope3[[#Headers],[Data source]], 0)</calculatedColumnFormula>
    </tableColumn>
    <tableColumn id="2" xr3:uid="{390BA082-D34B-4509-BBAD-72ABE42C4B39}"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D7EAD11A-DC1E-416A-A0F3-2127BEE727A4}" name="Table_SourceData_FracWET" displayName="Table_SourceData_FracWET" ref="D134:E136" totalsRowShown="0">
  <autoFilter ref="D134:E136" xr:uid="{308E99BE-FE1F-47A4-B2CA-97217277C4E9}">
    <filterColumn colId="0" hiddenButton="1"/>
    <filterColumn colId="1" hiddenButton="1"/>
  </autoFilter>
  <tableColumns count="2">
    <tableColumn id="1" xr3:uid="{D0B2F492-E516-47ED-A029-67FEF667A678}" name="Is in leaching zone">
      <calculatedColumnFormula array="1">Common_InputFunctions.Utility_DisplayArrayInTable(Common_SourceData.Common_SourceData_FracWET_Data(),Table_SourceData_FracWET[[#Headers],[Is in leaching zone]],0)</calculatedColumnFormula>
    </tableColumn>
    <tableColumn id="2" xr3:uid="{51E6CA6F-68DC-47AB-A1BB-C75D3CA8FA3B}" name="FracWET" dataDxfId="159">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BE2E746E-A542-4963-9138-4CB3534F691E}"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10155645-FDE5-446A-BDDD-C71CD77DD825}" name="Production system j">
      <calculatedColumnFormula array="1">Common_InputFunctions.Utility_DisplayArrayInTable(Common_SourceData.Common_SourceData_EFN2O_Data(), Table_SourceData_Common_EFN2O[[#Headers],[Production system j]], 0)</calculatedColumnFormula>
    </tableColumn>
    <tableColumn id="2" xr3:uid="{A33C56B8-DAE9-434B-8228-CD6E219067F7}" name="EFN2O">
      <calculatedColumnFormula array="1">Common_InputFunctions.Utility_DisplayArrayInTable(Common_SourceData.Common_SourceData_EFN2O_Data(), Table_SourceData_Common_EFN2O[[#Headers],[Production system j]], 0)</calculatedColumnFormula>
    </tableColumn>
    <tableColumn id="3" xr3:uid="{415F2F98-1C0C-4F1B-A357-E4F0898F9DA1}" name="Production system only">
      <calculatedColumnFormula array="1">Common_InputFunctions.Utility_DisplayArrayInTable(Common_SourceData.Common_SourceData_EFN2O_Data(), Table_SourceData_Common_EFN2O[[#Headers],[Production system j]], 0)</calculatedColumnFormula>
    </tableColumn>
    <tableColumn id="4" xr3:uid="{364F973B-700F-4051-9AE8-A5B5A5144B24}" name="Irrigation method">
      <calculatedColumnFormula array="1">Common_InputFunctions.Utility_DisplayArrayInTable(Common_SourceData.Common_SourceData_EFN2O_Data(), Table_SourceData_Common_EFN2O[[#Headers],[Production system j]], 0)</calculatedColumnFormula>
    </tableColumn>
    <tableColumn id="5" xr3:uid="{6B401083-C682-49B6-9293-290F6E0CCE9C}"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F2CB8BB6-7664-477A-B6EF-EAA92A00C8A0}"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0CAEDF1E-5A86-4C59-ADB4-2A63E7ABD4DD}" name="Irrigation type i">
      <calculatedColumnFormula array="1">Common_InputFunctions.Utility_DisplayArrayInTable(Common_SourceData.Common_SourceData_FracWETIrrigation_Data(), Table_SourceData_FracWETIrrigation[[#Headers],[Irrigation type i]], 0)</calculatedColumnFormula>
    </tableColumn>
    <tableColumn id="2" xr3:uid="{57851871-7E08-4269-B67C-A96E5A947487}" name="FracWET" dataDxfId="158"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BFE0DDAE-EACA-4433-A3E7-753CE50EADFD}"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04E57D99-757F-4374-BB84-42339A5C3083}"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92543612-DE1F-4C45-B1F2-46B34452C302}" name="EFPRP" dataDxfId="157"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31E1F417-A09B-41DA-9456-3458FDF04264}"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5C54F0C5-3505-4964-A85B-6C95900D28A5}" name="Month">
      <calculatedColumnFormula array="1">Common_InputFunctions.Utility_DisplayArrayInTable(Common_SourceData.Common_SourceData_MonthsToSeasons_Data(), Table_SourceData_Common_MonthToSeason[[#Headers],[Month]], 0)</calculatedColumnFormula>
    </tableColumn>
    <tableColumn id="2" xr3:uid="{DE5E22FE-C43A-4172-9EDB-6FE00B1DF854}" name="Season" dataDxfId="156"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AF70AA04-1AD5-4DF8-9CC4-5F92B5EE2A0A}"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FD606263-AC8F-4B13-96E2-C9CA0ECFC2B3}"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328E4735-CE75-4070-9C88-AE6AC281FA52}" name="MAT (ºC)" dataDxfId="15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AAAA9F18-86A5-4F62-9B13-8EC468FD3268}" name="Anaerobic lagoon" dataDxfId="15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16CDDAC7-40E8-4B7E-A5A7-534574EF9960}" name="Digester / covered lagoons" dataDxfId="15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7BE7531C-242C-4F06-B612-2455D4071B48}" name="Liquid systems" dataDxfId="15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4AA6EA91-67D5-4225-8E66-D79949E45C79}" name="Daily spread" dataDxfId="15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A682CC91-6B5E-45D1-857C-0228079BCC7C}" name="Composting (passive windrow)" dataDxfId="15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516A42DC-F452-4685-9EE1-8DB5323E888F}" name="Solid storage" dataDxfId="14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3E59565B-237D-4BF7-8514-8C00EE69787F}" name="Pit storage" dataDxfId="14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B94C989A-1174-49BC-8E63-5C88C372C925}" name="Deep litter" dataDxfId="14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4E416B5A-6B9A-4444-8C96-0603C11DC870}" name="Poultry manure with bedding" dataDxfId="14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2302252A-7FB0-4046-9B12-B1CD2F1BBED4}" name="Poultry manure without bedding" dataDxfId="14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50CED419-50AF-49B3-8F42-E496D5B781AB}" name="Direct processing" dataDxfId="14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FACDE6F8-8A2F-4040-8D12-2E35D0831482}" name="Direct application" dataDxfId="14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2134A83A-1EB7-471E-ADAA-05ADE14C7593}" name="Pasture range and paddock" dataDxfId="14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1C3199CA-00F6-4D2D-9A1A-14E5576B6B3A}" name="MAT raw" dataDxfId="141"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33"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 Id="rId5" Type="http://schemas.openxmlformats.org/officeDocument/2006/relationships/table" Target="../tables/table4.xml"/><Relationship Id="rId4" Type="http://schemas.openxmlformats.org/officeDocument/2006/relationships/table" Target="../tables/table3.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table" Target="../tables/table6.xml"/><Relationship Id="rId1" Type="http://schemas.openxmlformats.org/officeDocument/2006/relationships/table" Target="../tables/table5.xml"/><Relationship Id="rId6" Type="http://schemas.openxmlformats.org/officeDocument/2006/relationships/table" Target="../tables/table10.xml"/><Relationship Id="rId5" Type="http://schemas.openxmlformats.org/officeDocument/2006/relationships/table" Target="../tables/table9.xml"/><Relationship Id="rId4" Type="http://schemas.openxmlformats.org/officeDocument/2006/relationships/table" Target="../tables/table8.xml"/></Relationships>
</file>

<file path=xl/worksheets/_rels/sheet8.xml.rels><?xml version="1.0" encoding="UTF-8" standalone="yes"?>
<Relationships xmlns="http://schemas.openxmlformats.org/package/2006/relationships"><Relationship Id="rId8" Type="http://schemas.openxmlformats.org/officeDocument/2006/relationships/table" Target="../tables/table17.xml"/><Relationship Id="rId3" Type="http://schemas.openxmlformats.org/officeDocument/2006/relationships/table" Target="../tables/table12.xml"/><Relationship Id="rId7" Type="http://schemas.openxmlformats.org/officeDocument/2006/relationships/table" Target="../tables/table16.xml"/><Relationship Id="rId2" Type="http://schemas.openxmlformats.org/officeDocument/2006/relationships/table" Target="../tables/table11.xml"/><Relationship Id="rId1" Type="http://schemas.openxmlformats.org/officeDocument/2006/relationships/printerSettings" Target="../printerSettings/printerSettings3.bin"/><Relationship Id="rId6" Type="http://schemas.openxmlformats.org/officeDocument/2006/relationships/table" Target="../tables/table15.xml"/><Relationship Id="rId11" Type="http://schemas.openxmlformats.org/officeDocument/2006/relationships/table" Target="../tables/table20.xml"/><Relationship Id="rId5" Type="http://schemas.openxmlformats.org/officeDocument/2006/relationships/table" Target="../tables/table14.xml"/><Relationship Id="rId10" Type="http://schemas.openxmlformats.org/officeDocument/2006/relationships/table" Target="../tables/table19.xml"/><Relationship Id="rId4" Type="http://schemas.openxmlformats.org/officeDocument/2006/relationships/table" Target="../tables/table13.xml"/><Relationship Id="rId9" Type="http://schemas.openxmlformats.org/officeDocument/2006/relationships/table" Target="../tables/table18.xml"/></Relationships>
</file>

<file path=xl/worksheets/_rels/sheet9.xml.rels><?xml version="1.0" encoding="UTF-8" standalone="yes"?>
<Relationships xmlns="http://schemas.openxmlformats.org/package/2006/relationships"><Relationship Id="rId8" Type="http://schemas.openxmlformats.org/officeDocument/2006/relationships/table" Target="../tables/table27.xml"/><Relationship Id="rId13" Type="http://schemas.openxmlformats.org/officeDocument/2006/relationships/table" Target="../tables/table32.xml"/><Relationship Id="rId3" Type="http://schemas.openxmlformats.org/officeDocument/2006/relationships/table" Target="../tables/table22.xml"/><Relationship Id="rId7" Type="http://schemas.openxmlformats.org/officeDocument/2006/relationships/table" Target="../tables/table26.xml"/><Relationship Id="rId12" Type="http://schemas.openxmlformats.org/officeDocument/2006/relationships/table" Target="../tables/table31.xml"/><Relationship Id="rId17" Type="http://schemas.openxmlformats.org/officeDocument/2006/relationships/table" Target="../tables/table36.xml"/><Relationship Id="rId2" Type="http://schemas.openxmlformats.org/officeDocument/2006/relationships/table" Target="../tables/table21.xml"/><Relationship Id="rId16" Type="http://schemas.openxmlformats.org/officeDocument/2006/relationships/table" Target="../tables/table35.xml"/><Relationship Id="rId1" Type="http://schemas.openxmlformats.org/officeDocument/2006/relationships/printerSettings" Target="../printerSettings/printerSettings4.bin"/><Relationship Id="rId6" Type="http://schemas.openxmlformats.org/officeDocument/2006/relationships/table" Target="../tables/table25.xml"/><Relationship Id="rId11" Type="http://schemas.openxmlformats.org/officeDocument/2006/relationships/table" Target="../tables/table30.xml"/><Relationship Id="rId5" Type="http://schemas.openxmlformats.org/officeDocument/2006/relationships/table" Target="../tables/table24.xml"/><Relationship Id="rId15" Type="http://schemas.openxmlformats.org/officeDocument/2006/relationships/table" Target="../tables/table34.xml"/><Relationship Id="rId10" Type="http://schemas.openxmlformats.org/officeDocument/2006/relationships/table" Target="../tables/table29.xml"/><Relationship Id="rId4" Type="http://schemas.openxmlformats.org/officeDocument/2006/relationships/table" Target="../tables/table23.xml"/><Relationship Id="rId9" Type="http://schemas.openxmlformats.org/officeDocument/2006/relationships/table" Target="../tables/table28.xml"/><Relationship Id="rId14" Type="http://schemas.openxmlformats.org/officeDocument/2006/relationships/table" Target="../tables/table33.xml"/></Relationships>
</file>

<file path=xl/worksheets/_rels/sheet10.xml.rels><?xml version="1.0" encoding="UTF-8" standalone="yes"?>
<Relationships xmlns="http://schemas.openxmlformats.org/package/2006/relationships"><Relationship Id="rId2" Type="http://schemas.openxmlformats.org/officeDocument/2006/relationships/table" Target="../tables/table37.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A8" sqref="A8"/>
    </sheetView>
  </sheetViews>
  <sheetFormatPr defaultRowHeight="15" x14ac:dyDescent="0.25"/>
  <cols>
    <col min="1" max="1" width="30.7109375" customWidth="1"/>
    <col min="2" max="3" width="2.7109375" customWidth="1"/>
    <col min="4" max="4" width="97.140625" customWidth="1"/>
    <col min="5" max="10" width="30.7109375" customWidth="1"/>
    <col min="11" max="11" width="7.42578125" customWidth="1"/>
    <col min="12" max="26" width="28.7109375" customWidth="1"/>
  </cols>
  <sheetData>
    <row r="1" spans="1:11" ht="30" customHeight="1" x14ac:dyDescent="0.35">
      <c r="A1" s="63" t="e" vm="1">
        <v>#VALUE!</v>
      </c>
      <c r="C1" s="106" t="s">
        <v>181</v>
      </c>
    </row>
    <row r="2" spans="1:11" ht="20.100000000000001" customHeight="1" x14ac:dyDescent="0.25">
      <c r="A2" s="9"/>
      <c r="C2" s="9"/>
    </row>
    <row r="3" spans="1:11" ht="20.100000000000001" customHeight="1" x14ac:dyDescent="0.25">
      <c r="A3" s="17" t="str">
        <f>HYPERLINK("#'Home'!A1", "Home")</f>
        <v>Home</v>
      </c>
      <c r="C3" s="22"/>
      <c r="D3" s="22"/>
      <c r="E3" s="22"/>
      <c r="F3" s="22"/>
      <c r="G3" s="22"/>
      <c r="H3" s="22"/>
      <c r="I3" s="22"/>
      <c r="J3" s="22"/>
      <c r="K3" s="22"/>
    </row>
    <row r="4" spans="1:11" ht="20.100000000000001" customHeight="1" x14ac:dyDescent="0.25">
      <c r="A4" s="113" t="str">
        <f>HYPERLINK("#'Results'!A1", "Results")</f>
        <v>Results</v>
      </c>
      <c r="C4" s="22"/>
      <c r="D4" s="6" t="s">
        <v>3</v>
      </c>
      <c r="E4" s="24"/>
      <c r="F4" s="24"/>
      <c r="G4" s="24"/>
      <c r="H4" s="6"/>
      <c r="I4" s="6"/>
      <c r="J4" s="6"/>
      <c r="K4" s="25"/>
    </row>
    <row r="5" spans="1:11" ht="20.100000000000001" customHeight="1" x14ac:dyDescent="0.3">
      <c r="A5" s="16"/>
      <c r="C5" s="22"/>
      <c r="D5" s="26"/>
      <c r="E5" s="27"/>
      <c r="F5" s="27"/>
      <c r="G5" s="27"/>
      <c r="H5" s="24"/>
      <c r="I5" s="22"/>
      <c r="J5" s="22"/>
      <c r="K5" s="22"/>
    </row>
    <row r="6" spans="1:11" ht="20.100000000000001" customHeight="1" x14ac:dyDescent="0.25">
      <c r="A6" s="20" t="s">
        <v>1</v>
      </c>
      <c r="C6" s="22"/>
      <c r="D6" s="105" t="s">
        <v>95</v>
      </c>
      <c r="E6" s="105" t="s">
        <v>110</v>
      </c>
      <c r="F6" s="105" t="s">
        <v>111</v>
      </c>
      <c r="G6" s="105" t="s">
        <v>102</v>
      </c>
      <c r="H6" s="105" t="s">
        <v>112</v>
      </c>
      <c r="I6" s="105" t="s">
        <v>113</v>
      </c>
      <c r="J6" s="105" t="s">
        <v>103</v>
      </c>
      <c r="K6" s="22"/>
    </row>
    <row r="7" spans="1:11" ht="20.100000000000001" customHeight="1" x14ac:dyDescent="0.25">
      <c r="A7" s="17" t="str">
        <f>HYPERLINK("#'Input - Site'!A1", "Site")</f>
        <v>Site</v>
      </c>
      <c r="C7" s="22"/>
      <c r="D7" s="1" t="s">
        <v>158</v>
      </c>
      <c r="E7" s="114">
        <f>'5.1.1.1-2 Inorganic fert N2O'!E209</f>
        <v>0</v>
      </c>
      <c r="F7" s="114">
        <f>'5.1.1.1-2 Inorganic fert N2O'!N209</f>
        <v>0</v>
      </c>
      <c r="G7" s="52" t="s">
        <v>106</v>
      </c>
      <c r="H7" s="103">
        <f>'5.1.1.1-2 Inorganic fert N2O'!E214</f>
        <v>0</v>
      </c>
      <c r="I7" s="103">
        <f>'5.1.1.1-2 Inorganic fert N2O'!N214</f>
        <v>0</v>
      </c>
      <c r="J7" s="52" t="s">
        <v>108</v>
      </c>
      <c r="K7" s="22"/>
    </row>
    <row r="8" spans="1:11" ht="20.100000000000001" customHeight="1" x14ac:dyDescent="0.25">
      <c r="A8" s="17" t="str">
        <f>HYPERLINK("#'Input - Poultry'!A1", "Poultry")</f>
        <v>Poultry</v>
      </c>
      <c r="C8" s="22"/>
      <c r="D8" s="1" t="s">
        <v>159</v>
      </c>
      <c r="E8" s="114" t="e">
        <f>#REF!</f>
        <v>#REF!</v>
      </c>
      <c r="F8" s="114" t="e">
        <f>#REF!</f>
        <v>#REF!</v>
      </c>
      <c r="G8" s="52" t="s">
        <v>116</v>
      </c>
      <c r="H8" s="103" t="e">
        <f>#REF!</f>
        <v>#REF!</v>
      </c>
      <c r="I8" s="103" t="e">
        <f>#REF!</f>
        <v>#REF!</v>
      </c>
      <c r="J8" s="52" t="s">
        <v>108</v>
      </c>
      <c r="K8" s="22"/>
    </row>
    <row r="9" spans="1:11" ht="20.100000000000001" customHeight="1" x14ac:dyDescent="0.25">
      <c r="A9" s="17"/>
      <c r="C9" s="22"/>
      <c r="D9" s="1" t="s">
        <v>160</v>
      </c>
      <c r="E9" s="114" t="e">
        <f>#REF!</f>
        <v>#REF!</v>
      </c>
      <c r="F9" s="114" t="e">
        <f>#REF!</f>
        <v>#REF!</v>
      </c>
      <c r="G9" s="52" t="s">
        <v>116</v>
      </c>
      <c r="H9" s="103" t="e">
        <f>#REF!</f>
        <v>#REF!</v>
      </c>
      <c r="I9" s="103" t="e">
        <f>#REF!</f>
        <v>#REF!</v>
      </c>
      <c r="J9" s="52" t="s">
        <v>108</v>
      </c>
      <c r="K9" s="22"/>
    </row>
    <row r="10" spans="1:11" ht="20.100000000000001" customHeight="1" x14ac:dyDescent="0.25">
      <c r="A10" s="19" t="s">
        <v>71</v>
      </c>
      <c r="C10" s="22"/>
      <c r="D10" s="1" t="s">
        <v>154</v>
      </c>
      <c r="E10" s="114" t="e">
        <f>#REF!</f>
        <v>#REF!</v>
      </c>
      <c r="F10" s="114" t="e">
        <f>#REF!</f>
        <v>#REF!</v>
      </c>
      <c r="G10" s="52" t="s">
        <v>116</v>
      </c>
      <c r="H10" s="103" t="e">
        <f>#REF!</f>
        <v>#REF!</v>
      </c>
      <c r="I10" s="103" t="e">
        <f>#REF!</f>
        <v>#REF!</v>
      </c>
      <c r="J10" s="52" t="s">
        <v>108</v>
      </c>
      <c r="K10" s="22"/>
    </row>
    <row r="11" spans="1:11" ht="20.100000000000001" customHeight="1" x14ac:dyDescent="0.25">
      <c r="A11" s="17" t="str">
        <f>HYPERLINK("#'4.6.1.1-2 Methane'!A1", "4.6.1.1-2 Methane")</f>
        <v>4.6.1.1-2 Methane</v>
      </c>
      <c r="C11" s="22"/>
      <c r="D11" s="1" t="s">
        <v>156</v>
      </c>
      <c r="E11" s="114" t="e">
        <f>#REF!</f>
        <v>#REF!</v>
      </c>
      <c r="F11" s="114" t="e">
        <f>#REF!</f>
        <v>#REF!</v>
      </c>
      <c r="G11" s="52" t="s">
        <v>116</v>
      </c>
      <c r="H11" s="103" t="e">
        <f>#REF!</f>
        <v>#REF!</v>
      </c>
      <c r="I11" s="103" t="e">
        <f>#REF!</f>
        <v>#REF!</v>
      </c>
      <c r="J11" s="52" t="s">
        <v>108</v>
      </c>
      <c r="K11" s="22"/>
    </row>
    <row r="12" spans="1:11" ht="20.100000000000001" customHeight="1" x14ac:dyDescent="0.25">
      <c r="A12" s="17" t="str">
        <f>HYPERLINK("#'4.6.1.3-4 Direct N20'!A1", "4.6.1.3-4 Direct N2O")</f>
        <v>4.6.1.3-4 Direct N2O</v>
      </c>
      <c r="C12" s="22"/>
      <c r="D12" s="1" t="s">
        <v>161</v>
      </c>
      <c r="E12" s="114" t="e">
        <f>#REF!</f>
        <v>#REF!</v>
      </c>
      <c r="F12" s="114" t="e">
        <f>#REF!</f>
        <v>#REF!</v>
      </c>
      <c r="G12" s="52" t="s">
        <v>116</v>
      </c>
      <c r="H12" s="103" t="e">
        <f>#REF!</f>
        <v>#REF!</v>
      </c>
      <c r="I12" s="103" t="e">
        <f>#REF!</f>
        <v>#REF!</v>
      </c>
      <c r="J12" s="52" t="s">
        <v>108</v>
      </c>
      <c r="K12" s="22"/>
    </row>
    <row r="13" spans="1:11" ht="20.100000000000001" customHeight="1" x14ac:dyDescent="0.25">
      <c r="A13" s="17" t="str">
        <f>HYPERLINK("#'4.6.1.5-6 Atmos Dep'!A1", "4.6.1.5-6 Atmospheric deposition")</f>
        <v>4.6.1.5-6 Atmospheric deposition</v>
      </c>
      <c r="C13" s="22"/>
      <c r="D13" s="1" t="s">
        <v>157</v>
      </c>
      <c r="E13" s="114" t="e">
        <f>#REF!</f>
        <v>#REF!</v>
      </c>
      <c r="F13" s="114" t="e">
        <f>#REF!</f>
        <v>#REF!</v>
      </c>
      <c r="G13" s="52" t="s">
        <v>116</v>
      </c>
      <c r="H13" s="103" t="e">
        <f>#REF!</f>
        <v>#REF!</v>
      </c>
      <c r="I13" s="103" t="e">
        <f>#REF!</f>
        <v>#REF!</v>
      </c>
      <c r="J13" s="52" t="s">
        <v>108</v>
      </c>
      <c r="K13" s="22"/>
    </row>
    <row r="14" spans="1:11" ht="20.100000000000001" customHeight="1" x14ac:dyDescent="0.3">
      <c r="A14" s="17" t="str">
        <f>HYPERLINK("#'4.6.1.7-8 Leaching and runoff'!A1", "4.6.1.7-8 Leaching &amp; runoff")</f>
        <v>4.6.1.7-8 Leaching &amp; runoff</v>
      </c>
      <c r="C14" s="22"/>
      <c r="D14" s="29" t="s">
        <v>101</v>
      </c>
      <c r="E14" s="23"/>
      <c r="F14" s="23"/>
      <c r="G14" s="29"/>
      <c r="H14" s="104" t="e">
        <f>SUM(H7:H13)</f>
        <v>#REF!</v>
      </c>
      <c r="I14" s="104" t="e">
        <f>SUM(I7:I13)</f>
        <v>#REF!</v>
      </c>
      <c r="J14" s="99" t="s">
        <v>108</v>
      </c>
      <c r="K14" s="22"/>
    </row>
    <row r="15" spans="1:11" ht="20.100000000000001" customHeight="1" x14ac:dyDescent="0.25">
      <c r="A15" s="17" t="str">
        <f>HYPERLINK("#'4.6.1.9 Manure applied to soils'!A1", "4.6.1.9 Manure applied to soils")</f>
        <v>4.6.1.9 Manure applied to soils</v>
      </c>
      <c r="C15" s="22"/>
      <c r="D15" s="1"/>
      <c r="E15" s="1"/>
      <c r="F15" s="1"/>
      <c r="G15" s="24"/>
      <c r="H15" s="22"/>
      <c r="I15" s="1"/>
      <c r="J15" s="1"/>
      <c r="K15" s="22"/>
    </row>
    <row r="16" spans="1:11" ht="20.100000000000001" customHeight="1" x14ac:dyDescent="0.25">
      <c r="A16" s="17" t="str">
        <f>HYPERLINK("#'4.6.1.10-11 Soil direct N2O'!A1", "4.6.1.10-11 Soil direct N2O")</f>
        <v>4.6.1.10-11 Soil direct N2O</v>
      </c>
      <c r="C16" s="22"/>
      <c r="D16" s="46" t="s">
        <v>155</v>
      </c>
      <c r="E16" s="1"/>
      <c r="F16" s="1"/>
      <c r="G16" s="1"/>
      <c r="H16" s="24"/>
      <c r="I16" s="1"/>
      <c r="J16" s="22"/>
      <c r="K16" s="22"/>
    </row>
    <row r="17" spans="1:11" ht="20.100000000000001" customHeight="1" x14ac:dyDescent="0.25">
      <c r="A17" s="17" t="str">
        <f>HYPERLINK("#'4.6.1.12-13 Soil atmos dep'!A1", "4.6.1.12-13 Soil Atm. deposition")</f>
        <v>4.6.1.12-13 Soil Atm. deposition</v>
      </c>
      <c r="C17" s="22"/>
      <c r="D17" s="100" t="s">
        <v>125</v>
      </c>
      <c r="E17" s="1"/>
      <c r="F17" s="1"/>
      <c r="G17" s="1"/>
      <c r="H17" s="1"/>
      <c r="I17" s="1"/>
      <c r="J17" s="22"/>
      <c r="K17" s="22"/>
    </row>
    <row r="18" spans="1:11" ht="20.100000000000001" customHeight="1" x14ac:dyDescent="0.25">
      <c r="A18" s="17" t="str">
        <f>HYPERLINK("#'4.6.1.14-15 Soil leach runoff'!A1", "4.6.1.14-15 Soil leach &amp; runoff")</f>
        <v>4.6.1.14-15 Soil leach &amp; runoff</v>
      </c>
      <c r="C18" s="22"/>
      <c r="D18" s="110" t="s">
        <v>126</v>
      </c>
      <c r="E18" s="1"/>
      <c r="F18" s="1"/>
      <c r="G18" s="1"/>
      <c r="H18" s="1"/>
      <c r="I18" s="1"/>
      <c r="J18" s="22"/>
      <c r="K18" s="22"/>
    </row>
    <row r="19" spans="1:11" ht="20.100000000000001" customHeight="1" x14ac:dyDescent="0.25">
      <c r="C19" s="22"/>
      <c r="D19" s="105" t="s">
        <v>127</v>
      </c>
      <c r="E19" s="105" t="s">
        <v>128</v>
      </c>
      <c r="F19" s="105" t="s">
        <v>129</v>
      </c>
      <c r="G19" s="105" t="s">
        <v>130</v>
      </c>
      <c r="H19" s="105" t="s">
        <v>131</v>
      </c>
      <c r="I19" s="1"/>
      <c r="J19" s="22"/>
      <c r="K19" s="22"/>
    </row>
    <row r="20" spans="1:11" ht="20.100000000000001" customHeight="1" x14ac:dyDescent="0.25">
      <c r="A20" s="18" t="s">
        <v>2</v>
      </c>
      <c r="C20" s="22"/>
      <c r="D20" s="1" t="s">
        <v>132</v>
      </c>
      <c r="E20" s="108" t="e">
        <f>#REF!</f>
        <v>#REF!</v>
      </c>
      <c r="F20" s="52" t="s">
        <v>124</v>
      </c>
      <c r="G20" s="1" t="s">
        <v>162</v>
      </c>
      <c r="H20" s="1" t="s">
        <v>133</v>
      </c>
      <c r="I20" s="1"/>
      <c r="J20" s="22"/>
      <c r="K20" s="22"/>
    </row>
    <row r="21" spans="1:11" ht="20.100000000000001" customHeight="1" x14ac:dyDescent="0.25">
      <c r="A21" s="17" t="str">
        <f>HYPERLINK("#'Constants - Poultry'!A1", "Constants - Poultry")</f>
        <v>Constants - Poultry</v>
      </c>
      <c r="C21" s="22"/>
      <c r="D21" s="1" t="s">
        <v>134</v>
      </c>
      <c r="E21" s="108" t="e">
        <f>#REF!</f>
        <v>#REF!</v>
      </c>
      <c r="F21" s="52" t="s">
        <v>124</v>
      </c>
      <c r="G21" s="1" t="s">
        <v>162</v>
      </c>
      <c r="H21" s="1" t="s">
        <v>133</v>
      </c>
      <c r="I21" s="22"/>
      <c r="J21" s="22"/>
      <c r="K21" s="22"/>
    </row>
    <row r="22" spans="1:11" ht="20.100000000000001" customHeight="1" x14ac:dyDescent="0.25">
      <c r="A22" s="17" t="str">
        <f>HYPERLINK("#'Constants - Livestock'!A1", "Constants - Livestock")</f>
        <v>Constants - Livestock</v>
      </c>
      <c r="C22" s="22"/>
      <c r="D22" s="1" t="s">
        <v>135</v>
      </c>
      <c r="E22" s="108" t="e">
        <f>#REF!</f>
        <v>#REF!</v>
      </c>
      <c r="F22" s="52" t="s">
        <v>124</v>
      </c>
      <c r="G22" s="1" t="s">
        <v>136</v>
      </c>
      <c r="H22" s="1" t="s">
        <v>137</v>
      </c>
      <c r="I22" s="22"/>
      <c r="J22" s="22"/>
      <c r="K22" s="22"/>
    </row>
    <row r="23" spans="1:11" ht="20.100000000000001" customHeight="1" x14ac:dyDescent="0.3">
      <c r="A23" s="17" t="str">
        <f>HYPERLINK("#'Constants - Common'!A1", "Constants - Common")</f>
        <v>Constants - Common</v>
      </c>
      <c r="C23" s="22"/>
      <c r="D23" s="1"/>
      <c r="E23" s="1"/>
      <c r="F23" s="1"/>
      <c r="G23" s="1"/>
      <c r="H23" s="27"/>
      <c r="I23" s="22"/>
      <c r="J23" s="22"/>
      <c r="K23" s="22"/>
    </row>
    <row r="24" spans="1:11" ht="20.100000000000001" customHeight="1" x14ac:dyDescent="0.3">
      <c r="A24" s="17" t="str">
        <f>HYPERLINK("#'Acknowledgements'!A1", "Acknowledgements")</f>
        <v>Acknowledgements</v>
      </c>
      <c r="C24" s="22"/>
      <c r="D24" s="1"/>
      <c r="E24" s="1"/>
      <c r="F24" s="1"/>
      <c r="G24" s="1"/>
      <c r="H24" s="27"/>
      <c r="I24" s="22"/>
      <c r="J24" s="22"/>
      <c r="K24" s="22"/>
    </row>
    <row r="25" spans="1:11" ht="20.100000000000001" customHeight="1" x14ac:dyDescent="0.3">
      <c r="C25" s="22"/>
      <c r="D25" s="1"/>
      <c r="E25" s="1"/>
      <c r="F25" s="1"/>
      <c r="G25" s="1"/>
      <c r="H25" s="27"/>
      <c r="I25" s="22"/>
      <c r="J25" s="22"/>
      <c r="K25" s="22"/>
    </row>
    <row r="26" spans="1:11" ht="20.100000000000001" customHeight="1" x14ac:dyDescent="0.3">
      <c r="C26" s="22"/>
      <c r="D26" s="1"/>
      <c r="E26" s="1"/>
      <c r="F26" s="1"/>
      <c r="G26" s="1"/>
      <c r="H26" s="27"/>
      <c r="I26" s="22"/>
      <c r="J26" s="22"/>
      <c r="K26" s="22"/>
    </row>
    <row r="27" spans="1:11" ht="20.100000000000001" customHeight="1" x14ac:dyDescent="0.25">
      <c r="C27" s="22"/>
      <c r="D27" s="1"/>
      <c r="E27" s="1"/>
      <c r="F27" s="1"/>
      <c r="G27" s="1"/>
      <c r="H27" s="1"/>
      <c r="I27" s="1"/>
      <c r="J27" s="22"/>
      <c r="K27" s="22"/>
    </row>
    <row r="28" spans="1:11" ht="20.100000000000001" customHeight="1" x14ac:dyDescent="0.25">
      <c r="C28" s="22"/>
      <c r="D28" s="1"/>
      <c r="E28" s="1"/>
      <c r="F28" s="1"/>
      <c r="G28" s="1"/>
      <c r="H28" s="1"/>
      <c r="I28" s="1"/>
      <c r="J28" s="22"/>
      <c r="K28" s="22"/>
    </row>
    <row r="29" spans="1:11" ht="20.100000000000001" customHeight="1" x14ac:dyDescent="0.25">
      <c r="C29" s="22"/>
      <c r="D29" s="1"/>
      <c r="E29" s="1"/>
      <c r="F29" s="1"/>
      <c r="G29" s="1"/>
      <c r="H29" s="1"/>
      <c r="I29" s="1"/>
      <c r="J29" s="22"/>
      <c r="K29" s="22"/>
    </row>
    <row r="30" spans="1:11" ht="20.100000000000001" customHeight="1" x14ac:dyDescent="0.25">
      <c r="C30" s="22"/>
      <c r="D30" s="1"/>
      <c r="E30" s="1"/>
      <c r="F30" s="1"/>
      <c r="G30" s="1"/>
      <c r="H30" s="1"/>
      <c r="I30" s="1"/>
      <c r="J30" s="22"/>
      <c r="K30" s="22"/>
    </row>
    <row r="31" spans="1:11" ht="20.100000000000001" customHeight="1" x14ac:dyDescent="0.25">
      <c r="C31" s="22"/>
      <c r="D31" s="1"/>
      <c r="E31" s="1"/>
      <c r="F31" s="1"/>
      <c r="G31" s="1"/>
      <c r="H31" s="1"/>
      <c r="I31" s="1"/>
      <c r="J31" s="22"/>
      <c r="K31" s="22"/>
    </row>
    <row r="32" spans="1:11" ht="20.100000000000001" customHeight="1" x14ac:dyDescent="0.25">
      <c r="C32" s="22"/>
      <c r="D32" s="1"/>
      <c r="E32" s="1"/>
      <c r="F32" s="1"/>
      <c r="G32" s="1"/>
      <c r="H32" s="1"/>
      <c r="I32" s="1"/>
      <c r="J32" s="22"/>
      <c r="K32" s="22"/>
    </row>
    <row r="33" spans="3:11" ht="20.100000000000001" customHeight="1" x14ac:dyDescent="0.25">
      <c r="C33" s="22"/>
      <c r="D33" s="1"/>
      <c r="E33" s="1"/>
      <c r="F33" s="1"/>
      <c r="G33" s="1"/>
      <c r="H33" s="1"/>
      <c r="I33" s="1"/>
      <c r="J33" s="22"/>
      <c r="K33" s="22"/>
    </row>
    <row r="34" spans="3:11" ht="20.100000000000001" customHeight="1" x14ac:dyDescent="0.25">
      <c r="C34" s="22"/>
      <c r="D34" s="1"/>
      <c r="E34" s="1"/>
      <c r="F34" s="1"/>
      <c r="G34" s="1"/>
      <c r="H34" s="1"/>
      <c r="I34" s="22"/>
      <c r="J34" s="22"/>
      <c r="K34" s="22"/>
    </row>
    <row r="35" spans="3:11" ht="20.100000000000001" customHeight="1" x14ac:dyDescent="0.25">
      <c r="C35" s="22"/>
      <c r="D35" s="1"/>
      <c r="E35" s="1"/>
      <c r="F35" s="1"/>
      <c r="G35" s="1"/>
      <c r="H35" s="1"/>
      <c r="I35" s="22"/>
      <c r="J35" s="22"/>
      <c r="K35" s="22"/>
    </row>
    <row r="36" spans="3:11" ht="20.100000000000001" customHeight="1" x14ac:dyDescent="0.25">
      <c r="C36" s="22"/>
      <c r="D36" s="1"/>
      <c r="E36" s="1"/>
      <c r="F36" s="1"/>
      <c r="G36" s="1"/>
      <c r="H36" s="1"/>
      <c r="I36" s="22"/>
      <c r="J36" s="22"/>
      <c r="K36" s="22"/>
    </row>
    <row r="37" spans="3:11" ht="20.100000000000001" customHeight="1" x14ac:dyDescent="0.25">
      <c r="C37" s="22"/>
      <c r="D37" s="1"/>
      <c r="E37" s="1"/>
      <c r="F37" s="1"/>
      <c r="G37" s="1"/>
      <c r="H37" s="1"/>
      <c r="I37" s="22"/>
      <c r="J37" s="22"/>
      <c r="K37" s="22"/>
    </row>
    <row r="38" spans="3:11" ht="20.100000000000001" customHeight="1" x14ac:dyDescent="0.25">
      <c r="C38" s="22"/>
      <c r="D38" s="1"/>
      <c r="E38" s="1"/>
      <c r="F38" s="1"/>
      <c r="G38" s="1"/>
      <c r="H38" s="1"/>
      <c r="I38" s="102"/>
      <c r="J38" s="102"/>
      <c r="K38" s="22"/>
    </row>
    <row r="39" spans="3:11" ht="20.100000000000001" customHeight="1" x14ac:dyDescent="0.25">
      <c r="C39" s="22"/>
      <c r="D39" s="1"/>
      <c r="E39" s="1"/>
      <c r="F39" s="1"/>
      <c r="G39" s="1"/>
      <c r="H39" s="1"/>
      <c r="I39" s="102"/>
      <c r="J39" s="102"/>
      <c r="K39" s="22"/>
    </row>
    <row r="40" spans="3:11" ht="20.100000000000001" customHeight="1" x14ac:dyDescent="0.25">
      <c r="C40" s="22"/>
      <c r="D40" s="1"/>
      <c r="E40" s="1"/>
      <c r="F40" s="1"/>
      <c r="G40" s="1"/>
      <c r="H40" s="1"/>
      <c r="I40" s="102"/>
      <c r="J40" s="102"/>
      <c r="K40" s="22"/>
    </row>
    <row r="41" spans="3:11" ht="20.100000000000001" customHeight="1" x14ac:dyDescent="0.25">
      <c r="C41" s="22"/>
      <c r="D41" s="1"/>
      <c r="E41" s="1"/>
      <c r="F41" s="1"/>
      <c r="G41" s="1"/>
      <c r="H41" s="1"/>
      <c r="I41" s="102"/>
      <c r="J41" s="102"/>
      <c r="K41" s="22"/>
    </row>
    <row r="42" spans="3:11" ht="20.100000000000001" customHeight="1" x14ac:dyDescent="0.25">
      <c r="C42" s="22"/>
      <c r="D42" s="1"/>
      <c r="E42" s="1"/>
      <c r="F42" s="1"/>
      <c r="G42" s="1"/>
      <c r="H42" s="1"/>
      <c r="I42" s="102"/>
      <c r="J42" s="102"/>
      <c r="K42" s="22"/>
    </row>
    <row r="43" spans="3:11" ht="20.100000000000001" customHeight="1" x14ac:dyDescent="0.25">
      <c r="C43" s="22"/>
      <c r="D43" s="1"/>
      <c r="E43" s="1"/>
      <c r="F43" s="1"/>
      <c r="G43" s="1"/>
      <c r="H43" s="1"/>
      <c r="I43" s="102"/>
      <c r="J43" s="102"/>
      <c r="K43" s="22"/>
    </row>
    <row r="44" spans="3:11" ht="20.100000000000001" customHeight="1" x14ac:dyDescent="0.25">
      <c r="C44" s="22"/>
      <c r="D44" s="1"/>
      <c r="E44" s="1"/>
      <c r="F44" s="1"/>
      <c r="G44" s="1"/>
      <c r="H44" s="1"/>
      <c r="I44" s="102"/>
      <c r="J44" s="102"/>
      <c r="K44" s="22"/>
    </row>
    <row r="45" spans="3:11" ht="20.100000000000001" customHeight="1" x14ac:dyDescent="0.25">
      <c r="C45" s="22"/>
      <c r="D45" s="1"/>
      <c r="E45" s="1"/>
      <c r="F45" s="1"/>
      <c r="G45" s="1"/>
      <c r="H45" s="1"/>
      <c r="I45" s="102"/>
      <c r="J45" s="102"/>
      <c r="K45" s="22"/>
    </row>
    <row r="46" spans="3:11" ht="20.100000000000001" customHeight="1" x14ac:dyDescent="0.25">
      <c r="C46" s="22"/>
      <c r="D46" s="1"/>
      <c r="E46" s="1"/>
      <c r="F46" s="1"/>
      <c r="G46" s="1"/>
      <c r="H46" s="1"/>
      <c r="I46" s="102"/>
      <c r="J46" s="102"/>
      <c r="K46" s="22"/>
    </row>
    <row r="47" spans="3:11" ht="20.100000000000001" customHeight="1" x14ac:dyDescent="0.25">
      <c r="C47" s="22"/>
      <c r="D47" s="1"/>
      <c r="E47" s="1"/>
      <c r="F47" s="1"/>
      <c r="G47" s="1"/>
      <c r="H47" s="1"/>
      <c r="I47" s="102"/>
      <c r="J47" s="102"/>
      <c r="K47" s="22"/>
    </row>
    <row r="48" spans="3:11" ht="20.100000000000001" customHeight="1" x14ac:dyDescent="0.25">
      <c r="C48" s="22"/>
      <c r="D48" s="1"/>
      <c r="E48" s="1"/>
      <c r="F48" s="1"/>
      <c r="G48" s="1"/>
      <c r="H48" s="1"/>
      <c r="I48" s="102"/>
      <c r="J48" s="102"/>
      <c r="K48" s="22"/>
    </row>
    <row r="49" spans="3:11" ht="20.100000000000001" customHeight="1" x14ac:dyDescent="0.25">
      <c r="C49" s="22"/>
      <c r="D49" s="1"/>
      <c r="E49" s="1"/>
      <c r="F49" s="1"/>
      <c r="G49" s="1"/>
      <c r="H49" s="102"/>
      <c r="I49" s="102"/>
      <c r="J49" s="102"/>
      <c r="K49" s="22"/>
    </row>
    <row r="50" spans="3:11" ht="20.100000000000001" customHeight="1" x14ac:dyDescent="0.25">
      <c r="C50" s="22"/>
      <c r="D50" s="1"/>
      <c r="E50" s="1"/>
      <c r="F50" s="1"/>
      <c r="G50" s="1"/>
      <c r="H50" s="102"/>
      <c r="I50" s="102"/>
      <c r="J50" s="102"/>
      <c r="K50" s="22"/>
    </row>
    <row r="51" spans="3:11" ht="20.100000000000001" customHeight="1" x14ac:dyDescent="0.25">
      <c r="C51" s="22"/>
      <c r="D51" s="1"/>
      <c r="E51" s="1"/>
      <c r="F51" s="1"/>
      <c r="G51" s="1"/>
      <c r="H51" s="102"/>
      <c r="I51" s="102"/>
      <c r="J51" s="102"/>
      <c r="K51" s="22"/>
    </row>
    <row r="52" spans="3:11" ht="20.100000000000001" customHeight="1" x14ac:dyDescent="0.25">
      <c r="C52" s="22"/>
      <c r="D52" s="1"/>
      <c r="E52" s="1"/>
      <c r="F52" s="1"/>
      <c r="G52" s="1"/>
      <c r="H52" s="102"/>
      <c r="I52" s="102"/>
      <c r="J52" s="102"/>
      <c r="K52" s="22"/>
    </row>
    <row r="53" spans="3:11" ht="20.100000000000001" customHeight="1" x14ac:dyDescent="0.25">
      <c r="C53" s="22"/>
      <c r="D53" s="1"/>
      <c r="E53" s="1"/>
      <c r="F53" s="1"/>
      <c r="G53" s="1"/>
      <c r="H53" s="102"/>
      <c r="I53" s="102"/>
      <c r="J53" s="102"/>
      <c r="K53" s="22"/>
    </row>
    <row r="54" spans="3:11" ht="20.100000000000001" customHeight="1" x14ac:dyDescent="0.25">
      <c r="C54" s="22"/>
      <c r="D54" s="1"/>
      <c r="E54" s="1"/>
      <c r="F54" s="1"/>
      <c r="G54" s="1"/>
      <c r="H54" s="22"/>
      <c r="I54" s="22"/>
      <c r="J54" s="22"/>
      <c r="K54" s="22"/>
    </row>
    <row r="55" spans="3:11" ht="20.100000000000001" customHeight="1" x14ac:dyDescent="0.25">
      <c r="C55" s="22"/>
      <c r="D55" s="1"/>
      <c r="E55" s="1"/>
      <c r="F55" s="1"/>
      <c r="G55" s="1"/>
      <c r="H55" s="22"/>
      <c r="I55" s="22"/>
      <c r="J55" s="22"/>
      <c r="K55" s="22"/>
    </row>
    <row r="56" spans="3:11" ht="20.100000000000001" customHeight="1" x14ac:dyDescent="0.25">
      <c r="C56" s="22"/>
      <c r="D56" s="1"/>
      <c r="E56" s="1"/>
      <c r="F56" s="1"/>
      <c r="G56" s="1"/>
      <c r="H56" s="22"/>
      <c r="I56" s="22"/>
      <c r="J56" s="22"/>
      <c r="K56" s="22"/>
    </row>
    <row r="57" spans="3:11" ht="20.100000000000001" customHeight="1" x14ac:dyDescent="0.25">
      <c r="C57" s="22"/>
      <c r="D57" s="1"/>
      <c r="E57" s="1"/>
      <c r="F57" s="1"/>
      <c r="G57" s="1"/>
      <c r="H57" s="22"/>
      <c r="I57" s="22"/>
      <c r="J57" s="22"/>
      <c r="K57" s="22"/>
    </row>
    <row r="58" spans="3:11" ht="20.100000000000001" customHeight="1" x14ac:dyDescent="0.25">
      <c r="C58" s="22"/>
      <c r="D58" s="1"/>
      <c r="E58" s="30"/>
      <c r="F58" s="28"/>
      <c r="G58" s="22"/>
      <c r="H58" s="22"/>
      <c r="I58" s="22"/>
      <c r="J58" s="22"/>
      <c r="K58" s="22"/>
    </row>
    <row r="59" spans="3:11" ht="20.100000000000001" customHeight="1" x14ac:dyDescent="0.25">
      <c r="C59" s="22"/>
      <c r="D59" s="1"/>
      <c r="E59" s="1"/>
      <c r="F59" s="1"/>
      <c r="G59" s="1"/>
      <c r="H59" s="1"/>
      <c r="I59" s="1"/>
      <c r="J59" s="1"/>
      <c r="K59" s="22"/>
    </row>
    <row r="60" spans="3:11" ht="20.100000000000001" customHeight="1" x14ac:dyDescent="0.25">
      <c r="C60" s="22"/>
      <c r="D60" s="1"/>
      <c r="E60" s="1"/>
      <c r="F60" s="1"/>
      <c r="G60" s="1"/>
      <c r="H60" s="1"/>
      <c r="I60" s="1"/>
      <c r="J60" s="1"/>
      <c r="K60" s="22"/>
    </row>
    <row r="61" spans="3:11" ht="20.100000000000001" customHeight="1" x14ac:dyDescent="0.25">
      <c r="C61" s="22"/>
      <c r="D61" s="1"/>
      <c r="E61" s="1"/>
      <c r="F61" s="1"/>
      <c r="G61" s="1"/>
      <c r="H61" s="1"/>
      <c r="I61" s="1"/>
      <c r="J61" s="1"/>
      <c r="K61" s="22"/>
    </row>
    <row r="62" spans="3:11" ht="20.100000000000001" customHeight="1" x14ac:dyDescent="0.25">
      <c r="C62" s="22"/>
      <c r="D62" s="1"/>
      <c r="E62" s="1"/>
      <c r="F62" s="1"/>
      <c r="G62" s="1"/>
      <c r="H62" s="1"/>
      <c r="I62" s="1"/>
      <c r="J62" s="1"/>
      <c r="K62" s="22"/>
    </row>
    <row r="63" spans="3:11" ht="20.100000000000001" customHeight="1" x14ac:dyDescent="0.25">
      <c r="C63" s="22"/>
      <c r="D63" s="1"/>
      <c r="E63" s="1"/>
      <c r="F63" s="1"/>
      <c r="G63" s="1"/>
      <c r="H63" s="1"/>
      <c r="I63" s="1"/>
      <c r="J63" s="1"/>
      <c r="K63" s="22"/>
    </row>
    <row r="64" spans="3:11" ht="20.100000000000001" customHeight="1" x14ac:dyDescent="0.25">
      <c r="C64" s="22"/>
      <c r="D64" s="1"/>
      <c r="E64" s="1"/>
      <c r="F64" s="1"/>
      <c r="G64" s="1"/>
      <c r="H64" s="1"/>
      <c r="I64" s="1"/>
      <c r="J64" s="1"/>
      <c r="K64" s="22"/>
    </row>
    <row r="65" spans="3:11" ht="20.100000000000001" customHeight="1" x14ac:dyDescent="0.25">
      <c r="C65" s="22"/>
      <c r="D65" s="1"/>
      <c r="E65" s="1"/>
      <c r="F65" s="1"/>
      <c r="G65" s="1"/>
      <c r="H65" s="1"/>
      <c r="I65" s="1"/>
      <c r="J65" s="1"/>
      <c r="K65" s="22"/>
    </row>
    <row r="66" spans="3:11" ht="20.100000000000001" customHeight="1" x14ac:dyDescent="0.25">
      <c r="C66" s="22"/>
      <c r="D66" s="1"/>
      <c r="E66" s="1"/>
      <c r="F66" s="1"/>
      <c r="G66" s="1"/>
      <c r="H66" s="1"/>
      <c r="I66" s="1"/>
      <c r="J66" s="1"/>
      <c r="K66" s="22"/>
    </row>
    <row r="67" spans="3:11" ht="20.100000000000001" customHeight="1" x14ac:dyDescent="0.25">
      <c r="C67" s="22"/>
      <c r="D67" s="1"/>
      <c r="E67" s="1"/>
      <c r="F67" s="1"/>
      <c r="G67" s="1"/>
      <c r="H67" s="1"/>
      <c r="I67" s="1"/>
      <c r="J67" s="1"/>
      <c r="K67" s="22"/>
    </row>
    <row r="68" spans="3:11" ht="20.100000000000001" customHeight="1" x14ac:dyDescent="0.25">
      <c r="C68" s="22"/>
      <c r="D68" s="1"/>
      <c r="E68" s="1"/>
      <c r="F68" s="1"/>
      <c r="G68" s="1"/>
      <c r="H68" s="1"/>
      <c r="I68" s="1"/>
      <c r="J68" s="1"/>
      <c r="K68" s="22"/>
    </row>
    <row r="69" spans="3:11" ht="20.100000000000001" customHeight="1" x14ac:dyDescent="0.25">
      <c r="C69" s="22"/>
      <c r="D69" s="1"/>
      <c r="E69" s="1"/>
      <c r="F69" s="1"/>
      <c r="G69" s="1"/>
      <c r="H69" s="1"/>
      <c r="I69" s="1"/>
      <c r="J69" s="1"/>
      <c r="K69" s="22"/>
    </row>
    <row r="70" spans="3:11" ht="20.100000000000001" customHeight="1" x14ac:dyDescent="0.25">
      <c r="C70" s="22"/>
      <c r="D70" s="1"/>
      <c r="E70" s="1"/>
      <c r="F70" s="1"/>
      <c r="G70" s="1"/>
      <c r="H70" s="1"/>
      <c r="I70" s="1"/>
      <c r="J70" s="1"/>
      <c r="K70" s="22"/>
    </row>
    <row r="71" spans="3:11" ht="20.100000000000001" customHeight="1" x14ac:dyDescent="0.25">
      <c r="C71" s="22"/>
      <c r="D71" s="1"/>
      <c r="E71" s="1"/>
      <c r="F71" s="1"/>
      <c r="G71" s="1"/>
      <c r="H71" s="1"/>
      <c r="I71" s="1"/>
      <c r="J71" s="1"/>
      <c r="K71" s="22"/>
    </row>
    <row r="72" spans="3:11" ht="20.100000000000001" customHeight="1" x14ac:dyDescent="0.25">
      <c r="C72" s="22"/>
      <c r="D72" s="1"/>
      <c r="E72" s="1"/>
      <c r="F72" s="1"/>
      <c r="G72" s="1"/>
      <c r="H72" s="1"/>
      <c r="I72" s="1"/>
      <c r="J72" s="1"/>
      <c r="K72" s="22"/>
    </row>
    <row r="73" spans="3:11" ht="20.100000000000001" customHeight="1" x14ac:dyDescent="0.25">
      <c r="C73" s="22"/>
      <c r="D73" s="1"/>
      <c r="E73" s="1"/>
      <c r="F73" s="1"/>
      <c r="G73" s="1"/>
      <c r="H73" s="1"/>
      <c r="I73" s="1"/>
      <c r="J73" s="1"/>
      <c r="K73" s="22"/>
    </row>
    <row r="74" spans="3:11" ht="20.100000000000001" customHeight="1" x14ac:dyDescent="0.25">
      <c r="C74" s="22"/>
      <c r="D74" s="1"/>
      <c r="E74" s="1"/>
      <c r="F74" s="1"/>
      <c r="G74" s="1"/>
      <c r="H74" s="1"/>
      <c r="I74" s="1"/>
      <c r="J74" s="1"/>
      <c r="K74" s="22"/>
    </row>
    <row r="75" spans="3:11" ht="20.100000000000001" customHeight="1" x14ac:dyDescent="0.25">
      <c r="C75" s="22"/>
      <c r="D75" s="1"/>
      <c r="E75" s="1"/>
      <c r="F75" s="1"/>
      <c r="G75" s="1"/>
      <c r="H75" s="1"/>
      <c r="I75" s="1"/>
      <c r="J75" s="1"/>
      <c r="K75" s="22"/>
    </row>
    <row r="76" spans="3:11" ht="15.75" x14ac:dyDescent="0.25">
      <c r="C76" s="22"/>
      <c r="D76" s="1"/>
      <c r="E76" s="1"/>
      <c r="F76" s="1"/>
      <c r="G76" s="1"/>
      <c r="H76" s="1"/>
      <c r="I76" s="1"/>
      <c r="J76" s="1"/>
      <c r="K76" s="22"/>
    </row>
    <row r="77" spans="3:11" ht="15.75" x14ac:dyDescent="0.25">
      <c r="C77" s="22"/>
      <c r="D77" s="1"/>
      <c r="E77" s="1"/>
      <c r="F77" s="1"/>
      <c r="G77" s="1"/>
      <c r="H77" s="1"/>
      <c r="I77" s="1"/>
      <c r="J77" s="1"/>
      <c r="K77" s="22"/>
    </row>
    <row r="78" spans="3:11" ht="15.75" x14ac:dyDescent="0.25">
      <c r="C78" s="22"/>
      <c r="D78" s="1"/>
      <c r="E78" s="1"/>
      <c r="F78" s="1"/>
      <c r="G78" s="1"/>
      <c r="H78" s="1"/>
      <c r="I78" s="1"/>
      <c r="J78" s="1"/>
      <c r="K78" s="22"/>
    </row>
    <row r="79" spans="3:11" ht="15.75" x14ac:dyDescent="0.25">
      <c r="C79" s="22"/>
      <c r="D79" s="1"/>
      <c r="E79" s="1"/>
      <c r="F79" s="1"/>
      <c r="G79" s="1"/>
      <c r="H79" s="1"/>
      <c r="I79" s="1"/>
      <c r="J79" s="1"/>
      <c r="K79" s="22"/>
    </row>
    <row r="80" spans="3:11" ht="15.75" x14ac:dyDescent="0.25">
      <c r="C80" s="22"/>
      <c r="D80" s="1"/>
      <c r="E80" s="1"/>
      <c r="F80" s="1"/>
      <c r="G80" s="1"/>
      <c r="H80" s="1"/>
      <c r="I80" s="1"/>
      <c r="J80" s="1"/>
      <c r="K80" s="22"/>
    </row>
    <row r="81" spans="3:11" ht="15.75" x14ac:dyDescent="0.25">
      <c r="C81" s="22"/>
      <c r="D81" s="1"/>
      <c r="E81" s="1"/>
      <c r="F81" s="1"/>
      <c r="G81" s="1"/>
      <c r="H81" s="1"/>
      <c r="I81" s="1"/>
      <c r="J81" s="1"/>
      <c r="K81" s="22"/>
    </row>
    <row r="82" spans="3:11" ht="15.75" x14ac:dyDescent="0.25">
      <c r="C82" s="22"/>
      <c r="D82" s="1"/>
      <c r="E82" s="1"/>
      <c r="F82" s="1"/>
      <c r="G82" s="1"/>
      <c r="H82" s="1"/>
      <c r="I82" s="1"/>
      <c r="J82" s="1"/>
      <c r="K82" s="22"/>
    </row>
    <row r="83" spans="3:11" ht="15.75" x14ac:dyDescent="0.25">
      <c r="C83" s="22"/>
      <c r="D83" s="1"/>
      <c r="E83" s="1"/>
      <c r="F83" s="1"/>
      <c r="G83" s="1"/>
      <c r="H83" s="1"/>
      <c r="I83" s="1"/>
      <c r="J83" s="1"/>
      <c r="K83" s="22"/>
    </row>
    <row r="84" spans="3:11" ht="15.75" x14ac:dyDescent="0.25">
      <c r="C84" s="22"/>
      <c r="D84" s="1"/>
      <c r="E84" s="1"/>
      <c r="F84" s="1"/>
      <c r="G84" s="1"/>
      <c r="H84" s="1"/>
      <c r="I84" s="1"/>
      <c r="J84" s="1"/>
      <c r="K84" s="22"/>
    </row>
    <row r="85" spans="3:11" ht="15.75" x14ac:dyDescent="0.25">
      <c r="C85" s="22"/>
      <c r="D85" s="1"/>
      <c r="E85" s="1"/>
      <c r="F85" s="1"/>
      <c r="G85" s="1"/>
      <c r="H85" s="1"/>
      <c r="I85" s="1"/>
      <c r="J85" s="1"/>
      <c r="K85" s="22"/>
    </row>
    <row r="86" spans="3:11" x14ac:dyDescent="0.25">
      <c r="C86" s="22"/>
      <c r="D86" s="22"/>
      <c r="E86" s="22"/>
      <c r="F86" s="22"/>
      <c r="G86" s="22"/>
      <c r="H86" s="22"/>
      <c r="I86" s="22"/>
      <c r="J86" s="22"/>
      <c r="K86" s="22"/>
    </row>
    <row r="87" spans="3:11" x14ac:dyDescent="0.25">
      <c r="C87" s="22"/>
      <c r="D87" s="22"/>
      <c r="E87" s="22"/>
      <c r="F87" s="22"/>
      <c r="G87" s="22"/>
      <c r="H87" s="22"/>
      <c r="I87" s="22"/>
      <c r="J87" s="22"/>
      <c r="K87" s="22"/>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15"/>
  <sheetViews>
    <sheetView showGridLines="0" topLeftCell="A4" zoomScaleNormal="100" workbookViewId="0">
      <selection activeCell="A13" sqref="A13"/>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3" t="e" vm="1">
        <v>#VALUE!</v>
      </c>
      <c r="C1" s="12" t="s">
        <v>85</v>
      </c>
    </row>
    <row r="2" spans="1:24" s="7" customFormat="1" ht="20.100000000000001" customHeight="1" x14ac:dyDescent="0.25">
      <c r="A2" s="9"/>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HYPERLINK("#'Results'!A1", "Results")</f>
        <v>Results</v>
      </c>
      <c r="C4" s="64"/>
      <c r="D4" s="64"/>
      <c r="E4" s="64"/>
      <c r="F4" s="64"/>
      <c r="G4" s="64"/>
      <c r="H4" s="64"/>
      <c r="I4" s="64"/>
      <c r="J4" s="64"/>
      <c r="K4" s="64"/>
    </row>
    <row r="5" spans="1:24" ht="20.100000000000001" customHeight="1" x14ac:dyDescent="0.25">
      <c r="D5" s="6" t="s">
        <v>13</v>
      </c>
      <c r="N5" s="40"/>
    </row>
    <row r="6" spans="1:24" ht="20.100000000000001" customHeight="1" x14ac:dyDescent="0.25">
      <c r="A6" s="20" t="s">
        <v>1</v>
      </c>
      <c r="D6" s="14"/>
      <c r="N6" s="41"/>
    </row>
    <row r="7" spans="1:24" ht="20.100000000000001" customHeight="1" x14ac:dyDescent="0.25">
      <c r="A7" s="112" t="str">
        <f>HYPERLINK("#'Input - Site'!A1", "Site")</f>
        <v>Site</v>
      </c>
      <c r="D7" s="1" t="s">
        <v>5</v>
      </c>
      <c r="E7" s="33" t="s">
        <v>4</v>
      </c>
      <c r="F7" s="2"/>
    </row>
    <row r="8" spans="1:24" ht="20.100000000000001" customHeight="1" x14ac:dyDescent="0.25">
      <c r="A8" s="17" t="str">
        <f>HYPERLINK("#'Input - Poultry'!A1", "Poultry")</f>
        <v>Poultry</v>
      </c>
      <c r="D8" s="10" t="s">
        <v>69</v>
      </c>
      <c r="E8" s="33" t="s">
        <v>70</v>
      </c>
    </row>
    <row r="9" spans="1:24" ht="20.100000000000001" customHeight="1" x14ac:dyDescent="0.25">
      <c r="A9" s="17"/>
      <c r="N9" s="42"/>
    </row>
    <row r="10" spans="1:24" ht="20.100000000000001" customHeight="1" x14ac:dyDescent="0.25">
      <c r="A10" s="19" t="s">
        <v>71</v>
      </c>
      <c r="D10" s="89" t="s">
        <v>84</v>
      </c>
      <c r="E10" s="87"/>
      <c r="F10" s="90"/>
      <c r="G10" s="84"/>
      <c r="N10" s="42"/>
    </row>
    <row r="11" spans="1:24" ht="20.100000000000001" customHeight="1" x14ac:dyDescent="0.25">
      <c r="A11" s="17" t="str">
        <f>HYPERLINK("#'4.6.1.1-2 Methane'!A1", "4.6.1.1-2 Methane")</f>
        <v>4.6.1.1-2 Methane</v>
      </c>
      <c r="N11" s="43"/>
    </row>
    <row r="12" spans="1:24" ht="20.100000000000001" customHeight="1" x14ac:dyDescent="0.25">
      <c r="A12" s="17" t="str">
        <f>HYPERLINK("#'4.6.1.3-4 Direct N20'!A1", "4.6.1.3-4 Direct N2O")</f>
        <v>4.6.1.3-4 Direct N2O</v>
      </c>
      <c r="D12" s="10" t="s">
        <v>90</v>
      </c>
      <c r="E12" s="60">
        <v>45292</v>
      </c>
      <c r="F12" s="2" t="s">
        <v>67</v>
      </c>
    </row>
    <row r="13" spans="1:24" ht="20.100000000000001" customHeight="1" x14ac:dyDescent="0.25">
      <c r="A13" s="17" t="str">
        <f>HYPERLINK("#'4.6.1.5-6 Atmos Dep'!A1", "4.6.1.5-6 Atmospheric deposition")</f>
        <v>4.6.1.5-6 Atmospheric deposition</v>
      </c>
      <c r="D13" s="10" t="s">
        <v>91</v>
      </c>
      <c r="E13" s="65">
        <f>DATE(YEAR(E12)+1,MONTH(E12),DAY(E12))-1</f>
        <v>45657</v>
      </c>
      <c r="F13" s="2" t="s">
        <v>15</v>
      </c>
      <c r="N13" s="38"/>
      <c r="O13" s="38"/>
    </row>
    <row r="14" spans="1:24" ht="20.100000000000001" customHeight="1" x14ac:dyDescent="0.25">
      <c r="A14" s="17" t="str">
        <f>HYPERLINK("#'4.6.1.7-8 Leaching and runoff'!A1", "4.6.1.7-8 Leaching &amp; runoff")</f>
        <v>4.6.1.7-8 Leaching &amp; runoff</v>
      </c>
      <c r="N14" s="38"/>
      <c r="O14" s="38"/>
    </row>
    <row r="15" spans="1:24" ht="20.100000000000001" customHeight="1" x14ac:dyDescent="0.25">
      <c r="A15" s="17" t="str">
        <f>HYPERLINK("#'4.6.1.9 Manure applied to soils'!A1", "4.6.1.9 Manure applied to soils")</f>
        <v>4.6.1.9 Manure applied to soils</v>
      </c>
      <c r="N15" s="38"/>
      <c r="O15" s="38"/>
    </row>
    <row r="16" spans="1:24" ht="20.100000000000001" customHeight="1" x14ac:dyDescent="0.25">
      <c r="A16" s="17" t="str">
        <f>HYPERLINK("#'4.6.1.10-11 Soil direct N2O'!A1", "4.6.1.10-11 Soil direct N2O")</f>
        <v>4.6.1.10-11 Soil direct N2O</v>
      </c>
      <c r="D16" s="6" t="s">
        <v>12</v>
      </c>
      <c r="N16" s="38"/>
      <c r="O16" s="38"/>
    </row>
    <row r="17" spans="1:25" ht="20.100000000000001" customHeight="1" x14ac:dyDescent="0.25">
      <c r="A17" s="17" t="str">
        <f>HYPERLINK("#'4.6.1.12-13 Soil atmos dep'!A1", "4.6.1.12-13 Soil Atm. deposition")</f>
        <v>4.6.1.12-13 Soil Atm. deposition</v>
      </c>
    </row>
    <row r="18" spans="1:25" ht="20.100000000000001" customHeight="1" x14ac:dyDescent="0.25">
      <c r="A18" s="17" t="str">
        <f>HYPERLINK("#'4.6.1.14-15 Soil leach runoff'!A1", "4.6.1.14-15 Soil leach &amp; runoff")</f>
        <v>4.6.1.14-15 Soil leach &amp; runoff</v>
      </c>
      <c r="D18" s="91" t="s">
        <v>14</v>
      </c>
      <c r="E18" s="86"/>
      <c r="F18" s="86"/>
      <c r="G18" s="82"/>
    </row>
    <row r="19" spans="1:25" ht="20.100000000000001" customHeight="1" x14ac:dyDescent="0.25">
      <c r="A19"/>
      <c r="D19" s="88" t="s">
        <v>68</v>
      </c>
      <c r="E19" s="85"/>
      <c r="F19" s="85"/>
      <c r="G19" s="83"/>
      <c r="N19" s="40"/>
    </row>
    <row r="20" spans="1:25" ht="20.100000000000001" customHeight="1" x14ac:dyDescent="0.25">
      <c r="A20" s="18" t="s">
        <v>2</v>
      </c>
      <c r="D20" s="1"/>
      <c r="E20" s="31"/>
      <c r="F20" s="2"/>
      <c r="N20" s="41"/>
    </row>
    <row r="21" spans="1:25" ht="20.100000000000001" customHeight="1" x14ac:dyDescent="0.25">
      <c r="A21" s="17" t="str">
        <f>HYPERLINK("#'Constants - Poultry'!A1", "Constants - Poultry")</f>
        <v>Constants - Poultry</v>
      </c>
      <c r="D21" s="1" t="s">
        <v>6</v>
      </c>
      <c r="E21" s="39" t="s">
        <v>115</v>
      </c>
      <c r="F21" s="2" t="s">
        <v>9</v>
      </c>
    </row>
    <row r="22" spans="1:25" ht="20.100000000000001" customHeight="1" x14ac:dyDescent="0.25">
      <c r="A22" s="17" t="str">
        <f>HYPERLINK("#'Constants - Livestock'!A1", "Constants - Livestock")</f>
        <v>Constants - Livestock</v>
      </c>
      <c r="D22" s="1" t="s">
        <v>22</v>
      </c>
      <c r="E22" s="39" t="s">
        <v>31</v>
      </c>
      <c r="F22" s="2" t="s">
        <v>9</v>
      </c>
      <c r="G22" s="1"/>
    </row>
    <row r="23" spans="1:25" ht="20.100000000000001" customHeight="1" x14ac:dyDescent="0.25">
      <c r="A23" s="17" t="str">
        <f>HYPERLINK("#'Constants - Common'!A1", "Constants - Common")</f>
        <v>Constants - Common</v>
      </c>
      <c r="D23" s="1" t="s">
        <v>7</v>
      </c>
      <c r="E23" s="39" t="s">
        <v>89</v>
      </c>
      <c r="F23" s="2" t="s">
        <v>9</v>
      </c>
    </row>
    <row r="24" spans="1:25" ht="20.100000000000001" customHeight="1" x14ac:dyDescent="0.25">
      <c r="A24" s="17" t="str">
        <f>HYPERLINK("#'Acknowledgements'!A1", "Acknowledgements")</f>
        <v>Acknowledgements</v>
      </c>
      <c r="D24" s="1" t="s">
        <v>36</v>
      </c>
      <c r="E24" s="33">
        <v>307.7</v>
      </c>
      <c r="F24" s="2" t="s">
        <v>50</v>
      </c>
    </row>
    <row r="25" spans="1:25" ht="20.100000000000001" customHeight="1" x14ac:dyDescent="0.25">
      <c r="A25"/>
      <c r="D25" s="1" t="s">
        <v>58</v>
      </c>
      <c r="E25" s="33">
        <v>18</v>
      </c>
      <c r="F25" s="2" t="s">
        <v>10</v>
      </c>
      <c r="N25" s="41"/>
    </row>
    <row r="26" spans="1:25" ht="20.100000000000001" customHeight="1" x14ac:dyDescent="0.25">
      <c r="A26"/>
      <c r="D26" s="1" t="s">
        <v>59</v>
      </c>
      <c r="E26" s="33">
        <v>601</v>
      </c>
      <c r="F26" s="2" t="s">
        <v>11</v>
      </c>
    </row>
    <row r="27" spans="1:25" ht="20.100000000000001" customHeight="1" x14ac:dyDescent="0.25">
      <c r="A27"/>
      <c r="D27" s="10" t="s">
        <v>60</v>
      </c>
      <c r="E27" s="33">
        <v>1326</v>
      </c>
      <c r="F27" s="2" t="s">
        <v>11</v>
      </c>
    </row>
    <row r="28" spans="1:25" ht="20.100000000000001" customHeight="1" x14ac:dyDescent="0.25">
      <c r="A28"/>
      <c r="D28" s="1" t="s">
        <v>61</v>
      </c>
      <c r="E28" s="33">
        <v>7</v>
      </c>
      <c r="F28" s="2" t="s">
        <v>51</v>
      </c>
    </row>
    <row r="29" spans="1:25" ht="20.100000000000001" customHeight="1" x14ac:dyDescent="0.25">
      <c r="A29"/>
      <c r="D29" s="10" t="s">
        <v>57</v>
      </c>
      <c r="E29" s="50">
        <f>E26/E27</f>
        <v>0.45324283559577677</v>
      </c>
      <c r="F29" s="2"/>
    </row>
    <row r="30" spans="1:25" ht="20.100000000000001" customHeight="1" x14ac:dyDescent="0.25">
      <c r="A30"/>
      <c r="D30" s="10" t="s">
        <v>32</v>
      </c>
      <c r="E30" s="50" t="str">
        <f>Common_InputFunctions.Utility_LookupItemFromMinMax(E26,Table_SourceData_RainfallZones[Min rainfall],Table_SourceData_RainfallZones[Max rainfall],Table_SourceData_RainfallZones[Rainfall Zone])</f>
        <v>High rainfall</v>
      </c>
      <c r="G30" s="32"/>
      <c r="L30" s="47"/>
      <c r="M30" s="47"/>
      <c r="N30" s="47"/>
      <c r="O30" s="47"/>
      <c r="P30" s="47"/>
      <c r="Q30" s="47"/>
      <c r="R30" s="47"/>
      <c r="S30" s="47"/>
      <c r="T30" s="47"/>
      <c r="U30" s="47"/>
      <c r="V30" s="47"/>
      <c r="W30" s="47"/>
      <c r="X30" s="47"/>
      <c r="Y30" s="47"/>
    </row>
    <row r="31" spans="1:25" ht="20.100000000000001" customHeight="1" x14ac:dyDescent="0.25">
      <c r="A31"/>
      <c r="D31" s="1" t="s">
        <v>8</v>
      </c>
      <c r="E31" s="50" t="str">
        <f>Common_InputFunctions.Utility_GetClimateZone(E25,E26,E28,E24,E29,Table_SourceData_ClimateZones[Min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1"/>
      <c r="L31" s="45"/>
      <c r="M31" s="45"/>
      <c r="N31" s="45"/>
      <c r="O31" s="45"/>
      <c r="P31" s="45"/>
      <c r="Q31" s="45"/>
      <c r="R31" s="45"/>
      <c r="S31" s="45"/>
      <c r="T31" s="45"/>
      <c r="U31" s="45"/>
      <c r="V31" s="45"/>
      <c r="W31" s="45"/>
      <c r="X31" s="45"/>
      <c r="Y31" s="45"/>
    </row>
    <row r="32" spans="1:25" ht="20.100000000000001" customHeight="1" x14ac:dyDescent="0.25">
      <c r="A32"/>
      <c r="D32" s="1" t="s">
        <v>86</v>
      </c>
      <c r="E32" s="50" t="str">
        <f>Common_InputFunctions.Utility_LookupValueInTable($E$31,Table_SourceData_WetDryZones[Climate zone],Table_SourceData_WetDryZones[Wet or Dry Zone])</f>
        <v>Dry climate zone</v>
      </c>
      <c r="F32" s="1"/>
      <c r="G32" s="31"/>
      <c r="L32" s="45"/>
      <c r="M32" s="45"/>
      <c r="N32" s="45"/>
      <c r="O32" s="45"/>
      <c r="P32" s="45"/>
      <c r="Q32" s="45"/>
      <c r="R32" s="45"/>
      <c r="S32" s="45"/>
      <c r="T32" s="45"/>
      <c r="U32" s="45"/>
      <c r="V32" s="45"/>
      <c r="W32" s="45"/>
      <c r="X32" s="45"/>
      <c r="Y32" s="45"/>
    </row>
    <row r="33" spans="1:25" ht="20.100000000000001" customHeight="1" x14ac:dyDescent="0.25">
      <c r="A33"/>
      <c r="D33" s="1" t="s">
        <v>49</v>
      </c>
      <c r="E33" s="50" t="str">
        <f>Common_InputFunctions.Utility_LookupItemFromMinMax(E25,Table_SourceData_TemperatureZones[Min MAT],Table_SourceData_TemperatureZones[Max MAT],Table_SourceData_TemperatureZones[Temperature Zone])</f>
        <v>Temperate</v>
      </c>
      <c r="G33" s="66"/>
      <c r="L33" s="45"/>
      <c r="M33" s="45"/>
      <c r="N33" s="45"/>
      <c r="O33" s="45"/>
      <c r="P33" s="45"/>
      <c r="Q33" s="45"/>
      <c r="R33" s="45"/>
      <c r="S33" s="45"/>
      <c r="T33" s="45"/>
      <c r="U33" s="45"/>
      <c r="V33" s="45"/>
      <c r="W33" s="45"/>
      <c r="X33" s="45"/>
      <c r="Y33" s="45"/>
    </row>
    <row r="34" spans="1:25" ht="20.100000000000001" customHeight="1" x14ac:dyDescent="0.25">
      <c r="A34"/>
      <c r="J34" s="58"/>
      <c r="K34" s="69"/>
      <c r="L34" s="45"/>
      <c r="M34" s="45"/>
      <c r="N34" s="45"/>
      <c r="O34" s="45"/>
      <c r="P34" s="45"/>
      <c r="Q34" s="45"/>
      <c r="R34" s="45"/>
      <c r="S34" s="45"/>
      <c r="T34" s="45"/>
      <c r="U34" s="45"/>
      <c r="V34" s="45"/>
      <c r="W34" s="45"/>
      <c r="X34" s="45"/>
      <c r="Y34" s="45"/>
    </row>
    <row r="35" spans="1:25" ht="20.100000000000001" customHeight="1" x14ac:dyDescent="0.25">
      <c r="A35"/>
      <c r="J35" s="58"/>
      <c r="K35" s="69"/>
      <c r="L35" s="45"/>
      <c r="M35" s="45"/>
      <c r="N35" s="45"/>
      <c r="O35" s="45"/>
      <c r="P35" s="45"/>
      <c r="Q35" s="45"/>
      <c r="R35" s="45"/>
      <c r="S35" s="45"/>
      <c r="T35" s="45"/>
      <c r="U35" s="45"/>
      <c r="V35" s="45"/>
      <c r="W35" s="45"/>
      <c r="X35" s="45"/>
      <c r="Y35" s="45"/>
    </row>
    <row r="36" spans="1:25" ht="20.100000000000001" customHeight="1" x14ac:dyDescent="0.25">
      <c r="A36"/>
      <c r="D36" s="67"/>
      <c r="E36" s="67"/>
      <c r="F36" s="68"/>
      <c r="G36" s="58"/>
      <c r="H36" s="58"/>
      <c r="I36" s="59"/>
      <c r="J36" s="58"/>
      <c r="K36" s="69"/>
      <c r="L36" s="45"/>
      <c r="M36" s="45"/>
      <c r="N36" s="45"/>
      <c r="O36" s="45"/>
      <c r="P36" s="45"/>
      <c r="Q36" s="45"/>
      <c r="R36" s="45"/>
      <c r="S36" s="45"/>
      <c r="T36" s="45"/>
      <c r="U36" s="45"/>
      <c r="V36" s="45"/>
      <c r="W36" s="45"/>
      <c r="X36" s="45"/>
      <c r="Y36" s="45"/>
    </row>
    <row r="37" spans="1:25" ht="20.100000000000001" customHeight="1" x14ac:dyDescent="0.25">
      <c r="A37"/>
      <c r="D37" s="67"/>
      <c r="E37" s="67"/>
      <c r="F37" s="68"/>
      <c r="G37" s="58"/>
      <c r="H37" s="58"/>
      <c r="I37" s="59"/>
      <c r="J37" s="58"/>
      <c r="K37" s="69"/>
      <c r="L37" s="45"/>
      <c r="M37" s="45"/>
      <c r="N37" s="45"/>
      <c r="O37" s="45"/>
      <c r="P37" s="45"/>
      <c r="Q37" s="45"/>
      <c r="R37" s="45"/>
      <c r="S37" s="45"/>
      <c r="T37" s="45"/>
      <c r="U37" s="45"/>
      <c r="V37" s="45"/>
      <c r="W37" s="45"/>
      <c r="X37" s="45"/>
      <c r="Y37" s="45"/>
    </row>
    <row r="38" spans="1:25" ht="20.100000000000001" customHeight="1" x14ac:dyDescent="0.25">
      <c r="A38"/>
      <c r="D38" s="67"/>
      <c r="E38" s="67"/>
      <c r="F38" s="68"/>
      <c r="G38" s="58"/>
      <c r="H38" s="58"/>
      <c r="I38" s="59"/>
      <c r="J38" s="58"/>
      <c r="K38" s="69"/>
      <c r="L38" s="45"/>
      <c r="M38" s="45"/>
      <c r="N38" s="45"/>
      <c r="O38" s="45"/>
      <c r="P38" s="45"/>
      <c r="Q38" s="45"/>
      <c r="R38" s="45"/>
      <c r="S38" s="45"/>
      <c r="T38" s="45"/>
      <c r="U38" s="45"/>
      <c r="V38" s="45"/>
      <c r="W38" s="45"/>
      <c r="X38" s="45"/>
      <c r="Y38" s="45"/>
    </row>
    <row r="39" spans="1:25" ht="20.100000000000001" customHeight="1" x14ac:dyDescent="0.25">
      <c r="A39"/>
      <c r="D39" s="67"/>
      <c r="E39" s="67"/>
      <c r="F39" s="68"/>
      <c r="G39" s="58"/>
      <c r="H39" s="58"/>
      <c r="I39" s="59"/>
      <c r="J39" s="58"/>
      <c r="K39" s="69"/>
      <c r="L39" s="45"/>
      <c r="M39" s="45"/>
      <c r="N39" s="45"/>
      <c r="O39" s="45"/>
      <c r="P39" s="45"/>
      <c r="Q39" s="45"/>
      <c r="R39" s="45"/>
      <c r="S39" s="45"/>
      <c r="T39" s="45"/>
      <c r="U39" s="45"/>
      <c r="V39" s="45"/>
      <c r="W39" s="45"/>
      <c r="X39" s="45"/>
      <c r="Y39" s="45"/>
    </row>
    <row r="40" spans="1:25" ht="20.100000000000001" customHeight="1" x14ac:dyDescent="0.25">
      <c r="A40"/>
      <c r="D40" s="70"/>
      <c r="E40" s="70"/>
      <c r="F40" s="70"/>
      <c r="G40" s="71"/>
      <c r="H40" s="72"/>
      <c r="I40" s="72"/>
      <c r="J40" s="72"/>
      <c r="K40" s="72"/>
      <c r="L40" s="48"/>
      <c r="M40" s="48"/>
      <c r="N40" s="48"/>
      <c r="O40" s="48"/>
      <c r="P40" s="48"/>
      <c r="Q40" s="48"/>
      <c r="R40" s="48"/>
      <c r="S40" s="48"/>
      <c r="T40" s="48"/>
      <c r="U40" s="48"/>
      <c r="V40" s="48"/>
      <c r="W40" s="48"/>
      <c r="X40" s="48"/>
      <c r="Y40" s="48"/>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6"/>
    </row>
    <row r="46" spans="1:25" ht="20.100000000000001" customHeight="1" x14ac:dyDescent="0.25">
      <c r="D46" s="6"/>
    </row>
    <row r="47" spans="1:25" ht="20.100000000000001" customHeight="1" x14ac:dyDescent="0.25">
      <c r="D47" s="73"/>
      <c r="E47" s="73"/>
      <c r="F47" s="73"/>
      <c r="G47" s="73"/>
      <c r="H47" s="73"/>
    </row>
    <row r="48" spans="1:25" ht="20.100000000000001" customHeight="1" x14ac:dyDescent="0.25">
      <c r="D48" s="34"/>
      <c r="E48" s="34"/>
      <c r="F48" s="35"/>
      <c r="G48" s="35"/>
      <c r="H48" s="34"/>
    </row>
    <row r="49" spans="4:8" ht="20.100000000000001" customHeight="1" x14ac:dyDescent="0.25">
      <c r="D49" s="34"/>
      <c r="E49" s="34"/>
      <c r="F49" s="35"/>
      <c r="G49" s="35"/>
      <c r="H49" s="34"/>
    </row>
    <row r="50" spans="4:8" ht="20.100000000000001" customHeight="1" x14ac:dyDescent="0.25">
      <c r="D50" s="34"/>
      <c r="E50" s="34"/>
      <c r="F50" s="35"/>
      <c r="G50" s="35"/>
      <c r="H50" s="34"/>
    </row>
    <row r="51" spans="4:8" ht="20.100000000000001" customHeight="1" x14ac:dyDescent="0.25">
      <c r="D51" s="74"/>
      <c r="E51" s="75"/>
      <c r="F51" s="75"/>
      <c r="G51" s="75"/>
      <c r="H51" s="76"/>
    </row>
    <row r="52" spans="4:8" ht="20.100000000000001" customHeight="1" x14ac:dyDescent="0.25"/>
    <row r="53" spans="4:8" ht="20.100000000000001" customHeight="1" x14ac:dyDescent="0.25"/>
    <row r="54" spans="4:8" ht="20.100000000000001" customHeight="1" x14ac:dyDescent="0.25">
      <c r="G54" s="77"/>
    </row>
    <row r="55" spans="4:8" ht="20.100000000000001" customHeight="1" x14ac:dyDescent="0.25">
      <c r="D55" s="6"/>
    </row>
    <row r="56" spans="4:8" ht="20.100000000000001" customHeight="1" x14ac:dyDescent="0.25"/>
    <row r="57" spans="4:8" ht="20.100000000000001" customHeight="1" x14ac:dyDescent="0.25">
      <c r="D57" s="21"/>
      <c r="F57" s="78"/>
    </row>
    <row r="58" spans="4:8" ht="20.100000000000001" customHeight="1" x14ac:dyDescent="0.25">
      <c r="D58" s="1"/>
      <c r="E58" s="79"/>
    </row>
    <row r="59" spans="4:8" ht="20.100000000000001" customHeight="1" x14ac:dyDescent="0.25">
      <c r="D59" s="1"/>
      <c r="E59" s="79"/>
    </row>
    <row r="60" spans="4:8" ht="20.100000000000001" customHeight="1" x14ac:dyDescent="0.25">
      <c r="D60" s="1"/>
      <c r="E60" s="80"/>
    </row>
    <row r="61" spans="4:8" ht="20.100000000000001" customHeight="1" x14ac:dyDescent="0.25">
      <c r="D61" s="1"/>
    </row>
    <row r="62" spans="4:8" ht="20.100000000000001" customHeight="1" x14ac:dyDescent="0.25"/>
    <row r="63" spans="4:8" ht="20.100000000000001" customHeight="1" x14ac:dyDescent="0.25">
      <c r="D63" s="21"/>
    </row>
    <row r="64" spans="4:8" ht="20.100000000000001" customHeight="1" x14ac:dyDescent="0.25">
      <c r="D64" s="1"/>
      <c r="E64" s="79"/>
    </row>
    <row r="65" spans="4:9" ht="20.100000000000001" customHeight="1" x14ac:dyDescent="0.25">
      <c r="D65" s="1"/>
      <c r="E65" s="79"/>
    </row>
    <row r="66" spans="4:9" ht="20.100000000000001" customHeight="1" x14ac:dyDescent="0.25">
      <c r="D66" s="1"/>
      <c r="E66" s="80"/>
    </row>
    <row r="67" spans="4:9" ht="20.100000000000001" customHeight="1" x14ac:dyDescent="0.25"/>
    <row r="68" spans="4:9" ht="20.100000000000001" customHeight="1" x14ac:dyDescent="0.25"/>
    <row r="69" spans="4:9" ht="20.100000000000001" customHeight="1" x14ac:dyDescent="0.25">
      <c r="D69" s="57"/>
      <c r="E69" s="57"/>
      <c r="F69" s="57"/>
      <c r="G69" s="57"/>
      <c r="H69" s="57"/>
      <c r="I69" s="57"/>
    </row>
    <row r="70" spans="4:9" ht="20.100000000000001" customHeight="1" x14ac:dyDescent="0.25">
      <c r="D70" s="57"/>
      <c r="E70" s="57"/>
      <c r="F70" s="57"/>
      <c r="G70" s="57"/>
      <c r="H70" s="57"/>
      <c r="I70" s="57"/>
    </row>
    <row r="71" spans="4:9" ht="20.100000000000001" customHeight="1" x14ac:dyDescent="0.25">
      <c r="D71" s="57"/>
      <c r="E71" s="57"/>
      <c r="F71" s="57"/>
      <c r="G71" s="57"/>
      <c r="H71" s="57"/>
      <c r="I71" s="57"/>
    </row>
    <row r="72" spans="4:9" ht="20.100000000000001" customHeight="1" x14ac:dyDescent="0.25">
      <c r="D72" s="57"/>
      <c r="E72" s="57"/>
      <c r="F72" s="57"/>
      <c r="G72" s="57"/>
      <c r="H72" s="57"/>
      <c r="I72" s="57"/>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81"/>
    </row>
    <row r="79" spans="4:9" ht="20.100000000000001" customHeight="1" x14ac:dyDescent="0.25">
      <c r="D79" s="81"/>
    </row>
    <row r="80" spans="4:9" ht="20.100000000000001" customHeight="1" x14ac:dyDescent="0.25">
      <c r="D80" s="81"/>
    </row>
    <row r="81" spans="4:4" ht="20.100000000000001" customHeight="1" x14ac:dyDescent="0.25">
      <c r="D81" s="81"/>
    </row>
    <row r="82" spans="4:4" ht="20.100000000000001" customHeight="1" x14ac:dyDescent="0.25">
      <c r="D82" s="81"/>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phoneticPr fontId="23"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U356"/>
  <sheetViews>
    <sheetView showGridLines="0" topLeftCell="A10" zoomScale="85" zoomScaleNormal="85" workbookViewId="0">
      <selection activeCell="Q26" sqref="Q26"/>
    </sheetView>
  </sheetViews>
  <sheetFormatPr defaultRowHeight="15.75" x14ac:dyDescent="0.25"/>
  <cols>
    <col min="1" max="1" width="30.7109375" customWidth="1"/>
    <col min="2" max="2" width="4.7109375" customWidth="1"/>
    <col min="3" max="3" width="4.7109375" style="1" customWidth="1"/>
    <col min="4" max="4" width="52.140625" style="1" customWidth="1"/>
    <col min="5" max="5" width="30.7109375" style="1" customWidth="1"/>
    <col min="6" max="20" width="15.7109375" style="1" customWidth="1"/>
    <col min="21" max="21" width="4.7109375" style="1" customWidth="1"/>
    <col min="22" max="22" width="4.7109375" customWidth="1"/>
  </cols>
  <sheetData>
    <row r="1" spans="1:21" s="63" customFormat="1" ht="30" customHeight="1" x14ac:dyDescent="0.35">
      <c r="A1" s="63" t="e" vm="1">
        <v>#VALUE!</v>
      </c>
      <c r="C1" s="63" t="s">
        <v>206</v>
      </c>
    </row>
    <row r="2" spans="1:21" s="9" customFormat="1" ht="20.100000000000001" customHeight="1" x14ac:dyDescent="0.25"/>
    <row r="3" spans="1:21" ht="20.100000000000001" customHeight="1" x14ac:dyDescent="0.25">
      <c r="C3" s="15"/>
      <c r="D3" s="15"/>
      <c r="E3" s="15"/>
      <c r="F3" s="15"/>
      <c r="G3" s="15"/>
      <c r="H3" s="15"/>
      <c r="I3" s="15"/>
      <c r="J3" s="15"/>
      <c r="K3" s="15"/>
      <c r="L3" s="15"/>
      <c r="M3" s="15"/>
      <c r="N3" s="15"/>
      <c r="O3" s="15"/>
      <c r="P3" s="15"/>
      <c r="Q3" s="15"/>
      <c r="R3" s="15"/>
      <c r="S3" s="15"/>
      <c r="T3" s="15"/>
      <c r="U3" s="15"/>
    </row>
    <row r="4" spans="1:21" ht="20.100000000000001" customHeight="1" x14ac:dyDescent="0.25"/>
    <row r="5" spans="1:21" ht="20.100000000000001" customHeight="1" x14ac:dyDescent="0.25"/>
    <row r="6" spans="1:21" ht="20.100000000000001" customHeight="1" x14ac:dyDescent="0.25">
      <c r="D6" s="1" t="s">
        <v>100</v>
      </c>
      <c r="E6" s="39" t="s">
        <v>212</v>
      </c>
      <c r="F6" s="2" t="s">
        <v>9</v>
      </c>
    </row>
    <row r="7" spans="1:21" ht="20.100000000000001" customHeight="1" x14ac:dyDescent="0.25">
      <c r="D7" s="1" t="s">
        <v>253</v>
      </c>
      <c r="E7" s="39" t="s">
        <v>224</v>
      </c>
      <c r="F7" s="2" t="s">
        <v>9</v>
      </c>
    </row>
    <row r="8" spans="1:21" ht="20.100000000000001" customHeight="1" x14ac:dyDescent="0.25">
      <c r="D8" s="1" t="s">
        <v>99</v>
      </c>
      <c r="E8" s="39" t="s">
        <v>216</v>
      </c>
      <c r="F8" s="2" t="s">
        <v>9</v>
      </c>
    </row>
    <row r="9" spans="1:21" ht="20.100000000000001" customHeight="1" x14ac:dyDescent="0.25">
      <c r="D9" s="1" t="s">
        <v>279</v>
      </c>
      <c r="E9" s="146">
        <v>100</v>
      </c>
      <c r="F9" s="2" t="s">
        <v>267</v>
      </c>
    </row>
    <row r="10" spans="1:21" ht="20.100000000000001" customHeight="1" x14ac:dyDescent="0.25"/>
    <row r="11" spans="1:21" ht="20.100000000000001" customHeight="1" x14ac:dyDescent="0.25">
      <c r="D11" s="6" t="s">
        <v>231</v>
      </c>
      <c r="E11" s="3"/>
      <c r="F11" s="3"/>
      <c r="G11" s="3"/>
      <c r="H11" s="3"/>
      <c r="I11" s="3"/>
      <c r="J11" s="3"/>
      <c r="K11" s="3"/>
      <c r="L11" s="3"/>
      <c r="M11" s="3"/>
    </row>
    <row r="12" spans="1:21" ht="20.100000000000001" customHeight="1" x14ac:dyDescent="0.25">
      <c r="D12" s="22"/>
      <c r="E12" s="22"/>
      <c r="F12" s="22"/>
      <c r="G12" s="22"/>
      <c r="H12" s="22"/>
      <c r="I12" s="22"/>
      <c r="J12" s="22"/>
      <c r="K12" s="22"/>
      <c r="L12" s="22"/>
      <c r="M12" s="22"/>
    </row>
    <row r="13" spans="1:21" ht="20.100000000000001" customHeight="1" x14ac:dyDescent="0.25">
      <c r="D13" s="109" t="s">
        <v>232</v>
      </c>
      <c r="E13" s="86"/>
      <c r="F13" s="86"/>
      <c r="G13" s="86"/>
      <c r="H13" s="82"/>
      <c r="I13" s="123"/>
      <c r="J13" s="124"/>
      <c r="K13" s="125"/>
      <c r="L13" s="125"/>
      <c r="M13" s="125"/>
    </row>
    <row r="14" spans="1:21" ht="20.100000000000001" customHeight="1" x14ac:dyDescent="0.25">
      <c r="D14" s="88" t="s">
        <v>233</v>
      </c>
      <c r="E14" s="85"/>
      <c r="F14" s="85"/>
      <c r="G14" s="83"/>
      <c r="H14" s="148"/>
      <c r="I14" s="22"/>
      <c r="J14" s="22"/>
      <c r="K14" s="22"/>
      <c r="L14" s="22"/>
      <c r="M14" s="22"/>
    </row>
    <row r="15" spans="1:21" ht="20.100000000000001" customHeight="1" x14ac:dyDescent="0.25">
      <c r="D15" s="22"/>
      <c r="E15" s="22"/>
      <c r="F15" s="22"/>
      <c r="G15" s="22"/>
      <c r="H15" s="22"/>
      <c r="I15" s="22"/>
      <c r="J15" s="22"/>
      <c r="K15" s="22"/>
      <c r="L15" s="22"/>
      <c r="M15" s="22"/>
    </row>
    <row r="16" spans="1:21" ht="20.100000000000001" customHeight="1" x14ac:dyDescent="0.25">
      <c r="D16" s="46" t="s">
        <v>234</v>
      </c>
      <c r="E16" s="22"/>
      <c r="F16" s="22"/>
      <c r="G16" s="22"/>
      <c r="H16" s="22"/>
      <c r="I16" s="22"/>
      <c r="J16" s="22"/>
      <c r="K16" s="22"/>
      <c r="L16" s="22"/>
      <c r="M16" s="22"/>
    </row>
    <row r="17" spans="1:20" ht="36" customHeight="1" x14ac:dyDescent="0.25">
      <c r="D17" s="126" t="s">
        <v>235</v>
      </c>
      <c r="E17" s="127" t="s">
        <v>246</v>
      </c>
      <c r="F17" s="127" t="s">
        <v>236</v>
      </c>
      <c r="G17" s="127" t="s">
        <v>237</v>
      </c>
      <c r="H17" s="126" t="s">
        <v>188</v>
      </c>
      <c r="I17" s="126" t="s">
        <v>189</v>
      </c>
      <c r="J17" s="126" t="s">
        <v>191</v>
      </c>
      <c r="K17" s="126" t="s">
        <v>192</v>
      </c>
      <c r="L17" s="126" t="s">
        <v>194</v>
      </c>
      <c r="M17" s="126" t="s">
        <v>195</v>
      </c>
      <c r="N17" s="126" t="s">
        <v>197</v>
      </c>
      <c r="O17" s="126" t="s">
        <v>198</v>
      </c>
      <c r="P17" s="126" t="s">
        <v>200</v>
      </c>
      <c r="Q17" s="126" t="s">
        <v>201</v>
      </c>
      <c r="R17" s="126" t="s">
        <v>203</v>
      </c>
      <c r="S17" s="126" t="s">
        <v>204</v>
      </c>
      <c r="T17" s="126" t="s">
        <v>254</v>
      </c>
    </row>
    <row r="18" spans="1:20" ht="36" customHeight="1" x14ac:dyDescent="0.25">
      <c r="D18" s="132" t="s">
        <v>319</v>
      </c>
      <c r="E18" s="133">
        <v>200</v>
      </c>
      <c r="F18" s="133">
        <f>$E$9</f>
        <v>100</v>
      </c>
      <c r="G18" s="134">
        <f>Table_Input_InorganicFertiliser_Brands[[#This Row],[Amount applied (kg / ha)]]*Table_Input_InorganicFertiliser_Brands[[#This Row],[Application area (ha)]]</f>
        <v>20000</v>
      </c>
      <c r="H18" s="134" t="str" cm="1">
        <f t="array" ref="H18">Fertiliser_InputFunctions.Fertiliser_FertiliserProductLookup(Table_Input_InorganicFertiliser_Brands[[#This Row],[Product (select)]], Table_Input_InorganicFertiliser_Brands[[#Headers],[Ingredient 1]], FertiliserProducts[#Data], FertiliserProducts[Product], FertiliserProducts[#Headers])</f>
        <v>Nitrogen - Generic</v>
      </c>
      <c r="I18" s="134" cm="1">
        <f t="array" ref="I18">Fertiliser_InputFunctions.Fertiliser_FertiliserProductLookup(Table_Input_InorganicFertiliser_Brands[[#This Row],[Product (select)]], Table_Input_InorganicFertiliser_Brands[[#Headers],[Ingredient 1 percent]], FertiliserProducts[#Data], FertiliserProducts[Product], FertiliserProducts[#Headers])</f>
        <v>0.215</v>
      </c>
      <c r="J18" s="134" t="str" cm="1">
        <f t="array" ref="J18">Fertiliser_InputFunctions.Fertiliser_FertiliserProductLookup(Table_Input_InorganicFertiliser_Brands[[#This Row],[Product (select)]], Table_Input_InorganicFertiliser_Brands[[#Headers],[Ingredient 2]], FertiliserProducts[#Data], FertiliserProducts[Product], FertiliserProducts[#Headers])</f>
        <v>Nitrogen - Ammoniacal</v>
      </c>
      <c r="K18" s="134" cm="1">
        <f t="array" ref="K18">Fertiliser_InputFunctions.Fertiliser_FertiliserProductLookup(Table_Input_InorganicFertiliser_Brands[[#This Row],[Product (select)]], Table_Input_InorganicFertiliser_Brands[[#Headers],[Ingredient 2 percent]], FertiliserProducts[#Data], FertiliserProducts[Product], FertiliserProducts[#Headers])</f>
        <v>0.105</v>
      </c>
      <c r="L18" s="134" t="str" cm="1">
        <f t="array" ref="L18">Fertiliser_InputFunctions.Fertiliser_FertiliserProductLookup(Table_Input_InorganicFertiliser_Brands[[#This Row],[Product (select)]], Table_Input_InorganicFertiliser_Brands[[#Headers],[Ingredient 3]], FertiliserProducts[#Data], FertiliserProducts[Product], FertiliserProducts[#Headers])</f>
        <v>Nitrogen from Nitrate</v>
      </c>
      <c r="M18" s="134" cm="1">
        <f t="array" ref="M18">Fertiliser_InputFunctions.Fertiliser_FertiliserProductLookup(Table_Input_InorganicFertiliser_Brands[[#This Row],[Product (select)]], Table_Input_InorganicFertiliser_Brands[[#Headers],[Ingredient 3 percent]], FertiliserProducts[#Data], FertiliserProducts[Product], FertiliserProducts[#Headers])</f>
        <v>0.105</v>
      </c>
      <c r="N18" s="134" t="str" cm="1">
        <f t="array" ref="N18">Fertiliser_InputFunctions.Fertiliser_FertiliserProductLookup(Table_Input_InorganicFertiliser_Brands[[#This Row],[Product (select)]], Table_Input_InorganicFertiliser_Brands[[#Headers],[Ingredient 4]], FertiliserProducts[#Data], FertiliserProducts[Product], FertiliserProducts[#Headers])</f>
        <v>Biuret (impurity)</v>
      </c>
      <c r="O18" s="134" cm="1">
        <f t="array" ref="O18">Fertiliser_InputFunctions.Fertiliser_FertiliserProductLookup(Table_Input_InorganicFertiliser_Brands[[#This Row],[Product (select)]], Table_Input_InorganicFertiliser_Brands[[#Headers],[Ingredient 4 percent]], FertiliserProducts[#Data], FertiliserProducts[Product], FertiliserProducts[#Headers])</f>
        <v>0.01</v>
      </c>
      <c r="P18" s="134" t="str" cm="1">
        <f t="array" ref="P18">Fertiliser_InputFunctions.Fertiliser_FertiliserProductLookup(Table_Input_InorganicFertiliser_Brands[[#This Row],[Product (select)]], Table_Input_InorganicFertiliser_Brands[[#Headers],[Ingredient 5]], FertiliserProducts[#Data], FertiliserProducts[Product], FertiliserProducts[#Headers])</f>
        <v/>
      </c>
      <c r="Q18" s="134" t="str" cm="1">
        <f t="array" ref="Q18">Fertiliser_InputFunctions.Fertiliser_FertiliserProductLookup(Table_Input_InorganicFertiliser_Brands[[#This Row],[Product (select)]], Table_Input_InorganicFertiliser_Brands[[#Headers],[Ingredient 5 percent]], FertiliserProducts[#Data], FertiliserProducts[Product], FertiliserProducts[#Headers])</f>
        <v/>
      </c>
      <c r="R18" s="134" t="str" cm="1">
        <f t="array" ref="R18">Fertiliser_InputFunctions.Fertiliser_FertiliserProductLookup(Table_Input_InorganicFertiliser_Brands[[#This Row],[Product (select)]], Table_Input_InorganicFertiliser_Brands[[#Headers],[Ingredient 6]], FertiliserProducts[#Data], FertiliserProducts[Product], FertiliserProducts[#Headers])</f>
        <v/>
      </c>
      <c r="S18" s="134" t="str" cm="1">
        <f t="array" ref="S18">Fertiliser_InputFunctions.Fertiliser_FertiliserProductLookup(Table_Input_InorganicFertiliser_Brands[[#This Row],[Product (select)]], Table_Input_InorganicFertiliser_Brands[[#Headers],[Ingredient 6 percent]], FertiliserProducts[#Data], FertiliserProducts[Product], FertiliserProducts[#Headers])</f>
        <v/>
      </c>
      <c r="T18" s="134">
        <f>Table_Input_InorganicFertiliser_Brands[[#This Row],[Amount applied (kg / ha)]]*(IFERROR((_xlfn.XLOOKUP(Table_Input_InorganicFertiliser_Brands[[#This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64</v>
      </c>
    </row>
    <row r="19" spans="1:20" ht="20.100000000000001" customHeight="1" x14ac:dyDescent="0.25">
      <c r="D19" s="135"/>
      <c r="E19" s="136"/>
      <c r="F19" s="137"/>
      <c r="G19" s="137"/>
      <c r="H19" s="137"/>
      <c r="I19" s="137"/>
      <c r="J19" s="138"/>
      <c r="K19" s="138"/>
      <c r="L19" s="139"/>
      <c r="M19" s="139"/>
      <c r="N19" s="140"/>
      <c r="O19" s="140"/>
      <c r="P19" s="140"/>
      <c r="Q19" s="140"/>
      <c r="R19" s="140"/>
      <c r="S19" s="140"/>
      <c r="T19" s="140"/>
    </row>
    <row r="20" spans="1:20" ht="20.100000000000001" customHeight="1" x14ac:dyDescent="0.25">
      <c r="Q20" s="140"/>
      <c r="R20" s="140"/>
      <c r="S20" s="140"/>
      <c r="T20" s="140"/>
    </row>
    <row r="21" spans="1:20" ht="20.100000000000001" customHeight="1" x14ac:dyDescent="0.25">
      <c r="D21" s="141" t="s">
        <v>239</v>
      </c>
      <c r="E21" s="142"/>
      <c r="F21" s="142"/>
      <c r="G21" s="142"/>
      <c r="H21" s="142"/>
      <c r="I21" s="142"/>
      <c r="J21" s="142"/>
      <c r="K21" s="142"/>
      <c r="L21" s="142"/>
      <c r="M21" s="142"/>
      <c r="N21" s="140"/>
      <c r="O21" s="140"/>
      <c r="P21" s="140"/>
      <c r="Q21" s="140"/>
      <c r="R21" s="140"/>
      <c r="S21" s="140"/>
      <c r="T21" s="140"/>
    </row>
    <row r="22" spans="1:20" ht="36" customHeight="1" x14ac:dyDescent="0.25">
      <c r="D22" s="127" t="s">
        <v>240</v>
      </c>
      <c r="E22" s="127" t="s">
        <v>246</v>
      </c>
      <c r="F22" s="127" t="s">
        <v>236</v>
      </c>
      <c r="G22" s="127" t="s">
        <v>237</v>
      </c>
      <c r="H22" s="127" t="s">
        <v>241</v>
      </c>
      <c r="I22" s="127" t="s">
        <v>189</v>
      </c>
      <c r="J22" s="127" t="s">
        <v>191</v>
      </c>
      <c r="K22" s="127" t="s">
        <v>192</v>
      </c>
      <c r="L22" s="127" t="s">
        <v>194</v>
      </c>
      <c r="M22" s="127" t="s">
        <v>195</v>
      </c>
      <c r="N22" s="127" t="s">
        <v>197</v>
      </c>
      <c r="O22" s="127" t="s">
        <v>198</v>
      </c>
      <c r="P22" s="127" t="s">
        <v>254</v>
      </c>
      <c r="Q22" s="140"/>
      <c r="R22" s="140"/>
      <c r="S22" s="140"/>
      <c r="T22" s="140"/>
    </row>
    <row r="23" spans="1:20" ht="36" customHeight="1" x14ac:dyDescent="0.25">
      <c r="D23" s="33" t="s">
        <v>242</v>
      </c>
      <c r="E23" s="127">
        <v>200</v>
      </c>
      <c r="F23" s="133">
        <f>$E$9</f>
        <v>100</v>
      </c>
      <c r="G23" s="134">
        <f>Table_Input_InorganicFertiliser_Custom[[#This Row],[Amount applied (kg / ha)]]*Table_Input_InorganicFertiliser_Custom[[#This Row],[Application area (ha)]]</f>
        <v>20000</v>
      </c>
      <c r="H23" s="144" t="s">
        <v>318</v>
      </c>
      <c r="I23" s="147">
        <v>0.45</v>
      </c>
      <c r="J23" s="144" t="s">
        <v>243</v>
      </c>
      <c r="K23" s="147">
        <v>0.3</v>
      </c>
      <c r="L23" s="144" t="s">
        <v>244</v>
      </c>
      <c r="M23" s="147">
        <v>0.1</v>
      </c>
      <c r="N23" s="145" t="s">
        <v>245</v>
      </c>
      <c r="O23" s="134">
        <v>0.05</v>
      </c>
      <c r="P23" s="134">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90</v>
      </c>
    </row>
    <row r="24" spans="1:20" ht="20.100000000000001" customHeight="1" x14ac:dyDescent="0.25"/>
    <row r="25" spans="1:20" ht="20.100000000000001" customHeight="1" x14ac:dyDescent="0.25"/>
    <row r="26" spans="1:20" ht="20.100000000000001" customHeight="1" x14ac:dyDescent="0.25">
      <c r="D26" s="6" t="s">
        <v>280</v>
      </c>
      <c r="E26" s="3"/>
      <c r="F26" s="3"/>
      <c r="G26" s="3"/>
      <c r="H26" s="3"/>
      <c r="I26" s="3"/>
      <c r="J26" s="3"/>
      <c r="K26" s="22"/>
      <c r="L26" s="22"/>
      <c r="M26" s="22"/>
    </row>
    <row r="27" spans="1:20" ht="20.100000000000001" customHeight="1" x14ac:dyDescent="0.25">
      <c r="A27" s="17"/>
      <c r="D27" s="22"/>
      <c r="E27" s="22"/>
      <c r="F27" s="22"/>
      <c r="G27" s="22"/>
      <c r="H27" s="22"/>
      <c r="I27" s="22"/>
      <c r="J27" s="22"/>
      <c r="K27" s="22"/>
      <c r="L27" s="22"/>
      <c r="M27" s="3"/>
    </row>
    <row r="28" spans="1:20" ht="20.100000000000001" customHeight="1" x14ac:dyDescent="0.25">
      <c r="A28" s="17"/>
      <c r="D28" s="109" t="s">
        <v>281</v>
      </c>
      <c r="E28" s="86"/>
      <c r="F28" s="82"/>
      <c r="G28" s="109"/>
      <c r="H28" s="82"/>
      <c r="I28" s="3"/>
      <c r="J28" s="3"/>
      <c r="K28" s="22"/>
      <c r="L28" s="22"/>
      <c r="M28" s="22"/>
    </row>
    <row r="29" spans="1:20" ht="20.100000000000001" customHeight="1" x14ac:dyDescent="0.25">
      <c r="A29" s="17"/>
      <c r="D29" s="88" t="s">
        <v>282</v>
      </c>
      <c r="E29" s="85"/>
      <c r="F29" s="83"/>
      <c r="G29" s="88"/>
      <c r="H29" s="83"/>
      <c r="I29" s="22"/>
      <c r="J29" s="22"/>
      <c r="K29" s="22"/>
      <c r="L29" s="22"/>
      <c r="M29" s="3"/>
    </row>
    <row r="30" spans="1:20" ht="20.100000000000001" customHeight="1" x14ac:dyDescent="0.25">
      <c r="A30" s="17"/>
      <c r="D30" s="22"/>
      <c r="E30" s="22"/>
      <c r="F30" s="22"/>
      <c r="G30" s="22"/>
      <c r="H30" s="22"/>
      <c r="I30" s="22"/>
      <c r="J30" s="22"/>
      <c r="K30" s="22"/>
      <c r="L30" s="22"/>
      <c r="M30" s="3"/>
    </row>
    <row r="31" spans="1:20" ht="36" customHeight="1" x14ac:dyDescent="0.25">
      <c r="A31" s="62"/>
      <c r="D31" s="150" t="s">
        <v>187</v>
      </c>
      <c r="E31" s="150" t="s">
        <v>283</v>
      </c>
      <c r="F31" s="150" t="s">
        <v>236</v>
      </c>
      <c r="G31" s="150" t="s">
        <v>284</v>
      </c>
      <c r="H31" s="150" t="s">
        <v>285</v>
      </c>
      <c r="I31" s="150" t="s">
        <v>286</v>
      </c>
      <c r="J31" s="150" t="s">
        <v>287</v>
      </c>
      <c r="K31" s="150" t="s">
        <v>288</v>
      </c>
      <c r="L31" s="150" t="s">
        <v>289</v>
      </c>
    </row>
    <row r="32" spans="1:20" ht="36" customHeight="1" x14ac:dyDescent="0.25">
      <c r="A32" s="62"/>
      <c r="D32" s="151" t="s">
        <v>290</v>
      </c>
      <c r="E32" s="133">
        <v>10</v>
      </c>
      <c r="F32" s="133">
        <v>100</v>
      </c>
      <c r="G32" s="134">
        <f>IFERROR(Table_Input_Lime[[#This Row],[Amount applied (t/hectare)]]*Table_Input_Lime[[#This Row],[Application area (ha)]], 0)</f>
        <v>1000</v>
      </c>
      <c r="H32" s="152">
        <v>0.4</v>
      </c>
      <c r="I32" s="152">
        <v>0.3</v>
      </c>
      <c r="J32" s="152">
        <v>0.15</v>
      </c>
      <c r="K32" s="152">
        <v>0.1</v>
      </c>
      <c r="L32" s="152">
        <v>0.05</v>
      </c>
      <c r="M32" s="3"/>
    </row>
    <row r="33" spans="1:21" ht="20.100000000000001" customHeight="1" x14ac:dyDescent="0.25">
      <c r="A33" s="17"/>
      <c r="D33" s="22"/>
      <c r="E33" s="22"/>
      <c r="F33" s="22"/>
      <c r="G33" s="22"/>
      <c r="H33" s="22"/>
      <c r="I33" s="22"/>
      <c r="J33" s="22"/>
      <c r="L33" s="3"/>
      <c r="M33" s="3"/>
    </row>
    <row r="34" spans="1:21" ht="20.100000000000001" customHeight="1" x14ac:dyDescent="0.25">
      <c r="D34" s="22"/>
      <c r="E34" s="22"/>
      <c r="F34" s="22"/>
      <c r="G34" s="22"/>
      <c r="H34" s="22"/>
      <c r="I34" s="22"/>
      <c r="J34" s="149"/>
      <c r="K34" s="3"/>
      <c r="L34" s="3"/>
      <c r="M34" s="3"/>
    </row>
    <row r="35" spans="1:21" ht="20.100000000000001" customHeight="1" x14ac:dyDescent="0.25">
      <c r="D35" s="6" t="s">
        <v>291</v>
      </c>
      <c r="E35" s="3"/>
      <c r="F35" s="3"/>
      <c r="G35" s="3"/>
      <c r="H35" s="22"/>
      <c r="I35" s="22"/>
      <c r="J35" s="22"/>
      <c r="K35" s="22"/>
      <c r="L35" s="22"/>
      <c r="M35" s="3"/>
    </row>
    <row r="36" spans="1:21" ht="20.100000000000001" customHeight="1" x14ac:dyDescent="0.25">
      <c r="D36" s="22"/>
      <c r="E36" s="22"/>
      <c r="F36" s="22"/>
      <c r="G36" s="22"/>
      <c r="H36" s="22"/>
      <c r="I36" s="22"/>
      <c r="J36" s="22"/>
      <c r="K36" s="22"/>
      <c r="L36" s="22"/>
      <c r="M36" s="22"/>
    </row>
    <row r="37" spans="1:21" ht="20.100000000000001" customHeight="1" x14ac:dyDescent="0.25">
      <c r="D37" s="109" t="s">
        <v>281</v>
      </c>
      <c r="E37" s="86"/>
      <c r="F37" s="86"/>
      <c r="G37" s="86"/>
      <c r="H37" s="82"/>
      <c r="I37" s="22"/>
      <c r="J37" s="22"/>
      <c r="K37" s="22"/>
      <c r="L37" s="22"/>
      <c r="M37" s="22"/>
    </row>
    <row r="38" spans="1:21" ht="20.100000000000001" customHeight="1" x14ac:dyDescent="0.25">
      <c r="D38" s="88" t="s">
        <v>233</v>
      </c>
      <c r="E38" s="85"/>
      <c r="F38" s="85"/>
      <c r="G38" s="85"/>
      <c r="H38" s="83"/>
      <c r="I38" s="22"/>
      <c r="J38" s="22"/>
      <c r="K38" s="22"/>
      <c r="L38" s="22"/>
      <c r="M38" s="22"/>
    </row>
    <row r="39" spans="1:21" ht="20.100000000000001" customHeight="1" x14ac:dyDescent="0.25">
      <c r="A39" s="17"/>
      <c r="D39" s="22"/>
      <c r="E39" s="22"/>
      <c r="F39" s="22"/>
      <c r="G39" s="22"/>
      <c r="H39" s="22"/>
      <c r="I39" s="22"/>
      <c r="J39" s="22"/>
      <c r="K39" s="22"/>
      <c r="L39" s="22"/>
      <c r="M39" s="22"/>
    </row>
    <row r="40" spans="1:21" s="143" customFormat="1" ht="36" customHeight="1" x14ac:dyDescent="0.25">
      <c r="C40" s="140"/>
      <c r="D40" s="150" t="s">
        <v>292</v>
      </c>
      <c r="E40" s="150" t="s">
        <v>293</v>
      </c>
      <c r="F40" s="150" t="s">
        <v>294</v>
      </c>
      <c r="G40" s="150" t="s">
        <v>295</v>
      </c>
      <c r="H40" s="150" t="s">
        <v>296</v>
      </c>
      <c r="I40" s="150" t="s">
        <v>236</v>
      </c>
      <c r="J40" s="150" t="s">
        <v>297</v>
      </c>
      <c r="K40" s="150" t="s">
        <v>298</v>
      </c>
      <c r="L40" s="142"/>
      <c r="M40" s="142"/>
      <c r="N40" s="140"/>
      <c r="O40" s="140"/>
      <c r="P40" s="140"/>
      <c r="Q40" s="140"/>
      <c r="R40" s="140"/>
      <c r="S40" s="140"/>
      <c r="T40" s="140"/>
      <c r="U40" s="140"/>
    </row>
    <row r="41" spans="1:21" s="143" customFormat="1" ht="36" customHeight="1" x14ac:dyDescent="0.25">
      <c r="A41" s="153"/>
      <c r="C41" s="140"/>
      <c r="D41" s="132" t="s">
        <v>299</v>
      </c>
      <c r="E41" s="132" t="s">
        <v>238</v>
      </c>
      <c r="F41" s="152">
        <v>0.3</v>
      </c>
      <c r="G41" s="133">
        <v>10</v>
      </c>
      <c r="H41" s="134">
        <f>Table_Input_OrganicFertiliser[[#This Row],[Amount applied (kg/hectare)]]*Table_Input_OrganicFertiliser[[#This Row],[Percentage of N in fertiliser]]</f>
        <v>3</v>
      </c>
      <c r="I41" s="133">
        <v>100</v>
      </c>
      <c r="J41" s="134">
        <f>Table_Input_OrganicFertiliser[[#This Row],[Amount applied (kg/hectare)]]*Table_Input_OrganicFertiliser[[#This Row],[Application area (ha)]]</f>
        <v>1000</v>
      </c>
      <c r="K41" s="134">
        <f>IFERROR(Table_Input_OrganicFertiliser[[#This Row],[Amount N applied (kg/hectare)]]*Table_Input_OrganicFertiliser[[#This Row],[Application area (ha)]], 0)</f>
        <v>300</v>
      </c>
      <c r="L41" s="142"/>
      <c r="M41" s="142"/>
      <c r="N41" s="140"/>
      <c r="O41" s="140"/>
      <c r="P41" s="140"/>
      <c r="Q41" s="140"/>
      <c r="R41" s="140"/>
      <c r="S41" s="140"/>
      <c r="T41" s="140"/>
      <c r="U41" s="140"/>
    </row>
    <row r="42" spans="1:21" ht="20.100000000000001" customHeight="1" x14ac:dyDescent="0.25"/>
    <row r="43" spans="1:21" ht="20.100000000000001" customHeight="1" x14ac:dyDescent="0.25"/>
    <row r="44" spans="1:21" ht="20.100000000000001" customHeight="1" x14ac:dyDescent="0.25"/>
    <row r="45" spans="1:21" ht="20.100000000000001" customHeight="1" x14ac:dyDescent="0.25"/>
    <row r="46" spans="1:21" ht="20.100000000000001" customHeight="1" x14ac:dyDescent="0.25"/>
    <row r="47" spans="1:21" ht="20.100000000000001" customHeight="1" x14ac:dyDescent="0.25"/>
    <row r="48" spans="1:2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spans="13:13" ht="20.100000000000001" customHeight="1" x14ac:dyDescent="0.25"/>
    <row r="98" spans="13:13" ht="20.100000000000001" customHeight="1" x14ac:dyDescent="0.25"/>
    <row r="99" spans="13:13" ht="20.100000000000001" customHeight="1" x14ac:dyDescent="0.25"/>
    <row r="100" spans="13:13" ht="20.100000000000001" customHeight="1" x14ac:dyDescent="0.25"/>
    <row r="101" spans="13:13" ht="20.100000000000001" customHeight="1" x14ac:dyDescent="0.25"/>
    <row r="102" spans="13:13" ht="20.100000000000001" customHeight="1" x14ac:dyDescent="0.25"/>
    <row r="103" spans="13:13" ht="20.100000000000001" customHeight="1" x14ac:dyDescent="0.25"/>
    <row r="104" spans="13:13" ht="20.100000000000001" customHeight="1" x14ac:dyDescent="0.25"/>
    <row r="105" spans="13:13" ht="20.100000000000001" customHeight="1" x14ac:dyDescent="0.25"/>
    <row r="106" spans="13:13" ht="20.100000000000001" customHeight="1" x14ac:dyDescent="0.25"/>
    <row r="107" spans="13:13" ht="20.100000000000001" customHeight="1" x14ac:dyDescent="0.25"/>
    <row r="108" spans="13:13" ht="20.100000000000001" customHeight="1" x14ac:dyDescent="0.25">
      <c r="M108" s="3"/>
    </row>
    <row r="109" spans="13:13" ht="20.100000000000001" customHeight="1" x14ac:dyDescent="0.25">
      <c r="M109" s="3"/>
    </row>
    <row r="110" spans="13:13" ht="20.100000000000001" customHeight="1" x14ac:dyDescent="0.25">
      <c r="M110" s="3"/>
    </row>
    <row r="111" spans="13:13" ht="20.100000000000001" customHeight="1" x14ac:dyDescent="0.25">
      <c r="M111" s="3"/>
    </row>
    <row r="112" spans="13:13" ht="20.100000000000001" customHeight="1" x14ac:dyDescent="0.25">
      <c r="M112" s="3"/>
    </row>
    <row r="113" spans="13:13" ht="20.100000000000001" customHeight="1" x14ac:dyDescent="0.25">
      <c r="M113" s="3"/>
    </row>
    <row r="114" spans="13:13" ht="20.100000000000001" customHeight="1" x14ac:dyDescent="0.25">
      <c r="M114" s="3"/>
    </row>
    <row r="115" spans="13:13" ht="20.100000000000001" customHeight="1" x14ac:dyDescent="0.25">
      <c r="M115" s="3"/>
    </row>
    <row r="116" spans="13:13" ht="20.100000000000001" customHeight="1" x14ac:dyDescent="0.25">
      <c r="M116" s="3"/>
    </row>
    <row r="117" spans="13:13" ht="20.100000000000001" customHeight="1" x14ac:dyDescent="0.25">
      <c r="M117" s="3"/>
    </row>
    <row r="118" spans="13:13" ht="20.100000000000001" customHeight="1" x14ac:dyDescent="0.25">
      <c r="M118" s="3"/>
    </row>
    <row r="119" spans="13:13" ht="20.100000000000001" customHeight="1" x14ac:dyDescent="0.25">
      <c r="M119" s="3"/>
    </row>
    <row r="120" spans="13:13" ht="20.100000000000001" customHeight="1" x14ac:dyDescent="0.25">
      <c r="M120" s="3"/>
    </row>
    <row r="121" spans="13:13" ht="20.100000000000001" customHeight="1" x14ac:dyDescent="0.25">
      <c r="M121" s="3"/>
    </row>
    <row r="122" spans="13:13" ht="20.100000000000001" customHeight="1" x14ac:dyDescent="0.25">
      <c r="M122" s="3"/>
    </row>
    <row r="123" spans="13:13" ht="20.100000000000001" customHeight="1" x14ac:dyDescent="0.25">
      <c r="M123" s="3"/>
    </row>
    <row r="124" spans="13:13" ht="20.100000000000001" customHeight="1" x14ac:dyDescent="0.25">
      <c r="M124" s="3"/>
    </row>
    <row r="125" spans="13:13" ht="20.100000000000001" customHeight="1" x14ac:dyDescent="0.25">
      <c r="M125" s="3"/>
    </row>
    <row r="126" spans="13:13" ht="20.100000000000001" customHeight="1" x14ac:dyDescent="0.25">
      <c r="M126" s="3"/>
    </row>
    <row r="127" spans="13:13" ht="20.100000000000001" customHeight="1" x14ac:dyDescent="0.25">
      <c r="M127" s="3"/>
    </row>
    <row r="128" spans="13:13" ht="20.100000000000001" customHeight="1" x14ac:dyDescent="0.25">
      <c r="M128" s="3"/>
    </row>
    <row r="129" spans="13:13" ht="20.100000000000001" customHeight="1" x14ac:dyDescent="0.25">
      <c r="M129" s="3"/>
    </row>
    <row r="130" spans="13:13" ht="20.100000000000001" customHeight="1" x14ac:dyDescent="0.25"/>
    <row r="131" spans="13:13" ht="20.100000000000001" customHeight="1" x14ac:dyDescent="0.25"/>
    <row r="132" spans="13:13" ht="20.100000000000001" customHeight="1" x14ac:dyDescent="0.25"/>
    <row r="133" spans="13:13" ht="20.100000000000001" customHeight="1" x14ac:dyDescent="0.25"/>
    <row r="134" spans="13:13" ht="20.100000000000001" customHeight="1" x14ac:dyDescent="0.25"/>
    <row r="135" spans="13:13" ht="20.100000000000001" customHeight="1" x14ac:dyDescent="0.25"/>
    <row r="136" spans="13:13" ht="20.100000000000001" customHeight="1" x14ac:dyDescent="0.25"/>
    <row r="137" spans="13:13" ht="20.100000000000001" customHeight="1" x14ac:dyDescent="0.25"/>
    <row r="138" spans="13:13" ht="20.100000000000001" customHeight="1" x14ac:dyDescent="0.25"/>
    <row r="139" spans="13:13" ht="20.100000000000001" customHeight="1" x14ac:dyDescent="0.25"/>
    <row r="140" spans="13:13" ht="20.100000000000001" customHeight="1" x14ac:dyDescent="0.25"/>
    <row r="141" spans="13:13" ht="20.100000000000001" customHeight="1" x14ac:dyDescent="0.25"/>
    <row r="142" spans="13:13" ht="20.100000000000001" customHeight="1" x14ac:dyDescent="0.25"/>
    <row r="143" spans="13:13" ht="20.100000000000001" customHeight="1" x14ac:dyDescent="0.25"/>
    <row r="144" spans="13:13"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06" spans="12:12" x14ac:dyDescent="0.25">
      <c r="L206" s="2"/>
    </row>
    <row r="207" spans="12:12" x14ac:dyDescent="0.25">
      <c r="L207" s="2"/>
    </row>
    <row r="208" spans="12:12" x14ac:dyDescent="0.25">
      <c r="L208" s="2"/>
    </row>
    <row r="209" spans="12:12" x14ac:dyDescent="0.25">
      <c r="L209" s="2"/>
    </row>
    <row r="210" spans="12:12" x14ac:dyDescent="0.25">
      <c r="L210" s="2"/>
    </row>
    <row r="212" spans="12:12" x14ac:dyDescent="0.25">
      <c r="L212" s="2"/>
    </row>
    <row r="214" spans="12:12" x14ac:dyDescent="0.25">
      <c r="L214" s="2"/>
    </row>
    <row r="215" spans="12:12" x14ac:dyDescent="0.25">
      <c r="L215" s="2"/>
    </row>
    <row r="216" spans="12:12" x14ac:dyDescent="0.25">
      <c r="L216" s="2"/>
    </row>
    <row r="217" spans="12:12" x14ac:dyDescent="0.25">
      <c r="L217" s="2"/>
    </row>
    <row r="219" spans="12:12" x14ac:dyDescent="0.25">
      <c r="L219" s="2"/>
    </row>
    <row r="227" spans="12:12" x14ac:dyDescent="0.25">
      <c r="L227" s="2"/>
    </row>
    <row r="228" spans="12:12" x14ac:dyDescent="0.25">
      <c r="L228" s="2"/>
    </row>
    <row r="229" spans="12:12" x14ac:dyDescent="0.25">
      <c r="L229" s="2"/>
    </row>
    <row r="232" spans="12:12" x14ac:dyDescent="0.25">
      <c r="L232" s="2"/>
    </row>
    <row r="233" spans="12:12" x14ac:dyDescent="0.25">
      <c r="L233" s="2"/>
    </row>
    <row r="234" spans="12:12" x14ac:dyDescent="0.25">
      <c r="L234" s="2"/>
    </row>
    <row r="237" spans="12:12" x14ac:dyDescent="0.25">
      <c r="L237" s="2"/>
    </row>
    <row r="238" spans="12:12" x14ac:dyDescent="0.25">
      <c r="L238" s="2"/>
    </row>
    <row r="239" spans="12:12" x14ac:dyDescent="0.25">
      <c r="L239" s="2"/>
    </row>
    <row r="242" spans="11:12" x14ac:dyDescent="0.25">
      <c r="L242" s="2"/>
    </row>
    <row r="243" spans="11:12" x14ac:dyDescent="0.25">
      <c r="K243" s="2"/>
      <c r="L243" s="2"/>
    </row>
    <row r="244" spans="11:12" x14ac:dyDescent="0.25">
      <c r="L244" s="2"/>
    </row>
    <row r="248" spans="11:12" x14ac:dyDescent="0.25">
      <c r="K248" s="2"/>
    </row>
    <row r="251" spans="11:12" x14ac:dyDescent="0.25">
      <c r="L251" s="2"/>
    </row>
    <row r="252" spans="11:12" x14ac:dyDescent="0.25">
      <c r="L252" s="2"/>
    </row>
    <row r="253" spans="11:12" x14ac:dyDescent="0.25">
      <c r="K253" s="2"/>
      <c r="L253" s="2"/>
    </row>
    <row r="256" spans="11:12" x14ac:dyDescent="0.25">
      <c r="L256" s="2"/>
    </row>
    <row r="257" spans="11:12" x14ac:dyDescent="0.25">
      <c r="L257" s="2"/>
    </row>
    <row r="258" spans="11:12" x14ac:dyDescent="0.25">
      <c r="K258" s="2"/>
      <c r="L258" s="2"/>
    </row>
    <row r="259" spans="11:12" x14ac:dyDescent="0.25">
      <c r="K259" s="2"/>
    </row>
    <row r="260" spans="11:12" x14ac:dyDescent="0.25">
      <c r="K260" s="2"/>
    </row>
    <row r="261" spans="11:12" x14ac:dyDescent="0.25">
      <c r="K261" s="2"/>
      <c r="L261" s="2"/>
    </row>
    <row r="262" spans="11:12" x14ac:dyDescent="0.25">
      <c r="K262" s="2"/>
      <c r="L262" s="2"/>
    </row>
    <row r="263" spans="11:12" x14ac:dyDescent="0.25">
      <c r="L263" s="2"/>
    </row>
    <row r="264" spans="11:12" x14ac:dyDescent="0.25">
      <c r="K264" s="2"/>
    </row>
    <row r="266" spans="11:12" x14ac:dyDescent="0.25">
      <c r="K266" s="2"/>
      <c r="L266" s="2"/>
    </row>
    <row r="267" spans="11:12" x14ac:dyDescent="0.25">
      <c r="K267" s="2"/>
      <c r="L267" s="2"/>
    </row>
    <row r="268" spans="11:12" x14ac:dyDescent="0.25">
      <c r="K268" s="2"/>
      <c r="L268" s="2"/>
    </row>
    <row r="269" spans="11:12" x14ac:dyDescent="0.25">
      <c r="K269" s="2"/>
    </row>
    <row r="271" spans="11:12" x14ac:dyDescent="0.25">
      <c r="K271" s="2"/>
    </row>
    <row r="277" spans="11:11" x14ac:dyDescent="0.25">
      <c r="K277" s="2"/>
    </row>
    <row r="282" spans="11:11" x14ac:dyDescent="0.25">
      <c r="K282" s="2"/>
    </row>
    <row r="287" spans="11:11" x14ac:dyDescent="0.25">
      <c r="K287" s="2"/>
    </row>
    <row r="292" spans="11:11" x14ac:dyDescent="0.25">
      <c r="K292" s="2"/>
    </row>
    <row r="293" spans="11:11" x14ac:dyDescent="0.25">
      <c r="K293" s="2"/>
    </row>
    <row r="294" spans="11:11" x14ac:dyDescent="0.25">
      <c r="K294" s="2"/>
    </row>
    <row r="295" spans="11:11" x14ac:dyDescent="0.25">
      <c r="K295" s="2"/>
    </row>
    <row r="296" spans="11:11" x14ac:dyDescent="0.25">
      <c r="K296" s="2"/>
    </row>
    <row r="298" spans="11:11" x14ac:dyDescent="0.25">
      <c r="K298" s="2"/>
    </row>
    <row r="300" spans="11:11" x14ac:dyDescent="0.25">
      <c r="K300" s="2"/>
    </row>
    <row r="301" spans="11:11" x14ac:dyDescent="0.25">
      <c r="K301" s="2"/>
    </row>
    <row r="302" spans="11:11" x14ac:dyDescent="0.25">
      <c r="K302" s="2"/>
    </row>
    <row r="303" spans="11:11" x14ac:dyDescent="0.25">
      <c r="K303" s="2"/>
    </row>
    <row r="305" spans="11:11" x14ac:dyDescent="0.25">
      <c r="K305" s="2"/>
    </row>
    <row r="313" spans="11:11" x14ac:dyDescent="0.25">
      <c r="K313" s="2"/>
    </row>
    <row r="314" spans="11:11" x14ac:dyDescent="0.25">
      <c r="K314" s="2"/>
    </row>
    <row r="315" spans="11:11" x14ac:dyDescent="0.25">
      <c r="K315" s="2"/>
    </row>
    <row r="318" spans="11:11" x14ac:dyDescent="0.25">
      <c r="K318" s="2"/>
    </row>
    <row r="319" spans="11:11" x14ac:dyDescent="0.25">
      <c r="K319" s="2"/>
    </row>
    <row r="320" spans="11:11" x14ac:dyDescent="0.25">
      <c r="K320" s="2"/>
    </row>
    <row r="323" spans="11:11" x14ac:dyDescent="0.25">
      <c r="K323" s="2"/>
    </row>
    <row r="324" spans="11:11" x14ac:dyDescent="0.25">
      <c r="K324" s="2"/>
    </row>
    <row r="325" spans="11:11" x14ac:dyDescent="0.25">
      <c r="K325" s="2"/>
    </row>
    <row r="328" spans="11:11" x14ac:dyDescent="0.25">
      <c r="K328" s="2"/>
    </row>
    <row r="329" spans="11:11" x14ac:dyDescent="0.25">
      <c r="K329" s="2"/>
    </row>
    <row r="330" spans="11:11" x14ac:dyDescent="0.25">
      <c r="K330" s="2"/>
    </row>
    <row r="337" spans="11:11" x14ac:dyDescent="0.25">
      <c r="K337" s="2"/>
    </row>
    <row r="338" spans="11:11" x14ac:dyDescent="0.25">
      <c r="K338" s="2"/>
    </row>
    <row r="339" spans="11:11" x14ac:dyDescent="0.25">
      <c r="K339" s="2"/>
    </row>
    <row r="342" spans="11:11" x14ac:dyDescent="0.25">
      <c r="K342" s="2"/>
    </row>
    <row r="343" spans="11:11" x14ac:dyDescent="0.25">
      <c r="K343" s="2"/>
    </row>
    <row r="344" spans="11:11" x14ac:dyDescent="0.25">
      <c r="K344" s="2"/>
    </row>
    <row r="347" spans="11:11" x14ac:dyDescent="0.25">
      <c r="K347" s="2"/>
    </row>
    <row r="348" spans="11:11" x14ac:dyDescent="0.25">
      <c r="K348" s="2"/>
    </row>
    <row r="349" spans="11:11" x14ac:dyDescent="0.25">
      <c r="K349" s="2"/>
    </row>
    <row r="352" spans="11:11" x14ac:dyDescent="0.25">
      <c r="K352" s="2"/>
    </row>
    <row r="353" spans="4:11" x14ac:dyDescent="0.25">
      <c r="K353" s="2"/>
    </row>
    <row r="354" spans="4:11" x14ac:dyDescent="0.25">
      <c r="K354" s="2"/>
    </row>
    <row r="356" spans="4:11" x14ac:dyDescent="0.25">
      <c r="D356" s="100"/>
    </row>
  </sheetData>
  <conditionalFormatting sqref="E205:G205">
    <cfRule type="cellIs" dxfId="29" priority="79" operator="lessThan">
      <formula>0</formula>
    </cfRule>
  </conditionalFormatting>
  <conditionalFormatting sqref="F43">
    <cfRule type="cellIs" dxfId="28" priority="62" operator="lessThan">
      <formula>0</formula>
    </cfRule>
  </conditionalFormatting>
  <conditionalFormatting sqref="F121:F122">
    <cfRule type="cellIs" dxfId="27" priority="21" operator="lessThan">
      <formula>0</formula>
    </cfRule>
  </conditionalFormatting>
  <conditionalFormatting sqref="F133:F134">
    <cfRule type="cellIs" dxfId="26" priority="20" operator="lessThan">
      <formula>0</formula>
    </cfRule>
  </conditionalFormatting>
  <conditionalFormatting sqref="F145:F146">
    <cfRule type="cellIs" dxfId="25" priority="19" operator="lessThan">
      <formula>0</formula>
    </cfRule>
  </conditionalFormatting>
  <conditionalFormatting sqref="F157:F158">
    <cfRule type="cellIs" dxfId="24" priority="18" operator="lessThan">
      <formula>0</formula>
    </cfRule>
  </conditionalFormatting>
  <conditionalFormatting sqref="F245:F246">
    <cfRule type="cellIs" dxfId="23" priority="93" operator="lessThan">
      <formula>0</formula>
    </cfRule>
  </conditionalFormatting>
  <conditionalFormatting sqref="F250:F251">
    <cfRule type="cellIs" dxfId="22" priority="92" operator="lessThan">
      <formula>0</formula>
    </cfRule>
  </conditionalFormatting>
  <conditionalFormatting sqref="F255:F256">
    <cfRule type="cellIs" dxfId="21" priority="91" operator="lessThan">
      <formula>0</formula>
    </cfRule>
  </conditionalFormatting>
  <conditionalFormatting sqref="F279:F280">
    <cfRule type="cellIs" dxfId="20" priority="85" operator="lessThan">
      <formula>0</formula>
    </cfRule>
  </conditionalFormatting>
  <conditionalFormatting sqref="F284:F285">
    <cfRule type="cellIs" dxfId="19" priority="84" operator="lessThan">
      <formula>0</formula>
    </cfRule>
  </conditionalFormatting>
  <conditionalFormatting sqref="F289:F290">
    <cfRule type="cellIs" dxfId="18" priority="83" operator="lessThan">
      <formula>0</formula>
    </cfRule>
  </conditionalFormatting>
  <conditionalFormatting sqref="I30:I34">
    <cfRule type="cellIs" dxfId="17" priority="55" operator="lessThan">
      <formula>0</formula>
    </cfRule>
  </conditionalFormatting>
  <conditionalFormatting sqref="I38:I42 N43:O43 I60 M101 I119:J119 K180:L180 K184:L185 K188:L189 K194:L195 K198:L198 I199:L199 I205:L205">
    <cfRule type="cellIs" dxfId="16" priority="74" operator="lessThan">
      <formula>0</formula>
    </cfRule>
  </conditionalFormatting>
  <conditionalFormatting sqref="I45:I49">
    <cfRule type="cellIs" dxfId="15" priority="6" operator="lessThan">
      <formula>0</formula>
    </cfRule>
  </conditionalFormatting>
  <conditionalFormatting sqref="I52:I56">
    <cfRule type="cellIs" dxfId="14" priority="5" operator="lessThan">
      <formula>0</formula>
    </cfRule>
  </conditionalFormatting>
  <conditionalFormatting sqref="I71:I73">
    <cfRule type="cellIs" dxfId="13" priority="4" operator="lessThan">
      <formula>0</formula>
    </cfRule>
  </conditionalFormatting>
  <conditionalFormatting sqref="I77:I80">
    <cfRule type="cellIs" dxfId="12" priority="3" operator="lessThan">
      <formula>0</formula>
    </cfRule>
  </conditionalFormatting>
  <conditionalFormatting sqref="I84:I88">
    <cfRule type="cellIs" dxfId="11" priority="1" operator="lessThan">
      <formula>0</formula>
    </cfRule>
  </conditionalFormatting>
  <conditionalFormatting sqref="J147">
    <cfRule type="cellIs" dxfId="10" priority="24" operator="lessThan">
      <formula>0</formula>
    </cfRule>
  </conditionalFormatting>
  <conditionalFormatting sqref="L113:L116">
    <cfRule type="cellIs" dxfId="9" priority="11" operator="lessThan">
      <formula>0</formula>
    </cfRule>
  </conditionalFormatting>
  <conditionalFormatting sqref="L119">
    <cfRule type="cellIs" dxfId="8" priority="17" operator="lessThan">
      <formula>0</formula>
    </cfRule>
  </conditionalFormatting>
  <conditionalFormatting sqref="L125:L128">
    <cfRule type="cellIs" dxfId="7" priority="10" operator="lessThan">
      <formula>0</formula>
    </cfRule>
  </conditionalFormatting>
  <conditionalFormatting sqref="L131">
    <cfRule type="cellIs" dxfId="6" priority="16" operator="lessThan">
      <formula>0</formula>
    </cfRule>
  </conditionalFormatting>
  <conditionalFormatting sqref="L137:L140">
    <cfRule type="cellIs" dxfId="5" priority="9" operator="lessThan">
      <formula>0</formula>
    </cfRule>
  </conditionalFormatting>
  <conditionalFormatting sqref="L143">
    <cfRule type="cellIs" dxfId="4" priority="15" operator="lessThan">
      <formula>0</formula>
    </cfRule>
  </conditionalFormatting>
  <conditionalFormatting sqref="L149:L152">
    <cfRule type="cellIs" dxfId="3" priority="8" operator="lessThan">
      <formula>0</formula>
    </cfRule>
  </conditionalFormatting>
  <conditionalFormatting sqref="L155">
    <cfRule type="cellIs" dxfId="2" priority="14" operator="lessThan">
      <formula>0</formula>
    </cfRule>
  </conditionalFormatting>
  <conditionalFormatting sqref="L159:L160">
    <cfRule type="cellIs" dxfId="1" priority="12" operator="lessThan">
      <formula>0</formula>
    </cfRule>
  </conditionalFormatting>
  <conditionalFormatting sqref="L206:L210 L212 L214:L217 L219 J223:J225 J228:J230 J243:K243 J248:K248 J253:K253 J258:K262 J264:K264 J266:K269 J271:K271 J277:K277 J282:K282 J287:K287 J292:K296 J298:K298 J300:K303 J305:K305">
    <cfRule type="cellIs" dxfId="0" priority="102" operator="lessThan">
      <formula>0</formula>
    </cfRule>
  </conditionalFormatting>
  <dataValidations count="12">
    <dataValidation type="list" allowBlank="1" showInputMessage="1" showErrorMessage="1" sqref="D272" xr:uid="{4E913AB3-F90B-4C35-BCE1-5DBB8FC05107}">
      <formula1>INDIRECT("Table_SourceData_PoultryMMSStage1[MMS]")</formula1>
    </dataValidation>
    <dataValidation type="list" allowBlank="1" showInputMessage="1" showErrorMessage="1" sqref="E220" xr:uid="{9FB53635-991F-44AA-A123-E8ABEF9EE0A6}">
      <formula1>INDIRECT("Table_SourceData_Dairy_ProductionSystemTemplates[Area]")</formula1>
    </dataValidation>
    <dataValidation type="list" allowBlank="1" showInputMessage="1" showErrorMessage="1" sqref="E244 E249 E254 E288 E283 E278 E156 E144 E120 E132" xr:uid="{00A4EA4C-90D3-4150-979D-4D71C7F37A31}">
      <formula1>"Yes, No"</formula1>
    </dataValidation>
    <dataValidation type="list" allowBlank="1" showInputMessage="1" showErrorMessage="1" sqref="E60" xr:uid="{DBA884B0-B52E-420E-8FD2-21B082EB75E2}">
      <formula1>INDIRECT("Table_SourceData_Swine_IrrigationMethods[Irrigation method]")</formula1>
    </dataValidation>
    <dataValidation type="list" allowBlank="1" showInputMessage="1" showErrorMessage="1" sqref="E59" xr:uid="{B95E29DC-96D0-4475-A29E-3F3A3B60CEA1}">
      <formula1>INDIRECT("Table_SourceData_Swine_CropProdSystems[Production system]")</formula1>
    </dataValidation>
    <dataValidation type="list" allowBlank="1" showInputMessage="1" showErrorMessage="1" sqref="E6" xr:uid="{0A0AE702-92B7-4071-9891-43CC75783AE0}">
      <formula1>INDIRECT("Table_SourceData_Fertiliser_CropProdSystems[Production system]")</formula1>
    </dataValidation>
    <dataValidation type="list" allowBlank="1" showInputMessage="1" showErrorMessage="1" sqref="E8" xr:uid="{A588F812-6D90-402D-B63E-4EE68B0D0E18}">
      <formula1>INDIRECT("Table_SourceData_Fertiliser_IrrigationMethods[Irrigation method]")</formula1>
    </dataValidation>
    <dataValidation type="list" allowBlank="1" showInputMessage="1" showErrorMessage="1" sqref="D18" xr:uid="{B23B57EC-703F-4AE4-9B1D-0AF66025057C}">
      <formula1>INDIRECT("FertiliserProducts[Product]")</formula1>
    </dataValidation>
    <dataValidation type="list" allowBlank="1" showInputMessage="1" showErrorMessage="1" sqref="E7" xr:uid="{F72409F7-4F43-4214-A0C3-EC1C9D02F963}">
      <formula1>INDIRECT("Table_SourceData_Fertiliser_CropTypes[Production system]")</formula1>
    </dataValidation>
    <dataValidation type="list" allowBlank="1" showInputMessage="1" showErrorMessage="1" sqref="H23 J23 L23 N23" xr:uid="{4A7ED0FB-DC6D-4B9E-B043-37B0C0BD600A}">
      <formula1>INDIRECT("Table_Fertiliser_ChemicalCompounds[Fertiliser type f]")</formula1>
    </dataValidation>
    <dataValidation type="list" allowBlank="1" showInputMessage="1" showErrorMessage="1" sqref="E41" xr:uid="{6C7DB618-A123-47D3-93F6-141BDDFC202B}">
      <formula1>INDIRECT("Table_ManureSources_" &amp; SUBSTITUTE($D$44:$D$44, " ", "") &amp; "[Source]")</formula1>
    </dataValidation>
    <dataValidation type="list" allowBlank="1" showInputMessage="1" showErrorMessage="1" sqref="D41" xr:uid="{23F8C720-A764-46DD-9B01-B7EA3D86E5AB}">
      <formula1>INDIRECT("Table_SourceData_OrganicFertiliserTypes[Organic fertiliser type]")</formula1>
    </dataValidation>
  </dataValidations>
  <pageMargins left="0.7" right="0.7" top="0.75" bottom="0.75" header="0.3" footer="0.3"/>
  <pageSetup paperSize="9" orientation="portrait" r:id="rId1"/>
  <tableParts count="4">
    <tablePart r:id="rId2"/>
    <tablePart r:id="rId3"/>
    <tablePart r:id="rId4"/>
    <tablePart r:id="rId5"/>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X342"/>
  <sheetViews>
    <sheetView showGridLines="0" topLeftCell="A14" zoomScaleNormal="100" workbookViewId="0">
      <selection activeCell="E28" sqref="E28"/>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23" width="30.7109375" style="1" customWidth="1"/>
    <col min="24" max="24" width="4.7109375" style="1" customWidth="1"/>
  </cols>
  <sheetData>
    <row r="1" spans="1:24" s="8" customFormat="1" ht="30" customHeight="1" x14ac:dyDescent="0.35">
      <c r="A1" s="63" t="e" vm="1">
        <v>#VALUE!</v>
      </c>
      <c r="C1" s="8" t="s">
        <v>301</v>
      </c>
      <c r="K1"/>
    </row>
    <row r="2" spans="1:24" s="9" customFormat="1" ht="20.100000000000001" customHeight="1" x14ac:dyDescent="0.25">
      <c r="K2"/>
    </row>
    <row r="3" spans="1:24" ht="20.100000000000001" customHeight="1" x14ac:dyDescent="0.25">
      <c r="C3" s="4"/>
      <c r="D3" s="4" t="s">
        <v>93</v>
      </c>
      <c r="E3" s="4"/>
      <c r="F3" s="4"/>
      <c r="G3" s="4"/>
      <c r="H3" s="4"/>
      <c r="I3" s="4"/>
      <c r="J3" s="4"/>
      <c r="L3" s="4"/>
      <c r="M3" s="4" t="s">
        <v>94</v>
      </c>
      <c r="N3" s="4"/>
      <c r="O3" s="4"/>
      <c r="P3" s="4"/>
      <c r="Q3" s="4"/>
      <c r="R3" s="4"/>
      <c r="S3" s="4"/>
      <c r="T3" s="4"/>
      <c r="U3" s="4"/>
      <c r="V3" s="4"/>
      <c r="W3" s="4"/>
      <c r="X3" s="4"/>
    </row>
    <row r="4" spans="1:24" ht="20.100000000000001" customHeight="1" x14ac:dyDescent="0.25"/>
    <row r="5" spans="1:24" ht="20.100000000000001" customHeight="1" x14ac:dyDescent="0.25">
      <c r="D5" s="6" t="str" cm="1">
        <f t="array" ref="D5">Fertiliser_Equations_InorganicN2O.VEERG_5_1_1_1__2_MassOfNitrogenInInorganicFertiliser_Title()</f>
        <v>Mass of nitrogen in inorganic fertiliser applied to production system</v>
      </c>
      <c r="M5" s="6" t="str" cm="1">
        <f t="array" ref="M5">Fertiliser_Equations_InorganicN2O.VEERG_5_1_1_2__1_EmissionFactorIrrigatedMaize_Title()</f>
        <v>Emission factor for nitrous oxide for irrigated maize</v>
      </c>
    </row>
    <row r="6" spans="1:24" ht="20.100000000000001" customHeight="1" x14ac:dyDescent="0.25">
      <c r="D6" s="5" t="str" cm="1">
        <f t="array" ref="D6">Fertiliser_Equations_InorganicN2O.VEERG_5_1_1_1__2_MassOfNitrogenInInorganicFertiliser_Source()</f>
        <v>VEERG 2026: 5.1.1.1, Equation (2)</v>
      </c>
      <c r="M6" s="5" t="str" cm="1">
        <f t="array" ref="M6">Fertiliser_Equations_InorganicN2O.VEERG_5_1_1_2__1_EmissionFactorIrrigatedMaize_Source()</f>
        <v>VEERG 2026: 5.1.1.2, Equation (1)</v>
      </c>
    </row>
    <row r="7" spans="1:24" ht="20.100000000000001" customHeight="1" x14ac:dyDescent="0.25">
      <c r="D7" s="13" t="s">
        <v>23</v>
      </c>
      <c r="E7" s="13" t="str" cm="1">
        <f t="array" aca="1" ref="E7" ca="1">Common_InputFunctions.Utility_DisplayFunctionName(G21)</f>
        <v>=Fertiliser_Equations_InorganicN2O.VEERG_5_1_1_1__2_MassOfNitrogenInInorganicFertiliser</v>
      </c>
    </row>
    <row r="8" spans="1:24" ht="20.100000000000001" customHeight="1" x14ac:dyDescent="0.25"/>
    <row r="9" spans="1:24" ht="20.100000000000001" customHeight="1" x14ac:dyDescent="0.25">
      <c r="M9" s="51" t="s">
        <v>26</v>
      </c>
      <c r="N9" s="1" t="str" cm="1">
        <f t="array" ref="N9">Fertiliser_Equations_InorganicN2O.VEERG_5_1_1_2__1_EmissionFactorIrrigatedMaize_Variable()</f>
        <v>EF_fjIrrigatedMaizeN2O</v>
      </c>
    </row>
    <row r="10" spans="1:24" ht="20.100000000000001" customHeight="1" x14ac:dyDescent="0.25">
      <c r="D10" s="51" t="s">
        <v>26</v>
      </c>
      <c r="E10" s="1" t="str" cm="1">
        <f t="array" ref="E10">Fertiliser_Equations_InorganicN2O.VEERG_5_1_1_1__2_MassOfNitrogenInInorganicFertiliser_Variable()</f>
        <v>MN_jf</v>
      </c>
      <c r="M10" s="51" t="s">
        <v>16</v>
      </c>
      <c r="N10" s="52" t="str" cm="1">
        <f t="array" ref="N10">Fertiliser_Equations_InorganicN2O.VEERG_5_1_1_2__1_EmissionFactorIrrigatedMaize_Unit()</f>
        <v>kg N2O-N/kg N applied</v>
      </c>
    </row>
    <row r="11" spans="1:24" ht="20.100000000000001" customHeight="1" x14ac:dyDescent="0.25">
      <c r="D11" s="51" t="s">
        <v>16</v>
      </c>
      <c r="E11" s="52" t="str" cm="1">
        <f t="array" ref="E11">Fertiliser_Equations_InorganicN2O.VEERG_5_1_1_1__2_MassOfNitrogenInInorganicFertiliser_Unit()</f>
        <v>kg N</v>
      </c>
    </row>
    <row r="12" spans="1:24" ht="20.100000000000001" customHeight="1" x14ac:dyDescent="0.25">
      <c r="M12" s="54" t="str" cm="1">
        <f t="array" ref="M12:N13">_xlfn.CHOOSECOLS(Fertiliser_Equations_InorganicN2O.VEERG_5_1_1_2__1_EmissionFactorIrrigatedMaize_Arguments(), 1, 2)</f>
        <v>N_fjIrrigatedMaize</v>
      </c>
      <c r="N12" s="55" t="str">
        <v>application rate of inorganic fertiliser type f in the irrigated maize crop (kg N/ha)</v>
      </c>
      <c r="O12" s="94"/>
      <c r="P12" s="56"/>
      <c r="Q12" s="55" t="str">
        <f>"See " &amp; $M$41</f>
        <v>See M2_Table_FertApplications</v>
      </c>
      <c r="R12" s="131"/>
      <c r="S12" s="130" t="str" cm="1">
        <f t="array" ref="S12:S13">_xlfn.CHOOSECOLS(Fertiliser_Equations_InorganicN2O.VEERG_5_1_1_2__1_EmissionFactorIrrigatedMaize_Arguments(), 3)</f>
        <v>Input</v>
      </c>
    </row>
    <row r="13" spans="1:24" ht="20.100000000000001" customHeight="1" x14ac:dyDescent="0.25">
      <c r="D13" s="54" t="str" cm="1">
        <f t="array" ref="D13:E14">_xlfn.CHOOSECOLS(Fertiliser_Equations_InorganicN2O.VEERG_5_1_1_1__2_MassOfNitrogenInInorganicFertiliser_Arguments(), 1,2)</f>
        <v>TM_jf</v>
      </c>
      <c r="E13" s="54" t="str">
        <v>total mass of inorganic fertiliser type f applied to production system j (kg)</v>
      </c>
      <c r="F13" s="54"/>
      <c r="G13" s="54" t="str">
        <f>"See " &amp; $D$16</f>
        <v>See Table_MN_j_f</v>
      </c>
      <c r="H13" s="122" t="str" cm="1">
        <f t="array" ref="H13:H14">_xlfn.CHOOSECOLS(Fertiliser_Equations_InorganicN2O.VEERG_5_1_1_1__2_MassOfNitrogenInInorganicFertiliser_Arguments(), 3)</f>
        <v>Input</v>
      </c>
      <c r="M13" s="54" t="str">
        <v>f</v>
      </c>
      <c r="N13" s="55" t="str">
        <v>Inorganic fertiliser type</v>
      </c>
      <c r="O13" s="94"/>
      <c r="P13" s="56"/>
      <c r="Q13" s="55" t="s">
        <v>262</v>
      </c>
      <c r="R13" s="131"/>
      <c r="S13" s="129" t="str">
        <v>Constant</v>
      </c>
    </row>
    <row r="14" spans="1:24" ht="20.100000000000001" customHeight="1" x14ac:dyDescent="0.25">
      <c r="D14" s="54" t="str">
        <v>FN_inorganicf</v>
      </c>
      <c r="E14" s="55" t="str">
        <v>fraction of nitrogen in inorganic fertiliser type f (kg N/kg)</v>
      </c>
      <c r="F14" s="56"/>
      <c r="G14" s="54" t="str">
        <f>"See " &amp; $D$16</f>
        <v>See Table_MN_j_f</v>
      </c>
      <c r="H14" s="121" t="str">
        <v>Constant</v>
      </c>
    </row>
    <row r="15" spans="1:24" ht="20.100000000000001" customHeight="1" x14ac:dyDescent="0.25"/>
    <row r="16" spans="1:24" ht="20.100000000000001" customHeight="1" x14ac:dyDescent="0.25">
      <c r="D16" s="93" t="s">
        <v>230</v>
      </c>
      <c r="M16" s="6" t="str" cm="1">
        <f t="array" ref="M16">Fertiliser_Equations_InorganicN2O.VEERG_5_1_1_2__2_EmissionFactorNonIrrigatedGrainsHighRainfall_Title()</f>
        <v>Emission factor for nitrous oxide for non-irrigated grains in high rainfall zone</v>
      </c>
    </row>
    <row r="17" spans="4:19" ht="20.100000000000001" customHeight="1" x14ac:dyDescent="0.25">
      <c r="D17" s="92" t="s">
        <v>250</v>
      </c>
      <c r="M17" s="5" t="str" cm="1">
        <f t="array" ref="M17">Fertiliser_Equations_InorganicN2O.VEERG_5_1_1_2__2_EmissionFactorNonIrrigatedGrainsHighRainfall_Source()</f>
        <v>VEERG 2026: 5.1.1.2, Equation (2)</v>
      </c>
    </row>
    <row r="18" spans="4:19" ht="20.100000000000001" customHeight="1" x14ac:dyDescent="0.25">
      <c r="E18" s="130" t="s">
        <v>225</v>
      </c>
      <c r="F18" s="129" t="s">
        <v>249</v>
      </c>
      <c r="G18" s="129" t="s">
        <v>247</v>
      </c>
    </row>
    <row r="19" spans="4:19" ht="20.100000000000001" customHeight="1" x14ac:dyDescent="0.25">
      <c r="E19" s="128" t="s">
        <v>227</v>
      </c>
      <c r="F19" s="128" t="s">
        <v>105</v>
      </c>
      <c r="G19" s="128" t="str">
        <f>$E$11</f>
        <v>kg N</v>
      </c>
    </row>
    <row r="20" spans="4:19" ht="20.100000000000001" customHeight="1" x14ac:dyDescent="0.25">
      <c r="D20" s="49" t="s">
        <v>185</v>
      </c>
      <c r="E20" s="120" t="s">
        <v>229</v>
      </c>
      <c r="F20" s="49" t="s">
        <v>228</v>
      </c>
      <c r="G20" s="49" t="s">
        <v>248</v>
      </c>
      <c r="M20" s="51" t="s">
        <v>26</v>
      </c>
      <c r="N20" s="1" t="str" cm="1">
        <f t="array" ref="N20">Fertiliser_Equations_InorganicN2O.VEERG_5_1_1_2__2_EmissionFactorNonIrrigatedGrainsHighRainfall_Variable()</f>
        <v>EF_fjNonIrrigatedGrainsN2O</v>
      </c>
    </row>
    <row r="21" spans="4:19" ht="20.100000000000001" customHeight="1" x14ac:dyDescent="0.25">
      <c r="D21" s="50" t="str" cm="1">
        <f t="array" ref="D21:D38">Table_Fertiliser_ChemicalCompounds[Fertiliser type f]</f>
        <v>Monoammonium phosphate (MAP)</v>
      </c>
      <c r="E21" s="50" cm="1">
        <f t="array" ref="E21">Fertiliser_InputFunctions.Fertiliser_TotalChemicalCompoundAppliedAllIngredients($D21,Table_Input_InorganicFertiliser_Brands[Total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1" s="50" cm="1">
        <f t="array" ref="F21">Common_InputFunctions.Utility_LookupValueInTableNumber(D21,Table_Fertiliser_ChemicalCompounds[Fertiliser type f],Table_Fertiliser_ChemicalCompounds[FNinorganic f])</f>
        <v>0.1</v>
      </c>
      <c r="G21" s="50" cm="1">
        <f t="array" ref="G21">Fertiliser_Equations_InorganicN2O.VEERG_5_1_1_1__2_MassOfNitrogenInInorganicFertiliser(E21,F21)</f>
        <v>0</v>
      </c>
      <c r="M21" s="51" t="s">
        <v>16</v>
      </c>
      <c r="N21" s="52" t="str" cm="1">
        <f t="array" ref="N21">Fertiliser_Equations_InorganicN2O.VEERG_5_1_1_2__2_EmissionFactorNonIrrigatedGrainsHighRainfall_Unit()</f>
        <v>kg N2O-N/kg N applied</v>
      </c>
    </row>
    <row r="22" spans="4:19" ht="20.100000000000001" customHeight="1" x14ac:dyDescent="0.25">
      <c r="D22" s="50" t="str">
        <v>Diammonium phosphate (DAP)</v>
      </c>
      <c r="E22" s="50" cm="1">
        <f t="array" ref="E22">Fertiliser_InputFunctions.Fertiliser_TotalChemicalCompoundAppliedAllIngredients($D22,Table_Input_InorganicFertiliser_Brands[Total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50" cm="1">
        <f t="array" ref="F22">Common_InputFunctions.Utility_LookupValueInTableNumber(D22,Table_Fertiliser_ChemicalCompounds[Fertiliser type f],Table_Fertiliser_ChemicalCompounds[FNinorganic f])</f>
        <v>0.18</v>
      </c>
      <c r="G22" s="50" cm="1">
        <f t="array" ref="G22">Fertiliser_Equations_InorganicN2O.VEERG_5_1_1_1__2_MassOfNitrogenInInorganicFertiliser(E22,F22)</f>
        <v>0</v>
      </c>
    </row>
    <row r="23" spans="4:19" ht="20.100000000000001" customHeight="1" x14ac:dyDescent="0.25">
      <c r="D23" s="50" t="str">
        <v>Urea</v>
      </c>
      <c r="E23" s="50" cm="1">
        <f t="array" ref="E23">Fertiliser_InputFunctions.Fertiliser_TotalChemicalCompoundAppliedAllIngredients($D23,Table_Input_InorganicFertiliser_Brands[Total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50" cm="1">
        <f t="array" ref="F23">Common_InputFunctions.Utility_LookupValueInTableNumber(D23,Table_Fertiliser_ChemicalCompounds[Fertiliser type f],Table_Fertiliser_ChemicalCompounds[FNinorganic f])</f>
        <v>0.46</v>
      </c>
      <c r="G23" s="50" cm="1">
        <f t="array" ref="G23">Fertiliser_Equations_InorganicN2O.VEERG_5_1_1_1__2_MassOfNitrogenInInorganicFertiliser(E23,F23)</f>
        <v>0</v>
      </c>
      <c r="M23" s="54" t="str" cm="1">
        <f t="array" ref="M23:N24">_xlfn.CHOOSECOLS(Fertiliser_Equations_InorganicN2O.VEERG_5_1_1_2__2_EmissionFactorNonIrrigatedGrainsHighRainfall_Arguments(), 1, 2)</f>
        <v>N_fjNonIrrigatedGrains</v>
      </c>
      <c r="N23" s="55" t="str">
        <v>application rate of inorganic fertiliser type f in the grains crop (kg N/ha)</v>
      </c>
      <c r="O23" s="94"/>
      <c r="P23" s="56"/>
      <c r="Q23" s="55" t="str">
        <f>"See " &amp; $M$41</f>
        <v>See M2_Table_FertApplications</v>
      </c>
      <c r="R23" s="56"/>
      <c r="S23" s="130" t="str" cm="1">
        <f t="array" ref="S23:S24">_xlfn.CHOOSECOLS(Fertiliser_Equations_InorganicN2O.VEERG_5_1_1_2__2_EmissionFactorNonIrrigatedGrainsHighRainfall_Arguments(), 3)</f>
        <v>Input</v>
      </c>
    </row>
    <row r="24" spans="4:19" ht="20.100000000000001" customHeight="1" x14ac:dyDescent="0.25">
      <c r="D24" s="50" t="str">
        <v>Sulphate of ammonia (SOA)</v>
      </c>
      <c r="E24" s="50" cm="1">
        <f t="array" ref="E24">Fertiliser_InputFunctions.Fertiliser_TotalChemicalCompoundAppliedAllIngredients($D24,Table_Input_InorganicFertiliser_Brands[Total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50" cm="1">
        <f t="array" ref="F24">Common_InputFunctions.Utility_LookupValueInTableNumber(D24,Table_Fertiliser_ChemicalCompounds[Fertiliser type f],Table_Fertiliser_ChemicalCompounds[FNinorganic f])</f>
        <v>0.21</v>
      </c>
      <c r="G24" s="50" cm="1">
        <f t="array" ref="G24">Fertiliser_Equations_InorganicN2O.VEERG_5_1_1_1__2_MassOfNitrogenInInorganicFertiliser(E24,F24)</f>
        <v>0</v>
      </c>
      <c r="M24" s="54" t="str">
        <v>f</v>
      </c>
      <c r="N24" s="55" t="str">
        <v>Inorganic fertiliser type</v>
      </c>
      <c r="O24" s="94"/>
      <c r="P24" s="56"/>
      <c r="Q24" s="55" t="s">
        <v>262</v>
      </c>
      <c r="R24" s="56"/>
      <c r="S24" s="129" t="str">
        <v>Constant</v>
      </c>
    </row>
    <row r="25" spans="4:19" ht="20.100000000000001" customHeight="1" x14ac:dyDescent="0.25">
      <c r="D25" s="50" t="str">
        <v>Urea-ammonium nitrate (UAN)</v>
      </c>
      <c r="E25" s="50" cm="1">
        <f t="array" ref="E25">Fertiliser_InputFunctions.Fertiliser_TotalChemicalCompoundAppliedAllIngredients($D25,Table_Input_InorganicFertiliser_Brands[Total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50" cm="1">
        <f t="array" ref="F25">Common_InputFunctions.Utility_LookupValueInTableNumber(D25,Table_Fertiliser_ChemicalCompounds[Fertiliser type f],Table_Fertiliser_ChemicalCompounds[FNinorganic f])</f>
        <v>0.32</v>
      </c>
      <c r="G25" s="50" cm="1">
        <f t="array" ref="G25">Fertiliser_Equations_InorganicN2O.VEERG_5_1_1_1__2_MassOfNitrogenInInorganicFertiliser(E25,F25)</f>
        <v>0</v>
      </c>
    </row>
    <row r="26" spans="4:19" ht="20.100000000000001" customHeight="1" x14ac:dyDescent="0.25">
      <c r="D26" s="50" t="str">
        <v>Ammonium nitrate (AN)</v>
      </c>
      <c r="E26" s="50" cm="1">
        <f t="array" ref="E26">Fertiliser_InputFunctions.Fertiliser_TotalChemicalCompoundAppliedAllIngredients($D26,Table_Input_InorganicFertiliser_Brands[Total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6" s="50" cm="1">
        <f t="array" ref="F26">Common_InputFunctions.Utility_LookupValueInTableNumber(D26,Table_Fertiliser_ChemicalCompounds[Fertiliser type f],Table_Fertiliser_ChemicalCompounds[FNinorganic f])</f>
        <v>0.33700000000000002</v>
      </c>
      <c r="G26" s="50" cm="1">
        <f t="array" ref="G26">Fertiliser_Equations_InorganicN2O.VEERG_5_1_1_1__2_MassOfNitrogenInInorganicFertiliser(E26,F26)</f>
        <v>0</v>
      </c>
      <c r="I26" s="2"/>
    </row>
    <row r="27" spans="4:19" ht="20.100000000000001" customHeight="1" x14ac:dyDescent="0.25">
      <c r="D27" s="50" t="str">
        <v>Calcium ammonium nitrate (CAN)</v>
      </c>
      <c r="E27" s="50" cm="1">
        <f t="array" ref="E27">Fertiliser_InputFunctions.Fertiliser_TotalChemicalCompoundAppliedAllIngredients($D27,Table_Input_InorganicFertiliser_Brands[Total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7" s="50" cm="1">
        <f t="array" ref="F27">Common_InputFunctions.Utility_LookupValueInTableNumber(D27,Table_Fertiliser_ChemicalCompounds[Fertiliser type f],Table_Fertiliser_ChemicalCompounds[FNinorganic f])</f>
        <v>0.27</v>
      </c>
      <c r="G27" s="50" cm="1">
        <f t="array" ref="G27">Fertiliser_Equations_InorganicN2O.VEERG_5_1_1_1__2_MassOfNitrogenInInorganicFertiliser(E27,F27)</f>
        <v>0</v>
      </c>
      <c r="I27" s="2"/>
      <c r="M27" s="6" t="str" cm="1">
        <f t="array" ref="M27">Fertiliser_Equations_InorganicN2O.VEERG_5_1_1_2__3_EmissionFactorCotton_Title()</f>
        <v>Emission factor for nitrous oxide for cotton</v>
      </c>
    </row>
    <row r="28" spans="4:19" ht="20.100000000000001" customHeight="1" x14ac:dyDescent="0.25">
      <c r="D28" s="50" t="str">
        <v>Nitrogen - Ammoniacal</v>
      </c>
      <c r="E28" s="50" cm="1">
        <f t="array" ref="E28">Fertiliser_InputFunctions.Fertiliser_TotalChemicalCompoundAppliedAllIngredients($D28,Table_Input_InorganicFertiliser_Brands[Total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2100</v>
      </c>
      <c r="F28" s="50" cm="1">
        <f t="array" ref="F28">Common_InputFunctions.Utility_LookupValueInTableNumber(D28,Table_Fertiliser_ChemicalCompounds[Fertiliser type f],Table_Fertiliser_ChemicalCompounds[FNinorganic f])</f>
        <v>1</v>
      </c>
      <c r="G28" s="50" cm="1">
        <f t="array" ref="G28">Fertiliser_Equations_InorganicN2O.VEERG_5_1_1_1__2_MassOfNitrogenInInorganicFertiliser(E28,F28)</f>
        <v>2100</v>
      </c>
      <c r="I28" s="2"/>
      <c r="M28" s="5" t="str" cm="1">
        <f t="array" ref="M28">Fertiliser_Equations_InorganicN2O.VEERG_5_1_1_2__3_EmissionFactorCotton_Source()</f>
        <v>VEERG 2026: 5.1.1.2, Equation (3)</v>
      </c>
    </row>
    <row r="29" spans="4:19" ht="20.100000000000001" customHeight="1" x14ac:dyDescent="0.25">
      <c r="D29" s="50" t="str">
        <v>Nitrogen - Nitrate</v>
      </c>
      <c r="E29" s="50" cm="1">
        <f t="array" ref="E29">Fertiliser_InputFunctions.Fertiliser_TotalChemicalCompoundAppliedAllIngredients($D29,Table_Input_InorganicFertiliser_Brands[Total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9" s="50" cm="1">
        <f t="array" ref="F29">Common_InputFunctions.Utility_LookupValueInTableNumber(D29,Table_Fertiliser_ChemicalCompounds[Fertiliser type f],Table_Fertiliser_ChemicalCompounds[FNinorganic f])</f>
        <v>1</v>
      </c>
      <c r="G29" s="50" cm="1">
        <f t="array" ref="G29">Fertiliser_Equations_InorganicN2O.VEERG_5_1_1_1__2_MassOfNitrogenInInorganicFertiliser(E29,F29)</f>
        <v>0</v>
      </c>
      <c r="I29" s="2"/>
    </row>
    <row r="30" spans="4:19" ht="20.100000000000001" customHeight="1" x14ac:dyDescent="0.25">
      <c r="D30" s="50" t="str">
        <v>Nitrogen - Generic</v>
      </c>
      <c r="E30" s="50" cm="1">
        <f t="array" ref="E30">Fertiliser_InputFunctions.Fertiliser_TotalChemicalCompoundAppliedAllIngredients($D30,Table_Input_InorganicFertiliser_Brands[Total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13300</v>
      </c>
      <c r="F30" s="50" cm="1">
        <f t="array" ref="F30">Common_InputFunctions.Utility_LookupValueInTableNumber(D30,Table_Fertiliser_ChemicalCompounds[Fertiliser type f],Table_Fertiliser_ChemicalCompounds[FNinorganic f])</f>
        <v>1</v>
      </c>
      <c r="G30" s="50" cm="1">
        <f t="array" ref="G30">Fertiliser_Equations_InorganicN2O.VEERG_5_1_1_1__2_MassOfNitrogenInInorganicFertiliser(E30,F30)</f>
        <v>13300</v>
      </c>
      <c r="I30" s="2"/>
    </row>
    <row r="31" spans="4:19" ht="20.100000000000001" customHeight="1" x14ac:dyDescent="0.25">
      <c r="D31" s="50" t="str">
        <v>Phosphorus - Generic</v>
      </c>
      <c r="E31" s="50" cm="1">
        <f t="array" ref="E31">Fertiliser_InputFunctions.Fertiliser_TotalChemicalCompoundAppliedAllIngredients($D31,Table_Input_InorganicFertiliser_Brands[Total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6000</v>
      </c>
      <c r="F31" s="50" cm="1">
        <f t="array" ref="F31">Common_InputFunctions.Utility_LookupValueInTableNumber(D31,Table_Fertiliser_ChemicalCompounds[Fertiliser type f],Table_Fertiliser_ChemicalCompounds[FNinorganic f])</f>
        <v>0</v>
      </c>
      <c r="G31" s="50" cm="1">
        <f t="array" ref="G31">Fertiliser_Equations_InorganicN2O.VEERG_5_1_1_1__2_MassOfNitrogenInInorganicFertiliser(E31,F31)</f>
        <v>0</v>
      </c>
      <c r="I31" s="2"/>
    </row>
    <row r="32" spans="4:19" ht="20.100000000000001" customHeight="1" x14ac:dyDescent="0.25">
      <c r="D32" s="50" t="str">
        <v>Potassium - Generic</v>
      </c>
      <c r="E32" s="50" cm="1">
        <f t="array" ref="E32">Fertiliser_InputFunctions.Fertiliser_TotalChemicalCompoundAppliedAllIngredients($D32,Table_Input_InorganicFertiliser_Brands[Total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v>
      </c>
      <c r="F32" s="50" cm="1">
        <f t="array" ref="F32">Common_InputFunctions.Utility_LookupValueInTableNumber(D32,Table_Fertiliser_ChemicalCompounds[Fertiliser type f],Table_Fertiliser_ChemicalCompounds[FNinorganic f])</f>
        <v>0</v>
      </c>
      <c r="G32" s="50" cm="1">
        <f t="array" ref="G32">Fertiliser_Equations_InorganicN2O.VEERG_5_1_1_1__2_MassOfNitrogenInInorganicFertiliser(E32,F32)</f>
        <v>0</v>
      </c>
      <c r="I32" s="2"/>
      <c r="M32" s="51" t="s">
        <v>26</v>
      </c>
      <c r="N32" s="1" t="str" cm="1">
        <f t="array" ref="N32">Fertiliser_Equations_InorganicN2O.VEERG_5_1_1_2__3_EmissionFactorCotton_Variable()</f>
        <v>EF_fjCottonN2O</v>
      </c>
    </row>
    <row r="33" spans="3:23" ht="20.100000000000001" customHeight="1" x14ac:dyDescent="0.25">
      <c r="D33" s="50" t="str">
        <v>Sulfur - Generic</v>
      </c>
      <c r="E33" s="50" cm="1">
        <f t="array" ref="E33">Fertiliser_InputFunctions.Fertiliser_TotalChemicalCompoundAppliedAllIngredients($D33,Table_Input_InorganicFertiliser_Brands[Total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v>
      </c>
      <c r="F33" s="50" cm="1">
        <f t="array" ref="F33">Common_InputFunctions.Utility_LookupValueInTableNumber(D33,Table_Fertiliser_ChemicalCompounds[Fertiliser type f],Table_Fertiliser_ChemicalCompounds[FNinorganic f])</f>
        <v>0</v>
      </c>
      <c r="G33" s="50" cm="1">
        <f t="array" ref="G33">Fertiliser_Equations_InorganicN2O.VEERG_5_1_1_1__2_MassOfNitrogenInInorganicFertiliser(E33,F33)</f>
        <v>0</v>
      </c>
      <c r="I33" s="2"/>
      <c r="M33" s="51" t="s">
        <v>16</v>
      </c>
      <c r="N33" s="52" t="str" cm="1">
        <f t="array" ref="N33">Fertiliser_Equations_InorganicN2O.VEERG_5_1_1_2__3_EmissionFactorCotton_Unit()</f>
        <v>kg N2O-N/kg N applied</v>
      </c>
    </row>
    <row r="34" spans="3:23" ht="20.100000000000001" customHeight="1" x14ac:dyDescent="0.25">
      <c r="D34" s="50" t="str">
        <v>Zinc - Generic</v>
      </c>
      <c r="E34" s="50" cm="1">
        <f t="array" ref="E34">Fertiliser_InputFunctions.Fertiliser_TotalChemicalCompoundAppliedAllIngredients($D34,Table_Input_InorganicFertiliser_Brands[Total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50" cm="1">
        <f t="array" ref="F34">Common_InputFunctions.Utility_LookupValueInTableNumber(D34,Table_Fertiliser_ChemicalCompounds[Fertiliser type f],Table_Fertiliser_ChemicalCompounds[FNinorganic f])</f>
        <v>0</v>
      </c>
      <c r="G34" s="50" cm="1">
        <f t="array" ref="G34">Fertiliser_Equations_InorganicN2O.VEERG_5_1_1_1__2_MassOfNitrogenInInorganicFertiliser(E34,F34)</f>
        <v>0</v>
      </c>
      <c r="I34" s="2"/>
    </row>
    <row r="35" spans="3:23" ht="20.100000000000001" customHeight="1" x14ac:dyDescent="0.25">
      <c r="D35" s="50" t="str">
        <v>Muriate of potash (MOP)</v>
      </c>
      <c r="E35" s="50" cm="1">
        <f t="array" ref="E35">Fertiliser_InputFunctions.Fertiliser_TotalChemicalCompoundAppliedAllIngredients($D35,Table_Input_InorganicFertiliser_Brands[Total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50" cm="1">
        <f t="array" ref="F35">Common_InputFunctions.Utility_LookupValueInTableNumber(D35,Table_Fertiliser_ChemicalCompounds[Fertiliser type f],Table_Fertiliser_ChemicalCompounds[FNinorganic f])</f>
        <v>0</v>
      </c>
      <c r="G35" s="50" cm="1">
        <f t="array" ref="G35">Fertiliser_Equations_InorganicN2O.VEERG_5_1_1_1__2_MassOfNitrogenInInorganicFertiliser(E35,F35)</f>
        <v>0</v>
      </c>
      <c r="I35" s="2"/>
      <c r="M35" s="54" t="str" cm="1">
        <f t="array" ref="M35:N36">_xlfn.CHOOSECOLS(Fertiliser_Equations_InorganicN2O.VEERG_5_1_1_2__3_EmissionFactorCotton_Arguments(), 1, 2)</f>
        <v>N_fjCotton</v>
      </c>
      <c r="N35" s="55" t="str">
        <v>application rate of inorganic fertiliser type f in the cotton crop (kg N/ha)</v>
      </c>
      <c r="O35" s="94"/>
      <c r="P35" s="56"/>
      <c r="Q35" s="55" t="str">
        <f>"See " &amp; $M$41</f>
        <v>See M2_Table_FertApplications</v>
      </c>
      <c r="R35" s="56"/>
      <c r="S35" s="130" t="str" cm="1">
        <f t="array" ref="S35:S36">_xlfn.CHOOSECOLS(Fertiliser_Equations_InorganicN2O.VEERG_5_1_1_2__3_EmissionFactorCotton_Arguments(), 3)</f>
        <v>Input</v>
      </c>
    </row>
    <row r="36" spans="3:23" ht="20.100000000000001" customHeight="1" x14ac:dyDescent="0.25">
      <c r="D36" s="50" t="str">
        <v>Double superphosphate</v>
      </c>
      <c r="E36" s="50" cm="1">
        <f t="array" ref="E36">Fertiliser_InputFunctions.Fertiliser_TotalChemicalCompoundAppliedAllIngredients($D36,Table_Input_InorganicFertiliser_Brands[Total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6" s="50" cm="1">
        <f t="array" ref="F36">Common_InputFunctions.Utility_LookupValueInTableNumber(D36,Table_Fertiliser_ChemicalCompounds[Fertiliser type f],Table_Fertiliser_ChemicalCompounds[FNinorganic f])</f>
        <v>0</v>
      </c>
      <c r="G36" s="50" cm="1">
        <f t="array" ref="G36">Fertiliser_Equations_InorganicN2O.VEERG_5_1_1_1__2_MassOfNitrogenInInorganicFertiliser(E36,F36)</f>
        <v>0</v>
      </c>
      <c r="I36" s="2"/>
      <c r="M36" s="54" t="str">
        <v>f</v>
      </c>
      <c r="N36" s="55" t="str">
        <v>Inorganic fertiliser type</v>
      </c>
      <c r="O36" s="94"/>
      <c r="P36" s="56"/>
      <c r="Q36" s="55" t="s">
        <v>262</v>
      </c>
      <c r="R36" s="56"/>
      <c r="S36" s="129" t="str">
        <v>Constant</v>
      </c>
    </row>
    <row r="37" spans="3:23" ht="20.100000000000001" customHeight="1" x14ac:dyDescent="0.25">
      <c r="D37" s="50" t="str">
        <v>Single superphosphate (SSP)</v>
      </c>
      <c r="E37" s="50" cm="1">
        <f t="array" ref="E37">Fertiliser_InputFunctions.Fertiliser_TotalChemicalCompoundAppliedAllIngredients($D37,Table_Input_InorganicFertiliser_Brands[Total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7" s="50" cm="1">
        <f t="array" ref="F37">Common_InputFunctions.Utility_LookupValueInTableNumber(D37,Table_Fertiliser_ChemicalCompounds[Fertiliser type f],Table_Fertiliser_ChemicalCompounds[FNinorganic f])</f>
        <v>0</v>
      </c>
      <c r="G37" s="50" cm="1">
        <f t="array" ref="G37">Fertiliser_Equations_InorganicN2O.VEERG_5_1_1_1__2_MassOfNitrogenInInorganicFertiliser(E37,F37)</f>
        <v>0</v>
      </c>
      <c r="I37" s="2"/>
    </row>
    <row r="38" spans="3:23" ht="20.100000000000001" customHeight="1" x14ac:dyDescent="0.25">
      <c r="D38" s="50" t="str">
        <v>Ammonia</v>
      </c>
      <c r="E38" s="50" cm="1">
        <f t="array" ref="E38">Fertiliser_InputFunctions.Fertiliser_TotalChemicalCompoundAppliedAllIngredients($D38,Table_Input_InorganicFertiliser_Brands[Total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8" s="50" cm="1">
        <f t="array" ref="F38">Common_InputFunctions.Utility_LookupValueInTableNumber(D38,Table_Fertiliser_ChemicalCompounds[Fertiliser type f],Table_Fertiliser_ChemicalCompounds[FNinorganic f])</f>
        <v>0.82</v>
      </c>
      <c r="G38" s="50" cm="1">
        <f t="array" ref="G38">Fertiliser_Equations_InorganicN2O.VEERG_5_1_1_1__2_MassOfNitrogenInInorganicFertiliser(E38,F38)</f>
        <v>0</v>
      </c>
      <c r="I38" s="2"/>
      <c r="N38" s="100"/>
      <c r="O38" s="100"/>
      <c r="P38" s="100"/>
    </row>
    <row r="39" spans="3:23" ht="20.100000000000001" customHeight="1" x14ac:dyDescent="0.25">
      <c r="I39" s="2"/>
      <c r="M39" s="100" t="s">
        <v>272</v>
      </c>
    </row>
    <row r="40" spans="3:23" ht="20.100000000000001" customHeight="1" x14ac:dyDescent="0.25">
      <c r="I40" s="2"/>
    </row>
    <row r="41" spans="3:23" ht="20.100000000000001" customHeight="1" x14ac:dyDescent="0.25">
      <c r="C41" s="44"/>
      <c r="D41" s="44"/>
      <c r="E41" s="44"/>
      <c r="F41" s="44"/>
      <c r="G41" s="44"/>
      <c r="H41" s="44"/>
      <c r="I41" s="44"/>
      <c r="J41" s="44"/>
      <c r="M41" s="93" t="s">
        <v>263</v>
      </c>
    </row>
    <row r="42" spans="3:23" ht="20.100000000000001" customHeight="1" x14ac:dyDescent="0.25">
      <c r="D42" s="6" t="str" cm="1">
        <f t="array" ref="D42">Fertiliser_Equations_InorganicN2O.VEERG_5_1_1_1__1_InorganicFertiliserApplicationN2OEmissions_Title()</f>
        <v>Nitrous oxide emissions from the application of all inorganic fertiliser types f to all production systems j</v>
      </c>
      <c r="M42" s="92" t="s">
        <v>261</v>
      </c>
      <c r="T42" s="101" t="s">
        <v>300</v>
      </c>
    </row>
    <row r="43" spans="3:23" ht="20.100000000000001" customHeight="1" x14ac:dyDescent="0.25">
      <c r="D43" s="5" t="str" cm="1">
        <f t="array" ref="D43">Fertiliser_Equations_InorganicN2O.VEERG_5_1_1_1__1_InorganicFertiliserApplicationN2OEmissions_Source()</f>
        <v>VEERG 2026: 5.1.1.1, Equation (1)</v>
      </c>
      <c r="N43" s="130" t="s">
        <v>225</v>
      </c>
      <c r="O43" s="130" t="s">
        <v>225</v>
      </c>
      <c r="P43" s="130" t="s">
        <v>225</v>
      </c>
      <c r="Q43" s="129" t="s">
        <v>247</v>
      </c>
      <c r="R43" s="129" t="s">
        <v>247</v>
      </c>
      <c r="S43" s="129" t="s">
        <v>247</v>
      </c>
      <c r="T43" s="129" t="s">
        <v>247</v>
      </c>
      <c r="U43" s="129" t="s">
        <v>247</v>
      </c>
      <c r="V43" s="129" t="s">
        <v>247</v>
      </c>
      <c r="W43" s="129" t="s">
        <v>226</v>
      </c>
    </row>
    <row r="44" spans="3:23" ht="20.100000000000001" customHeight="1" x14ac:dyDescent="0.25">
      <c r="D44" s="13" t="s">
        <v>23</v>
      </c>
      <c r="E44" s="13" t="str" cm="1">
        <f t="array" aca="1" ref="E44" ca="1">Common_InputFunctions.Utility_DisplayFunctionName($E$64)</f>
        <v>=Fertiliser_Equations_InorganicN2O.VEERG_5_1_1_1__1_InorganicFertiliserApplicationN2OEmissions</v>
      </c>
      <c r="F44" s="2"/>
      <c r="O44" s="128" t="s">
        <v>268</v>
      </c>
      <c r="P44" s="128" t="s">
        <v>267</v>
      </c>
      <c r="Q44" s="128" t="s">
        <v>227</v>
      </c>
      <c r="R44" s="128" t="str">
        <f>$N$10</f>
        <v>kg N2O-N/kg N applied</v>
      </c>
      <c r="S44" s="128" t="str">
        <f>$N$21</f>
        <v>kg N2O-N/kg N applied</v>
      </c>
      <c r="T44" s="128" t="s">
        <v>268</v>
      </c>
      <c r="U44" s="128" t="s">
        <v>227</v>
      </c>
      <c r="V44" s="128" t="str">
        <f>$N$33</f>
        <v>kg N2O-N/kg N applied</v>
      </c>
      <c r="W44" s="128" t="s">
        <v>269</v>
      </c>
    </row>
    <row r="45" spans="3:23" ht="20.100000000000001" customHeight="1" x14ac:dyDescent="0.25">
      <c r="F45" s="2"/>
      <c r="M45" s="49" t="s">
        <v>260</v>
      </c>
      <c r="N45" s="49" t="s">
        <v>260</v>
      </c>
      <c r="O45" s="49" t="s">
        <v>255</v>
      </c>
      <c r="P45" s="49" t="s">
        <v>256</v>
      </c>
      <c r="Q45" s="49" t="s">
        <v>257</v>
      </c>
      <c r="R45" s="49" t="s">
        <v>274</v>
      </c>
      <c r="S45" s="49" t="s">
        <v>275</v>
      </c>
      <c r="T45" s="49" t="s">
        <v>271</v>
      </c>
      <c r="U45" s="49" t="s">
        <v>266</v>
      </c>
      <c r="V45" s="49" t="s">
        <v>276</v>
      </c>
      <c r="W45" s="49" t="s">
        <v>270</v>
      </c>
    </row>
    <row r="46" spans="3:23" ht="20.100000000000001" customHeight="1" x14ac:dyDescent="0.25">
      <c r="F46" s="2"/>
      <c r="M46" s="50" t="s">
        <v>265</v>
      </c>
      <c r="N46" s="50" t="str" cm="1">
        <f t="array" ref="N46">Table_Input_InorganicFertiliser_Brands[Product (select)]</f>
        <v>Big Phos</v>
      </c>
      <c r="O46" s="50" cm="1">
        <f t="array" ref="O46">Table_Input_InorganicFertiliser_Brands[N application rate (kg/ha)]</f>
        <v>64</v>
      </c>
      <c r="P46" s="50" cm="1">
        <f t="array" ref="P46">Table_Input_InorganicFertiliser_Brands[Application area (ha)]</f>
        <v>100</v>
      </c>
      <c r="Q46" s="50">
        <f>O46*P46</f>
        <v>6400</v>
      </c>
      <c r="R46" s="50" cm="1">
        <f t="array" ref="R46">IF(O46&gt;0, Fertiliser_Equations_InorganicN2O.VEERG_5_1_1_2__1_EmissionFactorIrrigatedMaize(O46), 0)</f>
        <v>2.4300000000000003E-3</v>
      </c>
      <c r="S46" s="50" cm="1">
        <f t="array" ref="S46">IF(O46&gt;0, Fertiliser_Equations_InorganicN2O.VEERG_5_1_1_2__2_EmissionFactorNonIrrigatedGrainsHighRainfall(O46), 0)</f>
        <v>5.5810000000000009E-3</v>
      </c>
      <c r="T46" s="50">
        <f>IF(O46&gt;0, MIN(300, O46), 0)</f>
        <v>64</v>
      </c>
      <c r="U46" s="50">
        <f>P46*T46</f>
        <v>6400</v>
      </c>
      <c r="V46" s="50" cm="1">
        <f t="array" ref="V46">IF(O46&gt;0, Fertiliser_Equations_InorganicN2O.VEERG_5_1_1_2__3_EmissionFactorCotton(T46), 0)</f>
        <v>2.910583145650078E-5</v>
      </c>
      <c r="W46" s="50">
        <f>IF(O46&gt;0,Common_InputFunctions.Utility_LookupN2OEFFromProdIrrigationRainfall($Q$71,$Q$74,$Q$75,Table_SourceData_Common_EFN2O[Production system only],Table_SourceData_Common_EFN2O[Irrigation method],Table_SourceData_Common_EFN2O[Rainfall zone],Table_SourceData_Common_EFN2O[EFN2O]), 0)</f>
        <v>8.0000000000000002E-3</v>
      </c>
    </row>
    <row r="47" spans="3:23" ht="20.100000000000001" customHeight="1" x14ac:dyDescent="0.25">
      <c r="F47" s="2"/>
      <c r="M47" s="50" t="s">
        <v>265</v>
      </c>
      <c r="N47" s="50"/>
      <c r="O47" s="50"/>
      <c r="P47" s="50"/>
      <c r="Q47" s="50">
        <f>O47*P47</f>
        <v>0</v>
      </c>
      <c r="R47" s="50" cm="1">
        <f t="array" ref="R47">IF(O47&gt;0, Fertiliser_Equations_InorganicN2O.VEERG_5_1_1_2__1_EmissionFactorIrrigatedMaize(O47), 0)</f>
        <v>0</v>
      </c>
      <c r="S47" s="50" cm="1">
        <f t="array" ref="S47">IF(O47&gt;0, Fertiliser_Equations_InorganicN2O.VEERG_5_1_1_2__2_EmissionFactorNonIrrigatedGrainsHighRainfall(O47), 0)</f>
        <v>0</v>
      </c>
      <c r="T47" s="50">
        <f t="shared" ref="T47:T55" si="0">IF(O47&gt;0, MIN(300, O47), 0)</f>
        <v>0</v>
      </c>
      <c r="U47" s="50">
        <f t="shared" ref="U47:U55" si="1">P47*T47</f>
        <v>0</v>
      </c>
      <c r="V47" s="50" cm="1">
        <f t="array" ref="V47">IF(O47&gt;0, Fertiliser_Equations_InorganicN2O.VEERG_5_1_1_2__3_EmissionFactorCotton(T47), 0)</f>
        <v>0</v>
      </c>
      <c r="W47" s="50">
        <f>IF(O47&gt;0,Common_InputFunctions.Utility_LookupN2OEFFromProdIrrigationRainfall($Q$71,$Q$74,$Q$75,Table_SourceData_Common_EFN2O[Production system only],Table_SourceData_Common_EFN2O[Irrigation method],Table_SourceData_Common_EFN2O[Rainfall zone],Table_SourceData_Common_EFN2O[EFN2O]), 0)</f>
        <v>0</v>
      </c>
    </row>
    <row r="48" spans="3:23" ht="20.100000000000001" customHeight="1" x14ac:dyDescent="0.25">
      <c r="D48" s="51" t="s">
        <v>26</v>
      </c>
      <c r="E48" s="1" t="str" cm="1">
        <f t="array" ref="E48">Fertiliser_Equations_InorganicN2O.VEERG_5_1_1_1__1_InorganicFertiliserApplicationN2OEmissions_Variable()</f>
        <v>E_N2O</v>
      </c>
      <c r="F48" s="2"/>
      <c r="M48" s="50" t="s">
        <v>265</v>
      </c>
      <c r="N48" s="50"/>
      <c r="O48" s="50"/>
      <c r="P48" s="50"/>
      <c r="Q48" s="50">
        <f t="shared" ref="Q48:Q55" si="2">O48*P48</f>
        <v>0</v>
      </c>
      <c r="R48" s="50" cm="1">
        <f t="array" ref="R48">IF(O48&gt;0, Fertiliser_Equations_InorganicN2O.VEERG_5_1_1_2__1_EmissionFactorIrrigatedMaize(O48), 0)</f>
        <v>0</v>
      </c>
      <c r="S48" s="50" cm="1">
        <f t="array" ref="S48">IF(O48&gt;0, Fertiliser_Equations_InorganicN2O.VEERG_5_1_1_2__2_EmissionFactorNonIrrigatedGrainsHighRainfall(O48), 0)</f>
        <v>0</v>
      </c>
      <c r="T48" s="50">
        <f t="shared" si="0"/>
        <v>0</v>
      </c>
      <c r="U48" s="50">
        <f t="shared" si="1"/>
        <v>0</v>
      </c>
      <c r="V48" s="50" cm="1">
        <f t="array" ref="V48">IF(O48&gt;0, Fertiliser_Equations_InorganicN2O.VEERG_5_1_1_2__3_EmissionFactorCotton(T48), 0)</f>
        <v>0</v>
      </c>
      <c r="W48" s="50">
        <f>IF(O48&gt;0,Common_InputFunctions.Utility_LookupN2OEFFromProdIrrigationRainfall($Q$71,$Q$74,$Q$75,Table_SourceData_Common_EFN2O[Production system only],Table_SourceData_Common_EFN2O[Irrigation method],Table_SourceData_Common_EFN2O[Rainfall zone],Table_SourceData_Common_EFN2O[EFN2O]), 0)</f>
        <v>0</v>
      </c>
    </row>
    <row r="49" spans="4:24" ht="20.100000000000001" customHeight="1" x14ac:dyDescent="0.25">
      <c r="D49" s="51" t="s">
        <v>16</v>
      </c>
      <c r="E49" s="52" t="str" cm="1">
        <f t="array" ref="E49">Fertiliser_Equations_InorganicN2O.VEERG_5_1_1_1__1_InorganicFertiliserApplicationN2OEmissions_Unit()</f>
        <v>t N2O</v>
      </c>
      <c r="F49" s="2"/>
      <c r="M49" s="50" t="s">
        <v>265</v>
      </c>
      <c r="N49" s="50"/>
      <c r="O49" s="50"/>
      <c r="P49" s="50"/>
      <c r="Q49" s="50">
        <f t="shared" si="2"/>
        <v>0</v>
      </c>
      <c r="R49" s="50" cm="1">
        <f t="array" ref="R49">IF(O49&gt;0, Fertiliser_Equations_InorganicN2O.VEERG_5_1_1_2__1_EmissionFactorIrrigatedMaize(O49), 0)</f>
        <v>0</v>
      </c>
      <c r="S49" s="50" cm="1">
        <f t="array" ref="S49">IF(O49&gt;0, Fertiliser_Equations_InorganicN2O.VEERG_5_1_1_2__2_EmissionFactorNonIrrigatedGrainsHighRainfall(O49), 0)</f>
        <v>0</v>
      </c>
      <c r="T49" s="50">
        <f t="shared" si="0"/>
        <v>0</v>
      </c>
      <c r="U49" s="50">
        <f t="shared" si="1"/>
        <v>0</v>
      </c>
      <c r="V49" s="50" cm="1">
        <f t="array" ref="V49">IF(O49&gt;0, Fertiliser_Equations_InorganicN2O.VEERG_5_1_1_2__3_EmissionFactorCotton(T49), 0)</f>
        <v>0</v>
      </c>
      <c r="W49" s="50">
        <f>IF(O49&gt;0,Common_InputFunctions.Utility_LookupN2OEFFromProdIrrigationRainfall($Q$71,$Q$74,$Q$75,Table_SourceData_Common_EFN2O[Production system only],Table_SourceData_Common_EFN2O[Irrigation method],Table_SourceData_Common_EFN2O[Rainfall zone],Table_SourceData_Common_EFN2O[EFN2O]), 0)</f>
        <v>0</v>
      </c>
    </row>
    <row r="50" spans="4:24" ht="20.100000000000001" customHeight="1" x14ac:dyDescent="0.25">
      <c r="F50" s="2"/>
      <c r="M50" s="50" t="s">
        <v>265</v>
      </c>
      <c r="N50" s="50"/>
      <c r="O50" s="50"/>
      <c r="P50" s="50"/>
      <c r="Q50" s="50">
        <f t="shared" si="2"/>
        <v>0</v>
      </c>
      <c r="R50" s="50" cm="1">
        <f t="array" ref="R50">IF(O50&gt;0, Fertiliser_Equations_InorganicN2O.VEERG_5_1_1_2__1_EmissionFactorIrrigatedMaize(O50), 0)</f>
        <v>0</v>
      </c>
      <c r="S50" s="50" cm="1">
        <f t="array" ref="S50">IF(O50&gt;0, Fertiliser_Equations_InorganicN2O.VEERG_5_1_1_2__2_EmissionFactorNonIrrigatedGrainsHighRainfall(O50), 0)</f>
        <v>0</v>
      </c>
      <c r="T50" s="50">
        <f t="shared" si="0"/>
        <v>0</v>
      </c>
      <c r="U50" s="50">
        <f t="shared" si="1"/>
        <v>0</v>
      </c>
      <c r="V50" s="50" cm="1">
        <f t="array" ref="V50">IF(O50&gt;0, Fertiliser_Equations_InorganicN2O.VEERG_5_1_1_2__3_EmissionFactorCotton(T50), 0)</f>
        <v>0</v>
      </c>
      <c r="W50" s="50">
        <f>IF(O50&gt;0,Common_InputFunctions.Utility_LookupN2OEFFromProdIrrigationRainfall($Q$71,$Q$74,$Q$75,Table_SourceData_Common_EFN2O[Production system only],Table_SourceData_Common_EFN2O[Irrigation method],Table_SourceData_Common_EFN2O[Rainfall zone],Table_SourceData_Common_EFN2O[EFN2O]), 0)</f>
        <v>0</v>
      </c>
    </row>
    <row r="51" spans="4:24" ht="20.100000000000001" customHeight="1" x14ac:dyDescent="0.25">
      <c r="D51" s="54" t="str" cm="1">
        <f t="array" ref="D51:E57">_xlfn.CHOOSECOLS(Fertiliser_Equations_InorganicN2O.VEERG_5_1_1_1__1_InorganicFertiliserApplicationN2OEmissions_Arguments(), 1, 2)</f>
        <v>MN_jf</v>
      </c>
      <c r="E51" s="55" t="str">
        <v>mass of nitrogen in inorganic fertiliser type f applied to production system j (kg N)</v>
      </c>
      <c r="F51" s="94"/>
      <c r="G51" s="56"/>
      <c r="H51" s="54" t="str">
        <f>"See " &amp; D16</f>
        <v>See Table_MN_j_f</v>
      </c>
      <c r="I51" s="129" t="str" cm="1">
        <f t="array" ref="I51:I57">_xlfn.CHOOSECOLS(Fertiliser_Equations_InorganicN2O.VEERG_5_1_1_1__1_InorganicFertiliserApplicationN2OEmissions_Arguments(), 3)</f>
        <v>Calculated</v>
      </c>
      <c r="M51" s="50" t="s">
        <v>264</v>
      </c>
      <c r="N51" s="50" t="str" cm="1">
        <f t="array" ref="N51">Table_Input_InorganicFertiliser_Custom[Custom blend name]</f>
        <v>My first custom blend</v>
      </c>
      <c r="O51" s="50" cm="1">
        <f t="array" ref="O51">Table_Input_InorganicFertiliser_Custom[N application rate (kg/ha)]</f>
        <v>90</v>
      </c>
      <c r="P51" s="50" cm="1">
        <f t="array" ref="P51">Table_Input_InorganicFertiliser_Custom[Application area (ha)]</f>
        <v>100</v>
      </c>
      <c r="Q51" s="50">
        <f t="shared" si="2"/>
        <v>9000</v>
      </c>
      <c r="R51" s="50" cm="1">
        <f t="array" ref="R51">IF(O51&gt;0, Fertiliser_Equations_InorganicN2O.VEERG_5_1_1_2__1_EmissionFactorIrrigatedMaize(O51), 0)</f>
        <v>4.0160000000000005E-3</v>
      </c>
      <c r="S51" s="50" cm="1">
        <f t="array" ref="S51">IF(O51&gt;0, Fertiliser_Equations_InorganicN2O.VEERG_5_1_1_2__2_EmissionFactorNonIrrigatedGrainsHighRainfall(O51), 0)</f>
        <v>7.5309999999999986E-3</v>
      </c>
      <c r="T51" s="50">
        <f t="shared" si="0"/>
        <v>90</v>
      </c>
      <c r="U51" s="50">
        <f t="shared" si="1"/>
        <v>9000</v>
      </c>
      <c r="V51" s="50" cm="1">
        <f t="array" ref="V51">IF(O51&gt;0, Fertiliser_Equations_InorganicN2O.VEERG_5_1_1_2__3_EmissionFactorCotton(T51), 0)</f>
        <v>2.9209520435469616E-5</v>
      </c>
      <c r="W51" s="50">
        <f>IF(O51&gt;0,Common_InputFunctions.Utility_LookupN2OEFFromProdIrrigationRainfall($Q$71,$Q$74,$Q$75,Table_SourceData_Common_EFN2O[Production system only],Table_SourceData_Common_EFN2O[Irrigation method],Table_SourceData_Common_EFN2O[Rainfall zone],Table_SourceData_Common_EFN2O[EFN2O]), 0)</f>
        <v>8.0000000000000002E-3</v>
      </c>
    </row>
    <row r="52" spans="4:24" ht="20.100000000000001" customHeight="1" x14ac:dyDescent="0.25">
      <c r="D52" s="54" t="str">
        <v>EF_jN2O</v>
      </c>
      <c r="E52" s="55" t="str">
        <v>emission factor for nitrous oxide for inorganic fertilisers (kg N2O-N/kg N applied)</v>
      </c>
      <c r="F52" s="94"/>
      <c r="G52" s="56"/>
      <c r="H52" s="54">
        <f>Common_InputFunctions.Utility_LookupN2OEFFromProdIrrigationRainfall(H54,H56,H57,Table_SourceData_Common_EFN2O[Production system only],Table_SourceData_Common_EFN2O[Irrigation method],Table_SourceData_Common_EFN2O[Rainfall zone],Table_SourceData_Common_EFN2O[EFN2O])</f>
        <v>8.0000000000000002E-3</v>
      </c>
      <c r="I52" s="129" t="str">
        <v>Constant</v>
      </c>
      <c r="M52" s="50" t="s">
        <v>264</v>
      </c>
      <c r="N52" s="50"/>
      <c r="O52" s="50"/>
      <c r="P52" s="50"/>
      <c r="Q52" s="50">
        <f t="shared" si="2"/>
        <v>0</v>
      </c>
      <c r="R52" s="50" cm="1">
        <f t="array" ref="R52">IF(O52&gt;0, Fertiliser_Equations_InorganicN2O.VEERG_5_1_1_2__1_EmissionFactorIrrigatedMaize(O52), 0)</f>
        <v>0</v>
      </c>
      <c r="S52" s="50" cm="1">
        <f t="array" ref="S52">IF(O52&gt;0, Fertiliser_Equations_InorganicN2O.VEERG_5_1_1_2__2_EmissionFactorNonIrrigatedGrainsHighRainfall(O52), 0)</f>
        <v>0</v>
      </c>
      <c r="T52" s="50">
        <f t="shared" si="0"/>
        <v>0</v>
      </c>
      <c r="U52" s="50">
        <f t="shared" si="1"/>
        <v>0</v>
      </c>
      <c r="V52" s="50" cm="1">
        <f t="array" ref="V52">IF(O52&gt;0, Fertiliser_Equations_InorganicN2O.VEERG_5_1_1_2__3_EmissionFactorCotton(T52), 0)</f>
        <v>0</v>
      </c>
      <c r="W52" s="50">
        <f>IF(O52&gt;0,Common_InputFunctions.Utility_LookupN2OEFFromProdIrrigationRainfall($Q$71,$Q$74,$Q$75,Table_SourceData_Common_EFN2O[Production system only],Table_SourceData_Common_EFN2O[Irrigation method],Table_SourceData_Common_EFN2O[Rainfall zone],Table_SourceData_Common_EFN2O[EFN2O]), 0)</f>
        <v>0</v>
      </c>
    </row>
    <row r="53" spans="4:24" ht="20.100000000000001" customHeight="1" x14ac:dyDescent="0.25">
      <c r="D53" s="54" t="str">
        <v>C_N2O</v>
      </c>
      <c r="E53" s="55" t="str">
        <v>factor to convert elemental mass of nitrous oxide to molecular mass</v>
      </c>
      <c r="F53" s="94"/>
      <c r="G53" s="56"/>
      <c r="H53" s="54">
        <f>Common_InputFunctions.Utility_LookupValueInTableNumber("N2O",Table_GasToMolecularConversionFactor[Gas],Table_GasToMolecularConversionFactor[Conversion factor combined])</f>
        <v>1.5714285714285714</v>
      </c>
      <c r="I53" s="129" t="str">
        <v>Constant</v>
      </c>
      <c r="M53" s="50" t="s">
        <v>264</v>
      </c>
      <c r="N53" s="50"/>
      <c r="O53" s="50"/>
      <c r="P53" s="50"/>
      <c r="Q53" s="50">
        <f t="shared" si="2"/>
        <v>0</v>
      </c>
      <c r="R53" s="50" cm="1">
        <f t="array" ref="R53">IF(O53&gt;0, Fertiliser_Equations_InorganicN2O.VEERG_5_1_1_2__1_EmissionFactorIrrigatedMaize(O53), 0)</f>
        <v>0</v>
      </c>
      <c r="S53" s="50" cm="1">
        <f t="array" ref="S53">IF(O53&gt;0, Fertiliser_Equations_InorganicN2O.VEERG_5_1_1_2__2_EmissionFactorNonIrrigatedGrainsHighRainfall(O53), 0)</f>
        <v>0</v>
      </c>
      <c r="T53" s="50">
        <f t="shared" si="0"/>
        <v>0</v>
      </c>
      <c r="U53" s="50">
        <f t="shared" si="1"/>
        <v>0</v>
      </c>
      <c r="V53" s="50" cm="1">
        <f t="array" ref="V53">IF(O53&gt;0, Fertiliser_Equations_InorganicN2O.VEERG_5_1_1_2__3_EmissionFactorCotton(T53), 0)</f>
        <v>0</v>
      </c>
      <c r="W53" s="50">
        <f>IF(O53&gt;0,Common_InputFunctions.Utility_LookupN2OEFFromProdIrrigationRainfall($Q$71,$Q$74,$Q$75,Table_SourceData_Common_EFN2O[Production system only],Table_SourceData_Common_EFN2O[Irrigation method],Table_SourceData_Common_EFN2O[Rainfall zone],Table_SourceData_Common_EFN2O[EFN2O]), 0)</f>
        <v>0</v>
      </c>
    </row>
    <row r="54" spans="4:24" ht="20.100000000000001" customHeight="1" x14ac:dyDescent="0.25">
      <c r="D54" s="54" t="str">
        <v>j</v>
      </c>
      <c r="E54" s="55" t="str">
        <v>Production system</v>
      </c>
      <c r="F54" s="94"/>
      <c r="G54" s="56"/>
      <c r="H54" s="54" t="str">
        <f>'Input - Inorganic fertiliser'!$E$6</f>
        <v>Crop</v>
      </c>
      <c r="I54" s="130" t="str">
        <v>Input</v>
      </c>
      <c r="M54" s="50" t="s">
        <v>264</v>
      </c>
      <c r="N54" s="50"/>
      <c r="O54" s="50"/>
      <c r="P54" s="50"/>
      <c r="Q54" s="50">
        <f t="shared" si="2"/>
        <v>0</v>
      </c>
      <c r="R54" s="50" cm="1">
        <f t="array" ref="R54">IF(O54&gt;0, Fertiliser_Equations_InorganicN2O.VEERG_5_1_1_2__1_EmissionFactorIrrigatedMaize(O54), 0)</f>
        <v>0</v>
      </c>
      <c r="S54" s="50" cm="1">
        <f t="array" ref="S54">IF(O54&gt;0, Fertiliser_Equations_InorganicN2O.VEERG_5_1_1_2__2_EmissionFactorNonIrrigatedGrainsHighRainfall(O54), 0)</f>
        <v>0</v>
      </c>
      <c r="T54" s="50">
        <f t="shared" si="0"/>
        <v>0</v>
      </c>
      <c r="U54" s="50">
        <f t="shared" si="1"/>
        <v>0</v>
      </c>
      <c r="V54" s="50" cm="1">
        <f t="array" ref="V54">IF(O54&gt;0, Fertiliser_Equations_InorganicN2O.VEERG_5_1_1_2__3_EmissionFactorCotton(T54), 0)</f>
        <v>0</v>
      </c>
      <c r="W54" s="50">
        <f>IF(O54&gt;0,Common_InputFunctions.Utility_LookupN2OEFFromProdIrrigationRainfall($Q$71,$Q$74,$Q$75,Table_SourceData_Common_EFN2O[Production system only],Table_SourceData_Common_EFN2O[Irrigation method],Table_SourceData_Common_EFN2O[Rainfall zone],Table_SourceData_Common_EFN2O[EFN2O]), 0)</f>
        <v>0</v>
      </c>
    </row>
    <row r="55" spans="4:24" ht="20.100000000000001" customHeight="1" x14ac:dyDescent="0.25">
      <c r="D55" s="54" t="str">
        <v>f</v>
      </c>
      <c r="E55" s="55" t="str">
        <v>Inorganic fertiliser type</v>
      </c>
      <c r="F55" s="94"/>
      <c r="G55" s="56"/>
      <c r="H55" s="54" t="str">
        <f>"See " &amp; D59</f>
        <v>See M1_Table_E_N2O</v>
      </c>
      <c r="I55" s="129" t="str">
        <v>Constant</v>
      </c>
      <c r="M55" s="50" t="s">
        <v>264</v>
      </c>
      <c r="N55" s="50"/>
      <c r="O55" s="50"/>
      <c r="P55" s="50"/>
      <c r="Q55" s="50">
        <f t="shared" si="2"/>
        <v>0</v>
      </c>
      <c r="R55" s="50" cm="1">
        <f t="array" ref="R55">IF(O55&gt;0, Fertiliser_Equations_InorganicN2O.VEERG_5_1_1_2__1_EmissionFactorIrrigatedMaize(O55), 0)</f>
        <v>0</v>
      </c>
      <c r="S55" s="50" cm="1">
        <f t="array" ref="S55">IF(O55&gt;0, Fertiliser_Equations_InorganicN2O.VEERG_5_1_1_2__2_EmissionFactorNonIrrigatedGrainsHighRainfall(O55), 0)</f>
        <v>0</v>
      </c>
      <c r="T55" s="50">
        <f t="shared" si="0"/>
        <v>0</v>
      </c>
      <c r="U55" s="50">
        <f t="shared" si="1"/>
        <v>0</v>
      </c>
      <c r="V55" s="50" cm="1">
        <f t="array" ref="V55">IF(O55&gt;0, Fertiliser_Equations_InorganicN2O.VEERG_5_1_1_2__3_EmissionFactorCotton(T55), 0)</f>
        <v>0</v>
      </c>
      <c r="W55" s="50">
        <f>IF(O55&gt;0,Common_InputFunctions.Utility_LookupN2OEFFromProdIrrigationRainfall($Q$71,$Q$74,$Q$75,Table_SourceData_Common_EFN2O[Production system only],Table_SourceData_Common_EFN2O[Irrigation method],Table_SourceData_Common_EFN2O[Rainfall zone],Table_SourceData_Common_EFN2O[EFN2O]), 0)</f>
        <v>0</v>
      </c>
    </row>
    <row r="56" spans="4:24" ht="20.100000000000001" customHeight="1" x14ac:dyDescent="0.25">
      <c r="D56" s="54" t="str">
        <v>ir</v>
      </c>
      <c r="E56" s="55" t="str">
        <v>irrigation method</v>
      </c>
      <c r="F56" s="94"/>
      <c r="G56" s="56"/>
      <c r="H56" s="54" t="str">
        <f>'Input - Inorganic fertiliser'!$E$8</f>
        <v>Not irrigated</v>
      </c>
      <c r="I56" s="130" t="str">
        <v>Input</v>
      </c>
    </row>
    <row r="57" spans="4:24" ht="20.100000000000001" customHeight="1" x14ac:dyDescent="0.25">
      <c r="D57" s="54" t="str">
        <v>z</v>
      </c>
      <c r="E57" s="55" t="str">
        <v>rainfall zone</v>
      </c>
      <c r="F57" s="94"/>
      <c r="G57" s="56"/>
      <c r="H57" s="54" t="str">
        <f>'Input - Site'!$E$30</f>
        <v>High rainfall</v>
      </c>
      <c r="I57" s="130" t="str">
        <v>Input</v>
      </c>
    </row>
    <row r="58" spans="4:24" ht="20.100000000000001" customHeight="1" x14ac:dyDescent="0.25">
      <c r="F58" s="2"/>
      <c r="L58" s="44"/>
      <c r="M58" s="44"/>
      <c r="N58" s="44"/>
      <c r="O58" s="44"/>
      <c r="P58" s="44"/>
      <c r="Q58" s="44"/>
      <c r="R58" s="44"/>
      <c r="S58" s="44"/>
      <c r="T58" s="44"/>
      <c r="U58" s="44"/>
      <c r="V58" s="44"/>
      <c r="W58" s="44"/>
      <c r="X58" s="44"/>
    </row>
    <row r="59" spans="4:24" ht="20.100000000000001" customHeight="1" x14ac:dyDescent="0.25">
      <c r="D59" s="93" t="s">
        <v>258</v>
      </c>
      <c r="F59" s="2"/>
      <c r="M59" s="6" t="str" cm="1">
        <f t="array" ref="M59">Fertiliser_Equations_InorganicN2O.VEERG_5_1_1_1__1_InorganicFertiliserApplicationN2OEmissions_Title()</f>
        <v>Nitrous oxide emissions from the application of all inorganic fertiliser types f to all production systems j</v>
      </c>
    </row>
    <row r="60" spans="4:24" ht="20.100000000000001" customHeight="1" x14ac:dyDescent="0.25">
      <c r="D60" s="92" t="s">
        <v>259</v>
      </c>
      <c r="F60" s="2"/>
      <c r="M60" s="5" t="str" cm="1">
        <f t="array" ref="M60">Fertiliser_Equations_InorganicN2O.VEERG_5_1_1_1__1_InorganicFertiliserApplicationN2OEmissions_Source()</f>
        <v>VEERG 2026: 5.1.1.1, Equation (1)</v>
      </c>
    </row>
    <row r="61" spans="4:24" ht="20.100000000000001" customHeight="1" x14ac:dyDescent="0.25">
      <c r="E61" s="129" t="s">
        <v>247</v>
      </c>
      <c r="M61" s="13" t="s">
        <v>23</v>
      </c>
      <c r="N61" s="13" t="str" cm="1">
        <f t="array" aca="1" ref="N61" ca="1">Common_InputFunctions.Utility_DisplayFunctionName($E$64)</f>
        <v>=Fertiliser_Equations_InorganicN2O.VEERG_5_1_1_1__1_InorganicFertiliserApplicationN2OEmissions</v>
      </c>
    </row>
    <row r="62" spans="4:24" ht="20.100000000000001" customHeight="1" x14ac:dyDescent="0.25">
      <c r="E62" s="128" t="str">
        <f>$E$49</f>
        <v>t N2O</v>
      </c>
    </row>
    <row r="63" spans="4:24" ht="20.100000000000001" customHeight="1" x14ac:dyDescent="0.25">
      <c r="D63" s="49" t="s">
        <v>185</v>
      </c>
      <c r="E63" s="49" t="s">
        <v>273</v>
      </c>
    </row>
    <row r="64" spans="4:24" ht="20.100000000000001" customHeight="1" x14ac:dyDescent="0.25">
      <c r="D64" s="50" t="str" cm="1">
        <f t="array" ref="D64:D81">Table_Fertiliser_ChemicalCompounds[Fertiliser type f]</f>
        <v>Monoammonium phosphate (MAP)</v>
      </c>
      <c r="E64" s="50" cm="1">
        <f t="array" ref="E64">Fertiliser_Equations_InorganicN2O.VEERG_5_1_1_1__1_InorganicFertiliserApplicationN2OEmissions(G21,$H$52,$H$53)</f>
        <v>0</v>
      </c>
    </row>
    <row r="65" spans="4:19" ht="20.100000000000001" customHeight="1" x14ac:dyDescent="0.25">
      <c r="D65" s="50" t="str">
        <v>Diammonium phosphate (DAP)</v>
      </c>
      <c r="E65" s="50" cm="1">
        <f t="array" ref="E65">Fertiliser_Equations_InorganicN2O.VEERG_5_1_1_1__1_InorganicFertiliserApplicationN2OEmissions(G22,$H$52,$H$53)</f>
        <v>0</v>
      </c>
      <c r="M65" s="51" t="s">
        <v>26</v>
      </c>
      <c r="N65" s="1" t="str" cm="1">
        <f t="array" ref="N65">Fertiliser_Equations_InorganicN2O.VEERG_5_1_1_1__1_InorganicFertiliserApplicationN2OEmissions_Variable()</f>
        <v>E_N2O</v>
      </c>
    </row>
    <row r="66" spans="4:19" ht="20.100000000000001" customHeight="1" x14ac:dyDescent="0.25">
      <c r="D66" s="50" t="str">
        <v>Urea</v>
      </c>
      <c r="E66" s="50" cm="1">
        <f t="array" ref="E66">Fertiliser_Equations_InorganicN2O.VEERG_5_1_1_1__1_InorganicFertiliserApplicationN2OEmissions(G23,$H$52,$H$53)</f>
        <v>0</v>
      </c>
      <c r="M66" s="51" t="s">
        <v>16</v>
      </c>
      <c r="N66" s="52" t="str" cm="1">
        <f t="array" ref="N66">Fertiliser_Equations_InorganicN2O.VEERG_5_1_1_1__1_InorganicFertiliserApplicationN2OEmissions_Unit()</f>
        <v>t N2O</v>
      </c>
    </row>
    <row r="67" spans="4:19" ht="20.100000000000001" customHeight="1" x14ac:dyDescent="0.25">
      <c r="D67" s="50" t="str">
        <v>Sulphate of ammonia (SOA)</v>
      </c>
      <c r="E67" s="50" cm="1">
        <f t="array" ref="E67">Fertiliser_Equations_InorganicN2O.VEERG_5_1_1_1__1_InorganicFertiliserApplicationN2OEmissions(G24,$H$52,$H$53)</f>
        <v>0</v>
      </c>
    </row>
    <row r="68" spans="4:19" ht="20.100000000000001" customHeight="1" x14ac:dyDescent="0.25">
      <c r="D68" s="50" t="str">
        <v>Urea-ammonium nitrate (UAN)</v>
      </c>
      <c r="E68" s="50" cm="1">
        <f t="array" ref="E68">Fertiliser_Equations_InorganicN2O.VEERG_5_1_1_1__1_InorganicFertiliserApplicationN2OEmissions(G25,$H$52,$H$53)</f>
        <v>0</v>
      </c>
      <c r="M68" s="54" t="str" cm="1">
        <f t="array" ref="M68:N75">_xlfn.CHOOSECOLS(Fertiliser_Equations_InorganicN2O.VEERG_5_1_1_1__1_InorganicFertiliserApplicationN2OEmissions_Arguments_Method2(), 1, 2)</f>
        <v>MN_jf</v>
      </c>
      <c r="N68" s="55" t="str">
        <v>mass of nitrogen in inorganic fertiliser type f applied to production system j (kg N)</v>
      </c>
      <c r="O68" s="94"/>
      <c r="P68" s="56"/>
      <c r="Q68" s="55" t="str">
        <f>"See " &amp; M41</f>
        <v>See M2_Table_FertApplications</v>
      </c>
      <c r="R68" s="56"/>
      <c r="S68" s="129" t="str" cm="1">
        <f t="array" ref="S68:S75">_xlfn.CHOOSECOLS(Fertiliser_Equations_InorganicN2O.VEERG_5_1_1_1__1_InorganicFertiliserApplicationN2OEmissions_Arguments_Method2(), 3)</f>
        <v>Calculated</v>
      </c>
    </row>
    <row r="69" spans="4:19" ht="20.100000000000001" customHeight="1" x14ac:dyDescent="0.25">
      <c r="D69" s="50" t="str">
        <v>Ammonium nitrate (AN)</v>
      </c>
      <c r="E69" s="50" cm="1">
        <f t="array" ref="E69">Fertiliser_Equations_InorganicN2O.VEERG_5_1_1_1__1_InorganicFertiliserApplicationN2OEmissions(G26,$H$52,$H$53)</f>
        <v>0</v>
      </c>
      <c r="M69" s="54" t="str">
        <v>EF_jN2O</v>
      </c>
      <c r="N69" s="55" t="str">
        <v>emission factor for nitrous oxide for inorganic fertilisers (kg N2O-N/kg N applied)</v>
      </c>
      <c r="O69" s="94"/>
      <c r="P69" s="56"/>
      <c r="Q69" s="55" t="str" cm="1">
        <f t="array" ref="Q69">_xlfn.IFS(
  AND(Q71="crop", Q72="grains", Q74="not irrigated", Q75="high rainfall"), $S$45,
  AND(Q71="Crop", Q72="maize", Q74&lt;&gt;"not irrigated"), $R$45,
  AND(Q71="Crop", Q72="cotton"), $V$45,
  TRUE, $W$45
)</f>
        <v>EFfjnonirrigatedgrainsN2O</v>
      </c>
      <c r="R69" s="56"/>
      <c r="S69" s="129" t="str">
        <v>Lookup</v>
      </c>
    </row>
    <row r="70" spans="4:19" ht="20.100000000000001" customHeight="1" x14ac:dyDescent="0.25">
      <c r="D70" s="50" t="str">
        <v>Calcium ammonium nitrate (CAN)</v>
      </c>
      <c r="E70" s="50" cm="1">
        <f t="array" ref="E70">Fertiliser_Equations_InorganicN2O.VEERG_5_1_1_1__1_InorganicFertiliserApplicationN2OEmissions(G27,$H$52,$H$53)</f>
        <v>0</v>
      </c>
      <c r="M70" s="54" t="str">
        <v>C_N2O</v>
      </c>
      <c r="N70" s="55" t="str">
        <v>factor to convert elemental mass of nitrous oxide to molecular mass</v>
      </c>
      <c r="O70" s="94"/>
      <c r="P70" s="56"/>
      <c r="Q70" s="55">
        <v>0</v>
      </c>
      <c r="R70" s="56"/>
      <c r="S70" s="129" t="str">
        <v>Constant</v>
      </c>
    </row>
    <row r="71" spans="4:19" ht="20.100000000000001" customHeight="1" x14ac:dyDescent="0.25">
      <c r="D71" s="50" t="str">
        <v>Nitrogen - Ammoniacal</v>
      </c>
      <c r="E71" s="50" cm="1">
        <f t="array" ref="E71">Fertiliser_Equations_InorganicN2O.VEERG_5_1_1_1__1_InorganicFertiliserApplicationN2OEmissions(G28,$H$52,$H$53)</f>
        <v>2.6400000000000003E-2</v>
      </c>
      <c r="M71" s="54" t="str">
        <v>j</v>
      </c>
      <c r="N71" s="55" t="str">
        <v>Production system</v>
      </c>
      <c r="O71" s="94"/>
      <c r="P71" s="56"/>
      <c r="Q71" s="55" t="str">
        <f>'Input - Inorganic fertiliser'!$E$6</f>
        <v>Crop</v>
      </c>
      <c r="R71" s="56"/>
      <c r="S71" s="130" t="str">
        <v>Input</v>
      </c>
    </row>
    <row r="72" spans="4:19" ht="20.100000000000001" customHeight="1" x14ac:dyDescent="0.25">
      <c r="D72" s="50" t="str">
        <v>Nitrogen - Nitrate</v>
      </c>
      <c r="E72" s="50" cm="1">
        <f t="array" ref="E72">Fertiliser_Equations_InorganicN2O.VEERG_5_1_1_1__1_InorganicFertiliserApplicationN2OEmissions(G29,$H$52,$H$53)</f>
        <v>0</v>
      </c>
      <c r="M72" s="54" t="str">
        <v>c</v>
      </c>
      <c r="N72" s="55" t="str">
        <v>Crop type</v>
      </c>
      <c r="O72" s="94"/>
      <c r="P72" s="56"/>
      <c r="Q72" s="55" t="str">
        <f>'Input - Inorganic fertiliser'!$E$7</f>
        <v>Grains</v>
      </c>
      <c r="R72" s="56"/>
      <c r="S72" s="130" t="str">
        <v>Input</v>
      </c>
    </row>
    <row r="73" spans="4:19" ht="20.100000000000001" customHeight="1" x14ac:dyDescent="0.25">
      <c r="D73" s="50" t="str">
        <v>Nitrogen - Generic</v>
      </c>
      <c r="E73" s="50" cm="1">
        <f t="array" ref="E73">Fertiliser_Equations_InorganicN2O.VEERG_5_1_1_1__1_InorganicFertiliserApplicationN2OEmissions(G30,$H$52,$H$53)</f>
        <v>0.16720000000000002</v>
      </c>
      <c r="M73" s="54" t="str">
        <v>f</v>
      </c>
      <c r="N73" s="55" t="str">
        <v>Inorganic fertiliser type</v>
      </c>
      <c r="O73" s="94"/>
      <c r="P73" s="56"/>
      <c r="Q73" s="55" t="s">
        <v>278</v>
      </c>
      <c r="R73" s="56"/>
      <c r="S73" s="129" t="str">
        <v>Constant</v>
      </c>
    </row>
    <row r="74" spans="4:19" ht="20.100000000000001" customHeight="1" x14ac:dyDescent="0.25">
      <c r="D74" s="50" t="str">
        <v>Phosphorus - Generic</v>
      </c>
      <c r="E74" s="50" cm="1">
        <f t="array" ref="E74">Fertiliser_Equations_InorganicN2O.VEERG_5_1_1_1__1_InorganicFertiliserApplicationN2OEmissions(G31,$H$52,$H$53)</f>
        <v>0</v>
      </c>
      <c r="M74" s="54" t="str">
        <v>ir</v>
      </c>
      <c r="N74" s="55" t="str">
        <v>irrigation method</v>
      </c>
      <c r="O74" s="94"/>
      <c r="P74" s="56"/>
      <c r="Q74" s="55" t="str">
        <f>'Input - Inorganic fertiliser'!$E$8</f>
        <v>Not irrigated</v>
      </c>
      <c r="R74" s="56"/>
      <c r="S74" s="130" t="str">
        <v>Input</v>
      </c>
    </row>
    <row r="75" spans="4:19" ht="20.100000000000001" customHeight="1" x14ac:dyDescent="0.25">
      <c r="D75" s="50" t="str">
        <v>Potassium - Generic</v>
      </c>
      <c r="E75" s="50" cm="1">
        <f t="array" ref="E75">Fertiliser_Equations_InorganicN2O.VEERG_5_1_1_1__1_InorganicFertiliserApplicationN2OEmissions(G32,$H$52,$H$53)</f>
        <v>0</v>
      </c>
      <c r="M75" s="55" t="str">
        <v>z</v>
      </c>
      <c r="N75" s="55" t="str">
        <v>rainfall zone</v>
      </c>
      <c r="O75" s="94"/>
      <c r="P75" s="94"/>
      <c r="Q75" s="55" t="str">
        <f>'Input - Site'!$E$30</f>
        <v>High rainfall</v>
      </c>
      <c r="R75" s="94"/>
      <c r="S75" s="130" t="str">
        <v>Input</v>
      </c>
    </row>
    <row r="76" spans="4:19" ht="20.100000000000001" customHeight="1" x14ac:dyDescent="0.25">
      <c r="D76" s="50" t="str">
        <v>Sulfur - Generic</v>
      </c>
      <c r="E76" s="50" cm="1">
        <f t="array" ref="E76">Fertiliser_Equations_InorganicN2O.VEERG_5_1_1_1__1_InorganicFertiliserApplicationN2OEmissions(G33,$H$52,$H$53)</f>
        <v>0</v>
      </c>
    </row>
    <row r="77" spans="4:19" ht="20.100000000000001" customHeight="1" x14ac:dyDescent="0.25">
      <c r="D77" s="50" t="str">
        <v>Zinc - Generic</v>
      </c>
      <c r="E77" s="50" cm="1">
        <f t="array" ref="E77">Fertiliser_Equations_InorganicN2O.VEERG_5_1_1_1__1_InorganicFertiliserApplicationN2OEmissions(G34,$H$52,$H$53)</f>
        <v>0</v>
      </c>
      <c r="M77" s="49" t="s">
        <v>260</v>
      </c>
      <c r="N77" s="49" t="s">
        <v>260</v>
      </c>
      <c r="O77" s="49" t="s">
        <v>277</v>
      </c>
      <c r="P77" s="49" t="s">
        <v>273</v>
      </c>
    </row>
    <row r="78" spans="4:19" ht="20.100000000000001" customHeight="1" x14ac:dyDescent="0.25">
      <c r="D78" s="50" t="str">
        <v>Muriate of potash (MOP)</v>
      </c>
      <c r="E78" s="50" cm="1">
        <f t="array" ref="E78">Fertiliser_Equations_InorganicN2O.VEERG_5_1_1_1__1_InorganicFertiliserApplicationN2OEmissions(G35,$H$52,$H$53)</f>
        <v>0</v>
      </c>
      <c r="M78" s="50" t="s">
        <v>265</v>
      </c>
      <c r="N78" s="50" t="str" cm="1">
        <f t="array" ref="N78">Table_Input_InorganicFertiliser_Brands[Product (select)]</f>
        <v>Big Phos</v>
      </c>
      <c r="O78" s="50" cm="1">
        <f t="array" ref="O78">_xlfn.XLOOKUP(N78,$N$46:$N$55,_xlfn.XLOOKUP($Q$69,$R$45:$W$45,$R$46:$W$55), "")</f>
        <v>5.5810000000000009E-3</v>
      </c>
      <c r="P78" s="50" cm="1">
        <f t="array" ref="P78">Fertiliser_Equations_InorganicN2O.VEERG_5_1_1_1__1_InorganicFertiliserApplicationN2OEmissions(Q46,O78,$Q$70)</f>
        <v>0</v>
      </c>
    </row>
    <row r="79" spans="4:19" ht="20.100000000000001" customHeight="1" x14ac:dyDescent="0.25">
      <c r="D79" s="50" t="str">
        <v>Double superphosphate</v>
      </c>
      <c r="E79" s="50" cm="1">
        <f t="array" ref="E79">Fertiliser_Equations_InorganicN2O.VEERG_5_1_1_1__1_InorganicFertiliserApplicationN2OEmissions(G36,$H$52,$H$53)</f>
        <v>0</v>
      </c>
      <c r="M79" s="50" t="s">
        <v>265</v>
      </c>
      <c r="N79" s="50"/>
      <c r="O79" s="50" cm="1">
        <f t="array" ref="O79">_xlfn.XLOOKUP(N79,$N$46:$N$55,_xlfn.XLOOKUP($Q$69,$R$45:$W$45,$R$46:$W$55), FALSE)</f>
        <v>0</v>
      </c>
      <c r="P79" s="50" cm="1">
        <f t="array" ref="P79">Fertiliser_Equations_InorganicN2O.VEERG_5_1_1_1__1_InorganicFertiliserApplicationN2OEmissions(Q47,O79,$Q$70)</f>
        <v>0</v>
      </c>
    </row>
    <row r="80" spans="4:19" ht="20.100000000000001" customHeight="1" x14ac:dyDescent="0.25">
      <c r="D80" s="50" t="str">
        <v>Single superphosphate (SSP)</v>
      </c>
      <c r="E80" s="50" cm="1">
        <f t="array" ref="E80">Fertiliser_Equations_InorganicN2O.VEERG_5_1_1_1__1_InorganicFertiliserApplicationN2OEmissions(G37,$H$52,$H$53)</f>
        <v>0</v>
      </c>
      <c r="M80" s="50" t="s">
        <v>265</v>
      </c>
      <c r="N80" s="50"/>
      <c r="O80" s="50" cm="1">
        <f t="array" ref="O80">_xlfn.XLOOKUP(N80,$N$46:$N$55,_xlfn.XLOOKUP($Q$69,$R$45:$W$45,$R$46:$W$55))</f>
        <v>0</v>
      </c>
      <c r="P80" s="50" cm="1">
        <f t="array" ref="P80">Fertiliser_Equations_InorganicN2O.VEERG_5_1_1_1__1_InorganicFertiliserApplicationN2OEmissions(Q48,O80,$Q$70)</f>
        <v>0</v>
      </c>
    </row>
    <row r="81" spans="4:16" ht="20.100000000000001" customHeight="1" x14ac:dyDescent="0.25">
      <c r="D81" s="50" t="str">
        <v>Ammonia</v>
      </c>
      <c r="E81" s="50" cm="1">
        <f t="array" ref="E81">Fertiliser_Equations_InorganicN2O.VEERG_5_1_1_1__1_InorganicFertiliserApplicationN2OEmissions(G38,$H$52,$H$53)</f>
        <v>0</v>
      </c>
      <c r="M81" s="50" t="s">
        <v>265</v>
      </c>
      <c r="N81" s="50"/>
      <c r="O81" s="50" cm="1">
        <f t="array" ref="O81">_xlfn.XLOOKUP(N81,$N$46:$N$55,_xlfn.XLOOKUP($Q$69,$R$45:$W$45,$R$46:$W$55))</f>
        <v>0</v>
      </c>
      <c r="P81" s="50" cm="1">
        <f t="array" ref="P81">Fertiliser_Equations_InorganicN2O.VEERG_5_1_1_1__1_InorganicFertiliserApplicationN2OEmissions(Q49,O81,$Q$70)</f>
        <v>0</v>
      </c>
    </row>
    <row r="82" spans="4:16" ht="20.100000000000001" customHeight="1" x14ac:dyDescent="0.25">
      <c r="M82" s="50" t="s">
        <v>265</v>
      </c>
      <c r="N82" s="50"/>
      <c r="O82" s="50" cm="1">
        <f t="array" ref="O82">_xlfn.XLOOKUP(N82,$N$46:$N$55,_xlfn.XLOOKUP($Q$69,$R$45:$W$45,$R$46:$W$55))</f>
        <v>0</v>
      </c>
      <c r="P82" s="50" cm="1">
        <f t="array" ref="P82">Fertiliser_Equations_InorganicN2O.VEERG_5_1_1_1__1_InorganicFertiliserApplicationN2OEmissions(Q50,O82,$Q$70)</f>
        <v>0</v>
      </c>
    </row>
    <row r="83" spans="4:16" ht="20.100000000000001" customHeight="1" x14ac:dyDescent="0.25">
      <c r="D83" s="95" t="s">
        <v>251</v>
      </c>
      <c r="E83" s="96">
        <f>SUM(E64:E81)</f>
        <v>0.19360000000000002</v>
      </c>
      <c r="F83" s="97" t="str">
        <f>$E$49</f>
        <v>t N2O</v>
      </c>
      <c r="M83" s="50" t="s">
        <v>264</v>
      </c>
      <c r="N83" s="50" t="str" cm="1">
        <f t="array" ref="N83">Table_Input_InorganicFertiliser_Custom[Custom blend name]</f>
        <v>My first custom blend</v>
      </c>
      <c r="O83" s="50" cm="1">
        <f t="array" ref="O83">_xlfn.XLOOKUP(N83,$N$46:$N$55,_xlfn.XLOOKUP($Q$69,$R$45:$W$45,$R$46:$W$55))</f>
        <v>7.5309999999999986E-3</v>
      </c>
      <c r="P83" s="50" cm="1">
        <f t="array" ref="P83">Fertiliser_Equations_InorganicN2O.VEERG_5_1_1_1__1_InorganicFertiliserApplicationN2OEmissions(Q51,O83,$Q$70)</f>
        <v>0</v>
      </c>
    </row>
    <row r="84" spans="4:16" ht="20.100000000000001" customHeight="1" x14ac:dyDescent="0.25">
      <c r="M84" s="50" t="s">
        <v>264</v>
      </c>
      <c r="N84" s="50"/>
      <c r="O84" s="50" cm="1">
        <f t="array" ref="O84">_xlfn.XLOOKUP(N84,$N$46:$N$55,_xlfn.XLOOKUP($Q$69,$R$45:$W$45,$R$46:$W$55))</f>
        <v>0</v>
      </c>
      <c r="P84" s="50" cm="1">
        <f t="array" ref="P84">Fertiliser_Equations_InorganicN2O.VEERG_5_1_1_1__1_InorganicFertiliserApplicationN2OEmissions(Q52,O84,$Q$70)</f>
        <v>0</v>
      </c>
    </row>
    <row r="85" spans="4:16" ht="20.100000000000001" customHeight="1" x14ac:dyDescent="0.25">
      <c r="D85" s="54" t="str" cm="1">
        <f t="array" ref="D85:E86">Common_Equations.Common_ConvertN2OToCO2e_Arguments()</f>
        <v>EN2O</v>
      </c>
      <c r="E85" s="55" t="str">
        <v>Nitrous oxide emissions (t N2O)</v>
      </c>
      <c r="F85" s="98"/>
      <c r="G85" s="50">
        <f>E83</f>
        <v>0.19360000000000002</v>
      </c>
      <c r="M85" s="50" t="s">
        <v>264</v>
      </c>
      <c r="N85" s="50"/>
      <c r="O85" s="50" cm="1">
        <f t="array" ref="O85">_xlfn.XLOOKUP(N85,$N$46:$N$55,_xlfn.XLOOKUP($Q$69,$R$45:$W$45,$R$46:$W$55))</f>
        <v>0</v>
      </c>
      <c r="P85" s="50" cm="1">
        <f t="array" ref="P85">Fertiliser_Equations_InorganicN2O.VEERG_5_1_1_1__1_InorganicFertiliserApplicationN2OEmissions(Q53,O85,$Q$70)</f>
        <v>0</v>
      </c>
    </row>
    <row r="86" spans="4:16" ht="20.100000000000001" customHeight="1" x14ac:dyDescent="0.25">
      <c r="D86" s="54" t="str">
        <v>GWPN2O</v>
      </c>
      <c r="E86" s="55" t="str">
        <v>Global warming potential for nitrous oxide (t CO2-e / t N2O)</v>
      </c>
      <c r="F86" s="98"/>
      <c r="G86" s="50">
        <v>0</v>
      </c>
      <c r="M86" s="50" t="s">
        <v>264</v>
      </c>
      <c r="N86" s="50"/>
      <c r="O86" s="50" cm="1">
        <f t="array" ref="O86">_xlfn.XLOOKUP(N86,$N$46:$N$55,_xlfn.XLOOKUP($Q$69,$R$45:$W$45,$R$46:$W$55))</f>
        <v>0</v>
      </c>
      <c r="P86" s="50" cm="1">
        <f t="array" ref="P86">Fertiliser_Equations_InorganicN2O.VEERG_5_1_1_1__1_InorganicFertiliserApplicationN2OEmissions(Q54,O86,$Q$70)</f>
        <v>0</v>
      </c>
    </row>
    <row r="87" spans="4:16" ht="20.100000000000001" customHeight="1" x14ac:dyDescent="0.25">
      <c r="M87" s="50" t="s">
        <v>264</v>
      </c>
      <c r="N87" s="50"/>
      <c r="O87" s="50" cm="1">
        <f t="array" ref="O87">_xlfn.XLOOKUP(N87,$N$46:$N$55,_xlfn.XLOOKUP($Q$69,$R$45:$W$45,$R$46:$W$55))</f>
        <v>0</v>
      </c>
      <c r="P87" s="50" cm="1">
        <f t="array" ref="P87">Fertiliser_Equations_InorganicN2O.VEERG_5_1_1_1__1_InorganicFertiliserApplicationN2OEmissions(Q55,O87,$Q$70)</f>
        <v>0</v>
      </c>
    </row>
    <row r="88" spans="4:16" ht="20.100000000000001" customHeight="1" x14ac:dyDescent="0.25">
      <c r="D88" s="44" t="s">
        <v>92</v>
      </c>
      <c r="E88" s="44" cm="1">
        <f t="array" ref="E88">Common_Equations.Common_ConvertN2OToCO2e(G85,G86)</f>
        <v>0</v>
      </c>
      <c r="F88" s="99" t="str" cm="1">
        <f t="array" ref="F88">Common_Equations.Common_ConvertN2OToCO2e_Unit()</f>
        <v>t CO2e</v>
      </c>
    </row>
    <row r="89" spans="4:16" ht="20.100000000000001" customHeight="1" x14ac:dyDescent="0.25">
      <c r="M89" s="95" t="s">
        <v>251</v>
      </c>
      <c r="N89" s="96">
        <f>SUM(P78:P87)</f>
        <v>0</v>
      </c>
      <c r="O89" s="97" t="str">
        <f>$E$49</f>
        <v>t N2O</v>
      </c>
    </row>
    <row r="90" spans="4:16" ht="20.100000000000001" customHeight="1" x14ac:dyDescent="0.25"/>
    <row r="91" spans="4:16" ht="20.100000000000001" customHeight="1" x14ac:dyDescent="0.25">
      <c r="M91" s="54" t="str" cm="1">
        <f t="array" ref="M91:N92">Common_Equations.Common_ConvertN2OToCO2e_Arguments()</f>
        <v>EN2O</v>
      </c>
      <c r="N91" s="55" t="str">
        <v>Nitrous oxide emissions (t N2O)</v>
      </c>
      <c r="O91" s="98"/>
      <c r="P91" s="50">
        <f>N89</f>
        <v>0</v>
      </c>
    </row>
    <row r="92" spans="4:16" ht="20.100000000000001" customHeight="1" x14ac:dyDescent="0.25">
      <c r="M92" s="54" t="str">
        <v>GWPN2O</v>
      </c>
      <c r="N92" s="55" t="str">
        <v>Global warming potential for nitrous oxide (t CO2-e / t N2O)</v>
      </c>
      <c r="O92" s="98"/>
      <c r="P92" s="50">
        <v>0</v>
      </c>
    </row>
    <row r="93" spans="4:16" ht="20.100000000000001" customHeight="1" x14ac:dyDescent="0.25"/>
    <row r="94" spans="4:16" ht="20.100000000000001" customHeight="1" x14ac:dyDescent="0.25">
      <c r="M94" s="44" t="s">
        <v>92</v>
      </c>
      <c r="N94" s="44" cm="1">
        <f t="array" ref="N94">Common_Equations.Common_ConvertN2OToCO2e(P91,P92)</f>
        <v>0</v>
      </c>
      <c r="O94" s="99" t="str" cm="1">
        <f t="array" ref="O94">Common_Equations.Common_ConvertN2OToCO2e_Unit()</f>
        <v>t CO2e</v>
      </c>
    </row>
    <row r="95" spans="4:16" ht="20.100000000000001" customHeight="1" x14ac:dyDescent="0.25"/>
    <row r="96" spans="4:1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22"/>
    </row>
    <row r="342" spans="8:8" x14ac:dyDescent="0.25">
      <c r="H342" s="22"/>
    </row>
  </sheetData>
  <dataValidations disablePrompts="1" count="1">
    <dataValidation operator="equal" allowBlank="1" showInputMessage="1" showErrorMessage="1" sqref="N172:W172 O150:R150 E269 N166:W166 O143:W144 E228 O167:W167 G132 I129:I133 F134:I134 F129:F132 H128:H132 G129 F148:I148 I149 F150:I150 R149:W149" xr:uid="{AF7BB680-B75F-4AE8-AA2D-EDF03FCB10D8}"/>
  </dataValidations>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U165"/>
  <sheetViews>
    <sheetView showGridLines="0" topLeftCell="B1" workbookViewId="0">
      <selection activeCell="H13" sqref="H13:H14"/>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8" t="e" vm="1">
        <v>#VALUE!</v>
      </c>
      <c r="C1" s="8" t="s">
        <v>302</v>
      </c>
    </row>
    <row r="2" spans="1:21" s="9" customFormat="1" ht="20.100000000000001" customHeight="1" x14ac:dyDescent="0.25">
      <c r="A2"/>
    </row>
    <row r="3" spans="1:21" ht="20.100000000000001" customHeight="1" x14ac:dyDescent="0.25">
      <c r="C3" s="4"/>
      <c r="D3" s="4" t="s">
        <v>93</v>
      </c>
      <c r="E3" s="4"/>
      <c r="F3" s="4"/>
      <c r="G3" s="4"/>
      <c r="H3" s="4"/>
      <c r="I3" s="4"/>
      <c r="J3" s="4"/>
      <c r="K3" s="4"/>
      <c r="L3" s="4"/>
      <c r="N3" s="4"/>
      <c r="O3" s="4" t="s">
        <v>94</v>
      </c>
      <c r="P3" s="4"/>
      <c r="Q3" s="4"/>
      <c r="R3" s="4"/>
      <c r="S3" s="4"/>
      <c r="T3" s="4"/>
      <c r="U3" s="4"/>
    </row>
    <row r="4" spans="1:21" ht="20.100000000000001" customHeight="1" x14ac:dyDescent="0.25"/>
    <row r="5" spans="1:21" ht="20.100000000000001" customHeight="1" x14ac:dyDescent="0.25">
      <c r="D5" s="6" t="str" cm="1">
        <f t="array" ref="D5">Fertiliser_Equations_InorganicCO2.VEERG_5_1_1_3__2_MassOfUreaInInorganicFertiliser_Title()</f>
        <v>Mass of urea applied to production system</v>
      </c>
    </row>
    <row r="6" spans="1:21" ht="20.100000000000001" customHeight="1" x14ac:dyDescent="0.25">
      <c r="D6" s="5" t="str" cm="1">
        <f t="array" ref="D6">Fertiliser_Equations_InorganicCO2.VEERG_5_1_1_3__2_MassOfUreaInInorganicFertiliser_Source()</f>
        <v>VEERG 2026: 5.1.1.3, Equation (2)</v>
      </c>
    </row>
    <row r="7" spans="1:21" ht="20.100000000000001" customHeight="1" x14ac:dyDescent="0.25">
      <c r="D7" s="13" t="s">
        <v>23</v>
      </c>
      <c r="E7" s="13" t="str" cm="1">
        <f t="array" aca="1" ref="E7" ca="1">Common_InputFunctions.Utility_DisplayFunctionName(G21)</f>
        <v>=Fertiliser_Equations_InorganicCO2.VEERG_5_1_1_3__2_MassOfUreaInInorganicFertiliser</v>
      </c>
    </row>
    <row r="8" spans="1:21" ht="20.100000000000001" customHeight="1" x14ac:dyDescent="0.25"/>
    <row r="9" spans="1:21" ht="20.100000000000001" customHeight="1" x14ac:dyDescent="0.25"/>
    <row r="10" spans="1:21" ht="20.100000000000001" customHeight="1" x14ac:dyDescent="0.25">
      <c r="D10" s="51" t="s">
        <v>26</v>
      </c>
      <c r="E10" s="1" t="str" cm="1">
        <f t="array" ref="E10">Fertiliser_Equations_InorganicCO2.VEERG_5_1_1_3__2_MassOfUreaInInorganicFertiliser_Variable()</f>
        <v>MU_jf</v>
      </c>
    </row>
    <row r="11" spans="1:21" ht="20.100000000000001" customHeight="1" x14ac:dyDescent="0.25">
      <c r="D11" s="51" t="s">
        <v>16</v>
      </c>
      <c r="E11" s="52" t="str" cm="1">
        <f t="array" ref="E11">Fertiliser_Equations_InorganicCO2.VEERG_5_1_1_3__2_MassOfUreaInInorganicFertiliser_Unit()</f>
        <v>kg urea</v>
      </c>
    </row>
    <row r="12" spans="1:21" ht="20.100000000000001" customHeight="1" x14ac:dyDescent="0.25"/>
    <row r="13" spans="1:21" ht="20.100000000000001" customHeight="1" x14ac:dyDescent="0.25">
      <c r="D13" s="54" t="str" cm="1">
        <f t="array" ref="D13:E14">_xlfn.CHOOSECOLS(Fertiliser_Equations_InorganicCO2.VEERG_5_1_1_3__2_MassOfUreaInInorganicFertiliser_Arguments(), 1, 2)</f>
        <v>TM_jf</v>
      </c>
      <c r="E13" s="55" t="str">
        <v>total mass of inorganic fertiliser type f applied to production system j : kg</v>
      </c>
      <c r="F13" s="56"/>
      <c r="G13" s="54" t="str">
        <f>"See " &amp; $D$16</f>
        <v>See Table_MU_j_f</v>
      </c>
      <c r="H13" s="130" t="str" cm="1">
        <f t="array" ref="H13:H14">_xlfn.CHOOSECOLS(Fertiliser_Equations_InorganicCO2.VEERG_5_1_1_3__2_MassOfUreaInInorganicFertiliser_Arguments(), 3)</f>
        <v>Input</v>
      </c>
    </row>
    <row r="14" spans="1:21" ht="20.100000000000001" customHeight="1" x14ac:dyDescent="0.25">
      <c r="D14" s="54" t="str">
        <v>FU_f</v>
      </c>
      <c r="E14" s="55" t="str">
        <v>fraction of urea in fertiliser type f : kg urea/kg</v>
      </c>
      <c r="F14" s="56"/>
      <c r="G14" s="54" t="str">
        <f>"See " &amp; $D$16</f>
        <v>See Table_MU_j_f</v>
      </c>
      <c r="H14" s="129" t="str">
        <v>Lookup</v>
      </c>
    </row>
    <row r="15" spans="1:21" ht="20.100000000000001" customHeight="1" x14ac:dyDescent="0.25"/>
    <row r="16" spans="1:21" ht="20.100000000000001" customHeight="1" x14ac:dyDescent="0.25">
      <c r="D16" s="93" t="s">
        <v>303</v>
      </c>
    </row>
    <row r="17" spans="4:7" ht="20.100000000000001" customHeight="1" x14ac:dyDescent="0.25">
      <c r="D17" s="92" t="s">
        <v>304</v>
      </c>
    </row>
    <row r="18" spans="4:7" ht="20.100000000000001" customHeight="1" x14ac:dyDescent="0.25">
      <c r="E18" s="130" t="s">
        <v>225</v>
      </c>
      <c r="F18" s="129" t="s">
        <v>249</v>
      </c>
      <c r="G18" s="129" t="s">
        <v>247</v>
      </c>
    </row>
    <row r="19" spans="4:7" ht="20.100000000000001" customHeight="1" x14ac:dyDescent="0.25">
      <c r="E19" s="128" t="s">
        <v>227</v>
      </c>
      <c r="F19" s="128" t="s">
        <v>105</v>
      </c>
      <c r="G19" s="128" t="str">
        <f>$E$11</f>
        <v>kg urea</v>
      </c>
    </row>
    <row r="20" spans="4:7" ht="20.100000000000001" customHeight="1" x14ac:dyDescent="0.25">
      <c r="D20" s="49" t="s">
        <v>185</v>
      </c>
      <c r="E20" s="120" t="s">
        <v>229</v>
      </c>
      <c r="F20" s="49" t="s">
        <v>305</v>
      </c>
      <c r="G20" s="49" t="s">
        <v>308</v>
      </c>
    </row>
    <row r="21" spans="4:7" ht="20.100000000000001" customHeight="1" x14ac:dyDescent="0.25">
      <c r="D21" s="50" t="str" cm="1">
        <f t="array" ref="D21:D38">Table_Fertiliser_ChemicalCompounds[Fertiliser type f]</f>
        <v>Monoammonium phosphate (MAP)</v>
      </c>
      <c r="E21" s="50" cm="1">
        <f t="array" ref="E21">Fertiliser_InputFunctions.Fertiliser_TotalChemicalCompoundAppliedAllIngredients($D21,Table_Input_InorganicFertiliser_Brands[Total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1" s="50" cm="1">
        <f t="array" ref="F21">Common_InputFunctions.Utility_LookupValueInTableNumber(D21,Table_Fertiliser_ChemicalCompounds[Fertiliser type f],Table_Fertiliser_ChemicalCompounds[FU f])</f>
        <v>0</v>
      </c>
      <c r="G21" s="50" cm="1">
        <f t="array" ref="G21">Fertiliser_Equations_InorganicCO2.VEERG_5_1_1_3__2_MassOfUreaInInorganicFertiliser(E21,F21)</f>
        <v>0</v>
      </c>
    </row>
    <row r="22" spans="4:7" ht="20.100000000000001" customHeight="1" x14ac:dyDescent="0.25">
      <c r="D22" s="50" t="str">
        <v>Diammonium phosphate (DAP)</v>
      </c>
      <c r="E22" s="50" cm="1">
        <f t="array" ref="E22">Fertiliser_InputFunctions.Fertiliser_TotalChemicalCompoundAppliedAllIngredients($D22,Table_Input_InorganicFertiliser_Brands[Total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50" cm="1">
        <f t="array" ref="F22">Common_InputFunctions.Utility_LookupValueInTableNumber(D22,Table_Fertiliser_ChemicalCompounds[Fertiliser type f],Table_Fertiliser_ChemicalCompounds[FU f])</f>
        <v>0</v>
      </c>
      <c r="G22" s="50" cm="1">
        <f t="array" ref="G22">Fertiliser_Equations_InorganicCO2.VEERG_5_1_1_3__2_MassOfUreaInInorganicFertiliser(E22,F22)</f>
        <v>0</v>
      </c>
    </row>
    <row r="23" spans="4:7" ht="20.100000000000001" customHeight="1" x14ac:dyDescent="0.25">
      <c r="D23" s="50" t="str">
        <v>Urea</v>
      </c>
      <c r="E23" s="50" cm="1">
        <f t="array" ref="E23">Fertiliser_InputFunctions.Fertiliser_TotalChemicalCompoundAppliedAllIngredients($D23,Table_Input_InorganicFertiliser_Brands[Total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50" cm="1">
        <f t="array" ref="F23">Common_InputFunctions.Utility_LookupValueInTableNumber(D23,Table_Fertiliser_ChemicalCompounds[Fertiliser type f],Table_Fertiliser_ChemicalCompounds[FU f])</f>
        <v>1</v>
      </c>
      <c r="G23" s="50" cm="1">
        <f t="array" ref="G23">Fertiliser_Equations_InorganicCO2.VEERG_5_1_1_3__2_MassOfUreaInInorganicFertiliser(E23,F23)</f>
        <v>0</v>
      </c>
    </row>
    <row r="24" spans="4:7" ht="20.100000000000001" customHeight="1" x14ac:dyDescent="0.25">
      <c r="D24" s="50" t="str">
        <v>Sulphate of ammonia (SOA)</v>
      </c>
      <c r="E24" s="50" cm="1">
        <f t="array" ref="E24">Fertiliser_InputFunctions.Fertiliser_TotalChemicalCompoundAppliedAllIngredients($D24,Table_Input_InorganicFertiliser_Brands[Total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50" cm="1">
        <f t="array" ref="F24">Common_InputFunctions.Utility_LookupValueInTableNumber(D24,Table_Fertiliser_ChemicalCompounds[Fertiliser type f],Table_Fertiliser_ChemicalCompounds[FU f])</f>
        <v>0</v>
      </c>
      <c r="G24" s="50" cm="1">
        <f t="array" ref="G24">Fertiliser_Equations_InorganicCO2.VEERG_5_1_1_3__2_MassOfUreaInInorganicFertiliser(E24,F24)</f>
        <v>0</v>
      </c>
    </row>
    <row r="25" spans="4:7" ht="20.100000000000001" customHeight="1" x14ac:dyDescent="0.25">
      <c r="D25" s="50" t="str">
        <v>Urea-ammonium nitrate (UAN)</v>
      </c>
      <c r="E25" s="50" cm="1">
        <f t="array" ref="E25">Fertiliser_InputFunctions.Fertiliser_TotalChemicalCompoundAppliedAllIngredients($D25,Table_Input_InorganicFertiliser_Brands[Total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50" cm="1">
        <f t="array" ref="F25">Common_InputFunctions.Utility_LookupValueInTableNumber(D25,Table_Fertiliser_ChemicalCompounds[Fertiliser type f],Table_Fertiliser_ChemicalCompounds[FU f])</f>
        <v>0.35</v>
      </c>
      <c r="G25" s="50" cm="1">
        <f t="array" ref="G25">Fertiliser_Equations_InorganicCO2.VEERG_5_1_1_3__2_MassOfUreaInInorganicFertiliser(E25,F25)</f>
        <v>0</v>
      </c>
    </row>
    <row r="26" spans="4:7" ht="20.100000000000001" customHeight="1" x14ac:dyDescent="0.25">
      <c r="D26" s="50" t="str">
        <v>Ammonium nitrate (AN)</v>
      </c>
      <c r="E26" s="50" cm="1">
        <f t="array" ref="E26">Fertiliser_InputFunctions.Fertiliser_TotalChemicalCompoundAppliedAllIngredients($D26,Table_Input_InorganicFertiliser_Brands[Total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6" s="50" cm="1">
        <f t="array" ref="F26">Common_InputFunctions.Utility_LookupValueInTableNumber(D26,Table_Fertiliser_ChemicalCompounds[Fertiliser type f],Table_Fertiliser_ChemicalCompounds[FU f])</f>
        <v>0</v>
      </c>
      <c r="G26" s="50" cm="1">
        <f t="array" ref="G26">Fertiliser_Equations_InorganicCO2.VEERG_5_1_1_3__2_MassOfUreaInInorganicFertiliser(E26,F26)</f>
        <v>0</v>
      </c>
    </row>
    <row r="27" spans="4:7" ht="20.100000000000001" customHeight="1" x14ac:dyDescent="0.25">
      <c r="D27" s="50" t="str">
        <v>Calcium ammonium nitrate (CAN)</v>
      </c>
      <c r="E27" s="50" cm="1">
        <f t="array" ref="E27">Fertiliser_InputFunctions.Fertiliser_TotalChemicalCompoundAppliedAllIngredients($D27,Table_Input_InorganicFertiliser_Brands[Total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7" s="50" cm="1">
        <f t="array" ref="F27">Common_InputFunctions.Utility_LookupValueInTableNumber(D27,Table_Fertiliser_ChemicalCompounds[Fertiliser type f],Table_Fertiliser_ChemicalCompounds[FU f])</f>
        <v>0</v>
      </c>
      <c r="G27" s="50" cm="1">
        <f t="array" ref="G27">Fertiliser_Equations_InorganicCO2.VEERG_5_1_1_3__2_MassOfUreaInInorganicFertiliser(E27,F27)</f>
        <v>0</v>
      </c>
    </row>
    <row r="28" spans="4:7" ht="20.100000000000001" customHeight="1" x14ac:dyDescent="0.25">
      <c r="D28" s="50" t="str">
        <v>Nitrogen - Ammoniacal</v>
      </c>
      <c r="E28" s="50" cm="1">
        <f t="array" ref="E28">Fertiliser_InputFunctions.Fertiliser_TotalChemicalCompoundAppliedAllIngredients($D28,Table_Input_InorganicFertiliser_Brands[Total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2100</v>
      </c>
      <c r="F28" s="50" cm="1">
        <f t="array" ref="F28">Common_InputFunctions.Utility_LookupValueInTableNumber(D28,Table_Fertiliser_ChemicalCompounds[Fertiliser type f],Table_Fertiliser_ChemicalCompounds[FU f])</f>
        <v>0</v>
      </c>
      <c r="G28" s="50" cm="1">
        <f t="array" ref="G28">Fertiliser_Equations_InorganicCO2.VEERG_5_1_1_3__2_MassOfUreaInInorganicFertiliser(E28,F28)</f>
        <v>0</v>
      </c>
    </row>
    <row r="29" spans="4:7" ht="20.100000000000001" customHeight="1" x14ac:dyDescent="0.25">
      <c r="D29" s="50" t="str">
        <v>Nitrogen - Nitrate</v>
      </c>
      <c r="E29" s="50" cm="1">
        <f t="array" ref="E29">Fertiliser_InputFunctions.Fertiliser_TotalChemicalCompoundAppliedAllIngredients($D29,Table_Input_InorganicFertiliser_Brands[Total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9" s="50" cm="1">
        <f t="array" ref="F29">Common_InputFunctions.Utility_LookupValueInTableNumber(D29,Table_Fertiliser_ChemicalCompounds[Fertiliser type f],Table_Fertiliser_ChemicalCompounds[FU f])</f>
        <v>0</v>
      </c>
      <c r="G29" s="50" cm="1">
        <f t="array" ref="G29">Fertiliser_Equations_InorganicCO2.VEERG_5_1_1_3__2_MassOfUreaInInorganicFertiliser(E29,F29)</f>
        <v>0</v>
      </c>
    </row>
    <row r="30" spans="4:7" ht="20.100000000000001" customHeight="1" x14ac:dyDescent="0.25">
      <c r="D30" s="50" t="str">
        <v>Nitrogen - Generic</v>
      </c>
      <c r="E30" s="50" cm="1">
        <f t="array" ref="E30">Fertiliser_InputFunctions.Fertiliser_TotalChemicalCompoundAppliedAllIngredients($D30,Table_Input_InorganicFertiliser_Brands[Total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13300</v>
      </c>
      <c r="F30" s="50" cm="1">
        <f t="array" ref="F30">Common_InputFunctions.Utility_LookupValueInTableNumber(D30,Table_Fertiliser_ChemicalCompounds[Fertiliser type f],Table_Fertiliser_ChemicalCompounds[FU f])</f>
        <v>0</v>
      </c>
      <c r="G30" s="50" cm="1">
        <f t="array" ref="G30">Fertiliser_Equations_InorganicCO2.VEERG_5_1_1_3__2_MassOfUreaInInorganicFertiliser(E30,F30)</f>
        <v>0</v>
      </c>
    </row>
    <row r="31" spans="4:7" ht="20.100000000000001" customHeight="1" x14ac:dyDescent="0.25">
      <c r="D31" s="50" t="str">
        <v>Phosphorus - Generic</v>
      </c>
      <c r="E31" s="50" cm="1">
        <f t="array" ref="E31">Fertiliser_InputFunctions.Fertiliser_TotalChemicalCompoundAppliedAllIngredients($D31,Table_Input_InorganicFertiliser_Brands[Total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6000</v>
      </c>
      <c r="F31" s="50" cm="1">
        <f t="array" ref="F31">Common_InputFunctions.Utility_LookupValueInTableNumber(D31,Table_Fertiliser_ChemicalCompounds[Fertiliser type f],Table_Fertiliser_ChemicalCompounds[FU f])</f>
        <v>0</v>
      </c>
      <c r="G31" s="50" cm="1">
        <f t="array" ref="G31">Fertiliser_Equations_InorganicCO2.VEERG_5_1_1_3__2_MassOfUreaInInorganicFertiliser(E31,F31)</f>
        <v>0</v>
      </c>
    </row>
    <row r="32" spans="4:7" ht="20.100000000000001" customHeight="1" x14ac:dyDescent="0.25">
      <c r="D32" s="50" t="str">
        <v>Potassium - Generic</v>
      </c>
      <c r="E32" s="50" cm="1">
        <f t="array" ref="E32">Fertiliser_InputFunctions.Fertiliser_TotalChemicalCompoundAppliedAllIngredients($D32,Table_Input_InorganicFertiliser_Brands[Total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v>
      </c>
      <c r="F32" s="50" cm="1">
        <f t="array" ref="F32">Common_InputFunctions.Utility_LookupValueInTableNumber(D32,Table_Fertiliser_ChemicalCompounds[Fertiliser type f],Table_Fertiliser_ChemicalCompounds[FU f])</f>
        <v>0</v>
      </c>
      <c r="G32" s="50" cm="1">
        <f t="array" ref="G32">Fertiliser_Equations_InorganicCO2.VEERG_5_1_1_3__2_MassOfUreaInInorganicFertiliser(E32,F32)</f>
        <v>0</v>
      </c>
    </row>
    <row r="33" spans="3:12" ht="20.100000000000001" customHeight="1" x14ac:dyDescent="0.25">
      <c r="D33" s="50" t="str">
        <v>Sulfur - Generic</v>
      </c>
      <c r="E33" s="50" cm="1">
        <f t="array" ref="E33">Fertiliser_InputFunctions.Fertiliser_TotalChemicalCompoundAppliedAllIngredients($D33,Table_Input_InorganicFertiliser_Brands[Total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v>
      </c>
      <c r="F33" s="50" cm="1">
        <f t="array" ref="F33">Common_InputFunctions.Utility_LookupValueInTableNumber(D33,Table_Fertiliser_ChemicalCompounds[Fertiliser type f],Table_Fertiliser_ChemicalCompounds[FU f])</f>
        <v>0</v>
      </c>
      <c r="G33" s="50" cm="1">
        <f t="array" ref="G33">Fertiliser_Equations_InorganicCO2.VEERG_5_1_1_3__2_MassOfUreaInInorganicFertiliser(E33,F33)</f>
        <v>0</v>
      </c>
    </row>
    <row r="34" spans="3:12" ht="20.100000000000001" customHeight="1" x14ac:dyDescent="0.25">
      <c r="D34" s="50" t="str">
        <v>Zinc - Generic</v>
      </c>
      <c r="E34" s="50" cm="1">
        <f t="array" ref="E34">Fertiliser_InputFunctions.Fertiliser_TotalChemicalCompoundAppliedAllIngredients($D34,Table_Input_InorganicFertiliser_Brands[Total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50" cm="1">
        <f t="array" ref="F34">Common_InputFunctions.Utility_LookupValueInTableNumber(D34,Table_Fertiliser_ChemicalCompounds[Fertiliser type f],Table_Fertiliser_ChemicalCompounds[FU f])</f>
        <v>0</v>
      </c>
      <c r="G34" s="50" cm="1">
        <f t="array" ref="G34">Fertiliser_Equations_InorganicCO2.VEERG_5_1_1_3__2_MassOfUreaInInorganicFertiliser(E34,F34)</f>
        <v>0</v>
      </c>
    </row>
    <row r="35" spans="3:12" ht="20.100000000000001" customHeight="1" x14ac:dyDescent="0.25">
      <c r="D35" s="50" t="str">
        <v>Muriate of potash (MOP)</v>
      </c>
      <c r="E35" s="50" cm="1">
        <f t="array" ref="E35">Fertiliser_InputFunctions.Fertiliser_TotalChemicalCompoundAppliedAllIngredients($D35,Table_Input_InorganicFertiliser_Brands[Total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50" cm="1">
        <f t="array" ref="F35">Common_InputFunctions.Utility_LookupValueInTableNumber(D35,Table_Fertiliser_ChemicalCompounds[Fertiliser type f],Table_Fertiliser_ChemicalCompounds[FU f])</f>
        <v>0</v>
      </c>
      <c r="G35" s="50" cm="1">
        <f t="array" ref="G35">Fertiliser_Equations_InorganicCO2.VEERG_5_1_1_3__2_MassOfUreaInInorganicFertiliser(E35,F35)</f>
        <v>0</v>
      </c>
    </row>
    <row r="36" spans="3:12" ht="20.100000000000001" customHeight="1" x14ac:dyDescent="0.25">
      <c r="D36" s="50" t="str">
        <v>Double superphosphate</v>
      </c>
      <c r="E36" s="50" cm="1">
        <f t="array" ref="E36">Fertiliser_InputFunctions.Fertiliser_TotalChemicalCompoundAppliedAllIngredients($D36,Table_Input_InorganicFertiliser_Brands[Total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6" s="50" cm="1">
        <f t="array" ref="F36">Common_InputFunctions.Utility_LookupValueInTableNumber(D36,Table_Fertiliser_ChemicalCompounds[Fertiliser type f],Table_Fertiliser_ChemicalCompounds[FU f])</f>
        <v>0</v>
      </c>
      <c r="G36" s="50" cm="1">
        <f t="array" ref="G36">Fertiliser_Equations_InorganicCO2.VEERG_5_1_1_3__2_MassOfUreaInInorganicFertiliser(E36,F36)</f>
        <v>0</v>
      </c>
    </row>
    <row r="37" spans="3:12" ht="20.100000000000001" customHeight="1" x14ac:dyDescent="0.25">
      <c r="D37" s="50" t="str">
        <v>Single superphosphate (SSP)</v>
      </c>
      <c r="E37" s="50" cm="1">
        <f t="array" ref="E37">Fertiliser_InputFunctions.Fertiliser_TotalChemicalCompoundAppliedAllIngredients($D37,Table_Input_InorganicFertiliser_Brands[Total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7" s="50" cm="1">
        <f t="array" ref="F37">Common_InputFunctions.Utility_LookupValueInTableNumber(D37,Table_Fertiliser_ChemicalCompounds[Fertiliser type f],Table_Fertiliser_ChemicalCompounds[FU f])</f>
        <v>0</v>
      </c>
      <c r="G37" s="50" cm="1">
        <f t="array" ref="G37">Fertiliser_Equations_InorganicCO2.VEERG_5_1_1_3__2_MassOfUreaInInorganicFertiliser(E37,F37)</f>
        <v>0</v>
      </c>
    </row>
    <row r="38" spans="3:12" ht="20.100000000000001" customHeight="1" x14ac:dyDescent="0.25">
      <c r="D38" s="50" t="str">
        <v>Ammonia</v>
      </c>
      <c r="E38" s="50" cm="1">
        <f t="array" ref="E38">Fertiliser_InputFunctions.Fertiliser_TotalChemicalCompoundAppliedAllIngredients($D38,Table_Input_InorganicFertiliser_Brands[Total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8" s="50" cm="1">
        <f t="array" ref="F38">Common_InputFunctions.Utility_LookupValueInTableNumber(D38,Table_Fertiliser_ChemicalCompounds[Fertiliser type f],Table_Fertiliser_ChemicalCompounds[FU f])</f>
        <v>0</v>
      </c>
      <c r="G38" s="50" cm="1">
        <f t="array" ref="G38">Fertiliser_Equations_InorganicCO2.VEERG_5_1_1_3__2_MassOfUreaInInorganicFertiliser(E38,F38)</f>
        <v>0</v>
      </c>
    </row>
    <row r="39" spans="3:12" ht="20.100000000000001" customHeight="1" x14ac:dyDescent="0.25"/>
    <row r="40" spans="3:12" ht="20.100000000000001" customHeight="1" x14ac:dyDescent="0.25"/>
    <row r="41" spans="3:12" ht="20.100000000000001" customHeight="1" x14ac:dyDescent="0.25">
      <c r="C41" s="44"/>
      <c r="D41" s="44"/>
      <c r="E41" s="44"/>
      <c r="F41" s="44"/>
      <c r="G41" s="44"/>
      <c r="H41" s="44"/>
      <c r="I41" s="44"/>
      <c r="J41" s="44"/>
      <c r="K41" s="44"/>
      <c r="L41" s="44"/>
    </row>
    <row r="42" spans="3:12" ht="20.100000000000001" customHeight="1" x14ac:dyDescent="0.25">
      <c r="D42" s="6" t="str" cm="1">
        <f t="array" ref="D42">Fertiliser_Equations_InorganicCO2.VEERG_5_1_1_3__1_InorganicFertiliserApplicationCO2Emissions_Title()</f>
        <v>Carbon dioxide emissions resulting from the use of all inorganic, urea-based fertilisers</v>
      </c>
    </row>
    <row r="43" spans="3:12" ht="20.100000000000001" customHeight="1" x14ac:dyDescent="0.25">
      <c r="D43" s="5" t="str" cm="1">
        <f t="array" ref="D43">Fertiliser_Equations_InorganicCO2.VEERG_5_1_1_3__1_InorganicFertiliserApplicationCO2Emissions_Source()</f>
        <v>VEERG 2026: 5.1.1.3, Equation (1)</v>
      </c>
    </row>
    <row r="44" spans="3:12" ht="20.100000000000001" customHeight="1" x14ac:dyDescent="0.25">
      <c r="D44" s="13" t="s">
        <v>23</v>
      </c>
      <c r="E44" s="13" t="e" cm="1">
        <f t="array" aca="1" ref="E44" ca="1">Common_InputFunctions.Utility_DisplayFunctionName(G58)</f>
        <v>#N/A</v>
      </c>
    </row>
    <row r="45" spans="3:12" ht="20.100000000000001" customHeight="1" x14ac:dyDescent="0.25"/>
    <row r="46" spans="3:12" ht="20.100000000000001" customHeight="1" x14ac:dyDescent="0.25"/>
    <row r="47" spans="3:12" ht="20.100000000000001" customHeight="1" x14ac:dyDescent="0.25">
      <c r="D47" s="51" t="s">
        <v>26</v>
      </c>
      <c r="E47" s="1" t="str" cm="1">
        <f t="array" ref="E47">Fertiliser_Equations_InorganicCO2.VEERG_5_1_1_3__1_InorganicFertiliserApplicationCO2Emissions_Variable()</f>
        <v>E_CO2</v>
      </c>
    </row>
    <row r="48" spans="3:12" ht="20.100000000000001" customHeight="1" x14ac:dyDescent="0.25">
      <c r="D48" s="51" t="s">
        <v>16</v>
      </c>
      <c r="E48" s="52" t="str" cm="1">
        <f t="array" ref="E48">Fertiliser_Equations_InorganicCO2.VEERG_5_1_1_3__1_InorganicFertiliserApplicationCO2Emissions_Unit()</f>
        <v>t CO2</v>
      </c>
    </row>
    <row r="49" spans="4:8" ht="20.100000000000001" customHeight="1" x14ac:dyDescent="0.25"/>
    <row r="50" spans="4:8" ht="20.100000000000001" customHeight="1" x14ac:dyDescent="0.25">
      <c r="D50" s="54" t="str" cm="1">
        <f t="array" ref="D50:E54">_xlfn.CHOOSECOLS(Fertiliser_Equations_InorganicCO2.VEERG_5_1_1_3__1_InorganicFertiliserApplicationCO2Emissions_Arguments(), 1, 2)</f>
        <v>MU_jf</v>
      </c>
      <c r="E50" s="55" t="str">
        <v>mass of urea of inorganic fertiliser type f applied to production system j : kg urea</v>
      </c>
      <c r="F50" s="56"/>
      <c r="G50" s="54" t="str">
        <f>"See " &amp; D16</f>
        <v>See Table_MU_j_f</v>
      </c>
      <c r="H50" s="129" t="str" cm="1">
        <f t="array" ref="H50:H54">_xlfn.CHOOSECOLS(Fertiliser_Equations_InorganicCO2.VEERG_5_1_1_3__1_InorganicFertiliserApplicationCO2Emissions_Arguments(), 3)</f>
        <v>Calculated</v>
      </c>
    </row>
    <row r="51" spans="4:8" ht="20.100000000000001" customHeight="1" x14ac:dyDescent="0.25">
      <c r="D51" s="54" t="str">
        <v>EF_ureaCO2</v>
      </c>
      <c r="E51" s="55" t="str">
        <v>emission factor for carbon emissions from urea-based fertilisers : kg C/kg urea</v>
      </c>
      <c r="F51" s="56"/>
      <c r="G51" s="50"/>
      <c r="H51" s="129" t="str">
        <v>Constant</v>
      </c>
    </row>
    <row r="52" spans="4:8" ht="20.100000000000001" customHeight="1" x14ac:dyDescent="0.25">
      <c r="D52" s="54" t="str">
        <v>C_CO2</v>
      </c>
      <c r="E52" s="55" t="str">
        <v>factor to convert elemental mass of carbon to molecular mass of carbon dioxide</v>
      </c>
      <c r="F52" s="56"/>
      <c r="G52" s="54">
        <f>Common_InputFunctions.Utility_LookupValueInTableNumber("CO2",Table_GasToMolecularConversionFactor[Gas], Table_GasToMolecularConversionFactor[Conversion factor combined])</f>
        <v>3.6666666666666665</v>
      </c>
      <c r="H52" s="129" t="str">
        <v>Constant</v>
      </c>
    </row>
    <row r="53" spans="4:8" ht="20.100000000000001" customHeight="1" x14ac:dyDescent="0.25">
      <c r="D53" s="54" t="str">
        <v>j</v>
      </c>
      <c r="E53" s="55" t="str">
        <v>Production system</v>
      </c>
      <c r="F53" s="56"/>
      <c r="G53" s="54"/>
      <c r="H53" s="130" t="str">
        <v>Input</v>
      </c>
    </row>
    <row r="54" spans="4:8" ht="20.100000000000001" customHeight="1" x14ac:dyDescent="0.25">
      <c r="D54" s="54" t="str">
        <v>f</v>
      </c>
      <c r="E54" s="55" t="str">
        <v>Inorganic fertiliser type</v>
      </c>
      <c r="F54" s="56"/>
      <c r="G54" s="54"/>
      <c r="H54" s="129" t="str">
        <v>Lookup</v>
      </c>
    </row>
    <row r="55" spans="4:8" ht="20.100000000000001" customHeight="1" x14ac:dyDescent="0.25"/>
    <row r="56" spans="4:8" ht="20.100000000000001" customHeight="1" x14ac:dyDescent="0.25">
      <c r="D56" s="93" t="s">
        <v>306</v>
      </c>
    </row>
    <row r="57" spans="4:8" ht="20.100000000000001" customHeight="1" x14ac:dyDescent="0.25">
      <c r="D57" s="92" t="s">
        <v>307</v>
      </c>
    </row>
    <row r="58" spans="4:8" ht="20.100000000000001" customHeight="1" x14ac:dyDescent="0.25">
      <c r="E58" s="129" t="s">
        <v>247</v>
      </c>
    </row>
    <row r="59" spans="4:8" ht="20.100000000000001" customHeight="1" x14ac:dyDescent="0.25">
      <c r="E59" s="128" t="str">
        <f>$E$48</f>
        <v>t CO2</v>
      </c>
    </row>
    <row r="60" spans="4:8" ht="20.100000000000001" customHeight="1" x14ac:dyDescent="0.25">
      <c r="D60" s="49" t="s">
        <v>185</v>
      </c>
      <c r="E60" s="49" t="s">
        <v>273</v>
      </c>
    </row>
    <row r="61" spans="4:8" ht="20.100000000000001" customHeight="1" x14ac:dyDescent="0.25">
      <c r="D61" s="50" t="str" cm="1">
        <f t="array" ref="D61:D78">Table_Fertiliser_ChemicalCompounds[Fertiliser type f]</f>
        <v>Monoammonium phosphate (MAP)</v>
      </c>
      <c r="E61" s="50" cm="1">
        <f t="array" ref="E61">Fertiliser_Equations_InorganicCO2.VEERG_5_1_1_3__1_InorganicFertiliserApplicationCO2Emissions(G21,G51,G52)</f>
        <v>0</v>
      </c>
    </row>
    <row r="62" spans="4:8" ht="20.100000000000001" customHeight="1" x14ac:dyDescent="0.25">
      <c r="D62" s="50" t="str">
        <v>Diammonium phosphate (DAP)</v>
      </c>
      <c r="E62" s="50" t="e" cm="1">
        <f t="array" ref="E62">Fertiliser_Equations_InorganicN2O.VEERG_5_1_1_1__1_InorganicFertiliserApplicationN2OEmissions(G19,$H$52,$H$53)</f>
        <v>#VALUE!</v>
      </c>
    </row>
    <row r="63" spans="4:8" ht="20.100000000000001" customHeight="1" x14ac:dyDescent="0.25">
      <c r="D63" s="50" t="str">
        <v>Urea</v>
      </c>
      <c r="E63" s="50" t="e" cm="1">
        <f t="array" ref="E63">Fertiliser_Equations_InorganicN2O.VEERG_5_1_1_1__1_InorganicFertiliserApplicationN2OEmissions(G20,$H$52,$H$53)</f>
        <v>#VALUE!</v>
      </c>
    </row>
    <row r="64" spans="4:8" ht="20.100000000000001" customHeight="1" x14ac:dyDescent="0.25">
      <c r="D64" s="50" t="str">
        <v>Sulphate of ammonia (SOA)</v>
      </c>
      <c r="E64" s="50" t="e" cm="1">
        <f t="array" ref="E64">Fertiliser_Equations_InorganicN2O.VEERG_5_1_1_1__1_InorganicFertiliserApplicationN2OEmissions(G21,$H$52,$H$53)</f>
        <v>#VALUE!</v>
      </c>
    </row>
    <row r="65" spans="4:5" ht="20.100000000000001" customHeight="1" x14ac:dyDescent="0.25">
      <c r="D65" s="50" t="str">
        <v>Urea-ammonium nitrate (UAN)</v>
      </c>
      <c r="E65" s="50" t="e" cm="1">
        <f t="array" ref="E65">Fertiliser_Equations_InorganicN2O.VEERG_5_1_1_1__1_InorganicFertiliserApplicationN2OEmissions(G22,$H$52,$H$53)</f>
        <v>#VALUE!</v>
      </c>
    </row>
    <row r="66" spans="4:5" ht="20.100000000000001" customHeight="1" x14ac:dyDescent="0.25">
      <c r="D66" s="50" t="str">
        <v>Ammonium nitrate (AN)</v>
      </c>
      <c r="E66" s="50" t="e" cm="1">
        <f t="array" ref="E66">Fertiliser_Equations_InorganicN2O.VEERG_5_1_1_1__1_InorganicFertiliserApplicationN2OEmissions(G23,$H$52,$H$53)</f>
        <v>#VALUE!</v>
      </c>
    </row>
    <row r="67" spans="4:5" ht="20.100000000000001" customHeight="1" x14ac:dyDescent="0.25">
      <c r="D67" s="50" t="str">
        <v>Calcium ammonium nitrate (CAN)</v>
      </c>
      <c r="E67" s="50" t="e" cm="1">
        <f t="array" ref="E67">Fertiliser_Equations_InorganicN2O.VEERG_5_1_1_1__1_InorganicFertiliserApplicationN2OEmissions(G24,$H$52,$H$53)</f>
        <v>#VALUE!</v>
      </c>
    </row>
    <row r="68" spans="4:5" ht="20.100000000000001" customHeight="1" x14ac:dyDescent="0.25">
      <c r="D68" s="50" t="str">
        <v>Nitrogen - Ammoniacal</v>
      </c>
      <c r="E68" s="50" t="e" cm="1">
        <f t="array" ref="E68">Fertiliser_Equations_InorganicN2O.VEERG_5_1_1_1__1_InorganicFertiliserApplicationN2OEmissions(G25,$H$52,$H$53)</f>
        <v>#VALUE!</v>
      </c>
    </row>
    <row r="69" spans="4:5" ht="20.100000000000001" customHeight="1" x14ac:dyDescent="0.25">
      <c r="D69" s="50" t="str">
        <v>Nitrogen - Nitrate</v>
      </c>
      <c r="E69" s="50" t="e" cm="1">
        <f t="array" ref="E69">Fertiliser_Equations_InorganicN2O.VEERG_5_1_1_1__1_InorganicFertiliserApplicationN2OEmissions(G26,$H$52,$H$53)</f>
        <v>#VALUE!</v>
      </c>
    </row>
    <row r="70" spans="4:5" ht="20.100000000000001" customHeight="1" x14ac:dyDescent="0.25">
      <c r="D70" s="50" t="str">
        <v>Nitrogen - Generic</v>
      </c>
      <c r="E70" s="50" t="e" cm="1">
        <f t="array" ref="E70">Fertiliser_Equations_InorganicN2O.VEERG_5_1_1_1__1_InorganicFertiliserApplicationN2OEmissions(G27,$H$52,$H$53)</f>
        <v>#VALUE!</v>
      </c>
    </row>
    <row r="71" spans="4:5" ht="20.100000000000001" customHeight="1" x14ac:dyDescent="0.25">
      <c r="D71" s="50" t="str">
        <v>Phosphorus - Generic</v>
      </c>
      <c r="E71" s="50" t="e" cm="1">
        <f t="array" ref="E71">Fertiliser_Equations_InorganicN2O.VEERG_5_1_1_1__1_InorganicFertiliserApplicationN2OEmissions(G28,$H$52,$H$53)</f>
        <v>#VALUE!</v>
      </c>
    </row>
    <row r="72" spans="4:5" ht="20.100000000000001" customHeight="1" x14ac:dyDescent="0.25">
      <c r="D72" s="50" t="str">
        <v>Potassium - Generic</v>
      </c>
      <c r="E72" s="50" t="e" cm="1">
        <f t="array" ref="E72">Fertiliser_Equations_InorganicN2O.VEERG_5_1_1_1__1_InorganicFertiliserApplicationN2OEmissions(G29,$H$52,$H$53)</f>
        <v>#VALUE!</v>
      </c>
    </row>
    <row r="73" spans="4:5" ht="20.100000000000001" customHeight="1" x14ac:dyDescent="0.25">
      <c r="D73" s="50" t="str">
        <v>Sulfur - Generic</v>
      </c>
      <c r="E73" s="50" t="e" cm="1">
        <f t="array" ref="E73">Fertiliser_Equations_InorganicN2O.VEERG_5_1_1_1__1_InorganicFertiliserApplicationN2OEmissions(G30,$H$52,$H$53)</f>
        <v>#VALUE!</v>
      </c>
    </row>
    <row r="74" spans="4:5" ht="20.100000000000001" customHeight="1" x14ac:dyDescent="0.25">
      <c r="D74" s="50" t="str">
        <v>Zinc - Generic</v>
      </c>
      <c r="E74" s="50" t="e" cm="1">
        <f t="array" ref="E74">Fertiliser_Equations_InorganicN2O.VEERG_5_1_1_1__1_InorganicFertiliserApplicationN2OEmissions(G31,$H$52,$H$53)</f>
        <v>#VALUE!</v>
      </c>
    </row>
    <row r="75" spans="4:5" ht="20.100000000000001" customHeight="1" x14ac:dyDescent="0.25">
      <c r="D75" s="50" t="str">
        <v>Muriate of potash (MOP)</v>
      </c>
      <c r="E75" s="50" t="e" cm="1">
        <f t="array" ref="E75">Fertiliser_Equations_InorganicN2O.VEERG_5_1_1_1__1_InorganicFertiliserApplicationN2OEmissions(G32,$H$52,$H$53)</f>
        <v>#VALUE!</v>
      </c>
    </row>
    <row r="76" spans="4:5" ht="20.100000000000001" customHeight="1" x14ac:dyDescent="0.25">
      <c r="D76" s="50" t="str">
        <v>Double superphosphate</v>
      </c>
      <c r="E76" s="50" t="e" cm="1">
        <f t="array" ref="E76">Fertiliser_Equations_InorganicN2O.VEERG_5_1_1_1__1_InorganicFertiliserApplicationN2OEmissions(G33,$H$52,$H$53)</f>
        <v>#VALUE!</v>
      </c>
    </row>
    <row r="77" spans="4:5" ht="20.100000000000001" customHeight="1" x14ac:dyDescent="0.25">
      <c r="D77" s="50" t="str">
        <v>Single superphosphate (SSP)</v>
      </c>
      <c r="E77" s="50" t="e" cm="1">
        <f t="array" ref="E77">Fertiliser_Equations_InorganicN2O.VEERG_5_1_1_1__1_InorganicFertiliserApplicationN2OEmissions(G34,$H$52,$H$53)</f>
        <v>#VALUE!</v>
      </c>
    </row>
    <row r="78" spans="4:5" ht="20.100000000000001" customHeight="1" x14ac:dyDescent="0.25">
      <c r="D78" s="50" t="str">
        <v>Ammonia</v>
      </c>
      <c r="E78" s="50" t="e" cm="1">
        <f t="array" ref="E78">Fertiliser_Equations_InorganicN2O.VEERG_5_1_1_1__1_InorganicFertiliserApplicationN2OEmissions(G35,$H$52,$H$53)</f>
        <v>#VALUE!</v>
      </c>
    </row>
    <row r="79" spans="4:5" ht="20.100000000000001" customHeight="1" x14ac:dyDescent="0.25"/>
    <row r="80" spans="4:5"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A5A36D-67BF-491B-8BEC-65303FBC20AD}">
  <dimension ref="A1:AN165"/>
  <sheetViews>
    <sheetView showGridLines="0" tabSelected="1" topLeftCell="A11" zoomScale="85" zoomScaleNormal="85" workbookViewId="0">
      <selection activeCell="G57" sqref="G57"/>
    </sheetView>
  </sheetViews>
  <sheetFormatPr defaultRowHeight="15.75" x14ac:dyDescent="0.25"/>
  <cols>
    <col min="1" max="1" width="30.7109375" customWidth="1"/>
    <col min="2" max="2" width="4.7109375" customWidth="1"/>
    <col min="3" max="3" width="4.7109375" style="1" customWidth="1"/>
    <col min="4" max="36" width="20.7109375" style="1" customWidth="1"/>
    <col min="37" max="37" width="4.7109375" style="1" customWidth="1"/>
  </cols>
  <sheetData>
    <row r="1" spans="1:40" s="8" customFormat="1" ht="30" customHeight="1" x14ac:dyDescent="0.35">
      <c r="A1" s="8" t="e" vm="1">
        <v>#VALUE!</v>
      </c>
      <c r="C1" s="8" t="s">
        <v>182</v>
      </c>
      <c r="AL1"/>
      <c r="AM1"/>
      <c r="AN1"/>
    </row>
    <row r="2" spans="1:40" s="9" customFormat="1" ht="20.100000000000001" customHeight="1" x14ac:dyDescent="0.25">
      <c r="A2"/>
      <c r="AL2"/>
      <c r="AM2"/>
      <c r="AN2"/>
    </row>
    <row r="3" spans="1:40" ht="20.100000000000001" customHeight="1" x14ac:dyDescent="0.25">
      <c r="C3" s="4"/>
      <c r="D3" s="4"/>
      <c r="E3" s="4"/>
      <c r="F3" s="4"/>
      <c r="G3" s="4"/>
      <c r="H3" s="4"/>
      <c r="I3" s="4"/>
      <c r="J3" s="4"/>
      <c r="K3" s="4"/>
      <c r="L3" s="4"/>
      <c r="M3" s="4"/>
      <c r="N3" s="4"/>
      <c r="O3" s="4"/>
      <c r="P3" s="4"/>
      <c r="Q3" s="4"/>
      <c r="R3" s="4"/>
      <c r="S3" s="4"/>
      <c r="T3" s="4"/>
      <c r="U3" s="4"/>
      <c r="V3" s="4"/>
      <c r="W3" s="4"/>
      <c r="X3" s="4"/>
      <c r="Y3" s="4"/>
      <c r="Z3" s="4"/>
      <c r="AA3" s="4"/>
      <c r="AB3" s="4"/>
      <c r="AC3" s="4"/>
      <c r="AD3" s="4"/>
      <c r="AE3" s="4"/>
      <c r="AF3" s="4"/>
      <c r="AG3" s="4"/>
      <c r="AH3" s="4"/>
      <c r="AI3" s="4"/>
      <c r="AJ3" s="4"/>
      <c r="AK3" s="4"/>
    </row>
    <row r="4" spans="1:40" ht="20.100000000000001" customHeight="1" x14ac:dyDescent="0.25"/>
    <row r="5" spans="1:40" ht="20.100000000000001" customHeight="1" x14ac:dyDescent="0.25">
      <c r="D5" s="6" t="str" cm="1">
        <f t="array" ref="D5">Fertiliser_SourceData.Fertiliser_ChemicalCompoundElements_Title()</f>
        <v>Common inorganic fertilisers</v>
      </c>
      <c r="E5" s="115"/>
      <c r="F5" s="118" t="s">
        <v>210</v>
      </c>
      <c r="G5" s="115"/>
      <c r="H5" s="115"/>
      <c r="I5" s="115"/>
      <c r="J5" s="115"/>
    </row>
    <row r="6" spans="1:40" ht="20.100000000000001" customHeight="1" x14ac:dyDescent="0.25">
      <c r="D6" s="5" t="str" cm="1">
        <f t="array" ref="D6">Fertiliser_SourceData.Fertiliser_ChemicalCompoundElements_Source()</f>
        <v>Table A.2.2.3: Fraction of nitrogen in common inorganic fertilisers (kgN/kg) (FNorganic,f) AND Table A.2.2.4: Fraction of urea in common inorganic fertilisers (kg urea/kg) (FUf)</v>
      </c>
    </row>
    <row r="7" spans="1:40" ht="20.100000000000001" customHeight="1" x14ac:dyDescent="0.25">
      <c r="D7" s="53" t="str" cm="1">
        <f t="array" ref="D7:D15">Fertiliser_SourceData.Fertiliser_ChemicalCompoundElements_Variation()</f>
        <v>VARIATION ON SOURCE</v>
      </c>
    </row>
    <row r="8" spans="1:40" ht="20.100000000000001" customHeight="1" x14ac:dyDescent="0.25">
      <c r="D8" s="53" t="str">
        <v>Added 'Basis' column to allow cross-referencing with table Table A.2.2.6: Fraction of inorganic fertiliser f that volatilises as NH3 and NOx ((kg NH3-N + NOx-N)/kg N) (FracGASFf)</v>
      </c>
    </row>
    <row r="9" spans="1:40" ht="20.100000000000001" customHeight="1" x14ac:dyDescent="0.25">
      <c r="D9" s="53" t="str">
        <v>Added extra fertiliser types and generic chemical compounds to allow for custom NPKS blends</v>
      </c>
    </row>
    <row r="10" spans="1:40" ht="20.100000000000001" customHeight="1" x14ac:dyDescent="0.25">
      <c r="D10" s="53" t="str">
        <v>Added extra 'Scope 3 definition' column to allow mapping with scope 3 data</v>
      </c>
    </row>
    <row r="11" spans="1:40" ht="20.100000000000001" customHeight="1" x14ac:dyDescent="0.25">
      <c r="D11" s="53" t="str">
        <v>Added 'Source' column</v>
      </c>
    </row>
    <row r="12" spans="1:40" ht="20.100000000000001" customHeight="1" x14ac:dyDescent="0.25">
      <c r="D12" s="53" t="str">
        <v>Combined data from Table A.2.2.3 and Table A.2.2.4 into one table to aid lookup.</v>
      </c>
    </row>
    <row r="13" spans="1:40" ht="20.100000000000001" customHeight="1" x14ac:dyDescent="0.25">
      <c r="D13" s="53" t="str">
        <v>Excluded 'References' column</v>
      </c>
    </row>
    <row r="14" spans="1:40" ht="20.100000000000001" customHeight="1" x14ac:dyDescent="0.25">
      <c r="D14" s="53" t="str">
        <v>Excluded 'Ammonium sulfate' as it is a duplicate of 'Sulphate of ammonia (SOA)'</v>
      </c>
    </row>
    <row r="15" spans="1:40" ht="20.100000000000001" customHeight="1" x14ac:dyDescent="0.25">
      <c r="D15" s="53" t="str">
        <v>Excluded 'Calcium nitrate' as no scope 3 value available.</v>
      </c>
    </row>
    <row r="16" spans="1:40" ht="20.100000000000001" customHeight="1" x14ac:dyDescent="0.25">
      <c r="D16" t="s">
        <v>185</v>
      </c>
      <c r="E16" t="s">
        <v>208</v>
      </c>
      <c r="F16" t="s">
        <v>207</v>
      </c>
      <c r="G16" t="s">
        <v>183</v>
      </c>
      <c r="H16" t="s">
        <v>209</v>
      </c>
      <c r="I16" t="s">
        <v>184</v>
      </c>
      <c r="L16" s="101" t="s">
        <v>320</v>
      </c>
    </row>
    <row r="17" spans="4:9" ht="20.100000000000001" customHeight="1" x14ac:dyDescent="0.25">
      <c r="D17" s="116" t="str" cm="1">
        <f t="array" ref="D17">Common_InputFunctions.Utility_DisplayArrayInTable(Fertiliser_SourceData.Fertiliser_ChemicalCompoundElements_Data(),Table_Fertiliser_ChemicalCompounds[[#Headers],[Fertiliser type f]], 0)</f>
        <v>Monoammonium phosphate (MAP)</v>
      </c>
      <c r="E17" s="116" cm="1">
        <f t="array" ref="E17">Common_InputFunctions.Utility_DisplayArrayInTable(Fertiliser_SourceData.Fertiliser_ChemicalCompoundElements_Data(),Table_Fertiliser_ChemicalCompounds[[#Headers],[Fertiliser type f]], 0)</f>
        <v>0.1</v>
      </c>
      <c r="F17" s="116" cm="1">
        <f t="array" ref="F17">Common_InputFunctions.Utility_DisplayArrayInTable(Fertiliser_SourceData.Fertiliser_ChemicalCompoundElements_Data(),Table_Fertiliser_ChemicalCompounds[[#Headers],[Fertiliser type f]], 0)</f>
        <v>0</v>
      </c>
      <c r="G17" s="116" t="str" cm="1">
        <f t="array" ref="G17">Common_InputFunctions.Utility_DisplayArrayInTable(Fertiliser_SourceData.Fertiliser_ChemicalCompoundElements_Data(),Table_Fertiliser_ChemicalCompounds[[#Headers],[Fertiliser type f]], 0)</f>
        <v>Ammonium-based fertilisers</v>
      </c>
      <c r="H17" s="116" t="str" cm="1">
        <f t="array" ref="H17">Common_InputFunctions.Utility_DisplayArrayInTable(Fertiliser_SourceData.Fertiliser_ChemicalCompoundElements_Data(),Table_Fertiliser_ChemicalCompounds[[#Headers],[Fertiliser type f]], 0)</f>
        <v>Monoammonium phosphate (MAP)</v>
      </c>
      <c r="I17" s="116" t="str" cm="1">
        <f t="array" ref="I17">Common_InputFunctions.Utility_DisplayArrayInTable(Fertiliser_SourceData.Fertiliser_ChemicalCompoundElements_Data(),Table_Fertiliser_ChemicalCompounds[[#Headers],[Fertiliser type f]], 0)</f>
        <v>VEERG</v>
      </c>
    </row>
    <row r="18" spans="4:9" ht="20.100000000000001" customHeight="1" x14ac:dyDescent="0.25">
      <c r="D18" s="116" t="str" cm="1">
        <f t="array" ref="D18">Common_InputFunctions.Utility_DisplayArrayInTable(Fertiliser_SourceData.Fertiliser_ChemicalCompoundElements_Data(),Table_Fertiliser_ChemicalCompounds[[#Headers],[Fertiliser type f]], 0)</f>
        <v>Diammonium phosphate (DAP)</v>
      </c>
      <c r="E18" s="116" cm="1">
        <f t="array" ref="E18">Common_InputFunctions.Utility_DisplayArrayInTable(Fertiliser_SourceData.Fertiliser_ChemicalCompoundElements_Data(),Table_Fertiliser_ChemicalCompounds[[#Headers],[Fertiliser type f]], 0)</f>
        <v>0.18</v>
      </c>
      <c r="F18" s="116" cm="1">
        <f t="array" ref="F18">Common_InputFunctions.Utility_DisplayArrayInTable(Fertiliser_SourceData.Fertiliser_ChemicalCompoundElements_Data(),Table_Fertiliser_ChemicalCompounds[[#Headers],[Fertiliser type f]], 0)</f>
        <v>0</v>
      </c>
      <c r="G18" s="116" t="str" cm="1">
        <f t="array" ref="G18">Common_InputFunctions.Utility_DisplayArrayInTable(Fertiliser_SourceData.Fertiliser_ChemicalCompoundElements_Data(),Table_Fertiliser_ChemicalCompounds[[#Headers],[Fertiliser type f]], 0)</f>
        <v>Ammonium-based fertilisers</v>
      </c>
      <c r="H18" s="116" t="str" cm="1">
        <f t="array" ref="H18">Common_InputFunctions.Utility_DisplayArrayInTable(Fertiliser_SourceData.Fertiliser_ChemicalCompoundElements_Data(),Table_Fertiliser_ChemicalCompounds[[#Headers],[Fertiliser type f]], 0)</f>
        <v>Diammonium phosphate (DAP)</v>
      </c>
      <c r="I18" s="116" t="str" cm="1">
        <f t="array" ref="I18">Common_InputFunctions.Utility_DisplayArrayInTable(Fertiliser_SourceData.Fertiliser_ChemicalCompoundElements_Data(),Table_Fertiliser_ChemicalCompounds[[#Headers],[Fertiliser type f]], 0)</f>
        <v>VEERG</v>
      </c>
    </row>
    <row r="19" spans="4:9" ht="20.100000000000001" customHeight="1" x14ac:dyDescent="0.25">
      <c r="D19" s="116" t="str" cm="1">
        <f t="array" ref="D19">Common_InputFunctions.Utility_DisplayArrayInTable(Fertiliser_SourceData.Fertiliser_ChemicalCompoundElements_Data(),Table_Fertiliser_ChemicalCompounds[[#Headers],[Fertiliser type f]], 0)</f>
        <v>Urea</v>
      </c>
      <c r="E19" s="116" cm="1">
        <f t="array" ref="E19">Common_InputFunctions.Utility_DisplayArrayInTable(Fertiliser_SourceData.Fertiliser_ChemicalCompoundElements_Data(),Table_Fertiliser_ChemicalCompounds[[#Headers],[Fertiliser type f]], 0)</f>
        <v>0.46</v>
      </c>
      <c r="F19" s="116" cm="1">
        <f t="array" ref="F19">Common_InputFunctions.Utility_DisplayArrayInTable(Fertiliser_SourceData.Fertiliser_ChemicalCompoundElements_Data(),Table_Fertiliser_ChemicalCompounds[[#Headers],[Fertiliser type f]], 0)</f>
        <v>1</v>
      </c>
      <c r="G19" s="116" t="str" cm="1">
        <f t="array" ref="G19">Common_InputFunctions.Utility_DisplayArrayInTable(Fertiliser_SourceData.Fertiliser_ChemicalCompoundElements_Data(),Table_Fertiliser_ChemicalCompounds[[#Headers],[Fertiliser type f]], 0)</f>
        <v>Urea-based fertilisers</v>
      </c>
      <c r="H19" s="116" t="str" cm="1">
        <f t="array" ref="H19">Common_InputFunctions.Utility_DisplayArrayInTable(Fertiliser_SourceData.Fertiliser_ChemicalCompoundElements_Data(),Table_Fertiliser_ChemicalCompounds[[#Headers],[Fertiliser type f]], 0)</f>
        <v>Urea</v>
      </c>
      <c r="I19" s="116" t="str" cm="1">
        <f t="array" ref="I19">Common_InputFunctions.Utility_DisplayArrayInTable(Fertiliser_SourceData.Fertiliser_ChemicalCompoundElements_Data(),Table_Fertiliser_ChemicalCompounds[[#Headers],[Fertiliser type f]], 0)</f>
        <v>VEERG</v>
      </c>
    </row>
    <row r="20" spans="4:9" ht="20.100000000000001" customHeight="1" x14ac:dyDescent="0.25">
      <c r="D20" s="116" t="str" cm="1">
        <f t="array" ref="D20">Common_InputFunctions.Utility_DisplayArrayInTable(Fertiliser_SourceData.Fertiliser_ChemicalCompoundElements_Data(),Table_Fertiliser_ChemicalCompounds[[#Headers],[Fertiliser type f]], 0)</f>
        <v>Sulphate of ammonia (SOA)</v>
      </c>
      <c r="E20" s="116" cm="1">
        <f t="array" ref="E20">Common_InputFunctions.Utility_DisplayArrayInTable(Fertiliser_SourceData.Fertiliser_ChemicalCompoundElements_Data(),Table_Fertiliser_ChemicalCompounds[[#Headers],[Fertiliser type f]], 0)</f>
        <v>0.21</v>
      </c>
      <c r="F20" s="116" cm="1">
        <f t="array" ref="F20">Common_InputFunctions.Utility_DisplayArrayInTable(Fertiliser_SourceData.Fertiliser_ChemicalCompoundElements_Data(),Table_Fertiliser_ChemicalCompounds[[#Headers],[Fertiliser type f]], 0)</f>
        <v>0</v>
      </c>
      <c r="G20" s="116" t="str" cm="1">
        <f t="array" ref="G20">Common_InputFunctions.Utility_DisplayArrayInTable(Fertiliser_SourceData.Fertiliser_ChemicalCompoundElements_Data(),Table_Fertiliser_ChemicalCompounds[[#Headers],[Fertiliser type f]], 0)</f>
        <v>Ammonium-based fertilisers</v>
      </c>
      <c r="H20" s="116" t="str" cm="1">
        <f t="array" ref="H20">Common_InputFunctions.Utility_DisplayArrayInTable(Fertiliser_SourceData.Fertiliser_ChemicalCompoundElements_Data(),Table_Fertiliser_ChemicalCompounds[[#Headers],[Fertiliser type f]], 0)</f>
        <v>Sulphate of ammonia (SOA)</v>
      </c>
      <c r="I20" s="116" t="str" cm="1">
        <f t="array" ref="I20">Common_InputFunctions.Utility_DisplayArrayInTable(Fertiliser_SourceData.Fertiliser_ChemicalCompoundElements_Data(),Table_Fertiliser_ChemicalCompounds[[#Headers],[Fertiliser type f]], 0)</f>
        <v>VEERG</v>
      </c>
    </row>
    <row r="21" spans="4:9" ht="20.100000000000001" customHeight="1" x14ac:dyDescent="0.25">
      <c r="D21" s="116" t="str" cm="1">
        <f t="array" ref="D21">Common_InputFunctions.Utility_DisplayArrayInTable(Fertiliser_SourceData.Fertiliser_ChemicalCompoundElements_Data(),Table_Fertiliser_ChemicalCompounds[[#Headers],[Fertiliser type f]], 0)</f>
        <v>Urea-ammonium nitrate (UAN)</v>
      </c>
      <c r="E21" s="116" cm="1">
        <f t="array" ref="E21">Common_InputFunctions.Utility_DisplayArrayInTable(Fertiliser_SourceData.Fertiliser_ChemicalCompoundElements_Data(),Table_Fertiliser_ChemicalCompounds[[#Headers],[Fertiliser type f]], 0)</f>
        <v>0.32</v>
      </c>
      <c r="F21" s="116" cm="1">
        <f t="array" ref="F21">Common_InputFunctions.Utility_DisplayArrayInTable(Fertiliser_SourceData.Fertiliser_ChemicalCompoundElements_Data(),Table_Fertiliser_ChemicalCompounds[[#Headers],[Fertiliser type f]], 0)</f>
        <v>0.35</v>
      </c>
      <c r="G21" s="117" t="str" cm="1">
        <f t="array" ref="G21">Common_InputFunctions.Utility_DisplayArrayInTable(Fertiliser_SourceData.Fertiliser_ChemicalCompoundElements_Data(),Table_Fertiliser_ChemicalCompounds[[#Headers],[Fertiliser type f]], 0)</f>
        <v>Urea-based fertilisers</v>
      </c>
      <c r="H21" s="116" t="str" cm="1">
        <f t="array" ref="H21">Common_InputFunctions.Utility_DisplayArrayInTable(Fertiliser_SourceData.Fertiliser_ChemicalCompoundElements_Data(),Table_Fertiliser_ChemicalCompounds[[#Headers],[Fertiliser type f]], 0)</f>
        <v>Urea-ammonium nitrate (UAN)</v>
      </c>
      <c r="I21" s="116" t="str" cm="1">
        <f t="array" ref="I21">Common_InputFunctions.Utility_DisplayArrayInTable(Fertiliser_SourceData.Fertiliser_ChemicalCompoundElements_Data(),Table_Fertiliser_ChemicalCompounds[[#Headers],[Fertiliser type f]], 0)</f>
        <v>VEERG</v>
      </c>
    </row>
    <row r="22" spans="4:9" ht="20.100000000000001" customHeight="1" x14ac:dyDescent="0.25">
      <c r="D22" s="116" t="str" cm="1">
        <f t="array" ref="D22">Common_InputFunctions.Utility_DisplayArrayInTable(Fertiliser_SourceData.Fertiliser_ChemicalCompoundElements_Data(),Table_Fertiliser_ChemicalCompounds[[#Headers],[Fertiliser type f]], 0)</f>
        <v>Ammonium nitrate (AN)</v>
      </c>
      <c r="E22" s="116" cm="1">
        <f t="array" ref="E22">Common_InputFunctions.Utility_DisplayArrayInTable(Fertiliser_SourceData.Fertiliser_ChemicalCompoundElements_Data(),Table_Fertiliser_ChemicalCompounds[[#Headers],[Fertiliser type f]], 0)</f>
        <v>0.33700000000000002</v>
      </c>
      <c r="F22" s="116" cm="1">
        <f t="array" ref="F22">Common_InputFunctions.Utility_DisplayArrayInTable(Fertiliser_SourceData.Fertiliser_ChemicalCompoundElements_Data(),Table_Fertiliser_ChemicalCompounds[[#Headers],[Fertiliser type f]], 0)</f>
        <v>0</v>
      </c>
      <c r="G22" s="116" t="str" cm="1">
        <f t="array" ref="G22">Common_InputFunctions.Utility_DisplayArrayInTable(Fertiliser_SourceData.Fertiliser_ChemicalCompoundElements_Data(),Table_Fertiliser_ChemicalCompounds[[#Headers],[Fertiliser type f]], 0)</f>
        <v>Ammonium-nitrate based fertilisers</v>
      </c>
      <c r="H22" s="116" t="str" cm="1">
        <f t="array" ref="H22">Common_InputFunctions.Utility_DisplayArrayInTable(Fertiliser_SourceData.Fertiliser_ChemicalCompoundElements_Data(),Table_Fertiliser_ChemicalCompounds[[#Headers],[Fertiliser type f]], 0)</f>
        <v>Ammonium nitrate (AN)</v>
      </c>
      <c r="I22" s="116" t="str" cm="1">
        <f t="array" ref="I22">Common_InputFunctions.Utility_DisplayArrayInTable(Fertiliser_SourceData.Fertiliser_ChemicalCompoundElements_Data(),Table_Fertiliser_ChemicalCompounds[[#Headers],[Fertiliser type f]], 0)</f>
        <v>VEERG</v>
      </c>
    </row>
    <row r="23" spans="4:9" ht="20.100000000000001" customHeight="1" x14ac:dyDescent="0.25">
      <c r="D23" s="116" t="str" cm="1">
        <f t="array" ref="D23">Common_InputFunctions.Utility_DisplayArrayInTable(Fertiliser_SourceData.Fertiliser_ChemicalCompoundElements_Data(),Table_Fertiliser_ChemicalCompounds[[#Headers],[Fertiliser type f]], 0)</f>
        <v>Calcium ammonium nitrate (CAN)</v>
      </c>
      <c r="E23" s="116" cm="1">
        <f t="array" ref="E23">Common_InputFunctions.Utility_DisplayArrayInTable(Fertiliser_SourceData.Fertiliser_ChemicalCompoundElements_Data(),Table_Fertiliser_ChemicalCompounds[[#Headers],[Fertiliser type f]], 0)</f>
        <v>0.27</v>
      </c>
      <c r="F23" s="116" cm="1">
        <f t="array" ref="F23">Common_InputFunctions.Utility_DisplayArrayInTable(Fertiliser_SourceData.Fertiliser_ChemicalCompoundElements_Data(),Table_Fertiliser_ChemicalCompounds[[#Headers],[Fertiliser type f]], 0)</f>
        <v>0</v>
      </c>
      <c r="G23" s="116" t="str" cm="1">
        <f t="array" ref="G23">Common_InputFunctions.Utility_DisplayArrayInTable(Fertiliser_SourceData.Fertiliser_ChemicalCompoundElements_Data(),Table_Fertiliser_ChemicalCompounds[[#Headers],[Fertiliser type f]], 0)</f>
        <v>Ammonium-nitrate based fertilisers</v>
      </c>
      <c r="H23" s="116" t="str" cm="1">
        <f t="array" ref="H23">Common_InputFunctions.Utility_DisplayArrayInTable(Fertiliser_SourceData.Fertiliser_ChemicalCompoundElements_Data(),Table_Fertiliser_ChemicalCompounds[[#Headers],[Fertiliser type f]], 0)</f>
        <v>Calcium ammonium nitrate (CAN)</v>
      </c>
      <c r="I23" s="116" t="str" cm="1">
        <f t="array" ref="I23">Common_InputFunctions.Utility_DisplayArrayInTable(Fertiliser_SourceData.Fertiliser_ChemicalCompoundElements_Data(),Table_Fertiliser_ChemicalCompounds[[#Headers],[Fertiliser type f]], 0)</f>
        <v>VEERG</v>
      </c>
    </row>
    <row r="24" spans="4:9" ht="20.100000000000001" customHeight="1" x14ac:dyDescent="0.25">
      <c r="D24" s="116" t="str" cm="1">
        <f t="array" ref="D24">Common_InputFunctions.Utility_DisplayArrayInTable(Fertiliser_SourceData.Fertiliser_ChemicalCompoundElements_Data(),Table_Fertiliser_ChemicalCompounds[[#Headers],[Fertiliser type f]], 0)</f>
        <v>Nitrogen - Ammoniacal</v>
      </c>
      <c r="E24" s="116" cm="1">
        <f t="array" ref="E24">Common_InputFunctions.Utility_DisplayArrayInTable(Fertiliser_SourceData.Fertiliser_ChemicalCompoundElements_Data(),Table_Fertiliser_ChemicalCompounds[[#Headers],[Fertiliser type f]], 0)</f>
        <v>1</v>
      </c>
      <c r="F24" s="116" cm="1">
        <f t="array" ref="F24">Common_InputFunctions.Utility_DisplayArrayInTable(Fertiliser_SourceData.Fertiliser_ChemicalCompoundElements_Data(),Table_Fertiliser_ChemicalCompounds[[#Headers],[Fertiliser type f]], 0)</f>
        <v>0</v>
      </c>
      <c r="G24" s="116" t="str" cm="1">
        <f t="array" ref="G24">Common_InputFunctions.Utility_DisplayArrayInTable(Fertiliser_SourceData.Fertiliser_ChemicalCompoundElements_Data(),Table_Fertiliser_ChemicalCompounds[[#Headers],[Fertiliser type f]], 0)</f>
        <v>Ammonium-based fertilisers</v>
      </c>
      <c r="H24" s="116" t="str" cm="1">
        <f t="array" ref="H24">Common_InputFunctions.Utility_DisplayArrayInTable(Fertiliser_SourceData.Fertiliser_ChemicalCompoundElements_Data(),Table_Fertiliser_ChemicalCompounds[[#Headers],[Fertiliser type f]], 0)</f>
        <v>Nitrogen - Ammoniacal</v>
      </c>
      <c r="I24" s="116" t="str" cm="1">
        <f t="array" ref="I24">Common_InputFunctions.Utility_DisplayArrayInTable(Fertiliser_SourceData.Fertiliser_ChemicalCompoundElements_Data(),Table_Fertiliser_ChemicalCompounds[[#Headers],[Fertiliser type f]], 0)</f>
        <v>LifeCycles</v>
      </c>
    </row>
    <row r="25" spans="4:9" ht="20.100000000000001" customHeight="1" x14ac:dyDescent="0.25">
      <c r="D25" s="116" t="str" cm="1">
        <f t="array" ref="D25">Common_InputFunctions.Utility_DisplayArrayInTable(Fertiliser_SourceData.Fertiliser_ChemicalCompoundElements_Data(),Table_Fertiliser_ChemicalCompounds[[#Headers],[Fertiliser type f]], 0)</f>
        <v>Nitrogen - Nitrate</v>
      </c>
      <c r="E25" s="116" cm="1">
        <f t="array" ref="E25">Common_InputFunctions.Utility_DisplayArrayInTable(Fertiliser_SourceData.Fertiliser_ChemicalCompoundElements_Data(),Table_Fertiliser_ChemicalCompounds[[#Headers],[Fertiliser type f]], 0)</f>
        <v>1</v>
      </c>
      <c r="F25" s="116" cm="1">
        <f t="array" ref="F25">Common_InputFunctions.Utility_DisplayArrayInTable(Fertiliser_SourceData.Fertiliser_ChemicalCompoundElements_Data(),Table_Fertiliser_ChemicalCompounds[[#Headers],[Fertiliser type f]], 0)</f>
        <v>0</v>
      </c>
      <c r="G25" s="116" t="str" cm="1">
        <f t="array" ref="G25">Common_InputFunctions.Utility_DisplayArrayInTable(Fertiliser_SourceData.Fertiliser_ChemicalCompoundElements_Data(),Table_Fertiliser_ChemicalCompounds[[#Headers],[Fertiliser type f]], 0)</f>
        <v>Nitrate-based fertilisers</v>
      </c>
      <c r="H25" s="116" t="str" cm="1">
        <f t="array" ref="H25">Common_InputFunctions.Utility_DisplayArrayInTable(Fertiliser_SourceData.Fertiliser_ChemicalCompoundElements_Data(),Table_Fertiliser_ChemicalCompounds[[#Headers],[Fertiliser type f]], 0)</f>
        <v>Nitrogen from Nitrate</v>
      </c>
      <c r="I25" s="116" t="str" cm="1">
        <f t="array" ref="I25">Common_InputFunctions.Utility_DisplayArrayInTable(Fertiliser_SourceData.Fertiliser_ChemicalCompoundElements_Data(),Table_Fertiliser_ChemicalCompounds[[#Headers],[Fertiliser type f]], 0)</f>
        <v>LifeCycles</v>
      </c>
    </row>
    <row r="26" spans="4:9" ht="20.100000000000001" customHeight="1" x14ac:dyDescent="0.25">
      <c r="D26" s="116" t="str" cm="1">
        <f t="array" ref="D26">Common_InputFunctions.Utility_DisplayArrayInTable(Fertiliser_SourceData.Fertiliser_ChemicalCompoundElements_Data(),Table_Fertiliser_ChemicalCompounds[[#Headers],[Fertiliser type f]], 0)</f>
        <v>Nitrogen - Generic</v>
      </c>
      <c r="E26" s="116" cm="1">
        <f t="array" ref="E26">Common_InputFunctions.Utility_DisplayArrayInTable(Fertiliser_SourceData.Fertiliser_ChemicalCompoundElements_Data(),Table_Fertiliser_ChemicalCompounds[[#Headers],[Fertiliser type f]], 0)</f>
        <v>1</v>
      </c>
      <c r="F26" s="116" cm="1">
        <f t="array" ref="F26">Common_InputFunctions.Utility_DisplayArrayInTable(Fertiliser_SourceData.Fertiliser_ChemicalCompoundElements_Data(),Table_Fertiliser_ChemicalCompounds[[#Headers],[Fertiliser type f]], 0)</f>
        <v>0</v>
      </c>
      <c r="G26" s="117" t="str" cm="1">
        <f t="array" ref="G26">Common_InputFunctions.Utility_DisplayArrayInTable(Fertiliser_SourceData.Fertiliser_ChemicalCompoundElements_Data(),Table_Fertiliser_ChemicalCompounds[[#Headers],[Fertiliser type f]], 0)</f>
        <v>Other fertilisers</v>
      </c>
      <c r="H26" s="116" t="str" cm="1">
        <f t="array" ref="H26">Common_InputFunctions.Utility_DisplayArrayInTable(Fertiliser_SourceData.Fertiliser_ChemicalCompoundElements_Data(),Table_Fertiliser_ChemicalCompounds[[#Headers],[Fertiliser type f]], 0)</f>
        <v>Nitrogen from fertiliser</v>
      </c>
      <c r="I26" s="116" t="str" cm="1">
        <f t="array" ref="I26">Common_InputFunctions.Utility_DisplayArrayInTable(Fertiliser_SourceData.Fertiliser_ChemicalCompoundElements_Data(),Table_Fertiliser_ChemicalCompounds[[#Headers],[Fertiliser type f]], 0)</f>
        <v>LifeCycles</v>
      </c>
    </row>
    <row r="27" spans="4:9" ht="20.100000000000001" customHeight="1" x14ac:dyDescent="0.25">
      <c r="D27" s="116" t="str" cm="1">
        <f t="array" ref="D27">Common_InputFunctions.Utility_DisplayArrayInTable(Fertiliser_SourceData.Fertiliser_ChemicalCompoundElements_Data(),Table_Fertiliser_ChemicalCompounds[[#Headers],[Fertiliser type f]], 0)</f>
        <v>Phosphorus - Generic</v>
      </c>
      <c r="E27" s="116" cm="1">
        <f t="array" ref="E27">Common_InputFunctions.Utility_DisplayArrayInTable(Fertiliser_SourceData.Fertiliser_ChemicalCompoundElements_Data(),Table_Fertiliser_ChemicalCompounds[[#Headers],[Fertiliser type f]], 0)</f>
        <v>0</v>
      </c>
      <c r="F27" s="116" cm="1">
        <f t="array" ref="F27">Common_InputFunctions.Utility_DisplayArrayInTable(Fertiliser_SourceData.Fertiliser_ChemicalCompoundElements_Data(),Table_Fertiliser_ChemicalCompounds[[#Headers],[Fertiliser type f]], 0)</f>
        <v>0</v>
      </c>
      <c r="G27" s="116" t="str" cm="1">
        <f t="array" ref="G27">Common_InputFunctions.Utility_DisplayArrayInTable(Fertiliser_SourceData.Fertiliser_ChemicalCompoundElements_Data(),Table_Fertiliser_ChemicalCompounds[[#Headers],[Fertiliser type f]], 0)</f>
        <v>Other fertilisers</v>
      </c>
      <c r="H27" s="116" t="str" cm="1">
        <f t="array" ref="H27">Common_InputFunctions.Utility_DisplayArrayInTable(Fertiliser_SourceData.Fertiliser_ChemicalCompoundElements_Data(),Table_Fertiliser_ChemicalCompounds[[#Headers],[Fertiliser type f]], 0)</f>
        <v>Phosphorus from fertiliser</v>
      </c>
      <c r="I27" s="116" t="str" cm="1">
        <f t="array" ref="I27">Common_InputFunctions.Utility_DisplayArrayInTable(Fertiliser_SourceData.Fertiliser_ChemicalCompoundElements_Data(),Table_Fertiliser_ChemicalCompounds[[#Headers],[Fertiliser type f]], 0)</f>
        <v>LifeCycles</v>
      </c>
    </row>
    <row r="28" spans="4:9" ht="20.100000000000001" customHeight="1" x14ac:dyDescent="0.25">
      <c r="D28" s="116" t="str" cm="1">
        <f t="array" ref="D28">Common_InputFunctions.Utility_DisplayArrayInTable(Fertiliser_SourceData.Fertiliser_ChemicalCompoundElements_Data(),Table_Fertiliser_ChemicalCompounds[[#Headers],[Fertiliser type f]], 0)</f>
        <v>Potassium - Generic</v>
      </c>
      <c r="E28" s="116" cm="1">
        <f t="array" ref="E28">Common_InputFunctions.Utility_DisplayArrayInTable(Fertiliser_SourceData.Fertiliser_ChemicalCompoundElements_Data(),Table_Fertiliser_ChemicalCompounds[[#Headers],[Fertiliser type f]], 0)</f>
        <v>0</v>
      </c>
      <c r="F28" s="116" cm="1">
        <f t="array" ref="F28">Common_InputFunctions.Utility_DisplayArrayInTable(Fertiliser_SourceData.Fertiliser_ChemicalCompoundElements_Data(),Table_Fertiliser_ChemicalCompounds[[#Headers],[Fertiliser type f]], 0)</f>
        <v>0</v>
      </c>
      <c r="G28" s="116" t="str" cm="1">
        <f t="array" ref="G28">Common_InputFunctions.Utility_DisplayArrayInTable(Fertiliser_SourceData.Fertiliser_ChemicalCompoundElements_Data(),Table_Fertiliser_ChemicalCompounds[[#Headers],[Fertiliser type f]], 0)</f>
        <v>Other fertilisers</v>
      </c>
      <c r="H28" s="116" t="str" cm="1">
        <f t="array" ref="H28">Common_InputFunctions.Utility_DisplayArrayInTable(Fertiliser_SourceData.Fertiliser_ChemicalCompoundElements_Data(),Table_Fertiliser_ChemicalCompounds[[#Headers],[Fertiliser type f]], 0)</f>
        <v>Potassium from fertiliser</v>
      </c>
      <c r="I28" s="116" t="str" cm="1">
        <f t="array" ref="I28">Common_InputFunctions.Utility_DisplayArrayInTable(Fertiliser_SourceData.Fertiliser_ChemicalCompoundElements_Data(),Table_Fertiliser_ChemicalCompounds[[#Headers],[Fertiliser type f]], 0)</f>
        <v>LifeCycles</v>
      </c>
    </row>
    <row r="29" spans="4:9" ht="20.100000000000001" customHeight="1" x14ac:dyDescent="0.25">
      <c r="D29" s="116" t="str" cm="1">
        <f t="array" ref="D29">Common_InputFunctions.Utility_DisplayArrayInTable(Fertiliser_SourceData.Fertiliser_ChemicalCompoundElements_Data(),Table_Fertiliser_ChemicalCompounds[[#Headers],[Fertiliser type f]], 0)</f>
        <v>Sulfur - Generic</v>
      </c>
      <c r="E29" s="116" cm="1">
        <f t="array" ref="E29">Common_InputFunctions.Utility_DisplayArrayInTable(Fertiliser_SourceData.Fertiliser_ChemicalCompoundElements_Data(),Table_Fertiliser_ChemicalCompounds[[#Headers],[Fertiliser type f]], 0)</f>
        <v>0</v>
      </c>
      <c r="F29" s="116" cm="1">
        <f t="array" ref="F29">Common_InputFunctions.Utility_DisplayArrayInTable(Fertiliser_SourceData.Fertiliser_ChemicalCompoundElements_Data(),Table_Fertiliser_ChemicalCompounds[[#Headers],[Fertiliser type f]], 0)</f>
        <v>0</v>
      </c>
      <c r="G29" s="116" t="str" cm="1">
        <f t="array" ref="G29">Common_InputFunctions.Utility_DisplayArrayInTable(Fertiliser_SourceData.Fertiliser_ChemicalCompoundElements_Data(),Table_Fertiliser_ChemicalCompounds[[#Headers],[Fertiliser type f]], 0)</f>
        <v>Other fertilisers</v>
      </c>
      <c r="H29" s="116" t="str" cm="1">
        <f t="array" ref="H29">Common_InputFunctions.Utility_DisplayArrayInTable(Fertiliser_SourceData.Fertiliser_ChemicalCompoundElements_Data(),Table_Fertiliser_ChemicalCompounds[[#Headers],[Fertiliser type f]], 0)</f>
        <v>Sulfur from fertiliser</v>
      </c>
      <c r="I29" s="116" t="str" cm="1">
        <f t="array" ref="I29">Common_InputFunctions.Utility_DisplayArrayInTable(Fertiliser_SourceData.Fertiliser_ChemicalCompoundElements_Data(),Table_Fertiliser_ChemicalCompounds[[#Headers],[Fertiliser type f]], 0)</f>
        <v>LifeCycles</v>
      </c>
    </row>
    <row r="30" spans="4:9" ht="20.100000000000001" customHeight="1" x14ac:dyDescent="0.25">
      <c r="D30" s="116" t="str" cm="1">
        <f t="array" ref="D30">Common_InputFunctions.Utility_DisplayArrayInTable(Fertiliser_SourceData.Fertiliser_ChemicalCompoundElements_Data(),Table_Fertiliser_ChemicalCompounds[[#Headers],[Fertiliser type f]], 0)</f>
        <v>Zinc - Generic</v>
      </c>
      <c r="E30" s="116" cm="1">
        <f t="array" ref="E30">Common_InputFunctions.Utility_DisplayArrayInTable(Fertiliser_SourceData.Fertiliser_ChemicalCompoundElements_Data(),Table_Fertiliser_ChemicalCompounds[[#Headers],[Fertiliser type f]], 0)</f>
        <v>0</v>
      </c>
      <c r="F30" s="116" cm="1">
        <f t="array" ref="F30">Common_InputFunctions.Utility_DisplayArrayInTable(Fertiliser_SourceData.Fertiliser_ChemicalCompoundElements_Data(),Table_Fertiliser_ChemicalCompounds[[#Headers],[Fertiliser type f]], 0)</f>
        <v>0</v>
      </c>
      <c r="G30" s="116" t="str" cm="1">
        <f t="array" ref="G30">Common_InputFunctions.Utility_DisplayArrayInTable(Fertiliser_SourceData.Fertiliser_ChemicalCompoundElements_Data(),Table_Fertiliser_ChemicalCompounds[[#Headers],[Fertiliser type f]], 0)</f>
        <v>Other fertilisers</v>
      </c>
      <c r="H30" s="116" t="str" cm="1">
        <f t="array" ref="H30">Common_InputFunctions.Utility_DisplayArrayInTable(Fertiliser_SourceData.Fertiliser_ChemicalCompoundElements_Data(),Table_Fertiliser_ChemicalCompounds[[#Headers],[Fertiliser type f]], 0)</f>
        <v>Zinc from fertiliser</v>
      </c>
      <c r="I30" s="116" t="str" cm="1">
        <f t="array" ref="I30">Common_InputFunctions.Utility_DisplayArrayInTable(Fertiliser_SourceData.Fertiliser_ChemicalCompoundElements_Data(),Table_Fertiliser_ChemicalCompounds[[#Headers],[Fertiliser type f]], 0)</f>
        <v>LifeCycles</v>
      </c>
    </row>
    <row r="31" spans="4:9" ht="20.100000000000001" customHeight="1" x14ac:dyDescent="0.25">
      <c r="D31" s="116" t="str" cm="1">
        <f t="array" ref="D31">Common_InputFunctions.Utility_DisplayArrayInTable(Fertiliser_SourceData.Fertiliser_ChemicalCompoundElements_Data(),Table_Fertiliser_ChemicalCompounds[[#Headers],[Fertiliser type f]], 0)</f>
        <v>Muriate of potash (MOP)</v>
      </c>
      <c r="E31" s="116" cm="1">
        <f t="array" ref="E31">Common_InputFunctions.Utility_DisplayArrayInTable(Fertiliser_SourceData.Fertiliser_ChemicalCompoundElements_Data(),Table_Fertiliser_ChemicalCompounds[[#Headers],[Fertiliser type f]], 0)</f>
        <v>0</v>
      </c>
      <c r="F31" s="116" cm="1">
        <f t="array" ref="F31">Common_InputFunctions.Utility_DisplayArrayInTable(Fertiliser_SourceData.Fertiliser_ChemicalCompoundElements_Data(),Table_Fertiliser_ChemicalCompounds[[#Headers],[Fertiliser type f]], 0)</f>
        <v>0</v>
      </c>
      <c r="G31" s="116" t="str" cm="1">
        <f t="array" ref="G31">Common_InputFunctions.Utility_DisplayArrayInTable(Fertiliser_SourceData.Fertiliser_ChemicalCompoundElements_Data(),Table_Fertiliser_ChemicalCompounds[[#Headers],[Fertiliser type f]], 0)</f>
        <v>Other fertilisers</v>
      </c>
      <c r="H31" s="116" t="str" cm="1">
        <f t="array" ref="H31">Common_InputFunctions.Utility_DisplayArrayInTable(Fertiliser_SourceData.Fertiliser_ChemicalCompoundElements_Data(),Table_Fertiliser_ChemicalCompounds[[#Headers],[Fertiliser type f]], 0)</f>
        <v>Muriate of potash (MOP)</v>
      </c>
      <c r="I31" s="116" t="str" cm="1">
        <f t="array" ref="I31">Common_InputFunctions.Utility_DisplayArrayInTable(Fertiliser_SourceData.Fertiliser_ChemicalCompoundElements_Data(),Table_Fertiliser_ChemicalCompounds[[#Headers],[Fertiliser type f]], 0)</f>
        <v>LifeCycles</v>
      </c>
    </row>
    <row r="32" spans="4:9" ht="20.100000000000001" customHeight="1" x14ac:dyDescent="0.25">
      <c r="D32" s="116" t="str" cm="1">
        <f t="array" ref="D32">Common_InputFunctions.Utility_DisplayArrayInTable(Fertiliser_SourceData.Fertiliser_ChemicalCompoundElements_Data(),Table_Fertiliser_ChemicalCompounds[[#Headers],[Fertiliser type f]], 0)</f>
        <v>Double superphosphate</v>
      </c>
      <c r="E32" s="116" cm="1">
        <f t="array" ref="E32">Common_InputFunctions.Utility_DisplayArrayInTable(Fertiliser_SourceData.Fertiliser_ChemicalCompoundElements_Data(),Table_Fertiliser_ChemicalCompounds[[#Headers],[Fertiliser type f]], 0)</f>
        <v>0</v>
      </c>
      <c r="F32" s="116" cm="1">
        <f t="array" ref="F32">Common_InputFunctions.Utility_DisplayArrayInTable(Fertiliser_SourceData.Fertiliser_ChemicalCompoundElements_Data(),Table_Fertiliser_ChemicalCompounds[[#Headers],[Fertiliser type f]], 0)</f>
        <v>0</v>
      </c>
      <c r="G32" s="116" t="str" cm="1">
        <f t="array" ref="G32">Common_InputFunctions.Utility_DisplayArrayInTable(Fertiliser_SourceData.Fertiliser_ChemicalCompoundElements_Data(),Table_Fertiliser_ChemicalCompounds[[#Headers],[Fertiliser type f]], 0)</f>
        <v>Other fertilisers</v>
      </c>
      <c r="H32" s="116" t="str" cm="1">
        <f t="array" ref="H32">Common_InputFunctions.Utility_DisplayArrayInTable(Fertiliser_SourceData.Fertiliser_ChemicalCompoundElements_Data(),Table_Fertiliser_ChemicalCompounds[[#Headers],[Fertiliser type f]], 0)</f>
        <v>Double superphosphate</v>
      </c>
      <c r="I32" s="116" t="str" cm="1">
        <f t="array" ref="I32">Common_InputFunctions.Utility_DisplayArrayInTable(Fertiliser_SourceData.Fertiliser_ChemicalCompoundElements_Data(),Table_Fertiliser_ChemicalCompounds[[#Headers],[Fertiliser type f]], 0)</f>
        <v>LifeCycles</v>
      </c>
    </row>
    <row r="33" spans="4:9" ht="20.100000000000001" customHeight="1" x14ac:dyDescent="0.25">
      <c r="D33" s="116" t="str" cm="1">
        <f t="array" ref="D33">Common_InputFunctions.Utility_DisplayArrayInTable(Fertiliser_SourceData.Fertiliser_ChemicalCompoundElements_Data(),Table_Fertiliser_ChemicalCompounds[[#Headers],[Fertiliser type f]], 0)</f>
        <v>Single superphosphate (SSP)</v>
      </c>
      <c r="E33" s="116" cm="1">
        <f t="array" ref="E33">Common_InputFunctions.Utility_DisplayArrayInTable(Fertiliser_SourceData.Fertiliser_ChemicalCompoundElements_Data(),Table_Fertiliser_ChemicalCompounds[[#Headers],[Fertiliser type f]], 0)</f>
        <v>0</v>
      </c>
      <c r="F33" s="116" cm="1">
        <f t="array" ref="F33">Common_InputFunctions.Utility_DisplayArrayInTable(Fertiliser_SourceData.Fertiliser_ChemicalCompoundElements_Data(),Table_Fertiliser_ChemicalCompounds[[#Headers],[Fertiliser type f]], 0)</f>
        <v>0</v>
      </c>
      <c r="G33" s="116" t="str" cm="1">
        <f t="array" ref="G33">Common_InputFunctions.Utility_DisplayArrayInTable(Fertiliser_SourceData.Fertiliser_ChemicalCompoundElements_Data(),Table_Fertiliser_ChemicalCompounds[[#Headers],[Fertiliser type f]], 0)</f>
        <v>Other fertilisers</v>
      </c>
      <c r="H33" s="116" t="str" cm="1">
        <f t="array" ref="H33">Common_InputFunctions.Utility_DisplayArrayInTable(Fertiliser_SourceData.Fertiliser_ChemicalCompoundElements_Data(),Table_Fertiliser_ChemicalCompounds[[#Headers],[Fertiliser type f]], 0)</f>
        <v>Single superphosphate (SSP)</v>
      </c>
      <c r="I33" s="116" t="str" cm="1">
        <f t="array" ref="I33">Common_InputFunctions.Utility_DisplayArrayInTable(Fertiliser_SourceData.Fertiliser_ChemicalCompoundElements_Data(),Table_Fertiliser_ChemicalCompounds[[#Headers],[Fertiliser type f]], 0)</f>
        <v>LifeCycles</v>
      </c>
    </row>
    <row r="34" spans="4:9" ht="20.100000000000001" customHeight="1" x14ac:dyDescent="0.25">
      <c r="D34" s="116" t="str" cm="1">
        <f t="array" ref="D34">Common_InputFunctions.Utility_DisplayArrayInTable(Fertiliser_SourceData.Fertiliser_ChemicalCompoundElements_Data(),Table_Fertiliser_ChemicalCompounds[[#Headers],[Fertiliser type f]], 0)</f>
        <v>Ammonia</v>
      </c>
      <c r="E34" s="117" cm="1">
        <f t="array" ref="E34">Common_InputFunctions.Utility_DisplayArrayInTable(Fertiliser_SourceData.Fertiliser_ChemicalCompoundElements_Data(),Table_Fertiliser_ChemicalCompounds[[#Headers],[Fertiliser type f]], 0)</f>
        <v>0.82</v>
      </c>
      <c r="F34" s="116" cm="1">
        <f t="array" ref="F34">Common_InputFunctions.Utility_DisplayArrayInTable(Fertiliser_SourceData.Fertiliser_ChemicalCompoundElements_Data(),Table_Fertiliser_ChemicalCompounds[[#Headers],[Fertiliser type f]], 0)</f>
        <v>0</v>
      </c>
      <c r="G34" s="116" t="str" cm="1">
        <f t="array" ref="G34">Common_InputFunctions.Utility_DisplayArrayInTable(Fertiliser_SourceData.Fertiliser_ChemicalCompoundElements_Data(),Table_Fertiliser_ChemicalCompounds[[#Headers],[Fertiliser type f]], 0)</f>
        <v>Ammonium-based fertilisers</v>
      </c>
      <c r="H34" s="116" t="str" cm="1">
        <f t="array" ref="H34">Common_InputFunctions.Utility_DisplayArrayInTable(Fertiliser_SourceData.Fertiliser_ChemicalCompoundElements_Data(),Table_Fertiliser_ChemicalCompounds[[#Headers],[Fertiliser type f]], 0)</f>
        <v>Ammonia</v>
      </c>
      <c r="I34" s="116" t="str" cm="1">
        <f t="array" ref="I34">Common_InputFunctions.Utility_DisplayArrayInTable(Fertiliser_SourceData.Fertiliser_ChemicalCompoundElements_Data(),Table_Fertiliser_ChemicalCompounds[[#Headers],[Fertiliser type f]], 0)</f>
        <v>LifeCycles</v>
      </c>
    </row>
    <row r="35" spans="4:9" ht="20.100000000000001" customHeight="1" x14ac:dyDescent="0.25"/>
    <row r="36" spans="4:9" ht="20.100000000000001" customHeight="1" x14ac:dyDescent="0.25"/>
    <row r="37" spans="4:9" ht="20.100000000000001" customHeight="1" x14ac:dyDescent="0.25">
      <c r="D37" s="119" t="s">
        <v>220</v>
      </c>
      <c r="F37" s="119" t="s">
        <v>252</v>
      </c>
      <c r="G37" s="101" t="s">
        <v>221</v>
      </c>
      <c r="H37" s="119" t="s">
        <v>214</v>
      </c>
    </row>
    <row r="38" spans="4:9" ht="20.100000000000001" customHeight="1" x14ac:dyDescent="0.25"/>
    <row r="39" spans="4:9" ht="20.100000000000001" customHeight="1" x14ac:dyDescent="0.25">
      <c r="D39" s="37" t="s">
        <v>100</v>
      </c>
      <c r="F39" s="37" t="s">
        <v>100</v>
      </c>
      <c r="H39" s="37" t="s">
        <v>99</v>
      </c>
    </row>
    <row r="40" spans="4:9" ht="20.100000000000001" customHeight="1" x14ac:dyDescent="0.25">
      <c r="D40" s="37" t="s">
        <v>215</v>
      </c>
      <c r="F40" s="37" t="s">
        <v>215</v>
      </c>
      <c r="H40" s="37" t="s">
        <v>216</v>
      </c>
    </row>
    <row r="41" spans="4:9" ht="20.100000000000001" customHeight="1" x14ac:dyDescent="0.25">
      <c r="D41" s="1" t="s">
        <v>212</v>
      </c>
      <c r="F41" s="1" t="s">
        <v>224</v>
      </c>
      <c r="H41" s="37" t="s">
        <v>217</v>
      </c>
    </row>
    <row r="42" spans="4:9" ht="20.100000000000001" customHeight="1" x14ac:dyDescent="0.25">
      <c r="F42" s="1" t="s">
        <v>222</v>
      </c>
      <c r="H42" s="1" t="s">
        <v>213</v>
      </c>
    </row>
    <row r="43" spans="4:9" ht="20.100000000000001" customHeight="1" x14ac:dyDescent="0.25">
      <c r="F43" s="1" t="s">
        <v>223</v>
      </c>
      <c r="H43" s="1" t="s">
        <v>218</v>
      </c>
    </row>
    <row r="44" spans="4:9" ht="20.100000000000001" customHeight="1" x14ac:dyDescent="0.25">
      <c r="H44" s="1" t="s">
        <v>219</v>
      </c>
    </row>
    <row r="45" spans="4:9" ht="20.100000000000001" customHeight="1" x14ac:dyDescent="0.25">
      <c r="D45" s="6" t="str" cm="1">
        <f t="array" ref="D45">Fertiliser_SourceData.Fertiliser_FracGASF_Title()</f>
        <v>Fraction of inorganic fertiliser that volatilises as NH3 and NOx</v>
      </c>
      <c r="G45" s="115"/>
    </row>
    <row r="46" spans="4:9" ht="20.100000000000001" customHeight="1" x14ac:dyDescent="0.25">
      <c r="D46" s="5" t="str" cm="1">
        <f t="array" ref="D46">Fertiliser_SourceData.Fertiliser_FracGASF_Source()</f>
        <v>Table A.2.2.6: Fraction of inorganic fertiliser f that volatilises as NH3 and NOx ((kg NH3–N + NOx–N)/kg N) (FracGASFf)</v>
      </c>
      <c r="G46" s="115"/>
    </row>
    <row r="47" spans="4:9" ht="20.100000000000001" customHeight="1" x14ac:dyDescent="0.25">
      <c r="D47" s="37" t="s">
        <v>185</v>
      </c>
      <c r="E47" s="37" t="s">
        <v>211</v>
      </c>
      <c r="G47" s="115"/>
    </row>
    <row r="48" spans="4:9" ht="20.100000000000001" customHeight="1" x14ac:dyDescent="0.25">
      <c r="D48" s="37" t="str" cm="1">
        <f t="array" ref="D48">Common_InputFunctions.Utility_DisplayArrayInTable(Fertiliser_SourceData.Fertiliser_FracGASF_Data(), Table_SourceData_Fertiliser_FracGASF[[#Headers],[Fertiliser type f]], 0)</f>
        <v>Urea-based fertilisers</v>
      </c>
      <c r="E48" s="37" cm="1">
        <f t="array" ref="E48">Common_InputFunctions.Utility_DisplayArrayInTable(Fertiliser_SourceData.Fertiliser_FracGASF_Data(), Table_SourceData_Fertiliser_FracGASF[[#Headers],[Fertiliser type f]], 0)</f>
        <v>0.15</v>
      </c>
      <c r="G48" s="115"/>
    </row>
    <row r="49" spans="4:36" ht="20.100000000000001" customHeight="1" x14ac:dyDescent="0.25">
      <c r="D49" s="1" t="str" cm="1">
        <f t="array" ref="D49">Common_InputFunctions.Utility_DisplayArrayInTable(Fertiliser_SourceData.Fertiliser_FracGASF_Data(), Table_SourceData_Fertiliser_FracGASF[[#Headers],[Fertiliser type f]], 0)</f>
        <v>Ammonium-based fertilisers</v>
      </c>
      <c r="E49" s="37" cm="1">
        <f t="array" ref="E49">Common_InputFunctions.Utility_DisplayArrayInTable(Fertiliser_SourceData.Fertiliser_FracGASF_Data(), Table_SourceData_Fertiliser_FracGASF[[#Headers],[Fertiliser type f]], 0)</f>
        <v>0.08</v>
      </c>
      <c r="G49" s="115"/>
    </row>
    <row r="50" spans="4:36" ht="20.100000000000001" customHeight="1" x14ac:dyDescent="0.25">
      <c r="D50" s="1" t="str" cm="1">
        <f t="array" ref="D50">Common_InputFunctions.Utility_DisplayArrayInTable(Fertiliser_SourceData.Fertiliser_FracGASF_Data(), Table_SourceData_Fertiliser_FracGASF[[#Headers],[Fertiliser type f]], 0)</f>
        <v>Nitrate-based fertilisers</v>
      </c>
      <c r="E50" s="37" cm="1">
        <f t="array" ref="E50">Common_InputFunctions.Utility_DisplayArrayInTable(Fertiliser_SourceData.Fertiliser_FracGASF_Data(), Table_SourceData_Fertiliser_FracGASF[[#Headers],[Fertiliser type f]], 0)</f>
        <v>0.01</v>
      </c>
      <c r="G50" s="115"/>
    </row>
    <row r="51" spans="4:36" ht="20.100000000000001" customHeight="1" x14ac:dyDescent="0.25">
      <c r="D51" s="1" t="str" cm="1">
        <f t="array" ref="D51">Common_InputFunctions.Utility_DisplayArrayInTable(Fertiliser_SourceData.Fertiliser_FracGASF_Data(), Table_SourceData_Fertiliser_FracGASF[[#Headers],[Fertiliser type f]], 0)</f>
        <v>Ammonium-nitrate based fertilisers</v>
      </c>
      <c r="E51" s="37" cm="1">
        <f t="array" ref="E51">Common_InputFunctions.Utility_DisplayArrayInTable(Fertiliser_SourceData.Fertiliser_FracGASF_Data(), Table_SourceData_Fertiliser_FracGASF[[#Headers],[Fertiliser type f]], 0)</f>
        <v>0.05</v>
      </c>
      <c r="G51" s="115"/>
      <c r="H51" s="115"/>
    </row>
    <row r="52" spans="4:36" ht="20.100000000000001" customHeight="1" x14ac:dyDescent="0.25">
      <c r="D52" s="1" t="str" cm="1">
        <f t="array" ref="D52">Common_InputFunctions.Utility_DisplayArrayInTable(Fertiliser_SourceData.Fertiliser_FracGASF_Data(), Table_SourceData_Fertiliser_FracGASF[[#Headers],[Fertiliser type f]], 0)</f>
        <v>Other fertilisers</v>
      </c>
      <c r="E52" s="37" cm="1">
        <f t="array" ref="E52">Common_InputFunctions.Utility_DisplayArrayInTable(Fertiliser_SourceData.Fertiliser_FracGASF_Data(), Table_SourceData_Fertiliser_FracGASF[[#Headers],[Fertiliser type f]], 0)</f>
        <v>0.11</v>
      </c>
      <c r="G52" s="115"/>
      <c r="H52" s="115"/>
    </row>
    <row r="53" spans="4:36" ht="20.100000000000001" customHeight="1" x14ac:dyDescent="0.25"/>
    <row r="54" spans="4:36" ht="20.100000000000001" customHeight="1" x14ac:dyDescent="0.25"/>
    <row r="55" spans="4:36" ht="20.100000000000001" customHeight="1" x14ac:dyDescent="0.25"/>
    <row r="56" spans="4:36" ht="20.100000000000001" customHeight="1" x14ac:dyDescent="0.25"/>
    <row r="57" spans="4:36" ht="20.100000000000001" customHeight="1" x14ac:dyDescent="0.25"/>
    <row r="58" spans="4:36" ht="20.100000000000001" customHeight="1" x14ac:dyDescent="0.25"/>
    <row r="59" spans="4:36" ht="20.100000000000001" customHeight="1" x14ac:dyDescent="0.25"/>
    <row r="60" spans="4:36" ht="20.100000000000001" customHeight="1" x14ac:dyDescent="0.25">
      <c r="D60" s="6" t="s">
        <v>186</v>
      </c>
      <c r="E60" s="115"/>
      <c r="F60" s="115"/>
      <c r="G60" s="115"/>
      <c r="H60" s="115"/>
      <c r="I60" s="115"/>
      <c r="J60" s="115"/>
      <c r="K60" s="115"/>
      <c r="L60" s="115"/>
      <c r="N60" s="115"/>
      <c r="O60" s="115"/>
      <c r="P60" s="115"/>
      <c r="Q60" s="115"/>
      <c r="R60" s="115"/>
      <c r="S60" s="115"/>
      <c r="T60" s="115"/>
      <c r="U60" s="115"/>
    </row>
    <row r="61" spans="4:36" ht="20.100000000000001" customHeight="1" x14ac:dyDescent="0.25">
      <c r="D61" s="115"/>
    </row>
    <row r="62" spans="4:36" ht="20.100000000000001" customHeight="1" x14ac:dyDescent="0.25">
      <c r="D62" s="154" t="s">
        <v>187</v>
      </c>
      <c r="E62" s="155" t="s">
        <v>16</v>
      </c>
      <c r="F62" s="155" t="s">
        <v>317</v>
      </c>
      <c r="G62" s="156" t="s">
        <v>188</v>
      </c>
      <c r="H62" s="156" t="s">
        <v>189</v>
      </c>
      <c r="I62" s="156" t="s">
        <v>190</v>
      </c>
      <c r="J62" s="156" t="s">
        <v>191</v>
      </c>
      <c r="K62" s="156" t="s">
        <v>192</v>
      </c>
      <c r="L62" s="156" t="s">
        <v>193</v>
      </c>
      <c r="M62" s="156" t="s">
        <v>194</v>
      </c>
      <c r="N62" s="156" t="s">
        <v>195</v>
      </c>
      <c r="O62" s="155" t="s">
        <v>196</v>
      </c>
      <c r="P62" s="156" t="s">
        <v>197</v>
      </c>
      <c r="Q62" s="156" t="s">
        <v>198</v>
      </c>
      <c r="R62" s="156" t="s">
        <v>199</v>
      </c>
      <c r="S62" s="156" t="s">
        <v>200</v>
      </c>
      <c r="T62" s="156" t="s">
        <v>201</v>
      </c>
      <c r="U62" s="156" t="s">
        <v>202</v>
      </c>
      <c r="V62" s="156" t="s">
        <v>203</v>
      </c>
      <c r="W62" s="156" t="s">
        <v>204</v>
      </c>
      <c r="X62" s="156" t="s">
        <v>205</v>
      </c>
      <c r="Y62" s="156" t="s">
        <v>321</v>
      </c>
      <c r="Z62" s="156" t="s">
        <v>322</v>
      </c>
      <c r="AA62" s="158" t="s">
        <v>323</v>
      </c>
      <c r="AB62" s="158" t="s">
        <v>324</v>
      </c>
      <c r="AC62" s="158" t="s">
        <v>325</v>
      </c>
      <c r="AD62" s="158" t="s">
        <v>326</v>
      </c>
      <c r="AE62" s="158" t="s">
        <v>327</v>
      </c>
      <c r="AF62" s="158" t="s">
        <v>329</v>
      </c>
      <c r="AG62" s="158" t="s">
        <v>328</v>
      </c>
      <c r="AH62" s="158" t="s">
        <v>331</v>
      </c>
      <c r="AI62" s="158" t="s">
        <v>332</v>
      </c>
      <c r="AJ62" s="158" t="s">
        <v>330</v>
      </c>
    </row>
    <row r="63" spans="4:36" ht="20.100000000000001" customHeight="1" x14ac:dyDescent="0.25">
      <c r="D63" s="157" t="str" cm="1">
        <f t="array" ref="D63">Common_InputFunctions.Utility_DisplayArrayInTable(Fertiliser_SourceData.Fertiliser_Products_Data1(),FertiliserProducts[[#Headers],[Product]], 0)</f>
        <v>Agflow Boost</v>
      </c>
      <c r="E63" s="157" t="str" cm="1">
        <f t="array" ref="E63">Common_InputFunctions.Utility_DisplayArrayInTable(Fertiliser_SourceData.Fertiliser_Products_Data1(),FertiliserProducts[[#Headers],[Product]], 0)</f>
        <v>kg</v>
      </c>
      <c r="F63" s="157" cm="1">
        <f t="array" ref="F63">Common_InputFunctions.Utility_DisplayArrayInTable(Fertiliser_SourceData.Fertiliser_Products_Data1(),FertiliserProducts[[#Headers],[Product]], 0)</f>
        <v>1</v>
      </c>
      <c r="G63" s="157" t="str" cm="1">
        <f t="array" ref="G63">Common_InputFunctions.Utility_DisplayArrayInTable(Fertiliser_SourceData.Fertiliser_Products_Data1(),FertiliserProducts[[#Headers],[Product]], 0)</f>
        <v>Nitrogen - Ammoniacal</v>
      </c>
      <c r="H63" s="157" cm="1">
        <f t="array" ref="H63">Common_InputFunctions.Utility_DisplayArrayInTable(Fertiliser_SourceData.Fertiliser_Products_Data1(),FertiliserProducts[[#Headers],[Product]], 0)</f>
        <v>3.5000000000000003E-2</v>
      </c>
      <c r="I63" s="157" t="str" cm="1">
        <f t="array" ref="I63">Common_InputFunctions.Utility_DisplayArrayInTable(Fertiliser_SourceData.Fertiliser_Products_Data1(),FertiliserProducts[[#Headers],[Product]], 0)</f>
        <v>Location not specified</v>
      </c>
      <c r="J63" s="157" t="str" cm="1">
        <f t="array" ref="J63">Common_InputFunctions.Utility_DisplayArrayInTable(Fertiliser_SourceData.Fertiliser_Products_Data1(),FertiliserProducts[[#Headers],[Product]], 0)</f>
        <v>Nitrogen from Nitrate</v>
      </c>
      <c r="K63" s="157" cm="1">
        <f t="array" ref="K63">Common_InputFunctions.Utility_DisplayArrayInTable(Fertiliser_SourceData.Fertiliser_Products_Data1(),FertiliserProducts[[#Headers],[Product]], 0)</f>
        <v>0.03</v>
      </c>
      <c r="L63" s="157" t="str" cm="1">
        <f t="array" ref="L63">Common_InputFunctions.Utility_DisplayArrayInTable(Fertiliser_SourceData.Fertiliser_Products_Data1(),FertiliserProducts[[#Headers],[Product]], 0)</f>
        <v>Location not specified</v>
      </c>
      <c r="M63" s="158" t="str" cm="1">
        <f t="array" ref="M63">Common_InputFunctions.Utility_DisplayArrayInTable(Fertiliser_SourceData.Fertiliser_Products_Data1(),FertiliserProducts[[#Headers],[Product]], 0)</f>
        <v>Nitrogen - Generic</v>
      </c>
      <c r="N63" s="157" cm="1">
        <f t="array" ref="N63">Common_InputFunctions.Utility_DisplayArrayInTable(Fertiliser_SourceData.Fertiliser_Products_Data1(),FertiliserProducts[[#Headers],[Product]], 0)</f>
        <v>0.14499999999999999</v>
      </c>
      <c r="O63" s="157" t="str" cm="1">
        <f t="array" ref="O63">Common_InputFunctions.Utility_DisplayArrayInTable(Fertiliser_SourceData.Fertiliser_Products_Data1(),FertiliserProducts[[#Headers],[Product]], 0)</f>
        <v>Location not specified</v>
      </c>
      <c r="P63" s="157" t="str" cm="1">
        <f t="array" ref="P63">Common_InputFunctions.Utility_DisplayArrayInTable(Fertiliser_SourceData.Fertiliser_Products_Data1(),FertiliserProducts[[#Headers],[Product]], 0)</f>
        <v>Potassium - Generic</v>
      </c>
      <c r="Q63" s="157" cm="1">
        <f t="array" ref="Q63">Common_InputFunctions.Utility_DisplayArrayInTable(Fertiliser_SourceData.Fertiliser_Products_Data1(),FertiliserProducts[[#Headers],[Product]], 0)</f>
        <v>0.05</v>
      </c>
      <c r="R63" s="157" t="str" cm="1">
        <f t="array" ref="R63">Common_InputFunctions.Utility_DisplayArrayInTable(Fertiliser_SourceData.Fertiliser_Products_Data1(),FertiliserProducts[[#Headers],[Product]], 0)</f>
        <v>Location not specified</v>
      </c>
      <c r="S63" s="157" t="str" cm="1">
        <f t="array" ref="S63">Common_InputFunctions.Utility_DisplayArrayInTable(Fertiliser_SourceData.Fertiliser_Products_Data1(),FertiliserProducts[[#Headers],[Product]], 0)</f>
        <v>Sulfur - Generic</v>
      </c>
      <c r="T63" s="157" cm="1">
        <f t="array" ref="T63">Common_InputFunctions.Utility_DisplayArrayInTable(Fertiliser_SourceData.Fertiliser_Products_Data1(),FertiliserProducts[[#Headers],[Product]], 0)</f>
        <v>5.5E-2</v>
      </c>
      <c r="U63" s="157" t="str" cm="1">
        <f t="array" ref="U63">Common_InputFunctions.Utility_DisplayArrayInTable(Fertiliser_SourceData.Fertiliser_Products_Data1(),FertiliserProducts[[#Headers],[Product]], 0)</f>
        <v>Location not specified</v>
      </c>
      <c r="V63" s="158" t="str" cm="1">
        <f t="array" ref="V63">Common_InputFunctions.Utility_DisplayArrayInTable(Fertiliser_SourceData.Fertiliser_Products_Data1(),FertiliserProducts[[#Headers],[Product]], 0)</f>
        <v>Magnesium - generic</v>
      </c>
      <c r="W63" s="158" cm="1">
        <f t="array" ref="W63">Common_InputFunctions.Utility_DisplayArrayInTable(Fertiliser_SourceData.Fertiliser_Products_Data1(),FertiliserProducts[[#Headers],[Product]], 0)</f>
        <v>1.9E-2</v>
      </c>
      <c r="X63" s="158" t="str" cm="1">
        <f t="array" ref="X63">Common_InputFunctions.Utility_DisplayArrayInTable(Fertiliser_SourceData.Fertiliser_Products_Data1(),FertiliserProducts[[#Headers],[Product]], 0)</f>
        <v>Location not specified</v>
      </c>
      <c r="Y63" s="158" t="str" cm="1">
        <f t="array" ref="Y63">Common_InputFunctions.Utility_DisplayArrayInTable(Fertiliser_SourceData.Fertiliser_Products_Data1(),FertiliserProducts[[#Headers],[Product]], 0)</f>
        <v>Iron - generic</v>
      </c>
      <c r="Z63" s="158" cm="1">
        <f t="array" ref="Z63">Common_InputFunctions.Utility_DisplayArrayInTable(Fertiliser_SourceData.Fertiliser_Products_Data1(),FertiliserProducts[[#Headers],[Product]], 0)</f>
        <v>1.7000000000000001E-2</v>
      </c>
      <c r="AA63" s="158" t="str" cm="1">
        <f t="array" ref="AA63">Common_InputFunctions.Utility_DisplayArrayInTable(Fertiliser_SourceData.Fertiliser_Products_Data1(),FertiliserProducts[[#Headers],[Product]], 0)</f>
        <v>Location not specified</v>
      </c>
      <c r="AB63" s="158" t="str" cm="1">
        <f t="array" ref="AB63">Common_InputFunctions.Utility_DisplayArrayInTable(Fertiliser_SourceData.Fertiliser_Products_Data1(),FertiliserProducts[[#Headers],[Product]], 0)</f>
        <v>Phosphorus - Generic</v>
      </c>
      <c r="AC63" s="158" cm="1">
        <f t="array" ref="AC63">Common_InputFunctions.Utility_DisplayArrayInTable(Fertiliser_SourceData.Fertiliser_Products_Data1(),FertiliserProducts[[#Headers],[Product]], 0)</f>
        <v>8.0000000000000002E-3</v>
      </c>
      <c r="AD63" s="158" t="str" cm="1">
        <f t="array" ref="AD63">Common_InputFunctions.Utility_DisplayArrayInTable(Fertiliser_SourceData.Fertiliser_Products_Data1(),FertiliserProducts[[#Headers],[Product]], 0)</f>
        <v>Location not specified</v>
      </c>
      <c r="AE63" s="158" t="str" cm="1">
        <f t="array" ref="AE63">Common_InputFunctions.Utility_DisplayArrayInTable(Fertiliser_SourceData.Fertiliser_Products_Data1(),FertiliserProducts[[#Headers],[Product]], 0)</f>
        <v>Copper - generic</v>
      </c>
      <c r="AF63" s="158" cm="1">
        <f t="array" ref="AF63">Common_InputFunctions.Utility_DisplayArrayInTable(Fertiliser_SourceData.Fertiliser_Products_Data1(),FertiliserProducts[[#Headers],[Product]], 0)</f>
        <v>5.0000000000000001E-4</v>
      </c>
      <c r="AG63" s="158" t="str" cm="1">
        <f t="array" ref="AG63">Common_InputFunctions.Utility_DisplayArrayInTable(Fertiliser_SourceData.Fertiliser_Products_Data1(),FertiliserProducts[[#Headers],[Product]], 0)</f>
        <v>Location not specified</v>
      </c>
      <c r="AH63" s="158" t="str" cm="1">
        <f t="array" ref="AH63">Common_InputFunctions.Utility_DisplayArrayInTable(Fertiliser_SourceData.Fertiliser_Products_Data1(),FertiliserProducts[[#Headers],[Product]], 0)</f>
        <v>Manganese - Generic</v>
      </c>
      <c r="AI63" s="158" cm="1">
        <f t="array" ref="AI63">Common_InputFunctions.Utility_DisplayArrayInTable(Fertiliser_SourceData.Fertiliser_Products_Data1(),FertiliserProducts[[#Headers],[Product]], 0)</f>
        <v>5.0000000000000001E-4</v>
      </c>
      <c r="AJ63" s="158" t="str" cm="1">
        <f t="array" ref="AJ63">Common_InputFunctions.Utility_DisplayArrayInTable(Fertiliser_SourceData.Fertiliser_Products_Data1(),FertiliserProducts[[#Headers],[Product]], 0)</f>
        <v>Location not specified</v>
      </c>
    </row>
    <row r="64" spans="4:36" ht="20.100000000000001" customHeight="1" x14ac:dyDescent="0.25">
      <c r="D64" s="157" t="str" cm="1">
        <f t="array" ref="D64">Common_InputFunctions.Utility_DisplayArrayInTable(Fertiliser_SourceData.Fertiliser_Products_Data1(),FertiliserProducts[[#Headers],[Product]], 0)</f>
        <v>AgNP</v>
      </c>
      <c r="E64" s="157" t="str" cm="1">
        <f t="array" ref="E64">Common_InputFunctions.Utility_DisplayArrayInTable(Fertiliser_SourceData.Fertiliser_Products_Data1(),FertiliserProducts[[#Headers],[Product]], 0)</f>
        <v>kg</v>
      </c>
      <c r="F64" s="157" cm="1">
        <f t="array" ref="F64">Common_InputFunctions.Utility_DisplayArrayInTable(Fertiliser_SourceData.Fertiliser_Products_Data1(),FertiliserProducts[[#Headers],[Product]], 0)</f>
        <v>1</v>
      </c>
      <c r="G64" s="157" t="str" cm="1">
        <f t="array" ref="G64">Common_InputFunctions.Utility_DisplayArrayInTable(Fertiliser_SourceData.Fertiliser_Products_Data1(),FertiliserProducts[[#Headers],[Product]], 0)</f>
        <v>Nitrogen - Ammoniacal</v>
      </c>
      <c r="H64" s="157" cm="1">
        <f t="array" ref="H64">Common_InputFunctions.Utility_DisplayArrayInTable(Fertiliser_SourceData.Fertiliser_Products_Data1(),FertiliserProducts[[#Headers],[Product]], 0)</f>
        <v>0.255</v>
      </c>
      <c r="I64" s="157" t="str" cm="1">
        <f t="array" ref="I64">Common_InputFunctions.Utility_DisplayArrayInTable(Fertiliser_SourceData.Fertiliser_Products_Data1(),FertiliserProducts[[#Headers],[Product]], 0)</f>
        <v>Location not specified</v>
      </c>
      <c r="J64" s="157" t="str" cm="1">
        <f t="array" ref="J64">Common_InputFunctions.Utility_DisplayArrayInTable(Fertiliser_SourceData.Fertiliser_Products_Data1(),FertiliserProducts[[#Headers],[Product]], 0)</f>
        <v>Sulfur - Generic</v>
      </c>
      <c r="K64" s="157" cm="1">
        <f t="array" ref="K64">Common_InputFunctions.Utility_DisplayArrayInTable(Fertiliser_SourceData.Fertiliser_Products_Data1(),FertiliserProducts[[#Headers],[Product]], 0)</f>
        <v>0.12</v>
      </c>
      <c r="L64" s="157" t="str" cm="1">
        <f t="array" ref="L64">Common_InputFunctions.Utility_DisplayArrayInTable(Fertiliser_SourceData.Fertiliser_Products_Data1(),FertiliserProducts[[#Headers],[Product]], 0)</f>
        <v>Location not specified</v>
      </c>
      <c r="M64" s="158" t="str" cm="1">
        <f t="array" ref="M64">Common_InputFunctions.Utility_DisplayArrayInTable(Fertiliser_SourceData.Fertiliser_Products_Data1(),FertiliserProducts[[#Headers],[Product]], 0)</f>
        <v/>
      </c>
      <c r="N64" s="157" t="str" cm="1">
        <f t="array" ref="N64">Common_InputFunctions.Utility_DisplayArrayInTable(Fertiliser_SourceData.Fertiliser_Products_Data1(),FertiliserProducts[[#Headers],[Product]], 0)</f>
        <v/>
      </c>
      <c r="O64" s="157" t="str" cm="1">
        <f t="array" ref="O64">Common_InputFunctions.Utility_DisplayArrayInTable(Fertiliser_SourceData.Fertiliser_Products_Data1(),FertiliserProducts[[#Headers],[Product]], 0)</f>
        <v/>
      </c>
      <c r="P64" s="157" t="str" cm="1">
        <f t="array" ref="P64">Common_InputFunctions.Utility_DisplayArrayInTable(Fertiliser_SourceData.Fertiliser_Products_Data1(),FertiliserProducts[[#Headers],[Product]], 0)</f>
        <v/>
      </c>
      <c r="Q64" s="157" t="str" cm="1">
        <f t="array" ref="Q64">Common_InputFunctions.Utility_DisplayArrayInTable(Fertiliser_SourceData.Fertiliser_Products_Data1(),FertiliserProducts[[#Headers],[Product]], 0)</f>
        <v/>
      </c>
      <c r="R64" s="157" t="str" cm="1">
        <f t="array" ref="R64">Common_InputFunctions.Utility_DisplayArrayInTable(Fertiliser_SourceData.Fertiliser_Products_Data1(),FertiliserProducts[[#Headers],[Product]], 0)</f>
        <v/>
      </c>
      <c r="S64" s="157" t="str" cm="1">
        <f t="array" ref="S64">Common_InputFunctions.Utility_DisplayArrayInTable(Fertiliser_SourceData.Fertiliser_Products_Data1(),FertiliserProducts[[#Headers],[Product]], 0)</f>
        <v/>
      </c>
      <c r="T64" s="157" t="str" cm="1">
        <f t="array" ref="T64">Common_InputFunctions.Utility_DisplayArrayInTable(Fertiliser_SourceData.Fertiliser_Products_Data1(),FertiliserProducts[[#Headers],[Product]], 0)</f>
        <v/>
      </c>
      <c r="U64" s="157" t="str" cm="1">
        <f t="array" ref="U64">Common_InputFunctions.Utility_DisplayArrayInTable(Fertiliser_SourceData.Fertiliser_Products_Data1(),FertiliserProducts[[#Headers],[Product]], 0)</f>
        <v/>
      </c>
      <c r="V64" s="158" t="str" cm="1">
        <f t="array" ref="V64">Common_InputFunctions.Utility_DisplayArrayInTable(Fertiliser_SourceData.Fertiliser_Products_Data1(),FertiliserProducts[[#Headers],[Product]], 0)</f>
        <v/>
      </c>
      <c r="W64" s="158" t="str" cm="1">
        <f t="array" ref="W64">Common_InputFunctions.Utility_DisplayArrayInTable(Fertiliser_SourceData.Fertiliser_Products_Data1(),FertiliserProducts[[#Headers],[Product]], 0)</f>
        <v/>
      </c>
      <c r="X64" s="158" t="str" cm="1">
        <f t="array" ref="X64">Common_InputFunctions.Utility_DisplayArrayInTable(Fertiliser_SourceData.Fertiliser_Products_Data1(),FertiliserProducts[[#Headers],[Product]], 0)</f>
        <v/>
      </c>
      <c r="Y64" s="158" t="str" cm="1">
        <f t="array" ref="Y64">Common_InputFunctions.Utility_DisplayArrayInTable(Fertiliser_SourceData.Fertiliser_Products_Data1(),FertiliserProducts[[#Headers],[Product]], 0)</f>
        <v/>
      </c>
      <c r="Z64" s="158" t="str" cm="1">
        <f t="array" ref="Z64">Common_InputFunctions.Utility_DisplayArrayInTable(Fertiliser_SourceData.Fertiliser_Products_Data1(),FertiliserProducts[[#Headers],[Product]], 0)</f>
        <v/>
      </c>
      <c r="AA64" s="158" t="str" cm="1">
        <f t="array" ref="AA64">Common_InputFunctions.Utility_DisplayArrayInTable(Fertiliser_SourceData.Fertiliser_Products_Data1(),FertiliserProducts[[#Headers],[Product]], 0)</f>
        <v/>
      </c>
      <c r="AB64" s="158" t="str" cm="1">
        <f t="array" ref="AB64">Common_InputFunctions.Utility_DisplayArrayInTable(Fertiliser_SourceData.Fertiliser_Products_Data1(),FertiliserProducts[[#Headers],[Product]], 0)</f>
        <v/>
      </c>
      <c r="AC64" s="158" t="str" cm="1">
        <f t="array" ref="AC64">Common_InputFunctions.Utility_DisplayArrayInTable(Fertiliser_SourceData.Fertiliser_Products_Data1(),FertiliserProducts[[#Headers],[Product]], 0)</f>
        <v/>
      </c>
      <c r="AD64" s="158" t="str" cm="1">
        <f t="array" ref="AD64">Common_InputFunctions.Utility_DisplayArrayInTable(Fertiliser_SourceData.Fertiliser_Products_Data1(),FertiliserProducts[[#Headers],[Product]], 0)</f>
        <v/>
      </c>
      <c r="AE64" s="158" t="str" cm="1">
        <f t="array" ref="AE64">Common_InputFunctions.Utility_DisplayArrayInTable(Fertiliser_SourceData.Fertiliser_Products_Data1(),FertiliserProducts[[#Headers],[Product]], 0)</f>
        <v/>
      </c>
      <c r="AF64" s="158" t="str" cm="1">
        <f t="array" ref="AF64">Common_InputFunctions.Utility_DisplayArrayInTable(Fertiliser_SourceData.Fertiliser_Products_Data1(),FertiliserProducts[[#Headers],[Product]], 0)</f>
        <v/>
      </c>
      <c r="AG64" s="158" t="str" cm="1">
        <f t="array" ref="AG64">Common_InputFunctions.Utility_DisplayArrayInTable(Fertiliser_SourceData.Fertiliser_Products_Data1(),FertiliserProducts[[#Headers],[Product]], 0)</f>
        <v/>
      </c>
      <c r="AH64" s="158" t="str" cm="1">
        <f t="array" ref="AH64">Common_InputFunctions.Utility_DisplayArrayInTable(Fertiliser_SourceData.Fertiliser_Products_Data1(),FertiliserProducts[[#Headers],[Product]], 0)</f>
        <v/>
      </c>
      <c r="AI64" s="158" t="str" cm="1">
        <f t="array" ref="AI64">Common_InputFunctions.Utility_DisplayArrayInTable(Fertiliser_SourceData.Fertiliser_Products_Data1(),FertiliserProducts[[#Headers],[Product]], 0)</f>
        <v/>
      </c>
      <c r="AJ64" s="158" t="str" cm="1">
        <f t="array" ref="AJ64">Common_InputFunctions.Utility_DisplayArrayInTable(Fertiliser_SourceData.Fertiliser_Products_Data1(),FertiliserProducts[[#Headers],[Product]], 0)</f>
        <v/>
      </c>
    </row>
    <row r="65" spans="4:36" ht="20.100000000000001" customHeight="1" x14ac:dyDescent="0.25">
      <c r="D65" s="157" t="str" cm="1">
        <f t="array" ref="D65">Common_InputFunctions.Utility_DisplayArrayInTable(Fertiliser_SourceData.Fertiliser_Products_Data1(),FertiliserProducts[[#Headers],[Product]], 0)</f>
        <v>Ammonium Bicarbonate(N)</v>
      </c>
      <c r="E65" s="157" t="str" cm="1">
        <f t="array" ref="E65">Common_InputFunctions.Utility_DisplayArrayInTable(Fertiliser_SourceData.Fertiliser_Products_Data1(),FertiliserProducts[[#Headers],[Product]], 0)</f>
        <v>kg</v>
      </c>
      <c r="F65" s="157" cm="1">
        <f t="array" ref="F65">Common_InputFunctions.Utility_DisplayArrayInTable(Fertiliser_SourceData.Fertiliser_Products_Data1(),FertiliserProducts[[#Headers],[Product]], 0)</f>
        <v>1</v>
      </c>
      <c r="G65" s="157" t="str" cm="1">
        <f t="array" ref="G65">Common_InputFunctions.Utility_DisplayArrayInTable(Fertiliser_SourceData.Fertiliser_Products_Data1(),FertiliserProducts[[#Headers],[Product]], 0)</f>
        <v>Nitrogen - Ammoniacal</v>
      </c>
      <c r="H65" s="157" cm="1">
        <f t="array" ref="H65">Common_InputFunctions.Utility_DisplayArrayInTable(Fertiliser_SourceData.Fertiliser_Products_Data1(),FertiliserProducts[[#Headers],[Product]], 0)</f>
        <v>0.17</v>
      </c>
      <c r="I65" s="157" t="str" cm="1">
        <f t="array" ref="I65">Common_InputFunctions.Utility_DisplayArrayInTable(Fertiliser_SourceData.Fertiliser_Products_Data1(),FertiliserProducts[[#Headers],[Product]], 0)</f>
        <v>China</v>
      </c>
      <c r="J65" s="157" t="str" cm="1">
        <f t="array" ref="J65">Common_InputFunctions.Utility_DisplayArrayInTable(Fertiliser_SourceData.Fertiliser_Products_Data1(),FertiliserProducts[[#Headers],[Product]], 0)</f>
        <v/>
      </c>
      <c r="K65" s="157" t="str" cm="1">
        <f t="array" ref="K65">Common_InputFunctions.Utility_DisplayArrayInTable(Fertiliser_SourceData.Fertiliser_Products_Data1(),FertiliserProducts[[#Headers],[Product]], 0)</f>
        <v/>
      </c>
      <c r="L65" s="157" t="str" cm="1">
        <f t="array" ref="L65">Common_InputFunctions.Utility_DisplayArrayInTable(Fertiliser_SourceData.Fertiliser_Products_Data1(),FertiliserProducts[[#Headers],[Product]], 0)</f>
        <v/>
      </c>
      <c r="M65" s="158" t="str" cm="1">
        <f t="array" ref="M65">Common_InputFunctions.Utility_DisplayArrayInTable(Fertiliser_SourceData.Fertiliser_Products_Data1(),FertiliserProducts[[#Headers],[Product]], 0)</f>
        <v/>
      </c>
      <c r="N65" s="157" t="str" cm="1">
        <f t="array" ref="N65">Common_InputFunctions.Utility_DisplayArrayInTable(Fertiliser_SourceData.Fertiliser_Products_Data1(),FertiliserProducts[[#Headers],[Product]], 0)</f>
        <v/>
      </c>
      <c r="O65" s="157" t="str" cm="1">
        <f t="array" ref="O65">Common_InputFunctions.Utility_DisplayArrayInTable(Fertiliser_SourceData.Fertiliser_Products_Data1(),FertiliserProducts[[#Headers],[Product]], 0)</f>
        <v/>
      </c>
      <c r="P65" s="157" t="str" cm="1">
        <f t="array" ref="P65">Common_InputFunctions.Utility_DisplayArrayInTable(Fertiliser_SourceData.Fertiliser_Products_Data1(),FertiliserProducts[[#Headers],[Product]], 0)</f>
        <v/>
      </c>
      <c r="Q65" s="157" t="str" cm="1">
        <f t="array" ref="Q65">Common_InputFunctions.Utility_DisplayArrayInTable(Fertiliser_SourceData.Fertiliser_Products_Data1(),FertiliserProducts[[#Headers],[Product]], 0)</f>
        <v/>
      </c>
      <c r="R65" s="157" t="str" cm="1">
        <f t="array" ref="R65">Common_InputFunctions.Utility_DisplayArrayInTable(Fertiliser_SourceData.Fertiliser_Products_Data1(),FertiliserProducts[[#Headers],[Product]], 0)</f>
        <v/>
      </c>
      <c r="S65" s="157" t="str" cm="1">
        <f t="array" ref="S65">Common_InputFunctions.Utility_DisplayArrayInTable(Fertiliser_SourceData.Fertiliser_Products_Data1(),FertiliserProducts[[#Headers],[Product]], 0)</f>
        <v/>
      </c>
      <c r="T65" s="157" t="str" cm="1">
        <f t="array" ref="T65">Common_InputFunctions.Utility_DisplayArrayInTable(Fertiliser_SourceData.Fertiliser_Products_Data1(),FertiliserProducts[[#Headers],[Product]], 0)</f>
        <v/>
      </c>
      <c r="U65" s="157" t="str" cm="1">
        <f t="array" ref="U65">Common_InputFunctions.Utility_DisplayArrayInTable(Fertiliser_SourceData.Fertiliser_Products_Data1(),FertiliserProducts[[#Headers],[Product]], 0)</f>
        <v/>
      </c>
      <c r="V65" s="158" t="str" cm="1">
        <f t="array" ref="V65">Common_InputFunctions.Utility_DisplayArrayInTable(Fertiliser_SourceData.Fertiliser_Products_Data1(),FertiliserProducts[[#Headers],[Product]], 0)</f>
        <v/>
      </c>
      <c r="W65" s="158" t="str" cm="1">
        <f t="array" ref="W65">Common_InputFunctions.Utility_DisplayArrayInTable(Fertiliser_SourceData.Fertiliser_Products_Data1(),FertiliserProducts[[#Headers],[Product]], 0)</f>
        <v/>
      </c>
      <c r="X65" s="158" t="str" cm="1">
        <f t="array" ref="X65">Common_InputFunctions.Utility_DisplayArrayInTable(Fertiliser_SourceData.Fertiliser_Products_Data1(),FertiliserProducts[[#Headers],[Product]], 0)</f>
        <v/>
      </c>
      <c r="Y65" s="158" t="str" cm="1">
        <f t="array" ref="Y65">Common_InputFunctions.Utility_DisplayArrayInTable(Fertiliser_SourceData.Fertiliser_Products_Data1(),FertiliserProducts[[#Headers],[Product]], 0)</f>
        <v/>
      </c>
      <c r="Z65" s="158" t="str" cm="1">
        <f t="array" ref="Z65">Common_InputFunctions.Utility_DisplayArrayInTable(Fertiliser_SourceData.Fertiliser_Products_Data1(),FertiliserProducts[[#Headers],[Product]], 0)</f>
        <v/>
      </c>
      <c r="AA65" s="158" t="str" cm="1">
        <f t="array" ref="AA65">Common_InputFunctions.Utility_DisplayArrayInTable(Fertiliser_SourceData.Fertiliser_Products_Data1(),FertiliserProducts[[#Headers],[Product]], 0)</f>
        <v/>
      </c>
      <c r="AB65" s="158" t="str" cm="1">
        <f t="array" ref="AB65">Common_InputFunctions.Utility_DisplayArrayInTable(Fertiliser_SourceData.Fertiliser_Products_Data1(),FertiliserProducts[[#Headers],[Product]], 0)</f>
        <v/>
      </c>
      <c r="AC65" s="158" t="str" cm="1">
        <f t="array" ref="AC65">Common_InputFunctions.Utility_DisplayArrayInTable(Fertiliser_SourceData.Fertiliser_Products_Data1(),FertiliserProducts[[#Headers],[Product]], 0)</f>
        <v/>
      </c>
      <c r="AD65" s="158" t="str" cm="1">
        <f t="array" ref="AD65">Common_InputFunctions.Utility_DisplayArrayInTable(Fertiliser_SourceData.Fertiliser_Products_Data1(),FertiliserProducts[[#Headers],[Product]], 0)</f>
        <v/>
      </c>
      <c r="AE65" s="158" t="str" cm="1">
        <f t="array" ref="AE65">Common_InputFunctions.Utility_DisplayArrayInTable(Fertiliser_SourceData.Fertiliser_Products_Data1(),FertiliserProducts[[#Headers],[Product]], 0)</f>
        <v/>
      </c>
      <c r="AF65" s="158" t="str" cm="1">
        <f t="array" ref="AF65">Common_InputFunctions.Utility_DisplayArrayInTable(Fertiliser_SourceData.Fertiliser_Products_Data1(),FertiliserProducts[[#Headers],[Product]], 0)</f>
        <v/>
      </c>
      <c r="AG65" s="158" t="str" cm="1">
        <f t="array" ref="AG65">Common_InputFunctions.Utility_DisplayArrayInTable(Fertiliser_SourceData.Fertiliser_Products_Data1(),FertiliserProducts[[#Headers],[Product]], 0)</f>
        <v/>
      </c>
      <c r="AH65" s="158" t="str" cm="1">
        <f t="array" ref="AH65">Common_InputFunctions.Utility_DisplayArrayInTable(Fertiliser_SourceData.Fertiliser_Products_Data1(),FertiliserProducts[[#Headers],[Product]], 0)</f>
        <v/>
      </c>
      <c r="AI65" s="158" t="str" cm="1">
        <f t="array" ref="AI65">Common_InputFunctions.Utility_DisplayArrayInTable(Fertiliser_SourceData.Fertiliser_Products_Data1(),FertiliserProducts[[#Headers],[Product]], 0)</f>
        <v/>
      </c>
      <c r="AJ65" s="158" t="str" cm="1">
        <f t="array" ref="AJ65">Common_InputFunctions.Utility_DisplayArrayInTable(Fertiliser_SourceData.Fertiliser_Products_Data1(),FertiliserProducts[[#Headers],[Product]], 0)</f>
        <v/>
      </c>
    </row>
    <row r="66" spans="4:36" ht="20.100000000000001" customHeight="1" x14ac:dyDescent="0.25">
      <c r="D66" s="157" t="str" cm="1">
        <f t="array" ref="D66">Common_InputFunctions.Utility_DisplayArrayInTable(Fertiliser_SourceData.Fertiliser_Products_Data1(),FertiliserProducts[[#Headers],[Product]], 0)</f>
        <v>Ammonium Sulfate (N)</v>
      </c>
      <c r="E66" s="157" t="str" cm="1">
        <f t="array" ref="E66">Common_InputFunctions.Utility_DisplayArrayInTable(Fertiliser_SourceData.Fertiliser_Products_Data1(),FertiliserProducts[[#Headers],[Product]], 0)</f>
        <v>kg</v>
      </c>
      <c r="F66" s="157" cm="1">
        <f t="array" ref="F66">Common_InputFunctions.Utility_DisplayArrayInTable(Fertiliser_SourceData.Fertiliser_Products_Data1(),FertiliserProducts[[#Headers],[Product]], 0)</f>
        <v>1</v>
      </c>
      <c r="G66" s="157" t="str" cm="1">
        <f t="array" ref="G66">Common_InputFunctions.Utility_DisplayArrayInTable(Fertiliser_SourceData.Fertiliser_Products_Data1(),FertiliserProducts[[#Headers],[Product]], 0)</f>
        <v>Sulfur - Generic</v>
      </c>
      <c r="H66" s="157" cm="1">
        <f t="array" ref="H66">Common_InputFunctions.Utility_DisplayArrayInTable(Fertiliser_SourceData.Fertiliser_Products_Data1(),FertiliserProducts[[#Headers],[Product]], 0)</f>
        <v>0.24</v>
      </c>
      <c r="I66" s="157" t="str" cm="1">
        <f t="array" ref="I66">Common_InputFunctions.Utility_DisplayArrayInTable(Fertiliser_SourceData.Fertiliser_Products_Data1(),FertiliserProducts[[#Headers],[Product]], 0)</f>
        <v>China</v>
      </c>
      <c r="J66" s="157" t="str" cm="1">
        <f t="array" ref="J66">Common_InputFunctions.Utility_DisplayArrayInTable(Fertiliser_SourceData.Fertiliser_Products_Data1(),FertiliserProducts[[#Headers],[Product]], 0)</f>
        <v>Nitrogen - Ammoniacal</v>
      </c>
      <c r="K66" s="157" cm="1">
        <f t="array" ref="K66">Common_InputFunctions.Utility_DisplayArrayInTable(Fertiliser_SourceData.Fertiliser_Products_Data1(),FertiliserProducts[[#Headers],[Product]], 0)</f>
        <v>0.21</v>
      </c>
      <c r="L66" s="157" t="str" cm="1">
        <f t="array" ref="L66">Common_InputFunctions.Utility_DisplayArrayInTable(Fertiliser_SourceData.Fertiliser_Products_Data1(),FertiliserProducts[[#Headers],[Product]], 0)</f>
        <v>China</v>
      </c>
      <c r="M66" s="158" t="str" cm="1">
        <f t="array" ref="M66">Common_InputFunctions.Utility_DisplayArrayInTable(Fertiliser_SourceData.Fertiliser_Products_Data1(),FertiliserProducts[[#Headers],[Product]], 0)</f>
        <v/>
      </c>
      <c r="N66" s="157" t="str" cm="1">
        <f t="array" ref="N66">Common_InputFunctions.Utility_DisplayArrayInTable(Fertiliser_SourceData.Fertiliser_Products_Data1(),FertiliserProducts[[#Headers],[Product]], 0)</f>
        <v/>
      </c>
      <c r="O66" s="157" t="str" cm="1">
        <f t="array" ref="O66">Common_InputFunctions.Utility_DisplayArrayInTable(Fertiliser_SourceData.Fertiliser_Products_Data1(),FertiliserProducts[[#Headers],[Product]], 0)</f>
        <v/>
      </c>
      <c r="P66" s="157" t="str" cm="1">
        <f t="array" ref="P66">Common_InputFunctions.Utility_DisplayArrayInTable(Fertiliser_SourceData.Fertiliser_Products_Data1(),FertiliserProducts[[#Headers],[Product]], 0)</f>
        <v/>
      </c>
      <c r="Q66" s="157" t="str" cm="1">
        <f t="array" ref="Q66">Common_InputFunctions.Utility_DisplayArrayInTable(Fertiliser_SourceData.Fertiliser_Products_Data1(),FertiliserProducts[[#Headers],[Product]], 0)</f>
        <v/>
      </c>
      <c r="R66" s="157" t="str" cm="1">
        <f t="array" ref="R66">Common_InputFunctions.Utility_DisplayArrayInTable(Fertiliser_SourceData.Fertiliser_Products_Data1(),FertiliserProducts[[#Headers],[Product]], 0)</f>
        <v/>
      </c>
      <c r="S66" s="157" t="str" cm="1">
        <f t="array" ref="S66">Common_InputFunctions.Utility_DisplayArrayInTable(Fertiliser_SourceData.Fertiliser_Products_Data1(),FertiliserProducts[[#Headers],[Product]], 0)</f>
        <v/>
      </c>
      <c r="T66" s="157" t="str" cm="1">
        <f t="array" ref="T66">Common_InputFunctions.Utility_DisplayArrayInTable(Fertiliser_SourceData.Fertiliser_Products_Data1(),FertiliserProducts[[#Headers],[Product]], 0)</f>
        <v/>
      </c>
      <c r="U66" s="157" t="str" cm="1">
        <f t="array" ref="U66">Common_InputFunctions.Utility_DisplayArrayInTable(Fertiliser_SourceData.Fertiliser_Products_Data1(),FertiliserProducts[[#Headers],[Product]], 0)</f>
        <v/>
      </c>
      <c r="V66" s="158" t="str" cm="1">
        <f t="array" ref="V66">Common_InputFunctions.Utility_DisplayArrayInTable(Fertiliser_SourceData.Fertiliser_Products_Data1(),FertiliserProducts[[#Headers],[Product]], 0)</f>
        <v/>
      </c>
      <c r="W66" s="158" t="str" cm="1">
        <f t="array" ref="W66">Common_InputFunctions.Utility_DisplayArrayInTable(Fertiliser_SourceData.Fertiliser_Products_Data1(),FertiliserProducts[[#Headers],[Product]], 0)</f>
        <v/>
      </c>
      <c r="X66" s="158" t="str" cm="1">
        <f t="array" ref="X66">Common_InputFunctions.Utility_DisplayArrayInTable(Fertiliser_SourceData.Fertiliser_Products_Data1(),FertiliserProducts[[#Headers],[Product]], 0)</f>
        <v/>
      </c>
      <c r="Y66" s="158" t="str" cm="1">
        <f t="array" ref="Y66">Common_InputFunctions.Utility_DisplayArrayInTable(Fertiliser_SourceData.Fertiliser_Products_Data1(),FertiliserProducts[[#Headers],[Product]], 0)</f>
        <v/>
      </c>
      <c r="Z66" s="158" t="str" cm="1">
        <f t="array" ref="Z66">Common_InputFunctions.Utility_DisplayArrayInTable(Fertiliser_SourceData.Fertiliser_Products_Data1(),FertiliserProducts[[#Headers],[Product]], 0)</f>
        <v/>
      </c>
      <c r="AA66" s="158" t="str" cm="1">
        <f t="array" ref="AA66">Common_InputFunctions.Utility_DisplayArrayInTable(Fertiliser_SourceData.Fertiliser_Products_Data1(),FertiliserProducts[[#Headers],[Product]], 0)</f>
        <v/>
      </c>
      <c r="AB66" s="158" t="str" cm="1">
        <f t="array" ref="AB66">Common_InputFunctions.Utility_DisplayArrayInTable(Fertiliser_SourceData.Fertiliser_Products_Data1(),FertiliserProducts[[#Headers],[Product]], 0)</f>
        <v/>
      </c>
      <c r="AC66" s="158" t="str" cm="1">
        <f t="array" ref="AC66">Common_InputFunctions.Utility_DisplayArrayInTable(Fertiliser_SourceData.Fertiliser_Products_Data1(),FertiliserProducts[[#Headers],[Product]], 0)</f>
        <v/>
      </c>
      <c r="AD66" s="158" t="str" cm="1">
        <f t="array" ref="AD66">Common_InputFunctions.Utility_DisplayArrayInTable(Fertiliser_SourceData.Fertiliser_Products_Data1(),FertiliserProducts[[#Headers],[Product]], 0)</f>
        <v/>
      </c>
      <c r="AE66" s="158" t="str" cm="1">
        <f t="array" ref="AE66">Common_InputFunctions.Utility_DisplayArrayInTable(Fertiliser_SourceData.Fertiliser_Products_Data1(),FertiliserProducts[[#Headers],[Product]], 0)</f>
        <v/>
      </c>
      <c r="AF66" s="158" t="str" cm="1">
        <f t="array" ref="AF66">Common_InputFunctions.Utility_DisplayArrayInTable(Fertiliser_SourceData.Fertiliser_Products_Data1(),FertiliserProducts[[#Headers],[Product]], 0)</f>
        <v/>
      </c>
      <c r="AG66" s="158" t="str" cm="1">
        <f t="array" ref="AG66">Common_InputFunctions.Utility_DisplayArrayInTable(Fertiliser_SourceData.Fertiliser_Products_Data1(),FertiliserProducts[[#Headers],[Product]], 0)</f>
        <v/>
      </c>
      <c r="AH66" s="158" t="str" cm="1">
        <f t="array" ref="AH66">Common_InputFunctions.Utility_DisplayArrayInTable(Fertiliser_SourceData.Fertiliser_Products_Data1(),FertiliserProducts[[#Headers],[Product]], 0)</f>
        <v/>
      </c>
      <c r="AI66" s="158" t="str" cm="1">
        <f t="array" ref="AI66">Common_InputFunctions.Utility_DisplayArrayInTable(Fertiliser_SourceData.Fertiliser_Products_Data1(),FertiliserProducts[[#Headers],[Product]], 0)</f>
        <v/>
      </c>
      <c r="AJ66" s="158" t="str" cm="1">
        <f t="array" ref="AJ66">Common_InputFunctions.Utility_DisplayArrayInTable(Fertiliser_SourceData.Fertiliser_Products_Data1(),FertiliserProducts[[#Headers],[Product]], 0)</f>
        <v/>
      </c>
    </row>
    <row r="67" spans="4:36" ht="20.100000000000001" customHeight="1" x14ac:dyDescent="0.25">
      <c r="D67" s="157" t="str" cm="1">
        <f t="array" ref="D67">Common_InputFunctions.Utility_DisplayArrayInTable(Fertiliser_SourceData.Fertiliser_Products_Data1(),FertiliserProducts[[#Headers],[Product]], 0)</f>
        <v>Ammonium Sulphate</v>
      </c>
      <c r="E67" s="157" t="str" cm="1">
        <f t="array" ref="E67">Common_InputFunctions.Utility_DisplayArrayInTable(Fertiliser_SourceData.Fertiliser_Products_Data1(),FertiliserProducts[[#Headers],[Product]], 0)</f>
        <v>kg</v>
      </c>
      <c r="F67" s="157" cm="1">
        <f t="array" ref="F67">Common_InputFunctions.Utility_DisplayArrayInTable(Fertiliser_SourceData.Fertiliser_Products_Data1(),FertiliserProducts[[#Headers],[Product]], 0)</f>
        <v>1</v>
      </c>
      <c r="G67" s="157" t="str" cm="1">
        <f t="array" ref="G67">Common_InputFunctions.Utility_DisplayArrayInTable(Fertiliser_SourceData.Fertiliser_Products_Data1(),FertiliserProducts[[#Headers],[Product]], 0)</f>
        <v>Nitrogen - Ammoniacal</v>
      </c>
      <c r="H67" s="157" cm="1">
        <f t="array" ref="H67">Common_InputFunctions.Utility_DisplayArrayInTable(Fertiliser_SourceData.Fertiliser_Products_Data1(),FertiliserProducts[[#Headers],[Product]], 0)</f>
        <v>0.2</v>
      </c>
      <c r="I67" s="157" t="str" cm="1">
        <f t="array" ref="I67">Common_InputFunctions.Utility_DisplayArrayInTable(Fertiliser_SourceData.Fertiliser_Products_Data1(),FertiliserProducts[[#Headers],[Product]], 0)</f>
        <v>Location not specified</v>
      </c>
      <c r="J67" s="157" t="str" cm="1">
        <f t="array" ref="J67">Common_InputFunctions.Utility_DisplayArrayInTable(Fertiliser_SourceData.Fertiliser_Products_Data1(),FertiliserProducts[[#Headers],[Product]], 0)</f>
        <v>Sulfur - Generic</v>
      </c>
      <c r="K67" s="157" cm="1">
        <f t="array" ref="K67">Common_InputFunctions.Utility_DisplayArrayInTable(Fertiliser_SourceData.Fertiliser_Products_Data1(),FertiliserProducts[[#Headers],[Product]], 0)</f>
        <v>0.23</v>
      </c>
      <c r="L67" s="157" t="str" cm="1">
        <f t="array" ref="L67">Common_InputFunctions.Utility_DisplayArrayInTable(Fertiliser_SourceData.Fertiliser_Products_Data1(),FertiliserProducts[[#Headers],[Product]], 0)</f>
        <v>Location not specified</v>
      </c>
      <c r="M67" s="158" t="str" cm="1">
        <f t="array" ref="M67">Common_InputFunctions.Utility_DisplayArrayInTable(Fertiliser_SourceData.Fertiliser_Products_Data1(),FertiliserProducts[[#Headers],[Product]], 0)</f>
        <v/>
      </c>
      <c r="N67" s="157" t="str" cm="1">
        <f t="array" ref="N67">Common_InputFunctions.Utility_DisplayArrayInTable(Fertiliser_SourceData.Fertiliser_Products_Data1(),FertiliserProducts[[#Headers],[Product]], 0)</f>
        <v/>
      </c>
      <c r="O67" s="157" t="str" cm="1">
        <f t="array" ref="O67">Common_InputFunctions.Utility_DisplayArrayInTable(Fertiliser_SourceData.Fertiliser_Products_Data1(),FertiliserProducts[[#Headers],[Product]], 0)</f>
        <v/>
      </c>
      <c r="P67" s="157" t="str" cm="1">
        <f t="array" ref="P67">Common_InputFunctions.Utility_DisplayArrayInTable(Fertiliser_SourceData.Fertiliser_Products_Data1(),FertiliserProducts[[#Headers],[Product]], 0)</f>
        <v/>
      </c>
      <c r="Q67" s="157" t="str" cm="1">
        <f t="array" ref="Q67">Common_InputFunctions.Utility_DisplayArrayInTable(Fertiliser_SourceData.Fertiliser_Products_Data1(),FertiliserProducts[[#Headers],[Product]], 0)</f>
        <v/>
      </c>
      <c r="R67" s="157" t="str" cm="1">
        <f t="array" ref="R67">Common_InputFunctions.Utility_DisplayArrayInTable(Fertiliser_SourceData.Fertiliser_Products_Data1(),FertiliserProducts[[#Headers],[Product]], 0)</f>
        <v/>
      </c>
      <c r="S67" s="157" t="str" cm="1">
        <f t="array" ref="S67">Common_InputFunctions.Utility_DisplayArrayInTable(Fertiliser_SourceData.Fertiliser_Products_Data1(),FertiliserProducts[[#Headers],[Product]], 0)</f>
        <v/>
      </c>
      <c r="T67" s="157" t="str" cm="1">
        <f t="array" ref="T67">Common_InputFunctions.Utility_DisplayArrayInTable(Fertiliser_SourceData.Fertiliser_Products_Data1(),FertiliserProducts[[#Headers],[Product]], 0)</f>
        <v/>
      </c>
      <c r="U67" s="157" t="str" cm="1">
        <f t="array" ref="U67">Common_InputFunctions.Utility_DisplayArrayInTable(Fertiliser_SourceData.Fertiliser_Products_Data1(),FertiliserProducts[[#Headers],[Product]], 0)</f>
        <v/>
      </c>
      <c r="V67" s="158" t="str" cm="1">
        <f t="array" ref="V67">Common_InputFunctions.Utility_DisplayArrayInTable(Fertiliser_SourceData.Fertiliser_Products_Data1(),FertiliserProducts[[#Headers],[Product]], 0)</f>
        <v/>
      </c>
      <c r="W67" s="158" t="str" cm="1">
        <f t="array" ref="W67">Common_InputFunctions.Utility_DisplayArrayInTable(Fertiliser_SourceData.Fertiliser_Products_Data1(),FertiliserProducts[[#Headers],[Product]], 0)</f>
        <v/>
      </c>
      <c r="X67" s="158" t="str" cm="1">
        <f t="array" ref="X67">Common_InputFunctions.Utility_DisplayArrayInTable(Fertiliser_SourceData.Fertiliser_Products_Data1(),FertiliserProducts[[#Headers],[Product]], 0)</f>
        <v/>
      </c>
      <c r="Y67" s="158" t="str" cm="1">
        <f t="array" ref="Y67">Common_InputFunctions.Utility_DisplayArrayInTable(Fertiliser_SourceData.Fertiliser_Products_Data1(),FertiliserProducts[[#Headers],[Product]], 0)</f>
        <v/>
      </c>
      <c r="Z67" s="158" t="str" cm="1">
        <f t="array" ref="Z67">Common_InputFunctions.Utility_DisplayArrayInTable(Fertiliser_SourceData.Fertiliser_Products_Data1(),FertiliserProducts[[#Headers],[Product]], 0)</f>
        <v/>
      </c>
      <c r="AA67" s="158" t="str" cm="1">
        <f t="array" ref="AA67">Common_InputFunctions.Utility_DisplayArrayInTable(Fertiliser_SourceData.Fertiliser_Products_Data1(),FertiliserProducts[[#Headers],[Product]], 0)</f>
        <v/>
      </c>
      <c r="AB67" s="158" t="str" cm="1">
        <f t="array" ref="AB67">Common_InputFunctions.Utility_DisplayArrayInTable(Fertiliser_SourceData.Fertiliser_Products_Data1(),FertiliserProducts[[#Headers],[Product]], 0)</f>
        <v/>
      </c>
      <c r="AC67" s="158" t="str" cm="1">
        <f t="array" ref="AC67">Common_InputFunctions.Utility_DisplayArrayInTable(Fertiliser_SourceData.Fertiliser_Products_Data1(),FertiliserProducts[[#Headers],[Product]], 0)</f>
        <v/>
      </c>
      <c r="AD67" s="158" t="str" cm="1">
        <f t="array" ref="AD67">Common_InputFunctions.Utility_DisplayArrayInTable(Fertiliser_SourceData.Fertiliser_Products_Data1(),FertiliserProducts[[#Headers],[Product]], 0)</f>
        <v/>
      </c>
      <c r="AE67" s="158" t="str" cm="1">
        <f t="array" ref="AE67">Common_InputFunctions.Utility_DisplayArrayInTable(Fertiliser_SourceData.Fertiliser_Products_Data1(),FertiliserProducts[[#Headers],[Product]], 0)</f>
        <v/>
      </c>
      <c r="AF67" s="158" t="str" cm="1">
        <f t="array" ref="AF67">Common_InputFunctions.Utility_DisplayArrayInTable(Fertiliser_SourceData.Fertiliser_Products_Data1(),FertiliserProducts[[#Headers],[Product]], 0)</f>
        <v/>
      </c>
      <c r="AG67" s="158" t="str" cm="1">
        <f t="array" ref="AG67">Common_InputFunctions.Utility_DisplayArrayInTable(Fertiliser_SourceData.Fertiliser_Products_Data1(),FertiliserProducts[[#Headers],[Product]], 0)</f>
        <v/>
      </c>
      <c r="AH67" s="158" t="str" cm="1">
        <f t="array" ref="AH67">Common_InputFunctions.Utility_DisplayArrayInTable(Fertiliser_SourceData.Fertiliser_Products_Data1(),FertiliserProducts[[#Headers],[Product]], 0)</f>
        <v/>
      </c>
      <c r="AI67" s="158" t="str" cm="1">
        <f t="array" ref="AI67">Common_InputFunctions.Utility_DisplayArrayInTable(Fertiliser_SourceData.Fertiliser_Products_Data1(),FertiliserProducts[[#Headers],[Product]], 0)</f>
        <v/>
      </c>
      <c r="AJ67" s="158" t="str" cm="1">
        <f t="array" ref="AJ67">Common_InputFunctions.Utility_DisplayArrayInTable(Fertiliser_SourceData.Fertiliser_Products_Data1(),FertiliserProducts[[#Headers],[Product]], 0)</f>
        <v/>
      </c>
    </row>
    <row r="68" spans="4:36" ht="20.100000000000001" customHeight="1" x14ac:dyDescent="0.25">
      <c r="D68" s="157" t="str" cm="1">
        <f t="array" ref="D68">Common_InputFunctions.Utility_DisplayArrayInTable(Fertiliser_SourceData.Fertiliser_Products_Data1(),FertiliserProducts[[#Headers],[Product]], 0)</f>
        <v>Apex GaIXe Low P 21-1-6</v>
      </c>
      <c r="E68" s="157" t="str" cm="1">
        <f t="array" ref="E68">Common_InputFunctions.Utility_DisplayArrayInTable(Fertiliser_SourceData.Fertiliser_Products_Data1(),FertiliserProducts[[#Headers],[Product]], 0)</f>
        <v>kg</v>
      </c>
      <c r="F68" s="157" cm="1">
        <f t="array" ref="F68">Common_InputFunctions.Utility_DisplayArrayInTable(Fertiliser_SourceData.Fertiliser_Products_Data1(),FertiliserProducts[[#Headers],[Product]], 0)</f>
        <v>1</v>
      </c>
      <c r="G68" s="157" t="str" cm="1">
        <f t="array" ref="G68">Common_InputFunctions.Utility_DisplayArrayInTable(Fertiliser_SourceData.Fertiliser_Products_Data1(),FertiliserProducts[[#Headers],[Product]], 0)</f>
        <v>Nitrogen - Ammoniacal</v>
      </c>
      <c r="H68" s="157" cm="1">
        <f t="array" ref="H68">Common_InputFunctions.Utility_DisplayArrayInTable(Fertiliser_SourceData.Fertiliser_Products_Data1(),FertiliserProducts[[#Headers],[Product]], 0)</f>
        <v>0.18</v>
      </c>
      <c r="I68" s="157" t="str" cm="1">
        <f t="array" ref="I68">Common_InputFunctions.Utility_DisplayArrayInTable(Fertiliser_SourceData.Fertiliser_Products_Data1(),FertiliserProducts[[#Headers],[Product]], 0)</f>
        <v>Location not specified</v>
      </c>
      <c r="J68" s="157" t="str" cm="1">
        <f t="array" ref="J68">Common_InputFunctions.Utility_DisplayArrayInTable(Fertiliser_SourceData.Fertiliser_Products_Data1(),FertiliserProducts[[#Headers],[Product]], 0)</f>
        <v>Phosphorus - Generic</v>
      </c>
      <c r="K68" s="157" cm="1">
        <f t="array" ref="K68">Common_InputFunctions.Utility_DisplayArrayInTable(Fertiliser_SourceData.Fertiliser_Products_Data1(),FertiliserProducts[[#Headers],[Product]], 0)</f>
        <v>0.20200000000000001</v>
      </c>
      <c r="L68" s="157" t="str" cm="1">
        <f t="array" ref="L68">Common_InputFunctions.Utility_DisplayArrayInTable(Fertiliser_SourceData.Fertiliser_Products_Data1(),FertiliserProducts[[#Headers],[Product]], 0)</f>
        <v>Location not specified</v>
      </c>
      <c r="M68" s="158" t="str" cm="1">
        <f t="array" ref="M68">Common_InputFunctions.Utility_DisplayArrayInTable(Fertiliser_SourceData.Fertiliser_Products_Data1(),FertiliserProducts[[#Headers],[Product]], 0)</f>
        <v>Sulfur - Generic</v>
      </c>
      <c r="N68" s="157" cm="1">
        <f t="array" ref="N68">Common_InputFunctions.Utility_DisplayArrayInTable(Fertiliser_SourceData.Fertiliser_Products_Data1(),FertiliserProducts[[#Headers],[Product]], 0)</f>
        <v>1.4999999999999999E-2</v>
      </c>
      <c r="O68" s="157" t="str" cm="1">
        <f t="array" ref="O68">Common_InputFunctions.Utility_DisplayArrayInTable(Fertiliser_SourceData.Fertiliser_Products_Data1(),FertiliserProducts[[#Headers],[Product]], 0)</f>
        <v>Location not specified</v>
      </c>
      <c r="P68" s="157" t="str" cm="1">
        <f t="array" ref="P68">Common_InputFunctions.Utility_DisplayArrayInTable(Fertiliser_SourceData.Fertiliser_Products_Data1(),FertiliserProducts[[#Headers],[Product]], 0)</f>
        <v/>
      </c>
      <c r="Q68" s="157" t="str" cm="1">
        <f t="array" ref="Q68">Common_InputFunctions.Utility_DisplayArrayInTable(Fertiliser_SourceData.Fertiliser_Products_Data1(),FertiliserProducts[[#Headers],[Product]], 0)</f>
        <v/>
      </c>
      <c r="R68" s="157" t="str" cm="1">
        <f t="array" ref="R68">Common_InputFunctions.Utility_DisplayArrayInTable(Fertiliser_SourceData.Fertiliser_Products_Data1(),FertiliserProducts[[#Headers],[Product]], 0)</f>
        <v/>
      </c>
      <c r="S68" s="157" t="str" cm="1">
        <f t="array" ref="S68">Common_InputFunctions.Utility_DisplayArrayInTable(Fertiliser_SourceData.Fertiliser_Products_Data1(),FertiliserProducts[[#Headers],[Product]], 0)</f>
        <v/>
      </c>
      <c r="T68" s="157" t="str" cm="1">
        <f t="array" ref="T68">Common_InputFunctions.Utility_DisplayArrayInTable(Fertiliser_SourceData.Fertiliser_Products_Data1(),FertiliserProducts[[#Headers],[Product]], 0)</f>
        <v/>
      </c>
      <c r="U68" s="157" t="str" cm="1">
        <f t="array" ref="U68">Common_InputFunctions.Utility_DisplayArrayInTable(Fertiliser_SourceData.Fertiliser_Products_Data1(),FertiliserProducts[[#Headers],[Product]], 0)</f>
        <v/>
      </c>
      <c r="V68" s="158" t="str" cm="1">
        <f t="array" ref="V68">Common_InputFunctions.Utility_DisplayArrayInTable(Fertiliser_SourceData.Fertiliser_Products_Data1(),FertiliserProducts[[#Headers],[Product]], 0)</f>
        <v/>
      </c>
      <c r="W68" s="158" t="str" cm="1">
        <f t="array" ref="W68">Common_InputFunctions.Utility_DisplayArrayInTable(Fertiliser_SourceData.Fertiliser_Products_Data1(),FertiliserProducts[[#Headers],[Product]], 0)</f>
        <v/>
      </c>
      <c r="X68" s="158" t="str" cm="1">
        <f t="array" ref="X68">Common_InputFunctions.Utility_DisplayArrayInTable(Fertiliser_SourceData.Fertiliser_Products_Data1(),FertiliserProducts[[#Headers],[Product]], 0)</f>
        <v/>
      </c>
      <c r="Y68" s="158" t="str" cm="1">
        <f t="array" ref="Y68">Common_InputFunctions.Utility_DisplayArrayInTable(Fertiliser_SourceData.Fertiliser_Products_Data1(),FertiliserProducts[[#Headers],[Product]], 0)</f>
        <v/>
      </c>
      <c r="Z68" s="158" t="str" cm="1">
        <f t="array" ref="Z68">Common_InputFunctions.Utility_DisplayArrayInTable(Fertiliser_SourceData.Fertiliser_Products_Data1(),FertiliserProducts[[#Headers],[Product]], 0)</f>
        <v/>
      </c>
      <c r="AA68" s="158" t="str" cm="1">
        <f t="array" ref="AA68">Common_InputFunctions.Utility_DisplayArrayInTable(Fertiliser_SourceData.Fertiliser_Products_Data1(),FertiliserProducts[[#Headers],[Product]], 0)</f>
        <v/>
      </c>
      <c r="AB68" s="158" t="str" cm="1">
        <f t="array" ref="AB68">Common_InputFunctions.Utility_DisplayArrayInTable(Fertiliser_SourceData.Fertiliser_Products_Data1(),FertiliserProducts[[#Headers],[Product]], 0)</f>
        <v/>
      </c>
      <c r="AC68" s="158" t="str" cm="1">
        <f t="array" ref="AC68">Common_InputFunctions.Utility_DisplayArrayInTable(Fertiliser_SourceData.Fertiliser_Products_Data1(),FertiliserProducts[[#Headers],[Product]], 0)</f>
        <v/>
      </c>
      <c r="AD68" s="158" t="str" cm="1">
        <f t="array" ref="AD68">Common_InputFunctions.Utility_DisplayArrayInTable(Fertiliser_SourceData.Fertiliser_Products_Data1(),FertiliserProducts[[#Headers],[Product]], 0)</f>
        <v/>
      </c>
      <c r="AE68" s="158" t="str" cm="1">
        <f t="array" ref="AE68">Common_InputFunctions.Utility_DisplayArrayInTable(Fertiliser_SourceData.Fertiliser_Products_Data1(),FertiliserProducts[[#Headers],[Product]], 0)</f>
        <v/>
      </c>
      <c r="AF68" s="158" t="str" cm="1">
        <f t="array" ref="AF68">Common_InputFunctions.Utility_DisplayArrayInTable(Fertiliser_SourceData.Fertiliser_Products_Data1(),FertiliserProducts[[#Headers],[Product]], 0)</f>
        <v/>
      </c>
      <c r="AG68" s="158" t="str" cm="1">
        <f t="array" ref="AG68">Common_InputFunctions.Utility_DisplayArrayInTable(Fertiliser_SourceData.Fertiliser_Products_Data1(),FertiliserProducts[[#Headers],[Product]], 0)</f>
        <v/>
      </c>
      <c r="AH68" s="158" t="str" cm="1">
        <f t="array" ref="AH68">Common_InputFunctions.Utility_DisplayArrayInTable(Fertiliser_SourceData.Fertiliser_Products_Data1(),FertiliserProducts[[#Headers],[Product]], 0)</f>
        <v/>
      </c>
      <c r="AI68" s="158" t="str" cm="1">
        <f t="array" ref="AI68">Common_InputFunctions.Utility_DisplayArrayInTable(Fertiliser_SourceData.Fertiliser_Products_Data1(),FertiliserProducts[[#Headers],[Product]], 0)</f>
        <v/>
      </c>
      <c r="AJ68" s="158" t="str" cm="1">
        <f t="array" ref="AJ68">Common_InputFunctions.Utility_DisplayArrayInTable(Fertiliser_SourceData.Fertiliser_Products_Data1(),FertiliserProducts[[#Headers],[Product]], 0)</f>
        <v/>
      </c>
    </row>
    <row r="69" spans="4:36" ht="20.100000000000001" customHeight="1" x14ac:dyDescent="0.25">
      <c r="D69" s="157" t="str" cm="1">
        <f t="array" ref="D69">Common_InputFunctions.Utility_DisplayArrayInTable(Fertiliser_SourceData.Fertiliser_Products_Data1(),FertiliserProducts[[#Headers],[Product]], 0)</f>
        <v>Aqua Nitro AN</v>
      </c>
      <c r="E69" s="157" t="str" cm="1">
        <f t="array" ref="E69">Common_InputFunctions.Utility_DisplayArrayInTable(Fertiliser_SourceData.Fertiliser_Products_Data1(),FertiliserProducts[[#Headers],[Product]], 0)</f>
        <v>L</v>
      </c>
      <c r="F69" s="157" cm="1">
        <f t="array" ref="F69">Common_InputFunctions.Utility_DisplayArrayInTable(Fertiliser_SourceData.Fertiliser_Products_Data1(),FertiliserProducts[[#Headers],[Product]], 0)</f>
        <v>1.25</v>
      </c>
      <c r="G69" s="157" t="str" cm="1">
        <f t="array" ref="G69">Common_InputFunctions.Utility_DisplayArrayInTable(Fertiliser_SourceData.Fertiliser_Products_Data1(),FertiliserProducts[[#Headers],[Product]], 0)</f>
        <v>Nitrogen - Generic</v>
      </c>
      <c r="H69" s="157" cm="1">
        <f t="array" ref="H69">Common_InputFunctions.Utility_DisplayArrayInTable(Fertiliser_SourceData.Fertiliser_Products_Data1(),FertiliserProducts[[#Headers],[Product]], 0)</f>
        <v>0.223</v>
      </c>
      <c r="I69" s="157" t="str" cm="1">
        <f t="array" ref="I69">Common_InputFunctions.Utility_DisplayArrayInTable(Fertiliser_SourceData.Fertiliser_Products_Data1(),FertiliserProducts[[#Headers],[Product]], 0)</f>
        <v>Location not specified</v>
      </c>
      <c r="J69" s="157" t="str" cm="1">
        <f t="array" ref="J69">Common_InputFunctions.Utility_DisplayArrayInTable(Fertiliser_SourceData.Fertiliser_Products_Data1(),FertiliserProducts[[#Headers],[Product]], 0)</f>
        <v/>
      </c>
      <c r="K69" s="157" t="str" cm="1">
        <f t="array" ref="K69">Common_InputFunctions.Utility_DisplayArrayInTable(Fertiliser_SourceData.Fertiliser_Products_Data1(),FertiliserProducts[[#Headers],[Product]], 0)</f>
        <v/>
      </c>
      <c r="L69" s="157" t="str" cm="1">
        <f t="array" ref="L69">Common_InputFunctions.Utility_DisplayArrayInTable(Fertiliser_SourceData.Fertiliser_Products_Data1(),FertiliserProducts[[#Headers],[Product]], 0)</f>
        <v/>
      </c>
      <c r="M69" s="158" t="str" cm="1">
        <f t="array" ref="M69">Common_InputFunctions.Utility_DisplayArrayInTable(Fertiliser_SourceData.Fertiliser_Products_Data1(),FertiliserProducts[[#Headers],[Product]], 0)</f>
        <v/>
      </c>
      <c r="N69" s="157" t="str" cm="1">
        <f t="array" ref="N69">Common_InputFunctions.Utility_DisplayArrayInTable(Fertiliser_SourceData.Fertiliser_Products_Data1(),FertiliserProducts[[#Headers],[Product]], 0)</f>
        <v/>
      </c>
      <c r="O69" s="157" t="str" cm="1">
        <f t="array" ref="O69">Common_InputFunctions.Utility_DisplayArrayInTable(Fertiliser_SourceData.Fertiliser_Products_Data1(),FertiliserProducts[[#Headers],[Product]], 0)</f>
        <v/>
      </c>
      <c r="P69" s="157" t="str" cm="1">
        <f t="array" ref="P69">Common_InputFunctions.Utility_DisplayArrayInTable(Fertiliser_SourceData.Fertiliser_Products_Data1(),FertiliserProducts[[#Headers],[Product]], 0)</f>
        <v/>
      </c>
      <c r="Q69" s="157" t="str" cm="1">
        <f t="array" ref="Q69">Common_InputFunctions.Utility_DisplayArrayInTable(Fertiliser_SourceData.Fertiliser_Products_Data1(),FertiliserProducts[[#Headers],[Product]], 0)</f>
        <v/>
      </c>
      <c r="R69" s="157" t="str" cm="1">
        <f t="array" ref="R69">Common_InputFunctions.Utility_DisplayArrayInTable(Fertiliser_SourceData.Fertiliser_Products_Data1(),FertiliserProducts[[#Headers],[Product]], 0)</f>
        <v/>
      </c>
      <c r="S69" s="157" t="str" cm="1">
        <f t="array" ref="S69">Common_InputFunctions.Utility_DisplayArrayInTable(Fertiliser_SourceData.Fertiliser_Products_Data1(),FertiliserProducts[[#Headers],[Product]], 0)</f>
        <v/>
      </c>
      <c r="T69" s="157" t="str" cm="1">
        <f t="array" ref="T69">Common_InputFunctions.Utility_DisplayArrayInTable(Fertiliser_SourceData.Fertiliser_Products_Data1(),FertiliserProducts[[#Headers],[Product]], 0)</f>
        <v/>
      </c>
      <c r="U69" s="157" t="str" cm="1">
        <f t="array" ref="U69">Common_InputFunctions.Utility_DisplayArrayInTable(Fertiliser_SourceData.Fertiliser_Products_Data1(),FertiliserProducts[[#Headers],[Product]], 0)</f>
        <v/>
      </c>
      <c r="V69" s="158" t="str" cm="1">
        <f t="array" ref="V69">Common_InputFunctions.Utility_DisplayArrayInTable(Fertiliser_SourceData.Fertiliser_Products_Data1(),FertiliserProducts[[#Headers],[Product]], 0)</f>
        <v/>
      </c>
      <c r="W69" s="158" t="str" cm="1">
        <f t="array" ref="W69">Common_InputFunctions.Utility_DisplayArrayInTable(Fertiliser_SourceData.Fertiliser_Products_Data1(),FertiliserProducts[[#Headers],[Product]], 0)</f>
        <v/>
      </c>
      <c r="X69" s="158" t="str" cm="1">
        <f t="array" ref="X69">Common_InputFunctions.Utility_DisplayArrayInTable(Fertiliser_SourceData.Fertiliser_Products_Data1(),FertiliserProducts[[#Headers],[Product]], 0)</f>
        <v/>
      </c>
      <c r="Y69" s="158" t="str" cm="1">
        <f t="array" ref="Y69">Common_InputFunctions.Utility_DisplayArrayInTable(Fertiliser_SourceData.Fertiliser_Products_Data1(),FertiliserProducts[[#Headers],[Product]], 0)</f>
        <v/>
      </c>
      <c r="Z69" s="158" t="str" cm="1">
        <f t="array" ref="Z69">Common_InputFunctions.Utility_DisplayArrayInTable(Fertiliser_SourceData.Fertiliser_Products_Data1(),FertiliserProducts[[#Headers],[Product]], 0)</f>
        <v/>
      </c>
      <c r="AA69" s="158" t="str" cm="1">
        <f t="array" ref="AA69">Common_InputFunctions.Utility_DisplayArrayInTable(Fertiliser_SourceData.Fertiliser_Products_Data1(),FertiliserProducts[[#Headers],[Product]], 0)</f>
        <v/>
      </c>
      <c r="AB69" s="158" t="str" cm="1">
        <f t="array" ref="AB69">Common_InputFunctions.Utility_DisplayArrayInTable(Fertiliser_SourceData.Fertiliser_Products_Data1(),FertiliserProducts[[#Headers],[Product]], 0)</f>
        <v/>
      </c>
      <c r="AC69" s="158" t="str" cm="1">
        <f t="array" ref="AC69">Common_InputFunctions.Utility_DisplayArrayInTable(Fertiliser_SourceData.Fertiliser_Products_Data1(),FertiliserProducts[[#Headers],[Product]], 0)</f>
        <v/>
      </c>
      <c r="AD69" s="158" t="str" cm="1">
        <f t="array" ref="AD69">Common_InputFunctions.Utility_DisplayArrayInTable(Fertiliser_SourceData.Fertiliser_Products_Data1(),FertiliserProducts[[#Headers],[Product]], 0)</f>
        <v/>
      </c>
      <c r="AE69" s="158" t="str" cm="1">
        <f t="array" ref="AE69">Common_InputFunctions.Utility_DisplayArrayInTable(Fertiliser_SourceData.Fertiliser_Products_Data1(),FertiliserProducts[[#Headers],[Product]], 0)</f>
        <v/>
      </c>
      <c r="AF69" s="158" t="str" cm="1">
        <f t="array" ref="AF69">Common_InputFunctions.Utility_DisplayArrayInTable(Fertiliser_SourceData.Fertiliser_Products_Data1(),FertiliserProducts[[#Headers],[Product]], 0)</f>
        <v/>
      </c>
      <c r="AG69" s="158" t="str" cm="1">
        <f t="array" ref="AG69">Common_InputFunctions.Utility_DisplayArrayInTable(Fertiliser_SourceData.Fertiliser_Products_Data1(),FertiliserProducts[[#Headers],[Product]], 0)</f>
        <v/>
      </c>
      <c r="AH69" s="158" t="str" cm="1">
        <f t="array" ref="AH69">Common_InputFunctions.Utility_DisplayArrayInTable(Fertiliser_SourceData.Fertiliser_Products_Data1(),FertiliserProducts[[#Headers],[Product]], 0)</f>
        <v/>
      </c>
      <c r="AI69" s="158" t="str" cm="1">
        <f t="array" ref="AI69">Common_InputFunctions.Utility_DisplayArrayInTable(Fertiliser_SourceData.Fertiliser_Products_Data1(),FertiliserProducts[[#Headers],[Product]], 0)</f>
        <v/>
      </c>
      <c r="AJ69" s="158" t="str" cm="1">
        <f t="array" ref="AJ69">Common_InputFunctions.Utility_DisplayArrayInTable(Fertiliser_SourceData.Fertiliser_Products_Data1(),FertiliserProducts[[#Headers],[Product]], 0)</f>
        <v/>
      </c>
    </row>
    <row r="70" spans="4:36" ht="20.100000000000001" customHeight="1" x14ac:dyDescent="0.25">
      <c r="D70" s="157" t="str" cm="1">
        <f t="array" ref="D70">Common_InputFunctions.Utility_DisplayArrayInTable(Fertiliser_SourceData.Fertiliser_Products_Data1(),FertiliserProducts[[#Headers],[Product]], 0)</f>
        <v>Big N</v>
      </c>
      <c r="E70" s="157" t="str" cm="1">
        <f t="array" ref="E70">Common_InputFunctions.Utility_DisplayArrayInTable(Fertiliser_SourceData.Fertiliser_Products_Data1(),FertiliserProducts[[#Headers],[Product]], 0)</f>
        <v>kg</v>
      </c>
      <c r="F70" s="157" cm="1">
        <f t="array" ref="F70">Common_InputFunctions.Utility_DisplayArrayInTable(Fertiliser_SourceData.Fertiliser_Products_Data1(),FertiliserProducts[[#Headers],[Product]], 0)</f>
        <v>1</v>
      </c>
      <c r="G70" s="157" t="str" cm="1">
        <f t="array" ref="G70">Common_InputFunctions.Utility_DisplayArrayInTable(Fertiliser_SourceData.Fertiliser_Products_Data1(),FertiliserProducts[[#Headers],[Product]], 0)</f>
        <v>Phosphorus - Generic</v>
      </c>
      <c r="H70" s="157" cm="1">
        <f t="array" ref="H70">Common_InputFunctions.Utility_DisplayArrayInTable(Fertiliser_SourceData.Fertiliser_Products_Data1(),FertiliserProducts[[#Headers],[Product]], 0)</f>
        <v>0.182</v>
      </c>
      <c r="I70" s="157" t="str" cm="1">
        <f t="array" ref="I70">Common_InputFunctions.Utility_DisplayArrayInTable(Fertiliser_SourceData.Fertiliser_Products_Data1(),FertiliserProducts[[#Headers],[Product]], 0)</f>
        <v>Location not specified</v>
      </c>
      <c r="J70" s="157" t="str" cm="1">
        <f t="array" ref="J70">Common_InputFunctions.Utility_DisplayArrayInTable(Fertiliser_SourceData.Fertiliser_Products_Data1(),FertiliserProducts[[#Headers],[Product]], 0)</f>
        <v>Nitrogen - Ammoniacal</v>
      </c>
      <c r="K70" s="157" cm="1">
        <f t="array" ref="K70">Common_InputFunctions.Utility_DisplayArrayInTable(Fertiliser_SourceData.Fertiliser_Products_Data1(),FertiliserProducts[[#Headers],[Product]], 0)</f>
        <v>0.16900000000000001</v>
      </c>
      <c r="L70" s="157" t="str" cm="1">
        <f t="array" ref="L70">Common_InputFunctions.Utility_DisplayArrayInTable(Fertiliser_SourceData.Fertiliser_Products_Data1(),FertiliserProducts[[#Headers],[Product]], 0)</f>
        <v>Location not specified</v>
      </c>
      <c r="M70" s="158" t="str" cm="1">
        <f t="array" ref="M70">Common_InputFunctions.Utility_DisplayArrayInTable(Fertiliser_SourceData.Fertiliser_Products_Data1(),FertiliserProducts[[#Headers],[Product]], 0)</f>
        <v>Sulfur - Generic</v>
      </c>
      <c r="N70" s="157" cm="1">
        <f t="array" ref="N70">Common_InputFunctions.Utility_DisplayArrayInTable(Fertiliser_SourceData.Fertiliser_Products_Data1(),FertiliserProducts[[#Headers],[Product]], 0)</f>
        <v>0.08</v>
      </c>
      <c r="O70" s="157" t="str" cm="1">
        <f t="array" ref="O70">Common_InputFunctions.Utility_DisplayArrayInTable(Fertiliser_SourceData.Fertiliser_Products_Data1(),FertiliserProducts[[#Headers],[Product]], 0)</f>
        <v>Location not specified</v>
      </c>
      <c r="P70" s="157" t="str" cm="1">
        <f t="array" ref="P70">Common_InputFunctions.Utility_DisplayArrayInTable(Fertiliser_SourceData.Fertiliser_Products_Data1(),FertiliserProducts[[#Headers],[Product]], 0)</f>
        <v>Zinc - Generic</v>
      </c>
      <c r="Q70" s="157" cm="1">
        <f t="array" ref="Q70">Common_InputFunctions.Utility_DisplayArrayInTable(Fertiliser_SourceData.Fertiliser_Products_Data1(),FertiliserProducts[[#Headers],[Product]], 0)</f>
        <v>2E-3</v>
      </c>
      <c r="R70" s="157" t="str" cm="1">
        <f t="array" ref="R70">Common_InputFunctions.Utility_DisplayArrayInTable(Fertiliser_SourceData.Fertiliser_Products_Data1(),FertiliserProducts[[#Headers],[Product]], 0)</f>
        <v>Location not specified</v>
      </c>
      <c r="S70" s="157" t="str" cm="1">
        <f t="array" ref="S70">Common_InputFunctions.Utility_DisplayArrayInTable(Fertiliser_SourceData.Fertiliser_Products_Data1(),FertiliserProducts[[#Headers],[Product]], 0)</f>
        <v>Copper - generic</v>
      </c>
      <c r="T70" s="157" cm="1">
        <f t="array" ref="T70">Common_InputFunctions.Utility_DisplayArrayInTable(Fertiliser_SourceData.Fertiliser_Products_Data1(),FertiliserProducts[[#Headers],[Product]], 0)</f>
        <v>1E-3</v>
      </c>
      <c r="U70" s="157" t="str" cm="1">
        <f t="array" ref="U70">Common_InputFunctions.Utility_DisplayArrayInTable(Fertiliser_SourceData.Fertiliser_Products_Data1(),FertiliserProducts[[#Headers],[Product]], 0)</f>
        <v>Location not specified</v>
      </c>
      <c r="V70" s="158" t="str" cm="1">
        <f t="array" ref="V70">Common_InputFunctions.Utility_DisplayArrayInTable(Fertiliser_SourceData.Fertiliser_Products_Data1(),FertiliserProducts[[#Headers],[Product]], 0)</f>
        <v/>
      </c>
      <c r="W70" s="158" t="str" cm="1">
        <f t="array" ref="W70">Common_InputFunctions.Utility_DisplayArrayInTable(Fertiliser_SourceData.Fertiliser_Products_Data1(),FertiliserProducts[[#Headers],[Product]], 0)</f>
        <v/>
      </c>
      <c r="X70" s="158" t="str" cm="1">
        <f t="array" ref="X70">Common_InputFunctions.Utility_DisplayArrayInTable(Fertiliser_SourceData.Fertiliser_Products_Data1(),FertiliserProducts[[#Headers],[Product]], 0)</f>
        <v/>
      </c>
      <c r="Y70" s="158" t="str" cm="1">
        <f t="array" ref="Y70">Common_InputFunctions.Utility_DisplayArrayInTable(Fertiliser_SourceData.Fertiliser_Products_Data1(),FertiliserProducts[[#Headers],[Product]], 0)</f>
        <v/>
      </c>
      <c r="Z70" s="158" t="str" cm="1">
        <f t="array" ref="Z70">Common_InputFunctions.Utility_DisplayArrayInTable(Fertiliser_SourceData.Fertiliser_Products_Data1(),FertiliserProducts[[#Headers],[Product]], 0)</f>
        <v/>
      </c>
      <c r="AA70" s="158" t="str" cm="1">
        <f t="array" ref="AA70">Common_InputFunctions.Utility_DisplayArrayInTable(Fertiliser_SourceData.Fertiliser_Products_Data1(),FertiliserProducts[[#Headers],[Product]], 0)</f>
        <v/>
      </c>
      <c r="AB70" s="158" t="str" cm="1">
        <f t="array" ref="AB70">Common_InputFunctions.Utility_DisplayArrayInTable(Fertiliser_SourceData.Fertiliser_Products_Data1(),FertiliserProducts[[#Headers],[Product]], 0)</f>
        <v/>
      </c>
      <c r="AC70" s="158" t="str" cm="1">
        <f t="array" ref="AC70">Common_InputFunctions.Utility_DisplayArrayInTable(Fertiliser_SourceData.Fertiliser_Products_Data1(),FertiliserProducts[[#Headers],[Product]], 0)</f>
        <v/>
      </c>
      <c r="AD70" s="158" t="str" cm="1">
        <f t="array" ref="AD70">Common_InputFunctions.Utility_DisplayArrayInTable(Fertiliser_SourceData.Fertiliser_Products_Data1(),FertiliserProducts[[#Headers],[Product]], 0)</f>
        <v/>
      </c>
      <c r="AE70" s="158" t="str" cm="1">
        <f t="array" ref="AE70">Common_InputFunctions.Utility_DisplayArrayInTable(Fertiliser_SourceData.Fertiliser_Products_Data1(),FertiliserProducts[[#Headers],[Product]], 0)</f>
        <v/>
      </c>
      <c r="AF70" s="158" t="str" cm="1">
        <f t="array" ref="AF70">Common_InputFunctions.Utility_DisplayArrayInTable(Fertiliser_SourceData.Fertiliser_Products_Data1(),FertiliserProducts[[#Headers],[Product]], 0)</f>
        <v/>
      </c>
      <c r="AG70" s="158" t="str" cm="1">
        <f t="array" ref="AG70">Common_InputFunctions.Utility_DisplayArrayInTable(Fertiliser_SourceData.Fertiliser_Products_Data1(),FertiliserProducts[[#Headers],[Product]], 0)</f>
        <v/>
      </c>
      <c r="AH70" s="158" t="str" cm="1">
        <f t="array" ref="AH70">Common_InputFunctions.Utility_DisplayArrayInTable(Fertiliser_SourceData.Fertiliser_Products_Data1(),FertiliserProducts[[#Headers],[Product]], 0)</f>
        <v/>
      </c>
      <c r="AI70" s="158" t="str" cm="1">
        <f t="array" ref="AI70">Common_InputFunctions.Utility_DisplayArrayInTable(Fertiliser_SourceData.Fertiliser_Products_Data1(),FertiliserProducts[[#Headers],[Product]], 0)</f>
        <v/>
      </c>
      <c r="AJ70" s="158" t="str" cm="1">
        <f t="array" ref="AJ70">Common_InputFunctions.Utility_DisplayArrayInTable(Fertiliser_SourceData.Fertiliser_Products_Data1(),FertiliserProducts[[#Headers],[Product]], 0)</f>
        <v/>
      </c>
    </row>
    <row r="71" spans="4:36" ht="20.100000000000001" customHeight="1" x14ac:dyDescent="0.25">
      <c r="D71" s="157" t="str" cm="1">
        <f t="array" ref="D71">Common_InputFunctions.Utility_DisplayArrayInTable(Fertiliser_SourceData.Fertiliser_Products_Data1(),FertiliserProducts[[#Headers],[Product]], 0)</f>
        <v>Big Phos</v>
      </c>
      <c r="E71" s="157" t="str" cm="1">
        <f t="array" ref="E71">Common_InputFunctions.Utility_DisplayArrayInTable(Fertiliser_SourceData.Fertiliser_Products_Data1(),FertiliserProducts[[#Headers],[Product]], 0)</f>
        <v>L</v>
      </c>
      <c r="F71" s="157" cm="1">
        <f t="array" ref="F71">Common_InputFunctions.Utility_DisplayArrayInTable(Fertiliser_SourceData.Fertiliser_Products_Data1(),FertiliserProducts[[#Headers],[Product]], 0)</f>
        <v>1.32</v>
      </c>
      <c r="G71" s="157" t="str" cm="1">
        <f t="array" ref="G71">Common_InputFunctions.Utility_DisplayArrayInTable(Fertiliser_SourceData.Fertiliser_Products_Data1(),FertiliserProducts[[#Headers],[Product]], 0)</f>
        <v>Nitrogen - Generic</v>
      </c>
      <c r="H71" s="157" cm="1">
        <f t="array" ref="H71">Common_InputFunctions.Utility_DisplayArrayInTable(Fertiliser_SourceData.Fertiliser_Products_Data1(),FertiliserProducts[[#Headers],[Product]], 0)</f>
        <v>0.215</v>
      </c>
      <c r="I71" s="157" t="str" cm="1">
        <f t="array" ref="I71">Common_InputFunctions.Utility_DisplayArrayInTable(Fertiliser_SourceData.Fertiliser_Products_Data1(),FertiliserProducts[[#Headers],[Product]], 0)</f>
        <v>Location not specified</v>
      </c>
      <c r="J71" s="157" t="str" cm="1">
        <f t="array" ref="J71">Common_InputFunctions.Utility_DisplayArrayInTable(Fertiliser_SourceData.Fertiliser_Products_Data1(),FertiliserProducts[[#Headers],[Product]], 0)</f>
        <v>Nitrogen - Ammoniacal</v>
      </c>
      <c r="K71" s="157" cm="1">
        <f t="array" ref="K71">Common_InputFunctions.Utility_DisplayArrayInTable(Fertiliser_SourceData.Fertiliser_Products_Data1(),FertiliserProducts[[#Headers],[Product]], 0)</f>
        <v>0.105</v>
      </c>
      <c r="L71" s="157" t="str" cm="1">
        <f t="array" ref="L71">Common_InputFunctions.Utility_DisplayArrayInTable(Fertiliser_SourceData.Fertiliser_Products_Data1(),FertiliserProducts[[#Headers],[Product]], 0)</f>
        <v>Location not specified</v>
      </c>
      <c r="M71" s="158" t="str" cm="1">
        <f t="array" ref="M71">Common_InputFunctions.Utility_DisplayArrayInTable(Fertiliser_SourceData.Fertiliser_Products_Data1(),FertiliserProducts[[#Headers],[Product]], 0)</f>
        <v>Nitrogen from Nitrate</v>
      </c>
      <c r="N71" s="157" cm="1">
        <f t="array" ref="N71">Common_InputFunctions.Utility_DisplayArrayInTable(Fertiliser_SourceData.Fertiliser_Products_Data1(),FertiliserProducts[[#Headers],[Product]], 0)</f>
        <v>0.105</v>
      </c>
      <c r="O71" s="157" t="str" cm="1">
        <f t="array" ref="O71">Common_InputFunctions.Utility_DisplayArrayInTable(Fertiliser_SourceData.Fertiliser_Products_Data1(),FertiliserProducts[[#Headers],[Product]], 0)</f>
        <v>Location not specified</v>
      </c>
      <c r="P71" s="157" t="str" cm="1">
        <f t="array" ref="P71">Common_InputFunctions.Utility_DisplayArrayInTable(Fertiliser_SourceData.Fertiliser_Products_Data1(),FertiliserProducts[[#Headers],[Product]], 0)</f>
        <v>Biuret (impurity)</v>
      </c>
      <c r="Q71" s="157" cm="1">
        <f t="array" ref="Q71">Common_InputFunctions.Utility_DisplayArrayInTable(Fertiliser_SourceData.Fertiliser_Products_Data1(),FertiliserProducts[[#Headers],[Product]], 0)</f>
        <v>0.01</v>
      </c>
      <c r="R71" s="157" t="str" cm="1">
        <f t="array" ref="R71">Common_InputFunctions.Utility_DisplayArrayInTable(Fertiliser_SourceData.Fertiliser_Products_Data1(),FertiliserProducts[[#Headers],[Product]], 0)</f>
        <v>Location not specified</v>
      </c>
      <c r="S71" s="157" t="str" cm="1">
        <f t="array" ref="S71">Common_InputFunctions.Utility_DisplayArrayInTable(Fertiliser_SourceData.Fertiliser_Products_Data1(),FertiliserProducts[[#Headers],[Product]], 0)</f>
        <v/>
      </c>
      <c r="T71" s="157" t="str" cm="1">
        <f t="array" ref="T71">Common_InputFunctions.Utility_DisplayArrayInTable(Fertiliser_SourceData.Fertiliser_Products_Data1(),FertiliserProducts[[#Headers],[Product]], 0)</f>
        <v/>
      </c>
      <c r="U71" s="157" t="str" cm="1">
        <f t="array" ref="U71">Common_InputFunctions.Utility_DisplayArrayInTable(Fertiliser_SourceData.Fertiliser_Products_Data1(),FertiliserProducts[[#Headers],[Product]], 0)</f>
        <v/>
      </c>
      <c r="V71" s="158" t="str" cm="1">
        <f t="array" ref="V71">Common_InputFunctions.Utility_DisplayArrayInTable(Fertiliser_SourceData.Fertiliser_Products_Data1(),FertiliserProducts[[#Headers],[Product]], 0)</f>
        <v/>
      </c>
      <c r="W71" s="158" t="str" cm="1">
        <f t="array" ref="W71">Common_InputFunctions.Utility_DisplayArrayInTable(Fertiliser_SourceData.Fertiliser_Products_Data1(),FertiliserProducts[[#Headers],[Product]], 0)</f>
        <v/>
      </c>
      <c r="X71" s="158" t="str" cm="1">
        <f t="array" ref="X71">Common_InputFunctions.Utility_DisplayArrayInTable(Fertiliser_SourceData.Fertiliser_Products_Data1(),FertiliserProducts[[#Headers],[Product]], 0)</f>
        <v/>
      </c>
      <c r="Y71" s="158" t="str" cm="1">
        <f t="array" ref="Y71">Common_InputFunctions.Utility_DisplayArrayInTable(Fertiliser_SourceData.Fertiliser_Products_Data1(),FertiliserProducts[[#Headers],[Product]], 0)</f>
        <v/>
      </c>
      <c r="Z71" s="158" t="str" cm="1">
        <f t="array" ref="Z71">Common_InputFunctions.Utility_DisplayArrayInTable(Fertiliser_SourceData.Fertiliser_Products_Data1(),FertiliserProducts[[#Headers],[Product]], 0)</f>
        <v/>
      </c>
      <c r="AA71" s="158" t="str" cm="1">
        <f t="array" ref="AA71">Common_InputFunctions.Utility_DisplayArrayInTable(Fertiliser_SourceData.Fertiliser_Products_Data1(),FertiliserProducts[[#Headers],[Product]], 0)</f>
        <v/>
      </c>
      <c r="AB71" s="158" t="str" cm="1">
        <f t="array" ref="AB71">Common_InputFunctions.Utility_DisplayArrayInTable(Fertiliser_SourceData.Fertiliser_Products_Data1(),FertiliserProducts[[#Headers],[Product]], 0)</f>
        <v/>
      </c>
      <c r="AC71" s="158" t="str" cm="1">
        <f t="array" ref="AC71">Common_InputFunctions.Utility_DisplayArrayInTable(Fertiliser_SourceData.Fertiliser_Products_Data1(),FertiliserProducts[[#Headers],[Product]], 0)</f>
        <v/>
      </c>
      <c r="AD71" s="158" t="str" cm="1">
        <f t="array" ref="AD71">Common_InputFunctions.Utility_DisplayArrayInTable(Fertiliser_SourceData.Fertiliser_Products_Data1(),FertiliserProducts[[#Headers],[Product]], 0)</f>
        <v/>
      </c>
      <c r="AE71" s="158" t="str" cm="1">
        <f t="array" ref="AE71">Common_InputFunctions.Utility_DisplayArrayInTable(Fertiliser_SourceData.Fertiliser_Products_Data1(),FertiliserProducts[[#Headers],[Product]], 0)</f>
        <v/>
      </c>
      <c r="AF71" s="158" t="str" cm="1">
        <f t="array" ref="AF71">Common_InputFunctions.Utility_DisplayArrayInTable(Fertiliser_SourceData.Fertiliser_Products_Data1(),FertiliserProducts[[#Headers],[Product]], 0)</f>
        <v/>
      </c>
      <c r="AG71" s="158" t="str" cm="1">
        <f t="array" ref="AG71">Common_InputFunctions.Utility_DisplayArrayInTable(Fertiliser_SourceData.Fertiliser_Products_Data1(),FertiliserProducts[[#Headers],[Product]], 0)</f>
        <v/>
      </c>
      <c r="AH71" s="158" t="str" cm="1">
        <f t="array" ref="AH71">Common_InputFunctions.Utility_DisplayArrayInTable(Fertiliser_SourceData.Fertiliser_Products_Data1(),FertiliserProducts[[#Headers],[Product]], 0)</f>
        <v/>
      </c>
      <c r="AI71" s="158" t="str" cm="1">
        <f t="array" ref="AI71">Common_InputFunctions.Utility_DisplayArrayInTable(Fertiliser_SourceData.Fertiliser_Products_Data1(),FertiliserProducts[[#Headers],[Product]], 0)</f>
        <v/>
      </c>
      <c r="AJ71" s="158" t="str" cm="1">
        <f t="array" ref="AJ71">Common_InputFunctions.Utility_DisplayArrayInTable(Fertiliser_SourceData.Fertiliser_Products_Data1(),FertiliserProducts[[#Headers],[Product]], 0)</f>
        <v/>
      </c>
    </row>
    <row r="72" spans="4:36" ht="20.100000000000001" customHeight="1" x14ac:dyDescent="0.25">
      <c r="D72" s="157" t="str" cm="1">
        <f t="array" ref="D72">Common_InputFunctions.Utility_DisplayArrayInTable(Fertiliser_SourceData.Fertiliser_Products_Data1(),FertiliserProducts[[#Headers],[Product]], 0)</f>
        <v>Bronze</v>
      </c>
      <c r="E72" s="157" t="str" cm="1">
        <f t="array" ref="E72">Common_InputFunctions.Utility_DisplayArrayInTable(Fertiliser_SourceData.Fertiliser_Products_Data1(),FertiliserProducts[[#Headers],[Product]], 0)</f>
        <v>kg</v>
      </c>
      <c r="F72" s="157" cm="1">
        <f t="array" ref="F72">Common_InputFunctions.Utility_DisplayArrayInTable(Fertiliser_SourceData.Fertiliser_Products_Data1(),FertiliserProducts[[#Headers],[Product]], 0)</f>
        <v>1</v>
      </c>
      <c r="G72" s="157" t="str" cm="1">
        <f t="array" ref="G72">Common_InputFunctions.Utility_DisplayArrayInTable(Fertiliser_SourceData.Fertiliser_Products_Data1(),FertiliserProducts[[#Headers],[Product]], 0)</f>
        <v>Potassium - Generic</v>
      </c>
      <c r="H72" s="157" cm="1">
        <f t="array" ref="H72">Common_InputFunctions.Utility_DisplayArrayInTable(Fertiliser_SourceData.Fertiliser_Products_Data1(),FertiliserProducts[[#Headers],[Product]], 0)</f>
        <v>0.23200000000000001</v>
      </c>
      <c r="I72" s="157" t="str" cm="1">
        <f t="array" ref="I72">Common_InputFunctions.Utility_DisplayArrayInTable(Fertiliser_SourceData.Fertiliser_Products_Data1(),FertiliserProducts[[#Headers],[Product]], 0)</f>
        <v>Location not specified</v>
      </c>
      <c r="J72" s="157" t="str" cm="1">
        <f t="array" ref="J72">Common_InputFunctions.Utility_DisplayArrayInTable(Fertiliser_SourceData.Fertiliser_Products_Data1(),FertiliserProducts[[#Headers],[Product]], 0)</f>
        <v>Nitrogen - Ammoniacal</v>
      </c>
      <c r="K72" s="157" cm="1">
        <f t="array" ref="K72">Common_InputFunctions.Utility_DisplayArrayInTable(Fertiliser_SourceData.Fertiliser_Products_Data1(),FertiliserProducts[[#Headers],[Product]], 0)</f>
        <v>0.17</v>
      </c>
      <c r="L72" s="157" t="str" cm="1">
        <f t="array" ref="L72">Common_InputFunctions.Utility_DisplayArrayInTable(Fertiliser_SourceData.Fertiliser_Products_Data1(),FertiliserProducts[[#Headers],[Product]], 0)</f>
        <v>Location not specified</v>
      </c>
      <c r="M72" s="158" t="str" cm="1">
        <f t="array" ref="M72">Common_InputFunctions.Utility_DisplayArrayInTable(Fertiliser_SourceData.Fertiliser_Products_Data1(),FertiliserProducts[[#Headers],[Product]], 0)</f>
        <v>Sulfur - Generic</v>
      </c>
      <c r="N72" s="157" cm="1">
        <f t="array" ref="N72">Common_InputFunctions.Utility_DisplayArrayInTable(Fertiliser_SourceData.Fertiliser_Products_Data1(),FertiliserProducts[[#Headers],[Product]], 0)</f>
        <v>5.0000000000000001E-3</v>
      </c>
      <c r="O72" s="157" t="str" cm="1">
        <f t="array" ref="O72">Common_InputFunctions.Utility_DisplayArrayInTable(Fertiliser_SourceData.Fertiliser_Products_Data1(),FertiliserProducts[[#Headers],[Product]], 0)</f>
        <v>Location not specified</v>
      </c>
      <c r="P72" s="157" t="str" cm="1">
        <f t="array" ref="P72">Common_InputFunctions.Utility_DisplayArrayInTable(Fertiliser_SourceData.Fertiliser_Products_Data1(),FertiliserProducts[[#Headers],[Product]], 0)</f>
        <v>Magnesium - generic</v>
      </c>
      <c r="Q72" s="157" cm="1">
        <f t="array" ref="Q72">Common_InputFunctions.Utility_DisplayArrayInTable(Fertiliser_SourceData.Fertiliser_Products_Data1(),FertiliserProducts[[#Headers],[Product]], 0)</f>
        <v>2.3999999999999998E-3</v>
      </c>
      <c r="R72" s="157" t="str" cm="1">
        <f t="array" ref="R72">Common_InputFunctions.Utility_DisplayArrayInTable(Fertiliser_SourceData.Fertiliser_Products_Data1(),FertiliserProducts[[#Headers],[Product]], 0)</f>
        <v>Location not specified</v>
      </c>
      <c r="S72" s="157" t="str" cm="1">
        <f t="array" ref="S72">Common_InputFunctions.Utility_DisplayArrayInTable(Fertiliser_SourceData.Fertiliser_Products_Data1(),FertiliserProducts[[#Headers],[Product]], 0)</f>
        <v>Phosphorus - Generic</v>
      </c>
      <c r="T72" s="157" cm="1">
        <f t="array" ref="T72">Common_InputFunctions.Utility_DisplayArrayInTable(Fertiliser_SourceData.Fertiliser_Products_Data1(),FertiliserProducts[[#Headers],[Product]], 0)</f>
        <v>4.0000000000000002E-4</v>
      </c>
      <c r="U72" s="157" t="str" cm="1">
        <f t="array" ref="U72">Common_InputFunctions.Utility_DisplayArrayInTable(Fertiliser_SourceData.Fertiliser_Products_Data1(),FertiliserProducts[[#Headers],[Product]], 0)</f>
        <v>Location not specified</v>
      </c>
      <c r="V72" s="158" t="str" cm="1">
        <f t="array" ref="V72">Common_InputFunctions.Utility_DisplayArrayInTable(Fertiliser_SourceData.Fertiliser_Products_Data1(),FertiliserProducts[[#Headers],[Product]], 0)</f>
        <v/>
      </c>
      <c r="W72" s="158" t="str" cm="1">
        <f t="array" ref="W72">Common_InputFunctions.Utility_DisplayArrayInTable(Fertiliser_SourceData.Fertiliser_Products_Data1(),FertiliserProducts[[#Headers],[Product]], 0)</f>
        <v/>
      </c>
      <c r="X72" s="158" t="str" cm="1">
        <f t="array" ref="X72">Common_InputFunctions.Utility_DisplayArrayInTable(Fertiliser_SourceData.Fertiliser_Products_Data1(),FertiliserProducts[[#Headers],[Product]], 0)</f>
        <v/>
      </c>
      <c r="Y72" s="158" t="str" cm="1">
        <f t="array" ref="Y72">Common_InputFunctions.Utility_DisplayArrayInTable(Fertiliser_SourceData.Fertiliser_Products_Data1(),FertiliserProducts[[#Headers],[Product]], 0)</f>
        <v/>
      </c>
      <c r="Z72" s="158" t="str" cm="1">
        <f t="array" ref="Z72">Common_InputFunctions.Utility_DisplayArrayInTable(Fertiliser_SourceData.Fertiliser_Products_Data1(),FertiliserProducts[[#Headers],[Product]], 0)</f>
        <v/>
      </c>
      <c r="AA72" s="158" t="str" cm="1">
        <f t="array" ref="AA72">Common_InputFunctions.Utility_DisplayArrayInTable(Fertiliser_SourceData.Fertiliser_Products_Data1(),FertiliserProducts[[#Headers],[Product]], 0)</f>
        <v/>
      </c>
      <c r="AB72" s="158" t="str" cm="1">
        <f t="array" ref="AB72">Common_InputFunctions.Utility_DisplayArrayInTable(Fertiliser_SourceData.Fertiliser_Products_Data1(),FertiliserProducts[[#Headers],[Product]], 0)</f>
        <v/>
      </c>
      <c r="AC72" s="158" t="str" cm="1">
        <f t="array" ref="AC72">Common_InputFunctions.Utility_DisplayArrayInTable(Fertiliser_SourceData.Fertiliser_Products_Data1(),FertiliserProducts[[#Headers],[Product]], 0)</f>
        <v/>
      </c>
      <c r="AD72" s="158" t="str" cm="1">
        <f t="array" ref="AD72">Common_InputFunctions.Utility_DisplayArrayInTable(Fertiliser_SourceData.Fertiliser_Products_Data1(),FertiliserProducts[[#Headers],[Product]], 0)</f>
        <v/>
      </c>
      <c r="AE72" s="158" t="str" cm="1">
        <f t="array" ref="AE72">Common_InputFunctions.Utility_DisplayArrayInTable(Fertiliser_SourceData.Fertiliser_Products_Data1(),FertiliserProducts[[#Headers],[Product]], 0)</f>
        <v/>
      </c>
      <c r="AF72" s="158" t="str" cm="1">
        <f t="array" ref="AF72">Common_InputFunctions.Utility_DisplayArrayInTable(Fertiliser_SourceData.Fertiliser_Products_Data1(),FertiliserProducts[[#Headers],[Product]], 0)</f>
        <v/>
      </c>
      <c r="AG72" s="158" t="str" cm="1">
        <f t="array" ref="AG72">Common_InputFunctions.Utility_DisplayArrayInTable(Fertiliser_SourceData.Fertiliser_Products_Data1(),FertiliserProducts[[#Headers],[Product]], 0)</f>
        <v/>
      </c>
      <c r="AH72" s="158" t="str" cm="1">
        <f t="array" ref="AH72">Common_InputFunctions.Utility_DisplayArrayInTable(Fertiliser_SourceData.Fertiliser_Products_Data1(),FertiliserProducts[[#Headers],[Product]], 0)</f>
        <v/>
      </c>
      <c r="AI72" s="158" t="str" cm="1">
        <f t="array" ref="AI72">Common_InputFunctions.Utility_DisplayArrayInTable(Fertiliser_SourceData.Fertiliser_Products_Data1(),FertiliserProducts[[#Headers],[Product]], 0)</f>
        <v/>
      </c>
      <c r="AJ72" s="158" t="str" cm="1">
        <f t="array" ref="AJ72">Common_InputFunctions.Utility_DisplayArrayInTable(Fertiliser_SourceData.Fertiliser_Products_Data1(),FertiliserProducts[[#Headers],[Product]], 0)</f>
        <v/>
      </c>
    </row>
    <row r="73" spans="4:36" ht="20.100000000000001" customHeight="1" x14ac:dyDescent="0.25">
      <c r="D73" s="157" t="str" cm="1">
        <f t="array" ref="D73">Common_InputFunctions.Utility_DisplayArrayInTable(Fertiliser_SourceData.Fertiliser_Products_Data1(),FertiliserProducts[[#Headers],[Product]], 0)</f>
        <v>Bronze</v>
      </c>
      <c r="E73" s="157" t="str" cm="1">
        <f t="array" ref="E73">Common_InputFunctions.Utility_DisplayArrayInTable(Fertiliser_SourceData.Fertiliser_Products_Data1(),FertiliserProducts[[#Headers],[Product]], 0)</f>
        <v>kg</v>
      </c>
      <c r="F73" s="157" cm="1">
        <f t="array" ref="F73">Common_InputFunctions.Utility_DisplayArrayInTable(Fertiliser_SourceData.Fertiliser_Products_Data1(),FertiliserProducts[[#Headers],[Product]], 0)</f>
        <v>1</v>
      </c>
      <c r="G73" s="157" t="str" cm="1">
        <f t="array" ref="G73">Common_InputFunctions.Utility_DisplayArrayInTable(Fertiliser_SourceData.Fertiliser_Products_Data1(),FertiliserProducts[[#Headers],[Product]], 0)</f>
        <v>Muriate of potash (MOP)</v>
      </c>
      <c r="H73" s="157" cm="1">
        <f t="array" ref="H73">Common_InputFunctions.Utility_DisplayArrayInTable(Fertiliser_SourceData.Fertiliser_Products_Data1(),FertiliserProducts[[#Headers],[Product]], 0)</f>
        <v>0.23200000000000001</v>
      </c>
      <c r="I73" s="157" t="str" cm="1">
        <f t="array" ref="I73">Common_InputFunctions.Utility_DisplayArrayInTable(Fertiliser_SourceData.Fertiliser_Products_Data1(),FertiliserProducts[[#Headers],[Product]], 0)</f>
        <v>Location not specified</v>
      </c>
      <c r="J73" s="157" t="str" cm="1">
        <f t="array" ref="J73">Common_InputFunctions.Utility_DisplayArrayInTable(Fertiliser_SourceData.Fertiliser_Products_Data1(),FertiliserProducts[[#Headers],[Product]], 0)</f>
        <v>Nitrogen - Generic</v>
      </c>
      <c r="K73" s="157" cm="1">
        <f t="array" ref="K73">Common_InputFunctions.Utility_DisplayArrayInTable(Fertiliser_SourceData.Fertiliser_Products_Data1(),FertiliserProducts[[#Headers],[Product]], 0)</f>
        <v>0.17</v>
      </c>
      <c r="L73" s="157" t="str" cm="1">
        <f t="array" ref="L73">Common_InputFunctions.Utility_DisplayArrayInTable(Fertiliser_SourceData.Fertiliser_Products_Data1(),FertiliserProducts[[#Headers],[Product]], 0)</f>
        <v>Location not specified</v>
      </c>
      <c r="M73" s="158" t="str" cm="1">
        <f t="array" ref="M73">Common_InputFunctions.Utility_DisplayArrayInTable(Fertiliser_SourceData.Fertiliser_Products_Data1(),FertiliserProducts[[#Headers],[Product]], 0)</f>
        <v>Sulfur - Generic</v>
      </c>
      <c r="N73" s="157" cm="1">
        <f t="array" ref="N73">Common_InputFunctions.Utility_DisplayArrayInTable(Fertiliser_SourceData.Fertiliser_Products_Data1(),FertiliserProducts[[#Headers],[Product]], 0)</f>
        <v>5.0000000000000001E-3</v>
      </c>
      <c r="O73" s="157" t="str" cm="1">
        <f t="array" ref="O73">Common_InputFunctions.Utility_DisplayArrayInTable(Fertiliser_SourceData.Fertiliser_Products_Data1(),FertiliserProducts[[#Headers],[Product]], 0)</f>
        <v>Location not specified</v>
      </c>
      <c r="P73" s="157" t="str" cm="1">
        <f t="array" ref="P73">Common_InputFunctions.Utility_DisplayArrayInTable(Fertiliser_SourceData.Fertiliser_Products_Data1(),FertiliserProducts[[#Headers],[Product]], 0)</f>
        <v>Magnesium - generic</v>
      </c>
      <c r="Q73" s="157" cm="1">
        <f t="array" ref="Q73">Common_InputFunctions.Utility_DisplayArrayInTable(Fertiliser_SourceData.Fertiliser_Products_Data1(),FertiliserProducts[[#Headers],[Product]], 0)</f>
        <v>2.3999999999999998E-3</v>
      </c>
      <c r="R73" s="157" t="str" cm="1">
        <f t="array" ref="R73">Common_InputFunctions.Utility_DisplayArrayInTable(Fertiliser_SourceData.Fertiliser_Products_Data1(),FertiliserProducts[[#Headers],[Product]], 0)</f>
        <v>Location not specified</v>
      </c>
      <c r="S73" s="157" t="str" cm="1">
        <f t="array" ref="S73">Common_InputFunctions.Utility_DisplayArrayInTable(Fertiliser_SourceData.Fertiliser_Products_Data1(),FertiliserProducts[[#Headers],[Product]], 0)</f>
        <v>Phosphorus - Generic</v>
      </c>
      <c r="T73" s="157" cm="1">
        <f t="array" ref="T73">Common_InputFunctions.Utility_DisplayArrayInTable(Fertiliser_SourceData.Fertiliser_Products_Data1(),FertiliserProducts[[#Headers],[Product]], 0)</f>
        <v>4.0000000000000002E-4</v>
      </c>
      <c r="U73" s="157" t="str" cm="1">
        <f t="array" ref="U73">Common_InputFunctions.Utility_DisplayArrayInTable(Fertiliser_SourceData.Fertiliser_Products_Data1(),FertiliserProducts[[#Headers],[Product]], 0)</f>
        <v>Location not specified</v>
      </c>
      <c r="V73" s="158" t="str" cm="1">
        <f t="array" ref="V73">Common_InputFunctions.Utility_DisplayArrayInTable(Fertiliser_SourceData.Fertiliser_Products_Data1(),FertiliserProducts[[#Headers],[Product]], 0)</f>
        <v/>
      </c>
      <c r="W73" s="158" t="str" cm="1">
        <f t="array" ref="W73">Common_InputFunctions.Utility_DisplayArrayInTable(Fertiliser_SourceData.Fertiliser_Products_Data1(),FertiliserProducts[[#Headers],[Product]], 0)</f>
        <v/>
      </c>
      <c r="X73" s="158" t="str" cm="1">
        <f t="array" ref="X73">Common_InputFunctions.Utility_DisplayArrayInTable(Fertiliser_SourceData.Fertiliser_Products_Data1(),FertiliserProducts[[#Headers],[Product]], 0)</f>
        <v/>
      </c>
      <c r="Y73" s="158" t="str" cm="1">
        <f t="array" ref="Y73">Common_InputFunctions.Utility_DisplayArrayInTable(Fertiliser_SourceData.Fertiliser_Products_Data1(),FertiliserProducts[[#Headers],[Product]], 0)</f>
        <v/>
      </c>
      <c r="Z73" s="158" t="str" cm="1">
        <f t="array" ref="Z73">Common_InputFunctions.Utility_DisplayArrayInTable(Fertiliser_SourceData.Fertiliser_Products_Data1(),FertiliserProducts[[#Headers],[Product]], 0)</f>
        <v/>
      </c>
      <c r="AA73" s="158" t="str" cm="1">
        <f t="array" ref="AA73">Common_InputFunctions.Utility_DisplayArrayInTable(Fertiliser_SourceData.Fertiliser_Products_Data1(),FertiliserProducts[[#Headers],[Product]], 0)</f>
        <v/>
      </c>
      <c r="AB73" s="158" t="str" cm="1">
        <f t="array" ref="AB73">Common_InputFunctions.Utility_DisplayArrayInTable(Fertiliser_SourceData.Fertiliser_Products_Data1(),FertiliserProducts[[#Headers],[Product]], 0)</f>
        <v/>
      </c>
      <c r="AC73" s="158" t="str" cm="1">
        <f t="array" ref="AC73">Common_InputFunctions.Utility_DisplayArrayInTable(Fertiliser_SourceData.Fertiliser_Products_Data1(),FertiliserProducts[[#Headers],[Product]], 0)</f>
        <v/>
      </c>
      <c r="AD73" s="158" t="str" cm="1">
        <f t="array" ref="AD73">Common_InputFunctions.Utility_DisplayArrayInTable(Fertiliser_SourceData.Fertiliser_Products_Data1(),FertiliserProducts[[#Headers],[Product]], 0)</f>
        <v/>
      </c>
      <c r="AE73" s="158" t="str" cm="1">
        <f t="array" ref="AE73">Common_InputFunctions.Utility_DisplayArrayInTable(Fertiliser_SourceData.Fertiliser_Products_Data1(),FertiliserProducts[[#Headers],[Product]], 0)</f>
        <v/>
      </c>
      <c r="AF73" s="158" t="str" cm="1">
        <f t="array" ref="AF73">Common_InputFunctions.Utility_DisplayArrayInTable(Fertiliser_SourceData.Fertiliser_Products_Data1(),FertiliserProducts[[#Headers],[Product]], 0)</f>
        <v/>
      </c>
      <c r="AG73" s="158" t="str" cm="1">
        <f t="array" ref="AG73">Common_InputFunctions.Utility_DisplayArrayInTable(Fertiliser_SourceData.Fertiliser_Products_Data1(),FertiliserProducts[[#Headers],[Product]], 0)</f>
        <v/>
      </c>
      <c r="AH73" s="158" t="str" cm="1">
        <f t="array" ref="AH73">Common_InputFunctions.Utility_DisplayArrayInTable(Fertiliser_SourceData.Fertiliser_Products_Data1(),FertiliserProducts[[#Headers],[Product]], 0)</f>
        <v/>
      </c>
      <c r="AI73" s="158" t="str" cm="1">
        <f t="array" ref="AI73">Common_InputFunctions.Utility_DisplayArrayInTable(Fertiliser_SourceData.Fertiliser_Products_Data1(),FertiliserProducts[[#Headers],[Product]], 0)</f>
        <v/>
      </c>
      <c r="AJ73" s="158" t="str" cm="1">
        <f t="array" ref="AJ73">Common_InputFunctions.Utility_DisplayArrayInTable(Fertiliser_SourceData.Fertiliser_Products_Data1(),FertiliserProducts[[#Headers],[Product]], 0)</f>
        <v/>
      </c>
    </row>
    <row r="74" spans="4:36" ht="20.100000000000001" customHeight="1" x14ac:dyDescent="0.25">
      <c r="D74" s="157" t="str" cm="1">
        <f t="array" ref="D74">Common_InputFunctions.Utility_DisplayArrayInTable(Fertiliser_SourceData.Fertiliser_Products_Data1(),FertiliserProducts[[#Headers],[Product]], 0)</f>
        <v>Calcium Ammonium Nitrate (CAN)</v>
      </c>
      <c r="E74" s="157" t="str" cm="1">
        <f t="array" ref="E74">Common_InputFunctions.Utility_DisplayArrayInTable(Fertiliser_SourceData.Fertiliser_Products_Data1(),FertiliserProducts[[#Headers],[Product]], 0)</f>
        <v>kg</v>
      </c>
      <c r="F74" s="157" cm="1">
        <f t="array" ref="F74">Common_InputFunctions.Utility_DisplayArrayInTable(Fertiliser_SourceData.Fertiliser_Products_Data1(),FertiliserProducts[[#Headers],[Product]], 0)</f>
        <v>1</v>
      </c>
      <c r="G74" s="157" t="str" cm="1">
        <f t="array" ref="G74">Common_InputFunctions.Utility_DisplayArrayInTable(Fertiliser_SourceData.Fertiliser_Products_Data1(),FertiliserProducts[[#Headers],[Product]], 0)</f>
        <v>Nitrogen - Ammoniacal</v>
      </c>
      <c r="H74" s="157" cm="1">
        <f t="array" ref="H74">Common_InputFunctions.Utility_DisplayArrayInTable(Fertiliser_SourceData.Fertiliser_Products_Data1(),FertiliserProducts[[#Headers],[Product]], 0)</f>
        <v>0.13500000000000001</v>
      </c>
      <c r="I74" s="157" t="str" cm="1">
        <f t="array" ref="I74">Common_InputFunctions.Utility_DisplayArrayInTable(Fertiliser_SourceData.Fertiliser_Products_Data1(),FertiliserProducts[[#Headers],[Product]], 0)</f>
        <v>China</v>
      </c>
      <c r="J74" s="157" t="str" cm="1">
        <f t="array" ref="J74">Common_InputFunctions.Utility_DisplayArrayInTable(Fertiliser_SourceData.Fertiliser_Products_Data1(),FertiliserProducts[[#Headers],[Product]], 0)</f>
        <v>Nitrogen from Nitrate</v>
      </c>
      <c r="K74" s="157" cm="1">
        <f t="array" ref="K74">Common_InputFunctions.Utility_DisplayArrayInTable(Fertiliser_SourceData.Fertiliser_Products_Data1(),FertiliserProducts[[#Headers],[Product]], 0)</f>
        <v>0.13500000000000001</v>
      </c>
      <c r="L74" s="157" t="str" cm="1">
        <f t="array" ref="L74">Common_InputFunctions.Utility_DisplayArrayInTable(Fertiliser_SourceData.Fertiliser_Products_Data1(),FertiliserProducts[[#Headers],[Product]], 0)</f>
        <v>China</v>
      </c>
      <c r="M74" s="158" t="str" cm="1">
        <f t="array" ref="M74">Common_InputFunctions.Utility_DisplayArrayInTable(Fertiliser_SourceData.Fertiliser_Products_Data1(),FertiliserProducts[[#Headers],[Product]], 0)</f>
        <v>Calcium oxide</v>
      </c>
      <c r="N74" s="157" cm="1">
        <f t="array" ref="N74">Common_InputFunctions.Utility_DisplayArrayInTable(Fertiliser_SourceData.Fertiliser_Products_Data1(),FertiliserProducts[[#Headers],[Product]], 0)</f>
        <v>0.12</v>
      </c>
      <c r="O74" s="157" t="str" cm="1">
        <f t="array" ref="O74">Common_InputFunctions.Utility_DisplayArrayInTable(Fertiliser_SourceData.Fertiliser_Products_Data1(),FertiliserProducts[[#Headers],[Product]], 0)</f>
        <v>China</v>
      </c>
      <c r="P74" s="157" t="str" cm="1">
        <f t="array" ref="P74">Common_InputFunctions.Utility_DisplayArrayInTable(Fertiliser_SourceData.Fertiliser_Products_Data1(),FertiliserProducts[[#Headers],[Product]], 0)</f>
        <v>Boron - generic</v>
      </c>
      <c r="Q74" s="157" cm="1">
        <f t="array" ref="Q74">Common_InputFunctions.Utility_DisplayArrayInTable(Fertiliser_SourceData.Fertiliser_Products_Data1(),FertiliserProducts[[#Headers],[Product]], 0)</f>
        <v>3.0000000000000001E-3</v>
      </c>
      <c r="R74" s="157" t="str" cm="1">
        <f t="array" ref="R74">Common_InputFunctions.Utility_DisplayArrayInTable(Fertiliser_SourceData.Fertiliser_Products_Data1(),FertiliserProducts[[#Headers],[Product]], 0)</f>
        <v>China</v>
      </c>
      <c r="S74" s="157" t="str" cm="1">
        <f t="array" ref="S74">Common_InputFunctions.Utility_DisplayArrayInTable(Fertiliser_SourceData.Fertiliser_Products_Data1(),FertiliserProducts[[#Headers],[Product]], 0)</f>
        <v/>
      </c>
      <c r="T74" s="157" t="str" cm="1">
        <f t="array" ref="T74">Common_InputFunctions.Utility_DisplayArrayInTable(Fertiliser_SourceData.Fertiliser_Products_Data1(),FertiliserProducts[[#Headers],[Product]], 0)</f>
        <v/>
      </c>
      <c r="U74" s="157" t="str" cm="1">
        <f t="array" ref="U74">Common_InputFunctions.Utility_DisplayArrayInTable(Fertiliser_SourceData.Fertiliser_Products_Data1(),FertiliserProducts[[#Headers],[Product]], 0)</f>
        <v/>
      </c>
      <c r="V74" s="158" t="str" cm="1">
        <f t="array" ref="V74">Common_InputFunctions.Utility_DisplayArrayInTable(Fertiliser_SourceData.Fertiliser_Products_Data1(),FertiliserProducts[[#Headers],[Product]], 0)</f>
        <v/>
      </c>
      <c r="W74" s="158" t="str" cm="1">
        <f t="array" ref="W74">Common_InputFunctions.Utility_DisplayArrayInTable(Fertiliser_SourceData.Fertiliser_Products_Data1(),FertiliserProducts[[#Headers],[Product]], 0)</f>
        <v/>
      </c>
      <c r="X74" s="158" t="str" cm="1">
        <f t="array" ref="X74">Common_InputFunctions.Utility_DisplayArrayInTable(Fertiliser_SourceData.Fertiliser_Products_Data1(),FertiliserProducts[[#Headers],[Product]], 0)</f>
        <v/>
      </c>
      <c r="Y74" s="158" t="str" cm="1">
        <f t="array" ref="Y74">Common_InputFunctions.Utility_DisplayArrayInTable(Fertiliser_SourceData.Fertiliser_Products_Data1(),FertiliserProducts[[#Headers],[Product]], 0)</f>
        <v/>
      </c>
      <c r="Z74" s="158" t="str" cm="1">
        <f t="array" ref="Z74">Common_InputFunctions.Utility_DisplayArrayInTable(Fertiliser_SourceData.Fertiliser_Products_Data1(),FertiliserProducts[[#Headers],[Product]], 0)</f>
        <v/>
      </c>
      <c r="AA74" s="158" t="str" cm="1">
        <f t="array" ref="AA74">Common_InputFunctions.Utility_DisplayArrayInTable(Fertiliser_SourceData.Fertiliser_Products_Data1(),FertiliserProducts[[#Headers],[Product]], 0)</f>
        <v/>
      </c>
      <c r="AB74" s="158" t="str" cm="1">
        <f t="array" ref="AB74">Common_InputFunctions.Utility_DisplayArrayInTable(Fertiliser_SourceData.Fertiliser_Products_Data1(),FertiliserProducts[[#Headers],[Product]], 0)</f>
        <v/>
      </c>
      <c r="AC74" s="158" t="str" cm="1">
        <f t="array" ref="AC74">Common_InputFunctions.Utility_DisplayArrayInTable(Fertiliser_SourceData.Fertiliser_Products_Data1(),FertiliserProducts[[#Headers],[Product]], 0)</f>
        <v/>
      </c>
      <c r="AD74" s="158" t="str" cm="1">
        <f t="array" ref="AD74">Common_InputFunctions.Utility_DisplayArrayInTable(Fertiliser_SourceData.Fertiliser_Products_Data1(),FertiliserProducts[[#Headers],[Product]], 0)</f>
        <v/>
      </c>
      <c r="AE74" s="158" t="str" cm="1">
        <f t="array" ref="AE74">Common_InputFunctions.Utility_DisplayArrayInTable(Fertiliser_SourceData.Fertiliser_Products_Data1(),FertiliserProducts[[#Headers],[Product]], 0)</f>
        <v/>
      </c>
      <c r="AF74" s="158" t="str" cm="1">
        <f t="array" ref="AF74">Common_InputFunctions.Utility_DisplayArrayInTable(Fertiliser_SourceData.Fertiliser_Products_Data1(),FertiliserProducts[[#Headers],[Product]], 0)</f>
        <v/>
      </c>
      <c r="AG74" s="158" t="str" cm="1">
        <f t="array" ref="AG74">Common_InputFunctions.Utility_DisplayArrayInTable(Fertiliser_SourceData.Fertiliser_Products_Data1(),FertiliserProducts[[#Headers],[Product]], 0)</f>
        <v/>
      </c>
      <c r="AH74" s="158" t="str" cm="1">
        <f t="array" ref="AH74">Common_InputFunctions.Utility_DisplayArrayInTable(Fertiliser_SourceData.Fertiliser_Products_Data1(),FertiliserProducts[[#Headers],[Product]], 0)</f>
        <v/>
      </c>
      <c r="AI74" s="158" t="str" cm="1">
        <f t="array" ref="AI74">Common_InputFunctions.Utility_DisplayArrayInTable(Fertiliser_SourceData.Fertiliser_Products_Data1(),FertiliserProducts[[#Headers],[Product]], 0)</f>
        <v/>
      </c>
      <c r="AJ74" s="158" t="str" cm="1">
        <f t="array" ref="AJ74">Common_InputFunctions.Utility_DisplayArrayInTable(Fertiliser_SourceData.Fertiliser_Products_Data1(),FertiliserProducts[[#Headers],[Product]], 0)</f>
        <v/>
      </c>
    </row>
    <row r="75" spans="4:36" ht="20.100000000000001" customHeight="1" x14ac:dyDescent="0.25">
      <c r="D75" s="157" t="str" cm="1">
        <f t="array" ref="D75">Common_InputFunctions.Utility_DisplayArrayInTable(Fertiliser_SourceData.Fertiliser_Products_Data1(),FertiliserProducts[[#Headers],[Product]], 0)</f>
        <v>Campbells Quick-N</v>
      </c>
      <c r="E75" s="157" t="str" cm="1">
        <f t="array" ref="E75">Common_InputFunctions.Utility_DisplayArrayInTable(Fertiliser_SourceData.Fertiliser_Products_Data1(),FertiliserProducts[[#Headers],[Product]], 0)</f>
        <v>kg</v>
      </c>
      <c r="F75" s="157" cm="1">
        <f t="array" ref="F75">Common_InputFunctions.Utility_DisplayArrayInTable(Fertiliser_SourceData.Fertiliser_Products_Data1(),FertiliserProducts[[#Headers],[Product]], 0)</f>
        <v>1</v>
      </c>
      <c r="G75" s="157" t="str" cm="1">
        <f t="array" ref="G75">Common_InputFunctions.Utility_DisplayArrayInTable(Fertiliser_SourceData.Fertiliser_Products_Data1(),FertiliserProducts[[#Headers],[Product]], 0)</f>
        <v>Nitrogen - Generic</v>
      </c>
      <c r="H75" s="157" cm="1">
        <f t="array" ref="H75">Common_InputFunctions.Utility_DisplayArrayInTable(Fertiliser_SourceData.Fertiliser_Products_Data1(),FertiliserProducts[[#Headers],[Product]], 0)</f>
        <v>0.46</v>
      </c>
      <c r="I75" s="157" t="str" cm="1">
        <f t="array" ref="I75">Common_InputFunctions.Utility_DisplayArrayInTable(Fertiliser_SourceData.Fertiliser_Products_Data1(),FertiliserProducts[[#Headers],[Product]], 0)</f>
        <v>Location not specified</v>
      </c>
      <c r="J75" s="157" t="str" cm="1">
        <f t="array" ref="J75">Common_InputFunctions.Utility_DisplayArrayInTable(Fertiliser_SourceData.Fertiliser_Products_Data1(),FertiliserProducts[[#Headers],[Product]], 0)</f>
        <v/>
      </c>
      <c r="K75" s="157" t="str" cm="1">
        <f t="array" ref="K75">Common_InputFunctions.Utility_DisplayArrayInTable(Fertiliser_SourceData.Fertiliser_Products_Data1(),FertiliserProducts[[#Headers],[Product]], 0)</f>
        <v/>
      </c>
      <c r="L75" s="157" t="str" cm="1">
        <f t="array" ref="L75">Common_InputFunctions.Utility_DisplayArrayInTable(Fertiliser_SourceData.Fertiliser_Products_Data1(),FertiliserProducts[[#Headers],[Product]], 0)</f>
        <v/>
      </c>
      <c r="M75" s="158" t="str" cm="1">
        <f t="array" ref="M75">Common_InputFunctions.Utility_DisplayArrayInTable(Fertiliser_SourceData.Fertiliser_Products_Data1(),FertiliserProducts[[#Headers],[Product]], 0)</f>
        <v/>
      </c>
      <c r="N75" s="157" t="str" cm="1">
        <f t="array" ref="N75">Common_InputFunctions.Utility_DisplayArrayInTable(Fertiliser_SourceData.Fertiliser_Products_Data1(),FertiliserProducts[[#Headers],[Product]], 0)</f>
        <v/>
      </c>
      <c r="O75" s="157" t="str" cm="1">
        <f t="array" ref="O75">Common_InputFunctions.Utility_DisplayArrayInTable(Fertiliser_SourceData.Fertiliser_Products_Data1(),FertiliserProducts[[#Headers],[Product]], 0)</f>
        <v/>
      </c>
      <c r="P75" s="157" t="str" cm="1">
        <f t="array" ref="P75">Common_InputFunctions.Utility_DisplayArrayInTable(Fertiliser_SourceData.Fertiliser_Products_Data1(),FertiliserProducts[[#Headers],[Product]], 0)</f>
        <v/>
      </c>
      <c r="Q75" s="157" t="str" cm="1">
        <f t="array" ref="Q75">Common_InputFunctions.Utility_DisplayArrayInTable(Fertiliser_SourceData.Fertiliser_Products_Data1(),FertiliserProducts[[#Headers],[Product]], 0)</f>
        <v/>
      </c>
      <c r="R75" s="157" t="str" cm="1">
        <f t="array" ref="R75">Common_InputFunctions.Utility_DisplayArrayInTable(Fertiliser_SourceData.Fertiliser_Products_Data1(),FertiliserProducts[[#Headers],[Product]], 0)</f>
        <v/>
      </c>
      <c r="S75" s="157" t="str" cm="1">
        <f t="array" ref="S75">Common_InputFunctions.Utility_DisplayArrayInTable(Fertiliser_SourceData.Fertiliser_Products_Data1(),FertiliserProducts[[#Headers],[Product]], 0)</f>
        <v/>
      </c>
      <c r="T75" s="157" t="str" cm="1">
        <f t="array" ref="T75">Common_InputFunctions.Utility_DisplayArrayInTable(Fertiliser_SourceData.Fertiliser_Products_Data1(),FertiliserProducts[[#Headers],[Product]], 0)</f>
        <v/>
      </c>
      <c r="U75" s="157" t="str" cm="1">
        <f t="array" ref="U75">Common_InputFunctions.Utility_DisplayArrayInTable(Fertiliser_SourceData.Fertiliser_Products_Data1(),FertiliserProducts[[#Headers],[Product]], 0)</f>
        <v/>
      </c>
      <c r="V75" s="158" t="str" cm="1">
        <f t="array" ref="V75">Common_InputFunctions.Utility_DisplayArrayInTable(Fertiliser_SourceData.Fertiliser_Products_Data1(),FertiliserProducts[[#Headers],[Product]], 0)</f>
        <v/>
      </c>
      <c r="W75" s="158" t="str" cm="1">
        <f t="array" ref="W75">Common_InputFunctions.Utility_DisplayArrayInTable(Fertiliser_SourceData.Fertiliser_Products_Data1(),FertiliserProducts[[#Headers],[Product]], 0)</f>
        <v/>
      </c>
      <c r="X75" s="158" t="str" cm="1">
        <f t="array" ref="X75">Common_InputFunctions.Utility_DisplayArrayInTable(Fertiliser_SourceData.Fertiliser_Products_Data1(),FertiliserProducts[[#Headers],[Product]], 0)</f>
        <v/>
      </c>
      <c r="Y75" s="158" t="str" cm="1">
        <f t="array" ref="Y75">Common_InputFunctions.Utility_DisplayArrayInTable(Fertiliser_SourceData.Fertiliser_Products_Data1(),FertiliserProducts[[#Headers],[Product]], 0)</f>
        <v/>
      </c>
      <c r="Z75" s="158" t="str" cm="1">
        <f t="array" ref="Z75">Common_InputFunctions.Utility_DisplayArrayInTable(Fertiliser_SourceData.Fertiliser_Products_Data1(),FertiliserProducts[[#Headers],[Product]], 0)</f>
        <v/>
      </c>
      <c r="AA75" s="158" t="str" cm="1">
        <f t="array" ref="AA75">Common_InputFunctions.Utility_DisplayArrayInTable(Fertiliser_SourceData.Fertiliser_Products_Data1(),FertiliserProducts[[#Headers],[Product]], 0)</f>
        <v/>
      </c>
      <c r="AB75" s="158" t="str" cm="1">
        <f t="array" ref="AB75">Common_InputFunctions.Utility_DisplayArrayInTable(Fertiliser_SourceData.Fertiliser_Products_Data1(),FertiliserProducts[[#Headers],[Product]], 0)</f>
        <v/>
      </c>
      <c r="AC75" s="158" t="str" cm="1">
        <f t="array" ref="AC75">Common_InputFunctions.Utility_DisplayArrayInTable(Fertiliser_SourceData.Fertiliser_Products_Data1(),FertiliserProducts[[#Headers],[Product]], 0)</f>
        <v/>
      </c>
      <c r="AD75" s="158" t="str" cm="1">
        <f t="array" ref="AD75">Common_InputFunctions.Utility_DisplayArrayInTable(Fertiliser_SourceData.Fertiliser_Products_Data1(),FertiliserProducts[[#Headers],[Product]], 0)</f>
        <v/>
      </c>
      <c r="AE75" s="158" t="str" cm="1">
        <f t="array" ref="AE75">Common_InputFunctions.Utility_DisplayArrayInTable(Fertiliser_SourceData.Fertiliser_Products_Data1(),FertiliserProducts[[#Headers],[Product]], 0)</f>
        <v/>
      </c>
      <c r="AF75" s="158" t="str" cm="1">
        <f t="array" ref="AF75">Common_InputFunctions.Utility_DisplayArrayInTable(Fertiliser_SourceData.Fertiliser_Products_Data1(),FertiliserProducts[[#Headers],[Product]], 0)</f>
        <v/>
      </c>
      <c r="AG75" s="158" t="str" cm="1">
        <f t="array" ref="AG75">Common_InputFunctions.Utility_DisplayArrayInTable(Fertiliser_SourceData.Fertiliser_Products_Data1(),FertiliserProducts[[#Headers],[Product]], 0)</f>
        <v/>
      </c>
      <c r="AH75" s="158" t="str" cm="1">
        <f t="array" ref="AH75">Common_InputFunctions.Utility_DisplayArrayInTable(Fertiliser_SourceData.Fertiliser_Products_Data1(),FertiliserProducts[[#Headers],[Product]], 0)</f>
        <v/>
      </c>
      <c r="AI75" s="158" t="str" cm="1">
        <f t="array" ref="AI75">Common_InputFunctions.Utility_DisplayArrayInTable(Fertiliser_SourceData.Fertiliser_Products_Data1(),FertiliserProducts[[#Headers],[Product]], 0)</f>
        <v/>
      </c>
      <c r="AJ75" s="158" t="str" cm="1">
        <f t="array" ref="AJ75">Common_InputFunctions.Utility_DisplayArrayInTable(Fertiliser_SourceData.Fertiliser_Products_Data1(),FertiliserProducts[[#Headers],[Product]], 0)</f>
        <v/>
      </c>
    </row>
    <row r="76" spans="4:36" ht="20.100000000000001" customHeight="1" x14ac:dyDescent="0.25">
      <c r="D76" s="157" t="str" cm="1">
        <f t="array" ref="D76">Common_InputFunctions.Utility_DisplayArrayInTable(Fertiliser_SourceData.Fertiliser_Products_Data1(),FertiliserProducts[[#Headers],[Product]], 0)</f>
        <v>Compass</v>
      </c>
      <c r="E76" s="157" t="str" cm="1">
        <f t="array" ref="E76">Common_InputFunctions.Utility_DisplayArrayInTable(Fertiliser_SourceData.Fertiliser_Products_Data1(),FertiliserProducts[[#Headers],[Product]], 0)</f>
        <v>kg</v>
      </c>
      <c r="F76" s="157" cm="1">
        <f t="array" ref="F76">Common_InputFunctions.Utility_DisplayArrayInTable(Fertiliser_SourceData.Fertiliser_Products_Data1(),FertiliserProducts[[#Headers],[Product]], 0)</f>
        <v>1</v>
      </c>
      <c r="G76" s="157" t="str" cm="1">
        <f t="array" ref="G76">Common_InputFunctions.Utility_DisplayArrayInTable(Fertiliser_SourceData.Fertiliser_Products_Data1(),FertiliserProducts[[#Headers],[Product]], 0)</f>
        <v>Nitrogen - Generic</v>
      </c>
      <c r="H76" s="157" cm="1">
        <f t="array" ref="H76">Common_InputFunctions.Utility_DisplayArrayInTable(Fertiliser_SourceData.Fertiliser_Products_Data1(),FertiliserProducts[[#Headers],[Product]], 0)</f>
        <v>0.15</v>
      </c>
      <c r="I76" s="157" t="str" cm="1">
        <f t="array" ref="I76">Common_InputFunctions.Utility_DisplayArrayInTable(Fertiliser_SourceData.Fertiliser_Products_Data1(),FertiliserProducts[[#Headers],[Product]], 0)</f>
        <v>Location not specified</v>
      </c>
      <c r="J76" s="157" t="str" cm="1">
        <f t="array" ref="J76">Common_InputFunctions.Utility_DisplayArrayInTable(Fertiliser_SourceData.Fertiliser_Products_Data1(),FertiliserProducts[[#Headers],[Product]], 0)</f>
        <v>Potassium - Generic</v>
      </c>
      <c r="K76" s="157" cm="1">
        <f t="array" ref="K76">Common_InputFunctions.Utility_DisplayArrayInTable(Fertiliser_SourceData.Fertiliser_Products_Data1(),FertiliserProducts[[#Headers],[Product]], 0)</f>
        <v>0.125</v>
      </c>
      <c r="L76" s="157" t="str" cm="1">
        <f t="array" ref="L76">Common_InputFunctions.Utility_DisplayArrayInTable(Fertiliser_SourceData.Fertiliser_Products_Data1(),FertiliserProducts[[#Headers],[Product]], 0)</f>
        <v>Location not specified</v>
      </c>
      <c r="M76" s="158" t="str" cm="1">
        <f t="array" ref="M76">Common_InputFunctions.Utility_DisplayArrayInTable(Fertiliser_SourceData.Fertiliser_Products_Data1(),FertiliserProducts[[#Headers],[Product]], 0)</f>
        <v>Phosphorus - Generic</v>
      </c>
      <c r="N76" s="157" cm="1">
        <f t="array" ref="N76">Common_InputFunctions.Utility_DisplayArrayInTable(Fertiliser_SourceData.Fertiliser_Products_Data1(),FertiliserProducts[[#Headers],[Product]], 0)</f>
        <v>6.5000000000000002E-2</v>
      </c>
      <c r="O76" s="157" t="str" cm="1">
        <f t="array" ref="O76">Common_InputFunctions.Utility_DisplayArrayInTable(Fertiliser_SourceData.Fertiliser_Products_Data1(),FertiliserProducts[[#Headers],[Product]], 0)</f>
        <v>Location not specified</v>
      </c>
      <c r="P76" s="157" t="str" cm="1">
        <f t="array" ref="P76">Common_InputFunctions.Utility_DisplayArrayInTable(Fertiliser_SourceData.Fertiliser_Products_Data1(),FertiliserProducts[[#Headers],[Product]], 0)</f>
        <v>Sulfur - Generic</v>
      </c>
      <c r="Q76" s="157" cm="1">
        <f t="array" ref="Q76">Common_InputFunctions.Utility_DisplayArrayInTable(Fertiliser_SourceData.Fertiliser_Products_Data1(),FertiliserProducts[[#Headers],[Product]], 0)</f>
        <v>0.06</v>
      </c>
      <c r="R76" s="157" t="str" cm="1">
        <f t="array" ref="R76">Common_InputFunctions.Utility_DisplayArrayInTable(Fertiliser_SourceData.Fertiliser_Products_Data1(),FertiliserProducts[[#Headers],[Product]], 0)</f>
        <v>Location not specified</v>
      </c>
      <c r="S76" s="157" t="str" cm="1">
        <f t="array" ref="S76">Common_InputFunctions.Utility_DisplayArrayInTable(Fertiliser_SourceData.Fertiliser_Products_Data1(),FertiliserProducts[[#Headers],[Product]], 0)</f>
        <v/>
      </c>
      <c r="T76" s="157" t="str" cm="1">
        <f t="array" ref="T76">Common_InputFunctions.Utility_DisplayArrayInTable(Fertiliser_SourceData.Fertiliser_Products_Data1(),FertiliserProducts[[#Headers],[Product]], 0)</f>
        <v/>
      </c>
      <c r="U76" s="157" t="str" cm="1">
        <f t="array" ref="U76">Common_InputFunctions.Utility_DisplayArrayInTable(Fertiliser_SourceData.Fertiliser_Products_Data1(),FertiliserProducts[[#Headers],[Product]], 0)</f>
        <v/>
      </c>
      <c r="V76" s="158" t="str" cm="1">
        <f t="array" ref="V76">Common_InputFunctions.Utility_DisplayArrayInTable(Fertiliser_SourceData.Fertiliser_Products_Data1(),FertiliserProducts[[#Headers],[Product]], 0)</f>
        <v/>
      </c>
      <c r="W76" s="158" t="str" cm="1">
        <f t="array" ref="W76">Common_InputFunctions.Utility_DisplayArrayInTable(Fertiliser_SourceData.Fertiliser_Products_Data1(),FertiliserProducts[[#Headers],[Product]], 0)</f>
        <v/>
      </c>
      <c r="X76" s="158" t="str" cm="1">
        <f t="array" ref="X76">Common_InputFunctions.Utility_DisplayArrayInTable(Fertiliser_SourceData.Fertiliser_Products_Data1(),FertiliserProducts[[#Headers],[Product]], 0)</f>
        <v/>
      </c>
      <c r="Y76" s="158" t="str" cm="1">
        <f t="array" ref="Y76">Common_InputFunctions.Utility_DisplayArrayInTable(Fertiliser_SourceData.Fertiliser_Products_Data1(),FertiliserProducts[[#Headers],[Product]], 0)</f>
        <v/>
      </c>
      <c r="Z76" s="158" t="str" cm="1">
        <f t="array" ref="Z76">Common_InputFunctions.Utility_DisplayArrayInTable(Fertiliser_SourceData.Fertiliser_Products_Data1(),FertiliserProducts[[#Headers],[Product]], 0)</f>
        <v/>
      </c>
      <c r="AA76" s="158" t="str" cm="1">
        <f t="array" ref="AA76">Common_InputFunctions.Utility_DisplayArrayInTable(Fertiliser_SourceData.Fertiliser_Products_Data1(),FertiliserProducts[[#Headers],[Product]], 0)</f>
        <v/>
      </c>
      <c r="AB76" s="158" t="str" cm="1">
        <f t="array" ref="AB76">Common_InputFunctions.Utility_DisplayArrayInTable(Fertiliser_SourceData.Fertiliser_Products_Data1(),FertiliserProducts[[#Headers],[Product]], 0)</f>
        <v/>
      </c>
      <c r="AC76" s="158" t="str" cm="1">
        <f t="array" ref="AC76">Common_InputFunctions.Utility_DisplayArrayInTable(Fertiliser_SourceData.Fertiliser_Products_Data1(),FertiliserProducts[[#Headers],[Product]], 0)</f>
        <v/>
      </c>
      <c r="AD76" s="158" t="str" cm="1">
        <f t="array" ref="AD76">Common_InputFunctions.Utility_DisplayArrayInTable(Fertiliser_SourceData.Fertiliser_Products_Data1(),FertiliserProducts[[#Headers],[Product]], 0)</f>
        <v/>
      </c>
      <c r="AE76" s="158" t="str" cm="1">
        <f t="array" ref="AE76">Common_InputFunctions.Utility_DisplayArrayInTable(Fertiliser_SourceData.Fertiliser_Products_Data1(),FertiliserProducts[[#Headers],[Product]], 0)</f>
        <v/>
      </c>
      <c r="AF76" s="158" t="str" cm="1">
        <f t="array" ref="AF76">Common_InputFunctions.Utility_DisplayArrayInTable(Fertiliser_SourceData.Fertiliser_Products_Data1(),FertiliserProducts[[#Headers],[Product]], 0)</f>
        <v/>
      </c>
      <c r="AG76" s="158" t="str" cm="1">
        <f t="array" ref="AG76">Common_InputFunctions.Utility_DisplayArrayInTable(Fertiliser_SourceData.Fertiliser_Products_Data1(),FertiliserProducts[[#Headers],[Product]], 0)</f>
        <v/>
      </c>
      <c r="AH76" s="158" t="str" cm="1">
        <f t="array" ref="AH76">Common_InputFunctions.Utility_DisplayArrayInTable(Fertiliser_SourceData.Fertiliser_Products_Data1(),FertiliserProducts[[#Headers],[Product]], 0)</f>
        <v/>
      </c>
      <c r="AI76" s="158" t="str" cm="1">
        <f t="array" ref="AI76">Common_InputFunctions.Utility_DisplayArrayInTable(Fertiliser_SourceData.Fertiliser_Products_Data1(),FertiliserProducts[[#Headers],[Product]], 0)</f>
        <v/>
      </c>
      <c r="AJ76" s="158" t="str" cm="1">
        <f t="array" ref="AJ76">Common_InputFunctions.Utility_DisplayArrayInTable(Fertiliser_SourceData.Fertiliser_Products_Data1(),FertiliserProducts[[#Headers],[Product]], 0)</f>
        <v/>
      </c>
    </row>
    <row r="77" spans="4:36" ht="20.100000000000001" customHeight="1" x14ac:dyDescent="0.25">
      <c r="D77" s="157" t="str" cm="1">
        <f t="array" ref="D77">Common_InputFunctions.Utility_DisplayArrayInTable(Fertiliser_SourceData.Fertiliser_Products_Data1(),FertiliserProducts[[#Headers],[Product]], 0)</f>
        <v>Crop K</v>
      </c>
      <c r="E77" s="157" t="str" cm="1">
        <f t="array" ref="E77">Common_InputFunctions.Utility_DisplayArrayInTable(Fertiliser_SourceData.Fertiliser_Products_Data1(),FertiliserProducts[[#Headers],[Product]], 0)</f>
        <v>L</v>
      </c>
      <c r="F77" s="157" cm="1">
        <f t="array" ref="F77">Common_InputFunctions.Utility_DisplayArrayInTable(Fertiliser_SourceData.Fertiliser_Products_Data1(),FertiliserProducts[[#Headers],[Product]], 0)</f>
        <v>1.31</v>
      </c>
      <c r="G77" s="157" t="str" cm="1">
        <f t="array" ref="G77">Common_InputFunctions.Utility_DisplayArrayInTable(Fertiliser_SourceData.Fertiliser_Products_Data1(),FertiliserProducts[[#Headers],[Product]], 0)</f>
        <v>Potassium - Generic</v>
      </c>
      <c r="H77" s="157" cm="1">
        <f t="array" ref="H77">Common_InputFunctions.Utility_DisplayArrayInTable(Fertiliser_SourceData.Fertiliser_Products_Data1(),FertiliserProducts[[#Headers],[Product]], 0)</f>
        <v>0.21</v>
      </c>
      <c r="I77" s="157" t="str" cm="1">
        <f t="array" ref="I77">Common_InputFunctions.Utility_DisplayArrayInTable(Fertiliser_SourceData.Fertiliser_Products_Data1(),FertiliserProducts[[#Headers],[Product]], 0)</f>
        <v>Location not specified</v>
      </c>
      <c r="J77" s="157" t="str" cm="1">
        <f t="array" ref="J77">Common_InputFunctions.Utility_DisplayArrayInTable(Fertiliser_SourceData.Fertiliser_Products_Data1(),FertiliserProducts[[#Headers],[Product]], 0)</f>
        <v>Nitrogen - Generic</v>
      </c>
      <c r="K77" s="157" cm="1">
        <f t="array" ref="K77">Common_InputFunctions.Utility_DisplayArrayInTable(Fertiliser_SourceData.Fertiliser_Products_Data1(),FertiliserProducts[[#Headers],[Product]], 0)</f>
        <v>0.03</v>
      </c>
      <c r="L77" s="157" t="str" cm="1">
        <f t="array" ref="L77">Common_InputFunctions.Utility_DisplayArrayInTable(Fertiliser_SourceData.Fertiliser_Products_Data1(),FertiliserProducts[[#Headers],[Product]], 0)</f>
        <v>Location not specified</v>
      </c>
      <c r="M77" s="158" t="str" cm="1">
        <f t="array" ref="M77">Common_InputFunctions.Utility_DisplayArrayInTable(Fertiliser_SourceData.Fertiliser_Products_Data1(),FertiliserProducts[[#Headers],[Product]], 0)</f>
        <v/>
      </c>
      <c r="N77" s="157" t="str" cm="1">
        <f t="array" ref="N77">Common_InputFunctions.Utility_DisplayArrayInTable(Fertiliser_SourceData.Fertiliser_Products_Data1(),FertiliserProducts[[#Headers],[Product]], 0)</f>
        <v/>
      </c>
      <c r="O77" s="157" t="str" cm="1">
        <f t="array" ref="O77">Common_InputFunctions.Utility_DisplayArrayInTable(Fertiliser_SourceData.Fertiliser_Products_Data1(),FertiliserProducts[[#Headers],[Product]], 0)</f>
        <v/>
      </c>
      <c r="P77" s="157" t="str" cm="1">
        <f t="array" ref="P77">Common_InputFunctions.Utility_DisplayArrayInTable(Fertiliser_SourceData.Fertiliser_Products_Data1(),FertiliserProducts[[#Headers],[Product]], 0)</f>
        <v/>
      </c>
      <c r="Q77" s="157" t="str" cm="1">
        <f t="array" ref="Q77">Common_InputFunctions.Utility_DisplayArrayInTable(Fertiliser_SourceData.Fertiliser_Products_Data1(),FertiliserProducts[[#Headers],[Product]], 0)</f>
        <v/>
      </c>
      <c r="R77" s="157" t="str" cm="1">
        <f t="array" ref="R77">Common_InputFunctions.Utility_DisplayArrayInTable(Fertiliser_SourceData.Fertiliser_Products_Data1(),FertiliserProducts[[#Headers],[Product]], 0)</f>
        <v/>
      </c>
      <c r="S77" s="157" t="str" cm="1">
        <f t="array" ref="S77">Common_InputFunctions.Utility_DisplayArrayInTable(Fertiliser_SourceData.Fertiliser_Products_Data1(),FertiliserProducts[[#Headers],[Product]], 0)</f>
        <v/>
      </c>
      <c r="T77" s="157" t="str" cm="1">
        <f t="array" ref="T77">Common_InputFunctions.Utility_DisplayArrayInTable(Fertiliser_SourceData.Fertiliser_Products_Data1(),FertiliserProducts[[#Headers],[Product]], 0)</f>
        <v/>
      </c>
      <c r="U77" s="157" t="str" cm="1">
        <f t="array" ref="U77">Common_InputFunctions.Utility_DisplayArrayInTable(Fertiliser_SourceData.Fertiliser_Products_Data1(),FertiliserProducts[[#Headers],[Product]], 0)</f>
        <v/>
      </c>
      <c r="V77" s="158" t="str" cm="1">
        <f t="array" ref="V77">Common_InputFunctions.Utility_DisplayArrayInTable(Fertiliser_SourceData.Fertiliser_Products_Data1(),FertiliserProducts[[#Headers],[Product]], 0)</f>
        <v/>
      </c>
      <c r="W77" s="158" t="str" cm="1">
        <f t="array" ref="W77">Common_InputFunctions.Utility_DisplayArrayInTable(Fertiliser_SourceData.Fertiliser_Products_Data1(),FertiliserProducts[[#Headers],[Product]], 0)</f>
        <v/>
      </c>
      <c r="X77" s="158" t="str" cm="1">
        <f t="array" ref="X77">Common_InputFunctions.Utility_DisplayArrayInTable(Fertiliser_SourceData.Fertiliser_Products_Data1(),FertiliserProducts[[#Headers],[Product]], 0)</f>
        <v/>
      </c>
      <c r="Y77" s="158" t="str" cm="1">
        <f t="array" ref="Y77">Common_InputFunctions.Utility_DisplayArrayInTable(Fertiliser_SourceData.Fertiliser_Products_Data1(),FertiliserProducts[[#Headers],[Product]], 0)</f>
        <v/>
      </c>
      <c r="Z77" s="158" t="str" cm="1">
        <f t="array" ref="Z77">Common_InputFunctions.Utility_DisplayArrayInTable(Fertiliser_SourceData.Fertiliser_Products_Data1(),FertiliserProducts[[#Headers],[Product]], 0)</f>
        <v/>
      </c>
      <c r="AA77" s="158" t="str" cm="1">
        <f t="array" ref="AA77">Common_InputFunctions.Utility_DisplayArrayInTable(Fertiliser_SourceData.Fertiliser_Products_Data1(),FertiliserProducts[[#Headers],[Product]], 0)</f>
        <v/>
      </c>
      <c r="AB77" s="158" t="str" cm="1">
        <f t="array" ref="AB77">Common_InputFunctions.Utility_DisplayArrayInTable(Fertiliser_SourceData.Fertiliser_Products_Data1(),FertiliserProducts[[#Headers],[Product]], 0)</f>
        <v/>
      </c>
      <c r="AC77" s="158" t="str" cm="1">
        <f t="array" ref="AC77">Common_InputFunctions.Utility_DisplayArrayInTable(Fertiliser_SourceData.Fertiliser_Products_Data1(),FertiliserProducts[[#Headers],[Product]], 0)</f>
        <v/>
      </c>
      <c r="AD77" s="158" t="str" cm="1">
        <f t="array" ref="AD77">Common_InputFunctions.Utility_DisplayArrayInTable(Fertiliser_SourceData.Fertiliser_Products_Data1(),FertiliserProducts[[#Headers],[Product]], 0)</f>
        <v/>
      </c>
      <c r="AE77" s="158" t="str" cm="1">
        <f t="array" ref="AE77">Common_InputFunctions.Utility_DisplayArrayInTable(Fertiliser_SourceData.Fertiliser_Products_Data1(),FertiliserProducts[[#Headers],[Product]], 0)</f>
        <v/>
      </c>
      <c r="AF77" s="158" t="str" cm="1">
        <f t="array" ref="AF77">Common_InputFunctions.Utility_DisplayArrayInTable(Fertiliser_SourceData.Fertiliser_Products_Data1(),FertiliserProducts[[#Headers],[Product]], 0)</f>
        <v/>
      </c>
      <c r="AG77" s="158" t="str" cm="1">
        <f t="array" ref="AG77">Common_InputFunctions.Utility_DisplayArrayInTable(Fertiliser_SourceData.Fertiliser_Products_Data1(),FertiliserProducts[[#Headers],[Product]], 0)</f>
        <v/>
      </c>
      <c r="AH77" s="158" t="str" cm="1">
        <f t="array" ref="AH77">Common_InputFunctions.Utility_DisplayArrayInTable(Fertiliser_SourceData.Fertiliser_Products_Data1(),FertiliserProducts[[#Headers],[Product]], 0)</f>
        <v/>
      </c>
      <c r="AI77" s="158" t="str" cm="1">
        <f t="array" ref="AI77">Common_InputFunctions.Utility_DisplayArrayInTable(Fertiliser_SourceData.Fertiliser_Products_Data1(),FertiliserProducts[[#Headers],[Product]], 0)</f>
        <v/>
      </c>
      <c r="AJ77" s="158" t="str" cm="1">
        <f t="array" ref="AJ77">Common_InputFunctions.Utility_DisplayArrayInTable(Fertiliser_SourceData.Fertiliser_Products_Data1(),FertiliserProducts[[#Headers],[Product]], 0)</f>
        <v/>
      </c>
    </row>
    <row r="78" spans="4:36" ht="20.100000000000001" customHeight="1" x14ac:dyDescent="0.25">
      <c r="D78" s="157" t="str" cm="1">
        <f t="array" ref="D78">Common_InputFunctions.Utility_DisplayArrayInTable(Fertiliser_SourceData.Fertiliser_Products_Data1(),FertiliserProducts[[#Headers],[Product]], 0)</f>
        <v>Crop Starter</v>
      </c>
      <c r="E78" s="157" t="str" cm="1">
        <f t="array" ref="E78">Common_InputFunctions.Utility_DisplayArrayInTable(Fertiliser_SourceData.Fertiliser_Products_Data1(),FertiliserProducts[[#Headers],[Product]], 0)</f>
        <v>L</v>
      </c>
      <c r="F78" s="157" cm="1">
        <f t="array" ref="F78">Common_InputFunctions.Utility_DisplayArrayInTable(Fertiliser_SourceData.Fertiliser_Products_Data1(),FertiliserProducts[[#Headers],[Product]], 0)</f>
        <v>1.2</v>
      </c>
      <c r="G78" s="157" t="str" cm="1">
        <f t="array" ref="G78">Common_InputFunctions.Utility_DisplayArrayInTable(Fertiliser_SourceData.Fertiliser_Products_Data1(),FertiliserProducts[[#Headers],[Product]], 0)</f>
        <v>Phosphorus - Generic</v>
      </c>
      <c r="H78" s="157" cm="1">
        <f t="array" ref="H78">Common_InputFunctions.Utility_DisplayArrayInTable(Fertiliser_SourceData.Fertiliser_Products_Data1(),FertiliserProducts[[#Headers],[Product]], 0)</f>
        <v>0.08</v>
      </c>
      <c r="I78" s="157" t="str" cm="1">
        <f t="array" ref="I78">Common_InputFunctions.Utility_DisplayArrayInTable(Fertiliser_SourceData.Fertiliser_Products_Data1(),FertiliserProducts[[#Headers],[Product]], 0)</f>
        <v>Location not specified</v>
      </c>
      <c r="J78" s="157" t="str" cm="1">
        <f t="array" ref="J78">Common_InputFunctions.Utility_DisplayArrayInTable(Fertiliser_SourceData.Fertiliser_Products_Data1(),FertiliserProducts[[#Headers],[Product]], 0)</f>
        <v>Nitrogen - Generic</v>
      </c>
      <c r="K78" s="157" cm="1">
        <f t="array" ref="K78">Common_InputFunctions.Utility_DisplayArrayInTable(Fertiliser_SourceData.Fertiliser_Products_Data1(),FertiliserProducts[[#Headers],[Product]], 0)</f>
        <v>0.05</v>
      </c>
      <c r="L78" s="157" t="str" cm="1">
        <f t="array" ref="L78">Common_InputFunctions.Utility_DisplayArrayInTable(Fertiliser_SourceData.Fertiliser_Products_Data1(),FertiliserProducts[[#Headers],[Product]], 0)</f>
        <v>Location not specified</v>
      </c>
      <c r="M78" s="158" t="str" cm="1">
        <f t="array" ref="M78">Common_InputFunctions.Utility_DisplayArrayInTable(Fertiliser_SourceData.Fertiliser_Products_Data1(),FertiliserProducts[[#Headers],[Product]], 0)</f>
        <v>Potassium - Generic</v>
      </c>
      <c r="N78" s="157" cm="1">
        <f t="array" ref="N78">Common_InputFunctions.Utility_DisplayArrayInTable(Fertiliser_SourceData.Fertiliser_Products_Data1(),FertiliserProducts[[#Headers],[Product]], 0)</f>
        <v>0.03</v>
      </c>
      <c r="O78" s="157" t="str" cm="1">
        <f t="array" ref="O78">Common_InputFunctions.Utility_DisplayArrayInTable(Fertiliser_SourceData.Fertiliser_Products_Data1(),FertiliserProducts[[#Headers],[Product]], 0)</f>
        <v>Location not specified</v>
      </c>
      <c r="P78" s="157" t="str" cm="1">
        <f t="array" ref="P78">Common_InputFunctions.Utility_DisplayArrayInTable(Fertiliser_SourceData.Fertiliser_Products_Data1(),FertiliserProducts[[#Headers],[Product]], 0)</f>
        <v/>
      </c>
      <c r="Q78" s="157" t="str" cm="1">
        <f t="array" ref="Q78">Common_InputFunctions.Utility_DisplayArrayInTable(Fertiliser_SourceData.Fertiliser_Products_Data1(),FertiliserProducts[[#Headers],[Product]], 0)</f>
        <v/>
      </c>
      <c r="R78" s="157" t="str" cm="1">
        <f t="array" ref="R78">Common_InputFunctions.Utility_DisplayArrayInTable(Fertiliser_SourceData.Fertiliser_Products_Data1(),FertiliserProducts[[#Headers],[Product]], 0)</f>
        <v/>
      </c>
      <c r="S78" s="157" t="str" cm="1">
        <f t="array" ref="S78">Common_InputFunctions.Utility_DisplayArrayInTable(Fertiliser_SourceData.Fertiliser_Products_Data1(),FertiliserProducts[[#Headers],[Product]], 0)</f>
        <v/>
      </c>
      <c r="T78" s="157" t="str" cm="1">
        <f t="array" ref="T78">Common_InputFunctions.Utility_DisplayArrayInTable(Fertiliser_SourceData.Fertiliser_Products_Data1(),FertiliserProducts[[#Headers],[Product]], 0)</f>
        <v/>
      </c>
      <c r="U78" s="157" t="str" cm="1">
        <f t="array" ref="U78">Common_InputFunctions.Utility_DisplayArrayInTable(Fertiliser_SourceData.Fertiliser_Products_Data1(),FertiliserProducts[[#Headers],[Product]], 0)</f>
        <v/>
      </c>
      <c r="V78" s="158" t="str" cm="1">
        <f t="array" ref="V78">Common_InputFunctions.Utility_DisplayArrayInTable(Fertiliser_SourceData.Fertiliser_Products_Data1(),FertiliserProducts[[#Headers],[Product]], 0)</f>
        <v/>
      </c>
      <c r="W78" s="158" t="str" cm="1">
        <f t="array" ref="W78">Common_InputFunctions.Utility_DisplayArrayInTable(Fertiliser_SourceData.Fertiliser_Products_Data1(),FertiliserProducts[[#Headers],[Product]], 0)</f>
        <v/>
      </c>
      <c r="X78" s="158" t="str" cm="1">
        <f t="array" ref="X78">Common_InputFunctions.Utility_DisplayArrayInTable(Fertiliser_SourceData.Fertiliser_Products_Data1(),FertiliserProducts[[#Headers],[Product]], 0)</f>
        <v/>
      </c>
      <c r="Y78" s="158" t="str" cm="1">
        <f t="array" ref="Y78">Common_InputFunctions.Utility_DisplayArrayInTable(Fertiliser_SourceData.Fertiliser_Products_Data1(),FertiliserProducts[[#Headers],[Product]], 0)</f>
        <v/>
      </c>
      <c r="Z78" s="158" t="str" cm="1">
        <f t="array" ref="Z78">Common_InputFunctions.Utility_DisplayArrayInTable(Fertiliser_SourceData.Fertiliser_Products_Data1(),FertiliserProducts[[#Headers],[Product]], 0)</f>
        <v/>
      </c>
      <c r="AA78" s="158" t="str" cm="1">
        <f t="array" ref="AA78">Common_InputFunctions.Utility_DisplayArrayInTable(Fertiliser_SourceData.Fertiliser_Products_Data1(),FertiliserProducts[[#Headers],[Product]], 0)</f>
        <v/>
      </c>
      <c r="AB78" s="158" t="str" cm="1">
        <f t="array" ref="AB78">Common_InputFunctions.Utility_DisplayArrayInTable(Fertiliser_SourceData.Fertiliser_Products_Data1(),FertiliserProducts[[#Headers],[Product]], 0)</f>
        <v/>
      </c>
      <c r="AC78" s="158" t="str" cm="1">
        <f t="array" ref="AC78">Common_InputFunctions.Utility_DisplayArrayInTable(Fertiliser_SourceData.Fertiliser_Products_Data1(),FertiliserProducts[[#Headers],[Product]], 0)</f>
        <v/>
      </c>
      <c r="AD78" s="158" t="str" cm="1">
        <f t="array" ref="AD78">Common_InputFunctions.Utility_DisplayArrayInTable(Fertiliser_SourceData.Fertiliser_Products_Data1(),FertiliserProducts[[#Headers],[Product]], 0)</f>
        <v/>
      </c>
      <c r="AE78" s="158" t="str" cm="1">
        <f t="array" ref="AE78">Common_InputFunctions.Utility_DisplayArrayInTable(Fertiliser_SourceData.Fertiliser_Products_Data1(),FertiliserProducts[[#Headers],[Product]], 0)</f>
        <v/>
      </c>
      <c r="AF78" s="158" t="str" cm="1">
        <f t="array" ref="AF78">Common_InputFunctions.Utility_DisplayArrayInTable(Fertiliser_SourceData.Fertiliser_Products_Data1(),FertiliserProducts[[#Headers],[Product]], 0)</f>
        <v/>
      </c>
      <c r="AG78" s="158" t="str" cm="1">
        <f t="array" ref="AG78">Common_InputFunctions.Utility_DisplayArrayInTable(Fertiliser_SourceData.Fertiliser_Products_Data1(),FertiliserProducts[[#Headers],[Product]], 0)</f>
        <v/>
      </c>
      <c r="AH78" s="158" t="str" cm="1">
        <f t="array" ref="AH78">Common_InputFunctions.Utility_DisplayArrayInTable(Fertiliser_SourceData.Fertiliser_Products_Data1(),FertiliserProducts[[#Headers],[Product]], 0)</f>
        <v/>
      </c>
      <c r="AI78" s="158" t="str" cm="1">
        <f t="array" ref="AI78">Common_InputFunctions.Utility_DisplayArrayInTable(Fertiliser_SourceData.Fertiliser_Products_Data1(),FertiliserProducts[[#Headers],[Product]], 0)</f>
        <v/>
      </c>
      <c r="AJ78" s="158" t="str" cm="1">
        <f t="array" ref="AJ78">Common_InputFunctions.Utility_DisplayArrayInTable(Fertiliser_SourceData.Fertiliser_Products_Data1(),FertiliserProducts[[#Headers],[Product]], 0)</f>
        <v/>
      </c>
    </row>
    <row r="79" spans="4:36" ht="20.100000000000001" customHeight="1" x14ac:dyDescent="0.25">
      <c r="D79" s="157" t="str" cm="1">
        <f t="array" ref="D79">Common_InputFunctions.Utility_DisplayArrayInTable(Fertiliser_SourceData.Fertiliser_Products_Data1(),FertiliserProducts[[#Headers],[Product]], 0)</f>
        <v>DAP</v>
      </c>
      <c r="E79" s="157" t="str" cm="1">
        <f t="array" ref="E79">Common_InputFunctions.Utility_DisplayArrayInTable(Fertiliser_SourceData.Fertiliser_Products_Data1(),FertiliserProducts[[#Headers],[Product]], 0)</f>
        <v>kg</v>
      </c>
      <c r="F79" s="157" cm="1">
        <f t="array" ref="F79">Common_InputFunctions.Utility_DisplayArrayInTable(Fertiliser_SourceData.Fertiliser_Products_Data1(),FertiliserProducts[[#Headers],[Product]], 0)</f>
        <v>1</v>
      </c>
      <c r="G79" s="157" t="str" cm="1">
        <f t="array" ref="G79">Common_InputFunctions.Utility_DisplayArrayInTable(Fertiliser_SourceData.Fertiliser_Products_Data1(),FertiliserProducts[[#Headers],[Product]], 0)</f>
        <v>Nitrogen - Ammoniacal</v>
      </c>
      <c r="H79" s="157" cm="1">
        <f t="array" ref="H79">Common_InputFunctions.Utility_DisplayArrayInTable(Fertiliser_SourceData.Fertiliser_Products_Data1(),FertiliserProducts[[#Headers],[Product]], 0)</f>
        <v>0.18</v>
      </c>
      <c r="I79" s="157" t="str" cm="1">
        <f t="array" ref="I79">Common_InputFunctions.Utility_DisplayArrayInTable(Fertiliser_SourceData.Fertiliser_Products_Data1(),FertiliserProducts[[#Headers],[Product]], 0)</f>
        <v>Location not specified</v>
      </c>
      <c r="J79" s="157" t="str" cm="1">
        <f t="array" ref="J79">Common_InputFunctions.Utility_DisplayArrayInTable(Fertiliser_SourceData.Fertiliser_Products_Data1(),FertiliserProducts[[#Headers],[Product]], 0)</f>
        <v>Phosphorus - Generic</v>
      </c>
      <c r="K79" s="157" cm="1">
        <f t="array" ref="K79">Common_InputFunctions.Utility_DisplayArrayInTable(Fertiliser_SourceData.Fertiliser_Products_Data1(),FertiliserProducts[[#Headers],[Product]], 0)</f>
        <v>0.20200000000000001</v>
      </c>
      <c r="L79" s="157" t="str" cm="1">
        <f t="array" ref="L79">Common_InputFunctions.Utility_DisplayArrayInTable(Fertiliser_SourceData.Fertiliser_Products_Data1(),FertiliserProducts[[#Headers],[Product]], 0)</f>
        <v>Location not specified</v>
      </c>
      <c r="M79" s="158" t="str" cm="1">
        <f t="array" ref="M79">Common_InputFunctions.Utility_DisplayArrayInTable(Fertiliser_SourceData.Fertiliser_Products_Data1(),FertiliserProducts[[#Headers],[Product]], 0)</f>
        <v>Sulfur - Generic</v>
      </c>
      <c r="N79" s="157" cm="1">
        <f t="array" ref="N79">Common_InputFunctions.Utility_DisplayArrayInTable(Fertiliser_SourceData.Fertiliser_Products_Data1(),FertiliserProducts[[#Headers],[Product]], 0)</f>
        <v>1.4999999999999999E-2</v>
      </c>
      <c r="O79" s="157" t="str" cm="1">
        <f t="array" ref="O79">Common_InputFunctions.Utility_DisplayArrayInTable(Fertiliser_SourceData.Fertiliser_Products_Data1(),FertiliserProducts[[#Headers],[Product]], 0)</f>
        <v>Location not specified</v>
      </c>
      <c r="P79" s="157" t="str" cm="1">
        <f t="array" ref="P79">Common_InputFunctions.Utility_DisplayArrayInTable(Fertiliser_SourceData.Fertiliser_Products_Data1(),FertiliserProducts[[#Headers],[Product]], 0)</f>
        <v/>
      </c>
      <c r="Q79" s="157" t="str" cm="1">
        <f t="array" ref="Q79">Common_InputFunctions.Utility_DisplayArrayInTable(Fertiliser_SourceData.Fertiliser_Products_Data1(),FertiliserProducts[[#Headers],[Product]], 0)</f>
        <v/>
      </c>
      <c r="R79" s="157" t="str" cm="1">
        <f t="array" ref="R79">Common_InputFunctions.Utility_DisplayArrayInTable(Fertiliser_SourceData.Fertiliser_Products_Data1(),FertiliserProducts[[#Headers],[Product]], 0)</f>
        <v/>
      </c>
      <c r="S79" s="157" t="str" cm="1">
        <f t="array" ref="S79">Common_InputFunctions.Utility_DisplayArrayInTable(Fertiliser_SourceData.Fertiliser_Products_Data1(),FertiliserProducts[[#Headers],[Product]], 0)</f>
        <v/>
      </c>
      <c r="T79" s="157" t="str" cm="1">
        <f t="array" ref="T79">Common_InputFunctions.Utility_DisplayArrayInTable(Fertiliser_SourceData.Fertiliser_Products_Data1(),FertiliserProducts[[#Headers],[Product]], 0)</f>
        <v/>
      </c>
      <c r="U79" s="157" t="str" cm="1">
        <f t="array" ref="U79">Common_InputFunctions.Utility_DisplayArrayInTable(Fertiliser_SourceData.Fertiliser_Products_Data1(),FertiliserProducts[[#Headers],[Product]], 0)</f>
        <v/>
      </c>
      <c r="V79" s="158" t="str" cm="1">
        <f t="array" ref="V79">Common_InputFunctions.Utility_DisplayArrayInTable(Fertiliser_SourceData.Fertiliser_Products_Data1(),FertiliserProducts[[#Headers],[Product]], 0)</f>
        <v/>
      </c>
      <c r="W79" s="158" t="str" cm="1">
        <f t="array" ref="W79">Common_InputFunctions.Utility_DisplayArrayInTable(Fertiliser_SourceData.Fertiliser_Products_Data1(),FertiliserProducts[[#Headers],[Product]], 0)</f>
        <v/>
      </c>
      <c r="X79" s="158" t="str" cm="1">
        <f t="array" ref="X79">Common_InputFunctions.Utility_DisplayArrayInTable(Fertiliser_SourceData.Fertiliser_Products_Data1(),FertiliserProducts[[#Headers],[Product]], 0)</f>
        <v/>
      </c>
      <c r="Y79" s="158" t="str" cm="1">
        <f t="array" ref="Y79">Common_InputFunctions.Utility_DisplayArrayInTable(Fertiliser_SourceData.Fertiliser_Products_Data1(),FertiliserProducts[[#Headers],[Product]], 0)</f>
        <v/>
      </c>
      <c r="Z79" s="158" t="str" cm="1">
        <f t="array" ref="Z79">Common_InputFunctions.Utility_DisplayArrayInTable(Fertiliser_SourceData.Fertiliser_Products_Data1(),FertiliserProducts[[#Headers],[Product]], 0)</f>
        <v/>
      </c>
      <c r="AA79" s="158" t="str" cm="1">
        <f t="array" ref="AA79">Common_InputFunctions.Utility_DisplayArrayInTable(Fertiliser_SourceData.Fertiliser_Products_Data1(),FertiliserProducts[[#Headers],[Product]], 0)</f>
        <v/>
      </c>
      <c r="AB79" s="158" t="str" cm="1">
        <f t="array" ref="AB79">Common_InputFunctions.Utility_DisplayArrayInTable(Fertiliser_SourceData.Fertiliser_Products_Data1(),FertiliserProducts[[#Headers],[Product]], 0)</f>
        <v/>
      </c>
      <c r="AC79" s="158" t="str" cm="1">
        <f t="array" ref="AC79">Common_InputFunctions.Utility_DisplayArrayInTable(Fertiliser_SourceData.Fertiliser_Products_Data1(),FertiliserProducts[[#Headers],[Product]], 0)</f>
        <v/>
      </c>
      <c r="AD79" s="158" t="str" cm="1">
        <f t="array" ref="AD79">Common_InputFunctions.Utility_DisplayArrayInTable(Fertiliser_SourceData.Fertiliser_Products_Data1(),FertiliserProducts[[#Headers],[Product]], 0)</f>
        <v/>
      </c>
      <c r="AE79" s="158" t="str" cm="1">
        <f t="array" ref="AE79">Common_InputFunctions.Utility_DisplayArrayInTable(Fertiliser_SourceData.Fertiliser_Products_Data1(),FertiliserProducts[[#Headers],[Product]], 0)</f>
        <v/>
      </c>
      <c r="AF79" s="158" t="str" cm="1">
        <f t="array" ref="AF79">Common_InputFunctions.Utility_DisplayArrayInTable(Fertiliser_SourceData.Fertiliser_Products_Data1(),FertiliserProducts[[#Headers],[Product]], 0)</f>
        <v/>
      </c>
      <c r="AG79" s="158" t="str" cm="1">
        <f t="array" ref="AG79">Common_InputFunctions.Utility_DisplayArrayInTable(Fertiliser_SourceData.Fertiliser_Products_Data1(),FertiliserProducts[[#Headers],[Product]], 0)</f>
        <v/>
      </c>
      <c r="AH79" s="158" t="str" cm="1">
        <f t="array" ref="AH79">Common_InputFunctions.Utility_DisplayArrayInTable(Fertiliser_SourceData.Fertiliser_Products_Data1(),FertiliserProducts[[#Headers],[Product]], 0)</f>
        <v/>
      </c>
      <c r="AI79" s="158" t="str" cm="1">
        <f t="array" ref="AI79">Common_InputFunctions.Utility_DisplayArrayInTable(Fertiliser_SourceData.Fertiliser_Products_Data1(),FertiliserProducts[[#Headers],[Product]], 0)</f>
        <v/>
      </c>
      <c r="AJ79" s="158" t="str" cm="1">
        <f t="array" ref="AJ79">Common_InputFunctions.Utility_DisplayArrayInTable(Fertiliser_SourceData.Fertiliser_Products_Data1(),FertiliserProducts[[#Headers],[Product]], 0)</f>
        <v/>
      </c>
    </row>
    <row r="80" spans="4:36" ht="20.100000000000001" customHeight="1" x14ac:dyDescent="0.25">
      <c r="D80" s="157" t="str" cm="1">
        <f t="array" ref="D80">Common_InputFunctions.Utility_DisplayArrayInTable(Fertiliser_SourceData.Fertiliser_Products_Data1(),FertiliserProducts[[#Headers],[Product]], 0)</f>
        <v>Double Trace</v>
      </c>
      <c r="E80" s="157" t="str" cm="1">
        <f t="array" ref="E80">Common_InputFunctions.Utility_DisplayArrayInTable(Fertiliser_SourceData.Fertiliser_Products_Data1(),FertiliserProducts[[#Headers],[Product]], 0)</f>
        <v>kg</v>
      </c>
      <c r="F80" s="157" cm="1">
        <f t="array" ref="F80">Common_InputFunctions.Utility_DisplayArrayInTable(Fertiliser_SourceData.Fertiliser_Products_Data1(),FertiliserProducts[[#Headers],[Product]], 0)</f>
        <v>1</v>
      </c>
      <c r="G80" s="157" t="str" cm="1">
        <f t="array" ref="G80">Common_InputFunctions.Utility_DisplayArrayInTable(Fertiliser_SourceData.Fertiliser_Products_Data1(),FertiliserProducts[[#Headers],[Product]], 0)</f>
        <v>Sulfur - Generic</v>
      </c>
      <c r="H80" s="157" cm="1">
        <f t="array" ref="H80">Common_InputFunctions.Utility_DisplayArrayInTable(Fertiliser_SourceData.Fertiliser_Products_Data1(),FertiliserProducts[[#Headers],[Product]], 0)</f>
        <v>0.18</v>
      </c>
      <c r="I80" s="157" t="str" cm="1">
        <f t="array" ref="I80">Common_InputFunctions.Utility_DisplayArrayInTable(Fertiliser_SourceData.Fertiliser_Products_Data1(),FertiliserProducts[[#Headers],[Product]], 0)</f>
        <v>Location not specified</v>
      </c>
      <c r="J80" s="157" t="str" cm="1">
        <f t="array" ref="J80">Common_InputFunctions.Utility_DisplayArrayInTable(Fertiliser_SourceData.Fertiliser_Products_Data1(),FertiliserProducts[[#Headers],[Product]], 0)</f>
        <v>Manganese - Generic</v>
      </c>
      <c r="K80" s="157" cm="1">
        <f t="array" ref="K80">Common_InputFunctions.Utility_DisplayArrayInTable(Fertiliser_SourceData.Fertiliser_Products_Data1(),FertiliserProducts[[#Headers],[Product]], 0)</f>
        <v>0.17</v>
      </c>
      <c r="L80" s="157" t="str" cm="1">
        <f t="array" ref="L80">Common_InputFunctions.Utility_DisplayArrayInTable(Fertiliser_SourceData.Fertiliser_Products_Data1(),FertiliserProducts[[#Headers],[Product]], 0)</f>
        <v>Location not specified</v>
      </c>
      <c r="M80" s="158" t="str" cm="1">
        <f t="array" ref="M80">Common_InputFunctions.Utility_DisplayArrayInTable(Fertiliser_SourceData.Fertiliser_Products_Data1(),FertiliserProducts[[#Headers],[Product]], 0)</f>
        <v>Zinc - Generic</v>
      </c>
      <c r="N80" s="157" cm="1">
        <f t="array" ref="N80">Common_InputFunctions.Utility_DisplayArrayInTable(Fertiliser_SourceData.Fertiliser_Products_Data1(),FertiliserProducts[[#Headers],[Product]], 0)</f>
        <v>0.17</v>
      </c>
      <c r="O80" s="157" t="str" cm="1">
        <f t="array" ref="O80">Common_InputFunctions.Utility_DisplayArrayInTable(Fertiliser_SourceData.Fertiliser_Products_Data1(),FertiliserProducts[[#Headers],[Product]], 0)</f>
        <v>Location not specified</v>
      </c>
      <c r="P80" s="157" t="str" cm="1">
        <f t="array" ref="P80">Common_InputFunctions.Utility_DisplayArrayInTable(Fertiliser_SourceData.Fertiliser_Products_Data1(),FertiliserProducts[[#Headers],[Product]], 0)</f>
        <v/>
      </c>
      <c r="Q80" s="157" t="str" cm="1">
        <f t="array" ref="Q80">Common_InputFunctions.Utility_DisplayArrayInTable(Fertiliser_SourceData.Fertiliser_Products_Data1(),FertiliserProducts[[#Headers],[Product]], 0)</f>
        <v/>
      </c>
      <c r="R80" s="157" t="str" cm="1">
        <f t="array" ref="R80">Common_InputFunctions.Utility_DisplayArrayInTable(Fertiliser_SourceData.Fertiliser_Products_Data1(),FertiliserProducts[[#Headers],[Product]], 0)</f>
        <v/>
      </c>
      <c r="S80" s="157" t="str" cm="1">
        <f t="array" ref="S80">Common_InputFunctions.Utility_DisplayArrayInTable(Fertiliser_SourceData.Fertiliser_Products_Data1(),FertiliserProducts[[#Headers],[Product]], 0)</f>
        <v/>
      </c>
      <c r="T80" s="157" t="str" cm="1">
        <f t="array" ref="T80">Common_InputFunctions.Utility_DisplayArrayInTable(Fertiliser_SourceData.Fertiliser_Products_Data1(),FertiliserProducts[[#Headers],[Product]], 0)</f>
        <v/>
      </c>
      <c r="U80" s="157" t="str" cm="1">
        <f t="array" ref="U80">Common_InputFunctions.Utility_DisplayArrayInTable(Fertiliser_SourceData.Fertiliser_Products_Data1(),FertiliserProducts[[#Headers],[Product]], 0)</f>
        <v/>
      </c>
      <c r="V80" s="158" t="str" cm="1">
        <f t="array" ref="V80">Common_InputFunctions.Utility_DisplayArrayInTable(Fertiliser_SourceData.Fertiliser_Products_Data1(),FertiliserProducts[[#Headers],[Product]], 0)</f>
        <v/>
      </c>
      <c r="W80" s="158" t="str" cm="1">
        <f t="array" ref="W80">Common_InputFunctions.Utility_DisplayArrayInTable(Fertiliser_SourceData.Fertiliser_Products_Data1(),FertiliserProducts[[#Headers],[Product]], 0)</f>
        <v/>
      </c>
      <c r="X80" s="158" t="str" cm="1">
        <f t="array" ref="X80">Common_InputFunctions.Utility_DisplayArrayInTable(Fertiliser_SourceData.Fertiliser_Products_Data1(),FertiliserProducts[[#Headers],[Product]], 0)</f>
        <v/>
      </c>
      <c r="Y80" s="158" t="str" cm="1">
        <f t="array" ref="Y80">Common_InputFunctions.Utility_DisplayArrayInTable(Fertiliser_SourceData.Fertiliser_Products_Data1(),FertiliserProducts[[#Headers],[Product]], 0)</f>
        <v/>
      </c>
      <c r="Z80" s="158" t="str" cm="1">
        <f t="array" ref="Z80">Common_InputFunctions.Utility_DisplayArrayInTable(Fertiliser_SourceData.Fertiliser_Products_Data1(),FertiliserProducts[[#Headers],[Product]], 0)</f>
        <v/>
      </c>
      <c r="AA80" s="158" t="str" cm="1">
        <f t="array" ref="AA80">Common_InputFunctions.Utility_DisplayArrayInTable(Fertiliser_SourceData.Fertiliser_Products_Data1(),FertiliserProducts[[#Headers],[Product]], 0)</f>
        <v/>
      </c>
      <c r="AB80" s="158" t="str" cm="1">
        <f t="array" ref="AB80">Common_InputFunctions.Utility_DisplayArrayInTable(Fertiliser_SourceData.Fertiliser_Products_Data1(),FertiliserProducts[[#Headers],[Product]], 0)</f>
        <v/>
      </c>
      <c r="AC80" s="158" t="str" cm="1">
        <f t="array" ref="AC80">Common_InputFunctions.Utility_DisplayArrayInTable(Fertiliser_SourceData.Fertiliser_Products_Data1(),FertiliserProducts[[#Headers],[Product]], 0)</f>
        <v/>
      </c>
      <c r="AD80" s="158" t="str" cm="1">
        <f t="array" ref="AD80">Common_InputFunctions.Utility_DisplayArrayInTable(Fertiliser_SourceData.Fertiliser_Products_Data1(),FertiliserProducts[[#Headers],[Product]], 0)</f>
        <v/>
      </c>
      <c r="AE80" s="158" t="str" cm="1">
        <f t="array" ref="AE80">Common_InputFunctions.Utility_DisplayArrayInTable(Fertiliser_SourceData.Fertiliser_Products_Data1(),FertiliserProducts[[#Headers],[Product]], 0)</f>
        <v/>
      </c>
      <c r="AF80" s="158" t="str" cm="1">
        <f t="array" ref="AF80">Common_InputFunctions.Utility_DisplayArrayInTable(Fertiliser_SourceData.Fertiliser_Products_Data1(),FertiliserProducts[[#Headers],[Product]], 0)</f>
        <v/>
      </c>
      <c r="AG80" s="158" t="str" cm="1">
        <f t="array" ref="AG80">Common_InputFunctions.Utility_DisplayArrayInTable(Fertiliser_SourceData.Fertiliser_Products_Data1(),FertiliserProducts[[#Headers],[Product]], 0)</f>
        <v/>
      </c>
      <c r="AH80" s="158" t="str" cm="1">
        <f t="array" ref="AH80">Common_InputFunctions.Utility_DisplayArrayInTable(Fertiliser_SourceData.Fertiliser_Products_Data1(),FertiliserProducts[[#Headers],[Product]], 0)</f>
        <v/>
      </c>
      <c r="AI80" s="158" t="str" cm="1">
        <f t="array" ref="AI80">Common_InputFunctions.Utility_DisplayArrayInTable(Fertiliser_SourceData.Fertiliser_Products_Data1(),FertiliserProducts[[#Headers],[Product]], 0)</f>
        <v/>
      </c>
      <c r="AJ80" s="158" t="str" cm="1">
        <f t="array" ref="AJ80">Common_InputFunctions.Utility_DisplayArrayInTable(Fertiliser_SourceData.Fertiliser_Products_Data1(),FertiliserProducts[[#Headers],[Product]], 0)</f>
        <v/>
      </c>
    </row>
    <row r="81" spans="4:36" ht="20.100000000000001" customHeight="1" x14ac:dyDescent="0.25">
      <c r="D81" s="157" t="str" cm="1">
        <f t="array" ref="D81">Common_InputFunctions.Utility_DisplayArrayInTable(Fertiliser_SourceData.Fertiliser_Products_Data1(),FertiliserProducts[[#Headers],[Product]], 0)</f>
        <v>Easy N Bulk</v>
      </c>
      <c r="E81" s="157" t="str" cm="1">
        <f t="array" ref="E81">Common_InputFunctions.Utility_DisplayArrayInTable(Fertiliser_SourceData.Fertiliser_Products_Data1(),FertiliserProducts[[#Headers],[Product]], 0)</f>
        <v>kg</v>
      </c>
      <c r="F81" s="157" cm="1">
        <f t="array" ref="F81">Common_InputFunctions.Utility_DisplayArrayInTable(Fertiliser_SourceData.Fertiliser_Products_Data1(),FertiliserProducts[[#Headers],[Product]], 0)</f>
        <v>1</v>
      </c>
      <c r="G81" s="157" t="str" cm="1">
        <f t="array" ref="G81">Common_InputFunctions.Utility_DisplayArrayInTable(Fertiliser_SourceData.Fertiliser_Products_Data1(),FertiliserProducts[[#Headers],[Product]], 0)</f>
        <v>Nitrogen - Ammoniacal</v>
      </c>
      <c r="H81" s="157" cm="1">
        <f t="array" ref="H81">Common_InputFunctions.Utility_DisplayArrayInTable(Fertiliser_SourceData.Fertiliser_Products_Data1(),FertiliserProducts[[#Headers],[Product]], 0)</f>
        <v>0.20499999999999999</v>
      </c>
      <c r="I81" s="157" t="str" cm="1">
        <f t="array" ref="I81">Common_InputFunctions.Utility_DisplayArrayInTable(Fertiliser_SourceData.Fertiliser_Products_Data1(),FertiliserProducts[[#Headers],[Product]], 0)</f>
        <v>Location not specified</v>
      </c>
      <c r="J81" s="157" t="str" cm="1">
        <f t="array" ref="J81">Common_InputFunctions.Utility_DisplayArrayInTable(Fertiliser_SourceData.Fertiliser_Products_Data1(),FertiliserProducts[[#Headers],[Product]], 0)</f>
        <v>Sulfur - Generic</v>
      </c>
      <c r="K81" s="157" cm="1">
        <f t="array" ref="K81">Common_InputFunctions.Utility_DisplayArrayInTable(Fertiliser_SourceData.Fertiliser_Products_Data1(),FertiliserProducts[[#Headers],[Product]], 0)</f>
        <v>0.24</v>
      </c>
      <c r="L81" s="157" t="str" cm="1">
        <f t="array" ref="L81">Common_InputFunctions.Utility_DisplayArrayInTable(Fertiliser_SourceData.Fertiliser_Products_Data1(),FertiliserProducts[[#Headers],[Product]], 0)</f>
        <v>Location not specified</v>
      </c>
      <c r="M81" s="158" t="str" cm="1">
        <f t="array" ref="M81">Common_InputFunctions.Utility_DisplayArrayInTable(Fertiliser_SourceData.Fertiliser_Products_Data1(),FertiliserProducts[[#Headers],[Product]], 0)</f>
        <v/>
      </c>
      <c r="N81" s="157" t="str" cm="1">
        <f t="array" ref="N81">Common_InputFunctions.Utility_DisplayArrayInTable(Fertiliser_SourceData.Fertiliser_Products_Data1(),FertiliserProducts[[#Headers],[Product]], 0)</f>
        <v/>
      </c>
      <c r="O81" s="157" t="str" cm="1">
        <f t="array" ref="O81">Common_InputFunctions.Utility_DisplayArrayInTable(Fertiliser_SourceData.Fertiliser_Products_Data1(),FertiliserProducts[[#Headers],[Product]], 0)</f>
        <v/>
      </c>
      <c r="P81" s="157" t="str" cm="1">
        <f t="array" ref="P81">Common_InputFunctions.Utility_DisplayArrayInTable(Fertiliser_SourceData.Fertiliser_Products_Data1(),FertiliserProducts[[#Headers],[Product]], 0)</f>
        <v/>
      </c>
      <c r="Q81" s="157" t="str" cm="1">
        <f t="array" ref="Q81">Common_InputFunctions.Utility_DisplayArrayInTable(Fertiliser_SourceData.Fertiliser_Products_Data1(),FertiliserProducts[[#Headers],[Product]], 0)</f>
        <v/>
      </c>
      <c r="R81" s="157" t="str" cm="1">
        <f t="array" ref="R81">Common_InputFunctions.Utility_DisplayArrayInTable(Fertiliser_SourceData.Fertiliser_Products_Data1(),FertiliserProducts[[#Headers],[Product]], 0)</f>
        <v/>
      </c>
      <c r="S81" s="157" t="str" cm="1">
        <f t="array" ref="S81">Common_InputFunctions.Utility_DisplayArrayInTable(Fertiliser_SourceData.Fertiliser_Products_Data1(),FertiliserProducts[[#Headers],[Product]], 0)</f>
        <v/>
      </c>
      <c r="T81" s="157" t="str" cm="1">
        <f t="array" ref="T81">Common_InputFunctions.Utility_DisplayArrayInTable(Fertiliser_SourceData.Fertiliser_Products_Data1(),FertiliserProducts[[#Headers],[Product]], 0)</f>
        <v/>
      </c>
      <c r="U81" s="157" t="str" cm="1">
        <f t="array" ref="U81">Common_InputFunctions.Utility_DisplayArrayInTable(Fertiliser_SourceData.Fertiliser_Products_Data1(),FertiliserProducts[[#Headers],[Product]], 0)</f>
        <v/>
      </c>
      <c r="V81" s="158" t="str" cm="1">
        <f t="array" ref="V81">Common_InputFunctions.Utility_DisplayArrayInTable(Fertiliser_SourceData.Fertiliser_Products_Data1(),FertiliserProducts[[#Headers],[Product]], 0)</f>
        <v/>
      </c>
      <c r="W81" s="158" t="str" cm="1">
        <f t="array" ref="W81">Common_InputFunctions.Utility_DisplayArrayInTable(Fertiliser_SourceData.Fertiliser_Products_Data1(),FertiliserProducts[[#Headers],[Product]], 0)</f>
        <v/>
      </c>
      <c r="X81" s="158" t="str" cm="1">
        <f t="array" ref="X81">Common_InputFunctions.Utility_DisplayArrayInTable(Fertiliser_SourceData.Fertiliser_Products_Data1(),FertiliserProducts[[#Headers],[Product]], 0)</f>
        <v/>
      </c>
      <c r="Y81" s="158" t="str" cm="1">
        <f t="array" ref="Y81">Common_InputFunctions.Utility_DisplayArrayInTable(Fertiliser_SourceData.Fertiliser_Products_Data1(),FertiliserProducts[[#Headers],[Product]], 0)</f>
        <v/>
      </c>
      <c r="Z81" s="158" t="str" cm="1">
        <f t="array" ref="Z81">Common_InputFunctions.Utility_DisplayArrayInTable(Fertiliser_SourceData.Fertiliser_Products_Data1(),FertiliserProducts[[#Headers],[Product]], 0)</f>
        <v/>
      </c>
      <c r="AA81" s="158" t="str" cm="1">
        <f t="array" ref="AA81">Common_InputFunctions.Utility_DisplayArrayInTable(Fertiliser_SourceData.Fertiliser_Products_Data1(),FertiliserProducts[[#Headers],[Product]], 0)</f>
        <v/>
      </c>
      <c r="AB81" s="158" t="str" cm="1">
        <f t="array" ref="AB81">Common_InputFunctions.Utility_DisplayArrayInTable(Fertiliser_SourceData.Fertiliser_Products_Data1(),FertiliserProducts[[#Headers],[Product]], 0)</f>
        <v/>
      </c>
      <c r="AC81" s="158" t="str" cm="1">
        <f t="array" ref="AC81">Common_InputFunctions.Utility_DisplayArrayInTable(Fertiliser_SourceData.Fertiliser_Products_Data1(),FertiliserProducts[[#Headers],[Product]], 0)</f>
        <v/>
      </c>
      <c r="AD81" s="158" t="str" cm="1">
        <f t="array" ref="AD81">Common_InputFunctions.Utility_DisplayArrayInTable(Fertiliser_SourceData.Fertiliser_Products_Data1(),FertiliserProducts[[#Headers],[Product]], 0)</f>
        <v/>
      </c>
      <c r="AE81" s="158" t="str" cm="1">
        <f t="array" ref="AE81">Common_InputFunctions.Utility_DisplayArrayInTable(Fertiliser_SourceData.Fertiliser_Products_Data1(),FertiliserProducts[[#Headers],[Product]], 0)</f>
        <v/>
      </c>
      <c r="AF81" s="158" t="str" cm="1">
        <f t="array" ref="AF81">Common_InputFunctions.Utility_DisplayArrayInTable(Fertiliser_SourceData.Fertiliser_Products_Data1(),FertiliserProducts[[#Headers],[Product]], 0)</f>
        <v/>
      </c>
      <c r="AG81" s="158" t="str" cm="1">
        <f t="array" ref="AG81">Common_InputFunctions.Utility_DisplayArrayInTable(Fertiliser_SourceData.Fertiliser_Products_Data1(),FertiliserProducts[[#Headers],[Product]], 0)</f>
        <v/>
      </c>
      <c r="AH81" s="158" t="str" cm="1">
        <f t="array" ref="AH81">Common_InputFunctions.Utility_DisplayArrayInTable(Fertiliser_SourceData.Fertiliser_Products_Data1(),FertiliserProducts[[#Headers],[Product]], 0)</f>
        <v/>
      </c>
      <c r="AI81" s="158" t="str" cm="1">
        <f t="array" ref="AI81">Common_InputFunctions.Utility_DisplayArrayInTable(Fertiliser_SourceData.Fertiliser_Products_Data1(),FertiliserProducts[[#Headers],[Product]], 0)</f>
        <v/>
      </c>
      <c r="AJ81" s="158" t="str" cm="1">
        <f t="array" ref="AJ81">Common_InputFunctions.Utility_DisplayArrayInTable(Fertiliser_SourceData.Fertiliser_Products_Data1(),FertiliserProducts[[#Headers],[Product]], 0)</f>
        <v/>
      </c>
    </row>
    <row r="82" spans="4:36" ht="20.100000000000001" customHeight="1" x14ac:dyDescent="0.25">
      <c r="D82" s="157" t="str" cm="1">
        <f t="array" ref="D82">Common_InputFunctions.Utility_DisplayArrayInTable(Fertiliser_SourceData.Fertiliser_Products_Data2(),FertiliserProducts[[#Headers],[Product]], 20)</f>
        <v>Farm Ag Leichhardt</v>
      </c>
      <c r="E82" s="157" t="str" cm="1">
        <f t="array" ref="E82">Common_InputFunctions.Utility_DisplayArrayInTable(Fertiliser_SourceData.Fertiliser_Products_Data2(),FertiliserProducts[[#Headers],[Product]], 20)</f>
        <v>kg</v>
      </c>
      <c r="F82" s="157" cm="1">
        <f t="array" ref="F82">Common_InputFunctions.Utility_DisplayArrayInTable(Fertiliser_SourceData.Fertiliser_Products_Data2(),FertiliserProducts[[#Headers],[Product]], 20)</f>
        <v>1</v>
      </c>
      <c r="G82" s="157" t="str" cm="1">
        <f t="array" ref="G82">Common_InputFunctions.Utility_DisplayArrayInTable(Fertiliser_SourceData.Fertiliser_Products_Data2(),FertiliserProducts[[#Headers],[Product]], 20)</f>
        <v>Nitrogen - Generic</v>
      </c>
      <c r="H82" s="157" cm="1">
        <f t="array" ref="H82">Common_InputFunctions.Utility_DisplayArrayInTable(Fertiliser_SourceData.Fertiliser_Products_Data2(),FertiliserProducts[[#Headers],[Product]], 20)</f>
        <v>0.27600000000000002</v>
      </c>
      <c r="I82" s="157" t="str" cm="1">
        <f t="array" ref="I82">Common_InputFunctions.Utility_DisplayArrayInTable(Fertiliser_SourceData.Fertiliser_Products_Data2(),FertiliserProducts[[#Headers],[Product]], 20)</f>
        <v>Location not specified</v>
      </c>
      <c r="J82" s="157" t="str" cm="1">
        <f t="array" ref="J82">Common_InputFunctions.Utility_DisplayArrayInTable(Fertiliser_SourceData.Fertiliser_Products_Data2(),FertiliserProducts[[#Headers],[Product]], 20)</f>
        <v>Nitrogen - Ammoniacal</v>
      </c>
      <c r="K82" s="157" cm="1">
        <f t="array" ref="K82">Common_InputFunctions.Utility_DisplayArrayInTable(Fertiliser_SourceData.Fertiliser_Products_Data2(),FertiliserProducts[[#Headers],[Product]], 20)</f>
        <v>4.9000000000000002E-2</v>
      </c>
      <c r="L82" s="157" t="str" cm="1">
        <f t="array" ref="L82">Common_InputFunctions.Utility_DisplayArrayInTable(Fertiliser_SourceData.Fertiliser_Products_Data2(),FertiliserProducts[[#Headers],[Product]], 20)</f>
        <v>Location not specified</v>
      </c>
      <c r="M82" s="157" t="str" cm="1">
        <f t="array" ref="M82">Common_InputFunctions.Utility_DisplayArrayInTable(Fertiliser_SourceData.Fertiliser_Products_Data2(),FertiliserProducts[[#Headers],[Product]], 20)</f>
        <v>Phosphorus - Generic</v>
      </c>
      <c r="N82" s="157" cm="1">
        <f t="array" ref="N82">Common_InputFunctions.Utility_DisplayArrayInTable(Fertiliser_SourceData.Fertiliser_Products_Data2(),FertiliserProducts[[#Headers],[Product]], 20)</f>
        <v>5.3999999999999999E-2</v>
      </c>
      <c r="O82" s="157" t="str" cm="1">
        <f t="array" ref="O82">Common_InputFunctions.Utility_DisplayArrayInTable(Fertiliser_SourceData.Fertiliser_Products_Data2(),FertiliserProducts[[#Headers],[Product]], 20)</f>
        <v>Location not specified</v>
      </c>
      <c r="P82" s="157" t="str" cm="1">
        <f t="array" ref="P82">Common_InputFunctions.Utility_DisplayArrayInTable(Fertiliser_SourceData.Fertiliser_Products_Data2(),FertiliserProducts[[#Headers],[Product]], 20)</f>
        <v>Potassium - Generic</v>
      </c>
      <c r="Q82" s="157" cm="1">
        <f t="array" ref="Q82">Common_InputFunctions.Utility_DisplayArrayInTable(Fertiliser_SourceData.Fertiliser_Products_Data2(),FertiliserProducts[[#Headers],[Product]], 20)</f>
        <v>6.5000000000000002E-2</v>
      </c>
      <c r="R82" s="157" t="str" cm="1">
        <f t="array" ref="R82">Common_InputFunctions.Utility_DisplayArrayInTable(Fertiliser_SourceData.Fertiliser_Products_Data2(),FertiliserProducts[[#Headers],[Product]], 20)</f>
        <v>Location not specified</v>
      </c>
      <c r="S82" s="157" t="str" cm="1">
        <f t="array" ref="S82">Common_InputFunctions.Utility_DisplayArrayInTable(Fertiliser_SourceData.Fertiliser_Products_Data2(),FertiliserProducts[[#Headers],[Product]], 20)</f>
        <v>Sulfur - Generic</v>
      </c>
      <c r="T82" s="157" cm="1">
        <f t="array" ref="T82">Common_InputFunctions.Utility_DisplayArrayInTable(Fertiliser_SourceData.Fertiliser_Products_Data2(),FertiliserProducts[[#Headers],[Product]], 20)</f>
        <v>4.0000000000000001E-3</v>
      </c>
      <c r="U82" s="157" t="str" cm="1">
        <f t="array" ref="U82">Common_InputFunctions.Utility_DisplayArrayInTable(Fertiliser_SourceData.Fertiliser_Products_Data2(),FertiliserProducts[[#Headers],[Product]], 20)</f>
        <v>Location not specified</v>
      </c>
      <c r="V82" s="157" t="str" cm="1">
        <f t="array" ref="V82">Common_InputFunctions.Utility_DisplayArrayInTable(Fertiliser_SourceData.Fertiliser_Products_Data2(),FertiliserProducts[[#Headers],[Product]], 20)</f>
        <v>Biuret</v>
      </c>
      <c r="W82" s="157" cm="1">
        <f t="array" ref="W82">Common_InputFunctions.Utility_DisplayArrayInTable(Fertiliser_SourceData.Fertiliser_Products_Data2(),FertiliserProducts[[#Headers],[Product]], 20)</f>
        <v>8.0000000000000002E-3</v>
      </c>
      <c r="X82" s="157" t="str" cm="1">
        <f t="array" ref="X82">Common_InputFunctions.Utility_DisplayArrayInTable(Fertiliser_SourceData.Fertiliser_Products_Data2(),FertiliserProducts[[#Headers],[Product]], 20)</f>
        <v>Location not specified</v>
      </c>
      <c r="Y82" s="157" t="str" cm="1">
        <f t="array" ref="Y82">Common_InputFunctions.Utility_DisplayArrayInTable(Fertiliser_SourceData.Fertiliser_Products_Data2(),FertiliserProducts[[#Headers],[Product]], 20)</f>
        <v/>
      </c>
      <c r="Z82" s="157" t="str" cm="1">
        <f t="array" ref="Z82">Common_InputFunctions.Utility_DisplayArrayInTable(Fertiliser_SourceData.Fertiliser_Products_Data2(),FertiliserProducts[[#Headers],[Product]], 20)</f>
        <v/>
      </c>
      <c r="AA82" s="158" t="str" cm="1">
        <f t="array" ref="AA82">Common_InputFunctions.Utility_DisplayArrayInTable(Fertiliser_SourceData.Fertiliser_Products_Data2(),FertiliserProducts[[#Headers],[Product]], 20)</f>
        <v/>
      </c>
      <c r="AB82" s="158" t="str" cm="1">
        <f t="array" ref="AB82">Common_InputFunctions.Utility_DisplayArrayInTable(Fertiliser_SourceData.Fertiliser_Products_Data2(),FertiliserProducts[[#Headers],[Product]], 20)</f>
        <v/>
      </c>
      <c r="AC82" s="158" t="str" cm="1">
        <f t="array" ref="AC82">Common_InputFunctions.Utility_DisplayArrayInTable(Fertiliser_SourceData.Fertiliser_Products_Data2(),FertiliserProducts[[#Headers],[Product]], 20)</f>
        <v/>
      </c>
      <c r="AD82" s="158" t="str" cm="1">
        <f t="array" ref="AD82">Common_InputFunctions.Utility_DisplayArrayInTable(Fertiliser_SourceData.Fertiliser_Products_Data2(),FertiliserProducts[[#Headers],[Product]], 20)</f>
        <v/>
      </c>
      <c r="AE82" s="158" t="str" cm="1">
        <f t="array" ref="AE82">Common_InputFunctions.Utility_DisplayArrayInTable(Fertiliser_SourceData.Fertiliser_Products_Data2(),FertiliserProducts[[#Headers],[Product]], 20)</f>
        <v/>
      </c>
      <c r="AF82" s="158" t="str" cm="1">
        <f t="array" ref="AF82">Common_InputFunctions.Utility_DisplayArrayInTable(Fertiliser_SourceData.Fertiliser_Products_Data2(),FertiliserProducts[[#Headers],[Product]], 20)</f>
        <v/>
      </c>
      <c r="AG82" s="158" t="str" cm="1">
        <f t="array" ref="AG82">Common_InputFunctions.Utility_DisplayArrayInTable(Fertiliser_SourceData.Fertiliser_Products_Data2(),FertiliserProducts[[#Headers],[Product]], 20)</f>
        <v/>
      </c>
      <c r="AH82" s="158" t="str" cm="1">
        <f t="array" ref="AH82">Common_InputFunctions.Utility_DisplayArrayInTable(Fertiliser_SourceData.Fertiliser_Products_Data2(),FertiliserProducts[[#Headers],[Product]], 20)</f>
        <v/>
      </c>
      <c r="AI82" s="158" t="str" cm="1">
        <f t="array" ref="AI82">Common_InputFunctions.Utility_DisplayArrayInTable(Fertiliser_SourceData.Fertiliser_Products_Data2(),FertiliserProducts[[#Headers],[Product]], 20)</f>
        <v/>
      </c>
      <c r="AJ82" s="158" t="str" cm="1">
        <f t="array" ref="AJ82">Common_InputFunctions.Utility_DisplayArrayInTable(Fertiliser_SourceData.Fertiliser_Products_Data2(),FertiliserProducts[[#Headers],[Product]], 20)</f>
        <v/>
      </c>
    </row>
    <row r="83" spans="4:36" ht="20.100000000000001" customHeight="1" x14ac:dyDescent="0.25">
      <c r="D83" s="157" t="str" cm="1">
        <f t="array" ref="D83">Common_InputFunctions.Utility_DisplayArrayInTable(Fertiliser_SourceData.Fertiliser_Products_Data2(),FertiliserProducts[[#Headers],[Product]], 20)</f>
        <v>Flexi-N NBPT</v>
      </c>
      <c r="E83" s="157" t="str" cm="1">
        <f t="array" ref="E83">Common_InputFunctions.Utility_DisplayArrayInTable(Fertiliser_SourceData.Fertiliser_Products_Data2(),FertiliserProducts[[#Headers],[Product]], 20)</f>
        <v>kg</v>
      </c>
      <c r="F83" s="157" cm="1">
        <f t="array" ref="F83">Common_InputFunctions.Utility_DisplayArrayInTable(Fertiliser_SourceData.Fertiliser_Products_Data2(),FertiliserProducts[[#Headers],[Product]], 20)</f>
        <v>1</v>
      </c>
      <c r="G83" s="157" t="str" cm="1">
        <f t="array" ref="G83">Common_InputFunctions.Utility_DisplayArrayInTable(Fertiliser_SourceData.Fertiliser_Products_Data2(),FertiliserProducts[[#Headers],[Product]], 20)</f>
        <v>Urea</v>
      </c>
      <c r="H83" s="157" cm="1">
        <f t="array" ref="H83">Common_InputFunctions.Utility_DisplayArrayInTable(Fertiliser_SourceData.Fertiliser_Products_Data2(),FertiliserProducts[[#Headers],[Product]], 20)</f>
        <v>0.99</v>
      </c>
      <c r="I83" s="157" t="str" cm="1">
        <f t="array" ref="I83">Common_InputFunctions.Utility_DisplayArrayInTable(Fertiliser_SourceData.Fertiliser_Products_Data2(),FertiliserProducts[[#Headers],[Product]], 20)</f>
        <v>Location not specified</v>
      </c>
      <c r="J83" s="157" t="str" cm="1">
        <f t="array" ref="J83">Common_InputFunctions.Utility_DisplayArrayInTable(Fertiliser_SourceData.Fertiliser_Products_Data2(),FertiliserProducts[[#Headers],[Product]], 20)</f>
        <v>Magnesium Oxide</v>
      </c>
      <c r="K83" s="157" cm="1">
        <f t="array" ref="K83">Common_InputFunctions.Utility_DisplayArrayInTable(Fertiliser_SourceData.Fertiliser_Products_Data2(),FertiliserProducts[[#Headers],[Product]], 20)</f>
        <v>0.01</v>
      </c>
      <c r="L83" s="157" t="str" cm="1">
        <f t="array" ref="L83">Common_InputFunctions.Utility_DisplayArrayInTable(Fertiliser_SourceData.Fertiliser_Products_Data2(),FertiliserProducts[[#Headers],[Product]], 20)</f>
        <v>Location not specified</v>
      </c>
      <c r="M83" s="157" t="str" cm="1">
        <f t="array" ref="M83">Common_InputFunctions.Utility_DisplayArrayInTable(Fertiliser_SourceData.Fertiliser_Products_Data2(),FertiliserProducts[[#Headers],[Product]], 20)</f>
        <v>Glaze Extend G3 Flexi</v>
      </c>
      <c r="N83" s="157" cm="1">
        <f t="array" ref="N83">Common_InputFunctions.Utility_DisplayArrayInTable(Fertiliser_SourceData.Fertiliser_Products_Data2(),FertiliserProducts[[#Headers],[Product]], 20)</f>
        <v>5.0000000000000001E-3</v>
      </c>
      <c r="O83" s="157" t="str" cm="1">
        <f t="array" ref="O83">Common_InputFunctions.Utility_DisplayArrayInTable(Fertiliser_SourceData.Fertiliser_Products_Data2(),FertiliserProducts[[#Headers],[Product]], 20)</f>
        <v>Location not specified</v>
      </c>
      <c r="P83" s="157" t="str" cm="1">
        <f t="array" ref="P83">Common_InputFunctions.Utility_DisplayArrayInTable(Fertiliser_SourceData.Fertiliser_Products_Data2(),FertiliserProducts[[#Headers],[Product]], 20)</f>
        <v/>
      </c>
      <c r="Q83" s="157" t="str" cm="1">
        <f t="array" ref="Q83">Common_InputFunctions.Utility_DisplayArrayInTable(Fertiliser_SourceData.Fertiliser_Products_Data2(),FertiliserProducts[[#Headers],[Product]], 20)</f>
        <v/>
      </c>
      <c r="R83" s="157" t="str" cm="1">
        <f t="array" ref="R83">Common_InputFunctions.Utility_DisplayArrayInTable(Fertiliser_SourceData.Fertiliser_Products_Data2(),FertiliserProducts[[#Headers],[Product]], 20)</f>
        <v/>
      </c>
      <c r="S83" s="157" t="str" cm="1">
        <f t="array" ref="S83">Common_InputFunctions.Utility_DisplayArrayInTable(Fertiliser_SourceData.Fertiliser_Products_Data2(),FertiliserProducts[[#Headers],[Product]], 20)</f>
        <v/>
      </c>
      <c r="T83" s="157" t="str" cm="1">
        <f t="array" ref="T83">Common_InputFunctions.Utility_DisplayArrayInTable(Fertiliser_SourceData.Fertiliser_Products_Data2(),FertiliserProducts[[#Headers],[Product]], 20)</f>
        <v/>
      </c>
      <c r="U83" s="157" t="str" cm="1">
        <f t="array" ref="U83">Common_InputFunctions.Utility_DisplayArrayInTable(Fertiliser_SourceData.Fertiliser_Products_Data2(),FertiliserProducts[[#Headers],[Product]], 20)</f>
        <v/>
      </c>
      <c r="V83" s="157" t="str" cm="1">
        <f t="array" ref="V83">Common_InputFunctions.Utility_DisplayArrayInTable(Fertiliser_SourceData.Fertiliser_Products_Data2(),FertiliserProducts[[#Headers],[Product]], 20)</f>
        <v/>
      </c>
      <c r="W83" s="157" t="str" cm="1">
        <f t="array" ref="W83">Common_InputFunctions.Utility_DisplayArrayInTable(Fertiliser_SourceData.Fertiliser_Products_Data2(),FertiliserProducts[[#Headers],[Product]], 20)</f>
        <v/>
      </c>
      <c r="X83" s="157" t="str" cm="1">
        <f t="array" ref="X83">Common_InputFunctions.Utility_DisplayArrayInTable(Fertiliser_SourceData.Fertiliser_Products_Data2(),FertiliserProducts[[#Headers],[Product]], 20)</f>
        <v/>
      </c>
      <c r="Y83" s="157" t="str" cm="1">
        <f t="array" ref="Y83">Common_InputFunctions.Utility_DisplayArrayInTable(Fertiliser_SourceData.Fertiliser_Products_Data2(),FertiliserProducts[[#Headers],[Product]], 20)</f>
        <v/>
      </c>
      <c r="Z83" s="157" t="str" cm="1">
        <f t="array" ref="Z83">Common_InputFunctions.Utility_DisplayArrayInTable(Fertiliser_SourceData.Fertiliser_Products_Data2(),FertiliserProducts[[#Headers],[Product]], 20)</f>
        <v/>
      </c>
      <c r="AA83" s="158" t="str" cm="1">
        <f t="array" ref="AA83">Common_InputFunctions.Utility_DisplayArrayInTable(Fertiliser_SourceData.Fertiliser_Products_Data2(),FertiliserProducts[[#Headers],[Product]], 20)</f>
        <v/>
      </c>
      <c r="AB83" s="158" t="str" cm="1">
        <f t="array" ref="AB83">Common_InputFunctions.Utility_DisplayArrayInTable(Fertiliser_SourceData.Fertiliser_Products_Data2(),FertiliserProducts[[#Headers],[Product]], 20)</f>
        <v/>
      </c>
      <c r="AC83" s="158" t="str" cm="1">
        <f t="array" ref="AC83">Common_InputFunctions.Utility_DisplayArrayInTable(Fertiliser_SourceData.Fertiliser_Products_Data2(),FertiliserProducts[[#Headers],[Product]], 20)</f>
        <v/>
      </c>
      <c r="AD83" s="158" t="str" cm="1">
        <f t="array" ref="AD83">Common_InputFunctions.Utility_DisplayArrayInTable(Fertiliser_SourceData.Fertiliser_Products_Data2(),FertiliserProducts[[#Headers],[Product]], 20)</f>
        <v/>
      </c>
      <c r="AE83" s="158" t="str" cm="1">
        <f t="array" ref="AE83">Common_InputFunctions.Utility_DisplayArrayInTable(Fertiliser_SourceData.Fertiliser_Products_Data2(),FertiliserProducts[[#Headers],[Product]], 20)</f>
        <v/>
      </c>
      <c r="AF83" s="158" t="str" cm="1">
        <f t="array" ref="AF83">Common_InputFunctions.Utility_DisplayArrayInTable(Fertiliser_SourceData.Fertiliser_Products_Data2(),FertiliserProducts[[#Headers],[Product]], 20)</f>
        <v/>
      </c>
      <c r="AG83" s="158" t="str" cm="1">
        <f t="array" ref="AG83">Common_InputFunctions.Utility_DisplayArrayInTable(Fertiliser_SourceData.Fertiliser_Products_Data2(),FertiliserProducts[[#Headers],[Product]], 20)</f>
        <v/>
      </c>
      <c r="AH83" s="158" t="str" cm="1">
        <f t="array" ref="AH83">Common_InputFunctions.Utility_DisplayArrayInTable(Fertiliser_SourceData.Fertiliser_Products_Data2(),FertiliserProducts[[#Headers],[Product]], 20)</f>
        <v/>
      </c>
      <c r="AI83" s="158" t="str" cm="1">
        <f t="array" ref="AI83">Common_InputFunctions.Utility_DisplayArrayInTable(Fertiliser_SourceData.Fertiliser_Products_Data2(),FertiliserProducts[[#Headers],[Product]], 20)</f>
        <v/>
      </c>
      <c r="AJ83" s="158" t="str" cm="1">
        <f t="array" ref="AJ83">Common_InputFunctions.Utility_DisplayArrayInTable(Fertiliser_SourceData.Fertiliser_Products_Data2(),FertiliserProducts[[#Headers],[Product]], 20)</f>
        <v/>
      </c>
    </row>
    <row r="84" spans="4:36" ht="20.100000000000001" customHeight="1" x14ac:dyDescent="0.25">
      <c r="D84" s="157" t="str" cm="1">
        <f t="array" ref="D84">Common_InputFunctions.Utility_DisplayArrayInTable(Fertiliser_SourceData.Fertiliser_Products_Data2(),FertiliserProducts[[#Headers],[Product]], 20)</f>
        <v>Flexi-N NI only</v>
      </c>
      <c r="E84" s="157" t="str" cm="1">
        <f t="array" ref="E84">Common_InputFunctions.Utility_DisplayArrayInTable(Fertiliser_SourceData.Fertiliser_Products_Data2(),FertiliserProducts[[#Headers],[Product]], 20)</f>
        <v>kg</v>
      </c>
      <c r="F84" s="157" cm="1">
        <f t="array" ref="F84">Common_InputFunctions.Utility_DisplayArrayInTable(Fertiliser_SourceData.Fertiliser_Products_Data2(),FertiliserProducts[[#Headers],[Product]], 20)</f>
        <v>1</v>
      </c>
      <c r="G84" s="157" t="str" cm="1">
        <f t="array" ref="G84">Common_InputFunctions.Utility_DisplayArrayInTable(Fertiliser_SourceData.Fertiliser_Products_Data2(),FertiliserProducts[[#Headers],[Product]], 20)</f>
        <v>Nitrogen - Generic</v>
      </c>
      <c r="H84" s="157" cm="1">
        <f t="array" ref="H84">Common_InputFunctions.Utility_DisplayArrayInTable(Fertiliser_SourceData.Fertiliser_Products_Data2(),FertiliserProducts[[#Headers],[Product]], 20)</f>
        <v>0.46</v>
      </c>
      <c r="I84" s="157" t="str" cm="1">
        <f t="array" ref="I84">Common_InputFunctions.Utility_DisplayArrayInTable(Fertiliser_SourceData.Fertiliser_Products_Data2(),FertiliserProducts[[#Headers],[Product]], 20)</f>
        <v>Location not specified</v>
      </c>
      <c r="J84" s="157" t="str" cm="1">
        <f t="array" ref="J84">Common_InputFunctions.Utility_DisplayArrayInTable(Fertiliser_SourceData.Fertiliser_Products_Data2(),FertiliserProducts[[#Headers],[Product]], 20)</f>
        <v>Biuret (impurity)</v>
      </c>
      <c r="K84" s="157" cm="1">
        <f t="array" ref="K84">Common_InputFunctions.Utility_DisplayArrayInTable(Fertiliser_SourceData.Fertiliser_Products_Data2(),FertiliserProducts[[#Headers],[Product]], 20)</f>
        <v>1.4E-2</v>
      </c>
      <c r="L84" s="157" t="str" cm="1">
        <f t="array" ref="L84">Common_InputFunctions.Utility_DisplayArrayInTable(Fertiliser_SourceData.Fertiliser_Products_Data2(),FertiliserProducts[[#Headers],[Product]], 20)</f>
        <v>Location not specified</v>
      </c>
      <c r="M84" s="157" t="str" cm="1">
        <f t="array" ref="M84">Common_InputFunctions.Utility_DisplayArrayInTable(Fertiliser_SourceData.Fertiliser_Products_Data2(),FertiliserProducts[[#Headers],[Product]], 20)</f>
        <v/>
      </c>
      <c r="N84" s="157" t="str" cm="1">
        <f t="array" ref="N84">Common_InputFunctions.Utility_DisplayArrayInTable(Fertiliser_SourceData.Fertiliser_Products_Data2(),FertiliserProducts[[#Headers],[Product]], 20)</f>
        <v/>
      </c>
      <c r="O84" s="157" t="str" cm="1">
        <f t="array" ref="O84">Common_InputFunctions.Utility_DisplayArrayInTable(Fertiliser_SourceData.Fertiliser_Products_Data2(),FertiliserProducts[[#Headers],[Product]], 20)</f>
        <v/>
      </c>
      <c r="P84" s="157" t="str" cm="1">
        <f t="array" ref="P84">Common_InputFunctions.Utility_DisplayArrayInTable(Fertiliser_SourceData.Fertiliser_Products_Data2(),FertiliserProducts[[#Headers],[Product]], 20)</f>
        <v/>
      </c>
      <c r="Q84" s="157" t="str" cm="1">
        <f t="array" ref="Q84">Common_InputFunctions.Utility_DisplayArrayInTable(Fertiliser_SourceData.Fertiliser_Products_Data2(),FertiliserProducts[[#Headers],[Product]], 20)</f>
        <v/>
      </c>
      <c r="R84" s="157" t="str" cm="1">
        <f t="array" ref="R84">Common_InputFunctions.Utility_DisplayArrayInTable(Fertiliser_SourceData.Fertiliser_Products_Data2(),FertiliserProducts[[#Headers],[Product]], 20)</f>
        <v/>
      </c>
      <c r="S84" s="157" t="str" cm="1">
        <f t="array" ref="S84">Common_InputFunctions.Utility_DisplayArrayInTable(Fertiliser_SourceData.Fertiliser_Products_Data2(),FertiliserProducts[[#Headers],[Product]], 20)</f>
        <v/>
      </c>
      <c r="T84" s="157" t="str" cm="1">
        <f t="array" ref="T84">Common_InputFunctions.Utility_DisplayArrayInTable(Fertiliser_SourceData.Fertiliser_Products_Data2(),FertiliserProducts[[#Headers],[Product]], 20)</f>
        <v/>
      </c>
      <c r="U84" s="157" t="str" cm="1">
        <f t="array" ref="U84">Common_InputFunctions.Utility_DisplayArrayInTable(Fertiliser_SourceData.Fertiliser_Products_Data2(),FertiliserProducts[[#Headers],[Product]], 20)</f>
        <v/>
      </c>
      <c r="V84" s="157" t="str" cm="1">
        <f t="array" ref="V84">Common_InputFunctions.Utility_DisplayArrayInTable(Fertiliser_SourceData.Fertiliser_Products_Data2(),FertiliserProducts[[#Headers],[Product]], 20)</f>
        <v/>
      </c>
      <c r="W84" s="157" t="str" cm="1">
        <f t="array" ref="W84">Common_InputFunctions.Utility_DisplayArrayInTable(Fertiliser_SourceData.Fertiliser_Products_Data2(),FertiliserProducts[[#Headers],[Product]], 20)</f>
        <v/>
      </c>
      <c r="X84" s="157" t="str" cm="1">
        <f t="array" ref="X84">Common_InputFunctions.Utility_DisplayArrayInTable(Fertiliser_SourceData.Fertiliser_Products_Data2(),FertiliserProducts[[#Headers],[Product]], 20)</f>
        <v/>
      </c>
      <c r="Y84" s="157" t="str" cm="1">
        <f t="array" ref="Y84">Common_InputFunctions.Utility_DisplayArrayInTable(Fertiliser_SourceData.Fertiliser_Products_Data2(),FertiliserProducts[[#Headers],[Product]], 20)</f>
        <v/>
      </c>
      <c r="Z84" s="157" t="str" cm="1">
        <f t="array" ref="Z84">Common_InputFunctions.Utility_DisplayArrayInTable(Fertiliser_SourceData.Fertiliser_Products_Data2(),FertiliserProducts[[#Headers],[Product]], 20)</f>
        <v/>
      </c>
      <c r="AA84" s="158" t="str" cm="1">
        <f t="array" ref="AA84">Common_InputFunctions.Utility_DisplayArrayInTable(Fertiliser_SourceData.Fertiliser_Products_Data2(),FertiliserProducts[[#Headers],[Product]], 20)</f>
        <v/>
      </c>
      <c r="AB84" s="158" t="str" cm="1">
        <f t="array" ref="AB84">Common_InputFunctions.Utility_DisplayArrayInTable(Fertiliser_SourceData.Fertiliser_Products_Data2(),FertiliserProducts[[#Headers],[Product]], 20)</f>
        <v/>
      </c>
      <c r="AC84" s="158" t="str" cm="1">
        <f t="array" ref="AC84">Common_InputFunctions.Utility_DisplayArrayInTable(Fertiliser_SourceData.Fertiliser_Products_Data2(),FertiliserProducts[[#Headers],[Product]], 20)</f>
        <v/>
      </c>
      <c r="AD84" s="158" t="str" cm="1">
        <f t="array" ref="AD84">Common_InputFunctions.Utility_DisplayArrayInTable(Fertiliser_SourceData.Fertiliser_Products_Data2(),FertiliserProducts[[#Headers],[Product]], 20)</f>
        <v/>
      </c>
      <c r="AE84" s="158" t="str" cm="1">
        <f t="array" ref="AE84">Common_InputFunctions.Utility_DisplayArrayInTable(Fertiliser_SourceData.Fertiliser_Products_Data2(),FertiliserProducts[[#Headers],[Product]], 20)</f>
        <v/>
      </c>
      <c r="AF84" s="158" t="str" cm="1">
        <f t="array" ref="AF84">Common_InputFunctions.Utility_DisplayArrayInTable(Fertiliser_SourceData.Fertiliser_Products_Data2(),FertiliserProducts[[#Headers],[Product]], 20)</f>
        <v/>
      </c>
      <c r="AG84" s="158" t="str" cm="1">
        <f t="array" ref="AG84">Common_InputFunctions.Utility_DisplayArrayInTable(Fertiliser_SourceData.Fertiliser_Products_Data2(),FertiliserProducts[[#Headers],[Product]], 20)</f>
        <v/>
      </c>
      <c r="AH84" s="158" t="str" cm="1">
        <f t="array" ref="AH84">Common_InputFunctions.Utility_DisplayArrayInTable(Fertiliser_SourceData.Fertiliser_Products_Data2(),FertiliserProducts[[#Headers],[Product]], 20)</f>
        <v/>
      </c>
      <c r="AI84" s="158" t="str" cm="1">
        <f t="array" ref="AI84">Common_InputFunctions.Utility_DisplayArrayInTable(Fertiliser_SourceData.Fertiliser_Products_Data2(),FertiliserProducts[[#Headers],[Product]], 20)</f>
        <v/>
      </c>
      <c r="AJ84" s="158" t="str" cm="1">
        <f t="array" ref="AJ84">Common_InputFunctions.Utility_DisplayArrayInTable(Fertiliser_SourceData.Fertiliser_Products_Data2(),FertiliserProducts[[#Headers],[Product]], 20)</f>
        <v/>
      </c>
    </row>
    <row r="85" spans="4:36" ht="20.100000000000001" customHeight="1" x14ac:dyDescent="0.25">
      <c r="D85" s="157" t="str" cm="1">
        <f t="array" ref="D85">Common_InputFunctions.Utility_DisplayArrayInTable(Fertiliser_SourceData.Fertiliser_Products_Data2(),FertiliserProducts[[#Headers],[Product]], 20)</f>
        <v>Glytrel ZnP</v>
      </c>
      <c r="E85" s="157" t="str" cm="1">
        <f t="array" ref="E85">Common_InputFunctions.Utility_DisplayArrayInTable(Fertiliser_SourceData.Fertiliser_Products_Data2(),FertiliserProducts[[#Headers],[Product]], 20)</f>
        <v>L</v>
      </c>
      <c r="F85" s="157" cm="1">
        <f t="array" ref="F85">Common_InputFunctions.Utility_DisplayArrayInTable(Fertiliser_SourceData.Fertiliser_Products_Data2(),FertiliserProducts[[#Headers],[Product]], 20)</f>
        <v>1.3540000000000001</v>
      </c>
      <c r="G85" s="157" t="str" cm="1">
        <f t="array" ref="G85">Common_InputFunctions.Utility_DisplayArrayInTable(Fertiliser_SourceData.Fertiliser_Products_Data2(),FertiliserProducts[[#Headers],[Product]], 20)</f>
        <v>Phosphorus - Generic</v>
      </c>
      <c r="H85" s="157" cm="1">
        <f t="array" ref="H85">Common_InputFunctions.Utility_DisplayArrayInTable(Fertiliser_SourceData.Fertiliser_Products_Data2(),FertiliserProducts[[#Headers],[Product]], 20)</f>
        <v>4.3999999999999997E-2</v>
      </c>
      <c r="I85" s="157" t="str" cm="1">
        <f t="array" ref="I85">Common_InputFunctions.Utility_DisplayArrayInTable(Fertiliser_SourceData.Fertiliser_Products_Data2(),FertiliserProducts[[#Headers],[Product]], 20)</f>
        <v>Location not specified</v>
      </c>
      <c r="J85" s="157" t="str" cm="1">
        <f t="array" ref="J85">Common_InputFunctions.Utility_DisplayArrayInTable(Fertiliser_SourceData.Fertiliser_Products_Data2(),FertiliserProducts[[#Headers],[Product]], 20)</f>
        <v>Zinc - Generic</v>
      </c>
      <c r="K85" s="157" cm="1">
        <f t="array" ref="K85">Common_InputFunctions.Utility_DisplayArrayInTable(Fertiliser_SourceData.Fertiliser_Products_Data2(),FertiliserProducts[[#Headers],[Product]], 20)</f>
        <v>0.1</v>
      </c>
      <c r="L85" s="157" t="str" cm="1">
        <f t="array" ref="L85">Common_InputFunctions.Utility_DisplayArrayInTable(Fertiliser_SourceData.Fertiliser_Products_Data2(),FertiliserProducts[[#Headers],[Product]], 20)</f>
        <v>Location not specified</v>
      </c>
      <c r="M85" s="157" t="str" cm="1">
        <f t="array" ref="M85">Common_InputFunctions.Utility_DisplayArrayInTable(Fertiliser_SourceData.Fertiliser_Products_Data2(),FertiliserProducts[[#Headers],[Product]], 20)</f>
        <v/>
      </c>
      <c r="N85" s="157" t="str" cm="1">
        <f t="array" ref="N85">Common_InputFunctions.Utility_DisplayArrayInTable(Fertiliser_SourceData.Fertiliser_Products_Data2(),FertiliserProducts[[#Headers],[Product]], 20)</f>
        <v/>
      </c>
      <c r="O85" s="157" t="str" cm="1">
        <f t="array" ref="O85">Common_InputFunctions.Utility_DisplayArrayInTable(Fertiliser_SourceData.Fertiliser_Products_Data2(),FertiliserProducts[[#Headers],[Product]], 20)</f>
        <v/>
      </c>
      <c r="P85" s="157" t="str" cm="1">
        <f t="array" ref="P85">Common_InputFunctions.Utility_DisplayArrayInTable(Fertiliser_SourceData.Fertiliser_Products_Data2(),FertiliserProducts[[#Headers],[Product]], 20)</f>
        <v/>
      </c>
      <c r="Q85" s="157" t="str" cm="1">
        <f t="array" ref="Q85">Common_InputFunctions.Utility_DisplayArrayInTable(Fertiliser_SourceData.Fertiliser_Products_Data2(),FertiliserProducts[[#Headers],[Product]], 20)</f>
        <v/>
      </c>
      <c r="R85" s="157" t="str" cm="1">
        <f t="array" ref="R85">Common_InputFunctions.Utility_DisplayArrayInTable(Fertiliser_SourceData.Fertiliser_Products_Data2(),FertiliserProducts[[#Headers],[Product]], 20)</f>
        <v/>
      </c>
      <c r="S85" s="157" t="str" cm="1">
        <f t="array" ref="S85">Common_InputFunctions.Utility_DisplayArrayInTable(Fertiliser_SourceData.Fertiliser_Products_Data2(),FertiliserProducts[[#Headers],[Product]], 20)</f>
        <v/>
      </c>
      <c r="T85" s="157" t="str" cm="1">
        <f t="array" ref="T85">Common_InputFunctions.Utility_DisplayArrayInTable(Fertiliser_SourceData.Fertiliser_Products_Data2(),FertiliserProducts[[#Headers],[Product]], 20)</f>
        <v/>
      </c>
      <c r="U85" s="157" t="str" cm="1">
        <f t="array" ref="U85">Common_InputFunctions.Utility_DisplayArrayInTable(Fertiliser_SourceData.Fertiliser_Products_Data2(),FertiliserProducts[[#Headers],[Product]], 20)</f>
        <v/>
      </c>
      <c r="V85" s="157" t="str" cm="1">
        <f t="array" ref="V85">Common_InputFunctions.Utility_DisplayArrayInTable(Fertiliser_SourceData.Fertiliser_Products_Data2(),FertiliserProducts[[#Headers],[Product]], 20)</f>
        <v/>
      </c>
      <c r="W85" s="157" t="str" cm="1">
        <f t="array" ref="W85">Common_InputFunctions.Utility_DisplayArrayInTable(Fertiliser_SourceData.Fertiliser_Products_Data2(),FertiliserProducts[[#Headers],[Product]], 20)</f>
        <v/>
      </c>
      <c r="X85" s="157" t="str" cm="1">
        <f t="array" ref="X85">Common_InputFunctions.Utility_DisplayArrayInTable(Fertiliser_SourceData.Fertiliser_Products_Data2(),FertiliserProducts[[#Headers],[Product]], 20)</f>
        <v/>
      </c>
      <c r="Y85" s="157" t="str" cm="1">
        <f t="array" ref="Y85">Common_InputFunctions.Utility_DisplayArrayInTable(Fertiliser_SourceData.Fertiliser_Products_Data2(),FertiliserProducts[[#Headers],[Product]], 20)</f>
        <v/>
      </c>
      <c r="Z85" s="157" t="str" cm="1">
        <f t="array" ref="Z85">Common_InputFunctions.Utility_DisplayArrayInTable(Fertiliser_SourceData.Fertiliser_Products_Data2(),FertiliserProducts[[#Headers],[Product]], 20)</f>
        <v/>
      </c>
      <c r="AA85" s="158" t="str" cm="1">
        <f t="array" ref="AA85">Common_InputFunctions.Utility_DisplayArrayInTable(Fertiliser_SourceData.Fertiliser_Products_Data2(),FertiliserProducts[[#Headers],[Product]], 20)</f>
        <v/>
      </c>
      <c r="AB85" s="158" t="str" cm="1">
        <f t="array" ref="AB85">Common_InputFunctions.Utility_DisplayArrayInTable(Fertiliser_SourceData.Fertiliser_Products_Data2(),FertiliserProducts[[#Headers],[Product]], 20)</f>
        <v/>
      </c>
      <c r="AC85" s="158" t="str" cm="1">
        <f t="array" ref="AC85">Common_InputFunctions.Utility_DisplayArrayInTable(Fertiliser_SourceData.Fertiliser_Products_Data2(),FertiliserProducts[[#Headers],[Product]], 20)</f>
        <v/>
      </c>
      <c r="AD85" s="158" t="str" cm="1">
        <f t="array" ref="AD85">Common_InputFunctions.Utility_DisplayArrayInTable(Fertiliser_SourceData.Fertiliser_Products_Data2(),FertiliserProducts[[#Headers],[Product]], 20)</f>
        <v/>
      </c>
      <c r="AE85" s="158" t="str" cm="1">
        <f t="array" ref="AE85">Common_InputFunctions.Utility_DisplayArrayInTable(Fertiliser_SourceData.Fertiliser_Products_Data2(),FertiliserProducts[[#Headers],[Product]], 20)</f>
        <v/>
      </c>
      <c r="AF85" s="158" t="str" cm="1">
        <f t="array" ref="AF85">Common_InputFunctions.Utility_DisplayArrayInTable(Fertiliser_SourceData.Fertiliser_Products_Data2(),FertiliserProducts[[#Headers],[Product]], 20)</f>
        <v/>
      </c>
      <c r="AG85" s="158" t="str" cm="1">
        <f t="array" ref="AG85">Common_InputFunctions.Utility_DisplayArrayInTable(Fertiliser_SourceData.Fertiliser_Products_Data2(),FertiliserProducts[[#Headers],[Product]], 20)</f>
        <v/>
      </c>
      <c r="AH85" s="158" t="str" cm="1">
        <f t="array" ref="AH85">Common_InputFunctions.Utility_DisplayArrayInTable(Fertiliser_SourceData.Fertiliser_Products_Data2(),FertiliserProducts[[#Headers],[Product]], 20)</f>
        <v/>
      </c>
      <c r="AI85" s="158" t="str" cm="1">
        <f t="array" ref="AI85">Common_InputFunctions.Utility_DisplayArrayInTable(Fertiliser_SourceData.Fertiliser_Products_Data2(),FertiliserProducts[[#Headers],[Product]], 20)</f>
        <v/>
      </c>
      <c r="AJ85" s="158" t="str" cm="1">
        <f t="array" ref="AJ85">Common_InputFunctions.Utility_DisplayArrayInTable(Fertiliser_SourceData.Fertiliser_Products_Data2(),FertiliserProducts[[#Headers],[Product]], 20)</f>
        <v/>
      </c>
    </row>
    <row r="86" spans="4:36" ht="20.100000000000001" customHeight="1" x14ac:dyDescent="0.25">
      <c r="D86" s="157" t="str" cm="1">
        <f t="array" ref="D86">Common_InputFunctions.Utility_DisplayArrayInTable(Fertiliser_SourceData.Fertiliser_Products_Data2(),FertiliserProducts[[#Headers],[Product]], 20)</f>
        <v>Gold Premium</v>
      </c>
      <c r="E86" s="157" t="str" cm="1">
        <f t="array" ref="E86">Common_InputFunctions.Utility_DisplayArrayInTable(Fertiliser_SourceData.Fertiliser_Products_Data2(),FertiliserProducts[[#Headers],[Product]], 20)</f>
        <v>kg</v>
      </c>
      <c r="F86" s="157" cm="1">
        <f t="array" ref="F86">Common_InputFunctions.Utility_DisplayArrayInTable(Fertiliser_SourceData.Fertiliser_Products_Data2(),FertiliserProducts[[#Headers],[Product]], 20)</f>
        <v>1</v>
      </c>
      <c r="G86" s="157" t="str" cm="1">
        <f t="array" ref="G86">Common_InputFunctions.Utility_DisplayArrayInTable(Fertiliser_SourceData.Fertiliser_Products_Data2(),FertiliserProducts[[#Headers],[Product]], 20)</f>
        <v>Potassium - Generic</v>
      </c>
      <c r="H86" s="157" cm="1">
        <f t="array" ref="H86">Common_InputFunctions.Utility_DisplayArrayInTable(Fertiliser_SourceData.Fertiliser_Products_Data2(),FertiliserProducts[[#Headers],[Product]], 20)</f>
        <v>0.16600000000000001</v>
      </c>
      <c r="I86" s="157" t="str" cm="1">
        <f t="array" ref="I86">Common_InputFunctions.Utility_DisplayArrayInTable(Fertiliser_SourceData.Fertiliser_Products_Data2(),FertiliserProducts[[#Headers],[Product]], 20)</f>
        <v>Location not specified</v>
      </c>
      <c r="J86" s="157" t="str" cm="1">
        <f t="array" ref="J86">Common_InputFunctions.Utility_DisplayArrayInTable(Fertiliser_SourceData.Fertiliser_Products_Data2(),FertiliserProducts[[#Headers],[Product]], 20)</f>
        <v>Nitrogen - Ammoniacal</v>
      </c>
      <c r="K86" s="157" cm="1">
        <f t="array" ref="K86">Common_InputFunctions.Utility_DisplayArrayInTable(Fertiliser_SourceData.Fertiliser_Products_Data2(),FertiliserProducts[[#Headers],[Product]], 20)</f>
        <v>0.15</v>
      </c>
      <c r="L86" s="157" t="str" cm="1">
        <f t="array" ref="L86">Common_InputFunctions.Utility_DisplayArrayInTable(Fertiliser_SourceData.Fertiliser_Products_Data2(),FertiliserProducts[[#Headers],[Product]], 20)</f>
        <v>Location not specified</v>
      </c>
      <c r="M86" s="157" t="str" cm="1">
        <f t="array" ref="M86">Common_InputFunctions.Utility_DisplayArrayInTable(Fertiliser_SourceData.Fertiliser_Products_Data2(),FertiliserProducts[[#Headers],[Product]], 20)</f>
        <v>Sulfur - Generic</v>
      </c>
      <c r="N86" s="157" cm="1">
        <f t="array" ref="N86">Common_InputFunctions.Utility_DisplayArrayInTable(Fertiliser_SourceData.Fertiliser_Products_Data2(),FertiliserProducts[[#Headers],[Product]], 20)</f>
        <v>0.8</v>
      </c>
      <c r="O86" s="157" t="str" cm="1">
        <f t="array" ref="O86">Common_InputFunctions.Utility_DisplayArrayInTable(Fertiliser_SourceData.Fertiliser_Products_Data2(),FertiliserProducts[[#Headers],[Product]], 20)</f>
        <v>Location not specified</v>
      </c>
      <c r="P86" s="157" t="str" cm="1">
        <f t="array" ref="P86">Common_InputFunctions.Utility_DisplayArrayInTable(Fertiliser_SourceData.Fertiliser_Products_Data2(),FertiliserProducts[[#Headers],[Product]], 20)</f>
        <v>Phosphorus - Generic</v>
      </c>
      <c r="Q86" s="157" cm="1">
        <f t="array" ref="Q86">Common_InputFunctions.Utility_DisplayArrayInTable(Fertiliser_SourceData.Fertiliser_Products_Data2(),FertiliserProducts[[#Headers],[Product]], 20)</f>
        <v>2.1999999999999999E-2</v>
      </c>
      <c r="R86" s="157" t="str" cm="1">
        <f t="array" ref="R86">Common_InputFunctions.Utility_DisplayArrayInTable(Fertiliser_SourceData.Fertiliser_Products_Data2(),FertiliserProducts[[#Headers],[Product]], 20)</f>
        <v>Location not specified</v>
      </c>
      <c r="S86" s="157" t="str" cm="1">
        <f t="array" ref="S86">Common_InputFunctions.Utility_DisplayArrayInTable(Fertiliser_SourceData.Fertiliser_Products_Data2(),FertiliserProducts[[#Headers],[Product]], 20)</f>
        <v>Magnesium - generic</v>
      </c>
      <c r="T86" s="157" cm="1">
        <f t="array" ref="T86">Common_InputFunctions.Utility_DisplayArrayInTable(Fertiliser_SourceData.Fertiliser_Products_Data2(),FertiliserProducts[[#Headers],[Product]], 20)</f>
        <v>1.2E-2</v>
      </c>
      <c r="U86" s="157" t="str" cm="1">
        <f t="array" ref="U86">Common_InputFunctions.Utility_DisplayArrayInTable(Fertiliser_SourceData.Fertiliser_Products_Data2(),FertiliserProducts[[#Headers],[Product]], 20)</f>
        <v>Location not specified</v>
      </c>
      <c r="V86" s="157" t="str" cm="1">
        <f t="array" ref="V86">Common_InputFunctions.Utility_DisplayArrayInTable(Fertiliser_SourceData.Fertiliser_Products_Data2(),FertiliserProducts[[#Headers],[Product]], 20)</f>
        <v>Boron - generic</v>
      </c>
      <c r="W86" s="157" cm="1">
        <f t="array" ref="W86">Common_InputFunctions.Utility_DisplayArrayInTable(Fertiliser_SourceData.Fertiliser_Products_Data2(),FertiliserProducts[[#Headers],[Product]], 20)</f>
        <v>2.0000000000000001E-4</v>
      </c>
      <c r="X86" s="157" t="str" cm="1">
        <f t="array" ref="X86">Common_InputFunctions.Utility_DisplayArrayInTable(Fertiliser_SourceData.Fertiliser_Products_Data2(),FertiliserProducts[[#Headers],[Product]], 20)</f>
        <v>Location not specified</v>
      </c>
      <c r="Y86" s="157" t="str" cm="1">
        <f t="array" ref="Y86">Common_InputFunctions.Utility_DisplayArrayInTable(Fertiliser_SourceData.Fertiliser_Products_Data2(),FertiliserProducts[[#Headers],[Product]], 20)</f>
        <v>Zinc - Generic</v>
      </c>
      <c r="Z86" s="157" cm="1">
        <f t="array" ref="Z86">Common_InputFunctions.Utility_DisplayArrayInTable(Fertiliser_SourceData.Fertiliser_Products_Data2(),FertiliserProducts[[#Headers],[Product]], 20)</f>
        <v>1E-4</v>
      </c>
      <c r="AA86" s="158" t="str" cm="1">
        <f t="array" ref="AA86">Common_InputFunctions.Utility_DisplayArrayInTable(Fertiliser_SourceData.Fertiliser_Products_Data2(),FertiliserProducts[[#Headers],[Product]], 20)</f>
        <v>Location not specified</v>
      </c>
      <c r="AB86" s="158" t="str" cm="1">
        <f t="array" ref="AB86">Common_InputFunctions.Utility_DisplayArrayInTable(Fertiliser_SourceData.Fertiliser_Products_Data2(),FertiliserProducts[[#Headers],[Product]], 20)</f>
        <v/>
      </c>
      <c r="AC86" s="158" t="str" cm="1">
        <f t="array" ref="AC86">Common_InputFunctions.Utility_DisplayArrayInTable(Fertiliser_SourceData.Fertiliser_Products_Data2(),FertiliserProducts[[#Headers],[Product]], 20)</f>
        <v/>
      </c>
      <c r="AD86" s="158" t="str" cm="1">
        <f t="array" ref="AD86">Common_InputFunctions.Utility_DisplayArrayInTable(Fertiliser_SourceData.Fertiliser_Products_Data2(),FertiliserProducts[[#Headers],[Product]], 20)</f>
        <v/>
      </c>
      <c r="AE86" s="158" t="str" cm="1">
        <f t="array" ref="AE86">Common_InputFunctions.Utility_DisplayArrayInTable(Fertiliser_SourceData.Fertiliser_Products_Data2(),FertiliserProducts[[#Headers],[Product]], 20)</f>
        <v/>
      </c>
      <c r="AF86" s="158" t="str" cm="1">
        <f t="array" ref="AF86">Common_InputFunctions.Utility_DisplayArrayInTable(Fertiliser_SourceData.Fertiliser_Products_Data2(),FertiliserProducts[[#Headers],[Product]], 20)</f>
        <v/>
      </c>
      <c r="AG86" s="158" t="str" cm="1">
        <f t="array" ref="AG86">Common_InputFunctions.Utility_DisplayArrayInTable(Fertiliser_SourceData.Fertiliser_Products_Data2(),FertiliserProducts[[#Headers],[Product]], 20)</f>
        <v/>
      </c>
      <c r="AH86" s="158" t="str" cm="1">
        <f t="array" ref="AH86">Common_InputFunctions.Utility_DisplayArrayInTable(Fertiliser_SourceData.Fertiliser_Products_Data2(),FertiliserProducts[[#Headers],[Product]], 20)</f>
        <v/>
      </c>
      <c r="AI86" s="158" t="str" cm="1">
        <f t="array" ref="AI86">Common_InputFunctions.Utility_DisplayArrayInTable(Fertiliser_SourceData.Fertiliser_Products_Data2(),FertiliserProducts[[#Headers],[Product]], 20)</f>
        <v/>
      </c>
      <c r="AJ86" s="158" t="str" cm="1">
        <f t="array" ref="AJ86">Common_InputFunctions.Utility_DisplayArrayInTable(Fertiliser_SourceData.Fertiliser_Products_Data2(),FertiliserProducts[[#Headers],[Product]], 20)</f>
        <v/>
      </c>
    </row>
    <row r="87" spans="4:36" ht="20.100000000000001" customHeight="1" x14ac:dyDescent="0.25">
      <c r="D87" s="157" t="str" cm="1">
        <f t="array" ref="D87">Common_InputFunctions.Utility_DisplayArrayInTable(Fertiliser_SourceData.Fertiliser_Products_Data2(),FertiliserProducts[[#Headers],[Product]], 20)</f>
        <v>Granu-K</v>
      </c>
      <c r="E87" s="157" t="str" cm="1">
        <f t="array" ref="E87">Common_InputFunctions.Utility_DisplayArrayInTable(Fertiliser_SourceData.Fertiliser_Products_Data2(),FertiliserProducts[[#Headers],[Product]], 20)</f>
        <v>kg</v>
      </c>
      <c r="F87" s="157" cm="1">
        <f t="array" ref="F87">Common_InputFunctions.Utility_DisplayArrayInTable(Fertiliser_SourceData.Fertiliser_Products_Data2(),FertiliserProducts[[#Headers],[Product]], 20)</f>
        <v>1</v>
      </c>
      <c r="G87" s="157" t="str" cm="1">
        <f t="array" ref="G87">Common_InputFunctions.Utility_DisplayArrayInTable(Fertiliser_SourceData.Fertiliser_Products_Data2(),FertiliserProducts[[#Headers],[Product]], 20)</f>
        <v>Potassium - Generic</v>
      </c>
      <c r="H87" s="157" cm="1">
        <f t="array" ref="H87">Common_InputFunctions.Utility_DisplayArrayInTable(Fertiliser_SourceData.Fertiliser_Products_Data2(),FertiliserProducts[[#Headers],[Product]], 20)</f>
        <v>0.41799999999999998</v>
      </c>
      <c r="I87" s="157" t="str" cm="1">
        <f t="array" ref="I87">Common_InputFunctions.Utility_DisplayArrayInTable(Fertiliser_SourceData.Fertiliser_Products_Data2(),FertiliserProducts[[#Headers],[Product]], 20)</f>
        <v>Location not specified</v>
      </c>
      <c r="J87" s="157" t="str" cm="1">
        <f t="array" ref="J87">Common_InputFunctions.Utility_DisplayArrayInTable(Fertiliser_SourceData.Fertiliser_Products_Data2(),FertiliserProducts[[#Headers],[Product]], 20)</f>
        <v>Potassium - Generic</v>
      </c>
      <c r="K87" s="157" cm="1">
        <f t="array" ref="K87">Common_InputFunctions.Utility_DisplayArrayInTable(Fertiliser_SourceData.Fertiliser_Products_Data2(),FertiliserProducts[[#Headers],[Product]], 20)</f>
        <v>0.17499999999999999</v>
      </c>
      <c r="L87" s="157" t="str" cm="1">
        <f t="array" ref="L87">Common_InputFunctions.Utility_DisplayArrayInTable(Fertiliser_SourceData.Fertiliser_Products_Data2(),FertiliserProducts[[#Headers],[Product]], 20)</f>
        <v>Location not specified</v>
      </c>
      <c r="M87" s="157" t="str" cm="1">
        <f t="array" ref="M87">Common_InputFunctions.Utility_DisplayArrayInTable(Fertiliser_SourceData.Fertiliser_Products_Data2(),FertiliserProducts[[#Headers],[Product]], 20)</f>
        <v/>
      </c>
      <c r="N87" s="157" t="str" cm="1">
        <f t="array" ref="N87">Common_InputFunctions.Utility_DisplayArrayInTable(Fertiliser_SourceData.Fertiliser_Products_Data2(),FertiliserProducts[[#Headers],[Product]], 20)</f>
        <v/>
      </c>
      <c r="O87" s="157" t="str" cm="1">
        <f t="array" ref="O87">Common_InputFunctions.Utility_DisplayArrayInTable(Fertiliser_SourceData.Fertiliser_Products_Data2(),FertiliserProducts[[#Headers],[Product]], 20)</f>
        <v/>
      </c>
      <c r="P87" s="157" t="str" cm="1">
        <f t="array" ref="P87">Common_InputFunctions.Utility_DisplayArrayInTable(Fertiliser_SourceData.Fertiliser_Products_Data2(),FertiliserProducts[[#Headers],[Product]], 20)</f>
        <v/>
      </c>
      <c r="Q87" s="157" t="str" cm="1">
        <f t="array" ref="Q87">Common_InputFunctions.Utility_DisplayArrayInTable(Fertiliser_SourceData.Fertiliser_Products_Data2(),FertiliserProducts[[#Headers],[Product]], 20)</f>
        <v/>
      </c>
      <c r="R87" s="157" t="str" cm="1">
        <f t="array" ref="R87">Common_InputFunctions.Utility_DisplayArrayInTable(Fertiliser_SourceData.Fertiliser_Products_Data2(),FertiliserProducts[[#Headers],[Product]], 20)</f>
        <v/>
      </c>
      <c r="S87" s="157" t="str" cm="1">
        <f t="array" ref="S87">Common_InputFunctions.Utility_DisplayArrayInTable(Fertiliser_SourceData.Fertiliser_Products_Data2(),FertiliserProducts[[#Headers],[Product]], 20)</f>
        <v/>
      </c>
      <c r="T87" s="157" t="str" cm="1">
        <f t="array" ref="T87">Common_InputFunctions.Utility_DisplayArrayInTable(Fertiliser_SourceData.Fertiliser_Products_Data2(),FertiliserProducts[[#Headers],[Product]], 20)</f>
        <v/>
      </c>
      <c r="U87" s="157" t="str" cm="1">
        <f t="array" ref="U87">Common_InputFunctions.Utility_DisplayArrayInTable(Fertiliser_SourceData.Fertiliser_Products_Data2(),FertiliserProducts[[#Headers],[Product]], 20)</f>
        <v/>
      </c>
      <c r="V87" s="157" t="str" cm="1">
        <f t="array" ref="V87">Common_InputFunctions.Utility_DisplayArrayInTable(Fertiliser_SourceData.Fertiliser_Products_Data2(),FertiliserProducts[[#Headers],[Product]], 20)</f>
        <v/>
      </c>
      <c r="W87" s="157" t="str" cm="1">
        <f t="array" ref="W87">Common_InputFunctions.Utility_DisplayArrayInTable(Fertiliser_SourceData.Fertiliser_Products_Data2(),FertiliserProducts[[#Headers],[Product]], 20)</f>
        <v/>
      </c>
      <c r="X87" s="157" t="str" cm="1">
        <f t="array" ref="X87">Common_InputFunctions.Utility_DisplayArrayInTable(Fertiliser_SourceData.Fertiliser_Products_Data2(),FertiliserProducts[[#Headers],[Product]], 20)</f>
        <v/>
      </c>
      <c r="Y87" s="157" t="str" cm="1">
        <f t="array" ref="Y87">Common_InputFunctions.Utility_DisplayArrayInTable(Fertiliser_SourceData.Fertiliser_Products_Data2(),FertiliserProducts[[#Headers],[Product]], 20)</f>
        <v/>
      </c>
      <c r="Z87" s="157" t="str" cm="1">
        <f t="array" ref="Z87">Common_InputFunctions.Utility_DisplayArrayInTable(Fertiliser_SourceData.Fertiliser_Products_Data2(),FertiliserProducts[[#Headers],[Product]], 20)</f>
        <v/>
      </c>
      <c r="AA87" s="158" t="str" cm="1">
        <f t="array" ref="AA87">Common_InputFunctions.Utility_DisplayArrayInTable(Fertiliser_SourceData.Fertiliser_Products_Data2(),FertiliserProducts[[#Headers],[Product]], 20)</f>
        <v/>
      </c>
      <c r="AB87" s="158" t="str" cm="1">
        <f t="array" ref="AB87">Common_InputFunctions.Utility_DisplayArrayInTable(Fertiliser_SourceData.Fertiliser_Products_Data2(),FertiliserProducts[[#Headers],[Product]], 20)</f>
        <v/>
      </c>
      <c r="AC87" s="158" t="str" cm="1">
        <f t="array" ref="AC87">Common_InputFunctions.Utility_DisplayArrayInTable(Fertiliser_SourceData.Fertiliser_Products_Data2(),FertiliserProducts[[#Headers],[Product]], 20)</f>
        <v/>
      </c>
      <c r="AD87" s="158" t="str" cm="1">
        <f t="array" ref="AD87">Common_InputFunctions.Utility_DisplayArrayInTable(Fertiliser_SourceData.Fertiliser_Products_Data2(),FertiliserProducts[[#Headers],[Product]], 20)</f>
        <v/>
      </c>
      <c r="AE87" s="158" t="str" cm="1">
        <f t="array" ref="AE87">Common_InputFunctions.Utility_DisplayArrayInTable(Fertiliser_SourceData.Fertiliser_Products_Data2(),FertiliserProducts[[#Headers],[Product]], 20)</f>
        <v/>
      </c>
      <c r="AF87" s="158" t="str" cm="1">
        <f t="array" ref="AF87">Common_InputFunctions.Utility_DisplayArrayInTable(Fertiliser_SourceData.Fertiliser_Products_Data2(),FertiliserProducts[[#Headers],[Product]], 20)</f>
        <v/>
      </c>
      <c r="AG87" s="158" t="str" cm="1">
        <f t="array" ref="AG87">Common_InputFunctions.Utility_DisplayArrayInTable(Fertiliser_SourceData.Fertiliser_Products_Data2(),FertiliserProducts[[#Headers],[Product]], 20)</f>
        <v/>
      </c>
      <c r="AH87" s="158" t="str" cm="1">
        <f t="array" ref="AH87">Common_InputFunctions.Utility_DisplayArrayInTable(Fertiliser_SourceData.Fertiliser_Products_Data2(),FertiliserProducts[[#Headers],[Product]], 20)</f>
        <v/>
      </c>
      <c r="AI87" s="158" t="str" cm="1">
        <f t="array" ref="AI87">Common_InputFunctions.Utility_DisplayArrayInTable(Fertiliser_SourceData.Fertiliser_Products_Data2(),FertiliserProducts[[#Headers],[Product]], 20)</f>
        <v/>
      </c>
      <c r="AJ87" s="158" t="str" cm="1">
        <f t="array" ref="AJ87">Common_InputFunctions.Utility_DisplayArrayInTable(Fertiliser_SourceData.Fertiliser_Products_Data2(),FertiliserProducts[[#Headers],[Product]], 20)</f>
        <v/>
      </c>
    </row>
    <row r="88" spans="4:36" ht="20.100000000000001" customHeight="1" x14ac:dyDescent="0.25">
      <c r="D88" s="157" t="str" cm="1">
        <f t="array" ref="D88">Common_InputFunctions.Utility_DisplayArrayInTable(Fertiliser_SourceData.Fertiliser_Products_Data2(),FertiliserProducts[[#Headers],[Product]], 20)</f>
        <v>Granu-K Premium</v>
      </c>
      <c r="E88" s="157" t="str" cm="1">
        <f t="array" ref="E88">Common_InputFunctions.Utility_DisplayArrayInTable(Fertiliser_SourceData.Fertiliser_Products_Data2(),FertiliserProducts[[#Headers],[Product]], 20)</f>
        <v>kg</v>
      </c>
      <c r="F88" s="157" cm="1">
        <f t="array" ref="F88">Common_InputFunctions.Utility_DisplayArrayInTable(Fertiliser_SourceData.Fertiliser_Products_Data2(),FertiliserProducts[[#Headers],[Product]], 20)</f>
        <v>1</v>
      </c>
      <c r="G88" s="157" t="str" cm="1">
        <f t="array" ref="G88">Common_InputFunctions.Utility_DisplayArrayInTable(Fertiliser_SourceData.Fertiliser_Products_Data2(),FertiliserProducts[[#Headers],[Product]], 20)</f>
        <v>Potassium - Generic</v>
      </c>
      <c r="H88" s="157" cm="1">
        <f t="array" ref="H88">Common_InputFunctions.Utility_DisplayArrayInTable(Fertiliser_SourceData.Fertiliser_Products_Data2(),FertiliserProducts[[#Headers],[Product]], 20)</f>
        <v>0.41499999999999998</v>
      </c>
      <c r="I88" s="157" t="str" cm="1">
        <f t="array" ref="I88">Common_InputFunctions.Utility_DisplayArrayInTable(Fertiliser_SourceData.Fertiliser_Products_Data2(),FertiliserProducts[[#Headers],[Product]], 20)</f>
        <v>Location not specified</v>
      </c>
      <c r="J88" s="157" t="str" cm="1">
        <f t="array" ref="J88">Common_InputFunctions.Utility_DisplayArrayInTable(Fertiliser_SourceData.Fertiliser_Products_Data2(),FertiliserProducts[[#Headers],[Product]], 20)</f>
        <v>Sulfur - Generic</v>
      </c>
      <c r="K88" s="157" cm="1">
        <f t="array" ref="K88">Common_InputFunctions.Utility_DisplayArrayInTable(Fertiliser_SourceData.Fertiliser_Products_Data2(),FertiliserProducts[[#Headers],[Product]], 20)</f>
        <v>0.17</v>
      </c>
      <c r="L88" s="157" t="str" cm="1">
        <f t="array" ref="L88">Common_InputFunctions.Utility_DisplayArrayInTable(Fertiliser_SourceData.Fertiliser_Products_Data2(),FertiliserProducts[[#Headers],[Product]], 20)</f>
        <v>Location not specified</v>
      </c>
      <c r="M88" s="157" t="str" cm="1">
        <f t="array" ref="M88">Common_InputFunctions.Utility_DisplayArrayInTable(Fertiliser_SourceData.Fertiliser_Products_Data2(),FertiliserProducts[[#Headers],[Product]], 20)</f>
        <v/>
      </c>
      <c r="N88" s="157" t="str" cm="1">
        <f t="array" ref="N88">Common_InputFunctions.Utility_DisplayArrayInTable(Fertiliser_SourceData.Fertiliser_Products_Data2(),FertiliserProducts[[#Headers],[Product]], 20)</f>
        <v/>
      </c>
      <c r="O88" s="157" t="str" cm="1">
        <f t="array" ref="O88">Common_InputFunctions.Utility_DisplayArrayInTable(Fertiliser_SourceData.Fertiliser_Products_Data2(),FertiliserProducts[[#Headers],[Product]], 20)</f>
        <v/>
      </c>
      <c r="P88" s="157" t="str" cm="1">
        <f t="array" ref="P88">Common_InputFunctions.Utility_DisplayArrayInTable(Fertiliser_SourceData.Fertiliser_Products_Data2(),FertiliserProducts[[#Headers],[Product]], 20)</f>
        <v/>
      </c>
      <c r="Q88" s="157" t="str" cm="1">
        <f t="array" ref="Q88">Common_InputFunctions.Utility_DisplayArrayInTable(Fertiliser_SourceData.Fertiliser_Products_Data2(),FertiliserProducts[[#Headers],[Product]], 20)</f>
        <v/>
      </c>
      <c r="R88" s="157" t="str" cm="1">
        <f t="array" ref="R88">Common_InputFunctions.Utility_DisplayArrayInTable(Fertiliser_SourceData.Fertiliser_Products_Data2(),FertiliserProducts[[#Headers],[Product]], 20)</f>
        <v/>
      </c>
      <c r="S88" s="157" t="str" cm="1">
        <f t="array" ref="S88">Common_InputFunctions.Utility_DisplayArrayInTable(Fertiliser_SourceData.Fertiliser_Products_Data2(),FertiliserProducts[[#Headers],[Product]], 20)</f>
        <v/>
      </c>
      <c r="T88" s="157" t="str" cm="1">
        <f t="array" ref="T88">Common_InputFunctions.Utility_DisplayArrayInTable(Fertiliser_SourceData.Fertiliser_Products_Data2(),FertiliserProducts[[#Headers],[Product]], 20)</f>
        <v/>
      </c>
      <c r="U88" s="157" t="str" cm="1">
        <f t="array" ref="U88">Common_InputFunctions.Utility_DisplayArrayInTable(Fertiliser_SourceData.Fertiliser_Products_Data2(),FertiliserProducts[[#Headers],[Product]], 20)</f>
        <v/>
      </c>
      <c r="V88" s="157" t="str" cm="1">
        <f t="array" ref="V88">Common_InputFunctions.Utility_DisplayArrayInTable(Fertiliser_SourceData.Fertiliser_Products_Data2(),FertiliserProducts[[#Headers],[Product]], 20)</f>
        <v/>
      </c>
      <c r="W88" s="157" t="str" cm="1">
        <f t="array" ref="W88">Common_InputFunctions.Utility_DisplayArrayInTable(Fertiliser_SourceData.Fertiliser_Products_Data2(),FertiliserProducts[[#Headers],[Product]], 20)</f>
        <v/>
      </c>
      <c r="X88" s="157" t="str" cm="1">
        <f t="array" ref="X88">Common_InputFunctions.Utility_DisplayArrayInTable(Fertiliser_SourceData.Fertiliser_Products_Data2(),FertiliserProducts[[#Headers],[Product]], 20)</f>
        <v/>
      </c>
      <c r="Y88" s="157" t="str" cm="1">
        <f t="array" ref="Y88">Common_InputFunctions.Utility_DisplayArrayInTable(Fertiliser_SourceData.Fertiliser_Products_Data2(),FertiliserProducts[[#Headers],[Product]], 20)</f>
        <v/>
      </c>
      <c r="Z88" s="157" t="str" cm="1">
        <f t="array" ref="Z88">Common_InputFunctions.Utility_DisplayArrayInTable(Fertiliser_SourceData.Fertiliser_Products_Data2(),FertiliserProducts[[#Headers],[Product]], 20)</f>
        <v/>
      </c>
      <c r="AA88" s="158" t="str" cm="1">
        <f t="array" ref="AA88">Common_InputFunctions.Utility_DisplayArrayInTable(Fertiliser_SourceData.Fertiliser_Products_Data2(),FertiliserProducts[[#Headers],[Product]], 20)</f>
        <v/>
      </c>
      <c r="AB88" s="158" t="str" cm="1">
        <f t="array" ref="AB88">Common_InputFunctions.Utility_DisplayArrayInTable(Fertiliser_SourceData.Fertiliser_Products_Data2(),FertiliserProducts[[#Headers],[Product]], 20)</f>
        <v/>
      </c>
      <c r="AC88" s="158" t="str" cm="1">
        <f t="array" ref="AC88">Common_InputFunctions.Utility_DisplayArrayInTable(Fertiliser_SourceData.Fertiliser_Products_Data2(),FertiliserProducts[[#Headers],[Product]], 20)</f>
        <v/>
      </c>
      <c r="AD88" s="158" t="str" cm="1">
        <f t="array" ref="AD88">Common_InputFunctions.Utility_DisplayArrayInTable(Fertiliser_SourceData.Fertiliser_Products_Data2(),FertiliserProducts[[#Headers],[Product]], 20)</f>
        <v/>
      </c>
      <c r="AE88" s="158" t="str" cm="1">
        <f t="array" ref="AE88">Common_InputFunctions.Utility_DisplayArrayInTable(Fertiliser_SourceData.Fertiliser_Products_Data2(),FertiliserProducts[[#Headers],[Product]], 20)</f>
        <v/>
      </c>
      <c r="AF88" s="158" t="str" cm="1">
        <f t="array" ref="AF88">Common_InputFunctions.Utility_DisplayArrayInTable(Fertiliser_SourceData.Fertiliser_Products_Data2(),FertiliserProducts[[#Headers],[Product]], 20)</f>
        <v/>
      </c>
      <c r="AG88" s="158" t="str" cm="1">
        <f t="array" ref="AG88">Common_InputFunctions.Utility_DisplayArrayInTable(Fertiliser_SourceData.Fertiliser_Products_Data2(),FertiliserProducts[[#Headers],[Product]], 20)</f>
        <v/>
      </c>
      <c r="AH88" s="158" t="str" cm="1">
        <f t="array" ref="AH88">Common_InputFunctions.Utility_DisplayArrayInTable(Fertiliser_SourceData.Fertiliser_Products_Data2(),FertiliserProducts[[#Headers],[Product]], 20)</f>
        <v/>
      </c>
      <c r="AI88" s="158" t="str" cm="1">
        <f t="array" ref="AI88">Common_InputFunctions.Utility_DisplayArrayInTable(Fertiliser_SourceData.Fertiliser_Products_Data2(),FertiliserProducts[[#Headers],[Product]], 20)</f>
        <v/>
      </c>
      <c r="AJ88" s="158" t="str" cm="1">
        <f t="array" ref="AJ88">Common_InputFunctions.Utility_DisplayArrayInTable(Fertiliser_SourceData.Fertiliser_Products_Data2(),FertiliserProducts[[#Headers],[Product]], 20)</f>
        <v/>
      </c>
    </row>
    <row r="89" spans="4:36" ht="20.100000000000001" customHeight="1" x14ac:dyDescent="0.25">
      <c r="D89" s="157" t="str" cm="1">
        <f t="array" ref="D89">Common_InputFunctions.Utility_DisplayArrayInTable(Fertiliser_SourceData.Fertiliser_Products_Data2(),FertiliserProducts[[#Headers],[Product]], 20)</f>
        <v>High NS</v>
      </c>
      <c r="E89" s="157" t="str" cm="1">
        <f t="array" ref="E89">Common_InputFunctions.Utility_DisplayArrayInTable(Fertiliser_SourceData.Fertiliser_Products_Data2(),FertiliserProducts[[#Headers],[Product]], 20)</f>
        <v>L</v>
      </c>
      <c r="F89" s="157" cm="1">
        <f t="array" ref="F89">Common_InputFunctions.Utility_DisplayArrayInTable(Fertiliser_SourceData.Fertiliser_Products_Data2(),FertiliserProducts[[#Headers],[Product]], 20)</f>
        <v>1.2989999999999999</v>
      </c>
      <c r="G89" s="157" t="str" cm="1">
        <f t="array" ref="G89">Common_InputFunctions.Utility_DisplayArrayInTable(Fertiliser_SourceData.Fertiliser_Products_Data2(),FertiliserProducts[[#Headers],[Product]], 20)</f>
        <v>Nitrogen - Generic</v>
      </c>
      <c r="H89" s="157" cm="1">
        <f t="array" ref="H89">Common_InputFunctions.Utility_DisplayArrayInTable(Fertiliser_SourceData.Fertiliser_Products_Data2(),FertiliserProducts[[#Headers],[Product]], 20)</f>
        <v>0.21199999999999999</v>
      </c>
      <c r="I89" s="157" t="str" cm="1">
        <f t="array" ref="I89">Common_InputFunctions.Utility_DisplayArrayInTable(Fertiliser_SourceData.Fertiliser_Products_Data2(),FertiliserProducts[[#Headers],[Product]], 20)</f>
        <v>Location not specified</v>
      </c>
      <c r="J89" s="157" t="str" cm="1">
        <f t="array" ref="J89">Common_InputFunctions.Utility_DisplayArrayInTable(Fertiliser_SourceData.Fertiliser_Products_Data2(),FertiliserProducts[[#Headers],[Product]], 20)</f>
        <v>Nitrogen - Ammoniacal</v>
      </c>
      <c r="K89" s="157" cm="1">
        <f t="array" ref="K89">Common_InputFunctions.Utility_DisplayArrayInTable(Fertiliser_SourceData.Fertiliser_Products_Data2(),FertiliserProducts[[#Headers],[Product]], 20)</f>
        <v>9.1999999999999998E-2</v>
      </c>
      <c r="L89" s="157" t="str" cm="1">
        <f t="array" ref="L89">Common_InputFunctions.Utility_DisplayArrayInTable(Fertiliser_SourceData.Fertiliser_Products_Data2(),FertiliserProducts[[#Headers],[Product]], 20)</f>
        <v>Location not specified</v>
      </c>
      <c r="M89" s="157" t="str" cm="1">
        <f t="array" ref="M89">Common_InputFunctions.Utility_DisplayArrayInTable(Fertiliser_SourceData.Fertiliser_Products_Data2(),FertiliserProducts[[#Headers],[Product]], 20)</f>
        <v>Nitrogen from Nitrate</v>
      </c>
      <c r="N89" s="157" cm="1">
        <f t="array" ref="N89">Common_InputFunctions.Utility_DisplayArrayInTable(Fertiliser_SourceData.Fertiliser_Products_Data2(),FertiliserProducts[[#Headers],[Product]], 20)</f>
        <v>7.5999999999999998E-2</v>
      </c>
      <c r="O89" s="157" t="str" cm="1">
        <f t="array" ref="O89">Common_InputFunctions.Utility_DisplayArrayInTable(Fertiliser_SourceData.Fertiliser_Products_Data2(),FertiliserProducts[[#Headers],[Product]], 20)</f>
        <v>Location not specified</v>
      </c>
      <c r="P89" s="157" t="str" cm="1">
        <f t="array" ref="P89">Common_InputFunctions.Utility_DisplayArrayInTable(Fertiliser_SourceData.Fertiliser_Products_Data2(),FertiliserProducts[[#Headers],[Product]], 20)</f>
        <v>Sulfur - Generic</v>
      </c>
      <c r="Q89" s="157" cm="1">
        <f t="array" ref="Q89">Common_InputFunctions.Utility_DisplayArrayInTable(Fertiliser_SourceData.Fertiliser_Products_Data2(),FertiliserProducts[[#Headers],[Product]], 20)</f>
        <v>0.02</v>
      </c>
      <c r="R89" s="157" t="str" cm="1">
        <f t="array" ref="R89">Common_InputFunctions.Utility_DisplayArrayInTable(Fertiliser_SourceData.Fertiliser_Products_Data2(),FertiliserProducts[[#Headers],[Product]], 20)</f>
        <v>Location not specified</v>
      </c>
      <c r="S89" s="157" t="str" cm="1">
        <f t="array" ref="S89">Common_InputFunctions.Utility_DisplayArrayInTable(Fertiliser_SourceData.Fertiliser_Products_Data2(),FertiliserProducts[[#Headers],[Product]], 20)</f>
        <v/>
      </c>
      <c r="T89" s="157" t="str" cm="1">
        <f t="array" ref="T89">Common_InputFunctions.Utility_DisplayArrayInTable(Fertiliser_SourceData.Fertiliser_Products_Data2(),FertiliserProducts[[#Headers],[Product]], 20)</f>
        <v/>
      </c>
      <c r="U89" s="157" t="str" cm="1">
        <f t="array" ref="U89">Common_InputFunctions.Utility_DisplayArrayInTable(Fertiliser_SourceData.Fertiliser_Products_Data2(),FertiliserProducts[[#Headers],[Product]], 20)</f>
        <v/>
      </c>
      <c r="V89" s="157" t="str" cm="1">
        <f t="array" ref="V89">Common_InputFunctions.Utility_DisplayArrayInTable(Fertiliser_SourceData.Fertiliser_Products_Data2(),FertiliserProducts[[#Headers],[Product]], 20)</f>
        <v/>
      </c>
      <c r="W89" s="157" t="str" cm="1">
        <f t="array" ref="W89">Common_InputFunctions.Utility_DisplayArrayInTable(Fertiliser_SourceData.Fertiliser_Products_Data2(),FertiliserProducts[[#Headers],[Product]], 20)</f>
        <v/>
      </c>
      <c r="X89" s="157" t="str" cm="1">
        <f t="array" ref="X89">Common_InputFunctions.Utility_DisplayArrayInTable(Fertiliser_SourceData.Fertiliser_Products_Data2(),FertiliserProducts[[#Headers],[Product]], 20)</f>
        <v/>
      </c>
      <c r="Y89" s="157" t="str" cm="1">
        <f t="array" ref="Y89">Common_InputFunctions.Utility_DisplayArrayInTable(Fertiliser_SourceData.Fertiliser_Products_Data2(),FertiliserProducts[[#Headers],[Product]], 20)</f>
        <v/>
      </c>
      <c r="Z89" s="157" t="str" cm="1">
        <f t="array" ref="Z89">Common_InputFunctions.Utility_DisplayArrayInTable(Fertiliser_SourceData.Fertiliser_Products_Data2(),FertiliserProducts[[#Headers],[Product]], 20)</f>
        <v/>
      </c>
      <c r="AA89" s="158" t="str" cm="1">
        <f t="array" ref="AA89">Common_InputFunctions.Utility_DisplayArrayInTable(Fertiliser_SourceData.Fertiliser_Products_Data2(),FertiliserProducts[[#Headers],[Product]], 20)</f>
        <v/>
      </c>
      <c r="AB89" s="158" t="str" cm="1">
        <f t="array" ref="AB89">Common_InputFunctions.Utility_DisplayArrayInTable(Fertiliser_SourceData.Fertiliser_Products_Data2(),FertiliserProducts[[#Headers],[Product]], 20)</f>
        <v/>
      </c>
      <c r="AC89" s="158" t="str" cm="1">
        <f t="array" ref="AC89">Common_InputFunctions.Utility_DisplayArrayInTable(Fertiliser_SourceData.Fertiliser_Products_Data2(),FertiliserProducts[[#Headers],[Product]], 20)</f>
        <v/>
      </c>
      <c r="AD89" s="158" t="str" cm="1">
        <f t="array" ref="AD89">Common_InputFunctions.Utility_DisplayArrayInTable(Fertiliser_SourceData.Fertiliser_Products_Data2(),FertiliserProducts[[#Headers],[Product]], 20)</f>
        <v/>
      </c>
      <c r="AE89" s="158" t="str" cm="1">
        <f t="array" ref="AE89">Common_InputFunctions.Utility_DisplayArrayInTable(Fertiliser_SourceData.Fertiliser_Products_Data2(),FertiliserProducts[[#Headers],[Product]], 20)</f>
        <v/>
      </c>
      <c r="AF89" s="158" t="str" cm="1">
        <f t="array" ref="AF89">Common_InputFunctions.Utility_DisplayArrayInTable(Fertiliser_SourceData.Fertiliser_Products_Data2(),FertiliserProducts[[#Headers],[Product]], 20)</f>
        <v/>
      </c>
      <c r="AG89" s="158" t="str" cm="1">
        <f t="array" ref="AG89">Common_InputFunctions.Utility_DisplayArrayInTable(Fertiliser_SourceData.Fertiliser_Products_Data2(),FertiliserProducts[[#Headers],[Product]], 20)</f>
        <v/>
      </c>
      <c r="AH89" s="158" t="str" cm="1">
        <f t="array" ref="AH89">Common_InputFunctions.Utility_DisplayArrayInTable(Fertiliser_SourceData.Fertiliser_Products_Data2(),FertiliserProducts[[#Headers],[Product]], 20)</f>
        <v/>
      </c>
      <c r="AI89" s="158" t="str" cm="1">
        <f t="array" ref="AI89">Common_InputFunctions.Utility_DisplayArrayInTable(Fertiliser_SourceData.Fertiliser_Products_Data2(),FertiliserProducts[[#Headers],[Product]], 20)</f>
        <v/>
      </c>
      <c r="AJ89" s="158" t="str" cm="1">
        <f t="array" ref="AJ89">Common_InputFunctions.Utility_DisplayArrayInTable(Fertiliser_SourceData.Fertiliser_Products_Data2(),FertiliserProducts[[#Headers],[Product]], 20)</f>
        <v/>
      </c>
    </row>
    <row r="90" spans="4:36" ht="20.100000000000001" customHeight="1" x14ac:dyDescent="0.25">
      <c r="D90" s="157" t="str" cm="1">
        <f t="array" ref="D90">Common_InputFunctions.Utility_DisplayArrayInTable(Fertiliser_SourceData.Fertiliser_Products_Data2(),FertiliserProducts[[#Headers],[Product]], 20)</f>
        <v>In Crop</v>
      </c>
      <c r="E90" s="157" t="str" cm="1">
        <f t="array" ref="E90">Common_InputFunctions.Utility_DisplayArrayInTable(Fertiliser_SourceData.Fertiliser_Products_Data2(),FertiliserProducts[[#Headers],[Product]], 20)</f>
        <v>L</v>
      </c>
      <c r="F90" s="157" cm="1">
        <f t="array" ref="F90">Common_InputFunctions.Utility_DisplayArrayInTable(Fertiliser_SourceData.Fertiliser_Products_Data2(),FertiliserProducts[[#Headers],[Product]], 20)</f>
        <v>1.2</v>
      </c>
      <c r="G90" s="157" t="str" cm="1">
        <f t="array" ref="G90">Common_InputFunctions.Utility_DisplayArrayInTable(Fertiliser_SourceData.Fertiliser_Products_Data2(),FertiliserProducts[[#Headers],[Product]], 20)</f>
        <v>Potassium - Generic</v>
      </c>
      <c r="H90" s="157" cm="1">
        <f t="array" ref="H90">Common_InputFunctions.Utility_DisplayArrayInTable(Fertiliser_SourceData.Fertiliser_Products_Data2(),FertiliserProducts[[#Headers],[Product]], 20)</f>
        <v>0.11</v>
      </c>
      <c r="I90" s="157" t="str" cm="1">
        <f t="array" ref="I90">Common_InputFunctions.Utility_DisplayArrayInTable(Fertiliser_SourceData.Fertiliser_Products_Data2(),FertiliserProducts[[#Headers],[Product]], 20)</f>
        <v>Location not specified</v>
      </c>
      <c r="J90" s="157" t="str" cm="1">
        <f t="array" ref="J90">Common_InputFunctions.Utility_DisplayArrayInTable(Fertiliser_SourceData.Fertiliser_Products_Data2(),FertiliserProducts[[#Headers],[Product]], 20)</f>
        <v>Nitrogen - Generic</v>
      </c>
      <c r="K90" s="157" cm="1">
        <f t="array" ref="K90">Common_InputFunctions.Utility_DisplayArrayInTable(Fertiliser_SourceData.Fertiliser_Products_Data2(),FertiliserProducts[[#Headers],[Product]], 20)</f>
        <v>0.1</v>
      </c>
      <c r="L90" s="157" t="str" cm="1">
        <f t="array" ref="L90">Common_InputFunctions.Utility_DisplayArrayInTable(Fertiliser_SourceData.Fertiliser_Products_Data2(),FertiliserProducts[[#Headers],[Product]], 20)</f>
        <v>Location not specified</v>
      </c>
      <c r="M90" s="157" t="str" cm="1">
        <f t="array" ref="M90">Common_InputFunctions.Utility_DisplayArrayInTable(Fertiliser_SourceData.Fertiliser_Products_Data2(),FertiliserProducts[[#Headers],[Product]], 20)</f>
        <v>Phosphorus - Generic</v>
      </c>
      <c r="N90" s="157" cm="1">
        <f t="array" ref="N90">Common_InputFunctions.Utility_DisplayArrayInTable(Fertiliser_SourceData.Fertiliser_Products_Data2(),FertiliserProducts[[#Headers],[Product]], 20)</f>
        <v>0.01</v>
      </c>
      <c r="O90" s="157" t="str" cm="1">
        <f t="array" ref="O90">Common_InputFunctions.Utility_DisplayArrayInTable(Fertiliser_SourceData.Fertiliser_Products_Data2(),FertiliserProducts[[#Headers],[Product]], 20)</f>
        <v>Location not specified</v>
      </c>
      <c r="P90" s="157" t="str" cm="1">
        <f t="array" ref="P90">Common_InputFunctions.Utility_DisplayArrayInTable(Fertiliser_SourceData.Fertiliser_Products_Data2(),FertiliserProducts[[#Headers],[Product]], 20)</f>
        <v/>
      </c>
      <c r="Q90" s="157" t="str" cm="1">
        <f t="array" ref="Q90">Common_InputFunctions.Utility_DisplayArrayInTable(Fertiliser_SourceData.Fertiliser_Products_Data2(),FertiliserProducts[[#Headers],[Product]], 20)</f>
        <v/>
      </c>
      <c r="R90" s="157" t="str" cm="1">
        <f t="array" ref="R90">Common_InputFunctions.Utility_DisplayArrayInTable(Fertiliser_SourceData.Fertiliser_Products_Data2(),FertiliserProducts[[#Headers],[Product]], 20)</f>
        <v/>
      </c>
      <c r="S90" s="157" t="str" cm="1">
        <f t="array" ref="S90">Common_InputFunctions.Utility_DisplayArrayInTable(Fertiliser_SourceData.Fertiliser_Products_Data2(),FertiliserProducts[[#Headers],[Product]], 20)</f>
        <v/>
      </c>
      <c r="T90" s="157" t="str" cm="1">
        <f t="array" ref="T90">Common_InputFunctions.Utility_DisplayArrayInTable(Fertiliser_SourceData.Fertiliser_Products_Data2(),FertiliserProducts[[#Headers],[Product]], 20)</f>
        <v/>
      </c>
      <c r="U90" s="157" t="str" cm="1">
        <f t="array" ref="U90">Common_InputFunctions.Utility_DisplayArrayInTable(Fertiliser_SourceData.Fertiliser_Products_Data2(),FertiliserProducts[[#Headers],[Product]], 20)</f>
        <v/>
      </c>
      <c r="V90" s="157" t="str" cm="1">
        <f t="array" ref="V90">Common_InputFunctions.Utility_DisplayArrayInTable(Fertiliser_SourceData.Fertiliser_Products_Data2(),FertiliserProducts[[#Headers],[Product]], 20)</f>
        <v/>
      </c>
      <c r="W90" s="157" t="str" cm="1">
        <f t="array" ref="W90">Common_InputFunctions.Utility_DisplayArrayInTable(Fertiliser_SourceData.Fertiliser_Products_Data2(),FertiliserProducts[[#Headers],[Product]], 20)</f>
        <v/>
      </c>
      <c r="X90" s="157" t="str" cm="1">
        <f t="array" ref="X90">Common_InputFunctions.Utility_DisplayArrayInTable(Fertiliser_SourceData.Fertiliser_Products_Data2(),FertiliserProducts[[#Headers],[Product]], 20)</f>
        <v/>
      </c>
      <c r="Y90" s="157" t="str" cm="1">
        <f t="array" ref="Y90">Common_InputFunctions.Utility_DisplayArrayInTable(Fertiliser_SourceData.Fertiliser_Products_Data2(),FertiliserProducts[[#Headers],[Product]], 20)</f>
        <v/>
      </c>
      <c r="Z90" s="157" t="str" cm="1">
        <f t="array" ref="Z90">Common_InputFunctions.Utility_DisplayArrayInTable(Fertiliser_SourceData.Fertiliser_Products_Data2(),FertiliserProducts[[#Headers],[Product]], 20)</f>
        <v/>
      </c>
      <c r="AA90" s="158" t="str" cm="1">
        <f t="array" ref="AA90">Common_InputFunctions.Utility_DisplayArrayInTable(Fertiliser_SourceData.Fertiliser_Products_Data2(),FertiliserProducts[[#Headers],[Product]], 20)</f>
        <v/>
      </c>
      <c r="AB90" s="158" t="str" cm="1">
        <f t="array" ref="AB90">Common_InputFunctions.Utility_DisplayArrayInTable(Fertiliser_SourceData.Fertiliser_Products_Data2(),FertiliserProducts[[#Headers],[Product]], 20)</f>
        <v/>
      </c>
      <c r="AC90" s="158" t="str" cm="1">
        <f t="array" ref="AC90">Common_InputFunctions.Utility_DisplayArrayInTable(Fertiliser_SourceData.Fertiliser_Products_Data2(),FertiliserProducts[[#Headers],[Product]], 20)</f>
        <v/>
      </c>
      <c r="AD90" s="158" t="str" cm="1">
        <f t="array" ref="AD90">Common_InputFunctions.Utility_DisplayArrayInTable(Fertiliser_SourceData.Fertiliser_Products_Data2(),FertiliserProducts[[#Headers],[Product]], 20)</f>
        <v/>
      </c>
      <c r="AE90" s="158" t="str" cm="1">
        <f t="array" ref="AE90">Common_InputFunctions.Utility_DisplayArrayInTable(Fertiliser_SourceData.Fertiliser_Products_Data2(),FertiliserProducts[[#Headers],[Product]], 20)</f>
        <v/>
      </c>
      <c r="AF90" s="158" t="str" cm="1">
        <f t="array" ref="AF90">Common_InputFunctions.Utility_DisplayArrayInTable(Fertiliser_SourceData.Fertiliser_Products_Data2(),FertiliserProducts[[#Headers],[Product]], 20)</f>
        <v/>
      </c>
      <c r="AG90" s="158" t="str" cm="1">
        <f t="array" ref="AG90">Common_InputFunctions.Utility_DisplayArrayInTable(Fertiliser_SourceData.Fertiliser_Products_Data2(),FertiliserProducts[[#Headers],[Product]], 20)</f>
        <v/>
      </c>
      <c r="AH90" s="158" t="str" cm="1">
        <f t="array" ref="AH90">Common_InputFunctions.Utility_DisplayArrayInTable(Fertiliser_SourceData.Fertiliser_Products_Data2(),FertiliserProducts[[#Headers],[Product]], 20)</f>
        <v/>
      </c>
      <c r="AI90" s="158" t="str" cm="1">
        <f t="array" ref="AI90">Common_InputFunctions.Utility_DisplayArrayInTable(Fertiliser_SourceData.Fertiliser_Products_Data2(),FertiliserProducts[[#Headers],[Product]], 20)</f>
        <v/>
      </c>
      <c r="AJ90" s="158" t="str" cm="1">
        <f t="array" ref="AJ90">Common_InputFunctions.Utility_DisplayArrayInTable(Fertiliser_SourceData.Fertiliser_Products_Data2(),FertiliserProducts[[#Headers],[Product]], 20)</f>
        <v/>
      </c>
    </row>
    <row r="91" spans="4:36" ht="20.100000000000001" customHeight="1" x14ac:dyDescent="0.25">
      <c r="D91" s="157" t="str" cm="1">
        <f t="array" ref="D91">Common_InputFunctions.Utility_DisplayArrayInTable(Fertiliser_SourceData.Fertiliser_Products_Data2(),FertiliserProducts[[#Headers],[Product]], 20)</f>
        <v>K20</v>
      </c>
      <c r="E91" s="157" t="str" cm="1">
        <f t="array" ref="E91">Common_InputFunctions.Utility_DisplayArrayInTable(Fertiliser_SourceData.Fertiliser_Products_Data2(),FertiliserProducts[[#Headers],[Product]], 20)</f>
        <v>L</v>
      </c>
      <c r="F91" s="157" cm="1">
        <f t="array" ref="F91">Common_InputFunctions.Utility_DisplayArrayInTable(Fertiliser_SourceData.Fertiliser_Products_Data2(),FertiliserProducts[[#Headers],[Product]], 20)</f>
        <v>1.3</v>
      </c>
      <c r="G91" s="157" t="str" cm="1">
        <f t="array" ref="G91">Common_InputFunctions.Utility_DisplayArrayInTable(Fertiliser_SourceData.Fertiliser_Products_Data2(),FertiliserProducts[[#Headers],[Product]], 20)</f>
        <v>Potassium - Generic</v>
      </c>
      <c r="H91" s="157" cm="1">
        <f t="array" ref="H91">Common_InputFunctions.Utility_DisplayArrayInTable(Fertiliser_SourceData.Fertiliser_Products_Data2(),FertiliserProducts[[#Headers],[Product]], 20)</f>
        <v>0.22</v>
      </c>
      <c r="I91" s="157" t="str" cm="1">
        <f t="array" ref="I91">Common_InputFunctions.Utility_DisplayArrayInTable(Fertiliser_SourceData.Fertiliser_Products_Data2(),FertiliserProducts[[#Headers],[Product]], 20)</f>
        <v>Location not specified</v>
      </c>
      <c r="J91" s="157" t="str" cm="1">
        <f t="array" ref="J91">Common_InputFunctions.Utility_DisplayArrayInTable(Fertiliser_SourceData.Fertiliser_Products_Data2(),FertiliserProducts[[#Headers],[Product]], 20)</f>
        <v>Nitrogen - Generic</v>
      </c>
      <c r="K91" s="157" cm="1">
        <f t="array" ref="K91">Common_InputFunctions.Utility_DisplayArrayInTable(Fertiliser_SourceData.Fertiliser_Products_Data2(),FertiliserProducts[[#Headers],[Product]], 20)</f>
        <v>0.03</v>
      </c>
      <c r="L91" s="157" t="str" cm="1">
        <f t="array" ref="L91">Common_InputFunctions.Utility_DisplayArrayInTable(Fertiliser_SourceData.Fertiliser_Products_Data2(),FertiliserProducts[[#Headers],[Product]], 20)</f>
        <v>Location not specified</v>
      </c>
      <c r="M91" s="157" t="str" cm="1">
        <f t="array" ref="M91">Common_InputFunctions.Utility_DisplayArrayInTable(Fertiliser_SourceData.Fertiliser_Products_Data2(),FertiliserProducts[[#Headers],[Product]], 20)</f>
        <v/>
      </c>
      <c r="N91" s="157" t="str" cm="1">
        <f t="array" ref="N91">Common_InputFunctions.Utility_DisplayArrayInTable(Fertiliser_SourceData.Fertiliser_Products_Data2(),FertiliserProducts[[#Headers],[Product]], 20)</f>
        <v/>
      </c>
      <c r="O91" s="157" t="str" cm="1">
        <f t="array" ref="O91">Common_InputFunctions.Utility_DisplayArrayInTable(Fertiliser_SourceData.Fertiliser_Products_Data2(),FertiliserProducts[[#Headers],[Product]], 20)</f>
        <v/>
      </c>
      <c r="P91" s="157" t="str" cm="1">
        <f t="array" ref="P91">Common_InputFunctions.Utility_DisplayArrayInTable(Fertiliser_SourceData.Fertiliser_Products_Data2(),FertiliserProducts[[#Headers],[Product]], 20)</f>
        <v/>
      </c>
      <c r="Q91" s="157" t="str" cm="1">
        <f t="array" ref="Q91">Common_InputFunctions.Utility_DisplayArrayInTable(Fertiliser_SourceData.Fertiliser_Products_Data2(),FertiliserProducts[[#Headers],[Product]], 20)</f>
        <v/>
      </c>
      <c r="R91" s="157" t="str" cm="1">
        <f t="array" ref="R91">Common_InputFunctions.Utility_DisplayArrayInTable(Fertiliser_SourceData.Fertiliser_Products_Data2(),FertiliserProducts[[#Headers],[Product]], 20)</f>
        <v/>
      </c>
      <c r="S91" s="157" t="str" cm="1">
        <f t="array" ref="S91">Common_InputFunctions.Utility_DisplayArrayInTable(Fertiliser_SourceData.Fertiliser_Products_Data2(),FertiliserProducts[[#Headers],[Product]], 20)</f>
        <v/>
      </c>
      <c r="T91" s="157" t="str" cm="1">
        <f t="array" ref="T91">Common_InputFunctions.Utility_DisplayArrayInTable(Fertiliser_SourceData.Fertiliser_Products_Data2(),FertiliserProducts[[#Headers],[Product]], 20)</f>
        <v/>
      </c>
      <c r="U91" s="157" t="str" cm="1">
        <f t="array" ref="U91">Common_InputFunctions.Utility_DisplayArrayInTable(Fertiliser_SourceData.Fertiliser_Products_Data2(),FertiliserProducts[[#Headers],[Product]], 20)</f>
        <v/>
      </c>
      <c r="V91" s="157" t="str" cm="1">
        <f t="array" ref="V91">Common_InputFunctions.Utility_DisplayArrayInTable(Fertiliser_SourceData.Fertiliser_Products_Data2(),FertiliserProducts[[#Headers],[Product]], 20)</f>
        <v/>
      </c>
      <c r="W91" s="157" t="str" cm="1">
        <f t="array" ref="W91">Common_InputFunctions.Utility_DisplayArrayInTable(Fertiliser_SourceData.Fertiliser_Products_Data2(),FertiliserProducts[[#Headers],[Product]], 20)</f>
        <v/>
      </c>
      <c r="X91" s="157" t="str" cm="1">
        <f t="array" ref="X91">Common_InputFunctions.Utility_DisplayArrayInTable(Fertiliser_SourceData.Fertiliser_Products_Data2(),FertiliserProducts[[#Headers],[Product]], 20)</f>
        <v/>
      </c>
      <c r="Y91" s="157" t="str" cm="1">
        <f t="array" ref="Y91">Common_InputFunctions.Utility_DisplayArrayInTable(Fertiliser_SourceData.Fertiliser_Products_Data2(),FertiliserProducts[[#Headers],[Product]], 20)</f>
        <v/>
      </c>
      <c r="Z91" s="157" t="str" cm="1">
        <f t="array" ref="Z91">Common_InputFunctions.Utility_DisplayArrayInTable(Fertiliser_SourceData.Fertiliser_Products_Data2(),FertiliserProducts[[#Headers],[Product]], 20)</f>
        <v/>
      </c>
      <c r="AA91" s="158" t="str" cm="1">
        <f t="array" ref="AA91">Common_InputFunctions.Utility_DisplayArrayInTable(Fertiliser_SourceData.Fertiliser_Products_Data2(),FertiliserProducts[[#Headers],[Product]], 20)</f>
        <v/>
      </c>
      <c r="AB91" s="158" t="str" cm="1">
        <f t="array" ref="AB91">Common_InputFunctions.Utility_DisplayArrayInTable(Fertiliser_SourceData.Fertiliser_Products_Data2(),FertiliserProducts[[#Headers],[Product]], 20)</f>
        <v/>
      </c>
      <c r="AC91" s="158" t="str" cm="1">
        <f t="array" ref="AC91">Common_InputFunctions.Utility_DisplayArrayInTable(Fertiliser_SourceData.Fertiliser_Products_Data2(),FertiliserProducts[[#Headers],[Product]], 20)</f>
        <v/>
      </c>
      <c r="AD91" s="158" t="str" cm="1">
        <f t="array" ref="AD91">Common_InputFunctions.Utility_DisplayArrayInTable(Fertiliser_SourceData.Fertiliser_Products_Data2(),FertiliserProducts[[#Headers],[Product]], 20)</f>
        <v/>
      </c>
      <c r="AE91" s="158" t="str" cm="1">
        <f t="array" ref="AE91">Common_InputFunctions.Utility_DisplayArrayInTable(Fertiliser_SourceData.Fertiliser_Products_Data2(),FertiliserProducts[[#Headers],[Product]], 20)</f>
        <v/>
      </c>
      <c r="AF91" s="158" t="str" cm="1">
        <f t="array" ref="AF91">Common_InputFunctions.Utility_DisplayArrayInTable(Fertiliser_SourceData.Fertiliser_Products_Data2(),FertiliserProducts[[#Headers],[Product]], 20)</f>
        <v/>
      </c>
      <c r="AG91" s="158" t="str" cm="1">
        <f t="array" ref="AG91">Common_InputFunctions.Utility_DisplayArrayInTable(Fertiliser_SourceData.Fertiliser_Products_Data2(),FertiliserProducts[[#Headers],[Product]], 20)</f>
        <v/>
      </c>
      <c r="AH91" s="158" t="str" cm="1">
        <f t="array" ref="AH91">Common_InputFunctions.Utility_DisplayArrayInTable(Fertiliser_SourceData.Fertiliser_Products_Data2(),FertiliserProducts[[#Headers],[Product]], 20)</f>
        <v/>
      </c>
      <c r="AI91" s="158" t="str" cm="1">
        <f t="array" ref="AI91">Common_InputFunctions.Utility_DisplayArrayInTable(Fertiliser_SourceData.Fertiliser_Products_Data2(),FertiliserProducts[[#Headers],[Product]], 20)</f>
        <v/>
      </c>
      <c r="AJ91" s="158" t="str" cm="1">
        <f t="array" ref="AJ91">Common_InputFunctions.Utility_DisplayArrayInTable(Fertiliser_SourceData.Fertiliser_Products_Data2(),FertiliserProducts[[#Headers],[Product]], 20)</f>
        <v/>
      </c>
    </row>
    <row r="92" spans="4:36" ht="20.100000000000001" customHeight="1" x14ac:dyDescent="0.25">
      <c r="D92" s="157" t="str" cm="1">
        <f t="array" ref="D92">Common_InputFunctions.Utility_DisplayArrayInTable(Fertiliser_SourceData.Fertiliser_Products_Data2(),FertiliserProducts[[#Headers],[Product]], 20)</f>
        <v>MAP Impact</v>
      </c>
      <c r="E92" s="157" t="str" cm="1">
        <f t="array" ref="E92">Common_InputFunctions.Utility_DisplayArrayInTable(Fertiliser_SourceData.Fertiliser_Products_Data2(),FertiliserProducts[[#Headers],[Product]], 20)</f>
        <v>kg</v>
      </c>
      <c r="F92" s="157" cm="1">
        <f t="array" ref="F92">Common_InputFunctions.Utility_DisplayArrayInTable(Fertiliser_SourceData.Fertiliser_Products_Data2(),FertiliserProducts[[#Headers],[Product]], 20)</f>
        <v>1</v>
      </c>
      <c r="G92" s="157" t="str" cm="1">
        <f t="array" ref="G92">Common_InputFunctions.Utility_DisplayArrayInTable(Fertiliser_SourceData.Fertiliser_Products_Data2(),FertiliserProducts[[#Headers],[Product]], 20)</f>
        <v>Nitrogen - Ammoniacal</v>
      </c>
      <c r="H92" s="157" cm="1">
        <f t="array" ref="H92">Common_InputFunctions.Utility_DisplayArrayInTable(Fertiliser_SourceData.Fertiliser_Products_Data2(),FertiliserProducts[[#Headers],[Product]], 20)</f>
        <v>0.1</v>
      </c>
      <c r="I92" s="157" t="str" cm="1">
        <f t="array" ref="I92">Common_InputFunctions.Utility_DisplayArrayInTable(Fertiliser_SourceData.Fertiliser_Products_Data2(),FertiliserProducts[[#Headers],[Product]], 20)</f>
        <v>Location not specified</v>
      </c>
      <c r="J92" s="157" t="str" cm="1">
        <f t="array" ref="J92">Common_InputFunctions.Utility_DisplayArrayInTable(Fertiliser_SourceData.Fertiliser_Products_Data2(),FertiliserProducts[[#Headers],[Product]], 20)</f>
        <v>Phosphorus - Generic</v>
      </c>
      <c r="K92" s="157" cm="1">
        <f t="array" ref="K92">Common_InputFunctions.Utility_DisplayArrayInTable(Fertiliser_SourceData.Fertiliser_Products_Data2(),FertiliserProducts[[#Headers],[Product]], 20)</f>
        <v>0.219</v>
      </c>
      <c r="L92" s="157" t="str" cm="1">
        <f t="array" ref="L92">Common_InputFunctions.Utility_DisplayArrayInTable(Fertiliser_SourceData.Fertiliser_Products_Data2(),FertiliserProducts[[#Headers],[Product]], 20)</f>
        <v>Location not specified</v>
      </c>
      <c r="M92" s="157" t="str" cm="1">
        <f t="array" ref="M92">Common_InputFunctions.Utility_DisplayArrayInTable(Fertiliser_SourceData.Fertiliser_Products_Data2(),FertiliserProducts[[#Headers],[Product]], 20)</f>
        <v>Sulfur - Generic</v>
      </c>
      <c r="N92" s="157" cm="1">
        <f t="array" ref="N92">Common_InputFunctions.Utility_DisplayArrayInTable(Fertiliser_SourceData.Fertiliser_Products_Data2(),FertiliserProducts[[#Headers],[Product]], 20)</f>
        <v>1.5</v>
      </c>
      <c r="O92" s="157" t="str" cm="1">
        <f t="array" ref="O92">Common_InputFunctions.Utility_DisplayArrayInTable(Fertiliser_SourceData.Fertiliser_Products_Data2(),FertiliserProducts[[#Headers],[Product]], 20)</f>
        <v>Location not specified</v>
      </c>
      <c r="P92" s="157" t="str" cm="1">
        <f t="array" ref="P92">Common_InputFunctions.Utility_DisplayArrayInTable(Fertiliser_SourceData.Fertiliser_Products_Data2(),FertiliserProducts[[#Headers],[Product]], 20)</f>
        <v/>
      </c>
      <c r="Q92" s="157" t="str" cm="1">
        <f t="array" ref="Q92">Common_InputFunctions.Utility_DisplayArrayInTable(Fertiliser_SourceData.Fertiliser_Products_Data2(),FertiliserProducts[[#Headers],[Product]], 20)</f>
        <v/>
      </c>
      <c r="R92" s="157" t="str" cm="1">
        <f t="array" ref="R92">Common_InputFunctions.Utility_DisplayArrayInTable(Fertiliser_SourceData.Fertiliser_Products_Data2(),FertiliserProducts[[#Headers],[Product]], 20)</f>
        <v/>
      </c>
      <c r="S92" s="157" t="str" cm="1">
        <f t="array" ref="S92">Common_InputFunctions.Utility_DisplayArrayInTable(Fertiliser_SourceData.Fertiliser_Products_Data2(),FertiliserProducts[[#Headers],[Product]], 20)</f>
        <v/>
      </c>
      <c r="T92" s="157" t="str" cm="1">
        <f t="array" ref="T92">Common_InputFunctions.Utility_DisplayArrayInTable(Fertiliser_SourceData.Fertiliser_Products_Data2(),FertiliserProducts[[#Headers],[Product]], 20)</f>
        <v/>
      </c>
      <c r="U92" s="157" t="str" cm="1">
        <f t="array" ref="U92">Common_InputFunctions.Utility_DisplayArrayInTable(Fertiliser_SourceData.Fertiliser_Products_Data2(),FertiliserProducts[[#Headers],[Product]], 20)</f>
        <v/>
      </c>
      <c r="V92" s="157" t="str" cm="1">
        <f t="array" ref="V92">Common_InputFunctions.Utility_DisplayArrayInTable(Fertiliser_SourceData.Fertiliser_Products_Data2(),FertiliserProducts[[#Headers],[Product]], 20)</f>
        <v/>
      </c>
      <c r="W92" s="157" t="str" cm="1">
        <f t="array" ref="W92">Common_InputFunctions.Utility_DisplayArrayInTable(Fertiliser_SourceData.Fertiliser_Products_Data2(),FertiliserProducts[[#Headers],[Product]], 20)</f>
        <v/>
      </c>
      <c r="X92" s="157" t="str" cm="1">
        <f t="array" ref="X92">Common_InputFunctions.Utility_DisplayArrayInTable(Fertiliser_SourceData.Fertiliser_Products_Data2(),FertiliserProducts[[#Headers],[Product]], 20)</f>
        <v/>
      </c>
      <c r="Y92" s="157" t="str" cm="1">
        <f t="array" ref="Y92">Common_InputFunctions.Utility_DisplayArrayInTable(Fertiliser_SourceData.Fertiliser_Products_Data2(),FertiliserProducts[[#Headers],[Product]], 20)</f>
        <v/>
      </c>
      <c r="Z92" s="157" t="str" cm="1">
        <f t="array" ref="Z92">Common_InputFunctions.Utility_DisplayArrayInTable(Fertiliser_SourceData.Fertiliser_Products_Data2(),FertiliserProducts[[#Headers],[Product]], 20)</f>
        <v/>
      </c>
      <c r="AA92" s="158" t="str" cm="1">
        <f t="array" ref="AA92">Common_InputFunctions.Utility_DisplayArrayInTable(Fertiliser_SourceData.Fertiliser_Products_Data2(),FertiliserProducts[[#Headers],[Product]], 20)</f>
        <v/>
      </c>
      <c r="AB92" s="158" t="str" cm="1">
        <f t="array" ref="AB92">Common_InputFunctions.Utility_DisplayArrayInTable(Fertiliser_SourceData.Fertiliser_Products_Data2(),FertiliserProducts[[#Headers],[Product]], 20)</f>
        <v/>
      </c>
      <c r="AC92" s="158" t="str" cm="1">
        <f t="array" ref="AC92">Common_InputFunctions.Utility_DisplayArrayInTable(Fertiliser_SourceData.Fertiliser_Products_Data2(),FertiliserProducts[[#Headers],[Product]], 20)</f>
        <v/>
      </c>
      <c r="AD92" s="158" t="str" cm="1">
        <f t="array" ref="AD92">Common_InputFunctions.Utility_DisplayArrayInTable(Fertiliser_SourceData.Fertiliser_Products_Data2(),FertiliserProducts[[#Headers],[Product]], 20)</f>
        <v/>
      </c>
      <c r="AE92" s="158" t="str" cm="1">
        <f t="array" ref="AE92">Common_InputFunctions.Utility_DisplayArrayInTable(Fertiliser_SourceData.Fertiliser_Products_Data2(),FertiliserProducts[[#Headers],[Product]], 20)</f>
        <v/>
      </c>
      <c r="AF92" s="158" t="str" cm="1">
        <f t="array" ref="AF92">Common_InputFunctions.Utility_DisplayArrayInTable(Fertiliser_SourceData.Fertiliser_Products_Data2(),FertiliserProducts[[#Headers],[Product]], 20)</f>
        <v/>
      </c>
      <c r="AG92" s="158" t="str" cm="1">
        <f t="array" ref="AG92">Common_InputFunctions.Utility_DisplayArrayInTable(Fertiliser_SourceData.Fertiliser_Products_Data2(),FertiliserProducts[[#Headers],[Product]], 20)</f>
        <v/>
      </c>
      <c r="AH92" s="158" t="str" cm="1">
        <f t="array" ref="AH92">Common_InputFunctions.Utility_DisplayArrayInTable(Fertiliser_SourceData.Fertiliser_Products_Data2(),FertiliserProducts[[#Headers],[Product]], 20)</f>
        <v/>
      </c>
      <c r="AI92" s="158" t="str" cm="1">
        <f t="array" ref="AI92">Common_InputFunctions.Utility_DisplayArrayInTable(Fertiliser_SourceData.Fertiliser_Products_Data2(),FertiliserProducts[[#Headers],[Product]], 20)</f>
        <v/>
      </c>
      <c r="AJ92" s="158" t="str" cm="1">
        <f t="array" ref="AJ92">Common_InputFunctions.Utility_DisplayArrayInTable(Fertiliser_SourceData.Fertiliser_Products_Data2(),FertiliserProducts[[#Headers],[Product]], 20)</f>
        <v/>
      </c>
    </row>
    <row r="93" spans="4:36" ht="20.100000000000001" customHeight="1" x14ac:dyDescent="0.25">
      <c r="D93" s="157" t="str" cm="1">
        <f t="array" ref="D93">Common_InputFunctions.Utility_DisplayArrayInTable(Fertiliser_SourceData.Fertiliser_Products_Data2(),FertiliserProducts[[#Headers],[Product]], 20)</f>
        <v>MAP NUTURF</v>
      </c>
      <c r="E93" s="157" t="str" cm="1">
        <f t="array" ref="E93">Common_InputFunctions.Utility_DisplayArrayInTable(Fertiliser_SourceData.Fertiliser_Products_Data2(),FertiliserProducts[[#Headers],[Product]], 20)</f>
        <v>kg</v>
      </c>
      <c r="F93" s="157" cm="1">
        <f t="array" ref="F93">Common_InputFunctions.Utility_DisplayArrayInTable(Fertiliser_SourceData.Fertiliser_Products_Data2(),FertiliserProducts[[#Headers],[Product]], 20)</f>
        <v>1</v>
      </c>
      <c r="G93" s="157" t="str" cm="1">
        <f t="array" ref="G93">Common_InputFunctions.Utility_DisplayArrayInTable(Fertiliser_SourceData.Fertiliser_Products_Data2(),FertiliserProducts[[#Headers],[Product]], 20)</f>
        <v>Nitrogen - Ammoniacal</v>
      </c>
      <c r="H93" s="157" cm="1">
        <f t="array" ref="H93">Common_InputFunctions.Utility_DisplayArrayInTable(Fertiliser_SourceData.Fertiliser_Products_Data2(),FertiliserProducts[[#Headers],[Product]], 20)</f>
        <v>0.12</v>
      </c>
      <c r="I93" s="157" t="str" cm="1">
        <f t="array" ref="I93">Common_InputFunctions.Utility_DisplayArrayInTable(Fertiliser_SourceData.Fertiliser_Products_Data2(),FertiliserProducts[[#Headers],[Product]], 20)</f>
        <v>Location not specified</v>
      </c>
      <c r="J93" s="157" t="str" cm="1">
        <f t="array" ref="J93">Common_InputFunctions.Utility_DisplayArrayInTable(Fertiliser_SourceData.Fertiliser_Products_Data2(),FertiliserProducts[[#Headers],[Product]], 20)</f>
        <v>Phosphorus - Generic</v>
      </c>
      <c r="K93" s="157" cm="1">
        <f t="array" ref="K93">Common_InputFunctions.Utility_DisplayArrayInTable(Fertiliser_SourceData.Fertiliser_Products_Data2(),FertiliserProducts[[#Headers],[Product]], 20)</f>
        <v>0.27</v>
      </c>
      <c r="L93" s="157" t="str" cm="1">
        <f t="array" ref="L93">Common_InputFunctions.Utility_DisplayArrayInTable(Fertiliser_SourceData.Fertiliser_Products_Data2(),FertiliserProducts[[#Headers],[Product]], 20)</f>
        <v>Location not specified</v>
      </c>
      <c r="M93" s="157" t="str" cm="1">
        <f t="array" ref="M93">Common_InputFunctions.Utility_DisplayArrayInTable(Fertiliser_SourceData.Fertiliser_Products_Data2(),FertiliserProducts[[#Headers],[Product]], 20)</f>
        <v/>
      </c>
      <c r="N93" s="157" t="str" cm="1">
        <f t="array" ref="N93">Common_InputFunctions.Utility_DisplayArrayInTable(Fertiliser_SourceData.Fertiliser_Products_Data2(),FertiliserProducts[[#Headers],[Product]], 20)</f>
        <v/>
      </c>
      <c r="O93" s="157" t="str" cm="1">
        <f t="array" ref="O93">Common_InputFunctions.Utility_DisplayArrayInTable(Fertiliser_SourceData.Fertiliser_Products_Data2(),FertiliserProducts[[#Headers],[Product]], 20)</f>
        <v/>
      </c>
      <c r="P93" s="157" t="str" cm="1">
        <f t="array" ref="P93">Common_InputFunctions.Utility_DisplayArrayInTable(Fertiliser_SourceData.Fertiliser_Products_Data2(),FertiliserProducts[[#Headers],[Product]], 20)</f>
        <v/>
      </c>
      <c r="Q93" s="157" t="str" cm="1">
        <f t="array" ref="Q93">Common_InputFunctions.Utility_DisplayArrayInTable(Fertiliser_SourceData.Fertiliser_Products_Data2(),FertiliserProducts[[#Headers],[Product]], 20)</f>
        <v/>
      </c>
      <c r="R93" s="157" t="str" cm="1">
        <f t="array" ref="R93">Common_InputFunctions.Utility_DisplayArrayInTable(Fertiliser_SourceData.Fertiliser_Products_Data2(),FertiliserProducts[[#Headers],[Product]], 20)</f>
        <v/>
      </c>
      <c r="S93" s="157" t="str" cm="1">
        <f t="array" ref="S93">Common_InputFunctions.Utility_DisplayArrayInTable(Fertiliser_SourceData.Fertiliser_Products_Data2(),FertiliserProducts[[#Headers],[Product]], 20)</f>
        <v/>
      </c>
      <c r="T93" s="157" t="str" cm="1">
        <f t="array" ref="T93">Common_InputFunctions.Utility_DisplayArrayInTable(Fertiliser_SourceData.Fertiliser_Products_Data2(),FertiliserProducts[[#Headers],[Product]], 20)</f>
        <v/>
      </c>
      <c r="U93" s="157" t="str" cm="1">
        <f t="array" ref="U93">Common_InputFunctions.Utility_DisplayArrayInTable(Fertiliser_SourceData.Fertiliser_Products_Data2(),FertiliserProducts[[#Headers],[Product]], 20)</f>
        <v/>
      </c>
      <c r="V93" s="157" t="str" cm="1">
        <f t="array" ref="V93">Common_InputFunctions.Utility_DisplayArrayInTable(Fertiliser_SourceData.Fertiliser_Products_Data2(),FertiliserProducts[[#Headers],[Product]], 20)</f>
        <v/>
      </c>
      <c r="W93" s="157" t="str" cm="1">
        <f t="array" ref="W93">Common_InputFunctions.Utility_DisplayArrayInTable(Fertiliser_SourceData.Fertiliser_Products_Data2(),FertiliserProducts[[#Headers],[Product]], 20)</f>
        <v/>
      </c>
      <c r="X93" s="157" t="str" cm="1">
        <f t="array" ref="X93">Common_InputFunctions.Utility_DisplayArrayInTable(Fertiliser_SourceData.Fertiliser_Products_Data2(),FertiliserProducts[[#Headers],[Product]], 20)</f>
        <v/>
      </c>
      <c r="Y93" s="157" t="str" cm="1">
        <f t="array" ref="Y93">Common_InputFunctions.Utility_DisplayArrayInTable(Fertiliser_SourceData.Fertiliser_Products_Data2(),FertiliserProducts[[#Headers],[Product]], 20)</f>
        <v/>
      </c>
      <c r="Z93" s="157" t="str" cm="1">
        <f t="array" ref="Z93">Common_InputFunctions.Utility_DisplayArrayInTable(Fertiliser_SourceData.Fertiliser_Products_Data2(),FertiliserProducts[[#Headers],[Product]], 20)</f>
        <v/>
      </c>
      <c r="AA93" s="158" t="str" cm="1">
        <f t="array" ref="AA93">Common_InputFunctions.Utility_DisplayArrayInTable(Fertiliser_SourceData.Fertiliser_Products_Data2(),FertiliserProducts[[#Headers],[Product]], 20)</f>
        <v/>
      </c>
      <c r="AB93" s="158" t="str" cm="1">
        <f t="array" ref="AB93">Common_InputFunctions.Utility_DisplayArrayInTable(Fertiliser_SourceData.Fertiliser_Products_Data2(),FertiliserProducts[[#Headers],[Product]], 20)</f>
        <v/>
      </c>
      <c r="AC93" s="158" t="str" cm="1">
        <f t="array" ref="AC93">Common_InputFunctions.Utility_DisplayArrayInTable(Fertiliser_SourceData.Fertiliser_Products_Data2(),FertiliserProducts[[#Headers],[Product]], 20)</f>
        <v/>
      </c>
      <c r="AD93" s="158" t="str" cm="1">
        <f t="array" ref="AD93">Common_InputFunctions.Utility_DisplayArrayInTable(Fertiliser_SourceData.Fertiliser_Products_Data2(),FertiliserProducts[[#Headers],[Product]], 20)</f>
        <v/>
      </c>
      <c r="AE93" s="158" t="str" cm="1">
        <f t="array" ref="AE93">Common_InputFunctions.Utility_DisplayArrayInTable(Fertiliser_SourceData.Fertiliser_Products_Data2(),FertiliserProducts[[#Headers],[Product]], 20)</f>
        <v/>
      </c>
      <c r="AF93" s="158" t="str" cm="1">
        <f t="array" ref="AF93">Common_InputFunctions.Utility_DisplayArrayInTable(Fertiliser_SourceData.Fertiliser_Products_Data2(),FertiliserProducts[[#Headers],[Product]], 20)</f>
        <v/>
      </c>
      <c r="AG93" s="158" t="str" cm="1">
        <f t="array" ref="AG93">Common_InputFunctions.Utility_DisplayArrayInTable(Fertiliser_SourceData.Fertiliser_Products_Data2(),FertiliserProducts[[#Headers],[Product]], 20)</f>
        <v/>
      </c>
      <c r="AH93" s="158" t="str" cm="1">
        <f t="array" ref="AH93">Common_InputFunctions.Utility_DisplayArrayInTable(Fertiliser_SourceData.Fertiliser_Products_Data2(),FertiliserProducts[[#Headers],[Product]], 20)</f>
        <v/>
      </c>
      <c r="AI93" s="158" t="str" cm="1">
        <f t="array" ref="AI93">Common_InputFunctions.Utility_DisplayArrayInTable(Fertiliser_SourceData.Fertiliser_Products_Data2(),FertiliserProducts[[#Headers],[Product]], 20)</f>
        <v/>
      </c>
      <c r="AJ93" s="158" t="str" cm="1">
        <f t="array" ref="AJ93">Common_InputFunctions.Utility_DisplayArrayInTable(Fertiliser_SourceData.Fertiliser_Products_Data2(),FertiliserProducts[[#Headers],[Product]], 20)</f>
        <v/>
      </c>
    </row>
    <row r="94" spans="4:36" ht="20.100000000000001" customHeight="1" x14ac:dyDescent="0.25">
      <c r="D94" s="157" t="str" cm="1">
        <f t="array" ref="D94">Common_InputFunctions.Utility_DisplayArrayInTable(Fertiliser_SourceData.Fertiliser_Products_Data2(),FertiliserProducts[[#Headers],[Product]], 20)</f>
        <v>Maximum N-Pact 29-0-0</v>
      </c>
      <c r="E94" s="157" t="str" cm="1">
        <f t="array" ref="E94">Common_InputFunctions.Utility_DisplayArrayInTable(Fertiliser_SourceData.Fertiliser_Products_Data2(),FertiliserProducts[[#Headers],[Product]], 20)</f>
        <v>L</v>
      </c>
      <c r="F94" s="157" cm="1">
        <f t="array" ref="F94">Common_InputFunctions.Utility_DisplayArrayInTable(Fertiliser_SourceData.Fertiliser_Products_Data2(),FertiliserProducts[[#Headers],[Product]], 20)</f>
        <v>1.2</v>
      </c>
      <c r="G94" s="157" t="str" cm="1">
        <f t="array" ref="G94">Common_InputFunctions.Utility_DisplayArrayInTable(Fertiliser_SourceData.Fertiliser_Products_Data2(),FertiliserProducts[[#Headers],[Product]], 20)</f>
        <v>Nitrogen - Generic</v>
      </c>
      <c r="H94" s="157" cm="1">
        <f t="array" ref="H94">Common_InputFunctions.Utility_DisplayArrayInTable(Fertiliser_SourceData.Fertiliser_Products_Data2(),FertiliserProducts[[#Headers],[Product]], 20)</f>
        <v>0.1943</v>
      </c>
      <c r="I94" s="157" t="str" cm="1">
        <f t="array" ref="I94">Common_InputFunctions.Utility_DisplayArrayInTable(Fertiliser_SourceData.Fertiliser_Products_Data2(),FertiliserProducts[[#Headers],[Product]], 20)</f>
        <v>Location not specified</v>
      </c>
      <c r="J94" s="157" t="str" cm="1">
        <f t="array" ref="J94">Common_InputFunctions.Utility_DisplayArrayInTable(Fertiliser_SourceData.Fertiliser_Products_Data2(),FertiliserProducts[[#Headers],[Product]], 20)</f>
        <v>Nitrogen - Generic</v>
      </c>
      <c r="K94" s="157" cm="1">
        <f t="array" ref="K94">Common_InputFunctions.Utility_DisplayArrayInTable(Fertiliser_SourceData.Fertiliser_Products_Data2(),FertiliserProducts[[#Headers],[Product]], 20)</f>
        <v>9.5699999999999993E-2</v>
      </c>
      <c r="L94" s="157" t="str" cm="1">
        <f t="array" ref="L94">Common_InputFunctions.Utility_DisplayArrayInTable(Fertiliser_SourceData.Fertiliser_Products_Data2(),FertiliserProducts[[#Headers],[Product]], 20)</f>
        <v>Location not specified</v>
      </c>
      <c r="M94" s="157" t="str" cm="1">
        <f t="array" ref="M94">Common_InputFunctions.Utility_DisplayArrayInTable(Fertiliser_SourceData.Fertiliser_Products_Data2(),FertiliserProducts[[#Headers],[Product]], 20)</f>
        <v/>
      </c>
      <c r="N94" s="157" t="str" cm="1">
        <f t="array" ref="N94">Common_InputFunctions.Utility_DisplayArrayInTable(Fertiliser_SourceData.Fertiliser_Products_Data2(),FertiliserProducts[[#Headers],[Product]], 20)</f>
        <v/>
      </c>
      <c r="O94" s="157" t="str" cm="1">
        <f t="array" ref="O94">Common_InputFunctions.Utility_DisplayArrayInTable(Fertiliser_SourceData.Fertiliser_Products_Data2(),FertiliserProducts[[#Headers],[Product]], 20)</f>
        <v/>
      </c>
      <c r="P94" s="157" t="str" cm="1">
        <f t="array" ref="P94">Common_InputFunctions.Utility_DisplayArrayInTable(Fertiliser_SourceData.Fertiliser_Products_Data2(),FertiliserProducts[[#Headers],[Product]], 20)</f>
        <v/>
      </c>
      <c r="Q94" s="157" t="str" cm="1">
        <f t="array" ref="Q94">Common_InputFunctions.Utility_DisplayArrayInTable(Fertiliser_SourceData.Fertiliser_Products_Data2(),FertiliserProducts[[#Headers],[Product]], 20)</f>
        <v/>
      </c>
      <c r="R94" s="157" t="str" cm="1">
        <f t="array" ref="R94">Common_InputFunctions.Utility_DisplayArrayInTable(Fertiliser_SourceData.Fertiliser_Products_Data2(),FertiliserProducts[[#Headers],[Product]], 20)</f>
        <v/>
      </c>
      <c r="S94" s="157" t="str" cm="1">
        <f t="array" ref="S94">Common_InputFunctions.Utility_DisplayArrayInTable(Fertiliser_SourceData.Fertiliser_Products_Data2(),FertiliserProducts[[#Headers],[Product]], 20)</f>
        <v/>
      </c>
      <c r="T94" s="157" t="str" cm="1">
        <f t="array" ref="T94">Common_InputFunctions.Utility_DisplayArrayInTable(Fertiliser_SourceData.Fertiliser_Products_Data2(),FertiliserProducts[[#Headers],[Product]], 20)</f>
        <v/>
      </c>
      <c r="U94" s="157" t="str" cm="1">
        <f t="array" ref="U94">Common_InputFunctions.Utility_DisplayArrayInTable(Fertiliser_SourceData.Fertiliser_Products_Data2(),FertiliserProducts[[#Headers],[Product]], 20)</f>
        <v/>
      </c>
      <c r="V94" s="157" t="str" cm="1">
        <f t="array" ref="V94">Common_InputFunctions.Utility_DisplayArrayInTable(Fertiliser_SourceData.Fertiliser_Products_Data2(),FertiliserProducts[[#Headers],[Product]], 20)</f>
        <v/>
      </c>
      <c r="W94" s="157" t="str" cm="1">
        <f t="array" ref="W94">Common_InputFunctions.Utility_DisplayArrayInTable(Fertiliser_SourceData.Fertiliser_Products_Data2(),FertiliserProducts[[#Headers],[Product]], 20)</f>
        <v/>
      </c>
      <c r="X94" s="157" t="str" cm="1">
        <f t="array" ref="X94">Common_InputFunctions.Utility_DisplayArrayInTable(Fertiliser_SourceData.Fertiliser_Products_Data2(),FertiliserProducts[[#Headers],[Product]], 20)</f>
        <v/>
      </c>
      <c r="Y94" s="157" t="str" cm="1">
        <f t="array" ref="Y94">Common_InputFunctions.Utility_DisplayArrayInTable(Fertiliser_SourceData.Fertiliser_Products_Data2(),FertiliserProducts[[#Headers],[Product]], 20)</f>
        <v/>
      </c>
      <c r="Z94" s="157" t="str" cm="1">
        <f t="array" ref="Z94">Common_InputFunctions.Utility_DisplayArrayInTable(Fertiliser_SourceData.Fertiliser_Products_Data2(),FertiliserProducts[[#Headers],[Product]], 20)</f>
        <v/>
      </c>
      <c r="AA94" s="158" t="str" cm="1">
        <f t="array" ref="AA94">Common_InputFunctions.Utility_DisplayArrayInTable(Fertiliser_SourceData.Fertiliser_Products_Data2(),FertiliserProducts[[#Headers],[Product]], 20)</f>
        <v/>
      </c>
      <c r="AB94" s="158" t="str" cm="1">
        <f t="array" ref="AB94">Common_InputFunctions.Utility_DisplayArrayInTable(Fertiliser_SourceData.Fertiliser_Products_Data2(),FertiliserProducts[[#Headers],[Product]], 20)</f>
        <v/>
      </c>
      <c r="AC94" s="158" t="str" cm="1">
        <f t="array" ref="AC94">Common_InputFunctions.Utility_DisplayArrayInTable(Fertiliser_SourceData.Fertiliser_Products_Data2(),FertiliserProducts[[#Headers],[Product]], 20)</f>
        <v/>
      </c>
      <c r="AD94" s="158" t="str" cm="1">
        <f t="array" ref="AD94">Common_InputFunctions.Utility_DisplayArrayInTable(Fertiliser_SourceData.Fertiliser_Products_Data2(),FertiliserProducts[[#Headers],[Product]], 20)</f>
        <v/>
      </c>
      <c r="AE94" s="158" t="str" cm="1">
        <f t="array" ref="AE94">Common_InputFunctions.Utility_DisplayArrayInTable(Fertiliser_SourceData.Fertiliser_Products_Data2(),FertiliserProducts[[#Headers],[Product]], 20)</f>
        <v/>
      </c>
      <c r="AF94" s="158" t="str" cm="1">
        <f t="array" ref="AF94">Common_InputFunctions.Utility_DisplayArrayInTable(Fertiliser_SourceData.Fertiliser_Products_Data2(),FertiliserProducts[[#Headers],[Product]], 20)</f>
        <v/>
      </c>
      <c r="AG94" s="158" t="str" cm="1">
        <f t="array" ref="AG94">Common_InputFunctions.Utility_DisplayArrayInTable(Fertiliser_SourceData.Fertiliser_Products_Data2(),FertiliserProducts[[#Headers],[Product]], 20)</f>
        <v/>
      </c>
      <c r="AH94" s="158" t="str" cm="1">
        <f t="array" ref="AH94">Common_InputFunctions.Utility_DisplayArrayInTable(Fertiliser_SourceData.Fertiliser_Products_Data2(),FertiliserProducts[[#Headers],[Product]], 20)</f>
        <v/>
      </c>
      <c r="AI94" s="158" t="str" cm="1">
        <f t="array" ref="AI94">Common_InputFunctions.Utility_DisplayArrayInTable(Fertiliser_SourceData.Fertiliser_Products_Data2(),FertiliserProducts[[#Headers],[Product]], 20)</f>
        <v/>
      </c>
      <c r="AJ94" s="158" t="str" cm="1">
        <f t="array" ref="AJ94">Common_InputFunctions.Utility_DisplayArrayInTable(Fertiliser_SourceData.Fertiliser_Products_Data2(),FertiliserProducts[[#Headers],[Product]], 20)</f>
        <v/>
      </c>
    </row>
    <row r="95" spans="4:36" ht="20.100000000000001" customHeight="1" x14ac:dyDescent="0.25">
      <c r="D95" s="157" t="str" cm="1">
        <f t="array" ref="D95">Common_InputFunctions.Utility_DisplayArrayInTable(Fertiliser_SourceData.Fertiliser_Products_Data2(),FertiliserProducts[[#Headers],[Product]], 20)</f>
        <v>Nitro -K Prills</v>
      </c>
      <c r="E95" s="157" t="str" cm="1">
        <f t="array" ref="E95">Common_InputFunctions.Utility_DisplayArrayInTable(Fertiliser_SourceData.Fertiliser_Products_Data2(),FertiliserProducts[[#Headers],[Product]], 20)</f>
        <v>kg</v>
      </c>
      <c r="F95" s="157" cm="1">
        <f t="array" ref="F95">Common_InputFunctions.Utility_DisplayArrayInTable(Fertiliser_SourceData.Fertiliser_Products_Data2(),FertiliserProducts[[#Headers],[Product]], 20)</f>
        <v>1</v>
      </c>
      <c r="G95" s="157" t="str" cm="1">
        <f t="array" ref="G95">Common_InputFunctions.Utility_DisplayArrayInTable(Fertiliser_SourceData.Fertiliser_Products_Data2(),FertiliserProducts[[#Headers],[Product]], 20)</f>
        <v>Potassium - Generic</v>
      </c>
      <c r="H95" s="157" cm="1">
        <f t="array" ref="H95">Common_InputFunctions.Utility_DisplayArrayInTable(Fertiliser_SourceData.Fertiliser_Products_Data2(),FertiliserProducts[[#Headers],[Product]], 20)</f>
        <v>0.374</v>
      </c>
      <c r="I95" s="157" t="str" cm="1">
        <f t="array" ref="I95">Common_InputFunctions.Utility_DisplayArrayInTable(Fertiliser_SourceData.Fertiliser_Products_Data2(),FertiliserProducts[[#Headers],[Product]], 20)</f>
        <v>Location not specified</v>
      </c>
      <c r="J95" s="157" t="str" cm="1">
        <f t="array" ref="J95">Common_InputFunctions.Utility_DisplayArrayInTable(Fertiliser_SourceData.Fertiliser_Products_Data2(),FertiliserProducts[[#Headers],[Product]], 20)</f>
        <v>Nitrogen from Nitrate</v>
      </c>
      <c r="K95" s="157" cm="1">
        <f t="array" ref="K95">Common_InputFunctions.Utility_DisplayArrayInTable(Fertiliser_SourceData.Fertiliser_Products_Data2(),FertiliserProducts[[#Headers],[Product]], 20)</f>
        <v>0.13600000000000001</v>
      </c>
      <c r="L95" s="157" t="str" cm="1">
        <f t="array" ref="L95">Common_InputFunctions.Utility_DisplayArrayInTable(Fertiliser_SourceData.Fertiliser_Products_Data2(),FertiliserProducts[[#Headers],[Product]], 20)</f>
        <v>Location not specified</v>
      </c>
      <c r="M95" s="157" t="str" cm="1">
        <f t="array" ref="M95">Common_InputFunctions.Utility_DisplayArrayInTable(Fertiliser_SourceData.Fertiliser_Products_Data2(),FertiliserProducts[[#Headers],[Product]], 20)</f>
        <v/>
      </c>
      <c r="N95" s="157" t="str" cm="1">
        <f t="array" ref="N95">Common_InputFunctions.Utility_DisplayArrayInTable(Fertiliser_SourceData.Fertiliser_Products_Data2(),FertiliserProducts[[#Headers],[Product]], 20)</f>
        <v/>
      </c>
      <c r="O95" s="157" t="str" cm="1">
        <f t="array" ref="O95">Common_InputFunctions.Utility_DisplayArrayInTable(Fertiliser_SourceData.Fertiliser_Products_Data2(),FertiliserProducts[[#Headers],[Product]], 20)</f>
        <v/>
      </c>
      <c r="P95" s="157" t="str" cm="1">
        <f t="array" ref="P95">Common_InputFunctions.Utility_DisplayArrayInTable(Fertiliser_SourceData.Fertiliser_Products_Data2(),FertiliserProducts[[#Headers],[Product]], 20)</f>
        <v/>
      </c>
      <c r="Q95" s="157" t="str" cm="1">
        <f t="array" ref="Q95">Common_InputFunctions.Utility_DisplayArrayInTable(Fertiliser_SourceData.Fertiliser_Products_Data2(),FertiliserProducts[[#Headers],[Product]], 20)</f>
        <v/>
      </c>
      <c r="R95" s="157" t="str" cm="1">
        <f t="array" ref="R95">Common_InputFunctions.Utility_DisplayArrayInTable(Fertiliser_SourceData.Fertiliser_Products_Data2(),FertiliserProducts[[#Headers],[Product]], 20)</f>
        <v/>
      </c>
      <c r="S95" s="157" t="str" cm="1">
        <f t="array" ref="S95">Common_InputFunctions.Utility_DisplayArrayInTable(Fertiliser_SourceData.Fertiliser_Products_Data2(),FertiliserProducts[[#Headers],[Product]], 20)</f>
        <v/>
      </c>
      <c r="T95" s="157" t="str" cm="1">
        <f t="array" ref="T95">Common_InputFunctions.Utility_DisplayArrayInTable(Fertiliser_SourceData.Fertiliser_Products_Data2(),FertiliserProducts[[#Headers],[Product]], 20)</f>
        <v/>
      </c>
      <c r="U95" s="157" t="str" cm="1">
        <f t="array" ref="U95">Common_InputFunctions.Utility_DisplayArrayInTable(Fertiliser_SourceData.Fertiliser_Products_Data2(),FertiliserProducts[[#Headers],[Product]], 20)</f>
        <v/>
      </c>
      <c r="V95" s="157" t="str" cm="1">
        <f t="array" ref="V95">Common_InputFunctions.Utility_DisplayArrayInTable(Fertiliser_SourceData.Fertiliser_Products_Data2(),FertiliserProducts[[#Headers],[Product]], 20)</f>
        <v/>
      </c>
      <c r="W95" s="157" t="str" cm="1">
        <f t="array" ref="W95">Common_InputFunctions.Utility_DisplayArrayInTable(Fertiliser_SourceData.Fertiliser_Products_Data2(),FertiliserProducts[[#Headers],[Product]], 20)</f>
        <v/>
      </c>
      <c r="X95" s="157" t="str" cm="1">
        <f t="array" ref="X95">Common_InputFunctions.Utility_DisplayArrayInTable(Fertiliser_SourceData.Fertiliser_Products_Data2(),FertiliserProducts[[#Headers],[Product]], 20)</f>
        <v/>
      </c>
      <c r="Y95" s="157" t="str" cm="1">
        <f t="array" ref="Y95">Common_InputFunctions.Utility_DisplayArrayInTable(Fertiliser_SourceData.Fertiliser_Products_Data2(),FertiliserProducts[[#Headers],[Product]], 20)</f>
        <v/>
      </c>
      <c r="Z95" s="157" t="str" cm="1">
        <f t="array" ref="Z95">Common_InputFunctions.Utility_DisplayArrayInTable(Fertiliser_SourceData.Fertiliser_Products_Data2(),FertiliserProducts[[#Headers],[Product]], 20)</f>
        <v/>
      </c>
      <c r="AA95" s="158" t="str" cm="1">
        <f t="array" ref="AA95">Common_InputFunctions.Utility_DisplayArrayInTable(Fertiliser_SourceData.Fertiliser_Products_Data2(),FertiliserProducts[[#Headers],[Product]], 20)</f>
        <v/>
      </c>
      <c r="AB95" s="158" t="str" cm="1">
        <f t="array" ref="AB95">Common_InputFunctions.Utility_DisplayArrayInTable(Fertiliser_SourceData.Fertiliser_Products_Data2(),FertiliserProducts[[#Headers],[Product]], 20)</f>
        <v/>
      </c>
      <c r="AC95" s="158" t="str" cm="1">
        <f t="array" ref="AC95">Common_InputFunctions.Utility_DisplayArrayInTable(Fertiliser_SourceData.Fertiliser_Products_Data2(),FertiliserProducts[[#Headers],[Product]], 20)</f>
        <v/>
      </c>
      <c r="AD95" s="158" t="str" cm="1">
        <f t="array" ref="AD95">Common_InputFunctions.Utility_DisplayArrayInTable(Fertiliser_SourceData.Fertiliser_Products_Data2(),FertiliserProducts[[#Headers],[Product]], 20)</f>
        <v/>
      </c>
      <c r="AE95" s="158" t="str" cm="1">
        <f t="array" ref="AE95">Common_InputFunctions.Utility_DisplayArrayInTable(Fertiliser_SourceData.Fertiliser_Products_Data2(),FertiliserProducts[[#Headers],[Product]], 20)</f>
        <v/>
      </c>
      <c r="AF95" s="158" t="str" cm="1">
        <f t="array" ref="AF95">Common_InputFunctions.Utility_DisplayArrayInTable(Fertiliser_SourceData.Fertiliser_Products_Data2(),FertiliserProducts[[#Headers],[Product]], 20)</f>
        <v/>
      </c>
      <c r="AG95" s="158" t="str" cm="1">
        <f t="array" ref="AG95">Common_InputFunctions.Utility_DisplayArrayInTable(Fertiliser_SourceData.Fertiliser_Products_Data2(),FertiliserProducts[[#Headers],[Product]], 20)</f>
        <v/>
      </c>
      <c r="AH95" s="158" t="str" cm="1">
        <f t="array" ref="AH95">Common_InputFunctions.Utility_DisplayArrayInTable(Fertiliser_SourceData.Fertiliser_Products_Data2(),FertiliserProducts[[#Headers],[Product]], 20)</f>
        <v/>
      </c>
      <c r="AI95" s="158" t="str" cm="1">
        <f t="array" ref="AI95">Common_InputFunctions.Utility_DisplayArrayInTable(Fertiliser_SourceData.Fertiliser_Products_Data2(),FertiliserProducts[[#Headers],[Product]], 20)</f>
        <v/>
      </c>
      <c r="AJ95" s="158" t="str" cm="1">
        <f t="array" ref="AJ95">Common_InputFunctions.Utility_DisplayArrayInTable(Fertiliser_SourceData.Fertiliser_Products_Data2(),FertiliserProducts[[#Headers],[Product]], 20)</f>
        <v/>
      </c>
    </row>
    <row r="96" spans="4:36" ht="20.100000000000001" customHeight="1" x14ac:dyDescent="0.25">
      <c r="D96" s="157" t="str" cm="1">
        <f t="array" ref="D96">Common_InputFunctions.Utility_DisplayArrayInTable(Fertiliser_SourceData.Fertiliser_Products_Data2(),FertiliserProducts[[#Headers],[Product]], 20)</f>
        <v>Nitro-P</v>
      </c>
      <c r="E96" s="157" t="str" cm="1">
        <f t="array" ref="E96">Common_InputFunctions.Utility_DisplayArrayInTable(Fertiliser_SourceData.Fertiliser_Products_Data2(),FertiliserProducts[[#Headers],[Product]], 20)</f>
        <v>L</v>
      </c>
      <c r="F96" s="157" cm="1">
        <f t="array" ref="F96">Common_InputFunctions.Utility_DisplayArrayInTable(Fertiliser_SourceData.Fertiliser_Products_Data2(),FertiliserProducts[[#Headers],[Product]], 20)</f>
        <v>1.44</v>
      </c>
      <c r="G96" s="157" t="str" cm="1">
        <f t="array" ref="G96">Common_InputFunctions.Utility_DisplayArrayInTable(Fertiliser_SourceData.Fertiliser_Products_Data2(),FertiliserProducts[[#Headers],[Product]], 20)</f>
        <v>Phosphorus - Generic</v>
      </c>
      <c r="H96" s="157" cm="1">
        <f t="array" ref="H96">Common_InputFunctions.Utility_DisplayArrayInTable(Fertiliser_SourceData.Fertiliser_Products_Data2(),FertiliserProducts[[#Headers],[Product]], 20)</f>
        <v>0.23300000000000001</v>
      </c>
      <c r="I96" s="157" t="str" cm="1">
        <f t="array" ref="I96">Common_InputFunctions.Utility_DisplayArrayInTable(Fertiliser_SourceData.Fertiliser_Products_Data2(),FertiliserProducts[[#Headers],[Product]], 20)</f>
        <v>Location not specified</v>
      </c>
      <c r="J96" s="157" t="str" cm="1">
        <f t="array" ref="J96">Common_InputFunctions.Utility_DisplayArrayInTable(Fertiliser_SourceData.Fertiliser_Products_Data2(),FertiliserProducts[[#Headers],[Product]], 20)</f>
        <v>Nitrogen - Generic</v>
      </c>
      <c r="K96" s="157" cm="1">
        <f t="array" ref="K96">Common_InputFunctions.Utility_DisplayArrayInTable(Fertiliser_SourceData.Fertiliser_Products_Data2(),FertiliserProducts[[#Headers],[Product]], 20)</f>
        <v>0.158</v>
      </c>
      <c r="L96" s="157" t="str" cm="1">
        <f t="array" ref="L96">Common_InputFunctions.Utility_DisplayArrayInTable(Fertiliser_SourceData.Fertiliser_Products_Data2(),FertiliserProducts[[#Headers],[Product]], 20)</f>
        <v>Location not specified</v>
      </c>
      <c r="M96" s="157" t="str" cm="1">
        <f t="array" ref="M96">Common_InputFunctions.Utility_DisplayArrayInTable(Fertiliser_SourceData.Fertiliser_Products_Data2(),FertiliserProducts[[#Headers],[Product]], 20)</f>
        <v/>
      </c>
      <c r="N96" s="157" t="str" cm="1">
        <f t="array" ref="N96">Common_InputFunctions.Utility_DisplayArrayInTable(Fertiliser_SourceData.Fertiliser_Products_Data2(),FertiliserProducts[[#Headers],[Product]], 20)</f>
        <v/>
      </c>
      <c r="O96" s="157" t="str" cm="1">
        <f t="array" ref="O96">Common_InputFunctions.Utility_DisplayArrayInTable(Fertiliser_SourceData.Fertiliser_Products_Data2(),FertiliserProducts[[#Headers],[Product]], 20)</f>
        <v/>
      </c>
      <c r="P96" s="157" t="str" cm="1">
        <f t="array" ref="P96">Common_InputFunctions.Utility_DisplayArrayInTable(Fertiliser_SourceData.Fertiliser_Products_Data2(),FertiliserProducts[[#Headers],[Product]], 20)</f>
        <v/>
      </c>
      <c r="Q96" s="157" t="str" cm="1">
        <f t="array" ref="Q96">Common_InputFunctions.Utility_DisplayArrayInTable(Fertiliser_SourceData.Fertiliser_Products_Data2(),FertiliserProducts[[#Headers],[Product]], 20)</f>
        <v/>
      </c>
      <c r="R96" s="157" t="str" cm="1">
        <f t="array" ref="R96">Common_InputFunctions.Utility_DisplayArrayInTable(Fertiliser_SourceData.Fertiliser_Products_Data2(),FertiliserProducts[[#Headers],[Product]], 20)</f>
        <v/>
      </c>
      <c r="S96" s="157" t="str" cm="1">
        <f t="array" ref="S96">Common_InputFunctions.Utility_DisplayArrayInTable(Fertiliser_SourceData.Fertiliser_Products_Data2(),FertiliserProducts[[#Headers],[Product]], 20)</f>
        <v/>
      </c>
      <c r="T96" s="157" t="str" cm="1">
        <f t="array" ref="T96">Common_InputFunctions.Utility_DisplayArrayInTable(Fertiliser_SourceData.Fertiliser_Products_Data2(),FertiliserProducts[[#Headers],[Product]], 20)</f>
        <v/>
      </c>
      <c r="U96" s="157" t="str" cm="1">
        <f t="array" ref="U96">Common_InputFunctions.Utility_DisplayArrayInTable(Fertiliser_SourceData.Fertiliser_Products_Data2(),FertiliserProducts[[#Headers],[Product]], 20)</f>
        <v/>
      </c>
      <c r="V96" s="157" t="str" cm="1">
        <f t="array" ref="V96">Common_InputFunctions.Utility_DisplayArrayInTable(Fertiliser_SourceData.Fertiliser_Products_Data2(),FertiliserProducts[[#Headers],[Product]], 20)</f>
        <v/>
      </c>
      <c r="W96" s="157" t="str" cm="1">
        <f t="array" ref="W96">Common_InputFunctions.Utility_DisplayArrayInTable(Fertiliser_SourceData.Fertiliser_Products_Data2(),FertiliserProducts[[#Headers],[Product]], 20)</f>
        <v/>
      </c>
      <c r="X96" s="157" t="str" cm="1">
        <f t="array" ref="X96">Common_InputFunctions.Utility_DisplayArrayInTable(Fertiliser_SourceData.Fertiliser_Products_Data2(),FertiliserProducts[[#Headers],[Product]], 20)</f>
        <v/>
      </c>
      <c r="Y96" s="157" t="str" cm="1">
        <f t="array" ref="Y96">Common_InputFunctions.Utility_DisplayArrayInTable(Fertiliser_SourceData.Fertiliser_Products_Data2(),FertiliserProducts[[#Headers],[Product]], 20)</f>
        <v/>
      </c>
      <c r="Z96" s="157" t="str" cm="1">
        <f t="array" ref="Z96">Common_InputFunctions.Utility_DisplayArrayInTable(Fertiliser_SourceData.Fertiliser_Products_Data2(),FertiliserProducts[[#Headers],[Product]], 20)</f>
        <v/>
      </c>
      <c r="AA96" s="158" t="str" cm="1">
        <f t="array" ref="AA96">Common_InputFunctions.Utility_DisplayArrayInTable(Fertiliser_SourceData.Fertiliser_Products_Data2(),FertiliserProducts[[#Headers],[Product]], 20)</f>
        <v/>
      </c>
      <c r="AB96" s="158" t="str" cm="1">
        <f t="array" ref="AB96">Common_InputFunctions.Utility_DisplayArrayInTable(Fertiliser_SourceData.Fertiliser_Products_Data2(),FertiliserProducts[[#Headers],[Product]], 20)</f>
        <v/>
      </c>
      <c r="AC96" s="158" t="str" cm="1">
        <f t="array" ref="AC96">Common_InputFunctions.Utility_DisplayArrayInTable(Fertiliser_SourceData.Fertiliser_Products_Data2(),FertiliserProducts[[#Headers],[Product]], 20)</f>
        <v/>
      </c>
      <c r="AD96" s="158" t="str" cm="1">
        <f t="array" ref="AD96">Common_InputFunctions.Utility_DisplayArrayInTable(Fertiliser_SourceData.Fertiliser_Products_Data2(),FertiliserProducts[[#Headers],[Product]], 20)</f>
        <v/>
      </c>
      <c r="AE96" s="158" t="str" cm="1">
        <f t="array" ref="AE96">Common_InputFunctions.Utility_DisplayArrayInTable(Fertiliser_SourceData.Fertiliser_Products_Data2(),FertiliserProducts[[#Headers],[Product]], 20)</f>
        <v/>
      </c>
      <c r="AF96" s="158" t="str" cm="1">
        <f t="array" ref="AF96">Common_InputFunctions.Utility_DisplayArrayInTable(Fertiliser_SourceData.Fertiliser_Products_Data2(),FertiliserProducts[[#Headers],[Product]], 20)</f>
        <v/>
      </c>
      <c r="AG96" s="158" t="str" cm="1">
        <f t="array" ref="AG96">Common_InputFunctions.Utility_DisplayArrayInTable(Fertiliser_SourceData.Fertiliser_Products_Data2(),FertiliserProducts[[#Headers],[Product]], 20)</f>
        <v/>
      </c>
      <c r="AH96" s="158" t="str" cm="1">
        <f t="array" ref="AH96">Common_InputFunctions.Utility_DisplayArrayInTable(Fertiliser_SourceData.Fertiliser_Products_Data2(),FertiliserProducts[[#Headers],[Product]], 20)</f>
        <v/>
      </c>
      <c r="AI96" s="158" t="str" cm="1">
        <f t="array" ref="AI96">Common_InputFunctions.Utility_DisplayArrayInTable(Fertiliser_SourceData.Fertiliser_Products_Data2(),FertiliserProducts[[#Headers],[Product]], 20)</f>
        <v/>
      </c>
      <c r="AJ96" s="158" t="str" cm="1">
        <f t="array" ref="AJ96">Common_InputFunctions.Utility_DisplayArrayInTable(Fertiliser_SourceData.Fertiliser_Products_Data2(),FertiliserProducts[[#Headers],[Product]], 20)</f>
        <v/>
      </c>
    </row>
    <row r="97" spans="4:36" ht="20.100000000000001" customHeight="1" x14ac:dyDescent="0.25">
      <c r="D97" s="157" t="str" cm="1">
        <f t="array" ref="D97">Common_InputFunctions.Utility_DisplayArrayInTable(Fertiliser_SourceData.Fertiliser_Products_Data2(),FertiliserProducts[[#Headers],[Product]], 20)</f>
        <v>Pasture MAXX</v>
      </c>
      <c r="E97" s="157" t="str" cm="1">
        <f t="array" ref="E97">Common_InputFunctions.Utility_DisplayArrayInTable(Fertiliser_SourceData.Fertiliser_Products_Data2(),FertiliserProducts[[#Headers],[Product]], 20)</f>
        <v>L</v>
      </c>
      <c r="F97" s="157" cm="1">
        <f t="array" ref="F97">Common_InputFunctions.Utility_DisplayArrayInTable(Fertiliser_SourceData.Fertiliser_Products_Data2(),FertiliserProducts[[#Headers],[Product]], 20)</f>
        <v>1.23</v>
      </c>
      <c r="G97" s="157" t="str" cm="1">
        <f t="array" ref="G97">Common_InputFunctions.Utility_DisplayArrayInTable(Fertiliser_SourceData.Fertiliser_Products_Data2(),FertiliserProducts[[#Headers],[Product]], 20)</f>
        <v>Nitrogen - Generic</v>
      </c>
      <c r="H97" s="157" cm="1">
        <f t="array" ref="H97">Common_InputFunctions.Utility_DisplayArrayInTable(Fertiliser_SourceData.Fertiliser_Products_Data2(),FertiliserProducts[[#Headers],[Product]], 20)</f>
        <v>9.7100000000000006E-2</v>
      </c>
      <c r="I97" s="157" t="str" cm="1">
        <f t="array" ref="I97">Common_InputFunctions.Utility_DisplayArrayInTable(Fertiliser_SourceData.Fertiliser_Products_Data2(),FertiliserProducts[[#Headers],[Product]], 20)</f>
        <v>Location not specified</v>
      </c>
      <c r="J97" s="157" t="str" cm="1">
        <f t="array" ref="J97">Common_InputFunctions.Utility_DisplayArrayInTable(Fertiliser_SourceData.Fertiliser_Products_Data2(),FertiliserProducts[[#Headers],[Product]], 20)</f>
        <v>Potassium - Generic</v>
      </c>
      <c r="K97" s="157" cm="1">
        <f t="array" ref="K97">Common_InputFunctions.Utility_DisplayArrayInTable(Fertiliser_SourceData.Fertiliser_Products_Data2(),FertiliserProducts[[#Headers],[Product]], 20)</f>
        <v>3.2500000000000001E-2</v>
      </c>
      <c r="L97" s="157" t="str" cm="1">
        <f t="array" ref="L97">Common_InputFunctions.Utility_DisplayArrayInTable(Fertiliser_SourceData.Fertiliser_Products_Data2(),FertiliserProducts[[#Headers],[Product]], 20)</f>
        <v>Location not specified</v>
      </c>
      <c r="M97" s="157" t="str" cm="1">
        <f t="array" ref="M97">Common_InputFunctions.Utility_DisplayArrayInTable(Fertiliser_SourceData.Fertiliser_Products_Data2(),FertiliserProducts[[#Headers],[Product]], 20)</f>
        <v>Sulfur - Generic</v>
      </c>
      <c r="N97" s="157" cm="1">
        <f t="array" ref="N97">Common_InputFunctions.Utility_DisplayArrayInTable(Fertiliser_SourceData.Fertiliser_Products_Data2(),FertiliserProducts[[#Headers],[Product]], 20)</f>
        <v>2.1100000000000001E-2</v>
      </c>
      <c r="O97" s="157" t="str" cm="1">
        <f t="array" ref="O97">Common_InputFunctions.Utility_DisplayArrayInTable(Fertiliser_SourceData.Fertiliser_Products_Data2(),FertiliserProducts[[#Headers],[Product]], 20)</f>
        <v>Location not specified</v>
      </c>
      <c r="P97" s="157" t="str" cm="1">
        <f t="array" ref="P97">Common_InputFunctions.Utility_DisplayArrayInTable(Fertiliser_SourceData.Fertiliser_Products_Data2(),FertiliserProducts[[#Headers],[Product]], 20)</f>
        <v>Zinc - Generic</v>
      </c>
      <c r="Q97" s="157" cm="1">
        <f t="array" ref="Q97">Common_InputFunctions.Utility_DisplayArrayInTable(Fertiliser_SourceData.Fertiliser_Products_Data2(),FertiliserProducts[[#Headers],[Product]], 20)</f>
        <v>1.4999999999999999E-2</v>
      </c>
      <c r="R97" s="157" t="str" cm="1">
        <f t="array" ref="R97">Common_InputFunctions.Utility_DisplayArrayInTable(Fertiliser_SourceData.Fertiliser_Products_Data2(),FertiliserProducts[[#Headers],[Product]], 20)</f>
        <v>Location not specified</v>
      </c>
      <c r="S97" s="157" t="str" cm="1">
        <f t="array" ref="S97">Common_InputFunctions.Utility_DisplayArrayInTable(Fertiliser_SourceData.Fertiliser_Products_Data2(),FertiliserProducts[[#Headers],[Product]], 20)</f>
        <v>Magnesium - generic</v>
      </c>
      <c r="T97" s="157" cm="1">
        <f t="array" ref="T97">Common_InputFunctions.Utility_DisplayArrayInTable(Fertiliser_SourceData.Fertiliser_Products_Data2(),FertiliserProducts[[#Headers],[Product]], 20)</f>
        <v>1.15E-2</v>
      </c>
      <c r="U97" s="157" t="str" cm="1">
        <f t="array" ref="U97">Common_InputFunctions.Utility_DisplayArrayInTable(Fertiliser_SourceData.Fertiliser_Products_Data2(),FertiliserProducts[[#Headers],[Product]], 20)</f>
        <v>Location not specified</v>
      </c>
      <c r="V97" s="157" t="str" cm="1">
        <f t="array" ref="V97">Common_InputFunctions.Utility_DisplayArrayInTable(Fertiliser_SourceData.Fertiliser_Products_Data2(),FertiliserProducts[[#Headers],[Product]], 20)</f>
        <v>Iron - generic</v>
      </c>
      <c r="W97" s="157" cm="1">
        <f t="array" ref="W97">Common_InputFunctions.Utility_DisplayArrayInTable(Fertiliser_SourceData.Fertiliser_Products_Data2(),FertiliserProducts[[#Headers],[Product]], 20)</f>
        <v>1.11E-2</v>
      </c>
      <c r="X97" s="157" t="str" cm="1">
        <f t="array" ref="X97">Common_InputFunctions.Utility_DisplayArrayInTable(Fertiliser_SourceData.Fertiliser_Products_Data2(),FertiliserProducts[[#Headers],[Product]], 20)</f>
        <v>Location not specified</v>
      </c>
      <c r="Y97" s="157" t="str" cm="1">
        <f t="array" ref="Y97">Common_InputFunctions.Utility_DisplayArrayInTable(Fertiliser_SourceData.Fertiliser_Products_Data2(),FertiliserProducts[[#Headers],[Product]], 20)</f>
        <v>Magnesium - generic</v>
      </c>
      <c r="Z97" s="157" cm="1">
        <f t="array" ref="Z97">Common_InputFunctions.Utility_DisplayArrayInTable(Fertiliser_SourceData.Fertiliser_Products_Data2(),FertiliserProducts[[#Headers],[Product]], 20)</f>
        <v>4.4999999999999997E-3</v>
      </c>
      <c r="AA97" s="158" t="str" cm="1">
        <f t="array" ref="AA97">Common_InputFunctions.Utility_DisplayArrayInTable(Fertiliser_SourceData.Fertiliser_Products_Data2(),FertiliserProducts[[#Headers],[Product]], 20)</f>
        <v>Location not specified</v>
      </c>
      <c r="AB97" s="158" t="str" cm="1">
        <f t="array" ref="AB97">Common_InputFunctions.Utility_DisplayArrayInTable(Fertiliser_SourceData.Fertiliser_Products_Data2(),FertiliserProducts[[#Headers],[Product]], 20)</f>
        <v>Boron - generic</v>
      </c>
      <c r="AC97" s="158" cm="1">
        <f t="array" ref="AC97">Common_InputFunctions.Utility_DisplayArrayInTable(Fertiliser_SourceData.Fertiliser_Products_Data2(),FertiliserProducts[[#Headers],[Product]], 20)</f>
        <v>2E-3</v>
      </c>
      <c r="AD97" s="158" t="str" cm="1">
        <f t="array" ref="AD97">Common_InputFunctions.Utility_DisplayArrayInTable(Fertiliser_SourceData.Fertiliser_Products_Data2(),FertiliserProducts[[#Headers],[Product]], 20)</f>
        <v>Location not specified</v>
      </c>
      <c r="AE97" s="158" t="str" cm="1">
        <f t="array" ref="AE97">Common_InputFunctions.Utility_DisplayArrayInTable(Fertiliser_SourceData.Fertiliser_Products_Data2(),FertiliserProducts[[#Headers],[Product]], 20)</f>
        <v/>
      </c>
      <c r="AF97" s="158" t="str" cm="1">
        <f t="array" ref="AF97">Common_InputFunctions.Utility_DisplayArrayInTable(Fertiliser_SourceData.Fertiliser_Products_Data2(),FertiliserProducts[[#Headers],[Product]], 20)</f>
        <v/>
      </c>
      <c r="AG97" s="158" t="str" cm="1">
        <f t="array" ref="AG97">Common_InputFunctions.Utility_DisplayArrayInTable(Fertiliser_SourceData.Fertiliser_Products_Data2(),FertiliserProducts[[#Headers],[Product]], 20)</f>
        <v/>
      </c>
      <c r="AH97" s="158" t="str" cm="1">
        <f t="array" ref="AH97">Common_InputFunctions.Utility_DisplayArrayInTable(Fertiliser_SourceData.Fertiliser_Products_Data2(),FertiliserProducts[[#Headers],[Product]], 20)</f>
        <v/>
      </c>
      <c r="AI97" s="158" t="str" cm="1">
        <f t="array" ref="AI97">Common_InputFunctions.Utility_DisplayArrayInTable(Fertiliser_SourceData.Fertiliser_Products_Data2(),FertiliserProducts[[#Headers],[Product]], 20)</f>
        <v/>
      </c>
      <c r="AJ97" s="158" t="str" cm="1">
        <f t="array" ref="AJ97">Common_InputFunctions.Utility_DisplayArrayInTable(Fertiliser_SourceData.Fertiliser_Products_Data2(),FertiliserProducts[[#Headers],[Product]], 20)</f>
        <v/>
      </c>
    </row>
    <row r="98" spans="4:36" ht="20.100000000000001" customHeight="1" x14ac:dyDescent="0.25">
      <c r="D98" s="157" t="str" cm="1">
        <f t="array" ref="D98">Common_InputFunctions.Utility_DisplayArrayInTable(Fertiliser_SourceData.Fertiliser_Products_Data2(),FertiliserProducts[[#Headers],[Product]], 20)</f>
        <v>Platinum nergetic</v>
      </c>
      <c r="E98" s="157" t="str" cm="1">
        <f t="array" ref="E98">Common_InputFunctions.Utility_DisplayArrayInTable(Fertiliser_SourceData.Fertiliser_Products_Data2(),FertiliserProducts[[#Headers],[Product]], 20)</f>
        <v>kg</v>
      </c>
      <c r="F98" s="157" cm="1">
        <f t="array" ref="F98">Common_InputFunctions.Utility_DisplayArrayInTable(Fertiliser_SourceData.Fertiliser_Products_Data2(),FertiliserProducts[[#Headers],[Product]], 20)</f>
        <v>1</v>
      </c>
      <c r="G98" s="157" t="str" cm="1">
        <f t="array" ref="G98">Common_InputFunctions.Utility_DisplayArrayInTable(Fertiliser_SourceData.Fertiliser_Products_Data2(),FertiliserProducts[[#Headers],[Product]], 20)</f>
        <v>Phosphorus - Generic</v>
      </c>
      <c r="H98" s="157" cm="1">
        <f t="array" ref="H98">Common_InputFunctions.Utility_DisplayArrayInTable(Fertiliser_SourceData.Fertiliser_Products_Data2(),FertiliserProducts[[#Headers],[Product]], 20)</f>
        <v>0.109</v>
      </c>
      <c r="I98" s="157" t="str" cm="1">
        <f t="array" ref="I98">Common_InputFunctions.Utility_DisplayArrayInTable(Fertiliser_SourceData.Fertiliser_Products_Data2(),FertiliserProducts[[#Headers],[Product]], 20)</f>
        <v>Location not specified</v>
      </c>
      <c r="J98" s="157" t="str" cm="1">
        <f t="array" ref="J98">Common_InputFunctions.Utility_DisplayArrayInTable(Fertiliser_SourceData.Fertiliser_Products_Data2(),FertiliserProducts[[#Headers],[Product]], 20)</f>
        <v>Nitrogen - Generic</v>
      </c>
      <c r="K98" s="157" cm="1">
        <f t="array" ref="K98">Common_InputFunctions.Utility_DisplayArrayInTable(Fertiliser_SourceData.Fertiliser_Products_Data2(),FertiliserProducts[[#Headers],[Product]], 20)</f>
        <v>0.1</v>
      </c>
      <c r="L98" s="157" t="str" cm="1">
        <f t="array" ref="L98">Common_InputFunctions.Utility_DisplayArrayInTable(Fertiliser_SourceData.Fertiliser_Products_Data2(),FertiliserProducts[[#Headers],[Product]], 20)</f>
        <v>Location not specified</v>
      </c>
      <c r="M98" s="157" t="str" cm="1">
        <f t="array" ref="M98">Common_InputFunctions.Utility_DisplayArrayInTable(Fertiliser_SourceData.Fertiliser_Products_Data2(),FertiliserProducts[[#Headers],[Product]], 20)</f>
        <v>Potassium - Generic</v>
      </c>
      <c r="N98" s="157" cm="1">
        <f t="array" ref="N98">Common_InputFunctions.Utility_DisplayArrayInTable(Fertiliser_SourceData.Fertiliser_Products_Data2(),FertiliserProducts[[#Headers],[Product]], 20)</f>
        <v>0.1</v>
      </c>
      <c r="O98" s="157" t="str" cm="1">
        <f t="array" ref="O98">Common_InputFunctions.Utility_DisplayArrayInTable(Fertiliser_SourceData.Fertiliser_Products_Data2(),FertiliserProducts[[#Headers],[Product]], 20)</f>
        <v>Location not specified</v>
      </c>
      <c r="P98" s="157" t="str" cm="1">
        <f t="array" ref="P98">Common_InputFunctions.Utility_DisplayArrayInTable(Fertiliser_SourceData.Fertiliser_Products_Data2(),FertiliserProducts[[#Headers],[Product]], 20)</f>
        <v>Sulfur - Generic</v>
      </c>
      <c r="Q98" s="157" cm="1">
        <f t="array" ref="Q98">Common_InputFunctions.Utility_DisplayArrayInTable(Fertiliser_SourceData.Fertiliser_Products_Data2(),FertiliserProducts[[#Headers],[Product]], 20)</f>
        <v>0.04</v>
      </c>
      <c r="R98" s="157" t="str" cm="1">
        <f t="array" ref="R98">Common_InputFunctions.Utility_DisplayArrayInTable(Fertiliser_SourceData.Fertiliser_Products_Data2(),FertiliserProducts[[#Headers],[Product]], 20)</f>
        <v>Location not specified</v>
      </c>
      <c r="S98" s="157" t="str" cm="1">
        <f t="array" ref="S98">Common_InputFunctions.Utility_DisplayArrayInTable(Fertiliser_SourceData.Fertiliser_Products_Data2(),FertiliserProducts[[#Headers],[Product]], 20)</f>
        <v>Calcium - generic</v>
      </c>
      <c r="T98" s="157" cm="1">
        <f t="array" ref="T98">Common_InputFunctions.Utility_DisplayArrayInTable(Fertiliser_SourceData.Fertiliser_Products_Data2(),FertiliserProducts[[#Headers],[Product]], 20)</f>
        <v>1.4E-2</v>
      </c>
      <c r="U98" s="157" t="str" cm="1">
        <f t="array" ref="U98">Common_InputFunctions.Utility_DisplayArrayInTable(Fertiliser_SourceData.Fertiliser_Products_Data2(),FertiliserProducts[[#Headers],[Product]], 20)</f>
        <v>Location not specified</v>
      </c>
      <c r="V98" s="157" t="str" cm="1">
        <f t="array" ref="V98">Common_InputFunctions.Utility_DisplayArrayInTable(Fertiliser_SourceData.Fertiliser_Products_Data2(),FertiliserProducts[[#Headers],[Product]], 20)</f>
        <v>Magnesium - generic</v>
      </c>
      <c r="W98" s="157" cm="1">
        <f t="array" ref="W98">Common_InputFunctions.Utility_DisplayArrayInTable(Fertiliser_SourceData.Fertiliser_Products_Data2(),FertiliserProducts[[#Headers],[Product]], 20)</f>
        <v>1.2E-2</v>
      </c>
      <c r="X98" s="157" t="str" cm="1">
        <f t="array" ref="X98">Common_InputFunctions.Utility_DisplayArrayInTable(Fertiliser_SourceData.Fertiliser_Products_Data2(),FertiliserProducts[[#Headers],[Product]], 20)</f>
        <v>Location not specified</v>
      </c>
      <c r="Y98" s="157" t="str" cm="1">
        <f t="array" ref="Y98">Common_InputFunctions.Utility_DisplayArrayInTable(Fertiliser_SourceData.Fertiliser_Products_Data2(),FertiliserProducts[[#Headers],[Product]], 20)</f>
        <v>Zinc - Generic</v>
      </c>
      <c r="Z98" s="157" cm="1">
        <f t="array" ref="Z98">Common_InputFunctions.Utility_DisplayArrayInTable(Fertiliser_SourceData.Fertiliser_Products_Data2(),FertiliserProducts[[#Headers],[Product]], 20)</f>
        <v>3.5999999999999999E-3</v>
      </c>
      <c r="AA98" s="158" t="str" cm="1">
        <f t="array" ref="AA98">Common_InputFunctions.Utility_DisplayArrayInTable(Fertiliser_SourceData.Fertiliser_Products_Data2(),FertiliserProducts[[#Headers],[Product]], 20)</f>
        <v>Location not specified</v>
      </c>
      <c r="AB98" s="158" t="str" cm="1">
        <f t="array" ref="AB98">Common_InputFunctions.Utility_DisplayArrayInTable(Fertiliser_SourceData.Fertiliser_Products_Data2(),FertiliserProducts[[#Headers],[Product]], 20)</f>
        <v>Boron - generic</v>
      </c>
      <c r="AC98" s="158" cm="1">
        <f t="array" ref="AC98">Common_InputFunctions.Utility_DisplayArrayInTable(Fertiliser_SourceData.Fertiliser_Products_Data2(),FertiliserProducts[[#Headers],[Product]], 20)</f>
        <v>1E-3</v>
      </c>
      <c r="AD98" s="158" t="str" cm="1">
        <f t="array" ref="AD98">Common_InputFunctions.Utility_DisplayArrayInTable(Fertiliser_SourceData.Fertiliser_Products_Data2(),FertiliserProducts[[#Headers],[Product]], 20)</f>
        <v/>
      </c>
      <c r="AE98" s="158" t="str" cm="1">
        <f t="array" ref="AE98">Common_InputFunctions.Utility_DisplayArrayInTable(Fertiliser_SourceData.Fertiliser_Products_Data2(),FertiliserProducts[[#Headers],[Product]], 20)</f>
        <v/>
      </c>
      <c r="AF98" s="158" t="str" cm="1">
        <f t="array" ref="AF98">Common_InputFunctions.Utility_DisplayArrayInTable(Fertiliser_SourceData.Fertiliser_Products_Data2(),FertiliserProducts[[#Headers],[Product]], 20)</f>
        <v/>
      </c>
      <c r="AG98" s="158" t="str" cm="1">
        <f t="array" ref="AG98">Common_InputFunctions.Utility_DisplayArrayInTable(Fertiliser_SourceData.Fertiliser_Products_Data2(),FertiliserProducts[[#Headers],[Product]], 20)</f>
        <v/>
      </c>
      <c r="AH98" s="158" t="str" cm="1">
        <f t="array" ref="AH98">Common_InputFunctions.Utility_DisplayArrayInTable(Fertiliser_SourceData.Fertiliser_Products_Data2(),FertiliserProducts[[#Headers],[Product]], 20)</f>
        <v/>
      </c>
      <c r="AI98" s="158" t="str" cm="1">
        <f t="array" ref="AI98">Common_InputFunctions.Utility_DisplayArrayInTable(Fertiliser_SourceData.Fertiliser_Products_Data2(),FertiliserProducts[[#Headers],[Product]], 20)</f>
        <v/>
      </c>
      <c r="AJ98" s="158" t="str" cm="1">
        <f t="array" ref="AJ98">Common_InputFunctions.Utility_DisplayArrayInTable(Fertiliser_SourceData.Fertiliser_Products_Data2(),FertiliserProducts[[#Headers],[Product]], 20)</f>
        <v/>
      </c>
    </row>
    <row r="99" spans="4:36" ht="20.100000000000001" customHeight="1" x14ac:dyDescent="0.25">
      <c r="D99" s="157" t="str" cm="1">
        <f t="array" ref="D99">Common_InputFunctions.Utility_DisplayArrayInTable(Fertiliser_SourceData.Fertiliser_Products_Data2(),FertiliserProducts[[#Headers],[Product]], 20)</f>
        <v>Polypeptide Urea</v>
      </c>
      <c r="E99" s="157" t="str" cm="1">
        <f t="array" ref="E99">Common_InputFunctions.Utility_DisplayArrayInTable(Fertiliser_SourceData.Fertiliser_Products_Data2(),FertiliserProducts[[#Headers],[Product]], 20)</f>
        <v>kg</v>
      </c>
      <c r="F99" s="157" cm="1">
        <f t="array" ref="F99">Common_InputFunctions.Utility_DisplayArrayInTable(Fertiliser_SourceData.Fertiliser_Products_Data2(),FertiliserProducts[[#Headers],[Product]], 20)</f>
        <v>1</v>
      </c>
      <c r="G99" s="157" t="str" cm="1">
        <f t="array" ref="G99">Common_InputFunctions.Utility_DisplayArrayInTable(Fertiliser_SourceData.Fertiliser_Products_Data2(),FertiliserProducts[[#Headers],[Product]], 20)</f>
        <v>Nitrogen - Generic</v>
      </c>
      <c r="H99" s="157" cm="1">
        <f t="array" ref="H99">Common_InputFunctions.Utility_DisplayArrayInTable(Fertiliser_SourceData.Fertiliser_Products_Data2(),FertiliserProducts[[#Headers],[Product]], 20)</f>
        <v>0.46</v>
      </c>
      <c r="I99" s="157" t="str" cm="1">
        <f t="array" ref="I99">Common_InputFunctions.Utility_DisplayArrayInTable(Fertiliser_SourceData.Fertiliser_Products_Data2(),FertiliserProducts[[#Headers],[Product]], 20)</f>
        <v>China</v>
      </c>
      <c r="J99" s="157" t="str" cm="1">
        <f t="array" ref="J99">Common_InputFunctions.Utility_DisplayArrayInTable(Fertiliser_SourceData.Fertiliser_Products_Data2(),FertiliserProducts[[#Headers],[Product]], 20)</f>
        <v/>
      </c>
      <c r="K99" s="157" t="str" cm="1">
        <f t="array" ref="K99">Common_InputFunctions.Utility_DisplayArrayInTable(Fertiliser_SourceData.Fertiliser_Products_Data2(),FertiliserProducts[[#Headers],[Product]], 20)</f>
        <v/>
      </c>
      <c r="L99" s="157" t="str" cm="1">
        <f t="array" ref="L99">Common_InputFunctions.Utility_DisplayArrayInTable(Fertiliser_SourceData.Fertiliser_Products_Data2(),FertiliserProducts[[#Headers],[Product]], 20)</f>
        <v/>
      </c>
      <c r="M99" s="157" t="str" cm="1">
        <f t="array" ref="M99">Common_InputFunctions.Utility_DisplayArrayInTable(Fertiliser_SourceData.Fertiliser_Products_Data2(),FertiliserProducts[[#Headers],[Product]], 20)</f>
        <v/>
      </c>
      <c r="N99" s="157" t="str" cm="1">
        <f t="array" ref="N99">Common_InputFunctions.Utility_DisplayArrayInTable(Fertiliser_SourceData.Fertiliser_Products_Data2(),FertiliserProducts[[#Headers],[Product]], 20)</f>
        <v/>
      </c>
      <c r="O99" s="157" t="str" cm="1">
        <f t="array" ref="O99">Common_InputFunctions.Utility_DisplayArrayInTable(Fertiliser_SourceData.Fertiliser_Products_Data2(),FertiliserProducts[[#Headers],[Product]], 20)</f>
        <v/>
      </c>
      <c r="P99" s="157" t="str" cm="1">
        <f t="array" ref="P99">Common_InputFunctions.Utility_DisplayArrayInTable(Fertiliser_SourceData.Fertiliser_Products_Data2(),FertiliserProducts[[#Headers],[Product]], 20)</f>
        <v/>
      </c>
      <c r="Q99" s="157" t="str" cm="1">
        <f t="array" ref="Q99">Common_InputFunctions.Utility_DisplayArrayInTable(Fertiliser_SourceData.Fertiliser_Products_Data2(),FertiliserProducts[[#Headers],[Product]], 20)</f>
        <v/>
      </c>
      <c r="R99" s="157" t="str" cm="1">
        <f t="array" ref="R99">Common_InputFunctions.Utility_DisplayArrayInTable(Fertiliser_SourceData.Fertiliser_Products_Data2(),FertiliserProducts[[#Headers],[Product]], 20)</f>
        <v/>
      </c>
      <c r="S99" s="157" t="str" cm="1">
        <f t="array" ref="S99">Common_InputFunctions.Utility_DisplayArrayInTable(Fertiliser_SourceData.Fertiliser_Products_Data2(),FertiliserProducts[[#Headers],[Product]], 20)</f>
        <v/>
      </c>
      <c r="T99" s="157" t="str" cm="1">
        <f t="array" ref="T99">Common_InputFunctions.Utility_DisplayArrayInTable(Fertiliser_SourceData.Fertiliser_Products_Data2(),FertiliserProducts[[#Headers],[Product]], 20)</f>
        <v/>
      </c>
      <c r="U99" s="157" t="str" cm="1">
        <f t="array" ref="U99">Common_InputFunctions.Utility_DisplayArrayInTable(Fertiliser_SourceData.Fertiliser_Products_Data2(),FertiliserProducts[[#Headers],[Product]], 20)</f>
        <v/>
      </c>
      <c r="V99" s="157" t="str" cm="1">
        <f t="array" ref="V99">Common_InputFunctions.Utility_DisplayArrayInTable(Fertiliser_SourceData.Fertiliser_Products_Data2(),FertiliserProducts[[#Headers],[Product]], 20)</f>
        <v/>
      </c>
      <c r="W99" s="157" t="str" cm="1">
        <f t="array" ref="W99">Common_InputFunctions.Utility_DisplayArrayInTable(Fertiliser_SourceData.Fertiliser_Products_Data2(),FertiliserProducts[[#Headers],[Product]], 20)</f>
        <v/>
      </c>
      <c r="X99" s="157" t="str" cm="1">
        <f t="array" ref="X99">Common_InputFunctions.Utility_DisplayArrayInTable(Fertiliser_SourceData.Fertiliser_Products_Data2(),FertiliserProducts[[#Headers],[Product]], 20)</f>
        <v/>
      </c>
      <c r="Y99" s="157" t="str" cm="1">
        <f t="array" ref="Y99">Common_InputFunctions.Utility_DisplayArrayInTable(Fertiliser_SourceData.Fertiliser_Products_Data2(),FertiliserProducts[[#Headers],[Product]], 20)</f>
        <v/>
      </c>
      <c r="Z99" s="157" t="str" cm="1">
        <f t="array" ref="Z99">Common_InputFunctions.Utility_DisplayArrayInTable(Fertiliser_SourceData.Fertiliser_Products_Data2(),FertiliserProducts[[#Headers],[Product]], 20)</f>
        <v/>
      </c>
      <c r="AA99" s="158" t="str" cm="1">
        <f t="array" ref="AA99">Common_InputFunctions.Utility_DisplayArrayInTable(Fertiliser_SourceData.Fertiliser_Products_Data2(),FertiliserProducts[[#Headers],[Product]], 20)</f>
        <v/>
      </c>
      <c r="AB99" s="158" t="str" cm="1">
        <f t="array" ref="AB99">Common_InputFunctions.Utility_DisplayArrayInTable(Fertiliser_SourceData.Fertiliser_Products_Data2(),FertiliserProducts[[#Headers],[Product]], 20)</f>
        <v/>
      </c>
      <c r="AC99" s="158" t="str" cm="1">
        <f t="array" ref="AC99">Common_InputFunctions.Utility_DisplayArrayInTable(Fertiliser_SourceData.Fertiliser_Products_Data2(),FertiliserProducts[[#Headers],[Product]], 20)</f>
        <v/>
      </c>
      <c r="AD99" s="158" t="str" cm="1">
        <f t="array" ref="AD99">Common_InputFunctions.Utility_DisplayArrayInTable(Fertiliser_SourceData.Fertiliser_Products_Data2(),FertiliserProducts[[#Headers],[Product]], 20)</f>
        <v/>
      </c>
      <c r="AE99" s="158" t="str" cm="1">
        <f t="array" ref="AE99">Common_InputFunctions.Utility_DisplayArrayInTable(Fertiliser_SourceData.Fertiliser_Products_Data2(),FertiliserProducts[[#Headers],[Product]], 20)</f>
        <v/>
      </c>
      <c r="AF99" s="158" t="str" cm="1">
        <f t="array" ref="AF99">Common_InputFunctions.Utility_DisplayArrayInTable(Fertiliser_SourceData.Fertiliser_Products_Data2(),FertiliserProducts[[#Headers],[Product]], 20)</f>
        <v/>
      </c>
      <c r="AG99" s="158" t="str" cm="1">
        <f t="array" ref="AG99">Common_InputFunctions.Utility_DisplayArrayInTable(Fertiliser_SourceData.Fertiliser_Products_Data2(),FertiliserProducts[[#Headers],[Product]], 20)</f>
        <v/>
      </c>
      <c r="AH99" s="158" t="str" cm="1">
        <f t="array" ref="AH99">Common_InputFunctions.Utility_DisplayArrayInTable(Fertiliser_SourceData.Fertiliser_Products_Data2(),FertiliserProducts[[#Headers],[Product]], 20)</f>
        <v/>
      </c>
      <c r="AI99" s="158" t="str" cm="1">
        <f t="array" ref="AI99">Common_InputFunctions.Utility_DisplayArrayInTable(Fertiliser_SourceData.Fertiliser_Products_Data2(),FertiliserProducts[[#Headers],[Product]], 20)</f>
        <v/>
      </c>
      <c r="AJ99" s="158" t="str" cm="1">
        <f t="array" ref="AJ99">Common_InputFunctions.Utility_DisplayArrayInTable(Fertiliser_SourceData.Fertiliser_Products_Data2(),FertiliserProducts[[#Headers],[Product]], 20)</f>
        <v/>
      </c>
    </row>
    <row r="100" spans="4:36" ht="20.100000000000001" customHeight="1" x14ac:dyDescent="0.25">
      <c r="D100" s="157" t="str" cm="1">
        <f t="array" ref="D100">Common_InputFunctions.Utility_DisplayArrayInTable(Fertiliser_SourceData.Fertiliser_Products_Data2(),FertiliserProducts[[#Headers],[Product]], 20)</f>
        <v>Quick-N</v>
      </c>
      <c r="E100" s="157" t="str" cm="1">
        <f t="array" ref="E100">Common_InputFunctions.Utility_DisplayArrayInTable(Fertiliser_SourceData.Fertiliser_Products_Data2(),FertiliserProducts[[#Headers],[Product]], 20)</f>
        <v>kg</v>
      </c>
      <c r="F100" s="157" cm="1">
        <f t="array" ref="F100">Common_InputFunctions.Utility_DisplayArrayInTable(Fertiliser_SourceData.Fertiliser_Products_Data2(),FertiliserProducts[[#Headers],[Product]], 20)</f>
        <v>1</v>
      </c>
      <c r="G100" s="157" t="str" cm="1">
        <f t="array" ref="G100">Common_InputFunctions.Utility_DisplayArrayInTable(Fertiliser_SourceData.Fertiliser_Products_Data2(),FertiliserProducts[[#Headers],[Product]], 20)</f>
        <v>Nitrogen - Generic</v>
      </c>
      <c r="H100" s="157" cm="1">
        <f t="array" ref="H100">Common_InputFunctions.Utility_DisplayArrayInTable(Fertiliser_SourceData.Fertiliser_Products_Data2(),FertiliserProducts[[#Headers],[Product]], 20)</f>
        <v>0.26</v>
      </c>
      <c r="I100" s="157" t="str" cm="1">
        <f t="array" ref="I100">Common_InputFunctions.Utility_DisplayArrayInTable(Fertiliser_SourceData.Fertiliser_Products_Data2(),FertiliserProducts[[#Headers],[Product]], 20)</f>
        <v>Location not specified</v>
      </c>
      <c r="J100" s="157" t="str" cm="1">
        <f t="array" ref="J100">Common_InputFunctions.Utility_DisplayArrayInTable(Fertiliser_SourceData.Fertiliser_Products_Data2(),FertiliserProducts[[#Headers],[Product]], 20)</f>
        <v>Sulfur - Generic</v>
      </c>
      <c r="K100" s="157" cm="1">
        <f t="array" ref="K100">Common_InputFunctions.Utility_DisplayArrayInTable(Fertiliser_SourceData.Fertiliser_Products_Data2(),FertiliserProducts[[#Headers],[Product]], 20)</f>
        <v>0.13</v>
      </c>
      <c r="L100" s="157" t="str" cm="1">
        <f t="array" ref="L100">Common_InputFunctions.Utility_DisplayArrayInTable(Fertiliser_SourceData.Fertiliser_Products_Data2(),FertiliserProducts[[#Headers],[Product]], 20)</f>
        <v>Location not specified</v>
      </c>
      <c r="M100" s="157" t="str" cm="1">
        <f t="array" ref="M100">Common_InputFunctions.Utility_DisplayArrayInTable(Fertiliser_SourceData.Fertiliser_Products_Data2(),FertiliserProducts[[#Headers],[Product]], 20)</f>
        <v/>
      </c>
      <c r="N100" s="157" t="str" cm="1">
        <f t="array" ref="N100">Common_InputFunctions.Utility_DisplayArrayInTable(Fertiliser_SourceData.Fertiliser_Products_Data2(),FertiliserProducts[[#Headers],[Product]], 20)</f>
        <v/>
      </c>
      <c r="O100" s="157" t="str" cm="1">
        <f t="array" ref="O100">Common_InputFunctions.Utility_DisplayArrayInTable(Fertiliser_SourceData.Fertiliser_Products_Data2(),FertiliserProducts[[#Headers],[Product]], 20)</f>
        <v/>
      </c>
      <c r="P100" s="157" t="str" cm="1">
        <f t="array" ref="P100">Common_InputFunctions.Utility_DisplayArrayInTable(Fertiliser_SourceData.Fertiliser_Products_Data2(),FertiliserProducts[[#Headers],[Product]], 20)</f>
        <v/>
      </c>
      <c r="Q100" s="157" t="str" cm="1">
        <f t="array" ref="Q100">Common_InputFunctions.Utility_DisplayArrayInTable(Fertiliser_SourceData.Fertiliser_Products_Data2(),FertiliserProducts[[#Headers],[Product]], 20)</f>
        <v/>
      </c>
      <c r="R100" s="157" t="str" cm="1">
        <f t="array" ref="R100">Common_InputFunctions.Utility_DisplayArrayInTable(Fertiliser_SourceData.Fertiliser_Products_Data2(),FertiliserProducts[[#Headers],[Product]], 20)</f>
        <v/>
      </c>
      <c r="S100" s="157" t="str" cm="1">
        <f t="array" ref="S100">Common_InputFunctions.Utility_DisplayArrayInTable(Fertiliser_SourceData.Fertiliser_Products_Data2(),FertiliserProducts[[#Headers],[Product]], 20)</f>
        <v/>
      </c>
      <c r="T100" s="157" t="str" cm="1">
        <f t="array" ref="T100">Common_InputFunctions.Utility_DisplayArrayInTable(Fertiliser_SourceData.Fertiliser_Products_Data2(),FertiliserProducts[[#Headers],[Product]], 20)</f>
        <v/>
      </c>
      <c r="U100" s="157" t="str" cm="1">
        <f t="array" ref="U100">Common_InputFunctions.Utility_DisplayArrayInTable(Fertiliser_SourceData.Fertiliser_Products_Data2(),FertiliserProducts[[#Headers],[Product]], 20)</f>
        <v/>
      </c>
      <c r="V100" s="157" t="str" cm="1">
        <f t="array" ref="V100">Common_InputFunctions.Utility_DisplayArrayInTable(Fertiliser_SourceData.Fertiliser_Products_Data2(),FertiliserProducts[[#Headers],[Product]], 20)</f>
        <v/>
      </c>
      <c r="W100" s="157" t="str" cm="1">
        <f t="array" ref="W100">Common_InputFunctions.Utility_DisplayArrayInTable(Fertiliser_SourceData.Fertiliser_Products_Data2(),FertiliserProducts[[#Headers],[Product]], 20)</f>
        <v/>
      </c>
      <c r="X100" s="157" t="str" cm="1">
        <f t="array" ref="X100">Common_InputFunctions.Utility_DisplayArrayInTable(Fertiliser_SourceData.Fertiliser_Products_Data2(),FertiliserProducts[[#Headers],[Product]], 20)</f>
        <v/>
      </c>
      <c r="Y100" s="157" t="str" cm="1">
        <f t="array" ref="Y100">Common_InputFunctions.Utility_DisplayArrayInTable(Fertiliser_SourceData.Fertiliser_Products_Data2(),FertiliserProducts[[#Headers],[Product]], 20)</f>
        <v/>
      </c>
      <c r="Z100" s="157" t="str" cm="1">
        <f t="array" ref="Z100">Common_InputFunctions.Utility_DisplayArrayInTable(Fertiliser_SourceData.Fertiliser_Products_Data2(),FertiliserProducts[[#Headers],[Product]], 20)</f>
        <v/>
      </c>
      <c r="AA100" s="158" t="str" cm="1">
        <f t="array" ref="AA100">Common_InputFunctions.Utility_DisplayArrayInTable(Fertiliser_SourceData.Fertiliser_Products_Data2(),FertiliserProducts[[#Headers],[Product]], 20)</f>
        <v/>
      </c>
      <c r="AB100" s="158" t="str" cm="1">
        <f t="array" ref="AB100">Common_InputFunctions.Utility_DisplayArrayInTable(Fertiliser_SourceData.Fertiliser_Products_Data2(),FertiliserProducts[[#Headers],[Product]], 20)</f>
        <v/>
      </c>
      <c r="AC100" s="158" t="str" cm="1">
        <f t="array" ref="AC100">Common_InputFunctions.Utility_DisplayArrayInTable(Fertiliser_SourceData.Fertiliser_Products_Data2(),FertiliserProducts[[#Headers],[Product]], 20)</f>
        <v/>
      </c>
      <c r="AD100" s="158" t="str" cm="1">
        <f t="array" ref="AD100">Common_InputFunctions.Utility_DisplayArrayInTable(Fertiliser_SourceData.Fertiliser_Products_Data2(),FertiliserProducts[[#Headers],[Product]], 20)</f>
        <v/>
      </c>
      <c r="AE100" s="158" t="str" cm="1">
        <f t="array" ref="AE100">Common_InputFunctions.Utility_DisplayArrayInTable(Fertiliser_SourceData.Fertiliser_Products_Data2(),FertiliserProducts[[#Headers],[Product]], 20)</f>
        <v/>
      </c>
      <c r="AF100" s="158" t="str" cm="1">
        <f t="array" ref="AF100">Common_InputFunctions.Utility_DisplayArrayInTable(Fertiliser_SourceData.Fertiliser_Products_Data2(),FertiliserProducts[[#Headers],[Product]], 20)</f>
        <v/>
      </c>
      <c r="AG100" s="158" t="str" cm="1">
        <f t="array" ref="AG100">Common_InputFunctions.Utility_DisplayArrayInTable(Fertiliser_SourceData.Fertiliser_Products_Data2(),FertiliserProducts[[#Headers],[Product]], 20)</f>
        <v/>
      </c>
      <c r="AH100" s="158" t="str" cm="1">
        <f t="array" ref="AH100">Common_InputFunctions.Utility_DisplayArrayInTable(Fertiliser_SourceData.Fertiliser_Products_Data2(),FertiliserProducts[[#Headers],[Product]], 20)</f>
        <v/>
      </c>
      <c r="AI100" s="158" t="str" cm="1">
        <f t="array" ref="AI100">Common_InputFunctions.Utility_DisplayArrayInTable(Fertiliser_SourceData.Fertiliser_Products_Data2(),FertiliserProducts[[#Headers],[Product]], 20)</f>
        <v/>
      </c>
      <c r="AJ100" s="158" t="str" cm="1">
        <f t="array" ref="AJ100">Common_InputFunctions.Utility_DisplayArrayInTable(Fertiliser_SourceData.Fertiliser_Products_Data2(),FertiliserProducts[[#Headers],[Product]], 20)</f>
        <v/>
      </c>
    </row>
    <row r="101" spans="4:36" ht="20.100000000000001" customHeight="1" x14ac:dyDescent="0.25">
      <c r="D101" s="157" t="str" cm="1">
        <f t="array" ref="D101">Common_InputFunctions.Utility_DisplayArrayInTable(Fertiliser_SourceData.Fertiliser_Products_Data2(),FertiliserProducts[[#Headers],[Product]], 20)</f>
        <v>Quick-N Nergetic</v>
      </c>
      <c r="E101" s="157" t="str" cm="1">
        <f t="array" ref="E101">Common_InputFunctions.Utility_DisplayArrayInTable(Fertiliser_SourceData.Fertiliser_Products_Data2(),FertiliserProducts[[#Headers],[Product]], 20)</f>
        <v>kg</v>
      </c>
      <c r="F101" s="157" cm="1">
        <f t="array" ref="F101">Common_InputFunctions.Utility_DisplayArrayInTable(Fertiliser_SourceData.Fertiliser_Products_Data2(),FertiliserProducts[[#Headers],[Product]], 20)</f>
        <v>1</v>
      </c>
      <c r="G101" s="157" t="str" cm="1">
        <f t="array" ref="G101">Common_InputFunctions.Utility_DisplayArrayInTable(Fertiliser_SourceData.Fertiliser_Products_Data2(),FertiliserProducts[[#Headers],[Product]], 20)</f>
        <v>Nitrogen - Generic</v>
      </c>
      <c r="H101" s="157" cm="1">
        <f t="array" ref="H101">Common_InputFunctions.Utility_DisplayArrayInTable(Fertiliser_SourceData.Fertiliser_Products_Data2(),FertiliserProducts[[#Headers],[Product]], 20)</f>
        <v>0.25</v>
      </c>
      <c r="I101" s="157" t="str" cm="1">
        <f t="array" ref="I101">Common_InputFunctions.Utility_DisplayArrayInTable(Fertiliser_SourceData.Fertiliser_Products_Data2(),FertiliserProducts[[#Headers],[Product]], 20)</f>
        <v>Location not specified</v>
      </c>
      <c r="J101" s="157" t="str" cm="1">
        <f t="array" ref="J101">Common_InputFunctions.Utility_DisplayArrayInTable(Fertiliser_SourceData.Fertiliser_Products_Data2(),FertiliserProducts[[#Headers],[Product]], 20)</f>
        <v>Sulfur - Generic</v>
      </c>
      <c r="K101" s="157" cm="1">
        <f t="array" ref="K101">Common_InputFunctions.Utility_DisplayArrayInTable(Fertiliser_SourceData.Fertiliser_Products_Data2(),FertiliserProducts[[#Headers],[Product]], 20)</f>
        <v>0.128</v>
      </c>
      <c r="L101" s="157" t="str" cm="1">
        <f t="array" ref="L101">Common_InputFunctions.Utility_DisplayArrayInTable(Fertiliser_SourceData.Fertiliser_Products_Data2(),FertiliserProducts[[#Headers],[Product]], 20)</f>
        <v>Location not specified</v>
      </c>
      <c r="M101" s="157" t="str" cm="1">
        <f t="array" ref="M101">Common_InputFunctions.Utility_DisplayArrayInTable(Fertiliser_SourceData.Fertiliser_Products_Data2(),FertiliserProducts[[#Headers],[Product]], 20)</f>
        <v>Manganese - Generic</v>
      </c>
      <c r="N101" s="157" cm="1">
        <f t="array" ref="N101">Common_InputFunctions.Utility_DisplayArrayInTable(Fertiliser_SourceData.Fertiliser_Products_Data2(),FertiliserProducts[[#Headers],[Product]], 20)</f>
        <v>1E-3</v>
      </c>
      <c r="O101" s="157" t="str" cm="1">
        <f t="array" ref="O101">Common_InputFunctions.Utility_DisplayArrayInTable(Fertiliser_SourceData.Fertiliser_Products_Data2(),FertiliserProducts[[#Headers],[Product]], 20)</f>
        <v>Location not specified</v>
      </c>
      <c r="P101" s="157" t="str" cm="1">
        <f t="array" ref="P101">Common_InputFunctions.Utility_DisplayArrayInTable(Fertiliser_SourceData.Fertiliser_Products_Data2(),FertiliserProducts[[#Headers],[Product]], 20)</f>
        <v>Zinc - Generic</v>
      </c>
      <c r="Q101" s="157" cm="1">
        <f t="array" ref="Q101">Common_InputFunctions.Utility_DisplayArrayInTable(Fertiliser_SourceData.Fertiliser_Products_Data2(),FertiliserProducts[[#Headers],[Product]], 20)</f>
        <v>1E-3</v>
      </c>
      <c r="R101" s="157" t="str" cm="1">
        <f t="array" ref="R101">Common_InputFunctions.Utility_DisplayArrayInTable(Fertiliser_SourceData.Fertiliser_Products_Data2(),FertiliserProducts[[#Headers],[Product]], 20)</f>
        <v>Location not specified</v>
      </c>
      <c r="S101" s="157" t="str" cm="1">
        <f t="array" ref="S101">Common_InputFunctions.Utility_DisplayArrayInTable(Fertiliser_SourceData.Fertiliser_Products_Data2(),FertiliserProducts[[#Headers],[Product]], 20)</f>
        <v>Boron - generic</v>
      </c>
      <c r="T101" s="157" cm="1">
        <f t="array" ref="T101">Common_InputFunctions.Utility_DisplayArrayInTable(Fertiliser_SourceData.Fertiliser_Products_Data2(),FertiliserProducts[[#Headers],[Product]], 20)</f>
        <v>1E-4</v>
      </c>
      <c r="U101" s="157" t="str" cm="1">
        <f t="array" ref="U101">Common_InputFunctions.Utility_DisplayArrayInTable(Fertiliser_SourceData.Fertiliser_Products_Data2(),FertiliserProducts[[#Headers],[Product]], 20)</f>
        <v>Location not specified</v>
      </c>
      <c r="V101" s="157" t="str" cm="1">
        <f t="array" ref="V101">Common_InputFunctions.Utility_DisplayArrayInTable(Fertiliser_SourceData.Fertiliser_Products_Data2(),FertiliserProducts[[#Headers],[Product]], 20)</f>
        <v>Molybdenum</v>
      </c>
      <c r="W101" s="157" cm="1">
        <f t="array" ref="W101">Common_InputFunctions.Utility_DisplayArrayInTable(Fertiliser_SourceData.Fertiliser_Products_Data2(),FertiliserProducts[[#Headers],[Product]], 20)</f>
        <v>1.0000000000000001E-5</v>
      </c>
      <c r="X101" s="157" t="str" cm="1">
        <f t="array" ref="X101">Common_InputFunctions.Utility_DisplayArrayInTable(Fertiliser_SourceData.Fertiliser_Products_Data2(),FertiliserProducts[[#Headers],[Product]], 20)</f>
        <v>Location not specified</v>
      </c>
      <c r="Y101" s="157" t="str" cm="1">
        <f t="array" ref="Y101">Common_InputFunctions.Utility_DisplayArrayInTable(Fertiliser_SourceData.Fertiliser_Products_Data2(),FertiliserProducts[[#Headers],[Product]], 20)</f>
        <v/>
      </c>
      <c r="Z101" s="157" t="str" cm="1">
        <f t="array" ref="Z101">Common_InputFunctions.Utility_DisplayArrayInTable(Fertiliser_SourceData.Fertiliser_Products_Data2(),FertiliserProducts[[#Headers],[Product]], 20)</f>
        <v/>
      </c>
      <c r="AA101" s="158" t="str" cm="1">
        <f t="array" ref="AA101">Common_InputFunctions.Utility_DisplayArrayInTable(Fertiliser_SourceData.Fertiliser_Products_Data2(),FertiliserProducts[[#Headers],[Product]], 20)</f>
        <v/>
      </c>
      <c r="AB101" s="158" t="str" cm="1">
        <f t="array" ref="AB101">Common_InputFunctions.Utility_DisplayArrayInTable(Fertiliser_SourceData.Fertiliser_Products_Data2(),FertiliserProducts[[#Headers],[Product]], 20)</f>
        <v/>
      </c>
      <c r="AC101" s="158" t="str" cm="1">
        <f t="array" ref="AC101">Common_InputFunctions.Utility_DisplayArrayInTable(Fertiliser_SourceData.Fertiliser_Products_Data2(),FertiliserProducts[[#Headers],[Product]], 20)</f>
        <v/>
      </c>
      <c r="AD101" s="158" t="str" cm="1">
        <f t="array" ref="AD101">Common_InputFunctions.Utility_DisplayArrayInTable(Fertiliser_SourceData.Fertiliser_Products_Data2(),FertiliserProducts[[#Headers],[Product]], 20)</f>
        <v/>
      </c>
      <c r="AE101" s="158" t="str" cm="1">
        <f t="array" ref="AE101">Common_InputFunctions.Utility_DisplayArrayInTable(Fertiliser_SourceData.Fertiliser_Products_Data2(),FertiliserProducts[[#Headers],[Product]], 20)</f>
        <v/>
      </c>
      <c r="AF101" s="158" t="str" cm="1">
        <f t="array" ref="AF101">Common_InputFunctions.Utility_DisplayArrayInTable(Fertiliser_SourceData.Fertiliser_Products_Data2(),FertiliserProducts[[#Headers],[Product]], 20)</f>
        <v/>
      </c>
      <c r="AG101" s="158" t="str" cm="1">
        <f t="array" ref="AG101">Common_InputFunctions.Utility_DisplayArrayInTable(Fertiliser_SourceData.Fertiliser_Products_Data2(),FertiliserProducts[[#Headers],[Product]], 20)</f>
        <v/>
      </c>
      <c r="AH101" s="158" t="str" cm="1">
        <f t="array" ref="AH101">Common_InputFunctions.Utility_DisplayArrayInTable(Fertiliser_SourceData.Fertiliser_Products_Data2(),FertiliserProducts[[#Headers],[Product]], 20)</f>
        <v/>
      </c>
      <c r="AI101" s="158" t="str" cm="1">
        <f t="array" ref="AI101">Common_InputFunctions.Utility_DisplayArrayInTable(Fertiliser_SourceData.Fertiliser_Products_Data2(),FertiliserProducts[[#Headers],[Product]], 20)</f>
        <v/>
      </c>
      <c r="AJ101" s="158" t="str" cm="1">
        <f t="array" ref="AJ101">Common_InputFunctions.Utility_DisplayArrayInTable(Fertiliser_SourceData.Fertiliser_Products_Data2(),FertiliserProducts[[#Headers],[Product]], 20)</f>
        <v/>
      </c>
    </row>
    <row r="102" spans="4:36" ht="20.100000000000001" customHeight="1" x14ac:dyDescent="0.25">
      <c r="D102" s="157" t="str" cm="1">
        <f t="array" ref="D102">Common_InputFunctions.Utility_DisplayArrayInTable(Fertiliser_SourceData.Fertiliser_Products_Data3(),FertiliserProducts[[#Headers],[Product]], 40)</f>
        <v>Rustica Nergetic</v>
      </c>
      <c r="E102" s="157" t="str" cm="1">
        <f t="array" ref="E102">Common_InputFunctions.Utility_DisplayArrayInTable(Fertiliser_SourceData.Fertiliser_Products_Data3(),FertiliserProducts[[#Headers],[Product]], 40)</f>
        <v>kg</v>
      </c>
      <c r="F102" s="157" cm="1">
        <f t="array" ref="F102">Common_InputFunctions.Utility_DisplayArrayInTable(Fertiliser_SourceData.Fertiliser_Products_Data3(),FertiliserProducts[[#Headers],[Product]], 40)</f>
        <v>1</v>
      </c>
      <c r="G102" s="157" t="str" cm="1">
        <f t="array" ref="G102">Common_InputFunctions.Utility_DisplayArrayInTable(Fertiliser_SourceData.Fertiliser_Products_Data3(),FertiliserProducts[[#Headers],[Product]], 40)</f>
        <v>Potassium - Generic</v>
      </c>
      <c r="H102" s="157" cm="1">
        <f t="array" ref="H102">Common_InputFunctions.Utility_DisplayArrayInTable(Fertiliser_SourceData.Fertiliser_Products_Data3(),FertiliserProducts[[#Headers],[Product]], 40)</f>
        <v>0.14099999999999999</v>
      </c>
      <c r="I102" s="157" t="str" cm="1">
        <f t="array" ref="I102">Common_InputFunctions.Utility_DisplayArrayInTable(Fertiliser_SourceData.Fertiliser_Products_Data3(),FertiliserProducts[[#Headers],[Product]], 40)</f>
        <v>Location not specified</v>
      </c>
      <c r="J102" s="157" t="str" cm="1">
        <f t="array" ref="J102">Common_InputFunctions.Utility_DisplayArrayInTable(Fertiliser_SourceData.Fertiliser_Products_Data3(),FertiliserProducts[[#Headers],[Product]], 40)</f>
        <v>Nitrogen - Generic</v>
      </c>
      <c r="K102" s="157" cm="1">
        <f t="array" ref="K102">Common_InputFunctions.Utility_DisplayArrayInTable(Fertiliser_SourceData.Fertiliser_Products_Data3(),FertiliserProducts[[#Headers],[Product]], 40)</f>
        <v>0.12</v>
      </c>
      <c r="L102" s="157" t="str" cm="1">
        <f t="array" ref="L102">Common_InputFunctions.Utility_DisplayArrayInTable(Fertiliser_SourceData.Fertiliser_Products_Data3(),FertiliserProducts[[#Headers],[Product]], 40)</f>
        <v>Location not specified</v>
      </c>
      <c r="M102" s="157" t="str" cm="1">
        <f t="array" ref="M102">Common_InputFunctions.Utility_DisplayArrayInTable(Fertiliser_SourceData.Fertiliser_Products_Data3(),FertiliserProducts[[#Headers],[Product]], 40)</f>
        <v>Sulfur - Generic</v>
      </c>
      <c r="N102" s="157" cm="1">
        <f t="array" ref="N102">Common_InputFunctions.Utility_DisplayArrayInTable(Fertiliser_SourceData.Fertiliser_Products_Data3(),FertiliserProducts[[#Headers],[Product]], 40)</f>
        <v>9.6000000000000002E-2</v>
      </c>
      <c r="O102" s="157" t="str" cm="1">
        <f t="array" ref="O102">Common_InputFunctions.Utility_DisplayArrayInTable(Fertiliser_SourceData.Fertiliser_Products_Data3(),FertiliserProducts[[#Headers],[Product]], 40)</f>
        <v>Location not specified</v>
      </c>
      <c r="P102" s="157" t="str" cm="1">
        <f t="array" ref="P102">Common_InputFunctions.Utility_DisplayArrayInTable(Fertiliser_SourceData.Fertiliser_Products_Data3(),FertiliserProducts[[#Headers],[Product]], 40)</f>
        <v>Phosphorus - Generic</v>
      </c>
      <c r="Q102" s="157" cm="1">
        <f t="array" ref="Q102">Common_InputFunctions.Utility_DisplayArrayInTable(Fertiliser_SourceData.Fertiliser_Products_Data3(),FertiliserProducts[[#Headers],[Product]], 40)</f>
        <v>5.1999999999999998E-2</v>
      </c>
      <c r="R102" s="157" t="str" cm="1">
        <f t="array" ref="R102">Common_InputFunctions.Utility_DisplayArrayInTable(Fertiliser_SourceData.Fertiliser_Products_Data3(),FertiliserProducts[[#Headers],[Product]], 40)</f>
        <v>Location not specified</v>
      </c>
      <c r="S102" s="157" t="str" cm="1">
        <f t="array" ref="S102">Common_InputFunctions.Utility_DisplayArrayInTable(Fertiliser_SourceData.Fertiliser_Products_Data3(),FertiliserProducts[[#Headers],[Product]], 40)</f>
        <v>Magnesium - generic</v>
      </c>
      <c r="T102" s="157" cm="1">
        <f t="array" ref="T102">Common_InputFunctions.Utility_DisplayArrayInTable(Fertiliser_SourceData.Fertiliser_Products_Data3(),FertiliserProducts[[#Headers],[Product]], 40)</f>
        <v>1.2E-2</v>
      </c>
      <c r="U102" s="157" t="str" cm="1">
        <f t="array" ref="U102">Common_InputFunctions.Utility_DisplayArrayInTable(Fertiliser_SourceData.Fertiliser_Products_Data3(),FertiliserProducts[[#Headers],[Product]], 40)</f>
        <v>Location not specified</v>
      </c>
      <c r="V102" s="157" t="str" cm="1">
        <f t="array" ref="V102">Common_InputFunctions.Utility_DisplayArrayInTable(Fertiliser_SourceData.Fertiliser_Products_Data3(),FertiliserProducts[[#Headers],[Product]], 40)</f>
        <v>Zinc - Generic</v>
      </c>
      <c r="W102" s="157" cm="1">
        <f t="array" ref="W102">Common_InputFunctions.Utility_DisplayArrayInTable(Fertiliser_SourceData.Fertiliser_Products_Data3(),FertiliserProducts[[#Headers],[Product]], 40)</f>
        <v>8.0000000000000004E-4</v>
      </c>
      <c r="X102" s="157" t="str" cm="1">
        <f t="array" ref="X102">Common_InputFunctions.Utility_DisplayArrayInTable(Fertiliser_SourceData.Fertiliser_Products_Data3(),FertiliserProducts[[#Headers],[Product]], 40)</f>
        <v>Location not specified</v>
      </c>
      <c r="Y102" s="157" t="str" cm="1">
        <f t="array" ref="Y102">Common_InputFunctions.Utility_DisplayArrayInTable(Fertiliser_SourceData.Fertiliser_Products_Data3(),FertiliserProducts[[#Headers],[Product]], 40)</f>
        <v>Iron - generic</v>
      </c>
      <c r="Z102" s="157" cm="1">
        <f t="array" ref="Z102">Common_InputFunctions.Utility_DisplayArrayInTable(Fertiliser_SourceData.Fertiliser_Products_Data3(),FertiliserProducts[[#Headers],[Product]], 40)</f>
        <v>6.9999999999999999E-4</v>
      </c>
      <c r="AA102" s="158" t="str" cm="1">
        <f t="array" ref="AA102">Common_InputFunctions.Utility_DisplayArrayInTable(Fertiliser_SourceData.Fertiliser_Products_Data3(),FertiliserProducts[[#Headers],[Product]], 40)</f>
        <v>Location not specified</v>
      </c>
      <c r="AB102" s="158" t="str" cm="1">
        <f t="array" ref="AB102">Common_InputFunctions.Utility_DisplayArrayInTable(Fertiliser_SourceData.Fertiliser_Products_Data3(),FertiliserProducts[[#Headers],[Product]], 40)</f>
        <v>Manganese - Generic</v>
      </c>
      <c r="AC102" s="158" cm="1">
        <f t="array" ref="AC102">Common_InputFunctions.Utility_DisplayArrayInTable(Fertiliser_SourceData.Fertiliser_Products_Data3(),FertiliserProducts[[#Headers],[Product]], 40)</f>
        <v>5.9999999999999995E-4</v>
      </c>
      <c r="AD102" s="158" t="str" cm="1">
        <f t="array" ref="AD102">Common_InputFunctions.Utility_DisplayArrayInTable(Fertiliser_SourceData.Fertiliser_Products_Data3(),FertiliserProducts[[#Headers],[Product]], 40)</f>
        <v>Location not specified</v>
      </c>
      <c r="AE102" s="158" t="str" cm="1">
        <f t="array" ref="AE102">Common_InputFunctions.Utility_DisplayArrayInTable(Fertiliser_SourceData.Fertiliser_Products_Data3(),FertiliserProducts[[#Headers],[Product]], 40)</f>
        <v>Boron - generic</v>
      </c>
      <c r="AF102" s="158" cm="1">
        <f t="array" ref="AF102">Common_InputFunctions.Utility_DisplayArrayInTable(Fertiliser_SourceData.Fertiliser_Products_Data3(),FertiliserProducts[[#Headers],[Product]], 40)</f>
        <v>2.0000000000000001E-4</v>
      </c>
      <c r="AG102" s="158" t="str" cm="1">
        <f t="array" ref="AG102">Common_InputFunctions.Utility_DisplayArrayInTable(Fertiliser_SourceData.Fertiliser_Products_Data3(),FertiliserProducts[[#Headers],[Product]], 40)</f>
        <v>Location not specified</v>
      </c>
      <c r="AH102" s="158" t="str" cm="1">
        <f t="array" ref="AH102">Common_InputFunctions.Utility_DisplayArrayInTable(Fertiliser_SourceData.Fertiliser_Products_Data3(),FertiliserProducts[[#Headers],[Product]], 40)</f>
        <v/>
      </c>
      <c r="AI102" s="158" t="str" cm="1">
        <f t="array" ref="AI102">Common_InputFunctions.Utility_DisplayArrayInTable(Fertiliser_SourceData.Fertiliser_Products_Data3(),FertiliserProducts[[#Headers],[Product]], 40)</f>
        <v/>
      </c>
      <c r="AJ102" s="158" t="str" cm="1">
        <f t="array" ref="AJ102">Common_InputFunctions.Utility_DisplayArrayInTable(Fertiliser_SourceData.Fertiliser_Products_Data3(),FertiliserProducts[[#Headers],[Product]], 40)</f>
        <v/>
      </c>
    </row>
    <row r="103" spans="4:36" ht="20.100000000000001" customHeight="1" x14ac:dyDescent="0.25">
      <c r="D103" s="157" t="str" cm="1">
        <f t="array" ref="D103">Common_InputFunctions.Utility_DisplayArrayInTable(Fertiliser_SourceData.Fertiliser_Products_Data3(),FertiliserProducts[[#Headers],[Product]], 40)</f>
        <v>SETnSIZE</v>
      </c>
      <c r="E103" s="157" t="str" cm="1">
        <f t="array" ref="E103">Common_InputFunctions.Utility_DisplayArrayInTable(Fertiliser_SourceData.Fertiliser_Products_Data3(),FertiliserProducts[[#Headers],[Product]], 40)</f>
        <v>L</v>
      </c>
      <c r="F103" s="157" cm="1">
        <f t="array" ref="F103">Common_InputFunctions.Utility_DisplayArrayInTable(Fertiliser_SourceData.Fertiliser_Products_Data3(),FertiliserProducts[[#Headers],[Product]], 40)</f>
        <v>1.3</v>
      </c>
      <c r="G103" s="157" t="str" cm="1">
        <f t="array" ref="G103">Common_InputFunctions.Utility_DisplayArrayInTable(Fertiliser_SourceData.Fertiliser_Products_Data3(),FertiliserProducts[[#Headers],[Product]], 40)</f>
        <v>Potassium - Generic</v>
      </c>
      <c r="H103" s="157" cm="1">
        <f t="array" ref="H103">Common_InputFunctions.Utility_DisplayArrayInTable(Fertiliser_SourceData.Fertiliser_Products_Data3(),FertiliserProducts[[#Headers],[Product]], 40)</f>
        <v>7.9200000000000007E-2</v>
      </c>
      <c r="I103" s="157" t="str" cm="1">
        <f t="array" ref="I103">Common_InputFunctions.Utility_DisplayArrayInTable(Fertiliser_SourceData.Fertiliser_Products_Data3(),FertiliserProducts[[#Headers],[Product]], 40)</f>
        <v>Location not specified</v>
      </c>
      <c r="J103" s="157" t="str" cm="1">
        <f t="array" ref="J103">Common_InputFunctions.Utility_DisplayArrayInTable(Fertiliser_SourceData.Fertiliser_Products_Data3(),FertiliserProducts[[#Headers],[Product]], 40)</f>
        <v>Phosphorus - Generic</v>
      </c>
      <c r="K103" s="157" cm="1">
        <f t="array" ref="K103">Common_InputFunctions.Utility_DisplayArrayInTable(Fertiliser_SourceData.Fertiliser_Products_Data3(),FertiliserProducts[[#Headers],[Product]], 40)</f>
        <v>6.0499999999999998E-2</v>
      </c>
      <c r="L103" s="157" t="str" cm="1">
        <f t="array" ref="L103">Common_InputFunctions.Utility_DisplayArrayInTable(Fertiliser_SourceData.Fertiliser_Products_Data3(),FertiliserProducts[[#Headers],[Product]], 40)</f>
        <v>Location not specified</v>
      </c>
      <c r="M103" s="157" t="str" cm="1">
        <f t="array" ref="M103">Common_InputFunctions.Utility_DisplayArrayInTable(Fertiliser_SourceData.Fertiliser_Products_Data3(),FertiliserProducts[[#Headers],[Product]], 40)</f>
        <v>Nitrogen - Generic</v>
      </c>
      <c r="N103" s="157" cm="1">
        <f t="array" ref="N103">Common_InputFunctions.Utility_DisplayArrayInTable(Fertiliser_SourceData.Fertiliser_Products_Data3(),FertiliserProducts[[#Headers],[Product]], 40)</f>
        <v>1.0800000000000001E-2</v>
      </c>
      <c r="O103" s="157" t="str" cm="1">
        <f t="array" ref="O103">Common_InputFunctions.Utility_DisplayArrayInTable(Fertiliser_SourceData.Fertiliser_Products_Data3(),FertiliserProducts[[#Headers],[Product]], 40)</f>
        <v>Location not specified</v>
      </c>
      <c r="P103" s="157" t="str" cm="1">
        <f t="array" ref="P103">Common_InputFunctions.Utility_DisplayArrayInTable(Fertiliser_SourceData.Fertiliser_Products_Data3(),FertiliserProducts[[#Headers],[Product]], 40)</f>
        <v>Zinc - Generic</v>
      </c>
      <c r="Q103" s="157" cm="1">
        <f t="array" ref="Q103">Common_InputFunctions.Utility_DisplayArrayInTable(Fertiliser_SourceData.Fertiliser_Products_Data3(),FertiliserProducts[[#Headers],[Product]], 40)</f>
        <v>1.0699999999999999E-2</v>
      </c>
      <c r="R103" s="157" t="str" cm="1">
        <f t="array" ref="R103">Common_InputFunctions.Utility_DisplayArrayInTable(Fertiliser_SourceData.Fertiliser_Products_Data3(),FertiliserProducts[[#Headers],[Product]], 40)</f>
        <v>Location not specified</v>
      </c>
      <c r="S103" s="157" t="str" cm="1">
        <f t="array" ref="S103">Common_InputFunctions.Utility_DisplayArrayInTable(Fertiliser_SourceData.Fertiliser_Products_Data3(),FertiliserProducts[[#Headers],[Product]], 40)</f>
        <v>Magnesium - generic</v>
      </c>
      <c r="T103" s="157" cm="1">
        <f t="array" ref="T103">Common_InputFunctions.Utility_DisplayArrayInTable(Fertiliser_SourceData.Fertiliser_Products_Data3(),FertiliserProducts[[#Headers],[Product]], 40)</f>
        <v>1.04E-2</v>
      </c>
      <c r="U103" s="157" t="str" cm="1">
        <f t="array" ref="U103">Common_InputFunctions.Utility_DisplayArrayInTable(Fertiliser_SourceData.Fertiliser_Products_Data3(),FertiliserProducts[[#Headers],[Product]], 40)</f>
        <v>Location not specified</v>
      </c>
      <c r="V103" s="157" t="str" cm="1">
        <f t="array" ref="V103">Common_InputFunctions.Utility_DisplayArrayInTable(Fertiliser_SourceData.Fertiliser_Products_Data3(),FertiliserProducts[[#Headers],[Product]], 40)</f>
        <v>Manganese - Generic</v>
      </c>
      <c r="W103" s="157" cm="1">
        <f t="array" ref="W103">Common_InputFunctions.Utility_DisplayArrayInTable(Fertiliser_SourceData.Fertiliser_Products_Data3(),FertiliserProducts[[#Headers],[Product]], 40)</f>
        <v>7.4999999999999997E-3</v>
      </c>
      <c r="X103" s="157" t="str" cm="1">
        <f t="array" ref="X103">Common_InputFunctions.Utility_DisplayArrayInTable(Fertiliser_SourceData.Fertiliser_Products_Data3(),FertiliserProducts[[#Headers],[Product]], 40)</f>
        <v>Location not specified</v>
      </c>
      <c r="Y103" s="157" t="str" cm="1">
        <f t="array" ref="Y103">Common_InputFunctions.Utility_DisplayArrayInTable(Fertiliser_SourceData.Fertiliser_Products_Data3(),FertiliserProducts[[#Headers],[Product]], 40)</f>
        <v>Sulfur - Generic</v>
      </c>
      <c r="Z103" s="157" cm="1">
        <f t="array" ref="Z103">Common_InputFunctions.Utility_DisplayArrayInTable(Fertiliser_SourceData.Fertiliser_Products_Data3(),FertiliserProducts[[#Headers],[Product]], 40)</f>
        <v>5.4000000000000003E-3</v>
      </c>
      <c r="AA103" s="158" t="str" cm="1">
        <f t="array" ref="AA103">Common_InputFunctions.Utility_DisplayArrayInTable(Fertiliser_SourceData.Fertiliser_Products_Data3(),FertiliserProducts[[#Headers],[Product]], 40)</f>
        <v>Location not specified</v>
      </c>
      <c r="AB103" s="158" t="str" cm="1">
        <f t="array" ref="AB103">Common_InputFunctions.Utility_DisplayArrayInTable(Fertiliser_SourceData.Fertiliser_Products_Data3(),FertiliserProducts[[#Headers],[Product]], 40)</f>
        <v>Cobalt - generic</v>
      </c>
      <c r="AC103" s="158" cm="1">
        <f t="array" ref="AC103">Common_InputFunctions.Utility_DisplayArrayInTable(Fertiliser_SourceData.Fertiliser_Products_Data3(),FertiliserProducts[[#Headers],[Product]], 40)</f>
        <v>1.8E-3</v>
      </c>
      <c r="AD103" s="158" t="str" cm="1">
        <f t="array" ref="AD103">Common_InputFunctions.Utility_DisplayArrayInTable(Fertiliser_SourceData.Fertiliser_Products_Data3(),FertiliserProducts[[#Headers],[Product]], 40)</f>
        <v>Location not specified</v>
      </c>
      <c r="AE103" s="158" t="str" cm="1">
        <f t="array" ref="AE103">Common_InputFunctions.Utility_DisplayArrayInTable(Fertiliser_SourceData.Fertiliser_Products_Data3(),FertiliserProducts[[#Headers],[Product]], 40)</f>
        <v>Iron - generic</v>
      </c>
      <c r="AF103" s="158" cm="1">
        <f t="array" ref="AF103">Common_InputFunctions.Utility_DisplayArrayInTable(Fertiliser_SourceData.Fertiliser_Products_Data3(),FertiliserProducts[[#Headers],[Product]], 40)</f>
        <v>1.5E-3</v>
      </c>
      <c r="AG103" s="158" t="str" cm="1">
        <f t="array" ref="AG103">Common_InputFunctions.Utility_DisplayArrayInTable(Fertiliser_SourceData.Fertiliser_Products_Data3(),FertiliserProducts[[#Headers],[Product]], 40)</f>
        <v>Location not specified</v>
      </c>
      <c r="AH103" s="158" t="str" cm="1">
        <f t="array" ref="AH103">Common_InputFunctions.Utility_DisplayArrayInTable(Fertiliser_SourceData.Fertiliser_Products_Data3(),FertiliserProducts[[#Headers],[Product]], 40)</f>
        <v>Copper - generic</v>
      </c>
      <c r="AI103" s="158" cm="1">
        <f t="array" ref="AI103">Common_InputFunctions.Utility_DisplayArrayInTable(Fertiliser_SourceData.Fertiliser_Products_Data3(),FertiliserProducts[[#Headers],[Product]], 40)</f>
        <v>1.1000000000000001E-3</v>
      </c>
      <c r="AJ103" s="158" t="str" cm="1">
        <f t="array" ref="AJ103">Common_InputFunctions.Utility_DisplayArrayInTable(Fertiliser_SourceData.Fertiliser_Products_Data3(),FertiliserProducts[[#Headers],[Product]], 40)</f>
        <v>Location not specified</v>
      </c>
    </row>
    <row r="104" spans="4:36" ht="20.100000000000001" customHeight="1" x14ac:dyDescent="0.25">
      <c r="D104" s="157" t="str" cm="1">
        <f t="array" ref="D104">Common_InputFunctions.Utility_DisplayArrayInTable(Fertiliser_SourceData.Fertiliser_Products_Data3(),FertiliserProducts[[#Headers],[Product]], 40)</f>
        <v>SOA</v>
      </c>
      <c r="E104" s="157" t="str" cm="1">
        <f t="array" ref="E104">Common_InputFunctions.Utility_DisplayArrayInTable(Fertiliser_SourceData.Fertiliser_Products_Data3(),FertiliserProducts[[#Headers],[Product]], 40)</f>
        <v>kg</v>
      </c>
      <c r="F104" s="157" cm="1">
        <f t="array" ref="F104">Common_InputFunctions.Utility_DisplayArrayInTable(Fertiliser_SourceData.Fertiliser_Products_Data3(),FertiliserProducts[[#Headers],[Product]], 40)</f>
        <v>1</v>
      </c>
      <c r="G104" s="157" t="str" cm="1">
        <f t="array" ref="G104">Common_InputFunctions.Utility_DisplayArrayInTable(Fertiliser_SourceData.Fertiliser_Products_Data3(),FertiliserProducts[[#Headers],[Product]], 40)</f>
        <v>Nitrogen - Ammoniacal</v>
      </c>
      <c r="H104" s="157" cm="1">
        <f t="array" ref="H104">Common_InputFunctions.Utility_DisplayArrayInTable(Fertiliser_SourceData.Fertiliser_Products_Data3(),FertiliserProducts[[#Headers],[Product]], 40)</f>
        <v>0.21</v>
      </c>
      <c r="I104" s="157" t="str" cm="1">
        <f t="array" ref="I104">Common_InputFunctions.Utility_DisplayArrayInTable(Fertiliser_SourceData.Fertiliser_Products_Data3(),FertiliserProducts[[#Headers],[Product]], 40)</f>
        <v>Location not specified</v>
      </c>
      <c r="J104" s="157" t="str" cm="1">
        <f t="array" ref="J104">Common_InputFunctions.Utility_DisplayArrayInTable(Fertiliser_SourceData.Fertiliser_Products_Data3(),FertiliserProducts[[#Headers],[Product]], 40)</f>
        <v>Sulfur - Generic</v>
      </c>
      <c r="K104" s="157" cm="1">
        <f t="array" ref="K104">Common_InputFunctions.Utility_DisplayArrayInTable(Fertiliser_SourceData.Fertiliser_Products_Data3(),FertiliserProducts[[#Headers],[Product]], 40)</f>
        <v>0.24</v>
      </c>
      <c r="L104" s="157" t="str" cm="1">
        <f t="array" ref="L104">Common_InputFunctions.Utility_DisplayArrayInTable(Fertiliser_SourceData.Fertiliser_Products_Data3(),FertiliserProducts[[#Headers],[Product]], 40)</f>
        <v>Location not specified</v>
      </c>
      <c r="M104" s="157" t="str" cm="1">
        <f t="array" ref="M104">Common_InputFunctions.Utility_DisplayArrayInTable(Fertiliser_SourceData.Fertiliser_Products_Data3(),FertiliserProducts[[#Headers],[Product]], 40)</f>
        <v/>
      </c>
      <c r="N104" s="157" t="str" cm="1">
        <f t="array" ref="N104">Common_InputFunctions.Utility_DisplayArrayInTable(Fertiliser_SourceData.Fertiliser_Products_Data3(),FertiliserProducts[[#Headers],[Product]], 40)</f>
        <v/>
      </c>
      <c r="O104" s="157" t="str" cm="1">
        <f t="array" ref="O104">Common_InputFunctions.Utility_DisplayArrayInTable(Fertiliser_SourceData.Fertiliser_Products_Data3(),FertiliserProducts[[#Headers],[Product]], 40)</f>
        <v/>
      </c>
      <c r="P104" s="157" t="str" cm="1">
        <f t="array" ref="P104">Common_InputFunctions.Utility_DisplayArrayInTable(Fertiliser_SourceData.Fertiliser_Products_Data3(),FertiliserProducts[[#Headers],[Product]], 40)</f>
        <v/>
      </c>
      <c r="Q104" s="157" t="str" cm="1">
        <f t="array" ref="Q104">Common_InputFunctions.Utility_DisplayArrayInTable(Fertiliser_SourceData.Fertiliser_Products_Data3(),FertiliserProducts[[#Headers],[Product]], 40)</f>
        <v/>
      </c>
      <c r="R104" s="157" t="str" cm="1">
        <f t="array" ref="R104">Common_InputFunctions.Utility_DisplayArrayInTable(Fertiliser_SourceData.Fertiliser_Products_Data3(),FertiliserProducts[[#Headers],[Product]], 40)</f>
        <v/>
      </c>
      <c r="S104" s="157" t="str" cm="1">
        <f t="array" ref="S104">Common_InputFunctions.Utility_DisplayArrayInTable(Fertiliser_SourceData.Fertiliser_Products_Data3(),FertiliserProducts[[#Headers],[Product]], 40)</f>
        <v/>
      </c>
      <c r="T104" s="157" t="str" cm="1">
        <f t="array" ref="T104">Common_InputFunctions.Utility_DisplayArrayInTable(Fertiliser_SourceData.Fertiliser_Products_Data3(),FertiliserProducts[[#Headers],[Product]], 40)</f>
        <v/>
      </c>
      <c r="U104" s="157" t="str" cm="1">
        <f t="array" ref="U104">Common_InputFunctions.Utility_DisplayArrayInTable(Fertiliser_SourceData.Fertiliser_Products_Data3(),FertiliserProducts[[#Headers],[Product]], 40)</f>
        <v/>
      </c>
      <c r="V104" s="157" t="str" cm="1">
        <f t="array" ref="V104">Common_InputFunctions.Utility_DisplayArrayInTable(Fertiliser_SourceData.Fertiliser_Products_Data3(),FertiliserProducts[[#Headers],[Product]], 40)</f>
        <v/>
      </c>
      <c r="W104" s="157" t="str" cm="1">
        <f t="array" ref="W104">Common_InputFunctions.Utility_DisplayArrayInTable(Fertiliser_SourceData.Fertiliser_Products_Data3(),FertiliserProducts[[#Headers],[Product]], 40)</f>
        <v/>
      </c>
      <c r="X104" s="157" t="str" cm="1">
        <f t="array" ref="X104">Common_InputFunctions.Utility_DisplayArrayInTable(Fertiliser_SourceData.Fertiliser_Products_Data3(),FertiliserProducts[[#Headers],[Product]], 40)</f>
        <v/>
      </c>
      <c r="Y104" s="157" t="str" cm="1">
        <f t="array" ref="Y104">Common_InputFunctions.Utility_DisplayArrayInTable(Fertiliser_SourceData.Fertiliser_Products_Data3(),FertiliserProducts[[#Headers],[Product]], 40)</f>
        <v/>
      </c>
      <c r="Z104" s="157" t="str" cm="1">
        <f t="array" ref="Z104">Common_InputFunctions.Utility_DisplayArrayInTable(Fertiliser_SourceData.Fertiliser_Products_Data3(),FertiliserProducts[[#Headers],[Product]], 40)</f>
        <v/>
      </c>
      <c r="AA104" s="158" t="str" cm="1">
        <f t="array" ref="AA104">Common_InputFunctions.Utility_DisplayArrayInTable(Fertiliser_SourceData.Fertiliser_Products_Data3(),FertiliserProducts[[#Headers],[Product]], 40)</f>
        <v/>
      </c>
      <c r="AB104" s="158" t="str" cm="1">
        <f t="array" ref="AB104">Common_InputFunctions.Utility_DisplayArrayInTable(Fertiliser_SourceData.Fertiliser_Products_Data3(),FertiliserProducts[[#Headers],[Product]], 40)</f>
        <v/>
      </c>
      <c r="AC104" s="158" t="str" cm="1">
        <f t="array" ref="AC104">Common_InputFunctions.Utility_DisplayArrayInTable(Fertiliser_SourceData.Fertiliser_Products_Data3(),FertiliserProducts[[#Headers],[Product]], 40)</f>
        <v/>
      </c>
      <c r="AD104" s="158" t="str" cm="1">
        <f t="array" ref="AD104">Common_InputFunctions.Utility_DisplayArrayInTable(Fertiliser_SourceData.Fertiliser_Products_Data3(),FertiliserProducts[[#Headers],[Product]], 40)</f>
        <v/>
      </c>
      <c r="AE104" s="158" t="str" cm="1">
        <f t="array" ref="AE104">Common_InputFunctions.Utility_DisplayArrayInTable(Fertiliser_SourceData.Fertiliser_Products_Data3(),FertiliserProducts[[#Headers],[Product]], 40)</f>
        <v/>
      </c>
      <c r="AF104" s="158" t="str" cm="1">
        <f t="array" ref="AF104">Common_InputFunctions.Utility_DisplayArrayInTable(Fertiliser_SourceData.Fertiliser_Products_Data3(),FertiliserProducts[[#Headers],[Product]], 40)</f>
        <v/>
      </c>
      <c r="AG104" s="158" t="str" cm="1">
        <f t="array" ref="AG104">Common_InputFunctions.Utility_DisplayArrayInTable(Fertiliser_SourceData.Fertiliser_Products_Data3(),FertiliserProducts[[#Headers],[Product]], 40)</f>
        <v/>
      </c>
      <c r="AH104" s="158" t="str" cm="1">
        <f t="array" ref="AH104">Common_InputFunctions.Utility_DisplayArrayInTable(Fertiliser_SourceData.Fertiliser_Products_Data3(),FertiliserProducts[[#Headers],[Product]], 40)</f>
        <v/>
      </c>
      <c r="AI104" s="158" t="str" cm="1">
        <f t="array" ref="AI104">Common_InputFunctions.Utility_DisplayArrayInTable(Fertiliser_SourceData.Fertiliser_Products_Data3(),FertiliserProducts[[#Headers],[Product]], 40)</f>
        <v/>
      </c>
      <c r="AJ104" s="158" t="str" cm="1">
        <f t="array" ref="AJ104">Common_InputFunctions.Utility_DisplayArrayInTable(Fertiliser_SourceData.Fertiliser_Products_Data3(),FertiliserProducts[[#Headers],[Product]], 40)</f>
        <v/>
      </c>
    </row>
    <row r="105" spans="4:36" ht="20.100000000000001" customHeight="1" x14ac:dyDescent="0.25">
      <c r="D105" s="157" t="str" cm="1">
        <f t="array" ref="D105">Common_InputFunctions.Utility_DisplayArrayInTable(Fertiliser_SourceData.Fertiliser_Products_Data3(),FertiliserProducts[[#Headers],[Product]], 40)</f>
        <v>Solu-MAP</v>
      </c>
      <c r="E105" s="157" t="str" cm="1">
        <f t="array" ref="E105">Common_InputFunctions.Utility_DisplayArrayInTable(Fertiliser_SourceData.Fertiliser_Products_Data3(),FertiliserProducts[[#Headers],[Product]], 40)</f>
        <v>kg</v>
      </c>
      <c r="F105" s="157" cm="1">
        <f t="array" ref="F105">Common_InputFunctions.Utility_DisplayArrayInTable(Fertiliser_SourceData.Fertiliser_Products_Data3(),FertiliserProducts[[#Headers],[Product]], 40)</f>
        <v>1</v>
      </c>
      <c r="G105" s="157" t="str" cm="1">
        <f t="array" ref="G105">Common_InputFunctions.Utility_DisplayArrayInTable(Fertiliser_SourceData.Fertiliser_Products_Data3(),FertiliserProducts[[#Headers],[Product]], 40)</f>
        <v>Phosphorus - Generic</v>
      </c>
      <c r="H105" s="157" cm="1">
        <f t="array" ref="H105">Common_InputFunctions.Utility_DisplayArrayInTable(Fertiliser_SourceData.Fertiliser_Products_Data3(),FertiliserProducts[[#Headers],[Product]], 40)</f>
        <v>0.26600000000000001</v>
      </c>
      <c r="I105" s="157" t="str" cm="1">
        <f t="array" ref="I105">Common_InputFunctions.Utility_DisplayArrayInTable(Fertiliser_SourceData.Fertiliser_Products_Data3(),FertiliserProducts[[#Headers],[Product]], 40)</f>
        <v>Location not specified</v>
      </c>
      <c r="J105" s="157" t="str" cm="1">
        <f t="array" ref="J105">Common_InputFunctions.Utility_DisplayArrayInTable(Fertiliser_SourceData.Fertiliser_Products_Data3(),FertiliserProducts[[#Headers],[Product]], 40)</f>
        <v>Nitrogen - Ammoniacal</v>
      </c>
      <c r="K105" s="157" cm="1">
        <f t="array" ref="K105">Common_InputFunctions.Utility_DisplayArrayInTable(Fertiliser_SourceData.Fertiliser_Products_Data3(),FertiliserProducts[[#Headers],[Product]], 40)</f>
        <v>0.12</v>
      </c>
      <c r="L105" s="157" t="str" cm="1">
        <f t="array" ref="L105">Common_InputFunctions.Utility_DisplayArrayInTable(Fertiliser_SourceData.Fertiliser_Products_Data3(),FertiliserProducts[[#Headers],[Product]], 40)</f>
        <v>Location not specified</v>
      </c>
      <c r="M105" s="157" t="str" cm="1">
        <f t="array" ref="M105">Common_InputFunctions.Utility_DisplayArrayInTable(Fertiliser_SourceData.Fertiliser_Products_Data3(),FertiliserProducts[[#Headers],[Product]], 40)</f>
        <v/>
      </c>
      <c r="N105" s="157" t="str" cm="1">
        <f t="array" ref="N105">Common_InputFunctions.Utility_DisplayArrayInTable(Fertiliser_SourceData.Fertiliser_Products_Data3(),FertiliserProducts[[#Headers],[Product]], 40)</f>
        <v/>
      </c>
      <c r="O105" s="157" t="str" cm="1">
        <f t="array" ref="O105">Common_InputFunctions.Utility_DisplayArrayInTable(Fertiliser_SourceData.Fertiliser_Products_Data3(),FertiliserProducts[[#Headers],[Product]], 40)</f>
        <v/>
      </c>
      <c r="P105" s="157" t="str" cm="1">
        <f t="array" ref="P105">Common_InputFunctions.Utility_DisplayArrayInTable(Fertiliser_SourceData.Fertiliser_Products_Data3(),FertiliserProducts[[#Headers],[Product]], 40)</f>
        <v/>
      </c>
      <c r="Q105" s="157" t="str" cm="1">
        <f t="array" ref="Q105">Common_InputFunctions.Utility_DisplayArrayInTable(Fertiliser_SourceData.Fertiliser_Products_Data3(),FertiliserProducts[[#Headers],[Product]], 40)</f>
        <v/>
      </c>
      <c r="R105" s="157" t="str" cm="1">
        <f t="array" ref="R105">Common_InputFunctions.Utility_DisplayArrayInTable(Fertiliser_SourceData.Fertiliser_Products_Data3(),FertiliserProducts[[#Headers],[Product]], 40)</f>
        <v/>
      </c>
      <c r="S105" s="157" t="str" cm="1">
        <f t="array" ref="S105">Common_InputFunctions.Utility_DisplayArrayInTable(Fertiliser_SourceData.Fertiliser_Products_Data3(),FertiliserProducts[[#Headers],[Product]], 40)</f>
        <v/>
      </c>
      <c r="T105" s="157" t="str" cm="1">
        <f t="array" ref="T105">Common_InputFunctions.Utility_DisplayArrayInTable(Fertiliser_SourceData.Fertiliser_Products_Data3(),FertiliserProducts[[#Headers],[Product]], 40)</f>
        <v/>
      </c>
      <c r="U105" s="157" t="str" cm="1">
        <f t="array" ref="U105">Common_InputFunctions.Utility_DisplayArrayInTable(Fertiliser_SourceData.Fertiliser_Products_Data3(),FertiliserProducts[[#Headers],[Product]], 40)</f>
        <v/>
      </c>
      <c r="V105" s="157" t="str" cm="1">
        <f t="array" ref="V105">Common_InputFunctions.Utility_DisplayArrayInTable(Fertiliser_SourceData.Fertiliser_Products_Data3(),FertiliserProducts[[#Headers],[Product]], 40)</f>
        <v/>
      </c>
      <c r="W105" s="157" t="str" cm="1">
        <f t="array" ref="W105">Common_InputFunctions.Utility_DisplayArrayInTable(Fertiliser_SourceData.Fertiliser_Products_Data3(),FertiliserProducts[[#Headers],[Product]], 40)</f>
        <v/>
      </c>
      <c r="X105" s="157" t="str" cm="1">
        <f t="array" ref="X105">Common_InputFunctions.Utility_DisplayArrayInTable(Fertiliser_SourceData.Fertiliser_Products_Data3(),FertiliserProducts[[#Headers],[Product]], 40)</f>
        <v/>
      </c>
      <c r="Y105" s="157" t="str" cm="1">
        <f t="array" ref="Y105">Common_InputFunctions.Utility_DisplayArrayInTable(Fertiliser_SourceData.Fertiliser_Products_Data3(),FertiliserProducts[[#Headers],[Product]], 40)</f>
        <v/>
      </c>
      <c r="Z105" s="157" t="str" cm="1">
        <f t="array" ref="Z105">Common_InputFunctions.Utility_DisplayArrayInTable(Fertiliser_SourceData.Fertiliser_Products_Data3(),FertiliserProducts[[#Headers],[Product]], 40)</f>
        <v/>
      </c>
      <c r="AA105" s="158" t="str" cm="1">
        <f t="array" ref="AA105">Common_InputFunctions.Utility_DisplayArrayInTable(Fertiliser_SourceData.Fertiliser_Products_Data3(),FertiliserProducts[[#Headers],[Product]], 40)</f>
        <v/>
      </c>
      <c r="AB105" s="158" t="str" cm="1">
        <f t="array" ref="AB105">Common_InputFunctions.Utility_DisplayArrayInTable(Fertiliser_SourceData.Fertiliser_Products_Data3(),FertiliserProducts[[#Headers],[Product]], 40)</f>
        <v/>
      </c>
      <c r="AC105" s="158" t="str" cm="1">
        <f t="array" ref="AC105">Common_InputFunctions.Utility_DisplayArrayInTable(Fertiliser_SourceData.Fertiliser_Products_Data3(),FertiliserProducts[[#Headers],[Product]], 40)</f>
        <v/>
      </c>
      <c r="AD105" s="158" t="str" cm="1">
        <f t="array" ref="AD105">Common_InputFunctions.Utility_DisplayArrayInTable(Fertiliser_SourceData.Fertiliser_Products_Data3(),FertiliserProducts[[#Headers],[Product]], 40)</f>
        <v/>
      </c>
      <c r="AE105" s="158" t="str" cm="1">
        <f t="array" ref="AE105">Common_InputFunctions.Utility_DisplayArrayInTable(Fertiliser_SourceData.Fertiliser_Products_Data3(),FertiliserProducts[[#Headers],[Product]], 40)</f>
        <v/>
      </c>
      <c r="AF105" s="158" t="str" cm="1">
        <f t="array" ref="AF105">Common_InputFunctions.Utility_DisplayArrayInTable(Fertiliser_SourceData.Fertiliser_Products_Data3(),FertiliserProducts[[#Headers],[Product]], 40)</f>
        <v/>
      </c>
      <c r="AG105" s="158" t="str" cm="1">
        <f t="array" ref="AG105">Common_InputFunctions.Utility_DisplayArrayInTable(Fertiliser_SourceData.Fertiliser_Products_Data3(),FertiliserProducts[[#Headers],[Product]], 40)</f>
        <v/>
      </c>
      <c r="AH105" s="158" t="str" cm="1">
        <f t="array" ref="AH105">Common_InputFunctions.Utility_DisplayArrayInTable(Fertiliser_SourceData.Fertiliser_Products_Data3(),FertiliserProducts[[#Headers],[Product]], 40)</f>
        <v/>
      </c>
      <c r="AI105" s="158" t="str" cm="1">
        <f t="array" ref="AI105">Common_InputFunctions.Utility_DisplayArrayInTable(Fertiliser_SourceData.Fertiliser_Products_Data3(),FertiliserProducts[[#Headers],[Product]], 40)</f>
        <v/>
      </c>
      <c r="AJ105" s="158" t="str" cm="1">
        <f t="array" ref="AJ105">Common_InputFunctions.Utility_DisplayArrayInTable(Fertiliser_SourceData.Fertiliser_Products_Data3(),FertiliserProducts[[#Headers],[Product]], 40)</f>
        <v/>
      </c>
    </row>
    <row r="106" spans="4:36" ht="20.100000000000001" customHeight="1" x14ac:dyDescent="0.25">
      <c r="D106" s="157" t="str" cm="1">
        <f t="array" ref="D106">Common_InputFunctions.Utility_DisplayArrayInTable(Fertiliser_SourceData.Fertiliser_Products_Data3(),FertiliserProducts[[#Headers],[Product]], 40)</f>
        <v>Solu-MKP</v>
      </c>
      <c r="E106" s="157" t="str" cm="1">
        <f t="array" ref="E106">Common_InputFunctions.Utility_DisplayArrayInTable(Fertiliser_SourceData.Fertiliser_Products_Data3(),FertiliserProducts[[#Headers],[Product]], 40)</f>
        <v>kg</v>
      </c>
      <c r="F106" s="157" cm="1">
        <f t="array" ref="F106">Common_InputFunctions.Utility_DisplayArrayInTable(Fertiliser_SourceData.Fertiliser_Products_Data3(),FertiliserProducts[[#Headers],[Product]], 40)</f>
        <v>1</v>
      </c>
      <c r="G106" s="157" t="str" cm="1">
        <f t="array" ref="G106">Common_InputFunctions.Utility_DisplayArrayInTable(Fertiliser_SourceData.Fertiliser_Products_Data3(),FertiliserProducts[[#Headers],[Product]], 40)</f>
        <v>Phosphorus - Generic</v>
      </c>
      <c r="H106" s="157" cm="1">
        <f t="array" ref="H106">Common_InputFunctions.Utility_DisplayArrayInTable(Fertiliser_SourceData.Fertiliser_Products_Data3(),FertiliserProducts[[#Headers],[Product]], 40)</f>
        <v>0.22700000000000001</v>
      </c>
      <c r="I106" s="157" t="str" cm="1">
        <f t="array" ref="I106">Common_InputFunctions.Utility_DisplayArrayInTable(Fertiliser_SourceData.Fertiliser_Products_Data3(),FertiliserProducts[[#Headers],[Product]], 40)</f>
        <v>Location not specified</v>
      </c>
      <c r="J106" s="157" t="str" cm="1">
        <f t="array" ref="J106">Common_InputFunctions.Utility_DisplayArrayInTable(Fertiliser_SourceData.Fertiliser_Products_Data3(),FertiliserProducts[[#Headers],[Product]], 40)</f>
        <v>Potassium - Generic</v>
      </c>
      <c r="K106" s="157" cm="1">
        <f t="array" ref="K106">Common_InputFunctions.Utility_DisplayArrayInTable(Fertiliser_SourceData.Fertiliser_Products_Data3(),FertiliserProducts[[#Headers],[Product]], 40)</f>
        <v>0.28499999999999998</v>
      </c>
      <c r="L106" s="157" t="str" cm="1">
        <f t="array" ref="L106">Common_InputFunctions.Utility_DisplayArrayInTable(Fertiliser_SourceData.Fertiliser_Products_Data3(),FertiliserProducts[[#Headers],[Product]], 40)</f>
        <v>Location not specified</v>
      </c>
      <c r="M106" s="157" t="str" cm="1">
        <f t="array" ref="M106">Common_InputFunctions.Utility_DisplayArrayInTable(Fertiliser_SourceData.Fertiliser_Products_Data3(),FertiliserProducts[[#Headers],[Product]], 40)</f>
        <v/>
      </c>
      <c r="N106" s="157" t="str" cm="1">
        <f t="array" ref="N106">Common_InputFunctions.Utility_DisplayArrayInTable(Fertiliser_SourceData.Fertiliser_Products_Data3(),FertiliserProducts[[#Headers],[Product]], 40)</f>
        <v/>
      </c>
      <c r="O106" s="157" t="str" cm="1">
        <f t="array" ref="O106">Common_InputFunctions.Utility_DisplayArrayInTable(Fertiliser_SourceData.Fertiliser_Products_Data3(),FertiliserProducts[[#Headers],[Product]], 40)</f>
        <v/>
      </c>
      <c r="P106" s="157" t="str" cm="1">
        <f t="array" ref="P106">Common_InputFunctions.Utility_DisplayArrayInTable(Fertiliser_SourceData.Fertiliser_Products_Data3(),FertiliserProducts[[#Headers],[Product]], 40)</f>
        <v/>
      </c>
      <c r="Q106" s="157" t="str" cm="1">
        <f t="array" ref="Q106">Common_InputFunctions.Utility_DisplayArrayInTable(Fertiliser_SourceData.Fertiliser_Products_Data3(),FertiliserProducts[[#Headers],[Product]], 40)</f>
        <v/>
      </c>
      <c r="R106" s="157" t="str" cm="1">
        <f t="array" ref="R106">Common_InputFunctions.Utility_DisplayArrayInTable(Fertiliser_SourceData.Fertiliser_Products_Data3(),FertiliserProducts[[#Headers],[Product]], 40)</f>
        <v/>
      </c>
      <c r="S106" s="157" t="str" cm="1">
        <f t="array" ref="S106">Common_InputFunctions.Utility_DisplayArrayInTable(Fertiliser_SourceData.Fertiliser_Products_Data3(),FertiliserProducts[[#Headers],[Product]], 40)</f>
        <v/>
      </c>
      <c r="T106" s="157" t="str" cm="1">
        <f t="array" ref="T106">Common_InputFunctions.Utility_DisplayArrayInTable(Fertiliser_SourceData.Fertiliser_Products_Data3(),FertiliserProducts[[#Headers],[Product]], 40)</f>
        <v/>
      </c>
      <c r="U106" s="157" t="str" cm="1">
        <f t="array" ref="U106">Common_InputFunctions.Utility_DisplayArrayInTable(Fertiliser_SourceData.Fertiliser_Products_Data3(),FertiliserProducts[[#Headers],[Product]], 40)</f>
        <v/>
      </c>
      <c r="V106" s="157" t="str" cm="1">
        <f t="array" ref="V106">Common_InputFunctions.Utility_DisplayArrayInTable(Fertiliser_SourceData.Fertiliser_Products_Data3(),FertiliserProducts[[#Headers],[Product]], 40)</f>
        <v/>
      </c>
      <c r="W106" s="157" t="str" cm="1">
        <f t="array" ref="W106">Common_InputFunctions.Utility_DisplayArrayInTable(Fertiliser_SourceData.Fertiliser_Products_Data3(),FertiliserProducts[[#Headers],[Product]], 40)</f>
        <v/>
      </c>
      <c r="X106" s="157" t="str" cm="1">
        <f t="array" ref="X106">Common_InputFunctions.Utility_DisplayArrayInTable(Fertiliser_SourceData.Fertiliser_Products_Data3(),FertiliserProducts[[#Headers],[Product]], 40)</f>
        <v/>
      </c>
      <c r="Y106" s="157" t="str" cm="1">
        <f t="array" ref="Y106">Common_InputFunctions.Utility_DisplayArrayInTable(Fertiliser_SourceData.Fertiliser_Products_Data3(),FertiliserProducts[[#Headers],[Product]], 40)</f>
        <v/>
      </c>
      <c r="Z106" s="157" t="str" cm="1">
        <f t="array" ref="Z106">Common_InputFunctions.Utility_DisplayArrayInTable(Fertiliser_SourceData.Fertiliser_Products_Data3(),FertiliserProducts[[#Headers],[Product]], 40)</f>
        <v/>
      </c>
      <c r="AA106" s="158" t="str" cm="1">
        <f t="array" ref="AA106">Common_InputFunctions.Utility_DisplayArrayInTable(Fertiliser_SourceData.Fertiliser_Products_Data3(),FertiliserProducts[[#Headers],[Product]], 40)</f>
        <v/>
      </c>
      <c r="AB106" s="158" t="str" cm="1">
        <f t="array" ref="AB106">Common_InputFunctions.Utility_DisplayArrayInTable(Fertiliser_SourceData.Fertiliser_Products_Data3(),FertiliserProducts[[#Headers],[Product]], 40)</f>
        <v/>
      </c>
      <c r="AC106" s="158" t="str" cm="1">
        <f t="array" ref="AC106">Common_InputFunctions.Utility_DisplayArrayInTable(Fertiliser_SourceData.Fertiliser_Products_Data3(),FertiliserProducts[[#Headers],[Product]], 40)</f>
        <v/>
      </c>
      <c r="AD106" s="158" t="str" cm="1">
        <f t="array" ref="AD106">Common_InputFunctions.Utility_DisplayArrayInTable(Fertiliser_SourceData.Fertiliser_Products_Data3(),FertiliserProducts[[#Headers],[Product]], 40)</f>
        <v/>
      </c>
      <c r="AE106" s="158" t="str" cm="1">
        <f t="array" ref="AE106">Common_InputFunctions.Utility_DisplayArrayInTable(Fertiliser_SourceData.Fertiliser_Products_Data3(),FertiliserProducts[[#Headers],[Product]], 40)</f>
        <v/>
      </c>
      <c r="AF106" s="158" t="str" cm="1">
        <f t="array" ref="AF106">Common_InputFunctions.Utility_DisplayArrayInTable(Fertiliser_SourceData.Fertiliser_Products_Data3(),FertiliserProducts[[#Headers],[Product]], 40)</f>
        <v/>
      </c>
      <c r="AG106" s="158" t="str" cm="1">
        <f t="array" ref="AG106">Common_InputFunctions.Utility_DisplayArrayInTable(Fertiliser_SourceData.Fertiliser_Products_Data3(),FertiliserProducts[[#Headers],[Product]], 40)</f>
        <v/>
      </c>
      <c r="AH106" s="158" t="str" cm="1">
        <f t="array" ref="AH106">Common_InputFunctions.Utility_DisplayArrayInTable(Fertiliser_SourceData.Fertiliser_Products_Data3(),FertiliserProducts[[#Headers],[Product]], 40)</f>
        <v/>
      </c>
      <c r="AI106" s="158" t="str" cm="1">
        <f t="array" ref="AI106">Common_InputFunctions.Utility_DisplayArrayInTable(Fertiliser_SourceData.Fertiliser_Products_Data3(),FertiliserProducts[[#Headers],[Product]], 40)</f>
        <v/>
      </c>
      <c r="AJ106" s="158" t="str" cm="1">
        <f t="array" ref="AJ106">Common_InputFunctions.Utility_DisplayArrayInTable(Fertiliser_SourceData.Fertiliser_Products_Data3(),FertiliserProducts[[#Headers],[Product]], 40)</f>
        <v/>
      </c>
    </row>
    <row r="107" spans="4:36" ht="20.100000000000001" customHeight="1" x14ac:dyDescent="0.25">
      <c r="D107" s="157" t="str" cm="1">
        <f t="array" ref="D107">Common_InputFunctions.Utility_DisplayArrayInTable(Fertiliser_SourceData.Fertiliser_Products_Data3(),FertiliserProducts[[#Headers],[Product]], 40)</f>
        <v>Solu-Sam</v>
      </c>
      <c r="E107" s="157" t="str" cm="1">
        <f t="array" ref="E107">Common_InputFunctions.Utility_DisplayArrayInTable(Fertiliser_SourceData.Fertiliser_Products_Data3(),FertiliserProducts[[#Headers],[Product]], 40)</f>
        <v>kg</v>
      </c>
      <c r="F107" s="157" cm="1">
        <f t="array" ref="F107">Common_InputFunctions.Utility_DisplayArrayInTable(Fertiliser_SourceData.Fertiliser_Products_Data3(),FertiliserProducts[[#Headers],[Product]], 40)</f>
        <v>1</v>
      </c>
      <c r="G107" s="157" t="str" cm="1">
        <f t="array" ref="G107">Common_InputFunctions.Utility_DisplayArrayInTable(Fertiliser_SourceData.Fertiliser_Products_Data3(),FertiliserProducts[[#Headers],[Product]], 40)</f>
        <v>Nitrogen - Ammoniacal</v>
      </c>
      <c r="H107" s="157" cm="1">
        <f t="array" ref="H107">Common_InputFunctions.Utility_DisplayArrayInTable(Fertiliser_SourceData.Fertiliser_Products_Data3(),FertiliserProducts[[#Headers],[Product]], 40)</f>
        <v>0.20799999999999999</v>
      </c>
      <c r="I107" s="157" t="str" cm="1">
        <f t="array" ref="I107">Common_InputFunctions.Utility_DisplayArrayInTable(Fertiliser_SourceData.Fertiliser_Products_Data3(),FertiliserProducts[[#Headers],[Product]], 40)</f>
        <v>Location not specified</v>
      </c>
      <c r="J107" s="157" t="str" cm="1">
        <f t="array" ref="J107">Common_InputFunctions.Utility_DisplayArrayInTable(Fertiliser_SourceData.Fertiliser_Products_Data3(),FertiliserProducts[[#Headers],[Product]], 40)</f>
        <v>Sulfur - Generic</v>
      </c>
      <c r="K107" s="157" cm="1">
        <f t="array" ref="K107">Common_InputFunctions.Utility_DisplayArrayInTable(Fertiliser_SourceData.Fertiliser_Products_Data3(),FertiliserProducts[[#Headers],[Product]], 40)</f>
        <v>0.23799999999999999</v>
      </c>
      <c r="L107" s="157" t="str" cm="1">
        <f t="array" ref="L107">Common_InputFunctions.Utility_DisplayArrayInTable(Fertiliser_SourceData.Fertiliser_Products_Data3(),FertiliserProducts[[#Headers],[Product]], 40)</f>
        <v>Location not specified</v>
      </c>
      <c r="M107" s="157" t="str" cm="1">
        <f t="array" ref="M107">Common_InputFunctions.Utility_DisplayArrayInTable(Fertiliser_SourceData.Fertiliser_Products_Data3(),FertiliserProducts[[#Headers],[Product]], 40)</f>
        <v/>
      </c>
      <c r="N107" s="157" t="str" cm="1">
        <f t="array" ref="N107">Common_InputFunctions.Utility_DisplayArrayInTable(Fertiliser_SourceData.Fertiliser_Products_Data3(),FertiliserProducts[[#Headers],[Product]], 40)</f>
        <v/>
      </c>
      <c r="O107" s="157" t="str" cm="1">
        <f t="array" ref="O107">Common_InputFunctions.Utility_DisplayArrayInTable(Fertiliser_SourceData.Fertiliser_Products_Data3(),FertiliserProducts[[#Headers],[Product]], 40)</f>
        <v/>
      </c>
      <c r="P107" s="157" t="str" cm="1">
        <f t="array" ref="P107">Common_InputFunctions.Utility_DisplayArrayInTable(Fertiliser_SourceData.Fertiliser_Products_Data3(),FertiliserProducts[[#Headers],[Product]], 40)</f>
        <v/>
      </c>
      <c r="Q107" s="157" t="str" cm="1">
        <f t="array" ref="Q107">Common_InputFunctions.Utility_DisplayArrayInTable(Fertiliser_SourceData.Fertiliser_Products_Data3(),FertiliserProducts[[#Headers],[Product]], 40)</f>
        <v/>
      </c>
      <c r="R107" s="157" t="str" cm="1">
        <f t="array" ref="R107">Common_InputFunctions.Utility_DisplayArrayInTable(Fertiliser_SourceData.Fertiliser_Products_Data3(),FertiliserProducts[[#Headers],[Product]], 40)</f>
        <v/>
      </c>
      <c r="S107" s="157" t="str" cm="1">
        <f t="array" ref="S107">Common_InputFunctions.Utility_DisplayArrayInTable(Fertiliser_SourceData.Fertiliser_Products_Data3(),FertiliserProducts[[#Headers],[Product]], 40)</f>
        <v/>
      </c>
      <c r="T107" s="157" t="str" cm="1">
        <f t="array" ref="T107">Common_InputFunctions.Utility_DisplayArrayInTable(Fertiliser_SourceData.Fertiliser_Products_Data3(),FertiliserProducts[[#Headers],[Product]], 40)</f>
        <v/>
      </c>
      <c r="U107" s="157" t="str" cm="1">
        <f t="array" ref="U107">Common_InputFunctions.Utility_DisplayArrayInTable(Fertiliser_SourceData.Fertiliser_Products_Data3(),FertiliserProducts[[#Headers],[Product]], 40)</f>
        <v/>
      </c>
      <c r="V107" s="157" t="str" cm="1">
        <f t="array" ref="V107">Common_InputFunctions.Utility_DisplayArrayInTable(Fertiliser_SourceData.Fertiliser_Products_Data3(),FertiliserProducts[[#Headers],[Product]], 40)</f>
        <v/>
      </c>
      <c r="W107" s="157" t="str" cm="1">
        <f t="array" ref="W107">Common_InputFunctions.Utility_DisplayArrayInTable(Fertiliser_SourceData.Fertiliser_Products_Data3(),FertiliserProducts[[#Headers],[Product]], 40)</f>
        <v/>
      </c>
      <c r="X107" s="157" t="str" cm="1">
        <f t="array" ref="X107">Common_InputFunctions.Utility_DisplayArrayInTable(Fertiliser_SourceData.Fertiliser_Products_Data3(),FertiliserProducts[[#Headers],[Product]], 40)</f>
        <v/>
      </c>
      <c r="Y107" s="157" t="str" cm="1">
        <f t="array" ref="Y107">Common_InputFunctions.Utility_DisplayArrayInTable(Fertiliser_SourceData.Fertiliser_Products_Data3(),FertiliserProducts[[#Headers],[Product]], 40)</f>
        <v/>
      </c>
      <c r="Z107" s="157" t="str" cm="1">
        <f t="array" ref="Z107">Common_InputFunctions.Utility_DisplayArrayInTable(Fertiliser_SourceData.Fertiliser_Products_Data3(),FertiliserProducts[[#Headers],[Product]], 40)</f>
        <v/>
      </c>
      <c r="AA107" s="158" t="str" cm="1">
        <f t="array" ref="AA107">Common_InputFunctions.Utility_DisplayArrayInTable(Fertiliser_SourceData.Fertiliser_Products_Data3(),FertiliserProducts[[#Headers],[Product]], 40)</f>
        <v/>
      </c>
      <c r="AB107" s="158" t="str" cm="1">
        <f t="array" ref="AB107">Common_InputFunctions.Utility_DisplayArrayInTable(Fertiliser_SourceData.Fertiliser_Products_Data3(),FertiliserProducts[[#Headers],[Product]], 40)</f>
        <v/>
      </c>
      <c r="AC107" s="158" t="str" cm="1">
        <f t="array" ref="AC107">Common_InputFunctions.Utility_DisplayArrayInTable(Fertiliser_SourceData.Fertiliser_Products_Data3(),FertiliserProducts[[#Headers],[Product]], 40)</f>
        <v/>
      </c>
      <c r="AD107" s="158" t="str" cm="1">
        <f t="array" ref="AD107">Common_InputFunctions.Utility_DisplayArrayInTable(Fertiliser_SourceData.Fertiliser_Products_Data3(),FertiliserProducts[[#Headers],[Product]], 40)</f>
        <v/>
      </c>
      <c r="AE107" s="158" t="str" cm="1">
        <f t="array" ref="AE107">Common_InputFunctions.Utility_DisplayArrayInTable(Fertiliser_SourceData.Fertiliser_Products_Data3(),FertiliserProducts[[#Headers],[Product]], 40)</f>
        <v/>
      </c>
      <c r="AF107" s="158" t="str" cm="1">
        <f t="array" ref="AF107">Common_InputFunctions.Utility_DisplayArrayInTable(Fertiliser_SourceData.Fertiliser_Products_Data3(),FertiliserProducts[[#Headers],[Product]], 40)</f>
        <v/>
      </c>
      <c r="AG107" s="158" t="str" cm="1">
        <f t="array" ref="AG107">Common_InputFunctions.Utility_DisplayArrayInTable(Fertiliser_SourceData.Fertiliser_Products_Data3(),FertiliserProducts[[#Headers],[Product]], 40)</f>
        <v/>
      </c>
      <c r="AH107" s="158" t="str" cm="1">
        <f t="array" ref="AH107">Common_InputFunctions.Utility_DisplayArrayInTable(Fertiliser_SourceData.Fertiliser_Products_Data3(),FertiliserProducts[[#Headers],[Product]], 40)</f>
        <v/>
      </c>
      <c r="AI107" s="158" t="str" cm="1">
        <f t="array" ref="AI107">Common_InputFunctions.Utility_DisplayArrayInTable(Fertiliser_SourceData.Fertiliser_Products_Data3(),FertiliserProducts[[#Headers],[Product]], 40)</f>
        <v/>
      </c>
      <c r="AJ107" s="158" t="str" cm="1">
        <f t="array" ref="AJ107">Common_InputFunctions.Utility_DisplayArrayInTable(Fertiliser_SourceData.Fertiliser_Products_Data3(),FertiliserProducts[[#Headers],[Product]], 40)</f>
        <v/>
      </c>
    </row>
    <row r="108" spans="4:36" ht="20.100000000000001" customHeight="1" x14ac:dyDescent="0.25">
      <c r="D108" s="157" t="str" cm="1">
        <f t="array" ref="D108">Common_InputFunctions.Utility_DisplayArrayInTable(Fertiliser_SourceData.Fertiliser_Products_Data3(),FertiliserProducts[[#Headers],[Product]], 40)</f>
        <v>Solu-Zinc</v>
      </c>
      <c r="E108" s="157" t="str" cm="1">
        <f t="array" ref="E108">Common_InputFunctions.Utility_DisplayArrayInTable(Fertiliser_SourceData.Fertiliser_Products_Data3(),FertiliserProducts[[#Headers],[Product]], 40)</f>
        <v>kg</v>
      </c>
      <c r="F108" s="157" cm="1">
        <f t="array" ref="F108">Common_InputFunctions.Utility_DisplayArrayInTable(Fertiliser_SourceData.Fertiliser_Products_Data3(),FertiliserProducts[[#Headers],[Product]], 40)</f>
        <v>1</v>
      </c>
      <c r="G108" s="157" t="str" cm="1">
        <f t="array" ref="G108">Common_InputFunctions.Utility_DisplayArrayInTable(Fertiliser_SourceData.Fertiliser_Products_Data3(),FertiliserProducts[[#Headers],[Product]], 40)</f>
        <v>Zinc - Generic</v>
      </c>
      <c r="H108" s="157" cm="1">
        <f t="array" ref="H108">Common_InputFunctions.Utility_DisplayArrayInTable(Fertiliser_SourceData.Fertiliser_Products_Data3(),FertiliserProducts[[#Headers],[Product]], 40)</f>
        <v>0.21</v>
      </c>
      <c r="I108" s="157" t="str" cm="1">
        <f t="array" ref="I108">Common_InputFunctions.Utility_DisplayArrayInTable(Fertiliser_SourceData.Fertiliser_Products_Data3(),FertiliserProducts[[#Headers],[Product]], 40)</f>
        <v>Location not specified</v>
      </c>
      <c r="J108" s="157" t="str" cm="1">
        <f t="array" ref="J108">Common_InputFunctions.Utility_DisplayArrayInTable(Fertiliser_SourceData.Fertiliser_Products_Data3(),FertiliserProducts[[#Headers],[Product]], 40)</f>
        <v>Sulfur - Generic</v>
      </c>
      <c r="K108" s="157" cm="1">
        <f t="array" ref="K108">Common_InputFunctions.Utility_DisplayArrayInTable(Fertiliser_SourceData.Fertiliser_Products_Data3(),FertiliserProducts[[#Headers],[Product]], 40)</f>
        <v>0.105</v>
      </c>
      <c r="L108" s="157" t="str" cm="1">
        <f t="array" ref="L108">Common_InputFunctions.Utility_DisplayArrayInTable(Fertiliser_SourceData.Fertiliser_Products_Data3(),FertiliserProducts[[#Headers],[Product]], 40)</f>
        <v>Location not specified</v>
      </c>
      <c r="M108" s="157" t="str" cm="1">
        <f t="array" ref="M108">Common_InputFunctions.Utility_DisplayArrayInTable(Fertiliser_SourceData.Fertiliser_Products_Data3(),FertiliserProducts[[#Headers],[Product]], 40)</f>
        <v/>
      </c>
      <c r="N108" s="157" t="str" cm="1">
        <f t="array" ref="N108">Common_InputFunctions.Utility_DisplayArrayInTable(Fertiliser_SourceData.Fertiliser_Products_Data3(),FertiliserProducts[[#Headers],[Product]], 40)</f>
        <v/>
      </c>
      <c r="O108" s="157" t="str" cm="1">
        <f t="array" ref="O108">Common_InputFunctions.Utility_DisplayArrayInTable(Fertiliser_SourceData.Fertiliser_Products_Data3(),FertiliserProducts[[#Headers],[Product]], 40)</f>
        <v/>
      </c>
      <c r="P108" s="157" t="str" cm="1">
        <f t="array" ref="P108">Common_InputFunctions.Utility_DisplayArrayInTable(Fertiliser_SourceData.Fertiliser_Products_Data3(),FertiliserProducts[[#Headers],[Product]], 40)</f>
        <v/>
      </c>
      <c r="Q108" s="157" t="str" cm="1">
        <f t="array" ref="Q108">Common_InputFunctions.Utility_DisplayArrayInTable(Fertiliser_SourceData.Fertiliser_Products_Data3(),FertiliserProducts[[#Headers],[Product]], 40)</f>
        <v/>
      </c>
      <c r="R108" s="157" t="str" cm="1">
        <f t="array" ref="R108">Common_InputFunctions.Utility_DisplayArrayInTable(Fertiliser_SourceData.Fertiliser_Products_Data3(),FertiliserProducts[[#Headers],[Product]], 40)</f>
        <v/>
      </c>
      <c r="S108" s="157" t="str" cm="1">
        <f t="array" ref="S108">Common_InputFunctions.Utility_DisplayArrayInTable(Fertiliser_SourceData.Fertiliser_Products_Data3(),FertiliserProducts[[#Headers],[Product]], 40)</f>
        <v/>
      </c>
      <c r="T108" s="157" t="str" cm="1">
        <f t="array" ref="T108">Common_InputFunctions.Utility_DisplayArrayInTable(Fertiliser_SourceData.Fertiliser_Products_Data3(),FertiliserProducts[[#Headers],[Product]], 40)</f>
        <v/>
      </c>
      <c r="U108" s="157" t="str" cm="1">
        <f t="array" ref="U108">Common_InputFunctions.Utility_DisplayArrayInTable(Fertiliser_SourceData.Fertiliser_Products_Data3(),FertiliserProducts[[#Headers],[Product]], 40)</f>
        <v/>
      </c>
      <c r="V108" s="157" t="str" cm="1">
        <f t="array" ref="V108">Common_InputFunctions.Utility_DisplayArrayInTable(Fertiliser_SourceData.Fertiliser_Products_Data3(),FertiliserProducts[[#Headers],[Product]], 40)</f>
        <v/>
      </c>
      <c r="W108" s="157" t="str" cm="1">
        <f t="array" ref="W108">Common_InputFunctions.Utility_DisplayArrayInTable(Fertiliser_SourceData.Fertiliser_Products_Data3(),FertiliserProducts[[#Headers],[Product]], 40)</f>
        <v/>
      </c>
      <c r="X108" s="157" t="str" cm="1">
        <f t="array" ref="X108">Common_InputFunctions.Utility_DisplayArrayInTable(Fertiliser_SourceData.Fertiliser_Products_Data3(),FertiliserProducts[[#Headers],[Product]], 40)</f>
        <v/>
      </c>
      <c r="Y108" s="157" t="str" cm="1">
        <f t="array" ref="Y108">Common_InputFunctions.Utility_DisplayArrayInTable(Fertiliser_SourceData.Fertiliser_Products_Data3(),FertiliserProducts[[#Headers],[Product]], 40)</f>
        <v/>
      </c>
      <c r="Z108" s="157" t="str" cm="1">
        <f t="array" ref="Z108">Common_InputFunctions.Utility_DisplayArrayInTable(Fertiliser_SourceData.Fertiliser_Products_Data3(),FertiliserProducts[[#Headers],[Product]], 40)</f>
        <v/>
      </c>
      <c r="AA108" s="158" t="str" cm="1">
        <f t="array" ref="AA108">Common_InputFunctions.Utility_DisplayArrayInTable(Fertiliser_SourceData.Fertiliser_Products_Data3(),FertiliserProducts[[#Headers],[Product]], 40)</f>
        <v/>
      </c>
      <c r="AB108" s="158" t="str" cm="1">
        <f t="array" ref="AB108">Common_InputFunctions.Utility_DisplayArrayInTable(Fertiliser_SourceData.Fertiliser_Products_Data3(),FertiliserProducts[[#Headers],[Product]], 40)</f>
        <v/>
      </c>
      <c r="AC108" s="158" t="str" cm="1">
        <f t="array" ref="AC108">Common_InputFunctions.Utility_DisplayArrayInTable(Fertiliser_SourceData.Fertiliser_Products_Data3(),FertiliserProducts[[#Headers],[Product]], 40)</f>
        <v/>
      </c>
      <c r="AD108" s="158" t="str" cm="1">
        <f t="array" ref="AD108">Common_InputFunctions.Utility_DisplayArrayInTable(Fertiliser_SourceData.Fertiliser_Products_Data3(),FertiliserProducts[[#Headers],[Product]], 40)</f>
        <v/>
      </c>
      <c r="AE108" s="158" t="str" cm="1">
        <f t="array" ref="AE108">Common_InputFunctions.Utility_DisplayArrayInTable(Fertiliser_SourceData.Fertiliser_Products_Data3(),FertiliserProducts[[#Headers],[Product]], 40)</f>
        <v/>
      </c>
      <c r="AF108" s="158" t="str" cm="1">
        <f t="array" ref="AF108">Common_InputFunctions.Utility_DisplayArrayInTable(Fertiliser_SourceData.Fertiliser_Products_Data3(),FertiliserProducts[[#Headers],[Product]], 40)</f>
        <v/>
      </c>
      <c r="AG108" s="158" t="str" cm="1">
        <f t="array" ref="AG108">Common_InputFunctions.Utility_DisplayArrayInTable(Fertiliser_SourceData.Fertiliser_Products_Data3(),FertiliserProducts[[#Headers],[Product]], 40)</f>
        <v/>
      </c>
      <c r="AH108" s="158" t="str" cm="1">
        <f t="array" ref="AH108">Common_InputFunctions.Utility_DisplayArrayInTable(Fertiliser_SourceData.Fertiliser_Products_Data3(),FertiliserProducts[[#Headers],[Product]], 40)</f>
        <v/>
      </c>
      <c r="AI108" s="158" t="str" cm="1">
        <f t="array" ref="AI108">Common_InputFunctions.Utility_DisplayArrayInTable(Fertiliser_SourceData.Fertiliser_Products_Data3(),FertiliserProducts[[#Headers],[Product]], 40)</f>
        <v/>
      </c>
      <c r="AJ108" s="158" t="str" cm="1">
        <f t="array" ref="AJ108">Common_InputFunctions.Utility_DisplayArrayInTable(Fertiliser_SourceData.Fertiliser_Products_Data3(),FertiliserProducts[[#Headers],[Product]], 40)</f>
        <v/>
      </c>
    </row>
    <row r="109" spans="4:36" ht="20.100000000000001" customHeight="1" x14ac:dyDescent="0.25">
      <c r="D109" s="157" t="str" cm="1">
        <f t="array" ref="D109">Common_InputFunctions.Utility_DisplayArrayInTable(Fertiliser_SourceData.Fertiliser_Products_Data3(),FertiliserProducts[[#Headers],[Product]], 40)</f>
        <v>Thio-K</v>
      </c>
      <c r="E109" s="157" t="str" cm="1">
        <f t="array" ref="E109">Common_InputFunctions.Utility_DisplayArrayInTable(Fertiliser_SourceData.Fertiliser_Products_Data3(),FertiliserProducts[[#Headers],[Product]], 40)</f>
        <v>L</v>
      </c>
      <c r="F109" s="157" cm="1">
        <f t="array" ref="F109">Common_InputFunctions.Utility_DisplayArrayInTable(Fertiliser_SourceData.Fertiliser_Products_Data3(),FertiliserProducts[[#Headers],[Product]], 40)</f>
        <v>1.47</v>
      </c>
      <c r="G109" s="157" t="str" cm="1">
        <f t="array" ref="G109">Common_InputFunctions.Utility_DisplayArrayInTable(Fertiliser_SourceData.Fertiliser_Products_Data3(),FertiliserProducts[[#Headers],[Product]], 40)</f>
        <v>Potassium - Generic</v>
      </c>
      <c r="H109" s="157" cm="1">
        <f t="array" ref="H109">Common_InputFunctions.Utility_DisplayArrayInTable(Fertiliser_SourceData.Fertiliser_Products_Data3(),FertiliserProducts[[#Headers],[Product]], 40)</f>
        <v>0.3</v>
      </c>
      <c r="I109" s="157" t="str" cm="1">
        <f t="array" ref="I109">Common_InputFunctions.Utility_DisplayArrayInTable(Fertiliser_SourceData.Fertiliser_Products_Data3(),FertiliserProducts[[#Headers],[Product]], 40)</f>
        <v>Location not specified</v>
      </c>
      <c r="J109" s="157" t="str" cm="1">
        <f t="array" ref="J109">Common_InputFunctions.Utility_DisplayArrayInTable(Fertiliser_SourceData.Fertiliser_Products_Data3(),FertiliserProducts[[#Headers],[Product]], 40)</f>
        <v>Sulfur - Generic</v>
      </c>
      <c r="K109" s="157" cm="1">
        <f t="array" ref="K109">Common_InputFunctions.Utility_DisplayArrayInTable(Fertiliser_SourceData.Fertiliser_Products_Data3(),FertiliserProducts[[#Headers],[Product]], 40)</f>
        <v>0.25</v>
      </c>
      <c r="L109" s="157" t="str" cm="1">
        <f t="array" ref="L109">Common_InputFunctions.Utility_DisplayArrayInTable(Fertiliser_SourceData.Fertiliser_Products_Data3(),FertiliserProducts[[#Headers],[Product]], 40)</f>
        <v>Location not specified</v>
      </c>
      <c r="M109" s="157" t="str" cm="1">
        <f t="array" ref="M109">Common_InputFunctions.Utility_DisplayArrayInTable(Fertiliser_SourceData.Fertiliser_Products_Data3(),FertiliserProducts[[#Headers],[Product]], 40)</f>
        <v/>
      </c>
      <c r="N109" s="157" t="str" cm="1">
        <f t="array" ref="N109">Common_InputFunctions.Utility_DisplayArrayInTable(Fertiliser_SourceData.Fertiliser_Products_Data3(),FertiliserProducts[[#Headers],[Product]], 40)</f>
        <v/>
      </c>
      <c r="O109" s="157" t="str" cm="1">
        <f t="array" ref="O109">Common_InputFunctions.Utility_DisplayArrayInTable(Fertiliser_SourceData.Fertiliser_Products_Data3(),FertiliserProducts[[#Headers],[Product]], 40)</f>
        <v/>
      </c>
      <c r="P109" s="157" t="str" cm="1">
        <f t="array" ref="P109">Common_InputFunctions.Utility_DisplayArrayInTable(Fertiliser_SourceData.Fertiliser_Products_Data3(),FertiliserProducts[[#Headers],[Product]], 40)</f>
        <v/>
      </c>
      <c r="Q109" s="157" t="str" cm="1">
        <f t="array" ref="Q109">Common_InputFunctions.Utility_DisplayArrayInTable(Fertiliser_SourceData.Fertiliser_Products_Data3(),FertiliserProducts[[#Headers],[Product]], 40)</f>
        <v/>
      </c>
      <c r="R109" s="157" t="str" cm="1">
        <f t="array" ref="R109">Common_InputFunctions.Utility_DisplayArrayInTable(Fertiliser_SourceData.Fertiliser_Products_Data3(),FertiliserProducts[[#Headers],[Product]], 40)</f>
        <v/>
      </c>
      <c r="S109" s="157" t="str" cm="1">
        <f t="array" ref="S109">Common_InputFunctions.Utility_DisplayArrayInTable(Fertiliser_SourceData.Fertiliser_Products_Data3(),FertiliserProducts[[#Headers],[Product]], 40)</f>
        <v/>
      </c>
      <c r="T109" s="157" t="str" cm="1">
        <f t="array" ref="T109">Common_InputFunctions.Utility_DisplayArrayInTable(Fertiliser_SourceData.Fertiliser_Products_Data3(),FertiliserProducts[[#Headers],[Product]], 40)</f>
        <v/>
      </c>
      <c r="U109" s="157" t="str" cm="1">
        <f t="array" ref="U109">Common_InputFunctions.Utility_DisplayArrayInTable(Fertiliser_SourceData.Fertiliser_Products_Data3(),FertiliserProducts[[#Headers],[Product]], 40)</f>
        <v/>
      </c>
      <c r="V109" s="157" t="str" cm="1">
        <f t="array" ref="V109">Common_InputFunctions.Utility_DisplayArrayInTable(Fertiliser_SourceData.Fertiliser_Products_Data3(),FertiliserProducts[[#Headers],[Product]], 40)</f>
        <v/>
      </c>
      <c r="W109" s="157" t="str" cm="1">
        <f t="array" ref="W109">Common_InputFunctions.Utility_DisplayArrayInTable(Fertiliser_SourceData.Fertiliser_Products_Data3(),FertiliserProducts[[#Headers],[Product]], 40)</f>
        <v/>
      </c>
      <c r="X109" s="157" t="str" cm="1">
        <f t="array" ref="X109">Common_InputFunctions.Utility_DisplayArrayInTable(Fertiliser_SourceData.Fertiliser_Products_Data3(),FertiliserProducts[[#Headers],[Product]], 40)</f>
        <v/>
      </c>
      <c r="Y109" s="157" t="str" cm="1">
        <f t="array" ref="Y109">Common_InputFunctions.Utility_DisplayArrayInTable(Fertiliser_SourceData.Fertiliser_Products_Data3(),FertiliserProducts[[#Headers],[Product]], 40)</f>
        <v/>
      </c>
      <c r="Z109" s="157" t="str" cm="1">
        <f t="array" ref="Z109">Common_InputFunctions.Utility_DisplayArrayInTable(Fertiliser_SourceData.Fertiliser_Products_Data3(),FertiliserProducts[[#Headers],[Product]], 40)</f>
        <v/>
      </c>
      <c r="AA109" s="158" t="str" cm="1">
        <f t="array" ref="AA109">Common_InputFunctions.Utility_DisplayArrayInTable(Fertiliser_SourceData.Fertiliser_Products_Data3(),FertiliserProducts[[#Headers],[Product]], 40)</f>
        <v/>
      </c>
      <c r="AB109" s="158" t="str" cm="1">
        <f t="array" ref="AB109">Common_InputFunctions.Utility_DisplayArrayInTable(Fertiliser_SourceData.Fertiliser_Products_Data3(),FertiliserProducts[[#Headers],[Product]], 40)</f>
        <v/>
      </c>
      <c r="AC109" s="158" t="str" cm="1">
        <f t="array" ref="AC109">Common_InputFunctions.Utility_DisplayArrayInTable(Fertiliser_SourceData.Fertiliser_Products_Data3(),FertiliserProducts[[#Headers],[Product]], 40)</f>
        <v/>
      </c>
      <c r="AD109" s="158" t="str" cm="1">
        <f t="array" ref="AD109">Common_InputFunctions.Utility_DisplayArrayInTable(Fertiliser_SourceData.Fertiliser_Products_Data3(),FertiliserProducts[[#Headers],[Product]], 40)</f>
        <v/>
      </c>
      <c r="AE109" s="158" t="str" cm="1">
        <f t="array" ref="AE109">Common_InputFunctions.Utility_DisplayArrayInTable(Fertiliser_SourceData.Fertiliser_Products_Data3(),FertiliserProducts[[#Headers],[Product]], 40)</f>
        <v/>
      </c>
      <c r="AF109" s="158" t="str" cm="1">
        <f t="array" ref="AF109">Common_InputFunctions.Utility_DisplayArrayInTable(Fertiliser_SourceData.Fertiliser_Products_Data3(),FertiliserProducts[[#Headers],[Product]], 40)</f>
        <v/>
      </c>
      <c r="AG109" s="158" t="str" cm="1">
        <f t="array" ref="AG109">Common_InputFunctions.Utility_DisplayArrayInTable(Fertiliser_SourceData.Fertiliser_Products_Data3(),FertiliserProducts[[#Headers],[Product]], 40)</f>
        <v/>
      </c>
      <c r="AH109" s="158" t="str" cm="1">
        <f t="array" ref="AH109">Common_InputFunctions.Utility_DisplayArrayInTable(Fertiliser_SourceData.Fertiliser_Products_Data3(),FertiliserProducts[[#Headers],[Product]], 40)</f>
        <v/>
      </c>
      <c r="AI109" s="158" t="str" cm="1">
        <f t="array" ref="AI109">Common_InputFunctions.Utility_DisplayArrayInTable(Fertiliser_SourceData.Fertiliser_Products_Data3(),FertiliserProducts[[#Headers],[Product]], 40)</f>
        <v/>
      </c>
      <c r="AJ109" s="158" t="str" cm="1">
        <f t="array" ref="AJ109">Common_InputFunctions.Utility_DisplayArrayInTable(Fertiliser_SourceData.Fertiliser_Products_Data3(),FertiliserProducts[[#Headers],[Product]], 40)</f>
        <v/>
      </c>
    </row>
    <row r="110" spans="4:36" ht="20.100000000000001" customHeight="1" x14ac:dyDescent="0.25">
      <c r="D110" s="157" t="str" cm="1">
        <f t="array" ref="D110">Common_InputFunctions.Utility_DisplayArrayInTable(Fertiliser_SourceData.Fertiliser_Products_Data3(),FertiliserProducts[[#Headers],[Product]], 40)</f>
        <v>Thio-N</v>
      </c>
      <c r="E110" s="157" t="str" cm="1">
        <f t="array" ref="E110">Common_InputFunctions.Utility_DisplayArrayInTable(Fertiliser_SourceData.Fertiliser_Products_Data3(),FertiliserProducts[[#Headers],[Product]], 40)</f>
        <v>L</v>
      </c>
      <c r="F110" s="157" cm="1">
        <f t="array" ref="F110">Common_InputFunctions.Utility_DisplayArrayInTable(Fertiliser_SourceData.Fertiliser_Products_Data3(),FertiliserProducts[[#Headers],[Product]], 40)</f>
        <v>1.32</v>
      </c>
      <c r="G110" s="157" t="str" cm="1">
        <f t="array" ref="G110">Common_InputFunctions.Utility_DisplayArrayInTable(Fertiliser_SourceData.Fertiliser_Products_Data3(),FertiliserProducts[[#Headers],[Product]], 40)</f>
        <v>Nitrogen - Generic</v>
      </c>
      <c r="H110" s="157" cm="1">
        <f t="array" ref="H110">Common_InputFunctions.Utility_DisplayArrayInTable(Fertiliser_SourceData.Fertiliser_Products_Data3(),FertiliserProducts[[#Headers],[Product]], 40)</f>
        <v>0.372</v>
      </c>
      <c r="I110" s="157" t="str" cm="1">
        <f t="array" ref="I110">Common_InputFunctions.Utility_DisplayArrayInTable(Fertiliser_SourceData.Fertiliser_Products_Data3(),FertiliserProducts[[#Headers],[Product]], 40)</f>
        <v>Location not specified</v>
      </c>
      <c r="J110" s="157" t="str" cm="1">
        <f t="array" ref="J110">Common_InputFunctions.Utility_DisplayArrayInTable(Fertiliser_SourceData.Fertiliser_Products_Data3(),FertiliserProducts[[#Headers],[Product]], 40)</f>
        <v>Sulfur - Generic</v>
      </c>
      <c r="K110" s="157" cm="1">
        <f t="array" ref="K110">Common_InputFunctions.Utility_DisplayArrayInTable(Fertiliser_SourceData.Fertiliser_Products_Data3(),FertiliserProducts[[#Headers],[Product]], 40)</f>
        <v>7.0000000000000007E-2</v>
      </c>
      <c r="L110" s="157" t="str" cm="1">
        <f t="array" ref="L110">Common_InputFunctions.Utility_DisplayArrayInTable(Fertiliser_SourceData.Fertiliser_Products_Data3(),FertiliserProducts[[#Headers],[Product]], 40)</f>
        <v>Location not specified</v>
      </c>
      <c r="M110" s="157" t="str" cm="1">
        <f t="array" ref="M110">Common_InputFunctions.Utility_DisplayArrayInTable(Fertiliser_SourceData.Fertiliser_Products_Data3(),FertiliserProducts[[#Headers],[Product]], 40)</f>
        <v/>
      </c>
      <c r="N110" s="157" t="str" cm="1">
        <f t="array" ref="N110">Common_InputFunctions.Utility_DisplayArrayInTable(Fertiliser_SourceData.Fertiliser_Products_Data3(),FertiliserProducts[[#Headers],[Product]], 40)</f>
        <v/>
      </c>
      <c r="O110" s="157" t="str" cm="1">
        <f t="array" ref="O110">Common_InputFunctions.Utility_DisplayArrayInTable(Fertiliser_SourceData.Fertiliser_Products_Data3(),FertiliserProducts[[#Headers],[Product]], 40)</f>
        <v/>
      </c>
      <c r="P110" s="157" t="str" cm="1">
        <f t="array" ref="P110">Common_InputFunctions.Utility_DisplayArrayInTable(Fertiliser_SourceData.Fertiliser_Products_Data3(),FertiliserProducts[[#Headers],[Product]], 40)</f>
        <v/>
      </c>
      <c r="Q110" s="157" t="str" cm="1">
        <f t="array" ref="Q110">Common_InputFunctions.Utility_DisplayArrayInTable(Fertiliser_SourceData.Fertiliser_Products_Data3(),FertiliserProducts[[#Headers],[Product]], 40)</f>
        <v/>
      </c>
      <c r="R110" s="157" t="str" cm="1">
        <f t="array" ref="R110">Common_InputFunctions.Utility_DisplayArrayInTable(Fertiliser_SourceData.Fertiliser_Products_Data3(),FertiliserProducts[[#Headers],[Product]], 40)</f>
        <v/>
      </c>
      <c r="S110" s="157" t="str" cm="1">
        <f t="array" ref="S110">Common_InputFunctions.Utility_DisplayArrayInTable(Fertiliser_SourceData.Fertiliser_Products_Data3(),FertiliserProducts[[#Headers],[Product]], 40)</f>
        <v/>
      </c>
      <c r="T110" s="157" t="str" cm="1">
        <f t="array" ref="T110">Common_InputFunctions.Utility_DisplayArrayInTable(Fertiliser_SourceData.Fertiliser_Products_Data3(),FertiliserProducts[[#Headers],[Product]], 40)</f>
        <v/>
      </c>
      <c r="U110" s="157" t="str" cm="1">
        <f t="array" ref="U110">Common_InputFunctions.Utility_DisplayArrayInTable(Fertiliser_SourceData.Fertiliser_Products_Data3(),FertiliserProducts[[#Headers],[Product]], 40)</f>
        <v/>
      </c>
      <c r="V110" s="157" t="str" cm="1">
        <f t="array" ref="V110">Common_InputFunctions.Utility_DisplayArrayInTable(Fertiliser_SourceData.Fertiliser_Products_Data3(),FertiliserProducts[[#Headers],[Product]], 40)</f>
        <v/>
      </c>
      <c r="W110" s="157" t="str" cm="1">
        <f t="array" ref="W110">Common_InputFunctions.Utility_DisplayArrayInTable(Fertiliser_SourceData.Fertiliser_Products_Data3(),FertiliserProducts[[#Headers],[Product]], 40)</f>
        <v/>
      </c>
      <c r="X110" s="157" t="str" cm="1">
        <f t="array" ref="X110">Common_InputFunctions.Utility_DisplayArrayInTable(Fertiliser_SourceData.Fertiliser_Products_Data3(),FertiliserProducts[[#Headers],[Product]], 40)</f>
        <v/>
      </c>
      <c r="Y110" s="157" t="str" cm="1">
        <f t="array" ref="Y110">Common_InputFunctions.Utility_DisplayArrayInTable(Fertiliser_SourceData.Fertiliser_Products_Data3(),FertiliserProducts[[#Headers],[Product]], 40)</f>
        <v/>
      </c>
      <c r="Z110" s="157" t="str" cm="1">
        <f t="array" ref="Z110">Common_InputFunctions.Utility_DisplayArrayInTable(Fertiliser_SourceData.Fertiliser_Products_Data3(),FertiliserProducts[[#Headers],[Product]], 40)</f>
        <v/>
      </c>
      <c r="AA110" s="158" t="str" cm="1">
        <f t="array" ref="AA110">Common_InputFunctions.Utility_DisplayArrayInTable(Fertiliser_SourceData.Fertiliser_Products_Data3(),FertiliserProducts[[#Headers],[Product]], 40)</f>
        <v/>
      </c>
      <c r="AB110" s="158" t="str" cm="1">
        <f t="array" ref="AB110">Common_InputFunctions.Utility_DisplayArrayInTable(Fertiliser_SourceData.Fertiliser_Products_Data3(),FertiliserProducts[[#Headers],[Product]], 40)</f>
        <v/>
      </c>
      <c r="AC110" s="158" t="str" cm="1">
        <f t="array" ref="AC110">Common_InputFunctions.Utility_DisplayArrayInTable(Fertiliser_SourceData.Fertiliser_Products_Data3(),FertiliserProducts[[#Headers],[Product]], 40)</f>
        <v/>
      </c>
      <c r="AD110" s="158" t="str" cm="1">
        <f t="array" ref="AD110">Common_InputFunctions.Utility_DisplayArrayInTable(Fertiliser_SourceData.Fertiliser_Products_Data3(),FertiliserProducts[[#Headers],[Product]], 40)</f>
        <v/>
      </c>
      <c r="AE110" s="158" t="str" cm="1">
        <f t="array" ref="AE110">Common_InputFunctions.Utility_DisplayArrayInTable(Fertiliser_SourceData.Fertiliser_Products_Data3(),FertiliserProducts[[#Headers],[Product]], 40)</f>
        <v/>
      </c>
      <c r="AF110" s="158" t="str" cm="1">
        <f t="array" ref="AF110">Common_InputFunctions.Utility_DisplayArrayInTable(Fertiliser_SourceData.Fertiliser_Products_Data3(),FertiliserProducts[[#Headers],[Product]], 40)</f>
        <v/>
      </c>
      <c r="AG110" s="158" t="str" cm="1">
        <f t="array" ref="AG110">Common_InputFunctions.Utility_DisplayArrayInTable(Fertiliser_SourceData.Fertiliser_Products_Data3(),FertiliserProducts[[#Headers],[Product]], 40)</f>
        <v/>
      </c>
      <c r="AH110" s="158" t="str" cm="1">
        <f t="array" ref="AH110">Common_InputFunctions.Utility_DisplayArrayInTable(Fertiliser_SourceData.Fertiliser_Products_Data3(),FertiliserProducts[[#Headers],[Product]], 40)</f>
        <v/>
      </c>
      <c r="AI110" s="158" t="str" cm="1">
        <f t="array" ref="AI110">Common_InputFunctions.Utility_DisplayArrayInTable(Fertiliser_SourceData.Fertiliser_Products_Data3(),FertiliserProducts[[#Headers],[Product]], 40)</f>
        <v/>
      </c>
      <c r="AJ110" s="158" t="str" cm="1">
        <f t="array" ref="AJ110">Common_InputFunctions.Utility_DisplayArrayInTable(Fertiliser_SourceData.Fertiliser_Products_Data3(),FertiliserProducts[[#Headers],[Product]], 40)</f>
        <v/>
      </c>
    </row>
    <row r="111" spans="4:36" ht="20.100000000000001" customHeight="1" x14ac:dyDescent="0.25">
      <c r="D111" s="157" t="str" cm="1">
        <f t="array" ref="D111">Common_InputFunctions.Utility_DisplayArrayInTable(Fertiliser_SourceData.Fertiliser_Products_Data3(),FertiliserProducts[[#Headers],[Product]], 40)</f>
        <v>Thio-N Plus</v>
      </c>
      <c r="E111" s="157" t="str" cm="1">
        <f t="array" ref="E111">Common_InputFunctions.Utility_DisplayArrayInTable(Fertiliser_SourceData.Fertiliser_Products_Data3(),FertiliserProducts[[#Headers],[Product]], 40)</f>
        <v>L</v>
      </c>
      <c r="F111" s="157" cm="1">
        <f t="array" ref="F111">Common_InputFunctions.Utility_DisplayArrayInTable(Fertiliser_SourceData.Fertiliser_Products_Data3(),FertiliserProducts[[#Headers],[Product]], 40)</f>
        <v>1.32</v>
      </c>
      <c r="G111" s="157" t="str" cm="1">
        <f t="array" ref="G111">Common_InputFunctions.Utility_DisplayArrayInTable(Fertiliser_SourceData.Fertiliser_Products_Data3(),FertiliserProducts[[#Headers],[Product]], 40)</f>
        <v>Nitrogen - Generic</v>
      </c>
      <c r="H111" s="157" cm="1">
        <f t="array" ref="H111">Common_InputFunctions.Utility_DisplayArrayInTable(Fertiliser_SourceData.Fertiliser_Products_Data3(),FertiliserProducts[[#Headers],[Product]], 40)</f>
        <v>0.36399999999999999</v>
      </c>
      <c r="I111" s="157" t="str" cm="1">
        <f t="array" ref="I111">Common_InputFunctions.Utility_DisplayArrayInTable(Fertiliser_SourceData.Fertiliser_Products_Data3(),FertiliserProducts[[#Headers],[Product]], 40)</f>
        <v>Location not specified</v>
      </c>
      <c r="J111" s="157" t="str" cm="1">
        <f t="array" ref="J111">Common_InputFunctions.Utility_DisplayArrayInTable(Fertiliser_SourceData.Fertiliser_Products_Data3(),FertiliserProducts[[#Headers],[Product]], 40)</f>
        <v>Sulfur - Generic</v>
      </c>
      <c r="K111" s="157" cm="1">
        <f t="array" ref="K111">Common_InputFunctions.Utility_DisplayArrayInTable(Fertiliser_SourceData.Fertiliser_Products_Data3(),FertiliserProducts[[#Headers],[Product]], 40)</f>
        <v>7.0000000000000007E-2</v>
      </c>
      <c r="L111" s="157" t="str" cm="1">
        <f t="array" ref="L111">Common_InputFunctions.Utility_DisplayArrayInTable(Fertiliser_SourceData.Fertiliser_Products_Data3(),FertiliserProducts[[#Headers],[Product]], 40)</f>
        <v>Location not specified</v>
      </c>
      <c r="M111" s="157" t="str" cm="1">
        <f t="array" ref="M111">Common_InputFunctions.Utility_DisplayArrayInTable(Fertiliser_SourceData.Fertiliser_Products_Data3(),FertiliserProducts[[#Headers],[Product]], 40)</f>
        <v/>
      </c>
      <c r="N111" s="157" t="str" cm="1">
        <f t="array" ref="N111">Common_InputFunctions.Utility_DisplayArrayInTable(Fertiliser_SourceData.Fertiliser_Products_Data3(),FertiliserProducts[[#Headers],[Product]], 40)</f>
        <v/>
      </c>
      <c r="O111" s="157" t="str" cm="1">
        <f t="array" ref="O111">Common_InputFunctions.Utility_DisplayArrayInTable(Fertiliser_SourceData.Fertiliser_Products_Data3(),FertiliserProducts[[#Headers],[Product]], 40)</f>
        <v/>
      </c>
      <c r="P111" s="157" t="str" cm="1">
        <f t="array" ref="P111">Common_InputFunctions.Utility_DisplayArrayInTable(Fertiliser_SourceData.Fertiliser_Products_Data3(),FertiliserProducts[[#Headers],[Product]], 40)</f>
        <v/>
      </c>
      <c r="Q111" s="157" t="str" cm="1">
        <f t="array" ref="Q111">Common_InputFunctions.Utility_DisplayArrayInTable(Fertiliser_SourceData.Fertiliser_Products_Data3(),FertiliserProducts[[#Headers],[Product]], 40)</f>
        <v/>
      </c>
      <c r="R111" s="157" t="str" cm="1">
        <f t="array" ref="R111">Common_InputFunctions.Utility_DisplayArrayInTable(Fertiliser_SourceData.Fertiliser_Products_Data3(),FertiliserProducts[[#Headers],[Product]], 40)</f>
        <v/>
      </c>
      <c r="S111" s="157" t="str" cm="1">
        <f t="array" ref="S111">Common_InputFunctions.Utility_DisplayArrayInTable(Fertiliser_SourceData.Fertiliser_Products_Data3(),FertiliserProducts[[#Headers],[Product]], 40)</f>
        <v/>
      </c>
      <c r="T111" s="157" t="str" cm="1">
        <f t="array" ref="T111">Common_InputFunctions.Utility_DisplayArrayInTable(Fertiliser_SourceData.Fertiliser_Products_Data3(),FertiliserProducts[[#Headers],[Product]], 40)</f>
        <v/>
      </c>
      <c r="U111" s="157" t="str" cm="1">
        <f t="array" ref="U111">Common_InputFunctions.Utility_DisplayArrayInTable(Fertiliser_SourceData.Fertiliser_Products_Data3(),FertiliserProducts[[#Headers],[Product]], 40)</f>
        <v/>
      </c>
      <c r="V111" s="157" t="str" cm="1">
        <f t="array" ref="V111">Common_InputFunctions.Utility_DisplayArrayInTable(Fertiliser_SourceData.Fertiliser_Products_Data3(),FertiliserProducts[[#Headers],[Product]], 40)</f>
        <v/>
      </c>
      <c r="W111" s="157" t="str" cm="1">
        <f t="array" ref="W111">Common_InputFunctions.Utility_DisplayArrayInTable(Fertiliser_SourceData.Fertiliser_Products_Data3(),FertiliserProducts[[#Headers],[Product]], 40)</f>
        <v/>
      </c>
      <c r="X111" s="157" t="str" cm="1">
        <f t="array" ref="X111">Common_InputFunctions.Utility_DisplayArrayInTable(Fertiliser_SourceData.Fertiliser_Products_Data3(),FertiliserProducts[[#Headers],[Product]], 40)</f>
        <v/>
      </c>
      <c r="Y111" s="157" t="str" cm="1">
        <f t="array" ref="Y111">Common_InputFunctions.Utility_DisplayArrayInTable(Fertiliser_SourceData.Fertiliser_Products_Data3(),FertiliserProducts[[#Headers],[Product]], 40)</f>
        <v/>
      </c>
      <c r="Z111" s="157" t="str" cm="1">
        <f t="array" ref="Z111">Common_InputFunctions.Utility_DisplayArrayInTable(Fertiliser_SourceData.Fertiliser_Products_Data3(),FertiliserProducts[[#Headers],[Product]], 40)</f>
        <v/>
      </c>
      <c r="AA111" s="158" t="str" cm="1">
        <f t="array" ref="AA111">Common_InputFunctions.Utility_DisplayArrayInTable(Fertiliser_SourceData.Fertiliser_Products_Data3(),FertiliserProducts[[#Headers],[Product]], 40)</f>
        <v/>
      </c>
      <c r="AB111" s="158" t="str" cm="1">
        <f t="array" ref="AB111">Common_InputFunctions.Utility_DisplayArrayInTable(Fertiliser_SourceData.Fertiliser_Products_Data3(),FertiliserProducts[[#Headers],[Product]], 40)</f>
        <v/>
      </c>
      <c r="AC111" s="158" t="str" cm="1">
        <f t="array" ref="AC111">Common_InputFunctions.Utility_DisplayArrayInTable(Fertiliser_SourceData.Fertiliser_Products_Data3(),FertiliserProducts[[#Headers],[Product]], 40)</f>
        <v/>
      </c>
      <c r="AD111" s="158" t="str" cm="1">
        <f t="array" ref="AD111">Common_InputFunctions.Utility_DisplayArrayInTable(Fertiliser_SourceData.Fertiliser_Products_Data3(),FertiliserProducts[[#Headers],[Product]], 40)</f>
        <v/>
      </c>
      <c r="AE111" s="158" t="str" cm="1">
        <f t="array" ref="AE111">Common_InputFunctions.Utility_DisplayArrayInTable(Fertiliser_SourceData.Fertiliser_Products_Data3(),FertiliserProducts[[#Headers],[Product]], 40)</f>
        <v/>
      </c>
      <c r="AF111" s="158" t="str" cm="1">
        <f t="array" ref="AF111">Common_InputFunctions.Utility_DisplayArrayInTable(Fertiliser_SourceData.Fertiliser_Products_Data3(),FertiliserProducts[[#Headers],[Product]], 40)</f>
        <v/>
      </c>
      <c r="AG111" s="158" t="str" cm="1">
        <f t="array" ref="AG111">Common_InputFunctions.Utility_DisplayArrayInTable(Fertiliser_SourceData.Fertiliser_Products_Data3(),FertiliserProducts[[#Headers],[Product]], 40)</f>
        <v/>
      </c>
      <c r="AH111" s="158" t="str" cm="1">
        <f t="array" ref="AH111">Common_InputFunctions.Utility_DisplayArrayInTable(Fertiliser_SourceData.Fertiliser_Products_Data3(),FertiliserProducts[[#Headers],[Product]], 40)</f>
        <v/>
      </c>
      <c r="AI111" s="158" t="str" cm="1">
        <f t="array" ref="AI111">Common_InputFunctions.Utility_DisplayArrayInTable(Fertiliser_SourceData.Fertiliser_Products_Data3(),FertiliserProducts[[#Headers],[Product]], 40)</f>
        <v/>
      </c>
      <c r="AJ111" s="158" t="str" cm="1">
        <f t="array" ref="AJ111">Common_InputFunctions.Utility_DisplayArrayInTable(Fertiliser_SourceData.Fertiliser_Products_Data3(),FertiliserProducts[[#Headers],[Product]], 40)</f>
        <v/>
      </c>
    </row>
    <row r="112" spans="4:36" ht="20.100000000000001" customHeight="1" x14ac:dyDescent="0.25">
      <c r="D112" s="157" t="str" cm="1">
        <f t="array" ref="D112">Common_InputFunctions.Utility_DisplayArrayInTable(Fertiliser_SourceData.Fertiliser_Products_Data3(),FertiliserProducts[[#Headers],[Product]], 40)</f>
        <v>Thio-Sul</v>
      </c>
      <c r="E112" s="157" t="str" cm="1">
        <f t="array" ref="E112">Common_InputFunctions.Utility_DisplayArrayInTable(Fertiliser_SourceData.Fertiliser_Products_Data3(),FertiliserProducts[[#Headers],[Product]], 40)</f>
        <v>L</v>
      </c>
      <c r="F112" s="157" cm="1">
        <f t="array" ref="F112">Common_InputFunctions.Utility_DisplayArrayInTable(Fertiliser_SourceData.Fertiliser_Products_Data3(),FertiliserProducts[[#Headers],[Product]], 40)</f>
        <v>1.35</v>
      </c>
      <c r="G112" s="157" t="str" cm="1">
        <f t="array" ref="G112">Common_InputFunctions.Utility_DisplayArrayInTable(Fertiliser_SourceData.Fertiliser_Products_Data3(),FertiliserProducts[[#Headers],[Product]], 40)</f>
        <v>Sulfur - Generic</v>
      </c>
      <c r="H112" s="157" cm="1">
        <f t="array" ref="H112">Common_InputFunctions.Utility_DisplayArrayInTable(Fertiliser_SourceData.Fertiliser_Products_Data3(),FertiliserProducts[[#Headers],[Product]], 40)</f>
        <v>0.35</v>
      </c>
      <c r="I112" s="157" t="str" cm="1">
        <f t="array" ref="I112">Common_InputFunctions.Utility_DisplayArrayInTable(Fertiliser_SourceData.Fertiliser_Products_Data3(),FertiliserProducts[[#Headers],[Product]], 40)</f>
        <v>Location not specified</v>
      </c>
      <c r="J112" s="157" t="str" cm="1">
        <f t="array" ref="J112">Common_InputFunctions.Utility_DisplayArrayInTable(Fertiliser_SourceData.Fertiliser_Products_Data3(),FertiliserProducts[[#Headers],[Product]], 40)</f>
        <v>Nitrogen - Ammoniacal</v>
      </c>
      <c r="K112" s="157" cm="1">
        <f t="array" ref="K112">Common_InputFunctions.Utility_DisplayArrayInTable(Fertiliser_SourceData.Fertiliser_Products_Data3(),FertiliserProducts[[#Headers],[Product]], 40)</f>
        <v>0.16</v>
      </c>
      <c r="L112" s="157" t="str" cm="1">
        <f t="array" ref="L112">Common_InputFunctions.Utility_DisplayArrayInTable(Fertiliser_SourceData.Fertiliser_Products_Data3(),FertiliserProducts[[#Headers],[Product]], 40)</f>
        <v>Location not specified</v>
      </c>
      <c r="M112" s="157" t="str" cm="1">
        <f t="array" ref="M112">Common_InputFunctions.Utility_DisplayArrayInTable(Fertiliser_SourceData.Fertiliser_Products_Data3(),FertiliserProducts[[#Headers],[Product]], 40)</f>
        <v/>
      </c>
      <c r="N112" s="157" t="str" cm="1">
        <f t="array" ref="N112">Common_InputFunctions.Utility_DisplayArrayInTable(Fertiliser_SourceData.Fertiliser_Products_Data3(),FertiliserProducts[[#Headers],[Product]], 40)</f>
        <v/>
      </c>
      <c r="O112" s="157" t="str" cm="1">
        <f t="array" ref="O112">Common_InputFunctions.Utility_DisplayArrayInTable(Fertiliser_SourceData.Fertiliser_Products_Data3(),FertiliserProducts[[#Headers],[Product]], 40)</f>
        <v/>
      </c>
      <c r="P112" s="157" t="str" cm="1">
        <f t="array" ref="P112">Common_InputFunctions.Utility_DisplayArrayInTable(Fertiliser_SourceData.Fertiliser_Products_Data3(),FertiliserProducts[[#Headers],[Product]], 40)</f>
        <v/>
      </c>
      <c r="Q112" s="157" t="str" cm="1">
        <f t="array" ref="Q112">Common_InputFunctions.Utility_DisplayArrayInTable(Fertiliser_SourceData.Fertiliser_Products_Data3(),FertiliserProducts[[#Headers],[Product]], 40)</f>
        <v/>
      </c>
      <c r="R112" s="157" t="str" cm="1">
        <f t="array" ref="R112">Common_InputFunctions.Utility_DisplayArrayInTable(Fertiliser_SourceData.Fertiliser_Products_Data3(),FertiliserProducts[[#Headers],[Product]], 40)</f>
        <v/>
      </c>
      <c r="S112" s="157" t="str" cm="1">
        <f t="array" ref="S112">Common_InputFunctions.Utility_DisplayArrayInTable(Fertiliser_SourceData.Fertiliser_Products_Data3(),FertiliserProducts[[#Headers],[Product]], 40)</f>
        <v/>
      </c>
      <c r="T112" s="157" t="str" cm="1">
        <f t="array" ref="T112">Common_InputFunctions.Utility_DisplayArrayInTable(Fertiliser_SourceData.Fertiliser_Products_Data3(),FertiliserProducts[[#Headers],[Product]], 40)</f>
        <v/>
      </c>
      <c r="U112" s="157" t="str" cm="1">
        <f t="array" ref="U112">Common_InputFunctions.Utility_DisplayArrayInTable(Fertiliser_SourceData.Fertiliser_Products_Data3(),FertiliserProducts[[#Headers],[Product]], 40)</f>
        <v/>
      </c>
      <c r="V112" s="157" t="str" cm="1">
        <f t="array" ref="V112">Common_InputFunctions.Utility_DisplayArrayInTable(Fertiliser_SourceData.Fertiliser_Products_Data3(),FertiliserProducts[[#Headers],[Product]], 40)</f>
        <v/>
      </c>
      <c r="W112" s="157" t="str" cm="1">
        <f t="array" ref="W112">Common_InputFunctions.Utility_DisplayArrayInTable(Fertiliser_SourceData.Fertiliser_Products_Data3(),FertiliserProducts[[#Headers],[Product]], 40)</f>
        <v/>
      </c>
      <c r="X112" s="157" t="str" cm="1">
        <f t="array" ref="X112">Common_InputFunctions.Utility_DisplayArrayInTable(Fertiliser_SourceData.Fertiliser_Products_Data3(),FertiliserProducts[[#Headers],[Product]], 40)</f>
        <v/>
      </c>
      <c r="Y112" s="157" t="str" cm="1">
        <f t="array" ref="Y112">Common_InputFunctions.Utility_DisplayArrayInTable(Fertiliser_SourceData.Fertiliser_Products_Data3(),FertiliserProducts[[#Headers],[Product]], 40)</f>
        <v/>
      </c>
      <c r="Z112" s="157" t="str" cm="1">
        <f t="array" ref="Z112">Common_InputFunctions.Utility_DisplayArrayInTable(Fertiliser_SourceData.Fertiliser_Products_Data3(),FertiliserProducts[[#Headers],[Product]], 40)</f>
        <v/>
      </c>
      <c r="AA112" s="158" t="str" cm="1">
        <f t="array" ref="AA112">Common_InputFunctions.Utility_DisplayArrayInTable(Fertiliser_SourceData.Fertiliser_Products_Data3(),FertiliserProducts[[#Headers],[Product]], 40)</f>
        <v/>
      </c>
      <c r="AB112" s="158" t="str" cm="1">
        <f t="array" ref="AB112">Common_InputFunctions.Utility_DisplayArrayInTable(Fertiliser_SourceData.Fertiliser_Products_Data3(),FertiliserProducts[[#Headers],[Product]], 40)</f>
        <v/>
      </c>
      <c r="AC112" s="158" t="str" cm="1">
        <f t="array" ref="AC112">Common_InputFunctions.Utility_DisplayArrayInTable(Fertiliser_SourceData.Fertiliser_Products_Data3(),FertiliserProducts[[#Headers],[Product]], 40)</f>
        <v/>
      </c>
      <c r="AD112" s="158" t="str" cm="1">
        <f t="array" ref="AD112">Common_InputFunctions.Utility_DisplayArrayInTable(Fertiliser_SourceData.Fertiliser_Products_Data3(),FertiliserProducts[[#Headers],[Product]], 40)</f>
        <v/>
      </c>
      <c r="AE112" s="158" t="str" cm="1">
        <f t="array" ref="AE112">Common_InputFunctions.Utility_DisplayArrayInTable(Fertiliser_SourceData.Fertiliser_Products_Data3(),FertiliserProducts[[#Headers],[Product]], 40)</f>
        <v/>
      </c>
      <c r="AF112" s="158" t="str" cm="1">
        <f t="array" ref="AF112">Common_InputFunctions.Utility_DisplayArrayInTable(Fertiliser_SourceData.Fertiliser_Products_Data3(),FertiliserProducts[[#Headers],[Product]], 40)</f>
        <v/>
      </c>
      <c r="AG112" s="158" t="str" cm="1">
        <f t="array" ref="AG112">Common_InputFunctions.Utility_DisplayArrayInTable(Fertiliser_SourceData.Fertiliser_Products_Data3(),FertiliserProducts[[#Headers],[Product]], 40)</f>
        <v/>
      </c>
      <c r="AH112" s="158" t="str" cm="1">
        <f t="array" ref="AH112">Common_InputFunctions.Utility_DisplayArrayInTable(Fertiliser_SourceData.Fertiliser_Products_Data3(),FertiliserProducts[[#Headers],[Product]], 40)</f>
        <v/>
      </c>
      <c r="AI112" s="158" t="str" cm="1">
        <f t="array" ref="AI112">Common_InputFunctions.Utility_DisplayArrayInTable(Fertiliser_SourceData.Fertiliser_Products_Data3(),FertiliserProducts[[#Headers],[Product]], 40)</f>
        <v/>
      </c>
      <c r="AJ112" s="158" t="str" cm="1">
        <f t="array" ref="AJ112">Common_InputFunctions.Utility_DisplayArrayInTable(Fertiliser_SourceData.Fertiliser_Products_Data3(),FertiliserProducts[[#Headers],[Product]], 40)</f>
        <v/>
      </c>
    </row>
    <row r="113" spans="4:36" ht="20.100000000000001" customHeight="1" x14ac:dyDescent="0.25">
      <c r="D113" s="157" t="str" cm="1">
        <f t="array" ref="D113">Common_InputFunctions.Utility_DisplayArrayInTable(Fertiliser_SourceData.Fertiliser_Products_Data3(),FertiliserProducts[[#Headers],[Product]], 40)</f>
        <v>UAS</v>
      </c>
      <c r="E113" s="157" t="str" cm="1">
        <f t="array" ref="E113">Common_InputFunctions.Utility_DisplayArrayInTable(Fertiliser_SourceData.Fertiliser_Products_Data3(),FertiliserProducts[[#Headers],[Product]], 40)</f>
        <v>L</v>
      </c>
      <c r="F113" s="157" cm="1">
        <f t="array" ref="F113">Common_InputFunctions.Utility_DisplayArrayInTable(Fertiliser_SourceData.Fertiliser_Products_Data3(),FertiliserProducts[[#Headers],[Product]], 40)</f>
        <v>1.2350000000000001</v>
      </c>
      <c r="G113" s="157" t="str" cm="1">
        <f t="array" ref="G113">Common_InputFunctions.Utility_DisplayArrayInTable(Fertiliser_SourceData.Fertiliser_Products_Data3(),FertiliserProducts[[#Headers],[Product]], 40)</f>
        <v>Nitrogen - Generic</v>
      </c>
      <c r="H113" s="157" cm="1">
        <f t="array" ref="H113">Common_InputFunctions.Utility_DisplayArrayInTable(Fertiliser_SourceData.Fertiliser_Products_Data3(),FertiliserProducts[[#Headers],[Product]], 40)</f>
        <v>0.20899999999999999</v>
      </c>
      <c r="I113" s="157" t="str" cm="1">
        <f t="array" ref="I113">Common_InputFunctions.Utility_DisplayArrayInTable(Fertiliser_SourceData.Fertiliser_Products_Data3(),FertiliserProducts[[#Headers],[Product]], 40)</f>
        <v>Location not specified</v>
      </c>
      <c r="J113" s="157" t="str" cm="1">
        <f t="array" ref="J113">Common_InputFunctions.Utility_DisplayArrayInTable(Fertiliser_SourceData.Fertiliser_Products_Data3(),FertiliserProducts[[#Headers],[Product]], 40)</f>
        <v>Sulfur - Generic</v>
      </c>
      <c r="K113" s="157" cm="1">
        <f t="array" ref="K113">Common_InputFunctions.Utility_DisplayArrayInTable(Fertiliser_SourceData.Fertiliser_Products_Data3(),FertiliserProducts[[#Headers],[Product]], 40)</f>
        <v>6.7000000000000004E-2</v>
      </c>
      <c r="L113" s="157" t="str" cm="1">
        <f t="array" ref="L113">Common_InputFunctions.Utility_DisplayArrayInTable(Fertiliser_SourceData.Fertiliser_Products_Data3(),FertiliserProducts[[#Headers],[Product]], 40)</f>
        <v>Location not specified</v>
      </c>
      <c r="M113" s="157" t="str" cm="1">
        <f t="array" ref="M113">Common_InputFunctions.Utility_DisplayArrayInTable(Fertiliser_SourceData.Fertiliser_Products_Data3(),FertiliserProducts[[#Headers],[Product]], 40)</f>
        <v>Nitrogen - Ammoniacal</v>
      </c>
      <c r="N113" s="157" cm="1">
        <f t="array" ref="N113">Common_InputFunctions.Utility_DisplayArrayInTable(Fertiliser_SourceData.Fertiliser_Products_Data3(),FertiliserProducts[[#Headers],[Product]], 40)</f>
        <v>5.7000000000000002E-2</v>
      </c>
      <c r="O113" s="157" t="str" cm="1">
        <f t="array" ref="O113">Common_InputFunctions.Utility_DisplayArrayInTable(Fertiliser_SourceData.Fertiliser_Products_Data3(),FertiliserProducts[[#Headers],[Product]], 40)</f>
        <v>Location not specified</v>
      </c>
      <c r="P113" s="157" t="str" cm="1">
        <f t="array" ref="P113">Common_InputFunctions.Utility_DisplayArrayInTable(Fertiliser_SourceData.Fertiliser_Products_Data3(),FertiliserProducts[[#Headers],[Product]], 40)</f>
        <v/>
      </c>
      <c r="Q113" s="157" t="str" cm="1">
        <f t="array" ref="Q113">Common_InputFunctions.Utility_DisplayArrayInTable(Fertiliser_SourceData.Fertiliser_Products_Data3(),FertiliserProducts[[#Headers],[Product]], 40)</f>
        <v/>
      </c>
      <c r="R113" s="157" t="str" cm="1">
        <f t="array" ref="R113">Common_InputFunctions.Utility_DisplayArrayInTable(Fertiliser_SourceData.Fertiliser_Products_Data3(),FertiliserProducts[[#Headers],[Product]], 40)</f>
        <v/>
      </c>
      <c r="S113" s="157" t="str" cm="1">
        <f t="array" ref="S113">Common_InputFunctions.Utility_DisplayArrayInTable(Fertiliser_SourceData.Fertiliser_Products_Data3(),FertiliserProducts[[#Headers],[Product]], 40)</f>
        <v/>
      </c>
      <c r="T113" s="157" t="str" cm="1">
        <f t="array" ref="T113">Common_InputFunctions.Utility_DisplayArrayInTable(Fertiliser_SourceData.Fertiliser_Products_Data3(),FertiliserProducts[[#Headers],[Product]], 40)</f>
        <v/>
      </c>
      <c r="U113" s="157" t="str" cm="1">
        <f t="array" ref="U113">Common_InputFunctions.Utility_DisplayArrayInTable(Fertiliser_SourceData.Fertiliser_Products_Data3(),FertiliserProducts[[#Headers],[Product]], 40)</f>
        <v/>
      </c>
      <c r="V113" s="157" t="str" cm="1">
        <f t="array" ref="V113">Common_InputFunctions.Utility_DisplayArrayInTable(Fertiliser_SourceData.Fertiliser_Products_Data3(),FertiliserProducts[[#Headers],[Product]], 40)</f>
        <v/>
      </c>
      <c r="W113" s="157" t="str" cm="1">
        <f t="array" ref="W113">Common_InputFunctions.Utility_DisplayArrayInTable(Fertiliser_SourceData.Fertiliser_Products_Data3(),FertiliserProducts[[#Headers],[Product]], 40)</f>
        <v/>
      </c>
      <c r="X113" s="157" t="str" cm="1">
        <f t="array" ref="X113">Common_InputFunctions.Utility_DisplayArrayInTable(Fertiliser_SourceData.Fertiliser_Products_Data3(),FertiliserProducts[[#Headers],[Product]], 40)</f>
        <v/>
      </c>
      <c r="Y113" s="157" t="str" cm="1">
        <f t="array" ref="Y113">Common_InputFunctions.Utility_DisplayArrayInTable(Fertiliser_SourceData.Fertiliser_Products_Data3(),FertiliserProducts[[#Headers],[Product]], 40)</f>
        <v/>
      </c>
      <c r="Z113" s="157" t="str" cm="1">
        <f t="array" ref="Z113">Common_InputFunctions.Utility_DisplayArrayInTable(Fertiliser_SourceData.Fertiliser_Products_Data3(),FertiliserProducts[[#Headers],[Product]], 40)</f>
        <v/>
      </c>
      <c r="AA113" s="158" t="str" cm="1">
        <f t="array" ref="AA113">Common_InputFunctions.Utility_DisplayArrayInTable(Fertiliser_SourceData.Fertiliser_Products_Data3(),FertiliserProducts[[#Headers],[Product]], 40)</f>
        <v/>
      </c>
      <c r="AB113" s="158" t="str" cm="1">
        <f t="array" ref="AB113">Common_InputFunctions.Utility_DisplayArrayInTable(Fertiliser_SourceData.Fertiliser_Products_Data3(),FertiliserProducts[[#Headers],[Product]], 40)</f>
        <v/>
      </c>
      <c r="AC113" s="158" t="str" cm="1">
        <f t="array" ref="AC113">Common_InputFunctions.Utility_DisplayArrayInTable(Fertiliser_SourceData.Fertiliser_Products_Data3(),FertiliserProducts[[#Headers],[Product]], 40)</f>
        <v/>
      </c>
      <c r="AD113" s="158" t="str" cm="1">
        <f t="array" ref="AD113">Common_InputFunctions.Utility_DisplayArrayInTable(Fertiliser_SourceData.Fertiliser_Products_Data3(),FertiliserProducts[[#Headers],[Product]], 40)</f>
        <v/>
      </c>
      <c r="AE113" s="158" t="str" cm="1">
        <f t="array" ref="AE113">Common_InputFunctions.Utility_DisplayArrayInTable(Fertiliser_SourceData.Fertiliser_Products_Data3(),FertiliserProducts[[#Headers],[Product]], 40)</f>
        <v/>
      </c>
      <c r="AF113" s="158" t="str" cm="1">
        <f t="array" ref="AF113">Common_InputFunctions.Utility_DisplayArrayInTable(Fertiliser_SourceData.Fertiliser_Products_Data3(),FertiliserProducts[[#Headers],[Product]], 40)</f>
        <v/>
      </c>
      <c r="AG113" s="158" t="str" cm="1">
        <f t="array" ref="AG113">Common_InputFunctions.Utility_DisplayArrayInTable(Fertiliser_SourceData.Fertiliser_Products_Data3(),FertiliserProducts[[#Headers],[Product]], 40)</f>
        <v/>
      </c>
      <c r="AH113" s="158" t="str" cm="1">
        <f t="array" ref="AH113">Common_InputFunctions.Utility_DisplayArrayInTable(Fertiliser_SourceData.Fertiliser_Products_Data3(),FertiliserProducts[[#Headers],[Product]], 40)</f>
        <v/>
      </c>
      <c r="AI113" s="158" t="str" cm="1">
        <f t="array" ref="AI113">Common_InputFunctions.Utility_DisplayArrayInTable(Fertiliser_SourceData.Fertiliser_Products_Data3(),FertiliserProducts[[#Headers],[Product]], 40)</f>
        <v/>
      </c>
      <c r="AJ113" s="158" t="str" cm="1">
        <f t="array" ref="AJ113">Common_InputFunctions.Utility_DisplayArrayInTable(Fertiliser_SourceData.Fertiliser_Products_Data3(),FertiliserProducts[[#Headers],[Product]], 40)</f>
        <v/>
      </c>
    </row>
    <row r="114" spans="4:36" ht="20.100000000000001" customHeight="1" x14ac:dyDescent="0.25">
      <c r="D114" s="157" t="str" cm="1">
        <f t="array" ref="D114">Common_InputFunctions.Utility_DisplayArrayInTable(Fertiliser_SourceData.Fertiliser_Products_Data3(),FertiliserProducts[[#Headers],[Product]], 40)</f>
        <v>Yara Liquids N-FOL 24+TE</v>
      </c>
      <c r="E114" s="157" t="str" cm="1">
        <f t="array" ref="E114">Common_InputFunctions.Utility_DisplayArrayInTable(Fertiliser_SourceData.Fertiliser_Products_Data3(),FertiliserProducts[[#Headers],[Product]], 40)</f>
        <v>kg</v>
      </c>
      <c r="F114" s="157" cm="1">
        <f t="array" ref="F114">Common_InputFunctions.Utility_DisplayArrayInTable(Fertiliser_SourceData.Fertiliser_Products_Data3(),FertiliserProducts[[#Headers],[Product]], 40)</f>
        <v>1</v>
      </c>
      <c r="G114" s="157" t="str" cm="1">
        <f t="array" ref="G114">Common_InputFunctions.Utility_DisplayArrayInTable(Fertiliser_SourceData.Fertiliser_Products_Data3(),FertiliserProducts[[#Headers],[Product]], 40)</f>
        <v>Nitrogen - Generic</v>
      </c>
      <c r="H114" s="157" cm="1">
        <f t="array" ref="H114">Common_InputFunctions.Utility_DisplayArrayInTable(Fertiliser_SourceData.Fertiliser_Products_Data3(),FertiliserProducts[[#Headers],[Product]], 40)</f>
        <v>0.19</v>
      </c>
      <c r="I114" s="157" t="str" cm="1">
        <f t="array" ref="I114">Common_InputFunctions.Utility_DisplayArrayInTable(Fertiliser_SourceData.Fertiliser_Products_Data3(),FertiliserProducts[[#Headers],[Product]], 40)</f>
        <v>Location not specified</v>
      </c>
      <c r="J114" s="157" t="str" cm="1">
        <f t="array" ref="J114">Common_InputFunctions.Utility_DisplayArrayInTable(Fertiliser_SourceData.Fertiliser_Products_Data3(),FertiliserProducts[[#Headers],[Product]], 40)</f>
        <v>Potassium - Generic</v>
      </c>
      <c r="K114" s="157" cm="1">
        <f t="array" ref="K114">Common_InputFunctions.Utility_DisplayArrayInTable(Fertiliser_SourceData.Fertiliser_Products_Data3(),FertiliserProducts[[#Headers],[Product]], 40)</f>
        <v>0.16600000000000001</v>
      </c>
      <c r="L114" s="157" t="str" cm="1">
        <f t="array" ref="L114">Common_InputFunctions.Utility_DisplayArrayInTable(Fertiliser_SourceData.Fertiliser_Products_Data3(),FertiliserProducts[[#Headers],[Product]], 40)</f>
        <v>Location not specified</v>
      </c>
      <c r="M114" s="157" t="str" cm="1">
        <f t="array" ref="M114">Common_InputFunctions.Utility_DisplayArrayInTable(Fertiliser_SourceData.Fertiliser_Products_Data3(),FertiliserProducts[[#Headers],[Product]], 40)</f>
        <v>Sulfur - Generic</v>
      </c>
      <c r="N114" s="157" cm="1">
        <f t="array" ref="N114">Common_InputFunctions.Utility_DisplayArrayInTable(Fertiliser_SourceData.Fertiliser_Products_Data3(),FertiliserProducts[[#Headers],[Product]], 40)</f>
        <v>0.03</v>
      </c>
      <c r="O114" s="157" t="str" cm="1">
        <f t="array" ref="O114">Common_InputFunctions.Utility_DisplayArrayInTable(Fertiliser_SourceData.Fertiliser_Products_Data3(),FertiliserProducts[[#Headers],[Product]], 40)</f>
        <v>Location not specified</v>
      </c>
      <c r="P114" s="157" t="str" cm="1">
        <f t="array" ref="P114">Common_InputFunctions.Utility_DisplayArrayInTable(Fertiliser_SourceData.Fertiliser_Products_Data3(),FertiliserProducts[[#Headers],[Product]], 40)</f>
        <v>Phosphorus - Generic</v>
      </c>
      <c r="Q114" s="157" cm="1">
        <f t="array" ref="Q114">Common_InputFunctions.Utility_DisplayArrayInTable(Fertiliser_SourceData.Fertiliser_Products_Data3(),FertiliserProducts[[#Headers],[Product]], 40)</f>
        <v>2.5999999999999999E-2</v>
      </c>
      <c r="R114" s="157" t="str" cm="1">
        <f t="array" ref="R114">Common_InputFunctions.Utility_DisplayArrayInTable(Fertiliser_SourceData.Fertiliser_Products_Data3(),FertiliserProducts[[#Headers],[Product]], 40)</f>
        <v>Location not specified</v>
      </c>
      <c r="S114" s="157" t="str" cm="1">
        <f t="array" ref="S114">Common_InputFunctions.Utility_DisplayArrayInTable(Fertiliser_SourceData.Fertiliser_Products_Data3(),FertiliserProducts[[#Headers],[Product]], 40)</f>
        <v>Magnesium - generic</v>
      </c>
      <c r="T114" s="157" cm="1">
        <f t="array" ref="T114">Common_InputFunctions.Utility_DisplayArrayInTable(Fertiliser_SourceData.Fertiliser_Products_Data3(),FertiliserProducts[[#Headers],[Product]], 40)</f>
        <v>1.7999999999999999E-2</v>
      </c>
      <c r="U114" s="157" t="str" cm="1">
        <f t="array" ref="U114">Common_InputFunctions.Utility_DisplayArrayInTable(Fertiliser_SourceData.Fertiliser_Products_Data3(),FertiliserProducts[[#Headers],[Product]], 40)</f>
        <v>Location not specified</v>
      </c>
      <c r="V114" s="157" t="str" cm="1">
        <f t="array" ref="V114">Common_InputFunctions.Utility_DisplayArrayInTable(Fertiliser_SourceData.Fertiliser_Products_Data3(),FertiliserProducts[[#Headers],[Product]], 40)</f>
        <v>Iron - generic</v>
      </c>
      <c r="W114" s="157" cm="1">
        <f t="array" ref="W114">Common_InputFunctions.Utility_DisplayArrayInTable(Fertiliser_SourceData.Fertiliser_Products_Data3(),FertiliserProducts[[#Headers],[Product]], 40)</f>
        <v>6.9999999999999999E-4</v>
      </c>
      <c r="X114" s="157" t="str" cm="1">
        <f t="array" ref="X114">Common_InputFunctions.Utility_DisplayArrayInTable(Fertiliser_SourceData.Fertiliser_Products_Data3(),FertiliserProducts[[#Headers],[Product]], 40)</f>
        <v>Location not specified</v>
      </c>
      <c r="Y114" s="157" t="str" cm="1">
        <f t="array" ref="Y114">Common_InputFunctions.Utility_DisplayArrayInTable(Fertiliser_SourceData.Fertiliser_Products_Data3(),FertiliserProducts[[#Headers],[Product]], 40)</f>
        <v>Manganese - Generic</v>
      </c>
      <c r="Z114" s="157" cm="1">
        <f t="array" ref="Z114">Common_InputFunctions.Utility_DisplayArrayInTable(Fertiliser_SourceData.Fertiliser_Products_Data3(),FertiliserProducts[[#Headers],[Product]], 40)</f>
        <v>4.0000000000000002E-4</v>
      </c>
      <c r="AA114" s="158" t="str" cm="1">
        <f t="array" ref="AA114">Common_InputFunctions.Utility_DisplayArrayInTable(Fertiliser_SourceData.Fertiliser_Products_Data3(),FertiliserProducts[[#Headers],[Product]], 40)</f>
        <v>Location not specified</v>
      </c>
      <c r="AB114" s="158" t="str" cm="1">
        <f t="array" ref="AB114">Common_InputFunctions.Utility_DisplayArrayInTable(Fertiliser_SourceData.Fertiliser_Products_Data3(),FertiliserProducts[[#Headers],[Product]], 40)</f>
        <v>Boron - generic</v>
      </c>
      <c r="AC114" s="158" cm="1">
        <f t="array" ref="AC114">Common_InputFunctions.Utility_DisplayArrayInTable(Fertiliser_SourceData.Fertiliser_Products_Data3(),FertiliserProducts[[#Headers],[Product]], 40)</f>
        <v>2.5000000000000001E-4</v>
      </c>
      <c r="AD114" s="158" t="str" cm="1">
        <f t="array" ref="AD114">Common_InputFunctions.Utility_DisplayArrayInTable(Fertiliser_SourceData.Fertiliser_Products_Data3(),FertiliserProducts[[#Headers],[Product]], 40)</f>
        <v>Location not specified</v>
      </c>
      <c r="AE114" s="158" t="str" cm="1">
        <f t="array" ref="AE114">Common_InputFunctions.Utility_DisplayArrayInTable(Fertiliser_SourceData.Fertiliser_Products_Data3(),FertiliserProducts[[#Headers],[Product]], 40)</f>
        <v>Zinc - Generic</v>
      </c>
      <c r="AF114" s="158" cm="1">
        <f t="array" ref="AF114">Common_InputFunctions.Utility_DisplayArrayInTable(Fertiliser_SourceData.Fertiliser_Products_Data3(),FertiliserProducts[[#Headers],[Product]], 40)</f>
        <v>2.5000000000000001E-4</v>
      </c>
      <c r="AG114" s="158" t="str" cm="1">
        <f t="array" ref="AG114">Common_InputFunctions.Utility_DisplayArrayInTable(Fertiliser_SourceData.Fertiliser_Products_Data3(),FertiliserProducts[[#Headers],[Product]], 40)</f>
        <v>Location not specified</v>
      </c>
      <c r="AH114" s="158" t="str" cm="1">
        <f t="array" ref="AH114">Common_InputFunctions.Utility_DisplayArrayInTable(Fertiliser_SourceData.Fertiliser_Products_Data3(),FertiliserProducts[[#Headers],[Product]], 40)</f>
        <v>Copper - generic</v>
      </c>
      <c r="AI114" s="158" cm="1">
        <f t="array" ref="AI114">Common_InputFunctions.Utility_DisplayArrayInTable(Fertiliser_SourceData.Fertiliser_Products_Data3(),FertiliserProducts[[#Headers],[Product]], 40)</f>
        <v>1E-4</v>
      </c>
      <c r="AJ114" s="158" t="str" cm="1">
        <f t="array" ref="AJ114">Common_InputFunctions.Utility_DisplayArrayInTable(Fertiliser_SourceData.Fertiliser_Products_Data3(),FertiliserProducts[[#Headers],[Product]], 40)</f>
        <v>Location not specified</v>
      </c>
    </row>
    <row r="115" spans="4:36" ht="20.100000000000001" customHeight="1" x14ac:dyDescent="0.25">
      <c r="D115" s="157" t="str" cm="1">
        <f t="array" ref="D115">Common_InputFunctions.Utility_DisplayArrayInTable(Fertiliser_SourceData.Fertiliser_Products_Data3(),FertiliserProducts[[#Headers],[Product]], 40)</f>
        <v>Yara Unika Plus</v>
      </c>
      <c r="E115" s="157" t="str" cm="1">
        <f t="array" ref="E115">Common_InputFunctions.Utility_DisplayArrayInTable(Fertiliser_SourceData.Fertiliser_Products_Data3(),FertiliserProducts[[#Headers],[Product]], 40)</f>
        <v>kg</v>
      </c>
      <c r="F115" s="157" cm="1">
        <f t="array" ref="F115">Common_InputFunctions.Utility_DisplayArrayInTable(Fertiliser_SourceData.Fertiliser_Products_Data3(),FertiliserProducts[[#Headers],[Product]], 40)</f>
        <v>1</v>
      </c>
      <c r="G115" s="157" t="str" cm="1">
        <f t="array" ref="G115">Common_InputFunctions.Utility_DisplayArrayInTable(Fertiliser_SourceData.Fertiliser_Products_Data3(),FertiliserProducts[[#Headers],[Product]], 40)</f>
        <v>Potassium - Generic</v>
      </c>
      <c r="H115" s="157" cm="1">
        <f t="array" ref="H115">Common_InputFunctions.Utility_DisplayArrayInTable(Fertiliser_SourceData.Fertiliser_Products_Data3(),FertiliserProducts[[#Headers],[Product]], 40)</f>
        <v>0.38200000000000001</v>
      </c>
      <c r="I115" s="157" t="str" cm="1">
        <f t="array" ref="I115">Common_InputFunctions.Utility_DisplayArrayInTable(Fertiliser_SourceData.Fertiliser_Products_Data3(),FertiliserProducts[[#Headers],[Product]], 40)</f>
        <v>Location not specified</v>
      </c>
      <c r="J115" s="157" t="str" cm="1">
        <f t="array" ref="J115">Common_InputFunctions.Utility_DisplayArrayInTable(Fertiliser_SourceData.Fertiliser_Products_Data3(),FertiliserProducts[[#Headers],[Product]], 40)</f>
        <v>Nitrogen - Generic</v>
      </c>
      <c r="K115" s="157" cm="1">
        <f t="array" ref="K115">Common_InputFunctions.Utility_DisplayArrayInTable(Fertiliser_SourceData.Fertiliser_Products_Data3(),FertiliserProducts[[#Headers],[Product]], 40)</f>
        <v>0.12</v>
      </c>
      <c r="L115" s="157" t="str" cm="1">
        <f t="array" ref="L115">Common_InputFunctions.Utility_DisplayArrayInTable(Fertiliser_SourceData.Fertiliser_Products_Data3(),FertiliserProducts[[#Headers],[Product]], 40)</f>
        <v>Location not specified</v>
      </c>
      <c r="M115" s="157" t="str" cm="1">
        <f t="array" ref="M115">Common_InputFunctions.Utility_DisplayArrayInTable(Fertiliser_SourceData.Fertiliser_Products_Data3(),FertiliserProducts[[#Headers],[Product]], 40)</f>
        <v>Sulfur - Generic</v>
      </c>
      <c r="N115" s="157" cm="1">
        <f t="array" ref="N115">Common_InputFunctions.Utility_DisplayArrayInTable(Fertiliser_SourceData.Fertiliser_Products_Data3(),FertiliserProducts[[#Headers],[Product]], 40)</f>
        <v>7.0000000000000001E-3</v>
      </c>
      <c r="O115" s="157" t="str" cm="1">
        <f t="array" ref="O115">Common_InputFunctions.Utility_DisplayArrayInTable(Fertiliser_SourceData.Fertiliser_Products_Data3(),FertiliserProducts[[#Headers],[Product]], 40)</f>
        <v>Location not specified</v>
      </c>
      <c r="P115" s="157" t="str" cm="1">
        <f t="array" ref="P115">Common_InputFunctions.Utility_DisplayArrayInTable(Fertiliser_SourceData.Fertiliser_Products_Data3(),FertiliserProducts[[#Headers],[Product]], 40)</f>
        <v/>
      </c>
      <c r="Q115" s="157" t="str" cm="1">
        <f t="array" ref="Q115">Common_InputFunctions.Utility_DisplayArrayInTable(Fertiliser_SourceData.Fertiliser_Products_Data3(),FertiliserProducts[[#Headers],[Product]], 40)</f>
        <v/>
      </c>
      <c r="R115" s="157" t="str" cm="1">
        <f t="array" ref="R115">Common_InputFunctions.Utility_DisplayArrayInTable(Fertiliser_SourceData.Fertiliser_Products_Data3(),FertiliserProducts[[#Headers],[Product]], 40)</f>
        <v/>
      </c>
      <c r="S115" s="157" t="str" cm="1">
        <f t="array" ref="S115">Common_InputFunctions.Utility_DisplayArrayInTable(Fertiliser_SourceData.Fertiliser_Products_Data3(),FertiliserProducts[[#Headers],[Product]], 40)</f>
        <v/>
      </c>
      <c r="T115" s="157" t="str" cm="1">
        <f t="array" ref="T115">Common_InputFunctions.Utility_DisplayArrayInTable(Fertiliser_SourceData.Fertiliser_Products_Data3(),FertiliserProducts[[#Headers],[Product]], 40)</f>
        <v/>
      </c>
      <c r="U115" s="157" t="str" cm="1">
        <f t="array" ref="U115">Common_InputFunctions.Utility_DisplayArrayInTable(Fertiliser_SourceData.Fertiliser_Products_Data3(),FertiliserProducts[[#Headers],[Product]], 40)</f>
        <v/>
      </c>
      <c r="V115" s="157" t="str" cm="1">
        <f t="array" ref="V115">Common_InputFunctions.Utility_DisplayArrayInTable(Fertiliser_SourceData.Fertiliser_Products_Data3(),FertiliserProducts[[#Headers],[Product]], 40)</f>
        <v/>
      </c>
      <c r="W115" s="157" t="str" cm="1">
        <f t="array" ref="W115">Common_InputFunctions.Utility_DisplayArrayInTable(Fertiliser_SourceData.Fertiliser_Products_Data3(),FertiliserProducts[[#Headers],[Product]], 40)</f>
        <v/>
      </c>
      <c r="X115" s="157" t="str" cm="1">
        <f t="array" ref="X115">Common_InputFunctions.Utility_DisplayArrayInTable(Fertiliser_SourceData.Fertiliser_Products_Data3(),FertiliserProducts[[#Headers],[Product]], 40)</f>
        <v/>
      </c>
      <c r="Y115" s="157" t="str" cm="1">
        <f t="array" ref="Y115">Common_InputFunctions.Utility_DisplayArrayInTable(Fertiliser_SourceData.Fertiliser_Products_Data3(),FertiliserProducts[[#Headers],[Product]], 40)</f>
        <v/>
      </c>
      <c r="Z115" s="157" t="str" cm="1">
        <f t="array" ref="Z115">Common_InputFunctions.Utility_DisplayArrayInTable(Fertiliser_SourceData.Fertiliser_Products_Data3(),FertiliserProducts[[#Headers],[Product]], 40)</f>
        <v/>
      </c>
      <c r="AA115" s="158" t="str" cm="1">
        <f t="array" ref="AA115">Common_InputFunctions.Utility_DisplayArrayInTable(Fertiliser_SourceData.Fertiliser_Products_Data3(),FertiliserProducts[[#Headers],[Product]], 40)</f>
        <v/>
      </c>
      <c r="AB115" s="158" t="str" cm="1">
        <f t="array" ref="AB115">Common_InputFunctions.Utility_DisplayArrayInTable(Fertiliser_SourceData.Fertiliser_Products_Data3(),FertiliserProducts[[#Headers],[Product]], 40)</f>
        <v/>
      </c>
      <c r="AC115" s="158" t="str" cm="1">
        <f t="array" ref="AC115">Common_InputFunctions.Utility_DisplayArrayInTable(Fertiliser_SourceData.Fertiliser_Products_Data3(),FertiliserProducts[[#Headers],[Product]], 40)</f>
        <v/>
      </c>
      <c r="AD115" s="158" t="str" cm="1">
        <f t="array" ref="AD115">Common_InputFunctions.Utility_DisplayArrayInTable(Fertiliser_SourceData.Fertiliser_Products_Data3(),FertiliserProducts[[#Headers],[Product]], 40)</f>
        <v/>
      </c>
      <c r="AE115" s="158" t="str" cm="1">
        <f t="array" ref="AE115">Common_InputFunctions.Utility_DisplayArrayInTable(Fertiliser_SourceData.Fertiliser_Products_Data3(),FertiliserProducts[[#Headers],[Product]], 40)</f>
        <v/>
      </c>
      <c r="AF115" s="158" t="str" cm="1">
        <f t="array" ref="AF115">Common_InputFunctions.Utility_DisplayArrayInTable(Fertiliser_SourceData.Fertiliser_Products_Data3(),FertiliserProducts[[#Headers],[Product]], 40)</f>
        <v/>
      </c>
      <c r="AG115" s="158" t="str" cm="1">
        <f t="array" ref="AG115">Common_InputFunctions.Utility_DisplayArrayInTable(Fertiliser_SourceData.Fertiliser_Products_Data3(),FertiliserProducts[[#Headers],[Product]], 40)</f>
        <v/>
      </c>
      <c r="AH115" s="158" t="str" cm="1">
        <f t="array" ref="AH115">Common_InputFunctions.Utility_DisplayArrayInTable(Fertiliser_SourceData.Fertiliser_Products_Data3(),FertiliserProducts[[#Headers],[Product]], 40)</f>
        <v/>
      </c>
      <c r="AI115" s="158" t="str" cm="1">
        <f t="array" ref="AI115">Common_InputFunctions.Utility_DisplayArrayInTable(Fertiliser_SourceData.Fertiliser_Products_Data3(),FertiliserProducts[[#Headers],[Product]], 40)</f>
        <v/>
      </c>
      <c r="AJ115" s="158" t="str" cm="1">
        <f t="array" ref="AJ115">Common_InputFunctions.Utility_DisplayArrayInTable(Fertiliser_SourceData.Fertiliser_Products_Data3(),FertiliserProducts[[#Headers],[Product]], 40)</f>
        <v/>
      </c>
    </row>
    <row r="116" spans="4:36" ht="20.100000000000001" customHeight="1" x14ac:dyDescent="0.25">
      <c r="D116" s="157" t="str" cm="1">
        <f t="array" ref="D116">Common_InputFunctions.Utility_DisplayArrayInTable(Fertiliser_SourceData.Fertiliser_Products_Data3(),FertiliserProducts[[#Headers],[Product]], 40)</f>
        <v>YaraMila 21-7-3(4)</v>
      </c>
      <c r="E116" s="157" t="str" cm="1">
        <f t="array" ref="E116">Common_InputFunctions.Utility_DisplayArrayInTable(Fertiliser_SourceData.Fertiliser_Products_Data3(),FertiliserProducts[[#Headers],[Product]], 40)</f>
        <v>kg</v>
      </c>
      <c r="F116" s="157" cm="1">
        <f t="array" ref="F116">Common_InputFunctions.Utility_DisplayArrayInTable(Fertiliser_SourceData.Fertiliser_Products_Data3(),FertiliserProducts[[#Headers],[Product]], 40)</f>
        <v>1</v>
      </c>
      <c r="G116" s="157" t="str" cm="1">
        <f t="array" ref="G116">Common_InputFunctions.Utility_DisplayArrayInTable(Fertiliser_SourceData.Fertiliser_Products_Data3(),FertiliserProducts[[#Headers],[Product]], 40)</f>
        <v>Nitrogen - Generic</v>
      </c>
      <c r="H116" s="157" cm="1">
        <f t="array" ref="H116">Common_InputFunctions.Utility_DisplayArrayInTable(Fertiliser_SourceData.Fertiliser_Products_Data3(),FertiliserProducts[[#Headers],[Product]], 40)</f>
        <v>0.21</v>
      </c>
      <c r="I116" s="157" t="str" cm="1">
        <f t="array" ref="I116">Common_InputFunctions.Utility_DisplayArrayInTable(Fertiliser_SourceData.Fertiliser_Products_Data3(),FertiliserProducts[[#Headers],[Product]], 40)</f>
        <v>Location not specified</v>
      </c>
      <c r="J116" s="157" t="str" cm="1">
        <f t="array" ref="J116">Common_InputFunctions.Utility_DisplayArrayInTable(Fertiliser_SourceData.Fertiliser_Products_Data3(),FertiliserProducts[[#Headers],[Product]], 40)</f>
        <v>Phosphorus - Generic</v>
      </c>
      <c r="K116" s="157" cm="1">
        <f t="array" ref="K116">Common_InputFunctions.Utility_DisplayArrayInTable(Fertiliser_SourceData.Fertiliser_Products_Data3(),FertiliserProducts[[#Headers],[Product]], 40)</f>
        <v>7.3999999999999996E-2</v>
      </c>
      <c r="L116" s="157" t="str" cm="1">
        <f t="array" ref="L116">Common_InputFunctions.Utility_DisplayArrayInTable(Fertiliser_SourceData.Fertiliser_Products_Data3(),FertiliserProducts[[#Headers],[Product]], 40)</f>
        <v>Location not specified</v>
      </c>
      <c r="M116" s="157" t="str" cm="1">
        <f t="array" ref="M116">Common_InputFunctions.Utility_DisplayArrayInTable(Fertiliser_SourceData.Fertiliser_Products_Data3(),FertiliserProducts[[#Headers],[Product]], 40)</f>
        <v>Sulfur - Generic</v>
      </c>
      <c r="N116" s="157" cm="1">
        <f t="array" ref="N116">Common_InputFunctions.Utility_DisplayArrayInTable(Fertiliser_SourceData.Fertiliser_Products_Data3(),FertiliserProducts[[#Headers],[Product]], 40)</f>
        <v>0.04</v>
      </c>
      <c r="O116" s="157" t="str" cm="1">
        <f t="array" ref="O116">Common_InputFunctions.Utility_DisplayArrayInTable(Fertiliser_SourceData.Fertiliser_Products_Data3(),FertiliserProducts[[#Headers],[Product]], 40)</f>
        <v>Location not specified</v>
      </c>
      <c r="P116" s="157" t="str" cm="1">
        <f t="array" ref="P116">Common_InputFunctions.Utility_DisplayArrayInTable(Fertiliser_SourceData.Fertiliser_Products_Data3(),FertiliserProducts[[#Headers],[Product]], 40)</f>
        <v>Potassium - Generic</v>
      </c>
      <c r="Q116" s="157" cm="1">
        <f t="array" ref="Q116">Common_InputFunctions.Utility_DisplayArrayInTable(Fertiliser_SourceData.Fertiliser_Products_Data3(),FertiliserProducts[[#Headers],[Product]], 40)</f>
        <v>2.5000000000000001E-2</v>
      </c>
      <c r="R116" s="157" t="str" cm="1">
        <f t="array" ref="R116">Common_InputFunctions.Utility_DisplayArrayInTable(Fertiliser_SourceData.Fertiliser_Products_Data3(),FertiliserProducts[[#Headers],[Product]], 40)</f>
        <v>Location not specified</v>
      </c>
      <c r="S116" s="157" t="str" cm="1">
        <f t="array" ref="S116">Common_InputFunctions.Utility_DisplayArrayInTable(Fertiliser_SourceData.Fertiliser_Products_Data3(),FertiliserProducts[[#Headers],[Product]], 40)</f>
        <v>Magnesium - generic</v>
      </c>
      <c r="T116" s="157" cm="1">
        <f t="array" ref="T116">Common_InputFunctions.Utility_DisplayArrayInTable(Fertiliser_SourceData.Fertiliser_Products_Data3(),FertiliserProducts[[#Headers],[Product]], 40)</f>
        <v>4.0000000000000001E-3</v>
      </c>
      <c r="U116" s="157" t="str" cm="1">
        <f t="array" ref="U116">Common_InputFunctions.Utility_DisplayArrayInTable(Fertiliser_SourceData.Fertiliser_Products_Data3(),FertiliserProducts[[#Headers],[Product]], 40)</f>
        <v>Location not specified</v>
      </c>
      <c r="V116" s="157" t="str" cm="1">
        <f t="array" ref="V116">Common_InputFunctions.Utility_DisplayArrayInTable(Fertiliser_SourceData.Fertiliser_Products_Data3(),FertiliserProducts[[#Headers],[Product]], 40)</f>
        <v>Zinc - Generic</v>
      </c>
      <c r="W116" s="157" cm="1">
        <f t="array" ref="W116">Common_InputFunctions.Utility_DisplayArrayInTable(Fertiliser_SourceData.Fertiliser_Products_Data3(),FertiliserProducts[[#Headers],[Product]], 40)</f>
        <v>1.5E-3</v>
      </c>
      <c r="X116" s="157" t="str" cm="1">
        <f t="array" ref="X116">Common_InputFunctions.Utility_DisplayArrayInTable(Fertiliser_SourceData.Fertiliser_Products_Data3(),FertiliserProducts[[#Headers],[Product]], 40)</f>
        <v>Location not specified</v>
      </c>
      <c r="Y116" s="157" t="str" cm="1">
        <f t="array" ref="Y116">Common_InputFunctions.Utility_DisplayArrayInTable(Fertiliser_SourceData.Fertiliser_Products_Data3(),FertiliserProducts[[#Headers],[Product]], 40)</f>
        <v/>
      </c>
      <c r="Z116" s="157" t="str" cm="1">
        <f t="array" ref="Z116">Common_InputFunctions.Utility_DisplayArrayInTable(Fertiliser_SourceData.Fertiliser_Products_Data3(),FertiliserProducts[[#Headers],[Product]], 40)</f>
        <v/>
      </c>
      <c r="AA116" s="158" t="str" cm="1">
        <f t="array" ref="AA116">Common_InputFunctions.Utility_DisplayArrayInTable(Fertiliser_SourceData.Fertiliser_Products_Data3(),FertiliserProducts[[#Headers],[Product]], 40)</f>
        <v/>
      </c>
      <c r="AB116" s="158" t="str" cm="1">
        <f t="array" ref="AB116">Common_InputFunctions.Utility_DisplayArrayInTable(Fertiliser_SourceData.Fertiliser_Products_Data3(),FertiliserProducts[[#Headers],[Product]], 40)</f>
        <v/>
      </c>
      <c r="AC116" s="158" t="str" cm="1">
        <f t="array" ref="AC116">Common_InputFunctions.Utility_DisplayArrayInTable(Fertiliser_SourceData.Fertiliser_Products_Data3(),FertiliserProducts[[#Headers],[Product]], 40)</f>
        <v/>
      </c>
      <c r="AD116" s="158" t="str" cm="1">
        <f t="array" ref="AD116">Common_InputFunctions.Utility_DisplayArrayInTable(Fertiliser_SourceData.Fertiliser_Products_Data3(),FertiliserProducts[[#Headers],[Product]], 40)</f>
        <v/>
      </c>
      <c r="AE116" s="158" t="str" cm="1">
        <f t="array" ref="AE116">Common_InputFunctions.Utility_DisplayArrayInTable(Fertiliser_SourceData.Fertiliser_Products_Data3(),FertiliserProducts[[#Headers],[Product]], 40)</f>
        <v/>
      </c>
      <c r="AF116" s="158" t="str" cm="1">
        <f t="array" ref="AF116">Common_InputFunctions.Utility_DisplayArrayInTable(Fertiliser_SourceData.Fertiliser_Products_Data3(),FertiliserProducts[[#Headers],[Product]], 40)</f>
        <v/>
      </c>
      <c r="AG116" s="158" t="str" cm="1">
        <f t="array" ref="AG116">Common_InputFunctions.Utility_DisplayArrayInTable(Fertiliser_SourceData.Fertiliser_Products_Data3(),FertiliserProducts[[#Headers],[Product]], 40)</f>
        <v/>
      </c>
      <c r="AH116" s="158" t="str" cm="1">
        <f t="array" ref="AH116">Common_InputFunctions.Utility_DisplayArrayInTable(Fertiliser_SourceData.Fertiliser_Products_Data3(),FertiliserProducts[[#Headers],[Product]], 40)</f>
        <v/>
      </c>
      <c r="AI116" s="158" t="str" cm="1">
        <f t="array" ref="AI116">Common_InputFunctions.Utility_DisplayArrayInTable(Fertiliser_SourceData.Fertiliser_Products_Data3(),FertiliserProducts[[#Headers],[Product]], 40)</f>
        <v/>
      </c>
      <c r="AJ116" s="158" t="str" cm="1">
        <f t="array" ref="AJ116">Common_InputFunctions.Utility_DisplayArrayInTable(Fertiliser_SourceData.Fertiliser_Products_Data3(),FertiliserProducts[[#Headers],[Product]], 40)</f>
        <v/>
      </c>
    </row>
    <row r="117" spans="4:36" ht="20.100000000000001" customHeight="1" x14ac:dyDescent="0.25">
      <c r="D117" s="157" t="str" cm="1">
        <f t="array" ref="D117">Common_InputFunctions.Utility_DisplayArrayInTable(Fertiliser_SourceData.Fertiliser_Products_Data3(),FertiliserProducts[[#Headers],[Product]], 40)</f>
        <v>YaraRega 13-2-21</v>
      </c>
      <c r="E117" s="157" t="str" cm="1">
        <f t="array" ref="E117">Common_InputFunctions.Utility_DisplayArrayInTable(Fertiliser_SourceData.Fertiliser_Products_Data3(),FertiliserProducts[[#Headers],[Product]], 40)</f>
        <v>kg</v>
      </c>
      <c r="F117" s="157" cm="1">
        <f t="array" ref="F117">Common_InputFunctions.Utility_DisplayArrayInTable(Fertiliser_SourceData.Fertiliser_Products_Data3(),FertiliserProducts[[#Headers],[Product]], 40)</f>
        <v>1</v>
      </c>
      <c r="G117" s="157" t="str" cm="1">
        <f t="array" ref="G117">Common_InputFunctions.Utility_DisplayArrayInTable(Fertiliser_SourceData.Fertiliser_Products_Data3(),FertiliserProducts[[#Headers],[Product]], 40)</f>
        <v>Potassium - Generic</v>
      </c>
      <c r="H117" s="157" cm="1">
        <f t="array" ref="H117">Common_InputFunctions.Utility_DisplayArrayInTable(Fertiliser_SourceData.Fertiliser_Products_Data3(),FertiliserProducts[[#Headers],[Product]], 40)</f>
        <v>0.21</v>
      </c>
      <c r="I117" s="157" t="str" cm="1">
        <f t="array" ref="I117">Common_InputFunctions.Utility_DisplayArrayInTable(Fertiliser_SourceData.Fertiliser_Products_Data3(),FertiliserProducts[[#Headers],[Product]], 40)</f>
        <v>Location not specified</v>
      </c>
      <c r="J117" s="157" t="str" cm="1">
        <f t="array" ref="J117">Common_InputFunctions.Utility_DisplayArrayInTable(Fertiliser_SourceData.Fertiliser_Products_Data3(),FertiliserProducts[[#Headers],[Product]], 40)</f>
        <v>Sulfur - Generic</v>
      </c>
      <c r="K117" s="157" cm="1">
        <f t="array" ref="K117">Common_InputFunctions.Utility_DisplayArrayInTable(Fertiliser_SourceData.Fertiliser_Products_Data3(),FertiliserProducts[[#Headers],[Product]], 40)</f>
        <v>0.108</v>
      </c>
      <c r="L117" s="157" t="str" cm="1">
        <f t="array" ref="L117">Common_InputFunctions.Utility_DisplayArrayInTable(Fertiliser_SourceData.Fertiliser_Products_Data3(),FertiliserProducts[[#Headers],[Product]], 40)</f>
        <v>Location not specified</v>
      </c>
      <c r="M117" s="157" t="str" cm="1">
        <f t="array" ref="M117">Common_InputFunctions.Utility_DisplayArrayInTable(Fertiliser_SourceData.Fertiliser_Products_Data3(),FertiliserProducts[[#Headers],[Product]], 40)</f>
        <v>Nitrogen - Ammoniacal</v>
      </c>
      <c r="N117" s="157" cm="1">
        <f t="array" ref="N117">Common_InputFunctions.Utility_DisplayArrayInTable(Fertiliser_SourceData.Fertiliser_Products_Data3(),FertiliserProducts[[#Headers],[Product]], 40)</f>
        <v>7.6999999999999999E-2</v>
      </c>
      <c r="O117" s="157" t="str" cm="1">
        <f t="array" ref="O117">Common_InputFunctions.Utility_DisplayArrayInTable(Fertiliser_SourceData.Fertiliser_Products_Data3(),FertiliserProducts[[#Headers],[Product]], 40)</f>
        <v>Location not specified</v>
      </c>
      <c r="P117" s="157" t="str" cm="1">
        <f t="array" ref="P117">Common_InputFunctions.Utility_DisplayArrayInTable(Fertiliser_SourceData.Fertiliser_Products_Data3(),FertiliserProducts[[#Headers],[Product]], 40)</f>
        <v>Nitrogen from Nitrate</v>
      </c>
      <c r="Q117" s="157" cm="1">
        <f t="array" ref="Q117">Common_InputFunctions.Utility_DisplayArrayInTable(Fertiliser_SourceData.Fertiliser_Products_Data3(),FertiliserProducts[[#Headers],[Product]], 40)</f>
        <v>5.2999999999999999E-2</v>
      </c>
      <c r="R117" s="157" t="str" cm="1">
        <f t="array" ref="R117">Common_InputFunctions.Utility_DisplayArrayInTable(Fertiliser_SourceData.Fertiliser_Products_Data3(),FertiliserProducts[[#Headers],[Product]], 40)</f>
        <v>Location not specified</v>
      </c>
      <c r="S117" s="157" t="str" cm="1">
        <f t="array" ref="S117">Common_InputFunctions.Utility_DisplayArrayInTable(Fertiliser_SourceData.Fertiliser_Products_Data3(),FertiliserProducts[[#Headers],[Product]], 40)</f>
        <v>Phosphorus - Generic</v>
      </c>
      <c r="T117" s="157" cm="1">
        <f t="array" ref="T117">Common_InputFunctions.Utility_DisplayArrayInTable(Fertiliser_SourceData.Fertiliser_Products_Data3(),FertiliserProducts[[#Headers],[Product]], 40)</f>
        <v>1.7500000000000002E-2</v>
      </c>
      <c r="U117" s="157" t="str" cm="1">
        <f t="array" ref="U117">Common_InputFunctions.Utility_DisplayArrayInTable(Fertiliser_SourceData.Fertiliser_Products_Data3(),FertiliserProducts[[#Headers],[Product]], 40)</f>
        <v>Location not specified</v>
      </c>
      <c r="V117" s="157" t="str" cm="1">
        <f t="array" ref="V117">Common_InputFunctions.Utility_DisplayArrayInTable(Fertiliser_SourceData.Fertiliser_Products_Data3(),FertiliserProducts[[#Headers],[Product]], 40)</f>
        <v>Magnesium - generic</v>
      </c>
      <c r="W117" s="157" cm="1">
        <f t="array" ref="W117">Common_InputFunctions.Utility_DisplayArrayInTable(Fertiliser_SourceData.Fertiliser_Products_Data3(),FertiliserProducts[[#Headers],[Product]], 40)</f>
        <v>4.0000000000000001E-3</v>
      </c>
      <c r="X117" s="157" t="str" cm="1">
        <f t="array" ref="X117">Common_InputFunctions.Utility_DisplayArrayInTable(Fertiliser_SourceData.Fertiliser_Products_Data3(),FertiliserProducts[[#Headers],[Product]], 40)</f>
        <v>Location not specified</v>
      </c>
      <c r="Y117" s="157" t="str" cm="1">
        <f t="array" ref="Y117">Common_InputFunctions.Utility_DisplayArrayInTable(Fertiliser_SourceData.Fertiliser_Products_Data3(),FertiliserProducts[[#Headers],[Product]], 40)</f>
        <v>Boron - generic</v>
      </c>
      <c r="Z117" s="157" cm="1">
        <f t="array" ref="Z117">Common_InputFunctions.Utility_DisplayArrayInTable(Fertiliser_SourceData.Fertiliser_Products_Data3(),FertiliserProducts[[#Headers],[Product]], 40)</f>
        <v>8.0000000000000004E-4</v>
      </c>
      <c r="AA117" s="158" t="str" cm="1">
        <f t="array" ref="AA117">Common_InputFunctions.Utility_DisplayArrayInTable(Fertiliser_SourceData.Fertiliser_Products_Data3(),FertiliserProducts[[#Headers],[Product]], 40)</f>
        <v>Location not specified</v>
      </c>
      <c r="AB117" s="158" t="str" cm="1">
        <f t="array" ref="AB117">Common_InputFunctions.Utility_DisplayArrayInTable(Fertiliser_SourceData.Fertiliser_Products_Data3(),FertiliserProducts[[#Headers],[Product]], 40)</f>
        <v>Zinc - Generic</v>
      </c>
      <c r="AC117" s="158" cm="1">
        <f t="array" ref="AC117">Common_InputFunctions.Utility_DisplayArrayInTable(Fertiliser_SourceData.Fertiliser_Products_Data3(),FertiliserProducts[[#Headers],[Product]], 40)</f>
        <v>8.0000000000000004E-4</v>
      </c>
      <c r="AD117" s="158" t="str" cm="1">
        <f t="array" ref="AD117">Common_InputFunctions.Utility_DisplayArrayInTable(Fertiliser_SourceData.Fertiliser_Products_Data3(),FertiliserProducts[[#Headers],[Product]], 40)</f>
        <v>Location not specified</v>
      </c>
      <c r="AE117" s="158" t="str" cm="1">
        <f t="array" ref="AE117">Common_InputFunctions.Utility_DisplayArrayInTable(Fertiliser_SourceData.Fertiliser_Products_Data3(),FertiliserProducts[[#Headers],[Product]], 40)</f>
        <v/>
      </c>
      <c r="AF117" s="158" t="str" cm="1">
        <f t="array" ref="AF117">Common_InputFunctions.Utility_DisplayArrayInTable(Fertiliser_SourceData.Fertiliser_Products_Data3(),FertiliserProducts[[#Headers],[Product]], 40)</f>
        <v/>
      </c>
      <c r="AG117" s="158" t="str" cm="1">
        <f t="array" ref="AG117">Common_InputFunctions.Utility_DisplayArrayInTable(Fertiliser_SourceData.Fertiliser_Products_Data3(),FertiliserProducts[[#Headers],[Product]], 40)</f>
        <v/>
      </c>
      <c r="AH117" s="158" t="str" cm="1">
        <f t="array" ref="AH117">Common_InputFunctions.Utility_DisplayArrayInTable(Fertiliser_SourceData.Fertiliser_Products_Data3(),FertiliserProducts[[#Headers],[Product]], 40)</f>
        <v/>
      </c>
      <c r="AI117" s="158" t="str" cm="1">
        <f t="array" ref="AI117">Common_InputFunctions.Utility_DisplayArrayInTable(Fertiliser_SourceData.Fertiliser_Products_Data3(),FertiliserProducts[[#Headers],[Product]], 40)</f>
        <v/>
      </c>
      <c r="AJ117" s="158" t="str" cm="1">
        <f t="array" ref="AJ117">Common_InputFunctions.Utility_DisplayArrayInTable(Fertiliser_SourceData.Fertiliser_Products_Data3(),FertiliserProducts[[#Headers],[Product]], 40)</f>
        <v/>
      </c>
    </row>
    <row r="118" spans="4:36" ht="20.100000000000001" customHeight="1" x14ac:dyDescent="0.25">
      <c r="D118" s="157" t="str" cm="1">
        <f t="array" ref="D118">Common_InputFunctions.Utility_DisplayArrayInTable(Fertiliser_SourceData.Fertiliser_Products_Data3(),FertiliserProducts[[#Headers],[Product]], 40)</f>
        <v>YaraRega 9-0-30 (14)</v>
      </c>
      <c r="E118" s="157" t="str" cm="1">
        <f t="array" ref="E118">Common_InputFunctions.Utility_DisplayArrayInTable(Fertiliser_SourceData.Fertiliser_Products_Data3(),FertiliserProducts[[#Headers],[Product]], 40)</f>
        <v>kg</v>
      </c>
      <c r="F118" s="157" cm="1">
        <f t="array" ref="F118">Common_InputFunctions.Utility_DisplayArrayInTable(Fertiliser_SourceData.Fertiliser_Products_Data3(),FertiliserProducts[[#Headers],[Product]], 40)</f>
        <v>1</v>
      </c>
      <c r="G118" s="157" t="str" cm="1">
        <f t="array" ref="G118">Common_InputFunctions.Utility_DisplayArrayInTable(Fertiliser_SourceData.Fertiliser_Products_Data3(),FertiliserProducts[[#Headers],[Product]], 40)</f>
        <v>Potassium - Generic</v>
      </c>
      <c r="H118" s="157" cm="1">
        <f t="array" ref="H118">Common_InputFunctions.Utility_DisplayArrayInTable(Fertiliser_SourceData.Fertiliser_Products_Data3(),FertiliserProducts[[#Headers],[Product]], 40)</f>
        <v>0.3</v>
      </c>
      <c r="I118" s="157" t="str" cm="1">
        <f t="array" ref="I118">Common_InputFunctions.Utility_DisplayArrayInTable(Fertiliser_SourceData.Fertiliser_Products_Data3(),FertiliserProducts[[#Headers],[Product]], 40)</f>
        <v>Location not specified</v>
      </c>
      <c r="J118" s="157" t="str" cm="1">
        <f t="array" ref="J118">Common_InputFunctions.Utility_DisplayArrayInTable(Fertiliser_SourceData.Fertiliser_Products_Data3(),FertiliserProducts[[#Headers],[Product]], 40)</f>
        <v>Sulfur - Generic</v>
      </c>
      <c r="K118" s="157" cm="1">
        <f t="array" ref="K118">Common_InputFunctions.Utility_DisplayArrayInTable(Fertiliser_SourceData.Fertiliser_Products_Data3(),FertiliserProducts[[#Headers],[Product]], 40)</f>
        <v>0.14000000000000001</v>
      </c>
      <c r="L118" s="157" t="str" cm="1">
        <f t="array" ref="L118">Common_InputFunctions.Utility_DisplayArrayInTable(Fertiliser_SourceData.Fertiliser_Products_Data3(),FertiliserProducts[[#Headers],[Product]], 40)</f>
        <v>Location not specified</v>
      </c>
      <c r="M118" s="157" t="str" cm="1">
        <f t="array" ref="M118">Common_InputFunctions.Utility_DisplayArrayInTable(Fertiliser_SourceData.Fertiliser_Products_Data3(),FertiliserProducts[[#Headers],[Product]], 40)</f>
        <v>Nitrogen - Ammoniacal</v>
      </c>
      <c r="N118" s="157" cm="1">
        <f t="array" ref="N118">Common_InputFunctions.Utility_DisplayArrayInTable(Fertiliser_SourceData.Fertiliser_Products_Data3(),FertiliserProducts[[#Headers],[Product]], 40)</f>
        <v>4.4999999999999998E-2</v>
      </c>
      <c r="O118" s="157" t="str" cm="1">
        <f t="array" ref="O118">Common_InputFunctions.Utility_DisplayArrayInTable(Fertiliser_SourceData.Fertiliser_Products_Data3(),FertiliserProducts[[#Headers],[Product]], 40)</f>
        <v>Location not specified</v>
      </c>
      <c r="P118" s="157" t="str" cm="1">
        <f t="array" ref="P118">Common_InputFunctions.Utility_DisplayArrayInTable(Fertiliser_SourceData.Fertiliser_Products_Data3(),FertiliserProducts[[#Headers],[Product]], 40)</f>
        <v>Nitrogen from Nitrate</v>
      </c>
      <c r="Q118" s="157" cm="1">
        <f t="array" ref="Q118">Common_InputFunctions.Utility_DisplayArrayInTable(Fertiliser_SourceData.Fertiliser_Products_Data3(),FertiliserProducts[[#Headers],[Product]], 40)</f>
        <v>4.4999999999999998E-2</v>
      </c>
      <c r="R118" s="157" t="str" cm="1">
        <f t="array" ref="R118">Common_InputFunctions.Utility_DisplayArrayInTable(Fertiliser_SourceData.Fertiliser_Products_Data3(),FertiliserProducts[[#Headers],[Product]], 40)</f>
        <v>Location not specified</v>
      </c>
      <c r="S118" s="157" t="str" cm="1">
        <f t="array" ref="S118">Common_InputFunctions.Utility_DisplayArrayInTable(Fertiliser_SourceData.Fertiliser_Products_Data3(),FertiliserProducts[[#Headers],[Product]], 40)</f>
        <v/>
      </c>
      <c r="T118" s="157" t="str" cm="1">
        <f t="array" ref="T118">Common_InputFunctions.Utility_DisplayArrayInTable(Fertiliser_SourceData.Fertiliser_Products_Data3(),FertiliserProducts[[#Headers],[Product]], 40)</f>
        <v/>
      </c>
      <c r="U118" s="157" t="str" cm="1">
        <f t="array" ref="U118">Common_InputFunctions.Utility_DisplayArrayInTable(Fertiliser_SourceData.Fertiliser_Products_Data3(),FertiliserProducts[[#Headers],[Product]], 40)</f>
        <v/>
      </c>
      <c r="V118" s="157" t="str" cm="1">
        <f t="array" ref="V118">Common_InputFunctions.Utility_DisplayArrayInTable(Fertiliser_SourceData.Fertiliser_Products_Data3(),FertiliserProducts[[#Headers],[Product]], 40)</f>
        <v/>
      </c>
      <c r="W118" s="157" t="str" cm="1">
        <f t="array" ref="W118">Common_InputFunctions.Utility_DisplayArrayInTable(Fertiliser_SourceData.Fertiliser_Products_Data3(),FertiliserProducts[[#Headers],[Product]], 40)</f>
        <v/>
      </c>
      <c r="X118" s="157" t="str" cm="1">
        <f t="array" ref="X118">Common_InputFunctions.Utility_DisplayArrayInTable(Fertiliser_SourceData.Fertiliser_Products_Data3(),FertiliserProducts[[#Headers],[Product]], 40)</f>
        <v/>
      </c>
      <c r="Y118" s="157" t="str" cm="1">
        <f t="array" ref="Y118">Common_InputFunctions.Utility_DisplayArrayInTable(Fertiliser_SourceData.Fertiliser_Products_Data3(),FertiliserProducts[[#Headers],[Product]], 40)</f>
        <v/>
      </c>
      <c r="Z118" s="157" t="str" cm="1">
        <f t="array" ref="Z118">Common_InputFunctions.Utility_DisplayArrayInTable(Fertiliser_SourceData.Fertiliser_Products_Data3(),FertiliserProducts[[#Headers],[Product]], 40)</f>
        <v/>
      </c>
      <c r="AA118" s="158" t="str" cm="1">
        <f t="array" ref="AA118">Common_InputFunctions.Utility_DisplayArrayInTable(Fertiliser_SourceData.Fertiliser_Products_Data3(),FertiliserProducts[[#Headers],[Product]], 40)</f>
        <v/>
      </c>
      <c r="AB118" s="158" t="str" cm="1">
        <f t="array" ref="AB118">Common_InputFunctions.Utility_DisplayArrayInTable(Fertiliser_SourceData.Fertiliser_Products_Data3(),FertiliserProducts[[#Headers],[Product]], 40)</f>
        <v/>
      </c>
      <c r="AC118" s="158" t="str" cm="1">
        <f t="array" ref="AC118">Common_InputFunctions.Utility_DisplayArrayInTable(Fertiliser_SourceData.Fertiliser_Products_Data3(),FertiliserProducts[[#Headers],[Product]], 40)</f>
        <v/>
      </c>
      <c r="AD118" s="158" t="str" cm="1">
        <f t="array" ref="AD118">Common_InputFunctions.Utility_DisplayArrayInTable(Fertiliser_SourceData.Fertiliser_Products_Data3(),FertiliserProducts[[#Headers],[Product]], 40)</f>
        <v/>
      </c>
      <c r="AE118" s="158" t="str" cm="1">
        <f t="array" ref="AE118">Common_InputFunctions.Utility_DisplayArrayInTable(Fertiliser_SourceData.Fertiliser_Products_Data3(),FertiliserProducts[[#Headers],[Product]], 40)</f>
        <v/>
      </c>
      <c r="AF118" s="158" t="str" cm="1">
        <f t="array" ref="AF118">Common_InputFunctions.Utility_DisplayArrayInTable(Fertiliser_SourceData.Fertiliser_Products_Data3(),FertiliserProducts[[#Headers],[Product]], 40)</f>
        <v/>
      </c>
      <c r="AG118" s="158" t="str" cm="1">
        <f t="array" ref="AG118">Common_InputFunctions.Utility_DisplayArrayInTable(Fertiliser_SourceData.Fertiliser_Products_Data3(),FertiliserProducts[[#Headers],[Product]], 40)</f>
        <v/>
      </c>
      <c r="AH118" s="158" t="str" cm="1">
        <f t="array" ref="AH118">Common_InputFunctions.Utility_DisplayArrayInTable(Fertiliser_SourceData.Fertiliser_Products_Data3(),FertiliserProducts[[#Headers],[Product]], 40)</f>
        <v/>
      </c>
      <c r="AI118" s="158" t="str" cm="1">
        <f t="array" ref="AI118">Common_InputFunctions.Utility_DisplayArrayInTable(Fertiliser_SourceData.Fertiliser_Products_Data3(),FertiliserProducts[[#Headers],[Product]], 40)</f>
        <v/>
      </c>
      <c r="AJ118" s="158" t="str" cm="1">
        <f t="array" ref="AJ118">Common_InputFunctions.Utility_DisplayArrayInTable(Fertiliser_SourceData.Fertiliser_Products_Data3(),FertiliserProducts[[#Headers],[Product]], 40)</f>
        <v/>
      </c>
    </row>
    <row r="119" spans="4:36" ht="20.100000000000001" customHeight="1" x14ac:dyDescent="0.25">
      <c r="D119" s="157" t="str" cm="1">
        <f t="array" ref="D119">Common_InputFunctions.Utility_DisplayArrayInTable(Fertiliser_SourceData.Fertiliser_Products_Data3(),FertiliserProducts[[#Headers],[Product]], 40)</f>
        <v>YaraTera KRISTA K PLUS</v>
      </c>
      <c r="E119" s="157" t="str" cm="1">
        <f t="array" ref="E119">Common_InputFunctions.Utility_DisplayArrayInTable(Fertiliser_SourceData.Fertiliser_Products_Data3(),FertiliserProducts[[#Headers],[Product]], 40)</f>
        <v>kg</v>
      </c>
      <c r="F119" s="157" cm="1">
        <f t="array" ref="F119">Common_InputFunctions.Utility_DisplayArrayInTable(Fertiliser_SourceData.Fertiliser_Products_Data3(),FertiliserProducts[[#Headers],[Product]], 40)</f>
        <v>1</v>
      </c>
      <c r="G119" s="157" t="str" cm="1">
        <f t="array" ref="G119">Common_InputFunctions.Utility_DisplayArrayInTable(Fertiliser_SourceData.Fertiliser_Products_Data3(),FertiliserProducts[[#Headers],[Product]], 40)</f>
        <v>Nitrogen - Generic</v>
      </c>
      <c r="H119" s="157" cm="1">
        <f t="array" ref="H119">Common_InputFunctions.Utility_DisplayArrayInTable(Fertiliser_SourceData.Fertiliser_Products_Data3(),FertiliserProducts[[#Headers],[Product]], 40)</f>
        <v>0.13700000000000001</v>
      </c>
      <c r="I119" s="157" t="str" cm="1">
        <f t="array" ref="I119">Common_InputFunctions.Utility_DisplayArrayInTable(Fertiliser_SourceData.Fertiliser_Products_Data3(),FertiliserProducts[[#Headers],[Product]], 40)</f>
        <v>Location not specified</v>
      </c>
      <c r="J119" s="157" t="str" cm="1">
        <f t="array" ref="J119">Common_InputFunctions.Utility_DisplayArrayInTable(Fertiliser_SourceData.Fertiliser_Products_Data3(),FertiliserProducts[[#Headers],[Product]], 40)</f>
        <v>Potassium - Generic</v>
      </c>
      <c r="K119" s="157" cm="1">
        <f t="array" ref="K119">Common_InputFunctions.Utility_DisplayArrayInTable(Fertiliser_SourceData.Fertiliser_Products_Data3(),FertiliserProducts[[#Headers],[Product]], 40)</f>
        <v>0.38400000000000001</v>
      </c>
      <c r="L119" s="157" t="str" cm="1">
        <f t="array" ref="L119">Common_InputFunctions.Utility_DisplayArrayInTable(Fertiliser_SourceData.Fertiliser_Products_Data3(),FertiliserProducts[[#Headers],[Product]], 40)</f>
        <v>Location not specified</v>
      </c>
      <c r="M119" s="157" t="str" cm="1">
        <f t="array" ref="M119">Common_InputFunctions.Utility_DisplayArrayInTable(Fertiliser_SourceData.Fertiliser_Products_Data3(),FertiliserProducts[[#Headers],[Product]], 40)</f>
        <v/>
      </c>
      <c r="N119" s="157" t="str" cm="1">
        <f t="array" ref="N119">Common_InputFunctions.Utility_DisplayArrayInTable(Fertiliser_SourceData.Fertiliser_Products_Data3(),FertiliserProducts[[#Headers],[Product]], 40)</f>
        <v/>
      </c>
      <c r="O119" s="157" t="str" cm="1">
        <f t="array" ref="O119">Common_InputFunctions.Utility_DisplayArrayInTable(Fertiliser_SourceData.Fertiliser_Products_Data3(),FertiliserProducts[[#Headers],[Product]], 40)</f>
        <v/>
      </c>
      <c r="P119" s="157" t="str" cm="1">
        <f t="array" ref="P119">Common_InputFunctions.Utility_DisplayArrayInTable(Fertiliser_SourceData.Fertiliser_Products_Data3(),FertiliserProducts[[#Headers],[Product]], 40)</f>
        <v/>
      </c>
      <c r="Q119" s="157" t="str" cm="1">
        <f t="array" ref="Q119">Common_InputFunctions.Utility_DisplayArrayInTable(Fertiliser_SourceData.Fertiliser_Products_Data3(),FertiliserProducts[[#Headers],[Product]], 40)</f>
        <v/>
      </c>
      <c r="R119" s="157" t="str" cm="1">
        <f t="array" ref="R119">Common_InputFunctions.Utility_DisplayArrayInTable(Fertiliser_SourceData.Fertiliser_Products_Data3(),FertiliserProducts[[#Headers],[Product]], 40)</f>
        <v/>
      </c>
      <c r="S119" s="157" t="str" cm="1">
        <f t="array" ref="S119">Common_InputFunctions.Utility_DisplayArrayInTable(Fertiliser_SourceData.Fertiliser_Products_Data3(),FertiliserProducts[[#Headers],[Product]], 40)</f>
        <v/>
      </c>
      <c r="T119" s="157" t="str" cm="1">
        <f t="array" ref="T119">Common_InputFunctions.Utility_DisplayArrayInTable(Fertiliser_SourceData.Fertiliser_Products_Data3(),FertiliserProducts[[#Headers],[Product]], 40)</f>
        <v/>
      </c>
      <c r="U119" s="157" t="str" cm="1">
        <f t="array" ref="U119">Common_InputFunctions.Utility_DisplayArrayInTable(Fertiliser_SourceData.Fertiliser_Products_Data3(),FertiliserProducts[[#Headers],[Product]], 40)</f>
        <v/>
      </c>
      <c r="V119" s="157" t="str" cm="1">
        <f t="array" ref="V119">Common_InputFunctions.Utility_DisplayArrayInTable(Fertiliser_SourceData.Fertiliser_Products_Data3(),FertiliserProducts[[#Headers],[Product]], 40)</f>
        <v/>
      </c>
      <c r="W119" s="157" t="str" cm="1">
        <f t="array" ref="W119">Common_InputFunctions.Utility_DisplayArrayInTable(Fertiliser_SourceData.Fertiliser_Products_Data3(),FertiliserProducts[[#Headers],[Product]], 40)</f>
        <v/>
      </c>
      <c r="X119" s="157" t="str" cm="1">
        <f t="array" ref="X119">Common_InputFunctions.Utility_DisplayArrayInTable(Fertiliser_SourceData.Fertiliser_Products_Data3(),FertiliserProducts[[#Headers],[Product]], 40)</f>
        <v/>
      </c>
      <c r="Y119" s="157" t="str" cm="1">
        <f t="array" ref="Y119">Common_InputFunctions.Utility_DisplayArrayInTable(Fertiliser_SourceData.Fertiliser_Products_Data3(),FertiliserProducts[[#Headers],[Product]], 40)</f>
        <v/>
      </c>
      <c r="Z119" s="157" t="str" cm="1">
        <f t="array" ref="Z119">Common_InputFunctions.Utility_DisplayArrayInTable(Fertiliser_SourceData.Fertiliser_Products_Data3(),FertiliserProducts[[#Headers],[Product]], 40)</f>
        <v/>
      </c>
      <c r="AA119" s="158" t="str" cm="1">
        <f t="array" ref="AA119">Common_InputFunctions.Utility_DisplayArrayInTable(Fertiliser_SourceData.Fertiliser_Products_Data3(),FertiliserProducts[[#Headers],[Product]], 40)</f>
        <v/>
      </c>
      <c r="AB119" s="158" t="str" cm="1">
        <f t="array" ref="AB119">Common_InputFunctions.Utility_DisplayArrayInTable(Fertiliser_SourceData.Fertiliser_Products_Data3(),FertiliserProducts[[#Headers],[Product]], 40)</f>
        <v/>
      </c>
      <c r="AC119" s="158" t="str" cm="1">
        <f t="array" ref="AC119">Common_InputFunctions.Utility_DisplayArrayInTable(Fertiliser_SourceData.Fertiliser_Products_Data3(),FertiliserProducts[[#Headers],[Product]], 40)</f>
        <v/>
      </c>
      <c r="AD119" s="158" t="str" cm="1">
        <f t="array" ref="AD119">Common_InputFunctions.Utility_DisplayArrayInTable(Fertiliser_SourceData.Fertiliser_Products_Data3(),FertiliserProducts[[#Headers],[Product]], 40)</f>
        <v/>
      </c>
      <c r="AE119" s="158" t="str" cm="1">
        <f t="array" ref="AE119">Common_InputFunctions.Utility_DisplayArrayInTable(Fertiliser_SourceData.Fertiliser_Products_Data3(),FertiliserProducts[[#Headers],[Product]], 40)</f>
        <v/>
      </c>
      <c r="AF119" s="158" t="str" cm="1">
        <f t="array" ref="AF119">Common_InputFunctions.Utility_DisplayArrayInTable(Fertiliser_SourceData.Fertiliser_Products_Data3(),FertiliserProducts[[#Headers],[Product]], 40)</f>
        <v/>
      </c>
      <c r="AG119" s="158" t="str" cm="1">
        <f t="array" ref="AG119">Common_InputFunctions.Utility_DisplayArrayInTable(Fertiliser_SourceData.Fertiliser_Products_Data3(),FertiliserProducts[[#Headers],[Product]], 40)</f>
        <v/>
      </c>
      <c r="AH119" s="158" t="str" cm="1">
        <f t="array" ref="AH119">Common_InputFunctions.Utility_DisplayArrayInTable(Fertiliser_SourceData.Fertiliser_Products_Data3(),FertiliserProducts[[#Headers],[Product]], 40)</f>
        <v/>
      </c>
      <c r="AI119" s="158" t="str" cm="1">
        <f t="array" ref="AI119">Common_InputFunctions.Utility_DisplayArrayInTable(Fertiliser_SourceData.Fertiliser_Products_Data3(),FertiliserProducts[[#Headers],[Product]], 40)</f>
        <v/>
      </c>
      <c r="AJ119" s="158" t="str" cm="1">
        <f t="array" ref="AJ119">Common_InputFunctions.Utility_DisplayArrayInTable(Fertiliser_SourceData.Fertiliser_Products_Data3(),FertiliserProducts[[#Headers],[Product]], 40)</f>
        <v/>
      </c>
    </row>
    <row r="120" spans="4:36" ht="20.100000000000001" customHeight="1" x14ac:dyDescent="0.25">
      <c r="D120" s="157" t="str" cm="1">
        <f t="array" ref="D120">Common_InputFunctions.Utility_DisplayArrayInTable(Fertiliser_SourceData.Fertiliser_Products_Data3(),FertiliserProducts[[#Headers],[Product]], 40)</f>
        <v>YaraTera KRISTA MAP</v>
      </c>
      <c r="E120" s="157" t="str" cm="1">
        <f t="array" ref="E120">Common_InputFunctions.Utility_DisplayArrayInTable(Fertiliser_SourceData.Fertiliser_Products_Data3(),FertiliserProducts[[#Headers],[Product]], 40)</f>
        <v>kg</v>
      </c>
      <c r="F120" s="157" cm="1">
        <f t="array" ref="F120">Common_InputFunctions.Utility_DisplayArrayInTable(Fertiliser_SourceData.Fertiliser_Products_Data3(),FertiliserProducts[[#Headers],[Product]], 40)</f>
        <v>1</v>
      </c>
      <c r="G120" s="157" t="str" cm="1">
        <f t="array" ref="G120">Common_InputFunctions.Utility_DisplayArrayInTable(Fertiliser_SourceData.Fertiliser_Products_Data3(),FertiliserProducts[[#Headers],[Product]], 40)</f>
        <v>Phosphorus - Generic</v>
      </c>
      <c r="H120" s="157" cm="1">
        <f t="array" ref="H120">Common_InputFunctions.Utility_DisplayArrayInTable(Fertiliser_SourceData.Fertiliser_Products_Data3(),FertiliserProducts[[#Headers],[Product]], 40)</f>
        <v>0.26600000000000001</v>
      </c>
      <c r="I120" s="157" t="str" cm="1">
        <f t="array" ref="I120">Common_InputFunctions.Utility_DisplayArrayInTable(Fertiliser_SourceData.Fertiliser_Products_Data3(),FertiliserProducts[[#Headers],[Product]], 40)</f>
        <v>Location not specified</v>
      </c>
      <c r="J120" s="157" t="str" cm="1">
        <f t="array" ref="J120">Common_InputFunctions.Utility_DisplayArrayInTable(Fertiliser_SourceData.Fertiliser_Products_Data3(),FertiliserProducts[[#Headers],[Product]], 40)</f>
        <v>Nitrogen - Ammoniacal</v>
      </c>
      <c r="K120" s="157" cm="1">
        <f t="array" ref="K120">Common_InputFunctions.Utility_DisplayArrayInTable(Fertiliser_SourceData.Fertiliser_Products_Data3(),FertiliserProducts[[#Headers],[Product]], 40)</f>
        <v>0.12</v>
      </c>
      <c r="L120" s="157" t="str" cm="1">
        <f t="array" ref="L120">Common_InputFunctions.Utility_DisplayArrayInTable(Fertiliser_SourceData.Fertiliser_Products_Data3(),FertiliserProducts[[#Headers],[Product]], 40)</f>
        <v>Location not specified</v>
      </c>
      <c r="M120" s="157" t="str" cm="1">
        <f t="array" ref="M120">Common_InputFunctions.Utility_DisplayArrayInTable(Fertiliser_SourceData.Fertiliser_Products_Data3(),FertiliserProducts[[#Headers],[Product]], 40)</f>
        <v/>
      </c>
      <c r="N120" s="157" t="str" cm="1">
        <f t="array" ref="N120">Common_InputFunctions.Utility_DisplayArrayInTable(Fertiliser_SourceData.Fertiliser_Products_Data3(),FertiliserProducts[[#Headers],[Product]], 40)</f>
        <v/>
      </c>
      <c r="O120" s="157" t="str" cm="1">
        <f t="array" ref="O120">Common_InputFunctions.Utility_DisplayArrayInTable(Fertiliser_SourceData.Fertiliser_Products_Data3(),FertiliserProducts[[#Headers],[Product]], 40)</f>
        <v/>
      </c>
      <c r="P120" s="157" t="str" cm="1">
        <f t="array" ref="P120">Common_InputFunctions.Utility_DisplayArrayInTable(Fertiliser_SourceData.Fertiliser_Products_Data3(),FertiliserProducts[[#Headers],[Product]], 40)</f>
        <v/>
      </c>
      <c r="Q120" s="157" t="str" cm="1">
        <f t="array" ref="Q120">Common_InputFunctions.Utility_DisplayArrayInTable(Fertiliser_SourceData.Fertiliser_Products_Data3(),FertiliserProducts[[#Headers],[Product]], 40)</f>
        <v/>
      </c>
      <c r="R120" s="157" t="str" cm="1">
        <f t="array" ref="R120">Common_InputFunctions.Utility_DisplayArrayInTable(Fertiliser_SourceData.Fertiliser_Products_Data3(),FertiliserProducts[[#Headers],[Product]], 40)</f>
        <v/>
      </c>
      <c r="S120" s="157" t="str" cm="1">
        <f t="array" ref="S120">Common_InputFunctions.Utility_DisplayArrayInTable(Fertiliser_SourceData.Fertiliser_Products_Data3(),FertiliserProducts[[#Headers],[Product]], 40)</f>
        <v/>
      </c>
      <c r="T120" s="157" t="str" cm="1">
        <f t="array" ref="T120">Common_InputFunctions.Utility_DisplayArrayInTable(Fertiliser_SourceData.Fertiliser_Products_Data3(),FertiliserProducts[[#Headers],[Product]], 40)</f>
        <v/>
      </c>
      <c r="U120" s="157" t="str" cm="1">
        <f t="array" ref="U120">Common_InputFunctions.Utility_DisplayArrayInTable(Fertiliser_SourceData.Fertiliser_Products_Data3(),FertiliserProducts[[#Headers],[Product]], 40)</f>
        <v/>
      </c>
      <c r="V120" s="157" t="str" cm="1">
        <f t="array" ref="V120">Common_InputFunctions.Utility_DisplayArrayInTable(Fertiliser_SourceData.Fertiliser_Products_Data3(),FertiliserProducts[[#Headers],[Product]], 40)</f>
        <v/>
      </c>
      <c r="W120" s="157" t="str" cm="1">
        <f t="array" ref="W120">Common_InputFunctions.Utility_DisplayArrayInTable(Fertiliser_SourceData.Fertiliser_Products_Data3(),FertiliserProducts[[#Headers],[Product]], 40)</f>
        <v/>
      </c>
      <c r="X120" s="157" t="str" cm="1">
        <f t="array" ref="X120">Common_InputFunctions.Utility_DisplayArrayInTable(Fertiliser_SourceData.Fertiliser_Products_Data3(),FertiliserProducts[[#Headers],[Product]], 40)</f>
        <v/>
      </c>
      <c r="Y120" s="157" t="str" cm="1">
        <f t="array" ref="Y120">Common_InputFunctions.Utility_DisplayArrayInTable(Fertiliser_SourceData.Fertiliser_Products_Data3(),FertiliserProducts[[#Headers],[Product]], 40)</f>
        <v/>
      </c>
      <c r="Z120" s="157" t="str" cm="1">
        <f t="array" ref="Z120">Common_InputFunctions.Utility_DisplayArrayInTable(Fertiliser_SourceData.Fertiliser_Products_Data3(),FertiliserProducts[[#Headers],[Product]], 40)</f>
        <v/>
      </c>
      <c r="AA120" s="158" t="str" cm="1">
        <f t="array" ref="AA120">Common_InputFunctions.Utility_DisplayArrayInTable(Fertiliser_SourceData.Fertiliser_Products_Data3(),FertiliserProducts[[#Headers],[Product]], 40)</f>
        <v/>
      </c>
      <c r="AB120" s="158" t="str" cm="1">
        <f t="array" ref="AB120">Common_InputFunctions.Utility_DisplayArrayInTable(Fertiliser_SourceData.Fertiliser_Products_Data3(),FertiliserProducts[[#Headers],[Product]], 40)</f>
        <v/>
      </c>
      <c r="AC120" s="158" t="str" cm="1">
        <f t="array" ref="AC120">Common_InputFunctions.Utility_DisplayArrayInTable(Fertiliser_SourceData.Fertiliser_Products_Data3(),FertiliserProducts[[#Headers],[Product]], 40)</f>
        <v/>
      </c>
      <c r="AD120" s="158" t="str" cm="1">
        <f t="array" ref="AD120">Common_InputFunctions.Utility_DisplayArrayInTable(Fertiliser_SourceData.Fertiliser_Products_Data3(),FertiliserProducts[[#Headers],[Product]], 40)</f>
        <v/>
      </c>
      <c r="AE120" s="158" t="str" cm="1">
        <f t="array" ref="AE120">Common_InputFunctions.Utility_DisplayArrayInTable(Fertiliser_SourceData.Fertiliser_Products_Data3(),FertiliserProducts[[#Headers],[Product]], 40)</f>
        <v/>
      </c>
      <c r="AF120" s="158" t="str" cm="1">
        <f t="array" ref="AF120">Common_InputFunctions.Utility_DisplayArrayInTable(Fertiliser_SourceData.Fertiliser_Products_Data3(),FertiliserProducts[[#Headers],[Product]], 40)</f>
        <v/>
      </c>
      <c r="AG120" s="158" t="str" cm="1">
        <f t="array" ref="AG120">Common_InputFunctions.Utility_DisplayArrayInTable(Fertiliser_SourceData.Fertiliser_Products_Data3(),FertiliserProducts[[#Headers],[Product]], 40)</f>
        <v/>
      </c>
      <c r="AH120" s="158" t="str" cm="1">
        <f t="array" ref="AH120">Common_InputFunctions.Utility_DisplayArrayInTable(Fertiliser_SourceData.Fertiliser_Products_Data3(),FertiliserProducts[[#Headers],[Product]], 40)</f>
        <v/>
      </c>
      <c r="AI120" s="158" t="str" cm="1">
        <f t="array" ref="AI120">Common_InputFunctions.Utility_DisplayArrayInTable(Fertiliser_SourceData.Fertiliser_Products_Data3(),FertiliserProducts[[#Headers],[Product]], 40)</f>
        <v/>
      </c>
      <c r="AJ120" s="158" t="str" cm="1">
        <f t="array" ref="AJ120">Common_InputFunctions.Utility_DisplayArrayInTable(Fertiliser_SourceData.Fertiliser_Products_Data3(),FertiliserProducts[[#Headers],[Product]], 40)</f>
        <v/>
      </c>
    </row>
    <row r="121" spans="4:36" ht="20.100000000000001" customHeight="1" x14ac:dyDescent="0.25">
      <c r="D121" s="157" t="str" cm="1">
        <f t="array" ref="D121">Common_InputFunctions.Utility_DisplayArrayInTable(Fertiliser_SourceData.Fertiliser_Products_Data3(),FertiliserProducts[[#Headers],[Product]], 40)</f>
        <v>YaraTera KRISTA MKP</v>
      </c>
      <c r="E121" s="157" t="str" cm="1">
        <f t="array" ref="E121">Common_InputFunctions.Utility_DisplayArrayInTable(Fertiliser_SourceData.Fertiliser_Products_Data3(),FertiliserProducts[[#Headers],[Product]], 40)</f>
        <v>kg</v>
      </c>
      <c r="F121" s="157" cm="1">
        <f t="array" ref="F121">Common_InputFunctions.Utility_DisplayArrayInTable(Fertiliser_SourceData.Fertiliser_Products_Data3(),FertiliserProducts[[#Headers],[Product]], 40)</f>
        <v>1</v>
      </c>
      <c r="G121" s="157" t="str" cm="1">
        <f t="array" ref="G121">Common_InputFunctions.Utility_DisplayArrayInTable(Fertiliser_SourceData.Fertiliser_Products_Data3(),FertiliserProducts[[#Headers],[Product]], 40)</f>
        <v>Potassium - Generic</v>
      </c>
      <c r="H121" s="157" cm="1">
        <f t="array" ref="H121">Common_InputFunctions.Utility_DisplayArrayInTable(Fertiliser_SourceData.Fertiliser_Products_Data3(),FertiliserProducts[[#Headers],[Product]], 40)</f>
        <v>0.28199999999999997</v>
      </c>
      <c r="I121" s="157" t="str" cm="1">
        <f t="array" ref="I121">Common_InputFunctions.Utility_DisplayArrayInTable(Fertiliser_SourceData.Fertiliser_Products_Data3(),FertiliserProducts[[#Headers],[Product]], 40)</f>
        <v>Location not specified</v>
      </c>
      <c r="J121" s="157" t="str" cm="1">
        <f t="array" ref="J121">Common_InputFunctions.Utility_DisplayArrayInTable(Fertiliser_SourceData.Fertiliser_Products_Data3(),FertiliserProducts[[#Headers],[Product]], 40)</f>
        <v>Phosphorus - Generic</v>
      </c>
      <c r="K121" s="157" cm="1">
        <f t="array" ref="K121">Common_InputFunctions.Utility_DisplayArrayInTable(Fertiliser_SourceData.Fertiliser_Products_Data3(),FertiliserProducts[[#Headers],[Product]], 40)</f>
        <v>0.22700000000000001</v>
      </c>
      <c r="L121" s="157" t="str" cm="1">
        <f t="array" ref="L121">Common_InputFunctions.Utility_DisplayArrayInTable(Fertiliser_SourceData.Fertiliser_Products_Data3(),FertiliserProducts[[#Headers],[Product]], 40)</f>
        <v>Location not specified</v>
      </c>
      <c r="M121" s="157" t="str" cm="1">
        <f t="array" ref="M121">Common_InputFunctions.Utility_DisplayArrayInTable(Fertiliser_SourceData.Fertiliser_Products_Data3(),FertiliserProducts[[#Headers],[Product]], 40)</f>
        <v/>
      </c>
      <c r="N121" s="157" t="str" cm="1">
        <f t="array" ref="N121">Common_InputFunctions.Utility_DisplayArrayInTable(Fertiliser_SourceData.Fertiliser_Products_Data3(),FertiliserProducts[[#Headers],[Product]], 40)</f>
        <v/>
      </c>
      <c r="O121" s="157" t="str" cm="1">
        <f t="array" ref="O121">Common_InputFunctions.Utility_DisplayArrayInTable(Fertiliser_SourceData.Fertiliser_Products_Data3(),FertiliserProducts[[#Headers],[Product]], 40)</f>
        <v/>
      </c>
      <c r="P121" s="157" t="str" cm="1">
        <f t="array" ref="P121">Common_InputFunctions.Utility_DisplayArrayInTable(Fertiliser_SourceData.Fertiliser_Products_Data3(),FertiliserProducts[[#Headers],[Product]], 40)</f>
        <v/>
      </c>
      <c r="Q121" s="157" t="str" cm="1">
        <f t="array" ref="Q121">Common_InputFunctions.Utility_DisplayArrayInTable(Fertiliser_SourceData.Fertiliser_Products_Data3(),FertiliserProducts[[#Headers],[Product]], 40)</f>
        <v/>
      </c>
      <c r="R121" s="157" t="str" cm="1">
        <f t="array" ref="R121">Common_InputFunctions.Utility_DisplayArrayInTable(Fertiliser_SourceData.Fertiliser_Products_Data3(),FertiliserProducts[[#Headers],[Product]], 40)</f>
        <v/>
      </c>
      <c r="S121" s="157" t="str" cm="1">
        <f t="array" ref="S121">Common_InputFunctions.Utility_DisplayArrayInTable(Fertiliser_SourceData.Fertiliser_Products_Data3(),FertiliserProducts[[#Headers],[Product]], 40)</f>
        <v/>
      </c>
      <c r="T121" s="157" t="str" cm="1">
        <f t="array" ref="T121">Common_InputFunctions.Utility_DisplayArrayInTable(Fertiliser_SourceData.Fertiliser_Products_Data3(),FertiliserProducts[[#Headers],[Product]], 40)</f>
        <v/>
      </c>
      <c r="U121" s="157" t="str" cm="1">
        <f t="array" ref="U121">Common_InputFunctions.Utility_DisplayArrayInTable(Fertiliser_SourceData.Fertiliser_Products_Data3(),FertiliserProducts[[#Headers],[Product]], 40)</f>
        <v/>
      </c>
      <c r="V121" s="157" t="str" cm="1">
        <f t="array" ref="V121">Common_InputFunctions.Utility_DisplayArrayInTable(Fertiliser_SourceData.Fertiliser_Products_Data3(),FertiliserProducts[[#Headers],[Product]], 40)</f>
        <v/>
      </c>
      <c r="W121" s="157" t="str" cm="1">
        <f t="array" ref="W121">Common_InputFunctions.Utility_DisplayArrayInTable(Fertiliser_SourceData.Fertiliser_Products_Data3(),FertiliserProducts[[#Headers],[Product]], 40)</f>
        <v/>
      </c>
      <c r="X121" s="157" t="str" cm="1">
        <f t="array" ref="X121">Common_InputFunctions.Utility_DisplayArrayInTable(Fertiliser_SourceData.Fertiliser_Products_Data3(),FertiliserProducts[[#Headers],[Product]], 40)</f>
        <v/>
      </c>
      <c r="Y121" s="157" t="str" cm="1">
        <f t="array" ref="Y121">Common_InputFunctions.Utility_DisplayArrayInTable(Fertiliser_SourceData.Fertiliser_Products_Data3(),FertiliserProducts[[#Headers],[Product]], 40)</f>
        <v/>
      </c>
      <c r="Z121" s="157" t="str" cm="1">
        <f t="array" ref="Z121">Common_InputFunctions.Utility_DisplayArrayInTable(Fertiliser_SourceData.Fertiliser_Products_Data3(),FertiliserProducts[[#Headers],[Product]], 40)</f>
        <v/>
      </c>
      <c r="AA121" s="158" t="str" cm="1">
        <f t="array" ref="AA121">Common_InputFunctions.Utility_DisplayArrayInTable(Fertiliser_SourceData.Fertiliser_Products_Data3(),FertiliserProducts[[#Headers],[Product]], 40)</f>
        <v/>
      </c>
      <c r="AB121" s="158" t="str" cm="1">
        <f t="array" ref="AB121">Common_InputFunctions.Utility_DisplayArrayInTable(Fertiliser_SourceData.Fertiliser_Products_Data3(),FertiliserProducts[[#Headers],[Product]], 40)</f>
        <v/>
      </c>
      <c r="AC121" s="158" t="str" cm="1">
        <f t="array" ref="AC121">Common_InputFunctions.Utility_DisplayArrayInTable(Fertiliser_SourceData.Fertiliser_Products_Data3(),FertiliserProducts[[#Headers],[Product]], 40)</f>
        <v/>
      </c>
      <c r="AD121" s="158" t="str" cm="1">
        <f t="array" ref="AD121">Common_InputFunctions.Utility_DisplayArrayInTable(Fertiliser_SourceData.Fertiliser_Products_Data3(),FertiliserProducts[[#Headers],[Product]], 40)</f>
        <v/>
      </c>
      <c r="AE121" s="158" t="str" cm="1">
        <f t="array" ref="AE121">Common_InputFunctions.Utility_DisplayArrayInTable(Fertiliser_SourceData.Fertiliser_Products_Data3(),FertiliserProducts[[#Headers],[Product]], 40)</f>
        <v/>
      </c>
      <c r="AF121" s="158" t="str" cm="1">
        <f t="array" ref="AF121">Common_InputFunctions.Utility_DisplayArrayInTable(Fertiliser_SourceData.Fertiliser_Products_Data3(),FertiliserProducts[[#Headers],[Product]], 40)</f>
        <v/>
      </c>
      <c r="AG121" s="158" t="str" cm="1">
        <f t="array" ref="AG121">Common_InputFunctions.Utility_DisplayArrayInTable(Fertiliser_SourceData.Fertiliser_Products_Data3(),FertiliserProducts[[#Headers],[Product]], 40)</f>
        <v/>
      </c>
      <c r="AH121" s="158" t="str" cm="1">
        <f t="array" ref="AH121">Common_InputFunctions.Utility_DisplayArrayInTable(Fertiliser_SourceData.Fertiliser_Products_Data3(),FertiliserProducts[[#Headers],[Product]], 40)</f>
        <v/>
      </c>
      <c r="AI121" s="158" t="str" cm="1">
        <f t="array" ref="AI121">Common_InputFunctions.Utility_DisplayArrayInTable(Fertiliser_SourceData.Fertiliser_Products_Data3(),FertiliserProducts[[#Headers],[Product]], 40)</f>
        <v/>
      </c>
      <c r="AJ121" s="158" t="str" cm="1">
        <f t="array" ref="AJ121">Common_InputFunctions.Utility_DisplayArrayInTable(Fertiliser_SourceData.Fertiliser_Products_Data3(),FertiliserProducts[[#Headers],[Product]], 40)</f>
        <v/>
      </c>
    </row>
    <row r="122" spans="4:36" ht="20.100000000000001" customHeight="1" x14ac:dyDescent="0.25">
      <c r="D122" s="157" t="str" cm="1">
        <f t="array" ref="D122">Common_InputFunctions.Utility_DisplayArrayInTable(Fertiliser_SourceData.Fertiliser_Products_Data4(),FertiliserProducts[[#Headers],[Product]], 60)</f>
        <v>YaraTera KRISTALON RED</v>
      </c>
      <c r="E122" s="157" t="str" cm="1">
        <f t="array" ref="E122">Common_InputFunctions.Utility_DisplayArrayInTable(Fertiliser_SourceData.Fertiliser_Products_Data4(),FertiliserProducts[[#Headers],[Product]], 60)</f>
        <v>kg</v>
      </c>
      <c r="F122" s="157" cm="1">
        <f t="array" ref="F122">Common_InputFunctions.Utility_DisplayArrayInTable(Fertiliser_SourceData.Fertiliser_Products_Data4(),FertiliserProducts[[#Headers],[Product]], 60)</f>
        <v>1</v>
      </c>
      <c r="G122" s="157" t="str" cm="1">
        <f t="array" ref="G122">Common_InputFunctions.Utility_DisplayArrayInTable(Fertiliser_SourceData.Fertiliser_Products_Data4(),FertiliserProducts[[#Headers],[Product]], 60)</f>
        <v>Potassium - Generic</v>
      </c>
      <c r="H122" s="157" cm="1">
        <f t="array" ref="H122">Common_InputFunctions.Utility_DisplayArrayInTable(Fertiliser_SourceData.Fertiliser_Products_Data4(),FertiliserProducts[[#Headers],[Product]], 60)</f>
        <v>0.29880000000000001</v>
      </c>
      <c r="I122" s="157" t="str" cm="1">
        <f t="array" ref="I122">Common_InputFunctions.Utility_DisplayArrayInTable(Fertiliser_SourceData.Fertiliser_Products_Data4(),FertiliserProducts[[#Headers],[Product]], 60)</f>
        <v>Location not specified</v>
      </c>
      <c r="J122" s="157" t="str" cm="1">
        <f t="array" ref="J122">Common_InputFunctions.Utility_DisplayArrayInTable(Fertiliser_SourceData.Fertiliser_Products_Data4(),FertiliserProducts[[#Headers],[Product]], 60)</f>
        <v>Nitrogen - Generic</v>
      </c>
      <c r="K122" s="157" cm="1">
        <f t="array" ref="K122">Common_InputFunctions.Utility_DisplayArrayInTable(Fertiliser_SourceData.Fertiliser_Products_Data4(),FertiliserProducts[[#Headers],[Product]], 60)</f>
        <v>0.12</v>
      </c>
      <c r="L122" s="157" t="str" cm="1">
        <f t="array" ref="L122">Common_InputFunctions.Utility_DisplayArrayInTable(Fertiliser_SourceData.Fertiliser_Products_Data4(),FertiliserProducts[[#Headers],[Product]], 60)</f>
        <v>Location not specified</v>
      </c>
      <c r="M122" s="157" t="str" cm="1">
        <f t="array" ref="M122">Common_InputFunctions.Utility_DisplayArrayInTable(Fertiliser_SourceData.Fertiliser_Products_Data4(),FertiliserProducts[[#Headers],[Product]], 60)</f>
        <v>Phosphorus - Generic</v>
      </c>
      <c r="N122" s="157" cm="1">
        <f t="array" ref="N122">Common_InputFunctions.Utility_DisplayArrayInTable(Fertiliser_SourceData.Fertiliser_Products_Data4(),FertiliserProducts[[#Headers],[Product]], 60)</f>
        <v>5.2440000000000001E-2</v>
      </c>
      <c r="O122" s="157" t="str" cm="1">
        <f t="array" ref="O122">Common_InputFunctions.Utility_DisplayArrayInTable(Fertiliser_SourceData.Fertiliser_Products_Data4(),FertiliserProducts[[#Headers],[Product]], 60)</f>
        <v>Location not specified</v>
      </c>
      <c r="P122" s="157" t="str" cm="1">
        <f t="array" ref="P122">Common_InputFunctions.Utility_DisplayArrayInTable(Fertiliser_SourceData.Fertiliser_Products_Data4(),FertiliserProducts[[#Headers],[Product]], 60)</f>
        <v>Sulfur - Generic</v>
      </c>
      <c r="Q122" s="157" cm="1">
        <f t="array" ref="Q122">Common_InputFunctions.Utility_DisplayArrayInTable(Fertiliser_SourceData.Fertiliser_Products_Data4(),FertiliserProducts[[#Headers],[Product]], 60)</f>
        <v>0.01</v>
      </c>
      <c r="R122" s="157" t="str" cm="1">
        <f t="array" ref="R122">Common_InputFunctions.Utility_DisplayArrayInTable(Fertiliser_SourceData.Fertiliser_Products_Data4(),FertiliserProducts[[#Headers],[Product]], 60)</f>
        <v>Location not specified</v>
      </c>
      <c r="S122" s="157" t="str" cm="1">
        <f t="array" ref="S122">Common_InputFunctions.Utility_DisplayArrayInTable(Fertiliser_SourceData.Fertiliser_Products_Data4(),FertiliserProducts[[#Headers],[Product]], 60)</f>
        <v>Magnesium - generic</v>
      </c>
      <c r="T122" s="157" cm="1">
        <f t="array" ref="T122">Common_InputFunctions.Utility_DisplayArrayInTable(Fertiliser_SourceData.Fertiliser_Products_Data4(),FertiliserProducts[[#Headers],[Product]], 60)</f>
        <v>6.0299999999999998E-3</v>
      </c>
      <c r="U122" s="157" t="str" cm="1">
        <f t="array" ref="U122">Common_InputFunctions.Utility_DisplayArrayInTable(Fertiliser_SourceData.Fertiliser_Products_Data4(),FertiliserProducts[[#Headers],[Product]], 60)</f>
        <v>Location not specified</v>
      </c>
      <c r="V122" s="157" t="str" cm="1">
        <f t="array" ref="V122">Common_InputFunctions.Utility_DisplayArrayInTable(Fertiliser_SourceData.Fertiliser_Products_Data4(),FertiliserProducts[[#Headers],[Product]], 60)</f>
        <v>Iron - generic</v>
      </c>
      <c r="W122" s="157" cm="1">
        <f t="array" ref="W122">Common_InputFunctions.Utility_DisplayArrayInTable(Fertiliser_SourceData.Fertiliser_Products_Data4(),FertiliserProducts[[#Headers],[Product]], 60)</f>
        <v>6.9999999999999999E-4</v>
      </c>
      <c r="X122" s="157" t="str" cm="1">
        <f t="array" ref="X122">Common_InputFunctions.Utility_DisplayArrayInTable(Fertiliser_SourceData.Fertiliser_Products_Data4(),FertiliserProducts[[#Headers],[Product]], 60)</f>
        <v>Location not specified</v>
      </c>
      <c r="Y122" s="157" t="str" cm="1">
        <f t="array" ref="Y122">Common_InputFunctions.Utility_DisplayArrayInTable(Fertiliser_SourceData.Fertiliser_Products_Data4(),FertiliserProducts[[#Headers],[Product]], 60)</f>
        <v>Manganese - Generic</v>
      </c>
      <c r="Z122" s="157" cm="1">
        <f t="array" ref="Z122">Common_InputFunctions.Utility_DisplayArrayInTable(Fertiliser_SourceData.Fertiliser_Products_Data4(),FertiliserProducts[[#Headers],[Product]], 60)</f>
        <v>4.0000000000000002E-4</v>
      </c>
      <c r="AA122" s="158" t="str" cm="1">
        <f t="array" ref="AA122">Common_InputFunctions.Utility_DisplayArrayInTable(Fertiliser_SourceData.Fertiliser_Products_Data4(),FertiliserProducts[[#Headers],[Product]], 60)</f>
        <v>Location not specified</v>
      </c>
      <c r="AB122" s="158" t="str" cm="1">
        <f t="array" ref="AB122">Common_InputFunctions.Utility_DisplayArrayInTable(Fertiliser_SourceData.Fertiliser_Products_Data4(),FertiliserProducts[[#Headers],[Product]], 60)</f>
        <v>Boron - generic</v>
      </c>
      <c r="AC122" s="158" cm="1">
        <f t="array" ref="AC122">Common_InputFunctions.Utility_DisplayArrayInTable(Fertiliser_SourceData.Fertiliser_Products_Data4(),FertiliserProducts[[#Headers],[Product]], 60)</f>
        <v>2.5000000000000001E-4</v>
      </c>
      <c r="AD122" s="158" t="str" cm="1">
        <f t="array" ref="AD122">Common_InputFunctions.Utility_DisplayArrayInTable(Fertiliser_SourceData.Fertiliser_Products_Data4(),FertiliserProducts[[#Headers],[Product]], 60)</f>
        <v>Location not specified</v>
      </c>
      <c r="AE122" s="158" t="str" cm="1">
        <f t="array" ref="AE122">Common_InputFunctions.Utility_DisplayArrayInTable(Fertiliser_SourceData.Fertiliser_Products_Data4(),FertiliserProducts[[#Headers],[Product]], 60)</f>
        <v>Zinc - Generic</v>
      </c>
      <c r="AF122" s="158" cm="1">
        <f t="array" ref="AF122">Common_InputFunctions.Utility_DisplayArrayInTable(Fertiliser_SourceData.Fertiliser_Products_Data4(),FertiliserProducts[[#Headers],[Product]], 60)</f>
        <v>2.5000000000000001E-4</v>
      </c>
      <c r="AG122" s="158" t="str" cm="1">
        <f t="array" ref="AG122">Common_InputFunctions.Utility_DisplayArrayInTable(Fertiliser_SourceData.Fertiliser_Products_Data4(),FertiliserProducts[[#Headers],[Product]], 60)</f>
        <v>Location not specified</v>
      </c>
      <c r="AH122" s="158" t="str" cm="1">
        <f t="array" ref="AH122">Common_InputFunctions.Utility_DisplayArrayInTable(Fertiliser_SourceData.Fertiliser_Products_Data4(),FertiliserProducts[[#Headers],[Product]], 60)</f>
        <v>Copper - generic</v>
      </c>
      <c r="AI122" s="158" cm="1">
        <f t="array" ref="AI122">Common_InputFunctions.Utility_DisplayArrayInTable(Fertiliser_SourceData.Fertiliser_Products_Data4(),FertiliserProducts[[#Headers],[Product]], 60)</f>
        <v>1E-4</v>
      </c>
      <c r="AJ122" s="158" t="str" cm="1">
        <f t="array" ref="AJ122">Common_InputFunctions.Utility_DisplayArrayInTable(Fertiliser_SourceData.Fertiliser_Products_Data4(),FertiliserProducts[[#Headers],[Product]], 60)</f>
        <v>Location not specified</v>
      </c>
    </row>
    <row r="123" spans="4:36" ht="20.100000000000001" customHeight="1" x14ac:dyDescent="0.25">
      <c r="D123" s="157" t="str" cm="1">
        <f t="array" ref="D123">Common_InputFunctions.Utility_DisplayArrayInTable(Fertiliser_SourceData.Fertiliser_Products_Data4(),FertiliserProducts[[#Headers],[Product]], 60)</f>
        <v>YaraTera KRISTALON SPECIAL</v>
      </c>
      <c r="E123" s="157" t="str" cm="1">
        <f t="array" ref="E123">Common_InputFunctions.Utility_DisplayArrayInTable(Fertiliser_SourceData.Fertiliser_Products_Data4(),FertiliserProducts[[#Headers],[Product]], 60)</f>
        <v>kg</v>
      </c>
      <c r="F123" s="157" cm="1">
        <f t="array" ref="F123">Common_InputFunctions.Utility_DisplayArrayInTable(Fertiliser_SourceData.Fertiliser_Products_Data4(),FertiliserProducts[[#Headers],[Product]], 60)</f>
        <v>1</v>
      </c>
      <c r="G123" s="157" t="str" cm="1">
        <f t="array" ref="G123">Common_InputFunctions.Utility_DisplayArrayInTable(Fertiliser_SourceData.Fertiliser_Products_Data4(),FertiliserProducts[[#Headers],[Product]], 60)</f>
        <v>Nitrogen - Generic</v>
      </c>
      <c r="H123" s="157" cm="1">
        <f t="array" ref="H123">Common_InputFunctions.Utility_DisplayArrayInTable(Fertiliser_SourceData.Fertiliser_Products_Data4(),FertiliserProducts[[#Headers],[Product]], 60)</f>
        <v>0.18</v>
      </c>
      <c r="I123" s="157" t="str" cm="1">
        <f t="array" ref="I123">Common_InputFunctions.Utility_DisplayArrayInTable(Fertiliser_SourceData.Fertiliser_Products_Data4(),FertiliserProducts[[#Headers],[Product]], 60)</f>
        <v>Location not specified</v>
      </c>
      <c r="J123" s="157" t="str" cm="1">
        <f t="array" ref="J123">Common_InputFunctions.Utility_DisplayArrayInTable(Fertiliser_SourceData.Fertiliser_Products_Data4(),FertiliserProducts[[#Headers],[Product]], 60)</f>
        <v>Potassium - Generic</v>
      </c>
      <c r="K123" s="157" cm="1">
        <f t="array" ref="K123">Common_InputFunctions.Utility_DisplayArrayInTable(Fertiliser_SourceData.Fertiliser_Products_Data4(),FertiliserProducts[[#Headers],[Product]], 60)</f>
        <v>0.14899999999999999</v>
      </c>
      <c r="L123" s="157" t="str" cm="1">
        <f t="array" ref="L123">Common_InputFunctions.Utility_DisplayArrayInTable(Fertiliser_SourceData.Fertiliser_Products_Data4(),FertiliserProducts[[#Headers],[Product]], 60)</f>
        <v>Location not specified</v>
      </c>
      <c r="M123" s="157" t="str" cm="1">
        <f t="array" ref="M123">Common_InputFunctions.Utility_DisplayArrayInTable(Fertiliser_SourceData.Fertiliser_Products_Data4(),FertiliserProducts[[#Headers],[Product]], 60)</f>
        <v>Phosphorus - Generic</v>
      </c>
      <c r="N123" s="157" cm="1">
        <f t="array" ref="N123">Common_InputFunctions.Utility_DisplayArrayInTable(Fertiliser_SourceData.Fertiliser_Products_Data4(),FertiliserProducts[[#Headers],[Product]], 60)</f>
        <v>7.9000000000000001E-2</v>
      </c>
      <c r="O123" s="157" t="str" cm="1">
        <f t="array" ref="O123">Common_InputFunctions.Utility_DisplayArrayInTable(Fertiliser_SourceData.Fertiliser_Products_Data4(),FertiliserProducts[[#Headers],[Product]], 60)</f>
        <v>Location not specified</v>
      </c>
      <c r="P123" s="157" t="str" cm="1">
        <f t="array" ref="P123">Common_InputFunctions.Utility_DisplayArrayInTable(Fertiliser_SourceData.Fertiliser_Products_Data4(),FertiliserProducts[[#Headers],[Product]], 60)</f>
        <v>Sulfur - Generic</v>
      </c>
      <c r="Q123" s="157" cm="1">
        <f t="array" ref="Q123">Common_InputFunctions.Utility_DisplayArrayInTable(Fertiliser_SourceData.Fertiliser_Products_Data4(),FertiliserProducts[[#Headers],[Product]], 60)</f>
        <v>0.02</v>
      </c>
      <c r="R123" s="157" t="str" cm="1">
        <f t="array" ref="R123">Common_InputFunctions.Utility_DisplayArrayInTable(Fertiliser_SourceData.Fertiliser_Products_Data4(),FertiliserProducts[[#Headers],[Product]], 60)</f>
        <v>Location not specified</v>
      </c>
      <c r="S123" s="157" t="str" cm="1">
        <f t="array" ref="S123">Common_InputFunctions.Utility_DisplayArrayInTable(Fertiliser_SourceData.Fertiliser_Products_Data4(),FertiliserProducts[[#Headers],[Product]], 60)</f>
        <v>Magnesium - generic</v>
      </c>
      <c r="T123" s="157" cm="1">
        <f t="array" ref="T123">Common_InputFunctions.Utility_DisplayArrayInTable(Fertiliser_SourceData.Fertiliser_Products_Data4(),FertiliserProducts[[#Headers],[Product]], 60)</f>
        <v>1.7999999999999999E-2</v>
      </c>
      <c r="U123" s="157" t="str" cm="1">
        <f t="array" ref="U123">Common_InputFunctions.Utility_DisplayArrayInTable(Fertiliser_SourceData.Fertiliser_Products_Data4(),FertiliserProducts[[#Headers],[Product]], 60)</f>
        <v>Location not specified</v>
      </c>
      <c r="V123" s="157" t="str" cm="1">
        <f t="array" ref="V123">Common_InputFunctions.Utility_DisplayArrayInTable(Fertiliser_SourceData.Fertiliser_Products_Data4(),FertiliserProducts[[#Headers],[Product]], 60)</f>
        <v>Iron - generic</v>
      </c>
      <c r="W123" s="157" cm="1">
        <f t="array" ref="W123">Common_InputFunctions.Utility_DisplayArrayInTable(Fertiliser_SourceData.Fertiliser_Products_Data4(),FertiliserProducts[[#Headers],[Product]], 60)</f>
        <v>6.9999999999999999E-4</v>
      </c>
      <c r="X123" s="157" t="str" cm="1">
        <f t="array" ref="X123">Common_InputFunctions.Utility_DisplayArrayInTable(Fertiliser_SourceData.Fertiliser_Products_Data4(),FertiliserProducts[[#Headers],[Product]], 60)</f>
        <v>Location not specified</v>
      </c>
      <c r="Y123" s="157" t="str" cm="1">
        <f t="array" ref="Y123">Common_InputFunctions.Utility_DisplayArrayInTable(Fertiliser_SourceData.Fertiliser_Products_Data4(),FertiliserProducts[[#Headers],[Product]], 60)</f>
        <v>Manganese - Generic</v>
      </c>
      <c r="Z123" s="157" cm="1">
        <f t="array" ref="Z123">Common_InputFunctions.Utility_DisplayArrayInTable(Fertiliser_SourceData.Fertiliser_Products_Data4(),FertiliserProducts[[#Headers],[Product]], 60)</f>
        <v>4.0000000000000002E-4</v>
      </c>
      <c r="AA123" s="158" t="str" cm="1">
        <f t="array" ref="AA123">Common_InputFunctions.Utility_DisplayArrayInTable(Fertiliser_SourceData.Fertiliser_Products_Data4(),FertiliserProducts[[#Headers],[Product]], 60)</f>
        <v>Location not specified</v>
      </c>
      <c r="AB123" s="158" t="str" cm="1">
        <f t="array" ref="AB123">Common_InputFunctions.Utility_DisplayArrayInTable(Fertiliser_SourceData.Fertiliser_Products_Data4(),FertiliserProducts[[#Headers],[Product]], 60)</f>
        <v>Boron - generic</v>
      </c>
      <c r="AC123" s="158" cm="1">
        <f t="array" ref="AC123">Common_InputFunctions.Utility_DisplayArrayInTable(Fertiliser_SourceData.Fertiliser_Products_Data4(),FertiliserProducts[[#Headers],[Product]], 60)</f>
        <v>2.5000000000000001E-4</v>
      </c>
      <c r="AD123" s="158" t="str" cm="1">
        <f t="array" ref="AD123">Common_InputFunctions.Utility_DisplayArrayInTable(Fertiliser_SourceData.Fertiliser_Products_Data4(),FertiliserProducts[[#Headers],[Product]], 60)</f>
        <v>Location not specified</v>
      </c>
      <c r="AE123" s="158" t="str" cm="1">
        <f t="array" ref="AE123">Common_InputFunctions.Utility_DisplayArrayInTable(Fertiliser_SourceData.Fertiliser_Products_Data4(),FertiliserProducts[[#Headers],[Product]], 60)</f>
        <v>Zinc - Generic</v>
      </c>
      <c r="AF123" s="158" cm="1">
        <f t="array" ref="AF123">Common_InputFunctions.Utility_DisplayArrayInTable(Fertiliser_SourceData.Fertiliser_Products_Data4(),FertiliserProducts[[#Headers],[Product]], 60)</f>
        <v>2.5000000000000001E-4</v>
      </c>
      <c r="AG123" s="158" t="str" cm="1">
        <f t="array" ref="AG123">Common_InputFunctions.Utility_DisplayArrayInTable(Fertiliser_SourceData.Fertiliser_Products_Data4(),FertiliserProducts[[#Headers],[Product]], 60)</f>
        <v>Location not specified</v>
      </c>
      <c r="AH123" s="158" t="str" cm="1">
        <f t="array" ref="AH123">Common_InputFunctions.Utility_DisplayArrayInTable(Fertiliser_SourceData.Fertiliser_Products_Data4(),FertiliserProducts[[#Headers],[Product]], 60)</f>
        <v>Copper - generic</v>
      </c>
      <c r="AI123" s="158" cm="1">
        <f t="array" ref="AI123">Common_InputFunctions.Utility_DisplayArrayInTable(Fertiliser_SourceData.Fertiliser_Products_Data4(),FertiliserProducts[[#Headers],[Product]], 60)</f>
        <v>1E-4</v>
      </c>
      <c r="AJ123" s="158" t="str" cm="1">
        <f t="array" ref="AJ123">Common_InputFunctions.Utility_DisplayArrayInTable(Fertiliser_SourceData.Fertiliser_Products_Data4(),FertiliserProducts[[#Headers],[Product]], 60)</f>
        <v>Location not specified</v>
      </c>
    </row>
    <row r="124" spans="4:36" ht="20.100000000000001" customHeight="1" x14ac:dyDescent="0.25">
      <c r="D124" s="157" t="str" cm="1">
        <f t="array" ref="D124">Common_InputFunctions.Utility_DisplayArrayInTable(Fertiliser_SourceData.Fertiliser_Products_Data4(),FertiliserProducts[[#Headers],[Product]], 60)</f>
        <v>YaraVita Glytrel ZnP</v>
      </c>
      <c r="E124" s="157" t="str" cm="1">
        <f t="array" ref="E124">Common_InputFunctions.Utility_DisplayArrayInTable(Fertiliser_SourceData.Fertiliser_Products_Data4(),FertiliserProducts[[#Headers],[Product]], 60)</f>
        <v>L</v>
      </c>
      <c r="F124" s="157" cm="1">
        <f t="array" ref="F124">Common_InputFunctions.Utility_DisplayArrayInTable(Fertiliser_SourceData.Fertiliser_Products_Data4(),FertiliserProducts[[#Headers],[Product]], 60)</f>
        <v>1.3540000000000001</v>
      </c>
      <c r="G124" s="157" t="str" cm="1">
        <f t="array" ref="G124">Common_InputFunctions.Utility_DisplayArrayInTable(Fertiliser_SourceData.Fertiliser_Products_Data4(),FertiliserProducts[[#Headers],[Product]], 60)</f>
        <v>Zinc - Generic</v>
      </c>
      <c r="H124" s="157" cm="1">
        <f t="array" ref="H124">Common_InputFunctions.Utility_DisplayArrayInTable(Fertiliser_SourceData.Fertiliser_Products_Data4(),FertiliserProducts[[#Headers],[Product]], 60)</f>
        <v>0.1</v>
      </c>
      <c r="I124" s="157" t="str" cm="1">
        <f t="array" ref="I124">Common_InputFunctions.Utility_DisplayArrayInTable(Fertiliser_SourceData.Fertiliser_Products_Data4(),FertiliserProducts[[#Headers],[Product]], 60)</f>
        <v>Location not specified</v>
      </c>
      <c r="J124" s="157" t="str" cm="1">
        <f t="array" ref="J124">Common_InputFunctions.Utility_DisplayArrayInTable(Fertiliser_SourceData.Fertiliser_Products_Data4(),FertiliserProducts[[#Headers],[Product]], 60)</f>
        <v>Phosphorus - Generic</v>
      </c>
      <c r="K124" s="157" cm="1">
        <f t="array" ref="K124">Common_InputFunctions.Utility_DisplayArrayInTable(Fertiliser_SourceData.Fertiliser_Products_Data4(),FertiliserProducts[[#Headers],[Product]], 60)</f>
        <v>4.3999999999999997E-2</v>
      </c>
      <c r="L124" s="157" t="str" cm="1">
        <f t="array" ref="L124">Common_InputFunctions.Utility_DisplayArrayInTable(Fertiliser_SourceData.Fertiliser_Products_Data4(),FertiliserProducts[[#Headers],[Product]], 60)</f>
        <v>Location not specified</v>
      </c>
      <c r="M124" s="157" t="str" cm="1">
        <f t="array" ref="M124">Common_InputFunctions.Utility_DisplayArrayInTable(Fertiliser_SourceData.Fertiliser_Products_Data4(),FertiliserProducts[[#Headers],[Product]], 60)</f>
        <v/>
      </c>
      <c r="N124" s="157" t="str" cm="1">
        <f t="array" ref="N124">Common_InputFunctions.Utility_DisplayArrayInTable(Fertiliser_SourceData.Fertiliser_Products_Data4(),FertiliserProducts[[#Headers],[Product]], 60)</f>
        <v/>
      </c>
      <c r="O124" s="157" t="str" cm="1">
        <f t="array" ref="O124">Common_InputFunctions.Utility_DisplayArrayInTable(Fertiliser_SourceData.Fertiliser_Products_Data4(),FertiliserProducts[[#Headers],[Product]], 60)</f>
        <v/>
      </c>
      <c r="P124" s="157" t="str" cm="1">
        <f t="array" ref="P124">Common_InputFunctions.Utility_DisplayArrayInTable(Fertiliser_SourceData.Fertiliser_Products_Data4(),FertiliserProducts[[#Headers],[Product]], 60)</f>
        <v/>
      </c>
      <c r="Q124" s="157" t="str" cm="1">
        <f t="array" ref="Q124">Common_InputFunctions.Utility_DisplayArrayInTable(Fertiliser_SourceData.Fertiliser_Products_Data4(),FertiliserProducts[[#Headers],[Product]], 60)</f>
        <v/>
      </c>
      <c r="R124" s="157" t="str" cm="1">
        <f t="array" ref="R124">Common_InputFunctions.Utility_DisplayArrayInTable(Fertiliser_SourceData.Fertiliser_Products_Data4(),FertiliserProducts[[#Headers],[Product]], 60)</f>
        <v/>
      </c>
      <c r="S124" s="157" t="str" cm="1">
        <f t="array" ref="S124">Common_InputFunctions.Utility_DisplayArrayInTable(Fertiliser_SourceData.Fertiliser_Products_Data4(),FertiliserProducts[[#Headers],[Product]], 60)</f>
        <v/>
      </c>
      <c r="T124" s="157" t="str" cm="1">
        <f t="array" ref="T124">Common_InputFunctions.Utility_DisplayArrayInTable(Fertiliser_SourceData.Fertiliser_Products_Data4(),FertiliserProducts[[#Headers],[Product]], 60)</f>
        <v/>
      </c>
      <c r="U124" s="157" t="str" cm="1">
        <f t="array" ref="U124">Common_InputFunctions.Utility_DisplayArrayInTable(Fertiliser_SourceData.Fertiliser_Products_Data4(),FertiliserProducts[[#Headers],[Product]], 60)</f>
        <v/>
      </c>
      <c r="V124" s="157" t="str" cm="1">
        <f t="array" ref="V124">Common_InputFunctions.Utility_DisplayArrayInTable(Fertiliser_SourceData.Fertiliser_Products_Data4(),FertiliserProducts[[#Headers],[Product]], 60)</f>
        <v/>
      </c>
      <c r="W124" s="157" t="str" cm="1">
        <f t="array" ref="W124">Common_InputFunctions.Utility_DisplayArrayInTable(Fertiliser_SourceData.Fertiliser_Products_Data4(),FertiliserProducts[[#Headers],[Product]], 60)</f>
        <v/>
      </c>
      <c r="X124" s="157" t="str" cm="1">
        <f t="array" ref="X124">Common_InputFunctions.Utility_DisplayArrayInTable(Fertiliser_SourceData.Fertiliser_Products_Data4(),FertiliserProducts[[#Headers],[Product]], 60)</f>
        <v/>
      </c>
      <c r="Y124" s="157" t="str" cm="1">
        <f t="array" ref="Y124">Common_InputFunctions.Utility_DisplayArrayInTable(Fertiliser_SourceData.Fertiliser_Products_Data4(),FertiliserProducts[[#Headers],[Product]], 60)</f>
        <v/>
      </c>
      <c r="Z124" s="157" t="str" cm="1">
        <f t="array" ref="Z124">Common_InputFunctions.Utility_DisplayArrayInTable(Fertiliser_SourceData.Fertiliser_Products_Data4(),FertiliserProducts[[#Headers],[Product]], 60)</f>
        <v/>
      </c>
      <c r="AA124" s="158" t="str" cm="1">
        <f t="array" ref="AA124">Common_InputFunctions.Utility_DisplayArrayInTable(Fertiliser_SourceData.Fertiliser_Products_Data4(),FertiliserProducts[[#Headers],[Product]], 60)</f>
        <v/>
      </c>
      <c r="AB124" s="158" t="str" cm="1">
        <f t="array" ref="AB124">Common_InputFunctions.Utility_DisplayArrayInTable(Fertiliser_SourceData.Fertiliser_Products_Data4(),FertiliserProducts[[#Headers],[Product]], 60)</f>
        <v/>
      </c>
      <c r="AC124" s="158" t="str" cm="1">
        <f t="array" ref="AC124">Common_InputFunctions.Utility_DisplayArrayInTable(Fertiliser_SourceData.Fertiliser_Products_Data4(),FertiliserProducts[[#Headers],[Product]], 60)</f>
        <v/>
      </c>
      <c r="AD124" s="158" t="str" cm="1">
        <f t="array" ref="AD124">Common_InputFunctions.Utility_DisplayArrayInTable(Fertiliser_SourceData.Fertiliser_Products_Data4(),FertiliserProducts[[#Headers],[Product]], 60)</f>
        <v/>
      </c>
      <c r="AE124" s="158" t="str" cm="1">
        <f t="array" ref="AE124">Common_InputFunctions.Utility_DisplayArrayInTable(Fertiliser_SourceData.Fertiliser_Products_Data4(),FertiliserProducts[[#Headers],[Product]], 60)</f>
        <v/>
      </c>
      <c r="AF124" s="158" t="str" cm="1">
        <f t="array" ref="AF124">Common_InputFunctions.Utility_DisplayArrayInTable(Fertiliser_SourceData.Fertiliser_Products_Data4(),FertiliserProducts[[#Headers],[Product]], 60)</f>
        <v/>
      </c>
      <c r="AG124" s="158" t="str" cm="1">
        <f t="array" ref="AG124">Common_InputFunctions.Utility_DisplayArrayInTable(Fertiliser_SourceData.Fertiliser_Products_Data4(),FertiliserProducts[[#Headers],[Product]], 60)</f>
        <v/>
      </c>
      <c r="AH124" s="158" t="str" cm="1">
        <f t="array" ref="AH124">Common_InputFunctions.Utility_DisplayArrayInTable(Fertiliser_SourceData.Fertiliser_Products_Data4(),FertiliserProducts[[#Headers],[Product]], 60)</f>
        <v/>
      </c>
      <c r="AI124" s="158" t="str" cm="1">
        <f t="array" ref="AI124">Common_InputFunctions.Utility_DisplayArrayInTable(Fertiliser_SourceData.Fertiliser_Products_Data4(),FertiliserProducts[[#Headers],[Product]], 60)</f>
        <v/>
      </c>
      <c r="AJ124" s="158" t="str" cm="1">
        <f t="array" ref="AJ124">Common_InputFunctions.Utility_DisplayArrayInTable(Fertiliser_SourceData.Fertiliser_Products_Data4(),FertiliserProducts[[#Headers],[Product]], 60)</f>
        <v/>
      </c>
    </row>
    <row r="125" spans="4:36" ht="20.100000000000001" customHeight="1" x14ac:dyDescent="0.25">
      <c r="D125" s="157" t="str" cm="1">
        <f t="array" ref="D125">Common_InputFunctions.Utility_DisplayArrayInTable(Fertiliser_SourceData.Fertiliser_Products_Data4(),FertiliserProducts[[#Headers],[Product]], 60)</f>
        <v>YaraVita Zintrac</v>
      </c>
      <c r="E125" s="157" t="str" cm="1">
        <f t="array" ref="E125">Common_InputFunctions.Utility_DisplayArrayInTable(Fertiliser_SourceData.Fertiliser_Products_Data4(),FertiliserProducts[[#Headers],[Product]], 60)</f>
        <v>L</v>
      </c>
      <c r="F125" s="157" cm="1">
        <f t="array" ref="F125">Common_InputFunctions.Utility_DisplayArrayInTable(Fertiliser_SourceData.Fertiliser_Products_Data4(),FertiliserProducts[[#Headers],[Product]], 60)</f>
        <v>1.734</v>
      </c>
      <c r="G125" s="157" t="str" cm="1">
        <f t="array" ref="G125">Common_InputFunctions.Utility_DisplayArrayInTable(Fertiliser_SourceData.Fertiliser_Products_Data4(),FertiliserProducts[[#Headers],[Product]], 60)</f>
        <v>Zinc - Generic</v>
      </c>
      <c r="H125" s="157" cm="1">
        <f t="array" ref="H125">Common_InputFunctions.Utility_DisplayArrayInTable(Fertiliser_SourceData.Fertiliser_Products_Data4(),FertiliserProducts[[#Headers],[Product]], 60)</f>
        <v>0.7</v>
      </c>
      <c r="I125" s="157" t="str" cm="1">
        <f t="array" ref="I125">Common_InputFunctions.Utility_DisplayArrayInTable(Fertiliser_SourceData.Fertiliser_Products_Data4(),FertiliserProducts[[#Headers],[Product]], 60)</f>
        <v>Location not specified</v>
      </c>
      <c r="J125" s="157" t="str" cm="1">
        <f t="array" ref="J125">Common_InputFunctions.Utility_DisplayArrayInTable(Fertiliser_SourceData.Fertiliser_Products_Data4(),FertiliserProducts[[#Headers],[Product]], 60)</f>
        <v>Nitrogen - Generic</v>
      </c>
      <c r="K125" s="157" cm="1">
        <f t="array" ref="K125">Common_InputFunctions.Utility_DisplayArrayInTable(Fertiliser_SourceData.Fertiliser_Products_Data4(),FertiliserProducts[[#Headers],[Product]], 60)</f>
        <v>1.7999999999999999E-2</v>
      </c>
      <c r="L125" s="157" t="str" cm="1">
        <f t="array" ref="L125">Common_InputFunctions.Utility_DisplayArrayInTable(Fertiliser_SourceData.Fertiliser_Products_Data4(),FertiliserProducts[[#Headers],[Product]], 60)</f>
        <v>Location not specified</v>
      </c>
      <c r="M125" s="157" t="str" cm="1">
        <f t="array" ref="M125">Common_InputFunctions.Utility_DisplayArrayInTable(Fertiliser_SourceData.Fertiliser_Products_Data4(),FertiliserProducts[[#Headers],[Product]], 60)</f>
        <v/>
      </c>
      <c r="N125" s="157" t="str" cm="1">
        <f t="array" ref="N125">Common_InputFunctions.Utility_DisplayArrayInTable(Fertiliser_SourceData.Fertiliser_Products_Data4(),FertiliserProducts[[#Headers],[Product]], 60)</f>
        <v/>
      </c>
      <c r="O125" s="157" t="str" cm="1">
        <f t="array" ref="O125">Common_InputFunctions.Utility_DisplayArrayInTable(Fertiliser_SourceData.Fertiliser_Products_Data4(),FertiliserProducts[[#Headers],[Product]], 60)</f>
        <v/>
      </c>
      <c r="P125" s="157" t="str" cm="1">
        <f t="array" ref="P125">Common_InputFunctions.Utility_DisplayArrayInTable(Fertiliser_SourceData.Fertiliser_Products_Data4(),FertiliserProducts[[#Headers],[Product]], 60)</f>
        <v/>
      </c>
      <c r="Q125" s="157" t="str" cm="1">
        <f t="array" ref="Q125">Common_InputFunctions.Utility_DisplayArrayInTable(Fertiliser_SourceData.Fertiliser_Products_Data4(),FertiliserProducts[[#Headers],[Product]], 60)</f>
        <v/>
      </c>
      <c r="R125" s="157" t="str" cm="1">
        <f t="array" ref="R125">Common_InputFunctions.Utility_DisplayArrayInTable(Fertiliser_SourceData.Fertiliser_Products_Data4(),FertiliserProducts[[#Headers],[Product]], 60)</f>
        <v/>
      </c>
      <c r="S125" s="157" t="str" cm="1">
        <f t="array" ref="S125">Common_InputFunctions.Utility_DisplayArrayInTable(Fertiliser_SourceData.Fertiliser_Products_Data4(),FertiliserProducts[[#Headers],[Product]], 60)</f>
        <v/>
      </c>
      <c r="T125" s="157" t="str" cm="1">
        <f t="array" ref="T125">Common_InputFunctions.Utility_DisplayArrayInTable(Fertiliser_SourceData.Fertiliser_Products_Data4(),FertiliserProducts[[#Headers],[Product]], 60)</f>
        <v/>
      </c>
      <c r="U125" s="157" t="str" cm="1">
        <f t="array" ref="U125">Common_InputFunctions.Utility_DisplayArrayInTable(Fertiliser_SourceData.Fertiliser_Products_Data4(),FertiliserProducts[[#Headers],[Product]], 60)</f>
        <v/>
      </c>
      <c r="V125" s="157" t="str" cm="1">
        <f t="array" ref="V125">Common_InputFunctions.Utility_DisplayArrayInTable(Fertiliser_SourceData.Fertiliser_Products_Data4(),FertiliserProducts[[#Headers],[Product]], 60)</f>
        <v/>
      </c>
      <c r="W125" s="157" t="str" cm="1">
        <f t="array" ref="W125">Common_InputFunctions.Utility_DisplayArrayInTable(Fertiliser_SourceData.Fertiliser_Products_Data4(),FertiliserProducts[[#Headers],[Product]], 60)</f>
        <v/>
      </c>
      <c r="X125" s="157" t="str" cm="1">
        <f t="array" ref="X125">Common_InputFunctions.Utility_DisplayArrayInTable(Fertiliser_SourceData.Fertiliser_Products_Data4(),FertiliserProducts[[#Headers],[Product]], 60)</f>
        <v/>
      </c>
      <c r="Y125" s="157" t="str" cm="1">
        <f t="array" ref="Y125">Common_InputFunctions.Utility_DisplayArrayInTable(Fertiliser_SourceData.Fertiliser_Products_Data4(),FertiliserProducts[[#Headers],[Product]], 60)</f>
        <v/>
      </c>
      <c r="Z125" s="157" t="str" cm="1">
        <f t="array" ref="Z125">Common_InputFunctions.Utility_DisplayArrayInTable(Fertiliser_SourceData.Fertiliser_Products_Data4(),FertiliserProducts[[#Headers],[Product]], 60)</f>
        <v/>
      </c>
      <c r="AA125" s="158" t="str" cm="1">
        <f t="array" ref="AA125">Common_InputFunctions.Utility_DisplayArrayInTable(Fertiliser_SourceData.Fertiliser_Products_Data4(),FertiliserProducts[[#Headers],[Product]], 60)</f>
        <v/>
      </c>
      <c r="AB125" s="158" t="str" cm="1">
        <f t="array" ref="AB125">Common_InputFunctions.Utility_DisplayArrayInTable(Fertiliser_SourceData.Fertiliser_Products_Data4(),FertiliserProducts[[#Headers],[Product]], 60)</f>
        <v/>
      </c>
      <c r="AC125" s="158" t="str" cm="1">
        <f t="array" ref="AC125">Common_InputFunctions.Utility_DisplayArrayInTable(Fertiliser_SourceData.Fertiliser_Products_Data4(),FertiliserProducts[[#Headers],[Product]], 60)</f>
        <v/>
      </c>
      <c r="AD125" s="158" t="str" cm="1">
        <f t="array" ref="AD125">Common_InputFunctions.Utility_DisplayArrayInTable(Fertiliser_SourceData.Fertiliser_Products_Data4(),FertiliserProducts[[#Headers],[Product]], 60)</f>
        <v/>
      </c>
      <c r="AE125" s="158" t="str" cm="1">
        <f t="array" ref="AE125">Common_InputFunctions.Utility_DisplayArrayInTable(Fertiliser_SourceData.Fertiliser_Products_Data4(),FertiliserProducts[[#Headers],[Product]], 60)</f>
        <v/>
      </c>
      <c r="AF125" s="158" t="str" cm="1">
        <f t="array" ref="AF125">Common_InputFunctions.Utility_DisplayArrayInTable(Fertiliser_SourceData.Fertiliser_Products_Data4(),FertiliserProducts[[#Headers],[Product]], 60)</f>
        <v/>
      </c>
      <c r="AG125" s="158" t="str" cm="1">
        <f t="array" ref="AG125">Common_InputFunctions.Utility_DisplayArrayInTable(Fertiliser_SourceData.Fertiliser_Products_Data4(),FertiliserProducts[[#Headers],[Product]], 60)</f>
        <v/>
      </c>
      <c r="AH125" s="158" t="str" cm="1">
        <f t="array" ref="AH125">Common_InputFunctions.Utility_DisplayArrayInTable(Fertiliser_SourceData.Fertiliser_Products_Data4(),FertiliserProducts[[#Headers],[Product]], 60)</f>
        <v/>
      </c>
      <c r="AI125" s="158" t="str" cm="1">
        <f t="array" ref="AI125">Common_InputFunctions.Utility_DisplayArrayInTable(Fertiliser_SourceData.Fertiliser_Products_Data4(),FertiliserProducts[[#Headers],[Product]], 60)</f>
        <v/>
      </c>
      <c r="AJ125" s="158" t="str" cm="1">
        <f t="array" ref="AJ125">Common_InputFunctions.Utility_DisplayArrayInTable(Fertiliser_SourceData.Fertiliser_Products_Data4(),FertiliserProducts[[#Headers],[Product]], 60)</f>
        <v/>
      </c>
    </row>
    <row r="126" spans="4:36" ht="20.100000000000001" customHeight="1" x14ac:dyDescent="0.25">
      <c r="D126" s="157" t="str" cm="1">
        <f t="array" ref="D126">Common_InputFunctions.Utility_DisplayArrayInTable(Fertiliser_SourceData.Fertiliser_Products_Data4(),FertiliserProducts[[#Headers],[Product]], 60)</f>
        <v>ZincStar</v>
      </c>
      <c r="E126" s="157" t="str" cm="1">
        <f t="array" ref="E126">Common_InputFunctions.Utility_DisplayArrayInTable(Fertiliser_SourceData.Fertiliser_Products_Data4(),FertiliserProducts[[#Headers],[Product]], 60)</f>
        <v>kg</v>
      </c>
      <c r="F126" s="157" cm="1">
        <f t="array" ref="F126">Common_InputFunctions.Utility_DisplayArrayInTable(Fertiliser_SourceData.Fertiliser_Products_Data4(),FertiliserProducts[[#Headers],[Product]], 60)</f>
        <v>1</v>
      </c>
      <c r="G126" s="157" t="str" cm="1">
        <f t="array" ref="G126">Common_InputFunctions.Utility_DisplayArrayInTable(Fertiliser_SourceData.Fertiliser_Products_Data4(),FertiliserProducts[[#Headers],[Product]], 60)</f>
        <v>Nitrogen - Ammoniacal</v>
      </c>
      <c r="H126" s="157" cm="1">
        <f t="array" ref="H126">Common_InputFunctions.Utility_DisplayArrayInTable(Fertiliser_SourceData.Fertiliser_Products_Data4(),FertiliserProducts[[#Headers],[Product]], 60)</f>
        <v>0.1</v>
      </c>
      <c r="I126" s="157" t="str" cm="1">
        <f t="array" ref="I126">Common_InputFunctions.Utility_DisplayArrayInTable(Fertiliser_SourceData.Fertiliser_Products_Data4(),FertiliserProducts[[#Headers],[Product]], 60)</f>
        <v>Location not specified</v>
      </c>
      <c r="J126" s="157" t="str" cm="1">
        <f t="array" ref="J126">Common_InputFunctions.Utility_DisplayArrayInTable(Fertiliser_SourceData.Fertiliser_Products_Data4(),FertiliserProducts[[#Headers],[Product]], 60)</f>
        <v>Phosphorus - Generic</v>
      </c>
      <c r="K126" s="157" cm="1">
        <f t="array" ref="K126">Common_InputFunctions.Utility_DisplayArrayInTable(Fertiliser_SourceData.Fertiliser_Products_Data4(),FertiliserProducts[[#Headers],[Product]], 60)</f>
        <v>0.22</v>
      </c>
      <c r="L126" s="157" t="str" cm="1">
        <f t="array" ref="L126">Common_InputFunctions.Utility_DisplayArrayInTable(Fertiliser_SourceData.Fertiliser_Products_Data4(),FertiliserProducts[[#Headers],[Product]], 60)</f>
        <v>Location not specified</v>
      </c>
      <c r="M126" s="157" t="str" cm="1">
        <f t="array" ref="M126">Common_InputFunctions.Utility_DisplayArrayInTable(Fertiliser_SourceData.Fertiliser_Products_Data4(),FertiliserProducts[[#Headers],[Product]], 60)</f>
        <v>Sulfur - Generic</v>
      </c>
      <c r="N126" s="157" cm="1">
        <f t="array" ref="N126">Common_InputFunctions.Utility_DisplayArrayInTable(Fertiliser_SourceData.Fertiliser_Products_Data4(),FertiliserProducts[[#Headers],[Product]], 60)</f>
        <v>0.02</v>
      </c>
      <c r="O126" s="157" t="str" cm="1">
        <f t="array" ref="O126">Common_InputFunctions.Utility_DisplayArrayInTable(Fertiliser_SourceData.Fertiliser_Products_Data4(),FertiliserProducts[[#Headers],[Product]], 60)</f>
        <v>Location not specified</v>
      </c>
      <c r="P126" s="157" t="str" cm="1">
        <f t="array" ref="P126">Common_InputFunctions.Utility_DisplayArrayInTable(Fertiliser_SourceData.Fertiliser_Products_Data4(),FertiliserProducts[[#Headers],[Product]], 60)</f>
        <v>Zinc - Generic</v>
      </c>
      <c r="Q126" s="157" cm="1">
        <f t="array" ref="Q126">Common_InputFunctions.Utility_DisplayArrayInTable(Fertiliser_SourceData.Fertiliser_Products_Data4(),FertiliserProducts[[#Headers],[Product]], 60)</f>
        <v>0.01</v>
      </c>
      <c r="R126" s="157" t="str" cm="1">
        <f t="array" ref="R126">Common_InputFunctions.Utility_DisplayArrayInTable(Fertiliser_SourceData.Fertiliser_Products_Data4(),FertiliserProducts[[#Headers],[Product]], 60)</f>
        <v>Location not specified</v>
      </c>
      <c r="S126" s="157" t="str" cm="1">
        <f t="array" ref="S126">Common_InputFunctions.Utility_DisplayArrayInTable(Fertiliser_SourceData.Fertiliser_Products_Data4(),FertiliserProducts[[#Headers],[Product]], 60)</f>
        <v/>
      </c>
      <c r="T126" s="157" t="str" cm="1">
        <f t="array" ref="T126">Common_InputFunctions.Utility_DisplayArrayInTable(Fertiliser_SourceData.Fertiliser_Products_Data4(),FertiliserProducts[[#Headers],[Product]], 60)</f>
        <v/>
      </c>
      <c r="U126" s="157" t="str" cm="1">
        <f t="array" ref="U126">Common_InputFunctions.Utility_DisplayArrayInTable(Fertiliser_SourceData.Fertiliser_Products_Data4(),FertiliserProducts[[#Headers],[Product]], 60)</f>
        <v/>
      </c>
      <c r="V126" s="157" t="str" cm="1">
        <f t="array" ref="V126">Common_InputFunctions.Utility_DisplayArrayInTable(Fertiliser_SourceData.Fertiliser_Products_Data4(),FertiliserProducts[[#Headers],[Product]], 60)</f>
        <v/>
      </c>
      <c r="W126" s="157" t="str" cm="1">
        <f t="array" ref="W126">Common_InputFunctions.Utility_DisplayArrayInTable(Fertiliser_SourceData.Fertiliser_Products_Data4(),FertiliserProducts[[#Headers],[Product]], 60)</f>
        <v/>
      </c>
      <c r="X126" s="157" t="str" cm="1">
        <f t="array" ref="X126">Common_InputFunctions.Utility_DisplayArrayInTable(Fertiliser_SourceData.Fertiliser_Products_Data4(),FertiliserProducts[[#Headers],[Product]], 60)</f>
        <v/>
      </c>
      <c r="Y126" s="157" t="str" cm="1">
        <f t="array" ref="Y126">Common_InputFunctions.Utility_DisplayArrayInTable(Fertiliser_SourceData.Fertiliser_Products_Data4(),FertiliserProducts[[#Headers],[Product]], 60)</f>
        <v/>
      </c>
      <c r="Z126" s="157" t="str" cm="1">
        <f t="array" ref="Z126">Common_InputFunctions.Utility_DisplayArrayInTable(Fertiliser_SourceData.Fertiliser_Products_Data4(),FertiliserProducts[[#Headers],[Product]], 60)</f>
        <v/>
      </c>
      <c r="AA126" s="158" t="str" cm="1">
        <f t="array" ref="AA126">Common_InputFunctions.Utility_DisplayArrayInTable(Fertiliser_SourceData.Fertiliser_Products_Data4(),FertiliserProducts[[#Headers],[Product]], 60)</f>
        <v/>
      </c>
      <c r="AB126" s="158" t="str" cm="1">
        <f t="array" ref="AB126">Common_InputFunctions.Utility_DisplayArrayInTable(Fertiliser_SourceData.Fertiliser_Products_Data4(),FertiliserProducts[[#Headers],[Product]], 60)</f>
        <v/>
      </c>
      <c r="AC126" s="158" t="str" cm="1">
        <f t="array" ref="AC126">Common_InputFunctions.Utility_DisplayArrayInTable(Fertiliser_SourceData.Fertiliser_Products_Data4(),FertiliserProducts[[#Headers],[Product]], 60)</f>
        <v/>
      </c>
      <c r="AD126" s="158" t="str" cm="1">
        <f t="array" ref="AD126">Common_InputFunctions.Utility_DisplayArrayInTable(Fertiliser_SourceData.Fertiliser_Products_Data4(),FertiliserProducts[[#Headers],[Product]], 60)</f>
        <v/>
      </c>
      <c r="AE126" s="158" t="str" cm="1">
        <f t="array" ref="AE126">Common_InputFunctions.Utility_DisplayArrayInTable(Fertiliser_SourceData.Fertiliser_Products_Data4(),FertiliserProducts[[#Headers],[Product]], 60)</f>
        <v/>
      </c>
      <c r="AF126" s="158" t="str" cm="1">
        <f t="array" ref="AF126">Common_InputFunctions.Utility_DisplayArrayInTable(Fertiliser_SourceData.Fertiliser_Products_Data4(),FertiliserProducts[[#Headers],[Product]], 60)</f>
        <v/>
      </c>
      <c r="AG126" s="158" t="str" cm="1">
        <f t="array" ref="AG126">Common_InputFunctions.Utility_DisplayArrayInTable(Fertiliser_SourceData.Fertiliser_Products_Data4(),FertiliserProducts[[#Headers],[Product]], 60)</f>
        <v/>
      </c>
      <c r="AH126" s="158" t="str" cm="1">
        <f t="array" ref="AH126">Common_InputFunctions.Utility_DisplayArrayInTable(Fertiliser_SourceData.Fertiliser_Products_Data4(),FertiliserProducts[[#Headers],[Product]], 60)</f>
        <v/>
      </c>
      <c r="AI126" s="158" t="str" cm="1">
        <f t="array" ref="AI126">Common_InputFunctions.Utility_DisplayArrayInTable(Fertiliser_SourceData.Fertiliser_Products_Data4(),FertiliserProducts[[#Headers],[Product]], 60)</f>
        <v/>
      </c>
      <c r="AJ126" s="158" t="str" cm="1">
        <f t="array" ref="AJ126">Common_InputFunctions.Utility_DisplayArrayInTable(Fertiliser_SourceData.Fertiliser_Products_Data4(),FertiliserProducts[[#Headers],[Product]], 60)</f>
        <v/>
      </c>
    </row>
    <row r="127" spans="4:36" ht="20.100000000000001" customHeight="1" x14ac:dyDescent="0.25"/>
    <row r="128" spans="4:36"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honeticPr fontId="23" type="noConversion"/>
  <pageMargins left="0.7" right="0.7" top="0.75" bottom="0.75" header="0.3" footer="0.3"/>
  <tableParts count="6">
    <tablePart r:id="rId1"/>
    <tablePart r:id="rId2"/>
    <tablePart r:id="rId3"/>
    <tablePart r:id="rId4"/>
    <tablePart r:id="rId5"/>
    <tablePart r:id="rId6"/>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W452"/>
  <sheetViews>
    <sheetView showGridLines="0" topLeftCell="A88" zoomScale="85" zoomScaleNormal="85" workbookViewId="0">
      <selection activeCell="A13" sqref="A13"/>
    </sheetView>
  </sheetViews>
  <sheetFormatPr defaultRowHeight="15.75" x14ac:dyDescent="0.25"/>
  <cols>
    <col min="1" max="1" width="30.7109375" customWidth="1"/>
    <col min="2" max="2" width="4.7109375" customWidth="1"/>
    <col min="3" max="3" width="4.7109375" style="1" customWidth="1"/>
    <col min="4" max="5" width="30.7109375" style="1" customWidth="1"/>
    <col min="6" max="6" width="31.14062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8" customFormat="1" ht="30" customHeight="1" x14ac:dyDescent="0.35">
      <c r="A1" s="8" t="e" vm="1">
        <v>#VALUE!</v>
      </c>
      <c r="C1" s="8" t="s">
        <v>138</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HYPERLINK("#'Results'!A1", "Results")</f>
        <v>Results</v>
      </c>
      <c r="M4" s="22"/>
    </row>
    <row r="5" spans="1:21" ht="20.100000000000001" customHeight="1" x14ac:dyDescent="0.25">
      <c r="A5" s="16"/>
      <c r="D5" s="6" t="str" cm="1">
        <f t="array" ref="D5">SourceData_Poultry.SourceData_Poultry_DietProperties_Title()</f>
        <v>Poultry - Diet properties</v>
      </c>
      <c r="M5" s="1"/>
    </row>
    <row r="6" spans="1:21" ht="20.100000000000001" customHeight="1" x14ac:dyDescent="0.25">
      <c r="A6" s="20" t="s">
        <v>1</v>
      </c>
      <c r="D6" s="5" t="str" cm="1">
        <f t="array" ref="D6">SourceData_Poultry.SourceData_Poultry_DietProperties_Source()</f>
        <v>VEERG 2026: Table A.1.7.1: Poultry - Diet properties</v>
      </c>
      <c r="M6" s="1"/>
    </row>
    <row r="7" spans="1:21" ht="20.100000000000001" customHeight="1" x14ac:dyDescent="0.25">
      <c r="A7" s="17" t="str">
        <f>HYPERLINK("#'Input - Site'!A1", "Site")</f>
        <v>Site</v>
      </c>
      <c r="M7" s="1"/>
    </row>
    <row r="8" spans="1:21" ht="20.100000000000001" customHeight="1" x14ac:dyDescent="0.25">
      <c r="A8" s="17" t="str">
        <f>HYPERLINK("#'Input - Poultry'!A1", "Poultry")</f>
        <v>Poultry</v>
      </c>
      <c r="D8" s="37" t="s">
        <v>139</v>
      </c>
      <c r="E8" s="37" t="s">
        <v>140</v>
      </c>
      <c r="F8" s="37" t="s">
        <v>141</v>
      </c>
      <c r="G8" s="37" t="s">
        <v>142</v>
      </c>
      <c r="H8" s="37" t="s">
        <v>143</v>
      </c>
      <c r="M8" s="1"/>
    </row>
    <row r="9" spans="1:21" ht="20.100000000000001" customHeight="1" x14ac:dyDescent="0.25">
      <c r="A9" s="17"/>
      <c r="D9" s="37" t="str" cm="1">
        <f t="array" ref="D9">Common_InputFunctions.Utility_DisplayArrayInTable(SourceData_Poultry.SourceData_Poultry_DietProperties_Data(), Table_SourceData_Poultry_DietProperties[[#Headers],[Nutrient analysis]], 0)</f>
        <v>Dry matter intake (kg/head/day)</v>
      </c>
      <c r="E9" s="37" cm="1">
        <f t="array" ref="E9">Common_InputFunctions.Utility_DisplayArrayInTable(SourceData_Poultry.SourceData_Poultry_DietProperties_Data(), Table_SourceData_Poultry_DietProperties[[#Headers],[Nutrient analysis]], 0)</f>
        <v>8.5999999999999993E-2</v>
      </c>
      <c r="F9" s="37" cm="1">
        <f t="array" ref="F9">Common_InputFunctions.Utility_DisplayArrayInTable(SourceData_Poultry.SourceData_Poultry_DietProperties_Data(), Table_SourceData_Poultry_DietProperties[[#Headers],[Nutrient analysis]], 0)</f>
        <v>9.2999999999999999E-2</v>
      </c>
      <c r="G9" s="37" cm="1">
        <f t="array" ref="G9">Common_InputFunctions.Utility_DisplayArrayInTable(SourceData_Poultry.SourceData_Poultry_DietProperties_Data(), Table_SourceData_Poultry_DietProperties[[#Headers],[Nutrient analysis]], 0)</f>
        <v>0.10299999999999999</v>
      </c>
      <c r="H9" s="37" cm="1">
        <f t="array" ref="H9">Common_InputFunctions.Utility_DisplayArrayInTable(SourceData_Poultry.SourceData_Poultry_DietProperties_Data(), Table_SourceData_Poultry_DietProperties[[#Headers],[Nutrient analysis]], 0)</f>
        <v>9.2999999999999999E-2</v>
      </c>
      <c r="M9" s="1"/>
    </row>
    <row r="10" spans="1:21" ht="20.100000000000001" customHeight="1" x14ac:dyDescent="0.25">
      <c r="A10" s="19" t="s">
        <v>71</v>
      </c>
      <c r="D10" s="1" t="str" cm="1">
        <f t="array" ref="D10">Common_InputFunctions.Utility_DisplayArrayInTable(SourceData_Poultry.SourceData_Poultry_DietProperties_Data(), Table_SourceData_Poultry_DietProperties[[#Headers],[Nutrient analysis]], 0)</f>
        <v>Dry matter digestibility</v>
      </c>
      <c r="E10" s="37" cm="1">
        <f t="array" ref="E10">Common_InputFunctions.Utility_DisplayArrayInTable(SourceData_Poultry.SourceData_Poultry_DietProperties_Data(), Table_SourceData_Poultry_DietProperties[[#Headers],[Nutrient analysis]], 0)</f>
        <v>0.8</v>
      </c>
      <c r="F10" s="37" cm="1">
        <f t="array" ref="F10">Common_InputFunctions.Utility_DisplayArrayInTable(SourceData_Poultry.SourceData_Poultry_DietProperties_Data(), Table_SourceData_Poultry_DietProperties[[#Headers],[Nutrient analysis]], 0)</f>
        <v>0.8</v>
      </c>
      <c r="G10" s="37" cm="1">
        <f t="array" ref="G10">Common_InputFunctions.Utility_DisplayArrayInTable(SourceData_Poultry.SourceData_Poultry_DietProperties_Data(), Table_SourceData_Poultry_DietProperties[[#Headers],[Nutrient analysis]], 0)</f>
        <v>0.8</v>
      </c>
      <c r="H10" s="37" cm="1">
        <f t="array" ref="H10">Common_InputFunctions.Utility_DisplayArrayInTable(SourceData_Poultry.SourceData_Poultry_DietProperties_Data(), Table_SourceData_Poultry_DietProperties[[#Headers],[Nutrient analysis]], 0)</f>
        <v>0.8</v>
      </c>
      <c r="M10" s="1"/>
    </row>
    <row r="11" spans="1:21" ht="20.100000000000001" customHeight="1" x14ac:dyDescent="0.25">
      <c r="A11" s="17" t="str">
        <f>HYPERLINK("#'4.6.1.1-2 Methane'!A1", "4.6.1.1-2 Methane")</f>
        <v>4.6.1.1-2 Methane</v>
      </c>
      <c r="D11" s="1" t="str" cm="1">
        <f t="array" ref="D11">Common_InputFunctions.Utility_DisplayArrayInTable(SourceData_Poultry.SourceData_Poultry_DietProperties_Data(), Table_SourceData_Poultry_DietProperties[[#Headers],[Nutrient analysis]], 0)</f>
        <v>Crude protein</v>
      </c>
      <c r="E11" s="37" cm="1">
        <f t="array" ref="E11">Common_InputFunctions.Utility_DisplayArrayInTable(SourceData_Poultry.SourceData_Poultry_DietProperties_Data(), Table_SourceData_Poultry_DietProperties[[#Headers],[Nutrient analysis]], 0)</f>
        <v>0.19</v>
      </c>
      <c r="F11" s="37" cm="1">
        <f t="array" ref="F11">Common_InputFunctions.Utility_DisplayArrayInTable(SourceData_Poultry.SourceData_Poultry_DietProperties_Data(), Table_SourceData_Poultry_DietProperties[[#Headers],[Nutrient analysis]], 0)</f>
        <v>0.23</v>
      </c>
      <c r="G11" s="37" cm="1">
        <f t="array" ref="G11">Common_InputFunctions.Utility_DisplayArrayInTable(SourceData_Poultry.SourceData_Poultry_DietProperties_Data(), Table_SourceData_Poultry_DietProperties[[#Headers],[Nutrient analysis]], 0)</f>
        <v>0.19</v>
      </c>
      <c r="H11" s="37" cm="1">
        <f t="array" ref="H11">Common_InputFunctions.Utility_DisplayArrayInTable(SourceData_Poultry.SourceData_Poultry_DietProperties_Data(), Table_SourceData_Poultry_DietProperties[[#Headers],[Nutrient analysis]], 0)</f>
        <v>0.23</v>
      </c>
      <c r="M11" s="1"/>
    </row>
    <row r="12" spans="1:21" ht="20.100000000000001" customHeight="1" x14ac:dyDescent="0.25">
      <c r="A12" s="17" t="str">
        <f>HYPERLINK("#'4.6.1.3-4 Direct N20'!A1", "4.6.1.3-4 Direct N2O")</f>
        <v>4.6.1.3-4 Direct N2O</v>
      </c>
      <c r="D12" s="1" t="str" cm="1">
        <f t="array" ref="D12">Common_InputFunctions.Utility_DisplayArrayInTable(SourceData_Poultry.SourceData_Poultry_DietProperties_Data(), Table_SourceData_Poultry_DietProperties[[#Headers],[Nutrient analysis]], 0)</f>
        <v>Nitrogen retention rate</v>
      </c>
      <c r="E12" s="37" cm="1">
        <f t="array" ref="E12">Common_InputFunctions.Utility_DisplayArrayInTable(SourceData_Poultry.SourceData_Poultry_DietProperties_Data(), Table_SourceData_Poultry_DietProperties[[#Headers],[Nutrient analysis]], 0)</f>
        <v>0.35</v>
      </c>
      <c r="F12" s="37" cm="1">
        <f t="array" ref="F12">Common_InputFunctions.Utility_DisplayArrayInTable(SourceData_Poultry.SourceData_Poultry_DietProperties_Data(), Table_SourceData_Poultry_DietProperties[[#Headers],[Nutrient analysis]], 0)</f>
        <v>0.47</v>
      </c>
      <c r="G12" s="37" cm="1">
        <f t="array" ref="G12">Common_InputFunctions.Utility_DisplayArrayInTable(SourceData_Poultry.SourceData_Poultry_DietProperties_Data(), Table_SourceData_Poultry_DietProperties[[#Headers],[Nutrient analysis]], 0)</f>
        <v>0.32</v>
      </c>
      <c r="H12" s="37" cm="1">
        <f t="array" ref="H12">Common_InputFunctions.Utility_DisplayArrayInTable(SourceData_Poultry.SourceData_Poultry_DietProperties_Data(), Table_SourceData_Poultry_DietProperties[[#Headers],[Nutrient analysis]], 0)</f>
        <v>0.47</v>
      </c>
      <c r="M12" s="1"/>
    </row>
    <row r="13" spans="1:21" ht="20.100000000000001" customHeight="1" x14ac:dyDescent="0.25">
      <c r="A13" s="17" t="str">
        <f>HYPERLINK("#'4.6.1.5-6 Atmos Dep'!A1", "4.6.1.5-6 Atmospheric deposition")</f>
        <v>4.6.1.5-6 Atmospheric deposition</v>
      </c>
      <c r="D13" s="1" t="str" cm="1">
        <f t="array" ref="D13">Common_InputFunctions.Utility_DisplayArrayInTable(SourceData_Poultry.SourceData_Poultry_DietProperties_Data(), Table_SourceData_Poultry_DietProperties[[#Headers],[Nutrient analysis]], 0)</f>
        <v>Manure ash</v>
      </c>
      <c r="E13" s="37" cm="1">
        <f t="array" ref="E13">Common_InputFunctions.Utility_DisplayArrayInTable(SourceData_Poultry.SourceData_Poultry_DietProperties_Data(), Table_SourceData_Poultry_DietProperties[[#Headers],[Nutrient analysis]], 0)</f>
        <v>0.18</v>
      </c>
      <c r="F13" s="37" cm="1">
        <f t="array" ref="F13">Common_InputFunctions.Utility_DisplayArrayInTable(SourceData_Poultry.SourceData_Poultry_DietProperties_Data(), Table_SourceData_Poultry_DietProperties[[#Headers],[Nutrient analysis]], 0)</f>
        <v>0.15</v>
      </c>
      <c r="G13" s="37" cm="1">
        <f t="array" ref="G13">Common_InputFunctions.Utility_DisplayArrayInTable(SourceData_Poultry.SourceData_Poultry_DietProperties_Data(), Table_SourceData_Poultry_DietProperties[[#Headers],[Nutrient analysis]], 0)</f>
        <v>0.18</v>
      </c>
      <c r="H13" s="37" cm="1">
        <f t="array" ref="H13">Common_InputFunctions.Utility_DisplayArrayInTable(SourceData_Poultry.SourceData_Poultry_DietProperties_Data(), Table_SourceData_Poultry_DietProperties[[#Headers],[Nutrient analysis]], 0)</f>
        <v>0.15</v>
      </c>
      <c r="M13" s="1"/>
    </row>
    <row r="14" spans="1:21" ht="20.100000000000001" customHeight="1" x14ac:dyDescent="0.25">
      <c r="A14" s="17" t="str">
        <f>HYPERLINK("#'4.6.1.7-8 Leaching and runoff'!A1", "4.6.1.7-8 Leaching &amp; runoff")</f>
        <v>4.6.1.7-8 Leaching &amp; runoff</v>
      </c>
      <c r="M14" s="1"/>
    </row>
    <row r="15" spans="1:21" ht="20.100000000000001" customHeight="1" x14ac:dyDescent="0.25">
      <c r="A15" s="17" t="str">
        <f>HYPERLINK("#'4.6.1.9 Manure applied to soils'!A1", "4.6.1.9 Manure applied to soils")</f>
        <v>4.6.1.9 Manure applied to soils</v>
      </c>
      <c r="M15" s="1"/>
    </row>
    <row r="16" spans="1:21" ht="20.100000000000001" customHeight="1" x14ac:dyDescent="0.25">
      <c r="A16" s="17" t="str">
        <f>HYPERLINK("#'4.6.1.10-11 Soil direct N2O'!A1", "4.6.1.10-11 Soil direct N2O")</f>
        <v>4.6.1.10-11 Soil direct N2O</v>
      </c>
      <c r="M16" s="1"/>
    </row>
    <row r="17" spans="1:13" ht="20.100000000000001" customHeight="1" x14ac:dyDescent="0.25">
      <c r="A17" s="17" t="str">
        <f>HYPERLINK("#'4.6.1.12-13 Soil atmos dep'!A1", "4.6.1.12-13 Soil Atm. deposition")</f>
        <v>4.6.1.12-13 Soil Atm. deposition</v>
      </c>
      <c r="D17" s="6" t="str" cm="1">
        <f t="array" ref="D17">SourceData_Poultry.SourceData_Poultry_MethaneEmissionsPotential_Title()</f>
        <v>Poultry - Methane emissions potential per class</v>
      </c>
      <c r="M17" s="1"/>
    </row>
    <row r="18" spans="1:13" ht="20.100000000000001" customHeight="1" x14ac:dyDescent="0.25">
      <c r="A18" s="17" t="str">
        <f>HYPERLINK("#'4.6.1.14-15 Soil leach runoff'!A1", "4.6.1.14-15 Soil leach &amp; runoff")</f>
        <v>4.6.1.14-15 Soil leach &amp; runoff</v>
      </c>
      <c r="D18" s="5" t="str" cm="1">
        <f t="array" ref="D18">SourceData_Poultry.SourceData_Poultry_MethaneEmissionsPotential_Source()</f>
        <v>VEERG 2026: 4.6.2.3 CONSTANT: Poultry - Methane emissions potential per class</v>
      </c>
      <c r="M18" s="1"/>
    </row>
    <row r="19" spans="1:13" ht="20.100000000000001" customHeight="1" x14ac:dyDescent="0.25">
      <c r="D19" s="37" t="s">
        <v>144</v>
      </c>
      <c r="E19" s="37" t="s">
        <v>145</v>
      </c>
      <c r="M19" s="1"/>
    </row>
    <row r="20" spans="1:13" ht="20.100000000000001" customHeight="1" x14ac:dyDescent="0.25">
      <c r="A20" s="18" t="s">
        <v>2</v>
      </c>
      <c r="D20" s="37" t="str" cm="1">
        <f t="array" ref="D20">Common_InputFunctions.Utility_DisplayArrayInTable(SourceData_Poultry.SourceData_Poultry_MethaneEmissionsPotential_Data(), Table_SourceData_Poultry_MethaneEmissionsPotential[[#Headers],[Poultry class]], 0)</f>
        <v>Layers</v>
      </c>
      <c r="E20" s="37" cm="1">
        <f t="array" ref="E20">Common_InputFunctions.Utility_DisplayArrayInTable(SourceData_Poultry.SourceData_Poultry_MethaneEmissionsPotential_Data(), Table_SourceData_Poultry_MethaneEmissionsPotential[[#Headers],[Poultry class]], 0)</f>
        <v>0.39</v>
      </c>
      <c r="M20" s="1"/>
    </row>
    <row r="21" spans="1:13" ht="20.100000000000001" customHeight="1" x14ac:dyDescent="0.25">
      <c r="A21" s="111" t="str">
        <f>HYPERLINK("#'Constants - Poultry'!A1", "Constants - Poultry")</f>
        <v>Constants - Poultry</v>
      </c>
      <c r="D21" s="1" t="str" cm="1">
        <f t="array" ref="D21">Common_InputFunctions.Utility_DisplayArrayInTable(SourceData_Poultry.SourceData_Poultry_MethaneEmissionsPotential_Data(), Table_SourceData_Poultry_MethaneEmissionsPotential[[#Headers],[Poultry class]], 0)</f>
        <v>Meat chickens</v>
      </c>
      <c r="E21" s="37" cm="1">
        <f t="array" ref="E21">Common_InputFunctions.Utility_DisplayArrayInTable(SourceData_Poultry.SourceData_Poultry_MethaneEmissionsPotential_Data(), Table_SourceData_Poultry_MethaneEmissionsPotential[[#Headers],[Poultry class]], 0)</f>
        <v>0.36</v>
      </c>
      <c r="M21" s="1"/>
    </row>
    <row r="22" spans="1:13" ht="20.100000000000001" customHeight="1" x14ac:dyDescent="0.25">
      <c r="A22" s="17" t="str">
        <f>HYPERLINK("#'Constants - Livestock'!A1", "Constants - Livestock")</f>
        <v>Constants - Livestock</v>
      </c>
      <c r="M22" s="1"/>
    </row>
    <row r="23" spans="1:13" ht="20.100000000000001" customHeight="1" x14ac:dyDescent="0.25">
      <c r="A23" s="17" t="str">
        <f>HYPERLINK("#'Constants - Common'!A1", "Constants - Common")</f>
        <v>Constants - Common</v>
      </c>
      <c r="M23" s="1"/>
    </row>
    <row r="24" spans="1:13" ht="20.100000000000001" customHeight="1" x14ac:dyDescent="0.25">
      <c r="A24" s="17" t="str">
        <f>HYPERLINK("#'Acknowledgements'!A1", "Acknowledgements")</f>
        <v>Acknowledgements</v>
      </c>
      <c r="M24" s="1"/>
    </row>
    <row r="25" spans="1:13" ht="20.100000000000001" customHeight="1" x14ac:dyDescent="0.25">
      <c r="M25" s="1"/>
    </row>
    <row r="26" spans="1:13" ht="20.100000000000001" customHeight="1" x14ac:dyDescent="0.25">
      <c r="D26" s="6" t="s">
        <v>146</v>
      </c>
      <c r="G26" s="6" t="s">
        <v>147</v>
      </c>
      <c r="J26" s="6" t="s">
        <v>148</v>
      </c>
      <c r="M26" s="1"/>
    </row>
    <row r="27" spans="1:13" ht="20.100000000000001" customHeight="1" x14ac:dyDescent="0.25">
      <c r="M27" s="1"/>
    </row>
    <row r="28" spans="1:13" ht="20.100000000000001" customHeight="1" x14ac:dyDescent="0.25">
      <c r="D28" s="107" t="s">
        <v>64</v>
      </c>
      <c r="E28" s="37" t="s">
        <v>75</v>
      </c>
      <c r="G28" s="107" t="s">
        <v>64</v>
      </c>
      <c r="H28" s="37" t="s">
        <v>75</v>
      </c>
      <c r="J28" s="107" t="s">
        <v>64</v>
      </c>
      <c r="K28" s="37" t="s">
        <v>75</v>
      </c>
      <c r="M28" s="1"/>
    </row>
    <row r="29" spans="1:13" ht="20.100000000000001" customHeight="1" x14ac:dyDescent="0.25">
      <c r="D29" s="37" t="s">
        <v>163</v>
      </c>
      <c r="E29" s="37" t="s">
        <v>164</v>
      </c>
      <c r="G29" s="37" t="s">
        <v>163</v>
      </c>
      <c r="H29" s="37" t="s">
        <v>164</v>
      </c>
      <c r="J29" s="37" t="s">
        <v>165</v>
      </c>
      <c r="K29" s="37" t="s">
        <v>166</v>
      </c>
      <c r="M29" s="1"/>
    </row>
    <row r="30" spans="1:13" ht="20.100000000000001" customHeight="1" x14ac:dyDescent="0.25">
      <c r="D30" s="37" t="s">
        <v>167</v>
      </c>
      <c r="E30" s="37" t="s">
        <v>168</v>
      </c>
      <c r="G30" s="37" t="s">
        <v>167</v>
      </c>
      <c r="H30" s="37" t="s">
        <v>168</v>
      </c>
      <c r="J30" s="37" t="s">
        <v>169</v>
      </c>
      <c r="K30" s="37" t="s">
        <v>170</v>
      </c>
      <c r="M30" s="1"/>
    </row>
    <row r="31" spans="1:13" ht="20.100000000000001" customHeight="1" x14ac:dyDescent="0.25">
      <c r="D31" s="37" t="s">
        <v>171</v>
      </c>
      <c r="E31" s="37" t="s">
        <v>172</v>
      </c>
      <c r="G31" s="37" t="s">
        <v>171</v>
      </c>
      <c r="H31" s="37" t="s">
        <v>172</v>
      </c>
      <c r="J31" s="1" t="s">
        <v>173</v>
      </c>
      <c r="K31" s="1" t="s">
        <v>174</v>
      </c>
      <c r="M31" s="1"/>
    </row>
    <row r="32" spans="1:13" ht="20.100000000000001" customHeight="1" x14ac:dyDescent="0.25">
      <c r="D32" s="37" t="s">
        <v>175</v>
      </c>
      <c r="E32" s="37" t="s">
        <v>176</v>
      </c>
      <c r="G32" s="37" t="s">
        <v>175</v>
      </c>
      <c r="H32" s="37" t="s">
        <v>176</v>
      </c>
      <c r="J32" s="37" t="s">
        <v>177</v>
      </c>
      <c r="K32" s="37" t="s">
        <v>178</v>
      </c>
      <c r="M32" s="1"/>
    </row>
    <row r="33" spans="4:13" ht="20.100000000000001" customHeight="1" x14ac:dyDescent="0.25">
      <c r="D33" s="37" t="s">
        <v>165</v>
      </c>
      <c r="E33" s="37" t="s">
        <v>166</v>
      </c>
      <c r="G33" s="1" t="s">
        <v>149</v>
      </c>
      <c r="H33" s="37" t="s">
        <v>149</v>
      </c>
      <c r="J33" s="37" t="s">
        <v>179</v>
      </c>
      <c r="K33" s="37" t="s">
        <v>180</v>
      </c>
      <c r="M33" s="1"/>
    </row>
    <row r="34" spans="4:13" ht="20.100000000000001" customHeight="1" x14ac:dyDescent="0.25">
      <c r="D34" s="37" t="s">
        <v>169</v>
      </c>
      <c r="E34" s="37" t="s">
        <v>170</v>
      </c>
      <c r="J34" s="1" t="s">
        <v>149</v>
      </c>
      <c r="K34" s="37" t="s">
        <v>149</v>
      </c>
      <c r="M34" s="1"/>
    </row>
    <row r="35" spans="4:13" ht="20.100000000000001" customHeight="1" x14ac:dyDescent="0.25">
      <c r="D35" s="1" t="s">
        <v>173</v>
      </c>
      <c r="E35" s="1" t="s">
        <v>174</v>
      </c>
      <c r="M35" s="1"/>
    </row>
    <row r="36" spans="4:13" ht="20.100000000000001" customHeight="1" x14ac:dyDescent="0.25">
      <c r="D36" s="37" t="s">
        <v>177</v>
      </c>
      <c r="E36" s="37" t="s">
        <v>178</v>
      </c>
      <c r="M36" s="1"/>
    </row>
    <row r="37" spans="4:13" ht="20.100000000000001" customHeight="1" x14ac:dyDescent="0.25">
      <c r="D37" s="37" t="s">
        <v>179</v>
      </c>
      <c r="E37" s="37" t="s">
        <v>180</v>
      </c>
      <c r="M37" s="1"/>
    </row>
    <row r="38" spans="4:13" ht="20.100000000000001" customHeight="1" x14ac:dyDescent="0.25">
      <c r="D38" s="1" t="s">
        <v>149</v>
      </c>
      <c r="E38" s="37" t="s">
        <v>149</v>
      </c>
      <c r="M38" s="1"/>
    </row>
    <row r="39" spans="4:13" ht="20.100000000000001" customHeight="1" x14ac:dyDescent="0.25">
      <c r="M39" s="1"/>
    </row>
    <row r="40" spans="4:13" ht="20.100000000000001" customHeight="1" x14ac:dyDescent="0.25">
      <c r="M40" s="1"/>
    </row>
    <row r="41" spans="4:13" ht="20.100000000000001" customHeight="1" x14ac:dyDescent="0.25">
      <c r="M41" s="1"/>
    </row>
    <row r="42" spans="4:13" ht="20.100000000000001" customHeight="1" x14ac:dyDescent="0.25">
      <c r="D42" s="6" t="s">
        <v>150</v>
      </c>
      <c r="M42" s="1"/>
    </row>
    <row r="43" spans="4:13" ht="20.100000000000001" customHeight="1" x14ac:dyDescent="0.25">
      <c r="M43" s="1"/>
    </row>
    <row r="44" spans="4:13" ht="20.100000000000001" customHeight="1" x14ac:dyDescent="0.25">
      <c r="D44" s="37" t="s">
        <v>100</v>
      </c>
      <c r="M44" s="1"/>
    </row>
    <row r="45" spans="4:13" ht="20.100000000000001" customHeight="1" x14ac:dyDescent="0.25">
      <c r="D45" s="37" t="str" cm="1">
        <f t="array" ref="D45">Common_InputFunctions.Utility_DisplayArrayInTable(SourceData_Poultry.SourceData_Poultry_ProductionSystems_Data(), Table_SourceData_Poultry_ProductionSystems[[#Headers],[Production system]], 0)</f>
        <v>Free range</v>
      </c>
      <c r="M45" s="1"/>
    </row>
    <row r="46" spans="4:13" ht="20.100000000000001" customHeight="1" x14ac:dyDescent="0.25">
      <c r="D46" s="1" t="str" cm="1">
        <f t="array" ref="D46">Common_InputFunctions.Utility_DisplayArrayInTable(SourceData_Poultry.SourceData_Poultry_ProductionSystems_Data(), Table_SourceData_Poultry_ProductionSystems[[#Headers],[Production system]], 0)</f>
        <v>Barn</v>
      </c>
      <c r="M46" s="1"/>
    </row>
    <row r="47" spans="4:13" ht="20.100000000000001" customHeight="1" x14ac:dyDescent="0.25">
      <c r="D47" s="1" t="str" cm="1">
        <f t="array" ref="D47">Common_InputFunctions.Utility_DisplayArrayInTable(SourceData_Poultry.SourceData_Poultry_ProductionSystems_Data(), Table_SourceData_Poultry_ProductionSystems[[#Headers],[Production system]], 0)</f>
        <v>Cage</v>
      </c>
      <c r="M47" s="1"/>
    </row>
    <row r="48" spans="4:13" ht="20.100000000000001" customHeight="1" x14ac:dyDescent="0.25">
      <c r="M48" s="1"/>
    </row>
    <row r="49" spans="4:14" ht="20.100000000000001" customHeight="1" x14ac:dyDescent="0.25">
      <c r="M49" s="1"/>
    </row>
    <row r="50" spans="4:14" ht="20.100000000000001" customHeight="1" x14ac:dyDescent="0.25">
      <c r="M50" s="1"/>
    </row>
    <row r="51" spans="4:14" ht="20.100000000000001" customHeight="1" x14ac:dyDescent="0.25">
      <c r="D51" s="6" t="str" cm="1">
        <f t="array" ref="D51">SourceData_Poultry.SourceData_Poultry_MCF_Title()</f>
        <v>Poultry - MCFs</v>
      </c>
      <c r="M51" s="1"/>
    </row>
    <row r="52" spans="4:14" ht="20.100000000000001" customHeight="1" x14ac:dyDescent="0.25">
      <c r="D52" s="5" t="str" cm="1">
        <f t="array" ref="D52">SourceData_Poultry.SourceData_Poultry_MCF_Source()</f>
        <v>VEERG 2026: Table A.1.7.4: Poultry - MCFs</v>
      </c>
      <c r="M52" s="1"/>
    </row>
    <row r="53" spans="4:14" ht="20.100000000000001" customHeight="1" x14ac:dyDescent="0.25">
      <c r="D53" s="53" t="str" cm="1">
        <f t="array" ref="D53:D57">SourceData_Poultry.SourceData_Poultry_MCF_Variation()</f>
        <v>VARIATION ON SOURCE:</v>
      </c>
      <c r="M53" s="1"/>
    </row>
    <row r="54" spans="4:14" ht="20.100000000000001" customHeight="1" x14ac:dyDescent="0.25">
      <c r="D54" s="53" t="str">
        <v>Split NSW and ACT into separate states. Split QLD and NT into separate states.</v>
      </c>
      <c r="M54" s="1"/>
    </row>
    <row r="55" spans="4:14" ht="20.100000000000001" customHeight="1" x14ac:dyDescent="0.25">
      <c r="D55" s="53" t="str">
        <v>Included values for each state when 'All states' value is given.</v>
      </c>
      <c r="M55" s="1"/>
    </row>
    <row r="56" spans="4:14" ht="20.100000000000001" customHeight="1" x14ac:dyDescent="0.25">
      <c r="D56" s="53" t="str">
        <v>Added 'NIR definition' column with MMS names that match NIR definitions.</v>
      </c>
      <c r="M56" s="1"/>
    </row>
    <row r="57" spans="4:14" ht="20.100000000000001" customHeight="1" x14ac:dyDescent="0.25">
      <c r="D57" s="53" t="str">
        <v>Duplicated 'Poultry manure without litter' row for NIR MMS 'Belt manure removal' and 'Manure stored in house'</v>
      </c>
      <c r="M57" s="1"/>
    </row>
    <row r="58" spans="4:14" ht="20.100000000000001" customHeight="1" x14ac:dyDescent="0.25">
      <c r="M58" s="1"/>
    </row>
    <row r="59" spans="4:14" ht="20.100000000000001" customHeight="1" x14ac:dyDescent="0.25">
      <c r="D59" s="37" t="s">
        <v>151</v>
      </c>
      <c r="E59" s="37" t="s">
        <v>152</v>
      </c>
      <c r="F59" s="37" t="s">
        <v>77</v>
      </c>
      <c r="G59" s="37" t="s">
        <v>76</v>
      </c>
      <c r="H59" s="37" t="s">
        <v>79</v>
      </c>
      <c r="I59" s="37" t="s">
        <v>78</v>
      </c>
      <c r="J59" s="37" t="s">
        <v>82</v>
      </c>
      <c r="K59" s="37" t="s">
        <v>80</v>
      </c>
      <c r="L59" s="37" t="s">
        <v>83</v>
      </c>
      <c r="M59" s="37" t="s">
        <v>81</v>
      </c>
      <c r="N59" s="37" t="s">
        <v>118</v>
      </c>
    </row>
    <row r="60" spans="4:14" ht="20.100000000000001" customHeight="1" x14ac:dyDescent="0.25">
      <c r="D60" s="37" t="str" cm="1">
        <f t="array" ref="D60">Common_InputFunctions.Utility_DisplayArrayInTable(SourceData_Poultry.SourceData_Poultry_MCF_Data(), Table_SourceData_Poultry_MMSMCF[[#Headers],[MMS m]], 0)</f>
        <v>Poultry manure with litter</v>
      </c>
      <c r="E60" s="37" cm="1">
        <f t="array" ref="E60">Common_InputFunctions.Utility_DisplayArrayInTable(SourceData_Poultry.SourceData_Poultry_MCF_Data(), Table_SourceData_Poultry_MMSMCF[[#Headers],[MMS m]], 0)</f>
        <v>1.4999999999999999E-2</v>
      </c>
      <c r="F60" s="37" cm="1">
        <f t="array" ref="F60">Common_InputFunctions.Utility_DisplayArrayInTable(SourceData_Poultry.SourceData_Poultry_MCF_Data(), Table_SourceData_Poultry_MMSMCF[[#Headers],[MMS m]], 0)</f>
        <v>1.4999999999999999E-2</v>
      </c>
      <c r="G60" s="37" cm="1">
        <f t="array" ref="G60">Common_InputFunctions.Utility_DisplayArrayInTable(SourceData_Poultry.SourceData_Poultry_MCF_Data(), Table_SourceData_Poultry_MMSMCF[[#Headers],[MMS m]], 0)</f>
        <v>1.4999999999999999E-2</v>
      </c>
      <c r="H60" s="37" cm="1">
        <f t="array" ref="H60">Common_InputFunctions.Utility_DisplayArrayInTable(SourceData_Poultry.SourceData_Poultry_MCF_Data(), Table_SourceData_Poultry_MMSMCF[[#Headers],[MMS m]], 0)</f>
        <v>1.4999999999999999E-2</v>
      </c>
      <c r="I60" s="37" cm="1">
        <f t="array" ref="I60">Common_InputFunctions.Utility_DisplayArrayInTable(SourceData_Poultry.SourceData_Poultry_MCF_Data(), Table_SourceData_Poultry_MMSMCF[[#Headers],[MMS m]], 0)</f>
        <v>1.4999999999999999E-2</v>
      </c>
      <c r="J60" s="37" cm="1">
        <f t="array" ref="J60">Common_InputFunctions.Utility_DisplayArrayInTable(SourceData_Poultry.SourceData_Poultry_MCF_Data(), Table_SourceData_Poultry_MMSMCF[[#Headers],[MMS m]], 0)</f>
        <v>1.4999999999999999E-2</v>
      </c>
      <c r="K60" s="37" cm="1">
        <f t="array" ref="K60">Common_InputFunctions.Utility_DisplayArrayInTable(SourceData_Poultry.SourceData_Poultry_MCF_Data(), Table_SourceData_Poultry_MMSMCF[[#Headers],[MMS m]], 0)</f>
        <v>1.4999999999999999E-2</v>
      </c>
      <c r="L60" s="37" cm="1">
        <f t="array" ref="L60">Common_InputFunctions.Utility_DisplayArrayInTable(SourceData_Poultry.SourceData_Poultry_MCF_Data(), Table_SourceData_Poultry_MMSMCF[[#Headers],[MMS m]], 0)</f>
        <v>1.4999999999999999E-2</v>
      </c>
      <c r="M60" s="37" cm="1">
        <f t="array" ref="M60">Common_InputFunctions.Utility_DisplayArrayInTable(SourceData_Poultry.SourceData_Poultry_MCF_Data(), Table_SourceData_Poultry_MMSMCF[[#Headers],[MMS m]], 0)</f>
        <v>1.4999999999999999E-2</v>
      </c>
      <c r="N60" s="37" t="str" cm="1">
        <f t="array" ref="N60">Common_InputFunctions.Utility_DisplayArrayInTable(SourceData_Poultry.SourceData_Poultry_MCF_Data(), Table_SourceData_Poultry_MMSMCF[[#Headers],[MMS m]], 0)</f>
        <v>Poultry manure with bedding</v>
      </c>
    </row>
    <row r="61" spans="4:14" ht="20.100000000000001" customHeight="1" x14ac:dyDescent="0.25">
      <c r="D61" s="1" t="str" cm="1">
        <f t="array" ref="D61">Common_InputFunctions.Utility_DisplayArrayInTable(SourceData_Poultry.SourceData_Poultry_MCF_Data(), Table_SourceData_Poultry_MMSMCF[[#Headers],[MMS m]], 0)</f>
        <v>Poultry manure without litter</v>
      </c>
      <c r="E61" s="37" cm="1">
        <f t="array" ref="E61">Common_InputFunctions.Utility_DisplayArrayInTable(SourceData_Poultry.SourceData_Poultry_MCF_Data(), Table_SourceData_Poultry_MMSMCF[[#Headers],[MMS m]], 0)</f>
        <v>1.4999999999999999E-2</v>
      </c>
      <c r="F61" s="37" cm="1">
        <f t="array" ref="F61">Common_InputFunctions.Utility_DisplayArrayInTable(SourceData_Poultry.SourceData_Poultry_MCF_Data(), Table_SourceData_Poultry_MMSMCF[[#Headers],[MMS m]], 0)</f>
        <v>1.4999999999999999E-2</v>
      </c>
      <c r="G61" s="37" cm="1">
        <f t="array" ref="G61">Common_InputFunctions.Utility_DisplayArrayInTable(SourceData_Poultry.SourceData_Poultry_MCF_Data(), Table_SourceData_Poultry_MMSMCF[[#Headers],[MMS m]], 0)</f>
        <v>1.4999999999999999E-2</v>
      </c>
      <c r="H61" s="37" cm="1">
        <f t="array" ref="H61">Common_InputFunctions.Utility_DisplayArrayInTable(SourceData_Poultry.SourceData_Poultry_MCF_Data(), Table_SourceData_Poultry_MMSMCF[[#Headers],[MMS m]], 0)</f>
        <v>1.4999999999999999E-2</v>
      </c>
      <c r="I61" s="37" cm="1">
        <f t="array" ref="I61">Common_InputFunctions.Utility_DisplayArrayInTable(SourceData_Poultry.SourceData_Poultry_MCF_Data(), Table_SourceData_Poultry_MMSMCF[[#Headers],[MMS m]], 0)</f>
        <v>1.4999999999999999E-2</v>
      </c>
      <c r="J61" s="37" cm="1">
        <f t="array" ref="J61">Common_InputFunctions.Utility_DisplayArrayInTable(SourceData_Poultry.SourceData_Poultry_MCF_Data(), Table_SourceData_Poultry_MMSMCF[[#Headers],[MMS m]], 0)</f>
        <v>1.4999999999999999E-2</v>
      </c>
      <c r="K61" s="37" cm="1">
        <f t="array" ref="K61">Common_InputFunctions.Utility_DisplayArrayInTable(SourceData_Poultry.SourceData_Poultry_MCF_Data(), Table_SourceData_Poultry_MMSMCF[[#Headers],[MMS m]], 0)</f>
        <v>1.4999999999999999E-2</v>
      </c>
      <c r="L61" s="37" cm="1">
        <f t="array" ref="L61">Common_InputFunctions.Utility_DisplayArrayInTable(SourceData_Poultry.SourceData_Poultry_MCF_Data(), Table_SourceData_Poultry_MMSMCF[[#Headers],[MMS m]], 0)</f>
        <v>1.4999999999999999E-2</v>
      </c>
      <c r="M61" s="37" cm="1">
        <f t="array" ref="M61">Common_InputFunctions.Utility_DisplayArrayInTable(SourceData_Poultry.SourceData_Poultry_MCF_Data(), Table_SourceData_Poultry_MMSMCF[[#Headers],[MMS m]], 0)</f>
        <v>1.4999999999999999E-2</v>
      </c>
      <c r="N61" s="37" t="str" cm="1">
        <f t="array" ref="N61">Common_InputFunctions.Utility_DisplayArrayInTable(SourceData_Poultry.SourceData_Poultry_MCF_Data(), Table_SourceData_Poultry_MMSMCF[[#Headers],[MMS m]], 0)</f>
        <v>Belt manure removal</v>
      </c>
    </row>
    <row r="62" spans="4:14" ht="20.100000000000001" customHeight="1" x14ac:dyDescent="0.25">
      <c r="D62" s="1" t="str" cm="1">
        <f t="array" ref="D62">Common_InputFunctions.Utility_DisplayArrayInTable(SourceData_Poultry.SourceData_Poultry_MCF_Data(), Table_SourceData_Poultry_MMSMCF[[#Headers],[MMS m]], 0)</f>
        <v>Poultry manure without litter</v>
      </c>
      <c r="E62" s="37" cm="1">
        <f t="array" ref="E62">Common_InputFunctions.Utility_DisplayArrayInTable(SourceData_Poultry.SourceData_Poultry_MCF_Data(), Table_SourceData_Poultry_MMSMCF[[#Headers],[MMS m]], 0)</f>
        <v>1.4999999999999999E-2</v>
      </c>
      <c r="F62" s="37" cm="1">
        <f t="array" ref="F62">Common_InputFunctions.Utility_DisplayArrayInTable(SourceData_Poultry.SourceData_Poultry_MCF_Data(), Table_SourceData_Poultry_MMSMCF[[#Headers],[MMS m]], 0)</f>
        <v>1.4999999999999999E-2</v>
      </c>
      <c r="G62" s="37" cm="1">
        <f t="array" ref="G62">Common_InputFunctions.Utility_DisplayArrayInTable(SourceData_Poultry.SourceData_Poultry_MCF_Data(), Table_SourceData_Poultry_MMSMCF[[#Headers],[MMS m]], 0)</f>
        <v>1.4999999999999999E-2</v>
      </c>
      <c r="H62" s="37" cm="1">
        <f t="array" ref="H62">Common_InputFunctions.Utility_DisplayArrayInTable(SourceData_Poultry.SourceData_Poultry_MCF_Data(), Table_SourceData_Poultry_MMSMCF[[#Headers],[MMS m]], 0)</f>
        <v>1.4999999999999999E-2</v>
      </c>
      <c r="I62" s="37" cm="1">
        <f t="array" ref="I62">Common_InputFunctions.Utility_DisplayArrayInTable(SourceData_Poultry.SourceData_Poultry_MCF_Data(), Table_SourceData_Poultry_MMSMCF[[#Headers],[MMS m]], 0)</f>
        <v>1.4999999999999999E-2</v>
      </c>
      <c r="J62" s="37" cm="1">
        <f t="array" ref="J62">Common_InputFunctions.Utility_DisplayArrayInTable(SourceData_Poultry.SourceData_Poultry_MCF_Data(), Table_SourceData_Poultry_MMSMCF[[#Headers],[MMS m]], 0)</f>
        <v>1.4999999999999999E-2</v>
      </c>
      <c r="K62" s="37" cm="1">
        <f t="array" ref="K62">Common_InputFunctions.Utility_DisplayArrayInTable(SourceData_Poultry.SourceData_Poultry_MCF_Data(), Table_SourceData_Poultry_MMSMCF[[#Headers],[MMS m]], 0)</f>
        <v>1.4999999999999999E-2</v>
      </c>
      <c r="L62" s="37" cm="1">
        <f t="array" ref="L62">Common_InputFunctions.Utility_DisplayArrayInTable(SourceData_Poultry.SourceData_Poultry_MCF_Data(), Table_SourceData_Poultry_MMSMCF[[#Headers],[MMS m]], 0)</f>
        <v>1.4999999999999999E-2</v>
      </c>
      <c r="M62" s="37" cm="1">
        <f t="array" ref="M62">Common_InputFunctions.Utility_DisplayArrayInTable(SourceData_Poultry.SourceData_Poultry_MCF_Data(), Table_SourceData_Poultry_MMSMCF[[#Headers],[MMS m]], 0)</f>
        <v>1.4999999999999999E-2</v>
      </c>
      <c r="N62" s="37" t="str" cm="1">
        <f t="array" ref="N62">Common_InputFunctions.Utility_DisplayArrayInTable(SourceData_Poultry.SourceData_Poultry_MCF_Data(), Table_SourceData_Poultry_MMSMCF[[#Headers],[MMS m]], 0)</f>
        <v>Manure stored in house</v>
      </c>
    </row>
    <row r="63" spans="4:14" ht="20.100000000000001" customHeight="1" x14ac:dyDescent="0.25">
      <c r="D63" s="1" t="str" cm="1">
        <f t="array" ref="D63">Common_InputFunctions.Utility_DisplayArrayInTable(SourceData_Poultry.SourceData_Poultry_MCF_Data(), Table_SourceData_Poultry_MMSMCF[[#Headers],[MMS m]], 0)</f>
        <v>Pasture range and paddock</v>
      </c>
      <c r="E63" s="37" t="str" cm="1">
        <f t="array" ref="E63">Common_InputFunctions.Utility_DisplayArrayInTable(SourceData_Poultry.SourceData_Poultry_MCF_Data(), Table_SourceData_Poultry_MMSMCF[[#Headers],[MMS m]], 0)</f>
        <v>n/a</v>
      </c>
      <c r="F63" s="37" cm="1">
        <f t="array" ref="F63">Common_InputFunctions.Utility_DisplayArrayInTable(SourceData_Poultry.SourceData_Poultry_MCF_Data(), Table_SourceData_Poultry_MMSMCF[[#Headers],[MMS m]], 0)</f>
        <v>0.01</v>
      </c>
      <c r="G63" s="37" cm="1">
        <f t="array" ref="G63">Common_InputFunctions.Utility_DisplayArrayInTable(SourceData_Poultry.SourceData_Poultry_MCF_Data(), Table_SourceData_Poultry_MMSMCF[[#Headers],[MMS m]], 0)</f>
        <v>0.01</v>
      </c>
      <c r="H63" s="37" cm="1">
        <f t="array" ref="H63">Common_InputFunctions.Utility_DisplayArrayInTable(SourceData_Poultry.SourceData_Poultry_MCF_Data(), Table_SourceData_Poultry_MMSMCF[[#Headers],[MMS m]], 0)</f>
        <v>0.03</v>
      </c>
      <c r="I63" s="37" cm="1">
        <f t="array" ref="I63">Common_InputFunctions.Utility_DisplayArrayInTable(SourceData_Poultry.SourceData_Poultry_MCF_Data(), Table_SourceData_Poultry_MMSMCF[[#Headers],[MMS m]], 0)</f>
        <v>0.03</v>
      </c>
      <c r="J63" s="37" cm="1">
        <f t="array" ref="J63">Common_InputFunctions.Utility_DisplayArrayInTable(SourceData_Poultry.SourceData_Poultry_MCF_Data(), Table_SourceData_Poultry_MMSMCF[[#Headers],[MMS m]], 0)</f>
        <v>0.01</v>
      </c>
      <c r="K63" s="37" cm="1">
        <f t="array" ref="K63">Common_InputFunctions.Utility_DisplayArrayInTable(SourceData_Poultry.SourceData_Poultry_MCF_Data(), Table_SourceData_Poultry_MMSMCF[[#Headers],[MMS m]], 0)</f>
        <v>0.01</v>
      </c>
      <c r="L63" s="37" cm="1">
        <f t="array" ref="L63">Common_InputFunctions.Utility_DisplayArrayInTable(SourceData_Poultry.SourceData_Poultry_MCF_Data(), Table_SourceData_Poultry_MMSMCF[[#Headers],[MMS m]], 0)</f>
        <v>0.01</v>
      </c>
      <c r="M63" s="37" cm="1">
        <f t="array" ref="M63">Common_InputFunctions.Utility_DisplayArrayInTable(SourceData_Poultry.SourceData_Poultry_MCF_Data(), Table_SourceData_Poultry_MMSMCF[[#Headers],[MMS m]], 0)</f>
        <v>0.01</v>
      </c>
      <c r="N63" s="37" t="str" cm="1">
        <f t="array" ref="N63">Common_InputFunctions.Utility_DisplayArrayInTable(SourceData_Poultry.SourceData_Poultry_MCF_Data(), Table_SourceData_Poultry_MMSMCF[[#Headers],[MMS m]], 0)</f>
        <v>Pasture range and paddock</v>
      </c>
    </row>
    <row r="64" spans="4:14" ht="20.100000000000001" customHeight="1" x14ac:dyDescent="0.25">
      <c r="D64" s="1" t="str" cm="1">
        <f t="array" ref="D64">Common_InputFunctions.Utility_DisplayArrayInTable(SourceData_Poultry.SourceData_Poultry_MCF_Data(), Table_SourceData_Poultry_MMSMCF[[#Headers],[MMS m]], 0)</f>
        <v>Solid storage</v>
      </c>
      <c r="E64" s="37" cm="1">
        <f t="array" ref="E64">Common_InputFunctions.Utility_DisplayArrayInTable(SourceData_Poultry.SourceData_Poultry_MCF_Data(), Table_SourceData_Poultry_MMSMCF[[#Headers],[MMS m]], 0)</f>
        <v>0.02</v>
      </c>
      <c r="F64" s="37" cm="1">
        <f t="array" ref="F64">Common_InputFunctions.Utility_DisplayArrayInTable(SourceData_Poultry.SourceData_Poultry_MCF_Data(), Table_SourceData_Poultry_MMSMCF[[#Headers],[MMS m]], 0)</f>
        <v>0.02</v>
      </c>
      <c r="G64" s="37" cm="1">
        <f t="array" ref="G64">Common_InputFunctions.Utility_DisplayArrayInTable(SourceData_Poultry.SourceData_Poultry_MCF_Data(), Table_SourceData_Poultry_MMSMCF[[#Headers],[MMS m]], 0)</f>
        <v>0.02</v>
      </c>
      <c r="H64" s="37" cm="1">
        <f t="array" ref="H64">Common_InputFunctions.Utility_DisplayArrayInTable(SourceData_Poultry.SourceData_Poultry_MCF_Data(), Table_SourceData_Poultry_MMSMCF[[#Headers],[MMS m]], 0)</f>
        <v>0.02</v>
      </c>
      <c r="I64" s="37" cm="1">
        <f t="array" ref="I64">Common_InputFunctions.Utility_DisplayArrayInTable(SourceData_Poultry.SourceData_Poultry_MCF_Data(), Table_SourceData_Poultry_MMSMCF[[#Headers],[MMS m]], 0)</f>
        <v>0.02</v>
      </c>
      <c r="J64" s="37" cm="1">
        <f t="array" ref="J64">Common_InputFunctions.Utility_DisplayArrayInTable(SourceData_Poultry.SourceData_Poultry_MCF_Data(), Table_SourceData_Poultry_MMSMCF[[#Headers],[MMS m]], 0)</f>
        <v>0.02</v>
      </c>
      <c r="K64" s="37" cm="1">
        <f t="array" ref="K64">Common_InputFunctions.Utility_DisplayArrayInTable(SourceData_Poultry.SourceData_Poultry_MCF_Data(), Table_SourceData_Poultry_MMSMCF[[#Headers],[MMS m]], 0)</f>
        <v>0.02</v>
      </c>
      <c r="L64" s="37" cm="1">
        <f t="array" ref="L64">Common_InputFunctions.Utility_DisplayArrayInTable(SourceData_Poultry.SourceData_Poultry_MCF_Data(), Table_SourceData_Poultry_MMSMCF[[#Headers],[MMS m]], 0)</f>
        <v>0.02</v>
      </c>
      <c r="M64" s="37" cm="1">
        <f t="array" ref="M64">Common_InputFunctions.Utility_DisplayArrayInTable(SourceData_Poultry.SourceData_Poultry_MCF_Data(), Table_SourceData_Poultry_MMSMCF[[#Headers],[MMS m]], 0)</f>
        <v>0.02</v>
      </c>
      <c r="N64" s="37" t="str" cm="1">
        <f t="array" ref="N64">Common_InputFunctions.Utility_DisplayArrayInTable(SourceData_Poultry.SourceData_Poultry_MCF_Data(), Table_SourceData_Poultry_MMSMCF[[#Headers],[MMS m]], 0)</f>
        <v>Solid storage</v>
      </c>
    </row>
    <row r="65" spans="4:22" ht="20.100000000000001" customHeight="1" x14ac:dyDescent="0.25">
      <c r="D65" s="1" t="str" cm="1">
        <f t="array" ref="D65">Common_InputFunctions.Utility_DisplayArrayInTable(SourceData_Poultry.SourceData_Poultry_MCF_Data(), Table_SourceData_Poultry_MMSMCF[[#Headers],[MMS m]], 0)</f>
        <v>Composting (passive windrow)</v>
      </c>
      <c r="E65" s="37" t="str" cm="1">
        <f t="array" ref="E65">Common_InputFunctions.Utility_DisplayArrayInTable(SourceData_Poultry.SourceData_Poultry_MCF_Data(), Table_SourceData_Poultry_MMSMCF[[#Headers],[MMS m]], 0)</f>
        <v>n/a</v>
      </c>
      <c r="F65" s="37" cm="1">
        <f t="array" ref="F65">Common_InputFunctions.Utility_DisplayArrayInTable(SourceData_Poultry.SourceData_Poultry_MCF_Data(), Table_SourceData_Poultry_MMSMCF[[#Headers],[MMS m]], 0)</f>
        <v>0.01</v>
      </c>
      <c r="G65" s="37" cm="1">
        <f t="array" ref="G65">Common_InputFunctions.Utility_DisplayArrayInTable(SourceData_Poultry.SourceData_Poultry_MCF_Data(), Table_SourceData_Poultry_MMSMCF[[#Headers],[MMS m]], 0)</f>
        <v>0.01</v>
      </c>
      <c r="H65" s="37" cm="1">
        <f t="array" ref="H65">Common_InputFunctions.Utility_DisplayArrayInTable(SourceData_Poultry.SourceData_Poultry_MCF_Data(), Table_SourceData_Poultry_MMSMCF[[#Headers],[MMS m]], 0)</f>
        <v>0.01</v>
      </c>
      <c r="I65" s="37" cm="1">
        <f t="array" ref="I65">Common_InputFunctions.Utility_DisplayArrayInTable(SourceData_Poultry.SourceData_Poultry_MCF_Data(), Table_SourceData_Poultry_MMSMCF[[#Headers],[MMS m]], 0)</f>
        <v>0.01</v>
      </c>
      <c r="J65" s="37" cm="1">
        <f t="array" ref="J65">Common_InputFunctions.Utility_DisplayArrayInTable(SourceData_Poultry.SourceData_Poultry_MCF_Data(), Table_SourceData_Poultry_MMSMCF[[#Headers],[MMS m]], 0)</f>
        <v>0.01</v>
      </c>
      <c r="K65" s="37" cm="1">
        <f t="array" ref="K65">Common_InputFunctions.Utility_DisplayArrayInTable(SourceData_Poultry.SourceData_Poultry_MCF_Data(), Table_SourceData_Poultry_MMSMCF[[#Headers],[MMS m]], 0)</f>
        <v>0.01</v>
      </c>
      <c r="L65" s="37" cm="1">
        <f t="array" ref="L65">Common_InputFunctions.Utility_DisplayArrayInTable(SourceData_Poultry.SourceData_Poultry_MCF_Data(), Table_SourceData_Poultry_MMSMCF[[#Headers],[MMS m]], 0)</f>
        <v>0.01</v>
      </c>
      <c r="M65" s="37" cm="1">
        <f t="array" ref="M65">Common_InputFunctions.Utility_DisplayArrayInTable(SourceData_Poultry.SourceData_Poultry_MCF_Data(), Table_SourceData_Poultry_MMSMCF[[#Headers],[MMS m]], 0)</f>
        <v>5.0000000000000001E-3</v>
      </c>
      <c r="N65" s="37" t="str" cm="1">
        <f t="array" ref="N65">Common_InputFunctions.Utility_DisplayArrayInTable(SourceData_Poultry.SourceData_Poultry_MCF_Data(), Table_SourceData_Poultry_MMSMCF[[#Headers],[MMS m]], 0)</f>
        <v>Composting (passive windrow)</v>
      </c>
    </row>
    <row r="66" spans="4:22" ht="20.100000000000001" customHeight="1" x14ac:dyDescent="0.25">
      <c r="D66" s="1" t="str" cm="1">
        <f t="array" ref="D66">Common_InputFunctions.Utility_DisplayArrayInTable(SourceData_Poultry.SourceData_Poultry_MCF_Data(), Table_SourceData_Poultry_MMSMCF[[#Headers],[MMS m]], 0)</f>
        <v>Anaerobic digester / Covered pond</v>
      </c>
      <c r="E66" s="37" cm="1">
        <f t="array" ref="E66">Common_InputFunctions.Utility_DisplayArrayInTable(SourceData_Poultry.SourceData_Poultry_MCF_Data(), Table_SourceData_Poultry_MMSMCF[[#Headers],[MMS m]], 0)</f>
        <v>0.1</v>
      </c>
      <c r="F66" s="37" cm="1">
        <f t="array" ref="F66">Common_InputFunctions.Utility_DisplayArrayInTable(SourceData_Poultry.SourceData_Poultry_MCF_Data(), Table_SourceData_Poultry_MMSMCF[[#Headers],[MMS m]], 0)</f>
        <v>0.1</v>
      </c>
      <c r="G66" s="37" cm="1">
        <f t="array" ref="G66">Common_InputFunctions.Utility_DisplayArrayInTable(SourceData_Poultry.SourceData_Poultry_MCF_Data(), Table_SourceData_Poultry_MMSMCF[[#Headers],[MMS m]], 0)</f>
        <v>0.1</v>
      </c>
      <c r="H66" s="37" cm="1">
        <f t="array" ref="H66">Common_InputFunctions.Utility_DisplayArrayInTable(SourceData_Poultry.SourceData_Poultry_MCF_Data(), Table_SourceData_Poultry_MMSMCF[[#Headers],[MMS m]], 0)</f>
        <v>0.1</v>
      </c>
      <c r="I66" s="37" cm="1">
        <f t="array" ref="I66">Common_InputFunctions.Utility_DisplayArrayInTable(SourceData_Poultry.SourceData_Poultry_MCF_Data(), Table_SourceData_Poultry_MMSMCF[[#Headers],[MMS m]], 0)</f>
        <v>0.1</v>
      </c>
      <c r="J66" s="37" cm="1">
        <f t="array" ref="J66">Common_InputFunctions.Utility_DisplayArrayInTable(SourceData_Poultry.SourceData_Poultry_MCF_Data(), Table_SourceData_Poultry_MMSMCF[[#Headers],[MMS m]], 0)</f>
        <v>0.1</v>
      </c>
      <c r="K66" s="37" cm="1">
        <f t="array" ref="K66">Common_InputFunctions.Utility_DisplayArrayInTable(SourceData_Poultry.SourceData_Poultry_MCF_Data(), Table_SourceData_Poultry_MMSMCF[[#Headers],[MMS m]], 0)</f>
        <v>0.1</v>
      </c>
      <c r="L66" s="37" cm="1">
        <f t="array" ref="L66">Common_InputFunctions.Utility_DisplayArrayInTable(SourceData_Poultry.SourceData_Poultry_MCF_Data(), Table_SourceData_Poultry_MMSMCF[[#Headers],[MMS m]], 0)</f>
        <v>0.1</v>
      </c>
      <c r="M66" s="37" cm="1">
        <f t="array" ref="M66">Common_InputFunctions.Utility_DisplayArrayInTable(SourceData_Poultry.SourceData_Poultry_MCF_Data(), Table_SourceData_Poultry_MMSMCF[[#Headers],[MMS m]], 0)</f>
        <v>0.1</v>
      </c>
      <c r="N66" s="37" t="str" cm="1">
        <f t="array" ref="N66">Common_InputFunctions.Utility_DisplayArrayInTable(SourceData_Poultry.SourceData_Poultry_MCF_Data(), Table_SourceData_Poultry_MMSMCF[[#Headers],[MMS m]], 0)</f>
        <v>Digester / covered lagoons</v>
      </c>
    </row>
    <row r="67" spans="4:22" ht="20.100000000000001" customHeight="1" x14ac:dyDescent="0.25">
      <c r="D67" s="1" t="str" cm="1">
        <f t="array" ref="D67">Common_InputFunctions.Utility_DisplayArrayInTable(SourceData_Poultry.SourceData_Poultry_MCF_Data(), Table_SourceData_Poultry_MMSMCF[[#Headers],[MMS m]], 0)</f>
        <v>Direct processing</v>
      </c>
      <c r="E67" s="37" cm="1">
        <f t="array" ref="E67">Common_InputFunctions.Utility_DisplayArrayInTable(SourceData_Poultry.SourceData_Poultry_MCF_Data(), Table_SourceData_Poultry_MMSMCF[[#Headers],[MMS m]], 0)</f>
        <v>0</v>
      </c>
      <c r="F67" s="37" cm="1">
        <f t="array" ref="F67">Common_InputFunctions.Utility_DisplayArrayInTable(SourceData_Poultry.SourceData_Poultry_MCF_Data(), Table_SourceData_Poultry_MMSMCF[[#Headers],[MMS m]], 0)</f>
        <v>0</v>
      </c>
      <c r="G67" s="37" cm="1">
        <f t="array" ref="G67">Common_InputFunctions.Utility_DisplayArrayInTable(SourceData_Poultry.SourceData_Poultry_MCF_Data(), Table_SourceData_Poultry_MMSMCF[[#Headers],[MMS m]], 0)</f>
        <v>0</v>
      </c>
      <c r="H67" s="37" cm="1">
        <f t="array" ref="H67">Common_InputFunctions.Utility_DisplayArrayInTable(SourceData_Poultry.SourceData_Poultry_MCF_Data(), Table_SourceData_Poultry_MMSMCF[[#Headers],[MMS m]], 0)</f>
        <v>0</v>
      </c>
      <c r="I67" s="37" cm="1">
        <f t="array" ref="I67">Common_InputFunctions.Utility_DisplayArrayInTable(SourceData_Poultry.SourceData_Poultry_MCF_Data(), Table_SourceData_Poultry_MMSMCF[[#Headers],[MMS m]], 0)</f>
        <v>0</v>
      </c>
      <c r="J67" s="37" cm="1">
        <f t="array" ref="J67">Common_InputFunctions.Utility_DisplayArrayInTable(SourceData_Poultry.SourceData_Poultry_MCF_Data(), Table_SourceData_Poultry_MMSMCF[[#Headers],[MMS m]], 0)</f>
        <v>0</v>
      </c>
      <c r="K67" s="37" cm="1">
        <f t="array" ref="K67">Common_InputFunctions.Utility_DisplayArrayInTable(SourceData_Poultry.SourceData_Poultry_MCF_Data(), Table_SourceData_Poultry_MMSMCF[[#Headers],[MMS m]], 0)</f>
        <v>0</v>
      </c>
      <c r="L67" s="37" cm="1">
        <f t="array" ref="L67">Common_InputFunctions.Utility_DisplayArrayInTable(SourceData_Poultry.SourceData_Poultry_MCF_Data(), Table_SourceData_Poultry_MMSMCF[[#Headers],[MMS m]], 0)</f>
        <v>0</v>
      </c>
      <c r="M67" s="37" cm="1">
        <f t="array" ref="M67">Common_InputFunctions.Utility_DisplayArrayInTable(SourceData_Poultry.SourceData_Poultry_MCF_Data(), Table_SourceData_Poultry_MMSMCF[[#Headers],[MMS m]], 0)</f>
        <v>0</v>
      </c>
      <c r="N67" s="37" t="str" cm="1">
        <f t="array" ref="N67">Common_InputFunctions.Utility_DisplayArrayInTable(SourceData_Poultry.SourceData_Poultry_MCF_Data(), Table_SourceData_Poultry_MMSMCF[[#Headers],[MMS m]], 0)</f>
        <v>Direct processing</v>
      </c>
    </row>
    <row r="68" spans="4:22" ht="20.100000000000001" customHeight="1" x14ac:dyDescent="0.25">
      <c r="D68" s="1" t="str" cm="1">
        <f t="array" ref="D68">Common_InputFunctions.Utility_DisplayArrayInTable(SourceData_Poultry.SourceData_Poultry_MCF_Data(), Table_SourceData_Poultry_MMSMCF[[#Headers],[MMS m]], 0)</f>
        <v>Direct application to soil</v>
      </c>
      <c r="E68" s="37" cm="1">
        <f t="array" ref="E68">Common_InputFunctions.Utility_DisplayArrayInTable(SourceData_Poultry.SourceData_Poultry_MCF_Data(), Table_SourceData_Poultry_MMSMCF[[#Headers],[MMS m]], 0)</f>
        <v>0</v>
      </c>
      <c r="F68" s="37" cm="1">
        <f t="array" ref="F68">Common_InputFunctions.Utility_DisplayArrayInTable(SourceData_Poultry.SourceData_Poultry_MCF_Data(), Table_SourceData_Poultry_MMSMCF[[#Headers],[MMS m]], 0)</f>
        <v>0</v>
      </c>
      <c r="G68" s="37" cm="1">
        <f t="array" ref="G68">Common_InputFunctions.Utility_DisplayArrayInTable(SourceData_Poultry.SourceData_Poultry_MCF_Data(), Table_SourceData_Poultry_MMSMCF[[#Headers],[MMS m]], 0)</f>
        <v>0</v>
      </c>
      <c r="H68" s="37" cm="1">
        <f t="array" ref="H68">Common_InputFunctions.Utility_DisplayArrayInTable(SourceData_Poultry.SourceData_Poultry_MCF_Data(), Table_SourceData_Poultry_MMSMCF[[#Headers],[MMS m]], 0)</f>
        <v>0</v>
      </c>
      <c r="I68" s="37" cm="1">
        <f t="array" ref="I68">Common_InputFunctions.Utility_DisplayArrayInTable(SourceData_Poultry.SourceData_Poultry_MCF_Data(), Table_SourceData_Poultry_MMSMCF[[#Headers],[MMS m]], 0)</f>
        <v>0</v>
      </c>
      <c r="J68" s="37" cm="1">
        <f t="array" ref="J68">Common_InputFunctions.Utility_DisplayArrayInTable(SourceData_Poultry.SourceData_Poultry_MCF_Data(), Table_SourceData_Poultry_MMSMCF[[#Headers],[MMS m]], 0)</f>
        <v>0</v>
      </c>
      <c r="K68" s="37" cm="1">
        <f t="array" ref="K68">Common_InputFunctions.Utility_DisplayArrayInTable(SourceData_Poultry.SourceData_Poultry_MCF_Data(), Table_SourceData_Poultry_MMSMCF[[#Headers],[MMS m]], 0)</f>
        <v>0</v>
      </c>
      <c r="L68" s="37" cm="1">
        <f t="array" ref="L68">Common_InputFunctions.Utility_DisplayArrayInTable(SourceData_Poultry.SourceData_Poultry_MCF_Data(), Table_SourceData_Poultry_MMSMCF[[#Headers],[MMS m]], 0)</f>
        <v>0</v>
      </c>
      <c r="M68" s="37" cm="1">
        <f t="array" ref="M68">Common_InputFunctions.Utility_DisplayArrayInTable(SourceData_Poultry.SourceData_Poultry_MCF_Data(), Table_SourceData_Poultry_MMSMCF[[#Headers],[MMS m]], 0)</f>
        <v>0</v>
      </c>
      <c r="N68" s="37" t="str" cm="1">
        <f t="array" ref="N68">Common_InputFunctions.Utility_DisplayArrayInTable(SourceData_Poultry.SourceData_Poultry_MCF_Data(), Table_SourceData_Poultry_MMSMCF[[#Headers],[MMS m]], 0)</f>
        <v>Direct application</v>
      </c>
    </row>
    <row r="69" spans="4:22" ht="20.100000000000001" customHeight="1" x14ac:dyDescent="0.25">
      <c r="M69" s="1"/>
    </row>
    <row r="70" spans="4:22" ht="20.100000000000001" customHeight="1" x14ac:dyDescent="0.25">
      <c r="M70" s="1"/>
    </row>
    <row r="71" spans="4:22" ht="20.100000000000001" customHeight="1" x14ac:dyDescent="0.25">
      <c r="M71" s="1"/>
      <c r="V71" s="1"/>
    </row>
    <row r="72" spans="4:22" ht="20.100000000000001" customHeight="1" x14ac:dyDescent="0.25">
      <c r="D72" s="6" t="str" cm="1">
        <f t="array" ref="D72">SourceData_Poultry.SourceData_Poultry_VSL_Title()</f>
        <v>Poultry - Fraction of volatile solids lost in the primary MMS</v>
      </c>
      <c r="M72" s="1"/>
      <c r="V72" s="1"/>
    </row>
    <row r="73" spans="4:22" ht="20.100000000000001" customHeight="1" x14ac:dyDescent="0.25">
      <c r="D73" s="5" t="str" cm="1">
        <f t="array" ref="D73">SourceData_Poultry.SourceData_Poultry_VSL_Source()</f>
        <v>VEERG 2026: 4.6.2.3 CONSTANT</v>
      </c>
      <c r="M73" s="1"/>
      <c r="V73" s="1"/>
    </row>
    <row r="74" spans="4:22" ht="20.100000000000001" customHeight="1" x14ac:dyDescent="0.25">
      <c r="D74" s="53" t="str" cm="1">
        <f t="array" ref="D74">SourceData_Poultry.SourceData_Poultry_VSL_Variation()</f>
        <v>VARIATION ON SOURCE: Table generated from line items. Added 'NIR definition column'.</v>
      </c>
      <c r="M74" s="1"/>
      <c r="V74" s="1"/>
    </row>
    <row r="75" spans="4:22" ht="20.100000000000001" customHeight="1" x14ac:dyDescent="0.25">
      <c r="D75" s="101" t="s">
        <v>153</v>
      </c>
      <c r="M75" s="1"/>
      <c r="V75" s="1"/>
    </row>
    <row r="76" spans="4:22" ht="20.100000000000001" customHeight="1" x14ac:dyDescent="0.25">
      <c r="D76" s="37" t="s">
        <v>64</v>
      </c>
      <c r="E76" s="37" t="s">
        <v>119</v>
      </c>
      <c r="F76" s="37" t="s">
        <v>118</v>
      </c>
      <c r="M76" s="1"/>
      <c r="V76" s="1"/>
    </row>
    <row r="77" spans="4:22" ht="20.100000000000001" customHeight="1" x14ac:dyDescent="0.25">
      <c r="D77" s="37" t="str" cm="1">
        <f t="array" ref="D77">Common_InputFunctions.Utility_DisplayArrayInTable(SourceData_Poultry.SourceData_Poultry_VSL_Data(), Table_SourceData_Poultry_MMSVSL[[#Headers],[MMS]], 0)</f>
        <v>Poultry manure with litter</v>
      </c>
      <c r="E77" s="37" cm="1">
        <f t="array" ref="E77">Common_InputFunctions.Utility_DisplayArrayInTable(SourceData_Poultry.SourceData_Poultry_VSL_Data(), Table_SourceData_Poultry_MMSVSL[[#Headers],[MMS]], 0)</f>
        <v>0.15</v>
      </c>
      <c r="F77" s="37" t="str" cm="1">
        <f t="array" ref="F77">Common_InputFunctions.Utility_DisplayArrayInTable(SourceData_Poultry.SourceData_Poultry_VSL_Data(), Table_SourceData_Poultry_MMSVSL[[#Headers],[MMS]], 0)</f>
        <v>Poultry manure with bedding</v>
      </c>
      <c r="M77" s="1"/>
      <c r="V77" s="1"/>
    </row>
    <row r="78" spans="4:22" ht="20.100000000000001" customHeight="1" x14ac:dyDescent="0.25">
      <c r="D78" s="1" t="str" cm="1">
        <f t="array" ref="D78">Common_InputFunctions.Utility_DisplayArrayInTable(SourceData_Poultry.SourceData_Poultry_VSL_Data(), Table_SourceData_Poultry_MMSVSL[[#Headers],[MMS]], 0)</f>
        <v>Poultry manure without litter - stored in house</v>
      </c>
      <c r="E78" s="37" cm="1">
        <f t="array" ref="E78">Common_InputFunctions.Utility_DisplayArrayInTable(SourceData_Poultry.SourceData_Poultry_VSL_Data(), Table_SourceData_Poultry_MMSVSL[[#Headers],[MMS]], 0)</f>
        <v>0.2</v>
      </c>
      <c r="F78" s="37" t="str" cm="1">
        <f t="array" ref="F78">Common_InputFunctions.Utility_DisplayArrayInTable(SourceData_Poultry.SourceData_Poultry_VSL_Data(), Table_SourceData_Poultry_MMSVSL[[#Headers],[MMS]], 0)</f>
        <v>Manure stored in house</v>
      </c>
      <c r="M78" s="1"/>
      <c r="V78" s="1"/>
    </row>
    <row r="79" spans="4:22" ht="20.100000000000001" customHeight="1" x14ac:dyDescent="0.25">
      <c r="D79" s="1" t="str" cm="1">
        <f t="array" ref="D79">Common_InputFunctions.Utility_DisplayArrayInTable(SourceData_Poultry.SourceData_Poultry_VSL_Data(), Table_SourceData_Poultry_MMSVSL[[#Headers],[MMS]], 0)</f>
        <v>Poultry manure without litter - belt removal</v>
      </c>
      <c r="E79" s="37" cm="1">
        <f t="array" ref="E79">Common_InputFunctions.Utility_DisplayArrayInTable(SourceData_Poultry.SourceData_Poultry_VSL_Data(), Table_SourceData_Poultry_MMSVSL[[#Headers],[MMS]], 0)</f>
        <v>0</v>
      </c>
      <c r="F79" s="37" t="str" cm="1">
        <f t="array" ref="F79">Common_InputFunctions.Utility_DisplayArrayInTable(SourceData_Poultry.SourceData_Poultry_VSL_Data(), Table_SourceData_Poultry_MMSVSL[[#Headers],[MMS]], 0)</f>
        <v>Belt manure removal</v>
      </c>
      <c r="M79" s="1"/>
      <c r="V79" s="1"/>
    </row>
    <row r="80" spans="4:22" ht="20.100000000000001" customHeight="1" x14ac:dyDescent="0.25">
      <c r="M80" s="1"/>
      <c r="V80" s="1"/>
    </row>
    <row r="81" spans="4:23" ht="20.100000000000001" customHeight="1" x14ac:dyDescent="0.25">
      <c r="M81" s="1"/>
      <c r="V81" s="1"/>
    </row>
    <row r="82" spans="4:23" ht="20.100000000000001" customHeight="1" x14ac:dyDescent="0.25">
      <c r="D82" s="6" t="str" cm="1">
        <f t="array" ref="D82">SourceData_Poultry.SourceData_Poultry_FracGASMmT_Title()</f>
        <v>Poultry - Fraction of N volatilised by MMS ((kg NH3-N + NOx-N)/kgN) (FracGASMmT)</v>
      </c>
      <c r="M82" s="1"/>
      <c r="V82" s="1"/>
    </row>
    <row r="83" spans="4:23" ht="20.100000000000001" customHeight="1" x14ac:dyDescent="0.25">
      <c r="D83" s="5" t="str" cm="1">
        <f t="array" ref="D83">SourceData_Poultry.SourceData_Poultry_FracGASMmT_Source()</f>
        <v>VEERG 2026: Table A.1.7.2</v>
      </c>
      <c r="M83" s="1"/>
    </row>
    <row r="84" spans="4:23" ht="20.100000000000001" customHeight="1" x14ac:dyDescent="0.25">
      <c r="D84" s="53" t="str" cm="1">
        <f t="array" ref="D84">SourceData_Poultry.SourceData_Poultry_FracGASMmT_Variation()</f>
        <v>VARIATION ON SOURCE: Added 'NIR definition column'.</v>
      </c>
      <c r="M84" s="1"/>
    </row>
    <row r="85" spans="4:23" ht="20.100000000000001" customHeight="1" x14ac:dyDescent="0.25">
      <c r="D85" s="37" t="s">
        <v>120</v>
      </c>
      <c r="E85" s="37" t="s">
        <v>121</v>
      </c>
      <c r="F85" s="37" t="s">
        <v>122</v>
      </c>
      <c r="M85" s="1"/>
      <c r="V85" s="1"/>
    </row>
    <row r="86" spans="4:23" ht="20.100000000000001" customHeight="1" x14ac:dyDescent="0.25">
      <c r="D86" s="37" t="str" cm="1">
        <f t="array" ref="D86">Common_InputFunctions.Utility_DisplayArrayInTable(SourceData_Poultry.SourceData_Poultry_FracGASMmT_Data(), Table_SourceData_Poultry_FracGASM[[#Headers],[MMSm]], 0)</f>
        <v>Poultry manure with litter (housing)</v>
      </c>
      <c r="E86" s="37" cm="1">
        <f t="array" ref="E86">Common_InputFunctions.Utility_DisplayArrayInTable(SourceData_Poultry.SourceData_Poultry_FracGASMmT_Data(), Table_SourceData_Poultry_FracGASM[[#Headers],[MMSm]], 0)</f>
        <v>0.3</v>
      </c>
      <c r="F86" s="37" t="str" cm="1">
        <f t="array" ref="F86">Common_InputFunctions.Utility_DisplayArrayInTable(SourceData_Poultry.SourceData_Poultry_FracGASMmT_Data(), Table_SourceData_Poultry_FracGASM[[#Headers],[MMSm]], 0)</f>
        <v>Poultry manure with bedding</v>
      </c>
      <c r="M86" s="1"/>
      <c r="V86" s="1"/>
    </row>
    <row r="87" spans="4:23" ht="20.100000000000001" customHeight="1" x14ac:dyDescent="0.25">
      <c r="D87" s="1" t="str" cm="1">
        <f t="array" ref="D87">Common_InputFunctions.Utility_DisplayArrayInTable(SourceData_Poultry.SourceData_Poultry_FracGASMmT_Data(), Table_SourceData_Poultry_FracGASM[[#Headers],[MMSm]], 0)</f>
        <v>Poultry manure without litter (housing) Belt manure removal</v>
      </c>
      <c r="E87" s="37" cm="1">
        <f t="array" ref="E87">Common_InputFunctions.Utility_DisplayArrayInTable(SourceData_Poultry.SourceData_Poultry_FracGASMmT_Data(), Table_SourceData_Poultry_FracGASM[[#Headers],[MMSm]], 0)</f>
        <v>0.05</v>
      </c>
      <c r="F87" s="37" t="str" cm="1">
        <f t="array" ref="F87">Common_InputFunctions.Utility_DisplayArrayInTable(SourceData_Poultry.SourceData_Poultry_FracGASMmT_Data(), Table_SourceData_Poultry_FracGASM[[#Headers],[MMSm]], 0)</f>
        <v>Belt manure removal</v>
      </c>
      <c r="M87" s="1"/>
      <c r="V87" s="1"/>
    </row>
    <row r="88" spans="4:23" ht="20.100000000000001" customHeight="1" x14ac:dyDescent="0.25">
      <c r="D88" s="1" t="str" cm="1">
        <f t="array" ref="D88">Common_InputFunctions.Utility_DisplayArrayInTable(SourceData_Poultry.SourceData_Poultry_FracGASMmT_Data(), Table_SourceData_Poultry_FracGASM[[#Headers],[MMSm]], 0)</f>
        <v>Poultry manure without litter (housing) Manure stored in house under cages or slat</v>
      </c>
      <c r="E88" s="37" cm="1">
        <f t="array" ref="E88">Common_InputFunctions.Utility_DisplayArrayInTable(SourceData_Poultry.SourceData_Poultry_FracGASMmT_Data(), Table_SourceData_Poultry_FracGASM[[#Headers],[MMSm]], 0)</f>
        <v>0.4</v>
      </c>
      <c r="F88" s="37" t="str" cm="1">
        <f t="array" ref="F88">Common_InputFunctions.Utility_DisplayArrayInTable(SourceData_Poultry.SourceData_Poultry_FracGASMmT_Data(), Table_SourceData_Poultry_FracGASM[[#Headers],[MMSm]], 0)</f>
        <v>Manure stored in house</v>
      </c>
      <c r="M88" s="1"/>
      <c r="V88" s="1"/>
    </row>
    <row r="89" spans="4:23" ht="20.100000000000001" customHeight="1" x14ac:dyDescent="0.25">
      <c r="D89" s="1" t="str" cm="1">
        <f t="array" ref="D89">Common_InputFunctions.Utility_DisplayArrayInTable(SourceData_Poultry.SourceData_Poultry_FracGASMmT_Data(), Table_SourceData_Poultry_FracGASM[[#Headers],[MMSm]], 0)</f>
        <v>Solid storage (stockpile)</v>
      </c>
      <c r="E89" s="37" cm="1">
        <f t="array" ref="E89">Common_InputFunctions.Utility_DisplayArrayInTable(SourceData_Poultry.SourceData_Poultry_FracGASMmT_Data(), Table_SourceData_Poultry_FracGASM[[#Headers],[MMSm]], 0)</f>
        <v>0.2</v>
      </c>
      <c r="F89" s="37" t="str" cm="1">
        <f t="array" ref="F89">Common_InputFunctions.Utility_DisplayArrayInTable(SourceData_Poultry.SourceData_Poultry_FracGASMmT_Data(), Table_SourceData_Poultry_FracGASM[[#Headers],[MMSm]], 0)</f>
        <v>Solid storage</v>
      </c>
      <c r="M89" s="1"/>
      <c r="V89" s="1"/>
      <c r="W89" s="1"/>
    </row>
    <row r="90" spans="4:23" ht="20.100000000000001" customHeight="1" x14ac:dyDescent="0.25">
      <c r="D90" s="1" t="str" cm="1">
        <f t="array" ref="D90">Common_InputFunctions.Utility_DisplayArrayInTable(SourceData_Poultry.SourceData_Poultry_FracGASMmT_Data(), Table_SourceData_Poultry_FracGASM[[#Headers],[MMSm]], 0)</f>
        <v>Composting (passive windrow)</v>
      </c>
      <c r="E90" s="37" cm="1">
        <f t="array" ref="E90">Common_InputFunctions.Utility_DisplayArrayInTable(SourceData_Poultry.SourceData_Poultry_FracGASMmT_Data(), Table_SourceData_Poultry_FracGASM[[#Headers],[MMSm]], 0)</f>
        <v>0.2</v>
      </c>
      <c r="F90" s="37" t="str" cm="1">
        <f t="array" ref="F90">Common_InputFunctions.Utility_DisplayArrayInTable(SourceData_Poultry.SourceData_Poultry_FracGASMmT_Data(), Table_SourceData_Poultry_FracGASM[[#Headers],[MMSm]], 0)</f>
        <v>Composting (passive windrow)</v>
      </c>
      <c r="M90" s="1"/>
      <c r="V90" s="1"/>
      <c r="W90" s="1"/>
    </row>
    <row r="91" spans="4:23" ht="20.100000000000001" customHeight="1" x14ac:dyDescent="0.25">
      <c r="D91" s="1" t="str" cm="1">
        <f t="array" ref="D91">Common_InputFunctions.Utility_DisplayArrayInTable(SourceData_Poultry.SourceData_Poultry_FracGASMmT_Data(), Table_SourceData_Poultry_FracGASM[[#Headers],[MMSm]], 0)</f>
        <v>Direct processing</v>
      </c>
      <c r="E91" s="37" cm="1">
        <f t="array" ref="E91">Common_InputFunctions.Utility_DisplayArrayInTable(SourceData_Poultry.SourceData_Poultry_FracGASMmT_Data(), Table_SourceData_Poultry_FracGASM[[#Headers],[MMSm]], 0)</f>
        <v>0</v>
      </c>
      <c r="F91" s="37" t="str" cm="1">
        <f t="array" ref="F91">Common_InputFunctions.Utility_DisplayArrayInTable(SourceData_Poultry.SourceData_Poultry_FracGASMmT_Data(), Table_SourceData_Poultry_FracGASM[[#Headers],[MMSm]], 0)</f>
        <v>Direct processing</v>
      </c>
      <c r="M91" s="1"/>
      <c r="V91" s="1"/>
    </row>
    <row r="92" spans="4:23" ht="20.100000000000001" customHeight="1" x14ac:dyDescent="0.25">
      <c r="D92" s="1" t="str" cm="1">
        <f t="array" ref="D92">Common_InputFunctions.Utility_DisplayArrayInTable(SourceData_Poultry.SourceData_Poultry_FracGASMmT_Data(), Table_SourceData_Poultry_FracGASM[[#Headers],[MMSm]], 0)</f>
        <v>Anaerobic digester / covered pond</v>
      </c>
      <c r="E92" s="37" cm="1">
        <f t="array" ref="E92">Common_InputFunctions.Utility_DisplayArrayInTable(SourceData_Poultry.SourceData_Poultry_FracGASMmT_Data(), Table_SourceData_Poultry_FracGASM[[#Headers],[MMSm]], 0)</f>
        <v>0</v>
      </c>
      <c r="F92" s="37" t="str" cm="1">
        <f t="array" ref="F92">Common_InputFunctions.Utility_DisplayArrayInTable(SourceData_Poultry.SourceData_Poultry_FracGASMmT_Data(), Table_SourceData_Poultry_FracGASM[[#Headers],[MMSm]], 0)</f>
        <v>Digester / covered lagoons</v>
      </c>
      <c r="M92" s="1"/>
      <c r="V92" s="1"/>
    </row>
    <row r="93" spans="4:23" ht="20.100000000000001" customHeight="1" x14ac:dyDescent="0.25">
      <c r="M93" s="1"/>
      <c r="V93" s="1"/>
    </row>
    <row r="94" spans="4:23" ht="20.100000000000001" customHeight="1" x14ac:dyDescent="0.25">
      <c r="M94" s="1"/>
    </row>
    <row r="95" spans="4:23" ht="20.100000000000001" customHeight="1" x14ac:dyDescent="0.25">
      <c r="D95" s="6" t="str" cm="1">
        <f t="array" ref="D95">SourceData_Poultry.SourceData_Poultry_EFmT_Title()</f>
        <v>Poultry - Nitrous oxide EFs by MMS (kgN2O-N/kgN) (EFmT)</v>
      </c>
      <c r="M95" s="1"/>
    </row>
    <row r="96" spans="4:23" ht="20.100000000000001" customHeight="1" x14ac:dyDescent="0.25">
      <c r="D96" s="5" t="str" cm="1">
        <f t="array" ref="D96">SourceData_Poultry.SourceData_Poultry_EFmT_Source()</f>
        <v>VEERG 2026: Table A.1.7.3</v>
      </c>
      <c r="M96" s="1"/>
    </row>
    <row r="97" spans="4:13" ht="20.100000000000001" customHeight="1" x14ac:dyDescent="0.25">
      <c r="D97" s="53" t="str" cm="1">
        <f t="array" ref="D97">SourceData_Poultry.SourceData_Poultry_EFmT_Variation()</f>
        <v>VARIATION ON SOURCE: Added 'NIR definition column'. Duplicated 'Poultry manure without litter' row for NIR MMS 'Belt manure removal' and 'Manure stored in house'.</v>
      </c>
      <c r="M97" s="1"/>
    </row>
    <row r="98" spans="4:13" ht="20.100000000000001" customHeight="1" x14ac:dyDescent="0.25">
      <c r="D98" s="37" t="s">
        <v>120</v>
      </c>
      <c r="E98" s="37" t="s">
        <v>123</v>
      </c>
      <c r="F98" s="37" t="s">
        <v>122</v>
      </c>
      <c r="M98" s="1"/>
    </row>
    <row r="99" spans="4:13" ht="20.100000000000001" customHeight="1" x14ac:dyDescent="0.25">
      <c r="D99" s="37" t="str" cm="1">
        <f t="array" ref="D99">Common_InputFunctions.Utility_DisplayArrayInTable(SourceData_Poultry.SourceData_Poultry_EFmT_Data(),Table_SourceData_Poultry_EFmT[[#Headers],[MMSm]], 0)</f>
        <v>Poultry manure with litter (housing)</v>
      </c>
      <c r="E99" s="37" cm="1">
        <f t="array" ref="E99">Common_InputFunctions.Utility_DisplayArrayInTable(SourceData_Poultry.SourceData_Poultry_EFmT_Data(),Table_SourceData_Poultry_EFmT[[#Headers],[MMSm]], 0)</f>
        <v>1E-3</v>
      </c>
      <c r="F99" s="37" t="str" cm="1">
        <f t="array" ref="F99">Common_InputFunctions.Utility_DisplayArrayInTable(SourceData_Poultry.SourceData_Poultry_EFmT_Data(),Table_SourceData_Poultry_EFmT[[#Headers],[MMSm]], 0)</f>
        <v>Poultry manure with bedding</v>
      </c>
      <c r="M99" s="1"/>
    </row>
    <row r="100" spans="4:13" ht="20.100000000000001" customHeight="1" x14ac:dyDescent="0.25">
      <c r="D100" s="1" t="str" cm="1">
        <f t="array" ref="D100">Common_InputFunctions.Utility_DisplayArrayInTable(SourceData_Poultry.SourceData_Poultry_EFmT_Data(),Table_SourceData_Poultry_EFmT[[#Headers],[MMSm]], 0)</f>
        <v>Poultry manure without litter (housing)</v>
      </c>
      <c r="E100" s="37" cm="1">
        <f t="array" ref="E100">Common_InputFunctions.Utility_DisplayArrayInTable(SourceData_Poultry.SourceData_Poultry_EFmT_Data(),Table_SourceData_Poultry_EFmT[[#Headers],[MMSm]], 0)</f>
        <v>1E-3</v>
      </c>
      <c r="F100" s="37" t="str" cm="1">
        <f t="array" ref="F100">Common_InputFunctions.Utility_DisplayArrayInTable(SourceData_Poultry.SourceData_Poultry_EFmT_Data(),Table_SourceData_Poultry_EFmT[[#Headers],[MMSm]], 0)</f>
        <v>Belt manure removal</v>
      </c>
      <c r="M100" s="1"/>
    </row>
    <row r="101" spans="4:13" ht="20.100000000000001" customHeight="1" x14ac:dyDescent="0.25">
      <c r="D101" s="1" t="str" cm="1">
        <f t="array" ref="D101">Common_InputFunctions.Utility_DisplayArrayInTable(SourceData_Poultry.SourceData_Poultry_EFmT_Data(),Table_SourceData_Poultry_EFmT[[#Headers],[MMSm]], 0)</f>
        <v>Poultry manure without litter (housing)</v>
      </c>
      <c r="E101" s="37" cm="1">
        <f t="array" ref="E101">Common_InputFunctions.Utility_DisplayArrayInTable(SourceData_Poultry.SourceData_Poultry_EFmT_Data(),Table_SourceData_Poultry_EFmT[[#Headers],[MMSm]], 0)</f>
        <v>1E-3</v>
      </c>
      <c r="F101" s="37" t="str" cm="1">
        <f t="array" ref="F101">Common_InputFunctions.Utility_DisplayArrayInTable(SourceData_Poultry.SourceData_Poultry_EFmT_Data(),Table_SourceData_Poultry_EFmT[[#Headers],[MMSm]], 0)</f>
        <v>Manure stored in house</v>
      </c>
      <c r="M101" s="1"/>
    </row>
    <row r="102" spans="4:13" ht="20.100000000000001" customHeight="1" x14ac:dyDescent="0.25">
      <c r="D102" s="1" t="str" cm="1">
        <f t="array" ref="D102">Common_InputFunctions.Utility_DisplayArrayInTable(SourceData_Poultry.SourceData_Poultry_EFmT_Data(),Table_SourceData_Poultry_EFmT[[#Headers],[MMSm]], 0)</f>
        <v>Pasture range and paddock (free range)</v>
      </c>
      <c r="E102" s="37" cm="1">
        <f t="array" ref="E102">Common_InputFunctions.Utility_DisplayArrayInTable(SourceData_Poultry.SourceData_Poultry_EFmT_Data(),Table_SourceData_Poultry_EFmT[[#Headers],[MMSm]], 0)</f>
        <v>0.02</v>
      </c>
      <c r="F102" s="37" t="str" cm="1">
        <f t="array" ref="F102">Common_InputFunctions.Utility_DisplayArrayInTable(SourceData_Poultry.SourceData_Poultry_EFmT_Data(),Table_SourceData_Poultry_EFmT[[#Headers],[MMSm]], 0)</f>
        <v>Pasture range and paddock</v>
      </c>
      <c r="M102" s="1"/>
    </row>
    <row r="103" spans="4:13" ht="20.100000000000001" customHeight="1" x14ac:dyDescent="0.25">
      <c r="D103" s="1" t="str" cm="1">
        <f t="array" ref="D103">Common_InputFunctions.Utility_DisplayArrayInTable(SourceData_Poultry.SourceData_Poultry_EFmT_Data(),Table_SourceData_Poultry_EFmT[[#Headers],[MMSm]], 0)</f>
        <v>Solid storage (stockpile)</v>
      </c>
      <c r="E103" s="37" cm="1">
        <f t="array" ref="E103">Common_InputFunctions.Utility_DisplayArrayInTable(SourceData_Poultry.SourceData_Poultry_EFmT_Data(),Table_SourceData_Poultry_EFmT[[#Headers],[MMSm]], 0)</f>
        <v>5.0000000000000001E-3</v>
      </c>
      <c r="F103" s="37" t="str" cm="1">
        <f t="array" ref="F103">Common_InputFunctions.Utility_DisplayArrayInTable(SourceData_Poultry.SourceData_Poultry_EFmT_Data(),Table_SourceData_Poultry_EFmT[[#Headers],[MMSm]], 0)</f>
        <v>Solid storage</v>
      </c>
      <c r="M103" s="1"/>
    </row>
    <row r="104" spans="4:13" ht="20.100000000000001" customHeight="1" x14ac:dyDescent="0.25">
      <c r="D104" s="1" t="str" cm="1">
        <f t="array" ref="D104">Common_InputFunctions.Utility_DisplayArrayInTable(SourceData_Poultry.SourceData_Poultry_EFmT_Data(),Table_SourceData_Poultry_EFmT[[#Headers],[MMSm]], 0)</f>
        <v>Composting (passive windrow)</v>
      </c>
      <c r="E104" s="37" cm="1">
        <f t="array" ref="E104">Common_InputFunctions.Utility_DisplayArrayInTable(SourceData_Poultry.SourceData_Poultry_EFmT_Data(),Table_SourceData_Poultry_EFmT[[#Headers],[MMSm]], 0)</f>
        <v>0.01</v>
      </c>
      <c r="F104" s="37" t="str" cm="1">
        <f t="array" ref="F104">Common_InputFunctions.Utility_DisplayArrayInTable(SourceData_Poultry.SourceData_Poultry_EFmT_Data(),Table_SourceData_Poultry_EFmT[[#Headers],[MMSm]], 0)</f>
        <v>Composting (passive windrow)</v>
      </c>
      <c r="M104" s="1"/>
    </row>
    <row r="105" spans="4:13" ht="20.100000000000001" customHeight="1" x14ac:dyDescent="0.25">
      <c r="D105" s="1" t="str" cm="1">
        <f t="array" ref="D105">Common_InputFunctions.Utility_DisplayArrayInTable(SourceData_Poultry.SourceData_Poultry_EFmT_Data(),Table_SourceData_Poultry_EFmT[[#Headers],[MMSm]], 0)</f>
        <v>Direct processing</v>
      </c>
      <c r="E105" s="37" cm="1">
        <f t="array" ref="E105">Common_InputFunctions.Utility_DisplayArrayInTable(SourceData_Poultry.SourceData_Poultry_EFmT_Data(),Table_SourceData_Poultry_EFmT[[#Headers],[MMSm]], 0)</f>
        <v>0</v>
      </c>
      <c r="F105" s="37" t="str" cm="1">
        <f t="array" ref="F105">Common_InputFunctions.Utility_DisplayArrayInTable(SourceData_Poultry.SourceData_Poultry_EFmT_Data(),Table_SourceData_Poultry_EFmT[[#Headers],[MMSm]], 0)</f>
        <v>Direct processing</v>
      </c>
      <c r="M105" s="1"/>
    </row>
    <row r="106" spans="4:13" ht="20.100000000000001" customHeight="1" x14ac:dyDescent="0.25">
      <c r="D106" s="1" t="str" cm="1">
        <f t="array" ref="D106">Common_InputFunctions.Utility_DisplayArrayInTable(SourceData_Poultry.SourceData_Poultry_EFmT_Data(),Table_SourceData_Poultry_EFmT[[#Headers],[MMSm]], 0)</f>
        <v>Anaerobic digester / covered pond</v>
      </c>
      <c r="E106" s="37" cm="1">
        <f t="array" ref="E106">Common_InputFunctions.Utility_DisplayArrayInTable(SourceData_Poultry.SourceData_Poultry_EFmT_Data(),Table_SourceData_Poultry_EFmT[[#Headers],[MMSm]], 0)</f>
        <v>0</v>
      </c>
      <c r="F106" s="37" t="str" cm="1">
        <f t="array" ref="F106">Common_InputFunctions.Utility_DisplayArrayInTable(SourceData_Poultry.SourceData_Poultry_EFmT_Data(),Table_SourceData_Poultry_EFmT[[#Headers],[MMSm]], 0)</f>
        <v>Digester / covered lagoons</v>
      </c>
      <c r="M106" s="1"/>
    </row>
    <row r="107" spans="4:13" ht="20.100000000000001" customHeight="1" x14ac:dyDescent="0.25">
      <c r="M107" s="1"/>
    </row>
    <row r="108" spans="4:13" ht="20.100000000000001" customHeight="1" x14ac:dyDescent="0.25">
      <c r="M108" s="1"/>
    </row>
    <row r="109" spans="4:13" ht="20.100000000000001" customHeight="1" x14ac:dyDescent="0.25">
      <c r="D109" s="6" t="str" cm="1">
        <f t="array" ref="D109">SourceData_Poultry.SourceData_Poultry_FractionOfNitrogenLostThroughLeachingAndRunoff_Title()</f>
        <v>Fraction of N that is lost through leaching and runoff</v>
      </c>
      <c r="M109" s="1"/>
    </row>
    <row r="110" spans="4:13" ht="20.100000000000001" customHeight="1" x14ac:dyDescent="0.25">
      <c r="D110" s="5" t="str" cm="1">
        <f t="array" ref="D110">SourceData_Poultry.SourceData_Poultry_FractionOfNitrogenLostThroughLeachingAndRunoff_Source()</f>
        <v>VEERG 2026: 4.6.2.3 CONSTANTS</v>
      </c>
      <c r="M110" s="1"/>
    </row>
    <row r="111" spans="4:13" ht="20.100000000000001" customHeight="1" x14ac:dyDescent="0.25">
      <c r="D111" s="51" t="str" cm="1">
        <f t="array" ref="D111">SourceData_Poultry.SourceData_Poultry_FractionOfNitrogenLostThroughLeachingAndRunoff_Variable()</f>
        <v>Frac_LEACH_MS</v>
      </c>
      <c r="E111" s="1" cm="1">
        <f t="array" ref="E111">SourceData_Poultry.SourceData_Poultry_FractionOfNitrogenLostThroughLeachingAndRunoff_Data()</f>
        <v>0.02</v>
      </c>
      <c r="M111" s="1"/>
    </row>
    <row r="112" spans="4:13" ht="20.100000000000001" customHeight="1" x14ac:dyDescent="0.25">
      <c r="M112" s="1"/>
    </row>
    <row r="113" spans="13:22" ht="20.100000000000001" customHeight="1" x14ac:dyDescent="0.25">
      <c r="M113" s="1"/>
    </row>
    <row r="114" spans="13:22" ht="20.100000000000001" customHeight="1" x14ac:dyDescent="0.25">
      <c r="M114" s="1"/>
    </row>
    <row r="115" spans="13:22" ht="20.100000000000001" customHeight="1" x14ac:dyDescent="0.25">
      <c r="M115" s="1"/>
      <c r="V115" s="1"/>
    </row>
    <row r="116" spans="13:22" ht="20.100000000000001" customHeight="1" x14ac:dyDescent="0.25">
      <c r="M116" s="1"/>
      <c r="V116" s="1"/>
    </row>
    <row r="117" spans="13:22" ht="20.100000000000001" customHeight="1" x14ac:dyDescent="0.25">
      <c r="M117" s="1"/>
      <c r="V117" s="1"/>
    </row>
    <row r="118" spans="13:22" ht="20.100000000000001" customHeight="1" x14ac:dyDescent="0.25">
      <c r="M118" s="1"/>
    </row>
    <row r="119" spans="13:22" ht="20.100000000000001" customHeight="1" x14ac:dyDescent="0.25">
      <c r="M119" s="1"/>
    </row>
    <row r="120" spans="13:22" ht="20.100000000000001" customHeight="1" x14ac:dyDescent="0.25">
      <c r="M120" s="1"/>
    </row>
    <row r="121" spans="13:22" ht="20.100000000000001" customHeight="1" x14ac:dyDescent="0.25">
      <c r="M121" s="1"/>
    </row>
    <row r="122" spans="13:22" ht="20.100000000000001" customHeight="1" x14ac:dyDescent="0.25">
      <c r="M122" s="1"/>
    </row>
    <row r="123" spans="13:22" ht="20.100000000000001" customHeight="1" x14ac:dyDescent="0.25">
      <c r="M123" s="1"/>
    </row>
    <row r="124" spans="13:22" ht="20.100000000000001" customHeight="1" x14ac:dyDescent="0.25">
      <c r="M124" s="1"/>
    </row>
    <row r="125" spans="13:22" ht="20.100000000000001" customHeight="1" x14ac:dyDescent="0.25">
      <c r="M125" s="1"/>
      <c r="V125" s="1"/>
    </row>
    <row r="126" spans="13:22" ht="20.100000000000001" customHeight="1" x14ac:dyDescent="0.25">
      <c r="M126" s="1"/>
      <c r="V126" s="1"/>
    </row>
    <row r="127" spans="13:22" ht="20.100000000000001" customHeight="1" x14ac:dyDescent="0.25">
      <c r="M127" s="1"/>
      <c r="V127" s="1"/>
    </row>
    <row r="128" spans="13:22" ht="20.100000000000001" customHeight="1" x14ac:dyDescent="0.25">
      <c r="M128" s="1"/>
      <c r="V128" s="1"/>
    </row>
    <row r="129" spans="13:22" ht="20.100000000000001" customHeight="1" x14ac:dyDescent="0.25">
      <c r="M129" s="1"/>
      <c r="V129" s="1"/>
    </row>
    <row r="130" spans="13:22" ht="20.100000000000001" customHeight="1" x14ac:dyDescent="0.25">
      <c r="M130" s="1"/>
      <c r="V130" s="1"/>
    </row>
    <row r="131" spans="13:22" ht="20.100000000000001" customHeight="1" x14ac:dyDescent="0.25">
      <c r="M131" s="1"/>
    </row>
    <row r="132" spans="13:22" ht="20.100000000000001" customHeight="1" x14ac:dyDescent="0.25">
      <c r="M132" s="1"/>
    </row>
    <row r="133" spans="13:22" ht="20.100000000000001" customHeight="1" x14ac:dyDescent="0.25">
      <c r="M133" s="1"/>
    </row>
    <row r="134" spans="13:22" ht="20.100000000000001" customHeight="1" x14ac:dyDescent="0.25">
      <c r="M134" s="1"/>
    </row>
    <row r="135" spans="13:22" ht="20.100000000000001" customHeight="1" x14ac:dyDescent="0.25">
      <c r="M135" s="1"/>
    </row>
    <row r="136" spans="13:22" ht="20.100000000000001" customHeight="1" x14ac:dyDescent="0.25">
      <c r="M136" s="1"/>
    </row>
    <row r="137" spans="13:22" ht="20.100000000000001" customHeight="1" x14ac:dyDescent="0.25">
      <c r="M137" s="1"/>
    </row>
    <row r="138" spans="13:22" ht="20.100000000000001" customHeight="1" x14ac:dyDescent="0.25">
      <c r="M138" s="1"/>
    </row>
    <row r="139" spans="13:22" ht="20.100000000000001" customHeight="1" x14ac:dyDescent="0.25">
      <c r="M139" s="1"/>
    </row>
    <row r="140" spans="13:22" ht="20.100000000000001" customHeight="1" x14ac:dyDescent="0.25">
      <c r="M140" s="1"/>
    </row>
    <row r="141" spans="13:22" ht="20.100000000000001" customHeight="1" x14ac:dyDescent="0.25">
      <c r="M141" s="1"/>
    </row>
    <row r="142" spans="13:22" ht="20.100000000000001" customHeight="1" x14ac:dyDescent="0.25">
      <c r="M142" s="1"/>
    </row>
    <row r="143" spans="13:22" ht="20.100000000000001" customHeight="1" x14ac:dyDescent="0.25">
      <c r="M143" s="1"/>
    </row>
    <row r="144" spans="13:22" ht="20.100000000000001" customHeight="1" x14ac:dyDescent="0.25">
      <c r="M144" s="1"/>
    </row>
    <row r="145" spans="13:13" ht="20.100000000000001" customHeight="1" x14ac:dyDescent="0.25">
      <c r="M145" s="1"/>
    </row>
    <row r="146" spans="13:13" ht="20.100000000000001" customHeight="1" x14ac:dyDescent="0.25">
      <c r="M146" s="1"/>
    </row>
    <row r="147" spans="13:13" ht="20.100000000000001" customHeight="1" x14ac:dyDescent="0.25">
      <c r="M147" s="1"/>
    </row>
    <row r="148" spans="13:13" ht="20.100000000000001" customHeight="1" x14ac:dyDescent="0.25">
      <c r="M148" s="1"/>
    </row>
    <row r="149" spans="13:13" ht="20.100000000000001" customHeight="1" x14ac:dyDescent="0.25">
      <c r="M149" s="1"/>
    </row>
    <row r="150" spans="13:13" ht="20.100000000000001" customHeight="1" x14ac:dyDescent="0.25">
      <c r="M150" s="1"/>
    </row>
    <row r="151" spans="13:13" ht="20.100000000000001" customHeight="1" x14ac:dyDescent="0.25">
      <c r="M151" s="1"/>
    </row>
    <row r="152" spans="13:13" ht="20.100000000000001" customHeight="1" x14ac:dyDescent="0.25">
      <c r="M152" s="1"/>
    </row>
    <row r="153" spans="13:13" ht="20.100000000000001" customHeight="1" x14ac:dyDescent="0.25">
      <c r="M153" s="1"/>
    </row>
    <row r="154" spans="13:13" ht="20.100000000000001" customHeight="1" x14ac:dyDescent="0.25">
      <c r="M154" s="1"/>
    </row>
    <row r="155" spans="13:13" ht="20.100000000000001" customHeight="1" x14ac:dyDescent="0.25">
      <c r="M155" s="1"/>
    </row>
    <row r="156" spans="13:13" ht="20.100000000000001" customHeight="1" x14ac:dyDescent="0.25">
      <c r="M156" s="1"/>
    </row>
    <row r="157" spans="13:13" ht="20.100000000000001" customHeight="1" x14ac:dyDescent="0.25">
      <c r="M157" s="1"/>
    </row>
    <row r="158" spans="13:13" ht="20.100000000000001" customHeight="1" x14ac:dyDescent="0.25">
      <c r="M158" s="1"/>
    </row>
    <row r="159" spans="13:13" ht="20.100000000000001" customHeight="1" x14ac:dyDescent="0.25">
      <c r="M159" s="1"/>
    </row>
    <row r="160" spans="13:13" ht="20.100000000000001" customHeight="1" x14ac:dyDescent="0.25">
      <c r="M160" s="1"/>
    </row>
    <row r="161" spans="13:13" ht="20.100000000000001" customHeight="1" x14ac:dyDescent="0.25">
      <c r="M161" s="1"/>
    </row>
    <row r="162" spans="13:13" ht="20.100000000000001" customHeight="1" x14ac:dyDescent="0.25">
      <c r="M162" s="1"/>
    </row>
    <row r="163" spans="13:13" ht="20.100000000000001" customHeight="1" x14ac:dyDescent="0.25">
      <c r="M163" s="1"/>
    </row>
    <row r="164" spans="13:13" ht="20.100000000000001" customHeight="1" x14ac:dyDescent="0.25">
      <c r="M164" s="1"/>
    </row>
    <row r="165" spans="13:13" ht="20.100000000000001" customHeight="1" x14ac:dyDescent="0.25">
      <c r="M165" s="1"/>
    </row>
    <row r="166" spans="13:13" x14ac:dyDescent="0.25">
      <c r="M166" s="1"/>
    </row>
    <row r="167" spans="13:13" x14ac:dyDescent="0.25">
      <c r="M167" s="1"/>
    </row>
    <row r="168" spans="13:13" x14ac:dyDescent="0.25">
      <c r="M168" s="1"/>
    </row>
    <row r="169" spans="13:13" x14ac:dyDescent="0.25">
      <c r="M169" s="1"/>
    </row>
    <row r="170" spans="13:13" x14ac:dyDescent="0.25">
      <c r="M170" s="1"/>
    </row>
    <row r="171" spans="13:13" x14ac:dyDescent="0.25">
      <c r="M171" s="1"/>
    </row>
    <row r="172" spans="13:13" x14ac:dyDescent="0.25">
      <c r="M172" s="1"/>
    </row>
    <row r="173" spans="13:13" x14ac:dyDescent="0.25">
      <c r="M173" s="1"/>
    </row>
    <row r="174" spans="13:13" x14ac:dyDescent="0.25">
      <c r="M174" s="1"/>
    </row>
    <row r="175" spans="13:13" x14ac:dyDescent="0.25">
      <c r="M175" s="1"/>
    </row>
    <row r="176" spans="13:13" x14ac:dyDescent="0.25">
      <c r="M176" s="1"/>
    </row>
    <row r="177" spans="13:13" x14ac:dyDescent="0.25">
      <c r="M177" s="1"/>
    </row>
    <row r="178" spans="13:13" x14ac:dyDescent="0.25">
      <c r="M178" s="1"/>
    </row>
    <row r="179" spans="13:13" x14ac:dyDescent="0.25">
      <c r="M179" s="1"/>
    </row>
    <row r="180" spans="13:13" x14ac:dyDescent="0.25">
      <c r="M180" s="1"/>
    </row>
    <row r="181" spans="13:13" x14ac:dyDescent="0.25">
      <c r="M181" s="1"/>
    </row>
    <row r="182" spans="13:13" x14ac:dyDescent="0.25">
      <c r="M182" s="1"/>
    </row>
    <row r="183" spans="13:13" x14ac:dyDescent="0.25">
      <c r="M183" s="1"/>
    </row>
    <row r="184" spans="13:13" x14ac:dyDescent="0.25">
      <c r="M184" s="1"/>
    </row>
    <row r="185" spans="13:13" x14ac:dyDescent="0.25">
      <c r="M185" s="1"/>
    </row>
    <row r="186" spans="13:13" x14ac:dyDescent="0.25">
      <c r="M186" s="1"/>
    </row>
    <row r="187" spans="13:13" x14ac:dyDescent="0.25">
      <c r="M187" s="1"/>
    </row>
    <row r="188" spans="13:13" x14ac:dyDescent="0.25">
      <c r="M188" s="1"/>
    </row>
    <row r="189" spans="13:13" x14ac:dyDescent="0.25">
      <c r="M189" s="1"/>
    </row>
    <row r="190" spans="13:13" x14ac:dyDescent="0.25">
      <c r="M190" s="1"/>
    </row>
    <row r="191" spans="13:13" x14ac:dyDescent="0.25">
      <c r="M191" s="1"/>
    </row>
    <row r="192" spans="13:13" x14ac:dyDescent="0.25">
      <c r="M192" s="1"/>
    </row>
    <row r="193" spans="13:13" x14ac:dyDescent="0.25">
      <c r="M193" s="1"/>
    </row>
    <row r="194" spans="13:13" x14ac:dyDescent="0.25">
      <c r="M194" s="1"/>
    </row>
    <row r="195" spans="13:13" x14ac:dyDescent="0.25">
      <c r="M195" s="1"/>
    </row>
    <row r="196" spans="13:13" x14ac:dyDescent="0.25">
      <c r="M196" s="1"/>
    </row>
    <row r="197" spans="13:13" x14ac:dyDescent="0.25">
      <c r="M197" s="1"/>
    </row>
    <row r="198" spans="13:13" x14ac:dyDescent="0.25">
      <c r="M198" s="1"/>
    </row>
    <row r="199" spans="13:13" x14ac:dyDescent="0.25">
      <c r="M199" s="1"/>
    </row>
    <row r="200" spans="13:13" x14ac:dyDescent="0.25">
      <c r="M200" s="1"/>
    </row>
    <row r="201" spans="13:13" x14ac:dyDescent="0.25">
      <c r="M201" s="1"/>
    </row>
    <row r="202" spans="13:13" x14ac:dyDescent="0.25">
      <c r="M202" s="1"/>
    </row>
    <row r="203" spans="13:13" x14ac:dyDescent="0.25">
      <c r="M203" s="1"/>
    </row>
    <row r="204" spans="13:13" x14ac:dyDescent="0.25">
      <c r="M204" s="1"/>
    </row>
    <row r="205" spans="13:13" x14ac:dyDescent="0.25">
      <c r="M205" s="1"/>
    </row>
    <row r="206" spans="13:13" x14ac:dyDescent="0.25">
      <c r="M206" s="1"/>
    </row>
    <row r="207" spans="13:13" x14ac:dyDescent="0.25">
      <c r="M207" s="1"/>
    </row>
    <row r="208" spans="13:13" x14ac:dyDescent="0.25">
      <c r="M208" s="1"/>
    </row>
    <row r="209" spans="13:13" x14ac:dyDescent="0.25">
      <c r="M209" s="1"/>
    </row>
    <row r="210" spans="13:13" x14ac:dyDescent="0.25">
      <c r="M210" s="1"/>
    </row>
    <row r="211" spans="13:13" x14ac:dyDescent="0.25">
      <c r="M211" s="1"/>
    </row>
    <row r="212" spans="13:13" x14ac:dyDescent="0.25">
      <c r="M212" s="1"/>
    </row>
    <row r="213" spans="13:13" x14ac:dyDescent="0.25">
      <c r="M213" s="1"/>
    </row>
    <row r="214" spans="13:13" x14ac:dyDescent="0.25">
      <c r="M214" s="1"/>
    </row>
    <row r="215" spans="13:13" x14ac:dyDescent="0.25">
      <c r="M215" s="1"/>
    </row>
    <row r="216" spans="13:13" x14ac:dyDescent="0.25">
      <c r="M216" s="1"/>
    </row>
    <row r="217" spans="13:13" x14ac:dyDescent="0.25">
      <c r="M217" s="1"/>
    </row>
    <row r="218" spans="13:13" x14ac:dyDescent="0.25">
      <c r="M218" s="1"/>
    </row>
    <row r="219" spans="13:13" x14ac:dyDescent="0.25">
      <c r="M219" s="1"/>
    </row>
    <row r="220" spans="13:13" x14ac:dyDescent="0.25">
      <c r="M220" s="1"/>
    </row>
    <row r="221" spans="13:13" x14ac:dyDescent="0.25">
      <c r="M221" s="1"/>
    </row>
    <row r="222" spans="13:13" x14ac:dyDescent="0.25">
      <c r="M222" s="1"/>
    </row>
    <row r="223" spans="13:13" x14ac:dyDescent="0.25">
      <c r="M223" s="1"/>
    </row>
    <row r="224" spans="13:13" x14ac:dyDescent="0.25">
      <c r="M224" s="1"/>
    </row>
    <row r="225" spans="13:13" x14ac:dyDescent="0.25">
      <c r="M225" s="1"/>
    </row>
    <row r="226" spans="13:13" x14ac:dyDescent="0.25">
      <c r="M226" s="1"/>
    </row>
    <row r="227" spans="13:13" x14ac:dyDescent="0.25">
      <c r="M227" s="1"/>
    </row>
    <row r="228" spans="13:13" x14ac:dyDescent="0.25">
      <c r="M228" s="1"/>
    </row>
    <row r="229" spans="13:13" x14ac:dyDescent="0.25">
      <c r="M229" s="1"/>
    </row>
    <row r="230" spans="13:13" x14ac:dyDescent="0.25">
      <c r="M230" s="1"/>
    </row>
    <row r="231" spans="13:13" x14ac:dyDescent="0.25">
      <c r="M231" s="1"/>
    </row>
    <row r="232" spans="13:13" x14ac:dyDescent="0.25">
      <c r="M232" s="1"/>
    </row>
    <row r="233" spans="13:13" x14ac:dyDescent="0.25">
      <c r="M233" s="1"/>
    </row>
    <row r="234" spans="13:13" x14ac:dyDescent="0.25">
      <c r="M234" s="1"/>
    </row>
    <row r="235" spans="13:13" x14ac:dyDescent="0.25">
      <c r="M235" s="1"/>
    </row>
    <row r="236" spans="13:13" x14ac:dyDescent="0.25">
      <c r="M236" s="1"/>
    </row>
    <row r="237" spans="13:13" x14ac:dyDescent="0.25">
      <c r="M237" s="1"/>
    </row>
    <row r="238" spans="13:13" x14ac:dyDescent="0.25">
      <c r="M238" s="1"/>
    </row>
    <row r="239" spans="13:13" x14ac:dyDescent="0.25">
      <c r="M239" s="1"/>
    </row>
    <row r="240" spans="13:13" x14ac:dyDescent="0.25">
      <c r="M240" s="1"/>
    </row>
    <row r="241" spans="13:13" x14ac:dyDescent="0.25">
      <c r="M241" s="1"/>
    </row>
    <row r="242" spans="13:13" x14ac:dyDescent="0.25">
      <c r="M242" s="1"/>
    </row>
    <row r="243" spans="13:13" x14ac:dyDescent="0.25">
      <c r="M243" s="1"/>
    </row>
    <row r="244" spans="13:13" x14ac:dyDescent="0.25">
      <c r="M244" s="1"/>
    </row>
    <row r="245" spans="13:13" x14ac:dyDescent="0.25">
      <c r="M245" s="1"/>
    </row>
    <row r="246" spans="13:13" x14ac:dyDescent="0.25">
      <c r="M246" s="1"/>
    </row>
    <row r="247" spans="13:13" x14ac:dyDescent="0.25">
      <c r="M247" s="1"/>
    </row>
    <row r="248" spans="13:13" x14ac:dyDescent="0.25">
      <c r="M248" s="1"/>
    </row>
    <row r="249" spans="13:13" x14ac:dyDescent="0.25">
      <c r="M249" s="1"/>
    </row>
    <row r="250" spans="13:13" x14ac:dyDescent="0.25">
      <c r="M250" s="1"/>
    </row>
    <row r="251" spans="13:13" x14ac:dyDescent="0.25">
      <c r="M251" s="1"/>
    </row>
    <row r="252" spans="13:13" x14ac:dyDescent="0.25">
      <c r="M252" s="1"/>
    </row>
    <row r="253" spans="13:13" x14ac:dyDescent="0.25">
      <c r="M253" s="1"/>
    </row>
    <row r="254" spans="13:13" x14ac:dyDescent="0.25">
      <c r="M254" s="1"/>
    </row>
    <row r="255" spans="13:13" x14ac:dyDescent="0.25">
      <c r="M255" s="1"/>
    </row>
    <row r="256" spans="13:13" x14ac:dyDescent="0.25">
      <c r="M256" s="1"/>
    </row>
    <row r="257" spans="13:13" x14ac:dyDescent="0.25">
      <c r="M257" s="1"/>
    </row>
    <row r="258" spans="13:13" x14ac:dyDescent="0.25">
      <c r="M258" s="1"/>
    </row>
    <row r="259" spans="13:13" x14ac:dyDescent="0.25">
      <c r="M259" s="1"/>
    </row>
    <row r="260" spans="13:13" x14ac:dyDescent="0.25">
      <c r="M260" s="1"/>
    </row>
    <row r="261" spans="13:13" x14ac:dyDescent="0.25">
      <c r="M261" s="1"/>
    </row>
    <row r="262" spans="13:13" x14ac:dyDescent="0.25">
      <c r="M262" s="1"/>
    </row>
    <row r="263" spans="13:13" x14ac:dyDescent="0.25">
      <c r="M263" s="1"/>
    </row>
    <row r="264" spans="13:13" x14ac:dyDescent="0.25">
      <c r="M264" s="1"/>
    </row>
    <row r="265" spans="13:13" x14ac:dyDescent="0.25">
      <c r="M265" s="1"/>
    </row>
    <row r="266" spans="13:13" x14ac:dyDescent="0.25">
      <c r="M266" s="1"/>
    </row>
    <row r="267" spans="13:13" x14ac:dyDescent="0.25">
      <c r="M267" s="1"/>
    </row>
    <row r="268" spans="13:13" x14ac:dyDescent="0.25">
      <c r="M268" s="1"/>
    </row>
    <row r="269" spans="13:13" x14ac:dyDescent="0.25">
      <c r="M269" s="1"/>
    </row>
    <row r="270" spans="13:13" x14ac:dyDescent="0.25">
      <c r="M270" s="1"/>
    </row>
    <row r="271" spans="13:13" x14ac:dyDescent="0.25">
      <c r="M271" s="1"/>
    </row>
    <row r="272" spans="13:13" x14ac:dyDescent="0.25">
      <c r="M272" s="1"/>
    </row>
    <row r="273" spans="13:13" x14ac:dyDescent="0.25">
      <c r="M273" s="1"/>
    </row>
    <row r="274" spans="13:13" x14ac:dyDescent="0.25">
      <c r="M274" s="1"/>
    </row>
    <row r="275" spans="13:13" x14ac:dyDescent="0.25">
      <c r="M275" s="1"/>
    </row>
    <row r="276" spans="13:13" x14ac:dyDescent="0.25">
      <c r="M276" s="1"/>
    </row>
    <row r="277" spans="13:13" x14ac:dyDescent="0.25">
      <c r="M277" s="1"/>
    </row>
    <row r="278" spans="13:13" x14ac:dyDescent="0.25">
      <c r="M278" s="1"/>
    </row>
    <row r="279" spans="13:13" x14ac:dyDescent="0.25">
      <c r="M279" s="1"/>
    </row>
    <row r="280" spans="13:13" x14ac:dyDescent="0.25">
      <c r="M280" s="1"/>
    </row>
    <row r="281" spans="13:13" x14ac:dyDescent="0.25">
      <c r="M281" s="1"/>
    </row>
    <row r="282" spans="13:13" x14ac:dyDescent="0.25">
      <c r="M282" s="1"/>
    </row>
    <row r="283" spans="13:13" x14ac:dyDescent="0.25">
      <c r="M283" s="1"/>
    </row>
    <row r="284" spans="13:13" x14ac:dyDescent="0.25">
      <c r="M284" s="1"/>
    </row>
    <row r="285" spans="13:13" x14ac:dyDescent="0.25">
      <c r="M285" s="1"/>
    </row>
    <row r="286" spans="13:13" x14ac:dyDescent="0.25">
      <c r="M286" s="1"/>
    </row>
    <row r="287" spans="13:13" x14ac:dyDescent="0.25">
      <c r="M287" s="1"/>
    </row>
    <row r="288" spans="13:13" x14ac:dyDescent="0.25">
      <c r="M288" s="1"/>
    </row>
    <row r="289" spans="13:13" x14ac:dyDescent="0.25">
      <c r="M289" s="1"/>
    </row>
    <row r="290" spans="13:13" x14ac:dyDescent="0.25">
      <c r="M290" s="1"/>
    </row>
    <row r="291" spans="13:13" x14ac:dyDescent="0.25">
      <c r="M291" s="1"/>
    </row>
    <row r="292" spans="13:13" x14ac:dyDescent="0.25">
      <c r="M292" s="1"/>
    </row>
    <row r="293" spans="13:13" x14ac:dyDescent="0.25">
      <c r="M293" s="1"/>
    </row>
    <row r="294" spans="13:13" x14ac:dyDescent="0.25">
      <c r="M294" s="1"/>
    </row>
    <row r="295" spans="13:13" x14ac:dyDescent="0.25">
      <c r="M295" s="1"/>
    </row>
    <row r="296" spans="13:13" x14ac:dyDescent="0.25">
      <c r="M296" s="1"/>
    </row>
    <row r="297" spans="13:13" x14ac:dyDescent="0.25">
      <c r="M297" s="1"/>
    </row>
    <row r="298" spans="13:13" x14ac:dyDescent="0.25">
      <c r="M298" s="1"/>
    </row>
    <row r="299" spans="13:13" x14ac:dyDescent="0.25">
      <c r="M299" s="1"/>
    </row>
    <row r="300" spans="13:13" x14ac:dyDescent="0.25">
      <c r="M300" s="1"/>
    </row>
    <row r="301" spans="13:13" x14ac:dyDescent="0.25">
      <c r="M301" s="1"/>
    </row>
    <row r="302" spans="13:13" x14ac:dyDescent="0.25">
      <c r="M302" s="1"/>
    </row>
    <row r="303" spans="13:13" x14ac:dyDescent="0.25">
      <c r="M303" s="1"/>
    </row>
    <row r="304" spans="13:13" x14ac:dyDescent="0.25">
      <c r="M304" s="1"/>
    </row>
    <row r="305" spans="13:13" x14ac:dyDescent="0.25">
      <c r="M305" s="1"/>
    </row>
    <row r="306" spans="13:13" x14ac:dyDescent="0.25">
      <c r="M306" s="1"/>
    </row>
    <row r="307" spans="13:13" x14ac:dyDescent="0.25">
      <c r="M307" s="1"/>
    </row>
    <row r="308" spans="13:13" x14ac:dyDescent="0.25">
      <c r="M308" s="1"/>
    </row>
    <row r="309" spans="13:13" x14ac:dyDescent="0.25">
      <c r="M309" s="1"/>
    </row>
    <row r="310" spans="13:13" x14ac:dyDescent="0.25">
      <c r="M310" s="1"/>
    </row>
    <row r="311" spans="13:13" x14ac:dyDescent="0.25">
      <c r="M311" s="1"/>
    </row>
    <row r="312" spans="13:13" x14ac:dyDescent="0.25">
      <c r="M312" s="1"/>
    </row>
    <row r="313" spans="13:13" x14ac:dyDescent="0.25">
      <c r="M313" s="1"/>
    </row>
    <row r="314" spans="13:13" x14ac:dyDescent="0.25">
      <c r="M314" s="1"/>
    </row>
    <row r="315" spans="13:13" x14ac:dyDescent="0.25">
      <c r="M315" s="1"/>
    </row>
    <row r="316" spans="13:13" x14ac:dyDescent="0.25">
      <c r="M316" s="1"/>
    </row>
    <row r="317" spans="13:13" x14ac:dyDescent="0.25">
      <c r="M317" s="1"/>
    </row>
    <row r="318" spans="13:13" x14ac:dyDescent="0.25">
      <c r="M318" s="1"/>
    </row>
    <row r="319" spans="13:13" x14ac:dyDescent="0.25">
      <c r="M319" s="1"/>
    </row>
    <row r="320" spans="13:13" x14ac:dyDescent="0.25">
      <c r="M320" s="1"/>
    </row>
    <row r="321" spans="13:13" x14ac:dyDescent="0.25">
      <c r="M321" s="1"/>
    </row>
    <row r="322" spans="13:13" x14ac:dyDescent="0.25">
      <c r="M322" s="1"/>
    </row>
    <row r="323" spans="13:13" x14ac:dyDescent="0.25">
      <c r="M323" s="1"/>
    </row>
    <row r="324" spans="13:13" x14ac:dyDescent="0.25">
      <c r="M324" s="1"/>
    </row>
    <row r="325" spans="13:13" x14ac:dyDescent="0.25">
      <c r="M325" s="1"/>
    </row>
    <row r="326" spans="13:13" x14ac:dyDescent="0.25">
      <c r="M326" s="1"/>
    </row>
    <row r="327" spans="13:13" x14ac:dyDescent="0.25">
      <c r="M327" s="1"/>
    </row>
    <row r="328" spans="13:13" x14ac:dyDescent="0.25">
      <c r="M328" s="1"/>
    </row>
    <row r="329" spans="13:13" x14ac:dyDescent="0.25">
      <c r="M329" s="1"/>
    </row>
    <row r="330" spans="13:13" x14ac:dyDescent="0.25">
      <c r="M330" s="1"/>
    </row>
    <row r="331" spans="13:13" x14ac:dyDescent="0.25">
      <c r="M331" s="1"/>
    </row>
    <row r="332" spans="13:13" x14ac:dyDescent="0.25">
      <c r="M332" s="1"/>
    </row>
    <row r="333" spans="13:13" x14ac:dyDescent="0.25">
      <c r="M333" s="1"/>
    </row>
    <row r="334" spans="13:13" x14ac:dyDescent="0.25">
      <c r="M334" s="1"/>
    </row>
    <row r="335" spans="13:13" x14ac:dyDescent="0.25">
      <c r="M335" s="1"/>
    </row>
    <row r="336" spans="13:13" x14ac:dyDescent="0.25">
      <c r="M336" s="1"/>
    </row>
    <row r="337" spans="13:13" x14ac:dyDescent="0.25">
      <c r="M337" s="1"/>
    </row>
    <row r="338" spans="13:13" x14ac:dyDescent="0.25">
      <c r="M338" s="1"/>
    </row>
    <row r="339" spans="13:13" x14ac:dyDescent="0.25">
      <c r="M339" s="1"/>
    </row>
    <row r="340" spans="13:13" x14ac:dyDescent="0.25">
      <c r="M340" s="1"/>
    </row>
    <row r="341" spans="13:13" x14ac:dyDescent="0.25">
      <c r="M341" s="1"/>
    </row>
    <row r="342" spans="13:13" x14ac:dyDescent="0.25">
      <c r="M342" s="1"/>
    </row>
    <row r="343" spans="13:13" x14ac:dyDescent="0.25">
      <c r="M343" s="1"/>
    </row>
    <row r="344" spans="13:13" x14ac:dyDescent="0.25">
      <c r="M344" s="1"/>
    </row>
    <row r="345" spans="13:13" x14ac:dyDescent="0.25">
      <c r="M345" s="1"/>
    </row>
    <row r="346" spans="13:13" x14ac:dyDescent="0.25">
      <c r="M346" s="1"/>
    </row>
    <row r="347" spans="13:13" x14ac:dyDescent="0.25">
      <c r="M347" s="1"/>
    </row>
    <row r="348" spans="13:13" x14ac:dyDescent="0.25">
      <c r="M348" s="1"/>
    </row>
    <row r="349" spans="13:13" x14ac:dyDescent="0.25">
      <c r="M349" s="1"/>
    </row>
    <row r="350" spans="13:13" x14ac:dyDescent="0.25">
      <c r="M350" s="1"/>
    </row>
    <row r="351" spans="13:13" x14ac:dyDescent="0.25">
      <c r="M351" s="1"/>
    </row>
    <row r="352" spans="13:13" x14ac:dyDescent="0.25">
      <c r="M352" s="1"/>
    </row>
    <row r="353" spans="13:13" x14ac:dyDescent="0.25">
      <c r="M353" s="1"/>
    </row>
    <row r="354" spans="13:13" x14ac:dyDescent="0.25">
      <c r="M354" s="1"/>
    </row>
    <row r="355" spans="13:13" x14ac:dyDescent="0.25">
      <c r="M355" s="1"/>
    </row>
    <row r="356" spans="13:13" x14ac:dyDescent="0.25">
      <c r="M356" s="1"/>
    </row>
    <row r="357" spans="13:13" x14ac:dyDescent="0.25">
      <c r="M357" s="1"/>
    </row>
    <row r="358" spans="13:13" x14ac:dyDescent="0.25">
      <c r="M358" s="1"/>
    </row>
    <row r="359" spans="13:13" x14ac:dyDescent="0.25">
      <c r="M359" s="1"/>
    </row>
    <row r="360" spans="13:13" x14ac:dyDescent="0.25">
      <c r="M360" s="1"/>
    </row>
    <row r="361" spans="13:13" x14ac:dyDescent="0.25">
      <c r="M361" s="1"/>
    </row>
    <row r="362" spans="13:13" x14ac:dyDescent="0.25">
      <c r="M362" s="1"/>
    </row>
    <row r="363" spans="13:13" x14ac:dyDescent="0.25">
      <c r="M363" s="1"/>
    </row>
    <row r="364" spans="13:13" x14ac:dyDescent="0.25">
      <c r="M364" s="1"/>
    </row>
    <row r="365" spans="13:13" x14ac:dyDescent="0.25">
      <c r="M365" s="1"/>
    </row>
    <row r="366" spans="13:13" x14ac:dyDescent="0.25">
      <c r="M366" s="1"/>
    </row>
    <row r="367" spans="13:13" x14ac:dyDescent="0.25">
      <c r="M367" s="1"/>
    </row>
    <row r="368" spans="13:13" x14ac:dyDescent="0.25">
      <c r="M368" s="1"/>
    </row>
    <row r="369" spans="13:13" x14ac:dyDescent="0.25">
      <c r="M369" s="1"/>
    </row>
    <row r="370" spans="13:13" x14ac:dyDescent="0.25">
      <c r="M370" s="1"/>
    </row>
    <row r="371" spans="13:13" x14ac:dyDescent="0.25">
      <c r="M371" s="1"/>
    </row>
    <row r="372" spans="13:13" x14ac:dyDescent="0.25">
      <c r="M372" s="1"/>
    </row>
    <row r="373" spans="13:13" x14ac:dyDescent="0.25">
      <c r="M373" s="1"/>
    </row>
    <row r="374" spans="13:13" x14ac:dyDescent="0.25">
      <c r="M374" s="1"/>
    </row>
    <row r="375" spans="13:13" x14ac:dyDescent="0.25">
      <c r="M375" s="1"/>
    </row>
    <row r="376" spans="13:13" x14ac:dyDescent="0.25">
      <c r="M376" s="1"/>
    </row>
    <row r="377" spans="13:13" x14ac:dyDescent="0.25">
      <c r="M377" s="1"/>
    </row>
    <row r="378" spans="13:13" x14ac:dyDescent="0.25">
      <c r="M378" s="1"/>
    </row>
    <row r="379" spans="13:13" x14ac:dyDescent="0.25">
      <c r="M379" s="1"/>
    </row>
    <row r="380" spans="13:13" x14ac:dyDescent="0.25">
      <c r="M380" s="1"/>
    </row>
    <row r="381" spans="13:13" x14ac:dyDescent="0.25">
      <c r="M381" s="1"/>
    </row>
    <row r="382" spans="13:13" x14ac:dyDescent="0.25">
      <c r="M382" s="1"/>
    </row>
    <row r="383" spans="13:13" x14ac:dyDescent="0.25">
      <c r="M383" s="1"/>
    </row>
    <row r="384" spans="13:13" x14ac:dyDescent="0.25">
      <c r="M384" s="1"/>
    </row>
    <row r="385" spans="13:13" x14ac:dyDescent="0.25">
      <c r="M385" s="1"/>
    </row>
    <row r="386" spans="13:13" x14ac:dyDescent="0.25">
      <c r="M386" s="1"/>
    </row>
    <row r="387" spans="13:13" x14ac:dyDescent="0.25">
      <c r="M387" s="1"/>
    </row>
    <row r="388" spans="13:13" x14ac:dyDescent="0.25">
      <c r="M388" s="1"/>
    </row>
    <row r="389" spans="13:13" x14ac:dyDescent="0.25">
      <c r="M389" s="1"/>
    </row>
    <row r="390" spans="13:13" x14ac:dyDescent="0.25">
      <c r="M390" s="1"/>
    </row>
    <row r="391" spans="13:13" x14ac:dyDescent="0.25">
      <c r="M391" s="1"/>
    </row>
    <row r="392" spans="13:13" x14ac:dyDescent="0.25">
      <c r="M392" s="1"/>
    </row>
    <row r="393" spans="13:13" x14ac:dyDescent="0.25">
      <c r="M393" s="1"/>
    </row>
    <row r="394" spans="13:13" x14ac:dyDescent="0.25">
      <c r="M394" s="1"/>
    </row>
    <row r="395" spans="13:13" x14ac:dyDescent="0.25">
      <c r="M395" s="1"/>
    </row>
    <row r="396" spans="13:13" x14ac:dyDescent="0.25">
      <c r="M396" s="1"/>
    </row>
    <row r="397" spans="13:13" x14ac:dyDescent="0.25">
      <c r="M397" s="1"/>
    </row>
    <row r="398" spans="13:13" x14ac:dyDescent="0.25">
      <c r="M398" s="1"/>
    </row>
    <row r="399" spans="13:13" x14ac:dyDescent="0.25">
      <c r="M399" s="1"/>
    </row>
    <row r="400" spans="13:13" x14ac:dyDescent="0.25">
      <c r="M400" s="1"/>
    </row>
    <row r="401" spans="13:13" x14ac:dyDescent="0.25">
      <c r="M401" s="1"/>
    </row>
    <row r="402" spans="13:13" x14ac:dyDescent="0.25">
      <c r="M402" s="1"/>
    </row>
    <row r="403" spans="13:13" x14ac:dyDescent="0.25">
      <c r="M403" s="1"/>
    </row>
    <row r="404" spans="13:13" x14ac:dyDescent="0.25">
      <c r="M404" s="1"/>
    </row>
    <row r="405" spans="13:13" x14ac:dyDescent="0.25">
      <c r="M405" s="1"/>
    </row>
    <row r="406" spans="13:13" x14ac:dyDescent="0.25">
      <c r="M406" s="1"/>
    </row>
    <row r="407" spans="13:13" x14ac:dyDescent="0.25">
      <c r="M407" s="1"/>
    </row>
    <row r="408" spans="13:13" x14ac:dyDescent="0.25">
      <c r="M408" s="1"/>
    </row>
    <row r="409" spans="13:13" x14ac:dyDescent="0.25">
      <c r="M409" s="1"/>
    </row>
    <row r="410" spans="13:13" x14ac:dyDescent="0.25">
      <c r="M410" s="1"/>
    </row>
    <row r="411" spans="13:13" x14ac:dyDescent="0.25">
      <c r="M411" s="1"/>
    </row>
    <row r="412" spans="13:13" x14ac:dyDescent="0.25">
      <c r="M412" s="1"/>
    </row>
    <row r="413" spans="13:13" x14ac:dyDescent="0.25">
      <c r="M413" s="1"/>
    </row>
    <row r="414" spans="13:13" x14ac:dyDescent="0.25">
      <c r="M414" s="1"/>
    </row>
    <row r="415" spans="13:13" x14ac:dyDescent="0.25">
      <c r="M415" s="1"/>
    </row>
    <row r="416" spans="13:13" x14ac:dyDescent="0.25">
      <c r="M416" s="1"/>
    </row>
    <row r="417" spans="13:13" x14ac:dyDescent="0.25">
      <c r="M417" s="1"/>
    </row>
    <row r="418" spans="13:13" x14ac:dyDescent="0.25">
      <c r="M418" s="1"/>
    </row>
    <row r="419" spans="13:13" x14ac:dyDescent="0.25">
      <c r="M419" s="1"/>
    </row>
    <row r="420" spans="13:13" x14ac:dyDescent="0.25">
      <c r="M420" s="1"/>
    </row>
    <row r="421" spans="13:13" x14ac:dyDescent="0.25">
      <c r="M421" s="1"/>
    </row>
    <row r="422" spans="13:13" x14ac:dyDescent="0.25">
      <c r="M422" s="1"/>
    </row>
    <row r="423" spans="13:13" x14ac:dyDescent="0.25">
      <c r="M423" s="1"/>
    </row>
    <row r="424" spans="13:13" x14ac:dyDescent="0.25">
      <c r="M424" s="1"/>
    </row>
    <row r="425" spans="13:13" x14ac:dyDescent="0.25">
      <c r="M425" s="1"/>
    </row>
    <row r="426" spans="13:13" x14ac:dyDescent="0.25">
      <c r="M426" s="1"/>
    </row>
    <row r="427" spans="13:13" x14ac:dyDescent="0.25">
      <c r="M427" s="1"/>
    </row>
    <row r="428" spans="13:13" x14ac:dyDescent="0.25">
      <c r="M428" s="1"/>
    </row>
    <row r="429" spans="13:13" x14ac:dyDescent="0.25">
      <c r="M429" s="1"/>
    </row>
    <row r="430" spans="13:13" x14ac:dyDescent="0.25">
      <c r="M430" s="1"/>
    </row>
    <row r="431" spans="13:13" x14ac:dyDescent="0.25">
      <c r="M431" s="1"/>
    </row>
    <row r="432" spans="13:13" x14ac:dyDescent="0.25">
      <c r="M432" s="1"/>
    </row>
    <row r="433" spans="13:13" x14ac:dyDescent="0.25">
      <c r="M433" s="1"/>
    </row>
    <row r="434" spans="13:13" x14ac:dyDescent="0.25">
      <c r="M434" s="1"/>
    </row>
    <row r="435" spans="13:13" x14ac:dyDescent="0.25">
      <c r="M435" s="1"/>
    </row>
    <row r="436" spans="13:13" x14ac:dyDescent="0.25">
      <c r="M436" s="1"/>
    </row>
    <row r="437" spans="13:13" x14ac:dyDescent="0.25">
      <c r="M437" s="1"/>
    </row>
    <row r="438" spans="13:13" x14ac:dyDescent="0.25">
      <c r="M438" s="1"/>
    </row>
    <row r="439" spans="13:13" x14ac:dyDescent="0.25">
      <c r="M439" s="1"/>
    </row>
    <row r="440" spans="13:13" x14ac:dyDescent="0.25">
      <c r="M440" s="1"/>
    </row>
    <row r="441" spans="13:13" x14ac:dyDescent="0.25">
      <c r="M441" s="1"/>
    </row>
    <row r="442" spans="13:13" x14ac:dyDescent="0.25">
      <c r="M442" s="1"/>
    </row>
    <row r="443" spans="13:13" x14ac:dyDescent="0.25">
      <c r="M443" s="1"/>
    </row>
    <row r="444" spans="13:13" x14ac:dyDescent="0.25">
      <c r="M444" s="1"/>
    </row>
    <row r="445" spans="13:13" x14ac:dyDescent="0.25">
      <c r="M445" s="1"/>
    </row>
    <row r="446" spans="13:13" x14ac:dyDescent="0.25">
      <c r="M446" s="1"/>
    </row>
    <row r="447" spans="13:13" x14ac:dyDescent="0.25">
      <c r="M447" s="1"/>
    </row>
    <row r="448" spans="13:13" x14ac:dyDescent="0.25">
      <c r="M448" s="1"/>
    </row>
    <row r="449" spans="13:13" x14ac:dyDescent="0.25">
      <c r="M449" s="1"/>
    </row>
    <row r="450" spans="13:13" x14ac:dyDescent="0.25">
      <c r="M450" s="1"/>
    </row>
    <row r="451" spans="13:13" x14ac:dyDescent="0.25">
      <c r="M451" s="1"/>
    </row>
    <row r="452" spans="13:13" x14ac:dyDescent="0.25">
      <c r="M452" s="1"/>
    </row>
  </sheetData>
  <pageMargins left="0.7" right="0.7" top="0.75" bottom="0.75" header="0.3" footer="0.3"/>
  <pageSetup paperSize="9" orientation="portrait" r:id="rId1"/>
  <tableParts count="10">
    <tablePart r:id="rId2"/>
    <tablePart r:id="rId3"/>
    <tablePart r:id="rId4"/>
    <tablePart r:id="rId5"/>
    <tablePart r:id="rId6"/>
    <tablePart r:id="rId7"/>
    <tablePart r:id="rId8"/>
    <tablePart r:id="rId9"/>
    <tablePart r:id="rId10"/>
    <tablePart r:id="rId1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96C07E-3BBC-40AD-9550-B73B24462357}">
  <dimension ref="A1:BY250"/>
  <sheetViews>
    <sheetView showGridLines="0" topLeftCell="A227" zoomScale="85" zoomScaleNormal="85" workbookViewId="0">
      <selection activeCell="G262" sqref="G262"/>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72</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37" t="s">
        <v>18</v>
      </c>
      <c r="E6" s="37" t="s">
        <v>19</v>
      </c>
      <c r="F6" s="37" t="s">
        <v>20</v>
      </c>
    </row>
    <row r="7" spans="1:65" ht="20.100000000000001" customHeight="1" x14ac:dyDescent="0.25">
      <c r="A7"/>
      <c r="D7" s="37" t="str" cm="1">
        <f t="array" ref="D7">Common_InputFunctions.Utility_DisplayArrayInTable(Common_SourceData.Common_SourceData_AustralianStatesTerritories_Data(),Table_AustralianStates[[#Headers],[State/Territory]],0)</f>
        <v>New South Wales</v>
      </c>
      <c r="E7" s="37" t="str" cm="1">
        <f t="array" ref="E7">Common_InputFunctions.Utility_DisplayArrayInTable(Common_SourceData.Common_SourceData_AustralianStatesTerritories_Data(),Table_AustralianStates[[#Headers],[State/Territory]],0)</f>
        <v>New South Wales</v>
      </c>
      <c r="F7" s="37" t="str" cm="1">
        <f t="array" ref="F7">Common_InputFunctions.Utility_DisplayArrayInTable(Common_SourceData.Common_SourceData_AustralianStatesTerritories_Data(),Table_AustralianStates[[#Headers],[State/Territory]],0)</f>
        <v>NSW</v>
      </c>
    </row>
    <row r="8" spans="1:65" ht="20.100000000000001" customHeight="1" x14ac:dyDescent="0.25">
      <c r="A8"/>
      <c r="D8" s="37" t="str" cm="1">
        <f t="array" ref="D8">Common_InputFunctions.Utility_DisplayArrayInTable(Common_SourceData.Common_SourceData_AustralianStatesTerritories_Data(),Table_AustralianStates[[#Headers],[State/Territory]],0)</f>
        <v>Australian Capital Territory</v>
      </c>
      <c r="E8" s="37" t="str" cm="1">
        <f t="array" ref="E8">Common_InputFunctions.Utility_DisplayArrayInTable(Common_SourceData.Common_SourceData_AustralianStatesTerritories_Data(),Table_AustralianStates[[#Headers],[State/Territory]],0)</f>
        <v>ACT</v>
      </c>
      <c r="F8" s="37" t="str" cm="1">
        <f t="array" ref="F8">Common_InputFunctions.Utility_DisplayArrayInTable(Common_SourceData.Common_SourceData_AustralianStatesTerritories_Data(),Table_AustralianStates[[#Headers],[State/Territory]],0)</f>
        <v>ACT</v>
      </c>
    </row>
    <row r="9" spans="1:65" ht="20.100000000000001" customHeight="1" x14ac:dyDescent="0.25">
      <c r="A9"/>
      <c r="D9" s="37" t="str" cm="1">
        <f t="array" ref="D9">Common_InputFunctions.Utility_DisplayArrayInTable(Common_SourceData.Common_SourceData_AustralianStatesTerritories_Data(),Table_AustralianStates[[#Headers],[State/Territory]],0)</f>
        <v>Victoria</v>
      </c>
      <c r="E9" s="37" t="str" cm="1">
        <f t="array" ref="E9">Common_InputFunctions.Utility_DisplayArrayInTable(Common_SourceData.Common_SourceData_AustralianStatesTerritories_Data(),Table_AustralianStates[[#Headers],[State/Territory]],0)</f>
        <v>Victoria</v>
      </c>
      <c r="F9" s="37"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7" t="str" cm="1">
        <f t="array" ref="D10">Common_InputFunctions.Utility_DisplayArrayInTable(Common_SourceData.Common_SourceData_AustralianStatesTerritories_Data(),Table_AustralianStates[[#Headers],[State/Territory]],0)</f>
        <v>Queensland</v>
      </c>
      <c r="E10" s="37" t="str" cm="1">
        <f t="array" ref="E10">Common_InputFunctions.Utility_DisplayArrayInTable(Common_SourceData.Common_SourceData_AustralianStatesTerritories_Data(),Table_AustralianStates[[#Headers],[State/Territory]],0)</f>
        <v>Queensland</v>
      </c>
      <c r="F10" s="37"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7" t="str" cm="1">
        <f t="array" ref="D11">Common_InputFunctions.Utility_DisplayArrayInTable(Common_SourceData.Common_SourceData_AustralianStatesTerritories_Data(),Table_AustralianStates[[#Headers],[State/Territory]],0)</f>
        <v>South Australia</v>
      </c>
      <c r="E11" s="37" t="str" cm="1">
        <f t="array" ref="E11">Common_InputFunctions.Utility_DisplayArrayInTable(Common_SourceData.Common_SourceData_AustralianStatesTerritories_Data(),Table_AustralianStates[[#Headers],[State/Territory]],0)</f>
        <v>South Australia</v>
      </c>
      <c r="F11" s="37"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7" t="str" cm="1">
        <f t="array" ref="D12">Common_InputFunctions.Utility_DisplayArrayInTable(Common_SourceData.Common_SourceData_AustralianStatesTerritories_Data(),Table_AustralianStates[[#Headers],[State/Territory]],0)</f>
        <v>Western Australia</v>
      </c>
      <c r="E12" s="37" t="str" cm="1">
        <f t="array" ref="E12">Common_InputFunctions.Utility_DisplayArrayInTable(Common_SourceData.Common_SourceData_AustralianStatesTerritories_Data(),Table_AustralianStates[[#Headers],[State/Territory]],0)</f>
        <v>Western Australia</v>
      </c>
      <c r="F12" s="37"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7" t="str" cm="1">
        <f t="array" ref="D13">Common_InputFunctions.Utility_DisplayArrayInTable(Common_SourceData.Common_SourceData_AustralianStatesTerritories_Data(),Table_AustralianStates[[#Headers],[State/Territory]],0)</f>
        <v>Tasmania</v>
      </c>
      <c r="E13" s="37" t="str" cm="1">
        <f t="array" ref="E13">Common_InputFunctions.Utility_DisplayArrayInTable(Common_SourceData.Common_SourceData_AustralianStatesTerritories_Data(),Table_AustralianStates[[#Headers],[State/Territory]],0)</f>
        <v>Tasmania</v>
      </c>
      <c r="F13" s="37"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7" t="str" cm="1">
        <f t="array" ref="D14">Common_InputFunctions.Utility_DisplayArrayInTable(Common_SourceData.Common_SourceData_AustralianStatesTerritories_Data(),Table_AustralianStates[[#Headers],[State/Territory]],0)</f>
        <v>Northern Territory</v>
      </c>
      <c r="E14" s="37" t="str" cm="1">
        <f t="array" ref="E14">Common_InputFunctions.Utility_DisplayArrayInTable(Common_SourceData.Common_SourceData_AustralianStatesTerritories_Data(),Table_AustralianStates[[#Headers],[State/Territory]],0)</f>
        <v>Northern Territory</v>
      </c>
      <c r="F14" s="37"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7" t="s">
        <v>21</v>
      </c>
    </row>
    <row r="21" spans="1:4" ht="20.100000000000001" customHeight="1" x14ac:dyDescent="0.25">
      <c r="A21"/>
      <c r="D21" s="37" t="str" cm="1">
        <f t="array" ref="D21">Common_InputFunctions.Utility_DisplayArrayInTable(Common_SourceData.Common_SourceData_WASA4Areas_Data(), Table_WASA4Areas[[#Headers],[SA 4 Name]], 0)</f>
        <v>Bunbury</v>
      </c>
    </row>
    <row r="22" spans="1:4" ht="20.100000000000001" customHeight="1" x14ac:dyDescent="0.25">
      <c r="A22"/>
      <c r="D22" s="37" t="str" cm="1">
        <f t="array" ref="D22">Common_InputFunctions.Utility_DisplayArrayInTable(Common_SourceData.Common_SourceData_WASA4Areas_Data(), Table_WASA4Areas[[#Headers],[SA 4 Name]], 0)</f>
        <v>Mandurah</v>
      </c>
    </row>
    <row r="23" spans="1:4" ht="20.100000000000001" customHeight="1" x14ac:dyDescent="0.25">
      <c r="A23"/>
      <c r="D23" s="37" t="str" cm="1">
        <f t="array" ref="D23">Common_InputFunctions.Utility_DisplayArrayInTable(Common_SourceData.Common_SourceData_WASA4Areas_Data(), Table_WASA4Areas[[#Headers],[SA 4 Name]], 0)</f>
        <v>Perth - Inner</v>
      </c>
    </row>
    <row r="24" spans="1:4" ht="20.100000000000001" customHeight="1" x14ac:dyDescent="0.25">
      <c r="A24"/>
      <c r="D24" s="37" t="str" cm="1">
        <f t="array" ref="D24">Common_InputFunctions.Utility_DisplayArrayInTable(Common_SourceData.Common_SourceData_WASA4Areas_Data(), Table_WASA4Areas[[#Headers],[SA 4 Name]], 0)</f>
        <v>Perth - North East</v>
      </c>
    </row>
    <row r="25" spans="1:4" ht="20.100000000000001" customHeight="1" x14ac:dyDescent="0.25">
      <c r="A25"/>
      <c r="D25" s="37" t="str" cm="1">
        <f t="array" ref="D25">Common_InputFunctions.Utility_DisplayArrayInTable(Common_SourceData.Common_SourceData_WASA4Areas_Data(), Table_WASA4Areas[[#Headers],[SA 4 Name]], 0)</f>
        <v>Perth - North West</v>
      </c>
    </row>
    <row r="26" spans="1:4" ht="20.100000000000001" customHeight="1" x14ac:dyDescent="0.25">
      <c r="A26"/>
      <c r="D26" s="37" t="str" cm="1">
        <f t="array" ref="D26">Common_InputFunctions.Utility_DisplayArrayInTable(Common_SourceData.Common_SourceData_WASA4Areas_Data(), Table_WASA4Areas[[#Headers],[SA 4 Name]], 0)</f>
        <v>Perth - South East</v>
      </c>
    </row>
    <row r="27" spans="1:4" ht="20.100000000000001" customHeight="1" x14ac:dyDescent="0.25">
      <c r="A27"/>
      <c r="D27" s="37" t="str" cm="1">
        <f t="array" ref="D27">Common_InputFunctions.Utility_DisplayArrayInTable(Common_SourceData.Common_SourceData_WASA4Areas_Data(), Table_WASA4Areas[[#Headers],[SA 4 Name]], 0)</f>
        <v>Perth - South West</v>
      </c>
    </row>
    <row r="28" spans="1:4" ht="20.100000000000001" customHeight="1" x14ac:dyDescent="0.25">
      <c r="A28"/>
      <c r="D28" s="37"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7"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7"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7" t="s">
        <v>24</v>
      </c>
      <c r="E36" s="37" t="s">
        <v>25</v>
      </c>
    </row>
    <row r="37" spans="1:8" ht="20.100000000000001" customHeight="1" x14ac:dyDescent="0.25">
      <c r="A37"/>
      <c r="D37" s="37" t="str" cm="1">
        <f t="array" ref="D37">Common_InputFunctions.Utility_DisplayArrayInTable(Common_SourceData.Common_SourceData_GWP_Data(), Table_GWPData[[#Headers],[Gas]], 0)</f>
        <v>CO2</v>
      </c>
      <c r="E37" s="37" cm="1">
        <f t="array" ref="E37">Common_InputFunctions.Utility_DisplayArrayInTable(Common_SourceData.Common_SourceData_GWP_Data(), Table_GWPData[[#Headers],[Gas]], 0)</f>
        <v>1</v>
      </c>
    </row>
    <row r="38" spans="1:8" ht="20.100000000000001" customHeight="1" x14ac:dyDescent="0.25">
      <c r="A38"/>
      <c r="D38" s="37" t="str" cm="1">
        <f t="array" ref="D38">Common_InputFunctions.Utility_DisplayArrayInTable(Common_SourceData.Common_SourceData_GWP_Data(), Table_GWPData[[#Headers],[Gas]], 0)</f>
        <v>CH4</v>
      </c>
      <c r="E38" s="37" cm="1">
        <f t="array" ref="E38">Common_InputFunctions.Utility_DisplayArrayInTable(Common_SourceData.Common_SourceData_GWP_Data(), Table_GWPData[[#Headers],[Gas]], 0)</f>
        <v>28</v>
      </c>
    </row>
    <row r="39" spans="1:8" ht="20.100000000000001" customHeight="1" x14ac:dyDescent="0.25">
      <c r="A39"/>
      <c r="D39" s="37" t="str" cm="1">
        <f t="array" ref="D39">Common_InputFunctions.Utility_DisplayArrayInTable(Common_SourceData.Common_SourceData_GWP_Data(), Table_GWPData[[#Headers],[Gas]], 0)</f>
        <v>N2O</v>
      </c>
      <c r="E39" s="37" cm="1">
        <f t="array" ref="E39">Common_InputFunctions.Utility_DisplayArrayInTable(Common_SourceData.Common_SourceData_GWP_Data(), Table_GWPData[[#Headers],[Gas]], 0)</f>
        <v>265</v>
      </c>
    </row>
    <row r="40" spans="1:8" ht="20.100000000000001" customHeight="1" x14ac:dyDescent="0.25">
      <c r="A40"/>
      <c r="D40" s="37" t="str" cm="1">
        <f t="array" ref="D40">Common_InputFunctions.Utility_DisplayArrayInTable(Common_SourceData.Common_SourceData_GWP_Data(), Table_GWPData[[#Headers],[Gas]], 0)</f>
        <v>CF4</v>
      </c>
      <c r="E40" s="37" cm="1">
        <f t="array" ref="E40">Common_InputFunctions.Utility_DisplayArrayInTable(Common_SourceData.Common_SourceData_GWP_Data(), Table_GWPData[[#Headers],[Gas]], 0)</f>
        <v>6630</v>
      </c>
    </row>
    <row r="41" spans="1:8" ht="20.100000000000001" customHeight="1" x14ac:dyDescent="0.25">
      <c r="A41"/>
      <c r="D41" s="37" t="str" cm="1">
        <f t="array" ref="D41">Common_InputFunctions.Utility_DisplayArrayInTable(Common_SourceData.Common_SourceData_GWP_Data(), Table_GWPData[[#Headers],[Gas]], 0)</f>
        <v>C2F6</v>
      </c>
      <c r="E41" s="37" cm="1">
        <f t="array" ref="E41">Common_InputFunctions.Utility_DisplayArrayInTable(Common_SourceData.Common_SourceData_GWP_Data(), Table_GWPData[[#Headers],[Gas]], 0)</f>
        <v>12200</v>
      </c>
    </row>
    <row r="42" spans="1:8" ht="20.100000000000001" customHeight="1" x14ac:dyDescent="0.25">
      <c r="D42" s="37" t="str" cm="1">
        <f t="array" ref="D42">Common_InputFunctions.Utility_DisplayArrayInTable(Common_SourceData.Common_SourceData_GWP_Data(), Table_GWPData[[#Headers],[Gas]], 0)</f>
        <v>SF6</v>
      </c>
      <c r="E42" s="37" cm="1">
        <f t="array" ref="E42">Common_InputFunctions.Utility_DisplayArrayInTable(Common_SourceData.Common_SourceData_GWP_Data(), Table_GWPData[[#Headers],[Gas]], 0)</f>
        <v>22800</v>
      </c>
    </row>
    <row r="43" spans="1:8" ht="20.100000000000001" customHeight="1" x14ac:dyDescent="0.25">
      <c r="D43" s="37" t="str" cm="1">
        <f t="array" ref="D43">Common_InputFunctions.Utility_DisplayArrayInTable(Common_SourceData.Common_SourceData_GWP_Data(), Table_GWPData[[#Headers],[Gas]], 0)</f>
        <v>NF3</v>
      </c>
      <c r="E43" s="37"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37" t="s">
        <v>24</v>
      </c>
      <c r="E47" s="37" t="s">
        <v>27</v>
      </c>
      <c r="F47" s="37" t="s">
        <v>28</v>
      </c>
      <c r="G47" s="37" t="s">
        <v>29</v>
      </c>
      <c r="H47" s="37" t="s">
        <v>30</v>
      </c>
    </row>
    <row r="48" spans="1:8" ht="20.100000000000001" customHeight="1" x14ac:dyDescent="0.25">
      <c r="D48" s="37" t="str" cm="1">
        <f t="array" ref="D48">Common_InputFunctions.Utility_DisplayArrayInTable(Common_SourceData.Common_SourceData_ConvertGasElementalToMolecular_Data(),Table_GasToMolecularConversionFactor[[#Headers],[Gas]], 0)</f>
        <v>CO2</v>
      </c>
      <c r="E48" s="37" t="str" cm="1">
        <f t="array" ref="E48">Common_InputFunctions.Utility_DisplayArrayInTable(Common_SourceData.Common_SourceData_ConvertGasElementalToMolecular_Data(),Table_GasToMolecularConversionFactor[[#Headers],[Gas]], 0)</f>
        <v>44/12</v>
      </c>
      <c r="F48" s="37" cm="1">
        <f t="array" ref="F48">Common_InputFunctions.Utility_DisplayArrayInTable(Common_SourceData.Common_SourceData_ConvertGasElementalToMolecular_Data(),Table_GasToMolecularConversionFactor[[#Headers],[Gas]], 0)</f>
        <v>44</v>
      </c>
      <c r="G48" s="37" cm="1">
        <f t="array" ref="G48">Common_InputFunctions.Utility_DisplayArrayInTable(Common_SourceData.Common_SourceData_ConvertGasElementalToMolecular_Data(),Table_GasToMolecularConversionFactor[[#Headers],[Gas]], 0)</f>
        <v>12</v>
      </c>
      <c r="H48" s="37">
        <f>Table_GasToMolecularConversionFactor[[#This Row],[Conversion factor 1]]/Table_GasToMolecularConversionFactor[[#This Row],[Conversion factor 2]]</f>
        <v>3.6666666666666665</v>
      </c>
    </row>
    <row r="49" spans="4:8" ht="20.100000000000001" customHeight="1" x14ac:dyDescent="0.25">
      <c r="D49" s="37" t="str" cm="1">
        <f t="array" ref="D49">Common_InputFunctions.Utility_DisplayArrayInTable(Common_SourceData.Common_SourceData_ConvertGasElementalToMolecular_Data(),Table_GasToMolecularConversionFactor[[#Headers],[Gas]], 0)</f>
        <v>CH4</v>
      </c>
      <c r="E49" s="37" t="str" cm="1">
        <f t="array" ref="E49">Common_InputFunctions.Utility_DisplayArrayInTable(Common_SourceData.Common_SourceData_ConvertGasElementalToMolecular_Data(),Table_GasToMolecularConversionFactor[[#Headers],[Gas]], 0)</f>
        <v>16/12</v>
      </c>
      <c r="F49" s="37" cm="1">
        <f t="array" ref="F49">Common_InputFunctions.Utility_DisplayArrayInTable(Common_SourceData.Common_SourceData_ConvertGasElementalToMolecular_Data(),Table_GasToMolecularConversionFactor[[#Headers],[Gas]], 0)</f>
        <v>16</v>
      </c>
      <c r="G49" s="37" cm="1">
        <f t="array" ref="G49">Common_InputFunctions.Utility_DisplayArrayInTable(Common_SourceData.Common_SourceData_ConvertGasElementalToMolecular_Data(),Table_GasToMolecularConversionFactor[[#Headers],[Gas]], 0)</f>
        <v>12</v>
      </c>
      <c r="H49" s="37">
        <f>Table_GasToMolecularConversionFactor[[#This Row],[Conversion factor 1]]/Table_GasToMolecularConversionFactor[[#This Row],[Conversion factor 2]]</f>
        <v>1.3333333333333333</v>
      </c>
    </row>
    <row r="50" spans="4:8" ht="20.100000000000001" customHeight="1" x14ac:dyDescent="0.25">
      <c r="D50" s="37" t="str" cm="1">
        <f t="array" ref="D50">Common_InputFunctions.Utility_DisplayArrayInTable(Common_SourceData.Common_SourceData_ConvertGasElementalToMolecular_Data(),Table_GasToMolecularConversionFactor[[#Headers],[Gas]], 0)</f>
        <v>N2O</v>
      </c>
      <c r="E50" s="37" t="str" cm="1">
        <f t="array" ref="E50">Common_InputFunctions.Utility_DisplayArrayInTable(Common_SourceData.Common_SourceData_ConvertGasElementalToMolecular_Data(),Table_GasToMolecularConversionFactor[[#Headers],[Gas]], 0)</f>
        <v>44/28</v>
      </c>
      <c r="F50" s="37" cm="1">
        <f t="array" ref="F50">Common_InputFunctions.Utility_DisplayArrayInTable(Common_SourceData.Common_SourceData_ConvertGasElementalToMolecular_Data(),Table_GasToMolecularConversionFactor[[#Headers],[Gas]], 0)</f>
        <v>44</v>
      </c>
      <c r="G50" s="37" cm="1">
        <f t="array" ref="G50">Common_InputFunctions.Utility_DisplayArrayInTable(Common_SourceData.Common_SourceData_ConvertGasElementalToMolecular_Data(),Table_GasToMolecularConversionFactor[[#Headers],[Gas]], 0)</f>
        <v>28</v>
      </c>
      <c r="H50" s="37">
        <f>Table_GasToMolecularConversionFactor[[#This Row],[Conversion factor 1]]/Table_GasToMolecularConversionFactor[[#This Row],[Conversion factor 2]]</f>
        <v>1.5714285714285714</v>
      </c>
    </row>
    <row r="51" spans="4:8" ht="20.100000000000001" customHeight="1" x14ac:dyDescent="0.25">
      <c r="D51" s="37" t="str" cm="1">
        <f t="array" ref="D51">Common_InputFunctions.Utility_DisplayArrayInTable(Common_SourceData.Common_SourceData_ConvertGasElementalToMolecular_Data(),Table_GasToMolecularConversionFactor[[#Headers],[Gas]], 0)</f>
        <v>Nox</v>
      </c>
      <c r="E51" s="37" t="str" cm="1">
        <f t="array" ref="E51">Common_InputFunctions.Utility_DisplayArrayInTable(Common_SourceData.Common_SourceData_ConvertGasElementalToMolecular_Data(),Table_GasToMolecularConversionFactor[[#Headers],[Gas]], 0)</f>
        <v>46/14</v>
      </c>
      <c r="F51" s="37" cm="1">
        <f t="array" ref="F51">Common_InputFunctions.Utility_DisplayArrayInTable(Common_SourceData.Common_SourceData_ConvertGasElementalToMolecular_Data(),Table_GasToMolecularConversionFactor[[#Headers],[Gas]], 0)</f>
        <v>46</v>
      </c>
      <c r="G51" s="37" cm="1">
        <f t="array" ref="G51">Common_InputFunctions.Utility_DisplayArrayInTable(Common_SourceData.Common_SourceData_ConvertGasElementalToMolecular_Data(),Table_GasToMolecularConversionFactor[[#Headers],[Gas]], 0)</f>
        <v>14</v>
      </c>
      <c r="H51" s="37">
        <f>Table_GasToMolecularConversionFactor[[#This Row],[Conversion factor 1]]/Table_GasToMolecularConversionFactor[[#This Row],[Conversion factor 2]]</f>
        <v>3.2857142857142856</v>
      </c>
    </row>
    <row r="52" spans="4:8" ht="20.100000000000001" customHeight="1" x14ac:dyDescent="0.25">
      <c r="D52" s="37" t="str" cm="1">
        <f t="array" ref="D52">Common_InputFunctions.Utility_DisplayArrayInTable(Common_SourceData.Common_SourceData_ConvertGasElementalToMolecular_Data(),Table_GasToMolecularConversionFactor[[#Headers],[Gas]], 0)</f>
        <v>CO</v>
      </c>
      <c r="E52" s="37" t="str" cm="1">
        <f t="array" ref="E52">Common_InputFunctions.Utility_DisplayArrayInTable(Common_SourceData.Common_SourceData_ConvertGasElementalToMolecular_Data(),Table_GasToMolecularConversionFactor[[#Headers],[Gas]], 0)</f>
        <v>28/12</v>
      </c>
      <c r="F52" s="37" cm="1">
        <f t="array" ref="F52">Common_InputFunctions.Utility_DisplayArrayInTable(Common_SourceData.Common_SourceData_ConvertGasElementalToMolecular_Data(),Table_GasToMolecularConversionFactor[[#Headers],[Gas]], 0)</f>
        <v>28</v>
      </c>
      <c r="G52" s="37" cm="1">
        <f t="array" ref="G52">Common_InputFunctions.Utility_DisplayArrayInTable(Common_SourceData.Common_SourceData_ConvertGasElementalToMolecular_Data(),Table_GasToMolecularConversionFactor[[#Headers],[Gas]], 0)</f>
        <v>12</v>
      </c>
      <c r="H52" s="37">
        <f>Table_GasToMolecularConversionFactor[[#This Row],[Conversion factor 1]]/Table_GasToMolecularConversionFactor[[#This Row],[Conversion factor 2]]</f>
        <v>2.3333333333333335</v>
      </c>
    </row>
    <row r="53" spans="4:8" ht="20.100000000000001" customHeight="1" x14ac:dyDescent="0.25">
      <c r="D53" s="37" t="str" cm="1">
        <f t="array" ref="D53">Common_InputFunctions.Utility_DisplayArrayInTable(Common_SourceData.Common_SourceData_ConvertGasElementalToMolecular_Data(),Table_GasToMolecularConversionFactor[[#Headers],[Gas]], 0)</f>
        <v>CO2 Lime</v>
      </c>
      <c r="E53" s="37" t="str" cm="1">
        <f t="array" ref="E53">Common_InputFunctions.Utility_DisplayArrayInTable(Common_SourceData.Common_SourceData_ConvertGasElementalToMolecular_Data(),Table_GasToMolecularConversionFactor[[#Headers],[Gas]], 0)</f>
        <v>44/12</v>
      </c>
      <c r="F53" s="37" cm="1">
        <f t="array" ref="F53">Common_InputFunctions.Utility_DisplayArrayInTable(Common_SourceData.Common_SourceData_ConvertGasElementalToMolecular_Data(),Table_GasToMolecularConversionFactor[[#Headers],[Gas]], 0)</f>
        <v>44</v>
      </c>
      <c r="G53" s="37" cm="1">
        <f t="array" ref="G53">Common_InputFunctions.Utility_DisplayArrayInTable(Common_SourceData.Common_SourceData_ConvertGasElementalToMolecular_Data(),Table_GasToMolecularConversionFactor[[#Headers],[Gas]], 0)</f>
        <v>12</v>
      </c>
      <c r="H53" s="37">
        <f>Table_GasToMolecularConversionFactor[[#This Row],[Conversion factor 1]]/Table_GasToMolecularConversionFactor[[#This Row],[Conversion factor 2]]</f>
        <v>3.6666666666666665</v>
      </c>
    </row>
    <row r="54" spans="4:8" ht="20.100000000000001" customHeight="1" x14ac:dyDescent="0.25">
      <c r="D54" s="37" t="str" cm="1">
        <f t="array" ref="D54">Common_InputFunctions.Utility_DisplayArrayInTable(Common_SourceData.Common_SourceData_ConvertGasElementalToMolecular_Data(),Table_GasToMolecularConversionFactor[[#Headers],[Gas]], 0)</f>
        <v>NMVOC</v>
      </c>
      <c r="E54" s="37" t="str" cm="1">
        <f t="array" ref="E54">Common_InputFunctions.Utility_DisplayArrayInTable(Common_SourceData.Common_SourceData_ConvertGasElementalToMolecular_Data(),Table_GasToMolecularConversionFactor[[#Headers],[Gas]], 0)</f>
        <v>14/12</v>
      </c>
      <c r="F54" s="37" cm="1">
        <f t="array" ref="F54">Common_InputFunctions.Utility_DisplayArrayInTable(Common_SourceData.Common_SourceData_ConvertGasElementalToMolecular_Data(),Table_GasToMolecularConversionFactor[[#Headers],[Gas]], 0)</f>
        <v>14</v>
      </c>
      <c r="G54" s="37" cm="1">
        <f t="array" ref="G54">Common_InputFunctions.Utility_DisplayArrayInTable(Common_SourceData.Common_SourceData_ConvertGasElementalToMolecular_Data(),Table_GasToMolecularConversionFactor[[#Headers],[Gas]], 0)</f>
        <v>12</v>
      </c>
      <c r="H54" s="37">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53" t="str" cm="1">
        <f t="array" ref="D59:D61">"⚠️" &amp; Common_SourceData.Common_SourceData_WetAndDryZones_Variation()</f>
        <v>⚠️VARIATION OF SOURCE DATA:</v>
      </c>
    </row>
    <row r="60" spans="4:8" ht="20.100000000000001" customHeight="1" x14ac:dyDescent="0.25">
      <c r="D60" s="53" t="str">
        <v>⚠️Added warm / cool temperate moist / dry - low frost and high temp classes to accommodate climate scenarios excluded by VEERG criteria.</v>
      </c>
    </row>
    <row r="61" spans="4:8" ht="20.100000000000001" customHeight="1" x14ac:dyDescent="0.25">
      <c r="D61" s="53" t="str">
        <v>⚠️Fixed typo - Changed 'Fry' to 'Dry'.</v>
      </c>
    </row>
    <row r="62" spans="4:8" ht="20.100000000000001" customHeight="1" x14ac:dyDescent="0.25"/>
    <row r="63" spans="4:8" ht="20.100000000000001" customHeight="1" x14ac:dyDescent="0.25">
      <c r="D63" s="37" t="s">
        <v>8</v>
      </c>
      <c r="E63" s="37" t="s">
        <v>45</v>
      </c>
    </row>
    <row r="64" spans="4:8" ht="20.100000000000001" customHeight="1" x14ac:dyDescent="0.25">
      <c r="D64" s="37" t="str" cm="1">
        <f t="array" ref="D64">Common_InputFunctions.Utility_DisplayArrayInTable(Common_SourceData.Common_SourceData_WetAndDryZones_Data(), Table_SourceData_WetDryZones[[#Headers],[Climate zone]], 0)</f>
        <v>Tropical montane</v>
      </c>
      <c r="E64" s="37"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7" t="str" cm="1">
        <f t="array" ref="D65">Common_InputFunctions.Utility_DisplayArrayInTable(Common_SourceData.Common_SourceData_WetAndDryZones_Data(), Table_SourceData_WetDryZones[[#Headers],[Climate zone]], 0)</f>
        <v>Tropical wet</v>
      </c>
      <c r="E65" s="37"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7" t="str" cm="1">
        <f t="array" ref="D66">Common_InputFunctions.Utility_DisplayArrayInTable(Common_SourceData.Common_SourceData_WetAndDryZones_Data(), Table_SourceData_WetDryZones[[#Headers],[Climate zone]], 0)</f>
        <v>Tropical moist</v>
      </c>
      <c r="E66" s="37"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7" t="str" cm="1">
        <f t="array" ref="D67">Common_InputFunctions.Utility_DisplayArrayInTable(Common_SourceData.Common_SourceData_WetAndDryZones_Data(), Table_SourceData_WetDryZones[[#Headers],[Climate zone]], 0)</f>
        <v>Tropical dry</v>
      </c>
      <c r="E67" s="37"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7" t="str" cm="1">
        <f t="array" ref="D68">Common_InputFunctions.Utility_DisplayArrayInTable(Common_SourceData.Common_SourceData_WetAndDryZones_Data(), Table_SourceData_WetDryZones[[#Headers],[Climate zone]], 0)</f>
        <v>Warm temperate moist</v>
      </c>
      <c r="E68" s="37"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7" t="str" cm="1">
        <f t="array" ref="D69">Common_InputFunctions.Utility_DisplayArrayInTable(Common_SourceData.Common_SourceData_WetAndDryZones_Data(), Table_SourceData_WetDryZones[[#Headers],[Climate zone]], 0)</f>
        <v>Warm temperate dry</v>
      </c>
      <c r="E69" s="37"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7" t="str" cm="1">
        <f t="array" ref="D70">Common_InputFunctions.Utility_DisplayArrayInTable(Common_SourceData.Common_SourceData_WetAndDryZones_Data(), Table_SourceData_WetDryZones[[#Headers],[Climate zone]], 0)</f>
        <v>Cool temperate moist</v>
      </c>
      <c r="E70" s="37"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7" t="str" cm="1">
        <f t="array" ref="D71">Common_InputFunctions.Utility_DisplayArrayInTable(Common_SourceData.Common_SourceData_WetAndDryZones_Data(), Table_SourceData_WetDryZones[[#Headers],[Climate zone]], 0)</f>
        <v>Cool temperate dry</v>
      </c>
      <c r="E71" s="37"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7" t="str" cm="1">
        <f t="array" ref="D72">Common_InputFunctions.Utility_DisplayArrayInTable(Common_SourceData.Common_SourceData_WetAndDryZones_Data(), Table_SourceData_WetDryZones[[#Headers],[Climate zone]], 0)</f>
        <v>Warm temperate moist - low frost</v>
      </c>
      <c r="E72" s="37"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7" t="str" cm="1">
        <f t="array" ref="D73">Common_InputFunctions.Utility_DisplayArrayInTable(Common_SourceData.Common_SourceData_WetAndDryZones_Data(), Table_SourceData_WetDryZones[[#Headers],[Climate zone]], 0)</f>
        <v>Warm temperate dry - low frost</v>
      </c>
      <c r="E73" s="37"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7" t="str" cm="1">
        <f t="array" ref="D74">Common_InputFunctions.Utility_DisplayArrayInTable(Common_SourceData.Common_SourceData_WetAndDryZones_Data(), Table_SourceData_WetDryZones[[#Headers],[Climate zone]], 0)</f>
        <v>Warm temperate moist - high temp</v>
      </c>
      <c r="E74" s="37"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7" t="str" cm="1">
        <f t="array" ref="D75">Common_InputFunctions.Utility_DisplayArrayInTable(Common_SourceData.Common_SourceData_WetAndDryZones_Data(), Table_SourceData_WetDryZones[[#Headers],[Climate zone]], 0)</f>
        <v>Warm temperate dry - high temp</v>
      </c>
      <c r="E75" s="37"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7" t="str" cm="1">
        <f t="array" ref="D76">Common_InputFunctions.Utility_DisplayArrayInTable(Common_SourceData.Common_SourceData_WetAndDryZones_Data(), Table_SourceData_WetDryZones[[#Headers],[Climate zone]], 0)</f>
        <v>Cool temperate moist - low frost</v>
      </c>
      <c r="E76" s="37"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7" t="str" cm="1">
        <f t="array" ref="D77">Common_InputFunctions.Utility_DisplayArrayInTable(Common_SourceData.Common_SourceData_WetAndDryZones_Data(), Table_SourceData_WetDryZones[[#Headers],[Climate zone]], 0)</f>
        <v>Cool temperate dry - low frost</v>
      </c>
      <c r="E77" s="37"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53" t="str" cm="1">
        <f t="array" ref="D83:D87">"⚠️" &amp; Common_SourceData.Common_SourceData_ClimateZones_Variation()</f>
        <v>⚠️VARIATION OF SOURCE DATA:</v>
      </c>
    </row>
    <row r="84" spans="4:20" ht="20.100000000000001" customHeight="1" x14ac:dyDescent="0.25">
      <c r="D84" s="53" t="str">
        <v>⚠️Added warm / cool temperate moist / dry - low frost and high temp classes to accommodate climate scenarios excluded by VEERG criteria.</v>
      </c>
    </row>
    <row r="85" spans="4:20" ht="20.100000000000001" customHeight="1" x14ac:dyDescent="0.25">
      <c r="D85" s="53" t="str">
        <v>⚠️Fixed typo in MAT value for warm temperate dry - changed 10 to 11.</v>
      </c>
    </row>
    <row r="86" spans="4:20" ht="20.100000000000001" customHeight="1" x14ac:dyDescent="0.25">
      <c r="D86" s="53" t="str">
        <v>⚠️Added min and max columns for MAT, MAP, frost days per year, elevation, MAP:PET to calculate zones from real climate data.</v>
      </c>
    </row>
    <row r="87" spans="4:20" ht="20.100000000000001" customHeight="1" x14ac:dyDescent="0.25">
      <c r="D87" s="53" t="str">
        <v>⚠️GAF accepts rainfall as a proxy for precipitation.</v>
      </c>
    </row>
    <row r="88" spans="4:20" ht="20.100000000000001" customHeight="1" x14ac:dyDescent="0.25"/>
    <row r="89" spans="4:20" ht="20.100000000000001" customHeight="1" x14ac:dyDescent="0.25">
      <c r="D89" s="37" t="s">
        <v>8</v>
      </c>
      <c r="E89" s="37" t="s">
        <v>33</v>
      </c>
      <c r="F89" s="37" t="s">
        <v>34</v>
      </c>
      <c r="G89" s="37" t="s">
        <v>35</v>
      </c>
      <c r="H89" s="37" t="s">
        <v>36</v>
      </c>
      <c r="I89" s="37" t="s">
        <v>37</v>
      </c>
      <c r="J89" s="37" t="s">
        <v>38</v>
      </c>
      <c r="K89" s="37" t="s">
        <v>39</v>
      </c>
      <c r="L89" s="37" t="s">
        <v>40</v>
      </c>
      <c r="M89" s="37" t="s">
        <v>41</v>
      </c>
      <c r="N89" s="37" t="s">
        <v>42</v>
      </c>
      <c r="O89" s="37" t="s">
        <v>46</v>
      </c>
      <c r="P89" s="37" t="s">
        <v>43</v>
      </c>
      <c r="Q89" s="37" t="s">
        <v>47</v>
      </c>
      <c r="R89" s="37" t="s">
        <v>44</v>
      </c>
      <c r="S89" s="37" t="s">
        <v>48</v>
      </c>
      <c r="T89" s="37"/>
    </row>
    <row r="90" spans="4:20" ht="20.100000000000001" customHeight="1" x14ac:dyDescent="0.25">
      <c r="D90" s="37" t="str" cm="1">
        <f t="array" ref="D90">Common_InputFunctions.Utility_DisplayArrayInTable(Common_SourceData.Common_SourceData_ClimateZones_Data(), Table_SourceData_ClimateZones[[#Headers],[Climate zone]], 0)</f>
        <v>Tropical montane</v>
      </c>
      <c r="E90" s="37" t="str" cm="1">
        <f t="array" ref="E90">Common_InputFunctions.Utility_DisplayArrayInTable(Common_SourceData.Common_SourceData_ClimateZones_Data(), Table_SourceData_ClimateZones[[#Headers],[Climate zone]], 0)</f>
        <v>&gt; 18 C</v>
      </c>
      <c r="F90" s="37" t="str" cm="1">
        <f t="array" ref="F90">Common_InputFunctions.Utility_DisplayArrayInTable(Common_SourceData.Common_SourceData_ClimateZones_Data(), Table_SourceData_ClimateZones[[#Headers],[Climate zone]], 0)</f>
        <v>Any</v>
      </c>
      <c r="G90" s="37" t="str" cm="1">
        <f t="array" ref="G90">Common_InputFunctions.Utility_DisplayArrayInTable(Common_SourceData.Common_SourceData_ClimateZones_Data(), Table_SourceData_ClimateZones[[#Headers],[Climate zone]], 0)</f>
        <v>≤ 7</v>
      </c>
      <c r="H90" s="37" t="str" cm="1">
        <f t="array" ref="H90">Common_InputFunctions.Utility_DisplayArrayInTable(Common_SourceData.Common_SourceData_ClimateZones_Data(), Table_SourceData_ClimateZones[[#Headers],[Climate zone]], 0)</f>
        <v>&gt; 1000 m</v>
      </c>
      <c r="I90" s="37" t="str" cm="1">
        <f t="array" ref="I90">Common_InputFunctions.Utility_DisplayArrayInTable(Common_SourceData.Common_SourceData_ClimateZones_Data(), Table_SourceData_ClimateZones[[#Headers],[Climate zone]], 0)</f>
        <v>Any</v>
      </c>
      <c r="J90" s="37" cm="1">
        <f t="array" ref="J90">Common_InputFunctions.Utility_DisplayArrayInTable(Common_SourceData.Common_SourceData_ClimateZones_Data(), Table_SourceData_ClimateZones[[#Headers],[Climate zone]], 0)</f>
        <v>18.001000000000001</v>
      </c>
      <c r="K90" s="37" cm="1">
        <f t="array" ref="K90">Common_InputFunctions.Utility_DisplayArrayInTable(Common_SourceData.Common_SourceData_ClimateZones_Data(), Table_SourceData_ClimateZones[[#Headers],[Climate zone]], 0)</f>
        <v>999999</v>
      </c>
      <c r="L90" s="37" cm="1">
        <f t="array" ref="L90">Common_InputFunctions.Utility_DisplayArrayInTable(Common_SourceData.Common_SourceData_ClimateZones_Data(), Table_SourceData_ClimateZones[[#Headers],[Climate zone]], 0)</f>
        <v>-999999</v>
      </c>
      <c r="M90" s="37" cm="1">
        <f t="array" ref="M90">Common_InputFunctions.Utility_DisplayArrayInTable(Common_SourceData.Common_SourceData_ClimateZones_Data(), Table_SourceData_ClimateZones[[#Headers],[Climate zone]], 0)</f>
        <v>999999</v>
      </c>
      <c r="N90" s="37" cm="1">
        <f t="array" ref="N90">Common_InputFunctions.Utility_DisplayArrayInTable(Common_SourceData.Common_SourceData_ClimateZones_Data(), Table_SourceData_ClimateZones[[#Headers],[Climate zone]], 0)</f>
        <v>-999999</v>
      </c>
      <c r="O90" s="37" cm="1">
        <f t="array" ref="O90">Common_InputFunctions.Utility_DisplayArrayInTable(Common_SourceData.Common_SourceData_ClimateZones_Data(), Table_SourceData_ClimateZones[[#Headers],[Climate zone]], 0)</f>
        <v>7</v>
      </c>
      <c r="P90" s="37" cm="1">
        <f t="array" ref="P90">Common_InputFunctions.Utility_DisplayArrayInTable(Common_SourceData.Common_SourceData_ClimateZones_Data(), Table_SourceData_ClimateZones[[#Headers],[Climate zone]], 0)</f>
        <v>1000</v>
      </c>
      <c r="Q90" s="37" cm="1">
        <f t="array" ref="Q90">Common_InputFunctions.Utility_DisplayArrayInTable(Common_SourceData.Common_SourceData_ClimateZones_Data(), Table_SourceData_ClimateZones[[#Headers],[Climate zone]], 0)</f>
        <v>999999</v>
      </c>
      <c r="R90" s="37" cm="1">
        <f t="array" ref="R90">Common_InputFunctions.Utility_DisplayArrayInTable(Common_SourceData.Common_SourceData_ClimateZones_Data(), Table_SourceData_ClimateZones[[#Headers],[Climate zone]], 0)</f>
        <v>-999999</v>
      </c>
      <c r="S90" s="37" cm="1">
        <f t="array" ref="S90">Common_InputFunctions.Utility_DisplayArrayInTable(Common_SourceData.Common_SourceData_ClimateZones_Data(), Table_SourceData_ClimateZones[[#Headers],[Climate zone]], 0)</f>
        <v>999999</v>
      </c>
      <c r="T90" s="37"/>
    </row>
    <row r="91" spans="4:20" ht="20.100000000000001" customHeight="1" x14ac:dyDescent="0.25">
      <c r="D91" s="37" t="str" cm="1">
        <f t="array" ref="D91">Common_InputFunctions.Utility_DisplayArrayInTable(Common_SourceData.Common_SourceData_ClimateZones_Data(), Table_SourceData_ClimateZones[[#Headers],[Climate zone]], 0)</f>
        <v>Tropical wet</v>
      </c>
      <c r="E91" s="37" t="str" cm="1">
        <f t="array" ref="E91">Common_InputFunctions.Utility_DisplayArrayInTable(Common_SourceData.Common_SourceData_ClimateZones_Data(), Table_SourceData_ClimateZones[[#Headers],[Climate zone]], 0)</f>
        <v>&gt; 18 C</v>
      </c>
      <c r="F91" s="37" t="str" cm="1">
        <f t="array" ref="F91">Common_InputFunctions.Utility_DisplayArrayInTable(Common_SourceData.Common_SourceData_ClimateZones_Data(), Table_SourceData_ClimateZones[[#Headers],[Climate zone]], 0)</f>
        <v>&gt; 2000 mm</v>
      </c>
      <c r="G91" s="37" t="str" cm="1">
        <f t="array" ref="G91">Common_InputFunctions.Utility_DisplayArrayInTable(Common_SourceData.Common_SourceData_ClimateZones_Data(), Table_SourceData_ClimateZones[[#Headers],[Climate zone]], 0)</f>
        <v>≤ 7</v>
      </c>
      <c r="H91" s="37" t="str" cm="1">
        <f t="array" ref="H91">Common_InputFunctions.Utility_DisplayArrayInTable(Common_SourceData.Common_SourceData_ClimateZones_Data(), Table_SourceData_ClimateZones[[#Headers],[Climate zone]], 0)</f>
        <v>≤ 1000 m</v>
      </c>
      <c r="I91" s="37" t="str" cm="1">
        <f t="array" ref="I91">Common_InputFunctions.Utility_DisplayArrayInTable(Common_SourceData.Common_SourceData_ClimateZones_Data(), Table_SourceData_ClimateZones[[#Headers],[Climate zone]], 0)</f>
        <v>Any</v>
      </c>
      <c r="J91" s="37" cm="1">
        <f t="array" ref="J91">Common_InputFunctions.Utility_DisplayArrayInTable(Common_SourceData.Common_SourceData_ClimateZones_Data(), Table_SourceData_ClimateZones[[#Headers],[Climate zone]], 0)</f>
        <v>18.001000000000001</v>
      </c>
      <c r="K91" s="37" cm="1">
        <f t="array" ref="K91">Common_InputFunctions.Utility_DisplayArrayInTable(Common_SourceData.Common_SourceData_ClimateZones_Data(), Table_SourceData_ClimateZones[[#Headers],[Climate zone]], 0)</f>
        <v>999999</v>
      </c>
      <c r="L91" s="37" cm="1">
        <f t="array" ref="L91">Common_InputFunctions.Utility_DisplayArrayInTable(Common_SourceData.Common_SourceData_ClimateZones_Data(), Table_SourceData_ClimateZones[[#Headers],[Climate zone]], 0)</f>
        <v>2000.001</v>
      </c>
      <c r="M91" s="37" cm="1">
        <f t="array" ref="M91">Common_InputFunctions.Utility_DisplayArrayInTable(Common_SourceData.Common_SourceData_ClimateZones_Data(), Table_SourceData_ClimateZones[[#Headers],[Climate zone]], 0)</f>
        <v>999999</v>
      </c>
      <c r="N91" s="37" cm="1">
        <f t="array" ref="N91">Common_InputFunctions.Utility_DisplayArrayInTable(Common_SourceData.Common_SourceData_ClimateZones_Data(), Table_SourceData_ClimateZones[[#Headers],[Climate zone]], 0)</f>
        <v>-999999</v>
      </c>
      <c r="O91" s="37" cm="1">
        <f t="array" ref="O91">Common_InputFunctions.Utility_DisplayArrayInTable(Common_SourceData.Common_SourceData_ClimateZones_Data(), Table_SourceData_ClimateZones[[#Headers],[Climate zone]], 0)</f>
        <v>7</v>
      </c>
      <c r="P91" s="37" cm="1">
        <f t="array" ref="P91">Common_InputFunctions.Utility_DisplayArrayInTable(Common_SourceData.Common_SourceData_ClimateZones_Data(), Table_SourceData_ClimateZones[[#Headers],[Climate zone]], 0)</f>
        <v>-999999</v>
      </c>
      <c r="Q91" s="37" cm="1">
        <f t="array" ref="Q91">Common_InputFunctions.Utility_DisplayArrayInTable(Common_SourceData.Common_SourceData_ClimateZones_Data(), Table_SourceData_ClimateZones[[#Headers],[Climate zone]], 0)</f>
        <v>999.99900000000002</v>
      </c>
      <c r="R91" s="37" cm="1">
        <f t="array" ref="R91">Common_InputFunctions.Utility_DisplayArrayInTable(Common_SourceData.Common_SourceData_ClimateZones_Data(), Table_SourceData_ClimateZones[[#Headers],[Climate zone]], 0)</f>
        <v>-999999</v>
      </c>
      <c r="S91" s="37" cm="1">
        <f t="array" ref="S91">Common_InputFunctions.Utility_DisplayArrayInTable(Common_SourceData.Common_SourceData_ClimateZones_Data(), Table_SourceData_ClimateZones[[#Headers],[Climate zone]], 0)</f>
        <v>999999</v>
      </c>
      <c r="T91" s="37"/>
    </row>
    <row r="92" spans="4:20" ht="20.100000000000001" customHeight="1" x14ac:dyDescent="0.25">
      <c r="D92" s="37" t="str" cm="1">
        <f t="array" ref="D92">Common_InputFunctions.Utility_DisplayArrayInTable(Common_SourceData.Common_SourceData_ClimateZones_Data(), Table_SourceData_ClimateZones[[#Headers],[Climate zone]], 0)</f>
        <v>Tropical moist</v>
      </c>
      <c r="E92" s="37" t="str" cm="1">
        <f t="array" ref="E92">Common_InputFunctions.Utility_DisplayArrayInTable(Common_SourceData.Common_SourceData_ClimateZones_Data(), Table_SourceData_ClimateZones[[#Headers],[Climate zone]], 0)</f>
        <v>&gt; 18 C</v>
      </c>
      <c r="F92" s="37" t="str" cm="1">
        <f t="array" ref="F92">Common_InputFunctions.Utility_DisplayArrayInTable(Common_SourceData.Common_SourceData_ClimateZones_Data(), Table_SourceData_ClimateZones[[#Headers],[Climate zone]], 0)</f>
        <v>&gt; 1000 mm - ≤ 2000 mm</v>
      </c>
      <c r="G92" s="37" t="str" cm="1">
        <f t="array" ref="G92">Common_InputFunctions.Utility_DisplayArrayInTable(Common_SourceData.Common_SourceData_ClimateZones_Data(), Table_SourceData_ClimateZones[[#Headers],[Climate zone]], 0)</f>
        <v>≤ 7</v>
      </c>
      <c r="H92" s="37" t="str" cm="1">
        <f t="array" ref="H92">Common_InputFunctions.Utility_DisplayArrayInTable(Common_SourceData.Common_SourceData_ClimateZones_Data(), Table_SourceData_ClimateZones[[#Headers],[Climate zone]], 0)</f>
        <v>≤ 1000 m</v>
      </c>
      <c r="I92" s="37" t="str" cm="1">
        <f t="array" ref="I92">Common_InputFunctions.Utility_DisplayArrayInTable(Common_SourceData.Common_SourceData_ClimateZones_Data(), Table_SourceData_ClimateZones[[#Headers],[Climate zone]], 0)</f>
        <v>Any</v>
      </c>
      <c r="J92" s="37" cm="1">
        <f t="array" ref="J92">Common_InputFunctions.Utility_DisplayArrayInTable(Common_SourceData.Common_SourceData_ClimateZones_Data(), Table_SourceData_ClimateZones[[#Headers],[Climate zone]], 0)</f>
        <v>18.001000000000001</v>
      </c>
      <c r="K92" s="37" cm="1">
        <f t="array" ref="K92">Common_InputFunctions.Utility_DisplayArrayInTable(Common_SourceData.Common_SourceData_ClimateZones_Data(), Table_SourceData_ClimateZones[[#Headers],[Climate zone]], 0)</f>
        <v>999999</v>
      </c>
      <c r="L92" s="37" cm="1">
        <f t="array" ref="L92">Common_InputFunctions.Utility_DisplayArrayInTable(Common_SourceData.Common_SourceData_ClimateZones_Data(), Table_SourceData_ClimateZones[[#Headers],[Climate zone]], 0)</f>
        <v>1000.001</v>
      </c>
      <c r="M92" s="37" cm="1">
        <f t="array" ref="M92">Common_InputFunctions.Utility_DisplayArrayInTable(Common_SourceData.Common_SourceData_ClimateZones_Data(), Table_SourceData_ClimateZones[[#Headers],[Climate zone]], 0)</f>
        <v>2000</v>
      </c>
      <c r="N92" s="37" cm="1">
        <f t="array" ref="N92">Common_InputFunctions.Utility_DisplayArrayInTable(Common_SourceData.Common_SourceData_ClimateZones_Data(), Table_SourceData_ClimateZones[[#Headers],[Climate zone]], 0)</f>
        <v>-999999</v>
      </c>
      <c r="O92" s="37" cm="1">
        <f t="array" ref="O92">Common_InputFunctions.Utility_DisplayArrayInTable(Common_SourceData.Common_SourceData_ClimateZones_Data(), Table_SourceData_ClimateZones[[#Headers],[Climate zone]], 0)</f>
        <v>7</v>
      </c>
      <c r="P92" s="37" cm="1">
        <f t="array" ref="P92">Common_InputFunctions.Utility_DisplayArrayInTable(Common_SourceData.Common_SourceData_ClimateZones_Data(), Table_SourceData_ClimateZones[[#Headers],[Climate zone]], 0)</f>
        <v>-999999</v>
      </c>
      <c r="Q92" s="37" cm="1">
        <f t="array" ref="Q92">Common_InputFunctions.Utility_DisplayArrayInTable(Common_SourceData.Common_SourceData_ClimateZones_Data(), Table_SourceData_ClimateZones[[#Headers],[Climate zone]], 0)</f>
        <v>999.99900000000002</v>
      </c>
      <c r="R92" s="37" cm="1">
        <f t="array" ref="R92">Common_InputFunctions.Utility_DisplayArrayInTable(Common_SourceData.Common_SourceData_ClimateZones_Data(), Table_SourceData_ClimateZones[[#Headers],[Climate zone]], 0)</f>
        <v>-999999</v>
      </c>
      <c r="S92" s="37" cm="1">
        <f t="array" ref="S92">Common_InputFunctions.Utility_DisplayArrayInTable(Common_SourceData.Common_SourceData_ClimateZones_Data(), Table_SourceData_ClimateZones[[#Headers],[Climate zone]], 0)</f>
        <v>999999</v>
      </c>
      <c r="T92" s="37"/>
    </row>
    <row r="93" spans="4:20" ht="20.100000000000001" customHeight="1" x14ac:dyDescent="0.25">
      <c r="D93" s="37" t="str" cm="1">
        <f t="array" ref="D93">Common_InputFunctions.Utility_DisplayArrayInTable(Common_SourceData.Common_SourceData_ClimateZones_Data(), Table_SourceData_ClimateZones[[#Headers],[Climate zone]], 0)</f>
        <v>Tropical dry</v>
      </c>
      <c r="E93" s="37" t="str" cm="1">
        <f t="array" ref="E93">Common_InputFunctions.Utility_DisplayArrayInTable(Common_SourceData.Common_SourceData_ClimateZones_Data(), Table_SourceData_ClimateZones[[#Headers],[Climate zone]], 0)</f>
        <v>&gt; 18 C</v>
      </c>
      <c r="F93" s="37" t="str" cm="1">
        <f t="array" ref="F93">Common_InputFunctions.Utility_DisplayArrayInTable(Common_SourceData.Common_SourceData_ClimateZones_Data(), Table_SourceData_ClimateZones[[#Headers],[Climate zone]], 0)</f>
        <v>≤ 1000 mm</v>
      </c>
      <c r="G93" s="37" t="str" cm="1">
        <f t="array" ref="G93">Common_InputFunctions.Utility_DisplayArrayInTable(Common_SourceData.Common_SourceData_ClimateZones_Data(), Table_SourceData_ClimateZones[[#Headers],[Climate zone]], 0)</f>
        <v>≤ 7</v>
      </c>
      <c r="H93" s="37" t="str" cm="1">
        <f t="array" ref="H93">Common_InputFunctions.Utility_DisplayArrayInTable(Common_SourceData.Common_SourceData_ClimateZones_Data(), Table_SourceData_ClimateZones[[#Headers],[Climate zone]], 0)</f>
        <v>≤ 1000 m</v>
      </c>
      <c r="I93" s="37" t="str" cm="1">
        <f t="array" ref="I93">Common_InputFunctions.Utility_DisplayArrayInTable(Common_SourceData.Common_SourceData_ClimateZones_Data(), Table_SourceData_ClimateZones[[#Headers],[Climate zone]], 0)</f>
        <v>Any</v>
      </c>
      <c r="J93" s="37" cm="1">
        <f t="array" ref="J93">Common_InputFunctions.Utility_DisplayArrayInTable(Common_SourceData.Common_SourceData_ClimateZones_Data(), Table_SourceData_ClimateZones[[#Headers],[Climate zone]], 0)</f>
        <v>18.001000000000001</v>
      </c>
      <c r="K93" s="37" cm="1">
        <f t="array" ref="K93">Common_InputFunctions.Utility_DisplayArrayInTable(Common_SourceData.Common_SourceData_ClimateZones_Data(), Table_SourceData_ClimateZones[[#Headers],[Climate zone]], 0)</f>
        <v>999999</v>
      </c>
      <c r="L93" s="37" cm="1">
        <f t="array" ref="L93">Common_InputFunctions.Utility_DisplayArrayInTable(Common_SourceData.Common_SourceData_ClimateZones_Data(), Table_SourceData_ClimateZones[[#Headers],[Climate zone]], 0)</f>
        <v>-999999</v>
      </c>
      <c r="M93" s="37" cm="1">
        <f t="array" ref="M93">Common_InputFunctions.Utility_DisplayArrayInTable(Common_SourceData.Common_SourceData_ClimateZones_Data(), Table_SourceData_ClimateZones[[#Headers],[Climate zone]], 0)</f>
        <v>1000</v>
      </c>
      <c r="N93" s="37" cm="1">
        <f t="array" ref="N93">Common_InputFunctions.Utility_DisplayArrayInTable(Common_SourceData.Common_SourceData_ClimateZones_Data(), Table_SourceData_ClimateZones[[#Headers],[Climate zone]], 0)</f>
        <v>-999999</v>
      </c>
      <c r="O93" s="37" cm="1">
        <f t="array" ref="O93">Common_InputFunctions.Utility_DisplayArrayInTable(Common_SourceData.Common_SourceData_ClimateZones_Data(), Table_SourceData_ClimateZones[[#Headers],[Climate zone]], 0)</f>
        <v>7</v>
      </c>
      <c r="P93" s="37" cm="1">
        <f t="array" ref="P93">Common_InputFunctions.Utility_DisplayArrayInTable(Common_SourceData.Common_SourceData_ClimateZones_Data(), Table_SourceData_ClimateZones[[#Headers],[Climate zone]], 0)</f>
        <v>-999999</v>
      </c>
      <c r="Q93" s="37" cm="1">
        <f t="array" ref="Q93">Common_InputFunctions.Utility_DisplayArrayInTable(Common_SourceData.Common_SourceData_ClimateZones_Data(), Table_SourceData_ClimateZones[[#Headers],[Climate zone]], 0)</f>
        <v>999.99900000000002</v>
      </c>
      <c r="R93" s="37" cm="1">
        <f t="array" ref="R93">Common_InputFunctions.Utility_DisplayArrayInTable(Common_SourceData.Common_SourceData_ClimateZones_Data(), Table_SourceData_ClimateZones[[#Headers],[Climate zone]], 0)</f>
        <v>-999999</v>
      </c>
      <c r="S93" s="37" cm="1">
        <f t="array" ref="S93">Common_InputFunctions.Utility_DisplayArrayInTable(Common_SourceData.Common_SourceData_ClimateZones_Data(), Table_SourceData_ClimateZones[[#Headers],[Climate zone]], 0)</f>
        <v>999999</v>
      </c>
      <c r="T93" s="37"/>
    </row>
    <row r="94" spans="4:20" ht="20.100000000000001" customHeight="1" x14ac:dyDescent="0.25">
      <c r="D94" s="37" t="str" cm="1">
        <f t="array" ref="D94">Common_InputFunctions.Utility_DisplayArrayInTable(Common_SourceData.Common_SourceData_ClimateZones_Data(), Table_SourceData_ClimateZones[[#Headers],[Climate zone]], 0)</f>
        <v>Warm temperate moist</v>
      </c>
      <c r="E94" s="37" t="str" cm="1">
        <f t="array" ref="E94">Common_InputFunctions.Utility_DisplayArrayInTable(Common_SourceData.Common_SourceData_ClimateZones_Data(), Table_SourceData_ClimateZones[[#Headers],[Climate zone]], 0)</f>
        <v>&gt; 10 C</v>
      </c>
      <c r="F94" s="37" t="str" cm="1">
        <f t="array" ref="F94">Common_InputFunctions.Utility_DisplayArrayInTable(Common_SourceData.Common_SourceData_ClimateZones_Data(), Table_SourceData_ClimateZones[[#Headers],[Climate zone]], 0)</f>
        <v>Any</v>
      </c>
      <c r="G94" s="37" t="str" cm="1">
        <f t="array" ref="G94">Common_InputFunctions.Utility_DisplayArrayInTable(Common_SourceData.Common_SourceData_ClimateZones_Data(), Table_SourceData_ClimateZones[[#Headers],[Climate zone]], 0)</f>
        <v>Any</v>
      </c>
      <c r="H94" s="37" t="str" cm="1">
        <f t="array" ref="H94">Common_InputFunctions.Utility_DisplayArrayInTable(Common_SourceData.Common_SourceData_ClimateZones_Data(), Table_SourceData_ClimateZones[[#Headers],[Climate zone]], 0)</f>
        <v>Any</v>
      </c>
      <c r="I94" s="37" t="str" cm="1">
        <f t="array" ref="I94">Common_InputFunctions.Utility_DisplayArrayInTable(Common_SourceData.Common_SourceData_ClimateZones_Data(), Table_SourceData_ClimateZones[[#Headers],[Climate zone]], 0)</f>
        <v>&gt; 1</v>
      </c>
      <c r="J94" s="37" cm="1">
        <f t="array" ref="J94">Common_InputFunctions.Utility_DisplayArrayInTable(Common_SourceData.Common_SourceData_ClimateZones_Data(), Table_SourceData_ClimateZones[[#Headers],[Climate zone]], 0)</f>
        <v>10.000999999999999</v>
      </c>
      <c r="K94" s="37" cm="1">
        <f t="array" ref="K94">Common_InputFunctions.Utility_DisplayArrayInTable(Common_SourceData.Common_SourceData_ClimateZones_Data(), Table_SourceData_ClimateZones[[#Headers],[Climate zone]], 0)</f>
        <v>999999</v>
      </c>
      <c r="L94" s="37" cm="1">
        <f t="array" ref="L94">Common_InputFunctions.Utility_DisplayArrayInTable(Common_SourceData.Common_SourceData_ClimateZones_Data(), Table_SourceData_ClimateZones[[#Headers],[Climate zone]], 0)</f>
        <v>-999999</v>
      </c>
      <c r="M94" s="37" cm="1">
        <f t="array" ref="M94">Common_InputFunctions.Utility_DisplayArrayInTable(Common_SourceData.Common_SourceData_ClimateZones_Data(), Table_SourceData_ClimateZones[[#Headers],[Climate zone]], 0)</f>
        <v>999999</v>
      </c>
      <c r="N94" s="37" cm="1">
        <f t="array" ref="N94">Common_InputFunctions.Utility_DisplayArrayInTable(Common_SourceData.Common_SourceData_ClimateZones_Data(), Table_SourceData_ClimateZones[[#Headers],[Climate zone]], 0)</f>
        <v>-999999</v>
      </c>
      <c r="O94" s="37" cm="1">
        <f t="array" ref="O94">Common_InputFunctions.Utility_DisplayArrayInTable(Common_SourceData.Common_SourceData_ClimateZones_Data(), Table_SourceData_ClimateZones[[#Headers],[Climate zone]], 0)</f>
        <v>999999</v>
      </c>
      <c r="P94" s="37" cm="1">
        <f t="array" ref="P94">Common_InputFunctions.Utility_DisplayArrayInTable(Common_SourceData.Common_SourceData_ClimateZones_Data(), Table_SourceData_ClimateZones[[#Headers],[Climate zone]], 0)</f>
        <v>-999999</v>
      </c>
      <c r="Q94" s="37" cm="1">
        <f t="array" ref="Q94">Common_InputFunctions.Utility_DisplayArrayInTable(Common_SourceData.Common_SourceData_ClimateZones_Data(), Table_SourceData_ClimateZones[[#Headers],[Climate zone]], 0)</f>
        <v>999999</v>
      </c>
      <c r="R94" s="37" cm="1">
        <f t="array" ref="R94">Common_InputFunctions.Utility_DisplayArrayInTable(Common_SourceData.Common_SourceData_ClimateZones_Data(), Table_SourceData_ClimateZones[[#Headers],[Climate zone]], 0)</f>
        <v>1.0009999999999999</v>
      </c>
      <c r="S94" s="37" cm="1">
        <f t="array" ref="S94">Common_InputFunctions.Utility_DisplayArrayInTable(Common_SourceData.Common_SourceData_ClimateZones_Data(), Table_SourceData_ClimateZones[[#Headers],[Climate zone]], 0)</f>
        <v>999999</v>
      </c>
      <c r="T94" s="37"/>
    </row>
    <row r="95" spans="4:20" ht="20.100000000000001" customHeight="1" x14ac:dyDescent="0.25">
      <c r="D95" s="37" t="str" cm="1">
        <f t="array" ref="D95">Common_InputFunctions.Utility_DisplayArrayInTable(Common_SourceData.Common_SourceData_ClimateZones_Data(), Table_SourceData_ClimateZones[[#Headers],[Climate zone]], 0)</f>
        <v>Warm temperate dry</v>
      </c>
      <c r="E95" s="37" t="str" cm="1">
        <f t="array" ref="E95">Common_InputFunctions.Utility_DisplayArrayInTable(Common_SourceData.Common_SourceData_ClimateZones_Data(), Table_SourceData_ClimateZones[[#Headers],[Climate zone]], 0)</f>
        <v>&gt; 10 C</v>
      </c>
      <c r="F95" s="37" t="str" cm="1">
        <f t="array" ref="F95">Common_InputFunctions.Utility_DisplayArrayInTable(Common_SourceData.Common_SourceData_ClimateZones_Data(), Table_SourceData_ClimateZones[[#Headers],[Climate zone]], 0)</f>
        <v>Any</v>
      </c>
      <c r="G95" s="37" t="str" cm="1">
        <f t="array" ref="G95">Common_InputFunctions.Utility_DisplayArrayInTable(Common_SourceData.Common_SourceData_ClimateZones_Data(), Table_SourceData_ClimateZones[[#Headers],[Climate zone]], 0)</f>
        <v>Any</v>
      </c>
      <c r="H95" s="37" t="str" cm="1">
        <f t="array" ref="H95">Common_InputFunctions.Utility_DisplayArrayInTable(Common_SourceData.Common_SourceData_ClimateZones_Data(), Table_SourceData_ClimateZones[[#Headers],[Climate zone]], 0)</f>
        <v>Any</v>
      </c>
      <c r="I95" s="37" t="str" cm="1">
        <f t="array" ref="I95">Common_InputFunctions.Utility_DisplayArrayInTable(Common_SourceData.Common_SourceData_ClimateZones_Data(), Table_SourceData_ClimateZones[[#Headers],[Climate zone]], 0)</f>
        <v>≤ 1</v>
      </c>
      <c r="J95" s="37" cm="1">
        <f t="array" ref="J95">Common_InputFunctions.Utility_DisplayArrayInTable(Common_SourceData.Common_SourceData_ClimateZones_Data(), Table_SourceData_ClimateZones[[#Headers],[Climate zone]], 0)</f>
        <v>10.000999999999999</v>
      </c>
      <c r="K95" s="37" cm="1">
        <f t="array" ref="K95">Common_InputFunctions.Utility_DisplayArrayInTable(Common_SourceData.Common_SourceData_ClimateZones_Data(), Table_SourceData_ClimateZones[[#Headers],[Climate zone]], 0)</f>
        <v>999999</v>
      </c>
      <c r="L95" s="37" cm="1">
        <f t="array" ref="L95">Common_InputFunctions.Utility_DisplayArrayInTable(Common_SourceData.Common_SourceData_ClimateZones_Data(), Table_SourceData_ClimateZones[[#Headers],[Climate zone]], 0)</f>
        <v>-999999</v>
      </c>
      <c r="M95" s="37" cm="1">
        <f t="array" ref="M95">Common_InputFunctions.Utility_DisplayArrayInTable(Common_SourceData.Common_SourceData_ClimateZones_Data(), Table_SourceData_ClimateZones[[#Headers],[Climate zone]], 0)</f>
        <v>999999</v>
      </c>
      <c r="N95" s="37" cm="1">
        <f t="array" ref="N95">Common_InputFunctions.Utility_DisplayArrayInTable(Common_SourceData.Common_SourceData_ClimateZones_Data(), Table_SourceData_ClimateZones[[#Headers],[Climate zone]], 0)</f>
        <v>-999999</v>
      </c>
      <c r="O95" s="37" cm="1">
        <f t="array" ref="O95">Common_InputFunctions.Utility_DisplayArrayInTable(Common_SourceData.Common_SourceData_ClimateZones_Data(), Table_SourceData_ClimateZones[[#Headers],[Climate zone]], 0)</f>
        <v>999999</v>
      </c>
      <c r="P95" s="37" cm="1">
        <f t="array" ref="P95">Common_InputFunctions.Utility_DisplayArrayInTable(Common_SourceData.Common_SourceData_ClimateZones_Data(), Table_SourceData_ClimateZones[[#Headers],[Climate zone]], 0)</f>
        <v>-999999</v>
      </c>
      <c r="Q95" s="37" cm="1">
        <f t="array" ref="Q95">Common_InputFunctions.Utility_DisplayArrayInTable(Common_SourceData.Common_SourceData_ClimateZones_Data(), Table_SourceData_ClimateZones[[#Headers],[Climate zone]], 0)</f>
        <v>999999</v>
      </c>
      <c r="R95" s="37" cm="1">
        <f t="array" ref="R95">Common_InputFunctions.Utility_DisplayArrayInTable(Common_SourceData.Common_SourceData_ClimateZones_Data(), Table_SourceData_ClimateZones[[#Headers],[Climate zone]], 0)</f>
        <v>-999999</v>
      </c>
      <c r="S95" s="37" cm="1">
        <f t="array" ref="S95">Common_InputFunctions.Utility_DisplayArrayInTable(Common_SourceData.Common_SourceData_ClimateZones_Data(), Table_SourceData_ClimateZones[[#Headers],[Climate zone]], 0)</f>
        <v>1</v>
      </c>
      <c r="T95" s="37"/>
    </row>
    <row r="96" spans="4:20" ht="20.100000000000001" customHeight="1" x14ac:dyDescent="0.25">
      <c r="D96" s="37" t="str" cm="1">
        <f t="array" ref="D96">Common_InputFunctions.Utility_DisplayArrayInTable(Common_SourceData.Common_SourceData_ClimateZones_Data(), Table_SourceData_ClimateZones[[#Headers],[Climate zone]], 0)</f>
        <v>Cool temperate moist</v>
      </c>
      <c r="E96" s="37" t="str" cm="1">
        <f t="array" ref="E96">Common_InputFunctions.Utility_DisplayArrayInTable(Common_SourceData.Common_SourceData_ClimateZones_Data(), Table_SourceData_ClimateZones[[#Headers],[Climate zone]], 0)</f>
        <v>&gt; 0 C - ≤ 10 C</v>
      </c>
      <c r="F96" s="37" t="str" cm="1">
        <f t="array" ref="F96">Common_InputFunctions.Utility_DisplayArrayInTable(Common_SourceData.Common_SourceData_ClimateZones_Data(), Table_SourceData_ClimateZones[[#Headers],[Climate zone]], 0)</f>
        <v>Any</v>
      </c>
      <c r="G96" s="37" t="str" cm="1">
        <f t="array" ref="G96">Common_InputFunctions.Utility_DisplayArrayInTable(Common_SourceData.Common_SourceData_ClimateZones_Data(), Table_SourceData_ClimateZones[[#Headers],[Climate zone]], 0)</f>
        <v>Any</v>
      </c>
      <c r="H96" s="37" t="str" cm="1">
        <f t="array" ref="H96">Common_InputFunctions.Utility_DisplayArrayInTable(Common_SourceData.Common_SourceData_ClimateZones_Data(), Table_SourceData_ClimateZones[[#Headers],[Climate zone]], 0)</f>
        <v>Any</v>
      </c>
      <c r="I96" s="37" t="str" cm="1">
        <f t="array" ref="I96">Common_InputFunctions.Utility_DisplayArrayInTable(Common_SourceData.Common_SourceData_ClimateZones_Data(), Table_SourceData_ClimateZones[[#Headers],[Climate zone]], 0)</f>
        <v>&gt; 1</v>
      </c>
      <c r="J96" s="37" cm="1">
        <f t="array" ref="J96">Common_InputFunctions.Utility_DisplayArrayInTable(Common_SourceData.Common_SourceData_ClimateZones_Data(), Table_SourceData_ClimateZones[[#Headers],[Climate zone]], 0)</f>
        <v>-999999</v>
      </c>
      <c r="K96" s="37" cm="1">
        <f t="array" ref="K96">Common_InputFunctions.Utility_DisplayArrayInTable(Common_SourceData.Common_SourceData_ClimateZones_Data(), Table_SourceData_ClimateZones[[#Headers],[Climate zone]], 0)</f>
        <v>10</v>
      </c>
      <c r="L96" s="37" cm="1">
        <f t="array" ref="L96">Common_InputFunctions.Utility_DisplayArrayInTable(Common_SourceData.Common_SourceData_ClimateZones_Data(), Table_SourceData_ClimateZones[[#Headers],[Climate zone]], 0)</f>
        <v>-999999</v>
      </c>
      <c r="M96" s="37" cm="1">
        <f t="array" ref="M96">Common_InputFunctions.Utility_DisplayArrayInTable(Common_SourceData.Common_SourceData_ClimateZones_Data(), Table_SourceData_ClimateZones[[#Headers],[Climate zone]], 0)</f>
        <v>999999</v>
      </c>
      <c r="N96" s="37" cm="1">
        <f t="array" ref="N96">Common_InputFunctions.Utility_DisplayArrayInTable(Common_SourceData.Common_SourceData_ClimateZones_Data(), Table_SourceData_ClimateZones[[#Headers],[Climate zone]], 0)</f>
        <v>-999999</v>
      </c>
      <c r="O96" s="37" cm="1">
        <f t="array" ref="O96">Common_InputFunctions.Utility_DisplayArrayInTable(Common_SourceData.Common_SourceData_ClimateZones_Data(), Table_SourceData_ClimateZones[[#Headers],[Climate zone]], 0)</f>
        <v>999999</v>
      </c>
      <c r="P96" s="37" cm="1">
        <f t="array" ref="P96">Common_InputFunctions.Utility_DisplayArrayInTable(Common_SourceData.Common_SourceData_ClimateZones_Data(), Table_SourceData_ClimateZones[[#Headers],[Climate zone]], 0)</f>
        <v>-999999</v>
      </c>
      <c r="Q96" s="37" cm="1">
        <f t="array" ref="Q96">Common_InputFunctions.Utility_DisplayArrayInTable(Common_SourceData.Common_SourceData_ClimateZones_Data(), Table_SourceData_ClimateZones[[#Headers],[Climate zone]], 0)</f>
        <v>999999</v>
      </c>
      <c r="R96" s="37" cm="1">
        <f t="array" ref="R96">Common_InputFunctions.Utility_DisplayArrayInTable(Common_SourceData.Common_SourceData_ClimateZones_Data(), Table_SourceData_ClimateZones[[#Headers],[Climate zone]], 0)</f>
        <v>1.0009999999999999</v>
      </c>
      <c r="S96" s="37" cm="1">
        <f t="array" ref="S96">Common_InputFunctions.Utility_DisplayArrayInTable(Common_SourceData.Common_SourceData_ClimateZones_Data(), Table_SourceData_ClimateZones[[#Headers],[Climate zone]], 0)</f>
        <v>999999</v>
      </c>
      <c r="T96" s="37"/>
    </row>
    <row r="97" spans="4:20" ht="20.100000000000001" customHeight="1" x14ac:dyDescent="0.25">
      <c r="D97" s="37" t="str" cm="1">
        <f t="array" ref="D97">Common_InputFunctions.Utility_DisplayArrayInTable(Common_SourceData.Common_SourceData_ClimateZones_Data(), Table_SourceData_ClimateZones[[#Headers],[Climate zone]], 0)</f>
        <v>Cool temperate dry</v>
      </c>
      <c r="E97" s="37" t="str" cm="1">
        <f t="array" ref="E97">Common_InputFunctions.Utility_DisplayArrayInTable(Common_SourceData.Common_SourceData_ClimateZones_Data(), Table_SourceData_ClimateZones[[#Headers],[Climate zone]], 0)</f>
        <v>&gt; 0 C - ≤ 10 C</v>
      </c>
      <c r="F97" s="37" t="str" cm="1">
        <f t="array" ref="F97">Common_InputFunctions.Utility_DisplayArrayInTable(Common_SourceData.Common_SourceData_ClimateZones_Data(), Table_SourceData_ClimateZones[[#Headers],[Climate zone]], 0)</f>
        <v>Any</v>
      </c>
      <c r="G97" s="37" t="str" cm="1">
        <f t="array" ref="G97">Common_InputFunctions.Utility_DisplayArrayInTable(Common_SourceData.Common_SourceData_ClimateZones_Data(), Table_SourceData_ClimateZones[[#Headers],[Climate zone]], 0)</f>
        <v>Any</v>
      </c>
      <c r="H97" s="37" t="str" cm="1">
        <f t="array" ref="H97">Common_InputFunctions.Utility_DisplayArrayInTable(Common_SourceData.Common_SourceData_ClimateZones_Data(), Table_SourceData_ClimateZones[[#Headers],[Climate zone]], 0)</f>
        <v>Any</v>
      </c>
      <c r="I97" s="37" t="str" cm="1">
        <f t="array" ref="I97">Common_InputFunctions.Utility_DisplayArrayInTable(Common_SourceData.Common_SourceData_ClimateZones_Data(), Table_SourceData_ClimateZones[[#Headers],[Climate zone]], 0)</f>
        <v>≤ 1</v>
      </c>
      <c r="J97" s="37" cm="1">
        <f t="array" ref="J97">Common_InputFunctions.Utility_DisplayArrayInTable(Common_SourceData.Common_SourceData_ClimateZones_Data(), Table_SourceData_ClimateZones[[#Headers],[Climate zone]], 0)</f>
        <v>-999999</v>
      </c>
      <c r="K97" s="37" cm="1">
        <f t="array" ref="K97">Common_InputFunctions.Utility_DisplayArrayInTable(Common_SourceData.Common_SourceData_ClimateZones_Data(), Table_SourceData_ClimateZones[[#Headers],[Climate zone]], 0)</f>
        <v>10</v>
      </c>
      <c r="L97" s="37" cm="1">
        <f t="array" ref="L97">Common_InputFunctions.Utility_DisplayArrayInTable(Common_SourceData.Common_SourceData_ClimateZones_Data(), Table_SourceData_ClimateZones[[#Headers],[Climate zone]], 0)</f>
        <v>-999999</v>
      </c>
      <c r="M97" s="37" cm="1">
        <f t="array" ref="M97">Common_InputFunctions.Utility_DisplayArrayInTable(Common_SourceData.Common_SourceData_ClimateZones_Data(), Table_SourceData_ClimateZones[[#Headers],[Climate zone]], 0)</f>
        <v>999999</v>
      </c>
      <c r="N97" s="37" cm="1">
        <f t="array" ref="N97">Common_InputFunctions.Utility_DisplayArrayInTable(Common_SourceData.Common_SourceData_ClimateZones_Data(), Table_SourceData_ClimateZones[[#Headers],[Climate zone]], 0)</f>
        <v>-999999</v>
      </c>
      <c r="O97" s="37" cm="1">
        <f t="array" ref="O97">Common_InputFunctions.Utility_DisplayArrayInTable(Common_SourceData.Common_SourceData_ClimateZones_Data(), Table_SourceData_ClimateZones[[#Headers],[Climate zone]], 0)</f>
        <v>999999</v>
      </c>
      <c r="P97" s="37" cm="1">
        <f t="array" ref="P97">Common_InputFunctions.Utility_DisplayArrayInTable(Common_SourceData.Common_SourceData_ClimateZones_Data(), Table_SourceData_ClimateZones[[#Headers],[Climate zone]], 0)</f>
        <v>-999999</v>
      </c>
      <c r="Q97" s="37" cm="1">
        <f t="array" ref="Q97">Common_InputFunctions.Utility_DisplayArrayInTable(Common_SourceData.Common_SourceData_ClimateZones_Data(), Table_SourceData_ClimateZones[[#Headers],[Climate zone]], 0)</f>
        <v>999999</v>
      </c>
      <c r="R97" s="37" cm="1">
        <f t="array" ref="R97">Common_InputFunctions.Utility_DisplayArrayInTable(Common_SourceData.Common_SourceData_ClimateZones_Data(), Table_SourceData_ClimateZones[[#Headers],[Climate zone]], 0)</f>
        <v>-999999</v>
      </c>
      <c r="S97" s="37" cm="1">
        <f t="array" ref="S97">Common_InputFunctions.Utility_DisplayArrayInTable(Common_SourceData.Common_SourceData_ClimateZones_Data(), Table_SourceData_ClimateZones[[#Headers],[Climate zone]], 0)</f>
        <v>1</v>
      </c>
      <c r="T97" s="37"/>
    </row>
    <row r="98" spans="4:20" ht="20.100000000000001" customHeight="1" x14ac:dyDescent="0.25">
      <c r="D98" s="52" t="str" cm="1">
        <f t="array" ref="D98:D101">Common_SourceData.Common_SourceData_ClimateZones_Appendices()</f>
        <v>Note:</v>
      </c>
    </row>
    <row r="99" spans="4:20" ht="20.100000000000001" customHeight="1" x14ac:dyDescent="0.25">
      <c r="D99" s="52" t="str">
        <v>MAT = mean annual temperature</v>
      </c>
    </row>
    <row r="100" spans="4:20" ht="20.100000000000001" customHeight="1" x14ac:dyDescent="0.25">
      <c r="D100" s="52" t="str">
        <v>MAP = mean annual precipitation</v>
      </c>
    </row>
    <row r="101" spans="4:20" ht="20.100000000000001" customHeight="1" x14ac:dyDescent="0.25">
      <c r="D101" s="52" t="str">
        <v>PET = potential evapotranspiration</v>
      </c>
    </row>
    <row r="102" spans="4:20" ht="20.100000000000001" customHeight="1" x14ac:dyDescent="0.25">
      <c r="D102" s="52"/>
    </row>
    <row r="103" spans="4:20" ht="20.100000000000001" customHeight="1" x14ac:dyDescent="0.25"/>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53"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7" t="s">
        <v>52</v>
      </c>
      <c r="E109" s="37" t="s">
        <v>33</v>
      </c>
      <c r="F109" s="37" t="s">
        <v>53</v>
      </c>
      <c r="G109" s="37" t="s">
        <v>54</v>
      </c>
    </row>
    <row r="110" spans="4:20" ht="20.100000000000001" customHeight="1" x14ac:dyDescent="0.25">
      <c r="D110" s="37" t="str" cm="1">
        <f t="array" ref="D110">Common_InputFunctions.Utility_DisplayArrayInTable(Common_SourceData.Common_SourceData_TemperatureZones_Data(),Table_SourceData_TemperatureZones[[#Headers],[Temperature Zone]],0)</f>
        <v>Warm</v>
      </c>
      <c r="E110" s="37" t="str" cm="1">
        <f t="array" ref="E110">Common_InputFunctions.Utility_DisplayArrayInTable(Common_SourceData.Common_SourceData_TemperatureZones_Data(),Table_SourceData_TemperatureZones[[#Headers],[Temperature Zone]],0)</f>
        <v>≥ 26 C</v>
      </c>
      <c r="F110" s="37" cm="1">
        <f t="array" ref="F110">Common_InputFunctions.Utility_DisplayArrayInTable(Common_SourceData.Common_SourceData_TemperatureZones_Data(),Table_SourceData_TemperatureZones[[#Headers],[Temperature Zone]],0)</f>
        <v>26</v>
      </c>
      <c r="G110" s="37" cm="1">
        <f t="array" ref="G110">Common_InputFunctions.Utility_DisplayArrayInTable(Common_SourceData.Common_SourceData_TemperatureZones_Data(),Table_SourceData_TemperatureZones[[#Headers],[Temperature Zone]],0)</f>
        <v>999999</v>
      </c>
    </row>
    <row r="111" spans="4:20" ht="20.100000000000001" customHeight="1" x14ac:dyDescent="0.25">
      <c r="D111" s="37" t="str" cm="1">
        <f t="array" ref="D111">Common_InputFunctions.Utility_DisplayArrayInTable(Common_SourceData.Common_SourceData_TemperatureZones_Data(),Table_SourceData_TemperatureZones[[#Headers],[Temperature Zone]],0)</f>
        <v>Temperate</v>
      </c>
      <c r="E111" s="37" t="str" cm="1">
        <f t="array" ref="E111">Common_InputFunctions.Utility_DisplayArrayInTable(Common_SourceData.Common_SourceData_TemperatureZones_Data(),Table_SourceData_TemperatureZones[[#Headers],[Temperature Zone]],0)</f>
        <v>15 - 25 C</v>
      </c>
      <c r="F111" s="37" cm="1">
        <f t="array" ref="F111">Common_InputFunctions.Utility_DisplayArrayInTable(Common_SourceData.Common_SourceData_TemperatureZones_Data(),Table_SourceData_TemperatureZones[[#Headers],[Temperature Zone]],0)</f>
        <v>15</v>
      </c>
      <c r="G111" s="37"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7" t="str" cm="1">
        <f t="array" ref="D112">Common_InputFunctions.Utility_DisplayArrayInTable(Common_SourceData.Common_SourceData_TemperatureZones_Data(),Table_SourceData_TemperatureZones[[#Headers],[Temperature Zone]],0)</f>
        <v>Cool</v>
      </c>
      <c r="E112" s="37" t="str" cm="1">
        <f t="array" ref="E112">Common_InputFunctions.Utility_DisplayArrayInTable(Common_SourceData.Common_SourceData_TemperatureZones_Data(),Table_SourceData_TemperatureZones[[#Headers],[Temperature Zone]],0)</f>
        <v>≤ 14 C</v>
      </c>
      <c r="F112" s="37" cm="1">
        <f t="array" ref="F112">Common_InputFunctions.Utility_DisplayArrayInTable(Common_SourceData.Common_SourceData_TemperatureZones_Data(),Table_SourceData_TemperatureZones[[#Headers],[Temperature Zone]],0)</f>
        <v>-999999</v>
      </c>
      <c r="G112" s="37"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53"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37" t="s">
        <v>55</v>
      </c>
      <c r="E119" s="37" t="s">
        <v>56</v>
      </c>
      <c r="F119" s="37" t="s">
        <v>40</v>
      </c>
      <c r="G119" s="37" t="s">
        <v>41</v>
      </c>
      <c r="BN119" s="7"/>
    </row>
    <row r="120" spans="4:66" ht="20.100000000000001" customHeight="1" x14ac:dyDescent="0.25">
      <c r="D120" s="37" t="str" cm="1">
        <f t="array" ref="D120">Common_InputFunctions.Utility_DisplayArrayInTable(Common_SourceData.Common_SourceData_RainfallZones_Data(),Table_SourceData_RainfallZones[[#Headers],[Rainfall Zone]],0)</f>
        <v>High rainfall</v>
      </c>
      <c r="E120" s="37" t="str" cm="1">
        <f t="array" ref="E120">Common_InputFunctions.Utility_DisplayArrayInTable(Common_SourceData.Common_SourceData_RainfallZones_Data(),Table_SourceData_RainfallZones[[#Headers],[Rainfall Zone]],0)</f>
        <v>Annual rainfall &gt; 600mm</v>
      </c>
      <c r="F120" s="37" cm="1">
        <f t="array" ref="F120">Common_InputFunctions.Utility_DisplayArrayInTable(Common_SourceData.Common_SourceData_RainfallZones_Data(),Table_SourceData_RainfallZones[[#Headers],[Rainfall Zone]],0)</f>
        <v>600.00099999999998</v>
      </c>
      <c r="G120" s="37"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37" t="str" cm="1">
        <f t="array" ref="D121">Common_InputFunctions.Utility_DisplayArrayInTable(Common_SourceData.Common_SourceData_RainfallZones_Data(),Table_SourceData_RainfallZones[[#Headers],[Rainfall Zone]],0)</f>
        <v>Low rainfall</v>
      </c>
      <c r="E121" s="37" t="str" cm="1">
        <f t="array" ref="E121">Common_InputFunctions.Utility_DisplayArrayInTable(Common_SourceData.Common_SourceData_RainfallZones_Data(),Table_SourceData_RainfallZones[[#Headers],[Rainfall Zone]],0)</f>
        <v>Annual rainfall ≤ 600mm</v>
      </c>
      <c r="F121" s="37" cm="1">
        <f t="array" ref="F121">Common_InputFunctions.Utility_DisplayArrayInTable(Common_SourceData.Common_SourceData_RainfallZones_Data(),Table_SourceData_RainfallZones[[#Headers],[Rainfall Zone]],0)</f>
        <v>-999999</v>
      </c>
      <c r="G121" s="37"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7" t="s">
        <v>62</v>
      </c>
      <c r="E127" s="37" t="s">
        <v>63</v>
      </c>
    </row>
    <row r="128" spans="4:66" ht="20.100000000000001" customHeight="1" x14ac:dyDescent="0.25">
      <c r="D128" s="37" t="str" cm="1">
        <f t="array" ref="D128">Common_InputFunctions.Utility_DisplayArrayInTable(Common_SourceData.Common_SourceData_LeachingZones_Data(), Table_SourceData_LeachingZones[[#Headers],[Leaching Zone]], 0)</f>
        <v>Leaching occurs</v>
      </c>
      <c r="E128" s="37"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7" t="str" cm="1">
        <f t="array" ref="D129">Common_InputFunctions.Utility_DisplayArrayInTable(Common_SourceData.Common_SourceData_LeachingZones_Data(), Table_SourceData_LeachingZones[[#Headers],[Leaching Zone]], 0)</f>
        <v>Leaching does not occur</v>
      </c>
      <c r="E129" s="37"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22"/>
    </row>
    <row r="133" spans="4:77" ht="20.100000000000001" customHeight="1" x14ac:dyDescent="0.25">
      <c r="D133" s="5" t="str" cm="1">
        <f t="array" ref="D133">Common_SourceData.Common_SourceData_FracWET_Source()</f>
        <v>VEERG 2026:5.5.2.3 Constant Parameters</v>
      </c>
      <c r="E133" s="22"/>
    </row>
    <row r="134" spans="4:77" ht="20.100000000000001" customHeight="1" x14ac:dyDescent="0.25">
      <c r="D134" t="s">
        <v>87</v>
      </c>
      <c r="E134" t="s">
        <v>88</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7"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53"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37" t="s">
        <v>107</v>
      </c>
      <c r="E142" s="37" t="s">
        <v>88</v>
      </c>
      <c r="BN142" s="7"/>
    </row>
    <row r="143" spans="4:77" ht="20.100000000000001" customHeight="1" x14ac:dyDescent="0.25">
      <c r="D143" s="37" t="str" cm="1">
        <f t="array" ref="D143">Common_InputFunctions.Utility_DisplayArrayInTable(Common_SourceData.Common_SourceData_FracWETIrrigation_Data(), Table_SourceData_FracWETIrrigation[[#Headers],[Irrigation type i]], 0)</f>
        <v>Not irrigated</v>
      </c>
      <c r="E143" s="37"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7"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7"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7"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7"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37" t="s">
        <v>65</v>
      </c>
      <c r="E153" s="37" t="s">
        <v>66</v>
      </c>
      <c r="BC153" s="3"/>
      <c r="BD153" s="3"/>
      <c r="BE153" s="3"/>
      <c r="BF153" s="3"/>
      <c r="BG153" s="3"/>
      <c r="BH153" s="3"/>
      <c r="BI153" s="3"/>
      <c r="BJ153" s="3"/>
      <c r="BK153" s="3"/>
      <c r="BL153" s="3"/>
      <c r="BM153" s="3"/>
    </row>
    <row r="154" spans="4:66" ht="20.100000000000001" customHeight="1" x14ac:dyDescent="0.25">
      <c r="D154" s="37" t="str" cm="1">
        <f t="array" ref="D154">Common_InputFunctions.Utility_DisplayArrayInTable(Common_SourceData.Common_SourceData_DataScores_Scope3_Data(), Table_SourceData_DataScores_Scope3[[#Headers],[Data source]], 0)</f>
        <v>International scope 3 database</v>
      </c>
      <c r="E154" s="37"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37" t="str" cm="1">
        <f t="array" ref="D155">Common_InputFunctions.Utility_DisplayArrayInTable(Common_SourceData.Common_SourceData_DataScores_Scope3_Data(), Table_SourceData_DataScores_Scope3[[#Headers],[Data source]], 0)</f>
        <v>Australian scope 3 database</v>
      </c>
      <c r="E155" s="37"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37" t="str" cm="1">
        <f t="array" ref="D156">Common_InputFunctions.Utility_DisplayArrayInTable(Common_SourceData.Common_SourceData_DataScores_Scope3_Data(), Table_SourceData_DataScores_Scope3[[#Headers],[Data source]], 0)</f>
        <v>State or regional scope 3 database</v>
      </c>
      <c r="E156" s="37" cm="1">
        <f t="array" ref="E156">Common_InputFunctions.Utility_DisplayArrayInTable(Common_SourceData.Common_SourceData_DataScores_Scope3_Data(), Table_SourceData_DataScores_Scope3[[#Headers],[Data source]], 0)</f>
        <v>3</v>
      </c>
    </row>
    <row r="157" spans="4:66" ht="20.100000000000001" customHeight="1" x14ac:dyDescent="0.25">
      <c r="D157" s="37" t="str" cm="1">
        <f t="array" ref="D157">Common_InputFunctions.Utility_DisplayArrayInTable(Common_SourceData.Common_SourceData_DataScores_Scope3_Data(), Table_SourceData_DataScores_Scope3[[#Headers],[Data source]], 0)</f>
        <v>Emissions intensity calculated from approved method</v>
      </c>
      <c r="E157" s="37" cm="1">
        <f t="array" ref="E157">Common_InputFunctions.Utility_DisplayArrayInTable(Common_SourceData.Common_SourceData_DataScores_Scope3_Data(), Table_SourceData_DataScores_Scope3[[#Headers],[Data source]], 0)</f>
        <v>4</v>
      </c>
    </row>
    <row r="158" spans="4:66" ht="20.100000000000001" customHeight="1" x14ac:dyDescent="0.25">
      <c r="D158" s="37" t="str" cm="1">
        <f t="array" ref="D158">Common_InputFunctions.Utility_DisplayArrayInTable(Common_SourceData.Common_SourceData_DataScores_Scope3_Data(), Table_SourceData_DataScores_Scope3[[#Headers],[Data source]], 0)</f>
        <v>Verified credential matching ISO14067</v>
      </c>
      <c r="E158" s="37"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22"/>
    </row>
    <row r="162" spans="4:68" ht="20.100000000000001" customHeight="1" x14ac:dyDescent="0.25">
      <c r="D162" s="5" t="str" cm="1">
        <f t="array" ref="D162">Common_SourceData.Common_SourceData_FracLEACH_Source()</f>
        <v>VEERG 2026:5.5.2.3 Constant Parameters</v>
      </c>
      <c r="E162" s="22"/>
    </row>
    <row r="163" spans="4:68" ht="20.100000000000001" customHeight="1" x14ac:dyDescent="0.25">
      <c r="D163" s="5" t="str" cm="1">
        <f t="array" ref="D163">Common_SourceData.Common_SourceData_FracLEACH_NIRReference()</f>
        <v>National Inventory Report Volume 1: Leaching and runoff (3.D.b.2)</v>
      </c>
      <c r="E163" s="22"/>
    </row>
    <row r="164" spans="4:68" ht="20.100000000000001" customHeight="1" x14ac:dyDescent="0.25">
      <c r="D164" s="22" t="str" cm="1">
        <f t="array" ref="D164:E164">Common_SourceData.Common_SourceData_FracLEACH_Data()</f>
        <v>FracLEACH</v>
      </c>
      <c r="E164" s="22">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2"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2" t="str" cm="1">
        <f t="array" ref="D180">Common_SourceData.Common_SourceData_EFN2O_Unit()</f>
        <v>(kg N2O-N / kg N</v>
      </c>
    </row>
    <row r="181" spans="4:68" ht="20.100000000000001" customHeight="1" x14ac:dyDescent="0.25">
      <c r="D181" s="53" t="str" cm="1">
        <f t="array" ref="D181:D185">Common_SourceData.Common_SourceData_EFN2O_Variation()</f>
        <v>VARIATION OF SOURCE DATA:</v>
      </c>
    </row>
    <row r="182" spans="4:68" ht="20.100000000000001" customHeight="1" x14ac:dyDescent="0.25">
      <c r="D182" s="53" t="str">
        <v>Removed duplicate 'Aquaculture' row.</v>
      </c>
    </row>
    <row r="183" spans="4:68" ht="20.100000000000001" customHeight="1" x14ac:dyDescent="0.25">
      <c r="D183" s="53" t="str">
        <v>Removed asterisks to aid lookup.</v>
      </c>
    </row>
    <row r="184" spans="4:68" ht="20.100000000000001" customHeight="1" x14ac:dyDescent="0.25">
      <c r="D184" s="53" t="str">
        <v>Added 'production system only', 'rainfall zone' and 'irrigation method' columns to aid lookup.</v>
      </c>
    </row>
    <row r="185" spans="4:68" ht="20.100000000000001" customHeight="1" x14ac:dyDescent="0.25">
      <c r="D185" s="53" t="str">
        <v>Duplicated 'non-irrigated pasture' row with same EF for low and high rainfall zones to aid lookup.</v>
      </c>
    </row>
    <row r="186" spans="4:68" ht="20.100000000000001" customHeight="1" x14ac:dyDescent="0.25">
      <c r="D186" s="37" t="s">
        <v>96</v>
      </c>
      <c r="E186" s="37" t="s">
        <v>97</v>
      </c>
      <c r="F186" s="37" t="s">
        <v>98</v>
      </c>
      <c r="G186" s="37" t="s">
        <v>99</v>
      </c>
      <c r="H186" s="37" t="s">
        <v>32</v>
      </c>
    </row>
    <row r="187" spans="4:68" ht="20.100000000000001" customHeight="1" x14ac:dyDescent="0.25">
      <c r="D187" s="37" t="str" cm="1">
        <f t="array" ref="D187">Common_InputFunctions.Utility_DisplayArrayInTable(Common_SourceData.Common_SourceData_EFN2O_Data(), Table_SourceData_Common_EFN2O[[#Headers],[Production system j]], 0)</f>
        <v>Irrigated pasture</v>
      </c>
      <c r="E187" s="37" cm="1">
        <f t="array" ref="E187">Common_InputFunctions.Utility_DisplayArrayInTable(Common_SourceData.Common_SourceData_EFN2O_Data(), Table_SourceData_Common_EFN2O[[#Headers],[Production system j]], 0)</f>
        <v>5.8999999999999999E-3</v>
      </c>
      <c r="F187" s="37" t="str" cm="1">
        <f t="array" ref="F187">Common_InputFunctions.Utility_DisplayArrayInTable(Common_SourceData.Common_SourceData_EFN2O_Data(), Table_SourceData_Common_EFN2O[[#Headers],[Production system j]], 0)</f>
        <v>Pasture</v>
      </c>
      <c r="G187" s="37" t="str" cm="1">
        <f t="array" ref="G187">Common_InputFunctions.Utility_DisplayArrayInTable(Common_SourceData.Common_SourceData_EFN2O_Data(), Table_SourceData_Common_EFN2O[[#Headers],[Production system j]], 0)</f>
        <v>Any</v>
      </c>
      <c r="H187" s="37" t="str" cm="1">
        <f t="array" ref="H187">Common_InputFunctions.Utility_DisplayArrayInTable(Common_SourceData.Common_SourceData_EFN2O_Data(), Table_SourceData_Common_EFN2O[[#Headers],[Production system j]], 0)</f>
        <v>Any</v>
      </c>
    </row>
    <row r="188" spans="4:68" ht="20.100000000000001" customHeight="1" x14ac:dyDescent="0.25">
      <c r="D188" s="37" t="str" cm="1">
        <f t="array" ref="D188">Common_InputFunctions.Utility_DisplayArrayInTable(Common_SourceData.Common_SourceData_EFN2O_Data(), Table_SourceData_Common_EFN2O[[#Headers],[Production system j]], 0)</f>
        <v>Irrigated crop</v>
      </c>
      <c r="E188" s="37" cm="1">
        <f t="array" ref="E188">Common_InputFunctions.Utility_DisplayArrayInTable(Common_SourceData.Common_SourceData_EFN2O_Data(), Table_SourceData_Common_EFN2O[[#Headers],[Production system j]], 0)</f>
        <v>7.0000000000000001E-3</v>
      </c>
      <c r="F188" s="37" t="str" cm="1">
        <f t="array" ref="F188">Common_InputFunctions.Utility_DisplayArrayInTable(Common_SourceData.Common_SourceData_EFN2O_Data(), Table_SourceData_Common_EFN2O[[#Headers],[Production system j]], 0)</f>
        <v>Crop</v>
      </c>
      <c r="G188" s="37" t="str" cm="1">
        <f t="array" ref="G188">Common_InputFunctions.Utility_DisplayArrayInTable(Common_SourceData.Common_SourceData_EFN2O_Data(), Table_SourceData_Common_EFN2O[[#Headers],[Production system j]], 0)</f>
        <v>Any</v>
      </c>
      <c r="H188" s="37" t="str" cm="1">
        <f t="array" ref="H188">Common_InputFunctions.Utility_DisplayArrayInTable(Common_SourceData.Common_SourceData_EFN2O_Data(), Table_SourceData_Common_EFN2O[[#Headers],[Production system j]], 0)</f>
        <v>Any</v>
      </c>
    </row>
    <row r="189" spans="4:68" ht="20.100000000000001" customHeight="1" x14ac:dyDescent="0.25">
      <c r="D189" s="37" t="str" cm="1">
        <f t="array" ref="D189">Common_InputFunctions.Utility_DisplayArrayInTable(Common_SourceData.Common_SourceData_EFN2O_Data(), Table_SourceData_Common_EFN2O[[#Headers],[Production system j]], 0)</f>
        <v>Non-irrigated pasture</v>
      </c>
      <c r="E189" s="37" cm="1">
        <f t="array" ref="E189">Common_InputFunctions.Utility_DisplayArrayInTable(Common_SourceData.Common_SourceData_EFN2O_Data(), Table_SourceData_Common_EFN2O[[#Headers],[Production system j]], 0)</f>
        <v>1.8E-3</v>
      </c>
      <c r="F189" s="37" t="str" cm="1">
        <f t="array" ref="F189">Common_InputFunctions.Utility_DisplayArrayInTable(Common_SourceData.Common_SourceData_EFN2O_Data(), Table_SourceData_Common_EFN2O[[#Headers],[Production system j]], 0)</f>
        <v>Pasture</v>
      </c>
      <c r="G189" s="37" t="str" cm="1">
        <f t="array" ref="G189">Common_InputFunctions.Utility_DisplayArrayInTable(Common_SourceData.Common_SourceData_EFN2O_Data(), Table_SourceData_Common_EFN2O[[#Headers],[Production system j]], 0)</f>
        <v>Not irrigated</v>
      </c>
      <c r="H189" s="37"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7" t="str" cm="1">
        <f t="array" ref="D190">Common_InputFunctions.Utility_DisplayArrayInTable(Common_SourceData.Common_SourceData_EFN2O_Data(), Table_SourceData_Common_EFN2O[[#Headers],[Production system j]], 0)</f>
        <v>Non-irrigated pasture</v>
      </c>
      <c r="E190" s="37" cm="1">
        <f t="array" ref="E190">Common_InputFunctions.Utility_DisplayArrayInTable(Common_SourceData.Common_SourceData_EFN2O_Data(), Table_SourceData_Common_EFN2O[[#Headers],[Production system j]], 0)</f>
        <v>1.8E-3</v>
      </c>
      <c r="F190" s="37" t="str" cm="1">
        <f t="array" ref="F190">Common_InputFunctions.Utility_DisplayArrayInTable(Common_SourceData.Common_SourceData_EFN2O_Data(), Table_SourceData_Common_EFN2O[[#Headers],[Production system j]], 0)</f>
        <v>Pasture</v>
      </c>
      <c r="G190" s="37" t="str" cm="1">
        <f t="array" ref="G190">Common_InputFunctions.Utility_DisplayArrayInTable(Common_SourceData.Common_SourceData_EFN2O_Data(), Table_SourceData_Common_EFN2O[[#Headers],[Production system j]], 0)</f>
        <v>Not irrigated</v>
      </c>
      <c r="H190" s="37"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7" t="str" cm="1">
        <f t="array" ref="D191">Common_InputFunctions.Utility_DisplayArrayInTable(Common_SourceData.Common_SourceData_EFN2O_Data(), Table_SourceData_Common_EFN2O[[#Headers],[Production system j]], 0)</f>
        <v>Non-irrigated crop (low rainfall)</v>
      </c>
      <c r="E191" s="37" cm="1">
        <f t="array" ref="E191">Common_InputFunctions.Utility_DisplayArrayInTable(Common_SourceData.Common_SourceData_EFN2O_Data(), Table_SourceData_Common_EFN2O[[#Headers],[Production system j]], 0)</f>
        <v>2.8999999999999998E-3</v>
      </c>
      <c r="F191" s="37" t="str" cm="1">
        <f t="array" ref="F191">Common_InputFunctions.Utility_DisplayArrayInTable(Common_SourceData.Common_SourceData_EFN2O_Data(), Table_SourceData_Common_EFN2O[[#Headers],[Production system j]], 0)</f>
        <v>Crop</v>
      </c>
      <c r="G191" s="37" t="str" cm="1">
        <f t="array" ref="G191">Common_InputFunctions.Utility_DisplayArrayInTable(Common_SourceData.Common_SourceData_EFN2O_Data(), Table_SourceData_Common_EFN2O[[#Headers],[Production system j]], 0)</f>
        <v>Not irrigated</v>
      </c>
      <c r="H191" s="37"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7" t="str" cm="1">
        <f t="array" ref="D192">Common_InputFunctions.Utility_DisplayArrayInTable(Common_SourceData.Common_SourceData_EFN2O_Data(), Table_SourceData_Common_EFN2O[[#Headers],[Production system j]], 0)</f>
        <v>Non-irrigated crop (high rainfall)</v>
      </c>
      <c r="E192" s="37" cm="1">
        <f t="array" ref="E192">Common_InputFunctions.Utility_DisplayArrayInTable(Common_SourceData.Common_SourceData_EFN2O_Data(), Table_SourceData_Common_EFN2O[[#Headers],[Production system j]], 0)</f>
        <v>8.0000000000000002E-3</v>
      </c>
      <c r="F192" s="37" t="str" cm="1">
        <f t="array" ref="F192">Common_InputFunctions.Utility_DisplayArrayInTable(Common_SourceData.Common_SourceData_EFN2O_Data(), Table_SourceData_Common_EFN2O[[#Headers],[Production system j]], 0)</f>
        <v>Crop</v>
      </c>
      <c r="G192" s="37" t="str" cm="1">
        <f t="array" ref="G192">Common_InputFunctions.Utility_DisplayArrayInTable(Common_SourceData.Common_SourceData_EFN2O_Data(), Table_SourceData_Common_EFN2O[[#Headers],[Production system j]], 0)</f>
        <v>Not irrigated</v>
      </c>
      <c r="H192" s="37"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7" t="str" cm="1">
        <f t="array" ref="D193">Common_InputFunctions.Utility_DisplayArrayInTable(Common_SourceData.Common_SourceData_EFN2O_Data(), Table_SourceData_Common_EFN2O[[#Headers],[Production system j]], 0)</f>
        <v>Sugar</v>
      </c>
      <c r="E193" s="37" cm="1">
        <f t="array" ref="E193">Common_InputFunctions.Utility_DisplayArrayInTable(Common_SourceData.Common_SourceData_EFN2O_Data(), Table_SourceData_Common_EFN2O[[#Headers],[Production system j]], 0)</f>
        <v>1.9900000000000001E-2</v>
      </c>
      <c r="F193" s="37" t="str" cm="1">
        <f t="array" ref="F193">Common_InputFunctions.Utility_DisplayArrayInTable(Common_SourceData.Common_SourceData_EFN2O_Data(), Table_SourceData_Common_EFN2O[[#Headers],[Production system j]], 0)</f>
        <v>Sugar</v>
      </c>
      <c r="G193" s="37" t="str" cm="1">
        <f t="array" ref="G193">Common_InputFunctions.Utility_DisplayArrayInTable(Common_SourceData.Common_SourceData_EFN2O_Data(), Table_SourceData_Common_EFN2O[[#Headers],[Production system j]], 0)</f>
        <v>Any</v>
      </c>
      <c r="H193" s="37" t="str" cm="1">
        <f t="array" ref="H193">Common_InputFunctions.Utility_DisplayArrayInTable(Common_SourceData.Common_SourceData_EFN2O_Data(), Table_SourceData_Common_EFN2O[[#Headers],[Production system j]], 0)</f>
        <v>Any</v>
      </c>
    </row>
    <row r="194" spans="4:8" ht="20.100000000000001" customHeight="1" x14ac:dyDescent="0.25">
      <c r="D194" s="37" t="str" cm="1">
        <f t="array" ref="D194">Common_InputFunctions.Utility_DisplayArrayInTable(Common_SourceData.Common_SourceData_EFN2O_Data(), Table_SourceData_Common_EFN2O[[#Headers],[Production system j]], 0)</f>
        <v>Cotton</v>
      </c>
      <c r="E194" s="37" cm="1">
        <f t="array" ref="E194">Common_InputFunctions.Utility_DisplayArrayInTable(Common_SourceData.Common_SourceData_EFN2O_Data(), Table_SourceData_Common_EFN2O[[#Headers],[Production system j]], 0)</f>
        <v>5.3E-3</v>
      </c>
      <c r="F194" s="37" t="str" cm="1">
        <f t="array" ref="F194">Common_InputFunctions.Utility_DisplayArrayInTable(Common_SourceData.Common_SourceData_EFN2O_Data(), Table_SourceData_Common_EFN2O[[#Headers],[Production system j]], 0)</f>
        <v>Cotton</v>
      </c>
      <c r="G194" s="37" t="str" cm="1">
        <f t="array" ref="G194">Common_InputFunctions.Utility_DisplayArrayInTable(Common_SourceData.Common_SourceData_EFN2O_Data(), Table_SourceData_Common_EFN2O[[#Headers],[Production system j]], 0)</f>
        <v>Any</v>
      </c>
      <c r="H194" s="37" t="str" cm="1">
        <f t="array" ref="H194">Common_InputFunctions.Utility_DisplayArrayInTable(Common_SourceData.Common_SourceData_EFN2O_Data(), Table_SourceData_Common_EFN2O[[#Headers],[Production system j]], 0)</f>
        <v>Any</v>
      </c>
    </row>
    <row r="195" spans="4:8" ht="20.100000000000001" customHeight="1" x14ac:dyDescent="0.25">
      <c r="D195" s="37" t="str" cm="1">
        <f t="array" ref="D195">Common_InputFunctions.Utility_DisplayArrayInTable(Common_SourceData.Common_SourceData_EFN2O_Data(), Table_SourceData_Common_EFN2O[[#Headers],[Production system j]], 0)</f>
        <v>Horticultural crops</v>
      </c>
      <c r="E195" s="37" cm="1">
        <f t="array" ref="E195">Common_InputFunctions.Utility_DisplayArrayInTable(Common_SourceData.Common_SourceData_EFN2O_Data(), Table_SourceData_Common_EFN2O[[#Headers],[Production system j]], 0)</f>
        <v>6.4000000000000003E-3</v>
      </c>
      <c r="F195" s="37" t="str" cm="1">
        <f t="array" ref="F195">Common_InputFunctions.Utility_DisplayArrayInTable(Common_SourceData.Common_SourceData_EFN2O_Data(), Table_SourceData_Common_EFN2O[[#Headers],[Production system j]], 0)</f>
        <v>Horticultural crops</v>
      </c>
      <c r="G195" s="37" t="str" cm="1">
        <f t="array" ref="G195">Common_InputFunctions.Utility_DisplayArrayInTable(Common_SourceData.Common_SourceData_EFN2O_Data(), Table_SourceData_Common_EFN2O[[#Headers],[Production system j]], 0)</f>
        <v>Any</v>
      </c>
      <c r="H195" s="37" t="str" cm="1">
        <f t="array" ref="H195">Common_InputFunctions.Utility_DisplayArrayInTable(Common_SourceData.Common_SourceData_EFN2O_Data(), Table_SourceData_Common_EFN2O[[#Headers],[Production system j]], 0)</f>
        <v>Any</v>
      </c>
    </row>
    <row r="196" spans="4:8" ht="20.100000000000001" customHeight="1" x14ac:dyDescent="0.25">
      <c r="D196" s="37" t="str" cm="1">
        <f t="array" ref="D196">Common_InputFunctions.Utility_DisplayArrayInTable(Common_SourceData.Common_SourceData_EFN2O_Data(), Table_SourceData_Common_EFN2O[[#Headers],[Production system j]], 0)</f>
        <v>Rice (continuous flooding)</v>
      </c>
      <c r="E196" s="37" cm="1">
        <f t="array" ref="E196">Common_InputFunctions.Utility_DisplayArrayInTable(Common_SourceData.Common_SourceData_EFN2O_Data(), Table_SourceData_Common_EFN2O[[#Headers],[Production system j]], 0)</f>
        <v>3.0000000000000001E-3</v>
      </c>
      <c r="F196" s="37" t="str" cm="1">
        <f t="array" ref="F196">Common_InputFunctions.Utility_DisplayArrayInTable(Common_SourceData.Common_SourceData_EFN2O_Data(), Table_SourceData_Common_EFN2O[[#Headers],[Production system j]], 0)</f>
        <v>Rice</v>
      </c>
      <c r="G196" s="37" t="str" cm="1">
        <f t="array" ref="G196">Common_InputFunctions.Utility_DisplayArrayInTable(Common_SourceData.Common_SourceData_EFN2O_Data(), Table_SourceData_Common_EFN2O[[#Headers],[Production system j]], 0)</f>
        <v>Continuous flooding</v>
      </c>
      <c r="H196" s="37" t="str" cm="1">
        <f t="array" ref="H196">Common_InputFunctions.Utility_DisplayArrayInTable(Common_SourceData.Common_SourceData_EFN2O_Data(), Table_SourceData_Common_EFN2O[[#Headers],[Production system j]], 0)</f>
        <v>Any</v>
      </c>
    </row>
    <row r="197" spans="4:8" x14ac:dyDescent="0.25">
      <c r="D197" s="37" t="str" cm="1">
        <f t="array" ref="D197">Common_InputFunctions.Utility_DisplayArrayInTable(Common_SourceData.Common_SourceData_EFN2O_Data(), Table_SourceData_Common_EFN2O[[#Headers],[Production system j]], 0)</f>
        <v>Rice (single and multiple drainage, or alternate wetting and drying)</v>
      </c>
      <c r="E197" s="37" cm="1">
        <f t="array" ref="E197">Common_InputFunctions.Utility_DisplayArrayInTable(Common_SourceData.Common_SourceData_EFN2O_Data(), Table_SourceData_Common_EFN2O[[#Headers],[Production system j]], 0)</f>
        <v>5.0000000000000001E-3</v>
      </c>
      <c r="F197" s="37" t="str" cm="1">
        <f t="array" ref="F197">Common_InputFunctions.Utility_DisplayArrayInTable(Common_SourceData.Common_SourceData_EFN2O_Data(), Table_SourceData_Common_EFN2O[[#Headers],[Production system j]], 0)</f>
        <v>Rice</v>
      </c>
      <c r="G197" s="37" t="str" cm="1">
        <f t="array" ref="G197">Common_InputFunctions.Utility_DisplayArrayInTable(Common_SourceData.Common_SourceData_EFN2O_Data(), Table_SourceData_Common_EFN2O[[#Headers],[Production system j]], 0)</f>
        <v>Single and multiple drainage, or alternate wetting and drying</v>
      </c>
      <c r="H197" s="37" t="str" cm="1">
        <f t="array" ref="H197">Common_InputFunctions.Utility_DisplayArrayInTable(Common_SourceData.Common_SourceData_EFN2O_Data(), Table_SourceData_Common_EFN2O[[#Headers],[Production system j]], 0)</f>
        <v>Any</v>
      </c>
    </row>
    <row r="198" spans="4:8" x14ac:dyDescent="0.25">
      <c r="D198" s="37" t="str" cm="1">
        <f t="array" ref="D198">Common_InputFunctions.Utility_DisplayArrayInTable(Common_SourceData.Common_SourceData_EFN2O_Data(), Table_SourceData_Common_EFN2O[[#Headers],[Production system j]], 0)</f>
        <v>Aquaculture</v>
      </c>
      <c r="E198" s="37" cm="1">
        <f t="array" ref="E198">Common_InputFunctions.Utility_DisplayArrayInTable(Common_SourceData.Common_SourceData_EFN2O_Data(), Table_SourceData_Common_EFN2O[[#Headers],[Production system j]], 0)</f>
        <v>2.5999999999999999E-3</v>
      </c>
      <c r="F198" s="37" t="str" cm="1">
        <f t="array" ref="F198">Common_InputFunctions.Utility_DisplayArrayInTable(Common_SourceData.Common_SourceData_EFN2O_Data(), Table_SourceData_Common_EFN2O[[#Headers],[Production system j]], 0)</f>
        <v>Aquaculture</v>
      </c>
      <c r="G198" s="37" t="str" cm="1">
        <f t="array" ref="G198">Common_InputFunctions.Utility_DisplayArrayInTable(Common_SourceData.Common_SourceData_EFN2O_Data(), Table_SourceData_Common_EFN2O[[#Headers],[Production system j]], 0)</f>
        <v>Any</v>
      </c>
      <c r="H198" s="37" t="str" cm="1">
        <f t="array" ref="H198">Common_InputFunctions.Utility_DisplayArrayInTable(Common_SourceData.Common_SourceData_EFN2O_Data(), Table_SourceData_Common_EFN2O[[#Headers],[Production system j]], 0)</f>
        <v>Any</v>
      </c>
    </row>
    <row r="199" spans="4:8" x14ac:dyDescent="0.25">
      <c r="D199" s="37" t="str" cm="1">
        <f t="array" ref="D199">Common_InputFunctions.Utility_DisplayArrayInTable(Common_SourceData.Common_SourceData_EFN2O_Data(), Table_SourceData_Common_EFN2O[[#Headers],[Production system j]], 0)</f>
        <v>Forestry</v>
      </c>
      <c r="E199" s="37" cm="1">
        <f t="array" ref="E199">Common_InputFunctions.Utility_DisplayArrayInTable(Common_SourceData.Common_SourceData_EFN2O_Data(), Table_SourceData_Common_EFN2O[[#Headers],[Production system j]], 0)</f>
        <v>1.8E-3</v>
      </c>
      <c r="F199" s="37" t="str" cm="1">
        <f t="array" ref="F199">Common_InputFunctions.Utility_DisplayArrayInTable(Common_SourceData.Common_SourceData_EFN2O_Data(), Table_SourceData_Common_EFN2O[[#Headers],[Production system j]], 0)</f>
        <v>Forestry</v>
      </c>
      <c r="G199" s="37" t="str" cm="1">
        <f t="array" ref="G199">Common_InputFunctions.Utility_DisplayArrayInTable(Common_SourceData.Common_SourceData_EFN2O_Data(), Table_SourceData_Common_EFN2O[[#Headers],[Production system j]], 0)</f>
        <v>Any</v>
      </c>
      <c r="H199" s="37"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3" t="str" cm="1">
        <f t="array" ref="D204">Common_SourceData.Common_SourceData_EFPastureRangeAndPaddock_Variation()</f>
        <v>VARIATION FROM SOURCE DATA: Changed 'Dry climate zones' to singular 'Dry climate zone' to aid lookup.</v>
      </c>
    </row>
    <row r="205" spans="4:8" x14ac:dyDescent="0.25">
      <c r="D205" s="52" t="str" cm="1">
        <f t="array" ref="D205">Common_SourceData.Common_SourceData_EFPastureRangeAndPaddock_Unit()</f>
        <v>kg N2O - N / kg N</v>
      </c>
    </row>
    <row r="206" spans="4:8" x14ac:dyDescent="0.25">
      <c r="D206" s="37" t="s">
        <v>8</v>
      </c>
      <c r="E206" s="37" t="s">
        <v>109</v>
      </c>
    </row>
    <row r="207" spans="4:8" x14ac:dyDescent="0.25">
      <c r="D207" s="37" t="str" cm="1">
        <f t="array" ref="D207">Common_InputFunctions.Utility_DisplayArrayInTable(Common_SourceData.Common_SourceData_EFPastureRangeAndPaddock_Data(), Table_SourceData_EFPastureRangeAndPaddock[[#Headers],[Climate zone]], 0)</f>
        <v>Wet climate zone</v>
      </c>
      <c r="E207" s="37"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7"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7" t="s">
        <v>104</v>
      </c>
      <c r="E212" s="37" t="s">
        <v>114</v>
      </c>
    </row>
    <row r="213" spans="4:5" x14ac:dyDescent="0.25">
      <c r="D213" s="37" t="str" cm="1">
        <f t="array" ref="D213">Common_InputFunctions.Utility_DisplayArrayInTable(Common_SourceData.Common_SourceData_MonthsToSeasons_Data(), Table_SourceData_Common_MonthToSeason[[#Headers],[Month]], 0)</f>
        <v>January</v>
      </c>
      <c r="E213" s="37"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7"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7"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7"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7"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7"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7"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7"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7"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7"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7"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7"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3"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7" t="s">
        <v>49</v>
      </c>
      <c r="E231" s="37" t="s">
        <v>309</v>
      </c>
      <c r="F231" s="36" t="s">
        <v>310</v>
      </c>
      <c r="G231" s="37" t="s">
        <v>173</v>
      </c>
      <c r="H231" s="37" t="s">
        <v>311</v>
      </c>
      <c r="I231" s="37" t="s">
        <v>312</v>
      </c>
      <c r="J231" s="37" t="s">
        <v>169</v>
      </c>
      <c r="K231" s="37" t="s">
        <v>165</v>
      </c>
      <c r="L231" s="37" t="s">
        <v>313</v>
      </c>
      <c r="M231" s="37" t="s">
        <v>314</v>
      </c>
      <c r="N231" s="37" t="s">
        <v>163</v>
      </c>
      <c r="O231" s="37" t="s">
        <v>315</v>
      </c>
      <c r="P231" s="37" t="s">
        <v>177</v>
      </c>
      <c r="Q231" s="37" t="s">
        <v>179</v>
      </c>
      <c r="R231" s="37" t="s">
        <v>175</v>
      </c>
      <c r="S231" s="37" t="s">
        <v>316</v>
      </c>
    </row>
    <row r="232" spans="4:19" x14ac:dyDescent="0.25">
      <c r="D232" s="37" t="str" cm="1">
        <f t="array" ref="D232">Common_InputFunctions.Utility_DisplayArrayInTable(Common_SourceData.Common_SourceData_MCFTemperatureZone_Data(),Table_SourceData_Common_MCFTemperatureZone[[#Headers],[Temperature zone]],0)</f>
        <v>Cool</v>
      </c>
      <c r="E232" s="37" t="str" cm="1">
        <f t="array" ref="E232">Common_InputFunctions.Utility_DisplayArrayInTable(Common_SourceData.Common_SourceData_MCFTemperatureZone_Data(),Table_SourceData_Common_MCFTemperatureZone[[#Headers],[Temperature zone]],0)</f>
        <v>≤10</v>
      </c>
      <c r="F232" s="37" cm="1">
        <f t="array" ref="F232">Common_InputFunctions.Utility_DisplayArrayInTable(Common_SourceData.Common_SourceData_MCFTemperatureZone_Data(),Table_SourceData_Common_MCFTemperatureZone[[#Headers],[Temperature zone]],0)</f>
        <v>0.66</v>
      </c>
      <c r="G232" s="37" cm="1">
        <f t="array" ref="G232">Common_InputFunctions.Utility_DisplayArrayInTable(Common_SourceData.Common_SourceData_MCFTemperatureZone_Data(),Table_SourceData_Common_MCFTemperatureZone[[#Headers],[Temperature zone]],0)</f>
        <v>0.1</v>
      </c>
      <c r="H232" s="37" cm="1">
        <f t="array" ref="H232">Common_InputFunctions.Utility_DisplayArrayInTable(Common_SourceData.Common_SourceData_MCFTemperatureZone_Data(),Table_SourceData_Common_MCFTemperatureZone[[#Headers],[Temperature zone]],0)</f>
        <v>0.1</v>
      </c>
      <c r="I232" s="37" cm="1">
        <f t="array" ref="I232">Common_InputFunctions.Utility_DisplayArrayInTable(Common_SourceData.Common_SourceData_MCFTemperatureZone_Data(),Table_SourceData_Common_MCFTemperatureZone[[#Headers],[Temperature zone]],0)</f>
        <v>1E-3</v>
      </c>
      <c r="J232" s="37" cm="1">
        <f t="array" ref="J232">Common_InputFunctions.Utility_DisplayArrayInTable(Common_SourceData.Common_SourceData_MCFTemperatureZone_Data(),Table_SourceData_Common_MCFTemperatureZone[[#Headers],[Temperature zone]],0)</f>
        <v>5.0000000000000001E-3</v>
      </c>
      <c r="K232" s="37" cm="1">
        <f t="array" ref="K232">Common_InputFunctions.Utility_DisplayArrayInTable(Common_SourceData.Common_SourceData_MCFTemperatureZone_Data(),Table_SourceData_Common_MCFTemperatureZone[[#Headers],[Temperature zone]],0)</f>
        <v>0.02</v>
      </c>
      <c r="L232" s="37" cm="1">
        <f t="array" ref="L232">Common_InputFunctions.Utility_DisplayArrayInTable(Common_SourceData.Common_SourceData_MCFTemperatureZone_Data(),Table_SourceData_Common_MCFTemperatureZone[[#Headers],[Temperature zone]],0)</f>
        <v>0.03</v>
      </c>
      <c r="M232" s="37" cm="1">
        <f t="array" ref="M232">Common_InputFunctions.Utility_DisplayArrayInTable(Common_SourceData.Common_SourceData_MCFTemperatureZone_Data(),Table_SourceData_Common_MCFTemperatureZone[[#Headers],[Temperature zone]],0)</f>
        <v>0.04</v>
      </c>
      <c r="N232" s="37" cm="1">
        <f t="array" ref="N232">Common_InputFunctions.Utility_DisplayArrayInTable(Common_SourceData.Common_SourceData_MCFTemperatureZone_Data(),Table_SourceData_Common_MCFTemperatureZone[[#Headers],[Temperature zone]],0)</f>
        <v>1.4999999999999999E-2</v>
      </c>
      <c r="O232" s="37" cm="1">
        <f t="array" ref="O232">Common_InputFunctions.Utility_DisplayArrayInTable(Common_SourceData.Common_SourceData_MCFTemperatureZone_Data(),Table_SourceData_Common_MCFTemperatureZone[[#Headers],[Temperature zone]],0)</f>
        <v>1.4999999999999999E-2</v>
      </c>
      <c r="P232" s="37" cm="1">
        <f t="array" ref="P232">Common_InputFunctions.Utility_DisplayArrayInTable(Common_SourceData.Common_SourceData_MCFTemperatureZone_Data(),Table_SourceData_Common_MCFTemperatureZone[[#Headers],[Temperature zone]],0)</f>
        <v>0</v>
      </c>
      <c r="Q232" s="37" cm="1">
        <f t="array" ref="Q232">Common_InputFunctions.Utility_DisplayArrayInTable(Common_SourceData.Common_SourceData_MCFTemperatureZone_Data(),Table_SourceData_Common_MCFTemperatureZone[[#Headers],[Temperature zone]],0)</f>
        <v>0</v>
      </c>
      <c r="R232" s="37" cm="1">
        <f t="array" ref="R232">Common_InputFunctions.Utility_DisplayArrayInTable(Common_SourceData.Common_SourceData_MCFTemperatureZone_Data(),Table_SourceData_Common_MCFTemperatureZone[[#Headers],[Temperature zone]],0)</f>
        <v>4.7000000000000002E-3</v>
      </c>
      <c r="S232" s="37"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7" cm="1">
        <f t="array" ref="E233">Common_InputFunctions.Utility_DisplayArrayInTable(Common_SourceData.Common_SourceData_MCFTemperatureZone_Data(),Table_SourceData_Common_MCFTemperatureZone[[#Headers],[Temperature zone]],0)</f>
        <v>11</v>
      </c>
      <c r="F233" s="37" cm="1">
        <f t="array" ref="F233">Common_InputFunctions.Utility_DisplayArrayInTable(Common_SourceData.Common_SourceData_MCFTemperatureZone_Data(),Table_SourceData_Common_MCFTemperatureZone[[#Headers],[Temperature zone]],0)</f>
        <v>0.68</v>
      </c>
      <c r="G233" s="37" cm="1">
        <f t="array" ref="G233">Common_InputFunctions.Utility_DisplayArrayInTable(Common_SourceData.Common_SourceData_MCFTemperatureZone_Data(),Table_SourceData_Common_MCFTemperatureZone[[#Headers],[Temperature zone]],0)</f>
        <v>0.1</v>
      </c>
      <c r="H233" s="37" cm="1">
        <f t="array" ref="H233">Common_InputFunctions.Utility_DisplayArrayInTable(Common_SourceData.Common_SourceData_MCFTemperatureZone_Data(),Table_SourceData_Common_MCFTemperatureZone[[#Headers],[Temperature zone]],0)</f>
        <v>0.11</v>
      </c>
      <c r="I233" s="37" cm="1">
        <f t="array" ref="I233">Common_InputFunctions.Utility_DisplayArrayInTable(Common_SourceData.Common_SourceData_MCFTemperatureZone_Data(),Table_SourceData_Common_MCFTemperatureZone[[#Headers],[Temperature zone]],0)</f>
        <v>1E-3</v>
      </c>
      <c r="J233" s="37" cm="1">
        <f t="array" ref="J233">Common_InputFunctions.Utility_DisplayArrayInTable(Common_SourceData.Common_SourceData_MCFTemperatureZone_Data(),Table_SourceData_Common_MCFTemperatureZone[[#Headers],[Temperature zone]],0)</f>
        <v>5.0000000000000001E-3</v>
      </c>
      <c r="K233" s="37" cm="1">
        <f t="array" ref="K233">Common_InputFunctions.Utility_DisplayArrayInTable(Common_SourceData.Common_SourceData_MCFTemperatureZone_Data(),Table_SourceData_Common_MCFTemperatureZone[[#Headers],[Temperature zone]],0)</f>
        <v>0.02</v>
      </c>
      <c r="L233" s="37" cm="1">
        <f t="array" ref="L233">Common_InputFunctions.Utility_DisplayArrayInTable(Common_SourceData.Common_SourceData_MCFTemperatureZone_Data(),Table_SourceData_Common_MCFTemperatureZone[[#Headers],[Temperature zone]],0)</f>
        <v>0.03</v>
      </c>
      <c r="M233" s="37" cm="1">
        <f t="array" ref="M233">Common_InputFunctions.Utility_DisplayArrayInTable(Common_SourceData.Common_SourceData_MCFTemperatureZone_Data(),Table_SourceData_Common_MCFTemperatureZone[[#Headers],[Temperature zone]],0)</f>
        <v>0.04</v>
      </c>
      <c r="N233" s="37" cm="1">
        <f t="array" ref="N233">Common_InputFunctions.Utility_DisplayArrayInTable(Common_SourceData.Common_SourceData_MCFTemperatureZone_Data(),Table_SourceData_Common_MCFTemperatureZone[[#Headers],[Temperature zone]],0)</f>
        <v>1.4999999999999999E-2</v>
      </c>
      <c r="O233" s="37" cm="1">
        <f t="array" ref="O233">Common_InputFunctions.Utility_DisplayArrayInTable(Common_SourceData.Common_SourceData_MCFTemperatureZone_Data(),Table_SourceData_Common_MCFTemperatureZone[[#Headers],[Temperature zone]],0)</f>
        <v>1.4999999999999999E-2</v>
      </c>
      <c r="P233" s="37" cm="1">
        <f t="array" ref="P233">Common_InputFunctions.Utility_DisplayArrayInTable(Common_SourceData.Common_SourceData_MCFTemperatureZone_Data(),Table_SourceData_Common_MCFTemperatureZone[[#Headers],[Temperature zone]],0)</f>
        <v>0</v>
      </c>
      <c r="Q233" s="37" cm="1">
        <f t="array" ref="Q233">Common_InputFunctions.Utility_DisplayArrayInTable(Common_SourceData.Common_SourceData_MCFTemperatureZone_Data(),Table_SourceData_Common_MCFTemperatureZone[[#Headers],[Temperature zone]],0)</f>
        <v>0</v>
      </c>
      <c r="R233" s="37" cm="1">
        <f t="array" ref="R233">Common_InputFunctions.Utility_DisplayArrayInTable(Common_SourceData.Common_SourceData_MCFTemperatureZone_Data(),Table_SourceData_Common_MCFTemperatureZone[[#Headers],[Temperature zone]],0)</f>
        <v>4.7000000000000002E-3</v>
      </c>
      <c r="S233" s="37"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7" cm="1">
        <f t="array" ref="E234">Common_InputFunctions.Utility_DisplayArrayInTable(Common_SourceData.Common_SourceData_MCFTemperatureZone_Data(),Table_SourceData_Common_MCFTemperatureZone[[#Headers],[Temperature zone]],0)</f>
        <v>12</v>
      </c>
      <c r="F234" s="37" cm="1">
        <f t="array" ref="F234">Common_InputFunctions.Utility_DisplayArrayInTable(Common_SourceData.Common_SourceData_MCFTemperatureZone_Data(),Table_SourceData_Common_MCFTemperatureZone[[#Headers],[Temperature zone]],0)</f>
        <v>0.7</v>
      </c>
      <c r="G234" s="37" cm="1">
        <f t="array" ref="G234">Common_InputFunctions.Utility_DisplayArrayInTable(Common_SourceData.Common_SourceData_MCFTemperatureZone_Data(),Table_SourceData_Common_MCFTemperatureZone[[#Headers],[Temperature zone]],0)</f>
        <v>0.1</v>
      </c>
      <c r="H234" s="37" cm="1">
        <f t="array" ref="H234">Common_InputFunctions.Utility_DisplayArrayInTable(Common_SourceData.Common_SourceData_MCFTemperatureZone_Data(),Table_SourceData_Common_MCFTemperatureZone[[#Headers],[Temperature zone]],0)</f>
        <v>0.13</v>
      </c>
      <c r="I234" s="37" cm="1">
        <f t="array" ref="I234">Common_InputFunctions.Utility_DisplayArrayInTable(Common_SourceData.Common_SourceData_MCFTemperatureZone_Data(),Table_SourceData_Common_MCFTemperatureZone[[#Headers],[Temperature zone]],0)</f>
        <v>1E-3</v>
      </c>
      <c r="J234" s="37" cm="1">
        <f t="array" ref="J234">Common_InputFunctions.Utility_DisplayArrayInTable(Common_SourceData.Common_SourceData_MCFTemperatureZone_Data(),Table_SourceData_Common_MCFTemperatureZone[[#Headers],[Temperature zone]],0)</f>
        <v>5.0000000000000001E-3</v>
      </c>
      <c r="K234" s="37" cm="1">
        <f t="array" ref="K234">Common_InputFunctions.Utility_DisplayArrayInTable(Common_SourceData.Common_SourceData_MCFTemperatureZone_Data(),Table_SourceData_Common_MCFTemperatureZone[[#Headers],[Temperature zone]],0)</f>
        <v>0.02</v>
      </c>
      <c r="L234" s="37" cm="1">
        <f t="array" ref="L234">Common_InputFunctions.Utility_DisplayArrayInTable(Common_SourceData.Common_SourceData_MCFTemperatureZone_Data(),Table_SourceData_Common_MCFTemperatureZone[[#Headers],[Temperature zone]],0)</f>
        <v>0.03</v>
      </c>
      <c r="M234" s="37" cm="1">
        <f t="array" ref="M234">Common_InputFunctions.Utility_DisplayArrayInTable(Common_SourceData.Common_SourceData_MCFTemperatureZone_Data(),Table_SourceData_Common_MCFTemperatureZone[[#Headers],[Temperature zone]],0)</f>
        <v>0.04</v>
      </c>
      <c r="N234" s="37" cm="1">
        <f t="array" ref="N234">Common_InputFunctions.Utility_DisplayArrayInTable(Common_SourceData.Common_SourceData_MCFTemperatureZone_Data(),Table_SourceData_Common_MCFTemperatureZone[[#Headers],[Temperature zone]],0)</f>
        <v>1.4999999999999999E-2</v>
      </c>
      <c r="O234" s="37" cm="1">
        <f t="array" ref="O234">Common_InputFunctions.Utility_DisplayArrayInTable(Common_SourceData.Common_SourceData_MCFTemperatureZone_Data(),Table_SourceData_Common_MCFTemperatureZone[[#Headers],[Temperature zone]],0)</f>
        <v>1.4999999999999999E-2</v>
      </c>
      <c r="P234" s="37" cm="1">
        <f t="array" ref="P234">Common_InputFunctions.Utility_DisplayArrayInTable(Common_SourceData.Common_SourceData_MCFTemperatureZone_Data(),Table_SourceData_Common_MCFTemperatureZone[[#Headers],[Temperature zone]],0)</f>
        <v>0</v>
      </c>
      <c r="Q234" s="37" cm="1">
        <f t="array" ref="Q234">Common_InputFunctions.Utility_DisplayArrayInTable(Common_SourceData.Common_SourceData_MCFTemperatureZone_Data(),Table_SourceData_Common_MCFTemperatureZone[[#Headers],[Temperature zone]],0)</f>
        <v>0</v>
      </c>
      <c r="R234" s="37" cm="1">
        <f t="array" ref="R234">Common_InputFunctions.Utility_DisplayArrayInTable(Common_SourceData.Common_SourceData_MCFTemperatureZone_Data(),Table_SourceData_Common_MCFTemperatureZone[[#Headers],[Temperature zone]],0)</f>
        <v>4.7000000000000002E-3</v>
      </c>
      <c r="S234" s="37"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7" cm="1">
        <f t="array" ref="E235">Common_InputFunctions.Utility_DisplayArrayInTable(Common_SourceData.Common_SourceData_MCFTemperatureZone_Data(),Table_SourceData_Common_MCFTemperatureZone[[#Headers],[Temperature zone]],0)</f>
        <v>13</v>
      </c>
      <c r="F235" s="37" cm="1">
        <f t="array" ref="F235">Common_InputFunctions.Utility_DisplayArrayInTable(Common_SourceData.Common_SourceData_MCFTemperatureZone_Data(),Table_SourceData_Common_MCFTemperatureZone[[#Headers],[Temperature zone]],0)</f>
        <v>0.71</v>
      </c>
      <c r="G235" s="37" cm="1">
        <f t="array" ref="G235">Common_InputFunctions.Utility_DisplayArrayInTable(Common_SourceData.Common_SourceData_MCFTemperatureZone_Data(),Table_SourceData_Common_MCFTemperatureZone[[#Headers],[Temperature zone]],0)</f>
        <v>0.1</v>
      </c>
      <c r="H235" s="37" cm="1">
        <f t="array" ref="H235">Common_InputFunctions.Utility_DisplayArrayInTable(Common_SourceData.Common_SourceData_MCFTemperatureZone_Data(),Table_SourceData_Common_MCFTemperatureZone[[#Headers],[Temperature zone]],0)</f>
        <v>0.14000000000000001</v>
      </c>
      <c r="I235" s="37" cm="1">
        <f t="array" ref="I235">Common_InputFunctions.Utility_DisplayArrayInTable(Common_SourceData.Common_SourceData_MCFTemperatureZone_Data(),Table_SourceData_Common_MCFTemperatureZone[[#Headers],[Temperature zone]],0)</f>
        <v>1E-3</v>
      </c>
      <c r="J235" s="37" cm="1">
        <f t="array" ref="J235">Common_InputFunctions.Utility_DisplayArrayInTable(Common_SourceData.Common_SourceData_MCFTemperatureZone_Data(),Table_SourceData_Common_MCFTemperatureZone[[#Headers],[Temperature zone]],0)</f>
        <v>5.0000000000000001E-3</v>
      </c>
      <c r="K235" s="37" cm="1">
        <f t="array" ref="K235">Common_InputFunctions.Utility_DisplayArrayInTable(Common_SourceData.Common_SourceData_MCFTemperatureZone_Data(),Table_SourceData_Common_MCFTemperatureZone[[#Headers],[Temperature zone]],0)</f>
        <v>0.02</v>
      </c>
      <c r="L235" s="37" cm="1">
        <f t="array" ref="L235">Common_InputFunctions.Utility_DisplayArrayInTable(Common_SourceData.Common_SourceData_MCFTemperatureZone_Data(),Table_SourceData_Common_MCFTemperatureZone[[#Headers],[Temperature zone]],0)</f>
        <v>0.03</v>
      </c>
      <c r="M235" s="37" cm="1">
        <f t="array" ref="M235">Common_InputFunctions.Utility_DisplayArrayInTable(Common_SourceData.Common_SourceData_MCFTemperatureZone_Data(),Table_SourceData_Common_MCFTemperatureZone[[#Headers],[Temperature zone]],0)</f>
        <v>0.04</v>
      </c>
      <c r="N235" s="37" cm="1">
        <f t="array" ref="N235">Common_InputFunctions.Utility_DisplayArrayInTable(Common_SourceData.Common_SourceData_MCFTemperatureZone_Data(),Table_SourceData_Common_MCFTemperatureZone[[#Headers],[Temperature zone]],0)</f>
        <v>1.4999999999999999E-2</v>
      </c>
      <c r="O235" s="37" cm="1">
        <f t="array" ref="O235">Common_InputFunctions.Utility_DisplayArrayInTable(Common_SourceData.Common_SourceData_MCFTemperatureZone_Data(),Table_SourceData_Common_MCFTemperatureZone[[#Headers],[Temperature zone]],0)</f>
        <v>1.4999999999999999E-2</v>
      </c>
      <c r="P235" s="37" cm="1">
        <f t="array" ref="P235">Common_InputFunctions.Utility_DisplayArrayInTable(Common_SourceData.Common_SourceData_MCFTemperatureZone_Data(),Table_SourceData_Common_MCFTemperatureZone[[#Headers],[Temperature zone]],0)</f>
        <v>0</v>
      </c>
      <c r="Q235" s="37" cm="1">
        <f t="array" ref="Q235">Common_InputFunctions.Utility_DisplayArrayInTable(Common_SourceData.Common_SourceData_MCFTemperatureZone_Data(),Table_SourceData_Common_MCFTemperatureZone[[#Headers],[Temperature zone]],0)</f>
        <v>0</v>
      </c>
      <c r="R235" s="37" cm="1">
        <f t="array" ref="R235">Common_InputFunctions.Utility_DisplayArrayInTable(Common_SourceData.Common_SourceData_MCFTemperatureZone_Data(),Table_SourceData_Common_MCFTemperatureZone[[#Headers],[Temperature zone]],0)</f>
        <v>4.7000000000000002E-3</v>
      </c>
      <c r="S235" s="37"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7" cm="1">
        <f t="array" ref="E236">Common_InputFunctions.Utility_DisplayArrayInTable(Common_SourceData.Common_SourceData_MCFTemperatureZone_Data(),Table_SourceData_Common_MCFTemperatureZone[[#Headers],[Temperature zone]],0)</f>
        <v>14</v>
      </c>
      <c r="F236" s="37" cm="1">
        <f t="array" ref="F236">Common_InputFunctions.Utility_DisplayArrayInTable(Common_SourceData.Common_SourceData_MCFTemperatureZone_Data(),Table_SourceData_Common_MCFTemperatureZone[[#Headers],[Temperature zone]],0)</f>
        <v>0.73</v>
      </c>
      <c r="G236" s="37" cm="1">
        <f t="array" ref="G236">Common_InputFunctions.Utility_DisplayArrayInTable(Common_SourceData.Common_SourceData_MCFTemperatureZone_Data(),Table_SourceData_Common_MCFTemperatureZone[[#Headers],[Temperature zone]],0)</f>
        <v>0.1</v>
      </c>
      <c r="H236" s="37" cm="1">
        <f t="array" ref="H236">Common_InputFunctions.Utility_DisplayArrayInTable(Common_SourceData.Common_SourceData_MCFTemperatureZone_Data(),Table_SourceData_Common_MCFTemperatureZone[[#Headers],[Temperature zone]],0)</f>
        <v>0.15</v>
      </c>
      <c r="I236" s="37" cm="1">
        <f t="array" ref="I236">Common_InputFunctions.Utility_DisplayArrayInTable(Common_SourceData.Common_SourceData_MCFTemperatureZone_Data(),Table_SourceData_Common_MCFTemperatureZone[[#Headers],[Temperature zone]],0)</f>
        <v>1E-3</v>
      </c>
      <c r="J236" s="37" cm="1">
        <f t="array" ref="J236">Common_InputFunctions.Utility_DisplayArrayInTable(Common_SourceData.Common_SourceData_MCFTemperatureZone_Data(),Table_SourceData_Common_MCFTemperatureZone[[#Headers],[Temperature zone]],0)</f>
        <v>5.0000000000000001E-3</v>
      </c>
      <c r="K236" s="37" cm="1">
        <f t="array" ref="K236">Common_InputFunctions.Utility_DisplayArrayInTable(Common_SourceData.Common_SourceData_MCFTemperatureZone_Data(),Table_SourceData_Common_MCFTemperatureZone[[#Headers],[Temperature zone]],0)</f>
        <v>0.02</v>
      </c>
      <c r="L236" s="37" cm="1">
        <f t="array" ref="L236">Common_InputFunctions.Utility_DisplayArrayInTable(Common_SourceData.Common_SourceData_MCFTemperatureZone_Data(),Table_SourceData_Common_MCFTemperatureZone[[#Headers],[Temperature zone]],0)</f>
        <v>0.03</v>
      </c>
      <c r="M236" s="37" cm="1">
        <f t="array" ref="M236">Common_InputFunctions.Utility_DisplayArrayInTable(Common_SourceData.Common_SourceData_MCFTemperatureZone_Data(),Table_SourceData_Common_MCFTemperatureZone[[#Headers],[Temperature zone]],0)</f>
        <v>0.04</v>
      </c>
      <c r="N236" s="37" cm="1">
        <f t="array" ref="N236">Common_InputFunctions.Utility_DisplayArrayInTable(Common_SourceData.Common_SourceData_MCFTemperatureZone_Data(),Table_SourceData_Common_MCFTemperatureZone[[#Headers],[Temperature zone]],0)</f>
        <v>1.4999999999999999E-2</v>
      </c>
      <c r="O236" s="37" cm="1">
        <f t="array" ref="O236">Common_InputFunctions.Utility_DisplayArrayInTable(Common_SourceData.Common_SourceData_MCFTemperatureZone_Data(),Table_SourceData_Common_MCFTemperatureZone[[#Headers],[Temperature zone]],0)</f>
        <v>1.4999999999999999E-2</v>
      </c>
      <c r="P236" s="37" cm="1">
        <f t="array" ref="P236">Common_InputFunctions.Utility_DisplayArrayInTable(Common_SourceData.Common_SourceData_MCFTemperatureZone_Data(),Table_SourceData_Common_MCFTemperatureZone[[#Headers],[Temperature zone]],0)</f>
        <v>0</v>
      </c>
      <c r="Q236" s="37" cm="1">
        <f t="array" ref="Q236">Common_InputFunctions.Utility_DisplayArrayInTable(Common_SourceData.Common_SourceData_MCFTemperatureZone_Data(),Table_SourceData_Common_MCFTemperatureZone[[#Headers],[Temperature zone]],0)</f>
        <v>0</v>
      </c>
      <c r="R236" s="37" cm="1">
        <f t="array" ref="R236">Common_InputFunctions.Utility_DisplayArrayInTable(Common_SourceData.Common_SourceData_MCFTemperatureZone_Data(),Table_SourceData_Common_MCFTemperatureZone[[#Headers],[Temperature zone]],0)</f>
        <v>4.7000000000000002E-3</v>
      </c>
      <c r="S236" s="37"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7" cm="1">
        <f t="array" ref="E237">Common_InputFunctions.Utility_DisplayArrayInTable(Common_SourceData.Common_SourceData_MCFTemperatureZone_Data(),Table_SourceData_Common_MCFTemperatureZone[[#Headers],[Temperature zone]],0)</f>
        <v>15</v>
      </c>
      <c r="F237" s="37" cm="1">
        <f t="array" ref="F237">Common_InputFunctions.Utility_DisplayArrayInTable(Common_SourceData.Common_SourceData_MCFTemperatureZone_Data(),Table_SourceData_Common_MCFTemperatureZone[[#Headers],[Temperature zone]],0)</f>
        <v>0.74</v>
      </c>
      <c r="G237" s="37" cm="1">
        <f t="array" ref="G237">Common_InputFunctions.Utility_DisplayArrayInTable(Common_SourceData.Common_SourceData_MCFTemperatureZone_Data(),Table_SourceData_Common_MCFTemperatureZone[[#Headers],[Temperature zone]],0)</f>
        <v>0.1</v>
      </c>
      <c r="H237" s="37" cm="1">
        <f t="array" ref="H237">Common_InputFunctions.Utility_DisplayArrayInTable(Common_SourceData.Common_SourceData_MCFTemperatureZone_Data(),Table_SourceData_Common_MCFTemperatureZone[[#Headers],[Temperature zone]],0)</f>
        <v>0.17</v>
      </c>
      <c r="I237" s="37" cm="1">
        <f t="array" ref="I237">Common_InputFunctions.Utility_DisplayArrayInTable(Common_SourceData.Common_SourceData_MCFTemperatureZone_Data(),Table_SourceData_Common_MCFTemperatureZone[[#Headers],[Temperature zone]],0)</f>
        <v>5.0000000000000001E-3</v>
      </c>
      <c r="J237" s="37" cm="1">
        <f t="array" ref="J237">Common_InputFunctions.Utility_DisplayArrayInTable(Common_SourceData.Common_SourceData_MCFTemperatureZone_Data(),Table_SourceData_Common_MCFTemperatureZone[[#Headers],[Temperature zone]],0)</f>
        <v>0.01</v>
      </c>
      <c r="K237" s="37" cm="1">
        <f t="array" ref="K237">Common_InputFunctions.Utility_DisplayArrayInTable(Common_SourceData.Common_SourceData_MCFTemperatureZone_Data(),Table_SourceData_Common_MCFTemperatureZone[[#Headers],[Temperature zone]],0)</f>
        <v>0.02</v>
      </c>
      <c r="L237" s="37" cm="1">
        <f t="array" ref="L237">Common_InputFunctions.Utility_DisplayArrayInTable(Common_SourceData.Common_SourceData_MCFTemperatureZone_Data(),Table_SourceData_Common_MCFTemperatureZone[[#Headers],[Temperature zone]],0)</f>
        <v>0.03</v>
      </c>
      <c r="M237" s="37" cm="1">
        <f t="array" ref="M237">Common_InputFunctions.Utility_DisplayArrayInTable(Common_SourceData.Common_SourceData_MCFTemperatureZone_Data(),Table_SourceData_Common_MCFTemperatureZone[[#Headers],[Temperature zone]],0)</f>
        <v>0.04</v>
      </c>
      <c r="N237" s="37" cm="1">
        <f t="array" ref="N237">Common_InputFunctions.Utility_DisplayArrayInTable(Common_SourceData.Common_SourceData_MCFTemperatureZone_Data(),Table_SourceData_Common_MCFTemperatureZone[[#Headers],[Temperature zone]],0)</f>
        <v>1.4999999999999999E-2</v>
      </c>
      <c r="O237" s="37" cm="1">
        <f t="array" ref="O237">Common_InputFunctions.Utility_DisplayArrayInTable(Common_SourceData.Common_SourceData_MCFTemperatureZone_Data(),Table_SourceData_Common_MCFTemperatureZone[[#Headers],[Temperature zone]],0)</f>
        <v>1.4999999999999999E-2</v>
      </c>
      <c r="P237" s="37" cm="1">
        <f t="array" ref="P237">Common_InputFunctions.Utility_DisplayArrayInTable(Common_SourceData.Common_SourceData_MCFTemperatureZone_Data(),Table_SourceData_Common_MCFTemperatureZone[[#Headers],[Temperature zone]],0)</f>
        <v>0</v>
      </c>
      <c r="Q237" s="37" cm="1">
        <f t="array" ref="Q237">Common_InputFunctions.Utility_DisplayArrayInTable(Common_SourceData.Common_SourceData_MCFTemperatureZone_Data(),Table_SourceData_Common_MCFTemperatureZone[[#Headers],[Temperature zone]],0)</f>
        <v>0</v>
      </c>
      <c r="R237" s="37" cm="1">
        <f t="array" ref="R237">Common_InputFunctions.Utility_DisplayArrayInTable(Common_SourceData.Common_SourceData_MCFTemperatureZone_Data(),Table_SourceData_Common_MCFTemperatureZone[[#Headers],[Temperature zone]],0)</f>
        <v>4.7000000000000002E-3</v>
      </c>
      <c r="S237" s="37"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7" cm="1">
        <f t="array" ref="E238">Common_InputFunctions.Utility_DisplayArrayInTable(Common_SourceData.Common_SourceData_MCFTemperatureZone_Data(),Table_SourceData_Common_MCFTemperatureZone[[#Headers],[Temperature zone]],0)</f>
        <v>16</v>
      </c>
      <c r="F238" s="37" cm="1">
        <f t="array" ref="F238">Common_InputFunctions.Utility_DisplayArrayInTable(Common_SourceData.Common_SourceData_MCFTemperatureZone_Data(),Table_SourceData_Common_MCFTemperatureZone[[#Headers],[Temperature zone]],0)</f>
        <v>0.75</v>
      </c>
      <c r="G238" s="37" cm="1">
        <f t="array" ref="G238">Common_InputFunctions.Utility_DisplayArrayInTable(Common_SourceData.Common_SourceData_MCFTemperatureZone_Data(),Table_SourceData_Common_MCFTemperatureZone[[#Headers],[Temperature zone]],0)</f>
        <v>0.1</v>
      </c>
      <c r="H238" s="37" cm="1">
        <f t="array" ref="H238">Common_InputFunctions.Utility_DisplayArrayInTable(Common_SourceData.Common_SourceData_MCFTemperatureZone_Data(),Table_SourceData_Common_MCFTemperatureZone[[#Headers],[Temperature zone]],0)</f>
        <v>0.18</v>
      </c>
      <c r="I238" s="37" cm="1">
        <f t="array" ref="I238">Common_InputFunctions.Utility_DisplayArrayInTable(Common_SourceData.Common_SourceData_MCFTemperatureZone_Data(),Table_SourceData_Common_MCFTemperatureZone[[#Headers],[Temperature zone]],0)</f>
        <v>5.0000000000000001E-3</v>
      </c>
      <c r="J238" s="37" cm="1">
        <f t="array" ref="J238">Common_InputFunctions.Utility_DisplayArrayInTable(Common_SourceData.Common_SourceData_MCFTemperatureZone_Data(),Table_SourceData_Common_MCFTemperatureZone[[#Headers],[Temperature zone]],0)</f>
        <v>0.01</v>
      </c>
      <c r="K238" s="37" cm="1">
        <f t="array" ref="K238">Common_InputFunctions.Utility_DisplayArrayInTable(Common_SourceData.Common_SourceData_MCFTemperatureZone_Data(),Table_SourceData_Common_MCFTemperatureZone[[#Headers],[Temperature zone]],0)</f>
        <v>0.02</v>
      </c>
      <c r="L238" s="37" cm="1">
        <f t="array" ref="L238">Common_InputFunctions.Utility_DisplayArrayInTable(Common_SourceData.Common_SourceData_MCFTemperatureZone_Data(),Table_SourceData_Common_MCFTemperatureZone[[#Headers],[Temperature zone]],0)</f>
        <v>0.03</v>
      </c>
      <c r="M238" s="37" cm="1">
        <f t="array" ref="M238">Common_InputFunctions.Utility_DisplayArrayInTable(Common_SourceData.Common_SourceData_MCFTemperatureZone_Data(),Table_SourceData_Common_MCFTemperatureZone[[#Headers],[Temperature zone]],0)</f>
        <v>0.04</v>
      </c>
      <c r="N238" s="37" cm="1">
        <f t="array" ref="N238">Common_InputFunctions.Utility_DisplayArrayInTable(Common_SourceData.Common_SourceData_MCFTemperatureZone_Data(),Table_SourceData_Common_MCFTemperatureZone[[#Headers],[Temperature zone]],0)</f>
        <v>1.4999999999999999E-2</v>
      </c>
      <c r="O238" s="37" cm="1">
        <f t="array" ref="O238">Common_InputFunctions.Utility_DisplayArrayInTable(Common_SourceData.Common_SourceData_MCFTemperatureZone_Data(),Table_SourceData_Common_MCFTemperatureZone[[#Headers],[Temperature zone]],0)</f>
        <v>1.4999999999999999E-2</v>
      </c>
      <c r="P238" s="37" cm="1">
        <f t="array" ref="P238">Common_InputFunctions.Utility_DisplayArrayInTable(Common_SourceData.Common_SourceData_MCFTemperatureZone_Data(),Table_SourceData_Common_MCFTemperatureZone[[#Headers],[Temperature zone]],0)</f>
        <v>0</v>
      </c>
      <c r="Q238" s="37" cm="1">
        <f t="array" ref="Q238">Common_InputFunctions.Utility_DisplayArrayInTable(Common_SourceData.Common_SourceData_MCFTemperatureZone_Data(),Table_SourceData_Common_MCFTemperatureZone[[#Headers],[Temperature zone]],0)</f>
        <v>0</v>
      </c>
      <c r="R238" s="37" cm="1">
        <f t="array" ref="R238">Common_InputFunctions.Utility_DisplayArrayInTable(Common_SourceData.Common_SourceData_MCFTemperatureZone_Data(),Table_SourceData_Common_MCFTemperatureZone[[#Headers],[Temperature zone]],0)</f>
        <v>4.7000000000000002E-3</v>
      </c>
      <c r="S238" s="37"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7" cm="1">
        <f t="array" ref="E239">Common_InputFunctions.Utility_DisplayArrayInTable(Common_SourceData.Common_SourceData_MCFTemperatureZone_Data(),Table_SourceData_Common_MCFTemperatureZone[[#Headers],[Temperature zone]],0)</f>
        <v>17</v>
      </c>
      <c r="F239" s="37" cm="1">
        <f t="array" ref="F239">Common_InputFunctions.Utility_DisplayArrayInTable(Common_SourceData.Common_SourceData_MCFTemperatureZone_Data(),Table_SourceData_Common_MCFTemperatureZone[[#Headers],[Temperature zone]],0)</f>
        <v>0.76</v>
      </c>
      <c r="G239" s="37" cm="1">
        <f t="array" ref="G239">Common_InputFunctions.Utility_DisplayArrayInTable(Common_SourceData.Common_SourceData_MCFTemperatureZone_Data(),Table_SourceData_Common_MCFTemperatureZone[[#Headers],[Temperature zone]],0)</f>
        <v>0.1</v>
      </c>
      <c r="H239" s="37" cm="1">
        <f t="array" ref="H239">Common_InputFunctions.Utility_DisplayArrayInTable(Common_SourceData.Common_SourceData_MCFTemperatureZone_Data(),Table_SourceData_Common_MCFTemperatureZone[[#Headers],[Temperature zone]],0)</f>
        <v>0.2</v>
      </c>
      <c r="I239" s="37" cm="1">
        <f t="array" ref="I239">Common_InputFunctions.Utility_DisplayArrayInTable(Common_SourceData.Common_SourceData_MCFTemperatureZone_Data(),Table_SourceData_Common_MCFTemperatureZone[[#Headers],[Temperature zone]],0)</f>
        <v>5.0000000000000001E-3</v>
      </c>
      <c r="J239" s="37" cm="1">
        <f t="array" ref="J239">Common_InputFunctions.Utility_DisplayArrayInTable(Common_SourceData.Common_SourceData_MCFTemperatureZone_Data(),Table_SourceData_Common_MCFTemperatureZone[[#Headers],[Temperature zone]],0)</f>
        <v>0.01</v>
      </c>
      <c r="K239" s="37" cm="1">
        <f t="array" ref="K239">Common_InputFunctions.Utility_DisplayArrayInTable(Common_SourceData.Common_SourceData_MCFTemperatureZone_Data(),Table_SourceData_Common_MCFTemperatureZone[[#Headers],[Temperature zone]],0)</f>
        <v>0.02</v>
      </c>
      <c r="L239" s="37" cm="1">
        <f t="array" ref="L239">Common_InputFunctions.Utility_DisplayArrayInTable(Common_SourceData.Common_SourceData_MCFTemperatureZone_Data(),Table_SourceData_Common_MCFTemperatureZone[[#Headers],[Temperature zone]],0)</f>
        <v>0.03</v>
      </c>
      <c r="M239" s="37" cm="1">
        <f t="array" ref="M239">Common_InputFunctions.Utility_DisplayArrayInTable(Common_SourceData.Common_SourceData_MCFTemperatureZone_Data(),Table_SourceData_Common_MCFTemperatureZone[[#Headers],[Temperature zone]],0)</f>
        <v>0.04</v>
      </c>
      <c r="N239" s="37" cm="1">
        <f t="array" ref="N239">Common_InputFunctions.Utility_DisplayArrayInTable(Common_SourceData.Common_SourceData_MCFTemperatureZone_Data(),Table_SourceData_Common_MCFTemperatureZone[[#Headers],[Temperature zone]],0)</f>
        <v>1.4999999999999999E-2</v>
      </c>
      <c r="O239" s="37" cm="1">
        <f t="array" ref="O239">Common_InputFunctions.Utility_DisplayArrayInTable(Common_SourceData.Common_SourceData_MCFTemperatureZone_Data(),Table_SourceData_Common_MCFTemperatureZone[[#Headers],[Temperature zone]],0)</f>
        <v>1.4999999999999999E-2</v>
      </c>
      <c r="P239" s="37" cm="1">
        <f t="array" ref="P239">Common_InputFunctions.Utility_DisplayArrayInTable(Common_SourceData.Common_SourceData_MCFTemperatureZone_Data(),Table_SourceData_Common_MCFTemperatureZone[[#Headers],[Temperature zone]],0)</f>
        <v>0</v>
      </c>
      <c r="Q239" s="37" cm="1">
        <f t="array" ref="Q239">Common_InputFunctions.Utility_DisplayArrayInTable(Common_SourceData.Common_SourceData_MCFTemperatureZone_Data(),Table_SourceData_Common_MCFTemperatureZone[[#Headers],[Temperature zone]],0)</f>
        <v>0</v>
      </c>
      <c r="R239" s="37" cm="1">
        <f t="array" ref="R239">Common_InputFunctions.Utility_DisplayArrayInTable(Common_SourceData.Common_SourceData_MCFTemperatureZone_Data(),Table_SourceData_Common_MCFTemperatureZone[[#Headers],[Temperature zone]],0)</f>
        <v>4.7000000000000002E-3</v>
      </c>
      <c r="S239" s="37"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7" cm="1">
        <f t="array" ref="E240">Common_InputFunctions.Utility_DisplayArrayInTable(Common_SourceData.Common_SourceData_MCFTemperatureZone_Data(),Table_SourceData_Common_MCFTemperatureZone[[#Headers],[Temperature zone]],0)</f>
        <v>18</v>
      </c>
      <c r="F240" s="37" cm="1">
        <f t="array" ref="F240">Common_InputFunctions.Utility_DisplayArrayInTable(Common_SourceData.Common_SourceData_MCFTemperatureZone_Data(),Table_SourceData_Common_MCFTemperatureZone[[#Headers],[Temperature zone]],0)</f>
        <v>0.77</v>
      </c>
      <c r="G240" s="37" cm="1">
        <f t="array" ref="G240">Common_InputFunctions.Utility_DisplayArrayInTable(Common_SourceData.Common_SourceData_MCFTemperatureZone_Data(),Table_SourceData_Common_MCFTemperatureZone[[#Headers],[Temperature zone]],0)</f>
        <v>0.1</v>
      </c>
      <c r="H240" s="37" cm="1">
        <f t="array" ref="H240">Common_InputFunctions.Utility_DisplayArrayInTable(Common_SourceData.Common_SourceData_MCFTemperatureZone_Data(),Table_SourceData_Common_MCFTemperatureZone[[#Headers],[Temperature zone]],0)</f>
        <v>0.22</v>
      </c>
      <c r="I240" s="37" cm="1">
        <f t="array" ref="I240">Common_InputFunctions.Utility_DisplayArrayInTable(Common_SourceData.Common_SourceData_MCFTemperatureZone_Data(),Table_SourceData_Common_MCFTemperatureZone[[#Headers],[Temperature zone]],0)</f>
        <v>5.0000000000000001E-3</v>
      </c>
      <c r="J240" s="37" cm="1">
        <f t="array" ref="J240">Common_InputFunctions.Utility_DisplayArrayInTable(Common_SourceData.Common_SourceData_MCFTemperatureZone_Data(),Table_SourceData_Common_MCFTemperatureZone[[#Headers],[Temperature zone]],0)</f>
        <v>0.01</v>
      </c>
      <c r="K240" s="37" cm="1">
        <f t="array" ref="K240">Common_InputFunctions.Utility_DisplayArrayInTable(Common_SourceData.Common_SourceData_MCFTemperatureZone_Data(),Table_SourceData_Common_MCFTemperatureZone[[#Headers],[Temperature zone]],0)</f>
        <v>0.02</v>
      </c>
      <c r="L240" s="37" cm="1">
        <f t="array" ref="L240">Common_InputFunctions.Utility_DisplayArrayInTable(Common_SourceData.Common_SourceData_MCFTemperatureZone_Data(),Table_SourceData_Common_MCFTemperatureZone[[#Headers],[Temperature zone]],0)</f>
        <v>0.03</v>
      </c>
      <c r="M240" s="37" cm="1">
        <f t="array" ref="M240">Common_InputFunctions.Utility_DisplayArrayInTable(Common_SourceData.Common_SourceData_MCFTemperatureZone_Data(),Table_SourceData_Common_MCFTemperatureZone[[#Headers],[Temperature zone]],0)</f>
        <v>0.04</v>
      </c>
      <c r="N240" s="37" cm="1">
        <f t="array" ref="N240">Common_InputFunctions.Utility_DisplayArrayInTable(Common_SourceData.Common_SourceData_MCFTemperatureZone_Data(),Table_SourceData_Common_MCFTemperatureZone[[#Headers],[Temperature zone]],0)</f>
        <v>1.4999999999999999E-2</v>
      </c>
      <c r="O240" s="37" cm="1">
        <f t="array" ref="O240">Common_InputFunctions.Utility_DisplayArrayInTable(Common_SourceData.Common_SourceData_MCFTemperatureZone_Data(),Table_SourceData_Common_MCFTemperatureZone[[#Headers],[Temperature zone]],0)</f>
        <v>1.4999999999999999E-2</v>
      </c>
      <c r="P240" s="37" cm="1">
        <f t="array" ref="P240">Common_InputFunctions.Utility_DisplayArrayInTable(Common_SourceData.Common_SourceData_MCFTemperatureZone_Data(),Table_SourceData_Common_MCFTemperatureZone[[#Headers],[Temperature zone]],0)</f>
        <v>0</v>
      </c>
      <c r="Q240" s="37" cm="1">
        <f t="array" ref="Q240">Common_InputFunctions.Utility_DisplayArrayInTable(Common_SourceData.Common_SourceData_MCFTemperatureZone_Data(),Table_SourceData_Common_MCFTemperatureZone[[#Headers],[Temperature zone]],0)</f>
        <v>0</v>
      </c>
      <c r="R240" s="37" cm="1">
        <f t="array" ref="R240">Common_InputFunctions.Utility_DisplayArrayInTable(Common_SourceData.Common_SourceData_MCFTemperatureZone_Data(),Table_SourceData_Common_MCFTemperatureZone[[#Headers],[Temperature zone]],0)</f>
        <v>4.7000000000000002E-3</v>
      </c>
      <c r="S240" s="37"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7" cm="1">
        <f t="array" ref="E241">Common_InputFunctions.Utility_DisplayArrayInTable(Common_SourceData.Common_SourceData_MCFTemperatureZone_Data(),Table_SourceData_Common_MCFTemperatureZone[[#Headers],[Temperature zone]],0)</f>
        <v>19</v>
      </c>
      <c r="F241" s="37" cm="1">
        <f t="array" ref="F241">Common_InputFunctions.Utility_DisplayArrayInTable(Common_SourceData.Common_SourceData_MCFTemperatureZone_Data(),Table_SourceData_Common_MCFTemperatureZone[[#Headers],[Temperature zone]],0)</f>
        <v>0.77</v>
      </c>
      <c r="G241" s="37" cm="1">
        <f t="array" ref="G241">Common_InputFunctions.Utility_DisplayArrayInTable(Common_SourceData.Common_SourceData_MCFTemperatureZone_Data(),Table_SourceData_Common_MCFTemperatureZone[[#Headers],[Temperature zone]],0)</f>
        <v>0.1</v>
      </c>
      <c r="H241" s="37" cm="1">
        <f t="array" ref="H241">Common_InputFunctions.Utility_DisplayArrayInTable(Common_SourceData.Common_SourceData_MCFTemperatureZone_Data(),Table_SourceData_Common_MCFTemperatureZone[[#Headers],[Temperature zone]],0)</f>
        <v>0.24</v>
      </c>
      <c r="I241" s="37" cm="1">
        <f t="array" ref="I241">Common_InputFunctions.Utility_DisplayArrayInTable(Common_SourceData.Common_SourceData_MCFTemperatureZone_Data(),Table_SourceData_Common_MCFTemperatureZone[[#Headers],[Temperature zone]],0)</f>
        <v>5.0000000000000001E-3</v>
      </c>
      <c r="J241" s="37" cm="1">
        <f t="array" ref="J241">Common_InputFunctions.Utility_DisplayArrayInTable(Common_SourceData.Common_SourceData_MCFTemperatureZone_Data(),Table_SourceData_Common_MCFTemperatureZone[[#Headers],[Temperature zone]],0)</f>
        <v>0.01</v>
      </c>
      <c r="K241" s="37" cm="1">
        <f t="array" ref="K241">Common_InputFunctions.Utility_DisplayArrayInTable(Common_SourceData.Common_SourceData_MCFTemperatureZone_Data(),Table_SourceData_Common_MCFTemperatureZone[[#Headers],[Temperature zone]],0)</f>
        <v>0.02</v>
      </c>
      <c r="L241" s="37" cm="1">
        <f t="array" ref="L241">Common_InputFunctions.Utility_DisplayArrayInTable(Common_SourceData.Common_SourceData_MCFTemperatureZone_Data(),Table_SourceData_Common_MCFTemperatureZone[[#Headers],[Temperature zone]],0)</f>
        <v>0.03</v>
      </c>
      <c r="M241" s="37" cm="1">
        <f t="array" ref="M241">Common_InputFunctions.Utility_DisplayArrayInTable(Common_SourceData.Common_SourceData_MCFTemperatureZone_Data(),Table_SourceData_Common_MCFTemperatureZone[[#Headers],[Temperature zone]],0)</f>
        <v>0.04</v>
      </c>
      <c r="N241" s="37" cm="1">
        <f t="array" ref="N241">Common_InputFunctions.Utility_DisplayArrayInTable(Common_SourceData.Common_SourceData_MCFTemperatureZone_Data(),Table_SourceData_Common_MCFTemperatureZone[[#Headers],[Temperature zone]],0)</f>
        <v>1.4999999999999999E-2</v>
      </c>
      <c r="O241" s="37" cm="1">
        <f t="array" ref="O241">Common_InputFunctions.Utility_DisplayArrayInTable(Common_SourceData.Common_SourceData_MCFTemperatureZone_Data(),Table_SourceData_Common_MCFTemperatureZone[[#Headers],[Temperature zone]],0)</f>
        <v>1.4999999999999999E-2</v>
      </c>
      <c r="P241" s="37" cm="1">
        <f t="array" ref="P241">Common_InputFunctions.Utility_DisplayArrayInTable(Common_SourceData.Common_SourceData_MCFTemperatureZone_Data(),Table_SourceData_Common_MCFTemperatureZone[[#Headers],[Temperature zone]],0)</f>
        <v>0</v>
      </c>
      <c r="Q241" s="37" cm="1">
        <f t="array" ref="Q241">Common_InputFunctions.Utility_DisplayArrayInTable(Common_SourceData.Common_SourceData_MCFTemperatureZone_Data(),Table_SourceData_Common_MCFTemperatureZone[[#Headers],[Temperature zone]],0)</f>
        <v>0</v>
      </c>
      <c r="R241" s="37" cm="1">
        <f t="array" ref="R241">Common_InputFunctions.Utility_DisplayArrayInTable(Common_SourceData.Common_SourceData_MCFTemperatureZone_Data(),Table_SourceData_Common_MCFTemperatureZone[[#Headers],[Temperature zone]],0)</f>
        <v>4.7000000000000002E-3</v>
      </c>
      <c r="S241" s="37"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7" cm="1">
        <f t="array" ref="E242">Common_InputFunctions.Utility_DisplayArrayInTable(Common_SourceData.Common_SourceData_MCFTemperatureZone_Data(),Table_SourceData_Common_MCFTemperatureZone[[#Headers],[Temperature zone]],0)</f>
        <v>20</v>
      </c>
      <c r="F242" s="37" cm="1">
        <f t="array" ref="F242">Common_InputFunctions.Utility_DisplayArrayInTable(Common_SourceData.Common_SourceData_MCFTemperatureZone_Data(),Table_SourceData_Common_MCFTemperatureZone[[#Headers],[Temperature zone]],0)</f>
        <v>0.78</v>
      </c>
      <c r="G242" s="37" cm="1">
        <f t="array" ref="G242">Common_InputFunctions.Utility_DisplayArrayInTable(Common_SourceData.Common_SourceData_MCFTemperatureZone_Data(),Table_SourceData_Common_MCFTemperatureZone[[#Headers],[Temperature zone]],0)</f>
        <v>0.1</v>
      </c>
      <c r="H242" s="37" cm="1">
        <f t="array" ref="H242">Common_InputFunctions.Utility_DisplayArrayInTable(Common_SourceData.Common_SourceData_MCFTemperatureZone_Data(),Table_SourceData_Common_MCFTemperatureZone[[#Headers],[Temperature zone]],0)</f>
        <v>0.26</v>
      </c>
      <c r="I242" s="37" cm="1">
        <f t="array" ref="I242">Common_InputFunctions.Utility_DisplayArrayInTable(Common_SourceData.Common_SourceData_MCFTemperatureZone_Data(),Table_SourceData_Common_MCFTemperatureZone[[#Headers],[Temperature zone]],0)</f>
        <v>5.0000000000000001E-3</v>
      </c>
      <c r="J242" s="37" cm="1">
        <f t="array" ref="J242">Common_InputFunctions.Utility_DisplayArrayInTable(Common_SourceData.Common_SourceData_MCFTemperatureZone_Data(),Table_SourceData_Common_MCFTemperatureZone[[#Headers],[Temperature zone]],0)</f>
        <v>0.01</v>
      </c>
      <c r="K242" s="37" cm="1">
        <f t="array" ref="K242">Common_InputFunctions.Utility_DisplayArrayInTable(Common_SourceData.Common_SourceData_MCFTemperatureZone_Data(),Table_SourceData_Common_MCFTemperatureZone[[#Headers],[Temperature zone]],0)</f>
        <v>0.02</v>
      </c>
      <c r="L242" s="37" cm="1">
        <f t="array" ref="L242">Common_InputFunctions.Utility_DisplayArrayInTable(Common_SourceData.Common_SourceData_MCFTemperatureZone_Data(),Table_SourceData_Common_MCFTemperatureZone[[#Headers],[Temperature zone]],0)</f>
        <v>0.03</v>
      </c>
      <c r="M242" s="37" cm="1">
        <f t="array" ref="M242">Common_InputFunctions.Utility_DisplayArrayInTable(Common_SourceData.Common_SourceData_MCFTemperatureZone_Data(),Table_SourceData_Common_MCFTemperatureZone[[#Headers],[Temperature zone]],0)</f>
        <v>0.04</v>
      </c>
      <c r="N242" s="37" cm="1">
        <f t="array" ref="N242">Common_InputFunctions.Utility_DisplayArrayInTable(Common_SourceData.Common_SourceData_MCFTemperatureZone_Data(),Table_SourceData_Common_MCFTemperatureZone[[#Headers],[Temperature zone]],0)</f>
        <v>1.4999999999999999E-2</v>
      </c>
      <c r="O242" s="37" cm="1">
        <f t="array" ref="O242">Common_InputFunctions.Utility_DisplayArrayInTable(Common_SourceData.Common_SourceData_MCFTemperatureZone_Data(),Table_SourceData_Common_MCFTemperatureZone[[#Headers],[Temperature zone]],0)</f>
        <v>1.4999999999999999E-2</v>
      </c>
      <c r="P242" s="37" cm="1">
        <f t="array" ref="P242">Common_InputFunctions.Utility_DisplayArrayInTable(Common_SourceData.Common_SourceData_MCFTemperatureZone_Data(),Table_SourceData_Common_MCFTemperatureZone[[#Headers],[Temperature zone]],0)</f>
        <v>0</v>
      </c>
      <c r="Q242" s="37" cm="1">
        <f t="array" ref="Q242">Common_InputFunctions.Utility_DisplayArrayInTable(Common_SourceData.Common_SourceData_MCFTemperatureZone_Data(),Table_SourceData_Common_MCFTemperatureZone[[#Headers],[Temperature zone]],0)</f>
        <v>0</v>
      </c>
      <c r="R242" s="37" cm="1">
        <f t="array" ref="R242">Common_InputFunctions.Utility_DisplayArrayInTable(Common_SourceData.Common_SourceData_MCFTemperatureZone_Data(),Table_SourceData_Common_MCFTemperatureZone[[#Headers],[Temperature zone]],0)</f>
        <v>4.7000000000000002E-3</v>
      </c>
      <c r="S242" s="37"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7" cm="1">
        <f t="array" ref="E243">Common_InputFunctions.Utility_DisplayArrayInTable(Common_SourceData.Common_SourceData_MCFTemperatureZone_Data(),Table_SourceData_Common_MCFTemperatureZone[[#Headers],[Temperature zone]],0)</f>
        <v>21</v>
      </c>
      <c r="F243" s="37" cm="1">
        <f t="array" ref="F243">Common_InputFunctions.Utility_DisplayArrayInTable(Common_SourceData.Common_SourceData_MCFTemperatureZone_Data(),Table_SourceData_Common_MCFTemperatureZone[[#Headers],[Temperature zone]],0)</f>
        <v>0.78</v>
      </c>
      <c r="G243" s="37" cm="1">
        <f t="array" ref="G243">Common_InputFunctions.Utility_DisplayArrayInTable(Common_SourceData.Common_SourceData_MCFTemperatureZone_Data(),Table_SourceData_Common_MCFTemperatureZone[[#Headers],[Temperature zone]],0)</f>
        <v>0.1</v>
      </c>
      <c r="H243" s="37" cm="1">
        <f t="array" ref="H243">Common_InputFunctions.Utility_DisplayArrayInTable(Common_SourceData.Common_SourceData_MCFTemperatureZone_Data(),Table_SourceData_Common_MCFTemperatureZone[[#Headers],[Temperature zone]],0)</f>
        <v>0.28999999999999998</v>
      </c>
      <c r="I243" s="37" cm="1">
        <f t="array" ref="I243">Common_InputFunctions.Utility_DisplayArrayInTable(Common_SourceData.Common_SourceData_MCFTemperatureZone_Data(),Table_SourceData_Common_MCFTemperatureZone[[#Headers],[Temperature zone]],0)</f>
        <v>5.0000000000000001E-3</v>
      </c>
      <c r="J243" s="37" cm="1">
        <f t="array" ref="J243">Common_InputFunctions.Utility_DisplayArrayInTable(Common_SourceData.Common_SourceData_MCFTemperatureZone_Data(),Table_SourceData_Common_MCFTemperatureZone[[#Headers],[Temperature zone]],0)</f>
        <v>0.01</v>
      </c>
      <c r="K243" s="37" cm="1">
        <f t="array" ref="K243">Common_InputFunctions.Utility_DisplayArrayInTable(Common_SourceData.Common_SourceData_MCFTemperatureZone_Data(),Table_SourceData_Common_MCFTemperatureZone[[#Headers],[Temperature zone]],0)</f>
        <v>0.02</v>
      </c>
      <c r="L243" s="37" cm="1">
        <f t="array" ref="L243">Common_InputFunctions.Utility_DisplayArrayInTable(Common_SourceData.Common_SourceData_MCFTemperatureZone_Data(),Table_SourceData_Common_MCFTemperatureZone[[#Headers],[Temperature zone]],0)</f>
        <v>0.03</v>
      </c>
      <c r="M243" s="37" cm="1">
        <f t="array" ref="M243">Common_InputFunctions.Utility_DisplayArrayInTable(Common_SourceData.Common_SourceData_MCFTemperatureZone_Data(),Table_SourceData_Common_MCFTemperatureZone[[#Headers],[Temperature zone]],0)</f>
        <v>0.04</v>
      </c>
      <c r="N243" s="37" cm="1">
        <f t="array" ref="N243">Common_InputFunctions.Utility_DisplayArrayInTable(Common_SourceData.Common_SourceData_MCFTemperatureZone_Data(),Table_SourceData_Common_MCFTemperatureZone[[#Headers],[Temperature zone]],0)</f>
        <v>1.4999999999999999E-2</v>
      </c>
      <c r="O243" s="37" cm="1">
        <f t="array" ref="O243">Common_InputFunctions.Utility_DisplayArrayInTable(Common_SourceData.Common_SourceData_MCFTemperatureZone_Data(),Table_SourceData_Common_MCFTemperatureZone[[#Headers],[Temperature zone]],0)</f>
        <v>1.4999999999999999E-2</v>
      </c>
      <c r="P243" s="37" cm="1">
        <f t="array" ref="P243">Common_InputFunctions.Utility_DisplayArrayInTable(Common_SourceData.Common_SourceData_MCFTemperatureZone_Data(),Table_SourceData_Common_MCFTemperatureZone[[#Headers],[Temperature zone]],0)</f>
        <v>0</v>
      </c>
      <c r="Q243" s="37" cm="1">
        <f t="array" ref="Q243">Common_InputFunctions.Utility_DisplayArrayInTable(Common_SourceData.Common_SourceData_MCFTemperatureZone_Data(),Table_SourceData_Common_MCFTemperatureZone[[#Headers],[Temperature zone]],0)</f>
        <v>0</v>
      </c>
      <c r="R243" s="37" cm="1">
        <f t="array" ref="R243">Common_InputFunctions.Utility_DisplayArrayInTable(Common_SourceData.Common_SourceData_MCFTemperatureZone_Data(),Table_SourceData_Common_MCFTemperatureZone[[#Headers],[Temperature zone]],0)</f>
        <v>4.7000000000000002E-3</v>
      </c>
      <c r="S243" s="37"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7" cm="1">
        <f t="array" ref="E244">Common_InputFunctions.Utility_DisplayArrayInTable(Common_SourceData.Common_SourceData_MCFTemperatureZone_Data(),Table_SourceData_Common_MCFTemperatureZone[[#Headers],[Temperature zone]],0)</f>
        <v>22</v>
      </c>
      <c r="F244" s="37" cm="1">
        <f t="array" ref="F244">Common_InputFunctions.Utility_DisplayArrayInTable(Common_SourceData.Common_SourceData_MCFTemperatureZone_Data(),Table_SourceData_Common_MCFTemperatureZone[[#Headers],[Temperature zone]],0)</f>
        <v>0.78</v>
      </c>
      <c r="G244" s="37" cm="1">
        <f t="array" ref="G244">Common_InputFunctions.Utility_DisplayArrayInTable(Common_SourceData.Common_SourceData_MCFTemperatureZone_Data(),Table_SourceData_Common_MCFTemperatureZone[[#Headers],[Temperature zone]],0)</f>
        <v>0.1</v>
      </c>
      <c r="H244" s="37" cm="1">
        <f t="array" ref="H244">Common_InputFunctions.Utility_DisplayArrayInTable(Common_SourceData.Common_SourceData_MCFTemperatureZone_Data(),Table_SourceData_Common_MCFTemperatureZone[[#Headers],[Temperature zone]],0)</f>
        <v>0.31</v>
      </c>
      <c r="I244" s="37" cm="1">
        <f t="array" ref="I244">Common_InputFunctions.Utility_DisplayArrayInTable(Common_SourceData.Common_SourceData_MCFTemperatureZone_Data(),Table_SourceData_Common_MCFTemperatureZone[[#Headers],[Temperature zone]],0)</f>
        <v>5.0000000000000001E-3</v>
      </c>
      <c r="J244" s="37" cm="1">
        <f t="array" ref="J244">Common_InputFunctions.Utility_DisplayArrayInTable(Common_SourceData.Common_SourceData_MCFTemperatureZone_Data(),Table_SourceData_Common_MCFTemperatureZone[[#Headers],[Temperature zone]],0)</f>
        <v>0.01</v>
      </c>
      <c r="K244" s="37" cm="1">
        <f t="array" ref="K244">Common_InputFunctions.Utility_DisplayArrayInTable(Common_SourceData.Common_SourceData_MCFTemperatureZone_Data(),Table_SourceData_Common_MCFTemperatureZone[[#Headers],[Temperature zone]],0)</f>
        <v>0.02</v>
      </c>
      <c r="L244" s="37" cm="1">
        <f t="array" ref="L244">Common_InputFunctions.Utility_DisplayArrayInTable(Common_SourceData.Common_SourceData_MCFTemperatureZone_Data(),Table_SourceData_Common_MCFTemperatureZone[[#Headers],[Temperature zone]],0)</f>
        <v>0.03</v>
      </c>
      <c r="M244" s="37" cm="1">
        <f t="array" ref="M244">Common_InputFunctions.Utility_DisplayArrayInTable(Common_SourceData.Common_SourceData_MCFTemperatureZone_Data(),Table_SourceData_Common_MCFTemperatureZone[[#Headers],[Temperature zone]],0)</f>
        <v>0.04</v>
      </c>
      <c r="N244" s="37" cm="1">
        <f t="array" ref="N244">Common_InputFunctions.Utility_DisplayArrayInTable(Common_SourceData.Common_SourceData_MCFTemperatureZone_Data(),Table_SourceData_Common_MCFTemperatureZone[[#Headers],[Temperature zone]],0)</f>
        <v>1.4999999999999999E-2</v>
      </c>
      <c r="O244" s="37" cm="1">
        <f t="array" ref="O244">Common_InputFunctions.Utility_DisplayArrayInTable(Common_SourceData.Common_SourceData_MCFTemperatureZone_Data(),Table_SourceData_Common_MCFTemperatureZone[[#Headers],[Temperature zone]],0)</f>
        <v>1.4999999999999999E-2</v>
      </c>
      <c r="P244" s="37" cm="1">
        <f t="array" ref="P244">Common_InputFunctions.Utility_DisplayArrayInTable(Common_SourceData.Common_SourceData_MCFTemperatureZone_Data(),Table_SourceData_Common_MCFTemperatureZone[[#Headers],[Temperature zone]],0)</f>
        <v>0</v>
      </c>
      <c r="Q244" s="37" cm="1">
        <f t="array" ref="Q244">Common_InputFunctions.Utility_DisplayArrayInTable(Common_SourceData.Common_SourceData_MCFTemperatureZone_Data(),Table_SourceData_Common_MCFTemperatureZone[[#Headers],[Temperature zone]],0)</f>
        <v>0</v>
      </c>
      <c r="R244" s="37" cm="1">
        <f t="array" ref="R244">Common_InputFunctions.Utility_DisplayArrayInTable(Common_SourceData.Common_SourceData_MCFTemperatureZone_Data(),Table_SourceData_Common_MCFTemperatureZone[[#Headers],[Temperature zone]],0)</f>
        <v>4.7000000000000002E-3</v>
      </c>
      <c r="S244" s="37"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7" cm="1">
        <f t="array" ref="E245">Common_InputFunctions.Utility_DisplayArrayInTable(Common_SourceData.Common_SourceData_MCFTemperatureZone_Data(),Table_SourceData_Common_MCFTemperatureZone[[#Headers],[Temperature zone]],0)</f>
        <v>23</v>
      </c>
      <c r="F245" s="37" cm="1">
        <f t="array" ref="F245">Common_InputFunctions.Utility_DisplayArrayInTable(Common_SourceData.Common_SourceData_MCFTemperatureZone_Data(),Table_SourceData_Common_MCFTemperatureZone[[#Headers],[Temperature zone]],0)</f>
        <v>0.79</v>
      </c>
      <c r="G245" s="37" cm="1">
        <f t="array" ref="G245">Common_InputFunctions.Utility_DisplayArrayInTable(Common_SourceData.Common_SourceData_MCFTemperatureZone_Data(),Table_SourceData_Common_MCFTemperatureZone[[#Headers],[Temperature zone]],0)</f>
        <v>0.1</v>
      </c>
      <c r="H245" s="37" cm="1">
        <f t="array" ref="H245">Common_InputFunctions.Utility_DisplayArrayInTable(Common_SourceData.Common_SourceData_MCFTemperatureZone_Data(),Table_SourceData_Common_MCFTemperatureZone[[#Headers],[Temperature zone]],0)</f>
        <v>0.34</v>
      </c>
      <c r="I245" s="37" cm="1">
        <f t="array" ref="I245">Common_InputFunctions.Utility_DisplayArrayInTable(Common_SourceData.Common_SourceData_MCFTemperatureZone_Data(),Table_SourceData_Common_MCFTemperatureZone[[#Headers],[Temperature zone]],0)</f>
        <v>5.0000000000000001E-3</v>
      </c>
      <c r="J245" s="37" cm="1">
        <f t="array" ref="J245">Common_InputFunctions.Utility_DisplayArrayInTable(Common_SourceData.Common_SourceData_MCFTemperatureZone_Data(),Table_SourceData_Common_MCFTemperatureZone[[#Headers],[Temperature zone]],0)</f>
        <v>0.01</v>
      </c>
      <c r="K245" s="37" cm="1">
        <f t="array" ref="K245">Common_InputFunctions.Utility_DisplayArrayInTable(Common_SourceData.Common_SourceData_MCFTemperatureZone_Data(),Table_SourceData_Common_MCFTemperatureZone[[#Headers],[Temperature zone]],0)</f>
        <v>0.02</v>
      </c>
      <c r="L245" s="37" cm="1">
        <f t="array" ref="L245">Common_InputFunctions.Utility_DisplayArrayInTable(Common_SourceData.Common_SourceData_MCFTemperatureZone_Data(),Table_SourceData_Common_MCFTemperatureZone[[#Headers],[Temperature zone]],0)</f>
        <v>0.03</v>
      </c>
      <c r="M245" s="37" cm="1">
        <f t="array" ref="M245">Common_InputFunctions.Utility_DisplayArrayInTable(Common_SourceData.Common_SourceData_MCFTemperatureZone_Data(),Table_SourceData_Common_MCFTemperatureZone[[#Headers],[Temperature zone]],0)</f>
        <v>0.04</v>
      </c>
      <c r="N245" s="37" cm="1">
        <f t="array" ref="N245">Common_InputFunctions.Utility_DisplayArrayInTable(Common_SourceData.Common_SourceData_MCFTemperatureZone_Data(),Table_SourceData_Common_MCFTemperatureZone[[#Headers],[Temperature zone]],0)</f>
        <v>1.4999999999999999E-2</v>
      </c>
      <c r="O245" s="37" cm="1">
        <f t="array" ref="O245">Common_InputFunctions.Utility_DisplayArrayInTable(Common_SourceData.Common_SourceData_MCFTemperatureZone_Data(),Table_SourceData_Common_MCFTemperatureZone[[#Headers],[Temperature zone]],0)</f>
        <v>1.4999999999999999E-2</v>
      </c>
      <c r="P245" s="37" cm="1">
        <f t="array" ref="P245">Common_InputFunctions.Utility_DisplayArrayInTable(Common_SourceData.Common_SourceData_MCFTemperatureZone_Data(),Table_SourceData_Common_MCFTemperatureZone[[#Headers],[Temperature zone]],0)</f>
        <v>0</v>
      </c>
      <c r="Q245" s="37" cm="1">
        <f t="array" ref="Q245">Common_InputFunctions.Utility_DisplayArrayInTable(Common_SourceData.Common_SourceData_MCFTemperatureZone_Data(),Table_SourceData_Common_MCFTemperatureZone[[#Headers],[Temperature zone]],0)</f>
        <v>0</v>
      </c>
      <c r="R245" s="37" cm="1">
        <f t="array" ref="R245">Common_InputFunctions.Utility_DisplayArrayInTable(Common_SourceData.Common_SourceData_MCFTemperatureZone_Data(),Table_SourceData_Common_MCFTemperatureZone[[#Headers],[Temperature zone]],0)</f>
        <v>4.7000000000000002E-3</v>
      </c>
      <c r="S245" s="37"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7" cm="1">
        <f t="array" ref="E246">Common_InputFunctions.Utility_DisplayArrayInTable(Common_SourceData.Common_SourceData_MCFTemperatureZone_Data(),Table_SourceData_Common_MCFTemperatureZone[[#Headers],[Temperature zone]],0)</f>
        <v>24</v>
      </c>
      <c r="F246" s="37" cm="1">
        <f t="array" ref="F246">Common_InputFunctions.Utility_DisplayArrayInTable(Common_SourceData.Common_SourceData_MCFTemperatureZone_Data(),Table_SourceData_Common_MCFTemperatureZone[[#Headers],[Temperature zone]],0)</f>
        <v>0.79</v>
      </c>
      <c r="G246" s="37" cm="1">
        <f t="array" ref="G246">Common_InputFunctions.Utility_DisplayArrayInTable(Common_SourceData.Common_SourceData_MCFTemperatureZone_Data(),Table_SourceData_Common_MCFTemperatureZone[[#Headers],[Temperature zone]],0)</f>
        <v>0.1</v>
      </c>
      <c r="H246" s="37" cm="1">
        <f t="array" ref="H246">Common_InputFunctions.Utility_DisplayArrayInTable(Common_SourceData.Common_SourceData_MCFTemperatureZone_Data(),Table_SourceData_Common_MCFTemperatureZone[[#Headers],[Temperature zone]],0)</f>
        <v>0.37</v>
      </c>
      <c r="I246" s="37" cm="1">
        <f t="array" ref="I246">Common_InputFunctions.Utility_DisplayArrayInTable(Common_SourceData.Common_SourceData_MCFTemperatureZone_Data(),Table_SourceData_Common_MCFTemperatureZone[[#Headers],[Temperature zone]],0)</f>
        <v>5.0000000000000001E-3</v>
      </c>
      <c r="J246" s="37" cm="1">
        <f t="array" ref="J246">Common_InputFunctions.Utility_DisplayArrayInTable(Common_SourceData.Common_SourceData_MCFTemperatureZone_Data(),Table_SourceData_Common_MCFTemperatureZone[[#Headers],[Temperature zone]],0)</f>
        <v>0.01</v>
      </c>
      <c r="K246" s="37" cm="1">
        <f t="array" ref="K246">Common_InputFunctions.Utility_DisplayArrayInTable(Common_SourceData.Common_SourceData_MCFTemperatureZone_Data(),Table_SourceData_Common_MCFTemperatureZone[[#Headers],[Temperature zone]],0)</f>
        <v>0.02</v>
      </c>
      <c r="L246" s="37" cm="1">
        <f t="array" ref="L246">Common_InputFunctions.Utility_DisplayArrayInTable(Common_SourceData.Common_SourceData_MCFTemperatureZone_Data(),Table_SourceData_Common_MCFTemperatureZone[[#Headers],[Temperature zone]],0)</f>
        <v>0.03</v>
      </c>
      <c r="M246" s="37" cm="1">
        <f t="array" ref="M246">Common_InputFunctions.Utility_DisplayArrayInTable(Common_SourceData.Common_SourceData_MCFTemperatureZone_Data(),Table_SourceData_Common_MCFTemperatureZone[[#Headers],[Temperature zone]],0)</f>
        <v>0.04</v>
      </c>
      <c r="N246" s="37" cm="1">
        <f t="array" ref="N246">Common_InputFunctions.Utility_DisplayArrayInTable(Common_SourceData.Common_SourceData_MCFTemperatureZone_Data(),Table_SourceData_Common_MCFTemperatureZone[[#Headers],[Temperature zone]],0)</f>
        <v>1.4999999999999999E-2</v>
      </c>
      <c r="O246" s="37" cm="1">
        <f t="array" ref="O246">Common_InputFunctions.Utility_DisplayArrayInTable(Common_SourceData.Common_SourceData_MCFTemperatureZone_Data(),Table_SourceData_Common_MCFTemperatureZone[[#Headers],[Temperature zone]],0)</f>
        <v>1.4999999999999999E-2</v>
      </c>
      <c r="P246" s="37" cm="1">
        <f t="array" ref="P246">Common_InputFunctions.Utility_DisplayArrayInTable(Common_SourceData.Common_SourceData_MCFTemperatureZone_Data(),Table_SourceData_Common_MCFTemperatureZone[[#Headers],[Temperature zone]],0)</f>
        <v>0</v>
      </c>
      <c r="Q246" s="37" cm="1">
        <f t="array" ref="Q246">Common_InputFunctions.Utility_DisplayArrayInTable(Common_SourceData.Common_SourceData_MCFTemperatureZone_Data(),Table_SourceData_Common_MCFTemperatureZone[[#Headers],[Temperature zone]],0)</f>
        <v>0</v>
      </c>
      <c r="R246" s="37" cm="1">
        <f t="array" ref="R246">Common_InputFunctions.Utility_DisplayArrayInTable(Common_SourceData.Common_SourceData_MCFTemperatureZone_Data(),Table_SourceData_Common_MCFTemperatureZone[[#Headers],[Temperature zone]],0)</f>
        <v>4.7000000000000002E-3</v>
      </c>
      <c r="S246" s="37"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7" cm="1">
        <f t="array" ref="E247">Common_InputFunctions.Utility_DisplayArrayInTable(Common_SourceData.Common_SourceData_MCFTemperatureZone_Data(),Table_SourceData_Common_MCFTemperatureZone[[#Headers],[Temperature zone]],0)</f>
        <v>25</v>
      </c>
      <c r="F247" s="37" cm="1">
        <f t="array" ref="F247">Common_InputFunctions.Utility_DisplayArrayInTable(Common_SourceData.Common_SourceData_MCFTemperatureZone_Data(),Table_SourceData_Common_MCFTemperatureZone[[#Headers],[Temperature zone]],0)</f>
        <v>0.79</v>
      </c>
      <c r="G247" s="37" cm="1">
        <f t="array" ref="G247">Common_InputFunctions.Utility_DisplayArrayInTable(Common_SourceData.Common_SourceData_MCFTemperatureZone_Data(),Table_SourceData_Common_MCFTemperatureZone[[#Headers],[Temperature zone]],0)</f>
        <v>0.1</v>
      </c>
      <c r="H247" s="37" cm="1">
        <f t="array" ref="H247">Common_InputFunctions.Utility_DisplayArrayInTable(Common_SourceData.Common_SourceData_MCFTemperatureZone_Data(),Table_SourceData_Common_MCFTemperatureZone[[#Headers],[Temperature zone]],0)</f>
        <v>0.41</v>
      </c>
      <c r="I247" s="37" cm="1">
        <f t="array" ref="I247">Common_InputFunctions.Utility_DisplayArrayInTable(Common_SourceData.Common_SourceData_MCFTemperatureZone_Data(),Table_SourceData_Common_MCFTemperatureZone[[#Headers],[Temperature zone]],0)</f>
        <v>5.0000000000000001E-3</v>
      </c>
      <c r="J247" s="37" cm="1">
        <f t="array" ref="J247">Common_InputFunctions.Utility_DisplayArrayInTable(Common_SourceData.Common_SourceData_MCFTemperatureZone_Data(),Table_SourceData_Common_MCFTemperatureZone[[#Headers],[Temperature zone]],0)</f>
        <v>0.01</v>
      </c>
      <c r="K247" s="37" cm="1">
        <f t="array" ref="K247">Common_InputFunctions.Utility_DisplayArrayInTable(Common_SourceData.Common_SourceData_MCFTemperatureZone_Data(),Table_SourceData_Common_MCFTemperatureZone[[#Headers],[Temperature zone]],0)</f>
        <v>0.02</v>
      </c>
      <c r="L247" s="37" cm="1">
        <f t="array" ref="L247">Common_InputFunctions.Utility_DisplayArrayInTable(Common_SourceData.Common_SourceData_MCFTemperatureZone_Data(),Table_SourceData_Common_MCFTemperatureZone[[#Headers],[Temperature zone]],0)</f>
        <v>0.03</v>
      </c>
      <c r="M247" s="37" cm="1">
        <f t="array" ref="M247">Common_InputFunctions.Utility_DisplayArrayInTable(Common_SourceData.Common_SourceData_MCFTemperatureZone_Data(),Table_SourceData_Common_MCFTemperatureZone[[#Headers],[Temperature zone]],0)</f>
        <v>0.04</v>
      </c>
      <c r="N247" s="37" cm="1">
        <f t="array" ref="N247">Common_InputFunctions.Utility_DisplayArrayInTable(Common_SourceData.Common_SourceData_MCFTemperatureZone_Data(),Table_SourceData_Common_MCFTemperatureZone[[#Headers],[Temperature zone]],0)</f>
        <v>1.4999999999999999E-2</v>
      </c>
      <c r="O247" s="37" cm="1">
        <f t="array" ref="O247">Common_InputFunctions.Utility_DisplayArrayInTable(Common_SourceData.Common_SourceData_MCFTemperatureZone_Data(),Table_SourceData_Common_MCFTemperatureZone[[#Headers],[Temperature zone]],0)</f>
        <v>1.4999999999999999E-2</v>
      </c>
      <c r="P247" s="37" cm="1">
        <f t="array" ref="P247">Common_InputFunctions.Utility_DisplayArrayInTable(Common_SourceData.Common_SourceData_MCFTemperatureZone_Data(),Table_SourceData_Common_MCFTemperatureZone[[#Headers],[Temperature zone]],0)</f>
        <v>0</v>
      </c>
      <c r="Q247" s="37" cm="1">
        <f t="array" ref="Q247">Common_InputFunctions.Utility_DisplayArrayInTable(Common_SourceData.Common_SourceData_MCFTemperatureZone_Data(),Table_SourceData_Common_MCFTemperatureZone[[#Headers],[Temperature zone]],0)</f>
        <v>0</v>
      </c>
      <c r="R247" s="37" cm="1">
        <f t="array" ref="R247">Common_InputFunctions.Utility_DisplayArrayInTable(Common_SourceData.Common_SourceData_MCFTemperatureZone_Data(),Table_SourceData_Common_MCFTemperatureZone[[#Headers],[Temperature zone]],0)</f>
        <v>4.7000000000000002E-3</v>
      </c>
      <c r="S247" s="37"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7" cm="1">
        <f t="array" ref="E248">Common_InputFunctions.Utility_DisplayArrayInTable(Common_SourceData.Common_SourceData_MCFTemperatureZone_Data(),Table_SourceData_Common_MCFTemperatureZone[[#Headers],[Temperature zone]],0)</f>
        <v>26</v>
      </c>
      <c r="F248" s="37" cm="1">
        <f t="array" ref="F248">Common_InputFunctions.Utility_DisplayArrayInTable(Common_SourceData.Common_SourceData_MCFTemperatureZone_Data(),Table_SourceData_Common_MCFTemperatureZone[[#Headers],[Temperature zone]],0)</f>
        <v>0.79</v>
      </c>
      <c r="G248" s="37" cm="1">
        <f t="array" ref="G248">Common_InputFunctions.Utility_DisplayArrayInTable(Common_SourceData.Common_SourceData_MCFTemperatureZone_Data(),Table_SourceData_Common_MCFTemperatureZone[[#Headers],[Temperature zone]],0)</f>
        <v>0.1</v>
      </c>
      <c r="H248" s="37" cm="1">
        <f t="array" ref="H248">Common_InputFunctions.Utility_DisplayArrayInTable(Common_SourceData.Common_SourceData_MCFTemperatureZone_Data(),Table_SourceData_Common_MCFTemperatureZone[[#Headers],[Temperature zone]],0)</f>
        <v>0.44</v>
      </c>
      <c r="I248" s="37" cm="1">
        <f t="array" ref="I248">Common_InputFunctions.Utility_DisplayArrayInTable(Common_SourceData.Common_SourceData_MCFTemperatureZone_Data(),Table_SourceData_Common_MCFTemperatureZone[[#Headers],[Temperature zone]],0)</f>
        <v>0.01</v>
      </c>
      <c r="J248" s="37" cm="1">
        <f t="array" ref="J248">Common_InputFunctions.Utility_DisplayArrayInTable(Common_SourceData.Common_SourceData_MCFTemperatureZone_Data(),Table_SourceData_Common_MCFTemperatureZone[[#Headers],[Temperature zone]],0)</f>
        <v>1.4999999999999999E-2</v>
      </c>
      <c r="K248" s="37" cm="1">
        <f t="array" ref="K248">Common_InputFunctions.Utility_DisplayArrayInTable(Common_SourceData.Common_SourceData_MCFTemperatureZone_Data(),Table_SourceData_Common_MCFTemperatureZone[[#Headers],[Temperature zone]],0)</f>
        <v>0.02</v>
      </c>
      <c r="L248" s="37" cm="1">
        <f t="array" ref="L248">Common_InputFunctions.Utility_DisplayArrayInTable(Common_SourceData.Common_SourceData_MCFTemperatureZone_Data(),Table_SourceData_Common_MCFTemperatureZone[[#Headers],[Temperature zone]],0)</f>
        <v>0.03</v>
      </c>
      <c r="M248" s="37" cm="1">
        <f t="array" ref="M248">Common_InputFunctions.Utility_DisplayArrayInTable(Common_SourceData.Common_SourceData_MCFTemperatureZone_Data(),Table_SourceData_Common_MCFTemperatureZone[[#Headers],[Temperature zone]],0)</f>
        <v>0.04</v>
      </c>
      <c r="N248" s="37" cm="1">
        <f t="array" ref="N248">Common_InputFunctions.Utility_DisplayArrayInTable(Common_SourceData.Common_SourceData_MCFTemperatureZone_Data(),Table_SourceData_Common_MCFTemperatureZone[[#Headers],[Temperature zone]],0)</f>
        <v>1.4999999999999999E-2</v>
      </c>
      <c r="O248" s="37" cm="1">
        <f t="array" ref="O248">Common_InputFunctions.Utility_DisplayArrayInTable(Common_SourceData.Common_SourceData_MCFTemperatureZone_Data(),Table_SourceData_Common_MCFTemperatureZone[[#Headers],[Temperature zone]],0)</f>
        <v>1.4999999999999999E-2</v>
      </c>
      <c r="P248" s="37" cm="1">
        <f t="array" ref="P248">Common_InputFunctions.Utility_DisplayArrayInTable(Common_SourceData.Common_SourceData_MCFTemperatureZone_Data(),Table_SourceData_Common_MCFTemperatureZone[[#Headers],[Temperature zone]],0)</f>
        <v>0</v>
      </c>
      <c r="Q248" s="37" cm="1">
        <f t="array" ref="Q248">Common_InputFunctions.Utility_DisplayArrayInTable(Common_SourceData.Common_SourceData_MCFTemperatureZone_Data(),Table_SourceData_Common_MCFTemperatureZone[[#Headers],[Temperature zone]],0)</f>
        <v>0</v>
      </c>
      <c r="R248" s="37" cm="1">
        <f t="array" ref="R248">Common_InputFunctions.Utility_DisplayArrayInTable(Common_SourceData.Common_SourceData_MCFTemperatureZone_Data(),Table_SourceData_Common_MCFTemperatureZone[[#Headers],[Temperature zone]],0)</f>
        <v>4.7000000000000002E-3</v>
      </c>
      <c r="S248" s="37"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7" cm="1">
        <f t="array" ref="E249">Common_InputFunctions.Utility_DisplayArrayInTable(Common_SourceData.Common_SourceData_MCFTemperatureZone_Data(),Table_SourceData_Common_MCFTemperatureZone[[#Headers],[Temperature zone]],0)</f>
        <v>27</v>
      </c>
      <c r="F249" s="37" cm="1">
        <f t="array" ref="F249">Common_InputFunctions.Utility_DisplayArrayInTable(Common_SourceData.Common_SourceData_MCFTemperatureZone_Data(),Table_SourceData_Common_MCFTemperatureZone[[#Headers],[Temperature zone]],0)</f>
        <v>0.8</v>
      </c>
      <c r="G249" s="37" cm="1">
        <f t="array" ref="G249">Common_InputFunctions.Utility_DisplayArrayInTable(Common_SourceData.Common_SourceData_MCFTemperatureZone_Data(),Table_SourceData_Common_MCFTemperatureZone[[#Headers],[Temperature zone]],0)</f>
        <v>0.1</v>
      </c>
      <c r="H249" s="37" cm="1">
        <f t="array" ref="H249">Common_InputFunctions.Utility_DisplayArrayInTable(Common_SourceData.Common_SourceData_MCFTemperatureZone_Data(),Table_SourceData_Common_MCFTemperatureZone[[#Headers],[Temperature zone]],0)</f>
        <v>0.48</v>
      </c>
      <c r="I249" s="37" cm="1">
        <f t="array" ref="I249">Common_InputFunctions.Utility_DisplayArrayInTable(Common_SourceData.Common_SourceData_MCFTemperatureZone_Data(),Table_SourceData_Common_MCFTemperatureZone[[#Headers],[Temperature zone]],0)</f>
        <v>0.01</v>
      </c>
      <c r="J249" s="37" cm="1">
        <f t="array" ref="J249">Common_InputFunctions.Utility_DisplayArrayInTable(Common_SourceData.Common_SourceData_MCFTemperatureZone_Data(),Table_SourceData_Common_MCFTemperatureZone[[#Headers],[Temperature zone]],0)</f>
        <v>1.4999999999999999E-2</v>
      </c>
      <c r="K249" s="37" cm="1">
        <f t="array" ref="K249">Common_InputFunctions.Utility_DisplayArrayInTable(Common_SourceData.Common_SourceData_MCFTemperatureZone_Data(),Table_SourceData_Common_MCFTemperatureZone[[#Headers],[Temperature zone]],0)</f>
        <v>0.02</v>
      </c>
      <c r="L249" s="37" cm="1">
        <f t="array" ref="L249">Common_InputFunctions.Utility_DisplayArrayInTable(Common_SourceData.Common_SourceData_MCFTemperatureZone_Data(),Table_SourceData_Common_MCFTemperatureZone[[#Headers],[Temperature zone]],0)</f>
        <v>0.03</v>
      </c>
      <c r="M249" s="37" cm="1">
        <f t="array" ref="M249">Common_InputFunctions.Utility_DisplayArrayInTable(Common_SourceData.Common_SourceData_MCFTemperatureZone_Data(),Table_SourceData_Common_MCFTemperatureZone[[#Headers],[Temperature zone]],0)</f>
        <v>0.04</v>
      </c>
      <c r="N249" s="37" cm="1">
        <f t="array" ref="N249">Common_InputFunctions.Utility_DisplayArrayInTable(Common_SourceData.Common_SourceData_MCFTemperatureZone_Data(),Table_SourceData_Common_MCFTemperatureZone[[#Headers],[Temperature zone]],0)</f>
        <v>1.4999999999999999E-2</v>
      </c>
      <c r="O249" s="37" cm="1">
        <f t="array" ref="O249">Common_InputFunctions.Utility_DisplayArrayInTable(Common_SourceData.Common_SourceData_MCFTemperatureZone_Data(),Table_SourceData_Common_MCFTemperatureZone[[#Headers],[Temperature zone]],0)</f>
        <v>1.4999999999999999E-2</v>
      </c>
      <c r="P249" s="37" cm="1">
        <f t="array" ref="P249">Common_InputFunctions.Utility_DisplayArrayInTable(Common_SourceData.Common_SourceData_MCFTemperatureZone_Data(),Table_SourceData_Common_MCFTemperatureZone[[#Headers],[Temperature zone]],0)</f>
        <v>0</v>
      </c>
      <c r="Q249" s="37" cm="1">
        <f t="array" ref="Q249">Common_InputFunctions.Utility_DisplayArrayInTable(Common_SourceData.Common_SourceData_MCFTemperatureZone_Data(),Table_SourceData_Common_MCFTemperatureZone[[#Headers],[Temperature zone]],0)</f>
        <v>0</v>
      </c>
      <c r="R249" s="37" cm="1">
        <f t="array" ref="R249">Common_InputFunctions.Utility_DisplayArrayInTable(Common_SourceData.Common_SourceData_MCFTemperatureZone_Data(),Table_SourceData_Common_MCFTemperatureZone[[#Headers],[Temperature zone]],0)</f>
        <v>4.7000000000000002E-3</v>
      </c>
      <c r="S249" s="37"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7" t="str" cm="1">
        <f t="array" ref="E250">Common_InputFunctions.Utility_DisplayArrayInTable(Common_SourceData.Common_SourceData_MCFTemperatureZone_Data(),Table_SourceData_Common_MCFTemperatureZone[[#Headers],[Temperature zone]],0)</f>
        <v>≥28</v>
      </c>
      <c r="F250" s="37" cm="1">
        <f t="array" ref="F250">Common_InputFunctions.Utility_DisplayArrayInTable(Common_SourceData.Common_SourceData_MCFTemperatureZone_Data(),Table_SourceData_Common_MCFTemperatureZone[[#Headers],[Temperature zone]],0)</f>
        <v>0.8</v>
      </c>
      <c r="G250" s="37" cm="1">
        <f t="array" ref="G250">Common_InputFunctions.Utility_DisplayArrayInTable(Common_SourceData.Common_SourceData_MCFTemperatureZone_Data(),Table_SourceData_Common_MCFTemperatureZone[[#Headers],[Temperature zone]],0)</f>
        <v>0.1</v>
      </c>
      <c r="H250" s="37" cm="1">
        <f t="array" ref="H250">Common_InputFunctions.Utility_DisplayArrayInTable(Common_SourceData.Common_SourceData_MCFTemperatureZone_Data(),Table_SourceData_Common_MCFTemperatureZone[[#Headers],[Temperature zone]],0)</f>
        <v>0.5</v>
      </c>
      <c r="I250" s="37" cm="1">
        <f t="array" ref="I250">Common_InputFunctions.Utility_DisplayArrayInTable(Common_SourceData.Common_SourceData_MCFTemperatureZone_Data(),Table_SourceData_Common_MCFTemperatureZone[[#Headers],[Temperature zone]],0)</f>
        <v>0.01</v>
      </c>
      <c r="J250" s="37" cm="1">
        <f t="array" ref="J250">Common_InputFunctions.Utility_DisplayArrayInTable(Common_SourceData.Common_SourceData_MCFTemperatureZone_Data(),Table_SourceData_Common_MCFTemperatureZone[[#Headers],[Temperature zone]],0)</f>
        <v>1.4999999999999999E-2</v>
      </c>
      <c r="K250" s="37" cm="1">
        <f t="array" ref="K250">Common_InputFunctions.Utility_DisplayArrayInTable(Common_SourceData.Common_SourceData_MCFTemperatureZone_Data(),Table_SourceData_Common_MCFTemperatureZone[[#Headers],[Temperature zone]],0)</f>
        <v>0.02</v>
      </c>
      <c r="L250" s="37" cm="1">
        <f t="array" ref="L250">Common_InputFunctions.Utility_DisplayArrayInTable(Common_SourceData.Common_SourceData_MCFTemperatureZone_Data(),Table_SourceData_Common_MCFTemperatureZone[[#Headers],[Temperature zone]],0)</f>
        <v>0.03</v>
      </c>
      <c r="M250" s="37" cm="1">
        <f t="array" ref="M250">Common_InputFunctions.Utility_DisplayArrayInTable(Common_SourceData.Common_SourceData_MCFTemperatureZone_Data(),Table_SourceData_Common_MCFTemperatureZone[[#Headers],[Temperature zone]],0)</f>
        <v>0.04</v>
      </c>
      <c r="N250" s="37" cm="1">
        <f t="array" ref="N250">Common_InputFunctions.Utility_DisplayArrayInTable(Common_SourceData.Common_SourceData_MCFTemperatureZone_Data(),Table_SourceData_Common_MCFTemperatureZone[[#Headers],[Temperature zone]],0)</f>
        <v>1.4999999999999999E-2</v>
      </c>
      <c r="O250" s="37" cm="1">
        <f t="array" ref="O250">Common_InputFunctions.Utility_DisplayArrayInTable(Common_SourceData.Common_SourceData_MCFTemperatureZone_Data(),Table_SourceData_Common_MCFTemperatureZone[[#Headers],[Temperature zone]],0)</f>
        <v>1.4999999999999999E-2</v>
      </c>
      <c r="P250" s="37" cm="1">
        <f t="array" ref="P250">Common_InputFunctions.Utility_DisplayArrayInTable(Common_SourceData.Common_SourceData_MCFTemperatureZone_Data(),Table_SourceData_Common_MCFTemperatureZone[[#Headers],[Temperature zone]],0)</f>
        <v>0</v>
      </c>
      <c r="Q250" s="37" cm="1">
        <f t="array" ref="Q250">Common_InputFunctions.Utility_DisplayArrayInTable(Common_SourceData.Common_SourceData_MCFTemperatureZone_Data(),Table_SourceData_Common_MCFTemperatureZone[[#Headers],[Temperature zone]],0)</f>
        <v>0</v>
      </c>
      <c r="R250" s="37" cm="1">
        <f t="array" ref="R250">Common_InputFunctions.Utility_DisplayArrayInTable(Common_SourceData.Common_SourceData_MCFTemperatureZone_Data(),Table_SourceData_Common_MCFTemperatureZone[[#Headers],[Temperature zone]],0)</f>
        <v>4.7000000000000002E-3</v>
      </c>
      <c r="S250" s="37" cm="1">
        <f t="array" ref="S250">Common_InputFunctions.Utility_DisplayArrayInTable(Common_SourceData.Common_SourceData_MCFTemperatureZone_Data(),Table_SourceData_Common_MCFTemperatureZone[[#Headers],[Temperature zone]],0)</f>
        <v>28</v>
      </c>
    </row>
  </sheetData>
  <pageMargins left="0.7" right="0.7" top="0.75" bottom="0.75" header="0.3" footer="0.3"/>
  <pageSetup paperSize="9" orientation="portrait" r:id="rId1"/>
  <tableParts count="16">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dimension ref="A1:M63"/>
  <sheetViews>
    <sheetView showGridLines="0" workbookViewId="0">
      <selection activeCell="A13" sqref="A13"/>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1" t="e" vm="1">
        <v>#VALUE!</v>
      </c>
      <c r="C1" s="8" t="s">
        <v>73</v>
      </c>
      <c r="D1" s="8"/>
      <c r="E1" s="8"/>
      <c r="F1" s="8"/>
      <c r="G1" s="8"/>
      <c r="H1" s="8"/>
      <c r="I1" s="8"/>
      <c r="J1" s="8"/>
      <c r="K1" s="8"/>
      <c r="L1" s="8"/>
      <c r="M1" s="8"/>
    </row>
    <row r="2" spans="1:13" ht="20.100000000000001" customHeight="1" x14ac:dyDescent="0.25">
      <c r="A2" s="7"/>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HYPERLINK("#'Results'!A1", "Results")</f>
        <v>Results</v>
      </c>
    </row>
    <row r="5" spans="1:13" ht="20.100000000000001" customHeight="1" x14ac:dyDescent="0.25">
      <c r="A5" s="16"/>
    </row>
    <row r="6" spans="1:13" ht="20.100000000000001" customHeight="1" x14ac:dyDescent="0.25">
      <c r="A6" s="20" t="s">
        <v>1</v>
      </c>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A7" s="17" t="str">
        <f>HYPERLINK("#'Input - Site'!A1", "Site")</f>
        <v>Site</v>
      </c>
      <c r="D7" s="3" t="str" cm="1">
        <f t="array" ref="D7">CommonLivestock_SourceData.SourceData_Livestock_Common_SymbolsMMS_Vairable()</f>
        <v>MMS</v>
      </c>
      <c r="E7" s="3"/>
      <c r="F7" s="3"/>
      <c r="G7" s="3"/>
      <c r="H7" s="3"/>
    </row>
    <row r="8" spans="1:13" ht="20.100000000000001" customHeight="1" x14ac:dyDescent="0.25">
      <c r="A8" s="17" t="str">
        <f>HYPERLINK("#'Input - Poultry'!A1", "Poultry")</f>
        <v>Poultry</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c r="D9" s="36" t="s">
        <v>74</v>
      </c>
      <c r="E9" s="37" t="s">
        <v>17</v>
      </c>
      <c r="F9" s="37" t="s">
        <v>75</v>
      </c>
      <c r="G9" s="3"/>
    </row>
    <row r="10" spans="1:13" ht="20.100000000000001" customHeight="1" x14ac:dyDescent="0.25">
      <c r="A10" s="19" t="s">
        <v>71</v>
      </c>
      <c r="D10" s="36" t="str" cm="1">
        <f t="array" ref="D10">Common_InputFunctions.Utility_DisplayArrayInTable(CommonLivestock_SourceData.SourceData_Livestock_Common_SymbolsMMS_Data(), Table_Data_MMSSymbols[[#Headers],[Symbol]], 0)</f>
        <v>1</v>
      </c>
      <c r="E10" s="36" t="str" cm="1">
        <f t="array" ref="E10">Common_InputFunctions.Utility_DisplayArrayInTable(CommonLivestock_SourceData.SourceData_Livestock_Common_SymbolsMMS_Data(), Table_Data_MMSSymbols[[#Headers],[Symbol]], 0)</f>
        <v>Anaerobic lagoon</v>
      </c>
      <c r="F10" s="36"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A11" s="17" t="str">
        <f>HYPERLINK("#'4.6.1.1-2 Methane'!A1", "4.6.1.1-2 Methane")</f>
        <v>4.6.1.1-2 Methane</v>
      </c>
      <c r="D11" s="36" t="str" cm="1">
        <f t="array" ref="D11">Common_InputFunctions.Utility_DisplayArrayInTable(CommonLivestock_SourceData.SourceData_Livestock_Common_SymbolsMMS_Data(), Table_Data_MMSSymbols[[#Headers],[Symbol]], 0)</f>
        <v>2</v>
      </c>
      <c r="E11" s="36" t="str" cm="1">
        <f t="array" ref="E11">Common_InputFunctions.Utility_DisplayArrayInTable(CommonLivestock_SourceData.SourceData_Livestock_Common_SymbolsMMS_Data(), Table_Data_MMSSymbols[[#Headers],[Symbol]], 0)</f>
        <v>Liquid systems</v>
      </c>
      <c r="F11" s="36"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A12" s="17" t="str">
        <f>HYPERLINK("#'4.6.1.3-4 Direct N20'!A1", "4.6.1.3-4 Direct N2O")</f>
        <v>4.6.1.3-4 Direct N2O</v>
      </c>
      <c r="D12" s="37" t="str" cm="1">
        <f t="array" ref="D12">Common_InputFunctions.Utility_DisplayArrayInTable(CommonLivestock_SourceData.SourceData_Livestock_Common_SymbolsMMS_Data(), Table_Data_MMSSymbols[[#Headers],[Symbol]], 0)</f>
        <v>3</v>
      </c>
      <c r="E12" s="37" t="str" cm="1">
        <f t="array" ref="E12">Common_InputFunctions.Utility_DisplayArrayInTable(CommonLivestock_SourceData.SourceData_Livestock_Common_SymbolsMMS_Data(), Table_Data_MMSSymbols[[#Headers],[Symbol]], 0)</f>
        <v>Daily spread</v>
      </c>
      <c r="F12" s="37"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A13" s="17" t="str">
        <f>HYPERLINK("#'4.6.1.5-6 Atmos Dep'!A1", "4.6.1.5-6 Atmospheric deposition")</f>
        <v>4.6.1.5-6 Atmospheric deposition</v>
      </c>
      <c r="D13" s="37" t="str" cm="1">
        <f t="array" ref="D13">Common_InputFunctions.Utility_DisplayArrayInTable(CommonLivestock_SourceData.SourceData_Livestock_Common_SymbolsMMS_Data(), Table_Data_MMSSymbols[[#Headers],[Symbol]], 0)</f>
        <v>3a</v>
      </c>
      <c r="E13" s="37" t="str" cm="1">
        <f t="array" ref="E13">Common_InputFunctions.Utility_DisplayArrayInTable(CommonLivestock_SourceData.SourceData_Livestock_Common_SymbolsMMS_Data(), Table_Data_MMSSymbols[[#Headers],[Symbol]], 0)</f>
        <v>Sump and dispersal system</v>
      </c>
      <c r="F13" s="37"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7" t="str">
        <f>HYPERLINK("#'4.6.1.7-8 Leaching and runoff'!A1", "4.6.1.7-8 Leaching &amp; runoff")</f>
        <v>4.6.1.7-8 Leaching &amp; runoff</v>
      </c>
      <c r="D14" s="37" t="str" cm="1">
        <f t="array" ref="D14">Common_InputFunctions.Utility_DisplayArrayInTable(CommonLivestock_SourceData.SourceData_Livestock_Common_SymbolsMMS_Data(), Table_Data_MMSSymbols[[#Headers],[Symbol]], 0)</f>
        <v>3b</v>
      </c>
      <c r="E14" s="37" t="str" cm="1">
        <f t="array" ref="E14">Common_InputFunctions.Utility_DisplayArrayInTable(CommonLivestock_SourceData.SourceData_Livestock_Common_SymbolsMMS_Data(), Table_Data_MMSSymbols[[#Headers],[Symbol]], 0)</f>
        <v>Drains to paddock</v>
      </c>
      <c r="F14" s="37"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A15" s="17" t="str">
        <f>HYPERLINK("#'4.6.1.9 Manure applied to soils'!A1", "4.6.1.9 Manure applied to soils")</f>
        <v>4.6.1.9 Manure applied to soils</v>
      </c>
      <c r="D15" s="37" t="str" cm="1">
        <f t="array" ref="D15">Common_InputFunctions.Utility_DisplayArrayInTable(CommonLivestock_SourceData.SourceData_Livestock_Common_SymbolsMMS_Data(), Table_Data_MMSSymbols[[#Headers],[Symbol]], 0)</f>
        <v>4</v>
      </c>
      <c r="E15" s="37" t="str" cm="1">
        <f t="array" ref="E15">Common_InputFunctions.Utility_DisplayArrayInTable(CommonLivestock_SourceData.SourceData_Livestock_Common_SymbolsMMS_Data(), Table_Data_MMSSymbols[[#Headers],[Symbol]], 0)</f>
        <v>Solid storage</v>
      </c>
      <c r="F15" s="37"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A16" s="17" t="str">
        <f>HYPERLINK("#'4.6.1.10-11 Soil direct N2O'!A1", "4.6.1.10-11 Soil direct N2O")</f>
        <v>4.6.1.10-11 Soil direct N2O</v>
      </c>
      <c r="D16" s="37" t="str" cm="1">
        <f t="array" ref="D16">Common_InputFunctions.Utility_DisplayArrayInTable(CommonLivestock_SourceData.SourceData_Livestock_Common_SymbolsMMS_Data(), Table_Data_MMSSymbols[[#Headers],[Symbol]], 0)</f>
        <v>5</v>
      </c>
      <c r="E16" s="37" t="str" cm="1">
        <f t="array" ref="E16">Common_InputFunctions.Utility_DisplayArrayInTable(CommonLivestock_SourceData.SourceData_Livestock_Common_SymbolsMMS_Data(), Table_Data_MMSSymbols[[#Headers],[Symbol]], 0)</f>
        <v>Drylot (feed pad)</v>
      </c>
      <c r="F16" s="37"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17" t="str">
        <f>HYPERLINK("#'4.6.1.12-13 Soil atmos dep'!A1", "4.6.1.12-13 Soil Atm. deposition")</f>
        <v>4.6.1.12-13 Soil Atm. deposition</v>
      </c>
      <c r="D17" s="37" t="str" cm="1">
        <f t="array" ref="D17">Common_InputFunctions.Utility_DisplayArrayInTable(CommonLivestock_SourceData.SourceData_Livestock_Common_SymbolsMMS_Data(), Table_Data_MMSSymbols[[#Headers],[Symbol]], 0)</f>
        <v>6</v>
      </c>
      <c r="E17" s="37" t="str" cm="1">
        <f t="array" ref="E17">Common_InputFunctions.Utility_DisplayArrayInTable(CommonLivestock_SourceData.SourceData_Livestock_Common_SymbolsMMS_Data(), Table_Data_MMSSymbols[[#Headers],[Symbol]], 0)</f>
        <v>Composting (passive windrow)</v>
      </c>
      <c r="F17" s="37"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A18" s="17" t="str">
        <f>HYPERLINK("#'4.6.1.14-15 Soil leach runoff'!A1", "4.6.1.14-15 Soil leach &amp; runoff")</f>
        <v>4.6.1.14-15 Soil leach &amp; runoff</v>
      </c>
      <c r="D18" s="37" t="str" cm="1">
        <f t="array" ref="D18">Common_InputFunctions.Utility_DisplayArrayInTable(CommonLivestock_SourceData.SourceData_Livestock_Common_SymbolsMMS_Data(), Table_Data_MMSSymbols[[#Headers],[Symbol]], 0)</f>
        <v>7</v>
      </c>
      <c r="E18" s="37" t="str" cm="1">
        <f t="array" ref="E18">Common_InputFunctions.Utility_DisplayArrayInTable(CommonLivestock_SourceData.SourceData_Livestock_Common_SymbolsMMS_Data(), Table_Data_MMSSymbols[[#Headers],[Symbol]], 0)</f>
        <v>Digester / covered lagoons</v>
      </c>
      <c r="F18" s="37"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D19" s="37" t="str" cm="1">
        <f t="array" ref="D19">Common_InputFunctions.Utility_DisplayArrayInTable(CommonLivestock_SourceData.SourceData_Livestock_Common_SymbolsMMS_Data(), Table_Data_MMSSymbols[[#Headers],[Symbol]], 0)</f>
        <v>8</v>
      </c>
      <c r="E19" s="37" t="str" cm="1">
        <f t="array" ref="E19">Common_InputFunctions.Utility_DisplayArrayInTable(CommonLivestock_SourceData.SourceData_Livestock_Common_SymbolsMMS_Data(), Table_Data_MMSSymbols[[#Headers],[Symbol]], 0)</f>
        <v>Deep litter</v>
      </c>
      <c r="F19" s="37"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A20" s="18" t="s">
        <v>2</v>
      </c>
      <c r="D20" s="37" t="str" cm="1">
        <f t="array" ref="D20">Common_InputFunctions.Utility_DisplayArrayInTable(CommonLivestock_SourceData.SourceData_Livestock_Common_SymbolsMMS_Data(), Table_Data_MMSSymbols[[#Headers],[Symbol]], 0)</f>
        <v>9</v>
      </c>
      <c r="E20" s="37" t="str" cm="1">
        <f t="array" ref="E20">Common_InputFunctions.Utility_DisplayArrayInTable(CommonLivestock_SourceData.SourceData_Livestock_Common_SymbolsMMS_Data(), Table_Data_MMSSymbols[[#Headers],[Symbol]], 0)</f>
        <v>Pit storage</v>
      </c>
      <c r="F20" s="37"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A21" s="17" t="str">
        <f>HYPERLINK("#'Constants - Poultry'!A1", "Constants - Poultry")</f>
        <v>Constants - Poultry</v>
      </c>
      <c r="D21" s="37" t="str" cm="1">
        <f t="array" ref="D21">Common_InputFunctions.Utility_DisplayArrayInTable(CommonLivestock_SourceData.SourceData_Livestock_Common_SymbolsMMS_Data(), Table_Data_MMSSymbols[[#Headers],[Symbol]], 0)</f>
        <v>10</v>
      </c>
      <c r="E21" s="37" t="str" cm="1">
        <f t="array" ref="E21">Common_InputFunctions.Utility_DisplayArrayInTable(CommonLivestock_SourceData.SourceData_Livestock_Common_SymbolsMMS_Data(), Table_Data_MMSSymbols[[#Headers],[Symbol]], 0)</f>
        <v>Poultry manure with bedding</v>
      </c>
      <c r="F21" s="37"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A22" s="111" t="str">
        <f>HYPERLINK("#'Constants - Livestock'!A1", "Constants - Livestock")</f>
        <v>Constants - Livestock</v>
      </c>
      <c r="D22" s="37" t="str" cm="1">
        <f t="array" ref="D22">Common_InputFunctions.Utility_DisplayArrayInTable(CommonLivestock_SourceData.SourceData_Livestock_Common_SymbolsMMS_Data(), Table_Data_MMSSymbols[[#Headers],[Symbol]], 0)</f>
        <v>11</v>
      </c>
      <c r="E22" s="37" t="str" cm="1">
        <f t="array" ref="E22">Common_InputFunctions.Utility_DisplayArrayInTable(CommonLivestock_SourceData.SourceData_Livestock_Common_SymbolsMMS_Data(), Table_Data_MMSSymbols[[#Headers],[Symbol]], 0)</f>
        <v>Poultry manure without bedding</v>
      </c>
      <c r="F22" s="37"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A23" s="17" t="str">
        <f>HYPERLINK("#'Constants - Common'!A1", "Constants - Common")</f>
        <v>Constants - Common</v>
      </c>
      <c r="D23" s="37" t="str" cm="1">
        <f t="array" ref="D23">Common_InputFunctions.Utility_DisplayArrayInTable(CommonLivestock_SourceData.SourceData_Livestock_Common_SymbolsMMS_Data(), Table_Data_MMSSymbols[[#Headers],[Symbol]], 0)</f>
        <v>11a</v>
      </c>
      <c r="E23" s="37" t="str" cm="1">
        <f t="array" ref="E23">Common_InputFunctions.Utility_DisplayArrayInTable(CommonLivestock_SourceData.SourceData_Livestock_Common_SymbolsMMS_Data(), Table_Data_MMSSymbols[[#Headers],[Symbol]], 0)</f>
        <v>Belt manure removal</v>
      </c>
      <c r="F23" s="37"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A24" s="17" t="str">
        <f>HYPERLINK("#'Acknowledgements'!A1", "Acknowledgements")</f>
        <v>Acknowledgements</v>
      </c>
      <c r="D24" s="37" t="str" cm="1">
        <f t="array" ref="D24">Common_InputFunctions.Utility_DisplayArrayInTable(CommonLivestock_SourceData.SourceData_Livestock_Common_SymbolsMMS_Data(), Table_Data_MMSSymbols[[#Headers],[Symbol]], 0)</f>
        <v>11b</v>
      </c>
      <c r="E24" s="37" t="str" cm="1">
        <f t="array" ref="E24">Common_InputFunctions.Utility_DisplayArrayInTable(CommonLivestock_SourceData.SourceData_Livestock_Common_SymbolsMMS_Data(), Table_Data_MMSSymbols[[#Headers],[Symbol]], 0)</f>
        <v>Manure stored in house</v>
      </c>
      <c r="F24" s="37"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D25" s="37" t="str" cm="1">
        <f t="array" ref="D25">Common_InputFunctions.Utility_DisplayArrayInTable(CommonLivestock_SourceData.SourceData_Livestock_Common_SymbolsMMS_Data(), Table_Data_MMSSymbols[[#Headers],[Symbol]], 0)</f>
        <v>12</v>
      </c>
      <c r="E25" s="37" t="str" cm="1">
        <f t="array" ref="E25">Common_InputFunctions.Utility_DisplayArrayInTable(CommonLivestock_SourceData.SourceData_Livestock_Common_SymbolsMMS_Data(), Table_Data_MMSSymbols[[#Headers],[Symbol]], 0)</f>
        <v>Direct processing</v>
      </c>
      <c r="F25" s="37"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D26" s="37" t="str" cm="1">
        <f t="array" ref="D26">Common_InputFunctions.Utility_DisplayArrayInTable(CommonLivestock_SourceData.SourceData_Livestock_Common_SymbolsMMS_Data(), Table_Data_MMSSymbols[[#Headers],[Symbol]], 0)</f>
        <v>13</v>
      </c>
      <c r="E26" s="37" t="str" cm="1">
        <f t="array" ref="E26">Common_InputFunctions.Utility_DisplayArrayInTable(CommonLivestock_SourceData.SourceData_Livestock_Common_SymbolsMMS_Data(), Table_Data_MMSSymbols[[#Headers],[Symbol]], 0)</f>
        <v>Direct application</v>
      </c>
      <c r="F26" s="37"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7" t="str" cm="1">
        <f t="array" ref="D27">Common_InputFunctions.Utility_DisplayArrayInTable(CommonLivestock_SourceData.SourceData_Livestock_Common_SymbolsMMS_Data(), Table_Data_MMSSymbols[[#Headers],[Symbol]], 0)</f>
        <v>14</v>
      </c>
      <c r="E27" s="37" t="str" cm="1">
        <f t="array" ref="E27">Common_InputFunctions.Utility_DisplayArrayInTable(CommonLivestock_SourceData.SourceData_Livestock_Common_SymbolsMMS_Data(), Table_Data_MMSSymbols[[#Headers],[Symbol]], 0)</f>
        <v>Pasture range and paddock</v>
      </c>
      <c r="F27" s="37"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
  <sheetViews>
    <sheetView workbookViewId="0"/>
  </sheetViews>
  <sheetFormatPr defaultRowHeight="15" x14ac:dyDescent="0.25"/>
  <sheetData>
    <row r="1" spans="1:1" x14ac:dyDescent="0.25">
      <c r="A1" t="s">
        <v>117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CcARgByAHkAJwAgAHQAbwAgACcARAByAHkAJ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A+ACAAMQA4ACAAQwBcACIALAAgAFwAIgBBAG4AeQBcACIALAAgAFwAIgBkIiAANwBcACIALAAgAFwAIgA+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PgAgADEAOAAgAEMAXAAiACwAIABcACIAPg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A+ACAAMQA4ACAAQwBcACIALAAgAFwAIgA+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A+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D4AIAAxADAAIABDAFwAIgAsACAAXAAiAEEAbgB5AFwAIgAsACAAXAAiAEEAbgB5AFwAIgAsACAAXAAiAEEAbgB5AFwAIgAsACAAXAAiAD4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D4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D4AIAAwACAAQwAgAC0AIABkIiAAMQAwACAAQwBcACIALAAgAFwAIgBBAG4AeQBcACIALAAgAFwAIgBBAG4AeQBcACIALAAgAFwAIgBBAG4AeQBcACIALAAgAFwAIgA+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A+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D4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Pg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Q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JwBBAHEAdQBhAGMAdQBsAHQAdQByAGUAJwAgAHIAbwB3AC4AXAAiADsAXABuACAAIAAgACAAIAAgACAAIAAgACAAXAAiAFIAZQBtAG8AdgBlAGQAIABhAHMAdABlAHIAaQBzAGsAcwAgAHQAbwAgAGEAaQBkACAAbABvAG8AawB1AHAALgBcACIAOwBcAG4AIAAgACAAIAAgACAAIAAgACAAIABcACIAQQBkAGQAZQBkACAAJwBwAHIAbwBkAHUAYwB0AGkAbwBuACAAcwB5AHMAdABlAG0AIABvAG4AbAB5ACcALAAgACcAcgBhAGkAbgBmAGEAbABsACAAegBvAG4AZQAnACAAYQBuAGQAIAAnAGkAcgByAGkAZwBhAHQAaQBvAG4AIABtAGUAdABoAG8AZAAnACAAYwBvAGwAdQBtAG4AcwAgAHQAbwAgAGEAaQBkACAAbABvAG8AawB1AHAALgBcACIAOwBcAG4AIAAgACAAIAAgACAAIAAgACAAIABcACIARAB1AHAAbABpAGMAYQB0AGUAZAAgACcAbgBvAG4ALQBpAHIAcgBpAGcAYQB0AGUAZAAgAHAAYQBzAHQAdQByAGUAJwAgAHIAbwB3ACAAdwBpAHQAaAAgAHMAYQBtAGUAIABFAEYAIABmAG8AcgAgAGwAbwB3ACAAYQBuAGQAIABoAGkAZwBoACAAcgBhAGkAbgBmAGEAbABsACAAegBvAG4AZQBzACAAdABvACAAYQBpAGQAIABsAG8AbwBrAHUAcAA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JAHIAcgBpAGcAYQB0AGkAbwBuAFwAbgBWAEUARQBSAEcAIAAyADAAMgA2ADoAIABDAGgAYQBwAHQAZQByACAAMQAsACAAcwBlAGMAdABpAG8AbgAgADEALgA4AC4AMgAgAEwAZQBhAGMAaABpAG4AZwAsACAAYwBsAGkAbQBhAHQAZQAgAGEAbgBkACAAcgBhAGkAbgBmAGEAbABsACAAegBvAG4AZQBzAFwAbgBJAFAAQwBDADoAIABOADIATwAgAEUATQBJAFMAUwBJAE8ATgBTACAARgBSAE8ATQAgAE0AQQBOAEEARwBFAEQAIABTAE8ASQBMAFMALAAgAEEATgBEACAAQwBPADIAIABFAE0ASQBTAFMASQBPAE4AUwAgAEYAUgBPAE0AIABMAEkATQBFACAAQQBOAEQAIABVAFIARQBBACAAQQBQAFAATABJAEMAQQBUAEkATwBOAFwAbgAtAC0ALQAtAC0ALQAtAC0ALQAtAC0ALQAtAC0ALQAtAC0ALQAtAC0ALQAtAC0ALQAtAC0ALQAtAC0ALQAtAC0ALQAtAC0ALQAtAC0AXABuACoALwBcAG4AXABuAEMAbwBtAG0AbwBuAF8AUwBvAHUAcgBjAGUARABhAHQAYQBfAEYAcgBhAGMAVwBFAFQASQByAHIAaQBnAGEAdABpAG8AbgBfAFQAaQB0AGwAZQBcAG4AIAAgAD0ATABBAE0AQgBEAEEAKABcACIARgByAGEAYwBXAEUAVAAgAGYAbwByACAAaQByAHIAaQBnAGEAdABpAG8AbgAgAHQAeQBwAGUAcwBcACIAKQA7AFwAbgBcAG4AQwBvAG0AbQBvAG4AXwBTAG8AdQByAGMAZQBEAGEAdABhAF8ARgByAGEAYwBXAEUAVABJAHIAcgBpAGcAYQB0AGkAbwBuAF8AVQBuAGkAdABcAG4AIAAgAD0ATABBAE0AQgBEAEEAKABcACIAZABpAG0AZQBuAHMAaQBvAG4AbABlAHMAcwBcACIAKQA7AFwAbgBcAG4AQwBvAG0AbQBvAG4AXwBTAG8AdQByAGMAZQBEAGEAdABhAF8ARgByAGEAYwBXAEUAVABJAHIAcgBpAGcAYQB0AGkAbwBuAF8AUwBvAHUAcgBjAGUAXABuACAAIAA9AEwAQQBNAEIARABBACgAXAAiAFYARQBFAFIARwAgADIAMAAyADYAOgAgAEMAaABhAHAAdABlAHIAIAAxACwAIABzAGUAYwB0AGkAbwBuACAAMQAuADgALgAyACAATABlAGEAYwBoAGkAbgBnACwAIABjAGwAaQBtAGEAdABlACAAYQBuAGQAIAByAGEAaQBuAGYAYQBsAGwAIAB6AG8AbgBlAHMAXAAiACkAOwBcAG4AXABuAEMAbwBtAG0AbwBuAF8AUwBvAHUAcgBjAGUARABhAHQAYQBfAEYAcgBhAGMAVwBFAFQASQByAHIAaQBnAGEAdABpAG8AbgBfAE4ASQBSAFIAZQBmAGUAcgBlAG4AYwBlAFwAbgAgACAAPQBMAEEATQBCAEQAQQAoAFwAIgBJAFAAQwBDACAAMgAwADEAOQAgAFIAZQBmAGkAbgBlAG0AZQBuAHQAIABWAG8AbAB1AG0AZQAgADQAOgAgAEMAaABhAHAAdABlAHIAIAAxADEAOgAgAE4AMgBPACAARQBtAGkAcwBzAGkAbwBuAHMAIABmAHIAbwBtACAATQBhAG4AYQBnAGUAZAAgAFMAbwBpAGwAcwAsACAAYQBuAGQAIABDAE8AMgAgAEUAbQBpAHMAcwBpAG8AbgBzACAAZgByAG8AbQAgAEwAaQBtAGUAIABhAG4AZAAgAFUAcgBlAGEAIABBAHAAcABsAGkAYwBhAHQAaQBvAG4AXAAiACkAOwBcAG4AXABuAEMAbwBtAG0AbwBuAF8AUwBvAHUAcgBjAGUARABhAHQAYQBfAEYAcgBhAGMAVwBFAFQASQByAHIAaQBnAGEAdABpAG8AbgBfAEQAYQB0AGEAXABuACAAIAA9AEwAQQBNAEIARABBACgAXABuACAAIAAgACAATQBBAEsARQBBAFIAUgBBAFkAKAA2ACwAIAAyACwAIABcAG4AIAAgACAAIAAgACAATABBAE0AQgBEAEEAKAByACwAYwAsACAAXABuACAAIAAgACAAIAAgACAAIABJAE4ARABFAFgAKAB7AFwAbgAgACAAIAAgACAAIAAgACAAIAAgAFwAIgBJAHIAcgBpAGcAYQB0AGkAbwBuACAAdAB5AHAAZQAgAGkAcgBcACIALABcACIARgByAGEAYwBXAEUAVABcACIAOwBcAG4AIAAgACAAIAAgACAAIAAgACAAIABcACIATgBvAHQAIABpAHIAcgBpAGcAYQB0AGUAZABcACIALAAgADAAOwBcAG4AIAAgACAAIAAgACAAIAAgACAAIABcACIARAByAGkAcAAgAGkAcgByAGkAZwBhAHQAaQBvAG4AXAAiACwAIAAwADsAXABuACAAIAAgACAAIAAgACAAIAAgACAAXAAiAFMAcAByAGkAbgBrAGwAZQByACAAaQByAHIAaQBnAGEAdABpAG8AbgBcACIALAAgADEAOwBcAG4AIAAgACAAIAAgACAAIAAgACAAIABcACIAUwB1AHIAZgBhAGMAZQAgAGkAcgByAGkAZwBhAHQAaQBvAG4AXAAiACwAIAAxADsAXABuACAAIAAgACAAIAAgACAAIAAgACAAXAAiAE8AdABoAGUAcgAgAGkAcgByAGkAZwBhAHQAaQBvAG4AXAAiACwAIAAxAFwAbgAgACAAIAAgACAAIAAgACAAfQAsACAAcgAsACAAYwApAFwAbgAgACAAIAAgACAAIAApAFwAbgAgACAAIAAgACkAXABuACAAIAApADsAXABuAFwAbgAgACAAQwBvAG0AbQBvAG4AXwBTAG8AdQByAGMAZQBEAGEAdABhAF8ARgByAGEAYwBXAEUAVABJAHIAcgBpAGcAYQB0AGkAbwBuAF8AVgBhAHIAaQBhAHQAaQBvAG4AXABuACAAIAA9AEwAQQBNAEIARABBACgAXAAiAFYAQQBSAEkAQQBUAEkATwBOACAARgBSAE8ATQAgAFMATwBVAFIAQwBFACAARABBAFQAQQA6ACAAVABhAGIAbABlACAAYwByAGUAYQB0AGUAZAAgAGIAYQBzAGUAZAAgAG8AbgAgAFYARQBFAFIARwAgAHQAZQB4AHQAIAAn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C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CcARAByAHkAIABjAGwAaQBtAGEAdABlACAAegBvAG4AZQBzACcAIAB0AG8AIABzAGkAbgBnAHUAbABhAHIAIAAnAEQAcgB5ACAAYwBsAGkAbQBhAHQAZQAgAHoAbwBuAGUAJwAgAHQAbwAgAGEAaQBkACAAbABvAG8AawB1AHAALgBcACIAKQA7AFwAbgBcAG4AXABuAC8AKgAgAFwAbgAtAC0ALQAtAC0ALQAtAC0ALQAtAC0ALQAtAC0ALQAtAC0ALQAtAC0ALQAtAC0ALQAtAC0ALQAtAC0ALQAtAC0ALQAtAC0ALQAtAC0AXABuAEMAbwBtAG0AbwBuAF8AUwBvAHUAcgBjAGUARABhAHQAYQBfAE0AbwBuAHQAaABzAFQAbwBTAGUAYQBzAG8AbgBzAFwAbgAtAC0ALQAtAC0ALQAtAC0ALQAtAC0ALQAtAC0ALQAtAC0ALQAtAC0ALQAtAC0ALQAtAC0ALQAtAC0ALQAtAC0ALQAtAC0ALQAtAC0AXABuACoALwBcAG4AXABuAEMAbwBtAG0AbwBuAF8AUwBvAHUAcgBjAGUARABhAHQAYQBfAE0AbwBuAHQAaABzAFQAbwBTAGUAYQBzAG8AbgBzAF8AVABpAHQAbABlAFwAbgAgACAAPQBMAEEATQBCAEQAQQAoAFwAIgBNAG8AbgB0AGgAcwAgAHQAbwAgAFMAZQBhAHMAbwBuAHMAIABNAGEAcABwAGkAbgBnAFwAIgApADsAXABuAFwAbgBDAG8AbQBtAG8AbgBfAFMAbwB1AHIAYwBlAEQAYQB0AGEAXwBNAG8AbgB0AGgAcwBUAG8AUwBlAGEAcwBvAG4AcwBfAFUAbgBpAHQAXABuACAAIAA9AEwAQQBNAEIARABBACgAXAAiAFwAIgApADsAXABuAFwAbgBDAG8AbQBtAG8AbgBfAFMAbwB1AHIAYwBlAEQAYQB0AGEAXwBNAG8AbgB0AGgAcwBUAG8AUwBlAGEAcwBvAG4AcwBfAFMAbwB1AHIAYwBlAFwAbgAgACAAPQBMAEEATQBCAEQAQQAoAFwAIgBcACIAKQA7AFwAbgBcAG4AQwBvAG0AbQBvAG4AXwBTAG8AdQByAGMAZQBEAGEAdABhAF8ATQBvAG4AdABoAHMAVABvAFMAZQBhAHMAbwBuAHMAXwBOAEkAUgBSAGUAZgBlAHIAZQBuAGMAZQBcAG4AIAAgAD0ATABBAE0AQgBEAEEAKABcACIAXAAiACkAOwBcAG4AXABuAEMAbwBtAG0AbwBuAF8AUwBvAHUAcgBjAGUARABhAHQAYQBfAE0AbwBuAHQAaABzAFQAbwBTAGUAYQBzAG8AbgBzAF8ARABhAHQAYQBcAG4AIAAgAD0ATABBAE0AQgBEAEEAKABcAG4AIAAgACAAIABNAEEASwBFAEEAUgBSAEEAWQAoADEAMwAsACAAMgAsACAAXABuACAAIAAgACAAIAAgAEwAQQBNAEIARABBACgAcgAsAGMALAAgAFwAbgAgACAAIAAgACAAIAAgACAASQBOAEQARQBYACgAewBcAG4AIAAgACAAIAAgACAAIAAgACAAIABcACIATQBvAG4AdABoAFwAIgAsACAAXAAiAFMAZQBhAHMAbwBuAFwAIgA7AFwAbgAgACAAIAAgACAAIAAgACAAIAAgAFwAIgBKAGEAbgB1AGEAcgB5AFwAIgAsACAAXAAiAFMAdQBtAG0AZQByAFwAIgA7AFwAbgAgACAAIAAgACAAIAAgACAAIAAgAFwAIgBGAGUAYgByAHUAYQByAHkAXAAiACwAIABcACIAUwB1AG0AbQBlAHIAXAAiADsAXABuACAAIAAgACAAIAAgACAAIAAgACAAXAAiAE0AYQByAGMAaABcACIALAAgAFwAIgBBAHUAdAB1AG0AbgBcACIAOwBcAG4AIAAgACAAIAAgACAAIAAgACAAIABcACIAQQBwAHIAaQBsAFwAIgAsACAAXAAiAEEAdQB0AHUAbQBuAFwAIgA7AFwAbgAgACAAIAAgACAAIAAgACAAIAAgAFwAIgBNAGEAeQBcACIALAAgAFwAIgBBAHUAdAB1AG0AbgBcACIAOwBcAG4AIAAgACAAIAAgACAAIAAgACAAIABcACIASgB1AG4AZQBcACIALAAgAFwAIgBXAGkAbgB0AGUAcgBcACIAOwBcAG4AIAAgACAAIAAgACAAIAAgACAAIABcACIASgB1AGwAeQBcACIALAAgAFwAIgBXAGkAbgB0AGUAcgBcACIAOwBcAG4AIAAgACAAIAAgACAAIAAgACAAIABcACIAQQB1AGcAdQBzAHQAXAAiACwAIABcACIAVwBpAG4AdABlAHIAXAAiADsAXABuACAAIAAgACAAIAAgACAAIAAgACAAXAAiAFMAZQBwAHQAZQBtAGIAZQByAFwAIgAsACAAXAAiAFMAcAByAGkAbgBnAFwAIgA7AFwAbgAgACAAIAAgACAAIAAgACAAIAAgAFwAIgBPAGMAdABvAGIAZQByAFwAIgAsACAAXAAiAFMAcAByAGkAbgBnAFwAIgA7AFwAbgAgACAAIAAgACAAIAAgACAAIAAgAFwAIgBOAG8AdgBlAG0AYgBlAHIAXAAiACwAIABcACIAUwBwAHIAaQBuAGcAXAAiADsAXABuACAAIAAgACAAIAAgACAAIAAgACAAXAAiAEQAZQBjAGUAbQBiAGUAcgBcACIALAAgAFwAIgBTAHUAbQBtAGUAcgBcACIAXABuACAAIAAgACAAIAAgACAAIAB9ACwAIAByACwAIABjACkAXABuACAAIAAgACAAIAAgACkAXABuACAAIAAgACAAKQBcAG4AIAAgACkAOwBcAG4AXABuACAAIABDAG8AbQBtAG8AbgBfAFMAbwB1AHIAYwBlAEQAYQB0AGEAXwBNAG8AbgB0AGgAcwBUAG8AUwBlAGEAcwBvAG4AcwBfAFYAYQByAGkAYQB0AGkAbwBuAFwAbgAgACAAPQBMAEEATQBCAEQAQQAoAFwAIgBcACIAKQA7AFwAbgBcAG4AXABuAFwAbgAvACoAIABcAG4ALQAtAC0ALQAtAC0ALQAtAC0ALQAtAC0ALQAtAC0ALQAtAC0ALQAtAC0ALQAtAC0ALQAtAC0ALQAtAC0ALQAtAC0ALQAtAC0ALQAtAFwAbgBDAG8AbQBtAG8AbgBfAFMAbwB1AHIAYwBlAEQAYQB0AGEAXwBNAEMARgBUAGUAbQBwAGUAcgBhAHQAdQByAGUAWgBvAG4AZQBcAG4ALQAtAC0ALQAtAC0ALQAtAC0ALQAtAC0ALQAtAC0ALQAtAC0ALQAtAC0ALQAtAC0ALQAtAC0ALQAtAC0ALQAtAC0ALQAtAC0ALQAtAFwAbgAqAC8AXABuAFwAbgBDAG8AbQBtAG8AbgBfAFMAbwB1AHIAYwBlAEQAYQB0AGEAXwBNAEMARgBUAGUAbQBwAGUAcgBhAHQAdQByAGUAWgBvAG4AZQBfAFQAaQB0AGwAZQBcAG4AIAAgAD0ATABBAE0AQgBEAEEAKABcACIATQBhAG4AdQByAGUAIABNAGEAbgBhAGcAZQBtAGUAbgB0ACAAEyAgAE0AZQB0AGgAYQBuAGUAIABjAG8AbgB2AGUAcgBzAGkAbwBuACAAZgBhAGMAdABvAHIAIABwAGUAcgAgAHQAZQBtAHAAZQByAGEAdAB1AHIAZQAgAHoAbwBuAGUAIAAoAGYAcgBhAGMAdABpAG8AbgApACAAKABNAEMARgBpAG0AKQBcACIAKQA7AFwAbgBcAG4AQwBvAG0AbQBvAG4AXwBTAG8AdQByAGMAZQBEAGEAdABhAF8ATQBDAEYAVABlAG0AcABlAHIAYQB0AHUAcgBlAFoAbwBuAGUAXwBVAG4AaQB0AFwAbgAgACAAPQBMAEEATQBCAEQAQQAoAFwAIgBmAHIAYQBjAHQAaQBvAG4AXAAiACkAOwBcAG4AXABuAEMAbwBtAG0AbwBuAF8AUwBvAHUAcgBjAGUARABhAHQAYQBfAE0AQwBGAFQAZQBtAHAAZQByAGEAdAB1AHIAZQBaAG8AbgBlAF8AUwBvAHUAcgBjAGUAXABuACAAIAA9AEwAQQBNAEIARABBACgAXAAiAFYARQBFAFIARwAgADIAMAAyADYAOgAgAFQAYQBiAGwAZQAgAEEALgAxAC4AOAAuADEAXAAiACkAOwBcAG4AXABuAEMAbwBtAG0AbwBuAF8AUwBvAHUAcgBjAGUARABhAHQAYQBfAE0AQwBGAFQAZQBtAHAAZQByAGEAdAB1AHIAZQBaAG8AbgBlAF8ARABhAHQAYQBcAG4AIAAgAD0ATABBAE0AQgBEAEEAKABcAG4AIAAgACAAIABNAEEASwBFAEEAUgBSAEEAWQAoADIAMgAsACAAMQA2ACwAIABcAG4AIAAgACAAIAAgACAATABBAE0AQgBEAEEAKAByACwAYwAsACAAXABuACAAIAAgACAAIAAgACAAIABJAE4ARABFAFgAKAB7AFwAbgAgACAAIAAgACAAIAAgACAAIAAgAFwAIgBUAGUAbQBwAGUAcgBhAHQAdQByAGUAIAB6AG8AbgBlAFwAIgAsACAAXAAiAE0AQQBUACAAKAC6AEMAKQBcACIALAAgAFwAIgBVAG4AYwBvAHYAZQByAGUAZAAgAGEAbgBlAHIAbwBiAGkAYwAgAGwAYQBnAG8AbwBuAFwAIgAsACAAXAAiAEMAbwB2AGUAcgBlAGQAIABsAGEAZwBvAG8AbgBcACIALAAgAFwAIgBMAGkAcQB1AGkAZAAgAFMAbAB1AHIAcgB5ACAAKAB3AGkAdABoAG8AdQB0ACAAbgBhAHQAdQByAGEAbAAgAGMAcgB1AHMAdAApAFwAIgAsACAAXAAiAEQAYQBpAGwAeQAgAHMAcAByAGUAYQBkACAAKABiACkAXAAiACwAIABcACIAQwBvAG0AcABvAHMAdABpAG4AZwAgACgAcABhAHMAcwBpAHYAZQAgAHcAaQBuAGQAcgBvAHcAKQBcACIALAAgAFwAIgBTAG8AbABpAGQAIABTAHQAbwByAGEAZwBlAFwAIgAsACAAXAAiAFAAaQB0ACAAUwB0AG8AcgBhAGcAZQAgADw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CcAUABvAHUAbAB0AHIAeQAgAHcAaQB0AGgAIABhAG4AZAAgAHcAaQB0AGgAbwB1AHQAIABsAGkAdAB0AGUAcgAnACAAYwBvAGwAdQBtAG4AIAB3AGkAdABoACAAcwBlAHAAYQByAGEAdABlACAATgBJAFIAIABkAGUAZgBpAG4AaQB0AGkAbwBuAHMAIAB0AG8AIABhAGkAZAAgAGwAbwBvAGsAdQBwAC4AIABBAGQAZABlAGQAIAAnAE0AQQBUACAAcgBhAHcAJwAgAGMAbwBsAHUAbQBuACAAdABvACAAYQBsAGwAbwB3ACAAbABvAG8AawB1AHAAIABvAGYAIABuAHUAbQBiAGUAcgBzAC4AXAAiACkAOwBcAG4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CIAfQAsAHsAIgBwAGEAdABoACIAOgAiAC8AcAByAG8AagBlAGMAdABzAC8AQwBvAG0AbQBvAG4AXwBJAG4AcAB1AHQARgB1AG4AYwB0AGkAbwBuAHMAIgAsACIAdABlAHgAdAAiADoAIgBVAHQAaQBsAGkAdAB5AF8ARwBlAHQAQQByAHIAYQB5AFQAYQBiAGwAZQBSAG8AdwBTAHQAYQByAHQATgB1AG0AYgBlAHIAXABuAD0ATABBAE0AQgBEAEEAKABcAG4AIAAgACAAIABUAGEAYgBsAGUAaABlAGEAZABlAHIAQwBlAGwAbAAsAFIAbwB3AHMAQgBlAHQAdwBlAGUAbgBIAGUAYQBkAGUAcgBhAG4AZABBAHIAcgBhAHkALABcAG4AIAAgACAAIABSAE8AVwAoAFQAYQBiAGwAZQBoAGUAYQBkAGUAcgBDAGUAbABsACkAIAArACAAUgBvAHcAcwBCAGUAdAB3AGUAZQBuAEgAZQBhAGQAZQByAGEAbgBkAEEAcgByAGEAeQAgAC0AIAAxAFwAbgApADsAXABuAFwAbgBVAHQAaQBsAGkAdAB5AF8ARwBlAHQAQQByAHIAYQB5AFQAYQBiAGwAZQBDAG8AbAB1AG0AbgBTAHQAYQByAHQATgB1AG0AYgBlAHIAXABuAD0ATABBAE0AQgBEAEEAKABcAG4AIAAgAFQAYQBiAGwAZQBIAGUAYQBkAGUAcgBDAGUAbABsACwAXABuACAAIABDAE8ATABVAE0ATgAoAFQAYQBiAGwAZQBIAGUAYQBkAGUAcgBDAGUAbABsACkAXABuACkAOwBcAG4AXABuAFUAdABpAGwAaQB0AHkAXwBEAGkAcwBwAGwAYQB5AEEAcgByAGEAeQBJAG4AVABhAGIAbABlAFwAbgA9AEwAQQBNAEIARABBACgAXABuACAAQQByAHIAYQB5AEQAYQB0AGEALAAgAFQAYQBiAGwAZQBoAGUAYQBkAGUAcgBDAGUAbABsACwAIABSAG8AdwBzAEIAZQB0AHcAZQBlAG4ASABlAGEAZABlAHIAYQBuAGQAQQByAHIAYQB5ACwAIABbAEMAbwBsAHUAbQBuAHMAQgBlAHQAdwBlAGUAbgBIAGUAYQBkAGUAcgBBAG4AZABBAHIAcgBhAHkAXQAsAFwAbgAgAEkARgBFAFIAUgBPAFIAKABcAG4AIAAgACAAIAAgAEkATgBEAEUAWAAoAFwAbgAgACAAIAAgACAAIAAgACAAIAAgACAAIABVAE4ASQBRAFUARQAoAEEAcgByAGEAeQBEAGEAdABhACkALAAgAFwAbgAgACAAIAAgACAAIAAgACAAIAAgACAAIABSAE8AVwAoACkALQBVAHQAaQBsAGkAdAB5AF8ARwBlAHQAQQByAHIAYQB5AFQAYQBiAGwAZQBSAG8AdwBTAHQAYQByAHQATgB1AG0AYgBlAHIAKABUAGEAYgBsAGUAaABlAGEAZABlAHIAQwBlAGwAbAAsACAAUgBvAHcAcwBCAGUAdAB3AGUAZQBuAEgAZQBhAGQAZQByAGEAbgBkAEEAcgByAGEAeQApACwAIABcAG4AIAAgACAAIAAgACAAIAAgACAAIAAgACAAQwBPAEwAVQBNAE4AKAApAC0AVQB0AGkAbABpAHQAeQBfAEcAZQB0AEEAcgByAGEAeQBUAGEAYgBsAGUAQwBvAGwAdQBtAG4AUwB0AGEAcgB0AE4AdQBtAGIAZQByACgAVABhAGIAbABlAGgAZQBhAGQAZQByAEMAZQBsAGwAKQAgACsAXABuACAAIAAgACAAIAAgACAAIAAgACAAIAAgAEkARgAoAEkAUwBPAE0ASQBUAFQARQBEACgAQwBvAGwAdQBtAG4AcwBCAGUAdAB3AGUAZQBuAEgAZQBhAGQAZQByAEEAbgBkAEEAcgByAGEAeQApACwAIAAxACwAIABDAG8AbAB1AG0AbgBzAEIAZQB0AHcAZQBlAG4ASABlAGEAZABlAHIAQQBuAGQAQQByAHIAYQB5ACkAXABuACAAIAAgACAAIAAgACAAIAApACwAIABcACIAXAAiAFwAbgAgACAAIAAgACkAXABuACkAOwBcAG4AXABuAFUAdABpAGwAaQB0AHkAXwBMAG8AbwBrAHUAcABWAGEAbAB1AGUASQBuAFQAYQBiAGwAZQBcAG4APQBMAEEATQBCAEQAQQAoAFwAbgAgACAAIAAgAEwAbwBvAGsAdQBwAFYAYQBsAHUAZQAsACAATABvAG8AawB1AHAAQQByAHIAYQB5ACwAIABSAGUAdAB1AHIAbgBBAHIAcgBhAHkALABcAG4AIAAgACAAIABYAEwATwBPAEsAVQBQACgATABvAG8AawB1AHAAVgBhAGwAdQBlACwAIABMAG8AbwBrAHUAcABBAHIAcgBhAHkALAAgAFIAZQB0AHUAcgBuAEEAcgByAGEAeQAsACAAXAAiAFwAIgApAFwAbgApADsAXABuAFwAbgBVAHQAaQBsAGkAdAB5AF8ATABvAG8AawB1AHAAVgBhAGwAdQBlAEkAbgBUAGEAYgBsAGUATgB1AG0AYgBlAHIAXABuAD0ATABBAE0AQgBEAEEAKABcAG4AIAAgACAAIABMAG8AbwBrAHUAcABWAGEAbAB1AGUALAAgAEwAbwBvAGsAdQBwAEEAcgByAGEAeQAsACAAUgBlAHQAdQByAG4AQQByAHIAYQB5ACwAXABuACAAIAAgACAASQBGACgASQBTAE4AVQBNAEIARQBSACgAXABuACAAIAAgACAAIAAgACAAIABYAEwATwBPAEsAVQBQACgATABvAG8AawB1AHAAVgBhAGwAdQBlACwAIABMAG8AbwBrAHUAcABBAHIAcgBhAHkALAAgAFIAZQB0AHUAcgBuAEEAcgByAGEAeQAsACAAXAAiAFwAIgApAFwAbgAgACAAIAAgACkALAAgAFgATABPAE8ASwBVAFAAKABMAG8AbwBrAHUAcABWAGEAbAB1AGUALAAgAEwAbwBvAGsAdQBwAEEAcgByAGEAeQAsACAAUgBlAHQAdQByAG4AQQByAHIAYQB5ACwAIABcACIAXAAiACkALAAgADAAKQBcAG4AKQA7AFwAbgBcAG4AVQB0AGkAbABpAHQAeQBfAEwAbwBvAGsAdQBwAFYAYQBsAHUAZQBJAG4AVABhAGIAbABlAFQAdwBvAEMAbwBsAHUAbQBuAHMAXABuAD0ATABBAE0AQgBEAEEAKABcAG4AIAAgACAAIABMAG8AbwBrAHUAcABWAGEAbAB1AGUAMQAsACAATABvAG8AawB1AHAAVgBhAGwAdQBlADIALAAgAEwAbwBvAGsAdQBwAEEAcgByAGEAeQAxACwAIABMAG8AbwBrAHUAcABBAHIAcgBhAHkAMgAsACAAUgBlAHQAdQByAG4AQQByAHIAYQB5ACwAXABuACAAIAAgACAAWABMAE8ATwBLAFUAUAAoADEALAAgACgATABvAG8AawB1AHAAQQByAHIAYQB5ADEAPQBMAG8AbwBrAHUAcABWAGEAbAB1AGUAMQApACoAKABMAG8AbwBrAHUAcABBAHIAcgBhAHkAMgA9AEwAbwBvAGsAdQBwAFYAYQBsAHUAZQAyACkALAAgAFIAZQB0AHUAcgBuAEEAcgByAGEAeQAsACAAXAAiAFwAIg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XABuACAAIAAgACAAWABMAE8ATwBLAFUAUAAoAEwAbwBvAGsAdQBwAFYAYQBsAHUAZQAxACwAIABMAG8AbwBrAHUAcABBAHIAcgBhAHkAMQAsAFwAbgAgACAAIAAgACAAIAAgACAAWABMAE8ATwBLAFUAUAAoAEwAbwBvAGsAdQBwAFYAYQBsAHUAZQAyACwAIABMAG8AbwBrAHUAcABBAHIAcgBhAHkAMgAsACAAUgBlAHQAdQByAG4AQQByAHIAYQB5ACkAXABuACAAIAAgACAAKQBcAG4AKQA7AFwAbgBcAG4AVQB0AGkAbABpAHQAeQBfAFMAcABsAGkAdABTAHQAcgBpAG4AZwBJAG4AdABvAEEAcgByAGEAeQBcAG4APQBMAEEATQBCAEQAQQAoAFwAbgAgACAAIAAgAEMAZQBsAGwALAAgAEQAZQBsAGkAbQBpAHQAZQByACwAIABbAEMAaABhAHIAYQBjAHQAZQByAFQAbwBSAGUAbQBvAHYAZQAxAF0ALAAgAFsAQwBoAGEAcgBhAGMAdABlAHIAVABvAFIAZQBtAG8AdgBlADIAXQAsAFwAbgAgACAAIAAgACAAIAAgACAARgBJAEwAVABFAFIAWABNAEwAKABcAG4AIAAgACAAIAAgACAAIAAgAFwAIgA8AHQAPgA8AHMAPgBcACIAIAAm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DwALwBzAD4APABzAD4AXAAiAFwAbgAgACAAIAAgACAAIAAgACAAKQAgACYAXABuACAAIAAgACAAIAAgACAAIABcACIAPAAvAHMAPgA8AC8AdAA+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A8AD0AYQB2AGcAVABlAG0AcAApACoAXABuACAAIAAgACAAIAAgACAAIAAoAFYAQQBMAFUARQAoAG0AYQB4AFQAZQBtAHAAQQByAHIAYQB5ACkAPgA9AGEAdgBnAFQAZQBtAHAAKQAqAFwAbgAgACAAIAAgACAAIAAgACAAKABWAEEATABVAEUAKABtAGkAbgBSAGEAaQBuAGYAYQBsAGwAQQByAHIAYQB5ACkAPAA9AGEAdgBnAFIAYQBpAG4AKQAqAFwAbgAgACAAIAAgACAAIAAgACAAKABWAEEATABVAEUAKABtAGEAeABSAGEAaQBuAGYAYQBsAGwAQQByAHIAYQB5ACkAPgA9AGEAdgBnAFIAYQBpAG4AKQAqAFwAbgAgACAAIAAgACAAIAAgACAAKABWAEEATABVAEUAKABtAGkAbgBGAHIAbwBzAHQAQQByAHIAYQB5ACkAPAA9AGYAcgBvAHMAdABEAGEAeQBzACkAKgBcAG4AIAAgACAAIAAgACAAIAAgACgAVgBBAEwAVQBFACgAbQBhAHgARgByAG8AcwB0AEEAcgByAGEAeQApAD4APQBmAHIAbwBzAHQARABhAHkAcwApACoAXABuACAAIAAgACAAIAAgACAAIAAoAFYAQQBMAFUARQAoAG0AaQBuAEUAbABlAHYAYQB0AGkAbwBuAEEAcgByAGEAeQApADwAPQBlAGwAZQB2ACkAKgBcAG4AIAAgACAAIAAgACAAIAAgACgAVgBBAEwAVQBFACgAbQBhAHgARQBsAGUAdgBhAHQAaQBvAG4AQQByAHIAYQB5ACkAPgA9AGUAbABlAHYAKQAqAFwAbgAgACAAIAAgACAAIAAgACAAKABWAEEATABVAEUAKABtAGkAbgBQAEUAVABBAHIAcgBhAHkAKQA8AD0AbQBhAHAAXwBwAGUAdAApACoAXABuACAAIAAgACAAIAAgACAAIAAoAFYAQQBMAFUARQAoAG0AYQB4AFAARQBUAEEAcgByAGEAeQApAD4APQBtAGEAcABfAHAAZQB0ACkALABcAG4AIAAgACAAIAAgACAAIAAgAFQAQQBLAEUAKABcAG4AIAAgACAAIAAgACAAIAAgACAAIAAgACAARgBJAEwAVABFAFIAKABjAGwAaQBtAGEAdABlAFoAbwBuAGUAQQByAHIAYQB5ACwAbQBhAHMAawAsACAAXAAiAE4AbwAgAG0AYQB0AGMAaABcACIAKQAsAFwAbgAgACAAIAAgACAAIAAgACAAIAAgACAAIAAxAFwAbgAgACAAIAAgACAAIAAgACAAKQBcAG4AIAAgACAAIAApAFwAbgApADsAXABuAFwAbgBVAHQAaQBsAGkAdAB5AF8ATABvAG8AawB1AHAASQB0AGUAbQBGAHIAbwBtAE0AaQBuAE0AYQB4AFwAbgA9AEwAQQBNAEIARABBACgAXABuACAAIAAgACAATABvAG8AawB1AHAAVgBhAGwAdQBlACwAIABNAGkAbgBBAHIAcgBhAHkALAAgAE0AYQB4AEEAcgByAGEAeQAsACAASQB0AGUAbQBBAHIAcgBhAHkALABcAG4AIAAgACAAIABMAEUAVAAoAFwAbgAgACAAIAAgACAAIAAgACAAbQBhAHMAawAsAFwAbgAgACAAIAAgACAAIAAgACAAKABWAEEATABVAEUAKABNAGkAbgBBAHIAcgBhAHkAKQA8AD0ATABvAG8AawB1AHAAVgBhAGwAdQBlACkAKgBcAG4AIAAgACAAIAAgACAAIAAgACgAVgBBAEwAVQBFACgATQBhAHgAQQByAHIAYQB5ACkAPg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PAAgAFMAKQAsAFwAbgAgACAAIAAgACAAIAAgACAAbABhAHMAdABZAGUAYQByACwAeQBiAC0AKABEAEEAVABFACgAeQBiACwAbQAsAGQAKQA+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AnAHQAIABvAHYAZQByAGwAYQBwADsAIABtAG8AdgBlACAAdABvACAAbgBlAHgAdAAgAHkAZQBhAHIAKgAvAFwAbgAgACAAIAAgACAAIAAgACAAZgBpAHIAcwB0AFkAZQBhAHIALAB5AGEAKwAoAFAAZQByAGkAbwBkAEUAbgBkACgARABBAFQARQAoAHkAYQAsAG0ALABkACkAKQA8AFMAKQAsACAALwAqAGkAZgAgAHQAaABlACAAYQBuAGMAaABvAHIAIABmAG8AcgAgAHkAYgAgAHMAdABhAHIAdABzACAAYQBmAHQAZQByACAARQAsAGkAdAAgAGMAYQBuACcAdAAgAG8AdgBlAHIAbABhAHAAOwAgAG0AbwB2AGUAIAB0AG8AIABwAHIAZQB2AGkAbwB1AHMAIAB5AGUAYQByACoALwBcAG4AIAAgACAAIAAgACAAIAAgAGwAYQBzAHQAWQBlAGEAcgAsAHkAYgAtACgARABBAFQARQAoAHkAYgAsAG0ALABkACkAPg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JgAgAFwAIgAgAHQAbwAgAFwAIgAgACYAIABlAG4AZABzAFQAZQB4AHQAIAAm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PgAwACwAIAAxACwAIAAwACkAXABuACAAIAAgACAAKQApADsAXABuAFwAbgBcAG4AVQB0AGkAbABpAHQAeQBfAEMAbwBuAHYAZQByAHQAUwB0AGEAdABlAEMAbwBtAG0AbwBuAE4AYQBtAGUAVABvAEEAYgBiAHIAZQB2AGkAYQB0AGkAbwBuAFwAbgA9AEwAQQBNAEIARABBACgAXABuACAAIAAgACAAUwB0AGEAdABlAEMAbwBtAG0AbwBuAE4AYQBtAGUALABcAG4AIAAgACAAIABTAHQAYQB0AGUAQwBvAG0AbQBvAG4ATgBhAG0AZQBBAHIAcgBhAHkALAAgAFMAdABhAHQAZQBBAGIAYgByAGUAdgBpAGEAdABpAG8AbgBBAHIAcgBhAHkALABcAG4AIAAgACAAIABYAEwATwBPAEsAVQBQACgAUwB0AGEAdABlAEMAbwBtAG0AbwBuAE4AYQBtAGUALAAgAFMAdABhAHQAZQBDAG8AbQBtAG8AbgBOAGEAbQBlAEEAcgByAGEAeQAsACAAUwB0AGEAdABlAEEAYgBiAHIAZQB2AGkAYQB0AGkAbwBuAEEAcgByAGEAeQAsACAAXAAiAFwAIgApAFwAbgApADsAXABuAFwAbgBVAHQAaQBsAGkAdAB5AF8AUwBvAHUAcgBjAGUASAB5AHAAZQByAGwAaQBuAGs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AnAFwAIgAgACYAIABzAGgAIAAmACAAXAAiACcAIQBcACIAIAAmACAAYQBkAGQAcgBcAG4AIAAgACkAXABuACkAOwBcAG4AXABuAFUAdABpAGwAaQB0AHkAXwBEAGkAcwBwAGwAYQB5AEEAcgBnAHUAbQBlAG4AdABzAF8AMQBfADIAXABuAD0ATABBAE0AQgBEAEEAKABcAG4AIAAgACAAIABBAHIAZwB1AG0AZQBuAHQAcwBBAHIAcgBhAHkALABcAG4AIAAgACAAIABDAEgATwBPAFMARQBDAE8ATABTACgAQQByAGcAdQBtAGUAbgB0AHMAQQByAHIAYQB5ACwAIAAxACwAIAAyACkAXABuACkAOwBcAG4AXABuAFUAdABpAGwAaQB0AHkAXwBEAGkAcwBwAGwAYQB5AEEAcgBnAHUAbQBlAG4AdABzAF8AMwBfADQAXABuAD0ATABBAE0AQgBEAEEAKABcAG4AIAAgACAAIABBAHIAZwB1AG0AZQBuAHQAcwBBAHIAcgBhAHkALABcAG4AIAAgACAAIABDAEgATwBPAFMARQBDAE8ATABTACgAQQByAGcAdQBtAGUAbgB0AHMAQQByAHIAYQB5ACwAIAAzACwAIAA0ACkAXABuACkAOwBcAG4AXABuAEMAbwBtAG0AbwBuAF8ARwBlAHQATQBDAEYAVABlAG0AcABlAHIAYQB0AHUAcgBlAFoAbwBuAGUAXABuAD0ATABBAE0AQgBEAEEAKABcAG4AIAAgACAAIABUAGUAbQBwAGUAcgBhAHQAdQByAGUALAAgAE0ATQBTACwAIABUAGUAbQBwAGUAcgBhAHQAdQByAGUAQQByAHIAYQB5ACwAIABNAE0AUwBBAHIAcgBhAHkALAAgAFIAZQB0AHUAcgBuAEEAcgByAGEAeQAsAFwAbgAgACAAIAAgAFgATABPAE8ASwBVAFAAKABcAG4AIAAgACAAIAAgACAAIAAgAE0ARQBEAEkAQQBOACgAXABuACAAIAAgACAAIAAgACAAIAAgACAAIAAgAFQAZQBtAHAAZQByAGEAdAB1AHIAZ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BcAG4AIgB9ACwAewAiAHAAYQB0AGgAIgA6ACIALwBwAHIAbwBqAGUAYwB0AHMALwBDAG8AbQBtAG8AbgBDAHIAbwBwAHAAaQBuAGcAXwBJAG4AcAB1AHQARgB1AG4AYwB0AGkAbwBuAHMAIgAsACIAdABlAHgAdAAiADoAI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D4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UwBvAHUAcgBjAGUARABhAHQAYQBfAFAAbwB1AGwAdAByAHkAIgAsACIAdABlAHgAdAAiADoAIgAvACoAIABcAG4ALQAtAC0ALQAtAC0ALQAtAC0ALQAtAC0ALQAtAC0ALQAtAC0ALQAtAC0ALQAtAC0ALQAtAC0ALQAtAC0ALQAtAC0ALQAtAC0ALQAtAFwAbgBTAG8AdQByAGMAZQBEAGEAdABhAF8AUABvAHUAbAB0AHIAeQBfAEQAaQBlAHQAUAByAG8AcABlAHIAdABpAGUAcwBcAG4AVABhAGIAbABlACAAQQAuADEALgA3AC4AMQA6ACAAUABvAHUAbAB0AHIAeQAgAC0AIABEAGkAZQB0ACAAcAByAG8AcABlAHIAdABpAGUAcwBcAG4ALQAtAC0ALQAtAC0ALQAtAC0ALQAtAC0ALQAtAC0ALQAtAC0ALQAtAC0ALQAtAC0ALQAtAC0ALQAtAC0ALQAtAC0ALQAtAC0ALQAtAFwAbgAqAC8AXABuAFwAbgBTAG8AdQByAGMAZQBEAGEAdABhAF8AUABvAHUAbAB0AHIAeQBfAEQAaQBlAHQAUAByAG8AcABlAHIAdABpAGUAcwBfAFQAaQB0AGwAZQBcAG4AIAAgAD0ATABBAE0AQgBEAEEAKABcACIAUABvAHUAbAB0AHIAeQAgAC0AIABEAGkAZQB0ACAAcAByAG8AcABlAHIAdABpAGUAcwBcACIAKQA7AFwAbgBcAG4AUwBvAHUAcgBjAGUARABhAHQAYQBfAFAAbwB1AGwAdAByAHkAXwBEAGkAZQB0AFAAcgBvAHAAZQByAHQAaQBlAHMAXwBVAG4AaQB0AFwAbgAgACAAPQBMAEEATQBCAEQAQQAoAFwAIgBcACIAKQA7AFwAbgBcAG4AUwBvAHUAcgBjAGUARABhAHQAYQBfAFAAbwB1AGwAdAByAHkAXwBEAGkAZQB0AFAAcgBvAHAAZQByAHQAaQBlAHMAXwBTAG8AdQByAGMAZQBcAG4AIAAgAD0ATABBAE0AQgBEAEEAKABcACIAVgBFAEUAUgBHACAAMgAwADIANgA6ACAAVABhAGIAbABlACAAQQAuADEALgA3AC4AMQA6ACAAUABvAHUAbAB0AHIAeQAgAC0AIABEAGkAZQB0ACAAcAByAG8AcABlAHIAdABpAGUAcwBcACIAKQA7AFwAbgBcAG4AUwBvAHUAcgBjAGUARABhAHQAYQBfAFAAbwB1AGwAdAByAHkAXwBEAGkAZQB0AFAAcgBvAHAAZQByAHQAaQBlAHMAXwBWAGEAcgBpAGEAdABpAG8AbgBcAG4AIAAgAD0ATABBAE0AQgBEAEEAKABcACIAXAAiACkAOwBcAG4AXABuAFMAbwB1AHIAYwBlAEQAYQB0AGEAXwBQAG8AdQBsAHQAcgB5AF8ARABpAGUAdABQAHIAbwBwAGUAcgB0AGkAZQBzAF8ARABhAHQAYQBcAG4AIAAgAD0ATABBAE0AQgBEAEEAKABcAG4AIAAgACAAIABNAEEASwBFAEEAUgBSAEEAWQAoADYALAAgADUALAAgAFwAbgAgACAAIAAgACAAIABMAEEATQBCAEQAQQAoAHIALABjACwAIABcAG4AIAAgACAAIAAgACAAIAAgAEkATgBEAEUAWAAoAHsAXABuACAAIAAgACAAIAAgACAAIAAgACAAXAAiAE4AdQB0AHIAaQBlAG4AdAAgAGEAbgBhAGwAeQBzAGkAcwBcACIALAAgAFwAIgBMAGEAeQBlAHIAcwBcACIALAAgAFwAIgBNAGUAYQB0ACAAYwBoAGkAYwBrAGUAbgAgAGcAcgBvAHcAZQByAHMAXAAiACwAIABcACIATQBlAGEAdAAgAGMAaABpAGMAawBlAG4AIABiAHIAZQBlAGQAZQByAFwAIgAsACAAXAAiAE0AZQBhAHQAIABvAHQAaABlAHIAXAAiADsAXABuACAAIAAgACAAIAAgACAAIAAgACAAXAAiAEQAcgB5ACAAbQBhAHQAdABlAHIAIABpAG4AdABhAGsAZQAgACgAawBnAC8AaABlAGEAZAAvAGQAYQB5ACkAXAAiACwAIAAwAC4AMAA4ADYALAAgADAALgAwADkAMwAsACAAMAAuADEAMAAzACwAIAAwAC4AMAA5ADMAOwAgAFwAbgAgACAAIAAgACAAIAAgACAAIAAgAFwAIgBEAHIAeQAgAG0AYQB0AHQAZQByACAAZABpAGcAZQBzAHQAaQBiAGkAbABpAHQAeQBcACIALAAgADAALgA4ADAALAAgADAALgA4ADAALAAgADAALgA4ADAALAAgADAALgA4ADAAOwBcAG4AIAAgACAAIAAgACAAIAAgACAAIABcACIAQwByAHUAZABlACAAcAByAG8AdABlAGkAbgBcACIALAAgADAALgAxADkALAAgADAALgAyADMALAAgADAALgAxADkALAAgADAALgAyADMAOwBcAG4AIAAgACAAIAAgACAAIAAgACAAIABcACIATgBpAHQAcgBvAGcAZQBuACAAcgBlAHQAZQBuAHQAaQBvAG4AIAByAGEAdABlAFwAIgAsACAAMAAuADMANQAsACAAMAAuADQANwAsACAAMAAuADMAMgAsACAAMAAuADQANwA7AFwAbgAgACAAIAAgACAAIAAgACAAIAAgAFwAIgBNAGEAbgB1AHIAZQAgAGEAcwBoAFwAIgAsACAAMAAuADEAOAAsACAAMAAuADEANQAsACAAMAAuADEAOAAsACAAMAAuADEANQBcAG4AIAAgACAAIAAgACAAIAAgAH0ALAAgAHIALAAgAGMAKQBcAG4AIAAgACAAIAAgACAAKQBcAG4AIAAgACAAIAApAFwAbgAgACAAKQA7AFwAbgBcAG4ALwAqACAAXABuAC0ALQAtAC0ALQAtAC0ALQAtAC0ALQAtAC0ALQAtAC0ALQAtAC0ALQAtAC0ALQAtAC0ALQAtAC0ALQAtAC0ALQAtAC0ALQAtAC0ALQBcAG4AUwBvAHUAcgBjAGUARABhAHQAYQBfAFAAbwB1AGwAdAByAHkAXwBNAEMARgBcAG4AVABhAGIAbABlACAAQQAuADEALgA3AC4ANAA6ACAAUABvAHUAbAB0AHIAeQAgAC0AIABNAEMARgBzAFwAbgAtAC0ALQAtAC0ALQAtAC0ALQAtAC0ALQAtAC0ALQAtAC0ALQAtAC0ALQAtAC0ALQAtAC0ALQAtAC0ALQAtAC0ALQAtAC0ALQAtAC0AXABuACoALwBcAG4AXABuAFMAbwB1AHIAYwBlAEQAYQB0AGEAXwBQAG8AdQBsAHQAcgB5AF8ATQBDAEYAXwBUAGkAdABsAGUAXABuACAAIAA9AEwAQQBNAEIARABBACgAXAAiAFAAbwB1AGwAdAByAHkAIAAtACAATQBDAEYAcwBcACIAKQA7AFwAbgBcAG4AUwBvAHUAcgBjAGUARABhAHQAYQBfAFAAbwB1AGwAdAByAHkAXwBNAEMARgBfAFUAbgBpAHQAXABuACAAIAA9AEwAQQBNAEIARABBACgAXAAiAFwAIgApADsAXABuAFwAbgBTAG8AdQByAGMAZQBEAGEAdABhAF8AUABvAHUAbAB0AHIAeQBfAE0AQwBGAF8AUwBvAHUAcgBjAGUAXABuACAAIAA9AEwAQQBNAEIARABBACgAXAAiAFYARQBFAFIARwAgADIAMAAyADYAOgAgAFQAYQBiAGwAZQAgAEEALgAxAC4ANwAuADQAOgAgAFAAbwB1AGwAdAByAHkAIAAtACAATQBDAEYAcwBcACIAKQA7AFwAbgBcAG4AUwBvAHUAcgBjAGUARABhAHQAYQBfAFAAbwB1AGwAdAByAHkAXwBNAEMARg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4AIABTAE8AVQBSAEMARQA6AFwAIgA7AFwAbgAgACAAIAAgACAAIAAgACAAIAAgAFwAIgBTAHAAbABpAHQAIABOAFMAVwAgAGEAbgBkACAAQQBDAFQAIABpAG4AdABvACAAcwBlAHAAYQByAGEAdABlACAAcwB0AGEAdABlAHMALgAgAFMAcABsAGkAdAAgAFEATABEACAAYQBuAGQAIABOAFQAIABpAG4AdABvACAAcwBlAHAAYQByAGEAdABlACAAcwB0AGEAdABlAHMALgBcACIAOwBcAG4AIAAgACAAIAAgACAAIAAgACAAIABcACIASQBuAGMAbAB1AGQAZQBkACAAdgBhAGwAdQBlAHMAIABmAG8AcgAgAGUAYQBjAGgAIABzAHQAYQB0AGUAIAB3AGgAZQBuACAAJwBBAGwAbAAgAHMAdABhAHQAZQBzACcAIAB2AGEAbAB1AGUAIABpAHMAIABnAGkAdgBlAG4ALgBcACIAOwBcAG4AIAAgACAAIAAgACAAIAAgACAAIABcACIAQQBkAGQAZQBkACAAJwBOAEkAUgAgAGQAZQBmAGkAbgBpAHQAaQBvAG4AJwAgAGMAbwBsAHUAbQBuACAAdwBpAHQAaAAgAE0ATQBTACAAbgBhAG0AZQBzACAAdABoAGEAdAAgAG0AYQB0AGMAaAAgAE4ASQBSACAAZABlAGYAaQBuAGkAdABpAG8AbgBzAC4AXAAiADsAXABuACAAIAAgACAAIAAgACAAIAAgACAAXAAiAEQAdQBwAGwAaQBjAGEAdABlAGQAIAAnAFAAbwB1AGwAdAByAHkAIABtAGEAbgB1AHIAZQAgAHcAaQB0AGgAbwB1AHQAIABsAGkAdAB0AGUAcgAnACAAcgBvAHcAIABmAG8AcgAgAE4ASQBSACAATQBNAFMAIAAnAEIAZQBsAHQAIABtAGEAbgB1AHIAZQAgAHIAZQBtAG8AdgBhAGwAJwAgAGEAbgBkACAAJwBNAGEAbgB1AHIAZQAgAHMAdABvAHIAZQBkACAAaQBuACAAaABvAHUAcwBlACcAXAAiAFwAbgAgACAAIAAgACAAIAAgACAAfQAsACAAcgAsACAAYwApAFwAbgAgACAAIAAgACAAIAApAFwAbgAgACAAIAAgACkAXABuACAAIAApADsAXABuAFwAbgBTAG8AdQByAGMAZQBEAGEAdABhAF8AUABvAHUAbAB0AHIAeQBfAE0AQwBGAF8ARABhAHQAYQBcAG4AIAAgAD0ATABBAE0AQgBEAEEAKABcAG4AIAAgACAAIABNAEEASwBFAEEAUgBSAEEAWQAoADEAMAAsACAAMQAxACwAIABcAG4AIAAgACAAIAAgACAATABBAE0AQgBEAEEAKAByACwAYwAsACAAXABuACAAIAAgACAAIAAgACAAIABJAE4ARABFAFgAKAB7AFwAbgAgACAAIAAgACAAIAAgACAAIAAgAFwAIgBNAE0AUwAgAG0AXAAiACwAIABcACIAQQBsAGwAIABzAHQAYQB0AGUAcwBcACIALAAgAFwAIgBOAFMAVwBcACIALAAgAFwAIgBBAEMAVABcACIALAAgAFwAIgBRAEwARABcACIALAAgAFwAIgBOAFQAXAAiACwAIABcACIAVgBJAEMAXAAiACwAIABcACIAUwBBAFwAIgAsACAAXAAiAFcAQQBcACIALAAgAFwAIgBUAEEAUwBcACIALAAgAFwAIgBOAEkAUgAgAGQAZQBmAGkAbgBpAHQAaQBvAG4AXAAiADsAXABuACAAIAAgACAAIAAgACAAIAAgACAAXAAiAFAAbwB1AGwAdAByAHkAIABtAGEAbgB1AHIAZQAgAHcAaQB0AGgAIABsAGkAdAB0AGUAcgBcACIALAAgADAALgAwADEANQAsACAAMAAuADAAMQA1ACwAIAAwAC4AMAAxADUALAAgADAALgAwADEANQAsACAAMAAuADAAMQA1ACwAIAAwAC4AMAAxADUALAAgADAALgAwADEANQAsACAAMAAuADAAMQA1ACwAIAAwAC4AMAAxADUALAAgAFwAIgBQAG8AdQBsAHQAcgB5ACAAbQBhAG4AdQByAGUAIAB3AGkAdABoACAAYgBlAGQAZABpAG4AZwBcACIAOwAgAFwAbgAgACAAIAAgACAAIAAgACAAIAAgAFwAIgBQAG8AdQBsAHQAcgB5ACAAbQBhAG4AdQByAGUAIAB3AGkAdABoAG8AdQB0ACAAbABpAHQAdABlAHIAXAAiACwAIAAwAC4AMAAxADUALAAgADAALgAwADEANQAsACAAMAAuADAAMQA1ACwAIAAwAC4AMAAxADUALAAgADAALgAwADEANQAsACAAMAAuADAAMQA1ACwAIAAwAC4AMAAxADUALAAgADAALgAwADEANQAsACAAMAAuADAAMQA1ACwAIABcACIAQgBlAGwAdAAgAG0AYQBuAHUAcgBlACAAcgBlAG0AbwB2AGEAbABcACIAOwBcAG4AIAAgACAAIAAgACAAIAAgACAAIABcACIAUABvAHUAbAB0AHIAeQAgAG0AYQBuAHUAcgBlACAAdwBpAHQAaABvAHUAdAAgAGwAaQB0AHQAZQByAFwAIgAsACAAMAAuADAAMQA1ACwAIAAwAC4AMAAxADUALAAgADAALgAwADEANQAsACAAMAAuADAAMQA1ACwAIAAwAC4AMAAxADUALAAgADAALgAwADEANQAsACAAMAAuADAAMQA1ACwAIAAwAC4AMAAxADUALAAgADAALgAwADEANQAsACAAXAAiAE0AYQBuAHUAcgBlACAAcwB0AG8AcgBlAGQAIABpAG4AIABoAG8AdQBzAGUAXAAiADsAXABuACAAIAAgACAAIAAgACAAIAAgACAAXAAiAFAAYQBzAHQAdQByAGUAIAByAGEAbgBnAGUAIABhAG4AZAAgAHAAYQBkAGQAbwBjAGsAXAAiACwAIABcACIAbgAvAGEAXAAiACwAIAAwAC4AMAAxACwAIAAwAC4AMAAxACwAIAAwAC4AMAAzACwAIAAwAC4AMAAzACwAIAAwAC4AMAAxACwAIAAwAC4AMAAxACwAIAAwAC4AMAAxACwAIAAwAC4AMAAxACwAIABcACIAUABhAHMAdAB1AHIAZQAgAHIAYQBuAGcAZQAgAGEAbgBkACAAcABhAGQAZABvAGMAawBcACIAOwBcAG4AIAAgACAAIAAgACAAIAAgACAAIABcACIAUwBvAGwAaQBkACAAcwB0AG8AcgBhAGcAZQBcACIALAAgADAALgAwADIALAAgADAALgAwADIALAAgADAALgAwADIALAAgADAALgAwADIALAAgADAALgAwADIALAAgADAALgAwADIALAAgADAALgAwADIALAAgADAALgAwADIALAAgADAALgAwADIALAAgAFwAIgBTAG8AbABpAGQAIABzAHQAbwByAGEAZwBlAFwAIgA7AFwAbgAgACAAIAAgACAAIAAgACAAIAAgAFwAIgBDAG8AbQBwAG8AcwB0AGkAbgBnACAAKABwAGEAcwBzAGkAdgBlACAAdwBpAG4AZAByAG8AdwApAFwAIgAsACAAXAAiAG4ALwBhAFwAIgAsACAAMAAuADAAMQAsACAAMAAuADAAMQAsACAAMAAuADAAMQAsACAAMAAuADAAMQAsACAAMAAuADAAMQAsACAAMAAuADAAMQAsACAAMAAuADAAMQAsACAAMAAuADAAMAA1ACwAIABcACIAQwBvAG0AcABvAHMAdABpAG4AZwAgACgAcABhAHMAcwBpAHYAZQAgAHcAaQBuAGQAcgBvAHcAKQBcACIAOwBcAG4AIAAgACAAIAAgACAAIAAgACAAIABcACIAQQBuAGEAZQByAG8AYgBpAGMAIABkAGkAZwBlAHMAdABlAHIAIAAvACAAQwBvAHYAZQByAGUAZAAgAHAAbwBuAGQAXAAiACwAIAAwAC4AMQAsACAAMAAuADEALAAgADAALgAxACwAIAAwAC4AMQAsACAAMAAuADEALAAgADAALgAxACwAIAAwAC4AMQAsACAAMAAuADEALAAgADAALgAxACwAIABcACIARABpAGcAZQBzAHQAZQByACAALwAgAGMAbwB2AGUAcgBlAGQAIABsAGEAZwBvAG8AbgBzAFwAIgA7AFwAbgAgACAAIAAgACAAIAAgACAAIAAgAFwAIgBEAGkAcgBlAGMAdAAgAHAAcgBvAGMAZQBzAHMAaQBuAGcAXAAiACwAIAAwACwAIAAwACwAIAAwACwAIAAwACwAIAAwACwAIAAwACwAIAAwACwAIAAwACwAIAAwACwAIABcACIARABpAHIAZQBjAHQAIABwAHIAbwBjAGUAcwBzAGkAbgBnAFwAIgA7AFwAbgAgACAAIAAgACAAIAAgACAAIAAgAFwAIgBEAGkAcgBlAGMAdAAgAGEAcABwAGwAaQBjAGEAdABpAG8AbgAgAHQAbwAgAHMAbwBpAGwAXAAiACwAIAAwACwAIAAwACwAIAAwACwAIAAwACwAIAAwACwAIAAwACwAIAAwACwAIAAwACwAIAAwACwAIABcACIARABpAHIAZQBjAHQAIABhAHAAcABsAGkAYwBhAHQAaQBvAG4AXAAiAFwAbgAgACAAIAAgACAAIAAgACAAfQAsACAAcgAsACAAYwApAFwAbgAgACAAIAAgACAAIAApAFwAbgAgACAAIAAgACkAXABuACAAIAApADsAXABuAFwAbgBTAG8AdQByAGMAZQBEAGEAdABhAF8AUABvAHUAbAB0AHIAeQBfAE0AQwBGAF8ATgBvAHQAZQBzAFwAbgAgACAAPQBMAEEATQBCAEQAQQAoAFwAIgAnAFAAYQBzAHQAdQByAGUAIAByAGEAbgBnAGUAIABhAG4AZAAgAHAAYQBkAGQAbwBjAGsAJwAgAGEAcABwAGwAaQBlAHMAIABNAEMARgAgAGYAbwByACAAZAByAHkAbABvAHQALgBcACIAKQA7AFwAbgBcAG4AXABuAC8AKgAgAFwAbgAtAC0ALQAtAC0ALQAtAC0ALQAtAC0ALQAtAC0ALQAtAC0ALQAtAC0ALQAtAC0ALQAtAC0ALQAtAC0ALQAtAC0ALQAtAC0ALQAtAC0AXABuAFMAbwB1AHIAYwBlAEQAYQB0AGEAXwBQAG8AdQBsAHQAcgB5AF8ATQBlAHQAaABhAG4AZQBFAG0AaQBzAHMAaQBvAG4AcwBQAG8AdABlAG4AdABpAGEAbABcAG4ATQBlAHQAaABhAG4AZQAgAGUAbQBpAHMAcwBpAG8AbgBzACAAcABvAHQAZQBuAHQAaQBhAGwAIABwAGUAcgAgAHAAbwB1AGwAdAByAHkAIABjAGwAYQBzAHMAXABuAC0ALQAtAC0ALQAtAC0ALQAtAC0ALQAtAC0ALQAtAC0ALQAtAC0ALQAtAC0ALQAtAC0ALQAtAC0ALQAtAC0ALQAtAC0ALQAtAC0ALQBcAG4AKgAvAFwAbgBcAG4AUwBvAHUAcgBjAGUARABhAHQAYQBfAFAAbwB1AGwAdAByAHkAXwBNAGUAdABoAGEAbgBlAEUAbQBpAHMAcwBpAG8AbgBzAFAAbwB0AGUAbgB0AGkAYQBsAF8AVABpAHQAbABlAFwAbgAgACAAPQBMAEEATQBCAEQAQQAoAFwAIgBQAG8AdQBsAHQAcgB5ACAALQAgAE0AZQB0AGgAYQBuAGUAIABlAG0AaQBzAHMAaQBvAG4AcwAgAHAAbwB0AGUAbgB0AGkAYQBsACAAcABlAHIAIABjAGwAYQBzAHMAXAAiACkAOwBcAG4AXABuAFMAbwB1AHIAYwBlAEQAYQB0AGEAXwBQAG8AdQBsAHQAcgB5AF8ATQBlAHQAaABhAG4AZQBFAG0AaQBzAHMAaQBvAG4AcwBQAG8AdABlAG4AdABpAGEAbABfAFUAbgBpAHQAXABuACAAIAA9AEwAQQBNAEIARABBACgAXAAiAG0AMwAgAEMASAA0AC8AawBnACAAVgBTAFwAIgApADsAXABuAFwAbgBTAG8AdQByAGMAZQBEAGEAdABhAF8AUABvAHUAbAB0AHIAeQBfAE0AZQB0AGgAYQBuAGUARQBtAGkAcwBzAGkAbwBuAHMAUABvAHQAZQBuAHQAaQBhAGwAXwBTAG8AdQByAGMAZQBcAG4AIAAgAD0ATABBAE0AQgBEAEEAKABcACIAVgBFAEUAUgBHACAAMgAwADIANgA6ACAANAAuADYALgAyAC4AMwAgAEMATwBOAFMAVABBAE4AVAA6ACAAUABvAHUAbAB0AHIAeQAgAC0AIABNAGUAdABoAGEAbgBlACAAZQBtAGkAcwBzAGkAbwBuAHMAIABwAG8AdABlAG4AdABpAGEAbAAgAHAAZQByACAAYwBsAGEAcwBzAFwAIgApADsAXABuAFwAbgBTAG8AdQByAGMAZQBEAGEAdABhAF8AUABvAHUAbAB0AHIAeQBfAE0AZQB0AGgAYQBuAGUARQBtAGkAcwBzAGkAbwBuAHMAUABvAHQAZQBuAHQAaQBhAGwAXwBWAGEAcgBpAGEAdABpAG8AbgBcAG4AIAAgAD0ATABBAE0AQgBEAEEAKABcACIAXAAiACkAOwBcAG4AXABuAFMAbwB1AHIAYwBlAEQAYQB0AGEAXwBQAG8AdQBsAHQAcgB5AF8ATQBlAHQAaABhAG4AZQBFAG0AaQBzAHMAaQBvAG4AcwBQAG8AdABlAG4AdABpAGEAbABfAEQAYQB0AGEAXABuACAAIAA9AEwAQQBNAEIARABBACgAXABuACAAIAAgACAATQBBAEsARQBBAFIAUgBBAFkAKAAzACwAIAAyACwAIABcAG4AIAAgACAAIAAgACAATABBAE0AQgBEAEEAKAByACwAYwAsACAAXABuACAAIAAgACAAIAAgACAAIABJAE4ARABFAFgAKAB7AFwAbgAgACAAIAAgACAAIAAgACAAIAAgAFwAIgBQAG8AdQBsAHQAcgB5ACAAYwBsAGEAcwBzAFwAIgAsACAAXAAiAEIAMABcACIAOwBcAG4AIAAgACAAIAAgACAAIAAgACAAIABcACIATABhAHkAZQByAHMAXAAiACwAIAAwAC4AMwA5ADsAIABcAG4AIAAgACAAIAAgACAAIAAgACAAIABcACIATQBlAGEAdAAgAGMAaABpAGMAawBlAG4AcwBcACIALAAgADAALgAzADYAXABuACAAIAAgACAAIAAgACAAIAB9ACwAIAByACwAIABjACkAXABuACAAIAAgACAAIAAgACkAXABuACAAIAAgACAAKQBcAG4AIAAgACkAOwBcAG4AXABuAC8AKgAgAFwAbgAtAC0ALQAtAC0ALQAtAC0ALQAtAC0ALQAtAC0ALQAtAC0ALQAtAC0ALQAtAC0ALQAtAC0ALQAtAC0ALQAtAC0ALQAtAC0ALQAtAC0AXABuAFMAbwB1AHIAYwBlAEQAYQB0AGEAXwBQAG8AdQBsAHQAcgB5AF8AUAByAG8AZAB1AGMAdABpAG8AbgBTAHkAcwB0AGUAbQBzAFwAbgBQAG8AdQBsAHQAcgB5ACAAcAByAG8AZAB1AGMAdABpAG8AbgAgAHMAeQBzAHQAZQBtAHMAXABuAC0ALQAtAC0ALQAtAC0ALQAtAC0ALQAtAC0ALQAtAC0ALQAtAC0ALQAtAC0ALQAtAC0ALQAtAC0ALQAtAC0ALQAtAC0ALQAtAC0ALQBcAG4AKgAvAFwAbgBcAG4AUwBvAHUAcgBjAGUARABhAHQAYQBfAFAAbwB1AGwAdAByAHkAXwBQAHIAbwBkAHUAYwB0AGkAbwBuAFMAeQBzAHQAZQBtAHMAXwBUAGkAdABsAGUAXABuACAAIAA9AEwAQQBNAEIARABBACgAXAAiAFAAbwB1AGwAdAByAHkAIAAtACAAUAByAG8AZAB1AGMAdABpAG8AbgAgAHMAeQBzAHQAZQBtAHMAXAAiACkAOwBcAG4AXABuAFMAbwB1AHIAYwBlAEQAYQB0AGEAXwBQAG8AdQBsAHQAcgB5AF8AUAByAG8AZAB1AGMAdABpAG8AbgBTAHkAcwB0AGUAbQBzAF8AVQBuAGkAdABcAG4AIAAgAD0ATABBAE0AQgBEAEEAKABcACIAXAAiACkAOwBcAG4AXABuAFMAbwB1AHIAYwBlAEQAYQB0AGEAXwBQAG8AdQBsAHQAcgB5AF8AUAByAG8AZAB1AGMAdABpAG8AbgBTAHkAcwB0AGUAbQBzAF8AUwBvAHUAcgBjAGUAXABuACAAIAA9AEwAQQBNAEIARABBACgAXAAiAFYARQBFAFIARwAgADIAMAAyADYAOgAgADQALgA2ACAAUABvAHUAbAB0AHIAeQBcACIAKQA7AFwAbgBcAG4AUwBvAHUAcgBjAGUARABhAHQAYQBfAFAAbwB1AGwAdAByAHkAXwBQAHIAbwBkAHUAYwB0AGkAbwBuAFMAeQBzAHQAZQBtAHMAXwBWAGEAcgBpAGEAdABpAG8AbgBcAG4AIAAgAD0ATABBAE0AQgBEAEEAKABcACIAXAAiACkAOwBcAG4AXABuAFMAbwB1AHIAYwBlAEQAYQB0AGEAXwBQAG8AdQBsAHQAcgB5AF8AUAByAG8AZAB1AGMAdABpAG8AbgBTAHkAcwB0AGUAbQBzAF8ARABhAHQAYQBcAG4AIAAgAD0ATABBAE0AQgBEAEEAKABcAG4AIAAgACAAIABNAEEASwBFAEEAUgBSAEEAWQAoADQALAAgADEALAAgAFwAbgAgACAAIAAgACAAIABMAEEATQBCAEQAQQAoAHIALABjACwAIABcAG4AIAAgACAAIAAgACAAIAAgAEkATgBEAEUAWAAoAHsAXABuACAAIAAgACAAIAAgACAAIAAgACAAXAAiAFAAcgBvAGQAdQBjAHQAaQBvAG4AIABzAHkAcwB0AGUAbQBcACIAOwBcAG4AIAAgACAAIAAgACAAIAAgACAAIABcACIARgByAGUAZQAgAHIAYQBuAGcAZQBcACIAOwAgAFwAbgAgACAAIAAgACAAIAAgACAAIAAgAFwAIgBCAGEAcgBuAFwAIgA7AFwAbgAgACAAIAAgACAAIAAgACAAIAAgAFwAIgBDAGEAZwBlAFwAIgBcAG4AIAAgACAAIAAgACAAIAAgAH0ALAAgAHIALAAgAGMAKQBcAG4AIAAgACAAIAAgACAAKQBcAG4AIAAgACAAIAApAFwAbgAgACAAKQA7AFwAbgBcAG4AXABuAC8AKgAgAFwAbgAtAC0ALQAtAC0ALQAtAC0ALQAtAC0ALQAtAC0ALQAtAC0ALQAtAC0ALQAtAC0ALQAtAC0ALQAtAC0ALQAtAC0ALQAtAC0ALQAtAC0AXABuAFMAbwB1AHIAYwBlAEQAYQB0AGEAXwBQAG8AdQBsAHQAcgB5AF8AVgBTAEwAXABuAEYAcgBhAGMAdABpAG8AbgAgAG8AZgAgAHYAbwBsAGEAdABpAGwAZQAgAHMAbwBsAGkAZABzACAAbABvAHMAdAAgAGkAbgAgAHQAaABlACAAcAByAGkAbQBhAHIAeQAgAE0ATQBTAFwAbgAtAC0ALQAtAC0ALQAtAC0ALQAtAC0ALQAtAC0ALQAtAC0ALQAtAC0ALQAtAC0ALQAtAC0ALQAtAC0ALQAtAC0ALQAtAC0ALQAtAC0AXABuACoALwBcAG4AXABuAFMAbwB1AHIAYwBlAEQAYQB0AGEAXwBQAG8AdQBsAHQAcgB5AF8AVgBTAEwAXwBUAGkAdABsAGUAXABuACAAIAA9AEwAQQBNAEIARABBACgAXAAiAFAAbwB1AGwAdAByAHkAIAAtACAARgByAGEAYwB0AGkAbwBuACAAbwBmACAAdgBvAGwAYQB0AGkAbABlACAAcwBvAGwAaQBkAHMAIABsAG8AcwB0ACAAaQBuACAAdABoAGUAIABwAHIAaQBtAGEAcgB5ACAATQBNAFMAXAAiACkAOwBcAG4AXABuAFMAbwB1AHIAYwBlAEQAYQB0AGEAXwBQAG8AdQBsAHQAcgB5AF8AVgBTAEwAXwBVAG4AaQB0AFwAbgAgACAAPQBMAEEATQBCAEQAQQAoAFwAIgBcACIAKQA7AFwAbgBcAG4AUwBvAHUAcgBjAGUARABhAHQAYQBfAFAAbwB1AGwAdAByAHkAXwBWAFMATABfAFMAbwB1AHIAYwBlAFwAbgAgACAAPQBMAEEATQBCAEQAQQAoAFwAIgBWAEUARQBSAEcAIAAyADAAMgA2ADoAIAA0AC4ANgAuADIALgAzACAAQwBPAE4AUwBUAEEATgBUAFwAIgApADsAXABuAFwAbgBTAG8AdQByAGMAZQBEAGEAdABhAF8AUABvAHUAbAB0AHIAeQBfAFYAUwBMAF8AVgBhAHIAaQBhAHQAaQBvAG4AXABuACAAIAA9AEwAQQBNAEIARABBACgAXAAiAFYAQQBSAEkAQQBUAEkATwBOACAATwBOACAAUwBPAFUAUgBDAEUAOgAgAFQAYQBiAGwAZQAgAGcAZQBuAGUAcgBhAHQAZQBkACAAZgByAG8AbQAgAGwAaQBuAGUAIABpAHQAZQBtAHMALgAgAEEAZABkAGUAZAAgACcATgBJAFIAIABkAGUAZgBpAG4AaQB0AGkAbwBuACAAYwBvAGwAdQBtAG4AJwAuAFwAIgApADsAXABuAFwAbgBTAG8AdQByAGMAZQBEAGEAdABhAF8AUABvAHUAbAB0AHIAeQBfAFYAUwBMAF8ARABhAHQAYQBcAG4AIAAgAD0ATABBAE0AQgBEAEEAKABcAG4AIAAgACAAIABNAEEASwBFAEEAUgBSAEEAWQAoADQALAAgADMALAAgAFwAbgAgACAAIAAgACAAIABMAEEATQBCAEQAQQAoAHIALABjACwAIABcAG4AIAAgACAAIAAgACAAIAAgAEkATgBEAEUAWAAoAHsAXABuACAAIAAgACAAIAAgACAAIAAgACAAXAAiAE0ATQBTAFwAIgAsACAAXAAiAFYAUwBMAFwAIgAsACAAXAAiAE4ASQBSACAAZABlAGYAaQBuAGkAdABpAG8AbgBcACIAOwBcAG4AIAAgACAAIAAgACAAIAAgACAAIABcACIAUABvAHUAbAB0AHIAeQAgAG0AYQBuAHUAcgBlACAAdwBpAHQAaAAgAGwAaQB0AHQAZQByAFwAIgAsACAAMAAuADEANQAsACAAXAAiAFAAbwB1AGwAdAByAHkAIABtAGEAbgB1AHIAZQAgAHcAaQB0AGgAIABiAGUAZABkAGkAbgBnAFwAIgA7AFwAbgAgACAAIAAgACAAIAAgACAAIAAgAFwAIgBQAG8AdQBsAHQAcgB5ACAAbQBhAG4AdQByAGUAIAB3AGkAdABoAG8AdQB0ACAAbABpAHQAdABlAHIAIAAtACAAcwB0AG8AcgBlAGQAIABpAG4AIABoAG8AdQBzAGUAXAAiACwAIAAwAC4AMgAsACAAXAAiAE0AYQBuAHUAcgBlACAAcwB0AG8AcgBlAGQAIABpAG4AIABoAG8AdQBzAGUAXAAiADsAXABuACAAIAAgACAAIAAgACAAIAAgACAAXAAiAFAAbwB1AGwAdAByAHkAIABtAGEAbgB1AHIAZQAgAHcAaQB0AGgAbwB1AHQAIABsAGkAdAB0AGUAcgAgAC0AIABiAGUAbAB0ACAAcgBlAG0AbwB2AGEAbABcACIALAAgADAALAAgAFwAIgBCAGUAbAB0ACAAbQBhAG4AdQByAGUAIAByAGUAbQBvAHYAYQBsAFwAIgBcAG4AIAAgACAAIAAgACAAIAAgAH0ALAAgAHIALAAgAGMAKQBcAG4AIAAgACAAIAAgACAAKQBcAG4AIAAgACAAIAApAFwAbgAgACAAKQA7AFwAbgBcAG4AXABuAFwAbgAvACoAIABcAG4ALQAtAC0ALQAtAC0ALQAtAC0ALQAtAC0ALQAtAC0ALQAtAC0ALQAtAC0ALQAtAC0ALQAtAC0ALQAtAC0ALQAtAC0ALQAtAC0ALQAtAFwAbgBTAG8AdQByAGMAZQBEAGEAdABhAF8AUABvAHUAbAB0AHIAeQBfAEYAcgBhAGMARwBBAFMATQBtAFQAXABuAFQAYQBiAGwAZQAgAEEALgAxAC4ANwAuADIAOgAgAFAAbwB1AGwAdAByAHkAIAAtACAARgByAGEAYwB0AGkAbwBuACAAbwBmACAATgAgAHYAbwBsAGEAdABpAGwAaQBzAGUAZAAgAGIAeQAgAE0ATQBTACAAKAAoAGsAZwAgAE4ASAAzAC0ATgAgACsAIABOAE8AeAAtAE4AKQAvAGsAZwBOACkAIAAoAEYAcgBhAGMARwBBAFMATQBtAFQAKQBcAG4ALQAtAC0ALQAtAC0ALQAtAC0ALQAtAC0ALQAtAC0ALQAtAC0ALQAtAC0ALQAtAC0ALQAtAC0ALQAtAC0ALQAtAC0ALQAtAC0ALQAtAFwAbgAqAC8AXABuAFwAbgBTAG8AdQByAGMAZQBEAGEAdABhAF8AUABvAHUAbAB0AHIAeQBfAEYAcgBhAGMARwBBAFMATQBtAFQAXwBUAGkAdABsAGUAXABuACAAIAA9AEwAQQBNAEIARABBACgAXAAiAFAAbwB1AGwAdAByAHkAIAAtACAARgByAGEAYwB0AGkAbwBuACAAbwBmACAATgAgAHYAbwBsAGEAdABpAGwAaQBzAGUAZAAgAGIAeQAgAE0ATQBTACAAKAAoAGsAZwAgAE4ASAAzAC0ATgAgACsAIABOAE8AeAAtAE4AKQAvAGsAZwBOACkAIAAoAEYAcgBhAGMARwBBAFMATQBtAFQAKQBcACIAKQA7AFwAbgBcAG4AUwBvAHUAcgBjAGUARABhAHQAYQBfAFAAbwB1AGwAdAByAHkAXwBGAHIAYQBjAEcAQQBTAE0AbQBUAF8AVQBuAGkAdABcAG4AIAAgAD0ATABBAE0AQgBEAEEAKABcACIAKABrAGcAIABOAEgAMwAtAE4AIAArACAATgBPAHgALQBOACkALwBrAGcATgBcACIAKQA7AFwAbgBcAG4AUwBvAHUAcgBjAGUARABhAHQAYQBfAFAAbwB1AGwAdAByAHkAXwBGAHIAYQBjAEcAQQBTAE0AbQBUAF8AUwBvAHUAcgBjAGUAXABuACAAIAA9AEwAQQBNAEIARABBACgAXAAiAFYARQBFAFIARwAgADIAMAAyADYAOgAgAFQAYQBiAGwAZQAgAEEALgAxAC4ANwAuADIAXAAiACkAOwBcAG4AXABuAFMAbwB1AHIAYwBlAEQAYQB0AGEAXwBQAG8AdQBsAHQAcgB5AF8ARgByAGEAYwBHAEEAUwBNAG0AVABfAFYAYQByAGkAYQB0AGkAbwBuAFwAbgAgACAAPQBMAEEATQBCAEQAQQAoAFwAIgBWAEEAUgBJAEEAVABJAE8ATgAgAE8ATgAgAFMATwBVAFIAQwBFADoAIABBAGQAZABlAGQAIAAnAE4ASQBSACAAZABlAGYAaQBuAGkAdABpAG8AbgAgAGMAbwBsAHUAbQBuACcALgBcACIAKQA7AFwAbgBcAG4AUwBvAHUAcgBjAGUARABhAHQAYQBfAFAAbwB1AGwAdAByAHkAXwBGAHIAYQBjAEcAQQBTAE0AbQBUAF8ARABhAHQAYQBcAG4AIAAgAD0ATABBAE0AQgBEAEEAKABcAG4AIAAgACAAIABNAEEASwBFAEEAUgBSAEEAWQAoADgALAAgADMALAAgAFwAbgAgACAAIAAgACAAIABMAEEATQBCAEQAQQAoAHIALABjACwAIABcAG4AIAAgACAAIAAgACAAIAAgAEkATgBEAEUAWAAoAHsAXABuACAAIAAgACAAIAAgACAAIAAgACAAXAAiAE0ATQBTACAAbQBcACIALAAgAFwAIgBGAHIAYQBjAEcAQQBTAE0AbQBUAFwAIgAsACAAXAAiAE4ASQBSACAAcgBlAGYAZQByAGUAbgBjAGUAXAAiADsAXABuACAAIAAgACAAIAAgACAAIAAgACAAXAAiAFAAbwB1AGwAdAByAHkAIABtAGEAbgB1AHIAZQAgAHcAaQB0AGgAIABsAGkAdAB0AGUAcgAgACgAaABvAHUAcwBpAG4AZwApAFwAIgAsACAAMAAuADMALAAgAFwAIgBQAG8AdQBsAHQAcgB5ACAAbQBhAG4AdQByAGUAIAB3AGkAdABoACAAYgBlAGQAZABpAG4AZwBcACIAOwBcAG4AIAAgACAAIAAgACAAIAAgACAAIABcACIAUABvAHUAbAB0AHIAeQAgAG0AYQBuAHUAcgBlACAAdwBpAHQAaABvAHUAdAAgAGwAaQB0AHQAZQByACAAKABoAG8AdQBzAGkAbgBnACkAIABCAGUAbAB0ACAAbQBhAG4AdQByAGUAIAByAGUAbQBvAHYAYQBsAFwAIgAsACAAMAAuADAANQAsACAAXAAiAEIAZQBsAHQAIABtAGEAbgB1AHIAZQAgAHIAZQBtAG8AdgBhAGwAXAAiADsAXABuACAAIAAgACAAIAAgACAAIAAgACAAXAAiAFAAbwB1AGwAdAByAHkAIABtAGEAbgB1AHIAZQAgAHcAaQB0AGgAbwB1AHQAIABsAGkAdAB0AGUAcgAgACgAaABvAHUAcwBpAG4AZwApACAATQBhAG4AdQByAGUAIABzAHQAbwByAGUAZAAgAGkAbgAgAGgAbwB1AHMAZQAgAHUAbgBkAGUAcgAgAGMAYQBnAGUAcwAgAG8AcgAgAHMAbABhAHQAXAAiACwAIAAwAC4ANAAsACAAXAAiAE0AYQBuAHUAcgBlACAAcwB0AG8AcgBlAGQAIABpAG4AIABoAG8AdQBzAGUAXAAiADsAXABuACAAIAAgACAAIAAgACAAIAAgACAAXAAiAFMAbwBsAGkAZAAgAHMAdABvAHIAYQBnAGUAIAAoAHMAdABvAGMAawBwAGkAbABlACkAXAAiACwAIAAwAC4AMgAsACAAXAAiAFMAbwBsAGkAZAAgAHMAdABvAHIAYQBnAGUAXAAiADsAXABuACAAIAAgACAAIAAgACAAIAAgACAAXAAiAEMAbwBtAHAAbwBzAHQAaQBuAGcAIAAoAHAAYQBzAHMAaQB2AGUAIAB3AGkAbgBkAHIAbwB3ACkAXAAiACwAIAAwAC4AMgAsACAAXAAiAEMAbwBtAHAAbwBzAHQAaQBuAGcAIAAoAHAAYQBzAHMAaQB2AGUAIAB3AGkAbgBkAHIAbwB3ACkAXAAiADsAXABuACAAIAAgACAAIAAgACAAIAAgACAAXAAiAEQAaQByAGUAYwB0ACAAcAByAG8AYwBlAHMAcwBpAG4AZwBcACIALAAgADAALAAgAFwAIgBEAGkAcgBlAGMAdAAgAHAAcgBvAGMAZQBzAHMAaQBuAGcAXAAiADsAXABuACAAIAAgACAAIAAgACAAIAAgACAAXAAiAEEAbgBhAGUAcgBvAGIAaQBjACAAZABpAGcAZQBzAHQAZQByACAALwAgAGMAbwB2AGUAcgBlAGQAIABwAG8AbgBkAFwAIgAsACAAMAAsACAAXAAiAEQAaQBnAGUAcwB0AGUAcgAgAC8AIABjAG8AdgBlAHIAZQBkACAAbABhAGcAbwBvAG4AcwBcACIAXABuACAAIAAgACAAIAAgACAAIAB9ACwAIAByACwAIABjACkAXABuACAAIAAgACAAIAAgACkAXABuACAAIAAgACAAKQBcAG4AIAAgACkAOwBcAG4AXABuAFwAbgAvACoAIABcAG4ALQAtAC0ALQAtAC0ALQAtAC0ALQAtAC0ALQAtAC0ALQAtAC0ALQAtAC0ALQAtAC0ALQAtAC0ALQAtAC0ALQAtAC0ALQAtAC0ALQAtAFwAbgBTAG8AdQByAGMAZQBEAGEAdABhAF8AUABvAHUAbAB0AHIAeQBfAEUARgBtAFQAXABuAFQAYQBiAGwAZQAgAEEALgAxAC4ANwAuADMAOgAgAFAAbwB1AGwAdAByAHkAIAAtACAATgBpAHQAcgBvAHUAcwAgAG8AeABpAGQAZQAgAEUARgBzACAAYgB5ACAATQBNAFMAIAAoAGsAZwBOADIATwAtAE4ALwBrAGcATgApACAAKABFAEYAbQBUACkAXABuAC0ALQAtAC0ALQAtAC0ALQAtAC0ALQAtAC0ALQAtAC0ALQAtAC0ALQAtAC0ALQAtAC0ALQAtAC0ALQAtAC0ALQAtAC0ALQAtAC0ALQBcAG4AKgAvAFwAbgBcAG4AUwBvAHUAcgBjAGUARABhAHQAYQBfAFAAbwB1AGwAdAByAHkAXwBFAEYAbQBUAF8AVABpAHQAbABlAFwAbgAgACAAPQBMAEEATQBCAEQAQQAoAFwAIgBQAG8AdQBsAHQAcgB5ACAALQAgAE4AaQB0AHIAbwB1AHMAIABvAHgAaQBkAGUAIABFAEYAcwAgAGIAeQAgAE0ATQBTACAAKABrAGcATgAyAE8ALQBOAC8AawBnAE4AKQAgACgARQBGAG0AVAApAFwAIgApADsAXABuAFwAbgBTAG8AdQByAGMAZQBEAGEAdABhAF8AUABvAHUAbAB0AHIAeQBfAEUARgBtAFQAXwBVAG4AaQB0AFwAbgAgACAAPQBMAEEATQBCAEQAQQAoAFwAIgBrAGcATgAyAE8AIAAtACAATgAgAC8AIABrAGcATgBcACIAKQA7AFwAbgBcAG4AUwBvAHUAcgBjAGUARABhAHQAYQBfAFAAbwB1AGwAdAByAHkAXwBFAEYAbQBUAF8AUwBvAHUAcgBjAGUAXABuACAAIAA9AEwAQQBNAEIARABBACgAXAAiAFYARQBFAFIARwAgADIAMAAyADYAOgAgAFQAYQBiAGwAZQAgAEEALgAxAC4ANwAuADMAXAAiACkAOwBcAG4AXABuAFMAbwB1AHIAYwBlAEQAYQB0AGEAXwBQAG8AdQBsAHQAcgB5AF8ARQBGAG0AVABfAFYAYQByAGkAYQB0AGkAbwBuAFwAbgAgACAAPQBMAEEATQBCAEQAQQAoAFwAIgBWAEEAUgBJAEEAVABJAE8ATgAgAE8ATgAgAFMATwBVAFIAQwBFADoAIABBAGQAZABlAGQAIAAnAE4ASQBSACAAZABlAGYAaQBuAGkAdABpAG8AbgAgAGMAbwBsAHUAbQBuACcALgAgAEQAdQBwAGwAaQBjAGEAdABlAGQAIAAnAFAAbwB1AGwAdAByAHkAIABtAGEAbgB1AHIAZQAgAHcAaQB0AGgAbwB1AHQAIABsAGkAdAB0AGUAcgAnACAAcgBvAHcAIABmAG8AcgAgAE4ASQBSACAATQBNAFMAIAAnAEIAZQBsAHQAIABtAGEAbgB1AHIAZQAgAHIAZQBtAG8AdgBhAGwAJwAgAGEAbgBkACAAJwBNAGEAbgB1AHIAZQAgAHMAdABvAHIAZQBkACAAaQBuACAAaABvAHUAcwBlACcALgBcACIAKQA7AFwAbgBcAG4AUwBvAHUAcgBjAGUARABhAHQAYQBfAFAAbwB1AGwAdAByAHkAXwBFAEYAbQBUAF8ARABhAHQAYQBcAG4AIAAgAD0ATABBAE0AQgBEAEEAKABcAG4AIAAgACAAIABNAEEASwBFAEEAUgBSAEEAWQAoADkALAAgADMALAAgAFwAbgAgACAAIAAgACAAIABMAEEATQBCAEQAQQAoAHIALABjACwAIABcAG4AIAAgACAAIAAgACAAIAAgAEkATgBEAEUAWAAoAHsAXABuACAAIAAgACAAIAAgACAAIAAgACAAXAAiAE0ATQBTACAAbQBcACIALAAgAFwAIgBFAEYAbQBUAFwAIgAsACAAXAAiAE4ASQBSACAAcgBlAGYAZQByAGUAbgBjAGUAXAAiADsAXABuACAAIAAgACAAIAAgACAAIAAgACAAXAAiAFAAbwB1AGwAdAByAHkAIABtAGEAbgB1AHIAZQAgAHcAaQB0AGgAIABsAGkAdAB0AGUAcgAgACgAaABvAHUAcwBpAG4AZwApAFwAIgAsACAAMAAuADAAMAAxACwAIABcACIAUABvAHUAbAB0AHIAeQAgAG0AYQBuAHUAcgBlACAAdwBpAHQAaAAgAGIAZQBkAGQAaQBuAGcAXAAiADsAXABuACAAIAAgACAAIAAgACAAIAAgACAAXAAiAFAAbwB1AGwAdAByAHkAIABtAGEAbgB1AHIAZQAgAHcAaQB0AGgAbwB1AHQAIABsAGkAdAB0AGUAcgAgACgAaABvAHUAcwBpAG4AZwApAFwAIgAsACAAMAAuADAAMAAxACwAIABcACIAQgBlAGwAdAAgAG0AYQBuAHUAcgBlACAAcgBlAG0AbwB2AGEAbABcACIAOwBcAG4AIAAgACAAIAAgACAAIAAgACAAIABcACIAUABvAHUAbAB0AHIAeQAgAG0AYQBuAHUAcgBlACAAdwBpAHQAaABvAHUAdAAgAGwAaQB0AHQAZQByACAAKABoAG8AdQBzAGkAbgBnACkAXAAiACwAIAAwAC4AMAAwADEALAAgAFwAIgBNAGEAbgB1AHIAZQAgAHMAdABvAHIAZQBkACAAaQBuACAAaABvAHUAcwBlAFwAIgA7AFwAbgAgACAAIAAgACAAIAAgACAAIAAgAFwAIgBQAGEAcwB0AHUAcgBlACAAcgBhAG4AZwBlACAAYQBuAGQAIABwAGEAZABkAG8AYwBrACAAKABmAHIAZQBlACAAcgBhAG4AZwBlACkAXAAiACwAIAAwAC4AMAAyACwAIABcACIAUABhAHMAdAB1AHIAZQAgAHIAYQBuAGcAZQAgAGEAbgBkACAAcABhAGQAZABvAGMAawBcACIAOwBcAG4AIAAgACAAIAAgACAAIAAgACAAIABcACIAUwBvAGwAaQBkACAAcwB0AG8AcgBhAGcAZQAgACgAcwB0AG8AYwBrAHAAaQBsAGUAKQBcACIALAAgADAALgAwADAANQAsACAAXAAiAFMAbwBsAGkAZAAgAHMAdABvAHIAYQBnAGUAXAAiADsAXABuACAAIAAgACAAIAAgACAAIAAgACAAXAAiAEMAbwBtAHAAbwBzAHQAaQBuAGcAIAAoAHAAYQBzAHMAaQB2AGUAIAB3AGkAbgBkAHIAbwB3ACkAXAAiACwAIAAwAC4AMAAxACwAIABcACIAQwBvAG0AcABvAHMAdABpAG4AZwAgACgAcABhAHMAcwBpAHYAZQAgAHcAaQBuAGQAcgBvAHcAKQBcACIAOwBcAG4AIAAgACAAIAAgACAAIAAgACAAIABcACIARABpAHIAZQBjAHQAIABwAHIAbwBjAGUAcwBzAGkAbgBnAFwAIgAsACAAMAAsACAAXAAiAEQAaQByAGUAYwB0ACAAcAByAG8AYwBlAHMAcwBpAG4AZwBcACIAOwBcAG4AIAAgACAAIAAgACAAIAAgACAAIABcACIAQQBuAGEAZQByAG8AYgBpAGMAIABkAGkAZwBlAHMAdABlAHIAIAAvACAAYwBvAHYAZQByAGUAZAAgAHAAbwBuAGQAXAAiACwAIAAwACwAIABcACIARABpAGcAZQBzAHQAZQByACAALwAgAGMAbwB2AGUAcgBlAGQAIABsAGEAZwBvAG8AbgBzAFwAIgBcAG4AIAAgACAAIAAgACAAIAAgAH0ALAAgAHIALAAgAGMAKQBcAG4AIAAgACAAIAAgACAAKQBcAG4AIAAgACAAIAApAFwAbgAgACAAKQA7AFwAbgBcAG4ALwAqACAAXABuAC0ALQAtAC0ALQAtAC0ALQAtAC0ALQAtAC0ALQAtAC0ALQAtAC0ALQAtAC0ALQAtAC0ALQAtAC0ALQAtAC0ALQAtAC0ALQAtAC0ALQBcAG4AUwBvAHUAcgBjAGUARABhAHQAYQBfAFAAbwB1AGwAdAByAHkAXwBGAHIAYQBjAHQAaQBvAG4ATwBmAE4AaQB0AHIAbwBnAGUAbgBMAG8AcwB0AFQAaAByAG8AdQBnAGgATABlAGEAYwBoAGkAbgBnAEEAbgBkAFIAdQBuAG8AZgBmAFwAbgBGAHIAYQBjAHQAaQBvAG4AIABvAGYAIABOACAAdABoAGEAdAAgAGkAcwAgAGwAbwBzAHQAIAB0AGgAcgBvAHUAZwBoACAAbABlAGEAYwBoAGkAbgBnACAAYQBuAGQAIAByAHUAbgBvAGYAZgAgACgAZABpAG0AZQBuAHMAaQBvAG4AbABlAHMAcwApAFwAbgAtAC0ALQAtAC0ALQAtAC0ALQAtAC0ALQAtAC0ALQAtAC0ALQAtAC0ALQAtAC0ALQAtAC0ALQAtAC0ALQAtAC0ALQAtAC0ALQAtAC0AXABuACoALwBcAG4AXABuAFMAbwB1AHIAYwBlAEQAYQB0AGEAXwBQAG8AdQBsAHQAcgB5AF8ARgByAGEAYwB0AGkAbwBuAE8AZgBOAGkAdAByAG8AZwBlAG4ATABvAHMAdABUAGgAcgBvAHUAZwBoAEwAZQBhAGMAaABpAG4AZwBBAG4AZABSAHUAbgBvAGYAZgBfAFQAaQB0AGwAZQBcAG4AIAAgAD0ATABBAE0AQgBEAEEAKABcACIARgByAGEAYwB0AGkAbwBuACAAbwBmACAATgAgAHQAaABhAHQAIABpAHMAIABsAG8AcwB0ACAAdABoAHIAbwB1AGcAaAAgAGwAZQBhAGMAaABpAG4AZwAgAGEAbgBkACAAcgB1AG4AbwBmAGYAXAAiACkAOwBcAG4AXABuAFMAbwB1AHIAYwBlAEQAYQB0AGEAXwBQAG8AdQBsAHQAcgB5AF8ARgByAGEAYwB0AGkAbwBuAE8AZgBOAGkAdAByAG8AZwBlAG4ATABvAHMAdABUAGgAcgBvAHUAZwBoAEwAZQBhAGMAaABpAG4AZwBBAG4AZABSAHUAbgBvAGYAZgBfAFYAYQByAGkAYQBiAGwAZQBcAG4AIAAgAD0ATABBAE0AQgBEAEEAKABcACIARgByAGEAYwBfAEwARQBBAEMASABfAE0AUwBcACIAKQA7AFwAbgBcAG4AUwBvAHUAcgBjAGUARABhAHQAYQBfAFAAbwB1AGwAdAByAHkAXwBGAHIAYQBjAHQAaQBvAG4ATwBmAE4AaQB0AHIAbwBnAGUAbgBMAG8AcwB0AFQAaAByAG8AdQBnAGgATABlAGEAYwBoAGkAbgBnAEEAbgBkAFIAdQBuAG8AZgBmAF8AVQBuAGkAdABcAG4AIAAgAD0ATABBAE0AQgBEAEEAKABcACIARABpAG0AZQBuAHMAaQBvAG4AbABlAHMAcwBcACIAKQA7AFwAbgBcAG4AUwBvAHUAcgBjAGUARABhAHQAYQBfAFAAbwB1AGwAdAByAHkAXwBGAHIAYQBjAHQAaQBvAG4ATwBmAE4AaQB0AHIAbwBnAGUAbgBMAG8AcwB0AFQAaAByAG8AdQBnAGgATABlAGEAYwBoAGkAbgBnAEEAbgBkAFIAdQBuAG8AZgBmAF8AUwBvAHUAcgBjAGUAXABuACAAIAA9AEwAQQBNAEIARABBACgAXAAiAFYARQBFAFIARwAgADIAMAAyADYAOgAgADQALgA2AC4AMgAuADMAIABDAE8ATgBTAFQAQQBOAFQAUwBcACIAKQA7AFwAbgBcAG4AUwBvAHUAcgBjAGUARABhAHQAYQBfAFAAbwB1AGwAdAByAHkAXwBGAHIAYQBjAHQAaQBvAG4ATwBmAE4AaQB0AHIAbwBnAGUAbgBMAG8AcwB0AFQAaAByAG8AdQBnAGgATABlAGEAYwBoAGkAbgBnAEEAbgBkAFIAdQBuAG8AZgBmAF8AVgBhAHIAaQBhAHQAaQBvAG4AXABuACAAIAA9AEwAQQBNAEIARABBACgAXAAiAFwAIgApADsAXABuAFwAbgBTAG8AdQByAGMAZQBEAGEAdABhAF8AUABvAHUAbAB0AHIAeQBfAEYAcgBhAGMAdABpAG8AbgBPAGYATgBpAHQAcgBvAGcAZQBuAEwAbwBzAHQAVABoAHIAbwB1AGcAaABMAGUAYQBjAGgAaQBuAGcAQQBuAGQAUgB1AG4AbwBmAGYAXwBEAGEAdABhAFwAbgAgACAAPQBMAEEATQBCAEQAQQAoADAALgAwADIAKQA7AFwAbgAiAH0ALAB7ACIAcABhAHQAaAAiADoAIgAvAHAAcgBvAGoAZQBjAHQAcwAvAE0ATQBTAF8AUABvAHUAbAB0AHIAeQBfAE4AMgBPAEQAaQByAGUAYwB0AF8ARQBxAHUAYQB0AGkAbwBuAHMAIgAsACIAdABlAHgAdAAiADoAIgAvACoAXABuAD0APQA9AD0APQA9AD0APQA9AD0APQA9AD0APQA9AD0APQA9AD0APQA9AD0APQA9AD0APQA9AD0APQA9AD0APQA9AD0APQA9AD0APQA9AD0APQA9AD0APQA9AD0APQA9AD0APQA9AD0APQA9AD0APQA9AD0APQA9AD0APQA9AD0APQA9AD0APQA9AD0APQA9AD0APQA9AD0AXABuADQALgA2ADoAIABQAG8AdQBsAHQAcgB5AFwAbgA9AD0APQA9AD0APQA9AD0APQA9AD0APQA9AD0APQA9AD0APQA9AD0APQA9AD0APQA9AD0APQA9AD0APQA9AD0APQA9AD0APQA9AD0APQA9AD0APQA9AD0APQA9AD0APQA9AD0APQA9AD0APQA9AD0APQA9AD0APQA9AD0APQA9AD0APQA9AD0APQA9AD0APQA9AD0APQA9AFwAbgA0AC4ANgAuADEALgAzACAATQBlAHQAaABvAGQAIAAxACAALQAgAE0AYQBuAHUAcgBlACAARABpAHIAZQBjAHQAIABOADIATwAgAFAAbwB1AGwAdA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gBfADEAXwAzAF8AXwAxAF8AVABvAHQAYQBsAEEAbgBuAHUAYQBsAEQAaQByAGUAYwB0AE4AaQB0AHIAbwB1AHMATwB4AGkAZABlAEUAbQBpAHMAcwBpAG8AbgBzAEYAcgBvAG0ATQBNAFMAXABuAFQAbwB0AGEAbAAgAGEAbgBuAHUAYQBsACAAZABpAHIAZQBjAHQAIABuAGkAdAByAG8AdQBzACAAbwB4AGkAZABlACAAZQBtAGkAcwBzAGkAbwBuAHMAIABmAHIAbwBtACAAbQBhAG4AdQByAGUAIABtAGEAbgBhAGcAZQBtAGUAbgB0ACAAcwB5AHMAdABlAG0AcwBcAG4ARQBfAE4AMgBPAGQAaQByAFwAbgB0ACAATgAyAE8AXABuAEUAXwB7AE4AMgBPACwAZABpAHIAfQA9AFwAXABzAHUAbQBfAHsAagB9AFwAXABzAHUAbQBfAHsAawB9AFwAXABzAHUAbQBfAHsAbQB9AFwAXABzAHUAbQBfAHsAVAB9ACgATQBOAF8AewBqAGsAbQBUAH0AXABcAHQAaQBtAGUAcwAgAEUARgBfAHsAagBtAH0AXABcAHQAaQBtAGUAcwAgAEMAXwB7AE4AMgBPAH0AKQBcAFwAdABpAG0AZQBzADEAMABeAHsALQAzAH0AXABuAE0ATgBfAGoAawBtAFQAIAA9ACAAbgBpAHQAcgBvAGcAZQBuACAAcABlAHIAIABwAG8AdQBsAHQAcgB5ACAAYwBsAGEAcwBzACwAIABzAHUAYgBjAGwAYQBzAHMALAAgAE0ATQBTACAAYQBuAGQAIAB0AHIAZQBhAHQAbQBlAG4AdAAgAHMAdABhAGcAZQAgADoAIABrAGcAIABOAFwAbgBFAEYAXwBqAG0AIAA9ACAAbgBpAHQAcgBvAHUAcwAgAG8AeABpAGQAZQAgAGUAbQBpAHMAcwBpAG8AbgAgAGYAYQBjAHQAbwByACAAZgBvAHIAIABNAE0AUwAgADoAIABrAGcAIABOADIATwAtAE4ALwBrAGcAIABOAFwAbgBDAF8ATgAyAE8AIAA9ACAAZgBhAGMAdABvAHIAIAB0AG8AIABjAG8AbgB2AGUAcgB0ACAAZQBsAGUAbQBlAG4AdABhAGwAIABtAGEAcwBzACAAbwBmACAAbgBpAHQAcgBvAHUAcwAgAG8AeABpAGQAZQAgAHQAbwAgAG0AbwBsAGUAYwB1AGwAYQByACAAbQBhAHMAcwAgADoAIAByAGEAdABpAG8AXABuAC0ALQAtAC0ALQAtAC0ALQAtAC0ALQAtAC0ALQAtAC0ALQAtAC0ALQAtAC0ALQAtAC0ALQAtAC0ALQAtAC0ALQAtAC0ALQAtAC0ALQBcAG4AKgAvAFwAbgBcAG4AVgBFAEUAUgBHAF8ANABfADYAXwAxAF8AMwBfAF8AMQBfAFQAbwB0AGEAbABBAG4AbgB1AGEAbABEAGkAcgBlAGMAdABOAGkAdAByAG8AdQBzAE8AeABpAGQAZQBFAG0AaQBzAHMAaQBvAG4AcwBGAHIAbwBtAE0ATQBTAFwAbgAgACAAPQBMAEEATQBCAEQAQQAoAFwAbgAgACAAIAAgAE0ATgBfAGoAawBtAFQALAAgAEUARgBfAGoAbQAsACAAQwBfAE4AMgBPACwAXABuACAAIAAgACAATQBOAF8AagBrAG0AVAAgACoAIABFAEYAXwBqAG0AIAAqACAAQwBfAE4AMgBPACAAKgAgADEAMAAgAF4AIAAtADMAXABuACAAIAApADsAXABuAFwAbgBWAEUARQBSAEcAXwA0AF8ANgBfADEAXwAzAF8AXwAxAF8AVABvAHQAYQBsAEEAbgBuAHUAYQBsAEQAaQByAGUAYwB0AE4AaQB0AHIAbwB1AHMATwB4AGkAZABlAEUAbQBpAHMAcwBpAG8AbgBzAEYAcgBvAG0ATQBNAFMAXwBUAGkAdABsAGUAXABuACAAIAA9AEwAQQBNAEIARABBACgAXAAiAFQAbwB0AGEAbAAgAGEAbgBuAHUAYQBsACAAZABpAHIAZQBjAHQAIABuAGkAdAByAG8AdQBzACAAbwB4AGkAZABlACAAZQBtAGkAcwBzAGkAbwBuAHMAIABmAHIAbwBtACAAbQBhAG4AdQByAGUAIABtAGEAbgBhAGcAZQBtAGUAbgB0ACAAcwB5AHMAdABlAG0AcwBcACIAKQA7AFwAbgBcAG4AVgBFAEUAUgBHAF8ANABfADYAXwAxAF8AMwBfAF8AMQBfAFQAbwB0AGEAbABBAG4AbgB1AGEAbABEAGkAcgBlAGMAdABOAGkAdAByAG8AdQBzAE8AeABpAGQAZQBFAG0AaQBzAHMAaQBvAG4AcwBGAHIAbwBtAE0ATQBTAF8AVgBhAHIAaQBhAGIAbABlAFwAbgAgACAAPQBMAEEATQBCAEQAQQAoAFwAIgBFAF8ATgAyAE8AZABpAHIAXAAiACkAOwBcAG4AXABuAFYARQBFAFIARwBfADQAXwA2AF8AMQBfADMAXwBfADEAXwBUAG8AdABhAGwAQQBuAG4AdQBhAGwARABpAHIAZQBjAHQATgBpAHQAcgBvAHUAcwBPAHgAaQBkAGUARQBtAGkAcwBzAGkAbwBuAHMARgByAG8AbQBNAE0AUwBfAFUAbgBpAHQAXABuACAAIAA9AEwAQQBNAEIARABBACgAXAAiAHQAIABOADIATwBcACIAKQA7AFwAbgBcAG4AVgBFAEUAUgBHAF8ANABfADYAXwAxAF8AMwBfAF8AMQBfAFQAbwB0AGEAbABBAG4AbgB1AGEAbABEAGkAcgBlAGMAdABOAGkAdAByAG8AdQBzAE8AeABpAGQAZQBFAG0AaQBzAHMAaQBvAG4AcwBGAHIAbwBtAE0ATQBTAF8AUwBvAHUAcgBjAGUAXABuACAAIAA9AEwAQQBNAEIARABBACgAXAAiAFYARQBFAFIARwAgADIAMAAyADYAOgAgADQALgA2AC4AMQAuADMALAAgAEUAcQB1AGEAdABpAG8AbgAgACgAMQApAFwAIgApADsAXABuAFwAbgBWAEUARQBSAEcAXwA0AF8ANgBfADEAXwAzAF8AXwAxAF8AVABvAHQAYQBsAEEAbgBuAHUAYQBsAEQAaQByAGUAYwB0AE4AaQB0AHIAbwB1AHMATwB4AGkAZABlAEUAbQBpAHMAcwBpAG8AbgBzAEYAcgBvAG0ATQBNAFMAXwBOAEkAUgBSAGUAZgBlAHIAZQBuAGMAZQBcAG4AIAAgAD0ATABBAE0AQgBEAEEAKABcACIAXAAiACkAOwBcAG4AXABuAFYARQBFAFIARwBfADQAXwA2AF8AMQBfADMAXwBfADEAXwBUAG8AdABhAGwAQQBuAG4AdQBhAGwARABpAHIAZQBjAHQATgBpAHQAcgBvAHUAcwBPAHgAaQBkAGUARQBtAGkAcwBzAGkAbwBuAHMARgByAG8AbQBNAE0AUwBfAEwAYQB0AGUAeABFAHEAdQBhAHQAaQBvAG4AXABuACAAIAA9AEwAQQBNAEIARABBACgAXAAiAEUAXwB7AE4AMgBPACwAZABpAHIAfQA9AFwAXABzAHUAbQBfAHsAagB9AFwAXABzAHUAbQBfAHsAawB9AFwAXABzAHUAbQBfAHsAbQB9AFwAXABzAHUAbQBfAHsAVAB9ACgATQBOAF8AewBqAGsAbQBUAH0AXABcAHQAaQBtAGUAcwAgAEUARgBfAHsAagBtAH0AXABcAHQAaQBtAGUAcwAgAEMAXwB7AE4AMgBPAH0AKQBcAFwAdABpAG0AZQBzADEAMABeAHsALQAzAH0AXAAiACkAOwBcAG4AXABuAFYARQBFAFIARwBfADQAXwA2AF8AMQBfADMAXwBfADEAXwBUAG8AdABhAGwAQQBuAG4AdQBhAGwARABpAHIAZQBjAHQATgBpAHQAcgBvAHUAcwBPAHgAaQBkAGUARQBtAGkAcwBzAGkAbwBuAHMARgByAG8AbQBNAE0AUwBfAEEAcgBnAHUAbQBlAG4AdABzAFwAbgAgACAAPQBMAEEATQBCAEQAQQAoAFwAbgAgACAAIAAgAE0AQQBLAEUAQQBSAFIAQQBZACgAMwAsACAAMgAsAFwAbgAgACAAIAAgACAAIABMAEEATQBCAEQAQQAoAHIALABjACwAXABuACAAIAAgACAAIAAgACAAIABJAE4ARABFAFgAKAB7AFwAbgAgACAAIAAgACAAIAAgACAAIAAgAFwAIgBNAE4AXwBqAGsAbQBUAFwAIgAsAFwAIgBuAGkAdAByAG8AZwBlAG4AIABwAGUAcgAgAHAAbwB1AGwAdAByAHkAIABjAGwAYQBzAHMALAAgAHMAdQBiAGMAbABhAHMAcwAsACAATQBNAFMAIABhAG4AZAAgAHQAcgBlAGEAdABtAGUAbgB0ACAAcwB0AGEAZwBlACAAOgAgAGsAZwAgAE4AXAAiADsAXABuACAAIAAgACAAIAAgACAAIAAgACAAXAAiAEUARgBfAGoAbQBcACIALABcACIAbgBpAHQAcgBvAHUAcwAgAG8AeABpAGQAZQAgAGUAbQBpAHMAcwBpAG8AbgAgAGYAYQBjAHQAbwByACAAZgBvAHIAIABNAE0AUwAgADoAIABrAGcAIABOADIATwAtAE4ALwBrAGcAIABOAFwAIgA7AFwAbgAgACAAIAAgACAAIAAgACAAIAAgAFwAIgBDAF8ATgAyAE8AXAAiACwAXAAiAGYAYQBjAHQAbwByACAAdABvACAAYwBvAG4AdgBlAHIAdAAgAGUAbABlAG0AZQBuAHQAYQBsACAAbQBhAHMAcwAgAG8AZgAgAG4AaQB0AHIAbwB1AHMAIABvAHgAaQBkAGUAIAB0AG8AIABtAG8AbABlAGMAdQBsAGEAcgAgAG0AYQBzAHMAIAA6ACAAcgBhAHQAaQBvAFwAIgBcAG4AIAAgACAAIAAgACAAIAAgAH0ALAAgAHIALAAgAGMAKQBcAG4AIAAgACAAIAAgACAAKQBcAG4AIAAgACAAIAApAFwAbgAgACAAKQA7AFwAbgBcAG4ALwAqAFwAbgAtAC0ALQAtAC0ALQAtAC0ALQAtAC0ALQAtAC0ALQAtAC0ALQAtAC0ALQAtAC0ALQAtAC0ALQAtAC0ALQAtAC0ALQAtAC0ALQAtAC0AXABuAFYARQBFAFIARwBfADQAXwA2AF8AMQBfADMAXwBfADIAXwBTAHQAYQBnAGUAMQBOAGkAdAByAG8AZwBlAG4ASQBuAE0ATQBTAFwAbgBOAGkAdAByAG8AZwBlAG4AIABpAG4AIAB0AHIAZQBhAHQAbQBlAG4AdAAgAHMAdABhAGcAZQAgADEAIABNAE0AUwBcAG4ATQBOAF8AagBrAG0AVAAxAFwAbgBrAGcAIABOAFwAbgBNAE4AXwB7AGoAawBtACwAVAA9ADEAfQA9AEEARQBfAHsAagBrAH0AXABcAHQAaQBtAGUAcwAgAE0ATQBTAF8AewBqAG0ALABUAD0AMQB9AFwAbgBBAEUAXwBqAGsAIAA9ACAAdABvAHQAYQBsACAAbgBpAHQAcgBvAGcAZQBuACAAZQB4AGMAcgBlAHQAZQBkACAAYgB5ACAAZQBhAGMAaAAgAHAAbwB1AGwAdAByAHkAIABjAGwAYQBzAHMAIABhAG4AZAAgAHMAdQBiAGMAbABhAHMAcwAgADoAIABrAGcAIABOAFwAbgBNAE0AUwBfAGoAbQBUADEAIAA9ACAAZgByAGEAYwB0AGkAbwBuACAAbwBmACAAbQBhAG4AdQByAGUAIABpAG4AIABlAGEAYwBoACAAcAByAGkAbQBhAHIAeQAgAHMAeQBzAHQAZQBtACAAOgAgAGYAcgBhAGMAdABpAG8AbgBcAG4ALQAtAC0ALQAtAC0ALQAtAC0ALQAtAC0ALQAtAC0ALQAtAC0ALQAtAC0ALQAtAC0ALQAtAC0ALQAtAC0ALQAtAC0ALQAtAC0ALQAtAFwAbgAqAC8AXABuAFwAbgBWAEUARQBSAEcAXwA0AF8ANgBfADEAXwAzAF8AXwAyAF8AUwB0AGEAZwBlADEATgBpAHQAcgBvAGcAZQBuAEkAbgBNAE0AUwBcAG4AIAAgAD0ATABBAE0AQgBEAEEAKABcAG4AIAAgACAAIABBAEUAXwBqAGsALAAgAE0ATQBTAF8AagBtAFQAMQAsAFwAbgAgACAAIAAgAEEARQBfAGoAawAgACoAIABNAE0AUwBfAGoAbQBUADEAXABuACAAIAApADsAXABuAFwAbgBWAEUARQBSAEcAXwA0AF8ANgBfADEAXwAzAF8AXwAyAF8AUwB0AGEAZwBlADEATgBpAHQAcgBvAGcAZQBuAEkAbgBNAE0AUwBfAFQAaQB0AGwAZQBcAG4AIAAgAD0ATABBAE0AQgBEAEEAKABcACIATgBpAHQAcgBvAGcAZQBuACAAaQBuACAAdAByAGUAYQB0AG0AZQBuAHQAIABzAHQAYQBnAGUAIAAxACAATQBNAFMAXAAiACkAOwBcAG4AXABuAFYARQBFAFIARwBfADQAXwA2AF8AMQBfADMAXwBfADIAXwBTAHQAYQBnAGUAMQBOAGkAdAByAG8AZwBlAG4ASQBuAE0ATQBTAF8AVgBhAHIAaQBhAGIAbABlAFwAbgAgACAAPQBMAEEATQBCAEQAQQAoAFwAIgBNAE4AXwBqAGsAbQBUADEAXAAiACkAOwBcAG4AXABuAFYARQBFAFIARwBfADQAXwA2AF8AMQBfADMAXwBfADIAXwBTAHQAYQBnAGUAMQBOAGkAdAByAG8AZwBlAG4ASQBuAE0ATQBTAF8AVQBuAGkAdABcAG4AIAAgAD0ATABBAE0AQgBEAEEAKABcACIAawBnACAATgBcACIAKQA7AFwAbgBcAG4AVgBFAEUAUgBHAF8ANABfADYAXwAxAF8AMwBfAF8AMgBfAFMAdABhAGcAZQAxAE4AaQB0AHIAbwBnAGUAbgBJAG4ATQBNAFMAXwBTAG8AdQByAGMAZQBcAG4AIAAgAD0ATABBAE0AQgBEAEEAKABcACIAVgBFAEUAUgBHACAAMgAwADIANgA6ACAANAAuADYALgAxAC4AMwAsACAARQBxAHUAYQB0AGkAbwBuACAAKAAyACkAXAAiACkAOwBcAG4AXABuAFYARQBFAFIARwBfADQAXwA2AF8AMQBfADMAXwBfADIAXwBTAHQAYQBnAGUAMQBOAGkAdAByAG8AZwBlAG4ASQBuAE0ATQBTAF8ATgBJAFIAUgBlAGYAZQByAGUAbgBjAGUAXABuACAAIAA9AEwAQQBNAEIARABBACgAXAAiAFwAIgApADsAXABuAFwAbgBWAEUARQBSAEcAXwA0AF8ANgBfADEAXwAzAF8AXwAyAF8AUwB0AGEAZwBlADEATgBpAHQAcgBvAGcAZQBuAEkAbgBNAE0AUwBfAEwAYQB0AGUAeABFAHEAdQBhAHQAaQBvAG4AXABuACAAIAA9AEwAQQBNAEIARABBACgAXAAiAE0ATgBfAHsAagBrAG0ALABUAD0AMQB9AD0AQQBFAF8AewBqAGsAfQBcAFwAdABpAG0AZQBzACAATQBNAFMAXwB7AGoAbQAsAFQAPQAxAH0AXAAiACkAOwBcAG4AXABuAFYARQBFAFIARwBfADQAXwA2AF8AMQBfADMAXwBfADIAXwBTAHQAYQBnAGUAMQBOAGkAdAByAG8AZwBlAG4ASQBuAE0ATQBTAF8AQQByAGcAdQBtAGUAbgB0AHMAXABuACAAIAA9AEwAQQBNAEIARABBACgAXABuACAAIAAgACAATQBBAEsARQBBAFIAUgBBAFkAKAAyACwAIAAyACwAXABuACAAIAAgACAAIAAgAEwAQQBNAEIARABBACgAcgAsAGMALABcAG4AIAAgACAAIAAgACAAIAAgAEkATgBEAEUAWAAoAHsAXABuACAAIAAgACAAIAAgACAAIAAgACAAXAAiAEEARQBfAGoAawBcACIALABcACIAdABvAHQAYQBsACAAbgBpAHQAcgBvAGcAZQBuACAAZQB4AGMAcgBlAHQAZQBkACAAYgB5ACAAZQBhAGMAaAAgAHAAbwB1AGwAdAByAHkAIABjAGwAYQBzAHMAIABhAG4AZAAgAHMAdQBiAGMAbABhAHMAcwAgADoAIABrAGcAIABOAFwAIgA7AFwAbgAgACAAIAAgACAAIAAgACAAIAAgAFwAIgBNAE0AUwBfAGoAbQBUADEAXAAiACwAXAAiAGYAcgBhAGMAdABpAG8AbgAgAG8AZgAgAG0AYQBuAHUAcgBlACAAaQBuACAAZQBhAGMAaAAgAHAAcgBpAG0AYQByAHkAIABzAHkAcwB0AGUAbQAgADoAIABmAHIAYQBjAHQAaQBvAG4AXAAiAFwAbgAgACAAIAAgACAAIAAgACAAfQAsACAAcgAsACAAYwApAFwAbgAgACAAIAAgACAAIAApAFwAbgAgACAAIAAgACkAXABuACAAIAApADsAXABuAFwAbgAvACoAXABuAC0ALQAtAC0ALQAtAC0ALQAtAC0ALQAtAC0ALQAtAC0ALQAtAC0ALQAtAC0ALQAtAC0ALQAtAC0ALQAtAC0ALQAtAC0ALQAtAC0ALQBcAG4AVgBFAEUAUgBHAF8ANABfADYAXwAxAF8AMwBfAF8AMwBfAEEAbgBuAHUAYQBsAE4AaQB0AHIAbwBnAGUAbgBFAHgAYwByAGUAdABpAG8AbgBcAG4AQQBuAG4AdQBhAGwAIABuAGkAdAByAG8AZwBlAG4AIABlAHgAYwByAGUAdABpAG8AbgAgAGYAbwByACAAZQBhAGMAaAAgAHAAbwB1AGwAdAByAHkAIABjAGwAYQBzAHMAIABhAG4AZAAgAHMAdQBiAGMAbABhAHMAcwBcAG4AQQBFAF8AagBrAFwAbgBrAGcAIABOAFwAbgBBAEUAXwB7AGoAawB9AD0ATgBfAHsAagBrAH0AXABcAHQAaQBtAGUAcwAgAE4ARQBfAHsAagBrAH0AXABcAHQAaQBtAGUAcwAgAEQAXwB7AGoAawB9AFwAbgBOAF8AagBrACAAPQAgAG4AdQBtAGIAZQByACAAbwBmACAAcABvAHUAbAB0AHIAeQAgAGkAbgAgAGUAYQBjAGgAIABjAGwAYQBzAHMAIABhAG4AZAAgAHMAdQBiAGMAbABhAHMAcwAgADoAIABiAGkAcgBkAFwAbgBOAEUAXwBqAGsAIAA9ACAAbgBpAHQAcgBvAGcAZQBuACAAZQB4AGMAcgBlAHQAaQBvAG4AIAA6ACAAawBnACAATgAvAGIAaQByAGQALwBkAGEAeQBcAG4ARABfAGoAawAgAD0AIABkAHUAcgBhAHQAaQBvAG4AIABvAGYAIABzAHQAYQB5ACAAbwBmACAAZQBhAGMAaAAgAGMAbABhAHMAcwAgAGEAbgBkACAAcwB1AGIAYwBsAGEAcwBzACAAOgAgAGQAYQB5AHMAXABuAC0ALQAtAC0ALQAtAC0ALQAtAC0ALQAtAC0ALQAtAC0ALQAtAC0ALQAtAC0ALQAtAC0ALQAtAC0ALQAtAC0ALQAtAC0ALQAtAC0ALQBcAG4AKgAvAFwAbgBcAG4AVgBFAEUAUgBHAF8ANABfADYAXwAxAF8AMwBfAF8AMwBfAEEAbgBuAHUAYQBsAE4AaQB0AHIAbwBnAGUAbgBFAHgAYwByAGUAdABpAG8AbgBcAG4AIAAgAD0ATABBAE0AQgBEAEEAKABcAG4AIAAgACAAIABOAF8AagBrACwAIABOAEUAXwBqAGsALAAgAEQAXwBqAGsALABcAG4AIAAgACAAIABOAF8AagBrACAAKgAgAE4ARQBfAGoAawAgACoAIABEAF8AagBrAFwAbgAgACAAKQA7AFwAbgBcAG4AVgBFAEUAUgBHAF8ANABfADYAXwAxAF8AMwBfAF8AMwBfAEEAbgBuAHUAYQBsAE4AaQB0AHIAbwBnAGUAbgBFAHgAYwByAGUAdABpAG8AbgBfAFQAaQB0AGwAZQBcAG4AIAAgAD0ATABBAE0AQgBEAEEAKABcACIAQQBuAG4AdQBhAGwAIABuAGkAdAByAG8AZwBlAG4AIABlAHgAYwByAGUAdABpAG8AbgAgAGYAbwByACAAZQBhAGMAaAAgAHAAbwB1AGwAdAByAHkAIABjAGwAYQBzAHMAIABhAG4AZAAgAHMAdQBiAGMAbABhAHMAcwBcACIAKQA7AFwAbgBcAG4AVgBFAEUAUgBHAF8ANABfADYAXwAxAF8AMwBfAF8AMwBfAEEAbgBuAHUAYQBsAE4AaQB0AHIAbwBnAGUAbgBFAHgAYwByAGUAdABpAG8AbgBfAFYAYQByAGkAYQBiAGwAZQBcAG4AIAAgAD0ATABBAE0AQgBEAEEAKABcACIAQQBFAF8AagBrAFwAIgApADsAXABuAFwAbgBWAEUARQBSAEcAXwA0AF8ANgBfADEAXwAzAF8AXwAzAF8AQQBuAG4AdQBhAGwATgBpAHQAcgBvAGcAZQBuAEUAeABjAHIAZQB0AGkAbwBuAF8AVQBuAGkAdABcAG4AIAAgAD0ATABBAE0AQgBEAEEAKABcACIAawBnACAATgBcACIAKQA7AFwAbgBcAG4AVgBFAEUAUgBHAF8ANABfADYAXwAxAF8AMwBfAF8AMwBfAEEAbgBuAHUAYQBsAE4AaQB0AHIAbwBnAGUAbgBFAHgAYwByAGUAdABpAG8AbgBfAFMAbwB1AHIAYwBlAFwAbgAgACAAPQBMAEEATQBCAEQAQQAoAFwAIgBWAEUARQBSAEcAIAAyADAAMgA2ADoAIAA0AC4ANgAuADEALgAzACwAIABFAHEAdQBhAHQAaQBvAG4AIAAoADMAKQBcACIAKQA7AFwAbgBcAG4AVgBFAEUAUgBHAF8ANABfADYAXwAxAF8AMwBfAF8AMwBfAEEAbgBuAHUAYQBsAE4AaQB0AHIAbwBnAGUAbgBFAHgAYwByAGUAdABpAG8AbgBfAE4ASQBSAFIAZQBmAGUAcgBlAG4AYwBlAFwAbgAgACAAPQBMAEEATQBCAEQAQQAoAFwAIgBcACIAKQA7AFwAbgBcAG4AVgBFAEUAUgBHAF8ANABfADYAXwAxAF8AMwBfAF8AMwBfAEEAbgBuAHUAYQBsAE4AaQB0AHIAbwBnAGUAbgBFAHgAYwByAGUAdABpAG8AbgBfAEwAYQB0AGUAeABFAHEAdQBhAHQAaQBvAG4AXABuACAAIAA9AEwAQQBNAEIARABBACgAXAAiAEEARQBfAHsAagBrAH0APQBOAF8AewBqAGsAfQBcAFwAdABpAG0AZQBzACAATgBFAF8AewBqAGsAfQBcAFwAdABpAG0AZQBzACAARABfAHsAagBrAH0AXAAiACkAOwBcAG4AXABuAFYARQBFAFIARwBfADQAXwA2AF8AMQBfADMAXwBfADMAXwBBAG4AbgB1AGEAbABOAGkAdAByAG8AZwBlAG4ARQB4AGMAcgBlAHQAaQBvAG4AXwBBAHIAZwB1AG0AZQBuAHQAcwBcAG4AIAAgAD0ATABBAE0AQgBEAEEAKABcAG4AIAAgACAAIABNAEEASwBFAEEAUgBSAEEAWQAoADMALAAgADIALABcAG4AIAAgACAAIAAgACAATABBAE0AQgBEAEEAKAByACwAYwAsAFwAbgAgACAAIAAgACAAIAAgACAASQBOAEQARQBYACgAewBcAG4AIAAgACAAIAAgACAAIAAgACAAIABcACIATgBfAGoAawBcACIALABcACIAbgB1AG0AYgBlAHIAIABvAGYAIABwAG8AdQBsAHQAcgB5ACAAaQBuACAAZQBhAGMAaAAgAGMAbABhAHMAcwAgAGEAbgBkACAAcwB1AGIAYwBsAGEAcwBzACAAOgAgAGIAaQByAGQAXAAiADsAXABuACAAIAAgACAAIAAgACAAIAAgACAAXAAiAE4ARQBfAGoAawBcACIALABcACIAbgBpAHQAcgBvAGcAZQBuACAAZQB4AGMAcgBlAHQAaQBvAG4AIAA6ACAAawBnACAATgAvAGIAaQByAGQALwBkAGEAeQBcACIAOwBcAG4AIAAgACAAIAAgACAAIAAgACAAIABcACIARABfAGoAawBcACIALABcACIAZAB1AHIAYQB0AGkAbwBuACAAbwBmACAAcwB0AGEAeQAgAG8AZgAgAGUAYQBjAGgAIABjAGwAYQBzAHMAIABhAG4AZAAgAHMAdQBiAGMAbABhAHMAcwAgADoAIABkAGEAeQBzAFwAIgBcAG4AIAAgACAAIAAgACAAIAAgAH0ALAAgAHIALAAgAGMAKQBcAG4AIAAgACAAIAAgACAAKQBcAG4AIAAgACAAIAApAFwAbgAgACAAKQA7AFwAbgBcAG4ALwAqAFwAbgAtAC0ALQAtAC0ALQAtAC0ALQAtAC0ALQAtAC0ALQAtAC0ALQAtAC0ALQAtAC0ALQAtAC0ALQAtAC0ALQAtAC0ALQAtAC0ALQAtAC0AXABuAFYARQBFAFIARwBfADQAXwA2AF8AMQBfADMAXwBfADQAXwBOAGkAdAByAG8AZwBlAG4ARQB4AGMAcgBlAHQAaQBvAG4AUABlAHIAQgBpAHIAZABcAG4ATgBpAHQAcgBvAGcAZQBuACAAZQB4AGMAcgBlAHQAaQBvAG4AIABwAGUAcgAgAGIAaQByAGQAIABwAGUAcgAgAGQAYQB5AFwAbgBOAEUAXwBqAGsAXABuAGsAZwAgAE4ALwBiAGkAcgBkAC8AZABhAHkAXABuAE4ARQBfAHsAagBrAH0APQBOAEkAXwB7AGoAawB9AFwAXAB0AGkAbQBlAHMAKAAxAC0ATgBSAF8AewBqAGsAfQApAFwAbgBOAEkAXwBqAGsAIAA9ACAAbgBpAHQAcgBvAGcAZQBuACAAaQBuAHQAYQBrAGUAIAA6ACAAawBnACAATgAvAGIAaQByAGQALwBkAGEAeQBcAG4ATgBSAF8AagBrACAAPQAgAG4AaQB0AHIAbwBnAGUAbgAgAHIAZQB0AGUAbgB0AGkAbwBuACAAZQB4AHAAcgBlAHMAcwBlAGQAIABhAHMAIABhACAAZgByAGEAYwB0AGkAbwBuACAAbwBmACAAaQBuAHQAYQBrAGUAIAA6ACAAZgByAGEAYwB0AGkAbwBuAFwAbgAtAC0ALQAtAC0ALQAtAC0ALQAtAC0ALQAtAC0ALQAtAC0ALQAtAC0ALQAtAC0ALQAtAC0ALQAtAC0ALQAtAC0ALQAtAC0ALQAtAC0AXABuACoALwBcAG4AXABuAFYARQBFAFIARwBfADQAXwA2AF8AMQBfADMAXwBfADQAXwBOAGkAdAByAG8AZwBlAG4ARQB4AGMAcgBlAHQAaQBvAG4AUABlAHIAQgBpAHIAZABcAG4AIAAgAD0ATABBAE0AQgBEAEEAKABcAG4AIAAgACAAIABOAEkAXwBqAGsALAAgAE4AUgBfAGoAawAsAFwAbgAgACAAIAAgAE4ASQBfAGoAawAgACoAIAAoADEAIAAtACAATgBSAF8AagBrACkAXABuACAAIAApADsAXABuAFwAbgBWAEUARQBSAEcAXwA0AF8ANgBfADEAXwAzAF8AXwA0AF8ATgBpAHQAcgBvAGcAZQBuAEUAeABjAHIAZQB0AGkAbwBuAFAAZQByAEIAaQByAGQAXwBUAGkAdABsAGUAXABuACAAIAA9AEwAQQBNAEIARABBACgAXAAiAE4AaQB0AHIAbwBnAGUAbgAgAGUAeABjAHIAZQB0AGkAbwBuACAAcABlAHIAIABiAGkAcgBkACAAcABlAHIAIABkAGEAeQBcACIAKQA7AFwAbgBcAG4AVgBFAEUAUgBHAF8ANABfADYAXwAxAF8AMwBfAF8ANABfAE4AaQB0AHIAbwBnAGUAbgBFAHgAYwByAGUAdABpAG8AbgBQAGUAcgBCAGkAcgBkAF8AVgBhAHIAaQBhAGIAbABlAFwAbgAgACAAPQBMAEEATQBCAEQAQQAoAFwAIgBOAEUAXwBqAGsAXAAiACkAOwBcAG4AXABuAFYARQBFAFIARwBfADQAXwA2AF8AMQBfADMAXwBfADQAXwBOAGkAdAByAG8AZwBlAG4ARQB4AGMAcgBlAHQAaQBvAG4AUABlAHIAQgBpAHIAZABfAFUAbgBpAHQAXABuACAAIAA9AEwAQQBNAEIARABBACgAXAAiAGsAZwAgAE4ALwBiAGkAcgBkAC8AZABhAHkAXAAiACkAOwBcAG4AXABuAFYARQBFAFIARwBfADQAXwA2AF8AMQBfADMAXwBfADQAXwBOAGkAdAByAG8AZwBlAG4ARQB4AGMAcgBlAHQAaQBvAG4AUABlAHIAQgBpAHIAZABfAFMAbwB1AHIAYwBlAFwAbgAgACAAPQBMAEEATQBCAEQAQQAoAFwAIgBWAEUARQBSAEcAIAAyADAAMgA2ADoAIAA0AC4ANgAuADEALgAzACwAIABFAHEAdQBhAHQAaQBvAG4AIAAoADQAKQBcACIAKQA7AFwAbgBcAG4AVgBFAEUAUgBHAF8ANABfADYAXwAxAF8AMwBfAF8ANABfAE4AaQB0AHIAbwBnAGUAbgBFAHgAYwByAGUAdABpAG8AbgBQAGUAcgBCAGkAcgBkAF8ATgBJAFIAUgBlAGYAZQByAGUAbgBjAGUAXABuACAAIAA9AEwAQQBNAEIARABBACgAXAAiAFwAIgApADsAXABuAFwAbgBWAEUARQBSAEcAXwA0AF8ANgBfADEAXwAzAF8AXwA0AF8ATgBpAHQAcgBvAGcAZQBuAEUAeABjAHIAZQB0AGkAbwBuAFAAZQByAEIAaQByAGQAXwBMAGEAdABlAHgARQBxAHUAYQB0AGkAbwBuAFwAbgAgACAAPQBMAEEATQBCAEQAQQAoAFwAIgBOAEUAXwB7AGoAawB9AD0ATgBJAF8AewBqAGsAfQBcAFwAdABpAG0AZQBzACgAMQAtAE4AUgBfAHsAagBrAH0AKQBcACIAKQA7AFwAbgBcAG4AVgBFAEUAUgBHAF8ANABfADYAXwAxAF8AMwBfAF8ANABfAE4AaQB0AHIAbwBnAGUAbgBFAHgAYwByAGUAdABpAG8AbgBQAGUAcgBCAGkAcgBkAF8AQQByAGcAdQBtAGUAbgB0AHMAXABuACAAIAA9AEwAQQBNAEIARABBACgAXABuACAAIAAgACAATQBBAEsARQBBAFIAUgBBAFkAKAAyACwAIAAyACwAXABuACAAIAAgACAAIAAgAEwAQQBNAEIARABBACgAcgAsAGMALABcAG4AIAAgACAAIAAgACAAIAAgAEkATgBEAEUAWAAoAHsAXABuACAAIAAgACAAIAAgACAAIAAgACAAXAAiAE4ASQBfAGoAawBcACIALABcACIAbgBpAHQAcgBvAGcAZQBuACAAaQBuAHQAYQBrAGUAIAA6ACAAawBnACAATgAvAGIAaQByAGQALwBkAGEAeQBcACIAOwBcAG4AIAAgACAAIAAgACAAIAAgACAAIABcACIATgBSAF8AagBrAFwAIgAsAFwAIgBuAGkAdAByAG8AZwBlAG4AIAByAGUAdABlAG4AdABpAG8AbgAgAGUAeABwAHIAZQBzAHMAZQBkACAAYQBzACAAYQAgAGYAcgBhAGMAdABpAG8AbgAgAG8AZgAgAGkAbgB0AGEAawBlACAAOgAgAGYAcgBhAGMAdABpAG8AbgBcACIAXABuACAAIAAgACAAIAAgACAAIAB9ACwAIAByACwAIABjACkAXABuACAAIAAgACAAIAAgACkAXABuACAAIAAgACAAKQBcAG4AIAAgACkAOwBcAG4AXABuAC8AKgBcAG4ALQAtAC0ALQAtAC0ALQAtAC0ALQAtAC0ALQAtAC0ALQAtAC0ALQAtAC0ALQAtAC0ALQAtAC0ALQAtAC0ALQAtAC0ALQAtAC0ALQAtAFwAbgBWAEUARQBSAEcAXwA0AF8ANgBfADEAXwAzAF8AXwA1AF8ATgBpAHQAcgBvAGcAZQBuAEkAbgB0AGEAawBlAFwAbgBOAGkAdAByAG8AZwBlAG4AIABpAG4AdABhAGsAZQAgAG8AZgAgAHAAbwB1AGwAdAByAHkAXABuAE4ASQBfAGoAawBcAG4AawBnACAATgAvAGIAaQByAGQALwBkAGEAeQBcAG4ATgBJAF8AewBqAGsAfQA9AEkAXwB7AGoAawB9AFwAXAB0AGkAbQBlAHMAIABDAFAAXwB7AGoAawB9AFwAXABkAGkAdgAgADYALgAyADUAXABuAEkAXwBqAGsAIAA9ACAAZAByAHkAIABtAGEAdAB0AGUAcgAgAGkAbgB0AGEAawBlACAAZgBvAHIAIABlAGEAYwBoACAAYwBsAGEAcwBzACAAYQBuAGQAIABzAHUAYgBjAGwAYQBzAHMAIAA6ACAAawBnACAARABNAC8AYgBpAHIAZAAvAGQAYQB5AFwAbgBDAFAAXwBqAGsAIAA9ACAAYwByAHUAZABlACAAcAByAG8AdABlAGkAbgAgAGMAbwBuAHQAZQBuAHQAIABvAGYAIABmAGUAZQBkACAAOgAgAGYAcgBhAGMAdABpAG8AbgBcAG4ANgAuADIANQAgAD0AIABmAGEAYwB0AG8AcgAgAGYAbwByACAAYwBvAG4AdgBlAHIAdABpAG4AZwAgAGMAcgB1AGQAZQAgAHAAcgBvAHQAZQBpAG4AIABpAG4AdABvACAAbgBpAHQAcgBvAGcAZQBuACAAOgAgAHIAYQB0AGkAbwBcAG4ALQAtAC0ALQAtAC0ALQAtAC0ALQAtAC0ALQAtAC0ALQAtAC0ALQAtAC0ALQAtAC0ALQAtAC0ALQAtAC0ALQAtAC0ALQAtAC0ALQAtAFwAbgAqAC8AXABuAFwAbgBWAEUARQBSAEcAXwA0AF8ANgBfADEAXwAzAF8AXwA1AF8ATgBpAHQAcgBvAGcAZQBuAEkAbgB0AGEAawBlAFwAbgAgACAAPQBMAEEATQBCAEQAQQAoAFwAbgAgACAAIAAgAEkAXwBqAGsALAAgAEMAUABfAGoAawAsAFwAbgAgACAAIAAgAEkAXwBqAGsAIAAqACAAQwBQAF8AagBrACAALwAgADYALgAyADUAXABuACAAIAApADsAXABuAFwAbgBWAEUARQBSAEcAXwA0AF8ANgBfADEAXwAzAF8AXwA1AF8ATgBpAHQAcgBvAGcAZQBuAEkAbgB0AGEAawBlAF8AVABpAHQAbABlAFwAbgAgACAAPQBMAEEATQBCAEQAQQAoAFwAIgBOAGkAdAByAG8AZwBlAG4AIABpAG4AdABhAGsAZQAgAG8AZgAgAHAAbwB1AGwAdAByAHkAXAAiACkAOwBcAG4AXABuAFYARQBFAFIARwBfADQAXwA2AF8AMQBfADMAXwBfADUAXwBOAGkAdAByAG8AZwBlAG4ASQBuAHQAYQBrAGUAXwBWAGEAcgBpAGEAYgBsAGUAXABuACAAIAA9AEwAQQBNAEIARABBACgAXAAiAE4ASQBfAGoAawBcACIAKQA7AFwAbgBcAG4AVgBFAEUAUgBHAF8ANABfADYAXwAxAF8AMwBfAF8ANQBfAE4AaQB0AHIAbwBnAGUAbgBJAG4AdABhAGsAZQBfAFUAbgBpAHQAXABuACAAIAA9AEwAQQBNAEIARABBACgAXAAiAGsAZwAgAE4ALwBiAGkAcgBkAC8AZABhAHkAXAAiACkAOwBcAG4AXABuAFYARQBFAFIARwBfADQAXwA2AF8AMQBfADMAXwBfADUAXwBOAGkAdAByAG8AZwBlAG4ASQBuAHQAYQBrAGUAXwBTAG8AdQByAGMAZQBcAG4AIAAgAD0ATABBAE0AQgBEAEEAKABcACIAVgBFAEUAUgBHACAAMgAwADIANgA6ACAANAAuADYALgAxAC4AMwAsACAARQBxAHUAYQB0AGkAbwBuACAAKAA1ACkAXAAiACkAOwBcAG4AXABuAFYARQBFAFIARwBfADQAXwA2AF8AMQBfADMAXwBfADUAXwBOAGkAdAByAG8AZwBlAG4ASQBuAHQAYQBrAGUAXwBOAEkAUgBSAGUAZgBlAHIAZQBuAGMAZQBcAG4AIAAgAD0ATABBAE0AQgBEAEEAKABcACIAXAAiACkAOwBcAG4AXABuAFYARQBFAFIARwBfADQAXwA2AF8AMQBfADMAXwBfADUAXwBOAGkAdAByAG8AZwBlAG4ASQBuAHQAYQBrAGUAXwBMAGEAdABlAHgARQBxAHUAYQB0AGkAbwBuAFwAbgAgACAAPQBMAEEATQBCAEQAQQAoAFwAIgBOAEkAXwB7AGoAawB9AD0ASQBfAHsAagBrAH0AXABcAHQAaQBtAGUAcwAgAEMAUABfAHsAagBrAH0AXABcAGQAaQB2ACAANgAuADIANQBcACIAKQA7AFwAbgBcAG4AVgBFAEUAUgBHAF8ANABfADYAXwAxAF8AMwBfAF8ANQBfAE4AaQB0AHIAbwBnAGUAbgBJAG4AdABhAGsAZQBfAEEAcgBnAHUAbQBlAG4AdABzAFwAbgAgACAAPQBMAEEATQBCAEQAQQAoAFwAbgAgACAAIAAgAE0AQQBLAEUAQQBSAFIAQQBZACgAMwAsACAAMgAsAFwAbgAgACAAIAAgACAAIABMAEEATQBCAEQAQQAoAHIALABjACwAXABuACAAIAAgACAAIAAgACAAIABJAE4ARABFAFgAKAB7AFwAbgAgACAAIAAgACAAIAAgACAAIAAgAFwAIgBJAF8AagBrAFwAIgAsAFwAIgBkAHIAeQAgAG0AYQB0AHQAZQByACAAaQBuAHQAYQBrAGUAIABmAG8AcgAgAGUAYQBjAGgAIABjAGwAYQBzAHMAIABhAG4AZAAgAHMAdQBiAGMAbABhAHMAcwAgADoAIABrAGcAIABEAE0ALwBiAGkAcgBkAC8AZABhAHkAXAAiADsAXABuACAAIAAgACAAIAAgACAAIAAgACAAXAAiAEMAUABfAGoAawBcACIALABcACIAYwByAHUAZABlACAAcAByAG8AdABlAGkAbgAgAGMAbwBuAHQAZQBuAHQAIABvAGYAIABmAGUAZQBkACAAOgAgAGYAcgBhAGMAdABpAG8AbgBcACIAOwBcAG4AIAAgACAAIAAgACAAIAAgACAAIABcACIANgAuADIANQBcACIALABcACIAZgBhAGMAdABvAHIAIABmAG8AcgAgAGMAbwBuAHYAZQByAHQAaQBuAGcAIABjAHIAdQBkAGUAIABwAHIAbwB0AGUAaQBuACAAaQBuAHQAbwAgAG4AaQB0AHIAbwBnAGUAbgAgADoAIAByAGEAdABpAG8AXAAiAFwAbgAgACAAIAAgACAAIAAgACAAfQAsACAAcgAsACAAYwApAFwAbgAgACAAIAAgACAAIAApAFwAbgAgACAAIAAgACkAXABuACAAIAApADsAXABuAFwAbgAvACoAXABuAC0ALQAtAC0ALQAtAC0ALQAtAC0ALQAtAC0ALQAtAC0ALQAtAC0ALQAtAC0ALQAtAC0ALQAtAC0ALQAtAC0ALQAtAC0ALQAtAC0ALQBcAG4AVgBFAEUAUgBHAF8ANABfADYAXwAxAF8AMwBfAF8ANgBfAFMAdABhAGcAZQAyAE4AaQB0AHIAbwBnAGUAbgBJAG4ATQBNAFMAXABuAE4AaQB0AHIAbwBnAGUAbgAgAGkAbgAgAHQAcgBlAGEAdABtAGUAbgB0ACAAcwB0AGEAZwBlACAAMgAgAE0ATQBTAFwAbgBNAE4AXwBqAGsAbQBUADIAXABuAGsAZwAgAE4AXABuAE0ATgBfAHsAagBrAG0ALABUAD0AMgB9AD0ATgBUAF8AewBqAGsAbQAsAFQAPQAyAH0AXABcAHQAaQBtAGUAcwAgAE0ATQBTAF8AewBtACwAVAA9ADIAfQBcAG4ATgBUAF8AagBrAG0AVAAyACAAPQAgAG4AaQB0AHIAbwBnAGUAbgAgAHQAcgBhAG4AcwBmAGUAcgByAGUAZAAgAHQAbwAgAHMAZQBjAG8AbgBkAGEAcgB5ACAAdAByAGUAYQB0AG0AZQBuAHQAIABNAE0AUwAgADoAIABrAGcAIABOAFwAbgBNAE0AUwBfAG0AVAAyACAAPQAgAGYAcgBhAGMAdABpAG8AbgAgAG8AZgAgAG0AYQBuAHUAcgBlACAAaQBuACAAZQBhAGMAaAAgAHMAZQBjAG8AbgBkAGEAcgB5ACAAcwB5AHMAdABlAG0AIAA6ACAAZgByAGEAYwB0AGkAbwBuAFwAbgBOAG8AdABlACAAPQAgAGQAaQByAGUAYwB0ACAAYQBwAHAAbABpAGMAYQB0AGkAbwBuACAAYQB0ACAAbQA9ADEAMwAsAHQAPQAyACAAaQBzACAAbQBvAHYAZQBkACAAdABvACAAbQBhAG4AdQByAGUAIABhAHAAcABsAGkAZQBkACAAdABvACAAcwBvAGkAbABzACAAYQBuAGQAIABlAHgAYwBsAHUAZABlAGQAIABmAHIAbwBtACAAdABoAGkAcwAgAGUAcQB1AGEAdABpAG8AbgBcAG4ALQAtAC0ALQAtAC0ALQAtAC0ALQAtAC0ALQAtAC0ALQAtAC0ALQAtAC0ALQAtAC0ALQAtAC0ALQAtAC0ALQAtAC0ALQAtAC0ALQAtAFwAbgAqAC8AXABuAFwAbgBWAEUARQBSAEcAXwA0AF8ANgBfADEAXwAzAF8AXwA2AF8AUwB0AGEAZwBlADIATgBpAHQAcgBvAGcAZQBuAEkAbgBNAE0AUwBcAG4AIAAgAD0ATABBAE0AQgBEAEEAKABcAG4AIAAgACAAIABOAFQAXwBqAGsAbQBUADIALAAgAE0ATQBTAF8AbQBUADIALABcAG4AIAAgACAAIABOAFQAXwBqAGsAbQBUADIAIAAqACAATQBNAFMAXwBtAFQAMgBcAG4AIAAgACkAOwBcAG4AXABuAFYARQBFAFIARwBfADQAXwA2AF8AMQBfADMAXwBfADYAXwBTAHQAYQBnAGUAMgBOAGkAdAByAG8AZwBlAG4ASQBuAE0ATQBTAF8AVABpAHQAbABlAFwAbgAgACAAPQBMAEEATQBCAEQAQQAoAFwAIgBOAGkAdAByAG8AZwBlAG4AIABpAG4AIAB0AHIAZQBhAHQAbQBlAG4AdAAgAHMAdABhAGcAZQAgADIAIABNAE0AUwBcACIAKQA7AFwAbgBcAG4AVgBFAEUAUgBHAF8ANABfADYAXwAxAF8AMwBfAF8ANgBfAFMAdABhAGcAZQAyAE4AaQB0AHIAbwBnAGUAbgBJAG4ATQBNAFMAXwBWAGEAcgBpAGEAYgBsAGUAXABuACAAIAA9AEwAQQBNAEIARABBACgAXAAiAE0ATgBfAGoAawBtAFQAMgBcACIAKQA7AFwAbgBcAG4AVgBFAEUAUgBHAF8ANABfADYAXwAxAF8AMwBfAF8ANgBfAFMAdABhAGcAZQAyAE4AaQB0AHIAbwBnAGUAbgBJAG4ATQBNAFMAXwBVAG4AaQB0AFwAbgAgACAAPQBMAEEATQBCAEQAQQAoAFwAIgBrAGcAIABOAFwAIgApADsAXABuAFwAbgBWAEUARQBSAEcAXwA0AF8ANgBfADEAXwAzAF8AXwA2AF8AUwB0AGEAZwBlADIATgBpAHQAcgBvAGcAZQBuAEkAbgBNAE0AUwBfAFMAbwB1AHIAYwBlAFwAbgAgACAAPQBMAEEATQBCAEQAQQAoAFwAIgBWAEUARQBSAEcAIAAyADAAMgA2ADoAIAA0AC4ANgAuADEALgAzACwAIABFAHEAdQBhAHQAaQBvAG4AIAAoADYAKQBcACIAKQA7AFwAbgBcAG4AVgBFAEUAUgBHAF8ANABfADYAXwAxAF8AMwBfAF8ANgBfAFMAdABhAGcAZQAyAE4AaQB0AHIAbwBnAGUAbgBJAG4ATQBNAFMAXwBOAEkAUgBSAGUAZgBlAHIAZQBuAGMAZQBcAG4AIAAgAD0ATABBAE0AQgBEAEEAKABcACIAXAAiACkAOwBcAG4AXABuAFYARQBFAFIARwBfADQAXwA2AF8AMQBfADMAXwBfADYAXwBTAHQAYQBnAGUAMgBOAGkAdAByAG8AZwBlAG4ASQBuAE0ATQBTAF8ATABhAHQAZQB4AEUAcQB1AGEAdABpAG8AbgBcAG4AIAAgAD0ATABBAE0AQgBEAEEAKABcACIATQBOAF8AewBqAGsAbQAsAFQAPQAyAH0APQBOAFQAXwB7AGoAawBtACwAVAA9ADIAfQBcAFwAdABpAG0AZQBzACAATQBNAFMAXwB7AG0ALABUAD0AMgB9AFwAIgApADsAXABuAFwAbgBWAEUARQBSAEcAXwA0AF8ANgBfADEAXwAzAF8AXwA2AF8AUwB0AGEAZwBlADIATgBpAHQAcgBvAGcAZQBuAEkAbgBNAE0AUwBfAEEAcgBnAHUAbQBlAG4AdABzAFwAbgAgACAAPQBMAEEATQBCAEQAQQAoAFwAbgAgACAAIAAgAE0AQQBLAEUAQQBSAFIAQQBZACgAMgAsACAAMgAsAFwAbgAgACAAIAAgACAAIABMAEEATQBCAEQAQQAoAHIALABjACwAXABuACAAIAAgACAAIAAgACAAIABJAE4ARABFAFgAKAB7AFwAbgAgACAAIAAgACAAIAAgACAAIAAgAFwAIgBOAFQAXwBqAGsAbQBUADIAXAAiACwAXAAiAG4AaQB0AHIAbwBnAGUAbgAgAHQAcgBhAG4AcwBmAGUAcgByAGUAZAAgAHQAbwAgAHMAZQBjAG8AbgBkAGEAcgB5ACAAdAByAGUAYQB0AG0AZQBuAHQAIABNAE0AUwAgADoAIABrAGcAIABOAFwAIgA7AFwAbgAgACAAIAAgACAAIAAgACAAIAAgAFwAIgBNAE0AUwBfAG0AVAAyAFwAIgAsAFwAIgBmAHIAYQBjAHQAaQBvAG4AIABvAGYAIABtAGEAbgB1AHIAZQAgAGkAbgAgAGUAYQBjAGgAIABzAGUAYwBvAG4AZABhAHIAeQAgAHMAeQBzAHQAZQBtACAAOgAgAGYAcgBhAGMAdABpAG8AbgBcACIAXABuACAAIAAgACAAIAAgACAAIAB9ACwAIAByACwAIABjACkAXABuACAAIAAgACAAIAAgACkAXABuACAAIAAgACAAKQBcAG4AIAAgACkAOwBcAG4AXABuAC8AKgBcAG4ALQAtAC0ALQAtAC0ALQAtAC0ALQAtAC0ALQAtAC0ALQAtAC0ALQAtAC0ALQAtAC0ALQAtAC0ALQAtAC0ALQAtAC0ALQAtAC0ALQAtAFwAbgBWAEUARQBSAEcAXwA0AF8ANgBfADEAXwAzAF8AXwA3AF8ATgBpAHQAcgBvAGcAZQBuAFQAcgBhAG4AcwBmAGUAcgByAGUAZABUAG8AUwB0AGEAZwBlADIATQBNAFMAXABuAE4AaQB0AHIAbwBnAGUAbgAgAHQAcgBhAG4AcwBmAGUAcgByAGUAZAAgAHQAbwAgAHQAcgBlAGEAdABtAGUAbgB0ACAAcwB0AGEAZwBlACAAMgAgAE0ATQBTAFwAbgBOAFQAXwBqAGsAbQBUADIAXABuAGsAZwAgAE4AXABuAE4AVABfAHsAagBrAG0ALABUAD0AMgB9AD0ATQBOAF8AewBqAGsAbQAsAFQAPQAxAH0AXABcAHQAaQBtAGUAcwAoADEALQBGAHIAYQBjAEcAQQBTAE0AXwB7AG0ALABUAD0AMQB9AC0ARQBGAF8AewBtACwAVAA9ADEAfQApAFwAbgBNAE4AXwBqAGsAbQBUADEAIAA9ACAAbgBpAHQAcgBvAGcAZQBuACAAaQBuACAATQBNAFMAIAB0AHIAZQBhAHQAbQBlAG4AdAAgAHMAdABhAGcAZQAgADEAIAA6ACAAawBnACAATgBcAG4ARgByAGEAYwBHAEEAUwBNAF8AbQBUADEAIAA9ACAAZgByAGEAYwB0AGkAbwBuACAAbwBmACAATgAgAHYAbwBsAGEAdABpAGwAaQBzAGUAZAAgAGYAcgBvAG0AIABNAE0AUwAgAHQAcgBlAGEAdABtAGUAbgB0ACAAYQB0ACAAcwB0AGEAZwBlACAAMQAgADoAIABmAHIAYQBjAHQAaQBvAG4AXABuAEUARgBfAG0AVAAxACAAPQAgAG4AaQB0AHIAbwB1AHMAIABvAHgAaQBkAGUAIABlAG0AaQBzAHMAaQBvAG4AIABmAGEAYwB0AG8AcgAgAGYAbwByACAATQBNAFMAIAB0AHIAZQBhAHQAbQBlAG4AdAAgAGEAdAAgAHMAdABhAGcAZQAgADEAIAA6ACAAawBnACAATgAyAE8ALQBOAC8AawBnACAATgBcAG4ALQAtAC0ALQAtAC0ALQAtAC0ALQAtAC0ALQAtAC0ALQAtAC0ALQAtAC0ALQAtAC0ALQAtAC0ALQAtAC0ALQAtAC0ALQAtAC0ALQAtAFwAbgAqAC8AXABuAFwAbgBWAEUARQBSAEcAXwA0AF8ANgBfADEAXwAzAF8AXwA3AF8ATgBpAHQAcgBvAGcAZQBuAFQAcgBhAG4AcwBmAGUAcgByAGUAZABUAG8AUwB0AGEAZwBlADIATQBNAFMAXABuACAAIAA9AEwAQQBNAEIARABBACgAXABuACAAIAAgACAATQBOAF8AagBrAG0AVAAxACwAIABGAHIAYQBjAEcAQQBTAE0AXwBtAFQAMQAsACAARQBGAF8AbQBUADEALABcAG4AIAAgACAAIABNAE4AXwBqAGsAbQBUADEAIAAqACAAKAAxACAALQAgAEYAcgBhAGMARwBBAFMATQBfAG0AVAAxACAALQAgAEUARgBfAG0AVAAxACkAXABuACAAIAApADsAXABuAFwAbgBWAEUARQBSAEcAXwA0AF8ANgBfADEAXwAzAF8AXwA3AF8ATgBpAHQAcgBvAGcAZQBuAFQAcgBhAG4AcwBmAGUAcgByAGUAZABUAG8AUwB0AGEAZwBlADIATQBNAFMAXwBUAGkAdABsAGUAXABuACAAIAA9AEwAQQBNAEIARABBACgAXAAiAE4AaQB0AHIAbwBnAGUAbgAgAHQAcgBhAG4AcwBmAGUAcgByAGUAZAAgAHQAbwAgAHQAcgBlAGEAdABtAGUAbgB0ACAAcwB0AGEAZwBlACAAMgAgAE0ATQBTAFwAIgApADsAXABuAFwAbgBWAEUARQBSAEcAXwA0AF8ANgBfADEAXwAzAF8AXwA3AF8ATgBpAHQAcgBvAGcAZQBuAFQAcgBhAG4AcwBmAGUAcgByAGUAZABUAG8AUwB0AGEAZwBlADIATQBNAFMAXwBWAGEAcgBpAGEAYgBsAGUAXABuACAAIAA9AEwAQQBNAEIARABBACgAXAAiAE4AVABfAGoAawBtAFQAMgBcACIAKQA7AFwAbgBcAG4AVgBFAEUAUgBHAF8ANABfADYAXwAxAF8AMwBfAF8ANwBfAE4AaQB0AHIAbwBnAGUAbgBUAHIAYQBuAHMAZgBlAHIAcgBlAGQAVABvAFMAdABhAGcAZQAyAE0ATQBTAF8AVQBuAGkAdABcAG4AIAAgAD0ATABBAE0AQgBEAEEAKABcACIAawBnACAATgBcACIAKQA7AFwAbgBcAG4AVgBFAEUAUgBHAF8ANABfADYAXwAxAF8AMwBfAF8ANwBfAE4AaQB0AHIAbwBnAGUAbgBUAHIAYQBuAHMAZgBlAHIAcgBlAGQAVABvAFMAdABhAGcAZQAyAE0ATQBTAF8AUwBvAHUAcgBjAGUAXABuACAAIAA9AEwAQQBNAEIARABBACgAXAAiAFYARQBFAFIARwAgADIAMAAyADYAOgAgADQALgA2AC4AMQAuADMALAAgAEUAcQB1AGEAdABpAG8AbgAgACgANwApAFwAIgApADsAXABuAFwAbgBWAEUARQBSAEcAXwA0AF8ANgBfADEAXwAzAF8AXwA3AF8ATgBpAHQAcgBvAGcAZQBuAFQAcgBhAG4AcwBmAGUAcgByAGUAZABUAG8AUwB0AGEAZwBlADIATQBNAFMAXwBOAEkAUgBSAGUAZgBlAHIAZQBuAGMAZQBcAG4AIAAgAD0ATABBAE0AQgBEAEEAKABcACIAXAAiACkAOwBcAG4AXABuAFYARQBFAFIARwBfADQAXwA2AF8AMQBfADMAXwBfADcAXwBOAGkAdAByAG8AZwBlAG4AVAByAGEAbgBzAGYAZQByAHIAZQBkAFQAbwBTAHQAYQBnAGUAMgBNAE0AUwBfAEwAYQB0AGUAeABFAHEAdQBhAHQAaQBvAG4AXABuACAAIAA9AEwAQQBNAEIARABBACgAXAAiAE4AVABfAHsAagBrAG0ALABUAD0AMgB9AD0ATQBOAF8AewBqAGsAbQAsAFQAPQAxAH0AXABcAHQAaQBtAGUAcwAoADEALQBGAHIAYQBjAEcAQQBTAE0AXwB7AG0ALABUAD0AMQB9AC0ARQBGAF8AewBtACwAVAA9ADEAfQApAFwAIgApADsAXABuAFwAbgBWAEUARQBSAEcAXwA0AF8ANgBfADEAXwAzAF8AXwA3AF8ATgBpAHQAcgBvAGcAZQBuAFQAcgBhAG4AcwBmAGUAcgByAGUAZABUAG8AUwB0AGEAZwBlADIATQBNAFMAXwBBAHIAZwB1AG0AZQBuAHQAcwBcAG4AIAAgAD0ATABBAE0AQgBEAEEAKABcAG4AIAAgACAAIABNAEEASwBFAEEAUgBSAEEAWQAoADMALAAgADIALABcAG4AIAAgACAAIAAgACAATABBAE0AQgBEAEEAKAByACwAYwAsAFwAbgAgACAAIAAgACAAIAAgACAASQBOAEQARQBYACgAewBcAG4AIAAgACAAIAAgACAAIAAgACAAIABcACIATQBOAF8AagBrAG0AVAAxAFwAIgAsAFwAIgBuAGkAdAByAG8AZwBlAG4AIABpAG4AIABNAE0AUwAgAHQAcgBlAGEAdABtAGUAbgB0ACAAcwB0AGEAZwBlACAAMQAgADoAIABrAGcAIABOAFwAIgA7AFwAbgAgACAAIAAgACAAIAAgACAAIAAgAFwAIgBGAHIAYQBjAEcAQQBTAE0AXwBtAFQAMQBcACIALABcACIAZgByAGEAYwB0AGkAbwBuACAAbwBmACAATgAgAHYAbwBsAGEAdABpAGwAaQBzAGUAZAAgAGYAcgBvAG0AIABNAE0AUwAgAHQAcgBlAGEAdABtAGUAbgB0ACAAYQB0ACAAcwB0AGEAZwBlACAAMQAgADoAIABmAHIAYQBjAHQAaQBvAG4AXAAiADsAXABuACAAIAAgACAAIAAgACAAIAAgACAAXAAiAEUARgBfAG0AVAAxAFwAIgAsAFwAIgBuAGkAdAByAG8AdQBzACAAbwB4AGkAZABlACAAZQBtAGkAcwBzAGkAbwBuACAAZgBhAGMAdABvAHIAIABmAG8AcgAgAE0ATQBTACAAdAByAGUAYQB0AG0AZQBuAHQAIABhAHQAIABzAHQAYQBnAGUAIAAxACAAOgAgAGsAZwAgAE4AMgBPAC0ATgAvAGsAZwAgAE4AXAAiAFwAbgAgACAAIAAgACAAIAAgACAAfQAsACAAcgAsACAAYwApAFwAbgAgACAAIAAgACAAIAApAFwAbgAgACAAIAAgACkAXABuACAAIAApADsAXABuAFwAbgAiAH0ALAB7ACIAcABhAHQAaAAiADoAIgAvAHAAcgBvAGoAZQBjAHQAcwAvAE0ATQBTAF8AUABvAHUAbAB0AHIAeQBfAEEAdABtAG8AcwBwAGgAZQByAGkAYwBEAGUAcABvAHMAaQB0AGkAbwBuAF8ARQBxAHUAYQB0AGkAbwBuAHMAIgAsACIAdABlAHgAdAAiADoAIgAvACoAXABuAD0APQA9AD0APQA9AD0APQA9AD0APQA9AD0APQA9AD0APQA9AD0APQA9AD0APQA9AD0APQA9AD0APQA9AD0APQA9AD0APQA9AD0APQA9AD0APQA9AD0APQA9AD0APQA9AD0APQA9AD0APQA9AD0APQA9AD0APQA9AD0APQA9AD0APQA9AD0APQA9AD0APQA9AD0APQA9AD0AXABuADQALgA2ADoAIABQAG8AdQBsAHQAcgB5AFwAbgA9AD0APQA9AD0APQA9AD0APQA9AD0APQA9AD0APQA9AD0APQA9AD0APQA9AD0APQA9AD0APQA9AD0APQA9AD0APQA9AD0APQA9AD0APQA9AD0APQA9AD0APQA9AD0APQA9AD0APQA9AD0APQA9AD0APQA9AD0APQA9AD0APQA9AD0APQA9AD0APQA9AD0APQA9AD0APQA9AFwAbgA0AC4ANgAuADEALgA1ACAATQBlAHQAaABvAGQAIAAxACAALQAgAE0AYQBuAHUAcgBlACAAQQB0AG0AbwBzAHAAaABlAHIAaQBjACAARABlAHAAbwBzAGkAdABpAG8AbgAgAFAAbwB1AGwAdA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gBfADEAXwA1AF8AXwAxAF8AVABvAHQAYQBsAEEAbgBuAHUAYQBsAEEAdABtAG8AcwBwAGgAZQByAGkAYwBEAGUAcABvAHMAaQB0AGkAbwBuAEUAbQBpAHMAcwBpAG8AbgBzAEYAcgBvAG0ATQBNAFMAXABuAFQAbwB0AGEAbAAgAGEAbgBuAHUAYQBsACAAYQB0AG0AbwBzAHAAaABlAHIAaQBjACAAZABlAHAAbwBzAGkAdABpAG8AbgAgAGUAbQBpAHMAcwBpAG8AbgBzACAAZgByAG8AbQAgAG0AYQBuAHUAcgBlACAAbQBhAG4AYQBnAGUAbQBlAG4AdABcAG4ARQBfAE4AMgBPAGEAZABcAG4AdAAgAE4AMgBPAFwAbgBFAF8AewBOADIATwAsAGEAZAB9AD0AKABNAE0AUwBfAHsAQQBUAE0ATwBTAH0AXABcAHQAaQBtAGUAcwAgAEUARgBfAHsATgAyAE8AfQBcAFwAdABpAG0AZQBzACAAQwBfAHsATgAyAE8AfQApAFwAXAB0AGkAbQBlAHMAMQAwAF4AewAtADMAfQBcAG4ATQBNAFMAXwBBAFQATQBPAFMAIAA9ACAAbQBhAHMAcwAgAG8AZgAgAE4AIAB2AG8AbABhAHQAaQBsAGkAcwBlAGQAIABmAHIAbwBtACAATQBNAFMAIAA6ACAAawBnACAATgBcAG4ARQBGAF8ATgAyAE8AIAA9ACAAbgBpAHQAcgBvAHUAcwAgAG8AeABpAGQAZQAgAGUAbQBpAHMAcwBpAG8AbgAgAGYAYQBjAHQAbwByACAAZgBvAHIAIABhAHQAbQBvAHMAcABoAGUAcgBpAGMAIABkAGUAcABvAHMAaQB0AGkAbwBuACAAOgAgAGsAZwAgAE4AMgBPAC0ATgAvAGsAZwAgAE4AXABuAEMAXwBOADIATwAgAD0AIABmAGEAYwB0AG8AcgAgAHQAbwAgAGMAbwBuAHYAZQByAHQAIABlAGwAZQBtAGUAbgB0AGEAbAAgAG0AYQBzAHMAIABvAGYAIABuAGkAdAByAG8AdQBzACAAbwB4AGkAZABlACAAdABvACAAbQBvAGwAZQBjAHUAbABhAHIAIABtAGEAcwBzACAAOgAgAHIAYQB0AGkAbwBcAG4ALQAtAC0ALQAtAC0ALQAtAC0ALQAtAC0ALQAtAC0ALQAtAC0ALQAtAC0ALQAtAC0ALQAtAC0ALQAtAC0ALQAtAC0ALQAtAC0ALQAtAFwAbgAqAC8AXABuAFwAbgBWAEUARQBSAEcAXwA0AF8ANgBfADEAXwA1AF8AXwAxAF8AVABvAHQAYQBsAEEAbgBuAHUAYQBsAEEAdABtAG8AcwBwAGgAZQByAGkAYwBEAGUAcABvAHMAaQB0AGkAbwBuAEUAbQBpAHMAcwBpAG8AbgBzAEYAcgBvAG0ATQBNAFMAXABuACAAIAA9AEwAQQBNAEIARABBACgAXABuACAAIAAgACAATQBNAFMAXwBBAFQATQBPAFMALAAgAEUARgBfAE4AMgBPACwAIABDAF8ATgAyAE8ALABcAG4AIAAgACAAIAAoAE0ATQBTAF8AQQBUAE0ATwBTACAAKgAgAEUARgBfAE4AMgBPACAAKgAgAEMAXwBOADIATwApACAAKgAgADEAMAAgAF4AIAAtADMAXABuACAAIAApADsAXABuAFwAbgBWAEUARQBSAEcAXwA0AF8ANgBfADEAXwA1AF8AXwAxAF8AVABvAHQAYQBsAEEAbgBuAHUAYQBsAEEAdABtAG8AcwBwAGgAZQByAGkAYwBEAGUAcABvAHMAaQB0AGkAbwBuAEUAbQBpAHMAcwBpAG8AbgBzAEYAcgBvAG0ATQBNAFMAXwBUAGkAdABsAGUAXABuACAAIAA9AEwAQQBNAEIARABBACgAXAAiAFQAbwB0AGEAbAAgAGEAbgBuAHUAYQBsACAAYQB0AG0AbwBzAHAAaABlAHIAaQBjACAAZABlAHAAbwBzAGkAdABpAG8AbgAgAGUAbQBpAHMAcwBpAG8AbgBzACAAZgByAG8AbQAgAG0AYQBuAHUAcgBlACAAbQBhAG4AYQBnAGUAbQBlAG4AdABcACIAKQA7AFwAbgBcAG4AVgBFAEUAUgBHAF8ANABfADYAXwAxAF8ANQBfAF8AMQBfAFQAbwB0AGEAbABBAG4AbgB1AGEAbABBAHQAbQBvAHMAcABoAGUAcgBpAGMARABlAHAAbwBzAGkAdABpAG8AbgBFAG0AaQBzAHMAaQBvAG4AcwBGAHIAbwBtAE0ATQBTAF8AVgBhAHIAaQBhAGIAbABlAFwAbgAgACAAPQBMAEEATQBCAEQAQQAoAFwAIgBFAF8ATgAyAE8AYQBkAFwAIgApADsAXABuAFwAbgBWAEUARQBSAEcAXwA0AF8ANgBfADEAXwA1AF8AXwAxAF8AVABvAHQAYQBsAEEAbgBuAHUAYQBsAEEAdABtAG8AcwBwAGgAZQByAGkAYwBEAGUAcABvAHMAaQB0AGkAbwBuAEUAbQBpAHMAcwBpAG8AbgBzAEYAcgBvAG0ATQBNAFMAXwBVAG4AaQB0AFwAbgAgACAAPQBMAEEATQBCAEQAQQAoAFwAIgB0ACAATgAyAE8AXAAiACkAOwBcAG4AXABuAFYARQBFAFIARwBfADQAXwA2AF8AMQBfADUAXwBfADEAXwBUAG8AdABhAGwAQQBuAG4AdQBhAGwAQQB0AG0AbwBzAHAAaABlAHIAaQBjAEQAZQBwAG8AcwBpAHQAaQBvAG4ARQBtAGkAcwBzAGkAbwBuAHMARgByAG8AbQBNAE0AUwBfAFMAbwB1AHIAYwBlAFwAbgAgACAAPQBMAEEATQBCAEQAQQAoAFwAIgBWAEUARQBSAEcAIAAyADAAMgA2ADoAIAA0AC4ANgAuADEALgA1ACwAIABFAHEAdQBhAHQAaQBvAG4AIAAoADEAKQBcACIAKQA7AFwAbgBcAG4AVgBFAEUAUgBHAF8ANABfADYAXwAxAF8ANQBfAF8AMQBfAFQAbwB0AGEAbABBAG4AbgB1AGEAbABBAHQAbQBvAHMAcABoAGUAcgBpAGMARABlAHAAbwBzAGkAdABpAG8AbgBFAG0AaQBzAHMAaQBvAG4AcwBGAHIAbwBtAE0ATQBTAF8ATgBJAFIAUgBlAGYAZQByAGUAbgBjAGUAXABuACAAIAA9AEwAQQBNAEIARABBACgAXAAiAFwAIgApADsAXABuAFwAbgBWAEUARQBSAEcAXwA0AF8ANgBfADEAXwA1AF8AXwAxAF8AVABvAHQAYQBsAEEAbgBuAHUAYQBsAEEAdABtAG8AcwBwAGgAZQByAGkAYwBEAGUAcABvAHMAaQB0AGkAbwBuAEUAbQBpAHMAcwBpAG8AbgBzAEYAcgBvAG0ATQBNAFMAXwBMAGEAdABlAHgARQBxAHUAYQB0AGkAbwBuAFwAbgAgACAAPQBMAEEATQBCAEQAQQAoAFwAIgBFAF8AewBOADIATwAsAGEAZAB9AD0AKABNAE0AUwBfAHsAQQBUAE0ATwBTAH0AXABcAHQAaQBtAGUAcwAgAEUARgBfAHsATgAyAE8AfQBcAFwAdABpAG0AZQBzACAAQwBfAHsATgAyAE8AfQApAFwAXAB0AGkAbQBlAHMAMQAwAF4AewAtADMAfQBcACIAKQA7AFwAbgBcAG4AVgBFAEUAUgBHAF8ANABfADYAXwAxAF8ANQBfAF8AMQBfAFQAbwB0AGEAbABBAG4AbgB1AGEAbABBAHQAbQBvAHMAcABoAGUAcgBpAGMARABlAHAAbwBzAGkAdABpAG8AbgBFAG0AaQBzAHMAaQBvAG4AcwBGAHIAbwBtAE0ATQBTAF8AQQByAGcAdQBtAGUAbgB0AHMAXABuACAAIAA9AEwAQQBNAEIARABBACgAXABuACAAIAAgACAATQBBAEsARQBBAFIAUgBBAFkAKAA2ACwAIAAyACwAXABuACAAIAAgACAAIAAgAEwAQQBNAEIARABBACgAcgAsAGMALABcAG4AIAAgACAAIAAgACAAIAAgAEkATgBEAEUAWAAoAHsAXABuACAAIAAgACAAIAAgACAAIAAgACAAXAAiAE0ATQBTAF8AQQBUAE0ATwBTAFwAIgAsAFwAIgBtAGEAcwBzACAAbwBmACAATgAgAHYAbwBsAGEAdABpAGwAaQBzAGUAZAAgAGYAcgBvAG0AIABNAE0AUwAgADoAIABrAGcAIABOAFwAIgA7AFwAbgAgACAAIAAgACAAIAAgACAAIAAgAFwAIgBFAEYAXwBOADIATwBcACIALABcACIAbgBpAHQAcgBvAHUAcwAgAG8AeABpAGQAZQAgAGUAbQBpAHMAcwBpAG8AbgAgAGYAYQBjAHQAbwByACAAZgBvAHIAIABhAHQAbQBvAHMAcABoAGUAcgBpAGMAIABkAGUAcABvAHMAaQB0AGkAbwBuACAAOgAgAGsAZwAgAE4AMgBPAC0ATgAvAGsAZwAgAE4AXAAiADsAXABuACAAIAAgACAAIAAgACAAIAAgACAAXAAiAEMAXwBOADIATwBcACIALABcACIAZgBhAGMAdABvAHIAIAB0AG8AIABjAG8AbgB2AGUAcgB0ACAAZQBsAGUAbQBlAG4AdABhAGwAIABtAGEAcwBzACAAbwBmACAAbgBpAHQAcgBvAHUAcwAgAG8AeABpAGQAZQAgAHQAbwAgAG0AbwBsAGUAYwB1AGwAYQByACAAbQBhAHMAcwAgADoAIAByAGEAdABpAG8AXAAiADsAXABuACAAIAAgACAAIAAgACAAIAAgACAAXAAiAGoAXAAiACwAIABcACIAcAByAG8AZAB1AGMAdABpAG8AbgAgAHMAeQBzAHQAZQBtAFwAIgA7AFwAbgAgACAAIAAgACAAIAAgACAAIAAgAFwAIgBpAHIAXAAiACwAIABcACIAaQByAHIAaQBnAGEAdABpAG8AbgAgAG0AZQB0AGgAbwBkAFwAIgA7AFwAbgAgACAAIAAgACAAIAAgACAAIAAgAFwAIgByAFwAIgAsACAAXAAiAHIAYQBpAG4AZgBhAGwAbAAgAHIAZQBnAGkAbwBuAFwAIgBcAG4AIAAgACAAIAAgACAAIAAgAH0ALAAgAHIALAAgAGMAKQBcAG4AIAAgACAAIAAgACAAKQBcAG4AIAAgACAAIAApAFwAbgAgACAAKQA7AFwAbgBcAG4ALwAqAFwAbgAtAC0ALQAtAC0ALQAtAC0ALQAtAC0ALQAtAC0ALQAtAC0ALQAtAC0ALQAtAC0ALQAtAC0ALQAtAC0ALQAtAC0ALQAtAC0ALQAtAC0AXABuAFYARQBFAFIARwBfADQAXwA2AF8AMQBfADUAXwBfADIAXwBUAG8AdABhAGwATgBpAHQAcgBvAGcAZQBuAFYAbwBsAGEAdABpAGwAaQBzAGUAZABGAHIAbwBtAE0ATQBTAFwAbgBUAG8AdABhAGwAIABuAGkAdAByAG8AZwBlAG4AIAB2AG8AbABhAHQAaQBsAGkAcwBlAGQAIABmAHIAbwBtACAAbQBhAG4AdQByAGUAIABtAGEAbgBhAGcAZQBtAGUAbgB0ACAAcwB5AHMAdABlAG0AcwBcAG4ATQBNAFMAXwBBAFQATQBPAFMAXABuAGsAZwAgAE4AXABuAE0ATQBTAF8AewBBAFQATQBPAFMAfQA9AFwAXABzAHUAbQBfAHsAagB9AFwAXABzAHUAbQBfAHsAawB9AFwAXABzAHUAbQBfAHsAbQB9AFwAXABzAHUAbQBfAHsAVAB9ACgATQBOAF8AewBqAGsAbQBUAH0AXABcAHQAaQBtAGUAcwAgAEYAcgBhAGMARwBBAFMATQBfAHsAbQBUAH0AKQBcAG4ATQBOAF8AagBrAG0AVAAgAD0AIABuAGkAdAByAG8AZwBlAG4AIABpAG4AIABlAGEAYwBoACAAdAByAGUAYQB0AG0AZQBuAHQAIABzAHQAYQBnAGUAIABNAE0AUwAgACgAZQB4AGMAbAB1AGQAaQBuAGcAIABNAE4AXwBqAGsAbQAxADMAVAAyACkAIAA6ACAAawBnACAATgBcAG4ARgByAGEAYwBHAEEAUwBNAF8AbQBUACAAPQAgAGYAcgBhAGMAdABpAG8AbgAgAG8AZgAgAE4AIAB2AG8AbABhAHQAaQBsAGkAcwBlAGQAIABpAG4AIABlAGEAYwBoACAATQBNAFMAIAA6ACAAKABrAGcAIABOAEgAMwAtAE4AIAArACAATgBPAHgALQBOACkALwBrAGcAIABOAFwAbgAtAC0ALQAtAC0ALQAtAC0ALQAtAC0ALQAtAC0ALQAtAC0ALQAtAC0ALQAtAC0ALQAtAC0ALQAtAC0ALQAtAC0ALQAtAC0ALQAtAC0AXABuACoALwBcAG4AXABuAFYARQBFAFIARwBfADQAXwA2AF8AMQBfADUAXwBfADIAXwBUAG8AdABhAGwATgBpAHQAcgBvAGcAZQBuAFYAbwBsAGEAdABpAGwAaQBzAGUAZABGAHIAbwBtAE0ATQBTAFwAbgAgACAAPQBMAEEATQBCAEQAQQAoAFwAbgAgACAAIAAgAE0ATgBfAGoAawBtAFQALAAgAEYAcgBhAGMARwBBAFMATQBfAG0AVAAsAFwAbgAgACAAIAAgAE0ATgBfAGoAawBtAFQAIAAqACAARgByAGEAYwBHAEEAUwBNAF8AbQBUAFwAbgAgACAAKQA7AFwAbgBcAG4AVgBFAEUAUgBHAF8ANABfADYAXwAxAF8ANQBfAF8AMgBfAFQAbwB0AGEAbABOAGkAdAByAG8AZwBlAG4AVgBvAGwAYQB0AGkAbABpAHMAZQBkAEYAcgBvAG0ATQBNAFMAXwBUAGkAdABsAGUAXABuACAAIAA9AEwAQQBNAEIARABBACgAXAAiAFQAbwB0AGEAbAAgAG4AaQB0AHIAbwBnAGUAbgAgAHYAbwBsAGEAdABpAGwAaQBzAGUAZAAgAGYAcgBvAG0AIABtAGEAbgB1AHIAZQAgAG0AYQBuAGEAZwBlAG0AZQBuAHQAIABzAHkAcwB0AGUAbQBzAFwAIgApADsAXABuAFwAbgBWAEUARQBSAEcAXwA0AF8ANgBfADEAXwA1AF8AXwAyAF8AVABvAHQAYQBsAE4AaQB0AHIAbwBnAGUAbgBWAG8AbABhAHQAaQBsAGkAcwBlAGQARgByAG8AbQBNAE0AUwBfAFYAYQByAGkAYQBiAGwAZQBcAG4AIAAgAD0ATABBAE0AQgBEAEEAKABcACIATQBNAFMAXwBBAFQATQBPAFMAXAAiACkAOwBcAG4AXABuAFYARQBFAFIARwBfADQAXwA2AF8AMQBfADUAXwBfADIAXwBUAG8AdABhAGwATgBpAHQAcgBvAGcAZQBuAFYAbwBsAGEAdABpAGwAaQBzAGUAZABGAHIAbwBtAE0ATQBTAF8AVQBuAGkAdABcAG4AIAAgAD0ATABBAE0AQgBEAEEAKABcACIAawBnACAATgBcACIAKQA7AFwAbgBcAG4AVgBFAEUAUgBHAF8ANABfADYAXwAxAF8ANQBfAF8AMgBfAFQAbwB0AGEAbABOAGkAdAByAG8AZwBlAG4AVgBvAGwAYQB0AGkAbABpAHMAZQBkAEYAcgBvAG0ATQBNAFMAXwBTAG8AdQByAGMAZQBcAG4AIAAgAD0ATABBAE0AQgBEAEEAKABcACIAVgBFAEUAUgBHACAAMgAwADIANgA6ACAANAAuADYALgAxAC4ANQAsACAARQBxAHUAYQB0AGkAbwBuACAAKAAyACkAXAAiACkAOwBcAG4AXABuAFYARQBFAFIARwBfADQAXwA2AF8AMQBfADUAXwBfADIAXwBUAG8AdABhAGwATgBpAHQAcgBvAGcAZQBuAFYAbwBsAGEAdABpAGwAaQBzAGUAZABGAHIAbwBtAE0ATQBTAF8ATgBJAFIAUgBlAGYAZQByAGUAbgBjAGUAXABuACAAIAA9AEwAQQBNAEIARABBACgAXAAiAFwAIgApADsAXABuAFwAbgBWAEUARQBSAEcAXwA0AF8ANgBfADEAXwA1AF8AXwAyAF8AVABvAHQAYQBsAE4AaQB0AHIAbwBnAGUAbgBWAG8AbABhAHQAaQBsAGkAcwBlAGQARgByAG8AbQBNAE0AUwBfAEwAYQB0AGUAeABFAHEAdQBhAHQAaQBvAG4AXABuACAAIAA9AEwAQQBNAEIARABBACgAXAAiAE0ATQBTAF8AewBBAFQATQBPAFMAfQA9AFwAXABzAHUAbQBfAHsAagB9AFwAXABzAHUAbQBfAHsAawB9AFwAXABzAHUAbQBfAHsAbQB9AFwAXABzAHUAbQBfAHsAVAB9ACgATQBOAF8AewBqAGsAbQBUAH0AXABcAHQAaQBtAGUAcwAgAEYAcgBhAGMARwBBAFMATQBfAHsAbQBUAH0AKQBcACIAKQA7AFwAbgBcAG4AVgBFAEUAUgBHAF8ANABfADYAXwAxAF8ANQBfAF8AMgBfAFQAbwB0AGEAbABOAGkAdAByAG8AZwBlAG4AVgBvAGwAYQB0AGkAbABpAHMAZQBkAEYAcgBvAG0ATQBNAFMAXwBBAHIAZwB1AG0AZQBuAHQAcwBcAG4AIAAgAD0ATABBAE0AQgBEAEEAKABcAG4AIAAgACAAIABNAEEASwBFAEEAUgBSAEEAWQAoADIALAAgADIALABcAG4AIAAgACAAIAAgACAATABBAE0AQgBEAEEAKAByACwAYwAsAFwAbgAgACAAIAAgACAAIAAgACAASQBOAEQARQBYACgAewBcAG4AIAAgACAAIAAgACAAIAAgACAAIABcACIATQBOAF8AagBrAG0AVABcACIALABcACIAbgBpAHQAcgBvAGcAZQBuACAAaQBuACAAZQBhAGMAaAAgAHQAcgBlAGEAdABtAGUAbgB0ACAAcwB0AGEAZwBlACAATQBNAFMAIAAoAGUAeABjAGwAdQBkAGkAbgBnACAATQBOAF8AagBrAG0AMQAzAFQAMgApACAAOgAgAGsAZwAgAE4AXAAiADsAXABuACAAIAAgACAAIAAgACAAIAAgACAAXAAiAEYAcgBhAGMARwBBAFMATQBfAG0AVABcACIALABcACIAZgByAGEAYwB0AGkAbwBuACAAbwBmACAATgAgAHYAbwBsAGEAdABpAGwAaQBzAGUAZAAgAGkAbgAgAGUAYQBjAGgAIABNAE0AUwAgADoAIAAoAGsAZwAgAE4ASAAzAC0ATgAgACsAIABOAE8AeAAtAE4AKQAvAGsAZwAgAE4AXAAiAFwAbgAgACAAIAAgACAAIAAgACAAfQAsACAAcgAsACAAYwApAFwAbgAgACAAIAAgACAAIAApAFwAbgAgACAAIAAgACkAXABuACAAIAApADsAXABuACIAfQAsAHsAIgBwAGEAdABoACIAOgAiAC8AcAByAG8AagBlAGMAdABzAC8ATQBNAFMAXwBQAG8AdQBsAHQAcgB5AF8ATABlAGEAYwBoAGkAbgBnAEEAbgBkAFIAdQBuAG8AZgBmAF8ARQBxAHUAYQB0AGkAbwBuAHMAIgAsACIAdABlAHgAdAAiADoAIgAvACoAXABuAD0APQA9AD0APQA9AD0APQA9AD0APQA9AD0APQA9AD0APQA9AD0APQA9AD0APQA9AD0APQA9AD0APQA9AD0APQA9AD0APQA9AD0APQA9AD0APQA9AD0APQA9AD0APQA9AD0APQA9AD0APQA9AD0APQA9AD0APQA9AD0APQA9AD0APQA9AD0APQA9AD0APQA9AD0APQA9AD0AXABuADQALgA2ADoAIABQAG8AdQBsAHQAcgB5AFwAbgA9AD0APQA9AD0APQA9AD0APQA9AD0APQA9AD0APQA9AD0APQA9AD0APQA9AD0APQA9AD0APQA9AD0APQA9AD0APQA9AD0APQA9AD0APQA9AD0APQA9AD0APQA9AD0APQA9AD0APQA9AD0APQA9AD0APQA9AD0APQA9AD0APQA9AD0APQA9AD0APQA9AD0APQA9AD0APQA9AFwAbgA0AC4ANgAuADEALgA3ACAATQBlAHQAaABvAGQAIAAxACAALQAgAE0AYQBuAHUAcgBlACAATABlAGEAYwBoAGkAbgBnACAAYQBuAGQAIABSAHUAbgBvAGYAZgAgAE4AMgBPACAAUABvAHUAbAB0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2AF8AMQBfADcAXwBfADEAXwBBAG4AbgB1AGEAbABFAG0AaQBzAHMAaQBvAG4AcwBGAHIAbwBtAEwAZQBhAGMAaABpAG4AZwBBAG4AZABSAHUAbgBvAGYAZgBGAHIAbwBtAE0ATQBTAFwAbgBBAG4AbgB1AGEAbAAgAGUAbQBpAHMAcwBpAG8AbgBzACAAZgByAG8AbQAgAGwAZQBhAGMAaABpAG4AZwAgAGEAbgBkACAAcgB1AG4AbwBmAGYAIABmAHIAbwBtACAAZQBhAGMAaAAgAE0ATQBTAFwAbgBFAF8ATgAyAE8AbABlAGEAYwBoAFwAbgB0ACAATgAyAE8AXABuAEUAXwB7AE4AMgBPACwAbABlAGEAYwBoAH0APQBNAE4ATABlAGEAYwBoAF8AewBqAGsAbQA9ADQAfQBcAFwAdABpAG0AZQBzACAARQBGAF8AewBsAGUAYQBjAGgAfQBcAFwAdABpAG0AZQBzACAAQwBfAHsATgAyAE8AfQBcAFwAdABpAG0AZQBzADEAMABeAHsALQAzAH0AXABuAE0ATgBMAGUAYQBjAGgAXwBqAGsAbQA0ACAAPQAgAG0AYQBzAHMAIABvAGYAIABOACAAbABvAHMAdAAgAHQAaAByAG8AdQBnAGgAIABsAGUAYQBjAGgAaQBuAGcAIABhAG4AZAAgAHIAdQBuAG8AZgBmACAAZgByAG8AbQAgAGUAYQBjAGgAIABNAE0AUwAgADoAIABrAGcAIABOAFwAbgBFAEYAXwBsAGUAYQBjAGgAIAA9ACAAZQBtAGkAcwBzAGkAbwBuACAAZgBhAGMAdABvAHIAIABmAG8AcgAgAGwAZQBhAGMAaABpAG4AZwAgAGEAbgBkACAAcgB1AG4AbwBmAGYAIAA6ACAAawBnACAATgAyAE8ALQBOAC8AawBnACAATgBcAG4AQwBfAE4AMgBPACAAPQAgAGYAYQBjAHQAbwByACAAdABvACAAYwBvAG4AdgBlAHIAdAAgAGUAbABlAG0AZQBuAHQAYQBsACAAbQBhAHMAcwAgAG8AZgAgAE4AMgBPACAAdABvACAAbQBvAGwAZQBjAHUAbABhAHIAIABtAGEAcwBzACAAOgAgAHIAYQB0AGkAbwBcAG4AVgBBAFIASQBBAFQASQBPAE4AIABPAEYAIABTAE8AVQBSAEMARQA6ACAARgBvAHIAIABNAGUAdABoAG8AZAAgADEALAAgAGUAbQBpAHMAcwBpAG8AbgBzACAAYQByAGUAIABlAHMAdABpAG0AYQB0AGUAZAAgAGYAbwByACAAcwBvAGwAaQBkACAAcwB0AG8AcgBhAGcAZQAgACgAbQA9ADQAKQAuAFwAbgAtAC0ALQAtAC0ALQAtAC0ALQAtAC0ALQAtAC0ALQAtAC0ALQAtAC0ALQAtAC0ALQAtAC0ALQAtAC0ALQAtAC0ALQAtAC0ALQAtAC0AXABuACoALwBcAG4AXABuAFYARQBFAFIARwBfADQAXwA2AF8AMQBfADcAXwBfADEAXwBBAG4AbgB1AGEAbABFAG0AaQBzAHMAaQBvAG4AcwBGAHIAbwBtAEwAZQBhAGMAaABpAG4AZwBBAG4AZABSAHUAbgBvAGYAZgBGAHIAbwBtAE0ATQBTAFwAbgAgACAAPQBMAEEATQBCAEQAQQAoAFwAbgAgACAAIAAgAE0ATgBMAGUAYQBjAGgAXwBqAGsAbQA0ACwAIABFAEYAXwBsAGUAYQBjAGgALAAgAEMAXwBOADIATwAsAFwAbgAgACAAIAAgACgATQBOAEwAZQBhAGMAaABfAGoAawBtADQAIAAqACAARQBGAF8AbABlAGEAYwBoACAAKgAgAEMAXwBOADIATwApACAAKgAgADEAMAAgAF4AIAAtADMAXABuACAAIAApADsAXABuAFwAbgBWAEUARQBSAEcAXwA0AF8ANgBfADEAXwA3AF8AXwAxAF8AQQBuAG4AdQBhAGwARQBtAGkAcwBzAGkAbwBuAHMARgByAG8AbQBMAGUAYQBjAGgAaQBuAGcAQQBuAGQAUgB1AG4AbwBmAGYARgByAG8AbQBNAE0AUwBfAFQAaQB0AGwAZQBcAG4AIAAgAD0ATABBAE0AQgBEAEEAKABcACIAQQBuAG4AdQBhAGwAIABlAG0AaQBzAHMAaQBvAG4AcwAgAGYAcgBvAG0AIABsAGUAYQBjAGgAaQBuAGcAIABhAG4AZAAgAHIAdQBuAG8AZgBmACAAZgByAG8AbQAgAGUAYQBjAGgAIABNAE0AUwBcACIAKQA7AFwAbgBcAG4AVgBFAEUAUgBHAF8ANABfADYAXwAxAF8ANwBfAF8AMQBfAEEAbgBuAHUAYQBsAEUAbQBpAHMAcwBpAG8AbgBzAEYAcgBvAG0ATABlAGEAYwBoAGkAbgBnAEEAbgBkAFIAdQBuAG8AZgBmAEYAcgBvAG0ATQBNAFMAXwBWAGEAcgBpAGEAYgBsAGUAXABuACAAIAA9AEwAQQBNAEIARABBACgAXAAiAEUAXwBOADIATwBsAGUAYQBjAGgAXAAiACkAOwBcAG4AXABuAFYARQBFAFIARwBfADQAXwA2AF8AMQBfADcAXwBfADEAXwBBAG4AbgB1AGEAbABFAG0AaQBzAHMAaQBvAG4AcwBGAHIAbwBtAEwAZQBhAGMAaABpAG4AZwBBAG4AZABSAHUAbgBvAGYAZgBGAHIAbwBtAE0ATQBTAF8AVQBuAGkAdABcAG4AIAAgAD0ATABBAE0AQgBEAEEAKABcACIAdAAgAE4AMgBPAFwAIgApADsAXABuAFwAbgBWAEUARQBSAEcAXwA0AF8ANgBfADEAXwA3AF8AXwAxAF8AQQBuAG4AdQBhAGwARQBtAGkAcwBzAGkAbwBuAHMARgByAG8AbQBMAGUAYQBjAGgAaQBuAGcAQQBuAGQAUgB1AG4AbwBmAGYARgByAG8AbQBNAE0AUwBfAFMAbwB1AHIAYwBlAFwAbgAgACAAPQBMAEEATQBCAEQAQQAoAFwAIgBWAEUARQBSAEcAIAAyADAAMgA2ADoAIAA0AC4ANgAuADEALgA3ACwAIABFAHEAdQBhAHQAaQBvAG4AIAAoADEAKQBcACIAKQA7AFwAbgBcAG4AVgBFAEUAUgBHAF8ANABfADYAXwAxAF8ANwBfAF8AMQBfAEEAbgBuAHUAYQBsAEUAbQBpAHMAcwBpAG8AbgBzAEYAcgBvAG0ATABlAGEAYwBoAGkAbgBnAEEAbgBkAFIAdQBuAG8AZgBmAEYAcgBvAG0ATQBNAFMAXwBOAEkAUgBSAGUAZgBlAHIAZQBuAGMAZQBcAG4AIAAgAD0ATABBAE0AQgBEAEEAKABcACIAXAAiACkAOwBcAG4AXABuAFYARQBFAFIARwBfADQAXwA2AF8AMQBfADcAXwBfADEAXwBBAG4AbgB1AGEAbABFAG0AaQBzAHMAaQBvAG4AcwBGAHIAbwBtAEwAZQBhAGMAaABpAG4AZwBBAG4AZABSAHUAbgBvAGYAZgBGAHIAbwBtAE0ATQBTAF8ATABhAHQAZQB4AEUAcQB1AGEAdABpAG8AbgBcAG4AIAAgAD0ATABBAE0AQgBEAEEAKABcACIARQBfAHsATgAyAE8ALABsAGUAYQBjAGgAfQA9AE0ATgBMAGUAYQBjAGgAXwB7AGoAawBtAD0ANAB9AFwAXAB0AGkAbQBlAHMAIABFAEYAXwB7AGwAZQBhAGMAaAB9AFwAXAB0AGkAbQBlAHMAIABDAF8AewBOADIATwB9AFwAXAB0AGkAbQBlAHMAMQAwAF4AewAtADMAfQBcACIAKQA7AFwAbgBcAG4AVgBFAEUAUgBHAF8ANABfADYAXwAxAF8ANwBfAF8AMQBfAEEAbgBuAHUAYQBsAEUAbQBpAHMAcwBpAG8AbgBzAEYAcgBvAG0ATABlAGEAYwBoAGkAbgBnAEEAbgBkAFIAdQBuAG8AZgBmAEYAcgBvAG0ATQBNAFMAXwBBAHIAZwB1AG0AZQBuAHQAcwBcAG4AIAAgAD0ATABBAE0AQgBEAEEAKABcAG4AIAAgACAAIABNAEEASwBFAEEAUgBSAEEAWQAoADMALAAgADIALABcAG4AIAAgACAAIAAgACAATABBAE0AQgBEAEEAKAByACwAYwAsAFwAbgAgACAAIAAgACAAIAAgACAASQBOAEQARQBYACgAewBcAG4AIAAgACAAIAAgACAAIAAgACAAIABcACIATQBOAEwAZQBhAGMAaABfAGoAawBtADQAXAAiACwAXAAiAG0AYQBzAHMAIABvAGYAIABOACAAbABvAHMAdAAgAHQAaAByAG8AdQBnAGgAIABsAGUAYQBjAGgAaQBuAGcAIABhAG4AZAAgAHIAdQBuAG8AZgBmACAAZgByAG8AbQAgAGUAYQBjAGgAIABNAE0AUwAgADoAIABrAGcAIABOAFwAIgA7AFwAbgAgACAAIAAgACAAIAAgACAAIAAgAFwAIgBFAEYAXwBsAGUAYQBjAGgAXAAiACwAXAAiAGUAbQBpAHMAcwBpAG8AbgAgAGYAYQBjAHQAbwByACAAZgBvAHIAIABsAGUAYQBjAGgAaQBuAGcAIABhAG4AZAAgAHIAdQBuAG8AZgBmACAAOgAgAGsAZwAgAE4AMgBPAC0ATgAvAGsAZwAgAE4AXAAiADsAXABuACAAIAAgACAAIAAgACAAIAAgACAAXAAiAEMAXwBOADIATwBcACIALABcACIAZgBhAGMAdABvAHIAIAB0AG8AIABjAG8AbgB2AGUAcgB0ACAAZQBsAGUAbQBlAG4AdABhAGwAIABtAGEAcwBzACAAbwBmACAATgAyAE8AIAB0AG8AIABtAG8AbABlAGMAdQBsAGEAcgAgAG0AYQBzAHMAIAA6ACAAcgBhAHQAaQBvAFwAIgBcAG4AIAAgACAAIAAgACAAIAAgAH0ALAAgAHIALAAgAGMAKQBcAG4AIAAgACAAIAAgACAAKQBcAG4AIAAgACAAIAApAFwAbgAgACAAKQA7AFwAbgBcAG4ALwAqAFwAbgAtAC0ALQAtAC0ALQAtAC0ALQAtAC0ALQAtAC0ALQAtAC0ALQAtAC0ALQAtAC0ALQAtAC0ALQAtAC0ALQAtAC0ALQAtAC0ALQAtAC0AXABuAFYARQBFAFIARwBfADQAXwA2AF8AMQBfADcAXwBfADIAXwBNAGEAcwBzAE8AZgBOAGkAdAByAG8AZwBlAG4ATABvAHMAdABUAG8ATABlAGEAYwBoAGkAbgBnAEEAbgBkAFIAdQBuAG8AZgBmAEYAcgBvAG0AUwBvAGwAaQBkAFMAdABvAHIAYQBnAGUAXABuAE0AYQBzAHMAIABvAGYAIABuAGkAdAByAG8AZwBlAG4AIABsAG8AcwB0ACAAdABvACAAbABlAGEAYwBoAGkAbgBnACAAYQBuAGQAIAByAHUAbgBvAGYAZgAgAGYAcgBvAG0AIABzAG8AbABpAGQAIABzAHQAbwByAGEAZwBlACAAcwB5AHMAdABlAG0AcwBcAG4ATQBOAEwAZQBhAGMAaABfAGoAawBtADQAXABuAGsAZwAgAE4AXABuAE0ATgBMAGUAYQBjAGgAXwB7AGoAawBtAD0ANAB9AD0ATQBOAF8AewBqAGsAbQA9ADQALABUAD0AMQB9AFwAXAB0AGkAbQBlAHMAIABGAHIAYQBjAFcARQBUAFwAXAB0AGkAbQBlAHMAIABGAHIAYQBjAEwARQBBAEMASABfAHsATQBTAH0AXABuAE0ATgBfAGoAawBtADQAVAAxACAAPQAgAG4AaQB0AHIAbwBnAGUAbgAgAGkAbgAgAHMAbwBsAGkAZAAgAHMAdABvAHIAYQBnAGUAIABNAE0AUwAgAHQAcgBlAGEAdABtAGUAbgB0ACAAcwB0AGEAZwBlACAAMQAgADoAIABrAGcAIABOAFwAbgBGAHIAYQBjAFcARQBUACAAPQAgAGYAcgBhAGMAdABpAG8AbgAgAG8AZgAgAE4AIABhAHYAYQBpAGwAYQBiAGwAZQAgAGYAbwByACAAbABlAGEAYwBoAGkAbgBnACAAYQBuAGQAIAByAHUAbgBvAGYAZgAgADoAIABmAHIAYQBjAHQAaQBvAG4AXABuAEYAcgBhAGMATABFAEEAQwBIAF8ATQBTACAAPQAgAGYAcgBhAGMAdABpAG8AbgAgAG8AZgAgAE4AIABsAG8AcwB0ACAAdABoAHIAbwB1AGcAaAAgAGwAZQBhAGMAaABpAG4AZwAgAGEAbgBkACAAcgB1AG4AbwBmAGYAIAA6ACAAZgByAGEAYwB0AGkAbwBuAFwAbgAtAC0ALQAtAC0ALQAtAC0ALQAtAC0ALQAtAC0ALQAtAC0ALQAtAC0ALQAtAC0ALQAtAC0ALQAtAC0ALQAtAC0ALQAtAC0ALQAtAC0AXABuACoALwBcAG4AXABuAFYARQBFAFIARwBfADQAXwA2AF8AMQBfADcAXwBfADIAXwBNAGEAcwBzAE8AZgBOAGkAdAByAG8AZwBlAG4ATABvAHMAdABUAG8ATABlAGEAYwBoAGkAbgBnAEEAbgBkAFIAdQBuAG8AZgBmAEYAcgBvAG0AUwBvAGwAaQBkAFMAdABvAHIAYQBnAGUAXABuACAAIAA9AEwAQQBNAEIARABBACgAXABuACAAIAAgACAATQBOAF8AagBrAG0ANABUADEALAAgAEYAcgBhAGMAVwBFAFQALAAgAEYAcgBhAGMATABFAEEAQwBIAF8ATQBTACwAXABuACAAIAAgACAATQBOAF8AagBrAG0ANABUADEAIAAqACAARgByAGEAYwBXAEUAVAAgACoAIABGAHIAYQBjAEwARQBBAEMASABfAE0AUwBcAG4AIAAgACkAOwBcAG4AXABuAFYARQBFAFIARwBfADQAXwA2AF8AMQBfADcAXwBfADIAXwBNAGEAcwBzAE8AZgBOAGkAdAByAG8AZwBlAG4ATABvAHMAdABUAG8ATABlAGEAYwBoAGkAbgBnAEEAbgBkAFIAdQBuAG8AZgBmAEYAcgBvAG0AUwBvAGwAaQBkAFMAdABvAHIAYQBnAGUAXwBUAGkAdABsAGUAXABuACAAIAA9AEwAQQBNAEIARABBACgAXAAiAE0AYQBzAHMAIABvAGYAIABuAGkAdAByAG8AZwBlAG4AIABsAG8AcwB0ACAAdABvACAAbABlAGEAYwBoAGkAbgBnACAAYQBuAGQAIAByAHUAbgBvAGYAZgAgAGYAcgBvAG0AIABzAG8AbABpAGQAIABzAHQAbwByAGEAZwBlACAAcwB5AHMAdABlAG0AcwBcACIAKQA7AFwAbgBcAG4AVgBFAEUAUgBHAF8ANABfADYAXwAxAF8ANwBfAF8AMgBfAE0AYQBzAHMATwBmAE4AaQB0AHIAbwBnAGUAbgBMAG8AcwB0AFQAbwBMAGUAYQBjAGgAaQBuAGcAQQBuAGQAUgB1AG4AbwBmAGYARgByAG8AbQBTAG8AbABpAGQAUwB0AG8AcgBhAGcAZQBfAFYAYQByAGkAYQBiAGwAZQBcAG4AIAAgAD0ATABBAE0AQgBEAEEAKABcACIATQBOAEwAZQBhAGMAaABfAGoAawBtADQAXAAiACkAOwBcAG4AXABuAFYARQBFAFIARwBfADQAXwA2AF8AMQBfADcAXwBfADIAXwBNAGEAcwBzAE8AZgBOAGkAdAByAG8AZwBlAG4ATABvAHMAdABUAG8ATABlAGEAYwBoAGkAbgBnAEEAbgBkAFIAdQBuAG8AZgBmAEYAcgBvAG0AUwBvAGwAaQBkAFMAdABvAHIAYQBnAGUAXwBVAG4AaQB0AFwAbgAgACAAPQBMAEEATQBCAEQAQQAoAFwAIgBrAGcAIABOAFwAIgApADsAXABuAFwAbgBWAEUARQBSAEcAXwA0AF8ANgBfADEAXwA3AF8AXwAyAF8ATQBhAHMAcwBPAGYATgBpAHQAcgBvAGcAZQBuAEwAbwBzAHQAVABvAEwAZQBhAGMAaABpAG4AZwBBAG4AZABSAHUAbgBvAGYAZgBGAHIAbwBtAFMAbwBsAGkAZABTAHQAbwByAGEAZwBlAF8AUwBvAHUAcgBjAGUAXABuACAAIAA9AEwAQQBNAEIARABBACgAXAAiAFYARQBFAFIARwAgADIAMAAyADYAOgAgADQALgA2AC4AMQAuADcALAAgAEUAcQB1AGEAdABpAG8AbgAgACgAMgApAFwAIgApADsAXABuAFwAbgBWAEUARQBSAEcAXwA0AF8ANgBfADEAXwA3AF8AXwAyAF8ATQBhAHMAcwBPAGYATgBpAHQAcgBvAGcAZQBuAEwAbwBzAHQAVABvAEwAZQBhAGMAaABpAG4AZwBBAG4AZABSAHUAbgBvAGYAZgBGAHIAbwBtAFMAbwBsAGkAZABTAHQAbwByAGEAZwBlAF8ATgBJAFIAUgBlAGYAZQByAGUAbgBjAGUAXABuACAAIAA9AEwAQQBNAEIARABBACgAXAAiAFwAIgApADsAXABuAFwAbgBWAEUARQBSAEcAXwA0AF8ANgBfADEAXwA3AF8AXwAyAF8ATQBhAHMAcwBPAGYATgBpAHQAcgBvAGcAZQBuAEwAbwBzAHQAVABvAEwAZQBhAGMAaABpAG4AZwBBAG4AZABSAHUAbgBvAGYAZgBGAHIAbwBtAFMAbwBsAGkAZABTAHQAbwByAGEAZwBlAF8ATABhAHQAZQB4AEUAcQB1AGEAdABpAG8AbgBcAG4AIAAgAD0ATABBAE0AQgBEAEEAKABcACIATQBOAEwAZQBhAGMAaABfAHsAagBrAG0APQA0AH0APQBNAE4AXwB7AGoAawBtAD0ANAAsAFQAPQAxAH0AXABcAHQAaQBtAGUAcwAgAEYAcgBhAGMAVwBFAFQAXABcAHQAaQBtAGUAcwAgAEYAcgBhAGMATABFAEEAQwBIAF8AewBNAFMAfQBcACIAKQA7AFwAbgBcAG4AVgBFAEUAUgBHAF8ANABfADYAXwAxAF8ANwBfAF8AMgBfAE0AYQBzAHMATwBmAE4AaQB0AHIAbwBnAGUAbgBMAG8AcwB0AFQAbwBMAGUAYQBjAGgAaQBuAGcAQQBuAGQAUgB1AG4AbwBmAGYARgByAG8AbQBTAG8AbABpAGQAUwB0AG8AcgBhAGcAZQBfAEEAcgBnAHUAbQBlAG4AdABzAFwAbgAgACAAPQBMAEEATQBCAEQAQQAoAFwAbgAgACAAIAAgAE0AQQBLAEUAQQBSAFIAQQBZACgANgAsACAAMgAsAFwAbgAgACAAIAAgACAAIABMAEEATQBCAEQAQQAoAHIALABjACwAXABuACAAIAAgACAAIAAgACAAIABJAE4ARABFAFgAKAB7AFwAbgAgACAAIAAgACAAIAAgACAAIAAgAFwAIgBNAE4AXwBqAGsAbQA0AFQAMQBcACIALABcACIAbgBpAHQAcgBvAGcAZQBuACAAaQBuACAAcwBvAGwAaQBkACAAcwB0AG8AcgBhAGcAZQAgAE0ATQBTACAAdAByAGUAYQB0AG0AZQBuAHQAIABzAHQAYQBnAGUAIAAxACAAOgAgAGsAZwAgAE4AXAAiADsAXABuACAAIAAgACAAIAAgACAAIAAgACAAXAAiAEYAcgBhAGMAVwBFAFQAXAAiACwAXAAiAGYAcgBhAGMAdABpAG8AbgAgAG8AZgAgAE4AIABhAHYAYQBpAGwAYQBiAGwAZQAgAGYAbwByACAAbABlAGEAYwBoAGkAbgBnACAAYQBuAGQAIAByAHUAbgBvAGYAZgAgADoAIABmAHIAYQBjAHQAaQBvAG4AXAAiADsAXABuACAAIAAgACAAIAAgACAAIAAgACAAXAAiAEYAcgBhAGMATABFAEEAQwBIAF8ATQBTAFwAIgAsAFwAIgBmAHIAYQBjAHQAaQBvAG4AIABvAGYAIABOACAAbABvAHMAdAAgAHQAaAByAG8AdQBnAGgAIABsAGUAYQBjAGgAaQBuAGcAIABhAG4AZAAgAHIAdQBuAG8AZgBmACAAOgAgAGYAcgBhAGMAdABpAG8AbgBcACIAOwBcAG4AIAAgACAAIAAgACAAIAAgACAAIABcACIAegBcACIALAAgAFwAIgBsAG8AYwBhAHQAaQBvAG4AIABpAG4AIABsAGUAYQBjAGgAaQBuAGcAIAB6AG8AbgBlAFwAIgA7AFwAbgAgACAAIAAgACAAIAAgACAAIAAgAFwAIgBqAFwAIgAsACAAXAAiAHAAcgBvAGQAdQBjAHQAaQBvAG4AIABzAHkAcwB0AGUAbQBcACIAOwBcAG4AIAAgACAAIAAgACAAIAAgACAAIABcACIAaQByAFwAIgAsACAAXAAiAGkAcgByAGkAZwBhAHQAaQBvAG4AIABtAGUAdABoAG8AZABcACIAXABuACAAIAAgACAAIAAgACAAIAB9ACwAIAByACwAIABjACkAXABuACAAIAAgACAAIAAgACkAXABuACAAIAAgACAAKQBcAG4AIAAgACkAOwBcAG4AIgB9ACwAewAiAHAAYQB0AGgAIgA6ACIALwBwAHIAbwBqAGUAYwB0AHMALwBNAE0AUwBfAFAAbwB1AGwAdAByAHkAXwBNAGUAdABoAGEAbgBlAF8ARQBxAHUAYQB0AGkAbwBuAHMAIgAsACIAdABlAHgAdAAiADoAIgAvACoAXABuAD0APQA9AD0APQA9AD0APQA9AD0APQA9AD0APQA9AD0APQA9AD0APQA9AD0APQA9AD0APQA9AD0APQA9AD0APQA9AD0APQA9AD0APQA9AD0APQA9AD0APQA9AD0APQA9AD0APQA9AD0APQA9AD0APQA9AD0APQA9AD0APQA9AD0APQA9AD0APQA9AD0APQA9AD0APQA9AD0AXABuADQALgA2ADoAIABQAG8AdQBsAHQAcgB5AFwAbgA9AD0APQA9AD0APQA9AD0APQA9AD0APQA9AD0APQA9AD0APQA9AD0APQA9AD0APQA9AD0APQA9AD0APQA9AD0APQA9AD0APQA9AD0APQA9AD0APQA9AD0APQA9AD0APQA9AD0APQA9AD0APQA9AD0APQA9AD0APQA9AD0APQA9AD0APQA9AD0APQA9AD0APQA9AD0APQA9AFwAbgA0AC4ANgAuADEALgAxACAATQBlAHQAaABvAGQAIAAxACAALQAgAE0AYQBuAHUAcgBlACAATQBlAHQAaABhAG4AZQAgAFAAbwB1AGwAdA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gBfADEAXwAxAF8AXwAxAF8AVABvAHQAYQBsAEEAbgBuAHUAYQBsAE0AZQB0AGgAYQBuAGUARQBtAGkAcwBzAGkAbwBuAHMAXABuAFQAbwB0AGEAbAAgAGEAbgBuAHUAYQBsACAAbQBlAHQAaABhAG4AZQAgAGUAbQBpAHMAcwBpAG8AbgBzACAAZgByAG8AbQAgAG0AYQBuAHUAcgBlACAAbQBhAG4AYQBnAGUAbQBlAG4AdABcAG4ARQBfAEMASAA0AFwAbgB0ACAAQwBIADQAXABuAEUAXwB7AEMASAA0AH0APQBcAFwAcwB1AG0AXwB7AGoAfQBcAFwAcwB1AG0AXwB7AGsAfQBcAFwAcwB1AG0AXwB7AG0AfQBcAFwAcwB1AG0AXwB7AFQAfQAoAEQAXwB7AGoAawB9AFwAXAB0AGkAbQBlAHMAIABNAF8AewBqAGsAbQBUAH0AXABcAHQAaQBtAGUAcwAgAE4AXwB7AGoAawB9ACkAXABcAHQAaQBtAGUAcwAxADAAXgB7AC0AMwB9AFwAbgBEAF8AagBrACAAPQAgAGQAdQByAGEAdABpAG8AbgAgAG8AZgAgAHMAdABhAHkAIABvAGYAIABlAGEAYwBoACAAYwBsAGEAcwBzACAAYQBuAGQAIABzAHUAYgBjAGwAYQBzAHMAIABvAGYAIABwAG8AdQBsAHQAcgB5ACAAOgAgAGQAYQB5AHMAXABuAE0AXwBqAGsAbQBUACAAPQAgAG0AZQB0AGgAYQBuAGUAIABwAHIAbwBkAHUAYwB0AGkAbwBuACAAZgByAG8AbQAgAG0AYQBuAHUAcgBlACAAcABlAHIAIABjAGwAYQBzAHMALAAgAHMAdQBiAGMAbABhAHMAcwAsACAATQBNAFMALAAgAGEAbgBkACAAdAByAGUAYQB0AG0AZQBuAHQAIABzAHQAYQBnAGUAIAA6ACAAawBnACAAQwBIADQALwBiAGkAcgBkAC8AZABhAHkAXABuAE4AXwBqAGsAIAA9ACAAbgB1AG0AYgBlAHIAcwAgAG8AZgAgAHAAbwB1AGwAdAByAHkAIABpAG4AIABlAGEAYwBoACAAYwBsAGEAcwBzACAAYQBuAGQAIABzAHUAYgBjAGwAYQBzAHMAIAA6ACAAYgBpAHIAZABcAG4ALQAtAC0ALQAtAC0ALQAtAC0ALQAtAC0ALQAtAC0ALQAtAC0ALQAtAC0ALQAtAC0ALQAtAC0ALQAtAC0ALQAtAC0ALQAtAC0ALQAtAFwAbgAqAC8AXABuAFwAbgBWAEUARQBSAEcAXwA0AF8ANgBfADEAXwAxAF8AXwAxAF8AVABvAHQAYQBsAEEAbgBuAHUAYQBsAE0AZQB0AGgAYQBuAGUARQBtAGkAcwBzAGkAbwBuAHMAXABuACAAIAA9AEwAQQBNAEIARABBACgAXABuACAAIAAgACAARABfAGoAawAsACAATQBfAGoAawBtAFQALAAgAE4AXwBqAGsALABcAG4AIAAgACAAIAAoAEQAXwBqAGsAIAAqACAATQBfAGoAawBtAFQAIAAqACAATgBfAGoAawApACAAKgAgADEAMAAgAF4AIAAtADMAXABuACAAIAApADsAXABuAFwAbgBWAEUARQBSAEcAXwA0AF8ANgBfADEAXwAxAF8AXwAxAF8AVABvAHQAYQBsAEEAbgBuAHUAYQBsAE0AZQB0AGgAYQBuAGUARQBtAGkAcwBzAGkAbwBuAHMAXwBUAGkAdABsAGUAXABuACAAIAA9AEwAQQBNAEIARABBACgAXAAiAFQAbwB0AGEAbAAgAGEAbgBuAHUAYQBsACAAbQBlAHQAaABhAG4AZQAgAGUAbQBpAHMAcwBpAG8AbgBzACAAZgByAG8AbQAgAG0AYQBuAHUAcgBlACAAbQBhAG4AYQBnAGUAbQBlAG4AdABcACIAKQA7AFwAbgBcAG4AVgBFAEUAUgBHAF8ANABfADYAXwAxAF8AMQBfAF8AMQBfAFQAbwB0AGEAbABBAG4AbgB1AGEAbABNAGUAdABoAGEAbgBlAEUAbQBpAHMAcwBpAG8AbgBzAF8AVgBhAHIAaQBhAGIAbABlAFwAbgAgACAAPQBMAEEATQBCAEQAQQAoAFwAIgBFAF8AQwBIADQAXAAiACkAOwBcAG4AXABuAFYARQBFAFIARwBfADQAXwA2AF8AMQBfADEAXwBfADEAXwBUAG8AdABhAGwAQQBuAG4AdQBhAGwATQBlAHQAaABhAG4AZQBFAG0AaQBzAHMAaQBvAG4AcwBfAFUAbgBpAHQAXABuACAAIAA9AEwAQQBNAEIARABBACgAXAAiAHQAIABDAEgANABcACIAKQA7AFwAbgBcAG4AVgBFAEUAUgBHAF8ANABfADYAXwAxAF8AMQBfAF8AMQBfAFQAbwB0AGEAbABBAG4AbgB1AGEAbABNAGUAdABoAGEAbgBlAEUAbQBpAHMAcwBpAG8AbgBzAF8AUwBvAHUAcgBjAGUAXABuACAAIAA9AEwAQQBNAEIARABBACgAXAAiAFYARQBFAFIARwAgADIAMAAyADYAOgAgADQALgA0AC4AMQAuADEALAAgAEUAcQB1AGEAdABpAG8AbgAgACgAMQApAFwAIgApADsAXABuAFwAbgBWAEUARQBSAEcAXwA0AF8ANgBfADEAXwAxAF8AXwAxAF8AVABvAHQAYQBsAEEAbgBuAHUAYQBsAE0AZQB0AGgAYQBuAGUARQBtAGkAcwBzAGkAbwBuAHMAXwBOAEkAUgBSAGUAZgBlAHIAZQBuAGMAZQBcAG4AIAAgAD0ATABBAE0AQgBEAEEAKABcACIAXAAiACkAOwBcAG4AXABuAFYARQBFAFIARwBfADQAXwA2AF8AMQBfADEAXwBfADEAXwBUAG8AdABhAGwAQQBuAG4AdQBhAGwATQBlAHQAaABhAG4AZQBFAG0AaQBzAHMAaQBvAG4AcwBfAEwAYQB0AGUAeABFAHEAdQBhAHQAaQBvAG4AXABuACAAIAA9AEwAQQBNAEIARABBACgAXAAiAEUAXwB7AEMASAA0AH0APQBcAFwAcwB1AG0AXwB7AGoAfQBcAFwAcwB1AG0AXwB7AGsAfQBcAFwAcwB1AG0AXwB7AG0AfQBcAFwAcwB1AG0AXwB7AFQAfQAoAEQAXwB7AGoAawB9AFwAXAB0AGkAbQBlAHMAIABNAF8AewBqAGsAbQBUAH0AXABcAHQAaQBtAGUAcwAgAE4AXwB7AGoAawB9ACkAXABcAHQAaQBtAGUAcwAxADAAXgB7AC0AMwB9AFwAIgApADsAXABuAFwAbgBWAEUARQBSAEcAXwA0AF8ANgBfADEAXwAxAF8AXwAxAF8AVABvAHQAYQBsAEEAbgBuAHUAYQBsAE0AZQB0AGgAYQBuAGUARQBtAGkAcwBzAGkAbwBuAHMAXwBBAHIAZwB1AG0AZQBuAHQAcwBcAG4AIAAgAD0ATABBAE0AQgBEAEEAKABcAG4AIAAgACAAIABNAEEASwBFAEEAUgBSAEEAWQAoADMALAAgADIALABcAG4AIAAgACAAIAAgACAATABBAE0AQgBEAEEAKAByACwAYwAsAFwAbgAgACAAIAAgACAAIAAgACAASQBOAEQARQBYACgAewBcAG4AIAAgACAAIAAgACAAIAAgACAAIABcACIARABfAGoAawBcACIALABcACIAZAB1AHIAYQB0AGkAbwBuACAAbwBmACAAcwB0AGEAeQAgAG8AZgAgAGUAYQBjAGgAIABjAGwAYQBzAHMAIABhAG4AZAAgAHMAdQBiAGMAbABhAHMAcwAgAG8AZgAgAHAAbwB1AGwAdAByAHkAIAA6ACAAZABhAHkAcwBcACIAOwBcAG4AIAAgACAAIAAgACAAIAAgACAAIABcACIATQBfAGoAawBtAFQAXAAiACwAXAAiAG0AZQB0AGgAYQBuAGUAIABwAHIAbwBkAHUAYwB0AGkAbwBuACAAZgByAG8AbQAgAG0AYQBuAHUAcgBlACAAcABlAHIAIABjAGwAYQBzAHMALAAgAHMAdQBiAGMAbABhAHMAcwAsACAATQBNAFMALAAgAGEAbgBkACAAdAByAGUAYQB0AG0AZQBuAHQAIABzAHQAYQBnAGUAIAA6ACAAawBnACAAQwBIADQALwBiAGkAcgBkAC8AZABhAHkAXAAiADsAXABuACAAIAAgACAAIAAgACAAIAAgACAAXAAiAE4AXwBqAGsAXAAiACwAXAAiAG4AdQBtAGIAZQByAHMAIABvAGYAIABwAG8AdQBsAHQAcgB5ACAAaQBuACAAZQBhAGMAaAAgAGMAbABhAHMAcwAgAGEAbgBkACAAcwB1AGIAYwBsAGEAcwBzACAAOgAgAGIAaQByAGQAXAAiAFwAbgAgACAAIAAgACAAIAAgACAAfQAsACAAcgAsACAAYwApAFwAbgAgACAAIAAgACAAIAApAFwAbgAgACAAIAAgACkAXABuACAAIAApADsAXABuAFwAbgAvACoAXABuAC0ALQAtAC0ALQAtAC0ALQAtAC0ALQAtAC0ALQAtAC0ALQAtAC0ALQAtAC0ALQAtAC0ALQAtAC0ALQAtAC0ALQAtAC0ALQAtAC0ALQBcAG4AVgBFAEUAUgBHAF8ANABfADYAXwAxAF8AMQBfAF8AMgBfAFMAdABhAGcAZQAxAE0AZQB0AGgAYQBuAGUAUAByAG8AZAB1AGMAdABpAG8AbgBcAG4AUAByAG8AZAB1AGMAdABpAG8AbgAgAG8AZgAgAG0AZQB0AGgAYQBuAGUAIABpAG4AIAB0AHIAZQBhAHQAbQBlAG4AdAAgAHMAdABhAGcAZQAgADEAIABNAE0AUwBcAG4ATQBfAGoAawBtAFQAMQBcAG4AawBnACAAQwBIADQALwBiAGkAcgBkAC8AZABhAHkAXABuAE0AXwB7AGoAawBtAFQAPQAxAH0APQBWAFMAXwB7AGoAawB9AFwAXAB0AGkAbQBlAHMAIABCAE8AXwB7AGoAfQBcAFwAdABpAG0AZQBzACAATQBNAFMAXwB7AGoAbQBUAD0AMQB9AFwAXAB0AGkAbQBlAHMAIABNAEMARgBfAHsAaQBtAH0AXABcAHQAaQBtAGUAcwAgAFwAXAByAGgAbwBcAG4AVgBTAF8AagBrACAAPQAgAHYAbwBsAGEAdABpAGwAZQAgAHMAbwBsAGkAZAAgAHAAcgBvAGQAdQBjAHQAaQBvAG4AIABwAG8AdQBsAHQAcgB5ACAAYwBsAGEAcwBzAGUAcwAgADoAIABrAGcAIABWAFMALwBiAGkAcgBkAC8AZABhAHkAXABuAEIATwBfAGoAIAA9ACAAZQBtAGkAcwBzAGkAbwBuAHMAIABwAG8AdABlAG4AdABpAGEAbAAgAHAAZQByACAAYwBsAGEAcwBzACAAOgAgAG0AMwAgAEMASAA0AC8AawBnACAAVgBTAFwAbgBNAE0AUwBfAGoAbQBUADEAIAA9ACAAZgByAGEAYwB0AGkAbwBuACAAbwBmACAAbQBhAG4AdQByAGUAIABpAG4AIABlAGEAYwBoACAAcAByAGkAbQBhAHIAeQAgAHMAeQBzAHQAZQBtACAAOgAgAGYAcgBhAGMAdABpAG8AbgBcAG4ATQBDAEYAXwBpAG0AIAA9ACAAbQBlAHQAaABhAG4AZQAgAGMAbwBuAHYAZQByAHMAaQBvAG4AIABmAGEAYwB0AG8AcgAgAGYAbwByACAAdABlAG0AcABlAHIAYQB0AHUAcgBlACAAegBvAG4AZQAgAGEAbgBkACAATQBNAFMAIAA6ACAAZgByAGEAYwB0AGkAbwBuAFwAbgByAGgAbwAgAD0AIABkAGUAbgBzAGkAdAB5ACAAbwBmACAAbQBlAHQAaABhAG4AZQAgADoAIABrAGcALwBtADMAXABuAC0ALQAtAC0ALQAtAC0ALQAtAC0ALQAtAC0ALQAtAC0ALQAtAC0ALQAtAC0ALQAtAC0ALQAtAC0ALQAtAC0ALQAtAC0ALQAtAC0ALQBcAG4AKgAvAFwAbgBcAG4AVgBFAEUAUgBHAF8ANABfADYAXwAxAF8AMQBfAF8AMgBfAFMAdABhAGcAZQAxAE0AZQB0AGgAYQBuAGUAUAByAG8AZAB1AGMAdABpAG8AbgBcAG4AIAAgAD0ATABBAE0AQgBEAEEAKABcAG4AIAAgACAAIABWAFMAXwBqAGsALAAgAEIATwBfAGoALAAgAE0ATQBTAF8AagBtAFQAMQAsACAATQBDAEYAXwBpAG0ALAAgAHIAaABvACwAXABuACAAIAAgACAAVgBTAF8AagBrACAAKgAgAEIATwBfAGoAIAAqACAATQBNAFMAXwBqAG0AVAAxACAAKgAgAE0AQwBGAF8AaQBtACAAKgAgAHIAaABvAFwAbgAgACAAKQA7AFwAbgBcAG4AVgBFAEUAUgBHAF8ANABfADYAXwAxAF8AMQBfAF8AMgBfAFMAdABhAGcAZQAxAE0AZQB0AGgAYQBuAGUAUAByAG8AZAB1AGMAdABpAG8AbgBfAFQAaQB0AGwAZQBcAG4AIAAgAD0ATABBAE0AQgBEAEEAKABcACIAUAByAG8AZAB1AGMAdABpAG8AbgAgAG8AZgAgAG0AZQB0AGgAYQBuAGUAIABpAG4AIAB0AHIAZQBhAHQAbQBlAG4AdAAgAHMAdABhAGcAZQAgADEAIABNAE0AUwBcACIAKQA7AFwAbgBcAG4AVgBFAEUAUgBHAF8ANABfADYAXwAxAF8AMQBfAF8AMgBfAFMAdABhAGcAZQAxAE0AZQB0AGgAYQBuAGUAUAByAG8AZAB1AGMAdABpAG8AbgBfAFYAYQByAGkAYQBiAGwAZQBcAG4AIAAgAD0ATABBAE0AQgBEAEEAKABcACIATQBfAGoAawBtAFQAMQBcACIAKQA7AFwAbgBcAG4AVgBFAEUAUgBHAF8ANABfADYAXwAxAF8AMQBfAF8AMgBfAFMAdABhAGcAZQAxAE0AZQB0AGgAYQBuAGUAUAByAG8AZAB1AGMAdABpAG8AbgBfAFUAbgBpAHQAXABuACAAIAA9AEwAQQBNAEIARABBACgAXAAiAGsAZwAgAEMASAA0AC8AYgBpAHIAZAAvAGQAYQB5AFwAIgApADsAXABuAFwAbgBWAEUARQBSAEcAXwA0AF8ANgBfADEAXwAxAF8AXwAyAF8AUwB0AGEAZwBlADEATQBlAHQAaABhAG4AZQBQAHIAbwBkAHUAYwB0AGkAbwBuAF8AUwBvAHUAcgBjAGUAXABuACAAIAA9AEwAQQBNAEIARABBACgAXAAiAFYARQBFAFIARwAgADIAMAAyADYAOgAgADQALgA0AC4AMQAuADEALAAgAEUAcQB1AGEAdABpAG8AbgAgACgAMgApAFwAIgApADsAXABuAFwAbgBWAEUARQBSAEcAXwA0AF8ANgBfADEAXwAxAF8AXwAyAF8AUwB0AGEAZwBlADEATQBlAHQAaABhAG4AZQBQAHIAbwBkAHUAYwB0AGkAbwBuAF8ATgBJAFIAUgBlAGYAZQByAGUAbgBjAGUAXABuACAAIAA9AEwAQQBNAEIARABBACgAXAAiAFwAIgApADsAXABuAFwAbgBWAEUARQBSAEcAXwA0AF8ANgBfADEAXwAxAF8AXwAyAF8AUwB0AGEAZwBlADEATQBlAHQAaABhAG4AZQBQAHIAbwBkAHUAYwB0AGkAbwBuAF8ATABhAHQAZQB4AEUAcQB1AGEAdABpAG8AbgBcAG4AIAAgAD0ATABBAE0AQgBEAEEAKABcACIATQBfAHsAagBrAG0AVAA9ADEAfQA9AFYAUwBfAHsAagBrAH0AXABcAHQAaQBtAGUAcwAgAEIATwBfAHsAagB9AFwAXAB0AGkAbQBlAHMAIABNAE0AUwBfAHsAagBtAFQAPQAxAH0AXABcAHQAaQBtAGUAcwAgAE0AQwBGAF8AewBpAG0AfQBcAFwAdABpAG0AZQBzACAAXABcAHIAaABvAFwAIgApADsAXABuAFwAbgBWAEUARQBSAEcAXwA0AF8ANgBfADEAXwAxAF8AXwAyAF8AUwB0AGEAZwBlADEATQBlAHQAaABhAG4AZQBQAHIAbwBkAHUAYwB0AGkAbwBuAF8AQQByAGcAdQBtAGUAbgB0AHMAXABuACAAIAA9AEwAQQBNAEIARABBACgAXABuACAAIAAgACAATQBBAEsARQBBAFIAUgBBAFkAKAA2ACwAIAAyACwAXABuACAAIAAgACAAIAAgAEwAQQBNAEIARABBACgAcgAsAGMALABcAG4AIAAgACAAIAAgACAAIAAgAEkATgBEAEUAWAAoAHsAXABuACAAIAAgACAAIAAgACAAIAAgACAAXAAiAFYAUwBfAGoAawBcACIALABcACIAdgBvAGwAYQB0AGkAbABlACAAcwBvAGwAaQBkACAAcAByAG8AZAB1AGMAdABpAG8AbgAgAHAAbwB1AGwAdAByAHkAIABjAGwAYQBzAHMAZQBzACAAOgAgAGsAZwAgAFYAUwAvAGIAaQByAGQALwBkAGEAeQBcACIAOwBcAG4AIAAgACAAIAAgACAAIAAgACAAIABcACIAQgBPAF8AagBcACIALABcACIAZQBtAGkAcwBzAGkAbwBuAHMAIABwAG8AdABlAG4AdABpAGEAbAAgAHAAZQByACAAYwBsAGEAcwBzACAAOgAgAG0AMwAgAEMASAA0AC8AawBnACAAVgBTAFwAIgA7AFwAbgAgACAAIAAgACAAIAAgACAAIAAgAFwAIgBNAE0AUwBfAGoAbQBUADEAXAAiACwAXAAiAGYAcgBhAGMAdABpAG8AbgAgAG8AZgAgAG0AYQBuAHUAcgBlACAAaQBuACAAZQBhAGMAaAAgAHAAcgBpAG0AYQByAHkAIABzAHkAcwB0AGUAbQAgADoAIABmAHIAYQBjAHQAaQBvAG4AXAAiADsAXABuACAAIAAgACAAIAAgACAAIAAgACAAXAAiAE0AQwBGAF8AaQBtAFwAIgAsAFwAIgBtAGUAdABoAGEAbgBlACAAYwBvAG4AdgBlAHIAcwBpAG8AbgAgAGYAYQBjAHQAbwByACAAZgBvAHIAIAB0AGUAbQBwAGUAcgBhAHQAdQByAGUAIAB6AG8AbgBlACAAYQBuAGQAIABNAE0AUwAgADoAIABmAHIAYQBjAHQAaQBvAG4AXAAiADsAXABuACAAIAAgACAAIAAgACAAIAAgACAAXAAiAHIAaABvAFwAIgAsAFwAIgBkAGUAbgBzAGkAdAB5ACAAbwBmACAAbQBlAHQAaABhAG4AZQAgADoAIABrAGcALwBtADMAXAAiADsAXABuACAAIAAgACAAIAAgACAAIAAgACAAXAAiAGkAXAAiACwAIABcACIAcwB0AGEAdABlAFwAIgBcAG4AIAAgACAAIAAgACAAIAAgAH0ALAAgAHIALAAgAGMAKQBcAG4AIAAgACAAIAAgACAAKQBcAG4AIAAgACAAIAApAFwAbgAgACAAKQA7AFwAbgBcAG4ALwAqAFwAbgAtAC0ALQAtAC0ALQAtAC0ALQAtAC0ALQAtAC0ALQAtAC0ALQAtAC0ALQAtAC0ALQAtAC0ALQAtAC0ALQAtAC0ALQAtAC0ALQAtAC0AXABuAFYARQBFAFIARwBfADQAXwA2AF8AMQBfADEAXwBfADMAXwBTAHQAYQBnAGUAMgBNAGUAdABoAGEAbgBlAFAAcgBvAGQAdQBjAHQAaQBvAG4AXABuAFAAcgBvAGQAdQBjAHQAaQBvAG4AIABvAGYAIABtAGUAdABoAGEAbgBlACAAaQBuACAAdAByAGUAYQB0AG0AZQBuAHQAIABzAHQAYQBnAGUAIAAyACAATQBNAFMAXABuAE0AXwBqAGsAbQBUADIAXABuAGsAZwAgAEMASAA0AC8AYgBpAHIAZAAvAGQAYQB5AFwAbgBNAF8AewBqAGsAbQBUAD0AMgB9AD0AVgBTAFQAXwB7AGoAawB9AFwAXAB0AGkAbQBlAHMAIABCAE8AXABcAHQAaQBtAGUAcwAgAE0ATQBTAF8AewBqAG0AVAA9ADIAfQBcAFwAdABpAG0AZQBzACAATQBDAEYAXwB7AGkAbQB9AFwAXAB0AGkAbQBlAHMAIABcAFwAcgBoAG8AXABuAFYAUwBUAF8AagBrACAAPQAgAHYAbwBsAGEAdABpAGwAZQAgAHMAbwBsAGkAZABzACAAdAByAGEAbgBzAGYAZQByAHIAZQBkACAAdABvACAAdAByAGUAYQB0AG0AZQBuAHQAIABzAHQAYQBnAGUAIAAyACAATQBNAFMAIAA6ACAAawBnACAAVgBTAC8AYgBpAHIAZAAvAGQAYQB5AFwAbgBCAE8AIAA9ACAAZQBtAGkAcwBzAGkAbwBuAHMAIABwAG8AdABlAG4AdABpAGEAbAAgADoAIABtADMAIABDAEgANAAvAGsAZwAgAFYAUwBcAG4ATQBNAFMAXwBqAG0AVAAyACAAPQAgAGYAcgBhAGMAdABpAG8AbgAgAG8AZgAgAG0AYQBuAHUAcgBlACAAaQBuACAAZQBhAGMAaAAgAHMAZQBjAG8AbgBkAGEAcgB5ACAAcwB5AHMAdABlAG0AIAA6ACAAZgByAGEAYwB0AGkAbwBuAFwAbgBNAEMARgBfAGkAbQAgAD0AIABtAGUAdABoAGEAbgBlACAAYwBvAG4AdgBlAHIAcwBpAG8AbgAgAGYAYQBjAHQAbwByACAAZgBvAHIAIAB0AGUAbQBwAGUAcgBhAHQAdQByAGUAIAB6AG8AbgBlACAAYQBuAGQAIABNAE0AUwAgADoAIABmAHIAYQBjAHQAaQBvAG4AXABuAHIAaABvACAAPQAgAGQAZQBuAHMAaQB0AHkAIABvAGYAIABtAGUAdABoAGEAbgBlACAAOgAgAGsAZwAvAG0AMwBcAG4ALQAtAC0ALQAtAC0ALQAtAC0ALQAtAC0ALQAtAC0ALQAtAC0ALQAtAC0ALQAtAC0ALQAtAC0ALQAtAC0ALQAtAC0ALQAtAC0ALQAtAFwAbgAqAC8AXABuAFwAbgBWAEUARQBSAEcAXwA0AF8ANgBfADEAXwAxAF8AXwAzAF8AUwB0AGEAZwBlADIATQBlAHQAaABhAG4AZQBQAHIAbwBkAHUAYwB0AGkAbwBuAFwAbgAgACAAPQBMAEEATQBCAEQAQQAoAFwAbgAgACAAIAAgAFYAUwBUAF8AagBrACwAIABCAE8ALAAgAE0ATQBTAF8AagBtAFQAMgAsACAATQBDAEYAXwBpAG0ALAAgAHIAaABvACwAXABuACAAIAAgACAAVgBTAFQAXwBqAGsAIAAqACAAQgBPACAAKgAgAE0ATQBTAF8AagBtAFQAMgAgACoAIABNAEMARgBfAGkAbQAgACoAIAByAGgAbwBcAG4AIAAgACkAOwBcAG4AXABuAFYARQBFAFIARwBfADQAXwA2AF8AMQBfADEAXwBfADMAXwBTAHQAYQBnAGUAMgBNAGUAdABoAGEAbgBlAFAAcgBvAGQAdQBjAHQAaQBvAG4AXwBUAGkAdABsAGUAXABuACAAIAA9AEwAQQBNAEIARABBACgAXAAiAFAAcgBvAGQAdQBjAHQAaQBvAG4AIABvAGYAIABtAGUAdABoAGEAbgBlACAAaQBuACAAdAByAGUAYQB0AG0AZQBuAHQAIABzAHQAYQBnAGUAIAAyACAATQBNAFMAXAAiACkAOwBcAG4AXABuAFYARQBFAFIARwBfADQAXwA2AF8AMQBfADEAXwBfADMAXwBTAHQAYQBnAGUAMgBNAGUAdABoAGEAbgBlAFAAcgBvAGQAdQBjAHQAaQBvAG4AXwBWAGEAcgBpAGEAYgBsAGUAXABuACAAIAA9AEwAQQBNAEIARABBACgAXAAiAE0AXwBqAGsAbQBUADIAXAAiACkAOwBcAG4AXABuAFYARQBFAFIARwBfADQAXwA2AF8AMQBfADEAXwBfADMAXwBTAHQAYQBnAGUAMgBNAGUAdABoAGEAbgBlAFAAcgBvAGQAdQBjAHQAaQBvAG4AXwBVAG4AaQB0AFwAbgAgACAAPQBMAEEATQBCAEQAQQAoAFwAIgBrAGcAIABDAEgANAAvAGIAaQByAGQALwBkAGEAeQBcACIAKQA7AFwAbgBcAG4AVgBFAEUAUgBHAF8ANABfADYAXwAxAF8AMQBfAF8AMwBfAFMAdABhAGcAZQAyAE0AZQB0AGgAYQBuAGUAUAByAG8AZAB1AGMAdABpAG8AbgBfAFMAbwB1AHIAYwBlAFwAbgAgACAAPQBMAEEATQBCAEQAQQAoAFwAIgBWAEUARQBSAEcAIAAyADAAMgA2ADoAIAA0AC4ANAAuADEALgAxACwAIABFAHEAdQBhAHQAaQBvAG4AIAAoADMAKQBcACIAKQA7AFwAbgBcAG4AVgBFAEUAUgBHAF8ANABfADYAXwAxAF8AMQBfAF8AMwBfAFMAdABhAGcAZQAyAE0AZQB0AGgAYQBuAGUAUAByAG8AZAB1AGMAdABpAG8AbgBfAE4ASQBSAFIAZQBmAGUAcgBlAG4AYwBlAFwAbgAgACAAPQBMAEEATQBCAEQAQQAoAFwAIgBcACIAKQA7AFwAbgBcAG4AVgBFAEUAUgBHAF8ANABfADYAXwAxAF8AMQBfAF8AMwBfAFMAdABhAGcAZQAyAE0AZQB0AGgAYQBuAGUAUAByAG8AZAB1AGMAdABpAG8AbgBfAEwAYQB0AGUAeABFAHEAdQBhAHQAaQBvAG4AXABuACAAIAA9AEwAQQBNAEIARABBACgAXAAiAE0AXwB7AGoAawBtAFQAPQAyAH0APQBWAFMAVABfAHsAagBrAH0AXABcAHQAaQBtAGUAcwAgAEIATwBcAFwAdABpAG0AZQBzACAATQBNAFMAXwB7AGoAbQBUAD0AMgB9AFwAXAB0AGkAbQBlAHMAIABNAEMARgBfAHsAaQBtAH0AXABcAHQAaQBtAGUAcwAgAFwAXAByAGgAbwBcACIAKQA7AFwAbgBcAG4AVgBFAEUAUgBHAF8ANABfADYAXwAxAF8AMQBfAF8AMwBfAFMAdABhAGcAZQAyAE0AZQB0AGgAYQBuAGUAUAByAG8AZAB1AGMAdABpAG8AbgBfAEEAcgBnAHUAbQBlAG4AdABzAFwAbgAgACAAPQBMAEEATQBCAEQAQQAoAFwAbgAgACAAIAAgAE0AQQBLAEUAQQBSAFIAQQBZACgANgAsACAAMgAsAFwAbgAgACAAIAAgACAAIABMAEEATQBCAEQAQQAoAHIALABjACwAXABuACAAIAAgACAAIAAgACAAIABJAE4ARABFAFgAKAB7AFwAbgAgACAAIAAgACAAIAAgACAAIAAgAFwAIgBWAFMAVABfAGoAawBcACIALABcACIAdgBvAGwAYQB0AGkAbABlACAAcwBvAGwAaQBkAHMAIAB0AHIAYQBuAHMAZgBlAHIAcgBlAGQAIAB0AG8AIAB0AHIAZQBhAHQAbQBlAG4AdAAgAHMAdABhAGcAZQAgADIAIABNAE0AUwAgADoAIABrAGcAIABWAFMALwBiAGkAcgBkAC8AZABhAHkAXAAiADsAXABuACAAIAAgACAAIAAgACAAIAAgACAAXAAiAEIATwBcACIALABcACIAZQBtAGkAcwBzAGkAbwBuAHMAIABwAG8AdABlAG4AdABpAGEAbAAgADoAIABtADMAIABDAEgANAAvAGsAZwAgAFYAUwBcACIAOwBcAG4AIAAgACAAIAAgACAAIAAgACAAIABcACIATQBNAFMAXwBqAG0AVAAyAFwAIgAsAFwAIgBmAHIAYQBjAHQAaQBvAG4AIABvAGYAIABtAGEAbgB1AHIAZQAgAGkAbgAgAGUAYQBjAGgAIABzAGUAYwBvAG4AZABhAHIAeQAgAHMAeQBzAHQAZQBtACAAOgAgAGYAcgBhAGMAdABpAG8AbgBcACIAOwBcAG4AIAAgACAAIAAgACAAIAAgACAAIABcACIATQBDAEYAXwBpAG0AXAAiACwAXAAiAG0AZQB0AGgAYQBuAGUAIABjAG8AbgB2AGUAcgBzAGkAbwBuACAAZgBhAGMAdABvAHIAIABmAG8AcgAgAHQAZQBtAHAAZQByAGEAdAB1AHIAZQAgAHoAbwBuAGUAIABhAG4AZAAgAE0ATQBTACAAOgAgAGYAcgBhAGMAdABpAG8AbgBcACIAOwBcAG4AIAAgACAAIAAgACAAIAAgACAAIABcACIAcgBoAG8AXAAiACwAXAAiAGQAZQBuAHMAaQB0AHkAIABvAGYAIABtAGUAdABoAGEAbgBlACAAOgAgAGsAZwAvAG0AMwBcACIAOwBcAG4AIAAgACAAIAAgACAAIAAgACAAIABcACIAaQBcACIALAAgAFwAIgBzAHQAYQB0AGUAXAAiAFwAbgAgACAAIAAgACAAIAAgACAAfQAsACAAcgAsACAAYwApAFwAbgAgACAAIAAgACAAIAApAFwAbgAgACAAIAAgACkAXABuACAAIAApADsAXABuAFwAbgAvACoAXABuAC0ALQAtAC0ALQAtAC0ALQAtAC0ALQAtAC0ALQAtAC0ALQAtAC0ALQAtAC0ALQAtAC0ALQAtAC0ALQAtAC0ALQAtAC0ALQAtAC0ALQBcAG4AVgBFAEUAUgBHAF8ANABfADYAXwAxAF8AMQBfAF8ANABfAFYAbwBsAGEAdABpAGwAZQBTAG8AbABpAGQAcwBUAHIAYQBuAHMAZgBlAHIAcgBlAGQAXABuAFYAbwBsAGEAdABpAGwAZQAgAHMAbwBsAGkAZABzACAAdAByAGEAbgBzAGYAZQByAHIAZQBkACAAdABvACAAdAByAGUAYQB0AG0AZQBuAHQAIABzAHQAYQBnAGUAIAAyACAATQBNAFMAXABuAFYAUwBUAF8AagBrAFwAbgBrAGcAIABWAFMALwBiAGkAcgBkAC8AZABhAHkAXABuAFYAUwBUAF8AewBqAGsAfQA9AFYAUwBfAHsAagBrAH0AXABcAHQAaQBtAGUAcwAgAE0ATQBTAF8AewBqAG0AVAA9ADEAfQBcAFwAdABpAG0AZQBzACAAKAAxAC0AVgBTAEwAXwB7AG0AVAA9ADEAfQApAFwAbgBWAFMAXwBqAGsAIAA9ACAAdgBvAGwAYQB0AGkAbABlACAAcwBvAGwAaQBkACAAcAByAG8AZAB1AGMAdABpAG8AbgAgAHAAbwB1AGwAdAByAHkAIABjAGwAYQBzAHMAZQBzACAAOgAgAGsAZwAgAFYAUwAvAGIAaQByAGQALwBkAGEAeQBcAG4ATQBNAFMAXwBqAG0AVAAxACAAPQAgAGYAcgBhAGMAdABpAG8AbgAgAG8AZgAgAG0AYQBuAHUAcgBlACAAaQBuACAAZQBhAGMAaAAgAHAAcgBpAG0AYQByAHkAIABzAHkAcwB0AGUAbQAgADoAIABmAHIAYQBjAHQAaQBvAG4AXABuAFYAUwBMAF8AbQBUADEAIAA9ACAAZgByAGEAYwB0AGkAbwBuACAAbwBmACAAdgBvAGwAYQB0AGkAbABlACAAcwBvAGwAaQBkAHMAIABsAG8AcwB0ACAAZAB1AHIAaQBuAGcAIABzAHQAbwByAGEAZwBlACAAaQBuACAAdABoAGUAIABwAHIAaQBtAGEAcgB5ACAAcwB5AHMAdABlAG0AIAA6ACAAZgByAGEAYwB0AGkAbwBuAFwAbgAtAC0ALQAtAC0ALQAtAC0ALQAtAC0ALQAtAC0ALQAtAC0ALQAtAC0ALQAtAC0ALQAtAC0ALQAtAC0ALQAtAC0ALQAtAC0ALQAtAC0AXABuACoALwBcAG4AXABuAFYARQBFAFIARwBfADQAXwA2AF8AMQBfADEAXwBfADQAXwBWAG8AbABhAHQAaQBsAGUAUwBvAGwAaQBkAHMAVAByAGEAbgBzAGYAZQByAHIAZQBkAFwAbgAgACAAPQBMAEEATQBCAEQAQQAoAFwAbgAgACAAIAAgAFYAUwBfAGoAawAsACAATQBNAFMAXwBqAG0AVAAxACwAIABWAFMATABfAG0AVAAxACwAXABuACAAIAAgACAAVgBTAF8AagBrACAAKgAgAE0ATQBTAF8AagBtAFQAMQAgACoAIAAoADEAIAAtACAAVgBTAEwAXwBtAFQAMQApAFwAbgAgACAAKQA7AFwAbgBcAG4AVgBFAEUAUgBHAF8ANABfADYAXwAxAF8AMQBfAF8ANABfAFYAbwBsAGEAdABpAGwAZQBTAG8AbABpAGQAcwBUAHIAYQBuAHMAZgBlAHIAcgBlAGQAXwBUAGkAdABsAGUAXABuACAAIAA9AEwAQQBNAEIARABBACgAXAAiAFYAbwBsAGEAdABpAGwAZQAgAHMAbwBsAGkAZABzACAAdAByAGEAbgBzAGYAZQByAHIAZQBkACAAdABvACAAdAByAGUAYQB0AG0AZQBuAHQAIABzAHQAYQBnAGUAIAAyACAATQBNAFMAXAAiACkAOwBcAG4AXABuAFYARQBFAFIARwBfADQAXwA2AF8AMQBfADEAXwBfADQAXwBWAG8AbABhAHQAaQBsAGUAUwBvAGwAaQBkAHMAVAByAGEAbgBzAGYAZQByAHIAZQBkAF8AVgBhAHIAaQBhAGIAbABlAFwAbgAgACAAPQBMAEEATQBCAEQAQQAoAFwAIgBWAFMAVABfAGoAawBcACIAKQA7AFwAbgBcAG4AVgBFAEUAUgBHAF8ANABfADYAXwAxAF8AMQBfAF8ANABfAFYAbwBsAGEAdABpAGwAZQBTAG8AbABpAGQAcwBUAHIAYQBuAHMAZgBlAHIAcgBlAGQAXwBVAG4AaQB0AFwAbgAgACAAPQBMAEEATQBCAEQAQQAoAFwAIgBrAGcAIABWAFMALwBiAGkAcgBkAC8AZABhAHkAXAAiACkAOwBcAG4AXABuAFYARQBFAFIARwBfADQAXwA2AF8AMQBfADEAXwBfADQAXwBWAG8AbABhAHQAaQBsAGUAUwBvAGwAaQBkAHMAVAByAGEAbgBzAGYAZQByAHIAZQBkAF8AUwBvAHUAcgBjAGUAXABuACAAIAA9AEwAQQBNAEIARABBACgAXAAiAFYARQBFAFIARwAgADIAMAAyADYAOgAgADQALgA0AC4AMQAuADEALAAgAEUAcQB1AGEAdABpAG8AbgAgACgANAApAFwAIgApADsAXABuAFwAbgBWAEUARQBSAEcAXwA0AF8ANgBfADEAXwAxAF8AXwA0AF8AVgBvAGwAYQB0AGkAbABlAFMAbwBsAGkAZABzAFQAcgBhAG4AcwBmAGUAcgByAGUAZABfAE4ASQBSAFIAZQBmAGUAcgBlAG4AYwBlAFwAbgAgACAAPQBMAEEATQBCAEQAQQAoAFwAIgBcACIAKQA7AFwAbgBcAG4AVgBFAEUAUgBHAF8ANABfADYAXwAxAF8AMQBfAF8ANABfAFYAbwBsAGEAdABpAGwAZQBTAG8AbABpAGQAcwBUAHIAYQBuAHMAZgBlAHIAcgBlAGQAXwBMAGEAdABlAHgARQBxAHUAYQB0AGkAbwBuAFwAbgAgACAAPQBMAEEATQBCAEQAQQAoAFwAIgBWAFMAVABfAHsAagBrAH0APQBWAFMAXwB7AGoAawB9AFwAXAB0AGkAbQBlAHMAIABNAE0AUwBfAHsAagBtAFQAPQAxAH0AXABcAHQAaQBtAGUAcwAgACgAMQAtAFYAUwBMAF8AewBtAFQAPQAxAH0AKQBcACIAKQA7AFwAbgBcAG4AVgBFAEUAUgBHAF8ANABfADYAXwAxAF8AMQBfAF8ANABfAFYAbwBsAGEAdABpAGwAZQBTAG8AbABpAGQAcwBUAHIAYQBuAHMAZgBlAHIAcgBlAGQAXwBBAHIAZwB1AG0AZQBuAHQAcwBcAG4AIAAgAD0ATABBAE0AQgBEAEEAKABcAG4AIAAgACAAIABNAEEASwBFAEEAUgBSAEEAWQAoADMALAAgADIALABcAG4AIAAgACAAIAAgACAATABBAE0AQgBEAEEAKAByACwAYwAsAFwAbgAgACAAIAAgACAAIAAgACAASQBOAEQARQBYACgAewBcAG4AIAAgACAAIAAgACAAIAAgACAAIABcACIAVgBTAF8AagBrAFwAIgAsAFwAIgB2AG8AbABhAHQAaQBsAGUAIABzAG8AbABpAGQAIABwAHIAbwBkAHUAYwB0AGkAbwBuACAAcABvAHUAbAB0AHIAeQAgAGMAbABhAHMAcwBlAHMAIAA6ACAAawBnACAAVgBTAC8AYgBpAHIAZAAvAGQAYQB5AFwAIgA7AFwAbgAgACAAIAAgACAAIAAgACAAIAAgAFwAIgBNAE0AUwBfAGoAbQBUADEAXAAiACwAXAAiAGYAcgBhAGMAdABpAG8AbgAgAG8AZgAgAG0AYQBuAHUAcgBlACAAaQBuACAAZQBhAGMAaAAgAHAAcgBpAG0AYQByAHkAIABzAHkAcwB0AGUAbQAgADoAIABmAHIAYQBjAHQAaQBvAG4AXAAiADsAXABuACAAIAAgACAAIAAgACAAIAAgACAAXAAiAFYAUwBMAF8AbQBUADEAXAAiACwAXAAiAGYAcgBhAGMAdABpAG8AbgAgAG8AZgAgAHYAbwBsAGEAdABpAGwAZQAgAHMAbwBsAGkAZABzACAAbABvAHMAdAAgAGQAdQByAGkAbgBnACAAcwB0AG8AcgBhAGcAZQAgAGkAbgAgAHQAaABlACAAcAByAGkAbQBhAHIAeQAgAHMAeQBzAHQAZQBtACAAOgAgAGYAcgBhAGMAdABpAG8AbgBcACIAXABuACAAIAAgACAAIAAgACAAIAB9ACwAIAByACwAIABjACkAXABuACAAIAAgACAAIAAgACkAXABuACAAIAAgACAAKQBcAG4AIAAgACkAOwBcAG4AXABuAC8AKgBcAG4ALQAtAC0ALQAtAC0ALQAtAC0ALQAtAC0ALQAtAC0ALQAtAC0ALQAtAC0ALQAtAC0ALQAtAC0ALQAtAC0ALQAtAC0ALQAtAC0ALQAtAFwAbgBWAEUARQBSAEcAXwA0AF8ANgBfADEAXwAxAF8AXwA1AF8AVgBvAGwAYQB0AGkAbABlAFMAbwBsAGkAZABQAHIAbwBkAHUAYwB0AGkAbwBuAFwAbgBWAG8AbABhAHQAaQBsAGUAIABzAG8AbABpAGQAIABwAHIAbwBkAHUAYwB0AGkAbwBuACAAcABvAHUAbAB0AHIAeQAgAGMAbABhAHMAcwBlAHMAXABuAFYAUwBfAGoAawBcAG4AawBnACAAVgBTAC8AYgBpAHIAZAAvAGQAYQB5AFwAbgBWAFMAXwB7AGoAawB9AD0ASQBfAHsAagBrAH0AXABcAHQAaQBtAGUAcwAgACgAMQAtAEQATQBEAF8AewBqAGsAfQApAFwAXAB0AGkAbQBlAHMAIAAoADEALQBBAF8AewBqAH0AKQBcAG4ASQBfAGoAawAgAD0AIABkAHIAeQAgAG0AYQB0AHQAZQByACAAaQBuAHQAYQBrAGUAIABmAG8AcgAgAGUAYQBjAGgAIABjAGwAYQBzAHMAIABhAG4AZAAgAHMAdQBiAGMAbABhAHMAcwAgADoAIABrAGcAIABEAE0ALwBiAGkAcgBkAC8AZABhAHkAXABuAEQATQBEAF8AagBrACAAPQAgAGQAcgB5ACAAbQBhAHQAdABlAHIAIABkAGkAZwBlAHMAdABpAGIAaQBsAGkAdAB5ACAAZgBvAHIAIABlAGEAYwBoACAAYwBsAGEAcwBzACAAYQBuAGQAIABzAHUAYgBjAGwAYQBzAHMAIAA6ACAAZgByAGEAYwB0AGkAbwBuAFwAbgBBAF8AagAgAD0AIABhAHMAaAAgAGMAbwBuAHQAZQBuAHQAIABvAGYAIABtAGEAbgB1AHIAZQAgAGYAbwByACAAZQBhAGMAaAAgAGMAbABhAHMAcwAgAGEAbgBkACAAcwB1AGIAYwBsAGEAcwBzACAAOgAgAGYAcgBhAGMAdABpAG8AbgBcAG4ALQAtAC0ALQAtAC0ALQAtAC0ALQAtAC0ALQAtAC0ALQAtAC0ALQAtAC0ALQAtAC0ALQAtAC0ALQAtAC0ALQAtAC0ALQAtAC0ALQAtAFwAbgAqAC8AXABuAFwAbgBWAEUARQBSAEcAXwA0AF8ANgBfADEAXwAxAF8AXwA1AF8AVgBvAGwAYQB0AGkAbABlAFMAbwBsAGkAZABQAHIAbwBkAHUAYwB0AGkAbwBuAFwAbgAgACAAPQBMAEEATQBCAEQAQQAoAFwAbgAgACAAIAAgAEkAXwBqAGsALAAgAEQATQBEAF8AagBrACwAIABBAF8AagAsAFwAbgAgACAAIAAgAEkAXwBqAGsAIAAqACAAKAAxACAALQAgAEQATQBEAF8AagBrACkAIAAqACAAKAAxACAALQAgAEEAXwBqACkAXABuACAAIAApADsAXABuAFwAbgBWAEUARQBSAEcAXwA0AF8ANgBfADEAXwAxAF8AXwA1AF8AVgBvAGwAYQB0AGkAbABlAFMAbwBsAGkAZABQAHIAbwBkAHUAYwB0AGkAbwBuAF8AVABpAHQAbABlAFwAbgAgACAAPQBMAEEATQBCAEQAQQAoAFwAIgBWAG8AbABhAHQAaQBsAGUAIABzAG8AbABpAGQAIABwAHIAbwBkAHUAYwB0AGkAbwBuACAAcABvAHUAbAB0AHIAeQAgAGMAbABhAHMAcwBlAHMAXAAiACkAOwBcAG4AXABuAFYARQBFAFIARwBfADQAXwA2AF8AMQBfADEAXwBfADUAXwBWAG8AbABhAHQAaQBsAGUAUwBvAGwAaQBkAFAAcgBvAGQAdQBjAHQAaQBvAG4AXwBWAGEAcgBpAGEAYgBsAGUAXABuACAAIAA9AEwAQQBNAEIARABBACgAXAAiAFYAUwBfAGoAawBcACIAKQA7AFwAbgBcAG4AVgBFAEUAUgBHAF8ANABfADYAXwAxAF8AMQBfAF8ANQBfAFYAbwBsAGEAdABpAGwAZQBTAG8AbABpAGQAUAByAG8AZAB1AGMAdABpAG8AbgBfAFUAbgBpAHQAXABuACAAIAA9AEwAQQBNAEIARABBACgAXAAiAGsAZwAgAFYAUwAvAGIAaQByAGQALwBkAGEAeQBcACIAKQA7AFwAbgBcAG4AVgBFAEUAUgBHAF8ANABfADYAXwAxAF8AMQBfAF8ANQBfAFYAbwBsAGEAdABpAGwAZQBTAG8AbABpAGQAUAByAG8AZAB1AGMAdABpAG8AbgBfAFMAbwB1AHIAYwBlAFwAbgAgACAAPQBMAEEATQBCAEQAQQAoAFwAIgBWAEUARQBSAEcAIAAyADAAMgA2ADoAIAA0AC4ANAAuADEALgAxACwAIABFAHEAdQBhAHQAaQBvAG4AIAAoADUAKQBcACIAKQA7AFwAbgBcAG4AVgBFAEUAUgBHAF8ANABfADYAXwAxAF8AMQBfAF8ANQBfAFYAbwBsAGEAdABpAGwAZQBTAG8AbABpAGQAUAByAG8AZAB1AGMAdABpAG8AbgBfAE4ASQBSAFIAZQBmAGUAcgBlAG4AYwBlAFwAbgAgACAAPQBMAEEATQBCAEQAQQAoAFwAIgBcACIAKQA7AFwAbgBcAG4AVgBFAEUAUgBHAF8ANABfADYAXwAxAF8AMQBfAF8ANQBfAFYAbwBsAGEAdABpAGwAZQBTAG8AbABpAGQAUAByAG8AZAB1AGMAdABpAG8AbgBfAEwAYQB0AGUAeABFAHEAdQBhAHQAaQBvAG4AXABuACAAIAA9AEwAQQBNAEIARABBACgAXAAiAFYAUwBfAHsAagBrAH0APQBJAF8AewBqAGsAfQBcAFwAdABpAG0AZQBzACAAKAAxAC0ARABNAEQAXwB7AGoAawB9ACkAXABcAHQAaQBtAGUAcwAgACgAMQAtAEEAXwB7AGoAfQApAFwAIgApADsAXABuAFwAbgBWAEUARQBSAEcAXwA0AF8ANgBfADEAXwAxAF8AXwA1AF8AVgBvAGwAYQB0AGkAbABlAFMAbwBsAGkAZABQAHIAbwBkAHUAYwB0AGkAbwBuAF8AQQByAGcAdQBtAGUAbgB0AHMAXABuACAAIAA9AEwAQQBNAEIARABBACgAXABuACAAIAAgACAATQBBAEsARQBBAFIAUgBBAFkAKAAzACwAIAAyACwAXABuACAAIAAgACAAIAAgAEwAQQBNAEIARABBACgAcgAsAGMALABcAG4AIAAgACAAIAAgACAAIAAgAEkATgBEAEUAWAAoAHsAXABuACAAIAAgACAAIAAgACAAIAAgACAAXAAiAEkAXwBqAGsAXAAiACwAXAAiAGQAcgB5ACAAbQBhAHQAdABlAHIAIABpAG4AdABhAGsAZQAgAGYAbwByACAAZQBhAGMAaAAgAGMAbABhAHMAcwAgAGEAbgBkACAAcwB1AGIAYwBsAGEAcwBzACAAOgAgAGsAZwAgAEQATQAvAGIAaQByAGQALwBkAGEAeQBcACIAOwBcAG4AIAAgACAAIAAgACAAIAAgACAAIABcACIARABNAEQAXwBqAGsAXAAiACwAXAAiAGQAcgB5ACAAbQBhAHQAdABlAHIAIABkAGkAZwBlAHMAdABpAGIAaQBsAGkAdAB5ACAAZgBvAHIAIABlAGEAYwBoACAAYwBsAGEAcwBzACAAYQBuAGQAIABzAHUAYgBjAGwAYQBzAHMAIAA6ACAAZgByAGEAYwB0AGkAbwBuAFwAIgA7AFwAbgAgACAAIAAgACAAIAAgACAAIAAgAFwAIgBBAF8AagBcACIALABcACIAYQBzAGgAIABjAG8AbgB0AGUAbgB0ACAAbwBmACAAbQBhAG4AdQByAGUAIABmAG8AcgAgAGUAYQBjAGgAIABjAGwAYQBzAHMAIABhAG4AZAAgAHMAdQBiAGMAbABhAHMAcwAgADoAIABmAHIAYQBjAHQAaQBvAG4AXAAiAFwAbgAgACAAIAAgACAAIAAgACAAfQAsACAAcgAsACAAYwApAFwAbgAgACAAIAAgACAAIAApAFwAbgAgACAAIAAgACkAXABuACAAIAApADsAXABuACIAfQAsAHsAIgBwAGEAdABoACIAOgAiAC8AcAByAG8AagBlAGMAdABzAC8ATQBNAFMAXwBQAG8AdQBsAHQAcgB5AF8ATQBhAG4AdQByAGUAQQBwAHAAbABpAGUAZABUAG8AUwBvAGkAbABzAF8ARQBxAHUAYQB0AGkAbwBuAHMAIgAsACIAdABlAHgAdAAiADoAIgAvACoAXABuAD0APQA9AD0APQA9AD0APQA9AD0APQA9AD0APQA9AD0APQA9AD0APQA9AD0APQA9AD0APQA9AD0APQA9AD0APQA9AD0APQA9AD0APQA9AD0APQA9AD0APQA9AD0APQA9AD0APQA9AD0APQA9AD0APQA9AD0APQA9AD0APQA9AD0APQA9AD0APQA9AD0APQA9AD0APQA9AD0AXABuADQALgA2ADoAIABQAG8AdQBsAHQAcgB5AFwAbgA9AD0APQA9AD0APQA9AD0APQA9AD0APQA9AD0APQA9AD0APQA9AD0APQA9AD0APQA9AD0APQA9AD0APQA9AD0APQA9AD0APQA9AD0APQA9AD0APQA9AD0APQA9AD0APQA9AD0APQA9AD0APQA9AD0APQA9AD0APQA9AD0APQA9AD0APQA9AD0APQA9AD0APQA9AD0APQA9AFwAbgA0AC4ANgAuADEALgA5ACAATQBhAG4AdQByAGUAIABBAHAAcABsAGkAZQBkACAAdABvACAAUwBvAGkAbABz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YAXwAxAF8AOQBfAF8AMQBfAE0AYQBzAHMATwBmAE4AaQB0AHIAbwBnAGUAbgBBAHAAcABsAGkAZQBkAFQAbwBTAG8AaQBsAHMAUwBjAG8AcABlADEAXABuAE0AYQBzAHMAIABvAGYAIABuAGkAdAByAG8AZwBlAG4AIABhAHAAcABsAGkAZQBkACAAdABvACAAcwBvAGkAbABzACAAZgBvAHIAIABzAGMAbwBwAGUAIAAxACAAZQBtAGkAcwBzAGkAbwBuAHMAXABuAE0ATgBTAG8AaQBsAF8AcwBjAG8AcABlADEAXABuAGsAZwAgAE4AXABuAE0ATgBTAG8AaQBsAF8AewBzAGMAbwBwAGUAMQB9AD0AXABcAHMAdQBtAF8AewBqAH0AXABcAHMAdQBtAF8AewBtAH0AKABNAE4AXwB7AGoAbQAsAFQAPQAyAH0AXABcAHQAaQBtAGUAcwAoADEALQBFAEYAXwB7AG0AVAA9ADIAfQAtAEYAcgBhAGMARwBBAFMATQBfAHsAbQBUAD0AMgB9ACkALQBNAE4ATABlAGEAYwBoAF8AewBNAE0AUwB9ACkAXABcAHQAaQBtAGUAcwAgAFAARgBcAG4ATQBOAF8AagBtAFQAMgAgAD0AIABtAGEAcwBzACAAbwBmACAATgAgAGkAbgAgAHMAZQBjAG8AbgBkAGEAcgB5ACAAdAByAGUAYQB0AG0AZQBuAHQAIABzAHQAYQBnAGUAIABhAHMAIABjAGEAbABjAHUAbABhAHQAZQBkACAAZgBvAHIAIABtAGEAbgB1AHIAZQAgAG0AYQBuAGEAZwBlAG0AZQBuAHQAIAA6ACAAawBnACAATgBcAG4ARQBGAF8AbQBUADIAIAA9ACAAbgBpAHQAcgBvAHUAcwAgAG8AeABpAGQAZQAgAGUAbQBpAHMAcwBpAG8AbgAgAGYAYQBjAHQAbwByACAAZgBvAHIAIABlAGEAYwBoACAATQBNAFMAIAA6ACAAawBnACAATgAyAE8ALQBOAC8AawBnACAATgBcAG4ARgByAGEAYwBHAEEAUwBNAF8AbQBUADIAIAA9ACAAZgByAGEAYwB0AGkAbwBuACAAbwBmACAAYQBuAGkAbQBhAGwAIAB3AGEAcwB0AGUAIABOACAAdgBvAGwAYQB0AGkAbABpAHMAZQBkACAAaQBuACAAZQBhAGMAaAAgAE0ATQBTACAAOgAgACgAawBnACAATgBIADMALQBOACAAKwAgAE4ATwB4AC0ATgApAC8AawBnACAATgBcAG4ATQBOAEwAZQBhAGMAaABfAE0ATQBTACAAPQAgAG0AYQBzAHMAIABvAGYAIABOACAAbABvAHMAdAAgAHQAaAByAG8AdQBnAGgAIABsAGUAYQBjAGgAaQBuAGcAIABhAG4AZAAgAHIAdQBuAG8AZgBmACAAZgByAG8AbQAgAE0ATQBTACAAOgAgAGsAZwAgAE4AXABuAFAARgAgAD0AIABmAHIAYQBjAHQAaQBvAG4AIABvAGYAIABtAGEAbgB1AHIAZQAgAGEAcABwAGwAaQBlAGQAIAB0AG8AIABzAG8AaQBsACAAdwBpAHQAaABpAG4AIAB0AGgAZQAgAGYAYQByAG0AIABiAG8AdQBuAGQAYQByAHkAIAA6ACAAZgByAGEAYwB0AGkAbwBuAFwAbgAtAC0ALQAtAC0ALQAtAC0ALQAtAC0ALQAtAC0ALQAtAC0ALQAtAC0ALQAtAC0ALQAtAC0ALQAtAC0ALQAtAC0ALQAtAC0ALQAtAC0AXABuACoALwBcAG4AXABuAFYARQBFAFIARwBfADQAXwA2AF8AMQBfADkAXwBfADEAXwBNAGEAcwBzAE8AZgBOAGkAdAByAG8AZwBlAG4AQQBwAHAAbABpAGUAZABUAG8AUwBvAGkAbABzAFMAYwBvAHAAZQAxAFwAbgAgACAAPQBMAEEATQBCAEQAQQAoAFwAbgAgACAAIAAgAE0ATgBfAGoAbQBUADIALAAgAEUARgBfAG0AVAAyACwAIABGAHIAYQBjAEcAQQBTAE0AXwBtAFQAMgAsACAATQBOAEwAZQBhAGMAaABfAE0ATQBTACwAIABQAEYALABcAG4AIAAgACAAIAAoAE0ATgBfAGoAbQBUADIAIAAqACAAKAAxACAALQAgAEUARgBfAG0AVAAyACAALQAgAEYAcgBhAGMARwBBAFMATQBfAG0AVAAyACkAIAAtACAATQBOAEwAZQBhAGMAaABfAE0ATQBTACkAIAAqACAAUABGAFwAbgAgACAAKQA7AFwAbgBcAG4AVgBFAEUAUgBHAF8ANABfADYAXwAxAF8AOQBfAF8AMQBfAE0AYQBzAHMATwBmAE4AaQB0AHIAbwBnAGUAbgBBAHAAcABsAGkAZQBkAFQAbwBTAG8AaQBsAHMAUwBjAG8AcABlADEAXwBUAGkAdABsAGUAXABuACAAIAA9AEwAQQBNAEIARABBACgAXAAiAE0AYQBzAHMAIABvAGYAIABuAGkAdAByAG8AZwBlAG4AIABhAHAAcABsAGkAZQBkACAAdABvACAAcwBvAGkAbABzACAAZgBvAHIAIABzAGMAbwBwAGUAIAAxACAAZQBtAGkAcwBzAGkAbwBuAHMAXAAiACkAOwBcAG4AXABuAFYARQBFAFIARwBfADQAXwA2AF8AMQBfADkAXwBfADEAXwBNAGEAcwBzAE8AZgBOAGkAdAByAG8AZwBlAG4AQQBwAHAAbABpAGUAZABUAG8AUwBvAGkAbABzAFMAYwBvAHAAZQAxAF8AVgBhAHIAaQBhAGIAbABlAFwAbgAgACAAPQBMAEEATQBCAEQAQQAoAFwAIgBNAE4AUwBvAGkAbABfAHMAYwBvAHAAZQAxAFwAIgApADsAXABuAFwAbgBWAEUARQBSAEcAXwA0AF8ANgBfADEAXwA5AF8AXwAxAF8ATQBhAHMAcwBPAGYATgBpAHQAcgBvAGcAZQBuAEEAcABwAGwAaQBlAGQAVABvAFMAbwBpAGwAcwBTAGMAbwBwAGUAMQBfAFUAbgBpAHQAXABuACAAIAA9AEwAQQBNAEIARABBACgAXAAiAGsAZwAgAE4AXAAiACkAOwBcAG4AXABuAFYARQBFAFIARwBfADQAXwA2AF8AMQBfADkAXwBfADEAXwBNAGEAcwBzAE8AZgBOAGkAdAByAG8AZwBlAG4AQQBwAHAAbABpAGUAZABUAG8AUwBvAGkAbABzAFMAYwBvAHAAZQAxAF8AUwBvAHUAcgBjAGUAXABuACAAIAA9AEwAQQBNAEIARABBACgAXAAiAFYARQBFAFIARwAgADIAMAAyADYAOgAgADQALgA2AC4AMQAuADkALAAgAEUAcQB1AGEAdABpAG8AbgAgACgAMQApAFwAIgApADsAXABuAFwAbgBWAEUARQBSAEcAXwA0AF8ANgBfADEAXwA5AF8AXwAxAF8ATQBhAHMAcwBPAGYATgBpAHQAcgBvAGcAZQBuAEEAcABwAGwAaQBlAGQAVABvAFMAbwBpAGwAcwBTAGMAbwBwAGUAMQBfAE4ASQBSAFIAZQBmAGUAcgBlAG4AYwBlAFwAbgAgACAAPQBMAEEATQBCAEQAQQAoAFwAIgBcACIAKQA7AFwAbgBcAG4AVgBFAEUAUgBHAF8ANABfADYAXwAxAF8AOQBfAF8AMQBfAE0AYQBzAHMATwBmAE4AaQB0AHIAbwBnAGUAbgBBAHAAcABsAGkAZQBkAFQAbwBTAG8AaQBsAHMAUwBjAG8AcABlADEAXwBMAGEAdABlAHgARQBxAHUAYQB0AGkAbwBuAFwAbgAgACAAPQBMAEEATQBCAEQAQQAoAFwAIgBNAE4AUwBvAGkAbABfAHsAcwBjAG8AcABlADEAfQA9AFwAXABzAHUAbQBfAHsAagB9AFwAXABzAHUAbQBfAHsAbQB9ACgATQBOAF8AewBqAG0ALABUAD0AMgB9AFwAXAB0AGkAbQBlAHMAKAAxAC0ARQBGAF8AewBtAFQAPQAyAH0ALQBGAHIAYQBjAEcAQQBTAE0AXwB7AG0AVAA9ADIAfQApAC0ATQBOAEwAZQBhAGMAaABfAHsATQBNAFMAfQApAFwAXAB0AGkAbQBlAHMAIABQAEYAXAAiACkAOwBcAG4AXABuAFYARQBFAFIARwBfADQAXwA2AF8AMQBfADkAXwBfADEAXwBNAGEAcwBzAE8AZgBOAGkAdAByAG8AZwBlAG4AQQBwAHAAbABpAGUAZABUAG8AUwBvAGkAbABzAFMAYwBvAHAAZQAxAF8AQQByAGcAdQBtAGUAbgB0AHMAXABuACAAIAA9AEwAQQBNAEIARABBACgAXABuACAAIAAgACAATQBBAEsARQBBAFIAUgBBAFkAKAA1ACwAIAAyACwAXABuACAAIAAgACAAIAAgAEwAQQBNAEIARABBACgAcgAsAGMALABcAG4AIAAgACAAIAAgACAAIAAgAEkATgBEAEUAWAAoAHsAXABuACAAIAAgACAAIAAgACAAIAAgACAAXAAiAE0ATgBfAGoAbQBUADIAXAAiACwAXAAiAG0AYQBzAHMAIABvAGYAIABOACAAaQBuACAAcwBlAGMAbwBuAGQAYQByAHkAIAB0AHIAZQBhAHQAbQBlAG4AdAAgAHMAdABhAGcAZQAgAGEAcwAgAGMAYQBsAGMAdQBsAGEAdABlAGQAIABmAG8AcgAgAG0AYQBuAHUAcgBlACAAbQBhAG4AYQBnAGUAbQBlAG4AdAAgADoAIABrAGcAIABOAFwAIgA7AFwAbgAgACAAIAAgACAAIAAgACAAIAAgAFwAIgBFAEYAXwBtAFQAMgBcACIALABcACIAbgBpAHQAcgBvAHUAcwAgAG8AeABpAGQAZQAgAGUAbQBpAHMAcwBpAG8AbgAgAGYAYQBjAHQAbwByACAAZgBvAHIAIABlAGEAYwBoACAATQBNAFMAIAA6ACAAawBnACAATgAyAE8ALQBOAC8AawBnACAATgBcACIAOwBcAG4AIAAgACAAIAAgACAAIAAgACAAIABcACIARgByAGEAYwBHAEEAUwBNAF8AbQBUADIAXAAiACwAXAAiAGYAcgBhAGMAdABpAG8AbgAgAG8AZgAgAGEAbgBpAG0AYQBsACAAdwBhAHMAdABlACAATgAgAHYAbwBsAGEAdABpAGwAaQBzAGUAZAAgAGkAbgAgAGUAYQBjAGgAIABNAE0AUwAgADoAIAAoAGsAZwAgAE4ASAAzAC0ATgAgACsAIABOAE8AeAAtAE4AKQAvAGsAZwAgAE4AXAAiADsAXABuACAAIAAgACAAIAAgACAAIAAgACAAXAAiAE0ATgBMAGUAYQBjAGgAXwBNAE0AUwBcACIALABcACIAbQBhAHMAcwAgAG8AZgAgAE4AIABsAG8AcwB0ACAAdABoAHIAbwB1AGcAaAAgAGwAZQBhAGMAaABpAG4AZwAgAGEAbgBkACAAcgB1AG4AbwBmAGYAIABmAHIAbwBtACAATQBNAFMAIAA6ACAAawBnACAATgBcACIAOwBcAG4AIAAgACAAIAAgACAAIAAgACAAIABcACIAUABGAFwAIgAsAFwAIgBmAHIAYQBjAHQAaQBvAG4AIABvAGYAIABtAGEAbgB1AHIAZQAgAGEAcABwAGwAaQBlAGQAIAB0AG8AIABzAG8AaQBsACAAdwBpAHQAaABpAG4AIAB0AGgAZQAgAGYAYQByAG0AIABiAG8AdQBuAGQAYQByAHkAIAA6ACAAZgByAGEAYwB0AGkAbwBuAFwAIgBcAG4AIAAgACAAIAAgACAAIAAgAH0ALAAgAHIALAAgAGMAKQBcAG4AIAAgACAAIAAgACAAKQBcAG4AIAAgACAAIAApAFwAbgAgACAAKQA7AFwAbgBcAG4ALwAqAFwAbgAtAC0ALQAtAC0ALQAtAC0ALQAtAC0ALQAtAC0ALQAtAC0ALQAtAC0ALQAtAC0ALQAtAC0ALQAtAC0ALQAtAC0ALQAtAC0ALQAtAC0AXABuAFYARQBFAFIARwBfADQAXwA2AF8AMQBfADkAXwBfADIAXwBNAGEAcwBzAE8AZgBOAGkAdAByAG8AZwBlAG4AQQBwAHAAbABpAGUAZABUAG8AUwBvAGkAbABzAFMAYwBvAHAAZQAzAFwAbgBNAGEAcwBzACAAbwBmACAAbgBpAHQAcgBvAGcAZQBuACAAYQBwAHAAbABpAGUAZAAgAHQAbwAgAHMAbwBpAGwAcwAgAGYAbwByACAAcwBjAG8AcABlACAAMwAgAGUAbQBpAHMAcwBpAG8AbgBzAFwAbgBNAE4AUwBvAGkAbABfAHMAYwBvAHAAZQAzAFwAbgBrAGcAIABOAFwAbgBNAE4AUwBvAGkAbABfAHsAcwBjAG8AcABlADMAfQA9AFwAXABzAHUAbQBfAHsAagB9AFwAXABzAHUAbQBfAHsAbQB9ACgATQBOAF8AewBqAG0ALABUAD0AMgB9AFwAXAB0AGkAbQBlAHMAKAAxAC0ARQBGAF8AewBtAFQAPQAyAH0ALQBGAHIAYQBjAEcAQQBTAE0AXwB7AG0AVAA9ADIAfQApAC0ATQBOAEwAZQBhAGMAaABfAHsATQBNAFMAfQApAFwAXAB0AGkAbQBlAHMAKAAxAC0AUABGACkAXABuAE0ATgBfAGoAbQBUADIAIAA9ACAAbQBhAHMAcwAgAG8AZgAgAE4AIABpAG4AIABzAGUAYwBvAG4AZABhAHIAeQAgAHQAcgBlAGEAdABtAGUAbgB0ACAAcwB0AGEAZwBlACAAYQBzACAAYwBhAGwAYwB1AGwAYQB0AGUAZAAgAGYAbwByACAAbQBhAG4AdQByAGUAIABtAGEAbgBhAGcAZQBtAGUAbgB0ACAAOgAgAGsAZwAgAE4AXABuAEUARgBfAG0AVAAyACAAPQAgAG4AaQB0AHIAbwB1AHMAIABvAHgAaQBkAGUAIABlAG0AaQBzAHMAaQBvAG4AIABmAGEAYwB0AG8AcgAgAGYAbwByACAAZQBhAGMAaAAgAE0ATQBTACAAOgAgAGsAZwAgAE4AMgBPAC0ATgAvAGsAZwAgAE4AXABuAEYAcgBhAGMARwBBAFMATQBfAG0AVAAyACAAPQAgAGYAcgBhAGMAdABpAG8AbgAgAG8AZgAgAGEAbgBpAG0AYQBsACAAdwBhAHMAdABlACAATgAgAHYAbwBsAGEAdABpAGwAaQBzAGUAZAAgAGkAbgAgAGUAYQBjAGgAIABNAE0AUwAgADoAIAAoAGsAZwAgAE4ASAAzAC0ATgAgACsAIABOAE8AeAAtAE4AKQAvAGsAZwAgAE4AXABuAE0ATgBMAGUAYQBjAGgAXwBNAE0AUwAgAD0AIABtAGEAcwBzACAAbwBmACAATgAgAGwAbwBzAHQAIAB0AGgAcgBvAHUAZwBoACAAbABlAGEAYwBoAGkAbgBnACAAYQBuAGQAIAByAHUAbgBvAGYAZgAgAGYAcgBvAG0AIABNAE0AUwAgADoAIABrAGcAIABOAFwAbgBQAEYAIAA9ACAAZgByAGEAYwB0AGkAbwBuACAAbwBmACAAbQBhAG4AdQByAGUAIABhAHAAcABsAGkAZQBkACAAdABvACAAcwBvAGkAbAAgAHcAaQB0AGgAaQBuACAAdABoAGUAIABmAGEAcgBtACAAYgBvAHUAbgBkAGEAcgB5ACAAOgAgAGYAcgBhAGMAdABpAG8AbgBcAG4ALQAtAC0ALQAtAC0ALQAtAC0ALQAtAC0ALQAtAC0ALQAtAC0ALQAtAC0ALQAtAC0ALQAtAC0ALQAtAC0ALQAtAC0ALQAtAC0ALQAtAFwAbgAqAC8AXABuAFwAbgBWAEUARQBSAEcAXwA0AF8ANgBfADEAXwA5AF8AXwAyAF8ATQBhAHMAcwBPAGYATgBpAHQAcgBvAGcAZQBuAEEAcABwAGwAaQBlAGQAVABvAFMAbwBpAGwAcwBTAGMAbwBwAGUAMwBcAG4AIAAgAD0ATABBAE0AQgBEAEEAKABcAG4AIAAgACAAIABNAE4AXwBqAG0AVAAyACwAIABFAEYAXwBtAFQAMgAsACAARgByAGEAYwBHAEEAUwBNAF8AbQBUADIALAAgAE0ATgBMAGUAYQBjAGgAXwBNAE0AUwAsACAAUABGACwAXABuACAAIAAgACAAKABNAE4AXwBqAG0AVAAyACAAKgAgACgAMQAgAC0AIABFAEYAXwBtAFQAMgAgAC0AIABGAHIAYQBjAEcAQQBTAE0AXwBtAFQAMgApACAALQAgAE0ATgBMAGUAYQBjAGgAXwBNAE0AUwApACAAKgAgACgAMQAgAC0AIABQAEYAKQBcAG4AIAAgACkAOwBcAG4AXABuAFYARQBFAFIARwBfADQAXwA2AF8AMQBfADkAXwBfADIAXwBNAGEAcwBzAE8AZgBOAGkAdAByAG8AZwBlAG4AQQBwAHAAbABpAGUAZABUAG8AUwBvAGkAbABzAFMAYwBvAHAAZQAzAF8AVABpAHQAbABlAFwAbgAgACAAPQBMAEEATQBCAEQAQQAoAFwAIgBNAGEAcwBzACAAbwBmACAAbgBpAHQAcgBvAGcAZQBuACAAYQBwAHAAbABpAGUAZAAgAHQAbwAgAHMAbwBpAGwAcwAgAGYAbwByACAAcwBjAG8AcABlACAAMwAgAGUAbQBpAHMAcwBpAG8AbgBzAFwAIgApADsAXABuAFwAbgBWAEUARQBSAEcAXwA0AF8ANgBfADEAXwA5AF8AXwAyAF8ATQBhAHMAcwBPAGYATgBpAHQAcgBvAGcAZQBuAEEAcABwAGwAaQBlAGQAVABvAFMAbwBpAGwAcwBTAGMAbwBwAGUAMwBfAFYAYQByAGkAYQBiAGwAZQBcAG4AIAAgAD0ATABBAE0AQgBEAEEAKABcACIATQBOAFMAbwBpAGwAXwBzAGMAbwBwAGUAMwBcACIAKQA7AFwAbgBcAG4AVgBFAEUAUgBHAF8ANABfADYAXwAxAF8AOQBfAF8AMgBfAE0AYQBzAHMATwBmAE4AaQB0AHIAbwBnAGUAbgBBAHAAcABsAGkAZQBkAFQAbwBTAG8AaQBsAHMAUwBjAG8AcABlADMAXwBVAG4AaQB0AFwAbgAgACAAPQBMAEEATQBCAEQAQQAoAFwAIgBrAGcAIABOAFwAIgApADsAXABuAFwAbgBWAEUARQBSAEcAXwA0AF8ANgBfADEAXwA5AF8AXwAyAF8ATQBhAHMAcwBPAGYATgBpAHQAcgBvAGcAZQBuAEEAcABwAGwAaQBlAGQAVABvAFMAbwBpAGwAcwBTAGMAbwBwAGUAMwBfAFMAbwB1AHIAYwBlAFwAbgAgACAAPQBMAEEATQBCAEQAQQAoAFwAIgBWAEUARQBSAEcAIAAyADAAMgA2ADoAIAA0AC4ANgAuADEALgA5ACwAIABFAHEAdQBhAHQAaQBvAG4AIAAoADIAKQBcACIAKQA7AFwAbgBcAG4AVgBFAEUAUgBHAF8ANABfADYAXwAxAF8AOQBfAF8AMgBfAE0AYQBzAHMATwBmAE4AaQB0AHIAbwBnAGUAbgBBAHAAcABsAGkAZQBkAFQAbwBTAG8AaQBsAHMAUwBjAG8AcABlADMAXwBOAEkAUgBSAGUAZgBlAHIAZQBuAGMAZQBcAG4AIAAgAD0ATABBAE0AQgBEAEEAKABcACIAXAAiACkAOwBcAG4AXABuAFYARQBFAFIARwBfADQAXwA2AF8AMQBfADkAXwBfADIAXwBNAGEAcwBzAE8AZgBOAGkAdAByAG8AZwBlAG4AQQBwAHAAbABpAGUAZABUAG8AUwBvAGkAbABzAFMAYwBvAHAAZQAzAF8ATABhAHQAZQB4AEUAcQB1AGEAdABpAG8AbgBcAG4AIAAgAD0ATABBAE0AQgBEAEEAKABcACIATQBOAFMAbwBpAGwAXwB7AHMAYwBvAHAAZQAzAH0APQBcAFwAcwB1AG0AXwB7AGoAfQBcAFwAcwB1AG0AXwB7AG0AfQAoAE0ATgBfAHsAagBtACwAVAA9ADIAfQBcAFwAdABpAG0AZQBzACgAMQAtAEUARgBfAHsAbQBUAD0AMgB9AC0ARgByAGEAYwBHAEEAUwBNAF8AewBtAFQAPQAyAH0AKQAtAE0ATgBMAGUAYQBjAGgAXwB7AE0ATQBTAH0AKQBcAFwAdABpAG0AZQBzACgAMQAtAFAARgApAFwAIgApADsAXABuAFwAbgBWAEUARQBSAEcAXwA0AF8ANgBfADEAXwA5AF8AXwAyAF8ATQBhAHMAcwBPAGYATgBpAHQAcgBvAGcAZQBuAEEAcABwAGwAaQBlAGQAVABvAFMAbwBpAGwAcwBTAGMAbwBwAGUAMwBfAEEAcgBnAHUAbQBlAG4AdABzAFwAbgAgACAAPQBMAEEATQBCAEQAQQAoAFwAbgAgACAAIAAgAE0AQQBLAEUAQQBSAFIAQQBZACgANQAsACAAMgAsAFwAbgAgACAAIAAgACAAIABMAEEATQBCAEQAQQAoAHIALABjACwAXABuACAAIAAgACAAIAAgACAAIABJAE4ARABFAFgAKAB7AFwAbgAgACAAIAAgACAAIAAgACAAIAAgAFwAIgBNAE4AXwBqAG0AVAAyAFwAIgAsAFwAIgBtAGEAcwBzACAAbwBmACAATgAgAGkAbgAgAHMAZQBjAG8AbgBkAGEAcgB5ACAAdAByAGUAYQB0AG0AZQBuAHQAIABzAHQAYQBnAGUAIABhAHMAIABjAGEAbABjAHUAbABhAHQAZQBkACAAZgBvAHIAIABtAGEAbgB1AHIAZQAgAG0AYQBuAGEAZwBlAG0AZQBuAHQAIAA6ACAAawBnACAATgBcACIAOwBcAG4AIAAgACAAIAAgACAAIAAgACAAIABcACIARQBGAF8AbQBUADIAXAAiACwAXAAiAG4AaQB0AHIAbwB1AHMAIABvAHgAaQBkAGUAIABlAG0AaQBzAHMAaQBvAG4AIABmAGEAYwB0AG8AcgAgAGYAbwByACAAZQBhAGMAaAAgAE0ATQBTACAAOgAgAGsAZwAgAE4AMgBPAC0ATgAvAGsAZwAgAE4AXAAiADsAXABuACAAIAAgACAAIAAgACAAIAAgACAAXAAiAEYAcgBhAGMARwBBAFMATQBfAG0AVAAyAFwAIgAsAFwAIgBmAHIAYQBjAHQAaQBvAG4AIABvAGYAIABhAG4AaQBtAGEAbAAgAHcAYQBzAHQAZQAgAE4AIAB2AG8AbABhAHQAaQBsAGkAcwBlAGQAIABpAG4AIABlAGEAYwBoACAATQBNAFMAIAA6ACAAKABrAGcAIABOAEgAMwAtAE4AIAArACAATgBPAHgALQBOACkALwBrAGcAIABOAFwAIgA7AFwAbgAgACAAIAAgACAAIAAgACAAIAAgAFwAIgBNAE4ATABlAGEAYwBoAF8ATQBNAFMAXAAiACwAXAAiAG0AYQBzAHMAIABvAGYAIABOACAAbABvAHMAdAAgAHQAaAByAG8AdQBnAGgAIABsAGUAYQBjAGgAaQBuAGcAIABhAG4AZAAgAHIAdQBuAG8AZgBmACAAZgByAG8AbQAgAE0ATQBTACAAOgAgAGsAZwAgAE4AXAAiADsAXABuACAAIAAgACAAIAAgACAAIAAgACAAXAAiAFAARgBcACIALABcACIAZgByAGEAYwB0AGkAbwBuACAAbwBmACAAbQBhAG4AdQByAGUAIABhAHAAcABsAGkAZQBkACAAdABvACAAcwBvAGkAbAAgAHcAaQB0AGgAaQBuACAAdABoAGUAIABmAGEAcgBtACAAYgBvAHUAbgBkAGEAcgB5ACAAOgAgAGYAcgBhAGMAdABpAG8AbgBcACIAXABuACAAIAAgACAAIAAgACAAIAB9ACwAIAByACwAIABjACkAXABuACAAIAAgACAAIAAgACkAXABuACAAIAAgACAAKQBcAG4AIAAgACkAOwBcAG4AIgB9ACwAewAiAHAAYQB0AGgAIgA6ACIALwBwAHIAbwBqAGUAYwB0AHMALwBNAE0AUwBfAFAAbwB1AGwAdAByAHkAXwBTAG8AaQBsAF8ATgAyAE8ARABpAHIAZQBjAHQAXwBFAHEAdQBhAHQAaQBvAG4AcwAiACwAIgB0AGUAeAB0ACIAOgAiAC8AKgBcAG4APQA9AD0APQA9AD0APQA9AD0APQA9AD0APQA9AD0APQA9AD0APQA9AD0APQA9AD0APQA9AD0APQA9AD0APQA9AD0APQA9AD0APQA9AD0APQA9AD0APQA9AD0APQA9AD0APQA9AD0APQA9AD0APQA9AD0APQA9AD0APQA9AD0APQA9AD0APQA9AD0APQA9AD0APQA9AD0APQBcAG4ANAAuADYAOgAgAFAAbwB1AGwAdAByAHkAXABuAD0APQA9AD0APQA9AD0APQA9AD0APQA9AD0APQA9AD0APQA9AD0APQA9AD0APQA9AD0APQA9AD0APQA9AD0APQA9AD0APQA9AD0APQA9AD0APQA9AD0APQA9AD0APQA9AD0APQA9AD0APQA9AD0APQA9AD0APQA9AD0APQA9AD0APQA9AD0APQA9AD0APQA9AD0APQA9AD0AXABuADQALgA2AC4AMQAuADEAMAAgAE0AZQB0AGgAbwBkACAAMQAgAC0AIABTAG8AaQBsACAARABpAHIAZQBjAHQAIABOADIATwAgAFAAbwB1AGwAdA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gBfADEAXwAxADAAXwBfADEAXwBEAGkAcgBlAGMAdABOAGkAdAByAG8AdQBzAE8AeABpAGQAZQBFAG0AaQBzAHMAaQBvAG4AcwBGAHIAbwBtAFAAbwB1AGwAdAByAHkATQBhAG4AdQByAGUAXABuAEQAaQByAGUAYwB0ACAAbgBpAHQAcgBvAHUAcwAgAG8AeABpAGQAZQAgAGUAbQBpAHMAcwBpAG8AbgBzACAAZgByAG8AbQAgAHAAbwB1AGwAdAByAHkAIABtAGEAbgB1AHIAZQAgAG8AbgAgAHAAYQBzAHQAdQByAGUAXABuAEUATQBfAE4AMgBPAFAAUgBQAGQAaQByAFwAbgB0ACAATgAyAE8AXABuAEUATQBfAHsATgAyAE8ALABQAFIAUAAsAGQAaQByAH0APQBcAFwAcwB1AG0AXwB7AGoAfQBcAFwAcwB1AG0AXwB7AGsAfQAoAE0ATgBfAHsAagBrAG0APQAxADQALABUAD0AMQB9AFwAXAB0AGkAbQBlAHMAIABFAEYAXwB7AFAAUgBQAH0AXABcAHQAaQBtAGUAcwAgAEMAXwB7AE4AMgBPAH0AKQBcAFwAdABpAG0AZQBzACAAMQAwAF4AewAtADMAfQBcAG4ATQBOAF8AagBrAG0AMQA0AFQAMQAgAD0AIABtAGEAcwBzACAAbwBmACAAbgBpAHQAcgBvAGcAZQBuACAAZQB4AGMAcgBlAHQAZQBkACAAZABpAHIAZQBjAHQAbAB5ACAAbwBuACAAcABhAHMAdAB1AHIAZQAgAGIAeQAgAHAAbwB1AGwAdAByAHkAIABjAGwAYQBzAHMAIABhAG4AZAAgAHMAdQBiAGMAbABhAHMAcwAgACgAawBnACAATgApAFwAbgBFAEYAXwBQAFIAUAAgAD0AIABuAGkAdAByAG8AdQBzACAAbwB4AGkAZABlACAAZQBtAGkAcwBzAGkAbwBuACAAZgBhAGMAdABvAHIAIABmAG8AcgAgAG0AYQBuAHUAcgBlACAAZABlAHAAbwBzAGkAdABlAGQAIABvAG4AIABwAGEAcwB0AHUAcgBlACAAKABrAGcAIABOADIATwAtAE4ALwBrAGcAIABOACAAZABlAHAAbwBzAGkAdABlAGQ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2AF8AMQBfADEAMABfAF8AMQBfAEQAaQByAGUAYwB0AE4AaQB0AHIAbwB1AHMATwB4AGkAZABlAEUAbQBpAHMAcwBpAG8AbgBzAEYAcgBvAG0AUABvAHUAbAB0AHIAeQBNAGEAbgB1AHIAZQBcAG4AIAAgAD0ATABBAE0AQgBEAEEAKABcAG4AIAAgACAAIABNAE4AXwBqAGsAbQAxADQAVAAxACwAIABFAEYAXwBQAFIAUAAsACAAQwBfAE4AMgBPACwAXABuACAAIAAgACAATQBOAF8AagBrAG0AMQA0AFQAMQAgACoAIABFAEYAXwBQAFIAUAAgACoAIABDAF8ATgAyAE8AIAAqACAAMQAwACAAXgAgAC0AMwBcAG4AIAAgACkAOwBcAG4AXABuAFYARQBFAFIARwBfADQAXwA2AF8AMQBfADEAMABfAF8AMQBfAEQAaQByAGUAYwB0AE4AaQB0AHIAbwB1AHMATwB4AGkAZABlAEUAbQBpAHMAcwBpAG8AbgBzAEYAcgBvAG0AUABvAHUAbAB0AHIAeQBNAGEAbgB1AHIAZQBfAFQAaQB0AGwAZQBcAG4AIAAgAD0ATABBAE0AQgBEAEEAKABcACIARABpAHIAZQBjAHQAIABuAGkAdAByAG8AdQBzACAAbwB4AGkAZABlACAAZQBtAGkAcwBzAGkAbwBuAHMAIABmAHIAbwBtACAAcABvAHUAbAB0AHIAeQAgAG0AYQBuAHUAcgBlACAAbwBuACAAcABhAHMAdAB1AHIAZQBcACIAKQA7AFwAbgBcAG4AVgBFAEUAUgBHAF8ANABfADYAXwAxAF8AMQAwAF8AXwAxAF8ARABpAHIAZQBjAHQATgBpAHQAcgBvAHUAcwBPAHgAaQBkAGUARQBtAGkAcwBzAGkAbwBuAHMARgByAG8AbQBQAG8AdQBsAHQAcgB5AE0AYQBuAHUAcgBlAF8AVgBhAHIAaQBhAGIAbABlAFwAbgAgACAAPQBMAEEATQBCAEQAQQAoAFwAIgBFAE0AXwBOADIATwBQAFIAUABkAGkAcgBcACIAKQA7AFwAbgBcAG4AVgBFAEUAUgBHAF8ANABfADYAXwAxAF8AMQAwAF8AXwAxAF8ARABpAHIAZQBjAHQATgBpAHQAcgBvAHUAcwBPAHgAaQBkAGUARQBtAGkAcwBzAGkAbwBuAHMARgByAG8AbQBQAG8AdQBsAHQAcgB5AE0AYQBuAHUAcgBlAF8AVQBuAGkAdABcAG4AIAAgAD0ATABBAE0AQgBEAEEAKABcACIAdAAgAE4AMgBPAFwAIgApADsAXABuAFwAbgBWAEUARQBSAEcAXwA0AF8ANgBfADEAXwAxADAAXwBfADEAXwBEAGkAcgBlAGMAdABOAGkAdAByAG8AdQBzAE8AeABpAGQAZQBFAG0AaQBzAHMAaQBvAG4AcwBGAHIAbwBtAFAAbwB1AGwAdAByAHkATQBhAG4AdQByAGUAXwBTAG8AdQByAGMAZQBcAG4AIAAgAD0ATABBAE0AQgBEAEEAKABcACIAVgBFAEUAUgBHACAAMgAwADIANgA6ACAANAAuADYALgAxAC4AMQAwACwAIABFAHEAdQBhAHQAaQBvAG4AIAAoADEAKQBcACIAKQA7AFwAbgBcAG4AVgBFAEUAUgBHAF8ANABfADYAXwAxAF8AMQAwAF8AXwAxAF8ARABpAHIAZQBjAHQATgBpAHQAcgBvAHUAcwBPAHgAaQBkAGUARQBtAGkAcwBzAGkAbwBuAHMARgByAG8AbQBQAG8AdQBsAHQAcgB5AE0AYQBuAHUAcgBlAF8ATgBJAFIAUgBlAGYAZQByAGUAbgBjAGUAXABuACAAIAA9AEwAQQBNAEIARABBACgAXAAiAFwAIgApADsAXABuAFwAbgBWAEUARQBSAEcAXwA0AF8ANgBfADEAXwAxADAAXwBfADEAXwBEAGkAcgBlAGMAdABOAGkAdAByAG8AdQBzAE8AeABpAGQAZQBFAG0AaQBzAHMAaQBvAG4AcwBGAHIAbwBtAFAAbwB1AGwAdAByAHkATQBhAG4AdQByAGUAXwBMAGEAdABlAHgARQBxAHUAYQB0AGkAbwBuAFwAbgAgACAAPQBMAEEATQBCAEQAQQAoAFwAIgBFAE0AXwB7AE4AMgBPACwAUABSAFAALABkAGkAcgB9AD0AXABcAHMAdQBtAF8AewBqAH0AXABcAHMAdQBtAF8AewBrAH0AKABNAE4AXwB7AGoAawBtAD0AMQA0ACwAVAA9ADEAfQBcAFwAdABpAG0AZQBzACAARQBGAF8AewBQAFIAUAB9AFwAXAB0AGkAbQBlAHMAIABDAF8AewBOADIATwB9ACkAXABcAHQAaQBtAGUAcwAgADEAMABeAHsALQAzAH0AXAAiACkAOwBcAG4AXABuAFYARQBFAFIARwBfADQAXwA2AF8AMQBfADEAMABfAF8AMQBfAEQAaQByAGUAYwB0AE4AaQB0AHIAbwB1AHMATwB4AGkAZABlAEUAbQBpAHMAcwBpAG8AbgBzAEYAcgBvAG0AUABvAHUAbAB0AHIAeQBNAGEAbgB1AHIAZQBfAEEAcgBnAHUAbQBlAG4AdABzAFwAbgAgACAAPQBMAEEATQBCAEQAQQAoAFwAbgAgACAAIAAgAE0AQQBLAEUAQQBSAFIAQQBZACgAMwAsACAAMgAsAFwAbgAgACAAIAAgACAAIABMAEEATQBCAEQAQQAoAHIALABjACwAXABuACAAIAAgACAAIAAgACAAIABJAE4ARABFAFgAKAB7AFwAbgAgACAAIAAgACAAIAAgACAAIAAgAFwAIgBNAE4AXwBqAGsAbQAxADQAVAAxAFwAIgAsACAAXAAiAG0AYQBzAHMAIABvAGYAIABuAGkAdAByAG8AZwBlAG4AIABlAHgAYwByAGUAdABlAGQAIABkAGkAcgBlAGMAdABsAHkAIABvAG4AIABwAGEAcwB0AHUAcgBlACAAYgB5ACAAcABvAHUAbAB0AHIAeQAgAGMAbABhAHMAcwAgAGEAbgBkACAAcwB1AGIAYwBsAGEAcwBzACAAKABrAGcAIABOACkAXAAiADsAXABuACAAIAAgACAAIAAgACAAIAAgACAAXAAiAEUARgBfAFAAUgBQAFwAIgAsACAAXAAiAG4AaQB0AHIAbwB1AHMAIABvAHgAaQBkAGUAIABlAG0AaQBzAHMAaQBvAG4AIABmAGEAYwB0AG8AcgAgAGYAbwByACAAbQBhAG4AdQByAGUAIABkAGUAcABvAHMAaQB0AGUAZAAgAG8AbgAgAHAAYQBzAHQAdQByAGUAIAAoAGsAZwAgAE4AMgBPAC0ATgAvAGsAZwAgAE4AIABkAGUAcABvAHMAaQB0AGUAZAApAFwAIgA7AFwAbgAgACAAIAAgACAAIAAgACAAIAAgAFwAIgBDAF8ATgAyAE8AXAAiACwAIABcACIAZgBhAGMAdABvAHIAIAB0AG8AIABjAG8AbgB2AGUAcgB0ACAAZQBsAGUAbQBlAG4AdABhAGwAIABtAGEAcwBzACAAbwBmACAATgAyAE8AIAB0AG8AIABtAG8AbABlAGMAdQBsAGEAcgAgAG0AYQBzAHMAXAAiAFwAbgAgACAAIAAgACAAIAAgACAAfQAsACAAcgAsACAAYwApAFwAbgAgACAAIAAgACAAIAApAFwAbgAgACAAIAAgACkAXABuACAAIAApADsAXABuACIAfQAsAHsAIgBwAGEAdABoACIAOgAiAC8AcAByAG8AagBlAGMAdABzAC8ATQBNAFMAXwBQAG8AdQBsAHQAcgB5AF8AUwBvAGkAbABfAEEAdABtAG8AcwBwAGgAZQByAGkAYwBEAGUAcABvAHMAaQB0AGkAbwBuAF8ARQBxAHUAYQB0AGkAbwBuAHMAIgAsACIAdABlAHgAdAAiADoAIgAvACoAXABuAD0APQA9AD0APQA9AD0APQA9AD0APQA9AD0APQA9AD0APQA9AD0APQA9AD0APQA9AD0APQA9AD0APQA9AD0APQA9AD0APQA9AD0APQA9AD0APQA9AD0APQA9AD0APQA9AD0APQA9AD0APQA9AD0APQA9AD0APQA9AD0APQA9AD0APQA9AD0APQA9AD0APQA9AD0APQA9AD0AXABuADQALgA2ADoAIABQAG8AdQBsAHQAcgB5AFwAbgA9AD0APQA9AD0APQA9AD0APQA9AD0APQA9AD0APQA9AD0APQA9AD0APQA9AD0APQA9AD0APQA9AD0APQA9AD0APQA9AD0APQA9AD0APQA9AD0APQA9AD0APQA9AD0APQA9AD0APQA9AD0APQA9AD0APQA9AD0APQA9AD0APQA9AD0APQA9AD0APQA9AD0APQA9AD0APQA9AFwAbgA0AC4ANgAuADEALgAxADIAIABNAGUAdABoAG8AZAAgADEAIAAtACAAUwBvAGkAbAAgAEEAdABtAG8AcwBwAGgAZQByAGkAYwAgAEQAZQBwAG8AcwBpAHQAaQBvAG4AIABOADIATwAgAFAAbwB1AGwAdA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gBfADEAXwAxADIAXwBfADEAXwBBAHQAbQBvAHMAcABoAGUAcgBpAGMARABlAHAAbwBzAGkAdABpAG8AbgBFAG0AaQBzAHMAaQBvAG4AcwBGAHIAbwBtAFAAbwB1AGwAdAByAHkATQBhAG4AdQByAGUATwBuAFAAYQBzAHQAdQByAGUAXABuAEEAdABtAG8AcwBwAGgAZQByAGkAYwAgAGQAZQBwAG8AcwBpAHQAaQBvAG4AIABlAG0AaQBzAHMAaQBvAG4AcwAgAGYAcgBvAG0AIABwAG8AdQBsAHQAcgB5ACAAbQBhAG4AdQByAGUAIABkAGUAcABvAHMAaQB0AGUAZAAgAG8AbgAgAHAAYQBzAHQAdQByAGUAXABuAEUAXwBOADIATwBhAGQAXABuAHQAIABOADIATwBcAG4ARQBfAHsATgAyAE8ALABhAGQAfQA9AE0AXwB7AHYAbwBsACwAbQA9ADEANAB9AFwAXAB0AGkAbQBlAHMAIABFAEYAXwB7AE4AMgBPAH0AXABcAHQAaQBtAGUAcwAgAEMAXwB7AE4AMgBPAH0AXABcAHQAaQBtAGUAcwAgADEAMABeAHsALQAzAH0AXABuAE0AXwB2AG8AbABfAG0AMQA0ACAAPQAgAG0AYQBzAHMAIABvAGYAIABuAGkAdAByAG8AZwBlAG4AIAB2AG8AbABhAHQAaQBsAGkAcwBlAGQAIABmAHIAbwBtACAAbQBhAG4AdQByAGUAIABkAGUAcABvAHMAaQB0AGUAZAAgAG8AbgAgAHAAYQBzAHQAdQByAGUAIAAoAGsAZwAgAE4AKQBcAG4ARQBGAF8ATgAyAE8AIAA9ACAAZQBtAGkAcwBzAGkAbwBuACAAZgBhAGMAdABvAHIAIABmAG8AcgAgAGEAdABtAG8AcwBwAGgAZQByAGkAYwAgAGQAZQBwAG8AcwBpAHQAaQBvAG4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2AF8AMQBfADEAMgBfAF8AMQBfAEEAdABtAG8AcwBwAGgAZQByAGkAYwBEAGUAcABvAHMAaQB0AGkAbwBuAEUAbQBpAHMAcwBpAG8AbgBzAEYAcgBvAG0AUABvAHUAbAB0AHIAeQBNAGEAbgB1AHIAZQBPAG4AUABhAHMAdAB1AHIAZQBcAG4AIAAgAD0ATABBAE0AQgBEAEEAKABcAG4AIAAgACAAIABNAF8AdgBvAGwAXwBtADEANAAsACAARQBGAF8ATgAyAE8ALAAgAEMAXwBOADIATwAsAFwAbgAgACAAIAAgAE0AXwB2AG8AbABfAG0AMQA0ACAAKgAgAEUARgBfAE4AMgBPACAAKgAgAEMAXwBOADIATwAgACoAIAAxADAAIABeACAALQAzAFwAbgAgACAAKQA7AFwAbgBcAG4AVgBFAEUAUgBHAF8ANABfADYAXwAxAF8AMQAyAF8AXwAxAF8AQQB0AG0AbwBzAHAAaABlAHIAaQBjAEQAZQBwAG8AcwBpAHQAaQBvAG4ARQBtAGkAcwBzAGkAbwBuAHMARgByAG8AbQBQAG8AdQBsAHQAcgB5AE0AYQBuAHUAcgBlAE8AbgBQAGEAcwB0AHUAcgBlAF8AVABpAHQAbABlAFwAbgAgACAAPQBMAEEATQBCAEQAQQAoAFwAIgBBAHQAbQBvAHMAcABoAGUAcgBpAGMAIABkAGUAcABvAHMAaQB0AGkAbwBuACAAZQBtAGkAcwBzAGkAbwBuAHMAIABmAHIAbwBtACAAcABvAHUAbAB0AHIAeQAgAG0AYQBuAHUAcgBlACAAZABlAHAAbwBzAGkAdABlAGQAIABvAG4AIABwAGEAcwB0AHUAcgBlAFwAIgApADsAXABuAFwAbgBWAEUARQBSAEcAXwA0AF8ANgBfADEAXwAxADIAXwBfADEAXwBBAHQAbQBvAHMAcABoAGUAcgBpAGMARABlAHAAbwBzAGkAdABpAG8AbgBFAG0AaQBzAHMAaQBvAG4AcwBGAHIAbwBtAFAAbwB1AGwAdAByAHkATQBhAG4AdQByAGUATwBuAFAAYQBzAHQAdQByAGUAXwBWAGEAcgBpAGEAYgBsAGUAXABuACAAIAA9AEwAQQBNAEIARABBACgAXAAiAEUAXwBOADIATwBhAGQAXAAiACkAOwBcAG4AXABuAFYARQBFAFIARwBfADQAXwA2AF8AMQBfADEAMgBfAF8AMQBfAEEAdABtAG8AcwBwAGgAZQByAGkAYwBEAGUAcABvAHMAaQB0AGkAbwBuAEUAbQBpAHMAcwBpAG8AbgBzAEYAcgBvAG0AUABvAHUAbAB0AHIAeQBNAGEAbgB1AHIAZQBPAG4AUABhAHMAdAB1AHIAZQBfAFUAbgBpAHQAXABuACAAIAA9AEwAQQBNAEIARABBACgAXAAiAHQAIABOADIATwBcACIAKQA7AFwAbgBcAG4AVgBFAEUAUgBHAF8ANABfADYAXwAxAF8AMQAyAF8AXwAxAF8AQQB0AG0AbwBzAHAAaABlAHIAaQBjAEQAZQBwAG8AcwBpAHQAaQBvAG4ARQBtAGkAcwBzAGkAbwBuAHMARgByAG8AbQBQAG8AdQBsAHQAcgB5AE0AYQBuAHUAcgBlAE8AbgBQAGEAcwB0AHUAcgBlAF8AUwBvAHUAcgBjAGUAXABuACAAIAA9AEwAQQBNAEIARABBACgAXAAiAFYARQBFAFIARwAgADIAMAAyADYAOgAgADQALgA2AC4AMQAuADEAMgAsACAARQBxAHUAYQB0AGkAbwBuACAAKAAxACkAXAAiACkAOwBcAG4AXABuAFYARQBFAFIARwBfADQAXwA2AF8AMQBfADEAMgBfAF8AMQBfAEEAdABtAG8AcwBwAGgAZQByAGkAYwBEAGUAcABvAHMAaQB0AGkAbwBuAEUAbQBpAHMAcwBpAG8AbgBzAEYAcgBvAG0AUABvAHUAbAB0AHIAeQBNAGEAbgB1AHIAZQBPAG4AUABhAHMAdAB1AHIAZQBfAE4ASQBSAFIAZQBmAGUAcgBlAG4AYwBlAFwAbgAgACAAPQBMAEEATQBCAEQAQQAoAFwAIgBcACIAKQA7AFwAbgBcAG4AVgBFAEUAUgBHAF8ANABfADYAXwAxAF8AMQAyAF8AXwAxAF8AQQB0AG0AbwBzAHAAaABlAHIAaQBjAEQAZQBwAG8AcwBpAHQAaQBvAG4ARQBtAGkAcwBzAGkAbwBuAHMARgByAG8AbQBQAG8AdQBsAHQAcgB5AE0AYQBuAHUAcgBlAE8AbgBQAGEAcwB0AHUAcgBlAF8ATABhAHQAZQB4AEUAcQB1AGEAdABpAG8AbgBcAG4AIAAgAD0ATABBAE0AQgBEAEEAKABcACIARQBfAHsATgAyAE8ALABhAGQAfQA9AE0AXwB7AHYAbwBsACwAbQA9ADEANAB9AFwAXAB0AGkAbQBlAHMAIABFAEYAXwB7AE4AMgBPAH0AXABcAHQAaQBtAGUAcwAgAEMAXwB7AE4AMgBPAH0AXABcAHQAaQBtAGUAcwAgADEAMABeAHsALQAzAH0AXAAiACkAOwBcAG4AXABuAFYARQBFAFIARwBfADQAXwA2AF8AMQBfADEAMgBfAF8AMQBfAEEAdABtAG8AcwBwAGgAZQByAGkAYwBEAGUAcABvAHMAaQB0AGkAbwBuAEUAbQBpAHMAcwBpAG8AbgBzAEYAcgBvAG0AUABvAHUAbAB0AHIAeQBNAGEAbgB1AHIAZQBPAG4AUABhAHMAdAB1AHIAZQBfAEEAcgBnAHUAbQBlAG4AdABzAFwAbgAgACAAPQBMAEEATQBCAEQAQQAoAFwAbgAgACAAIAAgAE0AQQBLAEUAQQBSAFIAQQBZACgANgAsACAAMgAsAFwAbgAgACAAIAAgACAAIABMAEEATQBCAEQAQQAoAHIALABjACwAXABuACAAIAAgACAAIAAgACAAIABJAE4ARABFAFgAKAB7AFwAbgAgACAAIAAgACAAIAAgACAAIAAgAFwAIgBNAF8AdgBvAGwAXwBtADEANABcACIALAAgAFwAIgBtAGEAcwBzACAAbwBmACAAbgBpAHQAcgBvAGcAZQBuACAAdgBvAGwAYQB0AGkAbABpAHMAZQBkACAAZgByAG8AbQAgAG0AYQBuAHUAcgBlACAAZABlAHAAbwBzAGkAdABlAGQAIABvAG4AIABwAGEAcwB0AHUAcgBlACAAKABrAGcAIABOACkAXAAiADsAXABuACAAIAAgACAAIAAgACAAIAAgACAAXAAiAEUARgBfAE4AMgBPAFwAIgAsACAAXAAiAGUAbQBpAHMAcwBpAG8AbgAgAGYAYQBjAHQAbwByACAAZgBvAHIAIABhAHQAbQBvAHMAcABoAGUAcgBpAGMAIABkAGUAcABvAHMAaQB0AGkAbwBuACAAKABrAGcAIABOADIATwAtAE4ALwBrAGcAIABOACkAXAAiADsAXABuACAAIAAgACAAIAAgACAAIAAgACAAXAAiAEMAXwBOADIATwBcACIALAAgAFwAIgBmAGEAYwB0AG8AcgAgAHQAbwAgAGMAbwBuAHYAZQByAHQAIABlAGwAZQBtAGUAbgB0AGEAbAAgAG0AYQBzAHMAIABvAGYAIABOADIATwAgAHQAbwAgAG0AbwBsAGUAYwB1AGwAYQByACAAbQBhAHMAcwBcACIAOwBcAG4AIAAgACAAIAAgACAAIAAgACAAIABcACIAagBcACIALAAgAFwAIgBwAHIAbwBkAHUAYwB0AGkAbwBuACAAcwB5AHMAdABlAG0AXAAiADsAXABuACAAIAAgACAAIAAgACAAIAAgACAAXAAiAGkAcgBcACIALAAgAFwAIgBpAHIAcgBpAGcAYQB0AGkAbwBuACAAbQBlAHQAaABvAGQAXAAiADsAXABuACAAIAAgACAAIAAgACAAIAAgACAAXAAiAHIAXAAiACwAIABcACIAcgBhAGkAbgBmAGEAbABsACAAcgBlAGcAaQBvAG4AXAAiAFwAbgAgACAAIAAgACAAIAAgACAAfQAsACAAcgAsACAAYwApAFwAbgAgACAAIAAgACAAIAApAFwAbgAgACAAIAAgACkAXABuACAAIAApADsAXABuAFwAbgAvACoAXABuAC0ALQAtAC0ALQAtAC0ALQAtAC0ALQAtAC0ALQAtAC0ALQAtAC0ALQAtAC0ALQAtAC0ALQAtAC0ALQAtAC0ALQAtAC0ALQAtAC0ALQBcAG4AVgBFAEUAUgBHAF8ANABfADYAXwAxAF8AMQAyAF8AXwAyAF8ATQBhAHMAcwBPAGYATgBpAHQAcgBvAGcAZQBuAFYAbwBsAGEAdABpAGwAaQBzAGUAZABGAHIAbwBtAFAAbwB1AGwAdAByAHkATQBhAG4AdQByAGUATwBuAFAAYQBzAHQAdQByAGUAXABuAE0AYQBzAHMAIABvAGYAIABuAGkAdAByAG8AZwBlAG4AIAB2AG8AbABhAHQAaQBsAGkAcwBlAGQAIABmAHIAbwBtACAAcABvAHUAbAB0AHIAeQAgAG0AYQBuAHUAcgBlACAAZABlAHAAbwBzAGkAdABlAGQAIABvAG4AIABwAGEAcwB0AHUAcgBlAFwAbgBNAF8AdgBvAGwAXwBtADEANABcAG4AawBnACAATgBcAG4ATQBfAHsAdgBvAGwALABtAD0AMQA0AH0APQBNAE4AXwB7AGoAawBtAD0AMQA0ACwAVAA9ADEAfQBcAFwAdABpAG0AZQBzACAARgByAGEAYwBHAEEAUwBNAHMAbwBpAGwAXABuAE0ATgBfAGoAawBtADEANABUADEAIAA9ACAAbQBhAHMAcwAgAG8AZgAgAG4AaQB0AHIAbwBnAGUAbgAgAGUAeABjAHIAZQB0AGUAZAAgAGQAaQByAGUAYwB0AGwAeQAgAG8AbgAgAHAAYQBzAHQAdQByAGUAIABiAHkAIABwAG8AdQBsAHQAcgB5ACAAYwBsAGEAcwBzACAAYQBuAGQAIABzAHUAYgBjAGwAYQBzAHMAIAAoAGsAZwAgAE4AKQBcAG4ARgByAGEAYwBHAEEAUwBNAHMAbwBpAGwAIAA9ACAAZgByAGEAYwB0AGkAbwBuACAAbwBmACAAbgBpAHQAcgBvAGcAZQBuACAAdgBvAGwAYQB0AGkAbABpAHMAZQBkACAAZgByAG8AbQAgAG0AYQBuAHUAcgBlACAAZABlAHAAbwBzAGkAdABlAGQAIABvAG4AIABwAGEAcwB0AHUAcgBlACAAKAAoAGsAZwAgAE4ASAAzAC0ATgAgACsAIABOAE8AeAAtAE4AKQAvAGsAZwAgAE4AKQBcAG4ALQAtAC0ALQAtAC0ALQAtAC0ALQAtAC0ALQAtAC0ALQAtAC0ALQAtAC0ALQAtAC0ALQAtAC0ALQAtAC0ALQAtAC0ALQAtAC0ALQAtAFwAbgAqAC8AXABuAFwAbgBWAEUARQBSAEcAXwA0AF8ANgBfADEAXwAxADIAXwBfADIAXwBNAGEAcwBzAE8AZgBOAGkAdAByAG8AZwBlAG4AVgBvAGwAYQB0AGkAbABpAHMAZQBkAEYAcgBvAG0AUABvAHUAbAB0AHIAeQBNAGEAbgB1AHIAZQBPAG4AUABhAHMAdAB1AHIAZQBcAG4AIAAgAD0ATABBAE0AQgBEAEEAKABcAG4AIAAgACAAIABNAE4AXwBqAGsAbQAxADQAVAAxACwAIABGAHIAYQBjAEcAQQBTAE0AcwBvAGkAbAAsAFwAbgAgACAAIAAgAE0ATgBfAGoAawBtADEANABUADEAIAAqACAARgByAGEAYwBHAEEAUwBNAHMAbwBpAGwAXABuACAAIAApADsAXABuAFwAbgBWAEUARQBSAEcAXwA0AF8ANgBfADEAXwAxADIAXwBfADIAXwBNAGEAcwBzAE8AZgBOAGkAdAByAG8AZwBlAG4AVgBvAGwAYQB0AGkAbABpAHMAZQBkAEYAcgBvAG0AUABvAHUAbAB0AHIAeQBNAGEAbgB1AHIAZQBPAG4AUABhAHMAdAB1AHIAZQBfAFQAaQB0AGwAZQBcAG4AIAAgAD0ATABBAE0AQgBEAEEAKABcACIATQBhAHMAcwAgAG8AZgAgAG4AaQB0AHIAbwBnAGUAbgAgAHYAbwBsAGEAdABpAGwAaQBzAGUAZAAgAGYAcgBvAG0AIABwAG8AdQBsAHQAcgB5ACAAbQBhAG4AdQByAGUAIABkAGUAcABvAHMAaQB0AGUAZAAgAG8AbgAgAHAAYQBzAHQAdQByAGUAXAAiACkAOwBcAG4AXABuAFYARQBFAFIARwBfADQAXwA2AF8AMQBfADEAMgBfAF8AMgBfAE0AYQBzAHMATwBmAE4AaQB0AHIAbwBnAGUAbgBWAG8AbABhAHQAaQBsAGkAcwBlAGQARgByAG8AbQBQAG8AdQBsAHQAcgB5AE0AYQBuAHUAcgBlAE8AbgBQAGEAcwB0AHUAcgBlAF8AVgBhAHIAaQBhAGIAbABlAFwAbgAgACAAPQBMAEEATQBCAEQAQQAoAFwAIgBNAF8AdgBvAGwAXwBtADEANABcACIAKQA7AFwAbgBcAG4AVgBFAEUAUgBHAF8ANABfADYAXwAxAF8AMQAyAF8AXwAyAF8ATQBhAHMAcwBPAGYATgBpAHQAcgBvAGcAZQBuAFYAbwBsAGEAdABpAGwAaQBzAGUAZABGAHIAbwBtAFAAbwB1AGwAdAByAHkATQBhAG4AdQByAGUATwBuAFAAYQBzAHQAdQByAGUAXwBVAG4AaQB0AFwAbgAgACAAPQBMAEEATQBCAEQAQQAoAFwAIgBrAGcAIABOAFwAIgApADsAXABuAFwAbgBWAEUARQBSAEcAXwA0AF8ANgBfADEAXwAxADIAXwBfADIAXwBNAGEAcwBzAE8AZgBOAGkAdAByAG8AZwBlAG4AVgBvAGwAYQB0AGkAbABpAHMAZQBkAEYAcgBvAG0AUABvAHUAbAB0AHIAeQBNAGEAbgB1AHIAZQBPAG4AUABhAHMAdAB1AHIAZQBfAFMAbwB1AHIAYwBlAFwAbgAgACAAPQBMAEEATQBCAEQAQQAoAFwAIgBWAEUARQBSAEcAIAAyADAAMgA2ADoAIAA0AC4ANgAuADEALgAxADIALAAgAEUAcQB1AGEAdABpAG8AbgAgACgAMgApAFwAIgApADsAXABuAFwAbgBWAEUARQBSAEcAXwA0AF8ANgBfADEAXwAxADIAXwBfADIAXwBNAGEAcwBzAE8AZgBOAGkAdAByAG8AZwBlAG4AVgBvAGwAYQB0AGkAbABpAHMAZQBkAEYAcgBvAG0AUABvAHUAbAB0AHIAeQBNAGEAbgB1AHIAZQBPAG4AUABhAHMAdAB1AHIAZQBfAE4ASQBSAFIAZQBmAGUAcgBlAG4AYwBlAFwAbgAgACAAPQBMAEEATQBCAEQAQQAoAFwAIgBcACIAKQA7AFwAbgBcAG4AVgBFAEUAUgBHAF8ANABfADYAXwAxAF8AMQAyAF8AXwAyAF8ATQBhAHMAcwBPAGYATgBpAHQAcgBvAGcAZQBuAFYAbwBsAGEAdABpAGwAaQBzAGUAZABGAHIAbwBtAFAAbwB1AGwAdAByAHkATQBhAG4AdQByAGUATwBuAFAAYQBzAHQAdQByAGUAXwBMAGEAdABlAHgARQBxAHUAYQB0AGkAbwBuAFwAbgAgACAAPQBMAEEATQBCAEQAQQAoAFwAIgBNAF8AewB2AG8AbAAsAG0APQAxADQAfQA9AFwAXABzAHUAbQBfAHsAagB9AFwAXABzAHUAbQBfAHsAawB9ACgATQBOAF8AewBqAGsAbQA9ADEANAAsAFQAPQAxAH0AXABcAHQAaQBtAGUAcwAgAEYAcgBhAGMARwBBAFMATQBzAG8AaQBsACkAXAAiACkAOwBcAG4AXABuAFYARQBFAFIARwBfADQAXwA2AF8AMQBfADEAMgBfAF8AMgBfAE0AYQBzAHMATwBmAE4AaQB0AHIAbwBnAGUAbgBWAG8AbABhAHQAaQBsAGkAcwBlAGQARgByAG8AbQBQAG8AdQBsAHQAcgB5AE0AYQBuAHUAcgBlAE8AbgBQAGEAcwB0AHUAcgBlAF8AQQByAGcAdQBtAGUAbgB0AHMAXABuACAAIAA9AEwAQQBNAEIARABBACgAXABuACAAIAAgACAATQBBAEsARQBBAFIAUgBBAFkAKAAyACwAIAAyACwAXABuACAAIAAgACAAIAAgAEwAQQBNAEIARABBACgAcgAsAGMALABcAG4AIAAgACAAIAAgACAAIAAgAEkATgBEAEUAWAAoAHsAXABuACAAIAAgACAAIAAgACAAIAAgACAAXAAiAE0ATgBfAGoAawBtADEANABUADEAXAAiACwAIABcACIAbQBhAHMAcwAgAG8AZgAgAG4AaQB0AHIAbwBnAGUAbgAgAGUAeABjAHIAZQB0AGUAZAAgAGQAaQByAGUAYwB0AGwAeQAgAG8AbgAgAHAAYQBzAHQAdQByAGUAIABiAHkAIABwAG8AdQBsAHQAcgB5ACAAYwBsAGEAcwBzACAAYQBuAGQAIABzAHUAYgBjAGwAYQBzAHMAIAAoAGsAZwAgAE4AKQBcACIAOwBcAG4AIAAgACAAIAAgACAAIAAgACAAIABcACIARgByAGEAYwBHAEEAUwBNAHMAbwBpAGwAXAAiACwAIABcACIAZgByAGEAYwB0AGkAbwBuACAAbwBmACAAbgBpAHQAcgBvAGcAZQBuACAAdgBvAGwAYQB0AGkAbABpAHMAZQBkACAAZgByAG8AbQAgAG0AYQBuAHUAcgBlACAAZABlAHAAbwBzAGkAdABlAGQAIABvAG4AIABwAGEAcwB0AHUAcgBlACAAKAAoAGsAZwAgAE4ASAAzAC0ATgAgACsAIABOAE8AeAAtAE4AKQAvAGsAZwAgAE4AKQBcACIAXABuACAAIAAgACAAIAAgACAAIAB9ACwAIAByACwAIABjACkAXABuACAAIAAgACAAIAAgACkAXABuACAAIAAgACAAKQBcAG4AIAAgACkAOwBcAG4AIgB9ACwAewAiAHAAYQB0AGgAIgA6ACIALwBwAHIAbwBqAGUAYwB0AHMALwBNAE0AUwBfAFAAbwB1AGwAdAByAHkAXwBTAG8AaQBsAF8ATABlAGEAYwBoAGkAbgBnAEEAbgBkAFIAdQBuAG8AZgBmAF8ARQBxAHUAYQB0AGkAbwBuAHMAIgAsACIAdABlAHgAdAAiADoAIgAvACoAXABuAD0APQA9AD0APQA9AD0APQA9AD0APQA9AD0APQA9AD0APQA9AD0APQA9AD0APQA9AD0APQA9AD0APQA9AD0APQA9AD0APQA9AD0APQA9AD0APQA9AD0APQA9AD0APQA9AD0APQA9AD0APQA9AD0APQA9AD0APQA9AD0APQA9AD0APQA9AD0APQA9AD0APQA9AD0APQA9AD0AXABuADQALgA2ADoAIABQAG8AdQBsAHQAcgB5AFwAbgA9AD0APQA9AD0APQA9AD0APQA9AD0APQA9AD0APQA9AD0APQA9AD0APQA9AD0APQA9AD0APQA9AD0APQA9AD0APQA9AD0APQA9AD0APQA9AD0APQA9AD0APQA9AD0APQA9AD0APQA9AD0APQA9AD0APQA9AD0APQA9AD0APQA9AD0APQA9AD0APQA9AD0APQA9AD0APQA9AFwAbgA0AC4ANgAuADEALgAxADQAIABNAGUAdABoAG8AZAAgADEAIAAtACAAUwBvAGkAbAAgAEwAZQBhAGMAaABpAG4AZwAgAEEAbgBkACAAUgB1AG4AbwBmAGYAIABOADIATwAgAFAAbwB1AGwAdA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gBfADEAXwAxADQAXwBfADEAXwBMAGUAYQBjAGgAaQBuAGcAQQBuAGQAUgB1AG4AbwBmAGYARQBtAGkAcwBzAGkAbwBuAHMARgByAG8AbQBQAG8AdQBsAHQAcgB5AE0AYQBuAHUAcgBlAE8AbgBQAGEAcwB0AHUAcgBlAFwAbgBMAGUAYQBjAGgAaQBuAGcAIABhAG4AZAAgAHIAdQBuAG8AZgBmACAAZQBtAGkAcwBzAGkAbwBuAHMAIABmAHIAbwBtACAAcABvAHUAbAB0AHIAeQAgAG0AYQBuAHUAcgBlACAAZABlAHAAbwBzAGkAdABlAGQAIABvAG4AIABwAGEAcwB0AHUAcgBlAFwAbgBFAF8ATgAyAE8AbABlAGEAYwBoAFwAbgB0ACAATgAyAE8AXABuAEUAXwB7AE4AMgBPACwAbABlAGEAYwBoAH0APQBNAF8AewBsAGUAYQBjAGgALABtAD0AMQA0AH0AXABcAHQAaQBtAGUAcwAgAEUARgBfAHsAbABlAGEAYwBoAH0AXABcAHQAaQBtAGUAcwAgAEMAXwB7AE4AMgBPAH0AXABcAHQAaQBtAGUAcwAgADEAMABeAHsALQAzAH0AXABuAE0AXwBsAGUAYQBjAGgAXwBtADEANAAgAD0AIABtAGEAcwBzACAAbwBmACAAbgBpAHQAcgBvAGcAZQBuACAAbABvAHMAdAAgAHQAbwAgAGwAZQBhAGMAaABpAG4AZwAgAGEAbgBkACAAcgB1AG4AbwBmAGYAIABmAHIAbwBtACAAcABvAHUAbAB0AHIAeQAgAG0AYQBuAHUAcgBlACAAZABlAHAAbwBzAGkAdABlAGQAIABvAG4AIABwAGEAcwB0AHUAcgBlACAAKABrAGcAIABOACkAXABuAEUARgBfAGwAZQBhAGMAaAAgAD0AIABlAG0AaQBzAHMAaQBvAG4AIABmAGEAYwB0AG8AcgAgAGYAbwByACAAbABlAGEAYwBoAGkAbgBnACAAYQBuAGQAIAByAHUAbgBvAGYAZ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YAXwAxAF8AMQA0AF8AXwAxAF8ATABlAGEAYwBoAGkAbgBnAEEAbgBkAFIAdQBuAG8AZgBmAEUAbQBpAHMAcwBpAG8AbgBzAEYAcgBvAG0AUABvAHUAbAB0AHIAeQBNAGEAbgB1AHIAZQBPAG4AUABhAHMAdAB1AHIAZQBcAG4AIAAgAD0ATABBAE0AQgBEAEEAKABcAG4AIAAgACAAIABNAF8AbABlAGEAYwBoAF8AbQAxADQALAAgAEUARgBfAGwAZQBhAGMAaAAsACAAQwBfAE4AMgBPACwAXABuACAAIAAgACAATQBfAGwAZQBhAGMAaABfAG0AMQA0ACAAKgAgAEUARgBfAGwAZQBhAGMAaAAgACoAIABDAF8ATgAyAE8AIAAqACAAMQAwACAAXgAgAC0AMwBcAG4AIAAgACkAOwBcAG4AXABuAFYARQBFAFIARwBfADQAXwA2AF8AMQBfADEANABfAF8AMQBfAEwAZQBhAGMAaABpAG4AZwBBAG4AZABSAHUAbgBvAGYAZgBFAG0AaQBzAHMAaQBvAG4AcwBGAHIAbwBtAFAAbwB1AGwAdAByAHkATQBhAG4AdQByAGUATwBuAFAAYQBzAHQAdQByAGUAXwBUAGkAdABsAGUAXABuACAAIAA9AEwAQQBNAEIARABBACgAXAAiAEwAZQBhAGMAaABpAG4AZwAgAGEAbgBkACAAcgB1AG4AbwBmAGYAIABlAG0AaQBzAHMAaQBvAG4AcwAgAGYAcgBvAG0AIABwAG8AdQBsAHQAcgB5ACAAbQBhAG4AdQByAGUAIABkAGUAcABvAHMAaQB0AGUAZAAgAG8AbgAgAHAAYQBzAHQAdQByAGUAXAAiACkAOwBcAG4AXABuAFYARQBFAFIARwBfADQAXwA2AF8AMQBfADEANABfAF8AMQBfAEwAZQBhAGMAaABpAG4AZwBBAG4AZABSAHUAbgBvAGYAZgBFAG0AaQBzAHMAaQBvAG4AcwBGAHIAbwBtAFAAbwB1AGwAdAByAHkATQBhAG4AdQByAGUATwBuAFAAYQBzAHQAdQByAGUAXwBWAGEAcgBpAGEAYgBsAGUAXABuACAAIAA9AEwAQQBNAEIARABBACgAXAAiAEUAXwBOADIATwBsAGUAYQBjAGgAXAAiACkAOwBcAG4AXABuAFYARQBFAFIARwBfADQAXwA2AF8AMQBfADEANABfAF8AMQBfAEwAZQBhAGMAaABpAG4AZwBBAG4AZABSAHUAbgBvAGYAZgBFAG0AaQBzAHMAaQBvAG4AcwBGAHIAbwBtAFAAbwB1AGwAdAByAHkATQBhAG4AdQByAGUATwBuAFAAYQBzAHQAdQByAGUAXwBVAG4AaQB0AFwAbgAgACAAPQBMAEEATQBCAEQAQQAoAFwAIgB0ACAATgAyAE8AXAAiACkAOwBcAG4AXABuAFYARQBFAFIARwBfADQAXwA2AF8AMQBfADEANABfAF8AMQBfAEwAZQBhAGMAaABpAG4AZwBBAG4AZABSAHUAbgBvAGYAZgBFAG0AaQBzAHMAaQBvAG4AcwBGAHIAbwBtAFAAbwB1AGwAdAByAHkATQBhAG4AdQByAGUATwBuAFAAYQBzAHQAdQByAGUAXwBTAG8AdQByAGMAZQBcAG4AIAAgAD0ATABBAE0AQgBEAEEAKABcACIAVgBFAEUAUgBHACAAMgAwADIANgA6ACAANAAuADYALgAxAC4AMQA0ACwAIABFAHEAdQBhAHQAaQBvAG4AIAAoADEAKQBcACIAKQA7AFwAbgBcAG4AVgBFAEUAUgBHAF8ANABfADYAXwAxAF8AMQA0AF8AXwAxAF8ATABlAGEAYwBoAGkAbgBnAEEAbgBkAFIAdQBuAG8AZgBmAEUAbQBpAHMAcwBpAG8AbgBzAEYAcgBvAG0AUABvAHUAbAB0AHIAeQBNAGEAbgB1AHIAZQBPAG4AUABhAHMAdAB1AHIAZQBfAE4ASQBSAFIAZQBmAGUAcgBlAG4AYwBlAFwAbgAgACAAPQBMAEEATQBCAEQAQQAoAFwAIgBcACIAKQA7AFwAbgBcAG4AVgBFAEUAUgBHAF8ANABfADYAXwAxAF8AMQA0AF8AXwAxAF8ATABlAGEAYwBoAGkAbgBnAEEAbgBkAFIAdQBuAG8AZgBmAEUAbQBpAHMAcwBpAG8AbgBzAEYAcgBvAG0AUABvAHUAbAB0AHIAeQBNAGEAbgB1AHIAZQBPAG4AUABhAHMAdAB1AHIAZQBfAEwAYQB0AGUAeABFAHEAdQBhAHQAaQBvAG4AXABuACAAIAA9AEwAQQBNAEIARABBACgAXAAiAEUAXwB7AE4AMgBPACwAbABlAGEAYwBoAH0APQBNAF8AewBsAGUAYQBjAGgALABtAD0AMQA0AH0AXABcAHQAaQBtAGUAcwAgAEUARgBfAHsAbABlAGEAYwBoAH0AXABcAHQAaQBtAGUAcwAgAEMAXwB7AE4AMgBPAH0AXABcAHQAaQBtAGUAcwAgADEAMABeAHsALQAzAH0AXAAiACkAOwBcAG4AXABuAFYARQBFAFIARwBfADQAXwA2AF8AMQBfADEANABfAF8AMQBfAEwAZQBhAGMAaABpAG4AZwBBAG4AZABSAHUAbgBvAGYAZgBFAG0AaQBzAHMAaQBvAG4AcwBGAHIAbwBtAFAAbwB1AGwAdAByAHkATQBhAG4AdQByAGUATwBuAFAAYQBzAHQAdQByAGUAXwBBAHIAZwB1AG0AZQBuAHQAcwBcAG4AIAAgAD0ATABBAE0AQgBEAEEAKABcAG4AIAAgACAAIABNAEEASwBFAEEAUgBSAEEAWQAoADMALAAgADIALABcAG4AIAAgACAAIAAgACAATABBAE0AQgBEAEEAKAByACwAYwAsAFwAbgAgACAAIAAgACAAIAAgACAASQBOAEQARQBYACgAewBcAG4AIAAgACAAIAAgACAAIAAgACAAIABcACIATQBfAGwAZQBhAGMAaABfAG0AMQA0AFwAIgAsACAAXAAiAG0AYQBzAHMAIABvAGYAIABuAGkAdAByAG8AZwBlAG4AIABsAG8AcwB0ACAAdABvACAAbABlAGEAYwBoAGkAbgBnACAAYQBuAGQAIAByAHUAbgBvAGYAZgAgAGYAcgBvAG0AIABwAG8AdQBsAHQAcgB5ACAAbQBhAG4AdQByAGUAIABkAGUAcABvAHMAaQB0AGUAZAAgAG8AbgAgAHAAYQBzAHQAdQByAGUAIAAoAGsAZwAgAE4AKQBcACIAOwBcAG4AIAAgACAAIAAgACAAIAAgACAAIABcACIARQBGAF8AbABlAGEAYwBoAFwAIgAsACAAXAAiAGUAbQBpAHMAcwBpAG8AbgAgAGYAYQBjAHQAbwByACAAZgBvAHIAIABsAGUAYQBjAGgAaQBuAGcAIABhAG4AZAAgAHIAdQBuAG8AZgBmACAAKABrAGcAIABOADIATwAtAE4ALwBrAGcAIABOACkAXAAiADsAXABuACAAIAAgACAAIAAgACAAIAAgACAAXAAiAEMAXwBOADIATwBcACIALAAgAFwAIgBmAGEAYwB0AG8AcgAgAHQAbwAgAGMAbwBuAHYAZQByAHQAIABlAGwAZQBtAGUAbgB0AGEAbAAgAG0AYQBzAHMAIABvAGYAIABOADIATwAgAHQAbwAgAG0AbwBsAGUAYwB1AGwAYQByACAAbQBhAHMAcwBcACIAXABuACAAIAAgACAAIAAgACAAIAB9ACwAIAByACwAIABjACkAXABuACAAIAAgACAAIAAgACkAXABuACAAIAAgACAAKQBcAG4AIAAgACkAOwBcAG4AXABuAC8AKgBcAG4ALQAtAC0ALQAtAC0ALQAtAC0ALQAtAC0ALQAtAC0ALQAtAC0ALQAtAC0ALQAtAC0ALQAtAC0ALQAtAC0ALQAtAC0ALQAtAC0ALQAtAFwAbgBWAEUARQBSAEcAXwA0AF8ANgBfADEAXwAxADQAXwBfADIAXwBNAGEAcwBzAE8AZgBOAGkAdAByAG8AZwBlAG4ATABvAHMAdABUAG8ATABlAGEAYwBoAGkAbgBnAEEAbgBkAFIAdQBuAG8AZgBmAEYAcgBvAG0AUABvAHUAbAB0AHIAeQBNAGEAbgB1AHIAZQBPAG4AUABhAHMAdAB1AHIAZQBcAG4ATQBhAHMAcwAgAG8AZgAgAG4AaQB0AHIAbwBnAGUAbgAgAGwAbwBzAHQAIAB0AG8AIABsAGUAYQBjAGgAaQBuAGcAIABhAG4AZAAgAHIAdQBuAG8AZgBmACAAZgByAG8AbQAgAHAAbwB1AGwAdAByAHkAIABtAGEAbgB1AHIAZQAgAGQAZQBwAG8AcwBpAHQAZQBkACAAbwBuACAAcABhAHMAdAB1AHIAZQBcAG4ATQBfAGwAZQBhAGMAaABfAG0AMQA0AFwAbgBrAGcAIABOAFwAbgBNAF8AewBsAGUAYQBjAGgALABtAD0AMQA0AH0APQBNAE4AXwB7AGoAawBtAD0AMQA0ACwAVAA9ADEAfQBcAFwAdABpAG0AZQBzACAARgByAGEAYwBXAGUAdABcAFwAdABpAG0AZQBzACAARgByAGEAYwBMAEUAQQBDAEgAXwBNAFMAXABuAE0ATgBfAGoAawBtADEANABUADEAIAA9ACAAbQBhAHMAcwAgAG8AZgAgAG4AaQB0AHIAbwBnAGUAbgAgAGUAeABjAHIAZQB0AGUAZAAgAGQAaQByAGUAYwB0AGwAeQAgAG8AbgAgAHAAYQBzAHQAdQByAGUAIABiAHkAIABwAG8AdQBsAHQAcgB5ACAAYwBsAGEAcwBzACAAYQBuAGQAIABzAHUAYgBjAGwAYQBzAHMAIAAoAGsAZwAgAE4AKQBcAG4ARgByAGEAYwBXAGUAdAAgAD0AIABmAHIAYQBjAHQAaQBvAG4AIABvAGYAIABOACAAYQB2AGEAaQBsAGEAYgBsAGUAIABmAG8AcgAgAGwAZQBhAGMAaABpAG4AZwAgAGEAbgBkACAAcgB1AG4AbwBmAGYAXABuAEYAcgBhAGMATABFAEEAQwBIAF8ATQBTACAAPQAgAGYAcgBhAGMAdABpAG8AbgAgAG8AZgAgAE4AIAB0AGgAYQB0ACAAaQBzACAAbABvAHMAdAAgAHQAaAByAG8AdQBnAGgAIABsAGUAYQBjAGgAaQBuAGcAIABhAG4AZAAgAHIAdQBuAG8AZgBmAFwAbgAtAC0ALQAtAC0ALQAtAC0ALQAtAC0ALQAtAC0ALQAtAC0ALQAtAC0ALQAtAC0ALQAtAC0ALQAtAC0ALQAtAC0ALQAtAC0ALQAtAC0AXABuACoALwBcAG4AXABuAFYARQBFAFIARwBfADQAXwA2AF8AMQBfADEANABfAF8AMgBfAE0AYQBzAHMATwBmAE4AaQB0AHIAbwBnAGUAbgBMAG8AcwB0AFQAbwBMAGUAYQBjAGgAaQBuAGcAQQBuAGQAUgB1AG4AbwBmAGYARgByAG8AbQBQAG8AdQBsAHQAcgB5AE0AYQBuAHUAcgBlAE8AbgBQAGEAcwB0AHUAcgBlAFwAbgAgACAAPQBMAEEATQBCAEQAQQAoAFwAbgAgACAAIAAgAE0ATgBfAGoAawBtADEANABUADEALAAgAEYAcgBhAGMAVwBlAHQALAAgAEYAcgBhAGMATABFAEEAQwBIAF8ATQBTACwAXABuACAAIAAgACAATQBOAF8AagBrAG0AMQA0AFQAMQAgACoAIABGAHIAYQBjAFcAZQB0ACAAKgAgAEYAcgBhAGMATABFAEEAQwBIAF8ATQBTAFwAbgAgACAAKQA7AFwAbgBcAG4AVgBFAEUAUgBHAF8ANABfADYAXwAxAF8AMQA0AF8AXwAyAF8ATQBhAHMAcwBPAGYATgBpAHQAcgBvAGcAZQBuAEwAbwBzAHQAVABvAEwAZQBhAGMAaABpAG4AZwBBAG4AZABSAHUAbgBvAGYAZgBGAHIAbwBtAFAAbwB1AGwAdAByAHkATQBhAG4AdQByAGUATwBuAFAAYQBzAHQAdQByAGUAXwBUAGkAdABsAGUAXABuACAAIAA9AEwAQQBNAEIARABBACgAXAAiAE0AYQBzAHMAIABvAGYAIABuAGkAdAByAG8AZwBlAG4AIABsAG8AcwB0ACAAdABvACAAbABlAGEAYwBoAGkAbgBnACAAYQBuAGQAIAByAHUAbgBvAGYAZgAgAGYAcgBvAG0AIABwAG8AdQBsAHQAcgB5ACAAbQBhAG4AdQByAGUAIABkAGUAcABvAHMAaQB0AGUAZAAgAG8AbgAgAHAAYQBzAHQAdQByAGUAXAAiACkAOwBcAG4AXABuAFYARQBFAFIARwBfADQAXwA2AF8AMQBfADEANABfAF8AMgBfAE0AYQBzAHMATwBmAE4AaQB0AHIAbwBnAGUAbgBMAG8AcwB0AFQAbwBMAGUAYQBjAGgAaQBuAGcAQQBuAGQAUgB1AG4AbwBmAGYARgByAG8AbQBQAG8AdQBsAHQAcgB5AE0AYQBuAHUAcgBlAE8AbgBQAGEAcwB0AHUAcgBlAF8AVgBhAHIAaQBhAGIAbABlAFwAbgAgACAAPQBMAEEATQBCAEQAQQAoAFwAIgBNAF8AbABlAGEAYwBoAF8AbQAxADQAXAAiACkAOwBcAG4AXABuAFYARQBFAFIARwBfADQAXwA2AF8AMQBfADEANABfAF8AMgBfAE0AYQBzAHMATwBmAE4AaQB0AHIAbwBnAGUAbgBMAG8AcwB0AFQAbwBMAGUAYQBjAGgAaQBuAGcAQQBuAGQAUgB1AG4AbwBmAGYARgByAG8AbQBQAG8AdQBsAHQAcgB5AE0AYQBuAHUAcgBlAE8AbgBQAGEAcwB0AHUAcgBlAF8AVQBuAGkAdABcAG4AIAAgAD0ATABBAE0AQgBEAEEAKABcACIAawBnACAATgBcACIAKQA7AFwAbgBcAG4AVgBFAEUAUgBHAF8ANABfADYAXwAxAF8AMQA0AF8AXwAyAF8ATQBhAHMAcwBPAGYATgBpAHQAcgBvAGcAZQBuAEwAbwBzAHQAVABvAEwAZQBhAGMAaABpAG4AZwBBAG4AZABSAHUAbgBvAGYAZgBGAHIAbwBtAFAAbwB1AGwAdAByAHkATQBhAG4AdQByAGUATwBuAFAAYQBzAHQAdQByAGUAXwBTAG8AdQByAGMAZQBcAG4AIAAgAD0ATABBAE0AQgBEAEEAKABcACIAVgBFAEUAUgBHACAAMgAwADIANgA6ACAANAAuADYALgAxAC4AMQA0ACwAIABFAHEAdQBhAHQAaQBvAG4AIAAoADIAKQBcACIAKQA7AFwAbgBcAG4AVgBFAEUAUgBHAF8ANABfADYAXwAxAF8AMQA0AF8AXwAyAF8ATQBhAHMAcwBPAGYATgBpAHQAcgBvAGcAZQBuAEwAbwBzAHQAVABvAEwAZQBhAGMAaABpAG4AZwBBAG4AZABSAHUAbgBvAGYAZgBGAHIAbwBtAFAAbwB1AGwAdAByAHkATQBhAG4AdQByAGUATwBuAFAAYQBzAHQAdQByAGUAXwBOAEkAUgBSAGUAZgBlAHIAZQBuAGMAZQBcAG4AIAAgAD0ATABBAE0AQgBEAEEAKABcACIAXAAiACkAOwBcAG4AXABuAFYARQBFAFIARwBfADQAXwA2AF8AMQBfADEANABfAF8AMgBfAE0AYQBzAHMATwBmAE4AaQB0AHIAbwBnAGUAbgBMAG8AcwB0AFQAbwBMAGUAYQBjAGgAaQBuAGcAQQBuAGQAUgB1AG4AbwBmAGYARgByAG8AbQBQAG8AdQBsAHQAcgB5AE0AYQBuAHUAcgBlAE8AbgBQAGEAcwB0AHUAcgBlAF8ATABhAHQAZQB4AEUAcQB1AGEAdABpAG8AbgBcAG4AIAAgAD0ATABBAE0AQgBEAEEAKABcACIATQBfAHsAbABlAGEAYwBoACwAbQA9ADEANAB9AD0AXABcAHMAdQBtAF8AewBqAH0AXABcAHMAdQBtAF8AewBrAH0AKABNAE4AXwB7AGoAawBtAD0AMQA0ACwAVAA9ADEAfQBcAFwAdABpAG0AZQBzACAARgByAGEAYwBXAGUAdABcAFwAdABpAG0AZQBzACAARgByAGEAYwBMAEUAQQBDAEgAXwBNAFMAKQBcACIAKQA7AFwAbgBcAG4AVgBFAEUAUgBHAF8ANABfADYAXwAxAF8AMQA0AF8AXwAyAF8ATQBhAHMAcwBPAGYATgBpAHQAcgBvAGcAZQBuAEwAbwBzAHQAVABvAEwAZQBhAGMAaABpAG4AZwBBAG4AZABSAHUAbgBvAGYAZgBGAHIAbwBtAFAAbwB1AGwAdAByAHkATQBhAG4AdQByAGUATwBuAFAAYQBzAHQAdQByAGUAXwBBAHIAZwB1AG0AZQBuAHQAcwBcAG4AIAAgAD0ATABBAE0AQgBEAEEAKABcAG4AIAAgACAAIABNAEEASwBFAEEAUgBSAEEAWQAoADYALAAgADIALABcAG4AIAAgACAAIAAgACAATABBAE0AQgBEAEEAKAByACwAYwAsAFwAbgAgACAAIAAgACAAIAAgACAASQBOAEQARQBYACgAewBcAG4AIAAgACAAIAAgACAAIAAgACAAIABcACIATQBOAF8AagBrAG0AMQA0AFQAMQBcACIALAAgAFwAIgBtAGEAcwBzACAAbwBmACAAbgBpAHQAcgBvAGcAZQBuACAAZQB4AGMAcgBlAHQAZQBkACAAZABpAHIAZQBjAHQAbAB5ACAAbwBuACAAcABhAHMAdAB1AHIAZQAgAGIAeQAgAHAAbwB1AGwAdAByAHkAIABjAGwAYQBzAHMAIABhAG4AZAAgAHMAdQBiAGMAbABhAHMAcwAgACgAawBnACAATgApAFwAIgA7AFwAbgAgACAAIAAgACAAIAAgACAAIAAgAFwAIgBGAHIAYQBjAFcAZQB0AFwAIgAsACAAXAAiAGYAcgBhAGMAdABpAG8AbgAgAG8AZgAgAE4AIABhAHYAYQBpAGwAYQBiAGwAZQAgAGYAbwByACAAbABlAGEAYwBoAGkAbgBnACAAYQBuAGQAIAByAHUAbgBvAGYAZgBcACIAOwBcAG4AIAAgACAAIAAgACAAIAAgACAAIABcACIARgByAGEAYwBMAEUAQQBDAEgAXwBNAFMAXAAiACwAIABcACIAZgByAGEAYwB0AGkAbwBuACAAbwBmACAATgAgAHQAaABhAHQAIABpAHMAIABsAG8AcwB0ACAAdABoAHIAbwB1AGcAaAAgAGwAZQBhAGMAaABpAG4AZwAgAGEAbgBkACAAcgB1AG4AbwBmAGYAXAAiADsAXABuACAAIAAgACAAIAAgACAAIAAgACAAXAAiAHoAXAAiACwAIABcACIAbABvAGMAYQB0AGkAbwBuACAAaQBuACAAbABlAGEAYwBoAGkAbgBnACAAegBvAG4AZQBcACIAOwBcAG4AIAAgACAAIAAgACAAIAAgACAAIABcACIAagBcACIALAAgAFwAIgBwAHIAbwBkAHUAYwB0AGkAbwBuACAAcwB5AHMAdABlAG0AXAAiADsAXABuACAAIAAgACAAIAAgACAAIAAgACAAXAAiAGkAcgBcACIALAAgAFwAIgBpAHIAcgBpAGcAYQB0AGkAbwBuACAAbQBlAHQAaABvAGQAXAAiAFwAbgAgACAAIAAgACAAIAAgACAAfQAsACAAcgAsACAAYwApAFwAbgAgACAAIAAgACAAIAApAFwAbgAgACAAIAAgACkAXABuACAAIAApADsAXABuACIAfQAsAHsAIgBwAGEAdABoACIAOgAiAC8AcAByAG8AagBlAGMAdABzAC8ARgBlAHIAdABpAGwAaQBzAGUAcgBfAFMAbwB1AHIAYwBlAEQAYQB0AGEAIgAsACIAdABlAHgAdAAiADoAIgAvACoAXABuAD0APQA9AD0APQA9AD0APQA9AD0APQA9AD0APQA9AD0APQA9AD0APQA9AD0APQA9AD0APQA9AD0APQA9AD0APQA9AD0APQA9AD0APQA9AD0APQA9AD0APQA9AD0APQA9AD0APQA9AD0APQA9AD0APQA9AD0APQA9AD0APQA9AD0APQA9AD0APQA9AD0APQA9AD0APQA9AD0AXABuAEYAZQByAHQAaQBsAGkAcwBlAHIAIABjAGgAZQBtAGkAYwBhAGwAIABjAG8AbQBwAG8AdQBuAGQAcwBcAG4APQA9AD0APQA9AD0APQA9AD0APQA9AD0APQA9AD0APQA9AD0APQA9AD0APQA9AD0APQA9AD0APQA9AD0APQA9AD0APQA9AD0APQA9AD0APQA9AD0APQA9AD0APQA9AD0APQA9AD0APQA9AD0APQA9AD0APQA9AD0APQA9AD0APQA9AD0APQA9AD0APQA9AD0APQA9AD0APQBcAG4AKgAvAFwAbgBcAG4ARgBlAHIAdABpAGwAaQBzAGUAcgBfAEMAaABlAG0AaQBjAGEAbABDAG8AbQBwAG8AdQBuAGQARQBsAGUAbQBlAG4AdABzAF8AVABpAHQAbABlAFwAbgA9AEwAQQBNAEIARABBACgAKABcACIAQwBvAG0AbQBvAG4AIABpAG4AbwByAGcAYQBuAGkAYwAgAGYAZQByAHQAaQBsAGkAcwBlAHIAcwBcACIAKQApADsAXABuAFwAbgBGAGUAcgB0AGkAbABpAHMAZQByAF8AQwBoAGUAbQBpAGMAYQBsAEMAbwBtAHAAbwB1AG4AZABFAGwAZQBtAGUAbgB0AHMAXwBTAG8AdQByAGMAZQBcAG4APQBMAEEATQBCAEQAQQAoACgAXAAiAFQAYQBiAGwAZQAgAEEALgAyAC4AMgAuADMAOgAgAEYAcgBhAGMAdABpAG8AbgAgAG8AZgAgAG4AaQB0AHIAbwBnAGUAbgAgAGkAbgAgAGMAbwBtAG0AbwBuACAAaQBuAG8AcgBnAGEAbgBpAGMAIABmAGUAcgB0AGkAbABpAHMAZQByAHMAIAAoAGsAZwBOAC8AawBnACkAIAAoAEYATgBvAHIAZwBhAG4AaQBjACwAZgApACAAQQBOAEQAIABUAGEAYgBsAGUAIABBAC4AMgAuADIALgA0ADoAIABGAHIAYQBjAHQAaQBvAG4AIABvAGYAIAB1AHIAZQBhACAAaQBuACAAYwBvAG0AbQBvAG4AIABpAG4AbwByAGcAYQBuAGkAYwAgAGYAZQByAHQAaQBsAGkAcwBlAHIAcwAgACgAawBnACAAdQByAGUAYQAvAGsAZwApACAAKABGAFUAZgApAFwAIgApACkAOwBcAG4AXABuAEYAZQByAHQAaQBsAGkAcwBlAHIAXwBDAGgAZQBtAGkAYwBhAGwAQwBvAG0AcABvAHUAbgBkAEUAbABlAG0AZQBuAHQAcwBfAEQAYQB0AGEAXABuAD0ATABBAE0AQgBEAEEAKABcAG4AIABNAEEASwBFAEEAUgBSAEEAWQAoADEAOQAsACAANgAsAFwAbgAgAEwAQQBNAEIARABBACgAcgAsAGMALABcAG4AIAAgAEkATgBEAEUAWAAoAHsAXABuACAAIABcACIARgBlAHIAdABpAGwAaQBzAGUAcgAgAFQAeQBwAGUAIABmAFwAIgAsACAAXAAiAEYATgBpAG4AbwByAGcAYQBuAGkAYwAsAGYAXAAiACwAIABcACIARgBVAGYAXAAiACwAIABcACIAQgBhAHMAaQBzAFwAIgAsACAAXAAiAEwAaQBmAGUAQwB5AGMAbABlAHMAIABTAGMAbwBwAGUAIAAzACAAZABlAGYAaQBuAGkAdABpAG8AbgBcACIALAAgAFwAIgBTAG8AdQByAGMAZQBcACIAOwBcAG4AIAAgAFwAIgBNAG8AbgBvAGEAbQBtAG8AbgBpAHUAbQAgAHAAaABvAHMAcABoAGEAdABlACAAKABNAEEAUAApAFwAIgAsACAAMAAuADEAMAAsACAAMAAsACAAXAAiAEEAbQBtAG8AbgBpAHUAbQAtAGIAYQBzAGUAZAAgAGYAZQByAHQAaQBsAGkAcwBlAHIAcwBcACIALAAgAFwAIgBNAG8AbgBvAGEAbQBtAG8AbgBpAHUAbQAgAHAAaABvAHMAcABoAGEAdABlACAAKABNAEEAUAApAFwAIgAsACAAXAAiAFYARQBFAFIARwBcACIAOwBcAG4AIAAgAFwAIgBEAGkAYQBtAG0AbwBuAGkAdQBtACAAcABoAG8AcwBwAGgAYQB0AGUAIAAoAEQAQQBQACkAXAAiACwAIAAwAC4AMQA4ACwAIAAwACwAIABcACIAQQBtAG0AbwBuAGkAdQBtAC0AYgBhAHMAZQBkACAAZgBlAHIAdABpAGwAaQBzAGUAcgBzAFwAIgAsACAAXAAiAEQAaQBhAG0AbQBvAG4AaQB1AG0AIABwAGgAbwBzAHAAaABhAHQAZQAgACgARABBAFAAKQBcACIALAAgAFwAIgBWAEUARQBSAEcAXAAiADsAXABuACAAIABcACIAVQByAGUAYQBcACIALAAgADAALgA0ADYALAAgADEALAAgAFwAIgBVAHIAZQBhAC0AYgBhAHMAZQBkACAAZgBlAHIAdABpAGwAaQBzAGUAcgBzAFwAIgAsACAAXAAiAFUAcgBlAGEAXAAiACwAIABcACIAVgBFAEUAUgBHAFwAIgA7AFwAbgAgACAAXAAiAFMAdQBsAHAAaABhAHQAZQAgAG8AZgAgAGEAbQBtAG8AbgBpAGEAIAAoAFMATwBBACkAXAAiACwAIAAwAC4AMgAxACwAIAAwACwAIABcACIAQQBtAG0AbwBuAGkAdQBtAC0AYgBhAHMAZQBkACAAZgBlAHIAdABpAGwAaQBzAGUAcgBzAFwAIgAsACAAXAAiAFMAdQBsAHAAaABhAHQAZQAgAG8AZgAgAGEAbQBtAG8AbgBpAGEAIAAoAFMATwBBACkAXAAiACwAIABcACIAVgBFAEUAUgBHAFwAIgA7AFwAbgAgACAAXAAiAFUAcgBlAGEALQBhAG0AbQBvAG4AaQB1AG0AIABuAGkAdAByAGEAdABlACAAKABVAEEATgApAFwAIgAsACAAMAAuADMAMgAsACAAMAAuADMANQAsACAAXAAiAFUAcgBlAGEALQBiAGEAcwBlAGQAIABmAGUAcgB0AGkAbABpAHMAZQByAHMAXAAiACwAIABcACIAVQByAGUAYQAtAGEAbQBtAG8AbgBpAHUAbQAgAG4AaQB0AHIAYQB0AGUAIAAoAFUAQQBOACkAXAAiACwAIABcACIAVgBFAEUAUgBHAFwAIgA7AFwAbgAgACAAXAAiAEEAbQBtAG8AbgBpAHUAbQAgAG4AaQB0AHIAYQB0AGUAIAAoAEEATgApAFwAIgAsACAAMAAuADMAMwA3ACwAIAAwACwAIABcACIAQQBtAG0AbwBuAGkAdQBtAC0AbgBpAHQAcgBhAHQAZQAgAGIAYQBzAGUAZAAgAGYAZQByAHQAaQBsAGkAcwBlAHIAcwBcACIALAAgAFwAIgBBAG0AbQBvAG4AaQB1AG0AIABuAGkAdAByAGEAdABlACAAKABBAE4AKQBcACIALAAgAFwAIgBWAEUARQBSAEcAXAAiADsAXABuACAAIABcACIAQwBhAGwAYwBpAHUAbQAgAGEAbQBtAG8AbgBpAHUAbQAgAG4AaQB0AHIAYQB0AGUAIAAoAEMAQQBOACkAXAAiACwAIAAwAC4AMgA3ACwAIAAwACwAIABcACIAQQBtAG0AbwBuAGkAdQBtAC0AbgBpAHQAcgBhAHQAZQAgAGIAYQBzAGUAZAAgAGYAZQByAHQAaQBsAGkAcwBlAHIAcwBcACIALAAgAFwAIgBDAGEAbABjAGkAdQBtACAAYQBtAG0AbwBuAGkAdQBtACAAbgBpAHQAcgBhAHQAZQAgACgAQwBBAE4AKQBcACIALAAgAFwAIgBWAEUARQBSAEcAXAAiADsAXABuACAAIABcACIATgBpAHQAcgBvAGcAZQBuACAALQAgAEEAbQBtAG8AbgBpAGEAYwBhAGwAXAAiACwAIAAxACwAIAAwACwAIABcACIAQQBtAG0AbwBuAGkAdQBtAC0AYgBhAHMAZQBkACAAZgBlAHIAdABpAGwAaQBzAGUAcgBzAFwAIgAsACAAXAAiAE4AaQB0AHIAbwBnAGUAbgAgAC0AIABBAG0AbQBvAG4AaQBhAGMAYQBsAFwAIgAsACAAXAAiAEwAaQBmAGUAQwB5AGMAbABlAHMAXAAiADsAXABuACAAIABcACIATgBpAHQAcgBvAGcAZQBuACAALQAgAE4AaQB0AHIAYQB0AGUAXAAiACwAIAAxACwAIAAwACwAIABcACIATgBpAHQAcgBhAHQAZQAtAGIAYQBzAGUAZAAgAGYAZQByAHQAaQBsAGkAcwBlAHIAcwBcACIALAAgAFwAIgBOAGkAdAByAG8AZwBlAG4AIABmAHIAbwBtACAATgBpAHQAcgBhAHQAZQBcACIALAAgAFwAIgBMAGkAZgBlAEMAeQBjAGwAZQBzAFwAIgA7AFwAbgAgACAAXAAiAE4AaQB0AHIAbwBnAGUAbgAgAC0AIABHAGUAbgBlAHIAaQBjAFwAIgAsACAAMQAsACAAMAAsACAAXAAiAE8AdABoAGUAcgAgAGYAZQByAHQAaQBsAGkAcwBlAHIAcwBcACIALAAgAFwAIgBOAGkAdAByAG8AZwBlAG4AIABmAHIAbwBtACAAZgBlAHIAdABpAGwAaQBzAGUAcgBcACIALAAgAFwAIgBMAGkAZgBlAEMAeQBjAGwAZQBzAFwAIgA7AFwAbgAgACAAXAAiAFAAaABvAHMAcABoAG8AcgB1AHMAIAAtACAARwBlAG4AZQByAGkAYwBcACIALAAgADAALAAgADAALAAgAFwAIgBPAHQAaABlAHIAIABmAGUAcgB0AGkAbABpAHMAZQByAHMAXAAiACwAIABcACIAUABoAG8AcwBwAGgAbwByAHUAcwAgAGYAcgBvAG0AIABmAGUAcgB0AGkAbABpAHMAZQByAFwAIgAsACAAXAAiAEwAaQBmAGUAQwB5AGMAbABlAHMAXAAiADsAXABuACAAIABcACIAUABvAHQAYQBzAHMAaQB1AG0AIAAtACAARwBlAG4AZQByAGkAYwBcACIALAAgADAALAAgADAALAAgAFwAIgBPAHQAaABlAHIAIABmAGUAcgB0AGkAbABpAHMAZQByAHMAXAAiACwAIABcACIAUABvAHQAYQBzAHMAaQB1AG0AIABmAHIAbwBtACAAZgBlAHIAdABpAGwAaQBzAGUAcgBcACIALAAgAFwAIgBMAGkAZgBlAEMAeQBjAGwAZQBzAFwAIgA7AFwAbgAgACAAXAAiAFMAdQBsAGYAdQByACAALQAgAEcAZQBuAGUAcgBpAGMAXAAiACwAIAAwACwAIAAwACwAIABcACIATwB0AGgAZQByACAAZgBlAHIAdABpAGwAaQBzAGUAcgBzAFwAIgAsACAAXAAiAFMAdQBsAGYAdQByACAAZgByAG8AbQAgAGYAZQByAHQAaQBsAGkAcwBlAHIAXAAiACwAIABcACIATABpAGYAZQBDAHkAYwBsAGUAcwBcACIAOwBcAG4AIAAgAFwAIgBaAGkAbgBjACAALQAgAEcAZQBuAGUAcgBpAGMAXAAiACwAIAAwACwAIAAwACwAIABcACIATwB0AGgAZQByACAAZgBlAHIAdABpAGwAaQBzAGUAcgBzAFwAIgAsACAAXAAiAFoAaQBuAGMAIABmAHIAbwBtACAAZgBlAHIAdABpAGwAaQBzAGUAcgBcACIALAAgAFwAIgBMAGkAZgBlAEMAeQBjAGwAZQBzAFwAIgA7AFwAbgAgACAAXAAiAE0AdQByAGkAYQB0AGUAIABvAGYAIABwAG8AdABhAHMAaAAgACgATQBPAFAAKQBcACIALAAgADAALAAgADAALAAgAFwAIgBPAHQAaABlAHIAIABmAGUAcgB0AGkAbABpAHMAZQByAHMAXAAiACwAIABcACIATQB1AHIAaQBhAHQAZQAgAG8AZgAgAHAAbwB0AGEAcwBoACAAKABNAE8AUAApAFwAIgAsACAAXAAiAEwAaQBmAGUAQwB5AGMAbABlAHMAXAAiADsAXABuACAAIABcACIARABvAHUAYgBsAGUAIABzAHUAcABlAHIAcABoAG8AcwBwAGgAYQB0AGUAXAAiACwAIAAwACwAIAAwACwAIABcACIATwB0AGgAZQByACAAZgBlAHIAdABpAGwAaQBzAGUAcgBzAFwAIgAsACAAXAAiAEQAbwB1AGIAbABlACAAcwB1AHAAZQByAHAAaABvAHMAcABoAGEAdABlAFwAIgAsACAAXAAiAEwAaQBmAGUAQwB5AGMAbABlAHMAXAAiADsAXABuACAAIABcACIAUwBpAG4AZwBsAGUAIABzAHUAcABlAHIAcABoAG8AcwBwAGgAYQB0AGUAIAAoAFMAUwBQACkAXAAiACwAIAAwACwAIAAwACwAIABcACIATwB0AGgAZQByACAAZgBlAHIAdABpAGwAaQBzAGUAcgBzAFwAIgAsACAAXAAiAFMAaQBuAGcAbABlACAAcwB1AHAAZQByAHAAaABvAHMAcABoAGEAdABlACAAKABTAFMAUAApAFwAIgAsACAAXAAiAEwAaQBmAGUAQwB5AGMAbABlAHMAXAAiADsAXABuACAAIABcACIAQQBtAG0AbwBuAGkAYQBcACIALAAgADAALgA4ADIALAAgADAALAAgAFwAIgBBAG0AbQBvAG4AaQB1AG0ALQBiAGEAcwBlAGQAIABmAGUAcgB0AGkAbABpAHMAZQByAHMAXAAiACwAIABcACIAQQBtAG0AbwBuAGkAYQBcACIALAAgAFwAIgBMAGkAZgBlAEMAeQBjAGwAZQBzAFwAIgBcAG4AIAAgAH0ALAAgAHIALAAgAGMAKQBcAG4AKQApACkAOwBcAG4AXABuAEYAZQByAHQAaQBsAGkAcwBlAHIAXwBDAGgAZQBtAGkAYwBhAGwAQwBvAG0AcABvAHUAbgBkAEUAbABlAG0AZQBuAHQAcwBfAFYAYQByAGkAYQB0AGkAbwBuAFwAbgA9AEwAQQBNAEIARABBACgAXABuACAATQBBAEsARQBBAFIAUgBBAFkAKAA5ACwAIAAxACwAXABuACAATABBAE0AQgBEAEEAKAByACwAYwAsAFwAbgAgACAASQBOAEQARQBYACgAewBcAG4AIAAgAFwAIgBWAEEAUgBJAEEAVABJAE8ATgAgAE8ATgAgAFMATwBVAFIAQwBFAFwAIgA7AFwAbgAgACAAXAAiAEEAZABkAGUAZAAgACcAQgBhAHMAaQBzACcAIABjAG8AbAB1AG0AbgAgAHQAbwAgAGEAbABsAG8AdwAgAGMAcgBvAHMAcwAtAHIAZQBmAGUAcgBlAG4AYwBpAG4AZwAgAHcAaQB0AGgAIAB0AGEAYgBsAGUAIABUAGEAYgBsAGUAIABBAC4AMgAuADIALgA2ADoAIABGAHIAYQBjAHQAaQBvAG4AIABvAGYAIABpAG4AbwByAGcAYQBuAGkAYwAgAGYAZQByAHQAaQBsAGkAcwBlAHIAIABmACAAdABoAGEAdAAgAHYAbwBsAGEAdABpAGwAaQBzAGUAcwAgAGEAcwAgAE4ASAAzACAAYQBuAGQAIABOAE8AeAAgACgAKABrAGcAIABOAEgAMwAtAE4AIAArACAATgBPAHgALQBOACkALwBrAGcAIABOACkAIAAoAEYAcgBhAGMARwBBAFMARgBmACkAXAAiADsAXABuACAAIABcACIAQQBkAGQAZQBkACAAZQB4AHQAcgBhACAAZgBlAHIAdABpAGwAaQBzAGUAcgAgAHQAeQBwAGUAcwAgAGEAbgBkACAAZwBlAG4AZQByAGkAYwAgAGMAaABlAG0AaQBjAGEAbAAgAGMAbwBtAHAAbwB1AG4AZABzACAAdABvACAAYQBsAGwAbwB3ACAAZgBvAHIAIABjAHUAcwB0AG8AbQAgAE4AUABLAFMAIABiAGwAZQBuAGQAcwBcACIAOwBcAG4AIAAgAFwAIgBBAGQAZABlAGQAIABlAHgAdAByAGEAIAAnAFMAYwBvAHAAZQAgADMAIABkAGUAZgBpAG4AaQB0AGkAbwBuACcAIABjAG8AbAB1AG0AbgAgAHQAbwAgAGEAbABsAG8AdwAgAG0AYQBwAHAAaQBuAGcAIAB3AGkAdABoACAAcwBjAG8AcABlACAAMwAgAGQAYQB0AGEAXAAiADsAXABuACAAIABcACIAQQBkAGQAZQBkACAAJwBTAG8AdQByAGMAZQAnACAAYwBvAGwAdQBtAG4AXAAiADsAXABuACAAIABcACIAQwBvAG0AYgBpAG4AZQBkACAAZABhAHQAYQAgAGYAcgBvAG0AIABUAGEAYgBsAGUAIABBAC4AMgAuADIALgAzACAAYQBuAGQAIABUAGEAYgBsAGUAIABBAC4AMgAuADIALgA0ACAAaQBuAHQAbwAgAG8AbgBlACAAdABhAGIAbABlACAAdABvACAAYQBpAGQAIABsAG8AbwBrAHUAcAAuAFwAIgA7AFwAbgAgACAAXAAiAEUAeABjAGwAdQBkAGUAZAAgACcAUgBlAGYAZQByAGUAbgBjAGUAcwAnACAAYwBvAGwAdQBtAG4AXAAiADsAXABuACAAIABcACIARQB4AGMAbAB1AGQAZQBkACAAJwBBAG0AbQBvAG4AaQB1AG0AIABzAHUAbABmAGEAdABlACcAIABhAHMAIABpAHQAIABpAHMAIABhACAAZAB1AHAAbABpAGMAYQB0AGUAIABvAGYAIAAnAFMAdQBsAHAAaABhAHQAZQAgAG8AZgAgAGEAbQBtAG8AbgBpAGEAIAAoAFMATwBBACkAJwBcACIAOwBcAG4AIAAgAFwAIgBFAHgAYwBsAHUAZABlAGQAIAAnAEMAYQBsAGMAaQB1AG0AIABuAGkAdAByAGEAdABlACcAIABhAHMAIABuAG8AIABzAGMAbwBwAGUAIAAzACAAdgBhAGwAdQBlACAAYQB2AGEAaQBsAGEAYgBsAGUALgBcACIAXABu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HIAYQBjAHQAaQBvAG4AIABvAGYAIABpAG4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GAF8AVABpAHQAbABlAFwAbgA9AEwAQQBNAEIARABBACgAKABcACIARgByAGEAYwB0AGkAbwBuACAAbwBmACAAaQBuAG8AcgBnAGEAbgBpAGMAIABmAGUAcgB0AGkAbABpAHMAZQByACAAdABoAGEAdAAgAHYAbwBsAGEAdABpAGwAaQBzAGUAcwAgAGEAcwAgAE4ASAAzACAAYQBuAGQAIABOAE8AeABcACIAKQApADsAXABuAFwAbgBGAGUAcgB0AGkAbABpAHMAZQByAF8ARgByAGEAYwBHAEEAUwBGAF8AUwBvAHUAcgBjAGUAXABuAD0ATABBAE0AQgBEAEEAKAAoAFwAIgBUAGEAYgBsAGUAIABBAC4AMgAuADIALgA2ADoAIABGAHIAYQBjAHQAaQBvAG4AIABvAGYAIABpAG4AbwByAGcAYQBuAGkAYwAgAGYAZQByAHQAaQBsAGkAcwBlAHIAIABmACAAdABoAGEAdAAgAHYAbwBsAGEAdABpAGwAaQBzAGUAcwAgAGEAcwAgAE4ASAAzACAAYQBuAGQAIABOAE8AeAAgACgAKABrAGcAIABOAEgAMwATIE4AIAArACAATgBPAHgAEyBOACkALwBrAGcAIABOACkAIAAoAEYAcgBhAGMARwBBAFMARgBmACkAXAAiACkAKQA7AFwAbgBcAG4ARgBlAHIAdABpAGwAaQBzAGUAcgBfAEYAcgBhAGMARwBBAFMARgBfAEQAYQB0AGEAXABuAD0ATABBAE0AQgBEAEEAKABcAG4AIABNAEEASwBFAEEAUgBSAEEAWQAoADYALAAgADIALABcAG4AIABMAEEATQBCAEQAQQAoAHIALABjACwAXABuACAAIABJAE4ARABFAFgAKAB7AFwAbgAgACAAXAAiAEYAZQByAHQAaQBsAGkAcwBlAHIAIAB0AHkAcABlACAAZgBcACIALAAgAFwAIgBGAHIAYQBjAEcAQQBTAEYAZgBcACIAOwBcAG4AIAAgAFwAIgBVAHIAZQBhAC0AYgBhAHMAZQBkACAAZgBlAHIAdABpAGwAaQBzAGUAcgBzAFwAIgAsACAAMAAuADEANQA7AFwAbgAgACAAXAAiAEEAbQBtAG8AbgBpAHUAbQAtAGIAYQBzAGUAZAAgAGYAZQByAHQAaQBsAGkAcwBlAHIAcwBcACIALAAgADAALgAwADgAOwBcAG4AIAAgAFwAIgBOAGkAdAByAGEAdABlAC0AYgBhAHMAZQBkACAAZgBlAHIAdABpAGwAaQBzAGUAcgBzAFwAIgAsACAAMAAuADAAMQA7AFwAbgAgACAAXAAiAEEAbQBtAG8AbgBpAHUAbQAtAG4AaQB0AHIAYQB0AGUAIABiAGEAcwBlAGQAIABmAGUAcgB0AGkAbABpAHMAZQByAHMAXAAiACwAIAAwAC4AMAA1ADsAXABuACAAIABcACIATwB0AGgAZQByACAAZgBlAHIAdABpAGwAaQBzAGUAcgBzAFwAIgAsACAAMAAuADEAMQBcAG4AIAAgAH0ALAAgAHIALAAgAGMAKQBcAG4AKQApACkAOwBcAG4AXABuAEYAZQByAHQAaQBsAGkAcwBlAHIAXwBGAHIAYQBjAEcAQQBTAEYAXwBWAGEAcgBpAGEAdABpAG8AbgBcAG4APQBMAEEATQBCAEQAQQAoAFwAIgBcACIAKQA7AFwAbgBcAG4AXABuAFwAbgBcAG4AXABuAFwAbgAvACoAXABuAD0APQA9AD0APQA9AD0APQA9AD0APQA9AD0APQA9AD0APQA9AD0APQA9AD0APQA9AD0APQA9AD0APQA9AD0APQA9AD0APQA9AD0APQA9AD0APQA9AD0APQA9AD0APQA9AD0APQA9AD0APQA9AD0APQA9AD0APQA9AD0APQA9AD0APQA9AD0APQA9AD0APQA9AD0APQA9AD0AXABuAEIAcgBhAG4AZABlAGQAIABmAGUAcgB0AGkAbABpAHMAZQByACAAcAByAG8AZAB1AGMAdABzAFwAbgA9AD0APQA9AD0APQA9AD0APQA9AD0APQA9AD0APQA9AD0APQA9AD0APQA9AD0APQA9AD0APQA9AD0APQA9AD0APQA9AD0APQA9AD0APQA9AD0APQA9AD0APQA9AD0APQA9AD0APQA9AD0APQA9AD0APQA9AD0APQA9AD0APQA9AD0APQA9AD0APQA9AD0APQA9AD0APQA9AFwAbgAqAC8AXABuAFwAbgBGAGUAcgB0AGkAbABpAHMAZQByAF8AUAByAG8AZAB1AGMAdABzAF8AVABpAHQAbABlAFwAbgA9AEwAQQBNAEIARABBACgAKABcACIAQgByAGEAbgBkAGUAZAAgAGYAZQByAHQAaQBsAGkAcwBlAHIAIABwAHIAbwBkAHUAYwB0AHMAIABhAG4AZAAgAHQAaABlAGkAcgAgAGMAaABlAG0AaQBjAGEAbAAgAGMAbwBtAHAAbwBzAGkAdABpAG8AbgBcACIAKQApADsAXABuAFwAbgBGAGUAcgB0AGkAbABpAHMAZQByAF8AUAByAG8AZAB1AGMAdABzAF8AUwBvAHUAcgBjAGUAXABuAD0ATABBAE0AQgBEAEEAKAAoAFwAIgBUAE8ARABPADoAIABQAHUAYgBsAGkAcwBoACAAYQBuAGQAIABhAHQAdAByAGkAYgB1AHQAZQAgAHQAbwAgAE0AYQByAGkAYQBcACIAKQApADsAXABuAFwAbgBGAGUAcgB0AGkAbABpAHMAZQByAF8AUAByAG8AZAB1AGMAdABzAF8ARABhAHQAYQAxAFwAbgA9AEwAQQBNAEIARABBACgAXABuACAATQBBAEsARQBBAFIAUgBBAFkAKAAyADAALAAgADMAMwAsAFwAbgAgAEwAQQBNAEIARABBACgAcgAsAGMALABcAG4AIAAgAEkATgBEAEUAWAAoAHsAXABuAFwAIgBQAHIAbwBkAHUAYwB0AFwAIgAsAFwAIgBQAHIAbwBkAHUAYwB0ACAAVQBuAGkAdABcACIALABcACIARABlAG4AcwBpAHQAeQAgACgATAAgAHQAbwAgAGsAZwApAFwAIgAsAFwAIgBJAG4AZwByAGUAZABpAGUAbgB0ACAAMQBcACIALABcACIASQBuAGcAcgBlAGQAaQBlAG4AdAAgADEAIABwAGUAcgBjAGUAbgB0AFwAIgAsAFwAIgBJAG4AZwByAGUAZABpAGUAbgB0ACAAMQAgAHMAbwB1AHIAYwBlAFwAIgAsAFwAIgBJAG4AZwByAGUAZABpAGUAbgB0ACAAMgBcACIALABcACIASQBuAGcAcgBlAGQAaQBlAG4AdAAgADIAIABwAGUAcgBjAGUAbgB0AFwAIgAsAFwAIgBJAG4AZwByAGUAZABpAGUAbgB0ACAAMgAgAHMAbwB1AHIAYwBlAFwAIgAsAFwAIgBJAG4AZwByAGUAZABpAGUAbgB0ACAAMwBcACIALABcACIASQBuAGcAcgBlAGQAaQBlAG4AdAAgADMAIABwAGUAcgBjAGUAbgB0AFwAIgAsAFwAIgBJAG4AZwByAGUAZABpAGUAbgB0ACAAMwAgAHMAbwB1AHIAYwBlAFwAIgAsAFwAIgBJAG4AZwByAGUAZABpAGUAbgB0ACAANABcACIALABcACIASQBuAGcAcgBlAGQAaQBlAG4AdAAgADQAIABwAGUAcgBjAGUAbgB0AFwAIgAsAFwAIgBJAG4AZwByAGUAZABpAGUAbgB0ACAANAAgAHMAbwB1AHIAYwBlAFwAIgAsAFwAIgBJAG4AZwByAGUAZABpAGUAbgB0ACAANQBcACIALABcACIASQBuAGcAcgBlAGQAaQBlAG4AdAAgADUAIABwAGUAcgBjAGUAbgB0AFwAIgAsAFwAIgBJAG4AZwByAGUAZABpAGUAbgB0ACAANQAgAHMAbwB1AHIAYwBlAFwAIgAsAFwAIgBJAG4AZwByAGUAZABpAGUAbgB0ACAANgBcACIALABcACIASQBuAGcAcgBlAGQAaQBlAG4AdAAgADYAIABwAGUAcgBjAGUAbgB0AFwAIgAsAFwAIgBJAG4AZwByAGUAZABpAGUAbgB0ACAANgAgAHMAbwB1AHIAYwBlAFwAIgAsAFwAIgBJAG4AZwByAGUAZABpAGUAbgB0ACAANwBcACIALABcACIASQBuAGcAcgBlAGQAaQBlAG4AdAAgADcAIABwAGUAcgBjAGUAbgB0AFwAIgAsAFwAIgBJAG4AZwByAGUAZABpAGUAbgB0ACAANwAgAHMAbwB1AHIAYwBlAFwAIgAsAFwAIgBJAG4AZwByAGUAZABpAGUAbgB0ACAAOABcACIALABcACIASQBuAGcAcgBlAGQAaQBlAG4AdAAgADgAIABwAGUAcgBjAGUAbgB0AFwAIgAsAFwAIgBJAG4AZwByAGUAZABpAGUAbgB0ACAAOAAgAHMAbwB1AHIAYwBlAFwAIgAsAFwAIgBJAG4AZwByAGUAZABpAGUAbgB0ACAAOQBcACIALABcACIASQBuAGcAcgBlAGQAaQBlAG4AdAAgADkAIABwAGUAcgBjAGUAbgB0AFwAIgAsAFwAIgBJAG4AZwByAGUAZABpAGUAbgB0ACAAOQAgAHMAbwB1AHIAYwBlAFwAIgAsAFwAIgBJAG4AZwByAGUAZABpAGUAbgB0ACAAMQAwAFwAIgAsAFwAIgBJAG4AZwByAGUAZABpAGUAbgB0ACAAMQAwACAAcABlAHIAYwBlAG4AdABcACIALABcACIASQBuAGcAcgBlAGQAaQBlAG4AdAAgADEAMAAgAHMAbwB1AHIAYwBlAFwAIgA7AFwAbgBcACIAQQBnAGYAbABvAHcAIABCAG8AbwBzAHQAXAAiACwAXAAiAGsAZwBcACIALAAxACwAXAAiAE4AaQB0AHIAbwBnAGUAbgAgAC0AIABBAG0AbQBvAG4AaQBhAGMAYQBsAFwAIgAsADAALgAwADMANQAsAFwAIgBMAG8AYwBhAHQAaQBvAG4AIABuAG8AdAAgAHMAcABlAGMAaQBmAGkAZQBkAFwAIgAsAFwAIgBOAGkAdAByAG8AZwBlAG4AIABmAHIAbwBtACAATgBpAHQAcgBhAHQAZQBcACIALAAwAC4AMAAzACwAXAAiAEwAbwBjAGEAdABpAG8AbgAgAG4AbwB0ACAAcwBwAGUAYwBpAGYAaQBlAGQAXAAiACwAXAAiAE4AaQB0AHIAbwBnAGUAbgAgAC0AIABHAGUAbgBlAHIAaQBjAFwAIgAsADAALgAxADQANQAsAFwAIgBMAG8AYwBhAHQAaQBvAG4AIABuAG8AdAAgAHMAcABlAGMAaQBmAGkAZQBkAFwAIgAsAFwAIgBQAG8AdABhAHMAcwBpAHUAbQAgAC0AIABHAGUAbgBlAHIAaQBjAFwAIgAsADAALgAwADUALABcACIATABvAGMAYQB0AGkAbwBuACAAbgBvAHQAIABzAHAAZQBjAGkAZgBpAGUAZABcACIALABcACIAUwB1AGwAZgB1AHIAIAAtACAARwBlAG4AZQByAGkAYwBcACIALAAwAC4AMAA1ADUALABcACIATABvAGMAYQB0AGkAbwBuACAAbgBvAHQAIABzAHAAZQBjAGkAZgBpAGUAZABcACIALABcACIATQBhAGcAbgBlAHMAaQB1AG0AIAAtACAAZwBlAG4AZQByAGkAYwBcACIALAAwAC4AMAAxADkALABcACIATABvAGMAYQB0AGkAbwBuACAAbgBvAHQAIABzAHAAZQBjAGkAZgBpAGUAZABcACIALABcACIASQByAG8AbgAgAC0AIABnAGUAbgBlAHIAaQBjAFwAIgAsADAALgAwADEANwAsAFwAIgBMAG8AYwBhAHQAaQBvAG4AIABuAG8AdAAgAHMAcABlAGMAaQBmAGkAZQBkAFwAIgAsAFwAIgBQAGgAbwBzAHAAaABvAHIAdQBzACAALQAgAEcAZQBuAGUAcgBpAGMAXAAiACwAMAAuADAAMAA4ACwAXAAiAEwAbwBjAGEAdABpAG8AbgAgAG4AbwB0ACAAcwBwAGUAYwBpAGYAaQBlAGQAXAAiACwAXAAiAEMAbwBwAHAAZQByACAALQAgAGcAZQBuAGUAcgBpAGMAXAAiACwAMAAuADAAMAAwADUALABcACIATABvAGMAYQB0AGkAbwBuACAAbgBvAHQAIABzAHAAZQBjAGkAZgBpAGUAZABcACIALABcACIATQBhAG4AZwBhAG4AZQBzAGUAIAAtACAARwBlAG4AZQByAGkAYwBcACIALAAwAC4AMAAwADAANQAsAFwAIgBMAG8AYwBhAHQAaQBvAG4AIABuAG8AdAAgAHMAcABlAGMAaQBmAGkAZQBkAFwAIgA7AFwAbgBcACIAQQBnAE4AUABcACIALABcACIAawBnAFwAIgAsADEALABcACIATgBpAHQAcgBvAGcAZQBuACAALQAgAEEAbQBtAG8AbgBpAGEAYwBhAGwAXAAiACwAMAAuADIANQA1ACwAXAAiAEwAbwBjAGEAdABpAG8AbgAgAG4AbwB0ACAAcwBwAGUAYwBpAGYAaQBlAGQAXAAiACwAXAAiAFMAdQBsAGYAdQByACAALQAgAEcAZQBuAGUAcgBpAGMAXAAiACwAMAAuADEAMg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QQBtAG0AbwBuAGkAdQBtACAAQgBpAGMAYQByAGIAbwBuAGEAdABlACgATgApAFwAIgAsAFwAIgBrAGcAXAAiACwAMQAsAFwAIgBOAGkAdAByAG8AZwBlAG4AIAAtACAAQQBtAG0AbwBuAGkAYQBjAGEAbABcACIALAAwAC4AMQA3ACwAXAAiAEMAaABpAG4AY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EEAbQBtAG8AbgBpAHUAbQAgAFMAdQBsAGYAYQB0AGUAIAAoAE4AKQBcACIALABcACIAawBnAFwAIgAsADEALABcACIAUwB1AGwAZgB1AHIAIAAtACAARwBlAG4AZQByAGkAYwBcACIALAAwAC4AMgA0ACwAXAAiAEMAaABpAG4AYQBcACIALABcACIATgBpAHQAcgBvAGcAZQBuACAALQAgAEEAbQBtAG8AbgBpAGEAYwBhAGwAXAAiACwAMAAuADIAMQAsAFwAIgBDAGgAaQBuAGE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BAG0AbQBvAG4AaQB1AG0AIABTAHUAbABwAGgAYQB0AGUAXAAiACwAXAAiAGsAZwBcACIALAAxACwAXAAiAE4AaQB0AHIAbwBnAGUAbgAgAC0AIABBAG0AbQBvAG4AaQBhAGMAYQBsAFwAIgAsADAALgAyACwAXAAiAEwAbwBjAGEAdABpAG8AbgAgAG4AbwB0ACAAcwBwAGUAYwBpAGYAaQBlAGQAXAAiACwAXAAiAFMAdQBsAGYAdQByACAALQAgAEcAZQBuAGUAcgBpAGMAXAAiACwAMAAuADIAMw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QQBwAGUAeAAgAEcAYQBJAFgAZQAgAEwAbwB3ACAAUAAgADIAMQAtADEALQA2AFwAIgAsAFwAIgBrAGcAXAAiACwAMQAsAFwAIgBOAGkAdAByAG8AZwBlAG4AIAAtACAAQQBtAG0AbwBuAGkAYQBjAGEAbABcACIALAAwAC4AMQA4ACwAXAAiAEwAbwBjAGEAdABpAG8AbgAgAG4AbwB0ACAAcwBwAGUAYwBpAGYAaQBlAGQAXAAiACwAXAAiAFAAaABvAHMAcABoAG8AcgB1AHMAIAAtACAARwBlAG4AZQByAGkAYwBcACIALAAwAC4AMgAwADIALABcACIATABvAGMAYQB0AGkAbwBuACAAbgBvAHQAIABzAHAAZQBjAGkAZgBpAGUAZABcACIALABcACIAUwB1AGwAZgB1AHIAIAAtACAARwBlAG4AZQByAGkAYwBcACIALAAwAC4AMAAxADU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EEAcQB1AGEAIABOAGkAdAByAG8AIABBAE4AXAAiACwAXAAiAEwAXAAiACwAMQAuADIANQAsAFwAIgBOAGkAdAByAG8AZwBlAG4AIAAtACAARwBlAG4AZQByAGkAYwBcACIALAAwAC4AMgAyADM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EIAaQBnACAATgBcACIALABcACIAawBnAFwAIgAsADEALABcACIAUABoAG8AcwBwAGgAbwByAHUAcwAgAC0AIABHAGUAbgBlAHIAaQBjAFwAIgAsADAALgAxADgAMgAsAFwAIgBMAG8AYwBhAHQAaQBvAG4AIABuAG8AdAAgAHMAcABlAGMAaQBmAGkAZQBkAFwAIgAsAFwAIgBOAGkAdAByAG8AZwBlAG4AIAAtACAAQQBtAG0AbwBuAGkAYQBjAGEAbABcACIALAAwAC4AMQA2ADkALABcACIATABvAGMAYQB0AGkAbwBuACAAbgBvAHQAIABzAHAAZQBjAGkAZgBpAGUAZABcACIALABcACIAUwB1AGwAZgB1AHIAIAAtACAARwBlAG4AZQByAGkAYwBcACIALAAwAC4AMAA4ACwAXAAiAEwAbwBjAGEAdABpAG8AbgAgAG4AbwB0ACAAcwBwAGUAYwBpAGYAaQBlAGQAXAAiACwAXAAiAFoAaQBuAGMAIAAtACAARwBlAG4AZQByAGkAYwBcACIALAAwAC4AMAAwADIALABcACIATABvAGMAYQB0AGkAbwBuACAAbgBvAHQAIABzAHAAZQBjAGkAZgBpAGUAZABcACIALABcACIAQwBvAHAAcABlAHIAIAAtACAAZwBlAG4AZQByAGkAYwBcACIALAAwAC4AMAAwADEALABcACIATABvAGMAYQB0AGkAbwBuACAAbgBvAHQAIABzAHAAZQBjAGkAZgBpAGUAZABcACIALABcACIAXAAiACwAXAAiAFwAIgAsAFwAIgBcACIALABcACIAXAAiACwAXAAiAFwAIgAsAFwAIgBcACIALABcACIAXAAiACwAXAAiAFwAIgAsAFwAIgBcACIALABcACIAXAAiACwAXAAiAFwAIgAsAFwAIgBcACIALABcACIAXAAiACwAXAAiAFwAIgAsAFwAIgBcACIAOwBcAG4AXAAiAEIAaQBnACAAUABoAG8AcwBcACIALABcACIATABcACIALAAxAC4AMwAyACwAXAAiAE4AaQB0AHIAbwBnAGUAbgAgAC0AIABHAGUAbgBlAHIAaQBjAFwAIgAsADAALgAyADEANQAsAFwAIgBMAG8AYwBhAHQAaQBvAG4AIABuAG8AdAAgAHMAcABlAGMAaQBmAGkAZQBkAFwAIgAsAFwAIgBOAGkAdAByAG8AZwBlAG4AIAAtACAAQQBtAG0AbwBuAGkAYQBjAGEAbABcACIALAAwAC4AMQAwADUALABcACIATABvAGMAYQB0AGkAbwBuACAAbgBvAHQAIABzAHAAZQBjAGkAZgBpAGUAZABcACIALABcACIATgBpAHQAcgBvAGcAZQBuACAAZgByAG8AbQAgAE4AaQB0AHIAYQB0AGUAXAAiACwAMAAuADEAMAA1ACwAXAAiAEwAbwBjAGEAdABpAG8AbgAgAG4AbwB0ACAAcwBwAGUAYwBpAGYAaQBlAGQAXAAiACwAXAAiAEIAaQB1AHIAZQB0ACAAKABpAG0AcAB1AHIAaQB0AHkAKQBcACIALAAwAC4AMAAx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DsAXABuAFwAIgBCAHIAbwBuAHoAZQBcACIALABcACIAawBnAFwAIgAsADEALABcACIAUABvAHQAYQBzAHMAaQB1AG0AIAAtACAARwBlAG4AZQByAGkAYwBcACIALAAwAC4AMgAzADIALABcACIATABvAGMAYQB0AGkAbwBuACAAbgBvAHQAIABzAHAAZQBjAGkAZgBpAGUAZABcACIALABcACIATgBpAHQAcgBvAGcAZQBuACAALQAgAEEAbQBtAG8AbgBpAGEAYwBhAGwAXAAiACwAMAAuADEANwAsAFwAIgBMAG8AYwBhAHQAaQBvAG4AIABuAG8AdAAgAHMAcABlAGMAaQBmAGkAZQBkAFwAIgAsAFwAIgBTAHUAbABmAHUAcgAgAC0AIABHAGUAbgBlAHIAaQBjAFwAIgAsADAALgAwADAANQAsAFwAIgBMAG8AYwBhAHQAaQBvAG4AIABuAG8AdAAgAHMAcABlAGMAaQBmAGkAZQBkAFwAIgAsAFwAIgBNAGEAZwBuAGUAcwBpAHUAbQAgAC0AIABnAGUAbgBlAHIAaQBjAFwAIgAsADAALgAwADAAMgA0ACwAXAAiAEwAbwBjAGEAdABpAG8AbgAgAG4AbwB0ACAAcwBwAGUAYwBpAGYAaQBlAGQAXAAiACwAXAAiAFAAaABvAHMAcABoAG8AcgB1AHMAIAAtACAARwBlAG4AZQByAGkAYwBcACIALAAwAC4AMAAwADAANAAsAFwAIgBMAG8AYwBhAHQAaQBvAG4AIABuAG8AdAAgAHMAcABlAGMAaQBmAGkAZQBkAFwAIgAsAFwAIgBcACIALABcACIAXAAiACwAXAAiAFwAIgAsAFwAIgBcACIALABcACIAXAAiACwAXAAiAFwAIgAsAFwAIgBcACIALABcACIAXAAiACwAXAAiAFwAIgAsAFwAIgBcACIALABcACIAXAAiACwAXAAiAFwAIgAsAFwAIgBcACIALABcACIAXAAiACwAXAAiAFwAIgA7AFwAbgBcACIAQgByAG8AbgB6AGUAXAAiACwAXAAiAGsAZwBcACIALAAxACwAXAAiAE0AdQByAGkAYQB0AGUAIABvAGYAIABwAG8AdABhAHMAaAAgACgATQBPAFAAKQBcACIALAAwAC4AMgAzADIALABcACIATABvAGMAYQB0AGkAbwBuACAAbgBvAHQAIABzAHAAZQBjAGkAZgBpAGUAZABcACIALABcACIATgBpAHQAcgBvAGcAZQBuACAALQAgAEcAZQBuAGUAcgBpAGMAXAAiACwAMAAuADEANwAsAFwAIgBMAG8AYwBhAHQAaQBvAG4AIABuAG8AdAAgAHMAcABlAGMAaQBmAGkAZQBkAFwAIgAsAFwAIgBTAHUAbABmAHUAcgAgAC0AIABHAGUAbgBlAHIAaQBjAFwAIgAsADAALgAwADAANQAsAFwAIgBMAG8AYwBhAHQAaQBvAG4AIABuAG8AdAAgAHMAcABlAGMAaQBmAGkAZQBkAFwAIgAsAFwAIgBNAGEAZwBuAGUAcwBpAHUAbQAgAC0AIABnAGUAbgBlAHIAaQBjAFwAIgAsADAALgAwADAAMgA0ACwAXAAiAEwAbwBjAGEAdABpAG8AbgAgAG4AbwB0ACAAcwBwAGUAYwBpAGYAaQBlAGQAXAAiACwAXAAiAFAAaABvAHMAcABoAG8AcgB1AHMAIAAtACAARwBlAG4AZQByAGkAYwBcACIALAAwAC4AMAAwADAANAAsAFwAIgBMAG8AYwBhAHQAaQBvAG4AIABuAG8AdAAgAHMAcABlAGMAaQBmAGkAZQBkAFwAIgAsAFwAIgBcACIALABcACIAXAAiACwAXAAiAFwAIgAsAFwAIgBcACIALABcACIAXAAiACwAXAAiAFwAIgAsAFwAIgBcACIALABcACIAXAAiACwAXAAiAFwAIgAsAFwAIgBcACIALABcACIAXAAiACwAXAAiAFwAIgAsAFwAIgBcACIALABcACIAXAAiACwAXAAiAFwAIgA7AFwAbgBcACIAQwBhAGwAYwBpAHUAbQAgAEEAbQBtAG8AbgBpAHUAbQAgAE4AaQB0AHIAYQB0AGUAIAAoAEMAQQBOACkAXAAiACwAXAAiAGsAZwBcACIALAAxACwAXAAiAE4AaQB0AHIAbwBnAGUAbgAgAC0AIABBAG0AbQBvAG4AaQBhAGMAYQBsAFwAIgAsADAALgAxADMANQAsAFwAIgBDAGgAaQBuAGEAXAAiACwAXAAiAE4AaQB0AHIAbwBnAGUAbgAgAGYAcgBvAG0AIABOAGkAdAByAGEAdABlAFwAIgAsADAALgAxADMANQAsAFwAIgBDAGgAaQBuAGEAXAAiACwAXAAiAEMAYQBsAGMAaQB1AG0AIABvAHgAaQBkAGUAXAAiACwAMAAuADEAMgAsAFwAIgBDAGgAaQBuAGEAXAAiACwAXAAiAEIAbwByAG8AbgAgAC0AIABnAGUAbgBlAHIAaQBjAFwAIgAsADAALgAwADAAMwAsAFwAIgBDAGgAaQBuAGEAXAAiACwAXAAiAFwAIgAsAFwAIgBcACIALABcACIAXAAiACwAXAAiAFwAIgAsAFwAIgBcACIALABcACIAXAAiACwAXAAiAFwAIgAsAFwAIgBcACIALABcACIAXAAiACwAXAAiAFwAIgAsAFwAIgBcACIALABcACIAXAAiACwAXAAiAFwAIgAsAFwAIgBcACIALABcACIAXAAiACwAXAAiAFwAIgAsAFwAIgBcACIALABcACIAXAAiADsAXABuAFwAIgBDAGEAbQBwAGIAZQBsAGwAcwAgAFEAdQBpAGMAawAtAE4AXAAiACwAXAAiAGsAZwBcACIALAAxACwAXAAiAE4AaQB0AHIAbwBnAGUAbgAgAC0AIABHAGUAbgBlAHIAaQBjAFwAIgAsADAALgA0ADY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EMAbwBtAHAAYQBzAHMAXAAiACwAXAAiAGsAZwBcACIALAAxACwAXAAiAE4AaQB0AHIAbwBnAGUAbgAgAC0AIABHAGUAbgBlAHIAaQBjAFwAIgAsADAALgAxADUALABcACIATABvAGMAYQB0AGkAbwBuACAAbgBvAHQAIABzAHAAZQBjAGkAZgBpAGUAZABcACIALABcACIAUABvAHQAYQBzAHMAaQB1AG0AIAAtACAARwBlAG4AZQByAGkAYwBcACIALAAwAC4AMQAyADUALABcACIATABvAGMAYQB0AGkAbwBuACAAbgBvAHQAIABzAHAAZQBjAGkAZgBpAGUAZABcACIALABcACIAUABoAG8AcwBwAGgAbwByAHUAcwAgAC0AIABHAGUAbgBlAHIAaQBjAFwAIgAsADAALgAwADYANQAsAFwAIgBMAG8AYwBhAHQAaQBvAG4AIABuAG8AdAAgAHMAcABlAGMAaQBmAGkAZQBkAFwAIgAsAFwAIgBTAHUAbABmAHUAcgAgAC0AIABHAGUAbgBlAHIAaQBjAFwAIgAsADAALgAwADY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OwBcAG4AXAAiAEMAcgBvAHAAIABLAFwAIgAsAFwAIgBMAFwAIgAsADEALgAzADEALABcACIAUABvAHQAYQBzAHMAaQB1AG0AIAAtACAARwBlAG4AZQByAGkAYwBcACIALAAwAC4AMgAxACwAXAAiAEwAbwBjAGEAdABpAG8AbgAgAG4AbwB0ACAAcwBwAGUAYwBpAGYAaQBlAGQAXAAiACwAXAAiAE4AaQB0AHIAbwBnAGUAbgAgAC0AIABHAGUAbgBlAHIAaQBjAFwAIgAsADAALgAwADM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EMAcgBvAHAAIABTAHQAYQByAHQAZQByAFwAIgAsAFwAIgBMAFwAIgAsADEALgAyACwAXAAiAFAAaABvAHMAcABoAG8AcgB1AHMAIAAtACAARwBlAG4AZQByAGkAYwBcACIALAAwAC4AMAA4ACwAXAAiAEwAbwBjAGEAdABpAG8AbgAgAG4AbwB0ACAAcwBwAGUAYwBpAGYAaQBlAGQAXAAiACwAXAAiAE4AaQB0AHIAbwBnAGUAbgAgAC0AIABHAGUAbgBlAHIAaQBjAFwAIgAsADAALgAwADUALABcACIATABvAGMAYQB0AGkAbwBuACAAbgBvAHQAIABzAHAAZQBjAGkAZgBpAGUAZABcACIALABcACIAUABvAHQAYQBzAHMAaQB1AG0AIAAtACAARwBlAG4AZQByAGkAYwBcACIALAAwAC4AMAAz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EAEEAUABcACIALABcACIAawBnAFwAIgAsADEALABcACIATgBpAHQAcgBvAGcAZQBuACAALQAgAEEAbQBtAG8AbgBpAGEAYwBhAGwAXAAiACwAMAAuADEAOAAsAFwAIgBMAG8AYwBhAHQAaQBvAG4AIABuAG8AdAAgAHMAcABlAGMAaQBmAGkAZQBkAFwAIgAsAFwAIgBQAGgAbwBzAHAAaABvAHIAdQBzACAALQAgAEcAZQBuAGUAcgBpAGMAXAAiACwAMAAuADIAMAAyACwAXAAiAEwAbwBjAGEAdABpAG8AbgAgAG4AbwB0ACAAcwBwAGUAYwBpAGYAaQBlAGQAXAAiACwAXAAiAFMAdQBsAGYAdQByACAALQAgAEcAZQBuAGUAcgBpAGMAXAAiACwAMAAuADAAMQA1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EAG8AdQBiAGwAZQAgAFQAcgBhAGMAZQBcACIALABcACIAawBnAFwAIgAsADEALABcACIAUwB1AGwAZgB1AHIAIAAtACAARwBlAG4AZQByAGkAYwBcACIALAAwAC4AMQA4ACwAXAAiAEwAbwBjAGEAdABpAG8AbgAgAG4AbwB0ACAAcwBwAGUAYwBpAGYAaQBlAGQAXAAiACwAXAAiAE0AYQBuAGcAYQBuAGUAcwBlACAALQAgAEcAZQBuAGUAcgBpAGMAXAAiACwAMAAuADEANwAsAFwAIgBMAG8AYwBhAHQAaQBvAG4AIABuAG8AdAAgAHMAcABlAGMAaQBmAGkAZQBkAFwAIgAsAFwAIgBaAGkAbgBjACAALQAgAEcAZQBuAGUAcgBpAGMAXAAiACwAMAAuADEANw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RQBhAHMAeQAgAE4AIABCAHUAbABrAFwAIgAsAFwAIgBrAGcAXAAiACwAMQAsAFwAIgBOAGkAdAByAG8AZwBlAG4AIAAtACAAQQBtAG0AbwBuAGkAYQBjAGEAbABcACIALAAwAC4AMgAwADUALABcACIATABvAGMAYQB0AGkAbwBuACAAbgBvAHQAIABzAHAAZQBjAGkAZgBpAGUAZABcACIALABcACIAUwB1AGwAZgB1AHIAIAAtACAARwBlAG4AZQByAGkAYwBcACIALAAwAC4AMgA0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FwAbgBcAG4AIAAgAH0ALAAgAHIALAAgAGMAKQBcAG4AKQApACkAOwBcAG4AXABuAFwAbgBGAGUAcgB0AGkAbABpAHMAZQByAF8AUAByAG8AZAB1AGMAdABzAF8ARABhAHQAYQAyAFwAbgA9AEwAQQBNAEIARABBACgAXABuACAATQBBAEsARQBBAFIAUgBBAFkAKAAyADAALAAgADMAMwAsAFwAbgAgAEwAQQBNAEIARABBACgAcgAsAGMALABcAG4AIAAgAEkATgBEAEUAWAAoAHsAXABuAFwAIgBGAGEAcgBtACAAQQBnACAATABlAGkAYwBoAGgAYQByAGQAdABcACIALABcACIAawBnAFwAIgAsADEALABcACIATgBpAHQAcgBvAGcAZQBuACAALQAgAEcAZQBuAGUAcgBpAGMAXAAiACwAMAAuADIANwA2ACwAXAAiAEwAbwBjAGEAdABpAG8AbgAgAG4AbwB0ACAAcwBwAGUAYwBpAGYAaQBlAGQAXAAiACwAXAAiAE4AaQB0AHIAbwBnAGUAbgAgAC0AIABBAG0AbQBvAG4AaQBhAGMAYQBsAFwAIgAsADAALgAwADQAOQAsAFwAIgBMAG8AYwBhAHQAaQBvAG4AIABuAG8AdAAgAHMAcABlAGMAaQBmAGkAZQBkAFwAIgAsAFwAIgBQAGgAbwBzAHAAaABvAHIAdQBzACAALQAgAEcAZQBuAGUAcgBpAGMAXAAiACwAMAAuADAANQA0ACwAXAAiAEwAbwBjAGEAdABpAG8AbgAgAG4AbwB0ACAAcwBwAGUAYwBpAGYAaQBlAGQAXAAiACwAXAAiAFAAbwB0AGEAcwBzAGkAdQBtACAALQAgAEcAZQBuAGUAcgBpAGMAXAAiACwAMAAuADAANgA1ACwAXAAiAEwAbwBjAGEAdABpAG8AbgAgAG4AbwB0ACAAcwBwAGUAYwBpAGYAaQBlAGQAXAAiACwAXAAiAFMAdQBsAGYAdQByACAALQAgAEcAZQBuAGUAcgBpAGMAXAAiACwAMAAuADAAMAA0ACwAXAAiAEwAbwBjAGEAdABpAG8AbgAgAG4AbwB0ACAAcwBwAGUAYwBpAGYAaQBlAGQAXAAiACwAXAAiAEIAaQB1AHIAZQB0AFwAIgAsADAALgAwADAAOAAsAFwAIgBMAG8AYwBhAHQAaQBvAG4AIABuAG8AdAAgAHMAcABlAGMAaQBmAGkAZQBkAFwAIgAsAFwAIgBcACIALABcACIAXAAiACwAXAAiAFwAIgAsAFwAIgBcACIALABcACIAXAAiACwAXAAiAFwAIgAsAFwAIgBcACIALABcACIAXAAiACwAXAAiAFwAIgAsAFwAIgBcACIALABcACIAXAAiACwAXAAiAFwAIgA7AFwAbgBcACIARgBsAGUAeABpAC0ATgAgAE4AQgBQAFQAXAAiACwAXAAiAGsAZwBcACIALAAxACwAXAAiAFUAcgBlAGEAXAAiACwAMAAuADkAOQAsAFwAIgBMAG8AYwBhAHQAaQBvAG4AIABuAG8AdAAgAHMAcABlAGMAaQBmAGkAZQBkAFwAIgAsAFwAIgBNAGEAZwBuAGUAcwBpAHUAbQAgAE8AeABpAGQAZQBcACIALAAwAC4AMAAxACwAXAAiAEwAbwBjAGEAdABpAG8AbgAgAG4AbwB0ACAAcwBwAGUAYwBpAGYAaQBlAGQAXAAiACwAXAAiAEcAbABhAHoAZQAgAEUAeAB0AGUAbgBkACAARwAzACAARgBsAGUAeABpAFwAIgAsADAALgAwADAANQ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RgBsAGUAeABpAC0ATgAgAE4ASQAgAG8AbgBsAHkAXAAiACwAXAAiAGsAZwBcACIALAAxACwAXAAiAE4AaQB0AHIAbwBnAGUAbgAgAC0AIABHAGUAbgBlAHIAaQBjAFwAIgAsADAALgA0ADYALABcACIATABvAGMAYQB0AGkAbwBuACAAbgBvAHQAIABzAHAAZQBjAGkAZgBpAGUAZABcACIALABcACIAQgBpAHUAcgBlAHQAIAAoAGkAbQBwAHUAcgBpAHQAeQApAFwAIgAsADAALgAwADEAN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RwBsAHkAdAByAGUAbAAgAFoAbgBQAFwAIgAsAFwAIgBMAFwAIgAsADEALgAzADUANAAsAFwAIgBQAGgAbwBzAHAAaABvAHIAdQBzACAALQAgAEcAZQBuAGUAcgBpAGMAXAAiACwAMAAuADAANAA0ACwAXAAiAEwAbwBjAGEAdABpAG8AbgAgAG4AbwB0ACAAcwBwAGUAYwBpAGYAaQBlAGQAXAAiACwAXAAiAFoAaQBuAGMAIAAtACAARwBlAG4AZQByAGkAYwBcACIALAAwAC4AMQ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RwBvAGwAZAAgAFAAcgBlAG0AaQB1AG0AXAAiACwAXAAiAGsAZwBcACIALAAxACwAXAAiAFAAbwB0AGEAcwBzAGkAdQBtACAALQAgAEcAZQBuAGUAcgBpAGMAXAAiACwAMAAuADEANgA2ACwAXAAiAEwAbwBjAGEAdABpAG8AbgAgAG4AbwB0ACAAcwBwAGUAYwBpAGYAaQBlAGQAXAAiACwAXAAiAE4AaQB0AHIAbwBnAGUAbgAgAC0AIABBAG0AbQBvAG4AaQBhAGMAYQBsAFwAIgAsADAALgAxADUALABcACIATABvAGMAYQB0AGkAbwBuACAAbgBvAHQAIABzAHAAZQBjAGkAZgBpAGUAZABcACIALABcACIAUwB1AGwAZgB1AHIAIAAtACAARwBlAG4AZQByAGkAYwBcACIALAAwAC4AOAAsAFwAIgBMAG8AYwBhAHQAaQBvAG4AIABuAG8AdAAgAHMAcABlAGMAaQBmAGkAZQBkAFwAIgAsAFwAIgBQAGgAbwBzAHAAaABvAHIAdQBzACAALQAgAEcAZQBuAGUAcgBpAGMAXAAiACwAMAAuADAAMgAyACwAXAAiAEwAbwBjAGEAdABpAG8AbgAgAG4AbwB0ACAAcwBwAGUAYwBpAGYAaQBlAGQAXAAiACwAXAAiAE0AYQBnAG4AZQBzAGkAdQBtACAALQAgAGcAZQBuAGUAcgBpAGMAXAAiACwAMAAuADAAMQAyACwAXAAiAEwAbwBjAGEAdABpAG8AbgAgAG4AbwB0ACAAcwBwAGUAYwBpAGYAaQBlAGQAXAAiACwAXAAiAEIAbwByAG8AbgAgAC0AIABnAGUAbgBlAHIAaQBjAFwAIgAsADAALgAwADAAMAAyACwAXAAiAEwAbwBjAGEAdABpAG8AbgAgAG4AbwB0ACAAcwBwAGUAYwBpAGYAaQBlAGQAXAAiACwAXAAiAFoAaQBuAGMAIAAtACAARwBlAG4AZQByAGkAYwBcACIALAAwAC4AMAAwADAAMQAsAFwAIgBMAG8AYwBhAHQAaQBvAG4AIABuAG8AdAAgAHMAcABlAGMAaQBmAGkAZQBkAFwAIgAsAFwAIgBcACIALABcACIAXAAiACwAXAAiAFwAIgAsAFwAIgBcACIALABcACIAXAAiACwAXAAiAFwAIgAsAFwAIgBcACIALABcACIAXAAiACwAXAAiAFwAIgA7AFwAbgBcACIARwByAGEAbgB1AC0ASwBcACIALABcACIAawBnAFwAIgAsADEALABcACIAUABvAHQAYQBzAHMAaQB1AG0AIAAtACAARwBlAG4AZQByAGkAYwBcACIALAAwAC4ANAAxADgALABcACIATABvAGMAYQB0AGkAbwBuACAAbgBvAHQAIABzAHAAZQBjAGkAZgBpAGUAZABcACIALABcACIAUABvAHQAYQBzAHMAaQB1AG0AIAAtACAARwBlAG4AZQByAGkAYwBcACIALAAwAC4AMQA3ADU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EcAcgBhAG4AdQAtAEsAIABQAHIAZQBtAGkAdQBtAFwAIgAsAFwAIgBrAGcAXAAiACwAMQAsAFwAIgBQAG8AdABhAHMAcwBpAHUAbQAgAC0AIABHAGUAbgBlAHIAaQBjAFwAIgAsADAALgA0ADEANQAsAFwAIgBMAG8AYwBhAHQAaQBvAG4AIABuAG8AdAAgAHMAcABlAGMAaQBmAGkAZQBkAFwAIgAsAFwAIgBTAHUAbABmAHUAcgAgAC0AIABHAGUAbgBlAHIAaQBjAFwAIgAsADAALgAxADc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EgAaQBnAGgAIABOAFMAXAAiACwAXAAiAEwAXAAiACwAMQAuADIAOQA5ACwAXAAiAE4AaQB0AHIAbwBnAGUAbgAgAC0AIABHAGUAbgBlAHIAaQBjAFwAIgAsADAALgAyADEAMgAsAFwAIgBMAG8AYwBhAHQAaQBvAG4AIABuAG8AdAAgAHMAcABlAGMAaQBmAGkAZQBkAFwAIgAsAFwAIgBOAGkAdAByAG8AZwBlAG4AIAAtACAAQQBtAG0AbwBuAGkAYQBjAGEAbABcACIALAAwAC4AMAA5ADIALABcACIATABvAGMAYQB0AGkAbwBuACAAbgBvAHQAIABzAHAAZQBjAGkAZgBpAGUAZABcACIALABcACIATgBpAHQAcgBvAGcAZQBuACAAZgByAG8AbQAgAE4AaQB0AHIAYQB0AGUAXAAiACwAMAAuADAANwA2ACwAXAAiAEwAbwBjAGEAdABpAG8AbgAgAG4AbwB0ACAAcwBwAGUAYwBpAGYAaQBlAGQAXAAiACwAXAAiAFMAdQBsAGYAdQByACAALQAgAEcAZQBuAGUAcgBpAGMAXAAiACwAMAAuADAAMg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7AFwAbgBcACIASQBuACAAQwByAG8AcABcACIALABcACIATABcACIALAAxAC4AMgAsAFwAIgBQAG8AdABhAHMAcwBpAHUAbQAgAC0AIABHAGUAbgBlAHIAaQBjAFwAIgAsADAALgAxADEALABcACIATABvAGMAYQB0AGkAbwBuACAAbgBvAHQAIABzAHAAZQBjAGkAZgBpAGUAZABcACIALABcACIATgBpAHQAcgBvAGcAZQBuACAALQAgAEcAZQBuAGUAcgBpAGMAXAAiACwAMAAuADEALABcACIATABvAGMAYQB0AGkAbwBuACAAbgBvAHQAIABzAHAAZQBjAGkAZgBpAGUAZABcACIALABcACIAUABoAG8AcwBwAGgAbwByAHUAcwAgAC0AIABHAGUAbgBlAHIAaQBjAFwAIgAsADAALgAwADE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EsAMgAwAFwAIgAsAFwAIgBMAFwAIgAsADEALgAzACwAXAAiAFAAbwB0AGEAcwBzAGkAdQBtACAALQAgAEcAZQBuAGUAcgBpAGMAXAAiACwAMAAuADIAMgAsAFwAIgBMAG8AYwBhAHQAaQBvAG4AIABuAG8AdAAgAHMAcABlAGMAaQBmAGkAZQBkAFwAIgAsAFwAIgBOAGkAdAByAG8AZwBlAG4AIAAtACAARwBlAG4AZQByAGkAYwBcACIALAAwAC4AMAAz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NAEEAUAAgAEkAbQBwAGEAYwB0AFwAIgAsAFwAIgBrAGcAXAAiACwAMQAsAFwAIgBOAGkAdAByAG8AZwBlAG4AIAAtACAAQQBtAG0AbwBuAGkAYQBjAGEAbABcACIALAAwAC4AMQAsAFwAIgBMAG8AYwBhAHQAaQBvAG4AIABuAG8AdAAgAHMAcABlAGMAaQBmAGkAZQBkAFwAIgAsAFwAIgBQAGgAbwBzAHAAaABvAHIAdQBzACAALQAgAEcAZQBuAGUAcgBpAGMAXAAiACwAMAAuADIAMQA5ACwAXAAiAEwAbwBjAGEAdABpAG8AbgAgAG4AbwB0ACAAcwBwAGUAYwBpAGYAaQBlAGQAXAAiACwAXAAiAFMAdQBsAGYAdQByACAALQAgAEcAZQBuAGUAcgBpAGMAXAAiACwAMQAuADU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E0AQQBQACAATgBVAFQAVQBSAEYAXAAiACwAXAAiAGsAZwBcACIALAAxACwAXAAiAE4AaQB0AHIAbwBnAGUAbgAgAC0AIABBAG0AbQBvAG4AaQBhAGMAYQBsAFwAIgAsADAALgAxADIALABcACIATABvAGMAYQB0AGkAbwBuACAAbgBvAHQAIABzAHAAZQBjAGkAZgBpAGUAZABcACIALABcACIAUABoAG8AcwBwAGgAbwByAHUAcwAgAC0AIABHAGUAbgBlAHIAaQBjAFwAIgAsADAALgAyADc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E0AYQB4AGkAbQB1AG0AIABOAC0AUABhAGMAdAAgADIAOQAtADAALQAwAFwAIgAsAFwAIgBMAFwAIgAsADEALgAyACwAXAAiAE4AaQB0AHIAbwBnAGUAbgAgAC0AIABHAGUAbgBlAHIAaQBjAFwAIgAsADAALgAxADkANAAzACwAXAAiAEwAbwBjAGEAdABpAG8AbgAgAG4AbwB0ACAAcwBwAGUAYwBpAGYAaQBlAGQAXAAiACwAXAAiAE4AaQB0AHIAbwBnAGUAbgAgAC0AIABHAGUAbgBlAHIAaQBjAFwAIgAsADAALgAwADkANQA3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OAGkAdAByAG8AIAAtAEsAIABQAHIAaQBsAGwAcwBcACIALABcACIAawBnAFwAIgAsADEALABcACIAUABvAHQAYQBzAHMAaQB1AG0AIAAtACAARwBlAG4AZQByAGkAYwBcACIALAAwAC4AMwA3ADQALABcACIATABvAGMAYQB0AGkAbwBuACAAbgBvAHQAIABzAHAAZQBjAGkAZgBpAGUAZABcACIALABcACIATgBpAHQAcgBvAGcAZQBuACAAZgByAG8AbQAgAE4AaQB0AHIAYQB0AGUAXAAiACwAMAAuADEAMwA2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OAGkAdAByAG8ALQBQAFwAIgAsAFwAIgBMAFwAIgAsADEALgA0ADQALABcACIAUABoAG8AcwBwAGgAbwByAHUAcwAgAC0AIABHAGUAbgBlAHIAaQBjAFwAIgAsADAALgAyADMAMwAsAFwAIgBMAG8AYwBhAHQAaQBvAG4AIABuAG8AdAAgAHMAcABlAGMAaQBmAGkAZQBkAFwAIgAsAFwAIgBOAGkAdAByAG8AZwBlAG4AIAAtACAARwBlAG4AZQByAGkAYwBcACIALAAwAC4AMQA1ADg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AAYQBzAHQAdQByAGUAIABNAEEAWABYAFwAIgAsAFwAIgBMAFwAIgAsADEALgAyADMALABcACIATgBpAHQAcgBvAGcAZQBuACAALQAgAEcAZQBuAGUAcgBpAGMAXAAiACwAMAAuADAAOQA3ADEALABcACIATABvAGMAYQB0AGkAbwBuACAAbgBvAHQAIABzAHAAZQBjAGkAZgBpAGUAZABcACIALABcACIAUABvAHQAYQBzAHMAaQB1AG0AIAAtACAARwBlAG4AZQByAGkAYwBcACIALAAwAC4AMAAzADIANQAsAFwAIgBMAG8AYwBhAHQAaQBvAG4AIABuAG8AdAAgAHMAcABlAGMAaQBmAGkAZQBkAFwAIgAsAFwAIgBTAHUAbABmAHUAcgAgAC0AIABHAGUAbgBlAHIAaQBjAFwAIgAsADAALgAwADIAMQAxACwAXAAiAEwAbwBjAGEAdABpAG8AbgAgAG4AbwB0ACAAcwBwAGUAYwBpAGYAaQBlAGQAXAAiACwAXAAiAFoAaQBuAGMAIAAtACAARwBlAG4AZQByAGkAYwBcACIALAAwAC4AMAAxADUALABcACIATABvAGMAYQB0AGkAbwBuACAAbgBvAHQAIABzAHAAZQBjAGkAZgBpAGUAZABcACIALABcACIATQBhAGcAbgBlAHMAaQB1AG0AIAAtACAAZwBlAG4AZQByAGkAYwBcACIALAAwAC4AMAAxADEANQAsAFwAIgBMAG8AYwBhAHQAaQBvAG4AIABuAG8AdAAgAHMAcABlAGMAaQBmAGkAZQBkAFwAIgAsAFwAIgBJAHIAbwBuACAALQAgAGcAZQBuAGUAcgBpAGMAXAAiACwAMAAuADAAMQAxADEALABcACIATABvAGMAYQB0AGkAbwBuACAAbgBvAHQAIABzAHAAZQBjAGkAZgBpAGUAZABcACIALABcACIATQBhAGcAbgBlAHMAaQB1AG0AIAAtACAAZwBlAG4AZQByAGkAYwBcACIALAAwAC4AMAAwADQANQAsAFwAIgBMAG8AYwBhAHQAaQBvAG4AIABuAG8AdAAgAHMAcABlAGMAaQBmAGkAZQBkAFwAIgAsAFwAIgBCAG8AcgBvAG4AIAAtACAAZwBlAG4AZQByAGkAYwBcACIALAAwAC4AMAAwADIALABcACIATABvAGMAYQB0AGkAbwBuACAAbgBvAHQAIABzAHAAZQBjAGkAZgBpAGUAZABcACIALABcACIAXAAiACwAXAAiAFwAIgAsAFwAIgBcACIALABcACIAXAAiACwAXAAiAFwAIgAsAFwAIgBcACIAOwBcAG4AXAAiAFAAbABhAHQAaQBuAHUAbQAgAG4AZQByAGcAZQB0AGkAYwBcACIALABcACIAawBnAFwAIgAsADEALABcACIAUABoAG8AcwBwAGgAbwByAHUAcwAgAC0AIABHAGUAbgBlAHIAaQBjAFwAIgAsADAALgAxADAAOQAsAFwAIgBMAG8AYwBhAHQAaQBvAG4AIABuAG8AdAAgAHMAcABlAGMAaQBmAGkAZQBkAFwAIgAsAFwAIgBOAGkAdAByAG8AZwBlAG4AIAAtACAARwBlAG4AZQByAGkAYwBcACIALAAwAC4AMQAsAFwAIgBMAG8AYwBhAHQAaQBvAG4AIABuAG8AdAAgAHMAcABlAGMAaQBmAGkAZQBkAFwAIgAsAFwAIgBQAG8AdABhAHMAcwBpAHUAbQAgAC0AIABHAGUAbgBlAHIAaQBjAFwAIgAsADAALgAxACwAXAAiAEwAbwBjAGEAdABpAG8AbgAgAG4AbwB0ACAAcwBwAGUAYwBpAGYAaQBlAGQAXAAiACwAXAAiAFMAdQBsAGYAdQByACAALQAgAEcAZQBuAGUAcgBpAGMAXAAiACwAMAAuADAANAAsAFwAIgBMAG8AYwBhAHQAaQBvAG4AIABuAG8AdAAgAHMAcABlAGMAaQBmAGkAZQBkAFwAIgAsAFwAIgBDAGEAbABjAGkAdQBtACAALQAgAGcAZQBuAGUAcgBpAGMAXAAiACwAMAAuADAAMQA0ACwAXAAiAEwAbwBjAGEAdABpAG8AbgAgAG4AbwB0ACAAcwBwAGUAYwBpAGYAaQBlAGQAXAAiACwAXAAiAE0AYQBnAG4AZQBzAGkAdQBtACAALQAgAGcAZQBuAGUAcgBpAGMAXAAiACwAMAAuADAAMQAyACwAXAAiAEwAbwBjAGEAdABpAG8AbgAgAG4AbwB0ACAAcwBwAGUAYwBpAGYAaQBlAGQAXAAiACwAXAAiAFoAaQBuAGMAIAAtACAARwBlAG4AZQByAGkAYwBcACIALAAwAC4AMAAwADMANgAsAFwAIgBMAG8AYwBhAHQAaQBvAG4AIABuAG8AdAAgAHMAcABlAGMAaQBmAGkAZQBkAFwAIgAsAFwAIgBCAG8AcgBvAG4AIAAtACAAZwBlAG4AZQByAGkAYwBcACIALAAwAC4AMAAwADEALABcACIAXAAiACwAXAAiAFwAIgAsAFwAIgBcACIALABcACIAXAAiACwAXAAiAFwAIgAsAFwAIgBcACIALABcACIAXAAiADsAXABuAFwAIgBQAG8AbAB5AHAAZQBwAHQAaQBkAGUAIABVAHIAZQBhAFwAIgAsAFwAIgBrAGcAXAAiACwAMQAsAFwAIgBOAGkAdAByAG8AZwBlAG4AIAAtACAARwBlAG4AZQByAGkAYwBcACIALAAwAC4ANAA2ACwAXAAiAEMAaABpAG4AY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EAdQBpAGMAawAtAE4AXAAiACwAXAAiAGsAZwBcACIALAAxACwAXAAiAE4AaQB0AHIAbwBnAGUAbgAgAC0AIABHAGUAbgBlAHIAaQBjAFwAIgAsADAALgAyADYALABcACIATABvAGMAYQB0AGkAbwBuACAAbgBvAHQAIABzAHAAZQBjAGkAZgBpAGUAZABcACIALABcACIAUwB1AGwAZgB1AHIAIAAtACAARwBlAG4AZQByAGkAYwBcACIALAAwAC4AMQAz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RAHUAaQBjAGsALQBOACAATgBlAHIAZwBlAHQAaQBjAFwAIgAsAFwAIgBrAGcAXAAiACwAMQAsAFwAIgBOAGkAdAByAG8AZwBlAG4AIAAtACAARwBlAG4AZQByAGkAYwBcACIALAAwAC4AMgA1ACwAXAAiAEwAbwBjAGEAdABpAG8AbgAgAG4AbwB0ACAAcwBwAGUAYwBpAGYAaQBlAGQAXAAiACwAXAAiAFMAdQBsAGYAdQByACAALQAgAEcAZQBuAGUAcgBpAGMAXAAiACwAMAAuADEAMgA4ACwAXAAiAEwAbwBjAGEAdABpAG8AbgAgAG4AbwB0ACAAcwBwAGUAYwBpAGYAaQBlAGQAXAAiACwAXAAiAE0AYQBuAGcAYQBuAGUAcwBlACAALQAgAEcAZQBuAGUAcgBpAGMAXAAiACwAMAAuADAAMAAxACwAXAAiAEwAbwBjAGEAdABpAG8AbgAgAG4AbwB0ACAAcwBwAGUAYwBpAGYAaQBlAGQAXAAiACwAXAAiAFoAaQBuAGMAIAAtACAARwBlAG4AZQByAGkAYwBcACIALAAwAC4AMAAwADEALABcACIATABvAGMAYQB0AGkAbwBuACAAbgBvAHQAIABzAHAAZQBjAGkAZgBpAGUAZABcACIALABcACIAQgBvAHIAbwBuACAALQAgAGcAZQBuAGUAcgBpAGMAXAAiACwAMAAuADAAMAAwADEALABcACIATABvAGMAYQB0AGkAbwBuACAAbgBvAHQAIABzAHAAZQBjAGkAZgBpAGUAZABcACIALABcACIATQBvAGwAeQBiAGQAZQBuAHUAbQBcACIALAAwAC4AMAAwADAAMAAxACwAXAAiAEwAbwBjAGEAdABpAG8AbgAgAG4AbwB0ACAAcwBwAGUAYwBpAGYAaQBlAGQAXAAiACwAXAAiAFwAIgAsAFwAIgBcACIALABcACIAXAAiACwAXAAiAFwAIgAsAFwAIgBcACIALABcACIAXAAiACwAXAAiAFwAIgAsAFwAIgBcACIALABcACIAXAAiACwAXAAiAFwAIgAsAFwAIgBcACIALABcACIAXAAiAFwAbgAgACAAfQAsACAAcgAsACAAYwApAFwAbgApACkAKQA7AFwAbgBcAG4ARgBlAHIAdABpAGwAaQBzAGUAcgBfAFAAcgBvAGQAdQBjAHQAcwBfAEQAYQB0AGEAMwBcAG4APQBMAEEATQBCAEQAQQAoAFwAbgAgAE0AQQBLAEUAQQBSAFIAQQBZACgAMgAwACwAIAAzADMALABcAG4AIABMAEEATQBCAEQAQQAoAHIALABjACwAXABuACAAIABJAE4ARABFAFgAKAB7AFwAbgBcACIAUgB1AHMAdABpAGMAYQAgAE4AZQByAGcAZQB0AGkAYwBcACIALABcACIAawBnAFwAIgAsADEALABcACIAUABvAHQAYQBzAHMAaQB1AG0AIAAtACAARwBlAG4AZQByAGkAYwBcACIALAAwAC4AMQA0ADEALABcACIATABvAGMAYQB0AGkAbwBuACAAbgBvAHQAIABzAHAAZQBjAGkAZgBpAGUAZABcACIALABcACIATgBpAHQAcgBvAGcAZQBuACAALQAgAEcAZQBuAGUAcgBpAGMAXAAiACwAMAAuADEAMgAsAFwAIgBMAG8AYwBhAHQAaQBvAG4AIABuAG8AdAAgAHMAcABlAGMAaQBmAGkAZQBkAFwAIgAsAFwAIgBTAHUAbABmAHUAcgAgAC0AIABHAGUAbgBlAHIAaQBjAFwAIgAsADAALgAwADkANgAsAFwAIgBMAG8AYwBhAHQAaQBvAG4AIABuAG8AdAAgAHMAcABlAGMAaQBmAGkAZQBkAFwAIgAsAFwAIgBQAGgAbwBzAHAAaABvAHIAdQBzACAALQAgAEcAZQBuAGUAcgBpAGMAXAAiACwAMAAuADAANQAyACwAXAAiAEwAbwBjAGEAdABpAG8AbgAgAG4AbwB0ACAAcwBwAGUAYwBpAGYAaQBlAGQAXAAiACwAXAAiAE0AYQBnAG4AZQBzAGkAdQBtACAALQAgAGcAZQBuAGUAcgBpAGMAXAAiACwAMAAuADAAMQAyACwAXAAiAEwAbwBjAGEAdABpAG8AbgAgAG4AbwB0ACAAcwBwAGUAYwBpAGYAaQBlAGQAXAAiACwAXAAiAFoAaQBuAGMAIAAtACAARwBlAG4AZQByAGkAYwBcACIALAAwAC4AMAAwADAAOAAsAFwAIgBMAG8AYwBhAHQAaQBvAG4AIABuAG8AdAAgAHMAcABlAGMAaQBmAGkAZQBkAFwAIgAsAFwAIgBJAHIAbwBuACAALQAgAGcAZQBuAGUAcgBpAGMAXAAiACwAMAAuADAAMAAwADcALABcACIATABvAGMAYQB0AGkAbwBuACAAbgBvAHQAIABzAHAAZQBjAGkAZgBpAGUAZABcACIALABcACIATQBhAG4AZwBhAG4AZQBzAGUAIAAtACAARwBlAG4AZQByAGkAYwBcACIALAAwAC4AMAAwADAANgAsAFwAIgBMAG8AYwBhAHQAaQBvAG4AIABuAG8AdAAgAHMAcABlAGMAaQBmAGkAZQBkAFwAIgAsAFwAIgBCAG8AcgBvAG4AIAAtACAAZwBlAG4AZQByAGkAYwBcACIALAAwAC4AMAAwADAAMgAsAFwAIgBMAG8AYwBhAHQAaQBvAG4AIABuAG8AdAAgAHMAcABlAGMAaQBmAGkAZQBkAFwAIgAsAFwAIgBcACIALABcACIAXAAiACwAXAAiAFwAIgA7AFwAbgBcACIAUwBFAFQAbgBTAEkAWgBFAFwAIgAsAFwAIgBMAFwAIgAsADEALgAzACwAXAAiAFAAbwB0AGEAcwBzAGkAdQBtACAALQAgAEcAZQBuAGUAcgBpAGMAXAAiACwAMAAuADAANwA5ADIALABcACIATABvAGMAYQB0AGkAbwBuACAAbgBvAHQAIABzAHAAZQBjAGkAZgBpAGUAZABcACIALABcACIAUABoAG8AcwBwAGgAbwByAHUAcwAgAC0AIABHAGUAbgBlAHIAaQBjAFwAIgAsADAALgAwADYAMAA1ACwAXAAiAEwAbwBjAGEAdABpAG8AbgAgAG4AbwB0ACAAcwBwAGUAYwBpAGYAaQBlAGQAXAAiACwAXAAiAE4AaQB0AHIAbwBnAGUAbgAgAC0AIABHAGUAbgBlAHIAaQBjAFwAIgAsADAALgAwADEAMAA4ACwAXAAiAEwAbwBjAGEAdABpAG8AbgAgAG4AbwB0ACAAcwBwAGUAYwBpAGYAaQBlAGQAXAAiACwAXAAiAFoAaQBuAGMAIAAtACAARwBlAG4AZQByAGkAYwBcACIALAAwAC4AMAAxADAANwAsAFwAIgBMAG8AYwBhAHQAaQBvAG4AIABuAG8AdAAgAHMAcABlAGMAaQBmAGkAZQBkAFwAIgAsAFwAIgBNAGEAZwBuAGUAcwBpAHUAbQAgAC0AIABnAGUAbgBlAHIAaQBjAFwAIgAsADAALgAwADEAMAA0ACwAXAAiAEwAbwBjAGEAdABpAG8AbgAgAG4AbwB0ACAAcwBwAGUAYwBpAGYAaQBlAGQAXAAiACwAXAAiAE0AYQBuAGcAYQBuAGUAcwBlACAALQAgAEcAZQBuAGUAcgBpAGMAXAAiACwAMAAuADAAMAA3ADUALABcACIATABvAGMAYQB0AGkAbwBuACAAbgBvAHQAIABzAHAAZQBjAGkAZgBpAGUAZABcACIALABcACIAUwB1AGwAZgB1AHIAIAAtACAARwBlAG4AZQByAGkAYwBcACIALAAwAC4AMAAwADUANAAsAFwAIgBMAG8AYwBhAHQAaQBvAG4AIABuAG8AdAAgAHMAcABlAGMAaQBmAGkAZQBkAFwAIgAsAFwAIgBDAG8AYgBhAGwAdAAgAC0AIABnAGUAbgBlAHIAaQBjAFwAIgAsADAALgAwADAAMQA4ACwAXAAiAEwAbwBjAGEAdABpAG8AbgAgAG4AbwB0ACAAcwBwAGUAYwBpAGYAaQBlAGQAXAAiACwAXAAiAEkAcgBvAG4AIAAtACAAZwBlAG4AZQByAGkAYwBcACIALAAwAC4AMAAwADEANQAsAFwAIgBMAG8AYwBhAHQAaQBvAG4AIABuAG8AdAAgAHMAcABlAGMAaQBmAGkAZQBkAFwAIgAsAFwAIgBDAG8AcABwAGUAcgAgAC0AIABnAGUAbgBlAHIAaQBjAFwAIgAsADAALgAwADAAMQAxACwAXAAiAEwAbwBjAGEAdABpAG8AbgAgAG4AbwB0ACAAcwBwAGUAYwBpAGYAaQBlAGQAXAAiADsAXABuAFwAIgBTAE8AQQBcACIALABcACIAawBnAFwAIgAsADEALABcACIATgBpAHQAcgBvAGcAZQBuACAALQAgAEEAbQBtAG8AbgBpAGEAYwBhAGwAXAAiACwAMAAuADIAMQAsAFwAIgBMAG8AYwBhAHQAaQBvAG4AIABuAG8AdAAgAHMAcABlAGMAaQBmAGkAZQBkAFwAIgAsAFwAIgBTAHUAbABmAHUAcgAgAC0AIABHAGUAbgBlAHIAaQBjAFwAIgAsADAALgAyADQ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MAbwBsAHUALQBNAEEAUABcACIALABcACIAawBnAFwAIgAsADEALABcACIAUABoAG8AcwBwAGgAbwByAHUAcwAgAC0AIABHAGUAbgBlAHIAaQBjAFwAIgAsADAALgAyADYANgAsAFwAIgBMAG8AYwBhAHQAaQBvAG4AIABuAG8AdAAgAHMAcABlAGMAaQBmAGkAZQBkAFwAIgAsAFwAIgBOAGkAdAByAG8AZwBlAG4AIAAtACAAQQBtAG0AbwBuAGkAYQBjAGEAbABcACIALAAwAC4AMQAy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TAG8AbAB1AC0ATQBLAFAAXAAiACwAXAAiAGsAZwBcACIALAAxACwAXAAiAFAAaABvAHMAcABoAG8AcgB1AHMAIAAtACAARwBlAG4AZQByAGkAYwBcACIALAAwAC4AMgAyADcALABcACIATABvAGMAYQB0AGkAbwBuACAAbgBvAHQAIABzAHAAZQBjAGkAZgBpAGUAZABcACIALABcACIAUABvAHQAYQBzAHMAaQB1AG0AIAAtACAARwBlAG4AZQByAGkAYwBcACIALAAwAC4AMgA4ADU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MAbwBsAHUALQBTAGEAbQBcACIALABcACIAawBnAFwAIgAsADEALABcACIATgBpAHQAcgBvAGcAZQBuACAALQAgAEEAbQBtAG8AbgBpAGEAYwBhAGwAXAAiACwAMAAuADIAMAA4ACwAXAAiAEwAbwBjAGEAdABpAG8AbgAgAG4AbwB0ACAAcwBwAGUAYwBpAGYAaQBlAGQAXAAiACwAXAAiAFMAdQBsAGYAdQByACAALQAgAEcAZQBuAGUAcgBpAGMAXAAiACwAMAAuADIAMwA4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TAG8AbAB1AC0AWgBpAG4AYwBcACIALABcACIAawBnAFwAIgAsADEALABcACIAWgBpAG4AYwAgAC0AIABHAGUAbgBlAHIAaQBjAFwAIgAsADAALgAyADEALABcACIATABvAGMAYQB0AGkAbwBuACAAbgBvAHQAIABzAHAAZQBjAGkAZgBpAGUAZABcACIALABcACIAUwB1AGwAZgB1AHIAIAAtACAARwBlAG4AZQByAGkAYwBcACIALAAwAC4AMQAwADU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QAaABpAG8ALQBLAFwAIgAsAFwAIgBMAFwAIgAsADEALgA0ADcALABcACIAUABvAHQAYQBzAHMAaQB1AG0AIAAtACAARwBlAG4AZQByAGkAYwBcACIALAAwAC4AMwAsAFwAIgBMAG8AYwBhAHQAaQBvAG4AIABuAG8AdAAgAHMAcABlAGMAaQBmAGkAZQBkAFwAIgAsAFwAIgBTAHUAbABmAHUAcgAgAC0AIABHAGUAbgBlAHIAaQBjAFwAIgAsADAALgAyADU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QAaABpAG8ALQBOAFwAIgAsAFwAIgBMAFwAIgAsADEALgAzADIALABcACIATgBpAHQAcgBvAGcAZQBuACAALQAgAEcAZQBuAGUAcgBpAGMAXAAiACwAMAAuADMANwAyACwAXAAiAEwAbwBjAGEAdABpAG8AbgAgAG4AbwB0ACAAcwBwAGUAYwBpAGYAaQBlAGQAXAAiACwAXAAiAFMAdQBsAGYAdQByACAALQAgAEcAZQBuAGUAcgBpAGMAXAAiACwAMAAuADAANw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VABoAGkAbwAtAE4AIABQAGwAdQBzAFwAIgAsAFwAIgBMAFwAIgAsADEALgAzADIALABcACIATgBpAHQAcgBvAGcAZQBuACAALQAgAEcAZQBuAGUAcgBpAGMAXAAiACwAMAAuADMANgA0ACwAXAAiAEwAbwBjAGEAdABpAG8AbgAgAG4AbwB0ACAAcwBwAGUAYwBpAGYAaQBlAGQAXAAiACwAXAAiAFMAdQBsAGYAdQByACAALQAgAEcAZQBuAGUAcgBpAGMAXAAiACwAMAAuADAANw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VABoAGkAbwAtAFMAdQBsAFwAIgAsAFwAIgBMAFwAIgAsADEALgAzADUALABcACIAUwB1AGwAZgB1AHIAIAAtACAARwBlAG4AZQByAGkAYwBcACIALAAwAC4AMwA1ACwAXAAiAEwAbwBjAGEAdABpAG8AbgAgAG4AbwB0ACAAcwBwAGUAYwBpAGYAaQBlAGQAXAAiACwAXAAiAE4AaQB0AHIAbwBnAGUAbgAgAC0AIABBAG0AbQBvAG4AaQBhAGMAYQBsAFwAIgAsADAALgAxADY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UAQQBTAFwAIgAsAFwAIgBMAFwAIgAsADEALgAyADMANQAsAFwAIgBOAGkAdAByAG8AZwBlAG4AIAAtACAARwBlAG4AZQByAGkAYwBcACIALAAwAC4AMgAwADkALABcACIATABvAGMAYQB0AGkAbwBuACAAbgBvAHQAIABzAHAAZQBjAGkAZgBpAGUAZABcACIALABcACIAUwB1AGwAZgB1AHIAIAAtACAARwBlAG4AZQByAGkAYwBcACIALAAwAC4AMAA2ADcALABcACIATABvAGMAYQB0AGkAbwBuACAAbgBvAHQAIABzAHAAZQBjAGkAZgBpAGUAZABcACIALABcACIATgBpAHQAcgBvAGcAZQBuACAALQAgAEEAbQBtAG8AbgBpAGEAYwBhAGwAXAAiACwAMAAuADAANQA3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ZAGEAcgBhACAATABpAHEAdQBpAGQAcwAgAE4ALQBGAE8ATAAgADIANAArAFQARQBcACIALABcACIAawBnAFwAIgAsADEALABcACIATgBpAHQAcgBvAGcAZQBuACAALQAgAEcAZQBuAGUAcgBpAGMAXAAiACwAMAAuADEAOQAsAFwAIgBMAG8AYwBhAHQAaQBvAG4AIABuAG8AdAAgAHMAcABlAGMAaQBmAGkAZQBkAFwAIgAsAFwAIgBQAG8AdABhAHMAcwBpAHUAbQAgAC0AIABHAGUAbgBlAHIAaQBjAFwAIgAsADAALgAxADYANgAsAFwAIgBMAG8AYwBhAHQAaQBvAG4AIABuAG8AdAAgAHMAcABlAGMAaQBmAGkAZQBkAFwAIgAsAFwAIgBTAHUAbABmAHUAcgAgAC0AIABHAGUAbgBlAHIAaQBjAFwAIgAsADAALgAwADMALABcACIATABvAGMAYQB0AGkAbwBuACAAbgBvAHQAIABzAHAAZQBjAGkAZgBpAGUAZABcACIALABcACIAUABoAG8AcwBwAGgAbwByAHUAcwAgAC0AIABHAGUAbgBlAHIAaQBjAFwAIgAsADAALgAwADIANgAsAFwAIgBMAG8AYwBhAHQAaQBvAG4AIABuAG8AdAAgAHMAcABlAGMAaQBmAGkAZQBkAFwAIgAsAFwAIgBNAGEAZwBuAGUAcwBpAHUAbQAgAC0AIABnAGUAbgBlAHIAaQBjAFwAIgAsADAALgAwADEAOAAsAFwAIgBMAG8AYwBhAHQAaQBvAG4AIABuAG8AdAAgAHMAcABlAGMAaQBmAGkAZQBkAFwAIgAsAFwAIgBJAHIAbwBuACAALQAgAGcAZQBuAGUAcgBpAGMAXAAiACwAMAAuADAAMAAwADcALABcACIATABvAGMAYQB0AGkAbwBuACAAbgBvAHQAIABzAHAAZQBjAGkAZgBpAGUAZABcACIALABcACIATQBhAG4AZwBhAG4AZQBzAGUAIAAtACAARwBlAG4AZQByAGkAYwBcACIALAAwAC4AMAAwADAANAAsAFwAIgBMAG8AYwBhAHQAaQBvAG4AIABuAG8AdAAgAHMAcABlAGMAaQBmAGkAZQBkAFwAIgAsAFwAIgBCAG8AcgBvAG4AIAAtACAAZwBlAG4AZQByAGkAYwBcACIALAAwAC4AMAAwADAAMgA1ACwAXAAiAEwAbwBjAGEAdABpAG8AbgAgAG4AbwB0ACAAcwBwAGUAYwBpAGYAaQBlAGQAXAAiACwAXAAiAFoAaQBuAGMAIAAtACAARwBlAG4AZQByAGkAYwBcACIALAAwAC4AMAAwADAAMgA1ACwAXAAiAEwAbwBjAGEAdABpAG8AbgAgAG4AbwB0ACAAcwBwAGUAYwBpAGYAaQBlAGQAXAAiACwAXAAiAEMAbwBwAHAAZQByACAALQAgAGcAZQBuAGUAcgBpAGMAXAAiACwAMAAuADAAMAAwADEALABcACIATABvAGMAYQB0AGkAbwBuACAAbgBvAHQAIABzAHAAZQBjAGkAZgBpAGUAZABcACIAOwBcAG4AXAAiAFkAYQByAGEAIABVAG4AaQBrAGEAIABQAGwAdQBzAFwAIgAsAFwAIgBrAGcAXAAiACwAMQAsAFwAIgBQAG8AdABhAHMAcwBpAHUAbQAgAC0AIABHAGUAbgBlAHIAaQBjAFwAIgAsADAALgAzADgAMgAsAFwAIgBMAG8AYwBhAHQAaQBvAG4AIABuAG8AdAAgAHMAcABlAGMAaQBmAGkAZQBkAFwAIgAsAFwAIgBOAGkAdAByAG8AZwBlAG4AIAAtACAARwBlAG4AZQByAGkAYwBcACIALAAwAC4AMQAyACwAXAAiAEwAbwBjAGEAdABpAG8AbgAgAG4AbwB0ACAAcwBwAGUAYwBpAGYAaQBlAGQAXAAiACwAXAAiAFMAdQBsAGYAdQByACAALQAgAEcAZQBuAGUAcgBpAGMAXAAiACwAMAAuADAAMAA3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ZAGEAcgBhAE0AaQBsAGEAIAAyADEALQA3AC0AMwAoADQAKQBcACIALABcACIAawBnAFwAIgAsADEALABcACIATgBpAHQAcgBvAGcAZQBuACAALQAgAEcAZQBuAGUAcgBpAGMAXAAiACwAMAAuADIAMQAsAFwAIgBMAG8AYwBhAHQAaQBvAG4AIABuAG8AdAAgAHMAcABlAGMAaQBmAGkAZQBkAFwAIgAsAFwAIgBQAGgAbwBzAHAAaABvAHIAdQBzACAALQAgAEcAZQBuAGUAcgBpAGMAXAAiACwAMAAuADAANwA0ACwAXAAiAEwAbwBjAGEAdABpAG8AbgAgAG4AbwB0ACAAcwBwAGUAYwBpAGYAaQBlAGQAXAAiACwAXAAiAFMAdQBsAGYAdQByACAALQAgAEcAZQBuAGUAcgBpAGMAXAAiACwAMAAuADAANAAsAFwAIgBMAG8AYwBhAHQAaQBvAG4AIABuAG8AdAAgAHMAcABlAGMAaQBmAGkAZQBkAFwAIgAsAFwAIgBQAG8AdABhAHMAcwBpAHUAbQAgAC0AIABHAGUAbgBlAHIAaQBjAFwAIgAsADAALgAwADIANQAsAFwAIgBMAG8AYwBhAHQAaQBvAG4AIABuAG8AdAAgAHMAcABlAGMAaQBmAGkAZQBkAFwAIgAsAFwAIgBNAGEAZwBuAGUAcwBpAHUAbQAgAC0AIABnAGUAbgBlAHIAaQBjAFwAIgAsADAALgAwADAANAAsAFwAIgBMAG8AYwBhAHQAaQBvAG4AIABuAG8AdAAgAHMAcABlAGMAaQBmAGkAZQBkAFwAIgAsAFwAIgBaAGkAbgBjACAALQAgAEcAZQBuAGUAcgBpAGMAXAAiACwAMAAuADAAMAAxADUALABcACIATABvAGMAYQB0AGkAbwBuACAAbgBvAHQAIABzAHAAZQBjAGkAZgBpAGUAZABcACIALABcACIAXAAiACwAXAAiAFwAIgAsAFwAIgBcACIALABcACIAXAAiACwAXAAiAFwAIgAsAFwAIgBcACIALABcACIAXAAiACwAXAAiAFwAIgAsAFwAIgBcACIALABcACIAXAAiACwAXAAiAFwAIgAsAFwAIgBcACIAOwBcAG4AXAAiAFkAYQByAGEAUgBlAGcAYQAgADEAMwAtADIALQAyADEAXAAiACwAXAAiAGsAZwBcACIALAAxACwAXAAiAFAAbwB0AGEAcwBzAGkAdQBtACAALQAgAEcAZQBuAGUAcgBpAGMAXAAiACwAMAAuADIAMQAsAFwAIgBMAG8AYwBhAHQAaQBvAG4AIABuAG8AdAAgAHMAcABlAGMAaQBmAGkAZQBkAFwAIgAsAFwAIgBTAHUAbABmAHUAcgAgAC0AIABHAGUAbgBlAHIAaQBjAFwAIgAsADAALgAxADAAOAAsAFwAIgBMAG8AYwBhAHQAaQBvAG4AIABuAG8AdAAgAHMAcABlAGMAaQBmAGkAZQBkAFwAIgAsAFwAIgBOAGkAdAByAG8AZwBlAG4AIAAtACAAQQBtAG0AbwBuAGkAYQBjAGEAbABcACIALAAwAC4AMAA3ADcALABcACIATABvAGMAYQB0AGkAbwBuACAAbgBvAHQAIABzAHAAZQBjAGkAZgBpAGUAZABcACIALABcACIATgBpAHQAcgBvAGcAZQBuACAAZgByAG8AbQAgAE4AaQB0AHIAYQB0AGUAXAAiACwAMAAuADAANQAzACwAXAAiAEwAbwBjAGEAdABpAG8AbgAgAG4AbwB0ACAAcwBwAGUAYwBpAGYAaQBlAGQAXAAiACwAXAAiAFAAaABvAHMAcABoAG8AcgB1AHMAIAAtACAARwBlAG4AZQByAGkAYwBcACIALAAwAC4AMAAxADcANQAsAFwAIgBMAG8AYwBhAHQAaQBvAG4AIABuAG8AdAAgAHMAcABlAGMAaQBmAGkAZQBkAFwAIgAsAFwAIgBNAGEAZwBuAGUAcwBpAHUAbQAgAC0AIABnAGUAbgBlAHIAaQBjAFwAIgAsADAALgAwADAANAAsAFwAIgBMAG8AYwBhAHQAaQBvAG4AIABuAG8AdAAgAHMAcABlAGMAaQBmAGkAZQBkAFwAIgAsAFwAIgBCAG8AcgBvAG4AIAAtACAAZwBlAG4AZQByAGkAYwBcACIALAAwAC4AMAAwADAAOAAsAFwAIgBMAG8AYwBhAHQAaQBvAG4AIABuAG8AdAAgAHMAcABlAGMAaQBmAGkAZQBkAFwAIgAsAFwAIgBaAGkAbgBjACAALQAgAEcAZQBuAGUAcgBpAGMAXAAiACwAMAAuADAAMAAwADgALABcACIATABvAGMAYQB0AGkAbwBuACAAbgBvAHQAIABzAHAAZQBjAGkAZgBpAGUAZABcACIALABcACIAXAAiACwAXAAiAFwAIgAsAFwAIgBcACIALABcACIAXAAiACwAXAAiAFwAIgAsAFwAIgBcACIAOwBcAG4AXAAiAFkAYQByAGEAUgBlAGcAYQAgADkALQAwAC0AMwAwACAAKAAxADQAKQBcACIALABcACIAawBnAFwAIgAsADEALABcACIAUABvAHQAYQBzAHMAaQB1AG0AIAAtACAARwBlAG4AZQByAGkAYwBcACIALAAwAC4AMwAsAFwAIgBMAG8AYwBhAHQAaQBvAG4AIABuAG8AdAAgAHMAcABlAGMAaQBmAGkAZQBkAFwAIgAsAFwAIgBTAHUAbABmAHUAcgAgAC0AIABHAGUAbgBlAHIAaQBjAFwAIgAsADAALgAxADQALABcACIATABvAGMAYQB0AGkAbwBuACAAbgBvAHQAIABzAHAAZQBjAGkAZgBpAGUAZABcACIALABcACIATgBpAHQAcgBvAGcAZQBuACAALQAgAEEAbQBtAG8AbgBpAGEAYwBhAGwAXAAiACwAMAAuADAANAA1ACwAXAAiAEwAbwBjAGEAdABpAG8AbgAgAG4AbwB0ACAAcwBwAGUAYwBpAGYAaQBlAGQAXAAiACwAXAAiAE4AaQB0AHIAbwBnAGUAbgAgAGYAcgBvAG0AIABOAGkAdAByAGEAdABlAFwAIgAsADAALgAwADQANQ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7AFwAbgBcACIAWQBhAHIAYQBUAGUAcgBhACAASwBSAEkAUwBUAEEAIABLACAAUABMAFUAUwBcACIALABcACIAawBnAFwAIgAsADEALABcACIATgBpAHQAcgBvAGcAZQBuACAALQAgAEcAZQBuAGUAcgBpAGMAXAAiACwAMAAuADEAMwA3ACwAXAAiAEwAbwBjAGEAdABpAG8AbgAgAG4AbwB0ACAAcwBwAGUAYwBpAGYAaQBlAGQAXAAiACwAXAAiAFAAbwB0AGEAcwBzAGkAdQBtACAALQAgAEcAZQBuAGUAcgBpAGMAXAAiACwAMAAuADMAOAA0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ZAGEAcgBhAFQAZQByAGEAIABLAFIASQBTAFQAQQAgAE0AQQBQAFwAIgAsAFwAIgBrAGcAXAAiACwAMQAsAFwAIgBQAGgAbwBzAHAAaABvAHIAdQBzACAALQAgAEcAZQBuAGUAcgBpAGMAXAAiACwAMAAuADIANgA2ACwAXAAiAEwAbwBjAGEAdABpAG8AbgAgAG4AbwB0ACAAcwBwAGUAYwBpAGYAaQBlAGQAXAAiACwAXAAiAE4AaQB0AHIAbwBnAGUAbgAgAC0AIABBAG0AbQBvAG4AaQBhAGMAYQBsAFwAIgAsADAALgAxADI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kAYQByAGEAVABlAHIAYQAgAEsAUgBJAFMAVABBACAATQBLAFAAXAAiACwAXAAiAGsAZwBcACIALAAxACwAXAAiAFAAbwB0AGEAcwBzAGkAdQBtACAALQAgAEcAZQBuAGUAcgBpAGMAXAAiACwAMAAuADIAOAAyACwAXAAiAEwAbwBjAGEAdABpAG8AbgAgAG4AbwB0ACAAcwBwAGUAYwBpAGYAaQBlAGQAXAAiACwAXAAiAFAAaABvAHMAcABoAG8AcgB1AHMAIAAtACAARwBlAG4AZQByAGkAYwBcACIALAAwAC4AMgAyADc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XABuACAAIAB9ACwAIAByACwAIABjACkAXABuACkAKQApADsAXABuAFwAbgBGAGUAcgB0AGkAbABpAHMAZQByAF8AUAByAG8AZAB1AGMAdABzAF8ARABhAHQAYQA0AFwAbgA9AEwAQQBNAEIARABBACgAXABuACAATQBBAEsARQBBAFIAUgBBAFkAKAA1ACwAIAAzADMALABcAG4AIABMAEEATQBCAEQAQQAoAHIALABjACwAXABuACAAIABJAE4ARABFAFgAKAB7AFwAbgBcACIAWQBhAHIAYQBUAGUAcgBhACAASwBSAEkAUwBUAEEATABPAE4AIABSAEUARABcACIALABcACIAawBnAFwAIgAsADEALABcACIAUABvAHQAYQBzAHMAaQB1AG0AIAAtACAARwBlAG4AZQByAGkAYwBcACIALAAwAC4AMgA5ADgAOAAsAFwAIgBMAG8AYwBhAHQAaQBvAG4AIABuAG8AdAAgAHMAcABlAGMAaQBmAGkAZQBkAFwAIgAsAFwAIgBOAGkAdAByAG8AZwBlAG4AIAAtACAARwBlAG4AZQByAGkAYwBcACIALAAwAC4AMQAyACwAXAAiAEwAbwBjAGEAdABpAG8AbgAgAG4AbwB0ACAAcwBwAGUAYwBpAGYAaQBlAGQAXAAiACwAXAAiAFAAaABvAHMAcABoAG8AcgB1AHMAIAAtACAARwBlAG4AZQByAGkAYwBcACIALAAwAC4AMAA1ADIANAA0ACwAXAAiAEwAbwBjAGEAdABpAG8AbgAgAG4AbwB0ACAAcwBwAGUAYwBpAGYAaQBlAGQAXAAiACwAXAAiAFMAdQBsAGYAdQByACAALQAgAEcAZQBuAGUAcgBpAGMAXAAiACwAMAAuADAAMQAsAFwAIgBMAG8AYwBhAHQAaQBvAG4AIABuAG8AdAAgAHMAcABlAGMAaQBmAGkAZQBkAFwAIgAsAFwAIgBNAGEAZwBuAGUAcwBpAHUAbQAgAC0AIABnAGUAbgBlAHIAaQBjAFwAIgAsADAALgAwADAANgAwADMALABcACIATABvAGMAYQB0AGkAbwBuACAAbgBvAHQAIABzAHAAZQBjAGkAZgBpAGUAZABcACIALABcACIASQByAG8AbgAgAC0AIABnAGUAbgBlAHIAaQBjAFwAIgAsADAALgAwADAAMAA3ACwAXAAiAEwAbwBjAGEAdABpAG8AbgAgAG4AbwB0ACAAcwBwAGUAYwBpAGYAaQBlAGQAXAAiACwAXAAiAE0AYQBuAGcAYQBuAGUAcwBlACAALQAgAEcAZQBuAGUAcgBpAGMAXAAiACwAMAAuADAAMAAwADQALABcACIATABvAGMAYQB0AGkAbwBuACAAbgBvAHQAIABzAHAAZQBjAGkAZgBpAGUAZABcACIALABcACIAQgBvAHIAbwBuACAALQAgAGcAZQBuAGUAcgBpAGMAXAAiACwAMAAuADAAMAAwADIANQAsAFwAIgBMAG8AYwBhAHQAaQBvAG4AIABuAG8AdAAgAHMAcABlAGMAaQBmAGkAZQBkAFwAIgAsAFwAIgBaAGkAbgBjACAALQAgAEcAZQBuAGUAcgBpAGMAXAAiACwAMAAuADAAMAAwADIANQAsAFwAIgBMAG8AYwBhAHQAaQBvAG4AIABuAG8AdAAgAHMAcABlAGMAaQBmAGkAZQBkAFwAIgAsAFwAIgBDAG8AcABwAGUAcgAgAC0AIABnAGUAbgBlAHIAaQBjAFwAIgAsADAALgAwADAAMAAxACwAXAAiAEwAbwBjAGEAdABpAG8AbgAgAG4AbwB0ACAAcwBwAGUAYwBpAGYAaQBlAGQAXAAiADsAXABuAFwAIgBZAGEAcgBhAFQAZQByAGEAIABLAFIASQBTAFQAQQBMAE8ATgAgAFMAUABFAEMASQBBAEwAXAAiACwAXAAiAGsAZwBcACIALAAxACwAXAAiAE4AaQB0AHIAbwBnAGUAbgAgAC0AIABHAGUAbgBlAHIAaQBjAFwAIgAsADAALgAxADgALABcACIATABvAGMAYQB0AGkAbwBuACAAbgBvAHQAIABzAHAAZQBjAGkAZgBpAGUAZABcACIALABcACIAUABvAHQAYQBzAHMAaQB1AG0AIAAtACAARwBlAG4AZQByAGkAYwBcACIALAAwAC4AMQA0ADkALABcACIATABvAGMAYQB0AGkAbwBuACAAbgBvAHQAIABzAHAAZQBjAGkAZgBpAGUAZABcACIALABcACIAUABoAG8AcwBwAGgAbwByAHUAcwAgAC0AIABHAGUAbgBlAHIAaQBjAFwAIgAsADAALgAwADcAOQAsAFwAIgBMAG8AYwBhAHQAaQBvAG4AIABuAG8AdAAgAHMAcABlAGMAaQBmAGkAZQBkAFwAIgAsAFwAIgBTAHUAbABmAHUAcgAgAC0AIABHAGUAbgBlAHIAaQBjAFwAIgAsADAALgAwADIALABcACIATABvAGMAYQB0AGkAbwBuACAAbgBvAHQAIABzAHAAZQBjAGkAZgBpAGUAZABcACIALABcACIATQBhAGcAbgBlAHMAaQB1AG0AIAAtACAAZwBlAG4AZQByAGkAYwBcACIALAAwAC4AMAAxADgALABcACIATABvAGMAYQB0AGkAbwBuACAAbgBvAHQAIABzAHAAZQBjAGkAZgBpAGUAZABcACIALABcACIASQByAG8AbgAgAC0AIABnAGUAbgBlAHIAaQBjAFwAIgAsADAALgAwADAAMAA3ACwAXAAiAEwAbwBjAGEAdABpAG8AbgAgAG4AbwB0ACAAcwBwAGUAYwBpAGYAaQBlAGQAXAAiACwAXAAiAE0AYQBuAGcAYQBuAGUAcwBlACAALQAgAEcAZQBuAGUAcgBpAGMAXAAiACwAMAAuADAAMAAwADQALABcACIATABvAGMAYQB0AGkAbwBuACAAbgBvAHQAIABzAHAAZQBjAGkAZgBpAGUAZABcACIALABcACIAQgBvAHIAbwBuACAALQAgAGcAZQBuAGUAcgBpAGMAXAAiACwAMAAuADAAMAAwADIANQAsAFwAIgBMAG8AYwBhAHQAaQBvAG4AIABuAG8AdAAgAHMAcABlAGMAaQBmAGkAZQBkAFwAIgAsAFwAIgBaAGkAbgBjACAALQAgAEcAZQBuAGUAcgBpAGMAXAAiACwAMAAuADAAMAAwADIANQAsAFwAIgBMAG8AYwBhAHQAaQBvAG4AIABuAG8AdAAgAHMAcABlAGMAaQBmAGkAZQBkAFwAIgAsAFwAIgBDAG8AcABwAGUAcgAgAC0AIABnAGUAbgBlAHIAaQBjAFwAIgAsADAALgAwADAAMAAxACwAXAAiAEwAbwBjAGEAdABpAG8AbgAgAG4AbwB0ACAAcwBwAGUAYwBpAGYAaQBlAGQAXAAiADsAXABuAFwAIgBZAGEAcgBhAFYAaQB0AGEAIABHAGwAeQB0AHIAZQBsACAAWgBuAFAAXAAiACwAXAAiAEwAXAAiACwAMQAuADMANQA0ACwAXAAiAFoAaQBuAGMAIAAtACAARwBlAG4AZQByAGkAYwBcACIALAAwAC4AMQAsAFwAIgBMAG8AYwBhAHQAaQBvAG4AIABuAG8AdAAgAHMAcABlAGMAaQBmAGkAZQBkAFwAIgAsAFwAIgBQAGgAbwBzAHAAaABvAHIAdQBzACAALQAgAEcAZQBuAGUAcgBpAGMAXAAiACwAMAAuADAANAA0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ZAGEAcgBhAFYAaQB0AGEAIABaAGkAbgB0AHIAYQBjAFwAIgAsAFwAIgBMAFwAIgAsADEALgA3ADMANAAsAFwAIgBaAGkAbgBjACAALQAgAEcAZQBuAGUAcgBpAGMAXAAiACwAMAAuADcALABcACIATABvAGMAYQB0AGkAbwBuACAAbgBvAHQAIABzAHAAZQBjAGkAZgBpAGUAZABcACIALABcACIATgBpAHQAcgBvAGcAZQBuACAALQAgAEcAZQBuAGUAcgBpAGMAXAAiACwAMAAuADAAMQA4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aAGkAbgBjAFMAdABhAHIAXAAiACwAXAAiAGsAZwBcACIALAAxACwAXAAiAE4AaQB0AHIAbwBnAGUAbgAgAC0AIABBAG0AbQBvAG4AaQBhAGMAYQBsAFwAIgAsADAALgAxACwAXAAiAEwAbwBjAGEAdABpAG8AbgAgAG4AbwB0ACAAcwBwAGUAYwBpAGYAaQBlAGQAXAAiACwAXAAiAFAAaABvAHMAcABoAG8AcgB1AHMAIAAtACAARwBlAG4AZQByAGkAYwBcACIALAAwAC4AMgAyACwAXAAiAEwAbwBjAGEAdABpAG8AbgAgAG4AbwB0ACAAcwBwAGUAYwBpAGYAaQBlAGQAXAAiACwAXAAiAFMAdQBsAGYAdQByACAALQAgAEcAZQBuAGUAcgBpAGMAXAAiACwAMAAuADAAMgAsAFwAIgBMAG8AYwBhAHQAaQBvAG4AIABuAG8AdAAgAHMAcABlAGMAaQBmAGkAZQBkAFwAIgAsAFwAIgBaAGkAbgBjACAALQAgAEcAZQBuAGUAcgBpAGMAXAAiACwAMAAuADAAMQ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BcAG4AIAAgAH0ALAAgAHIALAAgAGMAKQBcAG4AKQApACkAOwBcAG4AXABuAFwAbgBcAG4AXABuAC8AKgBcAG4APQA9AD0APQA9AD0APQA9AD0APQA9AD0APQA9AD0APQA9AD0APQA9AD0APQA9AD0APQA9AD0APQA9AD0APQA9AD0APQA9AD0APQA9AD0APQA9AD0APQA9AD0APQA9AD0APQA9AD0APQA9AD0APQA9AD0APQA9AD0APQA9AD0APQA9AD0APQA9AD0APQA9AD0APQA9AD0APQBcAG4ATABpAG0AZQAsACAAZABvAGwAbwBtAGkAdABlACAAYQBuAGQAIABnAHkAcABzAHUAbQBcAG4APQA9AD0APQA9AD0APQA9AD0APQA9AD0APQA9AD0APQA9AD0APQA9AD0APQA9AD0APQA9AD0APQA9AD0APQA9AD0APQA9AD0APQA9AD0APQA9AD0APQA9AD0APQA9AD0APQA9AD0APQA9AD0APQA9AD0APQA9AD0APQA9AD0APQA9AD0APQA9AD0APQA9AD0APQA9AD0APQBcAG4AKgAvAFwAbgBcAG4ARgBlAHIAdABpAGwAaQBzAGUAcgBfAEwAaQBtAGUARABvAGwAbwBtAGkAdABlAEcAeQBwAHMAdQBtAEMAbwBuAHMAdABhAG4AdABzAF8AVABpAHQAbABlAFwAbgA9AEwAQQBNAEIARABBACgAKABcACIAQwBvAG4AcwB0AGEAbgB0AHMAIABmAG8AcgAgAGwAaQBtAGUALAAgAGQAbwBsAG8AbQBpAHQAZQAgAGEAbgBkACAAZwB5AHAAcwB1AG0AXAAiACkAKQA7AFwAbgBcAG4ARgBlAHIAdABpAGwAaQBzAGUAcgBfAEwAaQBtAGUARABvAGwAbwBtAGkAdABlAEcAeQBwAHMAdQBtAEMAbwBuAHMAdABhAG4AdABzAF8ARABlAHMAYwByAGkAcAB0AGkAbwBuAFwAbgA9AEwAQQBNAEIARABBACgAKABcACIAQwBvAG4AcwB0AGEAbgB0AHMAIABmAG8AcgAgAGwAaQBtAGUALAAgAGQAbwBsAG8AbQBpAHQAZQAgAGEAbgBkACAAZwB5AHAAcwB1AG0AXAAiACkAKQA7AFwAbgBcAG4ARgBlAHIAdABpAGwAaQBzAGUAcgBfAEwAaQBtAGUARABvAGwAbwBtAGkAdABlAEcAeQBwAHMAdQBtAEMAbwBuAHMAdABhAG4AdABzAF8AUwBvAHUAcgBjAGUAXABuAD0ATABBAE0AQgBEAEEAKAAoAFwAIgBOAGEAdABpAG8AbgBhAGwAIABJAG4AdgBlAG4AdABvAHIAeQAgAFIAZQBwAG8AcgB0ACAAMgAwADIAMwAgAFYAbwBsAHUAbQBlACAAMQA6ACAANQAuADgALgAyACAATQBlAHQAaABvAGQAbwBsAG8AZwBpAGMAYQBsACAAaQBzAHMAdQBlAHMALAAgAGUAcQB1AGEAdABpAG8AbgAgADMARwBfADEAXAAiACkAKQA7AFwAbgBcAG4ARgBlAHIAdABpAGwAaQBzAGUAcgBfAEwAaQBtAGUARABvAGwAbwBtAGkAdABlAEcAeQBwAHMAdQBtAEMAbwBuAHMAdABhAG4AdABzAF8ARABhAHQAYQBcAG4APQBMAEEATQBCAEQAQQAoAFwAbgAgAE0AQQBLAEUAQQBSAFIAQQBZACgANAAsACAAMwAsAFwAbgAgAEwAQQBNAEIARABBACgAcgAsAGMALABcAG4AIAAgAEkATgBEAEUAWAAoAHsAXABuACAAIABcACIARQBsAGUAbQBlAG4AdABcACIALAAgAFwAIgBQAFwAIgAsACAAXAAiAEUARgBcACIAOwBcAG4AIAAgAFwAIgBMAGkAbQBlACAAKABDAGEAbABjAGkAdQBtACAAYwBhAHIAYgBvAG4AYQB0AGUAKQBcACIALAAgADAALgA5ACwAIAAwAC4AMQAyADsAXABuACAAIABcACIARABvAGwAbwBtAGkAdABlACAAKABNAGEAZwBuAGUAcwBpAHUAbQAgAGMAYQByAGIAbwBuAGEAdABlACkAXAAiACwAIAAwAC4AOQA1ACwAIAAwAC4AMQAzADsAXABuACAAIABcACIARwB5AHAAcwB1AG0AXAAiACwAIAAwACwAIAAwAFwAbgAgACAAfQAsACAAcgAsACAAYwApAFwAbgApACkAKQA7AFwAbgBcAG4ARgBlAHIAdABpAGwAaQBzAGUAcgBfAEwAaQBtAGUARABvAGwAbwBtAGkAdABlAEcAeQBwAHMAdQBtAEMAbwBuAHMAdABhAG4AdABzAF8AVgBhAHIAaQBhAHQAaQBvAG4AXABuAD0ATABBAE0AQgBEAEEAKAAoAFwAIgBWAEEAUgBJAEEAVABJAE8ATgAgAEYAUgBPAE0AIABTAE8AVQBSAEMARQAgAEQAQQBUAEEAOgAgAEcAeQBwAHMAdQBtACAAaABhAHMAIABiAGUAZQBuACAAYQBkAGQAZQBkACAAdwBpAHQAaAAgAHAAbABhAGMAZQBoAG8AbABkAGUAcgAgAHYAYQBsAHUAZQBzACAAbwBmACAAMAAgAGYAbwByACAAUAAgAGEAbgBkACAARQBGAC4AXAAiACkAKQA7ACIAfQAsAHsAIgBwAGEAdABoACIAOgAiAC8AcAByAG8AagBlAGMAdABzAC8ARgBlAHIAdABpAGwAaQBzAGUAcgBfAEkAbgBwAHUAdABGAHUAbgBjAHQAaQBvAG4AcwAiACwAIgB0AGUAeAB0ACIAOgAiAEYAZQByAHQAaQBsAGkAcwBlAHIAXwBGAGUAcgB0AGkAbABpAHMAZQByAFAAcgBvAGQAdQBjAHQATABvAG8AawB1AHAAXABuAD0ATABBAE0AQgBEAEEAKABQAHIAbwBkAHUAYwB0ACwAIABQAHIAbwBkAHUAYwB0AEEAdAB0AHIAaQBiAHUAdABlACwAIABQAHIAbwBkAHUAYwB0AEEAcgByAGEAeQAsACAAUAByAG8AZAB1AGMAdABBAHIAcgBhAHkAQwBvAGwAdQBtAG4ALAAgAFAAcgBvAGQAdQBjAHQAQQByAHIAYQB5AEgAZQBhAGQAZQByAHMALABcAG4AIAAgAEkARgBFAFIAUgBPAFIAKABcAG4AIAAgACAAIABJAE4ARABFAFgAKABcAG4AIAAgACAAIAAgACAAUAByAG8AZAB1AGMAdABBAHIAcgBhAHkALABcAG4AIAAgACAAIAAgACAAWABNAEEAVABDAEgAKABUAFIASQBNACgAUAByAG8AZAB1AGMAdAApACwAIABQAHIAbwBkAHUAYwB0AEEAcgByAGEAeQBDAG8AbAB1AG0AbgAsACAAMAApACwAXABuACAAIAAgACAAIAAgAFgATQBBAFQAQwBIACgAVABSAEkATQAoAFAAcgBvAGQAdQBjAHQAQQB0AHQAcgBpAGIAdQB0AGUAKQAsACAAUAByAG8AZAB1AGMAdABBAHIAcgBhAHkASABlAGEAZABlAHIAcwAsACAAMAApAFwAbgAgACAAIAAgACkALABcAG4AIAAgACAAIABcACIAXAAiAFwAbgAgACAAKQBcAG4AKQA7AFwAbgBcAG4AXABuAEYAZQByAHQAaQBsAGkAcwBlAHIAXwBTAHUAbQBQAHIAbwBkAHUAYwB0AEEAcABwAGwAaQBlAGQAXABuAD0ATABBAE0AQgBEAEEAKABcAG4AIAAgAEwAbwBvAGsAdQBwAFQAYQByAGcAZQB0ADEALABMAG8AbwBrAHUAcABBAHIAcgBhAHkAMQAsAEEAbQBvAHUAbgB0AEEAcABwAGwAaQBlAGQALABbAEwAbwBvAGsAdQBwAFQAYQByAGcAZQB0ADIAXQAsAFsATABvAG8AawB1AHAAQQByAHIAYQB5ADIAXQAsAFwAbgAgACAATABFAFQAKABcAG4AIAAgACAAIABjAHIAaQB0AGUAcgBpAGEAMQAsAC0ALQAoAEwAbwBvAGsAdQBwAEEAcgByAGEAeQAxAD0ATABvAG8AawB1AHAAVABhAHIAZwBlAHQAMQApACwAXABuACAAIAAgACAAYwByAGkAdABlAHIAaQBhADIALABJAEYAKABJAFMATwBNAEkAVABUAEUARAAoAEwAbwBvAGsAdQBwAFQAYQByAGcAZQB0ADIAKQAsADEALAAtAC0AKABMAG8AbwBrAHUAcABBAHIAcgBhAHkAMgA9AEwAbwBvAGsAdQBwAFQAYQByAGcAZQB0ADIAKQApACwAXABuACAAIAAgACAAUwBVAE0AUABSAE8ARABVAEMAVAAoAGMAcgBpAHQAZQByAGkAYQAxACoAYwByAGkAdABlAHIAaQBhADIAKgBBAG0AbwB1AG4AdABBAHAAcABsAGkAZQBkACkAXABuACAAIAApAFwAbgApADsAXABuAFwAbgBGAGUAcgB0AGkAbABpAHMAZQByAF8AVABvAHQAYQBsAFMAbwBpAGwAQQBtAGUAbgBkAG0AZQBuAHQAQQBwAHAAbABpAGUAZABcAG4APQBMAEEATQBCAEQAQQAoAFwAbgAgACAAQQBtAG8AdQBuAHQAQQBwAHAAbABpAGUAZAAsACAAQQBtAGUAbgBkAG0AZQBuAHQAUABlAHIAYwBlAG4AdAAsAFwAbgAgACAAUwBVAE0AUABSAE8ARABVAEMAVAAoAEEAbQBvAHUAbgB0AEEAcABwAGwAaQBlAGQAIAAqACAAQQBtAGUAbgBkAG0AZQBuAHQAUABlAHIAYwBlAG4AdAApAFwAbgApADsAXABuAFwAbgBcAG4AXABuAEYAZQByAHQAaQBsAGkAcwBlAHIAXwBUAG8AdABhAGwAQwBoAGUAbQBpAGMAYQBsAEMAbwBtAHAAbwB1AG4AZABBAHAAcABsAGkAZQBkAEEAbABsAEkAbgBnAHIAZQBkAGkAZQBuAHQAcwBcAG4APQBMAEEATQBCAEQAQQAoAFwAbgAgACAAQwBoAGUAbQBpAGMAYQBsAEMAbwBtAHAAbwB1AG4AZAAsAFwAbgAgACAAQQBtAG8AdQBuAHQAQQBwAHAAbABpAGUAZAAsAFwAbgAgACAAUAByAG8AZAB1AGMAdABJAG4AZwByAGUAZABpAGUAbgB0ADEALABcAG4AIAAgAFAAcgBvAGQAdQBjAHQASQBuAGcAcgBlAGQAaQBlAG4AdABQAGUAcgBjAGUAbgB0ADEALABcAG4AIAAgAFsAUAByAG8AZAB1AGMAdABJAG4AZwByAGUAZABpAGUAbgB0ADIAXQAsAFwAbgAgACAAWwBQAHIAbwBkAHUAYwB0AEkAbgBnAHIAZQBkAGkAZQBuAHQAUABlAHIAYwBlAG4AdAAyAF0ALABcAG4AIAAgAFsAUAByAG8AZAB1AGMAdABJAG4AZwByAGUAZABpAGUAbgB0ADMAXQAsAFwAbgAgACAAWwBQAHIAbwBkAHUAYwB0AEkAbgBnAHIAZQBkAGkAZQBuAHQAUABlAHIAYwBlAG4AdAAzAF0ALABcAG4AIAAgAFsAUAByAG8AZAB1AGMAdABJAG4AZwByAGUAZABpAGUAbgB0ADQAXQAsAFwAbgAgACAAWwBQAHIAbwBkAHUAYwB0AEkAbgBnAHIAZQBkAGkAZQBuAHQAUABlAHIAYwBlAG4AdAA0AF0ALABcAG4AIAAgAFsAUAByAG8AZAB1AGMAdABJAG4AZwByAGUAZABpAGUAbgB0ADUAXQAsAFwAbgAgACAAWwBQAHIAbwBkAHUAYwB0AEkAbgBnAHIAZQBkAGkAZQBuAHQAUABlAHIAYwBlAG4AdAA1AF0ALABcAG4AIAAgAFsAUAByAG8AZAB1AGMAdABJAG4AZwByAGUAZABpAGUAbgB0ADYAXQAsAFwAbgAgACAAWwBQAHIAbwBkAHUAYwB0AEkAbgBnAHIAZQBkAGkAZQBuAHQAUABlAHIAYwBlAG4AdAA2AF0ALABcAG4AIAAgAEwARQBUACgAXABuACAAIAAgACAAYwBhAGwAYwB1AGwAYQB0AGUAZABBAG0AbwB1AG4AdAAxACwAIAAoAEEAbQBvAHUAbgB0AEEAcABwAGwAaQBlAGQAKgBQAHIAbwBkAHUAYwB0AEkAbgBnAHIAZQBkAGkAZQBuAHQAUABlAHIAYwBlAG4AdAAxACkALABcAG4AIAAgACAAIABjAGEAbABjAHUAbABhAHQAZQBkAEEAbQBvAHUAbgB0ADIALAAgACgAQQBtAG8AdQBuAHQAQQBwAHAAbABpAGUAZAAqAFAAcgBvAGQAdQBjAHQASQBuAGcAcgBlAGQAaQBlAG4AdABQAGUAcgBjAGUAbgB0ADIAKQAsAFwAbgAgACAAIAAgAGMAYQBsAGMAdQBsAGEAdABlAGQAQQBtAG8AdQBuAHQAMwAsACAAKABBAG0AbwB1AG4AdABBAHAAcABsAGkAZQBkACoAUAByAG8AZAB1AGMAdABJAG4AZwByAGUAZABpAGUAbgB0AFAAZQByAGMAZQBuAHQAMwApACwAIABcAG4AIAAgACAAIABjAGEAbABjAHUAbABhAHQAZQBkAEEAbQBvAHUAbgB0ADQALAAgACgAQQBtAG8AdQBuAHQAQQBwAHAAbABpAGUAZAAqAFAAcgBvAGQAdQBjAHQASQBuAGcAcgBlAGQAaQBlAG4AdABQAGUAcgBjAGUAbgB0ADQAKQAsACAAXABuACAAIAAgACAAYwBhAGwAYwB1AGwAYQB0AGUAZABBAG0AbwB1AG4AdAA1ACwAIAAoAEEAbQBvAHUAbgB0AEEAcABwAGwAaQBlAGQAKgBQAHIAbwBkAHUAYwB0AEkAbgBnAHIAZQBkAGkAZQBuAHQAUABlAHIAYwBlAG4AdAA1ACkALAAgAFwAbgAgACAAIAAgAGMAYQBsAGMAdQBsAGEAdABlAGQAQQBtAG8AdQBuAHQANgAsACAAKABBAG0AbwB1AG4AdABBAHAAcABsAGkAZQBkACoAUAByAG8AZAB1AGMAdABJAG4AZwByAGUAZABpAGUAbgB0AFAAZQByAGMAZQBuAHQANgApACwAIAAgAFwAbgAgACAAIAAgAEYAZQByAHQAaQBsAGkAcwBlAHIAXwBTAHUAbQBQAHIAbwBkAHUAYwB0AEEAcABwAGwAaQBlAGQAKABcAG4AIAAgACAAIAAgACAAQwBoAGUAbQBpAGMAYQBsAEMAbwBtAHAAbwB1AG4AZAAsACAAUAByAG8AZAB1AGMAdABJAG4AZwByAGUAZABpAGUAbgB0ADEALAAgAGMAYQBsAGMAdQBsAGEAdABlAGQAQQBtAG8AdQBuAHQAMQBcAG4AIAAgACAAIAApACsAXABuACAAIAAgACAASQBGAEUAUgBSAE8AUgAoAEYAZQByAHQAaQBsAGkAcwBlAHIAXwBTAHUAbQBQAHIAbwBkAHUAYwB0AEEAcABwAGwAaQBlAGQAKABcAG4AIAAgACAAIAAgACAAQwBoAGUAbQBpAGMAYQBsAEMAbwBtAHAAbwB1AG4AZAAsACAAUAByAG8AZAB1AGMAdABJAG4AZwByAGUAZABpAGUAbgB0ADIALAAgAGMAYQBsAGMAdQBsAGEAdABlAGQAQQBtAG8AdQBuAHQAMgBcAG4AIAAgACAAIAApACwAIAAwACkAKwBcAG4AIAAgACAAIABJAEYARQBSAFIATwBSACgARgBlAHIAdABpAGwAaQBzAGUAcgBfAFMAdQBtAFAAcgBvAGQAdQBjAHQAQQBwAHAAbABpAGUAZAAoAFwAbgAgACAAIAAgACAAIABDAGgAZQBtAGkAYwBhAGwAQwBvAG0AcABvAHUAbgBkACwAIABQAHIAbwBkAHUAYwB0AEkAbgBnAHIAZQBkAGkAZQBuAHQAMwAsACAAYwBhAGwAYwB1AGwAYQB0AGUAZABBAG0AbwB1AG4AdAAzAFwAbgAgACAAIAAgACkALAAgADAAKQArAFwAbgAgACAAIAAgAEkARgBFAFIAUgBPAFIAKABGAGUAcgB0AGkAbABpAHMAZQByAF8AUwB1AG0AUAByAG8AZAB1AGMAdABBAHAAcABsAGkAZQBkACgAXABuACAAIAAgACAAIAAgAEMAaABlAG0AaQBjAGEAbABDAG8AbQBwAG8AdQBuAGQALAAgAFAAcgBvAGQAdQBjAHQASQBuAGcAcgBlAGQAaQBlAG4AdAA0ACwAIABjAGEAbABjAHUAbABhAHQAZQBkAEEAbQBvAHUAbgB0ADQAXABuACAAIAAgACAAKQAsACAAMAApACsAXABuACAAIAAgACAASQBGAEUAUgBSAE8AUgAoAEYAZQByAHQAaQBsAGkAcwBlAHIAXwBTAHUAbQBQAHIAbwBkAHUAYwB0AEEAcABwAGwAaQBlAGQAKABcAG4AIAAgACAAIAAgACAAQwBoAGUAbQBpAGMAYQBsAEMAbwBtAHAAbwB1AG4AZAAsACAAUAByAG8AZAB1AGMAdABJAG4AZwByAGUAZABpAGUAbgB0ADUALAAgAGMAYQBsAGMAdQBsAGEAdABlAGQAQQBtAG8AdQBuAHQANQBcAG4AIAAgACAAIAApACwAIAAwACkAKwBcAG4AIAAgACAAIABJAEYARQBSAFIATwBSACgARgBlAHIAdABpAGwAaQBzAGUAcgBfAFMAdQBtAFAAcgBvAGQAdQBjAHQAQQBwAHAAbABpAGUAZAAoAFwAbgAgACAAIAAgACAAIABDAGgAZQBtAGkAYwBhAGwAQwBvAG0AcABvAHUAbgBkACwAIABQAHIAbwBkAHUAYwB0AEkAbgBnAHIAZQBkAGkAZQBuAHQANgAsACAAYwBhAGwAYwB1AGwAYQB0AGUAZABBAG0AbwB1AG4AdAA2AFwAbgAgACAAIAAgACkALAAgADAAKQBcAG4AIAAgACkAXABuACkAOwBcAG4AXABuAEYAZQByAHQAaQBsAGkAcwBlAHIAXwBUAG8AdABhAGwAQwBoAGUAbQBpAGMAYQBsAEMAbwBtAHAAbwB1AG4AZAB0AEEAcABwAGwAaQBlAGQAQgB5AFMAbwB1AHIAYwBlAEEAbABsAEkAbgBnAHIAZQBkAGkAZQBuAHQAcwBcAG4APQBMAEEATQBCAEQAQQAoAFwAbgAgACAAQwBoAGUAbQBpAGMAYQBsAEMAbwBtAHAAbwB1AG4AZAAsAFwAbgAgACAAUwBvAHUAcgBjAGUALABcAG4AIAAgAEEAbQBvAHUAbgB0AEEAcABwAGwAaQBlAGQALABcAG4AIAAgAFAAcgBvAGQAdQBjAHQASQBuAGcAcgBlAGQAaQBlAG4AdAAxACwAXABuACAAIABQAHIAbwBkAHUAYwB0AEkAbgBnAHIAZQBkAGkAZQBuAHQAUABlAHIAYwBlAG4AdAAxACwAXABuACAAIABQAHIAbwBkAHUAYwB0AEkAbgBnAHIAZQBkAGkAZQBuAHQAMQBTAG8AdQByAGMAZQAsAFwAbgAgACAAWwBQAHIAbwBkAHUAYwB0AEkAbgBnAHIAZQBkAGkAZQBuAHQAMgBdACwAXABuACAAIABbAFAAcgBvAGQAdQBjAHQASQBuAGcAcgBlAGQAaQBlAG4AdABQAGUAcgBjAGUAbgB0ADIAXQAsAFwAbgAgACAAWwBQAHIAbwBkAHUAYwB0AEkAbgBnAHIAZQBkAGkAZQBuAHQAMgBTAG8AdQByAGMAZQBdACwAXABuACAAIABbAFAAcgBvAGQAdQBjAHQASQBuAGcAcgBlAGQAaQBlAG4AdAAzAF0ALABcAG4AIAAgAFsAUAByAG8AZAB1AGMAdABJAG4AZwByAGUAZABpAGUAbgB0AFAAZQByAGMAZQBuAHQAMwBdACwAXABuACAAIABbAFAAcgBvAGQAdQBjAHQASQBuAGcAcgBlAGQAaQBlAG4AdAAzAFMAbwB1AHIAYwBlAF0ALABcAG4AIAAgAFsAUAByAG8AZAB1AGMAdABJAG4AZwByAGUAZABpAGUAbgB0ADQAXQAsAFwAbgAgACAAWwBQAHIAbwBkAHUAYwB0AEkAbgBnAHIAZQBkAGkAZQBuAHQAUABlAHIAYwBlAG4AdAA0AF0ALABcAG4AIAAgAFsAUAByAG8AZAB1AGMAdABJAG4AZwByAGUAZABpAGUAbgB0ADQAUwBvAHUAcgBjAGUAXQAsAFwAbgAgACAAWwBQAHIAbwBkAHUAYwB0AEkAbgBnAHIAZQBkAGkAZQBuAHQANQBdACwAXABuACAAIABbAFAAcgBvAGQAdQBjAHQASQBuAGcAcgBlAGQAaQBlAG4AdABQAGUAcgBjAGUAbgB0ADUAXQAsAFwAbgAgACAAWwBQAHIAbwBkAHUAYwB0AEkAbgBnAHIAZQBkAGkAZQBuAHQANQBTAG8AdQByAGMAZQBdACwAXABuACAAIABbAFAAcgBvAGQAdQBjAHQASQBuAGcAcgBlAGQAaQBlAG4AdAA2AF0ALABcAG4AIAAgAFsAUAByAG8AZAB1AGMAdABJAG4AZwByAGUAZABpAGUAbgB0AFAAZQByAGMAZQBuAHQANgBdACwAXABuACAAIABbAFAAcgBvAGQAdQBjAHQASQBuAGcAcgBlAGQAaQBlAG4AdAA2AFMAbwB1AHIAYwBlAF0ALABcAG4AIAAgAEwARQBUACgAXABuACAAIAAgACAAYwBhAGwAYwB1AGwAYQB0AGUAZABBAG0AbwB1AG4AdAAxACwAIAAoAEEAbQBvAHUAbgB0AEEAcABwAGwAaQBlAGQAKgBQAHIAbwBkAHUAYwB0AEkAbgBnAHIAZQBkAGkAZQBuAHQAUABlAHIAYwBlAG4AdAAxACkALABcAG4AIAAgACAAIABjAGEAbABjAHUAbABhAHQAZQBkAEEAbQBvAHUAbgB0ADIALAAgACgAQQBtAG8AdQBuAHQAQQBwAHAAbABpAGUAZAAqAFAAcgBvAGQAdQBjAHQASQBuAGcAcgBlAGQAaQBlAG4AdABQAGUAcgBjAGUAbgB0ADIAKQAsAFwAbgAgACAAIAAgAGMAYQBsAGMAdQBsAGEAdABlAGQAQQBtAG8AdQBuAHQAMwAsACAAKABBAG0AbwB1AG4AdABBAHAAcABsAGkAZQBkACoAUAByAG8AZAB1AGMAdABJAG4AZwByAGUAZABpAGUAbgB0AFAAZQByAGMAZQBuAHQAMwApACwAIABcAG4AIAAgACAAIABjAGEAbABjAHUAbABhAHQAZQBkAEEAbQBvAHUAbgB0ADQALAAgACgAQQBtAG8AdQBuAHQAQQBwAHAAbABpAGUAZAAqAFAAcgBvAGQAdQBjAHQASQBuAGcAcgBlAGQAaQBlAG4AdABQAGUAcgBjAGUAbgB0ADQAKQAsACAAXABuACAAIAAgACAAYwBhAGwAYwB1AGwAYQB0AGUAZABBAG0AbwB1AG4AdAA1ACwAIAAoAEEAbQBvAHUAbgB0AEEAcABwAGwAaQBlAGQAKgBQAHIAbwBkAHUAYwB0AEkAbgBnAHIAZQBkAGkAZQBuAHQAUABlAHIAYwBlAG4AdAA1ACkALAAgAFwAbgAgACAAIAAgAGMAYQBsAGMAdQBsAGEAdABlAGQAQQBtAG8AdQBuAHQANgAsACAAKABBAG0AbwB1AG4AdABBAHAAcABsAGkAZQBkACoAUAByAG8AZAB1AGMAdABJAG4AZwByAGUAZABpAGUAbgB0AFAAZQByAGMAZQBuAHQANgApACwAIAAgAFwAbgAgACAAIAAgAEYAZQByAHQAaQBsAGkAcwBlAHIAXwBTAHUAbQBQAHIAbwBkAHUAYwB0AEEAcABwAGwAaQBlAGQAKABcAG4AIAAgACAAIAAgACAAQwBoAGUAbQBpAGMAYQBsAEMAbwBtAHAAbwB1AG4AZAAsACAAUAByAG8AZAB1AGMAdABJAG4AZwByAGUAZABpAGUAbgB0ADEALAAgAGMAYQBsAGMAdQBsAGEAdABlAGQAQQBtAG8AdQBuAHQAMQAsACAAUwBvAHUAcgBjAGUALAAgAFAAcgBvAGQAdQBjAHQASQBuAGcAcgBlAGQAaQBlAG4AdAAxAFMAbwB1AHIAYwBlAFwAbgAgACAAIAAgACkAKwBcAG4AIAAgACAAIABJAEYARQBSAFIATwBSACgARgBlAHIAdABpAGwAaQBzAGUAcgBfAFMAdQBtAFAAcgBvAGQAdQBjAHQAQQBwAHAAbABpAGUAZAAoAFwAbgAgACAAIAAgACAAIABDAGgAZQBtAGkAYwBhAGwAQwBvAG0AcABvAHUAbgBkACwAIABQAHIAbwBkAHUAYwB0AEkAbgBnAHIAZQBkAGkAZQBuAHQAMgAsACAAYwBhAGwAYwB1AGwAYQB0AGUAZABBAG0AbwB1AG4AdAAyACwAIABTAG8AdQByAGMAZQAsACAAUAByAG8AZAB1AGMAdABJAG4AZwByAGUAZABpAGUAbgB0ADIAUwBvAHUAcgBjAGUAXABuACAAIAAgACAAKQAsACAAMAApACsAXABuACAAIAAgACAASQBGAEUAUgBSAE8AUgAoAEYAZQByAHQAaQBsAGkAcwBlAHIAXwBTAHUAbQBQAHIAbwBkAHUAYwB0AEEAcABwAGwAaQBlAGQAKABcAG4AIAAgACAAIAAgACAAQwBoAGUAbQBpAGMAYQBsAEMAbwBtAHAAbwB1AG4AZAAsACAAUAByAG8AZAB1AGMAdABJAG4AZwByAGUAZABpAGUAbgB0ADMALAAgAGMAYQBsAGMAdQBsAGEAdABlAGQAQQBtAG8AdQBuAHQAMwAsACAAUwBvAHUAcgBjAGUALAAgAFAAcgBvAGQAdQBjAHQASQBuAGcAcgBlAGQAaQBlAG4AdAAzAFMAbwB1AHIAYwBlAFwAbgAgACAAIAAgACkALAAgADAAKQArAFwAbgAgACAAIAAgAEkARgBFAFIAUgBPAFIAKABGAGUAcgB0AGkAbABpAHMAZQByAF8AUwB1AG0AUAByAG8AZAB1AGMAdABBAHAAcABsAGkAZQBkACgAXABuACAAIAAgACAAIAAgAEMAaABlAG0AaQBjAGEAbABDAG8AbQBwAG8AdQBuAGQALAAgAFAAcgBvAGQAdQBjAHQASQBuAGcAcgBlAGQAaQBlAG4AdAA0ACwAIABjAGEAbABjAHUAbABhAHQAZQBkAEEAbQBvAHUAbgB0ADQALAAgAFMAbwB1AHIAYwBlACwAIABQAHIAbwBkAHUAYwB0AEkAbgBnAHIAZQBkAGkAZQBuAHQANABTAG8AdQByAGMAZQBcAG4AIAAgACAAIAApACwAIAAwACkAKwBcAG4AIAAgACAAIABJAEYARQBSAFIATwBSACgARgBlAHIAdABpAGwAaQBzAGUAcgBfAFMAdQBtAFAAcgBvAGQAdQBjAHQAQQBwAHAAbABpAGUAZAAoAFwAbgAgACAAIAAgACAAIABDAGgAZQBtAGkAYwBhAGwAQwBvAG0AcABvAHUAbgBkACwAIABQAHIAbwBkAHUAYwB0AEkAbgBnAHIAZQBkAGkAZQBuAHQANQAsACAAYwBhAGwAYwB1AGwAYQB0AGUAZABBAG0AbwB1AG4AdAA1ACwAIABTAG8AdQByAGMAZQAsACAAUAByAG8AZAB1AGMAdABJAG4AZwByAGUAZABpAGUAbgB0ADUAUwBvAHUAcgBjAGUAXABuACAAIAAgACAAKQAsACAAMAApACsAXABuACAAIAAgACAASQBGAEUAUgBSAE8AUgAoAEYAZQByAHQAaQBsAGkAcwBlAHIAXwBTAHUAbQBQAHIAbwBkAHUAYwB0AEEAcABwAGwAaQBlAGQAKABcAG4AIAAgACAAIAAgACAAQwBoAGUAbQBpAGMAYQBsAEMAbwBtAHAAbwB1AG4AZAAsACAAUAByAG8AZAB1AGMAdABJAG4AZwByAGUAZABpAGUAbgB0ADYALAAgAGMAYQBsAGMAdQBsAGEAdABlAGQAQQBtAG8AdQBuAHQANgAsACAAUwBvAHUAcgBjAGUALAAgAFAAcgBvAGQAdQBjAHQASQBuAGcAcgBlAGQAaQBlAG4AdAA2AFMAbwB1AHIAYwBlAFwAbgAgACAAIAAgACkALAAgADAAKQBcAG4AIAAgACkAXABuACkAOwBcAG4AXABuAEYAZQByAHQAaQBsAGkAcwBlAHIAXwBHAGUAdABTAGMAbwBwAGUAMwBFAEYAXABuAD0ATABBAE0AQgBEAEEAKABcAG4AIAAgACAAIABDAGgAZQBtAGkAYwBhAGwAQwBvAG0AcABvAHUAbgBkACwAIABTAGMAbwBwAGUAMwBBAHIAcgBhAHkALAAgAEMAaABlAG0AaQBjAGEAbABDAG8AbQBwAG8AdQBuAGQAQwBvAGwAdQBtAG4ALAAgAFMAbwB1AHIAYwBlACwAIABTAG8AdQByAGMAZQBSAG8AdwAsAFwAbgAgACAAIAAgAEkATgBEAEUAWAAoAFMAYwBvAHAAZQAzAEEAcgByAGEAeQAsAFwAbgAgACAAIAAgACAAIAAgAE0AQQBUAEMASAAoAEMAaABlAG0AaQBjAGEAbABDAG8AbQBwAG8AdQBuAGQALAAgAEMAaABlAG0AaQBjAGEAbABDAG8AbQBwAG8AdQBuAGQAQwBvAGwAdQBtAG4ALAAgADAAKQAsAFwAbgAgACAAIAAgACAAIAAgAE0AQQBUAEMASAAoAFMAbwB1AHIAYwBlACwAIABTAG8AdQByAGMAZQBSAG8AdwAsACAAMAApAFwAbgAgACAAIAAgACkAXABuACkAOwBcAG4AXABuAEYAZQByAHQAaQBsAGkAcwBlAHIAXwBHAGUAdABDAGgAZQBtAGkAYwBhAGwAQwBvAG0AcABvAHUAbgBkAEUAbABlAG0AZQBuAHQARgByAGEAYwB0AGkAbwBuAFwAbgA9AEwAQQBNAEIARABBACgAXABuACAAIAAgACAAQwBoAGUAbQBpAGMAYQBsAEMAbwBtAHAAbwB1AG4AZAAsACAARQBsAGUAbQBlAG4AdAAsACAAQwBoAGUAbQBpAGMAYQBsAEMAbwBtAHAAbwB1AG4AZABBAHIAcgBhAHkALAAgAEMAaABlAG0AaQBjAGEAbABDAG8AbQBwAG8AdQBuAGQAQwBvAGwAdQBtAG4ALAAgAEUAbABlAG0AZQBuAHQAUgBvAHcALABcAG4AIAAgACAAIABJAE4ARABFAFgAKABDAGgAZQBtAGkAYwBhAGwAQwBvAG0AcABvAHUAbgBkAEEAcgByAGEAeQAsAFwAbgAgACAAIAAgACAAIABNAEEAVABDAEgAKABDAGgAZQBtAGkAYwBhAGwAQwBvAG0AcABvAHUAbgBkACwAIABDAGgAZQBtAGkAYwBhAGwAQwBvAG0AcABvAHUAbgBkAEMAbwBsAHUAbQBuACwAIAAwACkALABcAG4AIAAgACAAIAAgACAATQBBAFQAQwBIACgARQBsAGUAbQBlAG4AdAAsACAARQBsAGUAbQBlAG4AdABSAG8AdwAsACAAMAApAFwAbgAgACAAIAAgACkAXABuACkAOwAiAH0ALAB7ACIAcABhAHQAaAAiADoAIgAvAHAAcgBvAGoAZQBjAHQAcwAvAEYAZQByAHQAaQBsAGkAcwBlAHIAXwBFAHEAdQBhAHQAaQBvAG4AcwBfAEkAbgBv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QAgAEkAbgBvAHIAZwBhAG4AaQBjACAAZgBlAHIAdABpAGwAaQBzAGUAcg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QBfADEAXwAxAF8AXwAxAF8ASQBuAG8AcgBnAGEAbgBpAGMARgBlAHIAdABpAGwAaQBzAGUAcgBBAHAAcABsAGkAYwBhAHQAaQBvAG4ATgAyAE8ARQBtAGkAcwBzAGkAbwBuAHMAXABu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bgBFAF8ATgAyAE8AXABuAHQAIABOADIATwBcAG4AXABcAHMAdQBtAF8AewBqAH0AXABcAHMAdQBtAF8AewBmAH0AKAAoAE0ATgBfAHsAagBmAH0AXABcAHQAaQBtAGUAcwAgAEUARgBfAHsAagAsAE4AMgBPAH0AXABcAHQAaQBtAGUAcwAgAEMAXwB7AE4AMgBPAH0AKQBcAFwAdABpAG0AZQBzACAAMQAwAF4AewAtADMAfQApAFwAbgBNAE4AXwBqAGYAXABuAEUARgBfAGoATgAyAE8AXABuAEMAXwBOADIATwBcAG4AagBcAG4AZgBcAG4ALQAtAC0ALQAtAC0ALQAtAC0ALQAtAC0ALQAtAC0ALQAtAC0ALQAtAC0ALQAtAC0ALQAtAC0ALQAtAC0ALQAtAC0ALQAtAC0ALQAtAFwAbgAqAC8AXABuAFwAbgBWAEUARQBSAEcAXwA1AF8AMQBfADEAXwAxAF8AXwAxAF8ASQBuAG8AcgBnAGEAbgBpAGMARgBlAHIAdABpAGwAaQBzAGUAcgBBAHAAcABsAGkAYwBhAHQAaQBvAG4ATgAyAE8ARQBtAGkAcwBzAGkAbwBuAHMAXABuACAAIAA9AEwAQQBNAEIARABBACgAXABuACAAIAAgACAATQBOAF8AagBmACwAIABFAEYAXwBqAE4AMgBPACwAIABDAF8ATgAyAE8ALABcAG4AIAAgACAAIAAoAE0ATgBfAGoAZgAgACoAIABFAEYAXwBqAE4AMgBPACAAKgAgAEMAXwBOADIATwApACAAKgAgADEAMAAgAF4AIAAtADMAXABuACAAIAApADsAXABuAFwAbgBWAEUARQBSAEcAXwA1AF8AMQBfADEAXwAxAF8AXwAxAF8ASQBuAG8AcgBnAGEAbgBpAGMARgBlAHIAdABpAGwAaQBzAGUAcgBBAHAAcABsAGkAYwBhAHQAaQBvAG4ATgAyAE8ARQBtAGkAcwBzAGkAbwBuAHMAXwBUAGkAdABsAGUAXABuACAAIAA9AEwAQQBNAEIARABBACgAXAAi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IgApADsAXABuAFwAbgBWAEUARQBSAEcAXwA1AF8AMQBfADEAXwAxAF8AXwAxAF8ASQBuAG8AcgBnAGEAbgBpAGMARgBlAHIAdABpAGwAaQBzAGUAcgBBAHAAcABsAGkAYwBhAHQAaQBvAG4ATgAyAE8ARQBtAGkAcwBzAGkAbwBuAHMAXwBWAGEAcgBpAGEAYgBsAGUAXABuACAAIAA9AEwAQQBNAEIARABBACgAXAAiAEUAXwBOADIATwBcACIAKQA7AFwAbgBcAG4AVgBFAEUAUgBHAF8ANQBfADEAXwAxAF8AMQBfAF8AMQBfAEkAbgBvAHIAZwBhAG4AaQBjAEYAZQByAHQAaQBsAGkAcwBlAHIAQQBwAHAAbABpAGMAYQB0AGkAbwBuAE4AMgBPAEUAbQBpAHMAcwBpAG8AbgBzAF8AVQBuAGkAdABcAG4AIAAgAD0ATABBAE0AQgBEAEEAKABcACIAdAAgAE4AMgBPAFwAIgApADsAXABuAFwAbgBWAEUARQBSAEcAXwA1AF8AMQBfADEAXwAxAF8AXwAxAF8ASQBuAG8AcgBnAGEAbgBpAGMARgBlAHIAdABpAGwAaQBzAGUAcgBBAHAAcABsAGkAYwBhAHQAaQBvAG4ATgAyAE8ARQBtAGkAcwBzAGkAbwBuAHMAXwBTAG8AdQByAGMAZQBcAG4AIAAgAD0ATABBAE0AQgBEAEEAKABcACIAVgBFAEUAUgBHACAAMgAwADIANgA6ACAANQAuADEALgAxAC4AMQAsACAARQBxAHUAYQB0AGkAbwBuACAAKAAxACkAXAAiACkAOwBcAG4AXABuAFYARQBFAFIARwBfADUAXwAxAF8AMQBfADEAXwBfADEAXwBJAG4AbwByAGcAYQBuAGkAYwBGAGUAcgB0AGkAbABpAHMAZQByAEEAcABwAGwAaQBjAGEAdABpAG8AbgBOADIATwBFAG0AaQBzAHMAaQBvAG4AcwBfAE4ASQBSAFIAZQBmAGUAcgBlAG4AYwBlAFwAbgAgACAAPQBMAEEATQBCAEQAQQAoAFwAIgBcACIAKQA7AFwAbgBcAG4AVgBFAEUAUgBHAF8ANQBfADEAXwAxAF8AMQBfAF8AMQBfAEkAbgBvAHIAZwBhAG4AaQBjAEYAZQByAHQAaQBsAGkAcwBlAHIAQQBwAHAAbABpAGMAYQB0AGkAbwBuAE4AMgBPAEUAbQBpAHMAcwBpAG8AbgBzAF8ATABhAHQAZQB4AEUAcQB1AGEAdABpAG8AbgBcAG4AIAAgAD0ATABBAE0AQgBEAEEAKABcACIARQBfAHsATgAyAE8AfQA9AFwAXABzAHUAbQBfAHsAagB9AFwAXABzAHUAbQBfAHsAZgB9ACgAKABNAE4AXwB7AGoAZgB9AFwAXAB0AGkAbQBlAHMAIABFAEYAXwB7AGoALABOADIATwB9AFwAXAB0AGkAbQBlAHMAIABDAF8AewBOADIATwB9ACkAXABcAHQAaQBtAGUAcwAgADEAMABeAHsALQAzAH0AKQBcACIAKQA7AFwAbgBcAG4AVgBFAEUAUgBHAF8ANQBfADEAXwAxAF8AMQBfAF8AMQBfAEkAbgBvAHIAZwBhAG4AaQBjAEYAZQByAHQAaQBsAGkAcwBlAHIAQQBwAHAAbABpAGMAYQB0AGkAbwBuAE4AMgBPAEUAbQBpAHMAcwBpAG8AbgBzAF8AQQByAGcAdQBtAGUAbgB0AHMAXABuACAAIAA9AEwAQQBNAEIARABBACgAXABuACAAIAAgACAATQBBAEsARQBBAFIAUgBBAFkAKAA3ACwAIAAzACwAIABcAG4AIAAgACAAIAAgACAATABBAE0AQgBEAEEAKAByACwAYwAsACAAXABuACAAIAAgACAAIAAgACAAIABJAE4ARABFAFgAKAB7AFwAbgAgACAAIAAgACAAIAAgACAAIAAgAFwAIgBNAE4AXwBqAGYAXAAiACwAXAAiAG0AYQBzAHMAIABvAGYAIABuAGkAdAByAG8AZwBlAG4AIABpAG4AIABpAG4AbwByAGcAYQBuAGkAYwAgAGYAZQByAHQAaQBsAGkAcwBlAHIAIAB0AHkAcABlACAAZgAgAGEAcABwAGwAaQBlAGQAIAB0AG8AIABwAHIAbwBkAHUAYwB0AGkAbwBuACAAcwB5AHMAdABlAG0AIABqACAAKABrAGcAIABOACkAXAAiACwAIABcACIAQwBhAGwAYwB1AGwAYQB0AGUAZABcACIAOwBcAG4AIAAgACAAIAAgACAAIAAgACAAIABcACIARQBGAF8AagBOADIATwBcACIALABcACIAZQBtAGkAcwBzAGkAbwBuACAAZgBhAGMAdABvAHIAIABmAG8AcgAgAG4AaQB0AHIAbwB1AHMAIABvAHgAaQBkAGUAIABmAG8AcgAgAGkAbgBvAHIAZwBhAG4AaQBjACAAZgBlAHIAdABpAGwAaQBzAGUAcgBzACAAKABrAGcAIABOADIATwAtAE4ALwBrAGcAIABOACAAYQBwAHAAbABpAGUAZAAp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EMAbwBuAHMAdABhAG4AdABcACIAOwBcAG4AIAAgACAAIAAgACAAIAAgACAAIABcACIAagBcACIALABcACIAUAByAG8AZAB1AGMAdABpAG8AbgAgAHMAeQBzAHQAZQBtAFwAIgAsACAAXAAiAEkAbgBwAHUAdABcACIAOwBcAG4AIAAgACAAIAAgACAAIAAgACAAIABcACIAZgBcACIALABcACIASQBuAG8AcgBnAGEAbgBpAGMAIABmAGUAcgB0AGkAbABpAHMAZQByACAAdAB5AHAAZQBcACIALAAgAFwAIgBDAG8AbgBzAHQAYQBuAHQAXAAiADsAXABuACAAIAAgACAAIAAgACAAIAAgACAAXAAiAGkAcgBcACIALAAgAFwAIgBpAHIAcgBpAGcAYQB0AGkAbwBuACAAbQBlAHQAaABvAGQAXAAiACwAIABcACIASQBuAHAAdQB0AFwAIgA7AFwAbgAgACAAIAAgACAAIAAgACAAIAAgAFwAIgB6AFwAIgAsACAAXAAiAHIAYQBpAG4AZgBhAGwAbAAgAHoAbwBuAGUAXAAiACwAIABcACIASQBuAHAAdQB0AFwAIgBcAG4AIAAgACAAIAAgACAAIAAgAH0ALAAgAHIALAAgAGMAKQBcAG4AIAAgACAAIAAgACAAKQBcAG4AIAAgACAAIAApAFwAbgAgACAAKQA7AFwAbgBcAG4AVgBFAEUAUgBHAF8ANQBfADEAXwAxAF8AMQBfAF8AMQBfAEkAbgBvAHIAZwBhAG4AaQBjAEYAZQByAHQAaQBsAGkAcwBlAHIAQQBwAHAAbABpAGMAYQB0AGkAbwBuAE4AMgBPAEUAbQBpAHMAcwBpAG8AbgBzAF8AQQByAGcAdQBtAGUAbgB0AHMAXwBNAGUAdABoAG8AZAAyAFwAbgAgACAAPQBMAEEATQBCAEQAQQAoAFwAbgAgACAAIAAgAE0AQQBLAEUAQQBSAFIAQQBZACgAOAAsACAAMwAsACAAXABuACAAIAAgACAAIAAgAEwAQQBNAEIARABBACgAcgAsAGMALAAgAFwAbgAgACAAIAAgACAAIAAgACAASQBOAEQARQBYACgAewBcAG4AIAAgACAAIAAgACAAIAAgACAAIABcACIATQBOAF8AagBmAFwAIgAsAFwAIgBtAGEAcwBzACAAbwBmACAAbgBpAHQAcgBvAGcAZQBuACAAaQBuACAAaQBuAG8AcgBnAGEAbgBpAGMAIABmAGUAcgB0AGkAbABpAHMAZQByACAAdAB5AHAAZQAgAGYAIABhAHAAcABsAGkAZQBkACAAdABvACAAcAByAG8AZAB1AGMAdABpAG8AbgAgAHMAeQBzAHQAZQBtACAAagAgACgAawBnACAATgApAFwAIgAsACAAXAAiAEMAYQBsAGMAdQBsAGEAdABlAGQAXAAiADsAXABuACAAIAAgACAAIAAgACAAIAAgACAAXAAiAEUARgBfAGoATgAyAE8AXAAiACwAXAAiAGUAbQBpAHMAcwBpAG8AbgAgAGYAYQBjAHQAbwByACAAZgBvAHIAIABuAGkAdAByAG8AdQBzACAAbwB4AGkAZABlACAAZgBvAHIAIABpAG4AbwByAGcAYQBuAGkAYwAgAGYAZQByAHQAaQBsAGkAcwBlAHIAcwAgACgAawBnACAATgAyAE8ALQBOAC8AawBnACAATgAgAGEAcABwAGwAaQBlAGQAKQBcACIALAAgAFwAIgBMAG8AbwBrAHUAcABcACIAOwBcAG4AIAAgACAAIAAgACAAIAAgACAAIABcACIAQwBfAE4AMgBPAFwAIgAsAFwAIgBmAGEAYwB0AG8AcgAgAHQAbwAgAGMAbwBuAHYAZQByAHQAIABlAGwAZQBtAGUAbgB0AGEAbAAgAG0AYQBzAHMAIABvAGYAIABuAGkAdAByAG8AdQBzACAAbwB4AGkAZABlACAAdABvACAAbQBvAGwAZQBjAHUAbABhAHIAIABtAGEAcwBzAFwAIgAsACAAXAAiAEMAbwBuAHMAdABhAG4AdABcACIAOwBcAG4AIAAgACAAIAAgACAAIAAgACAAIABcACIAagBcACIALABcACIAUAByAG8AZAB1AGMAdABpAG8AbgAgAHMAeQBzAHQAZQBtAFwAIgAsACAAXAAiAEkAbgBwAHUAdABcACIAOwBcAG4AIAAgACAAIAAgACAAIAAgACAAIABcACIAYwBcACIALABcACIAQwByAG8AcAAgAHQAeQBwAGUAXAAiACwAIABcACIASQBuAHAAdQB0AFwAIgA7AFwAbgAgACAAIAAgACAAIAAgACAAIAAgAFwAIgBmAFwAIgAsAFwAIgBJAG4AbwByAGcAYQBuAGkAYwAgAGYAZQByAHQAaQBsAGkAcwBlAHIAIAB0AHkAcABlAFwAIgAsACAAXAAiAEMAbwBuAHMAdABhAG4AdABcACIAOwBcAG4AIAAgACAAIAAgACAAIAAgACAAIABcACIAaQByAFwAIgAsACAAXAAiAGkAcgByAGkAZwBhAHQAaQBvAG4AIABtAGUAdABoAG8AZABcACIALAAgAFwAIgBJAG4AcAB1AHQAXAAiADsAXABuACAAIAAgACAAIAAgACAAIAAgACAAXAAiAHoAXAAiACwAIABcACIAcgBhAGkAbgBmAGEAbABsACAAegBvAG4AZQ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MQBfADEAXwAxAF8AXwAyAF8ATQBhAHMAcwBPAGYATgBpAHQAcgBvAGcAZQBuAEkAbgBJAG4AbwByAGcAYQBuAGkAYwBGAGUAcgB0AGkAbABpAHMAZQByAFwAbgBNAGEAcwBzACAAbwBmACAAbgBpAHQAcgBvAGcAZQBuACAAaQBuACAAaQBuAG8AcgBnAGEAbgBpAGMAIABmAGUAcgB0AGkAbABpAHMAZQByACAAYQBwAHAAbABpAGUAZAAgAHQAbwAgAHAAcgBvAGQAdQBjAHQAaQBvAG4AIABzAHkAcwB0AGUAbQBcAG4ATQBOAF8AagBmAFwAbgBrAGcAIABOAFwAbgB7AE0ATgB9AF8AewBqAGYAfQA9AFQATQBfAHsAagBmAH0AXABcAHQAaQBtAGUAcwAgAEYATgBfAHsAaQBuAG8AcgBnAGEAbgBpAGMALABmAH0AXABuAFQATQBfAGoAZgBcAG4ARgBOAF8AaQBuAG8AcgBnAGEAbgBpAGMAZgBcAG4AagBcAG4AaQBuAG8AcgBnAGEAbgBpAGMAXABuAGYAXABuAC0ALQAtAC0ALQAtAC0ALQAtAC0ALQAtAC0ALQAtAC0ALQAtAC0ALQAtAC0ALQAtAC0ALQAtAC0ALQAtAC0ALQAtAC0ALQAtAC0ALQBcAG4AKgAvAFwAbgBcAG4AVgBFAEUAUgBHAF8ANQBfADEAXwAxAF8AMQBfAF8AMgBfAE0AYQBzAHMATwBmAE4AaQB0AHIAbwBnAGUAbgBJAG4ASQBuAG8AcgBnAGEAbgBpAGMARgBlAHIAdABpAGwAaQBzAGUAcgBcAG4AIAAgAD0ATABBAE0AQgBEAEEAKABcAG4AIAAgACAAIABUAE0AXwBqAGYALAAgAEYATgBfAGkAbgBvAHIAZwBhAG4AaQBjAGYALABcAG4AIAAgACAAIABUAE0AXwBqAGYAIAAqACAARgBOAF8AaQBuAG8AcgBnAGEAbgBpAGMAZgBcAG4AIAAgACkAOwBcAG4AXABuAFYARQBFAFIARwBfADUAXwAxAF8AMQBfADEAXwBfADIAXwBNAGEAcwBzAE8AZgBOAGkAdAByAG8AZwBlAG4ASQBuAEkAbgBvAHIAZwBhAG4AaQBjAEYAZQByAHQAaQBsAGkAcwBlAHIAXwBUAGkAdABsAGUAXABuACAAIAA9AEwAQQBNAEIARABBACgAXAAiAE0AYQBzAHMAIABvAGYAIABuAGkAdAByAG8AZwBlAG4AIABpAG4AIABpAG4AbwByAGcAYQBuAGkAYwAgAGYAZQByAHQAaQBsAGkAcwBlAHIAIABhAHAAcABsAGkAZQBkACAAdABvACAAcAByAG8AZAB1AGMAdABpAG8AbgAgAHMAeQBzAHQAZQBtAFwAIgApADsAXABuAFwAbgBWAEUARQBSAEcAXwA1AF8AMQBfADEAXwAxAF8AXwAyAF8ATQBhAHMAcwBPAGYATgBpAHQAcgBvAGcAZQBuAEkAbgBJAG4AbwByAGcAYQBuAGkAYwBGAGUAcgB0AGkAbABpAHMAZQByAF8AVgBhAHIAaQBhAGIAbABlAFwAbgAgACAAPQBMAEEATQBCAEQAQQAoAFwAIgBNAE4AXwBqAGYAXAAiACkAOwBcAG4AXABuAFYARQBFAFIARwBfADUAXwAxAF8AMQBfADEAXwBfADIAXwBNAGEAcwBzAE8AZgBOAGkAdAByAG8AZwBlAG4ASQBuAEkAbgBvAHIAZwBhAG4AaQBjAEYAZQByAHQAaQBsAGkAcwBlAHIAXwBVAG4AaQB0AFwAbgAgACAAPQBMAEEATQBCAEQAQQAoAFwAIgBrAGcAIABOAFwAIgApADsAXABuAFwAbgBWAEUARQBSAEcAXwA1AF8AMQBfADEAXwAxAF8AXwAyAF8ATQBhAHMAcwBPAGYATgBpAHQAcgBvAGcAZQBuAEkAbgBJAG4AbwByAGcAYQBuAGkAYwBGAGUAcgB0AGkAbABpAHMAZQByAF8AUwBvAHUAcgBjAGUAXABuACAAIAA9AEwAQQBNAEIARABBACgAXAAiAFYARQBFAFIARwAgADIAMAAyADYAOgAgADUALgAxAC4AMQAuADEALAAgAEUAcQB1AGEAdABpAG8AbgAgACgAMgApAFwAIgApADsAXABuAFwAbgBWAEUARQBSAEcAXwA1AF8AMQBfADEAXwAxAF8AXwAyAF8ATQBhAHMAcwBPAGYATgBpAHQAcgBvAGcAZQBuAEkAbgBJAG4AbwByAGcAYQBuAGkAYwBGAGUAcgB0AGkAbABpAHMAZQByAF8ATgBJAFIAUgBlAGYAZQByAGUAbgBjAGUAXABuACAAIAA9AEwAQQBNAEIARABBACgAXAAiAFwAIgApADsAXABuAFwAbgBWAEUARQBSAEcAXwA1AF8AMQBfADEAXwAxAF8AXwAyAF8ATQBhAHMAcwBPAGYATgBpAHQAcgBvAGcAZQBuAEkAbgBJAG4AbwByAGcAYQBuAGkAYwBGAGUAcgB0AGkAbABpAHMAZQByAF8ATABhAHQAZQB4AEUAcQB1AGEAdABpAG8AbgBcAG4AIAAgAD0ATABBAE0AQgBEAEEAKABcACIAewBNAE4AfQBfAHsAagBmAH0APQBUAE0AXwB7AGoAZgB9AFwAXAB0AGkAbQBlAHMAIABGAE4AXwB7AGkAbgBvAHIAZwBhAG4AaQBjACwAZgB9AFwAIgApADsAXABuAFwAbgBWAEUARQBSAEcAXwA1AF8AMQBfADEAXwAxAF8AXwAyAF8ATQBhAHMAcwBPAGYATgBpAHQAcgBvAGcAZQBuAEkAbgBJAG4AbwByAGcAYQBuAGkAYwBGAGUAcgB0AGkAbABpAHMAZQByAF8AQQByAGcAdQBtAGUAbgB0AHMAXABuACAAIAA9AEwAQQBNAEIARABBACgAXABuACAAIAAgACAATQBBAEsARQBBAFIAUgBBAFkAKAAyACwAIAAzACwAIABcAG4AIAAgACAAIAAgACAATABBAE0AQgBEAEEAKAByACwAYwAsACAAXABuACAAIAAgACAAIAAgACAAIABJAE4ARABFAFgAKAB7AFwAbgAgACAAIAAgACAAIAAgACAAIAAgAFwAIgBUAE0AXwBqAGYAXAAiACwAXAAiAHQAbwB0AGEAbAAgAG0AYQBzAHMAIABvAGYAIABpAG4AbwByAGcAYQBuAGkAYwAgAGYAZQByAHQAaQBsAGkAcwBlAHIAIAB0AHkAcABlACAAZgAgAGEAcABwAGwAaQBlAGQAIAB0AG8AIABwAHIAbwBkAHUAYwB0AGkAbwBuACAAcwB5AHMAdABlAG0AIABqACAAKABrAGcAKQBcACIALAAgAFwAIgBJAG4AcAB1AHQAXAAiADsAXABuACAAIAAgACAAIAAgACAAIAAgACAAXAAiAEYATgBfAGkAbgBvAHIAZwBhAG4AaQBjAGYAXAAiACwAXAAiAGYAcgBhAGMAdABpAG8AbgAgAG8AZgAgAG4AaQB0AHIAbwBnAGUAbgAgAGkAbgAgAGkAbgBvAHIAZwBhAG4AaQBjACAAZgBlAHIAdABpAGwAaQBzAGUAcgAgAHQAeQBwAGUAIABmACAAKABrAGcAIABOAC8AawBnACkAXAAiACwAIABcACIAQwBvAG4AcwB0AGEAbgB0AFwAIgBcAG4AIAAgACAAIAAgACAAIAAgAH0ALAAgAHIALAAgAGMAKQBcAG4AIAAgACAAIAAgACAAKQBcAG4AIAAgACAAIAApAFwAbgAgACAAKQA7AFwAbgBcAG4AXABuAC8AKgAgAFwAbgAtAC0ALQAtAC0ALQAtAC0ALQAtAC0ALQAtAC0ALQAtAC0ALQAtAC0ALQAtAC0ALQAtAC0ALQAtAC0ALQAtAC0ALQAtAC0ALQAtAC0AXABuAFYARQBFAFIARwBfADUAXwAxAF8AMQBfADIAXwBfADEAXwBFAG0AaQBzAHMAaQBvAG4ARgBhAGMAdABvAHIASQByAHIAaQBnAGEAdABlAGQATQBhAGkAegBlAFwAbgBFAG0AaQBzAHMAaQBvAG4AIABmAGEAYwB0AG8AcgAgAGYAbwByACAAbgBpAHQAcgBvAHUAcwAgAG8AeABpAGQAZQAgAGYAbwByACAAaQByAHIAaQBnAGEAdABlAGQAIABtAGEAaQB6AGUAXABuAEUARgBfAGYAagBJAHIAcgBpAGcAYQB0AGUAZABNAGEAaQB6AGUATgAyAE8AXABuAGsAZwAgAE4AMgBPAC0ATgAvAGsAZwAgAE4AIABhAHAAcABsAGkAZQBkAFwAbgBFAEYAXwB7AGYAagA9AGkAcgByAGkAZwBhAHQAZQBkAG0AYQBpAHoAZQAsAE4AMgBPAH0APQAoAC0AMAAuADEANAA3ADQAKwAoADAALgAwADAANgAxAFwAXAB0AGkAbQBlAHMAIABOAF8AewBmAGoAPQBpAHIAcgBpAGcAYQB0AGUAZABtAGEAaQB6AGUAfQApACkAXABcAHQAaQBtAGUAcwAgADEAMABeAHsALQAyAH0AXABuAE4AXwBmAGoASQByAHIAaQBnAGEAdABlAGQATQBhAGkAegBlAFwAbgBmAFwAbgAtAC0ALQAtAC0ALQAtAC0ALQAtAC0ALQAtAC0ALQAtAC0ALQAtAC0ALQAtAC0ALQAtAC0ALQAtAC0ALQAtAC0ALQAtAC0ALQAtAC0AXABuACoALwBcAG4AXABuAFYARQBFAFIARwBfADUAXwAxAF8AMQBfADIAXwBfADEAXwBFAG0AaQBzAHMAaQBvAG4ARgBhAGMAdABvAHIASQByAHIAaQBnAGEAdABlAGQATQBhAGkAegBlAFwAbgAgACAAPQBMAEEATQBCAEQAQQAoAFwAbgAgACAAIAAgAE4AXwBmAGoASQByAHIAaQBnAGEAdABlAGQATQBhAGkAegBlACwAXABuACAAIAAgACAAKAAtADAALgAxADQANwA0ACAAKwAgACgAMAAuADAAMAA2ADEAIAAqACAATgBfAGYAagBJAHIAcgBpAGcAYQB0AGUAZABNAGEAaQB6AGUAKQApACAAKgAgADEAMAAgAF4AIAAtADIAXABuACAAIAApADsAXABuAFwAbgBWAEUARQBSAEcAXwA1AF8AMQBfADEAXwAyAF8AXwAxAF8ARQBtAGkAcwBzAGkAbwBuAEYAYQBjAHQAbwByAEkAcgByAGkAZwBhAHQAZQBkAE0AYQBpAHoAZQBfAFQAaQB0AGwAZQBcAG4AIAAgAD0ATABBAE0AQgBEAEEAKABcACIARQBtAGkAcwBzAGkAbwBuACAAZgBhAGMAdABvAHIAIABmAG8AcgAgAG4AaQB0AHIAbwB1AHMAIABvAHgAaQBkAGUAIABmAG8AcgAgAGkAcgByAGkAZwBhAHQAZQBkACAAbQBhAGkAegBlAFwAIgApADsAXABuAFwAbgBWAEUARQBSAEcAXwA1AF8AMQBfADEAXwAyAF8AXwAxAF8ARQBtAGkAcwBzAGkAbwBuAEYAYQBjAHQAbwByAEkAcgByAGkAZwBhAHQAZQBkAE0AYQBpAHoAZQBfAFYAYQByAGkAYQBiAGwAZQBcAG4AIAAgAD0ATABBAE0AQgBEAEEAKABcACIARQBGAF8AZgBqAEkAcgByAGkAZwBhAHQAZQBkAE0AYQBpAHoAZQBOADIATwBcACIAKQA7AFwAbgBcAG4AVgBFAEUAUgBHAF8ANQBfADEAXwAxAF8AMgBfAF8AMQBfAEUAbQBpAHMAcwBpAG8AbgBGAGEAYwB0AG8AcgBJAHIAcgBpAGcAYQB0AGUAZABNAGEAaQB6AGUAXwBVAG4AaQB0AFwAbgAgACAAPQBMAEEATQBCAEQAQQAoAFwAIgBrAGcAIABOADIATwAtAE4ALwBrAGcAIABOACAAYQBwAHAAbABpAGUAZABcACIAKQA7AFwAbgBcAG4AVgBFAEUAUgBHAF8ANQBfADEAXwAxAF8AMgBfAF8AMQBfAEUAbQBpAHMAcwBpAG8AbgBGAGEAYwB0AG8AcgBJAHIAcgBpAGcAYQB0AGUAZABNAGEAaQB6AGUAXwBTAG8AdQByAGMAZQBcAG4AIAAgAD0ATABBAE0AQgBEAEEAKABcACIAVgBFAEUAUgBHACAAMgAwADIANgA6ACAANQAuADEALgAxAC4AMgAsACAARQBxAHUAYQB0AGkAbwBuACAAKAAxACkAXAAiACkAOwBcAG4AXABuAFYARQBFAFIARwBfADUAXwAxAF8AMQBfADIAXwBfADEAXwBFAG0AaQBzAHMAaQBvAG4ARgBhAGMAdABvAHIASQByAHIAaQBnAGEAdABlAGQATQBhAGkAegBlAF8ATgBJAFIAUgBlAGYAZQByAGUAbgBjAGUAXABuACAAIAA9AEwAQQBNAEIARABBACgAXAAiAFwAIgApADsAXABuAFwAbgBWAEUARQBSAEcAXwA1AF8AMQBfADEAXwAyAF8AXwAxAF8ARQBtAGkAcwBzAGkAbwBuAEYAYQBjAHQAbwByAEkAcgByAGkAZwBhAHQAZQBkAE0AYQBpAHoAZQBfAEwAYQB0AGUAeABFAHEAdQBhAHQAaQBvAG4AXABuACAAIAA9AEwAQQBNAEIARABBACgAXAAiAEUARgBfAHsAZgBqAD0AaQByAHIAaQBnAGEAdABlAGQAbQBhAGkAegBlACwATgAyAE8AfQA9ACgALQAwAC4AMQA0ADcANAArACgAMAAuADAAMAA2ADEAXABcAHQAaQBtAGUAcwAgAE4AXwB7AGYAagA9AGkAcgByAGkAZwBhAHQAZQBkAG0AYQBpAHoAZQB9ACkAKQBcAFwAdABpAG0AZQBzACAAMQAwAF4AewAtADIAfQBcACIAKQA7AFwAbgBcAG4AVgBFAEUAUgBHAF8ANQBfADEAXwAxAF8AMgBfAF8AMQBfAEUAbQBpAHMAcwBpAG8AbgBGAGEAYwB0AG8AcgBJAHIAcgBpAGcAYQB0AGUAZABNAGEAaQB6AGUAXwBBAHIAZwB1AG0AZQBuAHQAcwBcAG4AIAAgAD0ATABBAE0AQgBEAEEAKABcAG4AIAAgACAAIABNAEEASwBFAEEAUgBSAEEAWQAoADIALAAgADMALAAgAFwAbgAgACAAIAAgACAAIABMAEEATQBCAEQAQQAoAHIALABjACwAIABcAG4AIAAgACAAIAAgACAAIAAgAEkATgBEAEUAWAAoAHsAXABuACAAIAAgACAAIAAgACAAIAAgACAAXAAiAE4AXwBmAGoASQByAHIAaQBnAGEAdABlAGQATQBhAGkAegBlAFwAIgAsAFwAIgBhAHAAcABsAGkAYwBhAHQAaQBvAG4AIAByAGEAdABlACAAbwBmACAAaQBuAG8AcgBnAGEAbgBpAGMAIABmAGUAcgB0AGkAbABpAHMAZQByACAAdAB5AHAAZQAgAGYAIABpAG4AIAB0AGgAZQAgAGkAcgByAGkAZwBhAHQAZQBkACAAbQBhAGkAegBlACAAYwByAG8AcAAgACgAawBnACAATgAvAGgAYQApAFwAIgAsACAAXAAiAEkAbgBwAHUAdABcACIAOwBcAG4AIAAgACAAIAAgACAAIAAgACAAIABcACIAZgBcACIALABcACIASQBuAG8AcgBnAGEAbgBpAGMAIABmAGUAcgB0AGkAbABpAHMAZQByACAAdAB5AHAAZQ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MQBfADEAXwAyAF8AXwAyAF8ARQBtAGkAcwBzAGkAbwBuAEYAYQBjAHQAbwByAE4AbwBuAEkAcgByAGkAZwBhAHQAZQBkAEcAcgBhAGkAbgBzAEgAaQBnAGgAUgBhAGkAbgBmAGEAbABsAFwAbgBFAG0AaQBzAHMAaQBvAG4AIABmAGEAYwB0AG8AcgAgAGYAbwByACAAbgBpAHQAcgBvAHUAcwAgAG8AeABpAGQAZQAgAGYAbwByACAAbgBvAG4ALQBpAHIAcgBpAGcAYQB0AGUAZAAgAGcAcgBhAGkAbgBzACAAaQBuACAAaABpAGcAaAAgAHIAYQBpAG4AZgBhAGwAbAAgAHoAbwBuAGUAXABuAEUARgBfAGYAagBOAG8AbgBJAHIAcgBpAGcAYQB0AGUAZABHAHIAYQBpAG4AcwBOADIATwBcAG4AawBnACAATgAyAE8ALQBOAC8AawBnACAATgAgAGEAcABwAGwAaQBlAGQAXABuAEUARgBfAHsAZgBqAD0AbgBvAG4AaQByAHIAaQBnAGEAdABlAGQAZwByAGEAaQBuAHMALABOADIATwB9AD0AKAAwAC4AMAA3ADgAMQArACgAMAAuADAAMAA3ADUAXABcAHQAaQBtAGUAcwAgAE4AXwB7AGYAagA9AG4AbwBuAGkAcgByAGkAZwBhAHQAZQBkAGcAcgBhAGkAbgBzAH0AKQApAFwAXAB0AGkAbQBlAHMAIAAxADAAXgB7AC0AMgB9AFwAbgBOAF8AZgBqAE4AbwBuAEkAcgByAGkAZwBhAHQAZQBkAEcAcgBhAGkAbgBzAFwAbgBmAFwAbgAtAC0ALQAtAC0ALQAtAC0ALQAtAC0ALQAtAC0ALQAtAC0ALQAtAC0ALQAtAC0ALQAtAC0ALQAtAC0ALQAtAC0ALQAtAC0ALQAtAC0AXABuACoALwBcAG4AXABuAFYARQBFAFIARwBfADUAXwAxAF8AMQBfADIAXwBfADIAXwBFAG0AaQBzAHMAaQBvAG4ARgBhAGMAdABvAHIATgBvAG4ASQByAHIAaQBnAGEAdABlAGQARwByAGEAaQBuAHMASABpAGcAaABSAGEAaQBuAGYAYQBsAGwAXABuACAAIAA9AEwAQQBNAEIARABBACgAXABuACAAIAAgACAATgBfAGYAagBOAG8AbgBJAHIAcgBpAGcAYQB0AGUAZABHAHIAYQBpAG4AcwAsAFwAbgAgACAAIAAgACgAMAAuADAANwA4ADEAIAArACAAKAAwAC4AMAAwADcANQAgACoAIABOAF8AZgBqAE4AbwBuAEkAcgByAGkAZwBhAHQAZQBkAEcAcgBhAGkAbgBzACkAKQAgACoAIAAxADAAIABeACAALQAyAFwAbgAgACAAKQA7AFwAbgBcAG4AVgBFAEUAUgBHAF8ANQBfADEAXwAxAF8AMgBfAF8AMgBfAEUAbQBpAHMAcwBpAG8AbgBGAGEAYwB0AG8AcgBOAG8AbgBJAHIAcgBpAGcAYQB0AGUAZABHAHIAYQBpAG4AcwBIAGkAZwBoAFIAYQBpAG4AZgBhAGwAbABfAFQAaQB0AGwAZQBcAG4AIAAgAD0ATABBAE0AQgBEAEEAKABcACIARQBtAGkAcwBzAGkAbwBuACAAZgBhAGMAdABvAHIAIABmAG8AcgAgAG4AaQB0AHIAbwB1AHMAIABvAHgAaQBkAGUAIABmAG8AcgAgAG4AbwBuAC0AaQByAHIAaQBnAGEAdABlAGQAIABnAHIAYQBpAG4AcwAgAGkAbgAgAGgAaQBnAGgAIAByAGEAaQBuAGYAYQBsAGwAIAB6AG8AbgBlAFwAIgApADsAXABuAFwAbgBWAEUARQBSAEcAXwA1AF8AMQBfADEAXwAyAF8AXwAyAF8ARQBtAGkAcwBzAGkAbwBuAEYAYQBjAHQAbwByAE4AbwBuAEkAcgByAGkAZwBhAHQAZQBkAEcAcgBhAGkAbgBzAEgAaQBnAGgAUgBhAGkAbgBmAGEAbABsAF8AVgBhAHIAaQBhAGIAbABlAFwAbgAgACAAPQBMAEEATQBCAEQAQQAoAFwAIgBFAEYAXwBmAGoATgBvAG4ASQByAHIAaQBnAGEAdABlAGQARwByAGEAaQBuAHMATgAyAE8AXAAiACkAOwBcAG4AXABuAFYARQBFAFIARwBfADUAXwAxAF8AMQBfADIAXwBfADIAXwBFAG0AaQBzAHMAaQBvAG4ARgBhAGMAdABvAHIATgBvAG4ASQByAHIAaQBnAGEAdABlAGQARwByAGEAaQBuAHMASABpAGcAaABSAGEAaQBuAGYAYQBsAGwAXwBVAG4AaQB0AFwAbgAgACAAPQBMAEEATQBCAEQAQQAoAFwAIgBrAGcAIABOADIATwAtAE4ALwBrAGcAIABOACAAYQBwAHAAbABpAGUAZABcACIAKQA7AFwAbgBcAG4AVgBFAEUAUgBHAF8ANQBfADEAXwAxAF8AMgBfAF8AMgBfAEUAbQBpAHMAcwBpAG8AbgBGAGEAYwB0AG8AcgBOAG8AbgBJAHIAcgBpAGcAYQB0AGUAZABHAHIAYQBpAG4AcwBIAGkAZwBoAFIAYQBpAG4AZgBhAGwAbABfAFMAbwB1AHIAYwBlAFwAbgAgACAAPQBMAEEATQBCAEQAQQAoAFwAIgBWAEUARQBSAEcAIAAyADAAMgA2ADoAIAA1AC4AMQAuADEALgAyACwAIABFAHEAdQBhAHQAaQBvAG4AIAAoADIAKQBcACIAKQA7AFwAbgBcAG4AVgBFAEUAUgBHAF8ANQBfADEAXwAxAF8AMgBfAF8AMgBfAEUAbQBpAHMAcwBpAG8AbgBGAGEAYwB0AG8AcgBOAG8AbgBJAHIAcgBpAGcAYQB0AGUAZABHAHIAYQBpAG4AcwBIAGkAZwBoAFIAYQBpAG4AZgBhAGwAbABfAE4ASQBSAFIAZQBmAGUAcgBlAG4AYwBlAFwAbgAgACAAPQBMAEEATQBCAEQAQQAoAFwAIgBcACIAKQA7AFwAbgBcAG4AVgBFAEUAUgBHAF8ANQBfADEAXwAxAF8AMgBfAF8AMgBfAEUAbQBpAHMAcwBpAG8AbgBGAGEAYwB0AG8AcgBOAG8AbgBJAHIAcgBpAGcAYQB0AGUAZABHAHIAYQBpAG4AcwBIAGkAZwBoAFIAYQBpAG4AZgBhAGwAbABfAEwAYQB0AGUAeABFAHEAdQBhAHQAaQBvAG4AXABuACAAIAA9AEwAQQBNAEIARABBACgAXAAiAEUARgBfAHsAZgBqAD0AbgBvAG4AaQByAHIAaQBnAGEAdABlAGQAZwByAGEAaQBuAHMALABOADIATwB9AD0AKAAwAC4AMAA3ADgAMQArACgAMAAuADAAMAA3ADUAXABcAHQAaQBtAGUAcwAgAE4AXwB7AGYAagA9AG4AbwBuAGkAcgByAGkAZwBhAHQAZQBkAGcAcgBhAGkAbgBzAH0AKQApAFwAXAB0AGkAbQBlAHMAIAAxADAAXgB7AC0AMgB9AFwAIgApADsAXABuAFwAbgBWAEUARQBSAEcAXwA1AF8AMQBfADEAXwAyAF8AXwAyAF8ARQBtAGkAcwBzAGkAbwBuAEYAYQBjAHQAbwByAE4AbwBuAEkAcgByAGkAZwBhAHQAZQBkAEcAcgBhAGkAbgBzAEgAaQBnAGgAUgBhAGkAbgBmAGEAbABsAF8AQQByAGcAdQBtAGUAbgB0AHMAXABuACAAIAA9AEwAQQBNAEIARABBACgAXABuACAAIAAgACAATQBBAEsARQBBAFIAUgBBAFkAKAAyACwAIAAzACwAIABcAG4AIAAgACAAIAAgACAATABBAE0AQgBEAEEAKAByACwAYwAsACAAXABuACAAIAAgACAAIAAgACAAIABJAE4ARABFAFgAKAB7AFwAbgAgACAAIAAgACAAIAAgACAAIAAgAFwAIgBOAF8AZgBqAE4AbwBuAEkAcgByAGkAZwBhAHQAZQBkAEcAcgBhAGkAbgBzAFwAIgAsAFwAIgBhAHAAcABsAGkAYwBhAHQAaQBvAG4AIAByAGEAdABlACAAbwBmACAAaQBuAG8AcgBnAGEAbgBpAGMAIABmAGUAcgB0AGkAbABpAHMAZQByACAAdAB5AHAAZQAgAGYAIABpAG4AIAB0AGgAZQAgAGcAcgBhAGkAbgBzACAAYwByAG8AcAAgACgAawBnACAATgAvAGgAYQApAFwAIgAsACAAXAAiAEkAbgBwAHUAdABcACIAOwBcAG4AIAAgACAAIAAgACAAIAAgACAAIABcACIAZgBcACIALABcACIASQBuAG8AcgBnAGEAbgBpAGMAIABmAGUAcgB0AGkAbABpAHMAZQByACAAdAB5AHAAZQ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MQBfADEAXwAyAF8AXwAzAF8ARQBtAGkAcwBzAGkAbwBuAEYAYQBjAHQAbwByAEMAbwB0AHQAbwBuAFwAbgBFAG0AaQBzAHMAaQBvAG4AIABmAGEAYwB0AG8AcgAgAGYAbwByACAAbgBpAHQAcgBvAHUAcwAgAG8AeABpAGQAZQAgAGYAbwByACAAYwBvAHQAdABvAG4AXABuAEUARgBfAGYAagBDAG8AdAB0AG8AbgBOADIATwBcAG4AawBnACAATgAyAE8ALQBOAC8AawBnACAATgAgAGEAcABwAGwAaQBlAGQAXABuAEUARgBfAHsAZgBqAD0AYwBvAHQAdABvAG4ALABOADIATwB9AD0AXABcAG0AaQBuAFwAXABsAGUAZgB0ACgAKAAwAC4AMAAxAFwAXAB0AGkAbQBlAHMAKAAwAC4AMgA5ACsAMAAuADAAMAA3AFwAXAB0AGkAbQBlAHMAKAAoAGUAXgB7ACgAMAAuADAAMwA3AFwAXAB0AGkAbQBlAHMAIABOAF8AewBmAGoAPQBjAG8AdAB0AG8AbgB9ACkAfQAtADEAKQAvAE4AXwB7AGYAagA9AGMAbwB0AHQAbwBuAH0AKQApACkAXABcAHQAaQBtAGUAcwAgADEAMABeAHsALQAyAH0ALAAwAC4AMAAxADgAMwBcAFwAcgBpAGcAaAB0ACkAXABuAE4AXwBmAGoAQwBvAHQAdABvAG4AXABuAGYAXABuAC0ALQAtAC0ALQAtAC0ALQAtAC0ALQAtAC0ALQAtAC0ALQAtAC0ALQAtAC0ALQAtAC0ALQAtAC0ALQAtAC0ALQAtAC0ALQAtAC0ALQBcAG4AKgAvAFwAbgBcAG4AVgBFAEUAUgBHAF8ANQBfADEAXwAxAF8AMgBfAF8AMwBfAEUAbQBpAHMAcwBpAG8AbgBGAGEAYwB0AG8AcgBDAG8AdAB0AG8AbgBcAG4AIAAgAD0ATABBAE0AQgBEAEEAKABcAG4AIAAgACAAIABOAF8AZgBqAEMAbwB0AHQAbwBuACwAXABuACAAIAAgACAAKAAwAC4AMAAxACAAKgAgACgAMAAuADIAOQAgACsAIAAoACAAIAAoADAALgAwADAANwAgACoAIAAoAEUAWABQACgAMAAuADAAMwA3ACAAKgAgAE4AXwBmAGoAQwBvAHQAdABvAG4AKQAgAC0AIAAxACkAKQAgAC8AIABOAF8AZgBqAEMAbwB0AHQAbwBuACAAIAApACAAKQApACAAKgAgADEAMAAgAF4AIAAtADIAXABuACAAIAApADsAXABuAFwAbgBWAEUARQBSAEcAXwA1AF8AMQBfADEAXwAyAF8AXwAzAF8ARQBtAGkAcwBzAGkAbwBuAEYAYQBjAHQAbwByAEMAbwB0AHQAbwBuAF8AVABpAHQAbABlAFwAbgAgACAAPQBMAEEATQBCAEQAQQAoAFwAIgBFAG0AaQBzAHMAaQBvAG4AIABmAGEAYwB0AG8AcgAgAGYAbwByACAAbgBpAHQAcgBvAHUAcwAgAG8AeABpAGQAZQAgAGYAbwByACAAYwBvAHQAdABvAG4AXAAiACkAOwBcAG4AXABuAFYARQBFAFIARwBfADUAXwAxAF8AMQBfADIAXwBfADMAXwBFAG0AaQBzAHMAaQBvAG4ARgBhAGMAdABvAHIAQwBvAHQAdABvAG4AXwBWAGEAcgBpAGEAYgBsAGUAXABuACAAIAA9AEwAQQBNAEIARABBACgAXAAiAEUARgBfAGYAagBDAG8AdAB0AG8AbgBOADIATwBcACIAKQA7AFwAbgBcAG4AVgBFAEUAUgBHAF8ANQBfADEAXwAxAF8AMgBfAF8AMwBfAEUAbQBpAHMAcwBpAG8AbgBGAGEAYwB0AG8AcgBDAG8AdAB0AG8AbgBfAFUAbgBpAHQAXABuACAAIAA9AEwAQQBNAEIARABBACgAXAAiAGsAZwAgAE4AMgBPAC0ATgAvAGsAZwAgAE4AIABhAHAAcABsAGkAZQBkAFwAIgApADsAXABuAFwAbgBWAEUARQBSAEcAXwA1AF8AMQBfADEAXwAyAF8AXwAzAF8ARQBtAGkAcwBzAGkAbwBuAEYAYQBjAHQAbwByAEMAbwB0AHQAbwBuAF8AUwBvAHUAcgBjAGUAXABuACAAIAA9AEwAQQBNAEIARABBACgAXAAiAFYARQBFAFIARwAgADIAMAAyADYAOgAgADUALgAxAC4AMQAuADIALAAgAEUAcQB1AGEAdABpAG8AbgAgACgAMwApAFwAIgApADsAXABuAFwAbgBWAEUARQBSAEcAXwA1AF8AMQBfADEAXwAyAF8AXwAzAF8ARQBtAGkAcwBzAGkAbwBuAEYAYQBjAHQAbwByAEMAbwB0AHQAbwBuAF8ATgBJAFIAUgBlAGYAZQByAGUAbgBjAGUAXABuACAAIAA9AEwAQQBNAEIARABBACgAXAAiAFwAIgApADsAXABuAFwAbgBWAEUARQBSAEcAXwA1AF8AMQBfADEAXwAyAF8AXwAzAF8ARQBtAGkAcwBzAGkAbwBuAEYAYQBjAHQAbwByAEMAbwB0AHQAbwBuAF8ATABhAHQAZQB4AEUAcQB1AGEAdABpAG8AbgBcAG4AIAAgAD0ATABBAE0AQgBEAEEAKABcACIARQBGAF8AewBmAGoAPQBjAG8AdAB0AG8AbgAsAE4AMgBPAH0APQAoADAALgAwADEAIABcAFwAdABpAG0AZQBzACAAKAAwAC4AMgA5ACAAKwAgAFwAXABmAHIAYQBjAHsAMAAuADAAMAA3ACgAZQBeAHsAMAAuADAAMwA3ACAAXABcAHQAaQBtAGUAcwAgAE4AXwB7AGYAagA9AGMAbwB0AHQAbwBuAH0AfQAtADEAKQB9AHsATgBfAHsAZgBqAD0AYwBvAHQAdABvAG4AfQB9ACkAKQAgAFwAXAB0AGkAbQBlAHMAIAAxADAAXgB7AC0AMgB9AFwAbgBcACIAKQA7AFwAbgBcAG4AVgBFAEUAUgBHAF8ANQBfADEAXwAxAF8AMgBfAF8AMwBfAEUAbQBpAHMAcwBpAG8AbgBGAGEAYwB0AG8AcgBDAG8AdAB0AG8AbgBfAEEAcgBnAHUAbQBlAG4AdABzAFwAbgAgACAAPQBMAEEATQBCAEQAQQAoAFwAbgAgACAAIAAgAE0AQQBLAEUAQQBSAFIAQQBZACgAMgAsACAAMwAsACAAXABuACAAIAAgACAAIAAgAEwAQQBNAEIARABBACgAcgAsAGMALAAgAFwAbgAgACAAIAAgACAAIAAgACAASQBOAEQARQBYACgAewBcAG4AIAAgACAAIAAgACAAIAAgACAAIABcACIATgBfAGYAagBDAG8AdAB0AG8AbgBcACIALABcACIAYQBwAHAAbABpAGMAYQB0AGkAbwBuACAAcgBhAHQAZQAgAG8AZgAgAGkAbgBvAHIAZwBhAG4AaQBjACAAZgBlAHIAdABpAGwAaQBzAGUAcgAgAHQAeQBwAGUAIABmACAAaQBuACAAdABoAGUAIABjAG8AdAB0AG8AbgAgAGMAcgBvAHAAIAAoAGsAZwAgAE4ALwBoAGEAKQBcACIALAAgAFwAIgBJAG4AcAB1AHQAXAAiADsAXABuACAAIAAgACAAIAAgACAAIAAgACAAXAAiAGYAXAAiACwAXAAiAEkAbgBvAHIAZwBhAG4AaQBjACAAZgBlAHIAdABpAGwAaQBzAGUAcgAgAHQAeQBwAGUAXAAiACwAIABcACIAQwBvAG4AcwB0AGEAbgB0AFwAIgBcAG4AIAAgACAAIAAgACAAIAAgAH0ALAAgAHIALAAgAGMAKQBcAG4AIAAgACAAIAAgACAAKQBcAG4AIAAgACAAIAApAFwAbgAgACAAKQA7AFwAbgBcAG4AIgB9ACwAewAiAHAAYQB0AGgAIgA6ACIALwBwAHIAbwBqAGUAYwB0AHMALwBGAGUAcgB0AGkAbABpAHMAZQByAF8ARQBxAHUAYQB0AGkAbwBuAHMAXwBJAG4AbwByAGcAYQBuAGkAYwBDAE8AM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EAIABJAG4AbwByAGcAYQBuAGkAYw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EAXwAxAF8AMwBfAF8AMQBfAEkAbgBvAHIAZwBhAG4AaQBjAEYAZQByAHQAaQBsAGkAcwBlAHIAQQBwAHAAbABpAGMAYQB0AGkAbwBuAEMATwAyAEUAbQBpAHMAcwBpAG8AbgBzAFwAbgBDAGEAcgBiAG8AbgAgAGQAaQBvAHgAaQBkAGUAIABlAG0AaQBzAHMAaQBvAG4AcwAgAHIAZQBzAHUAbAB0AGkAbgBnACAAZgByAG8AbQAgAHQAaABlACAAdQBzAGUAIABvAGYAIABhAGwAbAAgAGkAbgBvAHIAZwBhAG4AaQBjACwAIAB1AHIAZQBhAC0AYgBhAHMAZQBkACAAZgBlAHIAdABpAGwAaQBzAGUAcgBzAFwAbgBFAF8AQwBPADIAXABuAHQAIABDAE8AMgBcAG4ARQBfAHsAQwBPADIAfQA9AFwAXABzAHUAbQBfAHsAagB9AFwAXABzAHUAbQBfAHsAZgB9ACgAKABNAFUAXwB7AGoAZgB9AFwAXAB0AGkAbQBlAHMAIABFAEYAXwB7AHUAcgBlAGEALABDAE8AMgB9AFwAXAB0AGkAbQBlAHMAIABDAF8AewBDAE8AMgB9ACkAXABcAHQAaQBtAGUAcwAgADEAMABeAHsALQAzAH0AKQBcAG4ATQBVAF8AagBmAFwAbgBFAEYAXwB1AHIAZQBhAEMATwAyAFwAbgBDAF8AQwBPADIAXABuAGoAXABuAGYAXABuAC0ALQAtAC0ALQAtAC0ALQAtAC0ALQAtAC0ALQAtAC0ALQAtAC0ALQAtAC0ALQAtAC0ALQAtAC0ALQAtAC0ALQAtAC0ALQAtAC0ALQBcAG4AKgAvAFwAbgBcAG4AVgBFAEUAUgBHAF8ANQBfADEAXwAxAF8AMwBfAF8AMQBfAEkAbgBvAHIAZwBhAG4AaQBjAEYAZQByAHQAaQBsAGkAcwBlAHIAQQBwAHAAbABpAGMAYQB0AGkAbwBuAEMATwAyAEUAbQBpAHMAcwBpAG8AbgBzAFwAbgAgACAAPQBMAEEATQBCAEQAQQAoAFwAbgAgACAAIAAgAE0AVQBfAGoAZgAsACAARQBGAF8AdQByAGUAYQBDAE8AMgAsACAAQwBfAEMATwAyACwAXABuACAAIAAgACAAKABNAFUAXwBqAGYAIAAqACAARQBGAF8AdQByAGUAYQBDAE8AMgAgACoAIABDAF8AQwBPADIAKQAgACoAIAAxADAAIABeACAALQAzAFwAbgAgACAAKQA7AFwAbgBcAG4AVgBFAEUAUgBHAF8ANQBfADEAXwAxAF8AMwBfAF8AMQBfAEkAbgBvAHIAZwBhAG4AaQBjAEYAZQByAHQAaQBsAGkAcwBlAHIAQQBwAHAAbABpAGMAYQB0AGkAbwBuAEMATwAyAEUAbQBpAHMAcwBpAG8AbgBzAF8AVABpAHQAbABlAFwAbgAgACAAPQBMAEEATQBCAEQAQQAoAFwAIgBDAGEAcgBiAG8AbgAgAGQAaQBvAHgAaQBkAGUAIABlAG0AaQBzAHMAaQBvAG4AcwAgAHIAZQBzAHUAbAB0AGkAbgBnACAAZgByAG8AbQAgAHQAaABlACAAdQBzAGUAIABvAGYAIABhAGwAbAAgAGkAbgBvAHIAZwBhAG4AaQBjACwAIAB1AHIAZQBhAC0AYgBhAHMAZQBkACAAZgBlAHIAdABpAGwAaQBzAGUAcgBzAFwAIgApADsAXABuAFwAbgBWAEUARQBSAEcAXwA1AF8AMQBfADEAXwAzAF8AXwAxAF8ASQBuAG8AcgBnAGEAbgBpAGMARgBlAHIAdABpAGwAaQBzAGUAcgBBAHAAcABsAGkAYwBhAHQAaQBvAG4AQwBPADIARQBtAGkAcwBzAGkAbwBuAHMAXwBWAGEAcgBpAGEAYgBsAGUAXABuACAAIAA9AEwAQQBNAEIARABBACgAXAAiAEUAXwBDAE8AMgBcACIAKQA7AFwAbgBcAG4AVgBFAEUAUgBHAF8ANQBfADEAXwAxAF8AMwBfAF8AMQBfAEkAbgBvAHIAZwBhAG4AaQBjAEYAZQByAHQAaQBsAGkAcwBlAHIAQQBwAHAAbABpAGMAYQB0AGkAbwBuAEMATwAyAEUAbQBpAHMAcwBpAG8AbgBzAF8AVQBuAGkAdABcAG4AIAAgAD0ATABBAE0AQgBEAEEAKABcACIAdAAgAEMATwAyAFwAIgApADsAXABuAFwAbgBWAEUARQBSAEcAXwA1AF8AMQBfADEAXwAzAF8AXwAxAF8ASQBuAG8AcgBnAGEAbgBpAGMARgBlAHIAdABpAGwAaQBzAGUAcgBBAHAAcABsAGkAYwBhAHQAaQBvAG4AQwBPADIARQBtAGkAcwBzAGkAbwBuAHMAXwBTAG8AdQByAGMAZQBcAG4AIAAgAD0ATABBAE0AQgBEAEEAKABcACIAVgBFAEUAUgBHACAAMgAwADIANgA6ACAANQAuADEALgAxAC4AMwAsACAARQBxAHUAYQB0AGkAbwBuACAAKAAxACkAXAAiACkAOwBcAG4AXABuAFYARQBFAFIARwBfADUAXwAxAF8AMQBfADMAXwBfADEAXwBJAG4AbwByAGcAYQBuAGkAYwBGAGUAcgB0AGkAbABpAHMAZQByAEEAcABwAGwAaQBjAGEAdABpAG8AbgBDAE8AMgBFAG0AaQBzAHMAaQBvAG4AcwBfAE4ASQBSAFIAZQBmAGUAcgBlAG4AYwBlAFwAbgAgACAAPQBMAEEATQBCAEQAQQAoAFwAIgBcACIAKQA7AFwAbgBcAG4AVgBFAEUAUgBHAF8ANQBfADEAXwAxAF8AMwBfAF8AMQBfAEkAbgBvAHIAZwBhAG4AaQBjAEYAZQByAHQAaQBsAGkAcwBlAHIAQQBwAHAAbABpAGMAYQB0AGkAbwBuAEMATwAyAEUAbQBpAHMAcwBpAG8AbgBzAF8ATABhAHQAZQB4AEUAcQB1AGEAdABpAG8AbgBcAG4AIAAgAD0ATABBAE0AQgBEAEEAKABcACIARQBfAHsAQwBPADIAfQA9AFwAXABzAHUAbQBfAHsAagB9AFwAXABzAHUAbQBfAHsAZgB9ACgAKABNAFUAXwB7AGoAZgB9AFwAXAB0AGkAbQBlAHMAIABFAEYAXwB7AHUAcgBlAGEALABDAE8AMgB9AFwAXAB0AGkAbQBlAHMAIABDAF8AewBDAE8AMgB9ACkAXABcAHQAaQBtAGUAcwAgADEAMABeAHsALQAzAH0AKQBcACIAKQA7AFwAbgBcAG4AVgBFAEUAUgBHAF8ANQBfADEAXwAxAF8AMwBfAF8AMQBfAEkAbgBvAHIAZwBhAG4AaQBjAEYAZQByAHQAaQBsAGkAcwBlAHIAQQBwAHAAbABpAGMAYQB0AGkAbwBuAEMATwAyAEUAbQBpAHMAcwBpAG8AbgBzAF8AQQByAGcAdQBtAGUAbgB0AHMAXABuACAAIAA9AEwAQQBNAEIARABBACgAXABuACAAIAAgACAATQBBAEsARQBBAFIAUgBBAFkAKAA1ACwAIAAzACwAIABcAG4AIAAgACAAIAAgACAATABBAE0AQgBEAEEAKAByACwAYwAsACAAXABuACAAIAAgACAAIAAgACAAIABJAE4ARABFAFgAKAB7AFwAbgAgACAAIAAgACAAIAAgACAAIAAgAFwAIgBNAFUAXwBqAGYAXAAiACwAXAAiAG0AYQBzAHMAIABvAGYAIAB1AHIAZQBhACAAbwBmACAAaQBuAG8AcgBnAGEAbgBpAGMAIABmAGUAcgB0AGkAbABpAHMAZQByACAAdAB5AHAAZQAgAGYAIABhAHAAcABsAGkAZQBkACAAdABvACAAcAByAG8AZAB1AGMAdABpAG8AbgAgAHMAeQBzAHQAZQBtACAAagAgADoAIABrAGcAIAB1AHIAZQBhAFwAIgAsACAAXAAiAEMAYQBsAGMAdQBsAGEAdABlAGQAXAAiADsAXABuACAAIAAgACAAIAAgACAAIAAgACAAXAAiAEUARgBfAHUAcgBlAGEAQwBPADIAXAAiACwAXAAiAGUAbQBpAHMAcwBpAG8AbgAgAGYAYQBjAHQAbwByACAAZgBvAHIAIABjAGEAcgBiAG8AbgAgAGUAbQBpAHMAcwBpAG8AbgBzACAAZgByAG8AbQAgAHUAcgBlAGEALQBiAGEAcwBlAGQAIABmAGUAcgB0AGkAbABpAHMAZQByAHMAIAA6ACAAawBnACAAQwAvAGsAZwAgAHUAcgBlAGEAXAAiACwAIABcACIAQwBvAG4AcwB0AGEAbgB0AFwAIgA7AFwAbgAgACAAIAAgACAAIAAgACAAIAAgAFwAIgBDAF8AQwBPADIAXAAiACwAXAAiAGYAYQBjAHQAbwByACAAdABvACAAYwBvAG4AdgBlAHIAdAAgAGUAbABlAG0AZQBuAHQAYQBsACAAbQBhAHMAcwAgAG8AZgAgAGMAYQByAGIAbwBuACAAdABvACAAbQBvAGwAZQBjAHUAbABhAHIAIABtAGEAcwBzACAAbwBmACAAYwBhAHIAYgBvAG4AIABkAGkAbwB4AGkAZABlAFwAIgAsACAAXAAiAEMAbwBuAHMAdABhAG4AdABcACIAOwBcAG4AIAAgACAAIAAgACAAIAAgACAAIABcACIAagBcACIALABcACIAUAByAG8AZAB1AGMAdABpAG8AbgAgAHMAeQBzAHQAZQBtAFwAIgAsACAAXAAiAEkAbgBwAHUAdABcACIAOwBcAG4AIAAgACAAIAAgACAAIAAgACAAIABcACIAZgBcACIALABcACIASQBuAG8AcgBnAGEAbgBpAGMAIABmAGUAcgB0AGkAbABpAHMAZQByACAAdAB5AHAAZQBcACIALAAgAFwAIgBMAG8AbwBrAHUAcABcACIAXABuACAAIAAgACAAIAAgACAAIAB9ACwAIAByACwAIABjACkAXABuACAAIAAgACAAIAAgACkAXABuACAAIAAgACAAKQBcAG4AIAAgACkAOwBcAG4AXABuAC8AKgAgAFwAbgAtAC0ALQAtAC0ALQAtAC0ALQAtAC0ALQAtAC0ALQAtAC0ALQAtAC0ALQAtAC0ALQAtAC0ALQAtAC0ALQAtAC0ALQAtAC0ALQAtAC0AXABuAFYARQBFAFIARwBfADUAXwAxAF8AMQBfADMAXwBfADIAXwBNAGEAcwBzAE8AZgBVAHIAZQBhAEkAbgBJAG4AbwByAGcAYQBuAGkAYwBGAGUAcgB0AGkAbABpAHMAZQByAFwAbgBNAGEAcwBzACAAbwBmACAAdQByAGUAYQAgAGEAcABwAGwAaQBlAGQAIAB0AG8AIABwAHIAbwBkAHUAYwB0AGkAbwBuACAAcwB5AHMAdABlAG0AXABuAE0AVQBfAGoAZgBcAG4AawBnACAAdQByAGUAYQBcAG4AewBNAFUAfQBfAHsAagBmAH0APQBUAE0AXwB7AGoAZgB9AFwAXAB0AGkAbQBlAHMAIABGAFUAXwBmAFwAbgBUAE0AXwBqAGYAXABuAEYAVQBfAGYAXABuAGoAXABuAGYAXABuAC0ALQAtAC0ALQAtAC0ALQAtAC0ALQAtAC0ALQAtAC0ALQAtAC0ALQAtAC0ALQAtAC0ALQAtAC0ALQAtAC0ALQAtAC0ALQAtAC0ALQBcAG4AKgAvAFwAbgBcAG4AVgBFAEUAUgBHAF8ANQBfADEAXwAxAF8AMwBfAF8AMgBfAE0AYQBzAHMATwBmAFUAcgBlAGEASQBuAEkAbgBvAHIAZwBhAG4AaQBjAEYAZQByAHQAaQBsAGkAcwBlAHIAXABuACAAIAA9AEwAQQBNAEIARABBACgAXABuACAAIAAgACAAVABNAF8AagBmACwAIABGAFUAXwBmACwAXABuACAAIAAgACAAVABNAF8AagBmACAAKgAgAEYAVQBfAGYAXABuACAAIAApADsAXABuAFwAbgBWAEUARQBSAEcAXwA1AF8AMQBfADEAXwAzAF8AXwAyAF8ATQBhAHMAcwBPAGYAVQByAGUAYQBJAG4ASQBuAG8AcgBnAGEAbgBpAGMARgBlAHIAdABpAGwAaQBzAGUAcgBfAFQAaQB0AGwAZQBcAG4AIAAgAD0ATABBAE0AQgBEAEEAKABcACIATQBhAHMAcwAgAG8AZgAgAHUAcgBlAGEAIABhAHAAcABsAGkAZQBkACAAdABvACAAcAByAG8AZAB1AGMAdABpAG8AbgAgAHMAeQBzAHQAZQBtAFwAIgApADsAXABuAFwAbgBWAEUARQBSAEcAXwA1AF8AMQBfADEAXwAzAF8AXwAyAF8ATQBhAHMAcwBPAGYAVQByAGUAYQBJAG4ASQBuAG8AcgBnAGEAbgBpAGMARgBlAHIAdABpAGwAaQBzAGUAcgBfAFYAYQByAGkAYQBiAGwAZQBcAG4AIAAgAD0ATABBAE0AQgBEAEEAKABcACIATQBVAF8AagBmAFwAIgApADsAXABuAFwAbgBWAEUARQBSAEcAXwA1AF8AMQBfADEAXwAzAF8AXwAyAF8ATQBhAHMAcwBPAGYAVQByAGUAYQBJAG4ASQBuAG8AcgBnAGEAbgBpAGMARgBlAHIAdABpAGwAaQBzAGUAcgBfAFUAbgBpAHQAXABuACAAIAA9AEwAQQBNAEIARABBACgAXAAiAGsAZwAgAHUAcgBlAGEAXAAiACkAOwBcAG4AXABuAFYARQBFAFIARwBfADUAXwAxAF8AMQBfADMAXwBfADIAXwBNAGEAcwBzAE8AZgBVAHIAZQBhAEkAbgBJAG4AbwByAGcAYQBuAGkAYwBGAGUAcgB0AGkAbABpAHMAZQByAF8AUwBvAHUAcgBjAGUAXABuACAAIAA9AEwAQQBNAEIARABBACgAXAAiAFYARQBFAFIARwAgADIAMAAyADYAOgAgADUALgAxAC4AMQAuADMALAAgAEUAcQB1AGEAdABpAG8AbgAgACgAMgApAFwAIgApADsAXABuAFwAbgBWAEUARQBSAEcAXwA1AF8AMQBfADEAXwAzAF8AXwAyAF8ATQBhAHMAcwBPAGYAVQByAGUAYQBJAG4ASQBuAG8AcgBnAGEAbgBpAGMARgBlAHIAdABpAGwAaQBzAGUAcgBfAE4ASQBSAFIAZQBmAGUAcgBlAG4AYwBlAFwAbgAgACAAPQBMAEEATQBCAEQAQQAoAFwAIgBcACIAKQA7AFwAbgBcAG4AVgBFAEUAUgBHAF8ANQBfADEAXwAxAF8AMwBfAF8AMgBfAE0AYQBzAHMATwBmAFUAcgBlAGEASQBuAEkAbgBvAHIAZwBhAG4AaQBjAEYAZQByAHQAaQBsAGkAcwBlAHIAXwBMAGEAdABlAHgARQBxAHUAYQB0AGkAbwBuAFwAbgAgACAAPQBMAEEATQBCAEQAQQAoAFwAIgB7AE0AVQB9AF8AewBqAGYAfQA9AFQATQBfAHsAagBmAH0AXABcAHQAaQBtAGUAcwAgAEYAVQBfAGYAXAAiACkAOwBcAG4AXABuAFYARQBFAFIARwBfADUAXwAxAF8AMQBfADMAXwBfADIAXwBNAGEAcwBzAE8AZgBVAHIAZQBhAEkAbgBJAG4AbwByAGcAYQBuAGkAYwBGAGUAcgB0AGkAbABpAHMAZQByAF8AQQByAGcAdQBtAGUAbgB0AHMAXABuACAAIAA9AEwAQQBNAEIARABBACgAXABuACAAIAAgACAATQBBAEsARQBBAFIAUgBBAFkAKAAyACwAIAAzACwAIABcAG4AIAAgACAAIAAgACAATABBAE0AQgBEAEEAKAByACwAYwAsACAAXABuACAAIAAgACAAIAAgACAAIABJAE4ARABFAFgAKAB7AFwAbgAgACAAIAAgACAAIAAgACAAIAAgAFwAIgBUAE0AXwBqAGYAXAAiACwAXAAiAHQAbwB0AGEAbAAgAG0AYQBzAHMAIABvAGYAIABpAG4AbwByAGcAYQBuAGkAYwAgAGYAZQByAHQAaQBsAGkAcwBlAHIAIAB0AHkAcABlACAAZgAgAGEAcABwAGwAaQBlAGQAIAB0AG8AIABwAHIAbwBkAHUAYwB0AGkAbwBuACAAcwB5AHMAdABlAG0AIABqACAAOgAgAGsAZwBcACIALAAgAFwAIgBJAG4AcAB1AHQAXAAiADsAXABuACAAIAAgACAAIAAgACAAIAAgACAAXAAiAEYAVQBfAGYAXAAiACwAXAAiAGYAcgBhAGMAdABpAG8AbgAgAG8AZgAgAHUAcgBlAGEAIABpAG4AIABmAGUAcgB0AGkAbABpAHMAZQByACAAdAB5AHAAZQAgAGYAIAA6ACAAawBnACAAdQByAGUAYQAvAGsAZwBcACIALAAgAFwAIgBMAG8AbwBrAHUAcABcACIAXABuACAAIAAgACAAIAAgACAAIAB9ACwAIAByACwAIABjACkAXABuACAAIAAgACAAIAAgACkAXABuACAAIAAgACAAKQBcAG4AIAAgACkAOwBcAG4AIgB9AF0ALAAiAHAAcgBvAGoAZQBjAHQATgBhAG0AZQBzACIAOgBbACIAQwBvAG0AbQBvAG4AXwBTAG8AdQByAGMAZQBEAGEAdABhAC4AQwBvAG0AbQBvAG4AXwBTAG8AdQByAGMAZQBEAGEAdABhAF8ARABlAG4AcwBpAHQAeQBPAGYATQBlAHQAaABhAG4AZQBfAFQAaQB0AGwAZQAiACwAIgBDAG8AbQBtAG8AbgBfAFMAbwB1AHIAYwBlAEQAYQB0AGEALgBDAG8AbQBtAG8AbgBfAFMAbwB1AHIAYwBlAEQAYQB0AGEAXwBEAGUAbgBzAGkAdAB5AE8AZgBNAGUAdABoAGEAbgBlAF8AVQBuAGkAdAAiACwAIgBDAG8AbQBtAG8AbgBfAFMAbwB1AHIAYwBlAEQAYQB0AGEALgBDAG8AbQBtAG8AbgBfAFMAbwB1AHIAYwBlAEQAYQB0AGEAXwBEAGUAbgBzAGkAdAB5AE8AZgBNAGUAdABoAGEAbgBlAF8AUwBvAHUAcgBjAGUAIgAsACIAQwBvAG0AbQBvAG4AXwBTAG8AdQByAGMAZQBEAGEAdABhAC4AQwBvAG0AbQBvAG4AXwBTAG8AdQByAGMAZQBEAGEAdABhAF8ARABlAG4AcwBpAHQAeQBPAGYATQBlAHQAaABhAG4AZQBfAEQAYQB0AGEAIgAsACIAQwBvAG0AbQBvAG4AXwBTAG8AdQByAGMAZQBEAGEAdABhAC4AQwBvAG0AbQBvAG4AXwBTAG8AdQByAGMAZQBEAGEAdABhAF8AQwBvAG4AdgBlAHIAdABOADIAbwBFAGwAZQBtAGUAbgB0AGEAbABUAG8ATQBvAGwAZQBjAHUAbABhAHIAQwBnAF8AVABpAHQAbABlACIALAAiAEMAbwBtAG0AbwBuAF8AUwBvAHUAcgBjAGUARABhAHQAYQAuAEMAbwBtAG0AbwBuAF8AUwBvAHUAcgBjAGUARABhAHQAYQBfAEMAbwBuAHYAZQByAHQATgAyAG8ARQBsAGUAbQBlAG4AdABhAGwAVABvAE0AbwBsAGUAYwB1AGwAYQByAEMAZwBfAFYAYQByAGkAYQBiAGwAZQAiACwAIgBDAG8AbQBtAG8AbgBfAFMAbwB1AHIAYwBlAEQAYQB0AGEALgBDAG8AbQBtAG8AbgBfAFMAbwB1AHIAYwBlAEQAYQB0AGEAXwBDAG8AbgB2AGUAcgB0AE4AMgBvAEUAbABlAG0AZQBuAHQAYQBsAFQAbwBNAG8AbABlAGMAdQBsAGEAcgBDAGcAXwBVAG4AaQB0ACIALAAiAEMAbwBtAG0AbwBuAF8AUwBvAHUAcgBjAGUARABhAHQAYQAuAEMAbwBtAG0AbwBuAF8AUwBvAHUAcgBjAGUARABhAHQAYQBfAEMAbwBuAHYAZQByAHQATgAyAG8ARQBsAGUAbQBlAG4AdABhAGwAVABvAE0AbwBsAGUAYwB1AGwAYQByAEMAZwBfAFMAbwB1AHIAYwBlACIALAAiAEMAbwBtAG0AbwBuAF8AUwBvAHUAcgBjAGUARABhAHQAYQAuAEMAbwBtAG0AbwBuAF8AUwBvAHUAcgBjAGUARABhAHQAYQBfAEMAbwBuAHYAZQByAHQATgAyAG8ARQBsAGUAbQBlAG4AdABhAGwAVABvAE0AbwBsAGUAYwB1AGwAYQByAEMAZwBfAEQAYQB0AGEAIgAsACIAQwBvAG0AbQBvAG4AXwBTAG8AdQByAGMAZQBEAGEAdABhAC4AQwBvAG0AbQBvAG4AXwBTAG8AdQByAGMAZQBEAGEAdABhAF8AQwBvAG4AdgBlAHIAdABHAGEAcwBFAGwAZQBtAGUAbgB0AGEAbABUAG8ATQBvAGwAZQBjAHUAbABhAHIAXwBUAGkAdABsAGUAIgAsACIAQwBvAG0AbQBvAG4AXwBTAG8AdQByAGMAZQBEAGEAdABhAC4AQwBvAG0AbQBvAG4AXwBTAG8AdQByAGMAZQBEAGEAdABhAF8AQwBvAG4AdgBlAHIAdABHAGEAcwBFAGwAZQBtAGUAbgB0AGEAbABUAG8ATQBvAGwAZQBjAHUAbABhAHIAXwBWAGEAcgBpAGEAYgBsAGUAIgAsACIAQwBvAG0AbQBvAG4AXwBTAG8AdQByAGMAZQBEAGEAdABhAC4AQwBvAG0AbQBvAG4AXwBTAG8AdQByAGMAZQBEAGEAdABhAF8AQwBvAG4AdgBlAHIAdABHAGEAcwBFAGwAZQBtAGUAbgB0AGEAbABUAG8ATQBvAGwAZQBjAHUAbABhAHIAXwBVAG4AaQB0ACIALAAiAEMAbwBtAG0AbwBuAF8AUwBvAHUAcgBjAGUARABhAHQAYQAuAEMAbwBtAG0AbwBuAF8AUwBvAHUAcgBjAGUARABhAHQAYQBfAEMAbwBuAHYAZQByAHQARwBhAHMARQBsAGUAbQBlAG4AdABhAGwAVABvAE0AbwBsAGUAYwB1AGwAYQByAF8AUwBvAHUAcgBjAGUAIgAsACIAQwBvAG0AbQBvAG4AXwBTAG8AdQByAGMAZQBEAGEAdABhAC4AQwBvAG0AbQBvAG4AXwBTAG8AdQByAGMAZQBEAGEAdABhAF8AQwBvAG4AdgBlAHIAdABHAGEAcwBFAGwAZQBtAGUAbgB0AGEAbABUAG8ATQBvAGwAZQBjAHUAbABhAHIAXwBEAGEAdABhACIALAAiAEMAbwBtAG0AbwBuAF8AUwBvAHUAcgBjAGUARABhAHQAYQAuAEMAbwBtAG0AbwBuAF8AUwBvAHUAcgBjAGUARABhAHQAYQBfAEcAVwBQAF8AVABpAHQAbABlACIALAAiAEMAbwBtAG0AbwBuAF8AUwBvAHUAcgBjAGUARABhAHQAYQAuAEMAbwBtAG0AbwBuAF8AUwBvAHUAcgBjAGUARABhAHQAYQBfAEcAVwBQAF8AVgBhAHIAaQBhAGIAbABlACIALAAiAEMAbwBtAG0AbwBuAF8AUwBvAHUAcgBjAGUARABhAHQAYQAuAEMAbwBtAG0AbwBuAF8AUwBvAHUAcgBjAGUARABhAHQAYQBfAEcAVwBQAF8AVQBuAGkAdAAiACwAIgBDAG8AbQBtAG8AbgBfAFMAbwB1AHIAYwBlAEQAYQB0AGEALgBDAG8AbQBtAG8AbgBfAFMAbwB1AHIAYwBlAEQAYQB0AGEAXwBHAFcAUABfAFMAbwB1AHIAYwBlACIALAAiAEMAbwBtAG0AbwBuAF8AUwBvAHUAcgBjAGUARABhAHQAYQAuAEMAbwBtAG0AbwBuAF8AUwBvAHUAcgBjAGUARABhAHQAYQBfAEcAVwBQAF8ARABhAHQAYQAiACwAIgBDAG8AbQBtAG8AbgBfAFMAbwB1AHIAYwBlAEQAYQB0AGEALgBDAG8AbQBtAG8AbgBfAFMAbwB1AHIAYwBlAEQAYQB0AGEAXwBBAHUAcwB0AHIAYQBsAGkAYQBuAFMAdABhAHQAZQBzAFQAZQByAHIAaQB0AG8AcgBpAGUAcwBfAFQAaQB0AGwAZQAiACwAIgBDAG8AbQBtAG8AbgBfAFMAbwB1AHIAYwBlAEQAYQB0AGEALgBDAG8AbQBtAG8AbgBfAFMAbwB1AHIAYwBlAEQAYQB0AGEAXwBBAHUAcwB0AHIAYQBsAGkAYQBuAFMAdABhAHQAZQBzAFQAZQByAHIAaQB0AG8AcgBpAGUAcwBfAFYAYQByAGkAYQBiAGwAZQAiACwAIgBDAG8AbQBtAG8AbgBfAFMAbwB1AHIAYwBlAEQAYQB0AGEALgBDAG8AbQBtAG8AbgBfAFMAbwB1AHIAYwBlAEQAYQB0AGEAXwBBAHUAcwB0AHIAYQBsAGkAYQBuAFMAdABhAHQAZQBzAFQAZQByAHIAaQB0AG8AcgBpAGUAcwBfAFUAbgBpAHQAIgAsACIAQwBvAG0AbQBvAG4AXwBTAG8AdQByAGMAZQBEAGEAdABhAC4AQwBvAG0AbQBvAG4AXwBTAG8AdQByAGMAZQBEAGEAdABhAF8AQQB1AHMAdAByAGEAbABpAGEAbgBTAHQAYQB0AGUAcwBUAGUAcgByAGkAdABvAHIAaQBlAHMAXwBTAG8AdQByAGMAZQAiACwAIgBDAG8AbQBtAG8AbgBfAFMAbwB1AHIAYwBlAEQAYQB0AGEALgBDAG8AbQBtAG8AbgBfAFMAbwB1AHIAYwBlAEQAYQB0AGEAXwBBAHUAcwB0AHIAYQBsAGkAYQBuAFMAdABhAHQAZQBzAFQAZQByAHIAaQB0AG8AcgBpAGUAcwBfAEQAYQB0AGEAIgAsACIAQwBvAG0AbQBvAG4AXwBTAG8AdQByAGMAZQBEAGEAdABhAC4AQwBvAG0AbQBvAG4AXwBTAG8AdQByAGMAZQBEAGEAdABhAF8AVwBBAFMAQQA0AEEAcgBlAGEAcwBfAFQAaQB0AGwAZQAiACwAIgBDAG8AbQBtAG8AbgBfAFMAbwB1AHIAYwBlAEQAYQB0AGEALgBDAG8AbQBtAG8AbgBfAFMAbwB1AHIAYwBlAEQAYQB0AGEAXwBXAEEAUwBBADQAQQByAGUAYQBzAF8AVgBhAHIAaQBhAGIAbABlACIALAAiAEMAbwBtAG0AbwBuAF8AUwBvAHUAcgBjAGUARABhAHQAYQAuAEMAbwBtAG0AbwBuAF8AUwBvAHUAcgBjAGUARABhAHQAYQBfAFcAQQBTAEEANABBAHIAZQBhAHMAXwBVAG4AaQB0ACIALAAiAEMAbwBtAG0AbwBuAF8AUwBvAHUAcgBjAGUARABhAHQAYQAuAEMAbwBtAG0AbwBuAF8AUwBvAHUAcgBjAGUARABhAHQAYQBfAFcAQQBTAEEANABBAHIAZQBhAHMAXwBTAG8AdQByAGMAZQAiACwAIgBDAG8AbQBtAG8AbgBfAFMAbwB1AHIAYwBlAEQAYQB0AGEALgBDAG8AbQBtAG8AbgBfAFMAbwB1AHIAYwBlAEQAYQB0AGEAXwBXAEEAUwBBADQAQQByAGUAYQBzAF8ARABhAHQAYQAiACwAIgBDAG8AbQBtAG8AbgBfAFMAbwB1AHIAYwBlAEQAYQB0AGEALgBDAG8AbQBtAG8AbgBfAFMAbwB1AHIAYwBlAEQAYQB0AGEAXwBXAGUAdABBAG4AZABEAHIAeQBaAG8AbgBlAHMAXwBUAGkAdABsAGUAIgAsACIAQwBvAG0AbQBvAG4AXwBTAG8AdQByAGMAZQBEAGEAdABhAC4AQwBvAG0AbQBvAG4AXwBTAG8AdQByAGMAZQBEAGEAdABhAF8AVwBlAHQAQQBuAGQARAByAHkAWgBvAG4AZQBzAF8AVgBhAHIAaQBhAGIAbABlACIALAAiAEMAbwBtAG0AbwBuAF8AUwBvAHUAcgBjAGUARABhAHQAYQAuAEMAbwBtAG0AbwBuAF8AUwBvAHUAcgBjAGUARABhAHQAYQBfAFcAZQB0AEEAbgBkAEQAcgB5AFoAbwBuAGUAcwBfAFUAbgBpAHQAIgAsACIAQwBvAG0AbQBvAG4AXwBTAG8AdQByAGMAZQBEAGEAdABhAC4AQwBvAG0AbQBvAG4AXwBTAG8AdQByAGMAZQBEAGEAdABhAF8AVwBlAHQAQQBuAGQARAByAHkAWgBvAG4AZQBzAF8AUwBvAHUAcgBjAGUAIgAsACIAQwBvAG0AbQBvAG4AXwBTAG8AdQByAGMAZQBEAGEAdABhAC4AQwBvAG0AbQBvAG4AXwBTAG8AdQByAGMAZQBEAGEAdABhAF8AVwBlAHQAQQBuAGQARAByAHkAWgBvAG4AZQBzAF8AVgBhAHIAaQBhAHQAaQBvAG4AIgAsACIAQwBvAG0AbQBvAG4AXwBTAG8AdQByAGMAZQBEAGEAdABhAC4AQwBvAG0AbQBvAG4AXwBTAG8AdQByAGMAZQBEAGEAdABhAF8AVwBlAHQAQQBuAGQARAByAHkAWgBvAG4AZQBzAF8ARABhAHQAYQAiACwAIgBDAG8AbQBtAG8AbgBfAFMAbwB1AHIAYwBlAEQAYQB0AGEALgBDAG8AbQBtAG8AbgBfAFMAbwB1AHIAYwBlAEQAYQB0AGEAXwBDAGwAaQBtAGEAdABlAFoAbwBuAGUAcwBfAFQAaQB0AGwAZQAiACwAIgBDAG8AbQBtAG8AbgBfAFMAbwB1AHIAYwBlAEQAYQB0AGEALgBDAG8AbQBtAG8AbgBfAFMAbwB1AHIAYwBlAEQAYQB0AGEAXwBDAGwAaQBtAGEAdABlAFoAbwBuAGUAcwBfAFYAYQByAGkAYQBiAGwAZQAiACwAIgBDAG8AbQBtAG8AbgBfAFMAbwB1AHIAYwBlAEQAYQB0AGEALgBDAG8AbQBtAG8AbgBfAFMAbwB1AHIAYwBlAEQAYQB0AGEAXwBDAGwAaQBtAGEAdABlAFoAbwBuAGUAcwBfAFUAbgBpAHQAIgAsACIAQwBvAG0AbQBvAG4AXwBTAG8AdQByAGMAZQBEAGEAdABhAC4AQwBvAG0AbQBvAG4AXwBTAG8AdQByAGMAZQBEAGEAdABhAF8AQwBsAGkAbQBhAHQAZQBaAG8AbgBlAHMAXwBTAG8AdQByAGMAZQAiACwAIgBDAG8AbQBtAG8AbgBfAFMAbwB1AHIAYwBlAEQAYQB0AGEALgBDAG8AbQBtAG8AbgBfAFMAbwB1AHIAYwBlAEQAYQB0AGEAXwBDAGwAaQBtAGEAdABlAFoAbwBuAGUAcwBfAFYAYQByAGkAYQB0AGkAbwBuACIALAAiAEMAbwBtAG0AbwBuAF8AUwBvAHUAcgBjAGUARABhAHQAYQAuAEMAbwBtAG0AbwBuAF8AUwBvAHUAcgBjAGUARABhAHQAYQBfAEMAbABpAG0AYQB0AGUAWgBvAG4AZQBzAF8ARABhAHQAYQAiACwAIgBDAG8AbQBtAG8AbgBfAFMAbwB1AHIAYwBlAEQAYQB0AGEALgBDAG8AbQBtAG8AbgBfAFMAbwB1AHIAYwBlAEQAYQB0AGEAXwBDAGwAaQBtAGEAdABlAFoAbwBuAGUAcwBfAEEAcABwAGUAbgBkAGkAYwBlAHMAIgAsACIAQwBvAG0AbQBvAG4AXwBTAG8AdQByAGMAZQBEAGEAdABhAC4AQwBvAG0AbQBvAG4AXwBTAG8AdQByAGMAZQBEAGEAdABhAF8AVABlAG0AcABlAHIAYQB0AHUAcgBlAFoAbwBuAGUAcwBfAFQAaQB0AGwAZQAiACwAIgBDAG8AbQBtAG8AbgBfAFMAbwB1AHIAYwBlAEQAYQB0AGEALgBDAG8AbQBtAG8AbgBfAFMAbwB1AHIAYwBlAEQAYQB0AGEAXwBUAGUAbQBwAGUAcgBhAHQAdQByAGUAWgBvAG4AZQBzAF8AVgBhAHIAaQBhAGIAbABlACIALAAiAEMAbwBtAG0AbwBuAF8AUwBvAHUAcgBjAGUARABhAHQAYQAuAEMAbwBtAG0AbwBuAF8AUwBvAHUAcgBjAGUARABhAHQAYQBfAFQAZQBtAHAAZQByAGEAdAB1AHIAZQBaAG8AbgBlAHMAXwBVAG4AaQB0ACIALAAiAEMAbwBtAG0AbwBuAF8AUwBvAHUAcgBjAGUARABhAHQAYQAuAEMAbwBtAG0AbwBuAF8AUwBvAHUAcgBjAGUARABhAHQAYQBfAFQAZQBtAHAAZQByAGEAdAB1AHIAZQBaAG8AbgBlAHMAXwBTAG8AdQByAGMAZQAiACwAIgBDAG8AbQBtAG8AbgBfAFMAbwB1AHIAYwBlAEQAYQB0AGEALgBDAG8AbQBtAG8AbgBfAFMAbwB1AHIAYwBlAEQAYQB0AGEAXwBUAGUAbQBwAGUAcgBhAHQAdQByAGUAWgBvAG4AZQBzAF8AVgBhAHIAaQBhAHQAaQBvAG4AIgAsACIAQwBvAG0AbQBvAG4AXwBTAG8AdQByAGMAZQBEAGEAdABhAC4AQwBvAG0AbQBvAG4AXwBTAG8AdQByAGMAZQBEAGEAdABhAF8AVABlAG0AcABlAHIAYQB0AHUAcgBlAFoAbwBuAGUAcwBfAEQAYQB0AGEAIgAsACIAQwBvAG0AbQBvAG4AXwBTAG8AdQByAGMAZQBEAGEAdABhAC4AQwBvAG0AbQBvAG4AXwBTAG8AdQByAGMAZQBEAGEAdABhAF8AUgBhAGkAbgBmAGEAbABsAFoAbwBuAGUAcwBfAFQAaQB0AGwAZQAiACwAIgBDAG8AbQBtAG8AbgBfAFMAbwB1AHIAYwBlAEQAYQB0AGEALgBDAG8AbQBtAG8AbgBfAFMAbwB1AHIAYwBlAEQAYQB0AGEAXwBSAGEAaQBuAGYAYQBsAGwAWgBvAG4AZQBzAF8AVgBhAHIAaQBhAGIAbABlACIALAAiAEMAbwBtAG0AbwBuAF8AUwBvAHUAcgBjAGUARABhAHQAYQAuAEMAbwBtAG0AbwBuAF8AUwBvAHUAcgBjAGUARABhAHQAYQBfAFIAYQBpAG4AZgBhAGwAbABaAG8AbgBlAHMAXwBVAG4AaQB0ACIALAAiAEMAbwBtAG0AbwBuAF8AUwBvAHUAcgBjAGUARABhAHQAYQAuAEMAbwBtAG0AbwBuAF8AUwBvAHUAcgBjAGUARABhAHQAYQBfAFIAYQBpAG4AZgBhAGwAbABaAG8AbgBlAHMAXwBTAG8AdQByAGMAZQAiACwAIgBDAG8AbQBtAG8AbgBfAFMAbwB1AHIAYwBlAEQAYQB0AGEALgBDAG8AbQBtAG8AbgBfAFMAbwB1AHIAYwBlAEQAYQB0AGEAXwBSAGEAaQBuAGYAYQBsAGwAWgBvAG4AZQBzAF8AVgBhAHIAaQBhAHQAaQBvAG4AIgAsACIAQwBvAG0AbQBvAG4AXwBTAG8AdQByAGMAZQBEAGEAdABhAC4AQwBvAG0AbQBvAG4AXwBTAG8AdQByAGMAZQBEAGEAdABhAF8AUgBhAGkAbgBmAGEAbABsAFoAbwBuAGUAcwBfAEQAYQB0AGEAIgAsACIAQwBvAG0AbQBvAG4AXwBTAG8AdQByAGMAZQBEAGEAdABhAC4AQwBvAG0AbQBvAG4AXwBTAG8AdQByAGMAZQBEAGEAdABhAF8ATABlAGEAYwBoAGkAbgBnAFoAbwBuAGUAcwBfAFQAaQB0AGwAZQAiACwAIgBDAG8AbQBtAG8AbgBfAFMAbwB1AHIAYwBlAEQAYQB0AGEALgBDAG8AbQBtAG8AbgBfAFMAbwB1AHIAYwBlAEQAYQB0AGEAXwBMAGUAYQBjAGgAaQBuAGcAWgBvAG4AZQBzAF8AVgBhAHIAaQBhAGIAbABlACIALAAiAEMAbwBtAG0AbwBuAF8AUwBvAHUAcgBjAGUARABhAHQAYQAuAEMAbwBtAG0AbwBuAF8AUwBvAHUAcgBjAGUARABhAHQAYQBfAEwAZQBhAGMAaABpAG4AZwBaAG8AbgBlAHMAXwBVAG4AaQB0ACIALAAiAEMAbwBtAG0AbwBuAF8AUwBvAHUAcgBjAGUARABhAHQAYQAuAEMAbwBtAG0AbwBuAF8AUwBvAHUAcgBjAGUARABhAHQAYQBfAEwAZQBhAGMAaABpAG4AZwBaAG8AbgBlAHMAXwBTAG8AdQByAGMAZQAiACwAIgBDAG8AbQBtAG8AbgBfAFMAbwB1AHIAYwBlAEQAYQB0AGEALgBDAG8AbQBtAG8AbgBfAFMAbwB1AHIAYwBlAEQAYQB0AGEAXwBMAGUAYQBjAGgAaQBuAGcAWgBvAG4AZQBzAF8AVgBhAHIAaQBhAHQAaQBvAG4AIgAsACIAQwBvAG0AbQBvAG4AXwBTAG8AdQByAGMAZQBEAGEAdABhAC4AQwBvAG0AbQBvAG4AXwBTAG8AdQByAGMAZQBEAGEAdABhAF8ATABlAGEAYwBoAGkAbgBnAFoAbwBuAGUAcwBfAEQAYQB0AGEAIgAsACIAQwBvAG0AbQBvAG4AXwBTAG8AdQByAGMAZQBEAGEAdABhAC4AQwBvAG0AbQBvAG4AXwBTAG8AdQByAGMAZQBEAGEAdABhAF8ARgByAGEAYwBXAEUAVABfAFQAaQB0AGwAZQAiACwAIgBDAG8AbQBtAG8AbgBfAFMAbwB1AHIAYwBlAEQAYQB0AGEALgBDAG8AbQBtAG8AbgBfAFMAbwB1AHIAYwBlAEQAYQB0AGEAXwBGAHIAYQBjAFcARQBUAF8AVQBuAGkAdAAiACwAIgBDAG8AbQBtAG8AbgBfAFMAbwB1AHIAYwBlAEQAYQB0AGEALgBDAG8AbQBtAG8AbgBfAFMAbwB1AHIAYwBlAEQAYQB0AGEAXwBGAHIAYQBjAFcARQBUAF8AUwBvAHUAcgBjAGUAIgAsACIAQwBvAG0AbQBvAG4AXwBTAG8AdQByAGMAZQBEAGEAdABhAC4AQwBvAG0AbQBvAG4AXwBTAG8AdQByAGMAZQBEAGEAdABhAF8ARgByAGEAYwBXAEUAVABfAE4ASQBSAFIAZQBmAGUAcgBlAG4AYwBlACIALAAiAEMAbwBtAG0AbwBuAF8AUwBvAHUAcgBjAGUARABhAHQAYQAuAEMAbwBtAG0AbwBuAF8AUwBvAHUAcgBjAGUARABhAHQAYQBfAEYAcgBhAGMAVwBFAFQAXwBEAGEAdABhACIALAAiAEMAbwBtAG0AbwBuAF8AUwBvAHUAcgBjAGUARABhAHQAYQAuAEMAbwBtAG0AbwBuAF8AUwBvAHUAcgBjAGUARABhAHQAYQBfAEYAcgBhAGMAVwBFAFQAXwBWAGEAcgBpAGEAdABpAG8AbgAiACwAIgBDAG8AbQBtAG8AbgBfAFMAbwB1AHIAYwBlAEQAYQB0AGEALgBDAG8AbQBtAG8AbgBfAFMAbwB1AHIAYwBlAEQAYQB0AGEAXwBEAGEAdABhAFMAYwBvAHIAZQBzAF8AUwBjAG8AcABlADMAXwBUAGkAdABsAGUAIgAsACIAQwBvAG0AbQBvAG4AXwBTAG8AdQByAGMAZQBEAGEAdABhAC4AQwBvAG0AbQBvAG4AXwBTAG8AdQByAGMAZQBEAGEAdABhAF8ARABhAHQAYQBTAGMAbwByAGUAcwBfAFMAYwBvAHAAZQAzAF8AVgBhAHIAaQBhAGIAbABlACIALAAiAEMAbwBtAG0AbwBuAF8AUwBvAHUAcgBjAGUARABhAHQAYQAuAEMAbwBtAG0AbwBuAF8AUwBvAHUAcgBjAGUARABhAHQAYQBfAEQAYQB0AGEAUwBjAG8AcgBlAHMAXwBTAGMAbwBwAGUAMwBfAFUAbgBpAHQAIgAsACIAQwBvAG0AbQBvAG4AXwBTAG8AdQByAGMAZQBEAGEAdABhAC4AQwBvAG0AbQBvAG4AXwBTAG8AdQByAGMAZQBEAGEAdABhAF8ARABhAHQAYQBTAGMAbwByAGUAcwBfAFMAYwBvAHAAZQAzAF8AUwBvAHUAcgBjAGUAIgAsACIAQwBvAG0AbQBvAG4AXwBTAG8AdQByAGMAZQBEAGEAdABhAC4AQwBvAG0AbQBvAG4AXwBTAG8AdQByAGMAZQBEAGEAdABhAF8ARABhAHQAYQBTAGMAbwByAGUAcwBfAFMAYwBvAHAAZQAzAF8AVgBhAHIAaQBhAHQAaQBvAG4AIgAsACIAQwBvAG0AbQBvAG4AXwBTAG8AdQByAGMAZQBEAGEAdABhAC4AQwBvAG0AbQBvAG4AXwBTAG8AdQByAGMAZQBEAGEAdABhAF8ARABhAHQAYQBTAGMAbwByAGUAcwBfAFMAYwBvAHAAZQAzAF8ARABhAHQAYQAiACwAIgBDAG8AbQBtAG8AbgBfAFMAbwB1AHIAYwBlAEQAYQB0AGEALgBDAG8AbQBtAG8AbgBfAFMAbwB1AHIAYwBlAEQAYQB0AGEAXwBGAHIAYQBjAEwARQBBAEMASABfAFQAaQB0AGwAZQAiACwAIgBDAG8AbQBtAG8AbgBfAFMAbwB1AHIAYwBlAEQAYQB0AGEALgBDAG8AbQBtAG8AbgBfAFMAbwB1AHIAYwBlAEQAYQB0AGEAXwBGAHIAYQBjAEwARQBBAEMASABfAFUAbgBpAHQAIgAsACIAQwBvAG0AbQBvAG4AXwBTAG8AdQByAGMAZQBEAGEAdABhAC4AQwBvAG0AbQBvAG4AXwBTAG8AdQByAGMAZQBEAGEAdABhAF8ARgByAGEAYwBMAEUAQQBDAEgAXwBTAG8AdQByAGMAZQAiACwAIgBDAG8AbQBtAG8AbgBfAFMAbwB1AHIAYwBlAEQAYQB0AGEALgBDAG8AbQBtAG8AbgBfAFMAbwB1AHIAYwBlAEQAYQB0AGEAXwBGAHIAYQBjAEwARQBBAEMASABfAE4ASQBSAFIAZQBmAGUAcgBlAG4AYwBlACIALAAiAEMAbwBtAG0AbwBuAF8AUwBvAHUAcgBjAGUARABhAHQAYQAuAEMAbwBtAG0AbwBuAF8AUwBvAHUAcgBjAGUARABhAHQAYQBfAEYAcgBhAGMATABFAEEAQwBIAF8ARABhAHQAYQAiACwAIgBDAG8AbQBtAG8AbgBfAFMAbwB1AHIAYwBlAEQAYQB0AGEALgBDAG8AbQBtAG8AbgBfAFMAbwB1AHIAYwBlAEQAYQB0AGEAXwBGAHIAYQBjAEwARQBBAEMASABfAFYAYQByAGkAYQB0AGkAbwBuACIALAAiAEMAbwBtAG0AbwBuAF8AUwBvAHUAcgBjAGUARABhAHQAYQAuAEMAbwBtAG0AbwBuAF8AUwBvAHUAcgBjAGUARABhAHQAYQBfAEUARgBsAGUAYQBjAGgAXwBUAGkAdABsAGUAIgAsACIAQwBvAG0AbQBvAG4AXwBTAG8AdQByAGMAZQBEAGEAdABhAC4AQwBvAG0AbQBvAG4AXwBTAG8AdQByAGMAZQBEAGEAdABhAF8ARQBGAGwAZQBhAGMAaABfAFUAbgBpAHQAIgAsACIAQwBvAG0AbQBvAG4AXwBTAG8AdQByAGMAZQBEAGEAdABhAC4AQwBvAG0AbQBvAG4AXwBTAG8AdQByAGMAZQBEAGEAdABhAF8ARQBGAGwAZQBhAGMAaABfAFMAbwB1AHIAYwBlACIALAAiAEMAbwBtAG0AbwBuAF8AUwBvAHUAcgBjAGUARABhAHQAYQAuAEMAbwBtAG0AbwBuAF8AUwBvAHUAcgBjAGUARABhAHQAYQBfAEUARgBsAGUAYQBjAGgAXwBOAEkAUgBSAGUAZgBlAHIAZQBuAGMAZQAiACwAIgBDAG8AbQBtAG8AbgBfAFMAbwB1AHIAYwBlAEQAYQB0AGEALgBDAG8AbQBtAG8AbgBfAFMAbwB1AHIAYwBlAEQAYQB0AGEAXwBFAEYAbABlAGEAYwBoAF8ARABhAHQAYQAiACwAIgBDAG8AbQBtAG8AbgBfAFMAbwB1AHIAYwBlAEQAYQB0AGEALgBDAG8AbQBtAG8AbgBfAFMAbwB1AHIAYwBlAEQAYQB0AGEAXwBFAEYAbABlAGEAYwBoAF8AVgBhAHIAaQBhAHQAaQBvAG4AIgAsACIAQwBvAG0AbQBvAG4AXwBTAG8AdQByAGMAZQBEAGEAdABhAC4AQwBvAG0AbQBvAG4AXwBTAG8AdQByAGMAZQBEAGEAdABhAF8ARQBGAE4AMgBPAF8AVABpAHQAbABlACIALAAiAEMAbwBtAG0AbwBuAF8AUwBvAHUAcgBjAGUARABhAHQAYQAuAEMAbwBtAG0AbwBuAF8AUwBvAHUAcgBjAGUARABhAHQAYQBfAEUARgBOADIATwBfAFUAbgBpAHQAIgAsACIAQwBvAG0AbQBvAG4AXwBTAG8AdQByAGMAZQBEAGEAdABhAC4AQwBvAG0AbQBvAG4AXwBTAG8AdQByAGMAZQBEAGEAdABhAF8ARQBGAE4AMgBPAF8AUwBvAHUAcgBjAGUAIgAsACIAQwBvAG0AbQBvAG4AXwBTAG8AdQByAGMAZQBEAGEAdABhAC4AQwBvAG0AbQBvAG4AXwBTAG8AdQByAGMAZQBEAGEAdABhAF8ARQBGAE4AMgBPAF8ATgBJAFIAUgBlAGYAZQByAGUAbgBjAGUAIgAsACIAQwBvAG0AbQBvAG4AXwBTAG8AdQByAGMAZQBEAGEAdABhAC4AQwBvAG0AbQBvAG4AXwBTAG8AdQByAGMAZQBEAGEAdABhAF8ARQBGAE4AMgBPAF8ARABhAHQAYQAiACwAIgBDAG8AbQBtAG8AbgBfAFMAbwB1AHIAYwBlAEQAYQB0AGEALgBDAG8AbQBtAG8AbgBfAFMAbwB1AHIAYwBlAEQAYQB0AGEAXwBFAEYATgAyAE8AXwBWAGEAcgBpAGEAdABpAG8AbgAiACwAIgBDAG8AbQBtAG8AbgBfAFMAbwB1AHIAYwBlAEQAYQB0AGEALgBDAG8AbQBtAG8AbgBfAFMAbwB1AHIAYwBlAEQAYQB0AGEAXwBGAHIAYQBjAFcARQBUAEkAcgByAGkAZwBhAHQAaQBvAG4AXwBUAGkAdABsAGUAIgAsACIAQwBvAG0AbQBvAG4AXwBTAG8AdQByAGMAZQBEAGEAdABhAC4AQwBvAG0AbQBvAG4AXwBTAG8AdQByAGMAZQBEAGEAdABhAF8ARgByAGEAYwBXAEUAVABJAHIAcgBpAGcAYQB0AGkAbwBuAF8AVQBuAGkAdAAiACwAIgBDAG8AbQBtAG8AbgBfAFMAbwB1AHIAYwBlAEQAYQB0AGEALgBDAG8AbQBtAG8AbgBfAFMAbwB1AHIAYwBlAEQAYQB0AGEAXwBGAHIAYQBjAFcARQBUAEkAcgByAGkAZwBhAHQAaQBvAG4AXwBTAG8AdQByAGMAZQAiACwAIgBDAG8AbQBtAG8AbgBfAFMAbwB1AHIAYwBlAEQAYQB0AGEALgBDAG8AbQBtAG8AbgBfAFMAbwB1AHIAYwBlAEQAYQB0AGEAXwBGAHIAYQBjAFcARQBUAEkAcgByAGkAZwBhAHQAaQBvAG4AXwBOAEkAUgBSAGUAZgBlAHIAZQBuAGMAZQAiACwAIgBDAG8AbQBtAG8AbgBfAFMAbwB1AHIAYwBlAEQAYQB0AGEALgBDAG8AbQBtAG8AbgBfAFMAbwB1AHIAYwBlAEQAYQB0AGEAXwBGAHIAYQBjAFcARQBUAEkAcgByAGkAZwBhAHQAaQBvAG4AXwBEAGEAdABhACIALAAiAEMAbwBtAG0AbwBuAF8AUwBvAHUAcgBjAGUARABhAHQAYQAuAEMAbwBtAG0AbwBuAF8AUwBvAHUAcgBjAGUARABhAHQAYQBfAEYAcgBhAGMAVwBFAFQASQByAHIAaQBnAGEAdABpAG8AbgBfAFYAYQByAGkAYQB0AGkAbwBuACIALAAiAEMAbwBtAG0AbwBuAF8AUwBvAHUAcgBjAGUARABhAHQAYQAuAEMAbwBtAG0AbwBuAF8AUwBvAHUAcgBjAGUARABhAHQAYQBfAEUARgBQAGEAcwB0AHUAcgBlAFIAYQBuAGcAZQBBAG4AZABQAGEAZABkAG8AYwBrAF8AVABpAHQAbABlACIALAAiAEMAbwBtAG0AbwBuAF8AUwBvAHUAcgBjAGUARABhAHQAYQAuAEMAbwBtAG0AbwBuAF8AUwBvAHUAcgBjAGUARABhAHQAYQBfAEUARgBQAGEAcwB0AHUAcgBlAFIAYQBuAGcAZQBBAG4AZABQAGEAZABkAG8AYwBrAF8AVQBuAGkAdAAiACwAIgBDAG8AbQBtAG8AbgBfAFMAbwB1AHIAYwBlAEQAYQB0AGEALgBDAG8AbQBtAG8AbgBfAFMAbwB1AHIAYwBlAEQAYQB0AGEAXwBFAEYAUABhAHMAdAB1AHIAZQBSAGEAbgBnAGUAQQBuAGQAUABhAGQAZABvAGMAawBfAFMAbwB1AHIAYwBlACIALAAiAEMAbwBtAG0AbwBuAF8AUwBvAHUAcgBjAGUARABhAHQAYQAuAEMAbwBtAG0AbwBuAF8AUwBvAHUAcgBjAGUARABhAHQAYQBfAEUARgBQAGEAcwB0AHUAcgBlAFIAYQBuAGcAZQBBAG4AZABQAGEAZABkAG8AYwBrAF8ATgBJAFIAUgBlAGYAZQByAGUAbgBjAGUAIgAsACIAQwBvAG0AbQBvAG4AXwBTAG8AdQByAGMAZQBEAGEAdABhAC4AQwBvAG0AbQBvAG4AXwBTAG8AdQByAGMAZQBEAGEAdABhAF8ARQBGAFAAYQBzAHQAdQByAGUAUgBhAG4AZwBlAEEAbgBkAFAAYQBkAGQAbwBjAGsAXwBEAGEAdABhACIALAAiAEMAbwBtAG0AbwBuAF8AUwBvAHUAcgBjAGUARABhAHQAYQAuAEMAbwBtAG0AbwBuAF8AUwBvAHUAcgBjAGUARABhAHQAYQBfAEUARgBQAGEAcwB0AHUAcgBlAFIAYQBuAGcAZQBBAG4AZABQAGEAZABkAG8AYwBrAF8AVgBhAHIAaQBhAHQAaQBvAG4AIgAsACIAQwBvAG0AbQBvAG4AXwBTAG8AdQByAGMAZQBEAGEAdABhAC4AQwBvAG0AbQBvAG4AXwBTAG8AdQByAGMAZQBEAGEAdABhAF8ATQBvAG4AdABoAHMAVABvAFMAZQBhAHMAbwBuAHMAXwBUAGkAdABsAGUAIgAsACIAQwBvAG0AbQBvAG4AXwBTAG8AdQByAGMAZQBEAGEAdABhAC4AQwBvAG0AbQBvAG4AXwBTAG8AdQByAGMAZQBEAGEAdABhAF8ATQBvAG4AdABoAHMAVABvAFMAZQBhAHMAbwBuAHMAXwBVAG4AaQB0ACIALAAiAEMAbwBtAG0AbwBuAF8AUwBvAHUAcgBjAGUARABhAHQAYQAuAEMAbwBtAG0AbwBuAF8AUwBvAHUAcgBjAGUARABhAHQAYQBfAE0AbwBuAHQAaABzAFQAbwBTAGUAYQBzAG8AbgBzAF8AUwBvAHUAcgBjAGUAIgAsACIAQwBvAG0AbQBvAG4AXwBTAG8AdQByAGMAZQBEAGEAdABhAC4AQwBvAG0AbQBvAG4AXwBTAG8AdQByAGMAZQBEAGEAdABhAF8ATQBvAG4AdABoAHMAVABvAFMAZQBhAHMAbwBuAHMAXwBOAEkAUgBSAGUAZgBlAHIAZQBuAGMAZQAiACwAIgBDAG8AbQBtAG8AbgBfAFMAbwB1AHIAYwBlAEQAYQB0AGEALgBDAG8AbQBtAG8AbgBfAFMAbwB1AHIAYwBlAEQAYQB0AGEAXwBNAG8AbgB0AGgAcwBUAG8AUwBlAGEAcwBvAG4AcwBfAEQAYQB0AGEAIgAsACIAQwBvAG0AbQBvAG4AXwBTAG8AdQByAGMAZQBEAGEAdABhAC4AQwBvAG0AbQBvAG4AXwBTAG8AdQByAGMAZQBEAGEAdABhAF8ATQBvAG4AdABoAHMAVABvAFMAZQBhAHMAbwBuAHMAXwBWAGEAcgBpAGEAdABpAG8AbgAiACwAIgBDAG8AbQBtAG8AbgBfAEUAcQB1AGEAdABpAG8AbgBzAC4AQwBvAG0AbQBvAG4AXwBDAG8AbgB2AGUAcgB0AE4AMgBPAFQAbwBDAE8AMgBlACIALAAiAEMAbwBtAG0AbwBuAF8ARQBxAHUAYQB0AGkAbwBuAHMALgBDAG8AbQBtAG8AbgBfAEMAbwBuAHYAZQByAHQATgAyAE8AVABvAEMATwAyAGUAXwBUAGkAdABsAGUAIgAsACIAQwBvAG0AbQBvAG4AXwBFAHEAdQBhAHQAaQBvAG4AcwAuAEMAbwBtAG0AbwBuAF8AQwBvAG4AdgBlAHIAdABOADIATwBUAG8AQwBPADIAZQBfAFYAYQByAGkAYQBiAGwAZQAiACwAIgBDAG8AbQBtAG8AbgBfAEUAcQB1AGEAdABpAG8AbgBzAC4AQwBvAG0AbQBvAG4AXwBDAG8AbgB2AGUAcgB0AE4AMgBPAFQAbwBDAE8AMgBlAF8AVQBuAGkAdAAiACwAIgBDAG8AbQBtAG8AbgBfAEUAcQB1AGEAdABpAG8AbgBzAC4AQwBvAG0AbQBvAG4AXwBDAG8AbgB2AGUAcgB0AE4AMgBPAFQAbwBDAE8AMgBlAF8ATgBJAFIAUgBlAGYAZQByAGUAbgBjAGUAIgAsACIAQwBvAG0AbQBvAG4AXwBFAHEAdQBhAHQAaQBvAG4AcwAuAEMAbwBtAG0AbwBuAF8AQwBvAG4AdgBlAHIAdABOADIATwBUAG8AQwBPADIAZQBfAEwAYQB0AGUAeABFAHEAdQBhAHQAaQBvAG4AIgAsACIAQwBvAG0AbQBvAG4AXwBFAHEAdQBhAHQAaQBvAG4AcwAuAEMAbwBtAG0AbwBuAF8AQwBvAG4AdgBlAHIAdABOADIATwBUAG8AQwBPADIAZQBfAEEAcgBnAHUAbQBlAG4AdABzACIALAAiAEMAbwBtAG0AbwBuAF8ARQBxAHUAYQB0AGkAbwBuAHMALgBDAG8AbQBtAG8AbgBfAEMAbwBuAHYAZQByAHQAQwBIADQAVABvAEMATwAyAGUAIgAsACIAQwBvAG0AbQBvAG4AXwBFAHEAdQBhAHQAaQBvAG4AcwAuAEMAbwBtAG0AbwBuAF8AQwBvAG4AdgBlAHIAdABDAEgANABUAG8AQwBPADIAZQBfAFQAaQB0AGwAZQAiACwAIgBDAG8AbQBtAG8AbgBfAEUAcQB1AGEAdABpAG8AbgBzAC4AQwBvAG0AbQBvAG4AXwBDAG8AbgB2AGUAcgB0AEMASAA0AFQAbwBDAE8AMgBlAF8AVgBhAHIAaQBhAGIAbABlACIALAAiAEMAbwBtAG0AbwBuAF8ARQBxAHUAYQB0AGkAbwBuAHMALgBDAG8AbQBtAG8AbgBfAEMAbwBuAHYAZQByAHQAQwBIADQAVABvAEMATwAyAGUAXwBVAG4AaQB0ACIALAAiAEMAbwBtAG0AbwBuAF8ARQBxAHUAYQB0AGkAbwBuAHMALgBDAG8AbQBtAG8AbgBfAEMAbwBuAHYAZQByAHQAQwBIADQAVABvAEMATwAyAGUAXwBOAEkAUgBSAGUAZgBlAHIAZQBuAGMAZQAiACwAIgBDAG8AbQBtAG8AbgBfAEUAcQB1AGEAdABpAG8AbgBzAC4AQwBvAG0AbQBvAG4AXwBDAG8AbgB2AGUAcgB0AEMASAA0AFQAbwBDAE8AMgBlAF8ATABhAHQAZQB4AEUAcQB1AGEAdABpAG8AbgAiACwAIgBDAG8AbQBtAG8AbgBfAEUAcQB1AGEAdABpAG8AbgBzAC4AQwBvAG0AbQBvAG4AXwBDAG8AbgB2AGUAcgB0AEMASAA0AFQAbwBDAE8AMgBlAF8AQQByAGcAdQBtAGUAbgB0AHMAIgAsACIAQwBvAG0AbQBvAG4ATABpAHYAZQBzAHQAbwBjAGsAXwBTAG8AdQByAGMAZQBEAGEAdABhAC4AUwBvAHUAcgBjAGUARABhAHQAYQBfAEwAaQB2AGUAcwB0AG8AYwBrAF8AQwBvAG0AbQBvAG4AXwBGAHIAYQBjAFcARQBUAE0ATQBTAF8AVABpAHQAbABlACIALAAiAEMAbwBtAG0AbwBuAEwAaQB2AGUAcwB0AG8AYwBrAF8AUwBvAHUAcgBjAGUARABhAHQAYQAuAFMAbwB1AHIAYwBlAEQAYQB0AGEAXwBMAGkAdgBlAHMAdABvAGMAawBfAEMAbwBtAG0AbwBuAF8ARgByAGEAYwBXAEUAVABNAE0AUwBfAFUAbgBpAHQAIgAsACIAQwBvAG0AbQBvAG4ATABpAHYAZQBzAHQAbwBjAGsAXwBTAG8AdQByAGMAZQBEAGEAdABhAC4AUwBvAHUAcgBjAGUARABhAHQAYQBfAEwAaQB2AGUAcwB0AG8AYwBrAF8AQwBvAG0AbQBvAG4AXwBGAHIAYQBjAFcARQBUAE0ATQBTAF8AUwBvAHUAcgBjAGUAIgAsACIAQwBvAG0AbQBvAG4ATABpAHYAZQBzAHQAbwBjAGsAXwBTAG8AdQByAGMAZQBEAGEAdABhAC4AUwBvAHUAcgBjAGUARABhAHQAYQBfAEwAaQB2AGUAcwB0AG8AYwBrAF8AQwBvAG0AbQBvAG4AXwBGAHIAYQBjAFcARQBUAE0ATQBTAF8ARABhAHQAYQAiACwAIgBDAG8AbQBtAG8AbgBMAGkAdgBlAHMAdABvAGMAawBfAFMAbwB1AHIAYwBlAEQAYQB0AGEALgBTAG8AdQByAGMAZQBEAGEAdABhAF8ATABpAHYAZQBzAHQAbwBjAGsAXwBDAG8AbQBtAG8AbgBfAEYAcgBhAGMATABFAEEAQwBIAF8ATQBTAF8AVABpAHQAbABlACIALAAiAEMAbwBtAG0AbwBuAEwAaQB2AGUAcwB0AG8AYwBrAF8AUwBvAHUAcgBjAGUARABhAHQAYQAuAFMAbwB1AHIAYwBlAEQAYQB0AGEAXwBMAGkAdgBlAHMAdABvAGMAawBfAEMAbwBtAG0AbwBuAF8ARgByAGEAYwBMAEUAQQBDAEgAXwBNAFMAXwBVAG4AaQB0ACIALAAiAEMAbwBtAG0AbwBuAEwAaQB2AGUAcwB0AG8AYwBrAF8AUwBvAHUAcgBjAGUARABhAHQAYQAuAFMAbwB1AHIAYwBlAEQAYQB0AGEAXwBMAGkAdgBlAHMAdABvAGMAawBfAEMAbwBtAG0AbwBuAF8ARgByAGEAYwBMAEUAQQBDAEgAXwBNAFMAXwBTAG8AdQByAGMAZQAiACwAIgBDAG8AbQBtAG8AbgBMAGkAdgBlAHMAdABvAGMAawBfAFMAbwB1AHIAYwBlAEQAYQB0AGEALgBTAG8AdQByAGMAZQBEAGEAdABhAF8ATABpAHYAZQBzAHQAbwBjAGsAXwBDAG8AbQBtAG8AbgBfAEYAcgBhAGMATABFAEEAQwBIAF8ATQBTAF8ARABhAHQAYQAiACwAIgBDAG8AbQBtAG8AbgBMAGkAdgBlAHMAdABvAGMAawBfAFMAbwB1AHIAYwBlAEQAYQB0AGEALgBTAG8AdQByAGMAZQBEAGEAdABhAF8ATABpAHYAZQBzAHQAbwBjAGsAXwBDAG8AbQBtAG8AbgBfAFMAeQBtAGIAbwBsAHMATQBNAFMAXwBUAGkAdABsAGUAIgAsACIAQwBvAG0AbQBvAG4ATABpAHYAZQBzAHQAbwBjAGsAXwBTAG8AdQByAGMAZQBEAGEAdABhAC4AUwBvAHUAcgBjAGUARABhAHQAYQBfAEwAaQB2AGUAcwB0AG8AYwBrAF8AQwBvAG0AbQBvAG4AXwBTAHkAbQBiAG8AbABzAE0ATQBTAF8AVgBhAGkAcgBhAGIAbABlACIALAAiAEMAbwBtAG0AbwBuAEwAaQB2AGUAcwB0AG8AYwBrAF8AUwBvAHUAcgBjAGUARABhAHQAYQAuAFMAbwB1AHIAYwBlAEQAYQB0AGEAXwBMAGkAdgBlAHMAdABvAGMAawBfAEMAbwBtAG0AbwBuAF8AUwB5AG0AYgBvAGwAcwBNAE0AUwBfAFUAbgBpAHQAIgAsACIAQwBvAG0AbQBvAG4ATABpAHYAZQBzAHQAbwBjAGsAXwBTAG8AdQByAGMAZQBEAGEAdABhAC4AUwBvAHUAcgBjAGUARABhAHQAYQBfAEwAaQB2AGUAcwB0AG8AYwBrAF8AQwBvAG0AbQBvAG4AXwBTAHkAbQBiAG8AbABzAE0ATQBTAF8AUwBvAHUAcgBjAGUAIgAsACIAQwBvAG0AbQBvAG4ATABpAHYAZQBzAHQAbwBjAGsAXwBTAG8AdQByAGMAZQBEAGEAdABhAC4AUwBvAHUAcgBjAGUARABhAHQAYQBfAEwAaQB2AGUAcwB0AG8AYwBrAF8AQwBvAG0AbQBvAG4AXwBTAHkAbQBiAG8AbABzAE0ATQBTAF8ARABhAHQAYQ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EMAeQBjAGwAZQBz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DAHIAbwBwAHAAaQBuAGcAXwBJAG4AcAB1AHQARgB1AG4AYwB0AGkAbwBuAHMALgBDAG8AbQBtAG8AbgBDAHIAbwBwAHAAaQBuAGcAXwBHAGUAdABGAHIAYQBjAFcARQBUACIALAAiAEMAbwBtAG0AbwBuAEMAcgBvAHAAcABpAG4AZwBfAEkAbgBwAHUAdABGAHUAbgBjAHQAaQBvAG4AcwAuAEMAbwBtAG0AbwBuAEMAcgBvAHAAcABpAG4AZwBfAEMAYQBsAGMAdQBsAGEAdABlAEgAYQByAHYAZQBzAHQASQBuAGQAZQB4ACIALAAiAEMAbwBtAG0AbwBuAEMAcgBvAHAAcABpAG4AZwBfAEkAbgBwAHUAdABGAHUAbgBjAHQAaQBvAG4AcwAuAEMAbwBtAG0AbwBuAEMAcgBvAHAAcABpAG4AZwBfAEMAYQBsAGMAdQBsAGEAdABlAFIAZQBzAGkAZAB1AGUAQwByAG8AcABSAGEAdABpAG8AIgAsACIAQwBvAG0AbQBvAG4AQwByAG8AcABwAGkAbgBnAF8ASQBuAHAAdQB0AEYAdQBuAGMAdABpAG8AbgBzAC4AQwBvAG0AbQBvAG4AQwByAG8AcABwAGkAbgBnAF8AQwBhAGwAYwB1AGwAYQB0AGUARgByAGEAYwB0AGkAbwBuAFIAZQBzAGkAZAB1AGUAUgBlAG0AbwB2AGUAZAAiACwAIgBTAG8AdQByAGMAZQBEAGEAdABhAF8AUABvAHUAbAB0AHIAeQAuAFMAbwB1AHIAYwBlAEQAYQB0AGEAXwBQAG8AdQBsAHQAcgB5AF8ARABpAGUAdABQAHIAbwBwAGUAcgB0AGkAZQBzAF8AVABpAHQAbABlACIALAAiAFMAbwB1AHIAYwBlAEQAYQB0AGEAXwBQAG8AdQBsAHQAcgB5AC4AUwBvAHUAcgBjAGUARABhAHQAYQBfAFAAbwB1AGwAdAByAHkAXwBEAGkAZQB0AFAAcgBvAHAAZQByAHQAaQBlAHMAXwBVAG4AaQB0ACIALAAiAFMAbwB1AHIAYwBlAEQAYQB0AGEAXwBQAG8AdQBsAHQAcgB5AC4AUwBvAHUAcgBjAGUARABhAHQAYQBfAFAAbwB1AGwAdAByAHkAXwBEAGkAZQB0AFAAcgBvAHAAZQByAHQAaQBlAHMAXwBTAG8AdQByAGMAZQAiACwAIgBTAG8AdQByAGMAZQBEAGEAdABhAF8AUABvAHUAbAB0AHIAeQAuAFMAbwB1AHIAYwBlAEQAYQB0AGEAXwBQAG8AdQBsAHQAcgB5AF8ARABpAGUAdABQAHIAbwBwAGUAcgB0AGkAZQBzAF8AVgBhAHIAaQBhAHQAaQBvAG4AIgAsACIAUwBvAHUAcgBjAGUARABhAHQAYQBfAFAAbwB1AGwAdAByAHkALgBTAG8AdQByAGMAZQBEAGEAdABhAF8AUABvAHUAbAB0AHIAeQBfAEQAaQBlAHQAUAByAG8AcABlAHIAdABpAGUAcwBfAEQAYQB0AGEAIgAsACIAUwBvAHUAcgBjAGUARABhAHQAYQBfAFAAbwB1AGwAdAByAHkALgBTAG8AdQByAGMAZQBEAGEAdABhAF8AUABvAHUAbAB0AHIAeQBfAE0AQwBGAF8AVABpAHQAbABlACIALAAiAFMAbwB1AHIAYwBlAEQAYQB0AGEAXwBQAG8AdQBsAHQAcgB5AC4AUwBvAHUAcgBjAGUARABhAHQAYQBfAFAAbwB1AGwAdAByAHkAXwBNAEMARgBfAFUAbgBpAHQAIgAsACIAUwBvAHUAcgBjAGUARABhAHQAYQBfAFAAbwB1AGwAdAByAHkALgBTAG8AdQByAGMAZQBEAGEAdABhAF8AUABvAHUAbAB0AHIAeQBfAE0AQwBGAF8AUwBvAHUAcgBjAGUAIgAsACIAUwBvAHUAcgBjAGUARABhAHQAYQBfAFAAbwB1AGwAdAByAHkALgBTAG8AdQByAGMAZQBEAGEAdABhAF8AUABvAHUAbAB0AHIAeQBfAE0AQwBGAF8AVgBhAHIAaQBhAHQAaQBvAG4AIgAsACIAUwBvAHUAcgBjAGUARABhAHQAYQBfAFAAbwB1AGwAdAByAHkALgBTAG8AdQByAGMAZQBEAGEAdABhAF8AUABvAHUAbAB0AHIAeQBfAE0AQwBGAF8ARABhAHQAYQAiACwAIgBTAG8AdQByAGMAZQBEAGEAdABhAF8AUABvAHUAbAB0AHIAeQAuAFMAbwB1AHIAYwBlAEQAYQB0AGEAXwBQAG8AdQBsAHQAcgB5AF8ATQBDAEYAXwBOAG8AdABlAHMAIgAsACIAUwBvAHUAcgBjAGUARABhAHQAYQBfAFAAbwB1AGwAdAByAHkALgBTAG8AdQByAGMAZQBEAGEAdABhAF8AUABvAHUAbAB0AHIAeQBfAE0AZQB0AGgAYQBuAGUARQBtAGkAcwBzAGkAbwBuAHMAUABvAHQAZQBuAHQAaQBhAGwAXwBUAGkAdABsAGUAIgAsACIAUwBvAHUAcgBjAGUARABhAHQAYQBfAFAAbwB1AGwAdAByAHkALgBTAG8AdQByAGMAZQBEAGEAdABhAF8AUABvAHUAbAB0AHIAeQBfAE0AZQB0AGgAYQBuAGUARQBtAGkAcwBzAGkAbwBuAHMAUABvAHQAZQBuAHQAaQBhAGwAXwBVAG4AaQB0ACIALAAiAFMAbwB1AHIAYwBlAEQAYQB0AGEAXwBQAG8AdQBsAHQAcgB5AC4AUwBvAHUAcgBjAGUARABhAHQAYQBfAFAAbwB1AGwAdAByAHkAXwBNAGUAdABoAGEAbgBlAEUAbQBpAHMAcwBpAG8AbgBzAFAAbwB0AGUAbgB0AGkAYQBsAF8AUwBvAHUAcgBjAGUAIgAsACIAUwBvAHUAcgBjAGUARABhAHQAYQBfAFAAbwB1AGwAdAByAHkALgBTAG8AdQByAGMAZQBEAGEAdABhAF8AUABvAHUAbAB0AHIAeQBfAE0AZQB0AGgAYQBuAGUARQBtAGkAcwBzAGkAbwBuAHMAUABvAHQAZQBuAHQAaQBhAGwAXwBWAGEAcgBpAGEAdABpAG8AbgAiACwAIgBTAG8AdQByAGMAZQBEAGEAdABhAF8AUABvAHUAbAB0AHIAeQAuAFMAbwB1AHIAYwBlAEQAYQB0AGEAXwBQAG8AdQBsAHQAcgB5AF8ATQBlAHQAaABhAG4AZQBFAG0AaQBzAHMAaQBvAG4AcwBQAG8AdABlAG4AdABpAGEAbABfAEQAYQB0AGEAIgAsACIAUwBvAHUAcgBjAGUARABhAHQAYQBfAFAAbwB1AGwAdAByAHkALgBTAG8AdQByAGMAZQBEAGEAdABhAF8AUABvAHUAbAB0AHIAeQBfAFAAcgBvAGQAdQBjAHQAaQBvAG4AUwB5AHMAdABlAG0AcwBfAFQAaQB0AGwAZQAiACwAIgBTAG8AdQByAGMAZQBEAGEAdABhAF8AUABvAHUAbAB0AHIAeQAuAFMAbwB1AHIAYwBlAEQAYQB0AGEAXwBQAG8AdQBsAHQAcgB5AF8AUAByAG8AZAB1AGMAdABpAG8AbgBTAHkAcwB0AGUAbQBzAF8AVQBuAGkAdAAiACwAIgBTAG8AdQByAGMAZQBEAGEAdABhAF8AUABvAHUAbAB0AHIAeQAuAFMAbwB1AHIAYwBlAEQAYQB0AGEAXwBQAG8AdQBsAHQAcgB5AF8AUAByAG8AZAB1AGMAdABpAG8AbgBTAHkAcwB0AGUAbQBzAF8AUwBvAHUAcgBjAGUAIgAsACIAUwBvAHUAcgBjAGUARABhAHQAYQBfAFAAbwB1AGwAdAByAHkALgBTAG8AdQByAGMAZQBEAGEAdABhAF8AUABvAHUAbAB0AHIAeQBfAFAAcgBvAGQAdQBjAHQAaQBvAG4AUwB5AHMAdABlAG0AcwBfAFYAYQByAGkAYQB0AGkAbwBuACIALAAiAFMAbwB1AHIAYwBlAEQAYQB0AGEAXwBQAG8AdQBsAHQAcgB5AC4AUwBvAHUAcgBjAGUARABhAHQAYQBfAFAAbwB1AGwAdAByAHkAXwBQAHIAbwBkAHUAYwB0AGkAbwBuAFMAeQBzAHQAZQBtAHMAXwBEAGEAdABhACIALAAiAFMAbwB1AHIAYwBlAEQAYQB0AGEAXwBQAG8AdQBsAHQAcgB5AC4AUwBvAHUAcgBjAGUARABhAHQAYQBfAFAAbwB1AGwAdAByAHkAXwBWAFMATABfAFQAaQB0AGwAZQAiACwAIgBTAG8AdQByAGMAZQBEAGEAdABhAF8AUABvAHUAbAB0AHIAeQAuAFMAbwB1AHIAYwBlAEQAYQB0AGEAXwBQAG8AdQBsAHQAcgB5AF8AVgBTAEwAXwBVAG4AaQB0ACIALAAiAFMAbwB1AHIAYwBlAEQAYQB0AGEAXwBQAG8AdQBsAHQAcgB5AC4AUwBvAHUAcgBjAGUARABhAHQAYQBfAFAAbwB1AGwAdAByAHkAXwBWAFMATABfAFMAbwB1AHIAYwBlACIALAAiAFMAbwB1AHIAYwBlAEQAYQB0AGEAXwBQAG8AdQBsAHQAcgB5AC4AUwBvAHUAcgBjAGUARABhAHQAYQBfAFAAbwB1AGwAdAByAHkAXwBWAFMATABfAFYAYQByAGkAYQB0AGkAbwBuACIALAAiAFMAbwB1AHIAYwBlAEQAYQB0AGEAXwBQAG8AdQBsAHQAcgB5AC4AUwBvAHUAcgBjAGUARABhAHQAYQBfAFAAbwB1AGwAdAByAHkAXwBWAFMATABfAEQAYQB0AGEAIgAsACIAUwBvAHUAcgBjAGUARABhAHQAYQBfAFAAbwB1AGwAdAByAHkALgBTAG8AdQByAGMAZQBEAGEAdABhAF8AUABvAHUAbAB0AHIAeQBfAEYAcgBhAGMARwBBAFMATQBtAFQAXwBUAGkAdABsAGUAIgAsACIAUwBvAHUAcgBjAGUARABhAHQAYQBfAFAAbwB1AGwAdAByAHkALgBTAG8AdQByAGMAZQBEAGEAdABhAF8AUABvAHUAbAB0AHIAeQBfAEYAcgBhAGMARwBBAFMATQBtAFQAXwBVAG4AaQB0ACIALAAiAFMAbwB1AHIAYwBlAEQAYQB0AGEAXwBQAG8AdQBsAHQAcgB5AC4AUwBvAHUAcgBjAGUARABhAHQAYQBfAFAAbwB1AGwAdAByAHkAXwBGAHIAYQBjAEcAQQBTAE0AbQBUAF8AUwBvAHUAcgBjAGUAIgAsACIAUwBvAHUAcgBjAGUARABhAHQAYQBfAFAAbwB1AGwAdAByAHkALgBTAG8AdQByAGMAZQBEAGEAdABhAF8AUABvAHUAbAB0AHIAeQBfAEYAcgBhAGMARwBBAFMATQBtAFQAXwBWAGEAcgBpAGEAdABpAG8AbgAiACwAIgBTAG8AdQByAGMAZQBEAGEAdABhAF8AUABvAHUAbAB0AHIAeQAuAFMAbwB1AHIAYwBlAEQAYQB0AGEAXwBQAG8AdQBsAHQAcgB5AF8ARgByAGEAYwBHAEEAUwBNAG0AVABfAEQAYQB0AGEAIgAsACIAUwBvAHUAcgBjAGUARABhAHQAYQBfAFAAbwB1AGwAdAByAHkALgBTAG8AdQByAGMAZQBEAGEAdABhAF8AUABvAHUAbAB0AHIAeQBfAEUARgBtAFQAXwBUAGkAdABsAGUAIgAsACIAUwBvAHUAcgBjAGUARABhAHQAYQBfAFAAbwB1AGwAdAByAHkALgBTAG8AdQByAGMAZQBEAGEAdABhAF8AUABvAHUAbAB0AHIAeQBfAEUARgBtAFQAXwBVAG4AaQB0ACIALAAiAFMAbwB1AHIAYwBlAEQAYQB0AGEAXwBQAG8AdQBsAHQAcgB5AC4AUwBvAHUAcgBjAGUARABhAHQAYQBfAFAAbwB1AGwAdAByAHkAXwBFAEYAbQBUAF8AUwBvAHUAcgBjAGUAIgAsACIAUwBvAHUAcgBjAGUARABhAHQAYQBfAFAAbwB1AGwAdAByAHkALgBTAG8AdQByAGMAZQBEAGEAdABhAF8AUABvAHUAbAB0AHIAeQBfAEUARgBtAFQAXwBWAGEAcgBpAGEAdABpAG8AbgAiACwAIgBTAG8AdQByAGMAZQBEAGEAdABhAF8AUABvAHUAbAB0AHIAeQAuAFMAbwB1AHIAYwBlAEQAYQB0AGEAXwBQAG8AdQBsAHQAcgB5AF8ARQBGAG0AVABfAEQAYQB0AGEAIgAsACIAUwBvAHUAcgBjAGUARABhAHQAYQBfAFAAbwB1AGwAdAByAHkALgBTAG8AdQByAGMAZQBEAGEAdABhAF8AUABvAHUAbAB0AHIAeQBfAEYAcgBhAGMAdABpAG8AbgBPAGYATgBpAHQAcgBvAGcAZQBuAEwAbwBzAHQAVABoAHIAbwB1AGcAaABMAGUAYQBjAGgAaQBuAGcAQQBuAGQAUgB1AG4AbwBmAGYAXwBUAGkAdABsAGUAIgAsACIAUwBvAHUAcgBjAGUARABhAHQAYQBfAFAAbwB1AGwAdAByAHkALgBTAG8AdQByAGMAZQBEAGEAdABhAF8AUABvAHUAbAB0AHIAeQBfAEYAcgBhAGMAdABpAG8AbgBPAGYATgBpAHQAcgBvAGcAZQBuAEwAbwBzAHQAVABoAHIAbwB1AGcAaABMAGUAYQBjAGgAaQBuAGcAQQBuAGQAUgB1AG4AbwBmAGYAXwBWAGEAcgBpAGEAYgBsAGUAIgAsACIAUwBvAHUAcgBjAGUARABhAHQAYQBfAFAAbwB1AGwAdAByAHkALgBTAG8AdQByAGMAZQBEAGEAdABhAF8AUABvAHUAbAB0AHIAeQBfAEYAcgBhAGMAdABpAG8AbgBPAGYATgBpAHQAcgBvAGcAZQBuAEwAbwBzAHQAVABoAHIAbwB1AGcAaABMAGUAYQBjAGgAaQBuAGcAQQBuAGQAUgB1AG4AbwBmAGYAXwBVAG4AaQB0ACIALAAiAFMAbwB1AHIAYwBlAEQAYQB0AGEAXwBQAG8AdQBsAHQAcgB5AC4AUwBvAHUAcgBjAGUARABhAHQAYQBfAFAAbwB1AGwAdAByAHkAXwBGAHIAYQBjAHQAaQBvAG4ATwBmAE4AaQB0AHIAbwBnAGUAbgBMAG8AcwB0AFQAaAByAG8AdQBnAGgATABlAGEAYwBoAGkAbgBnAEEAbgBkAFIAdQBuAG8AZgBmAF8AUwBvAHUAcgBjAGUAIgAsACIAUwBvAHUAcgBjAGUARABhAHQAYQBfAFAAbwB1AGwAdAByAHkALgBTAG8AdQByAGMAZQBEAGEAdABhAF8AUABvAHUAbAB0AHIAeQBfAEYAcgBhAGMAdABpAG8AbgBPAGYATgBpAHQAcgBvAGcAZQBuAEwAbwBzAHQAVABoAHIAbwB1AGcAaABMAGUAYQBjAGgAaQBuAGcAQQBuAGQAUgB1AG4AbwBmAGYAXwBWAGEAcgBpAGEAdABpAG8AbgAiACwAIgBTAG8AdQByAGMAZQBEAGEAdABhAF8AUABvAHUAbAB0AHIAeQAuAFMAbwB1AHIAYwBlAEQAYQB0AGEAXwBQAG8AdQBsAHQAcgB5AF8ARgByAGEAYwB0AGkAbwBuAE8AZgBOAGkAdAByAG8AZwBlAG4ATABvAHMAdABUAGgAcgBvAHUAZwBoAEwAZQBhAGMAaABpAG4AZwBBAG4AZABSAHUAbgBvAGYAZgBfAEQAYQB0AGEAIgAsACIATQBNAFMAXwBQAG8AdQBsAHQAcgB5AF8ATgAyAE8ARABpAHIAZQBjAHQAXwBFAHEAdQBhAHQAaQBvAG4AcwAuAFYARQBFAFIARwBfADQAXwA2AF8AMQBfADMAXwBfADEAXwBUAG8AdABhAGwAQQBuAG4AdQBhAGwARABpAHIAZQBjAHQATgBpAHQAcgBvAHUAcwBPAHgAaQBkAGUARQBtAGkAcwBzAGkAbwBuAHMARgByAG8AbQBNAE0AUwAiACwAIgBNAE0AUwBfAFAAbwB1AGwAdAByAHkAXwBOADIATwBEAGkAcgBlAGMAdABfAEUAcQB1AGEAdABpAG8AbgBzAC4AVgBFAEUAUgBHAF8ANABfADYAXwAxAF8AMwBfAF8AMQBfAFQAbwB0AGEAbABBAG4AbgB1AGEAbABEAGkAcgBlAGMAdABOAGkAdAByAG8AdQBzAE8AeABpAGQAZQBFAG0AaQBzAHMAaQBvAG4AcwBGAHIAbwBtAE0ATQBTAF8AVABpAHQAbABlACIALAAiAE0ATQBTAF8AUABvAHUAbAB0AHIAeQBfAE4AMgBPAEQAaQByAGUAYwB0AF8ARQBxAHUAYQB0AGkAbwBuAHMALgBWAEUARQBSAEcAXwA0AF8ANgBfADEAXwAzAF8AXwAxAF8AVABvAHQAYQBsAEEAbgBuAHUAYQBsAEQAaQByAGUAYwB0AE4AaQB0AHIAbwB1AHMATwB4AGkAZABlAEUAbQBpAHMAcwBpAG8AbgBzAEYAcgBvAG0ATQBNAFMAXwBWAGEAcgBpAGEAYgBsAGUAIgAsACIATQBNAFMAXwBQAG8AdQBsAHQAcgB5AF8ATgAyAE8ARABpAHIAZQBjAHQAXwBFAHEAdQBhAHQAaQBvAG4AcwAuAFYARQBFAFIARwBfADQAXwA2AF8AMQBfADMAXwBfADEAXwBUAG8AdABhAGwAQQBuAG4AdQBhAGwARABpAHIAZQBjAHQATgBpAHQAcgBvAHUAcwBPAHgAaQBkAGUARQBtAGkAcwBzAGkAbwBuAHMARgByAG8AbQBNAE0AUwBfAFUAbgBpAHQAIgAsACIATQBNAFMAXwBQAG8AdQBsAHQAcgB5AF8ATgAyAE8ARABpAHIAZQBjAHQAXwBFAHEAdQBhAHQAaQBvAG4AcwAuAFYARQBFAFIARwBfADQAXwA2AF8AMQBfADMAXwBfADEAXwBUAG8AdABhAGwAQQBuAG4AdQBhAGwARABpAHIAZQBjAHQATgBpAHQAcgBvAHUAcwBPAHgAaQBkAGUARQBtAGkAcwBzAGkAbwBuAHMARgByAG8AbQBNAE0AUwBfAFMAbwB1AHIAYwBlACIALAAiAE0ATQBTAF8AUABvAHUAbAB0AHIAeQBfAE4AMgBPAEQAaQByAGUAYwB0AF8ARQBxAHUAYQB0AGkAbwBuAHMALgBWAEUARQBSAEcAXwA0AF8ANgBfADEAXwAzAF8AXwAxAF8AVABvAHQAYQBsAEEAbgBuAHUAYQBsAEQAaQByAGUAYwB0AE4AaQB0AHIAbwB1AHMATwB4AGkAZABlAEUAbQBpAHMAcwBpAG8AbgBzAEYAcgBvAG0ATQBNAFMAXwBOAEkAUgBSAGUAZgBlAHIAZQBuAGMAZQAiACwAIgBNAE0AUwBfAFAAbwB1AGwAdAByAHkAXwBOADIATwBEAGkAcgBlAGMAdABfAEUAcQB1AGEAdABpAG8AbgBzAC4AVgBFAEUAUgBHAF8ANABfADYAXwAxAF8AMwBfAF8AMQBfAFQAbwB0AGEAbABBAG4AbgB1AGEAbABEAGkAcgBlAGMAdABOAGkAdAByAG8AdQBzAE8AeABpAGQAZQBFAG0AaQBzAHMAaQBvAG4AcwBGAHIAbwBtAE0ATQBTAF8ATABhAHQAZQB4AEUAcQB1AGEAdABpAG8AbgAiACwAIgBNAE0AUwBfAFAAbwB1AGwAdAByAHkAXwBOADIATwBEAGkAcgBlAGMAdABfAEUAcQB1AGEAdABpAG8AbgBzAC4AVgBFAEUAUgBHAF8ANABfADYAXwAxAF8AMwBfAF8AMQBfAFQAbwB0AGEAbABBAG4AbgB1AGEAbABEAGkAcgBlAGMAdABOAGkAdAByAG8AdQBzAE8AeABpAGQAZQBFAG0AaQBzAHMAaQBvAG4AcwBGAHIAbwBtAE0ATQBTAF8AQQByAGcAdQBtAGUAbgB0AHMAIgAsACIATQBNAFMAXwBQAG8AdQBsAHQAcgB5AF8ATgAyAE8ARABpAHIAZQBjAHQAXwBFAHEAdQBhAHQAaQBvAG4AcwAuAFYARQBFAFIARwBfADQAXwA2AF8AMQBfADMAXwBfADIAXwBTAHQAYQBnAGUAMQBOAGkAdAByAG8AZwBlAG4ASQBuAE0ATQBTACIALAAiAE0ATQBTAF8AUABvAHUAbAB0AHIAeQBfAE4AMgBPAEQAaQByAGUAYwB0AF8ARQBxAHUAYQB0AGkAbwBuAHMALgBWAEUARQBSAEcAXwA0AF8ANgBfADEAXwAzAF8AXwAyAF8AUwB0AGEAZwBlADEATgBpAHQAcgBvAGcAZQBuAEkAbgBNAE0AUwBfAFQAaQB0AGwAZQAiACwAIgBNAE0AUwBfAFAAbwB1AGwAdAByAHkAXwBOADIATwBEAGkAcgBlAGMAdABfAEUAcQB1AGEAdABpAG8AbgBzAC4AVgBFAEUAUgBHAF8ANABfADYAXwAxAF8AMwBfAF8AMgBfAFMAdABhAGcAZQAxAE4AaQB0AHIAbwBnAGUAbgBJAG4ATQBNAFMAXwBWAGEAcgBpAGEAYgBsAGUAIgAsACIATQBNAFMAXwBQAG8AdQBsAHQAcgB5AF8ATgAyAE8ARABpAHIAZQBjAHQAXwBFAHEAdQBhAHQAaQBvAG4AcwAuAFYARQBFAFIARwBfADQAXwA2AF8AMQBfADMAXwBfADIAXwBTAHQAYQBnAGUAMQBOAGkAdAByAG8AZwBlAG4ASQBuAE0ATQBTAF8AVQBuAGkAdAAiACwAIgBNAE0AUwBfAFAAbwB1AGwAdAByAHkAXwBOADIATwBEAGkAcgBlAGMAdABfAEUAcQB1AGEAdABpAG8AbgBzAC4AVgBFAEUAUgBHAF8ANABfADYAXwAxAF8AMwBfAF8AMgBfAFMAdABhAGcAZQAxAE4AaQB0AHIAbwBnAGUAbgBJAG4ATQBNAFMAXwBTAG8AdQByAGMAZQAiACwAIgBNAE0AUwBfAFAAbwB1AGwAdAByAHkAXwBOADIATwBEAGkAcgBlAGMAdABfAEUAcQB1AGEAdABpAG8AbgBzAC4AVgBFAEUAUgBHAF8ANABfADYAXwAxAF8AMwBfAF8AMgBfAFMAdABhAGcAZQAxAE4AaQB0AHIAbwBnAGUAbgBJAG4ATQBNAFMAXwBOAEkAUgBSAGUAZgBlAHIAZQBuAGMAZQAiACwAIgBNAE0AUwBfAFAAbwB1AGwAdAByAHkAXwBOADIATwBEAGkAcgBlAGMAdABfAEUAcQB1AGEAdABpAG8AbgBzAC4AVgBFAEUAUgBHAF8ANABfADYAXwAxAF8AMwBfAF8AMgBfAFMAdABhAGcAZQAxAE4AaQB0AHIAbwBnAGUAbgBJAG4ATQBNAFMAXwBMAGEAdABlAHgARQBxAHUAYQB0AGkAbwBuACIALAAiAE0ATQBTAF8AUABvAHUAbAB0AHIAeQBfAE4AMgBPAEQAaQByAGUAYwB0AF8ARQBxAHUAYQB0AGkAbwBuAHMALgBWAEUARQBSAEcAXwA0AF8ANgBfADEAXwAzAF8AXwAyAF8AUwB0AGEAZwBlADEATgBpAHQAcgBvAGcAZQBuAEkAbgBNAE0AUwBfAEEAcgBnAHUAbQBlAG4AdABzACIALAAiAE0ATQBTAF8AUABvAHUAbAB0AHIAeQBfAE4AMgBPAEQAaQByAGUAYwB0AF8ARQBxAHUAYQB0AGkAbwBuAHMALgBWAEUARQBSAEcAXwA0AF8ANgBfADEAXwAzAF8AXwAzAF8AQQBuAG4AdQBhAGwATgBpAHQAcgBvAGcAZQBuAEUAeABjAHIAZQB0AGkAbwBuACIALAAiAE0ATQBTAF8AUABvAHUAbAB0AHIAeQBfAE4AMgBPAEQAaQByAGUAYwB0AF8ARQBxAHUAYQB0AGkAbwBuAHMALgBWAEUARQBSAEcAXwA0AF8ANgBfADEAXwAzAF8AXwAzAF8AQQBuAG4AdQBhAGwATgBpAHQAcgBvAGcAZQBuAEUAeABjAHIAZQB0AGkAbwBuAF8AVABpAHQAbABlACIALAAiAE0ATQBTAF8AUABvAHUAbAB0AHIAeQBfAE4AMgBPAEQAaQByAGUAYwB0AF8ARQBxAHUAYQB0AGkAbwBuAHMALgBWAEUARQBSAEcAXwA0AF8ANgBfADEAXwAzAF8AXwAzAF8AQQBuAG4AdQBhAGwATgBpAHQAcgBvAGcAZQBuAEUAeABjAHIAZQB0AGkAbwBuAF8AVgBhAHIAaQBhAGIAbABlACIALAAiAE0ATQBTAF8AUABvAHUAbAB0AHIAeQBfAE4AMgBPAEQAaQByAGUAYwB0AF8ARQBxAHUAYQB0AGkAbwBuAHMALgBWAEUARQBSAEcAXwA0AF8ANgBfADEAXwAzAF8AXwAzAF8AQQBuAG4AdQBhAGwATgBpAHQAcgBvAGcAZQBuAEUAeABjAHIAZQB0AGkAbwBuAF8AVQBuAGkAdAAiACwAIgBNAE0AUwBfAFAAbwB1AGwAdAByAHkAXwBOADIATwBEAGkAcgBlAGMAdABfAEUAcQB1AGEAdABpAG8AbgBzAC4AVgBFAEUAUgBHAF8ANABfADYAXwAxAF8AMwBfAF8AMwBfAEEAbgBuAHUAYQBsAE4AaQB0AHIAbwBnAGUAbgBFAHgAYwByAGUAdABpAG8AbgBfAFMAbwB1AHIAYwBlACIALAAiAE0ATQBTAF8AUABvAHUAbAB0AHIAeQBfAE4AMgBPAEQAaQByAGUAYwB0AF8ARQBxAHUAYQB0AGkAbwBuAHMALgBWAEUARQBSAEcAXwA0AF8ANgBfADEAXwAzAF8AXwAzAF8AQQBuAG4AdQBhAGwATgBpAHQAcgBvAGcAZQBuAEUAeABjAHIAZQB0AGkAbwBuAF8ATgBJAFIAUgBlAGYAZQByAGUAbgBjAGUAIgAsACIATQBNAFMAXwBQAG8AdQBsAHQAcgB5AF8ATgAyAE8ARABpAHIAZQBjAHQAXwBFAHEAdQBhAHQAaQBvAG4AcwAuAFYARQBFAFIARwBfADQAXwA2AF8AMQBfADMAXwBfADMAXwBBAG4AbgB1AGEAbABOAGkAdAByAG8AZwBlAG4ARQB4AGMAcgBlAHQAaQBvAG4AXwBMAGEAdABlAHgARQBxAHUAYQB0AGkAbwBuACIALAAiAE0ATQBTAF8AUABvAHUAbAB0AHIAeQBfAE4AMgBPAEQAaQByAGUAYwB0AF8ARQBxAHUAYQB0AGkAbwBuAHMALgBWAEUARQBSAEcAXwA0AF8ANgBfADEAXwAzAF8AXwAzAF8AQQBuAG4AdQBhAGwATgBpAHQAcgBvAGcAZQBuAEUAeABjAHIAZQB0AGkAbwBuAF8AQQByAGcAdQBtAGUAbgB0AHMAIgAsACIATQBNAFMAXwBQAG8AdQBsAHQAcgB5AF8ATgAyAE8ARABpAHIAZQBjAHQAXwBFAHEAdQBhAHQAaQBvAG4AcwAuAFYARQBFAFIARwBfADQAXwA2AF8AMQBfADMAXwBfADQAXwBOAGkAdAByAG8AZwBlAG4ARQB4AGMAcgBlAHQAaQBvAG4AUABlAHIAQgBpAHIAZAAiACwAIgBNAE0AUwBfAFAAbwB1AGwAdAByAHkAXwBOADIATwBEAGkAcgBlAGMAdABfAEUAcQB1AGEAdABpAG8AbgBzAC4AVgBFAEUAUgBHAF8ANABfADYAXwAxAF8AMwBfAF8ANABfAE4AaQB0AHIAbwBnAGUAbgBFAHgAYwByAGUAdABpAG8AbgBQAGUAcgBCAGkAcgBkAF8AVABpAHQAbABlACIALAAiAE0ATQBTAF8AUABvAHUAbAB0AHIAeQBfAE4AMgBPAEQAaQByAGUAYwB0AF8ARQBxAHUAYQB0AGkAbwBuAHMALgBWAEUARQBSAEcAXwA0AF8ANgBfADEAXwAzAF8AXwA0AF8ATgBpAHQAcgBvAGcAZQBuAEUAeABjAHIAZQB0AGkAbwBuAFAAZQByAEIAaQByAGQAXwBWAGEAcgBpAGEAYgBsAGUAIgAsACIATQBNAFMAXwBQAG8AdQBsAHQAcgB5AF8ATgAyAE8ARABpAHIAZQBjAHQAXwBFAHEAdQBhAHQAaQBvAG4AcwAuAFYARQBFAFIARwBfADQAXwA2AF8AMQBfADMAXwBfADQAXwBOAGkAdAByAG8AZwBlAG4ARQB4AGMAcgBlAHQAaQBvAG4AUABlAHIAQgBpAHIAZABfAFUAbgBpAHQAIgAsACIATQBNAFMAXwBQAG8AdQBsAHQAcgB5AF8ATgAyAE8ARABpAHIAZQBjAHQAXwBFAHEAdQBhAHQAaQBvAG4AcwAuAFYARQBFAFIARwBfADQAXwA2AF8AMQBfADMAXwBfADQAXwBOAGkAdAByAG8AZwBlAG4ARQB4AGMAcgBlAHQAaQBvAG4AUABlAHIAQgBpAHIAZABfAFMAbwB1AHIAYwBlACIALAAiAE0ATQBTAF8AUABvAHUAbAB0AHIAeQBfAE4AMgBPAEQAaQByAGUAYwB0AF8ARQBxAHUAYQB0AGkAbwBuAHMALgBWAEUARQBSAEcAXwA0AF8ANgBfADEAXwAzAF8AXwA0AF8ATgBpAHQAcgBvAGcAZQBuAEUAeABjAHIAZQB0AGkAbwBuAFAAZQByAEIAaQByAGQAXwBOAEkAUgBSAGUAZgBlAHIAZQBuAGMAZQAiACwAIgBNAE0AUwBfAFAAbwB1AGwAdAByAHkAXwBOADIATwBEAGkAcgBlAGMAdABfAEUAcQB1AGEAdABpAG8AbgBzAC4AVgBFAEUAUgBHAF8ANABfADYAXwAxAF8AMwBfAF8ANABfAE4AaQB0AHIAbwBnAGUAbgBFAHgAYwByAGUAdABpAG8AbgBQAGUAcgBCAGkAcgBkAF8ATABhAHQAZQB4AEUAcQB1AGEAdABpAG8AbgAiACwAIgBNAE0AUwBfAFAAbwB1AGwAdAByAHkAXwBOADIATwBEAGkAcgBlAGMAdABfAEUAcQB1AGEAdABpAG8AbgBzAC4AVgBFAEUAUgBHAF8ANABfADYAXwAxAF8AMwBfAF8ANABfAE4AaQB0AHIAbwBnAGUAbgBFAHgAYwByAGUAdABpAG8AbgBQAGUAcgBCAGkAcgBkAF8AQQByAGcAdQBtAGUAbgB0AHMAIgAsACIATQBNAFMAXwBQAG8AdQBsAHQAcgB5AF8ATgAyAE8ARABpAHIAZQBjAHQAXwBFAHEAdQBhAHQAaQBvAG4AcwAuAFYARQBFAFIARwBfADQAXwA2AF8AMQBfADMAXwBfADUAXwBOAGkAdAByAG8AZwBlAG4ASQBuAHQAYQBrAGUAIgAsACIATQBNAFMAXwBQAG8AdQBsAHQAcgB5AF8ATgAyAE8ARABpAHIAZQBjAHQAXwBFAHEAdQBhAHQAaQBvAG4AcwAuAFYARQBFAFIARwBfADQAXwA2AF8AMQBfADMAXwBfADUAXwBOAGkAdAByAG8AZwBlAG4ASQBuAHQAYQBrAGUAXwBUAGkAdABsAGUAIgAsACIATQBNAFMAXwBQAG8AdQBsAHQAcgB5AF8ATgAyAE8ARABpAHIAZQBjAHQAXwBFAHEAdQBhAHQAaQBvAG4AcwAuAFYARQBFAFIARwBfADQAXwA2AF8AMQBfADMAXwBfADUAXwBOAGkAdAByAG8AZwBlAG4ASQBuAHQAYQBrAGUAXwBWAGEAcgBpAGEAYgBsAGUAIgAsACIATQBNAFMAXwBQAG8AdQBsAHQAcgB5AF8ATgAyAE8ARABpAHIAZQBjAHQAXwBFAHEAdQBhAHQAaQBvAG4AcwAuAFYARQBFAFIARwBfADQAXwA2AF8AMQBfADMAXwBfADUAXwBOAGkAdAByAG8AZwBlAG4ASQBuAHQAYQBrAGUAXwBVAG4AaQB0ACIALAAiAE0ATQBTAF8AUABvAHUAbAB0AHIAeQBfAE4AMgBPAEQAaQByAGUAYwB0AF8ARQBxAHUAYQB0AGkAbwBuAHMALgBWAEUARQBSAEcAXwA0AF8ANgBfADEAXwAzAF8AXwA1AF8ATgBpAHQAcgBvAGcAZQBuAEkAbgB0AGEAawBlAF8AUwBvAHUAcgBjAGUAIgAsACIATQBNAFMAXwBQAG8AdQBsAHQAcgB5AF8ATgAyAE8ARABpAHIAZQBjAHQAXwBFAHEAdQBhAHQAaQBvAG4AcwAuAFYARQBFAFIARwBfADQAXwA2AF8AMQBfADMAXwBfADUAXwBOAGkAdAByAG8AZwBlAG4ASQBuAHQAYQBrAGUAXwBOAEkAUgBSAGUAZgBlAHIAZQBuAGMAZQAiACwAIgBNAE0AUwBfAFAAbwB1AGwAdAByAHkAXwBOADIATwBEAGkAcgBlAGMAdABfAEUAcQB1AGEAdABpAG8AbgBzAC4AVgBFAEUAUgBHAF8ANABfADYAXwAxAF8AMwBfAF8ANQBfAE4AaQB0AHIAbwBnAGUAbgBJAG4AdABhAGsAZQBfAEwAYQB0AGUAeABFAHEAdQBhAHQAaQBvAG4AIgAsACIATQBNAFMAXwBQAG8AdQBsAHQAcgB5AF8ATgAyAE8ARABpAHIAZQBjAHQAXwBFAHEAdQBhAHQAaQBvAG4AcwAuAFYARQBFAFIARwBfADQAXwA2AF8AMQBfADMAXwBfADUAXwBOAGkAdAByAG8AZwBlAG4ASQBuAHQAYQBrAGUAXwBBAHIAZwB1AG0AZQBuAHQAcwAiACwAIgBNAE0AUwBfAFAAbwB1AGwAdAByAHkAXwBOADIATwBEAGkAcgBlAGMAdABfAEUAcQB1AGEAdABpAG8AbgBzAC4AVgBFAEUAUgBHAF8ANABfADYAXwAxAF8AMwBfAF8ANgBfAFMAdABhAGcAZQAyAE4AaQB0AHIAbwBnAGUAbgBJAG4ATQBNAFMAIgAsACIATQBNAFMAXwBQAG8AdQBsAHQAcgB5AF8ATgAyAE8ARABpAHIAZQBjAHQAXwBFAHEAdQBhAHQAaQBvAG4AcwAuAFYARQBFAFIARwBfADQAXwA2AF8AMQBfADMAXwBfADYAXwBTAHQAYQBnAGUAMgBOAGkAdAByAG8AZwBlAG4ASQBuAE0ATQBTAF8AVABpAHQAbABlACIALAAiAE0ATQBTAF8AUABvAHUAbAB0AHIAeQBfAE4AMgBPAEQAaQByAGUAYwB0AF8ARQBxAHUAYQB0AGkAbwBuAHMALgBWAEUARQBSAEcAXwA0AF8ANgBfADEAXwAzAF8AXwA2AF8AUwB0AGEAZwBlADIATgBpAHQAcgBvAGcAZQBuAEkAbgBNAE0AUwBfAFYAYQByAGkAYQBiAGwAZQAiACwAIgBNAE0AUwBfAFAAbwB1AGwAdAByAHkAXwBOADIATwBEAGkAcgBlAGMAdABfAEUAcQB1AGEAdABpAG8AbgBzAC4AVgBFAEUAUgBHAF8ANABfADYAXwAxAF8AMwBfAF8ANgBfAFMAdABhAGcAZQAyAE4AaQB0AHIAbwBnAGUAbgBJAG4ATQBNAFMAXwBVAG4AaQB0ACIALAAiAE0ATQBTAF8AUABvAHUAbAB0AHIAeQBfAE4AMgBPAEQAaQByAGUAYwB0AF8ARQBxAHUAYQB0AGkAbwBuAHMALgBWAEUARQBSAEcAXwA0AF8ANgBfADEAXwAzAF8AXwA2AF8AUwB0AGEAZwBlADIATgBpAHQAcgBvAGcAZQBuAEkAbgBNAE0AUwBfAFMAbwB1AHIAYwBlACIALAAiAE0ATQBTAF8AUABvAHUAbAB0AHIAeQBfAE4AMgBPAEQAaQByAGUAYwB0AF8ARQBxAHUAYQB0AGkAbwBuAHMALgBWAEUARQBSAEcAXwA0AF8ANgBfADEAXwAzAF8AXwA2AF8AUwB0AGEAZwBlADIATgBpAHQAcgBvAGcAZQBuAEkAbgBNAE0AUwBfAE4ASQBSAFIAZQBmAGUAcgBlAG4AYwBlACIALAAiAE0ATQBTAF8AUABvAHUAbAB0AHIAeQBfAE4AMgBPAEQAaQByAGUAYwB0AF8ARQBxAHUAYQB0AGkAbwBuAHMALgBWAEUARQBSAEcAXwA0AF8ANgBfADEAXwAzAF8AXwA2AF8AUwB0AGEAZwBlADIATgBpAHQAcgBvAGcAZQBuAEkAbgBNAE0AUwBfAEwAYQB0AGUAeABFAHEAdQBhAHQAaQBvAG4AIgAsACIATQBNAFMAXwBQAG8AdQBsAHQAcgB5AF8ATgAyAE8ARABpAHIAZQBjAHQAXwBFAHEAdQBhAHQAaQBvAG4AcwAuAFYARQBFAFIARwBfADQAXwA2AF8AMQBfADMAXwBfADYAXwBTAHQAYQBnAGUAMgBOAGkAdAByAG8AZwBlAG4ASQBuAE0ATQBTAF8AQQByAGcAdQBtAGUAbgB0AHMAIgAsACIATQBNAFMAXwBQAG8AdQBsAHQAcgB5AF8ATgAyAE8ARABpAHIAZQBjAHQAXwBFAHEAdQBhAHQAaQBvAG4AcwAuAFYARQBFAFIARwBfADQAXwA2AF8AMQBfADMAXwBfADcAXwBOAGkAdAByAG8AZwBlAG4AVAByAGEAbgBzAGYAZQByAHIAZQBkAFQAbwBTAHQAYQBnAGUAMgBNAE0AUwAiACwAIgBNAE0AUwBfAFAAbwB1AGwAdAByAHkAXwBOADIATwBEAGkAcgBlAGMAdABfAEUAcQB1AGEAdABpAG8AbgBzAC4AVgBFAEUAUgBHAF8ANABfADYAXwAxAF8AMwBfAF8ANwBfAE4AaQB0AHIAbwBnAGUAbgBUAHIAYQBuAHMAZgBlAHIAcgBlAGQAVABvAFMAdABhAGcAZQAyAE0ATQBTAF8AVABpAHQAbABlACIALAAiAE0ATQBTAF8AUABvAHUAbAB0AHIAeQBfAE4AMgBPAEQAaQByAGUAYwB0AF8ARQBxAHUAYQB0AGkAbwBuAHMALgBWAEUARQBSAEcAXwA0AF8ANgBfADEAXwAzAF8AXwA3AF8ATgBpAHQAcgBvAGcAZQBuAFQAcgBhAG4AcwBmAGUAcgByAGUAZABUAG8AUwB0AGEAZwBlADIATQBNAFMAXwBWAGEAcgBpAGEAYgBsAGUAIgAsACIATQBNAFMAXwBQAG8AdQBsAHQAcgB5AF8ATgAyAE8ARABpAHIAZQBjAHQAXwBFAHEAdQBhAHQAaQBvAG4AcwAuAFYARQBFAFIARwBfADQAXwA2AF8AMQBfADMAXwBfADcAXwBOAGkAdAByAG8AZwBlAG4AVAByAGEAbgBzAGYAZQByAHIAZQBkAFQAbwBTAHQAYQBnAGUAMgBNAE0AUwBfAFUAbgBpAHQAIgAsACIATQBNAFMAXwBQAG8AdQBsAHQAcgB5AF8ATgAyAE8ARABpAHIAZQBjAHQAXwBFAHEAdQBhAHQAaQBvAG4AcwAuAFYARQBFAFIARwBfADQAXwA2AF8AMQBfADMAXwBfADcAXwBOAGkAdAByAG8AZwBlAG4AVAByAGEAbgBzAGYAZQByAHIAZQBkAFQAbwBTAHQAYQBnAGUAMgBNAE0AUwBfAFMAbwB1AHIAYwBlACIALAAiAE0ATQBTAF8AUABvAHUAbAB0AHIAeQBfAE4AMgBPAEQAaQByAGUAYwB0AF8ARQBxAHUAYQB0AGkAbwBuAHMALgBWAEUARQBSAEcAXwA0AF8ANgBfADEAXwAzAF8AXwA3AF8ATgBpAHQAcgBvAGcAZQBuAFQAcgBhAG4AcwBmAGUAcgByAGUAZABUAG8AUwB0AGEAZwBlADIATQBNAFMAXwBOAEkAUgBSAGUAZgBlAHIAZQBuAGMAZQAiACwAIgBNAE0AUwBfAFAAbwB1AGwAdAByAHkAXwBOADIATwBEAGkAcgBlAGMAdABfAEUAcQB1AGEAdABpAG8AbgBzAC4AVgBFAEUAUgBHAF8ANABfADYAXwAxAF8AMwBfAF8ANwBfAE4AaQB0AHIAbwBnAGUAbgBUAHIAYQBuAHMAZgBlAHIAcgBlAGQAVABvAFMAdABhAGcAZQAyAE0ATQBTAF8ATABhAHQAZQB4AEUAcQB1AGEAdABpAG8AbgAiACwAIgBNAE0AUwBfAFAAbwB1AGwAdAByAHkAXwBOADIATwBEAGkAcgBlAGMAdABfAEUAcQB1AGEAdABpAG8AbgBzAC4AVgBFAEUAUgBHAF8ANABfADYAXwAxAF8AMwBfAF8ANwBfAE4AaQB0AHIAbwBnAGUAbgBUAHIAYQBuAHMAZgBlAHIAcgBlAGQAVABvAFMAdABhAGcAZQAyAE0ATQBTAF8AQQByAGcAdQBtAGUAbgB0AHMAIgAsACIATQBNAFMAXwBQAG8AdQBsAHQAcgB5AF8AQQB0AG0AbwBzAHAAaABlAHIAaQBjAEQAZQBwAG8AcwBpAHQAaQBvAG4AXwBFAHEAdQBhAHQAaQBvAG4AcwAuAFYARQBFAFIARwBfADQAXwA2AF8AMQBfADUAXwBfADEAXwBUAG8AdABhAGwAQQBuAG4AdQBhAGwAQQB0AG0AbwBzAHAAaABlAHIAaQBjAEQAZQBwAG8AcwBpAHQAaQBvAG4ARQBtAGkAcwBzAGkAbwBuAHMARgByAG8AbQBNAE0AUwAiACwAIgBNAE0AUwBfAFAAbwB1AGwAdAByAHkAXwBBAHQAbQBvAHMAcABoAGUAcgBpAGMARABlAHAAbwBzAGkAdABpAG8AbgBfAEUAcQB1AGEAdABpAG8AbgBzAC4AVgBFAEUAUgBHAF8ANABfADYAXwAxAF8ANQBfAF8AMQBfAFQAbwB0AGEAbABBAG4AbgB1AGEAbABBAHQAbQBvAHMAcABoAGUAcgBpAGMARABlAHAAbwBzAGkAdABpAG8AbgBFAG0AaQBzAHMAaQBvAG4AcwBGAHIAbwBtAE0ATQBTAF8AVABpAHQAbABlACIALAAiAE0ATQBTAF8AUABvAHUAbAB0AHIAeQBfAEEAdABtAG8AcwBwAGgAZQByAGkAYwBEAGUAcABvAHMAaQB0AGkAbwBuAF8ARQBxAHUAYQB0AGkAbwBuAHMALgBWAEUARQBSAEcAXwA0AF8ANgBfADEAXwA1AF8AXwAxAF8AVABvAHQAYQBsAEEAbgBuAHUAYQBsAEEAdABtAG8AcwBwAGgAZQByAGkAYwBEAGUAcABvAHMAaQB0AGkAbwBuAEUAbQBpAHMAcwBpAG8AbgBzAEYAcgBvAG0ATQBNAFMAXwBWAGEAcgBpAGEAYgBsAGUAIgAsACIATQBNAFMAXwBQAG8AdQBsAHQAcgB5AF8AQQB0AG0AbwBzAHAAaABlAHIAaQBjAEQAZQBwAG8AcwBpAHQAaQBvAG4AXwBFAHEAdQBhAHQAaQBvAG4AcwAuAFYARQBFAFIARwBfADQAXwA2AF8AMQBfADUAXwBfADEAXwBUAG8AdABhAGwAQQBuAG4AdQBhAGwAQQB0AG0AbwBzAHAAaABlAHIAaQBjAEQAZQBwAG8AcwBpAHQAaQBvAG4ARQBtAGkAcwBzAGkAbwBuAHMARgByAG8AbQBNAE0AUwBfAFUAbgBpAHQAIgAsACIATQBNAFMAXwBQAG8AdQBsAHQAcgB5AF8AQQB0AG0AbwBzAHAAaABlAHIAaQBjAEQAZQBwAG8AcwBpAHQAaQBvAG4AXwBFAHEAdQBhAHQAaQBvAG4AcwAuAFYARQBFAFIARwBfADQAXwA2AF8AMQBfADUAXwBfADEAXwBUAG8AdABhAGwAQQBuAG4AdQBhAGwAQQB0AG0AbwBzAHAAaABlAHIAaQBjAEQAZQBwAG8AcwBpAHQAaQBvAG4ARQBtAGkAcwBzAGkAbwBuAHMARgByAG8AbQBNAE0AUwBfAFMAbwB1AHIAYwBlACIALAAiAE0ATQBTAF8AUABvAHUAbAB0AHIAeQBfAEEAdABtAG8AcwBwAGgAZQByAGkAYwBEAGUAcABvAHMAaQB0AGkAbwBuAF8ARQBxAHUAYQB0AGkAbwBuAHMALgBWAEUARQBSAEcAXwA0AF8ANgBfADEAXwA1AF8AXwAxAF8AVABvAHQAYQBsAEEAbgBuAHUAYQBsAEEAdABtAG8AcwBwAGgAZQByAGkAYwBEAGUAcABvAHMAaQB0AGkAbwBuAEUAbQBpAHMAcwBpAG8AbgBzAEYAcgBvAG0ATQBNAFMAXwBOAEkAUgBSAGUAZgBlAHIAZQBuAGMAZQAiACwAIgBNAE0AUwBfAFAAbwB1AGwAdAByAHkAXwBBAHQAbQBvAHMAcABoAGUAcgBpAGMARABlAHAAbwBzAGkAdABpAG8AbgBfAEUAcQB1AGEAdABpAG8AbgBzAC4AVgBFAEUAUgBHAF8ANABfADYAXwAxAF8ANQBfAF8AMQBfAFQAbwB0AGEAbABBAG4AbgB1AGEAbABBAHQAbQBvAHMAcABoAGUAcgBpAGMARABlAHAAbwBzAGkAdABpAG8AbgBFAG0AaQBzAHMAaQBvAG4AcwBGAHIAbwBtAE0ATQBTAF8ATABhAHQAZQB4AEUAcQB1AGEAdABpAG8AbgAiACwAIgBNAE0AUwBfAFAAbwB1AGwAdAByAHkAXwBBAHQAbQBvAHMAcABoAGUAcgBpAGMARABlAHAAbwBzAGkAdABpAG8AbgBfAEUAcQB1AGEAdABpAG8AbgBzAC4AVgBFAEUAUgBHAF8ANABfADYAXwAxAF8ANQBfAF8AMQBfAFQAbwB0AGEAbABBAG4AbgB1AGEAbABBAHQAbQBvAHMAcABoAGUAcgBpAGMARABlAHAAbwBzAGkAdABpAG8AbgBFAG0AaQBzAHMAaQBvAG4AcwBGAHIAbwBtAE0ATQBTAF8AQQByAGcAdQBtAGUAbgB0AHMAIgAsACIATQBNAFMAXwBQAG8AdQBsAHQAcgB5AF8AQQB0AG0AbwBzAHAAaABlAHIAaQBjAEQAZQBwAG8AcwBpAHQAaQBvAG4AXwBFAHEAdQBhAHQAaQBvAG4AcwAuAFYARQBFAFIARwBfADQAXwA2AF8AMQBfADUAXwBfADIAXwBUAG8AdABhAGwATgBpAHQAcgBvAGcAZQBuAFYAbwBsAGEAdABpAGwAaQBzAGUAZABGAHIAbwBtAE0ATQBTACIALAAiAE0ATQBTAF8AUABvAHUAbAB0AHIAeQBfAEEAdABtAG8AcwBwAGgAZQByAGkAYwBEAGUAcABvAHMAaQB0AGkAbwBuAF8ARQBxAHUAYQB0AGkAbwBuAHMALgBWAEUARQBSAEcAXwA0AF8ANgBfADEAXwA1AF8AXwAyAF8AVABvAHQAYQBsAE4AaQB0AHIAbwBnAGUAbgBWAG8AbABhAHQAaQBsAGkAcwBlAGQARgByAG8AbQBNAE0AUwBfAFQAaQB0AGwAZQAiACwAIgBNAE0AUwBfAFAAbwB1AGwAdAByAHkAXwBBAHQAbQBvAHMAcABoAGUAcgBpAGMARABlAHAAbwBzAGkAdABpAG8AbgBfAEUAcQB1AGEAdABpAG8AbgBzAC4AVgBFAEUAUgBHAF8ANABfADYAXwAxAF8ANQBfAF8AMgBfAFQAbwB0AGEAbABOAGkAdAByAG8AZwBlAG4AVgBvAGwAYQB0AGkAbABpAHMAZQBkAEYAcgBvAG0ATQBNAFMAXwBWAGEAcgBpAGEAYgBsAGUAIgAsACIATQBNAFMAXwBQAG8AdQBsAHQAcgB5AF8AQQB0AG0AbwBzAHAAaABlAHIAaQBjAEQAZQBwAG8AcwBpAHQAaQBvAG4AXwBFAHEAdQBhAHQAaQBvAG4AcwAuAFYARQBFAFIARwBfADQAXwA2AF8AMQBfADUAXwBfADIAXwBUAG8AdABhAGwATgBpAHQAcgBvAGcAZQBuAFYAbwBsAGEAdABpAGwAaQBzAGUAZABGAHIAbwBtAE0ATQBTAF8AVQBuAGkAdAAiACwAIgBNAE0AUwBfAFAAbwB1AGwAdAByAHkAXwBBAHQAbQBvAHMAcABoAGUAcgBpAGMARABlAHAAbwBzAGkAdABpAG8AbgBfAEUAcQB1AGEAdABpAG8AbgBzAC4AVgBFAEUAUgBHAF8ANABfADYAXwAxAF8ANQBfAF8AMgBfAFQAbwB0AGEAbABOAGkAdAByAG8AZwBlAG4AVgBvAGwAYQB0AGkAbABpAHMAZQBkAEYAcgBvAG0ATQBNAFMAXwBTAG8AdQByAGMAZQAiACwAIgBNAE0AUwBfAFAAbwB1AGwAdAByAHkAXwBBAHQAbQBvAHMAcABoAGUAcgBpAGMARABlAHAAbwBzAGkAdABpAG8AbgBfAEUAcQB1AGEAdABpAG8AbgBzAC4AVgBFAEUAUgBHAF8ANABfADYAXwAxAF8ANQBfAF8AMgBfAFQAbwB0AGEAbABOAGkAdAByAG8AZwBlAG4AVgBvAGwAYQB0AGkAbABpAHMAZQBkAEYAcgBvAG0ATQBNAFMAXwBOAEkAUgBSAGUAZgBlAHIAZQBuAGMAZQAiACwAIgBNAE0AUwBfAFAAbwB1AGwAdAByAHkAXwBBAHQAbQBvAHMAcABoAGUAcgBpAGMARABlAHAAbwBzAGkAdABpAG8AbgBfAEUAcQB1AGEAdABpAG8AbgBzAC4AVgBFAEUAUgBHAF8ANABfADYAXwAxAF8ANQBfAF8AMgBfAFQAbwB0AGEAbABOAGkAdAByAG8AZwBlAG4AVgBvAGwAYQB0AGkAbABpAHMAZQBkAEYAcgBvAG0ATQBNAFMAXwBMAGEAdABlAHgARQBxAHUAYQB0AGkAbwBuACIALAAiAE0ATQBTAF8AUABvAHUAbAB0AHIAeQBfAEEAdABtAG8AcwBwAGgAZQByAGkAYwBEAGUAcABvAHMAaQB0AGkAbwBuAF8ARQBxAHUAYQB0AGkAbwBuAHMALgBWAEUARQBSAEcAXwA0AF8ANgBfADEAXwA1AF8AXwAyAF8AVABvAHQAYQBsAE4AaQB0AHIAbwBnAGUAbgBWAG8AbABhAHQAaQBsAGkAcwBlAGQARgByAG8AbQBNAE0AUwBfAEEAcgBnAHUAbQBlAG4AdABzACIALAAiAE0ATQBTAF8AUABvAHUAbAB0AHIAeQBfAEwAZQBhAGMAaABpAG4AZwBBAG4AZABSAHUAbgBvAGYAZgBfAEUAcQB1AGEAdABpAG8AbgBzAC4AVgBFAEUAUgBHAF8ANABfADYAXwAxAF8ANwBfAF8AMQBfAEEAbgBuAHUAYQBsAEUAbQBpAHMAcwBpAG8AbgBzAEYAcgBvAG0ATABlAGEAYwBoAGkAbgBnAEEAbgBkAFIAdQBuAG8AZgBmAEYAcgBvAG0ATQBNAFMAIgAsACIATQBNAFMAXwBQAG8AdQBsAHQAcgB5AF8ATABlAGEAYwBoAGkAbgBnAEEAbgBkAFIAdQBuAG8AZgBmAF8ARQBxAHUAYQB0AGkAbwBuAHMALgBWAEUARQBSAEcAXwA0AF8ANgBfADEAXwA3AF8AXwAxAF8AQQBuAG4AdQBhAGwARQBtAGkAcwBzAGkAbwBuAHMARgByAG8AbQBMAGUAYQBjAGgAaQBuAGcAQQBuAGQAUgB1AG4AbwBmAGYARgByAG8AbQBNAE0AUwBfAFQAaQB0AGwAZQAiACwAIgBNAE0AUwBfAFAAbwB1AGwAdAByAHkAXwBMAGUAYQBjAGgAaQBuAGcAQQBuAGQAUgB1AG4AbwBmAGYAXwBFAHEAdQBhAHQAaQBvAG4AcwAuAFYARQBFAFIARwBfADQAXwA2AF8AMQBfADcAXwBfADEAXwBBAG4AbgB1AGEAbABFAG0AaQBzAHMAaQBvAG4AcwBGAHIAbwBtAEwAZQBhAGMAaABpAG4AZwBBAG4AZABSAHUAbgBvAGYAZgBGAHIAbwBtAE0ATQBTAF8AVgBhAHIAaQBhAGIAbABlACIALAAiAE0ATQBTAF8AUABvAHUAbAB0AHIAeQBfAEwAZQBhAGMAaABpAG4AZwBBAG4AZABSAHUAbgBvAGYAZgBfAEUAcQB1AGEAdABpAG8AbgBzAC4AVgBFAEUAUgBHAF8ANABfADYAXwAxAF8ANwBfAF8AMQBfAEEAbgBuAHUAYQBsAEUAbQBpAHMAcwBpAG8AbgBzAEYAcgBvAG0ATABlAGEAYwBoAGkAbgBnAEEAbgBkAFIAdQBuAG8AZgBmAEYAcgBvAG0ATQBNAFMAXwBVAG4AaQB0ACIALAAiAE0ATQBTAF8AUABvAHUAbAB0AHIAeQBfAEwAZQBhAGMAaABpAG4AZwBBAG4AZABSAHUAbgBvAGYAZgBfAEUAcQB1AGEAdABpAG8AbgBzAC4AVgBFAEUAUgBHAF8ANABfADYAXwAxAF8ANwBfAF8AMQBfAEEAbgBuAHUAYQBsAEUAbQBpAHMAcwBpAG8AbgBzAEYAcgBvAG0ATABlAGEAYwBoAGkAbgBnAEEAbgBkAFIAdQBuAG8AZgBmAEYAcgBvAG0ATQBNAFMAXwBTAG8AdQByAGMAZQAiACwAIgBNAE0AUwBfAFAAbwB1AGwAdAByAHkAXwBMAGUAYQBjAGgAaQBuAGcAQQBuAGQAUgB1AG4AbwBmAGYAXwBFAHEAdQBhAHQAaQBvAG4AcwAuAFYARQBFAFIARwBfADQAXwA2AF8AMQBfADcAXwBfADEAXwBBAG4AbgB1AGEAbABFAG0AaQBzAHMAaQBvAG4AcwBGAHIAbwBtAEwAZQBhAGMAaABpAG4AZwBBAG4AZABSAHUAbgBvAGYAZgBGAHIAbwBtAE0ATQBTAF8ATgBJAFIAUgBlAGYAZQByAGUAbgBjAGUAIgAsACIATQBNAFMAXwBQAG8AdQBsAHQAcgB5AF8ATABlAGEAYwBoAGkAbgBnAEEAbgBkAFIAdQBuAG8AZgBmAF8ARQBxAHUAYQB0AGkAbwBuAHMALgBWAEUARQBSAEcAXwA0AF8ANgBfADEAXwA3AF8AXwAxAF8AQQBuAG4AdQBhAGwARQBtAGkAcwBzAGkAbwBuAHMARgByAG8AbQBMAGUAYQBjAGgAaQBuAGcAQQBuAGQAUgB1AG4AbwBmAGYARgByAG8AbQBNAE0AUwBfAEwAYQB0AGUAeABFAHEAdQBhAHQAaQBvAG4AIgAsACIATQBNAFMAXwBQAG8AdQBsAHQAcgB5AF8ATABlAGEAYwBoAGkAbgBnAEEAbgBkAFIAdQBuAG8AZgBmAF8ARQBxAHUAYQB0AGkAbwBuAHMALgBWAEUARQBSAEcAXwA0AF8ANgBfADEAXwA3AF8AXwAxAF8AQQBuAG4AdQBhAGwARQBtAGkAcwBzAGkAbwBuAHMARgByAG8AbQBMAGUAYQBjAGgAaQBuAGcAQQBuAGQAUgB1AG4AbwBmAGYARgByAG8AbQBNAE0AUwBfAEEAcgBnAHUAbQBlAG4AdABzACIALAAiAE0ATQBTAF8AUABvAHUAbAB0AHIAeQBfAEwAZQBhAGMAaABpAG4AZwBBAG4AZABSAHUAbgBvAGYAZgBfAEUAcQB1AGEAdABpAG8AbgBzAC4AVgBFAEUAUgBHAF8ANABfADYAXwAxAF8ANwBfAF8AMgBfAE0AYQBzAHMATwBmAE4AaQB0AHIAbwBnAGUAbgBMAG8AcwB0AFQAbwBMAGUAYQBjAGgAaQBuAGcAQQBuAGQAUgB1AG4AbwBmAGYARgByAG8AbQBTAG8AbABpAGQAUwB0AG8AcgBhAGcAZQAiACwAIgBNAE0AUwBfAFAAbwB1AGwAdAByAHkAXwBMAGUAYQBjAGgAaQBuAGcAQQBuAGQAUgB1AG4AbwBmAGYAXwBFAHEAdQBhAHQAaQBvAG4AcwAuAFYARQBFAFIARwBfADQAXwA2AF8AMQBfADcAXwBfADIAXwBNAGEAcwBzAE8AZgBOAGkAdAByAG8AZwBlAG4ATABvAHMAdABUAG8ATABlAGEAYwBoAGkAbgBnAEEAbgBkAFIAdQBuAG8AZgBmAEYAcgBvAG0AUwBvAGwAaQBkAFMAdABvAHIAYQBnAGUAXwBUAGkAdABsAGUAIgAsACIATQBNAFMAXwBQAG8AdQBsAHQAcgB5AF8ATABlAGEAYwBoAGkAbgBnAEEAbgBkAFIAdQBuAG8AZgBmAF8ARQBxAHUAYQB0AGkAbwBuAHMALgBWAEUARQBSAEcAXwA0AF8ANgBfADEAXwA3AF8AXwAyAF8ATQBhAHMAcwBPAGYATgBpAHQAcgBvAGcAZQBuAEwAbwBzAHQAVABvAEwAZQBhAGMAaABpAG4AZwBBAG4AZABSAHUAbgBvAGYAZgBGAHIAbwBtAFMAbwBsAGkAZABTAHQAbwByAGEAZwBlAF8AVgBhAHIAaQBhAGIAbABlACIALAAiAE0ATQBTAF8AUABvAHUAbAB0AHIAeQBfAEwAZQBhAGMAaABpAG4AZwBBAG4AZABSAHUAbgBvAGYAZgBfAEUAcQB1AGEAdABpAG8AbgBzAC4AVgBFAEUAUgBHAF8ANABfADYAXwAxAF8ANwBfAF8AMgBfAE0AYQBzAHMATwBmAE4AaQB0AHIAbwBnAGUAbgBMAG8AcwB0AFQAbwBMAGUAYQBjAGgAaQBuAGcAQQBuAGQAUgB1AG4AbwBmAGYARgByAG8AbQBTAG8AbABpAGQAUwB0AG8AcgBhAGcAZQBfAFUAbgBpAHQAIgAsACIATQBNAFMAXwBQAG8AdQBsAHQAcgB5AF8ATABlAGEAYwBoAGkAbgBnAEEAbgBkAFIAdQBuAG8AZgBmAF8ARQBxAHUAYQB0AGkAbwBuAHMALgBWAEUARQBSAEcAXwA0AF8ANgBfADEAXwA3AF8AXwAyAF8ATQBhAHMAcwBPAGYATgBpAHQAcgBvAGcAZQBuAEwAbwBzAHQAVABvAEwAZQBhAGMAaABpAG4AZwBBAG4AZABSAHUAbgBvAGYAZgBGAHIAbwBtAFMAbwBsAGkAZABTAHQAbwByAGEAZwBlAF8AUwBvAHUAcgBjAGUAIgAsACIATQBNAFMAXwBQAG8AdQBsAHQAcgB5AF8ATABlAGEAYwBoAGkAbgBnAEEAbgBkAFIAdQBuAG8AZgBmAF8ARQBxAHUAYQB0AGkAbwBuAHMALgBWAEUARQBSAEcAXwA0AF8ANgBfADEAXwA3AF8AXwAyAF8ATQBhAHMAcwBPAGYATgBpAHQAcgBvAGcAZQBuAEwAbwBzAHQAVABvAEwAZQBhAGMAaABpAG4AZwBBAG4AZABSAHUAbgBvAGYAZgBGAHIAbwBtAFMAbwBsAGkAZABTAHQAbwByAGEAZwBlAF8ATgBJAFIAUgBlAGYAZQByAGUAbgBjAGUAIgAsACIATQBNAFMAXwBQAG8AdQBsAHQAcgB5AF8ATABlAGEAYwBoAGkAbgBnAEEAbgBkAFIAdQBuAG8AZgBmAF8ARQBxAHUAYQB0AGkAbwBuAHMALgBWAEUARQBSAEcAXwA0AF8ANgBfADEAXwA3AF8AXwAyAF8ATQBhAHMAcwBPAGYATgBpAHQAcgBvAGcAZQBuAEwAbwBzAHQAVABvAEwAZQBhAGMAaABpAG4AZwBBAG4AZABSAHUAbgBvAGYAZgBGAHIAbwBtAFMAbwBsAGkAZABTAHQAbwByAGEAZwBlAF8ATABhAHQAZQB4AEUAcQB1AGEAdABpAG8AbgAiACwAIgBNAE0AUwBfAFAAbwB1AGwAdAByAHkAXwBMAGUAYQBjAGgAaQBuAGcAQQBuAGQAUgB1AG4AbwBmAGYAXwBFAHEAdQBhAHQAaQBvAG4AcwAuAFYARQBFAFIARwBfADQAXwA2AF8AMQBfADcAXwBfADIAXwBNAGEAcwBzAE8AZgBOAGkAdAByAG8AZwBlAG4ATABvAHMAdABUAG8ATABlAGEAYwBoAGkAbgBnAEEAbgBkAFIAdQBuAG8AZgBmAEYAcgBvAG0AUwBvAGwAaQBkAFMAdABvAHIAYQBnAGUAXwBBAHIAZwB1AG0AZQBuAHQAcwAiACwAIgBNAE0AUwBfAFAAbwB1AGwAdAByAHkAXwBNAGUAdABoAGEAbgBlAF8ARQBxAHUAYQB0AGkAbwBuAHMALgBWAEUARQBSAEcAXwA0AF8ANgBfADEAXwAxAF8AXwAxAF8AVABvAHQAYQBsAEEAbgBuAHUAYQBsAE0AZQB0AGgAYQBuAGUARQBtAGkAcwBzAGkAbwBuAHMAIgAsACIATQBNAFMAXwBQAG8AdQBsAHQAcgB5AF8ATQBlAHQAaABhAG4AZQBfAEUAcQB1AGEAdABpAG8AbgBzAC4AVgBFAEUAUgBHAF8ANABfADYAXwAxAF8AMQBfAF8AMQBfAFQAbwB0AGEAbABBAG4AbgB1AGEAbABNAGUAdABoAGEAbgBlAEUAbQBpAHMAcwBpAG8AbgBzAF8AVABpAHQAbABlACIALAAiAE0ATQBTAF8AUABvAHUAbAB0AHIAeQBfAE0AZQB0AGgAYQBuAGUAXwBFAHEAdQBhAHQAaQBvAG4AcwAuAFYARQBFAFIARwBfADQAXwA2AF8AMQBfADEAXwBfADEAXwBUAG8AdABhAGwAQQBuAG4AdQBhAGwATQBlAHQAaABhAG4AZQBFAG0AaQBzAHMAaQBvAG4AcwBfAFYAYQByAGkAYQBiAGwAZQAiACwAIgBNAE0AUwBfAFAAbwB1AGwAdAByAHkAXwBNAGUAdABoAGEAbgBlAF8ARQBxAHUAYQB0AGkAbwBuAHMALgBWAEUARQBSAEcAXwA0AF8ANgBfADEAXwAxAF8AXwAxAF8AVABvAHQAYQBsAEEAbgBuAHUAYQBsAE0AZQB0AGgAYQBuAGUARQBtAGkAcwBzAGkAbwBuAHMAXwBVAG4AaQB0ACIALAAiAE0ATQBTAF8AUABvAHUAbAB0AHIAeQBfAE0AZQB0AGgAYQBuAGUAXwBFAHEAdQBhAHQAaQBvAG4AcwAuAFYARQBFAFIARwBfADQAXwA2AF8AMQBfADEAXwBfADEAXwBUAG8AdABhAGwAQQBuAG4AdQBhAGwATQBlAHQAaABhAG4AZQBFAG0AaQBzAHMAaQBvAG4AcwBfAFMAbwB1AHIAYwBlACIALAAiAE0ATQBTAF8AUABvAHUAbAB0AHIAeQBfAE0AZQB0AGgAYQBuAGUAXwBFAHEAdQBhAHQAaQBvAG4AcwAuAFYARQBFAFIARwBfADQAXwA2AF8AMQBfADEAXwBfADEAXwBUAG8AdABhAGwAQQBuAG4AdQBhAGwATQBlAHQAaABhAG4AZQBFAG0AaQBzAHMAaQBvAG4AcwBfAE4ASQBSAFIAZQBmAGUAcgBlAG4AYwBlACIALAAiAE0ATQBTAF8AUABvAHUAbAB0AHIAeQBfAE0AZQB0AGgAYQBuAGUAXwBFAHEAdQBhAHQAaQBvAG4AcwAuAFYARQBFAFIARwBfADQAXwA2AF8AMQBfADEAXwBfADEAXwBUAG8AdABhAGwAQQBuAG4AdQBhAGwATQBlAHQAaABhAG4AZQBFAG0AaQBzAHMAaQBvAG4AcwBfAEwAYQB0AGUAeABFAHEAdQBhAHQAaQBvAG4AIgAsACIATQBNAFMAXwBQAG8AdQBsAHQAcgB5AF8ATQBlAHQAaABhAG4AZQBfAEUAcQB1AGEAdABpAG8AbgBzAC4AVgBFAEUAUgBHAF8ANABfADYAXwAxAF8AMQBfAF8AMQBfAFQAbwB0AGEAbABBAG4AbgB1AGEAbABNAGUAdABoAGEAbgBlAEUAbQBpAHMAcwBpAG8AbgBzAF8AQQByAGcAdQBtAGUAbgB0AHMAIgAsACIATQBNAFMAXwBQAG8AdQBsAHQAcgB5AF8ATQBlAHQAaABhAG4AZQBfAEUAcQB1AGEAdABpAG8AbgBzAC4AVgBFAEUAUgBHAF8ANABfADYAXwAxAF8AMQBfAF8AMgBfAFMAdABhAGcAZQAxAE0AZQB0AGgAYQBuAGUAUAByAG8AZAB1AGMAdABpAG8AbgAiACwAIgBNAE0AUwBfAFAAbwB1AGwAdAByAHkAXwBNAGUAdABoAGEAbgBlAF8ARQBxAHUAYQB0AGkAbwBuAHMALgBWAEUARQBSAEcAXwA0AF8ANgBfADEAXwAxAF8AXwAyAF8AUwB0AGEAZwBlADEATQBlAHQAaABhAG4AZQBQAHIAbwBkAHUAYwB0AGkAbwBuAF8AVABpAHQAbABlACIALAAiAE0ATQBTAF8AUABvAHUAbAB0AHIAeQBfAE0AZQB0AGgAYQBuAGUAXwBFAHEAdQBhAHQAaQBvAG4AcwAuAFYARQBFAFIARwBfADQAXwA2AF8AMQBfADEAXwBfADIAXwBTAHQAYQBnAGUAMQBNAGUAdABoAGEAbgBlAFAAcgBvAGQAdQBjAHQAaQBvAG4AXwBWAGEAcgBpAGEAYgBsAGUAIgAsACIATQBNAFMAXwBQAG8AdQBsAHQAcgB5AF8ATQBlAHQAaABhAG4AZQBfAEUAcQB1AGEAdABpAG8AbgBzAC4AVgBFAEUAUgBHAF8ANABfADYAXwAxAF8AMQBfAF8AMgBfAFMAdABhAGcAZQAxAE0AZQB0AGgAYQBuAGUAUAByAG8AZAB1AGMAdABpAG8AbgBfAFUAbgBpAHQAIgAsACIATQBNAFMAXwBQAG8AdQBsAHQAcgB5AF8ATQBlAHQAaABhAG4AZQBfAEUAcQB1AGEAdABpAG8AbgBzAC4AVgBFAEUAUgBHAF8ANABfADYAXwAxAF8AMQBfAF8AMgBfAFMAdABhAGcAZQAxAE0AZQB0AGgAYQBuAGUAUAByAG8AZAB1AGMAdABpAG8AbgBfAFMAbwB1AHIAYwBlACIALAAiAE0ATQBTAF8AUABvAHUAbAB0AHIAeQBfAE0AZQB0AGgAYQBuAGUAXwBFAHEAdQBhAHQAaQBvAG4AcwAuAFYARQBFAFIARwBfADQAXwA2AF8AMQBfADEAXwBfADIAXwBTAHQAYQBnAGUAMQBNAGUAdABoAGEAbgBlAFAAcgBvAGQAdQBjAHQAaQBvAG4AXwBOAEkAUgBSAGUAZgBlAHIAZQBuAGMAZQAiACwAIgBNAE0AUwBfAFAAbwB1AGwAdAByAHkAXwBNAGUAdABoAGEAbgBlAF8ARQBxAHUAYQB0AGkAbwBuAHMALgBWAEUARQBSAEcAXwA0AF8ANgBfADEAXwAxAF8AXwAyAF8AUwB0AGEAZwBlADEATQBlAHQAaABhAG4AZQBQAHIAbwBkAHUAYwB0AGkAbwBuAF8ATABhAHQAZQB4AEUAcQB1AGEAdABpAG8AbgAiACwAIgBNAE0AUwBfAFAAbwB1AGwAdAByAHkAXwBNAGUAdABoAGEAbgBlAF8ARQBxAHUAYQB0AGkAbwBuAHMALgBWAEUARQBSAEcAXwA0AF8ANgBfADEAXwAxAF8AXwAyAF8AUwB0AGEAZwBlADEATQBlAHQAaABhAG4AZQBQAHIAbwBkAHUAYwB0AGkAbwBuAF8AQQByAGcAdQBtAGUAbgB0AHMAIgAsACIATQBNAFMAXwBQAG8AdQBsAHQAcgB5AF8ATQBlAHQAaABhAG4AZQBfAEUAcQB1AGEAdABpAG8AbgBzAC4AVgBFAEUAUgBHAF8ANABfADYAXwAxAF8AMQBfAF8AMwBfAFMAdABhAGcAZQAyAE0AZQB0AGgAYQBuAGUAUAByAG8AZAB1AGMAdABpAG8AbgAiACwAIgBNAE0AUwBfAFAAbwB1AGwAdAByAHkAXwBNAGUAdABoAGEAbgBlAF8ARQBxAHUAYQB0AGkAbwBuAHMALgBWAEUARQBSAEcAXwA0AF8ANgBfADEAXwAxAF8AXwAzAF8AUwB0AGEAZwBlADIATQBlAHQAaABhAG4AZQBQAHIAbwBkAHUAYwB0AGkAbwBuAF8AVABpAHQAbABlACIALAAiAE0ATQBTAF8AUABvAHUAbAB0AHIAeQBfAE0AZQB0AGgAYQBuAGUAXwBFAHEAdQBhAHQAaQBvAG4AcwAuAFYARQBFAFIARwBfADQAXwA2AF8AMQBfADEAXwBfADMAXwBTAHQAYQBnAGUAMgBNAGUAdABoAGEAbgBlAFAAcgBvAGQAdQBjAHQAaQBvAG4AXwBWAGEAcgBpAGEAYgBsAGUAIgAsACIATQBNAFMAXwBQAG8AdQBsAHQAcgB5AF8ATQBlAHQAaABhAG4AZQBfAEUAcQB1AGEAdABpAG8AbgBzAC4AVgBFAEUAUgBHAF8ANABfADYAXwAxAF8AMQBfAF8AMwBfAFMAdABhAGcAZQAyAE0AZQB0AGgAYQBuAGUAUAByAG8AZAB1AGMAdABpAG8AbgBfAFUAbgBpAHQAIgAsACIATQBNAFMAXwBQAG8AdQBsAHQAcgB5AF8ATQBlAHQAaABhAG4AZQBfAEUAcQB1AGEAdABpAG8AbgBzAC4AVgBFAEUAUgBHAF8ANABfADYAXwAxAF8AMQBfAF8AMwBfAFMAdABhAGcAZQAyAE0AZQB0AGgAYQBuAGUAUAByAG8AZAB1AGMAdABpAG8AbgBfAFMAbwB1AHIAYwBlACIALAAiAE0ATQBTAF8AUABvAHUAbAB0AHIAeQBfAE0AZQB0AGgAYQBuAGUAXwBFAHEAdQBhAHQAaQBvAG4AcwAuAFYARQBFAFIARwBfADQAXwA2AF8AMQBfADEAXwBfADMAXwBTAHQAYQBnAGUAMgBNAGUAdABoAGEAbgBlAFAAcgBvAGQAdQBjAHQAaQBvAG4AXwBOAEkAUgBSAGUAZgBlAHIAZQBuAGMAZQAiACwAIgBNAE0AUwBfAFAAbwB1AGwAdAByAHkAXwBNAGUAdABoAGEAbgBlAF8ARQBxAHUAYQB0AGkAbwBuAHMALgBWAEUARQBSAEcAXwA0AF8ANgBfADEAXwAxAF8AXwAzAF8AUwB0AGEAZwBlADIATQBlAHQAaABhAG4AZQBQAHIAbwBkAHUAYwB0AGkAbwBuAF8ATABhAHQAZQB4AEUAcQB1AGEAdABpAG8AbgAiACwAIgBNAE0AUwBfAFAAbwB1AGwAdAByAHkAXwBNAGUAdABoAGEAbgBlAF8ARQBxAHUAYQB0AGkAbwBuAHMALgBWAEUARQBSAEcAXwA0AF8ANgBfADEAXwAxAF8AXwAzAF8AUwB0AGEAZwBlADIATQBlAHQAaABhAG4AZQBQAHIAbwBkAHUAYwB0AGkAbwBuAF8AQQByAGcAdQBtAGUAbgB0AHMAIgAsACIATQBNAFMAXwBQAG8AdQBsAHQAcgB5AF8ATQBlAHQAaABhAG4AZQBfAEUAcQB1AGEAdABpAG8AbgBzAC4AVgBFAEUAUgBHAF8ANABfADYAXwAxAF8AMQBfAF8ANABfAFYAbwBsAGEAdABpAGwAZQBTAG8AbABpAGQAcwBUAHIAYQBuAHMAZgBlAHIAcgBlAGQAIgAsACIATQBNAFMAXwBQAG8AdQBsAHQAcgB5AF8ATQBlAHQAaABhAG4AZQBfAEUAcQB1AGEAdABpAG8AbgBzAC4AVgBFAEUAUgBHAF8ANABfADYAXwAxAF8AMQBfAF8ANABfAFYAbwBsAGEAdABpAGwAZQBTAG8AbABpAGQAcwBUAHIAYQBuAHMAZgBlAHIAcgBlAGQAXwBUAGkAdABsAGUAIgAsACIATQBNAFMAXwBQAG8AdQBsAHQAcgB5AF8ATQBlAHQAaABhAG4AZQBfAEUAcQB1AGEAdABpAG8AbgBzAC4AVgBFAEUAUgBHAF8ANABfADYAXwAxAF8AMQBfAF8ANABfAFYAbwBsAGEAdABpAGwAZQBTAG8AbABpAGQAcwBUAHIAYQBuAHMAZgBlAHIAcgBlAGQAXwBWAGEAcgBpAGEAYgBsAGUAIgAsACIATQBNAFMAXwBQAG8AdQBsAHQAcgB5AF8ATQBlAHQAaABhAG4AZQBfAEUAcQB1AGEAdABpAG8AbgBzAC4AVgBFAEUAUgBHAF8ANABfADYAXwAxAF8AMQBfAF8ANABfAFYAbwBsAGEAdABpAGwAZQBTAG8AbABpAGQAcwBUAHIAYQBuAHMAZgBlAHIAcgBlAGQAXwBVAG4AaQB0ACIALAAiAE0ATQBTAF8AUABvAHUAbAB0AHIAeQBfAE0AZQB0AGgAYQBuAGUAXwBFAHEAdQBhAHQAaQBvAG4AcwAuAFYARQBFAFIARwBfADQAXwA2AF8AMQBfADEAXwBfADQAXwBWAG8AbABhAHQAaQBsAGUAUwBvAGwAaQBkAHMAVAByAGEAbgBzAGYAZQByAHIAZQBkAF8AUwBvAHUAcgBjAGUAIgAsACIATQBNAFMAXwBQAG8AdQBsAHQAcgB5AF8ATQBlAHQAaABhAG4AZQBfAEUAcQB1AGEAdABpAG8AbgBzAC4AVgBFAEUAUgBHAF8ANABfADYAXwAxAF8AMQBfAF8ANABfAFYAbwBsAGEAdABpAGwAZQBTAG8AbABpAGQAcwBUAHIAYQBuAHMAZgBlAHIAcgBlAGQAXwBOAEkAUgBSAGUAZgBlAHIAZQBuAGMAZQAiACwAIgBNAE0AUwBfAFAAbwB1AGwAdAByAHkAXwBNAGUAdABoAGEAbgBlAF8ARQBxAHUAYQB0AGkAbwBuAHMALgBWAEUARQBSAEcAXwA0AF8ANgBfADEAXwAxAF8AXwA0AF8AVgBvAGwAYQB0AGkAbABlAFMAbwBsAGkAZABzAFQAcgBhAG4AcwBmAGUAcgByAGUAZABfAEwAYQB0AGUAeABFAHEAdQBhAHQAaQBvAG4AIgAsACIATQBNAFMAXwBQAG8AdQBsAHQAcgB5AF8ATQBlAHQAaABhAG4AZQBfAEUAcQB1AGEAdABpAG8AbgBzAC4AVgBFAEUAUgBHAF8ANABfADYAXwAxAF8AMQBfAF8ANABfAFYAbwBsAGEAdABpAGwAZQBTAG8AbABpAGQAcwBUAHIAYQBuAHMAZgBlAHIAcgBlAGQAXwBBAHIAZwB1AG0AZQBuAHQAcwAiACwAIgBNAE0AUwBfAFAAbwB1AGwAdAByAHkAXwBNAGUAdABoAGEAbgBlAF8ARQBxAHUAYQB0AGkAbwBuAHMALgBWAEUARQBSAEcAXwA0AF8ANgBfADEAXwAxAF8AXwA1AF8AVgBvAGwAYQB0AGkAbABlAFMAbwBsAGkAZABQAHIAbwBkAHUAYwB0AGkAbwBuACIALAAiAE0ATQBTAF8AUABvAHUAbAB0AHIAeQBfAE0AZQB0AGgAYQBuAGUAXwBFAHEAdQBhAHQAaQBvAG4AcwAuAFYARQBFAFIARwBfADQAXwA2AF8AMQBfADEAXwBfADUAXwBWAG8AbABhAHQAaQBsAGUAUwBvAGwAaQBkAFAAcgBvAGQAdQBjAHQAaQBvAG4AXwBUAGkAdABsAGUAIgAsACIATQBNAFMAXwBQAG8AdQBsAHQAcgB5AF8ATQBlAHQAaABhAG4AZQBfAEUAcQB1AGEAdABpAG8AbgBzAC4AVgBFAEUAUgBHAF8ANABfADYAXwAxAF8AMQBfAF8ANQBfAFYAbwBsAGEAdABpAGwAZQBTAG8AbABpAGQAUAByAG8AZAB1AGMAdABpAG8AbgBfAFYAYQByAGkAYQBiAGwAZQAiACwAIgBNAE0AUwBfAFAAbwB1AGwAdAByAHkAXwBNAGUAdABoAGEAbgBlAF8ARQBxAHUAYQB0AGkAbwBuAHMALgBWAEUARQBSAEcAXwA0AF8ANgBfADEAXwAxAF8AXwA1AF8AVgBvAGwAYQB0AGkAbABlAFMAbwBsAGkAZABQAHIAbwBkAHUAYwB0AGkAbwBuAF8AVQBuAGkAdAAiACwAIgBNAE0AUwBfAFAAbwB1AGwAdAByAHkAXwBNAGUAdABoAGEAbgBlAF8ARQBxAHUAYQB0AGkAbwBuAHMALgBWAEUARQBSAEcAXwA0AF8ANgBfADEAXwAxAF8AXwA1AF8AVgBvAGwAYQB0AGkAbABlAFMAbwBsAGkAZABQAHIAbwBkAHUAYwB0AGkAbwBuAF8AUwBvAHUAcgBjAGUAIgAsACIATQBNAFMAXwBQAG8AdQBsAHQAcgB5AF8ATQBlAHQAaABhAG4AZQBfAEUAcQB1AGEAdABpAG8AbgBzAC4AVgBFAEUAUgBHAF8ANABfADYAXwAxAF8AMQBfAF8ANQBfAFYAbwBsAGEAdABpAGwAZQBTAG8AbABpAGQAUAByAG8AZAB1AGMAdABpAG8AbgBfAE4ASQBSAFIAZQBmAGUAcgBlAG4AYwBlACIALAAiAE0ATQBTAF8AUABvAHUAbAB0AHIAeQBfAE0AZQB0AGgAYQBuAGUAXwBFAHEAdQBhAHQAaQBvAG4AcwAuAFYARQBFAFIARwBfADQAXwA2AF8AMQBfADEAXwBfADUAXwBWAG8AbABhAHQAaQBsAGUAUwBvAGwAaQBkAFAAcgBvAGQAdQBjAHQAaQBvAG4AXwBMAGEAdABlAHgARQBxAHUAYQB0AGkAbwBuACIALAAiAE0ATQBTAF8AUABvAHUAbAB0AHIAeQBfAE0AZQB0AGgAYQBuAGUAXwBFAHEAdQBhAHQAaQBvAG4AcwAuAFYARQBFAFIARwBfADQAXwA2AF8AMQBfADEAXwBfADUAXwBWAG8AbABhAHQAaQBsAGUAUwBvAGwAaQBkAFAAcgBvAGQAdQBjAHQAaQBvAG4AXwBBAHIAZwB1AG0AZQBuAHQAcwAiACwAIgBNAE0AUwBfAFAAbwB1AGwAdAByAHkAXwBNAGEAbgB1AHIAZQBBAHAAcABsAGkAZQBkAFQAbwBTAG8AaQBsAHMAXwBFAHEAdQBhAHQAaQBvAG4AcwAuAFYARQBFAFIARwBfADQAXwA2AF8AMQBfADkAXwBfADEAXwBNAGEAcwBzAE8AZgBOAGkAdAByAG8AZwBlAG4AQQBwAHAAbABpAGUAZABUAG8AUwBvAGkAbABzAFMAYwBvAHAAZQAxACIALAAiAE0ATQBTAF8AUABvAHUAbAB0AHIAeQBfAE0AYQBuAHUAcgBlAEEAcABwAGwAaQBlAGQAVABvAFMAbwBpAGwAcwBfAEUAcQB1AGEAdABpAG8AbgBzAC4AVgBFAEUAUgBHAF8ANABfADYAXwAxAF8AOQBfAF8AMQBfAE0AYQBzAHMATwBmAE4AaQB0AHIAbwBnAGUAbgBBAHAAcABsAGkAZQBkAFQAbwBTAG8AaQBsAHMAUwBjAG8AcABlADEAXwBUAGkAdABsAGUAIgAsACIATQBNAFMAXwBQAG8AdQBsAHQAcgB5AF8ATQBhAG4AdQByAGUAQQBwAHAAbABpAGUAZABUAG8AUwBvAGkAbABzAF8ARQBxAHUAYQB0AGkAbwBuAHMALgBWAEUARQBSAEcAXwA0AF8ANgBfADEAXwA5AF8AXwAxAF8ATQBhAHMAcwBPAGYATgBpAHQAcgBvAGcAZQBuAEEAcABwAGwAaQBlAGQAVABvAFMAbwBpAGwAcwBTAGMAbwBwAGUAMQBfAFYAYQByAGkAYQBiAGwAZQAiACwAIgBNAE0AUwBfAFAAbwB1AGwAdAByAHkAXwBNAGEAbgB1AHIAZQBBAHAAcABsAGkAZQBkAFQAbwBTAG8AaQBsAHMAXwBFAHEAdQBhAHQAaQBvAG4AcwAuAFYARQBFAFIARwBfADQAXwA2AF8AMQBfADkAXwBfADEAXwBNAGEAcwBzAE8AZgBOAGkAdAByAG8AZwBlAG4AQQBwAHAAbABpAGUAZABUAG8AUwBvAGkAbABzAFMAYwBvAHAAZQAxAF8AVQBuAGkAdAAiACwAIgBNAE0AUwBfAFAAbwB1AGwAdAByAHkAXwBNAGEAbgB1AHIAZQBBAHAAcABsAGkAZQBkAFQAbwBTAG8AaQBsAHMAXwBFAHEAdQBhAHQAaQBvAG4AcwAuAFYARQBFAFIARwBfADQAXwA2AF8AMQBfADkAXwBfADEAXwBNAGEAcwBzAE8AZgBOAGkAdAByAG8AZwBlAG4AQQBwAHAAbABpAGUAZABUAG8AUwBvAGkAbABzAFMAYwBvAHAAZQAxAF8AUwBvAHUAcgBjAGUAIgAsACIATQBNAFMAXwBQAG8AdQBsAHQAcgB5AF8ATQBhAG4AdQByAGUAQQBwAHAAbABpAGUAZABUAG8AUwBvAGkAbABzAF8ARQBxAHUAYQB0AGkAbwBuAHMALgBWAEUARQBSAEcAXwA0AF8ANgBfADEAXwA5AF8AXwAxAF8ATQBhAHMAcwBPAGYATgBpAHQAcgBvAGcAZQBuAEEAcABwAGwAaQBlAGQAVABvAFMAbwBpAGwAcwBTAGMAbwBwAGUAMQBfAE4ASQBSAFIAZQBmAGUAcgBlAG4AYwBlACIALAAiAE0ATQBTAF8AUABvAHUAbAB0AHIAeQBfAE0AYQBuAHUAcgBlAEEAcABwAGwAaQBlAGQAVABvAFMAbwBpAGwAcwBfAEUAcQB1AGEAdABpAG8AbgBzAC4AVgBFAEUAUgBHAF8ANABfADYAXwAxAF8AOQBfAF8AMQBfAE0AYQBzAHMATwBmAE4AaQB0AHIAbwBnAGUAbgBBAHAAcABsAGkAZQBkAFQAbwBTAG8AaQBsAHMAUwBjAG8AcABlADEAXwBMAGEAdABlAHgARQBxAHUAYQB0AGkAbwBuACIALAAiAE0ATQBTAF8AUABvAHUAbAB0AHIAeQBfAE0AYQBuAHUAcgBlAEEAcABwAGwAaQBlAGQAVABvAFMAbwBpAGwAcwBfAEUAcQB1AGEAdABpAG8AbgBzAC4AVgBFAEUAUgBHAF8ANABfADYAXwAxAF8AOQBfAF8AMQBfAE0AYQBzAHMATwBmAE4AaQB0AHIAbwBnAGUAbgBBAHAAcABsAGkAZQBkAFQAbwBTAG8AaQBsAHMAUwBjAG8AcABlADEAXwBBAHIAZwB1AG0AZQBuAHQAcwAiACwAIgBNAE0AUwBfAFAAbwB1AGwAdAByAHkAXwBNAGEAbgB1AHIAZQBBAHAAcABsAGkAZQBkAFQAbwBTAG8AaQBsAHMAXwBFAHEAdQBhAHQAaQBvAG4AcwAuAFYARQBFAFIARwBfADQAXwA2AF8AMQBfADkAXwBfADIAXwBNAGEAcwBzAE8AZgBOAGkAdAByAG8AZwBlAG4AQQBwAHAAbABpAGUAZABUAG8AUwBvAGkAbABzAFMAYwBvAHAAZQAzACIALAAiAE0ATQBTAF8AUABvAHUAbAB0AHIAeQBfAE0AYQBuAHUAcgBlAEEAcABwAGwAaQBlAGQAVABvAFMAbwBpAGwAcwBfAEUAcQB1AGEAdABpAG8AbgBzAC4AVgBFAEUAUgBHAF8ANABfADYAXwAxAF8AOQBfAF8AMgBfAE0AYQBzAHMATwBmAE4AaQB0AHIAbwBnAGUAbgBBAHAAcABsAGkAZQBkAFQAbwBTAG8AaQBsAHMAUwBjAG8AcABlADMAXwBUAGkAdABsAGUAIgAsACIATQBNAFMAXwBQAG8AdQBsAHQAcgB5AF8ATQBhAG4AdQByAGUAQQBwAHAAbABpAGUAZABUAG8AUwBvAGkAbABzAF8ARQBxAHUAYQB0AGkAbwBuAHMALgBWAEUARQBSAEcAXwA0AF8ANgBfADEAXwA5AF8AXwAyAF8ATQBhAHMAcwBPAGYATgBpAHQAcgBvAGcAZQBuAEEAcABwAGwAaQBlAGQAVABvAFMAbwBpAGwAcwBTAGMAbwBwAGUAMwBfAFYAYQByAGkAYQBiAGwAZQAiACwAIgBNAE0AUwBfAFAAbwB1AGwAdAByAHkAXwBNAGEAbgB1AHIAZQBBAHAAcABsAGkAZQBkAFQAbwBTAG8AaQBsAHMAXwBFAHEAdQBhAHQAaQBvAG4AcwAuAFYARQBFAFIARwBfADQAXwA2AF8AMQBfADkAXwBfADIAXwBNAGEAcwBzAE8AZgBOAGkAdAByAG8AZwBlAG4AQQBwAHAAbABpAGUAZABUAG8AUwBvAGkAbABzAFMAYwBvAHAAZQAzAF8AVQBuAGkAdAAiACwAIgBNAE0AUwBfAFAAbwB1AGwAdAByAHkAXwBNAGEAbgB1AHIAZQBBAHAAcABsAGkAZQBkAFQAbwBTAG8AaQBsAHMAXwBFAHEAdQBhAHQAaQBvAG4AcwAuAFYARQBFAFIARwBfADQAXwA2AF8AMQBfADkAXwBfADIAXwBNAGEAcwBzAE8AZgBOAGkAdAByAG8AZwBlAG4AQQBwAHAAbABpAGUAZABUAG8AUwBvAGkAbABzAFMAYwBvAHAAZQAzAF8AUwBvAHUAcgBjAGUAIgAsACIATQBNAFMAXwBQAG8AdQBsAHQAcgB5AF8ATQBhAG4AdQByAGUAQQBwAHAAbABpAGUAZABUAG8AUwBvAGkAbABzAF8ARQBxAHUAYQB0AGkAbwBuAHMALgBWAEUARQBSAEcAXwA0AF8ANgBfADEAXwA5AF8AXwAyAF8ATQBhAHMAcwBPAGYATgBpAHQAcgBvAGcAZQBuAEEAcABwAGwAaQBlAGQAVABvAFMAbwBpAGwAcwBTAGMAbwBwAGUAMwBfAE4ASQBSAFIAZQBmAGUAcgBlAG4AYwBlACIALAAiAE0ATQBTAF8AUABvAHUAbAB0AHIAeQBfAE0AYQBuAHUAcgBlAEEAcABwAGwAaQBlAGQAVABvAFMAbwBpAGwAcwBfAEUAcQB1AGEAdABpAG8AbgBzAC4AVgBFAEUAUgBHAF8ANABfADYAXwAxAF8AOQBfAF8AMgBfAE0AYQBzAHMATwBmAE4AaQB0AHIAbwBnAGUAbgBBAHAAcABsAGkAZQBkAFQAbwBTAG8AaQBsAHMAUwBjAG8AcABlADMAXwBMAGEAdABlAHgARQBxAHUAYQB0AGkAbwBuACIALAAiAE0ATQBTAF8AUABvAHUAbAB0AHIAeQBfAE0AYQBuAHUAcgBlAEEAcABwAGwAaQBlAGQAVABvAFMAbwBpAGwAcwBfAEUAcQB1AGEAdABpAG8AbgBzAC4AVgBFAEUAUgBHAF8ANABfADYAXwAxAF8AOQBfAF8AMgBfAE0AYQBzAHMATwBmAE4AaQB0AHIAbwBnAGUAbgBBAHAAcABsAGkAZQBkAFQAbwBTAG8AaQBsAHMAUwBjAG8AcABlADMAXwBBAHIAZwB1AG0AZQBuAHQAcwAiACwAIgBNAE0AUwBfAFAAbwB1AGwAdAByAHkAXwBTAG8AaQBsAF8ATgAyAE8ARABpAHIAZQBjAHQAXwBFAHEAdQBhAHQAaQBvAG4AcwAuAFYARQBFAFIARwBfADQAXwA2AF8AMQBfADEAMABfAF8AMQBfAEQAaQByAGUAYwB0AE4AaQB0AHIAbwB1AHMATwB4AGkAZABlAEUAbQBpAHMAcwBpAG8AbgBzAEYAcgBvAG0AUABvAHUAbAB0AHIAeQBNAGEAbgB1AHIAZQAiACwAIgBNAE0AUwBfAFAAbwB1AGwAdAByAHkAXwBTAG8AaQBsAF8ATgAyAE8ARABpAHIAZQBjAHQAXwBFAHEAdQBhAHQAaQBvAG4AcwAuAFYARQBFAFIARwBfADQAXwA2AF8AMQBfADEAMABfAF8AMQBfAEQAaQByAGUAYwB0AE4AaQB0AHIAbwB1AHMATwB4AGkAZABlAEUAbQBpAHMAcwBpAG8AbgBzAEYAcgBvAG0AUABvAHUAbAB0AHIAeQBNAGEAbgB1AHIAZQBfAFQAaQB0AGwAZQAiACwAIgBNAE0AUwBfAFAAbwB1AGwAdAByAHkAXwBTAG8AaQBsAF8ATgAyAE8ARABpAHIAZQBjAHQAXwBFAHEAdQBhAHQAaQBvAG4AcwAuAFYARQBFAFIARwBfADQAXwA2AF8AMQBfADEAMABfAF8AMQBfAEQAaQByAGUAYwB0AE4AaQB0AHIAbwB1AHMATwB4AGkAZABlAEUAbQBpAHMAcwBpAG8AbgBzAEYAcgBvAG0AUABvAHUAbAB0AHIAeQBNAGEAbgB1AHIAZQBfAFYAYQByAGkAYQBiAGwAZQAiACwAIgBNAE0AUwBfAFAAbwB1AGwAdAByAHkAXwBTAG8AaQBsAF8ATgAyAE8ARABpAHIAZQBjAHQAXwBFAHEAdQBhAHQAaQBvAG4AcwAuAFYARQBFAFIARwBfADQAXwA2AF8AMQBfADEAMABfAF8AMQBfAEQAaQByAGUAYwB0AE4AaQB0AHIAbwB1AHMATwB4AGkAZABlAEUAbQBpAHMAcwBpAG8AbgBzAEYAcgBvAG0AUABvAHUAbAB0AHIAeQBNAGEAbgB1AHIAZQBfAFUAbgBpAHQAIgAsACIATQBNAFMAXwBQAG8AdQBsAHQAcgB5AF8AUwBvAGkAbABfAE4AMgBPAEQAaQByAGUAYwB0AF8ARQBxAHUAYQB0AGkAbwBuAHMALgBWAEUARQBSAEcAXwA0AF8ANgBfADEAXwAxADAAXwBfADEAXwBEAGkAcgBlAGMAdABOAGkAdAByAG8AdQBzAE8AeABpAGQAZQBFAG0AaQBzAHMAaQBvAG4AcwBGAHIAbwBtAFAAbwB1AGwAdAByAHkATQBhAG4AdQByAGUAXwBTAG8AdQByAGMAZQAiACwAIgBNAE0AUwBfAFAAbwB1AGwAdAByAHkAXwBTAG8AaQBsAF8ATgAyAE8ARABpAHIAZQBjAHQAXwBFAHEAdQBhAHQAaQBvAG4AcwAuAFYARQBFAFIARwBfADQAXwA2AF8AMQBfADEAMABfAF8AMQBfAEQAaQByAGUAYwB0AE4AaQB0AHIAbwB1AHMATwB4AGkAZABlAEUAbQBpAHMAcwBpAG8AbgBzAEYAcgBvAG0AUABvAHUAbAB0AHIAeQBNAGEAbgB1AHIAZQBfAE4ASQBSAFIAZQBmAGUAcgBlAG4AYwBlACIALAAiAE0ATQBTAF8AUABvAHUAbAB0AHIAeQBfAFMAbwBpAGwAXwBOADIATwBEAGkAcgBlAGMAdABfAEUAcQB1AGEAdABpAG8AbgBzAC4AVgBFAEUAUgBHAF8ANABfADYAXwAxAF8AMQAwAF8AXwAxAF8ARABpAHIAZQBjAHQATgBpAHQAcgBvAHUAcwBPAHgAaQBkAGUARQBtAGkAcwBzAGkAbwBuAHMARgByAG8AbQBQAG8AdQBsAHQAcgB5AE0AYQBuAHUAcgBlAF8ATABhAHQAZQB4AEUAcQB1AGEAdABpAG8AbgAiACwAIgBNAE0AUwBfAFAAbwB1AGwAdAByAHkAXwBTAG8AaQBsAF8ATgAyAE8ARABpAHIAZQBjAHQAXwBFAHEAdQBhAHQAaQBvAG4AcwAuAFYARQBFAFIARwBfADQAXwA2AF8AMQBfADEAMABfAF8AMQBfAEQAaQByAGUAYwB0AE4AaQB0AHIAbwB1AHMATwB4AGkAZABlAEUAbQBpAHMAcwBpAG8AbgBzAEYAcgBvAG0AUABvAHUAbAB0AHIAeQBNAGEAbgB1AHIAZQBfAEEAcgBnAHUAbQBlAG4AdABzACIALAAiAE0ATQBTAF8AUABvAHUAbAB0AHIAeQBfAFMAbwBpAGwAXwBBAHQAbQBvAHMAcABoAGUAcgBpAGMARABlAHAAbwBzAGkAdABpAG8AbgBfAEUAcQB1AGEAdABpAG8AbgBzAC4AVgBFAEUAUgBHAF8ANABfADYAXwAxAF8AMQAyAF8AXwAxAF8AQQB0AG0AbwBzAHAAaABlAHIAaQBjAEQAZQBwAG8AcwBpAHQAaQBvAG4ARQBtAGkAcwBzAGkAbwBuAHMARgByAG8AbQBQAG8AdQBsAHQAcgB5AE0AYQBuAHUAcgBlAE8AbgBQAGEAcwB0AHUAcgBlACIALAAiAE0ATQBTAF8AUABvAHUAbAB0AHIAeQBfAFMAbwBpAGwAXwBBAHQAbQBvAHMAcABoAGUAcgBpAGMARABlAHAAbwBzAGkAdABpAG8AbgBfAEUAcQB1AGEAdABpAG8AbgBzAC4AVgBFAEUAUgBHAF8ANABfADYAXwAxAF8AMQAyAF8AXwAxAF8AQQB0AG0AbwBzAHAAaABlAHIAaQBjAEQAZQBwAG8AcwBpAHQAaQBvAG4ARQBtAGkAcwBzAGkAbwBuAHMARgByAG8AbQBQAG8AdQBsAHQAcgB5AE0AYQBuAHUAcgBlAE8AbgBQAGEAcwB0AHUAcgBlAF8AVABpAHQAbABlACIALAAiAE0ATQBTAF8AUABvAHUAbAB0AHIAeQBfAFMAbwBpAGwAXwBBAHQAbQBvAHMAcABoAGUAcgBpAGMARABlAHAAbwBzAGkAdABpAG8AbgBfAEUAcQB1AGEAdABpAG8AbgBzAC4AVgBFAEUAUgBHAF8ANABfADYAXwAxAF8AMQAyAF8AXwAxAF8AQQB0AG0AbwBzAHAAaABlAHIAaQBjAEQAZQBwAG8AcwBpAHQAaQBvAG4ARQBtAGkAcwBzAGkAbwBuAHMARgByAG8AbQBQAG8AdQBsAHQAcgB5AE0AYQBuAHUAcgBlAE8AbgBQAGEAcwB0AHUAcgBlAF8AVgBhAHIAaQBhAGIAbABlACIALAAiAE0ATQBTAF8AUABvAHUAbAB0AHIAeQBfAFMAbwBpAGwAXwBBAHQAbQBvAHMAcABoAGUAcgBpAGMARABlAHAAbwBzAGkAdABpAG8AbgBfAEUAcQB1AGEAdABpAG8AbgBzAC4AVgBFAEUAUgBHAF8ANABfADYAXwAxAF8AMQAyAF8AXwAxAF8AQQB0AG0AbwBzAHAAaABlAHIAaQBjAEQAZQBwAG8AcwBpAHQAaQBvAG4ARQBtAGkAcwBzAGkAbwBuAHMARgByAG8AbQBQAG8AdQBsAHQAcgB5AE0AYQBuAHUAcgBlAE8AbgBQAGEAcwB0AHUAcgBlAF8AVQBuAGkAdAAiACwAIgBNAE0AUwBfAFAAbwB1AGwAdAByAHkAXwBTAG8AaQBsAF8AQQB0AG0AbwBzAHAAaABlAHIAaQBjAEQAZQBwAG8AcwBpAHQAaQBvAG4AXwBFAHEAdQBhAHQAaQBvAG4AcwAuAFYARQBFAFIARwBfADQAXwA2AF8AMQBfADEAMgBfAF8AMQBfAEEAdABtAG8AcwBwAGgAZQByAGkAYwBEAGUAcABvAHMAaQB0AGkAbwBuAEUAbQBpAHMAcwBpAG8AbgBzAEYAcgBvAG0AUABvAHUAbAB0AHIAeQBNAGEAbgB1AHIAZQBPAG4AUABhAHMAdAB1AHIAZQBfAFMAbwB1AHIAYwBlACIALAAiAE0ATQBTAF8AUABvAHUAbAB0AHIAeQBfAFMAbwBpAGwAXwBBAHQAbQBvAHMAcABoAGUAcgBpAGMARABlAHAAbwBzAGkAdABpAG8AbgBfAEUAcQB1AGEAdABpAG8AbgBzAC4AVgBFAEUAUgBHAF8ANABfADYAXwAxAF8AMQAyAF8AXwAxAF8AQQB0AG0AbwBzAHAAaABlAHIAaQBjAEQAZQBwAG8AcwBpAHQAaQBvAG4ARQBtAGkAcwBzAGkAbwBuAHMARgByAG8AbQBQAG8AdQBsAHQAcgB5AE0AYQBuAHUAcgBlAE8AbgBQAGEAcwB0AHUAcgBlAF8ATgBJAFIAUgBlAGYAZQByAGUAbgBjAGUAIgAsACIATQBNAFMAXwBQAG8AdQBsAHQAcgB5AF8AUwBvAGkAbABfAEEAdABtAG8AcwBwAGgAZQByAGkAYwBEAGUAcABvAHMAaQB0AGkAbwBuAF8ARQBxAHUAYQB0AGkAbwBuAHMALgBWAEUARQBSAEcAXwA0AF8ANgBfADEAXwAxADIAXwBfADEAXwBBAHQAbQBvAHMAcABoAGUAcgBpAGMARABlAHAAbwBzAGkAdABpAG8AbgBFAG0AaQBzAHMAaQBvAG4AcwBGAHIAbwBtAFAAbwB1AGwAdAByAHkATQBhAG4AdQByAGUATwBuAFAAYQBzAHQAdQByAGUAXwBMAGEAdABlAHgARQBxAHUAYQB0AGkAbwBuACIALAAiAE0ATQBTAF8AUABvAHUAbAB0AHIAeQBfAFMAbwBpAGwAXwBBAHQAbQBvAHMAcABoAGUAcgBpAGMARABlAHAAbwBzAGkAdABpAG8AbgBfAEUAcQB1AGEAdABpAG8AbgBzAC4AVgBFAEUAUgBHAF8ANABfADYAXwAxAF8AMQAyAF8AXwAxAF8AQQB0AG0AbwBzAHAAaABlAHIAaQBjAEQAZQBwAG8AcwBpAHQAaQBvAG4ARQBtAGkAcwBzAGkAbwBuAHMARgByAG8AbQBQAG8AdQBsAHQAcgB5AE0AYQBuAHUAcgBlAE8AbgBQAGEAcwB0AHUAcgBlAF8AQQByAGcAdQBtAGUAbgB0AHMAIgAsACIATQBNAFMAXwBQAG8AdQBsAHQAcgB5AF8AUwBvAGkAbABfAEEAdABtAG8AcwBwAGgAZQByAGkAYwBEAGUAcABvAHMAaQB0AGkAbwBuAF8ARQBxAHUAYQB0AGkAbwBuAHMALgBWAEUARQBSAEcAXwA0AF8ANgBfADEAXwAxADIAXwBfADIAXwBNAGEAcwBzAE8AZgBOAGkAdAByAG8AZwBlAG4AVgBvAGwAYQB0AGkAbABpAHMAZQBkAEYAcgBvAG0AUABvAHUAbAB0AHIAeQBNAGEAbgB1AHIAZQBPAG4AUABhAHMAdAB1AHIAZQAiACwAIgBNAE0AUwBfAFAAbwB1AGwAdAByAHkAXwBTAG8AaQBsAF8AQQB0AG0AbwBzAHAAaABlAHIAaQBjAEQAZQBwAG8AcwBpAHQAaQBvAG4AXwBFAHEAdQBhAHQAaQBvAG4AcwAuAFYARQBFAFIARwBfADQAXwA2AF8AMQBfADEAMgBfAF8AMgBfAE0AYQBzAHMATwBmAE4AaQB0AHIAbwBnAGUAbgBWAG8AbABhAHQAaQBsAGkAcwBlAGQARgByAG8AbQBQAG8AdQBsAHQAcgB5AE0AYQBuAHUAcgBlAE8AbgBQAGEAcwB0AHUAcgBlAF8AVABpAHQAbABlACIALAAiAE0ATQBTAF8AUABvAHUAbAB0AHIAeQBfAFMAbwBpAGwAXwBBAHQAbQBvAHMAcABoAGUAcgBpAGMARABlAHAAbwBzAGkAdABpAG8AbgBfAEUAcQB1AGEAdABpAG8AbgBzAC4AVgBFAEUAUgBHAF8ANABfADYAXwAxAF8AMQAyAF8AXwAyAF8ATQBhAHMAcwBPAGYATgBpAHQAcgBvAGcAZQBuAFYAbwBsAGEAdABpAGwAaQBzAGUAZABGAHIAbwBtAFAAbwB1AGwAdAByAHkATQBhAG4AdQByAGUATwBuAFAAYQBzAHQAdQByAGUAXwBWAGEAcgBpAGEAYgBsAGUAIgAsACIATQBNAFMAXwBQAG8AdQBsAHQAcgB5AF8AUwBvAGkAbABfAEEAdABtAG8AcwBwAGgAZQByAGkAYwBEAGUAcABvAHMAaQB0AGkAbwBuAF8ARQBxAHUAYQB0AGkAbwBuAHMALgBWAEUARQBSAEcAXwA0AF8ANgBfADEAXwAxADIAXwBfADIAXwBNAGEAcwBzAE8AZgBOAGkAdAByAG8AZwBlAG4AVgBvAGwAYQB0AGkAbABpAHMAZQBkAEYAcgBvAG0AUABvAHUAbAB0AHIAeQBNAGEAbgB1AHIAZQBPAG4AUABhAHMAdAB1AHIAZQBfAFUAbgBpAHQAIgAsACIATQBNAFMAXwBQAG8AdQBsAHQAcgB5AF8AUwBvAGkAbABfAEEAdABtAG8AcwBwAGgAZQByAGkAYwBEAGUAcABvAHMAaQB0AGkAbwBuAF8ARQBxAHUAYQB0AGkAbwBuAHMALgBWAEUARQBSAEcAXwA0AF8ANgBfADEAXwAxADIAXwBfADIAXwBNAGEAcwBzAE8AZgBOAGkAdAByAG8AZwBlAG4AVgBvAGwAYQB0AGkAbABpAHMAZQBkAEYAcgBvAG0AUABvAHUAbAB0AHIAeQBNAGEAbgB1AHIAZQBPAG4AUABhAHMAdAB1AHIAZQBfAFMAbwB1AHIAYwBlACIALAAiAE0ATQBTAF8AUABvAHUAbAB0AHIAeQBfAFMAbwBpAGwAXwBBAHQAbQBvAHMAcABoAGUAcgBpAGMARABlAHAAbwBzAGkAdABpAG8AbgBfAEUAcQB1AGEAdABpAG8AbgBzAC4AVgBFAEUAUgBHAF8ANABfADYAXwAxAF8AMQAyAF8AXwAyAF8ATQBhAHMAcwBPAGYATgBpAHQAcgBvAGcAZQBuAFYAbwBsAGEAdABpAGwAaQBzAGUAZABGAHIAbwBtAFAAbwB1AGwAdAByAHkATQBhAG4AdQByAGUATwBuAFAAYQBzAHQAdQByAGUAXwBOAEkAUgBSAGUAZgBlAHIAZQBuAGMAZQAiACwAIgBNAE0AUwBfAFAAbwB1AGwAdAByAHkAXwBTAG8AaQBsAF8AQQB0AG0AbwBzAHAAaABlAHIAaQBjAEQAZQBwAG8AcwBpAHQAaQBvAG4AXwBFAHEAdQBhAHQAaQBvAG4AcwAuAFYARQBFAFIARwBfADQAXwA2AF8AMQBfADEAMgBfAF8AMgBfAE0AYQBzAHMATwBmAE4AaQB0AHIAbwBnAGUAbgBWAG8AbABhAHQAaQBsAGkAcwBlAGQARgByAG8AbQBQAG8AdQBsAHQAcgB5AE0AYQBuAHUAcgBlAE8AbgBQAGEAcwB0AHUAcgBlAF8ATABhAHQAZQB4AEUAcQB1AGEAdABpAG8AbgAiACwAIgBNAE0AUwBfAFAAbwB1AGwAdAByAHkAXwBTAG8AaQBsAF8AQQB0AG0AbwBzAHAAaABlAHIAaQBjAEQAZQBwAG8AcwBpAHQAaQBvAG4AXwBFAHEAdQBhAHQAaQBvAG4AcwAuAFYARQBFAFIARwBfADQAXwA2AF8AMQBfADEAMgBfAF8AMgBfAE0AYQBzAHMATwBmAE4AaQB0AHIAbwBnAGUAbgBWAG8AbABhAHQAaQBsAGkAcwBlAGQARgByAG8AbQBQAG8AdQBsAHQAcgB5AE0AYQBuAHUAcgBlAE8AbgBQAGEAcwB0AHUAcgBlAF8AQQByAGcAdQBtAGUAbgB0AHMAIgAsACIATQBNAFMAXwBQAG8AdQBsAHQAcgB5AF8AUwBvAGkAbABfAEwAZQBhAGMAaABpAG4AZwBBAG4AZABSAHUAbgBvAGYAZgBfAEUAcQB1AGEAdABpAG8AbgBzAC4AVgBFAEUAUgBHAF8ANABfADYAXwAxAF8AMQA0AF8AXwAxAF8ATABlAGEAYwBoAGkAbgBnAEEAbgBkAFIAdQBuAG8AZgBmAEUAbQBpAHMAcwBpAG8AbgBzAEYAcgBvAG0AUABvAHUAbAB0AHIAeQBNAGEAbgB1AHIAZQBPAG4AUABhAHMAdAB1AHIAZQAiACwAIgBNAE0AUwBfAFAAbwB1AGwAdAByAHkAXwBTAG8AaQBsAF8ATABlAGEAYwBoAGkAbgBnAEEAbgBkAFIAdQBuAG8AZgBmAF8ARQBxAHUAYQB0AGkAbwBuAHMALgBWAEUARQBSAEcAXwA0AF8ANgBfADEAXwAxADQAXwBfADEAXwBMAGUAYQBjAGgAaQBuAGcAQQBuAGQAUgB1AG4AbwBmAGYARQBtAGkAcwBzAGkAbwBuAHMARgByAG8AbQBQAG8AdQBsAHQAcgB5AE0AYQBuAHUAcgBlAE8AbgBQAGEAcwB0AHUAcgBlAF8AVABpAHQAbABlACIALAAiAE0ATQBTAF8AUABvAHUAbAB0AHIAeQBfAFMAbwBpAGwAXwBMAGUAYQBjAGgAaQBuAGcAQQBuAGQAUgB1AG4AbwBmAGYAXwBFAHEAdQBhAHQAaQBvAG4AcwAuAFYARQBFAFIARwBfADQAXwA2AF8AMQBfADEANABfAF8AMQBfAEwAZQBhAGMAaABpAG4AZwBBAG4AZABSAHUAbgBvAGYAZgBFAG0AaQBzAHMAaQBvAG4AcwBGAHIAbwBtAFAAbwB1AGwAdAByAHkATQBhAG4AdQByAGUATwBuAFAAYQBzAHQAdQByAGUAXwBWAGEAcgBpAGEAYgBsAGUAIgAsACIATQBNAFMAXwBQAG8AdQBsAHQAcgB5AF8AUwBvAGkAbABfAEwAZQBhAGMAaABpAG4AZwBBAG4AZABSAHUAbgBvAGYAZgBfAEUAcQB1AGEAdABpAG8AbgBzAC4AVgBFAEUAUgBHAF8ANABfADYAXwAxAF8AMQA0AF8AXwAxAF8ATABlAGEAYwBoAGkAbgBnAEEAbgBkAFIAdQBuAG8AZgBmAEUAbQBpAHMAcwBpAG8AbgBzAEYAcgBvAG0AUABvAHUAbAB0AHIAeQBNAGEAbgB1AHIAZQBPAG4AUABhAHMAdAB1AHIAZQBfAFUAbgBpAHQAIgAsACIATQBNAFMAXwBQAG8AdQBsAHQAcgB5AF8AUwBvAGkAbABfAEwAZQBhAGMAaABpAG4AZwBBAG4AZABSAHUAbgBvAGYAZgBfAEUAcQB1AGEAdABpAG8AbgBzAC4AVgBFAEUAUgBHAF8ANABfADYAXwAxAF8AMQA0AF8AXwAxAF8ATABlAGEAYwBoAGkAbgBnAEEAbgBkAFIAdQBuAG8AZgBmAEUAbQBpAHMAcwBpAG8AbgBzAEYAcgBvAG0AUABvAHUAbAB0AHIAeQBNAGEAbgB1AHIAZQBPAG4AUABhAHMAdAB1AHIAZQBfAFMAbwB1AHIAYwBlACIALAAiAE0ATQBTAF8AUABvAHUAbAB0AHIAeQBfAFMAbwBpAGwAXwBMAGUAYQBjAGgAaQBuAGcAQQBuAGQAUgB1AG4AbwBmAGYAXwBFAHEAdQBhAHQAaQBvAG4AcwAuAFYARQBFAFIARwBfADQAXwA2AF8AMQBfADEANABfAF8AMQBfAEwAZQBhAGMAaABpAG4AZwBBAG4AZABSAHUAbgBvAGYAZgBFAG0AaQBzAHMAaQBvAG4AcwBGAHIAbwBtAFAAbwB1AGwAdAByAHkATQBhAG4AdQByAGUATwBuAFAAYQBzAHQAdQByAGUAXwBOAEkAUgBSAGUAZgBlAHIAZQBuAGMAZQAiACwAIgBNAE0AUwBfAFAAbwB1AGwAdAByAHkAXwBTAG8AaQBsAF8ATABlAGEAYwBoAGkAbgBnAEEAbgBkAFIAdQBuAG8AZgBmAF8ARQBxAHUAYQB0AGkAbwBuAHMALgBWAEUARQBSAEcAXwA0AF8ANgBfADEAXwAxADQAXwBfADEAXwBMAGUAYQBjAGgAaQBuAGcAQQBuAGQAUgB1AG4AbwBmAGYARQBtAGkAcwBzAGkAbwBuAHMARgByAG8AbQBQAG8AdQBsAHQAcgB5AE0AYQBuAHUAcgBlAE8AbgBQAGEAcwB0AHUAcgBlAF8ATABhAHQAZQB4AEUAcQB1AGEAdABpAG8AbgAiACwAIgBNAE0AUwBfAFAAbwB1AGwAdAByAHkAXwBTAG8AaQBsAF8ATABlAGEAYwBoAGkAbgBnAEEAbgBkAFIAdQBuAG8AZgBmAF8ARQBxAHUAYQB0AGkAbwBuAHMALgBWAEUARQBSAEcAXwA0AF8ANgBfADEAXwAxADQAXwBfADEAXwBMAGUAYQBjAGgAaQBuAGcAQQBuAGQAUgB1AG4AbwBmAGYARQBtAGkAcwBzAGkAbwBuAHMARgByAG8AbQBQAG8AdQBsAHQAcgB5AE0AYQBuAHUAcgBlAE8AbgBQAGEAcwB0AHUAcgBlAF8AQQByAGcAdQBtAGUAbgB0AHMAIgAsACIATQBNAFMAXwBQAG8AdQBsAHQAcgB5AF8AUwBvAGkAbABfAEwAZQBhAGMAaABpAG4AZwBBAG4AZABSAHUAbgBvAGYAZgBfAEUAcQB1AGEAdABpAG8AbgBzAC4AVgBFAEUAUgBHAF8ANABfADYAXwAxAF8AMQA0AF8AXwAyAF8ATQBhAHMAcwBPAGYATgBpAHQAcgBvAGcAZQBuAEwAbwBzAHQAVABvAEwAZQBhAGMAaABpAG4AZwBBAG4AZABSAHUAbgBvAGYAZgBGAHIAbwBtAFAAbwB1AGwAdAByAHkATQBhAG4AdQByAGUATwBuAFAAYQBzAHQAdQByAGUAIgAsACIATQBNAFMAXwBQAG8AdQBsAHQAcgB5AF8AUwBvAGkAbABfAEwAZQBhAGMAaABpAG4AZwBBAG4AZABSAHUAbgBvAGYAZgBfAEUAcQB1AGEAdABpAG8AbgBzAC4AVgBFAEUAUgBHAF8ANABfADYAXwAxAF8AMQA0AF8AXwAyAF8ATQBhAHMAcwBPAGYATgBpAHQAcgBvAGcAZQBuAEwAbwBzAHQAVABvAEwAZQBhAGMAaABpAG4AZwBBAG4AZABSAHUAbgBvAGYAZgBGAHIAbwBtAFAAbwB1AGwAdAByAHkATQBhAG4AdQByAGUATwBuAFAAYQBzAHQAdQByAGUAXwBUAGkAdABsAGUAIgAsACIATQBNAFMAXwBQAG8AdQBsAHQAcgB5AF8AUwBvAGkAbABfAEwAZQBhAGMAaABpAG4AZwBBAG4AZABSAHUAbgBvAGYAZgBfAEUAcQB1AGEAdABpAG8AbgBzAC4AVgBFAEUAUgBHAF8ANABfADYAXwAxAF8AMQA0AF8AXwAyAF8ATQBhAHMAcwBPAGYATgBpAHQAcgBvAGcAZQBuAEwAbwBzAHQAVABvAEwAZQBhAGMAaABpAG4AZwBBAG4AZABSAHUAbgBvAGYAZgBGAHIAbwBtAFAAbwB1AGwAdAByAHkATQBhAG4AdQByAGUATwBuAFAAYQBzAHQAdQByAGUAXwBWAGEAcgBpAGEAYgBsAGUAIgAsACIATQBNAFMAXwBQAG8AdQBsAHQAcgB5AF8AUwBvAGkAbABfAEwAZQBhAGMAaABpAG4AZwBBAG4AZABSAHUAbgBvAGYAZgBfAEUAcQB1AGEAdABpAG8AbgBzAC4AVgBFAEUAUgBHAF8ANABfADYAXwAxAF8AMQA0AF8AXwAyAF8ATQBhAHMAcwBPAGYATgBpAHQAcgBvAGcAZQBuAEwAbwBzAHQAVABvAEwAZQBhAGMAaABpAG4AZwBBAG4AZABSAHUAbgBvAGYAZgBGAHIAbwBtAFAAbwB1AGwAdAByAHkATQBhAG4AdQByAGUATwBuAFAAYQBzAHQAdQByAGUAXwBVAG4AaQB0ACIALAAiAE0ATQBTAF8AUABvAHUAbAB0AHIAeQBfAFMAbwBpAGwAXwBMAGUAYQBjAGgAaQBuAGcAQQBuAGQAUgB1AG4AbwBmAGYAXwBFAHEAdQBhAHQAaQBvAG4AcwAuAFYARQBFAFIARwBfADQAXwA2AF8AMQBfADEANABfAF8AMgBfAE0AYQBzAHMATwBmAE4AaQB0AHIAbwBnAGUAbgBMAG8AcwB0AFQAbwBMAGUAYQBjAGgAaQBuAGcAQQBuAGQAUgB1AG4AbwBmAGYARgByAG8AbQBQAG8AdQBsAHQAcgB5AE0AYQBuAHUAcgBlAE8AbgBQAGEAcwB0AHUAcgBlAF8AUwBvAHUAcgBjAGUAIgAsACIATQBNAFMAXwBQAG8AdQBsAHQAcgB5AF8AUwBvAGkAbABfAEwAZQBhAGMAaABpAG4AZwBBAG4AZABSAHUAbgBvAGYAZgBfAEUAcQB1AGEAdABpAG8AbgBzAC4AVgBFAEUAUgBHAF8ANABfADYAXwAxAF8AMQA0AF8AXwAyAF8ATQBhAHMAcwBPAGYATgBpAHQAcgBvAGcAZQBuAEwAbwBzAHQAVABvAEwAZQBhAGMAaABpAG4AZwBBAG4AZABSAHUAbgBvAGYAZgBGAHIAbwBtAFAAbwB1AGwAdAByAHkATQBhAG4AdQByAGUATwBuAFAAYQBzAHQAdQByAGUAXwBOAEkAUgBSAGUAZgBlAHIAZQBuAGMAZQAiACwAIgBNAE0AUwBfAFAAbwB1AGwAdAByAHkAXwBTAG8AaQBsAF8ATABlAGEAYwBoAGkAbgBnAEEAbgBkAFIAdQBuAG8AZgBmAF8ARQBxAHUAYQB0AGkAbwBuAHMALgBWAEUARQBSAEcAXwA0AF8ANgBfADEAXwAxADQAXwBfADIAXwBNAGEAcwBzAE8AZgBOAGkAdAByAG8AZwBlAG4ATABvAHMAdABUAG8ATABlAGEAYwBoAGkAbgBnAEEAbgBkAFIAdQBuAG8AZgBmAEYAcgBvAG0AUABvAHUAbAB0AHIAeQBNAGEAbgB1AHIAZQBPAG4AUABhAHMAdAB1AHIAZQBfAEwAYQB0AGUAeABFAHEAdQBhAHQAaQBvAG4AIgAsACIATQBNAFMAXwBQAG8AdQBsAHQAcgB5AF8AUwBvAGkAbABfAEwAZQBhAGMAaABpAG4AZwBBAG4AZABSAHUAbgBvAGYAZgBfAEUAcQB1AGEAdABpAG8AbgBzAC4AVgBFAEUAUgBHAF8ANABfADYAXwAxAF8AMQA0AF8AXwAyAF8ATQBhAHMAcwBPAGYATgBpAHQAcgBvAGcAZQBuAEwAbwBzAHQAVABvAEwAZQBhAGMAaABpAG4AZwBBAG4AZABSAHUAbgBvAGYAZgBGAHIAbwBtAFAAbwB1AGwAdAByAHkATQBhAG4AdQByAGUATwBuAFAAYQBzAHQAdQByAGUAXwBBAHIAZwB1AG0AZQBuAHQAcwAiACwAIgBGAGUAcgB0AGkAbABpAHMAZQByAF8AUwBvAHUAcgBjAGUARABhAHQAYQAuAEYAZQByAHQAaQBsAGkAcwBlAHIAXwBDAGgAZQBtAGkAYwBhAGwAQwBvAG0AcABvAHUAbgBkAEUAbABlAG0AZQBuAHQAcwBfAFQAaQB0AGwAZQAiACwAIgBGAGUAcgB0AGkAbABpAHMAZQByAF8AUwBvAHUAcgBjAGUARABhAHQAYQAuAEYAZQByAHQAaQBsAGkAcwBlAHIAXwBDAGgAZQBtAGkAYwBhAGwAQwBvAG0AcABvAHUAbgBkAEUAbABlAG0AZQBuAHQAcwBfAFMAbwB1AHIAYwBlACIALAAiAEYAZQByAHQAaQBsAGkAcwBlAHIAXwBTAG8AdQByAGMAZQBEAGEAdABhAC4ARgBlAHIAdABpAGwAaQBzAGUAcgBfAEMAaABlAG0AaQBjAGEAbABDAG8AbQBwAG8AdQBuAGQARQBsAGUAbQBlAG4AdABzAF8ARABhAHQAYQAiACwAIgBGAGUAcgB0AGkAbABpAHMAZQByAF8AUwBvAHUAcgBjAGUARABhAHQAYQAuAEYAZQByAHQAaQBsAGkAcwBlAHIAXwBDAGgAZQBtAGkAYwBhAGwAQwBvAG0AcABvAHUAbgBkAEUAbABlAG0AZQBuAHQAcwBfAFYAYQByAGkAYQB0AGkAbwBuACIALAAiAEYAZQByAHQAaQBsAGkAcwBlAHIAXwBTAG8AdQByAGMAZQBEAGEAdABhAC4ARgBlAHIAdABpAGwAaQBzAGUAcgBfAEYAcgBhAGMARwBBAFMARgBfAFQAaQB0AGwAZQAiACwAIgBGAGUAcgB0AGkAbABpAHMAZQByAF8AUwBvAHUAcgBjAGUARABhAHQAYQAuAEYAZQByAHQAaQBsAGkAcwBlAHIAXwBGAHIAYQBjAEcAQQBTAEYAXwBTAG8AdQByAGMAZQAiACwAIgBGAGUAcgB0AGkAbABpAHMAZQByAF8AUwBvAHUAcgBjAGUARABhAHQAYQAuAEYAZQByAHQAaQBsAGkAcwBlAHIAXwBGAHIAYQBjAEcAQQBTAEYAXwBEAGEAdABhACIALAAiAEYAZQByAHQAaQBsAGkAcwBlAHIAXwBTAG8AdQByAGMAZQBEAGEAdABhAC4ARgBlAHIAdABpAGwAaQBzAGUAcgBfAEYAcgBhAGMARwBBAFMARgBfAFYAYQByAGkAYQB0AGkAbwBuACIALAAiAEYAZQByAHQAaQBsAGkAcwBlAHIAXwBTAG8AdQByAGMAZQBEAGEAdABhAC4ARgBlAHIAdABpAGwAaQBzAGUAcgBfAFAAcgBvAGQAdQBjAHQAcwBfAFQAaQB0AGwAZQAiACwAIgBGAGUAcgB0AGkAbABpAHMAZQByAF8AUwBvAHUAcgBjAGUARABhAHQAYQAuAEYAZQByAHQAaQBsAGkAcwBlAHIAXwBQAHIAbwBkAHUAYwB0AHMAXwBTAG8AdQByAGMAZQAiACwAIgBGAGUAcgB0AGkAbABpAHMAZQByAF8AUwBvAHUAcgBjAGUARABhAHQAYQAuAEYAZQByAHQAaQBsAGkAcwBlAHIAXwBQAHIAbwBkAHUAYwB0AHMAXwBEAGEAdABhADEAIgAsACIARgBlAHIAdABpAGwAaQBzAGUAcgBfAFMAbwB1AHIAYwBlAEQAYQB0AGEALgBGAGUAcgB0AGkAbABpAHMAZQByAF8AUAByAG8AZAB1AGMAdABzAF8ARABhAHQAYQAyACIALAAiAEYAZQByAHQAaQBsAGkAcwBlAHIAXwBTAG8AdQByAGMAZQBEAGEAdABhAC4ARgBlAHIAdABpAGwAaQBzAGUAcgBfAFAAcgBvAGQAdQBjAHQAcwBfAEQAYQB0AGEAMwAiACwAIgBGAGUAcgB0AGkAbABpAHMAZQByAF8AUwBvAHUAcgBjAGUARABhAHQAYQAuAEYAZQByAHQAaQBsAGkAcwBlAHIAXwBQAHIAbwBkAHUAYwB0AHMAXwBEAGEAdABhADQAIgAsACIARgBlAHIAdABpAGwAaQBzAGUAcgBfAFMAbwB1AHIAYwBlAEQAYQB0AGEALgBGAGUAcgB0AGkAbABpAHMAZQByAF8ATABpAG0AZQBEAG8AbABvAG0AaQB0AGUARwB5AHAAcwB1AG0AQwBvAG4AcwB0AGEAbgB0AHMAXwBUAGkAdABsAGUAIgAsACIARgBlAHIAdABpAGwAaQBzAGUAcgBfAFMAbwB1AHIAYwBlAEQAYQB0AGEALgBGAGUAcgB0AGkAbABpAHMAZQByAF8ATABpAG0AZQBEAG8AbABvAG0AaQB0AGUARwB5AHAAcwB1AG0AQwBvAG4AcwB0AGEAbgB0AHMAXwBEAGUAcwBjAHIAaQBwAHQAaQBvAG4AIgAsACIARgBlAHIAdABpAGwAaQBzAGUAcgBfAFMAbwB1AHIAYwBlAEQAYQB0AGEALgBGAGUAcgB0AGkAbABpAHMAZQByAF8ATABpAG0AZQBEAG8AbABvAG0AaQB0AGUARwB5AHAAcwB1AG0AQwBvAG4AcwB0AGEAbgB0AHMAXwBTAG8AdQByAGMAZQAiACwAIgBGAGUAcgB0AGkAbABpAHMAZQByAF8AUwBvAHUAcgBjAGUARABhAHQAYQAuAEYAZQByAHQAaQBsAGkAcwBlAHIAXwBMAGkAbQBlAEQAbwBsAG8AbQBpAHQAZQBHAHkAcABzAHUAbQBDAG8AbgBzAHQAYQBuAHQAcwBfAEQAYQB0AGEAIgAsACIARgBlAHIAdABpAGwAaQBzAGUAcgBfAFMAbwB1AHIAYwBlAEQAYQB0AGEALgBGAGUAcgB0AGkAbABpAHMAZQByAF8ATABpAG0AZQBEAG8AbABvAG0AaQB0AGUARwB5AHAAcwB1AG0AQwBvAG4AcwB0AGEAbgB0AHMAXwBWAGEAcgBpAGEAdABpAG8AbgAiACwAIgBGAGUAcgB0AGkAbABpAHMAZQByAF8ASQBuAHAAdQB0AEYAdQBuAGMAdABpAG8AbgBzAC4ARgBlAHIAdABpAGwAaQBzAGUAcgBfAEYAZQByAHQAaQBsAGkAcwBlAHIAUAByAG8AZAB1AGMAdABMAG8AbwBrAHUAcAAiACwAIgBGAGUAcgB0AGkAbABpAHMAZQByAF8ASQBuAHAAdQB0AEYAdQBuAGMAdABpAG8AbgBzAC4ARgBlAHIAdABpAGwAaQBzAGUAcgBfAFMAdQBtAFAAcgBvAGQAdQBjAHQAQQBwAHAAbABpAGUAZAAiACwAIgBGAGUAcgB0AGkAbABpAHMAZQByAF8ASQBuAHAAdQB0AEYAdQBuAGMAdABpAG8AbgBzAC4ARgBlAHIAdABpAGwAaQBzAGUAcgBfAFQAbwB0AGEAbABTAG8AaQBsAEEAbQBlAG4AZABtAGUAbgB0AEEAcABwAGwAaQBlAGQAIgAsACIARgBlAHIAdABpAGwAaQBzAGUAcgBfAEkAbgBwAHUAdABGAHUAbgBjAHQAaQBvAG4AcwAuAEYAZQByAHQAaQBsAGkAcwBlAHIAXwBUAG8AdABhAGwAQwBoAGUAbQBpAGMAYQBsAEMAbwBtAHAAbwB1AG4AZABBAHAAcABsAGkAZQBkAEEAbABsAEkAbgBnAHIAZQBkAGkAZQBuAHQAcwAiACwAIgBGAGUAcgB0AGkAbABpAHMAZQByAF8ASQBuAHAAdQB0AEYAdQBuAGMAdABpAG8AbgBzAC4ARgBlAHIAdABpAGwAaQBzAGUAcgBfAFQAbwB0AGEAbABDAGgAZQBtAGkAYwBhAGwAQwBvAG0AcABvAHUAbgBkAHQAQQBwAHAAbABpAGUAZABCAHkAUwBvAHUAcgBjAGUAQQBsAGwASQBuAGcAcgBlAGQAaQBlAG4AdABzACIALAAiAEYAZQByAHQAaQBsAGkAcwBlAHIAXwBJAG4AcAB1AHQARgB1AG4AYwB0AGkAbwBuAHMALgBGAGUAcgB0AGkAbABpAHMAZQByAF8ARwBlAHQAUwBjAG8AcABlADMARQBGACIALAAiAEYAZQByAHQAaQBsAGkAcwBlAHIAXwBJAG4AcAB1AHQARgB1AG4AYwB0AGkAbwBuAHMALgBGAGUAcgB0AGkAbABpAHMAZQByAF8ARwBlAHQAQwBoAGUAbQBpAGMAYQBsAEMAbwBtAHAAbwB1AG4AZABFAGwAZQBtAGUAbgB0AEYAcgBhAGMAdABpAG8AbgAiACwAIgBGAGUAcgB0AGkAbABpAHMAZQByAF8ARQBxAHUAYQB0AGkAbwBuAHMAXwBJAG4AbwByAGcAYQBuAGkAYwBOADIATwAuAFYARQBFAFIARwBfADUAXwAxAF8AMQBfADEAXwBfADEAXwBJAG4AbwByAGcAYQBuAGkAYwBGAGUAcgB0AGkAbABpAHMAZQByAEEAcABwAGwAaQBjAGEAdABpAG8AbgBOADIATwBFAG0AaQBzAHMAaQBvAG4AcwAiACwAIgBGAGUAcgB0AGkAbABpAHMAZQByAF8ARQBxAHUAYQB0AGkAbwBuAHMAXwBJAG4AbwByAGcAYQBuAGkAYwBOADIATwAuAFYARQBFAFIARwBfADUAXwAxAF8AMQBfADEAXwBfADEAXwBJAG4AbwByAGcAYQBuAGkAYwBGAGUAcgB0AGkAbABpAHMAZQByAEEAcABwAGwAaQBjAGEAdABpAG8AbgBOADIATwBFAG0AaQBzAHMAaQBvAG4AcwBfAFQAaQB0AGwAZQAiACwAIgBGAGUAcgB0AGkAbABpAHMAZQByAF8ARQBxAHUAYQB0AGkAbwBuAHMAXwBJAG4AbwByAGcAYQBuAGkAYwBOADIATwAuAFYARQBFAFIARwBfADUAXwAxAF8AMQBfADEAXwBfADEAXwBJAG4AbwByAGcAYQBuAGkAYwBGAGUAcgB0AGkAbABpAHMAZQByAEEAcABwAGwAaQBjAGEAdABpAG8AbgBOADIATwBFAG0AaQBzAHMAaQBvAG4AcwBfAFYAYQByAGkAYQBiAGwAZQAiACwAIgBGAGUAcgB0AGkAbABpAHMAZQByAF8ARQBxAHUAYQB0AGkAbwBuAHMAXwBJAG4AbwByAGcAYQBuAGkAYwBOADIATwAuAFYARQBFAFIARwBfADUAXwAxAF8AMQBfADEAXwBfADEAXwBJAG4AbwByAGcAYQBuAGkAYwBGAGUAcgB0AGkAbABpAHMAZQByAEEAcABwAGwAaQBjAGEAdABpAG8AbgBOADIATwBFAG0AaQBzAHMAaQBvAG4AcwBfAFUAbgBpAHQAIgAsACIARgBlAHIAdABpAGwAaQBzAGUAcgBfAEUAcQB1AGEAdABpAG8AbgBzAF8ASQBuAG8AcgBnAGEAbgBpAGMATgAyAE8ALgBWAEUARQBSAEcAXwA1AF8AMQBfADEAXwAxAF8AXwAxAF8ASQBuAG8AcgBnAGEAbgBpAGMARgBlAHIAdABpAGwAaQBzAGUAcgBBAHAAcABsAGkAYwBhAHQAaQBvAG4ATgAyAE8ARQBtAGkAcwBzAGkAbwBuAHMAXwBTAG8AdQByAGMAZQAiACwAIgBGAGUAcgB0AGkAbABpAHMAZQByAF8ARQBxAHUAYQB0AGkAbwBuAHMAXwBJAG4AbwByAGcAYQBuAGkAYwBOADIATwAuAFYARQBFAFIARwBfADUAXwAxAF8AMQBfADEAXwBfADEAXwBJAG4AbwByAGcAYQBuAGkAYwBGAGUAcgB0AGkAbABpAHMAZQByAEEAcABwAGwAaQBjAGEAdABpAG8AbgBOADIATwBFAG0AaQBzAHMAaQBvAG4AcwBfAE4ASQBSAFIAZQBmAGUAcgBlAG4AYwBlACIALAAiAEYAZQByAHQAaQBsAGkAcwBlAHIAXwBFAHEAdQBhAHQAaQBvAG4AcwBfAEkAbgBvAHIAZwBhAG4AaQBjAE4AMgBPAC4AVgBFAEUAUgBHAF8ANQBfADEAXwAxAF8AMQBfAF8AMQBfAEkAbgBvAHIAZwBhAG4AaQBjAEYAZQByAHQAaQBsAGkAcwBlAHIAQQBwAHAAbABpAGMAYQB0AGkAbwBuAE4AMgBPAEUAbQBpAHMAcwBpAG8AbgBzAF8ATABhAHQAZQB4AEUAcQB1AGEAdABpAG8AbgAiACwAIgBGAGUAcgB0AGkAbABpAHMAZQByAF8ARQBxAHUAYQB0AGkAbwBuAHMAXwBJAG4AbwByAGcAYQBuAGkAYwBOADIATwAuAFYARQBFAFIARwBfADUAXwAxAF8AMQBfADEAXwBfADEAXwBJAG4AbwByAGcAYQBuAGkAYwBGAGUAcgB0AGkAbABpAHMAZQByAEEAcABwAGwAaQBjAGEAdABpAG8AbgBOADIATwBFAG0AaQBzAHMAaQBvAG4AcwBfAEEAcgBnAHUAbQBlAG4AdABzACIALAAiAEYAZQByAHQAaQBsAGkAcwBlAHIAXwBFAHEAdQBhAHQAaQBvAG4AcwBfAEkAbgBvAHIAZwBhAG4AaQBjAE4AMgBPAC4AVgBFAEUAUgBHAF8ANQBfADEAXwAxAF8AMQBfAF8AMQBfAEkAbgBvAHIAZwBhAG4AaQBjAEYAZQByAHQAaQBsAGkAcwBlAHIAQQBwAHAAbABpAGMAYQB0AGkAbwBuAE4AMgBPAEUAbQBpAHMAcwBpAG8AbgBzAF8AQQByAGcAdQBtAGUAbgB0AHMAXwBNAGUAdABoAG8AZAAyACIALAAiAEYAZQByAHQAaQBsAGkAcwBlAHIAXwBFAHEAdQBhAHQAaQBvAG4AcwBfAEkAbgBvAHIAZwBhAG4AaQBjAE4AMgBPAC4AVgBFAEUAUgBHAF8ANQBfADEAXwAxAF8AMQBfAF8AMgBfAE0AYQBzAHMATwBmAE4AaQB0AHIAbwBnAGUAbgBJAG4ASQBuAG8AcgBnAGEAbgBpAGMARgBlAHIAdABpAGwAaQBzAGUAcgAiACwAIgBGAGUAcgB0AGkAbABpAHMAZQByAF8ARQBxAHUAYQB0AGkAbwBuAHMAXwBJAG4AbwByAGcAYQBuAGkAYwBOADIATwAuAFYARQBFAFIARwBfADUAXwAxAF8AMQBfADEAXwBfADIAXwBNAGEAcwBzAE8AZgBOAGkAdAByAG8AZwBlAG4ASQBuAEkAbgBvAHIAZwBhAG4AaQBjAEYAZQByAHQAaQBsAGkAcwBlAHIAXwBUAGkAdABsAGUAIgAsACIARgBlAHIAdABpAGwAaQBzAGUAcgBfAEUAcQB1AGEAdABpAG8AbgBzAF8ASQBuAG8AcgBnAGEAbgBpAGMATgAyAE8ALgBWAEUARQBSAEcAXwA1AF8AMQBfADEAXwAxAF8AXwAyAF8ATQBhAHMAcwBPAGYATgBpAHQAcgBvAGcAZQBuAEkAbgBJAG4AbwByAGcAYQBuAGkAYwBGAGUAcgB0AGkAbABpAHMAZQByAF8AVgBhAHIAaQBhAGIAbABlACIALAAiAEYAZQByAHQAaQBsAGkAcwBlAHIAXwBFAHEAdQBhAHQAaQBvAG4AcwBfAEkAbgBvAHIAZwBhAG4AaQBjAE4AMgBPAC4AVgBFAEUAUgBHAF8ANQBfADEAXwAxAF8AMQBfAF8AMgBfAE0AYQBzAHMATwBmAE4AaQB0AHIAbwBnAGUAbgBJAG4ASQBuAG8AcgBnAGEAbgBpAGMARgBlAHIAdABpAGwAaQBzAGUAcgBfAFUAbgBpAHQAIgAsACIARgBlAHIAdABpAGwAaQBzAGUAcgBfAEUAcQB1AGEAdABpAG8AbgBzAF8ASQBuAG8AcgBnAGEAbgBpAGMATgAyAE8ALgBWAEUARQBSAEcAXwA1AF8AMQBfADEAXwAxAF8AXwAyAF8ATQBhAHMAcwBPAGYATgBpAHQAcgBvAGcAZQBuAEkAbgBJAG4AbwByAGcAYQBuAGkAYwBGAGUAcgB0AGkAbABpAHMAZQByAF8AUwBvAHUAcgBjAGUAIgAsACIARgBlAHIAdABpAGwAaQBzAGUAcgBfAEUAcQB1AGEAdABpAG8AbgBzAF8ASQBuAG8AcgBnAGEAbgBpAGMATgAyAE8ALgBWAEUARQBSAEcAXwA1AF8AMQBfADEAXwAxAF8AXwAyAF8ATQBhAHMAcwBPAGYATgBpAHQAcgBvAGcAZQBuAEkAbgBJAG4AbwByAGcAYQBuAGkAYwBGAGUAcgB0AGkAbABpAHMAZQByAF8ATgBJAFIAUgBlAGYAZQByAGUAbgBjAGUAIgAsACIARgBlAHIAdABpAGwAaQBzAGUAcgBfAEUAcQB1AGEAdABpAG8AbgBzAF8ASQBuAG8AcgBnAGEAbgBpAGMATgAyAE8ALgBWAEUARQBSAEcAXwA1AF8AMQBfADEAXwAxAF8AXwAyAF8ATQBhAHMAcwBPAGYATgBpAHQAcgBvAGcAZQBuAEkAbgBJAG4AbwByAGcAYQBuAGkAYwBGAGUAcgB0AGkAbABpAHMAZQByAF8ATABhAHQAZQB4AEUAcQB1AGEAdABpAG8AbgAiACwAIgBGAGUAcgB0AGkAbABpAHMAZQByAF8ARQBxAHUAYQB0AGkAbwBuAHMAXwBJAG4AbwByAGcAYQBuAGkAYwBOADIATwAuAFYARQBFAFIARwBfADUAXwAxAF8AMQBfADEAXwBfADIAXwBNAGEAcwBzAE8AZgBOAGkAdAByAG8AZwBlAG4ASQBuAEkAbgBvAHIAZwBhAG4AaQBjAEYAZQByAHQAaQBsAGkAcwBlAHIAXwBBAHIAZwB1AG0AZQBuAHQAcwAiACwAIgBGAGUAcgB0AGkAbABpAHMAZQByAF8ARQBxAHUAYQB0AGkAbwBuAHMAXwBJAG4AbwByAGcAYQBuAGkAYwBOADIATwAuAFYARQBFAFIARwBfADUAXwAxAF8AMQBfADIAXwBfADEAXwBFAG0AaQBzAHMAaQBvAG4ARgBhAGMAdABvAHIASQByAHIAaQBnAGEAdABlAGQATQBhAGkAegBlACIALAAiAEYAZQByAHQAaQBsAGkAcwBlAHIAXwBFAHEAdQBhAHQAaQBvAG4AcwBfAEkAbgBvAHIAZwBhAG4AaQBjAE4AMgBPAC4AVgBFAEUAUgBHAF8ANQBfADEAXwAxAF8AMgBfAF8AMQBfAEUAbQBpAHMAcwBpAG8AbgBGAGEAYwB0AG8AcgBJAHIAcgBpAGcAYQB0AGUAZABNAGEAaQB6AGUAXwBUAGkAdABsAGUAIgAsACIARgBlAHIAdABpAGwAaQBzAGUAcgBfAEUAcQB1AGEAdABpAG8AbgBzAF8ASQBuAG8AcgBnAGEAbgBpAGMATgAyAE8ALgBWAEUARQBSAEcAXwA1AF8AMQBfADEAXwAyAF8AXwAxAF8ARQBtAGkAcwBzAGkAbwBuAEYAYQBjAHQAbwByAEkAcgByAGkAZwBhAHQAZQBkAE0AYQBpAHoAZQBfAFYAYQByAGkAYQBiAGwAZQAiACwAIgBGAGUAcgB0AGkAbABpAHMAZQByAF8ARQBxAHUAYQB0AGkAbwBuAHMAXwBJAG4AbwByAGcAYQBuAGkAYwBOADIATwAuAFYARQBFAFIARwBfADUAXwAxAF8AMQBfADIAXwBfADEAXwBFAG0AaQBzAHMAaQBvAG4ARgBhAGMAdABvAHIASQByAHIAaQBnAGEAdABlAGQATQBhAGkAegBlAF8AVQBuAGkAdAAiACwAIgBGAGUAcgB0AGkAbABpAHMAZQByAF8ARQBxAHUAYQB0AGkAbwBuAHMAXwBJAG4AbwByAGcAYQBuAGkAYwBOADIATwAuAFYARQBFAFIARwBfADUAXwAxAF8AMQBfADIAXwBfADEAXwBFAG0AaQBzAHMAaQBvAG4ARgBhAGMAdABvAHIASQByAHIAaQBnAGEAdABlAGQATQBhAGkAegBlAF8AUwBvAHUAcgBjAGUAIgAsACIARgBlAHIAdABpAGwAaQBzAGUAcgBfAEUAcQB1AGEAdABpAG8AbgBzAF8ASQBuAG8AcgBnAGEAbgBpAGMATgAyAE8ALgBWAEUARQBSAEcAXwA1AF8AMQBfADEAXwAyAF8AXwAxAF8ARQBtAGkAcwBzAGkAbwBuAEYAYQBjAHQAbwByAEkAcgByAGkAZwBhAHQAZQBkAE0AYQBpAHoAZQBfAE4ASQBSAFIAZQBmAGUAcgBlAG4AYwBlACIALAAiAEYAZQByAHQAaQBsAGkAcwBlAHIAXwBFAHEAdQBhAHQAaQBvAG4AcwBfAEkAbgBvAHIAZwBhAG4AaQBjAE4AMgBPAC4AVgBFAEUAUgBHAF8ANQBfADEAXwAxAF8AMgBfAF8AMQBfAEUAbQBpAHMAcwBpAG8AbgBGAGEAYwB0AG8AcgBJAHIAcgBpAGcAYQB0AGUAZABNAGEAaQB6AGUAXwBMAGEAdABlAHgARQBxAHUAYQB0AGkAbwBuACIALAAiAEYAZQByAHQAaQBsAGkAcwBlAHIAXwBFAHEAdQBhAHQAaQBvAG4AcwBfAEkAbgBvAHIAZwBhAG4AaQBjAE4AMgBPAC4AVgBFAEUAUgBHAF8ANQBfADEAXwAxAF8AMgBfAF8AMQBfAEUAbQBpAHMAcwBpAG8AbgBGAGEAYwB0AG8AcgBJAHIAcgBpAGcAYQB0AGUAZABNAGEAaQB6AGUAXwBBAHIAZwB1AG0AZQBuAHQAcwAiACwAIgBGAGUAcgB0AGkAbABpAHMAZQByAF8ARQBxAHUAYQB0AGkAbwBuAHMAXwBJAG4AbwByAGcAYQBuAGkAYwBOADIATwAuAFYARQBFAFIARwBfADUAXwAxAF8AMQBfADIAXwBfADIAXwBFAG0AaQBzAHMAaQBvAG4ARgBhAGMAdABvAHIATgBvAG4ASQByAHIAaQBnAGEAdABlAGQARwByAGEAaQBuAHMASABpAGcAaABSAGEAaQBuAGYAYQBsAGwAIgAsACIARgBlAHIAdABpAGwAaQBzAGUAcgBfAEUAcQB1AGEAdABpAG8AbgBzAF8ASQBuAG8AcgBnAGEAbgBpAGMATgAyAE8ALgBWAEUARQBSAEcAXwA1AF8AMQBfADEAXwAyAF8AXwAyAF8ARQBtAGkAcwBzAGkAbwBuAEYAYQBjAHQAbwByAE4AbwBuAEkAcgByAGkAZwBhAHQAZQBkAEcAcgBhAGkAbgBzAEgAaQBnAGgAUgBhAGkAbgBmAGEAbABsAF8AVABpAHQAbABlACIALAAiAEYAZQByAHQAaQBsAGkAcwBlAHIAXwBFAHEAdQBhAHQAaQBvAG4AcwBfAEkAbgBvAHIAZwBhAG4AaQBjAE4AMgBPAC4AVgBFAEUAUgBHAF8ANQBfADEAXwAxAF8AMgBfAF8AMgBfAEUAbQBpAHMAcwBpAG8AbgBGAGEAYwB0AG8AcgBOAG8AbgBJAHIAcgBpAGcAYQB0AGUAZABHAHIAYQBpAG4AcwBIAGkAZwBoAFIAYQBpAG4AZgBhAGwAbABfAFYAYQByAGkAYQBiAGwAZQAiACwAIgBGAGUAcgB0AGkAbABpAHMAZQByAF8ARQBxAHUAYQB0AGkAbwBuAHMAXwBJAG4AbwByAGcAYQBuAGkAYwBOADIATwAuAFYARQBFAFIARwBfADUAXwAxAF8AMQBfADIAXwBfADIAXwBFAG0AaQBzAHMAaQBvAG4ARgBhAGMAdABvAHIATgBvAG4ASQByAHIAaQBnAGEAdABlAGQARwByAGEAaQBuAHMASABpAGcAaABSAGEAaQBuAGYAYQBsAGwAXwBVAG4AaQB0ACIALAAiAEYAZQByAHQAaQBsAGkAcwBlAHIAXwBFAHEAdQBhAHQAaQBvAG4AcwBfAEkAbgBvAHIAZwBhAG4AaQBjAE4AMgBPAC4AVgBFAEUAUgBHAF8ANQBfADEAXwAxAF8AMgBfAF8AMgBfAEUAbQBpAHMAcwBpAG8AbgBGAGEAYwB0AG8AcgBOAG8AbgBJAHIAcgBpAGcAYQB0AGUAZABHAHIAYQBpAG4AcwBIAGkAZwBoAFIAYQBpAG4AZgBhAGwAbABfAFMAbwB1AHIAYwBlACIALAAiAEYAZQByAHQAaQBsAGkAcwBlAHIAXwBFAHEAdQBhAHQAaQBvAG4AcwBfAEkAbgBvAHIAZwBhAG4AaQBjAE4AMgBPAC4AVgBFAEUAUgBHAF8ANQBfADEAXwAxAF8AMgBfAF8AMgBfAEUAbQBpAHMAcwBpAG8AbgBGAGEAYwB0AG8AcgBOAG8AbgBJAHIAcgBpAGcAYQB0AGUAZABHAHIAYQBpAG4AcwBIAGkAZwBoAFIAYQBpAG4AZgBhAGwAbABfAE4ASQBSAFIAZQBmAGUAcgBlAG4AYwBlACIALAAiAEYAZQByAHQAaQBsAGkAcwBlAHIAXwBFAHEAdQBhAHQAaQBvAG4AcwBfAEkAbgBvAHIAZwBhAG4AaQBjAE4AMgBPAC4AVgBFAEUAUgBHAF8ANQBfADEAXwAxAF8AMgBfAF8AMgBfAEUAbQBpAHMAcwBpAG8AbgBGAGEAYwB0AG8AcgBOAG8AbgBJAHIAcgBpAGcAYQB0AGUAZABHAHIAYQBpAG4AcwBIAGkAZwBoAFIAYQBpAG4AZgBhAGwAbABfAEwAYQB0AGUAeABFAHEAdQBhAHQAaQBvAG4AIgAsACIARgBlAHIAdABpAGwAaQBzAGUAcgBfAEUAcQB1AGEAdABpAG8AbgBzAF8ASQBuAG8AcgBnAGEAbgBpAGMATgAyAE8ALgBWAEUARQBSAEcAXwA1AF8AMQBfADEAXwAyAF8AXwAyAF8ARQBtAGkAcwBzAGkAbwBuAEYAYQBjAHQAbwByAE4AbwBuAEkAcgByAGkAZwBhAHQAZQBkAEcAcgBhAGkAbgBzAEgAaQBnAGgAUgBhAGkAbgBmAGEAbABsAF8AQQByAGcAdQBtAGUAbgB0AHMAIgAsACIARgBlAHIAdABpAGwAaQBzAGUAcgBfAEUAcQB1AGEAdABpAG8AbgBzAF8ASQBuAG8AcgBnAGEAbgBpAGMATgAyAE8ALgBWAEUARQBSAEcAXwA1AF8AMQBfADEAXwAyAF8AXwAzAF8ARQBtAGkAcwBzAGkAbwBuAEYAYQBjAHQAbwByAEMAbwB0AHQAbwBuACIALAAiAEYAZQByAHQAaQBsAGkAcwBlAHIAXwBFAHEAdQBhAHQAaQBvAG4AcwBfAEkAbgBvAHIAZwBhAG4AaQBjAE4AMgBPAC4AVgBFAEUAUgBHAF8ANQBfADEAXwAxAF8AMgBfAF8AMwBfAEUAbQBpAHMAcwBpAG8AbgBGAGEAYwB0AG8AcgBDAG8AdAB0AG8AbgBfAFQAaQB0AGwAZQAiACwAIgBGAGUAcgB0AGkAbABpAHMAZQByAF8ARQBxAHUAYQB0AGkAbwBuAHMAXwBJAG4AbwByAGcAYQBuAGkAYwBOADIATwAuAFYARQBFAFIARwBfADUAXwAxAF8AMQBfADIAXwBfADMAXwBFAG0AaQBzAHMAaQBvAG4ARgBhAGMAdABvAHIAQwBvAHQAdABvAG4AXwBWAGEAcgBpAGEAYgBsAGUAIgAsACIARgBlAHIAdABpAGwAaQBzAGUAcgBfAEUAcQB1AGEAdABpAG8AbgBzAF8ASQBuAG8AcgBnAGEAbgBpAGMATgAyAE8ALgBWAEUARQBSAEcAXwA1AF8AMQBfADEAXwAyAF8AXwAzAF8ARQBtAGkAcwBzAGkAbwBuAEYAYQBjAHQAbwByAEMAbwB0AHQAbwBuAF8AVQBuAGkAdAAiACwAIgBGAGUAcgB0AGkAbABpAHMAZQByAF8ARQBxAHUAYQB0AGkAbwBuAHMAXwBJAG4AbwByAGcAYQBuAGkAYwBOADIATwAuAFYARQBFAFIARwBfADUAXwAxAF8AMQBfADIAXwBfADMAXwBFAG0AaQBzAHMAaQBvAG4ARgBhAGMAdABvAHIAQwBvAHQAdABvAG4AXwBTAG8AdQByAGMAZQAiACwAIgBGAGUAcgB0AGkAbABpAHMAZQByAF8ARQBxAHUAYQB0AGkAbwBuAHMAXwBJAG4AbwByAGcAYQBuAGkAYwBOADIATwAuAFYARQBFAFIARwBfADUAXwAxAF8AMQBfADIAXwBfADMAXwBFAG0AaQBzAHMAaQBvAG4ARgBhAGMAdABvAHIAQwBvAHQAdABvAG4AXwBOAEkAUgBSAGUAZgBlAHIAZQBuAGMAZQAiACwAIgBGAGUAcgB0AGkAbABpAHMAZQByAF8ARQBxAHUAYQB0AGkAbwBuAHMAXwBJAG4AbwByAGcAYQBuAGkAYwBOADIATwAuAFYARQBFAFIARwBfADUAXwAxAF8AMQBfADIAXwBfADMAXwBFAG0AaQBzAHMAaQBvAG4ARgBhAGMAdABvAHIAQwBvAHQAdABvAG4AXwBMAGEAdABlAHgARQBxAHUAYQB0AGkAbwBuACIALAAiAEYAZQByAHQAaQBsAGkAcwBlAHIAXwBFAHEAdQBhAHQAaQBvAG4AcwBfAEkAbgBvAHIAZwBhAG4AaQBjAE4AMgBPAC4AVgBFAEUAUgBHAF8ANQBfADEAXwAxAF8AMgBfAF8AMwBfAEUAbQBpAHMAcwBpAG8AbgBGAGEAYwB0AG8AcgBDAG8AdAB0AG8AbgBfAEEAcgBnAHUAbQBlAG4AdABzACIALAAiAEYAZQByAHQAaQBsAGkAcwBlAHIAXwBFAHEAdQBhAHQAaQBvAG4AcwBfAEkAbgBvAHIAZwBhAG4AaQBjAEMATwAyAC4AVgBFAEUAUgBHAF8ANQBfADEAXwAxAF8AMwBfAF8AMQBfAEkAbgBvAHIAZwBhAG4AaQBjAEYAZQByAHQAaQBsAGkAcwBlAHIAQQBwAHAAbABpAGMAYQB0AGkAbwBuAEMATwAyAEUAbQBpAHMAcwBpAG8AbgBzACIALAAiAEYAZQByAHQAaQBsAGkAcwBlAHIAXwBFAHEAdQBhAHQAaQBvAG4AcwBfAEkAbgBvAHIAZwBhAG4AaQBjAEMATwAyAC4AVgBFAEUAUgBHAF8ANQBfADEAXwAxAF8AMwBfAF8AMQBfAEkAbgBvAHIAZwBhAG4AaQBjAEYAZQByAHQAaQBsAGkAcwBlAHIAQQBwAHAAbABpAGMAYQB0AGkAbwBuAEMATwAyAEUAbQBpAHMAcwBpAG8AbgBzAF8AVABpAHQAbABlACIALAAiAEYAZQByAHQAaQBsAGkAcwBlAHIAXwBFAHEAdQBhAHQAaQBvAG4AcwBfAEkAbgBvAHIAZwBhAG4AaQBjAEMATwAyAC4AVgBFAEUAUgBHAF8ANQBfADEAXwAxAF8AMwBfAF8AMQBfAEkAbgBvAHIAZwBhAG4AaQBjAEYAZQByAHQAaQBsAGkAcwBlAHIAQQBwAHAAbABpAGMAYQB0AGkAbwBuAEMATwAyAEUAbQBpAHMAcwBpAG8AbgBzAF8AVgBhAHIAaQBhAGIAbABlACIALAAiAEYAZQByAHQAaQBsAGkAcwBlAHIAXwBFAHEAdQBhAHQAaQBvAG4AcwBfAEkAbgBvAHIAZwBhAG4AaQBjAEMATwAyAC4AVgBFAEUAUgBHAF8ANQBfADEAXwAxAF8AMwBfAF8AMQBfAEkAbgBvAHIAZwBhAG4AaQBjAEYAZQByAHQAaQBsAGkAcwBlAHIAQQBwAHAAbABpAGMAYQB0AGkAbwBuAEMATwAyAEUAbQBpAHMAcwBpAG8AbgBzAF8AVQBuAGkAdAAiACwAIgBGAGUAcgB0AGkAbABpAHMAZQByAF8ARQBxAHUAYQB0AGkAbwBuAHMAXwBJAG4AbwByAGcAYQBuAGkAYwBDAE8AMgAuAFYARQBFAFIARwBfADUAXwAxAF8AMQBfADMAXwBfADEAXwBJAG4AbwByAGcAYQBuAGkAYwBGAGUAcgB0AGkAbABpAHMAZQByAEEAcABwAGwAaQBjAGEAdABpAG8AbgBDAE8AMgBFAG0AaQBzAHMAaQBvAG4AcwBfAFMAbwB1AHIAYwBlACIALAAiAEYAZQByAHQAaQBsAGkAcwBlAHIAXwBFAHEAdQBhAHQAaQBvAG4AcwBfAEkAbgBvAHIAZwBhAG4AaQBjAEMATwAyAC4AVgBFAEUAUgBHAF8ANQBfADEAXwAxAF8AMwBfAF8AMQBfAEkAbgBvAHIAZwBhAG4AaQBjAEYAZQByAHQAaQBsAGkAcwBlAHIAQQBwAHAAbABpAGMAYQB0AGkAbwBuAEMATwAyAEUAbQBpAHMAcwBpAG8AbgBzAF8ATgBJAFIAUgBlAGYAZQByAGUAbgBjAGUAIgAsACIARgBlAHIAdABpAGwAaQBzAGUAcgBfAEUAcQB1AGEAdABpAG8AbgBzAF8ASQBuAG8AcgBnAGEAbgBpAGMAQwBPADIALgBWAEUARQBSAEcAXwA1AF8AMQBfADEAXwAzAF8AXwAxAF8ASQBuAG8AcgBnAGEAbgBpAGMARgBlAHIAdABpAGwAaQBzAGUAcgBBAHAAcABsAGkAYwBhAHQAaQBvAG4AQwBPADIARQBtAGkAcwBzAGkAbwBuAHMAXwBMAGEAdABlAHgARQBxAHUAYQB0AGkAbwBuACIALAAiAEYAZQByAHQAaQBsAGkAcwBlAHIAXwBFAHEAdQBhAHQAaQBvAG4AcwBfAEkAbgBvAHIAZwBhAG4AaQBjAEMATwAyAC4AVgBFAEUAUgBHAF8ANQBfADEAXwAxAF8AMwBfAF8AMQBfAEkAbgBvAHIAZwBhAG4AaQBjAEYAZQByAHQAaQBsAGkAcwBlAHIAQQBwAHAAbABpAGMAYQB0AGkAbwBuAEMATwAyAEUAbQBpAHMAcwBpAG8AbgBzAF8AQQByAGcAdQBtAGUAbgB0AHMAIgAsACIARgBlAHIAdABpAGwAaQBzAGUAcgBfAEUAcQB1AGEAdABpAG8AbgBzAF8ASQBuAG8AcgBnAGEAbgBpAGMAQwBPADIALgBWAEUARQBSAEcAXwA1AF8AMQBfADEAXwAzAF8AXwAyAF8ATQBhAHMAcwBPAGYAVQByAGUAYQBJAG4ASQBuAG8AcgBnAGEAbgBpAGMARgBlAHIAdABpAGwAaQBzAGUAcgAiACwAIgBGAGUAcgB0AGkAbABpAHMAZQByAF8ARQBxAHUAYQB0AGkAbwBuAHMAXwBJAG4AbwByAGcAYQBuAGkAYwBDAE8AMgAuAFYARQBFAFIARwBfADUAXwAxAF8AMQBfADMAXwBfADIAXwBNAGEAcwBzAE8AZgBVAHIAZQBhAEkAbgBJAG4AbwByAGcAYQBuAGkAYwBGAGUAcgB0AGkAbABpAHMAZQByAF8AVABpAHQAbABlACIALAAiAEYAZQByAHQAaQBsAGkAcwBlAHIAXwBFAHEAdQBhAHQAaQBvAG4AcwBfAEkAbgBvAHIAZwBhAG4AaQBjAEMATwAyAC4AVgBFAEUAUgBHAF8ANQBfADEAXwAxAF8AMwBfAF8AMgBfAE0AYQBzAHMATwBmAFUAcgBlAGEASQBuAEkAbgBvAHIAZwBhAG4AaQBjAEYAZQByAHQAaQBsAGkAcwBlAHIAXwBWAGEAcgBpAGEAYgBsAGUAIgAsACIARgBlAHIAdABpAGwAaQBzAGUAcgBfAEUAcQB1AGEAdABpAG8AbgBzAF8ASQBuAG8AcgBnAGEAbgBpAGMAQwBPADIALgBWAEUARQBSAEcAXwA1AF8AMQBfADEAXwAzAF8AXwAyAF8ATQBhAHMAcwBPAGYAVQByAGUAYQBJAG4ASQBuAG8AcgBnAGEAbgBpAGMARgBlAHIAdABpAGwAaQBzAGUAcgBfAFUAbgBpAHQAIgAsACIARgBlAHIAdABpAGwAaQBzAGUAcgBfAEUAcQB1AGEAdABpAG8AbgBzAF8ASQBuAG8AcgBnAGEAbgBpAGMAQwBPADIALgBWAEUARQBSAEcAXwA1AF8AMQBfADEAXwAzAF8AXwAyAF8ATQBhAHMAcwBPAGYAVQByAGUAYQBJAG4ASQBuAG8AcgBnAGEAbgBpAGMARgBlAHIAdABpAGwAaQBzAGUAcgBfAFMAbwB1AHIAYwBlACIALAAiAEYAZQByAHQAaQBsAGkAcwBlAHIAXwBFAHEAdQBhAHQAaQBvAG4AcwBfAEkAbgBvAHIAZwBhAG4AaQBjAEMATwAyAC4AVgBFAEUAUgBHAF8ANQBfADEAXwAxAF8AMwBfAF8AMgBfAE0AYQBzAHMATwBmAFUAcgBlAGEASQBuAEkAbgBvAHIAZwBhAG4AaQBjAEYAZQByAHQAaQBsAGkAcwBlAHIAXwBOAEkAUgBSAGUAZgBlAHIAZQBuAGMAZQAiACwAIgBGAGUAcgB0AGkAbABpAHMAZQByAF8ARQBxAHUAYQB0AGkAbwBuAHMAXwBJAG4AbwByAGcAYQBuAGkAYwBDAE8AMgAuAFYARQBFAFIARwBfADUAXwAxAF8AMQBfADMAXwBfADIAXwBNAGEAcwBzAE8AZgBVAHIAZQBhAEkAbgBJAG4AbwByAGcAYQBuAGkAYwBGAGUAcgB0AGkAbABpAHMAZQByAF8ATABhAHQAZQB4AEUAcQB1AGEAdABpAG8AbgAiACwAIgBGAGUAcgB0AGkAbABpAHMAZQByAF8ARQBxAHUAYQB0AGkAbwBuAHMAXwBJAG4AbwByAGcAYQBuAGkAYwBDAE8AMgAuAFYARQBFAFIARwBfADUAXwAxAF8AMQBfADMAXwBfADIAXwBNAGEAcwBzAE8AZgBVAHIAZQBhAEkAbgBJAG4AbwByAGcAYQBuAGkAYwBGAGUAcgB0AGkAbABpAHMAZQByAF8AQQByAGcAdQBtAGUAbgB0AHMA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AFEJSONBlob>
</file>

<file path=customXml/itemProps1.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2.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3.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Home</vt:lpstr>
      <vt:lpstr>Results</vt:lpstr>
      <vt:lpstr>Input - Site</vt:lpstr>
      <vt:lpstr>Input - Inorganic fertiliser</vt:lpstr>
      <vt:lpstr>5.1.1.1-2 Inorganic fert N2O</vt:lpstr>
      <vt:lpstr>5.1.1.3-4 Inorganic fert CO2</vt:lpstr>
      <vt:lpstr>Constants - Fertiliser</vt:lpstr>
      <vt:lpstr>Constants - Poultry</vt:lpstr>
      <vt:lpstr>Constants - Common</vt:lpstr>
      <vt:lpstr>Constants - Livestock</vt:lpstr>
      <vt:lpstr>Acknowledgements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2026-04-27T04:32:42Z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