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B730731-1B8C-412B-8D83-C828B7B18303}" xr6:coauthVersionLast="47" xr6:coauthVersionMax="47" xr10:uidLastSave="{00000000-0000-0000-0000-000000000000}"/>
  <bookViews>
    <workbookView xWindow="4680" yWindow="4680" windowWidth="28800" windowHeight="15345" activeTab="4"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F60" i="69" l="1"/>
  <c r="E60" i="69"/>
  <c r="N65" i="69" s="1" a="1"/>
  <c r="N65" i="69" s="1"/>
  <c r="D60" i="69"/>
  <c r="F55" i="69"/>
  <c r="O65" i="69" s="1" a="1"/>
  <c r="O65" i="69" s="1"/>
  <c r="E55" i="69"/>
  <c r="D55" i="69"/>
  <c r="M65" i="69" l="1" a="1"/>
  <c r="M65" i="69" s="1"/>
  <c r="G35" i="69"/>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<sst xmlns="http://schemas.openxmlformats.org/spreadsheetml/2006/main" count="287" uniqueCount="186">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</sst>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140</v>
      </c>
      <c r="K7" s="24"/>
      <c r="L7" s="24"/>
    </row>
    <row r="8" spans="1:12" ht="20.100000000000001" customHeight="1" x14ac:dyDescent="0.3">
      <c r="A8" s="17" t="str">
        <f>HYPERLINK("#'Input - Site'!A1", "Site")</f>
        <v>Site</v>
      </c>
      <c r="C8" s="24"/>
      <c r="D8" s="31" t="s">
        <v>127</v>
      </c>
      <c r="E8" s="25"/>
      <c r="F8" s="31"/>
      <c r="G8" s="31"/>
      <c r="H8" s="99">
        <f>SUM(H7:H7)</f>
        <v>1035.8779200000004</v>
      </c>
      <c r="I8" s="99">
        <f>SUM(I7:I7)</f>
        <v>1208.5864000000001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abSelected="1"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36.995640000000009</v>
      </c>
      <c r="F67" s="91" t="str">
        <f>$E$46</f>
        <v>t CH4</v>
      </c>
      <c r="M67" s="89" t="s">
        <v>176</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1035.8779200000004</v>
      </c>
      <c r="F72" s="93" t="str" cm="1">
        <f t="array" ref="F72">Common_Equations.Common_ConvertN2OToCO2e_Unit()</f>
        <v>t CO2e</v>
      </c>
      <c r="M72" s="45" t="s">
        <v>113</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