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F8AA5591-96B4-4B5E-B75E-7B56B994D2B9}" xr6:coauthVersionLast="47" xr6:coauthVersionMax="47" xr10:uidLastSave="{00000000-0000-0000-0000-000000000000}"/>
  <bookViews>
    <workbookView xWindow="735" yWindow="345" windowWidth="36585" windowHeight="19950" firstSheet="2" activeTab="3" xr2:uid="{992023F3-CAB7-4E5B-A348-08D563A0EF40}"/>
  </bookViews>
  <sheets>
    <sheet name="Home" sheetId="71" r:id="rId1"/>
    <sheet name="Results" sheetId="13" r:id="rId2"/>
    <sheet name="Input - Site" sheetId="15" r:id="rId3"/>
    <sheet name="Input - Swine" sheetId="70" r:id="rId4"/>
    <sheet name="4.5.1.1-2 Methane" sheetId="69" r:id="rId5"/>
    <sheet name="4.2.1.3-4 Soil direct N20" sheetId="76" r:id="rId6"/>
    <sheet name="4.2.1.5-6 Soil Atmos Dep" sheetId="97" r:id="rId7"/>
    <sheet name="4.2.1.7-8 Soil leach runoff" sheetId="98" r:id="rId8"/>
    <sheet name="Constants - Swine" sheetId="79" r:id="rId9"/>
    <sheet name="Constants - Common" sheetId="103" r:id="rId10"/>
    <sheet name="Constants - Livestock" sheetId="43" r:id="rId11"/>
    <sheet name="Acknowledgements" sheetId="72" r:id="rId12"/>
    <sheet name="Tab template" sheetId="74" r:id="rId13"/>
  </sheets>
  <externalReferences>
    <externalReference r:id="rId14"/>
  </externalReference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ConvertStateCommonNameToAbbreviation">_xlfn.LAMBDA(_xlpm.StateCommonName,_xlpm.StateCommonNameArray,_xlpm.StateAbbreviationArray, _xlfn.XLOOKUP(_xlpm.StateCommonName, _xlpm.StateCommonNameArray, _xlpm.StateAbbreviationArray, ""))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LookupValueInTableOneColumnAndHeader">_xlfn.LAMBDA(_xlpm.LookupValue1,_xlpm.LookupValue2,_xlpm.LookupArray1,_xlpm.LookupArray2,_xlpm.ReturnArray, _xlfn.XLOOKUP(_xlpm.LookupValue1, _xlpm.LookupArray1, _xlfn.XLOOKUP(_xlpm.LookupValue2, _xlpm.LookupArray2, _xlpm.ReturnArray)))</definedName>
    <definedName name="Common_InputFunctions.Utility_LookupValueInTableTwoColumns">_xlfn.LAMBDA(_xlpm.LookupValue1,_xlpm.LookupValue2,_xlpm.LookupArray1,_xlpm.LookupArray2,_xlpm.ReturnArray, _xlfn.XLOOKUP(1, (_xlpm.LookupArray1 = _xlpm.LookupValue1) * (_xlpm.LookupArray2 = _xlpm.LookupValue2), _xlpm.ReturnArray, ""))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_LookupMCFState">_xlfn.LAMBDA(_xlpm.MMS,_xlpm.MMSArray,_xlpm.State,_xlpm.StateArray,_xlpm.ReturnArray, _xlfn.XLOOKUP(_xlpm.MMS, _xlpm.MMSArray, _xlfn.XLOOKUP(_xlpm.State, _xlpm.StateArray, _xlpm.ReturnArray)))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9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InputFunctions_PastureBeef.ConvertMonthlyCalvingToSeason">_xlfn.LAMBDA(_xlpm.Season,_xlpm.SumArray,_xlpm.CalvingMonthArray,_xlpm.MonthArray,_xlpm.MonthToSeasonArray, _xlfn.LET(_xlpm.MonthText, TEXT(_xlpm.CalvingMonthArray, "mmmm"), _xlpm.SeasonPerRow, _xlfn.XLOOKUP(_xlpm.MonthText, _xlpm.MonthArray, _xlpm.MonthToSeasonArray, "", 0), SUM(_xlpm.SumArray * (_xlpm.SeasonPerRow = _xlpm.Season))))</definedName>
    <definedName name="InputFunctions_PastureBeef.LookupLiveweightFromMonth">_xlfn.LAMBDA(_xlpm.State,_xlpm.Region,_xlpm.Month,_xlpm.LivestockClass,_xlpm.StateArray,_xlpm.RegionArray,_xlpm.SeasonArray,_xlpm.LivestockClassArray,_xlpm.ReturnArray,_xlpm.StateCommonNameArray,_xlpm.StateAbbreviationArray,_xlpm.MonthArray,_xlpm.MonthToSeasonArray, _xlfn.LET(_xlpm.Month, TEXT(_xlpm.Month, "mmmm"), _xlpm.State, _xlfn.XLOOKUP(_xlpm.State, _xlpm.StateCommonNameArray, _xlpm.StateAbbreviationArray), _xlpm.Season, _xlfn.XLOOKUP(_xlpm.Month, _xlpm.MonthArray, _xlpm.MonthToSeasonArray), _xlfn.XLOOKUP(1, (_xlpm.StateArray = _xlpm.State) * (_xlpm.RegionArray = _xlpm.Region) * (_xlpm.SeasonArray = _xlpm.Season), _xlfn.XLOOKUP(_xlpm.LivestockClass, _xlpm.LivestockClassArray, _xlpm.ReturnArray))))</definedName>
    <definedName name="InputFunctions_PastureBeef.LookupLiveweightFromSeason">_xlfn.LAMBDA(_xlpm.State,_xlpm.Region,_xlpm.Season,_xlpm.LivestockClass,_xlpm.StateArray,_xlpm.RegionArray,_xlpm.SeasonArray,_xlpm.LivestockClassArray,_xlpm.ReturnArray,_xlpm.StateCommonNameArray,_xlpm.StateAbbreviationArray, _xlfn.LET(_xlpm.State, _xlfn.XLOOKUP(_xlpm.State, _xlpm.StateCommonNameArray, _xlpm.StateAbbreviationArray), _xlfn.XLOOKUP(1, (_xlpm.StateArray = _xlpm.State) * (_xlpm.RegionArray = _xlpm.Region) * (_xlpm.SeasonArray = _xlpm.Season), _xlfn.XLOOKUP(_xlpm.LivestockClass, _xlpm.LivestockClassArray, _xlpm.ReturnArray))))</definedName>
    <definedName name="ManureManagement_Swine_Methane.VEERG_4_5_1_1__1_TotalAnnualMethaneEmissions">_xlfn.LAMBDA(_xlpm.Dj,_xlpm.Mmj,_xlpm.Nj, _xlpm.Dj * _xlpm.Mmj * _xlpm.Nj * 10 ^ -3)</definedName>
    <definedName name="ManureManagement_Swine_Methane.VEERG_4_5_1_1__1_TotalAnnualMethaneEmissions_Arguments">_xlfn.LAMBDA(_xlfn.MAKEARRAY(3, 2, _xlfn.LAMBDA(_xlpm.r,_xlpm.c, INDEX({"Dj","length of stay of each class of swine : days";"Mmj","methane production from manure in each swine class : kg CH4/head/day";"Nj","numbers of swine in each class : head"}, _xlpm.r, _xlpm.c))))</definedName>
    <definedName name="ManureManagement_Swine_Methane.VEERG_4_5_1_1__1_TotalAnnualMethaneEmissions_Source">_xlfn.LAMBDA("VEERG 2026: 4.5.1.1, Equation (1)")</definedName>
    <definedName name="ManureManagement_Swine_Methane.VEERG_4_5_1_1__1_TotalAnnualMethaneEmissions_Title">_xlfn.LAMBDA("Total annual methane emissions from manure management")</definedName>
    <definedName name="ManureManagement_Swine_Methane.VEERG_4_5_1_1__1_TotalAnnualMethaneEmissions_Unit">_xlfn.LAMBDA("t CH4")</definedName>
    <definedName name="ManureManagement_Swine_Methane.VEERG_4_5_1_1__1_TotalAnnualMethaneEmissions_Variable">_xlfn.LAMBDA("ECH4")</definedName>
    <definedName name="ManureManagement_Swine_Methane.VEERG_4_5_1_1__2_MethaneProductionPerClass_Arguments">_xlfn.LAMBDA(_xlfn.MAKEARRAY(1, 2, _xlfn.LAMBDA(_xlpm.r,_xlpm.c, INDEX({"MjmT","methane production from manure per class, MMS, and treatment stage : kg CH4/head/day"}, _xlpm.r, _xlpm.c))))</definedName>
    <definedName name="ManureManagement_Swine_Methane.VEERG_4_5_1_1__2_MethaneProductionPerClass_Source">_xlfn.LAMBDA("VEERG 2026: 4.5.1.1, Equation (2)")</definedName>
    <definedName name="ManureManagement_Swine_Methane.VEERG_4_5_1_1__2_MethaneProductionPerClass_Title">_xlfn.LAMBDA("Methane production from the manure of each class of swine")</definedName>
    <definedName name="ManureManagement_Swine_Methane.VEERG_4_5_1_1__2_MethaneProductionPerClass_Unit">_xlfn.LAMBDA("kg CH4/head/day")</definedName>
    <definedName name="ManureManagement_Swine_Methane.VEERG_4_5_1_1__2_MethaneProductionPerClass_Variable">_xlfn.LAMBDA("Mmj")</definedName>
    <definedName name="ManureManagement_Swine_Methane.VEERG_4_5_1_1__2_MethaneProductionPerClass_Variation">_xlfn.LAMBDA("VARIATION ON SOURCE: Split variable Mjm into MjmT1 and MjmT2 for stage 1 and 2 MMS.")</definedName>
    <definedName name="ManureManagement_Swine_Methane.VEERG_4_5_1_1__2_MethaneProductionPerClassVariation">_xlfn.LAMBDA(_xlpm.MjmT1,_xlpm.MjmT2, SUM(_xlpm.MjmT1, _xlpm.MjmT2))</definedName>
    <definedName name="ManureManagement_Swine_Methane.VEERG_4_5_1_1__3_Stage1MethaneProduction">_xlfn.LAMBDA(_xlpm.VSj,_xlpm.FVSjmT1,_xlpm.MCFim,_xlpm.BO,_xlpm.rho, _xlpm.VSj * _xlpm.FVSjmT1 * _xlpm.MCFim * _xlpm.BO * _xlpm.rho)</definedName>
    <definedName name="ManureManagement_Swine_Methane.VEERG_4_5_1_1__3_Stage1MethaneProduction_Arguments">_xlfn.LAMBDA(_xlfn.MAKEARRAY(5, 2, _xlfn.LAMBDA(_xlpm.r,_xlpm.c, INDEX({"VSj","volatile solid production from swine in each class : kg/head/day";"FVSjmT1","fraction of volatile solids in each primary system : fraction";"MCFim","methane conversion factor for temperate zone and system : fraction";"BO","emissions potential : m3 CH4/kg VS";"rho","density of methane : kg/m3"}, _xlpm.r, _xlpm.c))))</definedName>
    <definedName name="ManureManagement_Swine_Methane.VEERG_4_5_1_1__3_Stage1MethaneProduction_Source">_xlfn.LAMBDA("VEERG 2026: 4.5.1.1, Equation (3)")</definedName>
    <definedName name="ManureManagement_Swine_Methane.VEERG_4_5_1_1__3_Stage1MethaneProduction_Title">_xlfn.LAMBDA("Production of methane in treatment stage 1 MMS")</definedName>
    <definedName name="ManureManagement_Swine_Methane.VEERG_4_5_1_1__3_Stage1MethaneProduction_Unit">_xlfn.LAMBDA("kg CH4/head/day")</definedName>
    <definedName name="ManureManagement_Swine_Methane.VEERG_4_5_1_1__3_Stage1MethaneProduction_Variable">_xlfn.LAMBDA("MijmT1")</definedName>
    <definedName name="ManureManagement_Swine_Methane.VEERG_4_5_1_1__4_FractionVolatileSolidsPrimarySystem">_xlfn.LAMBDA(_xlpm.MMSjmT1,_xlpm.SSm, _xlfn.LET(_xlpm.ssm, IF(ISNUMBER(_xlpm.SSm), _xlpm.SSm, 0), _xlpm.MMSjmT1 * (1 - _xlpm.ssm)))</definedName>
    <definedName name="ManureManagement_Swine_Methane.VEERG_4_5_1_1__4_FractionVolatileSolidsPrimarySystem_Arguments">_xlfn.LAMBDA(_xlfn.MAKEARRAY(2, 2, _xlfn.LAMBDA(_xlpm.r,_xlpm.c, INDEX({"MMSjmT1","fraction of manure to each primary MMS for each class prior to solid separation : fraction";"SSm","fraction of volatile solids separated to solid storage for each MMS : fraction"}, _xlpm.r, _xlpm.c))))</definedName>
    <definedName name="ManureManagement_Swine_Methane.VEERG_4_5_1_1__4_FractionVolatileSolidsPrimarySystem_Source">_xlfn.LAMBDA("VEERG 2026: 4.5.1.1, Equation (4)")</definedName>
    <definedName name="ManureManagement_Swine_Methane.VEERG_4_5_1_1__4_FractionVolatileSolidsPrimarySystem_Title">_xlfn.LAMBDA("Fraction of volatile solids in each primary system other than solid storage")</definedName>
    <definedName name="ManureManagement_Swine_Methane.VEERG_4_5_1_1__4_FractionVolatileSolidsPrimarySystem_Unit">_xlfn.LAMBDA("fraction")</definedName>
    <definedName name="ManureManagement_Swine_Methane.VEERG_4_5_1_1__4_FractionVolatileSolidsPrimarySystem_Variable">_xlfn.LAMBDA("FVSjmT1")</definedName>
    <definedName name="ManureManagement_Swine_Methane.VEERG_4_5_1_1__4_FractionVolatileSolidsPrimarySystem_Variation">_xlfn.LAMBDA("VARIATION ON SOURCE: Added check to convert 'N/A' value to zero.")</definedName>
    <definedName name="ManureManagement_Swine_Methane.VEERG_4_5_1_1__5_FractionVolatileSolidsSolidStorage">_xlfn.LAMBDA(_xlpm.MMSjm4T1,_xlpm.MMSjm179T1,_xlpm.SSm, _xlfn.LET(_xlpm.MMSjm4T1, IF(ISNUMBER(_xlpm.MMSjm4T1), _xlpm.MMSjm4T1, 0), _xlpm.MMSjm179T1, IF(ISNUMBER(_xlpm.MMSjm179T1), _xlpm.MMSjm179T1, 0), _xlpm.SSm, IF(ISNUMBER(_xlpm.SSm), _xlpm.SSm, 0), _xlpm.MMSjm4T1 + (_xlpm.MMSjm179T1 * _xlpm.SSm)))</definedName>
    <definedName name="ManureManagement_Swine_Methane.VEERG_4_5_1_1__5_FractionVolatileSolidsSolidStorage_Arguments">_xlfn.LAMBDA(_xlfn.MAKEARRAY(3, 2, _xlfn.LAMBDA(_xlpm.r,_xlpm.c, INDEX({"MMSjm4T1","fraction of manure in solid storage primary system : fraction";"MMSjm179T1","fraction of manure in MMS 1, 7, and 9 in treatment stage 1 : fraction";"SSm","fraction of volatile solids separated to solid storage for each MMS : fraction"}, _xlpm.r, _xlpm.c))))</definedName>
    <definedName name="ManureManagement_Swine_Methane.VEERG_4_5_1_1__5_FractionVolatileSolidsSolidStorage_Source">_xlfn.LAMBDA("VEERG 2026: 4.5.1.1, Equation (5)")</definedName>
    <definedName name="ManureManagement_Swine_Methane.VEERG_4_5_1_1__5_FractionVolatileSolidsSolidStorage_Title">_xlfn.LAMBDA("Fraction of volatile solids in solid storage")</definedName>
    <definedName name="ManureManagement_Swine_Methane.VEERG_4_5_1_1__5_FractionVolatileSolidsSolidStorage_Unit">_xlfn.LAMBDA("fraction")</definedName>
    <definedName name="ManureManagement_Swine_Methane.VEERG_4_5_1_1__5_FractionVolatileSolidsSolidStorage_Variable">_xlfn.LAMBDA("FVSjm4T1")</definedName>
    <definedName name="ManureManagement_Swine_Methane.VEERG_4_5_1_1__6_Stage2MethaneProduction">_xlfn.LAMBDA(_xlpm.VSTjmT2,_xlpm.BO,_xlpm.MMSjmT2,_xlpm.MCFim,_xlpm.rho, _xlfn.LET(_xlpm.VSTjmT2, IF(ISNUMBER(_xlpm.VSTjmT2), _xlpm.VSTjmT2, 0), _xlpm.MMSjmT2, IF(ISNUMBER(_xlpm.MMSjmT2), _xlpm.MMSjmT2, 0), _xlpm.VSTjmT2 * _xlpm.BO * _xlpm.MMSjmT2 * _xlpm.MCFim * _xlpm.rho))</definedName>
    <definedName name="ManureManagement_Swine_Methane.VEERG_4_5_1_1__6_Stage2MethaneProduction_Arguments">_xlfn.LAMBDA(_xlfn.MAKEARRAY(6, 2, _xlfn.LAMBDA(_xlpm.r,_xlpm.c, INDEX({"VSTjmT2","volatile solids transferred to treatment stage 2 MMS : kg/head/day";"BO","emissions potential : m3 CH4/kg VS";"MMSjmT2","fraction of manure in each secondary system : fraction";"MCFim","methane conversion factor for temperate zone and system : fraction";"rho","density of methane : kg/m3";"i","state"}, _xlpm.r, _xlpm.c))))</definedName>
    <definedName name="ManureManagement_Swine_Methane.VEERG_4_5_1_1__6_Stage2MethaneProduction_Source">_xlfn.LAMBDA("VEERG 2026: 4.5.1.1, Equation (6)")</definedName>
    <definedName name="ManureManagement_Swine_Methane.VEERG_4_5_1_1__6_Stage2MethaneProduction_Title">_xlfn.LAMBDA("Production of methane in each treatment stage 2 MMS")</definedName>
    <definedName name="ManureManagement_Swine_Methane.VEERG_4_5_1_1__6_Stage2MethaneProduction_Unit">_xlfn.LAMBDA("kg CH4/head/day")</definedName>
    <definedName name="ManureManagement_Swine_Methane.VEERG_4_5_1_1__6_Stage2MethaneProduction_Variable">_xlfn.LAMBDA("MijmT2")</definedName>
    <definedName name="ManureManagement_Swine_Methane.VEERG_4_5_1_1__7_VolatileSolidsTransferredStage2">_xlfn.LAMBDA(_xlpm.VSj,_xlpm.FVSjmT1,_xlpm.VSLmT1, _xlpm.VSj * _xlpm.FVSjmT1 * (1 - _xlpm.VSLmT1))</definedName>
    <definedName name="ManureManagement_Swine_Methane.VEERG_4_5_1_1__7_VolatileSolidsTransferredStage2_Arguments">_xlfn.LAMBDA(_xlfn.MAKEARRAY(3, 2, _xlfn.LAMBDA(_xlpm.r,_xlpm.c, INDEX({"VSj","volatile solid production from swine in each class : kg/head/day";"FVSjmT1","fraction of volatile solids in each primary system : fraction";"VSLmT1","fraction of volatile solids lost during storage in the primary system : fraction"}, _xlpm.r, _xlpm.c))))</definedName>
    <definedName name="ManureManagement_Swine_Methane.VEERG_4_5_1_1__7_VolatileSolidsTransferredStage2_Source">_xlfn.LAMBDA("VEERG 2026: 4.5.1.1, Equation (7)")</definedName>
    <definedName name="ManureManagement_Swine_Methane.VEERG_4_5_1_1__7_VolatileSolidsTransferredStage2_Title">_xlfn.LAMBDA("Volatile solids transferred to treatment stage 2 MMS")</definedName>
    <definedName name="ManureManagement_Swine_Methane.VEERG_4_5_1_1__7_VolatileSolidsTransferredStage2_Unit">_xlfn.LAMBDA("kg VS")</definedName>
    <definedName name="ManureManagement_Swine_Methane.VEERG_4_5_1_1__7_VolatileSolidsTransferredStage2_Variable">_xlfn.LAMBDA("VSTijmT2")</definedName>
    <definedName name="MMS_PastureBeef_Soil_AtmosphericDeposition_Equations.VEERG_4_2_1_5__1_AtmosphericDepositionEmissionsFromUrineAndDungOnPasture">_xlfn.LAMBDA(_xlpm.M_vol,_xlpm.EF_N2O,_xlpm.C_N2O, _xlpm.M_vol * _xlpm.EF_N2O * _xlpm.C_N2O * 10 ^ -3)</definedName>
    <definedName name="MMS_PastureBeef_Soil_AtmosphericDeposition_Equations.VEERG_4_2_1_5__1_AtmosphericDepositionEmissionsFromUrineAndDungOnPasture_Arguments">_xlfn.LAMBDA(_xlfn.MAKEARRAY(6, 2, _xlfn.LAMBDA(_xlpm.r,_xlpm.c, INDEX({"M_vol","mass of nitrogen volatilised from urine and faeces deposited on pasture (kg N)";"EF_N2O","nitrous oxide emission factor for atmospheric deposition (kg N2O-N/kg N)";"C_N2O","factor to convert elemental mass of N2O to molecular mass";"j","production system";"i","irrigation method";"r","rainfall zone"}, _xlpm.r, _xlpm.c))))</definedName>
    <definedName name="MMS_PastureBeef_Soil_AtmosphericDeposition_Equations.VEERG_4_2_1_5__1_AtmosphericDepositionEmissionsFromUrineAndDungOnPasture_LatexEquation">_xlfn.LAMBDA("E_{N2O,ad}=M_{vol}\times EF_{N2O}\times C_{N2O}\times 10^{-3}")</definedName>
    <definedName name="MMS_PastureBeef_Soil_AtmosphericDeposition_Equations.VEERG_4_2_1_5__1_AtmosphericDepositionEmissionsFromUrineAndDungOnPasture_NIRReference">_xlfn.LAMBDA("")</definedName>
    <definedName name="MMS_PastureBeef_Soil_AtmosphericDeposition_Equations.VEERG_4_2_1_5__1_AtmosphericDepositionEmissionsFromUrineAndDungOnPasture_Source">_xlfn.LAMBDA("VEERG 2026: 4.2.1.5, Equation (1)")</definedName>
    <definedName name="MMS_PastureBeef_Soil_AtmosphericDeposition_Equations.VEERG_4_2_1_5__1_AtmosphericDepositionEmissionsFromUrineAndDungOnPasture_Title">_xlfn.LAMBDA("Atmospheric deposition emissions from urine and dung deposited on pasture")</definedName>
    <definedName name="MMS_PastureBeef_Soil_AtmosphericDeposition_Equations.VEERG_4_2_1_5__1_AtmosphericDepositionEmissionsFromUrineAndDungOnPasture_Unit">_xlfn.LAMBDA("t N2O")</definedName>
    <definedName name="MMS_PastureBeef_Soil_AtmosphericDeposition_Equations.VEERG_4_2_1_5__1_AtmosphericDepositionEmissionsFromUrineAndDungOnPasture_Variable">_xlfn.LAMBDA("E_N2Oad")</definedName>
    <definedName name="MMS_PastureBeef_Soil_AtmosphericDeposition_Equations.VEERG_4_2_1_5__2_MassOfNitrogenVolatilisedOnPasture">_xlfn.LAMBDA(_xlpm.AE,_xlpm.FracGASMsoil, _xlpm.AE * _xlpm.FracGASMsoil)</definedName>
    <definedName name="MMS_PastureBeef_Soil_AtmosphericDeposition_Equations.VEERG_4_2_1_5__2_MassOfNitrogenVolatilisedOnPasture_Arguments">_xlfn.LAMBDA(_xlfn.MAKEARRAY(2, 2, _xlfn.LAMBDA(_xlpm.r,_xlpm.c, INDEX({"AE","total mass of nitrogen excreted on PRP for beef cattle (kg N)";"FracGASMsoil","fraction of nitrogen volatilised from urine and faeces deposited on pasture ((kg NH3-N + NOx-N)/kg N)"}, _xlpm.r, _xlpm.c))))</definedName>
    <definedName name="MMS_PastureBeef_Soil_AtmosphericDeposition_Equations.VEERG_4_2_1_5__2_MassOfNitrogenVolatilisedOnPasture_LatexEquation">_xlfn.LAMBDA("M_{vol}=AE\times FracGASMsoil")</definedName>
    <definedName name="MMS_PastureBeef_Soil_AtmosphericDeposition_Equations.VEERG_4_2_1_5__2_MassOfNitrogenVolatilisedOnPasture_NIRReference">_xlfn.LAMBDA("")</definedName>
    <definedName name="MMS_PastureBeef_Soil_AtmosphericDeposition_Equations.VEERG_4_2_1_5__2_MassOfNitrogenVolatilisedOnPasture_Source">_xlfn.LAMBDA("VEERG 2026: 4.2.1.5, Equation (2)")</definedName>
    <definedName name="MMS_PastureBeef_Soil_AtmosphericDeposition_Equations.VEERG_4_2_1_5__2_MassOfNitrogenVolatilisedOnPasture_Title">_xlfn.LAMBDA("Mass of nitrogen volatilised")</definedName>
    <definedName name="MMS_PastureBeef_Soil_AtmosphericDeposition_Equations.VEERG_4_2_1_5__2_MassOfNitrogenVolatilisedOnPasture_Unit">_xlfn.LAMBDA("kg N")</definedName>
    <definedName name="MMS_PastureBeef_Soil_AtmosphericDeposition_Equations.VEERG_4_2_1_5__2_MassOfNitrogenVolatilisedOnPasture_Variable">_xlfn.LAMBDA("M_vol")</definedName>
    <definedName name="MMS_PastureBeef_Soil_LeachingAndRunoff.VEERG_4_2_1_7__1_LeachingAndRunoffEmissionsFromUrineAndDungOnPasture">_xlfn.LAMBDA(_xlpm.M_leach,_xlpm.EF_leach,_xlpm.C_N2O, _xlpm.M_leach * _xlpm.EF_leach * _xlpm.C_N2O * 10 ^ -3)</definedName>
    <definedName name="MMS_PastureBeef_Soil_LeachingAndRunoff.VEERG_4_2_1_7__1_LeachingAndRunoffEmissionsFromUrineAndDungOnPasture_Arguments">_xlfn.LAMBDA(_xlfn.MAKEARRAY(3, 2, _xlfn.LAMBDA(_xlpm.r,_xlpm.c, INDEX({"M_leach","mass of nitrogen lost to leaching and runoff (kg N)";"EF_leach","emission factor for leaching and runoff (kg N2O-N/kg N)";"C_N2O","factor to convert elemental mass of N2O to molecular mass"}, _xlpm.r, _xlpm.c))))</definedName>
    <definedName name="MMS_PastureBeef_Soil_LeachingAndRunoff.VEERG_4_2_1_7__1_LeachingAndRunoffEmissionsFromUrineAndDungOnPasture_LatexEquation">_xlfn.LAMBDA("E_{N2O,leach}=M_{leach}\times EF_{leach}\times C_{N2O}\times 10^{-3}")</definedName>
    <definedName name="MMS_PastureBeef_Soil_LeachingAndRunoff.VEERG_4_2_1_7__1_LeachingAndRunoffEmissionsFromUrineAndDungOnPasture_NIRReference">_xlfn.LAMBDA("")</definedName>
    <definedName name="MMS_PastureBeef_Soil_LeachingAndRunoff.VEERG_4_2_1_7__1_LeachingAndRunoffEmissionsFromUrineAndDungOnPasture_Source">_xlfn.LAMBDA("VEERG 2026: 4.2.1.7, Equation (1)")</definedName>
    <definedName name="MMS_PastureBeef_Soil_LeachingAndRunoff.VEERG_4_2_1_7__1_LeachingAndRunoffEmissionsFromUrineAndDungOnPasture_Title">_xlfn.LAMBDA("Leaching and runoff emissions from urine and dung deposited on pasture")</definedName>
    <definedName name="MMS_PastureBeef_Soil_LeachingAndRunoff.VEERG_4_2_1_7__1_LeachingAndRunoffEmissionsFromUrineAndDungOnPasture_Unit">_xlfn.LAMBDA("t N2O")</definedName>
    <definedName name="MMS_PastureBeef_Soil_LeachingAndRunoff.VEERG_4_2_1_7__1_LeachingAndRunoffEmissionsFromUrineAndDungOnPasture_Variable">_xlfn.LAMBDA("E_N2Oleach")</definedName>
    <definedName name="MMS_PastureBeef_Soil_LeachingAndRunoff.VEERG_4_2_1_7__2_MassOfNitrogenLostToLeachingAndRunoffOnPasture">_xlfn.LAMBDA(_xlpm.AE,_xlpm.FracWet,_xlpm.FracLEACH, _xlpm.AE * _xlpm.FracWet * _xlpm.FracLEACH)</definedName>
    <definedName name="MMS_PastureBeef_Soil_LeachingAndRunoff.VEERG_4_2_1_7__2_MassOfNitrogenLostToLeachingAndRunoffOnPasture_Arguments">_xlfn.LAMBDA(_xlfn.MAKEARRAY(6, 2, _xlfn.LAMBDA(_xlpm.r,_xlpm.c, INDEX({"AE","total mass of nitrogen excreted on PRP for beef cattle (kg N)";"FracWet","fraction of N available for leaching and runoff";"FracLEACH","fraction of all N that is lost through leaching and runoff";"z","location in leaching zone";"j","production system";"ir","irrigation method"}, _xlpm.r, _xlpm.c))))</definedName>
    <definedName name="MMS_PastureBeef_Soil_LeachingAndRunoff.VEERG_4_2_1_7__2_MassOfNitrogenLostToLeachingAndRunoffOnPasture_LatexEquation">_xlfn.LAMBDA("M_{leach}=AE\times FracWet\times FracLEACH")</definedName>
    <definedName name="MMS_PastureBeef_Soil_LeachingAndRunoff.VEERG_4_2_1_7__2_MassOfNitrogenLostToLeachingAndRunoffOnPasture_NIRReference">_xlfn.LAMBDA("")</definedName>
    <definedName name="MMS_PastureBeef_Soil_LeachingAndRunoff.VEERG_4_2_1_7__2_MassOfNitrogenLostToLeachingAndRunoffOnPasture_Source">_xlfn.LAMBDA("VEERG 2026: 4.2.1.7, Equation (2)")</definedName>
    <definedName name="MMS_PastureBeef_Soil_LeachingAndRunoff.VEERG_4_2_1_7__2_MassOfNitrogenLostToLeachingAndRunoffOnPasture_Title">_xlfn.LAMBDA("Mass of nitrogen lost to leaching and runoff")</definedName>
    <definedName name="MMS_PastureBeef_Soil_LeachingAndRunoff.VEERG_4_2_1_7__2_MassOfNitrogenLostToLeachingAndRunoffOnPasture_Unit">_xlfn.LAMBDA("kg N")</definedName>
    <definedName name="MMS_PastureBeef_Soil_LeachingAndRunoff.VEERG_4_2_1_7__2_MassOfNitrogenLostToLeachingAndRunoffOnPasture_Variable">_xlfn.LAMBDA("M_leach")</definedName>
    <definedName name="MMS_PastureBeef_Soil_N2ODirect_Equations.VEERG_4_2_1_3__1_DirectNitrousOxideEmissionsOnPasture">_xlfn.LAMBDA(_xlpm.AE,_xlpm.EF_PRP,_xlpm.C_N2O, _xlpm.AE * _xlpm.EF_PRP * _xlpm.C_N2O * 10 ^ -3)</definedName>
    <definedName name="MMS_PastureBeef_Soil_N2ODirect_Equations.VEERG_4_2_1_3__1_DirectNitrousOxideEmissionsOnPasture_Arguments">_xlfn.LAMBDA(_xlfn.MAKEARRAY(4, 2, _xlfn.LAMBDA(_xlpm.r,_xlpm.c, INDEX({"AE","total mass of nitrogen excreted on PRP for beef cattle (kg N)";"EF_PRP","emission factor for nitrous oxide from urine and dung deposited to soil (kg N2O-N/kg N deposited)";"C_N2O","factor to convert elemental mass of nitrous oxide to molecular mass";"z","wet or dry climate zone"}, _xlpm.r, _xlpm.c))))</definedName>
    <definedName name="MMS_PastureBeef_Soil_N2ODirect_Equations.VEERG_4_2_1_3__1_DirectNitrousOxideEmissionsOnPasture_LatexEquation">_xlfn.LAMBDA("E_{N2O,dir}=AE\times EF_{PRP}\times C_{N2O}\times 10^{-3}")</definedName>
    <definedName name="MMS_PastureBeef_Soil_N2ODirect_Equations.VEERG_4_2_1_3__1_DirectNitrousOxideEmissionsOnPasture_NIRReference">_xlfn.LAMBDA("")</definedName>
    <definedName name="MMS_PastureBeef_Soil_N2ODirect_Equations.VEERG_4_2_1_3__1_DirectNitrousOxideEmissionsOnPasture_Source">_xlfn.LAMBDA("VEERG 2026: 4.2.1.3, Equation (1)")</definedName>
    <definedName name="MMS_PastureBeef_Soil_N2ODirect_Equations.VEERG_4_2_1_3__1_DirectNitrousOxideEmissionsOnPasture_Title">_xlfn.LAMBDA("Total annual direct nitrous oxide emissions from agricultural soils from deposition of urine and dung")</definedName>
    <definedName name="MMS_PastureBeef_Soil_N2ODirect_Equations.VEERG_4_2_1_3__1_DirectNitrousOxideEmissionsOnPasture_Unit">_xlfn.LAMBDA("t N2O")</definedName>
    <definedName name="MMS_PastureBeef_Soil_N2ODirect_Equations.VEERG_4_2_1_3__1_DirectNitrousOxideEmissionsOnPasture_Variable">_xlfn.LAMBDA("E_N2Odir")</definedName>
    <definedName name="MMS_PastureBeef_Soil_N2ODirect_Equations.VEERG_4_2_1_3__2_TotalNitrogenExcretedToPastureRangeAndPaddock">_xlfn.LAMBDA(_xlpm.N_jkl,_xlpm.NE_jkl,_xlpm.D_j, SUM((_xlpm.N_jkl * _xlpm.NE_jkl) * _xlpm.D_j))</definedName>
    <definedName name="MMS_PastureBeef_Soil_N2ODirect_Equations.VEERG_4_2_1_3__2_TotalNitrogenExcretedToPastureRangeAndPaddock_Arguments">_xlfn.LAMBDA(_xlfn.MAKEARRAY(3, 2, _xlfn.LAMBDA(_xlpm.r,_xlpm.c, INDEX({"N_jkl","number of beef cattle by time-period, class and subclass (head)";"NE_jkl","nitrogen excreted in each time-period, by each class and subclass (kg N/head/day)";"D_j","number of days in each time-period (days)"}, _xlpm.r, _xlpm.c))))</definedName>
    <definedName name="MMS_PastureBeef_Soil_N2ODirect_Equations.VEERG_4_2_1_3__2_TotalNitrogenExcretedToPastureRangeAndPaddock_LatexEquation">_xlfn.LAMBDA("AE=\sum_{j}\sum_{k}\sum_{l}(N_{jkl}\times NE_{jkl}\times D_j)")</definedName>
    <definedName name="MMS_PastureBeef_Soil_N2ODirect_Equations.VEERG_4_2_1_3__2_TotalNitrogenExcretedToPastureRangeAndPaddock_NIRReference">_xlfn.LAMBDA("")</definedName>
    <definedName name="MMS_PastureBeef_Soil_N2ODirect_Equations.VEERG_4_2_1_3__2_TotalNitrogenExcretedToPastureRangeAndPaddock_Source">_xlfn.LAMBDA("VEERG 2026: 4.2.1.3, Equation (2)")</definedName>
    <definedName name="MMS_PastureBeef_Soil_N2ODirect_Equations.VEERG_4_2_1_3__2_TotalNitrogenExcretedToPastureRangeAndPaddock_Title">_xlfn.LAMBDA("Total nitrogen excreted to pasture, range and paddock")</definedName>
    <definedName name="MMS_PastureBeef_Soil_N2ODirect_Equations.VEERG_4_2_1_3__2_TotalNitrogenExcretedToPastureRangeAndPaddock_Unit">_xlfn.LAMBDA("kg N")</definedName>
    <definedName name="MMS_PastureBeef_Soil_N2ODirect_Equations.VEERG_4_2_1_3__2_TotalNitrogenExcretedToPastureRangeAndPaddock_Variable">_xlfn.LAMBDA("AE")</definedName>
    <definedName name="MMS_PastureBeef_Soil_N2ODirect_Equations.VEERG_4_2_1_3__3_NitrogenExcreted">_xlfn.LAMBDA(_xlpm.I_jkl,_xlpm.CP_j,_xlpm.MC_jk136,_xlpm.NR_jkl,_xlpm.W_jkl, ((_xlpm.I_jkl * _xlpm.CP_j) / 6.25) + ((0.032 * _xlpm.MC_jk136) / 6.38) - _xlpm.NR_jkl - ((1.1 * 10 ^ -4 * _xlpm.W_jkl ^ 0.75) / 6.25))</definedName>
    <definedName name="MMS_PastureBeef_Soil_N2ODirect_Equations.VEERG_4_2_1_3__3_NitrogenExcreted_Arguments">_xlfn.LAMBDA(_xlfn.MAKEARRAY(5, 2, _xlfn.LAMBDA(_xlpm.r,_xlpm.c, INDEX({"I_jkl","dry matter intake as calculated in Chapter 3 Section 3.2.1 (kg DM/head/day)";"CP_j","crude protein content of dry matter intake";"MC_jk136","milk intake (kg/head/day)";"NR_jkl","the amount of nitrogen retained by the body (kg N/head/day)";"W_jkl","liveweight (kg/head)"}, _xlpm.r, _xlpm.c))))</definedName>
    <definedName name="MMS_PastureBeef_Soil_N2ODirect_Equations.VEERG_4_2_1_3__3_NitrogenExcreted_LatexEquation">_xlfn.LAMBDA("NE_{jkl}= (I_{jkl}\times CP_j \div 6.25)  + (0.032\times MC_{jk=1,3,6} \div 6.38)  - NR_{jkl} - \left[ (1.1\times 10^{-4}\times W_{jkl}^{0.75}) \div  6.25 \right]")</definedName>
    <definedName name="MMS_PastureBeef_Soil_N2ODirect_Equations.VEERG_4_2_1_3__3_NitrogenExcreted_NIRReference">_xlfn.LAMBDA("")</definedName>
    <definedName name="MMS_PastureBeef_Soil_N2ODirect_Equations.VEERG_4_2_1_3__3_NitrogenExcreted_Source">_xlfn.LAMBDA("VEERG 2026: 4.2.1.3, Equation (3)")</definedName>
    <definedName name="MMS_PastureBeef_Soil_N2ODirect_Equations.VEERG_4_2_1_3__3_NitrogenExcreted_Title">_xlfn.LAMBDA("Nitrogen excreted")</definedName>
    <definedName name="MMS_PastureBeef_Soil_N2ODirect_Equations.VEERG_4_2_1_3__3_NitrogenExcreted_Unit">_xlfn.LAMBDA("kg N/head/day")</definedName>
    <definedName name="MMS_PastureBeef_Soil_N2ODirect_Equations.VEERG_4_2_1_3__3_NitrogenExcreted_Variable">_xlfn.LAMBDA("NE_jkl")</definedName>
    <definedName name="MMS_PastureBeef_Soil_N2ODirect_Equations.VEERG_4_2_1_3__4_NitrogenRetainedByBody">_xlfn.LAMBDA(_xlpm.MP_jk5,_xlpm.L_jkl,_xlpm.Z_jkl,_xlpm.LWG_jkl, ((0.032 * _xlpm.MP_jk5) / 6.38) + (((0.212 - 0.008 * (_xlpm.L_jkl - 2) - ((0.14 - 0.008 * (_xlpm.L_jkl - 2)) / (1 + EXP(-6 * (_xlpm.Z_jkl - 0.4))))) * (_xlpm.LWG_jkl * 0.92)) / 6.25))</definedName>
    <definedName name="MMS_PastureBeef_Soil_N2ODirect_Equations.VEERG_4_2_1_3__4_NitrogenRetainedByBody_Arguments">_xlfn.LAMBDA(_xlfn.MAKEARRAY(4, 2, _xlfn.LAMBDA(_xlpm.r,_xlpm.c, INDEX({"MP_jk5","milk production (kg/head/day)";"L_jkl","intake relative to that needed for maintenance";"Z_jkl","relative size";"LWG_jkl","liveweight gain (kg/head/day)"}, _xlpm.r, _xlpm.c))))</definedName>
    <definedName name="MMS_PastureBeef_Soil_N2ODirect_Equations.VEERG_4_2_1_3__4_NitrogenRetainedByBody_LatexEquation">_xlfn.LAMBDA("NR_{jkl}=(0.032 \times MP_{jk=5} \div 6.38) + \left { \left { 0.212 - 0.008 \times (L_{jkl} -2) - \left[ \frac{0.140-0.008 \times (L_{jkl} - 2)}{1+e^{(-6 \times (Z_{jkl}-0.4))}} \right] \right} \times (LWG_{jkl} \times 0.92) \right} \div 6.25")</definedName>
    <definedName name="MMS_PastureBeef_Soil_N2ODirect_Equations.VEERG_4_2_1_3__4_NitrogenRetainedByBody_NIRReference">_xlfn.LAMBDA("")</definedName>
    <definedName name="MMS_PastureBeef_Soil_N2ODirect_Equations.VEERG_4_2_1_3__4_NitrogenRetainedByBody_Source">_xlfn.LAMBDA("VEERG 2026: 4.2.1.3, Equation (4)")</definedName>
    <definedName name="MMS_PastureBeef_Soil_N2ODirect_Equations.VEERG_4_2_1_3__4_NitrogenRetainedByBody_Title">_xlfn.LAMBDA("Amount of nitrogen retained by the body")</definedName>
    <definedName name="MMS_PastureBeef_Soil_N2ODirect_Equations.VEERG_4_2_1_3__4_NitrogenRetainedByBody_Unit">_xlfn.LAMBDA("kg N/head/day")</definedName>
    <definedName name="MMS_PastureBeef_Soil_N2ODirect_Equations.VEERG_4_2_1_3__4_NitrogenRetainedByBody_Variable">_xlfn.LAMBDA("NR_jkl")</definedName>
    <definedName name="MMS_PastureBeef_Soil_N2ODirect_Equations.VEERG_4_2_1_3__5_MilkProductionForCalvingSeason">_xlfn.LAMBDA(_xlpm.LC_jk5,_xlpm.DMP_jk5, _xlpm.LC_jk5 * _xlpm.DMP_jk5)</definedName>
    <definedName name="MMS_PastureBeef_Soil_N2ODirect_Equations.VEERG_4_2_1_3__5_MilkProductionForCalvingSeason_Arguments">_xlfn.LAMBDA(_xlfn.MAKEARRAY(3, 2, _xlfn.LAMBDA(_xlpm.r,_xlpm.c, INDEX({"LC_jk5","proportion of cows greater than 2 years lactating for the season of calving and season after calving expressed as a fraction";"DMP_jk5","daily milk production (kg/head/day)";"b","breed of cattle"}, _xlpm.r, _xlpm.c))))</definedName>
    <definedName name="MMS_PastureBeef_Soil_N2ODirect_Equations.VEERG_4_2_1_3__5_MilkProductionForCalvingSeason_ArgumentsVariation">_xlfn.LAMBDA(_xlfn.MAKEARRAY(5, 2, _xlfn.LAMBDA(_xlpm.r,_xlpm.c, INDEX({"LC_jk5curr","proportion of cows greater than 2 years lactating for the season of calving";"LC_jk5prev","proportion of cows greater than 2 years lactating for the season after calving";"DMP_jk5calv","daily milk production for the season of calving (kg/head/day)";"DMP_jk5after","daily milk production for the season after calving (kg/head/day)";"b","breed of cattle"}, _xlpm.r, _xlpm.c))))</definedName>
    <definedName name="MMS_PastureBeef_Soil_N2ODirect_Equations.VEERG_4_2_1_3__5_MilkProductionForCalvingSeason_LatexEquation">_xlfn.LAMBDA("MP_{jk=5}=LC_{jk=5}\times DMP_{jk=5}")</definedName>
    <definedName name="MMS_PastureBeef_Soil_N2ODirect_Equations.VEERG_4_2_1_3__5_MilkProductionForCalvingSeason_LatexEquationVariation">_xlfn.LAMBDA("MP_{jk=5}=(LC_{jk=5,current}\times DMP_{jk=5,calv})+(LC_{jk=5,prev}\times DMP_{jk=5,after})")</definedName>
    <definedName name="MMS_PastureBeef_Soil_N2ODirect_Equations.VEERG_4_2_1_3__5_MilkProductionForCalvingSeason_NIRReference">_xlfn.LAMBDA("")</definedName>
    <definedName name="MMS_PastureBeef_Soil_N2ODirect_Equations.VEERG_4_2_1_3__5_MilkProductionForCalvingSeason_Source">_xlfn.LAMBDA("VEERG 2026: 4.2.1.3, Equation (5)")</definedName>
    <definedName name="MMS_PastureBeef_Soil_N2ODirect_Equations.VEERG_4_2_1_3__5_MilkProductionForCalvingSeason_Title">_xlfn.LAMBDA("Milk production for the season of calving and season after calving")</definedName>
    <definedName name="MMS_PastureBeef_Soil_N2ODirect_Equations.VEERG_4_2_1_3__5_MilkProductionForCalvingSeason_Unit">_xlfn.LAMBDA("kg/head/day")</definedName>
    <definedName name="MMS_PastureBeef_Soil_N2ODirect_Equations.VEERG_4_2_1_3__5_MilkProductionForCalvingSeason_Variable">_xlfn.LAMBDA("MP_jk5")</definedName>
    <definedName name="MMS_PastureBeef_Soil_N2ODirect_Equations.VEERG_4_2_1_3__5_MilkProductionForCalvingSeason_Variation">_xlfn.LAMBDA("VARIATION ON SOURCE: Split LC and DMP into calving season and after calving season values.")</definedName>
    <definedName name="MMS_PastureBeef_Soil_N2ODirect_Equations.VEERG_4_2_1_3__5_MilkProductionForCalvingSeasonVariation">_xlfn.LAMBDA(_xlpm.LC_jk5curr,_xlpm.LC_jk5prev,_xlpm.DMP_jk5calv,_xlpm.DMP_jk5after, (_xlpm.LC_jk5curr * _xlpm.DMP_jk5calv) + (_xlpm.LC_jk5prev * _xlpm.DMP_jk5after))</definedName>
    <definedName name="MMS_PastureBeef_Soil_N2ODirect_Equations.VEERG_4_2_1_3__6_IntakeRelativeToMaintenance">_xlfn.LAMBDA(_xlpm.I_jkl,_xlpm.W_jkl, _xlpm.I_jkl / ((1.185 + 0.00454 * _xlpm.W_jkl - 0.0000026 * _xlpm.W_jkl ^ 2) ^ 2))</definedName>
    <definedName name="MMS_PastureBeef_Soil_N2ODirect_Equations.VEERG_4_2_1_3__6_IntakeRelativeToMaintenance_Arguments">_xlfn.LAMBDA(_xlfn.MAKEARRAY(2, 2, _xlfn.LAMBDA(_xlpm.r,_xlpm.c, INDEX({"I_jkl","dry matter intake as calculated in Chapter 3 Section 3.2.1 (kg DM/head/day)";"W_jkl","liveweight (kg/head)"}, _xlpm.r, _xlpm.c))))</definedName>
    <definedName name="MMS_PastureBeef_Soil_N2ODirect_Equations.VEERG_4_2_1_3__6_IntakeRelativeToMaintenance_LatexEquation">_xlfn.LAMBDA("L_{jkl}=\frac{I_{jkl}}{(1.185+0.00454\times W_{jkl}-0.0000026\times W_{jkl}^{2})^{2}}")</definedName>
    <definedName name="MMS_PastureBeef_Soil_N2ODirect_Equations.VEERG_4_2_1_3__6_IntakeRelativeToMaintenance_NIRReference">_xlfn.LAMBDA("")</definedName>
    <definedName name="MMS_PastureBeef_Soil_N2ODirect_Equations.VEERG_4_2_1_3__6_IntakeRelativeToMaintenance_Source">_xlfn.LAMBDA("VEERG 2026: 4.2.1.3, Equation (6)")</definedName>
    <definedName name="MMS_PastureBeef_Soil_N2ODirect_Equations.VEERG_4_2_1_3__6_IntakeRelativeToMaintenance_Title">_xlfn.LAMBDA("Intake relative to that needed for maintenance")</definedName>
    <definedName name="MMS_PastureBeef_Soil_N2ODirect_Equations.VEERG_4_2_1_3__6_IntakeRelativeToMaintenance_Unit">_xlfn.LAMBDA("ratio")</definedName>
    <definedName name="MMS_PastureBeef_Soil_N2ODirect_Equations.VEERG_4_2_1_3__6_IntakeRelativeToMaintenance_Variable">_xlfn.LAMBDA("L_jkl")</definedName>
    <definedName name="MMS_PastureBeef_Soil_N2ODirect_Equations.VEERG_4_2_1_3__7_RelativeSize">_xlfn.LAMBDA(_xlpm.W_jkl,_xlpm.SRW_k, _xlpm.W_jkl / _xlpm.SRW_k)</definedName>
    <definedName name="MMS_PastureBeef_Soil_N2ODirect_Equations.VEERG_4_2_1_3__7_RelativeSize_Arguments">_xlfn.LAMBDA(_xlfn.MAKEARRAY(3, 2, _xlfn.LAMBDA(_xlpm.r,_xlpm.c, INDEX({"W_jkl","liveweight (kg)";"SRW_k","standard reference weight (kg)";"i","state"}, _xlpm.r, _xlpm.c))))</definedName>
    <definedName name="MMS_PastureBeef_Soil_N2ODirect_Equations.VEERG_4_2_1_3__7_RelativeSize_LatexEquation">_xlfn.LAMBDA("Z_{jkl}=\frac{W_{jkl}}{SRW_k}")</definedName>
    <definedName name="MMS_PastureBeef_Soil_N2ODirect_Equations.VEERG_4_2_1_3__7_RelativeSize_NIRReference">_xlfn.LAMBDA("")</definedName>
    <definedName name="MMS_PastureBeef_Soil_N2ODirect_Equations.VEERG_4_2_1_3__7_RelativeSize_Source">_xlfn.LAMBDA("VEERG 2026: 4.2.1.3, Equation (7)")</definedName>
    <definedName name="MMS_PastureBeef_Soil_N2ODirect_Equations.VEERG_4_2_1_3__7_RelativeSize_Title">_xlfn.LAMBDA("Relative size of the cattle")</definedName>
    <definedName name="MMS_PastureBeef_Soil_N2ODirect_Equations.VEERG_4_2_1_3__7_RelativeSize_Unit">_xlfn.LAMBDA("ratio")</definedName>
    <definedName name="MMS_PastureBeef_Soil_N2ODirect_Equations.VEERG_4_2_1_3__7_RelativeSize_Variable">_xlfn.LAMBDA("Z_jkl")</definedName>
    <definedName name="MMS_Swine_Methane_Equations.VEERG_4_5_1_1__1_TotalAnnualMethaneEmissions">_xlfn.LAMBDA(_xlpm.Dj,_xlpm.Mmj,_xlpm.Nj, _xlpm.Dj * _xlpm.Mmj * _xlpm.Nj * 10 ^ -3)</definedName>
    <definedName name="MMS_Swine_Methane_Equations.VEERG_4_5_1_1__1_TotalAnnualMethaneEmissions_Arguments">_xlfn.LAMBDA(_xlfn.MAKEARRAY(3, 2, _xlfn.LAMBDA(_xlpm.r,_xlpm.c, INDEX({"Dj","length of stay of each class of swine : days";"Mmj","methane production from manure in each swine class : kg CH4/head/day";"Nj","numbers of swine in each class : head"}, _xlpm.r, _xlpm.c))))</definedName>
    <definedName name="MMS_Swine_Methane_Equations.VEERG_4_5_1_1__1_TotalAnnualMethaneEmissions_LatexEquation">_xlfn.LAMBDA("{E}_{CH4}=\sum_{j}(D_{j}\times M_{mj}\times N_{j})\times10^{-3}")</definedName>
    <definedName name="MMS_Swine_Methane_Equations.VEERG_4_5_1_1__1_TotalAnnualMethaneEmissions_NIRReference">_xlfn.LAMBDA("")</definedName>
    <definedName name="MMS_Swine_Methane_Equations.VEERG_4_5_1_1__1_TotalAnnualMethaneEmissions_Source">_xlfn.LAMBDA("VEERG 2026: 4.5.1.1, Equation (1)")</definedName>
    <definedName name="MMS_Swine_Methane_Equations.VEERG_4_5_1_1__1_TotalAnnualMethaneEmissions_Title">_xlfn.LAMBDA("Total annual methane emissions from manure management")</definedName>
    <definedName name="MMS_Swine_Methane_Equations.VEERG_4_5_1_1__1_TotalAnnualMethaneEmissions_Unit">_xlfn.LAMBDA("t CH4")</definedName>
    <definedName name="MMS_Swine_Methane_Equations.VEERG_4_5_1_1__1_TotalAnnualMethaneEmissions_Variable">_xlfn.LAMBDA("ECH4")</definedName>
    <definedName name="MMS_Swine_Methane_Equations.VEERG_4_5_1_1__2_MethaneProductionPerClass">_xlfn.LAMBDA(_xlpm.MjmT, SUM(_xlpm.MjmT))</definedName>
    <definedName name="MMS_Swine_Methane_Equations.VEERG_4_5_1_1__2_MethaneProductionPerClass_Arguments">_xlfn.LAMBDA(_xlfn.MAKEARRAY(1, 2, _xlfn.LAMBDA(_xlpm.r,_xlpm.c, INDEX({"MjmT","methane production from manure per class, MMS, and treatment stage : kg CH4/head/day"}, _xlpm.r, _xlpm.c))))</definedName>
    <definedName name="MMS_Swine_Methane_Equations.VEERG_4_5_1_1__2_MethaneProductionPerClass_LatexEquation">_xlfn.LAMBDA("M_{mj}=\sum_{m}\sum_{T}M_{jmT}")</definedName>
    <definedName name="MMS_Swine_Methane_Equations.VEERG_4_5_1_1__2_MethaneProductionPerClass_NIRReference">_xlfn.LAMBDA("")</definedName>
    <definedName name="MMS_Swine_Methane_Equations.VEERG_4_5_1_1__2_MethaneProductionPerClass_Source">_xlfn.LAMBDA("VEERG 2026: 4.5.1.1, Equation (2)")</definedName>
    <definedName name="MMS_Swine_Methane_Equations.VEERG_4_5_1_1__2_MethaneProductionPerClass_Title">_xlfn.LAMBDA("Methane production from the manure of each class of swine")</definedName>
    <definedName name="MMS_Swine_Methane_Equations.VEERG_4_5_1_1__2_MethaneProductionPerClass_Unit">_xlfn.LAMBDA("kg CH4/head/day")</definedName>
    <definedName name="MMS_Swine_Methane_Equations.VEERG_4_5_1_1__2_MethaneProductionPerClass_Variable">_xlfn.LAMBDA("Mmj")</definedName>
    <definedName name="MMS_Swine_Methane_Equations.VEERG_4_5_1_1__2_MethaneProductionPerClass_Variation">_xlfn.LAMBDA("VARIATION ON SOURCE: Split variable Mjm into MjmT1 and MjmT2 for stage 1 and 2 MMS.")</definedName>
    <definedName name="MMS_Swine_Methane_Equations.VEERG_4_5_1_1__2_MethaneProductionPerClassVariation">_xlfn.LAMBDA(_xlpm.MjmT1,_xlpm.MjmT2, SUM(_xlpm.MjmT1, _xlpm.MjmT2))</definedName>
    <definedName name="MMS_Swine_Methane_Equations.VEERG_4_5_1_1__3_Stage1MethaneProduction">_xlfn.LAMBDA(_xlpm.VSj,_xlpm.FVSjmT1,_xlpm.MCFim,_xlpm.BO,_xlpm.rho, _xlpm.VSj * _xlpm.FVSjmT1 * _xlpm.MCFim * _xlpm.BO * _xlpm.rho)</definedName>
    <definedName name="MMS_Swine_Methane_Equations.VEERG_4_5_1_1__3_Stage1MethaneProduction_Arguments">_xlfn.LAMBDA(_xlfn.MAKEARRAY(5, 2, _xlfn.LAMBDA(_xlpm.r,_xlpm.c, INDEX({"VSj","volatile solid production from swine in each class : kg/head/day";"FVSjmT1","fraction of volatile solids in each primary system : fraction";"MCFim","methane conversion factor for temperate zone and system : fraction";"BO","emissions potential : m3 CH4/kg VS";"rho","density of methane : kg/m3"}, _xlpm.r, _xlpm.c))))</definedName>
    <definedName name="MMS_Swine_Methane_Equations.VEERG_4_5_1_1__3_Stage1MethaneProduction_LatexEquation">_xlfn.LAMBDA("M_{ijm,T=1}=VS_{j}\times FVS_{jm,T=1}\times MCF_{im}\times BO\times \rho")</definedName>
    <definedName name="MMS_Swine_Methane_Equations.VEERG_4_5_1_1__3_Stage1MethaneProduction_NIRReference">_xlfn.LAMBDA("")</definedName>
    <definedName name="MMS_Swine_Methane_Equations.VEERG_4_5_1_1__3_Stage1MethaneProduction_Source">_xlfn.LAMBDA("VEERG 2026: 4.5.1.1, Equation (3)")</definedName>
    <definedName name="MMS_Swine_Methane_Equations.VEERG_4_5_1_1__3_Stage1MethaneProduction_Title">_xlfn.LAMBDA("Production of methane in treatment stage 1 MMS")</definedName>
    <definedName name="MMS_Swine_Methane_Equations.VEERG_4_5_1_1__3_Stage1MethaneProduction_Unit">_xlfn.LAMBDA("kg CH4/head/day")</definedName>
    <definedName name="MMS_Swine_Methane_Equations.VEERG_4_5_1_1__3_Stage1MethaneProduction_Variable">_xlfn.LAMBDA("MijmT1")</definedName>
    <definedName name="MMS_Swine_Methane_Equations.VEERG_4_5_1_1__4_FractionVolatileSolidsPrimarySystem">_xlfn.LAMBDA(_xlpm.MMSjmT1,_xlpm.SSm, _xlfn.LET(_xlpm.ssm, IF(ISNUMBER(_xlpm.SSm), _xlpm.SSm, 0), _xlpm.MMSjmT1 * (1 - _xlpm.ssm)))</definedName>
    <definedName name="MMS_Swine_Methane_Equations.VEERG_4_5_1_1__4_FractionVolatileSolidsPrimarySystem_Arguments">_xlfn.LAMBDA(_xlfn.MAKEARRAY(2, 2, _xlfn.LAMBDA(_xlpm.r,_xlpm.c, INDEX({"MMSjmT1","fraction of manure to each primary MMS for each class prior to solid separation : fraction";"SSm","fraction of volatile solids separated to solid storage for each MMS : fraction"}, _xlpm.r, _xlpm.c))))</definedName>
    <definedName name="MMS_Swine_Methane_Equations.VEERG_4_5_1_1__4_FractionVolatileSolidsPrimarySystem_LatexEquation">_xlfn.LAMBDA("FVS_{jm,T=1}=MMS_{jm,T=1}\times(1-SS_{m})")</definedName>
    <definedName name="MMS_Swine_Methane_Equations.VEERG_4_5_1_1__4_FractionVolatileSolidsPrimarySystem_NIRReference">_xlfn.LAMBDA("")</definedName>
    <definedName name="MMS_Swine_Methane_Equations.VEERG_4_5_1_1__4_FractionVolatileSolidsPrimarySystem_Source">_xlfn.LAMBDA("VEERG 2026: 4.5.1.1, Equation (4)")</definedName>
    <definedName name="MMS_Swine_Methane_Equations.VEERG_4_5_1_1__4_FractionVolatileSolidsPrimarySystem_Title">_xlfn.LAMBDA("Fraction of volatile solids in each primary system other than solid storage")</definedName>
    <definedName name="MMS_Swine_Methane_Equations.VEERG_4_5_1_1__4_FractionVolatileSolidsPrimarySystem_Unit">_xlfn.LAMBDA("fraction")</definedName>
    <definedName name="MMS_Swine_Methane_Equations.VEERG_4_5_1_1__4_FractionVolatileSolidsPrimarySystem_Variable">_xlfn.LAMBDA("FVSjmT1")</definedName>
    <definedName name="MMS_Swine_Methane_Equations.VEERG_4_5_1_1__4_FractionVolatileSolidsPrimarySystem_Variation">_xlfn.LAMBDA("VARIATION ON SOURCE: Added check to convert 'N/A' value to zero.")</definedName>
    <definedName name="MMS_Swine_Methane_Equations.VEERG_4_5_1_1__5_FractionVolatileSolidsSolidStorage">_xlfn.LAMBDA(_xlpm.MMSjm4T1,_xlpm.MMSjm179T1,_xlpm.SSm, _xlfn.LET(_xlpm.MMSjm4T1, IF(ISNUMBER(_xlpm.MMSjm4T1), _xlpm.MMSjm4T1, 0), _xlpm.MMSjm179T1, IF(ISNUMBER(_xlpm.MMSjm179T1), _xlpm.MMSjm179T1, 0), _xlpm.SSm, IF(ISNUMBER(_xlpm.SSm), _xlpm.SSm, 0), _xlpm.MMSjm4T1 + (_xlpm.MMSjm179T1 * _xlpm.SSm)))</definedName>
    <definedName name="MMS_Swine_Methane_Equations.VEERG_4_5_1_1__5_FractionVolatileSolidsSolidStorage_Arguments">_xlfn.LAMBDA(_xlfn.MAKEARRAY(3, 2, _xlfn.LAMBDA(_xlpm.r,_xlpm.c, INDEX({"MMSjm4T1","fraction of manure in solid storage primary system : fraction";"MMSjm179T1","fraction of manure in MMS 1, 7, and 9 in treatment stage 1 : fraction";"SSm","fraction of volatile solids separated to solid storage for each MMS : fraction"}, _xlpm.r, _xlpm.c))))</definedName>
    <definedName name="MMS_Swine_Methane_Equations.VEERG_4_5_1_1__5_FractionVolatileSolidsSolidStorage_LatexEquation">_xlfn.LAMBDA("FVS_{j,m=4,T=1}=MMS_{j,m=4,T=1}+(MMS_{j,m=1,7,9,T=1}\times SS_{m})")</definedName>
    <definedName name="MMS_Swine_Methane_Equations.VEERG_4_5_1_1__5_FractionVolatileSolidsSolidStorage_LatexEquationVariation">_xlfn.LAMBDA("FVS_{j,m=4,T=1}=MMS_{j,m=4,T=1}+(MMS_{j,m=1,T=1}\times SS_{m=1,T=1})+(MMS_{j,m=7,T=1}\times SS_{m=7,T=1})+(MMS_{j,m=9,T=1}\times SS_{m=9,T=1})")</definedName>
    <definedName name="MMS_Swine_Methane_Equations.VEERG_4_5_1_1__5_FractionVolatileSolidsSolidStorage_NIRReference">_xlfn.LAMBDA("")</definedName>
    <definedName name="MMS_Swine_Methane_Equations.VEERG_4_5_1_1__5_FractionVolatileSolidsSolidStorage_Source">_xlfn.LAMBDA("VEERG 2026: 4.5.1.1, Equation (5)")</definedName>
    <definedName name="MMS_Swine_Methane_Equations.VEERG_4_5_1_1__5_FractionVolatileSolidsSolidStorage_Title">_xlfn.LAMBDA("Fraction of volatile solids in solid storage")</definedName>
    <definedName name="MMS_Swine_Methane_Equations.VEERG_4_5_1_1__5_FractionVolatileSolidsSolidStorage_Unit">_xlfn.LAMBDA("fraction")</definedName>
    <definedName name="MMS_Swine_Methane_Equations.VEERG_4_5_1_1__5_FractionVolatileSolidsSolidStorage_Variable">_xlfn.LAMBDA("FVSjm4T1")</definedName>
    <definedName name="MMS_Swine_Methane_Equations.VEERG_4_5_1_1__5_FractionVolatileSolidsSolidStorage_Variation">_xlfn.LAMBDA("VARIATION ON SOURCE: Split equation for MMSm=1,7,9 into separate items to allow for calculation")</definedName>
    <definedName name="MMS_Swine_Methane_Equations.VEERG_4_5_1_1__5_FractionVolatileSolidsSolidStorageVariation">_xlfn.LAMBDA(_xlpm.MMSjm4T1,_xlpm.MMSjmT1_1,_xlpm.MMSjmT1_2,_xlpm.MMSjmT1_3,_xlpm.MMSjmT1_4,_xlpm.MMSjmT1_5,_xlpm.SSjmT1_1,_xlpm.SSjmT1_2,_xlpm.SSjmT1_3,_xlpm.SSjmT1_4,_xlpm.SSjmT1_5, _xlfn.LET(_xlpm.MMSjm4T1, IF(ISNUMBER(_xlpm.MMSjm4T1), _xlpm.MMSjm4T1, 0), _xlpm.MMSjmT1_1, IF(ISNUMBER(_xlpm.MMSjmT1_1), _xlpm.MMSjmT1_1, 0), _xlpm.MMSjmT1_2, IF(ISNUMBER(_xlpm.MMSjmT1_2), _xlpm.MMSjmT1_2, 0), _xlpm.MMSjmT1_3, IF(ISNUMBER(_xlpm.MMSjmT1_3), _xlpm.MMSjmT1_3, 0), _xlpm.MMSjmT1_4, IF(ISNUMBER(_xlpm.MMSjmT1_4), _xlpm.MMSjmT1_4, 0), _xlpm.MMSjmT1_5, IF(ISNUMBER(_xlpm.MMSjmT1_5), _xlpm.MMSjmT1_5, 0), _xlpm.SSjmT1_1, IF(ISNUMBER(_xlpm.SSjmT1_1), _xlpm.SSjmT1_1, 0), _xlpm.SSjmT1_2, IF(ISNUMBER(_xlpm.SSjmT1_2), _xlpm.SSjmT1_2, 0), _xlpm.SSjmT1_3, IF(ISNUMBER(_xlpm.SSjmT1_3), _xlpm.SSjmT1_3, 0), _xlpm.SSjmT1_4, IF(ISNUMBER(_xlpm.SSjmT1_4), _xlpm.SSjmT1_4, 0), _xlpm.SSjmT1_5, IF(ISNUMBER(_xlpm.SSjmT1_5), _xlpm.SSjmT1_5, 0), _xlpm.MMSjm4T1 + (_xlpm.MMSjmT1_1 * _xlpm.SSjmT1_1) + (_xlpm.MMSjmT1_2 * _xlpm.SSjmT1_2) + (_xlpm.MMSjmT1_3 * _xlpm.SSjmT1_3) + (_xlpm.MMSjmT1_4 * _xlpm.SSjmT1_4) + (_xlpm.MMSjmT1_5 * _xlpm.SSjmT1_5)))</definedName>
    <definedName name="MMS_Swine_Methane_Equations.VEERG_4_5_1_1__6_Stage2MethaneProduction">_xlfn.LAMBDA(_xlpm.VSTjmT2,_xlpm.BO,_xlpm.MMSjmT2,_xlpm.MCFim,_xlpm.rho, _xlfn.LET(_xlpm.VSTjmT2, IF(ISNUMBER(_xlpm.VSTjmT2), _xlpm.VSTjmT2, 0), _xlpm.MMSjmT2, IF(ISNUMBER(_xlpm.MMSjmT2), _xlpm.MMSjmT2, 0), _xlpm.VSTjmT2 * _xlpm.BO * _xlpm.MMSjmT2 * _xlpm.MCFim * _xlpm.rho))</definedName>
    <definedName name="MMS_Swine_Methane_Equations.VEERG_4_5_1_1__6_Stage2MethaneProduction_Arguments">_xlfn.LAMBDA(_xlfn.MAKEARRAY(6, 2, _xlfn.LAMBDA(_xlpm.r,_xlpm.c, INDEX({"VSTjmT2","volatile solids transferred to treatment stage 2 MMS : kg/head/day";"BO","emissions potential : m3 CH4/kg VS";"MMSjmT2","fraction of manure in each secondary system : fraction";"MCFim","methane conversion factor for temperate zone and system : fraction";"rho","density of methane : kg/m3";"i","state"}, _xlpm.r, _xlpm.c))))</definedName>
    <definedName name="MMS_Swine_Methane_Equations.VEERG_4_5_1_1__6_Stage2MethaneProduction_LatexEquation">_xlfn.LAMBDA("M_{ijm,T=2}=VST_{jm,T=2}\times BO\times MMS_{jm,T=2}\times MCF_{im}\times \rho")</definedName>
    <definedName name="MMS_Swine_Methane_Equations.VEERG_4_5_1_1__6_Stage2MethaneProduction_NIRReference">_xlfn.LAMBDA("")</definedName>
    <definedName name="MMS_Swine_Methane_Equations.VEERG_4_5_1_1__6_Stage2MethaneProduction_Source">_xlfn.LAMBDA("VEERG 2026: 4.5.1.1, Equation (6)")</definedName>
    <definedName name="MMS_Swine_Methane_Equations.VEERG_4_5_1_1__6_Stage2MethaneProduction_Title">_xlfn.LAMBDA("Production of methane in each treatment stage 2 MMS")</definedName>
    <definedName name="MMS_Swine_Methane_Equations.VEERG_4_5_1_1__6_Stage2MethaneProduction_Unit">_xlfn.LAMBDA("kg CH4/head/day")</definedName>
    <definedName name="MMS_Swine_Methane_Equations.VEERG_4_5_1_1__6_Stage2MethaneProduction_Variable">_xlfn.LAMBDA("MijmT2")</definedName>
    <definedName name="MMS_Swine_Methane_Equations.VEERG_4_5_1_1__7_VolatileSolidsTransferredStage2">_xlfn.LAMBDA(_xlpm.VSj,_xlpm.FVSjmT1,_xlpm.VSLmT1, _xlpm.VSj * _xlpm.FVSjmT1 * (1 - _xlpm.VSLmT1))</definedName>
    <definedName name="MMS_Swine_Methane_Equations.VEERG_4_5_1_1__7_VolatileSolidsTransferredStage2_Arguments">_xlfn.LAMBDA(_xlfn.MAKEARRAY(3, 2, _xlfn.LAMBDA(_xlpm.r,_xlpm.c, INDEX({"VSj","volatile solid production from swine in each class : kg/head/day";"FVSjmT1","fraction of volatile solids in each primary system : fraction";"VSLmT1","fraction of volatile solids lost during storage in the primary system : fraction"}, _xlpm.r, _xlpm.c))))</definedName>
    <definedName name="MMS_Swine_Methane_Equations.VEERG_4_5_1_1__7_VolatileSolidsTransferredStage2_LatexEquation">_xlfn.LAMBDA("VST_{ijm,T=2}=VS_{j}\times FVS_{jm,T=1}\times(1-VSL_{m,T=1})")</definedName>
    <definedName name="MMS_Swine_Methane_Equations.VEERG_4_5_1_1__7_VolatileSolidsTransferredStage2_NIRReference">_xlfn.LAMBDA("")</definedName>
    <definedName name="MMS_Swine_Methane_Equations.VEERG_4_5_1_1__7_VolatileSolidsTransferredStage2_Source">_xlfn.LAMBDA("VEERG 2026: 4.5.1.1, Equation (7)")</definedName>
    <definedName name="MMS_Swine_Methane_Equations.VEERG_4_5_1_1__7_VolatileSolidsTransferredStage2_Title">_xlfn.LAMBDA("Volatile solids transferred to treatment stage 2 MMS")</definedName>
    <definedName name="MMS_Swine_Methane_Equations.VEERG_4_5_1_1__7_VolatileSolidsTransferredStage2_Unit">_xlfn.LAMBDA("kg VS")</definedName>
    <definedName name="MMS_Swine_Methane_Equations.VEERG_4_5_1_1__7_VolatileSolidsTransferredStage2_Variable">_xlfn.LAMBDA("VSTijmT2")</definedName>
    <definedName name="Range_LivestockStartingValues">#REF!</definedName>
    <definedName name="SourceData_Swine.SourceData_Swine_MethaneVolatileSolidsEmissionsPotential_Data">_xlfn.LAMBDA(0.19)</definedName>
    <definedName name="SourceData_Swine.SourceData_Swine_MethaneVolatileSolidsEmissionsPotential_Source">_xlfn.LAMBDA("IPCC (2019), Chapter 10 [4]")</definedName>
    <definedName name="SourceData_Swine.SourceData_Swine_MethaneVolatileSolidsEmissionsPotential_Title">_xlfn.LAMBDA("Emissions potential of methane per kilogram of volatile solids")</definedName>
    <definedName name="SourceData_Swine.SourceData_Swine_MethaneVolatileSolidsEmissionsPotential_Unit">_xlfn.LAMBDA("m3 CH4 / kg VS")</definedName>
    <definedName name="SourceData_Swine.SourceData_Swine_MethaneVolatileSolidsEmissionsPotential_Variable">_xlfn.LAMBDA("B0")</definedName>
    <definedName name="SourceData_Swine.SourceData_Swine_MethaneVolatileSolidsEmissionsPotential_Variation">_xlfn.LAMBDA("")</definedName>
    <definedName name="SourceData_Swine.SourceData_Swine_MMS_MCFs_Data">_xlfn.LAMBDA(_xlfn.MAKEARRAY(8, 10, _xlfn.LAMBDA(_xlpm.r,_xlpm.c, INDEX({"MMS","NSW","ACT","QLD","NT","SA","TAS","VIC","WA","NIR definition";"Outdoor (Dry lot)",0.01,0.01,0.03,0.03,0.01,0.01,0.01,0.01,"Drylot (feed pad)";"Deep litter",0.04,0.04,0.04,0.04,0.04,0.04,0.04,0.04,"Deep litter";"Stockpile (Solid storage)",0.02,0.02,0.02,0.02,0.02,0.02,0.02,0.02,"Solid storage";"Effluent pond (Uncovered anaerobic lagoon)",0.75,0.75,0.78,0.78,0.75,0.7,0.74,0.76,"Anaerobic lagoon";"Anaerobic digester / Covered lagoon",0.1,0.1,0.1,0.1,0.1,0.1,0.1,0.1,"Digester / covered lagoons";"Short HRT tank storage &lt; 1 month (pit storage)",0.03,0.03,0.03,0.03,0.03,0.03,0.03,0.03,"Pit storage";"Direct Application to soil",0,0,0,0,0,0,0,0,"Direct application"}, _xlpm.r, _xlpm.c))))</definedName>
    <definedName name="SourceData_Swine.SourceData_Swine_MMS_MCFs_Source">_xlfn.LAMBDA("VEERG 2026: Table A.1.6.4: Swine – MCFs (MCFim)")</definedName>
    <definedName name="SourceData_Swine.SourceData_Swine_MMS_MCFs_Title">_xlfn.LAMBDA("Methane conversion factor for temperature zone and manure management system.")</definedName>
    <definedName name="SourceData_Swine.SourceData_Swine_MMS_MCFs_Unit">_xlfn.LAMBDA("")</definedName>
    <definedName name="SourceData_Swine.SourceData_Swine_MMS_MCFs_Variation">_xlfn.LAMBDA("VARIATION ON SOURCE DATA: Added columns for ACT, split QLD and NT. Added extra column with MMS names that match NIR definitions")</definedName>
    <definedName name="SourceData_Swine.SourceData_Swine_ProductionSystems_Data">_xlfn.LAMBDA(_xlfn.MAKEARRAY(4, 1, _xlfn.LAMBDA(_xlpm.r,_xlpm.c, INDEX({"Production system";"Conventional housing";"Deep litter housing";"Outdoor/free range"}, _xlpm.r, _xlpm.c))))</definedName>
    <definedName name="SourceData_Swine.SourceData_Swine_ProductionSystems_Source">_xlfn.LAMBDA("VEERG 2026: 4.5 Swine Figure 4.8")</definedName>
    <definedName name="SourceData_Swine.SourceData_Swine_ProductionSystems_Title">_xlfn.LAMBDA("Swine production systems")</definedName>
    <definedName name="SourceData_Swine.SourceData_Swine_ProductionSystems_Unit">_xlfn.LAMBDA("")</definedName>
    <definedName name="SourceData_Swine.SourceData_Swine_ProductionSystems_Variation">_xlfn.LAMBDA("")</definedName>
    <definedName name="SourceData_Swine.SourceData_Swine_VolatileSolids_Data">_xlfn.LAMBDA(_xlfn.MAKEARRAY(8, 2, _xlfn.LAMBDA(_xlpm.r,_xlpm.c, INDEX({"Class","VSj";"Boars",0.4;"Sows",0.46;"Gilts",0.55;"Slaughter pigs",0.39;"Suckers",0.39;"Weaners",0.39;"Growers",0.39}, _xlpm.r, _xlpm.c))))</definedName>
    <definedName name="SourceData_Swine.SourceData_Swine_VolatileSolids_Source">_xlfn.LAMBDA("VEERG 2026: Table A.1.6.1: Swine - Intake and manure characteristics derived from PigBal")</definedName>
    <definedName name="SourceData_Swine.SourceData_Swine_VolatileSolids_Title">_xlfn.LAMBDA("Swine - Volatile solids (VSj) - 2020 to 2024")</definedName>
    <definedName name="SourceData_Swine.SourceData_Swine_VolatileSolids_Unit">_xlfn.LAMBDA("kg/head/day")</definedName>
    <definedName name="SourceData_Swine.SourceData_Swine_VolatileSolids_Variation">_xlfn.LAMBDA("VARIATION ON SOURCE DATA: Only uses data for 2020-2024. Added 'Suckers', 'Weaners' and 'Growers' classes which have the same values as 'Slaughter pigs'.")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5" i="70" l="1"/>
  <c r="J75" i="70"/>
  <c r="I75" i="70"/>
  <c r="H75" i="70"/>
  <c r="G75" i="70"/>
  <c r="F75" i="70"/>
  <c r="E75" i="70"/>
  <c r="K67" i="70"/>
  <c r="J67" i="70"/>
  <c r="I67" i="70"/>
  <c r="H67" i="70"/>
  <c r="G67" i="70"/>
  <c r="F67" i="70"/>
  <c r="E67" i="70"/>
  <c r="K59" i="70"/>
  <c r="J59" i="70"/>
  <c r="I59" i="70"/>
  <c r="H59" i="70"/>
  <c r="G59" i="70"/>
  <c r="F59" i="70"/>
  <c r="E59" i="70"/>
  <c r="K51" i="70"/>
  <c r="J51" i="70"/>
  <c r="I51" i="70"/>
  <c r="H51" i="70"/>
  <c r="G51" i="70"/>
  <c r="F51" i="70"/>
  <c r="E51" i="70"/>
  <c r="E43" i="70"/>
  <c r="K84" i="70"/>
  <c r="J84" i="70"/>
  <c r="I84" i="70"/>
  <c r="H84" i="70"/>
  <c r="G84" i="70"/>
  <c r="F84" i="70"/>
  <c r="E84" i="70"/>
  <c r="K43" i="70"/>
  <c r="J43" i="70"/>
  <c r="I43" i="70"/>
  <c r="H43" i="70"/>
  <c r="G43" i="70"/>
  <c r="F43" i="70"/>
  <c r="O42" i="70"/>
  <c r="O41" i="70"/>
  <c r="O40" i="70"/>
  <c r="O39" i="70"/>
  <c r="O50" i="70"/>
  <c r="O49" i="70"/>
  <c r="O48" i="70"/>
  <c r="O47" i="70"/>
  <c r="O58" i="70"/>
  <c r="O57" i="70"/>
  <c r="O56" i="70"/>
  <c r="O55" i="70"/>
  <c r="O66" i="70"/>
  <c r="O65" i="70"/>
  <c r="O64" i="70"/>
  <c r="O63" i="70"/>
  <c r="O74" i="70"/>
  <c r="O73" i="70"/>
  <c r="O72" i="70"/>
  <c r="O71" i="70"/>
  <c r="O83" i="70"/>
  <c r="O82" i="70"/>
  <c r="O81" i="70"/>
  <c r="O80" i="70"/>
  <c r="O79" i="70"/>
  <c r="D82" i="70"/>
  <c r="D83" i="70"/>
  <c r="D74" i="70"/>
  <c r="D78" i="70"/>
  <c r="D81" i="70"/>
  <c r="D80" i="70"/>
  <c r="D79" i="70"/>
  <c r="E78" i="70"/>
  <c r="E70" i="70"/>
  <c r="D70" i="70"/>
  <c r="D73" i="70"/>
  <c r="D72" i="70"/>
  <c r="D71" i="70"/>
  <c r="E62" i="70"/>
  <c r="E54" i="70"/>
  <c r="E46" i="70"/>
  <c r="E38" i="70"/>
  <c r="D33" i="70"/>
  <c r="D32" i="70"/>
  <c r="D31" i="70"/>
  <c r="D34" i="70"/>
  <c r="D30" i="70"/>
  <c r="K26" i="70"/>
  <c r="J26" i="70"/>
  <c r="I26" i="70"/>
  <c r="H26" i="70"/>
  <c r="G26" i="70"/>
  <c r="F26" i="70"/>
  <c r="E26" i="70"/>
  <c r="D24" i="70"/>
  <c r="D50" i="70" s="1"/>
  <c r="D23" i="70"/>
  <c r="D49" i="70" s="1"/>
  <c r="D22" i="70"/>
  <c r="D48" i="70" s="1"/>
  <c r="D21" i="70"/>
  <c r="D20" i="70"/>
  <c r="D54" i="70" l="1"/>
  <c r="D56" i="70"/>
  <c r="D63" i="70"/>
  <c r="D64" i="70"/>
  <c r="D55" i="70"/>
  <c r="D66" i="70"/>
  <c r="D57" i="70"/>
  <c r="D58" i="70"/>
  <c r="D62" i="70"/>
  <c r="D65" i="70"/>
  <c r="D38" i="70"/>
  <c r="D46" i="70"/>
  <c r="D47" i="70"/>
  <c r="D42" i="70"/>
  <c r="D39" i="70"/>
  <c r="D40" i="70"/>
  <c r="D41" i="70"/>
  <c r="F297" i="69" l="1" a="1"/>
  <c r="F297" i="69" s="1"/>
  <c r="G295" i="69" a="1"/>
  <c r="G295" i="69" s="1"/>
  <c r="D294" i="69" a="1"/>
  <c r="D294" i="69" s="1"/>
  <c r="D289" i="69"/>
  <c r="D288" i="69"/>
  <c r="D287" i="69"/>
  <c r="D286" i="69"/>
  <c r="D285" i="69"/>
  <c r="D284" i="69"/>
  <c r="D283" i="69"/>
  <c r="D282" i="69"/>
  <c r="D281" i="69"/>
  <c r="D280" i="69"/>
  <c r="D279" i="69"/>
  <c r="D278" i="69"/>
  <c r="K272" i="69"/>
  <c r="J272" i="69"/>
  <c r="I272" i="69"/>
  <c r="H272" i="69"/>
  <c r="G272" i="69"/>
  <c r="F272" i="69"/>
  <c r="E272" i="69"/>
  <c r="D272" i="69"/>
  <c r="K271" i="69"/>
  <c r="J271" i="69"/>
  <c r="I271" i="69"/>
  <c r="H271" i="69"/>
  <c r="G271" i="69"/>
  <c r="F271" i="69"/>
  <c r="E271" i="69"/>
  <c r="D271" i="69"/>
  <c r="K270" i="69"/>
  <c r="J270" i="69"/>
  <c r="I270" i="69"/>
  <c r="H270" i="69"/>
  <c r="G270" i="69"/>
  <c r="F270" i="69"/>
  <c r="E270" i="69"/>
  <c r="D270" i="69"/>
  <c r="K269" i="69"/>
  <c r="J269" i="69"/>
  <c r="I269" i="69"/>
  <c r="H269" i="69"/>
  <c r="G269" i="69"/>
  <c r="F269" i="69"/>
  <c r="E269" i="69"/>
  <c r="D269" i="69"/>
  <c r="K268" i="69"/>
  <c r="J268" i="69"/>
  <c r="I268" i="69"/>
  <c r="H268" i="69"/>
  <c r="G268" i="69"/>
  <c r="F268" i="69"/>
  <c r="E268" i="69"/>
  <c r="D268" i="69"/>
  <c r="K267" i="69"/>
  <c r="J267" i="69"/>
  <c r="I267" i="69"/>
  <c r="H267" i="69"/>
  <c r="G267" i="69"/>
  <c r="F267" i="69"/>
  <c r="E267" i="69"/>
  <c r="D267" i="69"/>
  <c r="K266" i="69"/>
  <c r="J266" i="69"/>
  <c r="I266" i="69"/>
  <c r="H266" i="69"/>
  <c r="G266" i="69"/>
  <c r="F266" i="69"/>
  <c r="E266" i="69"/>
  <c r="D266" i="69"/>
  <c r="K265" i="69"/>
  <c r="J265" i="69"/>
  <c r="I265" i="69"/>
  <c r="H265" i="69"/>
  <c r="G265" i="69"/>
  <c r="F265" i="69"/>
  <c r="E265" i="69"/>
  <c r="D265" i="69"/>
  <c r="K264" i="69"/>
  <c r="J264" i="69"/>
  <c r="I264" i="69"/>
  <c r="H264" i="69"/>
  <c r="G264" i="69"/>
  <c r="F264" i="69"/>
  <c r="E264" i="69"/>
  <c r="D264" i="69"/>
  <c r="K263" i="69"/>
  <c r="J263" i="69"/>
  <c r="I263" i="69"/>
  <c r="H263" i="69"/>
  <c r="G263" i="69"/>
  <c r="F263" i="69"/>
  <c r="E263" i="69"/>
  <c r="D263" i="69"/>
  <c r="K262" i="69"/>
  <c r="J262" i="69"/>
  <c r="I262" i="69"/>
  <c r="H262" i="69"/>
  <c r="G262" i="69"/>
  <c r="F262" i="69"/>
  <c r="E262" i="69"/>
  <c r="D262" i="69"/>
  <c r="K261" i="69"/>
  <c r="J261" i="69"/>
  <c r="I261" i="69"/>
  <c r="H261" i="69"/>
  <c r="G261" i="69"/>
  <c r="F261" i="69"/>
  <c r="E261" i="69"/>
  <c r="D261" i="69"/>
  <c r="K255" i="69"/>
  <c r="J255" i="69"/>
  <c r="I255" i="69"/>
  <c r="H255" i="69"/>
  <c r="G255" i="69"/>
  <c r="F255" i="69"/>
  <c r="E255" i="69"/>
  <c r="D255" i="69"/>
  <c r="K254" i="69"/>
  <c r="J254" i="69"/>
  <c r="I254" i="69"/>
  <c r="H254" i="69"/>
  <c r="G254" i="69"/>
  <c r="F254" i="69"/>
  <c r="E254" i="69"/>
  <c r="D254" i="69"/>
  <c r="K253" i="69"/>
  <c r="J253" i="69"/>
  <c r="I253" i="69"/>
  <c r="H253" i="69"/>
  <c r="G253" i="69"/>
  <c r="F253" i="69"/>
  <c r="E253" i="69"/>
  <c r="D253" i="69"/>
  <c r="K252" i="69"/>
  <c r="J252" i="69"/>
  <c r="I252" i="69"/>
  <c r="H252" i="69"/>
  <c r="G252" i="69"/>
  <c r="F252" i="69"/>
  <c r="E252" i="69"/>
  <c r="D252" i="69"/>
  <c r="K251" i="69"/>
  <c r="J251" i="69"/>
  <c r="I251" i="69"/>
  <c r="H251" i="69"/>
  <c r="G251" i="69"/>
  <c r="F251" i="69"/>
  <c r="E251" i="69"/>
  <c r="D251" i="69"/>
  <c r="K250" i="69"/>
  <c r="J250" i="69"/>
  <c r="I250" i="69"/>
  <c r="H250" i="69"/>
  <c r="G250" i="69"/>
  <c r="F250" i="69"/>
  <c r="E250" i="69"/>
  <c r="D250" i="69"/>
  <c r="K249" i="69"/>
  <c r="J249" i="69"/>
  <c r="I249" i="69"/>
  <c r="H249" i="69"/>
  <c r="G249" i="69"/>
  <c r="F249" i="69"/>
  <c r="E249" i="69"/>
  <c r="D249" i="69"/>
  <c r="K248" i="69"/>
  <c r="J248" i="69"/>
  <c r="I248" i="69"/>
  <c r="H248" i="69"/>
  <c r="G248" i="69"/>
  <c r="F248" i="69"/>
  <c r="E248" i="69"/>
  <c r="D248" i="69"/>
  <c r="K247" i="69"/>
  <c r="J247" i="69"/>
  <c r="I247" i="69"/>
  <c r="H247" i="69"/>
  <c r="G247" i="69"/>
  <c r="F247" i="69"/>
  <c r="E247" i="69"/>
  <c r="D247" i="69"/>
  <c r="K246" i="69"/>
  <c r="J246" i="69"/>
  <c r="I246" i="69"/>
  <c r="H246" i="69"/>
  <c r="G246" i="69"/>
  <c r="F246" i="69"/>
  <c r="E246" i="69"/>
  <c r="D246" i="69"/>
  <c r="K245" i="69"/>
  <c r="J245" i="69"/>
  <c r="I245" i="69"/>
  <c r="H245" i="69"/>
  <c r="G245" i="69"/>
  <c r="F245" i="69"/>
  <c r="E245" i="69"/>
  <c r="D245" i="69"/>
  <c r="K244" i="69"/>
  <c r="J244" i="69"/>
  <c r="I244" i="69"/>
  <c r="H244" i="69"/>
  <c r="G244" i="69"/>
  <c r="F244" i="69"/>
  <c r="E244" i="69"/>
  <c r="D244" i="69"/>
  <c r="G238" i="69"/>
  <c r="G237" i="69"/>
  <c r="G236" i="69"/>
  <c r="D236" i="69" a="1"/>
  <c r="D236" i="69" s="1"/>
  <c r="E234" i="69"/>
  <c r="L287" i="69" s="1"/>
  <c r="E234" i="69" a="1"/>
  <c r="E233" i="69"/>
  <c r="E233" i="69" a="1"/>
  <c r="D228" i="69"/>
  <c r="D228" i="69" a="1"/>
  <c r="D227" i="69"/>
  <c r="D227" i="69" a="1"/>
  <c r="D216" i="69" a="1"/>
  <c r="D216" i="69" s="1"/>
  <c r="E214" i="69" a="1"/>
  <c r="E214" i="69" s="1"/>
  <c r="K223" i="69" s="1"/>
  <c r="E213" i="69" a="1"/>
  <c r="E213" i="69" s="1"/>
  <c r="D209" i="69" a="1"/>
  <c r="D209" i="69" s="1"/>
  <c r="D208" i="69" a="1"/>
  <c r="D208" i="69" s="1"/>
  <c r="D207" i="69" a="1"/>
  <c r="D207" i="69" s="1"/>
  <c r="E203" i="69"/>
  <c r="D203" i="69"/>
  <c r="E202" i="69"/>
  <c r="D202" i="69"/>
  <c r="L201" i="69"/>
  <c r="L201" i="69" a="1"/>
  <c r="K201" i="69"/>
  <c r="K201" i="69" a="1"/>
  <c r="J201" i="69" a="1"/>
  <c r="J201" i="69" s="1"/>
  <c r="I201" i="69" a="1"/>
  <c r="I201" i="69" s="1"/>
  <c r="H201" i="69"/>
  <c r="H201" i="69" a="1"/>
  <c r="G201" i="69" a="1"/>
  <c r="G201" i="69" s="1"/>
  <c r="F201" i="69" a="1"/>
  <c r="F201" i="69" s="1"/>
  <c r="E201" i="69"/>
  <c r="D201" i="69"/>
  <c r="E200" i="69"/>
  <c r="D200" i="69"/>
  <c r="G193" i="69"/>
  <c r="G192" i="69"/>
  <c r="G191" i="69"/>
  <c r="G190" i="69"/>
  <c r="G189" i="69"/>
  <c r="D189" i="69" a="1"/>
  <c r="D189" i="69" s="1"/>
  <c r="E187" i="69" a="1"/>
  <c r="E187" i="69" s="1"/>
  <c r="E186" i="69"/>
  <c r="E186" i="69" a="1"/>
  <c r="D181" i="69" a="1"/>
  <c r="D181" i="69" s="1"/>
  <c r="D180" i="69" a="1"/>
  <c r="D180" i="69" s="1"/>
  <c r="E176" i="69"/>
  <c r="F176" i="69" s="1"/>
  <c r="E175" i="69"/>
  <c r="F175" i="69" s="1"/>
  <c r="E174" i="69"/>
  <c r="F174" i="69" s="1"/>
  <c r="F173" i="69"/>
  <c r="E173" i="69"/>
  <c r="F172" i="69"/>
  <c r="E172" i="69"/>
  <c r="F171" i="69"/>
  <c r="E171" i="69"/>
  <c r="D171" i="69"/>
  <c r="F170" i="69"/>
  <c r="E170" i="69"/>
  <c r="E169" i="69"/>
  <c r="F169" i="69" s="1"/>
  <c r="E168" i="69"/>
  <c r="F168" i="69" s="1"/>
  <c r="F167" i="69"/>
  <c r="E167" i="69"/>
  <c r="F166" i="69"/>
  <c r="E166" i="69"/>
  <c r="F165" i="69"/>
  <c r="E165" i="69"/>
  <c r="D165" i="69"/>
  <c r="D158" i="69"/>
  <c r="E158" i="69" s="1" a="1"/>
  <c r="E158" i="69" s="1"/>
  <c r="D157" i="69"/>
  <c r="E157" i="69" s="1" a="1"/>
  <c r="E157" i="69" s="1"/>
  <c r="D156" i="69"/>
  <c r="E156" i="69" s="1" a="1"/>
  <c r="E156" i="69" s="1"/>
  <c r="D155" i="69"/>
  <c r="E155" i="69" s="1" a="1"/>
  <c r="E155" i="69" s="1"/>
  <c r="D154" i="69"/>
  <c r="E154" i="69" s="1" a="1"/>
  <c r="E154" i="69" s="1"/>
  <c r="D153" i="69"/>
  <c r="D152" i="69"/>
  <c r="L145" i="69"/>
  <c r="F145" i="69"/>
  <c r="H145" i="69" s="1"/>
  <c r="E145" i="69"/>
  <c r="H144" i="69"/>
  <c r="G144" i="69"/>
  <c r="F144" i="69"/>
  <c r="M144" i="69" s="1"/>
  <c r="E144" i="69"/>
  <c r="E143" i="69"/>
  <c r="F143" i="69" s="1"/>
  <c r="L142" i="69"/>
  <c r="K142" i="69"/>
  <c r="J142" i="69"/>
  <c r="H142" i="69"/>
  <c r="F142" i="69"/>
  <c r="G142" i="69" s="1"/>
  <c r="E142" i="69"/>
  <c r="F141" i="69"/>
  <c r="M141" i="69" s="1"/>
  <c r="E141" i="69"/>
  <c r="L140" i="69"/>
  <c r="I140" i="69"/>
  <c r="F140" i="69"/>
  <c r="K140" i="69" s="1"/>
  <c r="E140" i="69"/>
  <c r="D140" i="69"/>
  <c r="E139" i="69"/>
  <c r="F139" i="69" s="1"/>
  <c r="F138" i="69"/>
  <c r="M138" i="69" s="1"/>
  <c r="E138" i="69"/>
  <c r="L137" i="69"/>
  <c r="I137" i="69"/>
  <c r="F137" i="69"/>
  <c r="K137" i="69" s="1"/>
  <c r="E137" i="69"/>
  <c r="F136" i="69"/>
  <c r="K136" i="69" s="1"/>
  <c r="E136" i="69"/>
  <c r="M135" i="69"/>
  <c r="F135" i="69"/>
  <c r="L135" i="69" s="1"/>
  <c r="E135" i="69"/>
  <c r="M134" i="69"/>
  <c r="K134" i="69"/>
  <c r="J134" i="69"/>
  <c r="H134" i="69"/>
  <c r="F134" i="69"/>
  <c r="I134" i="69" s="1"/>
  <c r="E134" i="69"/>
  <c r="D134" i="69"/>
  <c r="G128" i="69"/>
  <c r="E152" i="69" s="1" a="1"/>
  <c r="E152" i="69" s="1"/>
  <c r="G128" i="69" a="1"/>
  <c r="G127" i="69"/>
  <c r="G126" i="69"/>
  <c r="G125" i="69"/>
  <c r="G124" i="69"/>
  <c r="G123" i="69"/>
  <c r="D123" i="69"/>
  <c r="D123" i="69" a="1"/>
  <c r="E121" i="69"/>
  <c r="N169" i="69" s="1"/>
  <c r="E121" i="69" a="1"/>
  <c r="E120" i="69" a="1"/>
  <c r="E120" i="69" s="1"/>
  <c r="D115" i="69" a="1"/>
  <c r="D115" i="69" s="1"/>
  <c r="D114" i="69"/>
  <c r="D114" i="69" a="1"/>
  <c r="E110" i="69"/>
  <c r="D110" i="69"/>
  <c r="E109" i="69"/>
  <c r="D109" i="69"/>
  <c r="L108" i="69"/>
  <c r="L108" i="69" a="1"/>
  <c r="K108" i="69"/>
  <c r="K108" i="69" a="1"/>
  <c r="J108" i="69" a="1"/>
  <c r="J108" i="69" s="1"/>
  <c r="I108" i="69"/>
  <c r="I108" i="69" a="1"/>
  <c r="H108" i="69" a="1"/>
  <c r="H108" i="69" s="1"/>
  <c r="G108" i="69" a="1"/>
  <c r="G108" i="69" s="1"/>
  <c r="F108" i="69" a="1"/>
  <c r="F108" i="69" s="1"/>
  <c r="E108" i="69"/>
  <c r="D108" i="69"/>
  <c r="E107" i="69"/>
  <c r="D107" i="69"/>
  <c r="F100" i="69"/>
  <c r="F100" i="69" a="1"/>
  <c r="E100" i="69"/>
  <c r="D100" i="69"/>
  <c r="E99" i="69"/>
  <c r="F99" i="69" s="1" a="1"/>
  <c r="F99" i="69" s="1"/>
  <c r="D99" i="69"/>
  <c r="F98" i="69" a="1"/>
  <c r="F98" i="69" s="1"/>
  <c r="E98" i="69"/>
  <c r="D98" i="69"/>
  <c r="E97" i="69"/>
  <c r="F97" i="69" s="1" a="1"/>
  <c r="F97" i="69" s="1"/>
  <c r="D97" i="69"/>
  <c r="J91" i="69"/>
  <c r="I91" i="69"/>
  <c r="H91" i="69"/>
  <c r="G91" i="69"/>
  <c r="F91" i="69"/>
  <c r="E91" i="69"/>
  <c r="D91" i="69"/>
  <c r="G85" i="69"/>
  <c r="G84" i="69"/>
  <c r="G83" i="69"/>
  <c r="D83" i="69" a="1"/>
  <c r="D83" i="69" s="1"/>
  <c r="E81" i="69"/>
  <c r="M109" i="69" s="1"/>
  <c r="E81" i="69" a="1"/>
  <c r="E80" i="69" a="1"/>
  <c r="E80" i="69" s="1"/>
  <c r="D75" i="69"/>
  <c r="D75" i="69" a="1"/>
  <c r="D74" i="69" a="1"/>
  <c r="D74" i="69" s="1"/>
  <c r="E69" i="69"/>
  <c r="D69" i="69"/>
  <c r="E68" i="69"/>
  <c r="D68" i="69"/>
  <c r="L61" i="69"/>
  <c r="K61" i="69"/>
  <c r="I61" i="69"/>
  <c r="H61" i="69"/>
  <c r="G61" i="69"/>
  <c r="G69" i="69" s="1" a="1"/>
  <c r="G69" i="69" s="1"/>
  <c r="G110" i="69" s="1" a="1"/>
  <c r="G110" i="69" s="1"/>
  <c r="F61" i="69"/>
  <c r="E61" i="69"/>
  <c r="J61" i="69" s="1"/>
  <c r="D61" i="69"/>
  <c r="L60" i="69"/>
  <c r="K60" i="69"/>
  <c r="J60" i="69"/>
  <c r="H60" i="69"/>
  <c r="G60" i="69"/>
  <c r="F60" i="69"/>
  <c r="E60" i="69"/>
  <c r="I60" i="69" s="1"/>
  <c r="D60" i="69"/>
  <c r="G54" i="69"/>
  <c r="G53" i="69"/>
  <c r="G52" i="69"/>
  <c r="D52" i="69" a="1"/>
  <c r="D52" i="69" s="1"/>
  <c r="E50" i="69"/>
  <c r="E50" i="69" a="1"/>
  <c r="E49" i="69"/>
  <c r="E49" i="69" a="1"/>
  <c r="D44" i="69"/>
  <c r="D44" i="69" a="1"/>
  <c r="D43" i="69" a="1"/>
  <c r="D43" i="69" s="1"/>
  <c r="E39" i="69"/>
  <c r="D39" i="69"/>
  <c r="L38" i="69" a="1"/>
  <c r="L38" i="69" s="1"/>
  <c r="K38" i="69"/>
  <c r="K38" i="69" a="1"/>
  <c r="I38" i="69" a="1"/>
  <c r="I38" i="69" s="1"/>
  <c r="G38" i="69" a="1"/>
  <c r="G38" i="69" s="1"/>
  <c r="F38" i="69" a="1"/>
  <c r="F38" i="69" s="1"/>
  <c r="E38" i="69"/>
  <c r="J38" i="69" s="1" a="1"/>
  <c r="J38" i="69" s="1"/>
  <c r="D38" i="69"/>
  <c r="L31" i="69"/>
  <c r="K31" i="69"/>
  <c r="J31" i="69"/>
  <c r="H31" i="69"/>
  <c r="G31" i="69"/>
  <c r="F31" i="69"/>
  <c r="E31" i="69"/>
  <c r="I31" i="69" s="1"/>
  <c r="D31" i="69"/>
  <c r="L30" i="69"/>
  <c r="K30" i="69"/>
  <c r="J30" i="69"/>
  <c r="H30" i="69"/>
  <c r="G30" i="69"/>
  <c r="E30" i="69"/>
  <c r="I30" i="69" s="1"/>
  <c r="D30" i="69"/>
  <c r="G23" i="69"/>
  <c r="E23" i="69"/>
  <c r="F23" i="69" s="1"/>
  <c r="F39" i="69" s="1" a="1"/>
  <c r="F39" i="69" s="1"/>
  <c r="D23" i="69"/>
  <c r="F22" i="69"/>
  <c r="E22" i="69"/>
  <c r="L22" i="69" s="1"/>
  <c r="L68" i="69" s="1" a="1"/>
  <c r="L68" i="69" s="1"/>
  <c r="L107" i="69" s="1" a="1"/>
  <c r="L107" i="69" s="1"/>
  <c r="D22" i="69"/>
  <c r="H16" i="69"/>
  <c r="H15" i="69"/>
  <c r="D15" i="69" a="1"/>
  <c r="D15" i="69" s="1"/>
  <c r="E13" i="69" a="1"/>
  <c r="E13" i="69" s="1"/>
  <c r="E12" i="69"/>
  <c r="E12" i="69" a="1"/>
  <c r="D8" i="69"/>
  <c r="D8" i="69" a="1"/>
  <c r="D6" i="69"/>
  <c r="D6" i="69" a="1"/>
  <c r="D5" i="69" a="1"/>
  <c r="D5" i="69" s="1"/>
  <c r="D60" i="79"/>
  <c r="D59" i="79"/>
  <c r="D58" i="79"/>
  <c r="D57" i="79"/>
  <c r="G56" i="79" a="1"/>
  <c r="G56" i="79" s="1"/>
  <c r="D56" i="79"/>
  <c r="G55" i="79" a="1"/>
  <c r="G55" i="79" s="1"/>
  <c r="D55" i="79"/>
  <c r="G54" i="79" a="1"/>
  <c r="G54" i="79" s="1"/>
  <c r="D54" i="79"/>
  <c r="E47" i="79"/>
  <c r="D47" i="79"/>
  <c r="L46" i="79"/>
  <c r="K46" i="79"/>
  <c r="E46" i="79"/>
  <c r="D46" i="79"/>
  <c r="L45" i="79"/>
  <c r="K45" i="79"/>
  <c r="H45" i="79"/>
  <c r="G45" i="79"/>
  <c r="E45" i="79"/>
  <c r="D45" i="79"/>
  <c r="L44" i="79"/>
  <c r="K44" i="79"/>
  <c r="H44" i="79"/>
  <c r="G44" i="79"/>
  <c r="E44" i="79"/>
  <c r="D44" i="79"/>
  <c r="L43" i="79"/>
  <c r="K43" i="79"/>
  <c r="H43" i="79"/>
  <c r="G43" i="79"/>
  <c r="E43" i="79"/>
  <c r="D43" i="79"/>
  <c r="L42" i="79"/>
  <c r="K42" i="79"/>
  <c r="H42" i="79"/>
  <c r="G42" i="79"/>
  <c r="E42" i="79"/>
  <c r="D42" i="79"/>
  <c r="L41" i="79"/>
  <c r="K41" i="79"/>
  <c r="H41" i="79"/>
  <c r="G41" i="79"/>
  <c r="E41" i="79"/>
  <c r="D41" i="79"/>
  <c r="M35" i="79" a="1"/>
  <c r="M35" i="79" s="1"/>
  <c r="L35" i="79" a="1"/>
  <c r="L35" i="79" s="1"/>
  <c r="K35" i="79" a="1"/>
  <c r="K35" i="79" s="1"/>
  <c r="J35" i="79" a="1"/>
  <c r="J35" i="79" s="1"/>
  <c r="I35" i="79" a="1"/>
  <c r="I35" i="79" s="1"/>
  <c r="H35" i="79" a="1"/>
  <c r="H35" i="79" s="1"/>
  <c r="G35" i="79" a="1"/>
  <c r="G35" i="79" s="1"/>
  <c r="F35" i="79" a="1"/>
  <c r="F35" i="79" s="1"/>
  <c r="E35" i="79" a="1"/>
  <c r="E35" i="79" s="1"/>
  <c r="D35" i="79" a="1"/>
  <c r="D35" i="79" s="1"/>
  <c r="M34" i="79" a="1"/>
  <c r="M34" i="79" s="1"/>
  <c r="L34" i="79" a="1"/>
  <c r="L34" i="79" s="1"/>
  <c r="K34" i="79" a="1"/>
  <c r="K34" i="79" s="1"/>
  <c r="J34" i="79" a="1"/>
  <c r="J34" i="79" s="1"/>
  <c r="I34" i="79" a="1"/>
  <c r="I34" i="79" s="1"/>
  <c r="H34" i="79" a="1"/>
  <c r="H34" i="79" s="1"/>
  <c r="G34" i="79" a="1"/>
  <c r="G34" i="79" s="1"/>
  <c r="F34" i="79" a="1"/>
  <c r="F34" i="79" s="1"/>
  <c r="E34" i="79" a="1"/>
  <c r="E34" i="79" s="1"/>
  <c r="D34" i="79" a="1"/>
  <c r="D34" i="79" s="1"/>
  <c r="M33" i="79" a="1"/>
  <c r="M33" i="79" s="1"/>
  <c r="L33" i="79" a="1"/>
  <c r="L33" i="79" s="1"/>
  <c r="K33" i="79" a="1"/>
  <c r="K33" i="79" s="1"/>
  <c r="J33" i="79" a="1"/>
  <c r="J33" i="79" s="1"/>
  <c r="I33" i="79" a="1"/>
  <c r="I33" i="79" s="1"/>
  <c r="H33" i="79" a="1"/>
  <c r="H33" i="79" s="1"/>
  <c r="G33" i="79" a="1"/>
  <c r="G33" i="79" s="1"/>
  <c r="F33" i="79" a="1"/>
  <c r="F33" i="79" s="1"/>
  <c r="E33" i="79" a="1"/>
  <c r="E33" i="79" s="1"/>
  <c r="D33" i="79" a="1"/>
  <c r="D33" i="79" s="1"/>
  <c r="M32" i="79" a="1"/>
  <c r="M32" i="79" s="1"/>
  <c r="L32" i="79" a="1"/>
  <c r="L32" i="79" s="1"/>
  <c r="K32" i="79" a="1"/>
  <c r="K32" i="79" s="1"/>
  <c r="J32" i="79" a="1"/>
  <c r="J32" i="79" s="1"/>
  <c r="I32" i="79" a="1"/>
  <c r="I32" i="79" s="1"/>
  <c r="H32" i="79" a="1"/>
  <c r="H32" i="79" s="1"/>
  <c r="G32" i="79" a="1"/>
  <c r="G32" i="79" s="1"/>
  <c r="F32" i="79" a="1"/>
  <c r="F32" i="79" s="1"/>
  <c r="E32" i="79" a="1"/>
  <c r="E32" i="79" s="1"/>
  <c r="D32" i="79" a="1"/>
  <c r="D32" i="79" s="1"/>
  <c r="M31" i="79" a="1"/>
  <c r="M31" i="79" s="1"/>
  <c r="L31" i="79" a="1"/>
  <c r="L31" i="79" s="1"/>
  <c r="K31" i="79" a="1"/>
  <c r="K31" i="79" s="1"/>
  <c r="J31" i="79" a="1"/>
  <c r="J31" i="79" s="1"/>
  <c r="I31" i="79" a="1"/>
  <c r="I31" i="79" s="1"/>
  <c r="H31" i="79" a="1"/>
  <c r="H31" i="79" s="1"/>
  <c r="G31" i="79" a="1"/>
  <c r="G31" i="79" s="1"/>
  <c r="F31" i="79" a="1"/>
  <c r="F31" i="79" s="1"/>
  <c r="E31" i="79" a="1"/>
  <c r="E31" i="79" s="1"/>
  <c r="D31" i="79" a="1"/>
  <c r="D31" i="79" s="1"/>
  <c r="M30" i="79" a="1"/>
  <c r="M30" i="79" s="1"/>
  <c r="L30" i="79" a="1"/>
  <c r="L30" i="79" s="1"/>
  <c r="K30" i="79" a="1"/>
  <c r="K30" i="79" s="1"/>
  <c r="J30" i="79" a="1"/>
  <c r="J30" i="79" s="1"/>
  <c r="I30" i="79" a="1"/>
  <c r="I30" i="79" s="1"/>
  <c r="H30" i="79" a="1"/>
  <c r="H30" i="79" s="1"/>
  <c r="G30" i="79" a="1"/>
  <c r="G30" i="79" s="1"/>
  <c r="F30" i="79" a="1"/>
  <c r="F30" i="79" s="1"/>
  <c r="E30" i="79" a="1"/>
  <c r="E30" i="79" s="1"/>
  <c r="D30" i="79" a="1"/>
  <c r="D30" i="79" s="1"/>
  <c r="M29" i="79" a="1"/>
  <c r="M29" i="79" s="1"/>
  <c r="L29" i="79" a="1"/>
  <c r="L29" i="79" s="1"/>
  <c r="K29" i="79" a="1"/>
  <c r="K29" i="79" s="1"/>
  <c r="J29" i="79" a="1"/>
  <c r="J29" i="79" s="1"/>
  <c r="I29" i="79" a="1"/>
  <c r="I29" i="79" s="1"/>
  <c r="H29" i="79" a="1"/>
  <c r="H29" i="79" s="1"/>
  <c r="G29" i="79" a="1"/>
  <c r="G29" i="79" s="1"/>
  <c r="F29" i="79" a="1"/>
  <c r="F29" i="79" s="1"/>
  <c r="E29" i="79" a="1"/>
  <c r="E29" i="79" s="1"/>
  <c r="D29" i="79" a="1"/>
  <c r="D29" i="79" s="1"/>
  <c r="D26" i="79" a="1"/>
  <c r="D26" i="79" s="1"/>
  <c r="D25" i="79" a="1"/>
  <c r="D25" i="79" s="1"/>
  <c r="D24" i="79" a="1"/>
  <c r="D24" i="79" s="1"/>
  <c r="F21" i="79" a="1"/>
  <c r="F21" i="79" s="1"/>
  <c r="E21" i="79" a="1"/>
  <c r="E21" i="79" s="1"/>
  <c r="D21" i="79" a="1"/>
  <c r="D21" i="79" s="1"/>
  <c r="D20" i="79" a="1"/>
  <c r="D20" i="79" s="1"/>
  <c r="D19" i="79" a="1"/>
  <c r="D19" i="79" s="1"/>
  <c r="E16" i="79" a="1"/>
  <c r="E16" i="79" s="1"/>
  <c r="D16" i="79" a="1"/>
  <c r="D16" i="79" s="1"/>
  <c r="E15" i="79" a="1"/>
  <c r="E15" i="79" s="1"/>
  <c r="D15" i="79" a="1"/>
  <c r="D15" i="79" s="1"/>
  <c r="E14" i="79" a="1"/>
  <c r="E14" i="79" s="1"/>
  <c r="D14" i="79" a="1"/>
  <c r="D14" i="79" s="1"/>
  <c r="E13" i="79" a="1"/>
  <c r="E13" i="79" s="1"/>
  <c r="D13" i="79" a="1"/>
  <c r="D13" i="79" s="1"/>
  <c r="E12" i="79" a="1"/>
  <c r="E12" i="79" s="1"/>
  <c r="D12" i="79" a="1"/>
  <c r="D12" i="79" s="1"/>
  <c r="E11" i="79" a="1"/>
  <c r="E11" i="79" s="1"/>
  <c r="D11" i="79" a="1"/>
  <c r="D11" i="79" s="1"/>
  <c r="E10" i="79" a="1"/>
  <c r="E10" i="79" s="1"/>
  <c r="D10" i="79" a="1"/>
  <c r="D10" i="79" s="1"/>
  <c r="D7" i="79" a="1"/>
  <c r="D7" i="79" s="1"/>
  <c r="D6" i="79" a="1"/>
  <c r="D6" i="79" s="1"/>
  <c r="D5" i="79" a="1"/>
  <c r="D5" i="79" s="1"/>
  <c r="K11" i="70" a="1"/>
  <c r="K11" i="70" s="1"/>
  <c r="J11" i="70" a="1"/>
  <c r="J11" i="70" s="1"/>
  <c r="I11" i="70" a="1"/>
  <c r="I11" i="70" s="1"/>
  <c r="H11" i="70" a="1"/>
  <c r="H11" i="70" s="1"/>
  <c r="G11" i="70" a="1"/>
  <c r="G11" i="70" s="1"/>
  <c r="F11" i="70" a="1"/>
  <c r="F11" i="70" s="1"/>
  <c r="E11" i="70" a="1"/>
  <c r="E11" i="70" s="1"/>
  <c r="E182" i="69" a="1"/>
  <c r="E76" i="69" a="1"/>
  <c r="E7" i="69" a="1"/>
  <c r="E116" i="69" a="1"/>
  <c r="E45" i="69" a="1"/>
  <c r="E210" i="69" a="1"/>
  <c r="E229" i="69" a="1"/>
  <c r="E229" i="69" l="1"/>
  <c r="E210" i="69"/>
  <c r="E45" i="69"/>
  <c r="E116" i="69"/>
  <c r="E7" i="69"/>
  <c r="E76" i="69"/>
  <c r="E182" i="69"/>
  <c r="H69" i="69" a="1"/>
  <c r="H69" i="69" s="1"/>
  <c r="H110" i="69" s="1" a="1"/>
  <c r="H110" i="69" s="1"/>
  <c r="K39" i="69" a="1"/>
  <c r="K39" i="69" s="1"/>
  <c r="K202" i="69" s="1" a="1"/>
  <c r="K202" i="69" s="1"/>
  <c r="F109" i="69" a="1"/>
  <c r="F109" i="69" s="1"/>
  <c r="M165" i="69" a="1"/>
  <c r="M165" i="69" s="1"/>
  <c r="L170" i="69" a="1"/>
  <c r="L170" i="69" s="1"/>
  <c r="L69" i="69" a="1"/>
  <c r="L69" i="69" s="1"/>
  <c r="L110" i="69" s="1" a="1"/>
  <c r="L110" i="69" s="1"/>
  <c r="M175" i="69" s="1" a="1"/>
  <c r="M175" i="69" s="1"/>
  <c r="L143" i="69"/>
  <c r="K143" i="69"/>
  <c r="J143" i="69"/>
  <c r="I143" i="69"/>
  <c r="H143" i="69"/>
  <c r="H174" i="69" s="1" a="1"/>
  <c r="H174" i="69" s="1"/>
  <c r="G143" i="69"/>
  <c r="M143" i="69"/>
  <c r="H287" i="69" a="1"/>
  <c r="H287" i="69" s="1"/>
  <c r="K110" i="69" a="1"/>
  <c r="K110" i="69" s="1"/>
  <c r="L174" i="69" s="1" a="1"/>
  <c r="L174" i="69" s="1"/>
  <c r="H175" i="69" a="1"/>
  <c r="H175" i="69" s="1"/>
  <c r="K69" i="69" a="1"/>
  <c r="K69" i="69" s="1"/>
  <c r="K203" i="69" s="1" a="1"/>
  <c r="K203" i="69" s="1"/>
  <c r="H288" i="69" a="1"/>
  <c r="H288" i="69" s="1"/>
  <c r="G139" i="69"/>
  <c r="M139" i="69"/>
  <c r="K139" i="69"/>
  <c r="L139" i="69"/>
  <c r="J139" i="69"/>
  <c r="I139" i="69"/>
  <c r="H139" i="69"/>
  <c r="G173" i="69" a="1"/>
  <c r="G173" i="69" s="1"/>
  <c r="L109" i="69" a="1"/>
  <c r="L109" i="69" s="1"/>
  <c r="M172" i="69" s="1" a="1"/>
  <c r="M172" i="69" s="1"/>
  <c r="H176" i="69" a="1"/>
  <c r="H176" i="69" s="1"/>
  <c r="H289" i="69" a="1"/>
  <c r="H289" i="69" s="1"/>
  <c r="K168" i="69" a="1"/>
  <c r="K168" i="69" s="1"/>
  <c r="L168" i="69" a="1"/>
  <c r="L168" i="69" s="1"/>
  <c r="J168" i="69" a="1"/>
  <c r="J168" i="69" s="1"/>
  <c r="I168" i="69" a="1"/>
  <c r="I168" i="69" s="1"/>
  <c r="H203" i="69" a="1"/>
  <c r="H203" i="69" s="1"/>
  <c r="M200" i="69"/>
  <c r="M203" i="69"/>
  <c r="M202" i="69"/>
  <c r="M201" i="69"/>
  <c r="I68" i="69" a="1"/>
  <c r="I68" i="69" s="1"/>
  <c r="I107" i="69" a="1"/>
  <c r="I107" i="69" s="1"/>
  <c r="J167" i="69" s="1" a="1"/>
  <c r="J167" i="69" s="1"/>
  <c r="F69" i="69" a="1"/>
  <c r="F69" i="69" s="1"/>
  <c r="F110" i="69" s="1" a="1"/>
  <c r="F110" i="69" s="1"/>
  <c r="G169" i="69" a="1"/>
  <c r="G169" i="69" s="1"/>
  <c r="M169" i="69" a="1"/>
  <c r="M169" i="69" s="1"/>
  <c r="H169" i="69" a="1"/>
  <c r="H169" i="69" s="1"/>
  <c r="M170" i="69" a="1"/>
  <c r="M170" i="69" s="1"/>
  <c r="L281" i="69"/>
  <c r="L288" i="69"/>
  <c r="G136" i="69"/>
  <c r="I145" i="69"/>
  <c r="I23" i="69"/>
  <c r="I39" i="69" s="1" a="1"/>
  <c r="I39" i="69" s="1"/>
  <c r="H38" i="69" a="1"/>
  <c r="H38" i="69" s="1"/>
  <c r="G39" i="69" a="1"/>
  <c r="G39" i="69" s="1"/>
  <c r="G109" i="69" s="1" a="1"/>
  <c r="G109" i="69" s="1"/>
  <c r="H173" i="69" s="1" a="1"/>
  <c r="H173" i="69" s="1"/>
  <c r="M110" i="69"/>
  <c r="L134" i="69"/>
  <c r="H136" i="69"/>
  <c r="M137" i="69"/>
  <c r="M168" i="69" s="1" a="1"/>
  <c r="M168" i="69" s="1"/>
  <c r="M140" i="69"/>
  <c r="I142" i="69"/>
  <c r="J145" i="69"/>
  <c r="N165" i="69"/>
  <c r="N174" i="69"/>
  <c r="J23" i="69"/>
  <c r="J69" i="69" s="1" a="1"/>
  <c r="J69" i="69" s="1"/>
  <c r="K107" i="69" a="1"/>
  <c r="K107" i="69" s="1"/>
  <c r="L165" i="69" s="1" a="1"/>
  <c r="L165" i="69" s="1"/>
  <c r="H109" i="69" a="1"/>
  <c r="H109" i="69" s="1"/>
  <c r="I172" i="69" s="1" a="1"/>
  <c r="I172" i="69" s="1"/>
  <c r="I136" i="69"/>
  <c r="K145" i="69"/>
  <c r="M166" i="69" a="1"/>
  <c r="M166" i="69" s="1"/>
  <c r="G170" i="69" a="1"/>
  <c r="G170" i="69" s="1"/>
  <c r="N170" i="69"/>
  <c r="L282" i="69"/>
  <c r="L289" i="69"/>
  <c r="L202" i="69" a="1"/>
  <c r="L202" i="69" s="1"/>
  <c r="G138" i="69"/>
  <c r="G141" i="69"/>
  <c r="M145" i="69"/>
  <c r="N166" i="69"/>
  <c r="L283" i="69"/>
  <c r="F292" i="69"/>
  <c r="H23" i="69"/>
  <c r="H39" i="69" s="1" a="1"/>
  <c r="H39" i="69" s="1"/>
  <c r="H202" i="69" s="1" a="1"/>
  <c r="H202" i="69" s="1"/>
  <c r="G22" i="69"/>
  <c r="G68" i="69" s="1" a="1"/>
  <c r="G68" i="69" s="1"/>
  <c r="L23" i="69"/>
  <c r="L39" i="69" s="1" a="1"/>
  <c r="L39" i="69" s="1"/>
  <c r="H22" i="69"/>
  <c r="H68" i="69" s="1" a="1"/>
  <c r="H68" i="69" s="1"/>
  <c r="G135" i="69"/>
  <c r="L136" i="69"/>
  <c r="H138" i="69"/>
  <c r="H141" i="69"/>
  <c r="M142" i="69"/>
  <c r="I144" i="69"/>
  <c r="M167" i="69" a="1"/>
  <c r="M167" i="69" s="1"/>
  <c r="I200" i="69" a="1"/>
  <c r="I200" i="69" s="1"/>
  <c r="G223" i="69" s="1" a="1"/>
  <c r="G223" i="69" s="1"/>
  <c r="H282" i="69" s="1" a="1"/>
  <c r="H282" i="69" s="1"/>
  <c r="F202" i="69" a="1"/>
  <c r="F202" i="69" s="1"/>
  <c r="J136" i="69"/>
  <c r="H170" i="69" a="1"/>
  <c r="H170" i="69" s="1"/>
  <c r="I22" i="69"/>
  <c r="M107" i="69"/>
  <c r="H135" i="69"/>
  <c r="M136" i="69"/>
  <c r="I138" i="69"/>
  <c r="I169" i="69" s="1" a="1"/>
  <c r="I169" i="69" s="1"/>
  <c r="I141" i="69"/>
  <c r="J144" i="69"/>
  <c r="I170" i="69" a="1"/>
  <c r="I170" i="69" s="1"/>
  <c r="G171" i="69" a="1"/>
  <c r="G171" i="69" s="1"/>
  <c r="N171" i="69"/>
  <c r="L284" i="69"/>
  <c r="N175" i="69"/>
  <c r="J22" i="69"/>
  <c r="J68" i="69" s="1" a="1"/>
  <c r="J68" i="69" s="1"/>
  <c r="J200" i="69" s="1" a="1"/>
  <c r="J200" i="69" s="1"/>
  <c r="H223" i="69" s="1" a="1"/>
  <c r="H223" i="69" s="1"/>
  <c r="F30" i="69"/>
  <c r="F68" i="69" s="1" a="1"/>
  <c r="F68" i="69" s="1"/>
  <c r="I135" i="69"/>
  <c r="J138" i="69"/>
  <c r="J169" i="69" s="1" a="1"/>
  <c r="J169" i="69" s="1"/>
  <c r="J141" i="69"/>
  <c r="K144" i="69"/>
  <c r="J165" i="69" a="1"/>
  <c r="J165" i="69" s="1"/>
  <c r="N167" i="69"/>
  <c r="N176" i="69"/>
  <c r="K23" i="69"/>
  <c r="K22" i="69"/>
  <c r="K68" i="69" s="1" a="1"/>
  <c r="K68" i="69" s="1"/>
  <c r="K200" i="69" s="1" a="1"/>
  <c r="K200" i="69" s="1"/>
  <c r="I223" i="69" s="1" a="1"/>
  <c r="I223" i="69" s="1"/>
  <c r="J135" i="69"/>
  <c r="K138" i="69"/>
  <c r="K169" i="69" s="1" a="1"/>
  <c r="K169" i="69" s="1"/>
  <c r="K141" i="69"/>
  <c r="L144" i="69"/>
  <c r="J170" i="69" a="1"/>
  <c r="J170" i="69" s="1"/>
  <c r="H171" i="69" a="1"/>
  <c r="H171" i="69" s="1"/>
  <c r="L278" i="69"/>
  <c r="L285" i="69"/>
  <c r="M108" i="69"/>
  <c r="K135" i="69"/>
  <c r="G137" i="69"/>
  <c r="G168" i="69" s="1" a="1"/>
  <c r="G168" i="69" s="1"/>
  <c r="L138" i="69"/>
  <c r="L169" i="69" s="1" a="1"/>
  <c r="L169" i="69" s="1"/>
  <c r="G140" i="69"/>
  <c r="L141" i="69"/>
  <c r="E153" i="69" a="1"/>
  <c r="E153" i="69" s="1"/>
  <c r="G172" i="69" a="1"/>
  <c r="G172" i="69" s="1"/>
  <c r="N172" i="69"/>
  <c r="G134" i="69"/>
  <c r="H137" i="69"/>
  <c r="H168" i="69" s="1" a="1"/>
  <c r="H168" i="69" s="1"/>
  <c r="H140" i="69"/>
  <c r="N168" i="69"/>
  <c r="K170" i="69" a="1"/>
  <c r="K170" i="69" s="1"/>
  <c r="G203" i="69" a="1"/>
  <c r="G203" i="69" s="1"/>
  <c r="L279" i="69"/>
  <c r="L286" i="69"/>
  <c r="L200" i="69" a="1"/>
  <c r="L200" i="69" s="1"/>
  <c r="J223" i="69" s="1" a="1"/>
  <c r="J223" i="69" s="1"/>
  <c r="K288" i="69" s="1" a="1"/>
  <c r="K288" i="69" s="1"/>
  <c r="J137" i="69"/>
  <c r="J140" i="69"/>
  <c r="G145" i="69"/>
  <c r="N173" i="69"/>
  <c r="L280" i="69"/>
  <c r="I175" i="69" l="1" a="1"/>
  <c r="I175" i="69" s="1"/>
  <c r="I176" i="69" a="1"/>
  <c r="I176" i="69" s="1"/>
  <c r="I174" i="69" a="1"/>
  <c r="I174" i="69" s="1"/>
  <c r="J110" i="69" a="1"/>
  <c r="J110" i="69" s="1"/>
  <c r="J203" i="69" a="1"/>
  <c r="J203" i="69" s="1"/>
  <c r="J285" i="69" a="1"/>
  <c r="J285" i="69" s="1"/>
  <c r="J280" i="69" a="1"/>
  <c r="J280" i="69" s="1"/>
  <c r="J279" i="69" a="1"/>
  <c r="J279" i="69" s="1"/>
  <c r="J281" i="69" a="1"/>
  <c r="J281" i="69" s="1"/>
  <c r="J282" i="69" a="1"/>
  <c r="J282" i="69" s="1"/>
  <c r="J289" i="69" a="1"/>
  <c r="J289" i="69" s="1"/>
  <c r="J287" i="69" a="1"/>
  <c r="J287" i="69" s="1"/>
  <c r="J283" i="69" a="1"/>
  <c r="J283" i="69" s="1"/>
  <c r="J278" i="69" a="1"/>
  <c r="J278" i="69" s="1"/>
  <c r="J286" i="69" a="1"/>
  <c r="J286" i="69" s="1"/>
  <c r="J288" i="69" a="1"/>
  <c r="J288" i="69" s="1"/>
  <c r="J284" i="69" a="1"/>
  <c r="J284" i="69" s="1"/>
  <c r="G174" i="69" a="1"/>
  <c r="G174" i="69" s="1"/>
  <c r="G175" i="69" a="1"/>
  <c r="G175" i="69" s="1"/>
  <c r="G176" i="69" a="1"/>
  <c r="G176" i="69" s="1"/>
  <c r="H107" i="69" a="1"/>
  <c r="H107" i="69" s="1"/>
  <c r="H200" i="69" a="1"/>
  <c r="H200" i="69" s="1"/>
  <c r="F223" i="69" s="1" a="1"/>
  <c r="F223" i="69" s="1"/>
  <c r="G107" i="69" a="1"/>
  <c r="G107" i="69" s="1"/>
  <c r="G200" i="69" a="1"/>
  <c r="G200" i="69" s="1"/>
  <c r="E223" i="69" s="1" a="1"/>
  <c r="E223" i="69" s="1"/>
  <c r="F107" i="69" a="1"/>
  <c r="F107" i="69" s="1"/>
  <c r="F200" i="69" a="1"/>
  <c r="F200" i="69" s="1"/>
  <c r="D223" i="69" s="1" a="1"/>
  <c r="D223" i="69" s="1"/>
  <c r="I288" i="69" a="1"/>
  <c r="I288" i="69" s="1"/>
  <c r="I281" i="69" a="1"/>
  <c r="I281" i="69" s="1"/>
  <c r="I287" i="69" a="1"/>
  <c r="I287" i="69" s="1"/>
  <c r="I280" i="69" a="1"/>
  <c r="I280" i="69" s="1"/>
  <c r="I284" i="69" a="1"/>
  <c r="I284" i="69" s="1"/>
  <c r="I278" i="69" a="1"/>
  <c r="I278" i="69" s="1"/>
  <c r="I282" i="69" a="1"/>
  <c r="I282" i="69" s="1"/>
  <c r="I285" i="69" a="1"/>
  <c r="I285" i="69" s="1"/>
  <c r="I283" i="69" a="1"/>
  <c r="I283" i="69" s="1"/>
  <c r="I289" i="69" a="1"/>
  <c r="I289" i="69" s="1"/>
  <c r="I286" i="69" a="1"/>
  <c r="I286" i="69" s="1"/>
  <c r="I279" i="69" a="1"/>
  <c r="I279" i="69" s="1"/>
  <c r="I109" i="69" a="1"/>
  <c r="I109" i="69" s="1"/>
  <c r="I202" i="69" a="1"/>
  <c r="I202" i="69" s="1"/>
  <c r="K280" i="69" a="1"/>
  <c r="K280" i="69" s="1"/>
  <c r="K281" i="69" a="1"/>
  <c r="K281" i="69" s="1"/>
  <c r="I69" i="69" a="1"/>
  <c r="I69" i="69" s="1"/>
  <c r="H278" i="69" a="1"/>
  <c r="H278" i="69" s="1"/>
  <c r="J166" i="69" a="1"/>
  <c r="J166" i="69" s="1"/>
  <c r="L176" i="69" a="1"/>
  <c r="L176" i="69" s="1"/>
  <c r="L175" i="69" a="1"/>
  <c r="L175" i="69" s="1"/>
  <c r="M171" i="69" a="1"/>
  <c r="M171" i="69" s="1"/>
  <c r="I171" i="69" a="1"/>
  <c r="I171" i="69" s="1"/>
  <c r="M173" i="69" a="1"/>
  <c r="M173" i="69" s="1"/>
  <c r="H279" i="69" a="1"/>
  <c r="H279" i="69" s="1"/>
  <c r="H284" i="69" a="1"/>
  <c r="H284" i="69" s="1"/>
  <c r="H286" i="69" a="1"/>
  <c r="H286" i="69" s="1"/>
  <c r="I173" i="69" a="1"/>
  <c r="I173" i="69" s="1"/>
  <c r="H280" i="69" a="1"/>
  <c r="H280" i="69" s="1"/>
  <c r="J39" i="69" a="1"/>
  <c r="J39" i="69" s="1"/>
  <c r="J107" i="69" a="1"/>
  <c r="J107" i="69" s="1"/>
  <c r="M174" i="69" a="1"/>
  <c r="M174" i="69" s="1"/>
  <c r="H281" i="69" a="1"/>
  <c r="H281" i="69" s="1"/>
  <c r="H283" i="69" a="1"/>
  <c r="H283" i="69" s="1"/>
  <c r="L166" i="69" a="1"/>
  <c r="L166" i="69" s="1"/>
  <c r="H285" i="69" a="1"/>
  <c r="H285" i="69" s="1"/>
  <c r="L167" i="69" a="1"/>
  <c r="L167" i="69" s="1"/>
  <c r="H172" i="69" a="1"/>
  <c r="H172" i="69" s="1"/>
  <c r="K287" i="69" a="1"/>
  <c r="K287" i="69" s="1"/>
  <c r="K109" i="69" a="1"/>
  <c r="K109" i="69" s="1"/>
  <c r="M176" i="69" a="1"/>
  <c r="M176" i="69" s="1"/>
  <c r="K284" i="69" a="1"/>
  <c r="K284" i="69" s="1"/>
  <c r="G202" i="69" a="1"/>
  <c r="G202" i="69" s="1"/>
  <c r="F203" i="69" a="1"/>
  <c r="F203" i="69" s="1"/>
  <c r="K286" i="69" a="1"/>
  <c r="K286" i="69" s="1"/>
  <c r="K279" i="69" a="1"/>
  <c r="K279" i="69" s="1"/>
  <c r="K285" i="69" a="1"/>
  <c r="K285" i="69" s="1"/>
  <c r="K278" i="69" a="1"/>
  <c r="K278" i="69" s="1"/>
  <c r="K289" i="69" a="1"/>
  <c r="K289" i="69" s="1"/>
  <c r="K282" i="69" a="1"/>
  <c r="K282" i="69" s="1"/>
  <c r="L203" i="69" a="1"/>
  <c r="L203" i="69" s="1"/>
  <c r="K283" i="69" a="1"/>
  <c r="K283" i="69" s="1"/>
  <c r="E285" i="69" l="1" a="1"/>
  <c r="E285" i="69" s="1"/>
  <c r="E278" i="69" a="1"/>
  <c r="E278" i="69" s="1"/>
  <c r="E292" i="69" s="1"/>
  <c r="G294" i="69" s="1"/>
  <c r="E297" i="69" s="1" a="1"/>
  <c r="E297" i="69" s="1"/>
  <c r="E284" i="69" a="1"/>
  <c r="E284" i="69" s="1"/>
  <c r="E288" i="69" a="1"/>
  <c r="E288" i="69" s="1"/>
  <c r="E281" i="69" a="1"/>
  <c r="E281" i="69" s="1"/>
  <c r="E287" i="69" a="1"/>
  <c r="E287" i="69" s="1"/>
  <c r="E279" i="69" a="1"/>
  <c r="E279" i="69" s="1"/>
  <c r="E289" i="69" a="1"/>
  <c r="E289" i="69" s="1"/>
  <c r="E286" i="69" a="1"/>
  <c r="E286" i="69" s="1"/>
  <c r="E283" i="69" a="1"/>
  <c r="E283" i="69" s="1"/>
  <c r="E282" i="69" a="1"/>
  <c r="E282" i="69" s="1"/>
  <c r="E280" i="69" a="1"/>
  <c r="E280" i="69" s="1"/>
  <c r="J173" i="69" a="1"/>
  <c r="J173" i="69" s="1"/>
  <c r="J172" i="69" a="1"/>
  <c r="J172" i="69" s="1"/>
  <c r="J171" i="69" a="1"/>
  <c r="J171" i="69" s="1"/>
  <c r="G167" i="69" a="1"/>
  <c r="G167" i="69" s="1"/>
  <c r="G165" i="69" a="1"/>
  <c r="G165" i="69" s="1"/>
  <c r="G166" i="69" a="1"/>
  <c r="G166" i="69" s="1"/>
  <c r="G283" i="69" a="1"/>
  <c r="G283" i="69" s="1"/>
  <c r="G289" i="69" a="1"/>
  <c r="G289" i="69" s="1"/>
  <c r="G282" i="69" a="1"/>
  <c r="G282" i="69" s="1"/>
  <c r="G286" i="69" a="1"/>
  <c r="G286" i="69" s="1"/>
  <c r="G279" i="69" a="1"/>
  <c r="G279" i="69" s="1"/>
  <c r="G284" i="69" a="1"/>
  <c r="G284" i="69" s="1"/>
  <c r="G287" i="69" a="1"/>
  <c r="G287" i="69" s="1"/>
  <c r="G280" i="69" a="1"/>
  <c r="G280" i="69" s="1"/>
  <c r="G285" i="69" a="1"/>
  <c r="G285" i="69" s="1"/>
  <c r="G288" i="69" a="1"/>
  <c r="G288" i="69" s="1"/>
  <c r="G281" i="69" a="1"/>
  <c r="G281" i="69" s="1"/>
  <c r="G278" i="69" a="1"/>
  <c r="G278" i="69" s="1"/>
  <c r="I167" i="69" a="1"/>
  <c r="I167" i="69" s="1"/>
  <c r="I166" i="69" a="1"/>
  <c r="I166" i="69" s="1"/>
  <c r="I165" i="69" a="1"/>
  <c r="I165" i="69" s="1"/>
  <c r="J202" i="69" a="1"/>
  <c r="J202" i="69" s="1"/>
  <c r="J109" i="69" a="1"/>
  <c r="J109" i="69" s="1"/>
  <c r="F288" i="69" a="1"/>
  <c r="F288" i="69" s="1"/>
  <c r="F287" i="69" a="1"/>
  <c r="F287" i="69" s="1"/>
  <c r="F278" i="69" a="1"/>
  <c r="F278" i="69" s="1"/>
  <c r="F284" i="69" a="1"/>
  <c r="F284" i="69" s="1"/>
  <c r="F280" i="69" a="1"/>
  <c r="F280" i="69" s="1"/>
  <c r="F286" i="69" a="1"/>
  <c r="F286" i="69" s="1"/>
  <c r="F282" i="69" a="1"/>
  <c r="F282" i="69" s="1"/>
  <c r="F285" i="69" a="1"/>
  <c r="F285" i="69" s="1"/>
  <c r="F289" i="69" a="1"/>
  <c r="F289" i="69" s="1"/>
  <c r="F279" i="69" a="1"/>
  <c r="F279" i="69" s="1"/>
  <c r="F283" i="69" a="1"/>
  <c r="F283" i="69" s="1"/>
  <c r="F281" i="69" a="1"/>
  <c r="F281" i="69" s="1"/>
  <c r="H165" i="69" a="1"/>
  <c r="H165" i="69" s="1"/>
  <c r="H167" i="69" a="1"/>
  <c r="H167" i="69" s="1"/>
  <c r="H166" i="69" a="1"/>
  <c r="H166" i="69" s="1"/>
  <c r="K175" i="69" a="1"/>
  <c r="K175" i="69" s="1"/>
  <c r="K174" i="69" a="1"/>
  <c r="K174" i="69" s="1"/>
  <c r="K176" i="69" a="1"/>
  <c r="K176" i="69" s="1"/>
  <c r="L173" i="69" a="1"/>
  <c r="L173" i="69" s="1"/>
  <c r="L171" i="69" a="1"/>
  <c r="L171" i="69" s="1"/>
  <c r="L172" i="69" a="1"/>
  <c r="L172" i="69" s="1"/>
  <c r="K167" i="69" a="1"/>
  <c r="K167" i="69" s="1"/>
  <c r="K166" i="69" a="1"/>
  <c r="K166" i="69" s="1"/>
  <c r="K165" i="69" a="1"/>
  <c r="K165" i="69" s="1"/>
  <c r="I203" i="69" a="1"/>
  <c r="I203" i="69" s="1"/>
  <c r="I110" i="69" a="1"/>
  <c r="I110" i="69" s="1"/>
  <c r="K173" i="69" l="1" a="1"/>
  <c r="K173" i="69" s="1"/>
  <c r="K171" i="69" a="1"/>
  <c r="K171" i="69" s="1"/>
  <c r="K172" i="69" a="1"/>
  <c r="K172" i="69" s="1"/>
  <c r="J175" i="69" a="1"/>
  <c r="J175" i="69" s="1"/>
  <c r="J176" i="69" a="1"/>
  <c r="J176" i="69" s="1"/>
  <c r="J174" i="69" a="1"/>
  <c r="J174" i="69" s="1"/>
  <c r="A17" i="43" l="1"/>
  <c r="A8" i="43"/>
  <c r="A17" i="79"/>
  <c r="A8" i="79"/>
  <c r="A17" i="98"/>
  <c r="A8" i="98"/>
  <c r="A17" i="97"/>
  <c r="A8" i="97"/>
  <c r="A17" i="76"/>
  <c r="A8" i="76"/>
  <c r="A17" i="69"/>
  <c r="A8" i="69"/>
  <c r="A17" i="70"/>
  <c r="A8" i="70"/>
  <c r="A17" i="15"/>
  <c r="A8" i="15"/>
  <c r="A17" i="13"/>
  <c r="A8" i="13"/>
  <c r="G33" i="98"/>
  <c r="H223" i="76"/>
  <c r="E30" i="15"/>
  <c r="E33" i="15"/>
  <c r="E32" i="15"/>
  <c r="E31" i="15"/>
  <c r="G34" i="98"/>
  <c r="H30" i="97"/>
  <c r="H224" i="76"/>
  <c r="N39" i="98"/>
  <c r="G39" i="98"/>
  <c r="O38" i="97"/>
  <c r="G38" i="97"/>
  <c r="W262" i="76"/>
  <c r="G230" i="76"/>
  <c r="E224" i="103" a="1"/>
  <c r="E224" i="103" s="1"/>
  <c r="D224" i="103" a="1"/>
  <c r="D224" i="103" s="1"/>
  <c r="E223" i="103" a="1"/>
  <c r="E223" i="103" s="1"/>
  <c r="D223" i="103" a="1"/>
  <c r="D223" i="103" s="1"/>
  <c r="E222" i="103" a="1"/>
  <c r="E222" i="103" s="1"/>
  <c r="D222" i="103" a="1"/>
  <c r="D222" i="103" s="1"/>
  <c r="E221" i="103" a="1"/>
  <c r="E221" i="103" s="1"/>
  <c r="D221" i="103" a="1"/>
  <c r="D221" i="103" s="1"/>
  <c r="E220" i="103" a="1"/>
  <c r="E220" i="103" s="1"/>
  <c r="D220" i="103" a="1"/>
  <c r="D220" i="103" s="1"/>
  <c r="E219" i="103" a="1"/>
  <c r="E219" i="103" s="1"/>
  <c r="D219" i="103" a="1"/>
  <c r="D219" i="103" s="1"/>
  <c r="E218" i="103" a="1"/>
  <c r="E218" i="103" s="1"/>
  <c r="D218" i="103" a="1"/>
  <c r="D218" i="103" s="1"/>
  <c r="E217" i="103" a="1"/>
  <c r="E217" i="103" s="1"/>
  <c r="D217" i="103" a="1"/>
  <c r="D217" i="103" s="1"/>
  <c r="E216" i="103" a="1"/>
  <c r="E216" i="103" s="1"/>
  <c r="D216" i="103" a="1"/>
  <c r="D216" i="103" s="1"/>
  <c r="E215" i="103" a="1"/>
  <c r="E215" i="103" s="1"/>
  <c r="D215" i="103" a="1"/>
  <c r="D215" i="103" s="1"/>
  <c r="E214" i="103" a="1"/>
  <c r="E214" i="103" s="1"/>
  <c r="D214" i="103" a="1"/>
  <c r="D214" i="103" s="1"/>
  <c r="E213" i="103" a="1"/>
  <c r="E213" i="103" s="1"/>
  <c r="D213" i="103" a="1"/>
  <c r="D213" i="103" s="1"/>
  <c r="D211" i="103" a="1"/>
  <c r="D211" i="103" s="1"/>
  <c r="E208" i="103" a="1"/>
  <c r="E208" i="103" s="1"/>
  <c r="D208" i="103" a="1"/>
  <c r="D208" i="103" s="1"/>
  <c r="E207" i="103" a="1"/>
  <c r="E207" i="103" s="1"/>
  <c r="D207" i="103" a="1"/>
  <c r="D207" i="103" s="1"/>
  <c r="D205" i="103" a="1"/>
  <c r="D205" i="103" s="1"/>
  <c r="D204" i="103" a="1"/>
  <c r="D204" i="103" s="1"/>
  <c r="D203" i="103" a="1"/>
  <c r="D203" i="103" s="1"/>
  <c r="D202" i="103" a="1"/>
  <c r="D202" i="103" s="1"/>
  <c r="H199" i="103" a="1"/>
  <c r="H199" i="103" s="1"/>
  <c r="G199" i="103" a="1"/>
  <c r="G199" i="103" s="1"/>
  <c r="F199" i="103" a="1"/>
  <c r="F199" i="103" s="1"/>
  <c r="E199" i="103" a="1"/>
  <c r="E199" i="103" s="1"/>
  <c r="D199" i="103" a="1"/>
  <c r="D199" i="103" s="1"/>
  <c r="H198" i="103" a="1"/>
  <c r="H198" i="103" s="1"/>
  <c r="G198" i="103" a="1"/>
  <c r="G198" i="103" s="1"/>
  <c r="F198" i="103" a="1"/>
  <c r="F198" i="103" s="1"/>
  <c r="E198" i="103" a="1"/>
  <c r="E198" i="103" s="1"/>
  <c r="D198" i="103" a="1"/>
  <c r="D198" i="103" s="1"/>
  <c r="H197" i="103" a="1"/>
  <c r="H197" i="103" s="1"/>
  <c r="G197" i="103" a="1"/>
  <c r="G197" i="103" s="1"/>
  <c r="F197" i="103" a="1"/>
  <c r="F197" i="103" s="1"/>
  <c r="E197" i="103" a="1"/>
  <c r="E197" i="103" s="1"/>
  <c r="D197" i="103" a="1"/>
  <c r="D197" i="103" s="1"/>
  <c r="H196" i="103" a="1"/>
  <c r="H196" i="103" s="1"/>
  <c r="G196" i="103" a="1"/>
  <c r="G196" i="103" s="1"/>
  <c r="F196" i="103" a="1"/>
  <c r="F196" i="103" s="1"/>
  <c r="E196" i="103" a="1"/>
  <c r="E196" i="103" s="1"/>
  <c r="D196" i="103" a="1"/>
  <c r="D196" i="103" s="1"/>
  <c r="H195" i="103" a="1"/>
  <c r="H195" i="103" s="1"/>
  <c r="G195" i="103" a="1"/>
  <c r="G195" i="103" s="1"/>
  <c r="F195" i="103" a="1"/>
  <c r="F195" i="103" s="1"/>
  <c r="E195" i="103" a="1"/>
  <c r="E195" i="103" s="1"/>
  <c r="D195" i="103" a="1"/>
  <c r="D195" i="103" s="1"/>
  <c r="H194" i="103" a="1"/>
  <c r="H194" i="103" s="1"/>
  <c r="G194" i="103" a="1"/>
  <c r="G194" i="103" s="1"/>
  <c r="F194" i="103" a="1"/>
  <c r="F194" i="103" s="1"/>
  <c r="E194" i="103" a="1"/>
  <c r="E194" i="103" s="1"/>
  <c r="D194" i="103" a="1"/>
  <c r="D194" i="103" s="1"/>
  <c r="H193" i="103" a="1"/>
  <c r="H193" i="103" s="1"/>
  <c r="G193" i="103" a="1"/>
  <c r="G193" i="103" s="1"/>
  <c r="F193" i="103" a="1"/>
  <c r="F193" i="103" s="1"/>
  <c r="E193" i="103" a="1"/>
  <c r="E193" i="103" s="1"/>
  <c r="D193" i="103" a="1"/>
  <c r="D193" i="103" s="1"/>
  <c r="H192" i="103" a="1"/>
  <c r="H192" i="103" s="1"/>
  <c r="G192" i="103" a="1"/>
  <c r="G192" i="103" s="1"/>
  <c r="F192" i="103" a="1"/>
  <c r="F192" i="103" s="1"/>
  <c r="E192" i="103" a="1"/>
  <c r="E192" i="103" s="1"/>
  <c r="D192" i="103" a="1"/>
  <c r="D192" i="103" s="1"/>
  <c r="H191" i="103" a="1"/>
  <c r="H191" i="103" s="1"/>
  <c r="G191" i="103" a="1"/>
  <c r="G191" i="103" s="1"/>
  <c r="F191" i="103" a="1"/>
  <c r="F191" i="103" s="1"/>
  <c r="E191" i="103" a="1"/>
  <c r="E191" i="103" s="1"/>
  <c r="D191" i="103" a="1"/>
  <c r="D191" i="103" s="1"/>
  <c r="H190" i="103" a="1"/>
  <c r="H190" i="103" s="1"/>
  <c r="G190" i="103" a="1"/>
  <c r="G190" i="103" s="1"/>
  <c r="F190" i="103" a="1"/>
  <c r="F190" i="103" s="1"/>
  <c r="E190" i="103" a="1"/>
  <c r="E190" i="103" s="1"/>
  <c r="D190" i="103" a="1"/>
  <c r="D190" i="103" s="1"/>
  <c r="H189" i="103" a="1"/>
  <c r="H189" i="103" s="1"/>
  <c r="G189" i="103" a="1"/>
  <c r="G189" i="103" s="1"/>
  <c r="F189" i="103" a="1"/>
  <c r="F189" i="103" s="1"/>
  <c r="E189" i="103" a="1"/>
  <c r="E189" i="103" s="1"/>
  <c r="D189" i="103" a="1"/>
  <c r="D189" i="103" s="1"/>
  <c r="H188" i="103" a="1"/>
  <c r="H188" i="103" s="1"/>
  <c r="G188" i="103" a="1"/>
  <c r="G188" i="103" s="1"/>
  <c r="F188" i="103" a="1"/>
  <c r="F188" i="103" s="1"/>
  <c r="E188" i="103" a="1"/>
  <c r="E188" i="103" s="1"/>
  <c r="D188" i="103" a="1"/>
  <c r="D188" i="103" s="1"/>
  <c r="H187" i="103" a="1"/>
  <c r="H187" i="103" s="1"/>
  <c r="G187" i="103" a="1"/>
  <c r="G187" i="103" s="1"/>
  <c r="F187" i="103" a="1"/>
  <c r="F187" i="103" s="1"/>
  <c r="E187" i="103" a="1"/>
  <c r="E187" i="103" s="1"/>
  <c r="D187" i="103" a="1"/>
  <c r="D187" i="103" s="1"/>
  <c r="D181" i="103" a="1"/>
  <c r="D181" i="103" s="1"/>
  <c r="D180" i="103" a="1"/>
  <c r="D180" i="103" s="1"/>
  <c r="D179" i="103" a="1"/>
  <c r="D179" i="103" s="1"/>
  <c r="D178" i="103" a="1"/>
  <c r="D178" i="103" s="1"/>
  <c r="E175" i="103" a="1"/>
  <c r="E175" i="103" s="1"/>
  <c r="D175" i="103" a="1"/>
  <c r="D175" i="103" s="1"/>
  <c r="D174" i="103" a="1"/>
  <c r="D174" i="103" s="1"/>
  <c r="D173" i="103" a="1"/>
  <c r="D173" i="103" s="1"/>
  <c r="D170" i="103" a="1"/>
  <c r="D170" i="103" s="1"/>
  <c r="D169" i="103" a="1"/>
  <c r="D169" i="103" s="1"/>
  <c r="D168" i="103" a="1"/>
  <c r="D168" i="103" s="1"/>
  <c r="D167" i="103" a="1"/>
  <c r="D167" i="103" s="1"/>
  <c r="D164" i="103" a="1"/>
  <c r="D164" i="103" s="1"/>
  <c r="D163" i="103" a="1"/>
  <c r="D163" i="103" s="1"/>
  <c r="D162" i="103" a="1"/>
  <c r="D162" i="103" s="1"/>
  <c r="D161" i="103" a="1"/>
  <c r="D161" i="103" s="1"/>
  <c r="E158" i="103" a="1"/>
  <c r="E158" i="103" s="1"/>
  <c r="D158" i="103" a="1"/>
  <c r="D158" i="103" s="1"/>
  <c r="E157" i="103" a="1"/>
  <c r="E157" i="103" s="1"/>
  <c r="D157" i="103" a="1"/>
  <c r="D157" i="103" s="1"/>
  <c r="E156" i="103" a="1"/>
  <c r="E156" i="103" s="1"/>
  <c r="D156" i="103" a="1"/>
  <c r="D156" i="103" s="1"/>
  <c r="E155" i="103" a="1"/>
  <c r="E155" i="103" s="1"/>
  <c r="D155" i="103" a="1"/>
  <c r="D155" i="103" s="1"/>
  <c r="E154" i="103" a="1"/>
  <c r="E154" i="103" s="1"/>
  <c r="D154" i="103" a="1"/>
  <c r="D154" i="103" s="1"/>
  <c r="D151" i="103" a="1"/>
  <c r="D151" i="103" s="1"/>
  <c r="D150" i="103" a="1"/>
  <c r="D150" i="103" s="1"/>
  <c r="E147" i="103" a="1"/>
  <c r="E147" i="103" s="1"/>
  <c r="D147" i="103" a="1"/>
  <c r="D147" i="103" s="1"/>
  <c r="E146" i="103" a="1"/>
  <c r="E146" i="103" s="1"/>
  <c r="D146" i="103" a="1"/>
  <c r="D146" i="103" s="1"/>
  <c r="E145" i="103" a="1"/>
  <c r="E145" i="103" s="1"/>
  <c r="D145" i="103" a="1"/>
  <c r="D145" i="103" s="1"/>
  <c r="E144" i="103" a="1"/>
  <c r="E144" i="103" s="1"/>
  <c r="D144" i="103" a="1"/>
  <c r="D144" i="103" s="1"/>
  <c r="E143" i="103" a="1"/>
  <c r="E143" i="103" s="1"/>
  <c r="D143" i="103" a="1"/>
  <c r="D143" i="103" s="1"/>
  <c r="D141" i="103" a="1"/>
  <c r="D141" i="103" s="1"/>
  <c r="D140" i="103" a="1"/>
  <c r="D140" i="103" s="1"/>
  <c r="D139" i="103" a="1"/>
  <c r="D139" i="103" s="1"/>
  <c r="E136" i="103" a="1"/>
  <c r="E136" i="103" s="1"/>
  <c r="D136" i="103" a="1"/>
  <c r="D136" i="103" s="1"/>
  <c r="E135" i="103" a="1"/>
  <c r="E135" i="103" s="1"/>
  <c r="D135" i="103" a="1"/>
  <c r="D135" i="103" s="1"/>
  <c r="D133" i="103" a="1"/>
  <c r="D133" i="103" s="1"/>
  <c r="D132" i="103" a="1"/>
  <c r="D132" i="103" s="1"/>
  <c r="E129" i="103" a="1"/>
  <c r="E129" i="103" s="1"/>
  <c r="D129" i="103" a="1"/>
  <c r="D129" i="103" s="1"/>
  <c r="E128" i="103" a="1"/>
  <c r="E128" i="103" s="1"/>
  <c r="D128" i="103" a="1"/>
  <c r="D128" i="103" s="1"/>
  <c r="D125" i="103" a="1"/>
  <c r="D125" i="103" s="1"/>
  <c r="D124" i="103" a="1"/>
  <c r="D124" i="103" s="1"/>
  <c r="G121" i="103" a="1"/>
  <c r="G121" i="103" s="1"/>
  <c r="F121" i="103" a="1"/>
  <c r="F121" i="103" s="1"/>
  <c r="E121" i="103" a="1"/>
  <c r="E121" i="103" s="1"/>
  <c r="D121" i="103" a="1"/>
  <c r="D121" i="103" s="1"/>
  <c r="G120" i="103" a="1"/>
  <c r="G120" i="103" s="1"/>
  <c r="F120" i="103" a="1"/>
  <c r="F120" i="103" s="1"/>
  <c r="E120" i="103" a="1"/>
  <c r="E120" i="103" s="1"/>
  <c r="D120" i="103" a="1"/>
  <c r="D120" i="103" s="1"/>
  <c r="D117" i="103" a="1"/>
  <c r="D117" i="103" s="1"/>
  <c r="D116" i="103" a="1"/>
  <c r="D116" i="103" s="1"/>
  <c r="D115" i="103" a="1"/>
  <c r="D115" i="103" s="1"/>
  <c r="G112" i="103" a="1"/>
  <c r="G112" i="103" s="1"/>
  <c r="F112" i="103" a="1"/>
  <c r="F112" i="103" s="1"/>
  <c r="E112" i="103" a="1"/>
  <c r="E112" i="103" s="1"/>
  <c r="D112" i="103" a="1"/>
  <c r="D112" i="103" s="1"/>
  <c r="G111" i="103" a="1"/>
  <c r="G111" i="103" s="1"/>
  <c r="F111" i="103" a="1"/>
  <c r="F111" i="103" s="1"/>
  <c r="E111" i="103" a="1"/>
  <c r="E111" i="103" s="1"/>
  <c r="D111" i="103" a="1"/>
  <c r="D111" i="103" s="1"/>
  <c r="G110" i="103" a="1"/>
  <c r="G110" i="103" s="1"/>
  <c r="F110" i="103" a="1"/>
  <c r="F110" i="103" s="1"/>
  <c r="E110" i="103" a="1"/>
  <c r="E110" i="103" s="1"/>
  <c r="D110" i="103" a="1"/>
  <c r="D110" i="103" s="1"/>
  <c r="D107" i="103" a="1"/>
  <c r="D107" i="103" s="1"/>
  <c r="D106" i="103" a="1"/>
  <c r="D106" i="103" s="1"/>
  <c r="D105" i="103" a="1"/>
  <c r="D105" i="103" s="1"/>
  <c r="D98" i="103" a="1"/>
  <c r="D98" i="103" s="1"/>
  <c r="S97" i="103" a="1"/>
  <c r="S97" i="103" s="1"/>
  <c r="R97" i="103" a="1"/>
  <c r="R97" i="103" s="1"/>
  <c r="Q97" i="103" a="1"/>
  <c r="Q97" i="103" s="1"/>
  <c r="P97" i="103" a="1"/>
  <c r="P97" i="103" s="1"/>
  <c r="O97" i="103" a="1"/>
  <c r="O97" i="103" s="1"/>
  <c r="N97" i="103" a="1"/>
  <c r="N97" i="103" s="1"/>
  <c r="M97" i="103" a="1"/>
  <c r="M97" i="103" s="1"/>
  <c r="L97" i="103" a="1"/>
  <c r="L97" i="103" s="1"/>
  <c r="K97" i="103" a="1"/>
  <c r="K97" i="103" s="1"/>
  <c r="J97" i="103" a="1"/>
  <c r="J97" i="103" s="1"/>
  <c r="I97" i="103" a="1"/>
  <c r="I97" i="103" s="1"/>
  <c r="H97" i="103" a="1"/>
  <c r="H97" i="103" s="1"/>
  <c r="G97" i="103" a="1"/>
  <c r="G97" i="103" s="1"/>
  <c r="F97" i="103" a="1"/>
  <c r="F97" i="103" s="1"/>
  <c r="E97" i="103" a="1"/>
  <c r="E97" i="103" s="1"/>
  <c r="D97" i="103" a="1"/>
  <c r="D97" i="103" s="1"/>
  <c r="S96" i="103" a="1"/>
  <c r="S96" i="103" s="1"/>
  <c r="R96" i="103" a="1"/>
  <c r="R96" i="103" s="1"/>
  <c r="Q96" i="103" a="1"/>
  <c r="Q96" i="103" s="1"/>
  <c r="P96" i="103" a="1"/>
  <c r="P96" i="103" s="1"/>
  <c r="O96" i="103" a="1"/>
  <c r="O96" i="103" s="1"/>
  <c r="N96" i="103" a="1"/>
  <c r="N96" i="103" s="1"/>
  <c r="M96" i="103" a="1"/>
  <c r="M96" i="103" s="1"/>
  <c r="L96" i="103" a="1"/>
  <c r="L96" i="103" s="1"/>
  <c r="K96" i="103" a="1"/>
  <c r="K96" i="103" s="1"/>
  <c r="J96" i="103" a="1"/>
  <c r="J96" i="103" s="1"/>
  <c r="I96" i="103" a="1"/>
  <c r="I96" i="103" s="1"/>
  <c r="H96" i="103" a="1"/>
  <c r="H96" i="103" s="1"/>
  <c r="G96" i="103" a="1"/>
  <c r="G96" i="103" s="1"/>
  <c r="F96" i="103" a="1"/>
  <c r="F96" i="103" s="1"/>
  <c r="E96" i="103" a="1"/>
  <c r="E96" i="103" s="1"/>
  <c r="D96" i="103" a="1"/>
  <c r="D96" i="103" s="1"/>
  <c r="S95" i="103" a="1"/>
  <c r="S95" i="103" s="1"/>
  <c r="R95" i="103" a="1"/>
  <c r="R95" i="103" s="1"/>
  <c r="Q95" i="103" a="1"/>
  <c r="Q95" i="103" s="1"/>
  <c r="P95" i="103" a="1"/>
  <c r="P95" i="103" s="1"/>
  <c r="O95" i="103" a="1"/>
  <c r="O95" i="103" s="1"/>
  <c r="N95" i="103" a="1"/>
  <c r="N95" i="103" s="1"/>
  <c r="M95" i="103" a="1"/>
  <c r="M95" i="103" s="1"/>
  <c r="L95" i="103" a="1"/>
  <c r="L95" i="103" s="1"/>
  <c r="K95" i="103" a="1"/>
  <c r="K95" i="103" s="1"/>
  <c r="J95" i="103" a="1"/>
  <c r="J95" i="103" s="1"/>
  <c r="I95" i="103" a="1"/>
  <c r="I95" i="103" s="1"/>
  <c r="H95" i="103" a="1"/>
  <c r="H95" i="103" s="1"/>
  <c r="G95" i="103" a="1"/>
  <c r="G95" i="103" s="1"/>
  <c r="F95" i="103" a="1"/>
  <c r="F95" i="103" s="1"/>
  <c r="E95" i="103" a="1"/>
  <c r="E95" i="103" s="1"/>
  <c r="D95" i="103" a="1"/>
  <c r="D95" i="103" s="1"/>
  <c r="S94" i="103" a="1"/>
  <c r="S94" i="103" s="1"/>
  <c r="R94" i="103" a="1"/>
  <c r="R94" i="103" s="1"/>
  <c r="Q94" i="103" a="1"/>
  <c r="Q94" i="103" s="1"/>
  <c r="P94" i="103" a="1"/>
  <c r="P94" i="103" s="1"/>
  <c r="O94" i="103" a="1"/>
  <c r="O94" i="103" s="1"/>
  <c r="N94" i="103" a="1"/>
  <c r="N94" i="103" s="1"/>
  <c r="M94" i="103" a="1"/>
  <c r="M94" i="103" s="1"/>
  <c r="L94" i="103" a="1"/>
  <c r="L94" i="103" s="1"/>
  <c r="K94" i="103" a="1"/>
  <c r="K94" i="103" s="1"/>
  <c r="J94" i="103" a="1"/>
  <c r="J94" i="103" s="1"/>
  <c r="I94" i="103" a="1"/>
  <c r="I94" i="103" s="1"/>
  <c r="H94" i="103" a="1"/>
  <c r="H94" i="103" s="1"/>
  <c r="G94" i="103" a="1"/>
  <c r="G94" i="103" s="1"/>
  <c r="F94" i="103" a="1"/>
  <c r="F94" i="103" s="1"/>
  <c r="E94" i="103" a="1"/>
  <c r="E94" i="103" s="1"/>
  <c r="D94" i="103" a="1"/>
  <c r="D94" i="103" s="1"/>
  <c r="S93" i="103" a="1"/>
  <c r="S93" i="103" s="1"/>
  <c r="R93" i="103" a="1"/>
  <c r="R93" i="103" s="1"/>
  <c r="Q93" i="103" a="1"/>
  <c r="Q93" i="103" s="1"/>
  <c r="P93" i="103" a="1"/>
  <c r="P93" i="103" s="1"/>
  <c r="O93" i="103" a="1"/>
  <c r="O93" i="103" s="1"/>
  <c r="N93" i="103" a="1"/>
  <c r="N93" i="103" s="1"/>
  <c r="M93" i="103" a="1"/>
  <c r="M93" i="103" s="1"/>
  <c r="L93" i="103" a="1"/>
  <c r="L93" i="103" s="1"/>
  <c r="K93" i="103" a="1"/>
  <c r="K93" i="103" s="1"/>
  <c r="J93" i="103" a="1"/>
  <c r="J93" i="103" s="1"/>
  <c r="I93" i="103" a="1"/>
  <c r="I93" i="103" s="1"/>
  <c r="H93" i="103" a="1"/>
  <c r="H93" i="103" s="1"/>
  <c r="G93" i="103" a="1"/>
  <c r="G93" i="103" s="1"/>
  <c r="F93" i="103" a="1"/>
  <c r="F93" i="103" s="1"/>
  <c r="E93" i="103" a="1"/>
  <c r="E93" i="103" s="1"/>
  <c r="D93" i="103" a="1"/>
  <c r="D93" i="103" s="1"/>
  <c r="S92" i="103" a="1"/>
  <c r="S92" i="103" s="1"/>
  <c r="R92" i="103" a="1"/>
  <c r="R92" i="103" s="1"/>
  <c r="Q92" i="103" a="1"/>
  <c r="Q92" i="103" s="1"/>
  <c r="P92" i="103" a="1"/>
  <c r="P92" i="103" s="1"/>
  <c r="O92" i="103" a="1"/>
  <c r="O92" i="103" s="1"/>
  <c r="N92" i="103" a="1"/>
  <c r="N92" i="103" s="1"/>
  <c r="M92" i="103" a="1"/>
  <c r="M92" i="103" s="1"/>
  <c r="L92" i="103" a="1"/>
  <c r="L92" i="103" s="1"/>
  <c r="K92" i="103" a="1"/>
  <c r="K92" i="103" s="1"/>
  <c r="J92" i="103" a="1"/>
  <c r="J92" i="103" s="1"/>
  <c r="I92" i="103" a="1"/>
  <c r="I92" i="103" s="1"/>
  <c r="H92" i="103" a="1"/>
  <c r="H92" i="103" s="1"/>
  <c r="G92" i="103" a="1"/>
  <c r="G92" i="103" s="1"/>
  <c r="F92" i="103" a="1"/>
  <c r="F92" i="103" s="1"/>
  <c r="E92" i="103" a="1"/>
  <c r="E92" i="103" s="1"/>
  <c r="D92" i="103" a="1"/>
  <c r="D92" i="103" s="1"/>
  <c r="S91" i="103" a="1"/>
  <c r="S91" i="103" s="1"/>
  <c r="R91" i="103" a="1"/>
  <c r="R91" i="103" s="1"/>
  <c r="Q91" i="103" a="1"/>
  <c r="Q91" i="103" s="1"/>
  <c r="P91" i="103" a="1"/>
  <c r="P91" i="103" s="1"/>
  <c r="O91" i="103" a="1"/>
  <c r="O91" i="103" s="1"/>
  <c r="N91" i="103" a="1"/>
  <c r="N91" i="103" s="1"/>
  <c r="M91" i="103" a="1"/>
  <c r="M91" i="103" s="1"/>
  <c r="L91" i="103" a="1"/>
  <c r="L91" i="103" s="1"/>
  <c r="K91" i="103" a="1"/>
  <c r="K91" i="103" s="1"/>
  <c r="J91" i="103" a="1"/>
  <c r="J91" i="103" s="1"/>
  <c r="I91" i="103" a="1"/>
  <c r="I91" i="103" s="1"/>
  <c r="H91" i="103" a="1"/>
  <c r="H91" i="103" s="1"/>
  <c r="G91" i="103" a="1"/>
  <c r="G91" i="103" s="1"/>
  <c r="F91" i="103" a="1"/>
  <c r="F91" i="103" s="1"/>
  <c r="E91" i="103" a="1"/>
  <c r="E91" i="103" s="1"/>
  <c r="D91" i="103" a="1"/>
  <c r="D91" i="103" s="1"/>
  <c r="S90" i="103" a="1"/>
  <c r="S90" i="103" s="1"/>
  <c r="R90" i="103" a="1"/>
  <c r="R90" i="103" s="1"/>
  <c r="Q90" i="103" a="1"/>
  <c r="Q90" i="103" s="1"/>
  <c r="P90" i="103" a="1"/>
  <c r="P90" i="103" s="1"/>
  <c r="O90" i="103" a="1"/>
  <c r="O90" i="103" s="1"/>
  <c r="N90" i="103" a="1"/>
  <c r="N90" i="103" s="1"/>
  <c r="M90" i="103" a="1"/>
  <c r="M90" i="103" s="1"/>
  <c r="L90" i="103" a="1"/>
  <c r="L90" i="103" s="1"/>
  <c r="K90" i="103" a="1"/>
  <c r="K90" i="103" s="1"/>
  <c r="J90" i="103" a="1"/>
  <c r="J90" i="103" s="1"/>
  <c r="I90" i="103" a="1"/>
  <c r="I90" i="103" s="1"/>
  <c r="H90" i="103" a="1"/>
  <c r="H90" i="103" s="1"/>
  <c r="G90" i="103" a="1"/>
  <c r="G90" i="103" s="1"/>
  <c r="F90" i="103" a="1"/>
  <c r="F90" i="103" s="1"/>
  <c r="E90" i="103" a="1"/>
  <c r="E90" i="103" s="1"/>
  <c r="D90" i="103" a="1"/>
  <c r="D90" i="103" s="1"/>
  <c r="D83" i="103" a="1"/>
  <c r="D83" i="103" s="1"/>
  <c r="D82" i="103" a="1"/>
  <c r="D82" i="103" s="1"/>
  <c r="D81" i="103" a="1"/>
  <c r="D81" i="103" s="1"/>
  <c r="E77" i="103" a="1"/>
  <c r="E77" i="103" s="1"/>
  <c r="D77" i="103" a="1"/>
  <c r="D77" i="103" s="1"/>
  <c r="E76" i="103" a="1"/>
  <c r="E76" i="103" s="1"/>
  <c r="D76" i="103" a="1"/>
  <c r="D76" i="103" s="1"/>
  <c r="E75" i="103" a="1"/>
  <c r="E75" i="103" s="1"/>
  <c r="D75" i="103" a="1"/>
  <c r="D75" i="103" s="1"/>
  <c r="E74" i="103" a="1"/>
  <c r="E74" i="103" s="1"/>
  <c r="D74" i="103" a="1"/>
  <c r="D74" i="103" s="1"/>
  <c r="E73" i="103" a="1"/>
  <c r="E73" i="103" s="1"/>
  <c r="D73" i="103" a="1"/>
  <c r="D73" i="103" s="1"/>
  <c r="E72" i="103" a="1"/>
  <c r="E72" i="103" s="1"/>
  <c r="D72" i="103" a="1"/>
  <c r="D72" i="103" s="1"/>
  <c r="E71" i="103" a="1"/>
  <c r="E71" i="103" s="1"/>
  <c r="D71" i="103" a="1"/>
  <c r="D71" i="103" s="1"/>
  <c r="E70" i="103" a="1"/>
  <c r="E70" i="103" s="1"/>
  <c r="D70" i="103" a="1"/>
  <c r="D70" i="103" s="1"/>
  <c r="E69" i="103" a="1"/>
  <c r="E69" i="103" s="1"/>
  <c r="D69" i="103" a="1"/>
  <c r="D69" i="103" s="1"/>
  <c r="E68" i="103" a="1"/>
  <c r="E68" i="103" s="1"/>
  <c r="D68" i="103" a="1"/>
  <c r="D68" i="103" s="1"/>
  <c r="E67" i="103" a="1"/>
  <c r="E67" i="103" s="1"/>
  <c r="D67" i="103" a="1"/>
  <c r="D67" i="103" s="1"/>
  <c r="E66" i="103" a="1"/>
  <c r="E66" i="103" s="1"/>
  <c r="D66" i="103" a="1"/>
  <c r="D66" i="103" s="1"/>
  <c r="E65" i="103" a="1"/>
  <c r="E65" i="103" s="1"/>
  <c r="D65" i="103" a="1"/>
  <c r="D65" i="103" s="1"/>
  <c r="E64" i="103" a="1"/>
  <c r="E64" i="103" s="1"/>
  <c r="D64" i="103" a="1"/>
  <c r="D64" i="103" s="1"/>
  <c r="D59" i="103" a="1"/>
  <c r="D59" i="103" s="1"/>
  <c r="D58" i="103" a="1"/>
  <c r="D58" i="103" s="1"/>
  <c r="D57" i="103" a="1"/>
  <c r="D57" i="103" s="1"/>
  <c r="G54" i="103" a="1"/>
  <c r="G54" i="103" s="1"/>
  <c r="F54" i="103" a="1"/>
  <c r="F54" i="103" s="1"/>
  <c r="E54" i="103" a="1"/>
  <c r="E54" i="103" s="1"/>
  <c r="D54" i="103" a="1"/>
  <c r="D54" i="103" s="1"/>
  <c r="G53" i="103" a="1"/>
  <c r="G53" i="103" s="1"/>
  <c r="F53" i="103" a="1"/>
  <c r="F53" i="103" s="1"/>
  <c r="E53" i="103" a="1"/>
  <c r="E53" i="103" s="1"/>
  <c r="D53" i="103" a="1"/>
  <c r="D53" i="103" s="1"/>
  <c r="G52" i="103" a="1"/>
  <c r="G52" i="103" s="1"/>
  <c r="F52" i="103" a="1"/>
  <c r="F52" i="103" s="1"/>
  <c r="E52" i="103" a="1"/>
  <c r="E52" i="103" s="1"/>
  <c r="D52" i="103" a="1"/>
  <c r="D52" i="103" s="1"/>
  <c r="G51" i="103" a="1"/>
  <c r="G51" i="103" s="1"/>
  <c r="F51" i="103" a="1"/>
  <c r="F51" i="103" s="1"/>
  <c r="E51" i="103" a="1"/>
  <c r="E51" i="103" s="1"/>
  <c r="D51" i="103" a="1"/>
  <c r="D51" i="103" s="1"/>
  <c r="G50" i="103" a="1"/>
  <c r="G50" i="103" s="1"/>
  <c r="F50" i="103" a="1"/>
  <c r="F50" i="103" s="1"/>
  <c r="E50" i="103" a="1"/>
  <c r="E50" i="103" s="1"/>
  <c r="D50" i="103" a="1"/>
  <c r="D50" i="103" s="1"/>
  <c r="G49" i="103" a="1"/>
  <c r="G49" i="103" s="1"/>
  <c r="F49" i="103" a="1"/>
  <c r="F49" i="103" s="1"/>
  <c r="E49" i="103" a="1"/>
  <c r="E49" i="103" s="1"/>
  <c r="D49" i="103" a="1"/>
  <c r="D49" i="103" s="1"/>
  <c r="G48" i="103" a="1"/>
  <c r="G48" i="103" s="1"/>
  <c r="F48" i="103" a="1"/>
  <c r="F48" i="103" s="1"/>
  <c r="E48" i="103" a="1"/>
  <c r="E48" i="103" s="1"/>
  <c r="D48" i="103" a="1"/>
  <c r="D48" i="103" s="1"/>
  <c r="D46" i="103" a="1"/>
  <c r="D46" i="103" s="1"/>
  <c r="D45" i="103" a="1"/>
  <c r="D45" i="103" s="1"/>
  <c r="E43" i="103" a="1"/>
  <c r="E43" i="103" s="1"/>
  <c r="D43" i="103" a="1"/>
  <c r="D43" i="103" s="1"/>
  <c r="E42" i="103" a="1"/>
  <c r="E42" i="103" s="1"/>
  <c r="D42" i="103" a="1"/>
  <c r="D42" i="103" s="1"/>
  <c r="E41" i="103" a="1"/>
  <c r="E41" i="103" s="1"/>
  <c r="D41" i="103" a="1"/>
  <c r="D41" i="103" s="1"/>
  <c r="E40" i="103" a="1"/>
  <c r="E40" i="103" s="1"/>
  <c r="D40" i="103" a="1"/>
  <c r="D40" i="103" s="1"/>
  <c r="E39" i="103" a="1"/>
  <c r="E39" i="103" s="1"/>
  <c r="D39" i="103" a="1"/>
  <c r="D39" i="103" s="1"/>
  <c r="E38" i="103" a="1"/>
  <c r="E38" i="103" s="1"/>
  <c r="D38" i="103" a="1"/>
  <c r="D38" i="103" s="1"/>
  <c r="E37" i="103" a="1"/>
  <c r="E37" i="103" s="1"/>
  <c r="D37" i="103" a="1"/>
  <c r="D37" i="103" s="1"/>
  <c r="D35" i="103" a="1"/>
  <c r="D35" i="103" s="1"/>
  <c r="D34" i="103"/>
  <c r="D34" i="103" a="1"/>
  <c r="D30" i="103" a="1"/>
  <c r="D30" i="103" s="1"/>
  <c r="D29" i="103" a="1"/>
  <c r="D29" i="103" s="1"/>
  <c r="D28" i="103" a="1"/>
  <c r="D28" i="103" s="1"/>
  <c r="D27" i="103" a="1"/>
  <c r="D27" i="103" s="1"/>
  <c r="D26" i="103" a="1"/>
  <c r="D26" i="103" s="1"/>
  <c r="D25" i="103" a="1"/>
  <c r="D25" i="103" s="1"/>
  <c r="D24" i="103" a="1"/>
  <c r="D24" i="103" s="1"/>
  <c r="D23" i="103" a="1"/>
  <c r="D23" i="103" s="1"/>
  <c r="D22" i="103" a="1"/>
  <c r="D22" i="103" s="1"/>
  <c r="D21" i="103" a="1"/>
  <c r="D21" i="103" s="1"/>
  <c r="D19" i="103" a="1"/>
  <c r="D19" i="103" s="1"/>
  <c r="D18" i="103" a="1"/>
  <c r="D18" i="103" s="1"/>
  <c r="F14" i="103" a="1"/>
  <c r="F14" i="103" s="1"/>
  <c r="E14" i="103" a="1"/>
  <c r="E14" i="103" s="1"/>
  <c r="D14" i="103" a="1"/>
  <c r="D14" i="103" s="1"/>
  <c r="F13" i="103" a="1"/>
  <c r="F13" i="103" s="1"/>
  <c r="E13" i="103" a="1"/>
  <c r="E13" i="103" s="1"/>
  <c r="D13" i="103" a="1"/>
  <c r="D13" i="103" s="1"/>
  <c r="F12" i="103" a="1"/>
  <c r="F12" i="103" s="1"/>
  <c r="E12" i="103" a="1"/>
  <c r="E12" i="103" s="1"/>
  <c r="D12" i="103" a="1"/>
  <c r="D12" i="103" s="1"/>
  <c r="F11" i="103" a="1"/>
  <c r="F11" i="103" s="1"/>
  <c r="E11" i="103" a="1"/>
  <c r="E11" i="103" s="1"/>
  <c r="D11" i="103" a="1"/>
  <c r="D11" i="103" s="1"/>
  <c r="F10" i="103" a="1"/>
  <c r="F10" i="103" s="1"/>
  <c r="E10" i="103" a="1"/>
  <c r="E10" i="103" s="1"/>
  <c r="D10" i="103" a="1"/>
  <c r="D10" i="103" s="1"/>
  <c r="F9" i="103" a="1"/>
  <c r="F9" i="103" s="1"/>
  <c r="E9" i="103" a="1"/>
  <c r="E9" i="103" s="1"/>
  <c r="D9" i="103" a="1"/>
  <c r="D9" i="103" s="1"/>
  <c r="F8" i="103" a="1"/>
  <c r="F8" i="103" s="1"/>
  <c r="E8" i="103" a="1"/>
  <c r="E8" i="103" s="1"/>
  <c r="D8" i="103" a="1"/>
  <c r="D8" i="103" s="1"/>
  <c r="F7" i="103" a="1"/>
  <c r="F7" i="103" s="1"/>
  <c r="E7" i="103" a="1"/>
  <c r="E7" i="103" s="1"/>
  <c r="D7" i="103" a="1"/>
  <c r="D7" i="103" s="1"/>
  <c r="D5" i="103" a="1"/>
  <c r="D5" i="103" s="1"/>
  <c r="M41" i="98" a="1"/>
  <c r="M41" i="98" s="1"/>
  <c r="K38" i="98" a="1"/>
  <c r="K38" i="98" s="1"/>
  <c r="K32" i="98" a="1"/>
  <c r="K32" i="98" s="1"/>
  <c r="F41" i="98" a="1"/>
  <c r="F41" i="98" s="1"/>
  <c r="D38" i="98" a="1"/>
  <c r="D38" i="98" s="1"/>
  <c r="D32" i="98" a="1"/>
  <c r="D32" i="98" s="1"/>
  <c r="E30" i="98" a="1"/>
  <c r="E30" i="98" s="1"/>
  <c r="M36" i="98" s="1"/>
  <c r="E29" i="98" a="1"/>
  <c r="E29" i="98" s="1"/>
  <c r="D25" i="98" a="1"/>
  <c r="D25" i="98" s="1"/>
  <c r="D24" i="98" a="1"/>
  <c r="D24" i="98" s="1"/>
  <c r="K13" i="98" a="1"/>
  <c r="K13" i="98" s="1"/>
  <c r="G18" i="98"/>
  <c r="G14" i="98" s="1"/>
  <c r="G17" i="98"/>
  <c r="G16" i="98"/>
  <c r="D13" i="98" a="1"/>
  <c r="D13" i="98" s="1"/>
  <c r="E11" i="98" a="1"/>
  <c r="E11" i="98" s="1"/>
  <c r="F20" i="98" s="1"/>
  <c r="E10" i="98" a="1"/>
  <c r="E10" i="98" s="1"/>
  <c r="D6" i="98" a="1"/>
  <c r="D6" i="98" s="1"/>
  <c r="D5" i="98" a="1"/>
  <c r="D5" i="98" s="1"/>
  <c r="N40" i="97" a="1"/>
  <c r="N40" i="97" s="1"/>
  <c r="L37" i="97" a="1"/>
  <c r="L37" i="97" s="1"/>
  <c r="L28" i="97" a="1"/>
  <c r="L28" i="97" s="1"/>
  <c r="N16" i="97"/>
  <c r="L13" i="97" a="1"/>
  <c r="L13" i="97" s="1"/>
  <c r="F40" i="97" a="1"/>
  <c r="F40" i="97" s="1"/>
  <c r="D37" i="97" a="1"/>
  <c r="D37" i="97" s="1"/>
  <c r="H32" i="97"/>
  <c r="H29" i="97" s="1"/>
  <c r="H31" i="97"/>
  <c r="D28" i="97" a="1"/>
  <c r="D28" i="97" s="1"/>
  <c r="E26" i="97" a="1"/>
  <c r="E26" i="97" s="1"/>
  <c r="F35" i="97" s="1"/>
  <c r="G9" i="13" s="1"/>
  <c r="E25" i="97" a="1"/>
  <c r="E25" i="97" s="1"/>
  <c r="D21" i="97" a="1"/>
  <c r="D21" i="97" s="1"/>
  <c r="D20" i="97" a="1"/>
  <c r="D20" i="97" s="1"/>
  <c r="G15" i="98"/>
  <c r="H14" i="97"/>
  <c r="E7" i="97" a="1"/>
  <c r="E26" i="98" a="1"/>
  <c r="E22" i="97" a="1"/>
  <c r="E7" i="98" a="1"/>
  <c r="H51" i="103" l="1"/>
  <c r="H49" i="103"/>
  <c r="H54" i="103"/>
  <c r="H50" i="103"/>
  <c r="H52" i="103"/>
  <c r="H48" i="103"/>
  <c r="H53" i="103"/>
  <c r="N35" i="97"/>
  <c r="F36" i="98"/>
  <c r="G10" i="13" s="1"/>
  <c r="E26" i="98"/>
  <c r="M20" i="98"/>
  <c r="E7" i="98"/>
  <c r="E22" i="97"/>
  <c r="E7" i="97"/>
  <c r="D13" i="97" l="1" a="1"/>
  <c r="D13" i="97" s="1"/>
  <c r="E11" i="97" a="1"/>
  <c r="E11" i="97" s="1"/>
  <c r="F16" i="97" s="1"/>
  <c r="E10" i="97" a="1"/>
  <c r="E10" i="97" s="1"/>
  <c r="D6" i="97" a="1"/>
  <c r="D6" i="97" s="1"/>
  <c r="D5" i="97" a="1"/>
  <c r="D5" i="97" s="1"/>
  <c r="T257" i="76" a="1"/>
  <c r="T257" i="76" s="1"/>
  <c r="D222" i="76" a="1"/>
  <c r="D222" i="76" s="1"/>
  <c r="E220" i="76" a="1"/>
  <c r="E220" i="76" s="1"/>
  <c r="F227" i="76" s="1"/>
  <c r="E219" i="76" a="1"/>
  <c r="E219" i="76" s="1"/>
  <c r="D215" i="76" a="1"/>
  <c r="D215" i="76" s="1"/>
  <c r="D214" i="76" a="1"/>
  <c r="D214" i="76" s="1"/>
  <c r="T203" i="76" a="1"/>
  <c r="T203" i="76" s="1"/>
  <c r="D182" i="76" a="1"/>
  <c r="D182" i="76" s="1"/>
  <c r="E180" i="76" a="1"/>
  <c r="E180" i="76" s="1"/>
  <c r="AE249" i="76" s="1"/>
  <c r="E179" i="76" a="1"/>
  <c r="E179" i="76" s="1"/>
  <c r="D175" i="76" a="1"/>
  <c r="D175" i="76" s="1"/>
  <c r="D174" i="76" a="1"/>
  <c r="D174" i="76" s="1"/>
  <c r="T151" i="76" a="1"/>
  <c r="T151" i="76" s="1"/>
  <c r="D142" i="76" a="1"/>
  <c r="D142" i="76" s="1"/>
  <c r="E140" i="76" a="1"/>
  <c r="E140" i="76" s="1"/>
  <c r="AE198" i="76" s="1"/>
  <c r="E139" i="76" a="1"/>
  <c r="E139" i="76" s="1"/>
  <c r="D135" i="76" a="1"/>
  <c r="D135" i="76" s="1"/>
  <c r="D134" i="76" a="1"/>
  <c r="D134" i="76" s="1"/>
  <c r="T115" i="76" a="1"/>
  <c r="T115" i="76" s="1"/>
  <c r="D111" i="76" a="1"/>
  <c r="D111" i="76" s="1"/>
  <c r="E109" i="76" a="1"/>
  <c r="E109" i="76" s="1"/>
  <c r="E108" i="76" a="1"/>
  <c r="E108" i="76" s="1"/>
  <c r="D103" i="76" a="1"/>
  <c r="D103" i="76" s="1"/>
  <c r="D102" i="76" a="1"/>
  <c r="D102" i="76" s="1"/>
  <c r="T87" i="76" a="1"/>
  <c r="T87" i="76" s="1"/>
  <c r="D78" i="76" a="1"/>
  <c r="D78" i="76" s="1"/>
  <c r="E76" i="76" a="1"/>
  <c r="E76" i="76" s="1"/>
  <c r="AE111" i="76" s="1"/>
  <c r="E75" i="76" a="1"/>
  <c r="E75" i="76" s="1"/>
  <c r="D71" i="76" a="1"/>
  <c r="D71" i="76" s="1"/>
  <c r="D70" i="76" a="1"/>
  <c r="D70" i="76" s="1"/>
  <c r="D69" i="76" a="1"/>
  <c r="D69" i="76" s="1"/>
  <c r="T51" i="76" a="1"/>
  <c r="T51" i="76" s="1"/>
  <c r="D48" i="76" a="1"/>
  <c r="D48" i="76" s="1"/>
  <c r="E46" i="76" a="1"/>
  <c r="E46" i="76" s="1"/>
  <c r="AE82" i="76" s="1"/>
  <c r="E45" i="76" a="1"/>
  <c r="E45" i="76" s="1"/>
  <c r="D41" i="76" a="1"/>
  <c r="D41" i="76" s="1"/>
  <c r="D40" i="76" a="1"/>
  <c r="D40" i="76" s="1"/>
  <c r="D13" i="76" a="1"/>
  <c r="D13" i="76" s="1"/>
  <c r="E11" i="76" a="1"/>
  <c r="E11" i="76" s="1"/>
  <c r="AE37" i="76" s="1"/>
  <c r="E10" i="76" a="1"/>
  <c r="E10" i="76" s="1"/>
  <c r="D6" i="76" a="1"/>
  <c r="D6" i="76" s="1"/>
  <c r="D5" i="76" a="1"/>
  <c r="D5" i="76" s="1"/>
  <c r="V264" i="76" a="1"/>
  <c r="V264" i="76" s="1"/>
  <c r="T261" i="76" a="1"/>
  <c r="T261" i="76" s="1"/>
  <c r="T251" i="76"/>
  <c r="T250" i="76"/>
  <c r="T249" i="76"/>
  <c r="T248" i="76"/>
  <c r="T247" i="76"/>
  <c r="T246" i="76"/>
  <c r="T245" i="76"/>
  <c r="T244" i="76"/>
  <c r="T243" i="76"/>
  <c r="T242" i="76"/>
  <c r="T241" i="76"/>
  <c r="T240" i="76"/>
  <c r="T235" i="76"/>
  <c r="T234" i="76"/>
  <c r="T233" i="76"/>
  <c r="T232" i="76"/>
  <c r="T231" i="76"/>
  <c r="T230" i="76"/>
  <c r="T229" i="76"/>
  <c r="T228" i="76"/>
  <c r="T227" i="76"/>
  <c r="T226" i="76"/>
  <c r="T225" i="76"/>
  <c r="T224" i="76"/>
  <c r="AD219" i="76"/>
  <c r="AC219" i="76"/>
  <c r="AB219" i="76"/>
  <c r="AA219" i="76"/>
  <c r="Z219" i="76"/>
  <c r="Y219" i="76"/>
  <c r="X219" i="76"/>
  <c r="W219" i="76"/>
  <c r="V219" i="76"/>
  <c r="U219" i="76"/>
  <c r="AD218" i="76"/>
  <c r="AC218" i="76"/>
  <c r="AB218" i="76"/>
  <c r="AA218" i="76"/>
  <c r="Z218" i="76"/>
  <c r="Y218" i="76"/>
  <c r="X218" i="76"/>
  <c r="W218" i="76"/>
  <c r="V218" i="76"/>
  <c r="U218" i="76"/>
  <c r="AD217" i="76"/>
  <c r="AC217" i="76"/>
  <c r="AB217" i="76"/>
  <c r="AA217" i="76"/>
  <c r="Z217" i="76"/>
  <c r="Y217" i="76"/>
  <c r="X217" i="76"/>
  <c r="W217" i="76"/>
  <c r="V217" i="76"/>
  <c r="U217" i="76"/>
  <c r="AD216" i="76"/>
  <c r="AC216" i="76"/>
  <c r="AB216" i="76"/>
  <c r="AA216" i="76"/>
  <c r="Z216" i="76"/>
  <c r="Y216" i="76"/>
  <c r="X216" i="76"/>
  <c r="W216" i="76"/>
  <c r="V216" i="76"/>
  <c r="U216" i="76"/>
  <c r="AD215" i="76"/>
  <c r="AC215" i="76"/>
  <c r="AB215" i="76"/>
  <c r="AA215" i="76"/>
  <c r="Z215" i="76"/>
  <c r="Y215" i="76"/>
  <c r="X215" i="76"/>
  <c r="W215" i="76"/>
  <c r="V215" i="76"/>
  <c r="U215" i="76"/>
  <c r="AD214" i="76"/>
  <c r="AC214" i="76"/>
  <c r="AB214" i="76"/>
  <c r="AA214" i="76"/>
  <c r="Z214" i="76"/>
  <c r="Y214" i="76"/>
  <c r="X214" i="76"/>
  <c r="W214" i="76"/>
  <c r="V214" i="76"/>
  <c r="U214" i="76"/>
  <c r="AD213" i="76"/>
  <c r="AC213" i="76"/>
  <c r="AB213" i="76"/>
  <c r="AA213" i="76"/>
  <c r="Z213" i="76"/>
  <c r="Y213" i="76"/>
  <c r="X213" i="76"/>
  <c r="W213" i="76"/>
  <c r="V213" i="76"/>
  <c r="U213" i="76"/>
  <c r="AD212" i="76"/>
  <c r="AC212" i="76"/>
  <c r="AB212" i="76"/>
  <c r="AA212" i="76"/>
  <c r="Z212" i="76"/>
  <c r="Y212" i="76"/>
  <c r="X212" i="76"/>
  <c r="W212" i="76"/>
  <c r="V212" i="76"/>
  <c r="U212" i="76"/>
  <c r="AD211" i="76"/>
  <c r="AC211" i="76"/>
  <c r="AB211" i="76"/>
  <c r="AA211" i="76"/>
  <c r="Z211" i="76"/>
  <c r="Y211" i="76"/>
  <c r="X211" i="76"/>
  <c r="W211" i="76"/>
  <c r="V211" i="76"/>
  <c r="U211" i="76"/>
  <c r="AD210" i="76"/>
  <c r="AC210" i="76"/>
  <c r="AB210" i="76"/>
  <c r="AA210" i="76"/>
  <c r="Z210" i="76"/>
  <c r="Y210" i="76"/>
  <c r="X210" i="76"/>
  <c r="W210" i="76"/>
  <c r="V210" i="76"/>
  <c r="U210" i="76"/>
  <c r="AD209" i="76"/>
  <c r="AC209" i="76"/>
  <c r="AB209" i="76"/>
  <c r="AA209" i="76"/>
  <c r="Z209" i="76"/>
  <c r="Y209" i="76"/>
  <c r="X209" i="76"/>
  <c r="W209" i="76"/>
  <c r="V209" i="76"/>
  <c r="U209" i="76"/>
  <c r="AD208" i="76"/>
  <c r="AC208" i="76"/>
  <c r="AB208" i="76"/>
  <c r="AA208" i="76"/>
  <c r="Z208" i="76"/>
  <c r="Y208" i="76"/>
  <c r="X208" i="76"/>
  <c r="W208" i="76"/>
  <c r="V208" i="76"/>
  <c r="U208" i="76"/>
  <c r="T219" i="76"/>
  <c r="T218" i="76"/>
  <c r="T217" i="76"/>
  <c r="T216" i="76"/>
  <c r="T215" i="76"/>
  <c r="T214" i="76"/>
  <c r="T213" i="76"/>
  <c r="T212" i="76"/>
  <c r="T211" i="76"/>
  <c r="T210" i="76"/>
  <c r="T209" i="76"/>
  <c r="T208" i="76"/>
  <c r="T199" i="76"/>
  <c r="T198" i="76"/>
  <c r="T197" i="76"/>
  <c r="T196" i="76"/>
  <c r="T195" i="76"/>
  <c r="T194" i="76"/>
  <c r="T193" i="76"/>
  <c r="T192" i="76"/>
  <c r="T191" i="76"/>
  <c r="T190" i="76"/>
  <c r="T189" i="76"/>
  <c r="T188" i="76"/>
  <c r="T183" i="76"/>
  <c r="T182" i="76"/>
  <c r="T181" i="76"/>
  <c r="T180" i="76"/>
  <c r="T179" i="76"/>
  <c r="T178" i="76"/>
  <c r="T177" i="76"/>
  <c r="T176" i="76"/>
  <c r="T175" i="76"/>
  <c r="T174" i="76"/>
  <c r="T173" i="76"/>
  <c r="T172" i="76"/>
  <c r="T167" i="76"/>
  <c r="T166" i="76"/>
  <c r="T165" i="76"/>
  <c r="T164" i="76"/>
  <c r="T163" i="76"/>
  <c r="T162" i="76"/>
  <c r="T161" i="76"/>
  <c r="T160" i="76"/>
  <c r="T159" i="76"/>
  <c r="T158" i="76"/>
  <c r="T157" i="76"/>
  <c r="T156" i="76"/>
  <c r="T147" i="76"/>
  <c r="T146" i="76"/>
  <c r="T145" i="76"/>
  <c r="T144" i="76"/>
  <c r="T143" i="76"/>
  <c r="T142" i="76"/>
  <c r="T141" i="76"/>
  <c r="T140" i="76"/>
  <c r="T139" i="76"/>
  <c r="T138" i="76"/>
  <c r="T137" i="76"/>
  <c r="T136" i="76"/>
  <c r="T131" i="76"/>
  <c r="T130" i="76"/>
  <c r="T129" i="76"/>
  <c r="T128" i="76"/>
  <c r="T127" i="76"/>
  <c r="T126" i="76"/>
  <c r="T125" i="76"/>
  <c r="T124" i="76"/>
  <c r="T123" i="76"/>
  <c r="T122" i="76"/>
  <c r="T121" i="76"/>
  <c r="T120" i="76"/>
  <c r="T111" i="76"/>
  <c r="T110" i="76"/>
  <c r="T109" i="76"/>
  <c r="T108" i="76"/>
  <c r="T107" i="76"/>
  <c r="T106" i="76"/>
  <c r="T105" i="76"/>
  <c r="T104" i="76"/>
  <c r="T103" i="76"/>
  <c r="T102" i="76"/>
  <c r="T101" i="76"/>
  <c r="T100" i="76"/>
  <c r="T83" i="76"/>
  <c r="T82" i="76"/>
  <c r="T81" i="76"/>
  <c r="T80" i="76"/>
  <c r="T79" i="76"/>
  <c r="T78" i="76"/>
  <c r="T77" i="76"/>
  <c r="T76" i="76"/>
  <c r="T75" i="76"/>
  <c r="T74" i="76"/>
  <c r="T73" i="76"/>
  <c r="T72" i="76"/>
  <c r="T67" i="76"/>
  <c r="T66" i="76"/>
  <c r="T65" i="76"/>
  <c r="T64" i="76"/>
  <c r="T63" i="76"/>
  <c r="T62" i="76"/>
  <c r="T61" i="76"/>
  <c r="T60" i="76"/>
  <c r="T59" i="76"/>
  <c r="T58" i="76"/>
  <c r="T57" i="76"/>
  <c r="T56" i="76"/>
  <c r="A20" i="43"/>
  <c r="A19" i="43"/>
  <c r="A18" i="43"/>
  <c r="A14" i="43"/>
  <c r="A13" i="43"/>
  <c r="A12" i="43"/>
  <c r="A11" i="43"/>
  <c r="A7" i="43"/>
  <c r="A4" i="43"/>
  <c r="A3" i="43"/>
  <c r="A20" i="79"/>
  <c r="A19" i="79"/>
  <c r="A18" i="79"/>
  <c r="A14" i="79"/>
  <c r="A13" i="79"/>
  <c r="A12" i="79"/>
  <c r="A11" i="79"/>
  <c r="A7" i="79"/>
  <c r="A4" i="79"/>
  <c r="A3" i="79"/>
  <c r="A20" i="97"/>
  <c r="A19" i="97"/>
  <c r="A18" i="97"/>
  <c r="A14" i="97"/>
  <c r="A13" i="97"/>
  <c r="A12" i="97"/>
  <c r="A11" i="97"/>
  <c r="A7" i="97"/>
  <c r="A4" i="97"/>
  <c r="A3" i="97"/>
  <c r="A20" i="76"/>
  <c r="A19" i="76"/>
  <c r="A18" i="76"/>
  <c r="A14" i="76"/>
  <c r="A13" i="76"/>
  <c r="A12" i="76"/>
  <c r="A11" i="76"/>
  <c r="A7" i="76"/>
  <c r="A4" i="76"/>
  <c r="A3" i="76"/>
  <c r="A20" i="69"/>
  <c r="A19" i="69"/>
  <c r="A18" i="69"/>
  <c r="A14" i="69"/>
  <c r="A13" i="69"/>
  <c r="A12" i="69"/>
  <c r="A11" i="69"/>
  <c r="A7" i="69"/>
  <c r="A4" i="69"/>
  <c r="A3" i="69"/>
  <c r="A20" i="70"/>
  <c r="A19" i="70"/>
  <c r="A18" i="70"/>
  <c r="A14" i="70"/>
  <c r="A13" i="70"/>
  <c r="A12" i="70"/>
  <c r="A11" i="70"/>
  <c r="A7" i="70"/>
  <c r="A4" i="70"/>
  <c r="A3" i="70"/>
  <c r="A20" i="15"/>
  <c r="A19" i="15"/>
  <c r="A18" i="15"/>
  <c r="A14" i="15"/>
  <c r="A13" i="15"/>
  <c r="A12" i="15"/>
  <c r="A11" i="15"/>
  <c r="A7" i="15"/>
  <c r="A4" i="15"/>
  <c r="A3" i="15"/>
  <c r="A20" i="13"/>
  <c r="A19" i="13"/>
  <c r="A18" i="13"/>
  <c r="A14" i="13"/>
  <c r="A13" i="13"/>
  <c r="A12" i="13"/>
  <c r="A11" i="13"/>
  <c r="A7" i="13"/>
  <c r="A4" i="13"/>
  <c r="A3" i="13"/>
  <c r="A11" i="98"/>
  <c r="A12" i="98"/>
  <c r="A13" i="98"/>
  <c r="A14" i="98"/>
  <c r="D229" i="76" a="1"/>
  <c r="D229" i="76" s="1"/>
  <c r="F232" i="76" a="1"/>
  <c r="F232" i="76" s="1"/>
  <c r="H222" i="76"/>
  <c r="H183" i="76"/>
  <c r="H182" i="76"/>
  <c r="H184" i="76"/>
  <c r="N200" i="76"/>
  <c r="M200" i="76"/>
  <c r="L200" i="76"/>
  <c r="K200" i="76"/>
  <c r="J200" i="76"/>
  <c r="I200" i="76"/>
  <c r="H200" i="76"/>
  <c r="G200" i="76"/>
  <c r="F200" i="76"/>
  <c r="E200" i="76"/>
  <c r="N199" i="76"/>
  <c r="M199" i="76"/>
  <c r="L199" i="76"/>
  <c r="K199" i="76"/>
  <c r="J199" i="76"/>
  <c r="I199" i="76"/>
  <c r="H199" i="76"/>
  <c r="G199" i="76"/>
  <c r="F199" i="76"/>
  <c r="E199" i="76"/>
  <c r="N198" i="76"/>
  <c r="M198" i="76"/>
  <c r="L198" i="76"/>
  <c r="K198" i="76"/>
  <c r="J198" i="76"/>
  <c r="I198" i="76"/>
  <c r="H198" i="76"/>
  <c r="G198" i="76"/>
  <c r="F198" i="76"/>
  <c r="E198" i="76"/>
  <c r="N197" i="76"/>
  <c r="M197" i="76"/>
  <c r="L197" i="76"/>
  <c r="K197" i="76"/>
  <c r="J197" i="76"/>
  <c r="I197" i="76"/>
  <c r="H197" i="76"/>
  <c r="G197" i="76"/>
  <c r="F197" i="76"/>
  <c r="E197" i="76"/>
  <c r="N192" i="76"/>
  <c r="M192" i="76"/>
  <c r="L192" i="76"/>
  <c r="K192" i="76"/>
  <c r="J192" i="76"/>
  <c r="I192" i="76"/>
  <c r="H192" i="76"/>
  <c r="G192" i="76"/>
  <c r="F192" i="76"/>
  <c r="E192" i="76"/>
  <c r="N191" i="76"/>
  <c r="M191" i="76"/>
  <c r="L191" i="76"/>
  <c r="K191" i="76"/>
  <c r="J191" i="76"/>
  <c r="I191" i="76"/>
  <c r="H191" i="76"/>
  <c r="G191" i="76"/>
  <c r="F191" i="76"/>
  <c r="E191" i="76"/>
  <c r="N190" i="76"/>
  <c r="M190" i="76"/>
  <c r="L190" i="76"/>
  <c r="K190" i="76"/>
  <c r="J190" i="76"/>
  <c r="I190" i="76"/>
  <c r="H190" i="76"/>
  <c r="G190" i="76"/>
  <c r="F190" i="76"/>
  <c r="E190" i="76"/>
  <c r="N189" i="76"/>
  <c r="M189" i="76"/>
  <c r="L189" i="76"/>
  <c r="K189" i="76"/>
  <c r="J189" i="76"/>
  <c r="I189" i="76"/>
  <c r="H189" i="76"/>
  <c r="G189" i="76"/>
  <c r="F189" i="76"/>
  <c r="E189" i="76"/>
  <c r="G144" i="76"/>
  <c r="G143" i="76"/>
  <c r="G146" i="76"/>
  <c r="G145" i="76"/>
  <c r="G142" i="76"/>
  <c r="D122" i="76"/>
  <c r="D121" i="76"/>
  <c r="D120" i="76"/>
  <c r="D119" i="76"/>
  <c r="G114" i="76"/>
  <c r="G112" i="76"/>
  <c r="G111" i="76"/>
  <c r="G113" i="76"/>
  <c r="D98" i="76"/>
  <c r="D97" i="76"/>
  <c r="D96" i="76"/>
  <c r="D95" i="76"/>
  <c r="I79" i="76"/>
  <c r="I82" i="76"/>
  <c r="I78" i="76"/>
  <c r="G49" i="76"/>
  <c r="G48" i="76"/>
  <c r="T47" i="76"/>
  <c r="T46" i="76"/>
  <c r="T45" i="76"/>
  <c r="T44" i="76"/>
  <c r="T43" i="76"/>
  <c r="T42" i="76"/>
  <c r="T41" i="76"/>
  <c r="T40" i="76"/>
  <c r="T39" i="76"/>
  <c r="T38" i="76"/>
  <c r="T37" i="76"/>
  <c r="T36" i="76"/>
  <c r="T31" i="76"/>
  <c r="T30" i="76"/>
  <c r="T29" i="76"/>
  <c r="T28" i="76"/>
  <c r="T27" i="76"/>
  <c r="T26" i="76"/>
  <c r="T25" i="76"/>
  <c r="T24" i="76"/>
  <c r="T23" i="76"/>
  <c r="T22" i="76"/>
  <c r="T21" i="76"/>
  <c r="T20" i="76"/>
  <c r="D36" i="76"/>
  <c r="D35" i="76"/>
  <c r="D34" i="76"/>
  <c r="D33" i="76"/>
  <c r="D20" i="76"/>
  <c r="F14" i="76"/>
  <c r="F15" i="76"/>
  <c r="F13" i="76"/>
  <c r="D23" i="76"/>
  <c r="D22" i="76"/>
  <c r="D21" i="76"/>
  <c r="V94" i="76"/>
  <c r="W92" i="76"/>
  <c r="V92" i="76"/>
  <c r="W95" i="76"/>
  <c r="V95" i="76"/>
  <c r="W94" i="76"/>
  <c r="W93" i="76"/>
  <c r="V93" i="76"/>
  <c r="U95" i="76"/>
  <c r="U94" i="76"/>
  <c r="U93" i="76"/>
  <c r="U92" i="76"/>
  <c r="E72" i="76" a="1"/>
  <c r="E216" i="76" a="1"/>
  <c r="E42" i="76" a="1"/>
  <c r="E176" i="76" a="1"/>
  <c r="E104" i="76" a="1"/>
  <c r="E7" i="76" a="1"/>
  <c r="E136" i="76" a="1"/>
  <c r="O95" i="76" l="1"/>
  <c r="AE38" i="76"/>
  <c r="AE103" i="76"/>
  <c r="AE39" i="76"/>
  <c r="AE106" i="76"/>
  <c r="O64" i="76"/>
  <c r="AE40" i="76"/>
  <c r="AE109" i="76"/>
  <c r="O63" i="76"/>
  <c r="AE72" i="76"/>
  <c r="O65" i="76"/>
  <c r="AE77" i="76"/>
  <c r="AE83" i="76"/>
  <c r="O96" i="76"/>
  <c r="AE80" i="76"/>
  <c r="O97" i="76"/>
  <c r="AE100" i="76"/>
  <c r="AE74" i="76"/>
  <c r="AE101" i="76"/>
  <c r="AE141" i="76"/>
  <c r="AE139" i="76"/>
  <c r="AE140" i="76"/>
  <c r="AE147" i="76"/>
  <c r="AE145" i="76"/>
  <c r="AE144" i="76"/>
  <c r="AE138" i="76"/>
  <c r="AE136" i="76"/>
  <c r="O130" i="76"/>
  <c r="AE143" i="76"/>
  <c r="AE137" i="76"/>
  <c r="O127" i="76"/>
  <c r="O129" i="76"/>
  <c r="O128" i="76"/>
  <c r="AE146" i="76"/>
  <c r="AE142" i="76"/>
  <c r="O169" i="76"/>
  <c r="AE199" i="76"/>
  <c r="AE250" i="76"/>
  <c r="AE251" i="76"/>
  <c r="V253" i="76"/>
  <c r="AE73" i="76"/>
  <c r="AE102" i="76"/>
  <c r="AE189" i="76"/>
  <c r="AE240" i="76"/>
  <c r="V259" i="76"/>
  <c r="O205" i="76"/>
  <c r="AE75" i="76"/>
  <c r="AE104" i="76"/>
  <c r="AE191" i="76"/>
  <c r="AE242" i="76"/>
  <c r="AE45" i="76"/>
  <c r="O98" i="76"/>
  <c r="O206" i="76"/>
  <c r="AE76" i="76"/>
  <c r="AE105" i="76"/>
  <c r="AE192" i="76"/>
  <c r="AE243" i="76"/>
  <c r="AE193" i="76"/>
  <c r="AE244" i="76"/>
  <c r="AE43" i="76"/>
  <c r="AE46" i="76"/>
  <c r="O207" i="76"/>
  <c r="AE47" i="76"/>
  <c r="O208" i="76"/>
  <c r="AE78" i="76"/>
  <c r="AE107" i="76"/>
  <c r="AE194" i="76"/>
  <c r="AE245" i="76"/>
  <c r="O170" i="76"/>
  <c r="AE188" i="76"/>
  <c r="AE42" i="76"/>
  <c r="O33" i="76"/>
  <c r="F210" i="76"/>
  <c r="AE79" i="76"/>
  <c r="AE108" i="76"/>
  <c r="AE195" i="76"/>
  <c r="AE246" i="76"/>
  <c r="AE196" i="76"/>
  <c r="AE247" i="76"/>
  <c r="AE41" i="76"/>
  <c r="O35" i="76"/>
  <c r="AE36" i="76"/>
  <c r="O167" i="76"/>
  <c r="AE81" i="76"/>
  <c r="AE110" i="76"/>
  <c r="AE197" i="76"/>
  <c r="AE248" i="76"/>
  <c r="AE190" i="76"/>
  <c r="AE241" i="76"/>
  <c r="AE44" i="76"/>
  <c r="O34" i="76"/>
  <c r="O36" i="76"/>
  <c r="O62" i="76"/>
  <c r="O168" i="76"/>
  <c r="E216" i="76"/>
  <c r="E176" i="76"/>
  <c r="E136" i="76"/>
  <c r="E104" i="76"/>
  <c r="E72" i="76"/>
  <c r="E42" i="76"/>
  <c r="E7" i="76"/>
  <c r="D87" i="76" l="1"/>
  <c r="D88" i="76"/>
  <c r="G90" i="76"/>
  <c r="F90" i="76"/>
  <c r="E90" i="76"/>
  <c r="G89" i="76"/>
  <c r="F89" i="76"/>
  <c r="E89" i="76"/>
  <c r="G88" i="76"/>
  <c r="F88" i="76"/>
  <c r="E88" i="76"/>
  <c r="G87" i="76"/>
  <c r="F87" i="76"/>
  <c r="E87" i="76"/>
  <c r="D90" i="76"/>
  <c r="D89" i="76"/>
  <c r="A20" i="98"/>
  <c r="A19" i="98"/>
  <c r="A18" i="98"/>
  <c r="A7" i="98"/>
  <c r="A4" i="98"/>
  <c r="A3" i="98"/>
  <c r="D28" i="76" l="1"/>
  <c r="F28" i="76"/>
  <c r="M28" i="76"/>
  <c r="L28" i="76"/>
  <c r="J28" i="76"/>
  <c r="G28" i="76"/>
  <c r="I28" i="76"/>
  <c r="E28" i="76"/>
  <c r="AD231" i="76"/>
  <c r="AC232" i="76"/>
  <c r="AB233" i="76"/>
  <c r="AA234" i="76"/>
  <c r="U235" i="76"/>
  <c r="AD230" i="76"/>
  <c r="AA224" i="76"/>
  <c r="AC225" i="76"/>
  <c r="T95" i="76"/>
  <c r="AD226" i="76"/>
  <c r="AD227" i="76"/>
  <c r="Z228" i="76"/>
  <c r="AC229" i="76"/>
  <c r="I81" i="76" a="1"/>
  <c r="I81" i="76" s="1"/>
  <c r="I80" i="76" a="1"/>
  <c r="I80" i="76" s="1"/>
  <c r="AE59" i="76"/>
  <c r="AE58" i="76"/>
  <c r="AE57" i="76"/>
  <c r="AE56" i="76"/>
  <c r="AE67" i="76"/>
  <c r="AE66" i="76"/>
  <c r="AE65" i="76"/>
  <c r="AE64" i="76"/>
  <c r="AE63" i="76"/>
  <c r="AE62" i="76"/>
  <c r="AE61" i="76"/>
  <c r="AE60" i="76"/>
  <c r="O57" i="76"/>
  <c r="O56" i="76"/>
  <c r="O55" i="76"/>
  <c r="O54" i="76"/>
  <c r="K28" i="76"/>
  <c r="H28" i="76"/>
  <c r="W231" i="76" l="1"/>
  <c r="AA228" i="76"/>
  <c r="AA227" i="76"/>
  <c r="Y234" i="76"/>
  <c r="AB226" i="76"/>
  <c r="AD232" i="76"/>
  <c r="W235" i="76"/>
  <c r="V228" i="76"/>
  <c r="X228" i="76"/>
  <c r="W224" i="76"/>
  <c r="AA232" i="76"/>
  <c r="V225" i="76"/>
  <c r="X235" i="76"/>
  <c r="W232" i="76"/>
  <c r="U234" i="76"/>
  <c r="AC227" i="76"/>
  <c r="V234" i="76"/>
  <c r="X230" i="76"/>
  <c r="Z233" i="76"/>
  <c r="AA231" i="76"/>
  <c r="V235" i="76"/>
  <c r="AC230" i="76"/>
  <c r="U233" i="76"/>
  <c r="AB230" i="76"/>
  <c r="AA226" i="76"/>
  <c r="AC234" i="76"/>
  <c r="V229" i="76"/>
  <c r="Y227" i="76"/>
  <c r="AC224" i="76"/>
  <c r="V230" i="76"/>
  <c r="Z231" i="76"/>
  <c r="Y231" i="76"/>
  <c r="AB229" i="76"/>
  <c r="Z234" i="76"/>
  <c r="AA225" i="76"/>
  <c r="U229" i="76"/>
  <c r="AB234" i="76"/>
  <c r="W234" i="76"/>
  <c r="Y228" i="76"/>
  <c r="V232" i="76"/>
  <c r="W230" i="76"/>
  <c r="AC233" i="76"/>
  <c r="Z225" i="76"/>
  <c r="X233" i="76"/>
  <c r="U231" i="76"/>
  <c r="W229" i="76"/>
  <c r="AB232" i="76"/>
  <c r="Y230" i="76"/>
  <c r="AA230" i="76"/>
  <c r="AB224" i="76"/>
  <c r="V233" i="76"/>
  <c r="Y226" i="76"/>
  <c r="X225" i="76"/>
  <c r="V227" i="76"/>
  <c r="AD228" i="76"/>
  <c r="Y229" i="76"/>
  <c r="W233" i="76"/>
  <c r="Z232" i="76"/>
  <c r="AD235" i="76"/>
  <c r="AB231" i="76"/>
  <c r="X227" i="76"/>
  <c r="AD224" i="76"/>
  <c r="W228" i="76"/>
  <c r="V231" i="76"/>
  <c r="X231" i="76"/>
  <c r="X229" i="76"/>
  <c r="Y225" i="76"/>
  <c r="AA229" i="76"/>
  <c r="AB235" i="76"/>
  <c r="U225" i="76"/>
  <c r="Y233" i="76"/>
  <c r="AC226" i="76"/>
  <c r="T93" i="76"/>
  <c r="X232" i="76"/>
  <c r="Y224" i="76"/>
  <c r="U228" i="76"/>
  <c r="Z224" i="76"/>
  <c r="Z226" i="76"/>
  <c r="AD229" i="76"/>
  <c r="Z229" i="76"/>
  <c r="Z227" i="76"/>
  <c r="Z230" i="76"/>
  <c r="AD233" i="76"/>
  <c r="Y232" i="76"/>
  <c r="X234" i="76"/>
  <c r="W225" i="76"/>
  <c r="W226" i="76"/>
  <c r="T92" i="76"/>
  <c r="AC231" i="76"/>
  <c r="AD225" i="76"/>
  <c r="W227" i="76"/>
  <c r="X224" i="76"/>
  <c r="AD234" i="76"/>
  <c r="AB227" i="76"/>
  <c r="AB228" i="76"/>
  <c r="V226" i="76"/>
  <c r="T94" i="76"/>
  <c r="AC235" i="76"/>
  <c r="U230" i="76"/>
  <c r="AB225" i="76"/>
  <c r="Y235" i="76"/>
  <c r="AC228" i="76"/>
  <c r="U224" i="76"/>
  <c r="V224" i="76"/>
  <c r="Z235" i="76"/>
  <c r="AA233" i="76"/>
  <c r="U232" i="76"/>
  <c r="X226" i="76"/>
  <c r="U227" i="76"/>
  <c r="U226" i="76"/>
  <c r="AA235" i="76"/>
  <c r="Z111" i="76" a="1"/>
  <c r="Z111" i="76" s="1"/>
  <c r="Y108" i="76" a="1"/>
  <c r="Y108" i="76" s="1"/>
  <c r="Y104" i="76" a="1"/>
  <c r="Y104" i="76" s="1"/>
  <c r="Y101" i="76" a="1"/>
  <c r="Y101" i="76" s="1"/>
  <c r="H96" i="76" a="1"/>
  <c r="H96" i="76" s="1"/>
  <c r="Y111" i="76" a="1"/>
  <c r="Y111" i="76" s="1"/>
  <c r="X108" i="76" a="1"/>
  <c r="X108" i="76" s="1"/>
  <c r="X101" i="76" a="1"/>
  <c r="X101" i="76" s="1"/>
  <c r="J95" i="76" a="1"/>
  <c r="J95" i="76" s="1"/>
  <c r="X104" i="76" a="1"/>
  <c r="X104" i="76" s="1"/>
  <c r="Z100" i="76" a="1"/>
  <c r="Z100" i="76" s="1"/>
  <c r="X111" i="76" a="1"/>
  <c r="X111" i="76" s="1"/>
  <c r="Z107" i="76" a="1"/>
  <c r="Z107" i="76" s="1"/>
  <c r="Z103" i="76" a="1"/>
  <c r="Z103" i="76" s="1"/>
  <c r="Y100" i="76" a="1"/>
  <c r="Y100" i="76" s="1"/>
  <c r="I95" i="76" a="1"/>
  <c r="I95" i="76" s="1"/>
  <c r="I96" i="76" a="1"/>
  <c r="I96" i="76" s="1"/>
  <c r="Y107" i="76" a="1"/>
  <c r="Y107" i="76" s="1"/>
  <c r="X100" i="76" a="1"/>
  <c r="X100" i="76" s="1"/>
  <c r="H95" i="76" a="1"/>
  <c r="H95" i="76" s="1"/>
  <c r="Z110" i="76" a="1"/>
  <c r="Z110" i="76" s="1"/>
  <c r="X107" i="76" a="1"/>
  <c r="X107" i="76" s="1"/>
  <c r="Y103" i="76" a="1"/>
  <c r="Y103" i="76" s="1"/>
  <c r="J98" i="76" a="1"/>
  <c r="J98" i="76" s="1"/>
  <c r="X105" i="76" a="1"/>
  <c r="X105" i="76" s="1"/>
  <c r="Y110" i="76" a="1"/>
  <c r="Y110" i="76" s="1"/>
  <c r="Z106" i="76" a="1"/>
  <c r="Z106" i="76" s="1"/>
  <c r="X103" i="76" a="1"/>
  <c r="X103" i="76" s="1"/>
  <c r="I98" i="76" a="1"/>
  <c r="I98" i="76" s="1"/>
  <c r="X110" i="76" a="1"/>
  <c r="X110" i="76" s="1"/>
  <c r="Y106" i="76" a="1"/>
  <c r="Y106" i="76" s="1"/>
  <c r="H98" i="76" a="1"/>
  <c r="H98" i="76" s="1"/>
  <c r="X106" i="76" a="1"/>
  <c r="X106" i="76" s="1"/>
  <c r="Z102" i="76" a="1"/>
  <c r="Z102" i="76" s="1"/>
  <c r="J97" i="76" a="1"/>
  <c r="J97" i="76" s="1"/>
  <c r="Z109" i="76" a="1"/>
  <c r="Z109" i="76" s="1"/>
  <c r="Z105" i="76" a="1"/>
  <c r="Z105" i="76" s="1"/>
  <c r="Y102" i="76" a="1"/>
  <c r="Y102" i="76" s="1"/>
  <c r="I97" i="76" a="1"/>
  <c r="I97" i="76" s="1"/>
  <c r="Y109" i="76" a="1"/>
  <c r="Y109" i="76" s="1"/>
  <c r="Y105" i="76" a="1"/>
  <c r="Y105" i="76" s="1"/>
  <c r="H97" i="76" a="1"/>
  <c r="H97" i="76" s="1"/>
  <c r="X109" i="76" a="1"/>
  <c r="X109" i="76" s="1"/>
  <c r="X102" i="76" a="1"/>
  <c r="X102" i="76" s="1"/>
  <c r="J96" i="76" a="1"/>
  <c r="J96" i="76" s="1"/>
  <c r="Z108" i="76" a="1"/>
  <c r="Z108" i="76" s="1"/>
  <c r="Z104" i="76" a="1"/>
  <c r="Z104" i="76" s="1"/>
  <c r="Z101" i="76" a="1"/>
  <c r="Z101" i="76" s="1"/>
  <c r="G160" i="76" l="1"/>
  <c r="G159" i="76"/>
  <c r="E159" i="76"/>
  <c r="E160" i="76"/>
  <c r="K159" i="76"/>
  <c r="K160" i="76"/>
  <c r="E161" i="76"/>
  <c r="G161" i="76"/>
  <c r="K161" i="76"/>
  <c r="U175" i="76"/>
  <c r="AA175" i="76"/>
  <c r="W175" i="76"/>
  <c r="U183" i="76"/>
  <c r="AA183" i="76"/>
  <c r="W183" i="76"/>
  <c r="W176" i="76"/>
  <c r="U176" i="76"/>
  <c r="AA176" i="76"/>
  <c r="W179" i="76"/>
  <c r="U179" i="76"/>
  <c r="AA179" i="76"/>
  <c r="U173" i="76"/>
  <c r="AA173" i="76"/>
  <c r="W173" i="76"/>
  <c r="AA177" i="76"/>
  <c r="U177" i="76"/>
  <c r="W177" i="76"/>
  <c r="U180" i="76"/>
  <c r="AA180" i="76"/>
  <c r="W180" i="76"/>
  <c r="K162" i="76"/>
  <c r="G162" i="76"/>
  <c r="E162" i="76"/>
  <c r="AA178" i="76"/>
  <c r="W178" i="76"/>
  <c r="U178" i="76"/>
  <c r="W172" i="76"/>
  <c r="AA172" i="76"/>
  <c r="U172" i="76"/>
  <c r="U174" i="76"/>
  <c r="W174" i="76"/>
  <c r="AA174" i="76"/>
  <c r="AA182" i="76"/>
  <c r="U182" i="76"/>
  <c r="W182" i="76"/>
  <c r="U181" i="76"/>
  <c r="AA181" i="76"/>
  <c r="W181" i="76"/>
  <c r="AB22" i="76" l="1"/>
  <c r="AB38" i="76" s="1" a="1"/>
  <c r="AB38" i="76" s="1"/>
  <c r="X22" i="76"/>
  <c r="X38" i="76" s="1" a="1"/>
  <c r="X38" i="76" s="1"/>
  <c r="AC22" i="76"/>
  <c r="AC38" i="76" s="1" a="1"/>
  <c r="AC38" i="76" s="1"/>
  <c r="W22" i="76"/>
  <c r="W38" i="76" s="1" a="1"/>
  <c r="W38" i="76" s="1"/>
  <c r="U22" i="76"/>
  <c r="U38" i="76" s="1" a="1"/>
  <c r="U38" i="76" s="1"/>
  <c r="Z22" i="76"/>
  <c r="Z38" i="76" s="1" a="1"/>
  <c r="Z38" i="76" s="1"/>
  <c r="AA22" i="76"/>
  <c r="AA38" i="76" s="1" a="1"/>
  <c r="AA38" i="76" s="1"/>
  <c r="V22" i="76"/>
  <c r="V38" i="76" s="1" a="1"/>
  <c r="V38" i="76" s="1"/>
  <c r="Y22" i="76"/>
  <c r="Y38" i="76" s="1" a="1"/>
  <c r="Y38" i="76" s="1"/>
  <c r="H225" i="76"/>
  <c r="H33" i="97"/>
  <c r="F120" i="76" l="1"/>
  <c r="AC27" i="76"/>
  <c r="AC43" i="76" s="1" a="1"/>
  <c r="AC43" i="76" s="1"/>
  <c r="I119" i="76"/>
  <c r="X126" i="76"/>
  <c r="AA27" i="76"/>
  <c r="AA43" i="76" s="1" a="1"/>
  <c r="AA43" i="76" s="1"/>
  <c r="M119" i="76"/>
  <c r="Y30" i="76"/>
  <c r="Y46" i="76" s="1" a="1"/>
  <c r="Y46" i="76" s="1"/>
  <c r="AD123" i="76"/>
  <c r="Z128" i="76"/>
  <c r="Z127" i="76"/>
  <c r="AB25" i="76"/>
  <c r="AB41" i="76" s="1" a="1"/>
  <c r="AB41" i="76" s="1"/>
  <c r="AC30" i="76"/>
  <c r="AC46" i="76" s="1" a="1"/>
  <c r="AC46" i="76" s="1"/>
  <c r="AA29" i="76"/>
  <c r="AA45" i="76" s="1" a="1"/>
  <c r="AA45" i="76" s="1"/>
  <c r="Y131" i="76"/>
  <c r="AB27" i="76"/>
  <c r="AB43" i="76" s="1" a="1"/>
  <c r="AB43" i="76" s="1"/>
  <c r="AA25" i="76"/>
  <c r="AA41" i="76" s="1" a="1"/>
  <c r="AA41" i="76" s="1"/>
  <c r="Z26" i="76"/>
  <c r="Z42" i="76" s="1" a="1"/>
  <c r="Z42" i="76" s="1"/>
  <c r="AC130" i="76"/>
  <c r="U25" i="76"/>
  <c r="U41" i="76" s="1" a="1"/>
  <c r="U41" i="76" s="1"/>
  <c r="AA122" i="76"/>
  <c r="AC129" i="76"/>
  <c r="U23" i="76"/>
  <c r="U39" i="76" s="1" a="1"/>
  <c r="U39" i="76" s="1"/>
  <c r="Z25" i="76"/>
  <c r="Z41" i="76" s="1" a="1"/>
  <c r="Z41" i="76" s="1"/>
  <c r="Y25" i="76"/>
  <c r="Y41" i="76" s="1" a="1"/>
  <c r="Y41" i="76" s="1"/>
  <c r="X29" i="76"/>
  <c r="X45" i="76" s="1" a="1"/>
  <c r="X45" i="76" s="1"/>
  <c r="F121" i="76"/>
  <c r="Y163" i="76"/>
  <c r="W156" i="76"/>
  <c r="AD161" i="76"/>
  <c r="F153" i="76"/>
  <c r="Y157" i="76"/>
  <c r="G152" i="76"/>
  <c r="V156" i="76"/>
  <c r="AC156" i="76"/>
  <c r="Y156" i="76"/>
  <c r="AC165" i="76"/>
  <c r="M153" i="76"/>
  <c r="V125" i="76"/>
  <c r="Z124" i="76"/>
  <c r="X26" i="76"/>
  <c r="X42" i="76" s="1" a="1"/>
  <c r="X42" i="76" s="1"/>
  <c r="U127" i="76"/>
  <c r="AA28" i="76"/>
  <c r="AA44" i="76" s="1" a="1"/>
  <c r="AA44" i="76" s="1"/>
  <c r="AA130" i="76"/>
  <c r="X28" i="76"/>
  <c r="X44" i="76" s="1" a="1"/>
  <c r="X44" i="76" s="1"/>
  <c r="H121" i="76"/>
  <c r="L121" i="76"/>
  <c r="W124" i="76"/>
  <c r="Y31" i="76"/>
  <c r="Y47" i="76" s="1" a="1"/>
  <c r="Y47" i="76" s="1"/>
  <c r="X31" i="76"/>
  <c r="X47" i="76" s="1" a="1"/>
  <c r="X47" i="76" s="1"/>
  <c r="H119" i="76"/>
  <c r="W122" i="76"/>
  <c r="G122" i="76"/>
  <c r="AA24" i="76"/>
  <c r="AA40" i="76" s="1" a="1"/>
  <c r="AA40" i="76" s="1"/>
  <c r="AD25" i="76"/>
  <c r="AD41" i="76" s="1" a="1"/>
  <c r="AD41" i="76" s="1"/>
  <c r="AA131" i="76"/>
  <c r="Y28" i="76"/>
  <c r="Y44" i="76" s="1" a="1"/>
  <c r="Y44" i="76" s="1"/>
  <c r="V122" i="76"/>
  <c r="AA26" i="76"/>
  <c r="AA42" i="76" s="1" a="1"/>
  <c r="AA42" i="76" s="1"/>
  <c r="I122" i="76"/>
  <c r="F154" i="76"/>
  <c r="F151" i="76"/>
  <c r="W166" i="76"/>
  <c r="G153" i="76"/>
  <c r="AB162" i="76"/>
  <c r="X167" i="76"/>
  <c r="Y167" i="76"/>
  <c r="V161" i="76"/>
  <c r="Z163" i="76"/>
  <c r="I152" i="76"/>
  <c r="Z167" i="76"/>
  <c r="AB128" i="76"/>
  <c r="AD120" i="76"/>
  <c r="AB29" i="76"/>
  <c r="AB45" i="76" s="1" a="1"/>
  <c r="AB45" i="76" s="1"/>
  <c r="W130" i="76"/>
  <c r="Z27" i="76"/>
  <c r="Z43" i="76" s="1" a="1"/>
  <c r="Z43" i="76" s="1"/>
  <c r="AC122" i="76"/>
  <c r="Y120" i="76"/>
  <c r="V123" i="76"/>
  <c r="M122" i="76"/>
  <c r="Y23" i="76"/>
  <c r="Y39" i="76" s="1" a="1"/>
  <c r="Y39" i="76" s="1"/>
  <c r="V23" i="76"/>
  <c r="V39" i="76" s="1" a="1"/>
  <c r="V39" i="76" s="1"/>
  <c r="U31" i="76"/>
  <c r="U47" i="76" s="1" a="1"/>
  <c r="U47" i="76" s="1"/>
  <c r="N120" i="76"/>
  <c r="AD27" i="76"/>
  <c r="AD43" i="76" s="1" a="1"/>
  <c r="AD43" i="76" s="1"/>
  <c r="AC26" i="76"/>
  <c r="AC42" i="76" s="1" a="1"/>
  <c r="AC42" i="76" s="1"/>
  <c r="X127" i="76"/>
  <c r="V120" i="76"/>
  <c r="Z130" i="76"/>
  <c r="AC24" i="76"/>
  <c r="AC40" i="76" s="1" a="1"/>
  <c r="AC40" i="76" s="1"/>
  <c r="L120" i="76"/>
  <c r="H154" i="76"/>
  <c r="U162" i="76"/>
  <c r="I151" i="76"/>
  <c r="U167" i="76"/>
  <c r="AA164" i="76"/>
  <c r="Z165" i="76"/>
  <c r="K152" i="76"/>
  <c r="W161" i="76"/>
  <c r="W162" i="76"/>
  <c r="V165" i="76"/>
  <c r="Z160" i="76"/>
  <c r="AA160" i="76"/>
  <c r="Z24" i="76"/>
  <c r="Z40" i="76" s="1" a="1"/>
  <c r="Z40" i="76" s="1"/>
  <c r="AC127" i="76"/>
  <c r="AD122" i="76"/>
  <c r="AD30" i="76"/>
  <c r="AD46" i="76" s="1" a="1"/>
  <c r="AD46" i="76" s="1"/>
  <c r="Y123" i="76"/>
  <c r="Z31" i="76"/>
  <c r="Z47" i="76" s="1" a="1"/>
  <c r="Z47" i="76" s="1"/>
  <c r="AD127" i="76"/>
  <c r="W21" i="76"/>
  <c r="W37" i="76" s="1" a="1"/>
  <c r="W37" i="76" s="1"/>
  <c r="Z123" i="76"/>
  <c r="Y26" i="76"/>
  <c r="Y42" i="76" s="1" a="1"/>
  <c r="Y42" i="76" s="1"/>
  <c r="AB20" i="76"/>
  <c r="AB36" i="76" s="1" a="1"/>
  <c r="AB36" i="76" s="1"/>
  <c r="K120" i="76"/>
  <c r="W165" i="76"/>
  <c r="H151" i="76"/>
  <c r="Z158" i="76"/>
  <c r="X162" i="76"/>
  <c r="U156" i="76"/>
  <c r="V166" i="76"/>
  <c r="J153" i="76"/>
  <c r="AB160" i="76"/>
  <c r="W158" i="76"/>
  <c r="M154" i="76"/>
  <c r="W159" i="76"/>
  <c r="AB167" i="76"/>
  <c r="V27" i="76"/>
  <c r="V43" i="76" s="1" a="1"/>
  <c r="V43" i="76" s="1"/>
  <c r="AB121" i="76"/>
  <c r="Z131" i="76"/>
  <c r="W28" i="76"/>
  <c r="W44" i="76" s="1" a="1"/>
  <c r="W44" i="76" s="1"/>
  <c r="Z129" i="76"/>
  <c r="Z21" i="76"/>
  <c r="Z37" i="76" s="1" a="1"/>
  <c r="Z37" i="76" s="1"/>
  <c r="U120" i="76"/>
  <c r="AD129" i="76"/>
  <c r="F119" i="76"/>
  <c r="Y24" i="76"/>
  <c r="Y40" i="76" s="1" a="1"/>
  <c r="Y40" i="76" s="1"/>
  <c r="W123" i="76"/>
  <c r="W30" i="76"/>
  <c r="W46" i="76" s="1" a="1"/>
  <c r="W46" i="76" s="1"/>
  <c r="X123" i="76"/>
  <c r="Y125" i="76"/>
  <c r="AA23" i="76"/>
  <c r="AA39" i="76" s="1" a="1"/>
  <c r="AA39" i="76" s="1"/>
  <c r="H120" i="76"/>
  <c r="E122" i="76"/>
  <c r="I120" i="76"/>
  <c r="Z159" i="76"/>
  <c r="AC167" i="76"/>
  <c r="AC162" i="76"/>
  <c r="L151" i="76"/>
  <c r="AD165" i="76"/>
  <c r="Z156" i="76"/>
  <c r="AC158" i="76"/>
  <c r="Y159" i="76"/>
  <c r="Z162" i="76"/>
  <c r="V160" i="76"/>
  <c r="X166" i="76"/>
  <c r="Y166" i="76"/>
  <c r="X121" i="76"/>
  <c r="AA20" i="76"/>
  <c r="AA36" i="76" s="1" a="1"/>
  <c r="AA36" i="76" s="1"/>
  <c r="W25" i="76"/>
  <c r="W41" i="76" s="1" a="1"/>
  <c r="W41" i="76" s="1"/>
  <c r="H122" i="76"/>
  <c r="AD131" i="76"/>
  <c r="G119" i="76"/>
  <c r="AD31" i="76"/>
  <c r="AD47" i="76" s="1" a="1"/>
  <c r="AD47" i="76" s="1"/>
  <c r="L119" i="76"/>
  <c r="AA123" i="76"/>
  <c r="Z121" i="76"/>
  <c r="AD28" i="76"/>
  <c r="AD44" i="76" s="1" a="1"/>
  <c r="AD44" i="76" s="1"/>
  <c r="W27" i="76"/>
  <c r="W43" i="76" s="1" a="1"/>
  <c r="W43" i="76" s="1"/>
  <c r="AA120" i="76"/>
  <c r="AC125" i="76"/>
  <c r="W129" i="76"/>
  <c r="AC23" i="76"/>
  <c r="AC39" i="76" s="1" a="1"/>
  <c r="AC39" i="76" s="1"/>
  <c r="AB129" i="76"/>
  <c r="AD20" i="76"/>
  <c r="AD36" i="76" s="1" a="1"/>
  <c r="AD36" i="76" s="1"/>
  <c r="K122" i="76"/>
  <c r="M120" i="76"/>
  <c r="G120" i="76"/>
  <c r="V167" i="76"/>
  <c r="M151" i="76"/>
  <c r="X161" i="76"/>
  <c r="Y160" i="76"/>
  <c r="W163" i="76"/>
  <c r="AA156" i="76"/>
  <c r="H152" i="76"/>
  <c r="I154" i="76"/>
  <c r="AB156" i="76"/>
  <c r="AA162" i="76"/>
  <c r="Y164" i="76"/>
  <c r="U165" i="76"/>
  <c r="Y162" i="76"/>
  <c r="X124" i="76"/>
  <c r="X129" i="76"/>
  <c r="W131" i="76"/>
  <c r="V31" i="76"/>
  <c r="V47" i="76" s="1" a="1"/>
  <c r="V47" i="76" s="1"/>
  <c r="V26" i="76"/>
  <c r="V42" i="76" s="1" a="1"/>
  <c r="V42" i="76" s="1"/>
  <c r="AA127" i="76"/>
  <c r="Y127" i="76"/>
  <c r="F122" i="76"/>
  <c r="X130" i="76"/>
  <c r="AB26" i="76"/>
  <c r="AB42" i="76" s="1" a="1"/>
  <c r="AB42" i="76" s="1"/>
  <c r="X21" i="76"/>
  <c r="X37" i="76" s="1" a="1"/>
  <c r="X37" i="76" s="1"/>
  <c r="E120" i="76"/>
  <c r="AD125" i="76"/>
  <c r="V21" i="76"/>
  <c r="V37" i="76" s="1" a="1"/>
  <c r="V37" i="76" s="1"/>
  <c r="Y124" i="76"/>
  <c r="X128" i="76"/>
  <c r="V121" i="76"/>
  <c r="V28" i="76"/>
  <c r="V44" i="76" s="1" a="1"/>
  <c r="V44" i="76" s="1"/>
  <c r="AB21" i="76"/>
  <c r="AB37" i="76" s="1" a="1"/>
  <c r="AB37" i="76" s="1"/>
  <c r="AB161" i="76"/>
  <c r="AA165" i="76"/>
  <c r="AB164" i="76"/>
  <c r="K151" i="76"/>
  <c r="U166" i="76"/>
  <c r="AB159" i="76"/>
  <c r="E152" i="76"/>
  <c r="AC131" i="76"/>
  <c r="E151" i="76"/>
  <c r="U161" i="76"/>
  <c r="AB166" i="76"/>
  <c r="AB125" i="76"/>
  <c r="AB124" i="76"/>
  <c r="Y29" i="76"/>
  <c r="Y45" i="76" s="1" a="1"/>
  <c r="Y45" i="76" s="1"/>
  <c r="Y121" i="76"/>
  <c r="AD130" i="76"/>
  <c r="W23" i="76"/>
  <c r="W39" i="76" s="1" a="1"/>
  <c r="W39" i="76" s="1"/>
  <c r="U159" i="76"/>
  <c r="K153" i="76"/>
  <c r="L152" i="76"/>
  <c r="AD156" i="76"/>
  <c r="G151" i="76"/>
  <c r="AC159" i="76"/>
  <c r="X157" i="76"/>
  <c r="V159" i="76"/>
  <c r="X165" i="76"/>
  <c r="AC166" i="76"/>
  <c r="W127" i="76"/>
  <c r="Y122" i="76"/>
  <c r="Z122" i="76"/>
  <c r="AD22" i="76"/>
  <c r="AD38" i="76" s="1" a="1"/>
  <c r="AD38" i="76" s="1"/>
  <c r="X131" i="76"/>
  <c r="AC29" i="76"/>
  <c r="AC45" i="76" s="1" a="1"/>
  <c r="AC45" i="76" s="1"/>
  <c r="V24" i="76"/>
  <c r="V40" i="76" s="1" a="1"/>
  <c r="V40" i="76" s="1"/>
  <c r="AB126" i="76"/>
  <c r="Z20" i="76"/>
  <c r="Z36" i="76" s="1" a="1"/>
  <c r="Z36" i="76" s="1"/>
  <c r="V30" i="76"/>
  <c r="V46" i="76" s="1" a="1"/>
  <c r="V46" i="76" s="1"/>
  <c r="AB130" i="76"/>
  <c r="J120" i="76"/>
  <c r="AC128" i="76"/>
  <c r="X27" i="76"/>
  <c r="X43" i="76" s="1" a="1"/>
  <c r="X43" i="76" s="1"/>
  <c r="W128" i="76"/>
  <c r="X20" i="76"/>
  <c r="X36" i="76" s="1" a="1"/>
  <c r="X36" i="76" s="1"/>
  <c r="AA124" i="76"/>
  <c r="AC120" i="76"/>
  <c r="AC25" i="76"/>
  <c r="AC41" i="76" s="1" a="1"/>
  <c r="AC41" i="76" s="1"/>
  <c r="AA121" i="76"/>
  <c r="AD24" i="76"/>
  <c r="AD40" i="76" s="1" a="1"/>
  <c r="AD40" i="76" s="1"/>
  <c r="AC124" i="76"/>
  <c r="AC67" i="76"/>
  <c r="AC31" i="76"/>
  <c r="AC47" i="76" s="1" a="1"/>
  <c r="AC47" i="76" s="1"/>
  <c r="U24" i="76"/>
  <c r="U40" i="76" s="1" a="1"/>
  <c r="U40" i="76" s="1"/>
  <c r="V157" i="76"/>
  <c r="X156" i="76"/>
  <c r="Z164" i="76"/>
  <c r="G154" i="76"/>
  <c r="W164" i="76"/>
  <c r="U157" i="76"/>
  <c r="X159" i="76"/>
  <c r="AA161" i="76"/>
  <c r="AD160" i="76"/>
  <c r="AA129" i="76"/>
  <c r="AC157" i="76"/>
  <c r="Y165" i="76"/>
  <c r="AB120" i="76"/>
  <c r="J122" i="76"/>
  <c r="V124" i="76"/>
  <c r="U130" i="76"/>
  <c r="I121" i="76"/>
  <c r="K119" i="76"/>
  <c r="J119" i="76"/>
  <c r="U29" i="76"/>
  <c r="U45" i="76" s="1" a="1"/>
  <c r="U45" i="76" s="1"/>
  <c r="AB131" i="76"/>
  <c r="Z29" i="76"/>
  <c r="Z45" i="76" s="1" a="1"/>
  <c r="Z45" i="76" s="1"/>
  <c r="G121" i="76"/>
  <c r="AA31" i="76"/>
  <c r="AA47" i="76" s="1" a="1"/>
  <c r="AA47" i="76" s="1"/>
  <c r="W121" i="76"/>
  <c r="AD29" i="76"/>
  <c r="AD45" i="76" s="1" a="1"/>
  <c r="AD45" i="76" s="1"/>
  <c r="W26" i="76"/>
  <c r="W42" i="76" s="1" a="1"/>
  <c r="W42" i="76" s="1"/>
  <c r="Z23" i="76"/>
  <c r="Z39" i="76" s="1" a="1"/>
  <c r="Z39" i="76" s="1"/>
  <c r="W125" i="76"/>
  <c r="AA125" i="76"/>
  <c r="AC163" i="76"/>
  <c r="Y161" i="76"/>
  <c r="AC164" i="76"/>
  <c r="AC161" i="76"/>
  <c r="AD167" i="76"/>
  <c r="V163" i="76"/>
  <c r="U158" i="76"/>
  <c r="Z157" i="76"/>
  <c r="I153" i="76"/>
  <c r="AD164" i="76"/>
  <c r="V29" i="76"/>
  <c r="V45" i="76" s="1" a="1"/>
  <c r="V45" i="76" s="1"/>
  <c r="Y129" i="76"/>
  <c r="U124" i="76"/>
  <c r="AA128" i="76"/>
  <c r="AB31" i="76"/>
  <c r="AB47" i="76" s="1" a="1"/>
  <c r="AB47" i="76" s="1"/>
  <c r="AC121" i="76"/>
  <c r="W120" i="76"/>
  <c r="AB123" i="76"/>
  <c r="U121" i="76"/>
  <c r="V126" i="76"/>
  <c r="X120" i="76"/>
  <c r="AB28" i="76"/>
  <c r="AB44" i="76" s="1" a="1"/>
  <c r="AB44" i="76" s="1"/>
  <c r="AD126" i="76"/>
  <c r="AD26" i="76"/>
  <c r="AD42" i="76" s="1" a="1"/>
  <c r="AD42" i="76" s="1"/>
  <c r="AB23" i="76"/>
  <c r="AB39" i="76" s="1" a="1"/>
  <c r="AB39" i="76" s="1"/>
  <c r="AB122" i="76"/>
  <c r="U30" i="76"/>
  <c r="U46" i="76" s="1" a="1"/>
  <c r="U46" i="76" s="1"/>
  <c r="U131" i="76"/>
  <c r="AC20" i="76"/>
  <c r="AC36" i="76" s="1" a="1"/>
  <c r="AC36" i="76" s="1"/>
  <c r="E119" i="76"/>
  <c r="X30" i="76"/>
  <c r="X46" i="76" s="1" a="1"/>
  <c r="X46" i="76" s="1"/>
  <c r="Z126" i="76"/>
  <c r="J151" i="76"/>
  <c r="AB165" i="76"/>
  <c r="L154" i="76"/>
  <c r="AD157" i="76"/>
  <c r="X163" i="76"/>
  <c r="J154" i="76"/>
  <c r="E153" i="76"/>
  <c r="N152" i="76"/>
  <c r="J152" i="76"/>
  <c r="AB158" i="76"/>
  <c r="AA163" i="76"/>
  <c r="H153" i="76"/>
  <c r="V127" i="76"/>
  <c r="AC21" i="76"/>
  <c r="AC37" i="76" s="1" a="1"/>
  <c r="AC37" i="76" s="1"/>
  <c r="W20" i="76"/>
  <c r="W36" i="76" s="1" a="1"/>
  <c r="W36" i="76" s="1"/>
  <c r="AA30" i="76"/>
  <c r="AA46" i="76" s="1" a="1"/>
  <c r="AA46" i="76" s="1"/>
  <c r="Z120" i="76"/>
  <c r="Y27" i="76"/>
  <c r="Y43" i="76" s="1" a="1"/>
  <c r="Y43" i="76" s="1"/>
  <c r="X125" i="76"/>
  <c r="U122" i="76"/>
  <c r="V128" i="76"/>
  <c r="Y130" i="76"/>
  <c r="AB24" i="76"/>
  <c r="AB40" i="76" s="1" a="1"/>
  <c r="AB40" i="76" s="1"/>
  <c r="V130" i="76"/>
  <c r="W31" i="76"/>
  <c r="W47" i="76" s="1" a="1"/>
  <c r="W47" i="76" s="1"/>
  <c r="U126" i="76"/>
  <c r="U21" i="76"/>
  <c r="U37" i="76" s="1" a="1"/>
  <c r="U37" i="76" s="1"/>
  <c r="AC123" i="76"/>
  <c r="AD128" i="76"/>
  <c r="V20" i="76"/>
  <c r="V36" i="76" s="1" a="1"/>
  <c r="V36" i="76" s="1"/>
  <c r="U123" i="76"/>
  <c r="V131" i="76"/>
  <c r="X160" i="76"/>
  <c r="U160" i="76"/>
  <c r="V158" i="76"/>
  <c r="AA167" i="76"/>
  <c r="K154" i="76"/>
  <c r="X158" i="76"/>
  <c r="AD166" i="76"/>
  <c r="E154" i="76"/>
  <c r="U163" i="76"/>
  <c r="AA159" i="76"/>
  <c r="N151" i="76"/>
  <c r="AA158" i="76"/>
  <c r="AD121" i="76"/>
  <c r="U20" i="76"/>
  <c r="U36" i="76" s="1" a="1"/>
  <c r="U36" i="76" s="1"/>
  <c r="U28" i="76"/>
  <c r="U44" i="76" s="1" a="1"/>
  <c r="U44" i="76" s="1"/>
  <c r="V25" i="76"/>
  <c r="V41" i="76" s="1" a="1"/>
  <c r="V41" i="76" s="1"/>
  <c r="Y21" i="76"/>
  <c r="Y37" i="76" s="1" a="1"/>
  <c r="Y37" i="76" s="1"/>
  <c r="AD21" i="76"/>
  <c r="AD37" i="76" s="1" a="1"/>
  <c r="AD37" i="76" s="1"/>
  <c r="J121" i="76"/>
  <c r="N122" i="76"/>
  <c r="X23" i="76"/>
  <c r="X39" i="76" s="1" a="1"/>
  <c r="X39" i="76" s="1"/>
  <c r="U128" i="76"/>
  <c r="AB127" i="76"/>
  <c r="AD23" i="76"/>
  <c r="AD39" i="76" s="1" a="1"/>
  <c r="AD39" i="76" s="1"/>
  <c r="AC126" i="76"/>
  <c r="U129" i="76"/>
  <c r="AA157" i="76"/>
  <c r="X164" i="76"/>
  <c r="AA166" i="76"/>
  <c r="M152" i="76"/>
  <c r="V164" i="76"/>
  <c r="Y158" i="76"/>
  <c r="N154" i="76"/>
  <c r="V162" i="76"/>
  <c r="AD158" i="76"/>
  <c r="AD163" i="76"/>
  <c r="W157" i="76"/>
  <c r="Y128" i="76"/>
  <c r="AD162" i="76"/>
  <c r="V129" i="76"/>
  <c r="U26" i="76"/>
  <c r="U42" i="76" s="1" a="1"/>
  <c r="U42" i="76" s="1"/>
  <c r="N119" i="76"/>
  <c r="Y126" i="76"/>
  <c r="W29" i="76"/>
  <c r="W45" i="76" s="1" a="1"/>
  <c r="W45" i="76" s="1"/>
  <c r="E121" i="76"/>
  <c r="AD124" i="76"/>
  <c r="X24" i="76"/>
  <c r="X40" i="76" s="1" a="1"/>
  <c r="X40" i="76" s="1"/>
  <c r="AB30" i="76"/>
  <c r="AB46" i="76" s="1" a="1"/>
  <c r="AB46" i="76" s="1"/>
  <c r="L122" i="76"/>
  <c r="U125" i="76"/>
  <c r="U27" i="76"/>
  <c r="U43" i="76" s="1" a="1"/>
  <c r="U43" i="76" s="1"/>
  <c r="X25" i="76"/>
  <c r="X41" i="76" s="1" a="1"/>
  <c r="X41" i="76" s="1"/>
  <c r="X122" i="76"/>
  <c r="AC28" i="76"/>
  <c r="AC44" i="76" s="1" a="1"/>
  <c r="AC44" i="76" s="1"/>
  <c r="Z28" i="76"/>
  <c r="Z44" i="76" s="1" a="1"/>
  <c r="Z44" i="76" s="1"/>
  <c r="Y20" i="76"/>
  <c r="Y36" i="76" s="1" a="1"/>
  <c r="Y36" i="76" s="1"/>
  <c r="AA126" i="76"/>
  <c r="Z125" i="76"/>
  <c r="Z30" i="76"/>
  <c r="Z46" i="76" s="1" a="1"/>
  <c r="Z46" i="76" s="1"/>
  <c r="AA21" i="76"/>
  <c r="AA37" i="76" s="1" a="1"/>
  <c r="AA37" i="76" s="1"/>
  <c r="K121" i="76"/>
  <c r="N121" i="76"/>
  <c r="W24" i="76"/>
  <c r="W40" i="76" s="1" a="1"/>
  <c r="W40" i="76" s="1"/>
  <c r="W126" i="76"/>
  <c r="M121" i="76"/>
  <c r="N153" i="76"/>
  <c r="L153" i="76"/>
  <c r="AB163" i="76"/>
  <c r="Z166" i="76"/>
  <c r="F152" i="76"/>
  <c r="AD159" i="76"/>
  <c r="W160" i="76"/>
  <c r="AC160" i="76"/>
  <c r="AB157" i="76"/>
  <c r="U164" i="76"/>
  <c r="Z161" i="76"/>
  <c r="W167" i="76"/>
  <c r="L20" i="76"/>
  <c r="L33" i="76" s="1" a="1"/>
  <c r="L33" i="76" s="1"/>
  <c r="J23" i="76"/>
  <c r="J36" i="76" s="1" a="1"/>
  <c r="J36" i="76" s="1"/>
  <c r="K22" i="76"/>
  <c r="K35" i="76" s="1" a="1"/>
  <c r="K35" i="76" s="1"/>
  <c r="E23" i="76"/>
  <c r="E36" i="76" s="1" a="1"/>
  <c r="E36" i="76" s="1"/>
  <c r="I22" i="76"/>
  <c r="I35" i="76" s="1" a="1"/>
  <c r="I35" i="76" s="1"/>
  <c r="N22" i="76"/>
  <c r="N35" i="76" s="1" a="1"/>
  <c r="N35" i="76" s="1"/>
  <c r="I20" i="76"/>
  <c r="I33" i="76" s="1" a="1"/>
  <c r="I33" i="76" s="1"/>
  <c r="N20" i="76"/>
  <c r="N33" i="76" s="1" a="1"/>
  <c r="N33" i="76" s="1"/>
  <c r="K20" i="76"/>
  <c r="K33" i="76" s="1" a="1"/>
  <c r="K33" i="76" s="1"/>
  <c r="F23" i="76"/>
  <c r="F36" i="76" s="1" a="1"/>
  <c r="F36" i="76" s="1"/>
  <c r="I21" i="76"/>
  <c r="I34" i="76" s="1" a="1"/>
  <c r="I34" i="76" s="1"/>
  <c r="H20" i="76"/>
  <c r="H33" i="76" s="1" a="1"/>
  <c r="H33" i="76" s="1"/>
  <c r="N23" i="76"/>
  <c r="N36" i="76" s="1" a="1"/>
  <c r="N36" i="76" s="1"/>
  <c r="G23" i="76"/>
  <c r="G36" i="76" s="1" a="1"/>
  <c r="G36" i="76" s="1"/>
  <c r="K21" i="76"/>
  <c r="K34" i="76" s="1" a="1"/>
  <c r="K34" i="76" s="1"/>
  <c r="M23" i="76"/>
  <c r="M36" i="76" s="1" a="1"/>
  <c r="M36" i="76" s="1"/>
  <c r="E20" i="76"/>
  <c r="E33" i="76" s="1" a="1"/>
  <c r="E33" i="76" s="1"/>
  <c r="L23" i="76"/>
  <c r="L36" i="76" s="1" a="1"/>
  <c r="L36" i="76" s="1"/>
  <c r="F21" i="76"/>
  <c r="F34" i="76" s="1" a="1"/>
  <c r="F34" i="76" s="1"/>
  <c r="E22" i="76"/>
  <c r="E35" i="76" s="1" a="1"/>
  <c r="E35" i="76" s="1"/>
  <c r="J22" i="76"/>
  <c r="J35" i="76" s="1" a="1"/>
  <c r="J35" i="76" s="1"/>
  <c r="H22" i="76"/>
  <c r="H35" i="76" s="1" a="1"/>
  <c r="H35" i="76" s="1"/>
  <c r="I23" i="76"/>
  <c r="I36" i="76" s="1" a="1"/>
  <c r="I36" i="76" s="1"/>
  <c r="F20" i="76"/>
  <c r="F33" i="76" s="1" a="1"/>
  <c r="F33" i="76" s="1"/>
  <c r="L22" i="76"/>
  <c r="L35" i="76" s="1" a="1"/>
  <c r="L35" i="76" s="1"/>
  <c r="M20" i="76"/>
  <c r="M33" i="76" s="1" a="1"/>
  <c r="M33" i="76" s="1"/>
  <c r="G21" i="76"/>
  <c r="G34" i="76" s="1" a="1"/>
  <c r="G34" i="76" s="1"/>
  <c r="E21" i="76"/>
  <c r="E34" i="76" s="1" a="1"/>
  <c r="E34" i="76" s="1"/>
  <c r="J20" i="76"/>
  <c r="J33" i="76" s="1" a="1"/>
  <c r="J33" i="76" s="1"/>
  <c r="H23" i="76"/>
  <c r="H36" i="76" s="1" a="1"/>
  <c r="H36" i="76" s="1"/>
  <c r="M21" i="76"/>
  <c r="M34" i="76" s="1" a="1"/>
  <c r="M34" i="76" s="1"/>
  <c r="N21" i="76"/>
  <c r="N34" i="76" s="1" a="1"/>
  <c r="N34" i="76" s="1"/>
  <c r="G22" i="76"/>
  <c r="G35" i="76" s="1" a="1"/>
  <c r="G35" i="76" s="1"/>
  <c r="L21" i="76"/>
  <c r="L34" i="76" s="1" a="1"/>
  <c r="L34" i="76" s="1"/>
  <c r="M22" i="76"/>
  <c r="M35" i="76" s="1" a="1"/>
  <c r="M35" i="76" s="1"/>
  <c r="G20" i="76"/>
  <c r="G33" i="76" s="1" a="1"/>
  <c r="G33" i="76" s="1"/>
  <c r="F22" i="76"/>
  <c r="F35" i="76" s="1" a="1"/>
  <c r="F35" i="76" s="1"/>
  <c r="J21" i="76"/>
  <c r="J34" i="76" s="1" a="1"/>
  <c r="J34" i="76" s="1"/>
  <c r="K23" i="76"/>
  <c r="K36" i="76" s="1" a="1"/>
  <c r="K36" i="76" s="1"/>
  <c r="H21" i="76"/>
  <c r="H34" i="76" s="1" a="1"/>
  <c r="H34" i="76" s="1"/>
  <c r="AC62" i="76" l="1"/>
  <c r="AC78" i="76" s="1" a="1"/>
  <c r="AC78" i="76" s="1"/>
  <c r="AC142" i="76" s="1" a="1"/>
  <c r="AC142" i="76" s="1"/>
  <c r="AC194" i="76" s="1" a="1"/>
  <c r="AC194" i="76" s="1"/>
  <c r="AC246" i="76" s="1" a="1"/>
  <c r="AC246" i="76" s="1"/>
  <c r="AD57" i="76"/>
  <c r="AD73" i="76" s="1" a="1"/>
  <c r="AD73" i="76" s="1"/>
  <c r="AD137" i="76" s="1" a="1"/>
  <c r="AD137" i="76" s="1"/>
  <c r="AD189" i="76" s="1" a="1"/>
  <c r="AD189" i="76" s="1"/>
  <c r="AD241" i="76" s="1" a="1"/>
  <c r="AD241" i="76" s="1"/>
  <c r="U59" i="76"/>
  <c r="V66" i="76"/>
  <c r="V82" i="76" s="1" a="1"/>
  <c r="V82" i="76" s="1"/>
  <c r="V146" i="76" s="1" a="1"/>
  <c r="V146" i="76" s="1"/>
  <c r="V198" i="76" s="1" a="1"/>
  <c r="V198" i="76" s="1"/>
  <c r="V250" i="76" s="1" a="1"/>
  <c r="V250" i="76" s="1"/>
  <c r="AA61" i="76"/>
  <c r="AD56" i="76"/>
  <c r="AD72" i="76" s="1" a="1"/>
  <c r="AD72" i="76" s="1"/>
  <c r="AD136" i="76" s="1" a="1"/>
  <c r="AD136" i="76" s="1"/>
  <c r="AD188" i="76" s="1" a="1"/>
  <c r="AD188" i="76" s="1"/>
  <c r="AD240" i="76" s="1" a="1"/>
  <c r="AD240" i="76" s="1"/>
  <c r="Z59" i="76"/>
  <c r="Z75" i="76" s="1" a="1"/>
  <c r="Z75" i="76" s="1"/>
  <c r="Z139" i="76" s="1" a="1"/>
  <c r="Z139" i="76" s="1"/>
  <c r="Z191" i="76" s="1" a="1"/>
  <c r="Z191" i="76" s="1"/>
  <c r="Z243" i="76" s="1" a="1"/>
  <c r="Z243" i="76" s="1"/>
  <c r="AC63" i="76"/>
  <c r="AC79" i="76" s="1" a="1"/>
  <c r="AC79" i="76" s="1"/>
  <c r="AC143" i="76" s="1" a="1"/>
  <c r="AC143" i="76" s="1"/>
  <c r="AC195" i="76" s="1" a="1"/>
  <c r="AC195" i="76" s="1"/>
  <c r="AC247" i="76" s="1" a="1"/>
  <c r="AC247" i="76" s="1"/>
  <c r="AA60" i="76"/>
  <c r="Y67" i="76"/>
  <c r="Y83" i="76" s="1" a="1"/>
  <c r="Y83" i="76" s="1"/>
  <c r="Y147" i="76" s="1" a="1"/>
  <c r="Y147" i="76" s="1"/>
  <c r="Y199" i="76" s="1" a="1"/>
  <c r="Y199" i="76" s="1"/>
  <c r="Y251" i="76" s="1" a="1"/>
  <c r="Y251" i="76" s="1"/>
  <c r="Y56" i="76"/>
  <c r="Y72" i="76" s="1" a="1"/>
  <c r="Y72" i="76" s="1"/>
  <c r="Y136" i="76" s="1" a="1"/>
  <c r="Y136" i="76" s="1"/>
  <c r="Y188" i="76" s="1" a="1"/>
  <c r="Y188" i="76" s="1"/>
  <c r="Y240" i="76" s="1" a="1"/>
  <c r="Y240" i="76" s="1"/>
  <c r="AC65" i="76"/>
  <c r="AC81" i="76" s="1" a="1"/>
  <c r="AC81" i="76" s="1"/>
  <c r="AC145" i="76" s="1" a="1"/>
  <c r="AC145" i="76" s="1"/>
  <c r="AC197" i="76" s="1" a="1"/>
  <c r="AC197" i="76" s="1"/>
  <c r="AC249" i="76" s="1" a="1"/>
  <c r="AC249" i="76" s="1"/>
  <c r="U56" i="76"/>
  <c r="X59" i="76"/>
  <c r="X75" i="76" s="1" a="1"/>
  <c r="X75" i="76" s="1"/>
  <c r="X139" i="76" s="1" a="1"/>
  <c r="X139" i="76" s="1"/>
  <c r="X191" i="76" s="1" a="1"/>
  <c r="X191" i="76" s="1"/>
  <c r="X243" i="76" s="1" a="1"/>
  <c r="X243" i="76" s="1"/>
  <c r="V67" i="76"/>
  <c r="V83" i="76" s="1" a="1"/>
  <c r="V83" i="76" s="1"/>
  <c r="V147" i="76" s="1" a="1"/>
  <c r="V147" i="76" s="1"/>
  <c r="V199" i="76" s="1" a="1"/>
  <c r="V199" i="76" s="1"/>
  <c r="V251" i="76" s="1" a="1"/>
  <c r="V251" i="76" s="1"/>
  <c r="Z60" i="76"/>
  <c r="Z76" i="76" s="1" a="1"/>
  <c r="Z76" i="76" s="1"/>
  <c r="Z140" i="76" s="1" a="1"/>
  <c r="Z140" i="76" s="1"/>
  <c r="Z192" i="76" s="1" a="1"/>
  <c r="Z192" i="76" s="1"/>
  <c r="Z244" i="76" s="1" a="1"/>
  <c r="Z244" i="76" s="1"/>
  <c r="X62" i="76"/>
  <c r="X78" i="76" s="1" a="1"/>
  <c r="X78" i="76" s="1"/>
  <c r="X142" i="76" s="1" a="1"/>
  <c r="X142" i="76" s="1"/>
  <c r="X194" i="76" s="1" a="1"/>
  <c r="X194" i="76" s="1"/>
  <c r="X246" i="76" s="1" a="1"/>
  <c r="X246" i="76" s="1"/>
  <c r="I56" i="76"/>
  <c r="I64" i="76" s="1" a="1"/>
  <c r="I64" i="76" s="1"/>
  <c r="I129" i="76" s="1" a="1"/>
  <c r="I129" i="76" s="1"/>
  <c r="I169" i="76" s="1" a="1"/>
  <c r="I169" i="76" s="1"/>
  <c r="I207" i="76" s="1" a="1"/>
  <c r="I207" i="76" s="1"/>
  <c r="I55" i="76"/>
  <c r="I63" i="76" s="1" a="1"/>
  <c r="I63" i="76" s="1"/>
  <c r="I128" i="76" s="1" a="1"/>
  <c r="I128" i="76" s="1"/>
  <c r="I168" i="76" s="1" a="1"/>
  <c r="I168" i="76" s="1"/>
  <c r="I206" i="76" s="1" a="1"/>
  <c r="I206" i="76" s="1"/>
  <c r="L57" i="76"/>
  <c r="L65" i="76" s="1" a="1"/>
  <c r="L65" i="76" s="1"/>
  <c r="L130" i="76" s="1" a="1"/>
  <c r="L130" i="76" s="1"/>
  <c r="L170" i="76" s="1" a="1"/>
  <c r="L170" i="76" s="1"/>
  <c r="L208" i="76" s="1" a="1"/>
  <c r="L208" i="76" s="1"/>
  <c r="AC59" i="76"/>
  <c r="AC75" i="76" s="1" a="1"/>
  <c r="AC75" i="76" s="1"/>
  <c r="AC139" i="76" s="1" a="1"/>
  <c r="AC139" i="76" s="1"/>
  <c r="AC191" i="76" s="1" a="1"/>
  <c r="AC191" i="76" s="1"/>
  <c r="AC243" i="76" s="1" a="1"/>
  <c r="AC243" i="76" s="1"/>
  <c r="G57" i="76"/>
  <c r="Y62" i="76"/>
  <c r="Y78" i="76" s="1" a="1"/>
  <c r="Y78" i="76" s="1"/>
  <c r="Y142" i="76" s="1" a="1"/>
  <c r="Y142" i="76" s="1"/>
  <c r="Y194" i="76" s="1" a="1"/>
  <c r="Y194" i="76" s="1"/>
  <c r="Y246" i="76" s="1" a="1"/>
  <c r="Y246" i="76" s="1"/>
  <c r="W60" i="76"/>
  <c r="Y58" i="76"/>
  <c r="Y74" i="76" s="1" a="1"/>
  <c r="Y74" i="76" s="1"/>
  <c r="Y138" i="76" s="1" a="1"/>
  <c r="Y138" i="76" s="1"/>
  <c r="Y190" i="76" s="1" a="1"/>
  <c r="Y190" i="76" s="1"/>
  <c r="Y242" i="76" s="1" a="1"/>
  <c r="Y242" i="76" s="1"/>
  <c r="K57" i="76"/>
  <c r="H56" i="76"/>
  <c r="H64" i="76" s="1" a="1"/>
  <c r="H64" i="76" s="1"/>
  <c r="H129" i="76" s="1" a="1"/>
  <c r="H129" i="76" s="1"/>
  <c r="H169" i="76" s="1" a="1"/>
  <c r="H169" i="76" s="1"/>
  <c r="H207" i="76" s="1" a="1"/>
  <c r="H207" i="76" s="1"/>
  <c r="Z57" i="76"/>
  <c r="Z73" i="76" s="1" a="1"/>
  <c r="Z73" i="76" s="1"/>
  <c r="Z137" i="76" s="1" a="1"/>
  <c r="Z137" i="76" s="1"/>
  <c r="Z189" i="76" s="1" a="1"/>
  <c r="Z189" i="76" s="1"/>
  <c r="Z241" i="76" s="1" a="1"/>
  <c r="Z241" i="76" s="1"/>
  <c r="Z65" i="76"/>
  <c r="Z81" i="76" s="1" a="1"/>
  <c r="Z81" i="76" s="1"/>
  <c r="Z145" i="76" s="1" a="1"/>
  <c r="Z145" i="76" s="1"/>
  <c r="Z197" i="76" s="1" a="1"/>
  <c r="Z197" i="76" s="1"/>
  <c r="Z249" i="76" s="1" a="1"/>
  <c r="Z249" i="76" s="1"/>
  <c r="N57" i="76"/>
  <c r="N65" i="76" s="1" a="1"/>
  <c r="N65" i="76" s="1"/>
  <c r="N130" i="76" s="1" a="1"/>
  <c r="N130" i="76" s="1"/>
  <c r="N170" i="76" s="1" a="1"/>
  <c r="N170" i="76" s="1"/>
  <c r="N208" i="76" s="1" a="1"/>
  <c r="N208" i="76" s="1"/>
  <c r="X63" i="76"/>
  <c r="X79" i="76" s="1" a="1"/>
  <c r="X79" i="76" s="1"/>
  <c r="X143" i="76" s="1" a="1"/>
  <c r="X143" i="76" s="1"/>
  <c r="X195" i="76" s="1" a="1"/>
  <c r="X195" i="76" s="1"/>
  <c r="X247" i="76" s="1" a="1"/>
  <c r="X247" i="76" s="1"/>
  <c r="X57" i="76"/>
  <c r="X73" i="76" s="1" a="1"/>
  <c r="X73" i="76" s="1"/>
  <c r="X137" i="76" s="1" a="1"/>
  <c r="X137" i="76" s="1"/>
  <c r="X189" i="76" s="1" a="1"/>
  <c r="X189" i="76" s="1"/>
  <c r="X241" i="76" s="1" a="1"/>
  <c r="X241" i="76" s="1"/>
  <c r="U61" i="76"/>
  <c r="AA56" i="76"/>
  <c r="AB61" i="76"/>
  <c r="AB77" i="76" s="1" a="1"/>
  <c r="AB77" i="76" s="1"/>
  <c r="AB141" i="76" s="1" a="1"/>
  <c r="AB141" i="76" s="1"/>
  <c r="AB193" i="76" s="1" a="1"/>
  <c r="AB193" i="76" s="1"/>
  <c r="AB245" i="76" s="1" a="1"/>
  <c r="AB245" i="76" s="1"/>
  <c r="AC58" i="76"/>
  <c r="AC74" i="76" s="1" a="1"/>
  <c r="AC74" i="76" s="1"/>
  <c r="AC138" i="76" s="1" a="1"/>
  <c r="AC138" i="76" s="1"/>
  <c r="AC190" i="76" s="1" a="1"/>
  <c r="AC190" i="76" s="1"/>
  <c r="AC242" i="76" s="1" a="1"/>
  <c r="AC242" i="76" s="1"/>
  <c r="Z67" i="76"/>
  <c r="Z83" i="76" s="1" a="1"/>
  <c r="Z83" i="76" s="1"/>
  <c r="Z147" i="76" s="1" a="1"/>
  <c r="Z147" i="76" s="1"/>
  <c r="Z199" i="76" s="1" a="1"/>
  <c r="Z199" i="76" s="1"/>
  <c r="Z251" i="76" s="1" a="1"/>
  <c r="Z251" i="76" s="1"/>
  <c r="X64" i="76"/>
  <c r="X80" i="76" s="1" a="1"/>
  <c r="X80" i="76" s="1"/>
  <c r="X144" i="76" s="1" a="1"/>
  <c r="X144" i="76" s="1"/>
  <c r="X196" i="76" s="1" a="1"/>
  <c r="X196" i="76" s="1"/>
  <c r="X248" i="76" s="1" a="1"/>
  <c r="X248" i="76" s="1"/>
  <c r="K55" i="76"/>
  <c r="I57" i="76"/>
  <c r="I65" i="76" s="1" a="1"/>
  <c r="I65" i="76" s="1"/>
  <c r="I130" i="76" s="1" a="1"/>
  <c r="I130" i="76" s="1"/>
  <c r="I170" i="76" s="1" a="1"/>
  <c r="I170" i="76" s="1"/>
  <c r="I208" i="76" s="1" a="1"/>
  <c r="I208" i="76" s="1"/>
  <c r="F57" i="76"/>
  <c r="F65" i="76" s="1" a="1"/>
  <c r="F65" i="76" s="1"/>
  <c r="F130" i="76" s="1" a="1"/>
  <c r="F130" i="76" s="1"/>
  <c r="F170" i="76" s="1" a="1"/>
  <c r="F170" i="76" s="1"/>
  <c r="F208" i="76" s="1" a="1"/>
  <c r="F208" i="76" s="1"/>
  <c r="F56" i="76"/>
  <c r="F64" i="76" s="1" a="1"/>
  <c r="F64" i="76" s="1"/>
  <c r="F129" i="76" s="1" a="1"/>
  <c r="F129" i="76" s="1"/>
  <c r="F169" i="76" s="1" a="1"/>
  <c r="F169" i="76" s="1"/>
  <c r="F207" i="76" s="1" a="1"/>
  <c r="F207" i="76" s="1"/>
  <c r="AC57" i="76"/>
  <c r="AC73" i="76" s="1" a="1"/>
  <c r="AC73" i="76" s="1"/>
  <c r="AC137" i="76" s="1" a="1"/>
  <c r="AC137" i="76" s="1"/>
  <c r="AC189" i="76" s="1" a="1"/>
  <c r="AC189" i="76" s="1"/>
  <c r="AC241" i="76" s="1" a="1"/>
  <c r="AC241" i="76" s="1"/>
  <c r="G56" i="76"/>
  <c r="AC83" i="76" a="1"/>
  <c r="AC83" i="76" s="1"/>
  <c r="AC147" i="76" s="1" a="1"/>
  <c r="AC147" i="76" s="1"/>
  <c r="AC199" i="76" s="1" a="1"/>
  <c r="AC199" i="76" s="1"/>
  <c r="AC251" i="76" s="1" a="1"/>
  <c r="AC251" i="76" s="1"/>
  <c r="Y64" i="76"/>
  <c r="Y80" i="76" s="1" a="1"/>
  <c r="Y80" i="76" s="1"/>
  <c r="Y144" i="76" s="1" a="1"/>
  <c r="Y144" i="76" s="1"/>
  <c r="Y196" i="76" s="1" a="1"/>
  <c r="Y196" i="76" s="1"/>
  <c r="Y248" i="76" s="1" a="1"/>
  <c r="Y248" i="76" s="1"/>
  <c r="AB59" i="76"/>
  <c r="AB75" i="76" s="1" a="1"/>
  <c r="AB75" i="76" s="1"/>
  <c r="AB139" i="76" s="1" a="1"/>
  <c r="AB139" i="76" s="1"/>
  <c r="AB191" i="76" s="1" a="1"/>
  <c r="AB191" i="76" s="1"/>
  <c r="AB243" i="76" s="1" a="1"/>
  <c r="AB243" i="76" s="1"/>
  <c r="G54" i="76"/>
  <c r="AB58" i="76"/>
  <c r="AB74" i="76" s="1" a="1"/>
  <c r="AB74" i="76" s="1"/>
  <c r="AB138" i="76" s="1" a="1"/>
  <c r="AB138" i="76" s="1"/>
  <c r="AB190" i="76" s="1" a="1"/>
  <c r="AB190" i="76" s="1"/>
  <c r="AB242" i="76" s="1" a="1"/>
  <c r="AB242" i="76" s="1"/>
  <c r="V63" i="76"/>
  <c r="V79" i="76" s="1" a="1"/>
  <c r="V79" i="76" s="1"/>
  <c r="V143" i="76" s="1" a="1"/>
  <c r="V143" i="76" s="1"/>
  <c r="V195" i="76" s="1" a="1"/>
  <c r="V195" i="76" s="1"/>
  <c r="V247" i="76" s="1" a="1"/>
  <c r="V247" i="76" s="1"/>
  <c r="Y57" i="76"/>
  <c r="Y73" i="76" s="1" a="1"/>
  <c r="Y73" i="76" s="1"/>
  <c r="Y137" i="76" s="1" a="1"/>
  <c r="Y137" i="76" s="1"/>
  <c r="Y189" i="76" s="1" a="1"/>
  <c r="Y189" i="76" s="1"/>
  <c r="Y241" i="76" s="1" a="1"/>
  <c r="Y241" i="76" s="1"/>
  <c r="W65" i="76"/>
  <c r="AB63" i="76"/>
  <c r="AB79" i="76" s="1" a="1"/>
  <c r="AB79" i="76" s="1"/>
  <c r="AB143" i="76" s="1" a="1"/>
  <c r="AB143" i="76" s="1"/>
  <c r="AB195" i="76" s="1" a="1"/>
  <c r="AB195" i="76" s="1"/>
  <c r="AB247" i="76" s="1" a="1"/>
  <c r="AB247" i="76" s="1"/>
  <c r="AA59" i="76"/>
  <c r="AB67" i="76"/>
  <c r="AB83" i="76" s="1" a="1"/>
  <c r="AB83" i="76" s="1"/>
  <c r="AB147" i="76" s="1" a="1"/>
  <c r="AB147" i="76" s="1"/>
  <c r="AB199" i="76" s="1" a="1"/>
  <c r="AB199" i="76" s="1"/>
  <c r="AB251" i="76" s="1" a="1"/>
  <c r="AB251" i="76" s="1"/>
  <c r="W56" i="76"/>
  <c r="U57" i="76"/>
  <c r="X60" i="76"/>
  <c r="X76" i="76" s="1" a="1"/>
  <c r="X76" i="76" s="1"/>
  <c r="X140" i="76" s="1" a="1"/>
  <c r="X140" i="76" s="1"/>
  <c r="X192" i="76" s="1" a="1"/>
  <c r="X192" i="76" s="1"/>
  <c r="X244" i="76" s="1" a="1"/>
  <c r="X244" i="76" s="1"/>
  <c r="W67" i="76"/>
  <c r="V58" i="76"/>
  <c r="V74" i="76" s="1" a="1"/>
  <c r="V74" i="76" s="1"/>
  <c r="V138" i="76" s="1" a="1"/>
  <c r="V138" i="76" s="1"/>
  <c r="V190" i="76" s="1" a="1"/>
  <c r="V190" i="76" s="1"/>
  <c r="V242" i="76" s="1" a="1"/>
  <c r="V242" i="76" s="1"/>
  <c r="U63" i="76"/>
  <c r="AA62" i="76"/>
  <c r="AA78" i="76" s="1" a="1"/>
  <c r="AA78" i="76" s="1"/>
  <c r="AA142" i="76" s="1" a="1"/>
  <c r="AA142" i="76" s="1"/>
  <c r="AA194" i="76" s="1" a="1"/>
  <c r="AA194" i="76" s="1"/>
  <c r="AA246" i="76" s="1" a="1"/>
  <c r="AA246" i="76" s="1"/>
  <c r="V59" i="76"/>
  <c r="V75" i="76" s="1" a="1"/>
  <c r="V75" i="76" s="1"/>
  <c r="V139" i="76" s="1" a="1"/>
  <c r="V139" i="76" s="1"/>
  <c r="V191" i="76" s="1" a="1"/>
  <c r="V191" i="76" s="1"/>
  <c r="V243" i="76" s="1" a="1"/>
  <c r="V243" i="76" s="1"/>
  <c r="AD59" i="76"/>
  <c r="AD75" i="76" s="1" a="1"/>
  <c r="AD75" i="76" s="1"/>
  <c r="AD139" i="76" s="1" a="1"/>
  <c r="AD139" i="76" s="1"/>
  <c r="AD191" i="76" s="1" a="1"/>
  <c r="AD191" i="76" s="1"/>
  <c r="AD243" i="76" s="1" a="1"/>
  <c r="AD243" i="76" s="1"/>
  <c r="X58" i="76"/>
  <c r="X74" i="76" s="1" a="1"/>
  <c r="X74" i="76" s="1"/>
  <c r="X138" i="76" s="1" a="1"/>
  <c r="X138" i="76" s="1"/>
  <c r="X190" i="76" s="1" a="1"/>
  <c r="X190" i="76" s="1"/>
  <c r="X242" i="76" s="1" a="1"/>
  <c r="X242" i="76" s="1"/>
  <c r="H54" i="76"/>
  <c r="H62" i="76" s="1" a="1"/>
  <c r="H62" i="76" s="1"/>
  <c r="H127" i="76" s="1" a="1"/>
  <c r="H127" i="76" s="1"/>
  <c r="H167" i="76" s="1" a="1"/>
  <c r="H167" i="76" s="1"/>
  <c r="H205" i="76" s="1" a="1"/>
  <c r="H205" i="76" s="1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J57" i="76" l="1"/>
  <c r="J65" i="76" s="1" a="1"/>
  <c r="J65" i="76" s="1"/>
  <c r="J130" i="76" s="1" a="1"/>
  <c r="J130" i="76" s="1"/>
  <c r="J170" i="76" s="1" a="1"/>
  <c r="J170" i="76" s="1"/>
  <c r="J208" i="76" s="1" a="1"/>
  <c r="J208" i="76" s="1"/>
  <c r="AD65" i="76"/>
  <c r="AD81" i="76" s="1" a="1"/>
  <c r="AD81" i="76" s="1"/>
  <c r="AD145" i="76" s="1" a="1"/>
  <c r="AD145" i="76" s="1"/>
  <c r="AD197" i="76" s="1" a="1"/>
  <c r="AD197" i="76" s="1"/>
  <c r="AD249" i="76" s="1" a="1"/>
  <c r="AD249" i="76" s="1"/>
  <c r="AB66" i="76"/>
  <c r="AB82" i="76" s="1" a="1"/>
  <c r="AB82" i="76" s="1"/>
  <c r="AB146" i="76" s="1" a="1"/>
  <c r="AB146" i="76" s="1"/>
  <c r="AB198" i="76" s="1" a="1"/>
  <c r="AB198" i="76" s="1"/>
  <c r="AB250" i="76" s="1" a="1"/>
  <c r="AB250" i="76" s="1"/>
  <c r="Z64" i="76"/>
  <c r="Z80" i="76" s="1" a="1"/>
  <c r="Z80" i="76" s="1"/>
  <c r="Z144" i="76" s="1" a="1"/>
  <c r="Z144" i="76" s="1"/>
  <c r="Z196" i="76" s="1" a="1"/>
  <c r="Z196" i="76" s="1"/>
  <c r="Z248" i="76" s="1" a="1"/>
  <c r="Z248" i="76" s="1"/>
  <c r="Y65" i="76"/>
  <c r="Y81" i="76" s="1" a="1"/>
  <c r="Y81" i="76" s="1"/>
  <c r="Y145" i="76" s="1" a="1"/>
  <c r="Y145" i="76" s="1"/>
  <c r="Y197" i="76" s="1" a="1"/>
  <c r="Y197" i="76" s="1"/>
  <c r="Y249" i="76" s="1" a="1"/>
  <c r="Y249" i="76" s="1"/>
  <c r="M55" i="76"/>
  <c r="M63" i="76" s="1" a="1"/>
  <c r="M63" i="76" s="1"/>
  <c r="M128" i="76" s="1" a="1"/>
  <c r="M128" i="76" s="1"/>
  <c r="M168" i="76" s="1" a="1"/>
  <c r="M168" i="76" s="1"/>
  <c r="M206" i="76" s="1" a="1"/>
  <c r="M206" i="76" s="1"/>
  <c r="V62" i="76"/>
  <c r="V78" i="76" s="1" a="1"/>
  <c r="V78" i="76" s="1"/>
  <c r="V142" i="76" s="1" a="1"/>
  <c r="V142" i="76" s="1"/>
  <c r="V194" i="76" s="1" a="1"/>
  <c r="V194" i="76" s="1"/>
  <c r="V246" i="76" s="1" a="1"/>
  <c r="V246" i="76" s="1"/>
  <c r="E55" i="76"/>
  <c r="E63" i="76" s="1" a="1"/>
  <c r="E63" i="76" s="1"/>
  <c r="E128" i="76" s="1" a="1"/>
  <c r="E128" i="76" s="1"/>
  <c r="E168" i="76" s="1" a="1"/>
  <c r="E168" i="76" s="1"/>
  <c r="E206" i="76" s="1" a="1"/>
  <c r="E206" i="76" s="1"/>
  <c r="AC66" i="76"/>
  <c r="AC82" i="76" s="1" a="1"/>
  <c r="AC82" i="76" s="1"/>
  <c r="AC146" i="76" s="1" a="1"/>
  <c r="AC146" i="76" s="1"/>
  <c r="AC198" i="76" s="1" a="1"/>
  <c r="AC198" i="76" s="1"/>
  <c r="AC250" i="76" s="1" a="1"/>
  <c r="AC250" i="76" s="1"/>
  <c r="AD64" i="76"/>
  <c r="AD80" i="76" s="1" a="1"/>
  <c r="AD80" i="76" s="1"/>
  <c r="AD144" i="76" s="1" a="1"/>
  <c r="AD144" i="76" s="1"/>
  <c r="AD196" i="76" s="1" a="1"/>
  <c r="AD196" i="76" s="1"/>
  <c r="AD248" i="76" s="1" a="1"/>
  <c r="AD248" i="76" s="1"/>
  <c r="J55" i="76"/>
  <c r="J63" i="76" s="1" a="1"/>
  <c r="J63" i="76" s="1"/>
  <c r="J128" i="76" s="1" a="1"/>
  <c r="J128" i="76" s="1"/>
  <c r="J168" i="76" s="1" a="1"/>
  <c r="J168" i="76" s="1"/>
  <c r="J206" i="76" s="1" a="1"/>
  <c r="J206" i="76" s="1"/>
  <c r="AC61" i="76"/>
  <c r="AC77" i="76" s="1" a="1"/>
  <c r="AC77" i="76" s="1"/>
  <c r="AC141" i="76" s="1" a="1"/>
  <c r="AC141" i="76" s="1"/>
  <c r="AC193" i="76" s="1" a="1"/>
  <c r="AC193" i="76" s="1"/>
  <c r="AC245" i="76" s="1" a="1"/>
  <c r="AC245" i="76" s="1"/>
  <c r="V61" i="76"/>
  <c r="V77" i="76" s="1" a="1"/>
  <c r="V77" i="76" s="1"/>
  <c r="V141" i="76" s="1" a="1"/>
  <c r="V141" i="76" s="1"/>
  <c r="V193" i="76" s="1" a="1"/>
  <c r="V193" i="76" s="1"/>
  <c r="V245" i="76" s="1" a="1"/>
  <c r="V245" i="76" s="1"/>
  <c r="AA65" i="76"/>
  <c r="AA81" i="76" s="1" a="1"/>
  <c r="AA81" i="76" s="1"/>
  <c r="AA145" i="76" s="1" a="1"/>
  <c r="AA145" i="76" s="1"/>
  <c r="AA197" i="76" s="1" a="1"/>
  <c r="AA197" i="76" s="1"/>
  <c r="AA249" i="76" s="1" a="1"/>
  <c r="AA249" i="76" s="1"/>
  <c r="F55" i="76"/>
  <c r="F63" i="76" s="1" a="1"/>
  <c r="F63" i="76" s="1"/>
  <c r="F128" i="76" s="1" a="1"/>
  <c r="F128" i="76" s="1"/>
  <c r="F168" i="76" s="1" a="1"/>
  <c r="F168" i="76" s="1"/>
  <c r="F206" i="76" s="1" a="1"/>
  <c r="F206" i="76" s="1"/>
  <c r="U67" i="76"/>
  <c r="U83" i="76" s="1" a="1"/>
  <c r="U83" i="76" s="1"/>
  <c r="U147" i="76" s="1" a="1"/>
  <c r="U147" i="76" s="1"/>
  <c r="U199" i="76" s="1" a="1"/>
  <c r="U199" i="76" s="1"/>
  <c r="U251" i="76" s="1" a="1"/>
  <c r="U251" i="76" s="1"/>
  <c r="W59" i="76"/>
  <c r="W75" i="76" s="1" a="1"/>
  <c r="W75" i="76" s="1"/>
  <c r="W139" i="76" s="1" a="1"/>
  <c r="W139" i="76" s="1"/>
  <c r="W191" i="76" s="1" a="1"/>
  <c r="W191" i="76" s="1"/>
  <c r="W243" i="76" s="1" a="1"/>
  <c r="W243" i="76" s="1"/>
  <c r="M57" i="76"/>
  <c r="M65" i="76" s="1" a="1"/>
  <c r="M65" i="76" s="1"/>
  <c r="M130" i="76" s="1" a="1"/>
  <c r="M130" i="76" s="1"/>
  <c r="M170" i="76" s="1" a="1"/>
  <c r="M170" i="76" s="1"/>
  <c r="M208" i="76" s="1" a="1"/>
  <c r="M208" i="76" s="1"/>
  <c r="W58" i="76"/>
  <c r="W74" i="76" s="1" a="1"/>
  <c r="W74" i="76" s="1"/>
  <c r="W138" i="76" s="1" a="1"/>
  <c r="W138" i="76" s="1"/>
  <c r="W190" i="76" s="1" a="1"/>
  <c r="W190" i="76" s="1"/>
  <c r="W242" i="76" s="1" a="1"/>
  <c r="W242" i="76" s="1"/>
  <c r="AA57" i="76"/>
  <c r="AA73" i="76" s="1" a="1"/>
  <c r="AA73" i="76" s="1"/>
  <c r="AA137" i="76" s="1" a="1"/>
  <c r="AA137" i="76" s="1"/>
  <c r="AA189" i="76" s="1" a="1"/>
  <c r="AA189" i="76" s="1"/>
  <c r="AA241" i="76" s="1" a="1"/>
  <c r="AA241" i="76" s="1"/>
  <c r="E57" i="76"/>
  <c r="E65" i="76" s="1" a="1"/>
  <c r="E65" i="76" s="1"/>
  <c r="E130" i="76" s="1" a="1"/>
  <c r="E130" i="76" s="1"/>
  <c r="E170" i="76" s="1" a="1"/>
  <c r="E170" i="76" s="1"/>
  <c r="E208" i="76" s="1" a="1"/>
  <c r="E208" i="76" s="1"/>
  <c r="L56" i="76"/>
  <c r="L64" i="76" s="1" a="1"/>
  <c r="L64" i="76" s="1"/>
  <c r="L129" i="76" s="1" a="1"/>
  <c r="L129" i="76" s="1"/>
  <c r="L169" i="76" s="1" a="1"/>
  <c r="L169" i="76" s="1"/>
  <c r="L207" i="76" s="1" a="1"/>
  <c r="L207" i="76" s="1"/>
  <c r="L54" i="76"/>
  <c r="L62" i="76" s="1" a="1"/>
  <c r="L62" i="76" s="1"/>
  <c r="L127" i="76" s="1" a="1"/>
  <c r="L127" i="76" s="1"/>
  <c r="L167" i="76" s="1" a="1"/>
  <c r="L167" i="76" s="1"/>
  <c r="L205" i="76" s="1" a="1"/>
  <c r="L205" i="76" s="1"/>
  <c r="Y66" i="76"/>
  <c r="Y82" i="76" s="1" a="1"/>
  <c r="Y82" i="76" s="1"/>
  <c r="Y146" i="76" s="1" a="1"/>
  <c r="Y146" i="76" s="1"/>
  <c r="Y198" i="76" s="1" a="1"/>
  <c r="Y198" i="76" s="1"/>
  <c r="Y250" i="76" s="1" a="1"/>
  <c r="Y250" i="76" s="1"/>
  <c r="AA66" i="76"/>
  <c r="AA82" i="76" s="1" a="1"/>
  <c r="AA82" i="76" s="1"/>
  <c r="AA146" i="76" s="1" a="1"/>
  <c r="AA146" i="76" s="1"/>
  <c r="AA198" i="76" s="1" a="1"/>
  <c r="AA198" i="76" s="1"/>
  <c r="AA250" i="76" s="1" a="1"/>
  <c r="AA250" i="76" s="1"/>
  <c r="V60" i="76"/>
  <c r="V76" i="76" s="1" a="1"/>
  <c r="V76" i="76" s="1"/>
  <c r="V140" i="76" s="1" a="1"/>
  <c r="V140" i="76" s="1"/>
  <c r="V192" i="76" s="1" a="1"/>
  <c r="V192" i="76" s="1"/>
  <c r="V244" i="76" s="1" a="1"/>
  <c r="V244" i="76" s="1"/>
  <c r="H55" i="76"/>
  <c r="H63" i="76" s="1" a="1"/>
  <c r="H63" i="76" s="1"/>
  <c r="H128" i="76" s="1" a="1"/>
  <c r="H128" i="76" s="1"/>
  <c r="H168" i="76" s="1" a="1"/>
  <c r="H168" i="76" s="1"/>
  <c r="H206" i="76" s="1" a="1"/>
  <c r="H206" i="76" s="1"/>
  <c r="I54" i="76"/>
  <c r="I62" i="76" s="1" a="1"/>
  <c r="I62" i="76" s="1"/>
  <c r="I127" i="76" s="1" a="1"/>
  <c r="I127" i="76" s="1"/>
  <c r="I167" i="76" s="1" a="1"/>
  <c r="I167" i="76" s="1"/>
  <c r="I205" i="76" s="1" a="1"/>
  <c r="I205" i="76" s="1"/>
  <c r="N54" i="76"/>
  <c r="N62" i="76" s="1" a="1"/>
  <c r="N62" i="76" s="1"/>
  <c r="N127" i="76" s="1" a="1"/>
  <c r="N127" i="76" s="1"/>
  <c r="N167" i="76" s="1" a="1"/>
  <c r="N167" i="76" s="1"/>
  <c r="N205" i="76" s="1" a="1"/>
  <c r="N205" i="76" s="1"/>
  <c r="M54" i="76"/>
  <c r="M62" i="76" s="1" a="1"/>
  <c r="M62" i="76" s="1"/>
  <c r="M127" i="76" s="1" a="1"/>
  <c r="M127" i="76" s="1"/>
  <c r="M167" i="76" s="1" a="1"/>
  <c r="M167" i="76" s="1"/>
  <c r="M205" i="76" s="1" a="1"/>
  <c r="M205" i="76" s="1"/>
  <c r="AD63" i="76"/>
  <c r="AD79" i="76" s="1" a="1"/>
  <c r="AD79" i="76" s="1"/>
  <c r="AD143" i="76" s="1" a="1"/>
  <c r="AD143" i="76" s="1"/>
  <c r="AD195" i="76" s="1" a="1"/>
  <c r="AD195" i="76" s="1"/>
  <c r="AD247" i="76" s="1" a="1"/>
  <c r="AD247" i="76" s="1"/>
  <c r="V64" i="76"/>
  <c r="V80" i="76" s="1" a="1"/>
  <c r="V80" i="76" s="1"/>
  <c r="V144" i="76" s="1" a="1"/>
  <c r="V144" i="76" s="1"/>
  <c r="V196" i="76" s="1" a="1"/>
  <c r="V196" i="76" s="1"/>
  <c r="V248" i="76" s="1" a="1"/>
  <c r="V248" i="76" s="1"/>
  <c r="Y59" i="76"/>
  <c r="Y75" i="76" s="1" a="1"/>
  <c r="Y75" i="76" s="1"/>
  <c r="Y139" i="76" s="1" a="1"/>
  <c r="Y139" i="76" s="1"/>
  <c r="Y191" i="76" s="1" a="1"/>
  <c r="Y191" i="76" s="1"/>
  <c r="Y243" i="76" s="1" a="1"/>
  <c r="Y243" i="76" s="1"/>
  <c r="E56" i="76"/>
  <c r="E64" i="76" s="1" a="1"/>
  <c r="E64" i="76" s="1"/>
  <c r="E129" i="76" s="1" a="1"/>
  <c r="E129" i="76" s="1"/>
  <c r="E169" i="76" s="1" a="1"/>
  <c r="E169" i="76" s="1"/>
  <c r="E207" i="76" s="1" a="1"/>
  <c r="E207" i="76" s="1"/>
  <c r="AA64" i="76"/>
  <c r="AA80" i="76" s="1" a="1"/>
  <c r="AA80" i="76" s="1"/>
  <c r="AA144" i="76" s="1" a="1"/>
  <c r="AA144" i="76" s="1"/>
  <c r="AA196" i="76" s="1" a="1"/>
  <c r="AA196" i="76" s="1"/>
  <c r="AA248" i="76" s="1" a="1"/>
  <c r="AA248" i="76" s="1"/>
  <c r="AC64" i="76"/>
  <c r="AC80" i="76" s="1" a="1"/>
  <c r="AC80" i="76" s="1"/>
  <c r="AC144" i="76" s="1" a="1"/>
  <c r="AC144" i="76" s="1"/>
  <c r="AC196" i="76" s="1" a="1"/>
  <c r="AC196" i="76" s="1"/>
  <c r="AC248" i="76" s="1" a="1"/>
  <c r="AC248" i="76" s="1"/>
  <c r="X61" i="76"/>
  <c r="X77" i="76" s="1" a="1"/>
  <c r="X77" i="76" s="1"/>
  <c r="X141" i="76" s="1" a="1"/>
  <c r="X141" i="76" s="1"/>
  <c r="X193" i="76" s="1" a="1"/>
  <c r="X193" i="76" s="1"/>
  <c r="X245" i="76" s="1" a="1"/>
  <c r="X245" i="76" s="1"/>
  <c r="M56" i="76"/>
  <c r="M64" i="76" s="1" a="1"/>
  <c r="M64" i="76" s="1"/>
  <c r="M129" i="76" s="1" a="1"/>
  <c r="M129" i="76" s="1"/>
  <c r="M169" i="76" s="1" a="1"/>
  <c r="M169" i="76" s="1"/>
  <c r="M207" i="76" s="1" a="1"/>
  <c r="M207" i="76" s="1"/>
  <c r="W66" i="76"/>
  <c r="W82" i="76" s="1" a="1"/>
  <c r="W82" i="76" s="1"/>
  <c r="W146" i="76" s="1" a="1"/>
  <c r="W146" i="76" s="1"/>
  <c r="W198" i="76" s="1" a="1"/>
  <c r="W198" i="76" s="1"/>
  <c r="W250" i="76" s="1" a="1"/>
  <c r="W250" i="76" s="1"/>
  <c r="AD67" i="76"/>
  <c r="AD83" i="76" s="1" a="1"/>
  <c r="AD83" i="76" s="1"/>
  <c r="AD147" i="76" s="1" a="1"/>
  <c r="AD147" i="76" s="1"/>
  <c r="AD199" i="76" s="1" a="1"/>
  <c r="AD199" i="76" s="1"/>
  <c r="AD251" i="76" s="1" a="1"/>
  <c r="AD251" i="76" s="1"/>
  <c r="W63" i="76"/>
  <c r="W79" i="76" s="1" a="1"/>
  <c r="W79" i="76" s="1"/>
  <c r="W143" i="76" s="1" a="1"/>
  <c r="W143" i="76" s="1"/>
  <c r="W195" i="76" s="1" a="1"/>
  <c r="W195" i="76" s="1"/>
  <c r="W247" i="76" s="1" a="1"/>
  <c r="W247" i="76" s="1"/>
  <c r="X66" i="76"/>
  <c r="X82" i="76" s="1" a="1"/>
  <c r="X82" i="76" s="1"/>
  <c r="X146" i="76" s="1" a="1"/>
  <c r="X146" i="76" s="1"/>
  <c r="X198" i="76" s="1" a="1"/>
  <c r="X198" i="76" s="1"/>
  <c r="X250" i="76" s="1" a="1"/>
  <c r="X250" i="76" s="1"/>
  <c r="AD60" i="76"/>
  <c r="AD76" i="76" s="1" a="1"/>
  <c r="AD76" i="76" s="1"/>
  <c r="AD140" i="76" s="1" a="1"/>
  <c r="AD140" i="76" s="1"/>
  <c r="AD192" i="76" s="1" a="1"/>
  <c r="AD192" i="76" s="1"/>
  <c r="AD244" i="76" s="1" a="1"/>
  <c r="AD244" i="76" s="1"/>
  <c r="X56" i="76"/>
  <c r="X72" i="76" s="1" a="1"/>
  <c r="X72" i="76" s="1"/>
  <c r="X136" i="76" s="1" a="1"/>
  <c r="X136" i="76" s="1"/>
  <c r="X188" i="76" s="1" a="1"/>
  <c r="X188" i="76" s="1"/>
  <c r="X240" i="76" s="1" a="1"/>
  <c r="X240" i="76" s="1"/>
  <c r="W64" i="76"/>
  <c r="W80" i="76" s="1" a="1"/>
  <c r="W80" i="76" s="1"/>
  <c r="W144" i="76" s="1" a="1"/>
  <c r="W144" i="76" s="1"/>
  <c r="W196" i="76" s="1" a="1"/>
  <c r="W196" i="76" s="1"/>
  <c r="W248" i="76" s="1" a="1"/>
  <c r="W248" i="76" s="1"/>
  <c r="Z61" i="76"/>
  <c r="Z77" i="76" s="1" a="1"/>
  <c r="Z77" i="76" s="1"/>
  <c r="Z141" i="76" s="1" a="1"/>
  <c r="Z141" i="76" s="1"/>
  <c r="Z193" i="76" s="1" a="1"/>
  <c r="Z193" i="76" s="1"/>
  <c r="Z245" i="76" s="1" a="1"/>
  <c r="Z245" i="76" s="1"/>
  <c r="W61" i="76"/>
  <c r="W77" i="76" s="1" a="1"/>
  <c r="W77" i="76" s="1"/>
  <c r="W141" i="76" s="1" a="1"/>
  <c r="W141" i="76" s="1"/>
  <c r="W193" i="76" s="1" a="1"/>
  <c r="W193" i="76" s="1"/>
  <c r="W245" i="76" s="1" a="1"/>
  <c r="W245" i="76" s="1"/>
  <c r="AA67" i="76"/>
  <c r="AA83" i="76" s="1" a="1"/>
  <c r="AA83" i="76" s="1"/>
  <c r="AA147" i="76" s="1" a="1"/>
  <c r="AA147" i="76" s="1"/>
  <c r="AA199" i="76" s="1" a="1"/>
  <c r="AA199" i="76" s="1"/>
  <c r="AA251" i="76" s="1" a="1"/>
  <c r="AA251" i="76" s="1"/>
  <c r="AB62" i="76"/>
  <c r="AB78" i="76" s="1" a="1"/>
  <c r="AB78" i="76" s="1"/>
  <c r="AB142" i="76" s="1" a="1"/>
  <c r="AB142" i="76" s="1"/>
  <c r="AB194" i="76" s="1" a="1"/>
  <c r="AB194" i="76" s="1"/>
  <c r="AB246" i="76" s="1" a="1"/>
  <c r="AB246" i="76" s="1"/>
  <c r="U65" i="76"/>
  <c r="U81" i="76" s="1" a="1"/>
  <c r="U81" i="76" s="1"/>
  <c r="U145" i="76" s="1" a="1"/>
  <c r="U145" i="76" s="1"/>
  <c r="U197" i="76" s="1" a="1"/>
  <c r="U197" i="76" s="1"/>
  <c r="U249" i="76" s="1" a="1"/>
  <c r="U249" i="76" s="1"/>
  <c r="AC56" i="76"/>
  <c r="AC72" i="76" s="1" a="1"/>
  <c r="AC72" i="76" s="1"/>
  <c r="AC136" i="76" s="1" a="1"/>
  <c r="AC136" i="76" s="1"/>
  <c r="AC188" i="76" s="1" a="1"/>
  <c r="AC188" i="76" s="1"/>
  <c r="AC240" i="76" s="1" a="1"/>
  <c r="AC240" i="76" s="1"/>
  <c r="AA63" i="76"/>
  <c r="AA79" i="76" s="1" a="1"/>
  <c r="AA79" i="76" s="1"/>
  <c r="AA143" i="76" s="1" a="1"/>
  <c r="AA143" i="76" s="1"/>
  <c r="AA195" i="76" s="1" a="1"/>
  <c r="AA195" i="76" s="1"/>
  <c r="AA247" i="76" s="1" a="1"/>
  <c r="AA247" i="76" s="1"/>
  <c r="Z56" i="76"/>
  <c r="Z72" i="76" s="1" a="1"/>
  <c r="Z72" i="76" s="1"/>
  <c r="Z136" i="76" s="1" a="1"/>
  <c r="Z136" i="76" s="1"/>
  <c r="Z188" i="76" s="1" a="1"/>
  <c r="Z188" i="76" s="1"/>
  <c r="Z240" i="76" s="1" a="1"/>
  <c r="Z240" i="76" s="1"/>
  <c r="W57" i="76"/>
  <c r="W73" i="76" s="1" a="1"/>
  <c r="W73" i="76" s="1"/>
  <c r="W137" i="76" s="1" a="1"/>
  <c r="W137" i="76" s="1"/>
  <c r="W189" i="76" s="1" a="1"/>
  <c r="W189" i="76" s="1"/>
  <c r="W241" i="76" s="1" a="1"/>
  <c r="W241" i="76" s="1"/>
  <c r="F54" i="76"/>
  <c r="F62" i="76" s="1" a="1"/>
  <c r="F62" i="76" s="1"/>
  <c r="F127" i="76" s="1" a="1"/>
  <c r="F127" i="76" s="1"/>
  <c r="F167" i="76" s="1" a="1"/>
  <c r="F167" i="76" s="1"/>
  <c r="F205" i="76" s="1" a="1"/>
  <c r="F205" i="76" s="1"/>
  <c r="K54" i="76"/>
  <c r="K62" i="76" s="1" a="1"/>
  <c r="K62" i="76" s="1"/>
  <c r="K127" i="76" s="1" a="1"/>
  <c r="K127" i="76" s="1"/>
  <c r="K167" i="76" s="1" a="1"/>
  <c r="K167" i="76" s="1"/>
  <c r="K205" i="76" s="1" a="1"/>
  <c r="K205" i="76" s="1"/>
  <c r="V56" i="76"/>
  <c r="V72" i="76" s="1" a="1"/>
  <c r="V72" i="76" s="1"/>
  <c r="V136" i="76" s="1" a="1"/>
  <c r="V136" i="76" s="1"/>
  <c r="V188" i="76" s="1" a="1"/>
  <c r="V188" i="76" s="1"/>
  <c r="V240" i="76" s="1" a="1"/>
  <c r="V240" i="76" s="1"/>
  <c r="U66" i="76"/>
  <c r="U82" i="76" s="1" a="1"/>
  <c r="U82" i="76" s="1"/>
  <c r="U146" i="76" s="1" a="1"/>
  <c r="U146" i="76" s="1"/>
  <c r="U198" i="76" s="1" a="1"/>
  <c r="U198" i="76" s="1"/>
  <c r="U250" i="76" s="1" a="1"/>
  <c r="U250" i="76" s="1"/>
  <c r="AC60" i="76"/>
  <c r="AC76" i="76" s="1" a="1"/>
  <c r="AC76" i="76" s="1"/>
  <c r="AC140" i="76" s="1" a="1"/>
  <c r="AC140" i="76" s="1"/>
  <c r="AC192" i="76" s="1" a="1"/>
  <c r="AC192" i="76" s="1"/>
  <c r="AC244" i="76" s="1" a="1"/>
  <c r="AC244" i="76" s="1"/>
  <c r="AA58" i="76"/>
  <c r="AA74" i="76" s="1" a="1"/>
  <c r="AA74" i="76" s="1"/>
  <c r="AA138" i="76" s="1" a="1"/>
  <c r="AA138" i="76" s="1"/>
  <c r="AA190" i="76" s="1" a="1"/>
  <c r="AA190" i="76" s="1"/>
  <c r="AA242" i="76" s="1" a="1"/>
  <c r="AA242" i="76" s="1"/>
  <c r="Y63" i="76"/>
  <c r="Y79" i="76" s="1" a="1"/>
  <c r="Y79" i="76" s="1"/>
  <c r="Y143" i="76" s="1" a="1"/>
  <c r="Y143" i="76" s="1"/>
  <c r="Y195" i="76" s="1" a="1"/>
  <c r="Y195" i="76" s="1"/>
  <c r="Y247" i="76" s="1" a="1"/>
  <c r="Y247" i="76" s="1"/>
  <c r="AB64" i="76"/>
  <c r="AB80" i="76" s="1" a="1"/>
  <c r="AB80" i="76" s="1"/>
  <c r="AB144" i="76" s="1" a="1"/>
  <c r="AB144" i="76" s="1"/>
  <c r="AB196" i="76" s="1" a="1"/>
  <c r="AB196" i="76" s="1"/>
  <c r="AB248" i="76" s="1" a="1"/>
  <c r="AB248" i="76" s="1"/>
  <c r="AD58" i="76"/>
  <c r="AD74" i="76" s="1" a="1"/>
  <c r="AD74" i="76" s="1"/>
  <c r="AD138" i="76" s="1" a="1"/>
  <c r="AD138" i="76" s="1"/>
  <c r="AD190" i="76" s="1" a="1"/>
  <c r="AD190" i="76" s="1"/>
  <c r="AD242" i="76" s="1" a="1"/>
  <c r="AD242" i="76" s="1"/>
  <c r="AB57" i="76"/>
  <c r="AB73" i="76" s="1" a="1"/>
  <c r="AB73" i="76" s="1"/>
  <c r="AB137" i="76" s="1" a="1"/>
  <c r="AB137" i="76" s="1"/>
  <c r="AB189" i="76" s="1" a="1"/>
  <c r="AB189" i="76" s="1"/>
  <c r="AB241" i="76" s="1" a="1"/>
  <c r="AB241" i="76" s="1"/>
  <c r="Y61" i="76"/>
  <c r="Y77" i="76" s="1" a="1"/>
  <c r="Y77" i="76" s="1"/>
  <c r="Y141" i="76" s="1" a="1"/>
  <c r="Y141" i="76" s="1"/>
  <c r="Y193" i="76" s="1" a="1"/>
  <c r="Y193" i="76" s="1"/>
  <c r="Y245" i="76" s="1" a="1"/>
  <c r="Y245" i="76" s="1"/>
  <c r="AB60" i="76"/>
  <c r="AB76" i="76" s="1" a="1"/>
  <c r="AB76" i="76" s="1"/>
  <c r="AB140" i="76" s="1" a="1"/>
  <c r="AB140" i="76" s="1"/>
  <c r="AB192" i="76" s="1" a="1"/>
  <c r="AB192" i="76" s="1"/>
  <c r="AB244" i="76" s="1" a="1"/>
  <c r="AB244" i="76" s="1"/>
  <c r="U60" i="76"/>
  <c r="U76" i="76" s="1" a="1"/>
  <c r="U76" i="76" s="1"/>
  <c r="U140" i="76" s="1" a="1"/>
  <c r="U140" i="76" s="1"/>
  <c r="U192" i="76" s="1" a="1"/>
  <c r="U192" i="76" s="1"/>
  <c r="U244" i="76" s="1" a="1"/>
  <c r="U244" i="76" s="1"/>
  <c r="AD62" i="76"/>
  <c r="AD78" i="76" s="1" a="1"/>
  <c r="AD78" i="76" s="1"/>
  <c r="AD142" i="76" s="1" a="1"/>
  <c r="AD142" i="76" s="1"/>
  <c r="AD194" i="76" s="1" a="1"/>
  <c r="AD194" i="76" s="1"/>
  <c r="AD246" i="76" s="1" a="1"/>
  <c r="AD246" i="76" s="1"/>
  <c r="X67" i="76"/>
  <c r="X83" i="76" s="1" a="1"/>
  <c r="X83" i="76" s="1"/>
  <c r="X147" i="76" s="1" a="1"/>
  <c r="X147" i="76" s="1"/>
  <c r="X199" i="76" s="1" a="1"/>
  <c r="X199" i="76" s="1"/>
  <c r="X251" i="76" s="1" a="1"/>
  <c r="X251" i="76" s="1"/>
  <c r="AB56" i="76"/>
  <c r="AB72" i="76" s="1" a="1"/>
  <c r="AB72" i="76" s="1"/>
  <c r="AB136" i="76" s="1" a="1"/>
  <c r="AB136" i="76" s="1"/>
  <c r="AB188" i="76" s="1" a="1"/>
  <c r="AB188" i="76" s="1"/>
  <c r="AB240" i="76" s="1" a="1"/>
  <c r="AB240" i="76" s="1"/>
  <c r="AD61" i="76"/>
  <c r="AD77" i="76" s="1" a="1"/>
  <c r="AD77" i="76" s="1"/>
  <c r="AD141" i="76" s="1" a="1"/>
  <c r="AD141" i="76" s="1"/>
  <c r="AD193" i="76" s="1" a="1"/>
  <c r="AD193" i="76" s="1"/>
  <c r="AD245" i="76" s="1" a="1"/>
  <c r="AD245" i="76" s="1"/>
  <c r="L55" i="76"/>
  <c r="L63" i="76" s="1" a="1"/>
  <c r="L63" i="76" s="1"/>
  <c r="L128" i="76" s="1" a="1"/>
  <c r="L128" i="76" s="1"/>
  <c r="L168" i="76" s="1" a="1"/>
  <c r="L168" i="76" s="1"/>
  <c r="L206" i="76" s="1" a="1"/>
  <c r="L206" i="76" s="1"/>
  <c r="U62" i="76"/>
  <c r="U78" i="76" s="1" a="1"/>
  <c r="U78" i="76" s="1"/>
  <c r="U142" i="76" s="1" a="1"/>
  <c r="U142" i="76" s="1"/>
  <c r="U194" i="76" s="1" a="1"/>
  <c r="U194" i="76" s="1"/>
  <c r="U246" i="76" s="1" a="1"/>
  <c r="U246" i="76" s="1"/>
  <c r="Z63" i="76"/>
  <c r="Z79" i="76" s="1" a="1"/>
  <c r="Z79" i="76" s="1"/>
  <c r="Z143" i="76" s="1" a="1"/>
  <c r="Z143" i="76" s="1"/>
  <c r="Z195" i="76" s="1" a="1"/>
  <c r="Z195" i="76" s="1"/>
  <c r="Z247" i="76" s="1" a="1"/>
  <c r="Z247" i="76" s="1"/>
  <c r="G55" i="76"/>
  <c r="G63" i="76" s="1" a="1"/>
  <c r="G63" i="76" s="1"/>
  <c r="G128" i="76" s="1" a="1"/>
  <c r="G128" i="76" s="1"/>
  <c r="G168" i="76" s="1" a="1"/>
  <c r="G168" i="76" s="1"/>
  <c r="G206" i="76" s="1" a="1"/>
  <c r="G206" i="76" s="1"/>
  <c r="N55" i="76"/>
  <c r="N63" i="76" s="1" a="1"/>
  <c r="N63" i="76" s="1"/>
  <c r="N128" i="76" s="1" a="1"/>
  <c r="N128" i="76" s="1"/>
  <c r="N168" i="76" s="1" a="1"/>
  <c r="N168" i="76" s="1"/>
  <c r="N206" i="76" s="1" a="1"/>
  <c r="N206" i="76" s="1"/>
  <c r="H57" i="76"/>
  <c r="H65" i="76" s="1" a="1"/>
  <c r="H65" i="76" s="1"/>
  <c r="H130" i="76" s="1" a="1"/>
  <c r="H130" i="76" s="1"/>
  <c r="H170" i="76" s="1" a="1"/>
  <c r="H170" i="76" s="1"/>
  <c r="H208" i="76" s="1" a="1"/>
  <c r="H208" i="76" s="1"/>
  <c r="N56" i="76"/>
  <c r="N64" i="76" s="1" a="1"/>
  <c r="N64" i="76" s="1"/>
  <c r="N129" i="76" s="1" a="1"/>
  <c r="N129" i="76" s="1"/>
  <c r="N169" i="76" s="1" a="1"/>
  <c r="N169" i="76" s="1"/>
  <c r="N207" i="76" s="1" a="1"/>
  <c r="N207" i="76" s="1"/>
  <c r="U58" i="76"/>
  <c r="U74" i="76" s="1" a="1"/>
  <c r="U74" i="76" s="1"/>
  <c r="U138" i="76" s="1" a="1"/>
  <c r="U138" i="76" s="1"/>
  <c r="U190" i="76" s="1" a="1"/>
  <c r="U190" i="76" s="1"/>
  <c r="U242" i="76" s="1" a="1"/>
  <c r="U242" i="76" s="1"/>
  <c r="Z66" i="76"/>
  <c r="Z82" i="76" s="1" a="1"/>
  <c r="Z82" i="76" s="1"/>
  <c r="Z146" i="76" s="1" a="1"/>
  <c r="Z146" i="76" s="1"/>
  <c r="Z198" i="76" s="1" a="1"/>
  <c r="Z198" i="76" s="1"/>
  <c r="Z250" i="76" s="1" a="1"/>
  <c r="Z250" i="76" s="1"/>
  <c r="X65" i="76"/>
  <c r="X81" i="76" s="1" a="1"/>
  <c r="X81" i="76" s="1"/>
  <c r="X145" i="76" s="1" a="1"/>
  <c r="X145" i="76" s="1"/>
  <c r="X197" i="76" s="1" a="1"/>
  <c r="X197" i="76" s="1"/>
  <c r="X249" i="76" s="1" a="1"/>
  <c r="X249" i="76" s="1"/>
  <c r="Z62" i="76"/>
  <c r="Z78" i="76" s="1" a="1"/>
  <c r="Z78" i="76" s="1"/>
  <c r="Z142" i="76" s="1" a="1"/>
  <c r="Z142" i="76" s="1"/>
  <c r="Z194" i="76" s="1" a="1"/>
  <c r="Z194" i="76" s="1"/>
  <c r="Z246" i="76" s="1" a="1"/>
  <c r="Z246" i="76" s="1"/>
  <c r="J54" i="76"/>
  <c r="J62" i="76" s="1" a="1"/>
  <c r="J62" i="76" s="1"/>
  <c r="J127" i="76" s="1" a="1"/>
  <c r="J127" i="76" s="1"/>
  <c r="J167" i="76" s="1" a="1"/>
  <c r="J167" i="76" s="1"/>
  <c r="J205" i="76" s="1" a="1"/>
  <c r="J205" i="76" s="1"/>
  <c r="W62" i="76"/>
  <c r="W78" i="76" s="1" a="1"/>
  <c r="W78" i="76" s="1"/>
  <c r="W142" i="76" s="1" a="1"/>
  <c r="W142" i="76" s="1"/>
  <c r="W194" i="76" s="1" a="1"/>
  <c r="W194" i="76" s="1"/>
  <c r="W246" i="76" s="1" a="1"/>
  <c r="W246" i="76" s="1"/>
  <c r="V65" i="76"/>
  <c r="V81" i="76" s="1" a="1"/>
  <c r="V81" i="76" s="1"/>
  <c r="V145" i="76" s="1" a="1"/>
  <c r="V145" i="76" s="1"/>
  <c r="V197" i="76" s="1" a="1"/>
  <c r="V197" i="76" s="1"/>
  <c r="V249" i="76" s="1" a="1"/>
  <c r="V249" i="76" s="1"/>
  <c r="K56" i="76"/>
  <c r="K64" i="76" s="1" a="1"/>
  <c r="K64" i="76" s="1"/>
  <c r="K129" i="76" s="1" a="1"/>
  <c r="K129" i="76" s="1"/>
  <c r="K169" i="76" s="1" a="1"/>
  <c r="K169" i="76" s="1"/>
  <c r="K207" i="76" s="1" a="1"/>
  <c r="K207" i="76" s="1"/>
  <c r="U77" i="76" a="1"/>
  <c r="U77" i="76" s="1"/>
  <c r="U141" i="76" s="1" a="1"/>
  <c r="U141" i="76" s="1"/>
  <c r="U193" i="76" s="1" a="1"/>
  <c r="U193" i="76" s="1"/>
  <c r="U245" i="76" s="1" a="1"/>
  <c r="U245" i="76" s="1"/>
  <c r="Y60" i="76"/>
  <c r="Y76" i="76" s="1" a="1"/>
  <c r="Y76" i="76" s="1"/>
  <c r="Y140" i="76" s="1" a="1"/>
  <c r="Y140" i="76" s="1"/>
  <c r="Y192" i="76" s="1" a="1"/>
  <c r="Y192" i="76" s="1"/>
  <c r="Y244" i="76" s="1" a="1"/>
  <c r="Y244" i="76" s="1"/>
  <c r="W76" i="76" a="1"/>
  <c r="W76" i="76" s="1"/>
  <c r="W140" i="76" s="1" a="1"/>
  <c r="W140" i="76" s="1"/>
  <c r="W192" i="76" s="1" a="1"/>
  <c r="W192" i="76" s="1"/>
  <c r="W244" i="76" s="1" a="1"/>
  <c r="W244" i="76" s="1"/>
  <c r="U75" i="76" a="1"/>
  <c r="U75" i="76" s="1"/>
  <c r="U139" i="76" s="1" a="1"/>
  <c r="U139" i="76" s="1"/>
  <c r="U191" i="76" s="1" a="1"/>
  <c r="U191" i="76" s="1"/>
  <c r="U243" i="76" s="1" a="1"/>
  <c r="U243" i="76" s="1"/>
  <c r="E54" i="76"/>
  <c r="AA77" i="76" a="1"/>
  <c r="AA77" i="76" s="1"/>
  <c r="AA141" i="76" s="1" a="1"/>
  <c r="AA141" i="76" s="1"/>
  <c r="AA193" i="76" s="1" a="1"/>
  <c r="AA193" i="76" s="1"/>
  <c r="AA245" i="76" s="1" a="1"/>
  <c r="AA245" i="76" s="1"/>
  <c r="U79" i="76" a="1"/>
  <c r="U79" i="76" s="1"/>
  <c r="U143" i="76" s="1" a="1"/>
  <c r="U143" i="76" s="1"/>
  <c r="U195" i="76" s="1" a="1"/>
  <c r="U195" i="76" s="1"/>
  <c r="U247" i="76" s="1" a="1"/>
  <c r="U247" i="76" s="1"/>
  <c r="W72" i="76" a="1"/>
  <c r="W72" i="76" s="1"/>
  <c r="W136" i="76" s="1" a="1"/>
  <c r="W136" i="76" s="1"/>
  <c r="W188" i="76" s="1" a="1"/>
  <c r="W188" i="76" s="1"/>
  <c r="W240" i="76" s="1" a="1"/>
  <c r="W240" i="76" s="1"/>
  <c r="G65" i="76" a="1"/>
  <c r="G65" i="76" s="1"/>
  <c r="G130" i="76" s="1" a="1"/>
  <c r="G130" i="76" s="1"/>
  <c r="G170" i="76" s="1" a="1"/>
  <c r="G170" i="76" s="1"/>
  <c r="G208" i="76" s="1" a="1"/>
  <c r="G208" i="76" s="1"/>
  <c r="J56" i="76"/>
  <c r="J64" i="76" s="1" a="1"/>
  <c r="J64" i="76" s="1"/>
  <c r="J129" i="76" s="1" a="1"/>
  <c r="J129" i="76" s="1"/>
  <c r="J169" i="76" s="1" a="1"/>
  <c r="J169" i="76" s="1"/>
  <c r="J207" i="76" s="1" a="1"/>
  <c r="J207" i="76" s="1"/>
  <c r="G64" i="76" a="1"/>
  <c r="G64" i="76" s="1"/>
  <c r="G129" i="76" s="1" a="1"/>
  <c r="G129" i="76" s="1"/>
  <c r="G169" i="76" s="1" a="1"/>
  <c r="G169" i="76" s="1"/>
  <c r="G207" i="76" s="1" a="1"/>
  <c r="G207" i="76" s="1"/>
  <c r="W81" i="76" a="1"/>
  <c r="W81" i="76" s="1"/>
  <c r="W145" i="76" s="1" a="1"/>
  <c r="W145" i="76" s="1"/>
  <c r="W197" i="76" s="1" a="1"/>
  <c r="W197" i="76" s="1"/>
  <c r="W249" i="76" s="1" a="1"/>
  <c r="W249" i="76" s="1"/>
  <c r="K63" i="76" a="1"/>
  <c r="K63" i="76" s="1"/>
  <c r="K128" i="76" s="1" a="1"/>
  <c r="K128" i="76" s="1"/>
  <c r="K168" i="76" s="1" a="1"/>
  <c r="K168" i="76" s="1"/>
  <c r="K206" i="76" s="1" a="1"/>
  <c r="K206" i="76" s="1"/>
  <c r="U64" i="76"/>
  <c r="U80" i="76" s="1" a="1"/>
  <c r="U80" i="76" s="1"/>
  <c r="U144" i="76" s="1" a="1"/>
  <c r="U144" i="76" s="1"/>
  <c r="U196" i="76" s="1" a="1"/>
  <c r="U196" i="76" s="1"/>
  <c r="U248" i="76" s="1" a="1"/>
  <c r="U248" i="76" s="1"/>
  <c r="U72" i="76" a="1"/>
  <c r="U72" i="76" s="1"/>
  <c r="U136" i="76" s="1" a="1"/>
  <c r="U136" i="76" s="1"/>
  <c r="U188" i="76" s="1" a="1"/>
  <c r="U188" i="76" s="1"/>
  <c r="U240" i="76" s="1" a="1"/>
  <c r="U240" i="76" s="1"/>
  <c r="W83" i="76" a="1"/>
  <c r="W83" i="76" s="1"/>
  <c r="W147" i="76" s="1" a="1"/>
  <c r="W147" i="76" s="1"/>
  <c r="W199" i="76" s="1" a="1"/>
  <c r="W199" i="76" s="1"/>
  <c r="W251" i="76" s="1" a="1"/>
  <c r="W251" i="76" s="1"/>
  <c r="AD66" i="76"/>
  <c r="AD82" i="76" s="1" a="1"/>
  <c r="AD82" i="76" s="1"/>
  <c r="AD146" i="76" s="1" a="1"/>
  <c r="AD146" i="76" s="1"/>
  <c r="AD198" i="76" s="1" a="1"/>
  <c r="AD198" i="76" s="1"/>
  <c r="AD250" i="76" s="1" a="1"/>
  <c r="AD250" i="76" s="1"/>
  <c r="V57" i="76"/>
  <c r="V73" i="76" s="1" a="1"/>
  <c r="V73" i="76" s="1"/>
  <c r="V137" i="76" s="1" a="1"/>
  <c r="V137" i="76" s="1"/>
  <c r="V189" i="76" s="1" a="1"/>
  <c r="V189" i="76" s="1"/>
  <c r="V241" i="76" s="1" a="1"/>
  <c r="V241" i="76" s="1"/>
  <c r="Z58" i="76"/>
  <c r="Z74" i="76" s="1" a="1"/>
  <c r="Z74" i="76" s="1"/>
  <c r="Z138" i="76" s="1" a="1"/>
  <c r="Z138" i="76" s="1"/>
  <c r="Z190" i="76" s="1" a="1"/>
  <c r="Z190" i="76" s="1"/>
  <c r="Z242" i="76" s="1" a="1"/>
  <c r="Z242" i="76" s="1"/>
  <c r="AA76" i="76" a="1"/>
  <c r="AA76" i="76" s="1"/>
  <c r="AA140" i="76" s="1" a="1"/>
  <c r="AA140" i="76" s="1"/>
  <c r="AA192" i="76" s="1" a="1"/>
  <c r="AA192" i="76" s="1"/>
  <c r="AA244" i="76" s="1" a="1"/>
  <c r="AA244" i="76" s="1"/>
  <c r="K65" i="76" a="1"/>
  <c r="K65" i="76" s="1"/>
  <c r="K130" i="76" s="1" a="1"/>
  <c r="K130" i="76" s="1"/>
  <c r="K170" i="76" s="1" a="1"/>
  <c r="K170" i="76" s="1"/>
  <c r="K208" i="76" s="1" a="1"/>
  <c r="K208" i="76" s="1"/>
  <c r="AB65" i="76"/>
  <c r="AB81" i="76" s="1" a="1"/>
  <c r="AB81" i="76" s="1"/>
  <c r="AB145" i="76" s="1" a="1"/>
  <c r="AB145" i="76" s="1"/>
  <c r="AB197" i="76" s="1" a="1"/>
  <c r="AB197" i="76" s="1"/>
  <c r="AB249" i="76" s="1" a="1"/>
  <c r="AB249" i="76" s="1"/>
  <c r="U73" i="76" a="1"/>
  <c r="U73" i="76" s="1"/>
  <c r="U137" i="76" s="1" a="1"/>
  <c r="U137" i="76" s="1"/>
  <c r="U189" i="76" s="1" a="1"/>
  <c r="U189" i="76" s="1"/>
  <c r="U241" i="76" s="1" a="1"/>
  <c r="U241" i="76" s="1"/>
  <c r="AA75" i="76" a="1"/>
  <c r="AA75" i="76" s="1"/>
  <c r="AA139" i="76" s="1" a="1"/>
  <c r="AA139" i="76" s="1"/>
  <c r="AA191" i="76" s="1" a="1"/>
  <c r="AA191" i="76" s="1"/>
  <c r="AA243" i="76" s="1" a="1"/>
  <c r="AA243" i="76" s="1"/>
  <c r="AA72" i="76" a="1"/>
  <c r="AA72" i="76" s="1"/>
  <c r="AA136" i="76" s="1" a="1"/>
  <c r="AA136" i="76" s="1"/>
  <c r="AA188" i="76" s="1" a="1"/>
  <c r="AA188" i="76" s="1"/>
  <c r="AA240" i="76" s="1" a="1"/>
  <c r="AA240" i="76" s="1"/>
  <c r="G62" i="76" a="1"/>
  <c r="G62" i="76" s="1"/>
  <c r="G127" i="76" s="1" a="1"/>
  <c r="G127" i="76" s="1"/>
  <c r="G167" i="76" s="1" a="1"/>
  <c r="G167" i="76" s="1"/>
  <c r="G205" i="76" s="1" a="1"/>
  <c r="G205" i="76" s="1"/>
  <c r="E62" i="76" l="1" a="1"/>
  <c r="E62" i="76" s="1"/>
  <c r="E127" i="76" s="1" a="1"/>
  <c r="E127" i="76" s="1"/>
  <c r="E167" i="76" s="1" a="1"/>
  <c r="E167" i="76" s="1"/>
  <c r="E205" i="76" s="1" a="1"/>
  <c r="E205" i="76" s="1"/>
  <c r="E210" i="76" s="1"/>
  <c r="G13" i="98" s="1"/>
  <c r="E20" i="98" s="1" a="1"/>
  <c r="E20" i="98" s="1"/>
  <c r="U253" i="76"/>
  <c r="F27" i="43" a="1"/>
  <c r="F27" i="43" s="1"/>
  <c r="E27" i="43" a="1"/>
  <c r="E27" i="43" s="1"/>
  <c r="D27" i="43" a="1"/>
  <c r="D27" i="43" s="1"/>
  <c r="F26" i="43" a="1"/>
  <c r="F26" i="43" s="1"/>
  <c r="E26" i="43" a="1"/>
  <c r="E26" i="43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17" i="43" a="1"/>
  <c r="E17" i="43" s="1"/>
  <c r="D17" i="43" a="1"/>
  <c r="D17" i="43" s="1"/>
  <c r="F16" i="43" a="1"/>
  <c r="F16" i="43" s="1"/>
  <c r="E16" i="43" a="1"/>
  <c r="E16" i="43" s="1"/>
  <c r="D16" i="43" a="1"/>
  <c r="D16" i="43" s="1"/>
  <c r="F15" i="43" a="1"/>
  <c r="F15" i="43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10" i="43" a="1"/>
  <c r="E10" i="43" s="1"/>
  <c r="D10" i="43" a="1"/>
  <c r="D10" i="43" s="1"/>
  <c r="D8" i="43" a="1"/>
  <c r="D8" i="43" s="1"/>
  <c r="D7" i="43" a="1"/>
  <c r="D7" i="43" s="1"/>
  <c r="D6" i="43" a="1"/>
  <c r="D6" i="43" s="1"/>
  <c r="U259" i="76" l="1" a="1"/>
  <c r="U259" i="76" s="1"/>
  <c r="W261" i="76" s="1"/>
  <c r="U264" i="76" s="1" a="1"/>
  <c r="U264" i="76" s="1"/>
  <c r="I8" i="13" s="1"/>
  <c r="N13" i="98"/>
  <c r="L20" i="98" s="1" a="1"/>
  <c r="L20" i="98" s="1"/>
  <c r="P13" i="97"/>
  <c r="M16" i="97" s="1" a="1"/>
  <c r="M16" i="97" s="1"/>
  <c r="P28" i="97" s="1"/>
  <c r="M35" i="97" s="1" a="1"/>
  <c r="M35" i="97" s="1"/>
  <c r="N32" i="98"/>
  <c r="L36" i="98" s="1" a="1"/>
  <c r="L36" i="98" s="1"/>
  <c r="G32" i="98"/>
  <c r="E36" i="98" s="1" a="1"/>
  <c r="E36" i="98" s="1"/>
  <c r="I7" i="13"/>
  <c r="H7" i="13"/>
  <c r="E227" i="76" a="1"/>
  <c r="E227" i="76" s="1"/>
  <c r="H13" i="97"/>
  <c r="E16" i="97" s="1" a="1"/>
  <c r="E16" i="97" s="1"/>
  <c r="H28" i="97" s="1"/>
  <c r="E35" i="97" s="1" a="1"/>
  <c r="E35" i="97" s="1"/>
  <c r="E29" i="15"/>
  <c r="E7" i="13" l="1"/>
  <c r="F7" i="13"/>
  <c r="E10" i="13"/>
  <c r="G38" i="98"/>
  <c r="E41" i="98" s="1" a="1"/>
  <c r="E41" i="98" s="1"/>
  <c r="H10" i="13" s="1"/>
  <c r="F8" i="13"/>
  <c r="G37" i="97"/>
  <c r="E40" i="97" s="1" a="1"/>
  <c r="E40" i="97" s="1"/>
  <c r="H9" i="13" s="1"/>
  <c r="E9" i="13"/>
  <c r="F10" i="13"/>
  <c r="N38" i="98"/>
  <c r="L41" i="98" s="1" a="1"/>
  <c r="L41" i="98" s="1"/>
  <c r="I10" i="13" s="1"/>
  <c r="O37" i="97"/>
  <c r="M40" i="97" s="1" a="1"/>
  <c r="M40" i="97" s="1"/>
  <c r="I9" i="13" s="1"/>
  <c r="F9" i="13"/>
  <c r="G229" i="76"/>
  <c r="E232" i="76" s="1" a="1"/>
  <c r="E232" i="76" s="1"/>
  <c r="H8" i="13" s="1"/>
  <c r="E8" i="13"/>
  <c r="E13" i="15"/>
  <c r="I11" i="13" l="1"/>
  <c r="H11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<sst xmlns="http://schemas.openxmlformats.org/spreadsheetml/2006/main" count="1211" uniqueCount="357">
  <si>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</si>
  <si>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</si>
  <si>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</si>
  <si>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</si>
  <si>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</si>
  <si>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</si>
  <si>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</si>
  <si>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</si>
  <si>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</si>
  <si>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</si>
  <si>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</si>
  <si>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</si>
  <si>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</si>
  <si>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</si>
  <si>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</si>
  <si>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</si>
  <si>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</si>
  <si>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</si>
  <si>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Percent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</si>
  <si>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</si>
  <si>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</si>
  <si>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</si>
  <si>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</si>
  <si>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</si>
  <si>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</si>
  <si>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</si>
  <si>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</si>
  <si>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</si>
  <si>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</si>
  <si>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</si>
  <si>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</si>
  <si>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</si>
  <si>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</si>
  <si>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</si>
  <si>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</si>
  <si>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</si>
  <si>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</si>
  <si>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</si>
  <si>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</si>
  <si>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</si>
  <si>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</si>
  <si>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</si>
  <si>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</si>
  <si>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</si>
  <si>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</si>
  <si>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</si>
  <si>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</si>
  <si>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</si>
  <si>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</si>
  <si>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</si>
  <si>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</si>
  <si>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</si>
  <si>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</si>
  <si>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</si>
  <si>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</si>
  <si>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</si>
  <si>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</si>
  <si>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</si>
  <si>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</si>
  <si>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</si>
  <si>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</si>
  <si>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</si>
  <si>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</si>
  <si>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</si>
  <si>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</si>
  <si>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</si>
  <si>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</si>
  <si>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</si>
  <si>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</si>
  <si>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</si>
  <si>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</si>
  <si>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</si>
  <si>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</si>
  <si>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</si>
  <si>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</si>
  <si>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</si>
  <si>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</si>
  <si>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</si>
  <si>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</si>
  <si>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</si>
  <si>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</si>
  <si>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</si>
  <si>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</si>
  <si>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</si>
  <si>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</si>
  <si>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</si>
  <si>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</si>
  <si>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</si>
  <si>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</si>
  <si>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</si>
  <si>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</si>
  <si>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</si>
  <si>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</si>
  <si>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</si>
  <si>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</si>
  <si>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</si>
  <si>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</si>
  <si>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</si>
  <si>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</si>
  <si>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Fraction</t>
  </si>
  <si>
    <t>head</t>
  </si>
  <si>
    <t>Head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</si>
  <si>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</si>
  <si>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M1_Table_CP_j</t>
  </si>
  <si>
    <t>M2_Table_CP_j</t>
  </si>
  <si>
    <t>Method 1</t>
  </si>
  <si>
    <t>Method 2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</si>
  <si>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N2O,dir</t>
    </r>
  </si>
  <si>
    <t>Scope 1 source</t>
  </si>
  <si>
    <t>Production system j</t>
  </si>
  <si>
    <t>EFN2O</t>
  </si>
  <si>
    <t>Production system only</t>
  </si>
  <si>
    <t>Irrigation method</t>
  </si>
  <si>
    <t>Production system</t>
  </si>
  <si>
    <t>Total</t>
  </si>
  <si>
    <t>GHG Unit</t>
  </si>
  <si>
    <t>CO2-e unit</t>
  </si>
  <si>
    <t>Bulls &gt; 1 year</t>
  </si>
  <si>
    <t>Bulls &lt; 1 year</t>
  </si>
  <si>
    <t>Month</t>
  </si>
  <si>
    <t>kg/head</t>
  </si>
  <si>
    <t>kg/head/day</t>
  </si>
  <si>
    <t>Milk production</t>
  </si>
  <si>
    <t>fraction</t>
  </si>
  <si>
    <t>Feed intake (Method 2)</t>
  </si>
  <si>
    <t>Feed intake (Method 1)</t>
  </si>
  <si>
    <t>M1_Table_D_j</t>
  </si>
  <si>
    <t>t CH4</t>
  </si>
  <si>
    <t>M2_Table_D_j</t>
  </si>
  <si>
    <t>Intake relative to maintenance (Method 1)</t>
  </si>
  <si>
    <t>Intake relative to maintenance (Method 2)</t>
  </si>
  <si>
    <t>Irrigation type i</t>
  </si>
  <si>
    <t>t CO2e</t>
  </si>
  <si>
    <t>EFPRP</t>
  </si>
  <si>
    <t>4.3.1.12-13 Soil leaching and runoff N2O</t>
  </si>
  <si>
    <r>
      <t>E</t>
    </r>
    <r>
      <rPr>
        <b/>
        <vertAlign val="subscript"/>
        <sz val="12"/>
        <color theme="1" tint="0.24994659260841701"/>
        <rFont val="Times New Roman"/>
        <family val="1"/>
      </rPr>
      <t>N2O,leach</t>
    </r>
  </si>
  <si>
    <t>GHG emissions method 1</t>
  </si>
  <si>
    <t>GHG emissions method 2</t>
  </si>
  <si>
    <t>CO2-e emissions method 1</t>
  </si>
  <si>
    <t>CO2-e emissions method 2</t>
  </si>
  <si>
    <t>4.2.1.1-2 Manure methane</t>
  </si>
  <si>
    <t>Cows &lt; 1 year</t>
  </si>
  <si>
    <t>Cows 1-2 years</t>
  </si>
  <si>
    <t>Cows 2-3 years</t>
  </si>
  <si>
    <t>Cows &gt; 3 years</t>
  </si>
  <si>
    <t>Steers &lt; 1 year</t>
  </si>
  <si>
    <t>Steers 1-2 years</t>
  </si>
  <si>
    <t>Steers 2-3 years</t>
  </si>
  <si>
    <t>Steers &gt;3 years</t>
  </si>
  <si>
    <t>Spring</t>
  </si>
  <si>
    <t>Summer</t>
  </si>
  <si>
    <t>Autumn</t>
  </si>
  <si>
    <t>Winter</t>
  </si>
  <si>
    <t>Season</t>
  </si>
  <si>
    <t>Western Australia</t>
  </si>
  <si>
    <t>M1_Table_LC_j_k-4-5</t>
  </si>
  <si>
    <t>M1_Table_LWG_j_k_l</t>
  </si>
  <si>
    <t>Liveweight gain (Method 1)</t>
  </si>
  <si>
    <t>Liveweight (Method 1)</t>
  </si>
  <si>
    <t>M1_Table_I_j_k_l</t>
  </si>
  <si>
    <t>M2_Table_LC_j_k-4-5</t>
  </si>
  <si>
    <t>Proportion of cows in calf during season (Method 2)</t>
  </si>
  <si>
    <t>Proportion of cows in calf during season (Method 1)</t>
  </si>
  <si>
    <t>M2_Table_LW_j_k_l</t>
  </si>
  <si>
    <t>Liveweight (Method 2)</t>
  </si>
  <si>
    <t>M2_Table_LWG_j_k_l</t>
  </si>
  <si>
    <t>Liveweight gain (Method 2)</t>
  </si>
  <si>
    <t>M2_Table_I_j_k_l</t>
  </si>
  <si>
    <t>M1_Table_N_j_k_l</t>
  </si>
  <si>
    <t>Number of beef cattle (Method 1)</t>
  </si>
  <si>
    <t>Duration of stay in each time period (Method 1)</t>
  </si>
  <si>
    <t>days</t>
  </si>
  <si>
    <t>M2_Table_N_j_k_l</t>
  </si>
  <si>
    <t>Number of beef cattle (Method 2)</t>
  </si>
  <si>
    <t>Duration of stay in each time period (Method 2)</t>
  </si>
  <si>
    <t>4.2.1.3-4 Manure Direct N2O</t>
  </si>
  <si>
    <t>M1_Table_W_j_k_l</t>
  </si>
  <si>
    <t>Variable is LW in Methane</t>
  </si>
  <si>
    <t>Standard reference weight</t>
  </si>
  <si>
    <t>Table_SRW_k</t>
  </si>
  <si>
    <t>M1_Table_Z_j_k_l</t>
  </si>
  <si>
    <t>Relative size (Method 1)</t>
  </si>
  <si>
    <t>M2_Table_Z_j_k_l</t>
  </si>
  <si>
    <t>Relative size (Method 2)</t>
  </si>
  <si>
    <t>M1_Table_L_j_k_l</t>
  </si>
  <si>
    <t>M1_Table_MP_j_k-4-5</t>
  </si>
  <si>
    <t>Methane equation subscript is 4,5</t>
  </si>
  <si>
    <t>M1_Table_NR_j_k_l</t>
  </si>
  <si>
    <t>Nitrogen retained in the body (Method 1)</t>
  </si>
  <si>
    <t>M1_Table_MC_j_k_1-3-6</t>
  </si>
  <si>
    <t>Because more than one cattle class can produce milk, we will take an average of their milk production. May change to using cows 2-3 instead.</t>
  </si>
  <si>
    <t>M1_Table_NE_j_k_l</t>
  </si>
  <si>
    <t>M1_Table_AE</t>
  </si>
  <si>
    <t>Total nitrogen excreted to pasture, range and paddock (Method 1)</t>
  </si>
  <si>
    <t>AE</t>
  </si>
  <si>
    <t>t N2O</t>
  </si>
  <si>
    <t>4.2.1.3-4 Soil direct N2O</t>
  </si>
  <si>
    <t>4.2.1.5-6 Soil atmospheric deposition</t>
  </si>
  <si>
    <t>4.2.1.7-8 Soil leaching and runoff</t>
  </si>
  <si>
    <t>4.2.1.5-6 Soil atmospheric deposition N2O</t>
  </si>
  <si>
    <t>M2_Table_L_j_k_l</t>
  </si>
  <si>
    <t>M2_Table_NR_j_k_l</t>
  </si>
  <si>
    <t>Nitrogen retained in the body (Method 2)</t>
  </si>
  <si>
    <t>Crude protein (Method 2)</t>
  </si>
  <si>
    <t>Crude protein (Method 1)</t>
  </si>
  <si>
    <t>Milk consumption (Method 2)</t>
  </si>
  <si>
    <t>Milk consumption (Method 1)</t>
  </si>
  <si>
    <t>Nitrogen excreted (Method 1)</t>
  </si>
  <si>
    <t>M2_Table_NE_j_k_l</t>
  </si>
  <si>
    <t>Nitrogen excreted (Method 2)</t>
  </si>
  <si>
    <t>M2_Table_AE</t>
  </si>
  <si>
    <t>Total nitrogen excreted to pasture, range and paddock (Method 2)</t>
  </si>
  <si>
    <r>
      <t>M</t>
    </r>
    <r>
      <rPr>
        <b/>
        <vertAlign val="subscript"/>
        <sz val="12"/>
        <color theme="1" tint="0.24994659260841701"/>
        <rFont val="Times New Roman"/>
        <family val="1"/>
      </rPr>
      <t>vol</t>
    </r>
  </si>
  <si>
    <r>
      <t>E</t>
    </r>
    <r>
      <rPr>
        <b/>
        <vertAlign val="subscript"/>
        <sz val="12"/>
        <color theme="1" tint="0.24994659260841701"/>
        <rFont val="Times New Roman"/>
        <family val="1"/>
      </rPr>
      <t>N2O,ad</t>
    </r>
  </si>
  <si>
    <r>
      <t>M</t>
    </r>
    <r>
      <rPr>
        <b/>
        <vertAlign val="subscript"/>
        <sz val="12"/>
        <color theme="1" tint="0.24994659260841701"/>
        <rFont val="Times New Roman"/>
        <family val="1"/>
      </rPr>
      <t>leach</t>
    </r>
  </si>
  <si>
    <t>Acknowledgements</t>
  </si>
  <si>
    <t>4.5 Manure management: Swine: Results</t>
  </si>
  <si>
    <t>Input -Swine</t>
  </si>
  <si>
    <t>Constants - Swine</t>
  </si>
  <si>
    <t>Manure production</t>
  </si>
  <si>
    <t>Boars</t>
  </si>
  <si>
    <t>Sows</t>
  </si>
  <si>
    <t>Gilts</t>
  </si>
  <si>
    <t>Suckers</t>
  </si>
  <si>
    <t>Weaners</t>
  </si>
  <si>
    <t>Growers</t>
  </si>
  <si>
    <t>Slaughter pigs</t>
  </si>
  <si>
    <t>Volatile solids produced per head per day</t>
  </si>
  <si>
    <t>Nitrogen produced in swine waste per head per day</t>
  </si>
  <si>
    <t>kg N/head/day</t>
  </si>
  <si>
    <t>Conventional housing</t>
  </si>
  <si>
    <t>Solid storage</t>
  </si>
  <si>
    <t>Yes</t>
  </si>
  <si>
    <t>Added 'other' value from NIR</t>
  </si>
  <si>
    <t>Class</t>
  </si>
  <si>
    <t>VSj</t>
  </si>
  <si>
    <t>CHange title to match source</t>
  </si>
  <si>
    <t>CHange source</t>
  </si>
  <si>
    <t>NIR definition</t>
  </si>
  <si>
    <t>Swine Manure management systems</t>
  </si>
  <si>
    <t>Swine Manure management systems excl. solid storage and direct application</t>
  </si>
  <si>
    <t>Swine Manure management systems excl. direct application</t>
  </si>
  <si>
    <t>Fraction volatile solids lost during storage in primary system</t>
  </si>
  <si>
    <t>Swine housing</t>
  </si>
  <si>
    <t>VSL</t>
  </si>
  <si>
    <t>4.5.1.1-2 Manure Methane</t>
  </si>
  <si>
    <t>Inconsistencies - 'primary system' vs 'stage 1'</t>
  </si>
  <si>
    <t>If this is directly related to equation 5, the mms numbers should be the same eg 1,7,9 (and probably 8,)</t>
  </si>
  <si>
    <t>SSm should be SSjm</t>
  </si>
  <si>
    <t>Table_MMS_j_m-1-7-9-8_T-1</t>
  </si>
  <si>
    <t>Fraction VS sent to MMS other than solid storage in stage 1</t>
  </si>
  <si>
    <t>Stage 1 management</t>
  </si>
  <si>
    <r>
      <t>MMS</t>
    </r>
    <r>
      <rPr>
        <b/>
        <vertAlign val="subscript"/>
        <sz val="11"/>
        <color rgb="FF183C1B"/>
        <rFont val="Times New Roman"/>
        <family val="1"/>
      </rPr>
      <t>j=1,m=1,7,9,8,13,T=1</t>
    </r>
  </si>
  <si>
    <r>
      <t>MMS</t>
    </r>
    <r>
      <rPr>
        <b/>
        <vertAlign val="subscript"/>
        <sz val="11"/>
        <color rgb="FF183C1B"/>
        <rFont val="Times New Roman"/>
        <family val="1"/>
      </rPr>
      <t>j=2,m=1,7,9,8,13,T=1</t>
    </r>
  </si>
  <si>
    <r>
      <t>MMS</t>
    </r>
    <r>
      <rPr>
        <b/>
        <vertAlign val="subscript"/>
        <sz val="11"/>
        <color rgb="FF183C1B"/>
        <rFont val="Times New Roman"/>
        <family val="1"/>
      </rPr>
      <t>j=3,m=1,7,9,8,13,T=1</t>
    </r>
  </si>
  <si>
    <r>
      <t>MMS</t>
    </r>
    <r>
      <rPr>
        <b/>
        <vertAlign val="subscript"/>
        <sz val="11"/>
        <color rgb="FF183C1B"/>
        <rFont val="Times New Roman"/>
        <family val="1"/>
      </rPr>
      <t>j=4,m=1,7,9,8,13,T=1</t>
    </r>
  </si>
  <si>
    <t>Table_SS_m-1-7-9</t>
  </si>
  <si>
    <t>Fraction separated solids sent from MMS other than solid storage to solid storage in stage 1</t>
  </si>
  <si>
    <r>
      <t>SS</t>
    </r>
    <r>
      <rPr>
        <b/>
        <vertAlign val="subscript"/>
        <sz val="11"/>
        <color rgb="FF183C1B"/>
        <rFont val="Times New Roman"/>
        <family val="1"/>
      </rPr>
      <t>j=1m=1,7,9</t>
    </r>
  </si>
  <si>
    <r>
      <t>SS</t>
    </r>
    <r>
      <rPr>
        <b/>
        <vertAlign val="subscript"/>
        <sz val="11"/>
        <color rgb="FF183C1B"/>
        <rFont val="Times New Roman"/>
        <family val="1"/>
      </rPr>
      <t>j=2m=1,7,9</t>
    </r>
  </si>
  <si>
    <r>
      <t>SS</t>
    </r>
    <r>
      <rPr>
        <b/>
        <vertAlign val="subscript"/>
        <sz val="11"/>
        <color rgb="FF183C1B"/>
        <rFont val="Times New Roman"/>
        <family val="1"/>
      </rPr>
      <t>j=3m=1,7,9</t>
    </r>
  </si>
  <si>
    <r>
      <t>SS</t>
    </r>
    <r>
      <rPr>
        <b/>
        <vertAlign val="subscript"/>
        <sz val="11"/>
        <color rgb="FF183C1B"/>
        <rFont val="Times New Roman"/>
        <family val="1"/>
      </rPr>
      <t>j=4m=1,7,9</t>
    </r>
  </si>
  <si>
    <t>Table_FVS_j_m-1-7-9_T-1</t>
  </si>
  <si>
    <t>Fraction VS in MMS other than solid storage in stage 1</t>
  </si>
  <si>
    <r>
      <t>FVS</t>
    </r>
    <r>
      <rPr>
        <b/>
        <vertAlign val="subscript"/>
        <sz val="11"/>
        <color rgb="FF183C1B"/>
        <rFont val="Times New Roman"/>
        <family val="1"/>
      </rPr>
      <t>j,m=1,7,9,T=1</t>
    </r>
  </si>
  <si>
    <t>Rename to 'Fraction of volatile solids in primary system in solid storage'</t>
  </si>
  <si>
    <t>should have mms numbers in SSm</t>
  </si>
  <si>
    <t>Table_MMS_j_m-4_T-1</t>
  </si>
  <si>
    <t>Fraction primary system solid storage</t>
  </si>
  <si>
    <r>
      <t>MMS</t>
    </r>
    <r>
      <rPr>
        <b/>
        <vertAlign val="subscript"/>
        <sz val="11"/>
        <color rgb="FF183C1B"/>
        <rFont val="Times New Roman"/>
        <family val="1"/>
      </rPr>
      <t>j=1,m=4,T=1</t>
    </r>
  </si>
  <si>
    <r>
      <t>MMS</t>
    </r>
    <r>
      <rPr>
        <b/>
        <vertAlign val="subscript"/>
        <sz val="11"/>
        <color rgb="FF183C1B"/>
        <rFont val="Times New Roman"/>
        <family val="1"/>
      </rPr>
      <t>j=2,m=4,T=1</t>
    </r>
  </si>
  <si>
    <r>
      <t>MMS</t>
    </r>
    <r>
      <rPr>
        <b/>
        <vertAlign val="subscript"/>
        <sz val="11"/>
        <color rgb="FF183C1B"/>
        <rFont val="Times New Roman"/>
        <family val="1"/>
      </rPr>
      <t>j=3,m=4,T=1</t>
    </r>
  </si>
  <si>
    <r>
      <t>MMS</t>
    </r>
    <r>
      <rPr>
        <b/>
        <vertAlign val="subscript"/>
        <sz val="11"/>
        <color rgb="FF183C1B"/>
        <rFont val="Times New Roman"/>
        <family val="1"/>
      </rPr>
      <t>j=4,m=4,T=1</t>
    </r>
  </si>
  <si>
    <t>Table_FVS_j_m-4_T-1</t>
  </si>
  <si>
    <t>Fraction VS in stage 1 solid storage</t>
  </si>
  <si>
    <r>
      <t>FVS</t>
    </r>
    <r>
      <rPr>
        <b/>
        <vertAlign val="subscript"/>
        <sz val="11"/>
        <color rgb="FF183C1B"/>
        <rFont val="Times New Roman"/>
        <family val="1"/>
      </rPr>
      <t>j=1,m=4,T=1</t>
    </r>
  </si>
  <si>
    <r>
      <t>FVS</t>
    </r>
    <r>
      <rPr>
        <b/>
        <vertAlign val="subscript"/>
        <sz val="11"/>
        <color rgb="FF183C1B"/>
        <rFont val="Times New Roman"/>
        <family val="1"/>
      </rPr>
      <t>j=2,m=4,T=1</t>
    </r>
  </si>
  <si>
    <r>
      <t>FVS</t>
    </r>
    <r>
      <rPr>
        <b/>
        <vertAlign val="subscript"/>
        <sz val="11"/>
        <color rgb="FF183C1B"/>
        <rFont val="Times New Roman"/>
        <family val="1"/>
      </rPr>
      <t>j=3,m=4,T=1</t>
    </r>
  </si>
  <si>
    <r>
      <t>FVS</t>
    </r>
    <r>
      <rPr>
        <b/>
        <vertAlign val="subscript"/>
        <sz val="11"/>
        <color rgb="FF183C1B"/>
        <rFont val="Times New Roman"/>
        <family val="1"/>
      </rPr>
      <t>j=4,m=4,T=1</t>
    </r>
  </si>
  <si>
    <t>Should be kg/head/day</t>
  </si>
  <si>
    <t>Table_VS_j</t>
  </si>
  <si>
    <t>Daily volatile solid production</t>
  </si>
  <si>
    <r>
      <t>VS</t>
    </r>
    <r>
      <rPr>
        <b/>
        <vertAlign val="subscript"/>
        <sz val="11"/>
        <color rgb="FF183C1B"/>
        <rFont val="Times New Roman"/>
        <family val="1"/>
      </rPr>
      <t>j=1</t>
    </r>
  </si>
  <si>
    <r>
      <t>VS</t>
    </r>
    <r>
      <rPr>
        <b/>
        <vertAlign val="subscript"/>
        <sz val="11"/>
        <color rgb="FF183C1B"/>
        <rFont val="Times New Roman"/>
        <family val="1"/>
      </rPr>
      <t>j=2</t>
    </r>
  </si>
  <si>
    <r>
      <t>VS</t>
    </r>
    <r>
      <rPr>
        <b/>
        <vertAlign val="subscript"/>
        <sz val="11"/>
        <color rgb="FF183C1B"/>
        <rFont val="Times New Roman"/>
        <family val="1"/>
      </rPr>
      <t>j=3</t>
    </r>
  </si>
  <si>
    <r>
      <t>VS</t>
    </r>
    <r>
      <rPr>
        <b/>
        <vertAlign val="subscript"/>
        <sz val="11"/>
        <color rgb="FF183C1B"/>
        <rFont val="Times New Roman"/>
        <family val="1"/>
      </rPr>
      <t>j=4</t>
    </r>
  </si>
  <si>
    <t>Table_VSL_m_T-1</t>
  </si>
  <si>
    <r>
      <t>VSL</t>
    </r>
    <r>
      <rPr>
        <b/>
        <vertAlign val="subscript"/>
        <sz val="11"/>
        <color rgb="FF183C1B"/>
        <rFont val="Times New Roman"/>
        <family val="1"/>
      </rPr>
      <t>m,T=1</t>
    </r>
  </si>
  <si>
    <t>create source data in sourcedata file</t>
  </si>
  <si>
    <t>Table_VST_j_m_T-2</t>
  </si>
  <si>
    <t>Volatile solids transferred from stage 1 to stage 2</t>
  </si>
  <si>
    <r>
      <t>VST</t>
    </r>
    <r>
      <rPr>
        <b/>
        <vertAlign val="subscript"/>
        <sz val="11"/>
        <color rgb="FF183C1B"/>
        <rFont val="Times New Roman"/>
        <family val="1"/>
      </rPr>
      <t>j=1,m,T=2</t>
    </r>
  </si>
  <si>
    <r>
      <t>VST</t>
    </r>
    <r>
      <rPr>
        <b/>
        <vertAlign val="subscript"/>
        <sz val="11"/>
        <color rgb="FF183C1B"/>
        <rFont val="Times New Roman"/>
        <family val="1"/>
      </rPr>
      <t>j=2,m,T=1</t>
    </r>
  </si>
  <si>
    <r>
      <t>VST</t>
    </r>
    <r>
      <rPr>
        <b/>
        <vertAlign val="subscript"/>
        <sz val="11"/>
        <color rgb="FF183C1B"/>
        <rFont val="Times New Roman"/>
        <family val="1"/>
      </rPr>
      <t>j=3,m,T=1</t>
    </r>
  </si>
  <si>
    <r>
      <t>VST</t>
    </r>
    <r>
      <rPr>
        <b/>
        <vertAlign val="subscript"/>
        <sz val="11"/>
        <color rgb="FF183C1B"/>
        <rFont val="Times New Roman"/>
        <family val="1"/>
      </rPr>
      <t>j=4,m,T=1</t>
    </r>
  </si>
  <si>
    <t>Add variation - temperature zone or state</t>
  </si>
  <si>
    <t>If temperature zone, use thatl. Otherwise use state</t>
  </si>
  <si>
    <t>ADD TEMP ZONE or change to 'temperature zone or state'</t>
  </si>
  <si>
    <t>Table_MMS_j_m_T-2</t>
  </si>
  <si>
    <t>Fraction of manure in each secondary system</t>
  </si>
  <si>
    <t>Housing</t>
  </si>
  <si>
    <t>Stage 2 management</t>
  </si>
  <si>
    <r>
      <t>MMS</t>
    </r>
    <r>
      <rPr>
        <b/>
        <vertAlign val="subscript"/>
        <sz val="11"/>
        <color rgb="FF183C1B"/>
        <rFont val="Times New Roman"/>
        <family val="1"/>
      </rPr>
      <t>j=1,m,T=2</t>
    </r>
  </si>
  <si>
    <r>
      <t>MMS</t>
    </r>
    <r>
      <rPr>
        <b/>
        <vertAlign val="subscript"/>
        <sz val="11"/>
        <color rgb="FF183C1B"/>
        <rFont val="Times New Roman"/>
        <family val="1"/>
      </rPr>
      <t>j=2,m,T=2</t>
    </r>
  </si>
  <si>
    <r>
      <t>MMS</t>
    </r>
    <r>
      <rPr>
        <b/>
        <vertAlign val="subscript"/>
        <sz val="11"/>
        <color rgb="FF183C1B"/>
        <rFont val="Times New Roman"/>
        <family val="1"/>
      </rPr>
      <t>j=3,m,T=2</t>
    </r>
  </si>
  <si>
    <r>
      <t>MMS</t>
    </r>
    <r>
      <rPr>
        <b/>
        <vertAlign val="subscript"/>
        <sz val="11"/>
        <color rgb="FF183C1B"/>
        <rFont val="Times New Roman"/>
        <family val="1"/>
      </rPr>
      <t>j=4,m,T=2</t>
    </r>
  </si>
  <si>
    <t>Table_MCF_i_m</t>
  </si>
  <si>
    <t>Methane conversion factor for state</t>
  </si>
  <si>
    <t>Add "No MMS" option</t>
  </si>
  <si>
    <t>N/A</t>
  </si>
  <si>
    <t>Table_M_i_j_m_T-2</t>
  </si>
  <si>
    <t>Production of methane for each MMS in stage 2</t>
  </si>
  <si>
    <r>
      <t>M</t>
    </r>
    <r>
      <rPr>
        <b/>
        <vertAlign val="subscript"/>
        <sz val="11"/>
        <color rgb="FF183C1B"/>
        <rFont val="Times New Roman"/>
        <family val="1"/>
      </rPr>
      <t>i,j=1,m,T=2</t>
    </r>
  </si>
  <si>
    <r>
      <t>M</t>
    </r>
    <r>
      <rPr>
        <b/>
        <vertAlign val="subscript"/>
        <sz val="11"/>
        <color rgb="FF183C1B"/>
        <rFont val="Times New Roman"/>
        <family val="1"/>
      </rPr>
      <t>i,j=2,m,T=2</t>
    </r>
  </si>
  <si>
    <r>
      <t>M</t>
    </r>
    <r>
      <rPr>
        <b/>
        <vertAlign val="subscript"/>
        <sz val="11"/>
        <color rgb="FF183C1B"/>
        <rFont val="Times New Roman"/>
        <family val="1"/>
      </rPr>
      <t>i,j=3,m,T=2</t>
    </r>
  </si>
  <si>
    <r>
      <t>M</t>
    </r>
    <r>
      <rPr>
        <b/>
        <vertAlign val="subscript"/>
        <sz val="11"/>
        <color rgb="FF183C1B"/>
        <rFont val="Times New Roman"/>
        <family val="1"/>
      </rPr>
      <t>i,j=4,m,T=2</t>
    </r>
  </si>
  <si>
    <t>Table_M_i_j_m_T-1</t>
  </si>
  <si>
    <t>Production of methane for each MMS in stage 1</t>
  </si>
  <si>
    <r>
      <t>M</t>
    </r>
    <r>
      <rPr>
        <b/>
        <vertAlign val="subscript"/>
        <sz val="11"/>
        <color rgb="FF183C1B"/>
        <rFont val="Times New Roman"/>
        <family val="1"/>
      </rPr>
      <t>ij=1,m,T=1</t>
    </r>
  </si>
  <si>
    <r>
      <t>M</t>
    </r>
    <r>
      <rPr>
        <b/>
        <vertAlign val="subscript"/>
        <sz val="11"/>
        <color rgb="FF183C1B"/>
        <rFont val="Times New Roman"/>
        <family val="1"/>
      </rPr>
      <t>ij=2,m,T=1</t>
    </r>
  </si>
  <si>
    <r>
      <t>M</t>
    </r>
    <r>
      <rPr>
        <b/>
        <vertAlign val="subscript"/>
        <sz val="11"/>
        <color rgb="FF183C1B"/>
        <rFont val="Times New Roman"/>
        <family val="1"/>
      </rPr>
      <t>ij=3,m,T=1</t>
    </r>
  </si>
  <si>
    <r>
      <t>M</t>
    </r>
    <r>
      <rPr>
        <b/>
        <vertAlign val="subscript"/>
        <sz val="11"/>
        <color rgb="FF183C1B"/>
        <rFont val="Times New Roman"/>
        <family val="1"/>
      </rPr>
      <t>ij=4,m,T=1</t>
    </r>
  </si>
  <si>
    <t>See table</t>
  </si>
  <si>
    <t>Table_M_m_j</t>
  </si>
  <si>
    <t>Production of methane for all MMS in stages 1 and 2</t>
  </si>
  <si>
    <r>
      <t>M</t>
    </r>
    <r>
      <rPr>
        <b/>
        <vertAlign val="subscript"/>
        <sz val="11"/>
        <color rgb="FF183C1B"/>
        <rFont val="Times New Roman"/>
        <family val="1"/>
      </rPr>
      <t>mj=1</t>
    </r>
  </si>
  <si>
    <r>
      <t>M</t>
    </r>
    <r>
      <rPr>
        <b/>
        <vertAlign val="subscript"/>
        <sz val="11"/>
        <color rgb="FF183C1B"/>
        <rFont val="Times New Roman"/>
        <family val="1"/>
      </rPr>
      <t>mj=2</t>
    </r>
  </si>
  <si>
    <r>
      <t>M</t>
    </r>
    <r>
      <rPr>
        <b/>
        <vertAlign val="subscript"/>
        <sz val="11"/>
        <color rgb="FF183C1B"/>
        <rFont val="Times New Roman"/>
        <family val="1"/>
      </rPr>
      <t>mj=3</t>
    </r>
  </si>
  <si>
    <r>
      <t>M</t>
    </r>
    <r>
      <rPr>
        <b/>
        <vertAlign val="subscript"/>
        <sz val="11"/>
        <color rgb="FF183C1B"/>
        <rFont val="Times New Roman"/>
        <family val="1"/>
      </rPr>
      <t>mj=4</t>
    </r>
  </si>
  <si>
    <t>Table_D_j</t>
  </si>
  <si>
    <t>Duration of stay of each class of swine</t>
  </si>
  <si>
    <r>
      <t>D</t>
    </r>
    <r>
      <rPr>
        <b/>
        <vertAlign val="subscript"/>
        <sz val="11"/>
        <color rgb="FF183C1B"/>
        <rFont val="Times New Roman"/>
        <family val="1"/>
      </rPr>
      <t>j=1</t>
    </r>
  </si>
  <si>
    <r>
      <t>D</t>
    </r>
    <r>
      <rPr>
        <b/>
        <vertAlign val="subscript"/>
        <sz val="11"/>
        <color rgb="FF183C1B"/>
        <rFont val="Times New Roman"/>
        <family val="1"/>
      </rPr>
      <t>j=2</t>
    </r>
  </si>
  <si>
    <r>
      <t>D</t>
    </r>
    <r>
      <rPr>
        <b/>
        <vertAlign val="subscript"/>
        <sz val="11"/>
        <color rgb="FF183C1B"/>
        <rFont val="Times New Roman"/>
        <family val="1"/>
      </rPr>
      <t>j=3</t>
    </r>
  </si>
  <si>
    <r>
      <t>D</t>
    </r>
    <r>
      <rPr>
        <b/>
        <vertAlign val="subscript"/>
        <sz val="11"/>
        <color rgb="FF183C1B"/>
        <rFont val="Times New Roman"/>
        <family val="1"/>
      </rPr>
      <t>j=4</t>
    </r>
  </si>
  <si>
    <t>Table_N_j</t>
  </si>
  <si>
    <t>Number of head for each swine class</t>
  </si>
  <si>
    <t>Table_E_CH4_monthly</t>
  </si>
  <si>
    <t>Monthly methane emissions from manure management</t>
  </si>
  <si>
    <t>ECH4</t>
  </si>
  <si>
    <t>Manure management systems</t>
  </si>
  <si>
    <t>Stage 1 MMS</t>
  </si>
  <si>
    <t>Total sent to all MMS (Must equal 100%)</t>
  </si>
  <si>
    <t>Stage 2 MMS</t>
  </si>
  <si>
    <t>Solid separation from stage 1 MMS</t>
  </si>
  <si>
    <t>Were solids separated? (select)</t>
  </si>
  <si>
    <t>Percent separated (Method 1)</t>
  </si>
  <si>
    <t>Percent separated (Method 2)</t>
  </si>
  <si>
    <t>This tool demostrates inputs for one production system.</t>
  </si>
  <si>
    <t>Because the type of production system is not relevant in emissions calculations, you can select any kind.</t>
  </si>
  <si>
    <t>Add OR statement if any solids were separated</t>
  </si>
  <si>
    <t>Destination after stage 2 MMS (Percent)</t>
  </si>
  <si>
    <t>Sold</t>
  </si>
  <si>
    <t>Fert for own farm (eg crop)</t>
  </si>
  <si>
    <t>Direct application to soil</t>
  </si>
  <si>
    <t>▼</t>
  </si>
  <si>
    <t>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</si>
</sst>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</numFmts>
  <fonts count="65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vertAlign val="subscript"/>
      <sz val="16"/>
      <color theme="1" tint="0.24994659260841701"/>
      <name val="Times New Roman"/>
      <family val="1"/>
    </font>
    <font>
      <b/>
      <vertAlign val="subscript"/>
      <sz val="12"/>
      <color theme="1" tint="0.24994659260841701"/>
      <name val="Times New Roman"/>
      <family val="1"/>
    </font>
    <font>
      <b/>
      <sz val="20"/>
      <color theme="4" tint="-0.249977111117893"/>
      <name val="Times New Roman"/>
      <family val="1"/>
    </font>
    <font>
      <b/>
      <sz val="11"/>
      <color theme="5" tint="-0.499984740745262"/>
      <name val="Times New Roman"/>
      <family val="1"/>
      <scheme val="minor"/>
    </font>
    <font>
      <b/>
      <sz val="12"/>
      <color theme="1" tint="0.499984740745262"/>
      <name val="Times New Roman"/>
      <family val="1"/>
    </font>
    <font>
      <sz val="10"/>
      <color theme="1" tint="0.499984740745262"/>
      <name val="Times New Roman"/>
      <family val="1"/>
    </font>
    <font>
      <b/>
      <sz val="10"/>
      <color theme="1" tint="0.34998626667073579"/>
      <name val="Times New Roman"/>
      <family val="1"/>
    </font>
    <font>
      <b/>
      <sz val="22"/>
      <color theme="5" tint="-0.499984740745262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</borders>
  <cellStyleXfs count="65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6" fillId="13" borderId="8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5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49" fillId="4" borderId="0">
      <alignment horizontal="left" vertical="center"/>
    </xf>
    <xf numFmtId="0" fontId="50" fillId="4" borderId="0">
      <alignment horizontal="left" vertical="center"/>
    </xf>
    <xf numFmtId="0" fontId="56" fillId="4" borderId="0">
      <alignment horizontal="left" vertical="center"/>
    </xf>
    <xf numFmtId="0" fontId="48" fillId="11" borderId="0">
      <alignment horizontal="center" vertical="center"/>
    </xf>
    <xf numFmtId="0" fontId="22" fillId="11" borderId="0">
      <alignment horizontal="left" vertical="center" indent="1"/>
    </xf>
  </cellStyleXfs>
  <cellXfs count="139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46" fillId="13" borderId="8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35" fillId="4" borderId="6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5" fillId="0" borderId="0" xfId="35" applyFont="1">
      <alignment horizontal="left" vertical="center" indent="1"/>
    </xf>
    <xf numFmtId="0" fontId="11" fillId="0" borderId="0" xfId="33"/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6" fillId="13" borderId="10" xfId="41" applyBorder="1">
      <alignment horizontal="left" vertical="center"/>
    </xf>
    <xf numFmtId="0" fontId="46" fillId="13" borderId="12" xfId="41" applyBorder="1">
      <alignment horizontal="left" vertical="center"/>
    </xf>
    <xf numFmtId="0" fontId="46" fillId="13" borderId="14" xfId="41" applyBorder="1">
      <alignment horizontal="left" vertical="center"/>
    </xf>
    <xf numFmtId="0" fontId="46" fillId="13" borderId="13" xfId="41" applyBorder="1">
      <alignment horizontal="left" vertical="center"/>
    </xf>
    <xf numFmtId="0" fontId="46" fillId="13" borderId="15" xfId="41" applyBorder="1">
      <alignment horizontal="left" vertical="center"/>
    </xf>
    <xf numFmtId="0" fontId="46" fillId="13" borderId="17" xfId="41" applyBorder="1">
      <alignment horizontal="left" vertical="center"/>
    </xf>
    <xf numFmtId="0" fontId="46" fillId="13" borderId="11" xfId="41" applyBorder="1">
      <alignment horizontal="left" vertical="center"/>
    </xf>
    <xf numFmtId="0" fontId="46" fillId="13" borderId="16" xfId="41" applyBorder="1">
      <alignment horizontal="left" vertical="center"/>
    </xf>
    <xf numFmtId="0" fontId="46" fillId="13" borderId="18" xfId="41" applyBorder="1">
      <alignment horizontal="left" vertical="center"/>
    </xf>
    <xf numFmtId="0" fontId="47" fillId="13" borderId="9" xfId="41" applyFont="1" applyBorder="1">
      <alignment horizontal="left" vertical="center"/>
    </xf>
    <xf numFmtId="9" fontId="35" fillId="4" borderId="2" xfId="14" applyFont="1" applyFill="1" applyBorder="1" applyAlignment="1">
      <alignment horizontal="center" vertical="center"/>
    </xf>
    <xf numFmtId="0" fontId="50" fillId="4" borderId="0" xfId="61">
      <alignment horizontal="left" vertical="center"/>
    </xf>
    <xf numFmtId="0" fontId="49" fillId="4" borderId="0" xfId="60">
      <alignment horizontal="left" vertical="center"/>
    </xf>
    <xf numFmtId="0" fontId="35" fillId="4" borderId="19" xfId="55" applyBorder="1" applyAlignment="1">
      <alignment horizontal="left" vertical="center"/>
    </xf>
    <xf numFmtId="0" fontId="51" fillId="4" borderId="1" xfId="8" applyFont="1" applyBorder="1">
      <alignment horizontal="left" vertical="center"/>
    </xf>
    <xf numFmtId="0" fontId="52" fillId="4" borderId="1" xfId="8" applyFont="1" applyBorder="1">
      <alignment horizontal="left" vertical="center"/>
    </xf>
    <xf numFmtId="0" fontId="53" fillId="4" borderId="1" xfId="56" applyFont="1" applyBorder="1">
      <alignment horizontal="left" vertical="center"/>
    </xf>
    <xf numFmtId="0" fontId="35" fillId="4" borderId="19" xfId="55" applyBorder="1">
      <alignment horizontal="center" vertical="center"/>
    </xf>
    <xf numFmtId="0" fontId="6" fillId="4" borderId="1" xfId="56" applyBorder="1">
      <alignment horizontal="left" vertical="center"/>
    </xf>
    <xf numFmtId="0" fontId="56" fillId="4" borderId="0" xfId="62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6" xfId="55" applyBorder="1" applyAlignment="1">
      <alignment vertical="center"/>
    </xf>
    <xf numFmtId="0" fontId="35" fillId="4" borderId="7" xfId="55" applyBorder="1" applyAlignment="1">
      <alignment vertical="center"/>
    </xf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48" fillId="11" borderId="0" xfId="63">
      <alignment horizontal="center" vertical="center"/>
    </xf>
    <xf numFmtId="0" fontId="59" fillId="0" borderId="0" xfId="2" applyFont="1"/>
    <xf numFmtId="0" fontId="35" fillId="4" borderId="19" xfId="55" applyBorder="1" applyAlignment="1">
      <alignment vertical="center"/>
    </xf>
    <xf numFmtId="0" fontId="46" fillId="13" borderId="20" xfId="41" applyBorder="1">
      <alignment horizontal="left" vertical="center"/>
    </xf>
    <xf numFmtId="0" fontId="60" fillId="6" borderId="0" xfId="30" applyFont="1" applyProtection="1">
      <alignment horizontal="center" vertical="center"/>
    </xf>
    <xf numFmtId="0" fontId="13" fillId="6" borderId="0" xfId="30">
      <alignment horizontal="center" vertical="center"/>
      <protection locked="0"/>
    </xf>
    <xf numFmtId="0" fontId="0" fillId="0" borderId="0" xfId="1" applyFont="1" applyFill="1">
      <alignment horizontal="left" vertical="center" indent="1"/>
      <protection locked="0"/>
    </xf>
    <xf numFmtId="0" fontId="61" fillId="4" borderId="0" xfId="8" applyFont="1">
      <alignment horizontal="left" vertical="center"/>
    </xf>
    <xf numFmtId="0" fontId="62" fillId="4" borderId="0" xfId="8" applyFont="1">
      <alignment horizontal="left" vertical="center"/>
    </xf>
    <xf numFmtId="0" fontId="35" fillId="4" borderId="6" xfId="55" applyBorder="1">
      <alignment horizontal="center" vertical="center"/>
    </xf>
    <xf numFmtId="0" fontId="6" fillId="14" borderId="0" xfId="12" applyFill="1">
      <alignment horizontal="left" vertical="center" indent="1"/>
    </xf>
    <xf numFmtId="0" fontId="63" fillId="4" borderId="2" xfId="55" applyFont="1" applyAlignment="1">
      <alignment horizontal="left" vertical="center"/>
    </xf>
    <xf numFmtId="3" fontId="35" fillId="4" borderId="2" xfId="55" applyNumberFormat="1">
      <alignment horizontal="center" vertical="center"/>
    </xf>
    <xf numFmtId="0" fontId="40" fillId="4" borderId="0" xfId="8" applyAlignment="1">
      <alignment horizontal="left" vertical="center" indent="3"/>
    </xf>
    <xf numFmtId="0" fontId="42" fillId="4" borderId="0" xfId="8" applyFont="1" applyAlignment="1">
      <alignment horizontal="left" vertical="center" indent="3"/>
    </xf>
    <xf numFmtId="0" fontId="40" fillId="4" borderId="0" xfId="8" applyAlignment="1">
      <alignment horizontal="left" vertical="center" indent="6"/>
    </xf>
    <xf numFmtId="0" fontId="13" fillId="6" borderId="0" xfId="29" applyAlignment="1">
      <alignment horizontal="left" vertical="center" indent="3"/>
    </xf>
    <xf numFmtId="0" fontId="60" fillId="6" borderId="0" xfId="30" applyFont="1" applyAlignment="1" applyProtection="1">
      <alignment horizontal="left" vertical="center"/>
    </xf>
    <xf numFmtId="0" fontId="13" fillId="6" borderId="0" xfId="29" applyAlignment="1">
      <alignment horizontal="left" vertical="center" indent="6"/>
    </xf>
    <xf numFmtId="0" fontId="42" fillId="4" borderId="0" xfId="8" applyFont="1" applyAlignment="1">
      <alignment horizontal="left" vertical="center" indent="9"/>
    </xf>
    <xf numFmtId="0" fontId="40" fillId="4" borderId="0" xfId="8" applyAlignment="1">
      <alignment horizontal="left" vertical="center" indent="9"/>
    </xf>
    <xf numFmtId="0" fontId="40" fillId="4" borderId="0" xfId="8" applyAlignment="1">
      <alignment horizontal="center" vertical="center"/>
    </xf>
    <xf numFmtId="0" fontId="64" fillId="4" borderId="0" xfId="62" applyFont="1" applyAlignment="1">
      <alignment horizontal="left" vertical="center" indent="6"/>
    </xf>
    <xf numFmtId="0" fontId="64" fillId="4" borderId="0" xfId="62" applyFont="1" applyAlignment="1">
      <alignment horizontal="left" vertical="center" indent="2"/>
    </xf>
    <xf numFmtId="0" fontId="64" fillId="4" borderId="0" xfId="62" applyFont="1">
      <alignment horizontal="left" vertical="center"/>
    </xf>
  </cellXfs>
  <cellStyles count="65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88"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87"/>
      <tableStyleElement type="headerRow" dxfId="86"/>
      <tableStyleElement type="totalRow" dxfId="85"/>
      <tableStyleElement type="firstColumn" dxfId="84"/>
      <tableStyleElement type="firstRowStripe" dxfId="83"/>
      <tableStyleElement type="secondRowStripe" dxfId="82"/>
    </tableStyle>
    <tableStyle name="Equation table" pivot="0" count="6" xr9:uid="{B247698E-E41D-4CCD-AA0A-C14817E9DE65}">
      <tableStyleElement type="wholeTable" dxfId="81"/>
      <tableStyleElement type="headerRow" dxfId="80"/>
      <tableStyleElement type="totalRow" dxfId="79"/>
      <tableStyleElement type="firstColumn" dxfId="78"/>
      <tableStyleElement type="firstRowStripe" dxfId="77"/>
      <tableStyleElement type="secondRowStripe" dxfId="76"/>
    </tableStyle>
    <tableStyle name="Table Style 1" pivot="0" count="0" xr9:uid="{97B370DB-5463-4A31-9160-5A96BD6A559D}"/>
  </tableStyles>
  <colors>
    <mruColors>
      <color rgb="FFC44340"/>
      <color rgb="FF0C769E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microsoft.com/office/2017/06/relationships/rdRichValueTypes" Target="richData/rdRichValueTypes.xml"/><Relationship Id="rId27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9525</xdr:colOff>
      <xdr:row>76</xdr:row>
      <xdr:rowOff>219075</xdr:rowOff>
    </xdr:from>
    <xdr:ext cx="2945165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A3B6995-DA2B-4A6B-B72E-9F495168D74D}"/>
                </a:ext>
              </a:extLst>
            </xdr:cNvPr>
            <xdr:cNvSpPr txBox="1"/>
          </xdr:nvSpPr>
          <xdr:spPr>
            <a:xfrm>
              <a:off x="2686050" y="19173825"/>
              <a:ext cx="294516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𝑉𝑆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𝑉𝑆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A3B6995-DA2B-4A6B-B72E-9F495168D74D}"/>
                </a:ext>
              </a:extLst>
            </xdr:cNvPr>
            <xdr:cNvSpPr txBox="1"/>
          </xdr:nvSpPr>
          <xdr:spPr>
            <a:xfrm>
              <a:off x="2686050" y="19173825"/>
              <a:ext cx="294516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𝑉𝑆𝑇_(𝑖𝑗𝑚,𝑇=2)=𝑉𝑆_𝑗×𝐹𝑉𝑆_(𝑗𝑚,𝑇=1)×(1−𝑉𝑆𝐿_(𝑚,𝑇=1)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117</xdr:row>
      <xdr:rowOff>119062</xdr:rowOff>
    </xdr:from>
    <xdr:ext cx="3358483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41C9D90-28C6-427F-B03E-AB27D8998AD6}"/>
                </a:ext>
              </a:extLst>
            </xdr:cNvPr>
            <xdr:cNvSpPr txBox="1"/>
          </xdr:nvSpPr>
          <xdr:spPr>
            <a:xfrm>
              <a:off x="2652712" y="29227462"/>
              <a:ext cx="335848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𝑉𝑆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41C9D90-28C6-427F-B03E-AB27D8998AD6}"/>
                </a:ext>
              </a:extLst>
            </xdr:cNvPr>
            <xdr:cNvSpPr txBox="1"/>
          </xdr:nvSpPr>
          <xdr:spPr>
            <a:xfrm>
              <a:off x="2652712" y="29227462"/>
              <a:ext cx="335848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𝑀_(𝑖𝑗𝑚,𝑇=2)=𝑉𝑆𝑇_(𝑗𝑚,𝑇=2)×𝐵𝑂×𝑀𝑀𝑆_(𝑗𝑚,𝑇=2)×𝑀𝐶𝐹_𝑖𝑚×𝜌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9</xdr:row>
      <xdr:rowOff>152400</xdr:rowOff>
    </xdr:from>
    <xdr:ext cx="2277931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144D6FD-6FA9-430E-87ED-4FA92346A0C7}"/>
                </a:ext>
              </a:extLst>
            </xdr:cNvPr>
            <xdr:cNvSpPr txBox="1"/>
          </xdr:nvSpPr>
          <xdr:spPr>
            <a:xfrm>
              <a:off x="2681287" y="2514600"/>
              <a:ext cx="2277931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144D6FD-6FA9-430E-87ED-4FA92346A0C7}"/>
                </a:ext>
              </a:extLst>
            </xdr:cNvPr>
            <xdr:cNvSpPr txBox="1"/>
          </xdr:nvSpPr>
          <xdr:spPr>
            <a:xfrm>
              <a:off x="2681287" y="2514600"/>
              <a:ext cx="2277931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𝐹𝑉𝑆_(𝑗𝑚,𝑇=1)=𝑀𝑀𝑆_(𝑗𝑚,𝑇=1)×(1−𝑆𝑆_𝑚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5322</xdr:colOff>
      <xdr:row>46</xdr:row>
      <xdr:rowOff>80122</xdr:rowOff>
    </xdr:from>
    <xdr:ext cx="3518720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A8A8583-DF6F-4955-AF42-FE3EDAA835E4}"/>
                </a:ext>
              </a:extLst>
            </xdr:cNvPr>
            <xdr:cNvSpPr txBox="1"/>
          </xdr:nvSpPr>
          <xdr:spPr>
            <a:xfrm>
              <a:off x="2681847" y="11605372"/>
              <a:ext cx="3518720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=1,7,9,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>
                <a:solidFill>
                  <a:srgbClr val="C00000"/>
                </a:solidFill>
              </a:endParaRPr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A8A8583-DF6F-4955-AF42-FE3EDAA835E4}"/>
                </a:ext>
              </a:extLst>
            </xdr:cNvPr>
            <xdr:cNvSpPr txBox="1"/>
          </xdr:nvSpPr>
          <xdr:spPr>
            <a:xfrm>
              <a:off x="2681847" y="11605372"/>
              <a:ext cx="3518720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𝐹𝑉𝑆_(𝑗,𝑚=4,𝑇=1)=𝑀𝑀𝑆_(𝑗,𝑚=4,𝑇=1)+(𝑀𝑀𝑆_(𝑗,𝑚=1,7,9,𝑇=1)×𝑆𝑆_𝑚 )</a:t>
              </a:r>
              <a:endParaRPr lang="en-AU" sz="1100">
                <a:solidFill>
                  <a:srgbClr val="C00000"/>
                </a:solidFill>
              </a:endParaRPr>
            </a:p>
          </xdr:txBody>
        </xdr:sp>
      </mc:Fallback>
    </mc:AlternateContent>
    <xdr:clientData/>
  </xdr:oneCellAnchor>
  <xdr:oneCellAnchor>
    <xdr:from>
      <xdr:col>3</xdr:col>
      <xdr:colOff>33337</xdr:colOff>
      <xdr:row>183</xdr:row>
      <xdr:rowOff>0</xdr:rowOff>
    </xdr:from>
    <xdr:ext cx="2904193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AF2FF1F-FC70-483C-980C-349CDA55527D}"/>
                </a:ext>
              </a:extLst>
            </xdr:cNvPr>
            <xdr:cNvSpPr txBox="1"/>
          </xdr:nvSpPr>
          <xdr:spPr>
            <a:xfrm>
              <a:off x="2709862" y="45453300"/>
              <a:ext cx="290419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AF2FF1F-FC70-483C-980C-349CDA55527D}"/>
                </a:ext>
              </a:extLst>
            </xdr:cNvPr>
            <xdr:cNvSpPr txBox="1"/>
          </xdr:nvSpPr>
          <xdr:spPr>
            <a:xfrm>
              <a:off x="2709862" y="45453300"/>
              <a:ext cx="290419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𝑀_(𝑖𝑗𝑚,𝑇=1)=𝑉𝑆_𝑗×𝐹𝑉𝑆_(𝑗𝑚,𝑇=1)×𝑀𝐶𝐹_𝑖𝑚×𝐵𝑂×𝜌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285908</xdr:colOff>
      <xdr:row>210</xdr:row>
      <xdr:rowOff>18270</xdr:rowOff>
    </xdr:from>
    <xdr:ext cx="1253035" cy="41075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B8182C9-EABC-4A69-B2F2-5576F1638B12}"/>
                </a:ext>
              </a:extLst>
            </xdr:cNvPr>
            <xdr:cNvSpPr txBox="1"/>
          </xdr:nvSpPr>
          <xdr:spPr>
            <a:xfrm>
              <a:off x="2648108" y="52158120"/>
              <a:ext cx="1253035" cy="4107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  <m:sup/>
                          <m:e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𝑗𝑚𝑇</m:t>
                                </m:r>
                              </m:sub>
                            </m:sSub>
                          </m:e>
                        </m:nary>
                        <m:r>
                          <a:rPr lang="en-AU" sz="1100" b="0" i="1">
                            <a:latin typeface="Cambria Math" panose="02040503050406030204" pitchFamily="18" charset="0"/>
                          </a:rPr>
                          <m:t> </m:t>
                        </m:r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B8182C9-EABC-4A69-B2F2-5576F1638B12}"/>
                </a:ext>
              </a:extLst>
            </xdr:cNvPr>
            <xdr:cNvSpPr txBox="1"/>
          </xdr:nvSpPr>
          <xdr:spPr>
            <a:xfrm>
              <a:off x="2648108" y="52158120"/>
              <a:ext cx="1253035" cy="4107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𝑀_𝑚𝑗=∑_𝑚</a:t>
              </a:r>
              <a:r>
                <a:rPr lang="en-AU" sz="1100" b="0" i="0">
                  <a:latin typeface="Cambria Math" panose="02040503050406030204" pitchFamily="18" charset="0"/>
                </a:rPr>
                <a:t>▒〖∑_</a:t>
              </a:r>
              <a:r>
                <a:rPr lang="en-AU" sz="1100" i="0">
                  <a:latin typeface="Cambria Math" panose="02040503050406030204" pitchFamily="18" charset="0"/>
                </a:rPr>
                <a:t>𝑇▒𝑀_𝑗𝑚𝑇 </a:t>
              </a:r>
              <a:r>
                <a:rPr lang="en-AU" sz="1100" b="0" i="0">
                  <a:latin typeface="Cambria Math" panose="02040503050406030204" pitchFamily="18" charset="0"/>
                </a:rPr>
                <a:t>  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271462</xdr:colOff>
      <xdr:row>229</xdr:row>
      <xdr:rowOff>142875</xdr:rowOff>
    </xdr:from>
    <xdr:ext cx="2142701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675177A-4B40-4E29-869B-18762124A3E6}"/>
                </a:ext>
              </a:extLst>
            </xdr:cNvPr>
            <xdr:cNvSpPr txBox="1"/>
          </xdr:nvSpPr>
          <xdr:spPr>
            <a:xfrm>
              <a:off x="2633662" y="56988075"/>
              <a:ext cx="2142701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𝐷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𝑚𝑗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𝑁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</m:sSub>
                          </m:e>
                        </m:d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675177A-4B40-4E29-869B-18762124A3E6}"/>
                </a:ext>
              </a:extLst>
            </xdr:cNvPr>
            <xdr:cNvSpPr txBox="1"/>
          </xdr:nvSpPr>
          <xdr:spPr>
            <a:xfrm>
              <a:off x="2633662" y="56988075"/>
              <a:ext cx="2142701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𝐸_𝐶𝐻4=∑_𝑗▒(𝐷_𝑗×𝑀_𝑚𝑗×𝑁_𝑗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</xdr:colOff>
      <xdr:row>7</xdr:row>
      <xdr:rowOff>47625</xdr:rowOff>
    </xdr:from>
    <xdr:ext cx="79733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7F77F64B-57DD-4670-CAAE-7FB1F2DD530E}"/>
                </a:ext>
              </a:extLst>
            </xdr:cNvPr>
            <xdr:cNvSpPr txBox="1"/>
          </xdr:nvSpPr>
          <xdr:spPr>
            <a:xfrm>
              <a:off x="2681287" y="1914525"/>
              <a:ext cx="79733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𝑍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</m:num>
                      <m:den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𝑆𝑅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7F77F64B-57DD-4670-CAAE-7FB1F2DD530E}"/>
                </a:ext>
              </a:extLst>
            </xdr:cNvPr>
            <xdr:cNvSpPr txBox="1"/>
          </xdr:nvSpPr>
          <xdr:spPr>
            <a:xfrm>
              <a:off x="2681287" y="1914525"/>
              <a:ext cx="79733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𝑍_𝑗𝑘𝑙=𝑊_𝑗𝑘𝑙/(𝑆𝑅𝑊_𝑘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42</xdr:row>
      <xdr:rowOff>38100</xdr:rowOff>
    </xdr:from>
    <xdr:ext cx="3303853" cy="4265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5A058CEC-33A7-35FA-5853-766C7B1F9F51}"/>
                </a:ext>
              </a:extLst>
            </xdr:cNvPr>
            <xdr:cNvSpPr txBox="1"/>
          </xdr:nvSpPr>
          <xdr:spPr>
            <a:xfrm>
              <a:off x="2652712" y="10572750"/>
              <a:ext cx="3303853" cy="4265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</m:num>
                      <m:den>
                        <m:sSup>
                          <m:sSup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1.185+0.00454×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𝑊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𝑗𝑘𝑙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−0.0000026×</m:t>
                                </m:r>
                                <m:sSubSup>
                                  <m:sSubSup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𝑊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𝑗𝑘𝑙</m:t>
                                    </m:r>
                                  </m:sub>
                                  <m:sup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e>
                            </m:d>
                          </m:e>
                          <m:sup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5A058CEC-33A7-35FA-5853-766C7B1F9F51}"/>
                </a:ext>
              </a:extLst>
            </xdr:cNvPr>
            <xdr:cNvSpPr txBox="1"/>
          </xdr:nvSpPr>
          <xdr:spPr>
            <a:xfrm>
              <a:off x="2652712" y="10572750"/>
              <a:ext cx="3303853" cy="4265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𝐿_𝑗𝑘𝑙=𝐼_𝑗𝑘𝑙/(1.185+0.00454×𝑊_𝑗𝑘𝑙−0.0000026×𝑊_𝑗𝑘𝑙^2 )^2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7</xdr:col>
      <xdr:colOff>490537</xdr:colOff>
      <xdr:row>72</xdr:row>
      <xdr:rowOff>161925</xdr:rowOff>
    </xdr:from>
    <xdr:ext cx="2458815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D09F3638-EFF8-AB8B-E07E-46FE6C7466E8}"/>
                </a:ext>
              </a:extLst>
            </xdr:cNvPr>
            <xdr:cNvSpPr txBox="1"/>
          </xdr:nvSpPr>
          <xdr:spPr>
            <a:xfrm>
              <a:off x="11358562" y="17878425"/>
              <a:ext cx="245881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ORIGINAL</m:t>
                    </m:r>
                    <m: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: 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𝐿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𝐷𝑀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D09F3638-EFF8-AB8B-E07E-46FE6C7466E8}"/>
                </a:ext>
              </a:extLst>
            </xdr:cNvPr>
            <xdr:cNvSpPr txBox="1"/>
          </xdr:nvSpPr>
          <xdr:spPr>
            <a:xfrm>
              <a:off x="11358562" y="17878425"/>
              <a:ext cx="245881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b="0" i="0">
                  <a:solidFill>
                    <a:srgbClr val="C44340"/>
                  </a:solidFill>
                  <a:latin typeface="Cambria Math" panose="02040503050406030204" pitchFamily="18" charset="0"/>
                </a:rPr>
                <a:t>ORIGINAL: </a:t>
              </a:r>
              <a:r>
                <a:rPr lang="en-AU" sz="1100" i="0">
                  <a:latin typeface="Cambria Math" panose="02040503050406030204" pitchFamily="18" charset="0"/>
                </a:rPr>
                <a:t>𝑀𝑃_(𝑗𝑘=5)=𝐿𝐶_(𝑗𝑘=5)×𝐷𝑀𝑃_(𝑗𝑘=5)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72</xdr:row>
      <xdr:rowOff>152400</xdr:rowOff>
    </xdr:from>
    <xdr:ext cx="4483022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57AAE539-5E0A-2DC4-BCB9-9CA6E3134616}"/>
                </a:ext>
              </a:extLst>
            </xdr:cNvPr>
            <xdr:cNvSpPr txBox="1"/>
          </xdr:nvSpPr>
          <xdr:spPr>
            <a:xfrm>
              <a:off x="2681287" y="17868900"/>
              <a:ext cx="448302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𝑐𝑢𝑟𝑟𝑒𝑛𝑡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𝑐𝑎𝑙𝑣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𝑝𝑟𝑒𝑣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𝑎𝑓𝑡𝑒𝑟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57AAE539-5E0A-2DC4-BCB9-9CA6E3134616}"/>
                </a:ext>
              </a:extLst>
            </xdr:cNvPr>
            <xdr:cNvSpPr txBox="1"/>
          </xdr:nvSpPr>
          <xdr:spPr>
            <a:xfrm>
              <a:off x="2681287" y="17868900"/>
              <a:ext cx="448302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𝑀𝑃_(𝑗𝑘=5)=(𝐿𝐶_(𝑗𝑘=5,𝑐𝑢𝑟𝑟𝑒𝑛𝑡)×𝐷𝑀𝑃_(𝑗𝑘=5,𝑐𝑎𝑙𝑣) )+(𝐿𝐶_(𝑗𝑘=5,𝑝𝑟𝑒𝑣)×𝐷𝑀𝑃_(𝑗𝑘=5,𝑎𝑓𝑡𝑒𝑟)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282388</xdr:colOff>
      <xdr:row>104</xdr:row>
      <xdr:rowOff>47066</xdr:rowOff>
    </xdr:from>
    <xdr:ext cx="7589001" cy="5404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BE535B94-C413-5D65-DEC7-F06F3390788B}"/>
                </a:ext>
              </a:extLst>
            </xdr:cNvPr>
            <xdr:cNvSpPr txBox="1"/>
          </xdr:nvSpPr>
          <xdr:spPr>
            <a:xfrm>
              <a:off x="2648984" y="26086951"/>
              <a:ext cx="7589001" cy="5404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0.032×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÷6.38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begChr m:val="{"/>
                        <m:endChr m:val="}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0.212−0.008×</m:t>
                            </m:r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𝐿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𝑗𝑘𝑙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−2</m:t>
                                </m:r>
                              </m:e>
                            </m:d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d>
                              <m:dPr>
                                <m:begChr m:val="["/>
                                <m:endChr m:val="]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0.140−0.008×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𝐿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𝑗𝑘𝑙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−2</m:t>
                                        </m:r>
                                      </m:e>
                                    </m:d>
                                  </m:num>
                                  <m:den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sSup>
                                      <m:sSup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d>
                                          <m:d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d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−6×</m:t>
                                            </m:r>
                                            <m:d>
                                              <m:dPr>
                                                <m:ctrlPr>
                                                  <a:rPr lang="en-AU" sz="1100" i="1">
                                                    <a:latin typeface="Cambria Math" panose="02040503050406030204" pitchFamily="18" charset="0"/>
                                                  </a:rPr>
                                                </m:ctrlPr>
                                              </m:dPr>
                                              <m:e>
                                                <m:sSub>
                                                  <m:sSubPr>
                                                    <m:ctrlPr>
                                                      <a:rPr lang="en-AU" sz="1100" i="1">
                                                        <a:latin typeface="Cambria Math" panose="02040503050406030204" pitchFamily="18" charset="0"/>
                                                      </a:rPr>
                                                    </m:ctrlPr>
                                                  </m:sSubPr>
                                                  <m:e>
                                                    <m:r>
                                                      <a:rPr lang="en-AU" sz="1100" i="1">
                                                        <a:latin typeface="Cambria Math" panose="02040503050406030204" pitchFamily="18" charset="0"/>
                                                      </a:rPr>
                                                      <m:t>𝑍</m:t>
                                                    </m:r>
                                                  </m:e>
                                                  <m:sub>
                                                    <m:r>
                                                      <a:rPr lang="en-AU" sz="1100" i="1">
                                                        <a:latin typeface="Cambria Math" panose="02040503050406030204" pitchFamily="18" charset="0"/>
                                                      </a:rPr>
                                                      <m:t>𝑗𝑘𝑙</m:t>
                                                    </m:r>
                                                  </m:sub>
                                                </m:sSub>
                                                <m:r>
                                                  <a:rPr lang="en-AU" sz="1100" i="1">
                                                    <a:latin typeface="Cambria Math" panose="02040503050406030204" pitchFamily="18" charset="0"/>
                                                  </a:rPr>
                                                  <m:t>−0.4</m:t>
                                                </m:r>
                                              </m:e>
                                            </m:d>
                                          </m:e>
                                        </m:d>
                                      </m:sup>
                                    </m:sSup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𝐿𝑊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𝐺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×0.92</m:t>
                            </m:r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÷6.25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BE535B94-C413-5D65-DEC7-F06F3390788B}"/>
                </a:ext>
              </a:extLst>
            </xdr:cNvPr>
            <xdr:cNvSpPr txBox="1"/>
          </xdr:nvSpPr>
          <xdr:spPr>
            <a:xfrm>
              <a:off x="2648984" y="26086951"/>
              <a:ext cx="7589001" cy="5404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𝑁𝑅_𝑗𝑘𝑙=(0.032×𝑀𝑃_(𝑗𝑘=5)÷6.38)+{{0.212−0.008×(𝐿_𝑗𝑘𝑙−2)−[(0.140−0.008×(𝐿_𝑗𝑘𝑙−2))/(1+𝑒^((−6×(𝑍_𝑗𝑘𝑙−0.4)) ) )]}×(𝐿𝑊𝐺_𝑗𝑘𝑙×0.92)}÷6.25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300037</xdr:colOff>
      <xdr:row>136</xdr:row>
      <xdr:rowOff>142875</xdr:rowOff>
    </xdr:from>
    <xdr:ext cx="5991640" cy="2012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3F68C54-1CE4-505D-F4DB-E938F689AB7D}"/>
                </a:ext>
              </a:extLst>
            </xdr:cNvPr>
            <xdr:cNvSpPr txBox="1"/>
          </xdr:nvSpPr>
          <xdr:spPr>
            <a:xfrm>
              <a:off x="2662237" y="33956625"/>
              <a:ext cx="5991640" cy="2012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÷6.25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0.032×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=1,3,6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÷6.38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d>
                      <m:dPr>
                        <m:begChr m:val="["/>
                        <m:endChr m:val="]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1.1×</m:t>
                            </m:r>
                            <m:sSup>
                              <m:sSup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10</m:t>
                                </m:r>
                              </m:e>
                              <m:sup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−4</m:t>
                                </m:r>
                              </m:sup>
                            </m:sSup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Sup>
                              <m:sSubSup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  <m:sup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0.75</m:t>
                                </m:r>
                              </m:sup>
                            </m:sSubSup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÷6.25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3F68C54-1CE4-505D-F4DB-E938F689AB7D}"/>
                </a:ext>
              </a:extLst>
            </xdr:cNvPr>
            <xdr:cNvSpPr txBox="1"/>
          </xdr:nvSpPr>
          <xdr:spPr>
            <a:xfrm>
              <a:off x="2662237" y="33956625"/>
              <a:ext cx="5991640" cy="2012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𝑁𝐸_𝑗𝑘𝑙=(𝐼_𝑗𝑘𝑙×𝐶𝑃_𝑗÷6.25)+(0.032×𝑀𝐶_(𝑗𝑘=1,3,6)÷6.38)−𝑁𝑅_𝑗𝑘𝑙−[(1.1×10^(−4)×𝑊_𝑗𝑘𝑙^0.75 )÷6.25]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176</xdr:row>
      <xdr:rowOff>38100</xdr:rowOff>
    </xdr:from>
    <xdr:ext cx="2164952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EB72FD8E-81E4-5978-0605-3B10D357366A}"/>
                </a:ext>
              </a:extLst>
            </xdr:cNvPr>
            <xdr:cNvSpPr txBox="1"/>
          </xdr:nvSpPr>
          <xdr:spPr>
            <a:xfrm>
              <a:off x="2681287" y="43757850"/>
              <a:ext cx="216495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𝐴𝐸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𝑙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𝑗𝑘𝑙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𝑗𝑘𝑙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𝐷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EB72FD8E-81E4-5978-0605-3B10D357366A}"/>
                </a:ext>
              </a:extLst>
            </xdr:cNvPr>
            <xdr:cNvSpPr txBox="1"/>
          </xdr:nvSpPr>
          <xdr:spPr>
            <a:xfrm>
              <a:off x="2681287" y="43757850"/>
              <a:ext cx="216495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𝐴𝐸=∑8_𝑗▒∑8_𝑘▒∑8_𝑙▒(𝑁_𝑗𝑘𝑙×𝑁𝐸_𝑗𝑘𝑙×𝐷_𝑗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216</xdr:row>
      <xdr:rowOff>95250</xdr:rowOff>
    </xdr:from>
    <xdr:ext cx="2334870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09ABD1D9-207F-6419-4C52-5C02C7AECD85}"/>
                </a:ext>
              </a:extLst>
            </xdr:cNvPr>
            <xdr:cNvSpPr txBox="1"/>
          </xdr:nvSpPr>
          <xdr:spPr>
            <a:xfrm>
              <a:off x="2671762" y="53721000"/>
              <a:ext cx="2334870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𝐴𝐸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𝑃𝑅𝑃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09ABD1D9-207F-6419-4C52-5C02C7AECD85}"/>
                </a:ext>
              </a:extLst>
            </xdr:cNvPr>
            <xdr:cNvSpPr txBox="1"/>
          </xdr:nvSpPr>
          <xdr:spPr>
            <a:xfrm>
              <a:off x="2671762" y="53721000"/>
              <a:ext cx="2334870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𝐸_(𝑁2𝑂,𝑑𝑖𝑟)=𝐴𝐸×𝐸𝐹_𝑃𝑅𝑃×𝐶_𝑁2𝑂×10^(−3)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</xdr:colOff>
      <xdr:row>7</xdr:row>
      <xdr:rowOff>133350</xdr:rowOff>
    </xdr:from>
    <xdr:ext cx="1745413" cy="1653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5113A8E-2D0B-0028-3EEC-52654F15D638}"/>
                </a:ext>
              </a:extLst>
            </xdr:cNvPr>
            <xdr:cNvSpPr txBox="1"/>
          </xdr:nvSpPr>
          <xdr:spPr>
            <a:xfrm>
              <a:off x="2681287" y="2000250"/>
              <a:ext cx="1745413" cy="1653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𝑣𝑜𝑙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𝐴𝐸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𝐹𝑟𝑎𝑐𝐺𝐴𝑆𝑀𝑠𝑜𝑖𝑙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5113A8E-2D0B-0028-3EEC-52654F15D638}"/>
                </a:ext>
              </a:extLst>
            </xdr:cNvPr>
            <xdr:cNvSpPr txBox="1"/>
          </xdr:nvSpPr>
          <xdr:spPr>
            <a:xfrm>
              <a:off x="2681287" y="2000250"/>
              <a:ext cx="1745413" cy="1653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𝑀_𝑣𝑜𝑙=𝐴𝐸×𝐹𝑟𝑎𝑐𝐺𝐴𝑆𝑀𝑠𝑜𝑖𝑙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22</xdr:row>
      <xdr:rowOff>152400</xdr:rowOff>
    </xdr:from>
    <xdr:ext cx="2410467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F22B100-4D2C-BDC2-B577-E7AF6106C50D}"/>
                </a:ext>
              </a:extLst>
            </xdr:cNvPr>
            <xdr:cNvSpPr txBox="1"/>
          </xdr:nvSpPr>
          <xdr:spPr>
            <a:xfrm>
              <a:off x="2671762" y="5734050"/>
              <a:ext cx="2410467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𝑣𝑜𝑙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F22B100-4D2C-BDC2-B577-E7AF6106C50D}"/>
                </a:ext>
              </a:extLst>
            </xdr:cNvPr>
            <xdr:cNvSpPr txBox="1"/>
          </xdr:nvSpPr>
          <xdr:spPr>
            <a:xfrm>
              <a:off x="2671762" y="5734050"/>
              <a:ext cx="2410467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𝐸_(𝑁2𝑂,𝑎𝑑)=𝑀_𝑣𝑜𝑙×𝐸𝐹_𝑁2𝑂×𝐶_𝑁2𝑂×10^(−3)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300037</xdr:colOff>
      <xdr:row>7</xdr:row>
      <xdr:rowOff>133350</xdr:rowOff>
    </xdr:from>
    <xdr:ext cx="2421624" cy="1653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9A4958-7057-2FEE-E1BA-6A1998ADFF7B}"/>
                </a:ext>
              </a:extLst>
            </xdr:cNvPr>
            <xdr:cNvSpPr txBox="1"/>
          </xdr:nvSpPr>
          <xdr:spPr>
            <a:xfrm>
              <a:off x="2662237" y="2000250"/>
              <a:ext cx="2421624" cy="1653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𝐴𝐸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𝐹𝑟𝑎𝑐𝑊𝑒𝑡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𝐹𝑟𝑎𝑐𝐿𝐸𝐴𝐶𝐻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9A4958-7057-2FEE-E1BA-6A1998ADFF7B}"/>
                </a:ext>
              </a:extLst>
            </xdr:cNvPr>
            <xdr:cNvSpPr txBox="1"/>
          </xdr:nvSpPr>
          <xdr:spPr>
            <a:xfrm>
              <a:off x="2662237" y="2000250"/>
              <a:ext cx="2421624" cy="1653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𝑀_𝑙𝑒𝑎𝑐ℎ=𝐴𝐸×𝐹𝑟𝑎𝑐𝑊𝑒𝑡×𝐹𝑟𝑎𝑐𝐿𝐸𝐴𝐶𝐻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300037</xdr:colOff>
      <xdr:row>26</xdr:row>
      <xdr:rowOff>180975</xdr:rowOff>
    </xdr:from>
    <xdr:ext cx="2731838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45C53C5-600F-2419-A9EA-8A57F3782F48}"/>
                </a:ext>
              </a:extLst>
            </xdr:cNvPr>
            <xdr:cNvSpPr txBox="1"/>
          </xdr:nvSpPr>
          <xdr:spPr>
            <a:xfrm>
              <a:off x="2662237" y="6753225"/>
              <a:ext cx="2731838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45C53C5-600F-2419-A9EA-8A57F3782F48}"/>
                </a:ext>
              </a:extLst>
            </xdr:cNvPr>
            <xdr:cNvSpPr txBox="1"/>
          </xdr:nvSpPr>
          <xdr:spPr>
            <a:xfrm>
              <a:off x="2662237" y="6753225"/>
              <a:ext cx="2731838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𝐸_(𝑁2𝑂,𝑙𝑒𝑎𝑐ℎ)=𝑀_𝑙𝑒𝑎𝑐ℎ×𝐸𝐹_𝑙𝑒𝑎𝑐ℎ×𝐶_𝑁2𝑂×10^(−3)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htdocs\zneagcrc\GAF-VEERG-Functions\Excel\Old\GAF2-Template-WIP-v30.xlsx" TargetMode="External"/><Relationship Id="rId1" Type="http://schemas.openxmlformats.org/officeDocument/2006/relationships/externalLinkPath" Target="Old/GAF2-Template-WIP-v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 - MMS - Feedlot"/>
      <sheetName val="Calcs - CH4 MMS Feedlot"/>
      <sheetName val="Input - MMS - Poultry"/>
      <sheetName val="Calcs - CH4 MMS Poultry"/>
      <sheetName val="Input - Herd - Swine"/>
      <sheetName val="Input - MMS - Swine"/>
      <sheetName val="Calcs - CH4 MMS Swine"/>
      <sheetName val="Tab template"/>
      <sheetName val="Results"/>
      <sheetName val="Input - Site"/>
      <sheetName val="Input - Production"/>
      <sheetName val="Input - Herd - Dairy"/>
      <sheetName val="Input - Feed - Dairy"/>
      <sheetName val="Input - Herd - Feedlot"/>
      <sheetName val="Input - Grains"/>
      <sheetName val="Input - Pasture"/>
      <sheetName val="Input - Fert Lime Chem"/>
      <sheetName val="Input - Fuel &amp; Energy"/>
      <sheetName val="Input - Other Farm Inputs"/>
      <sheetName val="Input - Aquaculture"/>
      <sheetName val="Input - Data Quality"/>
      <sheetName val="Input - LULUCF"/>
      <sheetName val="Calcs - Fert Lime"/>
      <sheetName val="Calcs - Residue mgmt - Crop"/>
      <sheetName val="Calcs - Residue mgmt - Pasture"/>
      <sheetName val="Calcs - Field burning"/>
      <sheetName val="Calcs - Fuel"/>
      <sheetName val="Calcs - Electricity"/>
      <sheetName val="Calcs - Refrigerants"/>
      <sheetName val="Calcs - Scope 3"/>
      <sheetName val="Constants - Common"/>
      <sheetName val="Constants - Cropping"/>
      <sheetName val="Constants - Livestock"/>
      <sheetName val="Constants - Dairy"/>
      <sheetName val="Constants - Feedlot"/>
      <sheetName val="Styles"/>
    </sheetNames>
    <sheetDataSet>
      <sheetData sheetId="0"/>
      <sheetData sheetId="1"/>
      <sheetData sheetId="2"/>
      <sheetData sheetId="3"/>
      <sheetData sheetId="4">
        <row r="9">
          <cell r="D9" t="str">
            <v>January 2024</v>
          </cell>
          <cell r="E9">
            <v>120</v>
          </cell>
          <cell r="F9">
            <v>220</v>
          </cell>
          <cell r="G9">
            <v>320</v>
          </cell>
          <cell r="H9">
            <v>420</v>
          </cell>
          <cell r="I9">
            <v>520</v>
          </cell>
          <cell r="J9">
            <v>620</v>
          </cell>
          <cell r="K9">
            <v>720</v>
          </cell>
        </row>
        <row r="10">
          <cell r="D10" t="str">
            <v>February 2024</v>
          </cell>
          <cell r="E10">
            <v>120</v>
          </cell>
          <cell r="F10">
            <v>220</v>
          </cell>
          <cell r="G10">
            <v>320</v>
          </cell>
          <cell r="H10">
            <v>420</v>
          </cell>
          <cell r="I10">
            <v>520</v>
          </cell>
          <cell r="J10">
            <v>620</v>
          </cell>
          <cell r="K10">
            <v>720</v>
          </cell>
        </row>
        <row r="11">
          <cell r="D11" t="str">
            <v>March 2024</v>
          </cell>
          <cell r="E11">
            <v>130</v>
          </cell>
          <cell r="F11">
            <v>230</v>
          </cell>
          <cell r="G11">
            <v>330</v>
          </cell>
          <cell r="H11">
            <v>430</v>
          </cell>
          <cell r="I11">
            <v>530</v>
          </cell>
          <cell r="J11">
            <v>630</v>
          </cell>
          <cell r="K11">
            <v>730</v>
          </cell>
        </row>
        <row r="12">
          <cell r="D12" t="str">
            <v>April 2024</v>
          </cell>
          <cell r="E12">
            <v>130</v>
          </cell>
          <cell r="F12">
            <v>230</v>
          </cell>
          <cell r="G12">
            <v>330</v>
          </cell>
          <cell r="H12">
            <v>430</v>
          </cell>
          <cell r="I12">
            <v>530</v>
          </cell>
          <cell r="J12">
            <v>630</v>
          </cell>
          <cell r="K12">
            <v>730</v>
          </cell>
        </row>
        <row r="13">
          <cell r="D13" t="str">
            <v>May 2024</v>
          </cell>
          <cell r="E13">
            <v>130</v>
          </cell>
          <cell r="F13">
            <v>230</v>
          </cell>
          <cell r="G13">
            <v>330</v>
          </cell>
          <cell r="H13">
            <v>430</v>
          </cell>
          <cell r="I13">
            <v>530</v>
          </cell>
          <cell r="J13">
            <v>630</v>
          </cell>
          <cell r="K13">
            <v>730</v>
          </cell>
        </row>
        <row r="14">
          <cell r="D14" t="str">
            <v>June 2024</v>
          </cell>
          <cell r="E14">
            <v>140</v>
          </cell>
          <cell r="F14">
            <v>240</v>
          </cell>
          <cell r="G14">
            <v>340</v>
          </cell>
          <cell r="H14">
            <v>440</v>
          </cell>
          <cell r="I14">
            <v>540</v>
          </cell>
          <cell r="J14">
            <v>640</v>
          </cell>
          <cell r="K14">
            <v>740</v>
          </cell>
        </row>
        <row r="15">
          <cell r="D15" t="str">
            <v>July 2024</v>
          </cell>
          <cell r="E15">
            <v>140</v>
          </cell>
          <cell r="F15">
            <v>230</v>
          </cell>
          <cell r="G15">
            <v>340</v>
          </cell>
          <cell r="H15">
            <v>440</v>
          </cell>
          <cell r="I15">
            <v>540</v>
          </cell>
          <cell r="J15">
            <v>640</v>
          </cell>
          <cell r="K15">
            <v>740</v>
          </cell>
        </row>
        <row r="16">
          <cell r="D16" t="str">
            <v>August 2024</v>
          </cell>
          <cell r="E16">
            <v>140</v>
          </cell>
          <cell r="F16">
            <v>240</v>
          </cell>
          <cell r="G16">
            <v>340</v>
          </cell>
          <cell r="H16">
            <v>440</v>
          </cell>
          <cell r="I16">
            <v>540</v>
          </cell>
          <cell r="J16">
            <v>640</v>
          </cell>
          <cell r="K16">
            <v>740</v>
          </cell>
        </row>
        <row r="17">
          <cell r="D17" t="str">
            <v>September 2024</v>
          </cell>
          <cell r="E17">
            <v>110</v>
          </cell>
          <cell r="F17">
            <v>210</v>
          </cell>
          <cell r="G17">
            <v>310</v>
          </cell>
          <cell r="H17">
            <v>410</v>
          </cell>
          <cell r="I17">
            <v>510</v>
          </cell>
          <cell r="J17">
            <v>610</v>
          </cell>
          <cell r="K17">
            <v>710</v>
          </cell>
        </row>
        <row r="18">
          <cell r="D18" t="str">
            <v>October 2024</v>
          </cell>
          <cell r="E18">
            <v>110</v>
          </cell>
          <cell r="F18">
            <v>210</v>
          </cell>
          <cell r="G18">
            <v>310</v>
          </cell>
          <cell r="H18">
            <v>410</v>
          </cell>
          <cell r="I18">
            <v>510</v>
          </cell>
          <cell r="J18">
            <v>610</v>
          </cell>
          <cell r="K18">
            <v>710</v>
          </cell>
        </row>
        <row r="19">
          <cell r="D19" t="str">
            <v>November 2024</v>
          </cell>
          <cell r="E19">
            <v>110</v>
          </cell>
          <cell r="F19">
            <v>210</v>
          </cell>
          <cell r="G19">
            <v>310</v>
          </cell>
          <cell r="H19">
            <v>410</v>
          </cell>
          <cell r="I19">
            <v>510</v>
          </cell>
          <cell r="J19">
            <v>610</v>
          </cell>
          <cell r="K19">
            <v>710</v>
          </cell>
        </row>
        <row r="20">
          <cell r="D20" t="str">
            <v>December 2024</v>
          </cell>
          <cell r="E20">
            <v>120</v>
          </cell>
          <cell r="F20">
            <v>220</v>
          </cell>
          <cell r="G20">
            <v>320</v>
          </cell>
          <cell r="H20">
            <v>420</v>
          </cell>
          <cell r="I20">
            <v>520</v>
          </cell>
          <cell r="J20">
            <v>620</v>
          </cell>
          <cell r="K20">
            <v>720</v>
          </cell>
        </row>
        <row r="27">
          <cell r="D27" t="str">
            <v>January 2024</v>
          </cell>
          <cell r="E27">
            <v>31</v>
          </cell>
          <cell r="F27">
            <v>31</v>
          </cell>
          <cell r="G27">
            <v>31</v>
          </cell>
          <cell r="H27">
            <v>31</v>
          </cell>
          <cell r="I27">
            <v>31</v>
          </cell>
          <cell r="J27">
            <v>31</v>
          </cell>
          <cell r="K27">
            <v>31</v>
          </cell>
        </row>
        <row r="28">
          <cell r="D28" t="str">
            <v>February 2024</v>
          </cell>
          <cell r="E28">
            <v>29</v>
          </cell>
          <cell r="F28">
            <v>29</v>
          </cell>
          <cell r="G28">
            <v>29</v>
          </cell>
          <cell r="H28">
            <v>29</v>
          </cell>
          <cell r="I28">
            <v>29</v>
          </cell>
          <cell r="J28">
            <v>29</v>
          </cell>
          <cell r="K28">
            <v>29</v>
          </cell>
        </row>
        <row r="29">
          <cell r="D29" t="str">
            <v>March 2024</v>
          </cell>
          <cell r="E29">
            <v>31</v>
          </cell>
          <cell r="F29">
            <v>31</v>
          </cell>
          <cell r="G29">
            <v>31</v>
          </cell>
          <cell r="H29">
            <v>31</v>
          </cell>
          <cell r="I29">
            <v>31</v>
          </cell>
          <cell r="J29">
            <v>31</v>
          </cell>
          <cell r="K29">
            <v>31</v>
          </cell>
        </row>
        <row r="30">
          <cell r="D30" t="str">
            <v>April 2024</v>
          </cell>
          <cell r="E30">
            <v>30</v>
          </cell>
          <cell r="F30">
            <v>30</v>
          </cell>
          <cell r="G30">
            <v>30</v>
          </cell>
          <cell r="H30">
            <v>30</v>
          </cell>
          <cell r="I30">
            <v>30</v>
          </cell>
          <cell r="J30">
            <v>30</v>
          </cell>
          <cell r="K30">
            <v>30</v>
          </cell>
        </row>
        <row r="31">
          <cell r="D31" t="str">
            <v>May 2024</v>
          </cell>
          <cell r="E31">
            <v>31</v>
          </cell>
          <cell r="F31">
            <v>31</v>
          </cell>
          <cell r="G31">
            <v>31</v>
          </cell>
          <cell r="H31">
            <v>31</v>
          </cell>
          <cell r="I31">
            <v>31</v>
          </cell>
          <cell r="J31">
            <v>31</v>
          </cell>
          <cell r="K31">
            <v>31</v>
          </cell>
        </row>
        <row r="32">
          <cell r="D32" t="str">
            <v>June 2024</v>
          </cell>
          <cell r="E32">
            <v>30</v>
          </cell>
          <cell r="F32">
            <v>30</v>
          </cell>
          <cell r="G32">
            <v>30</v>
          </cell>
          <cell r="H32">
            <v>30</v>
          </cell>
          <cell r="I32">
            <v>30</v>
          </cell>
          <cell r="J32">
            <v>30</v>
          </cell>
          <cell r="K32">
            <v>30</v>
          </cell>
        </row>
        <row r="33">
          <cell r="D33" t="str">
            <v>July 2024</v>
          </cell>
          <cell r="E33">
            <v>31</v>
          </cell>
          <cell r="F33">
            <v>31</v>
          </cell>
          <cell r="G33">
            <v>31</v>
          </cell>
          <cell r="H33">
            <v>31</v>
          </cell>
          <cell r="I33">
            <v>31</v>
          </cell>
          <cell r="J33">
            <v>31</v>
          </cell>
          <cell r="K33">
            <v>31</v>
          </cell>
        </row>
        <row r="34">
          <cell r="D34" t="str">
            <v>August 2024</v>
          </cell>
          <cell r="E34">
            <v>31</v>
          </cell>
          <cell r="F34">
            <v>31</v>
          </cell>
          <cell r="G34">
            <v>31</v>
          </cell>
          <cell r="H34">
            <v>31</v>
          </cell>
          <cell r="I34">
            <v>31</v>
          </cell>
          <cell r="J34">
            <v>31</v>
          </cell>
          <cell r="K34">
            <v>31</v>
          </cell>
        </row>
        <row r="35">
          <cell r="D35" t="str">
            <v>September 2024</v>
          </cell>
          <cell r="E35">
            <v>30</v>
          </cell>
          <cell r="F35">
            <v>30</v>
          </cell>
          <cell r="G35">
            <v>30</v>
          </cell>
          <cell r="H35">
            <v>30</v>
          </cell>
          <cell r="I35">
            <v>30</v>
          </cell>
          <cell r="J35">
            <v>30</v>
          </cell>
          <cell r="K35">
            <v>30</v>
          </cell>
        </row>
        <row r="36">
          <cell r="D36" t="str">
            <v>October 2024</v>
          </cell>
          <cell r="E36">
            <v>31</v>
          </cell>
          <cell r="F36">
            <v>31</v>
          </cell>
          <cell r="G36">
            <v>31</v>
          </cell>
          <cell r="H36">
            <v>31</v>
          </cell>
          <cell r="I36">
            <v>31</v>
          </cell>
          <cell r="J36">
            <v>31</v>
          </cell>
          <cell r="K36">
            <v>31</v>
          </cell>
        </row>
        <row r="37">
          <cell r="D37" t="str">
            <v>November 2024</v>
          </cell>
          <cell r="E37">
            <v>30</v>
          </cell>
          <cell r="F37">
            <v>30</v>
          </cell>
          <cell r="G37">
            <v>30</v>
          </cell>
          <cell r="H37">
            <v>30</v>
          </cell>
          <cell r="I37">
            <v>30</v>
          </cell>
          <cell r="J37">
            <v>30</v>
          </cell>
          <cell r="K37">
            <v>30</v>
          </cell>
        </row>
        <row r="38">
          <cell r="D38" t="str">
            <v>December 2024</v>
          </cell>
          <cell r="E38">
            <v>31</v>
          </cell>
          <cell r="F38">
            <v>31</v>
          </cell>
          <cell r="G38">
            <v>31</v>
          </cell>
          <cell r="H38">
            <v>31</v>
          </cell>
          <cell r="I38">
            <v>31</v>
          </cell>
          <cell r="J38">
            <v>31</v>
          </cell>
          <cell r="K38">
            <v>31</v>
          </cell>
        </row>
      </sheetData>
      <sheetData sheetId="5">
        <row r="11">
          <cell r="E11">
            <v>0.4</v>
          </cell>
          <cell r="F11">
            <v>0.46</v>
          </cell>
          <cell r="G11">
            <v>0.55000000000000004</v>
          </cell>
          <cell r="H11">
            <v>0.39</v>
          </cell>
          <cell r="I11">
            <v>0.39</v>
          </cell>
          <cell r="J11">
            <v>0.39</v>
          </cell>
          <cell r="K11">
            <v>0.39</v>
          </cell>
        </row>
        <row r="18">
          <cell r="D18" t="str">
            <v>Conventional housing</v>
          </cell>
          <cell r="E18" t="str">
            <v>Solid storage</v>
          </cell>
          <cell r="F18" t="str">
            <v>N/A</v>
          </cell>
          <cell r="G18">
            <v>0.5</v>
          </cell>
          <cell r="H18">
            <v>0.5</v>
          </cell>
          <cell r="I18">
            <v>0.5</v>
          </cell>
          <cell r="J18">
            <v>0.5</v>
          </cell>
          <cell r="K18">
            <v>0.5</v>
          </cell>
          <cell r="L18">
            <v>0.5</v>
          </cell>
          <cell r="M18">
            <v>0.5</v>
          </cell>
        </row>
        <row r="19">
          <cell r="D19" t="str">
            <v>Deep litter housing</v>
          </cell>
          <cell r="E19" t="str">
            <v>Drylot (feed pad)</v>
          </cell>
          <cell r="F19" t="str">
            <v>Post-separation solid storage</v>
          </cell>
          <cell r="G19">
            <v>0.5</v>
          </cell>
          <cell r="H19">
            <v>0.5</v>
          </cell>
          <cell r="I19">
            <v>0.5</v>
          </cell>
          <cell r="J19">
            <v>0.5</v>
          </cell>
          <cell r="K19">
            <v>0.5</v>
          </cell>
          <cell r="L19">
            <v>0.5</v>
          </cell>
          <cell r="M19">
            <v>0.5</v>
          </cell>
        </row>
        <row r="25">
          <cell r="H25" t="str">
            <v>Solid storage</v>
          </cell>
        </row>
        <row r="31">
          <cell r="E31" t="str">
            <v>N/A</v>
          </cell>
          <cell r="F31" t="str">
            <v>N/A</v>
          </cell>
          <cell r="G31" t="str">
            <v>N/A</v>
          </cell>
          <cell r="H31" t="str">
            <v>N/A</v>
          </cell>
          <cell r="I31" t="str">
            <v>N/A</v>
          </cell>
          <cell r="J31" t="str">
            <v>N/A</v>
          </cell>
          <cell r="K31" t="str">
            <v>N/A</v>
          </cell>
        </row>
        <row r="36">
          <cell r="D36" t="str">
            <v>Digester / covered lagoons</v>
          </cell>
          <cell r="E36">
            <v>0.2</v>
          </cell>
          <cell r="F36">
            <v>0.2</v>
          </cell>
          <cell r="G36">
            <v>0.2</v>
          </cell>
          <cell r="H36">
            <v>0.2</v>
          </cell>
          <cell r="I36">
            <v>0.2</v>
          </cell>
          <cell r="J36">
            <v>0.2</v>
          </cell>
          <cell r="K36">
            <v>0.2</v>
          </cell>
        </row>
        <row r="37">
          <cell r="D37" t="str">
            <v>Anaerobic lagoon</v>
          </cell>
          <cell r="E37">
            <v>0.2</v>
          </cell>
          <cell r="F37">
            <v>0.2</v>
          </cell>
          <cell r="G37">
            <v>0.2</v>
          </cell>
          <cell r="H37">
            <v>0.2</v>
          </cell>
          <cell r="I37">
            <v>0.2</v>
          </cell>
          <cell r="J37">
            <v>0.2</v>
          </cell>
          <cell r="K37">
            <v>0.2</v>
          </cell>
        </row>
        <row r="38">
          <cell r="D38" t="str">
            <v>Direct application</v>
          </cell>
          <cell r="E38">
            <v>0.2</v>
          </cell>
          <cell r="F38">
            <v>0.2</v>
          </cell>
          <cell r="G38">
            <v>0.2</v>
          </cell>
          <cell r="H38">
            <v>0.2</v>
          </cell>
          <cell r="I38">
            <v>0.2</v>
          </cell>
          <cell r="J38">
            <v>0.2</v>
          </cell>
          <cell r="K38">
            <v>0.2</v>
          </cell>
        </row>
        <row r="56">
          <cell r="D56" t="str">
            <v>Drylot (feed pad)</v>
          </cell>
          <cell r="E56">
            <v>0.2</v>
          </cell>
          <cell r="F56">
            <v>0.2</v>
          </cell>
          <cell r="G56">
            <v>0.2</v>
          </cell>
          <cell r="H56">
            <v>0.2</v>
          </cell>
          <cell r="I56">
            <v>0.2</v>
          </cell>
          <cell r="J56">
            <v>0.2</v>
          </cell>
          <cell r="K56">
            <v>0.2</v>
          </cell>
        </row>
        <row r="57">
          <cell r="D57" t="str">
            <v>Anaerobic lagoon</v>
          </cell>
          <cell r="E57">
            <v>0.2</v>
          </cell>
          <cell r="F57">
            <v>0.2</v>
          </cell>
          <cell r="G57">
            <v>0.2</v>
          </cell>
          <cell r="H57">
            <v>0.2</v>
          </cell>
          <cell r="I57">
            <v>0.2</v>
          </cell>
          <cell r="J57">
            <v>0.2</v>
          </cell>
          <cell r="K57">
            <v>0.2</v>
          </cell>
        </row>
        <row r="58">
          <cell r="D58" t="str">
            <v>Deep litter</v>
          </cell>
          <cell r="E58">
            <v>0.2</v>
          </cell>
          <cell r="F58">
            <v>0.2</v>
          </cell>
          <cell r="G58">
            <v>0.2</v>
          </cell>
          <cell r="H58">
            <v>0.2</v>
          </cell>
          <cell r="I58">
            <v>0.2</v>
          </cell>
          <cell r="J58">
            <v>0.2</v>
          </cell>
          <cell r="K58">
            <v>0.2</v>
          </cell>
        </row>
        <row r="77">
          <cell r="H77" t="str">
            <v>Drylot (feed pad)</v>
          </cell>
        </row>
        <row r="83">
          <cell r="E83">
            <v>0.25</v>
          </cell>
          <cell r="F83">
            <v>0.25</v>
          </cell>
          <cell r="G83">
            <v>0.25</v>
          </cell>
          <cell r="H83">
            <v>0.25</v>
          </cell>
          <cell r="I83">
            <v>0.25</v>
          </cell>
          <cell r="J83">
            <v>0.25</v>
          </cell>
          <cell r="K83">
            <v>0.25</v>
          </cell>
        </row>
        <row r="88">
          <cell r="D88" t="str">
            <v>Digester / covered lagoons</v>
          </cell>
          <cell r="E88">
            <v>0.2</v>
          </cell>
          <cell r="F88">
            <v>0.2</v>
          </cell>
          <cell r="G88">
            <v>0.2</v>
          </cell>
          <cell r="H88">
            <v>0.2</v>
          </cell>
          <cell r="I88">
            <v>0.2</v>
          </cell>
          <cell r="J88">
            <v>0.2</v>
          </cell>
          <cell r="K88">
            <v>0.2</v>
          </cell>
        </row>
        <row r="89">
          <cell r="D89" t="str">
            <v>Anaerobic lagoon</v>
          </cell>
          <cell r="E89">
            <v>0.2</v>
          </cell>
          <cell r="F89">
            <v>0.2</v>
          </cell>
          <cell r="G89">
            <v>0.2</v>
          </cell>
          <cell r="H89">
            <v>0.2</v>
          </cell>
          <cell r="I89">
            <v>0.2</v>
          </cell>
          <cell r="J89">
            <v>0.2</v>
          </cell>
          <cell r="K89">
            <v>0.2</v>
          </cell>
        </row>
        <row r="90">
          <cell r="D90" t="str">
            <v>Pit storage</v>
          </cell>
          <cell r="E90">
            <v>0.2</v>
          </cell>
          <cell r="F90">
            <v>0.2</v>
          </cell>
          <cell r="G90">
            <v>0.2</v>
          </cell>
          <cell r="H90">
            <v>0.2</v>
          </cell>
          <cell r="I90">
            <v>0.2</v>
          </cell>
          <cell r="J90">
            <v>0.2</v>
          </cell>
          <cell r="K90">
            <v>0.2</v>
          </cell>
        </row>
        <row r="109">
          <cell r="D109" t="str">
            <v>Digester / covered lagoons</v>
          </cell>
          <cell r="E109">
            <v>0.2</v>
          </cell>
          <cell r="F109">
            <v>0.2</v>
          </cell>
          <cell r="G109">
            <v>0.2</v>
          </cell>
          <cell r="H109">
            <v>0.2</v>
          </cell>
          <cell r="I109">
            <v>0.2</v>
          </cell>
          <cell r="J109">
            <v>0.2</v>
          </cell>
          <cell r="K109">
            <v>0.2</v>
          </cell>
        </row>
        <row r="110">
          <cell r="D110" t="str">
            <v>Deep litter</v>
          </cell>
          <cell r="E110">
            <v>0.2</v>
          </cell>
          <cell r="F110">
            <v>0.2</v>
          </cell>
          <cell r="G110">
            <v>0.2</v>
          </cell>
          <cell r="H110">
            <v>0.2</v>
          </cell>
          <cell r="I110">
            <v>0.2</v>
          </cell>
          <cell r="J110">
            <v>0.2</v>
          </cell>
          <cell r="K110">
            <v>0.2</v>
          </cell>
        </row>
        <row r="111">
          <cell r="D111" t="str">
            <v>Pit storage</v>
          </cell>
          <cell r="E111">
            <v>0.2</v>
          </cell>
          <cell r="F111">
            <v>0.2</v>
          </cell>
          <cell r="G111">
            <v>0.2</v>
          </cell>
          <cell r="H111">
            <v>0.2</v>
          </cell>
          <cell r="I111">
            <v>0.2</v>
          </cell>
          <cell r="J111">
            <v>0.2</v>
          </cell>
          <cell r="K111">
            <v>0.2</v>
          </cell>
        </row>
      </sheetData>
      <sheetData sheetId="6"/>
      <sheetData sheetId="7"/>
      <sheetData sheetId="8"/>
      <sheetData sheetId="9">
        <row r="12">
          <cell r="E12">
            <v>45292</v>
          </cell>
        </row>
        <row r="21">
          <cell r="E21" t="str">
            <v>Western Australia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>
        <row r="10">
          <cell r="E10" t="str">
            <v>Anaerobic lagoon</v>
          </cell>
          <cell r="F10" t="str">
            <v>Anaerobic lagoon (m=1)</v>
          </cell>
        </row>
        <row r="15">
          <cell r="E15" t="str">
            <v>Solid storage</v>
          </cell>
          <cell r="F15" t="str">
            <v>Solid storage (m=4)</v>
          </cell>
        </row>
        <row r="16">
          <cell r="E16" t="str">
            <v>Drylot (feed pad)</v>
          </cell>
          <cell r="F16" t="str">
            <v>Drylot (feed pad) (m=5)</v>
          </cell>
        </row>
        <row r="18">
          <cell r="E18" t="str">
            <v>Digester / covered lagoons</v>
          </cell>
          <cell r="F18" t="str">
            <v>Digester / covered lagoons (m=7)</v>
          </cell>
        </row>
        <row r="19">
          <cell r="E19" t="str">
            <v>Deep litter</v>
          </cell>
          <cell r="F19" t="str">
            <v>Deep litter (m=8)</v>
          </cell>
        </row>
        <row r="20">
          <cell r="E20" t="str">
            <v>Pit storage</v>
          </cell>
          <cell r="F20" t="str">
            <v>Pit storage (m=9)</v>
          </cell>
        </row>
        <row r="26">
          <cell r="E26" t="str">
            <v>Direct application</v>
          </cell>
          <cell r="F26" t="str">
            <v>Direct application (m=13)</v>
          </cell>
        </row>
      </sheetData>
      <sheetData sheetId="33"/>
      <sheetData sheetId="34"/>
      <sheetData sheetId="35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EEF5DA-4392-40D7-9550-EA401E64C221}" name="Table_SourceData_Swine_VolatileSolids" displayName="Table_SourceData_Swine_VolatileSolids" ref="D9:E16" totalsRowShown="0">
  <autoFilter ref="D9:E16" xr:uid="{9DEEF5DA-4392-40D7-9550-EA401E64C221}"/>
  <tableColumns count="2">
    <tableColumn id="1" xr3:uid="{A1AC17BE-6F0C-4EA3-88D1-F15B8A0AA6A1}" name="Class">
      <calculatedColumnFormula array="1">Common_InputFunctions.Utility_DisplayArrayInTable(SourceData_Swine.SourceData_Swine_VolatileSolids_Data(), Table_SourceData_Swine_VolatileSolids[[#Headers],[Class]], 0)</calculatedColumnFormula>
    </tableColumn>
    <tableColumn id="2" xr3:uid="{539845C7-E401-474C-86C5-B676BBD1B040}" name="VSj" dataDxfId="55" dataCellStyle="Content normal">
      <calculatedColumnFormula array="1">Common_InputFunctions.Utility_DisplayArrayInTable(SourceData_Swine.SourceData_Swine_VolatileSolids_Data(), Table_SourceData_Swine_VolatileSolids[[#Headers],[Class]], 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FD9E79-6224-4B04-B002-84DC46086DAC}" name="Table_SourceData_Swine_MMSMCF" displayName="Table_SourceData_Swine_MMSMCF" ref="D28:M35" totalsRowShown="0">
  <autoFilter ref="D28:M35" xr:uid="{8BFD9E79-6224-4B04-B002-84DC46086DAC}"/>
  <tableColumns count="10">
    <tableColumn id="1" xr3:uid="{948C8C81-0F25-4404-945E-CD16BE93BFBF}" name="MMS">
      <calculatedColumnFormula array="1">Common_InputFunctions.Utility_DisplayArrayInTable(SourceData_Swine.SourceData_Swine_MMS_MCFs_Data(),Table_SourceData_Swine_MMSMCF[[#Headers],[MMS]],0)</calculatedColumnFormula>
    </tableColumn>
    <tableColumn id="2" xr3:uid="{CC6F19AB-67BC-413A-9108-447CB795CC02}" name="NSW" dataDxfId="54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3" xr3:uid="{EFE4C41A-233A-4E7D-912F-E949B7110A0A}" name="ACT" dataDxfId="53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4" xr3:uid="{90D72B45-949A-49D4-8B76-EF78C1A193C9}" name="QLD" dataDxfId="52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5" xr3:uid="{D7D725B2-0CF9-4EB2-A5C1-09EDA961537A}" name="NT" dataDxfId="51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6" xr3:uid="{2934DF60-275E-438D-A730-DD780A8931E8}" name="SA" dataDxfId="50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7" xr3:uid="{29BE3DB6-3057-4DB9-9C8B-816C15103256}" name="TAS" dataDxfId="49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8" xr3:uid="{FF50759B-240C-4451-AB1C-3143673818F2}" name="VIC" dataDxfId="48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9" xr3:uid="{F164F2B6-4BA2-43CA-8A29-E52D5447FFC0}" name="WA" dataDxfId="47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10" xr3:uid="{F171BCD0-98D2-4E5E-AC27-147712A91756}" name="NIR definition" dataDxfId="46" dataCellStyle="Content normal">
      <calculatedColumnFormula array="1">Common_InputFunctions.Utility_DisplayArrayInTable(SourceData_Swine.SourceData_Swine_MMS_MCFs_Data(),Table_SourceData_Swine_MMSMCF[[#Headers],[MMS]],0)</calculatedColumnFormula>
    </tableColumn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2F7033B-606B-4A24-9223-A30737FDC1FE}" name="Table_SourceData_SwineMMS" displayName="Table_SourceData_SwineMMS" ref="D40:E47" totalsRowShown="0">
  <autoFilter ref="D40:E47" xr:uid="{42F7033B-606B-4A24-9223-A30737FDC1FE}"/>
  <tableColumns count="2">
    <tableColumn id="1" xr3:uid="{EE2AFE6D-8BE2-4C1D-92EA-668A71924A96}" name="MMS"/>
    <tableColumn id="2" xr3:uid="{58174C83-0911-44A2-9C27-90139AD99654}" name="Symbol and MMS"/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79C074C-6E98-47B5-B4E5-F8A1F12104F2}" name="Table_SourceData_SwineVSL" displayName="Table_SourceData_SwineVSL" ref="D53:E60" totalsRowShown="0">
  <autoFilter ref="D53:E60" xr:uid="{079C074C-6E98-47B5-B4E5-F8A1F12104F2}"/>
  <tableColumns count="2">
    <tableColumn id="1" xr3:uid="{76B78063-3D59-41B8-AAF7-BECA81797EB1}" name="MMS"/>
    <tableColumn id="2" xr3:uid="{80304E2C-AE1E-4612-8DE0-4A55D1D32766}" name="VSL"/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71229DD-CBF4-4099-8199-8A23112B275F}" name="Table_SourceData_SwineMMSExcSolidStorage" displayName="Table_SourceData_SwineMMSExcSolidStorage" ref="G40:H45" totalsRowShown="0">
  <autoFilter ref="G40:H45" xr:uid="{171229DD-CBF4-4099-8199-8A23112B275F}"/>
  <tableColumns count="2">
    <tableColumn id="1" xr3:uid="{C0D13436-3E27-4F37-9CCA-2D00D7C01FD4}" name="MMS"/>
    <tableColumn id="2" xr3:uid="{418916E8-5946-4F0D-8939-8D73423F7FC0}" name="Symbol and MMS"/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63E0626-9932-4FCA-A861-C95F26E527BC}" name="Table_SourceData_SwineExclDirectApplicationMMS" displayName="Table_SourceData_SwineExclDirectApplicationMMS" ref="K40:L46" totalsRowShown="0">
  <autoFilter ref="K40:L46" xr:uid="{363E0626-9932-4FCA-A861-C95F26E527BC}"/>
  <tableColumns count="2">
    <tableColumn id="1" xr3:uid="{1C3E7665-A94B-47E1-AED9-2A651F0F5EBC}" name="MMS"/>
    <tableColumn id="2" xr3:uid="{DB6F1473-C896-4813-B84D-C2E7CFF76FAF}" name="Symbol and MMS"/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6BE3FFD-EB90-45EB-8756-16A72E0C6869}" name="Table_SourceData_Swine_ProductionSystems" displayName="Table_SourceData_Swine_ProductionSystems" ref="G53:G56" totalsRowShown="0">
  <autoFilter ref="G53:G56" xr:uid="{A6BE3FFD-EB90-45EB-8756-16A72E0C6869}"/>
  <tableColumns count="1">
    <tableColumn id="1" xr3:uid="{6D0FC1C5-CBBC-40AA-BD0A-8ED9E6F795A5}" name="Production system">
      <calculatedColumnFormula array="1">Common_InputFunctions.Utility_DisplayArrayInTable(SourceData_Swine.SourceData_Swine_ProductionSystems_Data(), Table_SourceData_Swine_ProductionSystems[[#Headers],[Production system]], 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B14E434-889D-47DE-ACD8-BE2A202486E8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1BD52E55-D470-4E67-B411-FE7F21B4A715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29FBE776-2EA2-4B6A-AC4A-C6BBE34D4120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FEFD51E3-66D0-435B-BD24-67520342A277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55AF0A-9700-41F1-B3C9-1ED235350471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7AACF761-606D-4089-BB17-74378191C3F0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DD734A-FB69-4DB5-952D-2AD6D7A89E23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FC90A6A4-699A-41A3-BFAC-BB147909438D}" name="Gas">
      <calculatedColumnFormula array="1">Common_InputFunctions.Utility_DisplayArrayInTable(Common_SourceData.Common_SourceData_GWP_Data(), Table_GWPData[[#Headers],[Gas]], 0)</calculatedColumnFormula>
    </tableColumn>
    <tableColumn id="2" xr3:uid="{2CE36D17-19E0-4EEB-8214-07A18E9A7F3C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15AD6FC-302D-427F-A781-E5828A7A65E1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4C6DCD0-6078-4EF7-B1BB-C0D3612B09C7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470EF58C-4CB9-4D0C-9992-015D2D3CA871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CAF92784-602B-40C5-B453-8572B81D441F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F0897094-15F9-44CD-90FE-13C9ED251957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D7CF9F46-8C4B-40D3-8CF5-E5009A83EEE9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873E098-F5E4-417C-A9F6-BFF34B1FE162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8936C808-11CC-423D-A499-3035F684A245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9D023567-C6B2-4516-B815-FFF4936E21AB}" name="MAT" totalsRowDxfId="7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6EBFE4AE-75FA-4641-A4D8-E3F7C8FC3680}" name="MAP" totalsRowDxfId="7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D75DE766-1ED4-4286-8453-81FD486A9E67}" name="Frost days per year" totalsRowDxfId="7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0AC2CA51-AB88-4F72-A696-B9E0188C9FEA}" name="Elevation" totalsRowDxfId="7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D9F2F6F9-1629-4B3D-98BE-FD8ADE2F956F}" name="MAP:PET" totalsRowDxfId="7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317BAE18-3FFE-43C4-AF7E-C6E874B45E18}" name="Min temp" totalsRowDxfId="7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9460DC64-05B3-4084-8F3F-D00565895293}" name="Max temp" totalsRowDxfId="6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E98CF4A7-C810-474B-8823-2E16A44A2ED6}" name="Min rainfall" totalsRowDxfId="6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1D929ECC-61A9-46B6-9049-3F8A22CE1431}" name="Max rainfall" totalsRowDxfId="6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53E7B95D-FF52-428D-A614-859A01065E4E}" name="Min frost days" totalsRowDxfId="6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915CC739-4D0A-45CF-9541-78A464970DEA}" name="Max frost days" totalsRowDxfId="6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62BE1DA6-3AEE-4CFB-91CC-CBBB020D9734}" name="Min elevation" totalsRowDxfId="6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937C7D03-A642-49B6-81E2-894272504EDE}" name="Max elevation" totalsRowDxfId="6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82689D1B-26D8-4212-8EFA-58E5218DAD23}" name="Min MAP:PET" totalsRowDxfId="6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26145D94-0E62-4C99-AD96-F8206FC4D9FA}" name="Max MAP:PET" totalsRowDxfId="6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7E1C34-0FD0-40DE-9B42-87B2B40FD1D0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A2A21D1-D21A-4288-AA27-6201BCE7270E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259B53B9-EDAA-4996-8EAF-5810B99ACDB7}" name="Wet or Dry Zone" totalsRowDxfId="60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1F8E9F8-C781-423F-AA40-DAD57D45919D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F3FB998F-5E29-4FFF-871F-2097D6D4AF0D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EDF51FDA-99C3-4A2C-9E9F-5526EFE4C336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2F1F32E2-2C0F-4F66-9AF3-409D5BB4907B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DC7A3B3C-B9C4-4210-89CB-1E016A7A709E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75861C-0A17-4AAE-A53F-2A755616699E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4AD7AC1D-F3A2-4192-B9FE-E1BDDE484B1F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EE5A63EE-DF52-4770-904A-9A40C7F56ACC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AB659730-FBF6-426A-9650-6024CA2A6DC7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A69016EC-BD8C-42D8-B078-A560C7E151FA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D4A285F-3571-447E-B6B3-9BF7947DC69F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4E215647-CEF8-437C-AC2A-47BB6C9F0F5E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9A7A4C91-E116-4B13-9CE1-55F0563268CB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A62EB1C-5F71-4A9D-AC91-F62515AAABB9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E6F280A7-E25E-46DD-B2F5-A46896C5A8FA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0A4D6A17-AB99-4163-9F24-9CB271B53EC9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6125330-373F-429E-AF4E-AFA0D8B5EBD5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712FE205-9822-4622-8C50-79A1510F1946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C983B818-12CF-4DF3-AC3A-2F83225637C2}" name="FracWET" dataDxfId="59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CE0720-1884-4633-BEF5-C686AF735D54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CEC9435-12CC-4BE2-B5A3-5226E027534C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7D2CC188-168F-4D38-9F41-91E19FBF008B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2D9449B9-0867-4E9C-ABC8-96E02D16A083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B3649442-D3F6-4651-90E6-0DD808859B3B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4A541780-B6AD-480A-AE02-62D2D9E38216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96F0352-C7B5-434C-85A8-32A1131DE35B}" name="Table_SourceData_FracWETIrrigation" displayName="Table_SourceData_FracWETIrrigation" ref="D142:E147" totalsRowShown="0">
  <autoFilter ref="D142:E147" xr:uid="{1F48CA34-50DE-46D5-B32A-BB3A1E818E37}">
    <filterColumn colId="0" hiddenButton="1"/>
    <filterColumn colId="1" hiddenButton="1"/>
  </autoFilter>
  <tableColumns count="2">
    <tableColumn id="1" xr3:uid="{7BA7974A-5274-4E8F-8EFE-BA3BF6A4009A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C54ECB28-6C1A-4E5F-B2BA-C42958055C76}" name="FracWET" dataDxfId="58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52AFED5-8651-436E-9D54-3CF47EBEE874}" name="Table_SourceData_EFPastureRangeAndPaddock" displayName="Table_SourceData_EFPastureRangeAndPaddock" ref="D206:E208" totalsRowShown="0">
  <autoFilter ref="D206:E208" xr:uid="{D5BE3F89-D70E-4C53-A71C-E756622DEF38}">
    <filterColumn colId="0" hiddenButton="1"/>
    <filterColumn colId="1" hiddenButton="1"/>
  </autoFilter>
  <tableColumns count="2">
    <tableColumn id="1" xr3:uid="{E92DBF51-6421-41F8-906B-7B99C0D5AE99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C6D83246-9414-4D37-8608-3D40F5820909}" name="EFPRP" dataDxfId="57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DF0C2B1-E800-46A6-8A21-BEF6C0BD31DC}" name="Table_SourceData_Common_MonthToSeason" displayName="Table_SourceData_Common_MonthToSeason" ref="D212:E224" totalsRowShown="0">
  <autoFilter ref="D212:E224" xr:uid="{97796C3A-D95E-4077-AA20-A8FE4145DAAD}">
    <filterColumn colId="0" hiddenButton="1"/>
    <filterColumn colId="1" hiddenButton="1"/>
  </autoFilter>
  <tableColumns count="2">
    <tableColumn id="1" xr3:uid="{72EF50FF-F00E-4F8E-BEEF-C29C5F5315EA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346692E2-8620-468E-AFA1-C904D973A838}" name="Season" dataDxfId="56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5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13" Type="http://schemas.openxmlformats.org/officeDocument/2006/relationships/table" Target="../tables/table20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12" Type="http://schemas.openxmlformats.org/officeDocument/2006/relationships/table" Target="../tables/table19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6" Type="http://schemas.openxmlformats.org/officeDocument/2006/relationships/table" Target="../tables/table13.xml"/><Relationship Id="rId11" Type="http://schemas.openxmlformats.org/officeDocument/2006/relationships/table" Target="../tables/table18.xml"/><Relationship Id="rId5" Type="http://schemas.openxmlformats.org/officeDocument/2006/relationships/table" Target="../tables/table12.xml"/><Relationship Id="rId15" Type="http://schemas.openxmlformats.org/officeDocument/2006/relationships/table" Target="../tables/table22.xml"/><Relationship Id="rId10" Type="http://schemas.openxmlformats.org/officeDocument/2006/relationships/table" Target="../tables/table17.xml"/><Relationship Id="rId4" Type="http://schemas.openxmlformats.org/officeDocument/2006/relationships/table" Target="../tables/table11.xml"/><Relationship Id="rId9" Type="http://schemas.openxmlformats.org/officeDocument/2006/relationships/table" Target="../tables/table16.xml"/><Relationship Id="rId14" Type="http://schemas.openxmlformats.org/officeDocument/2006/relationships/table" Target="../tables/table2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zoomScaleNormal="100" workbookViewId="0">
      <selection activeCell="H17" sqref="H17"/>
    </sheetView>
  </sheetViews>
  <sheetFormatPr defaultRowHeight="15" x14ac:dyDescent="0.25"/>
  <cols>
    <col min="1" max="1" width="30.7109375" customWidth="1"/>
    <col min="2" max="3" width="2.7109375" customWidth="1"/>
    <col min="4" max="4" width="78.42578125" customWidth="1"/>
    <col min="5" max="10" width="30.7109375" customWidth="1"/>
    <col min="11" max="11" width="7.42578125" customWidth="1"/>
    <col min="12" max="26" width="28.7109375" customWidth="1"/>
  </cols>
  <sheetData>
    <row r="1" spans="1:11" ht="30" customHeight="1" x14ac:dyDescent="0.35">
      <c r="A1" s="67" t="e" vm="1">
        <v>#VALUE!</v>
      </c>
      <c r="C1" s="115" t="s">
        <v>216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7" t="str">
        <f>HYPERLINK("#'Home'!A1", "Home")</f>
        <v>Home</v>
      </c>
      <c r="C3" s="22"/>
      <c r="D3" s="22"/>
      <c r="E3" s="22"/>
      <c r="F3" s="22"/>
      <c r="G3" s="22"/>
      <c r="H3" s="22"/>
      <c r="I3" s="22"/>
      <c r="J3" s="22"/>
      <c r="K3" s="22"/>
    </row>
    <row r="4" spans="1:11" ht="20.100000000000001" customHeight="1" x14ac:dyDescent="0.25">
      <c r="A4" s="17" t="str">
        <f>HYPERLINK("#'Results'!A1", "Results")</f>
        <v>Results</v>
      </c>
      <c r="C4" s="22"/>
      <c r="D4" s="6" t="s">
        <v>5</v>
      </c>
      <c r="E4" s="24"/>
      <c r="F4" s="24"/>
      <c r="G4" s="24"/>
      <c r="H4" s="6"/>
      <c r="I4" s="6"/>
      <c r="J4" s="6"/>
      <c r="K4" s="25"/>
    </row>
    <row r="5" spans="1:11" ht="20.100000000000001" customHeight="1" x14ac:dyDescent="0.3">
      <c r="A5" s="16"/>
      <c r="C5" s="22"/>
      <c r="D5" s="26"/>
      <c r="E5" s="27"/>
      <c r="F5" s="27"/>
      <c r="G5" s="27"/>
      <c r="H5" s="24"/>
      <c r="I5" s="22"/>
      <c r="J5" s="22"/>
      <c r="K5" s="22"/>
    </row>
    <row r="6" spans="1:11" ht="20.100000000000001" customHeight="1" x14ac:dyDescent="0.25">
      <c r="A6" s="20" t="s">
        <v>3</v>
      </c>
      <c r="C6" s="22"/>
      <c r="D6" s="114" t="s">
        <v>108</v>
      </c>
      <c r="E6" s="114" t="s">
        <v>136</v>
      </c>
      <c r="F6" s="114" t="s">
        <v>137</v>
      </c>
      <c r="G6" s="114" t="s">
        <v>115</v>
      </c>
      <c r="H6" s="114" t="s">
        <v>138</v>
      </c>
      <c r="I6" s="114" t="s">
        <v>139</v>
      </c>
      <c r="J6" s="114" t="s">
        <v>116</v>
      </c>
      <c r="K6" s="22"/>
    </row>
    <row r="7" spans="1:11" ht="20.100000000000001" customHeight="1" x14ac:dyDescent="0.25">
      <c r="A7" s="17" t="str">
        <f>HYPERLINK("#'Input - Site'!A1", "Site")</f>
        <v>Site</v>
      </c>
      <c r="C7" s="22"/>
      <c r="D7" s="1" t="s">
        <v>140</v>
      </c>
      <c r="E7" s="111">
        <f>'4.5.1.1-2 Methane'!$E$244</f>
        <v>31</v>
      </c>
      <c r="F7" s="111">
        <f>'4.5.1.1-2 Methane'!U276</f>
        <v>0</v>
      </c>
      <c r="G7" s="53" t="s">
        <v>127</v>
      </c>
      <c r="H7" s="111">
        <f>'4.5.1.1-2 Methane'!$E$249</f>
        <v>30</v>
      </c>
      <c r="I7" s="111">
        <f>'4.5.1.1-2 Methane'!$U$281</f>
        <v>0</v>
      </c>
      <c r="J7" s="53" t="s">
        <v>132</v>
      </c>
      <c r="K7" s="22"/>
    </row>
    <row r="8" spans="1:11" ht="20.100000000000001" customHeight="1" x14ac:dyDescent="0.25">
      <c r="A8" s="17" t="str">
        <f>HYPERLINK("#'Input - Swine'!A1", "Swine")</f>
        <v>Swine</v>
      </c>
      <c r="C8" s="22"/>
      <c r="D8" s="1" t="s">
        <v>196</v>
      </c>
      <c r="E8" s="111" t="e">
        <f>'4.2.1.3-4 Soil direct N20'!$E$227</f>
        <v>#VALUE!</v>
      </c>
      <c r="F8" s="111" t="e">
        <f>'4.2.1.3-4 Soil direct N20'!$U$259</f>
        <v>#REF!</v>
      </c>
      <c r="G8" s="53" t="s">
        <v>195</v>
      </c>
      <c r="H8" s="111" t="e">
        <f>'4.2.1.3-4 Soil direct N20'!$E$232</f>
        <v>#VALUE!</v>
      </c>
      <c r="I8" s="111" t="e">
        <f>'4.2.1.3-4 Soil direct N20'!$U$264</f>
        <v>#REF!</v>
      </c>
      <c r="J8" s="53" t="s">
        <v>132</v>
      </c>
      <c r="K8" s="22"/>
    </row>
    <row r="9" spans="1:11" ht="20.100000000000001" customHeight="1" x14ac:dyDescent="0.25">
      <c r="A9" s="17"/>
      <c r="C9" s="22"/>
      <c r="D9" s="1" t="s">
        <v>197</v>
      </c>
      <c r="E9" s="111" t="e">
        <f>'4.2.1.5-6 Soil Atmos Dep'!$E$35</f>
        <v>#VALUE!</v>
      </c>
      <c r="F9" s="111" t="e">
        <f>'4.2.1.5-6 Soil Atmos Dep'!$M$35</f>
        <v>#REF!</v>
      </c>
      <c r="G9" s="53" t="str">
        <f>'4.2.1.5-6 Soil Atmos Dep'!$F$35</f>
        <v>t N2O</v>
      </c>
      <c r="H9" s="111" t="e">
        <f>'4.2.1.5-6 Soil Atmos Dep'!$E$40</f>
        <v>#VALUE!</v>
      </c>
      <c r="I9" s="111" t="e">
        <f>'4.2.1.5-6 Soil Atmos Dep'!$M$40</f>
        <v>#REF!</v>
      </c>
      <c r="J9" s="53" t="s">
        <v>132</v>
      </c>
      <c r="K9" s="22"/>
    </row>
    <row r="10" spans="1:11" ht="20.100000000000001" customHeight="1" x14ac:dyDescent="0.25">
      <c r="A10" s="19" t="s">
        <v>76</v>
      </c>
      <c r="C10" s="22"/>
      <c r="D10" s="1" t="s">
        <v>198</v>
      </c>
      <c r="E10" s="111" t="e">
        <f>'4.2.1.7-8 Soil leach runoff'!$E$36</f>
        <v>#VALUE!</v>
      </c>
      <c r="F10" s="111" t="e">
        <f>'4.2.1.7-8 Soil leach runoff'!$L$36</f>
        <v>#VALUE!</v>
      </c>
      <c r="G10" s="53" t="str">
        <f>'4.2.1.7-8 Soil leach runoff'!$F$36</f>
        <v>t N2O</v>
      </c>
      <c r="H10" s="111" t="e">
        <f>'4.2.1.7-8 Soil leach runoff'!$E$41</f>
        <v>#VALUE!</v>
      </c>
      <c r="I10" s="111" t="e">
        <f>'4.2.1.7-8 Soil leach runoff'!$L$41</f>
        <v>#VALUE!</v>
      </c>
      <c r="J10" s="53" t="s">
        <v>132</v>
      </c>
      <c r="K10" s="22"/>
    </row>
    <row r="11" spans="1:11" ht="20.100000000000001" customHeight="1" x14ac:dyDescent="0.3">
      <c r="A11" s="17" t="str">
        <f>HYPERLINK("#'4.2.1.1-2 Methane'!A1", "4.2.1.1-2 Methane")</f>
        <v>4.2.1.1-2 Methane</v>
      </c>
      <c r="C11" s="22"/>
      <c r="D11" s="29" t="s">
        <v>114</v>
      </c>
      <c r="E11" s="23"/>
      <c r="F11" s="23"/>
      <c r="G11" s="29"/>
      <c r="H11" s="113" t="e">
        <f>SUM(H7:H10)</f>
        <v>#VALUE!</v>
      </c>
      <c r="I11" s="113" t="e">
        <f>SUM(I7:I10)</f>
        <v>#REF!</v>
      </c>
      <c r="J11" s="104" t="s">
        <v>132</v>
      </c>
      <c r="K11" s="22"/>
    </row>
    <row r="12" spans="1:11" ht="20.100000000000001" customHeight="1" x14ac:dyDescent="0.25">
      <c r="A12" s="17" t="str">
        <f>HYPERLINK("#'4.2.1.3-4 Soil direct N2O'!A1", "4.2.1.3-4 Soil direct N2O")</f>
        <v>4.2.1.3-4 Soil direct N2O</v>
      </c>
      <c r="C12" s="22"/>
      <c r="D12" s="1"/>
      <c r="E12" s="1"/>
      <c r="F12" s="1"/>
      <c r="G12" s="24"/>
      <c r="H12" s="22"/>
      <c r="I12" s="1"/>
      <c r="J12" s="1"/>
      <c r="K12" s="22"/>
    </row>
    <row r="13" spans="1:11" ht="20.100000000000001" customHeight="1" x14ac:dyDescent="0.25">
      <c r="A13" s="17" t="str">
        <f>HYPERLINK("#'4.2.1.5-6 Soil Atmos Dep'!A1", "4.2.1.5-6 Soil atm. deposition")</f>
        <v>4.2.1.5-6 Soil atm. deposition</v>
      </c>
      <c r="C13" s="22"/>
      <c r="D13" s="1"/>
      <c r="E13" s="1"/>
      <c r="F13" s="1"/>
      <c r="G13" s="1"/>
      <c r="H13" s="24"/>
      <c r="I13" s="22"/>
      <c r="J13" s="22"/>
      <c r="K13" s="22"/>
    </row>
    <row r="14" spans="1:11" ht="20.100000000000001" customHeight="1" x14ac:dyDescent="0.3">
      <c r="A14" s="17" t="str">
        <f>HYPERLINK("#'4.2.1.7-8 Soil leach runoff'!A1", "4.2.1.7-8 Soil leach &amp; runoff")</f>
        <v>4.2.1.7-8 Soil leach &amp; runoff</v>
      </c>
      <c r="C14" s="22"/>
      <c r="D14" s="1"/>
      <c r="E14" s="1"/>
      <c r="F14" s="1"/>
      <c r="G14" s="1"/>
      <c r="H14" s="27"/>
      <c r="I14" s="22"/>
      <c r="J14" s="22"/>
      <c r="K14" s="22"/>
    </row>
    <row r="15" spans="1:11" ht="20.100000000000001" customHeight="1" x14ac:dyDescent="0.3">
      <c r="A15" s="17"/>
      <c r="C15" s="22"/>
      <c r="D15" s="1"/>
      <c r="E15" s="1"/>
      <c r="F15" s="1"/>
      <c r="G15" s="1"/>
      <c r="H15" s="27"/>
      <c r="I15" s="22"/>
      <c r="J15" s="22"/>
      <c r="K15" s="22"/>
    </row>
    <row r="16" spans="1:11" ht="20.100000000000001" customHeight="1" x14ac:dyDescent="0.3">
      <c r="A16" s="18" t="s">
        <v>4</v>
      </c>
      <c r="C16" s="22"/>
      <c r="D16" s="1"/>
      <c r="E16" s="1"/>
      <c r="F16" s="1"/>
      <c r="G16" s="1"/>
      <c r="H16" s="27"/>
      <c r="I16" s="22"/>
      <c r="J16" s="22"/>
      <c r="K16" s="22"/>
    </row>
    <row r="17" spans="1:11" ht="20.100000000000001" customHeight="1" x14ac:dyDescent="0.3">
      <c r="A17" s="17" t="str">
        <f>HYPERLINK("#'Constants - Swine'!A1", "Constants - Swine")</f>
        <v>Constants - Swine</v>
      </c>
      <c r="C17" s="22"/>
      <c r="D17" s="1"/>
      <c r="E17" s="1"/>
      <c r="F17" s="1"/>
      <c r="G17" s="1"/>
      <c r="H17" s="27"/>
      <c r="I17" s="22"/>
      <c r="J17" s="22"/>
      <c r="K17" s="22"/>
    </row>
    <row r="18" spans="1:11" ht="20.100000000000001" customHeight="1" x14ac:dyDescent="0.3">
      <c r="A18" s="17" t="str">
        <f>HYPERLINK("#'Constants - Livestock'!A1", "Constants - Livestock")</f>
        <v>Constants - Livestock</v>
      </c>
      <c r="C18" s="22"/>
      <c r="D18" s="1"/>
      <c r="E18" s="1"/>
      <c r="F18" s="1"/>
      <c r="G18" s="1"/>
      <c r="H18" s="27"/>
      <c r="I18" s="22"/>
      <c r="J18" s="22"/>
      <c r="K18" s="22"/>
    </row>
    <row r="19" spans="1:11" ht="20.100000000000001" customHeight="1" x14ac:dyDescent="0.3">
      <c r="A19" s="17" t="str">
        <f>HYPERLINK("#'Constants - Common'!A1", "Constants - Common")</f>
        <v>Constants - Common</v>
      </c>
      <c r="C19" s="22"/>
      <c r="D19" s="1"/>
      <c r="E19" s="1"/>
      <c r="F19" s="1"/>
      <c r="G19" s="1"/>
      <c r="H19" s="27"/>
      <c r="I19" s="22"/>
      <c r="J19" s="22"/>
      <c r="K19" s="22"/>
    </row>
    <row r="20" spans="1:11" ht="20.100000000000001" customHeight="1" x14ac:dyDescent="0.3">
      <c r="A20" s="17" t="str">
        <f>HYPERLINK("#'Acknowledgements'!A1", "Acknowledgements")</f>
        <v>Acknowledgements</v>
      </c>
      <c r="C20" s="22"/>
      <c r="D20" s="1"/>
      <c r="E20" s="1"/>
      <c r="F20" s="1"/>
      <c r="G20" s="1"/>
      <c r="H20" s="27"/>
      <c r="I20" s="22"/>
      <c r="J20" s="22"/>
      <c r="K20" s="22"/>
    </row>
    <row r="21" spans="1:11" ht="20.100000000000001" customHeight="1" x14ac:dyDescent="0.3">
      <c r="C21" s="22"/>
      <c r="D21" s="1"/>
      <c r="E21" s="1"/>
      <c r="F21" s="1"/>
      <c r="G21" s="1"/>
      <c r="H21" s="27"/>
      <c r="I21" s="22"/>
      <c r="J21" s="22"/>
      <c r="K21" s="22"/>
    </row>
    <row r="22" spans="1:11" ht="20.100000000000001" customHeight="1" x14ac:dyDescent="0.3">
      <c r="A22" s="17"/>
      <c r="C22" s="22"/>
      <c r="D22" s="1"/>
      <c r="E22" s="1"/>
      <c r="F22" s="1"/>
      <c r="G22" s="1"/>
      <c r="H22" s="27"/>
      <c r="I22" s="22"/>
      <c r="J22" s="22"/>
      <c r="K22" s="22"/>
    </row>
    <row r="23" spans="1:11" ht="20.100000000000001" customHeight="1" x14ac:dyDescent="0.3">
      <c r="A23" s="17"/>
      <c r="C23" s="22"/>
      <c r="D23" s="1"/>
      <c r="E23" s="1"/>
      <c r="F23" s="1"/>
      <c r="G23" s="1"/>
      <c r="H23" s="27"/>
      <c r="I23" s="22"/>
      <c r="J23" s="22"/>
      <c r="K23" s="22"/>
    </row>
    <row r="24" spans="1:11" ht="20.100000000000001" customHeight="1" x14ac:dyDescent="0.3">
      <c r="A24" s="17"/>
      <c r="C24" s="22"/>
      <c r="D24" s="1"/>
      <c r="E24" s="1"/>
      <c r="F24" s="1"/>
      <c r="G24" s="1"/>
      <c r="H24" s="27"/>
      <c r="I24" s="22"/>
      <c r="J24" s="22"/>
      <c r="K24" s="22"/>
    </row>
    <row r="25" spans="1:11" ht="20.100000000000001" customHeight="1" x14ac:dyDescent="0.3">
      <c r="C25" s="22"/>
      <c r="D25" s="1"/>
      <c r="E25" s="1"/>
      <c r="F25" s="1"/>
      <c r="G25" s="1"/>
      <c r="H25" s="27"/>
      <c r="I25" s="22"/>
      <c r="J25" s="22"/>
      <c r="K25" s="22"/>
    </row>
    <row r="26" spans="1:11" ht="20.100000000000001" customHeight="1" x14ac:dyDescent="0.3">
      <c r="C26" s="22"/>
      <c r="D26" s="1"/>
      <c r="E26" s="1"/>
      <c r="F26" s="1"/>
      <c r="G26" s="1"/>
      <c r="H26" s="27"/>
      <c r="I26" s="22"/>
      <c r="J26" s="22"/>
      <c r="K26" s="22"/>
    </row>
    <row r="27" spans="1:11" ht="20.100000000000001" customHeight="1" x14ac:dyDescent="0.25">
      <c r="C27" s="22"/>
      <c r="D27" s="1"/>
      <c r="E27" s="1"/>
      <c r="F27" s="1"/>
      <c r="G27" s="1"/>
      <c r="H27" s="1"/>
      <c r="I27" s="1"/>
      <c r="J27" s="22"/>
      <c r="K27" s="22"/>
    </row>
    <row r="28" spans="1:11" ht="20.100000000000001" customHeight="1" x14ac:dyDescent="0.25">
      <c r="C28" s="22"/>
      <c r="D28" s="1"/>
      <c r="E28" s="1"/>
      <c r="F28" s="1"/>
      <c r="G28" s="1"/>
      <c r="H28" s="1"/>
      <c r="I28" s="1"/>
      <c r="J28" s="22"/>
      <c r="K28" s="22"/>
    </row>
    <row r="29" spans="1:11" ht="20.100000000000001" customHeight="1" x14ac:dyDescent="0.25">
      <c r="C29" s="22"/>
      <c r="D29" s="1"/>
      <c r="E29" s="1"/>
      <c r="F29" s="1"/>
      <c r="G29" s="1"/>
      <c r="H29" s="1"/>
      <c r="I29" s="1"/>
      <c r="J29" s="22"/>
      <c r="K29" s="22"/>
    </row>
    <row r="30" spans="1:11" ht="20.100000000000001" customHeight="1" x14ac:dyDescent="0.25">
      <c r="C30" s="22"/>
      <c r="D30" s="1"/>
      <c r="E30" s="1"/>
      <c r="F30" s="1"/>
      <c r="G30" s="1"/>
      <c r="H30" s="1"/>
      <c r="I30" s="1"/>
      <c r="J30" s="22"/>
      <c r="K30" s="22"/>
    </row>
    <row r="31" spans="1:11" ht="20.100000000000001" customHeight="1" x14ac:dyDescent="0.25">
      <c r="C31" s="22"/>
      <c r="D31" s="1"/>
      <c r="E31" s="1"/>
      <c r="F31" s="1"/>
      <c r="G31" s="1"/>
      <c r="H31" s="1"/>
      <c r="I31" s="1"/>
      <c r="J31" s="22"/>
      <c r="K31" s="22"/>
    </row>
    <row r="32" spans="1:11" ht="20.100000000000001" customHeight="1" x14ac:dyDescent="0.25">
      <c r="C32" s="22"/>
      <c r="D32" s="1"/>
      <c r="E32" s="1"/>
      <c r="F32" s="1"/>
      <c r="G32" s="1"/>
      <c r="H32" s="1"/>
      <c r="I32" s="1"/>
      <c r="J32" s="22"/>
      <c r="K32" s="22"/>
    </row>
    <row r="33" spans="3:11" ht="20.100000000000001" customHeight="1" x14ac:dyDescent="0.25">
      <c r="C33" s="22"/>
      <c r="D33" s="1"/>
      <c r="E33" s="1"/>
      <c r="F33" s="1"/>
      <c r="G33" s="1"/>
      <c r="H33" s="1"/>
      <c r="I33" s="1"/>
      <c r="J33" s="22"/>
      <c r="K33" s="22"/>
    </row>
    <row r="34" spans="3:11" ht="20.100000000000001" customHeight="1" x14ac:dyDescent="0.25">
      <c r="C34" s="22"/>
      <c r="D34" s="1"/>
      <c r="E34" s="1"/>
      <c r="F34" s="1"/>
      <c r="G34" s="1"/>
      <c r="H34" s="1"/>
      <c r="I34" s="22"/>
      <c r="J34" s="22"/>
      <c r="K34" s="22"/>
    </row>
    <row r="35" spans="3:11" ht="20.100000000000001" customHeight="1" x14ac:dyDescent="0.25">
      <c r="C35" s="22"/>
      <c r="D35" s="1"/>
      <c r="E35" s="1"/>
      <c r="F35" s="1"/>
      <c r="G35" s="1"/>
      <c r="H35" s="1"/>
      <c r="I35" s="22"/>
      <c r="J35" s="22"/>
      <c r="K35" s="22"/>
    </row>
    <row r="36" spans="3:11" ht="20.100000000000001" customHeight="1" x14ac:dyDescent="0.25">
      <c r="C36" s="22"/>
      <c r="D36" s="1"/>
      <c r="E36" s="1"/>
      <c r="F36" s="1"/>
      <c r="G36" s="1"/>
      <c r="H36" s="1"/>
      <c r="I36" s="22"/>
      <c r="J36" s="22"/>
      <c r="K36" s="22"/>
    </row>
    <row r="37" spans="3:11" ht="20.100000000000001" customHeight="1" x14ac:dyDescent="0.25">
      <c r="C37" s="22"/>
      <c r="D37" s="1"/>
      <c r="E37" s="1"/>
      <c r="F37" s="1"/>
      <c r="G37" s="1"/>
      <c r="H37" s="1"/>
      <c r="I37" s="22"/>
      <c r="J37" s="22"/>
      <c r="K37" s="22"/>
    </row>
    <row r="38" spans="3:11" ht="20.100000000000001" customHeight="1" x14ac:dyDescent="0.25">
      <c r="C38" s="22"/>
      <c r="D38" s="1"/>
      <c r="E38" s="1"/>
      <c r="F38" s="1"/>
      <c r="G38" s="1"/>
      <c r="H38" s="1"/>
      <c r="I38" s="110"/>
      <c r="J38" s="110"/>
      <c r="K38" s="22"/>
    </row>
    <row r="39" spans="3:11" ht="20.100000000000001" customHeight="1" x14ac:dyDescent="0.25">
      <c r="C39" s="22"/>
      <c r="D39" s="1"/>
      <c r="E39" s="1"/>
      <c r="F39" s="1"/>
      <c r="G39" s="1"/>
      <c r="H39" s="1"/>
      <c r="I39" s="110"/>
      <c r="J39" s="110"/>
      <c r="K39" s="22"/>
    </row>
    <row r="40" spans="3:11" ht="20.100000000000001" customHeight="1" x14ac:dyDescent="0.25">
      <c r="C40" s="22"/>
      <c r="D40" s="1"/>
      <c r="E40" s="1"/>
      <c r="F40" s="1"/>
      <c r="G40" s="1"/>
      <c r="H40" s="1"/>
      <c r="I40" s="110"/>
      <c r="J40" s="110"/>
      <c r="K40" s="22"/>
    </row>
    <row r="41" spans="3:11" ht="20.100000000000001" customHeight="1" x14ac:dyDescent="0.25">
      <c r="C41" s="22"/>
      <c r="D41" s="1"/>
      <c r="E41" s="1"/>
      <c r="F41" s="1"/>
      <c r="G41" s="1"/>
      <c r="H41" s="1"/>
      <c r="I41" s="110"/>
      <c r="J41" s="110"/>
      <c r="K41" s="22"/>
    </row>
    <row r="42" spans="3:11" ht="20.100000000000001" customHeight="1" x14ac:dyDescent="0.25">
      <c r="C42" s="22"/>
      <c r="D42" s="1"/>
      <c r="E42" s="1"/>
      <c r="F42" s="1"/>
      <c r="G42" s="1"/>
      <c r="H42" s="1"/>
      <c r="I42" s="110"/>
      <c r="J42" s="110"/>
      <c r="K42" s="22"/>
    </row>
    <row r="43" spans="3:11" ht="20.100000000000001" customHeight="1" x14ac:dyDescent="0.25">
      <c r="C43" s="22"/>
      <c r="D43" s="1"/>
      <c r="E43" s="1"/>
      <c r="F43" s="1"/>
      <c r="G43" s="1"/>
      <c r="H43" s="1"/>
      <c r="I43" s="110"/>
      <c r="J43" s="110"/>
      <c r="K43" s="22"/>
    </row>
    <row r="44" spans="3:11" ht="20.100000000000001" customHeight="1" x14ac:dyDescent="0.25">
      <c r="C44" s="22"/>
      <c r="D44" s="1"/>
      <c r="E44" s="1"/>
      <c r="F44" s="1"/>
      <c r="G44" s="1"/>
      <c r="H44" s="1"/>
      <c r="I44" s="110"/>
      <c r="J44" s="110"/>
      <c r="K44" s="22"/>
    </row>
    <row r="45" spans="3:11" ht="20.100000000000001" customHeight="1" x14ac:dyDescent="0.25">
      <c r="C45" s="22"/>
      <c r="D45" s="1"/>
      <c r="E45" s="1"/>
      <c r="F45" s="1"/>
      <c r="G45" s="1"/>
      <c r="H45" s="1"/>
      <c r="I45" s="110"/>
      <c r="J45" s="110"/>
      <c r="K45" s="22"/>
    </row>
    <row r="46" spans="3:11" ht="20.100000000000001" customHeight="1" x14ac:dyDescent="0.25">
      <c r="C46" s="22"/>
      <c r="D46" s="1"/>
      <c r="E46" s="1"/>
      <c r="F46" s="1"/>
      <c r="G46" s="1"/>
      <c r="H46" s="1"/>
      <c r="I46" s="110"/>
      <c r="J46" s="110"/>
      <c r="K46" s="22"/>
    </row>
    <row r="47" spans="3:11" ht="20.100000000000001" customHeight="1" x14ac:dyDescent="0.25">
      <c r="C47" s="22"/>
      <c r="D47" s="1"/>
      <c r="E47" s="1"/>
      <c r="F47" s="1"/>
      <c r="G47" s="1"/>
      <c r="H47" s="1"/>
      <c r="I47" s="110"/>
      <c r="J47" s="110"/>
      <c r="K47" s="22"/>
    </row>
    <row r="48" spans="3:11" ht="20.100000000000001" customHeight="1" x14ac:dyDescent="0.25">
      <c r="C48" s="22"/>
      <c r="D48" s="1"/>
      <c r="E48" s="1"/>
      <c r="F48" s="1"/>
      <c r="G48" s="1"/>
      <c r="H48" s="1"/>
      <c r="I48" s="110"/>
      <c r="J48" s="110"/>
      <c r="K48" s="22"/>
    </row>
    <row r="49" spans="3:11" ht="20.100000000000001" customHeight="1" x14ac:dyDescent="0.25">
      <c r="C49" s="22"/>
      <c r="D49" s="1"/>
      <c r="E49" s="1"/>
      <c r="F49" s="1"/>
      <c r="G49" s="1"/>
      <c r="H49" s="110"/>
      <c r="I49" s="110"/>
      <c r="J49" s="110"/>
      <c r="K49" s="22"/>
    </row>
    <row r="50" spans="3:11" ht="20.100000000000001" customHeight="1" x14ac:dyDescent="0.25">
      <c r="C50" s="22"/>
      <c r="D50" s="1"/>
      <c r="E50" s="1"/>
      <c r="F50" s="1"/>
      <c r="G50" s="1"/>
      <c r="H50" s="110"/>
      <c r="I50" s="110"/>
      <c r="J50" s="110"/>
      <c r="K50" s="22"/>
    </row>
    <row r="51" spans="3:11" ht="20.100000000000001" customHeight="1" x14ac:dyDescent="0.25">
      <c r="C51" s="22"/>
      <c r="D51" s="1"/>
      <c r="E51" s="1"/>
      <c r="F51" s="1"/>
      <c r="G51" s="1"/>
      <c r="H51" s="110"/>
      <c r="I51" s="110"/>
      <c r="J51" s="110"/>
      <c r="K51" s="22"/>
    </row>
    <row r="52" spans="3:11" ht="20.100000000000001" customHeight="1" x14ac:dyDescent="0.25">
      <c r="C52" s="22"/>
      <c r="D52" s="1"/>
      <c r="E52" s="1"/>
      <c r="F52" s="1"/>
      <c r="G52" s="1"/>
      <c r="H52" s="110"/>
      <c r="I52" s="110"/>
      <c r="J52" s="110"/>
      <c r="K52" s="22"/>
    </row>
    <row r="53" spans="3:11" ht="20.100000000000001" customHeight="1" x14ac:dyDescent="0.25">
      <c r="C53" s="22"/>
      <c r="D53" s="1"/>
      <c r="E53" s="1"/>
      <c r="F53" s="1"/>
      <c r="G53" s="1"/>
      <c r="H53" s="110"/>
      <c r="I53" s="110"/>
      <c r="J53" s="110"/>
      <c r="K53" s="22"/>
    </row>
    <row r="54" spans="3:11" ht="20.100000000000001" customHeight="1" x14ac:dyDescent="0.25">
      <c r="C54" s="22"/>
      <c r="D54" s="1"/>
      <c r="E54" s="1"/>
      <c r="F54" s="1"/>
      <c r="G54" s="1"/>
      <c r="H54" s="22"/>
      <c r="I54" s="22"/>
      <c r="J54" s="22"/>
      <c r="K54" s="22"/>
    </row>
    <row r="55" spans="3:11" ht="20.100000000000001" customHeight="1" x14ac:dyDescent="0.25">
      <c r="C55" s="22"/>
      <c r="D55" s="1"/>
      <c r="E55" s="1"/>
      <c r="F55" s="1"/>
      <c r="G55" s="1"/>
      <c r="H55" s="22"/>
      <c r="I55" s="22"/>
      <c r="J55" s="22"/>
      <c r="K55" s="22"/>
    </row>
    <row r="56" spans="3:11" ht="20.100000000000001" customHeight="1" x14ac:dyDescent="0.25">
      <c r="C56" s="22"/>
      <c r="D56" s="1"/>
      <c r="E56" s="1"/>
      <c r="F56" s="1"/>
      <c r="G56" s="1"/>
      <c r="H56" s="22"/>
      <c r="I56" s="22"/>
      <c r="J56" s="22"/>
      <c r="K56" s="22"/>
    </row>
    <row r="57" spans="3:11" ht="20.100000000000001" customHeight="1" x14ac:dyDescent="0.25">
      <c r="C57" s="22"/>
      <c r="D57" s="1"/>
      <c r="E57" s="1"/>
      <c r="F57" s="1"/>
      <c r="G57" s="1"/>
      <c r="H57" s="22"/>
      <c r="I57" s="22"/>
      <c r="J57" s="22"/>
      <c r="K57" s="22"/>
    </row>
    <row r="58" spans="3:11" ht="20.100000000000001" customHeight="1" x14ac:dyDescent="0.25">
      <c r="C58" s="22"/>
      <c r="D58" s="1"/>
      <c r="E58" s="30"/>
      <c r="F58" s="28"/>
      <c r="G58" s="22"/>
      <c r="H58" s="22"/>
      <c r="I58" s="22"/>
      <c r="J58" s="22"/>
      <c r="K58" s="22"/>
    </row>
    <row r="59" spans="3:11" ht="20.100000000000001" customHeight="1" x14ac:dyDescent="0.25">
      <c r="C59" s="22"/>
      <c r="D59" s="1"/>
      <c r="E59" s="1"/>
      <c r="F59" s="1"/>
      <c r="G59" s="1"/>
      <c r="H59" s="1"/>
      <c r="I59" s="1"/>
      <c r="J59" s="1"/>
      <c r="K59" s="22"/>
    </row>
    <row r="60" spans="3:11" ht="20.100000000000001" customHeight="1" x14ac:dyDescent="0.25">
      <c r="C60" s="22"/>
      <c r="D60" s="1"/>
      <c r="E60" s="1"/>
      <c r="F60" s="1"/>
      <c r="G60" s="1"/>
      <c r="H60" s="1"/>
      <c r="I60" s="1"/>
      <c r="J60" s="1"/>
      <c r="K60" s="22"/>
    </row>
    <row r="61" spans="3:11" ht="20.100000000000001" customHeight="1" x14ac:dyDescent="0.25">
      <c r="C61" s="22"/>
      <c r="D61" s="1"/>
      <c r="E61" s="1"/>
      <c r="F61" s="1"/>
      <c r="G61" s="1"/>
      <c r="H61" s="1"/>
      <c r="I61" s="1"/>
      <c r="J61" s="1"/>
      <c r="K61" s="22"/>
    </row>
    <row r="62" spans="3:11" ht="20.100000000000001" customHeight="1" x14ac:dyDescent="0.25">
      <c r="C62" s="22"/>
      <c r="D62" s="1"/>
      <c r="E62" s="1"/>
      <c r="F62" s="1"/>
      <c r="G62" s="1"/>
      <c r="H62" s="1"/>
      <c r="I62" s="1"/>
      <c r="J62" s="1"/>
      <c r="K62" s="22"/>
    </row>
    <row r="63" spans="3:11" ht="20.100000000000001" customHeight="1" x14ac:dyDescent="0.25">
      <c r="C63" s="22"/>
      <c r="D63" s="1"/>
      <c r="E63" s="1"/>
      <c r="F63" s="1"/>
      <c r="G63" s="1"/>
      <c r="H63" s="1"/>
      <c r="I63" s="1"/>
      <c r="J63" s="1"/>
      <c r="K63" s="22"/>
    </row>
    <row r="64" spans="3:11" ht="20.100000000000001" customHeight="1" x14ac:dyDescent="0.25">
      <c r="C64" s="22"/>
      <c r="D64" s="1"/>
      <c r="E64" s="1"/>
      <c r="F64" s="1"/>
      <c r="G64" s="1"/>
      <c r="H64" s="1"/>
      <c r="I64" s="1"/>
      <c r="J64" s="1"/>
      <c r="K64" s="22"/>
    </row>
    <row r="65" spans="3:11" ht="20.100000000000001" customHeight="1" x14ac:dyDescent="0.25">
      <c r="C65" s="22"/>
      <c r="D65" s="1"/>
      <c r="E65" s="1"/>
      <c r="F65" s="1"/>
      <c r="G65" s="1"/>
      <c r="H65" s="1"/>
      <c r="I65" s="1"/>
      <c r="J65" s="1"/>
      <c r="K65" s="22"/>
    </row>
    <row r="66" spans="3:11" ht="20.100000000000001" customHeight="1" x14ac:dyDescent="0.25">
      <c r="C66" s="22"/>
      <c r="D66" s="1"/>
      <c r="E66" s="1"/>
      <c r="F66" s="1"/>
      <c r="G66" s="1"/>
      <c r="H66" s="1"/>
      <c r="I66" s="1"/>
      <c r="J66" s="1"/>
      <c r="K66" s="22"/>
    </row>
    <row r="67" spans="3:11" ht="20.100000000000001" customHeight="1" x14ac:dyDescent="0.25">
      <c r="C67" s="22"/>
      <c r="D67" s="1"/>
      <c r="E67" s="1"/>
      <c r="F67" s="1"/>
      <c r="G67" s="1"/>
      <c r="H67" s="1"/>
      <c r="I67" s="1"/>
      <c r="J67" s="1"/>
      <c r="K67" s="22"/>
    </row>
    <row r="68" spans="3:11" ht="20.100000000000001" customHeight="1" x14ac:dyDescent="0.25">
      <c r="C68" s="22"/>
      <c r="D68" s="1"/>
      <c r="E68" s="1"/>
      <c r="F68" s="1"/>
      <c r="G68" s="1"/>
      <c r="H68" s="1"/>
      <c r="I68" s="1"/>
      <c r="J68" s="1"/>
      <c r="K68" s="22"/>
    </row>
    <row r="69" spans="3:11" ht="20.100000000000001" customHeight="1" x14ac:dyDescent="0.25">
      <c r="C69" s="22"/>
      <c r="D69" s="1"/>
      <c r="E69" s="1"/>
      <c r="F69" s="1"/>
      <c r="G69" s="1"/>
      <c r="H69" s="1"/>
      <c r="I69" s="1"/>
      <c r="J69" s="1"/>
      <c r="K69" s="22"/>
    </row>
    <row r="70" spans="3:11" ht="20.100000000000001" customHeight="1" x14ac:dyDescent="0.25">
      <c r="C70" s="22"/>
      <c r="D70" s="1"/>
      <c r="E70" s="1"/>
      <c r="F70" s="1"/>
      <c r="G70" s="1"/>
      <c r="H70" s="1"/>
      <c r="I70" s="1"/>
      <c r="J70" s="1"/>
      <c r="K70" s="22"/>
    </row>
    <row r="71" spans="3:11" ht="20.100000000000001" customHeight="1" x14ac:dyDescent="0.25">
      <c r="C71" s="22"/>
      <c r="D71" s="1"/>
      <c r="E71" s="1"/>
      <c r="F71" s="1"/>
      <c r="G71" s="1"/>
      <c r="H71" s="1"/>
      <c r="I71" s="1"/>
      <c r="J71" s="1"/>
      <c r="K71" s="22"/>
    </row>
    <row r="72" spans="3:11" ht="20.100000000000001" customHeight="1" x14ac:dyDescent="0.25">
      <c r="C72" s="22"/>
      <c r="D72" s="1"/>
      <c r="E72" s="1"/>
      <c r="F72" s="1"/>
      <c r="G72" s="1"/>
      <c r="H72" s="1"/>
      <c r="I72" s="1"/>
      <c r="J72" s="1"/>
      <c r="K72" s="22"/>
    </row>
    <row r="73" spans="3:11" ht="20.100000000000001" customHeight="1" x14ac:dyDescent="0.25">
      <c r="C73" s="22"/>
      <c r="D73" s="1"/>
      <c r="E73" s="1"/>
      <c r="F73" s="1"/>
      <c r="G73" s="1"/>
      <c r="H73" s="1"/>
      <c r="I73" s="1"/>
      <c r="J73" s="1"/>
      <c r="K73" s="22"/>
    </row>
    <row r="74" spans="3:11" ht="20.100000000000001" customHeight="1" x14ac:dyDescent="0.25">
      <c r="C74" s="22"/>
      <c r="D74" s="1"/>
      <c r="E74" s="1"/>
      <c r="F74" s="1"/>
      <c r="G74" s="1"/>
      <c r="H74" s="1"/>
      <c r="I74" s="1"/>
      <c r="J74" s="1"/>
      <c r="K74" s="22"/>
    </row>
    <row r="75" spans="3:11" ht="20.100000000000001" customHeight="1" x14ac:dyDescent="0.25">
      <c r="C75" s="22"/>
      <c r="D75" s="1"/>
      <c r="E75" s="1"/>
      <c r="F75" s="1"/>
      <c r="G75" s="1"/>
      <c r="H75" s="1"/>
      <c r="I75" s="1"/>
      <c r="J75" s="1"/>
      <c r="K75" s="22"/>
    </row>
    <row r="76" spans="3:11" ht="15.75" x14ac:dyDescent="0.25">
      <c r="C76" s="22"/>
      <c r="D76" s="1"/>
      <c r="E76" s="1"/>
      <c r="F76" s="1"/>
      <c r="G76" s="1"/>
      <c r="H76" s="1"/>
      <c r="I76" s="1"/>
      <c r="J76" s="1"/>
      <c r="K76" s="22"/>
    </row>
    <row r="77" spans="3:11" ht="15.75" x14ac:dyDescent="0.25">
      <c r="C77" s="22"/>
      <c r="D77" s="1"/>
      <c r="E77" s="1"/>
      <c r="F77" s="1"/>
      <c r="G77" s="1"/>
      <c r="H77" s="1"/>
      <c r="I77" s="1"/>
      <c r="J77" s="1"/>
      <c r="K77" s="22"/>
    </row>
    <row r="78" spans="3:11" ht="15.75" x14ac:dyDescent="0.25">
      <c r="C78" s="22"/>
      <c r="D78" s="1"/>
      <c r="E78" s="1"/>
      <c r="F78" s="1"/>
      <c r="G78" s="1"/>
      <c r="H78" s="1"/>
      <c r="I78" s="1"/>
      <c r="J78" s="1"/>
      <c r="K78" s="22"/>
    </row>
    <row r="79" spans="3:11" ht="15.75" x14ac:dyDescent="0.25">
      <c r="C79" s="22"/>
      <c r="D79" s="1"/>
      <c r="E79" s="1"/>
      <c r="F79" s="1"/>
      <c r="G79" s="1"/>
      <c r="H79" s="1"/>
      <c r="I79" s="1"/>
      <c r="J79" s="1"/>
      <c r="K79" s="22"/>
    </row>
    <row r="80" spans="3:11" ht="15.75" x14ac:dyDescent="0.25">
      <c r="C80" s="22"/>
      <c r="D80" s="1"/>
      <c r="E80" s="1"/>
      <c r="F80" s="1"/>
      <c r="G80" s="1"/>
      <c r="H80" s="1"/>
      <c r="I80" s="1"/>
      <c r="J80" s="1"/>
      <c r="K80" s="22"/>
    </row>
    <row r="81" spans="3:11" ht="15.75" x14ac:dyDescent="0.25">
      <c r="C81" s="22"/>
      <c r="D81" s="1"/>
      <c r="E81" s="1"/>
      <c r="F81" s="1"/>
      <c r="G81" s="1"/>
      <c r="H81" s="1"/>
      <c r="I81" s="1"/>
      <c r="J81" s="1"/>
      <c r="K81" s="22"/>
    </row>
    <row r="82" spans="3:11" ht="15.75" x14ac:dyDescent="0.25">
      <c r="C82" s="22"/>
      <c r="D82" s="1"/>
      <c r="E82" s="1"/>
      <c r="F82" s="1"/>
      <c r="G82" s="1"/>
      <c r="H82" s="1"/>
      <c r="I82" s="1"/>
      <c r="J82" s="1"/>
      <c r="K82" s="22"/>
    </row>
    <row r="83" spans="3:11" ht="15.75" x14ac:dyDescent="0.25">
      <c r="C83" s="22"/>
      <c r="D83" s="1"/>
      <c r="E83" s="1"/>
      <c r="F83" s="1"/>
      <c r="G83" s="1"/>
      <c r="H83" s="1"/>
      <c r="I83" s="1"/>
      <c r="J83" s="1"/>
      <c r="K83" s="22"/>
    </row>
    <row r="84" spans="3:11" ht="15.75" x14ac:dyDescent="0.25">
      <c r="C84" s="22"/>
      <c r="D84" s="1"/>
      <c r="E84" s="1"/>
      <c r="F84" s="1"/>
      <c r="G84" s="1"/>
      <c r="H84" s="1"/>
      <c r="I84" s="1"/>
      <c r="J84" s="1"/>
      <c r="K84" s="22"/>
    </row>
    <row r="85" spans="3:11" ht="15.75" x14ac:dyDescent="0.25">
      <c r="C85" s="22"/>
      <c r="D85" s="1"/>
      <c r="E85" s="1"/>
      <c r="F85" s="1"/>
      <c r="G85" s="1"/>
      <c r="H85" s="1"/>
      <c r="I85" s="1"/>
      <c r="J85" s="1"/>
      <c r="K85" s="22"/>
    </row>
    <row r="86" spans="3:11" x14ac:dyDescent="0.25">
      <c r="C86" s="22"/>
      <c r="D86" s="22"/>
      <c r="E86" s="22"/>
      <c r="F86" s="22"/>
      <c r="G86" s="22"/>
      <c r="H86" s="22"/>
      <c r="I86" s="22"/>
      <c r="J86" s="22"/>
      <c r="K86" s="22"/>
    </row>
    <row r="87" spans="3:11" x14ac:dyDescent="0.25">
      <c r="C87" s="22"/>
      <c r="D87" s="22"/>
      <c r="E87" s="22"/>
      <c r="F87" s="22"/>
      <c r="G87" s="22"/>
      <c r="H87" s="22"/>
      <c r="I87" s="22"/>
      <c r="J87" s="22"/>
      <c r="K87" s="2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zoomScaleNormal="100" workbookViewId="0">
      <selection activeCell="F21" sqref="F21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67" t="e" vm="1">
        <v>#VALUE!</v>
      </c>
      <c r="C1" s="12" t="s">
        <v>91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68"/>
      <c r="D4" s="68"/>
      <c r="E4" s="68"/>
      <c r="F4" s="68"/>
      <c r="G4" s="68"/>
      <c r="H4" s="68"/>
      <c r="I4" s="68"/>
      <c r="J4" s="68"/>
      <c r="K4" s="68"/>
    </row>
    <row r="5" spans="1:24" ht="20.100000000000001" customHeight="1" x14ac:dyDescent="0.25">
      <c r="D5" s="6" t="s">
        <v>15</v>
      </c>
      <c r="N5" s="40"/>
    </row>
    <row r="6" spans="1:24" ht="20.100000000000001" customHeight="1" x14ac:dyDescent="0.25">
      <c r="A6" s="20" t="s">
        <v>3</v>
      </c>
      <c r="D6" s="14"/>
      <c r="N6" s="41"/>
    </row>
    <row r="7" spans="1:24" ht="20.100000000000001" customHeight="1" x14ac:dyDescent="0.25">
      <c r="A7" s="17" t="str">
        <f>HYPERLINK("#'Input - Site'!A1", "Site")</f>
        <v>Site</v>
      </c>
      <c r="D7" s="1" t="s">
        <v>7</v>
      </c>
      <c r="E7" s="33" t="s">
        <v>6</v>
      </c>
      <c r="F7" s="2"/>
    </row>
    <row r="8" spans="1:24" ht="20.100000000000001" customHeight="1" x14ac:dyDescent="0.25">
      <c r="A8" s="17" t="str">
        <f>HYPERLINK("#'Input - Swine'!A1", "Swine")</f>
        <v>Swine</v>
      </c>
      <c r="D8" s="10" t="s">
        <v>72</v>
      </c>
      <c r="E8" s="33" t="s">
        <v>73</v>
      </c>
    </row>
    <row r="9" spans="1:24" ht="20.100000000000001" customHeight="1" x14ac:dyDescent="0.25">
      <c r="A9" s="17"/>
      <c r="N9" s="42"/>
    </row>
    <row r="10" spans="1:24" ht="20.100000000000001" customHeight="1" x14ac:dyDescent="0.25">
      <c r="A10" s="19" t="s">
        <v>76</v>
      </c>
      <c r="D10" s="93" t="s">
        <v>90</v>
      </c>
      <c r="E10" s="91"/>
      <c r="F10" s="94"/>
      <c r="G10" s="88"/>
      <c r="N10" s="42"/>
    </row>
    <row r="11" spans="1:24" ht="20.100000000000001" customHeight="1" x14ac:dyDescent="0.25">
      <c r="A11" s="17" t="str">
        <f>HYPERLINK("#'4.2.1.1-2 Methane'!A1", "4.2.1.1-2 Methane")</f>
        <v>4.2.1.1-2 Methane</v>
      </c>
      <c r="N11" s="43"/>
    </row>
    <row r="12" spans="1:24" ht="20.100000000000001" customHeight="1" x14ac:dyDescent="0.25">
      <c r="A12" s="17" t="str">
        <f>HYPERLINK("#'4.2.1.3-4 Soil direct N2O'!A1", "4.2.1.3-4 Soil direct N2O")</f>
        <v>4.2.1.3-4 Soil direct N2O</v>
      </c>
      <c r="D12" s="10" t="s">
        <v>96</v>
      </c>
      <c r="E12" s="63">
        <v>45292</v>
      </c>
      <c r="F12" s="2" t="s">
        <v>70</v>
      </c>
    </row>
    <row r="13" spans="1:24" ht="20.100000000000001" customHeight="1" x14ac:dyDescent="0.25">
      <c r="A13" s="17" t="str">
        <f>HYPERLINK("#'4.2.1.5-6 Soil Atmos Dep'!A1", "4.2.1.5-6 Soil atm. deposition")</f>
        <v>4.2.1.5-6 Soil atm. deposition</v>
      </c>
      <c r="D13" s="10" t="s">
        <v>97</v>
      </c>
      <c r="E13" s="69">
        <f>DATE(YEAR(E12)+1,MONTH(E12),DAY(E12))-1</f>
        <v>45657</v>
      </c>
      <c r="F13" s="2" t="s">
        <v>17</v>
      </c>
      <c r="N13" s="38"/>
      <c r="O13" s="38"/>
    </row>
    <row r="14" spans="1:24" ht="20.100000000000001" customHeight="1" x14ac:dyDescent="0.25">
      <c r="A14" s="17" t="str">
        <f>HYPERLINK("#'4.2.1.7-8 Soil leach runoff'!A1", "4.2.1.7-8 Soil leach &amp; runoff")</f>
        <v>4.2.1.7-8 Soil leach &amp; runoff</v>
      </c>
      <c r="N14" s="38"/>
      <c r="O14" s="38"/>
    </row>
    <row r="15" spans="1:24" ht="20.100000000000001" customHeight="1" x14ac:dyDescent="0.25">
      <c r="A15" s="17"/>
      <c r="N15" s="38"/>
      <c r="O15" s="38"/>
    </row>
    <row r="16" spans="1:24" ht="20.100000000000001" customHeight="1" x14ac:dyDescent="0.25">
      <c r="A16" s="18" t="s">
        <v>4</v>
      </c>
      <c r="D16" s="6" t="s">
        <v>14</v>
      </c>
      <c r="N16" s="38"/>
      <c r="O16" s="38"/>
    </row>
    <row r="17" spans="1:25" ht="20.100000000000001" customHeight="1" x14ac:dyDescent="0.25">
      <c r="A17" s="17" t="str">
        <f>HYPERLINK("#'Constants - Swine'!A1", "Constants - Swine")</f>
        <v>Constants - Swine</v>
      </c>
    </row>
    <row r="18" spans="1:25" ht="20.100000000000001" customHeight="1" x14ac:dyDescent="0.25">
      <c r="A18" s="17" t="str">
        <f>HYPERLINK("#'Constants - Livestock'!A1", "Constants - Livestock")</f>
        <v>Constants - Livestock</v>
      </c>
      <c r="D18" s="95" t="s">
        <v>16</v>
      </c>
      <c r="E18" s="90"/>
      <c r="F18" s="90"/>
      <c r="G18" s="86"/>
    </row>
    <row r="19" spans="1:25" ht="20.100000000000001" customHeight="1" x14ac:dyDescent="0.25">
      <c r="A19" s="17" t="str">
        <f>HYPERLINK("#'Constants - Common'!A1", "Constants - Common")</f>
        <v>Constants - Common</v>
      </c>
      <c r="D19" s="92" t="s">
        <v>71</v>
      </c>
      <c r="E19" s="89"/>
      <c r="F19" s="89"/>
      <c r="G19" s="87"/>
      <c r="N19" s="40"/>
    </row>
    <row r="20" spans="1:25" ht="20.100000000000001" customHeight="1" x14ac:dyDescent="0.25">
      <c r="A20" s="17" t="str">
        <f>HYPERLINK("#'Acknowledgements'!A1", "Acknowledgements")</f>
        <v>Acknowledgements</v>
      </c>
      <c r="D20" s="1"/>
      <c r="E20" s="31"/>
      <c r="F20" s="2"/>
      <c r="N20" s="41"/>
    </row>
    <row r="21" spans="1:25" ht="20.100000000000001" customHeight="1" x14ac:dyDescent="0.25">
      <c r="A21"/>
      <c r="D21" s="1" t="s">
        <v>8</v>
      </c>
      <c r="E21" s="39" t="s">
        <v>154</v>
      </c>
      <c r="F21" s="2" t="s">
        <v>11</v>
      </c>
    </row>
    <row r="22" spans="1:25" ht="20.100000000000001" customHeight="1" x14ac:dyDescent="0.25">
      <c r="A22" s="17"/>
      <c r="D22" s="1" t="s">
        <v>25</v>
      </c>
      <c r="E22" s="39" t="s">
        <v>34</v>
      </c>
      <c r="F22" s="2" t="s">
        <v>11</v>
      </c>
      <c r="G22" s="1"/>
    </row>
    <row r="23" spans="1:25" ht="20.100000000000001" customHeight="1" x14ac:dyDescent="0.25">
      <c r="A23" s="17"/>
      <c r="D23" s="1" t="s">
        <v>9</v>
      </c>
      <c r="E23" s="39" t="s">
        <v>95</v>
      </c>
      <c r="F23" s="2" t="s">
        <v>11</v>
      </c>
    </row>
    <row r="24" spans="1:25" ht="20.100000000000001" customHeight="1" x14ac:dyDescent="0.25">
      <c r="A24" s="17"/>
      <c r="D24" s="1" t="s">
        <v>39</v>
      </c>
      <c r="E24" s="33">
        <v>307.7</v>
      </c>
      <c r="F24" s="2" t="s">
        <v>53</v>
      </c>
    </row>
    <row r="25" spans="1:25" ht="20.100000000000001" customHeight="1" x14ac:dyDescent="0.25">
      <c r="A25"/>
      <c r="D25" s="1" t="s">
        <v>61</v>
      </c>
      <c r="E25" s="33">
        <v>18</v>
      </c>
      <c r="F25" s="2" t="s">
        <v>12</v>
      </c>
      <c r="N25" s="41"/>
    </row>
    <row r="26" spans="1:25" ht="20.100000000000001" customHeight="1" x14ac:dyDescent="0.25">
      <c r="A26"/>
      <c r="D26" s="1" t="s">
        <v>62</v>
      </c>
      <c r="E26" s="33">
        <v>601</v>
      </c>
      <c r="F26" s="2" t="s">
        <v>13</v>
      </c>
    </row>
    <row r="27" spans="1:25" ht="20.100000000000001" customHeight="1" x14ac:dyDescent="0.25">
      <c r="A27"/>
      <c r="D27" s="10" t="s">
        <v>63</v>
      </c>
      <c r="E27" s="33">
        <v>1326</v>
      </c>
      <c r="F27" s="2" t="s">
        <v>13</v>
      </c>
    </row>
    <row r="28" spans="1:25" ht="20.100000000000001" customHeight="1" x14ac:dyDescent="0.25">
      <c r="A28"/>
      <c r="D28" s="1" t="s">
        <v>64</v>
      </c>
      <c r="E28" s="33">
        <v>7</v>
      </c>
      <c r="F28" s="2" t="s">
        <v>54</v>
      </c>
    </row>
    <row r="29" spans="1:25" ht="20.100000000000001" customHeight="1" x14ac:dyDescent="0.25">
      <c r="A29"/>
      <c r="D29" s="10" t="s">
        <v>60</v>
      </c>
      <c r="E29" s="51">
        <f>E26/E27</f>
        <v>0.45324283559577677</v>
      </c>
      <c r="F29" s="2"/>
    </row>
    <row r="30" spans="1:25" ht="20.100000000000001" customHeight="1" x14ac:dyDescent="0.25">
      <c r="A30"/>
      <c r="D30" s="10" t="s">
        <v>35</v>
      </c>
      <c r="E30" s="51" t="str">
        <f>Common_InputFunctions.Utility_LookupItemFromMinMax(E26,Table_SourceData_RainfallZones[Min rainfall],Table_SourceData_RainfallZones[Max rainfall],Table_SourceData_RainfallZones[Rainfall Zone])</f>
        <v>High rainfall</v>
      </c>
      <c r="G30" s="32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</row>
    <row r="31" spans="1:25" ht="20.100000000000001" customHeight="1" x14ac:dyDescent="0.25">
      <c r="A31"/>
      <c r="D31" s="1" t="s">
        <v>10</v>
      </c>
      <c r="E31" s="51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1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</row>
    <row r="32" spans="1:25" ht="20.100000000000001" customHeight="1" x14ac:dyDescent="0.25">
      <c r="A32"/>
      <c r="D32" s="1" t="s">
        <v>92</v>
      </c>
      <c r="E32" s="51" t="str">
        <f>Common_InputFunctions.Utility_LookupValueInTable($E$31,Table_SourceData_WetDryZones[Climate zone],Table_SourceData_WetDryZones[Wet or Dry Zone])</f>
        <v>Dry climate zone</v>
      </c>
      <c r="F32" s="1"/>
      <c r="G32" s="31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</row>
    <row r="33" spans="1:25" ht="20.100000000000001" customHeight="1" x14ac:dyDescent="0.25">
      <c r="A33"/>
      <c r="D33" s="1" t="s">
        <v>52</v>
      </c>
      <c r="E33" s="51" t="str">
        <f>Common_InputFunctions.Utility_LookupItemFromMinMax(E25,Table_SourceData_TemperatureZones[Min MAT],Table_SourceData_TemperatureZones[Max MAT],Table_SourceData_TemperatureZones[Temperature Zone])</f>
        <v>Temperate</v>
      </c>
      <c r="G33" s="70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</row>
    <row r="34" spans="1:25" ht="20.100000000000001" customHeight="1" x14ac:dyDescent="0.25">
      <c r="A34"/>
      <c r="J34" s="60"/>
      <c r="K34" s="73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</row>
    <row r="35" spans="1:25" ht="20.100000000000001" customHeight="1" x14ac:dyDescent="0.25">
      <c r="A35"/>
      <c r="J35" s="60"/>
      <c r="K35" s="73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</row>
    <row r="36" spans="1:25" ht="20.100000000000001" customHeight="1" x14ac:dyDescent="0.25">
      <c r="A36"/>
      <c r="D36" s="71"/>
      <c r="E36" s="71"/>
      <c r="F36" s="72"/>
      <c r="G36" s="60"/>
      <c r="H36" s="60"/>
      <c r="I36" s="61"/>
      <c r="J36" s="60"/>
      <c r="K36" s="73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</row>
    <row r="37" spans="1:25" ht="20.100000000000001" customHeight="1" x14ac:dyDescent="0.25">
      <c r="A37"/>
      <c r="D37" s="71"/>
      <c r="E37" s="71"/>
      <c r="F37" s="72"/>
      <c r="G37" s="60"/>
      <c r="H37" s="60"/>
      <c r="I37" s="61"/>
      <c r="J37" s="60"/>
      <c r="K37" s="73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</row>
    <row r="38" spans="1:25" ht="20.100000000000001" customHeight="1" x14ac:dyDescent="0.25">
      <c r="A38"/>
      <c r="D38" s="71"/>
      <c r="E38" s="71"/>
      <c r="F38" s="72"/>
      <c r="G38" s="60"/>
      <c r="H38" s="60"/>
      <c r="I38" s="61"/>
      <c r="J38" s="60"/>
      <c r="K38" s="73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</row>
    <row r="39" spans="1:25" ht="20.100000000000001" customHeight="1" x14ac:dyDescent="0.25">
      <c r="A39"/>
      <c r="D39" s="71"/>
      <c r="E39" s="71"/>
      <c r="F39" s="72"/>
      <c r="G39" s="60"/>
      <c r="H39" s="60"/>
      <c r="I39" s="61"/>
      <c r="J39" s="60"/>
      <c r="K39" s="73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</row>
    <row r="40" spans="1:25" ht="20.100000000000001" customHeight="1" x14ac:dyDescent="0.25">
      <c r="A40"/>
      <c r="D40" s="74"/>
      <c r="E40" s="74"/>
      <c r="F40" s="74"/>
      <c r="G40" s="75"/>
      <c r="H40" s="76"/>
      <c r="I40" s="76"/>
      <c r="J40" s="76"/>
      <c r="K40" s="76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6"/>
    </row>
    <row r="47" spans="1:25" ht="20.100000000000001" customHeight="1" x14ac:dyDescent="0.25">
      <c r="D47" s="77"/>
      <c r="E47" s="77"/>
      <c r="F47" s="77"/>
      <c r="G47" s="77"/>
      <c r="H47" s="77"/>
    </row>
    <row r="48" spans="1:25" ht="20.100000000000001" customHeight="1" x14ac:dyDescent="0.25">
      <c r="D48" s="34"/>
      <c r="E48" s="34"/>
      <c r="F48" s="35"/>
      <c r="G48" s="35"/>
      <c r="H48" s="34"/>
    </row>
    <row r="49" spans="4:8" ht="20.100000000000001" customHeight="1" x14ac:dyDescent="0.25">
      <c r="D49" s="34"/>
      <c r="E49" s="34"/>
      <c r="F49" s="35"/>
      <c r="G49" s="35"/>
      <c r="H49" s="34"/>
    </row>
    <row r="50" spans="4:8" ht="20.100000000000001" customHeight="1" x14ac:dyDescent="0.25">
      <c r="D50" s="34"/>
      <c r="E50" s="34"/>
      <c r="F50" s="35"/>
      <c r="G50" s="35"/>
      <c r="H50" s="34"/>
    </row>
    <row r="51" spans="4:8" ht="20.100000000000001" customHeight="1" x14ac:dyDescent="0.25">
      <c r="D51" s="78"/>
      <c r="E51" s="79"/>
      <c r="F51" s="79"/>
      <c r="G51" s="79"/>
      <c r="H51" s="80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1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1"/>
      <c r="F57" s="82"/>
    </row>
    <row r="58" spans="4:8" ht="20.100000000000001" customHeight="1" x14ac:dyDescent="0.25">
      <c r="D58" s="1"/>
      <c r="E58" s="83"/>
    </row>
    <row r="59" spans="4:8" ht="20.100000000000001" customHeight="1" x14ac:dyDescent="0.25">
      <c r="D59" s="1"/>
      <c r="E59" s="83"/>
    </row>
    <row r="60" spans="4:8" ht="20.100000000000001" customHeight="1" x14ac:dyDescent="0.25">
      <c r="D60" s="1"/>
      <c r="E60" s="84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1"/>
    </row>
    <row r="64" spans="4:8" ht="20.100000000000001" customHeight="1" x14ac:dyDescent="0.25">
      <c r="D64" s="1"/>
      <c r="E64" s="83"/>
    </row>
    <row r="65" spans="4:9" ht="20.100000000000001" customHeight="1" x14ac:dyDescent="0.25">
      <c r="D65" s="1"/>
      <c r="E65" s="83"/>
    </row>
    <row r="66" spans="4:9" ht="20.100000000000001" customHeight="1" x14ac:dyDescent="0.25">
      <c r="D66" s="1"/>
      <c r="E66" s="84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59"/>
      <c r="E69" s="59"/>
      <c r="F69" s="59"/>
      <c r="G69" s="59"/>
      <c r="H69" s="59"/>
      <c r="I69" s="59"/>
    </row>
    <row r="70" spans="4:9" ht="20.100000000000001" customHeight="1" x14ac:dyDescent="0.25">
      <c r="D70" s="59"/>
      <c r="E70" s="59"/>
      <c r="F70" s="59"/>
      <c r="G70" s="59"/>
      <c r="H70" s="59"/>
      <c r="I70" s="59"/>
    </row>
    <row r="71" spans="4:9" ht="20.100000000000001" customHeight="1" x14ac:dyDescent="0.25">
      <c r="D71" s="59"/>
      <c r="E71" s="59"/>
      <c r="F71" s="59"/>
      <c r="G71" s="59"/>
      <c r="H71" s="59"/>
      <c r="I71" s="59"/>
    </row>
    <row r="72" spans="4:9" ht="20.100000000000001" customHeight="1" x14ac:dyDescent="0.25">
      <c r="D72" s="59"/>
      <c r="E72" s="59"/>
      <c r="F72" s="59"/>
      <c r="G72" s="59"/>
      <c r="H72" s="59"/>
      <c r="I72" s="59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85"/>
    </row>
    <row r="79" spans="4:9" ht="20.100000000000001" customHeight="1" x14ac:dyDescent="0.25">
      <c r="D79" s="85"/>
    </row>
    <row r="80" spans="4:9" ht="20.100000000000001" customHeight="1" x14ac:dyDescent="0.25">
      <c r="D80" s="85"/>
    </row>
    <row r="81" spans="4:4" ht="20.100000000000001" customHeight="1" x14ac:dyDescent="0.25">
      <c r="D81" s="85"/>
    </row>
    <row r="82" spans="4:4" ht="20.100000000000001" customHeight="1" x14ac:dyDescent="0.25">
      <c r="D82" s="85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Y356"/>
  <sheetViews>
    <sheetView showGridLines="0" tabSelected="1" topLeftCell="A34" zoomScale="85" zoomScaleNormal="85" workbookViewId="0">
      <selection activeCell="A41" sqref="A41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67.42578125" style="1" customWidth="1"/>
    <col min="5" max="11" width="30.7109375" style="1" customWidth="1"/>
    <col min="12" max="12" width="19.140625" style="1" customWidth="1"/>
    <col min="13" max="15" width="30.7109375" style="1" customWidth="1"/>
    <col min="16" max="16" width="4.7109375" style="1" customWidth="1"/>
    <col min="17" max="18" width="4.7109375" style="55" customWidth="1"/>
    <col min="19" max="24" width="30.7109375" style="55" customWidth="1"/>
    <col min="25" max="25" width="4.7109375" style="55" customWidth="1"/>
  </cols>
  <sheetData>
    <row r="1" spans="1:25" s="67" customFormat="1" ht="30" customHeight="1" x14ac:dyDescent="0.35">
      <c r="A1" s="67" t="e" vm="1">
        <v>#VALUE!</v>
      </c>
      <c r="C1" s="67" t="s">
        <v>217</v>
      </c>
      <c r="Q1" s="55"/>
      <c r="R1" s="55"/>
      <c r="S1" s="55"/>
      <c r="T1" s="55"/>
      <c r="U1" s="55"/>
      <c r="V1" s="55"/>
      <c r="W1" s="55"/>
      <c r="X1" s="55"/>
      <c r="Y1" s="55"/>
    </row>
    <row r="2" spans="1:25" s="9" customFormat="1" ht="20.100000000000001" customHeight="1" x14ac:dyDescent="0.25">
      <c r="Q2" s="55"/>
      <c r="R2" s="55"/>
      <c r="S2" s="55"/>
      <c r="T2" s="55"/>
      <c r="U2" s="55"/>
      <c r="V2" s="55"/>
      <c r="W2" s="55"/>
      <c r="X2" s="55"/>
      <c r="Y2" s="55"/>
    </row>
    <row r="3" spans="1:25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4" spans="1:25" ht="20.100000000000001" customHeight="1" x14ac:dyDescent="0.25">
      <c r="A4" s="17" t="str">
        <f>HYPERLINK("#'Results'!A1", "Results")</f>
        <v>Results</v>
      </c>
    </row>
    <row r="5" spans="1:25" ht="20.100000000000001" customHeight="1" x14ac:dyDescent="0.25">
      <c r="A5" s="16"/>
      <c r="D5" s="95" t="s">
        <v>348</v>
      </c>
      <c r="E5" s="90"/>
      <c r="F5" s="90"/>
      <c r="G5" s="90"/>
      <c r="H5" s="86"/>
      <c r="P5" s="3"/>
      <c r="T5" s="7"/>
    </row>
    <row r="6" spans="1:25" ht="20.100000000000001" customHeight="1" x14ac:dyDescent="0.25">
      <c r="A6" s="20" t="s">
        <v>3</v>
      </c>
      <c r="D6" s="92" t="s">
        <v>349</v>
      </c>
      <c r="E6" s="89"/>
      <c r="F6" s="89"/>
      <c r="G6" s="87"/>
      <c r="H6" s="117"/>
      <c r="P6" s="3"/>
      <c r="T6" s="7"/>
    </row>
    <row r="7" spans="1:25" ht="20.100000000000001" customHeight="1" x14ac:dyDescent="0.25">
      <c r="A7" s="17" t="str">
        <f>HYPERLINK("#'Input - Site'!A1", "Site")</f>
        <v>Site</v>
      </c>
      <c r="P7" s="3"/>
      <c r="T7" s="7"/>
    </row>
    <row r="8" spans="1:25" ht="20.100000000000001" customHeight="1" x14ac:dyDescent="0.25">
      <c r="A8" s="17" t="str">
        <f>HYPERLINK("#'Input - Swine'!A1", "Swine")</f>
        <v>Swine</v>
      </c>
      <c r="M8" s="2"/>
      <c r="P8" s="3"/>
      <c r="T8" s="7"/>
    </row>
    <row r="9" spans="1:25" ht="20.100000000000001" customHeight="1" x14ac:dyDescent="0.25">
      <c r="A9" s="17"/>
      <c r="D9" s="6" t="s">
        <v>219</v>
      </c>
      <c r="M9" s="2"/>
      <c r="T9" s="7"/>
    </row>
    <row r="10" spans="1:25" ht="20.100000000000001" customHeight="1" x14ac:dyDescent="0.25">
      <c r="A10" s="19" t="s">
        <v>76</v>
      </c>
      <c r="E10" s="118" t="s">
        <v>220</v>
      </c>
      <c r="F10" s="118" t="s">
        <v>221</v>
      </c>
      <c r="G10" s="118" t="s">
        <v>222</v>
      </c>
      <c r="H10" s="118" t="s">
        <v>223</v>
      </c>
      <c r="I10" s="118" t="s">
        <v>224</v>
      </c>
      <c r="J10" s="118" t="s">
        <v>225</v>
      </c>
      <c r="K10" s="118" t="s">
        <v>226</v>
      </c>
      <c r="T10" s="7"/>
    </row>
    <row r="11" spans="1:25" ht="20.100000000000001" customHeight="1" x14ac:dyDescent="0.25">
      <c r="A11" s="17" t="str">
        <f>HYPERLINK("#'4.2.1.1-2 Methane'!A1", "4.2.1.1-2 Methane")</f>
        <v>4.2.1.1-2 Methane</v>
      </c>
      <c r="D11" s="1" t="s">
        <v>227</v>
      </c>
      <c r="E11" s="65" cm="1">
        <f t="array" ref="E11">Common_InputFunctions.Utility_LookupValueInTableNumber(E10, [1]!Table_SourceData_Swine_VolatileSolids[Class], [1]!Table_SourceData_Swine_VolatileSolids[VSj])</f>
        <v>0.4</v>
      </c>
      <c r="F11" s="65" cm="1">
        <f t="array" ref="F11">Common_InputFunctions.Utility_LookupValueInTableNumber(F10, [1]!Table_SourceData_Swine_VolatileSolids[Class], [1]!Table_SourceData_Swine_VolatileSolids[VSj])</f>
        <v>0.46</v>
      </c>
      <c r="G11" s="65" cm="1">
        <f t="array" ref="G11">Common_InputFunctions.Utility_LookupValueInTableNumber(G10, [1]!Table_SourceData_Swine_VolatileSolids[Class], [1]!Table_SourceData_Swine_VolatileSolids[VSj])</f>
        <v>0.55000000000000004</v>
      </c>
      <c r="H11" s="65" cm="1">
        <f t="array" ref="H11">Common_InputFunctions.Utility_LookupValueInTableNumber(H10, [1]!Table_SourceData_Swine_VolatileSolids[Class], [1]!Table_SourceData_Swine_VolatileSolids[VSj])</f>
        <v>0.39</v>
      </c>
      <c r="I11" s="65" cm="1">
        <f t="array" ref="I11">Common_InputFunctions.Utility_LookupValueInTableNumber(I10, [1]!Table_SourceData_Swine_VolatileSolids[Class], [1]!Table_SourceData_Swine_VolatileSolids[VSj])</f>
        <v>0.39</v>
      </c>
      <c r="J11" s="65" cm="1">
        <f t="array" ref="J11">Common_InputFunctions.Utility_LookupValueInTableNumber(J10, [1]!Table_SourceData_Swine_VolatileSolids[Class], [1]!Table_SourceData_Swine_VolatileSolids[VSj])</f>
        <v>0.39</v>
      </c>
      <c r="K11" s="65" cm="1">
        <f t="array" ref="K11">Common_InputFunctions.Utility_LookupValueInTableNumber(K10, [1]!Table_SourceData_Swine_VolatileSolids[Class], [1]!Table_SourceData_Swine_VolatileSolids[VSj])</f>
        <v>0.39</v>
      </c>
      <c r="L11" s="2" t="s">
        <v>121</v>
      </c>
      <c r="T11" s="7"/>
    </row>
    <row r="12" spans="1:25" ht="20.100000000000001" customHeight="1" x14ac:dyDescent="0.25">
      <c r="A12" s="17" t="str">
        <f>HYPERLINK("#'4.2.1.3-4 Soil direct N2O'!A1", "4.2.1.3-4 Soil direct N2O")</f>
        <v>4.2.1.3-4 Soil direct N2O</v>
      </c>
      <c r="D12" s="1" t="s">
        <v>228</v>
      </c>
      <c r="E12" s="65"/>
      <c r="F12" s="65"/>
      <c r="G12" s="65"/>
      <c r="H12" s="65"/>
      <c r="I12" s="65"/>
      <c r="J12" s="65"/>
      <c r="K12" s="65"/>
      <c r="L12" s="2" t="s">
        <v>229</v>
      </c>
      <c r="T12" s="7"/>
    </row>
    <row r="13" spans="1:25" ht="20.100000000000001" customHeight="1" x14ac:dyDescent="0.25">
      <c r="A13" s="17" t="str">
        <f>HYPERLINK("#'4.2.1.5-6 Soil Atmos Dep'!A1", "4.2.1.5-6 Soil atm. deposition")</f>
        <v>4.2.1.5-6 Soil atm. deposition</v>
      </c>
      <c r="T13" s="38"/>
    </row>
    <row r="14" spans="1:25" ht="20.100000000000001" customHeight="1" x14ac:dyDescent="0.25">
      <c r="A14" s="17" t="str">
        <f>HYPERLINK("#'4.2.1.7-8 Soil leach runoff'!A1", "4.2.1.7-8 Soil leach &amp; runoff")</f>
        <v>4.2.1.7-8 Soil leach &amp; runoff</v>
      </c>
      <c r="M14" s="2"/>
      <c r="T14" s="38"/>
    </row>
    <row r="15" spans="1:25" ht="20.100000000000001" customHeight="1" x14ac:dyDescent="0.25">
      <c r="A15" s="17"/>
      <c r="D15" s="6" t="s">
        <v>340</v>
      </c>
      <c r="T15" s="38"/>
    </row>
    <row r="16" spans="1:25" ht="20.100000000000001" customHeight="1" x14ac:dyDescent="0.25">
      <c r="A16" s="18" t="s">
        <v>4</v>
      </c>
      <c r="T16" s="38"/>
    </row>
    <row r="17" spans="1:20" ht="20.100000000000001" customHeight="1" x14ac:dyDescent="0.25">
      <c r="A17" s="17" t="str">
        <f>HYPERLINK("#'Constants - Swine'!A1", "Constants - Swine")</f>
        <v>Constants - Swine</v>
      </c>
      <c r="D17" s="1" t="s">
        <v>113</v>
      </c>
      <c r="E17" s="39" t="s">
        <v>230</v>
      </c>
      <c r="F17" s="2" t="s">
        <v>11</v>
      </c>
      <c r="T17" s="7"/>
    </row>
    <row r="18" spans="1:20" ht="20.100000000000001" customHeight="1" x14ac:dyDescent="0.25">
      <c r="A18" s="17" t="str">
        <f>HYPERLINK("#'Constants - Livestock'!A1", "Constants - Livestock")</f>
        <v>Constants - Livestock</v>
      </c>
      <c r="T18" s="7"/>
    </row>
    <row r="19" spans="1:20" ht="20.100000000000001" customHeight="1" x14ac:dyDescent="0.25">
      <c r="A19" s="17" t="str">
        <f>HYPERLINK("#'Constants - Common'!A1", "Constants - Common")</f>
        <v>Constants - Common</v>
      </c>
      <c r="D19" s="62" t="s">
        <v>341</v>
      </c>
      <c r="E19" s="118" t="s">
        <v>220</v>
      </c>
      <c r="F19" s="118" t="s">
        <v>221</v>
      </c>
      <c r="G19" s="118" t="s">
        <v>222</v>
      </c>
      <c r="H19" s="118" t="s">
        <v>223</v>
      </c>
      <c r="I19" s="118" t="s">
        <v>224</v>
      </c>
      <c r="J19" s="118" t="s">
        <v>225</v>
      </c>
      <c r="K19" s="118" t="s">
        <v>226</v>
      </c>
      <c r="T19" s="7"/>
    </row>
    <row r="20" spans="1:20" ht="20.100000000000001" customHeight="1" x14ac:dyDescent="0.25">
      <c r="A20" s="17" t="str">
        <f>HYPERLINK("#'Acknowledgements'!A1", "Acknowledgements")</f>
        <v>Acknowledgements</v>
      </c>
      <c r="D20" s="128" t="str">
        <f>'Constants - Swine'!$G$41</f>
        <v>Anaerobic lagoon</v>
      </c>
      <c r="E20" s="46">
        <v>0.15</v>
      </c>
      <c r="F20" s="46">
        <v>0.15</v>
      </c>
      <c r="G20" s="46">
        <v>0.15</v>
      </c>
      <c r="H20" s="46">
        <v>0.15</v>
      </c>
      <c r="I20" s="46">
        <v>0.15</v>
      </c>
      <c r="J20" s="46">
        <v>0.15</v>
      </c>
      <c r="K20" s="46">
        <v>0.15</v>
      </c>
      <c r="L20" s="2" t="s">
        <v>18</v>
      </c>
      <c r="T20" s="7"/>
    </row>
    <row r="21" spans="1:20" ht="20.100000000000001" customHeight="1" x14ac:dyDescent="0.25">
      <c r="D21" s="128" t="str">
        <f>'Constants - Swine'!$G$42</f>
        <v>Drylot (feed pad)</v>
      </c>
      <c r="E21" s="46">
        <v>0.15</v>
      </c>
      <c r="F21" s="46">
        <v>0.15</v>
      </c>
      <c r="G21" s="46">
        <v>0.15</v>
      </c>
      <c r="H21" s="46">
        <v>0.15</v>
      </c>
      <c r="I21" s="46">
        <v>0.15</v>
      </c>
      <c r="J21" s="46">
        <v>0.15</v>
      </c>
      <c r="K21" s="46">
        <v>0.15</v>
      </c>
      <c r="L21" s="2" t="s">
        <v>18</v>
      </c>
      <c r="T21" s="7"/>
    </row>
    <row r="22" spans="1:20" ht="20.100000000000001" customHeight="1" x14ac:dyDescent="0.25">
      <c r="A22" s="17"/>
      <c r="D22" s="128" t="str">
        <f>'Constants - Swine'!$G$43</f>
        <v>Digester / covered lagoons</v>
      </c>
      <c r="E22" s="46">
        <v>0.15</v>
      </c>
      <c r="F22" s="46">
        <v>0.15</v>
      </c>
      <c r="G22" s="46">
        <v>0.15</v>
      </c>
      <c r="H22" s="46">
        <v>0.15</v>
      </c>
      <c r="I22" s="46">
        <v>0.15</v>
      </c>
      <c r="J22" s="46">
        <v>0.15</v>
      </c>
      <c r="K22" s="46">
        <v>0.15</v>
      </c>
      <c r="L22" s="2" t="s">
        <v>18</v>
      </c>
      <c r="T22" s="7"/>
    </row>
    <row r="23" spans="1:20" ht="20.100000000000001" customHeight="1" x14ac:dyDescent="0.25">
      <c r="A23" s="17"/>
      <c r="D23" s="128" t="str">
        <f>'Constants - Swine'!$G$44</f>
        <v>Deep litter</v>
      </c>
      <c r="E23" s="46">
        <v>0.15</v>
      </c>
      <c r="F23" s="46">
        <v>0.15</v>
      </c>
      <c r="G23" s="46">
        <v>0.15</v>
      </c>
      <c r="H23" s="46">
        <v>0.15</v>
      </c>
      <c r="I23" s="46">
        <v>0.15</v>
      </c>
      <c r="J23" s="46">
        <v>0.15</v>
      </c>
      <c r="K23" s="46">
        <v>0.15</v>
      </c>
      <c r="L23" s="2" t="s">
        <v>18</v>
      </c>
      <c r="T23" s="7"/>
    </row>
    <row r="24" spans="1:20" ht="20.100000000000001" customHeight="1" x14ac:dyDescent="0.25">
      <c r="A24" s="17"/>
      <c r="D24" s="128" t="str">
        <f>'Constants - Swine'!$G$45</f>
        <v>Pit storage</v>
      </c>
      <c r="E24" s="46">
        <v>0.15</v>
      </c>
      <c r="F24" s="46">
        <v>0.15</v>
      </c>
      <c r="G24" s="46">
        <v>0.15</v>
      </c>
      <c r="H24" s="46">
        <v>0.15</v>
      </c>
      <c r="I24" s="46">
        <v>0.15</v>
      </c>
      <c r="J24" s="46">
        <v>0.15</v>
      </c>
      <c r="K24" s="46">
        <v>0.15</v>
      </c>
      <c r="L24" s="2" t="s">
        <v>18</v>
      </c>
      <c r="T24" s="7"/>
    </row>
    <row r="25" spans="1:20" ht="20.100000000000001" customHeight="1" x14ac:dyDescent="0.25">
      <c r="D25" s="128" t="s">
        <v>231</v>
      </c>
      <c r="E25" s="46">
        <v>0.25</v>
      </c>
      <c r="F25" s="46">
        <v>0.25</v>
      </c>
      <c r="G25" s="46">
        <v>0.25</v>
      </c>
      <c r="H25" s="46">
        <v>0.25</v>
      </c>
      <c r="I25" s="46">
        <v>0.25</v>
      </c>
      <c r="J25" s="46">
        <v>0.25</v>
      </c>
      <c r="K25" s="46">
        <v>0.25</v>
      </c>
      <c r="L25" s="2" t="s">
        <v>18</v>
      </c>
      <c r="T25" s="7"/>
    </row>
    <row r="26" spans="1:20" ht="20.100000000000001" customHeight="1" x14ac:dyDescent="0.25">
      <c r="A26" s="17"/>
      <c r="D26" s="127" t="s">
        <v>342</v>
      </c>
      <c r="E26" s="96">
        <f>SUM(E20,E21,E22,E23,E24,E25)</f>
        <v>1</v>
      </c>
      <c r="F26" s="96">
        <f>SUM(F20,F21,F22,F23,F24,F25)</f>
        <v>1</v>
      </c>
      <c r="G26" s="96">
        <f>SUM(G20,G21,G22,G23,G24,G25)</f>
        <v>1</v>
      </c>
      <c r="H26" s="96">
        <f>SUM(H20,H21,H22,H23,H24,H25)</f>
        <v>1</v>
      </c>
      <c r="I26" s="96">
        <f>SUM(I20,I21,I22,I23,I24,I25)</f>
        <v>1</v>
      </c>
      <c r="J26" s="96">
        <f>SUM(J20,J21,J22,J23,J24,J25)</f>
        <v>1</v>
      </c>
      <c r="K26" s="96">
        <f>SUM(K20,K21,K22,K23,K24,K25)</f>
        <v>1</v>
      </c>
      <c r="T26" s="7"/>
    </row>
    <row r="27" spans="1:20" ht="20.100000000000001" customHeight="1" x14ac:dyDescent="0.25">
      <c r="A27" s="17"/>
      <c r="T27" s="7"/>
    </row>
    <row r="28" spans="1:20" ht="20.100000000000001" customHeight="1" x14ac:dyDescent="0.25">
      <c r="A28" s="17"/>
      <c r="D28" s="137" t="s">
        <v>355</v>
      </c>
      <c r="T28" s="7"/>
    </row>
    <row r="29" spans="1:20" ht="20.100000000000001" customHeight="1" x14ac:dyDescent="0.25">
      <c r="A29" s="17"/>
      <c r="D29" s="130" t="s">
        <v>344</v>
      </c>
      <c r="E29" s="118" t="s">
        <v>345</v>
      </c>
      <c r="F29" s="118" t="s">
        <v>346</v>
      </c>
      <c r="G29" s="118" t="s">
        <v>347</v>
      </c>
      <c r="T29" s="7"/>
    </row>
    <row r="30" spans="1:20" ht="20.100000000000001" customHeight="1" x14ac:dyDescent="0.25">
      <c r="A30" s="17"/>
      <c r="D30" s="129" t="str">
        <f>"Solids separated from " &amp; $D$20</f>
        <v>Solids separated from Anaerobic lagoon</v>
      </c>
      <c r="E30" s="39" t="s">
        <v>232</v>
      </c>
      <c r="F30" s="96">
        <v>0.2</v>
      </c>
      <c r="G30" s="46">
        <v>0.2</v>
      </c>
      <c r="T30" s="7"/>
    </row>
    <row r="31" spans="1:20" ht="20.100000000000001" customHeight="1" x14ac:dyDescent="0.25">
      <c r="A31" s="66"/>
      <c r="D31" s="129" t="str">
        <f>"Solids separated from " &amp; $D$21</f>
        <v>Solids separated from Drylot (feed pad)</v>
      </c>
      <c r="E31" s="39" t="s">
        <v>232</v>
      </c>
      <c r="F31" s="96">
        <v>0.2</v>
      </c>
      <c r="G31" s="46">
        <v>0.2</v>
      </c>
      <c r="T31" s="7"/>
    </row>
    <row r="32" spans="1:20" ht="20.100000000000001" customHeight="1" x14ac:dyDescent="0.25">
      <c r="A32" s="66"/>
      <c r="D32" s="129" t="str">
        <f>"Solids separated from " &amp; $D$22</f>
        <v>Solids separated from Digester / covered lagoons</v>
      </c>
      <c r="E32" s="39" t="s">
        <v>232</v>
      </c>
      <c r="F32" s="96">
        <v>0.2</v>
      </c>
      <c r="G32" s="46">
        <v>0.2</v>
      </c>
      <c r="T32" s="7"/>
    </row>
    <row r="33" spans="1:20" ht="20.100000000000001" customHeight="1" x14ac:dyDescent="0.25">
      <c r="A33" s="17"/>
      <c r="D33" s="129" t="str">
        <f>"Solids separated from " &amp; $D$23</f>
        <v>Solids separated from Deep litter</v>
      </c>
      <c r="E33" s="39" t="s">
        <v>232</v>
      </c>
      <c r="F33" s="96">
        <v>0.2</v>
      </c>
      <c r="G33" s="46">
        <v>0.2</v>
      </c>
      <c r="T33" s="7"/>
    </row>
    <row r="34" spans="1:20" ht="20.100000000000001" customHeight="1" x14ac:dyDescent="0.25">
      <c r="D34" s="129" t="str">
        <f>"Solids separated from " &amp; $D$24</f>
        <v>Solids separated from Pit storage</v>
      </c>
      <c r="E34" s="39" t="s">
        <v>232</v>
      </c>
      <c r="F34" s="96">
        <v>0.2</v>
      </c>
      <c r="G34" s="46">
        <v>0.2</v>
      </c>
      <c r="T34" s="7"/>
    </row>
    <row r="35" spans="1:20" ht="20.100000000000001" customHeight="1" x14ac:dyDescent="0.25">
      <c r="D35" s="127"/>
      <c r="F35" s="2"/>
      <c r="T35" s="7"/>
    </row>
    <row r="36" spans="1:20" ht="20.100000000000001" customHeight="1" x14ac:dyDescent="0.25">
      <c r="D36" s="136" t="s">
        <v>355</v>
      </c>
      <c r="T36" s="7"/>
    </row>
    <row r="37" spans="1:20" ht="20.100000000000001" customHeight="1" x14ac:dyDescent="0.25">
      <c r="D37" s="132" t="s">
        <v>343</v>
      </c>
      <c r="E37" s="131" t="s">
        <v>220</v>
      </c>
      <c r="F37" s="131" t="s">
        <v>221</v>
      </c>
      <c r="G37" s="131" t="s">
        <v>222</v>
      </c>
      <c r="H37" s="131" t="s">
        <v>223</v>
      </c>
      <c r="I37" s="131" t="s">
        <v>224</v>
      </c>
      <c r="J37" s="131" t="s">
        <v>225</v>
      </c>
      <c r="K37" s="131" t="s">
        <v>226</v>
      </c>
      <c r="L37" s="138" t="s">
        <v>356</v>
      </c>
      <c r="M37" s="62" t="s">
        <v>351</v>
      </c>
      <c r="N37" s="62"/>
      <c r="O37" s="119"/>
      <c r="T37" s="7"/>
    </row>
    <row r="38" spans="1:20" ht="20.100000000000001" customHeight="1" x14ac:dyDescent="0.25">
      <c r="D38" s="133" t="str">
        <f>"Stage 2 MMS From " &amp; $D$20</f>
        <v>Stage 2 MMS From Anaerobic lagoon</v>
      </c>
      <c r="E38" s="105" t="str">
        <f>IF(SUM(E20:K20)&gt;0,"Manure was sent to this MMS, please complete this section.","No manure was sent to this MMS. Leave this section blank.")</f>
        <v>Manure was sent to this MMS, please complete this section.</v>
      </c>
      <c r="M38" s="135" t="s">
        <v>352</v>
      </c>
      <c r="N38" s="135" t="s">
        <v>353</v>
      </c>
      <c r="O38" s="135" t="s">
        <v>354</v>
      </c>
      <c r="T38" s="7"/>
    </row>
    <row r="39" spans="1:20" ht="20.100000000000001" customHeight="1" x14ac:dyDescent="0.25">
      <c r="A39" s="17"/>
      <c r="D39" s="134" t="str">
        <f>$D$21</f>
        <v>Drylot (feed pad)</v>
      </c>
      <c r="E39" s="46">
        <v>0.2</v>
      </c>
      <c r="F39" s="46">
        <v>0.25</v>
      </c>
      <c r="G39" s="46">
        <v>0.25</v>
      </c>
      <c r="H39" s="46">
        <v>0.25</v>
      </c>
      <c r="I39" s="46">
        <v>0.25</v>
      </c>
      <c r="J39" s="46">
        <v>0.25</v>
      </c>
      <c r="K39" s="46">
        <v>0.25</v>
      </c>
      <c r="L39" s="2" t="s">
        <v>18</v>
      </c>
      <c r="M39" s="46">
        <v>0.25</v>
      </c>
      <c r="N39" s="46">
        <v>0.25</v>
      </c>
      <c r="O39" s="96">
        <f>1-SUM(M39:N39)</f>
        <v>0.5</v>
      </c>
      <c r="T39" s="7"/>
    </row>
    <row r="40" spans="1:20" ht="20.100000000000001" customHeight="1" x14ac:dyDescent="0.25">
      <c r="D40" s="134" t="str">
        <f>$D$22</f>
        <v>Digester / covered lagoons</v>
      </c>
      <c r="E40" s="46">
        <v>0.2</v>
      </c>
      <c r="F40" s="46">
        <v>0.25</v>
      </c>
      <c r="G40" s="46">
        <v>0.25</v>
      </c>
      <c r="H40" s="46">
        <v>0.25</v>
      </c>
      <c r="I40" s="46">
        <v>0.25</v>
      </c>
      <c r="J40" s="46">
        <v>0.25</v>
      </c>
      <c r="K40" s="46">
        <v>0.25</v>
      </c>
      <c r="L40" s="2" t="s">
        <v>18</v>
      </c>
      <c r="M40" s="46">
        <v>0.25</v>
      </c>
      <c r="N40" s="46">
        <v>0.25</v>
      </c>
      <c r="O40" s="96">
        <f t="shared" ref="O40:O43" si="0">1-SUM(M40:N40)</f>
        <v>0.5</v>
      </c>
      <c r="T40" s="7"/>
    </row>
    <row r="41" spans="1:20" ht="20.100000000000001" customHeight="1" x14ac:dyDescent="0.25">
      <c r="A41" s="44"/>
      <c r="D41" s="134" t="str">
        <f>$D$23</f>
        <v>Deep litter</v>
      </c>
      <c r="E41" s="46">
        <v>0.2</v>
      </c>
      <c r="F41" s="46">
        <v>0.25</v>
      </c>
      <c r="G41" s="46">
        <v>0.25</v>
      </c>
      <c r="H41" s="46">
        <v>0.25</v>
      </c>
      <c r="I41" s="46">
        <v>0.25</v>
      </c>
      <c r="J41" s="46">
        <v>0.25</v>
      </c>
      <c r="K41" s="46">
        <v>0.25</v>
      </c>
      <c r="L41" s="2" t="s">
        <v>18</v>
      </c>
      <c r="M41" s="46">
        <v>0.25</v>
      </c>
      <c r="N41" s="46">
        <v>0.25</v>
      </c>
      <c r="O41" s="96">
        <f t="shared" si="0"/>
        <v>0.5</v>
      </c>
      <c r="T41" s="7"/>
    </row>
    <row r="42" spans="1:20" ht="20.100000000000001" customHeight="1" x14ac:dyDescent="0.25">
      <c r="D42" s="134" t="str">
        <f>$D$24</f>
        <v>Pit storage</v>
      </c>
      <c r="E42" s="46">
        <v>0.2</v>
      </c>
      <c r="F42" s="46">
        <v>0.25</v>
      </c>
      <c r="G42" s="46">
        <v>0.25</v>
      </c>
      <c r="H42" s="46">
        <v>0.25</v>
      </c>
      <c r="I42" s="46">
        <v>0.25</v>
      </c>
      <c r="J42" s="46">
        <v>0.25</v>
      </c>
      <c r="K42" s="46">
        <v>0.25</v>
      </c>
      <c r="L42" s="2" t="s">
        <v>18</v>
      </c>
      <c r="M42" s="46">
        <v>0.25</v>
      </c>
      <c r="N42" s="46">
        <v>0.25</v>
      </c>
      <c r="O42" s="96">
        <f t="shared" si="0"/>
        <v>0.5</v>
      </c>
      <c r="T42" s="7"/>
    </row>
    <row r="43" spans="1:20" ht="20.100000000000001" customHeight="1" x14ac:dyDescent="0.25">
      <c r="D43" s="134" t="s">
        <v>354</v>
      </c>
      <c r="E43" s="96">
        <f>1-SUM(E39:E42)</f>
        <v>0.19999999999999996</v>
      </c>
      <c r="F43" s="96">
        <f t="shared" ref="F43:K43" si="1">SUM(F39:F42)</f>
        <v>1</v>
      </c>
      <c r="G43" s="96">
        <f t="shared" si="1"/>
        <v>1</v>
      </c>
      <c r="H43" s="96">
        <f t="shared" si="1"/>
        <v>1</v>
      </c>
      <c r="I43" s="96">
        <f t="shared" si="1"/>
        <v>1</v>
      </c>
      <c r="J43" s="96">
        <f t="shared" si="1"/>
        <v>1</v>
      </c>
      <c r="K43" s="96">
        <f t="shared" si="1"/>
        <v>1</v>
      </c>
      <c r="L43" s="2" t="s">
        <v>18</v>
      </c>
      <c r="T43" s="7"/>
    </row>
    <row r="44" spans="1:20" ht="20.100000000000001" customHeight="1" x14ac:dyDescent="0.25">
      <c r="T44" s="7"/>
    </row>
    <row r="45" spans="1:20" ht="20.100000000000001" customHeight="1" x14ac:dyDescent="0.25">
      <c r="D45" s="129"/>
      <c r="F45" s="2"/>
      <c r="T45" s="7"/>
    </row>
    <row r="46" spans="1:20" ht="20.100000000000001" customHeight="1" x14ac:dyDescent="0.25">
      <c r="D46" s="133" t="str">
        <f>"Stage 2 MMS From " &amp; $D$21</f>
        <v>Stage 2 MMS From Drylot (feed pad)</v>
      </c>
      <c r="E46" s="105" t="str">
        <f>IF(SUM(E21:K21)&gt;0,"Manure was sent to this MMS, please complete this section.","No manure was sent to this MMS. Leave this section blank.")</f>
        <v>Manure was sent to this MMS, please complete this section.</v>
      </c>
      <c r="M46" s="135" t="s">
        <v>352</v>
      </c>
      <c r="N46" s="135" t="s">
        <v>353</v>
      </c>
      <c r="O46" s="135" t="s">
        <v>354</v>
      </c>
      <c r="T46" s="7"/>
    </row>
    <row r="47" spans="1:20" ht="20.100000000000001" customHeight="1" x14ac:dyDescent="0.25">
      <c r="D47" s="134" t="str">
        <f>$D$20</f>
        <v>Anaerobic lagoon</v>
      </c>
      <c r="E47" s="46">
        <v>0.2</v>
      </c>
      <c r="F47" s="46">
        <v>0.25</v>
      </c>
      <c r="G47" s="46">
        <v>0.25</v>
      </c>
      <c r="H47" s="46">
        <v>0.25</v>
      </c>
      <c r="I47" s="46">
        <v>0.25</v>
      </c>
      <c r="J47" s="46">
        <v>0.25</v>
      </c>
      <c r="K47" s="46">
        <v>0.25</v>
      </c>
      <c r="L47" s="2" t="s">
        <v>18</v>
      </c>
      <c r="M47" s="46">
        <v>0.25</v>
      </c>
      <c r="N47" s="46">
        <v>0.25</v>
      </c>
      <c r="O47" s="96">
        <f>1-SUM(M47:N47)</f>
        <v>0.5</v>
      </c>
      <c r="T47" s="7"/>
    </row>
    <row r="48" spans="1:20" ht="20.100000000000001" customHeight="1" x14ac:dyDescent="0.25">
      <c r="D48" s="134" t="str">
        <f>$D$22</f>
        <v>Digester / covered lagoons</v>
      </c>
      <c r="E48" s="46">
        <v>0.2</v>
      </c>
      <c r="F48" s="46">
        <v>0.25</v>
      </c>
      <c r="G48" s="46">
        <v>0.25</v>
      </c>
      <c r="H48" s="46">
        <v>0.25</v>
      </c>
      <c r="I48" s="46">
        <v>0.25</v>
      </c>
      <c r="J48" s="46">
        <v>0.25</v>
      </c>
      <c r="K48" s="46">
        <v>0.25</v>
      </c>
      <c r="L48" s="2" t="s">
        <v>18</v>
      </c>
      <c r="M48" s="46">
        <v>0.25</v>
      </c>
      <c r="N48" s="46">
        <v>0.25</v>
      </c>
      <c r="O48" s="96">
        <f t="shared" ref="O48:O51" si="2">1-SUM(M48:N48)</f>
        <v>0.5</v>
      </c>
      <c r="T48" s="7"/>
    </row>
    <row r="49" spans="4:20" ht="20.100000000000001" customHeight="1" x14ac:dyDescent="0.25">
      <c r="D49" s="134" t="str">
        <f>$D$23</f>
        <v>Deep litter</v>
      </c>
      <c r="E49" s="46">
        <v>0.2</v>
      </c>
      <c r="F49" s="46">
        <v>0.25</v>
      </c>
      <c r="G49" s="46">
        <v>0.25</v>
      </c>
      <c r="H49" s="46">
        <v>0.25</v>
      </c>
      <c r="I49" s="46">
        <v>0.25</v>
      </c>
      <c r="J49" s="46">
        <v>0.25</v>
      </c>
      <c r="K49" s="46">
        <v>0.25</v>
      </c>
      <c r="L49" s="2" t="s">
        <v>18</v>
      </c>
      <c r="M49" s="46">
        <v>0.25</v>
      </c>
      <c r="N49" s="46">
        <v>0.25</v>
      </c>
      <c r="O49" s="96">
        <f t="shared" si="2"/>
        <v>0.5</v>
      </c>
      <c r="T49" s="7"/>
    </row>
    <row r="50" spans="4:20" ht="20.100000000000001" customHeight="1" x14ac:dyDescent="0.25">
      <c r="D50" s="134" t="str">
        <f>$D$24</f>
        <v>Pit storage</v>
      </c>
      <c r="E50" s="46">
        <v>0.2</v>
      </c>
      <c r="F50" s="46">
        <v>0.25</v>
      </c>
      <c r="G50" s="46">
        <v>0.25</v>
      </c>
      <c r="H50" s="46">
        <v>0.25</v>
      </c>
      <c r="I50" s="46">
        <v>0.25</v>
      </c>
      <c r="J50" s="46">
        <v>0.25</v>
      </c>
      <c r="K50" s="46">
        <v>0.25</v>
      </c>
      <c r="L50" s="2" t="s">
        <v>18</v>
      </c>
      <c r="M50" s="46">
        <v>0.25</v>
      </c>
      <c r="N50" s="46">
        <v>0.25</v>
      </c>
      <c r="O50" s="96">
        <f t="shared" si="2"/>
        <v>0.5</v>
      </c>
      <c r="T50" s="7"/>
    </row>
    <row r="51" spans="4:20" ht="20.100000000000001" customHeight="1" x14ac:dyDescent="0.25">
      <c r="D51" s="134" t="s">
        <v>354</v>
      </c>
      <c r="E51" s="96">
        <f>1-SUM(E47:E50)</f>
        <v>0.19999999999999996</v>
      </c>
      <c r="F51" s="96">
        <f t="shared" ref="F51" si="3">SUM(F47:F50)</f>
        <v>1</v>
      </c>
      <c r="G51" s="96">
        <f t="shared" ref="G51" si="4">SUM(G47:G50)</f>
        <v>1</v>
      </c>
      <c r="H51" s="96">
        <f t="shared" ref="H51" si="5">SUM(H47:H50)</f>
        <v>1</v>
      </c>
      <c r="I51" s="96">
        <f t="shared" ref="I51" si="6">SUM(I47:I50)</f>
        <v>1</v>
      </c>
      <c r="J51" s="96">
        <f t="shared" ref="J51" si="7">SUM(J47:J50)</f>
        <v>1</v>
      </c>
      <c r="K51" s="96">
        <f t="shared" ref="K51" si="8">SUM(K47:K50)</f>
        <v>1</v>
      </c>
      <c r="T51" s="7"/>
    </row>
    <row r="52" spans="4:20" ht="20.100000000000001" customHeight="1" x14ac:dyDescent="0.25">
      <c r="T52" s="7"/>
    </row>
    <row r="53" spans="4:20" ht="20.100000000000001" customHeight="1" x14ac:dyDescent="0.25">
      <c r="T53" s="7"/>
    </row>
    <row r="54" spans="4:20" ht="20.100000000000001" customHeight="1" x14ac:dyDescent="0.25">
      <c r="D54" s="133" t="str">
        <f>"Stage 2 MMS From " &amp; $D$22</f>
        <v>Stage 2 MMS From Digester / covered lagoons</v>
      </c>
      <c r="E54" s="105" t="str">
        <f>IF(SUM(E22:K22)&gt;0,"Manure was sent to this MMS, please complete this section.","No manure was sent to this MMS. Leave this section blank.")</f>
        <v>Manure was sent to this MMS, please complete this section.</v>
      </c>
      <c r="M54" s="135" t="s">
        <v>352</v>
      </c>
      <c r="N54" s="135" t="s">
        <v>353</v>
      </c>
      <c r="O54" s="135" t="s">
        <v>354</v>
      </c>
      <c r="T54" s="7"/>
    </row>
    <row r="55" spans="4:20" ht="20.100000000000001" customHeight="1" x14ac:dyDescent="0.25">
      <c r="D55" s="134" t="str">
        <f>$D$20</f>
        <v>Anaerobic lagoon</v>
      </c>
      <c r="E55" s="46">
        <v>0.2</v>
      </c>
      <c r="F55" s="46">
        <v>0.25</v>
      </c>
      <c r="G55" s="46">
        <v>0.25</v>
      </c>
      <c r="H55" s="46">
        <v>0.25</v>
      </c>
      <c r="I55" s="46">
        <v>0.25</v>
      </c>
      <c r="J55" s="46">
        <v>0.25</v>
      </c>
      <c r="K55" s="46">
        <v>0.25</v>
      </c>
      <c r="L55" s="2" t="s">
        <v>18</v>
      </c>
      <c r="M55" s="46">
        <v>0.25</v>
      </c>
      <c r="N55" s="46">
        <v>0.25</v>
      </c>
      <c r="O55" s="96">
        <f>1-SUM(M55:N55)</f>
        <v>0.5</v>
      </c>
      <c r="T55" s="7"/>
    </row>
    <row r="56" spans="4:20" ht="20.100000000000001" customHeight="1" x14ac:dyDescent="0.25">
      <c r="D56" s="134" t="str">
        <f>$D$21</f>
        <v>Drylot (feed pad)</v>
      </c>
      <c r="E56" s="46">
        <v>0.2</v>
      </c>
      <c r="F56" s="46">
        <v>0.25</v>
      </c>
      <c r="G56" s="46">
        <v>0.25</v>
      </c>
      <c r="H56" s="46">
        <v>0.25</v>
      </c>
      <c r="I56" s="46">
        <v>0.25</v>
      </c>
      <c r="J56" s="46">
        <v>0.25</v>
      </c>
      <c r="K56" s="46">
        <v>0.25</v>
      </c>
      <c r="L56" s="2" t="s">
        <v>18</v>
      </c>
      <c r="M56" s="46">
        <v>0.25</v>
      </c>
      <c r="N56" s="46">
        <v>0.25</v>
      </c>
      <c r="O56" s="96">
        <f t="shared" ref="O56:O59" si="9">1-SUM(M56:N56)</f>
        <v>0.5</v>
      </c>
      <c r="T56" s="7"/>
    </row>
    <row r="57" spans="4:20" ht="20.100000000000001" customHeight="1" x14ac:dyDescent="0.25">
      <c r="D57" s="134" t="str">
        <f>$D$23</f>
        <v>Deep litter</v>
      </c>
      <c r="E57" s="46">
        <v>0.2</v>
      </c>
      <c r="F57" s="46">
        <v>0.25</v>
      </c>
      <c r="G57" s="46">
        <v>0.25</v>
      </c>
      <c r="H57" s="46">
        <v>0.25</v>
      </c>
      <c r="I57" s="46">
        <v>0.25</v>
      </c>
      <c r="J57" s="46">
        <v>0.25</v>
      </c>
      <c r="K57" s="46">
        <v>0.25</v>
      </c>
      <c r="L57" s="2" t="s">
        <v>18</v>
      </c>
      <c r="M57" s="46">
        <v>0.25</v>
      </c>
      <c r="N57" s="46">
        <v>0.25</v>
      </c>
      <c r="O57" s="96">
        <f t="shared" si="9"/>
        <v>0.5</v>
      </c>
      <c r="T57" s="7"/>
    </row>
    <row r="58" spans="4:20" ht="20.100000000000001" customHeight="1" x14ac:dyDescent="0.25">
      <c r="D58" s="134" t="str">
        <f>$D$24</f>
        <v>Pit storage</v>
      </c>
      <c r="E58" s="46">
        <v>0.2</v>
      </c>
      <c r="F58" s="46">
        <v>0.25</v>
      </c>
      <c r="G58" s="46">
        <v>0.25</v>
      </c>
      <c r="H58" s="46">
        <v>0.25</v>
      </c>
      <c r="I58" s="46">
        <v>0.25</v>
      </c>
      <c r="J58" s="46">
        <v>0.25</v>
      </c>
      <c r="K58" s="46">
        <v>0.25</v>
      </c>
      <c r="L58" s="2" t="s">
        <v>18</v>
      </c>
      <c r="M58" s="46">
        <v>0.25</v>
      </c>
      <c r="N58" s="46">
        <v>0.25</v>
      </c>
      <c r="O58" s="96">
        <f t="shared" si="9"/>
        <v>0.5</v>
      </c>
      <c r="T58" s="7"/>
    </row>
    <row r="59" spans="4:20" ht="20.100000000000001" customHeight="1" x14ac:dyDescent="0.25">
      <c r="D59" s="134" t="s">
        <v>354</v>
      </c>
      <c r="E59" s="96">
        <f>1-SUM(E55:E58)</f>
        <v>0.19999999999999996</v>
      </c>
      <c r="F59" s="96">
        <f t="shared" ref="F59" si="10">SUM(F55:F58)</f>
        <v>1</v>
      </c>
      <c r="G59" s="96">
        <f t="shared" ref="G59" si="11">SUM(G55:G58)</f>
        <v>1</v>
      </c>
      <c r="H59" s="96">
        <f t="shared" ref="H59" si="12">SUM(H55:H58)</f>
        <v>1</v>
      </c>
      <c r="I59" s="96">
        <f t="shared" ref="I59" si="13">SUM(I55:I58)</f>
        <v>1</v>
      </c>
      <c r="J59" s="96">
        <f t="shared" ref="J59" si="14">SUM(J55:J58)</f>
        <v>1</v>
      </c>
      <c r="K59" s="96">
        <f t="shared" ref="K59" si="15">SUM(K55:K58)</f>
        <v>1</v>
      </c>
      <c r="L59" s="2" t="s">
        <v>18</v>
      </c>
      <c r="T59" s="7"/>
    </row>
    <row r="60" spans="4:20" ht="20.100000000000001" customHeight="1" x14ac:dyDescent="0.25">
      <c r="T60" s="7"/>
    </row>
    <row r="61" spans="4:20" ht="20.100000000000001" customHeight="1" x14ac:dyDescent="0.25">
      <c r="D61" s="127"/>
      <c r="T61" s="7"/>
    </row>
    <row r="62" spans="4:20" ht="20.100000000000001" customHeight="1" x14ac:dyDescent="0.25">
      <c r="D62" s="133" t="str">
        <f>"Stage 2 MMS From " &amp; $D$23</f>
        <v>Stage 2 MMS From Deep litter</v>
      </c>
      <c r="E62" s="105" t="str">
        <f>IF(SUM(E23:K23)&gt;0,"Manure was sent to this MMS, please complete this section.","No manure was sent to this MMS. Leave this section blank.")</f>
        <v>Manure was sent to this MMS, please complete this section.</v>
      </c>
      <c r="M62" s="135" t="s">
        <v>352</v>
      </c>
      <c r="N62" s="135" t="s">
        <v>353</v>
      </c>
      <c r="O62" s="135" t="s">
        <v>354</v>
      </c>
      <c r="T62" s="7"/>
    </row>
    <row r="63" spans="4:20" ht="20.100000000000001" customHeight="1" x14ac:dyDescent="0.25">
      <c r="D63" s="134" t="str">
        <f>$D$20</f>
        <v>Anaerobic lagoon</v>
      </c>
      <c r="E63" s="46">
        <v>0.2</v>
      </c>
      <c r="F63" s="46">
        <v>0.25</v>
      </c>
      <c r="G63" s="46">
        <v>0.25</v>
      </c>
      <c r="H63" s="46">
        <v>0.25</v>
      </c>
      <c r="I63" s="46">
        <v>0.25</v>
      </c>
      <c r="J63" s="46">
        <v>0.25</v>
      </c>
      <c r="K63" s="46">
        <v>0.25</v>
      </c>
      <c r="L63" s="2" t="s">
        <v>18</v>
      </c>
      <c r="M63" s="46">
        <v>0.25</v>
      </c>
      <c r="N63" s="46">
        <v>0.25</v>
      </c>
      <c r="O63" s="96">
        <f>1-SUM(M63:N63)</f>
        <v>0.5</v>
      </c>
      <c r="T63" s="7"/>
    </row>
    <row r="64" spans="4:20" ht="20.100000000000001" customHeight="1" x14ac:dyDescent="0.25">
      <c r="D64" s="134" t="str">
        <f>$D$21</f>
        <v>Drylot (feed pad)</v>
      </c>
      <c r="E64" s="46">
        <v>0.2</v>
      </c>
      <c r="F64" s="46">
        <v>0.25</v>
      </c>
      <c r="G64" s="46">
        <v>0.25</v>
      </c>
      <c r="H64" s="46">
        <v>0.25</v>
      </c>
      <c r="I64" s="46">
        <v>0.25</v>
      </c>
      <c r="J64" s="46">
        <v>0.25</v>
      </c>
      <c r="K64" s="46">
        <v>0.25</v>
      </c>
      <c r="L64" s="2" t="s">
        <v>18</v>
      </c>
      <c r="M64" s="46">
        <v>0.25</v>
      </c>
      <c r="N64" s="46">
        <v>0.25</v>
      </c>
      <c r="O64" s="96">
        <f t="shared" ref="O64:O67" si="16">1-SUM(M64:N64)</f>
        <v>0.5</v>
      </c>
      <c r="T64" s="7"/>
    </row>
    <row r="65" spans="4:20" ht="20.100000000000001" customHeight="1" x14ac:dyDescent="0.25">
      <c r="D65" s="134" t="str">
        <f>$D$22</f>
        <v>Digester / covered lagoons</v>
      </c>
      <c r="E65" s="46">
        <v>0.2</v>
      </c>
      <c r="F65" s="46">
        <v>0.25</v>
      </c>
      <c r="G65" s="46">
        <v>0.25</v>
      </c>
      <c r="H65" s="46">
        <v>0.25</v>
      </c>
      <c r="I65" s="46">
        <v>0.25</v>
      </c>
      <c r="J65" s="46">
        <v>0.25</v>
      </c>
      <c r="K65" s="46">
        <v>0.25</v>
      </c>
      <c r="L65" s="2" t="s">
        <v>18</v>
      </c>
      <c r="M65" s="46">
        <v>0.25</v>
      </c>
      <c r="N65" s="46">
        <v>0.25</v>
      </c>
      <c r="O65" s="96">
        <f t="shared" si="16"/>
        <v>0.5</v>
      </c>
      <c r="T65" s="7"/>
    </row>
    <row r="66" spans="4:20" ht="20.100000000000001" customHeight="1" x14ac:dyDescent="0.25">
      <c r="D66" s="134" t="str">
        <f>$D$24</f>
        <v>Pit storage</v>
      </c>
      <c r="E66" s="46">
        <v>0.2</v>
      </c>
      <c r="F66" s="46">
        <v>0.25</v>
      </c>
      <c r="G66" s="46">
        <v>0.25</v>
      </c>
      <c r="H66" s="46">
        <v>0.25</v>
      </c>
      <c r="I66" s="46">
        <v>0.25</v>
      </c>
      <c r="J66" s="46">
        <v>0.25</v>
      </c>
      <c r="K66" s="46">
        <v>0.25</v>
      </c>
      <c r="L66" s="2" t="s">
        <v>18</v>
      </c>
      <c r="M66" s="46">
        <v>0.25</v>
      </c>
      <c r="N66" s="46">
        <v>0.25</v>
      </c>
      <c r="O66" s="96">
        <f t="shared" si="16"/>
        <v>0.5</v>
      </c>
      <c r="T66" s="7"/>
    </row>
    <row r="67" spans="4:20" ht="20.100000000000001" customHeight="1" x14ac:dyDescent="0.25">
      <c r="D67" s="134" t="s">
        <v>354</v>
      </c>
      <c r="E67" s="96">
        <f>1-SUM(E63:E66)</f>
        <v>0.19999999999999996</v>
      </c>
      <c r="F67" s="96">
        <f t="shared" ref="F67" si="17">SUM(F63:F66)</f>
        <v>1</v>
      </c>
      <c r="G67" s="96">
        <f t="shared" ref="G67" si="18">SUM(G63:G66)</f>
        <v>1</v>
      </c>
      <c r="H67" s="96">
        <f t="shared" ref="H67" si="19">SUM(H63:H66)</f>
        <v>1</v>
      </c>
      <c r="I67" s="96">
        <f t="shared" ref="I67" si="20">SUM(I63:I66)</f>
        <v>1</v>
      </c>
      <c r="J67" s="96">
        <f t="shared" ref="J67" si="21">SUM(J63:J66)</f>
        <v>1</v>
      </c>
      <c r="K67" s="96">
        <f t="shared" ref="K67" si="22">SUM(K63:K66)</f>
        <v>1</v>
      </c>
      <c r="L67" s="2" t="s">
        <v>18</v>
      </c>
      <c r="T67" s="7"/>
    </row>
    <row r="68" spans="4:20" ht="20.100000000000001" customHeight="1" x14ac:dyDescent="0.25">
      <c r="T68" s="7"/>
    </row>
    <row r="69" spans="4:20" ht="20.100000000000001" customHeight="1" x14ac:dyDescent="0.25">
      <c r="T69" s="7"/>
    </row>
    <row r="70" spans="4:20" ht="20.100000000000001" customHeight="1" x14ac:dyDescent="0.25">
      <c r="D70" s="133" t="str">
        <f>"Stage 2 MMS From " &amp; $D$24</f>
        <v>Stage 2 MMS From Pit storage</v>
      </c>
      <c r="E70" s="105" t="str">
        <f>IF(SUM(E24:K24)&gt;0,"Manure was sent to this MMS, please complete this section.","No manure was sent to this MMS. Leave this section blank.")</f>
        <v>Manure was sent to this MMS, please complete this section.</v>
      </c>
      <c r="M70" s="135" t="s">
        <v>352</v>
      </c>
      <c r="N70" s="135" t="s">
        <v>353</v>
      </c>
      <c r="O70" s="135" t="s">
        <v>354</v>
      </c>
      <c r="T70" s="7"/>
    </row>
    <row r="71" spans="4:20" ht="20.100000000000001" customHeight="1" x14ac:dyDescent="0.25">
      <c r="D71" s="134" t="str">
        <f>$D$20</f>
        <v>Anaerobic lagoon</v>
      </c>
      <c r="E71" s="46">
        <v>0.2</v>
      </c>
      <c r="F71" s="46">
        <v>0.25</v>
      </c>
      <c r="G71" s="46">
        <v>0.25</v>
      </c>
      <c r="H71" s="46">
        <v>0.25</v>
      </c>
      <c r="I71" s="46">
        <v>0.25</v>
      </c>
      <c r="J71" s="46">
        <v>0.25</v>
      </c>
      <c r="K71" s="46">
        <v>0.25</v>
      </c>
      <c r="L71" s="2" t="s">
        <v>18</v>
      </c>
      <c r="M71" s="46">
        <v>0.25</v>
      </c>
      <c r="N71" s="46">
        <v>0.25</v>
      </c>
      <c r="O71" s="96">
        <f>1-SUM(M71:N71)</f>
        <v>0.5</v>
      </c>
      <c r="T71" s="7"/>
    </row>
    <row r="72" spans="4:20" ht="20.100000000000001" customHeight="1" x14ac:dyDescent="0.25">
      <c r="D72" s="134" t="str">
        <f>$D$21</f>
        <v>Drylot (feed pad)</v>
      </c>
      <c r="E72" s="46">
        <v>0.2</v>
      </c>
      <c r="F72" s="46">
        <v>0.25</v>
      </c>
      <c r="G72" s="46">
        <v>0.25</v>
      </c>
      <c r="H72" s="46">
        <v>0.25</v>
      </c>
      <c r="I72" s="46">
        <v>0.25</v>
      </c>
      <c r="J72" s="46">
        <v>0.25</v>
      </c>
      <c r="K72" s="46">
        <v>0.25</v>
      </c>
      <c r="L72" s="2" t="s">
        <v>18</v>
      </c>
      <c r="M72" s="46">
        <v>0.25</v>
      </c>
      <c r="N72" s="46">
        <v>0.25</v>
      </c>
      <c r="O72" s="96">
        <f t="shared" ref="O72:O75" si="23">1-SUM(M72:N72)</f>
        <v>0.5</v>
      </c>
      <c r="T72" s="7"/>
    </row>
    <row r="73" spans="4:20" ht="20.100000000000001" customHeight="1" x14ac:dyDescent="0.25">
      <c r="D73" s="134" t="str">
        <f>$D$22</f>
        <v>Digester / covered lagoons</v>
      </c>
      <c r="E73" s="46">
        <v>0.2</v>
      </c>
      <c r="F73" s="46">
        <v>0.25</v>
      </c>
      <c r="G73" s="46">
        <v>0.25</v>
      </c>
      <c r="H73" s="46">
        <v>0.25</v>
      </c>
      <c r="I73" s="46">
        <v>0.25</v>
      </c>
      <c r="J73" s="46">
        <v>0.25</v>
      </c>
      <c r="K73" s="46">
        <v>0.25</v>
      </c>
      <c r="L73" s="2" t="s">
        <v>18</v>
      </c>
      <c r="M73" s="46">
        <v>0.25</v>
      </c>
      <c r="N73" s="46">
        <v>0.25</v>
      </c>
      <c r="O73" s="96">
        <f t="shared" si="23"/>
        <v>0.5</v>
      </c>
      <c r="T73" s="7"/>
    </row>
    <row r="74" spans="4:20" ht="20.100000000000001" customHeight="1" x14ac:dyDescent="0.25">
      <c r="D74" s="134" t="str">
        <f>$D$23</f>
        <v>Deep litter</v>
      </c>
      <c r="E74" s="46">
        <v>0.2</v>
      </c>
      <c r="F74" s="46">
        <v>0.25</v>
      </c>
      <c r="G74" s="46">
        <v>0.25</v>
      </c>
      <c r="H74" s="46">
        <v>0.25</v>
      </c>
      <c r="I74" s="46">
        <v>0.25</v>
      </c>
      <c r="J74" s="46">
        <v>0.25</v>
      </c>
      <c r="K74" s="46">
        <v>0.25</v>
      </c>
      <c r="L74" s="2" t="s">
        <v>18</v>
      </c>
      <c r="M74" s="46">
        <v>0.25</v>
      </c>
      <c r="N74" s="46">
        <v>0.25</v>
      </c>
      <c r="O74" s="96">
        <f t="shared" si="23"/>
        <v>0.5</v>
      </c>
      <c r="T74" s="7"/>
    </row>
    <row r="75" spans="4:20" ht="20.100000000000001" customHeight="1" x14ac:dyDescent="0.25">
      <c r="D75" s="134" t="s">
        <v>354</v>
      </c>
      <c r="E75" s="96">
        <f>1-SUM(E71:E74)</f>
        <v>0.19999999999999996</v>
      </c>
      <c r="F75" s="96">
        <f t="shared" ref="F75" si="24">SUM(F71:F74)</f>
        <v>1</v>
      </c>
      <c r="G75" s="96">
        <f t="shared" ref="G75" si="25">SUM(G71:G74)</f>
        <v>1</v>
      </c>
      <c r="H75" s="96">
        <f t="shared" ref="H75" si="26">SUM(H71:H74)</f>
        <v>1</v>
      </c>
      <c r="I75" s="96">
        <f t="shared" ref="I75" si="27">SUM(I71:I74)</f>
        <v>1</v>
      </c>
      <c r="J75" s="96">
        <f t="shared" ref="J75" si="28">SUM(J71:J74)</f>
        <v>1</v>
      </c>
      <c r="K75" s="96">
        <f t="shared" ref="K75" si="29">SUM(K71:K74)</f>
        <v>1</v>
      </c>
      <c r="L75" s="2" t="s">
        <v>18</v>
      </c>
      <c r="T75" s="7"/>
    </row>
    <row r="76" spans="4:20" ht="20.100000000000001" customHeight="1" x14ac:dyDescent="0.25">
      <c r="T76" s="7"/>
    </row>
    <row r="77" spans="4:20" ht="20.100000000000001" customHeight="1" x14ac:dyDescent="0.25">
      <c r="T77" s="7"/>
    </row>
    <row r="78" spans="4:20" ht="20.100000000000001" customHeight="1" x14ac:dyDescent="0.25">
      <c r="D78" s="133" t="str">
        <f>"Stage 2 MMS From " &amp; $D$25</f>
        <v>Stage 2 MMS From Solid storage</v>
      </c>
      <c r="E78" s="105" t="str">
        <f>IF(SUM(E32:K32)&gt;0,"Manure was sent to this MMS, please complete this section.","No manure was sent to this MMS. Leave this section blank.")</f>
        <v>Manure was sent to this MMS, please complete this section.</v>
      </c>
      <c r="H78" s="106" t="s">
        <v>350</v>
      </c>
      <c r="M78" s="135" t="s">
        <v>352</v>
      </c>
      <c r="N78" s="135" t="s">
        <v>353</v>
      </c>
      <c r="O78" s="135" t="s">
        <v>354</v>
      </c>
      <c r="T78" s="7"/>
    </row>
    <row r="79" spans="4:20" ht="20.100000000000001" customHeight="1" x14ac:dyDescent="0.25">
      <c r="D79" s="134" t="str">
        <f>$D$20</f>
        <v>Anaerobic lagoon</v>
      </c>
      <c r="E79" s="46">
        <v>0.2</v>
      </c>
      <c r="F79" s="46">
        <v>0.2</v>
      </c>
      <c r="G79" s="46">
        <v>0.2</v>
      </c>
      <c r="H79" s="46">
        <v>0.2</v>
      </c>
      <c r="I79" s="46">
        <v>0.2</v>
      </c>
      <c r="J79" s="46">
        <v>0.2</v>
      </c>
      <c r="K79" s="46">
        <v>0.2</v>
      </c>
      <c r="L79" s="2" t="s">
        <v>18</v>
      </c>
      <c r="M79" s="46">
        <v>0.25</v>
      </c>
      <c r="N79" s="46">
        <v>0.25</v>
      </c>
      <c r="O79" s="96">
        <f>1-SUM(M79:N79)</f>
        <v>0.5</v>
      </c>
      <c r="T79" s="7"/>
    </row>
    <row r="80" spans="4:20" ht="20.100000000000001" customHeight="1" x14ac:dyDescent="0.25">
      <c r="D80" s="134" t="str">
        <f>$D$21</f>
        <v>Drylot (feed pad)</v>
      </c>
      <c r="E80" s="46">
        <v>0.2</v>
      </c>
      <c r="F80" s="46">
        <v>0.2</v>
      </c>
      <c r="G80" s="46">
        <v>0.2</v>
      </c>
      <c r="H80" s="46">
        <v>0.2</v>
      </c>
      <c r="I80" s="46">
        <v>0.2</v>
      </c>
      <c r="J80" s="46">
        <v>0.2</v>
      </c>
      <c r="K80" s="46">
        <v>0.2</v>
      </c>
      <c r="L80" s="2" t="s">
        <v>18</v>
      </c>
      <c r="M80" s="46">
        <v>0.25</v>
      </c>
      <c r="N80" s="46">
        <v>0.25</v>
      </c>
      <c r="O80" s="96">
        <f t="shared" ref="O80:O84" si="30">1-SUM(M80:N80)</f>
        <v>0.5</v>
      </c>
      <c r="T80" s="7"/>
    </row>
    <row r="81" spans="4:20" ht="20.100000000000001" customHeight="1" x14ac:dyDescent="0.25">
      <c r="D81" s="134" t="str">
        <f>$D$22</f>
        <v>Digester / covered lagoons</v>
      </c>
      <c r="E81" s="46">
        <v>0.2</v>
      </c>
      <c r="F81" s="46">
        <v>0.2</v>
      </c>
      <c r="G81" s="46">
        <v>0.2</v>
      </c>
      <c r="H81" s="46">
        <v>0.2</v>
      </c>
      <c r="I81" s="46">
        <v>0.2</v>
      </c>
      <c r="J81" s="46">
        <v>0.2</v>
      </c>
      <c r="K81" s="46">
        <v>0.2</v>
      </c>
      <c r="L81" s="2" t="s">
        <v>18</v>
      </c>
      <c r="M81" s="46">
        <v>0.25</v>
      </c>
      <c r="N81" s="46">
        <v>0.25</v>
      </c>
      <c r="O81" s="96">
        <f t="shared" si="30"/>
        <v>0.5</v>
      </c>
      <c r="T81" s="7"/>
    </row>
    <row r="82" spans="4:20" ht="20.100000000000001" customHeight="1" x14ac:dyDescent="0.25">
      <c r="D82" s="134" t="str">
        <f>$D$23</f>
        <v>Deep litter</v>
      </c>
      <c r="E82" s="46">
        <v>0.2</v>
      </c>
      <c r="F82" s="46">
        <v>0.2</v>
      </c>
      <c r="G82" s="46">
        <v>0.2</v>
      </c>
      <c r="H82" s="46">
        <v>0.2</v>
      </c>
      <c r="I82" s="46">
        <v>0.2</v>
      </c>
      <c r="J82" s="46">
        <v>0.2</v>
      </c>
      <c r="K82" s="46">
        <v>0.2</v>
      </c>
      <c r="L82" s="2" t="s">
        <v>18</v>
      </c>
      <c r="M82" s="46">
        <v>0.25</v>
      </c>
      <c r="N82" s="46">
        <v>0.25</v>
      </c>
      <c r="O82" s="96">
        <f t="shared" si="30"/>
        <v>0.5</v>
      </c>
      <c r="T82" s="7"/>
    </row>
    <row r="83" spans="4:20" ht="20.100000000000001" customHeight="1" x14ac:dyDescent="0.25">
      <c r="D83" s="134" t="str">
        <f>$D$24</f>
        <v>Pit storage</v>
      </c>
      <c r="E83" s="46">
        <v>0.1</v>
      </c>
      <c r="F83" s="46">
        <v>0.1</v>
      </c>
      <c r="G83" s="46">
        <v>0.1</v>
      </c>
      <c r="H83" s="46">
        <v>0.1</v>
      </c>
      <c r="I83" s="46">
        <v>0.1</v>
      </c>
      <c r="J83" s="46">
        <v>0.1</v>
      </c>
      <c r="K83" s="46">
        <v>0.1</v>
      </c>
      <c r="L83" s="2" t="s">
        <v>18</v>
      </c>
      <c r="M83" s="46">
        <v>0.25</v>
      </c>
      <c r="N83" s="46">
        <v>0.25</v>
      </c>
      <c r="O83" s="96">
        <f t="shared" si="30"/>
        <v>0.5</v>
      </c>
      <c r="T83" s="7"/>
    </row>
    <row r="84" spans="4:20" ht="20.100000000000001" customHeight="1" x14ac:dyDescent="0.25">
      <c r="D84" s="134" t="s">
        <v>354</v>
      </c>
      <c r="E84" s="96">
        <f>1-SUM(E79:E83)</f>
        <v>9.9999999999999978E-2</v>
      </c>
      <c r="F84" s="96">
        <f t="shared" ref="F84:K84" si="31">1-SUM(F79:F83)</f>
        <v>9.9999999999999978E-2</v>
      </c>
      <c r="G84" s="96">
        <f t="shared" si="31"/>
        <v>9.9999999999999978E-2</v>
      </c>
      <c r="H84" s="96">
        <f t="shared" si="31"/>
        <v>9.9999999999999978E-2</v>
      </c>
      <c r="I84" s="96">
        <f t="shared" si="31"/>
        <v>9.9999999999999978E-2</v>
      </c>
      <c r="J84" s="96">
        <f t="shared" si="31"/>
        <v>9.9999999999999978E-2</v>
      </c>
      <c r="K84" s="96">
        <f t="shared" si="31"/>
        <v>9.9999999999999978E-2</v>
      </c>
      <c r="L84" s="2" t="s">
        <v>18</v>
      </c>
      <c r="T84" s="7"/>
    </row>
    <row r="85" spans="4:20" ht="20.100000000000001" customHeight="1" x14ac:dyDescent="0.25">
      <c r="T85" s="7"/>
    </row>
    <row r="86" spans="4:20" ht="20.100000000000001" customHeight="1" x14ac:dyDescent="0.25">
      <c r="T86" s="7"/>
    </row>
    <row r="87" spans="4:20" ht="20.100000000000001" customHeight="1" x14ac:dyDescent="0.25">
      <c r="T87" s="7"/>
    </row>
    <row r="88" spans="4:20" ht="20.100000000000001" customHeight="1" x14ac:dyDescent="0.25">
      <c r="T88" s="7"/>
    </row>
    <row r="89" spans="4:20" ht="20.100000000000001" customHeight="1" x14ac:dyDescent="0.25">
      <c r="T89" s="7"/>
    </row>
    <row r="90" spans="4:20" ht="20.100000000000001" customHeight="1" x14ac:dyDescent="0.25">
      <c r="T90" s="7"/>
    </row>
    <row r="91" spans="4:20" ht="20.100000000000001" customHeight="1" x14ac:dyDescent="0.25">
      <c r="T91" s="7"/>
    </row>
    <row r="92" spans="4:20" ht="20.100000000000001" customHeight="1" x14ac:dyDescent="0.25">
      <c r="T92" s="7"/>
    </row>
    <row r="93" spans="4:20" ht="20.100000000000001" customHeight="1" x14ac:dyDescent="0.25">
      <c r="T93" s="7"/>
    </row>
    <row r="94" spans="4:20" ht="20.100000000000001" customHeight="1" x14ac:dyDescent="0.25">
      <c r="T94" s="7"/>
    </row>
    <row r="95" spans="4:20" ht="20.100000000000001" customHeight="1" x14ac:dyDescent="0.25">
      <c r="T95" s="7"/>
    </row>
    <row r="96" spans="4:20" ht="20.100000000000001" customHeight="1" x14ac:dyDescent="0.25">
      <c r="T96" s="7"/>
    </row>
    <row r="97" spans="16:20" ht="20.100000000000001" customHeight="1" x14ac:dyDescent="0.25">
      <c r="T97" s="7"/>
    </row>
    <row r="98" spans="16:20" ht="20.100000000000001" customHeight="1" x14ac:dyDescent="0.25">
      <c r="T98" s="7"/>
    </row>
    <row r="99" spans="16:20" ht="20.100000000000001" customHeight="1" x14ac:dyDescent="0.25">
      <c r="T99" s="7"/>
    </row>
    <row r="100" spans="16:20" ht="20.100000000000001" customHeight="1" x14ac:dyDescent="0.25">
      <c r="T100" s="7"/>
    </row>
    <row r="101" spans="16:20" ht="20.100000000000001" customHeight="1" x14ac:dyDescent="0.25">
      <c r="T101" s="7"/>
    </row>
    <row r="102" spans="16:20" ht="20.100000000000001" customHeight="1" x14ac:dyDescent="0.25">
      <c r="T102" s="7"/>
    </row>
    <row r="103" spans="16:20" ht="20.100000000000001" customHeight="1" x14ac:dyDescent="0.25">
      <c r="T103" s="7"/>
    </row>
    <row r="104" spans="16:20" ht="20.100000000000001" customHeight="1" x14ac:dyDescent="0.25">
      <c r="T104" s="7"/>
    </row>
    <row r="105" spans="16:20" ht="20.100000000000001" customHeight="1" x14ac:dyDescent="0.25">
      <c r="T105" s="7"/>
    </row>
    <row r="106" spans="16:20" ht="20.100000000000001" customHeight="1" x14ac:dyDescent="0.25">
      <c r="T106" s="7"/>
    </row>
    <row r="107" spans="16:20" ht="20.100000000000001" customHeight="1" x14ac:dyDescent="0.25"/>
    <row r="108" spans="16:20" ht="20.100000000000001" customHeight="1" x14ac:dyDescent="0.25">
      <c r="P108" s="3"/>
    </row>
    <row r="109" spans="16:20" ht="20.100000000000001" customHeight="1" x14ac:dyDescent="0.25">
      <c r="P109" s="3"/>
    </row>
    <row r="110" spans="16:20" ht="20.100000000000001" customHeight="1" x14ac:dyDescent="0.25">
      <c r="P110" s="3"/>
    </row>
    <row r="111" spans="16:20" ht="20.100000000000001" customHeight="1" x14ac:dyDescent="0.25">
      <c r="P111" s="3"/>
    </row>
    <row r="112" spans="16:20" ht="20.100000000000001" customHeight="1" x14ac:dyDescent="0.25">
      <c r="P112" s="3"/>
    </row>
    <row r="113" spans="16:16" ht="20.100000000000001" customHeight="1" x14ac:dyDescent="0.25">
      <c r="P113" s="3"/>
    </row>
    <row r="114" spans="16:16" ht="20.100000000000001" customHeight="1" x14ac:dyDescent="0.25">
      <c r="P114" s="3"/>
    </row>
    <row r="115" spans="16:16" ht="20.100000000000001" customHeight="1" x14ac:dyDescent="0.25">
      <c r="P115" s="3"/>
    </row>
    <row r="116" spans="16:16" ht="20.100000000000001" customHeight="1" x14ac:dyDescent="0.25">
      <c r="P116" s="3"/>
    </row>
    <row r="117" spans="16:16" ht="20.100000000000001" customHeight="1" x14ac:dyDescent="0.25">
      <c r="P117" s="3"/>
    </row>
    <row r="118" spans="16:16" ht="20.100000000000001" customHeight="1" x14ac:dyDescent="0.25">
      <c r="P118" s="3"/>
    </row>
    <row r="119" spans="16:16" ht="20.100000000000001" customHeight="1" x14ac:dyDescent="0.25">
      <c r="P119" s="3"/>
    </row>
    <row r="120" spans="16:16" ht="20.100000000000001" customHeight="1" x14ac:dyDescent="0.25">
      <c r="P120" s="3"/>
    </row>
    <row r="121" spans="16:16" ht="20.100000000000001" customHeight="1" x14ac:dyDescent="0.25">
      <c r="P121" s="3"/>
    </row>
    <row r="122" spans="16:16" ht="20.100000000000001" customHeight="1" x14ac:dyDescent="0.25">
      <c r="P122" s="3"/>
    </row>
    <row r="123" spans="16:16" ht="20.100000000000001" customHeight="1" x14ac:dyDescent="0.25">
      <c r="P123" s="3"/>
    </row>
    <row r="124" spans="16:16" ht="20.100000000000001" customHeight="1" x14ac:dyDescent="0.25">
      <c r="P124" s="3"/>
    </row>
    <row r="125" spans="16:16" ht="20.100000000000001" customHeight="1" x14ac:dyDescent="0.25">
      <c r="P125" s="3"/>
    </row>
    <row r="126" spans="16:16" ht="20.100000000000001" customHeight="1" x14ac:dyDescent="0.25">
      <c r="P126" s="3"/>
    </row>
    <row r="127" spans="16:16" ht="20.100000000000001" customHeight="1" x14ac:dyDescent="0.25">
      <c r="P127" s="3"/>
    </row>
    <row r="128" spans="16:16" ht="20.100000000000001" customHeight="1" x14ac:dyDescent="0.25">
      <c r="P128" s="3"/>
    </row>
    <row r="129" spans="16:16" ht="20.100000000000001" customHeight="1" x14ac:dyDescent="0.25">
      <c r="P129" s="3"/>
    </row>
    <row r="130" spans="16:16" ht="20.100000000000001" customHeight="1" x14ac:dyDescent="0.25"/>
    <row r="131" spans="16:16" ht="20.100000000000001" customHeight="1" x14ac:dyDescent="0.25"/>
    <row r="132" spans="16:16" ht="20.100000000000001" customHeight="1" x14ac:dyDescent="0.25"/>
    <row r="133" spans="16:16" ht="20.100000000000001" customHeight="1" x14ac:dyDescent="0.25"/>
    <row r="134" spans="16:16" ht="20.100000000000001" customHeight="1" x14ac:dyDescent="0.25"/>
    <row r="135" spans="16:16" ht="20.100000000000001" customHeight="1" x14ac:dyDescent="0.25"/>
    <row r="136" spans="16:16" ht="20.100000000000001" customHeight="1" x14ac:dyDescent="0.25"/>
    <row r="137" spans="16:16" ht="20.100000000000001" customHeight="1" x14ac:dyDescent="0.25"/>
    <row r="138" spans="16:16" ht="20.100000000000001" customHeight="1" x14ac:dyDescent="0.25"/>
    <row r="139" spans="16:16" ht="20.100000000000001" customHeight="1" x14ac:dyDescent="0.25"/>
    <row r="140" spans="16:16" ht="20.100000000000001" customHeight="1" x14ac:dyDescent="0.25"/>
    <row r="141" spans="16:16" ht="20.100000000000001" customHeight="1" x14ac:dyDescent="0.25"/>
    <row r="142" spans="16:16" ht="20.100000000000001" customHeight="1" x14ac:dyDescent="0.25"/>
    <row r="143" spans="16:16" ht="20.100000000000001" customHeight="1" x14ac:dyDescent="0.25"/>
    <row r="144" spans="16:16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206" spans="12:15" x14ac:dyDescent="0.25">
      <c r="L206" s="2"/>
      <c r="M206" s="2"/>
      <c r="N206" s="2"/>
      <c r="O206" s="2"/>
    </row>
    <row r="207" spans="12:15" x14ac:dyDescent="0.25">
      <c r="L207" s="2"/>
      <c r="M207" s="2"/>
      <c r="N207" s="2"/>
      <c r="O207" s="2"/>
    </row>
    <row r="208" spans="12:15" x14ac:dyDescent="0.25">
      <c r="L208" s="2"/>
      <c r="M208" s="2"/>
      <c r="N208" s="2"/>
      <c r="O208" s="2"/>
    </row>
    <row r="209" spans="12:15" x14ac:dyDescent="0.25">
      <c r="L209" s="2"/>
      <c r="M209" s="2"/>
      <c r="N209" s="2"/>
      <c r="O209" s="2"/>
    </row>
    <row r="210" spans="12:15" x14ac:dyDescent="0.25">
      <c r="L210" s="2"/>
      <c r="M210" s="2"/>
      <c r="N210" s="2"/>
      <c r="O210" s="2"/>
    </row>
    <row r="212" spans="12:15" x14ac:dyDescent="0.25">
      <c r="L212" s="2"/>
      <c r="M212" s="2"/>
      <c r="N212" s="2"/>
      <c r="O212" s="2"/>
    </row>
    <row r="214" spans="12:15" x14ac:dyDescent="0.25">
      <c r="L214" s="2"/>
      <c r="M214" s="2"/>
      <c r="N214" s="2"/>
      <c r="O214" s="2"/>
    </row>
    <row r="215" spans="12:15" x14ac:dyDescent="0.25">
      <c r="L215" s="2"/>
      <c r="M215" s="2"/>
      <c r="N215" s="2"/>
      <c r="O215" s="2"/>
    </row>
    <row r="216" spans="12:15" x14ac:dyDescent="0.25">
      <c r="L216" s="2"/>
      <c r="M216" s="2"/>
      <c r="N216" s="2"/>
      <c r="O216" s="2"/>
    </row>
    <row r="217" spans="12:15" x14ac:dyDescent="0.25">
      <c r="L217" s="2"/>
      <c r="M217" s="2"/>
      <c r="N217" s="2"/>
      <c r="O217" s="2"/>
    </row>
    <row r="219" spans="12:15" x14ac:dyDescent="0.25">
      <c r="L219" s="2"/>
      <c r="M219" s="2"/>
      <c r="N219" s="2"/>
      <c r="O219" s="2"/>
    </row>
    <row r="227" spans="12:15" x14ac:dyDescent="0.25">
      <c r="L227" s="2"/>
      <c r="M227" s="2"/>
      <c r="N227" s="2"/>
      <c r="O227" s="2"/>
    </row>
    <row r="228" spans="12:15" x14ac:dyDescent="0.25">
      <c r="L228" s="2"/>
      <c r="M228" s="2"/>
      <c r="N228" s="2"/>
      <c r="O228" s="2"/>
    </row>
    <row r="229" spans="12:15" x14ac:dyDescent="0.25">
      <c r="L229" s="2"/>
      <c r="M229" s="2"/>
      <c r="N229" s="2"/>
      <c r="O229" s="2"/>
    </row>
    <row r="232" spans="12:15" x14ac:dyDescent="0.25">
      <c r="L232" s="2"/>
      <c r="M232" s="2"/>
      <c r="N232" s="2"/>
      <c r="O232" s="2"/>
    </row>
    <row r="233" spans="12:15" x14ac:dyDescent="0.25">
      <c r="L233" s="2"/>
      <c r="M233" s="2"/>
      <c r="N233" s="2"/>
      <c r="O233" s="2"/>
    </row>
    <row r="234" spans="12:15" x14ac:dyDescent="0.25">
      <c r="L234" s="2"/>
      <c r="M234" s="2"/>
      <c r="N234" s="2"/>
      <c r="O234" s="2"/>
    </row>
    <row r="237" spans="12:15" x14ac:dyDescent="0.25">
      <c r="L237" s="2"/>
      <c r="M237" s="2"/>
      <c r="N237" s="2"/>
      <c r="O237" s="2"/>
    </row>
    <row r="238" spans="12:15" x14ac:dyDescent="0.25">
      <c r="L238" s="2"/>
      <c r="M238" s="2"/>
      <c r="N238" s="2"/>
      <c r="O238" s="2"/>
    </row>
    <row r="239" spans="12:15" x14ac:dyDescent="0.25">
      <c r="L239" s="2"/>
      <c r="M239" s="2"/>
      <c r="N239" s="2"/>
      <c r="O239" s="2"/>
    </row>
    <row r="242" spans="11:15" x14ac:dyDescent="0.25">
      <c r="L242" s="2"/>
      <c r="M242" s="2"/>
      <c r="N242" s="2"/>
      <c r="O242" s="2"/>
    </row>
    <row r="243" spans="11:15" x14ac:dyDescent="0.25">
      <c r="K243" s="2"/>
      <c r="L243" s="2"/>
      <c r="M243" s="2"/>
      <c r="N243" s="2"/>
      <c r="O243" s="2"/>
    </row>
    <row r="244" spans="11:15" x14ac:dyDescent="0.25">
      <c r="L244" s="2"/>
      <c r="M244" s="2"/>
      <c r="N244" s="2"/>
      <c r="O244" s="2"/>
    </row>
    <row r="248" spans="11:15" x14ac:dyDescent="0.25">
      <c r="K248" s="2"/>
    </row>
    <row r="251" spans="11:15" x14ac:dyDescent="0.25">
      <c r="L251" s="2"/>
      <c r="M251" s="2"/>
      <c r="N251" s="2"/>
      <c r="O251" s="2"/>
    </row>
    <row r="252" spans="11:15" x14ac:dyDescent="0.25">
      <c r="L252" s="2"/>
      <c r="M252" s="2"/>
      <c r="N252" s="2"/>
      <c r="O252" s="2"/>
    </row>
    <row r="253" spans="11:15" x14ac:dyDescent="0.25">
      <c r="K253" s="2"/>
      <c r="L253" s="2"/>
      <c r="M253" s="2"/>
      <c r="N253" s="2"/>
      <c r="O253" s="2"/>
    </row>
    <row r="256" spans="11:15" x14ac:dyDescent="0.25">
      <c r="L256" s="2"/>
      <c r="M256" s="2"/>
      <c r="N256" s="2"/>
      <c r="O256" s="2"/>
    </row>
    <row r="257" spans="11:15" x14ac:dyDescent="0.25">
      <c r="L257" s="2"/>
      <c r="M257" s="2"/>
      <c r="N257" s="2"/>
      <c r="O257" s="2"/>
    </row>
    <row r="258" spans="11:15" x14ac:dyDescent="0.25">
      <c r="K258" s="2"/>
      <c r="L258" s="2"/>
      <c r="M258" s="2"/>
      <c r="N258" s="2"/>
      <c r="O258" s="2"/>
    </row>
    <row r="259" spans="11:15" x14ac:dyDescent="0.25">
      <c r="K259" s="2"/>
    </row>
    <row r="260" spans="11:15" x14ac:dyDescent="0.25">
      <c r="K260" s="2"/>
    </row>
    <row r="261" spans="11:15" x14ac:dyDescent="0.25">
      <c r="K261" s="2"/>
      <c r="L261" s="2"/>
      <c r="M261" s="2"/>
      <c r="N261" s="2"/>
      <c r="O261" s="2"/>
    </row>
    <row r="262" spans="11:15" x14ac:dyDescent="0.25">
      <c r="K262" s="2"/>
      <c r="L262" s="2"/>
      <c r="M262" s="2"/>
      <c r="N262" s="2"/>
      <c r="O262" s="2"/>
    </row>
    <row r="263" spans="11:15" x14ac:dyDescent="0.25">
      <c r="L263" s="2"/>
      <c r="M263" s="2"/>
      <c r="N263" s="2"/>
      <c r="O263" s="2"/>
    </row>
    <row r="264" spans="11:15" x14ac:dyDescent="0.25">
      <c r="K264" s="2"/>
    </row>
    <row r="266" spans="11:15" x14ac:dyDescent="0.25">
      <c r="K266" s="2"/>
      <c r="L266" s="2"/>
      <c r="M266" s="2"/>
      <c r="N266" s="2"/>
      <c r="O266" s="2"/>
    </row>
    <row r="267" spans="11:15" x14ac:dyDescent="0.25">
      <c r="K267" s="2"/>
      <c r="L267" s="2"/>
      <c r="M267" s="2"/>
      <c r="N267" s="2"/>
      <c r="O267" s="2"/>
    </row>
    <row r="268" spans="11:15" x14ac:dyDescent="0.25">
      <c r="K268" s="2"/>
      <c r="L268" s="2"/>
      <c r="M268" s="2"/>
      <c r="N268" s="2"/>
      <c r="O268" s="2"/>
    </row>
    <row r="269" spans="11:15" x14ac:dyDescent="0.25">
      <c r="K269" s="2"/>
    </row>
    <row r="271" spans="11:15" x14ac:dyDescent="0.25">
      <c r="K271" s="2"/>
    </row>
    <row r="277" spans="11:11" x14ac:dyDescent="0.25">
      <c r="K277" s="2"/>
    </row>
    <row r="282" spans="11:11" x14ac:dyDescent="0.25">
      <c r="K282" s="2"/>
    </row>
    <row r="287" spans="11:11" x14ac:dyDescent="0.25">
      <c r="K287" s="2"/>
    </row>
    <row r="292" spans="11:11" x14ac:dyDescent="0.25">
      <c r="K292" s="2"/>
    </row>
    <row r="293" spans="11:11" x14ac:dyDescent="0.25">
      <c r="K293" s="2"/>
    </row>
    <row r="294" spans="11:11" x14ac:dyDescent="0.25">
      <c r="K294" s="2"/>
    </row>
    <row r="295" spans="11:11" x14ac:dyDescent="0.25">
      <c r="K295" s="2"/>
    </row>
    <row r="296" spans="11:11" x14ac:dyDescent="0.25">
      <c r="K296" s="2"/>
    </row>
    <row r="298" spans="11:11" x14ac:dyDescent="0.25">
      <c r="K298" s="2"/>
    </row>
    <row r="300" spans="11:11" x14ac:dyDescent="0.25">
      <c r="K300" s="2"/>
    </row>
    <row r="301" spans="11:11" x14ac:dyDescent="0.25">
      <c r="K301" s="2"/>
    </row>
    <row r="302" spans="11:11" x14ac:dyDescent="0.25">
      <c r="K302" s="2"/>
    </row>
    <row r="303" spans="11:11" x14ac:dyDescent="0.25">
      <c r="K303" s="2"/>
    </row>
    <row r="305" spans="11:11" x14ac:dyDescent="0.25">
      <c r="K305" s="2"/>
    </row>
    <row r="313" spans="11:11" x14ac:dyDescent="0.25">
      <c r="K313" s="2"/>
    </row>
    <row r="314" spans="11:11" x14ac:dyDescent="0.25">
      <c r="K314" s="2"/>
    </row>
    <row r="315" spans="11:11" x14ac:dyDescent="0.25">
      <c r="K315" s="2"/>
    </row>
    <row r="318" spans="11:11" x14ac:dyDescent="0.25">
      <c r="K318" s="2"/>
    </row>
    <row r="319" spans="11:11" x14ac:dyDescent="0.25">
      <c r="K319" s="2"/>
    </row>
    <row r="320" spans="11:11" x14ac:dyDescent="0.25">
      <c r="K320" s="2"/>
    </row>
    <row r="323" spans="11:11" x14ac:dyDescent="0.25">
      <c r="K323" s="2"/>
    </row>
    <row r="324" spans="11:11" x14ac:dyDescent="0.25">
      <c r="K324" s="2"/>
    </row>
    <row r="325" spans="11:11" x14ac:dyDescent="0.25">
      <c r="K325" s="2"/>
    </row>
    <row r="328" spans="11:11" x14ac:dyDescent="0.25">
      <c r="K328" s="2"/>
    </row>
    <row r="329" spans="11:11" x14ac:dyDescent="0.25">
      <c r="K329" s="2"/>
    </row>
    <row r="330" spans="11:11" x14ac:dyDescent="0.25">
      <c r="K330" s="2"/>
    </row>
    <row r="337" spans="11:11" x14ac:dyDescent="0.25">
      <c r="K337" s="2"/>
    </row>
    <row r="338" spans="11:11" x14ac:dyDescent="0.25">
      <c r="K338" s="2"/>
    </row>
    <row r="339" spans="11:11" x14ac:dyDescent="0.25">
      <c r="K339" s="2"/>
    </row>
    <row r="342" spans="11:11" x14ac:dyDescent="0.25">
      <c r="K342" s="2"/>
    </row>
    <row r="343" spans="11:11" x14ac:dyDescent="0.25">
      <c r="K343" s="2"/>
    </row>
    <row r="344" spans="11:11" x14ac:dyDescent="0.25">
      <c r="K344" s="2"/>
    </row>
    <row r="347" spans="11:11" x14ac:dyDescent="0.25">
      <c r="K347" s="2"/>
    </row>
    <row r="348" spans="11:11" x14ac:dyDescent="0.25">
      <c r="K348" s="2"/>
    </row>
    <row r="349" spans="11:11" x14ac:dyDescent="0.25">
      <c r="K349" s="2"/>
    </row>
    <row r="352" spans="11:11" x14ac:dyDescent="0.25">
      <c r="K352" s="2"/>
    </row>
    <row r="353" spans="4:11" x14ac:dyDescent="0.25">
      <c r="K353" s="2"/>
    </row>
    <row r="354" spans="4:11" x14ac:dyDescent="0.25">
      <c r="K354" s="2"/>
    </row>
    <row r="356" spans="4:11" x14ac:dyDescent="0.25">
      <c r="D356" s="105"/>
    </row>
  </sheetData>
  <conditionalFormatting sqref="Q43:R43 P101 N164:O165 K184:M185 N160:O160 K180:M180 N174:O175 K194:M195 N178:O179 N168:O169 K188:M189 N185:O187 I205:M205 I199:M199 K198:M198 I119:J119">
    <cfRule type="cellIs" dxfId="45" priority="74" operator="lessThan">
      <formula>0</formula>
    </cfRule>
  </conditionalFormatting>
  <conditionalFormatting sqref="E205:G205 N190:O190">
    <cfRule type="cellIs" dxfId="44" priority="79" operator="lessThan">
      <formula>0</formula>
    </cfRule>
  </conditionalFormatting>
  <conditionalFormatting sqref="L206:O210 L212:O212 L214:O217 L219:O219 J223:J225 J228:J230 J243:K243 J248:K248 J253:K253 J258:K262 J264:K264 J266:K269 J271:K271 J277:K277 J282:K282 J287:K287 J292:K296 J298:K298 J300:K303 J305:K305">
    <cfRule type="cellIs" dxfId="43" priority="102" operator="lessThan">
      <formula>0</formula>
    </cfRule>
  </conditionalFormatting>
  <conditionalFormatting sqref="F245:F246">
    <cfRule type="cellIs" dxfId="42" priority="93" operator="lessThan">
      <formula>0</formula>
    </cfRule>
  </conditionalFormatting>
  <conditionalFormatting sqref="F250:F251">
    <cfRule type="cellIs" dxfId="41" priority="92" operator="lessThan">
      <formula>0</formula>
    </cfRule>
  </conditionalFormatting>
  <conditionalFormatting sqref="F255:F256">
    <cfRule type="cellIs" dxfId="40" priority="91" operator="lessThan">
      <formula>0</formula>
    </cfRule>
  </conditionalFormatting>
  <conditionalFormatting sqref="F279:F280">
    <cfRule type="cellIs" dxfId="39" priority="85" operator="lessThan">
      <formula>0</formula>
    </cfRule>
  </conditionalFormatting>
  <conditionalFormatting sqref="F284:F285">
    <cfRule type="cellIs" dxfId="38" priority="84" operator="lessThan">
      <formula>0</formula>
    </cfRule>
  </conditionalFormatting>
  <conditionalFormatting sqref="F289:F290">
    <cfRule type="cellIs" dxfId="37" priority="83" operator="lessThan">
      <formula>0</formula>
    </cfRule>
  </conditionalFormatting>
  <conditionalFormatting sqref="L20">
    <cfRule type="cellIs" dxfId="36" priority="70" operator="lessThan">
      <formula>0</formula>
    </cfRule>
  </conditionalFormatting>
  <conditionalFormatting sqref="F31:F32">
    <cfRule type="cellIs" dxfId="35" priority="69" operator="lessThan">
      <formula>0</formula>
    </cfRule>
  </conditionalFormatting>
  <conditionalFormatting sqref="F35">
    <cfRule type="cellIs" dxfId="34" priority="68" operator="lessThan">
      <formula>0</formula>
    </cfRule>
  </conditionalFormatting>
  <conditionalFormatting sqref="F45">
    <cfRule type="cellIs" dxfId="33" priority="62" operator="lessThan">
      <formula>0</formula>
    </cfRule>
  </conditionalFormatting>
  <conditionalFormatting sqref="L21">
    <cfRule type="cellIs" dxfId="32" priority="59" operator="lessThan">
      <formula>0</formula>
    </cfRule>
  </conditionalFormatting>
  <conditionalFormatting sqref="L22">
    <cfRule type="cellIs" dxfId="31" priority="58" operator="lessThan">
      <formula>0</formula>
    </cfRule>
  </conditionalFormatting>
  <conditionalFormatting sqref="L23">
    <cfRule type="cellIs" dxfId="30" priority="57" operator="lessThan">
      <formula>0</formula>
    </cfRule>
  </conditionalFormatting>
  <conditionalFormatting sqref="L24">
    <cfRule type="cellIs" dxfId="29" priority="56" operator="lessThan">
      <formula>0</formula>
    </cfRule>
  </conditionalFormatting>
  <conditionalFormatting sqref="L25">
    <cfRule type="cellIs" dxfId="28" priority="55" operator="lessThan">
      <formula>0</formula>
    </cfRule>
  </conditionalFormatting>
  <conditionalFormatting sqref="L100">
    <cfRule type="cellIs" dxfId="27" priority="43" operator="lessThan">
      <formula>0</formula>
    </cfRule>
  </conditionalFormatting>
  <conditionalFormatting sqref="L39:L43">
    <cfRule type="cellIs" dxfId="26" priority="28" operator="lessThan">
      <formula>0</formula>
    </cfRule>
  </conditionalFormatting>
  <conditionalFormatting sqref="L47:L50">
    <cfRule type="cellIs" dxfId="25" priority="27" operator="lessThan">
      <formula>0</formula>
    </cfRule>
  </conditionalFormatting>
  <conditionalFormatting sqref="L55:L58">
    <cfRule type="cellIs" dxfId="24" priority="26" operator="lessThan">
      <formula>0</formula>
    </cfRule>
  </conditionalFormatting>
  <conditionalFormatting sqref="L63:L66">
    <cfRule type="cellIs" dxfId="23" priority="25" operator="lessThan">
      <formula>0</formula>
    </cfRule>
  </conditionalFormatting>
  <conditionalFormatting sqref="J147">
    <cfRule type="cellIs" dxfId="22" priority="24" operator="lessThan">
      <formula>0</formula>
    </cfRule>
  </conditionalFormatting>
  <conditionalFormatting sqref="L107">
    <cfRule type="cellIs" dxfId="21" priority="23" operator="lessThan">
      <formula>0</formula>
    </cfRule>
  </conditionalFormatting>
  <conditionalFormatting sqref="F121:F122">
    <cfRule type="cellIs" dxfId="20" priority="21" operator="lessThan">
      <formula>0</formula>
    </cfRule>
  </conditionalFormatting>
  <conditionalFormatting sqref="F133:F134">
    <cfRule type="cellIs" dxfId="19" priority="20" operator="lessThan">
      <formula>0</formula>
    </cfRule>
  </conditionalFormatting>
  <conditionalFormatting sqref="F145:F146">
    <cfRule type="cellIs" dxfId="18" priority="19" operator="lessThan">
      <formula>0</formula>
    </cfRule>
  </conditionalFormatting>
  <conditionalFormatting sqref="F157:F158">
    <cfRule type="cellIs" dxfId="17" priority="18" operator="lessThan">
      <formula>0</formula>
    </cfRule>
  </conditionalFormatting>
  <conditionalFormatting sqref="L119">
    <cfRule type="cellIs" dxfId="16" priority="17" operator="lessThan">
      <formula>0</formula>
    </cfRule>
  </conditionalFormatting>
  <conditionalFormatting sqref="L131">
    <cfRule type="cellIs" dxfId="15" priority="16" operator="lessThan">
      <formula>0</formula>
    </cfRule>
  </conditionalFormatting>
  <conditionalFormatting sqref="L143">
    <cfRule type="cellIs" dxfId="14" priority="15" operator="lessThan">
      <formula>0</formula>
    </cfRule>
  </conditionalFormatting>
  <conditionalFormatting sqref="L155">
    <cfRule type="cellIs" dxfId="13" priority="14" operator="lessThan">
      <formula>0</formula>
    </cfRule>
  </conditionalFormatting>
  <conditionalFormatting sqref="L160">
    <cfRule type="cellIs" dxfId="12" priority="13" operator="lessThan">
      <formula>0</formula>
    </cfRule>
  </conditionalFormatting>
  <conditionalFormatting sqref="L159">
    <cfRule type="cellIs" dxfId="11" priority="12" operator="lessThan">
      <formula>0</formula>
    </cfRule>
  </conditionalFormatting>
  <conditionalFormatting sqref="L113:L116">
    <cfRule type="cellIs" dxfId="10" priority="11" operator="lessThan">
      <formula>0</formula>
    </cfRule>
  </conditionalFormatting>
  <conditionalFormatting sqref="L125:L128">
    <cfRule type="cellIs" dxfId="9" priority="10" operator="lessThan">
      <formula>0</formula>
    </cfRule>
  </conditionalFormatting>
  <conditionalFormatting sqref="L137:L140">
    <cfRule type="cellIs" dxfId="8" priority="9" operator="lessThan">
      <formula>0</formula>
    </cfRule>
  </conditionalFormatting>
  <conditionalFormatting sqref="L149:L152">
    <cfRule type="cellIs" dxfId="7" priority="8" operator="lessThan">
      <formula>0</formula>
    </cfRule>
  </conditionalFormatting>
  <conditionalFormatting sqref="L71:L74">
    <cfRule type="cellIs" dxfId="6" priority="7" operator="lessThan">
      <formula>0</formula>
    </cfRule>
  </conditionalFormatting>
  <conditionalFormatting sqref="L51">
    <cfRule type="cellIs" dxfId="5" priority="6" operator="lessThan">
      <formula>0</formula>
    </cfRule>
  </conditionalFormatting>
  <conditionalFormatting sqref="L59">
    <cfRule type="cellIs" dxfId="4" priority="5" operator="lessThan">
      <formula>0</formula>
    </cfRule>
  </conditionalFormatting>
  <conditionalFormatting sqref="L67">
    <cfRule type="cellIs" dxfId="3" priority="4" operator="lessThan">
      <formula>0</formula>
    </cfRule>
  </conditionalFormatting>
  <conditionalFormatting sqref="L75">
    <cfRule type="cellIs" dxfId="2" priority="3" operator="lessThan">
      <formula>0</formula>
    </cfRule>
  </conditionalFormatting>
  <conditionalFormatting sqref="L79:L83">
    <cfRule type="cellIs" dxfId="1" priority="2" operator="lessThan">
      <formula>0</formula>
    </cfRule>
  </conditionalFormatting>
  <conditionalFormatting sqref="L84">
    <cfRule type="cellIs" dxfId="0" priority="1" operator="lessThan">
      <formula>0</formula>
    </cfRule>
  </conditionalFormatting>
  <dataValidations count="4">
    <dataValidation type="list" allowBlank="1" showInputMessage="1" showErrorMessage="1" sqref="D272" xr:uid="{4E913AB3-F90B-4C35-BCE1-5DBB8FC05107}">
      <formula1>INDIRECT("Table_SourceData_PoultryMMSStage1[MMS]")</formula1>
    </dataValidation>
    <dataValidation type="list" allowBlank="1" showInputMessage="1" showErrorMessage="1" sqref="E220" xr:uid="{9FB53635-991F-44AA-A123-E8ABEF9EE0A6}">
      <formula1>INDIRECT("Table_SourceData_Dairy_ProductionSystemTemplates[Area]")</formula1>
    </dataValidation>
    <dataValidation type="list" allowBlank="1" showInputMessage="1" showErrorMessage="1" sqref="E244 E249 E254 E288 E283 E278 E30:E34 E156 E144 E120 E132" xr:uid="{00A4EA4C-90D3-4150-979D-4D71C7F37A31}">
      <formula1>"Yes, No"</formula1>
    </dataValidation>
    <dataValidation type="list" allowBlank="1" showInputMessage="1" showErrorMessage="1" sqref="E17" xr:uid="{7CE3F3B3-74F0-4147-9434-E417CDC75C10}">
      <formula1>INDIRECT("Table_SourceData_Swine_ProductionSystems[Production system]")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AG297"/>
  <sheetViews>
    <sheetView showGridLines="0" zoomScale="85" zoomScaleNormal="85" workbookViewId="0">
      <selection activeCell="F23" sqref="F2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6" width="30.7109375" style="1" customWidth="1"/>
    <col min="17" max="17" width="4.7109375" style="1" customWidth="1"/>
    <col min="18" max="18" width="4.7109375" customWidth="1"/>
    <col min="19" max="19" width="4.7109375" style="1" customWidth="1"/>
    <col min="20" max="32" width="30.7109375" style="1" customWidth="1"/>
    <col min="33" max="33" width="4.7109375" style="1" customWidth="1"/>
  </cols>
  <sheetData>
    <row r="1" spans="1:33" s="8" customFormat="1" ht="30" customHeight="1" x14ac:dyDescent="0.35">
      <c r="A1" s="67" t="e" vm="1">
        <v>#VALUE!</v>
      </c>
      <c r="C1" s="8" t="s">
        <v>245</v>
      </c>
    </row>
    <row r="2" spans="1:33" s="9" customFormat="1" ht="20.100000000000001" customHeight="1" x14ac:dyDescent="0.25"/>
    <row r="3" spans="1:33" ht="20.100000000000001" customHeight="1" x14ac:dyDescent="0.25">
      <c r="A3" s="17" t="str">
        <f>HYPERLINK("#'Home'!A1", "Home")</f>
        <v>Home</v>
      </c>
      <c r="C3" s="4"/>
      <c r="D3" s="4" t="s">
        <v>105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S3" s="4"/>
      <c r="T3" s="4" t="s">
        <v>106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 spans="1:33" ht="20.100000000000001" customHeight="1" x14ac:dyDescent="0.25">
      <c r="A4" s="17" t="str">
        <f>HYPERLINK("#'Results'!A1", "Results")</f>
        <v>Results</v>
      </c>
    </row>
    <row r="5" spans="1:33" ht="20.100000000000001" customHeight="1" x14ac:dyDescent="0.25">
      <c r="A5" s="16"/>
      <c r="D5" s="6" t="str" cm="1">
        <f t="array" ref="D5">ManureManagement_Swine_Methane.VEERG_4_5_1_1__4_FractionVolatileSolidsPrimarySystem_Title()</f>
        <v>Fraction of volatile solids in each primary system other than solid storage</v>
      </c>
    </row>
    <row r="6" spans="1:33" ht="20.100000000000001" customHeight="1" x14ac:dyDescent="0.25">
      <c r="A6" s="20" t="s">
        <v>3</v>
      </c>
      <c r="D6" s="5" t="str" cm="1">
        <f t="array" ref="D6">ManureManagement_Swine_Methane.VEERG_4_5_1_1__4_FractionVolatileSolidsPrimarySystem_Source()</f>
        <v>VEERG 2026: 4.5.1.1, Equation (4)</v>
      </c>
    </row>
    <row r="7" spans="1:33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Common_InputFunctions.Utility_DisplayFunctionName(F38)</f>
        <v>=IF</v>
      </c>
    </row>
    <row r="8" spans="1:33" ht="20.100000000000001" customHeight="1" x14ac:dyDescent="0.25">
      <c r="A8" s="17" t="str">
        <f>HYPERLINK("#'Input - Swine'!A1", "Swine")</f>
        <v>Swine</v>
      </c>
      <c r="D8" s="54" t="str" cm="1">
        <f t="array" ref="D8">ManureManagement_Swine_Methane.VEERG_4_5_1_1__4_FractionVolatileSolidsPrimarySystem_Variation()</f>
        <v>VARIATION ON SOURCE: Added check to convert 'N/A' value to zero.</v>
      </c>
    </row>
    <row r="9" spans="1:33" ht="20.100000000000001" customHeight="1" x14ac:dyDescent="0.25">
      <c r="A9" s="17"/>
    </row>
    <row r="10" spans="1:33" ht="20.100000000000001" customHeight="1" x14ac:dyDescent="0.25">
      <c r="A10" s="19" t="s">
        <v>76</v>
      </c>
    </row>
    <row r="11" spans="1:33" ht="20.100000000000001" customHeight="1" x14ac:dyDescent="0.25">
      <c r="A11" s="17" t="str">
        <f>HYPERLINK("#'4.2.1.1-2 Methane'!A1", "4.2.1.1-2 Methane")</f>
        <v>4.2.1.1-2 Methane</v>
      </c>
    </row>
    <row r="12" spans="1:33" ht="20.100000000000001" customHeight="1" x14ac:dyDescent="0.25">
      <c r="A12" s="17" t="str">
        <f>HYPERLINK("#'4.2.1.3-4 Soil direct N2O'!A1", "4.2.1.3-4 Soil direct N2O")</f>
        <v>4.2.1.3-4 Soil direct N2O</v>
      </c>
      <c r="D12" s="52" t="s">
        <v>29</v>
      </c>
      <c r="E12" s="1" t="str" cm="1">
        <f t="array" ref="E12">ManureManagement_Swine_Methane.VEERG_4_5_1_1__4_FractionVolatileSolidsPrimarySystem_Variable()</f>
        <v>FVSjmT1</v>
      </c>
      <c r="G12" s="106" t="s">
        <v>246</v>
      </c>
    </row>
    <row r="13" spans="1:33" ht="20.100000000000001" customHeight="1" x14ac:dyDescent="0.25">
      <c r="A13" s="17" t="str">
        <f>HYPERLINK("#'4.2.1.5-6 Soil Atmos Dep'!A1", "4.2.1.5-6 Soil atm. deposition")</f>
        <v>4.2.1.5-6 Soil atm. deposition</v>
      </c>
      <c r="D13" s="52" t="s">
        <v>19</v>
      </c>
      <c r="E13" s="53" t="str" cm="1">
        <f t="array" ref="E13">ManureManagement_Swine_Methane.VEERG_4_5_1_1__4_FractionVolatileSolidsPrimarySystem_Unit()</f>
        <v>fraction</v>
      </c>
    </row>
    <row r="14" spans="1:33" ht="20.100000000000001" customHeight="1" x14ac:dyDescent="0.25">
      <c r="A14" s="17" t="str">
        <f>HYPERLINK("#'4.2.1.7-8 Soil leach runoff'!A1", "4.2.1.7-8 Soil leach &amp; runoff")</f>
        <v>4.2.1.7-8 Soil leach &amp; runoff</v>
      </c>
    </row>
    <row r="15" spans="1:33" ht="20.100000000000001" customHeight="1" x14ac:dyDescent="0.25">
      <c r="A15" s="17"/>
      <c r="D15" s="56" t="str" cm="1">
        <f t="array" ref="D15:E16">ManureManagement_Swine_Methane.VEERG_4_5_1_1__4_FractionVolatileSolidsPrimarySystem_Arguments()</f>
        <v>MMSjmT1</v>
      </c>
      <c r="E15" s="57" t="str">
        <v>fraction of manure to each primary MMS for each class prior to solid separation : fraction</v>
      </c>
      <c r="F15" s="99"/>
      <c r="G15" s="58"/>
      <c r="H15" s="51" t="str">
        <f>"See " &amp; $D$18</f>
        <v>See Table_MMS_j_m-1-7-9-8_T-1</v>
      </c>
      <c r="I15" s="106" t="s">
        <v>247</v>
      </c>
    </row>
    <row r="16" spans="1:33" ht="20.100000000000001" customHeight="1" x14ac:dyDescent="0.25">
      <c r="A16" s="18" t="s">
        <v>4</v>
      </c>
      <c r="D16" s="56" t="str">
        <v>SSm</v>
      </c>
      <c r="E16" s="57" t="str">
        <v>fraction of volatile solids separated to solid storage for each MMS : fraction</v>
      </c>
      <c r="F16" s="99"/>
      <c r="G16" s="58"/>
      <c r="H16" s="51" t="str">
        <f>"See " &amp; $D$26</f>
        <v>See Table_SS_m-1-7-9</v>
      </c>
      <c r="I16" s="106" t="s">
        <v>248</v>
      </c>
    </row>
    <row r="17" spans="1:14" ht="20.100000000000001" customHeight="1" x14ac:dyDescent="0.25">
      <c r="A17" s="17" t="str">
        <f>HYPERLINK("#'Constants - Swine'!A1", "Constants - Swine")</f>
        <v>Constants - Swine</v>
      </c>
    </row>
    <row r="18" spans="1:14" ht="20.100000000000001" customHeight="1" x14ac:dyDescent="0.25">
      <c r="A18" s="17" t="str">
        <f>HYPERLINK("#'Constants - Livestock'!A1", "Constants - Livestock")</f>
        <v>Constants - Livestock</v>
      </c>
      <c r="D18" s="121" t="s">
        <v>249</v>
      </c>
    </row>
    <row r="19" spans="1:14" ht="20.100000000000001" customHeight="1" x14ac:dyDescent="0.25">
      <c r="A19" s="17" t="str">
        <f>HYPERLINK("#'Constants - Common'!A1", "Constants - Common")</f>
        <v>Constants - Common</v>
      </c>
      <c r="D19" s="122" t="s">
        <v>250</v>
      </c>
    </row>
    <row r="20" spans="1:14" ht="20.100000000000001" customHeight="1" x14ac:dyDescent="0.25">
      <c r="A20" s="17" t="str">
        <f>HYPERLINK("#'Acknowledgements'!A1", "Acknowledgements")</f>
        <v>Acknowledgements</v>
      </c>
      <c r="F20" s="50" t="s">
        <v>220</v>
      </c>
      <c r="G20" s="50" t="s">
        <v>221</v>
      </c>
      <c r="H20" s="50" t="s">
        <v>222</v>
      </c>
      <c r="I20" s="50" t="s">
        <v>223</v>
      </c>
      <c r="J20" s="50" t="s">
        <v>224</v>
      </c>
      <c r="K20" s="50" t="s">
        <v>225</v>
      </c>
      <c r="L20" s="50" t="s">
        <v>226</v>
      </c>
    </row>
    <row r="21" spans="1:14" ht="20.100000000000001" customHeight="1" x14ac:dyDescent="0.25">
      <c r="D21" s="50" t="s">
        <v>113</v>
      </c>
      <c r="E21" s="50" t="s">
        <v>251</v>
      </c>
      <c r="F21" s="50" t="s">
        <v>252</v>
      </c>
      <c r="G21" s="50" t="s">
        <v>253</v>
      </c>
      <c r="H21" s="50" t="s">
        <v>254</v>
      </c>
      <c r="I21" s="50" t="s">
        <v>255</v>
      </c>
      <c r="J21" s="50" t="s">
        <v>255</v>
      </c>
      <c r="K21" s="50" t="s">
        <v>255</v>
      </c>
      <c r="L21" s="50" t="s">
        <v>255</v>
      </c>
    </row>
    <row r="22" spans="1:14" ht="20.100000000000001" customHeight="1" x14ac:dyDescent="0.25">
      <c r="A22" s="17"/>
      <c r="D22" s="56" t="str">
        <f>'[1]Input - MMS - Swine'!$D$18</f>
        <v>Conventional housing</v>
      </c>
      <c r="E22" s="56" t="str">
        <f>'[1]Input - MMS - Swine'!$E$18</f>
        <v>Solid storage</v>
      </c>
      <c r="F22" s="51" t="str">
        <f>IF($E22="Solid storage", "N/A", '[1]Input - MMS - Swine'!G18)</f>
        <v>N/A</v>
      </c>
      <c r="G22" s="51" t="str">
        <f>IF($E22="Solid storage", "N/A", '[1]Input - MMS - Swine'!H18)</f>
        <v>N/A</v>
      </c>
      <c r="H22" s="51" t="str">
        <f>IF($E22="Solid storage", "N/A", '[1]Input - MMS - Swine'!I18)</f>
        <v>N/A</v>
      </c>
      <c r="I22" s="51" t="str">
        <f>IF($E22="Solid storage", "N/A", '[1]Input - MMS - Swine'!J18)</f>
        <v>N/A</v>
      </c>
      <c r="J22" s="51" t="str">
        <f>IF($E22="Solid storage", "N/A", '[1]Input - MMS - Swine'!K18)</f>
        <v>N/A</v>
      </c>
      <c r="K22" s="51" t="str">
        <f>IF($E22="Solid storage", "N/A", '[1]Input - MMS - Swine'!L18)</f>
        <v>N/A</v>
      </c>
      <c r="L22" s="51" t="str">
        <f>IF($E22="Solid storage", "N/A", '[1]Input - MMS - Swine'!M18)</f>
        <v>N/A</v>
      </c>
      <c r="M22" s="2" t="s">
        <v>99</v>
      </c>
      <c r="N22" s="2"/>
    </row>
    <row r="23" spans="1:14" ht="20.100000000000001" customHeight="1" x14ac:dyDescent="0.25">
      <c r="A23" s="17"/>
      <c r="D23" s="56" t="str">
        <f>'[1]Input - MMS - Swine'!$D$19</f>
        <v>Deep litter housing</v>
      </c>
      <c r="E23" s="56" t="str">
        <f>'[1]Input - MMS - Swine'!$E$19</f>
        <v>Drylot (feed pad)</v>
      </c>
      <c r="F23" s="51">
        <f>IF($E23="Solid storage", "N/A", '[1]Input - MMS - Swine'!G19)</f>
        <v>0.5</v>
      </c>
      <c r="G23" s="51">
        <f>IF($E23="Solid storage", "N/A", '[1]Input - MMS - Swine'!H19)</f>
        <v>0.5</v>
      </c>
      <c r="H23" s="51">
        <f>IF($E23="Solid storage", "N/A", '[1]Input - MMS - Swine'!I19)</f>
        <v>0.5</v>
      </c>
      <c r="I23" s="51">
        <f>IF($E23="Solid storage", "N/A", '[1]Input - MMS - Swine'!J19)</f>
        <v>0.5</v>
      </c>
      <c r="J23" s="51">
        <f>IF($E23="Solid storage", "N/A", '[1]Input - MMS - Swine'!K19)</f>
        <v>0.5</v>
      </c>
      <c r="K23" s="51">
        <f>IF($E23="Solid storage", "N/A", '[1]Input - MMS - Swine'!L19)</f>
        <v>0.5</v>
      </c>
      <c r="L23" s="51">
        <f>IF($E23="Solid storage", "N/A", '[1]Input - MMS - Swine'!M19)</f>
        <v>0.5</v>
      </c>
      <c r="M23" s="2" t="s">
        <v>99</v>
      </c>
      <c r="N23" s="2"/>
    </row>
    <row r="24" spans="1:14" ht="20.100000000000001" customHeight="1" x14ac:dyDescent="0.25">
      <c r="N24" s="2"/>
    </row>
    <row r="25" spans="1:14" ht="20.100000000000001" customHeight="1" x14ac:dyDescent="0.25">
      <c r="N25" s="2"/>
    </row>
    <row r="26" spans="1:14" ht="20.100000000000001" customHeight="1" x14ac:dyDescent="0.25">
      <c r="D26" s="121" t="s">
        <v>256</v>
      </c>
      <c r="N26" s="2"/>
    </row>
    <row r="27" spans="1:14" ht="20.100000000000001" customHeight="1" x14ac:dyDescent="0.25">
      <c r="D27" s="122" t="s">
        <v>257</v>
      </c>
    </row>
    <row r="28" spans="1:14" ht="20.100000000000001" customHeight="1" x14ac:dyDescent="0.25">
      <c r="F28" s="50" t="s">
        <v>220</v>
      </c>
      <c r="G28" s="50" t="s">
        <v>221</v>
      </c>
      <c r="H28" s="50" t="s">
        <v>222</v>
      </c>
      <c r="I28" s="50" t="s">
        <v>223</v>
      </c>
      <c r="J28" s="50" t="s">
        <v>224</v>
      </c>
      <c r="K28" s="50" t="s">
        <v>225</v>
      </c>
      <c r="L28" s="50" t="s">
        <v>226</v>
      </c>
    </row>
    <row r="29" spans="1:14" ht="20.100000000000001" customHeight="1" x14ac:dyDescent="0.25">
      <c r="D29" s="50" t="s">
        <v>113</v>
      </c>
      <c r="E29" s="50" t="s">
        <v>251</v>
      </c>
      <c r="F29" s="50" t="s">
        <v>258</v>
      </c>
      <c r="G29" s="50" t="s">
        <v>259</v>
      </c>
      <c r="H29" s="50" t="s">
        <v>260</v>
      </c>
      <c r="I29" s="50" t="s">
        <v>261</v>
      </c>
      <c r="J29" s="50" t="s">
        <v>261</v>
      </c>
      <c r="K29" s="50" t="s">
        <v>261</v>
      </c>
      <c r="L29" s="50" t="s">
        <v>261</v>
      </c>
    </row>
    <row r="30" spans="1:14" ht="20.100000000000001" customHeight="1" x14ac:dyDescent="0.25">
      <c r="D30" s="56" t="str">
        <f>'[1]Input - MMS - Swine'!$D$18</f>
        <v>Conventional housing</v>
      </c>
      <c r="E30" s="56" t="str">
        <f>'[1]Input - MMS - Swine'!$E$18</f>
        <v>Solid storage</v>
      </c>
      <c r="F30" s="51" t="str">
        <f>IF($E$30="Solid storage", "N/A", '[1]Input - MMS - Swine'!E31)</f>
        <v>N/A</v>
      </c>
      <c r="G30" s="51" t="str">
        <f>IF($E$30="Solid storage", "N/A", '[1]Input - MMS - Swine'!F31)</f>
        <v>N/A</v>
      </c>
      <c r="H30" s="51" t="str">
        <f>IF($E$30="Solid storage", "N/A", '[1]Input - MMS - Swine'!G31)</f>
        <v>N/A</v>
      </c>
      <c r="I30" s="51" t="str">
        <f>IF($E$30="Solid storage", "N/A", '[1]Input - MMS - Swine'!H31)</f>
        <v>N/A</v>
      </c>
      <c r="J30" s="51" t="str">
        <f>IF($E$30="Solid storage", "N/A", '[1]Input - MMS - Swine'!I31)</f>
        <v>N/A</v>
      </c>
      <c r="K30" s="51" t="str">
        <f>IF($E$30="Solid storage", "N/A", '[1]Input - MMS - Swine'!J31)</f>
        <v>N/A</v>
      </c>
      <c r="L30" s="51" t="str">
        <f>IF($E$30="Solid storage", "N/A", '[1]Input - MMS - Swine'!K31)</f>
        <v>N/A</v>
      </c>
      <c r="M30" s="2" t="s">
        <v>99</v>
      </c>
    </row>
    <row r="31" spans="1:14" ht="20.100000000000001" customHeight="1" x14ac:dyDescent="0.25">
      <c r="D31" s="56" t="str">
        <f>'[1]Input - MMS - Swine'!$D$19</f>
        <v>Deep litter housing</v>
      </c>
      <c r="E31" s="56" t="str">
        <f>'[1]Input - MMS - Swine'!$E$19</f>
        <v>Drylot (feed pad)</v>
      </c>
      <c r="F31" s="51">
        <f>IF($E$31="Solid storage", "N/A", '[1]Input - MMS - Swine'!E83)</f>
        <v>0.25</v>
      </c>
      <c r="G31" s="51">
        <f>IF($E$31="Solid storage", "N/A", '[1]Input - MMS - Swine'!F83)</f>
        <v>0.25</v>
      </c>
      <c r="H31" s="51">
        <f>IF($E$31="Solid storage", "N/A", '[1]Input - MMS - Swine'!G83)</f>
        <v>0.25</v>
      </c>
      <c r="I31" s="51">
        <f>IF($E$31="Solid storage", "N/A", '[1]Input - MMS - Swine'!H83)</f>
        <v>0.25</v>
      </c>
      <c r="J31" s="51">
        <f>IF($E$31="Solid storage", "N/A", '[1]Input - MMS - Swine'!I83)</f>
        <v>0.25</v>
      </c>
      <c r="K31" s="51">
        <f>IF($E$31="Solid storage", "N/A", '[1]Input - MMS - Swine'!J83)</f>
        <v>0.25</v>
      </c>
      <c r="L31" s="51">
        <f>IF($E$31="Solid storage", "N/A", '[1]Input - MMS - Swine'!K83)</f>
        <v>0.25</v>
      </c>
      <c r="M31" s="2" t="s">
        <v>99</v>
      </c>
    </row>
    <row r="32" spans="1:14" ht="20.100000000000001" customHeight="1" x14ac:dyDescent="0.25">
      <c r="N32" s="2"/>
    </row>
    <row r="33" spans="3:15" ht="20.100000000000001" customHeight="1" x14ac:dyDescent="0.25">
      <c r="N33" s="2"/>
    </row>
    <row r="34" spans="3:15" ht="20.100000000000001" customHeight="1" x14ac:dyDescent="0.25">
      <c r="D34" s="121" t="s">
        <v>262</v>
      </c>
      <c r="N34" s="2"/>
    </row>
    <row r="35" spans="3:15" ht="20.100000000000001" customHeight="1" x14ac:dyDescent="0.25">
      <c r="D35" s="122" t="s">
        <v>263</v>
      </c>
      <c r="N35" s="2"/>
    </row>
    <row r="36" spans="3:15" ht="20.100000000000001" customHeight="1" x14ac:dyDescent="0.25">
      <c r="F36" s="50" t="s">
        <v>220</v>
      </c>
      <c r="G36" s="50" t="s">
        <v>221</v>
      </c>
      <c r="H36" s="50" t="s">
        <v>222</v>
      </c>
      <c r="I36" s="50" t="s">
        <v>223</v>
      </c>
      <c r="J36" s="50" t="s">
        <v>224</v>
      </c>
      <c r="K36" s="50" t="s">
        <v>225</v>
      </c>
      <c r="L36" s="50" t="s">
        <v>226</v>
      </c>
      <c r="N36" s="2"/>
    </row>
    <row r="37" spans="3:15" ht="20.100000000000001" customHeight="1" x14ac:dyDescent="0.25">
      <c r="D37" s="50" t="s">
        <v>113</v>
      </c>
      <c r="E37" s="50" t="s">
        <v>251</v>
      </c>
      <c r="F37" s="50" t="s">
        <v>264</v>
      </c>
      <c r="G37" s="50" t="s">
        <v>264</v>
      </c>
      <c r="H37" s="50" t="s">
        <v>264</v>
      </c>
      <c r="I37" s="50" t="s">
        <v>264</v>
      </c>
      <c r="J37" s="50" t="s">
        <v>264</v>
      </c>
      <c r="K37" s="50" t="s">
        <v>264</v>
      </c>
      <c r="L37" s="50" t="s">
        <v>264</v>
      </c>
    </row>
    <row r="38" spans="3:15" ht="20.100000000000001" customHeight="1" x14ac:dyDescent="0.25">
      <c r="D38" s="56" t="str">
        <f>'[1]Input - MMS - Swine'!$D$18</f>
        <v>Conventional housing</v>
      </c>
      <c r="E38" s="56" t="str">
        <f>'[1]Input - MMS - Swine'!$E$18</f>
        <v>Solid storage</v>
      </c>
      <c r="F38" s="51" t="str" cm="1">
        <f t="array" ref="F38">IF($E38="Solid storage", "N/A", ManureManagement_Swine_Methane.VEERG_4_5_1_1__4_FractionVolatileSolidsPrimarySystem(F22,F30))</f>
        <v>N/A</v>
      </c>
      <c r="G38" s="51" t="str" cm="1">
        <f t="array" ref="G38">IF($E38="Solid storage", "N/A", ManureManagement_Swine_Methane.VEERG_4_5_1_1__4_FractionVolatileSolidsPrimarySystem(G22,G30))</f>
        <v>N/A</v>
      </c>
      <c r="H38" s="51" t="str" cm="1">
        <f t="array" ref="H38">IF($E38="Solid storage", "N/A", ManureManagement_Swine_Methane.VEERG_4_5_1_1__4_FractionVolatileSolidsPrimarySystem(H22,H30))</f>
        <v>N/A</v>
      </c>
      <c r="I38" s="51" t="str" cm="1">
        <f t="array" ref="I38">IF($E38="Solid storage", "N/A", ManureManagement_Swine_Methane.VEERG_4_5_1_1__4_FractionVolatileSolidsPrimarySystem(I22,I30))</f>
        <v>N/A</v>
      </c>
      <c r="J38" s="51" t="str" cm="1">
        <f t="array" ref="J38">IF($E38="Solid storage", "N/A", ManureManagement_Swine_Methane.VEERG_4_5_1_1__4_FractionVolatileSolidsPrimarySystem(J22,J30))</f>
        <v>N/A</v>
      </c>
      <c r="K38" s="51" t="str" cm="1">
        <f t="array" ref="K38">IF($E38="Solid storage", "N/A", ManureManagement_Swine_Methane.VEERG_4_5_1_1__4_FractionVolatileSolidsPrimarySystem(K22,K30))</f>
        <v>N/A</v>
      </c>
      <c r="L38" s="51" t="str" cm="1">
        <f t="array" ref="L38">IF($E38="Solid storage", "N/A", ManureManagement_Swine_Methane.VEERG_4_5_1_1__4_FractionVolatileSolidsPrimarySystem(L22,L30))</f>
        <v>N/A</v>
      </c>
      <c r="M38" s="2" t="s">
        <v>99</v>
      </c>
    </row>
    <row r="39" spans="3:15" ht="20.100000000000001" customHeight="1" x14ac:dyDescent="0.25">
      <c r="D39" s="56" t="str">
        <f>'[1]Input - MMS - Swine'!$D$19</f>
        <v>Deep litter housing</v>
      </c>
      <c r="E39" s="56" t="str">
        <f>'[1]Input - MMS - Swine'!$E$19</f>
        <v>Drylot (feed pad)</v>
      </c>
      <c r="F39" s="51" cm="1">
        <f t="array" ref="F39">IF($E39="Solid storage", "N/A", ManureManagement_Swine_Methane.VEERG_4_5_1_1__4_FractionVolatileSolidsPrimarySystem(F23,F31))</f>
        <v>0.375</v>
      </c>
      <c r="G39" s="51" cm="1">
        <f t="array" ref="G39">IF($E39="Solid storage", "N/A", ManureManagement_Swine_Methane.VEERG_4_5_1_1__4_FractionVolatileSolidsPrimarySystem(G23,G31))</f>
        <v>0.375</v>
      </c>
      <c r="H39" s="51" cm="1">
        <f t="array" ref="H39">IF($E39="Solid storage", "N/A", ManureManagement_Swine_Methane.VEERG_4_5_1_1__4_FractionVolatileSolidsPrimarySystem(H23,H31))</f>
        <v>0.375</v>
      </c>
      <c r="I39" s="51" cm="1">
        <f t="array" ref="I39">IF($E39="Solid storage", "N/A", ManureManagement_Swine_Methane.VEERG_4_5_1_1__4_FractionVolatileSolidsPrimarySystem(I23,I31))</f>
        <v>0.375</v>
      </c>
      <c r="J39" s="51" cm="1">
        <f t="array" ref="J39">IF($E39="Solid storage", "N/A", ManureManagement_Swine_Methane.VEERG_4_5_1_1__4_FractionVolatileSolidsPrimarySystem(J23,J31))</f>
        <v>0.375</v>
      </c>
      <c r="K39" s="51" cm="1">
        <f t="array" ref="K39">IF($E39="Solid storage", "N/A", ManureManagement_Swine_Methane.VEERG_4_5_1_1__4_FractionVolatileSolidsPrimarySystem(K23,K31))</f>
        <v>0.375</v>
      </c>
      <c r="L39" s="51" cm="1">
        <f t="array" ref="L39">IF($E39="Solid storage", "N/A", ManureManagement_Swine_Methane.VEERG_4_5_1_1__4_FractionVolatileSolidsPrimarySystem(L23,L31))</f>
        <v>0.375</v>
      </c>
      <c r="M39" s="2" t="s">
        <v>99</v>
      </c>
    </row>
    <row r="40" spans="3:15" ht="20.100000000000001" customHeight="1" x14ac:dyDescent="0.25"/>
    <row r="41" spans="3:15" ht="20.100000000000001" customHeight="1" x14ac:dyDescent="0.25"/>
    <row r="42" spans="3:15" ht="20.100000000000001" customHeight="1" x14ac:dyDescent="0.25"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</row>
    <row r="43" spans="3:15" ht="20.100000000000001" customHeight="1" x14ac:dyDescent="0.25">
      <c r="D43" s="6" t="str" cm="1">
        <f t="array" ref="D43">ManureManagement_Swine_Methane.VEERG_4_5_1_1__5_FractionVolatileSolidsSolidStorage_Title()</f>
        <v>Fraction of volatile solids in solid storage</v>
      </c>
      <c r="F43" s="106" t="s">
        <v>265</v>
      </c>
    </row>
    <row r="44" spans="3:15" ht="20.100000000000001" customHeight="1" x14ac:dyDescent="0.25">
      <c r="D44" s="5" t="str" cm="1">
        <f t="array" ref="D44">ManureManagement_Swine_Methane.VEERG_4_5_1_1__5_FractionVolatileSolidsSolidStorage_Source()</f>
        <v>VEERG 2026: 4.5.1.1, Equation (5)</v>
      </c>
    </row>
    <row r="45" spans="3:15" ht="20.100000000000001" customHeight="1" x14ac:dyDescent="0.25">
      <c r="D45" s="13" t="s">
        <v>26</v>
      </c>
      <c r="E45" s="13" t="str" cm="1">
        <f t="array" aca="1" ref="E45" ca="1">Common_InputFunctions.Utility_DisplayFunctionName(F68)</f>
        <v>=ManureManagement_Swine_Methane.VEERG_4_5_1_1__5_FractionVolatileSolidsSolidStorage</v>
      </c>
    </row>
    <row r="46" spans="3:15" ht="20.100000000000001" customHeight="1" x14ac:dyDescent="0.25"/>
    <row r="47" spans="3:15" ht="20.100000000000001" customHeight="1" x14ac:dyDescent="0.25">
      <c r="D47" s="6"/>
      <c r="H47" s="54"/>
    </row>
    <row r="48" spans="3:15" ht="20.100000000000001" customHeight="1" x14ac:dyDescent="0.25"/>
    <row r="49" spans="4:14" ht="20.100000000000001" customHeight="1" x14ac:dyDescent="0.25">
      <c r="D49" s="52" t="s">
        <v>29</v>
      </c>
      <c r="E49" s="1" t="str" cm="1">
        <f t="array" ref="E49">ManureManagement_Swine_Methane.VEERG_4_5_1_1__5_FractionVolatileSolidsSolidStorage_Variable()</f>
        <v>FVSjm4T1</v>
      </c>
      <c r="I49" s="106" t="s">
        <v>266</v>
      </c>
    </row>
    <row r="50" spans="4:14" ht="20.100000000000001" customHeight="1" x14ac:dyDescent="0.25">
      <c r="D50" s="52" t="s">
        <v>19</v>
      </c>
      <c r="E50" s="53" t="str" cm="1">
        <f t="array" ref="E50">ManureManagement_Swine_Methane.VEERG_4_5_1_1__5_FractionVolatileSolidsSolidStorage_Unit()</f>
        <v>fraction</v>
      </c>
    </row>
    <row r="51" spans="4:14" ht="20.100000000000001" customHeight="1" x14ac:dyDescent="0.25"/>
    <row r="52" spans="4:14" ht="20.100000000000001" customHeight="1" x14ac:dyDescent="0.25">
      <c r="D52" s="107" t="str" cm="1">
        <f t="array" ref="D52:E54">ManureManagement_Swine_Methane.VEERG_4_5_1_1__5_FractionVolatileSolidsSolidStorage_Arguments()</f>
        <v>MMSjm4T1</v>
      </c>
      <c r="E52" s="109" t="str">
        <v>fraction of manure in solid storage primary system : fraction</v>
      </c>
      <c r="F52" s="108"/>
      <c r="G52" s="51" t="str">
        <f>"See " &amp; $D$56</f>
        <v>See Table_MMS_j_m-4_T-1</v>
      </c>
    </row>
    <row r="53" spans="4:14" ht="20.100000000000001" customHeight="1" x14ac:dyDescent="0.25">
      <c r="D53" s="107" t="str">
        <v>MMSjm179T1</v>
      </c>
      <c r="E53" s="109" t="str">
        <v>fraction of manure in MMS 1, 7, and 9 in treatment stage 1 : fraction</v>
      </c>
      <c r="F53" s="108"/>
      <c r="G53" s="51" t="str">
        <f>"See " &amp; $D$18</f>
        <v>See Table_MMS_j_m-1-7-9-8_T-1</v>
      </c>
    </row>
    <row r="54" spans="4:14" ht="20.100000000000001" customHeight="1" x14ac:dyDescent="0.25">
      <c r="D54" s="107" t="str">
        <v>SSm</v>
      </c>
      <c r="E54" s="109" t="str">
        <v>fraction of volatile solids separated to solid storage for each MMS : fraction</v>
      </c>
      <c r="F54" s="108"/>
      <c r="G54" s="51" t="str">
        <f>"See " &amp; $D$26</f>
        <v>See Table_SS_m-1-7-9</v>
      </c>
    </row>
    <row r="55" spans="4:14" ht="20.100000000000001" customHeight="1" x14ac:dyDescent="0.25"/>
    <row r="56" spans="4:14" ht="20.100000000000001" customHeight="1" x14ac:dyDescent="0.25">
      <c r="D56" s="121" t="s">
        <v>267</v>
      </c>
    </row>
    <row r="57" spans="4:14" ht="20.100000000000001" customHeight="1" x14ac:dyDescent="0.25">
      <c r="D57" s="122" t="s">
        <v>268</v>
      </c>
    </row>
    <row r="58" spans="4:14" ht="20.100000000000001" customHeight="1" x14ac:dyDescent="0.25">
      <c r="F58" s="50" t="s">
        <v>220</v>
      </c>
      <c r="G58" s="50" t="s">
        <v>221</v>
      </c>
      <c r="H58" s="50" t="s">
        <v>222</v>
      </c>
      <c r="I58" s="50" t="s">
        <v>223</v>
      </c>
      <c r="J58" s="50" t="s">
        <v>224</v>
      </c>
      <c r="K58" s="50" t="s">
        <v>225</v>
      </c>
      <c r="L58" s="50" t="s">
        <v>226</v>
      </c>
    </row>
    <row r="59" spans="4:14" ht="20.100000000000001" customHeight="1" x14ac:dyDescent="0.25">
      <c r="D59" s="50" t="s">
        <v>113</v>
      </c>
      <c r="E59" s="50" t="s">
        <v>251</v>
      </c>
      <c r="F59" s="50" t="s">
        <v>269</v>
      </c>
      <c r="G59" s="50" t="s">
        <v>270</v>
      </c>
      <c r="H59" s="50" t="s">
        <v>271</v>
      </c>
      <c r="I59" s="50" t="s">
        <v>272</v>
      </c>
      <c r="J59" s="50" t="s">
        <v>272</v>
      </c>
      <c r="K59" s="50" t="s">
        <v>272</v>
      </c>
      <c r="L59" s="50" t="s">
        <v>272</v>
      </c>
    </row>
    <row r="60" spans="4:14" ht="20.100000000000001" customHeight="1" x14ac:dyDescent="0.25">
      <c r="D60" s="56" t="str">
        <f>'[1]Input - MMS - Swine'!$D$18</f>
        <v>Conventional housing</v>
      </c>
      <c r="E60" s="56" t="str">
        <f>'[1]Input - MMS - Swine'!$E$18</f>
        <v>Solid storage</v>
      </c>
      <c r="F60" s="51">
        <f>IF($E60="Solid storage", '[1]Input - MMS - Swine'!G18, "N/A")</f>
        <v>0.5</v>
      </c>
      <c r="G60" s="51">
        <f>IF($E60="Solid storage", '[1]Input - MMS - Swine'!H18, "N/A")</f>
        <v>0.5</v>
      </c>
      <c r="H60" s="51">
        <f>IF($E60="Solid storage", '[1]Input - MMS - Swine'!I18, "N/A")</f>
        <v>0.5</v>
      </c>
      <c r="I60" s="51">
        <f>IF($E60="Solid storage", '[1]Input - MMS - Swine'!J18, "N/A")</f>
        <v>0.5</v>
      </c>
      <c r="J60" s="51">
        <f>IF($E60="Solid storage", '[1]Input - MMS - Swine'!K18, "N/A")</f>
        <v>0.5</v>
      </c>
      <c r="K60" s="51">
        <f>IF($E60="Solid storage", '[1]Input - MMS - Swine'!L18, "N/A")</f>
        <v>0.5</v>
      </c>
      <c r="L60" s="51">
        <f>IF($E60="Solid storage", '[1]Input - MMS - Swine'!M18, "N/A")</f>
        <v>0.5</v>
      </c>
      <c r="M60" s="2" t="s">
        <v>99</v>
      </c>
      <c r="N60" s="2"/>
    </row>
    <row r="61" spans="4:14" ht="20.100000000000001" customHeight="1" x14ac:dyDescent="0.25">
      <c r="D61" s="56" t="str">
        <f>'[1]Input - MMS - Swine'!$D$19</f>
        <v>Deep litter housing</v>
      </c>
      <c r="E61" s="56" t="str">
        <f>'[1]Input - MMS - Swine'!$E$19</f>
        <v>Drylot (feed pad)</v>
      </c>
      <c r="F61" s="51" t="str">
        <f>IF($E61="Solid storage", '[1]Input - MMS - Swine'!G19, "N/A")</f>
        <v>N/A</v>
      </c>
      <c r="G61" s="51" t="str">
        <f>IF($E61="Solid storage", '[1]Input - MMS - Swine'!H19, "N/A")</f>
        <v>N/A</v>
      </c>
      <c r="H61" s="51" t="str">
        <f>IF($E61="Solid storage", '[1]Input - MMS - Swine'!I19, "N/A")</f>
        <v>N/A</v>
      </c>
      <c r="I61" s="51" t="str">
        <f>IF($E61="Solid storage", '[1]Input - MMS - Swine'!J19, "N/A")</f>
        <v>N/A</v>
      </c>
      <c r="J61" s="51" t="str">
        <f>IF($E61="Solid storage", '[1]Input - MMS - Swine'!K19, "N/A")</f>
        <v>N/A</v>
      </c>
      <c r="K61" s="51" t="str">
        <f>IF($E61="Solid storage", '[1]Input - MMS - Swine'!L19, "N/A")</f>
        <v>N/A</v>
      </c>
      <c r="L61" s="51" t="str">
        <f>IF($E61="Solid storage", '[1]Input - MMS - Swine'!M19, "N/A")</f>
        <v>N/A</v>
      </c>
      <c r="M61" s="2" t="s">
        <v>99</v>
      </c>
    </row>
    <row r="62" spans="4:14" ht="20.100000000000001" customHeight="1" x14ac:dyDescent="0.25"/>
    <row r="63" spans="4:14" ht="20.100000000000001" customHeight="1" x14ac:dyDescent="0.25"/>
    <row r="64" spans="4:14" ht="20.100000000000001" customHeight="1" x14ac:dyDescent="0.25">
      <c r="D64" s="121" t="s">
        <v>273</v>
      </c>
    </row>
    <row r="65" spans="3:15" ht="20.100000000000001" customHeight="1" x14ac:dyDescent="0.25">
      <c r="D65" s="122" t="s">
        <v>274</v>
      </c>
    </row>
    <row r="66" spans="3:15" ht="20.100000000000001" customHeight="1" x14ac:dyDescent="0.25">
      <c r="F66" s="50" t="s">
        <v>220</v>
      </c>
      <c r="G66" s="50" t="s">
        <v>221</v>
      </c>
      <c r="H66" s="50" t="s">
        <v>222</v>
      </c>
      <c r="I66" s="50" t="s">
        <v>223</v>
      </c>
      <c r="J66" s="50" t="s">
        <v>224</v>
      </c>
      <c r="K66" s="50" t="s">
        <v>225</v>
      </c>
      <c r="L66" s="50" t="s">
        <v>226</v>
      </c>
    </row>
    <row r="67" spans="3:15" ht="20.100000000000001" customHeight="1" x14ac:dyDescent="0.25">
      <c r="D67" s="50" t="s">
        <v>113</v>
      </c>
      <c r="E67" s="50" t="s">
        <v>251</v>
      </c>
      <c r="F67" s="50" t="s">
        <v>275</v>
      </c>
      <c r="G67" s="50" t="s">
        <v>276</v>
      </c>
      <c r="H67" s="50" t="s">
        <v>277</v>
      </c>
      <c r="I67" s="50" t="s">
        <v>278</v>
      </c>
      <c r="J67" s="50" t="s">
        <v>278</v>
      </c>
      <c r="K67" s="50" t="s">
        <v>278</v>
      </c>
      <c r="L67" s="50" t="s">
        <v>278</v>
      </c>
    </row>
    <row r="68" spans="3:15" ht="20.100000000000001" customHeight="1" x14ac:dyDescent="0.25">
      <c r="D68" s="56" t="str">
        <f>'[1]Input - MMS - Swine'!$D$18</f>
        <v>Conventional housing</v>
      </c>
      <c r="E68" s="56" t="str">
        <f>IF('[1]Input - MMS - Swine'!$H$25="Solid storage", '[1]Input - MMS - Swine'!$H$25, '[1]Input - MMS - Swine'!$F$18)</f>
        <v>Solid storage</v>
      </c>
      <c r="F68" s="51" cm="1">
        <f t="array" ref="F68">ManureManagement_Swine_Methane.VEERG_4_5_1_1__5_FractionVolatileSolidsSolidStorage(F60,F22,F30)</f>
        <v>0.5</v>
      </c>
      <c r="G68" s="51" cm="1">
        <f t="array" ref="G68">ManureManagement_Swine_Methane.VEERG_4_5_1_1__5_FractionVolatileSolidsSolidStorage(G60,G22,G30)</f>
        <v>0.5</v>
      </c>
      <c r="H68" s="51" cm="1">
        <f t="array" ref="H68">ManureManagement_Swine_Methane.VEERG_4_5_1_1__5_FractionVolatileSolidsSolidStorage(H60,H22,H30)</f>
        <v>0.5</v>
      </c>
      <c r="I68" s="51" cm="1">
        <f t="array" ref="I68">ManureManagement_Swine_Methane.VEERG_4_5_1_1__5_FractionVolatileSolidsSolidStorage(I60,I22,I30)</f>
        <v>0.5</v>
      </c>
      <c r="J68" s="51" cm="1">
        <f t="array" ref="J68">ManureManagement_Swine_Methane.VEERG_4_5_1_1__5_FractionVolatileSolidsSolidStorage(J60,J22,J30)</f>
        <v>0.5</v>
      </c>
      <c r="K68" s="51" cm="1">
        <f t="array" ref="K68">ManureManagement_Swine_Methane.VEERG_4_5_1_1__5_FractionVolatileSolidsSolidStorage(K60,K22,K30)</f>
        <v>0.5</v>
      </c>
      <c r="L68" s="51" cm="1">
        <f t="array" ref="L68">ManureManagement_Swine_Methane.VEERG_4_5_1_1__5_FractionVolatileSolidsSolidStorage(L60,L22,L30)</f>
        <v>0.5</v>
      </c>
      <c r="M68" s="2" t="s">
        <v>99</v>
      </c>
    </row>
    <row r="69" spans="3:15" ht="20.100000000000001" customHeight="1" x14ac:dyDescent="0.25">
      <c r="D69" s="56" t="str">
        <f>'[1]Input - MMS - Swine'!$D$19</f>
        <v>Deep litter housing</v>
      </c>
      <c r="E69" s="56" t="str">
        <f>IF('[1]Input - MMS - Swine'!$H$77="Solid storage", '[1]Input - MMS - Swine'!$H$77, '[1]Input - MMS - Swine'!$F$19)</f>
        <v>Post-separation solid storage</v>
      </c>
      <c r="F69" s="51" cm="1">
        <f t="array" ref="F69">ManureManagement_Swine_Methane.VEERG_4_5_1_1__5_FractionVolatileSolidsSolidStorage(F61,F23,F31)</f>
        <v>0.125</v>
      </c>
      <c r="G69" s="51" cm="1">
        <f t="array" ref="G69">ManureManagement_Swine_Methane.VEERG_4_5_1_1__5_FractionVolatileSolidsSolidStorage(G61,G23,G31)</f>
        <v>0.125</v>
      </c>
      <c r="H69" s="51" cm="1">
        <f t="array" ref="H69">ManureManagement_Swine_Methane.VEERG_4_5_1_1__5_FractionVolatileSolidsSolidStorage(H61,H23,H31)</f>
        <v>0.125</v>
      </c>
      <c r="I69" s="51" cm="1">
        <f t="array" ref="I69">ManureManagement_Swine_Methane.VEERG_4_5_1_1__5_FractionVolatileSolidsSolidStorage(I61,I23,I31)</f>
        <v>0.125</v>
      </c>
      <c r="J69" s="51" cm="1">
        <f t="array" ref="J69">ManureManagement_Swine_Methane.VEERG_4_5_1_1__5_FractionVolatileSolidsSolidStorage(J61,J23,J31)</f>
        <v>0.125</v>
      </c>
      <c r="K69" s="51" cm="1">
        <f t="array" ref="K69">ManureManagement_Swine_Methane.VEERG_4_5_1_1__5_FractionVolatileSolidsSolidStorage(K61,K23,K31)</f>
        <v>0.125</v>
      </c>
      <c r="L69" s="51" cm="1">
        <f t="array" ref="L69">ManureManagement_Swine_Methane.VEERG_4_5_1_1__5_FractionVolatileSolidsSolidStorage(L61,L23,L31)</f>
        <v>0.125</v>
      </c>
      <c r="M69" s="2" t="s">
        <v>99</v>
      </c>
    </row>
    <row r="70" spans="3:15" ht="20.100000000000001" customHeight="1" x14ac:dyDescent="0.25">
      <c r="N70" s="2"/>
    </row>
    <row r="71" spans="3:15" ht="20.100000000000001" customHeight="1" x14ac:dyDescent="0.25"/>
    <row r="72" spans="3:15" ht="20.100000000000001" customHeight="1" x14ac:dyDescent="0.25"/>
    <row r="73" spans="3:15" ht="20.100000000000001" customHeight="1" x14ac:dyDescent="0.25"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</row>
    <row r="74" spans="3:15" ht="20.100000000000001" customHeight="1" x14ac:dyDescent="0.25">
      <c r="D74" s="6" t="str" cm="1">
        <f t="array" ref="D74">ManureManagement_Swine_Methane.VEERG_4_5_1_1__7_VolatileSolidsTransferredStage2_Title()</f>
        <v>Volatile solids transferred to treatment stage 2 MMS</v>
      </c>
    </row>
    <row r="75" spans="3:15" ht="20.100000000000001" customHeight="1" x14ac:dyDescent="0.25">
      <c r="D75" s="5" t="str" cm="1">
        <f t="array" ref="D75">ManureManagement_Swine_Methane.VEERG_4_5_1_1__7_VolatileSolidsTransferredStage2_Source()</f>
        <v>VEERG 2026: 4.5.1.1, Equation (7)</v>
      </c>
    </row>
    <row r="76" spans="3:15" ht="20.100000000000001" customHeight="1" x14ac:dyDescent="0.25">
      <c r="D76" s="13" t="s">
        <v>26</v>
      </c>
      <c r="E76" s="13" t="str" cm="1">
        <f t="array" aca="1" ref="E76" ca="1">Common_InputFunctions.Utility_DisplayFunctionName(F107)</f>
        <v>=IF</v>
      </c>
    </row>
    <row r="77" spans="3:15" ht="20.100000000000001" customHeight="1" x14ac:dyDescent="0.25"/>
    <row r="78" spans="3:15" ht="20.100000000000001" customHeight="1" x14ac:dyDescent="0.25"/>
    <row r="79" spans="3:15" ht="20.100000000000001" customHeight="1" x14ac:dyDescent="0.25"/>
    <row r="80" spans="3:15" ht="20.100000000000001" customHeight="1" x14ac:dyDescent="0.25">
      <c r="D80" s="52" t="s">
        <v>29</v>
      </c>
      <c r="E80" s="1" t="str" cm="1">
        <f t="array" ref="E80">ManureManagement_Swine_Methane.VEERG_4_5_1_1__7_VolatileSolidsTransferredStage2_Variable()</f>
        <v>VSTijmT2</v>
      </c>
    </row>
    <row r="81" spans="4:14" ht="20.100000000000001" customHeight="1" x14ac:dyDescent="0.25">
      <c r="D81" s="52" t="s">
        <v>19</v>
      </c>
      <c r="E81" s="53" t="str" cm="1">
        <f t="array" ref="E81">ManureManagement_Swine_Methane.VEERG_4_5_1_1__7_VolatileSolidsTransferredStage2_Unit()</f>
        <v>kg VS</v>
      </c>
      <c r="F81" s="106" t="s">
        <v>279</v>
      </c>
    </row>
    <row r="82" spans="4:14" ht="20.100000000000001" customHeight="1" x14ac:dyDescent="0.25"/>
    <row r="83" spans="4:14" ht="20.100000000000001" customHeight="1" x14ac:dyDescent="0.25">
      <c r="D83" s="56" t="str" cm="1">
        <f t="array" ref="D83:E85">ManureManagement_Swine_Methane.VEERG_4_5_1_1__7_VolatileSolidsTransferredStage2_Arguments()</f>
        <v>VSj</v>
      </c>
      <c r="E83" s="57" t="str">
        <v>volatile solid production from swine in each class : kg/head/day</v>
      </c>
      <c r="F83" s="58"/>
      <c r="G83" s="57" t="str">
        <f>"See " &amp; $D$87</f>
        <v>See Table_VS_j</v>
      </c>
      <c r="H83" s="123"/>
    </row>
    <row r="84" spans="4:14" ht="20.100000000000001" customHeight="1" x14ac:dyDescent="0.25">
      <c r="D84" s="56" t="str">
        <v>FVSjmT1</v>
      </c>
      <c r="E84" s="57" t="str">
        <v>fraction of volatile solids in each primary system : fraction</v>
      </c>
      <c r="F84" s="58"/>
      <c r="G84" s="56" t="str">
        <f>"See " &amp; $D$34 &amp; " and " &amp; $D$64</f>
        <v>See Table_FVS_j_m-1-7-9_T-1 and Table_FVS_j_m-4_T-1</v>
      </c>
      <c r="H84" s="51"/>
    </row>
    <row r="85" spans="4:14" ht="20.100000000000001" customHeight="1" x14ac:dyDescent="0.25">
      <c r="D85" s="56" t="str">
        <v>VSLmT1</v>
      </c>
      <c r="E85" s="57" t="str">
        <v>fraction of volatile solids lost during storage in the primary system : fraction</v>
      </c>
      <c r="F85" s="58"/>
      <c r="G85" s="57" t="str">
        <f>"See " &amp; $D$94</f>
        <v>See Table_VSL_m_T-1</v>
      </c>
      <c r="H85" s="123"/>
    </row>
    <row r="86" spans="4:14" ht="20.100000000000001" customHeight="1" x14ac:dyDescent="0.25"/>
    <row r="87" spans="4:14" ht="20.100000000000001" customHeight="1" x14ac:dyDescent="0.25">
      <c r="D87" s="121" t="s">
        <v>280</v>
      </c>
    </row>
    <row r="88" spans="4:14" ht="20.100000000000001" customHeight="1" x14ac:dyDescent="0.25">
      <c r="D88" s="122" t="s">
        <v>281</v>
      </c>
    </row>
    <row r="89" spans="4:14" ht="20.100000000000001" customHeight="1" x14ac:dyDescent="0.25">
      <c r="D89" s="50" t="s">
        <v>220</v>
      </c>
      <c r="E89" s="50" t="s">
        <v>221</v>
      </c>
      <c r="F89" s="50" t="s">
        <v>222</v>
      </c>
      <c r="G89" s="50" t="s">
        <v>223</v>
      </c>
      <c r="H89" s="50" t="s">
        <v>224</v>
      </c>
      <c r="I89" s="50" t="s">
        <v>225</v>
      </c>
      <c r="J89" s="50" t="s">
        <v>226</v>
      </c>
    </row>
    <row r="90" spans="4:14" ht="20.100000000000001" customHeight="1" x14ac:dyDescent="0.25">
      <c r="D90" s="50" t="s">
        <v>282</v>
      </c>
      <c r="E90" s="50" t="s">
        <v>283</v>
      </c>
      <c r="F90" s="50" t="s">
        <v>284</v>
      </c>
      <c r="G90" s="50" t="s">
        <v>285</v>
      </c>
      <c r="H90" s="50" t="s">
        <v>285</v>
      </c>
      <c r="I90" s="50" t="s">
        <v>285</v>
      </c>
      <c r="J90" s="50" t="s">
        <v>285</v>
      </c>
      <c r="L90" s="2"/>
      <c r="M90" s="2"/>
      <c r="N90" s="2"/>
    </row>
    <row r="91" spans="4:14" ht="20.100000000000001" customHeight="1" x14ac:dyDescent="0.25">
      <c r="D91" s="51">
        <f>'[1]Input - MMS - Swine'!$E$11</f>
        <v>0.4</v>
      </c>
      <c r="E91" s="51">
        <f>'[1]Input - MMS - Swine'!$F$11</f>
        <v>0.46</v>
      </c>
      <c r="F91" s="51">
        <f>'[1]Input - MMS - Swine'!$G$11</f>
        <v>0.55000000000000004</v>
      </c>
      <c r="G91" s="51">
        <f>'[1]Input - MMS - Swine'!$H$11</f>
        <v>0.39</v>
      </c>
      <c r="H91" s="51">
        <f>'[1]Input - MMS - Swine'!$I$11</f>
        <v>0.39</v>
      </c>
      <c r="I91" s="51">
        <f>'[1]Input - MMS - Swine'!$J$11</f>
        <v>0.39</v>
      </c>
      <c r="J91" s="51">
        <f>'[1]Input - MMS - Swine'!$K$11</f>
        <v>0.39</v>
      </c>
      <c r="K91" s="2" t="s">
        <v>121</v>
      </c>
    </row>
    <row r="92" spans="4:14" ht="20.100000000000001" customHeight="1" x14ac:dyDescent="0.25"/>
    <row r="93" spans="4:14" ht="20.100000000000001" customHeight="1" x14ac:dyDescent="0.25"/>
    <row r="94" spans="4:14" ht="20.100000000000001" customHeight="1" x14ac:dyDescent="0.25">
      <c r="D94" s="121" t="s">
        <v>286</v>
      </c>
    </row>
    <row r="95" spans="4:14" ht="20.100000000000001" customHeight="1" x14ac:dyDescent="0.25">
      <c r="D95" s="122" t="s">
        <v>242</v>
      </c>
    </row>
    <row r="96" spans="4:14" ht="20.100000000000001" customHeight="1" x14ac:dyDescent="0.25">
      <c r="D96" s="50" t="s">
        <v>113</v>
      </c>
      <c r="E96" s="50" t="s">
        <v>251</v>
      </c>
      <c r="F96" s="50" t="s">
        <v>287</v>
      </c>
    </row>
    <row r="97" spans="4:14" ht="20.100000000000001" customHeight="1" x14ac:dyDescent="0.25">
      <c r="D97" s="56" t="str">
        <f>'[1]Input - MMS - Swine'!$D$18</f>
        <v>Conventional housing</v>
      </c>
      <c r="E97" s="56" t="str">
        <f>'[1]Input - MMS - Swine'!$E$18</f>
        <v>Solid storage</v>
      </c>
      <c r="F97" s="51" cm="1">
        <f t="array" ref="F97">IF(E97="N/A", "N/A", Common_InputFunctions.Utility_LookupValueInTableNumber(E97,[1]!Table_SourceData_SwineVSL[MMS],[1]!Table_SourceData_SwineVSL[VSL]))</f>
        <v>0</v>
      </c>
      <c r="G97" s="2" t="s">
        <v>99</v>
      </c>
      <c r="H97" s="106" t="s">
        <v>288</v>
      </c>
    </row>
    <row r="98" spans="4:14" ht="20.100000000000001" customHeight="1" x14ac:dyDescent="0.25">
      <c r="D98" s="56" t="str">
        <f>'[1]Input - MMS - Swine'!$D$18</f>
        <v>Conventional housing</v>
      </c>
      <c r="E98" s="56" t="str">
        <f>'[1]Input - MMS - Swine'!$F$18</f>
        <v>N/A</v>
      </c>
      <c r="F98" s="51" t="str" cm="1">
        <f t="array" ref="F98">IF(E98="N/A", "N/A", Common_InputFunctions.Utility_LookupValueInTableNumber(E98,[1]!Table_SourceData_SwineVSL[MMS],[1]!Table_SourceData_SwineVSL[VSL]))</f>
        <v>N/A</v>
      </c>
      <c r="G98" s="2" t="s">
        <v>99</v>
      </c>
    </row>
    <row r="99" spans="4:14" ht="20.100000000000001" customHeight="1" x14ac:dyDescent="0.25">
      <c r="D99" s="56" t="str">
        <f>'[1]Input - MMS - Swine'!$D$19</f>
        <v>Deep litter housing</v>
      </c>
      <c r="E99" s="56" t="str">
        <f>'[1]Input - MMS - Swine'!$E$19</f>
        <v>Drylot (feed pad)</v>
      </c>
      <c r="F99" s="51" cm="1">
        <f t="array" ref="F99">IF(E99="N/A", "N/A", Common_InputFunctions.Utility_LookupValueInTableNumber(E99,[1]!Table_SourceData_SwineVSL[MMS],[1]!Table_SourceData_SwineVSL[VSL]))</f>
        <v>0</v>
      </c>
      <c r="G99" s="2" t="s">
        <v>99</v>
      </c>
    </row>
    <row r="100" spans="4:14" ht="20.100000000000001" customHeight="1" x14ac:dyDescent="0.25">
      <c r="D100" s="56" t="str">
        <f>'[1]Input - MMS - Swine'!$D$19</f>
        <v>Deep litter housing</v>
      </c>
      <c r="E100" s="56" t="str">
        <f>'[1]Input - MMS - Swine'!$F$19</f>
        <v>Post-separation solid storage</v>
      </c>
      <c r="F100" s="51" cm="1">
        <f t="array" ref="F100">IF(E100="N/A", "N/A", Common_InputFunctions.Utility_LookupValueInTableNumber(E100,[1]!Table_SourceData_SwineVSL[MMS],[1]!Table_SourceData_SwineVSL[VSL]))</f>
        <v>0</v>
      </c>
      <c r="G100" s="2" t="s">
        <v>99</v>
      </c>
    </row>
    <row r="101" spans="4:14" ht="20.100000000000001" customHeight="1" x14ac:dyDescent="0.25"/>
    <row r="102" spans="4:14" ht="20.100000000000001" customHeight="1" x14ac:dyDescent="0.25"/>
    <row r="103" spans="4:14" ht="20.100000000000001" customHeight="1" x14ac:dyDescent="0.25">
      <c r="D103" s="121" t="s">
        <v>289</v>
      </c>
    </row>
    <row r="104" spans="4:14" ht="20.100000000000001" customHeight="1" x14ac:dyDescent="0.25">
      <c r="D104" s="122" t="s">
        <v>290</v>
      </c>
      <c r="N104" s="2"/>
    </row>
    <row r="105" spans="4:14" ht="20.100000000000001" customHeight="1" x14ac:dyDescent="0.25">
      <c r="F105" s="50" t="s">
        <v>220</v>
      </c>
      <c r="G105" s="50" t="s">
        <v>221</v>
      </c>
      <c r="H105" s="50" t="s">
        <v>222</v>
      </c>
      <c r="I105" s="50" t="s">
        <v>223</v>
      </c>
      <c r="J105" s="50" t="s">
        <v>224</v>
      </c>
      <c r="K105" s="50" t="s">
        <v>225</v>
      </c>
      <c r="L105" s="50" t="s">
        <v>226</v>
      </c>
      <c r="N105" s="2"/>
    </row>
    <row r="106" spans="4:14" ht="20.100000000000001" customHeight="1" x14ac:dyDescent="0.25">
      <c r="D106" s="50" t="s">
        <v>113</v>
      </c>
      <c r="E106" s="50" t="s">
        <v>251</v>
      </c>
      <c r="F106" s="50" t="s">
        <v>291</v>
      </c>
      <c r="G106" s="50" t="s">
        <v>292</v>
      </c>
      <c r="H106" s="50" t="s">
        <v>293</v>
      </c>
      <c r="I106" s="50" t="s">
        <v>294</v>
      </c>
      <c r="J106" s="50" t="s">
        <v>294</v>
      </c>
      <c r="K106" s="50" t="s">
        <v>294</v>
      </c>
      <c r="L106" s="50" t="s">
        <v>294</v>
      </c>
    </row>
    <row r="107" spans="4:14" ht="20.100000000000001" customHeight="1" x14ac:dyDescent="0.25">
      <c r="D107" s="56" t="str">
        <f>'[1]Input - MMS - Swine'!$D$18</f>
        <v>Conventional housing</v>
      </c>
      <c r="E107" s="56" t="str">
        <f>'[1]Input - MMS - Swine'!$E$18</f>
        <v>Solid storage</v>
      </c>
      <c r="F107" s="51" cm="1">
        <f t="array" ref="F107">IF('[1]Input - MMS - Swine'!$H$25="Solid storage", ManureManagement_Swine_Methane.VEERG_4_5_1_1__7_VolatileSolidsTransferredStage2(D$91,F68,$F$99), ManureManagement_Swine_Methane.VEERG_4_5_1_1__7_VolatileSolidsTransferredStage2(D$91,F38,$F$99))</f>
        <v>0.2</v>
      </c>
      <c r="G107" s="51" cm="1">
        <f t="array" ref="G107">IF('[1]Input - MMS - Swine'!$H$25="Solid storage", ManureManagement_Swine_Methane.VEERG_4_5_1_1__7_VolatileSolidsTransferredStage2(E$91,G68,$F$99), ManureManagement_Swine_Methane.VEERG_4_5_1_1__7_VolatileSolidsTransferredStage2(E$91,G38,$F$99))</f>
        <v>0.23</v>
      </c>
      <c r="H107" s="51" cm="1">
        <f t="array" ref="H107">IF('[1]Input - MMS - Swine'!$H$25="Solid storage", ManureManagement_Swine_Methane.VEERG_4_5_1_1__7_VolatileSolidsTransferredStage2(F$91,H68,$F$99), ManureManagement_Swine_Methane.VEERG_4_5_1_1__7_VolatileSolidsTransferredStage2(F$91,H38,$F$99))</f>
        <v>0.27500000000000002</v>
      </c>
      <c r="I107" s="51" cm="1">
        <f t="array" ref="I107">IF('[1]Input - MMS - Swine'!$H$25="Solid storage", ManureManagement_Swine_Methane.VEERG_4_5_1_1__7_VolatileSolidsTransferredStage2(G$91,I68,$F$99), ManureManagement_Swine_Methane.VEERG_4_5_1_1__7_VolatileSolidsTransferredStage2(G$91,I38,$F$99))</f>
        <v>0.19500000000000001</v>
      </c>
      <c r="J107" s="51" cm="1">
        <f t="array" ref="J107">IF('[1]Input - MMS - Swine'!$H$25="Solid storage", ManureManagement_Swine_Methane.VEERG_4_5_1_1__7_VolatileSolidsTransferredStage2(H$91,J68,$F$99), ManureManagement_Swine_Methane.VEERG_4_5_1_1__7_VolatileSolidsTransferredStage2(H$91,J38,$F$99))</f>
        <v>0.19500000000000001</v>
      </c>
      <c r="K107" s="51" cm="1">
        <f t="array" ref="K107">IF('[1]Input - MMS - Swine'!$H$25="Solid storage", ManureManagement_Swine_Methane.VEERG_4_5_1_1__7_VolatileSolidsTransferredStage2(I$91,K68,$F$99), ManureManagement_Swine_Methane.VEERG_4_5_1_1__7_VolatileSolidsTransferredStage2(I$91,K38,$F$99))</f>
        <v>0.19500000000000001</v>
      </c>
      <c r="L107" s="51" cm="1">
        <f t="array" ref="L107">IF('[1]Input - MMS - Swine'!$H$25="Solid storage", ManureManagement_Swine_Methane.VEERG_4_5_1_1__7_VolatileSolidsTransferredStage2(J$91,L68,$F$99), ManureManagement_Swine_Methane.VEERG_4_5_1_1__7_VolatileSolidsTransferredStage2(J$91,L38,$F$99))</f>
        <v>0.19500000000000001</v>
      </c>
      <c r="M107" s="124" t="str">
        <f>$E$81</f>
        <v>kg VS</v>
      </c>
    </row>
    <row r="108" spans="4:14" ht="20.100000000000001" customHeight="1" x14ac:dyDescent="0.25">
      <c r="D108" s="56" t="str">
        <f>'[1]Input - MMS - Swine'!$D$18</f>
        <v>Conventional housing</v>
      </c>
      <c r="E108" s="56" t="str">
        <f>'[1]Input - MMS - Swine'!$F$18</f>
        <v>N/A</v>
      </c>
      <c r="F108" s="51" t="str" cm="1">
        <f t="array" ref="F108">IF('[1]Input - MMS - Swine'!$H$25="Solid storage", "N/A", ManureManagement_Swine_Methane.VEERG_4_5_1_1__7_VolatileSolidsTransferredStage2(D$91,F68,$F$97))</f>
        <v>N/A</v>
      </c>
      <c r="G108" s="51" t="str" cm="1">
        <f t="array" ref="G108">IF('[1]Input - MMS - Swine'!$H$25="Solid storage", "N/A", ManureManagement_Swine_Methane.VEERG_4_5_1_1__7_VolatileSolidsTransferredStage2(E$91,G68,$F$97))</f>
        <v>N/A</v>
      </c>
      <c r="H108" s="51" t="str" cm="1">
        <f t="array" ref="H108">IF('[1]Input - MMS - Swine'!$H$25="Solid storage", "N/A", ManureManagement_Swine_Methane.VEERG_4_5_1_1__7_VolatileSolidsTransferredStage2(F$91,H68,$F$97))</f>
        <v>N/A</v>
      </c>
      <c r="I108" s="51" t="str" cm="1">
        <f t="array" ref="I108">IF('[1]Input - MMS - Swine'!$H$25="Solid storage", "N/A", ManureManagement_Swine_Methane.VEERG_4_5_1_1__7_VolatileSolidsTransferredStage2(G$91,I68,$F$97))</f>
        <v>N/A</v>
      </c>
      <c r="J108" s="51" t="str" cm="1">
        <f t="array" ref="J108">IF('[1]Input - MMS - Swine'!$H$25="Solid storage", "N/A", ManureManagement_Swine_Methane.VEERG_4_5_1_1__7_VolatileSolidsTransferredStage2(H$91,J68,$F$97))</f>
        <v>N/A</v>
      </c>
      <c r="K108" s="51" t="str" cm="1">
        <f t="array" ref="K108">IF('[1]Input - MMS - Swine'!$H$25="Solid storage", "N/A", ManureManagement_Swine_Methane.VEERG_4_5_1_1__7_VolatileSolidsTransferredStage2(I$91,K68,$F$97))</f>
        <v>N/A</v>
      </c>
      <c r="L108" s="51" t="str" cm="1">
        <f t="array" ref="L108">IF('[1]Input - MMS - Swine'!$H$25="Solid storage", "N/A", ManureManagement_Swine_Methane.VEERG_4_5_1_1__7_VolatileSolidsTransferredStage2(J$91,L68,$F$97))</f>
        <v>N/A</v>
      </c>
      <c r="M108" s="124" t="str">
        <f t="shared" ref="M108" si="0">$E$81</f>
        <v>kg VS</v>
      </c>
    </row>
    <row r="109" spans="4:14" ht="20.100000000000001" customHeight="1" x14ac:dyDescent="0.25">
      <c r="D109" s="56" t="str">
        <f>'[1]Input - MMS - Swine'!$D$19</f>
        <v>Deep litter housing</v>
      </c>
      <c r="E109" s="56" t="str">
        <f>'[1]Input - MMS - Swine'!$E$19</f>
        <v>Drylot (feed pad)</v>
      </c>
      <c r="F109" s="51" cm="1">
        <f t="array" ref="F109">IF('[1]Input - MMS - Swine'!$H$77="Solid storage", ManureManagement_Swine_Methane.VEERG_4_5_1_1__7_VolatileSolidsTransferredStage2(D$91,F69,$F$99), ManureManagement_Swine_Methane.VEERG_4_5_1_1__7_VolatileSolidsTransferredStage2(D$91,F39,$F$99))</f>
        <v>0.15000000000000002</v>
      </c>
      <c r="G109" s="51" cm="1">
        <f t="array" ref="G109">IF('[1]Input - MMS - Swine'!$H$77="Solid storage", ManureManagement_Swine_Methane.VEERG_4_5_1_1__7_VolatileSolidsTransferredStage2(E$91,G69,$F$99), ManureManagement_Swine_Methane.VEERG_4_5_1_1__7_VolatileSolidsTransferredStage2(E$91,G39,$F$99))</f>
        <v>0.17250000000000001</v>
      </c>
      <c r="H109" s="51" cm="1">
        <f t="array" ref="H109">IF('[1]Input - MMS - Swine'!$H$77="Solid storage", ManureManagement_Swine_Methane.VEERG_4_5_1_1__7_VolatileSolidsTransferredStage2(F$91,H69,$F$99), ManureManagement_Swine_Methane.VEERG_4_5_1_1__7_VolatileSolidsTransferredStage2(F$91,H39,$F$99))</f>
        <v>0.20625000000000002</v>
      </c>
      <c r="I109" s="51" cm="1">
        <f t="array" ref="I109">IF('[1]Input - MMS - Swine'!$H$77="Solid storage", ManureManagement_Swine_Methane.VEERG_4_5_1_1__7_VolatileSolidsTransferredStage2(G$91,I69,$F$99), ManureManagement_Swine_Methane.VEERG_4_5_1_1__7_VolatileSolidsTransferredStage2(G$91,I39,$F$99))</f>
        <v>0.14624999999999999</v>
      </c>
      <c r="J109" s="51" cm="1">
        <f t="array" ref="J109">IF('[1]Input - MMS - Swine'!$H$77="Solid storage", ManureManagement_Swine_Methane.VEERG_4_5_1_1__7_VolatileSolidsTransferredStage2(H$91,J69,$F$99), ManureManagement_Swine_Methane.VEERG_4_5_1_1__7_VolatileSolidsTransferredStage2(H$91,J39,$F$99))</f>
        <v>0.14624999999999999</v>
      </c>
      <c r="K109" s="51" cm="1">
        <f t="array" ref="K109">IF('[1]Input - MMS - Swine'!$H$77="Solid storage", ManureManagement_Swine_Methane.VEERG_4_5_1_1__7_VolatileSolidsTransferredStage2(I$91,K69,$F$99), ManureManagement_Swine_Methane.VEERG_4_5_1_1__7_VolatileSolidsTransferredStage2(I$91,K39,$F$99))</f>
        <v>0.14624999999999999</v>
      </c>
      <c r="L109" s="51" cm="1">
        <f t="array" ref="L109">IF('[1]Input - MMS - Swine'!$H$77="Solid storage", ManureManagement_Swine_Methane.VEERG_4_5_1_1__7_VolatileSolidsTransferredStage2(J$91,L69,$F$99), ManureManagement_Swine_Methane.VEERG_4_5_1_1__7_VolatileSolidsTransferredStage2(J$91,L39,$F$99))</f>
        <v>0.14624999999999999</v>
      </c>
      <c r="M109" s="124" t="str">
        <f>$E$81</f>
        <v>kg VS</v>
      </c>
    </row>
    <row r="110" spans="4:14" ht="20.100000000000001" customHeight="1" x14ac:dyDescent="0.25">
      <c r="D110" s="56" t="str">
        <f>'[1]Input - MMS - Swine'!$D$19</f>
        <v>Deep litter housing</v>
      </c>
      <c r="E110" s="56" t="str">
        <f>'[1]Input - MMS - Swine'!$F$19</f>
        <v>Post-separation solid storage</v>
      </c>
      <c r="F110" s="51" cm="1">
        <f t="array" ref="F110">IF('[1]Input - MMS - Swine'!$H$77="Solid storage", "N/A", ManureManagement_Swine_Methane.VEERG_4_5_1_1__7_VolatileSolidsTransferredStage2(D$91,F69,$F$97))</f>
        <v>0.05</v>
      </c>
      <c r="G110" s="51" cm="1">
        <f t="array" ref="G110">IF('[1]Input - MMS - Swine'!$H$77="Solid storage", "N/A", ManureManagement_Swine_Methane.VEERG_4_5_1_1__7_VolatileSolidsTransferredStage2(E$91,G69,$F$97))</f>
        <v>5.7500000000000002E-2</v>
      </c>
      <c r="H110" s="51" cm="1">
        <f t="array" ref="H110">IF('[1]Input - MMS - Swine'!$H$77="Solid storage", "N/A", ManureManagement_Swine_Methane.VEERG_4_5_1_1__7_VolatileSolidsTransferredStage2(F$91,H69,$F$97))</f>
        <v>6.8750000000000006E-2</v>
      </c>
      <c r="I110" s="51" cm="1">
        <f t="array" ref="I110">IF('[1]Input - MMS - Swine'!$H$77="Solid storage", "N/A", ManureManagement_Swine_Methane.VEERG_4_5_1_1__7_VolatileSolidsTransferredStage2(G$91,I69,$F$97))</f>
        <v>4.8750000000000002E-2</v>
      </c>
      <c r="J110" s="51" cm="1">
        <f t="array" ref="J110">IF('[1]Input - MMS - Swine'!$H$77="Solid storage", "N/A", ManureManagement_Swine_Methane.VEERG_4_5_1_1__7_VolatileSolidsTransferredStage2(H$91,J69,$F$97))</f>
        <v>4.8750000000000002E-2</v>
      </c>
      <c r="K110" s="51" cm="1">
        <f t="array" ref="K110">IF('[1]Input - MMS - Swine'!$H$77="Solid storage", "N/A", ManureManagement_Swine_Methane.VEERG_4_5_1_1__7_VolatileSolidsTransferredStage2(I$91,K69,$F$97))</f>
        <v>4.8750000000000002E-2</v>
      </c>
      <c r="L110" s="51" cm="1">
        <f t="array" ref="L110">IF('[1]Input - MMS - Swine'!$H$77="Solid storage", "N/A", ManureManagement_Swine_Methane.VEERG_4_5_1_1__7_VolatileSolidsTransferredStage2(J$91,L69,$F$97))</f>
        <v>4.8750000000000002E-2</v>
      </c>
      <c r="M110" s="124" t="str">
        <f t="shared" ref="M110" si="1">$E$81</f>
        <v>kg VS</v>
      </c>
    </row>
    <row r="111" spans="4:14" ht="20.100000000000001" customHeight="1" x14ac:dyDescent="0.25"/>
    <row r="112" spans="4:14" ht="20.100000000000001" customHeight="1" x14ac:dyDescent="0.25"/>
    <row r="113" spans="3:15" ht="20.100000000000001" customHeight="1" x14ac:dyDescent="0.25"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</row>
    <row r="114" spans="3:15" ht="20.100000000000001" customHeight="1" x14ac:dyDescent="0.25">
      <c r="D114" s="6" t="str" cm="1">
        <f t="array" ref="D114">ManureManagement_Swine_Methane.VEERG_4_5_1_1__6_Stage2MethaneProduction_Title()</f>
        <v>Production of methane in each treatment stage 2 MMS</v>
      </c>
    </row>
    <row r="115" spans="3:15" ht="20.100000000000001" customHeight="1" x14ac:dyDescent="0.25">
      <c r="D115" s="5" t="str" cm="1">
        <f t="array" ref="D115">ManureManagement_Swine_Methane.VEERG_4_5_1_1__6_Stage2MethaneProduction_Source()</f>
        <v>VEERG 2026: 4.5.1.1, Equation (6)</v>
      </c>
    </row>
    <row r="116" spans="3:15" ht="20.100000000000001" customHeight="1" x14ac:dyDescent="0.25">
      <c r="D116" s="13" t="s">
        <v>26</v>
      </c>
      <c r="E116" s="13" t="str" cm="1">
        <f t="array" aca="1" ref="E116" ca="1">Common_InputFunctions.Utility_DisplayFunctionName(G165)</f>
        <v>=ManureManagement_Swine_Methane.VEERG_4_5_1_1__6_Stage2MethaneProduction</v>
      </c>
    </row>
    <row r="117" spans="3:15" ht="20.100000000000001" customHeight="1" x14ac:dyDescent="0.25">
      <c r="D117" s="106" t="s">
        <v>295</v>
      </c>
    </row>
    <row r="118" spans="3:15" ht="20.100000000000001" customHeight="1" x14ac:dyDescent="0.25"/>
    <row r="119" spans="3:15" ht="20.100000000000001" customHeight="1" x14ac:dyDescent="0.25"/>
    <row r="120" spans="3:15" ht="20.100000000000001" customHeight="1" x14ac:dyDescent="0.25">
      <c r="D120" s="52" t="s">
        <v>29</v>
      </c>
      <c r="E120" s="1" t="str" cm="1">
        <f t="array" ref="E120">ManureManagement_Swine_Methane.VEERG_4_5_1_1__6_Stage2MethaneProduction_Variable()</f>
        <v>MijmT2</v>
      </c>
    </row>
    <row r="121" spans="3:15" ht="20.100000000000001" customHeight="1" x14ac:dyDescent="0.25">
      <c r="D121" s="52" t="s">
        <v>19</v>
      </c>
      <c r="E121" s="53" t="str" cm="1">
        <f t="array" ref="E121">ManureManagement_Swine_Methane.VEERG_4_5_1_1__6_Stage2MethaneProduction_Unit()</f>
        <v>kg CH4/head/day</v>
      </c>
    </row>
    <row r="122" spans="3:15" ht="20.100000000000001" customHeight="1" x14ac:dyDescent="0.25"/>
    <row r="123" spans="3:15" ht="20.100000000000001" customHeight="1" x14ac:dyDescent="0.25">
      <c r="D123" s="56" t="str" cm="1">
        <f t="array" ref="D123:E128">ManureManagement_Swine_Methane.VEERG_4_5_1_1__6_Stage2MethaneProduction_Arguments()</f>
        <v>VSTjmT2</v>
      </c>
      <c r="E123" s="57" t="str">
        <v>volatile solids transferred to treatment stage 2 MMS : kg/head/day</v>
      </c>
      <c r="F123" s="58"/>
      <c r="G123" s="56" t="str">
        <f>"See " &amp; D103</f>
        <v>See Table_VST_j_m_T-2</v>
      </c>
    </row>
    <row r="124" spans="3:15" ht="20.100000000000001" customHeight="1" x14ac:dyDescent="0.25">
      <c r="D124" s="56" t="str">
        <v>BO</v>
      </c>
      <c r="E124" s="57" t="str">
        <v>emissions potential : m3 CH4/kg VS</v>
      </c>
      <c r="F124" s="58"/>
      <c r="G124" s="56">
        <f>$S$21</f>
        <v>0</v>
      </c>
    </row>
    <row r="125" spans="3:15" ht="20.100000000000001" customHeight="1" x14ac:dyDescent="0.25">
      <c r="D125" s="56" t="str">
        <v>MMSjmT2</v>
      </c>
      <c r="E125" s="57" t="str">
        <v>fraction of manure in each secondary system : fraction</v>
      </c>
      <c r="F125" s="58"/>
      <c r="G125" s="56" t="str">
        <f>"See " &amp; D130</f>
        <v>See Table_MMS_j_m_T-2</v>
      </c>
    </row>
    <row r="126" spans="3:15" ht="20.100000000000001" customHeight="1" x14ac:dyDescent="0.25">
      <c r="D126" s="56" t="str">
        <v>MCFim</v>
      </c>
      <c r="E126" s="57" t="str">
        <v>methane conversion factor for temperate zone and system : fraction</v>
      </c>
      <c r="F126" s="58"/>
      <c r="G126" s="56" t="str">
        <f>"See " &amp; $D$148</f>
        <v>See Table_MCF_i_m</v>
      </c>
    </row>
    <row r="127" spans="3:15" ht="20.100000000000001" customHeight="1" x14ac:dyDescent="0.25">
      <c r="D127" s="56" t="str">
        <v>rho</v>
      </c>
      <c r="E127" s="57" t="str">
        <v>density of methane : kg/m3</v>
      </c>
      <c r="F127" s="58"/>
      <c r="G127" s="56" t="e">
        <f>#REF!</f>
        <v>#REF!</v>
      </c>
    </row>
    <row r="128" spans="3:15" ht="20.100000000000001" customHeight="1" x14ac:dyDescent="0.25">
      <c r="D128" s="56" t="str">
        <v>i</v>
      </c>
      <c r="E128" s="57" t="str">
        <v>state</v>
      </c>
      <c r="F128" s="58"/>
      <c r="G128" s="56" t="e" cm="1">
        <f t="array" ref="G128">Common_InputFunctions.Utility_LookupValueInTable('[1]Input - Site'!$E$21,#REF!,#REF!)</f>
        <v>#REF!</v>
      </c>
      <c r="H128" s="106" t="s">
        <v>296</v>
      </c>
    </row>
    <row r="129" spans="4:14" ht="20.100000000000001" customHeight="1" x14ac:dyDescent="0.25">
      <c r="G129" s="106" t="s">
        <v>297</v>
      </c>
    </row>
    <row r="130" spans="4:14" ht="20.100000000000001" customHeight="1" x14ac:dyDescent="0.25">
      <c r="D130" s="121" t="s">
        <v>298</v>
      </c>
    </row>
    <row r="131" spans="4:14" ht="20.100000000000001" customHeight="1" x14ac:dyDescent="0.25">
      <c r="D131" s="122" t="s">
        <v>299</v>
      </c>
    </row>
    <row r="132" spans="4:14" ht="20.100000000000001" customHeight="1" x14ac:dyDescent="0.25">
      <c r="G132" s="50" t="s">
        <v>220</v>
      </c>
      <c r="H132" s="50" t="s">
        <v>221</v>
      </c>
      <c r="I132" s="50" t="s">
        <v>222</v>
      </c>
      <c r="J132" s="50" t="s">
        <v>223</v>
      </c>
      <c r="K132" s="50" t="s">
        <v>224</v>
      </c>
      <c r="L132" s="50" t="s">
        <v>225</v>
      </c>
      <c r="M132" s="50" t="s">
        <v>226</v>
      </c>
    </row>
    <row r="133" spans="4:14" ht="20.100000000000001" customHeight="1" x14ac:dyDescent="0.25">
      <c r="D133" s="50" t="s">
        <v>300</v>
      </c>
      <c r="E133" s="50" t="s">
        <v>251</v>
      </c>
      <c r="F133" s="50" t="s">
        <v>301</v>
      </c>
      <c r="G133" s="50" t="s">
        <v>302</v>
      </c>
      <c r="H133" s="50" t="s">
        <v>303</v>
      </c>
      <c r="I133" s="50" t="s">
        <v>304</v>
      </c>
      <c r="J133" s="50" t="s">
        <v>305</v>
      </c>
      <c r="K133" s="50" t="s">
        <v>305</v>
      </c>
      <c r="L133" s="50" t="s">
        <v>305</v>
      </c>
      <c r="M133" s="50" t="s">
        <v>305</v>
      </c>
    </row>
    <row r="134" spans="4:14" ht="20.100000000000001" customHeight="1" x14ac:dyDescent="0.25">
      <c r="D134" s="125" t="str">
        <f>'[1]Input - MMS - Swine'!$D$18</f>
        <v>Conventional housing</v>
      </c>
      <c r="E134" s="56" t="str">
        <f>'[1]Input - MMS - Swine'!$E$18</f>
        <v>Solid storage</v>
      </c>
      <c r="F134" s="56" t="str">
        <f>'[1]Input - MMS - Swine'!$D$36</f>
        <v>Digester / covered lagoons</v>
      </c>
      <c r="G134" s="51">
        <f>IF($F134="N/A", "N/A", '[1]Input - MMS - Swine'!E36)</f>
        <v>0.2</v>
      </c>
      <c r="H134" s="51">
        <f>IF($F134="N/A", "N/A", '[1]Input - MMS - Swine'!F36)</f>
        <v>0.2</v>
      </c>
      <c r="I134" s="51">
        <f>IF($F134="N/A", "N/A", '[1]Input - MMS - Swine'!G36)</f>
        <v>0.2</v>
      </c>
      <c r="J134" s="51">
        <f>IF($F134="N/A", "N/A", '[1]Input - MMS - Swine'!H36)</f>
        <v>0.2</v>
      </c>
      <c r="K134" s="51">
        <f>IF($F134="N/A", "N/A", '[1]Input - MMS - Swine'!I36)</f>
        <v>0.2</v>
      </c>
      <c r="L134" s="51">
        <f>IF($F134="N/A", "N/A", '[1]Input - MMS - Swine'!J36)</f>
        <v>0.2</v>
      </c>
      <c r="M134" s="51">
        <f>IF($F134="N/A", "N/A", '[1]Input - MMS - Swine'!K36)</f>
        <v>0.2</v>
      </c>
      <c r="N134" s="2" t="s">
        <v>99</v>
      </c>
    </row>
    <row r="135" spans="4:14" ht="20.100000000000001" customHeight="1" x14ac:dyDescent="0.25">
      <c r="D135" s="56"/>
      <c r="E135" s="56" t="str">
        <f>'[1]Input - MMS - Swine'!$E$18</f>
        <v>Solid storage</v>
      </c>
      <c r="F135" s="56" t="str">
        <f>'[1]Input - MMS - Swine'!$D$37</f>
        <v>Anaerobic lagoon</v>
      </c>
      <c r="G135" s="51">
        <f>IF($F135="N/A", "N/A", '[1]Input - MMS - Swine'!E37)</f>
        <v>0.2</v>
      </c>
      <c r="H135" s="51">
        <f>IF($F135="N/A", "N/A", '[1]Input - MMS - Swine'!F37)</f>
        <v>0.2</v>
      </c>
      <c r="I135" s="51">
        <f>IF($F135="N/A", "N/A", '[1]Input - MMS - Swine'!G37)</f>
        <v>0.2</v>
      </c>
      <c r="J135" s="51">
        <f>IF($F135="N/A", "N/A", '[1]Input - MMS - Swine'!H37)</f>
        <v>0.2</v>
      </c>
      <c r="K135" s="51">
        <f>IF($F135="N/A", "N/A", '[1]Input - MMS - Swine'!I37)</f>
        <v>0.2</v>
      </c>
      <c r="L135" s="51">
        <f>IF($F135="N/A", "N/A", '[1]Input - MMS - Swine'!J37)</f>
        <v>0.2</v>
      </c>
      <c r="M135" s="51">
        <f>IF($F135="N/A", "N/A", '[1]Input - MMS - Swine'!K37)</f>
        <v>0.2</v>
      </c>
      <c r="N135" s="2" t="s">
        <v>99</v>
      </c>
    </row>
    <row r="136" spans="4:14" ht="20.100000000000001" customHeight="1" x14ac:dyDescent="0.25">
      <c r="D136" s="56"/>
      <c r="E136" s="56" t="str">
        <f>'[1]Input - MMS - Swine'!$E$18</f>
        <v>Solid storage</v>
      </c>
      <c r="F136" s="56" t="str">
        <f>'[1]Input - MMS - Swine'!$D$38</f>
        <v>Direct application</v>
      </c>
      <c r="G136" s="51">
        <f>IF($F136="N/A", "N/A", '[1]Input - MMS - Swine'!E38)</f>
        <v>0.2</v>
      </c>
      <c r="H136" s="51">
        <f>IF($F136="N/A", "N/A", '[1]Input - MMS - Swine'!F38)</f>
        <v>0.2</v>
      </c>
      <c r="I136" s="51">
        <f>IF($F136="N/A", "N/A", '[1]Input - MMS - Swine'!G38)</f>
        <v>0.2</v>
      </c>
      <c r="J136" s="51">
        <f>IF($F136="N/A", "N/A", '[1]Input - MMS - Swine'!H38)</f>
        <v>0.2</v>
      </c>
      <c r="K136" s="51">
        <f>IF($F136="N/A", "N/A", '[1]Input - MMS - Swine'!I38)</f>
        <v>0.2</v>
      </c>
      <c r="L136" s="51">
        <f>IF($F136="N/A", "N/A", '[1]Input - MMS - Swine'!J38)</f>
        <v>0.2</v>
      </c>
      <c r="M136" s="51">
        <f>IF($F136="N/A", "N/A", '[1]Input - MMS - Swine'!K38)</f>
        <v>0.2</v>
      </c>
      <c r="N136" s="2" t="s">
        <v>99</v>
      </c>
    </row>
    <row r="137" spans="4:14" ht="20.100000000000001" customHeight="1" x14ac:dyDescent="0.25">
      <c r="D137" s="56"/>
      <c r="E137" s="56" t="str">
        <f>'[1]Input - MMS - Swine'!$F$18</f>
        <v>N/A</v>
      </c>
      <c r="F137" s="56" t="str">
        <f>IF(E137="N/A", "N/A",'[1]Input - MMS - Swine'!$D$56)</f>
        <v>N/A</v>
      </c>
      <c r="G137" s="51" t="str">
        <f>IF($F137="N/A", "N/A", '[1]Input - MMS - Swine'!E56)</f>
        <v>N/A</v>
      </c>
      <c r="H137" s="51" t="str">
        <f>IF($F137="N/A", "N/A", '[1]Input - MMS - Swine'!F56)</f>
        <v>N/A</v>
      </c>
      <c r="I137" s="51" t="str">
        <f>IF($F137="N/A", "N/A", '[1]Input - MMS - Swine'!G56)</f>
        <v>N/A</v>
      </c>
      <c r="J137" s="51" t="str">
        <f>IF($F137="N/A", "N/A", '[1]Input - MMS - Swine'!H56)</f>
        <v>N/A</v>
      </c>
      <c r="K137" s="51" t="str">
        <f>IF($F137="N/A", "N/A", '[1]Input - MMS - Swine'!I56)</f>
        <v>N/A</v>
      </c>
      <c r="L137" s="51" t="str">
        <f>IF($F137="N/A", "N/A", '[1]Input - MMS - Swine'!J56)</f>
        <v>N/A</v>
      </c>
      <c r="M137" s="51" t="str">
        <f>IF($F137="N/A", "N/A", '[1]Input - MMS - Swine'!K56)</f>
        <v>N/A</v>
      </c>
      <c r="N137" s="2" t="s">
        <v>99</v>
      </c>
    </row>
    <row r="138" spans="4:14" ht="20.100000000000001" customHeight="1" x14ac:dyDescent="0.25">
      <c r="D138" s="56"/>
      <c r="E138" s="56" t="str">
        <f>'[1]Input - MMS - Swine'!$F$18</f>
        <v>N/A</v>
      </c>
      <c r="F138" s="56" t="str">
        <f>IF(E138="N/A", "N/A",'[1]Input - MMS - Swine'!$D$57)</f>
        <v>N/A</v>
      </c>
      <c r="G138" s="51" t="str">
        <f>IF($F138="N/A", "N/A", '[1]Input - MMS - Swine'!E57)</f>
        <v>N/A</v>
      </c>
      <c r="H138" s="51" t="str">
        <f>IF($F138="N/A", "N/A", '[1]Input - MMS - Swine'!F57)</f>
        <v>N/A</v>
      </c>
      <c r="I138" s="51" t="str">
        <f>IF($F138="N/A", "N/A", '[1]Input - MMS - Swine'!G57)</f>
        <v>N/A</v>
      </c>
      <c r="J138" s="51" t="str">
        <f>IF($F138="N/A", "N/A", '[1]Input - MMS - Swine'!H57)</f>
        <v>N/A</v>
      </c>
      <c r="K138" s="51" t="str">
        <f>IF($F138="N/A", "N/A", '[1]Input - MMS - Swine'!I57)</f>
        <v>N/A</v>
      </c>
      <c r="L138" s="51" t="str">
        <f>IF($F138="N/A", "N/A", '[1]Input - MMS - Swine'!J57)</f>
        <v>N/A</v>
      </c>
      <c r="M138" s="51" t="str">
        <f>IF($F138="N/A", "N/A", '[1]Input - MMS - Swine'!K57)</f>
        <v>N/A</v>
      </c>
      <c r="N138" s="2" t="s">
        <v>99</v>
      </c>
    </row>
    <row r="139" spans="4:14" ht="20.100000000000001" customHeight="1" x14ac:dyDescent="0.25">
      <c r="D139" s="56"/>
      <c r="E139" s="56" t="str">
        <f>'[1]Input - MMS - Swine'!$F$18</f>
        <v>N/A</v>
      </c>
      <c r="F139" s="56" t="str">
        <f>IF(E139="N/A", "N/A",'[1]Input - MMS - Swine'!$D$58)</f>
        <v>N/A</v>
      </c>
      <c r="G139" s="51" t="str">
        <f>IF($F139="N/A", "N/A", '[1]Input - MMS - Swine'!E58)</f>
        <v>N/A</v>
      </c>
      <c r="H139" s="51" t="str">
        <f>IF($F139="N/A", "N/A", '[1]Input - MMS - Swine'!F58)</f>
        <v>N/A</v>
      </c>
      <c r="I139" s="51" t="str">
        <f>IF($F139="N/A", "N/A", '[1]Input - MMS - Swine'!G58)</f>
        <v>N/A</v>
      </c>
      <c r="J139" s="51" t="str">
        <f>IF($F139="N/A", "N/A", '[1]Input - MMS - Swine'!H58)</f>
        <v>N/A</v>
      </c>
      <c r="K139" s="51" t="str">
        <f>IF($F139="N/A", "N/A", '[1]Input - MMS - Swine'!I58)</f>
        <v>N/A</v>
      </c>
      <c r="L139" s="51" t="str">
        <f>IF($F139="N/A", "N/A", '[1]Input - MMS - Swine'!J58)</f>
        <v>N/A</v>
      </c>
      <c r="M139" s="51" t="str">
        <f>IF($F139="N/A", "N/A", '[1]Input - MMS - Swine'!K58)</f>
        <v>N/A</v>
      </c>
      <c r="N139" s="2" t="s">
        <v>99</v>
      </c>
    </row>
    <row r="140" spans="4:14" ht="20.100000000000001" customHeight="1" x14ac:dyDescent="0.25">
      <c r="D140" s="125" t="str">
        <f>'[1]Input - MMS - Swine'!$D$19</f>
        <v>Deep litter housing</v>
      </c>
      <c r="E140" s="56" t="str">
        <f>'[1]Input - MMS - Swine'!$E$19</f>
        <v>Drylot (feed pad)</v>
      </c>
      <c r="F140" s="56" t="str">
        <f>'[1]Input - MMS - Swine'!$D$88</f>
        <v>Digester / covered lagoons</v>
      </c>
      <c r="G140" s="51">
        <f>IF($F140="N/A", "N/A", '[1]Input - MMS - Swine'!E88)</f>
        <v>0.2</v>
      </c>
      <c r="H140" s="51">
        <f>IF($F140="N/A", "N/A", '[1]Input - MMS - Swine'!F88)</f>
        <v>0.2</v>
      </c>
      <c r="I140" s="51">
        <f>IF($F140="N/A", "N/A", '[1]Input - MMS - Swine'!G88)</f>
        <v>0.2</v>
      </c>
      <c r="J140" s="51">
        <f>IF($F140="N/A", "N/A", '[1]Input - MMS - Swine'!H88)</f>
        <v>0.2</v>
      </c>
      <c r="K140" s="51">
        <f>IF($F140="N/A", "N/A", '[1]Input - MMS - Swine'!I88)</f>
        <v>0.2</v>
      </c>
      <c r="L140" s="51">
        <f>IF($F140="N/A", "N/A", '[1]Input - MMS - Swine'!J88)</f>
        <v>0.2</v>
      </c>
      <c r="M140" s="51">
        <f>IF($F140="N/A", "N/A", '[1]Input - MMS - Swine'!K88)</f>
        <v>0.2</v>
      </c>
      <c r="N140" s="2" t="s">
        <v>99</v>
      </c>
    </row>
    <row r="141" spans="4:14" ht="20.100000000000001" customHeight="1" x14ac:dyDescent="0.25">
      <c r="D141" s="125"/>
      <c r="E141" s="56" t="str">
        <f>'[1]Input - MMS - Swine'!$E$19</f>
        <v>Drylot (feed pad)</v>
      </c>
      <c r="F141" s="56" t="str">
        <f>'[1]Input - MMS - Swine'!$D$89</f>
        <v>Anaerobic lagoon</v>
      </c>
      <c r="G141" s="51">
        <f>IF($F141="N/A", "N/A", '[1]Input - MMS - Swine'!E89)</f>
        <v>0.2</v>
      </c>
      <c r="H141" s="51">
        <f>IF($F141="N/A", "N/A", '[1]Input - MMS - Swine'!F89)</f>
        <v>0.2</v>
      </c>
      <c r="I141" s="51">
        <f>IF($F141="N/A", "N/A", '[1]Input - MMS - Swine'!G89)</f>
        <v>0.2</v>
      </c>
      <c r="J141" s="51">
        <f>IF($F141="N/A", "N/A", '[1]Input - MMS - Swine'!H89)</f>
        <v>0.2</v>
      </c>
      <c r="K141" s="51">
        <f>IF($F141="N/A", "N/A", '[1]Input - MMS - Swine'!I89)</f>
        <v>0.2</v>
      </c>
      <c r="L141" s="51">
        <f>IF($F141="N/A", "N/A", '[1]Input - MMS - Swine'!J89)</f>
        <v>0.2</v>
      </c>
      <c r="M141" s="51">
        <f>IF($F141="N/A", "N/A", '[1]Input - MMS - Swine'!K89)</f>
        <v>0.2</v>
      </c>
      <c r="N141" s="2" t="s">
        <v>99</v>
      </c>
    </row>
    <row r="142" spans="4:14" ht="20.100000000000001" customHeight="1" x14ac:dyDescent="0.25">
      <c r="D142" s="56"/>
      <c r="E142" s="56" t="str">
        <f>'[1]Input - MMS - Swine'!$E$19</f>
        <v>Drylot (feed pad)</v>
      </c>
      <c r="F142" s="56" t="str">
        <f>'[1]Input - MMS - Swine'!$D$90</f>
        <v>Pit storage</v>
      </c>
      <c r="G142" s="51">
        <f>IF($F142="N/A", "N/A", '[1]Input - MMS - Swine'!E90)</f>
        <v>0.2</v>
      </c>
      <c r="H142" s="51">
        <f>IF($F142="N/A", "N/A", '[1]Input - MMS - Swine'!F90)</f>
        <v>0.2</v>
      </c>
      <c r="I142" s="51">
        <f>IF($F142="N/A", "N/A", '[1]Input - MMS - Swine'!G90)</f>
        <v>0.2</v>
      </c>
      <c r="J142" s="51">
        <f>IF($F142="N/A", "N/A", '[1]Input - MMS - Swine'!H90)</f>
        <v>0.2</v>
      </c>
      <c r="K142" s="51">
        <f>IF($F142="N/A", "N/A", '[1]Input - MMS - Swine'!I90)</f>
        <v>0.2</v>
      </c>
      <c r="L142" s="51">
        <f>IF($F142="N/A", "N/A", '[1]Input - MMS - Swine'!J90)</f>
        <v>0.2</v>
      </c>
      <c r="M142" s="51">
        <f>IF($F142="N/A", "N/A", '[1]Input - MMS - Swine'!K90)</f>
        <v>0.2</v>
      </c>
      <c r="N142" s="2" t="s">
        <v>99</v>
      </c>
    </row>
    <row r="143" spans="4:14" ht="20.100000000000001" customHeight="1" x14ac:dyDescent="0.25">
      <c r="D143" s="56"/>
      <c r="E143" s="56" t="str">
        <f>'[1]Input - MMS - Swine'!$F$19</f>
        <v>Post-separation solid storage</v>
      </c>
      <c r="F143" s="56" t="str">
        <f>IF(E143="N/A", "N/A", '[1]Input - MMS - Swine'!$D$109)</f>
        <v>Digester / covered lagoons</v>
      </c>
      <c r="G143" s="51">
        <f>IF($F143="N/A", "N/A", '[1]Input - MMS - Swine'!E109)</f>
        <v>0.2</v>
      </c>
      <c r="H143" s="51">
        <f>IF($F143="N/A", "N/A", '[1]Input - MMS - Swine'!F109)</f>
        <v>0.2</v>
      </c>
      <c r="I143" s="51">
        <f>IF($F143="N/A", "N/A", '[1]Input - MMS - Swine'!G109)</f>
        <v>0.2</v>
      </c>
      <c r="J143" s="51">
        <f>IF($F143="N/A", "N/A", '[1]Input - MMS - Swine'!H109)</f>
        <v>0.2</v>
      </c>
      <c r="K143" s="51">
        <f>IF($F143="N/A", "N/A", '[1]Input - MMS - Swine'!I109)</f>
        <v>0.2</v>
      </c>
      <c r="L143" s="51">
        <f>IF($F143="N/A", "N/A", '[1]Input - MMS - Swine'!J109)</f>
        <v>0.2</v>
      </c>
      <c r="M143" s="51">
        <f>IF($F143="N/A", "N/A", '[1]Input - MMS - Swine'!K109)</f>
        <v>0.2</v>
      </c>
      <c r="N143" s="2" t="s">
        <v>99</v>
      </c>
    </row>
    <row r="144" spans="4:14" ht="20.100000000000001" customHeight="1" x14ac:dyDescent="0.25">
      <c r="D144" s="56"/>
      <c r="E144" s="56" t="str">
        <f>'[1]Input - MMS - Swine'!$F$19</f>
        <v>Post-separation solid storage</v>
      </c>
      <c r="F144" s="56" t="str">
        <f>IF(E144="N/A", "N/A", '[1]Input - MMS - Swine'!$D$110)</f>
        <v>Deep litter</v>
      </c>
      <c r="G144" s="51">
        <f>IF($F144="N/A", "N/A", '[1]Input - MMS - Swine'!E110)</f>
        <v>0.2</v>
      </c>
      <c r="H144" s="51">
        <f>IF($F144="N/A", "N/A", '[1]Input - MMS - Swine'!F110)</f>
        <v>0.2</v>
      </c>
      <c r="I144" s="51">
        <f>IF($F144="N/A", "N/A", '[1]Input - MMS - Swine'!G110)</f>
        <v>0.2</v>
      </c>
      <c r="J144" s="51">
        <f>IF($F144="N/A", "N/A", '[1]Input - MMS - Swine'!H110)</f>
        <v>0.2</v>
      </c>
      <c r="K144" s="51">
        <f>IF($F144="N/A", "N/A", '[1]Input - MMS - Swine'!I110)</f>
        <v>0.2</v>
      </c>
      <c r="L144" s="51">
        <f>IF($F144="N/A", "N/A", '[1]Input - MMS - Swine'!J110)</f>
        <v>0.2</v>
      </c>
      <c r="M144" s="51">
        <f>IF($F144="N/A", "N/A", '[1]Input - MMS - Swine'!K110)</f>
        <v>0.2</v>
      </c>
      <c r="N144" s="2" t="s">
        <v>99</v>
      </c>
    </row>
    <row r="145" spans="4:14" ht="20.100000000000001" customHeight="1" x14ac:dyDescent="0.25">
      <c r="D145" s="125"/>
      <c r="E145" s="56" t="str">
        <f>'[1]Input - MMS - Swine'!$F$19</f>
        <v>Post-separation solid storage</v>
      </c>
      <c r="F145" s="56" t="str">
        <f>IF(E145="N/A", "N/A", '[1]Input - MMS - Swine'!$D$111)</f>
        <v>Pit storage</v>
      </c>
      <c r="G145" s="51">
        <f>IF($F145="N/A", "N/A", '[1]Input - MMS - Swine'!E111)</f>
        <v>0.2</v>
      </c>
      <c r="H145" s="51">
        <f>IF($F145="N/A", "N/A", '[1]Input - MMS - Swine'!F111)</f>
        <v>0.2</v>
      </c>
      <c r="I145" s="51">
        <f>IF($F145="N/A", "N/A", '[1]Input - MMS - Swine'!G111)</f>
        <v>0.2</v>
      </c>
      <c r="J145" s="51">
        <f>IF($F145="N/A", "N/A", '[1]Input - MMS - Swine'!H111)</f>
        <v>0.2</v>
      </c>
      <c r="K145" s="51">
        <f>IF($F145="N/A", "N/A", '[1]Input - MMS - Swine'!I111)</f>
        <v>0.2</v>
      </c>
      <c r="L145" s="51">
        <f>IF($F145="N/A", "N/A", '[1]Input - MMS - Swine'!J111)</f>
        <v>0.2</v>
      </c>
      <c r="M145" s="51">
        <f>IF($F145="N/A", "N/A", '[1]Input - MMS - Swine'!K111)</f>
        <v>0.2</v>
      </c>
      <c r="N145" s="2" t="s">
        <v>99</v>
      </c>
    </row>
    <row r="146" spans="4:14" ht="20.100000000000001" customHeight="1" x14ac:dyDescent="0.25"/>
    <row r="147" spans="4:14" ht="20.100000000000001" customHeight="1" x14ac:dyDescent="0.25"/>
    <row r="148" spans="4:14" ht="20.100000000000001" customHeight="1" x14ac:dyDescent="0.25">
      <c r="D148" s="121" t="s">
        <v>306</v>
      </c>
    </row>
    <row r="149" spans="4:14" ht="20.100000000000001" customHeight="1" x14ac:dyDescent="0.25">
      <c r="D149" s="122" t="s">
        <v>307</v>
      </c>
    </row>
    <row r="150" spans="4:14" ht="20.100000000000001" customHeight="1" x14ac:dyDescent="0.25"/>
    <row r="151" spans="4:14" ht="20.100000000000001" customHeight="1" x14ac:dyDescent="0.25">
      <c r="D151" s="50" t="s">
        <v>67</v>
      </c>
      <c r="E151" s="50" t="s">
        <v>98</v>
      </c>
    </row>
    <row r="152" spans="4:14" ht="20.100000000000001" customHeight="1" x14ac:dyDescent="0.25">
      <c r="D152" s="56">
        <f>$R$42</f>
        <v>0</v>
      </c>
      <c r="E152" s="51" t="e" cm="1">
        <f t="array" ref="E152">CommonLivestock_InputFunctions.Livestock_LookupMCFState(D152,[1]!Table_SourceData_Swine_MMSMCF[NIR definition],$G$128,[1]!Table_SourceData_Swine_MMSMCF[#Headers],[1]!Table_SourceData_Swine_MMSMCF[#Data])</f>
        <v>#REF!</v>
      </c>
    </row>
    <row r="153" spans="4:14" ht="20.100000000000001" customHeight="1" x14ac:dyDescent="0.25">
      <c r="D153" s="56">
        <f>$R$41</f>
        <v>0</v>
      </c>
      <c r="E153" s="51" t="e" cm="1">
        <f t="array" ref="E153">CommonLivestock_InputFunctions.Livestock_LookupMCFState(D153,[1]!Table_SourceData_Swine_MMSMCF[NIR definition],$G$128,[1]!Table_SourceData_Swine_MMSMCF[#Headers],[1]!Table_SourceData_Swine_MMSMCF[#Data])</f>
        <v>#REF!</v>
      </c>
    </row>
    <row r="154" spans="4:14" ht="20.100000000000001" customHeight="1" x14ac:dyDescent="0.25">
      <c r="D154" s="56">
        <f>$R$44</f>
        <v>0</v>
      </c>
      <c r="E154" s="51" t="e" cm="1">
        <f t="array" ref="E154">CommonLivestock_InputFunctions.Livestock_LookupMCFState(D154,[1]!Table_SourceData_Swine_MMSMCF[NIR definition],$G$128,[1]!Table_SourceData_Swine_MMSMCF[#Headers],[1]!Table_SourceData_Swine_MMSMCF[#Data])</f>
        <v>#REF!</v>
      </c>
    </row>
    <row r="155" spans="4:14" ht="20.100000000000001" customHeight="1" x14ac:dyDescent="0.25">
      <c r="D155" s="56">
        <f>$R$46</f>
        <v>0</v>
      </c>
      <c r="E155" s="51" t="e" cm="1">
        <f t="array" ref="E155">CommonLivestock_InputFunctions.Livestock_LookupMCFState(D155,[1]!Table_SourceData_Swine_MMSMCF[NIR definition],$G$128,[1]!Table_SourceData_Swine_MMSMCF[#Headers],[1]!Table_SourceData_Swine_MMSMCF[#Data])</f>
        <v>#REF!</v>
      </c>
    </row>
    <row r="156" spans="4:14" ht="20.100000000000001" customHeight="1" x14ac:dyDescent="0.25">
      <c r="D156" s="56">
        <f>$R$45</f>
        <v>0</v>
      </c>
      <c r="E156" s="51" t="e" cm="1">
        <f t="array" ref="E156">CommonLivestock_InputFunctions.Livestock_LookupMCFState(D156,[1]!Table_SourceData_Swine_MMSMCF[NIR definition],$G$128,[1]!Table_SourceData_Swine_MMSMCF[#Headers],[1]!Table_SourceData_Swine_MMSMCF[#Data])</f>
        <v>#REF!</v>
      </c>
      <c r="F156" s="106" t="s">
        <v>308</v>
      </c>
    </row>
    <row r="157" spans="4:14" ht="20.100000000000001" customHeight="1" x14ac:dyDescent="0.25">
      <c r="D157" s="56">
        <f>$R$43</f>
        <v>0</v>
      </c>
      <c r="E157" s="51" t="e" cm="1">
        <f t="array" ref="E157">CommonLivestock_InputFunctions.Livestock_LookupMCFState(D157,[1]!Table_SourceData_Swine_MMSMCF[NIR definition],$G$128,[1]!Table_SourceData_Swine_MMSMCF[#Headers],[1]!Table_SourceData_Swine_MMSMCF[#Data])</f>
        <v>#REF!</v>
      </c>
    </row>
    <row r="158" spans="4:14" ht="20.100000000000001" customHeight="1" x14ac:dyDescent="0.25">
      <c r="D158" s="56">
        <f>$R$47</f>
        <v>0</v>
      </c>
      <c r="E158" s="51" t="e" cm="1">
        <f t="array" ref="E158">CommonLivestock_InputFunctions.Livestock_LookupMCFState(D158,[1]!Table_SourceData_Swine_MMSMCF[NIR definition],$G$128,[1]!Table_SourceData_Swine_MMSMCF[#Headers],[1]!Table_SourceData_Swine_MMSMCF[#Data])</f>
        <v>#REF!</v>
      </c>
    </row>
    <row r="159" spans="4:14" ht="20.100000000000001" customHeight="1" x14ac:dyDescent="0.25">
      <c r="D159" s="56" t="s">
        <v>309</v>
      </c>
      <c r="E159" s="51">
        <v>0</v>
      </c>
    </row>
    <row r="160" spans="4:14" ht="20.100000000000001" customHeight="1" x14ac:dyDescent="0.25"/>
    <row r="161" spans="4:14" ht="20.100000000000001" customHeight="1" x14ac:dyDescent="0.25">
      <c r="D161" s="121" t="s">
        <v>310</v>
      </c>
    </row>
    <row r="162" spans="4:14" ht="20.100000000000001" customHeight="1" x14ac:dyDescent="0.25">
      <c r="D162" s="122" t="s">
        <v>311</v>
      </c>
    </row>
    <row r="163" spans="4:14" ht="20.100000000000001" customHeight="1" x14ac:dyDescent="0.25">
      <c r="G163" s="50" t="s">
        <v>220</v>
      </c>
      <c r="H163" s="50" t="s">
        <v>221</v>
      </c>
      <c r="I163" s="50" t="s">
        <v>222</v>
      </c>
      <c r="J163" s="50" t="s">
        <v>223</v>
      </c>
      <c r="K163" s="50" t="s">
        <v>224</v>
      </c>
      <c r="L163" s="50" t="s">
        <v>225</v>
      </c>
      <c r="M163" s="50" t="s">
        <v>226</v>
      </c>
    </row>
    <row r="164" spans="4:14" ht="20.100000000000001" customHeight="1" x14ac:dyDescent="0.25">
      <c r="D164" s="50" t="s">
        <v>300</v>
      </c>
      <c r="E164" s="50" t="s">
        <v>251</v>
      </c>
      <c r="F164" s="50" t="s">
        <v>301</v>
      </c>
      <c r="G164" s="50" t="s">
        <v>312</v>
      </c>
      <c r="H164" s="50" t="s">
        <v>313</v>
      </c>
      <c r="I164" s="50" t="s">
        <v>314</v>
      </c>
      <c r="J164" s="50" t="s">
        <v>315</v>
      </c>
      <c r="K164" s="50" t="s">
        <v>315</v>
      </c>
      <c r="L164" s="50" t="s">
        <v>315</v>
      </c>
      <c r="M164" s="50" t="s">
        <v>315</v>
      </c>
    </row>
    <row r="165" spans="4:14" ht="20.100000000000001" customHeight="1" x14ac:dyDescent="0.25">
      <c r="D165" s="125" t="str">
        <f>'[1]Input - MMS - Swine'!$D$18</f>
        <v>Conventional housing</v>
      </c>
      <c r="E165" s="56" t="str">
        <f>'[1]Input - MMS - Swine'!$E$18</f>
        <v>Solid storage</v>
      </c>
      <c r="F165" s="56" t="str">
        <f>'[1]Input - MMS - Swine'!$D$36</f>
        <v>Digester / covered lagoons</v>
      </c>
      <c r="G165" s="51" t="e" cm="1">
        <f t="array" ref="G165">ManureManagement_Swine_Methane.VEERG_4_5_1_1__6_Stage2MethaneProduction(F$107,$G$124,G134,VLOOKUP($F165,$D$152:$E$159,2, FALSE),$G$127)</f>
        <v>#N/A</v>
      </c>
      <c r="H165" s="51" t="e" cm="1">
        <f t="array" ref="H165">ManureManagement_Swine_Methane.VEERG_4_5_1_1__6_Stage2MethaneProduction(G$107,$G$124,H134,VLOOKUP($F165,$D$152:$E$159,2, FALSE),$G$127)</f>
        <v>#N/A</v>
      </c>
      <c r="I165" s="51" t="e" cm="1">
        <f t="array" ref="I165">ManureManagement_Swine_Methane.VEERG_4_5_1_1__6_Stage2MethaneProduction(H$107,$G$124,I134,VLOOKUP($F165,$D$152:$E$159,2, FALSE),$G$127)</f>
        <v>#N/A</v>
      </c>
      <c r="J165" s="51" t="e" cm="1">
        <f t="array" ref="J165">ManureManagement_Swine_Methane.VEERG_4_5_1_1__6_Stage2MethaneProduction(I$107,$G$124,J134,VLOOKUP($F165,$D$152:$E$159,2, FALSE),$G$127)</f>
        <v>#N/A</v>
      </c>
      <c r="K165" s="51" t="e" cm="1">
        <f t="array" ref="K165">ManureManagement_Swine_Methane.VEERG_4_5_1_1__6_Stage2MethaneProduction(J$107,$G$124,K134,VLOOKUP($F165,$D$152:$E$159,2, FALSE),$G$127)</f>
        <v>#N/A</v>
      </c>
      <c r="L165" s="51" t="e" cm="1">
        <f t="array" ref="L165">ManureManagement_Swine_Methane.VEERG_4_5_1_1__6_Stage2MethaneProduction(K$107,$G$124,L134,VLOOKUP($F165,$D$152:$E$159,2, FALSE),$G$127)</f>
        <v>#N/A</v>
      </c>
      <c r="M165" s="51" t="e" cm="1">
        <f t="array" ref="M165">ManureManagement_Swine_Methane.VEERG_4_5_1_1__6_Stage2MethaneProduction(L$107,$G$124,M134,VLOOKUP($F165,$D$152:$E$159,2, FALSE),$G$127)</f>
        <v>#N/A</v>
      </c>
      <c r="N165" s="2" t="str">
        <f>$E$121</f>
        <v>kg CH4/head/day</v>
      </c>
    </row>
    <row r="166" spans="4:14" ht="20.100000000000001" customHeight="1" x14ac:dyDescent="0.25">
      <c r="D166" s="56"/>
      <c r="E166" s="56" t="str">
        <f>'[1]Input - MMS - Swine'!$E$18</f>
        <v>Solid storage</v>
      </c>
      <c r="F166" s="56" t="str">
        <f>'[1]Input - MMS - Swine'!$D$37</f>
        <v>Anaerobic lagoon</v>
      </c>
      <c r="G166" s="51" t="e" cm="1">
        <f t="array" ref="G166">ManureManagement_Swine_Methane.VEERG_4_5_1_1__6_Stage2MethaneProduction(F$107,$G$124,G135,VLOOKUP($F166,$D$152:$E$159,2, FALSE),$G$127)</f>
        <v>#N/A</v>
      </c>
      <c r="H166" s="51" t="e" cm="1">
        <f t="array" ref="H166">ManureManagement_Swine_Methane.VEERG_4_5_1_1__6_Stage2MethaneProduction(G$107,$G$124,H135,VLOOKUP($F166,$D$152:$E$159,2, FALSE),$G$127)</f>
        <v>#N/A</v>
      </c>
      <c r="I166" s="51" t="e" cm="1">
        <f t="array" ref="I166">ManureManagement_Swine_Methane.VEERG_4_5_1_1__6_Stage2MethaneProduction(H$107,$G$124,I135,VLOOKUP($F166,$D$152:$E$159,2, FALSE),$G$127)</f>
        <v>#N/A</v>
      </c>
      <c r="J166" s="51" t="e" cm="1">
        <f t="array" ref="J166">ManureManagement_Swine_Methane.VEERG_4_5_1_1__6_Stage2MethaneProduction(I$107,$G$124,J135,VLOOKUP($F166,$D$152:$E$159,2, FALSE),$G$127)</f>
        <v>#N/A</v>
      </c>
      <c r="K166" s="51" t="e" cm="1">
        <f t="array" ref="K166">ManureManagement_Swine_Methane.VEERG_4_5_1_1__6_Stage2MethaneProduction(J$107,$G$124,K135,VLOOKUP($F166,$D$152:$E$159,2, FALSE),$G$127)</f>
        <v>#N/A</v>
      </c>
      <c r="L166" s="51" t="e" cm="1">
        <f t="array" ref="L166">ManureManagement_Swine_Methane.VEERG_4_5_1_1__6_Stage2MethaneProduction(K$107,$G$124,L135,VLOOKUP($F166,$D$152:$E$159,2, FALSE),$G$127)</f>
        <v>#N/A</v>
      </c>
      <c r="M166" s="51" t="e" cm="1">
        <f t="array" ref="M166">ManureManagement_Swine_Methane.VEERG_4_5_1_1__6_Stage2MethaneProduction(L$107,$G$124,M135,VLOOKUP($F166,$D$152:$E$159,2, FALSE),$G$127)</f>
        <v>#N/A</v>
      </c>
      <c r="N166" s="2" t="str">
        <f>$E$121</f>
        <v>kg CH4/head/day</v>
      </c>
    </row>
    <row r="167" spans="4:14" ht="20.100000000000001" customHeight="1" x14ac:dyDescent="0.25">
      <c r="D167" s="56"/>
      <c r="E167" s="56" t="str">
        <f>'[1]Input - MMS - Swine'!$E$18</f>
        <v>Solid storage</v>
      </c>
      <c r="F167" s="56" t="str">
        <f>'[1]Input - MMS - Swine'!$D$38</f>
        <v>Direct application</v>
      </c>
      <c r="G167" s="51" t="e" cm="1">
        <f t="array" ref="G167">ManureManagement_Swine_Methane.VEERG_4_5_1_1__6_Stage2MethaneProduction(F$107,$G$124,G136,VLOOKUP($F167,$D$152:$E$159,2, FALSE),$G$127)</f>
        <v>#N/A</v>
      </c>
      <c r="H167" s="51" t="e" cm="1">
        <f t="array" ref="H167">ManureManagement_Swine_Methane.VEERG_4_5_1_1__6_Stage2MethaneProduction(G$107,$G$124,H136,VLOOKUP($F167,$D$152:$E$159,2, FALSE),$G$127)</f>
        <v>#N/A</v>
      </c>
      <c r="I167" s="51" t="e" cm="1">
        <f t="array" ref="I167">ManureManagement_Swine_Methane.VEERG_4_5_1_1__6_Stage2MethaneProduction(H$107,$G$124,I136,VLOOKUP($F167,$D$152:$E$159,2, FALSE),$G$127)</f>
        <v>#N/A</v>
      </c>
      <c r="J167" s="51" t="e" cm="1">
        <f t="array" ref="J167">ManureManagement_Swine_Methane.VEERG_4_5_1_1__6_Stage2MethaneProduction(I$107,$G$124,J136,VLOOKUP($F167,$D$152:$E$159,2, FALSE),$G$127)</f>
        <v>#N/A</v>
      </c>
      <c r="K167" s="51" t="e" cm="1">
        <f t="array" ref="K167">ManureManagement_Swine_Methane.VEERG_4_5_1_1__6_Stage2MethaneProduction(J$107,$G$124,K136,VLOOKUP($F167,$D$152:$E$159,2, FALSE),$G$127)</f>
        <v>#N/A</v>
      </c>
      <c r="L167" s="51" t="e" cm="1">
        <f t="array" ref="L167">ManureManagement_Swine_Methane.VEERG_4_5_1_1__6_Stage2MethaneProduction(K$107,$G$124,L136,VLOOKUP($F167,$D$152:$E$159,2, FALSE),$G$127)</f>
        <v>#N/A</v>
      </c>
      <c r="M167" s="51" t="e" cm="1">
        <f t="array" ref="M167">ManureManagement_Swine_Methane.VEERG_4_5_1_1__6_Stage2MethaneProduction(L$107,$G$124,M136,VLOOKUP($F167,$D$152:$E$159,2, FALSE),$G$127)</f>
        <v>#N/A</v>
      </c>
      <c r="N167" s="2" t="str">
        <f>$E$121</f>
        <v>kg CH4/head/day</v>
      </c>
    </row>
    <row r="168" spans="4:14" ht="20.100000000000001" customHeight="1" x14ac:dyDescent="0.25">
      <c r="D168" s="56"/>
      <c r="E168" s="56" t="str">
        <f>'[1]Input - MMS - Swine'!$F$18</f>
        <v>N/A</v>
      </c>
      <c r="F168" s="56" t="str">
        <f>IF(E168="N/A", "N/A",'[1]Input - MMS - Swine'!$D$56)</f>
        <v>N/A</v>
      </c>
      <c r="G168" s="51" t="e" cm="1">
        <f t="array" ref="G168">ManureManagement_Swine_Methane.VEERG_4_5_1_1__6_Stage2MethaneProduction(F$108,$G$124,G137,VLOOKUP($F168,$D$152:$E$159,2, FALSE),$G$127)</f>
        <v>#REF!</v>
      </c>
      <c r="H168" s="51" t="e" cm="1">
        <f t="array" ref="H168">ManureManagement_Swine_Methane.VEERG_4_5_1_1__6_Stage2MethaneProduction(G$108,$G$124,H137,VLOOKUP($F168,$D$152:$E$159,2, FALSE),$G$127)</f>
        <v>#REF!</v>
      </c>
      <c r="I168" s="51" t="e" cm="1">
        <f t="array" ref="I168">ManureManagement_Swine_Methane.VEERG_4_5_1_1__6_Stage2MethaneProduction(H$108,$G$124,I137,VLOOKUP($F168,$D$152:$E$159,2, FALSE),$G$127)</f>
        <v>#REF!</v>
      </c>
      <c r="J168" s="51" t="e" cm="1">
        <f t="array" ref="J168">ManureManagement_Swine_Methane.VEERG_4_5_1_1__6_Stage2MethaneProduction(I$108,$G$124,J137,VLOOKUP($F168,$D$152:$E$159,2, FALSE),$G$127)</f>
        <v>#REF!</v>
      </c>
      <c r="K168" s="51" t="e" cm="1">
        <f t="array" ref="K168">ManureManagement_Swine_Methane.VEERG_4_5_1_1__6_Stage2MethaneProduction(J$108,$G$124,K137,VLOOKUP($F168,$D$152:$E$159,2, FALSE),$G$127)</f>
        <v>#REF!</v>
      </c>
      <c r="L168" s="51" t="e" cm="1">
        <f t="array" ref="L168">ManureManagement_Swine_Methane.VEERG_4_5_1_1__6_Stage2MethaneProduction(K$108,$G$124,L137,VLOOKUP($F168,$D$152:$E$159,2, FALSE),$G$127)</f>
        <v>#REF!</v>
      </c>
      <c r="M168" s="51" t="e" cm="1">
        <f t="array" ref="M168">ManureManagement_Swine_Methane.VEERG_4_5_1_1__6_Stage2MethaneProduction(L$108,$G$124,M137,VLOOKUP($F168,$D$152:$E$159,2, FALSE),$G$127)</f>
        <v>#REF!</v>
      </c>
      <c r="N168" s="2" t="str">
        <f>$E$121</f>
        <v>kg CH4/head/day</v>
      </c>
    </row>
    <row r="169" spans="4:14" ht="20.100000000000001" customHeight="1" x14ac:dyDescent="0.25">
      <c r="D169" s="56"/>
      <c r="E169" s="56" t="str">
        <f>'[1]Input - MMS - Swine'!$F$18</f>
        <v>N/A</v>
      </c>
      <c r="F169" s="56" t="str">
        <f>IF(E169="N/A", "N/A",'[1]Input - MMS - Swine'!$D$57)</f>
        <v>N/A</v>
      </c>
      <c r="G169" s="51" t="e" cm="1">
        <f t="array" ref="G169">ManureManagement_Swine_Methane.VEERG_4_5_1_1__6_Stage2MethaneProduction(F$108,$G$124,G138,VLOOKUP($F169,$D$152:$E$159,2, FALSE),$G$127)</f>
        <v>#REF!</v>
      </c>
      <c r="H169" s="51" t="e" cm="1">
        <f t="array" ref="H169">ManureManagement_Swine_Methane.VEERG_4_5_1_1__6_Stage2MethaneProduction(G$108,$G$124,H138,VLOOKUP($F169,$D$152:$E$159,2, FALSE),$G$127)</f>
        <v>#REF!</v>
      </c>
      <c r="I169" s="51" t="e" cm="1">
        <f t="array" ref="I169">ManureManagement_Swine_Methane.VEERG_4_5_1_1__6_Stage2MethaneProduction(H$108,$G$124,I138,VLOOKUP($F169,$D$152:$E$159,2, FALSE),$G$127)</f>
        <v>#REF!</v>
      </c>
      <c r="J169" s="51" t="e" cm="1">
        <f t="array" ref="J169">ManureManagement_Swine_Methane.VEERG_4_5_1_1__6_Stage2MethaneProduction(I$108,$G$124,J138,VLOOKUP($F169,$D$152:$E$159,2, FALSE),$G$127)</f>
        <v>#REF!</v>
      </c>
      <c r="K169" s="51" t="e" cm="1">
        <f t="array" ref="K169">ManureManagement_Swine_Methane.VEERG_4_5_1_1__6_Stage2MethaneProduction(J$108,$G$124,K138,VLOOKUP($F169,$D$152:$E$159,2, FALSE),$G$127)</f>
        <v>#REF!</v>
      </c>
      <c r="L169" s="51" t="e" cm="1">
        <f t="array" ref="L169">ManureManagement_Swine_Methane.VEERG_4_5_1_1__6_Stage2MethaneProduction(K$108,$G$124,L138,VLOOKUP($F169,$D$152:$E$159,2, FALSE),$G$127)</f>
        <v>#REF!</v>
      </c>
      <c r="M169" s="51" t="e" cm="1">
        <f t="array" ref="M169">ManureManagement_Swine_Methane.VEERG_4_5_1_1__6_Stage2MethaneProduction(L$108,$G$124,M138,VLOOKUP($F169,$D$152:$E$159,2, FALSE),$G$127)</f>
        <v>#REF!</v>
      </c>
      <c r="N169" s="2" t="str">
        <f>$E$121</f>
        <v>kg CH4/head/day</v>
      </c>
    </row>
    <row r="170" spans="4:14" ht="20.100000000000001" customHeight="1" x14ac:dyDescent="0.25">
      <c r="D170" s="56"/>
      <c r="E170" s="56" t="str">
        <f>'[1]Input - MMS - Swine'!$F$18</f>
        <v>N/A</v>
      </c>
      <c r="F170" s="56" t="str">
        <f>IF(E170="N/A", "N/A",'[1]Input - MMS - Swine'!$D$58)</f>
        <v>N/A</v>
      </c>
      <c r="G170" s="51" t="e" cm="1">
        <f t="array" ref="G170">ManureManagement_Swine_Methane.VEERG_4_5_1_1__6_Stage2MethaneProduction(F$108,$G$124,G139,VLOOKUP($F170,$D$152:$E$159,2, FALSE),$G$127)</f>
        <v>#REF!</v>
      </c>
      <c r="H170" s="51" t="e" cm="1">
        <f t="array" ref="H170">ManureManagement_Swine_Methane.VEERG_4_5_1_1__6_Stage2MethaneProduction(G$108,$G$124,H139,VLOOKUP($F170,$D$152:$E$159,2, FALSE),$G$127)</f>
        <v>#REF!</v>
      </c>
      <c r="I170" s="51" t="e" cm="1">
        <f t="array" ref="I170">ManureManagement_Swine_Methane.VEERG_4_5_1_1__6_Stage2MethaneProduction(H$108,$G$124,I139,VLOOKUP($F170,$D$152:$E$159,2, FALSE),$G$127)</f>
        <v>#REF!</v>
      </c>
      <c r="J170" s="51" t="e" cm="1">
        <f t="array" ref="J170">ManureManagement_Swine_Methane.VEERG_4_5_1_1__6_Stage2MethaneProduction(I$108,$G$124,J139,VLOOKUP($F170,$D$152:$E$159,2, FALSE),$G$127)</f>
        <v>#REF!</v>
      </c>
      <c r="K170" s="51" t="e" cm="1">
        <f t="array" ref="K170">ManureManagement_Swine_Methane.VEERG_4_5_1_1__6_Stage2MethaneProduction(J$108,$G$124,K139,VLOOKUP($F170,$D$152:$E$159,2, FALSE),$G$127)</f>
        <v>#REF!</v>
      </c>
      <c r="L170" s="51" t="e" cm="1">
        <f t="array" ref="L170">ManureManagement_Swine_Methane.VEERG_4_5_1_1__6_Stage2MethaneProduction(K$108,$G$124,L139,VLOOKUP($F170,$D$152:$E$159,2, FALSE),$G$127)</f>
        <v>#REF!</v>
      </c>
      <c r="M170" s="51" t="e" cm="1">
        <f t="array" ref="M170">ManureManagement_Swine_Methane.VEERG_4_5_1_1__6_Stage2MethaneProduction(L$108,$G$124,M139,VLOOKUP($F170,$D$152:$E$159,2, FALSE),$G$127)</f>
        <v>#REF!</v>
      </c>
      <c r="N170" s="2" t="str">
        <f t="shared" ref="N170:N176" si="2">$E$121</f>
        <v>kg CH4/head/day</v>
      </c>
    </row>
    <row r="171" spans="4:14" ht="20.100000000000001" customHeight="1" x14ac:dyDescent="0.25">
      <c r="D171" s="125" t="str">
        <f>'[1]Input - MMS - Swine'!$D$19</f>
        <v>Deep litter housing</v>
      </c>
      <c r="E171" s="56" t="str">
        <f>'[1]Input - MMS - Swine'!$E$19</f>
        <v>Drylot (feed pad)</v>
      </c>
      <c r="F171" s="56" t="str">
        <f>'[1]Input - MMS - Swine'!$D$88</f>
        <v>Digester / covered lagoons</v>
      </c>
      <c r="G171" s="51" t="e" cm="1">
        <f t="array" ref="G171">ManureManagement_Swine_Methane.VEERG_4_5_1_1__6_Stage2MethaneProduction(F$109,$G$124,G140,VLOOKUP($F171,$D$152:$E$159,2, FALSE),$G$127)</f>
        <v>#N/A</v>
      </c>
      <c r="H171" s="51" t="e" cm="1">
        <f t="array" ref="H171">ManureManagement_Swine_Methane.VEERG_4_5_1_1__6_Stage2MethaneProduction(G$109,$G$124,H140,VLOOKUP($F171,$D$152:$E$159,2, FALSE),$G$127)</f>
        <v>#N/A</v>
      </c>
      <c r="I171" s="51" t="e" cm="1">
        <f t="array" ref="I171">ManureManagement_Swine_Methane.VEERG_4_5_1_1__6_Stage2MethaneProduction(H$109,$G$124,I140,VLOOKUP($F171,$D$152:$E$159,2, FALSE),$G$127)</f>
        <v>#N/A</v>
      </c>
      <c r="J171" s="51" t="e" cm="1">
        <f t="array" ref="J171">ManureManagement_Swine_Methane.VEERG_4_5_1_1__6_Stage2MethaneProduction(I$109,$G$124,J140,VLOOKUP($F171,$D$152:$E$159,2, FALSE),$G$127)</f>
        <v>#N/A</v>
      </c>
      <c r="K171" s="51" t="e" cm="1">
        <f t="array" ref="K171">ManureManagement_Swine_Methane.VEERG_4_5_1_1__6_Stage2MethaneProduction(J$109,$G$124,K140,VLOOKUP($F171,$D$152:$E$159,2, FALSE),$G$127)</f>
        <v>#N/A</v>
      </c>
      <c r="L171" s="51" t="e" cm="1">
        <f t="array" ref="L171">ManureManagement_Swine_Methane.VEERG_4_5_1_1__6_Stage2MethaneProduction(K$109,$G$124,L140,VLOOKUP($F171,$D$152:$E$159,2, FALSE),$G$127)</f>
        <v>#N/A</v>
      </c>
      <c r="M171" s="51" t="e" cm="1">
        <f t="array" ref="M171">ManureManagement_Swine_Methane.VEERG_4_5_1_1__6_Stage2MethaneProduction(L$109,$G$124,M140,VLOOKUP($F171,$D$152:$E$159,2, FALSE),$G$127)</f>
        <v>#N/A</v>
      </c>
      <c r="N171" s="2" t="str">
        <f t="shared" si="2"/>
        <v>kg CH4/head/day</v>
      </c>
    </row>
    <row r="172" spans="4:14" ht="20.100000000000001" customHeight="1" x14ac:dyDescent="0.25">
      <c r="D172" s="125"/>
      <c r="E172" s="56" t="str">
        <f>'[1]Input - MMS - Swine'!$E$19</f>
        <v>Drylot (feed pad)</v>
      </c>
      <c r="F172" s="56" t="str">
        <f>'[1]Input - MMS - Swine'!$D$89</f>
        <v>Anaerobic lagoon</v>
      </c>
      <c r="G172" s="51" t="e" cm="1">
        <f t="array" ref="G172">ManureManagement_Swine_Methane.VEERG_4_5_1_1__6_Stage2MethaneProduction(F$109,$G$124,G141,VLOOKUP($F172,$D$152:$E$159,2, FALSE),$G$127)</f>
        <v>#N/A</v>
      </c>
      <c r="H172" s="51" t="e" cm="1">
        <f t="array" ref="H172">ManureManagement_Swine_Methane.VEERG_4_5_1_1__6_Stage2MethaneProduction(G$109,$G$124,H141,VLOOKUP($F172,$D$152:$E$159,2, FALSE),$G$127)</f>
        <v>#N/A</v>
      </c>
      <c r="I172" s="51" t="e" cm="1">
        <f t="array" ref="I172">ManureManagement_Swine_Methane.VEERG_4_5_1_1__6_Stage2MethaneProduction(H$109,$G$124,I141,VLOOKUP($F172,$D$152:$E$159,2, FALSE),$G$127)</f>
        <v>#N/A</v>
      </c>
      <c r="J172" s="51" t="e" cm="1">
        <f t="array" ref="J172">ManureManagement_Swine_Methane.VEERG_4_5_1_1__6_Stage2MethaneProduction(I$109,$G$124,J141,VLOOKUP($F172,$D$152:$E$159,2, FALSE),$G$127)</f>
        <v>#N/A</v>
      </c>
      <c r="K172" s="51" t="e" cm="1">
        <f t="array" ref="K172">ManureManagement_Swine_Methane.VEERG_4_5_1_1__6_Stage2MethaneProduction(J$109,$G$124,K141,VLOOKUP($F172,$D$152:$E$159,2, FALSE),$G$127)</f>
        <v>#N/A</v>
      </c>
      <c r="L172" s="51" t="e" cm="1">
        <f t="array" ref="L172">ManureManagement_Swine_Methane.VEERG_4_5_1_1__6_Stage2MethaneProduction(K$109,$G$124,L141,VLOOKUP($F172,$D$152:$E$159,2, FALSE),$G$127)</f>
        <v>#N/A</v>
      </c>
      <c r="M172" s="51" t="e" cm="1">
        <f t="array" ref="M172">ManureManagement_Swine_Methane.VEERG_4_5_1_1__6_Stage2MethaneProduction(L$109,$G$124,M141,VLOOKUP($F172,$D$152:$E$159,2, FALSE),$G$127)</f>
        <v>#N/A</v>
      </c>
      <c r="N172" s="2" t="str">
        <f t="shared" si="2"/>
        <v>kg CH4/head/day</v>
      </c>
    </row>
    <row r="173" spans="4:14" ht="20.100000000000001" customHeight="1" x14ac:dyDescent="0.25">
      <c r="D173" s="56"/>
      <c r="E173" s="56" t="str">
        <f>'[1]Input - MMS - Swine'!$E$19</f>
        <v>Drylot (feed pad)</v>
      </c>
      <c r="F173" s="56" t="str">
        <f>'[1]Input - MMS - Swine'!$D$90</f>
        <v>Pit storage</v>
      </c>
      <c r="G173" s="51" t="e" cm="1">
        <f t="array" ref="G173">ManureManagement_Swine_Methane.VEERG_4_5_1_1__6_Stage2MethaneProduction(F$109,$G$124,G142,VLOOKUP($F173,$D$152:$E$159,2, FALSE),$G$127)</f>
        <v>#N/A</v>
      </c>
      <c r="H173" s="51" t="e" cm="1">
        <f t="array" ref="H173">ManureManagement_Swine_Methane.VEERG_4_5_1_1__6_Stage2MethaneProduction(G$109,$G$124,H142,VLOOKUP($F173,$D$152:$E$159,2, FALSE),$G$127)</f>
        <v>#N/A</v>
      </c>
      <c r="I173" s="51" t="e" cm="1">
        <f t="array" ref="I173">ManureManagement_Swine_Methane.VEERG_4_5_1_1__6_Stage2MethaneProduction(H$109,$G$124,I142,VLOOKUP($F173,$D$152:$E$159,2, FALSE),$G$127)</f>
        <v>#N/A</v>
      </c>
      <c r="J173" s="51" t="e" cm="1">
        <f t="array" ref="J173">ManureManagement_Swine_Methane.VEERG_4_5_1_1__6_Stage2MethaneProduction(I$109,$G$124,J142,VLOOKUP($F173,$D$152:$E$159,2, FALSE),$G$127)</f>
        <v>#N/A</v>
      </c>
      <c r="K173" s="51" t="e" cm="1">
        <f t="array" ref="K173">ManureManagement_Swine_Methane.VEERG_4_5_1_1__6_Stage2MethaneProduction(J$109,$G$124,K142,VLOOKUP($F173,$D$152:$E$159,2, FALSE),$G$127)</f>
        <v>#N/A</v>
      </c>
      <c r="L173" s="51" t="e" cm="1">
        <f t="array" ref="L173">ManureManagement_Swine_Methane.VEERG_4_5_1_1__6_Stage2MethaneProduction(K$109,$G$124,L142,VLOOKUP($F173,$D$152:$E$159,2, FALSE),$G$127)</f>
        <v>#N/A</v>
      </c>
      <c r="M173" s="51" t="e" cm="1">
        <f t="array" ref="M173">ManureManagement_Swine_Methane.VEERG_4_5_1_1__6_Stage2MethaneProduction(L$109,$G$124,M142,VLOOKUP($F173,$D$152:$E$159,2, FALSE),$G$127)</f>
        <v>#N/A</v>
      </c>
      <c r="N173" s="2" t="str">
        <f t="shared" si="2"/>
        <v>kg CH4/head/day</v>
      </c>
    </row>
    <row r="174" spans="4:14" ht="20.100000000000001" customHeight="1" x14ac:dyDescent="0.25">
      <c r="D174" s="56"/>
      <c r="E174" s="56" t="str">
        <f>'[1]Input - MMS - Swine'!$F$19</f>
        <v>Post-separation solid storage</v>
      </c>
      <c r="F174" s="56" t="str">
        <f>IF(E174="N/A", "N/A", '[1]Input - MMS - Swine'!$D$109)</f>
        <v>Digester / covered lagoons</v>
      </c>
      <c r="G174" s="51" t="e" cm="1">
        <f t="array" ref="G174">ManureManagement_Swine_Methane.VEERG_4_5_1_1__6_Stage2MethaneProduction(F$110,$G$124,G143,VLOOKUP($F174,$D$152:$E$159,2, FALSE),$G$127)</f>
        <v>#N/A</v>
      </c>
      <c r="H174" s="51" t="e" cm="1">
        <f t="array" ref="H174">ManureManagement_Swine_Methane.VEERG_4_5_1_1__6_Stage2MethaneProduction(G$110,$G$124,H143,VLOOKUP($F174,$D$152:$E$159,2, FALSE),$G$127)</f>
        <v>#N/A</v>
      </c>
      <c r="I174" s="51" t="e" cm="1">
        <f t="array" ref="I174">ManureManagement_Swine_Methane.VEERG_4_5_1_1__6_Stage2MethaneProduction(H$110,$G$124,I143,VLOOKUP($F174,$D$152:$E$159,2, FALSE),$G$127)</f>
        <v>#N/A</v>
      </c>
      <c r="J174" s="51" t="e" cm="1">
        <f t="array" ref="J174">ManureManagement_Swine_Methane.VEERG_4_5_1_1__6_Stage2MethaneProduction(I$110,$G$124,J143,VLOOKUP($F174,$D$152:$E$159,2, FALSE),$G$127)</f>
        <v>#N/A</v>
      </c>
      <c r="K174" s="51" t="e" cm="1">
        <f t="array" ref="K174">ManureManagement_Swine_Methane.VEERG_4_5_1_1__6_Stage2MethaneProduction(J$110,$G$124,K143,VLOOKUP($F174,$D$152:$E$159,2, FALSE),$G$127)</f>
        <v>#N/A</v>
      </c>
      <c r="L174" s="51" t="e" cm="1">
        <f t="array" ref="L174">ManureManagement_Swine_Methane.VEERG_4_5_1_1__6_Stage2MethaneProduction(K$110,$G$124,L143,VLOOKUP($F174,$D$152:$E$159,2, FALSE),$G$127)</f>
        <v>#N/A</v>
      </c>
      <c r="M174" s="51" t="e" cm="1">
        <f t="array" ref="M174">ManureManagement_Swine_Methane.VEERG_4_5_1_1__6_Stage2MethaneProduction(L$110,$G$124,M143,VLOOKUP($F174,$D$152:$E$159,2, FALSE),$G$127)</f>
        <v>#N/A</v>
      </c>
      <c r="N174" s="2" t="str">
        <f t="shared" si="2"/>
        <v>kg CH4/head/day</v>
      </c>
    </row>
    <row r="175" spans="4:14" ht="20.100000000000001" customHeight="1" x14ac:dyDescent="0.25">
      <c r="D175" s="56"/>
      <c r="E175" s="56" t="str">
        <f>'[1]Input - MMS - Swine'!$F$19</f>
        <v>Post-separation solid storage</v>
      </c>
      <c r="F175" s="56" t="str">
        <f>IF(E175="N/A", "N/A", '[1]Input - MMS - Swine'!$D$110)</f>
        <v>Deep litter</v>
      </c>
      <c r="G175" s="51" t="e" cm="1">
        <f t="array" ref="G175">ManureManagement_Swine_Methane.VEERG_4_5_1_1__6_Stage2MethaneProduction(F$110,$G$124,G144,VLOOKUP($F175,$D$152:$E$159,2, FALSE),$G$127)</f>
        <v>#N/A</v>
      </c>
      <c r="H175" s="51" t="e" cm="1">
        <f t="array" ref="H175">ManureManagement_Swine_Methane.VEERG_4_5_1_1__6_Stage2MethaneProduction(G$110,$G$124,H144,VLOOKUP($F175,$D$152:$E$159,2, FALSE),$G$127)</f>
        <v>#N/A</v>
      </c>
      <c r="I175" s="51" t="e" cm="1">
        <f t="array" ref="I175">ManureManagement_Swine_Methane.VEERG_4_5_1_1__6_Stage2MethaneProduction(H$110,$G$124,I144,VLOOKUP($F175,$D$152:$E$159,2, FALSE),$G$127)</f>
        <v>#N/A</v>
      </c>
      <c r="J175" s="51" t="e" cm="1">
        <f t="array" ref="J175">ManureManagement_Swine_Methane.VEERG_4_5_1_1__6_Stage2MethaneProduction(I$110,$G$124,J144,VLOOKUP($F175,$D$152:$E$159,2, FALSE),$G$127)</f>
        <v>#N/A</v>
      </c>
      <c r="K175" s="51" t="e" cm="1">
        <f t="array" ref="K175">ManureManagement_Swine_Methane.VEERG_4_5_1_1__6_Stage2MethaneProduction(J$110,$G$124,K144,VLOOKUP($F175,$D$152:$E$159,2, FALSE),$G$127)</f>
        <v>#N/A</v>
      </c>
      <c r="L175" s="51" t="e" cm="1">
        <f t="array" ref="L175">ManureManagement_Swine_Methane.VEERG_4_5_1_1__6_Stage2MethaneProduction(K$110,$G$124,L144,VLOOKUP($F175,$D$152:$E$159,2, FALSE),$G$127)</f>
        <v>#N/A</v>
      </c>
      <c r="M175" s="51" t="e" cm="1">
        <f t="array" ref="M175">ManureManagement_Swine_Methane.VEERG_4_5_1_1__6_Stage2MethaneProduction(L$110,$G$124,M144,VLOOKUP($F175,$D$152:$E$159,2, FALSE),$G$127)</f>
        <v>#N/A</v>
      </c>
      <c r="N175" s="2" t="str">
        <f t="shared" si="2"/>
        <v>kg CH4/head/day</v>
      </c>
    </row>
    <row r="176" spans="4:14" ht="20.100000000000001" customHeight="1" x14ac:dyDescent="0.25">
      <c r="D176" s="125"/>
      <c r="E176" s="56" t="str">
        <f>'[1]Input - MMS - Swine'!$F$19</f>
        <v>Post-separation solid storage</v>
      </c>
      <c r="F176" s="56" t="str">
        <f>IF(E176="N/A", "N/A", '[1]Input - MMS - Swine'!$D$111)</f>
        <v>Pit storage</v>
      </c>
      <c r="G176" s="51" t="e" cm="1">
        <f t="array" ref="G176">ManureManagement_Swine_Methane.VEERG_4_5_1_1__6_Stage2MethaneProduction(F$110,$G$124,G145,VLOOKUP($F176,$D$152:$E$159,2, FALSE),$G$127)</f>
        <v>#N/A</v>
      </c>
      <c r="H176" s="51" t="e" cm="1">
        <f t="array" ref="H176">ManureManagement_Swine_Methane.VEERG_4_5_1_1__6_Stage2MethaneProduction(G$110,$G$124,H145,VLOOKUP($F176,$D$152:$E$159,2, FALSE),$G$127)</f>
        <v>#N/A</v>
      </c>
      <c r="I176" s="51" t="e" cm="1">
        <f t="array" ref="I176">ManureManagement_Swine_Methane.VEERG_4_5_1_1__6_Stage2MethaneProduction(H$110,$G$124,I145,VLOOKUP($F176,$D$152:$E$159,2, FALSE),$G$127)</f>
        <v>#N/A</v>
      </c>
      <c r="J176" s="51" t="e" cm="1">
        <f t="array" ref="J176">ManureManagement_Swine_Methane.VEERG_4_5_1_1__6_Stage2MethaneProduction(I$110,$G$124,J145,VLOOKUP($F176,$D$152:$E$159,2, FALSE),$G$127)</f>
        <v>#N/A</v>
      </c>
      <c r="K176" s="51" t="e" cm="1">
        <f t="array" ref="K176">ManureManagement_Swine_Methane.VEERG_4_5_1_1__6_Stage2MethaneProduction(J$110,$G$124,K145,VLOOKUP($F176,$D$152:$E$159,2, FALSE),$G$127)</f>
        <v>#N/A</v>
      </c>
      <c r="L176" s="51" t="e" cm="1">
        <f t="array" ref="L176">ManureManagement_Swine_Methane.VEERG_4_5_1_1__6_Stage2MethaneProduction(K$110,$G$124,L145,VLOOKUP($F176,$D$152:$E$159,2, FALSE),$G$127)</f>
        <v>#N/A</v>
      </c>
      <c r="M176" s="51" t="e" cm="1">
        <f t="array" ref="M176">ManureManagement_Swine_Methane.VEERG_4_5_1_1__6_Stage2MethaneProduction(L$110,$G$124,M145,VLOOKUP($F176,$D$152:$E$159,2, FALSE),$G$127)</f>
        <v>#N/A</v>
      </c>
      <c r="N176" s="2" t="str">
        <f t="shared" si="2"/>
        <v>kg CH4/head/day</v>
      </c>
    </row>
    <row r="177" spans="3:15" ht="20.100000000000001" customHeight="1" x14ac:dyDescent="0.25"/>
    <row r="178" spans="3:15" ht="20.100000000000001" customHeight="1" x14ac:dyDescent="0.25"/>
    <row r="179" spans="3:15" ht="20.100000000000001" customHeight="1" x14ac:dyDescent="0.25"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</row>
    <row r="180" spans="3:15" ht="20.100000000000001" customHeight="1" x14ac:dyDescent="0.25">
      <c r="D180" s="6" t="str" cm="1">
        <f t="array" ref="D180">ManureManagement_Swine_Methane.VEERG_4_5_1_1__3_Stage1MethaneProduction_Title()</f>
        <v>Production of methane in treatment stage 1 MMS</v>
      </c>
    </row>
    <row r="181" spans="3:15" ht="20.100000000000001" customHeight="1" x14ac:dyDescent="0.25">
      <c r="D181" s="5" t="str" cm="1">
        <f t="array" ref="D181">ManureManagement_Swine_Methane.VEERG_4_5_1_1__3_Stage1MethaneProduction_Source()</f>
        <v>VEERG 2026: 4.5.1.1, Equation (3)</v>
      </c>
    </row>
    <row r="182" spans="3:15" ht="20.100000000000001" customHeight="1" x14ac:dyDescent="0.25">
      <c r="D182" s="13" t="s">
        <v>26</v>
      </c>
      <c r="E182" s="13" t="str" cm="1">
        <f t="array" aca="1" ref="E182" ca="1">Common_InputFunctions.Utility_DisplayFunctionName(F200)</f>
        <v>=IF</v>
      </c>
    </row>
    <row r="183" spans="3:15" ht="20.100000000000001" customHeight="1" x14ac:dyDescent="0.25"/>
    <row r="184" spans="3:15" ht="20.100000000000001" customHeight="1" x14ac:dyDescent="0.25">
      <c r="D184" s="6"/>
    </row>
    <row r="185" spans="3:15" ht="20.100000000000001" customHeight="1" x14ac:dyDescent="0.25"/>
    <row r="186" spans="3:15" ht="20.100000000000001" customHeight="1" x14ac:dyDescent="0.25">
      <c r="D186" s="52" t="s">
        <v>29</v>
      </c>
      <c r="E186" s="1" t="str" cm="1">
        <f t="array" ref="E186">ManureManagement_Swine_Methane.VEERG_4_5_1_1__3_Stage1MethaneProduction_Variable()</f>
        <v>MijmT1</v>
      </c>
    </row>
    <row r="187" spans="3:15" ht="20.100000000000001" customHeight="1" x14ac:dyDescent="0.25">
      <c r="D187" s="52" t="s">
        <v>19</v>
      </c>
      <c r="E187" s="53" t="str" cm="1">
        <f t="array" ref="E187">ManureManagement_Swine_Methane.VEERG_4_5_1_1__3_Stage1MethaneProduction_Unit()</f>
        <v>kg CH4/head/day</v>
      </c>
    </row>
    <row r="188" spans="3:15" ht="20.100000000000001" customHeight="1" x14ac:dyDescent="0.25"/>
    <row r="189" spans="3:15" ht="20.100000000000001" customHeight="1" x14ac:dyDescent="0.25">
      <c r="D189" s="56" t="str" cm="1">
        <f t="array" ref="D189:E193">ManureManagement_Swine_Methane.VEERG_4_5_1_1__3_Stage1MethaneProduction_Arguments()</f>
        <v>VSj</v>
      </c>
      <c r="E189" s="57" t="str">
        <v>volatile solid production from swine in each class : kg/head/day</v>
      </c>
      <c r="F189" s="58"/>
      <c r="G189" s="57" t="str">
        <f>"See " &amp; $D$87</f>
        <v>See Table_VS_j</v>
      </c>
      <c r="H189" s="58"/>
    </row>
    <row r="190" spans="3:15" ht="20.100000000000001" customHeight="1" x14ac:dyDescent="0.25">
      <c r="D190" s="56" t="str">
        <v>FVSjmT1</v>
      </c>
      <c r="E190" s="57" t="str">
        <v>fraction of volatile solids in each primary system : fraction</v>
      </c>
      <c r="F190" s="58"/>
      <c r="G190" s="57" t="str">
        <f>"See " &amp; $D$34 &amp; " and " &amp; $D$64</f>
        <v>See Table_FVS_j_m-1-7-9_T-1 and Table_FVS_j_m-4_T-1</v>
      </c>
      <c r="H190" s="58"/>
    </row>
    <row r="191" spans="3:15" ht="20.100000000000001" customHeight="1" x14ac:dyDescent="0.25">
      <c r="D191" s="56" t="str">
        <v>MCFim</v>
      </c>
      <c r="E191" s="57" t="str">
        <v>methane conversion factor for temperate zone and system : fraction</v>
      </c>
      <c r="F191" s="58"/>
      <c r="G191" s="57" t="str">
        <f>"See " &amp; $D$148</f>
        <v>See Table_MCF_i_m</v>
      </c>
      <c r="H191" s="58"/>
    </row>
    <row r="192" spans="3:15" ht="20.100000000000001" customHeight="1" x14ac:dyDescent="0.25">
      <c r="D192" s="56" t="str">
        <v>BO</v>
      </c>
      <c r="E192" s="57" t="str">
        <v>emissions potential : m3 CH4/kg VS</v>
      </c>
      <c r="F192" s="58"/>
      <c r="G192" s="57">
        <f>$S$21</f>
        <v>0</v>
      </c>
      <c r="H192" s="58"/>
    </row>
    <row r="193" spans="3:15" ht="20.100000000000001" customHeight="1" x14ac:dyDescent="0.25">
      <c r="D193" s="56" t="str">
        <v>rho</v>
      </c>
      <c r="E193" s="57" t="str">
        <v>density of methane : kg/m3</v>
      </c>
      <c r="F193" s="58"/>
      <c r="G193" s="57" t="e">
        <f>#REF!</f>
        <v>#REF!</v>
      </c>
      <c r="H193" s="58"/>
    </row>
    <row r="194" spans="3:15" ht="20.100000000000001" customHeight="1" x14ac:dyDescent="0.25"/>
    <row r="195" spans="3:15" ht="20.100000000000001" customHeight="1" x14ac:dyDescent="0.25"/>
    <row r="196" spans="3:15" ht="20.100000000000001" customHeight="1" x14ac:dyDescent="0.25">
      <c r="D196" s="121" t="s">
        <v>316</v>
      </c>
    </row>
    <row r="197" spans="3:15" ht="20.100000000000001" customHeight="1" x14ac:dyDescent="0.25">
      <c r="D197" s="122" t="s">
        <v>317</v>
      </c>
    </row>
    <row r="198" spans="3:15" ht="20.100000000000001" customHeight="1" x14ac:dyDescent="0.25">
      <c r="F198" s="50" t="s">
        <v>220</v>
      </c>
      <c r="G198" s="50" t="s">
        <v>221</v>
      </c>
      <c r="H198" s="50" t="s">
        <v>222</v>
      </c>
      <c r="I198" s="50" t="s">
        <v>223</v>
      </c>
      <c r="J198" s="50" t="s">
        <v>224</v>
      </c>
      <c r="K198" s="50" t="s">
        <v>225</v>
      </c>
      <c r="L198" s="50" t="s">
        <v>226</v>
      </c>
    </row>
    <row r="199" spans="3:15" ht="20.100000000000001" customHeight="1" x14ac:dyDescent="0.25">
      <c r="D199" s="50" t="s">
        <v>113</v>
      </c>
      <c r="E199" s="50" t="s">
        <v>251</v>
      </c>
      <c r="F199" s="50" t="s">
        <v>318</v>
      </c>
      <c r="G199" s="50" t="s">
        <v>319</v>
      </c>
      <c r="H199" s="50" t="s">
        <v>320</v>
      </c>
      <c r="I199" s="50" t="s">
        <v>321</v>
      </c>
      <c r="J199" s="50" t="s">
        <v>321</v>
      </c>
      <c r="K199" s="50" t="s">
        <v>321</v>
      </c>
      <c r="L199" s="50" t="s">
        <v>321</v>
      </c>
    </row>
    <row r="200" spans="3:15" ht="20.100000000000001" customHeight="1" x14ac:dyDescent="0.25">
      <c r="D200" s="56" t="str">
        <f>'[1]Input - MMS - Swine'!$D$18</f>
        <v>Conventional housing</v>
      </c>
      <c r="E200" s="56" t="str">
        <f>'[1]Input - MMS - Swine'!$E$18</f>
        <v>Solid storage</v>
      </c>
      <c r="F200" s="51" t="e" cm="1">
        <f t="array" ref="F200">IF('[1]Input - MMS - Swine'!$H$25="Solid storage", ManureManagement_Swine_Methane.VEERG_4_5_1_1__3_Stage1MethaneProduction(D$91,F68,VLOOKUP($E200, $D$152:$E$158, 2, FALSE),$G$192,$G$193), ManureManagement_Swine_Methane.VEERG_4_5_1_1__3_Stage1MethaneProduction(D$91,F38,VLOOKUP($E200, $D$152:$E$158, 2, FALSE),$G$192,$G$193))</f>
        <v>#N/A</v>
      </c>
      <c r="G200" s="51" t="e" cm="1">
        <f t="array" ref="G200">IF('[1]Input - MMS - Swine'!$H$25="Solid storage", ManureManagement_Swine_Methane.VEERG_4_5_1_1__3_Stage1MethaneProduction(E$91,G68,VLOOKUP($E200, $D$152:$E$158, 2, FALSE),$G$192,$G$193), ManureManagement_Swine_Methane.VEERG_4_5_1_1__3_Stage1MethaneProduction(E$91,G38,VLOOKUP($E200, $D$152:$E$158, 2, FALSE),$G$192,$G$193))</f>
        <v>#N/A</v>
      </c>
      <c r="H200" s="51" t="e" cm="1">
        <f t="array" ref="H200">IF('[1]Input - MMS - Swine'!$H$25="Solid storage", ManureManagement_Swine_Methane.VEERG_4_5_1_1__3_Stage1MethaneProduction(F$91,H68,VLOOKUP($E200, $D$152:$E$158, 2, FALSE),$G$192,$G$193), ManureManagement_Swine_Methane.VEERG_4_5_1_1__3_Stage1MethaneProduction(F$91,H38,VLOOKUP($E200, $D$152:$E$158, 2, FALSE),$G$192,$G$193))</f>
        <v>#N/A</v>
      </c>
      <c r="I200" s="51" t="e" cm="1">
        <f t="array" ref="I200">IF('[1]Input - MMS - Swine'!$H$25="Solid storage", ManureManagement_Swine_Methane.VEERG_4_5_1_1__3_Stage1MethaneProduction(G$91,I68,VLOOKUP($E200, $D$152:$E$158, 2, FALSE),$G$192,$G$193), ManureManagement_Swine_Methane.VEERG_4_5_1_1__3_Stage1MethaneProduction(G$91,I38,VLOOKUP($E200, $D$152:$E$158, 2, FALSE),$G$192,$G$193))</f>
        <v>#N/A</v>
      </c>
      <c r="J200" s="51" t="e" cm="1">
        <f t="array" ref="J200">IF('[1]Input - MMS - Swine'!$H$25="Solid storage", ManureManagement_Swine_Methane.VEERG_4_5_1_1__3_Stage1MethaneProduction(H$91,J68,VLOOKUP($E200, $D$152:$E$158, 2, FALSE),$G$192,$G$193), ManureManagement_Swine_Methane.VEERG_4_5_1_1__3_Stage1MethaneProduction(H$91,J38,VLOOKUP($E200, $D$152:$E$158, 2, FALSE),$G$192,$G$193))</f>
        <v>#N/A</v>
      </c>
      <c r="K200" s="51" t="e" cm="1">
        <f t="array" ref="K200">IF('[1]Input - MMS - Swine'!$H$25="Solid storage", ManureManagement_Swine_Methane.VEERG_4_5_1_1__3_Stage1MethaneProduction(I$91,K68,VLOOKUP($E200, $D$152:$E$158, 2, FALSE),$G$192,$G$193), ManureManagement_Swine_Methane.VEERG_4_5_1_1__3_Stage1MethaneProduction(I$91,K38,VLOOKUP($E200, $D$152:$E$158, 2, FALSE),$G$192,$G$193))</f>
        <v>#N/A</v>
      </c>
      <c r="L200" s="51" t="e" cm="1">
        <f t="array" ref="L200">IF('[1]Input - MMS - Swine'!$H$25="Solid storage", ManureManagement_Swine_Methane.VEERG_4_5_1_1__3_Stage1MethaneProduction(J$91,L68,VLOOKUP($E200, $D$152:$E$158, 2, FALSE),$G$192,$G$193), ManureManagement_Swine_Methane.VEERG_4_5_1_1__3_Stage1MethaneProduction(J$91,L38,VLOOKUP($E200, $D$152:$E$158, 2, FALSE),$G$192,$G$193))</f>
        <v>#N/A</v>
      </c>
      <c r="M200" s="2" t="str">
        <f>$E$187</f>
        <v>kg CH4/head/day</v>
      </c>
      <c r="N200" s="2"/>
    </row>
    <row r="201" spans="3:15" ht="20.100000000000001" customHeight="1" x14ac:dyDescent="0.25">
      <c r="D201" s="56" t="str">
        <f>'[1]Input - MMS - Swine'!$D$18</f>
        <v>Conventional housing</v>
      </c>
      <c r="E201" s="56" t="str">
        <f>'[1]Input - MMS - Swine'!$F$18</f>
        <v>N/A</v>
      </c>
      <c r="F201" s="51" t="str" cm="1">
        <f t="array" ref="F201">IF('[1]Input - MMS - Swine'!$H$25="Solid storage", "N/A", ManureManagement_Swine_Methane.VEERG_4_5_1_1__3_Stage1MethaneProduction(D$91,F68,VLOOKUP(SUBSTITUTE($E201, "Post-separation ", ""), $D$152:$E$158, 2, FALSE),$G$192,$G$193))</f>
        <v>N/A</v>
      </c>
      <c r="G201" s="51" t="str" cm="1">
        <f t="array" ref="G201">IF('[1]Input - MMS - Swine'!$H$25="Solid storage", "N/A", ManureManagement_Swine_Methane.VEERG_4_5_1_1__3_Stage1MethaneProduction(E$91,G68,VLOOKUP(SUBSTITUTE($E201, "Post-separation ", ""), $D$152:$E$158, 2, FALSE),$G$192,$G$193))</f>
        <v>N/A</v>
      </c>
      <c r="H201" s="51" t="str" cm="1">
        <f t="array" ref="H201">IF('[1]Input - MMS - Swine'!$H$25="Solid storage", "N/A", ManureManagement_Swine_Methane.VEERG_4_5_1_1__3_Stage1MethaneProduction(F$91,H68,VLOOKUP(SUBSTITUTE($E201, "Post-separation ", ""), $D$152:$E$158, 2, FALSE),$G$192,$G$193))</f>
        <v>N/A</v>
      </c>
      <c r="I201" s="51" t="str" cm="1">
        <f t="array" ref="I201">IF('[1]Input - MMS - Swine'!$H$25="Solid storage", "N/A", ManureManagement_Swine_Methane.VEERG_4_5_1_1__3_Stage1MethaneProduction(G$91,I68,VLOOKUP(SUBSTITUTE($E201, "Post-separation ", ""), $D$152:$E$158, 2, FALSE),$G$192,$G$193))</f>
        <v>N/A</v>
      </c>
      <c r="J201" s="51" t="str" cm="1">
        <f t="array" ref="J201">IF('[1]Input - MMS - Swine'!$H$25="Solid storage", "N/A", ManureManagement_Swine_Methane.VEERG_4_5_1_1__3_Stage1MethaneProduction(H$91,J68,VLOOKUP(SUBSTITUTE($E201, "Post-separation ", ""), $D$152:$E$158, 2, FALSE),$G$192,$G$193))</f>
        <v>N/A</v>
      </c>
      <c r="K201" s="51" t="str" cm="1">
        <f t="array" ref="K201">IF('[1]Input - MMS - Swine'!$H$25="Solid storage", "N/A", ManureManagement_Swine_Methane.VEERG_4_5_1_1__3_Stage1MethaneProduction(I$91,K68,VLOOKUP(SUBSTITUTE($E201, "Post-separation ", ""), $D$152:$E$158, 2, FALSE),$G$192,$G$193))</f>
        <v>N/A</v>
      </c>
      <c r="L201" s="51" t="str" cm="1">
        <f t="array" ref="L201">IF('[1]Input - MMS - Swine'!$H$25="Solid storage", "N/A", ManureManagement_Swine_Methane.VEERG_4_5_1_1__3_Stage1MethaneProduction(J$91,L68,VLOOKUP(SUBSTITUTE($E201, "Post-separation ", ""), $D$152:$E$158, 2, FALSE),$G$192,$G$193))</f>
        <v>N/A</v>
      </c>
      <c r="M201" s="2" t="str">
        <f>$E$187</f>
        <v>kg CH4/head/day</v>
      </c>
      <c r="N201" s="2"/>
    </row>
    <row r="202" spans="3:15" ht="20.100000000000001" customHeight="1" x14ac:dyDescent="0.25">
      <c r="D202" s="56" t="str">
        <f>'[1]Input - MMS - Swine'!$D$19</f>
        <v>Deep litter housing</v>
      </c>
      <c r="E202" s="56" t="str">
        <f>'[1]Input - MMS - Swine'!$E$19</f>
        <v>Drylot (feed pad)</v>
      </c>
      <c r="F202" s="51" t="e" cm="1">
        <f t="array" ref="F202">IF('[1]Input - MMS - Swine'!$H$77="Solid storage", ManureManagement_Swine_Methane.VEERG_4_5_1_1__3_Stage1MethaneProduction(D$91,F69,VLOOKUP($E202, $D$152:$E$158, 2, FALSE),$G$192,$G$193), ManureManagement_Swine_Methane.VEERG_4_5_1_1__3_Stage1MethaneProduction(D$91,F39,VLOOKUP($E202, $D$152:$E$158, 2, FALSE),$G$192,$G$193))</f>
        <v>#N/A</v>
      </c>
      <c r="G202" s="51" t="e" cm="1">
        <f t="array" ref="G202">IF('[1]Input - MMS - Swine'!$H$77="Solid storage", ManureManagement_Swine_Methane.VEERG_4_5_1_1__3_Stage1MethaneProduction(E$91,G69,VLOOKUP($E202, $D$152:$E$158, 2, FALSE),$G$192,$G$193), ManureManagement_Swine_Methane.VEERG_4_5_1_1__3_Stage1MethaneProduction(E$91,G39,VLOOKUP($E202, $D$152:$E$158, 2, FALSE),$G$192,$G$193))</f>
        <v>#N/A</v>
      </c>
      <c r="H202" s="51" t="e" cm="1">
        <f t="array" ref="H202">IF('[1]Input - MMS - Swine'!$H$77="Solid storage", ManureManagement_Swine_Methane.VEERG_4_5_1_1__3_Stage1MethaneProduction(F$91,H69,VLOOKUP($E202, $D$152:$E$158, 2, FALSE),$G$192,$G$193), ManureManagement_Swine_Methane.VEERG_4_5_1_1__3_Stage1MethaneProduction(F$91,H39,VLOOKUP($E202, $D$152:$E$158, 2, FALSE),$G$192,$G$193))</f>
        <v>#N/A</v>
      </c>
      <c r="I202" s="51" t="e" cm="1">
        <f t="array" ref="I202">IF('[1]Input - MMS - Swine'!$H$77="Solid storage", ManureManagement_Swine_Methane.VEERG_4_5_1_1__3_Stage1MethaneProduction(G$91,I69,VLOOKUP($E202, $D$152:$E$158, 2, FALSE),$G$192,$G$193), ManureManagement_Swine_Methane.VEERG_4_5_1_1__3_Stage1MethaneProduction(G$91,I39,VLOOKUP($E202, $D$152:$E$158, 2, FALSE),$G$192,$G$193))</f>
        <v>#N/A</v>
      </c>
      <c r="J202" s="51" t="e" cm="1">
        <f t="array" ref="J202">IF('[1]Input - MMS - Swine'!$H$77="Solid storage", ManureManagement_Swine_Methane.VEERG_4_5_1_1__3_Stage1MethaneProduction(H$91,J69,VLOOKUP($E202, $D$152:$E$158, 2, FALSE),$G$192,$G$193), ManureManagement_Swine_Methane.VEERG_4_5_1_1__3_Stage1MethaneProduction(H$91,J39,VLOOKUP($E202, $D$152:$E$158, 2, FALSE),$G$192,$G$193))</f>
        <v>#N/A</v>
      </c>
      <c r="K202" s="51" t="e" cm="1">
        <f t="array" ref="K202">IF('[1]Input - MMS - Swine'!$H$77="Solid storage", ManureManagement_Swine_Methane.VEERG_4_5_1_1__3_Stage1MethaneProduction(I$91,K69,VLOOKUP($E202, $D$152:$E$158, 2, FALSE),$G$192,$G$193), ManureManagement_Swine_Methane.VEERG_4_5_1_1__3_Stage1MethaneProduction(I$91,K39,VLOOKUP($E202, $D$152:$E$158, 2, FALSE),$G$192,$G$193))</f>
        <v>#N/A</v>
      </c>
      <c r="L202" s="51" t="e" cm="1">
        <f t="array" ref="L202">IF('[1]Input - MMS - Swine'!$H$77="Solid storage", ManureManagement_Swine_Methane.VEERG_4_5_1_1__3_Stage1MethaneProduction(J$91,L69,VLOOKUP($E202, $D$152:$E$158, 2, FALSE),$G$192,$G$193), ManureManagement_Swine_Methane.VEERG_4_5_1_1__3_Stage1MethaneProduction(J$91,L39,VLOOKUP($E202, $D$152:$E$158, 2, FALSE),$G$192,$G$193))</f>
        <v>#N/A</v>
      </c>
      <c r="M202" s="2" t="str">
        <f>$E$187</f>
        <v>kg CH4/head/day</v>
      </c>
      <c r="N202" s="2"/>
    </row>
    <row r="203" spans="3:15" ht="20.100000000000001" customHeight="1" x14ac:dyDescent="0.25">
      <c r="D203" s="56" t="str">
        <f>'[1]Input - MMS - Swine'!$D$19</f>
        <v>Deep litter housing</v>
      </c>
      <c r="E203" s="56" t="str">
        <f>'[1]Input - MMS - Swine'!$F$19</f>
        <v>Post-separation solid storage</v>
      </c>
      <c r="F203" s="51" t="e" cm="1">
        <f t="array" ref="F203">IF('[1]Input - MMS - Swine'!$H$77="Solid storage", "N/A", ManureManagement_Swine_Methane.VEERG_4_5_1_1__3_Stage1MethaneProduction(D$91,F69,VLOOKUP(SUBSTITUTE($E203, "Post-separation ", ""), $D$152:$E$158, 2, FALSE),$G$192,$G$193))</f>
        <v>#N/A</v>
      </c>
      <c r="G203" s="51" t="e" cm="1">
        <f t="array" ref="G203">IF('[1]Input - MMS - Swine'!$H$77="Solid storage", "N/A", ManureManagement_Swine_Methane.VEERG_4_5_1_1__3_Stage1MethaneProduction(E$91,G69,VLOOKUP(SUBSTITUTE($E203, "Post-separation ", ""), $D$152:$E$158, 2, FALSE),$G$192,$G$193))</f>
        <v>#N/A</v>
      </c>
      <c r="H203" s="51" t="e" cm="1">
        <f t="array" ref="H203">IF('[1]Input - MMS - Swine'!$H$77="Solid storage", "N/A", ManureManagement_Swine_Methane.VEERG_4_5_1_1__3_Stage1MethaneProduction(F$91,H69,VLOOKUP(SUBSTITUTE($E203, "Post-separation ", ""), $D$152:$E$158, 2, FALSE),$G$192,$G$193))</f>
        <v>#N/A</v>
      </c>
      <c r="I203" s="51" t="e" cm="1">
        <f t="array" ref="I203">IF('[1]Input - MMS - Swine'!$H$77="Solid storage", "N/A", ManureManagement_Swine_Methane.VEERG_4_5_1_1__3_Stage1MethaneProduction(G$91,I69,VLOOKUP(SUBSTITUTE($E203, "Post-separation ", ""), $D$152:$E$158, 2, FALSE),$G$192,$G$193))</f>
        <v>#N/A</v>
      </c>
      <c r="J203" s="51" t="e" cm="1">
        <f t="array" ref="J203">IF('[1]Input - MMS - Swine'!$H$77="Solid storage", "N/A", ManureManagement_Swine_Methane.VEERG_4_5_1_1__3_Stage1MethaneProduction(H$91,J69,VLOOKUP(SUBSTITUTE($E203, "Post-separation ", ""), $D$152:$E$158, 2, FALSE),$G$192,$G$193))</f>
        <v>#N/A</v>
      </c>
      <c r="K203" s="51" t="e" cm="1">
        <f t="array" ref="K203">IF('[1]Input - MMS - Swine'!$H$77="Solid storage", "N/A", ManureManagement_Swine_Methane.VEERG_4_5_1_1__3_Stage1MethaneProduction(I$91,K69,VLOOKUP(SUBSTITUTE($E203, "Post-separation ", ""), $D$152:$E$158, 2, FALSE),$G$192,$G$193))</f>
        <v>#N/A</v>
      </c>
      <c r="L203" s="51" t="e" cm="1">
        <f t="array" ref="L203">IF('[1]Input - MMS - Swine'!$H$77="Solid storage", "N/A", ManureManagement_Swine_Methane.VEERG_4_5_1_1__3_Stage1MethaneProduction(J$91,L69,VLOOKUP(SUBSTITUTE($E203, "Post-separation ", ""), $D$152:$E$158, 2, FALSE),$G$192,$G$193))</f>
        <v>#N/A</v>
      </c>
      <c r="M203" s="2" t="str">
        <f>$E$187</f>
        <v>kg CH4/head/day</v>
      </c>
      <c r="N203" s="2"/>
    </row>
    <row r="204" spans="3:15" ht="20.100000000000001" customHeight="1" x14ac:dyDescent="0.25">
      <c r="N204" s="2"/>
    </row>
    <row r="205" spans="3:15" ht="20.100000000000001" customHeight="1" x14ac:dyDescent="0.25">
      <c r="N205" s="2"/>
    </row>
    <row r="206" spans="3:15" ht="20.100000000000001" customHeight="1" x14ac:dyDescent="0.25"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</row>
    <row r="207" spans="3:15" ht="20.100000000000001" customHeight="1" x14ac:dyDescent="0.25">
      <c r="D207" s="6" t="str" cm="1">
        <f t="array" ref="D207">ManureManagement_Swine_Methane.VEERG_4_5_1_1__2_MethaneProductionPerClass_Title()</f>
        <v>Methane production from the manure of each class of swine</v>
      </c>
    </row>
    <row r="208" spans="3:15" ht="20.100000000000001" customHeight="1" x14ac:dyDescent="0.25">
      <c r="D208" s="5" t="str" cm="1">
        <f t="array" ref="D208">ManureManagement_Swine_Methane.VEERG_4_5_1_1__2_MethaneProductionPerClass_Source()</f>
        <v>VEERG 2026: 4.5.1.1, Equation (2)</v>
      </c>
    </row>
    <row r="209" spans="4:11" ht="20.100000000000001" customHeight="1" x14ac:dyDescent="0.25">
      <c r="D209" s="54" t="str" cm="1">
        <f t="array" ref="D209">ManureManagement_Swine_Methane.VEERG_4_5_1_1__2_MethaneProductionPerClass_Variation()</f>
        <v>VARIATION ON SOURCE: Split variable Mjm into MjmT1 and MjmT2 for stage 1 and 2 MMS.</v>
      </c>
    </row>
    <row r="210" spans="4:11" ht="20.100000000000001" customHeight="1" x14ac:dyDescent="0.25">
      <c r="D210" s="13" t="s">
        <v>26</v>
      </c>
      <c r="E210" s="13" t="str" cm="1">
        <f t="array" aca="1" ref="E210" ca="1">Common_InputFunctions.Utility_DisplayFunctionName(D223)</f>
        <v>=ManureManagement_Swine_Methane.VEERG_4_5_1_1__2_MethaneProductionPerClassVariation</v>
      </c>
    </row>
    <row r="211" spans="4:11" ht="20.100000000000001" customHeight="1" x14ac:dyDescent="0.25"/>
    <row r="212" spans="4:11" ht="20.100000000000001" customHeight="1" x14ac:dyDescent="0.25">
      <c r="E212" s="13"/>
    </row>
    <row r="213" spans="4:11" ht="20.100000000000001" customHeight="1" x14ac:dyDescent="0.25">
      <c r="D213" s="52" t="s">
        <v>29</v>
      </c>
      <c r="E213" s="1" t="str" cm="1">
        <f t="array" ref="E213">ManureManagement_Swine_Methane.VEERG_4_5_1_1__2_MethaneProductionPerClass_Variable()</f>
        <v>Mmj</v>
      </c>
    </row>
    <row r="214" spans="4:11" ht="20.100000000000001" customHeight="1" x14ac:dyDescent="0.25">
      <c r="D214" s="52" t="s">
        <v>19</v>
      </c>
      <c r="E214" s="53" t="str" cm="1">
        <f t="array" ref="E214">ManureManagement_Swine_Methane.VEERG_4_5_1_1__2_MethaneProductionPerClass_Unit()</f>
        <v>kg CH4/head/day</v>
      </c>
    </row>
    <row r="215" spans="4:11" ht="20.100000000000001" customHeight="1" x14ac:dyDescent="0.25"/>
    <row r="216" spans="4:11" ht="20.100000000000001" customHeight="1" x14ac:dyDescent="0.25">
      <c r="D216" s="56" t="str" cm="1">
        <f t="array" ref="D216:E216">ManureManagement_Swine_Methane.VEERG_4_5_1_1__2_MethaneProductionPerClass_Arguments()</f>
        <v>MjmT</v>
      </c>
      <c r="E216" s="57" t="str">
        <v>methane production from manure per class, MMS, and treatment stage : kg CH4/head/day</v>
      </c>
      <c r="F216" s="99"/>
      <c r="G216" s="123"/>
      <c r="H216" s="51" t="s">
        <v>322</v>
      </c>
    </row>
    <row r="217" spans="4:11" ht="20.100000000000001" customHeight="1" x14ac:dyDescent="0.25"/>
    <row r="218" spans="4:11" ht="20.100000000000001" customHeight="1" x14ac:dyDescent="0.25">
      <c r="D218" s="121" t="s">
        <v>323</v>
      </c>
    </row>
    <row r="219" spans="4:11" ht="20.100000000000001" customHeight="1" x14ac:dyDescent="0.25">
      <c r="D219" s="122" t="s">
        <v>324</v>
      </c>
    </row>
    <row r="220" spans="4:11" ht="20.100000000000001" customHeight="1" x14ac:dyDescent="0.25"/>
    <row r="221" spans="4:11" ht="20.100000000000001" customHeight="1" x14ac:dyDescent="0.25">
      <c r="D221" s="50" t="s">
        <v>220</v>
      </c>
      <c r="E221" s="50" t="s">
        <v>221</v>
      </c>
      <c r="F221" s="50" t="s">
        <v>222</v>
      </c>
      <c r="G221" s="50" t="s">
        <v>223</v>
      </c>
      <c r="H221" s="50" t="s">
        <v>224</v>
      </c>
      <c r="I221" s="50" t="s">
        <v>225</v>
      </c>
      <c r="J221" s="50" t="s">
        <v>226</v>
      </c>
    </row>
    <row r="222" spans="4:11" ht="20.100000000000001" customHeight="1" x14ac:dyDescent="0.25">
      <c r="D222" s="50" t="s">
        <v>325</v>
      </c>
      <c r="E222" s="50" t="s">
        <v>326</v>
      </c>
      <c r="F222" s="50" t="s">
        <v>327</v>
      </c>
      <c r="G222" s="50" t="s">
        <v>328</v>
      </c>
      <c r="H222" s="50" t="s">
        <v>328</v>
      </c>
      <c r="I222" s="50" t="s">
        <v>328</v>
      </c>
      <c r="J222" s="50" t="s">
        <v>328</v>
      </c>
    </row>
    <row r="223" spans="4:11" ht="20.100000000000001" customHeight="1" x14ac:dyDescent="0.25">
      <c r="D223" s="51" t="e" cm="1">
        <f t="array" ref="D223">ManureManagement_Swine_Methane.VEERG_4_5_1_1__2_MethaneProductionPerClassVariation(F200:F203,G165:G176)</f>
        <v>#N/A</v>
      </c>
      <c r="E223" s="51" t="e" cm="1">
        <f t="array" ref="E223">ManureManagement_Swine_Methane.VEERG_4_5_1_1__2_MethaneProductionPerClassVariation(G200:G203,H165:H176)</f>
        <v>#N/A</v>
      </c>
      <c r="F223" s="51" t="e" cm="1">
        <f t="array" ref="F223">ManureManagement_Swine_Methane.VEERG_4_5_1_1__2_MethaneProductionPerClassVariation(H200:H203,I165:I176)</f>
        <v>#N/A</v>
      </c>
      <c r="G223" s="51" t="e" cm="1">
        <f t="array" ref="G223">ManureManagement_Swine_Methane.VEERG_4_5_1_1__2_MethaneProductionPerClassVariation(I200:I203,J165:J176)</f>
        <v>#N/A</v>
      </c>
      <c r="H223" s="51" t="e" cm="1">
        <f t="array" ref="H223">ManureManagement_Swine_Methane.VEERG_4_5_1_1__2_MethaneProductionPerClassVariation(J200:J203,K165:K176)</f>
        <v>#N/A</v>
      </c>
      <c r="I223" s="51" t="e" cm="1">
        <f t="array" ref="I223">ManureManagement_Swine_Methane.VEERG_4_5_1_1__2_MethaneProductionPerClassVariation(K200:K203,L165:L176)</f>
        <v>#N/A</v>
      </c>
      <c r="J223" s="51" t="e" cm="1">
        <f t="array" ref="J223">ManureManagement_Swine_Methane.VEERG_4_5_1_1__2_MethaneProductionPerClassVariation(L200:L203,M165:M176)</f>
        <v>#N/A</v>
      </c>
      <c r="K223" s="2" t="str">
        <f>E214</f>
        <v>kg CH4/head/day</v>
      </c>
    </row>
    <row r="224" spans="4:11" ht="20.100000000000001" customHeight="1" x14ac:dyDescent="0.25"/>
    <row r="225" spans="3:15" ht="20.100000000000001" customHeight="1" x14ac:dyDescent="0.25"/>
    <row r="226" spans="3:15" ht="20.100000000000001" customHeight="1" x14ac:dyDescent="0.25"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</row>
    <row r="227" spans="3:15" ht="20.100000000000001" customHeight="1" x14ac:dyDescent="0.25">
      <c r="D227" s="6" t="str" cm="1">
        <f t="array" ref="D227">ManureManagement_Swine_Methane.VEERG_4_5_1_1__1_TotalAnnualMethaneEmissions_Title()</f>
        <v>Total annual methane emissions from manure management</v>
      </c>
    </row>
    <row r="228" spans="3:15" ht="20.100000000000001" customHeight="1" x14ac:dyDescent="0.25">
      <c r="D228" s="5" t="str" cm="1">
        <f t="array" ref="D228">ManureManagement_Swine_Methane.VEERG_4_5_1_1__1_TotalAnnualMethaneEmissions_Source()</f>
        <v>VEERG 2026: 4.5.1.1, Equation (1)</v>
      </c>
    </row>
    <row r="229" spans="3:15" ht="20.100000000000001" customHeight="1" x14ac:dyDescent="0.25">
      <c r="D229" s="13" t="s">
        <v>26</v>
      </c>
      <c r="E229" s="13" t="str" cm="1">
        <f t="array" aca="1" ref="E229" ca="1">Common_InputFunctions.Utility_DisplayFunctionName(E278)</f>
        <v>=ManureManagement_Swine_Methane.VEERG_4_5_1_1__1_TotalAnnualMethaneEmissions</v>
      </c>
    </row>
    <row r="230" spans="3:15" ht="20.100000000000001" customHeight="1" x14ac:dyDescent="0.25"/>
    <row r="231" spans="3:15" ht="20.100000000000001" customHeight="1" x14ac:dyDescent="0.25">
      <c r="D231" s="6"/>
    </row>
    <row r="232" spans="3:15" ht="20.100000000000001" customHeight="1" x14ac:dyDescent="0.25"/>
    <row r="233" spans="3:15" ht="20.100000000000001" customHeight="1" x14ac:dyDescent="0.25">
      <c r="D233" s="52" t="s">
        <v>29</v>
      </c>
      <c r="E233" s="1" t="str" cm="1">
        <f t="array" ref="E233">ManureManagement_Swine_Methane.VEERG_4_5_1_1__1_TotalAnnualMethaneEmissions_Variable()</f>
        <v>ECH4</v>
      </c>
    </row>
    <row r="234" spans="3:15" ht="20.100000000000001" customHeight="1" x14ac:dyDescent="0.25">
      <c r="D234" s="52" t="s">
        <v>19</v>
      </c>
      <c r="E234" s="53" t="str" cm="1">
        <f t="array" ref="E234">ManureManagement_Swine_Methane.VEERG_4_5_1_1__1_TotalAnnualMethaneEmissions_Unit()</f>
        <v>t CH4</v>
      </c>
    </row>
    <row r="235" spans="3:15" ht="20.100000000000001" customHeight="1" x14ac:dyDescent="0.25"/>
    <row r="236" spans="3:15" ht="20.100000000000001" customHeight="1" x14ac:dyDescent="0.25">
      <c r="D236" s="56" t="str" cm="1">
        <f t="array" ref="D236:E238">ManureManagement_Swine_Methane.VEERG_4_5_1_1__1_TotalAnnualMethaneEmissions_Arguments()</f>
        <v>Dj</v>
      </c>
      <c r="E236" s="57" t="str">
        <v>length of stay of each class of swine : days</v>
      </c>
      <c r="F236" s="58"/>
      <c r="G236" s="56" t="str">
        <f>"See " &amp; D240</f>
        <v>See Table_D_j</v>
      </c>
    </row>
    <row r="237" spans="3:15" ht="20.100000000000001" customHeight="1" x14ac:dyDescent="0.25">
      <c r="D237" s="56" t="str">
        <v>Mmj</v>
      </c>
      <c r="E237" s="57" t="str">
        <v>methane production from manure in each swine class : kg CH4/head/day</v>
      </c>
      <c r="F237" s="58"/>
      <c r="G237" s="56" t="str">
        <f>"See " &amp; D218</f>
        <v>See Table_M_m_j</v>
      </c>
    </row>
    <row r="238" spans="3:15" ht="20.100000000000001" customHeight="1" x14ac:dyDescent="0.25">
      <c r="D238" s="56" t="str">
        <v>Nj</v>
      </c>
      <c r="E238" s="57" t="str">
        <v>numbers of swine in each class : head</v>
      </c>
      <c r="F238" s="58"/>
      <c r="G238" s="56" t="str">
        <f>"See " &amp; D257</f>
        <v>See Table_N_j</v>
      </c>
    </row>
    <row r="239" spans="3:15" ht="20.100000000000001" customHeight="1" x14ac:dyDescent="0.25"/>
    <row r="240" spans="3:15" ht="20.100000000000001" customHeight="1" x14ac:dyDescent="0.25">
      <c r="D240" s="121" t="s">
        <v>329</v>
      </c>
    </row>
    <row r="241" spans="4:12" ht="20.100000000000001" customHeight="1" x14ac:dyDescent="0.25">
      <c r="D241" s="122" t="s">
        <v>330</v>
      </c>
    </row>
    <row r="242" spans="4:12" ht="20.100000000000001" customHeight="1" x14ac:dyDescent="0.25">
      <c r="E242" s="50" t="s">
        <v>220</v>
      </c>
      <c r="F242" s="50" t="s">
        <v>221</v>
      </c>
      <c r="G242" s="50" t="s">
        <v>222</v>
      </c>
      <c r="H242" s="50" t="s">
        <v>223</v>
      </c>
      <c r="I242" s="50" t="s">
        <v>224</v>
      </c>
      <c r="J242" s="50" t="s">
        <v>225</v>
      </c>
      <c r="K242" s="50" t="s">
        <v>226</v>
      </c>
    </row>
    <row r="243" spans="4:12" ht="20.100000000000001" customHeight="1" x14ac:dyDescent="0.25">
      <c r="E243" s="50" t="s">
        <v>331</v>
      </c>
      <c r="F243" s="50" t="s">
        <v>332</v>
      </c>
      <c r="G243" s="50" t="s">
        <v>333</v>
      </c>
      <c r="H243" s="50" t="s">
        <v>334</v>
      </c>
      <c r="I243" s="50" t="s">
        <v>334</v>
      </c>
      <c r="J243" s="50" t="s">
        <v>334</v>
      </c>
      <c r="K243" s="50" t="s">
        <v>334</v>
      </c>
    </row>
    <row r="244" spans="4:12" ht="20.100000000000001" customHeight="1" x14ac:dyDescent="0.25">
      <c r="D244" s="126" t="str">
        <f>'[1]Input - Herd - Swine'!D27</f>
        <v>January 2024</v>
      </c>
      <c r="E244" s="126">
        <f>'[1]Input - Herd - Swine'!E27</f>
        <v>31</v>
      </c>
      <c r="F244" s="126">
        <f>'[1]Input - Herd - Swine'!F27</f>
        <v>31</v>
      </c>
      <c r="G244" s="126">
        <f>'[1]Input - Herd - Swine'!G27</f>
        <v>31</v>
      </c>
      <c r="H244" s="126">
        <f>'[1]Input - Herd - Swine'!H27</f>
        <v>31</v>
      </c>
      <c r="I244" s="126">
        <f>'[1]Input - Herd - Swine'!I27</f>
        <v>31</v>
      </c>
      <c r="J244" s="126">
        <f>'[1]Input - Herd - Swine'!J27</f>
        <v>31</v>
      </c>
      <c r="K244" s="126">
        <f>'[1]Input - Herd - Swine'!K27</f>
        <v>31</v>
      </c>
      <c r="L244" s="2" t="s">
        <v>54</v>
      </c>
    </row>
    <row r="245" spans="4:12" ht="20.100000000000001" customHeight="1" x14ac:dyDescent="0.25">
      <c r="D245" s="126" t="str">
        <f>'[1]Input - Herd - Swine'!D28</f>
        <v>February 2024</v>
      </c>
      <c r="E245" s="126">
        <f>'[1]Input - Herd - Swine'!E28</f>
        <v>29</v>
      </c>
      <c r="F245" s="126">
        <f>'[1]Input - Herd - Swine'!F28</f>
        <v>29</v>
      </c>
      <c r="G245" s="126">
        <f>'[1]Input - Herd - Swine'!G28</f>
        <v>29</v>
      </c>
      <c r="H245" s="126">
        <f>'[1]Input - Herd - Swine'!H28</f>
        <v>29</v>
      </c>
      <c r="I245" s="126">
        <f>'[1]Input - Herd - Swine'!I28</f>
        <v>29</v>
      </c>
      <c r="J245" s="126">
        <f>'[1]Input - Herd - Swine'!J28</f>
        <v>29</v>
      </c>
      <c r="K245" s="126">
        <f>'[1]Input - Herd - Swine'!K28</f>
        <v>29</v>
      </c>
      <c r="L245" s="2" t="s">
        <v>54</v>
      </c>
    </row>
    <row r="246" spans="4:12" ht="20.100000000000001" customHeight="1" x14ac:dyDescent="0.25">
      <c r="D246" s="126" t="str">
        <f>'[1]Input - Herd - Swine'!D29</f>
        <v>March 2024</v>
      </c>
      <c r="E246" s="126">
        <f>'[1]Input - Herd - Swine'!E29</f>
        <v>31</v>
      </c>
      <c r="F246" s="126">
        <f>'[1]Input - Herd - Swine'!F29</f>
        <v>31</v>
      </c>
      <c r="G246" s="126">
        <f>'[1]Input - Herd - Swine'!G29</f>
        <v>31</v>
      </c>
      <c r="H246" s="126">
        <f>'[1]Input - Herd - Swine'!H29</f>
        <v>31</v>
      </c>
      <c r="I246" s="126">
        <f>'[1]Input - Herd - Swine'!I29</f>
        <v>31</v>
      </c>
      <c r="J246" s="126">
        <f>'[1]Input - Herd - Swine'!J29</f>
        <v>31</v>
      </c>
      <c r="K246" s="126">
        <f>'[1]Input - Herd - Swine'!K29</f>
        <v>31</v>
      </c>
      <c r="L246" s="2" t="s">
        <v>54</v>
      </c>
    </row>
    <row r="247" spans="4:12" ht="20.100000000000001" customHeight="1" x14ac:dyDescent="0.25">
      <c r="D247" s="126" t="str">
        <f>'[1]Input - Herd - Swine'!D30</f>
        <v>April 2024</v>
      </c>
      <c r="E247" s="126">
        <f>'[1]Input - Herd - Swine'!E30</f>
        <v>30</v>
      </c>
      <c r="F247" s="126">
        <f>'[1]Input - Herd - Swine'!F30</f>
        <v>30</v>
      </c>
      <c r="G247" s="126">
        <f>'[1]Input - Herd - Swine'!G30</f>
        <v>30</v>
      </c>
      <c r="H247" s="126">
        <f>'[1]Input - Herd - Swine'!H30</f>
        <v>30</v>
      </c>
      <c r="I247" s="126">
        <f>'[1]Input - Herd - Swine'!I30</f>
        <v>30</v>
      </c>
      <c r="J247" s="126">
        <f>'[1]Input - Herd - Swine'!J30</f>
        <v>30</v>
      </c>
      <c r="K247" s="126">
        <f>'[1]Input - Herd - Swine'!K30</f>
        <v>30</v>
      </c>
      <c r="L247" s="2" t="s">
        <v>54</v>
      </c>
    </row>
    <row r="248" spans="4:12" ht="20.100000000000001" customHeight="1" x14ac:dyDescent="0.25">
      <c r="D248" s="126" t="str">
        <f>'[1]Input - Herd - Swine'!D31</f>
        <v>May 2024</v>
      </c>
      <c r="E248" s="126">
        <f>'[1]Input - Herd - Swine'!E31</f>
        <v>31</v>
      </c>
      <c r="F248" s="126">
        <f>'[1]Input - Herd - Swine'!F31</f>
        <v>31</v>
      </c>
      <c r="G248" s="126">
        <f>'[1]Input - Herd - Swine'!G31</f>
        <v>31</v>
      </c>
      <c r="H248" s="126">
        <f>'[1]Input - Herd - Swine'!H31</f>
        <v>31</v>
      </c>
      <c r="I248" s="126">
        <f>'[1]Input - Herd - Swine'!I31</f>
        <v>31</v>
      </c>
      <c r="J248" s="126">
        <f>'[1]Input - Herd - Swine'!J31</f>
        <v>31</v>
      </c>
      <c r="K248" s="126">
        <f>'[1]Input - Herd - Swine'!K31</f>
        <v>31</v>
      </c>
      <c r="L248" s="2" t="s">
        <v>54</v>
      </c>
    </row>
    <row r="249" spans="4:12" ht="20.100000000000001" customHeight="1" x14ac:dyDescent="0.25">
      <c r="D249" s="126" t="str">
        <f>'[1]Input - Herd - Swine'!D32</f>
        <v>June 2024</v>
      </c>
      <c r="E249" s="126">
        <f>'[1]Input - Herd - Swine'!E32</f>
        <v>30</v>
      </c>
      <c r="F249" s="126">
        <f>'[1]Input - Herd - Swine'!F32</f>
        <v>30</v>
      </c>
      <c r="G249" s="126">
        <f>'[1]Input - Herd - Swine'!G32</f>
        <v>30</v>
      </c>
      <c r="H249" s="126">
        <f>'[1]Input - Herd - Swine'!H32</f>
        <v>30</v>
      </c>
      <c r="I249" s="126">
        <f>'[1]Input - Herd - Swine'!I32</f>
        <v>30</v>
      </c>
      <c r="J249" s="126">
        <f>'[1]Input - Herd - Swine'!J32</f>
        <v>30</v>
      </c>
      <c r="K249" s="126">
        <f>'[1]Input - Herd - Swine'!K32</f>
        <v>30</v>
      </c>
      <c r="L249" s="2" t="s">
        <v>54</v>
      </c>
    </row>
    <row r="250" spans="4:12" ht="20.100000000000001" customHeight="1" x14ac:dyDescent="0.25">
      <c r="D250" s="126" t="str">
        <f>'[1]Input - Herd - Swine'!D33</f>
        <v>July 2024</v>
      </c>
      <c r="E250" s="126">
        <f>'[1]Input - Herd - Swine'!E33</f>
        <v>31</v>
      </c>
      <c r="F250" s="126">
        <f>'[1]Input - Herd - Swine'!F33</f>
        <v>31</v>
      </c>
      <c r="G250" s="126">
        <f>'[1]Input - Herd - Swine'!G33</f>
        <v>31</v>
      </c>
      <c r="H250" s="126">
        <f>'[1]Input - Herd - Swine'!H33</f>
        <v>31</v>
      </c>
      <c r="I250" s="126">
        <f>'[1]Input - Herd - Swine'!I33</f>
        <v>31</v>
      </c>
      <c r="J250" s="126">
        <f>'[1]Input - Herd - Swine'!J33</f>
        <v>31</v>
      </c>
      <c r="K250" s="126">
        <f>'[1]Input - Herd - Swine'!K33</f>
        <v>31</v>
      </c>
      <c r="L250" s="2" t="s">
        <v>54</v>
      </c>
    </row>
    <row r="251" spans="4:12" ht="20.100000000000001" customHeight="1" x14ac:dyDescent="0.25">
      <c r="D251" s="126" t="str">
        <f>'[1]Input - Herd - Swine'!D34</f>
        <v>August 2024</v>
      </c>
      <c r="E251" s="126">
        <f>'[1]Input - Herd - Swine'!E34</f>
        <v>31</v>
      </c>
      <c r="F251" s="126">
        <f>'[1]Input - Herd - Swine'!F34</f>
        <v>31</v>
      </c>
      <c r="G251" s="126">
        <f>'[1]Input - Herd - Swine'!G34</f>
        <v>31</v>
      </c>
      <c r="H251" s="126">
        <f>'[1]Input - Herd - Swine'!H34</f>
        <v>31</v>
      </c>
      <c r="I251" s="126">
        <f>'[1]Input - Herd - Swine'!I34</f>
        <v>31</v>
      </c>
      <c r="J251" s="126">
        <f>'[1]Input - Herd - Swine'!J34</f>
        <v>31</v>
      </c>
      <c r="K251" s="126">
        <f>'[1]Input - Herd - Swine'!K34</f>
        <v>31</v>
      </c>
      <c r="L251" s="2" t="s">
        <v>54</v>
      </c>
    </row>
    <row r="252" spans="4:12" ht="20.100000000000001" customHeight="1" x14ac:dyDescent="0.25">
      <c r="D252" s="126" t="str">
        <f>'[1]Input - Herd - Swine'!D35</f>
        <v>September 2024</v>
      </c>
      <c r="E252" s="126">
        <f>'[1]Input - Herd - Swine'!E35</f>
        <v>30</v>
      </c>
      <c r="F252" s="126">
        <f>'[1]Input - Herd - Swine'!F35</f>
        <v>30</v>
      </c>
      <c r="G252" s="126">
        <f>'[1]Input - Herd - Swine'!G35</f>
        <v>30</v>
      </c>
      <c r="H252" s="126">
        <f>'[1]Input - Herd - Swine'!H35</f>
        <v>30</v>
      </c>
      <c r="I252" s="126">
        <f>'[1]Input - Herd - Swine'!I35</f>
        <v>30</v>
      </c>
      <c r="J252" s="126">
        <f>'[1]Input - Herd - Swine'!J35</f>
        <v>30</v>
      </c>
      <c r="K252" s="126">
        <f>'[1]Input - Herd - Swine'!K35</f>
        <v>30</v>
      </c>
      <c r="L252" s="2" t="s">
        <v>54</v>
      </c>
    </row>
    <row r="253" spans="4:12" ht="20.100000000000001" customHeight="1" x14ac:dyDescent="0.25">
      <c r="D253" s="126" t="str">
        <f>'[1]Input - Herd - Swine'!D36</f>
        <v>October 2024</v>
      </c>
      <c r="E253" s="126">
        <f>'[1]Input - Herd - Swine'!E36</f>
        <v>31</v>
      </c>
      <c r="F253" s="126">
        <f>'[1]Input - Herd - Swine'!F36</f>
        <v>31</v>
      </c>
      <c r="G253" s="126">
        <f>'[1]Input - Herd - Swine'!G36</f>
        <v>31</v>
      </c>
      <c r="H253" s="126">
        <f>'[1]Input - Herd - Swine'!H36</f>
        <v>31</v>
      </c>
      <c r="I253" s="126">
        <f>'[1]Input - Herd - Swine'!I36</f>
        <v>31</v>
      </c>
      <c r="J253" s="126">
        <f>'[1]Input - Herd - Swine'!J36</f>
        <v>31</v>
      </c>
      <c r="K253" s="126">
        <f>'[1]Input - Herd - Swine'!K36</f>
        <v>31</v>
      </c>
      <c r="L253" s="2" t="s">
        <v>54</v>
      </c>
    </row>
    <row r="254" spans="4:12" ht="20.100000000000001" customHeight="1" x14ac:dyDescent="0.25">
      <c r="D254" s="126" t="str">
        <f>'[1]Input - Herd - Swine'!D37</f>
        <v>November 2024</v>
      </c>
      <c r="E254" s="126">
        <f>'[1]Input - Herd - Swine'!E37</f>
        <v>30</v>
      </c>
      <c r="F254" s="126">
        <f>'[1]Input - Herd - Swine'!F37</f>
        <v>30</v>
      </c>
      <c r="G254" s="126">
        <f>'[1]Input - Herd - Swine'!G37</f>
        <v>30</v>
      </c>
      <c r="H254" s="126">
        <f>'[1]Input - Herd - Swine'!H37</f>
        <v>30</v>
      </c>
      <c r="I254" s="126">
        <f>'[1]Input - Herd - Swine'!I37</f>
        <v>30</v>
      </c>
      <c r="J254" s="126">
        <f>'[1]Input - Herd - Swine'!J37</f>
        <v>30</v>
      </c>
      <c r="K254" s="126">
        <f>'[1]Input - Herd - Swine'!K37</f>
        <v>30</v>
      </c>
      <c r="L254" s="2" t="s">
        <v>54</v>
      </c>
    </row>
    <row r="255" spans="4:12" ht="20.100000000000001" customHeight="1" x14ac:dyDescent="0.25">
      <c r="D255" s="126" t="str">
        <f>'[1]Input - Herd - Swine'!D38</f>
        <v>December 2024</v>
      </c>
      <c r="E255" s="126">
        <f>'[1]Input - Herd - Swine'!E38</f>
        <v>31</v>
      </c>
      <c r="F255" s="126">
        <f>'[1]Input - Herd - Swine'!F38</f>
        <v>31</v>
      </c>
      <c r="G255" s="126">
        <f>'[1]Input - Herd - Swine'!G38</f>
        <v>31</v>
      </c>
      <c r="H255" s="126">
        <f>'[1]Input - Herd - Swine'!H38</f>
        <v>31</v>
      </c>
      <c r="I255" s="126">
        <f>'[1]Input - Herd - Swine'!I38</f>
        <v>31</v>
      </c>
      <c r="J255" s="126">
        <f>'[1]Input - Herd - Swine'!J38</f>
        <v>31</v>
      </c>
      <c r="K255" s="126">
        <f>'[1]Input - Herd - Swine'!K38</f>
        <v>31</v>
      </c>
      <c r="L255" s="2" t="s">
        <v>54</v>
      </c>
    </row>
    <row r="256" spans="4:12" ht="20.100000000000001" customHeight="1" x14ac:dyDescent="0.25"/>
    <row r="257" spans="4:12" ht="20.100000000000001" customHeight="1" x14ac:dyDescent="0.25">
      <c r="D257" s="121" t="s">
        <v>335</v>
      </c>
    </row>
    <row r="258" spans="4:12" ht="20.100000000000001" customHeight="1" x14ac:dyDescent="0.25">
      <c r="D258" s="122" t="s">
        <v>336</v>
      </c>
    </row>
    <row r="259" spans="4:12" ht="20.100000000000001" customHeight="1" x14ac:dyDescent="0.25">
      <c r="E259" s="50" t="s">
        <v>220</v>
      </c>
      <c r="F259" s="50" t="s">
        <v>221</v>
      </c>
      <c r="G259" s="50" t="s">
        <v>222</v>
      </c>
      <c r="H259" s="50" t="s">
        <v>223</v>
      </c>
      <c r="I259" s="50" t="s">
        <v>224</v>
      </c>
      <c r="J259" s="50" t="s">
        <v>225</v>
      </c>
      <c r="K259" s="50" t="s">
        <v>226</v>
      </c>
    </row>
    <row r="260" spans="4:12" ht="20.100000000000001" customHeight="1" x14ac:dyDescent="0.25">
      <c r="D260" s="50" t="s">
        <v>119</v>
      </c>
      <c r="E260" s="50" t="s">
        <v>331</v>
      </c>
      <c r="F260" s="50" t="s">
        <v>332</v>
      </c>
      <c r="G260" s="50" t="s">
        <v>333</v>
      </c>
      <c r="H260" s="50" t="s">
        <v>334</v>
      </c>
      <c r="I260" s="50" t="s">
        <v>334</v>
      </c>
      <c r="J260" s="50" t="s">
        <v>334</v>
      </c>
      <c r="K260" s="50" t="s">
        <v>334</v>
      </c>
    </row>
    <row r="261" spans="4:12" ht="20.100000000000001" customHeight="1" x14ac:dyDescent="0.25">
      <c r="D261" s="126" t="str">
        <f>'[1]Input - Herd - Swine'!D9</f>
        <v>January 2024</v>
      </c>
      <c r="E261" s="126">
        <f>'[1]Input - Herd - Swine'!E9</f>
        <v>120</v>
      </c>
      <c r="F261" s="126">
        <f>'[1]Input - Herd - Swine'!F9</f>
        <v>220</v>
      </c>
      <c r="G261" s="126">
        <f>'[1]Input - Herd - Swine'!G9</f>
        <v>320</v>
      </c>
      <c r="H261" s="126">
        <f>'[1]Input - Herd - Swine'!H9</f>
        <v>420</v>
      </c>
      <c r="I261" s="126">
        <f>'[1]Input - Herd - Swine'!I9</f>
        <v>520</v>
      </c>
      <c r="J261" s="126">
        <f>'[1]Input - Herd - Swine'!J9</f>
        <v>620</v>
      </c>
      <c r="K261" s="126">
        <f>'[1]Input - Herd - Swine'!K9</f>
        <v>720</v>
      </c>
      <c r="L261" s="2" t="s">
        <v>101</v>
      </c>
    </row>
    <row r="262" spans="4:12" ht="20.100000000000001" customHeight="1" x14ac:dyDescent="0.25">
      <c r="D262" s="126" t="str">
        <f>'[1]Input - Herd - Swine'!D10</f>
        <v>February 2024</v>
      </c>
      <c r="E262" s="126">
        <f>'[1]Input - Herd - Swine'!E10</f>
        <v>120</v>
      </c>
      <c r="F262" s="126">
        <f>'[1]Input - Herd - Swine'!F10</f>
        <v>220</v>
      </c>
      <c r="G262" s="126">
        <f>'[1]Input - Herd - Swine'!G10</f>
        <v>320</v>
      </c>
      <c r="H262" s="126">
        <f>'[1]Input - Herd - Swine'!H10</f>
        <v>420</v>
      </c>
      <c r="I262" s="126">
        <f>'[1]Input - Herd - Swine'!I10</f>
        <v>520</v>
      </c>
      <c r="J262" s="126">
        <f>'[1]Input - Herd - Swine'!J10</f>
        <v>620</v>
      </c>
      <c r="K262" s="126">
        <f>'[1]Input - Herd - Swine'!K10</f>
        <v>720</v>
      </c>
      <c r="L262" s="2" t="s">
        <v>101</v>
      </c>
    </row>
    <row r="263" spans="4:12" ht="20.100000000000001" customHeight="1" x14ac:dyDescent="0.25">
      <c r="D263" s="126" t="str">
        <f>'[1]Input - Herd - Swine'!D11</f>
        <v>March 2024</v>
      </c>
      <c r="E263" s="126">
        <f>'[1]Input - Herd - Swine'!E11</f>
        <v>130</v>
      </c>
      <c r="F263" s="126">
        <f>'[1]Input - Herd - Swine'!F11</f>
        <v>230</v>
      </c>
      <c r="G263" s="126">
        <f>'[1]Input - Herd - Swine'!G11</f>
        <v>330</v>
      </c>
      <c r="H263" s="126">
        <f>'[1]Input - Herd - Swine'!H11</f>
        <v>430</v>
      </c>
      <c r="I263" s="126">
        <f>'[1]Input - Herd - Swine'!I11</f>
        <v>530</v>
      </c>
      <c r="J263" s="126">
        <f>'[1]Input - Herd - Swine'!J11</f>
        <v>630</v>
      </c>
      <c r="K263" s="126">
        <f>'[1]Input - Herd - Swine'!K11</f>
        <v>730</v>
      </c>
      <c r="L263" s="2" t="s">
        <v>101</v>
      </c>
    </row>
    <row r="264" spans="4:12" ht="20.100000000000001" customHeight="1" x14ac:dyDescent="0.25">
      <c r="D264" s="126" t="str">
        <f>'[1]Input - Herd - Swine'!D12</f>
        <v>April 2024</v>
      </c>
      <c r="E264" s="126">
        <f>'[1]Input - Herd - Swine'!E12</f>
        <v>130</v>
      </c>
      <c r="F264" s="126">
        <f>'[1]Input - Herd - Swine'!F12</f>
        <v>230</v>
      </c>
      <c r="G264" s="126">
        <f>'[1]Input - Herd - Swine'!G12</f>
        <v>330</v>
      </c>
      <c r="H264" s="126">
        <f>'[1]Input - Herd - Swine'!H12</f>
        <v>430</v>
      </c>
      <c r="I264" s="126">
        <f>'[1]Input - Herd - Swine'!I12</f>
        <v>530</v>
      </c>
      <c r="J264" s="126">
        <f>'[1]Input - Herd - Swine'!J12</f>
        <v>630</v>
      </c>
      <c r="K264" s="126">
        <f>'[1]Input - Herd - Swine'!K12</f>
        <v>730</v>
      </c>
      <c r="L264" s="2" t="s">
        <v>101</v>
      </c>
    </row>
    <row r="265" spans="4:12" ht="20.100000000000001" customHeight="1" x14ac:dyDescent="0.25">
      <c r="D265" s="126" t="str">
        <f>'[1]Input - Herd - Swine'!D13</f>
        <v>May 2024</v>
      </c>
      <c r="E265" s="126">
        <f>'[1]Input - Herd - Swine'!E13</f>
        <v>130</v>
      </c>
      <c r="F265" s="126">
        <f>'[1]Input - Herd - Swine'!F13</f>
        <v>230</v>
      </c>
      <c r="G265" s="126">
        <f>'[1]Input - Herd - Swine'!G13</f>
        <v>330</v>
      </c>
      <c r="H265" s="126">
        <f>'[1]Input - Herd - Swine'!H13</f>
        <v>430</v>
      </c>
      <c r="I265" s="126">
        <f>'[1]Input - Herd - Swine'!I13</f>
        <v>530</v>
      </c>
      <c r="J265" s="126">
        <f>'[1]Input - Herd - Swine'!J13</f>
        <v>630</v>
      </c>
      <c r="K265" s="126">
        <f>'[1]Input - Herd - Swine'!K13</f>
        <v>730</v>
      </c>
      <c r="L265" s="2" t="s">
        <v>101</v>
      </c>
    </row>
    <row r="266" spans="4:12" ht="20.100000000000001" customHeight="1" x14ac:dyDescent="0.25">
      <c r="D266" s="126" t="str">
        <f>'[1]Input - Herd - Swine'!D14</f>
        <v>June 2024</v>
      </c>
      <c r="E266" s="126">
        <f>'[1]Input - Herd - Swine'!E14</f>
        <v>140</v>
      </c>
      <c r="F266" s="126">
        <f>'[1]Input - Herd - Swine'!F14</f>
        <v>240</v>
      </c>
      <c r="G266" s="126">
        <f>'[1]Input - Herd - Swine'!G14</f>
        <v>340</v>
      </c>
      <c r="H266" s="126">
        <f>'[1]Input - Herd - Swine'!H14</f>
        <v>440</v>
      </c>
      <c r="I266" s="126">
        <f>'[1]Input - Herd - Swine'!I14</f>
        <v>540</v>
      </c>
      <c r="J266" s="126">
        <f>'[1]Input - Herd - Swine'!J14</f>
        <v>640</v>
      </c>
      <c r="K266" s="126">
        <f>'[1]Input - Herd - Swine'!K14</f>
        <v>740</v>
      </c>
      <c r="L266" s="2" t="s">
        <v>101</v>
      </c>
    </row>
    <row r="267" spans="4:12" ht="20.100000000000001" customHeight="1" x14ac:dyDescent="0.25">
      <c r="D267" s="126" t="str">
        <f>'[1]Input - Herd - Swine'!D15</f>
        <v>July 2024</v>
      </c>
      <c r="E267" s="126">
        <f>'[1]Input - Herd - Swine'!E15</f>
        <v>140</v>
      </c>
      <c r="F267" s="126">
        <f>'[1]Input - Herd - Swine'!F15</f>
        <v>230</v>
      </c>
      <c r="G267" s="126">
        <f>'[1]Input - Herd - Swine'!G15</f>
        <v>340</v>
      </c>
      <c r="H267" s="126">
        <f>'[1]Input - Herd - Swine'!H15</f>
        <v>440</v>
      </c>
      <c r="I267" s="126">
        <f>'[1]Input - Herd - Swine'!I15</f>
        <v>540</v>
      </c>
      <c r="J267" s="126">
        <f>'[1]Input - Herd - Swine'!J15</f>
        <v>640</v>
      </c>
      <c r="K267" s="126">
        <f>'[1]Input - Herd - Swine'!K15</f>
        <v>740</v>
      </c>
      <c r="L267" s="2" t="s">
        <v>101</v>
      </c>
    </row>
    <row r="268" spans="4:12" ht="20.100000000000001" customHeight="1" x14ac:dyDescent="0.25">
      <c r="D268" s="126" t="str">
        <f>'[1]Input - Herd - Swine'!D16</f>
        <v>August 2024</v>
      </c>
      <c r="E268" s="126">
        <f>'[1]Input - Herd - Swine'!E16</f>
        <v>140</v>
      </c>
      <c r="F268" s="126">
        <f>'[1]Input - Herd - Swine'!F16</f>
        <v>240</v>
      </c>
      <c r="G268" s="126">
        <f>'[1]Input - Herd - Swine'!G16</f>
        <v>340</v>
      </c>
      <c r="H268" s="126">
        <f>'[1]Input - Herd - Swine'!H16</f>
        <v>440</v>
      </c>
      <c r="I268" s="126">
        <f>'[1]Input - Herd - Swine'!I16</f>
        <v>540</v>
      </c>
      <c r="J268" s="126">
        <f>'[1]Input - Herd - Swine'!J16</f>
        <v>640</v>
      </c>
      <c r="K268" s="126">
        <f>'[1]Input - Herd - Swine'!K16</f>
        <v>740</v>
      </c>
      <c r="L268" s="2" t="s">
        <v>101</v>
      </c>
    </row>
    <row r="269" spans="4:12" ht="20.100000000000001" customHeight="1" x14ac:dyDescent="0.25">
      <c r="D269" s="126" t="str">
        <f>'[1]Input - Herd - Swine'!D17</f>
        <v>September 2024</v>
      </c>
      <c r="E269" s="126">
        <f>'[1]Input - Herd - Swine'!E17</f>
        <v>110</v>
      </c>
      <c r="F269" s="126">
        <f>'[1]Input - Herd - Swine'!F17</f>
        <v>210</v>
      </c>
      <c r="G269" s="126">
        <f>'[1]Input - Herd - Swine'!G17</f>
        <v>310</v>
      </c>
      <c r="H269" s="126">
        <f>'[1]Input - Herd - Swine'!H17</f>
        <v>410</v>
      </c>
      <c r="I269" s="126">
        <f>'[1]Input - Herd - Swine'!I17</f>
        <v>510</v>
      </c>
      <c r="J269" s="126">
        <f>'[1]Input - Herd - Swine'!J17</f>
        <v>610</v>
      </c>
      <c r="K269" s="126">
        <f>'[1]Input - Herd - Swine'!K17</f>
        <v>710</v>
      </c>
      <c r="L269" s="2" t="s">
        <v>101</v>
      </c>
    </row>
    <row r="270" spans="4:12" ht="20.100000000000001" customHeight="1" x14ac:dyDescent="0.25">
      <c r="D270" s="126" t="str">
        <f>'[1]Input - Herd - Swine'!D18</f>
        <v>October 2024</v>
      </c>
      <c r="E270" s="126">
        <f>'[1]Input - Herd - Swine'!E18</f>
        <v>110</v>
      </c>
      <c r="F270" s="126">
        <f>'[1]Input - Herd - Swine'!F18</f>
        <v>210</v>
      </c>
      <c r="G270" s="126">
        <f>'[1]Input - Herd - Swine'!G18</f>
        <v>310</v>
      </c>
      <c r="H270" s="126">
        <f>'[1]Input - Herd - Swine'!H18</f>
        <v>410</v>
      </c>
      <c r="I270" s="126">
        <f>'[1]Input - Herd - Swine'!I18</f>
        <v>510</v>
      </c>
      <c r="J270" s="126">
        <f>'[1]Input - Herd - Swine'!J18</f>
        <v>610</v>
      </c>
      <c r="K270" s="126">
        <f>'[1]Input - Herd - Swine'!K18</f>
        <v>710</v>
      </c>
      <c r="L270" s="2" t="s">
        <v>101</v>
      </c>
    </row>
    <row r="271" spans="4:12" ht="20.100000000000001" customHeight="1" x14ac:dyDescent="0.25">
      <c r="D271" s="126" t="str">
        <f>'[1]Input - Herd - Swine'!D19</f>
        <v>November 2024</v>
      </c>
      <c r="E271" s="126">
        <f>'[1]Input - Herd - Swine'!E19</f>
        <v>110</v>
      </c>
      <c r="F271" s="126">
        <f>'[1]Input - Herd - Swine'!F19</f>
        <v>210</v>
      </c>
      <c r="G271" s="126">
        <f>'[1]Input - Herd - Swine'!G19</f>
        <v>310</v>
      </c>
      <c r="H271" s="126">
        <f>'[1]Input - Herd - Swine'!H19</f>
        <v>410</v>
      </c>
      <c r="I271" s="126">
        <f>'[1]Input - Herd - Swine'!I19</f>
        <v>510</v>
      </c>
      <c r="J271" s="126">
        <f>'[1]Input - Herd - Swine'!J19</f>
        <v>610</v>
      </c>
      <c r="K271" s="126">
        <f>'[1]Input - Herd - Swine'!K19</f>
        <v>710</v>
      </c>
      <c r="L271" s="2" t="s">
        <v>101</v>
      </c>
    </row>
    <row r="272" spans="4:12" x14ac:dyDescent="0.25">
      <c r="D272" s="126" t="str">
        <f>'[1]Input - Herd - Swine'!D20</f>
        <v>December 2024</v>
      </c>
      <c r="E272" s="126">
        <f>'[1]Input - Herd - Swine'!E20</f>
        <v>120</v>
      </c>
      <c r="F272" s="126">
        <f>'[1]Input - Herd - Swine'!F20</f>
        <v>220</v>
      </c>
      <c r="G272" s="126">
        <f>'[1]Input - Herd - Swine'!G20</f>
        <v>320</v>
      </c>
      <c r="H272" s="126">
        <f>'[1]Input - Herd - Swine'!H20</f>
        <v>420</v>
      </c>
      <c r="I272" s="126">
        <f>'[1]Input - Herd - Swine'!I20</f>
        <v>520</v>
      </c>
      <c r="J272" s="126">
        <f>'[1]Input - Herd - Swine'!J20</f>
        <v>620</v>
      </c>
      <c r="K272" s="126">
        <f>'[1]Input - Herd - Swine'!K20</f>
        <v>720</v>
      </c>
      <c r="L272" s="2" t="s">
        <v>101</v>
      </c>
    </row>
    <row r="274" spans="4:12" x14ac:dyDescent="0.25">
      <c r="D274" s="121" t="s">
        <v>337</v>
      </c>
    </row>
    <row r="275" spans="4:12" x14ac:dyDescent="0.25">
      <c r="D275" s="122" t="s">
        <v>338</v>
      </c>
    </row>
    <row r="276" spans="4:12" x14ac:dyDescent="0.25">
      <c r="E276" s="50" t="s">
        <v>220</v>
      </c>
      <c r="F276" s="50" t="s">
        <v>221</v>
      </c>
      <c r="G276" s="50" t="s">
        <v>222</v>
      </c>
      <c r="H276" s="50" t="s">
        <v>223</v>
      </c>
      <c r="I276" s="50" t="s">
        <v>224</v>
      </c>
      <c r="J276" s="50" t="s">
        <v>225</v>
      </c>
      <c r="K276" s="50" t="s">
        <v>226</v>
      </c>
    </row>
    <row r="277" spans="4:12" ht="17.25" x14ac:dyDescent="0.25">
      <c r="D277" s="50" t="s">
        <v>119</v>
      </c>
      <c r="E277" s="50" t="s">
        <v>331</v>
      </c>
      <c r="F277" s="50" t="s">
        <v>332</v>
      </c>
      <c r="G277" s="50" t="s">
        <v>333</v>
      </c>
      <c r="H277" s="50" t="s">
        <v>334</v>
      </c>
      <c r="I277" s="50" t="s">
        <v>334</v>
      </c>
      <c r="J277" s="50" t="s">
        <v>334</v>
      </c>
      <c r="K277" s="50" t="s">
        <v>334</v>
      </c>
    </row>
    <row r="278" spans="4:12" x14ac:dyDescent="0.25">
      <c r="D278" s="56" t="str">
        <f>TEXT('[1]Input - Site'!$E$12,"mmmm yyyy")</f>
        <v>January 2024</v>
      </c>
      <c r="E278" s="51" t="e" cm="1">
        <f t="array" ref="E278">ManureManagement_Swine_Methane.VEERG_4_5_1_1__1_TotalAnnualMethaneEmissions(E244,D$223,E261)</f>
        <v>#N/A</v>
      </c>
      <c r="F278" s="51" t="e" cm="1">
        <f t="array" ref="F278">ManureManagement_Swine_Methane.VEERG_4_5_1_1__1_TotalAnnualMethaneEmissions(F244,E$223,F261)</f>
        <v>#N/A</v>
      </c>
      <c r="G278" s="51" t="e" cm="1">
        <f t="array" ref="G278">ManureManagement_Swine_Methane.VEERG_4_5_1_1__1_TotalAnnualMethaneEmissions(G244,F$223,G261)</f>
        <v>#N/A</v>
      </c>
      <c r="H278" s="51" t="e" cm="1">
        <f t="array" ref="H278">ManureManagement_Swine_Methane.VEERG_4_5_1_1__1_TotalAnnualMethaneEmissions(H244,G$223,H261)</f>
        <v>#N/A</v>
      </c>
      <c r="I278" s="51" t="e" cm="1">
        <f t="array" ref="I278">ManureManagement_Swine_Methane.VEERG_4_5_1_1__1_TotalAnnualMethaneEmissions(I244,H$223,I261)</f>
        <v>#N/A</v>
      </c>
      <c r="J278" s="51" t="e" cm="1">
        <f t="array" ref="J278">ManureManagement_Swine_Methane.VEERG_4_5_1_1__1_TotalAnnualMethaneEmissions(J244,I$223,J261)</f>
        <v>#N/A</v>
      </c>
      <c r="K278" s="51" t="e" cm="1">
        <f t="array" ref="K278">ManureManagement_Swine_Methane.VEERG_4_5_1_1__1_TotalAnnualMethaneEmissions(K244,J$223,K261)</f>
        <v>#N/A</v>
      </c>
      <c r="L278" s="2" t="str">
        <f t="shared" ref="L278:L289" si="3">$E$234</f>
        <v>t CH4</v>
      </c>
    </row>
    <row r="279" spans="4:12" x14ac:dyDescent="0.25">
      <c r="D279" s="56" t="str">
        <f>TEXT(EDATE('[1]Input - Site'!$E$12, 1),"mmmm yyyy")</f>
        <v>February 2024</v>
      </c>
      <c r="E279" s="51" t="e" cm="1">
        <f t="array" ref="E279">ManureManagement_Swine_Methane.VEERG_4_5_1_1__1_TotalAnnualMethaneEmissions(E245,D$223,E262)</f>
        <v>#N/A</v>
      </c>
      <c r="F279" s="51" t="e" cm="1">
        <f t="array" ref="F279">ManureManagement_Swine_Methane.VEERG_4_5_1_1__1_TotalAnnualMethaneEmissions(F245,E$223,F262)</f>
        <v>#N/A</v>
      </c>
      <c r="G279" s="51" t="e" cm="1">
        <f t="array" ref="G279">ManureManagement_Swine_Methane.VEERG_4_5_1_1__1_TotalAnnualMethaneEmissions(G245,F$223,G262)</f>
        <v>#N/A</v>
      </c>
      <c r="H279" s="51" t="e" cm="1">
        <f t="array" ref="H279">ManureManagement_Swine_Methane.VEERG_4_5_1_1__1_TotalAnnualMethaneEmissions(H245,G$223,H262)</f>
        <v>#N/A</v>
      </c>
      <c r="I279" s="51" t="e" cm="1">
        <f t="array" ref="I279">ManureManagement_Swine_Methane.VEERG_4_5_1_1__1_TotalAnnualMethaneEmissions(I245,H$223,I262)</f>
        <v>#N/A</v>
      </c>
      <c r="J279" s="51" t="e" cm="1">
        <f t="array" ref="J279">ManureManagement_Swine_Methane.VEERG_4_5_1_1__1_TotalAnnualMethaneEmissions(J245,I$223,J262)</f>
        <v>#N/A</v>
      </c>
      <c r="K279" s="51" t="e" cm="1">
        <f t="array" ref="K279">ManureManagement_Swine_Methane.VEERG_4_5_1_1__1_TotalAnnualMethaneEmissions(K245,J$223,K262)</f>
        <v>#N/A</v>
      </c>
      <c r="L279" s="2" t="str">
        <f t="shared" si="3"/>
        <v>t CH4</v>
      </c>
    </row>
    <row r="280" spans="4:12" x14ac:dyDescent="0.25">
      <c r="D280" s="56" t="str">
        <f>TEXT(EDATE('[1]Input - Site'!$E$12, 2),"mmmm yyyy")</f>
        <v>March 2024</v>
      </c>
      <c r="E280" s="51" t="e" cm="1">
        <f t="array" ref="E280">ManureManagement_Swine_Methane.VEERG_4_5_1_1__1_TotalAnnualMethaneEmissions(E246,D$223,E263)</f>
        <v>#N/A</v>
      </c>
      <c r="F280" s="51" t="e" cm="1">
        <f t="array" ref="F280">ManureManagement_Swine_Methane.VEERG_4_5_1_1__1_TotalAnnualMethaneEmissions(F246,E$223,F263)</f>
        <v>#N/A</v>
      </c>
      <c r="G280" s="51" t="e" cm="1">
        <f t="array" ref="G280">ManureManagement_Swine_Methane.VEERG_4_5_1_1__1_TotalAnnualMethaneEmissions(G246,F$223,G263)</f>
        <v>#N/A</v>
      </c>
      <c r="H280" s="51" t="e" cm="1">
        <f t="array" ref="H280">ManureManagement_Swine_Methane.VEERG_4_5_1_1__1_TotalAnnualMethaneEmissions(H246,G$223,H263)</f>
        <v>#N/A</v>
      </c>
      <c r="I280" s="51" t="e" cm="1">
        <f t="array" ref="I280">ManureManagement_Swine_Methane.VEERG_4_5_1_1__1_TotalAnnualMethaneEmissions(I246,H$223,I263)</f>
        <v>#N/A</v>
      </c>
      <c r="J280" s="51" t="e" cm="1">
        <f t="array" ref="J280">ManureManagement_Swine_Methane.VEERG_4_5_1_1__1_TotalAnnualMethaneEmissions(J246,I$223,J263)</f>
        <v>#N/A</v>
      </c>
      <c r="K280" s="51" t="e" cm="1">
        <f t="array" ref="K280">ManureManagement_Swine_Methane.VEERG_4_5_1_1__1_TotalAnnualMethaneEmissions(K246,J$223,K263)</f>
        <v>#N/A</v>
      </c>
      <c r="L280" s="2" t="str">
        <f t="shared" si="3"/>
        <v>t CH4</v>
      </c>
    </row>
    <row r="281" spans="4:12" x14ac:dyDescent="0.25">
      <c r="D281" s="56" t="str">
        <f>TEXT(EDATE('[1]Input - Site'!$E$12, 3),"mmmm yyyy")</f>
        <v>April 2024</v>
      </c>
      <c r="E281" s="51" t="e" cm="1">
        <f t="array" ref="E281">ManureManagement_Swine_Methane.VEERG_4_5_1_1__1_TotalAnnualMethaneEmissions(E247,D$223,E264)</f>
        <v>#N/A</v>
      </c>
      <c r="F281" s="51" t="e" cm="1">
        <f t="array" ref="F281">ManureManagement_Swine_Methane.VEERG_4_5_1_1__1_TotalAnnualMethaneEmissions(F247,E$223,F264)</f>
        <v>#N/A</v>
      </c>
      <c r="G281" s="51" t="e" cm="1">
        <f t="array" ref="G281">ManureManagement_Swine_Methane.VEERG_4_5_1_1__1_TotalAnnualMethaneEmissions(G247,F$223,G264)</f>
        <v>#N/A</v>
      </c>
      <c r="H281" s="51" t="e" cm="1">
        <f t="array" ref="H281">ManureManagement_Swine_Methane.VEERG_4_5_1_1__1_TotalAnnualMethaneEmissions(H247,G$223,H264)</f>
        <v>#N/A</v>
      </c>
      <c r="I281" s="51" t="e" cm="1">
        <f t="array" ref="I281">ManureManagement_Swine_Methane.VEERG_4_5_1_1__1_TotalAnnualMethaneEmissions(I247,H$223,I264)</f>
        <v>#N/A</v>
      </c>
      <c r="J281" s="51" t="e" cm="1">
        <f t="array" ref="J281">ManureManagement_Swine_Methane.VEERG_4_5_1_1__1_TotalAnnualMethaneEmissions(J247,I$223,J264)</f>
        <v>#N/A</v>
      </c>
      <c r="K281" s="51" t="e" cm="1">
        <f t="array" ref="K281">ManureManagement_Swine_Methane.VEERG_4_5_1_1__1_TotalAnnualMethaneEmissions(K247,J$223,K264)</f>
        <v>#N/A</v>
      </c>
      <c r="L281" s="2" t="str">
        <f t="shared" si="3"/>
        <v>t CH4</v>
      </c>
    </row>
    <row r="282" spans="4:12" x14ac:dyDescent="0.25">
      <c r="D282" s="56" t="str">
        <f>TEXT(EDATE('[1]Input - Site'!$E$12, 4),"mmmm yyyy")</f>
        <v>May 2024</v>
      </c>
      <c r="E282" s="51" t="e" cm="1">
        <f t="array" ref="E282">ManureManagement_Swine_Methane.VEERG_4_5_1_1__1_TotalAnnualMethaneEmissions(E248,D$223,E265)</f>
        <v>#N/A</v>
      </c>
      <c r="F282" s="51" t="e" cm="1">
        <f t="array" ref="F282">ManureManagement_Swine_Methane.VEERG_4_5_1_1__1_TotalAnnualMethaneEmissions(F248,E$223,F265)</f>
        <v>#N/A</v>
      </c>
      <c r="G282" s="51" t="e" cm="1">
        <f t="array" ref="G282">ManureManagement_Swine_Methane.VEERG_4_5_1_1__1_TotalAnnualMethaneEmissions(G248,F$223,G265)</f>
        <v>#N/A</v>
      </c>
      <c r="H282" s="51" t="e" cm="1">
        <f t="array" ref="H282">ManureManagement_Swine_Methane.VEERG_4_5_1_1__1_TotalAnnualMethaneEmissions(H248,G$223,H265)</f>
        <v>#N/A</v>
      </c>
      <c r="I282" s="51" t="e" cm="1">
        <f t="array" ref="I282">ManureManagement_Swine_Methane.VEERG_4_5_1_1__1_TotalAnnualMethaneEmissions(I248,H$223,I265)</f>
        <v>#N/A</v>
      </c>
      <c r="J282" s="51" t="e" cm="1">
        <f t="array" ref="J282">ManureManagement_Swine_Methane.VEERG_4_5_1_1__1_TotalAnnualMethaneEmissions(J248,I$223,J265)</f>
        <v>#N/A</v>
      </c>
      <c r="K282" s="51" t="e" cm="1">
        <f t="array" ref="K282">ManureManagement_Swine_Methane.VEERG_4_5_1_1__1_TotalAnnualMethaneEmissions(K248,J$223,K265)</f>
        <v>#N/A</v>
      </c>
      <c r="L282" s="2" t="str">
        <f t="shared" si="3"/>
        <v>t CH4</v>
      </c>
    </row>
    <row r="283" spans="4:12" x14ac:dyDescent="0.25">
      <c r="D283" s="56" t="str">
        <f>TEXT(EDATE('[1]Input - Site'!$E$12, 5),"mmmm yyyy")</f>
        <v>June 2024</v>
      </c>
      <c r="E283" s="51" t="e" cm="1">
        <f t="array" ref="E283">ManureManagement_Swine_Methane.VEERG_4_5_1_1__1_TotalAnnualMethaneEmissions(E249,D$223,E266)</f>
        <v>#N/A</v>
      </c>
      <c r="F283" s="51" t="e" cm="1">
        <f t="array" ref="F283">ManureManagement_Swine_Methane.VEERG_4_5_1_1__1_TotalAnnualMethaneEmissions(F249,E$223,F266)</f>
        <v>#N/A</v>
      </c>
      <c r="G283" s="51" t="e" cm="1">
        <f t="array" ref="G283">ManureManagement_Swine_Methane.VEERG_4_5_1_1__1_TotalAnnualMethaneEmissions(G249,F$223,G266)</f>
        <v>#N/A</v>
      </c>
      <c r="H283" s="51" t="e" cm="1">
        <f t="array" ref="H283">ManureManagement_Swine_Methane.VEERG_4_5_1_1__1_TotalAnnualMethaneEmissions(H249,G$223,H266)</f>
        <v>#N/A</v>
      </c>
      <c r="I283" s="51" t="e" cm="1">
        <f t="array" ref="I283">ManureManagement_Swine_Methane.VEERG_4_5_1_1__1_TotalAnnualMethaneEmissions(I249,H$223,I266)</f>
        <v>#N/A</v>
      </c>
      <c r="J283" s="51" t="e" cm="1">
        <f t="array" ref="J283">ManureManagement_Swine_Methane.VEERG_4_5_1_1__1_TotalAnnualMethaneEmissions(J249,I$223,J266)</f>
        <v>#N/A</v>
      </c>
      <c r="K283" s="51" t="e" cm="1">
        <f t="array" ref="K283">ManureManagement_Swine_Methane.VEERG_4_5_1_1__1_TotalAnnualMethaneEmissions(K249,J$223,K266)</f>
        <v>#N/A</v>
      </c>
      <c r="L283" s="2" t="str">
        <f t="shared" si="3"/>
        <v>t CH4</v>
      </c>
    </row>
    <row r="284" spans="4:12" x14ac:dyDescent="0.25">
      <c r="D284" s="56" t="str">
        <f>TEXT(EDATE('[1]Input - Site'!$E$12, 6),"mmmm yyyy")</f>
        <v>July 2024</v>
      </c>
      <c r="E284" s="51" t="e" cm="1">
        <f t="array" ref="E284">ManureManagement_Swine_Methane.VEERG_4_5_1_1__1_TotalAnnualMethaneEmissions(E250,D$223,E267)</f>
        <v>#N/A</v>
      </c>
      <c r="F284" s="51" t="e" cm="1">
        <f t="array" ref="F284">ManureManagement_Swine_Methane.VEERG_4_5_1_1__1_TotalAnnualMethaneEmissions(F250,E$223,F267)</f>
        <v>#N/A</v>
      </c>
      <c r="G284" s="51" t="e" cm="1">
        <f t="array" ref="G284">ManureManagement_Swine_Methane.VEERG_4_5_1_1__1_TotalAnnualMethaneEmissions(G250,F$223,G267)</f>
        <v>#N/A</v>
      </c>
      <c r="H284" s="51" t="e" cm="1">
        <f t="array" ref="H284">ManureManagement_Swine_Methane.VEERG_4_5_1_1__1_TotalAnnualMethaneEmissions(H250,G$223,H267)</f>
        <v>#N/A</v>
      </c>
      <c r="I284" s="51" t="e" cm="1">
        <f t="array" ref="I284">ManureManagement_Swine_Methane.VEERG_4_5_1_1__1_TotalAnnualMethaneEmissions(I250,H$223,I267)</f>
        <v>#N/A</v>
      </c>
      <c r="J284" s="51" t="e" cm="1">
        <f t="array" ref="J284">ManureManagement_Swine_Methane.VEERG_4_5_1_1__1_TotalAnnualMethaneEmissions(J250,I$223,J267)</f>
        <v>#N/A</v>
      </c>
      <c r="K284" s="51" t="e" cm="1">
        <f t="array" ref="K284">ManureManagement_Swine_Methane.VEERG_4_5_1_1__1_TotalAnnualMethaneEmissions(K250,J$223,K267)</f>
        <v>#N/A</v>
      </c>
      <c r="L284" s="2" t="str">
        <f t="shared" si="3"/>
        <v>t CH4</v>
      </c>
    </row>
    <row r="285" spans="4:12" x14ac:dyDescent="0.25">
      <c r="D285" s="56" t="str">
        <f>TEXT(EDATE('[1]Input - Site'!$E$12, 7),"mmmm yyyy")</f>
        <v>August 2024</v>
      </c>
      <c r="E285" s="51" t="e" cm="1">
        <f t="array" ref="E285">ManureManagement_Swine_Methane.VEERG_4_5_1_1__1_TotalAnnualMethaneEmissions(E251,D$223,E268)</f>
        <v>#N/A</v>
      </c>
      <c r="F285" s="51" t="e" cm="1">
        <f t="array" ref="F285">ManureManagement_Swine_Methane.VEERG_4_5_1_1__1_TotalAnnualMethaneEmissions(F251,E$223,F268)</f>
        <v>#N/A</v>
      </c>
      <c r="G285" s="51" t="e" cm="1">
        <f t="array" ref="G285">ManureManagement_Swine_Methane.VEERG_4_5_1_1__1_TotalAnnualMethaneEmissions(G251,F$223,G268)</f>
        <v>#N/A</v>
      </c>
      <c r="H285" s="51" t="e" cm="1">
        <f t="array" ref="H285">ManureManagement_Swine_Methane.VEERG_4_5_1_1__1_TotalAnnualMethaneEmissions(H251,G$223,H268)</f>
        <v>#N/A</v>
      </c>
      <c r="I285" s="51" t="e" cm="1">
        <f t="array" ref="I285">ManureManagement_Swine_Methane.VEERG_4_5_1_1__1_TotalAnnualMethaneEmissions(I251,H$223,I268)</f>
        <v>#N/A</v>
      </c>
      <c r="J285" s="51" t="e" cm="1">
        <f t="array" ref="J285">ManureManagement_Swine_Methane.VEERG_4_5_1_1__1_TotalAnnualMethaneEmissions(J251,I$223,J268)</f>
        <v>#N/A</v>
      </c>
      <c r="K285" s="51" t="e" cm="1">
        <f t="array" ref="K285">ManureManagement_Swine_Methane.VEERG_4_5_1_1__1_TotalAnnualMethaneEmissions(K251,J$223,K268)</f>
        <v>#N/A</v>
      </c>
      <c r="L285" s="2" t="str">
        <f t="shared" si="3"/>
        <v>t CH4</v>
      </c>
    </row>
    <row r="286" spans="4:12" x14ac:dyDescent="0.25">
      <c r="D286" s="56" t="str">
        <f>TEXT(EDATE('[1]Input - Site'!$E$12, 8),"mmmm yyyy")</f>
        <v>September 2024</v>
      </c>
      <c r="E286" s="51" t="e" cm="1">
        <f t="array" ref="E286">ManureManagement_Swine_Methane.VEERG_4_5_1_1__1_TotalAnnualMethaneEmissions(E252,D$223,E269)</f>
        <v>#N/A</v>
      </c>
      <c r="F286" s="51" t="e" cm="1">
        <f t="array" ref="F286">ManureManagement_Swine_Methane.VEERG_4_5_1_1__1_TotalAnnualMethaneEmissions(F252,E$223,F269)</f>
        <v>#N/A</v>
      </c>
      <c r="G286" s="51" t="e" cm="1">
        <f t="array" ref="G286">ManureManagement_Swine_Methane.VEERG_4_5_1_1__1_TotalAnnualMethaneEmissions(G252,F$223,G269)</f>
        <v>#N/A</v>
      </c>
      <c r="H286" s="51" t="e" cm="1">
        <f t="array" ref="H286">ManureManagement_Swine_Methane.VEERG_4_5_1_1__1_TotalAnnualMethaneEmissions(H252,G$223,H269)</f>
        <v>#N/A</v>
      </c>
      <c r="I286" s="51" t="e" cm="1">
        <f t="array" ref="I286">ManureManagement_Swine_Methane.VEERG_4_5_1_1__1_TotalAnnualMethaneEmissions(I252,H$223,I269)</f>
        <v>#N/A</v>
      </c>
      <c r="J286" s="51" t="e" cm="1">
        <f t="array" ref="J286">ManureManagement_Swine_Methane.VEERG_4_5_1_1__1_TotalAnnualMethaneEmissions(J252,I$223,J269)</f>
        <v>#N/A</v>
      </c>
      <c r="K286" s="51" t="e" cm="1">
        <f t="array" ref="K286">ManureManagement_Swine_Methane.VEERG_4_5_1_1__1_TotalAnnualMethaneEmissions(K252,J$223,K269)</f>
        <v>#N/A</v>
      </c>
      <c r="L286" s="2" t="str">
        <f t="shared" si="3"/>
        <v>t CH4</v>
      </c>
    </row>
    <row r="287" spans="4:12" x14ac:dyDescent="0.25">
      <c r="D287" s="56" t="str">
        <f>TEXT(EDATE('[1]Input - Site'!$E$12, 9),"mmmm yyyy")</f>
        <v>October 2024</v>
      </c>
      <c r="E287" s="51" t="e" cm="1">
        <f t="array" ref="E287">ManureManagement_Swine_Methane.VEERG_4_5_1_1__1_TotalAnnualMethaneEmissions(E253,D$223,E270)</f>
        <v>#N/A</v>
      </c>
      <c r="F287" s="51" t="e" cm="1">
        <f t="array" ref="F287">ManureManagement_Swine_Methane.VEERG_4_5_1_1__1_TotalAnnualMethaneEmissions(F253,E$223,F270)</f>
        <v>#N/A</v>
      </c>
      <c r="G287" s="51" t="e" cm="1">
        <f t="array" ref="G287">ManureManagement_Swine_Methane.VEERG_4_5_1_1__1_TotalAnnualMethaneEmissions(G253,F$223,G270)</f>
        <v>#N/A</v>
      </c>
      <c r="H287" s="51" t="e" cm="1">
        <f t="array" ref="H287">ManureManagement_Swine_Methane.VEERG_4_5_1_1__1_TotalAnnualMethaneEmissions(H253,G$223,H270)</f>
        <v>#N/A</v>
      </c>
      <c r="I287" s="51" t="e" cm="1">
        <f t="array" ref="I287">ManureManagement_Swine_Methane.VEERG_4_5_1_1__1_TotalAnnualMethaneEmissions(I253,H$223,I270)</f>
        <v>#N/A</v>
      </c>
      <c r="J287" s="51" t="e" cm="1">
        <f t="array" ref="J287">ManureManagement_Swine_Methane.VEERG_4_5_1_1__1_TotalAnnualMethaneEmissions(J253,I$223,J270)</f>
        <v>#N/A</v>
      </c>
      <c r="K287" s="51" t="e" cm="1">
        <f t="array" ref="K287">ManureManagement_Swine_Methane.VEERG_4_5_1_1__1_TotalAnnualMethaneEmissions(K253,J$223,K270)</f>
        <v>#N/A</v>
      </c>
      <c r="L287" s="2" t="str">
        <f t="shared" si="3"/>
        <v>t CH4</v>
      </c>
    </row>
    <row r="288" spans="4:12" x14ac:dyDescent="0.25">
      <c r="D288" s="56" t="str">
        <f>TEXT(EDATE('[1]Input - Site'!$E$12, 10),"mmmm yyyy")</f>
        <v>November 2024</v>
      </c>
      <c r="E288" s="51" t="e" cm="1">
        <f t="array" ref="E288">ManureManagement_Swine_Methane.VEERG_4_5_1_1__1_TotalAnnualMethaneEmissions(E254,D$223,E271)</f>
        <v>#N/A</v>
      </c>
      <c r="F288" s="51" t="e" cm="1">
        <f t="array" ref="F288">ManureManagement_Swine_Methane.VEERG_4_5_1_1__1_TotalAnnualMethaneEmissions(F254,E$223,F271)</f>
        <v>#N/A</v>
      </c>
      <c r="G288" s="51" t="e" cm="1">
        <f t="array" ref="G288">ManureManagement_Swine_Methane.VEERG_4_5_1_1__1_TotalAnnualMethaneEmissions(G254,F$223,G271)</f>
        <v>#N/A</v>
      </c>
      <c r="H288" s="51" t="e" cm="1">
        <f t="array" ref="H288">ManureManagement_Swine_Methane.VEERG_4_5_1_1__1_TotalAnnualMethaneEmissions(H254,G$223,H271)</f>
        <v>#N/A</v>
      </c>
      <c r="I288" s="51" t="e" cm="1">
        <f t="array" ref="I288">ManureManagement_Swine_Methane.VEERG_4_5_1_1__1_TotalAnnualMethaneEmissions(I254,H$223,I271)</f>
        <v>#N/A</v>
      </c>
      <c r="J288" s="51" t="e" cm="1">
        <f t="array" ref="J288">ManureManagement_Swine_Methane.VEERG_4_5_1_1__1_TotalAnnualMethaneEmissions(J254,I$223,J271)</f>
        <v>#N/A</v>
      </c>
      <c r="K288" s="51" t="e" cm="1">
        <f t="array" ref="K288">ManureManagement_Swine_Methane.VEERG_4_5_1_1__1_TotalAnnualMethaneEmissions(K254,J$223,K271)</f>
        <v>#N/A</v>
      </c>
      <c r="L288" s="2" t="str">
        <f t="shared" si="3"/>
        <v>t CH4</v>
      </c>
    </row>
    <row r="289" spans="4:12" x14ac:dyDescent="0.25">
      <c r="D289" s="56" t="str">
        <f>TEXT(EDATE('[1]Input - Site'!$E$12, 11),"mmmm yyyy")</f>
        <v>December 2024</v>
      </c>
      <c r="E289" s="51" t="e" cm="1">
        <f t="array" ref="E289">ManureManagement_Swine_Methane.VEERG_4_5_1_1__1_TotalAnnualMethaneEmissions(E255,D$223,E272)</f>
        <v>#N/A</v>
      </c>
      <c r="F289" s="51" t="e" cm="1">
        <f t="array" ref="F289">ManureManagement_Swine_Methane.VEERG_4_5_1_1__1_TotalAnnualMethaneEmissions(F255,E$223,F272)</f>
        <v>#N/A</v>
      </c>
      <c r="G289" s="51" t="e" cm="1">
        <f t="array" ref="G289">ManureManagement_Swine_Methane.VEERG_4_5_1_1__1_TotalAnnualMethaneEmissions(G255,F$223,G272)</f>
        <v>#N/A</v>
      </c>
      <c r="H289" s="51" t="e" cm="1">
        <f t="array" ref="H289">ManureManagement_Swine_Methane.VEERG_4_5_1_1__1_TotalAnnualMethaneEmissions(H255,G$223,H272)</f>
        <v>#N/A</v>
      </c>
      <c r="I289" s="51" t="e" cm="1">
        <f t="array" ref="I289">ManureManagement_Swine_Methane.VEERG_4_5_1_1__1_TotalAnnualMethaneEmissions(I255,H$223,I272)</f>
        <v>#N/A</v>
      </c>
      <c r="J289" s="51" t="e" cm="1">
        <f t="array" ref="J289">ManureManagement_Swine_Methane.VEERG_4_5_1_1__1_TotalAnnualMethaneEmissions(J255,I$223,J272)</f>
        <v>#N/A</v>
      </c>
      <c r="K289" s="51" t="e" cm="1">
        <f t="array" ref="K289">ManureManagement_Swine_Methane.VEERG_4_5_1_1__1_TotalAnnualMethaneEmissions(K255,J$223,K272)</f>
        <v>#N/A</v>
      </c>
      <c r="L289" s="2" t="str">
        <f t="shared" si="3"/>
        <v>t CH4</v>
      </c>
    </row>
    <row r="292" spans="4:12" ht="20.25" x14ac:dyDescent="0.25">
      <c r="D292" s="100" t="s">
        <v>339</v>
      </c>
      <c r="E292" s="101" t="e">
        <f>SUM(E278:K289)</f>
        <v>#N/A</v>
      </c>
      <c r="F292" s="102" t="str">
        <f>E234</f>
        <v>t CH4</v>
      </c>
    </row>
    <row r="294" spans="4:12" x14ac:dyDescent="0.25">
      <c r="D294" s="56" t="str" cm="1">
        <f t="array" ref="D294:E295">Common_Equations.Common_ConvertCH4ToCO2e_Arguments()</f>
        <v>ECH4</v>
      </c>
      <c r="E294" s="57" t="str">
        <v>Methane emissions (t CH4)</v>
      </c>
      <c r="F294" s="103"/>
      <c r="G294" s="51" t="e">
        <f>E292</f>
        <v>#N/A</v>
      </c>
    </row>
    <row r="295" spans="4:12" x14ac:dyDescent="0.25">
      <c r="D295" s="56" t="str">
        <v>GWPCH4</v>
      </c>
      <c r="E295" s="57" t="str">
        <v>Global warming potential for methane (t CO2-e / t CH4)</v>
      </c>
      <c r="F295" s="103"/>
      <c r="G295" s="51" cm="1">
        <f t="array" ref="G295">Common_InputFunctions.Utility_LookupValueInTableNumber("CH4",#REF!,#REF!)</f>
        <v>0</v>
      </c>
    </row>
    <row r="296" spans="4:12" x14ac:dyDescent="0.25">
      <c r="H296" s="22"/>
    </row>
    <row r="297" spans="4:12" ht="18.75" x14ac:dyDescent="0.25">
      <c r="D297" s="45" t="s">
        <v>102</v>
      </c>
      <c r="E297" s="45" t="e" cm="1">
        <f t="array" ref="E297">Common_Equations.Common_ConvertCH4ToCO2e(G294,G295)</f>
        <v>#N/A</v>
      </c>
      <c r="F297" s="104" t="str" cm="1">
        <f t="array" ref="F297">Common_Equations.Common_ConvertN2OToCO2e_Unit()</f>
        <v>t CO2e</v>
      </c>
      <c r="H297" s="22"/>
    </row>
  </sheetData>
  <dataValidations count="1">
    <dataValidation operator="equal" allowBlank="1" showInputMessage="1" showErrorMessage="1" sqref="U172:Z172 E255 D154:F154 G166:J166 E121:J121 F122:J126 U206 E203 E258 U203 E141:J141 V143:Z144 E206 F135:F136 F142:J144 F167:J167 F172:J173 V173:Z173 U166:Z166 V167:Z167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AF291"/>
  <sheetViews>
    <sheetView showGridLines="0" topLeftCell="P216" zoomScale="70" zoomScaleNormal="70" workbookViewId="0">
      <selection activeCell="U254" sqref="U25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6" width="30.7109375" style="1" customWidth="1"/>
    <col min="17" max="17" width="4.7109375" style="1" customWidth="1"/>
    <col min="18" max="18" width="4.7109375" customWidth="1"/>
    <col min="19" max="19" width="4.7109375" style="1" customWidth="1"/>
    <col min="20" max="31" width="30.7109375" style="1" customWidth="1"/>
    <col min="32" max="32" width="4.7109375" style="1" customWidth="1"/>
  </cols>
  <sheetData>
    <row r="1" spans="1:32" s="8" customFormat="1" ht="30" customHeight="1" x14ac:dyDescent="0.35">
      <c r="A1" s="67" t="e" vm="1">
        <v>#VALUE!</v>
      </c>
      <c r="C1" s="8" t="s">
        <v>175</v>
      </c>
    </row>
    <row r="2" spans="1:32" s="9" customFormat="1" ht="20.100000000000001" customHeight="1" x14ac:dyDescent="0.25"/>
    <row r="3" spans="1:32" ht="20.100000000000001" customHeight="1" x14ac:dyDescent="0.25">
      <c r="A3" s="17" t="str">
        <f>HYPERLINK("#'Home'!A1", "Home")</f>
        <v>Home</v>
      </c>
      <c r="C3" s="4"/>
      <c r="D3" s="4" t="s">
        <v>105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S3" s="4"/>
      <c r="T3" s="4" t="s">
        <v>106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ht="20.100000000000001" customHeight="1" x14ac:dyDescent="0.25">
      <c r="A4" s="17" t="str">
        <f>HYPERLINK("#'Results'!A1", "Results")</f>
        <v>Results</v>
      </c>
    </row>
    <row r="5" spans="1:32" ht="20.100000000000001" customHeight="1" x14ac:dyDescent="0.25">
      <c r="A5" s="16"/>
      <c r="D5" s="6" t="str" cm="1">
        <f t="array" ref="D5">MMS_PastureBeef_Soil_N2ODirect_Equations.VEERG_4_2_1_3__7_RelativeSize_Title()</f>
        <v>Relative size of the cattle</v>
      </c>
    </row>
    <row r="6" spans="1:32" ht="20.100000000000001" customHeight="1" x14ac:dyDescent="0.25">
      <c r="A6" s="20" t="s">
        <v>3</v>
      </c>
      <c r="D6" s="5" t="str" cm="1">
        <f t="array" ref="D6">MMS_PastureBeef_Soil_N2ODirect_Equations.VEERG_4_2_1_3__7_RelativeSize_Source()</f>
        <v>VEERG 2026: 4.2.1.3, Equation (7)</v>
      </c>
    </row>
    <row r="7" spans="1:32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Common_InputFunctions.Utility_DisplayFunctionName(E33)</f>
        <v>=MMS_PastureBeef_Soil_N2ODirect_Equations.VEERG_4_2_1_3__7_RelativeSize</v>
      </c>
    </row>
    <row r="8" spans="1:32" ht="20.100000000000001" customHeight="1" x14ac:dyDescent="0.25">
      <c r="A8" s="17" t="str">
        <f>HYPERLINK("#'Input - Swine'!A1", "Swine")</f>
        <v>Swine</v>
      </c>
    </row>
    <row r="9" spans="1:32" ht="20.100000000000001" customHeight="1" x14ac:dyDescent="0.25">
      <c r="A9" s="17"/>
    </row>
    <row r="10" spans="1:32" ht="20.100000000000001" customHeight="1" x14ac:dyDescent="0.25">
      <c r="A10" s="19" t="s">
        <v>76</v>
      </c>
      <c r="D10" s="52" t="s">
        <v>29</v>
      </c>
      <c r="E10" s="1" t="str" cm="1">
        <f t="array" ref="E10">MMS_PastureBeef_Soil_N2ODirect_Equations.VEERG_4_2_1_3__7_RelativeSize_Variable()</f>
        <v>Z_jkl</v>
      </c>
    </row>
    <row r="11" spans="1:32" ht="20.100000000000001" customHeight="1" x14ac:dyDescent="0.25">
      <c r="A11" s="17" t="str">
        <f>HYPERLINK("#'4.2.1.1-2 Methane'!A1", "4.2.1.1-2 Methane")</f>
        <v>4.2.1.1-2 Methane</v>
      </c>
      <c r="D11" s="52" t="s">
        <v>19</v>
      </c>
      <c r="E11" s="53" t="str" cm="1">
        <f t="array" ref="E11">MMS_PastureBeef_Soil_N2ODirect_Equations.VEERG_4_2_1_3__7_RelativeSize_Unit()</f>
        <v>ratio</v>
      </c>
    </row>
    <row r="12" spans="1:32" ht="20.100000000000001" customHeight="1" x14ac:dyDescent="0.25">
      <c r="A12" s="17" t="str">
        <f>HYPERLINK("#'4.2.1.3-4 Soil direct N2O'!A1", "4.2.1.3-4 Soil direct N2O")</f>
        <v>4.2.1.3-4 Soil direct N2O</v>
      </c>
    </row>
    <row r="13" spans="1:32" ht="20.100000000000001" customHeight="1" x14ac:dyDescent="0.25">
      <c r="A13" s="17" t="str">
        <f>HYPERLINK("#'4.2.1.5-6 Soil Atmos Dep'!A1", "4.2.1.5-6 Soil atm. deposition")</f>
        <v>4.2.1.5-6 Soil atm. deposition</v>
      </c>
      <c r="D13" s="107" t="str" cm="1">
        <f t="array" ref="D13:E15">MMS_PastureBeef_Soil_N2ODirect_Equations.VEERG_4_2_1_3__7_RelativeSize_Arguments()</f>
        <v>W_jkl</v>
      </c>
      <c r="E13" s="107" t="str">
        <v>liveweight (kg)</v>
      </c>
      <c r="F13" s="107" t="str">
        <f>"See " &amp; D17</f>
        <v>See M1_Table_W_j_k_l</v>
      </c>
      <c r="G13" s="106" t="s">
        <v>177</v>
      </c>
    </row>
    <row r="14" spans="1:32" ht="20.100000000000001" customHeight="1" x14ac:dyDescent="0.25">
      <c r="A14" s="17" t="str">
        <f>HYPERLINK("#'4.2.1.7-8 Soil leach runoff'!A1", "4.2.1.7-8 Soil leach &amp; runoff")</f>
        <v>4.2.1.7-8 Soil leach &amp; runoff</v>
      </c>
      <c r="D14" s="107" t="str">
        <v>SRW_k</v>
      </c>
      <c r="E14" s="107" t="str">
        <v>standard reference weight (kg)</v>
      </c>
      <c r="F14" s="107" t="str">
        <f>"See " &amp; D25</f>
        <v>See Table_SRW_k</v>
      </c>
    </row>
    <row r="15" spans="1:32" ht="20.100000000000001" customHeight="1" x14ac:dyDescent="0.25">
      <c r="A15" s="17"/>
      <c r="D15" s="56" t="str">
        <v>i</v>
      </c>
      <c r="E15" s="56" t="str">
        <v>state</v>
      </c>
      <c r="F15" s="56">
        <f>'Input - Swine'!$E$7</f>
        <v>0</v>
      </c>
    </row>
    <row r="16" spans="1:32" ht="20.100000000000001" customHeight="1" x14ac:dyDescent="0.25">
      <c r="A16" s="18" t="s">
        <v>4</v>
      </c>
    </row>
    <row r="17" spans="1:31" ht="20.100000000000001" customHeight="1" x14ac:dyDescent="0.25">
      <c r="A17" s="17" t="str">
        <f>HYPERLINK("#'Constants - Swine'!A1", "Constants - Swine")</f>
        <v>Constants - Swine</v>
      </c>
      <c r="D17" s="98" t="s">
        <v>176</v>
      </c>
      <c r="T17" s="98" t="s">
        <v>163</v>
      </c>
    </row>
    <row r="18" spans="1:31" ht="20.100000000000001" customHeight="1" x14ac:dyDescent="0.25">
      <c r="A18" s="17" t="str">
        <f>HYPERLINK("#'Constants - Livestock'!A1", "Constants - Livestock")</f>
        <v>Constants - Livestock</v>
      </c>
      <c r="D18" s="97" t="s">
        <v>158</v>
      </c>
      <c r="T18" s="97" t="s">
        <v>164</v>
      </c>
    </row>
    <row r="19" spans="1:31" ht="20.100000000000001" customHeight="1" x14ac:dyDescent="0.25">
      <c r="A19" s="17" t="str">
        <f>HYPERLINK("#'Constants - Common'!A1", "Constants - Common")</f>
        <v>Constants - Common</v>
      </c>
      <c r="D19" s="50" t="s">
        <v>153</v>
      </c>
      <c r="E19" s="50" t="s">
        <v>118</v>
      </c>
      <c r="F19" s="50" t="s">
        <v>117</v>
      </c>
      <c r="G19" s="50" t="s">
        <v>141</v>
      </c>
      <c r="H19" s="50" t="s">
        <v>142</v>
      </c>
      <c r="I19" s="50" t="s">
        <v>143</v>
      </c>
      <c r="J19" s="50" t="s">
        <v>144</v>
      </c>
      <c r="K19" s="50" t="s">
        <v>145</v>
      </c>
      <c r="L19" s="50" t="s">
        <v>146</v>
      </c>
      <c r="M19" s="50" t="s">
        <v>147</v>
      </c>
      <c r="N19" s="50" t="s">
        <v>148</v>
      </c>
      <c r="T19" s="50" t="s">
        <v>119</v>
      </c>
      <c r="U19" s="50" t="s">
        <v>118</v>
      </c>
      <c r="V19" s="50" t="s">
        <v>117</v>
      </c>
      <c r="W19" s="50" t="s">
        <v>141</v>
      </c>
      <c r="X19" s="50" t="s">
        <v>142</v>
      </c>
      <c r="Y19" s="50" t="s">
        <v>143</v>
      </c>
      <c r="Z19" s="50" t="s">
        <v>144</v>
      </c>
      <c r="AA19" s="50" t="s">
        <v>145</v>
      </c>
      <c r="AB19" s="50" t="s">
        <v>146</v>
      </c>
      <c r="AC19" s="50" t="s">
        <v>147</v>
      </c>
      <c r="AD19" s="50" t="s">
        <v>148</v>
      </c>
      <c r="AE19" s="2"/>
    </row>
    <row r="20" spans="1:31" ht="20.100000000000001" customHeight="1" x14ac:dyDescent="0.25">
      <c r="A20" s="17" t="str">
        <f>HYPERLINK("#'Acknowledgements'!A1", "Acknowledgements")</f>
        <v>Acknowledgements</v>
      </c>
      <c r="D20" s="51">
        <f>'Input - Swine'!D138</f>
        <v>0</v>
      </c>
      <c r="E20" s="51">
        <f>'Input - Swine'!E138</f>
        <v>0</v>
      </c>
      <c r="F20" s="51">
        <f>'Input - Swine'!F138</f>
        <v>0</v>
      </c>
      <c r="G20" s="51">
        <f>'Input - Swine'!G138</f>
        <v>0</v>
      </c>
      <c r="H20" s="51">
        <f>'Input - Swine'!H138</f>
        <v>0</v>
      </c>
      <c r="I20" s="51">
        <f>'Input - Swine'!I138</f>
        <v>0</v>
      </c>
      <c r="J20" s="51">
        <f>'Input - Swine'!J138</f>
        <v>0</v>
      </c>
      <c r="K20" s="51">
        <f>'Input - Swine'!K138</f>
        <v>0</v>
      </c>
      <c r="L20" s="51">
        <f>'Input - Swine'!L138</f>
        <v>0</v>
      </c>
      <c r="M20" s="51">
        <f>'Input - Swine'!M138</f>
        <v>0</v>
      </c>
      <c r="N20" s="51">
        <f>'Input - Swine'!N118</f>
        <v>0</v>
      </c>
      <c r="O20" s="2" t="s">
        <v>120</v>
      </c>
      <c r="T20" s="51" t="str">
        <f>TEXT('Input - Site'!$E$12, "mmmm yyyy")</f>
        <v>January 2024</v>
      </c>
      <c r="U20" s="51">
        <f>'Input - Swine'!E144</f>
        <v>0</v>
      </c>
      <c r="V20" s="51">
        <f>'Input - Swine'!F144</f>
        <v>0</v>
      </c>
      <c r="W20" s="51">
        <f>'Input - Swine'!G144</f>
        <v>0</v>
      </c>
      <c r="X20" s="51">
        <f>'Input - Swine'!H144</f>
        <v>0</v>
      </c>
      <c r="Y20" s="51">
        <f>'Input - Swine'!I144</f>
        <v>0</v>
      </c>
      <c r="Z20" s="51">
        <f>'Input - Swine'!J144</f>
        <v>0</v>
      </c>
      <c r="AA20" s="51">
        <f>'Input - Swine'!K144</f>
        <v>0</v>
      </c>
      <c r="AB20" s="51">
        <f>'Input - Swine'!L144</f>
        <v>0</v>
      </c>
      <c r="AC20" s="51">
        <f>'Input - Swine'!M144</f>
        <v>0</v>
      </c>
      <c r="AD20" s="51">
        <f>'Input - Swine'!N124</f>
        <v>0</v>
      </c>
      <c r="AE20" s="2" t="s">
        <v>120</v>
      </c>
    </row>
    <row r="21" spans="1:31" ht="20.100000000000001" customHeight="1" x14ac:dyDescent="0.25">
      <c r="D21" s="51">
        <f>'Input - Swine'!D139</f>
        <v>0</v>
      </c>
      <c r="E21" s="51">
        <f>'Input - Swine'!E139</f>
        <v>0</v>
      </c>
      <c r="F21" s="51">
        <f>'Input - Swine'!F139</f>
        <v>0</v>
      </c>
      <c r="G21" s="51">
        <f>'Input - Swine'!G139</f>
        <v>0</v>
      </c>
      <c r="H21" s="51">
        <f>'Input - Swine'!H139</f>
        <v>0</v>
      </c>
      <c r="I21" s="51">
        <f>'Input - Swine'!I139</f>
        <v>0</v>
      </c>
      <c r="J21" s="51">
        <f>'Input - Swine'!J139</f>
        <v>0</v>
      </c>
      <c r="K21" s="51">
        <f>'Input - Swine'!K139</f>
        <v>0</v>
      </c>
      <c r="L21" s="51">
        <f>'Input - Swine'!L139</f>
        <v>0</v>
      </c>
      <c r="M21" s="51">
        <f>'Input - Swine'!M139</f>
        <v>0</v>
      </c>
      <c r="N21" s="51">
        <f>'Input - Swine'!N119</f>
        <v>0</v>
      </c>
      <c r="O21" s="2" t="s">
        <v>120</v>
      </c>
      <c r="T21" s="51" t="str">
        <f>TEXT(EDATE('Input - Site'!$E$12,1), "mmmm yyyy")</f>
        <v>February 2024</v>
      </c>
      <c r="U21" s="51">
        <f>'Input - Swine'!E145</f>
        <v>0</v>
      </c>
      <c r="V21" s="51">
        <f>'Input - Swine'!F145</f>
        <v>0</v>
      </c>
      <c r="W21" s="51">
        <f>'Input - Swine'!G145</f>
        <v>0</v>
      </c>
      <c r="X21" s="51">
        <f>'Input - Swine'!H145</f>
        <v>0</v>
      </c>
      <c r="Y21" s="51">
        <f>'Input - Swine'!I145</f>
        <v>0</v>
      </c>
      <c r="Z21" s="51">
        <f>'Input - Swine'!J145</f>
        <v>0</v>
      </c>
      <c r="AA21" s="51">
        <f>'Input - Swine'!K145</f>
        <v>0</v>
      </c>
      <c r="AB21" s="51">
        <f>'Input - Swine'!L145</f>
        <v>0</v>
      </c>
      <c r="AC21" s="51">
        <f>'Input - Swine'!M145</f>
        <v>0</v>
      </c>
      <c r="AD21" s="51">
        <f>'Input - Swine'!N125</f>
        <v>0</v>
      </c>
      <c r="AE21" s="2" t="s">
        <v>120</v>
      </c>
    </row>
    <row r="22" spans="1:31" ht="20.100000000000001" customHeight="1" x14ac:dyDescent="0.25">
      <c r="A22" s="17"/>
      <c r="D22" s="51">
        <f>'Input - Swine'!D140</f>
        <v>0</v>
      </c>
      <c r="E22" s="51">
        <f>'Input - Swine'!E140</f>
        <v>0</v>
      </c>
      <c r="F22" s="51">
        <f>'Input - Swine'!F140</f>
        <v>0</v>
      </c>
      <c r="G22" s="51">
        <f>'Input - Swine'!G140</f>
        <v>0</v>
      </c>
      <c r="H22" s="51">
        <f>'Input - Swine'!H140</f>
        <v>0</v>
      </c>
      <c r="I22" s="51">
        <f>'Input - Swine'!I140</f>
        <v>0</v>
      </c>
      <c r="J22" s="51">
        <f>'Input - Swine'!J140</f>
        <v>0</v>
      </c>
      <c r="K22" s="51">
        <f>'Input - Swine'!K140</f>
        <v>0</v>
      </c>
      <c r="L22" s="51">
        <f>'Input - Swine'!L140</f>
        <v>0</v>
      </c>
      <c r="M22" s="51">
        <f>'Input - Swine'!M140</f>
        <v>0</v>
      </c>
      <c r="N22" s="51">
        <f>'Input - Swine'!N120</f>
        <v>0</v>
      </c>
      <c r="O22" s="2" t="s">
        <v>120</v>
      </c>
      <c r="T22" s="51" t="str">
        <f>TEXT(EDATE('Input - Site'!$E$12,2), "mmmm yyyy")</f>
        <v>March 2024</v>
      </c>
      <c r="U22" s="51">
        <f>'Input - Swine'!E146</f>
        <v>0</v>
      </c>
      <c r="V22" s="51">
        <f>'Input - Swine'!F146</f>
        <v>0</v>
      </c>
      <c r="W22" s="51">
        <f>'Input - Swine'!G146</f>
        <v>0</v>
      </c>
      <c r="X22" s="51">
        <f>'Input - Swine'!H146</f>
        <v>0</v>
      </c>
      <c r="Y22" s="51">
        <f>'Input - Swine'!I146</f>
        <v>0</v>
      </c>
      <c r="Z22" s="51">
        <f>'Input - Swine'!J146</f>
        <v>0</v>
      </c>
      <c r="AA22" s="51">
        <f>'Input - Swine'!K146</f>
        <v>0</v>
      </c>
      <c r="AB22" s="51">
        <f>'Input - Swine'!L146</f>
        <v>0</v>
      </c>
      <c r="AC22" s="51">
        <f>'Input - Swine'!M146</f>
        <v>0</v>
      </c>
      <c r="AD22" s="51">
        <f>'Input - Swine'!N126</f>
        <v>0</v>
      </c>
      <c r="AE22" s="2" t="s">
        <v>120</v>
      </c>
    </row>
    <row r="23" spans="1:31" ht="20.100000000000001" customHeight="1" x14ac:dyDescent="0.25">
      <c r="A23" s="17"/>
      <c r="D23" s="51">
        <f>'Input - Swine'!D141</f>
        <v>0</v>
      </c>
      <c r="E23" s="51">
        <f>'Input - Swine'!E141</f>
        <v>0</v>
      </c>
      <c r="F23" s="51">
        <f>'Input - Swine'!F141</f>
        <v>0</v>
      </c>
      <c r="G23" s="51">
        <f>'Input - Swine'!G141</f>
        <v>0</v>
      </c>
      <c r="H23" s="51">
        <f>'Input - Swine'!H141</f>
        <v>0</v>
      </c>
      <c r="I23" s="51">
        <f>'Input - Swine'!I141</f>
        <v>0</v>
      </c>
      <c r="J23" s="51">
        <f>'Input - Swine'!J141</f>
        <v>0</v>
      </c>
      <c r="K23" s="51">
        <f>'Input - Swine'!K141</f>
        <v>0</v>
      </c>
      <c r="L23" s="51">
        <f>'Input - Swine'!L141</f>
        <v>0</v>
      </c>
      <c r="M23" s="51">
        <f>'Input - Swine'!M141</f>
        <v>0</v>
      </c>
      <c r="N23" s="51">
        <f>'Input - Swine'!N121</f>
        <v>0</v>
      </c>
      <c r="O23" s="2" t="s">
        <v>120</v>
      </c>
      <c r="T23" s="51" t="str">
        <f>TEXT(EDATE('Input - Site'!$E$12,3), "mmmm yyyy")</f>
        <v>April 2024</v>
      </c>
      <c r="U23" s="51">
        <f>'Input - Swine'!E147</f>
        <v>0</v>
      </c>
      <c r="V23" s="51">
        <f>'Input - Swine'!F147</f>
        <v>0</v>
      </c>
      <c r="W23" s="51">
        <f>'Input - Swine'!G147</f>
        <v>0</v>
      </c>
      <c r="X23" s="51">
        <f>'Input - Swine'!H147</f>
        <v>0</v>
      </c>
      <c r="Y23" s="51">
        <f>'Input - Swine'!I147</f>
        <v>0</v>
      </c>
      <c r="Z23" s="51">
        <f>'Input - Swine'!J147</f>
        <v>0</v>
      </c>
      <c r="AA23" s="51">
        <f>'Input - Swine'!K147</f>
        <v>0</v>
      </c>
      <c r="AB23" s="51">
        <f>'Input - Swine'!L147</f>
        <v>0</v>
      </c>
      <c r="AC23" s="51">
        <f>'Input - Swine'!M147</f>
        <v>0</v>
      </c>
      <c r="AD23" s="51">
        <f>'Input - Swine'!N127</f>
        <v>0</v>
      </c>
      <c r="AE23" s="2" t="s">
        <v>120</v>
      </c>
    </row>
    <row r="24" spans="1:31" ht="20.100000000000001" customHeight="1" x14ac:dyDescent="0.25">
      <c r="A24" s="17"/>
      <c r="T24" s="51" t="str">
        <f>TEXT(EDATE('Input - Site'!$E$12,4), "mmmm yyyy")</f>
        <v>May 2024</v>
      </c>
      <c r="U24" s="51">
        <f>'Input - Swine'!E148</f>
        <v>0</v>
      </c>
      <c r="V24" s="51">
        <f>'Input - Swine'!F148</f>
        <v>0</v>
      </c>
      <c r="W24" s="51">
        <f>'Input - Swine'!G148</f>
        <v>0</v>
      </c>
      <c r="X24" s="51">
        <f>'Input - Swine'!H148</f>
        <v>0</v>
      </c>
      <c r="Y24" s="51">
        <f>'Input - Swine'!I148</f>
        <v>0</v>
      </c>
      <c r="Z24" s="51">
        <f>'Input - Swine'!J148</f>
        <v>0</v>
      </c>
      <c r="AA24" s="51">
        <f>'Input - Swine'!K148</f>
        <v>0</v>
      </c>
      <c r="AB24" s="51">
        <f>'Input - Swine'!L148</f>
        <v>0</v>
      </c>
      <c r="AC24" s="51">
        <f>'Input - Swine'!M148</f>
        <v>0</v>
      </c>
      <c r="AD24" s="51">
        <f>'Input - Swine'!N128</f>
        <v>0</v>
      </c>
      <c r="AE24" s="2" t="s">
        <v>120</v>
      </c>
    </row>
    <row r="25" spans="1:31" ht="20.100000000000001" customHeight="1" x14ac:dyDescent="0.25">
      <c r="D25" s="98" t="s">
        <v>179</v>
      </c>
      <c r="T25" s="51" t="str">
        <f>TEXT(EDATE('Input - Site'!$E$12,5), "mmmm yyyy")</f>
        <v>June 2024</v>
      </c>
      <c r="U25" s="51">
        <f>'Input - Swine'!E149</f>
        <v>0</v>
      </c>
      <c r="V25" s="51">
        <f>'Input - Swine'!F149</f>
        <v>0</v>
      </c>
      <c r="W25" s="51">
        <f>'Input - Swine'!G149</f>
        <v>0</v>
      </c>
      <c r="X25" s="51">
        <f>'Input - Swine'!H149</f>
        <v>0</v>
      </c>
      <c r="Y25" s="51">
        <f>'Input - Swine'!I149</f>
        <v>0</v>
      </c>
      <c r="Z25" s="51">
        <f>'Input - Swine'!J149</f>
        <v>0</v>
      </c>
      <c r="AA25" s="51">
        <f>'Input - Swine'!K149</f>
        <v>0</v>
      </c>
      <c r="AB25" s="51">
        <f>'Input - Swine'!L149</f>
        <v>0</v>
      </c>
      <c r="AC25" s="51">
        <f>'Input - Swine'!M149</f>
        <v>0</v>
      </c>
      <c r="AD25" s="51">
        <f>'Input - Swine'!N129</f>
        <v>0</v>
      </c>
      <c r="AE25" s="2" t="s">
        <v>120</v>
      </c>
    </row>
    <row r="26" spans="1:31" ht="20.100000000000001" customHeight="1" x14ac:dyDescent="0.25">
      <c r="D26" s="97" t="s">
        <v>178</v>
      </c>
      <c r="T26" s="51" t="str">
        <f>TEXT(EDATE('Input - Site'!$E$12,6), "mmmm yyyy")</f>
        <v>July 2024</v>
      </c>
      <c r="U26" s="51">
        <f>'Input - Swine'!E150</f>
        <v>0</v>
      </c>
      <c r="V26" s="51">
        <f>'Input - Swine'!F150</f>
        <v>0</v>
      </c>
      <c r="W26" s="51">
        <f>'Input - Swine'!G150</f>
        <v>0</v>
      </c>
      <c r="X26" s="51">
        <f>'Input - Swine'!H150</f>
        <v>0</v>
      </c>
      <c r="Y26" s="51">
        <f>'Input - Swine'!I150</f>
        <v>0</v>
      </c>
      <c r="Z26" s="51">
        <f>'Input - Swine'!J150</f>
        <v>0</v>
      </c>
      <c r="AA26" s="51">
        <f>'Input - Swine'!K150</f>
        <v>0</v>
      </c>
      <c r="AB26" s="51">
        <f>'Input - Swine'!L150</f>
        <v>0</v>
      </c>
      <c r="AC26" s="51">
        <f>'Input - Swine'!M150</f>
        <v>0</v>
      </c>
      <c r="AD26" s="51">
        <f>'Input - Swine'!N130</f>
        <v>0</v>
      </c>
      <c r="AE26" s="2" t="s">
        <v>120</v>
      </c>
    </row>
    <row r="27" spans="1:31" ht="20.100000000000001" customHeight="1" x14ac:dyDescent="0.25">
      <c r="D27" s="50" t="s">
        <v>118</v>
      </c>
      <c r="E27" s="50" t="s">
        <v>117</v>
      </c>
      <c r="F27" s="50" t="s">
        <v>141</v>
      </c>
      <c r="G27" s="50" t="s">
        <v>142</v>
      </c>
      <c r="H27" s="50" t="s">
        <v>143</v>
      </c>
      <c r="I27" s="50" t="s">
        <v>144</v>
      </c>
      <c r="J27" s="50" t="s">
        <v>145</v>
      </c>
      <c r="K27" s="50" t="s">
        <v>146</v>
      </c>
      <c r="L27" s="50" t="s">
        <v>147</v>
      </c>
      <c r="M27" s="50" t="s">
        <v>148</v>
      </c>
      <c r="T27" s="51" t="str">
        <f>TEXT(EDATE('Input - Site'!$E$12,7), "mmmm yyyy")</f>
        <v>August 2024</v>
      </c>
      <c r="U27" s="51">
        <f>'Input - Swine'!E151</f>
        <v>0</v>
      </c>
      <c r="V27" s="51">
        <f>'Input - Swine'!F151</f>
        <v>0</v>
      </c>
      <c r="W27" s="51">
        <f>'Input - Swine'!G151</f>
        <v>0</v>
      </c>
      <c r="X27" s="51">
        <f>'Input - Swine'!H151</f>
        <v>0</v>
      </c>
      <c r="Y27" s="51">
        <f>'Input - Swine'!I151</f>
        <v>0</v>
      </c>
      <c r="Z27" s="51">
        <f>'Input - Swine'!J151</f>
        <v>0</v>
      </c>
      <c r="AA27" s="51">
        <f>'Input - Swine'!K151</f>
        <v>0</v>
      </c>
      <c r="AB27" s="51">
        <f>'Input - Swine'!L151</f>
        <v>0</v>
      </c>
      <c r="AC27" s="51">
        <f>'Input - Swine'!M151</f>
        <v>0</v>
      </c>
      <c r="AD27" s="51">
        <f>'Input - Swine'!N131</f>
        <v>0</v>
      </c>
      <c r="AE27" s="2" t="s">
        <v>120</v>
      </c>
    </row>
    <row r="28" spans="1:31" ht="20.100000000000001" customHeight="1" x14ac:dyDescent="0.25">
      <c r="D28" s="51" t="e">
        <f>Common_InputFunctions.Utility_LookupValueInTableOneColumnAndHeader(Common_InputFunctions.Utility_ConvertStateCommonNameToAbbreviation($F$15,Table_AustralianStates[Common Name],Table_AustralianStates[Abbreviation]),D27,#REF!,#REF!,#REF!)</f>
        <v>#REF!</v>
      </c>
      <c r="E28" s="51" t="e">
        <f>Common_InputFunctions.Utility_LookupValueInTableOneColumnAndHeader(Common_InputFunctions.Utility_ConvertStateCommonNameToAbbreviation($F$15,Table_AustralianStates[Common Name],Table_AustralianStates[Abbreviation]),E27,#REF!,#REF!,#REF!)</f>
        <v>#REF!</v>
      </c>
      <c r="F28" s="51" t="e">
        <f>Common_InputFunctions.Utility_LookupValueInTableOneColumnAndHeader(Common_InputFunctions.Utility_ConvertStateCommonNameToAbbreviation($F$15,Table_AustralianStates[Common Name],Table_AustralianStates[Abbreviation]),F27,#REF!,#REF!,#REF!)</f>
        <v>#REF!</v>
      </c>
      <c r="G28" s="51" t="e">
        <f>Common_InputFunctions.Utility_LookupValueInTableOneColumnAndHeader(Common_InputFunctions.Utility_ConvertStateCommonNameToAbbreviation($F$15,Table_AustralianStates[Common Name],Table_AustralianStates[Abbreviation]),G27,#REF!,#REF!,#REF!)</f>
        <v>#REF!</v>
      </c>
      <c r="H28" s="51" t="e">
        <f>Common_InputFunctions.Utility_LookupValueInTableOneColumnAndHeader(Common_InputFunctions.Utility_ConvertStateCommonNameToAbbreviation($F$15,Table_AustralianStates[Common Name],Table_AustralianStates[Abbreviation]),H27,#REF!,#REF!,#REF!)</f>
        <v>#REF!</v>
      </c>
      <c r="I28" s="51" t="e">
        <f>Common_InputFunctions.Utility_LookupValueInTableOneColumnAndHeader(Common_InputFunctions.Utility_ConvertStateCommonNameToAbbreviation($F$15,Table_AustralianStates[Common Name],Table_AustralianStates[Abbreviation]),I27,#REF!,#REF!,#REF!)</f>
        <v>#REF!</v>
      </c>
      <c r="J28" s="51" t="e">
        <f>Common_InputFunctions.Utility_LookupValueInTableOneColumnAndHeader(Common_InputFunctions.Utility_ConvertStateCommonNameToAbbreviation($F$15,Table_AustralianStates[Common Name],Table_AustralianStates[Abbreviation]),J27,#REF!,#REF!,#REF!)</f>
        <v>#REF!</v>
      </c>
      <c r="K28" s="51" t="e">
        <f>Common_InputFunctions.Utility_LookupValueInTableOneColumnAndHeader(Common_InputFunctions.Utility_ConvertStateCommonNameToAbbreviation($F$15,Table_AustralianStates[Common Name],Table_AustralianStates[Abbreviation]),K27,#REF!,#REF!,#REF!)</f>
        <v>#REF!</v>
      </c>
      <c r="L28" s="51" t="e">
        <f>Common_InputFunctions.Utility_LookupValueInTableOneColumnAndHeader(Common_InputFunctions.Utility_ConvertStateCommonNameToAbbreviation($F$15,Table_AustralianStates[Common Name],Table_AustralianStates[Abbreviation]),L27,#REF!,#REF!,#REF!)</f>
        <v>#REF!</v>
      </c>
      <c r="M28" s="51" t="e">
        <f>Common_InputFunctions.Utility_LookupValueInTableOneColumnAndHeader(Common_InputFunctions.Utility_ConvertStateCommonNameToAbbreviation($F$15,Table_AustralianStates[Common Name],Table_AustralianStates[Abbreviation]),M27,#REF!,#REF!,#REF!)</f>
        <v>#REF!</v>
      </c>
      <c r="N28" s="2" t="s">
        <v>120</v>
      </c>
      <c r="T28" s="51" t="str">
        <f>TEXT(EDATE('Input - Site'!$E$12,8), "mmmm yyyy")</f>
        <v>September 2024</v>
      </c>
      <c r="U28" s="51">
        <f>'Input - Swine'!E152</f>
        <v>0</v>
      </c>
      <c r="V28" s="51">
        <f>'Input - Swine'!F152</f>
        <v>0</v>
      </c>
      <c r="W28" s="51">
        <f>'Input - Swine'!G152</f>
        <v>0</v>
      </c>
      <c r="X28" s="51">
        <f>'Input - Swine'!H152</f>
        <v>0</v>
      </c>
      <c r="Y28" s="51">
        <f>'Input - Swine'!I152</f>
        <v>0</v>
      </c>
      <c r="Z28" s="51">
        <f>'Input - Swine'!J152</f>
        <v>0</v>
      </c>
      <c r="AA28" s="51">
        <f>'Input - Swine'!K152</f>
        <v>0</v>
      </c>
      <c r="AB28" s="51">
        <f>'Input - Swine'!L152</f>
        <v>0</v>
      </c>
      <c r="AC28" s="51">
        <f>'Input - Swine'!M152</f>
        <v>0</v>
      </c>
      <c r="AD28" s="51">
        <f>'Input - Swine'!N132</f>
        <v>0</v>
      </c>
      <c r="AE28" s="2" t="s">
        <v>120</v>
      </c>
    </row>
    <row r="29" spans="1:31" ht="20.100000000000001" customHeight="1" x14ac:dyDescent="0.25">
      <c r="T29" s="51" t="str">
        <f>TEXT(EDATE('Input - Site'!$E$12,9), "mmmm yyyy")</f>
        <v>October 2024</v>
      </c>
      <c r="U29" s="51">
        <f>'Input - Swine'!E153</f>
        <v>0</v>
      </c>
      <c r="V29" s="51">
        <f>'Input - Swine'!F153</f>
        <v>0</v>
      </c>
      <c r="W29" s="51">
        <f>'Input - Swine'!G153</f>
        <v>0</v>
      </c>
      <c r="X29" s="51">
        <f>'Input - Swine'!H153</f>
        <v>0</v>
      </c>
      <c r="Y29" s="51">
        <f>'Input - Swine'!I153</f>
        <v>0</v>
      </c>
      <c r="Z29" s="51">
        <f>'Input - Swine'!J153</f>
        <v>0</v>
      </c>
      <c r="AA29" s="51">
        <f>'Input - Swine'!K153</f>
        <v>0</v>
      </c>
      <c r="AB29" s="51">
        <f>'Input - Swine'!L153</f>
        <v>0</v>
      </c>
      <c r="AC29" s="51">
        <f>'Input - Swine'!M153</f>
        <v>0</v>
      </c>
      <c r="AD29" s="51">
        <f>'Input - Swine'!N133</f>
        <v>0</v>
      </c>
      <c r="AE29" s="2" t="s">
        <v>120</v>
      </c>
    </row>
    <row r="30" spans="1:31" ht="20.100000000000001" customHeight="1" x14ac:dyDescent="0.25">
      <c r="D30" s="98" t="s">
        <v>180</v>
      </c>
      <c r="T30" s="51" t="str">
        <f>TEXT(EDATE('Input - Site'!$E$12,10), "mmmm yyyy")</f>
        <v>November 2024</v>
      </c>
      <c r="U30" s="51">
        <f>'Input - Swine'!E154</f>
        <v>0</v>
      </c>
      <c r="V30" s="51">
        <f>'Input - Swine'!F154</f>
        <v>0</v>
      </c>
      <c r="W30" s="51">
        <f>'Input - Swine'!G154</f>
        <v>0</v>
      </c>
      <c r="X30" s="51">
        <f>'Input - Swine'!H154</f>
        <v>0</v>
      </c>
      <c r="Y30" s="51">
        <f>'Input - Swine'!I154</f>
        <v>0</v>
      </c>
      <c r="Z30" s="51">
        <f>'Input - Swine'!J154</f>
        <v>0</v>
      </c>
      <c r="AA30" s="51">
        <f>'Input - Swine'!K154</f>
        <v>0</v>
      </c>
      <c r="AB30" s="51">
        <f>'Input - Swine'!L154</f>
        <v>0</v>
      </c>
      <c r="AC30" s="51">
        <f>'Input - Swine'!M154</f>
        <v>0</v>
      </c>
      <c r="AD30" s="51">
        <f>'Input - Swine'!N134</f>
        <v>0</v>
      </c>
      <c r="AE30" s="2" t="s">
        <v>120</v>
      </c>
    </row>
    <row r="31" spans="1:31" ht="20.100000000000001" customHeight="1" x14ac:dyDescent="0.25">
      <c r="D31" s="97" t="s">
        <v>181</v>
      </c>
      <c r="T31" s="51" t="str">
        <f>TEXT(EDATE('Input - Site'!$E$12,11), "mmmm yyyy")</f>
        <v>December 2024</v>
      </c>
      <c r="U31" s="51">
        <f>'Input - Swine'!E155</f>
        <v>0</v>
      </c>
      <c r="V31" s="51">
        <f>'Input - Swine'!F155</f>
        <v>0</v>
      </c>
      <c r="W31" s="51">
        <f>'Input - Swine'!G155</f>
        <v>0</v>
      </c>
      <c r="X31" s="51">
        <f>'Input - Swine'!H155</f>
        <v>0</v>
      </c>
      <c r="Y31" s="51">
        <f>'Input - Swine'!I155</f>
        <v>0</v>
      </c>
      <c r="Z31" s="51">
        <f>'Input - Swine'!J155</f>
        <v>0</v>
      </c>
      <c r="AA31" s="51">
        <f>'Input - Swine'!K155</f>
        <v>0</v>
      </c>
      <c r="AB31" s="51">
        <f>'Input - Swine'!L155</f>
        <v>0</v>
      </c>
      <c r="AC31" s="51">
        <f>'Input - Swine'!M155</f>
        <v>0</v>
      </c>
      <c r="AD31" s="51">
        <f>'Input - Swine'!N135</f>
        <v>0</v>
      </c>
      <c r="AE31" s="2" t="s">
        <v>120</v>
      </c>
    </row>
    <row r="32" spans="1:31" ht="20.100000000000001" customHeight="1" x14ac:dyDescent="0.25">
      <c r="D32" s="50" t="s">
        <v>153</v>
      </c>
      <c r="E32" s="50" t="s">
        <v>118</v>
      </c>
      <c r="F32" s="50" t="s">
        <v>117</v>
      </c>
      <c r="G32" s="50" t="s">
        <v>141</v>
      </c>
      <c r="H32" s="50" t="s">
        <v>142</v>
      </c>
      <c r="I32" s="50" t="s">
        <v>143</v>
      </c>
      <c r="J32" s="50" t="s">
        <v>144</v>
      </c>
      <c r="K32" s="50" t="s">
        <v>145</v>
      </c>
      <c r="L32" s="50" t="s">
        <v>146</v>
      </c>
      <c r="M32" s="50" t="s">
        <v>147</v>
      </c>
      <c r="N32" s="50" t="s">
        <v>148</v>
      </c>
    </row>
    <row r="33" spans="3:31" ht="20.100000000000001" customHeight="1" x14ac:dyDescent="0.25">
      <c r="D33" s="51">
        <f>'Input - Swine'!D138</f>
        <v>0</v>
      </c>
      <c r="E33" s="51" t="e" cm="1">
        <f t="array" ref="E33">MMS_PastureBeef_Soil_N2ODirect_Equations.VEERG_4_2_1_3__7_RelativeSize(E20,D$28)</f>
        <v>#REF!</v>
      </c>
      <c r="F33" s="51" t="e" cm="1">
        <f t="array" ref="F33">MMS_PastureBeef_Soil_N2ODirect_Equations.VEERG_4_2_1_3__7_RelativeSize(F20,E$28)</f>
        <v>#REF!</v>
      </c>
      <c r="G33" s="51" t="e" cm="1">
        <f t="array" ref="G33">MMS_PastureBeef_Soil_N2ODirect_Equations.VEERG_4_2_1_3__7_RelativeSize(G20,F$28)</f>
        <v>#REF!</v>
      </c>
      <c r="H33" s="51" t="e" cm="1">
        <f t="array" ref="H33">MMS_PastureBeef_Soil_N2ODirect_Equations.VEERG_4_2_1_3__7_RelativeSize(H20,G$28)</f>
        <v>#REF!</v>
      </c>
      <c r="I33" s="51" t="e" cm="1">
        <f t="array" ref="I33">MMS_PastureBeef_Soil_N2ODirect_Equations.VEERG_4_2_1_3__7_RelativeSize(I20,H$28)</f>
        <v>#REF!</v>
      </c>
      <c r="J33" s="51" t="e" cm="1">
        <f t="array" ref="J33">MMS_PastureBeef_Soil_N2ODirect_Equations.VEERG_4_2_1_3__7_RelativeSize(J20,I$28)</f>
        <v>#REF!</v>
      </c>
      <c r="K33" s="51" t="e" cm="1">
        <f t="array" ref="K33">MMS_PastureBeef_Soil_N2ODirect_Equations.VEERG_4_2_1_3__7_RelativeSize(K20,J$28)</f>
        <v>#REF!</v>
      </c>
      <c r="L33" s="51" t="e" cm="1">
        <f t="array" ref="L33">MMS_PastureBeef_Soil_N2ODirect_Equations.VEERG_4_2_1_3__7_RelativeSize(L20,K$28)</f>
        <v>#REF!</v>
      </c>
      <c r="M33" s="51" t="e" cm="1">
        <f t="array" ref="M33">MMS_PastureBeef_Soil_N2ODirect_Equations.VEERG_4_2_1_3__7_RelativeSize(M20,L$28)</f>
        <v>#REF!</v>
      </c>
      <c r="N33" s="51" t="e" cm="1">
        <f t="array" ref="N33">MMS_PastureBeef_Soil_N2ODirect_Equations.VEERG_4_2_1_3__7_RelativeSize(N20,M$28)</f>
        <v>#REF!</v>
      </c>
      <c r="O33" s="2" t="str">
        <f>$E$11</f>
        <v>ratio</v>
      </c>
      <c r="T33" s="98" t="s">
        <v>182</v>
      </c>
    </row>
    <row r="34" spans="3:31" ht="20.100000000000001" customHeight="1" x14ac:dyDescent="0.25">
      <c r="D34" s="51">
        <f>'Input - Swine'!D139</f>
        <v>0</v>
      </c>
      <c r="E34" s="51" t="e" cm="1">
        <f t="array" ref="E34">MMS_PastureBeef_Soil_N2ODirect_Equations.VEERG_4_2_1_3__7_RelativeSize(E21,D$28)</f>
        <v>#REF!</v>
      </c>
      <c r="F34" s="51" t="e" cm="1">
        <f t="array" ref="F34">MMS_PastureBeef_Soil_N2ODirect_Equations.VEERG_4_2_1_3__7_RelativeSize(F21,E$28)</f>
        <v>#REF!</v>
      </c>
      <c r="G34" s="51" t="e" cm="1">
        <f t="array" ref="G34">MMS_PastureBeef_Soil_N2ODirect_Equations.VEERG_4_2_1_3__7_RelativeSize(G21,F$28)</f>
        <v>#REF!</v>
      </c>
      <c r="H34" s="51" t="e" cm="1">
        <f t="array" ref="H34">MMS_PastureBeef_Soil_N2ODirect_Equations.VEERG_4_2_1_3__7_RelativeSize(H21,G$28)</f>
        <v>#REF!</v>
      </c>
      <c r="I34" s="51" t="e" cm="1">
        <f t="array" ref="I34">MMS_PastureBeef_Soil_N2ODirect_Equations.VEERG_4_2_1_3__7_RelativeSize(I21,H$28)</f>
        <v>#REF!</v>
      </c>
      <c r="J34" s="51" t="e" cm="1">
        <f t="array" ref="J34">MMS_PastureBeef_Soil_N2ODirect_Equations.VEERG_4_2_1_3__7_RelativeSize(J21,I$28)</f>
        <v>#REF!</v>
      </c>
      <c r="K34" s="51" t="e" cm="1">
        <f t="array" ref="K34">MMS_PastureBeef_Soil_N2ODirect_Equations.VEERG_4_2_1_3__7_RelativeSize(K21,J$28)</f>
        <v>#REF!</v>
      </c>
      <c r="L34" s="51" t="e" cm="1">
        <f t="array" ref="L34">MMS_PastureBeef_Soil_N2ODirect_Equations.VEERG_4_2_1_3__7_RelativeSize(L21,K$28)</f>
        <v>#REF!</v>
      </c>
      <c r="M34" s="51" t="e" cm="1">
        <f t="array" ref="M34">MMS_PastureBeef_Soil_N2ODirect_Equations.VEERG_4_2_1_3__7_RelativeSize(M21,L$28)</f>
        <v>#REF!</v>
      </c>
      <c r="N34" s="51" t="e" cm="1">
        <f t="array" ref="N34">MMS_PastureBeef_Soil_N2ODirect_Equations.VEERG_4_2_1_3__7_RelativeSize(N21,M$28)</f>
        <v>#REF!</v>
      </c>
      <c r="O34" s="2" t="str">
        <f t="shared" ref="O34:O36" si="0">$E$11</f>
        <v>ratio</v>
      </c>
      <c r="T34" s="97" t="s">
        <v>183</v>
      </c>
    </row>
    <row r="35" spans="3:31" ht="20.100000000000001" customHeight="1" x14ac:dyDescent="0.25">
      <c r="D35" s="51">
        <f>'Input - Swine'!D140</f>
        <v>0</v>
      </c>
      <c r="E35" s="51" t="e" cm="1">
        <f t="array" ref="E35">MMS_PastureBeef_Soil_N2ODirect_Equations.VEERG_4_2_1_3__7_RelativeSize(E22,D$28)</f>
        <v>#REF!</v>
      </c>
      <c r="F35" s="51" t="e" cm="1">
        <f t="array" ref="F35">MMS_PastureBeef_Soil_N2ODirect_Equations.VEERG_4_2_1_3__7_RelativeSize(F22,E$28)</f>
        <v>#REF!</v>
      </c>
      <c r="G35" s="51" t="e" cm="1">
        <f t="array" ref="G35">MMS_PastureBeef_Soil_N2ODirect_Equations.VEERG_4_2_1_3__7_RelativeSize(G22,F$28)</f>
        <v>#REF!</v>
      </c>
      <c r="H35" s="51" t="e" cm="1">
        <f t="array" ref="H35">MMS_PastureBeef_Soil_N2ODirect_Equations.VEERG_4_2_1_3__7_RelativeSize(H22,G$28)</f>
        <v>#REF!</v>
      </c>
      <c r="I35" s="51" t="e" cm="1">
        <f t="array" ref="I35">MMS_PastureBeef_Soil_N2ODirect_Equations.VEERG_4_2_1_3__7_RelativeSize(I22,H$28)</f>
        <v>#REF!</v>
      </c>
      <c r="J35" s="51" t="e" cm="1">
        <f t="array" ref="J35">MMS_PastureBeef_Soil_N2ODirect_Equations.VEERG_4_2_1_3__7_RelativeSize(J22,I$28)</f>
        <v>#REF!</v>
      </c>
      <c r="K35" s="51" t="e" cm="1">
        <f t="array" ref="K35">MMS_PastureBeef_Soil_N2ODirect_Equations.VEERG_4_2_1_3__7_RelativeSize(K22,J$28)</f>
        <v>#REF!</v>
      </c>
      <c r="L35" s="51" t="e" cm="1">
        <f t="array" ref="L35">MMS_PastureBeef_Soil_N2ODirect_Equations.VEERG_4_2_1_3__7_RelativeSize(L22,K$28)</f>
        <v>#REF!</v>
      </c>
      <c r="M35" s="51" t="e" cm="1">
        <f t="array" ref="M35">MMS_PastureBeef_Soil_N2ODirect_Equations.VEERG_4_2_1_3__7_RelativeSize(M22,L$28)</f>
        <v>#REF!</v>
      </c>
      <c r="N35" s="51" t="e" cm="1">
        <f t="array" ref="N35">MMS_PastureBeef_Soil_N2ODirect_Equations.VEERG_4_2_1_3__7_RelativeSize(N22,M$28)</f>
        <v>#REF!</v>
      </c>
      <c r="O35" s="2" t="str">
        <f t="shared" si="0"/>
        <v>ratio</v>
      </c>
      <c r="T35" s="50" t="s">
        <v>119</v>
      </c>
      <c r="U35" s="50" t="s">
        <v>118</v>
      </c>
      <c r="V35" s="50" t="s">
        <v>117</v>
      </c>
      <c r="W35" s="50" t="s">
        <v>141</v>
      </c>
      <c r="X35" s="50" t="s">
        <v>142</v>
      </c>
      <c r="Y35" s="50" t="s">
        <v>143</v>
      </c>
      <c r="Z35" s="50" t="s">
        <v>144</v>
      </c>
      <c r="AA35" s="50" t="s">
        <v>145</v>
      </c>
      <c r="AB35" s="50" t="s">
        <v>146</v>
      </c>
      <c r="AC35" s="50" t="s">
        <v>147</v>
      </c>
      <c r="AD35" s="50" t="s">
        <v>148</v>
      </c>
      <c r="AE35" s="2"/>
    </row>
    <row r="36" spans="3:31" ht="20.100000000000001" customHeight="1" x14ac:dyDescent="0.25">
      <c r="D36" s="51">
        <f>'Input - Swine'!D141</f>
        <v>0</v>
      </c>
      <c r="E36" s="51" t="e" cm="1">
        <f t="array" ref="E36">MMS_PastureBeef_Soil_N2ODirect_Equations.VEERG_4_2_1_3__7_RelativeSize(E23,D$28)</f>
        <v>#REF!</v>
      </c>
      <c r="F36" s="51" t="e" cm="1">
        <f t="array" ref="F36">MMS_PastureBeef_Soil_N2ODirect_Equations.VEERG_4_2_1_3__7_RelativeSize(F23,E$28)</f>
        <v>#REF!</v>
      </c>
      <c r="G36" s="51" t="e" cm="1">
        <f t="array" ref="G36">MMS_PastureBeef_Soil_N2ODirect_Equations.VEERG_4_2_1_3__7_RelativeSize(G23,F$28)</f>
        <v>#REF!</v>
      </c>
      <c r="H36" s="51" t="e" cm="1">
        <f t="array" ref="H36">MMS_PastureBeef_Soil_N2ODirect_Equations.VEERG_4_2_1_3__7_RelativeSize(H23,G$28)</f>
        <v>#REF!</v>
      </c>
      <c r="I36" s="51" t="e" cm="1">
        <f t="array" ref="I36">MMS_PastureBeef_Soil_N2ODirect_Equations.VEERG_4_2_1_3__7_RelativeSize(I23,H$28)</f>
        <v>#REF!</v>
      </c>
      <c r="J36" s="51" t="e" cm="1">
        <f t="array" ref="J36">MMS_PastureBeef_Soil_N2ODirect_Equations.VEERG_4_2_1_3__7_RelativeSize(J23,I$28)</f>
        <v>#REF!</v>
      </c>
      <c r="K36" s="51" t="e" cm="1">
        <f t="array" ref="K36">MMS_PastureBeef_Soil_N2ODirect_Equations.VEERG_4_2_1_3__7_RelativeSize(K23,J$28)</f>
        <v>#REF!</v>
      </c>
      <c r="L36" s="51" t="e" cm="1">
        <f t="array" ref="L36">MMS_PastureBeef_Soil_N2ODirect_Equations.VEERG_4_2_1_3__7_RelativeSize(L23,K$28)</f>
        <v>#REF!</v>
      </c>
      <c r="M36" s="51" t="e" cm="1">
        <f t="array" ref="M36">MMS_PastureBeef_Soil_N2ODirect_Equations.VEERG_4_2_1_3__7_RelativeSize(M23,L$28)</f>
        <v>#REF!</v>
      </c>
      <c r="N36" s="51" t="e" cm="1">
        <f t="array" ref="N36">MMS_PastureBeef_Soil_N2ODirect_Equations.VEERG_4_2_1_3__7_RelativeSize(N23,M$28)</f>
        <v>#REF!</v>
      </c>
      <c r="O36" s="2" t="str">
        <f t="shared" si="0"/>
        <v>ratio</v>
      </c>
      <c r="T36" s="51" t="str">
        <f>TEXT('Input - Site'!$E$12, "mmmm yyyy")</f>
        <v>January 2024</v>
      </c>
      <c r="U36" s="51" t="e" cm="1">
        <f t="array" ref="U36">MMS_PastureBeef_Soil_N2ODirect_Equations.VEERG_4_2_1_3__7_RelativeSize(U20,D$28)</f>
        <v>#REF!</v>
      </c>
      <c r="V36" s="51" t="e" cm="1">
        <f t="array" ref="V36">MMS_PastureBeef_Soil_N2ODirect_Equations.VEERG_4_2_1_3__7_RelativeSize(V20,E$28)</f>
        <v>#REF!</v>
      </c>
      <c r="W36" s="51" t="e" cm="1">
        <f t="array" ref="W36">MMS_PastureBeef_Soil_N2ODirect_Equations.VEERG_4_2_1_3__7_RelativeSize(W20,F$28)</f>
        <v>#REF!</v>
      </c>
      <c r="X36" s="51" t="e" cm="1">
        <f t="array" ref="X36">MMS_PastureBeef_Soil_N2ODirect_Equations.VEERG_4_2_1_3__7_RelativeSize(X20,G$28)</f>
        <v>#REF!</v>
      </c>
      <c r="Y36" s="51" t="e" cm="1">
        <f t="array" ref="Y36">MMS_PastureBeef_Soil_N2ODirect_Equations.VEERG_4_2_1_3__7_RelativeSize(Y20,H$28)</f>
        <v>#REF!</v>
      </c>
      <c r="Z36" s="51" t="e" cm="1">
        <f t="array" ref="Z36">MMS_PastureBeef_Soil_N2ODirect_Equations.VEERG_4_2_1_3__7_RelativeSize(Z20,I$28)</f>
        <v>#REF!</v>
      </c>
      <c r="AA36" s="51" t="e" cm="1">
        <f t="array" ref="AA36">MMS_PastureBeef_Soil_N2ODirect_Equations.VEERG_4_2_1_3__7_RelativeSize(AA20,J$28)</f>
        <v>#REF!</v>
      </c>
      <c r="AB36" s="51" t="e" cm="1">
        <f t="array" ref="AB36">MMS_PastureBeef_Soil_N2ODirect_Equations.VEERG_4_2_1_3__7_RelativeSize(AB20,K$28)</f>
        <v>#REF!</v>
      </c>
      <c r="AC36" s="51" t="e" cm="1">
        <f t="array" ref="AC36">MMS_PastureBeef_Soil_N2ODirect_Equations.VEERG_4_2_1_3__7_RelativeSize(AC20,L$28)</f>
        <v>#REF!</v>
      </c>
      <c r="AD36" s="51" t="e" cm="1">
        <f t="array" ref="AD36">MMS_PastureBeef_Soil_N2ODirect_Equations.VEERG_4_2_1_3__7_RelativeSize(AD20,M$28)</f>
        <v>#REF!</v>
      </c>
      <c r="AE36" s="2" t="str">
        <f t="shared" ref="AE36:AE47" si="1">$E$11</f>
        <v>ratio</v>
      </c>
    </row>
    <row r="37" spans="3:31" ht="20.100000000000001" customHeight="1" x14ac:dyDescent="0.25">
      <c r="T37" s="51" t="str">
        <f>TEXT(EDATE('Input - Site'!$E$12,1), "mmmm yyyy")</f>
        <v>February 2024</v>
      </c>
      <c r="U37" s="51" t="e" cm="1">
        <f t="array" ref="U37">MMS_PastureBeef_Soil_N2ODirect_Equations.VEERG_4_2_1_3__7_RelativeSize(U21,D$28)</f>
        <v>#REF!</v>
      </c>
      <c r="V37" s="51" t="e" cm="1">
        <f t="array" ref="V37">MMS_PastureBeef_Soil_N2ODirect_Equations.VEERG_4_2_1_3__7_RelativeSize(V21,E$28)</f>
        <v>#REF!</v>
      </c>
      <c r="W37" s="51" t="e" cm="1">
        <f t="array" ref="W37">MMS_PastureBeef_Soil_N2ODirect_Equations.VEERG_4_2_1_3__7_RelativeSize(W21,F$28)</f>
        <v>#REF!</v>
      </c>
      <c r="X37" s="51" t="e" cm="1">
        <f t="array" ref="X37">MMS_PastureBeef_Soil_N2ODirect_Equations.VEERG_4_2_1_3__7_RelativeSize(X21,G$28)</f>
        <v>#REF!</v>
      </c>
      <c r="Y37" s="51" t="e" cm="1">
        <f t="array" ref="Y37">MMS_PastureBeef_Soil_N2ODirect_Equations.VEERG_4_2_1_3__7_RelativeSize(Y21,H$28)</f>
        <v>#REF!</v>
      </c>
      <c r="Z37" s="51" t="e" cm="1">
        <f t="array" ref="Z37">MMS_PastureBeef_Soil_N2ODirect_Equations.VEERG_4_2_1_3__7_RelativeSize(Z21,I$28)</f>
        <v>#REF!</v>
      </c>
      <c r="AA37" s="51" t="e" cm="1">
        <f t="array" ref="AA37">MMS_PastureBeef_Soil_N2ODirect_Equations.VEERG_4_2_1_3__7_RelativeSize(AA21,J$28)</f>
        <v>#REF!</v>
      </c>
      <c r="AB37" s="51" t="e" cm="1">
        <f t="array" ref="AB37">MMS_PastureBeef_Soil_N2ODirect_Equations.VEERG_4_2_1_3__7_RelativeSize(AB21,K$28)</f>
        <v>#REF!</v>
      </c>
      <c r="AC37" s="51" t="e" cm="1">
        <f t="array" ref="AC37">MMS_PastureBeef_Soil_N2ODirect_Equations.VEERG_4_2_1_3__7_RelativeSize(AC21,L$28)</f>
        <v>#REF!</v>
      </c>
      <c r="AD37" s="51" t="e" cm="1">
        <f t="array" ref="AD37">MMS_PastureBeef_Soil_N2ODirect_Equations.VEERG_4_2_1_3__7_RelativeSize(AD21,M$28)</f>
        <v>#REF!</v>
      </c>
      <c r="AE37" s="2" t="str">
        <f t="shared" si="1"/>
        <v>ratio</v>
      </c>
    </row>
    <row r="38" spans="3:31" ht="20.100000000000001" customHeight="1" x14ac:dyDescent="0.25">
      <c r="T38" s="51" t="str">
        <f>TEXT(EDATE('Input - Site'!$E$12,2), "mmmm yyyy")</f>
        <v>March 2024</v>
      </c>
      <c r="U38" s="51" t="e" cm="1">
        <f t="array" ref="U38">MMS_PastureBeef_Soil_N2ODirect_Equations.VEERG_4_2_1_3__7_RelativeSize(U22,D$28)</f>
        <v>#REF!</v>
      </c>
      <c r="V38" s="51" t="e" cm="1">
        <f t="array" ref="V38">MMS_PastureBeef_Soil_N2ODirect_Equations.VEERG_4_2_1_3__7_RelativeSize(V22,E$28)</f>
        <v>#REF!</v>
      </c>
      <c r="W38" s="51" t="e" cm="1">
        <f t="array" ref="W38">MMS_PastureBeef_Soil_N2ODirect_Equations.VEERG_4_2_1_3__7_RelativeSize(W22,F$28)</f>
        <v>#REF!</v>
      </c>
      <c r="X38" s="51" t="e" cm="1">
        <f t="array" ref="X38">MMS_PastureBeef_Soil_N2ODirect_Equations.VEERG_4_2_1_3__7_RelativeSize(X22,G$28)</f>
        <v>#REF!</v>
      </c>
      <c r="Y38" s="51" t="e" cm="1">
        <f t="array" ref="Y38">MMS_PastureBeef_Soil_N2ODirect_Equations.VEERG_4_2_1_3__7_RelativeSize(Y22,H$28)</f>
        <v>#REF!</v>
      </c>
      <c r="Z38" s="51" t="e" cm="1">
        <f t="array" ref="Z38">MMS_PastureBeef_Soil_N2ODirect_Equations.VEERG_4_2_1_3__7_RelativeSize(Z22,I$28)</f>
        <v>#REF!</v>
      </c>
      <c r="AA38" s="51" t="e" cm="1">
        <f t="array" ref="AA38">MMS_PastureBeef_Soil_N2ODirect_Equations.VEERG_4_2_1_3__7_RelativeSize(AA22,J$28)</f>
        <v>#REF!</v>
      </c>
      <c r="AB38" s="51" t="e" cm="1">
        <f t="array" ref="AB38">MMS_PastureBeef_Soil_N2ODirect_Equations.VEERG_4_2_1_3__7_RelativeSize(AB22,K$28)</f>
        <v>#REF!</v>
      </c>
      <c r="AC38" s="51" t="e" cm="1">
        <f t="array" ref="AC38">MMS_PastureBeef_Soil_N2ODirect_Equations.VEERG_4_2_1_3__7_RelativeSize(AC22,L$28)</f>
        <v>#REF!</v>
      </c>
      <c r="AD38" s="51" t="e" cm="1">
        <f t="array" ref="AD38">MMS_PastureBeef_Soil_N2ODirect_Equations.VEERG_4_2_1_3__7_RelativeSize(AD22,M$28)</f>
        <v>#REF!</v>
      </c>
      <c r="AE38" s="2" t="str">
        <f t="shared" si="1"/>
        <v>ratio</v>
      </c>
    </row>
    <row r="39" spans="3:31" ht="20.100000000000001" customHeight="1" x14ac:dyDescent="0.25"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T39" s="51" t="str">
        <f>TEXT(EDATE('Input - Site'!$E$12,3), "mmmm yyyy")</f>
        <v>April 2024</v>
      </c>
      <c r="U39" s="51" t="e" cm="1">
        <f t="array" ref="U39">MMS_PastureBeef_Soil_N2ODirect_Equations.VEERG_4_2_1_3__7_RelativeSize(U23,D$28)</f>
        <v>#REF!</v>
      </c>
      <c r="V39" s="51" t="e" cm="1">
        <f t="array" ref="V39">MMS_PastureBeef_Soil_N2ODirect_Equations.VEERG_4_2_1_3__7_RelativeSize(V23,E$28)</f>
        <v>#REF!</v>
      </c>
      <c r="W39" s="51" t="e" cm="1">
        <f t="array" ref="W39">MMS_PastureBeef_Soil_N2ODirect_Equations.VEERG_4_2_1_3__7_RelativeSize(W23,F$28)</f>
        <v>#REF!</v>
      </c>
      <c r="X39" s="51" t="e" cm="1">
        <f t="array" ref="X39">MMS_PastureBeef_Soil_N2ODirect_Equations.VEERG_4_2_1_3__7_RelativeSize(X23,G$28)</f>
        <v>#REF!</v>
      </c>
      <c r="Y39" s="51" t="e" cm="1">
        <f t="array" ref="Y39">MMS_PastureBeef_Soil_N2ODirect_Equations.VEERG_4_2_1_3__7_RelativeSize(Y23,H$28)</f>
        <v>#REF!</v>
      </c>
      <c r="Z39" s="51" t="e" cm="1">
        <f t="array" ref="Z39">MMS_PastureBeef_Soil_N2ODirect_Equations.VEERG_4_2_1_3__7_RelativeSize(Z23,I$28)</f>
        <v>#REF!</v>
      </c>
      <c r="AA39" s="51" t="e" cm="1">
        <f t="array" ref="AA39">MMS_PastureBeef_Soil_N2ODirect_Equations.VEERG_4_2_1_3__7_RelativeSize(AA23,J$28)</f>
        <v>#REF!</v>
      </c>
      <c r="AB39" s="51" t="e" cm="1">
        <f t="array" ref="AB39">MMS_PastureBeef_Soil_N2ODirect_Equations.VEERG_4_2_1_3__7_RelativeSize(AB23,K$28)</f>
        <v>#REF!</v>
      </c>
      <c r="AC39" s="51" t="e" cm="1">
        <f t="array" ref="AC39">MMS_PastureBeef_Soil_N2ODirect_Equations.VEERG_4_2_1_3__7_RelativeSize(AC23,L$28)</f>
        <v>#REF!</v>
      </c>
      <c r="AD39" s="51" t="e" cm="1">
        <f t="array" ref="AD39">MMS_PastureBeef_Soil_N2ODirect_Equations.VEERG_4_2_1_3__7_RelativeSize(AD23,M$28)</f>
        <v>#REF!</v>
      </c>
      <c r="AE39" s="2" t="str">
        <f t="shared" si="1"/>
        <v>ratio</v>
      </c>
    </row>
    <row r="40" spans="3:31" ht="20.100000000000001" customHeight="1" x14ac:dyDescent="0.25">
      <c r="D40" s="6" t="str" cm="1">
        <f t="array" ref="D40">MMS_PastureBeef_Soil_N2ODirect_Equations.VEERG_4_2_1_3__6_IntakeRelativeToMaintenance_Title()</f>
        <v>Intake relative to that needed for maintenance</v>
      </c>
      <c r="T40" s="51" t="str">
        <f>TEXT(EDATE('Input - Site'!$E$12,4), "mmmm yyyy")</f>
        <v>May 2024</v>
      </c>
      <c r="U40" s="51" t="e" cm="1">
        <f t="array" ref="U40">MMS_PastureBeef_Soil_N2ODirect_Equations.VEERG_4_2_1_3__7_RelativeSize(U24,D$28)</f>
        <v>#REF!</v>
      </c>
      <c r="V40" s="51" t="e" cm="1">
        <f t="array" ref="V40">MMS_PastureBeef_Soil_N2ODirect_Equations.VEERG_4_2_1_3__7_RelativeSize(V24,E$28)</f>
        <v>#REF!</v>
      </c>
      <c r="W40" s="51" t="e" cm="1">
        <f t="array" ref="W40">MMS_PastureBeef_Soil_N2ODirect_Equations.VEERG_4_2_1_3__7_RelativeSize(W24,F$28)</f>
        <v>#REF!</v>
      </c>
      <c r="X40" s="51" t="e" cm="1">
        <f t="array" ref="X40">MMS_PastureBeef_Soil_N2ODirect_Equations.VEERG_4_2_1_3__7_RelativeSize(X24,G$28)</f>
        <v>#REF!</v>
      </c>
      <c r="Y40" s="51" t="e" cm="1">
        <f t="array" ref="Y40">MMS_PastureBeef_Soil_N2ODirect_Equations.VEERG_4_2_1_3__7_RelativeSize(Y24,H$28)</f>
        <v>#REF!</v>
      </c>
      <c r="Z40" s="51" t="e" cm="1">
        <f t="array" ref="Z40">MMS_PastureBeef_Soil_N2ODirect_Equations.VEERG_4_2_1_3__7_RelativeSize(Z24,I$28)</f>
        <v>#REF!</v>
      </c>
      <c r="AA40" s="51" t="e" cm="1">
        <f t="array" ref="AA40">MMS_PastureBeef_Soil_N2ODirect_Equations.VEERG_4_2_1_3__7_RelativeSize(AA24,J$28)</f>
        <v>#REF!</v>
      </c>
      <c r="AB40" s="51" t="e" cm="1">
        <f t="array" ref="AB40">MMS_PastureBeef_Soil_N2ODirect_Equations.VEERG_4_2_1_3__7_RelativeSize(AB24,K$28)</f>
        <v>#REF!</v>
      </c>
      <c r="AC40" s="51" t="e" cm="1">
        <f t="array" ref="AC40">MMS_PastureBeef_Soil_N2ODirect_Equations.VEERG_4_2_1_3__7_RelativeSize(AC24,L$28)</f>
        <v>#REF!</v>
      </c>
      <c r="AD40" s="51" t="e" cm="1">
        <f t="array" ref="AD40">MMS_PastureBeef_Soil_N2ODirect_Equations.VEERG_4_2_1_3__7_RelativeSize(AD24,M$28)</f>
        <v>#REF!</v>
      </c>
      <c r="AE40" s="2" t="str">
        <f t="shared" si="1"/>
        <v>ratio</v>
      </c>
    </row>
    <row r="41" spans="3:31" ht="20.100000000000001" customHeight="1" x14ac:dyDescent="0.25">
      <c r="D41" s="5" t="str" cm="1">
        <f t="array" ref="D41">MMS_PastureBeef_Soil_N2ODirect_Equations.VEERG_4_2_1_3__6_IntakeRelativeToMaintenance_Source()</f>
        <v>VEERG 2026: 4.2.1.3, Equation (6)</v>
      </c>
      <c r="T41" s="51" t="str">
        <f>TEXT(EDATE('Input - Site'!$E$12,5), "mmmm yyyy")</f>
        <v>June 2024</v>
      </c>
      <c r="U41" s="51" t="e" cm="1">
        <f t="array" ref="U41">MMS_PastureBeef_Soil_N2ODirect_Equations.VEERG_4_2_1_3__7_RelativeSize(U25,D$28)</f>
        <v>#REF!</v>
      </c>
      <c r="V41" s="51" t="e" cm="1">
        <f t="array" ref="V41">MMS_PastureBeef_Soil_N2ODirect_Equations.VEERG_4_2_1_3__7_RelativeSize(V25,E$28)</f>
        <v>#REF!</v>
      </c>
      <c r="W41" s="51" t="e" cm="1">
        <f t="array" ref="W41">MMS_PastureBeef_Soil_N2ODirect_Equations.VEERG_4_2_1_3__7_RelativeSize(W25,F$28)</f>
        <v>#REF!</v>
      </c>
      <c r="X41" s="51" t="e" cm="1">
        <f t="array" ref="X41">MMS_PastureBeef_Soil_N2ODirect_Equations.VEERG_4_2_1_3__7_RelativeSize(X25,G$28)</f>
        <v>#REF!</v>
      </c>
      <c r="Y41" s="51" t="e" cm="1">
        <f t="array" ref="Y41">MMS_PastureBeef_Soil_N2ODirect_Equations.VEERG_4_2_1_3__7_RelativeSize(Y25,H$28)</f>
        <v>#REF!</v>
      </c>
      <c r="Z41" s="51" t="e" cm="1">
        <f t="array" ref="Z41">MMS_PastureBeef_Soil_N2ODirect_Equations.VEERG_4_2_1_3__7_RelativeSize(Z25,I$28)</f>
        <v>#REF!</v>
      </c>
      <c r="AA41" s="51" t="e" cm="1">
        <f t="array" ref="AA41">MMS_PastureBeef_Soil_N2ODirect_Equations.VEERG_4_2_1_3__7_RelativeSize(AA25,J$28)</f>
        <v>#REF!</v>
      </c>
      <c r="AB41" s="51" t="e" cm="1">
        <f t="array" ref="AB41">MMS_PastureBeef_Soil_N2ODirect_Equations.VEERG_4_2_1_3__7_RelativeSize(AB25,K$28)</f>
        <v>#REF!</v>
      </c>
      <c r="AC41" s="51" t="e" cm="1">
        <f t="array" ref="AC41">MMS_PastureBeef_Soil_N2ODirect_Equations.VEERG_4_2_1_3__7_RelativeSize(AC25,L$28)</f>
        <v>#REF!</v>
      </c>
      <c r="AD41" s="51" t="e" cm="1">
        <f t="array" ref="AD41">MMS_PastureBeef_Soil_N2ODirect_Equations.VEERG_4_2_1_3__7_RelativeSize(AD25,M$28)</f>
        <v>#REF!</v>
      </c>
      <c r="AE41" s="2" t="str">
        <f t="shared" si="1"/>
        <v>ratio</v>
      </c>
    </row>
    <row r="42" spans="3:31" ht="20.100000000000001" customHeight="1" x14ac:dyDescent="0.25">
      <c r="D42" s="13" t="s">
        <v>26</v>
      </c>
      <c r="E42" s="13" t="str" cm="1">
        <f t="array" aca="1" ref="E42" ca="1">Common_InputFunctions.Utility_DisplayFunctionName(E62)</f>
        <v>=MMS_PastureBeef_Soil_N2ODirect_Equations.VEERG_4_2_1_3__6_IntakeRelativeToMaintenance</v>
      </c>
      <c r="T42" s="51" t="str">
        <f>TEXT(EDATE('Input - Site'!$E$12,6), "mmmm yyyy")</f>
        <v>July 2024</v>
      </c>
      <c r="U42" s="51" t="e" cm="1">
        <f t="array" ref="U42">MMS_PastureBeef_Soil_N2ODirect_Equations.VEERG_4_2_1_3__7_RelativeSize(U26,D$28)</f>
        <v>#REF!</v>
      </c>
      <c r="V42" s="51" t="e" cm="1">
        <f t="array" ref="V42">MMS_PastureBeef_Soil_N2ODirect_Equations.VEERG_4_2_1_3__7_RelativeSize(V26,E$28)</f>
        <v>#REF!</v>
      </c>
      <c r="W42" s="51" t="e" cm="1">
        <f t="array" ref="W42">MMS_PastureBeef_Soil_N2ODirect_Equations.VEERG_4_2_1_3__7_RelativeSize(W26,F$28)</f>
        <v>#REF!</v>
      </c>
      <c r="X42" s="51" t="e" cm="1">
        <f t="array" ref="X42">MMS_PastureBeef_Soil_N2ODirect_Equations.VEERG_4_2_1_3__7_RelativeSize(X26,G$28)</f>
        <v>#REF!</v>
      </c>
      <c r="Y42" s="51" t="e" cm="1">
        <f t="array" ref="Y42">MMS_PastureBeef_Soil_N2ODirect_Equations.VEERG_4_2_1_3__7_RelativeSize(Y26,H$28)</f>
        <v>#REF!</v>
      </c>
      <c r="Z42" s="51" t="e" cm="1">
        <f t="array" ref="Z42">MMS_PastureBeef_Soil_N2ODirect_Equations.VEERG_4_2_1_3__7_RelativeSize(Z26,I$28)</f>
        <v>#REF!</v>
      </c>
      <c r="AA42" s="51" t="e" cm="1">
        <f t="array" ref="AA42">MMS_PastureBeef_Soil_N2ODirect_Equations.VEERG_4_2_1_3__7_RelativeSize(AA26,J$28)</f>
        <v>#REF!</v>
      </c>
      <c r="AB42" s="51" t="e" cm="1">
        <f t="array" ref="AB42">MMS_PastureBeef_Soil_N2ODirect_Equations.VEERG_4_2_1_3__7_RelativeSize(AB26,K$28)</f>
        <v>#REF!</v>
      </c>
      <c r="AC42" s="51" t="e" cm="1">
        <f t="array" ref="AC42">MMS_PastureBeef_Soil_N2ODirect_Equations.VEERG_4_2_1_3__7_RelativeSize(AC26,L$28)</f>
        <v>#REF!</v>
      </c>
      <c r="AD42" s="51" t="e" cm="1">
        <f t="array" ref="AD42">MMS_PastureBeef_Soil_N2ODirect_Equations.VEERG_4_2_1_3__7_RelativeSize(AD26,M$28)</f>
        <v>#REF!</v>
      </c>
      <c r="AE42" s="2" t="str">
        <f t="shared" si="1"/>
        <v>ratio</v>
      </c>
    </row>
    <row r="43" spans="3:31" ht="20.100000000000001" customHeight="1" x14ac:dyDescent="0.25">
      <c r="T43" s="51" t="str">
        <f>TEXT(EDATE('Input - Site'!$E$12,7), "mmmm yyyy")</f>
        <v>August 2024</v>
      </c>
      <c r="U43" s="51" t="e" cm="1">
        <f t="array" ref="U43">MMS_PastureBeef_Soil_N2ODirect_Equations.VEERG_4_2_1_3__7_RelativeSize(U27,D$28)</f>
        <v>#REF!</v>
      </c>
      <c r="V43" s="51" t="e" cm="1">
        <f t="array" ref="V43">MMS_PastureBeef_Soil_N2ODirect_Equations.VEERG_4_2_1_3__7_RelativeSize(V27,E$28)</f>
        <v>#REF!</v>
      </c>
      <c r="W43" s="51" t="e" cm="1">
        <f t="array" ref="W43">MMS_PastureBeef_Soil_N2ODirect_Equations.VEERG_4_2_1_3__7_RelativeSize(W27,F$28)</f>
        <v>#REF!</v>
      </c>
      <c r="X43" s="51" t="e" cm="1">
        <f t="array" ref="X43">MMS_PastureBeef_Soil_N2ODirect_Equations.VEERG_4_2_1_3__7_RelativeSize(X27,G$28)</f>
        <v>#REF!</v>
      </c>
      <c r="Y43" s="51" t="e" cm="1">
        <f t="array" ref="Y43">MMS_PastureBeef_Soil_N2ODirect_Equations.VEERG_4_2_1_3__7_RelativeSize(Y27,H$28)</f>
        <v>#REF!</v>
      </c>
      <c r="Z43" s="51" t="e" cm="1">
        <f t="array" ref="Z43">MMS_PastureBeef_Soil_N2ODirect_Equations.VEERG_4_2_1_3__7_RelativeSize(Z27,I$28)</f>
        <v>#REF!</v>
      </c>
      <c r="AA43" s="51" t="e" cm="1">
        <f t="array" ref="AA43">MMS_PastureBeef_Soil_N2ODirect_Equations.VEERG_4_2_1_3__7_RelativeSize(AA27,J$28)</f>
        <v>#REF!</v>
      </c>
      <c r="AB43" s="51" t="e" cm="1">
        <f t="array" ref="AB43">MMS_PastureBeef_Soil_N2ODirect_Equations.VEERG_4_2_1_3__7_RelativeSize(AB27,K$28)</f>
        <v>#REF!</v>
      </c>
      <c r="AC43" s="51" t="e" cm="1">
        <f t="array" ref="AC43">MMS_PastureBeef_Soil_N2ODirect_Equations.VEERG_4_2_1_3__7_RelativeSize(AC27,L$28)</f>
        <v>#REF!</v>
      </c>
      <c r="AD43" s="51" t="e" cm="1">
        <f t="array" ref="AD43">MMS_PastureBeef_Soil_N2ODirect_Equations.VEERG_4_2_1_3__7_RelativeSize(AD27,M$28)</f>
        <v>#REF!</v>
      </c>
      <c r="AE43" s="2" t="str">
        <f t="shared" si="1"/>
        <v>ratio</v>
      </c>
    </row>
    <row r="44" spans="3:31" ht="20.100000000000001" customHeight="1" x14ac:dyDescent="0.25">
      <c r="T44" s="51" t="str">
        <f>TEXT(EDATE('Input - Site'!$E$12,8), "mmmm yyyy")</f>
        <v>September 2024</v>
      </c>
      <c r="U44" s="51" t="e" cm="1">
        <f t="array" ref="U44">MMS_PastureBeef_Soil_N2ODirect_Equations.VEERG_4_2_1_3__7_RelativeSize(U28,D$28)</f>
        <v>#REF!</v>
      </c>
      <c r="V44" s="51" t="e" cm="1">
        <f t="array" ref="V44">MMS_PastureBeef_Soil_N2ODirect_Equations.VEERG_4_2_1_3__7_RelativeSize(V28,E$28)</f>
        <v>#REF!</v>
      </c>
      <c r="W44" s="51" t="e" cm="1">
        <f t="array" ref="W44">MMS_PastureBeef_Soil_N2ODirect_Equations.VEERG_4_2_1_3__7_RelativeSize(W28,F$28)</f>
        <v>#REF!</v>
      </c>
      <c r="X44" s="51" t="e" cm="1">
        <f t="array" ref="X44">MMS_PastureBeef_Soil_N2ODirect_Equations.VEERG_4_2_1_3__7_RelativeSize(X28,G$28)</f>
        <v>#REF!</v>
      </c>
      <c r="Y44" s="51" t="e" cm="1">
        <f t="array" ref="Y44">MMS_PastureBeef_Soil_N2ODirect_Equations.VEERG_4_2_1_3__7_RelativeSize(Y28,H$28)</f>
        <v>#REF!</v>
      </c>
      <c r="Z44" s="51" t="e" cm="1">
        <f t="array" ref="Z44">MMS_PastureBeef_Soil_N2ODirect_Equations.VEERG_4_2_1_3__7_RelativeSize(Z28,I$28)</f>
        <v>#REF!</v>
      </c>
      <c r="AA44" s="51" t="e" cm="1">
        <f t="array" ref="AA44">MMS_PastureBeef_Soil_N2ODirect_Equations.VEERG_4_2_1_3__7_RelativeSize(AA28,J$28)</f>
        <v>#REF!</v>
      </c>
      <c r="AB44" s="51" t="e" cm="1">
        <f t="array" ref="AB44">MMS_PastureBeef_Soil_N2ODirect_Equations.VEERG_4_2_1_3__7_RelativeSize(AB28,K$28)</f>
        <v>#REF!</v>
      </c>
      <c r="AC44" s="51" t="e" cm="1">
        <f t="array" ref="AC44">MMS_PastureBeef_Soil_N2ODirect_Equations.VEERG_4_2_1_3__7_RelativeSize(AC28,L$28)</f>
        <v>#REF!</v>
      </c>
      <c r="AD44" s="51" t="e" cm="1">
        <f t="array" ref="AD44">MMS_PastureBeef_Soil_N2ODirect_Equations.VEERG_4_2_1_3__7_RelativeSize(AD28,M$28)</f>
        <v>#REF!</v>
      </c>
      <c r="AE44" s="2" t="str">
        <f t="shared" si="1"/>
        <v>ratio</v>
      </c>
    </row>
    <row r="45" spans="3:31" ht="20.100000000000001" customHeight="1" x14ac:dyDescent="0.25">
      <c r="D45" s="52" t="s">
        <v>29</v>
      </c>
      <c r="E45" s="1" t="str" cm="1">
        <f t="array" ref="E45">MMS_PastureBeef_Soil_N2ODirect_Equations.VEERG_4_2_1_3__6_IntakeRelativeToMaintenance_Variable()</f>
        <v>L_jkl</v>
      </c>
      <c r="T45" s="51" t="str">
        <f>TEXT(EDATE('Input - Site'!$E$12,9), "mmmm yyyy")</f>
        <v>October 2024</v>
      </c>
      <c r="U45" s="51" t="e" cm="1">
        <f t="array" ref="U45">MMS_PastureBeef_Soil_N2ODirect_Equations.VEERG_4_2_1_3__7_RelativeSize(U29,D$28)</f>
        <v>#REF!</v>
      </c>
      <c r="V45" s="51" t="e" cm="1">
        <f t="array" ref="V45">MMS_PastureBeef_Soil_N2ODirect_Equations.VEERG_4_2_1_3__7_RelativeSize(V29,E$28)</f>
        <v>#REF!</v>
      </c>
      <c r="W45" s="51" t="e" cm="1">
        <f t="array" ref="W45">MMS_PastureBeef_Soil_N2ODirect_Equations.VEERG_4_2_1_3__7_RelativeSize(W29,F$28)</f>
        <v>#REF!</v>
      </c>
      <c r="X45" s="51" t="e" cm="1">
        <f t="array" ref="X45">MMS_PastureBeef_Soil_N2ODirect_Equations.VEERG_4_2_1_3__7_RelativeSize(X29,G$28)</f>
        <v>#REF!</v>
      </c>
      <c r="Y45" s="51" t="e" cm="1">
        <f t="array" ref="Y45">MMS_PastureBeef_Soil_N2ODirect_Equations.VEERG_4_2_1_3__7_RelativeSize(Y29,H$28)</f>
        <v>#REF!</v>
      </c>
      <c r="Z45" s="51" t="e" cm="1">
        <f t="array" ref="Z45">MMS_PastureBeef_Soil_N2ODirect_Equations.VEERG_4_2_1_3__7_RelativeSize(Z29,I$28)</f>
        <v>#REF!</v>
      </c>
      <c r="AA45" s="51" t="e" cm="1">
        <f t="array" ref="AA45">MMS_PastureBeef_Soil_N2ODirect_Equations.VEERG_4_2_1_3__7_RelativeSize(AA29,J$28)</f>
        <v>#REF!</v>
      </c>
      <c r="AB45" s="51" t="e" cm="1">
        <f t="array" ref="AB45">MMS_PastureBeef_Soil_N2ODirect_Equations.VEERG_4_2_1_3__7_RelativeSize(AB29,K$28)</f>
        <v>#REF!</v>
      </c>
      <c r="AC45" s="51" t="e" cm="1">
        <f t="array" ref="AC45">MMS_PastureBeef_Soil_N2ODirect_Equations.VEERG_4_2_1_3__7_RelativeSize(AC29,L$28)</f>
        <v>#REF!</v>
      </c>
      <c r="AD45" s="51" t="e" cm="1">
        <f t="array" ref="AD45">MMS_PastureBeef_Soil_N2ODirect_Equations.VEERG_4_2_1_3__7_RelativeSize(AD29,M$28)</f>
        <v>#REF!</v>
      </c>
      <c r="AE45" s="2" t="str">
        <f t="shared" si="1"/>
        <v>ratio</v>
      </c>
    </row>
    <row r="46" spans="3:31" ht="20.100000000000001" customHeight="1" x14ac:dyDescent="0.25">
      <c r="D46" s="52" t="s">
        <v>19</v>
      </c>
      <c r="E46" s="53" t="str" cm="1">
        <f t="array" ref="E46">MMS_PastureBeef_Soil_N2ODirect_Equations.VEERG_4_2_1_3__6_IntakeRelativeToMaintenance_Unit()</f>
        <v>ratio</v>
      </c>
      <c r="T46" s="51" t="str">
        <f>TEXT(EDATE('Input - Site'!$E$12,10), "mmmm yyyy")</f>
        <v>November 2024</v>
      </c>
      <c r="U46" s="51" t="e" cm="1">
        <f t="array" ref="U46">MMS_PastureBeef_Soil_N2ODirect_Equations.VEERG_4_2_1_3__7_RelativeSize(U30,D$28)</f>
        <v>#REF!</v>
      </c>
      <c r="V46" s="51" t="e" cm="1">
        <f t="array" ref="V46">MMS_PastureBeef_Soil_N2ODirect_Equations.VEERG_4_2_1_3__7_RelativeSize(V30,E$28)</f>
        <v>#REF!</v>
      </c>
      <c r="W46" s="51" t="e" cm="1">
        <f t="array" ref="W46">MMS_PastureBeef_Soil_N2ODirect_Equations.VEERG_4_2_1_3__7_RelativeSize(W30,F$28)</f>
        <v>#REF!</v>
      </c>
      <c r="X46" s="51" t="e" cm="1">
        <f t="array" ref="X46">MMS_PastureBeef_Soil_N2ODirect_Equations.VEERG_4_2_1_3__7_RelativeSize(X30,G$28)</f>
        <v>#REF!</v>
      </c>
      <c r="Y46" s="51" t="e" cm="1">
        <f t="array" ref="Y46">MMS_PastureBeef_Soil_N2ODirect_Equations.VEERG_4_2_1_3__7_RelativeSize(Y30,H$28)</f>
        <v>#REF!</v>
      </c>
      <c r="Z46" s="51" t="e" cm="1">
        <f t="array" ref="Z46">MMS_PastureBeef_Soil_N2ODirect_Equations.VEERG_4_2_1_3__7_RelativeSize(Z30,I$28)</f>
        <v>#REF!</v>
      </c>
      <c r="AA46" s="51" t="e" cm="1">
        <f t="array" ref="AA46">MMS_PastureBeef_Soil_N2ODirect_Equations.VEERG_4_2_1_3__7_RelativeSize(AA30,J$28)</f>
        <v>#REF!</v>
      </c>
      <c r="AB46" s="51" t="e" cm="1">
        <f t="array" ref="AB46">MMS_PastureBeef_Soil_N2ODirect_Equations.VEERG_4_2_1_3__7_RelativeSize(AB30,K$28)</f>
        <v>#REF!</v>
      </c>
      <c r="AC46" s="51" t="e" cm="1">
        <f t="array" ref="AC46">MMS_PastureBeef_Soil_N2ODirect_Equations.VEERG_4_2_1_3__7_RelativeSize(AC30,L$28)</f>
        <v>#REF!</v>
      </c>
      <c r="AD46" s="51" t="e" cm="1">
        <f t="array" ref="AD46">MMS_PastureBeef_Soil_N2ODirect_Equations.VEERG_4_2_1_3__7_RelativeSize(AD30,M$28)</f>
        <v>#REF!</v>
      </c>
      <c r="AE46" s="2" t="str">
        <f t="shared" si="1"/>
        <v>ratio</v>
      </c>
    </row>
    <row r="47" spans="3:31" ht="20.100000000000001" customHeight="1" x14ac:dyDescent="0.25">
      <c r="T47" s="51" t="str">
        <f>TEXT(EDATE('Input - Site'!$E$12,11), "mmmm yyyy")</f>
        <v>December 2024</v>
      </c>
      <c r="U47" s="51" t="e" cm="1">
        <f t="array" ref="U47">MMS_PastureBeef_Soil_N2ODirect_Equations.VEERG_4_2_1_3__7_RelativeSize(U31,D$28)</f>
        <v>#REF!</v>
      </c>
      <c r="V47" s="51" t="e" cm="1">
        <f t="array" ref="V47">MMS_PastureBeef_Soil_N2ODirect_Equations.VEERG_4_2_1_3__7_RelativeSize(V31,E$28)</f>
        <v>#REF!</v>
      </c>
      <c r="W47" s="51" t="e" cm="1">
        <f t="array" ref="W47">MMS_PastureBeef_Soil_N2ODirect_Equations.VEERG_4_2_1_3__7_RelativeSize(W31,F$28)</f>
        <v>#REF!</v>
      </c>
      <c r="X47" s="51" t="e" cm="1">
        <f t="array" ref="X47">MMS_PastureBeef_Soil_N2ODirect_Equations.VEERG_4_2_1_3__7_RelativeSize(X31,G$28)</f>
        <v>#REF!</v>
      </c>
      <c r="Y47" s="51" t="e" cm="1">
        <f t="array" ref="Y47">MMS_PastureBeef_Soil_N2ODirect_Equations.VEERG_4_2_1_3__7_RelativeSize(Y31,H$28)</f>
        <v>#REF!</v>
      </c>
      <c r="Z47" s="51" t="e" cm="1">
        <f t="array" ref="Z47">MMS_PastureBeef_Soil_N2ODirect_Equations.VEERG_4_2_1_3__7_RelativeSize(Z31,I$28)</f>
        <v>#REF!</v>
      </c>
      <c r="AA47" s="51" t="e" cm="1">
        <f t="array" ref="AA47">MMS_PastureBeef_Soil_N2ODirect_Equations.VEERG_4_2_1_3__7_RelativeSize(AA31,J$28)</f>
        <v>#REF!</v>
      </c>
      <c r="AB47" s="51" t="e" cm="1">
        <f t="array" ref="AB47">MMS_PastureBeef_Soil_N2ODirect_Equations.VEERG_4_2_1_3__7_RelativeSize(AB31,K$28)</f>
        <v>#REF!</v>
      </c>
      <c r="AC47" s="51" t="e" cm="1">
        <f t="array" ref="AC47">MMS_PastureBeef_Soil_N2ODirect_Equations.VEERG_4_2_1_3__7_RelativeSize(AC31,L$28)</f>
        <v>#REF!</v>
      </c>
      <c r="AD47" s="51" t="e" cm="1">
        <f t="array" ref="AD47">MMS_PastureBeef_Soil_N2ODirect_Equations.VEERG_4_2_1_3__7_RelativeSize(AD31,M$28)</f>
        <v>#REF!</v>
      </c>
      <c r="AE47" s="2" t="str">
        <f t="shared" si="1"/>
        <v>ratio</v>
      </c>
    </row>
    <row r="48" spans="3:31" ht="20.100000000000001" customHeight="1" x14ac:dyDescent="0.25">
      <c r="D48" s="56" t="str" cm="1">
        <f t="array" ref="D48:E49">MMS_PastureBeef_Soil_N2ODirect_Equations.VEERG_4_2_1_3__6_IntakeRelativeToMaintenance_Arguments()</f>
        <v>I_jkl</v>
      </c>
      <c r="E48" s="57" t="str">
        <v>dry matter intake as calculated in Chapter 3 Section 3.2.1 (kg DM/head/day)</v>
      </c>
      <c r="F48" s="58"/>
      <c r="G48" s="56" t="str">
        <f>"See " &amp; D51</f>
        <v>See M1_Table_I_j_k_l</v>
      </c>
    </row>
    <row r="49" spans="4:32" ht="20.100000000000001" customHeight="1" x14ac:dyDescent="0.25">
      <c r="D49" s="56" t="str">
        <v>W_jkl</v>
      </c>
      <c r="E49" s="57" t="str">
        <v>liveweight (kg/head)</v>
      </c>
      <c r="F49" s="58"/>
      <c r="G49" s="56" t="str">
        <f>"See " &amp; D17</f>
        <v>See M1_Table_W_j_k_l</v>
      </c>
    </row>
    <row r="50" spans="4:32" ht="20.100000000000001" customHeight="1" x14ac:dyDescent="0.25"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</row>
    <row r="51" spans="4:32" ht="20.100000000000001" customHeight="1" x14ac:dyDescent="0.25">
      <c r="D51" s="98" t="s">
        <v>159</v>
      </c>
      <c r="T51" s="6" t="str" cm="1">
        <f t="array" ref="T51">MMS_PastureBeef_Soil_N2ODirect_Equations.VEERG_4_2_1_3__6_IntakeRelativeToMaintenance_Title()</f>
        <v>Intake relative to that needed for maintenance</v>
      </c>
    </row>
    <row r="52" spans="4:32" ht="20.100000000000001" customHeight="1" x14ac:dyDescent="0.25">
      <c r="D52" s="97" t="s">
        <v>125</v>
      </c>
    </row>
    <row r="53" spans="4:32" ht="20.100000000000001" customHeight="1" x14ac:dyDescent="0.25">
      <c r="D53" s="50" t="s">
        <v>153</v>
      </c>
      <c r="E53" s="50" t="s">
        <v>118</v>
      </c>
      <c r="F53" s="50" t="s">
        <v>117</v>
      </c>
      <c r="G53" s="50" t="s">
        <v>141</v>
      </c>
      <c r="H53" s="50" t="s">
        <v>142</v>
      </c>
      <c r="I53" s="50" t="s">
        <v>143</v>
      </c>
      <c r="J53" s="50" t="s">
        <v>144</v>
      </c>
      <c r="K53" s="50" t="s">
        <v>145</v>
      </c>
      <c r="L53" s="50" t="s">
        <v>146</v>
      </c>
      <c r="M53" s="50" t="s">
        <v>147</v>
      </c>
      <c r="N53" s="50" t="s">
        <v>148</v>
      </c>
      <c r="T53" s="98" t="s">
        <v>167</v>
      </c>
    </row>
    <row r="54" spans="4:32" ht="20.100000000000001" customHeight="1" x14ac:dyDescent="0.25">
      <c r="D54" s="51" t="s">
        <v>149</v>
      </c>
      <c r="E54" s="51" t="str">
        <f>'4.5.1.1-2 Methane'!E84</f>
        <v>fraction of volatile solids in each primary system : fraction</v>
      </c>
      <c r="F54" s="51">
        <f>'4.5.1.1-2 Methane'!F84</f>
        <v>0</v>
      </c>
      <c r="G54" s="51" t="str">
        <f>'4.5.1.1-2 Methane'!G84</f>
        <v>See Table_FVS_j_m-1-7-9_T-1 and Table_FVS_j_m-4_T-1</v>
      </c>
      <c r="H54" s="51">
        <f>'4.5.1.1-2 Methane'!H84</f>
        <v>0</v>
      </c>
      <c r="I54" s="51">
        <f>'4.5.1.1-2 Methane'!I84</f>
        <v>0</v>
      </c>
      <c r="J54" s="51">
        <f>'4.5.1.1-2 Methane'!J84</f>
        <v>0</v>
      </c>
      <c r="K54" s="51">
        <f>'4.5.1.1-2 Methane'!K84</f>
        <v>0</v>
      </c>
      <c r="L54" s="51">
        <f>'4.5.1.1-2 Methane'!L84</f>
        <v>0</v>
      </c>
      <c r="M54" s="51">
        <f>'4.5.1.1-2 Methane'!M84</f>
        <v>0</v>
      </c>
      <c r="N54" s="51">
        <f>'4.5.1.1-2 Methane'!N84</f>
        <v>0</v>
      </c>
      <c r="O54" s="2">
        <f>'4.5.1.1-2 Methane'!O84</f>
        <v>0</v>
      </c>
      <c r="T54" s="97" t="s">
        <v>124</v>
      </c>
    </row>
    <row r="55" spans="4:32" ht="20.100000000000001" customHeight="1" x14ac:dyDescent="0.25">
      <c r="D55" s="51" t="s">
        <v>150</v>
      </c>
      <c r="E55" s="51" t="str">
        <f>'4.5.1.1-2 Methane'!E85</f>
        <v>fraction of volatile solids lost during storage in the primary system : fraction</v>
      </c>
      <c r="F55" s="51">
        <f>'4.5.1.1-2 Methane'!F85</f>
        <v>0</v>
      </c>
      <c r="G55" s="51" t="str">
        <f>'4.5.1.1-2 Methane'!G85</f>
        <v>See Table_VSL_m_T-1</v>
      </c>
      <c r="H55" s="51">
        <f>'4.5.1.1-2 Methane'!H85</f>
        <v>0</v>
      </c>
      <c r="I55" s="51">
        <f>'4.5.1.1-2 Methane'!I85</f>
        <v>0</v>
      </c>
      <c r="J55" s="51">
        <f>'4.5.1.1-2 Methane'!J85</f>
        <v>0</v>
      </c>
      <c r="K55" s="51">
        <f>'4.5.1.1-2 Methane'!K85</f>
        <v>0</v>
      </c>
      <c r="L55" s="51">
        <f>'4.5.1.1-2 Methane'!L85</f>
        <v>0</v>
      </c>
      <c r="M55" s="51">
        <f>'4.5.1.1-2 Methane'!M85</f>
        <v>0</v>
      </c>
      <c r="N55" s="51">
        <f>'4.5.1.1-2 Methane'!N85</f>
        <v>0</v>
      </c>
      <c r="O55" s="2">
        <f>'4.5.1.1-2 Methane'!O85</f>
        <v>0</v>
      </c>
      <c r="T55" s="50" t="s">
        <v>119</v>
      </c>
      <c r="U55" s="50" t="s">
        <v>118</v>
      </c>
      <c r="V55" s="50" t="s">
        <v>117</v>
      </c>
      <c r="W55" s="50" t="s">
        <v>141</v>
      </c>
      <c r="X55" s="50" t="s">
        <v>142</v>
      </c>
      <c r="Y55" s="50" t="s">
        <v>143</v>
      </c>
      <c r="Z55" s="50" t="s">
        <v>144</v>
      </c>
      <c r="AA55" s="50" t="s">
        <v>145</v>
      </c>
      <c r="AB55" s="50" t="s">
        <v>146</v>
      </c>
      <c r="AC55" s="50" t="s">
        <v>147</v>
      </c>
      <c r="AD55" s="50" t="s">
        <v>148</v>
      </c>
    </row>
    <row r="56" spans="4:32" ht="20.100000000000001" customHeight="1" x14ac:dyDescent="0.25">
      <c r="D56" s="51" t="s">
        <v>151</v>
      </c>
      <c r="E56" s="51">
        <f>'4.5.1.1-2 Methane'!E86</f>
        <v>0</v>
      </c>
      <c r="F56" s="51">
        <f>'4.5.1.1-2 Methane'!F86</f>
        <v>0</v>
      </c>
      <c r="G56" s="51">
        <f>'4.5.1.1-2 Methane'!G86</f>
        <v>0</v>
      </c>
      <c r="H56" s="51">
        <f>'4.5.1.1-2 Methane'!H86</f>
        <v>0</v>
      </c>
      <c r="I56" s="51">
        <f>'4.5.1.1-2 Methane'!I86</f>
        <v>0</v>
      </c>
      <c r="J56" s="51">
        <f>'4.5.1.1-2 Methane'!J86</f>
        <v>0</v>
      </c>
      <c r="K56" s="51">
        <f>'4.5.1.1-2 Methane'!K86</f>
        <v>0</v>
      </c>
      <c r="L56" s="51">
        <f>'4.5.1.1-2 Methane'!L86</f>
        <v>0</v>
      </c>
      <c r="M56" s="51">
        <f>'4.5.1.1-2 Methane'!M86</f>
        <v>0</v>
      </c>
      <c r="N56" s="51">
        <f>'4.5.1.1-2 Methane'!N86</f>
        <v>0</v>
      </c>
      <c r="O56" s="2">
        <f>'4.5.1.1-2 Methane'!O86</f>
        <v>0</v>
      </c>
      <c r="T56" s="51" t="str">
        <f>TEXT('Input - Site'!$E$12, "mmmm yyyy")</f>
        <v>January 2024</v>
      </c>
      <c r="U56" s="51">
        <f>'4.5.1.1-2 Methane'!U84</f>
        <v>0</v>
      </c>
      <c r="V56" s="51">
        <f>'4.5.1.1-2 Methane'!V84</f>
        <v>0</v>
      </c>
      <c r="W56" s="51">
        <f>'4.5.1.1-2 Methane'!W84</f>
        <v>0</v>
      </c>
      <c r="X56" s="51">
        <f>'4.5.1.1-2 Methane'!X84</f>
        <v>0</v>
      </c>
      <c r="Y56" s="51">
        <f>'4.5.1.1-2 Methane'!Y84</f>
        <v>0</v>
      </c>
      <c r="Z56" s="51">
        <f>'4.5.1.1-2 Methane'!Z84</f>
        <v>0</v>
      </c>
      <c r="AA56" s="51">
        <f>'4.5.1.1-2 Methane'!AA84</f>
        <v>0</v>
      </c>
      <c r="AB56" s="51">
        <f>'4.5.1.1-2 Methane'!AB84</f>
        <v>0</v>
      </c>
      <c r="AC56" s="51">
        <f>'4.5.1.1-2 Methane'!AC84</f>
        <v>0</v>
      </c>
      <c r="AD56" s="51">
        <f>'4.5.1.1-2 Methane'!AD84</f>
        <v>0</v>
      </c>
      <c r="AE56" s="2">
        <f>'4.5.1.1-2 Methane'!AE84</f>
        <v>0</v>
      </c>
    </row>
    <row r="57" spans="4:32" ht="20.100000000000001" customHeight="1" x14ac:dyDescent="0.25">
      <c r="D57" s="51" t="s">
        <v>152</v>
      </c>
      <c r="E57" s="51">
        <f>'4.5.1.1-2 Methane'!E87</f>
        <v>0</v>
      </c>
      <c r="F57" s="51">
        <f>'4.5.1.1-2 Methane'!F87</f>
        <v>0</v>
      </c>
      <c r="G57" s="51">
        <f>'4.5.1.1-2 Methane'!G87</f>
        <v>0</v>
      </c>
      <c r="H57" s="51">
        <f>'4.5.1.1-2 Methane'!H87</f>
        <v>0</v>
      </c>
      <c r="I57" s="51">
        <f>'4.5.1.1-2 Methane'!I87</f>
        <v>0</v>
      </c>
      <c r="J57" s="51">
        <f>'4.5.1.1-2 Methane'!J87</f>
        <v>0</v>
      </c>
      <c r="K57" s="51">
        <f>'4.5.1.1-2 Methane'!K87</f>
        <v>0</v>
      </c>
      <c r="L57" s="51">
        <f>'4.5.1.1-2 Methane'!L87</f>
        <v>0</v>
      </c>
      <c r="M57" s="51">
        <f>'4.5.1.1-2 Methane'!M87</f>
        <v>0</v>
      </c>
      <c r="N57" s="51">
        <f>'4.5.1.1-2 Methane'!N87</f>
        <v>0</v>
      </c>
      <c r="O57" s="2">
        <f>'4.5.1.1-2 Methane'!O87</f>
        <v>0</v>
      </c>
      <c r="T57" s="51" t="str">
        <f>TEXT(EDATE('Input - Site'!$E$12,1), "mmmm yyyy")</f>
        <v>February 2024</v>
      </c>
      <c r="U57" s="51">
        <f>'4.5.1.1-2 Methane'!U85</f>
        <v>0</v>
      </c>
      <c r="V57" s="51">
        <f>'4.5.1.1-2 Methane'!V85</f>
        <v>0</v>
      </c>
      <c r="W57" s="51">
        <f>'4.5.1.1-2 Methane'!W85</f>
        <v>0</v>
      </c>
      <c r="X57" s="51">
        <f>'4.5.1.1-2 Methane'!X85</f>
        <v>0</v>
      </c>
      <c r="Y57" s="51">
        <f>'4.5.1.1-2 Methane'!Y85</f>
        <v>0</v>
      </c>
      <c r="Z57" s="51">
        <f>'4.5.1.1-2 Methane'!Z85</f>
        <v>0</v>
      </c>
      <c r="AA57" s="51">
        <f>'4.5.1.1-2 Methane'!AA85</f>
        <v>0</v>
      </c>
      <c r="AB57" s="51">
        <f>'4.5.1.1-2 Methane'!AB85</f>
        <v>0</v>
      </c>
      <c r="AC57" s="51">
        <f>'4.5.1.1-2 Methane'!AC85</f>
        <v>0</v>
      </c>
      <c r="AD57" s="51">
        <f>'4.5.1.1-2 Methane'!AD85</f>
        <v>0</v>
      </c>
      <c r="AE57" s="2">
        <f>'4.5.1.1-2 Methane'!AE85</f>
        <v>0</v>
      </c>
    </row>
    <row r="58" spans="4:32" ht="20.100000000000001" customHeight="1" x14ac:dyDescent="0.25">
      <c r="T58" s="51" t="str">
        <f>TEXT(EDATE('Input - Site'!$E$12,2), "mmmm yyyy")</f>
        <v>March 2024</v>
      </c>
      <c r="U58" s="51">
        <f>'4.5.1.1-2 Methane'!U86</f>
        <v>0</v>
      </c>
      <c r="V58" s="51">
        <f>'4.5.1.1-2 Methane'!V86</f>
        <v>0</v>
      </c>
      <c r="W58" s="51">
        <f>'4.5.1.1-2 Methane'!W86</f>
        <v>0</v>
      </c>
      <c r="X58" s="51">
        <f>'4.5.1.1-2 Methane'!X86</f>
        <v>0</v>
      </c>
      <c r="Y58" s="51">
        <f>'4.5.1.1-2 Methane'!Y86</f>
        <v>0</v>
      </c>
      <c r="Z58" s="51">
        <f>'4.5.1.1-2 Methane'!Z86</f>
        <v>0</v>
      </c>
      <c r="AA58" s="51">
        <f>'4.5.1.1-2 Methane'!AA86</f>
        <v>0</v>
      </c>
      <c r="AB58" s="51">
        <f>'4.5.1.1-2 Methane'!AB86</f>
        <v>0</v>
      </c>
      <c r="AC58" s="51">
        <f>'4.5.1.1-2 Methane'!AC86</f>
        <v>0</v>
      </c>
      <c r="AD58" s="51">
        <f>'4.5.1.1-2 Methane'!AD86</f>
        <v>0</v>
      </c>
      <c r="AE58" s="2">
        <f>'4.5.1.1-2 Methane'!AE86</f>
        <v>0</v>
      </c>
    </row>
    <row r="59" spans="4:32" ht="20.100000000000001" customHeight="1" x14ac:dyDescent="0.25">
      <c r="D59" s="98" t="s">
        <v>184</v>
      </c>
      <c r="T59" s="51" t="str">
        <f>TEXT(EDATE('Input - Site'!$E$12,3), "mmmm yyyy")</f>
        <v>April 2024</v>
      </c>
      <c r="U59" s="51">
        <f>'4.5.1.1-2 Methane'!U87</f>
        <v>0</v>
      </c>
      <c r="V59" s="51">
        <f>'4.5.1.1-2 Methane'!V87</f>
        <v>0</v>
      </c>
      <c r="W59" s="51">
        <f>'4.5.1.1-2 Methane'!W87</f>
        <v>0</v>
      </c>
      <c r="X59" s="51">
        <f>'4.5.1.1-2 Methane'!X87</f>
        <v>0</v>
      </c>
      <c r="Y59" s="51">
        <f>'4.5.1.1-2 Methane'!Y87</f>
        <v>0</v>
      </c>
      <c r="Z59" s="51">
        <f>'4.5.1.1-2 Methane'!Z87</f>
        <v>0</v>
      </c>
      <c r="AA59" s="51">
        <f>'4.5.1.1-2 Methane'!AA87</f>
        <v>0</v>
      </c>
      <c r="AB59" s="51">
        <f>'4.5.1.1-2 Methane'!AB87</f>
        <v>0</v>
      </c>
      <c r="AC59" s="51">
        <f>'4.5.1.1-2 Methane'!AC87</f>
        <v>0</v>
      </c>
      <c r="AD59" s="51">
        <f>'4.5.1.1-2 Methane'!AD87</f>
        <v>0</v>
      </c>
      <c r="AE59" s="2">
        <f>'4.5.1.1-2 Methane'!AE87</f>
        <v>0</v>
      </c>
    </row>
    <row r="60" spans="4:32" ht="20.100000000000001" customHeight="1" x14ac:dyDescent="0.25">
      <c r="D60" s="97" t="s">
        <v>129</v>
      </c>
      <c r="T60" s="51" t="str">
        <f>TEXT(EDATE('Input - Site'!$E$12,4), "mmmm yyyy")</f>
        <v>May 2024</v>
      </c>
      <c r="U60" s="51">
        <f>'4.5.1.1-2 Methane'!U88</f>
        <v>0</v>
      </c>
      <c r="V60" s="51">
        <f>'4.5.1.1-2 Methane'!V88</f>
        <v>0</v>
      </c>
      <c r="W60" s="51">
        <f>'4.5.1.1-2 Methane'!W88</f>
        <v>0</v>
      </c>
      <c r="X60" s="51">
        <f>'4.5.1.1-2 Methane'!X88</f>
        <v>0</v>
      </c>
      <c r="Y60" s="51">
        <f>'4.5.1.1-2 Methane'!Y88</f>
        <v>0</v>
      </c>
      <c r="Z60" s="51">
        <f>'4.5.1.1-2 Methane'!Z88</f>
        <v>0</v>
      </c>
      <c r="AA60" s="51">
        <f>'4.5.1.1-2 Methane'!AA88</f>
        <v>0</v>
      </c>
      <c r="AB60" s="51">
        <f>'4.5.1.1-2 Methane'!AB88</f>
        <v>0</v>
      </c>
      <c r="AC60" s="51">
        <f>'4.5.1.1-2 Methane'!AC88</f>
        <v>0</v>
      </c>
      <c r="AD60" s="51">
        <f>'4.5.1.1-2 Methane'!AD88</f>
        <v>0</v>
      </c>
      <c r="AE60" s="2">
        <f>'4.5.1.1-2 Methane'!AE88</f>
        <v>0</v>
      </c>
    </row>
    <row r="61" spans="4:32" ht="20.100000000000001" customHeight="1" x14ac:dyDescent="0.25">
      <c r="D61" s="50" t="s">
        <v>153</v>
      </c>
      <c r="E61" s="50" t="s">
        <v>118</v>
      </c>
      <c r="F61" s="50" t="s">
        <v>117</v>
      </c>
      <c r="G61" s="50" t="s">
        <v>141</v>
      </c>
      <c r="H61" s="50" t="s">
        <v>142</v>
      </c>
      <c r="I61" s="50" t="s">
        <v>143</v>
      </c>
      <c r="J61" s="50" t="s">
        <v>144</v>
      </c>
      <c r="K61" s="50" t="s">
        <v>145</v>
      </c>
      <c r="L61" s="50" t="s">
        <v>146</v>
      </c>
      <c r="M61" s="50" t="s">
        <v>147</v>
      </c>
      <c r="N61" s="50" t="s">
        <v>148</v>
      </c>
      <c r="T61" s="51" t="str">
        <f>TEXT(EDATE('Input - Site'!$E$12,5), "mmmm yyyy")</f>
        <v>June 2024</v>
      </c>
      <c r="U61" s="51">
        <f>'4.5.1.1-2 Methane'!U89</f>
        <v>0</v>
      </c>
      <c r="V61" s="51">
        <f>'4.5.1.1-2 Methane'!V89</f>
        <v>0</v>
      </c>
      <c r="W61" s="51">
        <f>'4.5.1.1-2 Methane'!W89</f>
        <v>0</v>
      </c>
      <c r="X61" s="51">
        <f>'4.5.1.1-2 Methane'!X89</f>
        <v>0</v>
      </c>
      <c r="Y61" s="51">
        <f>'4.5.1.1-2 Methane'!Y89</f>
        <v>0</v>
      </c>
      <c r="Z61" s="51">
        <f>'4.5.1.1-2 Methane'!Z89</f>
        <v>0</v>
      </c>
      <c r="AA61" s="51">
        <f>'4.5.1.1-2 Methane'!AA89</f>
        <v>0</v>
      </c>
      <c r="AB61" s="51">
        <f>'4.5.1.1-2 Methane'!AB89</f>
        <v>0</v>
      </c>
      <c r="AC61" s="51">
        <f>'4.5.1.1-2 Methane'!AC89</f>
        <v>0</v>
      </c>
      <c r="AD61" s="51">
        <f>'4.5.1.1-2 Methane'!AD89</f>
        <v>0</v>
      </c>
      <c r="AE61" s="2">
        <f>'4.5.1.1-2 Methane'!AE89</f>
        <v>0</v>
      </c>
    </row>
    <row r="62" spans="4:32" ht="20.100000000000001" customHeight="1" x14ac:dyDescent="0.25">
      <c r="D62" s="51" t="s">
        <v>149</v>
      </c>
      <c r="E62" s="51" t="e" cm="1">
        <f t="array" ref="E62">MMS_PastureBeef_Soil_N2ODirect_Equations.VEERG_4_2_1_3__6_IntakeRelativeToMaintenance(E54,E20)</f>
        <v>#VALUE!</v>
      </c>
      <c r="F62" s="51" cm="1">
        <f t="array" ref="F62">MMS_PastureBeef_Soil_N2ODirect_Equations.VEERG_4_2_1_3__6_IntakeRelativeToMaintenance(F54,F20)</f>
        <v>0</v>
      </c>
      <c r="G62" s="51" t="e" cm="1">
        <f t="array" ref="G62">MMS_PastureBeef_Soil_N2ODirect_Equations.VEERG_4_2_1_3__6_IntakeRelativeToMaintenance(G54,G20)</f>
        <v>#VALUE!</v>
      </c>
      <c r="H62" s="51" cm="1">
        <f t="array" ref="H62">MMS_PastureBeef_Soil_N2ODirect_Equations.VEERG_4_2_1_3__6_IntakeRelativeToMaintenance(H54,H20)</f>
        <v>0</v>
      </c>
      <c r="I62" s="51" cm="1">
        <f t="array" ref="I62">MMS_PastureBeef_Soil_N2ODirect_Equations.VEERG_4_2_1_3__6_IntakeRelativeToMaintenance(I54,I20)</f>
        <v>0</v>
      </c>
      <c r="J62" s="51" cm="1">
        <f t="array" ref="J62">MMS_PastureBeef_Soil_N2ODirect_Equations.VEERG_4_2_1_3__6_IntakeRelativeToMaintenance(J54,J20)</f>
        <v>0</v>
      </c>
      <c r="K62" s="51" cm="1">
        <f t="array" ref="K62">MMS_PastureBeef_Soil_N2ODirect_Equations.VEERG_4_2_1_3__6_IntakeRelativeToMaintenance(K54,K20)</f>
        <v>0</v>
      </c>
      <c r="L62" s="51" cm="1">
        <f t="array" ref="L62">MMS_PastureBeef_Soil_N2ODirect_Equations.VEERG_4_2_1_3__6_IntakeRelativeToMaintenance(L54,L20)</f>
        <v>0</v>
      </c>
      <c r="M62" s="51" cm="1">
        <f t="array" ref="M62">MMS_PastureBeef_Soil_N2ODirect_Equations.VEERG_4_2_1_3__6_IntakeRelativeToMaintenance(M54,M20)</f>
        <v>0</v>
      </c>
      <c r="N62" s="51" cm="1">
        <f t="array" ref="N62">MMS_PastureBeef_Soil_N2ODirect_Equations.VEERG_4_2_1_3__6_IntakeRelativeToMaintenance(N54,N20)</f>
        <v>0</v>
      </c>
      <c r="O62" s="2" t="str">
        <f>$E$46</f>
        <v>ratio</v>
      </c>
      <c r="T62" s="51" t="str">
        <f>TEXT(EDATE('Input - Site'!$E$12,6), "mmmm yyyy")</f>
        <v>July 2024</v>
      </c>
      <c r="U62" s="51">
        <f>'4.5.1.1-2 Methane'!U90</f>
        <v>0</v>
      </c>
      <c r="V62" s="51">
        <f>'4.5.1.1-2 Methane'!V90</f>
        <v>0</v>
      </c>
      <c r="W62" s="51">
        <f>'4.5.1.1-2 Methane'!W90</f>
        <v>0</v>
      </c>
      <c r="X62" s="51">
        <f>'4.5.1.1-2 Methane'!X90</f>
        <v>0</v>
      </c>
      <c r="Y62" s="51">
        <f>'4.5.1.1-2 Methane'!Y90</f>
        <v>0</v>
      </c>
      <c r="Z62" s="51">
        <f>'4.5.1.1-2 Methane'!Z90</f>
        <v>0</v>
      </c>
      <c r="AA62" s="51">
        <f>'4.5.1.1-2 Methane'!AA90</f>
        <v>0</v>
      </c>
      <c r="AB62" s="51">
        <f>'4.5.1.1-2 Methane'!AB90</f>
        <v>0</v>
      </c>
      <c r="AC62" s="51">
        <f>'4.5.1.1-2 Methane'!AC90</f>
        <v>0</v>
      </c>
      <c r="AD62" s="51">
        <f>'4.5.1.1-2 Methane'!AD90</f>
        <v>0</v>
      </c>
      <c r="AE62" s="2">
        <f>'4.5.1.1-2 Methane'!AE90</f>
        <v>0</v>
      </c>
    </row>
    <row r="63" spans="4:32" ht="20.100000000000001" customHeight="1" x14ac:dyDescent="0.25">
      <c r="D63" s="51" t="s">
        <v>150</v>
      </c>
      <c r="E63" s="51" t="e" cm="1">
        <f t="array" ref="E63">MMS_PastureBeef_Soil_N2ODirect_Equations.VEERG_4_2_1_3__6_IntakeRelativeToMaintenance(E55,E21)</f>
        <v>#VALUE!</v>
      </c>
      <c r="F63" s="51" cm="1">
        <f t="array" ref="F63">MMS_PastureBeef_Soil_N2ODirect_Equations.VEERG_4_2_1_3__6_IntakeRelativeToMaintenance(F55,F21)</f>
        <v>0</v>
      </c>
      <c r="G63" s="51" t="e" cm="1">
        <f t="array" ref="G63">MMS_PastureBeef_Soil_N2ODirect_Equations.VEERG_4_2_1_3__6_IntakeRelativeToMaintenance(G55,G21)</f>
        <v>#VALUE!</v>
      </c>
      <c r="H63" s="51" cm="1">
        <f t="array" ref="H63">MMS_PastureBeef_Soil_N2ODirect_Equations.VEERG_4_2_1_3__6_IntakeRelativeToMaintenance(H55,H21)</f>
        <v>0</v>
      </c>
      <c r="I63" s="51" cm="1">
        <f t="array" ref="I63">MMS_PastureBeef_Soil_N2ODirect_Equations.VEERG_4_2_1_3__6_IntakeRelativeToMaintenance(I55,I21)</f>
        <v>0</v>
      </c>
      <c r="J63" s="51" cm="1">
        <f t="array" ref="J63">MMS_PastureBeef_Soil_N2ODirect_Equations.VEERG_4_2_1_3__6_IntakeRelativeToMaintenance(J55,J21)</f>
        <v>0</v>
      </c>
      <c r="K63" s="51" cm="1">
        <f t="array" ref="K63">MMS_PastureBeef_Soil_N2ODirect_Equations.VEERG_4_2_1_3__6_IntakeRelativeToMaintenance(K55,K21)</f>
        <v>0</v>
      </c>
      <c r="L63" s="51" cm="1">
        <f t="array" ref="L63">MMS_PastureBeef_Soil_N2ODirect_Equations.VEERG_4_2_1_3__6_IntakeRelativeToMaintenance(L55,L21)</f>
        <v>0</v>
      </c>
      <c r="M63" s="51" cm="1">
        <f t="array" ref="M63">MMS_PastureBeef_Soil_N2ODirect_Equations.VEERG_4_2_1_3__6_IntakeRelativeToMaintenance(M55,M21)</f>
        <v>0</v>
      </c>
      <c r="N63" s="51" cm="1">
        <f t="array" ref="N63">MMS_PastureBeef_Soil_N2ODirect_Equations.VEERG_4_2_1_3__6_IntakeRelativeToMaintenance(N55,N21)</f>
        <v>0</v>
      </c>
      <c r="O63" s="2" t="str">
        <f t="shared" ref="O63:O65" si="2">$E$46</f>
        <v>ratio</v>
      </c>
      <c r="T63" s="51" t="str">
        <f>TEXT(EDATE('Input - Site'!$E$12,7), "mmmm yyyy")</f>
        <v>August 2024</v>
      </c>
      <c r="U63" s="51">
        <f>'4.5.1.1-2 Methane'!U91</f>
        <v>0</v>
      </c>
      <c r="V63" s="51">
        <f>'4.5.1.1-2 Methane'!V91</f>
        <v>0</v>
      </c>
      <c r="W63" s="51">
        <f>'4.5.1.1-2 Methane'!W91</f>
        <v>0</v>
      </c>
      <c r="X63" s="51">
        <f>'4.5.1.1-2 Methane'!X91</f>
        <v>0</v>
      </c>
      <c r="Y63" s="51">
        <f>'4.5.1.1-2 Methane'!Y91</f>
        <v>0</v>
      </c>
      <c r="Z63" s="51">
        <f>'4.5.1.1-2 Methane'!Z91</f>
        <v>0</v>
      </c>
      <c r="AA63" s="51">
        <f>'4.5.1.1-2 Methane'!AA91</f>
        <v>0</v>
      </c>
      <c r="AB63" s="51">
        <f>'4.5.1.1-2 Methane'!AB91</f>
        <v>0</v>
      </c>
      <c r="AC63" s="51">
        <f>'4.5.1.1-2 Methane'!AC91</f>
        <v>0</v>
      </c>
      <c r="AD63" s="51">
        <f>'4.5.1.1-2 Methane'!AD91</f>
        <v>0</v>
      </c>
      <c r="AE63" s="2">
        <f>'4.5.1.1-2 Methane'!AE91</f>
        <v>0</v>
      </c>
    </row>
    <row r="64" spans="4:32" ht="20.100000000000001" customHeight="1" x14ac:dyDescent="0.25">
      <c r="D64" s="51" t="s">
        <v>151</v>
      </c>
      <c r="E64" s="51" cm="1">
        <f t="array" ref="E64">MMS_PastureBeef_Soil_N2ODirect_Equations.VEERG_4_2_1_3__6_IntakeRelativeToMaintenance(E56,E22)</f>
        <v>0</v>
      </c>
      <c r="F64" s="51" cm="1">
        <f t="array" ref="F64">MMS_PastureBeef_Soil_N2ODirect_Equations.VEERG_4_2_1_3__6_IntakeRelativeToMaintenance(F56,F22)</f>
        <v>0</v>
      </c>
      <c r="G64" s="51" cm="1">
        <f t="array" ref="G64">MMS_PastureBeef_Soil_N2ODirect_Equations.VEERG_4_2_1_3__6_IntakeRelativeToMaintenance(G56,G22)</f>
        <v>0</v>
      </c>
      <c r="H64" s="51" cm="1">
        <f t="array" ref="H64">MMS_PastureBeef_Soil_N2ODirect_Equations.VEERG_4_2_1_3__6_IntakeRelativeToMaintenance(H56,H22)</f>
        <v>0</v>
      </c>
      <c r="I64" s="51" cm="1">
        <f t="array" ref="I64">MMS_PastureBeef_Soil_N2ODirect_Equations.VEERG_4_2_1_3__6_IntakeRelativeToMaintenance(I56,I22)</f>
        <v>0</v>
      </c>
      <c r="J64" s="51" cm="1">
        <f t="array" ref="J64">MMS_PastureBeef_Soil_N2ODirect_Equations.VEERG_4_2_1_3__6_IntakeRelativeToMaintenance(J56,J22)</f>
        <v>0</v>
      </c>
      <c r="K64" s="51" cm="1">
        <f t="array" ref="K64">MMS_PastureBeef_Soil_N2ODirect_Equations.VEERG_4_2_1_3__6_IntakeRelativeToMaintenance(K56,K22)</f>
        <v>0</v>
      </c>
      <c r="L64" s="51" cm="1">
        <f t="array" ref="L64">MMS_PastureBeef_Soil_N2ODirect_Equations.VEERG_4_2_1_3__6_IntakeRelativeToMaintenance(L56,L22)</f>
        <v>0</v>
      </c>
      <c r="M64" s="51" cm="1">
        <f t="array" ref="M64">MMS_PastureBeef_Soil_N2ODirect_Equations.VEERG_4_2_1_3__6_IntakeRelativeToMaintenance(M56,M22)</f>
        <v>0</v>
      </c>
      <c r="N64" s="51" cm="1">
        <f t="array" ref="N64">MMS_PastureBeef_Soil_N2ODirect_Equations.VEERG_4_2_1_3__6_IntakeRelativeToMaintenance(N56,N22)</f>
        <v>0</v>
      </c>
      <c r="O64" s="2" t="str">
        <f t="shared" si="2"/>
        <v>ratio</v>
      </c>
      <c r="T64" s="51" t="str">
        <f>TEXT(EDATE('Input - Site'!$E$12,8), "mmmm yyyy")</f>
        <v>September 2024</v>
      </c>
      <c r="U64" s="51">
        <f>'4.5.1.1-2 Methane'!U92</f>
        <v>0</v>
      </c>
      <c r="V64" s="51">
        <f>'4.5.1.1-2 Methane'!V92</f>
        <v>0</v>
      </c>
      <c r="W64" s="51">
        <f>'4.5.1.1-2 Methane'!W92</f>
        <v>0</v>
      </c>
      <c r="X64" s="51">
        <f>'4.5.1.1-2 Methane'!X92</f>
        <v>0</v>
      </c>
      <c r="Y64" s="51">
        <f>'4.5.1.1-2 Methane'!Y92</f>
        <v>0</v>
      </c>
      <c r="Z64" s="51">
        <f>'4.5.1.1-2 Methane'!Z92</f>
        <v>0</v>
      </c>
      <c r="AA64" s="51">
        <f>'4.5.1.1-2 Methane'!AA92</f>
        <v>0</v>
      </c>
      <c r="AB64" s="51">
        <f>'4.5.1.1-2 Methane'!AB92</f>
        <v>0</v>
      </c>
      <c r="AC64" s="51">
        <f>'4.5.1.1-2 Methane'!AC92</f>
        <v>0</v>
      </c>
      <c r="AD64" s="51">
        <f>'4.5.1.1-2 Methane'!AD92</f>
        <v>0</v>
      </c>
      <c r="AE64" s="2">
        <f>'4.5.1.1-2 Methane'!AE92</f>
        <v>0</v>
      </c>
    </row>
    <row r="65" spans="3:31" ht="20.100000000000001" customHeight="1" x14ac:dyDescent="0.25">
      <c r="D65" s="51" t="s">
        <v>152</v>
      </c>
      <c r="E65" s="51" cm="1">
        <f t="array" ref="E65">MMS_PastureBeef_Soil_N2ODirect_Equations.VEERG_4_2_1_3__6_IntakeRelativeToMaintenance(E57,E23)</f>
        <v>0</v>
      </c>
      <c r="F65" s="51" cm="1">
        <f t="array" ref="F65">MMS_PastureBeef_Soil_N2ODirect_Equations.VEERG_4_2_1_3__6_IntakeRelativeToMaintenance(F57,F23)</f>
        <v>0</v>
      </c>
      <c r="G65" s="51" cm="1">
        <f t="array" ref="G65">MMS_PastureBeef_Soil_N2ODirect_Equations.VEERG_4_2_1_3__6_IntakeRelativeToMaintenance(G57,G23)</f>
        <v>0</v>
      </c>
      <c r="H65" s="51" cm="1">
        <f t="array" ref="H65">MMS_PastureBeef_Soil_N2ODirect_Equations.VEERG_4_2_1_3__6_IntakeRelativeToMaintenance(H57,H23)</f>
        <v>0</v>
      </c>
      <c r="I65" s="51" cm="1">
        <f t="array" ref="I65">MMS_PastureBeef_Soil_N2ODirect_Equations.VEERG_4_2_1_3__6_IntakeRelativeToMaintenance(I57,I23)</f>
        <v>0</v>
      </c>
      <c r="J65" s="51" cm="1">
        <f t="array" ref="J65">MMS_PastureBeef_Soil_N2ODirect_Equations.VEERG_4_2_1_3__6_IntakeRelativeToMaintenance(J57,J23)</f>
        <v>0</v>
      </c>
      <c r="K65" s="51" cm="1">
        <f t="array" ref="K65">MMS_PastureBeef_Soil_N2ODirect_Equations.VEERG_4_2_1_3__6_IntakeRelativeToMaintenance(K57,K23)</f>
        <v>0</v>
      </c>
      <c r="L65" s="51" cm="1">
        <f t="array" ref="L65">MMS_PastureBeef_Soil_N2ODirect_Equations.VEERG_4_2_1_3__6_IntakeRelativeToMaintenance(L57,L23)</f>
        <v>0</v>
      </c>
      <c r="M65" s="51" cm="1">
        <f t="array" ref="M65">MMS_PastureBeef_Soil_N2ODirect_Equations.VEERG_4_2_1_3__6_IntakeRelativeToMaintenance(M57,M23)</f>
        <v>0</v>
      </c>
      <c r="N65" s="51" cm="1">
        <f t="array" ref="N65">MMS_PastureBeef_Soil_N2ODirect_Equations.VEERG_4_2_1_3__6_IntakeRelativeToMaintenance(N57,N23)</f>
        <v>0</v>
      </c>
      <c r="O65" s="2" t="str">
        <f t="shared" si="2"/>
        <v>ratio</v>
      </c>
      <c r="T65" s="51" t="str">
        <f>TEXT(EDATE('Input - Site'!$E$12,9), "mmmm yyyy")</f>
        <v>October 2024</v>
      </c>
      <c r="U65" s="51">
        <f>'4.5.1.1-2 Methane'!U93</f>
        <v>0</v>
      </c>
      <c r="V65" s="51">
        <f>'4.5.1.1-2 Methane'!V93</f>
        <v>0</v>
      </c>
      <c r="W65" s="51">
        <f>'4.5.1.1-2 Methane'!W93</f>
        <v>0</v>
      </c>
      <c r="X65" s="51">
        <f>'4.5.1.1-2 Methane'!X93</f>
        <v>0</v>
      </c>
      <c r="Y65" s="51">
        <f>'4.5.1.1-2 Methane'!Y93</f>
        <v>0</v>
      </c>
      <c r="Z65" s="51">
        <f>'4.5.1.1-2 Methane'!Z93</f>
        <v>0</v>
      </c>
      <c r="AA65" s="51">
        <f>'4.5.1.1-2 Methane'!AA93</f>
        <v>0</v>
      </c>
      <c r="AB65" s="51">
        <f>'4.5.1.1-2 Methane'!AB93</f>
        <v>0</v>
      </c>
      <c r="AC65" s="51">
        <f>'4.5.1.1-2 Methane'!AC93</f>
        <v>0</v>
      </c>
      <c r="AD65" s="51">
        <f>'4.5.1.1-2 Methane'!AD93</f>
        <v>0</v>
      </c>
      <c r="AE65" s="2">
        <f>'4.5.1.1-2 Methane'!AE93</f>
        <v>0</v>
      </c>
    </row>
    <row r="66" spans="3:31" ht="20.100000000000001" customHeight="1" x14ac:dyDescent="0.25">
      <c r="T66" s="51" t="str">
        <f>TEXT(EDATE('Input - Site'!$E$12,10), "mmmm yyyy")</f>
        <v>November 2024</v>
      </c>
      <c r="U66" s="51">
        <f>'4.5.1.1-2 Methane'!U94</f>
        <v>0</v>
      </c>
      <c r="V66" s="51">
        <f>'4.5.1.1-2 Methane'!V94</f>
        <v>0</v>
      </c>
      <c r="W66" s="51">
        <f>'4.5.1.1-2 Methane'!W94</f>
        <v>0</v>
      </c>
      <c r="X66" s="51">
        <f>'4.5.1.1-2 Methane'!X94</f>
        <v>0</v>
      </c>
      <c r="Y66" s="51">
        <f>'4.5.1.1-2 Methane'!Y94</f>
        <v>0</v>
      </c>
      <c r="Z66" s="51">
        <f>'4.5.1.1-2 Methane'!Z94</f>
        <v>0</v>
      </c>
      <c r="AA66" s="51">
        <f>'4.5.1.1-2 Methane'!AA94</f>
        <v>0</v>
      </c>
      <c r="AB66" s="51">
        <f>'4.5.1.1-2 Methane'!AB94</f>
        <v>0</v>
      </c>
      <c r="AC66" s="51">
        <f>'4.5.1.1-2 Methane'!AC94</f>
        <v>0</v>
      </c>
      <c r="AD66" s="51">
        <f>'4.5.1.1-2 Methane'!AD94</f>
        <v>0</v>
      </c>
      <c r="AE66" s="2">
        <f>'4.5.1.1-2 Methane'!AE94</f>
        <v>0</v>
      </c>
    </row>
    <row r="67" spans="3:31" ht="20.100000000000001" customHeight="1" x14ac:dyDescent="0.25">
      <c r="T67" s="51" t="str">
        <f>TEXT(EDATE('Input - Site'!$E$12,11), "mmmm yyyy")</f>
        <v>December 2024</v>
      </c>
      <c r="U67" s="51">
        <f>'4.5.1.1-2 Methane'!U95</f>
        <v>0</v>
      </c>
      <c r="V67" s="51">
        <f>'4.5.1.1-2 Methane'!V95</f>
        <v>0</v>
      </c>
      <c r="W67" s="51">
        <f>'4.5.1.1-2 Methane'!W95</f>
        <v>0</v>
      </c>
      <c r="X67" s="51">
        <f>'4.5.1.1-2 Methane'!X95</f>
        <v>0</v>
      </c>
      <c r="Y67" s="51">
        <f>'4.5.1.1-2 Methane'!Y95</f>
        <v>0</v>
      </c>
      <c r="Z67" s="51">
        <f>'4.5.1.1-2 Methane'!Z95</f>
        <v>0</v>
      </c>
      <c r="AA67" s="51">
        <f>'4.5.1.1-2 Methane'!AA95</f>
        <v>0</v>
      </c>
      <c r="AB67" s="51">
        <f>'4.5.1.1-2 Methane'!AB95</f>
        <v>0</v>
      </c>
      <c r="AC67" s="51">
        <f>'4.5.1.1-2 Methane'!AC95</f>
        <v>0</v>
      </c>
      <c r="AD67" s="51">
        <f>'4.5.1.1-2 Methane'!AD95</f>
        <v>0</v>
      </c>
      <c r="AE67" s="2">
        <f>'4.5.1.1-2 Methane'!AE95</f>
        <v>0</v>
      </c>
    </row>
    <row r="68" spans="3:31" ht="20.100000000000001" customHeight="1" x14ac:dyDescent="0.25"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</row>
    <row r="69" spans="3:31" ht="20.100000000000001" customHeight="1" x14ac:dyDescent="0.25">
      <c r="D69" s="6" t="str" cm="1">
        <f t="array" ref="D69">MMS_PastureBeef_Soil_N2ODirect_Equations.VEERG_4_2_1_3__5_MilkProductionForCalvingSeason_Title()</f>
        <v>Milk production for the season of calving and season after calving</v>
      </c>
      <c r="T69" s="98" t="s">
        <v>200</v>
      </c>
    </row>
    <row r="70" spans="3:31" ht="20.100000000000001" customHeight="1" x14ac:dyDescent="0.25">
      <c r="D70" s="5" t="str" cm="1">
        <f t="array" ref="D70">MMS_PastureBeef_Soil_N2ODirect_Equations.VEERG_4_2_1_3__5_MilkProductionForCalvingSeason_Source()</f>
        <v>VEERG 2026: 4.2.1.3, Equation (5)</v>
      </c>
      <c r="T70" s="97" t="s">
        <v>130</v>
      </c>
    </row>
    <row r="71" spans="3:31" ht="20.100000000000001" customHeight="1" x14ac:dyDescent="0.25">
      <c r="D71" s="54" t="str" cm="1">
        <f t="array" ref="D71">MMS_PastureBeef_Soil_N2ODirect_Equations.VEERG_4_2_1_3__5_MilkProductionForCalvingSeason_Variation()</f>
        <v>VARIATION ON SOURCE: Split LC and DMP into calving season and after calving season values.</v>
      </c>
      <c r="T71" s="50" t="s">
        <v>119</v>
      </c>
      <c r="U71" s="50" t="s">
        <v>118</v>
      </c>
      <c r="V71" s="50" t="s">
        <v>117</v>
      </c>
      <c r="W71" s="50" t="s">
        <v>141</v>
      </c>
      <c r="X71" s="50" t="s">
        <v>142</v>
      </c>
      <c r="Y71" s="50" t="s">
        <v>143</v>
      </c>
      <c r="Z71" s="50" t="s">
        <v>144</v>
      </c>
      <c r="AA71" s="50" t="s">
        <v>145</v>
      </c>
      <c r="AB71" s="50" t="s">
        <v>146</v>
      </c>
      <c r="AC71" s="50" t="s">
        <v>147</v>
      </c>
      <c r="AD71" s="50" t="s">
        <v>148</v>
      </c>
    </row>
    <row r="72" spans="3:31" ht="20.100000000000001" customHeight="1" x14ac:dyDescent="0.25">
      <c r="D72" s="13" t="s">
        <v>26</v>
      </c>
      <c r="E72" s="13" t="str" cm="1">
        <f t="array" aca="1" ref="E72" ca="1">Common_InputFunctions.Utility_DisplayFunctionName(H95)</f>
        <v>=MMS_PastureBeef_Soil_N2ODirect_Equations.VEERG_4_2_1_3__5_MilkProductionForCalvingSeasonVariation</v>
      </c>
      <c r="T72" s="51" t="str">
        <f>TEXT('Input - Site'!$E$12, "mmmm yyyy")</f>
        <v>January 2024</v>
      </c>
      <c r="U72" s="51" cm="1">
        <f t="array" ref="U72">MMS_PastureBeef_Soil_N2ODirect_Equations.VEERG_4_2_1_3__6_IntakeRelativeToMaintenance(U56,U20)</f>
        <v>0</v>
      </c>
      <c r="V72" s="51" cm="1">
        <f t="array" ref="V72">MMS_PastureBeef_Soil_N2ODirect_Equations.VEERG_4_2_1_3__6_IntakeRelativeToMaintenance(V56,V20)</f>
        <v>0</v>
      </c>
      <c r="W72" s="51" cm="1">
        <f t="array" ref="W72">MMS_PastureBeef_Soil_N2ODirect_Equations.VEERG_4_2_1_3__6_IntakeRelativeToMaintenance(W56,W20)</f>
        <v>0</v>
      </c>
      <c r="X72" s="51" cm="1">
        <f t="array" ref="X72">MMS_PastureBeef_Soil_N2ODirect_Equations.VEERG_4_2_1_3__6_IntakeRelativeToMaintenance(X56,X20)</f>
        <v>0</v>
      </c>
      <c r="Y72" s="51" cm="1">
        <f t="array" ref="Y72">MMS_PastureBeef_Soil_N2ODirect_Equations.VEERG_4_2_1_3__6_IntakeRelativeToMaintenance(Y56,Y20)</f>
        <v>0</v>
      </c>
      <c r="Z72" s="51" cm="1">
        <f t="array" ref="Z72">MMS_PastureBeef_Soil_N2ODirect_Equations.VEERG_4_2_1_3__6_IntakeRelativeToMaintenance(Z56,Z20)</f>
        <v>0</v>
      </c>
      <c r="AA72" s="51" cm="1">
        <f t="array" ref="AA72">MMS_PastureBeef_Soil_N2ODirect_Equations.VEERG_4_2_1_3__6_IntakeRelativeToMaintenance(AA56,AA20)</f>
        <v>0</v>
      </c>
      <c r="AB72" s="51" cm="1">
        <f t="array" ref="AB72">MMS_PastureBeef_Soil_N2ODirect_Equations.VEERG_4_2_1_3__6_IntakeRelativeToMaintenance(AB56,AB20)</f>
        <v>0</v>
      </c>
      <c r="AC72" s="51" cm="1">
        <f t="array" ref="AC72">MMS_PastureBeef_Soil_N2ODirect_Equations.VEERG_4_2_1_3__6_IntakeRelativeToMaintenance(AC56,AC20)</f>
        <v>0</v>
      </c>
      <c r="AD72" s="51" cm="1">
        <f t="array" ref="AD72">MMS_PastureBeef_Soil_N2ODirect_Equations.VEERG_4_2_1_3__6_IntakeRelativeToMaintenance(AD56,AD20)</f>
        <v>0</v>
      </c>
      <c r="AE72" s="2" t="str">
        <f t="shared" ref="AE72:AE83" si="3">$E$46</f>
        <v>ratio</v>
      </c>
    </row>
    <row r="73" spans="3:31" ht="20.100000000000001" customHeight="1" x14ac:dyDescent="0.25">
      <c r="T73" s="51" t="str">
        <f>TEXT(EDATE('Input - Site'!$E$12,1), "mmmm yyyy")</f>
        <v>February 2024</v>
      </c>
      <c r="U73" s="51" cm="1">
        <f t="array" ref="U73">MMS_PastureBeef_Soil_N2ODirect_Equations.VEERG_4_2_1_3__6_IntakeRelativeToMaintenance(U57,U21)</f>
        <v>0</v>
      </c>
      <c r="V73" s="51" cm="1">
        <f t="array" ref="V73">MMS_PastureBeef_Soil_N2ODirect_Equations.VEERG_4_2_1_3__6_IntakeRelativeToMaintenance(V57,V21)</f>
        <v>0</v>
      </c>
      <c r="W73" s="51" cm="1">
        <f t="array" ref="W73">MMS_PastureBeef_Soil_N2ODirect_Equations.VEERG_4_2_1_3__6_IntakeRelativeToMaintenance(W57,W21)</f>
        <v>0</v>
      </c>
      <c r="X73" s="51" cm="1">
        <f t="array" ref="X73">MMS_PastureBeef_Soil_N2ODirect_Equations.VEERG_4_2_1_3__6_IntakeRelativeToMaintenance(X57,X21)</f>
        <v>0</v>
      </c>
      <c r="Y73" s="51" cm="1">
        <f t="array" ref="Y73">MMS_PastureBeef_Soil_N2ODirect_Equations.VEERG_4_2_1_3__6_IntakeRelativeToMaintenance(Y57,Y21)</f>
        <v>0</v>
      </c>
      <c r="Z73" s="51" cm="1">
        <f t="array" ref="Z73">MMS_PastureBeef_Soil_N2ODirect_Equations.VEERG_4_2_1_3__6_IntakeRelativeToMaintenance(Z57,Z21)</f>
        <v>0</v>
      </c>
      <c r="AA73" s="51" cm="1">
        <f t="array" ref="AA73">MMS_PastureBeef_Soil_N2ODirect_Equations.VEERG_4_2_1_3__6_IntakeRelativeToMaintenance(AA57,AA21)</f>
        <v>0</v>
      </c>
      <c r="AB73" s="51" cm="1">
        <f t="array" ref="AB73">MMS_PastureBeef_Soil_N2ODirect_Equations.VEERG_4_2_1_3__6_IntakeRelativeToMaintenance(AB57,AB21)</f>
        <v>0</v>
      </c>
      <c r="AC73" s="51" cm="1">
        <f t="array" ref="AC73">MMS_PastureBeef_Soil_N2ODirect_Equations.VEERG_4_2_1_3__6_IntakeRelativeToMaintenance(AC57,AC21)</f>
        <v>0</v>
      </c>
      <c r="AD73" s="51" cm="1">
        <f t="array" ref="AD73">MMS_PastureBeef_Soil_N2ODirect_Equations.VEERG_4_2_1_3__6_IntakeRelativeToMaintenance(AD57,AD21)</f>
        <v>0</v>
      </c>
      <c r="AE73" s="2" t="str">
        <f t="shared" si="3"/>
        <v>ratio</v>
      </c>
    </row>
    <row r="74" spans="3:31" ht="20.100000000000001" customHeight="1" x14ac:dyDescent="0.25">
      <c r="T74" s="51" t="str">
        <f>TEXT(EDATE('Input - Site'!$E$12,2), "mmmm yyyy")</f>
        <v>March 2024</v>
      </c>
      <c r="U74" s="51" cm="1">
        <f t="array" ref="U74">MMS_PastureBeef_Soil_N2ODirect_Equations.VEERG_4_2_1_3__6_IntakeRelativeToMaintenance(U58,U22)</f>
        <v>0</v>
      </c>
      <c r="V74" s="51" cm="1">
        <f t="array" ref="V74">MMS_PastureBeef_Soil_N2ODirect_Equations.VEERG_4_2_1_3__6_IntakeRelativeToMaintenance(V58,V22)</f>
        <v>0</v>
      </c>
      <c r="W74" s="51" cm="1">
        <f t="array" ref="W74">MMS_PastureBeef_Soil_N2ODirect_Equations.VEERG_4_2_1_3__6_IntakeRelativeToMaintenance(W58,W22)</f>
        <v>0</v>
      </c>
      <c r="X74" s="51" cm="1">
        <f t="array" ref="X74">MMS_PastureBeef_Soil_N2ODirect_Equations.VEERG_4_2_1_3__6_IntakeRelativeToMaintenance(X58,X22)</f>
        <v>0</v>
      </c>
      <c r="Y74" s="51" cm="1">
        <f t="array" ref="Y74">MMS_PastureBeef_Soil_N2ODirect_Equations.VEERG_4_2_1_3__6_IntakeRelativeToMaintenance(Y58,Y22)</f>
        <v>0</v>
      </c>
      <c r="Z74" s="51" cm="1">
        <f t="array" ref="Z74">MMS_PastureBeef_Soil_N2ODirect_Equations.VEERG_4_2_1_3__6_IntakeRelativeToMaintenance(Z58,Z22)</f>
        <v>0</v>
      </c>
      <c r="AA74" s="51" cm="1">
        <f t="array" ref="AA74">MMS_PastureBeef_Soil_N2ODirect_Equations.VEERG_4_2_1_3__6_IntakeRelativeToMaintenance(AA58,AA22)</f>
        <v>0</v>
      </c>
      <c r="AB74" s="51" cm="1">
        <f t="array" ref="AB74">MMS_PastureBeef_Soil_N2ODirect_Equations.VEERG_4_2_1_3__6_IntakeRelativeToMaintenance(AB58,AB22)</f>
        <v>0</v>
      </c>
      <c r="AC74" s="51" cm="1">
        <f t="array" ref="AC74">MMS_PastureBeef_Soil_N2ODirect_Equations.VEERG_4_2_1_3__6_IntakeRelativeToMaintenance(AC58,AC22)</f>
        <v>0</v>
      </c>
      <c r="AD74" s="51" cm="1">
        <f t="array" ref="AD74">MMS_PastureBeef_Soil_N2ODirect_Equations.VEERG_4_2_1_3__6_IntakeRelativeToMaintenance(AD58,AD22)</f>
        <v>0</v>
      </c>
      <c r="AE74" s="2" t="str">
        <f t="shared" si="3"/>
        <v>ratio</v>
      </c>
    </row>
    <row r="75" spans="3:31" ht="20.100000000000001" customHeight="1" x14ac:dyDescent="0.25">
      <c r="D75" s="52" t="s">
        <v>29</v>
      </c>
      <c r="E75" s="1" t="str" cm="1">
        <f t="array" ref="E75">MMS_PastureBeef_Soil_N2ODirect_Equations.VEERG_4_2_1_3__5_MilkProductionForCalvingSeason_Variable()</f>
        <v>MP_jk5</v>
      </c>
      <c r="F75" s="106" t="s">
        <v>186</v>
      </c>
      <c r="T75" s="51" t="str">
        <f>TEXT(EDATE('Input - Site'!$E$12,3), "mmmm yyyy")</f>
        <v>April 2024</v>
      </c>
      <c r="U75" s="51" cm="1">
        <f t="array" ref="U75">MMS_PastureBeef_Soil_N2ODirect_Equations.VEERG_4_2_1_3__6_IntakeRelativeToMaintenance(U59,U23)</f>
        <v>0</v>
      </c>
      <c r="V75" s="51" cm="1">
        <f t="array" ref="V75">MMS_PastureBeef_Soil_N2ODirect_Equations.VEERG_4_2_1_3__6_IntakeRelativeToMaintenance(V59,V23)</f>
        <v>0</v>
      </c>
      <c r="W75" s="51" cm="1">
        <f t="array" ref="W75">MMS_PastureBeef_Soil_N2ODirect_Equations.VEERG_4_2_1_3__6_IntakeRelativeToMaintenance(W59,W23)</f>
        <v>0</v>
      </c>
      <c r="X75" s="51" cm="1">
        <f t="array" ref="X75">MMS_PastureBeef_Soil_N2ODirect_Equations.VEERG_4_2_1_3__6_IntakeRelativeToMaintenance(X59,X23)</f>
        <v>0</v>
      </c>
      <c r="Y75" s="51" cm="1">
        <f t="array" ref="Y75">MMS_PastureBeef_Soil_N2ODirect_Equations.VEERG_4_2_1_3__6_IntakeRelativeToMaintenance(Y59,Y23)</f>
        <v>0</v>
      </c>
      <c r="Z75" s="51" cm="1">
        <f t="array" ref="Z75">MMS_PastureBeef_Soil_N2ODirect_Equations.VEERG_4_2_1_3__6_IntakeRelativeToMaintenance(Z59,Z23)</f>
        <v>0</v>
      </c>
      <c r="AA75" s="51" cm="1">
        <f t="array" ref="AA75">MMS_PastureBeef_Soil_N2ODirect_Equations.VEERG_4_2_1_3__6_IntakeRelativeToMaintenance(AA59,AA23)</f>
        <v>0</v>
      </c>
      <c r="AB75" s="51" cm="1">
        <f t="array" ref="AB75">MMS_PastureBeef_Soil_N2ODirect_Equations.VEERG_4_2_1_3__6_IntakeRelativeToMaintenance(AB59,AB23)</f>
        <v>0</v>
      </c>
      <c r="AC75" s="51" cm="1">
        <f t="array" ref="AC75">MMS_PastureBeef_Soil_N2ODirect_Equations.VEERG_4_2_1_3__6_IntakeRelativeToMaintenance(AC59,AC23)</f>
        <v>0</v>
      </c>
      <c r="AD75" s="51" cm="1">
        <f t="array" ref="AD75">MMS_PastureBeef_Soil_N2ODirect_Equations.VEERG_4_2_1_3__6_IntakeRelativeToMaintenance(AD59,AD23)</f>
        <v>0</v>
      </c>
      <c r="AE75" s="2" t="str">
        <f t="shared" si="3"/>
        <v>ratio</v>
      </c>
    </row>
    <row r="76" spans="3:31" ht="20.100000000000001" customHeight="1" x14ac:dyDescent="0.25">
      <c r="D76" s="52" t="s">
        <v>19</v>
      </c>
      <c r="E76" s="53" t="str" cm="1">
        <f t="array" ref="E76">MMS_PastureBeef_Soil_N2ODirect_Equations.VEERG_4_2_1_3__5_MilkProductionForCalvingSeason_Unit()</f>
        <v>kg/head/day</v>
      </c>
      <c r="T76" s="51" t="str">
        <f>TEXT(EDATE('Input - Site'!$E$12,4), "mmmm yyyy")</f>
        <v>May 2024</v>
      </c>
      <c r="U76" s="51" cm="1">
        <f t="array" ref="U76">MMS_PastureBeef_Soil_N2ODirect_Equations.VEERG_4_2_1_3__6_IntakeRelativeToMaintenance(U60,U24)</f>
        <v>0</v>
      </c>
      <c r="V76" s="51" cm="1">
        <f t="array" ref="V76">MMS_PastureBeef_Soil_N2ODirect_Equations.VEERG_4_2_1_3__6_IntakeRelativeToMaintenance(V60,V24)</f>
        <v>0</v>
      </c>
      <c r="W76" s="51" cm="1">
        <f t="array" ref="W76">MMS_PastureBeef_Soil_N2ODirect_Equations.VEERG_4_2_1_3__6_IntakeRelativeToMaintenance(W60,W24)</f>
        <v>0</v>
      </c>
      <c r="X76" s="51" cm="1">
        <f t="array" ref="X76">MMS_PastureBeef_Soil_N2ODirect_Equations.VEERG_4_2_1_3__6_IntakeRelativeToMaintenance(X60,X24)</f>
        <v>0</v>
      </c>
      <c r="Y76" s="51" cm="1">
        <f t="array" ref="Y76">MMS_PastureBeef_Soil_N2ODirect_Equations.VEERG_4_2_1_3__6_IntakeRelativeToMaintenance(Y60,Y24)</f>
        <v>0</v>
      </c>
      <c r="Z76" s="51" cm="1">
        <f t="array" ref="Z76">MMS_PastureBeef_Soil_N2ODirect_Equations.VEERG_4_2_1_3__6_IntakeRelativeToMaintenance(Z60,Z24)</f>
        <v>0</v>
      </c>
      <c r="AA76" s="51" cm="1">
        <f t="array" ref="AA76">MMS_PastureBeef_Soil_N2ODirect_Equations.VEERG_4_2_1_3__6_IntakeRelativeToMaintenance(AA60,AA24)</f>
        <v>0</v>
      </c>
      <c r="AB76" s="51" cm="1">
        <f t="array" ref="AB76">MMS_PastureBeef_Soil_N2ODirect_Equations.VEERG_4_2_1_3__6_IntakeRelativeToMaintenance(AB60,AB24)</f>
        <v>0</v>
      </c>
      <c r="AC76" s="51" cm="1">
        <f t="array" ref="AC76">MMS_PastureBeef_Soil_N2ODirect_Equations.VEERG_4_2_1_3__6_IntakeRelativeToMaintenance(AC60,AC24)</f>
        <v>0</v>
      </c>
      <c r="AD76" s="51" cm="1">
        <f t="array" ref="AD76">MMS_PastureBeef_Soil_N2ODirect_Equations.VEERG_4_2_1_3__6_IntakeRelativeToMaintenance(AD60,AD24)</f>
        <v>0</v>
      </c>
      <c r="AE76" s="2" t="str">
        <f t="shared" si="3"/>
        <v>ratio</v>
      </c>
    </row>
    <row r="77" spans="3:31" ht="20.100000000000001" customHeight="1" x14ac:dyDescent="0.25">
      <c r="T77" s="51" t="str">
        <f>TEXT(EDATE('Input - Site'!$E$12,5), "mmmm yyyy")</f>
        <v>June 2024</v>
      </c>
      <c r="U77" s="51" cm="1">
        <f t="array" ref="U77">MMS_PastureBeef_Soil_N2ODirect_Equations.VEERG_4_2_1_3__6_IntakeRelativeToMaintenance(U61,U25)</f>
        <v>0</v>
      </c>
      <c r="V77" s="51" cm="1">
        <f t="array" ref="V77">MMS_PastureBeef_Soil_N2ODirect_Equations.VEERG_4_2_1_3__6_IntakeRelativeToMaintenance(V61,V25)</f>
        <v>0</v>
      </c>
      <c r="W77" s="51" cm="1">
        <f t="array" ref="W77">MMS_PastureBeef_Soil_N2ODirect_Equations.VEERG_4_2_1_3__6_IntakeRelativeToMaintenance(W61,W25)</f>
        <v>0</v>
      </c>
      <c r="X77" s="51" cm="1">
        <f t="array" ref="X77">MMS_PastureBeef_Soil_N2ODirect_Equations.VEERG_4_2_1_3__6_IntakeRelativeToMaintenance(X61,X25)</f>
        <v>0</v>
      </c>
      <c r="Y77" s="51" cm="1">
        <f t="array" ref="Y77">MMS_PastureBeef_Soil_N2ODirect_Equations.VEERG_4_2_1_3__6_IntakeRelativeToMaintenance(Y61,Y25)</f>
        <v>0</v>
      </c>
      <c r="Z77" s="51" cm="1">
        <f t="array" ref="Z77">MMS_PastureBeef_Soil_N2ODirect_Equations.VEERG_4_2_1_3__6_IntakeRelativeToMaintenance(Z61,Z25)</f>
        <v>0</v>
      </c>
      <c r="AA77" s="51" cm="1">
        <f t="array" ref="AA77">MMS_PastureBeef_Soil_N2ODirect_Equations.VEERG_4_2_1_3__6_IntakeRelativeToMaintenance(AA61,AA25)</f>
        <v>0</v>
      </c>
      <c r="AB77" s="51" cm="1">
        <f t="array" ref="AB77">MMS_PastureBeef_Soil_N2ODirect_Equations.VEERG_4_2_1_3__6_IntakeRelativeToMaintenance(AB61,AB25)</f>
        <v>0</v>
      </c>
      <c r="AC77" s="51" cm="1">
        <f t="array" ref="AC77">MMS_PastureBeef_Soil_N2ODirect_Equations.VEERG_4_2_1_3__6_IntakeRelativeToMaintenance(AC61,AC25)</f>
        <v>0</v>
      </c>
      <c r="AD77" s="51" cm="1">
        <f t="array" ref="AD77">MMS_PastureBeef_Soil_N2ODirect_Equations.VEERG_4_2_1_3__6_IntakeRelativeToMaintenance(AD61,AD25)</f>
        <v>0</v>
      </c>
      <c r="AE77" s="2" t="str">
        <f t="shared" si="3"/>
        <v>ratio</v>
      </c>
    </row>
    <row r="78" spans="3:31" ht="20.100000000000001" customHeight="1" x14ac:dyDescent="0.25">
      <c r="D78" s="107" t="str" cm="1">
        <f t="array" ref="D78:E82">MMS_PastureBeef_Soil_N2ODirect_Equations.VEERG_4_2_1_3__5_MilkProductionForCalvingSeason_ArgumentsVariation()</f>
        <v>LC_jk5curr</v>
      </c>
      <c r="E78" s="109" t="str">
        <v>proportion of cows greater than 2 years lactating for the season of calving</v>
      </c>
      <c r="F78" s="116"/>
      <c r="G78" s="116"/>
      <c r="H78" s="108"/>
      <c r="I78" s="56" t="str">
        <f>"See " &amp; D84</f>
        <v>See M1_Table_LC_j_k-4-5</v>
      </c>
      <c r="T78" s="51" t="str">
        <f>TEXT(EDATE('Input - Site'!$E$12,6), "mmmm yyyy")</f>
        <v>July 2024</v>
      </c>
      <c r="U78" s="51" cm="1">
        <f t="array" ref="U78">MMS_PastureBeef_Soil_N2ODirect_Equations.VEERG_4_2_1_3__6_IntakeRelativeToMaintenance(U62,U26)</f>
        <v>0</v>
      </c>
      <c r="V78" s="51" cm="1">
        <f t="array" ref="V78">MMS_PastureBeef_Soil_N2ODirect_Equations.VEERG_4_2_1_3__6_IntakeRelativeToMaintenance(V62,V26)</f>
        <v>0</v>
      </c>
      <c r="W78" s="51" cm="1">
        <f t="array" ref="W78">MMS_PastureBeef_Soil_N2ODirect_Equations.VEERG_4_2_1_3__6_IntakeRelativeToMaintenance(W62,W26)</f>
        <v>0</v>
      </c>
      <c r="X78" s="51" cm="1">
        <f t="array" ref="X78">MMS_PastureBeef_Soil_N2ODirect_Equations.VEERG_4_2_1_3__6_IntakeRelativeToMaintenance(X62,X26)</f>
        <v>0</v>
      </c>
      <c r="Y78" s="51" cm="1">
        <f t="array" ref="Y78">MMS_PastureBeef_Soil_N2ODirect_Equations.VEERG_4_2_1_3__6_IntakeRelativeToMaintenance(Y62,Y26)</f>
        <v>0</v>
      </c>
      <c r="Z78" s="51" cm="1">
        <f t="array" ref="Z78">MMS_PastureBeef_Soil_N2ODirect_Equations.VEERG_4_2_1_3__6_IntakeRelativeToMaintenance(Z62,Z26)</f>
        <v>0</v>
      </c>
      <c r="AA78" s="51" cm="1">
        <f t="array" ref="AA78">MMS_PastureBeef_Soil_N2ODirect_Equations.VEERG_4_2_1_3__6_IntakeRelativeToMaintenance(AA62,AA26)</f>
        <v>0</v>
      </c>
      <c r="AB78" s="51" cm="1">
        <f t="array" ref="AB78">MMS_PastureBeef_Soil_N2ODirect_Equations.VEERG_4_2_1_3__6_IntakeRelativeToMaintenance(AB62,AB26)</f>
        <v>0</v>
      </c>
      <c r="AC78" s="51" cm="1">
        <f t="array" ref="AC78">MMS_PastureBeef_Soil_N2ODirect_Equations.VEERG_4_2_1_3__6_IntakeRelativeToMaintenance(AC62,AC26)</f>
        <v>0</v>
      </c>
      <c r="AD78" s="51" cm="1">
        <f t="array" ref="AD78">MMS_PastureBeef_Soil_N2ODirect_Equations.VEERG_4_2_1_3__6_IntakeRelativeToMaintenance(AD62,AD26)</f>
        <v>0</v>
      </c>
      <c r="AE78" s="2" t="str">
        <f t="shared" si="3"/>
        <v>ratio</v>
      </c>
    </row>
    <row r="79" spans="3:31" ht="20.100000000000001" customHeight="1" x14ac:dyDescent="0.25">
      <c r="D79" s="107" t="str">
        <v>LC_jk5prev</v>
      </c>
      <c r="E79" s="109" t="str">
        <v>proportion of cows greater than 2 years lactating for the season after calving</v>
      </c>
      <c r="F79" s="116"/>
      <c r="G79" s="116"/>
      <c r="H79" s="108"/>
      <c r="I79" s="56" t="str">
        <f>"See " &amp; D84</f>
        <v>See M1_Table_LC_j_k-4-5</v>
      </c>
      <c r="T79" s="51" t="str">
        <f>TEXT(EDATE('Input - Site'!$E$12,7), "mmmm yyyy")</f>
        <v>August 2024</v>
      </c>
      <c r="U79" s="51" cm="1">
        <f t="array" ref="U79">MMS_PastureBeef_Soil_N2ODirect_Equations.VEERG_4_2_1_3__6_IntakeRelativeToMaintenance(U63,U27)</f>
        <v>0</v>
      </c>
      <c r="V79" s="51" cm="1">
        <f t="array" ref="V79">MMS_PastureBeef_Soil_N2ODirect_Equations.VEERG_4_2_1_3__6_IntakeRelativeToMaintenance(V63,V27)</f>
        <v>0</v>
      </c>
      <c r="W79" s="51" cm="1">
        <f t="array" ref="W79">MMS_PastureBeef_Soil_N2ODirect_Equations.VEERG_4_2_1_3__6_IntakeRelativeToMaintenance(W63,W27)</f>
        <v>0</v>
      </c>
      <c r="X79" s="51" cm="1">
        <f t="array" ref="X79">MMS_PastureBeef_Soil_N2ODirect_Equations.VEERG_4_2_1_3__6_IntakeRelativeToMaintenance(X63,X27)</f>
        <v>0</v>
      </c>
      <c r="Y79" s="51" cm="1">
        <f t="array" ref="Y79">MMS_PastureBeef_Soil_N2ODirect_Equations.VEERG_4_2_1_3__6_IntakeRelativeToMaintenance(Y63,Y27)</f>
        <v>0</v>
      </c>
      <c r="Z79" s="51" cm="1">
        <f t="array" ref="Z79">MMS_PastureBeef_Soil_N2ODirect_Equations.VEERG_4_2_1_3__6_IntakeRelativeToMaintenance(Z63,Z27)</f>
        <v>0</v>
      </c>
      <c r="AA79" s="51" cm="1">
        <f t="array" ref="AA79">MMS_PastureBeef_Soil_N2ODirect_Equations.VEERG_4_2_1_3__6_IntakeRelativeToMaintenance(AA63,AA27)</f>
        <v>0</v>
      </c>
      <c r="AB79" s="51" cm="1">
        <f t="array" ref="AB79">MMS_PastureBeef_Soil_N2ODirect_Equations.VEERG_4_2_1_3__6_IntakeRelativeToMaintenance(AB63,AB27)</f>
        <v>0</v>
      </c>
      <c r="AC79" s="51" cm="1">
        <f t="array" ref="AC79">MMS_PastureBeef_Soil_N2ODirect_Equations.VEERG_4_2_1_3__6_IntakeRelativeToMaintenance(AC63,AC27)</f>
        <v>0</v>
      </c>
      <c r="AD79" s="51" cm="1">
        <f t="array" ref="AD79">MMS_PastureBeef_Soil_N2ODirect_Equations.VEERG_4_2_1_3__6_IntakeRelativeToMaintenance(AD63,AD27)</f>
        <v>0</v>
      </c>
      <c r="AE79" s="2" t="str">
        <f t="shared" si="3"/>
        <v>ratio</v>
      </c>
    </row>
    <row r="80" spans="3:31" ht="20.100000000000001" customHeight="1" x14ac:dyDescent="0.25">
      <c r="D80" s="107" t="str">
        <v>DMP_jk5calv</v>
      </c>
      <c r="E80" s="109" t="str">
        <v>daily milk production for the season of calving (kg/head/day)</v>
      </c>
      <c r="F80" s="116"/>
      <c r="G80" s="116"/>
      <c r="H80" s="108"/>
      <c r="I80" s="56" t="e" cm="1">
        <f t="array" ref="I80">_xlfn.XLOOKUP(1, (#REF!=$I$82)*(#REF!=+"Calving season"),#REF!)</f>
        <v>#REF!</v>
      </c>
      <c r="T80" s="51" t="str">
        <f>TEXT(EDATE('Input - Site'!$E$12,8), "mmmm yyyy")</f>
        <v>September 2024</v>
      </c>
      <c r="U80" s="51" cm="1">
        <f t="array" ref="U80">MMS_PastureBeef_Soil_N2ODirect_Equations.VEERG_4_2_1_3__6_IntakeRelativeToMaintenance(U64,U28)</f>
        <v>0</v>
      </c>
      <c r="V80" s="51" cm="1">
        <f t="array" ref="V80">MMS_PastureBeef_Soil_N2ODirect_Equations.VEERG_4_2_1_3__6_IntakeRelativeToMaintenance(V64,V28)</f>
        <v>0</v>
      </c>
      <c r="W80" s="51" cm="1">
        <f t="array" ref="W80">MMS_PastureBeef_Soil_N2ODirect_Equations.VEERG_4_2_1_3__6_IntakeRelativeToMaintenance(W64,W28)</f>
        <v>0</v>
      </c>
      <c r="X80" s="51" cm="1">
        <f t="array" ref="X80">MMS_PastureBeef_Soil_N2ODirect_Equations.VEERG_4_2_1_3__6_IntakeRelativeToMaintenance(X64,X28)</f>
        <v>0</v>
      </c>
      <c r="Y80" s="51" cm="1">
        <f t="array" ref="Y80">MMS_PastureBeef_Soil_N2ODirect_Equations.VEERG_4_2_1_3__6_IntakeRelativeToMaintenance(Y64,Y28)</f>
        <v>0</v>
      </c>
      <c r="Z80" s="51" cm="1">
        <f t="array" ref="Z80">MMS_PastureBeef_Soil_N2ODirect_Equations.VEERG_4_2_1_3__6_IntakeRelativeToMaintenance(Z64,Z28)</f>
        <v>0</v>
      </c>
      <c r="AA80" s="51" cm="1">
        <f t="array" ref="AA80">MMS_PastureBeef_Soil_N2ODirect_Equations.VEERG_4_2_1_3__6_IntakeRelativeToMaintenance(AA64,AA28)</f>
        <v>0</v>
      </c>
      <c r="AB80" s="51" cm="1">
        <f t="array" ref="AB80">MMS_PastureBeef_Soil_N2ODirect_Equations.VEERG_4_2_1_3__6_IntakeRelativeToMaintenance(AB64,AB28)</f>
        <v>0</v>
      </c>
      <c r="AC80" s="51" cm="1">
        <f t="array" ref="AC80">MMS_PastureBeef_Soil_N2ODirect_Equations.VEERG_4_2_1_3__6_IntakeRelativeToMaintenance(AC64,AC28)</f>
        <v>0</v>
      </c>
      <c r="AD80" s="51" cm="1">
        <f t="array" ref="AD80">MMS_PastureBeef_Soil_N2ODirect_Equations.VEERG_4_2_1_3__6_IntakeRelativeToMaintenance(AD64,AD28)</f>
        <v>0</v>
      </c>
      <c r="AE80" s="2" t="str">
        <f t="shared" si="3"/>
        <v>ratio</v>
      </c>
    </row>
    <row r="81" spans="4:32" ht="20.100000000000001" customHeight="1" x14ac:dyDescent="0.25">
      <c r="D81" s="107" t="str">
        <v>DMP_jk5after</v>
      </c>
      <c r="E81" s="109" t="str">
        <v>daily milk production for the season after calving (kg/head/day)</v>
      </c>
      <c r="F81" s="116"/>
      <c r="G81" s="116"/>
      <c r="H81" s="108"/>
      <c r="I81" s="56" t="e" cm="1">
        <f t="array" ref="I81">_xlfn.XLOOKUP(1, (#REF!=$I$82)*(#REF!=+"Season after calving"),#REF!)</f>
        <v>#REF!</v>
      </c>
      <c r="T81" s="51" t="str">
        <f>TEXT(EDATE('Input - Site'!$E$12,9), "mmmm yyyy")</f>
        <v>October 2024</v>
      </c>
      <c r="U81" s="51" cm="1">
        <f t="array" ref="U81">MMS_PastureBeef_Soil_N2ODirect_Equations.VEERG_4_2_1_3__6_IntakeRelativeToMaintenance(U65,U29)</f>
        <v>0</v>
      </c>
      <c r="V81" s="51" cm="1">
        <f t="array" ref="V81">MMS_PastureBeef_Soil_N2ODirect_Equations.VEERG_4_2_1_3__6_IntakeRelativeToMaintenance(V65,V29)</f>
        <v>0</v>
      </c>
      <c r="W81" s="51" cm="1">
        <f t="array" ref="W81">MMS_PastureBeef_Soil_N2ODirect_Equations.VEERG_4_2_1_3__6_IntakeRelativeToMaintenance(W65,W29)</f>
        <v>0</v>
      </c>
      <c r="X81" s="51" cm="1">
        <f t="array" ref="X81">MMS_PastureBeef_Soil_N2ODirect_Equations.VEERG_4_2_1_3__6_IntakeRelativeToMaintenance(X65,X29)</f>
        <v>0</v>
      </c>
      <c r="Y81" s="51" cm="1">
        <f t="array" ref="Y81">MMS_PastureBeef_Soil_N2ODirect_Equations.VEERG_4_2_1_3__6_IntakeRelativeToMaintenance(Y65,Y29)</f>
        <v>0</v>
      </c>
      <c r="Z81" s="51" cm="1">
        <f t="array" ref="Z81">MMS_PastureBeef_Soil_N2ODirect_Equations.VEERG_4_2_1_3__6_IntakeRelativeToMaintenance(Z65,Z29)</f>
        <v>0</v>
      </c>
      <c r="AA81" s="51" cm="1">
        <f t="array" ref="AA81">MMS_PastureBeef_Soil_N2ODirect_Equations.VEERG_4_2_1_3__6_IntakeRelativeToMaintenance(AA65,AA29)</f>
        <v>0</v>
      </c>
      <c r="AB81" s="51" cm="1">
        <f t="array" ref="AB81">MMS_PastureBeef_Soil_N2ODirect_Equations.VEERG_4_2_1_3__6_IntakeRelativeToMaintenance(AB65,AB29)</f>
        <v>0</v>
      </c>
      <c r="AC81" s="51" cm="1">
        <f t="array" ref="AC81">MMS_PastureBeef_Soil_N2ODirect_Equations.VEERG_4_2_1_3__6_IntakeRelativeToMaintenance(AC65,AC29)</f>
        <v>0</v>
      </c>
      <c r="AD81" s="51" cm="1">
        <f t="array" ref="AD81">MMS_PastureBeef_Soil_N2ODirect_Equations.VEERG_4_2_1_3__6_IntakeRelativeToMaintenance(AD65,AD29)</f>
        <v>0</v>
      </c>
      <c r="AE81" s="2" t="str">
        <f t="shared" si="3"/>
        <v>ratio</v>
      </c>
    </row>
    <row r="82" spans="4:32" ht="20.100000000000001" customHeight="1" x14ac:dyDescent="0.25">
      <c r="D82" s="107" t="str">
        <v>b</v>
      </c>
      <c r="E82" s="109" t="str">
        <v>breed of cattle</v>
      </c>
      <c r="F82" s="116"/>
      <c r="G82" s="116"/>
      <c r="H82" s="108"/>
      <c r="I82" s="56">
        <f>'Input - Swine'!$E$9</f>
        <v>0</v>
      </c>
      <c r="T82" s="51" t="str">
        <f>TEXT(EDATE('Input - Site'!$E$12,10), "mmmm yyyy")</f>
        <v>November 2024</v>
      </c>
      <c r="U82" s="51" cm="1">
        <f t="array" ref="U82">MMS_PastureBeef_Soil_N2ODirect_Equations.VEERG_4_2_1_3__6_IntakeRelativeToMaintenance(U66,U30)</f>
        <v>0</v>
      </c>
      <c r="V82" s="51" cm="1">
        <f t="array" ref="V82">MMS_PastureBeef_Soil_N2ODirect_Equations.VEERG_4_2_1_3__6_IntakeRelativeToMaintenance(V66,V30)</f>
        <v>0</v>
      </c>
      <c r="W82" s="51" cm="1">
        <f t="array" ref="W82">MMS_PastureBeef_Soil_N2ODirect_Equations.VEERG_4_2_1_3__6_IntakeRelativeToMaintenance(W66,W30)</f>
        <v>0</v>
      </c>
      <c r="X82" s="51" cm="1">
        <f t="array" ref="X82">MMS_PastureBeef_Soil_N2ODirect_Equations.VEERG_4_2_1_3__6_IntakeRelativeToMaintenance(X66,X30)</f>
        <v>0</v>
      </c>
      <c r="Y82" s="51" cm="1">
        <f t="array" ref="Y82">MMS_PastureBeef_Soil_N2ODirect_Equations.VEERG_4_2_1_3__6_IntakeRelativeToMaintenance(Y66,Y30)</f>
        <v>0</v>
      </c>
      <c r="Z82" s="51" cm="1">
        <f t="array" ref="Z82">MMS_PastureBeef_Soil_N2ODirect_Equations.VEERG_4_2_1_3__6_IntakeRelativeToMaintenance(Z66,Z30)</f>
        <v>0</v>
      </c>
      <c r="AA82" s="51" cm="1">
        <f t="array" ref="AA82">MMS_PastureBeef_Soil_N2ODirect_Equations.VEERG_4_2_1_3__6_IntakeRelativeToMaintenance(AA66,AA30)</f>
        <v>0</v>
      </c>
      <c r="AB82" s="51" cm="1">
        <f t="array" ref="AB82">MMS_PastureBeef_Soil_N2ODirect_Equations.VEERG_4_2_1_3__6_IntakeRelativeToMaintenance(AB66,AB30)</f>
        <v>0</v>
      </c>
      <c r="AC82" s="51" cm="1">
        <f t="array" ref="AC82">MMS_PastureBeef_Soil_N2ODirect_Equations.VEERG_4_2_1_3__6_IntakeRelativeToMaintenance(AC66,AC30)</f>
        <v>0</v>
      </c>
      <c r="AD82" s="51" cm="1">
        <f t="array" ref="AD82">MMS_PastureBeef_Soil_N2ODirect_Equations.VEERG_4_2_1_3__6_IntakeRelativeToMaintenance(AD66,AD30)</f>
        <v>0</v>
      </c>
      <c r="AE82" s="2" t="str">
        <f t="shared" si="3"/>
        <v>ratio</v>
      </c>
    </row>
    <row r="83" spans="4:32" ht="20.100000000000001" customHeight="1" x14ac:dyDescent="0.25">
      <c r="T83" s="51" t="str">
        <f>TEXT(EDATE('Input - Site'!$E$12,11), "mmmm yyyy")</f>
        <v>December 2024</v>
      </c>
      <c r="U83" s="51" cm="1">
        <f t="array" ref="U83">MMS_PastureBeef_Soil_N2ODirect_Equations.VEERG_4_2_1_3__6_IntakeRelativeToMaintenance(U67,U31)</f>
        <v>0</v>
      </c>
      <c r="V83" s="51" cm="1">
        <f t="array" ref="V83">MMS_PastureBeef_Soil_N2ODirect_Equations.VEERG_4_2_1_3__6_IntakeRelativeToMaintenance(V67,V31)</f>
        <v>0</v>
      </c>
      <c r="W83" s="51" cm="1">
        <f t="array" ref="W83">MMS_PastureBeef_Soil_N2ODirect_Equations.VEERG_4_2_1_3__6_IntakeRelativeToMaintenance(W67,W31)</f>
        <v>0</v>
      </c>
      <c r="X83" s="51" cm="1">
        <f t="array" ref="X83">MMS_PastureBeef_Soil_N2ODirect_Equations.VEERG_4_2_1_3__6_IntakeRelativeToMaintenance(X67,X31)</f>
        <v>0</v>
      </c>
      <c r="Y83" s="51" cm="1">
        <f t="array" ref="Y83">MMS_PastureBeef_Soil_N2ODirect_Equations.VEERG_4_2_1_3__6_IntakeRelativeToMaintenance(Y67,Y31)</f>
        <v>0</v>
      </c>
      <c r="Z83" s="51" cm="1">
        <f t="array" ref="Z83">MMS_PastureBeef_Soil_N2ODirect_Equations.VEERG_4_2_1_3__6_IntakeRelativeToMaintenance(Z67,Z31)</f>
        <v>0</v>
      </c>
      <c r="AA83" s="51" cm="1">
        <f t="array" ref="AA83">MMS_PastureBeef_Soil_N2ODirect_Equations.VEERG_4_2_1_3__6_IntakeRelativeToMaintenance(AA67,AA31)</f>
        <v>0</v>
      </c>
      <c r="AB83" s="51" cm="1">
        <f t="array" ref="AB83">MMS_PastureBeef_Soil_N2ODirect_Equations.VEERG_4_2_1_3__6_IntakeRelativeToMaintenance(AB67,AB31)</f>
        <v>0</v>
      </c>
      <c r="AC83" s="51" cm="1">
        <f t="array" ref="AC83">MMS_PastureBeef_Soil_N2ODirect_Equations.VEERG_4_2_1_3__6_IntakeRelativeToMaintenance(AC67,AC31)</f>
        <v>0</v>
      </c>
      <c r="AD83" s="51" cm="1">
        <f t="array" ref="AD83">MMS_PastureBeef_Soil_N2ODirect_Equations.VEERG_4_2_1_3__6_IntakeRelativeToMaintenance(AD67,AD31)</f>
        <v>0</v>
      </c>
      <c r="AE83" s="2" t="str">
        <f t="shared" si="3"/>
        <v>ratio</v>
      </c>
    </row>
    <row r="84" spans="4:32" ht="20.100000000000001" customHeight="1" x14ac:dyDescent="0.25">
      <c r="D84" s="98" t="s">
        <v>155</v>
      </c>
    </row>
    <row r="85" spans="4:32" ht="20.100000000000001" customHeight="1" x14ac:dyDescent="0.25">
      <c r="D85" s="97" t="s">
        <v>162</v>
      </c>
    </row>
    <row r="86" spans="4:32" ht="20.100000000000001" customHeight="1" x14ac:dyDescent="0.25">
      <c r="D86" s="50" t="s">
        <v>153</v>
      </c>
      <c r="E86" s="50" t="s">
        <v>142</v>
      </c>
      <c r="F86" s="50" t="s">
        <v>143</v>
      </c>
      <c r="G86" s="50" t="s">
        <v>144</v>
      </c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</row>
    <row r="87" spans="4:32" ht="20.100000000000001" customHeight="1" x14ac:dyDescent="0.25">
      <c r="D87" s="51" t="str">
        <f>'4.5.1.1-2 Methane'!D22</f>
        <v>Conventional housing</v>
      </c>
      <c r="E87" s="51" t="str">
        <f>'4.5.1.1-2 Methane'!E22</f>
        <v>Solid storage</v>
      </c>
      <c r="F87" s="51" t="str">
        <f>'4.5.1.1-2 Methane'!F22</f>
        <v>N/A</v>
      </c>
      <c r="G87" s="51" t="str">
        <f>'4.5.1.1-2 Methane'!G22</f>
        <v>N/A</v>
      </c>
      <c r="H87" s="2" t="s">
        <v>99</v>
      </c>
      <c r="T87" s="6" t="str" cm="1">
        <f t="array" ref="T87">MMS_PastureBeef_Soil_N2ODirect_Equations.VEERG_4_2_1_3__5_MilkProductionForCalvingSeason_Title()</f>
        <v>Milk production for the season of calving and season after calving</v>
      </c>
    </row>
    <row r="88" spans="4:32" ht="20.100000000000001" customHeight="1" x14ac:dyDescent="0.25">
      <c r="D88" s="51" t="str">
        <f>'4.5.1.1-2 Methane'!D23</f>
        <v>Deep litter housing</v>
      </c>
      <c r="E88" s="51" t="str">
        <f>'4.5.1.1-2 Methane'!E23</f>
        <v>Drylot (feed pad)</v>
      </c>
      <c r="F88" s="51">
        <f>'4.5.1.1-2 Methane'!F23</f>
        <v>0.5</v>
      </c>
      <c r="G88" s="51">
        <f>'4.5.1.1-2 Methane'!G23</f>
        <v>0.5</v>
      </c>
      <c r="H88" s="2" t="s">
        <v>99</v>
      </c>
    </row>
    <row r="89" spans="4:32" ht="20.100000000000001" customHeight="1" x14ac:dyDescent="0.25">
      <c r="D89" s="51">
        <f>'4.5.1.1-2 Methane'!D24</f>
        <v>0</v>
      </c>
      <c r="E89" s="51">
        <f>'4.5.1.1-2 Methane'!E24</f>
        <v>0</v>
      </c>
      <c r="F89" s="51">
        <f>'4.5.1.1-2 Methane'!F24</f>
        <v>0</v>
      </c>
      <c r="G89" s="51">
        <f>'4.5.1.1-2 Methane'!G24</f>
        <v>0</v>
      </c>
      <c r="H89" s="2" t="s">
        <v>99</v>
      </c>
      <c r="T89" s="98" t="s">
        <v>160</v>
      </c>
    </row>
    <row r="90" spans="4:32" ht="20.100000000000001" customHeight="1" x14ac:dyDescent="0.25">
      <c r="D90" s="51">
        <f>'4.5.1.1-2 Methane'!D25</f>
        <v>0</v>
      </c>
      <c r="E90" s="51">
        <f>'4.5.1.1-2 Methane'!E25</f>
        <v>0</v>
      </c>
      <c r="F90" s="51">
        <f>'4.5.1.1-2 Methane'!F25</f>
        <v>0</v>
      </c>
      <c r="G90" s="51">
        <f>'4.5.1.1-2 Methane'!G25</f>
        <v>0</v>
      </c>
      <c r="H90" s="2" t="s">
        <v>99</v>
      </c>
      <c r="T90" s="97" t="s">
        <v>161</v>
      </c>
    </row>
    <row r="91" spans="4:32" ht="20.100000000000001" customHeight="1" x14ac:dyDescent="0.25">
      <c r="T91" s="50" t="s">
        <v>153</v>
      </c>
      <c r="U91" s="50" t="s">
        <v>142</v>
      </c>
      <c r="V91" s="50" t="s">
        <v>143</v>
      </c>
      <c r="W91" s="50" t="s">
        <v>144</v>
      </c>
    </row>
    <row r="92" spans="4:32" ht="20.100000000000001" customHeight="1" x14ac:dyDescent="0.25">
      <c r="D92" s="98" t="s">
        <v>185</v>
      </c>
      <c r="T92" s="51">
        <f>'Input - Swine'!$D$204</f>
        <v>0</v>
      </c>
      <c r="U92" s="51">
        <f>'4.5.1.1-2 Methane'!U22</f>
        <v>0</v>
      </c>
      <c r="V92" s="51">
        <f>'4.5.1.1-2 Methane'!V22</f>
        <v>0</v>
      </c>
      <c r="W92" s="51">
        <f>'4.5.1.1-2 Methane'!W22</f>
        <v>0</v>
      </c>
      <c r="X92" s="2" t="s">
        <v>99</v>
      </c>
    </row>
    <row r="93" spans="4:32" ht="20.100000000000001" customHeight="1" x14ac:dyDescent="0.25">
      <c r="D93" s="97" t="s">
        <v>122</v>
      </c>
      <c r="T93" s="51">
        <f>'Input - Swine'!$D$205</f>
        <v>0</v>
      </c>
      <c r="U93" s="51">
        <f>'4.5.1.1-2 Methane'!U23</f>
        <v>0</v>
      </c>
      <c r="V93" s="51">
        <f>'4.5.1.1-2 Methane'!V23</f>
        <v>0</v>
      </c>
      <c r="W93" s="51">
        <f>'4.5.1.1-2 Methane'!W23</f>
        <v>0</v>
      </c>
      <c r="X93" s="2" t="s">
        <v>99</v>
      </c>
    </row>
    <row r="94" spans="4:32" ht="20.100000000000001" customHeight="1" x14ac:dyDescent="0.25">
      <c r="D94" s="50" t="s">
        <v>153</v>
      </c>
      <c r="E94" s="50" t="s">
        <v>118</v>
      </c>
      <c r="F94" s="50" t="s">
        <v>117</v>
      </c>
      <c r="G94" s="50" t="s">
        <v>141</v>
      </c>
      <c r="H94" s="50" t="s">
        <v>142</v>
      </c>
      <c r="I94" s="50" t="s">
        <v>143</v>
      </c>
      <c r="J94" s="50" t="s">
        <v>144</v>
      </c>
      <c r="K94" s="50" t="s">
        <v>145</v>
      </c>
      <c r="L94" s="50" t="s">
        <v>146</v>
      </c>
      <c r="M94" s="50" t="s">
        <v>147</v>
      </c>
      <c r="N94" s="50" t="s">
        <v>148</v>
      </c>
      <c r="T94" s="51" t="e">
        <f>'Input - Swine'!#REF!</f>
        <v>#REF!</v>
      </c>
      <c r="U94" s="51">
        <f>'4.5.1.1-2 Methane'!U24</f>
        <v>0</v>
      </c>
      <c r="V94" s="51">
        <f>'4.5.1.1-2 Methane'!V24</f>
        <v>0</v>
      </c>
      <c r="W94" s="51">
        <f>'4.5.1.1-2 Methane'!W24</f>
        <v>0</v>
      </c>
      <c r="X94" s="2" t="s">
        <v>99</v>
      </c>
    </row>
    <row r="95" spans="4:32" ht="20.100000000000001" customHeight="1" x14ac:dyDescent="0.25">
      <c r="D95" s="51" t="str">
        <f>'4.5.1.1-2 Methane'!D30</f>
        <v>Conventional housing</v>
      </c>
      <c r="E95" s="51">
        <v>0</v>
      </c>
      <c r="F95" s="51">
        <v>0</v>
      </c>
      <c r="G95" s="51">
        <v>0</v>
      </c>
      <c r="H95" s="51" t="e" cm="1">
        <f t="array" ref="H95">MMS_PastureBeef_Soil_N2ODirect_Equations.VEERG_4_2_1_3__5_MilkProductionForCalvingSeasonVariation(E87,E90,$I$80,$I$81)</f>
        <v>#VALUE!</v>
      </c>
      <c r="I95" s="51" t="e" cm="1">
        <f t="array" ref="I95">MMS_PastureBeef_Soil_N2ODirect_Equations.VEERG_4_2_1_3__5_MilkProductionForCalvingSeasonVariation(F87,F90,$I$80,$I$81)</f>
        <v>#VALUE!</v>
      </c>
      <c r="J95" s="51" t="e" cm="1">
        <f t="array" ref="J95">MMS_PastureBeef_Soil_N2ODirect_Equations.VEERG_4_2_1_3__5_MilkProductionForCalvingSeasonVariation(G87,G90,$I$80,$I$81)</f>
        <v>#VALUE!</v>
      </c>
      <c r="K95" s="51">
        <v>0</v>
      </c>
      <c r="L95" s="51">
        <v>0</v>
      </c>
      <c r="M95" s="51">
        <v>0</v>
      </c>
      <c r="N95" s="51">
        <v>0</v>
      </c>
      <c r="O95" s="2" t="str">
        <f>$E$76</f>
        <v>kg/head/day</v>
      </c>
      <c r="T95" s="51" t="e">
        <f>'Input - Swine'!#REF!</f>
        <v>#REF!</v>
      </c>
      <c r="U95" s="51">
        <f>'4.5.1.1-2 Methane'!U25</f>
        <v>0</v>
      </c>
      <c r="V95" s="51">
        <f>'4.5.1.1-2 Methane'!V25</f>
        <v>0</v>
      </c>
      <c r="W95" s="51">
        <f>'4.5.1.1-2 Methane'!W25</f>
        <v>0</v>
      </c>
      <c r="X95" s="2" t="s">
        <v>99</v>
      </c>
    </row>
    <row r="96" spans="4:32" ht="20.100000000000001" customHeight="1" x14ac:dyDescent="0.25">
      <c r="D96" s="51" t="str">
        <f>'4.5.1.1-2 Methane'!D31</f>
        <v>Deep litter housing</v>
      </c>
      <c r="E96" s="51">
        <v>0</v>
      </c>
      <c r="F96" s="51">
        <v>0</v>
      </c>
      <c r="G96" s="51">
        <v>0</v>
      </c>
      <c r="H96" s="51" t="e" cm="1">
        <f t="array" ref="H96">MMS_PastureBeef_Soil_N2ODirect_Equations.VEERG_4_2_1_3__5_MilkProductionForCalvingSeasonVariation(E88,E87,$I$80,$I$81)</f>
        <v>#VALUE!</v>
      </c>
      <c r="I96" s="51" t="e" cm="1">
        <f t="array" ref="I96">MMS_PastureBeef_Soil_N2ODirect_Equations.VEERG_4_2_1_3__5_MilkProductionForCalvingSeasonVariation(F88,F87,$I$80,$I$81)</f>
        <v>#REF!</v>
      </c>
      <c r="J96" s="51" t="e" cm="1">
        <f t="array" ref="J96">MMS_PastureBeef_Soil_N2ODirect_Equations.VEERG_4_2_1_3__5_MilkProductionForCalvingSeasonVariation(G88,G87,$I$80,$I$81)</f>
        <v>#REF!</v>
      </c>
      <c r="K96" s="51">
        <v>0</v>
      </c>
      <c r="L96" s="51">
        <v>0</v>
      </c>
      <c r="M96" s="51">
        <v>0</v>
      </c>
      <c r="N96" s="51">
        <v>0</v>
      </c>
      <c r="O96" s="2" t="str">
        <f t="shared" ref="O96:O98" si="4">$E$76</f>
        <v>kg/head/day</v>
      </c>
    </row>
    <row r="97" spans="3:31" ht="20.100000000000001" customHeight="1" x14ac:dyDescent="0.25">
      <c r="D97" s="51">
        <f>'4.5.1.1-2 Methane'!D32</f>
        <v>0</v>
      </c>
      <c r="E97" s="51">
        <v>0</v>
      </c>
      <c r="F97" s="51">
        <v>0</v>
      </c>
      <c r="G97" s="51">
        <v>0</v>
      </c>
      <c r="H97" s="51" t="e" cm="1">
        <f t="array" ref="H97">MMS_PastureBeef_Soil_N2ODirect_Equations.VEERG_4_2_1_3__5_MilkProductionForCalvingSeasonVariation(E89,E88,$I$80,$I$81)</f>
        <v>#REF!</v>
      </c>
      <c r="I97" s="51" t="e" cm="1">
        <f t="array" ref="I97">MMS_PastureBeef_Soil_N2ODirect_Equations.VEERG_4_2_1_3__5_MilkProductionForCalvingSeasonVariation(F89,F88,$I$80,$I$81)</f>
        <v>#REF!</v>
      </c>
      <c r="J97" s="51" t="e" cm="1">
        <f t="array" ref="J97">MMS_PastureBeef_Soil_N2ODirect_Equations.VEERG_4_2_1_3__5_MilkProductionForCalvingSeasonVariation(G89,G88,$I$80,$I$81)</f>
        <v>#REF!</v>
      </c>
      <c r="K97" s="51">
        <v>0</v>
      </c>
      <c r="L97" s="51">
        <v>0</v>
      </c>
      <c r="M97" s="51">
        <v>0</v>
      </c>
      <c r="N97" s="51">
        <v>0</v>
      </c>
      <c r="O97" s="2" t="str">
        <f t="shared" si="4"/>
        <v>kg/head/day</v>
      </c>
      <c r="T97" s="98" t="s">
        <v>185</v>
      </c>
    </row>
    <row r="98" spans="3:31" ht="20.100000000000001" customHeight="1" x14ac:dyDescent="0.25">
      <c r="D98" s="51">
        <f>'4.5.1.1-2 Methane'!D33</f>
        <v>0</v>
      </c>
      <c r="E98" s="51">
        <v>0</v>
      </c>
      <c r="F98" s="51">
        <v>0</v>
      </c>
      <c r="G98" s="51">
        <v>0</v>
      </c>
      <c r="H98" s="51" t="e" cm="1">
        <f t="array" ref="H98">MMS_PastureBeef_Soil_N2ODirect_Equations.VEERG_4_2_1_3__5_MilkProductionForCalvingSeasonVariation(E90,E89,$I$80,$I$81)</f>
        <v>#REF!</v>
      </c>
      <c r="I98" s="51" t="e" cm="1">
        <f t="array" ref="I98">MMS_PastureBeef_Soil_N2ODirect_Equations.VEERG_4_2_1_3__5_MilkProductionForCalvingSeasonVariation(F90,F89,$I$80,$I$81)</f>
        <v>#REF!</v>
      </c>
      <c r="J98" s="51" t="e" cm="1">
        <f t="array" ref="J98">MMS_PastureBeef_Soil_N2ODirect_Equations.VEERG_4_2_1_3__5_MilkProductionForCalvingSeasonVariation(G90,G89,$I$80,$I$81)</f>
        <v>#REF!</v>
      </c>
      <c r="K98" s="51">
        <v>0</v>
      </c>
      <c r="L98" s="51">
        <v>0</v>
      </c>
      <c r="M98" s="51">
        <v>0</v>
      </c>
      <c r="N98" s="51">
        <v>0</v>
      </c>
      <c r="O98" s="2" t="str">
        <f t="shared" si="4"/>
        <v>kg/head/day</v>
      </c>
      <c r="T98" s="97" t="s">
        <v>122</v>
      </c>
    </row>
    <row r="99" spans="3:31" ht="20.100000000000001" customHeight="1" x14ac:dyDescent="0.25">
      <c r="T99" s="50" t="s">
        <v>119</v>
      </c>
      <c r="U99" s="50" t="s">
        <v>118</v>
      </c>
      <c r="V99" s="50" t="s">
        <v>117</v>
      </c>
      <c r="W99" s="50" t="s">
        <v>141</v>
      </c>
      <c r="X99" s="50" t="s">
        <v>142</v>
      </c>
      <c r="Y99" s="50" t="s">
        <v>143</v>
      </c>
      <c r="Z99" s="50" t="s">
        <v>144</v>
      </c>
      <c r="AA99" s="50" t="s">
        <v>145</v>
      </c>
      <c r="AB99" s="50" t="s">
        <v>146</v>
      </c>
      <c r="AC99" s="50" t="s">
        <v>147</v>
      </c>
      <c r="AD99" s="50" t="s">
        <v>148</v>
      </c>
    </row>
    <row r="100" spans="3:31" ht="20.100000000000001" customHeight="1" x14ac:dyDescent="0.25">
      <c r="T100" s="51" t="str">
        <f>TEXT('Input - Site'!$E$12, "mmmm yyyy")</f>
        <v>January 2024</v>
      </c>
      <c r="U100" s="51">
        <v>0</v>
      </c>
      <c r="V100" s="51">
        <v>0</v>
      </c>
      <c r="W100" s="51">
        <v>0</v>
      </c>
      <c r="X100" s="51" t="e" cm="1">
        <f t="array" ref="X100">MMS_PastureBeef_Soil_N2ODirect_Equations.VEERG_4_2_1_3__5_MilkProductionForCalvingSeasonVariation(U$92,U$95,$I$80,$I$81)</f>
        <v>#REF!</v>
      </c>
      <c r="Y100" s="51" t="e" cm="1">
        <f t="array" ref="Y100">MMS_PastureBeef_Soil_N2ODirect_Equations.VEERG_4_2_1_3__5_MilkProductionForCalvingSeasonVariation(V$92,V$95,$I$80,$I$81)</f>
        <v>#REF!</v>
      </c>
      <c r="Z100" s="51" t="e" cm="1">
        <f t="array" ref="Z100">MMS_PastureBeef_Soil_N2ODirect_Equations.VEERG_4_2_1_3__5_MilkProductionForCalvingSeasonVariation(W$92,W$95,$I$80,$I$81)</f>
        <v>#REF!</v>
      </c>
      <c r="AA100" s="51">
        <v>0</v>
      </c>
      <c r="AB100" s="51">
        <v>0</v>
      </c>
      <c r="AC100" s="51">
        <v>0</v>
      </c>
      <c r="AD100" s="51">
        <v>0</v>
      </c>
      <c r="AE100" s="2" t="str">
        <f t="shared" ref="AE100:AE111" si="5">$E$76</f>
        <v>kg/head/day</v>
      </c>
    </row>
    <row r="101" spans="3:31" ht="20.100000000000001" customHeight="1" x14ac:dyDescent="0.25"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T101" s="51" t="str">
        <f>TEXT(EDATE('Input - Site'!$E$12,1), "mmmm yyyy")</f>
        <v>February 2024</v>
      </c>
      <c r="U101" s="51">
        <v>0</v>
      </c>
      <c r="V101" s="51">
        <v>0</v>
      </c>
      <c r="W101" s="51">
        <v>0</v>
      </c>
      <c r="X101" s="51" t="e" cm="1">
        <f t="array" ref="X101">MMS_PastureBeef_Soil_N2ODirect_Equations.VEERG_4_2_1_3__5_MilkProductionForCalvingSeasonVariation(U$92,U$95,$I$80,$I$81)</f>
        <v>#REF!</v>
      </c>
      <c r="Y101" s="51" t="e" cm="1">
        <f t="array" ref="Y101">MMS_PastureBeef_Soil_N2ODirect_Equations.VEERG_4_2_1_3__5_MilkProductionForCalvingSeasonVariation(V$92,V$95,$I$80,$I$81)</f>
        <v>#REF!</v>
      </c>
      <c r="Z101" s="51" t="e" cm="1">
        <f t="array" ref="Z101">MMS_PastureBeef_Soil_N2ODirect_Equations.VEERG_4_2_1_3__5_MilkProductionForCalvingSeasonVariation(W$92,W$95,$I$80,$I$81)</f>
        <v>#REF!</v>
      </c>
      <c r="AA101" s="51">
        <v>0</v>
      </c>
      <c r="AB101" s="51">
        <v>0</v>
      </c>
      <c r="AC101" s="51">
        <v>0</v>
      </c>
      <c r="AD101" s="51">
        <v>0</v>
      </c>
      <c r="AE101" s="2" t="str">
        <f t="shared" si="5"/>
        <v>kg/head/day</v>
      </c>
    </row>
    <row r="102" spans="3:31" ht="20.100000000000001" customHeight="1" x14ac:dyDescent="0.25">
      <c r="D102" s="6" t="str" cm="1">
        <f t="array" ref="D102">MMS_PastureBeef_Soil_N2ODirect_Equations.VEERG_4_2_1_3__4_NitrogenRetainedByBody_Title()</f>
        <v>Amount of nitrogen retained by the body</v>
      </c>
      <c r="T102" s="51" t="str">
        <f>TEXT(EDATE('Input - Site'!$E$12,2), "mmmm yyyy")</f>
        <v>March 2024</v>
      </c>
      <c r="U102" s="51">
        <v>0</v>
      </c>
      <c r="V102" s="51">
        <v>0</v>
      </c>
      <c r="W102" s="51">
        <v>0</v>
      </c>
      <c r="X102" s="51" t="e" cm="1">
        <f t="array" ref="X102">MMS_PastureBeef_Soil_N2ODirect_Equations.VEERG_4_2_1_3__5_MilkProductionForCalvingSeasonVariation(U$92,U$95,$I$80,$I$81)</f>
        <v>#REF!</v>
      </c>
      <c r="Y102" s="51" t="e" cm="1">
        <f t="array" ref="Y102">MMS_PastureBeef_Soil_N2ODirect_Equations.VEERG_4_2_1_3__5_MilkProductionForCalvingSeasonVariation(V$92,V$95,$I$80,$I$81)</f>
        <v>#REF!</v>
      </c>
      <c r="Z102" s="51" t="e" cm="1">
        <f t="array" ref="Z102">MMS_PastureBeef_Soil_N2ODirect_Equations.VEERG_4_2_1_3__5_MilkProductionForCalvingSeasonVariation(W$92,W$95,$I$80,$I$81)</f>
        <v>#REF!</v>
      </c>
      <c r="AA102" s="51">
        <v>0</v>
      </c>
      <c r="AB102" s="51">
        <v>0</v>
      </c>
      <c r="AC102" s="51">
        <v>0</v>
      </c>
      <c r="AD102" s="51">
        <v>0</v>
      </c>
      <c r="AE102" s="2" t="str">
        <f t="shared" si="5"/>
        <v>kg/head/day</v>
      </c>
    </row>
    <row r="103" spans="3:31" ht="20.100000000000001" customHeight="1" x14ac:dyDescent="0.25">
      <c r="D103" s="5" t="str" cm="1">
        <f t="array" ref="D103">MMS_PastureBeef_Soil_N2ODirect_Equations.VEERG_4_2_1_3__4_NitrogenRetainedByBody_Source()</f>
        <v>VEERG 2026: 4.2.1.3, Equation (4)</v>
      </c>
      <c r="T103" s="51" t="str">
        <f>TEXT(EDATE('Input - Site'!$E$12,3), "mmmm yyyy")</f>
        <v>April 2024</v>
      </c>
      <c r="U103" s="51">
        <v>0</v>
      </c>
      <c r="V103" s="51">
        <v>0</v>
      </c>
      <c r="W103" s="51">
        <v>0</v>
      </c>
      <c r="X103" s="51" t="e" cm="1">
        <f t="array" ref="X103">MMS_PastureBeef_Soil_N2ODirect_Equations.VEERG_4_2_1_3__5_MilkProductionForCalvingSeasonVariation(U$93,U$92,$I$80,$I$81)</f>
        <v>#REF!</v>
      </c>
      <c r="Y103" s="51" t="e" cm="1">
        <f t="array" ref="Y103">MMS_PastureBeef_Soil_N2ODirect_Equations.VEERG_4_2_1_3__5_MilkProductionForCalvingSeasonVariation(V$93,V$92,$I$80,$I$81)</f>
        <v>#REF!</v>
      </c>
      <c r="Z103" s="51" t="e" cm="1">
        <f t="array" ref="Z103">MMS_PastureBeef_Soil_N2ODirect_Equations.VEERG_4_2_1_3__5_MilkProductionForCalvingSeasonVariation(W$93,W$92,$I$80,$I$81)</f>
        <v>#REF!</v>
      </c>
      <c r="AA103" s="51">
        <v>0</v>
      </c>
      <c r="AB103" s="51">
        <v>0</v>
      </c>
      <c r="AC103" s="51">
        <v>0</v>
      </c>
      <c r="AD103" s="51">
        <v>0</v>
      </c>
      <c r="AE103" s="2" t="str">
        <f t="shared" si="5"/>
        <v>kg/head/day</v>
      </c>
    </row>
    <row r="104" spans="3:31" ht="20.100000000000001" customHeight="1" x14ac:dyDescent="0.25">
      <c r="D104" s="13" t="s">
        <v>26</v>
      </c>
      <c r="E104" s="13" t="str" cm="1">
        <f t="array" aca="1" ref="E104" ca="1">Common_InputFunctions.Utility_DisplayFunctionName(E127)</f>
        <v>=MMS_PastureBeef_Soil_N2ODirect_Equations.VEERG_4_2_1_3__4_NitrogenRetainedByBody</v>
      </c>
      <c r="T104" s="51" t="str">
        <f>TEXT(EDATE('Input - Site'!$E$12,4), "mmmm yyyy")</f>
        <v>May 2024</v>
      </c>
      <c r="U104" s="51">
        <v>0</v>
      </c>
      <c r="V104" s="51">
        <v>0</v>
      </c>
      <c r="W104" s="51">
        <v>0</v>
      </c>
      <c r="X104" s="51" t="e" cm="1">
        <f t="array" ref="X104">MMS_PastureBeef_Soil_N2ODirect_Equations.VEERG_4_2_1_3__5_MilkProductionForCalvingSeasonVariation(U$93,U$92,$I$80,$I$81)</f>
        <v>#REF!</v>
      </c>
      <c r="Y104" s="51" t="e" cm="1">
        <f t="array" ref="Y104">MMS_PastureBeef_Soil_N2ODirect_Equations.VEERG_4_2_1_3__5_MilkProductionForCalvingSeasonVariation(V$93,V$92,$I$80,$I$81)</f>
        <v>#REF!</v>
      </c>
      <c r="Z104" s="51" t="e" cm="1">
        <f t="array" ref="Z104">MMS_PastureBeef_Soil_N2ODirect_Equations.VEERG_4_2_1_3__5_MilkProductionForCalvingSeasonVariation(W$93,W$92,$I$80,$I$81)</f>
        <v>#REF!</v>
      </c>
      <c r="AA104" s="51">
        <v>0</v>
      </c>
      <c r="AB104" s="51">
        <v>0</v>
      </c>
      <c r="AC104" s="51">
        <v>0</v>
      </c>
      <c r="AD104" s="51">
        <v>0</v>
      </c>
      <c r="AE104" s="2" t="str">
        <f t="shared" si="5"/>
        <v>kg/head/day</v>
      </c>
    </row>
    <row r="105" spans="3:31" ht="20.100000000000001" customHeight="1" x14ac:dyDescent="0.25">
      <c r="T105" s="51" t="str">
        <f>TEXT(EDATE('Input - Site'!$E$12,5), "mmmm yyyy")</f>
        <v>June 2024</v>
      </c>
      <c r="U105" s="51">
        <v>0</v>
      </c>
      <c r="V105" s="51">
        <v>0</v>
      </c>
      <c r="W105" s="51">
        <v>0</v>
      </c>
      <c r="X105" s="51" t="e" cm="1">
        <f t="array" ref="X105">MMS_PastureBeef_Soil_N2ODirect_Equations.VEERG_4_2_1_3__5_MilkProductionForCalvingSeasonVariation(U$93,U$92,$I$80,$I$81)</f>
        <v>#REF!</v>
      </c>
      <c r="Y105" s="51" t="e" cm="1">
        <f t="array" ref="Y105">MMS_PastureBeef_Soil_N2ODirect_Equations.VEERG_4_2_1_3__5_MilkProductionForCalvingSeasonVariation(V$93,V$92,$I$80,$I$81)</f>
        <v>#REF!</v>
      </c>
      <c r="Z105" s="51" t="e" cm="1">
        <f t="array" ref="Z105">MMS_PastureBeef_Soil_N2ODirect_Equations.VEERG_4_2_1_3__5_MilkProductionForCalvingSeasonVariation(W$93,W$92,$I$80,$I$81)</f>
        <v>#REF!</v>
      </c>
      <c r="AA105" s="51">
        <v>0</v>
      </c>
      <c r="AB105" s="51">
        <v>0</v>
      </c>
      <c r="AC105" s="51">
        <v>0</v>
      </c>
      <c r="AD105" s="51">
        <v>0</v>
      </c>
      <c r="AE105" s="2" t="str">
        <f t="shared" si="5"/>
        <v>kg/head/day</v>
      </c>
    </row>
    <row r="106" spans="3:31" ht="20.100000000000001" customHeight="1" x14ac:dyDescent="0.25">
      <c r="T106" s="51" t="str">
        <f>TEXT(EDATE('Input - Site'!$E$12,6), "mmmm yyyy")</f>
        <v>July 2024</v>
      </c>
      <c r="U106" s="51">
        <v>0</v>
      </c>
      <c r="V106" s="51">
        <v>0</v>
      </c>
      <c r="W106" s="51">
        <v>0</v>
      </c>
      <c r="X106" s="51" t="e" cm="1">
        <f t="array" ref="X106">MMS_PastureBeef_Soil_N2ODirect_Equations.VEERG_4_2_1_3__5_MilkProductionForCalvingSeasonVariation(U$94,U$93,$I$80,$I$81)</f>
        <v>#REF!</v>
      </c>
      <c r="Y106" s="51" t="e" cm="1">
        <f t="array" ref="Y106">MMS_PastureBeef_Soil_N2ODirect_Equations.VEERG_4_2_1_3__5_MilkProductionForCalvingSeasonVariation(V$94,V$93,$I$80,$I$81)</f>
        <v>#REF!</v>
      </c>
      <c r="Z106" s="51" t="e" cm="1">
        <f t="array" ref="Z106">MMS_PastureBeef_Soil_N2ODirect_Equations.VEERG_4_2_1_3__5_MilkProductionForCalvingSeasonVariation(W$94,W$93,$I$80,$I$81)</f>
        <v>#REF!</v>
      </c>
      <c r="AA106" s="51">
        <v>0</v>
      </c>
      <c r="AB106" s="51">
        <v>0</v>
      </c>
      <c r="AC106" s="51">
        <v>0</v>
      </c>
      <c r="AD106" s="51">
        <v>0</v>
      </c>
      <c r="AE106" s="2" t="str">
        <f t="shared" si="5"/>
        <v>kg/head/day</v>
      </c>
    </row>
    <row r="107" spans="3:31" ht="20.100000000000001" customHeight="1" x14ac:dyDescent="0.25">
      <c r="T107" s="51" t="str">
        <f>TEXT(EDATE('Input - Site'!$E$12,7), "mmmm yyyy")</f>
        <v>August 2024</v>
      </c>
      <c r="U107" s="51">
        <v>0</v>
      </c>
      <c r="V107" s="51">
        <v>0</v>
      </c>
      <c r="W107" s="51">
        <v>0</v>
      </c>
      <c r="X107" s="51" t="e" cm="1">
        <f t="array" ref="X107">MMS_PastureBeef_Soil_N2ODirect_Equations.VEERG_4_2_1_3__5_MilkProductionForCalvingSeasonVariation(U$94,U$93,$I$80,$I$81)</f>
        <v>#REF!</v>
      </c>
      <c r="Y107" s="51" t="e" cm="1">
        <f t="array" ref="Y107">MMS_PastureBeef_Soil_N2ODirect_Equations.VEERG_4_2_1_3__5_MilkProductionForCalvingSeasonVariation(V$94,V$93,$I$80,$I$81)</f>
        <v>#REF!</v>
      </c>
      <c r="Z107" s="51" t="e" cm="1">
        <f t="array" ref="Z107">MMS_PastureBeef_Soil_N2ODirect_Equations.VEERG_4_2_1_3__5_MilkProductionForCalvingSeasonVariation(W$94,W$93,$I$80,$I$81)</f>
        <v>#REF!</v>
      </c>
      <c r="AA107" s="51">
        <v>0</v>
      </c>
      <c r="AB107" s="51">
        <v>0</v>
      </c>
      <c r="AC107" s="51">
        <v>0</v>
      </c>
      <c r="AD107" s="51">
        <v>0</v>
      </c>
      <c r="AE107" s="2" t="str">
        <f t="shared" si="5"/>
        <v>kg/head/day</v>
      </c>
    </row>
    <row r="108" spans="3:31" ht="20.100000000000001" customHeight="1" x14ac:dyDescent="0.25">
      <c r="D108" s="52" t="s">
        <v>29</v>
      </c>
      <c r="E108" s="1" t="str" cm="1">
        <f t="array" ref="E108">MMS_PastureBeef_Soil_N2ODirect_Equations.VEERG_4_2_1_3__4_NitrogenRetainedByBody_Variable()</f>
        <v>NR_jkl</v>
      </c>
      <c r="T108" s="51" t="str">
        <f>TEXT(EDATE('Input - Site'!$E$12,8), "mmmm yyyy")</f>
        <v>September 2024</v>
      </c>
      <c r="U108" s="51">
        <v>0</v>
      </c>
      <c r="V108" s="51">
        <v>0</v>
      </c>
      <c r="W108" s="51">
        <v>0</v>
      </c>
      <c r="X108" s="51" t="e" cm="1">
        <f t="array" ref="X108">MMS_PastureBeef_Soil_N2ODirect_Equations.VEERG_4_2_1_3__5_MilkProductionForCalvingSeasonVariation(U$94,U$93,$I$80,$I$81)</f>
        <v>#REF!</v>
      </c>
      <c r="Y108" s="51" t="e" cm="1">
        <f t="array" ref="Y108">MMS_PastureBeef_Soil_N2ODirect_Equations.VEERG_4_2_1_3__5_MilkProductionForCalvingSeasonVariation(V$94,V$93,$I$80,$I$81)</f>
        <v>#REF!</v>
      </c>
      <c r="Z108" s="51" t="e" cm="1">
        <f t="array" ref="Z108">MMS_PastureBeef_Soil_N2ODirect_Equations.VEERG_4_2_1_3__5_MilkProductionForCalvingSeasonVariation(W$94,W$93,$I$80,$I$81)</f>
        <v>#REF!</v>
      </c>
      <c r="AA108" s="51">
        <v>0</v>
      </c>
      <c r="AB108" s="51">
        <v>0</v>
      </c>
      <c r="AC108" s="51">
        <v>0</v>
      </c>
      <c r="AD108" s="51">
        <v>0</v>
      </c>
      <c r="AE108" s="2" t="str">
        <f t="shared" si="5"/>
        <v>kg/head/day</v>
      </c>
    </row>
    <row r="109" spans="3:31" ht="20.100000000000001" customHeight="1" x14ac:dyDescent="0.25">
      <c r="D109" s="52" t="s">
        <v>19</v>
      </c>
      <c r="E109" s="53" t="str" cm="1">
        <f t="array" ref="E109">MMS_PastureBeef_Soil_N2ODirect_Equations.VEERG_4_2_1_3__4_NitrogenRetainedByBody_Unit()</f>
        <v>kg N/head/day</v>
      </c>
      <c r="T109" s="51" t="str">
        <f>TEXT(EDATE('Input - Site'!$E$12,9), "mmmm yyyy")</f>
        <v>October 2024</v>
      </c>
      <c r="U109" s="51">
        <v>0</v>
      </c>
      <c r="V109" s="51">
        <v>0</v>
      </c>
      <c r="W109" s="51">
        <v>0</v>
      </c>
      <c r="X109" s="51" t="e" cm="1">
        <f t="array" ref="X109">MMS_PastureBeef_Soil_N2ODirect_Equations.VEERG_4_2_1_3__5_MilkProductionForCalvingSeasonVariation(U$95,U$94,$I$80,$I$81)</f>
        <v>#REF!</v>
      </c>
      <c r="Y109" s="51" t="e" cm="1">
        <f t="array" ref="Y109">MMS_PastureBeef_Soil_N2ODirect_Equations.VEERG_4_2_1_3__5_MilkProductionForCalvingSeasonVariation(V$95,V$94,$I$80,$I$81)</f>
        <v>#REF!</v>
      </c>
      <c r="Z109" s="51" t="e" cm="1">
        <f t="array" ref="Z109">MMS_PastureBeef_Soil_N2ODirect_Equations.VEERG_4_2_1_3__5_MilkProductionForCalvingSeasonVariation(W$95,W$94,$I$80,$I$81)</f>
        <v>#REF!</v>
      </c>
      <c r="AA109" s="51">
        <v>0</v>
      </c>
      <c r="AB109" s="51">
        <v>0</v>
      </c>
      <c r="AC109" s="51">
        <v>0</v>
      </c>
      <c r="AD109" s="51">
        <v>0</v>
      </c>
      <c r="AE109" s="2" t="str">
        <f t="shared" si="5"/>
        <v>kg/head/day</v>
      </c>
    </row>
    <row r="110" spans="3:31" ht="20.100000000000001" customHeight="1" x14ac:dyDescent="0.25">
      <c r="T110" s="51" t="str">
        <f>TEXT(EDATE('Input - Site'!$E$12,10), "mmmm yyyy")</f>
        <v>November 2024</v>
      </c>
      <c r="U110" s="51">
        <v>0</v>
      </c>
      <c r="V110" s="51">
        <v>0</v>
      </c>
      <c r="W110" s="51">
        <v>0</v>
      </c>
      <c r="X110" s="51" t="e" cm="1">
        <f t="array" ref="X110">MMS_PastureBeef_Soil_N2ODirect_Equations.VEERG_4_2_1_3__5_MilkProductionForCalvingSeasonVariation(U$95,U$94,$I$80,$I$81)</f>
        <v>#REF!</v>
      </c>
      <c r="Y110" s="51" t="e" cm="1">
        <f t="array" ref="Y110">MMS_PastureBeef_Soil_N2ODirect_Equations.VEERG_4_2_1_3__5_MilkProductionForCalvingSeasonVariation(V$95,V$94,$I$80,$I$81)</f>
        <v>#REF!</v>
      </c>
      <c r="Z110" s="51" t="e" cm="1">
        <f t="array" ref="Z110">MMS_PastureBeef_Soil_N2ODirect_Equations.VEERG_4_2_1_3__5_MilkProductionForCalvingSeasonVariation(W$95,W$94,$I$80,$I$81)</f>
        <v>#REF!</v>
      </c>
      <c r="AA110" s="51">
        <v>0</v>
      </c>
      <c r="AB110" s="51">
        <v>0</v>
      </c>
      <c r="AC110" s="51">
        <v>0</v>
      </c>
      <c r="AD110" s="51">
        <v>0</v>
      </c>
      <c r="AE110" s="2" t="str">
        <f t="shared" si="5"/>
        <v>kg/head/day</v>
      </c>
    </row>
    <row r="111" spans="3:31" ht="20.100000000000001" customHeight="1" x14ac:dyDescent="0.25">
      <c r="D111" s="107" t="str" cm="1">
        <f t="array" ref="D111:E114">MMS_PastureBeef_Soil_N2ODirect_Equations.VEERG_4_2_1_3__4_NitrogenRetainedByBody_Arguments()</f>
        <v>MP_jk5</v>
      </c>
      <c r="E111" s="109" t="str">
        <v>milk production (kg/head/day)</v>
      </c>
      <c r="F111" s="108"/>
      <c r="G111" s="107" t="str">
        <f>"See " &amp; D92</f>
        <v>See M1_Table_MP_j_k-4-5</v>
      </c>
      <c r="T111" s="51" t="str">
        <f>TEXT(EDATE('Input - Site'!$E$12,11), "mmmm yyyy")</f>
        <v>December 2024</v>
      </c>
      <c r="U111" s="51">
        <v>0</v>
      </c>
      <c r="V111" s="51">
        <v>0</v>
      </c>
      <c r="W111" s="51">
        <v>0</v>
      </c>
      <c r="X111" s="51" t="e" cm="1">
        <f t="array" ref="X111">MMS_PastureBeef_Soil_N2ODirect_Equations.VEERG_4_2_1_3__5_MilkProductionForCalvingSeasonVariation(U$95,U$94,$I$80,$I$81)</f>
        <v>#REF!</v>
      </c>
      <c r="Y111" s="51" t="e" cm="1">
        <f t="array" ref="Y111">MMS_PastureBeef_Soil_N2ODirect_Equations.VEERG_4_2_1_3__5_MilkProductionForCalvingSeasonVariation(V$95,V$94,$I$80,$I$81)</f>
        <v>#REF!</v>
      </c>
      <c r="Z111" s="51" t="e" cm="1">
        <f t="array" ref="Z111">MMS_PastureBeef_Soil_N2ODirect_Equations.VEERG_4_2_1_3__5_MilkProductionForCalvingSeasonVariation(W$95,W$94,$I$80,$I$81)</f>
        <v>#REF!</v>
      </c>
      <c r="AA111" s="51">
        <v>0</v>
      </c>
      <c r="AB111" s="51">
        <v>0</v>
      </c>
      <c r="AC111" s="51">
        <v>0</v>
      </c>
      <c r="AD111" s="51">
        <v>0</v>
      </c>
      <c r="AE111" s="2" t="str">
        <f t="shared" si="5"/>
        <v>kg/head/day</v>
      </c>
    </row>
    <row r="112" spans="3:31" ht="20.100000000000001" customHeight="1" x14ac:dyDescent="0.25">
      <c r="D112" s="107" t="str">
        <v>L_jkl</v>
      </c>
      <c r="E112" s="109" t="str">
        <v>intake relative to that needed for maintenance</v>
      </c>
      <c r="F112" s="108"/>
      <c r="G112" s="107" t="str">
        <f>"See " &amp; D59</f>
        <v>See M1_Table_L_j_k_l</v>
      </c>
    </row>
    <row r="113" spans="4:32" ht="20.100000000000001" customHeight="1" x14ac:dyDescent="0.25">
      <c r="D113" s="107" t="str">
        <v>Z_jkl</v>
      </c>
      <c r="E113" s="109" t="str">
        <v>relative size</v>
      </c>
      <c r="F113" s="108"/>
      <c r="G113" s="107" t="str">
        <f>"See " &amp; D30</f>
        <v>See M1_Table_Z_j_k_l</v>
      </c>
    </row>
    <row r="114" spans="4:32" ht="20.100000000000001" customHeight="1" x14ac:dyDescent="0.25">
      <c r="D114" s="107" t="str">
        <v>LWG_jkl</v>
      </c>
      <c r="E114" s="109" t="str">
        <v>liveweight gain (kg/head/day)</v>
      </c>
      <c r="F114" s="108"/>
      <c r="G114" s="107" t="str">
        <f>"See " &amp; D116</f>
        <v>See M1_Table_LWG_j_k_l</v>
      </c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</row>
    <row r="115" spans="4:32" ht="20.100000000000001" customHeight="1" x14ac:dyDescent="0.25">
      <c r="T115" s="6" t="str" cm="1">
        <f t="array" ref="T115">MMS_PastureBeef_Soil_N2ODirect_Equations.VEERG_4_2_1_3__4_NitrogenRetainedByBody_Title()</f>
        <v>Amount of nitrogen retained by the body</v>
      </c>
    </row>
    <row r="116" spans="4:32" ht="20.100000000000001" customHeight="1" x14ac:dyDescent="0.25">
      <c r="D116" s="98" t="s">
        <v>156</v>
      </c>
    </row>
    <row r="117" spans="4:32" ht="20.100000000000001" customHeight="1" x14ac:dyDescent="0.25">
      <c r="D117" s="97" t="s">
        <v>157</v>
      </c>
      <c r="T117" s="98" t="s">
        <v>165</v>
      </c>
    </row>
    <row r="118" spans="4:32" ht="20.100000000000001" customHeight="1" x14ac:dyDescent="0.25">
      <c r="D118" s="50" t="s">
        <v>153</v>
      </c>
      <c r="E118" s="50" t="s">
        <v>118</v>
      </c>
      <c r="F118" s="50" t="s">
        <v>117</v>
      </c>
      <c r="G118" s="50" t="s">
        <v>141</v>
      </c>
      <c r="H118" s="50" t="s">
        <v>142</v>
      </c>
      <c r="I118" s="50" t="s">
        <v>143</v>
      </c>
      <c r="J118" s="50" t="s">
        <v>144</v>
      </c>
      <c r="K118" s="50" t="s">
        <v>145</v>
      </c>
      <c r="L118" s="50" t="s">
        <v>146</v>
      </c>
      <c r="M118" s="50" t="s">
        <v>147</v>
      </c>
      <c r="N118" s="50" t="s">
        <v>148</v>
      </c>
      <c r="T118" s="97" t="s">
        <v>166</v>
      </c>
    </row>
    <row r="119" spans="4:32" ht="20.100000000000001" customHeight="1" x14ac:dyDescent="0.25">
      <c r="D119" s="51">
        <f>'Input - Swine'!D160</f>
        <v>0</v>
      </c>
      <c r="E119" s="51">
        <f>'Input - Swine'!E160</f>
        <v>0</v>
      </c>
      <c r="F119" s="51">
        <f>'Input - Swine'!F160</f>
        <v>0</v>
      </c>
      <c r="G119" s="51">
        <f>'Input - Swine'!G160</f>
        <v>0</v>
      </c>
      <c r="H119" s="51">
        <f>'Input - Swine'!H160</f>
        <v>0</v>
      </c>
      <c r="I119" s="51">
        <f>'Input - Swine'!I160</f>
        <v>0</v>
      </c>
      <c r="J119" s="51">
        <f>'Input - Swine'!J160</f>
        <v>0</v>
      </c>
      <c r="K119" s="51">
        <f>'Input - Swine'!K160</f>
        <v>0</v>
      </c>
      <c r="L119" s="51">
        <f>'Input - Swine'!L160</f>
        <v>0</v>
      </c>
      <c r="M119" s="51">
        <f>'Input - Swine'!M160</f>
        <v>0</v>
      </c>
      <c r="N119" s="51">
        <f>'Input - Swine'!N140</f>
        <v>0</v>
      </c>
      <c r="O119" s="2" t="s">
        <v>120</v>
      </c>
      <c r="T119" s="50" t="s">
        <v>119</v>
      </c>
      <c r="U119" s="50" t="s">
        <v>118</v>
      </c>
      <c r="V119" s="50" t="s">
        <v>117</v>
      </c>
      <c r="W119" s="50" t="s">
        <v>141</v>
      </c>
      <c r="X119" s="50" t="s">
        <v>142</v>
      </c>
      <c r="Y119" s="50" t="s">
        <v>143</v>
      </c>
      <c r="Z119" s="50" t="s">
        <v>144</v>
      </c>
      <c r="AA119" s="50" t="s">
        <v>145</v>
      </c>
      <c r="AB119" s="50" t="s">
        <v>146</v>
      </c>
      <c r="AC119" s="50" t="s">
        <v>147</v>
      </c>
      <c r="AD119" s="50" t="s">
        <v>148</v>
      </c>
    </row>
    <row r="120" spans="4:32" ht="20.100000000000001" customHeight="1" x14ac:dyDescent="0.25">
      <c r="D120" s="51">
        <f>'Input - Swine'!D161</f>
        <v>0</v>
      </c>
      <c r="E120" s="51">
        <f>'Input - Swine'!E161</f>
        <v>0</v>
      </c>
      <c r="F120" s="51">
        <f>'Input - Swine'!F161</f>
        <v>0</v>
      </c>
      <c r="G120" s="51">
        <f>'Input - Swine'!G161</f>
        <v>0</v>
      </c>
      <c r="H120" s="51">
        <f>'Input - Swine'!H161</f>
        <v>0</v>
      </c>
      <c r="I120" s="51">
        <f>'Input - Swine'!I161</f>
        <v>0</v>
      </c>
      <c r="J120" s="51">
        <f>'Input - Swine'!J161</f>
        <v>0</v>
      </c>
      <c r="K120" s="51">
        <f>'Input - Swine'!K161</f>
        <v>0</v>
      </c>
      <c r="L120" s="51">
        <f>'Input - Swine'!L161</f>
        <v>0</v>
      </c>
      <c r="M120" s="51">
        <f>'Input - Swine'!M161</f>
        <v>0</v>
      </c>
      <c r="N120" s="51">
        <f>'Input - Swine'!N141</f>
        <v>0</v>
      </c>
      <c r="O120" s="2" t="s">
        <v>120</v>
      </c>
      <c r="T120" s="51" t="str">
        <f>TEXT('Input - Site'!$E$12, "mmmm yyyy")</f>
        <v>January 2024</v>
      </c>
      <c r="U120" s="51" t="e">
        <f>'Input - Swine'!#REF!</f>
        <v>#REF!</v>
      </c>
      <c r="V120" s="51" t="e">
        <f>'Input - Swine'!#REF!</f>
        <v>#REF!</v>
      </c>
      <c r="W120" s="51" t="e">
        <f>'Input - Swine'!#REF!</f>
        <v>#REF!</v>
      </c>
      <c r="X120" s="51" t="e">
        <f>'Input - Swine'!#REF!</f>
        <v>#REF!</v>
      </c>
      <c r="Y120" s="51" t="e">
        <f>'Input - Swine'!#REF!</f>
        <v>#REF!</v>
      </c>
      <c r="Z120" s="51" t="e">
        <f>'Input - Swine'!#REF!</f>
        <v>#REF!</v>
      </c>
      <c r="AA120" s="51">
        <f>'Input - Swine'!K166</f>
        <v>0</v>
      </c>
      <c r="AB120" s="51">
        <f>'Input - Swine'!L166</f>
        <v>0</v>
      </c>
      <c r="AC120" s="51">
        <f>'Input - Swine'!M166</f>
        <v>0</v>
      </c>
      <c r="AD120" s="51">
        <f>'Input - Swine'!N146</f>
        <v>0</v>
      </c>
      <c r="AE120" s="2" t="s">
        <v>121</v>
      </c>
    </row>
    <row r="121" spans="4:32" ht="20.100000000000001" customHeight="1" x14ac:dyDescent="0.25">
      <c r="D121" s="51">
        <f>'Input - Swine'!D162</f>
        <v>0</v>
      </c>
      <c r="E121" s="51">
        <f>'Input - Swine'!E162</f>
        <v>0</v>
      </c>
      <c r="F121" s="51">
        <f>'Input - Swine'!F162</f>
        <v>0</v>
      </c>
      <c r="G121" s="51">
        <f>'Input - Swine'!G162</f>
        <v>0</v>
      </c>
      <c r="H121" s="51">
        <f>'Input - Swine'!H162</f>
        <v>0</v>
      </c>
      <c r="I121" s="51">
        <f>'Input - Swine'!I162</f>
        <v>0</v>
      </c>
      <c r="J121" s="51">
        <f>'Input - Swine'!J162</f>
        <v>0</v>
      </c>
      <c r="K121" s="51">
        <f>'Input - Swine'!K162</f>
        <v>0</v>
      </c>
      <c r="L121" s="51">
        <f>'Input - Swine'!L162</f>
        <v>0</v>
      </c>
      <c r="M121" s="51">
        <f>'Input - Swine'!M162</f>
        <v>0</v>
      </c>
      <c r="N121" s="51">
        <f>'Input - Swine'!N142</f>
        <v>0</v>
      </c>
      <c r="O121" s="2" t="s">
        <v>120</v>
      </c>
      <c r="T121" s="51" t="str">
        <f>TEXT(EDATE('Input - Site'!$E$12,1), "mmmm yyyy")</f>
        <v>February 2024</v>
      </c>
      <c r="U121" s="51" t="e">
        <f>'Input - Swine'!#REF!</f>
        <v>#REF!</v>
      </c>
      <c r="V121" s="51" t="e">
        <f>'Input - Swine'!#REF!</f>
        <v>#REF!</v>
      </c>
      <c r="W121" s="51" t="e">
        <f>'Input - Swine'!#REF!</f>
        <v>#REF!</v>
      </c>
      <c r="X121" s="51" t="e">
        <f>'Input - Swine'!#REF!</f>
        <v>#REF!</v>
      </c>
      <c r="Y121" s="51" t="e">
        <f>'Input - Swine'!#REF!</f>
        <v>#REF!</v>
      </c>
      <c r="Z121" s="51" t="e">
        <f>'Input - Swine'!#REF!</f>
        <v>#REF!</v>
      </c>
      <c r="AA121" s="51">
        <f>'Input - Swine'!K167</f>
        <v>0</v>
      </c>
      <c r="AB121" s="51">
        <f>'Input - Swine'!L167</f>
        <v>0</v>
      </c>
      <c r="AC121" s="51">
        <f>'Input - Swine'!M167</f>
        <v>0</v>
      </c>
      <c r="AD121" s="51">
        <f>'Input - Swine'!N147</f>
        <v>0</v>
      </c>
      <c r="AE121" s="2" t="s">
        <v>121</v>
      </c>
    </row>
    <row r="122" spans="4:32" ht="20.100000000000001" customHeight="1" x14ac:dyDescent="0.25">
      <c r="D122" s="51">
        <f>'Input - Swine'!D163</f>
        <v>0</v>
      </c>
      <c r="E122" s="51">
        <f>'Input - Swine'!E163</f>
        <v>0</v>
      </c>
      <c r="F122" s="51">
        <f>'Input - Swine'!F163</f>
        <v>0</v>
      </c>
      <c r="G122" s="51">
        <f>'Input - Swine'!G163</f>
        <v>0</v>
      </c>
      <c r="H122" s="51">
        <f>'Input - Swine'!H163</f>
        <v>0</v>
      </c>
      <c r="I122" s="51">
        <f>'Input - Swine'!I163</f>
        <v>0</v>
      </c>
      <c r="J122" s="51">
        <f>'Input - Swine'!J163</f>
        <v>0</v>
      </c>
      <c r="K122" s="51">
        <f>'Input - Swine'!K163</f>
        <v>0</v>
      </c>
      <c r="L122" s="51">
        <f>'Input - Swine'!L163</f>
        <v>0</v>
      </c>
      <c r="M122" s="51">
        <f>'Input - Swine'!M163</f>
        <v>0</v>
      </c>
      <c r="N122" s="51">
        <f>'Input - Swine'!N143</f>
        <v>0</v>
      </c>
      <c r="O122" s="2" t="s">
        <v>120</v>
      </c>
      <c r="T122" s="51" t="str">
        <f>TEXT(EDATE('Input - Site'!$E$12,2), "mmmm yyyy")</f>
        <v>March 2024</v>
      </c>
      <c r="U122" s="51" t="e">
        <f>'Input - Swine'!#REF!</f>
        <v>#REF!</v>
      </c>
      <c r="V122" s="51" t="e">
        <f>'Input - Swine'!#REF!</f>
        <v>#REF!</v>
      </c>
      <c r="W122" s="51" t="e">
        <f>'Input - Swine'!#REF!</f>
        <v>#REF!</v>
      </c>
      <c r="X122" s="51" t="e">
        <f>'Input - Swine'!#REF!</f>
        <v>#REF!</v>
      </c>
      <c r="Y122" s="51" t="e">
        <f>'Input - Swine'!#REF!</f>
        <v>#REF!</v>
      </c>
      <c r="Z122" s="51" t="e">
        <f>'Input - Swine'!#REF!</f>
        <v>#REF!</v>
      </c>
      <c r="AA122" s="51">
        <f>'Input - Swine'!K168</f>
        <v>0</v>
      </c>
      <c r="AB122" s="51">
        <f>'Input - Swine'!L168</f>
        <v>0</v>
      </c>
      <c r="AC122" s="51">
        <f>'Input - Swine'!M168</f>
        <v>0</v>
      </c>
      <c r="AD122" s="51">
        <f>'Input - Swine'!N148</f>
        <v>0</v>
      </c>
      <c r="AE122" s="2" t="s">
        <v>121</v>
      </c>
    </row>
    <row r="123" spans="4:32" ht="20.100000000000001" customHeight="1" x14ac:dyDescent="0.25">
      <c r="T123" s="51" t="str">
        <f>TEXT(EDATE('Input - Site'!$E$12,3), "mmmm yyyy")</f>
        <v>April 2024</v>
      </c>
      <c r="U123" s="51" t="e">
        <f>'Input - Swine'!#REF!</f>
        <v>#REF!</v>
      </c>
      <c r="V123" s="51" t="e">
        <f>'Input - Swine'!#REF!</f>
        <v>#REF!</v>
      </c>
      <c r="W123" s="51" t="e">
        <f>'Input - Swine'!#REF!</f>
        <v>#REF!</v>
      </c>
      <c r="X123" s="51" t="e">
        <f>'Input - Swine'!#REF!</f>
        <v>#REF!</v>
      </c>
      <c r="Y123" s="51" t="e">
        <f>'Input - Swine'!#REF!</f>
        <v>#REF!</v>
      </c>
      <c r="Z123" s="51" t="e">
        <f>'Input - Swine'!#REF!</f>
        <v>#REF!</v>
      </c>
      <c r="AA123" s="51">
        <f>'Input - Swine'!K169</f>
        <v>0</v>
      </c>
      <c r="AB123" s="51">
        <f>'Input - Swine'!L169</f>
        <v>0</v>
      </c>
      <c r="AC123" s="51">
        <f>'Input - Swine'!M169</f>
        <v>0</v>
      </c>
      <c r="AD123" s="51">
        <f>'Input - Swine'!N149</f>
        <v>0</v>
      </c>
      <c r="AE123" s="2" t="s">
        <v>121</v>
      </c>
    </row>
    <row r="124" spans="4:32" ht="20.100000000000001" customHeight="1" x14ac:dyDescent="0.25">
      <c r="D124" s="98" t="s">
        <v>187</v>
      </c>
      <c r="T124" s="51" t="str">
        <f>TEXT(EDATE('Input - Site'!$E$12,4), "mmmm yyyy")</f>
        <v>May 2024</v>
      </c>
      <c r="U124" s="51" t="e">
        <f>'Input - Swine'!#REF!</f>
        <v>#REF!</v>
      </c>
      <c r="V124" s="51" t="e">
        <f>'Input - Swine'!#REF!</f>
        <v>#REF!</v>
      </c>
      <c r="W124" s="51" t="e">
        <f>'Input - Swine'!#REF!</f>
        <v>#REF!</v>
      </c>
      <c r="X124" s="51" t="e">
        <f>'Input - Swine'!#REF!</f>
        <v>#REF!</v>
      </c>
      <c r="Y124" s="51" t="e">
        <f>'Input - Swine'!#REF!</f>
        <v>#REF!</v>
      </c>
      <c r="Z124" s="51" t="e">
        <f>'Input - Swine'!#REF!</f>
        <v>#REF!</v>
      </c>
      <c r="AA124" s="51">
        <f>'Input - Swine'!K170</f>
        <v>0</v>
      </c>
      <c r="AB124" s="51">
        <f>'Input - Swine'!L170</f>
        <v>0</v>
      </c>
      <c r="AC124" s="51">
        <f>'Input - Swine'!M170</f>
        <v>0</v>
      </c>
      <c r="AD124" s="51">
        <f>'Input - Swine'!N150</f>
        <v>0</v>
      </c>
      <c r="AE124" s="2" t="s">
        <v>121</v>
      </c>
    </row>
    <row r="125" spans="4:32" ht="20.100000000000001" customHeight="1" x14ac:dyDescent="0.25">
      <c r="D125" s="97" t="s">
        <v>188</v>
      </c>
      <c r="T125" s="51" t="str">
        <f>TEXT(EDATE('Input - Site'!$E$12,5), "mmmm yyyy")</f>
        <v>June 2024</v>
      </c>
      <c r="U125" s="51" t="e">
        <f>'Input - Swine'!#REF!</f>
        <v>#REF!</v>
      </c>
      <c r="V125" s="51" t="e">
        <f>'Input - Swine'!#REF!</f>
        <v>#REF!</v>
      </c>
      <c r="W125" s="51" t="e">
        <f>'Input - Swine'!#REF!</f>
        <v>#REF!</v>
      </c>
      <c r="X125" s="51" t="e">
        <f>'Input - Swine'!#REF!</f>
        <v>#REF!</v>
      </c>
      <c r="Y125" s="51" t="e">
        <f>'Input - Swine'!#REF!</f>
        <v>#REF!</v>
      </c>
      <c r="Z125" s="51" t="e">
        <f>'Input - Swine'!#REF!</f>
        <v>#REF!</v>
      </c>
      <c r="AA125" s="51">
        <f>'Input - Swine'!K171</f>
        <v>0</v>
      </c>
      <c r="AB125" s="51">
        <f>'Input - Swine'!L171</f>
        <v>0</v>
      </c>
      <c r="AC125" s="51">
        <f>'Input - Swine'!M171</f>
        <v>0</v>
      </c>
      <c r="AD125" s="51">
        <f>'Input - Swine'!N151</f>
        <v>0</v>
      </c>
      <c r="AE125" s="2" t="s">
        <v>121</v>
      </c>
    </row>
    <row r="126" spans="4:32" ht="20.100000000000001" customHeight="1" x14ac:dyDescent="0.25">
      <c r="D126" s="50" t="s">
        <v>153</v>
      </c>
      <c r="E126" s="50" t="s">
        <v>118</v>
      </c>
      <c r="F126" s="50" t="s">
        <v>117</v>
      </c>
      <c r="G126" s="50" t="s">
        <v>141</v>
      </c>
      <c r="H126" s="50" t="s">
        <v>142</v>
      </c>
      <c r="I126" s="50" t="s">
        <v>143</v>
      </c>
      <c r="J126" s="50" t="s">
        <v>144</v>
      </c>
      <c r="K126" s="50" t="s">
        <v>145</v>
      </c>
      <c r="L126" s="50" t="s">
        <v>146</v>
      </c>
      <c r="M126" s="50" t="s">
        <v>147</v>
      </c>
      <c r="N126" s="50" t="s">
        <v>148</v>
      </c>
      <c r="T126" s="51" t="str">
        <f>TEXT(EDATE('Input - Site'!$E$12,6), "mmmm yyyy")</f>
        <v>July 2024</v>
      </c>
      <c r="U126" s="51" t="e">
        <f>'Input - Swine'!#REF!</f>
        <v>#REF!</v>
      </c>
      <c r="V126" s="51" t="e">
        <f>'Input - Swine'!#REF!</f>
        <v>#REF!</v>
      </c>
      <c r="W126" s="51" t="e">
        <f>'Input - Swine'!#REF!</f>
        <v>#REF!</v>
      </c>
      <c r="X126" s="51" t="e">
        <f>'Input - Swine'!#REF!</f>
        <v>#REF!</v>
      </c>
      <c r="Y126" s="51" t="e">
        <f>'Input - Swine'!#REF!</f>
        <v>#REF!</v>
      </c>
      <c r="Z126" s="51" t="e">
        <f>'Input - Swine'!#REF!</f>
        <v>#REF!</v>
      </c>
      <c r="AA126" s="51">
        <f>'Input - Swine'!K172</f>
        <v>0</v>
      </c>
      <c r="AB126" s="51">
        <f>'Input - Swine'!L172</f>
        <v>0</v>
      </c>
      <c r="AC126" s="51">
        <f>'Input - Swine'!M172</f>
        <v>0</v>
      </c>
      <c r="AD126" s="51">
        <f>'Input - Swine'!N152</f>
        <v>0</v>
      </c>
      <c r="AE126" s="2" t="s">
        <v>121</v>
      </c>
    </row>
    <row r="127" spans="4:32" ht="20.100000000000001" customHeight="1" x14ac:dyDescent="0.25">
      <c r="D127" s="51" t="s">
        <v>149</v>
      </c>
      <c r="E127" s="51" t="e" cm="1">
        <f t="array" ref="E127">MMS_PastureBeef_Soil_N2ODirect_Equations.VEERG_4_2_1_3__4_NitrogenRetainedByBody(E95,E62,E33,E119)</f>
        <v>#VALUE!</v>
      </c>
      <c r="F127" s="51" t="e" cm="1">
        <f t="array" ref="F127">MMS_PastureBeef_Soil_N2ODirect_Equations.VEERG_4_2_1_3__4_NitrogenRetainedByBody(F95,F62,F33,F119)</f>
        <v>#REF!</v>
      </c>
      <c r="G127" s="51" t="e" cm="1">
        <f t="array" ref="G127">MMS_PastureBeef_Soil_N2ODirect_Equations.VEERG_4_2_1_3__4_NitrogenRetainedByBody(G95,G62,G33,G119)</f>
        <v>#VALUE!</v>
      </c>
      <c r="H127" s="51" t="e" cm="1">
        <f t="array" ref="H127">MMS_PastureBeef_Soil_N2ODirect_Equations.VEERG_4_2_1_3__4_NitrogenRetainedByBody(H95,H62,H33,H119)</f>
        <v>#VALUE!</v>
      </c>
      <c r="I127" s="51" t="e" cm="1">
        <f t="array" ref="I127">MMS_PastureBeef_Soil_N2ODirect_Equations.VEERG_4_2_1_3__4_NitrogenRetainedByBody(I95,I62,I33,I119)</f>
        <v>#VALUE!</v>
      </c>
      <c r="J127" s="51" t="e" cm="1">
        <f t="array" ref="J127">MMS_PastureBeef_Soil_N2ODirect_Equations.VEERG_4_2_1_3__4_NitrogenRetainedByBody(J95,J62,J33,J119)</f>
        <v>#VALUE!</v>
      </c>
      <c r="K127" s="51" t="e" cm="1">
        <f t="array" ref="K127">MMS_PastureBeef_Soil_N2ODirect_Equations.VEERG_4_2_1_3__4_NitrogenRetainedByBody(K95,K62,K33,K119)</f>
        <v>#REF!</v>
      </c>
      <c r="L127" s="51" t="e" cm="1">
        <f t="array" ref="L127">MMS_PastureBeef_Soil_N2ODirect_Equations.VEERG_4_2_1_3__4_NitrogenRetainedByBody(L95,L62,L33,L119)</f>
        <v>#REF!</v>
      </c>
      <c r="M127" s="51" t="e" cm="1">
        <f t="array" ref="M127">MMS_PastureBeef_Soil_N2ODirect_Equations.VEERG_4_2_1_3__4_NitrogenRetainedByBody(M95,M62,M33,M119)</f>
        <v>#REF!</v>
      </c>
      <c r="N127" s="51" t="e" cm="1">
        <f t="array" ref="N127">MMS_PastureBeef_Soil_N2ODirect_Equations.VEERG_4_2_1_3__4_NitrogenRetainedByBody(N95,N62,N33,N119)</f>
        <v>#REF!</v>
      </c>
      <c r="O127" s="2" t="str">
        <f>$E$109</f>
        <v>kg N/head/day</v>
      </c>
      <c r="T127" s="51" t="str">
        <f>TEXT(EDATE('Input - Site'!$E$12,7), "mmmm yyyy")</f>
        <v>August 2024</v>
      </c>
      <c r="U127" s="51" t="e">
        <f>'Input - Swine'!#REF!</f>
        <v>#REF!</v>
      </c>
      <c r="V127" s="51" t="e">
        <f>'Input - Swine'!#REF!</f>
        <v>#REF!</v>
      </c>
      <c r="W127" s="51" t="e">
        <f>'Input - Swine'!#REF!</f>
        <v>#REF!</v>
      </c>
      <c r="X127" s="51" t="e">
        <f>'Input - Swine'!#REF!</f>
        <v>#REF!</v>
      </c>
      <c r="Y127" s="51" t="e">
        <f>'Input - Swine'!#REF!</f>
        <v>#REF!</v>
      </c>
      <c r="Z127" s="51" t="e">
        <f>'Input - Swine'!#REF!</f>
        <v>#REF!</v>
      </c>
      <c r="AA127" s="51">
        <f>'Input - Swine'!K173</f>
        <v>0</v>
      </c>
      <c r="AB127" s="51">
        <f>'Input - Swine'!L173</f>
        <v>0</v>
      </c>
      <c r="AC127" s="51">
        <f>'Input - Swine'!M173</f>
        <v>0</v>
      </c>
      <c r="AD127" s="51">
        <f>'Input - Swine'!N153</f>
        <v>0</v>
      </c>
      <c r="AE127" s="2" t="s">
        <v>121</v>
      </c>
    </row>
    <row r="128" spans="4:32" ht="20.100000000000001" customHeight="1" x14ac:dyDescent="0.25">
      <c r="D128" s="51" t="s">
        <v>150</v>
      </c>
      <c r="E128" s="51" t="e" cm="1">
        <f t="array" ref="E128">MMS_PastureBeef_Soil_N2ODirect_Equations.VEERG_4_2_1_3__4_NitrogenRetainedByBody(E96,E63,E34,E120)</f>
        <v>#VALUE!</v>
      </c>
      <c r="F128" s="51" t="e" cm="1">
        <f t="array" ref="F128">MMS_PastureBeef_Soil_N2ODirect_Equations.VEERG_4_2_1_3__4_NitrogenRetainedByBody(F96,F63,F34,F120)</f>
        <v>#REF!</v>
      </c>
      <c r="G128" s="51" t="e" cm="1">
        <f t="array" ref="G128">MMS_PastureBeef_Soil_N2ODirect_Equations.VEERG_4_2_1_3__4_NitrogenRetainedByBody(G96,G63,G34,G120)</f>
        <v>#VALUE!</v>
      </c>
      <c r="H128" s="51" t="e" cm="1">
        <f t="array" ref="H128">MMS_PastureBeef_Soil_N2ODirect_Equations.VEERG_4_2_1_3__4_NitrogenRetainedByBody(H96,H63,H34,H120)</f>
        <v>#VALUE!</v>
      </c>
      <c r="I128" s="51" t="e" cm="1">
        <f t="array" ref="I128">MMS_PastureBeef_Soil_N2ODirect_Equations.VEERG_4_2_1_3__4_NitrogenRetainedByBody(I96,I63,I34,I120)</f>
        <v>#REF!</v>
      </c>
      <c r="J128" s="51" t="e" cm="1">
        <f t="array" ref="J128">MMS_PastureBeef_Soil_N2ODirect_Equations.VEERG_4_2_1_3__4_NitrogenRetainedByBody(J96,J63,J34,J120)</f>
        <v>#REF!</v>
      </c>
      <c r="K128" s="51" t="e" cm="1">
        <f t="array" ref="K128">MMS_PastureBeef_Soil_N2ODirect_Equations.VEERG_4_2_1_3__4_NitrogenRetainedByBody(K96,K63,K34,K120)</f>
        <v>#REF!</v>
      </c>
      <c r="L128" s="51" t="e" cm="1">
        <f t="array" ref="L128">MMS_PastureBeef_Soil_N2ODirect_Equations.VEERG_4_2_1_3__4_NitrogenRetainedByBody(L96,L63,L34,L120)</f>
        <v>#REF!</v>
      </c>
      <c r="M128" s="51" t="e" cm="1">
        <f t="array" ref="M128">MMS_PastureBeef_Soil_N2ODirect_Equations.VEERG_4_2_1_3__4_NitrogenRetainedByBody(M96,M63,M34,M120)</f>
        <v>#REF!</v>
      </c>
      <c r="N128" s="51" t="e" cm="1">
        <f t="array" ref="N128">MMS_PastureBeef_Soil_N2ODirect_Equations.VEERG_4_2_1_3__4_NitrogenRetainedByBody(N96,N63,N34,N120)</f>
        <v>#REF!</v>
      </c>
      <c r="O128" s="2" t="str">
        <f t="shared" ref="O128:O130" si="6">$E$109</f>
        <v>kg N/head/day</v>
      </c>
      <c r="T128" s="51" t="str">
        <f>TEXT(EDATE('Input - Site'!$E$12,8), "mmmm yyyy")</f>
        <v>September 2024</v>
      </c>
      <c r="U128" s="51" t="e">
        <f>'Input - Swine'!#REF!</f>
        <v>#REF!</v>
      </c>
      <c r="V128" s="51" t="e">
        <f>'Input - Swine'!#REF!</f>
        <v>#REF!</v>
      </c>
      <c r="W128" s="51" t="e">
        <f>'Input - Swine'!#REF!</f>
        <v>#REF!</v>
      </c>
      <c r="X128" s="51" t="e">
        <f>'Input - Swine'!#REF!</f>
        <v>#REF!</v>
      </c>
      <c r="Y128" s="51" t="e">
        <f>'Input - Swine'!#REF!</f>
        <v>#REF!</v>
      </c>
      <c r="Z128" s="51" t="e">
        <f>'Input - Swine'!#REF!</f>
        <v>#REF!</v>
      </c>
      <c r="AA128" s="51">
        <f>'Input - Swine'!K174</f>
        <v>0</v>
      </c>
      <c r="AB128" s="51">
        <f>'Input - Swine'!L174</f>
        <v>0</v>
      </c>
      <c r="AC128" s="51">
        <f>'Input - Swine'!M174</f>
        <v>0</v>
      </c>
      <c r="AD128" s="51">
        <f>'Input - Swine'!N154</f>
        <v>0</v>
      </c>
      <c r="AE128" s="2" t="s">
        <v>121</v>
      </c>
    </row>
    <row r="129" spans="3:31" ht="20.100000000000001" customHeight="1" x14ac:dyDescent="0.25">
      <c r="D129" s="51" t="s">
        <v>151</v>
      </c>
      <c r="E129" s="51" t="e" cm="1">
        <f t="array" ref="E129">MMS_PastureBeef_Soil_N2ODirect_Equations.VEERG_4_2_1_3__4_NitrogenRetainedByBody(E97,E64,E35,E121)</f>
        <v>#REF!</v>
      </c>
      <c r="F129" s="51" t="e" cm="1">
        <f t="array" ref="F129">MMS_PastureBeef_Soil_N2ODirect_Equations.VEERG_4_2_1_3__4_NitrogenRetainedByBody(F97,F64,F35,F121)</f>
        <v>#REF!</v>
      </c>
      <c r="G129" s="51" t="e" cm="1">
        <f t="array" ref="G129">MMS_PastureBeef_Soil_N2ODirect_Equations.VEERG_4_2_1_3__4_NitrogenRetainedByBody(G97,G64,G35,G121)</f>
        <v>#REF!</v>
      </c>
      <c r="H129" s="51" t="e" cm="1">
        <f t="array" ref="H129">MMS_PastureBeef_Soil_N2ODirect_Equations.VEERG_4_2_1_3__4_NitrogenRetainedByBody(H97,H64,H35,H121)</f>
        <v>#REF!</v>
      </c>
      <c r="I129" s="51" t="e" cm="1">
        <f t="array" ref="I129">MMS_PastureBeef_Soil_N2ODirect_Equations.VEERG_4_2_1_3__4_NitrogenRetainedByBody(I97,I64,I35,I121)</f>
        <v>#REF!</v>
      </c>
      <c r="J129" s="51" t="e" cm="1">
        <f t="array" ref="J129">MMS_PastureBeef_Soil_N2ODirect_Equations.VEERG_4_2_1_3__4_NitrogenRetainedByBody(J97,J64,J35,J121)</f>
        <v>#REF!</v>
      </c>
      <c r="K129" s="51" t="e" cm="1">
        <f t="array" ref="K129">MMS_PastureBeef_Soil_N2ODirect_Equations.VEERG_4_2_1_3__4_NitrogenRetainedByBody(K97,K64,K35,K121)</f>
        <v>#REF!</v>
      </c>
      <c r="L129" s="51" t="e" cm="1">
        <f t="array" ref="L129">MMS_PastureBeef_Soil_N2ODirect_Equations.VEERG_4_2_1_3__4_NitrogenRetainedByBody(L97,L64,L35,L121)</f>
        <v>#REF!</v>
      </c>
      <c r="M129" s="51" t="e" cm="1">
        <f t="array" ref="M129">MMS_PastureBeef_Soil_N2ODirect_Equations.VEERG_4_2_1_3__4_NitrogenRetainedByBody(M97,M64,M35,M121)</f>
        <v>#REF!</v>
      </c>
      <c r="N129" s="51" t="e" cm="1">
        <f t="array" ref="N129">MMS_PastureBeef_Soil_N2ODirect_Equations.VEERG_4_2_1_3__4_NitrogenRetainedByBody(N97,N64,N35,N121)</f>
        <v>#REF!</v>
      </c>
      <c r="O129" s="2" t="str">
        <f t="shared" si="6"/>
        <v>kg N/head/day</v>
      </c>
      <c r="T129" s="51" t="str">
        <f>TEXT(EDATE('Input - Site'!$E$12,9), "mmmm yyyy")</f>
        <v>October 2024</v>
      </c>
      <c r="U129" s="51" t="e">
        <f>'Input - Swine'!#REF!</f>
        <v>#REF!</v>
      </c>
      <c r="V129" s="51" t="e">
        <f>'Input - Swine'!#REF!</f>
        <v>#REF!</v>
      </c>
      <c r="W129" s="51" t="e">
        <f>'Input - Swine'!#REF!</f>
        <v>#REF!</v>
      </c>
      <c r="X129" s="51" t="e">
        <f>'Input - Swine'!#REF!</f>
        <v>#REF!</v>
      </c>
      <c r="Y129" s="51" t="e">
        <f>'Input - Swine'!#REF!</f>
        <v>#REF!</v>
      </c>
      <c r="Z129" s="51" t="e">
        <f>'Input - Swine'!#REF!</f>
        <v>#REF!</v>
      </c>
      <c r="AA129" s="51">
        <f>'Input - Swine'!K175</f>
        <v>0</v>
      </c>
      <c r="AB129" s="51">
        <f>'Input - Swine'!L175</f>
        <v>0</v>
      </c>
      <c r="AC129" s="51">
        <f>'Input - Swine'!M175</f>
        <v>0</v>
      </c>
      <c r="AD129" s="51">
        <f>'Input - Swine'!N155</f>
        <v>0</v>
      </c>
      <c r="AE129" s="2" t="s">
        <v>121</v>
      </c>
    </row>
    <row r="130" spans="3:31" ht="20.100000000000001" customHeight="1" x14ac:dyDescent="0.25">
      <c r="D130" s="51" t="s">
        <v>152</v>
      </c>
      <c r="E130" s="51" t="e" cm="1">
        <f t="array" ref="E130">MMS_PastureBeef_Soil_N2ODirect_Equations.VEERG_4_2_1_3__4_NitrogenRetainedByBody(E98,E65,E36,E122)</f>
        <v>#REF!</v>
      </c>
      <c r="F130" s="51" t="e" cm="1">
        <f t="array" ref="F130">MMS_PastureBeef_Soil_N2ODirect_Equations.VEERG_4_2_1_3__4_NitrogenRetainedByBody(F98,F65,F36,F122)</f>
        <v>#REF!</v>
      </c>
      <c r="G130" s="51" t="e" cm="1">
        <f t="array" ref="G130">MMS_PastureBeef_Soil_N2ODirect_Equations.VEERG_4_2_1_3__4_NitrogenRetainedByBody(G98,G65,G36,G122)</f>
        <v>#REF!</v>
      </c>
      <c r="H130" s="51" t="e" cm="1">
        <f t="array" ref="H130">MMS_PastureBeef_Soil_N2ODirect_Equations.VEERG_4_2_1_3__4_NitrogenRetainedByBody(H98,H65,H36,H122)</f>
        <v>#REF!</v>
      </c>
      <c r="I130" s="51" t="e" cm="1">
        <f t="array" ref="I130">MMS_PastureBeef_Soil_N2ODirect_Equations.VEERG_4_2_1_3__4_NitrogenRetainedByBody(I98,I65,I36,I122)</f>
        <v>#REF!</v>
      </c>
      <c r="J130" s="51" t="e" cm="1">
        <f t="array" ref="J130">MMS_PastureBeef_Soil_N2ODirect_Equations.VEERG_4_2_1_3__4_NitrogenRetainedByBody(J98,J65,J36,J122)</f>
        <v>#REF!</v>
      </c>
      <c r="K130" s="51" t="e" cm="1">
        <f t="array" ref="K130">MMS_PastureBeef_Soil_N2ODirect_Equations.VEERG_4_2_1_3__4_NitrogenRetainedByBody(K98,K65,K36,K122)</f>
        <v>#REF!</v>
      </c>
      <c r="L130" s="51" t="e" cm="1">
        <f t="array" ref="L130">MMS_PastureBeef_Soil_N2ODirect_Equations.VEERG_4_2_1_3__4_NitrogenRetainedByBody(L98,L65,L36,L122)</f>
        <v>#REF!</v>
      </c>
      <c r="M130" s="51" t="e" cm="1">
        <f t="array" ref="M130">MMS_PastureBeef_Soil_N2ODirect_Equations.VEERG_4_2_1_3__4_NitrogenRetainedByBody(M98,M65,M36,M122)</f>
        <v>#REF!</v>
      </c>
      <c r="N130" s="51" t="e" cm="1">
        <f t="array" ref="N130">MMS_PastureBeef_Soil_N2ODirect_Equations.VEERG_4_2_1_3__4_NitrogenRetainedByBody(N98,N65,N36,N122)</f>
        <v>#REF!</v>
      </c>
      <c r="O130" s="2" t="str">
        <f t="shared" si="6"/>
        <v>kg N/head/day</v>
      </c>
      <c r="T130" s="51" t="str">
        <f>TEXT(EDATE('Input - Site'!$E$12,10), "mmmm yyyy")</f>
        <v>November 2024</v>
      </c>
      <c r="U130" s="51" t="e">
        <f>'Input - Swine'!#REF!</f>
        <v>#REF!</v>
      </c>
      <c r="V130" s="51" t="e">
        <f>'Input - Swine'!#REF!</f>
        <v>#REF!</v>
      </c>
      <c r="W130" s="51" t="e">
        <f>'Input - Swine'!#REF!</f>
        <v>#REF!</v>
      </c>
      <c r="X130" s="51" t="e">
        <f>'Input - Swine'!#REF!</f>
        <v>#REF!</v>
      </c>
      <c r="Y130" s="51" t="e">
        <f>'Input - Swine'!#REF!</f>
        <v>#REF!</v>
      </c>
      <c r="Z130" s="51" t="e">
        <f>'Input - Swine'!#REF!</f>
        <v>#REF!</v>
      </c>
      <c r="AA130" s="51">
        <f>'Input - Swine'!K176</f>
        <v>0</v>
      </c>
      <c r="AB130" s="51">
        <f>'Input - Swine'!L176</f>
        <v>0</v>
      </c>
      <c r="AC130" s="51">
        <f>'Input - Swine'!M176</f>
        <v>0</v>
      </c>
      <c r="AD130" s="51">
        <f>'Input - Swine'!N156</f>
        <v>0</v>
      </c>
      <c r="AE130" s="2" t="s">
        <v>121</v>
      </c>
    </row>
    <row r="131" spans="3:31" ht="20.100000000000001" customHeight="1" x14ac:dyDescent="0.25">
      <c r="T131" s="51" t="str">
        <f>TEXT(EDATE('Input - Site'!$E$12,11), "mmmm yyyy")</f>
        <v>December 2024</v>
      </c>
      <c r="U131" s="51" t="e">
        <f>'Input - Swine'!#REF!</f>
        <v>#REF!</v>
      </c>
      <c r="V131" s="51" t="e">
        <f>'Input - Swine'!#REF!</f>
        <v>#REF!</v>
      </c>
      <c r="W131" s="51" t="e">
        <f>'Input - Swine'!#REF!</f>
        <v>#REF!</v>
      </c>
      <c r="X131" s="51" t="e">
        <f>'Input - Swine'!#REF!</f>
        <v>#REF!</v>
      </c>
      <c r="Y131" s="51" t="e">
        <f>'Input - Swine'!#REF!</f>
        <v>#REF!</v>
      </c>
      <c r="Z131" s="51" t="e">
        <f>'Input - Swine'!#REF!</f>
        <v>#REF!</v>
      </c>
      <c r="AA131" s="51">
        <f>'Input - Swine'!K177</f>
        <v>0</v>
      </c>
      <c r="AB131" s="51">
        <f>'Input - Swine'!L177</f>
        <v>0</v>
      </c>
      <c r="AC131" s="51">
        <f>'Input - Swine'!M177</f>
        <v>0</v>
      </c>
      <c r="AD131" s="51">
        <f>'Input - Swine'!N157</f>
        <v>0</v>
      </c>
      <c r="AE131" s="2" t="s">
        <v>121</v>
      </c>
    </row>
    <row r="132" spans="3:31" ht="20.100000000000001" customHeight="1" x14ac:dyDescent="0.25"/>
    <row r="133" spans="3:31" ht="20.100000000000001" customHeight="1" x14ac:dyDescent="0.25"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T133" s="98" t="s">
        <v>201</v>
      </c>
    </row>
    <row r="134" spans="3:31" ht="20.100000000000001" customHeight="1" x14ac:dyDescent="0.25">
      <c r="D134" s="6" t="str" cm="1">
        <f t="array" ref="D134">MMS_PastureBeef_Soil_N2ODirect_Equations.VEERG_4_2_1_3__3_NitrogenExcreted_Title()</f>
        <v>Nitrogen excreted</v>
      </c>
      <c r="T134" s="97" t="s">
        <v>202</v>
      </c>
    </row>
    <row r="135" spans="3:31" ht="20.100000000000001" customHeight="1" x14ac:dyDescent="0.25">
      <c r="D135" s="5" t="str" cm="1">
        <f t="array" ref="D135">MMS_PastureBeef_Soil_N2ODirect_Equations.VEERG_4_2_1_3__3_NitrogenExcreted_Source()</f>
        <v>VEERG 2026: 4.2.1.3, Equation (3)</v>
      </c>
      <c r="T135" s="50" t="s">
        <v>119</v>
      </c>
      <c r="U135" s="50" t="s">
        <v>118</v>
      </c>
      <c r="V135" s="50" t="s">
        <v>117</v>
      </c>
      <c r="W135" s="50" t="s">
        <v>141</v>
      </c>
      <c r="X135" s="50" t="s">
        <v>142</v>
      </c>
      <c r="Y135" s="50" t="s">
        <v>143</v>
      </c>
      <c r="Z135" s="50" t="s">
        <v>144</v>
      </c>
      <c r="AA135" s="50" t="s">
        <v>145</v>
      </c>
      <c r="AB135" s="50" t="s">
        <v>146</v>
      </c>
      <c r="AC135" s="50" t="s">
        <v>147</v>
      </c>
      <c r="AD135" s="50" t="s">
        <v>148</v>
      </c>
    </row>
    <row r="136" spans="3:31" ht="20.100000000000001" customHeight="1" x14ac:dyDescent="0.25">
      <c r="D136" s="13" t="s">
        <v>26</v>
      </c>
      <c r="E136" s="13" t="str" cm="1">
        <f t="array" aca="1" ref="E136" ca="1">Common_InputFunctions.Utility_DisplayFunctionName($E$167)</f>
        <v>=MMS_PastureBeef_Soil_N2ODirect_Equations.VEERG_4_2_1_3__3_NitrogenExcreted</v>
      </c>
      <c r="T136" s="51" t="str">
        <f>TEXT('Input - Site'!$E$12, "mmmm yyyy")</f>
        <v>January 2024</v>
      </c>
      <c r="U136" s="51" t="e" cm="1">
        <f t="array" ref="U136">MMS_PastureBeef_Soil_N2ODirect_Equations.VEERG_4_2_1_3__4_NitrogenRetainedByBody(U100,U72,U36,U120)</f>
        <v>#REF!</v>
      </c>
      <c r="V136" s="51" t="e" cm="1">
        <f t="array" ref="V136">MMS_PastureBeef_Soil_N2ODirect_Equations.VEERG_4_2_1_3__4_NitrogenRetainedByBody(V100,V72,V36,V120)</f>
        <v>#REF!</v>
      </c>
      <c r="W136" s="51" t="e" cm="1">
        <f t="array" ref="W136">MMS_PastureBeef_Soil_N2ODirect_Equations.VEERG_4_2_1_3__4_NitrogenRetainedByBody(W100,W72,W36,W120)</f>
        <v>#REF!</v>
      </c>
      <c r="X136" s="51" t="e" cm="1">
        <f t="array" ref="X136">MMS_PastureBeef_Soil_N2ODirect_Equations.VEERG_4_2_1_3__4_NitrogenRetainedByBody(X100,X72,X36,X120)</f>
        <v>#REF!</v>
      </c>
      <c r="Y136" s="51" t="e" cm="1">
        <f t="array" ref="Y136">MMS_PastureBeef_Soil_N2ODirect_Equations.VEERG_4_2_1_3__4_NitrogenRetainedByBody(Y100,Y72,Y36,Y120)</f>
        <v>#REF!</v>
      </c>
      <c r="Z136" s="51" t="e" cm="1">
        <f t="array" ref="Z136">MMS_PastureBeef_Soil_N2ODirect_Equations.VEERG_4_2_1_3__4_NitrogenRetainedByBody(Z100,Z72,Z36,Z120)</f>
        <v>#REF!</v>
      </c>
      <c r="AA136" s="51" t="e" cm="1">
        <f t="array" ref="AA136">MMS_PastureBeef_Soil_N2ODirect_Equations.VEERG_4_2_1_3__4_NitrogenRetainedByBody(AA100,AA72,AA36,AA120)</f>
        <v>#REF!</v>
      </c>
      <c r="AB136" s="51" t="e" cm="1">
        <f t="array" ref="AB136">MMS_PastureBeef_Soil_N2ODirect_Equations.VEERG_4_2_1_3__4_NitrogenRetainedByBody(AB100,AB72,AB36,AB120)</f>
        <v>#REF!</v>
      </c>
      <c r="AC136" s="51" t="e" cm="1">
        <f t="array" ref="AC136">MMS_PastureBeef_Soil_N2ODirect_Equations.VEERG_4_2_1_3__4_NitrogenRetainedByBody(AC100,AC72,AC36,AC120)</f>
        <v>#REF!</v>
      </c>
      <c r="AD136" s="51" t="e" cm="1">
        <f t="array" ref="AD136">MMS_PastureBeef_Soil_N2ODirect_Equations.VEERG_4_2_1_3__4_NitrogenRetainedByBody(AD100,AD72,AD36,AD120)</f>
        <v>#REF!</v>
      </c>
      <c r="AE136" s="2" t="str">
        <f t="shared" ref="AE136:AE147" si="7">$E$109</f>
        <v>kg N/head/day</v>
      </c>
    </row>
    <row r="137" spans="3:31" ht="20.100000000000001" customHeight="1" x14ac:dyDescent="0.25">
      <c r="T137" s="51" t="str">
        <f>TEXT(EDATE('Input - Site'!$E$12,1), "mmmm yyyy")</f>
        <v>February 2024</v>
      </c>
      <c r="U137" s="51" t="e" cm="1">
        <f t="array" ref="U137">MMS_PastureBeef_Soil_N2ODirect_Equations.VEERG_4_2_1_3__4_NitrogenRetainedByBody(U101,U73,U37,U121)</f>
        <v>#REF!</v>
      </c>
      <c r="V137" s="51" t="e" cm="1">
        <f t="array" ref="V137">MMS_PastureBeef_Soil_N2ODirect_Equations.VEERG_4_2_1_3__4_NitrogenRetainedByBody(V101,V73,V37,V121)</f>
        <v>#REF!</v>
      </c>
      <c r="W137" s="51" t="e" cm="1">
        <f t="array" ref="W137">MMS_PastureBeef_Soil_N2ODirect_Equations.VEERG_4_2_1_3__4_NitrogenRetainedByBody(W101,W73,W37,W121)</f>
        <v>#REF!</v>
      </c>
      <c r="X137" s="51" t="e" cm="1">
        <f t="array" ref="X137">MMS_PastureBeef_Soil_N2ODirect_Equations.VEERG_4_2_1_3__4_NitrogenRetainedByBody(X101,X73,X37,X121)</f>
        <v>#REF!</v>
      </c>
      <c r="Y137" s="51" t="e" cm="1">
        <f t="array" ref="Y137">MMS_PastureBeef_Soil_N2ODirect_Equations.VEERG_4_2_1_3__4_NitrogenRetainedByBody(Y101,Y73,Y37,Y121)</f>
        <v>#REF!</v>
      </c>
      <c r="Z137" s="51" t="e" cm="1">
        <f t="array" ref="Z137">MMS_PastureBeef_Soil_N2ODirect_Equations.VEERG_4_2_1_3__4_NitrogenRetainedByBody(Z101,Z73,Z37,Z121)</f>
        <v>#REF!</v>
      </c>
      <c r="AA137" s="51" t="e" cm="1">
        <f t="array" ref="AA137">MMS_PastureBeef_Soil_N2ODirect_Equations.VEERG_4_2_1_3__4_NitrogenRetainedByBody(AA101,AA73,AA37,AA121)</f>
        <v>#REF!</v>
      </c>
      <c r="AB137" s="51" t="e" cm="1">
        <f t="array" ref="AB137">MMS_PastureBeef_Soil_N2ODirect_Equations.VEERG_4_2_1_3__4_NitrogenRetainedByBody(AB101,AB73,AB37,AB121)</f>
        <v>#REF!</v>
      </c>
      <c r="AC137" s="51" t="e" cm="1">
        <f t="array" ref="AC137">MMS_PastureBeef_Soil_N2ODirect_Equations.VEERG_4_2_1_3__4_NitrogenRetainedByBody(AC101,AC73,AC37,AC121)</f>
        <v>#REF!</v>
      </c>
      <c r="AD137" s="51" t="e" cm="1">
        <f t="array" ref="AD137">MMS_PastureBeef_Soil_N2ODirect_Equations.VEERG_4_2_1_3__4_NitrogenRetainedByBody(AD101,AD73,AD37,AD121)</f>
        <v>#REF!</v>
      </c>
      <c r="AE137" s="2" t="str">
        <f t="shared" si="7"/>
        <v>kg N/head/day</v>
      </c>
    </row>
    <row r="138" spans="3:31" ht="20.100000000000001" customHeight="1" x14ac:dyDescent="0.25">
      <c r="T138" s="51" t="str">
        <f>TEXT(EDATE('Input - Site'!$E$12,2), "mmmm yyyy")</f>
        <v>March 2024</v>
      </c>
      <c r="U138" s="51" t="e" cm="1">
        <f t="array" ref="U138">MMS_PastureBeef_Soil_N2ODirect_Equations.VEERG_4_2_1_3__4_NitrogenRetainedByBody(U102,U74,U38,U122)</f>
        <v>#REF!</v>
      </c>
      <c r="V138" s="51" t="e" cm="1">
        <f t="array" ref="V138">MMS_PastureBeef_Soil_N2ODirect_Equations.VEERG_4_2_1_3__4_NitrogenRetainedByBody(V102,V74,V38,V122)</f>
        <v>#REF!</v>
      </c>
      <c r="W138" s="51" t="e" cm="1">
        <f t="array" ref="W138">MMS_PastureBeef_Soil_N2ODirect_Equations.VEERG_4_2_1_3__4_NitrogenRetainedByBody(W102,W74,W38,W122)</f>
        <v>#REF!</v>
      </c>
      <c r="X138" s="51" t="e" cm="1">
        <f t="array" ref="X138">MMS_PastureBeef_Soil_N2ODirect_Equations.VEERG_4_2_1_3__4_NitrogenRetainedByBody(X102,X74,X38,X122)</f>
        <v>#REF!</v>
      </c>
      <c r="Y138" s="51" t="e" cm="1">
        <f t="array" ref="Y138">MMS_PastureBeef_Soil_N2ODirect_Equations.VEERG_4_2_1_3__4_NitrogenRetainedByBody(Y102,Y74,Y38,Y122)</f>
        <v>#REF!</v>
      </c>
      <c r="Z138" s="51" t="e" cm="1">
        <f t="array" ref="Z138">MMS_PastureBeef_Soil_N2ODirect_Equations.VEERG_4_2_1_3__4_NitrogenRetainedByBody(Z102,Z74,Z38,Z122)</f>
        <v>#REF!</v>
      </c>
      <c r="AA138" s="51" t="e" cm="1">
        <f t="array" ref="AA138">MMS_PastureBeef_Soil_N2ODirect_Equations.VEERG_4_2_1_3__4_NitrogenRetainedByBody(AA102,AA74,AA38,AA122)</f>
        <v>#REF!</v>
      </c>
      <c r="AB138" s="51" t="e" cm="1">
        <f t="array" ref="AB138">MMS_PastureBeef_Soil_N2ODirect_Equations.VEERG_4_2_1_3__4_NitrogenRetainedByBody(AB102,AB74,AB38,AB122)</f>
        <v>#REF!</v>
      </c>
      <c r="AC138" s="51" t="e" cm="1">
        <f t="array" ref="AC138">MMS_PastureBeef_Soil_N2ODirect_Equations.VEERG_4_2_1_3__4_NitrogenRetainedByBody(AC102,AC74,AC38,AC122)</f>
        <v>#REF!</v>
      </c>
      <c r="AD138" s="51" t="e" cm="1">
        <f t="array" ref="AD138">MMS_PastureBeef_Soil_N2ODirect_Equations.VEERG_4_2_1_3__4_NitrogenRetainedByBody(AD102,AD74,AD38,AD122)</f>
        <v>#REF!</v>
      </c>
      <c r="AE138" s="2" t="str">
        <f t="shared" si="7"/>
        <v>kg N/head/day</v>
      </c>
    </row>
    <row r="139" spans="3:31" ht="20.100000000000001" customHeight="1" x14ac:dyDescent="0.25">
      <c r="D139" s="52" t="s">
        <v>29</v>
      </c>
      <c r="E139" s="1" t="str" cm="1">
        <f t="array" ref="E139">MMS_PastureBeef_Soil_N2ODirect_Equations.VEERG_4_2_1_3__3_NitrogenExcreted_Variable()</f>
        <v>NE_jkl</v>
      </c>
      <c r="T139" s="51" t="str">
        <f>TEXT(EDATE('Input - Site'!$E$12,3), "mmmm yyyy")</f>
        <v>April 2024</v>
      </c>
      <c r="U139" s="51" t="e" cm="1">
        <f t="array" ref="U139">MMS_PastureBeef_Soil_N2ODirect_Equations.VEERG_4_2_1_3__4_NitrogenRetainedByBody(U103,U75,U39,U123)</f>
        <v>#REF!</v>
      </c>
      <c r="V139" s="51" t="e" cm="1">
        <f t="array" ref="V139">MMS_PastureBeef_Soil_N2ODirect_Equations.VEERG_4_2_1_3__4_NitrogenRetainedByBody(V103,V75,V39,V123)</f>
        <v>#REF!</v>
      </c>
      <c r="W139" s="51" t="e" cm="1">
        <f t="array" ref="W139">MMS_PastureBeef_Soil_N2ODirect_Equations.VEERG_4_2_1_3__4_NitrogenRetainedByBody(W103,W75,W39,W123)</f>
        <v>#REF!</v>
      </c>
      <c r="X139" s="51" t="e" cm="1">
        <f t="array" ref="X139">MMS_PastureBeef_Soil_N2ODirect_Equations.VEERG_4_2_1_3__4_NitrogenRetainedByBody(X103,X75,X39,X123)</f>
        <v>#REF!</v>
      </c>
      <c r="Y139" s="51" t="e" cm="1">
        <f t="array" ref="Y139">MMS_PastureBeef_Soil_N2ODirect_Equations.VEERG_4_2_1_3__4_NitrogenRetainedByBody(Y103,Y75,Y39,Y123)</f>
        <v>#REF!</v>
      </c>
      <c r="Z139" s="51" t="e" cm="1">
        <f t="array" ref="Z139">MMS_PastureBeef_Soil_N2ODirect_Equations.VEERG_4_2_1_3__4_NitrogenRetainedByBody(Z103,Z75,Z39,Z123)</f>
        <v>#REF!</v>
      </c>
      <c r="AA139" s="51" t="e" cm="1">
        <f t="array" ref="AA139">MMS_PastureBeef_Soil_N2ODirect_Equations.VEERG_4_2_1_3__4_NitrogenRetainedByBody(AA103,AA75,AA39,AA123)</f>
        <v>#REF!</v>
      </c>
      <c r="AB139" s="51" t="e" cm="1">
        <f t="array" ref="AB139">MMS_PastureBeef_Soil_N2ODirect_Equations.VEERG_4_2_1_3__4_NitrogenRetainedByBody(AB103,AB75,AB39,AB123)</f>
        <v>#REF!</v>
      </c>
      <c r="AC139" s="51" t="e" cm="1">
        <f t="array" ref="AC139">MMS_PastureBeef_Soil_N2ODirect_Equations.VEERG_4_2_1_3__4_NitrogenRetainedByBody(AC103,AC75,AC39,AC123)</f>
        <v>#REF!</v>
      </c>
      <c r="AD139" s="51" t="e" cm="1">
        <f t="array" ref="AD139">MMS_PastureBeef_Soil_N2ODirect_Equations.VEERG_4_2_1_3__4_NitrogenRetainedByBody(AD103,AD75,AD39,AD123)</f>
        <v>#REF!</v>
      </c>
      <c r="AE139" s="2" t="str">
        <f t="shared" si="7"/>
        <v>kg N/head/day</v>
      </c>
    </row>
    <row r="140" spans="3:31" ht="20.100000000000001" customHeight="1" x14ac:dyDescent="0.25">
      <c r="D140" s="52" t="s">
        <v>19</v>
      </c>
      <c r="E140" s="53" t="str" cm="1">
        <f t="array" ref="E140">MMS_PastureBeef_Soil_N2ODirect_Equations.VEERG_4_2_1_3__3_NitrogenExcreted_Unit()</f>
        <v>kg N/head/day</v>
      </c>
      <c r="T140" s="51" t="str">
        <f>TEXT(EDATE('Input - Site'!$E$12,4), "mmmm yyyy")</f>
        <v>May 2024</v>
      </c>
      <c r="U140" s="51" t="e" cm="1">
        <f t="array" ref="U140">MMS_PastureBeef_Soil_N2ODirect_Equations.VEERG_4_2_1_3__4_NitrogenRetainedByBody(U104,U76,U40,U124)</f>
        <v>#REF!</v>
      </c>
      <c r="V140" s="51" t="e" cm="1">
        <f t="array" ref="V140">MMS_PastureBeef_Soil_N2ODirect_Equations.VEERG_4_2_1_3__4_NitrogenRetainedByBody(V104,V76,V40,V124)</f>
        <v>#REF!</v>
      </c>
      <c r="W140" s="51" t="e" cm="1">
        <f t="array" ref="W140">MMS_PastureBeef_Soil_N2ODirect_Equations.VEERG_4_2_1_3__4_NitrogenRetainedByBody(W104,W76,W40,W124)</f>
        <v>#REF!</v>
      </c>
      <c r="X140" s="51" t="e" cm="1">
        <f t="array" ref="X140">MMS_PastureBeef_Soil_N2ODirect_Equations.VEERG_4_2_1_3__4_NitrogenRetainedByBody(X104,X76,X40,X124)</f>
        <v>#REF!</v>
      </c>
      <c r="Y140" s="51" t="e" cm="1">
        <f t="array" ref="Y140">MMS_PastureBeef_Soil_N2ODirect_Equations.VEERG_4_2_1_3__4_NitrogenRetainedByBody(Y104,Y76,Y40,Y124)</f>
        <v>#REF!</v>
      </c>
      <c r="Z140" s="51" t="e" cm="1">
        <f t="array" ref="Z140">MMS_PastureBeef_Soil_N2ODirect_Equations.VEERG_4_2_1_3__4_NitrogenRetainedByBody(Z104,Z76,Z40,Z124)</f>
        <v>#REF!</v>
      </c>
      <c r="AA140" s="51" t="e" cm="1">
        <f t="array" ref="AA140">MMS_PastureBeef_Soil_N2ODirect_Equations.VEERG_4_2_1_3__4_NitrogenRetainedByBody(AA104,AA76,AA40,AA124)</f>
        <v>#REF!</v>
      </c>
      <c r="AB140" s="51" t="e" cm="1">
        <f t="array" ref="AB140">MMS_PastureBeef_Soil_N2ODirect_Equations.VEERG_4_2_1_3__4_NitrogenRetainedByBody(AB104,AB76,AB40,AB124)</f>
        <v>#REF!</v>
      </c>
      <c r="AC140" s="51" t="e" cm="1">
        <f t="array" ref="AC140">MMS_PastureBeef_Soil_N2ODirect_Equations.VEERG_4_2_1_3__4_NitrogenRetainedByBody(AC104,AC76,AC40,AC124)</f>
        <v>#REF!</v>
      </c>
      <c r="AD140" s="51" t="e" cm="1">
        <f t="array" ref="AD140">MMS_PastureBeef_Soil_N2ODirect_Equations.VEERG_4_2_1_3__4_NitrogenRetainedByBody(AD104,AD76,AD40,AD124)</f>
        <v>#REF!</v>
      </c>
      <c r="AE140" s="2" t="str">
        <f t="shared" si="7"/>
        <v>kg N/head/day</v>
      </c>
    </row>
    <row r="141" spans="3:31" ht="20.100000000000001" customHeight="1" x14ac:dyDescent="0.25">
      <c r="T141" s="51" t="str">
        <f>TEXT(EDATE('Input - Site'!$E$12,5), "mmmm yyyy")</f>
        <v>June 2024</v>
      </c>
      <c r="U141" s="51" t="e" cm="1">
        <f t="array" ref="U141">MMS_PastureBeef_Soil_N2ODirect_Equations.VEERG_4_2_1_3__4_NitrogenRetainedByBody(U105,U77,U41,U125)</f>
        <v>#REF!</v>
      </c>
      <c r="V141" s="51" t="e" cm="1">
        <f t="array" ref="V141">MMS_PastureBeef_Soil_N2ODirect_Equations.VEERG_4_2_1_3__4_NitrogenRetainedByBody(V105,V77,V41,V125)</f>
        <v>#REF!</v>
      </c>
      <c r="W141" s="51" t="e" cm="1">
        <f t="array" ref="W141">MMS_PastureBeef_Soil_N2ODirect_Equations.VEERG_4_2_1_3__4_NitrogenRetainedByBody(W105,W77,W41,W125)</f>
        <v>#REF!</v>
      </c>
      <c r="X141" s="51" t="e" cm="1">
        <f t="array" ref="X141">MMS_PastureBeef_Soil_N2ODirect_Equations.VEERG_4_2_1_3__4_NitrogenRetainedByBody(X105,X77,X41,X125)</f>
        <v>#REF!</v>
      </c>
      <c r="Y141" s="51" t="e" cm="1">
        <f t="array" ref="Y141">MMS_PastureBeef_Soil_N2ODirect_Equations.VEERG_4_2_1_3__4_NitrogenRetainedByBody(Y105,Y77,Y41,Y125)</f>
        <v>#REF!</v>
      </c>
      <c r="Z141" s="51" t="e" cm="1">
        <f t="array" ref="Z141">MMS_PastureBeef_Soil_N2ODirect_Equations.VEERG_4_2_1_3__4_NitrogenRetainedByBody(Z105,Z77,Z41,Z125)</f>
        <v>#REF!</v>
      </c>
      <c r="AA141" s="51" t="e" cm="1">
        <f t="array" ref="AA141">MMS_PastureBeef_Soil_N2ODirect_Equations.VEERG_4_2_1_3__4_NitrogenRetainedByBody(AA105,AA77,AA41,AA125)</f>
        <v>#REF!</v>
      </c>
      <c r="AB141" s="51" t="e" cm="1">
        <f t="array" ref="AB141">MMS_PastureBeef_Soil_N2ODirect_Equations.VEERG_4_2_1_3__4_NitrogenRetainedByBody(AB105,AB77,AB41,AB125)</f>
        <v>#REF!</v>
      </c>
      <c r="AC141" s="51" t="e" cm="1">
        <f t="array" ref="AC141">MMS_PastureBeef_Soil_N2ODirect_Equations.VEERG_4_2_1_3__4_NitrogenRetainedByBody(AC105,AC77,AC41,AC125)</f>
        <v>#REF!</v>
      </c>
      <c r="AD141" s="51" t="e" cm="1">
        <f t="array" ref="AD141">MMS_PastureBeef_Soil_N2ODirect_Equations.VEERG_4_2_1_3__4_NitrogenRetainedByBody(AD105,AD77,AD41,AD125)</f>
        <v>#REF!</v>
      </c>
      <c r="AE141" s="2" t="str">
        <f t="shared" si="7"/>
        <v>kg N/head/day</v>
      </c>
    </row>
    <row r="142" spans="3:31" ht="20.100000000000001" customHeight="1" x14ac:dyDescent="0.25">
      <c r="D142" s="56" t="str" cm="1">
        <f t="array" ref="D142:E146">MMS_PastureBeef_Soil_N2ODirect_Equations.VEERG_4_2_1_3__3_NitrogenExcreted_Arguments()</f>
        <v>I_jkl</v>
      </c>
      <c r="E142" s="57" t="str">
        <v>dry matter intake as calculated in Chapter 3 Section 3.2.1 (kg DM/head/day)</v>
      </c>
      <c r="F142" s="58"/>
      <c r="G142" s="56" t="str">
        <f>"See " &amp; D51</f>
        <v>See M1_Table_I_j_k_l</v>
      </c>
      <c r="T142" s="51" t="str">
        <f>TEXT(EDATE('Input - Site'!$E$12,6), "mmmm yyyy")</f>
        <v>July 2024</v>
      </c>
      <c r="U142" s="51" t="e" cm="1">
        <f t="array" ref="U142">MMS_PastureBeef_Soil_N2ODirect_Equations.VEERG_4_2_1_3__4_NitrogenRetainedByBody(U106,U78,U42,U126)</f>
        <v>#REF!</v>
      </c>
      <c r="V142" s="51" t="e" cm="1">
        <f t="array" ref="V142">MMS_PastureBeef_Soil_N2ODirect_Equations.VEERG_4_2_1_3__4_NitrogenRetainedByBody(V106,V78,V42,V126)</f>
        <v>#REF!</v>
      </c>
      <c r="W142" s="51" t="e" cm="1">
        <f t="array" ref="W142">MMS_PastureBeef_Soil_N2ODirect_Equations.VEERG_4_2_1_3__4_NitrogenRetainedByBody(W106,W78,W42,W126)</f>
        <v>#REF!</v>
      </c>
      <c r="X142" s="51" t="e" cm="1">
        <f t="array" ref="X142">MMS_PastureBeef_Soil_N2ODirect_Equations.VEERG_4_2_1_3__4_NitrogenRetainedByBody(X106,X78,X42,X126)</f>
        <v>#REF!</v>
      </c>
      <c r="Y142" s="51" t="e" cm="1">
        <f t="array" ref="Y142">MMS_PastureBeef_Soil_N2ODirect_Equations.VEERG_4_2_1_3__4_NitrogenRetainedByBody(Y106,Y78,Y42,Y126)</f>
        <v>#REF!</v>
      </c>
      <c r="Z142" s="51" t="e" cm="1">
        <f t="array" ref="Z142">MMS_PastureBeef_Soil_N2ODirect_Equations.VEERG_4_2_1_3__4_NitrogenRetainedByBody(Z106,Z78,Z42,Z126)</f>
        <v>#REF!</v>
      </c>
      <c r="AA142" s="51" t="e" cm="1">
        <f t="array" ref="AA142">MMS_PastureBeef_Soil_N2ODirect_Equations.VEERG_4_2_1_3__4_NitrogenRetainedByBody(AA106,AA78,AA42,AA126)</f>
        <v>#REF!</v>
      </c>
      <c r="AB142" s="51" t="e" cm="1">
        <f t="array" ref="AB142">MMS_PastureBeef_Soil_N2ODirect_Equations.VEERG_4_2_1_3__4_NitrogenRetainedByBody(AB106,AB78,AB42,AB126)</f>
        <v>#REF!</v>
      </c>
      <c r="AC142" s="51" t="e" cm="1">
        <f t="array" ref="AC142">MMS_PastureBeef_Soil_N2ODirect_Equations.VEERG_4_2_1_3__4_NitrogenRetainedByBody(AC106,AC78,AC42,AC126)</f>
        <v>#REF!</v>
      </c>
      <c r="AD142" s="51" t="e" cm="1">
        <f t="array" ref="AD142">MMS_PastureBeef_Soil_N2ODirect_Equations.VEERG_4_2_1_3__4_NitrogenRetainedByBody(AD106,AD78,AD42,AD126)</f>
        <v>#REF!</v>
      </c>
      <c r="AE142" s="2" t="str">
        <f t="shared" si="7"/>
        <v>kg N/head/day</v>
      </c>
    </row>
    <row r="143" spans="3:31" ht="20.100000000000001" customHeight="1" x14ac:dyDescent="0.25">
      <c r="D143" s="56" t="str">
        <v>CP_j</v>
      </c>
      <c r="E143" s="57" t="str">
        <v>crude protein content of dry matter intake</v>
      </c>
      <c r="F143" s="58"/>
      <c r="G143" s="56" t="str">
        <f>"See " &amp; D148</f>
        <v>See M1_Table_CP_j</v>
      </c>
      <c r="T143" s="51" t="str">
        <f>TEXT(EDATE('Input - Site'!$E$12,7), "mmmm yyyy")</f>
        <v>August 2024</v>
      </c>
      <c r="U143" s="51" t="e" cm="1">
        <f t="array" ref="U143">MMS_PastureBeef_Soil_N2ODirect_Equations.VEERG_4_2_1_3__4_NitrogenRetainedByBody(U107,U79,U43,U127)</f>
        <v>#REF!</v>
      </c>
      <c r="V143" s="51" t="e" cm="1">
        <f t="array" ref="V143">MMS_PastureBeef_Soil_N2ODirect_Equations.VEERG_4_2_1_3__4_NitrogenRetainedByBody(V107,V79,V43,V127)</f>
        <v>#REF!</v>
      </c>
      <c r="W143" s="51" t="e" cm="1">
        <f t="array" ref="W143">MMS_PastureBeef_Soil_N2ODirect_Equations.VEERG_4_2_1_3__4_NitrogenRetainedByBody(W107,W79,W43,W127)</f>
        <v>#REF!</v>
      </c>
      <c r="X143" s="51" t="e" cm="1">
        <f t="array" ref="X143">MMS_PastureBeef_Soil_N2ODirect_Equations.VEERG_4_2_1_3__4_NitrogenRetainedByBody(X107,X79,X43,X127)</f>
        <v>#REF!</v>
      </c>
      <c r="Y143" s="51" t="e" cm="1">
        <f t="array" ref="Y143">MMS_PastureBeef_Soil_N2ODirect_Equations.VEERG_4_2_1_3__4_NitrogenRetainedByBody(Y107,Y79,Y43,Y127)</f>
        <v>#REF!</v>
      </c>
      <c r="Z143" s="51" t="e" cm="1">
        <f t="array" ref="Z143">MMS_PastureBeef_Soil_N2ODirect_Equations.VEERG_4_2_1_3__4_NitrogenRetainedByBody(Z107,Z79,Z43,Z127)</f>
        <v>#REF!</v>
      </c>
      <c r="AA143" s="51" t="e" cm="1">
        <f t="array" ref="AA143">MMS_PastureBeef_Soil_N2ODirect_Equations.VEERG_4_2_1_3__4_NitrogenRetainedByBody(AA107,AA79,AA43,AA127)</f>
        <v>#REF!</v>
      </c>
      <c r="AB143" s="51" t="e" cm="1">
        <f t="array" ref="AB143">MMS_PastureBeef_Soil_N2ODirect_Equations.VEERG_4_2_1_3__4_NitrogenRetainedByBody(AB107,AB79,AB43,AB127)</f>
        <v>#REF!</v>
      </c>
      <c r="AC143" s="51" t="e" cm="1">
        <f t="array" ref="AC143">MMS_PastureBeef_Soil_N2ODirect_Equations.VEERG_4_2_1_3__4_NitrogenRetainedByBody(AC107,AC79,AC43,AC127)</f>
        <v>#REF!</v>
      </c>
      <c r="AD143" s="51" t="e" cm="1">
        <f t="array" ref="AD143">MMS_PastureBeef_Soil_N2ODirect_Equations.VEERG_4_2_1_3__4_NitrogenRetainedByBody(AD107,AD79,AD43,AD127)</f>
        <v>#REF!</v>
      </c>
      <c r="AE143" s="2" t="str">
        <f t="shared" si="7"/>
        <v>kg N/head/day</v>
      </c>
    </row>
    <row r="144" spans="3:31" ht="20.100000000000001" customHeight="1" x14ac:dyDescent="0.25">
      <c r="D144" s="56" t="str">
        <v>MC_jk136</v>
      </c>
      <c r="E144" s="57" t="str">
        <v>milk intake (kg/head/day)</v>
      </c>
      <c r="F144" s="58"/>
      <c r="G144" s="56" t="str">
        <f>"See " &amp; D156</f>
        <v>See M1_Table_MC_j_k_1-3-6</v>
      </c>
      <c r="T144" s="51" t="str">
        <f>TEXT(EDATE('Input - Site'!$E$12,8), "mmmm yyyy")</f>
        <v>September 2024</v>
      </c>
      <c r="U144" s="51" t="e" cm="1">
        <f t="array" ref="U144">MMS_PastureBeef_Soil_N2ODirect_Equations.VEERG_4_2_1_3__4_NitrogenRetainedByBody(U108,U80,U44,U128)</f>
        <v>#REF!</v>
      </c>
      <c r="V144" s="51" t="e" cm="1">
        <f t="array" ref="V144">MMS_PastureBeef_Soil_N2ODirect_Equations.VEERG_4_2_1_3__4_NitrogenRetainedByBody(V108,V80,V44,V128)</f>
        <v>#REF!</v>
      </c>
      <c r="W144" s="51" t="e" cm="1">
        <f t="array" ref="W144">MMS_PastureBeef_Soil_N2ODirect_Equations.VEERG_4_2_1_3__4_NitrogenRetainedByBody(W108,W80,W44,W128)</f>
        <v>#REF!</v>
      </c>
      <c r="X144" s="51" t="e" cm="1">
        <f t="array" ref="X144">MMS_PastureBeef_Soil_N2ODirect_Equations.VEERG_4_2_1_3__4_NitrogenRetainedByBody(X108,X80,X44,X128)</f>
        <v>#REF!</v>
      </c>
      <c r="Y144" s="51" t="e" cm="1">
        <f t="array" ref="Y144">MMS_PastureBeef_Soil_N2ODirect_Equations.VEERG_4_2_1_3__4_NitrogenRetainedByBody(Y108,Y80,Y44,Y128)</f>
        <v>#REF!</v>
      </c>
      <c r="Z144" s="51" t="e" cm="1">
        <f t="array" ref="Z144">MMS_PastureBeef_Soil_N2ODirect_Equations.VEERG_4_2_1_3__4_NitrogenRetainedByBody(Z108,Z80,Z44,Z128)</f>
        <v>#REF!</v>
      </c>
      <c r="AA144" s="51" t="e" cm="1">
        <f t="array" ref="AA144">MMS_PastureBeef_Soil_N2ODirect_Equations.VEERG_4_2_1_3__4_NitrogenRetainedByBody(AA108,AA80,AA44,AA128)</f>
        <v>#REF!</v>
      </c>
      <c r="AB144" s="51" t="e" cm="1">
        <f t="array" ref="AB144">MMS_PastureBeef_Soil_N2ODirect_Equations.VEERG_4_2_1_3__4_NitrogenRetainedByBody(AB108,AB80,AB44,AB128)</f>
        <v>#REF!</v>
      </c>
      <c r="AC144" s="51" t="e" cm="1">
        <f t="array" ref="AC144">MMS_PastureBeef_Soil_N2ODirect_Equations.VEERG_4_2_1_3__4_NitrogenRetainedByBody(AC108,AC80,AC44,AC128)</f>
        <v>#REF!</v>
      </c>
      <c r="AD144" s="51" t="e" cm="1">
        <f t="array" ref="AD144">MMS_PastureBeef_Soil_N2ODirect_Equations.VEERG_4_2_1_3__4_NitrogenRetainedByBody(AD108,AD80,AD44,AD128)</f>
        <v>#REF!</v>
      </c>
      <c r="AE144" s="2" t="str">
        <f t="shared" si="7"/>
        <v>kg N/head/day</v>
      </c>
    </row>
    <row r="145" spans="4:32" ht="20.100000000000001" customHeight="1" x14ac:dyDescent="0.25">
      <c r="D145" s="56" t="str">
        <v>NR_jkl</v>
      </c>
      <c r="E145" s="57" t="str">
        <v>the amount of nitrogen retained by the body (kg N/head/day)</v>
      </c>
      <c r="F145" s="58"/>
      <c r="G145" s="56" t="str">
        <f>"See " &amp; D124</f>
        <v>See M1_Table_NR_j_k_l</v>
      </c>
      <c r="T145" s="51" t="str">
        <f>TEXT(EDATE('Input - Site'!$E$12,9), "mmmm yyyy")</f>
        <v>October 2024</v>
      </c>
      <c r="U145" s="51" t="e" cm="1">
        <f t="array" ref="U145">MMS_PastureBeef_Soil_N2ODirect_Equations.VEERG_4_2_1_3__4_NitrogenRetainedByBody(U109,U81,U45,U129)</f>
        <v>#REF!</v>
      </c>
      <c r="V145" s="51" t="e" cm="1">
        <f t="array" ref="V145">MMS_PastureBeef_Soil_N2ODirect_Equations.VEERG_4_2_1_3__4_NitrogenRetainedByBody(V109,V81,V45,V129)</f>
        <v>#REF!</v>
      </c>
      <c r="W145" s="51" t="e" cm="1">
        <f t="array" ref="W145">MMS_PastureBeef_Soil_N2ODirect_Equations.VEERG_4_2_1_3__4_NitrogenRetainedByBody(W109,W81,W45,W129)</f>
        <v>#REF!</v>
      </c>
      <c r="X145" s="51" t="e" cm="1">
        <f t="array" ref="X145">MMS_PastureBeef_Soil_N2ODirect_Equations.VEERG_4_2_1_3__4_NitrogenRetainedByBody(X109,X81,X45,X129)</f>
        <v>#REF!</v>
      </c>
      <c r="Y145" s="51" t="e" cm="1">
        <f t="array" ref="Y145">MMS_PastureBeef_Soil_N2ODirect_Equations.VEERG_4_2_1_3__4_NitrogenRetainedByBody(Y109,Y81,Y45,Y129)</f>
        <v>#REF!</v>
      </c>
      <c r="Z145" s="51" t="e" cm="1">
        <f t="array" ref="Z145">MMS_PastureBeef_Soil_N2ODirect_Equations.VEERG_4_2_1_3__4_NitrogenRetainedByBody(Z109,Z81,Z45,Z129)</f>
        <v>#REF!</v>
      </c>
      <c r="AA145" s="51" t="e" cm="1">
        <f t="array" ref="AA145">MMS_PastureBeef_Soil_N2ODirect_Equations.VEERG_4_2_1_3__4_NitrogenRetainedByBody(AA109,AA81,AA45,AA129)</f>
        <v>#REF!</v>
      </c>
      <c r="AB145" s="51" t="e" cm="1">
        <f t="array" ref="AB145">MMS_PastureBeef_Soil_N2ODirect_Equations.VEERG_4_2_1_3__4_NitrogenRetainedByBody(AB109,AB81,AB45,AB129)</f>
        <v>#REF!</v>
      </c>
      <c r="AC145" s="51" t="e" cm="1">
        <f t="array" ref="AC145">MMS_PastureBeef_Soil_N2ODirect_Equations.VEERG_4_2_1_3__4_NitrogenRetainedByBody(AC109,AC81,AC45,AC129)</f>
        <v>#REF!</v>
      </c>
      <c r="AD145" s="51" t="e" cm="1">
        <f t="array" ref="AD145">MMS_PastureBeef_Soil_N2ODirect_Equations.VEERG_4_2_1_3__4_NitrogenRetainedByBody(AD109,AD81,AD45,AD129)</f>
        <v>#REF!</v>
      </c>
      <c r="AE145" s="2" t="str">
        <f t="shared" si="7"/>
        <v>kg N/head/day</v>
      </c>
    </row>
    <row r="146" spans="4:32" ht="20.100000000000001" customHeight="1" x14ac:dyDescent="0.25">
      <c r="D146" s="56" t="str">
        <v>W_jkl</v>
      </c>
      <c r="E146" s="57" t="str">
        <v>liveweight (kg/head)</v>
      </c>
      <c r="F146" s="58"/>
      <c r="G146" s="56" t="str">
        <f>"See " &amp; D17</f>
        <v>See M1_Table_W_j_k_l</v>
      </c>
      <c r="T146" s="51" t="str">
        <f>TEXT(EDATE('Input - Site'!$E$12,10), "mmmm yyyy")</f>
        <v>November 2024</v>
      </c>
      <c r="U146" s="51" t="e" cm="1">
        <f t="array" ref="U146">MMS_PastureBeef_Soil_N2ODirect_Equations.VEERG_4_2_1_3__4_NitrogenRetainedByBody(U110,U82,U46,U130)</f>
        <v>#REF!</v>
      </c>
      <c r="V146" s="51" t="e" cm="1">
        <f t="array" ref="V146">MMS_PastureBeef_Soil_N2ODirect_Equations.VEERG_4_2_1_3__4_NitrogenRetainedByBody(V110,V82,V46,V130)</f>
        <v>#REF!</v>
      </c>
      <c r="W146" s="51" t="e" cm="1">
        <f t="array" ref="W146">MMS_PastureBeef_Soil_N2ODirect_Equations.VEERG_4_2_1_3__4_NitrogenRetainedByBody(W110,W82,W46,W130)</f>
        <v>#REF!</v>
      </c>
      <c r="X146" s="51" t="e" cm="1">
        <f t="array" ref="X146">MMS_PastureBeef_Soil_N2ODirect_Equations.VEERG_4_2_1_3__4_NitrogenRetainedByBody(X110,X82,X46,X130)</f>
        <v>#REF!</v>
      </c>
      <c r="Y146" s="51" t="e" cm="1">
        <f t="array" ref="Y146">MMS_PastureBeef_Soil_N2ODirect_Equations.VEERG_4_2_1_3__4_NitrogenRetainedByBody(Y110,Y82,Y46,Y130)</f>
        <v>#REF!</v>
      </c>
      <c r="Z146" s="51" t="e" cm="1">
        <f t="array" ref="Z146">MMS_PastureBeef_Soil_N2ODirect_Equations.VEERG_4_2_1_3__4_NitrogenRetainedByBody(Z110,Z82,Z46,Z130)</f>
        <v>#REF!</v>
      </c>
      <c r="AA146" s="51" t="e" cm="1">
        <f t="array" ref="AA146">MMS_PastureBeef_Soil_N2ODirect_Equations.VEERG_4_2_1_3__4_NitrogenRetainedByBody(AA110,AA82,AA46,AA130)</f>
        <v>#REF!</v>
      </c>
      <c r="AB146" s="51" t="e" cm="1">
        <f t="array" ref="AB146">MMS_PastureBeef_Soil_N2ODirect_Equations.VEERG_4_2_1_3__4_NitrogenRetainedByBody(AB110,AB82,AB46,AB130)</f>
        <v>#REF!</v>
      </c>
      <c r="AC146" s="51" t="e" cm="1">
        <f t="array" ref="AC146">MMS_PastureBeef_Soil_N2ODirect_Equations.VEERG_4_2_1_3__4_NitrogenRetainedByBody(AC110,AC82,AC46,AC130)</f>
        <v>#REF!</v>
      </c>
      <c r="AD146" s="51" t="e" cm="1">
        <f t="array" ref="AD146">MMS_PastureBeef_Soil_N2ODirect_Equations.VEERG_4_2_1_3__4_NitrogenRetainedByBody(AD110,AD82,AD46,AD130)</f>
        <v>#REF!</v>
      </c>
      <c r="AE146" s="2" t="str">
        <f t="shared" si="7"/>
        <v>kg N/head/day</v>
      </c>
    </row>
    <row r="147" spans="4:32" ht="20.100000000000001" customHeight="1" x14ac:dyDescent="0.25">
      <c r="T147" s="51" t="str">
        <f>TEXT(EDATE('Input - Site'!$E$12,11), "mmmm yyyy")</f>
        <v>December 2024</v>
      </c>
      <c r="U147" s="51" t="e" cm="1">
        <f t="array" ref="U147">MMS_PastureBeef_Soil_N2ODirect_Equations.VEERG_4_2_1_3__4_NitrogenRetainedByBody(U111,U83,U47,U131)</f>
        <v>#REF!</v>
      </c>
      <c r="V147" s="51" t="e" cm="1">
        <f t="array" ref="V147">MMS_PastureBeef_Soil_N2ODirect_Equations.VEERG_4_2_1_3__4_NitrogenRetainedByBody(V111,V83,V47,V131)</f>
        <v>#REF!</v>
      </c>
      <c r="W147" s="51" t="e" cm="1">
        <f t="array" ref="W147">MMS_PastureBeef_Soil_N2ODirect_Equations.VEERG_4_2_1_3__4_NitrogenRetainedByBody(W111,W83,W47,W131)</f>
        <v>#REF!</v>
      </c>
      <c r="X147" s="51" t="e" cm="1">
        <f t="array" ref="X147">MMS_PastureBeef_Soil_N2ODirect_Equations.VEERG_4_2_1_3__4_NitrogenRetainedByBody(X111,X83,X47,X131)</f>
        <v>#REF!</v>
      </c>
      <c r="Y147" s="51" t="e" cm="1">
        <f t="array" ref="Y147">MMS_PastureBeef_Soil_N2ODirect_Equations.VEERG_4_2_1_3__4_NitrogenRetainedByBody(Y111,Y83,Y47,Y131)</f>
        <v>#REF!</v>
      </c>
      <c r="Z147" s="51" t="e" cm="1">
        <f t="array" ref="Z147">MMS_PastureBeef_Soil_N2ODirect_Equations.VEERG_4_2_1_3__4_NitrogenRetainedByBody(Z111,Z83,Z47,Z131)</f>
        <v>#REF!</v>
      </c>
      <c r="AA147" s="51" t="e" cm="1">
        <f t="array" ref="AA147">MMS_PastureBeef_Soil_N2ODirect_Equations.VEERG_4_2_1_3__4_NitrogenRetainedByBody(AA111,AA83,AA47,AA131)</f>
        <v>#REF!</v>
      </c>
      <c r="AB147" s="51" t="e" cm="1">
        <f t="array" ref="AB147">MMS_PastureBeef_Soil_N2ODirect_Equations.VEERG_4_2_1_3__4_NitrogenRetainedByBody(AB111,AB83,AB47,AB131)</f>
        <v>#REF!</v>
      </c>
      <c r="AC147" s="51" t="e" cm="1">
        <f t="array" ref="AC147">MMS_PastureBeef_Soil_N2ODirect_Equations.VEERG_4_2_1_3__4_NitrogenRetainedByBody(AC111,AC83,AC47,AC131)</f>
        <v>#REF!</v>
      </c>
      <c r="AD147" s="51" t="e" cm="1">
        <f t="array" ref="AD147">MMS_PastureBeef_Soil_N2ODirect_Equations.VEERG_4_2_1_3__4_NitrogenRetainedByBody(AD111,AD83,AD47,AD131)</f>
        <v>#REF!</v>
      </c>
      <c r="AE147" s="2" t="str">
        <f t="shared" si="7"/>
        <v>kg N/head/day</v>
      </c>
    </row>
    <row r="148" spans="4:32" ht="20.100000000000001" customHeight="1" x14ac:dyDescent="0.25">
      <c r="D148" s="98" t="s">
        <v>103</v>
      </c>
    </row>
    <row r="149" spans="4:32" ht="20.100000000000001" customHeight="1" x14ac:dyDescent="0.25">
      <c r="D149" s="97" t="s">
        <v>204</v>
      </c>
    </row>
    <row r="150" spans="4:32" ht="20.100000000000001" customHeight="1" x14ac:dyDescent="0.25">
      <c r="D150" s="50" t="s">
        <v>153</v>
      </c>
      <c r="E150" s="50" t="s">
        <v>118</v>
      </c>
      <c r="F150" s="50" t="s">
        <v>117</v>
      </c>
      <c r="G150" s="50" t="s">
        <v>141</v>
      </c>
      <c r="H150" s="50" t="s">
        <v>142</v>
      </c>
      <c r="I150" s="50" t="s">
        <v>143</v>
      </c>
      <c r="J150" s="50" t="s">
        <v>144</v>
      </c>
      <c r="K150" s="50" t="s">
        <v>145</v>
      </c>
      <c r="L150" s="50" t="s">
        <v>146</v>
      </c>
      <c r="M150" s="50" t="s">
        <v>147</v>
      </c>
      <c r="N150" s="50" t="s">
        <v>148</v>
      </c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</row>
    <row r="151" spans="4:32" ht="20.100000000000001" customHeight="1" x14ac:dyDescent="0.25">
      <c r="D151" s="51" t="s">
        <v>149</v>
      </c>
      <c r="E151" s="51" t="e">
        <f>'Input - Swine'!#REF!</f>
        <v>#REF!</v>
      </c>
      <c r="F151" s="51" t="e">
        <f>'Input - Swine'!#REF!</f>
        <v>#REF!</v>
      </c>
      <c r="G151" s="51" t="e">
        <f>'Input - Swine'!#REF!</f>
        <v>#REF!</v>
      </c>
      <c r="H151" s="51" t="e">
        <f>'Input - Swine'!#REF!</f>
        <v>#REF!</v>
      </c>
      <c r="I151" s="51" t="e">
        <f>'Input - Swine'!#REF!</f>
        <v>#REF!</v>
      </c>
      <c r="J151" s="51" t="e">
        <f>'Input - Swine'!#REF!</f>
        <v>#REF!</v>
      </c>
      <c r="K151" s="51" t="e">
        <f>'Input - Swine'!#REF!</f>
        <v>#REF!</v>
      </c>
      <c r="L151" s="51" t="e">
        <f>'Input - Swine'!#REF!</f>
        <v>#REF!</v>
      </c>
      <c r="M151" s="51" t="e">
        <f>'Input - Swine'!#REF!</f>
        <v>#REF!</v>
      </c>
      <c r="N151" s="51" t="e">
        <f>'Input - Swine'!#REF!</f>
        <v>#REF!</v>
      </c>
      <c r="O151" s="2" t="s">
        <v>123</v>
      </c>
      <c r="T151" s="6" t="str" cm="1">
        <f t="array" ref="T151">MMS_PastureBeef_Soil_N2ODirect_Equations.VEERG_4_2_1_3__3_NitrogenExcreted_Title()</f>
        <v>Nitrogen excreted</v>
      </c>
    </row>
    <row r="152" spans="4:32" ht="20.100000000000001" customHeight="1" x14ac:dyDescent="0.25">
      <c r="D152" s="51" t="s">
        <v>150</v>
      </c>
      <c r="E152" s="51" t="e">
        <f>'Input - Swine'!#REF!</f>
        <v>#REF!</v>
      </c>
      <c r="F152" s="51" t="e">
        <f>'Input - Swine'!#REF!</f>
        <v>#REF!</v>
      </c>
      <c r="G152" s="51" t="e">
        <f>'Input - Swine'!#REF!</f>
        <v>#REF!</v>
      </c>
      <c r="H152" s="51" t="e">
        <f>'Input - Swine'!#REF!</f>
        <v>#REF!</v>
      </c>
      <c r="I152" s="51" t="e">
        <f>'Input - Swine'!#REF!</f>
        <v>#REF!</v>
      </c>
      <c r="J152" s="51" t="e">
        <f>'Input - Swine'!#REF!</f>
        <v>#REF!</v>
      </c>
      <c r="K152" s="51" t="e">
        <f>'Input - Swine'!#REF!</f>
        <v>#REF!</v>
      </c>
      <c r="L152" s="51" t="e">
        <f>'Input - Swine'!#REF!</f>
        <v>#REF!</v>
      </c>
      <c r="M152" s="51" t="e">
        <f>'Input - Swine'!#REF!</f>
        <v>#REF!</v>
      </c>
      <c r="N152" s="51" t="e">
        <f>'Input - Swine'!#REF!</f>
        <v>#REF!</v>
      </c>
      <c r="O152" s="2" t="s">
        <v>123</v>
      </c>
    </row>
    <row r="153" spans="4:32" ht="20.100000000000001" customHeight="1" x14ac:dyDescent="0.25">
      <c r="D153" s="51" t="s">
        <v>151</v>
      </c>
      <c r="E153" s="51" t="e">
        <f>'Input - Swine'!#REF!</f>
        <v>#REF!</v>
      </c>
      <c r="F153" s="51" t="e">
        <f>'Input - Swine'!#REF!</f>
        <v>#REF!</v>
      </c>
      <c r="G153" s="51" t="e">
        <f>'Input - Swine'!#REF!</f>
        <v>#REF!</v>
      </c>
      <c r="H153" s="51" t="e">
        <f>'Input - Swine'!#REF!</f>
        <v>#REF!</v>
      </c>
      <c r="I153" s="51" t="e">
        <f>'Input - Swine'!#REF!</f>
        <v>#REF!</v>
      </c>
      <c r="J153" s="51" t="e">
        <f>'Input - Swine'!#REF!</f>
        <v>#REF!</v>
      </c>
      <c r="K153" s="51" t="e">
        <f>'Input - Swine'!#REF!</f>
        <v>#REF!</v>
      </c>
      <c r="L153" s="51" t="e">
        <f>'Input - Swine'!#REF!</f>
        <v>#REF!</v>
      </c>
      <c r="M153" s="51" t="e">
        <f>'Input - Swine'!#REF!</f>
        <v>#REF!</v>
      </c>
      <c r="N153" s="51" t="e">
        <f>'Input - Swine'!#REF!</f>
        <v>#REF!</v>
      </c>
      <c r="O153" s="2" t="s">
        <v>123</v>
      </c>
      <c r="T153" s="98" t="s">
        <v>104</v>
      </c>
    </row>
    <row r="154" spans="4:32" ht="20.100000000000001" customHeight="1" x14ac:dyDescent="0.25">
      <c r="D154" s="51" t="s">
        <v>152</v>
      </c>
      <c r="E154" s="51" t="e">
        <f>'Input - Swine'!#REF!</f>
        <v>#REF!</v>
      </c>
      <c r="F154" s="51" t="e">
        <f>'Input - Swine'!#REF!</f>
        <v>#REF!</v>
      </c>
      <c r="G154" s="51" t="e">
        <f>'Input - Swine'!#REF!</f>
        <v>#REF!</v>
      </c>
      <c r="H154" s="51" t="e">
        <f>'Input - Swine'!#REF!</f>
        <v>#REF!</v>
      </c>
      <c r="I154" s="51" t="e">
        <f>'Input - Swine'!#REF!</f>
        <v>#REF!</v>
      </c>
      <c r="J154" s="51" t="e">
        <f>'Input - Swine'!#REF!</f>
        <v>#REF!</v>
      </c>
      <c r="K154" s="51" t="e">
        <f>'Input - Swine'!#REF!</f>
        <v>#REF!</v>
      </c>
      <c r="L154" s="51" t="e">
        <f>'Input - Swine'!#REF!</f>
        <v>#REF!</v>
      </c>
      <c r="M154" s="51" t="e">
        <f>'Input - Swine'!#REF!</f>
        <v>#REF!</v>
      </c>
      <c r="N154" s="51" t="e">
        <f>'Input - Swine'!#REF!</f>
        <v>#REF!</v>
      </c>
      <c r="O154" s="2" t="s">
        <v>123</v>
      </c>
      <c r="T154" s="97" t="s">
        <v>203</v>
      </c>
    </row>
    <row r="155" spans="4:32" ht="20.100000000000001" customHeight="1" x14ac:dyDescent="0.25">
      <c r="T155" s="50" t="s">
        <v>119</v>
      </c>
      <c r="U155" s="50" t="s">
        <v>118</v>
      </c>
      <c r="V155" s="50" t="s">
        <v>117</v>
      </c>
      <c r="W155" s="50" t="s">
        <v>141</v>
      </c>
      <c r="X155" s="50" t="s">
        <v>142</v>
      </c>
      <c r="Y155" s="50" t="s">
        <v>143</v>
      </c>
      <c r="Z155" s="50" t="s">
        <v>144</v>
      </c>
      <c r="AA155" s="50" t="s">
        <v>145</v>
      </c>
      <c r="AB155" s="50" t="s">
        <v>146</v>
      </c>
      <c r="AC155" s="50" t="s">
        <v>147</v>
      </c>
      <c r="AD155" s="50" t="s">
        <v>148</v>
      </c>
    </row>
    <row r="156" spans="4:32" ht="20.100000000000001" customHeight="1" x14ac:dyDescent="0.25">
      <c r="D156" s="98" t="s">
        <v>189</v>
      </c>
      <c r="F156" s="106" t="s">
        <v>190</v>
      </c>
      <c r="T156" s="51" t="str">
        <f>TEXT('Input - Site'!$E$12, "mmmm yyyy")</f>
        <v>January 2024</v>
      </c>
      <c r="U156" s="51" t="e">
        <f>'Input - Swine'!#REF!</f>
        <v>#REF!</v>
      </c>
      <c r="V156" s="51" t="e">
        <f>'Input - Swine'!#REF!</f>
        <v>#REF!</v>
      </c>
      <c r="W156" s="51" t="e">
        <f>'Input - Swine'!#REF!</f>
        <v>#REF!</v>
      </c>
      <c r="X156" s="51" t="e">
        <f>'Input - Swine'!#REF!</f>
        <v>#REF!</v>
      </c>
      <c r="Y156" s="51" t="e">
        <f>'Input - Swine'!#REF!</f>
        <v>#REF!</v>
      </c>
      <c r="Z156" s="51" t="e">
        <f>'Input - Swine'!#REF!</f>
        <v>#REF!</v>
      </c>
      <c r="AA156" s="51" t="e">
        <f>'Input - Swine'!#REF!</f>
        <v>#REF!</v>
      </c>
      <c r="AB156" s="51" t="e">
        <f>'Input - Swine'!#REF!</f>
        <v>#REF!</v>
      </c>
      <c r="AC156" s="51" t="e">
        <f>'Input - Swine'!#REF!</f>
        <v>#REF!</v>
      </c>
      <c r="AD156" s="51" t="e">
        <f>'Input - Swine'!#REF!</f>
        <v>#REF!</v>
      </c>
      <c r="AE156" s="2" t="s">
        <v>123</v>
      </c>
    </row>
    <row r="157" spans="4:32" ht="20.100000000000001" customHeight="1" x14ac:dyDescent="0.25">
      <c r="D157" s="97" t="s">
        <v>206</v>
      </c>
      <c r="T157" s="51" t="str">
        <f>TEXT(EDATE('Input - Site'!$E$12,1), "mmmm yyyy")</f>
        <v>February 2024</v>
      </c>
      <c r="U157" s="51" t="e">
        <f>'Input - Swine'!#REF!</f>
        <v>#REF!</v>
      </c>
      <c r="V157" s="51" t="e">
        <f>'Input - Swine'!#REF!</f>
        <v>#REF!</v>
      </c>
      <c r="W157" s="51" t="e">
        <f>'Input - Swine'!#REF!</f>
        <v>#REF!</v>
      </c>
      <c r="X157" s="51" t="e">
        <f>'Input - Swine'!#REF!</f>
        <v>#REF!</v>
      </c>
      <c r="Y157" s="51" t="e">
        <f>'Input - Swine'!#REF!</f>
        <v>#REF!</v>
      </c>
      <c r="Z157" s="51" t="e">
        <f>'Input - Swine'!#REF!</f>
        <v>#REF!</v>
      </c>
      <c r="AA157" s="51" t="e">
        <f>'Input - Swine'!#REF!</f>
        <v>#REF!</v>
      </c>
      <c r="AB157" s="51" t="e">
        <f>'Input - Swine'!#REF!</f>
        <v>#REF!</v>
      </c>
      <c r="AC157" s="51" t="e">
        <f>'Input - Swine'!#REF!</f>
        <v>#REF!</v>
      </c>
      <c r="AD157" s="51" t="e">
        <f>'Input - Swine'!#REF!</f>
        <v>#REF!</v>
      </c>
      <c r="AE157" s="2" t="s">
        <v>123</v>
      </c>
    </row>
    <row r="158" spans="4:32" ht="20.100000000000001" customHeight="1" x14ac:dyDescent="0.25">
      <c r="D158" s="50" t="s">
        <v>153</v>
      </c>
      <c r="E158" s="50" t="s">
        <v>118</v>
      </c>
      <c r="F158" s="50" t="s">
        <v>117</v>
      </c>
      <c r="G158" s="50" t="s">
        <v>141</v>
      </c>
      <c r="H158" s="50" t="s">
        <v>142</v>
      </c>
      <c r="I158" s="50" t="s">
        <v>143</v>
      </c>
      <c r="J158" s="50" t="s">
        <v>144</v>
      </c>
      <c r="K158" s="50" t="s">
        <v>145</v>
      </c>
      <c r="L158" s="50" t="s">
        <v>146</v>
      </c>
      <c r="M158" s="50" t="s">
        <v>147</v>
      </c>
      <c r="N158" s="50" t="s">
        <v>148</v>
      </c>
      <c r="T158" s="51" t="str">
        <f>TEXT(EDATE('Input - Site'!$E$12,2), "mmmm yyyy")</f>
        <v>March 2024</v>
      </c>
      <c r="U158" s="51" t="e">
        <f>'Input - Swine'!#REF!</f>
        <v>#REF!</v>
      </c>
      <c r="V158" s="51" t="e">
        <f>'Input - Swine'!#REF!</f>
        <v>#REF!</v>
      </c>
      <c r="W158" s="51" t="e">
        <f>'Input - Swine'!#REF!</f>
        <v>#REF!</v>
      </c>
      <c r="X158" s="51" t="e">
        <f>'Input - Swine'!#REF!</f>
        <v>#REF!</v>
      </c>
      <c r="Y158" s="51" t="e">
        <f>'Input - Swine'!#REF!</f>
        <v>#REF!</v>
      </c>
      <c r="Z158" s="51" t="e">
        <f>'Input - Swine'!#REF!</f>
        <v>#REF!</v>
      </c>
      <c r="AA158" s="51" t="e">
        <f>'Input - Swine'!#REF!</f>
        <v>#REF!</v>
      </c>
      <c r="AB158" s="51" t="e">
        <f>'Input - Swine'!#REF!</f>
        <v>#REF!</v>
      </c>
      <c r="AC158" s="51" t="e">
        <f>'Input - Swine'!#REF!</f>
        <v>#REF!</v>
      </c>
      <c r="AD158" s="51" t="e">
        <f>'Input - Swine'!#REF!</f>
        <v>#REF!</v>
      </c>
      <c r="AE158" s="2" t="s">
        <v>123</v>
      </c>
    </row>
    <row r="159" spans="4:32" ht="20.100000000000001" customHeight="1" x14ac:dyDescent="0.25">
      <c r="D159" s="51" t="s">
        <v>149</v>
      </c>
      <c r="E159" s="51" t="e">
        <f>AVERAGE($H$95:$J$95)</f>
        <v>#VALUE!</v>
      </c>
      <c r="F159" s="51">
        <v>0</v>
      </c>
      <c r="G159" s="51" t="e">
        <f>AVERAGE($H$95:$J$95)</f>
        <v>#VALUE!</v>
      </c>
      <c r="H159" s="51">
        <v>0</v>
      </c>
      <c r="I159" s="51">
        <v>0</v>
      </c>
      <c r="J159" s="51">
        <v>0</v>
      </c>
      <c r="K159" s="51" t="e">
        <f>AVERAGE($H$95:$J$95)</f>
        <v>#VALUE!</v>
      </c>
      <c r="L159" s="51">
        <v>0</v>
      </c>
      <c r="M159" s="51">
        <v>0</v>
      </c>
      <c r="N159" s="51">
        <v>0</v>
      </c>
      <c r="O159" s="2" t="s">
        <v>121</v>
      </c>
      <c r="T159" s="51" t="str">
        <f>TEXT(EDATE('Input - Site'!$E$12,3), "mmmm yyyy")</f>
        <v>April 2024</v>
      </c>
      <c r="U159" s="51" t="e">
        <f>'Input - Swine'!#REF!</f>
        <v>#REF!</v>
      </c>
      <c r="V159" s="51" t="e">
        <f>'Input - Swine'!#REF!</f>
        <v>#REF!</v>
      </c>
      <c r="W159" s="51" t="e">
        <f>'Input - Swine'!#REF!</f>
        <v>#REF!</v>
      </c>
      <c r="X159" s="51" t="e">
        <f>'Input - Swine'!#REF!</f>
        <v>#REF!</v>
      </c>
      <c r="Y159" s="51" t="e">
        <f>'Input - Swine'!#REF!</f>
        <v>#REF!</v>
      </c>
      <c r="Z159" s="51" t="e">
        <f>'Input - Swine'!#REF!</f>
        <v>#REF!</v>
      </c>
      <c r="AA159" s="51" t="e">
        <f>'Input - Swine'!#REF!</f>
        <v>#REF!</v>
      </c>
      <c r="AB159" s="51" t="e">
        <f>'Input - Swine'!#REF!</f>
        <v>#REF!</v>
      </c>
      <c r="AC159" s="51" t="e">
        <f>'Input - Swine'!#REF!</f>
        <v>#REF!</v>
      </c>
      <c r="AD159" s="51" t="e">
        <f>'Input - Swine'!#REF!</f>
        <v>#REF!</v>
      </c>
      <c r="AE159" s="2" t="s">
        <v>123</v>
      </c>
    </row>
    <row r="160" spans="4:32" ht="20.100000000000001" customHeight="1" x14ac:dyDescent="0.25">
      <c r="D160" s="51" t="s">
        <v>150</v>
      </c>
      <c r="E160" s="51" t="e">
        <f>AVERAGE($H$96:$J$96)</f>
        <v>#VALUE!</v>
      </c>
      <c r="F160" s="51">
        <v>0</v>
      </c>
      <c r="G160" s="51" t="e">
        <f>AVERAGE($H$96:$J$96)</f>
        <v>#VALUE!</v>
      </c>
      <c r="H160" s="51">
        <v>0</v>
      </c>
      <c r="I160" s="51">
        <v>0</v>
      </c>
      <c r="J160" s="51">
        <v>0</v>
      </c>
      <c r="K160" s="51" t="e">
        <f>AVERAGE($H$96:$J$96)</f>
        <v>#VALUE!</v>
      </c>
      <c r="L160" s="51">
        <v>0</v>
      </c>
      <c r="M160" s="51">
        <v>0</v>
      </c>
      <c r="N160" s="51">
        <v>0</v>
      </c>
      <c r="O160" s="2" t="s">
        <v>121</v>
      </c>
      <c r="T160" s="51" t="str">
        <f>TEXT(EDATE('Input - Site'!$E$12,4), "mmmm yyyy")</f>
        <v>May 2024</v>
      </c>
      <c r="U160" s="51" t="e">
        <f>'Input - Swine'!#REF!</f>
        <v>#REF!</v>
      </c>
      <c r="V160" s="51" t="e">
        <f>'Input - Swine'!#REF!</f>
        <v>#REF!</v>
      </c>
      <c r="W160" s="51" t="e">
        <f>'Input - Swine'!#REF!</f>
        <v>#REF!</v>
      </c>
      <c r="X160" s="51" t="e">
        <f>'Input - Swine'!#REF!</f>
        <v>#REF!</v>
      </c>
      <c r="Y160" s="51" t="e">
        <f>'Input - Swine'!#REF!</f>
        <v>#REF!</v>
      </c>
      <c r="Z160" s="51" t="e">
        <f>'Input - Swine'!#REF!</f>
        <v>#REF!</v>
      </c>
      <c r="AA160" s="51" t="e">
        <f>'Input - Swine'!#REF!</f>
        <v>#REF!</v>
      </c>
      <c r="AB160" s="51" t="e">
        <f>'Input - Swine'!#REF!</f>
        <v>#REF!</v>
      </c>
      <c r="AC160" s="51" t="e">
        <f>'Input - Swine'!#REF!</f>
        <v>#REF!</v>
      </c>
      <c r="AD160" s="51" t="e">
        <f>'Input - Swine'!#REF!</f>
        <v>#REF!</v>
      </c>
      <c r="AE160" s="2" t="s">
        <v>123</v>
      </c>
    </row>
    <row r="161" spans="3:31" ht="20.100000000000001" customHeight="1" x14ac:dyDescent="0.25">
      <c r="D161" s="51" t="s">
        <v>151</v>
      </c>
      <c r="E161" s="51" t="e">
        <f>AVERAGE($H$97:$J$97)</f>
        <v>#REF!</v>
      </c>
      <c r="F161" s="51">
        <v>0</v>
      </c>
      <c r="G161" s="51" t="e">
        <f>AVERAGE($H$97:$J$97)</f>
        <v>#REF!</v>
      </c>
      <c r="H161" s="51">
        <v>0</v>
      </c>
      <c r="I161" s="51">
        <v>0</v>
      </c>
      <c r="J161" s="51">
        <v>0</v>
      </c>
      <c r="K161" s="51" t="e">
        <f>AVERAGE($H$97:$J$97)</f>
        <v>#REF!</v>
      </c>
      <c r="L161" s="51">
        <v>0</v>
      </c>
      <c r="M161" s="51">
        <v>0</v>
      </c>
      <c r="N161" s="51">
        <v>0</v>
      </c>
      <c r="O161" s="2" t="s">
        <v>121</v>
      </c>
      <c r="T161" s="51" t="str">
        <f>TEXT(EDATE('Input - Site'!$E$12,5), "mmmm yyyy")</f>
        <v>June 2024</v>
      </c>
      <c r="U161" s="51" t="e">
        <f>'Input - Swine'!#REF!</f>
        <v>#REF!</v>
      </c>
      <c r="V161" s="51" t="e">
        <f>'Input - Swine'!#REF!</f>
        <v>#REF!</v>
      </c>
      <c r="W161" s="51" t="e">
        <f>'Input - Swine'!#REF!</f>
        <v>#REF!</v>
      </c>
      <c r="X161" s="51" t="e">
        <f>'Input - Swine'!#REF!</f>
        <v>#REF!</v>
      </c>
      <c r="Y161" s="51" t="e">
        <f>'Input - Swine'!#REF!</f>
        <v>#REF!</v>
      </c>
      <c r="Z161" s="51" t="e">
        <f>'Input - Swine'!#REF!</f>
        <v>#REF!</v>
      </c>
      <c r="AA161" s="51" t="e">
        <f>'Input - Swine'!#REF!</f>
        <v>#REF!</v>
      </c>
      <c r="AB161" s="51" t="e">
        <f>'Input - Swine'!#REF!</f>
        <v>#REF!</v>
      </c>
      <c r="AC161" s="51" t="e">
        <f>'Input - Swine'!#REF!</f>
        <v>#REF!</v>
      </c>
      <c r="AD161" s="51" t="e">
        <f>'Input - Swine'!#REF!</f>
        <v>#REF!</v>
      </c>
      <c r="AE161" s="2" t="s">
        <v>123</v>
      </c>
    </row>
    <row r="162" spans="3:31" ht="20.100000000000001" customHeight="1" x14ac:dyDescent="0.25">
      <c r="D162" s="51" t="s">
        <v>152</v>
      </c>
      <c r="E162" s="51" t="e">
        <f>AVERAGE($H$98:$J$98)</f>
        <v>#REF!</v>
      </c>
      <c r="F162" s="51">
        <v>0</v>
      </c>
      <c r="G162" s="51" t="e">
        <f>AVERAGE($H$98:$J$98)</f>
        <v>#REF!</v>
      </c>
      <c r="H162" s="51">
        <v>0</v>
      </c>
      <c r="I162" s="51">
        <v>0</v>
      </c>
      <c r="J162" s="51">
        <v>0</v>
      </c>
      <c r="K162" s="51" t="e">
        <f>AVERAGE($H$98:$J$98)</f>
        <v>#REF!</v>
      </c>
      <c r="L162" s="51">
        <v>0</v>
      </c>
      <c r="M162" s="51">
        <v>0</v>
      </c>
      <c r="N162" s="51">
        <v>0</v>
      </c>
      <c r="O162" s="2" t="s">
        <v>121</v>
      </c>
      <c r="T162" s="51" t="str">
        <f>TEXT(EDATE('Input - Site'!$E$12,6), "mmmm yyyy")</f>
        <v>July 2024</v>
      </c>
      <c r="U162" s="51" t="e">
        <f>'Input - Swine'!#REF!</f>
        <v>#REF!</v>
      </c>
      <c r="V162" s="51" t="e">
        <f>'Input - Swine'!#REF!</f>
        <v>#REF!</v>
      </c>
      <c r="W162" s="51" t="e">
        <f>'Input - Swine'!#REF!</f>
        <v>#REF!</v>
      </c>
      <c r="X162" s="51" t="e">
        <f>'Input - Swine'!#REF!</f>
        <v>#REF!</v>
      </c>
      <c r="Y162" s="51" t="e">
        <f>'Input - Swine'!#REF!</f>
        <v>#REF!</v>
      </c>
      <c r="Z162" s="51" t="e">
        <f>'Input - Swine'!#REF!</f>
        <v>#REF!</v>
      </c>
      <c r="AA162" s="51" t="e">
        <f>'Input - Swine'!#REF!</f>
        <v>#REF!</v>
      </c>
      <c r="AB162" s="51" t="e">
        <f>'Input - Swine'!#REF!</f>
        <v>#REF!</v>
      </c>
      <c r="AC162" s="51" t="e">
        <f>'Input - Swine'!#REF!</f>
        <v>#REF!</v>
      </c>
      <c r="AD162" s="51" t="e">
        <f>'Input - Swine'!#REF!</f>
        <v>#REF!</v>
      </c>
      <c r="AE162" s="2" t="s">
        <v>123</v>
      </c>
    </row>
    <row r="163" spans="3:31" ht="20.100000000000001" customHeight="1" x14ac:dyDescent="0.25">
      <c r="T163" s="51" t="str">
        <f>TEXT(EDATE('Input - Site'!$E$12,7), "mmmm yyyy")</f>
        <v>August 2024</v>
      </c>
      <c r="U163" s="51" t="e">
        <f>'Input - Swine'!#REF!</f>
        <v>#REF!</v>
      </c>
      <c r="V163" s="51" t="e">
        <f>'Input - Swine'!#REF!</f>
        <v>#REF!</v>
      </c>
      <c r="W163" s="51" t="e">
        <f>'Input - Swine'!#REF!</f>
        <v>#REF!</v>
      </c>
      <c r="X163" s="51" t="e">
        <f>'Input - Swine'!#REF!</f>
        <v>#REF!</v>
      </c>
      <c r="Y163" s="51" t="e">
        <f>'Input - Swine'!#REF!</f>
        <v>#REF!</v>
      </c>
      <c r="Z163" s="51" t="e">
        <f>'Input - Swine'!#REF!</f>
        <v>#REF!</v>
      </c>
      <c r="AA163" s="51" t="e">
        <f>'Input - Swine'!#REF!</f>
        <v>#REF!</v>
      </c>
      <c r="AB163" s="51" t="e">
        <f>'Input - Swine'!#REF!</f>
        <v>#REF!</v>
      </c>
      <c r="AC163" s="51" t="e">
        <f>'Input - Swine'!#REF!</f>
        <v>#REF!</v>
      </c>
      <c r="AD163" s="51" t="e">
        <f>'Input - Swine'!#REF!</f>
        <v>#REF!</v>
      </c>
      <c r="AE163" s="2" t="s">
        <v>123</v>
      </c>
    </row>
    <row r="164" spans="3:31" ht="20.100000000000001" customHeight="1" x14ac:dyDescent="0.25">
      <c r="D164" s="98" t="s">
        <v>191</v>
      </c>
      <c r="T164" s="51" t="str">
        <f>TEXT(EDATE('Input - Site'!$E$12,8), "mmmm yyyy")</f>
        <v>September 2024</v>
      </c>
      <c r="U164" s="51" t="e">
        <f>'Input - Swine'!#REF!</f>
        <v>#REF!</v>
      </c>
      <c r="V164" s="51" t="e">
        <f>'Input - Swine'!#REF!</f>
        <v>#REF!</v>
      </c>
      <c r="W164" s="51" t="e">
        <f>'Input - Swine'!#REF!</f>
        <v>#REF!</v>
      </c>
      <c r="X164" s="51" t="e">
        <f>'Input - Swine'!#REF!</f>
        <v>#REF!</v>
      </c>
      <c r="Y164" s="51" t="e">
        <f>'Input - Swine'!#REF!</f>
        <v>#REF!</v>
      </c>
      <c r="Z164" s="51" t="e">
        <f>'Input - Swine'!#REF!</f>
        <v>#REF!</v>
      </c>
      <c r="AA164" s="51" t="e">
        <f>'Input - Swine'!#REF!</f>
        <v>#REF!</v>
      </c>
      <c r="AB164" s="51" t="e">
        <f>'Input - Swine'!#REF!</f>
        <v>#REF!</v>
      </c>
      <c r="AC164" s="51" t="e">
        <f>'Input - Swine'!#REF!</f>
        <v>#REF!</v>
      </c>
      <c r="AD164" s="51" t="e">
        <f>'Input - Swine'!#REF!</f>
        <v>#REF!</v>
      </c>
      <c r="AE164" s="2" t="s">
        <v>123</v>
      </c>
    </row>
    <row r="165" spans="3:31" ht="20.100000000000001" customHeight="1" x14ac:dyDescent="0.25">
      <c r="D165" s="97" t="s">
        <v>207</v>
      </c>
      <c r="T165" s="51" t="str">
        <f>TEXT(EDATE('Input - Site'!$E$12,9), "mmmm yyyy")</f>
        <v>October 2024</v>
      </c>
      <c r="U165" s="51" t="e">
        <f>'Input - Swine'!#REF!</f>
        <v>#REF!</v>
      </c>
      <c r="V165" s="51" t="e">
        <f>'Input - Swine'!#REF!</f>
        <v>#REF!</v>
      </c>
      <c r="W165" s="51" t="e">
        <f>'Input - Swine'!#REF!</f>
        <v>#REF!</v>
      </c>
      <c r="X165" s="51" t="e">
        <f>'Input - Swine'!#REF!</f>
        <v>#REF!</v>
      </c>
      <c r="Y165" s="51" t="e">
        <f>'Input - Swine'!#REF!</f>
        <v>#REF!</v>
      </c>
      <c r="Z165" s="51" t="e">
        <f>'Input - Swine'!#REF!</f>
        <v>#REF!</v>
      </c>
      <c r="AA165" s="51" t="e">
        <f>'Input - Swine'!#REF!</f>
        <v>#REF!</v>
      </c>
      <c r="AB165" s="51" t="e">
        <f>'Input - Swine'!#REF!</f>
        <v>#REF!</v>
      </c>
      <c r="AC165" s="51" t="e">
        <f>'Input - Swine'!#REF!</f>
        <v>#REF!</v>
      </c>
      <c r="AD165" s="51" t="e">
        <f>'Input - Swine'!#REF!</f>
        <v>#REF!</v>
      </c>
      <c r="AE165" s="2" t="s">
        <v>123</v>
      </c>
    </row>
    <row r="166" spans="3:31" ht="20.100000000000001" customHeight="1" x14ac:dyDescent="0.25">
      <c r="D166" s="50" t="s">
        <v>153</v>
      </c>
      <c r="E166" s="50" t="s">
        <v>118</v>
      </c>
      <c r="F166" s="50" t="s">
        <v>117</v>
      </c>
      <c r="G166" s="50" t="s">
        <v>141</v>
      </c>
      <c r="H166" s="50" t="s">
        <v>142</v>
      </c>
      <c r="I166" s="50" t="s">
        <v>143</v>
      </c>
      <c r="J166" s="50" t="s">
        <v>144</v>
      </c>
      <c r="K166" s="50" t="s">
        <v>145</v>
      </c>
      <c r="L166" s="50" t="s">
        <v>146</v>
      </c>
      <c r="M166" s="50" t="s">
        <v>147</v>
      </c>
      <c r="N166" s="50" t="s">
        <v>148</v>
      </c>
      <c r="T166" s="51" t="str">
        <f>TEXT(EDATE('Input - Site'!$E$12,10), "mmmm yyyy")</f>
        <v>November 2024</v>
      </c>
      <c r="U166" s="51" t="e">
        <f>'Input - Swine'!#REF!</f>
        <v>#REF!</v>
      </c>
      <c r="V166" s="51" t="e">
        <f>'Input - Swine'!#REF!</f>
        <v>#REF!</v>
      </c>
      <c r="W166" s="51" t="e">
        <f>'Input - Swine'!#REF!</f>
        <v>#REF!</v>
      </c>
      <c r="X166" s="51" t="e">
        <f>'Input - Swine'!#REF!</f>
        <v>#REF!</v>
      </c>
      <c r="Y166" s="51" t="e">
        <f>'Input - Swine'!#REF!</f>
        <v>#REF!</v>
      </c>
      <c r="Z166" s="51" t="e">
        <f>'Input - Swine'!#REF!</f>
        <v>#REF!</v>
      </c>
      <c r="AA166" s="51" t="e">
        <f>'Input - Swine'!#REF!</f>
        <v>#REF!</v>
      </c>
      <c r="AB166" s="51" t="e">
        <f>'Input - Swine'!#REF!</f>
        <v>#REF!</v>
      </c>
      <c r="AC166" s="51" t="e">
        <f>'Input - Swine'!#REF!</f>
        <v>#REF!</v>
      </c>
      <c r="AD166" s="51" t="e">
        <f>'Input - Swine'!#REF!</f>
        <v>#REF!</v>
      </c>
      <c r="AE166" s="2" t="s">
        <v>123</v>
      </c>
    </row>
    <row r="167" spans="3:31" ht="20.100000000000001" customHeight="1" x14ac:dyDescent="0.25">
      <c r="D167" s="51" t="s">
        <v>149</v>
      </c>
      <c r="E167" s="51" t="e" cm="1">
        <f t="array" ref="E167">MMS_PastureBeef_Soil_N2ODirect_Equations.VEERG_4_2_1_3__3_NitrogenExcreted(E54,E151,E159,E127,E20)</f>
        <v>#VALUE!</v>
      </c>
      <c r="F167" s="51" t="e" cm="1">
        <f t="array" ref="F167">MMS_PastureBeef_Soil_N2ODirect_Equations.VEERG_4_2_1_3__3_NitrogenExcreted(F54,F151,F159,F127,F20)</f>
        <v>#REF!</v>
      </c>
      <c r="G167" s="51" t="e" cm="1">
        <f t="array" ref="G167">MMS_PastureBeef_Soil_N2ODirect_Equations.VEERG_4_2_1_3__3_NitrogenExcreted(G54,G151,G159,G127,G20)</f>
        <v>#VALUE!</v>
      </c>
      <c r="H167" s="51" t="e" cm="1">
        <f t="array" ref="H167">MMS_PastureBeef_Soil_N2ODirect_Equations.VEERG_4_2_1_3__3_NitrogenExcreted(H54,H151,H159,H127,H20)</f>
        <v>#REF!</v>
      </c>
      <c r="I167" s="51" t="e" cm="1">
        <f t="array" ref="I167">MMS_PastureBeef_Soil_N2ODirect_Equations.VEERG_4_2_1_3__3_NitrogenExcreted(I54,I151,I159,I127,I20)</f>
        <v>#REF!</v>
      </c>
      <c r="J167" s="51" t="e" cm="1">
        <f t="array" ref="J167">MMS_PastureBeef_Soil_N2ODirect_Equations.VEERG_4_2_1_3__3_NitrogenExcreted(J54,J151,J159,J127,J20)</f>
        <v>#REF!</v>
      </c>
      <c r="K167" s="51" t="e" cm="1">
        <f t="array" ref="K167">MMS_PastureBeef_Soil_N2ODirect_Equations.VEERG_4_2_1_3__3_NitrogenExcreted(K54,K151,K159,K127,K20)</f>
        <v>#REF!</v>
      </c>
      <c r="L167" s="51" t="e" cm="1">
        <f t="array" ref="L167">MMS_PastureBeef_Soil_N2ODirect_Equations.VEERG_4_2_1_3__3_NitrogenExcreted(L54,L151,L159,L127,L20)</f>
        <v>#REF!</v>
      </c>
      <c r="M167" s="51" t="e" cm="1">
        <f t="array" ref="M167">MMS_PastureBeef_Soil_N2ODirect_Equations.VEERG_4_2_1_3__3_NitrogenExcreted(M54,M151,M159,M127,M20)</f>
        <v>#REF!</v>
      </c>
      <c r="N167" s="51" t="e" cm="1">
        <f t="array" ref="N167">MMS_PastureBeef_Soil_N2ODirect_Equations.VEERG_4_2_1_3__3_NitrogenExcreted(N54,N151,N159,N127,N20)</f>
        <v>#REF!</v>
      </c>
      <c r="O167" s="2" t="str">
        <f>$E$140</f>
        <v>kg N/head/day</v>
      </c>
      <c r="T167" s="51" t="str">
        <f>TEXT(EDATE('Input - Site'!$E$12,11), "mmmm yyyy")</f>
        <v>December 2024</v>
      </c>
      <c r="U167" s="51" t="e">
        <f>'Input - Swine'!#REF!</f>
        <v>#REF!</v>
      </c>
      <c r="V167" s="51" t="e">
        <f>'Input - Swine'!#REF!</f>
        <v>#REF!</v>
      </c>
      <c r="W167" s="51" t="e">
        <f>'Input - Swine'!#REF!</f>
        <v>#REF!</v>
      </c>
      <c r="X167" s="51" t="e">
        <f>'Input - Swine'!#REF!</f>
        <v>#REF!</v>
      </c>
      <c r="Y167" s="51" t="e">
        <f>'Input - Swine'!#REF!</f>
        <v>#REF!</v>
      </c>
      <c r="Z167" s="51" t="e">
        <f>'Input - Swine'!#REF!</f>
        <v>#REF!</v>
      </c>
      <c r="AA167" s="51" t="e">
        <f>'Input - Swine'!#REF!</f>
        <v>#REF!</v>
      </c>
      <c r="AB167" s="51" t="e">
        <f>'Input - Swine'!#REF!</f>
        <v>#REF!</v>
      </c>
      <c r="AC167" s="51" t="e">
        <f>'Input - Swine'!#REF!</f>
        <v>#REF!</v>
      </c>
      <c r="AD167" s="51" t="e">
        <f>'Input - Swine'!#REF!</f>
        <v>#REF!</v>
      </c>
      <c r="AE167" s="2" t="s">
        <v>123</v>
      </c>
    </row>
    <row r="168" spans="3:31" ht="20.100000000000001" customHeight="1" x14ac:dyDescent="0.25">
      <c r="D168" s="51" t="s">
        <v>150</v>
      </c>
      <c r="E168" s="51" t="e" cm="1">
        <f t="array" ref="E168">MMS_PastureBeef_Soil_N2ODirect_Equations.VEERG_4_2_1_3__3_NitrogenExcreted(E55,E152,E160,E128,E21)</f>
        <v>#VALUE!</v>
      </c>
      <c r="F168" s="51" t="e" cm="1">
        <f t="array" ref="F168">MMS_PastureBeef_Soil_N2ODirect_Equations.VEERG_4_2_1_3__3_NitrogenExcreted(F55,F152,F160,F128,F21)</f>
        <v>#REF!</v>
      </c>
      <c r="G168" s="51" t="e" cm="1">
        <f t="array" ref="G168">MMS_PastureBeef_Soil_N2ODirect_Equations.VEERG_4_2_1_3__3_NitrogenExcreted(G55,G152,G160,G128,G21)</f>
        <v>#VALUE!</v>
      </c>
      <c r="H168" s="51" t="e" cm="1">
        <f t="array" ref="H168">MMS_PastureBeef_Soil_N2ODirect_Equations.VEERG_4_2_1_3__3_NitrogenExcreted(H55,H152,H160,H128,H21)</f>
        <v>#REF!</v>
      </c>
      <c r="I168" s="51" t="e" cm="1">
        <f t="array" ref="I168">MMS_PastureBeef_Soil_N2ODirect_Equations.VEERG_4_2_1_3__3_NitrogenExcreted(I55,I152,I160,I128,I21)</f>
        <v>#REF!</v>
      </c>
      <c r="J168" s="51" t="e" cm="1">
        <f t="array" ref="J168">MMS_PastureBeef_Soil_N2ODirect_Equations.VEERG_4_2_1_3__3_NitrogenExcreted(J55,J152,J160,J128,J21)</f>
        <v>#REF!</v>
      </c>
      <c r="K168" s="51" t="e" cm="1">
        <f t="array" ref="K168">MMS_PastureBeef_Soil_N2ODirect_Equations.VEERG_4_2_1_3__3_NitrogenExcreted(K55,K152,K160,K128,K21)</f>
        <v>#REF!</v>
      </c>
      <c r="L168" s="51" t="e" cm="1">
        <f t="array" ref="L168">MMS_PastureBeef_Soil_N2ODirect_Equations.VEERG_4_2_1_3__3_NitrogenExcreted(L55,L152,L160,L128,L21)</f>
        <v>#REF!</v>
      </c>
      <c r="M168" s="51" t="e" cm="1">
        <f t="array" ref="M168">MMS_PastureBeef_Soil_N2ODirect_Equations.VEERG_4_2_1_3__3_NitrogenExcreted(M55,M152,M160,M128,M21)</f>
        <v>#REF!</v>
      </c>
      <c r="N168" s="51" t="e" cm="1">
        <f t="array" ref="N168">MMS_PastureBeef_Soil_N2ODirect_Equations.VEERG_4_2_1_3__3_NitrogenExcreted(N55,N152,N160,N128,N21)</f>
        <v>#REF!</v>
      </c>
      <c r="O168" s="2" t="str">
        <f t="shared" ref="O168:O170" si="8">$E$140</f>
        <v>kg N/head/day</v>
      </c>
    </row>
    <row r="169" spans="3:31" ht="20.100000000000001" customHeight="1" x14ac:dyDescent="0.25">
      <c r="D169" s="51" t="s">
        <v>151</v>
      </c>
      <c r="E169" s="51" t="e" cm="1">
        <f t="array" ref="E169">MMS_PastureBeef_Soil_N2ODirect_Equations.VEERG_4_2_1_3__3_NitrogenExcreted(E56,E153,E161,E129,E22)</f>
        <v>#REF!</v>
      </c>
      <c r="F169" s="51" t="e" cm="1">
        <f t="array" ref="F169">MMS_PastureBeef_Soil_N2ODirect_Equations.VEERG_4_2_1_3__3_NitrogenExcreted(F56,F153,F161,F129,F22)</f>
        <v>#REF!</v>
      </c>
      <c r="G169" s="51" t="e" cm="1">
        <f t="array" ref="G169">MMS_PastureBeef_Soil_N2ODirect_Equations.VEERG_4_2_1_3__3_NitrogenExcreted(G56,G153,G161,G129,G22)</f>
        <v>#REF!</v>
      </c>
      <c r="H169" s="51" t="e" cm="1">
        <f t="array" ref="H169">MMS_PastureBeef_Soil_N2ODirect_Equations.VEERG_4_2_1_3__3_NitrogenExcreted(H56,H153,H161,H129,H22)</f>
        <v>#REF!</v>
      </c>
      <c r="I169" s="51" t="e" cm="1">
        <f t="array" ref="I169">MMS_PastureBeef_Soil_N2ODirect_Equations.VEERG_4_2_1_3__3_NitrogenExcreted(I56,I153,I161,I129,I22)</f>
        <v>#REF!</v>
      </c>
      <c r="J169" s="51" t="e" cm="1">
        <f t="array" ref="J169">MMS_PastureBeef_Soil_N2ODirect_Equations.VEERG_4_2_1_3__3_NitrogenExcreted(J56,J153,J161,J129,J22)</f>
        <v>#REF!</v>
      </c>
      <c r="K169" s="51" t="e" cm="1">
        <f t="array" ref="K169">MMS_PastureBeef_Soil_N2ODirect_Equations.VEERG_4_2_1_3__3_NitrogenExcreted(K56,K153,K161,K129,K22)</f>
        <v>#REF!</v>
      </c>
      <c r="L169" s="51" t="e" cm="1">
        <f t="array" ref="L169">MMS_PastureBeef_Soil_N2ODirect_Equations.VEERG_4_2_1_3__3_NitrogenExcreted(L56,L153,L161,L129,L22)</f>
        <v>#REF!</v>
      </c>
      <c r="M169" s="51" t="e" cm="1">
        <f t="array" ref="M169">MMS_PastureBeef_Soil_N2ODirect_Equations.VEERG_4_2_1_3__3_NitrogenExcreted(M56,M153,M161,M129,M22)</f>
        <v>#REF!</v>
      </c>
      <c r="N169" s="51" t="e" cm="1">
        <f t="array" ref="N169">MMS_PastureBeef_Soil_N2ODirect_Equations.VEERG_4_2_1_3__3_NitrogenExcreted(N56,N153,N161,N129,N22)</f>
        <v>#REF!</v>
      </c>
      <c r="O169" s="2" t="str">
        <f t="shared" si="8"/>
        <v>kg N/head/day</v>
      </c>
      <c r="T169" s="98" t="s">
        <v>189</v>
      </c>
      <c r="U169" s="106" t="s">
        <v>190</v>
      </c>
    </row>
    <row r="170" spans="3:31" ht="20.100000000000001" customHeight="1" x14ac:dyDescent="0.25">
      <c r="D170" s="51" t="s">
        <v>152</v>
      </c>
      <c r="E170" s="51" t="e" cm="1">
        <f t="array" ref="E170">MMS_PastureBeef_Soil_N2ODirect_Equations.VEERG_4_2_1_3__3_NitrogenExcreted(E57,E154,E162,E130,E23)</f>
        <v>#REF!</v>
      </c>
      <c r="F170" s="51" t="e" cm="1">
        <f t="array" ref="F170">MMS_PastureBeef_Soil_N2ODirect_Equations.VEERG_4_2_1_3__3_NitrogenExcreted(F57,F154,F162,F130,F23)</f>
        <v>#REF!</v>
      </c>
      <c r="G170" s="51" t="e" cm="1">
        <f t="array" ref="G170">MMS_PastureBeef_Soil_N2ODirect_Equations.VEERG_4_2_1_3__3_NitrogenExcreted(G57,G154,G162,G130,G23)</f>
        <v>#REF!</v>
      </c>
      <c r="H170" s="51" t="e" cm="1">
        <f t="array" ref="H170">MMS_PastureBeef_Soil_N2ODirect_Equations.VEERG_4_2_1_3__3_NitrogenExcreted(H57,H154,H162,H130,H23)</f>
        <v>#REF!</v>
      </c>
      <c r="I170" s="51" t="e" cm="1">
        <f t="array" ref="I170">MMS_PastureBeef_Soil_N2ODirect_Equations.VEERG_4_2_1_3__3_NitrogenExcreted(I57,I154,I162,I130,I23)</f>
        <v>#REF!</v>
      </c>
      <c r="J170" s="51" t="e" cm="1">
        <f t="array" ref="J170">MMS_PastureBeef_Soil_N2ODirect_Equations.VEERG_4_2_1_3__3_NitrogenExcreted(J57,J154,J162,J130,J23)</f>
        <v>#REF!</v>
      </c>
      <c r="K170" s="51" t="e" cm="1">
        <f t="array" ref="K170">MMS_PastureBeef_Soil_N2ODirect_Equations.VEERG_4_2_1_3__3_NitrogenExcreted(K57,K154,K162,K130,K23)</f>
        <v>#REF!</v>
      </c>
      <c r="L170" s="51" t="e" cm="1">
        <f t="array" ref="L170">MMS_PastureBeef_Soil_N2ODirect_Equations.VEERG_4_2_1_3__3_NitrogenExcreted(L57,L154,L162,L130,L23)</f>
        <v>#REF!</v>
      </c>
      <c r="M170" s="51" t="e" cm="1">
        <f t="array" ref="M170">MMS_PastureBeef_Soil_N2ODirect_Equations.VEERG_4_2_1_3__3_NitrogenExcreted(M57,M154,M162,M130,M23)</f>
        <v>#REF!</v>
      </c>
      <c r="N170" s="51" t="e" cm="1">
        <f t="array" ref="N170">MMS_PastureBeef_Soil_N2ODirect_Equations.VEERG_4_2_1_3__3_NitrogenExcreted(N57,N154,N162,N130,N23)</f>
        <v>#REF!</v>
      </c>
      <c r="O170" s="2" t="str">
        <f t="shared" si="8"/>
        <v>kg N/head/day</v>
      </c>
      <c r="T170" s="97" t="s">
        <v>205</v>
      </c>
    </row>
    <row r="171" spans="3:31" ht="20.100000000000001" customHeight="1" x14ac:dyDescent="0.25">
      <c r="T171" s="50" t="s">
        <v>119</v>
      </c>
      <c r="U171" s="50" t="s">
        <v>118</v>
      </c>
      <c r="V171" s="50" t="s">
        <v>117</v>
      </c>
      <c r="W171" s="50" t="s">
        <v>141</v>
      </c>
      <c r="X171" s="50" t="s">
        <v>142</v>
      </c>
      <c r="Y171" s="50" t="s">
        <v>143</v>
      </c>
      <c r="Z171" s="50" t="s">
        <v>144</v>
      </c>
      <c r="AA171" s="50" t="s">
        <v>145</v>
      </c>
      <c r="AB171" s="50" t="s">
        <v>146</v>
      </c>
      <c r="AC171" s="50" t="s">
        <v>147</v>
      </c>
      <c r="AD171" s="50" t="s">
        <v>148</v>
      </c>
    </row>
    <row r="172" spans="3:31" ht="20.100000000000001" customHeight="1" x14ac:dyDescent="0.25">
      <c r="T172" s="51" t="str">
        <f>TEXT('Input - Site'!$E$12, "mmmm yyyy")</f>
        <v>January 2024</v>
      </c>
      <c r="U172" s="51" t="e">
        <f>AVERAGE($X100:$Z100)</f>
        <v>#REF!</v>
      </c>
      <c r="V172" s="51">
        <v>0</v>
      </c>
      <c r="W172" s="51" t="e">
        <f t="shared" ref="W172:W183" si="9">AVERAGE($X100:$Z100)</f>
        <v>#REF!</v>
      </c>
      <c r="X172" s="51">
        <v>0</v>
      </c>
      <c r="Y172" s="51">
        <v>0</v>
      </c>
      <c r="Z172" s="51">
        <v>0</v>
      </c>
      <c r="AA172" s="51" t="e">
        <f t="shared" ref="AA172:AA183" si="10">AVERAGE($X100:$Z100)</f>
        <v>#REF!</v>
      </c>
      <c r="AB172" s="51">
        <v>0</v>
      </c>
      <c r="AC172" s="51">
        <v>0</v>
      </c>
      <c r="AD172" s="51">
        <v>0</v>
      </c>
      <c r="AE172" s="2" t="s">
        <v>121</v>
      </c>
    </row>
    <row r="173" spans="3:31" ht="20.100000000000001" customHeight="1" x14ac:dyDescent="0.25"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T173" s="51" t="str">
        <f>TEXT(EDATE('Input - Site'!$E$12,1), "mmmm yyyy")</f>
        <v>February 2024</v>
      </c>
      <c r="U173" s="51" t="e">
        <f t="shared" ref="U173:U183" si="11">AVERAGE($X101:$Z101)</f>
        <v>#REF!</v>
      </c>
      <c r="V173" s="51">
        <v>0</v>
      </c>
      <c r="W173" s="51" t="e">
        <f t="shared" si="9"/>
        <v>#REF!</v>
      </c>
      <c r="X173" s="51">
        <v>0</v>
      </c>
      <c r="Y173" s="51">
        <v>0</v>
      </c>
      <c r="Z173" s="51">
        <v>0</v>
      </c>
      <c r="AA173" s="51" t="e">
        <f t="shared" si="10"/>
        <v>#REF!</v>
      </c>
      <c r="AB173" s="51">
        <v>0</v>
      </c>
      <c r="AC173" s="51">
        <v>0</v>
      </c>
      <c r="AD173" s="51">
        <v>0</v>
      </c>
      <c r="AE173" s="2" t="s">
        <v>121</v>
      </c>
    </row>
    <row r="174" spans="3:31" ht="20.100000000000001" customHeight="1" x14ac:dyDescent="0.25">
      <c r="D174" s="6" t="str" cm="1">
        <f t="array" ref="D174">MMS_PastureBeef_Soil_N2ODirect_Equations.VEERG_4_2_1_3__2_TotalNitrogenExcretedToPastureRangeAndPaddock_Title()</f>
        <v>Total nitrogen excreted to pasture, range and paddock</v>
      </c>
      <c r="T174" s="51" t="str">
        <f>TEXT(EDATE('Input - Site'!$E$12,2), "mmmm yyyy")</f>
        <v>March 2024</v>
      </c>
      <c r="U174" s="51" t="e">
        <f t="shared" si="11"/>
        <v>#REF!</v>
      </c>
      <c r="V174" s="51">
        <v>0</v>
      </c>
      <c r="W174" s="51" t="e">
        <f t="shared" si="9"/>
        <v>#REF!</v>
      </c>
      <c r="X174" s="51">
        <v>0</v>
      </c>
      <c r="Y174" s="51">
        <v>0</v>
      </c>
      <c r="Z174" s="51">
        <v>0</v>
      </c>
      <c r="AA174" s="51" t="e">
        <f t="shared" si="10"/>
        <v>#REF!</v>
      </c>
      <c r="AB174" s="51">
        <v>0</v>
      </c>
      <c r="AC174" s="51">
        <v>0</v>
      </c>
      <c r="AD174" s="51">
        <v>0</v>
      </c>
      <c r="AE174" s="2" t="s">
        <v>121</v>
      </c>
    </row>
    <row r="175" spans="3:31" ht="20.100000000000001" customHeight="1" x14ac:dyDescent="0.25">
      <c r="D175" s="5" t="str" cm="1">
        <f t="array" ref="D175">MMS_PastureBeef_Soil_N2ODirect_Equations.VEERG_4_2_1_3__2_TotalNitrogenExcretedToPastureRangeAndPaddock_Source()</f>
        <v>VEERG 2026: 4.2.1.3, Equation (2)</v>
      </c>
      <c r="T175" s="51" t="str">
        <f>TEXT(EDATE('Input - Site'!$E$12,3), "mmmm yyyy")</f>
        <v>April 2024</v>
      </c>
      <c r="U175" s="51" t="e">
        <f t="shared" si="11"/>
        <v>#REF!</v>
      </c>
      <c r="V175" s="51">
        <v>0</v>
      </c>
      <c r="W175" s="51" t="e">
        <f t="shared" si="9"/>
        <v>#REF!</v>
      </c>
      <c r="X175" s="51">
        <v>0</v>
      </c>
      <c r="Y175" s="51">
        <v>0</v>
      </c>
      <c r="Z175" s="51">
        <v>0</v>
      </c>
      <c r="AA175" s="51" t="e">
        <f t="shared" si="10"/>
        <v>#REF!</v>
      </c>
      <c r="AB175" s="51">
        <v>0</v>
      </c>
      <c r="AC175" s="51">
        <v>0</v>
      </c>
      <c r="AD175" s="51">
        <v>0</v>
      </c>
      <c r="AE175" s="2" t="s">
        <v>121</v>
      </c>
    </row>
    <row r="176" spans="3:31" ht="20.100000000000001" customHeight="1" x14ac:dyDescent="0.25">
      <c r="D176" s="13" t="s">
        <v>26</v>
      </c>
      <c r="E176" s="13" t="str" cm="1">
        <f t="array" aca="1" ref="E176" ca="1">Common_InputFunctions.Utility_DisplayFunctionName($E$205)</f>
        <v>=MMS_PastureBeef_Soil_N2ODirect_Equations.VEERG_4_2_1_3__2_TotalNitrogenExcretedToPastureRangeAndPaddock</v>
      </c>
      <c r="T176" s="51" t="str">
        <f>TEXT(EDATE('Input - Site'!$E$12,4), "mmmm yyyy")</f>
        <v>May 2024</v>
      </c>
      <c r="U176" s="51" t="e">
        <f t="shared" si="11"/>
        <v>#REF!</v>
      </c>
      <c r="V176" s="51">
        <v>0</v>
      </c>
      <c r="W176" s="51" t="e">
        <f t="shared" si="9"/>
        <v>#REF!</v>
      </c>
      <c r="X176" s="51">
        <v>0</v>
      </c>
      <c r="Y176" s="51">
        <v>0</v>
      </c>
      <c r="Z176" s="51">
        <v>0</v>
      </c>
      <c r="AA176" s="51" t="e">
        <f t="shared" si="10"/>
        <v>#REF!</v>
      </c>
      <c r="AB176" s="51">
        <v>0</v>
      </c>
      <c r="AC176" s="51">
        <v>0</v>
      </c>
      <c r="AD176" s="51">
        <v>0</v>
      </c>
      <c r="AE176" s="2" t="s">
        <v>121</v>
      </c>
    </row>
    <row r="177" spans="4:31" ht="20.100000000000001" customHeight="1" x14ac:dyDescent="0.25">
      <c r="T177" s="51" t="str">
        <f>TEXT(EDATE('Input - Site'!$E$12,5), "mmmm yyyy")</f>
        <v>June 2024</v>
      </c>
      <c r="U177" s="51" t="e">
        <f t="shared" si="11"/>
        <v>#REF!</v>
      </c>
      <c r="V177" s="51">
        <v>0</v>
      </c>
      <c r="W177" s="51" t="e">
        <f t="shared" si="9"/>
        <v>#REF!</v>
      </c>
      <c r="X177" s="51">
        <v>0</v>
      </c>
      <c r="Y177" s="51">
        <v>0</v>
      </c>
      <c r="Z177" s="51">
        <v>0</v>
      </c>
      <c r="AA177" s="51" t="e">
        <f t="shared" si="10"/>
        <v>#REF!</v>
      </c>
      <c r="AB177" s="51">
        <v>0</v>
      </c>
      <c r="AC177" s="51">
        <v>0</v>
      </c>
      <c r="AD177" s="51">
        <v>0</v>
      </c>
      <c r="AE177" s="2" t="s">
        <v>121</v>
      </c>
    </row>
    <row r="178" spans="4:31" ht="20.100000000000001" customHeight="1" x14ac:dyDescent="0.25">
      <c r="T178" s="51" t="str">
        <f>TEXT(EDATE('Input - Site'!$E$12,6), "mmmm yyyy")</f>
        <v>July 2024</v>
      </c>
      <c r="U178" s="51" t="e">
        <f t="shared" si="11"/>
        <v>#REF!</v>
      </c>
      <c r="V178" s="51">
        <v>0</v>
      </c>
      <c r="W178" s="51" t="e">
        <f t="shared" si="9"/>
        <v>#REF!</v>
      </c>
      <c r="X178" s="51">
        <v>0</v>
      </c>
      <c r="Y178" s="51">
        <v>0</v>
      </c>
      <c r="Z178" s="51">
        <v>0</v>
      </c>
      <c r="AA178" s="51" t="e">
        <f t="shared" si="10"/>
        <v>#REF!</v>
      </c>
      <c r="AB178" s="51">
        <v>0</v>
      </c>
      <c r="AC178" s="51">
        <v>0</v>
      </c>
      <c r="AD178" s="51">
        <v>0</v>
      </c>
      <c r="AE178" s="2" t="s">
        <v>121</v>
      </c>
    </row>
    <row r="179" spans="4:31" ht="20.100000000000001" customHeight="1" x14ac:dyDescent="0.25">
      <c r="D179" s="52" t="s">
        <v>29</v>
      </c>
      <c r="E179" s="1" t="str" cm="1">
        <f t="array" ref="E179">MMS_PastureBeef_Soil_N2ODirect_Equations.VEERG_4_2_1_3__2_TotalNitrogenExcretedToPastureRangeAndPaddock_Variable()</f>
        <v>AE</v>
      </c>
      <c r="T179" s="51" t="str">
        <f>TEXT(EDATE('Input - Site'!$E$12,7), "mmmm yyyy")</f>
        <v>August 2024</v>
      </c>
      <c r="U179" s="51" t="e">
        <f t="shared" si="11"/>
        <v>#REF!</v>
      </c>
      <c r="V179" s="51">
        <v>0</v>
      </c>
      <c r="W179" s="51" t="e">
        <f t="shared" si="9"/>
        <v>#REF!</v>
      </c>
      <c r="X179" s="51">
        <v>0</v>
      </c>
      <c r="Y179" s="51">
        <v>0</v>
      </c>
      <c r="Z179" s="51">
        <v>0</v>
      </c>
      <c r="AA179" s="51" t="e">
        <f t="shared" si="10"/>
        <v>#REF!</v>
      </c>
      <c r="AB179" s="51">
        <v>0</v>
      </c>
      <c r="AC179" s="51">
        <v>0</v>
      </c>
      <c r="AD179" s="51">
        <v>0</v>
      </c>
      <c r="AE179" s="2" t="s">
        <v>121</v>
      </c>
    </row>
    <row r="180" spans="4:31" ht="20.100000000000001" customHeight="1" x14ac:dyDescent="0.25">
      <c r="D180" s="52" t="s">
        <v>19</v>
      </c>
      <c r="E180" s="53" t="str" cm="1">
        <f t="array" ref="E180">MMS_PastureBeef_Soil_N2ODirect_Equations.VEERG_4_2_1_3__2_TotalNitrogenExcretedToPastureRangeAndPaddock_Unit()</f>
        <v>kg N</v>
      </c>
      <c r="T180" s="51" t="str">
        <f>TEXT(EDATE('Input - Site'!$E$12,8), "mmmm yyyy")</f>
        <v>September 2024</v>
      </c>
      <c r="U180" s="51" t="e">
        <f t="shared" si="11"/>
        <v>#REF!</v>
      </c>
      <c r="V180" s="51">
        <v>0</v>
      </c>
      <c r="W180" s="51" t="e">
        <f t="shared" si="9"/>
        <v>#REF!</v>
      </c>
      <c r="X180" s="51">
        <v>0</v>
      </c>
      <c r="Y180" s="51">
        <v>0</v>
      </c>
      <c r="Z180" s="51">
        <v>0</v>
      </c>
      <c r="AA180" s="51" t="e">
        <f t="shared" si="10"/>
        <v>#REF!</v>
      </c>
      <c r="AB180" s="51">
        <v>0</v>
      </c>
      <c r="AC180" s="51">
        <v>0</v>
      </c>
      <c r="AD180" s="51">
        <v>0</v>
      </c>
      <c r="AE180" s="2" t="s">
        <v>121</v>
      </c>
    </row>
    <row r="181" spans="4:31" ht="20.100000000000001" customHeight="1" x14ac:dyDescent="0.25">
      <c r="T181" s="51" t="str">
        <f>TEXT(EDATE('Input - Site'!$E$12,9), "mmmm yyyy")</f>
        <v>October 2024</v>
      </c>
      <c r="U181" s="51" t="e">
        <f t="shared" si="11"/>
        <v>#REF!</v>
      </c>
      <c r="V181" s="51">
        <v>0</v>
      </c>
      <c r="W181" s="51" t="e">
        <f t="shared" si="9"/>
        <v>#REF!</v>
      </c>
      <c r="X181" s="51">
        <v>0</v>
      </c>
      <c r="Y181" s="51">
        <v>0</v>
      </c>
      <c r="Z181" s="51">
        <v>0</v>
      </c>
      <c r="AA181" s="51" t="e">
        <f t="shared" si="10"/>
        <v>#REF!</v>
      </c>
      <c r="AB181" s="51">
        <v>0</v>
      </c>
      <c r="AC181" s="51">
        <v>0</v>
      </c>
      <c r="AD181" s="51">
        <v>0</v>
      </c>
      <c r="AE181" s="2" t="s">
        <v>121</v>
      </c>
    </row>
    <row r="182" spans="4:31" ht="20.100000000000001" customHeight="1" x14ac:dyDescent="0.25">
      <c r="D182" s="56" t="str" cm="1">
        <f t="array" ref="D182:E184">MMS_PastureBeef_Soil_N2ODirect_Equations.VEERG_4_2_1_3__2_TotalNitrogenExcretedToPastureRangeAndPaddock_Arguments()</f>
        <v>N_jkl</v>
      </c>
      <c r="E182" s="57" t="str">
        <v>number of beef cattle by time-period, class and subclass (head)</v>
      </c>
      <c r="F182" s="99"/>
      <c r="G182" s="58"/>
      <c r="H182" s="56" t="str">
        <f>"See " &amp; $D$186</f>
        <v>See M1_Table_N_j_k_l</v>
      </c>
      <c r="T182" s="51" t="str">
        <f>TEXT(EDATE('Input - Site'!$E$12,10), "mmmm yyyy")</f>
        <v>November 2024</v>
      </c>
      <c r="U182" s="51" t="e">
        <f t="shared" si="11"/>
        <v>#REF!</v>
      </c>
      <c r="V182" s="51">
        <v>0</v>
      </c>
      <c r="W182" s="51" t="e">
        <f t="shared" si="9"/>
        <v>#REF!</v>
      </c>
      <c r="X182" s="51">
        <v>0</v>
      </c>
      <c r="Y182" s="51">
        <v>0</v>
      </c>
      <c r="Z182" s="51">
        <v>0</v>
      </c>
      <c r="AA182" s="51" t="e">
        <f t="shared" si="10"/>
        <v>#REF!</v>
      </c>
      <c r="AB182" s="51">
        <v>0</v>
      </c>
      <c r="AC182" s="51">
        <v>0</v>
      </c>
      <c r="AD182" s="51">
        <v>0</v>
      </c>
      <c r="AE182" s="2" t="s">
        <v>121</v>
      </c>
    </row>
    <row r="183" spans="4:31" ht="20.100000000000001" customHeight="1" x14ac:dyDescent="0.25">
      <c r="D183" s="56" t="str">
        <v>NE_jkl</v>
      </c>
      <c r="E183" s="57" t="str">
        <v>nitrogen excreted in each time-period, by each class and subclass (kg N/head/day)</v>
      </c>
      <c r="F183" s="99"/>
      <c r="G183" s="58"/>
      <c r="H183" s="56" t="str">
        <f>"See " &amp; $D$164</f>
        <v>See M1_Table_NE_j_k_l</v>
      </c>
      <c r="T183" s="51" t="str">
        <f>TEXT(EDATE('Input - Site'!$E$12,11), "mmmm yyyy")</f>
        <v>December 2024</v>
      </c>
      <c r="U183" s="51" t="e">
        <f t="shared" si="11"/>
        <v>#REF!</v>
      </c>
      <c r="V183" s="51">
        <v>0</v>
      </c>
      <c r="W183" s="51" t="e">
        <f t="shared" si="9"/>
        <v>#REF!</v>
      </c>
      <c r="X183" s="51">
        <v>0</v>
      </c>
      <c r="Y183" s="51">
        <v>0</v>
      </c>
      <c r="Z183" s="51">
        <v>0</v>
      </c>
      <c r="AA183" s="51" t="e">
        <f t="shared" si="10"/>
        <v>#REF!</v>
      </c>
      <c r="AB183" s="51">
        <v>0</v>
      </c>
      <c r="AC183" s="51">
        <v>0</v>
      </c>
      <c r="AD183" s="51">
        <v>0</v>
      </c>
      <c r="AE183" s="2" t="s">
        <v>121</v>
      </c>
    </row>
    <row r="184" spans="4:31" ht="20.100000000000001" customHeight="1" x14ac:dyDescent="0.25">
      <c r="D184" s="56" t="str">
        <v>D_j</v>
      </c>
      <c r="E184" s="57" t="str">
        <v>number of days in each time-period (days)</v>
      </c>
      <c r="F184" s="99"/>
      <c r="G184" s="58"/>
      <c r="H184" s="56" t="str">
        <f>"See " &amp; $D$194</f>
        <v>See M1_Table_D_j</v>
      </c>
    </row>
    <row r="185" spans="4:31" ht="20.100000000000001" customHeight="1" x14ac:dyDescent="0.25">
      <c r="T185" s="98" t="s">
        <v>208</v>
      </c>
    </row>
    <row r="186" spans="4:31" ht="20.100000000000001" customHeight="1" x14ac:dyDescent="0.25">
      <c r="D186" s="98" t="s">
        <v>168</v>
      </c>
      <c r="T186" s="97" t="s">
        <v>209</v>
      </c>
    </row>
    <row r="187" spans="4:31" ht="20.100000000000001" customHeight="1" x14ac:dyDescent="0.25">
      <c r="D187" s="97" t="s">
        <v>169</v>
      </c>
      <c r="T187" s="50" t="s">
        <v>119</v>
      </c>
      <c r="U187" s="50" t="s">
        <v>118</v>
      </c>
      <c r="V187" s="50" t="s">
        <v>117</v>
      </c>
      <c r="W187" s="50" t="s">
        <v>141</v>
      </c>
      <c r="X187" s="50" t="s">
        <v>142</v>
      </c>
      <c r="Y187" s="50" t="s">
        <v>143</v>
      </c>
      <c r="Z187" s="50" t="s">
        <v>144</v>
      </c>
      <c r="AA187" s="50" t="s">
        <v>145</v>
      </c>
      <c r="AB187" s="50" t="s">
        <v>146</v>
      </c>
      <c r="AC187" s="50" t="s">
        <v>147</v>
      </c>
      <c r="AD187" s="50" t="s">
        <v>148</v>
      </c>
    </row>
    <row r="188" spans="4:31" ht="20.100000000000001" customHeight="1" x14ac:dyDescent="0.25">
      <c r="D188" s="50" t="s">
        <v>153</v>
      </c>
      <c r="E188" s="50" t="s">
        <v>118</v>
      </c>
      <c r="F188" s="50" t="s">
        <v>117</v>
      </c>
      <c r="G188" s="50" t="s">
        <v>141</v>
      </c>
      <c r="H188" s="50" t="s">
        <v>142</v>
      </c>
      <c r="I188" s="50" t="s">
        <v>143</v>
      </c>
      <c r="J188" s="50" t="s">
        <v>144</v>
      </c>
      <c r="K188" s="50" t="s">
        <v>145</v>
      </c>
      <c r="L188" s="50" t="s">
        <v>146</v>
      </c>
      <c r="M188" s="50" t="s">
        <v>147</v>
      </c>
      <c r="N188" s="50" t="s">
        <v>148</v>
      </c>
      <c r="T188" s="51" t="str">
        <f>TEXT('Input - Site'!$E$12, "mmmm yyyy")</f>
        <v>January 2024</v>
      </c>
      <c r="U188" s="51" t="e" cm="1">
        <f t="array" ref="U188">MMS_PastureBeef_Soil_N2ODirect_Equations.VEERG_4_2_1_3__3_NitrogenExcreted(U56,U156,U172,U136,U20)</f>
        <v>#REF!</v>
      </c>
      <c r="V188" s="51" t="e" cm="1">
        <f t="array" ref="V188">MMS_PastureBeef_Soil_N2ODirect_Equations.VEERG_4_2_1_3__3_NitrogenExcreted(V56,V156,V172,V136,V20)</f>
        <v>#REF!</v>
      </c>
      <c r="W188" s="51" t="e" cm="1">
        <f t="array" ref="W188">MMS_PastureBeef_Soil_N2ODirect_Equations.VEERG_4_2_1_3__3_NitrogenExcreted(W56,W156,W172,W136,W20)</f>
        <v>#REF!</v>
      </c>
      <c r="X188" s="51" t="e" cm="1">
        <f t="array" ref="X188">MMS_PastureBeef_Soil_N2ODirect_Equations.VEERG_4_2_1_3__3_NitrogenExcreted(X56,X156,X172,X136,X20)</f>
        <v>#REF!</v>
      </c>
      <c r="Y188" s="51" t="e" cm="1">
        <f t="array" ref="Y188">MMS_PastureBeef_Soil_N2ODirect_Equations.VEERG_4_2_1_3__3_NitrogenExcreted(Y56,Y156,Y172,Y136,Y20)</f>
        <v>#REF!</v>
      </c>
      <c r="Z188" s="51" t="e" cm="1">
        <f t="array" ref="Z188">MMS_PastureBeef_Soil_N2ODirect_Equations.VEERG_4_2_1_3__3_NitrogenExcreted(Z56,Z156,Z172,Z136,Z20)</f>
        <v>#REF!</v>
      </c>
      <c r="AA188" s="51" t="e" cm="1">
        <f t="array" ref="AA188">MMS_PastureBeef_Soil_N2ODirect_Equations.VEERG_4_2_1_3__3_NitrogenExcreted(AA56,AA156,AA172,AA136,AA20)</f>
        <v>#REF!</v>
      </c>
      <c r="AB188" s="51" t="e" cm="1">
        <f t="array" ref="AB188">MMS_PastureBeef_Soil_N2ODirect_Equations.VEERG_4_2_1_3__3_NitrogenExcreted(AB56,AB156,AB172,AB136,AB20)</f>
        <v>#REF!</v>
      </c>
      <c r="AC188" s="51" t="e" cm="1">
        <f t="array" ref="AC188">MMS_PastureBeef_Soil_N2ODirect_Equations.VEERG_4_2_1_3__3_NitrogenExcreted(AC56,AC156,AC172,AC136,AC20)</f>
        <v>#REF!</v>
      </c>
      <c r="AD188" s="51" t="e" cm="1">
        <f t="array" ref="AD188">MMS_PastureBeef_Soil_N2ODirect_Equations.VEERG_4_2_1_3__3_NitrogenExcreted(AD56,AD156,AD172,AD136,AD20)</f>
        <v>#REF!</v>
      </c>
      <c r="AE188" s="2" t="str">
        <f t="shared" ref="AE188:AE199" si="12">$E$140</f>
        <v>kg N/head/day</v>
      </c>
    </row>
    <row r="189" spans="4:31" ht="20.100000000000001" customHeight="1" x14ac:dyDescent="0.25">
      <c r="D189" s="51" t="s">
        <v>149</v>
      </c>
      <c r="E189" s="51">
        <f>'Input - Swine'!E107</f>
        <v>0</v>
      </c>
      <c r="F189" s="51">
        <f>'Input - Swine'!F107</f>
        <v>0</v>
      </c>
      <c r="G189" s="51">
        <f>'Input - Swine'!G107</f>
        <v>0</v>
      </c>
      <c r="H189" s="51">
        <f>'Input - Swine'!H107</f>
        <v>0</v>
      </c>
      <c r="I189" s="51">
        <f>'Input - Swine'!I107</f>
        <v>0</v>
      </c>
      <c r="J189" s="51">
        <f>'Input - Swine'!J107</f>
        <v>0</v>
      </c>
      <c r="K189" s="51">
        <f>'Input - Swine'!K116</f>
        <v>0</v>
      </c>
      <c r="L189" s="51">
        <f>'Input - Swine'!L116</f>
        <v>0</v>
      </c>
      <c r="M189" s="51">
        <f>'Input - Swine'!M116</f>
        <v>0</v>
      </c>
      <c r="N189" s="51">
        <f>'Input - Swine'!N96</f>
        <v>0</v>
      </c>
      <c r="O189" s="2" t="s">
        <v>100</v>
      </c>
      <c r="T189" s="51" t="str">
        <f>TEXT(EDATE('Input - Site'!$E$12,1), "mmmm yyyy")</f>
        <v>February 2024</v>
      </c>
      <c r="U189" s="51" t="e" cm="1">
        <f t="array" ref="U189">MMS_PastureBeef_Soil_N2ODirect_Equations.VEERG_4_2_1_3__3_NitrogenExcreted(U57,U157,U173,U137,U21)</f>
        <v>#REF!</v>
      </c>
      <c r="V189" s="51" t="e" cm="1">
        <f t="array" ref="V189">MMS_PastureBeef_Soil_N2ODirect_Equations.VEERG_4_2_1_3__3_NitrogenExcreted(V57,V157,V173,V137,V21)</f>
        <v>#REF!</v>
      </c>
      <c r="W189" s="51" t="e" cm="1">
        <f t="array" ref="W189">MMS_PastureBeef_Soil_N2ODirect_Equations.VEERG_4_2_1_3__3_NitrogenExcreted(W57,W157,W173,W137,W21)</f>
        <v>#REF!</v>
      </c>
      <c r="X189" s="51" t="e" cm="1">
        <f t="array" ref="X189">MMS_PastureBeef_Soil_N2ODirect_Equations.VEERG_4_2_1_3__3_NitrogenExcreted(X57,X157,X173,X137,X21)</f>
        <v>#REF!</v>
      </c>
      <c r="Y189" s="51" t="e" cm="1">
        <f t="array" ref="Y189">MMS_PastureBeef_Soil_N2ODirect_Equations.VEERG_4_2_1_3__3_NitrogenExcreted(Y57,Y157,Y173,Y137,Y21)</f>
        <v>#REF!</v>
      </c>
      <c r="Z189" s="51" t="e" cm="1">
        <f t="array" ref="Z189">MMS_PastureBeef_Soil_N2ODirect_Equations.VEERG_4_2_1_3__3_NitrogenExcreted(Z57,Z157,Z173,Z137,Z21)</f>
        <v>#REF!</v>
      </c>
      <c r="AA189" s="51" t="e" cm="1">
        <f t="array" ref="AA189">MMS_PastureBeef_Soil_N2ODirect_Equations.VEERG_4_2_1_3__3_NitrogenExcreted(AA57,AA157,AA173,AA137,AA21)</f>
        <v>#REF!</v>
      </c>
      <c r="AB189" s="51" t="e" cm="1">
        <f t="array" ref="AB189">MMS_PastureBeef_Soil_N2ODirect_Equations.VEERG_4_2_1_3__3_NitrogenExcreted(AB57,AB157,AB173,AB137,AB21)</f>
        <v>#REF!</v>
      </c>
      <c r="AC189" s="51" t="e" cm="1">
        <f t="array" ref="AC189">MMS_PastureBeef_Soil_N2ODirect_Equations.VEERG_4_2_1_3__3_NitrogenExcreted(AC57,AC157,AC173,AC137,AC21)</f>
        <v>#REF!</v>
      </c>
      <c r="AD189" s="51" t="e" cm="1">
        <f t="array" ref="AD189">MMS_PastureBeef_Soil_N2ODirect_Equations.VEERG_4_2_1_3__3_NitrogenExcreted(AD57,AD157,AD173,AD137,AD21)</f>
        <v>#REF!</v>
      </c>
      <c r="AE189" s="2" t="str">
        <f t="shared" si="12"/>
        <v>kg N/head/day</v>
      </c>
    </row>
    <row r="190" spans="4:31" ht="20.100000000000001" customHeight="1" x14ac:dyDescent="0.25">
      <c r="D190" s="51" t="s">
        <v>150</v>
      </c>
      <c r="E190" s="51">
        <f>'Input - Swine'!E108</f>
        <v>0</v>
      </c>
      <c r="F190" s="51">
        <f>'Input - Swine'!F108</f>
        <v>0</v>
      </c>
      <c r="G190" s="51">
        <f>'Input - Swine'!G108</f>
        <v>0</v>
      </c>
      <c r="H190" s="51">
        <f>'Input - Swine'!H108</f>
        <v>0</v>
      </c>
      <c r="I190" s="51">
        <f>'Input - Swine'!I108</f>
        <v>0</v>
      </c>
      <c r="J190" s="51">
        <f>'Input - Swine'!J108</f>
        <v>0</v>
      </c>
      <c r="K190" s="51">
        <f>'Input - Swine'!K117</f>
        <v>0</v>
      </c>
      <c r="L190" s="51">
        <f>'Input - Swine'!L117</f>
        <v>0</v>
      </c>
      <c r="M190" s="51">
        <f>'Input - Swine'!M117</f>
        <v>0</v>
      </c>
      <c r="N190" s="51">
        <f>'Input - Swine'!N97</f>
        <v>0</v>
      </c>
      <c r="O190" s="2" t="s">
        <v>100</v>
      </c>
      <c r="T190" s="51" t="str">
        <f>TEXT(EDATE('Input - Site'!$E$12,2), "mmmm yyyy")</f>
        <v>March 2024</v>
      </c>
      <c r="U190" s="51" t="e" cm="1">
        <f t="array" ref="U190">MMS_PastureBeef_Soil_N2ODirect_Equations.VEERG_4_2_1_3__3_NitrogenExcreted(U58,U158,U174,U138,U22)</f>
        <v>#REF!</v>
      </c>
      <c r="V190" s="51" t="e" cm="1">
        <f t="array" ref="V190">MMS_PastureBeef_Soil_N2ODirect_Equations.VEERG_4_2_1_3__3_NitrogenExcreted(V58,V158,V174,V138,V22)</f>
        <v>#REF!</v>
      </c>
      <c r="W190" s="51" t="e" cm="1">
        <f t="array" ref="W190">MMS_PastureBeef_Soil_N2ODirect_Equations.VEERG_4_2_1_3__3_NitrogenExcreted(W58,W158,W174,W138,W22)</f>
        <v>#REF!</v>
      </c>
      <c r="X190" s="51" t="e" cm="1">
        <f t="array" ref="X190">MMS_PastureBeef_Soil_N2ODirect_Equations.VEERG_4_2_1_3__3_NitrogenExcreted(X58,X158,X174,X138,X22)</f>
        <v>#REF!</v>
      </c>
      <c r="Y190" s="51" t="e" cm="1">
        <f t="array" ref="Y190">MMS_PastureBeef_Soil_N2ODirect_Equations.VEERG_4_2_1_3__3_NitrogenExcreted(Y58,Y158,Y174,Y138,Y22)</f>
        <v>#REF!</v>
      </c>
      <c r="Z190" s="51" t="e" cm="1">
        <f t="array" ref="Z190">MMS_PastureBeef_Soil_N2ODirect_Equations.VEERG_4_2_1_3__3_NitrogenExcreted(Z58,Z158,Z174,Z138,Z22)</f>
        <v>#REF!</v>
      </c>
      <c r="AA190" s="51" t="e" cm="1">
        <f t="array" ref="AA190">MMS_PastureBeef_Soil_N2ODirect_Equations.VEERG_4_2_1_3__3_NitrogenExcreted(AA58,AA158,AA174,AA138,AA22)</f>
        <v>#REF!</v>
      </c>
      <c r="AB190" s="51" t="e" cm="1">
        <f t="array" ref="AB190">MMS_PastureBeef_Soil_N2ODirect_Equations.VEERG_4_2_1_3__3_NitrogenExcreted(AB58,AB158,AB174,AB138,AB22)</f>
        <v>#REF!</v>
      </c>
      <c r="AC190" s="51" t="e" cm="1">
        <f t="array" ref="AC190">MMS_PastureBeef_Soil_N2ODirect_Equations.VEERG_4_2_1_3__3_NitrogenExcreted(AC58,AC158,AC174,AC138,AC22)</f>
        <v>#REF!</v>
      </c>
      <c r="AD190" s="51" t="e" cm="1">
        <f t="array" ref="AD190">MMS_PastureBeef_Soil_N2ODirect_Equations.VEERG_4_2_1_3__3_NitrogenExcreted(AD58,AD158,AD174,AD138,AD22)</f>
        <v>#REF!</v>
      </c>
      <c r="AE190" s="2" t="str">
        <f t="shared" si="12"/>
        <v>kg N/head/day</v>
      </c>
    </row>
    <row r="191" spans="4:31" ht="20.100000000000001" customHeight="1" x14ac:dyDescent="0.25">
      <c r="D191" s="51" t="s">
        <v>151</v>
      </c>
      <c r="E191" s="51">
        <f>'Input - Swine'!E109</f>
        <v>0</v>
      </c>
      <c r="F191" s="51">
        <f>'Input - Swine'!F109</f>
        <v>0</v>
      </c>
      <c r="G191" s="51">
        <f>'Input - Swine'!G109</f>
        <v>0</v>
      </c>
      <c r="H191" s="51">
        <f>'Input - Swine'!H109</f>
        <v>0</v>
      </c>
      <c r="I191" s="51">
        <f>'Input - Swine'!I109</f>
        <v>0</v>
      </c>
      <c r="J191" s="51">
        <f>'Input - Swine'!J109</f>
        <v>0</v>
      </c>
      <c r="K191" s="51">
        <f>'Input - Swine'!K118</f>
        <v>0</v>
      </c>
      <c r="L191" s="51">
        <f>'Input - Swine'!L118</f>
        <v>0</v>
      </c>
      <c r="M191" s="51">
        <f>'Input - Swine'!M118</f>
        <v>0</v>
      </c>
      <c r="N191" s="51">
        <f>'Input - Swine'!N98</f>
        <v>0</v>
      </c>
      <c r="O191" s="2" t="s">
        <v>100</v>
      </c>
      <c r="T191" s="51" t="str">
        <f>TEXT(EDATE('Input - Site'!$E$12,3), "mmmm yyyy")</f>
        <v>April 2024</v>
      </c>
      <c r="U191" s="51" t="e" cm="1">
        <f t="array" ref="U191">MMS_PastureBeef_Soil_N2ODirect_Equations.VEERG_4_2_1_3__3_NitrogenExcreted(U59,U159,U175,U139,U23)</f>
        <v>#REF!</v>
      </c>
      <c r="V191" s="51" t="e" cm="1">
        <f t="array" ref="V191">MMS_PastureBeef_Soil_N2ODirect_Equations.VEERG_4_2_1_3__3_NitrogenExcreted(V59,V159,V175,V139,V23)</f>
        <v>#REF!</v>
      </c>
      <c r="W191" s="51" t="e" cm="1">
        <f t="array" ref="W191">MMS_PastureBeef_Soil_N2ODirect_Equations.VEERG_4_2_1_3__3_NitrogenExcreted(W59,W159,W175,W139,W23)</f>
        <v>#REF!</v>
      </c>
      <c r="X191" s="51" t="e" cm="1">
        <f t="array" ref="X191">MMS_PastureBeef_Soil_N2ODirect_Equations.VEERG_4_2_1_3__3_NitrogenExcreted(X59,X159,X175,X139,X23)</f>
        <v>#REF!</v>
      </c>
      <c r="Y191" s="51" t="e" cm="1">
        <f t="array" ref="Y191">MMS_PastureBeef_Soil_N2ODirect_Equations.VEERG_4_2_1_3__3_NitrogenExcreted(Y59,Y159,Y175,Y139,Y23)</f>
        <v>#REF!</v>
      </c>
      <c r="Z191" s="51" t="e" cm="1">
        <f t="array" ref="Z191">MMS_PastureBeef_Soil_N2ODirect_Equations.VEERG_4_2_1_3__3_NitrogenExcreted(Z59,Z159,Z175,Z139,Z23)</f>
        <v>#REF!</v>
      </c>
      <c r="AA191" s="51" t="e" cm="1">
        <f t="array" ref="AA191">MMS_PastureBeef_Soil_N2ODirect_Equations.VEERG_4_2_1_3__3_NitrogenExcreted(AA59,AA159,AA175,AA139,AA23)</f>
        <v>#REF!</v>
      </c>
      <c r="AB191" s="51" t="e" cm="1">
        <f t="array" ref="AB191">MMS_PastureBeef_Soil_N2ODirect_Equations.VEERG_4_2_1_3__3_NitrogenExcreted(AB59,AB159,AB175,AB139,AB23)</f>
        <v>#REF!</v>
      </c>
      <c r="AC191" s="51" t="e" cm="1">
        <f t="array" ref="AC191">MMS_PastureBeef_Soil_N2ODirect_Equations.VEERG_4_2_1_3__3_NitrogenExcreted(AC59,AC159,AC175,AC139,AC23)</f>
        <v>#REF!</v>
      </c>
      <c r="AD191" s="51" t="e" cm="1">
        <f t="array" ref="AD191">MMS_PastureBeef_Soil_N2ODirect_Equations.VEERG_4_2_1_3__3_NitrogenExcreted(AD59,AD159,AD175,AD139,AD23)</f>
        <v>#REF!</v>
      </c>
      <c r="AE191" s="2" t="str">
        <f t="shared" si="12"/>
        <v>kg N/head/day</v>
      </c>
    </row>
    <row r="192" spans="4:31" ht="20.100000000000001" customHeight="1" x14ac:dyDescent="0.25">
      <c r="D192" s="51" t="s">
        <v>152</v>
      </c>
      <c r="E192" s="51">
        <f>'Input - Swine'!E110</f>
        <v>0</v>
      </c>
      <c r="F192" s="51">
        <f>'Input - Swine'!F110</f>
        <v>0</v>
      </c>
      <c r="G192" s="51">
        <f>'Input - Swine'!G110</f>
        <v>0</v>
      </c>
      <c r="H192" s="51">
        <f>'Input - Swine'!H110</f>
        <v>0</v>
      </c>
      <c r="I192" s="51">
        <f>'Input - Swine'!I110</f>
        <v>0</v>
      </c>
      <c r="J192" s="51">
        <f>'Input - Swine'!J110</f>
        <v>0</v>
      </c>
      <c r="K192" s="51">
        <f>'Input - Swine'!K119</f>
        <v>0</v>
      </c>
      <c r="L192" s="51">
        <f>'Input - Swine'!L119</f>
        <v>0</v>
      </c>
      <c r="M192" s="51">
        <f>'Input - Swine'!M119</f>
        <v>0</v>
      </c>
      <c r="N192" s="51">
        <f>'Input - Swine'!N99</f>
        <v>0</v>
      </c>
      <c r="O192" s="2" t="s">
        <v>100</v>
      </c>
      <c r="T192" s="51" t="str">
        <f>TEXT(EDATE('Input - Site'!$E$12,4), "mmmm yyyy")</f>
        <v>May 2024</v>
      </c>
      <c r="U192" s="51" t="e" cm="1">
        <f t="array" ref="U192">MMS_PastureBeef_Soil_N2ODirect_Equations.VEERG_4_2_1_3__3_NitrogenExcreted(U60,U160,U176,U140,U24)</f>
        <v>#REF!</v>
      </c>
      <c r="V192" s="51" t="e" cm="1">
        <f t="array" ref="V192">MMS_PastureBeef_Soil_N2ODirect_Equations.VEERG_4_2_1_3__3_NitrogenExcreted(V60,V160,V176,V140,V24)</f>
        <v>#REF!</v>
      </c>
      <c r="W192" s="51" t="e" cm="1">
        <f t="array" ref="W192">MMS_PastureBeef_Soil_N2ODirect_Equations.VEERG_4_2_1_3__3_NitrogenExcreted(W60,W160,W176,W140,W24)</f>
        <v>#REF!</v>
      </c>
      <c r="X192" s="51" t="e" cm="1">
        <f t="array" ref="X192">MMS_PastureBeef_Soil_N2ODirect_Equations.VEERG_4_2_1_3__3_NitrogenExcreted(X60,X160,X176,X140,X24)</f>
        <v>#REF!</v>
      </c>
      <c r="Y192" s="51" t="e" cm="1">
        <f t="array" ref="Y192">MMS_PastureBeef_Soil_N2ODirect_Equations.VEERG_4_2_1_3__3_NitrogenExcreted(Y60,Y160,Y176,Y140,Y24)</f>
        <v>#REF!</v>
      </c>
      <c r="Z192" s="51" t="e" cm="1">
        <f t="array" ref="Z192">MMS_PastureBeef_Soil_N2ODirect_Equations.VEERG_4_2_1_3__3_NitrogenExcreted(Z60,Z160,Z176,Z140,Z24)</f>
        <v>#REF!</v>
      </c>
      <c r="AA192" s="51" t="e" cm="1">
        <f t="array" ref="AA192">MMS_PastureBeef_Soil_N2ODirect_Equations.VEERG_4_2_1_3__3_NitrogenExcreted(AA60,AA160,AA176,AA140,AA24)</f>
        <v>#REF!</v>
      </c>
      <c r="AB192" s="51" t="e" cm="1">
        <f t="array" ref="AB192">MMS_PastureBeef_Soil_N2ODirect_Equations.VEERG_4_2_1_3__3_NitrogenExcreted(AB60,AB160,AB176,AB140,AB24)</f>
        <v>#REF!</v>
      </c>
      <c r="AC192" s="51" t="e" cm="1">
        <f t="array" ref="AC192">MMS_PastureBeef_Soil_N2ODirect_Equations.VEERG_4_2_1_3__3_NitrogenExcreted(AC60,AC160,AC176,AC140,AC24)</f>
        <v>#REF!</v>
      </c>
      <c r="AD192" s="51" t="e" cm="1">
        <f t="array" ref="AD192">MMS_PastureBeef_Soil_N2ODirect_Equations.VEERG_4_2_1_3__3_NitrogenExcreted(AD60,AD160,AD176,AD140,AD24)</f>
        <v>#REF!</v>
      </c>
      <c r="AE192" s="2" t="str">
        <f t="shared" si="12"/>
        <v>kg N/head/day</v>
      </c>
    </row>
    <row r="193" spans="4:32" ht="20.100000000000001" customHeight="1" x14ac:dyDescent="0.25">
      <c r="T193" s="51" t="str">
        <f>TEXT(EDATE('Input - Site'!$E$12,5), "mmmm yyyy")</f>
        <v>June 2024</v>
      </c>
      <c r="U193" s="51" t="e" cm="1">
        <f t="array" ref="U193">MMS_PastureBeef_Soil_N2ODirect_Equations.VEERG_4_2_1_3__3_NitrogenExcreted(U61,U161,U177,U141,U25)</f>
        <v>#REF!</v>
      </c>
      <c r="V193" s="51" t="e" cm="1">
        <f t="array" ref="V193">MMS_PastureBeef_Soil_N2ODirect_Equations.VEERG_4_2_1_3__3_NitrogenExcreted(V61,V161,V177,V141,V25)</f>
        <v>#REF!</v>
      </c>
      <c r="W193" s="51" t="e" cm="1">
        <f t="array" ref="W193">MMS_PastureBeef_Soil_N2ODirect_Equations.VEERG_4_2_1_3__3_NitrogenExcreted(W61,W161,W177,W141,W25)</f>
        <v>#REF!</v>
      </c>
      <c r="X193" s="51" t="e" cm="1">
        <f t="array" ref="X193">MMS_PastureBeef_Soil_N2ODirect_Equations.VEERG_4_2_1_3__3_NitrogenExcreted(X61,X161,X177,X141,X25)</f>
        <v>#REF!</v>
      </c>
      <c r="Y193" s="51" t="e" cm="1">
        <f t="array" ref="Y193">MMS_PastureBeef_Soil_N2ODirect_Equations.VEERG_4_2_1_3__3_NitrogenExcreted(Y61,Y161,Y177,Y141,Y25)</f>
        <v>#REF!</v>
      </c>
      <c r="Z193" s="51" t="e" cm="1">
        <f t="array" ref="Z193">MMS_PastureBeef_Soil_N2ODirect_Equations.VEERG_4_2_1_3__3_NitrogenExcreted(Z61,Z161,Z177,Z141,Z25)</f>
        <v>#REF!</v>
      </c>
      <c r="AA193" s="51" t="e" cm="1">
        <f t="array" ref="AA193">MMS_PastureBeef_Soil_N2ODirect_Equations.VEERG_4_2_1_3__3_NitrogenExcreted(AA61,AA161,AA177,AA141,AA25)</f>
        <v>#REF!</v>
      </c>
      <c r="AB193" s="51" t="e" cm="1">
        <f t="array" ref="AB193">MMS_PastureBeef_Soil_N2ODirect_Equations.VEERG_4_2_1_3__3_NitrogenExcreted(AB61,AB161,AB177,AB141,AB25)</f>
        <v>#REF!</v>
      </c>
      <c r="AC193" s="51" t="e" cm="1">
        <f t="array" ref="AC193">MMS_PastureBeef_Soil_N2ODirect_Equations.VEERG_4_2_1_3__3_NitrogenExcreted(AC61,AC161,AC177,AC141,AC25)</f>
        <v>#REF!</v>
      </c>
      <c r="AD193" s="51" t="e" cm="1">
        <f t="array" ref="AD193">MMS_PastureBeef_Soil_N2ODirect_Equations.VEERG_4_2_1_3__3_NitrogenExcreted(AD61,AD161,AD177,AD141,AD25)</f>
        <v>#REF!</v>
      </c>
      <c r="AE193" s="2" t="str">
        <f t="shared" si="12"/>
        <v>kg N/head/day</v>
      </c>
    </row>
    <row r="194" spans="4:32" ht="20.100000000000001" customHeight="1" x14ac:dyDescent="0.25">
      <c r="D194" s="98" t="s">
        <v>126</v>
      </c>
      <c r="T194" s="51" t="str">
        <f>TEXT(EDATE('Input - Site'!$E$12,6), "mmmm yyyy")</f>
        <v>July 2024</v>
      </c>
      <c r="U194" s="51" t="e" cm="1">
        <f t="array" ref="U194">MMS_PastureBeef_Soil_N2ODirect_Equations.VEERG_4_2_1_3__3_NitrogenExcreted(U62,U162,U178,U142,U26)</f>
        <v>#REF!</v>
      </c>
      <c r="V194" s="51" t="e" cm="1">
        <f t="array" ref="V194">MMS_PastureBeef_Soil_N2ODirect_Equations.VEERG_4_2_1_3__3_NitrogenExcreted(V62,V162,V178,V142,V26)</f>
        <v>#REF!</v>
      </c>
      <c r="W194" s="51" t="e" cm="1">
        <f t="array" ref="W194">MMS_PastureBeef_Soil_N2ODirect_Equations.VEERG_4_2_1_3__3_NitrogenExcreted(W62,W162,W178,W142,W26)</f>
        <v>#REF!</v>
      </c>
      <c r="X194" s="51" t="e" cm="1">
        <f t="array" ref="X194">MMS_PastureBeef_Soil_N2ODirect_Equations.VEERG_4_2_1_3__3_NitrogenExcreted(X62,X162,X178,X142,X26)</f>
        <v>#REF!</v>
      </c>
      <c r="Y194" s="51" t="e" cm="1">
        <f t="array" ref="Y194">MMS_PastureBeef_Soil_N2ODirect_Equations.VEERG_4_2_1_3__3_NitrogenExcreted(Y62,Y162,Y178,Y142,Y26)</f>
        <v>#REF!</v>
      </c>
      <c r="Z194" s="51" t="e" cm="1">
        <f t="array" ref="Z194">MMS_PastureBeef_Soil_N2ODirect_Equations.VEERG_4_2_1_3__3_NitrogenExcreted(Z62,Z162,Z178,Z142,Z26)</f>
        <v>#REF!</v>
      </c>
      <c r="AA194" s="51" t="e" cm="1">
        <f t="array" ref="AA194">MMS_PastureBeef_Soil_N2ODirect_Equations.VEERG_4_2_1_3__3_NitrogenExcreted(AA62,AA162,AA178,AA142,AA26)</f>
        <v>#REF!</v>
      </c>
      <c r="AB194" s="51" t="e" cm="1">
        <f t="array" ref="AB194">MMS_PastureBeef_Soil_N2ODirect_Equations.VEERG_4_2_1_3__3_NitrogenExcreted(AB62,AB162,AB178,AB142,AB26)</f>
        <v>#REF!</v>
      </c>
      <c r="AC194" s="51" t="e" cm="1">
        <f t="array" ref="AC194">MMS_PastureBeef_Soil_N2ODirect_Equations.VEERG_4_2_1_3__3_NitrogenExcreted(AC62,AC162,AC178,AC142,AC26)</f>
        <v>#REF!</v>
      </c>
      <c r="AD194" s="51" t="e" cm="1">
        <f t="array" ref="AD194">MMS_PastureBeef_Soil_N2ODirect_Equations.VEERG_4_2_1_3__3_NitrogenExcreted(AD62,AD162,AD178,AD142,AD26)</f>
        <v>#REF!</v>
      </c>
      <c r="AE194" s="2" t="str">
        <f t="shared" si="12"/>
        <v>kg N/head/day</v>
      </c>
    </row>
    <row r="195" spans="4:32" ht="20.100000000000001" customHeight="1" x14ac:dyDescent="0.25">
      <c r="D195" s="97" t="s">
        <v>170</v>
      </c>
      <c r="T195" s="51" t="str">
        <f>TEXT(EDATE('Input - Site'!$E$12,7), "mmmm yyyy")</f>
        <v>August 2024</v>
      </c>
      <c r="U195" s="51" t="e" cm="1">
        <f t="array" ref="U195">MMS_PastureBeef_Soil_N2ODirect_Equations.VEERG_4_2_1_3__3_NitrogenExcreted(U63,U163,U179,U143,U27)</f>
        <v>#REF!</v>
      </c>
      <c r="V195" s="51" t="e" cm="1">
        <f t="array" ref="V195">MMS_PastureBeef_Soil_N2ODirect_Equations.VEERG_4_2_1_3__3_NitrogenExcreted(V63,V163,V179,V143,V27)</f>
        <v>#REF!</v>
      </c>
      <c r="W195" s="51" t="e" cm="1">
        <f t="array" ref="W195">MMS_PastureBeef_Soil_N2ODirect_Equations.VEERG_4_2_1_3__3_NitrogenExcreted(W63,W163,W179,W143,W27)</f>
        <v>#REF!</v>
      </c>
      <c r="X195" s="51" t="e" cm="1">
        <f t="array" ref="X195">MMS_PastureBeef_Soil_N2ODirect_Equations.VEERG_4_2_1_3__3_NitrogenExcreted(X63,X163,X179,X143,X27)</f>
        <v>#REF!</v>
      </c>
      <c r="Y195" s="51" t="e" cm="1">
        <f t="array" ref="Y195">MMS_PastureBeef_Soil_N2ODirect_Equations.VEERG_4_2_1_3__3_NitrogenExcreted(Y63,Y163,Y179,Y143,Y27)</f>
        <v>#REF!</v>
      </c>
      <c r="Z195" s="51" t="e" cm="1">
        <f t="array" ref="Z195">MMS_PastureBeef_Soil_N2ODirect_Equations.VEERG_4_2_1_3__3_NitrogenExcreted(Z63,Z163,Z179,Z143,Z27)</f>
        <v>#REF!</v>
      </c>
      <c r="AA195" s="51" t="e" cm="1">
        <f t="array" ref="AA195">MMS_PastureBeef_Soil_N2ODirect_Equations.VEERG_4_2_1_3__3_NitrogenExcreted(AA63,AA163,AA179,AA143,AA27)</f>
        <v>#REF!</v>
      </c>
      <c r="AB195" s="51" t="e" cm="1">
        <f t="array" ref="AB195">MMS_PastureBeef_Soil_N2ODirect_Equations.VEERG_4_2_1_3__3_NitrogenExcreted(AB63,AB163,AB179,AB143,AB27)</f>
        <v>#REF!</v>
      </c>
      <c r="AC195" s="51" t="e" cm="1">
        <f t="array" ref="AC195">MMS_PastureBeef_Soil_N2ODirect_Equations.VEERG_4_2_1_3__3_NitrogenExcreted(AC63,AC163,AC179,AC143,AC27)</f>
        <v>#REF!</v>
      </c>
      <c r="AD195" s="51" t="e" cm="1">
        <f t="array" ref="AD195">MMS_PastureBeef_Soil_N2ODirect_Equations.VEERG_4_2_1_3__3_NitrogenExcreted(AD63,AD163,AD179,AD143,AD27)</f>
        <v>#REF!</v>
      </c>
      <c r="AE195" s="2" t="str">
        <f t="shared" si="12"/>
        <v>kg N/head/day</v>
      </c>
    </row>
    <row r="196" spans="4:32" ht="20.100000000000001" customHeight="1" x14ac:dyDescent="0.25">
      <c r="D196" s="50" t="s">
        <v>153</v>
      </c>
      <c r="E196" s="50" t="s">
        <v>118</v>
      </c>
      <c r="F196" s="50" t="s">
        <v>117</v>
      </c>
      <c r="G196" s="50" t="s">
        <v>141</v>
      </c>
      <c r="H196" s="50" t="s">
        <v>142</v>
      </c>
      <c r="I196" s="50" t="s">
        <v>143</v>
      </c>
      <c r="J196" s="50" t="s">
        <v>144</v>
      </c>
      <c r="K196" s="50" t="s">
        <v>145</v>
      </c>
      <c r="L196" s="50" t="s">
        <v>146</v>
      </c>
      <c r="M196" s="50" t="s">
        <v>147</v>
      </c>
      <c r="N196" s="50" t="s">
        <v>148</v>
      </c>
      <c r="T196" s="51" t="str">
        <f>TEXT(EDATE('Input - Site'!$E$12,8), "mmmm yyyy")</f>
        <v>September 2024</v>
      </c>
      <c r="U196" s="51" t="e" cm="1">
        <f t="array" ref="U196">MMS_PastureBeef_Soil_N2ODirect_Equations.VEERG_4_2_1_3__3_NitrogenExcreted(U64,U164,U180,U144,U28)</f>
        <v>#REF!</v>
      </c>
      <c r="V196" s="51" t="e" cm="1">
        <f t="array" ref="V196">MMS_PastureBeef_Soil_N2ODirect_Equations.VEERG_4_2_1_3__3_NitrogenExcreted(V64,V164,V180,V144,V28)</f>
        <v>#REF!</v>
      </c>
      <c r="W196" s="51" t="e" cm="1">
        <f t="array" ref="W196">MMS_PastureBeef_Soil_N2ODirect_Equations.VEERG_4_2_1_3__3_NitrogenExcreted(W64,W164,W180,W144,W28)</f>
        <v>#REF!</v>
      </c>
      <c r="X196" s="51" t="e" cm="1">
        <f t="array" ref="X196">MMS_PastureBeef_Soil_N2ODirect_Equations.VEERG_4_2_1_3__3_NitrogenExcreted(X64,X164,X180,X144,X28)</f>
        <v>#REF!</v>
      </c>
      <c r="Y196" s="51" t="e" cm="1">
        <f t="array" ref="Y196">MMS_PastureBeef_Soil_N2ODirect_Equations.VEERG_4_2_1_3__3_NitrogenExcreted(Y64,Y164,Y180,Y144,Y28)</f>
        <v>#REF!</v>
      </c>
      <c r="Z196" s="51" t="e" cm="1">
        <f t="array" ref="Z196">MMS_PastureBeef_Soil_N2ODirect_Equations.VEERG_4_2_1_3__3_NitrogenExcreted(Z64,Z164,Z180,Z144,Z28)</f>
        <v>#REF!</v>
      </c>
      <c r="AA196" s="51" t="e" cm="1">
        <f t="array" ref="AA196">MMS_PastureBeef_Soil_N2ODirect_Equations.VEERG_4_2_1_3__3_NitrogenExcreted(AA64,AA164,AA180,AA144,AA28)</f>
        <v>#REF!</v>
      </c>
      <c r="AB196" s="51" t="e" cm="1">
        <f t="array" ref="AB196">MMS_PastureBeef_Soil_N2ODirect_Equations.VEERG_4_2_1_3__3_NitrogenExcreted(AB64,AB164,AB180,AB144,AB28)</f>
        <v>#REF!</v>
      </c>
      <c r="AC196" s="51" t="e" cm="1">
        <f t="array" ref="AC196">MMS_PastureBeef_Soil_N2ODirect_Equations.VEERG_4_2_1_3__3_NitrogenExcreted(AC64,AC164,AC180,AC144,AC28)</f>
        <v>#REF!</v>
      </c>
      <c r="AD196" s="51" t="e" cm="1">
        <f t="array" ref="AD196">MMS_PastureBeef_Soil_N2ODirect_Equations.VEERG_4_2_1_3__3_NitrogenExcreted(AD64,AD164,AD180,AD144,AD28)</f>
        <v>#REF!</v>
      </c>
      <c r="AE196" s="2" t="str">
        <f t="shared" si="12"/>
        <v>kg N/head/day</v>
      </c>
    </row>
    <row r="197" spans="4:32" ht="20.100000000000001" customHeight="1" x14ac:dyDescent="0.25">
      <c r="D197" s="51" t="s">
        <v>149</v>
      </c>
      <c r="E197" s="51">
        <f>'Input - Swine'!E16</f>
        <v>0</v>
      </c>
      <c r="F197" s="51">
        <f>'Input - Swine'!F16</f>
        <v>0</v>
      </c>
      <c r="G197" s="51">
        <f>'Input - Swine'!G16</f>
        <v>0</v>
      </c>
      <c r="H197" s="51">
        <f>'Input - Swine'!H16</f>
        <v>0</v>
      </c>
      <c r="I197" s="51">
        <f>'Input - Swine'!I16</f>
        <v>0</v>
      </c>
      <c r="J197" s="51">
        <f>'Input - Swine'!J16</f>
        <v>0</v>
      </c>
      <c r="K197" s="51">
        <f>'Input - Swine'!K16</f>
        <v>0</v>
      </c>
      <c r="L197" s="51">
        <f>'Input - Swine'!L16</f>
        <v>0</v>
      </c>
      <c r="M197" s="51">
        <f>'Input - Swine'!M16</f>
        <v>0</v>
      </c>
      <c r="N197" s="51">
        <f>'Input - Swine'!N16</f>
        <v>0</v>
      </c>
      <c r="O197" s="2" t="s">
        <v>171</v>
      </c>
      <c r="T197" s="51" t="str">
        <f>TEXT(EDATE('Input - Site'!$E$12,9), "mmmm yyyy")</f>
        <v>October 2024</v>
      </c>
      <c r="U197" s="51" t="e" cm="1">
        <f t="array" ref="U197">MMS_PastureBeef_Soil_N2ODirect_Equations.VEERG_4_2_1_3__3_NitrogenExcreted(U65,U165,U181,U145,U29)</f>
        <v>#REF!</v>
      </c>
      <c r="V197" s="51" t="e" cm="1">
        <f t="array" ref="V197">MMS_PastureBeef_Soil_N2ODirect_Equations.VEERG_4_2_1_3__3_NitrogenExcreted(V65,V165,V181,V145,V29)</f>
        <v>#REF!</v>
      </c>
      <c r="W197" s="51" t="e" cm="1">
        <f t="array" ref="W197">MMS_PastureBeef_Soil_N2ODirect_Equations.VEERG_4_2_1_3__3_NitrogenExcreted(W65,W165,W181,W145,W29)</f>
        <v>#REF!</v>
      </c>
      <c r="X197" s="51" t="e" cm="1">
        <f t="array" ref="X197">MMS_PastureBeef_Soil_N2ODirect_Equations.VEERG_4_2_1_3__3_NitrogenExcreted(X65,X165,X181,X145,X29)</f>
        <v>#REF!</v>
      </c>
      <c r="Y197" s="51" t="e" cm="1">
        <f t="array" ref="Y197">MMS_PastureBeef_Soil_N2ODirect_Equations.VEERG_4_2_1_3__3_NitrogenExcreted(Y65,Y165,Y181,Y145,Y29)</f>
        <v>#REF!</v>
      </c>
      <c r="Z197" s="51" t="e" cm="1">
        <f t="array" ref="Z197">MMS_PastureBeef_Soil_N2ODirect_Equations.VEERG_4_2_1_3__3_NitrogenExcreted(Z65,Z165,Z181,Z145,Z29)</f>
        <v>#REF!</v>
      </c>
      <c r="AA197" s="51" t="e" cm="1">
        <f t="array" ref="AA197">MMS_PastureBeef_Soil_N2ODirect_Equations.VEERG_4_2_1_3__3_NitrogenExcreted(AA65,AA165,AA181,AA145,AA29)</f>
        <v>#REF!</v>
      </c>
      <c r="AB197" s="51" t="e" cm="1">
        <f t="array" ref="AB197">MMS_PastureBeef_Soil_N2ODirect_Equations.VEERG_4_2_1_3__3_NitrogenExcreted(AB65,AB165,AB181,AB145,AB29)</f>
        <v>#REF!</v>
      </c>
      <c r="AC197" s="51" t="e" cm="1">
        <f t="array" ref="AC197">MMS_PastureBeef_Soil_N2ODirect_Equations.VEERG_4_2_1_3__3_NitrogenExcreted(AC65,AC165,AC181,AC145,AC29)</f>
        <v>#REF!</v>
      </c>
      <c r="AD197" s="51" t="e" cm="1">
        <f t="array" ref="AD197">MMS_PastureBeef_Soil_N2ODirect_Equations.VEERG_4_2_1_3__3_NitrogenExcreted(AD65,AD165,AD181,AD145,AD29)</f>
        <v>#REF!</v>
      </c>
      <c r="AE197" s="2" t="str">
        <f t="shared" si="12"/>
        <v>kg N/head/day</v>
      </c>
    </row>
    <row r="198" spans="4:32" ht="20.100000000000001" customHeight="1" x14ac:dyDescent="0.25">
      <c r="D198" s="51" t="s">
        <v>150</v>
      </c>
      <c r="E198" s="51" t="e">
        <f>'Input - Swine'!#REF!</f>
        <v>#REF!</v>
      </c>
      <c r="F198" s="51" t="e">
        <f>'Input - Swine'!#REF!</f>
        <v>#REF!</v>
      </c>
      <c r="G198" s="51" t="e">
        <f>'Input - Swine'!#REF!</f>
        <v>#REF!</v>
      </c>
      <c r="H198" s="51" t="e">
        <f>'Input - Swine'!#REF!</f>
        <v>#REF!</v>
      </c>
      <c r="I198" s="51">
        <f>'Input - Swine'!G17</f>
        <v>0</v>
      </c>
      <c r="J198" s="51">
        <f>'Input - Swine'!H17</f>
        <v>0</v>
      </c>
      <c r="K198" s="51">
        <f>'Input - Swine'!I17</f>
        <v>0</v>
      </c>
      <c r="L198" s="51">
        <f>'Input - Swine'!J17</f>
        <v>0</v>
      </c>
      <c r="M198" s="51">
        <f>'Input - Swine'!K17</f>
        <v>0</v>
      </c>
      <c r="N198" s="51">
        <f>'Input - Swine'!L17</f>
        <v>0</v>
      </c>
      <c r="O198" s="2" t="s">
        <v>171</v>
      </c>
      <c r="T198" s="51" t="str">
        <f>TEXT(EDATE('Input - Site'!$E$12,10), "mmmm yyyy")</f>
        <v>November 2024</v>
      </c>
      <c r="U198" s="51" t="e" cm="1">
        <f t="array" ref="U198">MMS_PastureBeef_Soil_N2ODirect_Equations.VEERG_4_2_1_3__3_NitrogenExcreted(U66,U166,U182,U146,U30)</f>
        <v>#REF!</v>
      </c>
      <c r="V198" s="51" t="e" cm="1">
        <f t="array" ref="V198">MMS_PastureBeef_Soil_N2ODirect_Equations.VEERG_4_2_1_3__3_NitrogenExcreted(V66,V166,V182,V146,V30)</f>
        <v>#REF!</v>
      </c>
      <c r="W198" s="51" t="e" cm="1">
        <f t="array" ref="W198">MMS_PastureBeef_Soil_N2ODirect_Equations.VEERG_4_2_1_3__3_NitrogenExcreted(W66,W166,W182,W146,W30)</f>
        <v>#REF!</v>
      </c>
      <c r="X198" s="51" t="e" cm="1">
        <f t="array" ref="X198">MMS_PastureBeef_Soil_N2ODirect_Equations.VEERG_4_2_1_3__3_NitrogenExcreted(X66,X166,X182,X146,X30)</f>
        <v>#REF!</v>
      </c>
      <c r="Y198" s="51" t="e" cm="1">
        <f t="array" ref="Y198">MMS_PastureBeef_Soil_N2ODirect_Equations.VEERG_4_2_1_3__3_NitrogenExcreted(Y66,Y166,Y182,Y146,Y30)</f>
        <v>#REF!</v>
      </c>
      <c r="Z198" s="51" t="e" cm="1">
        <f t="array" ref="Z198">MMS_PastureBeef_Soil_N2ODirect_Equations.VEERG_4_2_1_3__3_NitrogenExcreted(Z66,Z166,Z182,Z146,Z30)</f>
        <v>#REF!</v>
      </c>
      <c r="AA198" s="51" t="e" cm="1">
        <f t="array" ref="AA198">MMS_PastureBeef_Soil_N2ODirect_Equations.VEERG_4_2_1_3__3_NitrogenExcreted(AA66,AA166,AA182,AA146,AA30)</f>
        <v>#REF!</v>
      </c>
      <c r="AB198" s="51" t="e" cm="1">
        <f t="array" ref="AB198">MMS_PastureBeef_Soil_N2ODirect_Equations.VEERG_4_2_1_3__3_NitrogenExcreted(AB66,AB166,AB182,AB146,AB30)</f>
        <v>#REF!</v>
      </c>
      <c r="AC198" s="51" t="e" cm="1">
        <f t="array" ref="AC198">MMS_PastureBeef_Soil_N2ODirect_Equations.VEERG_4_2_1_3__3_NitrogenExcreted(AC66,AC166,AC182,AC146,AC30)</f>
        <v>#REF!</v>
      </c>
      <c r="AD198" s="51" t="e" cm="1">
        <f t="array" ref="AD198">MMS_PastureBeef_Soil_N2ODirect_Equations.VEERG_4_2_1_3__3_NitrogenExcreted(AD66,AD166,AD182,AD146,AD30)</f>
        <v>#REF!</v>
      </c>
      <c r="AE198" s="2" t="str">
        <f t="shared" si="12"/>
        <v>kg N/head/day</v>
      </c>
    </row>
    <row r="199" spans="4:32" ht="20.100000000000001" customHeight="1" x14ac:dyDescent="0.25">
      <c r="D199" s="51" t="s">
        <v>151</v>
      </c>
      <c r="E199" s="51" t="e">
        <f>'Input - Swine'!#REF!</f>
        <v>#REF!</v>
      </c>
      <c r="F199" s="51" t="e">
        <f>'Input - Swine'!#REF!</f>
        <v>#REF!</v>
      </c>
      <c r="G199" s="51" t="e">
        <f>'Input - Swine'!#REF!</f>
        <v>#REF!</v>
      </c>
      <c r="H199" s="51" t="str">
        <f>'Input - Swine'!F17</f>
        <v>← Please select</v>
      </c>
      <c r="I199" s="51">
        <f>'Input - Swine'!G18</f>
        <v>0</v>
      </c>
      <c r="J199" s="51">
        <f>'Input - Swine'!H18</f>
        <v>0</v>
      </c>
      <c r="K199" s="51">
        <f>'Input - Swine'!I18</f>
        <v>0</v>
      </c>
      <c r="L199" s="51">
        <f>'Input - Swine'!J18</f>
        <v>0</v>
      </c>
      <c r="M199" s="51">
        <f>'Input - Swine'!K18</f>
        <v>0</v>
      </c>
      <c r="N199" s="51">
        <f>'Input - Swine'!L18</f>
        <v>0</v>
      </c>
      <c r="O199" s="2" t="s">
        <v>171</v>
      </c>
      <c r="T199" s="51" t="str">
        <f>TEXT(EDATE('Input - Site'!$E$12,11), "mmmm yyyy")</f>
        <v>December 2024</v>
      </c>
      <c r="U199" s="51" t="e" cm="1">
        <f t="array" ref="U199">MMS_PastureBeef_Soil_N2ODirect_Equations.VEERG_4_2_1_3__3_NitrogenExcreted(U67,U167,U183,U147,U31)</f>
        <v>#REF!</v>
      </c>
      <c r="V199" s="51" t="e" cm="1">
        <f t="array" ref="V199">MMS_PastureBeef_Soil_N2ODirect_Equations.VEERG_4_2_1_3__3_NitrogenExcreted(V67,V167,V183,V147,V31)</f>
        <v>#REF!</v>
      </c>
      <c r="W199" s="51" t="e" cm="1">
        <f t="array" ref="W199">MMS_PastureBeef_Soil_N2ODirect_Equations.VEERG_4_2_1_3__3_NitrogenExcreted(W67,W167,W183,W147,W31)</f>
        <v>#REF!</v>
      </c>
      <c r="X199" s="51" t="e" cm="1">
        <f t="array" ref="X199">MMS_PastureBeef_Soil_N2ODirect_Equations.VEERG_4_2_1_3__3_NitrogenExcreted(X67,X167,X183,X147,X31)</f>
        <v>#REF!</v>
      </c>
      <c r="Y199" s="51" t="e" cm="1">
        <f t="array" ref="Y199">MMS_PastureBeef_Soil_N2ODirect_Equations.VEERG_4_2_1_3__3_NitrogenExcreted(Y67,Y167,Y183,Y147,Y31)</f>
        <v>#REF!</v>
      </c>
      <c r="Z199" s="51" t="e" cm="1">
        <f t="array" ref="Z199">MMS_PastureBeef_Soil_N2ODirect_Equations.VEERG_4_2_1_3__3_NitrogenExcreted(Z67,Z167,Z183,Z147,Z31)</f>
        <v>#REF!</v>
      </c>
      <c r="AA199" s="51" t="e" cm="1">
        <f t="array" ref="AA199">MMS_PastureBeef_Soil_N2ODirect_Equations.VEERG_4_2_1_3__3_NitrogenExcreted(AA67,AA167,AA183,AA147,AA31)</f>
        <v>#REF!</v>
      </c>
      <c r="AB199" s="51" t="e" cm="1">
        <f t="array" ref="AB199">MMS_PastureBeef_Soil_N2ODirect_Equations.VEERG_4_2_1_3__3_NitrogenExcreted(AB67,AB167,AB183,AB147,AB31)</f>
        <v>#REF!</v>
      </c>
      <c r="AC199" s="51" t="e" cm="1">
        <f t="array" ref="AC199">MMS_PastureBeef_Soil_N2ODirect_Equations.VEERG_4_2_1_3__3_NitrogenExcreted(AC67,AC167,AC183,AC147,AC31)</f>
        <v>#REF!</v>
      </c>
      <c r="AD199" s="51" t="e" cm="1">
        <f t="array" ref="AD199">MMS_PastureBeef_Soil_N2ODirect_Equations.VEERG_4_2_1_3__3_NitrogenExcreted(AD67,AD167,AD183,AD147,AD31)</f>
        <v>#REF!</v>
      </c>
      <c r="AE199" s="2" t="str">
        <f t="shared" si="12"/>
        <v>kg N/head/day</v>
      </c>
    </row>
    <row r="200" spans="4:32" ht="20.100000000000001" customHeight="1" x14ac:dyDescent="0.25">
      <c r="D200" s="51" t="s">
        <v>152</v>
      </c>
      <c r="E200" s="51" t="e">
        <f>'Input - Swine'!#REF!</f>
        <v>#REF!</v>
      </c>
      <c r="F200" s="51" t="e">
        <f>'Input - Swine'!#REF!</f>
        <v>#REF!</v>
      </c>
      <c r="G200" s="51" t="e">
        <f>'Input - Swine'!#REF!</f>
        <v>#REF!</v>
      </c>
      <c r="H200" s="51" t="e">
        <f>'Input - Swine'!#REF!</f>
        <v>#REF!</v>
      </c>
      <c r="I200" s="51" t="e">
        <f>'Input - Swine'!#REF!</f>
        <v>#REF!</v>
      </c>
      <c r="J200" s="51" t="e">
        <f>'Input - Swine'!#REF!</f>
        <v>#REF!</v>
      </c>
      <c r="K200" s="51" t="e">
        <f>'Input - Swine'!#REF!</f>
        <v>#REF!</v>
      </c>
      <c r="L200" s="51" t="e">
        <f>'Input - Swine'!#REF!</f>
        <v>#REF!</v>
      </c>
      <c r="M200" s="51" t="e">
        <f>'Input - Swine'!#REF!</f>
        <v>#REF!</v>
      </c>
      <c r="N200" s="51" t="e">
        <f>'Input - Swine'!#REF!</f>
        <v>#REF!</v>
      </c>
      <c r="O200" s="2" t="s">
        <v>171</v>
      </c>
    </row>
    <row r="201" spans="4:32" ht="20.100000000000001" customHeight="1" x14ac:dyDescent="0.25"/>
    <row r="202" spans="4:32" ht="20.100000000000001" customHeight="1" x14ac:dyDescent="0.25">
      <c r="D202" s="98" t="s">
        <v>192</v>
      </c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</row>
    <row r="203" spans="4:32" ht="20.100000000000001" customHeight="1" x14ac:dyDescent="0.25">
      <c r="D203" s="97" t="s">
        <v>193</v>
      </c>
      <c r="T203" s="6" t="str" cm="1">
        <f t="array" ref="T203">MMS_PastureBeef_Soil_N2ODirect_Equations.VEERG_4_2_1_3__2_TotalNitrogenExcretedToPastureRangeAndPaddock_Title()</f>
        <v>Total nitrogen excreted to pasture, range and paddock</v>
      </c>
    </row>
    <row r="204" spans="4:32" ht="20.100000000000001" customHeight="1" x14ac:dyDescent="0.25">
      <c r="D204" s="50" t="s">
        <v>153</v>
      </c>
      <c r="E204" s="50" t="s">
        <v>118</v>
      </c>
      <c r="F204" s="50" t="s">
        <v>117</v>
      </c>
      <c r="G204" s="50" t="s">
        <v>141</v>
      </c>
      <c r="H204" s="50" t="s">
        <v>142</v>
      </c>
      <c r="I204" s="50" t="s">
        <v>143</v>
      </c>
      <c r="J204" s="50" t="s">
        <v>144</v>
      </c>
      <c r="K204" s="50" t="s">
        <v>145</v>
      </c>
      <c r="L204" s="50" t="s">
        <v>146</v>
      </c>
      <c r="M204" s="50" t="s">
        <v>147</v>
      </c>
      <c r="N204" s="50" t="s">
        <v>148</v>
      </c>
    </row>
    <row r="205" spans="4:32" ht="20.100000000000001" customHeight="1" x14ac:dyDescent="0.25">
      <c r="D205" s="51" t="s">
        <v>149</v>
      </c>
      <c r="E205" s="51" t="e" cm="1">
        <f t="array" ref="E205">MMS_PastureBeef_Soil_N2ODirect_Equations.VEERG_4_2_1_3__2_TotalNitrogenExcretedToPastureRangeAndPaddock(E189,E167,E197)</f>
        <v>#VALUE!</v>
      </c>
      <c r="F205" s="51" t="e" cm="1">
        <f t="array" ref="F205">MMS_PastureBeef_Soil_N2ODirect_Equations.VEERG_4_2_1_3__2_TotalNitrogenExcretedToPastureRangeAndPaddock(F189,F167,F197)</f>
        <v>#REF!</v>
      </c>
      <c r="G205" s="51" t="e" cm="1">
        <f t="array" ref="G205">MMS_PastureBeef_Soil_N2ODirect_Equations.VEERG_4_2_1_3__2_TotalNitrogenExcretedToPastureRangeAndPaddock(G189,G167,G197)</f>
        <v>#VALUE!</v>
      </c>
      <c r="H205" s="51" t="e" cm="1">
        <f t="array" ref="H205">MMS_PastureBeef_Soil_N2ODirect_Equations.VEERG_4_2_1_3__2_TotalNitrogenExcretedToPastureRangeAndPaddock(H189,H167,H197)</f>
        <v>#REF!</v>
      </c>
      <c r="I205" s="51" t="e" cm="1">
        <f t="array" ref="I205">MMS_PastureBeef_Soil_N2ODirect_Equations.VEERG_4_2_1_3__2_TotalNitrogenExcretedToPastureRangeAndPaddock(I189,I167,I197)</f>
        <v>#REF!</v>
      </c>
      <c r="J205" s="51" t="e" cm="1">
        <f t="array" ref="J205">MMS_PastureBeef_Soil_N2ODirect_Equations.VEERG_4_2_1_3__2_TotalNitrogenExcretedToPastureRangeAndPaddock(J189,J167,J197)</f>
        <v>#REF!</v>
      </c>
      <c r="K205" s="51" t="e" cm="1">
        <f t="array" ref="K205">MMS_PastureBeef_Soil_N2ODirect_Equations.VEERG_4_2_1_3__2_TotalNitrogenExcretedToPastureRangeAndPaddock(K189,K167,K197)</f>
        <v>#REF!</v>
      </c>
      <c r="L205" s="51" t="e" cm="1">
        <f t="array" ref="L205">MMS_PastureBeef_Soil_N2ODirect_Equations.VEERG_4_2_1_3__2_TotalNitrogenExcretedToPastureRangeAndPaddock(L189,L167,L197)</f>
        <v>#REF!</v>
      </c>
      <c r="M205" s="51" t="e" cm="1">
        <f t="array" ref="M205">MMS_PastureBeef_Soil_N2ODirect_Equations.VEERG_4_2_1_3__2_TotalNitrogenExcretedToPastureRangeAndPaddock(M189,M167,M197)</f>
        <v>#REF!</v>
      </c>
      <c r="N205" s="51" t="e" cm="1">
        <f t="array" ref="N205">MMS_PastureBeef_Soil_N2ODirect_Equations.VEERG_4_2_1_3__2_TotalNitrogenExcretedToPastureRangeAndPaddock(N189,N167,N197)</f>
        <v>#REF!</v>
      </c>
      <c r="O205" s="2" t="str">
        <f>$E$180</f>
        <v>kg N</v>
      </c>
      <c r="T205" s="98" t="s">
        <v>172</v>
      </c>
    </row>
    <row r="206" spans="4:32" ht="20.100000000000001" customHeight="1" x14ac:dyDescent="0.25">
      <c r="D206" s="51" t="s">
        <v>150</v>
      </c>
      <c r="E206" s="51" t="e" cm="1">
        <f t="array" ref="E206">MMS_PastureBeef_Soil_N2ODirect_Equations.VEERG_4_2_1_3__2_TotalNitrogenExcretedToPastureRangeAndPaddock(E190,E168,E198)</f>
        <v>#VALUE!</v>
      </c>
      <c r="F206" s="51" t="e" cm="1">
        <f t="array" ref="F206">MMS_PastureBeef_Soil_N2ODirect_Equations.VEERG_4_2_1_3__2_TotalNitrogenExcretedToPastureRangeAndPaddock(F190,F168,F198)</f>
        <v>#REF!</v>
      </c>
      <c r="G206" s="51" t="e" cm="1">
        <f t="array" ref="G206">MMS_PastureBeef_Soil_N2ODirect_Equations.VEERG_4_2_1_3__2_TotalNitrogenExcretedToPastureRangeAndPaddock(G190,G168,G198)</f>
        <v>#VALUE!</v>
      </c>
      <c r="H206" s="51" t="e" cm="1">
        <f t="array" ref="H206">MMS_PastureBeef_Soil_N2ODirect_Equations.VEERG_4_2_1_3__2_TotalNitrogenExcretedToPastureRangeAndPaddock(H190,H168,H198)</f>
        <v>#REF!</v>
      </c>
      <c r="I206" s="51" t="e" cm="1">
        <f t="array" ref="I206">MMS_PastureBeef_Soil_N2ODirect_Equations.VEERG_4_2_1_3__2_TotalNitrogenExcretedToPastureRangeAndPaddock(I190,I168,I198)</f>
        <v>#REF!</v>
      </c>
      <c r="J206" s="51" t="e" cm="1">
        <f t="array" ref="J206">MMS_PastureBeef_Soil_N2ODirect_Equations.VEERG_4_2_1_3__2_TotalNitrogenExcretedToPastureRangeAndPaddock(J190,J168,J198)</f>
        <v>#REF!</v>
      </c>
      <c r="K206" s="51" t="e" cm="1">
        <f t="array" ref="K206">MMS_PastureBeef_Soil_N2ODirect_Equations.VEERG_4_2_1_3__2_TotalNitrogenExcretedToPastureRangeAndPaddock(K190,K168,K198)</f>
        <v>#REF!</v>
      </c>
      <c r="L206" s="51" t="e" cm="1">
        <f t="array" ref="L206">MMS_PastureBeef_Soil_N2ODirect_Equations.VEERG_4_2_1_3__2_TotalNitrogenExcretedToPastureRangeAndPaddock(L190,L168,L198)</f>
        <v>#REF!</v>
      </c>
      <c r="M206" s="51" t="e" cm="1">
        <f t="array" ref="M206">MMS_PastureBeef_Soil_N2ODirect_Equations.VEERG_4_2_1_3__2_TotalNitrogenExcretedToPastureRangeAndPaddock(M190,M168,M198)</f>
        <v>#REF!</v>
      </c>
      <c r="N206" s="51" t="e" cm="1">
        <f t="array" ref="N206">MMS_PastureBeef_Soil_N2ODirect_Equations.VEERG_4_2_1_3__2_TotalNitrogenExcretedToPastureRangeAndPaddock(N190,N168,N198)</f>
        <v>#REF!</v>
      </c>
      <c r="O206" s="2" t="str">
        <f t="shared" ref="O206:O208" si="13">$E$180</f>
        <v>kg N</v>
      </c>
      <c r="T206" s="97" t="s">
        <v>173</v>
      </c>
    </row>
    <row r="207" spans="4:32" ht="20.100000000000001" customHeight="1" x14ac:dyDescent="0.25">
      <c r="D207" s="51" t="s">
        <v>151</v>
      </c>
      <c r="E207" s="51" t="e" cm="1">
        <f t="array" ref="E207">MMS_PastureBeef_Soil_N2ODirect_Equations.VEERG_4_2_1_3__2_TotalNitrogenExcretedToPastureRangeAndPaddock(E191,E169,E199)</f>
        <v>#REF!</v>
      </c>
      <c r="F207" s="51" t="e" cm="1">
        <f t="array" ref="F207">MMS_PastureBeef_Soil_N2ODirect_Equations.VEERG_4_2_1_3__2_TotalNitrogenExcretedToPastureRangeAndPaddock(F191,F169,F199)</f>
        <v>#REF!</v>
      </c>
      <c r="G207" s="51" t="e" cm="1">
        <f t="array" ref="G207">MMS_PastureBeef_Soil_N2ODirect_Equations.VEERG_4_2_1_3__2_TotalNitrogenExcretedToPastureRangeAndPaddock(G191,G169,G199)</f>
        <v>#REF!</v>
      </c>
      <c r="H207" s="51" t="e" cm="1">
        <f t="array" ref="H207">MMS_PastureBeef_Soil_N2ODirect_Equations.VEERG_4_2_1_3__2_TotalNitrogenExcretedToPastureRangeAndPaddock(H191,H169,H199)</f>
        <v>#REF!</v>
      </c>
      <c r="I207" s="51" t="e" cm="1">
        <f t="array" ref="I207">MMS_PastureBeef_Soil_N2ODirect_Equations.VEERG_4_2_1_3__2_TotalNitrogenExcretedToPastureRangeAndPaddock(I191,I169,I199)</f>
        <v>#REF!</v>
      </c>
      <c r="J207" s="51" t="e" cm="1">
        <f t="array" ref="J207">MMS_PastureBeef_Soil_N2ODirect_Equations.VEERG_4_2_1_3__2_TotalNitrogenExcretedToPastureRangeAndPaddock(J191,J169,J199)</f>
        <v>#REF!</v>
      </c>
      <c r="K207" s="51" t="e" cm="1">
        <f t="array" ref="K207">MMS_PastureBeef_Soil_N2ODirect_Equations.VEERG_4_2_1_3__2_TotalNitrogenExcretedToPastureRangeAndPaddock(K191,K169,K199)</f>
        <v>#REF!</v>
      </c>
      <c r="L207" s="51" t="e" cm="1">
        <f t="array" ref="L207">MMS_PastureBeef_Soil_N2ODirect_Equations.VEERG_4_2_1_3__2_TotalNitrogenExcretedToPastureRangeAndPaddock(L191,L169,L199)</f>
        <v>#REF!</v>
      </c>
      <c r="M207" s="51" t="e" cm="1">
        <f t="array" ref="M207">MMS_PastureBeef_Soil_N2ODirect_Equations.VEERG_4_2_1_3__2_TotalNitrogenExcretedToPastureRangeAndPaddock(M191,M169,M199)</f>
        <v>#REF!</v>
      </c>
      <c r="N207" s="51" t="e" cm="1">
        <f t="array" ref="N207">MMS_PastureBeef_Soil_N2ODirect_Equations.VEERG_4_2_1_3__2_TotalNitrogenExcretedToPastureRangeAndPaddock(N191,N169,N199)</f>
        <v>#REF!</v>
      </c>
      <c r="O207" s="2" t="str">
        <f t="shared" si="13"/>
        <v>kg N</v>
      </c>
      <c r="T207" s="50" t="s">
        <v>119</v>
      </c>
      <c r="U207" s="50" t="s">
        <v>118</v>
      </c>
      <c r="V207" s="50" t="s">
        <v>117</v>
      </c>
      <c r="W207" s="50" t="s">
        <v>141</v>
      </c>
      <c r="X207" s="50" t="s">
        <v>142</v>
      </c>
      <c r="Y207" s="50" t="s">
        <v>143</v>
      </c>
      <c r="Z207" s="50" t="s">
        <v>144</v>
      </c>
      <c r="AA207" s="50" t="s">
        <v>145</v>
      </c>
      <c r="AB207" s="50" t="s">
        <v>146</v>
      </c>
      <c r="AC207" s="50" t="s">
        <v>147</v>
      </c>
      <c r="AD207" s="50" t="s">
        <v>148</v>
      </c>
    </row>
    <row r="208" spans="4:32" ht="20.100000000000001" customHeight="1" x14ac:dyDescent="0.25">
      <c r="D208" s="51" t="s">
        <v>152</v>
      </c>
      <c r="E208" s="51" t="e" cm="1">
        <f t="array" ref="E208">MMS_PastureBeef_Soil_N2ODirect_Equations.VEERG_4_2_1_3__2_TotalNitrogenExcretedToPastureRangeAndPaddock(E192,E170,E200)</f>
        <v>#REF!</v>
      </c>
      <c r="F208" s="51" t="e" cm="1">
        <f t="array" ref="F208">MMS_PastureBeef_Soil_N2ODirect_Equations.VEERG_4_2_1_3__2_TotalNitrogenExcretedToPastureRangeAndPaddock(F192,F170,F200)</f>
        <v>#REF!</v>
      </c>
      <c r="G208" s="51" t="e" cm="1">
        <f t="array" ref="G208">MMS_PastureBeef_Soil_N2ODirect_Equations.VEERG_4_2_1_3__2_TotalNitrogenExcretedToPastureRangeAndPaddock(G192,G170,G200)</f>
        <v>#REF!</v>
      </c>
      <c r="H208" s="51" t="e" cm="1">
        <f t="array" ref="H208">MMS_PastureBeef_Soil_N2ODirect_Equations.VEERG_4_2_1_3__2_TotalNitrogenExcretedToPastureRangeAndPaddock(H192,H170,H200)</f>
        <v>#REF!</v>
      </c>
      <c r="I208" s="51" t="e" cm="1">
        <f t="array" ref="I208">MMS_PastureBeef_Soil_N2ODirect_Equations.VEERG_4_2_1_3__2_TotalNitrogenExcretedToPastureRangeAndPaddock(I192,I170,I200)</f>
        <v>#REF!</v>
      </c>
      <c r="J208" s="51" t="e" cm="1">
        <f t="array" ref="J208">MMS_PastureBeef_Soil_N2ODirect_Equations.VEERG_4_2_1_3__2_TotalNitrogenExcretedToPastureRangeAndPaddock(J192,J170,J200)</f>
        <v>#REF!</v>
      </c>
      <c r="K208" s="51" t="e" cm="1">
        <f t="array" ref="K208">MMS_PastureBeef_Soil_N2ODirect_Equations.VEERG_4_2_1_3__2_TotalNitrogenExcretedToPastureRangeAndPaddock(K192,K170,K200)</f>
        <v>#REF!</v>
      </c>
      <c r="L208" s="51" t="e" cm="1">
        <f t="array" ref="L208">MMS_PastureBeef_Soil_N2ODirect_Equations.VEERG_4_2_1_3__2_TotalNitrogenExcretedToPastureRangeAndPaddock(L192,L170,L200)</f>
        <v>#REF!</v>
      </c>
      <c r="M208" s="51" t="e" cm="1">
        <f t="array" ref="M208">MMS_PastureBeef_Soil_N2ODirect_Equations.VEERG_4_2_1_3__2_TotalNitrogenExcretedToPastureRangeAndPaddock(M192,M170,M200)</f>
        <v>#REF!</v>
      </c>
      <c r="N208" s="51" t="e" cm="1">
        <f t="array" ref="N208">MMS_PastureBeef_Soil_N2ODirect_Equations.VEERG_4_2_1_3__2_TotalNitrogenExcretedToPastureRangeAndPaddock(N192,N170,N200)</f>
        <v>#REF!</v>
      </c>
      <c r="O208" s="2" t="str">
        <f t="shared" si="13"/>
        <v>kg N</v>
      </c>
      <c r="T208" s="51" t="str">
        <f>TEXT('Input - Site'!$E$12, "mmmm yyyy")</f>
        <v>January 2024</v>
      </c>
      <c r="U208" s="51">
        <f>'Input - Swine'!E113</f>
        <v>0</v>
      </c>
      <c r="V208" s="51">
        <f>'Input - Swine'!F113</f>
        <v>0</v>
      </c>
      <c r="W208" s="51">
        <f>'Input - Swine'!G113</f>
        <v>0</v>
      </c>
      <c r="X208" s="51">
        <f>'Input - Swine'!H113</f>
        <v>0</v>
      </c>
      <c r="Y208" s="51">
        <f>'Input - Swine'!I113</f>
        <v>0</v>
      </c>
      <c r="Z208" s="51">
        <f>'Input - Swine'!J113</f>
        <v>0</v>
      </c>
      <c r="AA208" s="51">
        <f>'Input - Swine'!K122</f>
        <v>0</v>
      </c>
      <c r="AB208" s="51">
        <f>'Input - Swine'!L122</f>
        <v>0</v>
      </c>
      <c r="AC208" s="51">
        <f>'Input - Swine'!M122</f>
        <v>0</v>
      </c>
      <c r="AD208" s="51">
        <f>'Input - Swine'!N102</f>
        <v>0</v>
      </c>
      <c r="AE208" s="2" t="s">
        <v>100</v>
      </c>
    </row>
    <row r="209" spans="3:31" ht="20.100000000000001" customHeight="1" x14ac:dyDescent="0.25">
      <c r="T209" s="51" t="str">
        <f>TEXT(EDATE('Input - Site'!$E$12,1), "mmmm yyyy")</f>
        <v>February 2024</v>
      </c>
      <c r="U209" s="51">
        <f>'Input - Swine'!E114</f>
        <v>0</v>
      </c>
      <c r="V209" s="51">
        <f>'Input - Swine'!F114</f>
        <v>0</v>
      </c>
      <c r="W209" s="51">
        <f>'Input - Swine'!G114</f>
        <v>0</v>
      </c>
      <c r="X209" s="51">
        <f>'Input - Swine'!H114</f>
        <v>0</v>
      </c>
      <c r="Y209" s="51">
        <f>'Input - Swine'!I114</f>
        <v>0</v>
      </c>
      <c r="Z209" s="51">
        <f>'Input - Swine'!J114</f>
        <v>0</v>
      </c>
      <c r="AA209" s="51">
        <f>'Input - Swine'!K123</f>
        <v>0</v>
      </c>
      <c r="AB209" s="51">
        <f>'Input - Swine'!L123</f>
        <v>0</v>
      </c>
      <c r="AC209" s="51">
        <f>'Input - Swine'!M123</f>
        <v>0</v>
      </c>
      <c r="AD209" s="51">
        <f>'Input - Swine'!N103</f>
        <v>0</v>
      </c>
      <c r="AE209" s="2" t="s">
        <v>100</v>
      </c>
    </row>
    <row r="210" spans="3:31" ht="20.100000000000001" customHeight="1" x14ac:dyDescent="0.25">
      <c r="D210" s="112" t="s">
        <v>194</v>
      </c>
      <c r="E210" s="45" t="e">
        <f>SUM(E205:N208)</f>
        <v>#VALUE!</v>
      </c>
      <c r="F210" s="104" t="str">
        <f>E180</f>
        <v>kg N</v>
      </c>
      <c r="T210" s="51" t="str">
        <f>TEXT(EDATE('Input - Site'!$E$12,2), "mmmm yyyy")</f>
        <v>March 2024</v>
      </c>
      <c r="U210" s="51">
        <f>'Input - Swine'!E115</f>
        <v>0</v>
      </c>
      <c r="V210" s="51">
        <f>'Input - Swine'!F115</f>
        <v>0</v>
      </c>
      <c r="W210" s="51">
        <f>'Input - Swine'!G115</f>
        <v>0</v>
      </c>
      <c r="X210" s="51">
        <f>'Input - Swine'!H115</f>
        <v>0</v>
      </c>
      <c r="Y210" s="51">
        <f>'Input - Swine'!I115</f>
        <v>0</v>
      </c>
      <c r="Z210" s="51">
        <f>'Input - Swine'!J115</f>
        <v>0</v>
      </c>
      <c r="AA210" s="51">
        <f>'Input - Swine'!K124</f>
        <v>0</v>
      </c>
      <c r="AB210" s="51">
        <f>'Input - Swine'!L124</f>
        <v>0</v>
      </c>
      <c r="AC210" s="51">
        <f>'Input - Swine'!M124</f>
        <v>0</v>
      </c>
      <c r="AD210" s="51">
        <f>'Input - Swine'!N104</f>
        <v>0</v>
      </c>
      <c r="AE210" s="2" t="s">
        <v>100</v>
      </c>
    </row>
    <row r="211" spans="3:31" ht="20.100000000000001" customHeight="1" x14ac:dyDescent="0.25">
      <c r="T211" s="51" t="str">
        <f>TEXT(EDATE('Input - Site'!$E$12,3), "mmmm yyyy")</f>
        <v>April 2024</v>
      </c>
      <c r="U211" s="51">
        <f>'Input - Swine'!E116</f>
        <v>0</v>
      </c>
      <c r="V211" s="51">
        <f>'Input - Swine'!F116</f>
        <v>0</v>
      </c>
      <c r="W211" s="51">
        <f>'Input - Swine'!G116</f>
        <v>0</v>
      </c>
      <c r="X211" s="51">
        <f>'Input - Swine'!H116</f>
        <v>0</v>
      </c>
      <c r="Y211" s="51">
        <f>'Input - Swine'!I116</f>
        <v>0</v>
      </c>
      <c r="Z211" s="51">
        <f>'Input - Swine'!J116</f>
        <v>0</v>
      </c>
      <c r="AA211" s="51">
        <f>'Input - Swine'!K125</f>
        <v>0</v>
      </c>
      <c r="AB211" s="51">
        <f>'Input - Swine'!L125</f>
        <v>0</v>
      </c>
      <c r="AC211" s="51">
        <f>'Input - Swine'!M125</f>
        <v>0</v>
      </c>
      <c r="AD211" s="51">
        <f>'Input - Swine'!N105</f>
        <v>0</v>
      </c>
      <c r="AE211" s="2" t="s">
        <v>100</v>
      </c>
    </row>
    <row r="212" spans="3:31" ht="20.100000000000001" customHeight="1" x14ac:dyDescent="0.25">
      <c r="T212" s="51" t="str">
        <f>TEXT(EDATE('Input - Site'!$E$12,4), "mmmm yyyy")</f>
        <v>May 2024</v>
      </c>
      <c r="U212" s="51">
        <f>'Input - Swine'!E117</f>
        <v>0</v>
      </c>
      <c r="V212" s="51">
        <f>'Input - Swine'!F117</f>
        <v>0</v>
      </c>
      <c r="W212" s="51">
        <f>'Input - Swine'!G117</f>
        <v>0</v>
      </c>
      <c r="X212" s="51">
        <f>'Input - Swine'!H117</f>
        <v>0</v>
      </c>
      <c r="Y212" s="51">
        <f>'Input - Swine'!I117</f>
        <v>0</v>
      </c>
      <c r="Z212" s="51">
        <f>'Input - Swine'!J117</f>
        <v>0</v>
      </c>
      <c r="AA212" s="51">
        <f>'Input - Swine'!K126</f>
        <v>0</v>
      </c>
      <c r="AB212" s="51">
        <f>'Input - Swine'!L126</f>
        <v>0</v>
      </c>
      <c r="AC212" s="51">
        <f>'Input - Swine'!M126</f>
        <v>0</v>
      </c>
      <c r="AD212" s="51">
        <f>'Input - Swine'!N106</f>
        <v>0</v>
      </c>
      <c r="AE212" s="2" t="s">
        <v>100</v>
      </c>
    </row>
    <row r="213" spans="3:31" ht="20.100000000000001" customHeight="1" x14ac:dyDescent="0.25"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T213" s="51" t="str">
        <f>TEXT(EDATE('Input - Site'!$E$12,5), "mmmm yyyy")</f>
        <v>June 2024</v>
      </c>
      <c r="U213" s="51">
        <f>'Input - Swine'!E118</f>
        <v>0</v>
      </c>
      <c r="V213" s="51">
        <f>'Input - Swine'!F118</f>
        <v>0</v>
      </c>
      <c r="W213" s="51">
        <f>'Input - Swine'!G118</f>
        <v>0</v>
      </c>
      <c r="X213" s="51">
        <f>'Input - Swine'!H118</f>
        <v>0</v>
      </c>
      <c r="Y213" s="51">
        <f>'Input - Swine'!I118</f>
        <v>0</v>
      </c>
      <c r="Z213" s="51">
        <f>'Input - Swine'!J118</f>
        <v>0</v>
      </c>
      <c r="AA213" s="51">
        <f>'Input - Swine'!K127</f>
        <v>0</v>
      </c>
      <c r="AB213" s="51">
        <f>'Input - Swine'!L127</f>
        <v>0</v>
      </c>
      <c r="AC213" s="51">
        <f>'Input - Swine'!M127</f>
        <v>0</v>
      </c>
      <c r="AD213" s="51">
        <f>'Input - Swine'!N107</f>
        <v>0</v>
      </c>
      <c r="AE213" s="2" t="s">
        <v>100</v>
      </c>
    </row>
    <row r="214" spans="3:31" ht="20.100000000000001" customHeight="1" x14ac:dyDescent="0.25">
      <c r="D214" s="6" t="str" cm="1">
        <f t="array" ref="D214">MMS_PastureBeef_Soil_N2ODirect_Equations.VEERG_4_2_1_3__1_DirectNitrousOxideEmissionsOnPasture_Title()</f>
        <v>Total annual direct nitrous oxide emissions from agricultural soils from deposition of urine and dung</v>
      </c>
      <c r="T214" s="51" t="str">
        <f>TEXT(EDATE('Input - Site'!$E$12,6), "mmmm yyyy")</f>
        <v>July 2024</v>
      </c>
      <c r="U214" s="51">
        <f>'Input - Swine'!E119</f>
        <v>0</v>
      </c>
      <c r="V214" s="51">
        <f>'Input - Swine'!F119</f>
        <v>0</v>
      </c>
      <c r="W214" s="51">
        <f>'Input - Swine'!G119</f>
        <v>0</v>
      </c>
      <c r="X214" s="51">
        <f>'Input - Swine'!H119</f>
        <v>0</v>
      </c>
      <c r="Y214" s="51">
        <f>'Input - Swine'!I119</f>
        <v>0</v>
      </c>
      <c r="Z214" s="51">
        <f>'Input - Swine'!J119</f>
        <v>0</v>
      </c>
      <c r="AA214" s="51">
        <f>'Input - Swine'!K128</f>
        <v>0</v>
      </c>
      <c r="AB214" s="51">
        <f>'Input - Swine'!L128</f>
        <v>0</v>
      </c>
      <c r="AC214" s="51">
        <f>'Input - Swine'!M128</f>
        <v>0</v>
      </c>
      <c r="AD214" s="51">
        <f>'Input - Swine'!N108</f>
        <v>0</v>
      </c>
      <c r="AE214" s="2" t="s">
        <v>100</v>
      </c>
    </row>
    <row r="215" spans="3:31" ht="20.100000000000001" customHeight="1" x14ac:dyDescent="0.25">
      <c r="D215" s="5" t="str" cm="1">
        <f t="array" ref="D215">MMS_PastureBeef_Soil_N2ODirect_Equations.VEERG_4_2_1_3__1_DirectNitrousOxideEmissionsOnPasture_Source()</f>
        <v>VEERG 2026: 4.2.1.3, Equation (1)</v>
      </c>
      <c r="T215" s="51" t="str">
        <f>TEXT(EDATE('Input - Site'!$E$12,7), "mmmm yyyy")</f>
        <v>August 2024</v>
      </c>
      <c r="U215" s="51">
        <f>'Input - Swine'!E129</f>
        <v>0</v>
      </c>
      <c r="V215" s="51">
        <f>'Input - Swine'!F129</f>
        <v>0</v>
      </c>
      <c r="W215" s="51">
        <f>'Input - Swine'!G129</f>
        <v>0</v>
      </c>
      <c r="X215" s="51">
        <f>'Input - Swine'!H129</f>
        <v>0</v>
      </c>
      <c r="Y215" s="51">
        <f>'Input - Swine'!I129</f>
        <v>0</v>
      </c>
      <c r="Z215" s="51">
        <f>'Input - Swine'!J129</f>
        <v>0</v>
      </c>
      <c r="AA215" s="51">
        <f>'Input - Swine'!K129</f>
        <v>0</v>
      </c>
      <c r="AB215" s="51">
        <f>'Input - Swine'!L129</f>
        <v>0</v>
      </c>
      <c r="AC215" s="51">
        <f>'Input - Swine'!M129</f>
        <v>0</v>
      </c>
      <c r="AD215" s="51">
        <f>'Input - Swine'!N109</f>
        <v>0</v>
      </c>
      <c r="AE215" s="2" t="s">
        <v>100</v>
      </c>
    </row>
    <row r="216" spans="3:31" ht="20.100000000000001" customHeight="1" x14ac:dyDescent="0.25">
      <c r="D216" s="13" t="s">
        <v>26</v>
      </c>
      <c r="E216" s="13" t="str" cm="1">
        <f t="array" aca="1" ref="E216" ca="1">Common_InputFunctions.Utility_DisplayFunctionName(E227)</f>
        <v>=MMS_PastureBeef_Soil_N2ODirect_Equations.VEERG_4_2_1_3__1_DirectNitrousOxideEmissionsOnPasture</v>
      </c>
      <c r="T216" s="51" t="str">
        <f>TEXT(EDATE('Input - Site'!$E$12,8), "mmmm yyyy")</f>
        <v>September 2024</v>
      </c>
      <c r="U216" s="51">
        <f>'Input - Swine'!E130</f>
        <v>0</v>
      </c>
      <c r="V216" s="51">
        <f>'Input - Swine'!F130</f>
        <v>0</v>
      </c>
      <c r="W216" s="51">
        <f>'Input - Swine'!G130</f>
        <v>0</v>
      </c>
      <c r="X216" s="51">
        <f>'Input - Swine'!H130</f>
        <v>0</v>
      </c>
      <c r="Y216" s="51">
        <f>'Input - Swine'!I130</f>
        <v>0</v>
      </c>
      <c r="Z216" s="51">
        <f>'Input - Swine'!J130</f>
        <v>0</v>
      </c>
      <c r="AA216" s="51">
        <f>'Input - Swine'!K130</f>
        <v>0</v>
      </c>
      <c r="AB216" s="51">
        <f>'Input - Swine'!L130</f>
        <v>0</v>
      </c>
      <c r="AC216" s="51">
        <f>'Input - Swine'!M130</f>
        <v>0</v>
      </c>
      <c r="AD216" s="51">
        <f>'Input - Swine'!N110</f>
        <v>0</v>
      </c>
      <c r="AE216" s="2" t="s">
        <v>100</v>
      </c>
    </row>
    <row r="217" spans="3:31" ht="20.100000000000001" customHeight="1" x14ac:dyDescent="0.25">
      <c r="T217" s="51" t="str">
        <f>TEXT(EDATE('Input - Site'!$E$12,9), "mmmm yyyy")</f>
        <v>October 2024</v>
      </c>
      <c r="U217" s="51">
        <f>'Input - Swine'!E131</f>
        <v>0</v>
      </c>
      <c r="V217" s="51">
        <f>'Input - Swine'!F131</f>
        <v>0</v>
      </c>
      <c r="W217" s="51">
        <f>'Input - Swine'!G131</f>
        <v>0</v>
      </c>
      <c r="X217" s="51">
        <f>'Input - Swine'!H131</f>
        <v>0</v>
      </c>
      <c r="Y217" s="51">
        <f>'Input - Swine'!I131</f>
        <v>0</v>
      </c>
      <c r="Z217" s="51">
        <f>'Input - Swine'!J131</f>
        <v>0</v>
      </c>
      <c r="AA217" s="51">
        <f>'Input - Swine'!K131</f>
        <v>0</v>
      </c>
      <c r="AB217" s="51">
        <f>'Input - Swine'!L131</f>
        <v>0</v>
      </c>
      <c r="AC217" s="51">
        <f>'Input - Swine'!M131</f>
        <v>0</v>
      </c>
      <c r="AD217" s="51">
        <f>'Input - Swine'!N111</f>
        <v>0</v>
      </c>
      <c r="AE217" s="2" t="s">
        <v>100</v>
      </c>
    </row>
    <row r="218" spans="3:31" ht="20.100000000000001" customHeight="1" x14ac:dyDescent="0.25">
      <c r="T218" s="51" t="str">
        <f>TEXT(EDATE('Input - Site'!$E$12,10), "mmmm yyyy")</f>
        <v>November 2024</v>
      </c>
      <c r="U218" s="51">
        <f>'Input - Swine'!E132</f>
        <v>0</v>
      </c>
      <c r="V218" s="51">
        <f>'Input - Swine'!F132</f>
        <v>0</v>
      </c>
      <c r="W218" s="51">
        <f>'Input - Swine'!G132</f>
        <v>0</v>
      </c>
      <c r="X218" s="51">
        <f>'Input - Swine'!H132</f>
        <v>0</v>
      </c>
      <c r="Y218" s="51">
        <f>'Input - Swine'!I132</f>
        <v>0</v>
      </c>
      <c r="Z218" s="51">
        <f>'Input - Swine'!J132</f>
        <v>0</v>
      </c>
      <c r="AA218" s="51">
        <f>'Input - Swine'!K132</f>
        <v>0</v>
      </c>
      <c r="AB218" s="51">
        <f>'Input - Swine'!L132</f>
        <v>0</v>
      </c>
      <c r="AC218" s="51">
        <f>'Input - Swine'!M132</f>
        <v>0</v>
      </c>
      <c r="AD218" s="51">
        <f>'Input - Swine'!N112</f>
        <v>0</v>
      </c>
      <c r="AE218" s="2" t="s">
        <v>100</v>
      </c>
    </row>
    <row r="219" spans="3:31" ht="20.100000000000001" customHeight="1" x14ac:dyDescent="0.25">
      <c r="D219" s="52" t="s">
        <v>29</v>
      </c>
      <c r="E219" s="1" t="str" cm="1">
        <f t="array" ref="E219">MMS_PastureBeef_Soil_N2ODirect_Equations.VEERG_4_2_1_3__1_DirectNitrousOxideEmissionsOnPasture_Variable()</f>
        <v>E_N2Odir</v>
      </c>
      <c r="T219" s="51" t="str">
        <f>TEXT(EDATE('Input - Site'!$E$12,11), "mmmm yyyy")</f>
        <v>December 2024</v>
      </c>
      <c r="U219" s="51">
        <f>'Input - Swine'!E133</f>
        <v>0</v>
      </c>
      <c r="V219" s="51">
        <f>'Input - Swine'!F133</f>
        <v>0</v>
      </c>
      <c r="W219" s="51">
        <f>'Input - Swine'!G133</f>
        <v>0</v>
      </c>
      <c r="X219" s="51">
        <f>'Input - Swine'!H133</f>
        <v>0</v>
      </c>
      <c r="Y219" s="51">
        <f>'Input - Swine'!I133</f>
        <v>0</v>
      </c>
      <c r="Z219" s="51">
        <f>'Input - Swine'!J133</f>
        <v>0</v>
      </c>
      <c r="AA219" s="51">
        <f>'Input - Swine'!K133</f>
        <v>0</v>
      </c>
      <c r="AB219" s="51">
        <f>'Input - Swine'!L133</f>
        <v>0</v>
      </c>
      <c r="AC219" s="51">
        <f>'Input - Swine'!M133</f>
        <v>0</v>
      </c>
      <c r="AD219" s="51">
        <f>'Input - Swine'!N113</f>
        <v>0</v>
      </c>
      <c r="AE219" s="2" t="s">
        <v>100</v>
      </c>
    </row>
    <row r="220" spans="3:31" ht="20.100000000000001" customHeight="1" x14ac:dyDescent="0.25">
      <c r="D220" s="52" t="s">
        <v>19</v>
      </c>
      <c r="E220" s="53" t="str" cm="1">
        <f t="array" ref="E220">MMS_PastureBeef_Soil_N2ODirect_Equations.VEERG_4_2_1_3__1_DirectNitrousOxideEmissionsOnPasture_Unit()</f>
        <v>t N2O</v>
      </c>
    </row>
    <row r="221" spans="3:31" ht="20.100000000000001" customHeight="1" x14ac:dyDescent="0.25">
      <c r="T221" s="98" t="s">
        <v>128</v>
      </c>
    </row>
    <row r="222" spans="3:31" ht="20.100000000000001" customHeight="1" x14ac:dyDescent="0.25">
      <c r="D222" s="107" t="str" cm="1">
        <f t="array" ref="D222:E225">MMS_PastureBeef_Soil_N2ODirect_Equations.VEERG_4_2_1_3__1_DirectNitrousOxideEmissionsOnPasture_Arguments()</f>
        <v>AE</v>
      </c>
      <c r="E222" s="109" t="str">
        <v>total mass of nitrogen excreted on PRP for beef cattle (kg N)</v>
      </c>
      <c r="F222" s="116"/>
      <c r="G222" s="108"/>
      <c r="H222" s="107" t="str">
        <f>"See " &amp; D202</f>
        <v>See M1_Table_AE</v>
      </c>
      <c r="T222" s="97" t="s">
        <v>174</v>
      </c>
    </row>
    <row r="223" spans="3:31" ht="20.100000000000001" customHeight="1" x14ac:dyDescent="0.25">
      <c r="D223" s="107" t="str">
        <v>EF_PRP</v>
      </c>
      <c r="E223" s="109" t="str">
        <v>emission factor for nitrous oxide from urine and dung deposited to soil (kg N2O-N/kg N deposited)</v>
      </c>
      <c r="F223" s="116"/>
      <c r="G223" s="108"/>
      <c r="H223" s="56">
        <f>_xlfn.XLOOKUP(H225,Table_SourceData_EFPastureRangeAndPaddock[Climate zone],Table_SourceData_EFPastureRangeAndPaddock[EFPRP])</f>
        <v>2E-3</v>
      </c>
      <c r="T223" s="50" t="s">
        <v>119</v>
      </c>
      <c r="U223" s="50" t="s">
        <v>118</v>
      </c>
      <c r="V223" s="50" t="s">
        <v>117</v>
      </c>
      <c r="W223" s="50" t="s">
        <v>141</v>
      </c>
      <c r="X223" s="50" t="s">
        <v>142</v>
      </c>
      <c r="Y223" s="50" t="s">
        <v>143</v>
      </c>
      <c r="Z223" s="50" t="s">
        <v>144</v>
      </c>
      <c r="AA223" s="50" t="s">
        <v>145</v>
      </c>
      <c r="AB223" s="50" t="s">
        <v>146</v>
      </c>
      <c r="AC223" s="50" t="s">
        <v>147</v>
      </c>
      <c r="AD223" s="50" t="s">
        <v>148</v>
      </c>
    </row>
    <row r="224" spans="3:31" ht="20.100000000000001" customHeight="1" x14ac:dyDescent="0.25">
      <c r="D224" s="107" t="str">
        <v>C_N2O</v>
      </c>
      <c r="E224" s="109" t="str">
        <v>factor to convert elemental mass of nitrous oxide to molecular mass</v>
      </c>
      <c r="F224" s="116"/>
      <c r="G224" s="108"/>
      <c r="H224" s="56">
        <f>Common_InputFunctions.Utility_LookupValueInTableNumber("N2O",Table_GasToMolecularConversionFactor[Gas],Table_GasToMolecularConversionFactor[Conversion factor combined])</f>
        <v>1.5714285714285714</v>
      </c>
      <c r="T224" s="51" t="str">
        <f>TEXT('Input - Site'!$E$12, "mmmm yyyy")</f>
        <v>January 2024</v>
      </c>
      <c r="U224" s="51" t="e">
        <f>'Input - Swine'!#REF!</f>
        <v>#REF!</v>
      </c>
      <c r="V224" s="51" t="e">
        <f>'Input - Swine'!#REF!</f>
        <v>#REF!</v>
      </c>
      <c r="W224" s="51" t="e">
        <f>'Input - Swine'!#REF!</f>
        <v>#REF!</v>
      </c>
      <c r="X224" s="51" t="e">
        <f>'Input - Swine'!#REF!</f>
        <v>#REF!</v>
      </c>
      <c r="Y224" s="51" t="e">
        <f>'Input - Swine'!#REF!</f>
        <v>#REF!</v>
      </c>
      <c r="Z224" s="51" t="e">
        <f>'Input - Swine'!#REF!</f>
        <v>#REF!</v>
      </c>
      <c r="AA224" s="51" t="e">
        <f>'Input - Swine'!#REF!</f>
        <v>#REF!</v>
      </c>
      <c r="AB224" s="51" t="e">
        <f>'Input - Swine'!#REF!</f>
        <v>#REF!</v>
      </c>
      <c r="AC224" s="51">
        <f>'Input - Swine'!M22</f>
        <v>0</v>
      </c>
      <c r="AD224" s="51">
        <f>'Input - Swine'!N22</f>
        <v>0</v>
      </c>
      <c r="AE224" s="2" t="s">
        <v>171</v>
      </c>
    </row>
    <row r="225" spans="4:31" ht="20.100000000000001" customHeight="1" x14ac:dyDescent="0.25">
      <c r="D225" s="107" t="str">
        <v>z</v>
      </c>
      <c r="E225" s="109" t="str">
        <v>wet or dry climate zone</v>
      </c>
      <c r="F225" s="116"/>
      <c r="G225" s="108"/>
      <c r="H225" s="107" t="str">
        <f>'Input - Site'!$E$32</f>
        <v>Dry climate zone</v>
      </c>
      <c r="T225" s="51" t="str">
        <f>TEXT(EDATE('Input - Site'!$E$12,1), "mmmm yyyy")</f>
        <v>February 2024</v>
      </c>
      <c r="U225" s="51">
        <f>'Input - Swine'!E92</f>
        <v>0</v>
      </c>
      <c r="V225" s="51">
        <f>'Input - Swine'!F92</f>
        <v>0</v>
      </c>
      <c r="W225" s="51">
        <f>'Input - Swine'!G92</f>
        <v>0</v>
      </c>
      <c r="X225" s="51">
        <f>'Input - Swine'!H92</f>
        <v>0</v>
      </c>
      <c r="Y225" s="51">
        <f>'Input - Swine'!I92</f>
        <v>0</v>
      </c>
      <c r="Z225" s="51">
        <f>'Input - Swine'!J92</f>
        <v>0</v>
      </c>
      <c r="AA225" s="51" t="e">
        <f>'Input - Swine'!#REF!</f>
        <v>#REF!</v>
      </c>
      <c r="AB225" s="51" t="e">
        <f>'Input - Swine'!#REF!</f>
        <v>#REF!</v>
      </c>
      <c r="AC225" s="51">
        <f>'Input - Swine'!M101</f>
        <v>0</v>
      </c>
      <c r="AD225" s="51">
        <f>'Input - Swine'!N82</f>
        <v>0.25</v>
      </c>
      <c r="AE225" s="2" t="s">
        <v>171</v>
      </c>
    </row>
    <row r="226" spans="4:31" ht="20.100000000000001" customHeight="1" x14ac:dyDescent="0.25">
      <c r="T226" s="51" t="str">
        <f>TEXT(EDATE('Input - Site'!$E$12,2), "mmmm yyyy")</f>
        <v>March 2024</v>
      </c>
      <c r="U226" s="51">
        <f>'Input - Swine'!E93</f>
        <v>0</v>
      </c>
      <c r="V226" s="51">
        <f>'Input - Swine'!F93</f>
        <v>0</v>
      </c>
      <c r="W226" s="51">
        <f>'Input - Swine'!G93</f>
        <v>0</v>
      </c>
      <c r="X226" s="51">
        <f>'Input - Swine'!H93</f>
        <v>0</v>
      </c>
      <c r="Y226" s="51">
        <f>'Input - Swine'!I93</f>
        <v>0</v>
      </c>
      <c r="Z226" s="51">
        <f>'Input - Swine'!J93</f>
        <v>0</v>
      </c>
      <c r="AA226" s="51" t="e">
        <f>'Input - Swine'!#REF!</f>
        <v>#REF!</v>
      </c>
      <c r="AB226" s="51" t="e">
        <f>'Input - Swine'!#REF!</f>
        <v>#REF!</v>
      </c>
      <c r="AC226" s="51" t="e">
        <f>'Input - Swine'!#REF!</f>
        <v>#REF!</v>
      </c>
      <c r="AD226" s="51">
        <f>'Input - Swine'!N83</f>
        <v>0.25</v>
      </c>
      <c r="AE226" s="2" t="s">
        <v>171</v>
      </c>
    </row>
    <row r="227" spans="4:31" ht="20.100000000000001" customHeight="1" x14ac:dyDescent="0.25">
      <c r="D227" s="100" t="s">
        <v>107</v>
      </c>
      <c r="E227" s="101" t="e" cm="1">
        <f t="array" ref="E227">MMS_PastureBeef_Soil_N2ODirect_Equations.VEERG_4_2_1_3__1_DirectNitrousOxideEmissionsOnPasture($E$210,$H$223,$H$224)</f>
        <v>#VALUE!</v>
      </c>
      <c r="F227" s="102" t="str">
        <f>$E$220</f>
        <v>t N2O</v>
      </c>
      <c r="T227" s="51" t="str">
        <f>TEXT(EDATE('Input - Site'!$E$12,3), "mmmm yyyy")</f>
        <v>April 2024</v>
      </c>
      <c r="U227" s="51">
        <f>'Input - Swine'!E94</f>
        <v>0</v>
      </c>
      <c r="V227" s="51">
        <f>'Input - Swine'!F94</f>
        <v>0</v>
      </c>
      <c r="W227" s="51">
        <f>'Input - Swine'!G94</f>
        <v>0</v>
      </c>
      <c r="X227" s="51">
        <f>'Input - Swine'!H94</f>
        <v>0</v>
      </c>
      <c r="Y227" s="51">
        <f>'Input - Swine'!I94</f>
        <v>0</v>
      </c>
      <c r="Z227" s="51">
        <f>'Input - Swine'!J94</f>
        <v>0</v>
      </c>
      <c r="AA227" s="51" t="e">
        <f>'Input - Swine'!#REF!</f>
        <v>#REF!</v>
      </c>
      <c r="AB227" s="51" t="e">
        <f>'Input - Swine'!#REF!</f>
        <v>#REF!</v>
      </c>
      <c r="AC227" s="51" t="e">
        <f>'Input - Swine'!#REF!</f>
        <v>#REF!</v>
      </c>
      <c r="AD227" s="51">
        <f>'Input - Swine'!N84</f>
        <v>0</v>
      </c>
      <c r="AE227" s="2" t="s">
        <v>171</v>
      </c>
    </row>
    <row r="228" spans="4:31" ht="20.100000000000001" customHeight="1" x14ac:dyDescent="0.25">
      <c r="T228" s="51" t="str">
        <f>TEXT(EDATE('Input - Site'!$E$12,4), "mmmm yyyy")</f>
        <v>May 2024</v>
      </c>
      <c r="U228" s="51">
        <f>'Input - Swine'!E95</f>
        <v>0</v>
      </c>
      <c r="V228" s="51">
        <f>'Input - Swine'!F95</f>
        <v>0</v>
      </c>
      <c r="W228" s="51">
        <f>'Input - Swine'!G95</f>
        <v>0</v>
      </c>
      <c r="X228" s="51">
        <f>'Input - Swine'!H95</f>
        <v>0</v>
      </c>
      <c r="Y228" s="51">
        <f>'Input - Swine'!I95</f>
        <v>0</v>
      </c>
      <c r="Z228" s="51">
        <f>'Input - Swine'!J95</f>
        <v>0</v>
      </c>
      <c r="AA228" s="51" t="e">
        <f>'Input - Swine'!#REF!</f>
        <v>#REF!</v>
      </c>
      <c r="AB228" s="51" t="e">
        <f>'Input - Swine'!#REF!</f>
        <v>#REF!</v>
      </c>
      <c r="AC228" s="51" t="e">
        <f>'Input - Swine'!#REF!</f>
        <v>#REF!</v>
      </c>
      <c r="AD228" s="51">
        <f>'Input - Swine'!N85</f>
        <v>0</v>
      </c>
      <c r="AE228" s="2" t="s">
        <v>171</v>
      </c>
    </row>
    <row r="229" spans="4:31" ht="20.100000000000001" customHeight="1" x14ac:dyDescent="0.25">
      <c r="D229" s="56" t="str" cm="1">
        <f t="array" ref="D229:E230">Common_Equations.Common_ConvertN2OToCO2e_Arguments()</f>
        <v>EN2O</v>
      </c>
      <c r="E229" s="57" t="str">
        <v>Nitrous oxide emissions (t N2O)</v>
      </c>
      <c r="F229" s="103"/>
      <c r="G229" s="51" t="e">
        <f>E227</f>
        <v>#VALUE!</v>
      </c>
      <c r="T229" s="51" t="str">
        <f>TEXT(EDATE('Input - Site'!$E$12,5), "mmmm yyyy")</f>
        <v>June 2024</v>
      </c>
      <c r="U229" s="51">
        <f>'Input - Swine'!E96</f>
        <v>0</v>
      </c>
      <c r="V229" s="51">
        <f>'Input - Swine'!F96</f>
        <v>0</v>
      </c>
      <c r="W229" s="51">
        <f>'Input - Swine'!G96</f>
        <v>0</v>
      </c>
      <c r="X229" s="51">
        <f>'Input - Swine'!H96</f>
        <v>0</v>
      </c>
      <c r="Y229" s="51">
        <f>'Input - Swine'!I96</f>
        <v>0</v>
      </c>
      <c r="Z229" s="51">
        <f>'Input - Swine'!J96</f>
        <v>0</v>
      </c>
      <c r="AA229" s="51" t="e">
        <f>'Input - Swine'!#REF!</f>
        <v>#REF!</v>
      </c>
      <c r="AB229" s="51" t="e">
        <f>'Input - Swine'!#REF!</f>
        <v>#REF!</v>
      </c>
      <c r="AC229" s="51" t="e">
        <f>'Input - Swine'!#REF!</f>
        <v>#REF!</v>
      </c>
      <c r="AD229" s="51" t="e">
        <f>'Input - Swine'!#REF!</f>
        <v>#REF!</v>
      </c>
      <c r="AE229" s="2" t="s">
        <v>171</v>
      </c>
    </row>
    <row r="230" spans="4:31" ht="20.100000000000001" customHeight="1" x14ac:dyDescent="0.25">
      <c r="D230" s="56" t="str">
        <v>GWPN2O</v>
      </c>
      <c r="E230" s="57" t="str">
        <v>Global warming potential for nitrous oxide (t CO2-e / t N2O)</v>
      </c>
      <c r="F230" s="103"/>
      <c r="G230" s="51">
        <f>Common_InputFunctions.Utility_LookupValueInTableNumber("N2O",Table_GWPData[Gas],Table_GWPData[CO2-e factor])</f>
        <v>265</v>
      </c>
      <c r="T230" s="51" t="str">
        <f>TEXT(EDATE('Input - Site'!$E$12,6), "mmmm yyyy")</f>
        <v>July 2024</v>
      </c>
      <c r="U230" s="51">
        <f>'Input - Swine'!E97</f>
        <v>0</v>
      </c>
      <c r="V230" s="51">
        <f>'Input - Swine'!F97</f>
        <v>0</v>
      </c>
      <c r="W230" s="51">
        <f>'Input - Swine'!G97</f>
        <v>0</v>
      </c>
      <c r="X230" s="51">
        <f>'Input - Swine'!H97</f>
        <v>0</v>
      </c>
      <c r="Y230" s="51">
        <f>'Input - Swine'!I97</f>
        <v>0</v>
      </c>
      <c r="Z230" s="51">
        <f>'Input - Swine'!J97</f>
        <v>0</v>
      </c>
      <c r="AA230" s="51" t="e">
        <f>'Input - Swine'!#REF!</f>
        <v>#REF!</v>
      </c>
      <c r="AB230" s="51" t="e">
        <f>'Input - Swine'!#REF!</f>
        <v>#REF!</v>
      </c>
      <c r="AC230" s="51" t="e">
        <f>'Input - Swine'!#REF!</f>
        <v>#REF!</v>
      </c>
      <c r="AD230" s="51">
        <f>'Input - Swine'!N86</f>
        <v>0</v>
      </c>
      <c r="AE230" s="2" t="s">
        <v>171</v>
      </c>
    </row>
    <row r="231" spans="4:31" ht="20.100000000000001" customHeight="1" x14ac:dyDescent="0.25">
      <c r="T231" s="51" t="str">
        <f>TEXT(EDATE('Input - Site'!$E$12,7), "mmmm yyyy")</f>
        <v>August 2024</v>
      </c>
      <c r="U231" s="51">
        <f>'Input - Swine'!E98</f>
        <v>0</v>
      </c>
      <c r="V231" s="51">
        <f>'Input - Swine'!F98</f>
        <v>0</v>
      </c>
      <c r="W231" s="51">
        <f>'Input - Swine'!G98</f>
        <v>0</v>
      </c>
      <c r="X231" s="51">
        <f>'Input - Swine'!H98</f>
        <v>0</v>
      </c>
      <c r="Y231" s="51">
        <f>'Input - Swine'!I98</f>
        <v>0</v>
      </c>
      <c r="Z231" s="51">
        <f>'Input - Swine'!J98</f>
        <v>0</v>
      </c>
      <c r="AA231" s="51" t="e">
        <f>'Input - Swine'!#REF!</f>
        <v>#REF!</v>
      </c>
      <c r="AB231" s="51" t="e">
        <f>'Input - Swine'!#REF!</f>
        <v>#REF!</v>
      </c>
      <c r="AC231" s="51" t="e">
        <f>'Input - Swine'!#REF!</f>
        <v>#REF!</v>
      </c>
      <c r="AD231" s="51">
        <f>'Input - Swine'!N87</f>
        <v>0</v>
      </c>
      <c r="AE231" s="2" t="s">
        <v>171</v>
      </c>
    </row>
    <row r="232" spans="4:31" ht="20.100000000000001" customHeight="1" x14ac:dyDescent="0.25">
      <c r="D232" s="45" t="s">
        <v>102</v>
      </c>
      <c r="E232" s="45" t="e" cm="1">
        <f t="array" ref="E232">Common_Equations.Common_ConvertN2OToCO2e(G229,G230)</f>
        <v>#VALUE!</v>
      </c>
      <c r="F232" s="104" t="str" cm="1">
        <f t="array" ref="F232">Common_Equations.Common_ConvertN2OToCO2e_Unit()</f>
        <v>t CO2e</v>
      </c>
      <c r="T232" s="51" t="str">
        <f>TEXT(EDATE('Input - Site'!$E$12,8), "mmmm yyyy")</f>
        <v>September 2024</v>
      </c>
      <c r="U232" s="51">
        <f>'Input - Swine'!E99</f>
        <v>0</v>
      </c>
      <c r="V232" s="51">
        <f>'Input - Swine'!F99</f>
        <v>0</v>
      </c>
      <c r="W232" s="51">
        <f>'Input - Swine'!G99</f>
        <v>0</v>
      </c>
      <c r="X232" s="51">
        <f>'Input - Swine'!H99</f>
        <v>0</v>
      </c>
      <c r="Y232" s="51">
        <f>'Input - Swine'!I99</f>
        <v>0</v>
      </c>
      <c r="Z232" s="51">
        <f>'Input - Swine'!J99</f>
        <v>0</v>
      </c>
      <c r="AA232" s="51" t="e">
        <f>'Input - Swine'!#REF!</f>
        <v>#REF!</v>
      </c>
      <c r="AB232" s="51" t="e">
        <f>'Input - Swine'!#REF!</f>
        <v>#REF!</v>
      </c>
      <c r="AC232" s="51" t="e">
        <f>'Input - Swine'!#REF!</f>
        <v>#REF!</v>
      </c>
      <c r="AD232" s="51">
        <f>'Input - Swine'!N88</f>
        <v>0</v>
      </c>
      <c r="AE232" s="2" t="s">
        <v>171</v>
      </c>
    </row>
    <row r="233" spans="4:31" ht="20.100000000000001" customHeight="1" x14ac:dyDescent="0.25">
      <c r="T233" s="51" t="str">
        <f>TEXT(EDATE('Input - Site'!$E$12,9), "mmmm yyyy")</f>
        <v>October 2024</v>
      </c>
      <c r="U233" s="51">
        <f>'Input - Swine'!E100</f>
        <v>0</v>
      </c>
      <c r="V233" s="51">
        <f>'Input - Swine'!F100</f>
        <v>0</v>
      </c>
      <c r="W233" s="51">
        <f>'Input - Swine'!G100</f>
        <v>0</v>
      </c>
      <c r="X233" s="51">
        <f>'Input - Swine'!H100</f>
        <v>0</v>
      </c>
      <c r="Y233" s="51">
        <f>'Input - Swine'!I100</f>
        <v>0</v>
      </c>
      <c r="Z233" s="51">
        <f>'Input - Swine'!J100</f>
        <v>0</v>
      </c>
      <c r="AA233" s="51" t="e">
        <f>'Input - Swine'!#REF!</f>
        <v>#REF!</v>
      </c>
      <c r="AB233" s="51" t="e">
        <f>'Input - Swine'!#REF!</f>
        <v>#REF!</v>
      </c>
      <c r="AC233" s="51" t="e">
        <f>'Input - Swine'!#REF!</f>
        <v>#REF!</v>
      </c>
      <c r="AD233" s="51">
        <f>'Input - Swine'!N89</f>
        <v>0</v>
      </c>
      <c r="AE233" s="2" t="s">
        <v>171</v>
      </c>
    </row>
    <row r="234" spans="4:31" ht="20.100000000000001" customHeight="1" x14ac:dyDescent="0.25">
      <c r="T234" s="51" t="str">
        <f>TEXT(EDATE('Input - Site'!$E$12,10), "mmmm yyyy")</f>
        <v>November 2024</v>
      </c>
      <c r="U234" s="51">
        <f>'Input - Swine'!E101</f>
        <v>0</v>
      </c>
      <c r="V234" s="51">
        <f>'Input - Swine'!F101</f>
        <v>0</v>
      </c>
      <c r="W234" s="51">
        <f>'Input - Swine'!G101</f>
        <v>0</v>
      </c>
      <c r="X234" s="51">
        <f>'Input - Swine'!H101</f>
        <v>0</v>
      </c>
      <c r="Y234" s="51">
        <f>'Input - Swine'!I101</f>
        <v>0</v>
      </c>
      <c r="Z234" s="51">
        <f>'Input - Swine'!J101</f>
        <v>0</v>
      </c>
      <c r="AA234" s="51" t="e">
        <f>'Input - Swine'!#REF!</f>
        <v>#REF!</v>
      </c>
      <c r="AB234" s="51" t="e">
        <f>'Input - Swine'!#REF!</f>
        <v>#REF!</v>
      </c>
      <c r="AC234" s="51" t="e">
        <f>'Input - Swine'!#REF!</f>
        <v>#REF!</v>
      </c>
      <c r="AD234" s="51">
        <f>'Input - Swine'!N90</f>
        <v>0</v>
      </c>
      <c r="AE234" s="2" t="s">
        <v>171</v>
      </c>
    </row>
    <row r="235" spans="4:31" ht="20.100000000000001" customHeight="1" x14ac:dyDescent="0.25">
      <c r="T235" s="51" t="str">
        <f>TEXT(EDATE('Input - Site'!$E$12,11), "mmmm yyyy")</f>
        <v>December 2024</v>
      </c>
      <c r="U235" s="51">
        <f>'Input - Swine'!E102</f>
        <v>0</v>
      </c>
      <c r="V235" s="51">
        <f>'Input - Swine'!F102</f>
        <v>0</v>
      </c>
      <c r="W235" s="51">
        <f>'Input - Swine'!G102</f>
        <v>0</v>
      </c>
      <c r="X235" s="51">
        <f>'Input - Swine'!H102</f>
        <v>0</v>
      </c>
      <c r="Y235" s="51">
        <f>'Input - Swine'!I102</f>
        <v>0</v>
      </c>
      <c r="Z235" s="51">
        <f>'Input - Swine'!J102</f>
        <v>0</v>
      </c>
      <c r="AA235" s="51" t="e">
        <f>'Input - Swine'!#REF!</f>
        <v>#REF!</v>
      </c>
      <c r="AB235" s="51" t="e">
        <f>'Input - Swine'!#REF!</f>
        <v>#REF!</v>
      </c>
      <c r="AC235" s="51" t="e">
        <f>'Input - Swine'!#REF!</f>
        <v>#REF!</v>
      </c>
      <c r="AD235" s="51">
        <f>'Input - Swine'!N91</f>
        <v>0</v>
      </c>
      <c r="AE235" s="2" t="s">
        <v>171</v>
      </c>
    </row>
    <row r="236" spans="4:31" ht="20.100000000000001" customHeight="1" x14ac:dyDescent="0.25"/>
    <row r="237" spans="4:31" ht="20.100000000000001" customHeight="1" x14ac:dyDescent="0.25">
      <c r="T237" s="98" t="s">
        <v>210</v>
      </c>
    </row>
    <row r="238" spans="4:31" ht="20.100000000000001" customHeight="1" x14ac:dyDescent="0.25">
      <c r="T238" s="97" t="s">
        <v>211</v>
      </c>
    </row>
    <row r="239" spans="4:31" ht="20.100000000000001" customHeight="1" x14ac:dyDescent="0.25">
      <c r="T239" s="50" t="s">
        <v>119</v>
      </c>
      <c r="U239" s="50" t="s">
        <v>118</v>
      </c>
      <c r="V239" s="50" t="s">
        <v>117</v>
      </c>
      <c r="W239" s="50" t="s">
        <v>141</v>
      </c>
      <c r="X239" s="50" t="s">
        <v>142</v>
      </c>
      <c r="Y239" s="50" t="s">
        <v>143</v>
      </c>
      <c r="Z239" s="50" t="s">
        <v>144</v>
      </c>
      <c r="AA239" s="50" t="s">
        <v>145</v>
      </c>
      <c r="AB239" s="50" t="s">
        <v>146</v>
      </c>
      <c r="AC239" s="50" t="s">
        <v>147</v>
      </c>
      <c r="AD239" s="50" t="s">
        <v>148</v>
      </c>
    </row>
    <row r="240" spans="4:31" ht="20.100000000000001" customHeight="1" x14ac:dyDescent="0.25">
      <c r="T240" s="51" t="str">
        <f>TEXT('Input - Site'!$E$12, "mmmm yyyy")</f>
        <v>January 2024</v>
      </c>
      <c r="U240" s="51" t="e" cm="1">
        <f t="array" ref="U240">MMS_PastureBeef_Soil_N2ODirect_Equations.VEERG_4_2_1_3__2_TotalNitrogenExcretedToPastureRangeAndPaddock(U208,U188,U224)</f>
        <v>#REF!</v>
      </c>
      <c r="V240" s="51" t="e" cm="1">
        <f t="array" ref="V240">MMS_PastureBeef_Soil_N2ODirect_Equations.VEERG_4_2_1_3__2_TotalNitrogenExcretedToPastureRangeAndPaddock(V208,V188,V224)</f>
        <v>#REF!</v>
      </c>
      <c r="W240" s="51" t="e" cm="1">
        <f t="array" ref="W240">MMS_PastureBeef_Soil_N2ODirect_Equations.VEERG_4_2_1_3__2_TotalNitrogenExcretedToPastureRangeAndPaddock(W208,W188,W224)</f>
        <v>#REF!</v>
      </c>
      <c r="X240" s="51" t="e" cm="1">
        <f t="array" ref="X240">MMS_PastureBeef_Soil_N2ODirect_Equations.VEERG_4_2_1_3__2_TotalNitrogenExcretedToPastureRangeAndPaddock(X208,X188,X224)</f>
        <v>#REF!</v>
      </c>
      <c r="Y240" s="51" t="e" cm="1">
        <f t="array" ref="Y240">MMS_PastureBeef_Soil_N2ODirect_Equations.VEERG_4_2_1_3__2_TotalNitrogenExcretedToPastureRangeAndPaddock(Y208,Y188,Y224)</f>
        <v>#REF!</v>
      </c>
      <c r="Z240" s="51" t="e" cm="1">
        <f t="array" ref="Z240">MMS_PastureBeef_Soil_N2ODirect_Equations.VEERG_4_2_1_3__2_TotalNitrogenExcretedToPastureRangeAndPaddock(Z208,Z188,Z224)</f>
        <v>#REF!</v>
      </c>
      <c r="AA240" s="51" t="e" cm="1">
        <f t="array" ref="AA240">MMS_PastureBeef_Soil_N2ODirect_Equations.VEERG_4_2_1_3__2_TotalNitrogenExcretedToPastureRangeAndPaddock(AA208,AA188,AA224)</f>
        <v>#REF!</v>
      </c>
      <c r="AB240" s="51" t="e" cm="1">
        <f t="array" ref="AB240">MMS_PastureBeef_Soil_N2ODirect_Equations.VEERG_4_2_1_3__2_TotalNitrogenExcretedToPastureRangeAndPaddock(AB208,AB188,AB224)</f>
        <v>#REF!</v>
      </c>
      <c r="AC240" s="51" t="e" cm="1">
        <f t="array" ref="AC240">MMS_PastureBeef_Soil_N2ODirect_Equations.VEERG_4_2_1_3__2_TotalNitrogenExcretedToPastureRangeAndPaddock(AC208,AC188,AC224)</f>
        <v>#REF!</v>
      </c>
      <c r="AD240" s="51" t="e" cm="1">
        <f t="array" ref="AD240">MMS_PastureBeef_Soil_N2ODirect_Equations.VEERG_4_2_1_3__2_TotalNitrogenExcretedToPastureRangeAndPaddock(AD208,AD188,AD224)</f>
        <v>#REF!</v>
      </c>
      <c r="AE240" s="2" t="str">
        <f t="shared" ref="AE240:AE251" si="14">$E$180</f>
        <v>kg N</v>
      </c>
    </row>
    <row r="241" spans="19:32" ht="20.100000000000001" customHeight="1" x14ac:dyDescent="0.25">
      <c r="T241" s="51" t="str">
        <f>TEXT(EDATE('Input - Site'!$E$12,1), "mmmm yyyy")</f>
        <v>February 2024</v>
      </c>
      <c r="U241" s="51" t="e" cm="1">
        <f t="array" ref="U241">MMS_PastureBeef_Soil_N2ODirect_Equations.VEERG_4_2_1_3__2_TotalNitrogenExcretedToPastureRangeAndPaddock(U209,U189,U225)</f>
        <v>#REF!</v>
      </c>
      <c r="V241" s="51" t="e" cm="1">
        <f t="array" ref="V241">MMS_PastureBeef_Soil_N2ODirect_Equations.VEERG_4_2_1_3__2_TotalNitrogenExcretedToPastureRangeAndPaddock(V209,V189,V225)</f>
        <v>#REF!</v>
      </c>
      <c r="W241" s="51" t="e" cm="1">
        <f t="array" ref="W241">MMS_PastureBeef_Soil_N2ODirect_Equations.VEERG_4_2_1_3__2_TotalNitrogenExcretedToPastureRangeAndPaddock(W209,W189,W225)</f>
        <v>#REF!</v>
      </c>
      <c r="X241" s="51" t="e" cm="1">
        <f t="array" ref="X241">MMS_PastureBeef_Soil_N2ODirect_Equations.VEERG_4_2_1_3__2_TotalNitrogenExcretedToPastureRangeAndPaddock(X209,X189,X225)</f>
        <v>#REF!</v>
      </c>
      <c r="Y241" s="51" t="e" cm="1">
        <f t="array" ref="Y241">MMS_PastureBeef_Soil_N2ODirect_Equations.VEERG_4_2_1_3__2_TotalNitrogenExcretedToPastureRangeAndPaddock(Y209,Y189,Y225)</f>
        <v>#REF!</v>
      </c>
      <c r="Z241" s="51" t="e" cm="1">
        <f t="array" ref="Z241">MMS_PastureBeef_Soil_N2ODirect_Equations.VEERG_4_2_1_3__2_TotalNitrogenExcretedToPastureRangeAndPaddock(Z209,Z189,Z225)</f>
        <v>#REF!</v>
      </c>
      <c r="AA241" s="51" t="e" cm="1">
        <f t="array" ref="AA241">MMS_PastureBeef_Soil_N2ODirect_Equations.VEERG_4_2_1_3__2_TotalNitrogenExcretedToPastureRangeAndPaddock(AA209,AA189,AA225)</f>
        <v>#REF!</v>
      </c>
      <c r="AB241" s="51" t="e" cm="1">
        <f t="array" ref="AB241">MMS_PastureBeef_Soil_N2ODirect_Equations.VEERG_4_2_1_3__2_TotalNitrogenExcretedToPastureRangeAndPaddock(AB209,AB189,AB225)</f>
        <v>#REF!</v>
      </c>
      <c r="AC241" s="51" t="e" cm="1">
        <f t="array" ref="AC241">MMS_PastureBeef_Soil_N2ODirect_Equations.VEERG_4_2_1_3__2_TotalNitrogenExcretedToPastureRangeAndPaddock(AC209,AC189,AC225)</f>
        <v>#REF!</v>
      </c>
      <c r="AD241" s="51" t="e" cm="1">
        <f t="array" ref="AD241">MMS_PastureBeef_Soil_N2ODirect_Equations.VEERG_4_2_1_3__2_TotalNitrogenExcretedToPastureRangeAndPaddock(AD209,AD189,AD225)</f>
        <v>#REF!</v>
      </c>
      <c r="AE241" s="2" t="str">
        <f t="shared" si="14"/>
        <v>kg N</v>
      </c>
    </row>
    <row r="242" spans="19:32" ht="20.100000000000001" customHeight="1" x14ac:dyDescent="0.25">
      <c r="T242" s="51" t="str">
        <f>TEXT(EDATE('Input - Site'!$E$12,2), "mmmm yyyy")</f>
        <v>March 2024</v>
      </c>
      <c r="U242" s="51" t="e" cm="1">
        <f t="array" ref="U242">MMS_PastureBeef_Soil_N2ODirect_Equations.VEERG_4_2_1_3__2_TotalNitrogenExcretedToPastureRangeAndPaddock(U210,U190,U226)</f>
        <v>#REF!</v>
      </c>
      <c r="V242" s="51" t="e" cm="1">
        <f t="array" ref="V242">MMS_PastureBeef_Soil_N2ODirect_Equations.VEERG_4_2_1_3__2_TotalNitrogenExcretedToPastureRangeAndPaddock(V210,V190,V226)</f>
        <v>#REF!</v>
      </c>
      <c r="W242" s="51" t="e" cm="1">
        <f t="array" ref="W242">MMS_PastureBeef_Soil_N2ODirect_Equations.VEERG_4_2_1_3__2_TotalNitrogenExcretedToPastureRangeAndPaddock(W210,W190,W226)</f>
        <v>#REF!</v>
      </c>
      <c r="X242" s="51" t="e" cm="1">
        <f t="array" ref="X242">MMS_PastureBeef_Soil_N2ODirect_Equations.VEERG_4_2_1_3__2_TotalNitrogenExcretedToPastureRangeAndPaddock(X210,X190,X226)</f>
        <v>#REF!</v>
      </c>
      <c r="Y242" s="51" t="e" cm="1">
        <f t="array" ref="Y242">MMS_PastureBeef_Soil_N2ODirect_Equations.VEERG_4_2_1_3__2_TotalNitrogenExcretedToPastureRangeAndPaddock(Y210,Y190,Y226)</f>
        <v>#REF!</v>
      </c>
      <c r="Z242" s="51" t="e" cm="1">
        <f t="array" ref="Z242">MMS_PastureBeef_Soil_N2ODirect_Equations.VEERG_4_2_1_3__2_TotalNitrogenExcretedToPastureRangeAndPaddock(Z210,Z190,Z226)</f>
        <v>#REF!</v>
      </c>
      <c r="AA242" s="51" t="e" cm="1">
        <f t="array" ref="AA242">MMS_PastureBeef_Soil_N2ODirect_Equations.VEERG_4_2_1_3__2_TotalNitrogenExcretedToPastureRangeAndPaddock(AA210,AA190,AA226)</f>
        <v>#REF!</v>
      </c>
      <c r="AB242" s="51" t="e" cm="1">
        <f t="array" ref="AB242">MMS_PastureBeef_Soil_N2ODirect_Equations.VEERG_4_2_1_3__2_TotalNitrogenExcretedToPastureRangeAndPaddock(AB210,AB190,AB226)</f>
        <v>#REF!</v>
      </c>
      <c r="AC242" s="51" t="e" cm="1">
        <f t="array" ref="AC242">MMS_PastureBeef_Soil_N2ODirect_Equations.VEERG_4_2_1_3__2_TotalNitrogenExcretedToPastureRangeAndPaddock(AC210,AC190,AC226)</f>
        <v>#REF!</v>
      </c>
      <c r="AD242" s="51" t="e" cm="1">
        <f t="array" ref="AD242">MMS_PastureBeef_Soil_N2ODirect_Equations.VEERG_4_2_1_3__2_TotalNitrogenExcretedToPastureRangeAndPaddock(AD210,AD190,AD226)</f>
        <v>#REF!</v>
      </c>
      <c r="AE242" s="2" t="str">
        <f t="shared" si="14"/>
        <v>kg N</v>
      </c>
    </row>
    <row r="243" spans="19:32" ht="20.100000000000001" customHeight="1" x14ac:dyDescent="0.25">
      <c r="T243" s="51" t="str">
        <f>TEXT(EDATE('Input - Site'!$E$12,3), "mmmm yyyy")</f>
        <v>April 2024</v>
      </c>
      <c r="U243" s="51" t="e" cm="1">
        <f t="array" ref="U243">MMS_PastureBeef_Soil_N2ODirect_Equations.VEERG_4_2_1_3__2_TotalNitrogenExcretedToPastureRangeAndPaddock(U211,U191,U227)</f>
        <v>#REF!</v>
      </c>
      <c r="V243" s="51" t="e" cm="1">
        <f t="array" ref="V243">MMS_PastureBeef_Soil_N2ODirect_Equations.VEERG_4_2_1_3__2_TotalNitrogenExcretedToPastureRangeAndPaddock(V211,V191,V227)</f>
        <v>#REF!</v>
      </c>
      <c r="W243" s="51" t="e" cm="1">
        <f t="array" ref="W243">MMS_PastureBeef_Soil_N2ODirect_Equations.VEERG_4_2_1_3__2_TotalNitrogenExcretedToPastureRangeAndPaddock(W211,W191,W227)</f>
        <v>#REF!</v>
      </c>
      <c r="X243" s="51" t="e" cm="1">
        <f t="array" ref="X243">MMS_PastureBeef_Soil_N2ODirect_Equations.VEERG_4_2_1_3__2_TotalNitrogenExcretedToPastureRangeAndPaddock(X211,X191,X227)</f>
        <v>#REF!</v>
      </c>
      <c r="Y243" s="51" t="e" cm="1">
        <f t="array" ref="Y243">MMS_PastureBeef_Soil_N2ODirect_Equations.VEERG_4_2_1_3__2_TotalNitrogenExcretedToPastureRangeAndPaddock(Y211,Y191,Y227)</f>
        <v>#REF!</v>
      </c>
      <c r="Z243" s="51" t="e" cm="1">
        <f t="array" ref="Z243">MMS_PastureBeef_Soil_N2ODirect_Equations.VEERG_4_2_1_3__2_TotalNitrogenExcretedToPastureRangeAndPaddock(Z211,Z191,Z227)</f>
        <v>#REF!</v>
      </c>
      <c r="AA243" s="51" t="e" cm="1">
        <f t="array" ref="AA243">MMS_PastureBeef_Soil_N2ODirect_Equations.VEERG_4_2_1_3__2_TotalNitrogenExcretedToPastureRangeAndPaddock(AA211,AA191,AA227)</f>
        <v>#REF!</v>
      </c>
      <c r="AB243" s="51" t="e" cm="1">
        <f t="array" ref="AB243">MMS_PastureBeef_Soil_N2ODirect_Equations.VEERG_4_2_1_3__2_TotalNitrogenExcretedToPastureRangeAndPaddock(AB211,AB191,AB227)</f>
        <v>#REF!</v>
      </c>
      <c r="AC243" s="51" t="e" cm="1">
        <f t="array" ref="AC243">MMS_PastureBeef_Soil_N2ODirect_Equations.VEERG_4_2_1_3__2_TotalNitrogenExcretedToPastureRangeAndPaddock(AC211,AC191,AC227)</f>
        <v>#REF!</v>
      </c>
      <c r="AD243" s="51" t="e" cm="1">
        <f t="array" ref="AD243">MMS_PastureBeef_Soil_N2ODirect_Equations.VEERG_4_2_1_3__2_TotalNitrogenExcretedToPastureRangeAndPaddock(AD211,AD191,AD227)</f>
        <v>#REF!</v>
      </c>
      <c r="AE243" s="2" t="str">
        <f t="shared" si="14"/>
        <v>kg N</v>
      </c>
    </row>
    <row r="244" spans="19:32" ht="20.100000000000001" customHeight="1" x14ac:dyDescent="0.25">
      <c r="T244" s="51" t="str">
        <f>TEXT(EDATE('Input - Site'!$E$12,4), "mmmm yyyy")</f>
        <v>May 2024</v>
      </c>
      <c r="U244" s="51" t="e" cm="1">
        <f t="array" ref="U244">MMS_PastureBeef_Soil_N2ODirect_Equations.VEERG_4_2_1_3__2_TotalNitrogenExcretedToPastureRangeAndPaddock(U212,U192,U228)</f>
        <v>#REF!</v>
      </c>
      <c r="V244" s="51" t="e" cm="1">
        <f t="array" ref="V244">MMS_PastureBeef_Soil_N2ODirect_Equations.VEERG_4_2_1_3__2_TotalNitrogenExcretedToPastureRangeAndPaddock(V212,V192,V228)</f>
        <v>#REF!</v>
      </c>
      <c r="W244" s="51" t="e" cm="1">
        <f t="array" ref="W244">MMS_PastureBeef_Soil_N2ODirect_Equations.VEERG_4_2_1_3__2_TotalNitrogenExcretedToPastureRangeAndPaddock(W212,W192,W228)</f>
        <v>#REF!</v>
      </c>
      <c r="X244" s="51" t="e" cm="1">
        <f t="array" ref="X244">MMS_PastureBeef_Soil_N2ODirect_Equations.VEERG_4_2_1_3__2_TotalNitrogenExcretedToPastureRangeAndPaddock(X212,X192,X228)</f>
        <v>#REF!</v>
      </c>
      <c r="Y244" s="51" t="e" cm="1">
        <f t="array" ref="Y244">MMS_PastureBeef_Soil_N2ODirect_Equations.VEERG_4_2_1_3__2_TotalNitrogenExcretedToPastureRangeAndPaddock(Y212,Y192,Y228)</f>
        <v>#REF!</v>
      </c>
      <c r="Z244" s="51" t="e" cm="1">
        <f t="array" ref="Z244">MMS_PastureBeef_Soil_N2ODirect_Equations.VEERG_4_2_1_3__2_TotalNitrogenExcretedToPastureRangeAndPaddock(Z212,Z192,Z228)</f>
        <v>#REF!</v>
      </c>
      <c r="AA244" s="51" t="e" cm="1">
        <f t="array" ref="AA244">MMS_PastureBeef_Soil_N2ODirect_Equations.VEERG_4_2_1_3__2_TotalNitrogenExcretedToPastureRangeAndPaddock(AA212,AA192,AA228)</f>
        <v>#REF!</v>
      </c>
      <c r="AB244" s="51" t="e" cm="1">
        <f t="array" ref="AB244">MMS_PastureBeef_Soil_N2ODirect_Equations.VEERG_4_2_1_3__2_TotalNitrogenExcretedToPastureRangeAndPaddock(AB212,AB192,AB228)</f>
        <v>#REF!</v>
      </c>
      <c r="AC244" s="51" t="e" cm="1">
        <f t="array" ref="AC244">MMS_PastureBeef_Soil_N2ODirect_Equations.VEERG_4_2_1_3__2_TotalNitrogenExcretedToPastureRangeAndPaddock(AC212,AC192,AC228)</f>
        <v>#REF!</v>
      </c>
      <c r="AD244" s="51" t="e" cm="1">
        <f t="array" ref="AD244">MMS_PastureBeef_Soil_N2ODirect_Equations.VEERG_4_2_1_3__2_TotalNitrogenExcretedToPastureRangeAndPaddock(AD212,AD192,AD228)</f>
        <v>#REF!</v>
      </c>
      <c r="AE244" s="2" t="str">
        <f t="shared" si="14"/>
        <v>kg N</v>
      </c>
    </row>
    <row r="245" spans="19:32" ht="20.100000000000001" customHeight="1" x14ac:dyDescent="0.25">
      <c r="T245" s="51" t="str">
        <f>TEXT(EDATE('Input - Site'!$E$12,5), "mmmm yyyy")</f>
        <v>June 2024</v>
      </c>
      <c r="U245" s="51" t="e" cm="1">
        <f t="array" ref="U245">MMS_PastureBeef_Soil_N2ODirect_Equations.VEERG_4_2_1_3__2_TotalNitrogenExcretedToPastureRangeAndPaddock(U213,U193,U229)</f>
        <v>#REF!</v>
      </c>
      <c r="V245" s="51" t="e" cm="1">
        <f t="array" ref="V245">MMS_PastureBeef_Soil_N2ODirect_Equations.VEERG_4_2_1_3__2_TotalNitrogenExcretedToPastureRangeAndPaddock(V213,V193,V229)</f>
        <v>#REF!</v>
      </c>
      <c r="W245" s="51" t="e" cm="1">
        <f t="array" ref="W245">MMS_PastureBeef_Soil_N2ODirect_Equations.VEERG_4_2_1_3__2_TotalNitrogenExcretedToPastureRangeAndPaddock(W213,W193,W229)</f>
        <v>#REF!</v>
      </c>
      <c r="X245" s="51" t="e" cm="1">
        <f t="array" ref="X245">MMS_PastureBeef_Soil_N2ODirect_Equations.VEERG_4_2_1_3__2_TotalNitrogenExcretedToPastureRangeAndPaddock(X213,X193,X229)</f>
        <v>#REF!</v>
      </c>
      <c r="Y245" s="51" t="e" cm="1">
        <f t="array" ref="Y245">MMS_PastureBeef_Soil_N2ODirect_Equations.VEERG_4_2_1_3__2_TotalNitrogenExcretedToPastureRangeAndPaddock(Y213,Y193,Y229)</f>
        <v>#REF!</v>
      </c>
      <c r="Z245" s="51" t="e" cm="1">
        <f t="array" ref="Z245">MMS_PastureBeef_Soil_N2ODirect_Equations.VEERG_4_2_1_3__2_TotalNitrogenExcretedToPastureRangeAndPaddock(Z213,Z193,Z229)</f>
        <v>#REF!</v>
      </c>
      <c r="AA245" s="51" t="e" cm="1">
        <f t="array" ref="AA245">MMS_PastureBeef_Soil_N2ODirect_Equations.VEERG_4_2_1_3__2_TotalNitrogenExcretedToPastureRangeAndPaddock(AA213,AA193,AA229)</f>
        <v>#REF!</v>
      </c>
      <c r="AB245" s="51" t="e" cm="1">
        <f t="array" ref="AB245">MMS_PastureBeef_Soil_N2ODirect_Equations.VEERG_4_2_1_3__2_TotalNitrogenExcretedToPastureRangeAndPaddock(AB213,AB193,AB229)</f>
        <v>#REF!</v>
      </c>
      <c r="AC245" s="51" t="e" cm="1">
        <f t="array" ref="AC245">MMS_PastureBeef_Soil_N2ODirect_Equations.VEERG_4_2_1_3__2_TotalNitrogenExcretedToPastureRangeAndPaddock(AC213,AC193,AC229)</f>
        <v>#REF!</v>
      </c>
      <c r="AD245" s="51" t="e" cm="1">
        <f t="array" ref="AD245">MMS_PastureBeef_Soil_N2ODirect_Equations.VEERG_4_2_1_3__2_TotalNitrogenExcretedToPastureRangeAndPaddock(AD213,AD193,AD229)</f>
        <v>#REF!</v>
      </c>
      <c r="AE245" s="2" t="str">
        <f t="shared" si="14"/>
        <v>kg N</v>
      </c>
    </row>
    <row r="246" spans="19:32" ht="20.100000000000001" customHeight="1" x14ac:dyDescent="0.25">
      <c r="T246" s="51" t="str">
        <f>TEXT(EDATE('Input - Site'!$E$12,6), "mmmm yyyy")</f>
        <v>July 2024</v>
      </c>
      <c r="U246" s="51" t="e" cm="1">
        <f t="array" ref="U246">MMS_PastureBeef_Soil_N2ODirect_Equations.VEERG_4_2_1_3__2_TotalNitrogenExcretedToPastureRangeAndPaddock(U214,U194,U230)</f>
        <v>#REF!</v>
      </c>
      <c r="V246" s="51" t="e" cm="1">
        <f t="array" ref="V246">MMS_PastureBeef_Soil_N2ODirect_Equations.VEERG_4_2_1_3__2_TotalNitrogenExcretedToPastureRangeAndPaddock(V214,V194,V230)</f>
        <v>#REF!</v>
      </c>
      <c r="W246" s="51" t="e" cm="1">
        <f t="array" ref="W246">MMS_PastureBeef_Soil_N2ODirect_Equations.VEERG_4_2_1_3__2_TotalNitrogenExcretedToPastureRangeAndPaddock(W214,W194,W230)</f>
        <v>#REF!</v>
      </c>
      <c r="X246" s="51" t="e" cm="1">
        <f t="array" ref="X246">MMS_PastureBeef_Soil_N2ODirect_Equations.VEERG_4_2_1_3__2_TotalNitrogenExcretedToPastureRangeAndPaddock(X214,X194,X230)</f>
        <v>#REF!</v>
      </c>
      <c r="Y246" s="51" t="e" cm="1">
        <f t="array" ref="Y246">MMS_PastureBeef_Soil_N2ODirect_Equations.VEERG_4_2_1_3__2_TotalNitrogenExcretedToPastureRangeAndPaddock(Y214,Y194,Y230)</f>
        <v>#REF!</v>
      </c>
      <c r="Z246" s="51" t="e" cm="1">
        <f t="array" ref="Z246">MMS_PastureBeef_Soil_N2ODirect_Equations.VEERG_4_2_1_3__2_TotalNitrogenExcretedToPastureRangeAndPaddock(Z214,Z194,Z230)</f>
        <v>#REF!</v>
      </c>
      <c r="AA246" s="51" t="e" cm="1">
        <f t="array" ref="AA246">MMS_PastureBeef_Soil_N2ODirect_Equations.VEERG_4_2_1_3__2_TotalNitrogenExcretedToPastureRangeAndPaddock(AA214,AA194,AA230)</f>
        <v>#REF!</v>
      </c>
      <c r="AB246" s="51" t="e" cm="1">
        <f t="array" ref="AB246">MMS_PastureBeef_Soil_N2ODirect_Equations.VEERG_4_2_1_3__2_TotalNitrogenExcretedToPastureRangeAndPaddock(AB214,AB194,AB230)</f>
        <v>#REF!</v>
      </c>
      <c r="AC246" s="51" t="e" cm="1">
        <f t="array" ref="AC246">MMS_PastureBeef_Soil_N2ODirect_Equations.VEERG_4_2_1_3__2_TotalNitrogenExcretedToPastureRangeAndPaddock(AC214,AC194,AC230)</f>
        <v>#REF!</v>
      </c>
      <c r="AD246" s="51" t="e" cm="1">
        <f t="array" ref="AD246">MMS_PastureBeef_Soil_N2ODirect_Equations.VEERG_4_2_1_3__2_TotalNitrogenExcretedToPastureRangeAndPaddock(AD214,AD194,AD230)</f>
        <v>#REF!</v>
      </c>
      <c r="AE246" s="2" t="str">
        <f t="shared" si="14"/>
        <v>kg N</v>
      </c>
    </row>
    <row r="247" spans="19:32" ht="20.100000000000001" customHeight="1" x14ac:dyDescent="0.25">
      <c r="T247" s="51" t="str">
        <f>TEXT(EDATE('Input - Site'!$E$12,7), "mmmm yyyy")</f>
        <v>August 2024</v>
      </c>
      <c r="U247" s="51" t="e" cm="1">
        <f t="array" ref="U247">MMS_PastureBeef_Soil_N2ODirect_Equations.VEERG_4_2_1_3__2_TotalNitrogenExcretedToPastureRangeAndPaddock(U215,U195,U231)</f>
        <v>#REF!</v>
      </c>
      <c r="V247" s="51" t="e" cm="1">
        <f t="array" ref="V247">MMS_PastureBeef_Soil_N2ODirect_Equations.VEERG_4_2_1_3__2_TotalNitrogenExcretedToPastureRangeAndPaddock(V215,V195,V231)</f>
        <v>#REF!</v>
      </c>
      <c r="W247" s="51" t="e" cm="1">
        <f t="array" ref="W247">MMS_PastureBeef_Soil_N2ODirect_Equations.VEERG_4_2_1_3__2_TotalNitrogenExcretedToPastureRangeAndPaddock(W215,W195,W231)</f>
        <v>#REF!</v>
      </c>
      <c r="X247" s="51" t="e" cm="1">
        <f t="array" ref="X247">MMS_PastureBeef_Soil_N2ODirect_Equations.VEERG_4_2_1_3__2_TotalNitrogenExcretedToPastureRangeAndPaddock(X215,X195,X231)</f>
        <v>#REF!</v>
      </c>
      <c r="Y247" s="51" t="e" cm="1">
        <f t="array" ref="Y247">MMS_PastureBeef_Soil_N2ODirect_Equations.VEERG_4_2_1_3__2_TotalNitrogenExcretedToPastureRangeAndPaddock(Y215,Y195,Y231)</f>
        <v>#REF!</v>
      </c>
      <c r="Z247" s="51" t="e" cm="1">
        <f t="array" ref="Z247">MMS_PastureBeef_Soil_N2ODirect_Equations.VEERG_4_2_1_3__2_TotalNitrogenExcretedToPastureRangeAndPaddock(Z215,Z195,Z231)</f>
        <v>#REF!</v>
      </c>
      <c r="AA247" s="51" t="e" cm="1">
        <f t="array" ref="AA247">MMS_PastureBeef_Soil_N2ODirect_Equations.VEERG_4_2_1_3__2_TotalNitrogenExcretedToPastureRangeAndPaddock(AA215,AA195,AA231)</f>
        <v>#REF!</v>
      </c>
      <c r="AB247" s="51" t="e" cm="1">
        <f t="array" ref="AB247">MMS_PastureBeef_Soil_N2ODirect_Equations.VEERG_4_2_1_3__2_TotalNitrogenExcretedToPastureRangeAndPaddock(AB215,AB195,AB231)</f>
        <v>#REF!</v>
      </c>
      <c r="AC247" s="51" t="e" cm="1">
        <f t="array" ref="AC247">MMS_PastureBeef_Soil_N2ODirect_Equations.VEERG_4_2_1_3__2_TotalNitrogenExcretedToPastureRangeAndPaddock(AC215,AC195,AC231)</f>
        <v>#REF!</v>
      </c>
      <c r="AD247" s="51" t="e" cm="1">
        <f t="array" ref="AD247">MMS_PastureBeef_Soil_N2ODirect_Equations.VEERG_4_2_1_3__2_TotalNitrogenExcretedToPastureRangeAndPaddock(AD215,AD195,AD231)</f>
        <v>#REF!</v>
      </c>
      <c r="AE247" s="2" t="str">
        <f t="shared" si="14"/>
        <v>kg N</v>
      </c>
    </row>
    <row r="248" spans="19:32" ht="20.100000000000001" customHeight="1" x14ac:dyDescent="0.25">
      <c r="T248" s="51" t="str">
        <f>TEXT(EDATE('Input - Site'!$E$12,8), "mmmm yyyy")</f>
        <v>September 2024</v>
      </c>
      <c r="U248" s="51" t="e" cm="1">
        <f t="array" ref="U248">MMS_PastureBeef_Soil_N2ODirect_Equations.VEERG_4_2_1_3__2_TotalNitrogenExcretedToPastureRangeAndPaddock(U216,U196,U232)</f>
        <v>#REF!</v>
      </c>
      <c r="V248" s="51" t="e" cm="1">
        <f t="array" ref="V248">MMS_PastureBeef_Soil_N2ODirect_Equations.VEERG_4_2_1_3__2_TotalNitrogenExcretedToPastureRangeAndPaddock(V216,V196,V232)</f>
        <v>#REF!</v>
      </c>
      <c r="W248" s="51" t="e" cm="1">
        <f t="array" ref="W248">MMS_PastureBeef_Soil_N2ODirect_Equations.VEERG_4_2_1_3__2_TotalNitrogenExcretedToPastureRangeAndPaddock(W216,W196,W232)</f>
        <v>#REF!</v>
      </c>
      <c r="X248" s="51" t="e" cm="1">
        <f t="array" ref="X248">MMS_PastureBeef_Soil_N2ODirect_Equations.VEERG_4_2_1_3__2_TotalNitrogenExcretedToPastureRangeAndPaddock(X216,X196,X232)</f>
        <v>#REF!</v>
      </c>
      <c r="Y248" s="51" t="e" cm="1">
        <f t="array" ref="Y248">MMS_PastureBeef_Soil_N2ODirect_Equations.VEERG_4_2_1_3__2_TotalNitrogenExcretedToPastureRangeAndPaddock(Y216,Y196,Y232)</f>
        <v>#REF!</v>
      </c>
      <c r="Z248" s="51" t="e" cm="1">
        <f t="array" ref="Z248">MMS_PastureBeef_Soil_N2ODirect_Equations.VEERG_4_2_1_3__2_TotalNitrogenExcretedToPastureRangeAndPaddock(Z216,Z196,Z232)</f>
        <v>#REF!</v>
      </c>
      <c r="AA248" s="51" t="e" cm="1">
        <f t="array" ref="AA248">MMS_PastureBeef_Soil_N2ODirect_Equations.VEERG_4_2_1_3__2_TotalNitrogenExcretedToPastureRangeAndPaddock(AA216,AA196,AA232)</f>
        <v>#REF!</v>
      </c>
      <c r="AB248" s="51" t="e" cm="1">
        <f t="array" ref="AB248">MMS_PastureBeef_Soil_N2ODirect_Equations.VEERG_4_2_1_3__2_TotalNitrogenExcretedToPastureRangeAndPaddock(AB216,AB196,AB232)</f>
        <v>#REF!</v>
      </c>
      <c r="AC248" s="51" t="e" cm="1">
        <f t="array" ref="AC248">MMS_PastureBeef_Soil_N2ODirect_Equations.VEERG_4_2_1_3__2_TotalNitrogenExcretedToPastureRangeAndPaddock(AC216,AC196,AC232)</f>
        <v>#REF!</v>
      </c>
      <c r="AD248" s="51" t="e" cm="1">
        <f t="array" ref="AD248">MMS_PastureBeef_Soil_N2ODirect_Equations.VEERG_4_2_1_3__2_TotalNitrogenExcretedToPastureRangeAndPaddock(AD216,AD196,AD232)</f>
        <v>#REF!</v>
      </c>
      <c r="AE248" s="2" t="str">
        <f t="shared" si="14"/>
        <v>kg N</v>
      </c>
    </row>
    <row r="249" spans="19:32" ht="20.100000000000001" customHeight="1" x14ac:dyDescent="0.25">
      <c r="T249" s="51" t="str">
        <f>TEXT(EDATE('Input - Site'!$E$12,9), "mmmm yyyy")</f>
        <v>October 2024</v>
      </c>
      <c r="U249" s="51" t="e" cm="1">
        <f t="array" ref="U249">MMS_PastureBeef_Soil_N2ODirect_Equations.VEERG_4_2_1_3__2_TotalNitrogenExcretedToPastureRangeAndPaddock(U217,U197,U233)</f>
        <v>#REF!</v>
      </c>
      <c r="V249" s="51" t="e" cm="1">
        <f t="array" ref="V249">MMS_PastureBeef_Soil_N2ODirect_Equations.VEERG_4_2_1_3__2_TotalNitrogenExcretedToPastureRangeAndPaddock(V217,V197,V233)</f>
        <v>#REF!</v>
      </c>
      <c r="W249" s="51" t="e" cm="1">
        <f t="array" ref="W249">MMS_PastureBeef_Soil_N2ODirect_Equations.VEERG_4_2_1_3__2_TotalNitrogenExcretedToPastureRangeAndPaddock(W217,W197,W233)</f>
        <v>#REF!</v>
      </c>
      <c r="X249" s="51" t="e" cm="1">
        <f t="array" ref="X249">MMS_PastureBeef_Soil_N2ODirect_Equations.VEERG_4_2_1_3__2_TotalNitrogenExcretedToPastureRangeAndPaddock(X217,X197,X233)</f>
        <v>#REF!</v>
      </c>
      <c r="Y249" s="51" t="e" cm="1">
        <f t="array" ref="Y249">MMS_PastureBeef_Soil_N2ODirect_Equations.VEERG_4_2_1_3__2_TotalNitrogenExcretedToPastureRangeAndPaddock(Y217,Y197,Y233)</f>
        <v>#REF!</v>
      </c>
      <c r="Z249" s="51" t="e" cm="1">
        <f t="array" ref="Z249">MMS_PastureBeef_Soil_N2ODirect_Equations.VEERG_4_2_1_3__2_TotalNitrogenExcretedToPastureRangeAndPaddock(Z217,Z197,Z233)</f>
        <v>#REF!</v>
      </c>
      <c r="AA249" s="51" t="e" cm="1">
        <f t="array" ref="AA249">MMS_PastureBeef_Soil_N2ODirect_Equations.VEERG_4_2_1_3__2_TotalNitrogenExcretedToPastureRangeAndPaddock(AA217,AA197,AA233)</f>
        <v>#REF!</v>
      </c>
      <c r="AB249" s="51" t="e" cm="1">
        <f t="array" ref="AB249">MMS_PastureBeef_Soil_N2ODirect_Equations.VEERG_4_2_1_3__2_TotalNitrogenExcretedToPastureRangeAndPaddock(AB217,AB197,AB233)</f>
        <v>#REF!</v>
      </c>
      <c r="AC249" s="51" t="e" cm="1">
        <f t="array" ref="AC249">MMS_PastureBeef_Soil_N2ODirect_Equations.VEERG_4_2_1_3__2_TotalNitrogenExcretedToPastureRangeAndPaddock(AC217,AC197,AC233)</f>
        <v>#REF!</v>
      </c>
      <c r="AD249" s="51" t="e" cm="1">
        <f t="array" ref="AD249">MMS_PastureBeef_Soil_N2ODirect_Equations.VEERG_4_2_1_3__2_TotalNitrogenExcretedToPastureRangeAndPaddock(AD217,AD197,AD233)</f>
        <v>#REF!</v>
      </c>
      <c r="AE249" s="2" t="str">
        <f t="shared" si="14"/>
        <v>kg N</v>
      </c>
    </row>
    <row r="250" spans="19:32" ht="20.100000000000001" customHeight="1" x14ac:dyDescent="0.25">
      <c r="T250" s="51" t="str">
        <f>TEXT(EDATE('Input - Site'!$E$12,10), "mmmm yyyy")</f>
        <v>November 2024</v>
      </c>
      <c r="U250" s="51" t="e" cm="1">
        <f t="array" ref="U250">MMS_PastureBeef_Soil_N2ODirect_Equations.VEERG_4_2_1_3__2_TotalNitrogenExcretedToPastureRangeAndPaddock(U218,U198,U234)</f>
        <v>#REF!</v>
      </c>
      <c r="V250" s="51" t="e" cm="1">
        <f t="array" ref="V250">MMS_PastureBeef_Soil_N2ODirect_Equations.VEERG_4_2_1_3__2_TotalNitrogenExcretedToPastureRangeAndPaddock(V218,V198,V234)</f>
        <v>#REF!</v>
      </c>
      <c r="W250" s="51" t="e" cm="1">
        <f t="array" ref="W250">MMS_PastureBeef_Soil_N2ODirect_Equations.VEERG_4_2_1_3__2_TotalNitrogenExcretedToPastureRangeAndPaddock(W218,W198,W234)</f>
        <v>#REF!</v>
      </c>
      <c r="X250" s="51" t="e" cm="1">
        <f t="array" ref="X250">MMS_PastureBeef_Soil_N2ODirect_Equations.VEERG_4_2_1_3__2_TotalNitrogenExcretedToPastureRangeAndPaddock(X218,X198,X234)</f>
        <v>#REF!</v>
      </c>
      <c r="Y250" s="51" t="e" cm="1">
        <f t="array" ref="Y250">MMS_PastureBeef_Soil_N2ODirect_Equations.VEERG_4_2_1_3__2_TotalNitrogenExcretedToPastureRangeAndPaddock(Y218,Y198,Y234)</f>
        <v>#REF!</v>
      </c>
      <c r="Z250" s="51" t="e" cm="1">
        <f t="array" ref="Z250">MMS_PastureBeef_Soil_N2ODirect_Equations.VEERG_4_2_1_3__2_TotalNitrogenExcretedToPastureRangeAndPaddock(Z218,Z198,Z234)</f>
        <v>#REF!</v>
      </c>
      <c r="AA250" s="51" t="e" cm="1">
        <f t="array" ref="AA250">MMS_PastureBeef_Soil_N2ODirect_Equations.VEERG_4_2_1_3__2_TotalNitrogenExcretedToPastureRangeAndPaddock(AA218,AA198,AA234)</f>
        <v>#REF!</v>
      </c>
      <c r="AB250" s="51" t="e" cm="1">
        <f t="array" ref="AB250">MMS_PastureBeef_Soil_N2ODirect_Equations.VEERG_4_2_1_3__2_TotalNitrogenExcretedToPastureRangeAndPaddock(AB218,AB198,AB234)</f>
        <v>#REF!</v>
      </c>
      <c r="AC250" s="51" t="e" cm="1">
        <f t="array" ref="AC250">MMS_PastureBeef_Soil_N2ODirect_Equations.VEERG_4_2_1_3__2_TotalNitrogenExcretedToPastureRangeAndPaddock(AC218,AC198,AC234)</f>
        <v>#REF!</v>
      </c>
      <c r="AD250" s="51" t="e" cm="1">
        <f t="array" ref="AD250">MMS_PastureBeef_Soil_N2ODirect_Equations.VEERG_4_2_1_3__2_TotalNitrogenExcretedToPastureRangeAndPaddock(AD218,AD198,AD234)</f>
        <v>#REF!</v>
      </c>
      <c r="AE250" s="2" t="str">
        <f t="shared" si="14"/>
        <v>kg N</v>
      </c>
    </row>
    <row r="251" spans="19:32" ht="20.100000000000001" customHeight="1" x14ac:dyDescent="0.25">
      <c r="T251" s="51" t="str">
        <f>TEXT(EDATE('Input - Site'!$E$12,11), "mmmm yyyy")</f>
        <v>December 2024</v>
      </c>
      <c r="U251" s="51" t="e" cm="1">
        <f t="array" ref="U251">MMS_PastureBeef_Soil_N2ODirect_Equations.VEERG_4_2_1_3__2_TotalNitrogenExcretedToPastureRangeAndPaddock(U219,U199,U235)</f>
        <v>#REF!</v>
      </c>
      <c r="V251" s="51" t="e" cm="1">
        <f t="array" ref="V251">MMS_PastureBeef_Soil_N2ODirect_Equations.VEERG_4_2_1_3__2_TotalNitrogenExcretedToPastureRangeAndPaddock(V219,V199,V235)</f>
        <v>#REF!</v>
      </c>
      <c r="W251" s="51" t="e" cm="1">
        <f t="array" ref="W251">MMS_PastureBeef_Soil_N2ODirect_Equations.VEERG_4_2_1_3__2_TotalNitrogenExcretedToPastureRangeAndPaddock(W219,W199,W235)</f>
        <v>#REF!</v>
      </c>
      <c r="X251" s="51" t="e" cm="1">
        <f t="array" ref="X251">MMS_PastureBeef_Soil_N2ODirect_Equations.VEERG_4_2_1_3__2_TotalNitrogenExcretedToPastureRangeAndPaddock(X219,X199,X235)</f>
        <v>#REF!</v>
      </c>
      <c r="Y251" s="51" t="e" cm="1">
        <f t="array" ref="Y251">MMS_PastureBeef_Soil_N2ODirect_Equations.VEERG_4_2_1_3__2_TotalNitrogenExcretedToPastureRangeAndPaddock(Y219,Y199,Y235)</f>
        <v>#REF!</v>
      </c>
      <c r="Z251" s="51" t="e" cm="1">
        <f t="array" ref="Z251">MMS_PastureBeef_Soil_N2ODirect_Equations.VEERG_4_2_1_3__2_TotalNitrogenExcretedToPastureRangeAndPaddock(Z219,Z199,Z235)</f>
        <v>#REF!</v>
      </c>
      <c r="AA251" s="51" t="e" cm="1">
        <f t="array" ref="AA251">MMS_PastureBeef_Soil_N2ODirect_Equations.VEERG_4_2_1_3__2_TotalNitrogenExcretedToPastureRangeAndPaddock(AA219,AA199,AA235)</f>
        <v>#REF!</v>
      </c>
      <c r="AB251" s="51" t="e" cm="1">
        <f t="array" ref="AB251">MMS_PastureBeef_Soil_N2ODirect_Equations.VEERG_4_2_1_3__2_TotalNitrogenExcretedToPastureRangeAndPaddock(AB219,AB199,AB235)</f>
        <v>#REF!</v>
      </c>
      <c r="AC251" s="51" t="e" cm="1">
        <f t="array" ref="AC251">MMS_PastureBeef_Soil_N2ODirect_Equations.VEERG_4_2_1_3__2_TotalNitrogenExcretedToPastureRangeAndPaddock(AC219,AC199,AC235)</f>
        <v>#REF!</v>
      </c>
      <c r="AD251" s="51" t="e" cm="1">
        <f t="array" ref="AD251">MMS_PastureBeef_Soil_N2ODirect_Equations.VEERG_4_2_1_3__2_TotalNitrogenExcretedToPastureRangeAndPaddock(AD219,AD199,AD235)</f>
        <v>#REF!</v>
      </c>
      <c r="AE251" s="2" t="str">
        <f t="shared" si="14"/>
        <v>kg N</v>
      </c>
    </row>
    <row r="252" spans="19:32" ht="20.100000000000001" customHeight="1" x14ac:dyDescent="0.25"/>
    <row r="253" spans="19:32" ht="20.100000000000001" customHeight="1" x14ac:dyDescent="0.25">
      <c r="T253" s="112" t="s">
        <v>194</v>
      </c>
      <c r="U253" s="45" t="e">
        <f>SUM(U240:AD251)</f>
        <v>#REF!</v>
      </c>
      <c r="V253" s="53" t="str">
        <f t="shared" ref="V253" si="15">$E$180</f>
        <v>kg N</v>
      </c>
    </row>
    <row r="254" spans="19:32" ht="20.100000000000001" customHeight="1" x14ac:dyDescent="0.25"/>
    <row r="255" spans="19:32" ht="20.100000000000001" customHeight="1" x14ac:dyDescent="0.25"/>
    <row r="256" spans="19:32" ht="20.100000000000001" customHeight="1" x14ac:dyDescent="0.25"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</row>
    <row r="257" spans="20:23" ht="20.100000000000001" customHeight="1" x14ac:dyDescent="0.25">
      <c r="T257" s="6" t="str" cm="1">
        <f t="array" ref="T257">MMS_PastureBeef_Soil_N2ODirect_Equations.VEERG_4_2_1_3__1_DirectNitrousOxideEmissionsOnPasture_Title()</f>
        <v>Total annual direct nitrous oxide emissions from agricultural soils from deposition of urine and dung</v>
      </c>
    </row>
    <row r="258" spans="20:23" ht="20.100000000000001" customHeight="1" x14ac:dyDescent="0.25"/>
    <row r="259" spans="20:23" ht="20.100000000000001" customHeight="1" x14ac:dyDescent="0.25">
      <c r="T259" s="100" t="s">
        <v>107</v>
      </c>
      <c r="U259" s="101" t="e" cm="1">
        <f t="array" ref="U259">MMS_PastureBeef_Soil_N2ODirect_Equations.VEERG_4_2_1_3__1_DirectNitrousOxideEmissionsOnPasture($U$253,$H$223,$H$224)</f>
        <v>#REF!</v>
      </c>
      <c r="V259" s="102" t="str">
        <f>$E$220</f>
        <v>t N2O</v>
      </c>
    </row>
    <row r="260" spans="20:23" ht="20.100000000000001" customHeight="1" x14ac:dyDescent="0.25"/>
    <row r="261" spans="20:23" ht="20.100000000000001" customHeight="1" x14ac:dyDescent="0.25">
      <c r="T261" s="56" t="str" cm="1">
        <f t="array" ref="T261:U262">Common_Equations.Common_ConvertN2OToCO2e_Arguments()</f>
        <v>EN2O</v>
      </c>
      <c r="U261" s="57" t="str">
        <v>Nitrous oxide emissions (t N2O)</v>
      </c>
      <c r="V261" s="103"/>
      <c r="W261" s="51" t="e">
        <f>U259</f>
        <v>#REF!</v>
      </c>
    </row>
    <row r="262" spans="20:23" ht="20.100000000000001" customHeight="1" x14ac:dyDescent="0.25">
      <c r="T262" s="56" t="str">
        <v>GWPN2O</v>
      </c>
      <c r="U262" s="57" t="str">
        <v>Global warming potential for nitrous oxide (t CO2-e / t N2O)</v>
      </c>
      <c r="V262" s="103"/>
      <c r="W262" s="51">
        <f>Common_InputFunctions.Utility_LookupValueInTableNumber("N2O",Table_GWPData[Gas],Table_GWPData[CO2-e factor])</f>
        <v>265</v>
      </c>
    </row>
    <row r="263" spans="20:23" ht="20.100000000000001" customHeight="1" x14ac:dyDescent="0.25"/>
    <row r="264" spans="20:23" ht="20.100000000000001" customHeight="1" x14ac:dyDescent="0.25">
      <c r="T264" s="45" t="s">
        <v>102</v>
      </c>
      <c r="U264" s="45" t="e" cm="1">
        <f t="array" ref="U264">Common_Equations.Common_ConvertN2OToCO2e(W261,W262)</f>
        <v>#REF!</v>
      </c>
      <c r="V264" s="104" t="str" cm="1">
        <f t="array" ref="V264">Common_Equations.Common_ConvertN2OToCO2e_Unit()</f>
        <v>t CO2e</v>
      </c>
    </row>
    <row r="265" spans="20:23" ht="20.100000000000001" customHeight="1" x14ac:dyDescent="0.25"/>
    <row r="266" spans="20:23" ht="20.100000000000001" customHeight="1" x14ac:dyDescent="0.25"/>
    <row r="267" spans="20:23" ht="20.100000000000001" customHeight="1" x14ac:dyDescent="0.25"/>
    <row r="268" spans="20:23" ht="20.100000000000001" customHeight="1" x14ac:dyDescent="0.25"/>
    <row r="269" spans="20:23" ht="20.100000000000001" customHeight="1" x14ac:dyDescent="0.25"/>
    <row r="270" spans="20:23" ht="20.100000000000001" customHeight="1" x14ac:dyDescent="0.25"/>
    <row r="271" spans="20:23" ht="20.100000000000001" customHeight="1" x14ac:dyDescent="0.25"/>
    <row r="272" spans="20:23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</sheetData>
  <dataValidations disablePrompts="1" count="1">
    <dataValidation operator="equal" allowBlank="1" showInputMessage="1" showErrorMessage="1" sqref="E271 F79 U274 D80:E80 E101:P101 E74:F74 F106:P106 U271 E224 E274 U114:AF114 E239 E236 E262 U236 E265" xr:uid="{CE18DC45-74F3-46B3-972B-5F44E5579A05}"/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B34D-36DA-422C-84BA-A4E3FCAF2C16}">
  <dimension ref="A1:T165"/>
  <sheetViews>
    <sheetView showGridLines="0" workbookViewId="0">
      <selection activeCell="H44" sqref="H4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9" width="30.7109375" style="1" customWidth="1"/>
    <col min="20" max="20" width="4.7109375" style="1" customWidth="1"/>
  </cols>
  <sheetData>
    <row r="1" spans="1:20" s="8" customFormat="1" ht="30" customHeight="1" x14ac:dyDescent="0.35">
      <c r="A1" s="8" t="e" vm="1">
        <v>#VALUE!</v>
      </c>
      <c r="C1" s="8" t="s">
        <v>199</v>
      </c>
    </row>
    <row r="2" spans="1:20" s="9" customFormat="1" ht="20.100000000000001" customHeight="1" x14ac:dyDescent="0.25"/>
    <row r="3" spans="1:20" ht="20.100000000000001" customHeight="1" x14ac:dyDescent="0.25">
      <c r="A3" s="17" t="str">
        <f>HYPERLINK("#'Home'!A1", "Home")</f>
        <v>Home</v>
      </c>
      <c r="C3" s="4"/>
      <c r="D3" s="4" t="s">
        <v>105</v>
      </c>
      <c r="E3" s="4"/>
      <c r="F3" s="4"/>
      <c r="G3" s="4"/>
      <c r="H3" s="4"/>
      <c r="I3" s="4"/>
      <c r="K3" s="4"/>
      <c r="L3" s="4" t="s">
        <v>106</v>
      </c>
      <c r="M3" s="4"/>
      <c r="N3" s="4"/>
      <c r="O3" s="4"/>
      <c r="P3" s="4"/>
      <c r="Q3" s="4"/>
      <c r="R3" s="4"/>
      <c r="S3" s="4"/>
      <c r="T3" s="4"/>
    </row>
    <row r="4" spans="1:20" ht="20.100000000000001" customHeight="1" x14ac:dyDescent="0.25">
      <c r="A4" s="17" t="str">
        <f>HYPERLINK("#'Results'!A1", "Results")</f>
        <v>Results</v>
      </c>
    </row>
    <row r="5" spans="1:20" ht="20.100000000000001" customHeight="1" x14ac:dyDescent="0.25">
      <c r="A5" s="16"/>
      <c r="D5" s="6" t="str" cm="1">
        <f t="array" ref="D5">MMS_PastureBeef_Soil_AtmosphericDeposition_Equations.VEERG_4_2_1_5__2_MassOfNitrogenVolatilisedOnPasture_Title()</f>
        <v>Mass of nitrogen volatilised</v>
      </c>
    </row>
    <row r="6" spans="1:20" ht="20.100000000000001" customHeight="1" x14ac:dyDescent="0.25">
      <c r="A6" s="20" t="s">
        <v>3</v>
      </c>
      <c r="D6" s="5" t="str" cm="1">
        <f t="array" ref="D6">MMS_PastureBeef_Soil_AtmosphericDeposition_Equations.VEERG_4_2_1_5__2_MassOfNitrogenVolatilisedOnPasture_Source()</f>
        <v>VEERG 2026: 4.2.1.5, Equation (2)</v>
      </c>
    </row>
    <row r="7" spans="1:20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Common_InputFunctions.Utility_DisplayFunctionName(E16)</f>
        <v>=MMS_PastureBeef_Soil_AtmosphericDeposition_Equations.VEERG_4_2_1_5__2_MassOfNitrogenVolatilisedOnPasture</v>
      </c>
    </row>
    <row r="8" spans="1:20" ht="20.100000000000001" customHeight="1" x14ac:dyDescent="0.25">
      <c r="A8" s="17" t="str">
        <f>HYPERLINK("#'Input - Swine'!A1", "Swine")</f>
        <v>Swine</v>
      </c>
    </row>
    <row r="9" spans="1:20" ht="20.100000000000001" customHeight="1" x14ac:dyDescent="0.25">
      <c r="A9" s="17"/>
    </row>
    <row r="10" spans="1:20" ht="20.100000000000001" customHeight="1" x14ac:dyDescent="0.25">
      <c r="A10" s="19" t="s">
        <v>76</v>
      </c>
      <c r="D10" s="52" t="s">
        <v>29</v>
      </c>
      <c r="E10" s="1" t="str" cm="1">
        <f t="array" ref="E10">MMS_PastureBeef_Soil_AtmosphericDeposition_Equations.VEERG_4_2_1_5__2_MassOfNitrogenVolatilisedOnPasture_Variable()</f>
        <v>M_vol</v>
      </c>
    </row>
    <row r="11" spans="1:20" ht="20.100000000000001" customHeight="1" x14ac:dyDescent="0.25">
      <c r="A11" s="17" t="str">
        <f>HYPERLINK("#'4.2.1.1-2 Methane'!A1", "4.2.1.1-2 Methane")</f>
        <v>4.2.1.1-2 Methane</v>
      </c>
      <c r="D11" s="52" t="s">
        <v>19</v>
      </c>
      <c r="E11" s="53" t="str" cm="1">
        <f t="array" ref="E11">MMS_PastureBeef_Soil_AtmosphericDeposition_Equations.VEERG_4_2_1_5__2_MassOfNitrogenVolatilisedOnPasture_Unit()</f>
        <v>kg N</v>
      </c>
    </row>
    <row r="12" spans="1:20" ht="20.100000000000001" customHeight="1" x14ac:dyDescent="0.25">
      <c r="A12" s="17" t="str">
        <f>HYPERLINK("#'4.2.1.3-4 Soil direct N2O'!A1", "4.2.1.3-4 Soil direct N2O")</f>
        <v>4.2.1.3-4 Soil direct N2O</v>
      </c>
    </row>
    <row r="13" spans="1:20" ht="20.100000000000001" customHeight="1" x14ac:dyDescent="0.25">
      <c r="A13" s="17" t="str">
        <f>HYPERLINK("#'4.2.1.5-6 Soil Atmos Dep'!A1", "4.2.1.5-6 Soil atm. deposition")</f>
        <v>4.2.1.5-6 Soil atm. deposition</v>
      </c>
      <c r="D13" s="56" t="str" cm="1">
        <f t="array" ref="D13:E14">MMS_PastureBeef_Soil_AtmosphericDeposition_Equations.VEERG_4_2_1_5__2_MassOfNitrogenVolatilisedOnPasture_Arguments()</f>
        <v>AE</v>
      </c>
      <c r="E13" s="57" t="str">
        <v>total mass of nitrogen excreted on PRP for beef cattle (kg N)</v>
      </c>
      <c r="F13" s="99"/>
      <c r="G13" s="58"/>
      <c r="H13" s="56" t="e">
        <f>'4.2.1.3-4 Soil direct N20'!$E$210</f>
        <v>#VALUE!</v>
      </c>
      <c r="L13" s="56" t="str" cm="1">
        <f t="array" ref="L13:M14">MMS_PastureBeef_Soil_AtmosphericDeposition_Equations.VEERG_4_2_1_5__2_MassOfNitrogenVolatilisedOnPasture_Arguments()</f>
        <v>AE</v>
      </c>
      <c r="M13" s="57" t="str">
        <v>total mass of nitrogen excreted on PRP for beef cattle (kg N)</v>
      </c>
      <c r="N13" s="99"/>
      <c r="O13" s="58"/>
      <c r="P13" s="56" t="e">
        <f>'4.2.1.3-4 Soil direct N20'!$U$253</f>
        <v>#REF!</v>
      </c>
    </row>
    <row r="14" spans="1:20" ht="20.100000000000001" customHeight="1" x14ac:dyDescent="0.25">
      <c r="A14" s="17" t="str">
        <f>HYPERLINK("#'4.2.1.7-8 Soil leach runoff'!A1", "4.2.1.7-8 Soil leach &amp; runoff")</f>
        <v>4.2.1.7-8 Soil leach &amp; runoff</v>
      </c>
      <c r="D14" s="56" t="str">
        <v>FracGASMsoil</v>
      </c>
      <c r="E14" s="57" t="str">
        <v>fraction of nitrogen volatilised from urine and faeces deposited on pasture ((kg NH3-N + NOx-N)/kg N)</v>
      </c>
      <c r="F14" s="99"/>
      <c r="G14" s="58"/>
      <c r="H14" s="56">
        <f>'Constants - Swine'!$D$432</f>
        <v>0</v>
      </c>
      <c r="L14" s="56" t="str">
        <v>FracGASMsoil</v>
      </c>
      <c r="M14" s="57" t="str">
        <v>fraction of nitrogen volatilised from urine and faeces deposited on pasture ((kg NH3-N + NOx-N)/kg N)</v>
      </c>
      <c r="N14" s="99"/>
      <c r="O14" s="58"/>
      <c r="P14" s="56"/>
    </row>
    <row r="15" spans="1:20" ht="20.100000000000001" customHeight="1" x14ac:dyDescent="0.25">
      <c r="A15" s="17"/>
    </row>
    <row r="16" spans="1:20" ht="20.100000000000001" customHeight="1" x14ac:dyDescent="0.25">
      <c r="A16" s="18" t="s">
        <v>4</v>
      </c>
      <c r="D16" s="112" t="s">
        <v>212</v>
      </c>
      <c r="E16" s="45" t="e" cm="1">
        <f t="array" ref="E16">MMS_PastureBeef_Soil_AtmosphericDeposition_Equations.VEERG_4_2_1_5__2_MassOfNitrogenVolatilisedOnPasture(H13,H14)</f>
        <v>#VALUE!</v>
      </c>
      <c r="F16" s="104" t="str">
        <f>E11</f>
        <v>kg N</v>
      </c>
      <c r="J16" s="55"/>
      <c r="L16" s="112" t="s">
        <v>212</v>
      </c>
      <c r="M16" s="45" t="e" cm="1">
        <f t="array" ref="M16">MMS_PastureBeef_Soil_AtmosphericDeposition_Equations.VEERG_4_2_1_5__2_MassOfNitrogenVolatilisedOnPasture(P13,$H$14)</f>
        <v>#REF!</v>
      </c>
      <c r="N16" s="104">
        <f>M11</f>
        <v>0</v>
      </c>
    </row>
    <row r="17" spans="1:20" ht="20.100000000000001" customHeight="1" x14ac:dyDescent="0.25">
      <c r="A17" s="17" t="str">
        <f>HYPERLINK("#'Constants - Swine'!A1", "Constants - Swine")</f>
        <v>Constants - Swine</v>
      </c>
      <c r="J17" s="55"/>
    </row>
    <row r="18" spans="1:20" ht="20.100000000000001" customHeight="1" x14ac:dyDescent="0.25">
      <c r="A18" s="17" t="str">
        <f>HYPERLINK("#'Constants - Livestock'!A1", "Constants - Livestock")</f>
        <v>Constants - Livestock</v>
      </c>
      <c r="J18" s="55"/>
    </row>
    <row r="19" spans="1:20" ht="20.100000000000001" customHeight="1" x14ac:dyDescent="0.25">
      <c r="A19" s="17" t="str">
        <f>HYPERLINK("#'Constants - Common'!A1", "Constants - Common")</f>
        <v>Constants - Common</v>
      </c>
      <c r="C19" s="45"/>
      <c r="D19" s="45"/>
      <c r="E19" s="45"/>
      <c r="F19" s="45"/>
      <c r="G19" s="45"/>
      <c r="H19" s="45"/>
      <c r="I19" s="45"/>
      <c r="J19" s="55"/>
      <c r="K19" s="45"/>
      <c r="L19" s="45"/>
      <c r="M19" s="45"/>
      <c r="N19" s="45"/>
      <c r="O19" s="45"/>
      <c r="P19" s="45"/>
      <c r="Q19" s="45"/>
      <c r="R19" s="45"/>
      <c r="S19" s="45"/>
      <c r="T19" s="45"/>
    </row>
    <row r="20" spans="1:20" ht="20.100000000000001" customHeight="1" x14ac:dyDescent="0.25">
      <c r="A20" s="17" t="str">
        <f>HYPERLINK("#'Acknowledgements'!A1", "Acknowledgements")</f>
        <v>Acknowledgements</v>
      </c>
      <c r="D20" s="6" t="str" cm="1">
        <f t="array" ref="D20">MMS_PastureBeef_Soil_AtmosphericDeposition_Equations.VEERG_4_2_1_5__1_AtmosphericDepositionEmissionsFromUrineAndDungOnPasture_Title()</f>
        <v>Atmospheric deposition emissions from urine and dung deposited on pasture</v>
      </c>
    </row>
    <row r="21" spans="1:20" ht="20.100000000000001" customHeight="1" x14ac:dyDescent="0.25">
      <c r="D21" s="5" t="str" cm="1">
        <f t="array" ref="D21">MMS_PastureBeef_Soil_AtmosphericDeposition_Equations.VEERG_4_2_1_5__1_AtmosphericDepositionEmissionsFromUrineAndDungOnPasture_Source()</f>
        <v>VEERG 2026: 4.2.1.5, Equation (1)</v>
      </c>
    </row>
    <row r="22" spans="1:20" ht="20.100000000000001" customHeight="1" x14ac:dyDescent="0.25">
      <c r="A22" s="17"/>
      <c r="D22" s="13" t="s">
        <v>26</v>
      </c>
      <c r="E22" s="13" t="str" cm="1">
        <f t="array" aca="1" ref="E22" ca="1">Common_InputFunctions.Utility_DisplayFunctionName($E$35)</f>
        <v>=MMS_PastureBeef_Soil_AtmosphericDeposition_Equations.VEERG_4_2_1_5__1_AtmosphericDepositionEmissionsFromUrineAndDungOnPasture</v>
      </c>
    </row>
    <row r="23" spans="1:20" ht="20.100000000000001" customHeight="1" x14ac:dyDescent="0.25">
      <c r="A23" s="17"/>
    </row>
    <row r="24" spans="1:20" ht="20.100000000000001" customHeight="1" x14ac:dyDescent="0.25">
      <c r="A24" s="17"/>
    </row>
    <row r="25" spans="1:20" ht="20.100000000000001" customHeight="1" x14ac:dyDescent="0.25">
      <c r="D25" s="52" t="s">
        <v>29</v>
      </c>
      <c r="E25" s="1" t="str" cm="1">
        <f t="array" ref="E25">MMS_PastureBeef_Soil_AtmosphericDeposition_Equations.VEERG_4_2_1_5__1_AtmosphericDepositionEmissionsFromUrineAndDungOnPasture_Variable()</f>
        <v>E_N2Oad</v>
      </c>
    </row>
    <row r="26" spans="1:20" ht="20.100000000000001" customHeight="1" x14ac:dyDescent="0.25">
      <c r="D26" s="52" t="s">
        <v>19</v>
      </c>
      <c r="E26" s="53" t="str" cm="1">
        <f t="array" ref="E26">MMS_PastureBeef_Soil_AtmosphericDeposition_Equations.VEERG_4_2_1_5__1_AtmosphericDepositionEmissionsFromUrineAndDungOnPasture_Unit()</f>
        <v>t N2O</v>
      </c>
    </row>
    <row r="27" spans="1:20" ht="20.100000000000001" customHeight="1" x14ac:dyDescent="0.25"/>
    <row r="28" spans="1:20" ht="20.100000000000001" customHeight="1" x14ac:dyDescent="0.25">
      <c r="D28" s="56" t="str" cm="1">
        <f t="array" ref="D28:E33">MMS_PastureBeef_Soil_AtmosphericDeposition_Equations.VEERG_4_2_1_5__1_AtmosphericDepositionEmissionsFromUrineAndDungOnPasture_Arguments()</f>
        <v>M_vol</v>
      </c>
      <c r="E28" s="57" t="str">
        <v>mass of nitrogen volatilised from urine and faeces deposited on pasture (kg N)</v>
      </c>
      <c r="F28" s="99"/>
      <c r="G28" s="58"/>
      <c r="H28" s="56" t="e">
        <f>E16</f>
        <v>#VALUE!</v>
      </c>
      <c r="L28" s="56" t="str" cm="1">
        <f t="array" ref="L28:M33">MMS_PastureBeef_Soil_AtmosphericDeposition_Equations.VEERG_4_2_1_5__1_AtmosphericDepositionEmissionsFromUrineAndDungOnPasture_Arguments()</f>
        <v>M_vol</v>
      </c>
      <c r="M28" s="57" t="str">
        <v>mass of nitrogen volatilised from urine and faeces deposited on pasture (kg N)</v>
      </c>
      <c r="N28" s="99"/>
      <c r="O28" s="58"/>
      <c r="P28" s="56" t="e">
        <f>M16</f>
        <v>#REF!</v>
      </c>
    </row>
    <row r="29" spans="1:20" ht="20.100000000000001" customHeight="1" x14ac:dyDescent="0.25">
      <c r="D29" s="56" t="str">
        <v>EF_N2O</v>
      </c>
      <c r="E29" s="57" t="str">
        <v>nitrous oxide emission factor for atmospheric deposition (kg N2O-N/kg N)</v>
      </c>
      <c r="F29" s="99"/>
      <c r="G29" s="58"/>
      <c r="H29" s="56" t="e">
        <f>Common_InputFunctions.Utility_LookupN2OEFFromProdIrrigationRainfall($H$31,$H$32,$H$33,Table_SourceData_Common_EFN2O[Production system only],Table_SourceData_Common_EFN2O[Irrigation method],Table_SourceData_Common_EFN2O[Rainfall zone],Table_SourceData_Common_EFN2O[EFN2O])</f>
        <v>#N/A</v>
      </c>
      <c r="L29" s="56" t="str">
        <v>EF_N2O</v>
      </c>
      <c r="M29" s="57" t="str">
        <v>nitrous oxide emission factor for atmospheric deposition (kg N2O-N/kg N)</v>
      </c>
      <c r="N29" s="99"/>
      <c r="O29" s="58"/>
      <c r="P29" s="56"/>
    </row>
    <row r="30" spans="1:20" ht="20.100000000000001" customHeight="1" x14ac:dyDescent="0.25">
      <c r="D30" s="56" t="str">
        <v>C_N2O</v>
      </c>
      <c r="E30" s="57" t="str">
        <v>factor to convert elemental mass of N2O to molecular mass</v>
      </c>
      <c r="F30" s="99"/>
      <c r="G30" s="58"/>
      <c r="H30" s="56">
        <f>Common_InputFunctions.Utility_LookupValueInTableNumber("N2O",Table_GasToMolecularConversionFactor[Gas],Table_GasToMolecularConversionFactor[Conversion factor combined])</f>
        <v>1.5714285714285714</v>
      </c>
      <c r="L30" s="56" t="str">
        <v>C_N2O</v>
      </c>
      <c r="M30" s="57" t="str">
        <v>factor to convert elemental mass of N2O to molecular mass</v>
      </c>
      <c r="N30" s="99"/>
      <c r="O30" s="58"/>
      <c r="P30" s="56"/>
    </row>
    <row r="31" spans="1:20" ht="20.100000000000001" customHeight="1" x14ac:dyDescent="0.25">
      <c r="D31" s="56" t="str">
        <v>j</v>
      </c>
      <c r="E31" s="57" t="str">
        <v>production system</v>
      </c>
      <c r="F31" s="99"/>
      <c r="G31" s="58"/>
      <c r="H31" s="56" t="e">
        <f>'Input - Swine'!#REF!</f>
        <v>#REF!</v>
      </c>
      <c r="L31" s="56" t="str">
        <v>j</v>
      </c>
      <c r="M31" s="57" t="str">
        <v>production system</v>
      </c>
      <c r="N31" s="99"/>
      <c r="O31" s="58"/>
      <c r="P31" s="56"/>
    </row>
    <row r="32" spans="1:20" ht="20.100000000000001" customHeight="1" x14ac:dyDescent="0.25">
      <c r="D32" s="56" t="str">
        <v>i</v>
      </c>
      <c r="E32" s="57" t="str">
        <v>irrigation method</v>
      </c>
      <c r="F32" s="99"/>
      <c r="G32" s="58"/>
      <c r="H32" s="56" t="e">
        <f>'Input - Swine'!#REF!</f>
        <v>#REF!</v>
      </c>
      <c r="L32" s="56" t="str">
        <v>i</v>
      </c>
      <c r="M32" s="57" t="str">
        <v>irrigation method</v>
      </c>
      <c r="N32" s="99"/>
      <c r="O32" s="58"/>
      <c r="P32" s="56"/>
    </row>
    <row r="33" spans="4:16" ht="20.100000000000001" customHeight="1" x14ac:dyDescent="0.25">
      <c r="D33" s="56" t="str">
        <v>r</v>
      </c>
      <c r="E33" s="57" t="str">
        <v>rainfall zone</v>
      </c>
      <c r="F33" s="99"/>
      <c r="G33" s="58"/>
      <c r="H33" s="56" t="str">
        <f>'Input - Site'!$E$30</f>
        <v>High rainfall</v>
      </c>
      <c r="L33" s="56" t="str">
        <v>r</v>
      </c>
      <c r="M33" s="57" t="str">
        <v>rainfall zone</v>
      </c>
      <c r="N33" s="99"/>
      <c r="O33" s="58"/>
      <c r="P33" s="56"/>
    </row>
    <row r="34" spans="4:16" ht="20.100000000000001" customHeight="1" x14ac:dyDescent="0.25"/>
    <row r="35" spans="4:16" ht="20.100000000000001" customHeight="1" x14ac:dyDescent="0.25">
      <c r="D35" s="112" t="s">
        <v>213</v>
      </c>
      <c r="E35" s="45" t="e" cm="1">
        <f t="array" ref="E35">MMS_PastureBeef_Soil_AtmosphericDeposition_Equations.VEERG_4_2_1_5__1_AtmosphericDepositionEmissionsFromUrineAndDungOnPasture(H28,H29,H30)</f>
        <v>#VALUE!</v>
      </c>
      <c r="F35" s="104" t="str">
        <f>$E$26</f>
        <v>t N2O</v>
      </c>
      <c r="L35" s="112" t="s">
        <v>213</v>
      </c>
      <c r="M35" s="45" t="e" cm="1">
        <f t="array" ref="M35">MMS_PastureBeef_Soil_AtmosphericDeposition_Equations.VEERG_4_2_1_5__1_AtmosphericDepositionEmissionsFromUrineAndDungOnPasture(P28,H29,H30)</f>
        <v>#REF!</v>
      </c>
      <c r="N35" s="104" t="str">
        <f>$E$26</f>
        <v>t N2O</v>
      </c>
    </row>
    <row r="36" spans="4:16" ht="20.100000000000001" customHeight="1" x14ac:dyDescent="0.25"/>
    <row r="37" spans="4:16" ht="20.100000000000001" customHeight="1" x14ac:dyDescent="0.25">
      <c r="D37" s="56" t="str" cm="1">
        <f t="array" ref="D37:E38">Common_Equations.Common_ConvertN2OToCO2e_Arguments()</f>
        <v>EN2O</v>
      </c>
      <c r="E37" s="57" t="str">
        <v>Nitrous oxide emissions (t N2O)</v>
      </c>
      <c r="F37" s="103"/>
      <c r="G37" s="51" t="e">
        <f>E35</f>
        <v>#VALUE!</v>
      </c>
      <c r="L37" s="56" t="str" cm="1">
        <f t="array" ref="L37:M38">Common_Equations.Common_ConvertN2OToCO2e_Arguments()</f>
        <v>EN2O</v>
      </c>
      <c r="M37" s="57" t="str">
        <v>Nitrous oxide emissions (t N2O)</v>
      </c>
      <c r="N37" s="103"/>
      <c r="O37" s="51" t="e">
        <f>M35</f>
        <v>#REF!</v>
      </c>
    </row>
    <row r="38" spans="4:16" ht="20.100000000000001" customHeight="1" x14ac:dyDescent="0.25">
      <c r="D38" s="56" t="str">
        <v>GWPN2O</v>
      </c>
      <c r="E38" s="57" t="str">
        <v>Global warming potential for nitrous oxide (t CO2-e / t N2O)</v>
      </c>
      <c r="F38" s="103"/>
      <c r="G38" s="51">
        <f>Common_InputFunctions.Utility_LookupValueInTableNumber("N2O",Table_GWPData[Gas],Table_GWPData[CO2-e factor])</f>
        <v>265</v>
      </c>
      <c r="L38" s="56" t="str">
        <v>GWPN2O</v>
      </c>
      <c r="M38" s="57" t="str">
        <v>Global warming potential for nitrous oxide (t CO2-e / t N2O)</v>
      </c>
      <c r="N38" s="103"/>
      <c r="O38" s="51">
        <f>Common_InputFunctions.Utility_LookupValueInTableNumber("N2O",Table_GWPData[Gas],Table_GWPData[CO2-e factor])</f>
        <v>265</v>
      </c>
    </row>
    <row r="39" spans="4:16" ht="20.100000000000001" customHeight="1" x14ac:dyDescent="0.25"/>
    <row r="40" spans="4:16" ht="20.100000000000001" customHeight="1" x14ac:dyDescent="0.25">
      <c r="D40" s="45" t="s">
        <v>102</v>
      </c>
      <c r="E40" s="45" t="e" cm="1">
        <f t="array" ref="E40">Common_Equations.Common_ConvertN2OToCO2e(G37,G38)</f>
        <v>#VALUE!</v>
      </c>
      <c r="F40" s="104" t="str" cm="1">
        <f t="array" ref="F40">Common_Equations.Common_ConvertN2OToCO2e_Unit()</f>
        <v>t CO2e</v>
      </c>
      <c r="L40" s="45" t="s">
        <v>102</v>
      </c>
      <c r="M40" s="45" t="e" cm="1">
        <f t="array" ref="M40">Common_Equations.Common_ConvertN2OToCO2e(O37,O38)</f>
        <v>#REF!</v>
      </c>
      <c r="N40" s="104" t="str" cm="1">
        <f t="array" ref="N40">Common_Equations.Common_ConvertN2OToCO2e_Unit()</f>
        <v>t CO2e</v>
      </c>
    </row>
    <row r="41" spans="4:16" ht="20.100000000000001" customHeight="1" x14ac:dyDescent="0.25"/>
    <row r="42" spans="4:16" ht="20.100000000000001" customHeight="1" x14ac:dyDescent="0.25"/>
    <row r="43" spans="4:16" ht="20.100000000000001" customHeight="1" x14ac:dyDescent="0.25"/>
    <row r="44" spans="4:16" ht="20.100000000000001" customHeight="1" x14ac:dyDescent="0.25"/>
    <row r="45" spans="4:16" ht="20.100000000000001" customHeight="1" x14ac:dyDescent="0.25"/>
    <row r="46" spans="4:16" ht="20.100000000000001" customHeight="1" x14ac:dyDescent="0.25"/>
    <row r="47" spans="4:16" ht="20.100000000000001" customHeight="1" x14ac:dyDescent="0.25"/>
    <row r="48" spans="4:16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1">
    <dataValidation operator="equal" allowBlank="1" showInputMessage="1" showErrorMessage="1" sqref="E19 M19 E24 M24" xr:uid="{27894986-D8F7-4ECC-BDC3-495A6C274A89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8BED-F848-481C-B828-A6A4B3B45E3C}">
  <dimension ref="A1:O165"/>
  <sheetViews>
    <sheetView showGridLines="0" topLeftCell="D12" workbookViewId="0">
      <selection activeCell="M20" sqref="M20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7" width="30.7109375" style="1" customWidth="1"/>
    <col min="8" max="8" width="4.7109375" style="1" customWidth="1"/>
    <col min="9" max="9" width="4.7109375" customWidth="1"/>
    <col min="10" max="10" width="4.7109375" style="1" customWidth="1"/>
    <col min="11" max="14" width="30.7109375" style="1" customWidth="1"/>
    <col min="15" max="15" width="4.7109375" style="1" customWidth="1"/>
  </cols>
  <sheetData>
    <row r="1" spans="1:15" s="8" customFormat="1" ht="30" customHeight="1" x14ac:dyDescent="0.35">
      <c r="A1" s="8" t="e" vm="1">
        <v>#VALUE!</v>
      </c>
      <c r="C1" s="8" t="s">
        <v>134</v>
      </c>
    </row>
    <row r="2" spans="1:15" s="9" customFormat="1" ht="20.100000000000001" customHeight="1" x14ac:dyDescent="0.25"/>
    <row r="3" spans="1:15" ht="20.100000000000001" customHeight="1" x14ac:dyDescent="0.25">
      <c r="A3" s="17" t="str">
        <f>HYPERLINK("#'Home'!A1", "Home")</f>
        <v>Home</v>
      </c>
      <c r="C3" s="4"/>
      <c r="D3" s="4" t="s">
        <v>105</v>
      </c>
      <c r="E3" s="4"/>
      <c r="F3" s="4"/>
      <c r="G3" s="4"/>
      <c r="H3" s="4"/>
      <c r="J3" s="4"/>
      <c r="K3" s="4" t="s">
        <v>106</v>
      </c>
      <c r="L3" s="4"/>
      <c r="M3" s="4"/>
      <c r="N3" s="4"/>
      <c r="O3" s="4"/>
    </row>
    <row r="4" spans="1:15" ht="20.100000000000001" customHeight="1" x14ac:dyDescent="0.25">
      <c r="A4" s="17" t="str">
        <f>HYPERLINK("#'Results'!A1", "Results")</f>
        <v>Results</v>
      </c>
    </row>
    <row r="5" spans="1:15" ht="20.100000000000001" customHeight="1" x14ac:dyDescent="0.25">
      <c r="A5" s="16"/>
      <c r="D5" s="6" t="str" cm="1">
        <f t="array" ref="D5">MMS_PastureBeef_Soil_LeachingAndRunoff.VEERG_4_2_1_7__2_MassOfNitrogenLostToLeachingAndRunoffOnPasture_Title()</f>
        <v>Mass of nitrogen lost to leaching and runoff</v>
      </c>
    </row>
    <row r="6" spans="1:15" ht="20.100000000000001" customHeight="1" x14ac:dyDescent="0.25">
      <c r="A6" s="20" t="s">
        <v>3</v>
      </c>
      <c r="D6" s="5" t="str" cm="1">
        <f t="array" ref="D6">MMS_PastureBeef_Soil_LeachingAndRunoff.VEERG_4_2_1_7__2_MassOfNitrogenLostToLeachingAndRunoffOnPasture_Source()</f>
        <v>VEERG 2026: 4.2.1.7, Equation (2)</v>
      </c>
    </row>
    <row r="7" spans="1:15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Common_InputFunctions.Utility_DisplayFunctionName(E20)</f>
        <v>=MMS_PastureBeef_Soil_LeachingAndRunoff.VEERG_4_2_1_7__2_MassOfNitrogenLostToLeachingAndRunoffOnPasture</v>
      </c>
    </row>
    <row r="8" spans="1:15" ht="20.100000000000001" customHeight="1" x14ac:dyDescent="0.25">
      <c r="A8" s="17" t="str">
        <f>HYPERLINK("#'Input - Swine'!A1", "Swine")</f>
        <v>Swine</v>
      </c>
    </row>
    <row r="9" spans="1:15" ht="20.100000000000001" customHeight="1" x14ac:dyDescent="0.25">
      <c r="A9" s="17"/>
    </row>
    <row r="10" spans="1:15" ht="20.100000000000001" customHeight="1" x14ac:dyDescent="0.25">
      <c r="A10" s="19" t="s">
        <v>76</v>
      </c>
      <c r="D10" s="52" t="s">
        <v>29</v>
      </c>
      <c r="E10" s="1" t="str" cm="1">
        <f t="array" ref="E10">MMS_PastureBeef_Soil_LeachingAndRunoff.VEERG_4_2_1_7__2_MassOfNitrogenLostToLeachingAndRunoffOnPasture_Variable()</f>
        <v>M_leach</v>
      </c>
    </row>
    <row r="11" spans="1:15" ht="20.100000000000001" customHeight="1" x14ac:dyDescent="0.25">
      <c r="A11" s="17" t="str">
        <f>HYPERLINK("#'4.2.1.1-2 Methane'!A1", "4.2.1.1-2 Methane")</f>
        <v>4.2.1.1-2 Methane</v>
      </c>
      <c r="D11" s="52" t="s">
        <v>19</v>
      </c>
      <c r="E11" s="53" t="str" cm="1">
        <f t="array" ref="E11">MMS_PastureBeef_Soil_LeachingAndRunoff.VEERG_4_2_1_7__2_MassOfNitrogenLostToLeachingAndRunoffOnPasture_Unit()</f>
        <v>kg N</v>
      </c>
    </row>
    <row r="12" spans="1:15" ht="20.100000000000001" customHeight="1" x14ac:dyDescent="0.25">
      <c r="A12" s="17" t="str">
        <f>HYPERLINK("#'4.2.1.3-4 Soil direct N2O'!A1", "4.2.1.3-4 Soil direct N2O")</f>
        <v>4.2.1.3-4 Soil direct N2O</v>
      </c>
    </row>
    <row r="13" spans="1:15" ht="20.100000000000001" customHeight="1" x14ac:dyDescent="0.25">
      <c r="A13" s="17" t="str">
        <f>HYPERLINK("#'4.2.1.5-6 Soil Atmos Dep'!A1", "4.2.1.5-6 Soil atm. deposition")</f>
        <v>4.2.1.5-6 Soil atm. deposition</v>
      </c>
      <c r="D13" s="107" t="str" cm="1">
        <f t="array" ref="D13:E18">MMS_PastureBeef_Soil_LeachingAndRunoff.VEERG_4_2_1_7__2_MassOfNitrogenLostToLeachingAndRunoffOnPasture_Arguments()</f>
        <v>AE</v>
      </c>
      <c r="E13" s="109" t="str">
        <v>total mass of nitrogen excreted on PRP for beef cattle (kg N)</v>
      </c>
      <c r="F13" s="108"/>
      <c r="G13" s="56" t="e">
        <f>'4.2.1.3-4 Soil direct N20'!$E$210</f>
        <v>#VALUE!</v>
      </c>
      <c r="K13" s="107" t="str" cm="1">
        <f t="array" ref="K13:L18">MMS_PastureBeef_Soil_LeachingAndRunoff.VEERG_4_2_1_7__2_MassOfNitrogenLostToLeachingAndRunoffOnPasture_Arguments()</f>
        <v>AE</v>
      </c>
      <c r="L13" s="109" t="str">
        <v>total mass of nitrogen excreted on PRP for beef cattle (kg N)</v>
      </c>
      <c r="M13" s="108"/>
      <c r="N13" s="56" t="e">
        <f>'4.2.1.3-4 Soil direct N20'!$U$253</f>
        <v>#REF!</v>
      </c>
    </row>
    <row r="14" spans="1:15" ht="20.100000000000001" customHeight="1" x14ac:dyDescent="0.25">
      <c r="A14" s="17" t="str">
        <f>HYPERLINK("#'4.2.1.7-8 Soil leach runoff'!A1", "4.2.1.7-8 Soil leach &amp; runoff")</f>
        <v>4.2.1.7-8 Soil leach &amp; runoff</v>
      </c>
      <c r="D14" s="107" t="str">
        <v>FracWet</v>
      </c>
      <c r="E14" s="109" t="str">
        <v>fraction of N available for leaching and runoff</v>
      </c>
      <c r="F14" s="108"/>
      <c r="G14" s="56">
        <f>Common_InputFunctions.CommonCropping_GetFracWET(G16,G18,#REF!,#REF!,Table_SourceData_FracWETIrrigation[Irrigation type i],Table_SourceData_FracWETIrrigation[FracWET])</f>
        <v>0</v>
      </c>
      <c r="K14" s="107" t="str">
        <v>FracWet</v>
      </c>
      <c r="L14" s="109" t="str">
        <v>fraction of N available for leaching and runoff</v>
      </c>
      <c r="M14" s="108"/>
      <c r="N14" s="56"/>
    </row>
    <row r="15" spans="1:15" ht="20.100000000000001" customHeight="1" x14ac:dyDescent="0.25">
      <c r="A15" s="17"/>
      <c r="D15" s="107" t="str">
        <v>FracLEACH</v>
      </c>
      <c r="E15" s="109" t="str">
        <v>fraction of all N that is lost through leaching and runoff</v>
      </c>
      <c r="F15" s="108"/>
      <c r="G15" s="56">
        <f>'Constants - Swine'!$D$438</f>
        <v>0</v>
      </c>
      <c r="K15" s="107" t="str">
        <v>FracLEACH</v>
      </c>
      <c r="L15" s="109" t="str">
        <v>fraction of all N that is lost through leaching and runoff</v>
      </c>
      <c r="M15" s="108"/>
      <c r="N15" s="56"/>
    </row>
    <row r="16" spans="1:15" ht="20.100000000000001" customHeight="1" x14ac:dyDescent="0.25">
      <c r="A16" s="18" t="s">
        <v>4</v>
      </c>
      <c r="D16" s="107" t="str">
        <v>z</v>
      </c>
      <c r="E16" s="109" t="str">
        <v>location in leaching zone</v>
      </c>
      <c r="F16" s="108"/>
      <c r="G16" s="56" t="str">
        <f>'Input - Site'!$E$23</f>
        <v>NO - Not in leaching zone</v>
      </c>
      <c r="K16" s="107" t="str">
        <v>z</v>
      </c>
      <c r="L16" s="109" t="str">
        <v>location in leaching zone</v>
      </c>
      <c r="M16" s="108"/>
      <c r="N16" s="56"/>
    </row>
    <row r="17" spans="1:15" ht="20.100000000000001" customHeight="1" x14ac:dyDescent="0.25">
      <c r="A17" s="17" t="str">
        <f>HYPERLINK("#'Constants - Swine'!A1", "Constants - Swine")</f>
        <v>Constants - Swine</v>
      </c>
      <c r="D17" s="107" t="str">
        <v>j</v>
      </c>
      <c r="E17" s="109" t="str">
        <v>production system</v>
      </c>
      <c r="F17" s="108"/>
      <c r="G17" s="56" t="e">
        <f>'Input - Swine'!#REF!</f>
        <v>#REF!</v>
      </c>
      <c r="K17" s="107" t="str">
        <v>j</v>
      </c>
      <c r="L17" s="109" t="str">
        <v>production system</v>
      </c>
      <c r="M17" s="108"/>
      <c r="N17" s="56"/>
    </row>
    <row r="18" spans="1:15" ht="20.100000000000001" customHeight="1" x14ac:dyDescent="0.25">
      <c r="A18" s="17" t="str">
        <f>HYPERLINK("#'Constants - Livestock'!A1", "Constants - Livestock")</f>
        <v>Constants - Livestock</v>
      </c>
      <c r="D18" s="107" t="str">
        <v>ir</v>
      </c>
      <c r="E18" s="109" t="str">
        <v>irrigation method</v>
      </c>
      <c r="F18" s="108"/>
      <c r="G18" s="56" t="e">
        <f>'Input - Swine'!#REF!</f>
        <v>#REF!</v>
      </c>
      <c r="K18" s="107" t="str">
        <v>ir</v>
      </c>
      <c r="L18" s="109" t="str">
        <v>irrigation method</v>
      </c>
      <c r="M18" s="108"/>
      <c r="N18" s="56"/>
    </row>
    <row r="19" spans="1:15" ht="20.100000000000001" customHeight="1" x14ac:dyDescent="0.25">
      <c r="A19" s="17" t="str">
        <f>HYPERLINK("#'Constants - Common'!A1", "Constants - Common")</f>
        <v>Constants - Common</v>
      </c>
    </row>
    <row r="20" spans="1:15" ht="20.100000000000001" customHeight="1" x14ac:dyDescent="0.25">
      <c r="A20" s="17" t="str">
        <f>HYPERLINK("#'Acknowledgements'!A1", "Acknowledgements")</f>
        <v>Acknowledgements</v>
      </c>
      <c r="D20" s="112" t="s">
        <v>214</v>
      </c>
      <c r="E20" s="45" t="e" cm="1">
        <f t="array" ref="E20">MMS_PastureBeef_Soil_LeachingAndRunoff.VEERG_4_2_1_7__2_MassOfNitrogenLostToLeachingAndRunoffOnPasture($G$13,$G$14,$G$15)</f>
        <v>#VALUE!</v>
      </c>
      <c r="F20" s="104" t="str">
        <f>$E$11</f>
        <v>kg N</v>
      </c>
      <c r="I20" s="55"/>
      <c r="K20" s="112" t="s">
        <v>214</v>
      </c>
      <c r="L20" s="45" t="e" cm="1">
        <f t="array" ref="L20">MMS_PastureBeef_Soil_LeachingAndRunoff.VEERG_4_2_1_7__2_MassOfNitrogenLostToLeachingAndRunoffOnPasture($N$13,$G$14,$G$15)</f>
        <v>#REF!</v>
      </c>
      <c r="M20" s="104" t="str">
        <f>$E$11</f>
        <v>kg N</v>
      </c>
    </row>
    <row r="21" spans="1:15" ht="20.100000000000001" customHeight="1" x14ac:dyDescent="0.25">
      <c r="I21" s="55"/>
    </row>
    <row r="22" spans="1:15" ht="20.100000000000001" customHeight="1" x14ac:dyDescent="0.25">
      <c r="I22" s="55"/>
    </row>
    <row r="23" spans="1:15" ht="20.100000000000001" customHeight="1" x14ac:dyDescent="0.25">
      <c r="C23" s="45"/>
      <c r="D23" s="45"/>
      <c r="E23" s="45"/>
      <c r="F23" s="45"/>
      <c r="G23" s="45"/>
      <c r="H23" s="45"/>
      <c r="I23" s="55"/>
      <c r="J23" s="45"/>
      <c r="K23" s="45"/>
      <c r="L23" s="45"/>
      <c r="M23" s="45"/>
      <c r="N23" s="45"/>
      <c r="O23" s="45"/>
    </row>
    <row r="24" spans="1:15" ht="20.100000000000001" customHeight="1" x14ac:dyDescent="0.25">
      <c r="D24" s="1" t="str" cm="1">
        <f t="array" ref="D24">MMS_PastureBeef_Soil_LeachingAndRunoff.VEERG_4_2_1_7__1_LeachingAndRunoffEmissionsFromUrineAndDungOnPasture_Title()</f>
        <v>Leaching and runoff emissions from urine and dung deposited on pasture</v>
      </c>
    </row>
    <row r="25" spans="1:15" ht="20.100000000000001" customHeight="1" x14ac:dyDescent="0.25">
      <c r="D25" s="1" t="str" cm="1">
        <f t="array" ref="D25">MMS_PastureBeef_Soil_LeachingAndRunoff.VEERG_4_2_1_7__1_LeachingAndRunoffEmissionsFromUrineAndDungOnPasture_Source()</f>
        <v>VEERG 2026: 4.2.1.7, Equation (1)</v>
      </c>
    </row>
    <row r="26" spans="1:15" ht="20.100000000000001" customHeight="1" x14ac:dyDescent="0.25">
      <c r="D26" s="13" t="s">
        <v>26</v>
      </c>
      <c r="E26" s="13" t="str" cm="1">
        <f t="array" aca="1" ref="E26" ca="1">Common_InputFunctions.Utility_DisplayFunctionName(E36)</f>
        <v>=MMS_PastureBeef_Soil_LeachingAndRunoff.VEERG_4_2_1_7__1_LeachingAndRunoffEmissionsFromUrineAndDungOnPasture</v>
      </c>
    </row>
    <row r="27" spans="1:15" ht="20.100000000000001" customHeight="1" x14ac:dyDescent="0.25"/>
    <row r="28" spans="1:15" ht="20.100000000000001" customHeight="1" x14ac:dyDescent="0.25"/>
    <row r="29" spans="1:15" ht="20.100000000000001" customHeight="1" x14ac:dyDescent="0.25">
      <c r="D29" s="52" t="s">
        <v>29</v>
      </c>
      <c r="E29" s="1" t="str" cm="1">
        <f t="array" ref="E29">MMS_PastureBeef_Soil_LeachingAndRunoff.VEERG_4_2_1_7__1_LeachingAndRunoffEmissionsFromUrineAndDungOnPasture_Variable()</f>
        <v>E_N2Oleach</v>
      </c>
    </row>
    <row r="30" spans="1:15" ht="20.100000000000001" customHeight="1" x14ac:dyDescent="0.25">
      <c r="D30" s="52" t="s">
        <v>19</v>
      </c>
      <c r="E30" s="53" t="str" cm="1">
        <f t="array" ref="E30">MMS_PastureBeef_Soil_LeachingAndRunoff.VEERG_4_2_1_7__1_LeachingAndRunoffEmissionsFromUrineAndDungOnPasture_Unit()</f>
        <v>t N2O</v>
      </c>
    </row>
    <row r="31" spans="1:15" ht="20.100000000000001" customHeight="1" x14ac:dyDescent="0.25"/>
    <row r="32" spans="1:15" ht="20.100000000000001" customHeight="1" x14ac:dyDescent="0.25">
      <c r="D32" s="56" t="str" cm="1">
        <f t="array" ref="D32:E34">MMS_PastureBeef_Soil_LeachingAndRunoff.VEERG_4_2_1_7__1_LeachingAndRunoffEmissionsFromUrineAndDungOnPasture_Arguments()</f>
        <v>M_leach</v>
      </c>
      <c r="E32" s="56" t="str">
        <v>mass of nitrogen lost to leaching and runoff (kg N)</v>
      </c>
      <c r="F32" s="56"/>
      <c r="G32" s="56" t="e">
        <f>$E$20</f>
        <v>#VALUE!</v>
      </c>
      <c r="K32" s="56" t="str" cm="1">
        <f t="array" ref="K32:L34">MMS_PastureBeef_Soil_LeachingAndRunoff.VEERG_4_2_1_7__1_LeachingAndRunoffEmissionsFromUrineAndDungOnPasture_Arguments()</f>
        <v>M_leach</v>
      </c>
      <c r="L32" s="56" t="str">
        <v>mass of nitrogen lost to leaching and runoff (kg N)</v>
      </c>
      <c r="M32" s="56"/>
      <c r="N32" s="56" t="e">
        <f>$E$20</f>
        <v>#VALUE!</v>
      </c>
    </row>
    <row r="33" spans="4:14" ht="20.100000000000001" customHeight="1" x14ac:dyDescent="0.25">
      <c r="D33" s="56" t="str">
        <v>EF_leach</v>
      </c>
      <c r="E33" s="56" t="str">
        <v>emission factor for leaching and runoff (kg N2O-N/kg N)</v>
      </c>
      <c r="F33" s="56"/>
      <c r="G33" s="56">
        <f>'Constants - Common'!$E$170</f>
        <v>1.0999999999999999E-2</v>
      </c>
      <c r="K33" s="56" t="str">
        <v>EF_leach</v>
      </c>
      <c r="L33" s="56" t="str">
        <v>emission factor for leaching and runoff (kg N2O-N/kg N)</v>
      </c>
      <c r="M33" s="56"/>
      <c r="N33" s="56"/>
    </row>
    <row r="34" spans="4:14" ht="20.100000000000001" customHeight="1" x14ac:dyDescent="0.25">
      <c r="D34" s="56" t="str">
        <v>C_N2O</v>
      </c>
      <c r="E34" s="56" t="str">
        <v>factor to convert elemental mass of N2O to molecular mass</v>
      </c>
      <c r="F34" s="56"/>
      <c r="G34" s="56">
        <f>Common_InputFunctions.Utility_LookupValueInTableNumber("N2O",Table_GasToMolecularConversionFactor[Gas],Table_GasToMolecularConversionFactor[Conversion factor combined])</f>
        <v>1.5714285714285714</v>
      </c>
      <c r="K34" s="56" t="str">
        <v>C_N2O</v>
      </c>
      <c r="L34" s="56" t="str">
        <v>factor to convert elemental mass of N2O to molecular mass</v>
      </c>
      <c r="M34" s="56"/>
      <c r="N34" s="56"/>
    </row>
    <row r="35" spans="4:14" ht="20.100000000000001" customHeight="1" x14ac:dyDescent="0.25"/>
    <row r="36" spans="4:14" ht="20.100000000000001" customHeight="1" x14ac:dyDescent="0.25">
      <c r="D36" s="112" t="s">
        <v>135</v>
      </c>
      <c r="E36" s="45" t="e" cm="1">
        <f t="array" ref="E36">MMS_PastureBeef_Soil_LeachingAndRunoff.VEERG_4_2_1_7__1_LeachingAndRunoffEmissionsFromUrineAndDungOnPasture(G32,G33,G34)</f>
        <v>#VALUE!</v>
      </c>
      <c r="F36" s="104" t="str">
        <f>$E$30</f>
        <v>t N2O</v>
      </c>
      <c r="K36" s="112" t="s">
        <v>135</v>
      </c>
      <c r="L36" s="45" t="e" cm="1">
        <f t="array" ref="L36">MMS_PastureBeef_Soil_LeachingAndRunoff.VEERG_4_2_1_7__1_LeachingAndRunoffEmissionsFromUrineAndDungOnPasture(N32,G33,G34)</f>
        <v>#VALUE!</v>
      </c>
      <c r="M36" s="104" t="str">
        <f>$E$30</f>
        <v>t N2O</v>
      </c>
    </row>
    <row r="37" spans="4:14" ht="20.100000000000001" customHeight="1" x14ac:dyDescent="0.25"/>
    <row r="38" spans="4:14" ht="20.100000000000001" customHeight="1" x14ac:dyDescent="0.25">
      <c r="D38" s="56" t="str" cm="1">
        <f t="array" ref="D38:E39">Common_Equations.Common_ConvertN2OToCO2e_Arguments()</f>
        <v>EN2O</v>
      </c>
      <c r="E38" s="57" t="str">
        <v>Nitrous oxide emissions (t N2O)</v>
      </c>
      <c r="F38" s="103"/>
      <c r="G38" s="51" t="e">
        <f>E36</f>
        <v>#VALUE!</v>
      </c>
      <c r="K38" s="56" t="str" cm="1">
        <f t="array" ref="K38:L39">Common_Equations.Common_ConvertN2OToCO2e_Arguments()</f>
        <v>EN2O</v>
      </c>
      <c r="L38" s="57" t="str">
        <v>Nitrous oxide emissions (t N2O)</v>
      </c>
      <c r="M38" s="103"/>
      <c r="N38" s="51" t="e">
        <f>L36</f>
        <v>#VALUE!</v>
      </c>
    </row>
    <row r="39" spans="4:14" ht="20.100000000000001" customHeight="1" x14ac:dyDescent="0.25">
      <c r="D39" s="56" t="str">
        <v>GWPN2O</v>
      </c>
      <c r="E39" s="57" t="str">
        <v>Global warming potential for nitrous oxide (t CO2-e / t N2O)</v>
      </c>
      <c r="F39" s="103"/>
      <c r="G39" s="51">
        <f>Common_InputFunctions.Utility_LookupValueInTableNumber("N2O",Table_GWPData[Gas],Table_GWPData[CO2-e factor])</f>
        <v>265</v>
      </c>
      <c r="K39" s="56" t="str">
        <v>GWPN2O</v>
      </c>
      <c r="L39" s="57" t="str">
        <v>Global warming potential for nitrous oxide (t CO2-e / t N2O)</v>
      </c>
      <c r="M39" s="103"/>
      <c r="N39" s="51">
        <f>Common_InputFunctions.Utility_LookupValueInTableNumber("N2O",Table_GWPData[Gas],Table_GWPData[CO2-e factor])</f>
        <v>265</v>
      </c>
    </row>
    <row r="40" spans="4:14" ht="20.100000000000001" customHeight="1" x14ac:dyDescent="0.25"/>
    <row r="41" spans="4:14" ht="20.100000000000001" customHeight="1" x14ac:dyDescent="0.25">
      <c r="D41" s="45" t="s">
        <v>102</v>
      </c>
      <c r="E41" s="45" t="e" cm="1">
        <f t="array" ref="E41">Common_Equations.Common_ConvertN2OToCO2e(G38,G39)</f>
        <v>#VALUE!</v>
      </c>
      <c r="F41" s="104" t="str" cm="1">
        <f t="array" ref="F41">Common_Equations.Common_ConvertN2OToCO2e_Unit()</f>
        <v>t CO2e</v>
      </c>
      <c r="K41" s="45" t="s">
        <v>102</v>
      </c>
      <c r="L41" s="45" t="e" cm="1">
        <f t="array" ref="L41">Common_Equations.Common_ConvertN2OToCO2e(N38,N39)</f>
        <v>#VALUE!</v>
      </c>
      <c r="M41" s="104" t="str" cm="1">
        <f t="array" ref="M41">Common_Equations.Common_ConvertN2OToCO2e_Unit()</f>
        <v>t CO2e</v>
      </c>
    </row>
    <row r="42" spans="4:14" ht="20.100000000000001" customHeight="1" x14ac:dyDescent="0.25"/>
    <row r="43" spans="4:14" ht="20.100000000000001" customHeight="1" x14ac:dyDescent="0.25"/>
    <row r="44" spans="4:14" ht="20.100000000000001" customHeight="1" x14ac:dyDescent="0.25"/>
    <row r="45" spans="4:14" ht="20.100000000000001" customHeight="1" x14ac:dyDescent="0.25"/>
    <row r="46" spans="4:14" ht="20.100000000000001" customHeight="1" x14ac:dyDescent="0.25"/>
    <row r="47" spans="4:14" ht="20.100000000000001" customHeight="1" x14ac:dyDescent="0.25"/>
    <row r="48" spans="4:14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1">
    <dataValidation operator="equal" allowBlank="1" showInputMessage="1" showErrorMessage="1" sqref="E23 L23 E28 L28" xr:uid="{FFC3CBA3-2876-48FD-90FB-22BFDC268162}"/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V452"/>
  <sheetViews>
    <sheetView showGridLines="0" topLeftCell="A12" zoomScale="85" zoomScaleNormal="85" workbookViewId="0">
      <selection activeCell="F43" sqref="F4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5" width="30.7109375" style="1" customWidth="1"/>
    <col min="6" max="6" width="31.140625" style="1" customWidth="1"/>
    <col min="7" max="7" width="32.5703125" style="1" customWidth="1"/>
    <col min="8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218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2"/>
    </row>
    <row r="5" spans="1:21" ht="20.100000000000001" customHeight="1" x14ac:dyDescent="0.25">
      <c r="A5" s="16"/>
      <c r="D5" s="6" t="str" cm="1">
        <f t="array" ref="D5">SourceData_Swine.SourceData_Swine_VolatileSolids_Title()</f>
        <v>Swine - Volatile solids (VSj) - 2020 to 2024</v>
      </c>
      <c r="M5" s="1"/>
    </row>
    <row r="6" spans="1:21" ht="20.100000000000001" customHeight="1" x14ac:dyDescent="0.25">
      <c r="A6" s="20" t="s">
        <v>3</v>
      </c>
      <c r="D6" s="5" t="str" cm="1">
        <f t="array" ref="D6">SourceData_Swine.SourceData_Swine_VolatileSolids_Source()</f>
        <v>VEERG 2026: Table A.1.6.1: Swine - Intake and manure characteristics derived from PigBal</v>
      </c>
      <c r="M6" s="1"/>
    </row>
    <row r="7" spans="1:21" ht="20.100000000000001" customHeight="1" x14ac:dyDescent="0.25">
      <c r="A7" s="17" t="str">
        <f>HYPERLINK("#'Input - Site'!A1", "Site")</f>
        <v>Site</v>
      </c>
      <c r="D7" s="54" t="str" cm="1">
        <f t="array" ref="D7">SourceData_Swine.SourceData_Swine_VolatileSolids_Variation()</f>
        <v>VARIATION ON SOURCE DATA: Only uses data for 2020-2024. Added 'Suckers', 'Weaners' and 'Growers' classes which have the same values as 'Slaughter pigs'.</v>
      </c>
      <c r="M7" s="1"/>
    </row>
    <row r="8" spans="1:21" ht="20.100000000000001" customHeight="1" x14ac:dyDescent="0.25">
      <c r="A8" s="17" t="str">
        <f>HYPERLINK("#'Input - Swine'!A1", "Swine")</f>
        <v>Swine</v>
      </c>
      <c r="G8" s="106" t="s">
        <v>233</v>
      </c>
      <c r="M8" s="1"/>
    </row>
    <row r="9" spans="1:21" ht="20.100000000000001" customHeight="1" x14ac:dyDescent="0.25">
      <c r="A9" s="17"/>
      <c r="D9" s="37" t="s">
        <v>234</v>
      </c>
      <c r="E9" s="37" t="s">
        <v>235</v>
      </c>
      <c r="M9" s="1"/>
    </row>
    <row r="10" spans="1:21" ht="20.100000000000001" customHeight="1" x14ac:dyDescent="0.25">
      <c r="A10" s="19" t="s">
        <v>76</v>
      </c>
      <c r="D10" s="37" t="str" cm="1">
        <f t="array" ref="D10">Common_InputFunctions.Utility_DisplayArrayInTable(SourceData_Swine.SourceData_Swine_VolatileSolids_Data(), Table_SourceData_Swine_VolatileSolids[[#Headers],[Class]], 0)</f>
        <v>Boars</v>
      </c>
      <c r="E10" s="37" cm="1">
        <f t="array" ref="E10">Common_InputFunctions.Utility_DisplayArrayInTable(SourceData_Swine.SourceData_Swine_VolatileSolids_Data(), Table_SourceData_Swine_VolatileSolids[[#Headers],[Class]], 0)</f>
        <v>0.4</v>
      </c>
      <c r="M10" s="1"/>
    </row>
    <row r="11" spans="1:21" ht="20.100000000000001" customHeight="1" x14ac:dyDescent="0.25">
      <c r="A11" s="17" t="str">
        <f>HYPERLINK("#'4.2.1.1-2 Methane'!A1", "4.2.1.1-2 Methane")</f>
        <v>4.2.1.1-2 Methane</v>
      </c>
      <c r="D11" s="1" t="str" cm="1">
        <f t="array" ref="D11">Common_InputFunctions.Utility_DisplayArrayInTable(SourceData_Swine.SourceData_Swine_VolatileSolids_Data(), Table_SourceData_Swine_VolatileSolids[[#Headers],[Class]], 0)</f>
        <v>Sows</v>
      </c>
      <c r="E11" s="37" cm="1">
        <f t="array" ref="E11">Common_InputFunctions.Utility_DisplayArrayInTable(SourceData_Swine.SourceData_Swine_VolatileSolids_Data(), Table_SourceData_Swine_VolatileSolids[[#Headers],[Class]], 0)</f>
        <v>0.46</v>
      </c>
      <c r="M11" s="1"/>
    </row>
    <row r="12" spans="1:21" ht="20.100000000000001" customHeight="1" x14ac:dyDescent="0.25">
      <c r="A12" s="17" t="str">
        <f>HYPERLINK("#'4.2.1.3-4 Soil direct N2O'!A1", "4.2.1.3-4 Soil direct N2O")</f>
        <v>4.2.1.3-4 Soil direct N2O</v>
      </c>
      <c r="D12" s="1" t="str" cm="1">
        <f t="array" ref="D12">Common_InputFunctions.Utility_DisplayArrayInTable(SourceData_Swine.SourceData_Swine_VolatileSolids_Data(), Table_SourceData_Swine_VolatileSolids[[#Headers],[Class]], 0)</f>
        <v>Gilts</v>
      </c>
      <c r="E12" s="37" cm="1">
        <f t="array" ref="E12">Common_InputFunctions.Utility_DisplayArrayInTable(SourceData_Swine.SourceData_Swine_VolatileSolids_Data(), Table_SourceData_Swine_VolatileSolids[[#Headers],[Class]], 0)</f>
        <v>0.55000000000000004</v>
      </c>
      <c r="M12" s="1"/>
    </row>
    <row r="13" spans="1:21" ht="20.100000000000001" customHeight="1" x14ac:dyDescent="0.25">
      <c r="A13" s="17" t="str">
        <f>HYPERLINK("#'4.2.1.5-6 Soil Atmos Dep'!A1", "4.2.1.5-6 Soil atm. deposition")</f>
        <v>4.2.1.5-6 Soil atm. deposition</v>
      </c>
      <c r="D13" s="1" t="str" cm="1">
        <f t="array" ref="D13">Common_InputFunctions.Utility_DisplayArrayInTable(SourceData_Swine.SourceData_Swine_VolatileSolids_Data(), Table_SourceData_Swine_VolatileSolids[[#Headers],[Class]], 0)</f>
        <v>Slaughter pigs</v>
      </c>
      <c r="E13" s="37" cm="1">
        <f t="array" ref="E13">Common_InputFunctions.Utility_DisplayArrayInTable(SourceData_Swine.SourceData_Swine_VolatileSolids_Data(), Table_SourceData_Swine_VolatileSolids[[#Headers],[Class]], 0)</f>
        <v>0.39</v>
      </c>
      <c r="M13" s="1"/>
    </row>
    <row r="14" spans="1:21" ht="20.100000000000001" customHeight="1" x14ac:dyDescent="0.25">
      <c r="A14" s="17" t="str">
        <f>HYPERLINK("#'4.2.1.7-8 Soil leach runoff'!A1", "4.2.1.7-8 Soil leach &amp; runoff")</f>
        <v>4.2.1.7-8 Soil leach &amp; runoff</v>
      </c>
      <c r="D14" s="1" t="str" cm="1">
        <f t="array" ref="D14">Common_InputFunctions.Utility_DisplayArrayInTable(SourceData_Swine.SourceData_Swine_VolatileSolids_Data(), Table_SourceData_Swine_VolatileSolids[[#Headers],[Class]], 0)</f>
        <v>Suckers</v>
      </c>
      <c r="E14" s="37" cm="1">
        <f t="array" ref="E14">Common_InputFunctions.Utility_DisplayArrayInTable(SourceData_Swine.SourceData_Swine_VolatileSolids_Data(), Table_SourceData_Swine_VolatileSolids[[#Headers],[Class]], 0)</f>
        <v>0.39</v>
      </c>
      <c r="M14" s="1"/>
    </row>
    <row r="15" spans="1:21" ht="20.100000000000001" customHeight="1" x14ac:dyDescent="0.25">
      <c r="A15" s="17"/>
      <c r="D15" s="1" t="str" cm="1">
        <f t="array" ref="D15">Common_InputFunctions.Utility_DisplayArrayInTable(SourceData_Swine.SourceData_Swine_VolatileSolids_Data(), Table_SourceData_Swine_VolatileSolids[[#Headers],[Class]], 0)</f>
        <v>Weaners</v>
      </c>
      <c r="E15" s="37" cm="1">
        <f t="array" ref="E15">Common_InputFunctions.Utility_DisplayArrayInTable(SourceData_Swine.SourceData_Swine_VolatileSolids_Data(), Table_SourceData_Swine_VolatileSolids[[#Headers],[Class]], 0)</f>
        <v>0.39</v>
      </c>
      <c r="M15" s="1"/>
    </row>
    <row r="16" spans="1:21" ht="20.100000000000001" customHeight="1" x14ac:dyDescent="0.25">
      <c r="A16" s="18" t="s">
        <v>4</v>
      </c>
      <c r="D16" s="1" t="str" cm="1">
        <f t="array" ref="D16">Common_InputFunctions.Utility_DisplayArrayInTable(SourceData_Swine.SourceData_Swine_VolatileSolids_Data(), Table_SourceData_Swine_VolatileSolids[[#Headers],[Class]], 0)</f>
        <v>Growers</v>
      </c>
      <c r="E16" s="37" cm="1">
        <f t="array" ref="E16">Common_InputFunctions.Utility_DisplayArrayInTable(SourceData_Swine.SourceData_Swine_VolatileSolids_Data(), Table_SourceData_Swine_VolatileSolids[[#Headers],[Class]], 0)</f>
        <v>0.39</v>
      </c>
      <c r="M16" s="1"/>
    </row>
    <row r="17" spans="1:13" ht="20.100000000000001" customHeight="1" x14ac:dyDescent="0.25">
      <c r="A17" s="17" t="str">
        <f>HYPERLINK("#'Constants - Swine'!A1", "Constants - Swine")</f>
        <v>Constants - Swine</v>
      </c>
      <c r="M17" s="1"/>
    </row>
    <row r="18" spans="1:13" ht="20.100000000000001" customHeight="1" x14ac:dyDescent="0.25">
      <c r="A18" s="17" t="str">
        <f>HYPERLINK("#'Constants - Livestock'!A1", "Constants - Livestock")</f>
        <v>Constants - Livestock</v>
      </c>
      <c r="M18" s="1"/>
    </row>
    <row r="19" spans="1:13" ht="20.100000000000001" customHeight="1" x14ac:dyDescent="0.25">
      <c r="A19" s="17" t="str">
        <f>HYPERLINK("#'Constants - Common'!A1", "Constants - Common")</f>
        <v>Constants - Common</v>
      </c>
      <c r="D19" s="6" t="str" cm="1">
        <f t="array" ref="D19">SourceData_Swine.SourceData_Swine_MethaneVolatileSolidsEmissionsPotential_Title()</f>
        <v>Emissions potential of methane per kilogram of volatile solids</v>
      </c>
      <c r="M19" s="1"/>
    </row>
    <row r="20" spans="1:13" ht="20.100000000000001" customHeight="1" x14ac:dyDescent="0.25">
      <c r="A20" s="17" t="str">
        <f>HYPERLINK("#'Acknowledgements'!A1", "Acknowledgements")</f>
        <v>Acknowledgements</v>
      </c>
      <c r="D20" s="5" t="str" cm="1">
        <f t="array" ref="D20">SourceData_Swine.SourceData_Swine_MethaneVolatileSolidsEmissionsPotential_Source()</f>
        <v>IPCC (2019), Chapter 10 [4]</v>
      </c>
      <c r="M20" s="1"/>
    </row>
    <row r="21" spans="1:13" ht="20.100000000000001" customHeight="1" x14ac:dyDescent="0.25">
      <c r="D21" s="52" t="str" cm="1">
        <f t="array" ref="D21">SourceData_Swine.SourceData_Swine_MethaneVolatileSolidsEmissionsPotential_Variable()</f>
        <v>B0</v>
      </c>
      <c r="E21" s="1" cm="1">
        <f t="array" ref="E21">SourceData_Swine.SourceData_Swine_MethaneVolatileSolidsEmissionsPotential_Data()</f>
        <v>0.19</v>
      </c>
      <c r="F21" s="53" t="str" cm="1">
        <f t="array" ref="F21">SourceData_Swine.SourceData_Swine_MethaneVolatileSolidsEmissionsPotential_Unit()</f>
        <v>m3 CH4 / kg VS</v>
      </c>
      <c r="M21" s="1"/>
    </row>
    <row r="22" spans="1:13" ht="20.100000000000001" customHeight="1" x14ac:dyDescent="0.25">
      <c r="A22" s="17"/>
      <c r="M22" s="1"/>
    </row>
    <row r="23" spans="1:13" ht="20.100000000000001" customHeight="1" x14ac:dyDescent="0.25">
      <c r="A23" s="17"/>
      <c r="M23" s="1"/>
    </row>
    <row r="24" spans="1:13" ht="20.100000000000001" customHeight="1" x14ac:dyDescent="0.25">
      <c r="A24" s="17"/>
      <c r="D24" s="6" t="str" cm="1">
        <f t="array" ref="D24">SourceData_Swine.SourceData_Swine_MMS_MCFs_Title()</f>
        <v>Methane conversion factor for temperature zone and manure management system.</v>
      </c>
      <c r="H24" s="106" t="s">
        <v>236</v>
      </c>
      <c r="M24" s="1"/>
    </row>
    <row r="25" spans="1:13" ht="20.100000000000001" customHeight="1" x14ac:dyDescent="0.25">
      <c r="D25" s="5" t="str" cm="1">
        <f t="array" ref="D25">SourceData_Swine.SourceData_Swine_MMS_MCFs_Source()</f>
        <v>VEERG 2026: Table A.1.6.4: Swine – MCFs (MCFim)</v>
      </c>
      <c r="H25" s="106" t="s">
        <v>237</v>
      </c>
      <c r="M25" s="1"/>
    </row>
    <row r="26" spans="1:13" ht="20.100000000000001" customHeight="1" x14ac:dyDescent="0.25">
      <c r="D26" s="54" t="str" cm="1">
        <f t="array" ref="D26">SourceData_Swine.SourceData_Swine_MMS_MCFs_Variation()</f>
        <v>VARIATION ON SOURCE DATA: Added columns for ACT, split QLD and NT. Added extra column with MMS names that match NIR definitions</v>
      </c>
      <c r="M26" s="1"/>
    </row>
    <row r="27" spans="1:13" ht="20.100000000000001" customHeight="1" x14ac:dyDescent="0.25">
      <c r="M27" s="1"/>
    </row>
    <row r="28" spans="1:13" ht="20.100000000000001" customHeight="1" x14ac:dyDescent="0.25">
      <c r="D28" s="37" t="s">
        <v>67</v>
      </c>
      <c r="E28" s="37" t="s">
        <v>83</v>
      </c>
      <c r="F28" s="37" t="s">
        <v>82</v>
      </c>
      <c r="G28" s="37" t="s">
        <v>85</v>
      </c>
      <c r="H28" s="37" t="s">
        <v>84</v>
      </c>
      <c r="I28" s="37" t="s">
        <v>86</v>
      </c>
      <c r="J28" s="37" t="s">
        <v>87</v>
      </c>
      <c r="K28" s="37" t="s">
        <v>88</v>
      </c>
      <c r="L28" s="37" t="s">
        <v>89</v>
      </c>
      <c r="M28" s="37" t="s">
        <v>238</v>
      </c>
    </row>
    <row r="29" spans="1:13" ht="20.100000000000001" customHeight="1" x14ac:dyDescent="0.25">
      <c r="D29" s="37" t="str" cm="1">
        <f t="array" ref="D29">Common_InputFunctions.Utility_DisplayArrayInTable(SourceData_Swine.SourceData_Swine_MMS_MCFs_Data(),Table_SourceData_Swine_MMSMCF[[#Headers],[MMS]],0)</f>
        <v>Outdoor (Dry lot)</v>
      </c>
      <c r="E29" s="37" cm="1">
        <f t="array" ref="E29">Common_InputFunctions.Utility_DisplayArrayInTable(SourceData_Swine.SourceData_Swine_MMS_MCFs_Data(),Table_SourceData_Swine_MMSMCF[[#Headers],[MMS]],0)</f>
        <v>0.01</v>
      </c>
      <c r="F29" s="37" cm="1">
        <f t="array" ref="F29">Common_InputFunctions.Utility_DisplayArrayInTable(SourceData_Swine.SourceData_Swine_MMS_MCFs_Data(),Table_SourceData_Swine_MMSMCF[[#Headers],[MMS]],0)</f>
        <v>0.01</v>
      </c>
      <c r="G29" s="37" cm="1">
        <f t="array" ref="G29">Common_InputFunctions.Utility_DisplayArrayInTable(SourceData_Swine.SourceData_Swine_MMS_MCFs_Data(),Table_SourceData_Swine_MMSMCF[[#Headers],[MMS]],0)</f>
        <v>0.03</v>
      </c>
      <c r="H29" s="37" cm="1">
        <f t="array" ref="H29">Common_InputFunctions.Utility_DisplayArrayInTable(SourceData_Swine.SourceData_Swine_MMS_MCFs_Data(),Table_SourceData_Swine_MMSMCF[[#Headers],[MMS]],0)</f>
        <v>0.03</v>
      </c>
      <c r="I29" s="37" cm="1">
        <f t="array" ref="I29">Common_InputFunctions.Utility_DisplayArrayInTable(SourceData_Swine.SourceData_Swine_MMS_MCFs_Data(),Table_SourceData_Swine_MMSMCF[[#Headers],[MMS]],0)</f>
        <v>0.01</v>
      </c>
      <c r="J29" s="37" cm="1">
        <f t="array" ref="J29">Common_InputFunctions.Utility_DisplayArrayInTable(SourceData_Swine.SourceData_Swine_MMS_MCFs_Data(),Table_SourceData_Swine_MMSMCF[[#Headers],[MMS]],0)</f>
        <v>0.01</v>
      </c>
      <c r="K29" s="37" cm="1">
        <f t="array" ref="K29">Common_InputFunctions.Utility_DisplayArrayInTable(SourceData_Swine.SourceData_Swine_MMS_MCFs_Data(),Table_SourceData_Swine_MMSMCF[[#Headers],[MMS]],0)</f>
        <v>0.01</v>
      </c>
      <c r="L29" s="37" cm="1">
        <f t="array" ref="L29">Common_InputFunctions.Utility_DisplayArrayInTable(SourceData_Swine.SourceData_Swine_MMS_MCFs_Data(),Table_SourceData_Swine_MMSMCF[[#Headers],[MMS]],0)</f>
        <v>0.01</v>
      </c>
      <c r="M29" s="37" t="str" cm="1">
        <f t="array" ref="M29">Common_InputFunctions.Utility_DisplayArrayInTable(SourceData_Swine.SourceData_Swine_MMS_MCFs_Data(),Table_SourceData_Swine_MMSMCF[[#Headers],[MMS]],0)</f>
        <v>Drylot (feed pad)</v>
      </c>
    </row>
    <row r="30" spans="1:13" ht="20.100000000000001" customHeight="1" x14ac:dyDescent="0.25">
      <c r="D30" s="1" t="str" cm="1">
        <f t="array" ref="D30">Common_InputFunctions.Utility_DisplayArrayInTable(SourceData_Swine.SourceData_Swine_MMS_MCFs_Data(),Table_SourceData_Swine_MMSMCF[[#Headers],[MMS]],0)</f>
        <v>Deep litter</v>
      </c>
      <c r="E30" s="37" cm="1">
        <f t="array" ref="E30">Common_InputFunctions.Utility_DisplayArrayInTable(SourceData_Swine.SourceData_Swine_MMS_MCFs_Data(),Table_SourceData_Swine_MMSMCF[[#Headers],[MMS]],0)</f>
        <v>0.04</v>
      </c>
      <c r="F30" s="37" cm="1">
        <f t="array" ref="F30">Common_InputFunctions.Utility_DisplayArrayInTable(SourceData_Swine.SourceData_Swine_MMS_MCFs_Data(),Table_SourceData_Swine_MMSMCF[[#Headers],[MMS]],0)</f>
        <v>0.04</v>
      </c>
      <c r="G30" s="37" cm="1">
        <f t="array" ref="G30">Common_InputFunctions.Utility_DisplayArrayInTable(SourceData_Swine.SourceData_Swine_MMS_MCFs_Data(),Table_SourceData_Swine_MMSMCF[[#Headers],[MMS]],0)</f>
        <v>0.04</v>
      </c>
      <c r="H30" s="37" cm="1">
        <f t="array" ref="H30">Common_InputFunctions.Utility_DisplayArrayInTable(SourceData_Swine.SourceData_Swine_MMS_MCFs_Data(),Table_SourceData_Swine_MMSMCF[[#Headers],[MMS]],0)</f>
        <v>0.04</v>
      </c>
      <c r="I30" s="37" cm="1">
        <f t="array" ref="I30">Common_InputFunctions.Utility_DisplayArrayInTable(SourceData_Swine.SourceData_Swine_MMS_MCFs_Data(),Table_SourceData_Swine_MMSMCF[[#Headers],[MMS]],0)</f>
        <v>0.04</v>
      </c>
      <c r="J30" s="37" cm="1">
        <f t="array" ref="J30">Common_InputFunctions.Utility_DisplayArrayInTable(SourceData_Swine.SourceData_Swine_MMS_MCFs_Data(),Table_SourceData_Swine_MMSMCF[[#Headers],[MMS]],0)</f>
        <v>0.04</v>
      </c>
      <c r="K30" s="37" cm="1">
        <f t="array" ref="K30">Common_InputFunctions.Utility_DisplayArrayInTable(SourceData_Swine.SourceData_Swine_MMS_MCFs_Data(),Table_SourceData_Swine_MMSMCF[[#Headers],[MMS]],0)</f>
        <v>0.04</v>
      </c>
      <c r="L30" s="37" cm="1">
        <f t="array" ref="L30">Common_InputFunctions.Utility_DisplayArrayInTable(SourceData_Swine.SourceData_Swine_MMS_MCFs_Data(),Table_SourceData_Swine_MMSMCF[[#Headers],[MMS]],0)</f>
        <v>0.04</v>
      </c>
      <c r="M30" s="37" t="str" cm="1">
        <f t="array" ref="M30">Common_InputFunctions.Utility_DisplayArrayInTable(SourceData_Swine.SourceData_Swine_MMS_MCFs_Data(),Table_SourceData_Swine_MMSMCF[[#Headers],[MMS]],0)</f>
        <v>Deep litter</v>
      </c>
    </row>
    <row r="31" spans="1:13" ht="20.100000000000001" customHeight="1" x14ac:dyDescent="0.25">
      <c r="D31" s="1" t="str" cm="1">
        <f t="array" ref="D31">Common_InputFunctions.Utility_DisplayArrayInTable(SourceData_Swine.SourceData_Swine_MMS_MCFs_Data(),Table_SourceData_Swine_MMSMCF[[#Headers],[MMS]],0)</f>
        <v>Stockpile (Solid storage)</v>
      </c>
      <c r="E31" s="37" cm="1">
        <f t="array" ref="E31">Common_InputFunctions.Utility_DisplayArrayInTable(SourceData_Swine.SourceData_Swine_MMS_MCFs_Data(),Table_SourceData_Swine_MMSMCF[[#Headers],[MMS]],0)</f>
        <v>0.02</v>
      </c>
      <c r="F31" s="37" cm="1">
        <f t="array" ref="F31">Common_InputFunctions.Utility_DisplayArrayInTable(SourceData_Swine.SourceData_Swine_MMS_MCFs_Data(),Table_SourceData_Swine_MMSMCF[[#Headers],[MMS]],0)</f>
        <v>0.02</v>
      </c>
      <c r="G31" s="37" cm="1">
        <f t="array" ref="G31">Common_InputFunctions.Utility_DisplayArrayInTable(SourceData_Swine.SourceData_Swine_MMS_MCFs_Data(),Table_SourceData_Swine_MMSMCF[[#Headers],[MMS]],0)</f>
        <v>0.02</v>
      </c>
      <c r="H31" s="37" cm="1">
        <f t="array" ref="H31">Common_InputFunctions.Utility_DisplayArrayInTable(SourceData_Swine.SourceData_Swine_MMS_MCFs_Data(),Table_SourceData_Swine_MMSMCF[[#Headers],[MMS]],0)</f>
        <v>0.02</v>
      </c>
      <c r="I31" s="37" cm="1">
        <f t="array" ref="I31">Common_InputFunctions.Utility_DisplayArrayInTable(SourceData_Swine.SourceData_Swine_MMS_MCFs_Data(),Table_SourceData_Swine_MMSMCF[[#Headers],[MMS]],0)</f>
        <v>0.02</v>
      </c>
      <c r="J31" s="37" cm="1">
        <f t="array" ref="J31">Common_InputFunctions.Utility_DisplayArrayInTable(SourceData_Swine.SourceData_Swine_MMS_MCFs_Data(),Table_SourceData_Swine_MMSMCF[[#Headers],[MMS]],0)</f>
        <v>0.02</v>
      </c>
      <c r="K31" s="37" cm="1">
        <f t="array" ref="K31">Common_InputFunctions.Utility_DisplayArrayInTable(SourceData_Swine.SourceData_Swine_MMS_MCFs_Data(),Table_SourceData_Swine_MMSMCF[[#Headers],[MMS]],0)</f>
        <v>0.02</v>
      </c>
      <c r="L31" s="37" cm="1">
        <f t="array" ref="L31">Common_InputFunctions.Utility_DisplayArrayInTable(SourceData_Swine.SourceData_Swine_MMS_MCFs_Data(),Table_SourceData_Swine_MMSMCF[[#Headers],[MMS]],0)</f>
        <v>0.02</v>
      </c>
      <c r="M31" s="37" t="str" cm="1">
        <f t="array" ref="M31">Common_InputFunctions.Utility_DisplayArrayInTable(SourceData_Swine.SourceData_Swine_MMS_MCFs_Data(),Table_SourceData_Swine_MMSMCF[[#Headers],[MMS]],0)</f>
        <v>Solid storage</v>
      </c>
    </row>
    <row r="32" spans="1:13" ht="20.100000000000001" customHeight="1" x14ac:dyDescent="0.25">
      <c r="D32" s="1" t="str" cm="1">
        <f t="array" ref="D32">Common_InputFunctions.Utility_DisplayArrayInTable(SourceData_Swine.SourceData_Swine_MMS_MCFs_Data(),Table_SourceData_Swine_MMSMCF[[#Headers],[MMS]],0)</f>
        <v>Effluent pond (Uncovered anaerobic lagoon)</v>
      </c>
      <c r="E32" s="37" cm="1">
        <f t="array" ref="E32">Common_InputFunctions.Utility_DisplayArrayInTable(SourceData_Swine.SourceData_Swine_MMS_MCFs_Data(),Table_SourceData_Swine_MMSMCF[[#Headers],[MMS]],0)</f>
        <v>0.75</v>
      </c>
      <c r="F32" s="37" cm="1">
        <f t="array" ref="F32">Common_InputFunctions.Utility_DisplayArrayInTable(SourceData_Swine.SourceData_Swine_MMS_MCFs_Data(),Table_SourceData_Swine_MMSMCF[[#Headers],[MMS]],0)</f>
        <v>0.75</v>
      </c>
      <c r="G32" s="37" cm="1">
        <f t="array" ref="G32">Common_InputFunctions.Utility_DisplayArrayInTable(SourceData_Swine.SourceData_Swine_MMS_MCFs_Data(),Table_SourceData_Swine_MMSMCF[[#Headers],[MMS]],0)</f>
        <v>0.78</v>
      </c>
      <c r="H32" s="37" cm="1">
        <f t="array" ref="H32">Common_InputFunctions.Utility_DisplayArrayInTable(SourceData_Swine.SourceData_Swine_MMS_MCFs_Data(),Table_SourceData_Swine_MMSMCF[[#Headers],[MMS]],0)</f>
        <v>0.78</v>
      </c>
      <c r="I32" s="37" cm="1">
        <f t="array" ref="I32">Common_InputFunctions.Utility_DisplayArrayInTable(SourceData_Swine.SourceData_Swine_MMS_MCFs_Data(),Table_SourceData_Swine_MMSMCF[[#Headers],[MMS]],0)</f>
        <v>0.75</v>
      </c>
      <c r="J32" s="37" cm="1">
        <f t="array" ref="J32">Common_InputFunctions.Utility_DisplayArrayInTable(SourceData_Swine.SourceData_Swine_MMS_MCFs_Data(),Table_SourceData_Swine_MMSMCF[[#Headers],[MMS]],0)</f>
        <v>0.7</v>
      </c>
      <c r="K32" s="37" cm="1">
        <f t="array" ref="K32">Common_InputFunctions.Utility_DisplayArrayInTable(SourceData_Swine.SourceData_Swine_MMS_MCFs_Data(),Table_SourceData_Swine_MMSMCF[[#Headers],[MMS]],0)</f>
        <v>0.74</v>
      </c>
      <c r="L32" s="37" cm="1">
        <f t="array" ref="L32">Common_InputFunctions.Utility_DisplayArrayInTable(SourceData_Swine.SourceData_Swine_MMS_MCFs_Data(),Table_SourceData_Swine_MMSMCF[[#Headers],[MMS]],0)</f>
        <v>0.76</v>
      </c>
      <c r="M32" s="37" t="str" cm="1">
        <f t="array" ref="M32">Common_InputFunctions.Utility_DisplayArrayInTable(SourceData_Swine.SourceData_Swine_MMS_MCFs_Data(),Table_SourceData_Swine_MMSMCF[[#Headers],[MMS]],0)</f>
        <v>Anaerobic lagoon</v>
      </c>
    </row>
    <row r="33" spans="4:13" ht="20.100000000000001" customHeight="1" x14ac:dyDescent="0.25">
      <c r="D33" s="1" t="str" cm="1">
        <f t="array" ref="D33">Common_InputFunctions.Utility_DisplayArrayInTable(SourceData_Swine.SourceData_Swine_MMS_MCFs_Data(),Table_SourceData_Swine_MMSMCF[[#Headers],[MMS]],0)</f>
        <v>Anaerobic digester / Covered lagoon</v>
      </c>
      <c r="E33" s="37" cm="1">
        <f t="array" ref="E33">Common_InputFunctions.Utility_DisplayArrayInTable(SourceData_Swine.SourceData_Swine_MMS_MCFs_Data(),Table_SourceData_Swine_MMSMCF[[#Headers],[MMS]],0)</f>
        <v>0.1</v>
      </c>
      <c r="F33" s="37" cm="1">
        <f t="array" ref="F33">Common_InputFunctions.Utility_DisplayArrayInTable(SourceData_Swine.SourceData_Swine_MMS_MCFs_Data(),Table_SourceData_Swine_MMSMCF[[#Headers],[MMS]],0)</f>
        <v>0.1</v>
      </c>
      <c r="G33" s="37" cm="1">
        <f t="array" ref="G33">Common_InputFunctions.Utility_DisplayArrayInTable(SourceData_Swine.SourceData_Swine_MMS_MCFs_Data(),Table_SourceData_Swine_MMSMCF[[#Headers],[MMS]],0)</f>
        <v>0.1</v>
      </c>
      <c r="H33" s="37" cm="1">
        <f t="array" ref="H33">Common_InputFunctions.Utility_DisplayArrayInTable(SourceData_Swine.SourceData_Swine_MMS_MCFs_Data(),Table_SourceData_Swine_MMSMCF[[#Headers],[MMS]],0)</f>
        <v>0.1</v>
      </c>
      <c r="I33" s="37" cm="1">
        <f t="array" ref="I33">Common_InputFunctions.Utility_DisplayArrayInTable(SourceData_Swine.SourceData_Swine_MMS_MCFs_Data(),Table_SourceData_Swine_MMSMCF[[#Headers],[MMS]],0)</f>
        <v>0.1</v>
      </c>
      <c r="J33" s="37" cm="1">
        <f t="array" ref="J33">Common_InputFunctions.Utility_DisplayArrayInTable(SourceData_Swine.SourceData_Swine_MMS_MCFs_Data(),Table_SourceData_Swine_MMSMCF[[#Headers],[MMS]],0)</f>
        <v>0.1</v>
      </c>
      <c r="K33" s="37" cm="1">
        <f t="array" ref="K33">Common_InputFunctions.Utility_DisplayArrayInTable(SourceData_Swine.SourceData_Swine_MMS_MCFs_Data(),Table_SourceData_Swine_MMSMCF[[#Headers],[MMS]],0)</f>
        <v>0.1</v>
      </c>
      <c r="L33" s="37" cm="1">
        <f t="array" ref="L33">Common_InputFunctions.Utility_DisplayArrayInTable(SourceData_Swine.SourceData_Swine_MMS_MCFs_Data(),Table_SourceData_Swine_MMSMCF[[#Headers],[MMS]],0)</f>
        <v>0.1</v>
      </c>
      <c r="M33" s="37" t="str" cm="1">
        <f t="array" ref="M33">Common_InputFunctions.Utility_DisplayArrayInTable(SourceData_Swine.SourceData_Swine_MMS_MCFs_Data(),Table_SourceData_Swine_MMSMCF[[#Headers],[MMS]],0)</f>
        <v>Digester / covered lagoons</v>
      </c>
    </row>
    <row r="34" spans="4:13" ht="20.100000000000001" customHeight="1" x14ac:dyDescent="0.25">
      <c r="D34" s="1" t="str" cm="1">
        <f t="array" ref="D34">Common_InputFunctions.Utility_DisplayArrayInTable(SourceData_Swine.SourceData_Swine_MMS_MCFs_Data(),Table_SourceData_Swine_MMSMCF[[#Headers],[MMS]],0)</f>
        <v>Short HRT tank storage &lt; 1 month (pit storage)</v>
      </c>
      <c r="E34" s="37" cm="1">
        <f t="array" ref="E34">Common_InputFunctions.Utility_DisplayArrayInTable(SourceData_Swine.SourceData_Swine_MMS_MCFs_Data(),Table_SourceData_Swine_MMSMCF[[#Headers],[MMS]],0)</f>
        <v>0.03</v>
      </c>
      <c r="F34" s="37" cm="1">
        <f t="array" ref="F34">Common_InputFunctions.Utility_DisplayArrayInTable(SourceData_Swine.SourceData_Swine_MMS_MCFs_Data(),Table_SourceData_Swine_MMSMCF[[#Headers],[MMS]],0)</f>
        <v>0.03</v>
      </c>
      <c r="G34" s="37" cm="1">
        <f t="array" ref="G34">Common_InputFunctions.Utility_DisplayArrayInTable(SourceData_Swine.SourceData_Swine_MMS_MCFs_Data(),Table_SourceData_Swine_MMSMCF[[#Headers],[MMS]],0)</f>
        <v>0.03</v>
      </c>
      <c r="H34" s="37" cm="1">
        <f t="array" ref="H34">Common_InputFunctions.Utility_DisplayArrayInTable(SourceData_Swine.SourceData_Swine_MMS_MCFs_Data(),Table_SourceData_Swine_MMSMCF[[#Headers],[MMS]],0)</f>
        <v>0.03</v>
      </c>
      <c r="I34" s="37" cm="1">
        <f t="array" ref="I34">Common_InputFunctions.Utility_DisplayArrayInTable(SourceData_Swine.SourceData_Swine_MMS_MCFs_Data(),Table_SourceData_Swine_MMSMCF[[#Headers],[MMS]],0)</f>
        <v>0.03</v>
      </c>
      <c r="J34" s="37" cm="1">
        <f t="array" ref="J34">Common_InputFunctions.Utility_DisplayArrayInTable(SourceData_Swine.SourceData_Swine_MMS_MCFs_Data(),Table_SourceData_Swine_MMSMCF[[#Headers],[MMS]],0)</f>
        <v>0.03</v>
      </c>
      <c r="K34" s="37" cm="1">
        <f t="array" ref="K34">Common_InputFunctions.Utility_DisplayArrayInTable(SourceData_Swine.SourceData_Swine_MMS_MCFs_Data(),Table_SourceData_Swine_MMSMCF[[#Headers],[MMS]],0)</f>
        <v>0.03</v>
      </c>
      <c r="L34" s="37" cm="1">
        <f t="array" ref="L34">Common_InputFunctions.Utility_DisplayArrayInTable(SourceData_Swine.SourceData_Swine_MMS_MCFs_Data(),Table_SourceData_Swine_MMSMCF[[#Headers],[MMS]],0)</f>
        <v>0.03</v>
      </c>
      <c r="M34" s="37" t="str" cm="1">
        <f t="array" ref="M34">Common_InputFunctions.Utility_DisplayArrayInTable(SourceData_Swine.SourceData_Swine_MMS_MCFs_Data(),Table_SourceData_Swine_MMSMCF[[#Headers],[MMS]],0)</f>
        <v>Pit storage</v>
      </c>
    </row>
    <row r="35" spans="4:13" ht="20.100000000000001" customHeight="1" x14ac:dyDescent="0.25">
      <c r="D35" s="1" t="str" cm="1">
        <f t="array" ref="D35">Common_InputFunctions.Utility_DisplayArrayInTable(SourceData_Swine.SourceData_Swine_MMS_MCFs_Data(),Table_SourceData_Swine_MMSMCF[[#Headers],[MMS]],0)</f>
        <v>Direct Application to soil</v>
      </c>
      <c r="E35" s="37" cm="1">
        <f t="array" ref="E35">Common_InputFunctions.Utility_DisplayArrayInTable(SourceData_Swine.SourceData_Swine_MMS_MCFs_Data(),Table_SourceData_Swine_MMSMCF[[#Headers],[MMS]],0)</f>
        <v>0</v>
      </c>
      <c r="F35" s="37" cm="1">
        <f t="array" ref="F35">Common_InputFunctions.Utility_DisplayArrayInTable(SourceData_Swine.SourceData_Swine_MMS_MCFs_Data(),Table_SourceData_Swine_MMSMCF[[#Headers],[MMS]],0)</f>
        <v>0</v>
      </c>
      <c r="G35" s="37" cm="1">
        <f t="array" ref="G35">Common_InputFunctions.Utility_DisplayArrayInTable(SourceData_Swine.SourceData_Swine_MMS_MCFs_Data(),Table_SourceData_Swine_MMSMCF[[#Headers],[MMS]],0)</f>
        <v>0</v>
      </c>
      <c r="H35" s="37" cm="1">
        <f t="array" ref="H35">Common_InputFunctions.Utility_DisplayArrayInTable(SourceData_Swine.SourceData_Swine_MMS_MCFs_Data(),Table_SourceData_Swine_MMSMCF[[#Headers],[MMS]],0)</f>
        <v>0</v>
      </c>
      <c r="I35" s="37" cm="1">
        <f t="array" ref="I35">Common_InputFunctions.Utility_DisplayArrayInTable(SourceData_Swine.SourceData_Swine_MMS_MCFs_Data(),Table_SourceData_Swine_MMSMCF[[#Headers],[MMS]],0)</f>
        <v>0</v>
      </c>
      <c r="J35" s="37" cm="1">
        <f t="array" ref="J35">Common_InputFunctions.Utility_DisplayArrayInTable(SourceData_Swine.SourceData_Swine_MMS_MCFs_Data(),Table_SourceData_Swine_MMSMCF[[#Headers],[MMS]],0)</f>
        <v>0</v>
      </c>
      <c r="K35" s="37" cm="1">
        <f t="array" ref="K35">Common_InputFunctions.Utility_DisplayArrayInTable(SourceData_Swine.SourceData_Swine_MMS_MCFs_Data(),Table_SourceData_Swine_MMSMCF[[#Headers],[MMS]],0)</f>
        <v>0</v>
      </c>
      <c r="L35" s="37" cm="1">
        <f t="array" ref="L35">Common_InputFunctions.Utility_DisplayArrayInTable(SourceData_Swine.SourceData_Swine_MMS_MCFs_Data(),Table_SourceData_Swine_MMSMCF[[#Headers],[MMS]],0)</f>
        <v>0</v>
      </c>
      <c r="M35" s="37" t="str" cm="1">
        <f t="array" ref="M35">Common_InputFunctions.Utility_DisplayArrayInTable(SourceData_Swine.SourceData_Swine_MMS_MCFs_Data(),Table_SourceData_Swine_MMSMCF[[#Headers],[MMS]],0)</f>
        <v>Direct application</v>
      </c>
    </row>
    <row r="36" spans="4:13" ht="20.100000000000001" customHeight="1" x14ac:dyDescent="0.25">
      <c r="M36" s="1"/>
    </row>
    <row r="37" spans="4:13" ht="20.100000000000001" customHeight="1" x14ac:dyDescent="0.25">
      <c r="M37" s="1"/>
    </row>
    <row r="38" spans="4:13" ht="20.100000000000001" customHeight="1" x14ac:dyDescent="0.25">
      <c r="D38" s="6" t="s">
        <v>239</v>
      </c>
      <c r="G38" s="6" t="s">
        <v>240</v>
      </c>
      <c r="K38" s="6" t="s">
        <v>241</v>
      </c>
      <c r="M38" s="1"/>
    </row>
    <row r="39" spans="4:13" ht="20.100000000000001" customHeight="1" x14ac:dyDescent="0.25">
      <c r="M39" s="1"/>
    </row>
    <row r="40" spans="4:13" ht="20.100000000000001" customHeight="1" x14ac:dyDescent="0.25">
      <c r="D40" s="120" t="s">
        <v>67</v>
      </c>
      <c r="E40" s="37" t="s">
        <v>81</v>
      </c>
      <c r="G40" s="120" t="s">
        <v>67</v>
      </c>
      <c r="H40" s="37" t="s">
        <v>81</v>
      </c>
      <c r="K40" s="120" t="s">
        <v>67</v>
      </c>
      <c r="L40" s="37" t="s">
        <v>81</v>
      </c>
      <c r="M40" s="1"/>
    </row>
    <row r="41" spans="4:13" ht="20.100000000000001" customHeight="1" x14ac:dyDescent="0.25">
      <c r="D41" s="37" t="str">
        <f>'[1]Constants - Livestock'!$E$10</f>
        <v>Anaerobic lagoon</v>
      </c>
      <c r="E41" s="37" t="str">
        <f>'[1]Constants - Livestock'!$F$10</f>
        <v>Anaerobic lagoon (m=1)</v>
      </c>
      <c r="G41" s="37" t="str">
        <f>'[1]Constants - Livestock'!$E$10</f>
        <v>Anaerobic lagoon</v>
      </c>
      <c r="H41" s="37" t="str">
        <f>'[1]Constants - Livestock'!$F$10</f>
        <v>Anaerobic lagoon (m=1)</v>
      </c>
      <c r="K41" s="37" t="str">
        <f>'[1]Constants - Livestock'!$E$10</f>
        <v>Anaerobic lagoon</v>
      </c>
      <c r="L41" s="37" t="str">
        <f>'[1]Constants - Livestock'!$F$10</f>
        <v>Anaerobic lagoon (m=1)</v>
      </c>
      <c r="M41" s="1"/>
    </row>
    <row r="42" spans="4:13" ht="20.100000000000001" customHeight="1" x14ac:dyDescent="0.25">
      <c r="D42" s="37" t="str">
        <f>'[1]Constants - Livestock'!$E$15</f>
        <v>Solid storage</v>
      </c>
      <c r="E42" s="37" t="str">
        <f>'[1]Constants - Livestock'!$F$15</f>
        <v>Solid storage (m=4)</v>
      </c>
      <c r="G42" s="37" t="str">
        <f>'[1]Constants - Livestock'!$E$16</f>
        <v>Drylot (feed pad)</v>
      </c>
      <c r="H42" s="37" t="str">
        <f>'[1]Constants - Livestock'!$F$16</f>
        <v>Drylot (feed pad) (m=5)</v>
      </c>
      <c r="K42" s="37" t="str">
        <f>'[1]Constants - Livestock'!$E$15</f>
        <v>Solid storage</v>
      </c>
      <c r="L42" s="37" t="str">
        <f>'[1]Constants - Livestock'!$F$15</f>
        <v>Solid storage (m=4)</v>
      </c>
      <c r="M42" s="1"/>
    </row>
    <row r="43" spans="4:13" ht="20.100000000000001" customHeight="1" x14ac:dyDescent="0.25">
      <c r="D43" s="37" t="str">
        <f>'[1]Constants - Livestock'!$E$16</f>
        <v>Drylot (feed pad)</v>
      </c>
      <c r="E43" s="37" t="str">
        <f>'[1]Constants - Livestock'!$F$16</f>
        <v>Drylot (feed pad) (m=5)</v>
      </c>
      <c r="G43" s="37" t="str">
        <f>'[1]Constants - Livestock'!$E$18</f>
        <v>Digester / covered lagoons</v>
      </c>
      <c r="H43" s="37" t="str">
        <f>'[1]Constants - Livestock'!$F$18</f>
        <v>Digester / covered lagoons (m=7)</v>
      </c>
      <c r="K43" s="37" t="str">
        <f>'[1]Constants - Livestock'!$E$16</f>
        <v>Drylot (feed pad)</v>
      </c>
      <c r="L43" s="37" t="str">
        <f>'[1]Constants - Livestock'!$F$16</f>
        <v>Drylot (feed pad) (m=5)</v>
      </c>
      <c r="M43" s="1"/>
    </row>
    <row r="44" spans="4:13" ht="20.100000000000001" customHeight="1" x14ac:dyDescent="0.25">
      <c r="D44" s="37" t="str">
        <f>'[1]Constants - Livestock'!$E$18</f>
        <v>Digester / covered lagoons</v>
      </c>
      <c r="E44" s="37" t="str">
        <f>'[1]Constants - Livestock'!$F$18</f>
        <v>Digester / covered lagoons (m=7)</v>
      </c>
      <c r="G44" s="37" t="str">
        <f>'[1]Constants - Livestock'!$E$19</f>
        <v>Deep litter</v>
      </c>
      <c r="H44" s="37" t="str">
        <f>'[1]Constants - Livestock'!$F$19</f>
        <v>Deep litter (m=8)</v>
      </c>
      <c r="K44" s="37" t="str">
        <f>'[1]Constants - Livestock'!$E$18</f>
        <v>Digester / covered lagoons</v>
      </c>
      <c r="L44" s="37" t="str">
        <f>'[1]Constants - Livestock'!$F$18</f>
        <v>Digester / covered lagoons (m=7)</v>
      </c>
      <c r="M44" s="1"/>
    </row>
    <row r="45" spans="4:13" ht="20.100000000000001" customHeight="1" x14ac:dyDescent="0.25">
      <c r="D45" s="37" t="str">
        <f>'[1]Constants - Livestock'!$E$19</f>
        <v>Deep litter</v>
      </c>
      <c r="E45" s="37" t="str">
        <f>'[1]Constants - Livestock'!$F$19</f>
        <v>Deep litter (m=8)</v>
      </c>
      <c r="G45" s="37" t="str">
        <f>'[1]Constants - Livestock'!$E$20</f>
        <v>Pit storage</v>
      </c>
      <c r="H45" s="37" t="str">
        <f>'[1]Constants - Livestock'!$F$20</f>
        <v>Pit storage (m=9)</v>
      </c>
      <c r="K45" s="37" t="str">
        <f>'[1]Constants - Livestock'!$E$19</f>
        <v>Deep litter</v>
      </c>
      <c r="L45" s="37" t="str">
        <f>'[1]Constants - Livestock'!$F$19</f>
        <v>Deep litter (m=8)</v>
      </c>
      <c r="M45" s="1"/>
    </row>
    <row r="46" spans="4:13" ht="20.100000000000001" customHeight="1" x14ac:dyDescent="0.25">
      <c r="D46" s="37" t="str">
        <f>'[1]Constants - Livestock'!$E$20</f>
        <v>Pit storage</v>
      </c>
      <c r="E46" s="37" t="str">
        <f>'[1]Constants - Livestock'!$F$20</f>
        <v>Pit storage (m=9)</v>
      </c>
      <c r="K46" s="37" t="str">
        <f>'[1]Constants - Livestock'!$E$20</f>
        <v>Pit storage</v>
      </c>
      <c r="L46" s="37" t="str">
        <f>'[1]Constants - Livestock'!$F$20</f>
        <v>Pit storage (m=9)</v>
      </c>
      <c r="M46" s="1"/>
    </row>
    <row r="47" spans="4:13" ht="20.100000000000001" customHeight="1" x14ac:dyDescent="0.25">
      <c r="D47" s="37" t="str">
        <f>'[1]Constants - Livestock'!$E$26</f>
        <v>Direct application</v>
      </c>
      <c r="E47" s="37" t="str">
        <f>'[1]Constants - Livestock'!$F$26</f>
        <v>Direct application (m=13)</v>
      </c>
      <c r="M47" s="1"/>
    </row>
    <row r="48" spans="4:13" ht="20.100000000000001" customHeight="1" x14ac:dyDescent="0.25">
      <c r="M48" s="1"/>
    </row>
    <row r="49" spans="4:13" ht="20.100000000000001" customHeight="1" x14ac:dyDescent="0.25">
      <c r="M49" s="1"/>
    </row>
    <row r="50" spans="4:13" ht="20.100000000000001" customHeight="1" x14ac:dyDescent="0.25">
      <c r="M50" s="1"/>
    </row>
    <row r="51" spans="4:13" ht="20.100000000000001" customHeight="1" x14ac:dyDescent="0.25">
      <c r="D51" s="6" t="s">
        <v>242</v>
      </c>
      <c r="G51" s="6" t="s">
        <v>243</v>
      </c>
      <c r="M51" s="1"/>
    </row>
    <row r="52" spans="4:13" ht="20.100000000000001" customHeight="1" x14ac:dyDescent="0.25">
      <c r="M52" s="1"/>
    </row>
    <row r="53" spans="4:13" ht="20.100000000000001" customHeight="1" x14ac:dyDescent="0.25">
      <c r="D53" s="120" t="s">
        <v>67</v>
      </c>
      <c r="E53" s="37" t="s">
        <v>244</v>
      </c>
      <c r="G53" s="37" t="s">
        <v>113</v>
      </c>
      <c r="M53" s="1"/>
    </row>
    <row r="54" spans="4:13" ht="20.100000000000001" customHeight="1" x14ac:dyDescent="0.25">
      <c r="D54" s="37" t="str">
        <f>'[1]Constants - Livestock'!$E$10</f>
        <v>Anaerobic lagoon</v>
      </c>
      <c r="E54" s="37">
        <v>0</v>
      </c>
      <c r="G54" s="37" t="str" cm="1">
        <f t="array" ref="G54">Common_InputFunctions.Utility_DisplayArrayInTable(SourceData_Swine.SourceData_Swine_ProductionSystems_Data(), Table_SourceData_Swine_ProductionSystems[[#Headers],[Production system]], 0)</f>
        <v>Conventional housing</v>
      </c>
      <c r="M54" s="1"/>
    </row>
    <row r="55" spans="4:13" ht="20.100000000000001" customHeight="1" x14ac:dyDescent="0.25">
      <c r="D55" s="37" t="str">
        <f>'[1]Constants - Livestock'!$E$15</f>
        <v>Solid storage</v>
      </c>
      <c r="E55" s="37">
        <v>0</v>
      </c>
      <c r="G55" s="37" t="str" cm="1">
        <f t="array" ref="G55">Common_InputFunctions.Utility_DisplayArrayInTable(SourceData_Swine.SourceData_Swine_ProductionSystems_Data(), Table_SourceData_Swine_ProductionSystems[[#Headers],[Production system]], 0)</f>
        <v>Deep litter housing</v>
      </c>
      <c r="M55" s="1"/>
    </row>
    <row r="56" spans="4:13" ht="20.100000000000001" customHeight="1" x14ac:dyDescent="0.25">
      <c r="D56" s="37" t="str">
        <f>'[1]Constants - Livestock'!$E$16</f>
        <v>Drylot (feed pad)</v>
      </c>
      <c r="E56" s="37">
        <v>0</v>
      </c>
      <c r="G56" s="37" t="str" cm="1">
        <f t="array" ref="G56">Common_InputFunctions.Utility_DisplayArrayInTable(SourceData_Swine.SourceData_Swine_ProductionSystems_Data(), Table_SourceData_Swine_ProductionSystems[[#Headers],[Production system]], 0)</f>
        <v>Outdoor/free range</v>
      </c>
      <c r="M56" s="1"/>
    </row>
    <row r="57" spans="4:13" ht="20.100000000000001" customHeight="1" x14ac:dyDescent="0.25">
      <c r="D57" s="37" t="str">
        <f>'[1]Constants - Livestock'!$E$18</f>
        <v>Digester / covered lagoons</v>
      </c>
      <c r="E57" s="37">
        <v>0.75</v>
      </c>
      <c r="M57" s="1"/>
    </row>
    <row r="58" spans="4:13" ht="20.100000000000001" customHeight="1" x14ac:dyDescent="0.25">
      <c r="D58" s="37" t="str">
        <f>'[1]Constants - Livestock'!$E$19</f>
        <v>Deep litter</v>
      </c>
      <c r="E58" s="37">
        <v>0.05</v>
      </c>
      <c r="M58" s="1"/>
    </row>
    <row r="59" spans="4:13" ht="20.100000000000001" customHeight="1" x14ac:dyDescent="0.25">
      <c r="D59" s="37" t="str">
        <f>'[1]Constants - Livestock'!$E$20</f>
        <v>Pit storage</v>
      </c>
      <c r="E59" s="37">
        <v>0</v>
      </c>
      <c r="M59" s="1"/>
    </row>
    <row r="60" spans="4:13" ht="20.100000000000001" customHeight="1" x14ac:dyDescent="0.25">
      <c r="D60" s="37" t="str">
        <f>'[1]Constants - Livestock'!$E$26</f>
        <v>Direct application</v>
      </c>
      <c r="E60" s="37">
        <v>0</v>
      </c>
      <c r="M60" s="1"/>
    </row>
    <row r="61" spans="4:13" ht="20.100000000000001" customHeight="1" x14ac:dyDescent="0.25">
      <c r="M61" s="1"/>
    </row>
    <row r="62" spans="4:13" ht="20.100000000000001" customHeight="1" x14ac:dyDescent="0.25">
      <c r="M62" s="1"/>
    </row>
    <row r="63" spans="4:13" ht="20.100000000000001" customHeight="1" x14ac:dyDescent="0.25">
      <c r="M63" s="1"/>
    </row>
    <row r="64" spans="4:13" ht="20.100000000000001" customHeight="1" x14ac:dyDescent="0.25">
      <c r="M64" s="1"/>
    </row>
    <row r="65" spans="13:22" ht="20.100000000000001" customHeight="1" x14ac:dyDescent="0.25">
      <c r="M65" s="1"/>
    </row>
    <row r="66" spans="13:22" ht="20.100000000000001" customHeight="1" x14ac:dyDescent="0.25">
      <c r="M66" s="1"/>
    </row>
    <row r="67" spans="13:22" ht="20.100000000000001" customHeight="1" x14ac:dyDescent="0.25">
      <c r="M67" s="1"/>
    </row>
    <row r="68" spans="13:22" ht="20.100000000000001" customHeight="1" x14ac:dyDescent="0.25">
      <c r="M68" s="1"/>
    </row>
    <row r="69" spans="13:22" ht="20.100000000000001" customHeight="1" x14ac:dyDescent="0.25">
      <c r="M69" s="1"/>
    </row>
    <row r="70" spans="13:22" ht="20.100000000000001" customHeight="1" x14ac:dyDescent="0.25">
      <c r="M70" s="1"/>
    </row>
    <row r="71" spans="13:22" ht="20.100000000000001" customHeight="1" x14ac:dyDescent="0.25">
      <c r="M71" s="1"/>
      <c r="V71" s="1"/>
    </row>
    <row r="72" spans="13:22" ht="20.100000000000001" customHeight="1" x14ac:dyDescent="0.25">
      <c r="M72" s="1"/>
      <c r="V72" s="1"/>
    </row>
    <row r="73" spans="13:22" ht="20.100000000000001" customHeight="1" x14ac:dyDescent="0.25">
      <c r="M73" s="1"/>
      <c r="V73" s="1"/>
    </row>
    <row r="74" spans="13:22" ht="20.100000000000001" customHeight="1" x14ac:dyDescent="0.25">
      <c r="M74" s="1"/>
      <c r="V74" s="1"/>
    </row>
    <row r="75" spans="13:22" ht="20.100000000000001" customHeight="1" x14ac:dyDescent="0.25">
      <c r="M75" s="1"/>
      <c r="V75" s="1"/>
    </row>
    <row r="76" spans="13:22" ht="20.100000000000001" customHeight="1" x14ac:dyDescent="0.25">
      <c r="M76" s="1"/>
      <c r="V76" s="1"/>
    </row>
    <row r="77" spans="13:22" ht="20.100000000000001" customHeight="1" x14ac:dyDescent="0.25">
      <c r="M77" s="1"/>
      <c r="V77" s="1"/>
    </row>
    <row r="78" spans="13:22" ht="20.100000000000001" customHeight="1" x14ac:dyDescent="0.25">
      <c r="M78" s="1"/>
    </row>
    <row r="79" spans="13:22" ht="20.100000000000001" customHeight="1" x14ac:dyDescent="0.25">
      <c r="M79" s="1"/>
    </row>
    <row r="80" spans="13:22" ht="20.100000000000001" customHeight="1" x14ac:dyDescent="0.25">
      <c r="M80" s="1"/>
    </row>
    <row r="81" spans="13:22" ht="20.100000000000001" customHeight="1" x14ac:dyDescent="0.25">
      <c r="M81" s="1"/>
    </row>
    <row r="82" spans="13:22" ht="20.100000000000001" customHeight="1" x14ac:dyDescent="0.25">
      <c r="M82" s="1"/>
    </row>
    <row r="83" spans="13:22" ht="20.100000000000001" customHeight="1" x14ac:dyDescent="0.25">
      <c r="M83" s="1"/>
    </row>
    <row r="84" spans="13:22" ht="20.100000000000001" customHeight="1" x14ac:dyDescent="0.25">
      <c r="M84" s="1"/>
    </row>
    <row r="85" spans="13:22" ht="20.100000000000001" customHeight="1" x14ac:dyDescent="0.25">
      <c r="M85" s="1"/>
      <c r="V85" s="1"/>
    </row>
    <row r="86" spans="13:22" ht="20.100000000000001" customHeight="1" x14ac:dyDescent="0.25">
      <c r="M86" s="1"/>
      <c r="V86" s="1"/>
    </row>
    <row r="87" spans="13:22" ht="20.100000000000001" customHeight="1" x14ac:dyDescent="0.25">
      <c r="M87" s="1"/>
      <c r="V87" s="1"/>
    </row>
    <row r="88" spans="13:22" ht="20.100000000000001" customHeight="1" x14ac:dyDescent="0.25">
      <c r="M88" s="1"/>
      <c r="V88" s="1"/>
    </row>
    <row r="89" spans="13:22" ht="20.100000000000001" customHeight="1" x14ac:dyDescent="0.25">
      <c r="M89" s="1"/>
      <c r="V89" s="1"/>
    </row>
    <row r="90" spans="13:22" ht="20.100000000000001" customHeight="1" x14ac:dyDescent="0.25">
      <c r="M90" s="1"/>
      <c r="V90" s="1"/>
    </row>
    <row r="91" spans="13:22" ht="20.100000000000001" customHeight="1" x14ac:dyDescent="0.25">
      <c r="M91" s="1"/>
    </row>
    <row r="92" spans="13:22" ht="20.100000000000001" customHeight="1" x14ac:dyDescent="0.25">
      <c r="M92" s="1"/>
    </row>
    <row r="93" spans="13:22" ht="20.100000000000001" customHeight="1" x14ac:dyDescent="0.25">
      <c r="M93" s="1"/>
    </row>
    <row r="94" spans="13:22" ht="20.100000000000001" customHeight="1" x14ac:dyDescent="0.25">
      <c r="M94" s="1"/>
    </row>
    <row r="95" spans="13:22" ht="20.100000000000001" customHeight="1" x14ac:dyDescent="0.25">
      <c r="M95" s="1"/>
    </row>
    <row r="96" spans="13:22" ht="20.100000000000001" customHeight="1" x14ac:dyDescent="0.25">
      <c r="M96" s="1"/>
    </row>
    <row r="97" spans="13:13" ht="20.100000000000001" customHeight="1" x14ac:dyDescent="0.25">
      <c r="M97" s="1"/>
    </row>
    <row r="98" spans="13:13" ht="20.100000000000001" customHeight="1" x14ac:dyDescent="0.25">
      <c r="M98" s="1"/>
    </row>
    <row r="99" spans="13:13" ht="20.100000000000001" customHeight="1" x14ac:dyDescent="0.25">
      <c r="M99" s="1"/>
    </row>
    <row r="100" spans="13:13" ht="20.100000000000001" customHeight="1" x14ac:dyDescent="0.25">
      <c r="M100" s="1"/>
    </row>
    <row r="101" spans="13:13" ht="20.100000000000001" customHeight="1" x14ac:dyDescent="0.25">
      <c r="M101" s="1"/>
    </row>
    <row r="102" spans="13:13" ht="20.100000000000001" customHeight="1" x14ac:dyDescent="0.25">
      <c r="M102" s="1"/>
    </row>
    <row r="103" spans="13:13" ht="20.100000000000001" customHeight="1" x14ac:dyDescent="0.25">
      <c r="M103" s="1"/>
    </row>
    <row r="104" spans="13:13" ht="20.100000000000001" customHeight="1" x14ac:dyDescent="0.25">
      <c r="M104" s="1"/>
    </row>
    <row r="105" spans="13:13" ht="20.100000000000001" customHeight="1" x14ac:dyDescent="0.25">
      <c r="M105" s="1"/>
    </row>
    <row r="106" spans="13:13" ht="20.100000000000001" customHeight="1" x14ac:dyDescent="0.25">
      <c r="M106" s="1"/>
    </row>
    <row r="107" spans="13:13" ht="20.100000000000001" customHeight="1" x14ac:dyDescent="0.25">
      <c r="M107" s="1"/>
    </row>
    <row r="108" spans="13:13" ht="20.100000000000001" customHeight="1" x14ac:dyDescent="0.25">
      <c r="M108" s="1"/>
    </row>
    <row r="109" spans="13:13" ht="20.100000000000001" customHeight="1" x14ac:dyDescent="0.25">
      <c r="M109" s="1"/>
    </row>
    <row r="110" spans="13:13" ht="20.100000000000001" customHeight="1" x14ac:dyDescent="0.25">
      <c r="M110" s="1"/>
    </row>
    <row r="111" spans="13:13" ht="20.100000000000001" customHeight="1" x14ac:dyDescent="0.25">
      <c r="M111" s="1"/>
    </row>
    <row r="112" spans="13:13" ht="20.100000000000001" customHeight="1" x14ac:dyDescent="0.25">
      <c r="M112" s="1"/>
    </row>
    <row r="113" spans="13:22" ht="20.100000000000001" customHeight="1" x14ac:dyDescent="0.25">
      <c r="M113" s="1"/>
    </row>
    <row r="114" spans="13:22" ht="20.100000000000001" customHeight="1" x14ac:dyDescent="0.25">
      <c r="M114" s="1"/>
    </row>
    <row r="115" spans="13:22" ht="20.100000000000001" customHeight="1" x14ac:dyDescent="0.25">
      <c r="M115" s="1"/>
      <c r="V115" s="1"/>
    </row>
    <row r="116" spans="13:22" ht="20.100000000000001" customHeight="1" x14ac:dyDescent="0.25">
      <c r="M116" s="1"/>
      <c r="V116" s="1"/>
    </row>
    <row r="117" spans="13:22" ht="20.100000000000001" customHeight="1" x14ac:dyDescent="0.25">
      <c r="M117" s="1"/>
      <c r="V117" s="1"/>
    </row>
    <row r="118" spans="13:22" ht="20.100000000000001" customHeight="1" x14ac:dyDescent="0.25">
      <c r="M118" s="1"/>
    </row>
    <row r="119" spans="13:22" ht="20.100000000000001" customHeight="1" x14ac:dyDescent="0.25">
      <c r="M119" s="1"/>
    </row>
    <row r="120" spans="13:22" ht="20.100000000000001" customHeight="1" x14ac:dyDescent="0.25">
      <c r="M120" s="1"/>
    </row>
    <row r="121" spans="13:22" ht="20.100000000000001" customHeight="1" x14ac:dyDescent="0.25">
      <c r="M121" s="1"/>
    </row>
    <row r="122" spans="13:22" ht="20.100000000000001" customHeight="1" x14ac:dyDescent="0.25">
      <c r="M122" s="1"/>
    </row>
    <row r="123" spans="13:22" ht="20.100000000000001" customHeight="1" x14ac:dyDescent="0.25">
      <c r="M123" s="1"/>
    </row>
    <row r="124" spans="13:22" ht="20.100000000000001" customHeight="1" x14ac:dyDescent="0.25">
      <c r="M124" s="1"/>
    </row>
    <row r="125" spans="13:22" ht="20.100000000000001" customHeight="1" x14ac:dyDescent="0.25">
      <c r="M125" s="1"/>
      <c r="V125" s="1"/>
    </row>
    <row r="126" spans="13:22" ht="20.100000000000001" customHeight="1" x14ac:dyDescent="0.25">
      <c r="M126" s="1"/>
      <c r="V126" s="1"/>
    </row>
    <row r="127" spans="13:22" ht="20.100000000000001" customHeight="1" x14ac:dyDescent="0.25">
      <c r="M127" s="1"/>
      <c r="V127" s="1"/>
    </row>
    <row r="128" spans="13:22" ht="20.100000000000001" customHeight="1" x14ac:dyDescent="0.25">
      <c r="M128" s="1"/>
      <c r="V128" s="1"/>
    </row>
    <row r="129" spans="13:22" ht="20.100000000000001" customHeight="1" x14ac:dyDescent="0.25">
      <c r="M129" s="1"/>
      <c r="V129" s="1"/>
    </row>
    <row r="130" spans="13:22" ht="20.100000000000001" customHeight="1" x14ac:dyDescent="0.25">
      <c r="M130" s="1"/>
      <c r="V130" s="1"/>
    </row>
    <row r="131" spans="13:22" ht="20.100000000000001" customHeight="1" x14ac:dyDescent="0.25">
      <c r="M131" s="1"/>
    </row>
    <row r="132" spans="13:22" ht="20.100000000000001" customHeight="1" x14ac:dyDescent="0.25">
      <c r="M132" s="1"/>
    </row>
    <row r="133" spans="13:22" ht="20.100000000000001" customHeight="1" x14ac:dyDescent="0.25">
      <c r="M133" s="1"/>
    </row>
    <row r="134" spans="13:22" ht="20.100000000000001" customHeight="1" x14ac:dyDescent="0.25">
      <c r="M134" s="1"/>
    </row>
    <row r="135" spans="13:22" ht="20.100000000000001" customHeight="1" x14ac:dyDescent="0.25">
      <c r="M135" s="1"/>
    </row>
    <row r="136" spans="13:22" ht="20.100000000000001" customHeight="1" x14ac:dyDescent="0.25">
      <c r="M136" s="1"/>
    </row>
    <row r="137" spans="13:22" ht="20.100000000000001" customHeight="1" x14ac:dyDescent="0.25">
      <c r="M137" s="1"/>
    </row>
    <row r="138" spans="13:22" ht="20.100000000000001" customHeight="1" x14ac:dyDescent="0.25">
      <c r="M138" s="1"/>
    </row>
    <row r="139" spans="13:22" ht="20.100000000000001" customHeight="1" x14ac:dyDescent="0.25">
      <c r="M139" s="1"/>
    </row>
    <row r="140" spans="13:22" ht="20.100000000000001" customHeight="1" x14ac:dyDescent="0.25">
      <c r="M140" s="1"/>
    </row>
    <row r="141" spans="13:22" ht="20.100000000000001" customHeight="1" x14ac:dyDescent="0.25">
      <c r="M141" s="1"/>
    </row>
    <row r="142" spans="13:22" ht="20.100000000000001" customHeight="1" x14ac:dyDescent="0.25">
      <c r="M142" s="1"/>
    </row>
    <row r="143" spans="13:22" ht="20.100000000000001" customHeight="1" x14ac:dyDescent="0.25">
      <c r="M143" s="1"/>
    </row>
    <row r="144" spans="13:22" ht="20.100000000000001" customHeight="1" x14ac:dyDescent="0.25">
      <c r="M144" s="1"/>
    </row>
    <row r="145" spans="13:13" ht="20.100000000000001" customHeight="1" x14ac:dyDescent="0.25">
      <c r="M145" s="1"/>
    </row>
    <row r="146" spans="13:13" ht="20.100000000000001" customHeight="1" x14ac:dyDescent="0.25">
      <c r="M146" s="1"/>
    </row>
    <row r="147" spans="13:13" ht="20.100000000000001" customHeight="1" x14ac:dyDescent="0.25">
      <c r="M147" s="1"/>
    </row>
    <row r="148" spans="13:13" ht="20.100000000000001" customHeight="1" x14ac:dyDescent="0.25">
      <c r="M148" s="1"/>
    </row>
    <row r="149" spans="13:13" ht="20.100000000000001" customHeight="1" x14ac:dyDescent="0.25">
      <c r="M149" s="1"/>
    </row>
    <row r="150" spans="13:13" ht="20.100000000000001" customHeight="1" x14ac:dyDescent="0.25">
      <c r="M150" s="1"/>
    </row>
    <row r="151" spans="13:13" ht="20.100000000000001" customHeight="1" x14ac:dyDescent="0.25">
      <c r="M151" s="1"/>
    </row>
    <row r="152" spans="13:13" ht="20.100000000000001" customHeight="1" x14ac:dyDescent="0.25">
      <c r="M152" s="1"/>
    </row>
    <row r="153" spans="13:13" ht="20.100000000000001" customHeight="1" x14ac:dyDescent="0.25">
      <c r="M153" s="1"/>
    </row>
    <row r="154" spans="13:13" ht="20.100000000000001" customHeight="1" x14ac:dyDescent="0.25">
      <c r="M154" s="1"/>
    </row>
    <row r="155" spans="13:13" ht="20.100000000000001" customHeight="1" x14ac:dyDescent="0.25">
      <c r="M155" s="1"/>
    </row>
    <row r="156" spans="13:13" ht="20.100000000000001" customHeight="1" x14ac:dyDescent="0.25">
      <c r="M156" s="1"/>
    </row>
    <row r="157" spans="13:13" ht="20.100000000000001" customHeight="1" x14ac:dyDescent="0.25">
      <c r="M157" s="1"/>
    </row>
    <row r="158" spans="13:13" ht="20.100000000000001" customHeight="1" x14ac:dyDescent="0.25">
      <c r="M158" s="1"/>
    </row>
    <row r="159" spans="13:13" ht="20.100000000000001" customHeight="1" x14ac:dyDescent="0.25">
      <c r="M159" s="1"/>
    </row>
    <row r="160" spans="13:13" ht="20.100000000000001" customHeight="1" x14ac:dyDescent="0.25">
      <c r="M160" s="1"/>
    </row>
    <row r="161" spans="13:13" ht="20.100000000000001" customHeight="1" x14ac:dyDescent="0.25">
      <c r="M161" s="1"/>
    </row>
    <row r="162" spans="13:13" ht="20.100000000000001" customHeight="1" x14ac:dyDescent="0.25">
      <c r="M162" s="1"/>
    </row>
    <row r="163" spans="13:13" ht="20.100000000000001" customHeight="1" x14ac:dyDescent="0.25">
      <c r="M163" s="1"/>
    </row>
    <row r="164" spans="13:13" ht="20.100000000000001" customHeight="1" x14ac:dyDescent="0.25">
      <c r="M164" s="1"/>
    </row>
    <row r="165" spans="13:13" ht="20.100000000000001" customHeight="1" x14ac:dyDescent="0.25">
      <c r="M165" s="1"/>
    </row>
    <row r="166" spans="13:13" x14ac:dyDescent="0.25">
      <c r="M166" s="1"/>
    </row>
    <row r="167" spans="13:13" x14ac:dyDescent="0.25">
      <c r="M167" s="1"/>
    </row>
    <row r="168" spans="13:13" x14ac:dyDescent="0.25">
      <c r="M168" s="1"/>
    </row>
    <row r="169" spans="13:13" x14ac:dyDescent="0.25">
      <c r="M169" s="1"/>
    </row>
    <row r="170" spans="13:13" x14ac:dyDescent="0.25">
      <c r="M170" s="1"/>
    </row>
    <row r="171" spans="13:13" x14ac:dyDescent="0.25">
      <c r="M171" s="1"/>
    </row>
    <row r="172" spans="13:13" x14ac:dyDescent="0.25">
      <c r="M172" s="1"/>
    </row>
    <row r="173" spans="13:13" x14ac:dyDescent="0.25">
      <c r="M173" s="1"/>
    </row>
    <row r="174" spans="13:13" x14ac:dyDescent="0.25">
      <c r="M174" s="1"/>
    </row>
    <row r="175" spans="13:13" x14ac:dyDescent="0.25">
      <c r="M175" s="1"/>
    </row>
    <row r="176" spans="13:13" x14ac:dyDescent="0.25">
      <c r="M176" s="1"/>
    </row>
    <row r="177" spans="13:13" x14ac:dyDescent="0.25">
      <c r="M177" s="1"/>
    </row>
    <row r="178" spans="13:13" x14ac:dyDescent="0.25">
      <c r="M178" s="1"/>
    </row>
    <row r="179" spans="13:13" x14ac:dyDescent="0.25">
      <c r="M179" s="1"/>
    </row>
    <row r="180" spans="13:13" x14ac:dyDescent="0.25">
      <c r="M180" s="1"/>
    </row>
    <row r="181" spans="13:13" x14ac:dyDescent="0.25">
      <c r="M181" s="1"/>
    </row>
    <row r="182" spans="13:13" x14ac:dyDescent="0.25">
      <c r="M182" s="1"/>
    </row>
    <row r="183" spans="13:13" x14ac:dyDescent="0.25">
      <c r="M183" s="1"/>
    </row>
    <row r="184" spans="13:13" x14ac:dyDescent="0.25">
      <c r="M184" s="1"/>
    </row>
    <row r="185" spans="13:13" x14ac:dyDescent="0.25">
      <c r="M185" s="1"/>
    </row>
    <row r="186" spans="13:13" x14ac:dyDescent="0.25">
      <c r="M186" s="1"/>
    </row>
    <row r="187" spans="13:13" x14ac:dyDescent="0.25">
      <c r="M187" s="1"/>
    </row>
    <row r="188" spans="13:13" x14ac:dyDescent="0.25">
      <c r="M188" s="1"/>
    </row>
    <row r="189" spans="13:13" x14ac:dyDescent="0.25">
      <c r="M189" s="1"/>
    </row>
    <row r="190" spans="13:13" x14ac:dyDescent="0.25">
      <c r="M190" s="1"/>
    </row>
    <row r="191" spans="13:13" x14ac:dyDescent="0.25">
      <c r="M191" s="1"/>
    </row>
    <row r="192" spans="13:13" x14ac:dyDescent="0.25">
      <c r="M192" s="1"/>
    </row>
    <row r="193" spans="13:13" x14ac:dyDescent="0.25">
      <c r="M193" s="1"/>
    </row>
    <row r="194" spans="13:13" x14ac:dyDescent="0.25">
      <c r="M194" s="1"/>
    </row>
    <row r="195" spans="13:13" x14ac:dyDescent="0.25">
      <c r="M195" s="1"/>
    </row>
    <row r="196" spans="13:13" x14ac:dyDescent="0.25">
      <c r="M196" s="1"/>
    </row>
    <row r="197" spans="13:13" x14ac:dyDescent="0.25">
      <c r="M197" s="1"/>
    </row>
    <row r="198" spans="13:13" x14ac:dyDescent="0.25">
      <c r="M198" s="1"/>
    </row>
    <row r="199" spans="13:13" x14ac:dyDescent="0.25">
      <c r="M199" s="1"/>
    </row>
    <row r="200" spans="13:13" x14ac:dyDescent="0.25">
      <c r="M200" s="1"/>
    </row>
    <row r="201" spans="13:13" x14ac:dyDescent="0.25">
      <c r="M201" s="1"/>
    </row>
    <row r="202" spans="13:13" x14ac:dyDescent="0.25">
      <c r="M202" s="1"/>
    </row>
    <row r="203" spans="13:13" x14ac:dyDescent="0.25">
      <c r="M203" s="1"/>
    </row>
    <row r="204" spans="13:13" x14ac:dyDescent="0.25">
      <c r="M204" s="1"/>
    </row>
    <row r="205" spans="13:13" x14ac:dyDescent="0.25">
      <c r="M205" s="1"/>
    </row>
    <row r="206" spans="13:13" x14ac:dyDescent="0.25">
      <c r="M206" s="1"/>
    </row>
    <row r="207" spans="13:13" x14ac:dyDescent="0.25">
      <c r="M207" s="1"/>
    </row>
    <row r="208" spans="13:13" x14ac:dyDescent="0.25">
      <c r="M208" s="1"/>
    </row>
    <row r="209" spans="13:13" x14ac:dyDescent="0.25">
      <c r="M209" s="1"/>
    </row>
    <row r="210" spans="13:13" x14ac:dyDescent="0.25">
      <c r="M210" s="1"/>
    </row>
    <row r="211" spans="13:13" x14ac:dyDescent="0.25">
      <c r="M211" s="1"/>
    </row>
    <row r="212" spans="13:13" x14ac:dyDescent="0.25">
      <c r="M212" s="1"/>
    </row>
    <row r="213" spans="13:13" x14ac:dyDescent="0.25">
      <c r="M213" s="1"/>
    </row>
    <row r="214" spans="13:13" x14ac:dyDescent="0.25">
      <c r="M214" s="1"/>
    </row>
    <row r="215" spans="13:13" x14ac:dyDescent="0.25">
      <c r="M215" s="1"/>
    </row>
    <row r="216" spans="13:13" x14ac:dyDescent="0.25">
      <c r="M216" s="1"/>
    </row>
    <row r="217" spans="13:13" x14ac:dyDescent="0.25">
      <c r="M217" s="1"/>
    </row>
    <row r="218" spans="13:13" x14ac:dyDescent="0.25">
      <c r="M218" s="1"/>
    </row>
    <row r="219" spans="13:13" x14ac:dyDescent="0.25">
      <c r="M219" s="1"/>
    </row>
    <row r="220" spans="13:13" x14ac:dyDescent="0.25">
      <c r="M220" s="1"/>
    </row>
    <row r="221" spans="13:13" x14ac:dyDescent="0.25">
      <c r="M221" s="1"/>
    </row>
    <row r="222" spans="13:13" x14ac:dyDescent="0.25">
      <c r="M222" s="1"/>
    </row>
    <row r="223" spans="13:13" x14ac:dyDescent="0.25">
      <c r="M223" s="1"/>
    </row>
    <row r="224" spans="13:13" x14ac:dyDescent="0.25">
      <c r="M224" s="1"/>
    </row>
    <row r="225" spans="13:13" x14ac:dyDescent="0.25">
      <c r="M225" s="1"/>
    </row>
    <row r="226" spans="13:13" x14ac:dyDescent="0.25">
      <c r="M226" s="1"/>
    </row>
    <row r="227" spans="13:13" x14ac:dyDescent="0.25">
      <c r="M227" s="1"/>
    </row>
    <row r="228" spans="13:13" x14ac:dyDescent="0.25">
      <c r="M228" s="1"/>
    </row>
    <row r="229" spans="13:13" x14ac:dyDescent="0.25">
      <c r="M229" s="1"/>
    </row>
    <row r="230" spans="13:13" x14ac:dyDescent="0.25">
      <c r="M230" s="1"/>
    </row>
    <row r="231" spans="13:13" x14ac:dyDescent="0.25">
      <c r="M231" s="1"/>
    </row>
    <row r="232" spans="13:13" x14ac:dyDescent="0.25">
      <c r="M232" s="1"/>
    </row>
    <row r="233" spans="13:13" x14ac:dyDescent="0.25">
      <c r="M233" s="1"/>
    </row>
    <row r="234" spans="13:13" x14ac:dyDescent="0.25">
      <c r="M234" s="1"/>
    </row>
    <row r="235" spans="13:13" x14ac:dyDescent="0.25">
      <c r="M235" s="1"/>
    </row>
    <row r="236" spans="13:13" x14ac:dyDescent="0.25">
      <c r="M236" s="1"/>
    </row>
    <row r="237" spans="13:13" x14ac:dyDescent="0.25">
      <c r="M237" s="1"/>
    </row>
    <row r="238" spans="13:13" x14ac:dyDescent="0.25">
      <c r="M238" s="1"/>
    </row>
    <row r="239" spans="13:13" x14ac:dyDescent="0.25">
      <c r="M239" s="1"/>
    </row>
    <row r="240" spans="13:13" x14ac:dyDescent="0.25">
      <c r="M240" s="1"/>
    </row>
    <row r="241" spans="13:13" x14ac:dyDescent="0.25">
      <c r="M241" s="1"/>
    </row>
    <row r="242" spans="13:13" x14ac:dyDescent="0.25">
      <c r="M242" s="1"/>
    </row>
    <row r="243" spans="13:13" x14ac:dyDescent="0.25">
      <c r="M243" s="1"/>
    </row>
    <row r="244" spans="13:13" x14ac:dyDescent="0.25">
      <c r="M244" s="1"/>
    </row>
    <row r="245" spans="13:13" x14ac:dyDescent="0.25">
      <c r="M245" s="1"/>
    </row>
    <row r="246" spans="13:13" x14ac:dyDescent="0.25">
      <c r="M246" s="1"/>
    </row>
    <row r="247" spans="13:13" x14ac:dyDescent="0.25">
      <c r="M247" s="1"/>
    </row>
    <row r="248" spans="13:13" x14ac:dyDescent="0.25">
      <c r="M248" s="1"/>
    </row>
    <row r="249" spans="13:13" x14ac:dyDescent="0.25">
      <c r="M249" s="1"/>
    </row>
    <row r="250" spans="13:13" x14ac:dyDescent="0.25">
      <c r="M250" s="1"/>
    </row>
    <row r="251" spans="13:13" x14ac:dyDescent="0.25">
      <c r="M251" s="1"/>
    </row>
    <row r="252" spans="13:13" x14ac:dyDescent="0.25">
      <c r="M252" s="1"/>
    </row>
    <row r="253" spans="13:13" x14ac:dyDescent="0.25">
      <c r="M253" s="1"/>
    </row>
    <row r="254" spans="13:13" x14ac:dyDescent="0.25">
      <c r="M254" s="1"/>
    </row>
    <row r="255" spans="13:13" x14ac:dyDescent="0.25">
      <c r="M255" s="1"/>
    </row>
    <row r="256" spans="13:13" x14ac:dyDescent="0.25">
      <c r="M256" s="1"/>
    </row>
    <row r="257" spans="13:13" x14ac:dyDescent="0.25">
      <c r="M257" s="1"/>
    </row>
    <row r="258" spans="13:13" x14ac:dyDescent="0.25">
      <c r="M258" s="1"/>
    </row>
    <row r="259" spans="13:13" x14ac:dyDescent="0.25">
      <c r="M259" s="1"/>
    </row>
    <row r="260" spans="13:13" x14ac:dyDescent="0.25">
      <c r="M260" s="1"/>
    </row>
    <row r="261" spans="13:13" x14ac:dyDescent="0.25">
      <c r="M261" s="1"/>
    </row>
    <row r="262" spans="13:13" x14ac:dyDescent="0.25">
      <c r="M262" s="1"/>
    </row>
    <row r="263" spans="13:13" x14ac:dyDescent="0.25">
      <c r="M263" s="1"/>
    </row>
    <row r="264" spans="13:13" x14ac:dyDescent="0.25">
      <c r="M264" s="1"/>
    </row>
    <row r="265" spans="13:13" x14ac:dyDescent="0.25">
      <c r="M265" s="1"/>
    </row>
    <row r="266" spans="13:13" x14ac:dyDescent="0.25">
      <c r="M266" s="1"/>
    </row>
    <row r="267" spans="13:13" x14ac:dyDescent="0.25">
      <c r="M267" s="1"/>
    </row>
    <row r="268" spans="13:13" x14ac:dyDescent="0.25">
      <c r="M268" s="1"/>
    </row>
    <row r="269" spans="13:13" x14ac:dyDescent="0.25">
      <c r="M269" s="1"/>
    </row>
    <row r="270" spans="13:13" x14ac:dyDescent="0.25">
      <c r="M270" s="1"/>
    </row>
    <row r="271" spans="13:13" x14ac:dyDescent="0.25">
      <c r="M271" s="1"/>
    </row>
    <row r="272" spans="13:13" x14ac:dyDescent="0.25">
      <c r="M272" s="1"/>
    </row>
    <row r="273" spans="13:13" x14ac:dyDescent="0.25">
      <c r="M273" s="1"/>
    </row>
    <row r="274" spans="13:13" x14ac:dyDescent="0.25">
      <c r="M274" s="1"/>
    </row>
    <row r="275" spans="13:13" x14ac:dyDescent="0.25">
      <c r="M275" s="1"/>
    </row>
    <row r="276" spans="13:13" x14ac:dyDescent="0.25">
      <c r="M276" s="1"/>
    </row>
    <row r="277" spans="13:13" x14ac:dyDescent="0.25">
      <c r="M277" s="1"/>
    </row>
    <row r="278" spans="13:13" x14ac:dyDescent="0.25">
      <c r="M278" s="1"/>
    </row>
    <row r="279" spans="13:13" x14ac:dyDescent="0.25">
      <c r="M279" s="1"/>
    </row>
    <row r="280" spans="13:13" x14ac:dyDescent="0.25">
      <c r="M280" s="1"/>
    </row>
    <row r="281" spans="13:13" x14ac:dyDescent="0.25">
      <c r="M281" s="1"/>
    </row>
    <row r="282" spans="13:13" x14ac:dyDescent="0.25">
      <c r="M282" s="1"/>
    </row>
    <row r="283" spans="13:13" x14ac:dyDescent="0.25">
      <c r="M283" s="1"/>
    </row>
    <row r="284" spans="13:13" x14ac:dyDescent="0.25">
      <c r="M284" s="1"/>
    </row>
    <row r="285" spans="13:13" x14ac:dyDescent="0.25">
      <c r="M285" s="1"/>
    </row>
    <row r="286" spans="13:13" x14ac:dyDescent="0.25">
      <c r="M286" s="1"/>
    </row>
    <row r="287" spans="13:13" x14ac:dyDescent="0.25">
      <c r="M287" s="1"/>
    </row>
    <row r="288" spans="13:13" x14ac:dyDescent="0.25">
      <c r="M288" s="1"/>
    </row>
    <row r="289" spans="13:13" x14ac:dyDescent="0.25">
      <c r="M289" s="1"/>
    </row>
    <row r="290" spans="13:13" x14ac:dyDescent="0.25">
      <c r="M290" s="1"/>
    </row>
    <row r="291" spans="13:13" x14ac:dyDescent="0.25">
      <c r="M291" s="1"/>
    </row>
    <row r="292" spans="13:13" x14ac:dyDescent="0.25">
      <c r="M292" s="1"/>
    </row>
    <row r="293" spans="13:13" x14ac:dyDescent="0.25">
      <c r="M293" s="1"/>
    </row>
    <row r="294" spans="13:13" x14ac:dyDescent="0.25">
      <c r="M294" s="1"/>
    </row>
    <row r="295" spans="13:13" x14ac:dyDescent="0.25">
      <c r="M295" s="1"/>
    </row>
    <row r="296" spans="13:13" x14ac:dyDescent="0.25">
      <c r="M296" s="1"/>
    </row>
    <row r="297" spans="13:13" x14ac:dyDescent="0.25">
      <c r="M297" s="1"/>
    </row>
    <row r="298" spans="13:13" x14ac:dyDescent="0.25">
      <c r="M298" s="1"/>
    </row>
    <row r="299" spans="13:13" x14ac:dyDescent="0.25">
      <c r="M299" s="1"/>
    </row>
    <row r="300" spans="13:13" x14ac:dyDescent="0.25">
      <c r="M300" s="1"/>
    </row>
    <row r="301" spans="13:13" x14ac:dyDescent="0.25">
      <c r="M301" s="1"/>
    </row>
    <row r="302" spans="13:13" x14ac:dyDescent="0.25">
      <c r="M302" s="1"/>
    </row>
    <row r="303" spans="13:13" x14ac:dyDescent="0.25">
      <c r="M303" s="1"/>
    </row>
    <row r="304" spans="13:13" x14ac:dyDescent="0.25">
      <c r="M304" s="1"/>
    </row>
    <row r="305" spans="13:13" x14ac:dyDescent="0.25">
      <c r="M305" s="1"/>
    </row>
    <row r="306" spans="13:13" x14ac:dyDescent="0.25">
      <c r="M306" s="1"/>
    </row>
    <row r="307" spans="13:13" x14ac:dyDescent="0.25">
      <c r="M307" s="1"/>
    </row>
    <row r="308" spans="13:13" x14ac:dyDescent="0.25">
      <c r="M308" s="1"/>
    </row>
    <row r="309" spans="13:13" x14ac:dyDescent="0.25">
      <c r="M309" s="1"/>
    </row>
    <row r="310" spans="13:13" x14ac:dyDescent="0.25">
      <c r="M310" s="1"/>
    </row>
    <row r="311" spans="13:13" x14ac:dyDescent="0.25">
      <c r="M311" s="1"/>
    </row>
    <row r="312" spans="13:13" x14ac:dyDescent="0.25">
      <c r="M312" s="1"/>
    </row>
    <row r="313" spans="13:13" x14ac:dyDescent="0.25">
      <c r="M313" s="1"/>
    </row>
    <row r="314" spans="13:13" x14ac:dyDescent="0.25">
      <c r="M314" s="1"/>
    </row>
    <row r="315" spans="13:13" x14ac:dyDescent="0.25">
      <c r="M315" s="1"/>
    </row>
    <row r="316" spans="13:13" x14ac:dyDescent="0.25">
      <c r="M316" s="1"/>
    </row>
    <row r="317" spans="13:13" x14ac:dyDescent="0.25">
      <c r="M317" s="1"/>
    </row>
    <row r="318" spans="13:13" x14ac:dyDescent="0.25">
      <c r="M318" s="1"/>
    </row>
    <row r="319" spans="13:13" x14ac:dyDescent="0.25">
      <c r="M319" s="1"/>
    </row>
    <row r="320" spans="13:13" x14ac:dyDescent="0.25">
      <c r="M320" s="1"/>
    </row>
    <row r="321" spans="13:13" x14ac:dyDescent="0.25">
      <c r="M321" s="1"/>
    </row>
    <row r="322" spans="13:13" x14ac:dyDescent="0.25">
      <c r="M322" s="1"/>
    </row>
    <row r="323" spans="13:13" x14ac:dyDescent="0.25">
      <c r="M323" s="1"/>
    </row>
    <row r="324" spans="13:13" x14ac:dyDescent="0.25">
      <c r="M324" s="1"/>
    </row>
    <row r="325" spans="13:13" x14ac:dyDescent="0.25">
      <c r="M325" s="1"/>
    </row>
    <row r="326" spans="13:13" x14ac:dyDescent="0.25">
      <c r="M326" s="1"/>
    </row>
    <row r="327" spans="13:13" x14ac:dyDescent="0.25">
      <c r="M327" s="1"/>
    </row>
    <row r="328" spans="13:13" x14ac:dyDescent="0.25">
      <c r="M328" s="1"/>
    </row>
    <row r="329" spans="13:13" x14ac:dyDescent="0.25">
      <c r="M329" s="1"/>
    </row>
    <row r="330" spans="13:13" x14ac:dyDescent="0.25">
      <c r="M330" s="1"/>
    </row>
    <row r="331" spans="13:13" x14ac:dyDescent="0.25">
      <c r="M331" s="1"/>
    </row>
    <row r="332" spans="13:13" x14ac:dyDescent="0.25">
      <c r="M332" s="1"/>
    </row>
    <row r="333" spans="13:13" x14ac:dyDescent="0.25">
      <c r="M333" s="1"/>
    </row>
    <row r="334" spans="13:13" x14ac:dyDescent="0.25">
      <c r="M334" s="1"/>
    </row>
    <row r="335" spans="13:13" x14ac:dyDescent="0.25">
      <c r="M335" s="1"/>
    </row>
    <row r="336" spans="13:13" x14ac:dyDescent="0.25">
      <c r="M336" s="1"/>
    </row>
    <row r="337" spans="13:13" x14ac:dyDescent="0.25">
      <c r="M337" s="1"/>
    </row>
    <row r="338" spans="13:13" x14ac:dyDescent="0.25">
      <c r="M338" s="1"/>
    </row>
    <row r="339" spans="13:13" x14ac:dyDescent="0.25">
      <c r="M339" s="1"/>
    </row>
    <row r="340" spans="13:13" x14ac:dyDescent="0.25">
      <c r="M340" s="1"/>
    </row>
    <row r="341" spans="13:13" x14ac:dyDescent="0.25">
      <c r="M341" s="1"/>
    </row>
    <row r="342" spans="13:13" x14ac:dyDescent="0.25">
      <c r="M342" s="1"/>
    </row>
    <row r="343" spans="13:13" x14ac:dyDescent="0.25">
      <c r="M343" s="1"/>
    </row>
    <row r="344" spans="13:13" x14ac:dyDescent="0.25">
      <c r="M344" s="1"/>
    </row>
    <row r="345" spans="13:13" x14ac:dyDescent="0.25">
      <c r="M345" s="1"/>
    </row>
    <row r="346" spans="13:13" x14ac:dyDescent="0.25">
      <c r="M346" s="1"/>
    </row>
    <row r="347" spans="13:13" x14ac:dyDescent="0.25">
      <c r="M347" s="1"/>
    </row>
    <row r="348" spans="13:13" x14ac:dyDescent="0.25">
      <c r="M348" s="1"/>
    </row>
    <row r="349" spans="13:13" x14ac:dyDescent="0.25">
      <c r="M349" s="1"/>
    </row>
    <row r="350" spans="13:13" x14ac:dyDescent="0.25">
      <c r="M350" s="1"/>
    </row>
    <row r="351" spans="13:13" x14ac:dyDescent="0.25">
      <c r="M351" s="1"/>
    </row>
    <row r="352" spans="13:13" x14ac:dyDescent="0.25">
      <c r="M352" s="1"/>
    </row>
    <row r="353" spans="13:13" x14ac:dyDescent="0.25">
      <c r="M353" s="1"/>
    </row>
    <row r="354" spans="13:13" x14ac:dyDescent="0.25">
      <c r="M354" s="1"/>
    </row>
    <row r="355" spans="13:13" x14ac:dyDescent="0.25">
      <c r="M355" s="1"/>
    </row>
    <row r="356" spans="13:13" x14ac:dyDescent="0.25">
      <c r="M356" s="1"/>
    </row>
    <row r="357" spans="13:13" x14ac:dyDescent="0.25">
      <c r="M357" s="1"/>
    </row>
    <row r="358" spans="13:13" x14ac:dyDescent="0.25">
      <c r="M358" s="1"/>
    </row>
    <row r="359" spans="13:13" x14ac:dyDescent="0.25">
      <c r="M359" s="1"/>
    </row>
    <row r="360" spans="13:13" x14ac:dyDescent="0.25">
      <c r="M360" s="1"/>
    </row>
    <row r="361" spans="13:13" x14ac:dyDescent="0.25">
      <c r="M361" s="1"/>
    </row>
    <row r="362" spans="13:13" x14ac:dyDescent="0.25">
      <c r="M362" s="1"/>
    </row>
    <row r="363" spans="13:13" x14ac:dyDescent="0.25">
      <c r="M363" s="1"/>
    </row>
    <row r="364" spans="13:13" x14ac:dyDescent="0.25">
      <c r="M364" s="1"/>
    </row>
    <row r="365" spans="13:13" x14ac:dyDescent="0.25">
      <c r="M365" s="1"/>
    </row>
    <row r="366" spans="13:13" x14ac:dyDescent="0.25">
      <c r="M366" s="1"/>
    </row>
    <row r="367" spans="13:13" x14ac:dyDescent="0.25">
      <c r="M367" s="1"/>
    </row>
    <row r="368" spans="13:13" x14ac:dyDescent="0.25">
      <c r="M368" s="1"/>
    </row>
    <row r="369" spans="13:13" x14ac:dyDescent="0.25">
      <c r="M369" s="1"/>
    </row>
    <row r="370" spans="13:13" x14ac:dyDescent="0.25">
      <c r="M370" s="1"/>
    </row>
    <row r="371" spans="13:13" x14ac:dyDescent="0.25">
      <c r="M371" s="1"/>
    </row>
    <row r="372" spans="13:13" x14ac:dyDescent="0.25">
      <c r="M372" s="1"/>
    </row>
    <row r="373" spans="13:13" x14ac:dyDescent="0.25">
      <c r="M373" s="1"/>
    </row>
    <row r="374" spans="13:13" x14ac:dyDescent="0.25">
      <c r="M374" s="1"/>
    </row>
    <row r="375" spans="13:13" x14ac:dyDescent="0.25">
      <c r="M375" s="1"/>
    </row>
    <row r="376" spans="13:13" x14ac:dyDescent="0.25">
      <c r="M376" s="1"/>
    </row>
    <row r="377" spans="13:13" x14ac:dyDescent="0.25">
      <c r="M377" s="1"/>
    </row>
    <row r="378" spans="13:13" x14ac:dyDescent="0.25">
      <c r="M378" s="1"/>
    </row>
    <row r="379" spans="13:13" x14ac:dyDescent="0.25">
      <c r="M379" s="1"/>
    </row>
    <row r="380" spans="13:13" x14ac:dyDescent="0.25">
      <c r="M380" s="1"/>
    </row>
    <row r="381" spans="13:13" x14ac:dyDescent="0.25">
      <c r="M381" s="1"/>
    </row>
    <row r="382" spans="13:13" x14ac:dyDescent="0.25">
      <c r="M382" s="1"/>
    </row>
    <row r="383" spans="13:13" x14ac:dyDescent="0.25">
      <c r="M383" s="1"/>
    </row>
    <row r="384" spans="13:13" x14ac:dyDescent="0.25">
      <c r="M384" s="1"/>
    </row>
    <row r="385" spans="13:13" x14ac:dyDescent="0.25">
      <c r="M385" s="1"/>
    </row>
    <row r="386" spans="13:13" x14ac:dyDescent="0.25">
      <c r="M386" s="1"/>
    </row>
    <row r="387" spans="13:13" x14ac:dyDescent="0.25">
      <c r="M387" s="1"/>
    </row>
    <row r="388" spans="13:13" x14ac:dyDescent="0.25">
      <c r="M388" s="1"/>
    </row>
    <row r="389" spans="13:13" x14ac:dyDescent="0.25">
      <c r="M389" s="1"/>
    </row>
    <row r="390" spans="13:13" x14ac:dyDescent="0.25">
      <c r="M390" s="1"/>
    </row>
    <row r="391" spans="13:13" x14ac:dyDescent="0.25">
      <c r="M391" s="1"/>
    </row>
    <row r="392" spans="13:13" x14ac:dyDescent="0.25">
      <c r="M392" s="1"/>
    </row>
    <row r="393" spans="13:13" x14ac:dyDescent="0.25">
      <c r="M393" s="1"/>
    </row>
    <row r="394" spans="13:13" x14ac:dyDescent="0.25">
      <c r="M394" s="1"/>
    </row>
    <row r="395" spans="13:13" x14ac:dyDescent="0.25">
      <c r="M395" s="1"/>
    </row>
    <row r="396" spans="13:13" x14ac:dyDescent="0.25">
      <c r="M396" s="1"/>
    </row>
    <row r="397" spans="13:13" x14ac:dyDescent="0.25">
      <c r="M397" s="1"/>
    </row>
    <row r="398" spans="13:13" x14ac:dyDescent="0.25">
      <c r="M398" s="1"/>
    </row>
    <row r="399" spans="13:13" x14ac:dyDescent="0.25">
      <c r="M399" s="1"/>
    </row>
    <row r="400" spans="13:13" x14ac:dyDescent="0.25">
      <c r="M400" s="1"/>
    </row>
    <row r="401" spans="13:13" x14ac:dyDescent="0.25">
      <c r="M401" s="1"/>
    </row>
    <row r="402" spans="13:13" x14ac:dyDescent="0.25">
      <c r="M402" s="1"/>
    </row>
    <row r="403" spans="13:13" x14ac:dyDescent="0.25">
      <c r="M403" s="1"/>
    </row>
    <row r="404" spans="13:13" x14ac:dyDescent="0.25">
      <c r="M404" s="1"/>
    </row>
    <row r="405" spans="13:13" x14ac:dyDescent="0.25">
      <c r="M405" s="1"/>
    </row>
    <row r="406" spans="13:13" x14ac:dyDescent="0.25">
      <c r="M406" s="1"/>
    </row>
    <row r="407" spans="13:13" x14ac:dyDescent="0.25">
      <c r="M407" s="1"/>
    </row>
    <row r="408" spans="13:13" x14ac:dyDescent="0.25">
      <c r="M408" s="1"/>
    </row>
    <row r="409" spans="13:13" x14ac:dyDescent="0.25">
      <c r="M409" s="1"/>
    </row>
    <row r="410" spans="13:13" x14ac:dyDescent="0.25">
      <c r="M410" s="1"/>
    </row>
    <row r="411" spans="13:13" x14ac:dyDescent="0.25">
      <c r="M411" s="1"/>
    </row>
    <row r="412" spans="13:13" x14ac:dyDescent="0.25">
      <c r="M412" s="1"/>
    </row>
    <row r="413" spans="13:13" x14ac:dyDescent="0.25">
      <c r="M413" s="1"/>
    </row>
    <row r="414" spans="13:13" x14ac:dyDescent="0.25">
      <c r="M414" s="1"/>
    </row>
    <row r="415" spans="13:13" x14ac:dyDescent="0.25">
      <c r="M415" s="1"/>
    </row>
    <row r="416" spans="13:13" x14ac:dyDescent="0.25">
      <c r="M416" s="1"/>
    </row>
    <row r="417" spans="13:13" x14ac:dyDescent="0.25">
      <c r="M417" s="1"/>
    </row>
    <row r="418" spans="13:13" x14ac:dyDescent="0.25">
      <c r="M418" s="1"/>
    </row>
    <row r="419" spans="13:13" x14ac:dyDescent="0.25">
      <c r="M419" s="1"/>
    </row>
    <row r="420" spans="13:13" x14ac:dyDescent="0.25">
      <c r="M420" s="1"/>
    </row>
    <row r="421" spans="13:13" x14ac:dyDescent="0.25">
      <c r="M421" s="1"/>
    </row>
    <row r="422" spans="13:13" x14ac:dyDescent="0.25">
      <c r="M422" s="1"/>
    </row>
    <row r="423" spans="13:13" x14ac:dyDescent="0.25">
      <c r="M423" s="1"/>
    </row>
    <row r="424" spans="13:13" x14ac:dyDescent="0.25">
      <c r="M424" s="1"/>
    </row>
    <row r="425" spans="13:13" x14ac:dyDescent="0.25">
      <c r="M425" s="1"/>
    </row>
    <row r="426" spans="13:13" x14ac:dyDescent="0.25">
      <c r="M426" s="1"/>
    </row>
    <row r="427" spans="13:13" x14ac:dyDescent="0.25">
      <c r="M427" s="1"/>
    </row>
    <row r="428" spans="13:13" x14ac:dyDescent="0.25">
      <c r="M428" s="1"/>
    </row>
    <row r="429" spans="13:13" x14ac:dyDescent="0.25">
      <c r="M429" s="1"/>
    </row>
    <row r="430" spans="13:13" x14ac:dyDescent="0.25">
      <c r="M430" s="1"/>
    </row>
    <row r="431" spans="13:13" x14ac:dyDescent="0.25">
      <c r="M431" s="1"/>
    </row>
    <row r="432" spans="13:13" x14ac:dyDescent="0.25">
      <c r="M432" s="1"/>
    </row>
    <row r="433" spans="13:13" x14ac:dyDescent="0.25">
      <c r="M433" s="1"/>
    </row>
    <row r="434" spans="13:13" x14ac:dyDescent="0.25">
      <c r="M434" s="1"/>
    </row>
    <row r="435" spans="13:13" x14ac:dyDescent="0.25">
      <c r="M435" s="1"/>
    </row>
    <row r="436" spans="13:13" x14ac:dyDescent="0.25">
      <c r="M436" s="1"/>
    </row>
    <row r="437" spans="13:13" x14ac:dyDescent="0.25">
      <c r="M437" s="1"/>
    </row>
    <row r="438" spans="13:13" x14ac:dyDescent="0.25">
      <c r="M438" s="1"/>
    </row>
    <row r="439" spans="13:13" x14ac:dyDescent="0.25">
      <c r="M439" s="1"/>
    </row>
    <row r="440" spans="13:13" x14ac:dyDescent="0.25">
      <c r="M440" s="1"/>
    </row>
    <row r="441" spans="13:13" x14ac:dyDescent="0.25">
      <c r="M441" s="1"/>
    </row>
    <row r="442" spans="13:13" x14ac:dyDescent="0.25">
      <c r="M442" s="1"/>
    </row>
    <row r="443" spans="13:13" x14ac:dyDescent="0.25">
      <c r="M443" s="1"/>
    </row>
    <row r="444" spans="13:13" x14ac:dyDescent="0.25">
      <c r="M444" s="1"/>
    </row>
    <row r="445" spans="13:13" x14ac:dyDescent="0.25">
      <c r="M445" s="1"/>
    </row>
    <row r="446" spans="13:13" x14ac:dyDescent="0.25">
      <c r="M446" s="1"/>
    </row>
    <row r="447" spans="13:13" x14ac:dyDescent="0.25">
      <c r="M447" s="1"/>
    </row>
    <row r="448" spans="13:13" x14ac:dyDescent="0.25">
      <c r="M448" s="1"/>
    </row>
    <row r="449" spans="13:13" x14ac:dyDescent="0.25">
      <c r="M449" s="1"/>
    </row>
    <row r="450" spans="13:13" x14ac:dyDescent="0.25">
      <c r="M450" s="1"/>
    </row>
    <row r="451" spans="13:13" x14ac:dyDescent="0.25">
      <c r="M451" s="1"/>
    </row>
    <row r="452" spans="13:13" x14ac:dyDescent="0.25">
      <c r="M452" s="1"/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3E56-6FEA-4987-83A1-83553A1CECB6}">
  <dimension ref="A1:BX224"/>
  <sheetViews>
    <sheetView showGridLines="0" topLeftCell="A180" zoomScale="85" zoomScaleNormal="85" workbookViewId="0">
      <selection activeCell="D224" sqref="D224"/>
    </sheetView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77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7" t="s">
        <v>21</v>
      </c>
      <c r="E6" s="37" t="s">
        <v>22</v>
      </c>
      <c r="F6" s="37" t="s">
        <v>23</v>
      </c>
    </row>
    <row r="7" spans="1:64" ht="20.100000000000001" customHeight="1" x14ac:dyDescent="0.25">
      <c r="A7"/>
      <c r="D7" s="37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7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7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7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7" t="str" cm="1">
        <f t="array" ref="E8">Common_InputFunctions.Utility_DisplayArrayInTable(Common_SourceData.Common_SourceData_AustralianStatesTerritories_Data(),Table_AustralianStates[[#Headers],[State/Territory]],0)</f>
        <v>ACT</v>
      </c>
      <c r="F8" s="37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7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7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7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7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7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7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7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7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7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7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7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7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7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7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7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7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7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7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7" t="s">
        <v>24</v>
      </c>
    </row>
    <row r="21" spans="1:4" ht="20.100000000000001" customHeight="1" x14ac:dyDescent="0.25">
      <c r="A21"/>
      <c r="D21" s="37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7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7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7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7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7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7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7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7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7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7" t="s">
        <v>27</v>
      </c>
      <c r="E36" s="37" t="s">
        <v>28</v>
      </c>
    </row>
    <row r="37" spans="1:8" ht="20.100000000000001" customHeight="1" x14ac:dyDescent="0.25">
      <c r="A37"/>
      <c r="D37" s="37" t="str" cm="1">
        <f t="array" ref="D37">Common_InputFunctions.Utility_DisplayArrayInTable(Common_SourceData.Common_SourceData_GWP_Data(), Table_GWPData[[#Headers],[Gas]], 0)</f>
        <v>CO2</v>
      </c>
      <c r="E37" s="37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7" t="str" cm="1">
        <f t="array" ref="D38">Common_InputFunctions.Utility_DisplayArrayInTable(Common_SourceData.Common_SourceData_GWP_Data(), Table_GWPData[[#Headers],[Gas]], 0)</f>
        <v>CH4</v>
      </c>
      <c r="E38" s="37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7" t="str" cm="1">
        <f t="array" ref="D39">Common_InputFunctions.Utility_DisplayArrayInTable(Common_SourceData.Common_SourceData_GWP_Data(), Table_GWPData[[#Headers],[Gas]], 0)</f>
        <v>N2O</v>
      </c>
      <c r="E39" s="37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7" t="str" cm="1">
        <f t="array" ref="D40">Common_InputFunctions.Utility_DisplayArrayInTable(Common_SourceData.Common_SourceData_GWP_Data(), Table_GWPData[[#Headers],[Gas]], 0)</f>
        <v>CF4</v>
      </c>
      <c r="E40" s="37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7" t="str" cm="1">
        <f t="array" ref="D41">Common_InputFunctions.Utility_DisplayArrayInTable(Common_SourceData.Common_SourceData_GWP_Data(), Table_GWPData[[#Headers],[Gas]], 0)</f>
        <v>C2F6</v>
      </c>
      <c r="E41" s="37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7" t="str" cm="1">
        <f t="array" ref="D42">Common_InputFunctions.Utility_DisplayArrayInTable(Common_SourceData.Common_SourceData_GWP_Data(), Table_GWPData[[#Headers],[Gas]], 0)</f>
        <v>SF6</v>
      </c>
      <c r="E42" s="37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7" t="str" cm="1">
        <f t="array" ref="D43">Common_InputFunctions.Utility_DisplayArrayInTable(Common_SourceData.Common_SourceData_GWP_Data(), Table_GWPData[[#Headers],[Gas]], 0)</f>
        <v>NF3</v>
      </c>
      <c r="E43" s="37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7" t="s">
        <v>27</v>
      </c>
      <c r="E47" s="37" t="s">
        <v>30</v>
      </c>
      <c r="F47" s="37" t="s">
        <v>31</v>
      </c>
      <c r="G47" s="37" t="s">
        <v>32</v>
      </c>
      <c r="H47" s="37" t="s">
        <v>33</v>
      </c>
    </row>
    <row r="48" spans="1:8" ht="20.100000000000001" customHeight="1" x14ac:dyDescent="0.25">
      <c r="D48" s="37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7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7" cm="1">
        <f t="array" ref="F48">Common_InputFunctions.Utility_DisplayArrayInTable(Common_SourceData.Common_SourceData_ConvertGasElementalToMolecular_Data(),Table_GasToMolecularConversionFactor[[#Headers],[Gas]], 0)</f>
        <v>44</v>
      </c>
      <c r="G48" s="37" cm="1">
        <f t="array" ref="G48">Common_InputFunctions.Utility_DisplayArrayInTable(Common_SourceData.Common_SourceData_ConvertGasElementalToMolecular_Data(),Table_GasToMolecularConversionFactor[[#Headers],[Gas]], 0)</f>
        <v>12</v>
      </c>
      <c r="H48" s="37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7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7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7" cm="1">
        <f t="array" ref="F49">Common_InputFunctions.Utility_DisplayArrayInTable(Common_SourceData.Common_SourceData_ConvertGasElementalToMolecular_Data(),Table_GasToMolecularConversionFactor[[#Headers],[Gas]], 0)</f>
        <v>16</v>
      </c>
      <c r="G49" s="37" cm="1">
        <f t="array" ref="G49">Common_InputFunctions.Utility_DisplayArrayInTable(Common_SourceData.Common_SourceData_ConvertGasElementalToMolecular_Data(),Table_GasToMolecularConversionFactor[[#Headers],[Gas]], 0)</f>
        <v>12</v>
      </c>
      <c r="H49" s="37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7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7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7" cm="1">
        <f t="array" ref="F50">Common_InputFunctions.Utility_DisplayArrayInTable(Common_SourceData.Common_SourceData_ConvertGasElementalToMolecular_Data(),Table_GasToMolecularConversionFactor[[#Headers],[Gas]], 0)</f>
        <v>44</v>
      </c>
      <c r="G50" s="37" cm="1">
        <f t="array" ref="G50">Common_InputFunctions.Utility_DisplayArrayInTable(Common_SourceData.Common_SourceData_ConvertGasElementalToMolecular_Data(),Table_GasToMolecularConversionFactor[[#Headers],[Gas]], 0)</f>
        <v>28</v>
      </c>
      <c r="H50" s="37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7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7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7" cm="1">
        <f t="array" ref="F51">Common_InputFunctions.Utility_DisplayArrayInTable(Common_SourceData.Common_SourceData_ConvertGasElementalToMolecular_Data(),Table_GasToMolecularConversionFactor[[#Headers],[Gas]], 0)</f>
        <v>46</v>
      </c>
      <c r="G51" s="37" cm="1">
        <f t="array" ref="G51">Common_InputFunctions.Utility_DisplayArrayInTable(Common_SourceData.Common_SourceData_ConvertGasElementalToMolecular_Data(),Table_GasToMolecularConversionFactor[[#Headers],[Gas]], 0)</f>
        <v>14</v>
      </c>
      <c r="H51" s="37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7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7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7" cm="1">
        <f t="array" ref="F52">Common_InputFunctions.Utility_DisplayArrayInTable(Common_SourceData.Common_SourceData_ConvertGasElementalToMolecular_Data(),Table_GasToMolecularConversionFactor[[#Headers],[Gas]], 0)</f>
        <v>28</v>
      </c>
      <c r="G52" s="37" cm="1">
        <f t="array" ref="G52">Common_InputFunctions.Utility_DisplayArrayInTable(Common_SourceData.Common_SourceData_ConvertGasElementalToMolecular_Data(),Table_GasToMolecularConversionFactor[[#Headers],[Gas]], 0)</f>
        <v>12</v>
      </c>
      <c r="H52" s="37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7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7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7" cm="1">
        <f t="array" ref="F53">Common_InputFunctions.Utility_DisplayArrayInTable(Common_SourceData.Common_SourceData_ConvertGasElementalToMolecular_Data(),Table_GasToMolecularConversionFactor[[#Headers],[Gas]], 0)</f>
        <v>44</v>
      </c>
      <c r="G53" s="37" cm="1">
        <f t="array" ref="G53">Common_InputFunctions.Utility_DisplayArrayInTable(Common_SourceData.Common_SourceData_ConvertGasElementalToMolecular_Data(),Table_GasToMolecularConversionFactor[[#Headers],[Gas]], 0)</f>
        <v>12</v>
      </c>
      <c r="H53" s="37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7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7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7" cm="1">
        <f t="array" ref="F54">Common_InputFunctions.Utility_DisplayArrayInTable(Common_SourceData.Common_SourceData_ConvertGasElementalToMolecular_Data(),Table_GasToMolecularConversionFactor[[#Headers],[Gas]], 0)</f>
        <v>14</v>
      </c>
      <c r="G54" s="37" cm="1">
        <f t="array" ref="G54">Common_InputFunctions.Utility_DisplayArrayInTable(Common_SourceData.Common_SourceData_ConvertGasElementalToMolecular_Data(),Table_GasToMolecularConversionFactor[[#Headers],[Gas]], 0)</f>
        <v>12</v>
      </c>
      <c r="H54" s="37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4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4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4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7" t="s">
        <v>10</v>
      </c>
      <c r="E63" s="37" t="s">
        <v>48</v>
      </c>
    </row>
    <row r="64" spans="4:8" ht="20.100000000000001" customHeight="1" x14ac:dyDescent="0.25">
      <c r="D64" s="37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7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7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7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7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7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7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7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7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7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7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7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7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7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7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7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7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7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7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7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7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7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7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7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7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7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7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7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4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4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4" t="str">
        <v>⚠️Fixed typo in MAT value for warm temperate dry - changed 10 to 11.</v>
      </c>
    </row>
    <row r="86" spans="4:19" ht="20.100000000000001" customHeight="1" x14ac:dyDescent="0.25">
      <c r="D86" s="54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4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7" t="s">
        <v>10</v>
      </c>
      <c r="E89" s="37" t="s">
        <v>36</v>
      </c>
      <c r="F89" s="37" t="s">
        <v>37</v>
      </c>
      <c r="G89" s="37" t="s">
        <v>38</v>
      </c>
      <c r="H89" s="37" t="s">
        <v>39</v>
      </c>
      <c r="I89" s="37" t="s">
        <v>40</v>
      </c>
      <c r="J89" s="37" t="s">
        <v>41</v>
      </c>
      <c r="K89" s="37" t="s">
        <v>42</v>
      </c>
      <c r="L89" s="37" t="s">
        <v>43</v>
      </c>
      <c r="M89" s="37" t="s">
        <v>44</v>
      </c>
      <c r="N89" s="37" t="s">
        <v>45</v>
      </c>
      <c r="O89" s="37" t="s">
        <v>49</v>
      </c>
      <c r="P89" s="37" t="s">
        <v>46</v>
      </c>
      <c r="Q89" s="37" t="s">
        <v>50</v>
      </c>
      <c r="R89" s="37" t="s">
        <v>47</v>
      </c>
      <c r="S89" s="37" t="s">
        <v>51</v>
      </c>
    </row>
    <row r="90" spans="4:19" ht="20.100000000000001" customHeight="1" x14ac:dyDescent="0.25">
      <c r="D90" s="37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7" t="str" cm="1">
        <f t="array" ref="E90">Common_InputFunctions.Utility_DisplayArrayInTable(Common_SourceData.Common_SourceData_ClimateZones_Data(), Table_SourceData_ClimateZones[[#Headers],[Climate zone]], 0)</f>
        <v>&gt; 18 C</v>
      </c>
      <c r="F90" s="37" t="str" cm="1">
        <f t="array" ref="F90">Common_InputFunctions.Utility_DisplayArrayInTable(Common_SourceData.Common_SourceData_ClimateZones_Data(), Table_SourceData_ClimateZones[[#Headers],[Climate zone]], 0)</f>
        <v>Any</v>
      </c>
      <c r="G90" s="37" t="str" cm="1">
        <f t="array" ref="G90">Common_InputFunctions.Utility_DisplayArrayInTable(Common_SourceData.Common_SourceData_ClimateZones_Data(), Table_SourceData_ClimateZones[[#Headers],[Climate zone]], 0)</f>
        <v>≤ 7</v>
      </c>
      <c r="H90" s="37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7" t="str" cm="1">
        <f t="array" ref="I90">Common_InputFunctions.Utility_DisplayArrayInTable(Common_SourceData.Common_SourceData_ClimateZones_Data(), Table_SourceData_ClimateZones[[#Headers],[Climate zone]], 0)</f>
        <v>Any</v>
      </c>
      <c r="J90" s="37" cm="1">
        <f t="array" ref="J90">Common_InputFunctions.Utility_DisplayArrayInTable(Common_SourceData.Common_SourceData_ClimateZones_Data(), Table_SourceData_ClimateZones[[#Headers],[Climate zone]], 0)</f>
        <v>18.001000000000001</v>
      </c>
      <c r="K90" s="37" cm="1">
        <f t="array" ref="K90">Common_InputFunctions.Utility_DisplayArrayInTable(Common_SourceData.Common_SourceData_ClimateZones_Data(), Table_SourceData_ClimateZones[[#Headers],[Climate zone]], 0)</f>
        <v>999999</v>
      </c>
      <c r="L90" s="37" cm="1">
        <f t="array" ref="L90">Common_InputFunctions.Utility_DisplayArrayInTable(Common_SourceData.Common_SourceData_ClimateZones_Data(), Table_SourceData_ClimateZones[[#Headers],[Climate zone]], 0)</f>
        <v>-999999</v>
      </c>
      <c r="M90" s="37" cm="1">
        <f t="array" ref="M90">Common_InputFunctions.Utility_DisplayArrayInTable(Common_SourceData.Common_SourceData_ClimateZones_Data(), Table_SourceData_ClimateZones[[#Headers],[Climate zone]], 0)</f>
        <v>999999</v>
      </c>
      <c r="N90" s="37" cm="1">
        <f t="array" ref="N90">Common_InputFunctions.Utility_DisplayArrayInTable(Common_SourceData.Common_SourceData_ClimateZones_Data(), Table_SourceData_ClimateZones[[#Headers],[Climate zone]], 0)</f>
        <v>-999999</v>
      </c>
      <c r="O90" s="37" cm="1">
        <f t="array" ref="O90">Common_InputFunctions.Utility_DisplayArrayInTable(Common_SourceData.Common_SourceData_ClimateZones_Data(), Table_SourceData_ClimateZones[[#Headers],[Climate zone]], 0)</f>
        <v>7</v>
      </c>
      <c r="P90" s="37" cm="1">
        <f t="array" ref="P90">Common_InputFunctions.Utility_DisplayArrayInTable(Common_SourceData.Common_SourceData_ClimateZones_Data(), Table_SourceData_ClimateZones[[#Headers],[Climate zone]], 0)</f>
        <v>1000</v>
      </c>
      <c r="Q90" s="37" cm="1">
        <f t="array" ref="Q90">Common_InputFunctions.Utility_DisplayArrayInTable(Common_SourceData.Common_SourceData_ClimateZones_Data(), Table_SourceData_ClimateZones[[#Headers],[Climate zone]], 0)</f>
        <v>999999</v>
      </c>
      <c r="R90" s="37" cm="1">
        <f t="array" ref="R90">Common_InputFunctions.Utility_DisplayArrayInTable(Common_SourceData.Common_SourceData_ClimateZones_Data(), Table_SourceData_ClimateZones[[#Headers],[Climate zone]], 0)</f>
        <v>-999999</v>
      </c>
      <c r="S90" s="37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7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7" t="str" cm="1">
        <f t="array" ref="E91">Common_InputFunctions.Utility_DisplayArrayInTable(Common_SourceData.Common_SourceData_ClimateZones_Data(), Table_SourceData_ClimateZones[[#Headers],[Climate zone]], 0)</f>
        <v>&gt; 18 C</v>
      </c>
      <c r="F91" s="37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7" t="str" cm="1">
        <f t="array" ref="G91">Common_InputFunctions.Utility_DisplayArrayInTable(Common_SourceData.Common_SourceData_ClimateZones_Data(), Table_SourceData_ClimateZones[[#Headers],[Climate zone]], 0)</f>
        <v>≤ 7</v>
      </c>
      <c r="H91" s="37" t="str" cm="1">
        <f t="array" ref="H91">Common_InputFunctions.Utility_DisplayArrayInTable(Common_SourceData.Common_SourceData_ClimateZones_Data(), Table_SourceData_ClimateZones[[#Headers],[Climate zone]], 0)</f>
        <v>≤ 1000 m</v>
      </c>
      <c r="I91" s="37" t="str" cm="1">
        <f t="array" ref="I91">Common_InputFunctions.Utility_DisplayArrayInTable(Common_SourceData.Common_SourceData_ClimateZones_Data(), Table_SourceData_ClimateZones[[#Headers],[Climate zone]], 0)</f>
        <v>Any</v>
      </c>
      <c r="J91" s="37" cm="1">
        <f t="array" ref="J91">Common_InputFunctions.Utility_DisplayArrayInTable(Common_SourceData.Common_SourceData_ClimateZones_Data(), Table_SourceData_ClimateZones[[#Headers],[Climate zone]], 0)</f>
        <v>18.001000000000001</v>
      </c>
      <c r="K91" s="37" cm="1">
        <f t="array" ref="K91">Common_InputFunctions.Utility_DisplayArrayInTable(Common_SourceData.Common_SourceData_ClimateZones_Data(), Table_SourceData_ClimateZones[[#Headers],[Climate zone]], 0)</f>
        <v>999999</v>
      </c>
      <c r="L91" s="37" cm="1">
        <f t="array" ref="L91">Common_InputFunctions.Utility_DisplayArrayInTable(Common_SourceData.Common_SourceData_ClimateZones_Data(), Table_SourceData_ClimateZones[[#Headers],[Climate zone]], 0)</f>
        <v>2000.001</v>
      </c>
      <c r="M91" s="37" cm="1">
        <f t="array" ref="M91">Common_InputFunctions.Utility_DisplayArrayInTable(Common_SourceData.Common_SourceData_ClimateZones_Data(), Table_SourceData_ClimateZones[[#Headers],[Climate zone]], 0)</f>
        <v>999999</v>
      </c>
      <c r="N91" s="37" cm="1">
        <f t="array" ref="N91">Common_InputFunctions.Utility_DisplayArrayInTable(Common_SourceData.Common_SourceData_ClimateZones_Data(), Table_SourceData_ClimateZones[[#Headers],[Climate zone]], 0)</f>
        <v>-999999</v>
      </c>
      <c r="O91" s="37" cm="1">
        <f t="array" ref="O91">Common_InputFunctions.Utility_DisplayArrayInTable(Common_SourceData.Common_SourceData_ClimateZones_Data(), Table_SourceData_ClimateZones[[#Headers],[Climate zone]], 0)</f>
        <v>7</v>
      </c>
      <c r="P91" s="37" cm="1">
        <f t="array" ref="P91">Common_InputFunctions.Utility_DisplayArrayInTable(Common_SourceData.Common_SourceData_ClimateZones_Data(), Table_SourceData_ClimateZones[[#Headers],[Climate zone]], 0)</f>
        <v>-999999</v>
      </c>
      <c r="Q91" s="37" cm="1">
        <f t="array" ref="Q91">Common_InputFunctions.Utility_DisplayArrayInTable(Common_SourceData.Common_SourceData_ClimateZones_Data(), Table_SourceData_ClimateZones[[#Headers],[Climate zone]], 0)</f>
        <v>999.99900000000002</v>
      </c>
      <c r="R91" s="37" cm="1">
        <f t="array" ref="R91">Common_InputFunctions.Utility_DisplayArrayInTable(Common_SourceData.Common_SourceData_ClimateZones_Data(), Table_SourceData_ClimateZones[[#Headers],[Climate zone]], 0)</f>
        <v>-999999</v>
      </c>
      <c r="S91" s="37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7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7" t="str" cm="1">
        <f t="array" ref="E92">Common_InputFunctions.Utility_DisplayArrayInTable(Common_SourceData.Common_SourceData_ClimateZones_Data(), Table_SourceData_ClimateZones[[#Headers],[Climate zone]], 0)</f>
        <v>&gt; 18 C</v>
      </c>
      <c r="F92" s="37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7" t="str" cm="1">
        <f t="array" ref="G92">Common_InputFunctions.Utility_DisplayArrayInTable(Common_SourceData.Common_SourceData_ClimateZones_Data(), Table_SourceData_ClimateZones[[#Headers],[Climate zone]], 0)</f>
        <v>≤ 7</v>
      </c>
      <c r="H92" s="37" t="str" cm="1">
        <f t="array" ref="H92">Common_InputFunctions.Utility_DisplayArrayInTable(Common_SourceData.Common_SourceData_ClimateZones_Data(), Table_SourceData_ClimateZones[[#Headers],[Climate zone]], 0)</f>
        <v>≤ 1000 m</v>
      </c>
      <c r="I92" s="37" t="str" cm="1">
        <f t="array" ref="I92">Common_InputFunctions.Utility_DisplayArrayInTable(Common_SourceData.Common_SourceData_ClimateZones_Data(), Table_SourceData_ClimateZones[[#Headers],[Climate zone]], 0)</f>
        <v>Any</v>
      </c>
      <c r="J92" s="37" cm="1">
        <f t="array" ref="J92">Common_InputFunctions.Utility_DisplayArrayInTable(Common_SourceData.Common_SourceData_ClimateZones_Data(), Table_SourceData_ClimateZones[[#Headers],[Climate zone]], 0)</f>
        <v>18.001000000000001</v>
      </c>
      <c r="K92" s="37" cm="1">
        <f t="array" ref="K92">Common_InputFunctions.Utility_DisplayArrayInTable(Common_SourceData.Common_SourceData_ClimateZones_Data(), Table_SourceData_ClimateZones[[#Headers],[Climate zone]], 0)</f>
        <v>999999</v>
      </c>
      <c r="L92" s="37" cm="1">
        <f t="array" ref="L92">Common_InputFunctions.Utility_DisplayArrayInTable(Common_SourceData.Common_SourceData_ClimateZones_Data(), Table_SourceData_ClimateZones[[#Headers],[Climate zone]], 0)</f>
        <v>1000.001</v>
      </c>
      <c r="M92" s="37" cm="1">
        <f t="array" ref="M92">Common_InputFunctions.Utility_DisplayArrayInTable(Common_SourceData.Common_SourceData_ClimateZones_Data(), Table_SourceData_ClimateZones[[#Headers],[Climate zone]], 0)</f>
        <v>2000</v>
      </c>
      <c r="N92" s="37" cm="1">
        <f t="array" ref="N92">Common_InputFunctions.Utility_DisplayArrayInTable(Common_SourceData.Common_SourceData_ClimateZones_Data(), Table_SourceData_ClimateZones[[#Headers],[Climate zone]], 0)</f>
        <v>-999999</v>
      </c>
      <c r="O92" s="37" cm="1">
        <f t="array" ref="O92">Common_InputFunctions.Utility_DisplayArrayInTable(Common_SourceData.Common_SourceData_ClimateZones_Data(), Table_SourceData_ClimateZones[[#Headers],[Climate zone]], 0)</f>
        <v>7</v>
      </c>
      <c r="P92" s="37" cm="1">
        <f t="array" ref="P92">Common_InputFunctions.Utility_DisplayArrayInTable(Common_SourceData.Common_SourceData_ClimateZones_Data(), Table_SourceData_ClimateZones[[#Headers],[Climate zone]], 0)</f>
        <v>-999999</v>
      </c>
      <c r="Q92" s="37" cm="1">
        <f t="array" ref="Q92">Common_InputFunctions.Utility_DisplayArrayInTable(Common_SourceData.Common_SourceData_ClimateZones_Data(), Table_SourceData_ClimateZones[[#Headers],[Climate zone]], 0)</f>
        <v>999.99900000000002</v>
      </c>
      <c r="R92" s="37" cm="1">
        <f t="array" ref="R92">Common_InputFunctions.Utility_DisplayArrayInTable(Common_SourceData.Common_SourceData_ClimateZones_Data(), Table_SourceData_ClimateZones[[#Headers],[Climate zone]], 0)</f>
        <v>-999999</v>
      </c>
      <c r="S92" s="37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7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7" t="str" cm="1">
        <f t="array" ref="E93">Common_InputFunctions.Utility_DisplayArrayInTable(Common_SourceData.Common_SourceData_ClimateZones_Data(), Table_SourceData_ClimateZones[[#Headers],[Climate zone]], 0)</f>
        <v>&gt; 18 C</v>
      </c>
      <c r="F93" s="37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7" t="str" cm="1">
        <f t="array" ref="G93">Common_InputFunctions.Utility_DisplayArrayInTable(Common_SourceData.Common_SourceData_ClimateZones_Data(), Table_SourceData_ClimateZones[[#Headers],[Climate zone]], 0)</f>
        <v>≤ 7</v>
      </c>
      <c r="H93" s="37" t="str" cm="1">
        <f t="array" ref="H93">Common_InputFunctions.Utility_DisplayArrayInTable(Common_SourceData.Common_SourceData_ClimateZones_Data(), Table_SourceData_ClimateZones[[#Headers],[Climate zone]], 0)</f>
        <v>≤ 1000 m</v>
      </c>
      <c r="I93" s="37" t="str" cm="1">
        <f t="array" ref="I93">Common_InputFunctions.Utility_DisplayArrayInTable(Common_SourceData.Common_SourceData_ClimateZones_Data(), Table_SourceData_ClimateZones[[#Headers],[Climate zone]], 0)</f>
        <v>Any</v>
      </c>
      <c r="J93" s="37" cm="1">
        <f t="array" ref="J93">Common_InputFunctions.Utility_DisplayArrayInTable(Common_SourceData.Common_SourceData_ClimateZones_Data(), Table_SourceData_ClimateZones[[#Headers],[Climate zone]], 0)</f>
        <v>18.001000000000001</v>
      </c>
      <c r="K93" s="37" cm="1">
        <f t="array" ref="K93">Common_InputFunctions.Utility_DisplayArrayInTable(Common_SourceData.Common_SourceData_ClimateZones_Data(), Table_SourceData_ClimateZones[[#Headers],[Climate zone]], 0)</f>
        <v>999999</v>
      </c>
      <c r="L93" s="37" cm="1">
        <f t="array" ref="L93">Common_InputFunctions.Utility_DisplayArrayInTable(Common_SourceData.Common_SourceData_ClimateZones_Data(), Table_SourceData_ClimateZones[[#Headers],[Climate zone]], 0)</f>
        <v>-999999</v>
      </c>
      <c r="M93" s="37" cm="1">
        <f t="array" ref="M93">Common_InputFunctions.Utility_DisplayArrayInTable(Common_SourceData.Common_SourceData_ClimateZones_Data(), Table_SourceData_ClimateZones[[#Headers],[Climate zone]], 0)</f>
        <v>1000</v>
      </c>
      <c r="N93" s="37" cm="1">
        <f t="array" ref="N93">Common_InputFunctions.Utility_DisplayArrayInTable(Common_SourceData.Common_SourceData_ClimateZones_Data(), Table_SourceData_ClimateZones[[#Headers],[Climate zone]], 0)</f>
        <v>-999999</v>
      </c>
      <c r="O93" s="37" cm="1">
        <f t="array" ref="O93">Common_InputFunctions.Utility_DisplayArrayInTable(Common_SourceData.Common_SourceData_ClimateZones_Data(), Table_SourceData_ClimateZones[[#Headers],[Climate zone]], 0)</f>
        <v>7</v>
      </c>
      <c r="P93" s="37" cm="1">
        <f t="array" ref="P93">Common_InputFunctions.Utility_DisplayArrayInTable(Common_SourceData.Common_SourceData_ClimateZones_Data(), Table_SourceData_ClimateZones[[#Headers],[Climate zone]], 0)</f>
        <v>-999999</v>
      </c>
      <c r="Q93" s="37" cm="1">
        <f t="array" ref="Q93">Common_InputFunctions.Utility_DisplayArrayInTable(Common_SourceData.Common_SourceData_ClimateZones_Data(), Table_SourceData_ClimateZones[[#Headers],[Climate zone]], 0)</f>
        <v>999.99900000000002</v>
      </c>
      <c r="R93" s="37" cm="1">
        <f t="array" ref="R93">Common_InputFunctions.Utility_DisplayArrayInTable(Common_SourceData.Common_SourceData_ClimateZones_Data(), Table_SourceData_ClimateZones[[#Headers],[Climate zone]], 0)</f>
        <v>-999999</v>
      </c>
      <c r="S93" s="37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7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7" t="str" cm="1">
        <f t="array" ref="E94">Common_InputFunctions.Utility_DisplayArrayInTable(Common_SourceData.Common_SourceData_ClimateZones_Data(), Table_SourceData_ClimateZones[[#Headers],[Climate zone]], 0)</f>
        <v>&gt; 10 C</v>
      </c>
      <c r="F94" s="37" t="str" cm="1">
        <f t="array" ref="F94">Common_InputFunctions.Utility_DisplayArrayInTable(Common_SourceData.Common_SourceData_ClimateZones_Data(), Table_SourceData_ClimateZones[[#Headers],[Climate zone]], 0)</f>
        <v>Any</v>
      </c>
      <c r="G94" s="37" t="str" cm="1">
        <f t="array" ref="G94">Common_InputFunctions.Utility_DisplayArrayInTable(Common_SourceData.Common_SourceData_ClimateZones_Data(), Table_SourceData_ClimateZones[[#Headers],[Climate zone]], 0)</f>
        <v>Any</v>
      </c>
      <c r="H94" s="37" t="str" cm="1">
        <f t="array" ref="H94">Common_InputFunctions.Utility_DisplayArrayInTable(Common_SourceData.Common_SourceData_ClimateZones_Data(), Table_SourceData_ClimateZones[[#Headers],[Climate zone]], 0)</f>
        <v>Any</v>
      </c>
      <c r="I94" s="37" t="str" cm="1">
        <f t="array" ref="I94">Common_InputFunctions.Utility_DisplayArrayInTable(Common_SourceData.Common_SourceData_ClimateZones_Data(), Table_SourceData_ClimateZones[[#Headers],[Climate zone]], 0)</f>
        <v>&gt; 1</v>
      </c>
      <c r="J94" s="37" cm="1">
        <f t="array" ref="J94">Common_InputFunctions.Utility_DisplayArrayInTable(Common_SourceData.Common_SourceData_ClimateZones_Data(), Table_SourceData_ClimateZones[[#Headers],[Climate zone]], 0)</f>
        <v>10.000999999999999</v>
      </c>
      <c r="K94" s="37" cm="1">
        <f t="array" ref="K94">Common_InputFunctions.Utility_DisplayArrayInTable(Common_SourceData.Common_SourceData_ClimateZones_Data(), Table_SourceData_ClimateZones[[#Headers],[Climate zone]], 0)</f>
        <v>999999</v>
      </c>
      <c r="L94" s="37" cm="1">
        <f t="array" ref="L94">Common_InputFunctions.Utility_DisplayArrayInTable(Common_SourceData.Common_SourceData_ClimateZones_Data(), Table_SourceData_ClimateZones[[#Headers],[Climate zone]], 0)</f>
        <v>-999999</v>
      </c>
      <c r="M94" s="37" cm="1">
        <f t="array" ref="M94">Common_InputFunctions.Utility_DisplayArrayInTable(Common_SourceData.Common_SourceData_ClimateZones_Data(), Table_SourceData_ClimateZones[[#Headers],[Climate zone]], 0)</f>
        <v>999999</v>
      </c>
      <c r="N94" s="37" cm="1">
        <f t="array" ref="N94">Common_InputFunctions.Utility_DisplayArrayInTable(Common_SourceData.Common_SourceData_ClimateZones_Data(), Table_SourceData_ClimateZones[[#Headers],[Climate zone]], 0)</f>
        <v>-999999</v>
      </c>
      <c r="O94" s="37" cm="1">
        <f t="array" ref="O94">Common_InputFunctions.Utility_DisplayArrayInTable(Common_SourceData.Common_SourceData_ClimateZones_Data(), Table_SourceData_ClimateZones[[#Headers],[Climate zone]], 0)</f>
        <v>999999</v>
      </c>
      <c r="P94" s="37" cm="1">
        <f t="array" ref="P94">Common_InputFunctions.Utility_DisplayArrayInTable(Common_SourceData.Common_SourceData_ClimateZones_Data(), Table_SourceData_ClimateZones[[#Headers],[Climate zone]], 0)</f>
        <v>-999999</v>
      </c>
      <c r="Q94" s="37" cm="1">
        <f t="array" ref="Q94">Common_InputFunctions.Utility_DisplayArrayInTable(Common_SourceData.Common_SourceData_ClimateZones_Data(), Table_SourceData_ClimateZones[[#Headers],[Climate zone]], 0)</f>
        <v>999999</v>
      </c>
      <c r="R94" s="37" cm="1">
        <f t="array" ref="R94">Common_InputFunctions.Utility_DisplayArrayInTable(Common_SourceData.Common_SourceData_ClimateZones_Data(), Table_SourceData_ClimateZones[[#Headers],[Climate zone]], 0)</f>
        <v>1.0009999999999999</v>
      </c>
      <c r="S94" s="37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7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7" t="str" cm="1">
        <f t="array" ref="E95">Common_InputFunctions.Utility_DisplayArrayInTable(Common_SourceData.Common_SourceData_ClimateZones_Data(), Table_SourceData_ClimateZones[[#Headers],[Climate zone]], 0)</f>
        <v>&gt; 10 C</v>
      </c>
      <c r="F95" s="37" t="str" cm="1">
        <f t="array" ref="F95">Common_InputFunctions.Utility_DisplayArrayInTable(Common_SourceData.Common_SourceData_ClimateZones_Data(), Table_SourceData_ClimateZones[[#Headers],[Climate zone]], 0)</f>
        <v>Any</v>
      </c>
      <c r="G95" s="37" t="str" cm="1">
        <f t="array" ref="G95">Common_InputFunctions.Utility_DisplayArrayInTable(Common_SourceData.Common_SourceData_ClimateZones_Data(), Table_SourceData_ClimateZones[[#Headers],[Climate zone]], 0)</f>
        <v>Any</v>
      </c>
      <c r="H95" s="37" t="str" cm="1">
        <f t="array" ref="H95">Common_InputFunctions.Utility_DisplayArrayInTable(Common_SourceData.Common_SourceData_ClimateZones_Data(), Table_SourceData_ClimateZones[[#Headers],[Climate zone]], 0)</f>
        <v>Any</v>
      </c>
      <c r="I95" s="37" t="str" cm="1">
        <f t="array" ref="I95">Common_InputFunctions.Utility_DisplayArrayInTable(Common_SourceData.Common_SourceData_ClimateZones_Data(), Table_SourceData_ClimateZones[[#Headers],[Climate zone]], 0)</f>
        <v>≤ 1</v>
      </c>
      <c r="J95" s="37" cm="1">
        <f t="array" ref="J95">Common_InputFunctions.Utility_DisplayArrayInTable(Common_SourceData.Common_SourceData_ClimateZones_Data(), Table_SourceData_ClimateZones[[#Headers],[Climate zone]], 0)</f>
        <v>10.000999999999999</v>
      </c>
      <c r="K95" s="37" cm="1">
        <f t="array" ref="K95">Common_InputFunctions.Utility_DisplayArrayInTable(Common_SourceData.Common_SourceData_ClimateZones_Data(), Table_SourceData_ClimateZones[[#Headers],[Climate zone]], 0)</f>
        <v>999999</v>
      </c>
      <c r="L95" s="37" cm="1">
        <f t="array" ref="L95">Common_InputFunctions.Utility_DisplayArrayInTable(Common_SourceData.Common_SourceData_ClimateZones_Data(), Table_SourceData_ClimateZones[[#Headers],[Climate zone]], 0)</f>
        <v>-999999</v>
      </c>
      <c r="M95" s="37" cm="1">
        <f t="array" ref="M95">Common_InputFunctions.Utility_DisplayArrayInTable(Common_SourceData.Common_SourceData_ClimateZones_Data(), Table_SourceData_ClimateZones[[#Headers],[Climate zone]], 0)</f>
        <v>999999</v>
      </c>
      <c r="N95" s="37" cm="1">
        <f t="array" ref="N95">Common_InputFunctions.Utility_DisplayArrayInTable(Common_SourceData.Common_SourceData_ClimateZones_Data(), Table_SourceData_ClimateZones[[#Headers],[Climate zone]], 0)</f>
        <v>-999999</v>
      </c>
      <c r="O95" s="37" cm="1">
        <f t="array" ref="O95">Common_InputFunctions.Utility_DisplayArrayInTable(Common_SourceData.Common_SourceData_ClimateZones_Data(), Table_SourceData_ClimateZones[[#Headers],[Climate zone]], 0)</f>
        <v>999999</v>
      </c>
      <c r="P95" s="37" cm="1">
        <f t="array" ref="P95">Common_InputFunctions.Utility_DisplayArrayInTable(Common_SourceData.Common_SourceData_ClimateZones_Data(), Table_SourceData_ClimateZones[[#Headers],[Climate zone]], 0)</f>
        <v>-999999</v>
      </c>
      <c r="Q95" s="37" cm="1">
        <f t="array" ref="Q95">Common_InputFunctions.Utility_DisplayArrayInTable(Common_SourceData.Common_SourceData_ClimateZones_Data(), Table_SourceData_ClimateZones[[#Headers],[Climate zone]], 0)</f>
        <v>999999</v>
      </c>
      <c r="R95" s="37" cm="1">
        <f t="array" ref="R95">Common_InputFunctions.Utility_DisplayArrayInTable(Common_SourceData.Common_SourceData_ClimateZones_Data(), Table_SourceData_ClimateZones[[#Headers],[Climate zone]], 0)</f>
        <v>-999999</v>
      </c>
      <c r="S95" s="37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7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7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7" t="str" cm="1">
        <f t="array" ref="F96">Common_InputFunctions.Utility_DisplayArrayInTable(Common_SourceData.Common_SourceData_ClimateZones_Data(), Table_SourceData_ClimateZones[[#Headers],[Climate zone]], 0)</f>
        <v>Any</v>
      </c>
      <c r="G96" s="37" t="str" cm="1">
        <f t="array" ref="G96">Common_InputFunctions.Utility_DisplayArrayInTable(Common_SourceData.Common_SourceData_ClimateZones_Data(), Table_SourceData_ClimateZones[[#Headers],[Climate zone]], 0)</f>
        <v>Any</v>
      </c>
      <c r="H96" s="37" t="str" cm="1">
        <f t="array" ref="H96">Common_InputFunctions.Utility_DisplayArrayInTable(Common_SourceData.Common_SourceData_ClimateZones_Data(), Table_SourceData_ClimateZones[[#Headers],[Climate zone]], 0)</f>
        <v>Any</v>
      </c>
      <c r="I96" s="37" t="str" cm="1">
        <f t="array" ref="I96">Common_InputFunctions.Utility_DisplayArrayInTable(Common_SourceData.Common_SourceData_ClimateZones_Data(), Table_SourceData_ClimateZones[[#Headers],[Climate zone]], 0)</f>
        <v>&gt; 1</v>
      </c>
      <c r="J96" s="37" cm="1">
        <f t="array" ref="J96">Common_InputFunctions.Utility_DisplayArrayInTable(Common_SourceData.Common_SourceData_ClimateZones_Data(), Table_SourceData_ClimateZones[[#Headers],[Climate zone]], 0)</f>
        <v>-999999</v>
      </c>
      <c r="K96" s="37" cm="1">
        <f t="array" ref="K96">Common_InputFunctions.Utility_DisplayArrayInTable(Common_SourceData.Common_SourceData_ClimateZones_Data(), Table_SourceData_ClimateZones[[#Headers],[Climate zone]], 0)</f>
        <v>10</v>
      </c>
      <c r="L96" s="37" cm="1">
        <f t="array" ref="L96">Common_InputFunctions.Utility_DisplayArrayInTable(Common_SourceData.Common_SourceData_ClimateZones_Data(), Table_SourceData_ClimateZones[[#Headers],[Climate zone]], 0)</f>
        <v>-999999</v>
      </c>
      <c r="M96" s="37" cm="1">
        <f t="array" ref="M96">Common_InputFunctions.Utility_DisplayArrayInTable(Common_SourceData.Common_SourceData_ClimateZones_Data(), Table_SourceData_ClimateZones[[#Headers],[Climate zone]], 0)</f>
        <v>999999</v>
      </c>
      <c r="N96" s="37" cm="1">
        <f t="array" ref="N96">Common_InputFunctions.Utility_DisplayArrayInTable(Common_SourceData.Common_SourceData_ClimateZones_Data(), Table_SourceData_ClimateZones[[#Headers],[Climate zone]], 0)</f>
        <v>-999999</v>
      </c>
      <c r="O96" s="37" cm="1">
        <f t="array" ref="O96">Common_InputFunctions.Utility_DisplayArrayInTable(Common_SourceData.Common_SourceData_ClimateZones_Data(), Table_SourceData_ClimateZones[[#Headers],[Climate zone]], 0)</f>
        <v>999999</v>
      </c>
      <c r="P96" s="37" cm="1">
        <f t="array" ref="P96">Common_InputFunctions.Utility_DisplayArrayInTable(Common_SourceData.Common_SourceData_ClimateZones_Data(), Table_SourceData_ClimateZones[[#Headers],[Climate zone]], 0)</f>
        <v>-999999</v>
      </c>
      <c r="Q96" s="37" cm="1">
        <f t="array" ref="Q96">Common_InputFunctions.Utility_DisplayArrayInTable(Common_SourceData.Common_SourceData_ClimateZones_Data(), Table_SourceData_ClimateZones[[#Headers],[Climate zone]], 0)</f>
        <v>999999</v>
      </c>
      <c r="R96" s="37" cm="1">
        <f t="array" ref="R96">Common_InputFunctions.Utility_DisplayArrayInTable(Common_SourceData.Common_SourceData_ClimateZones_Data(), Table_SourceData_ClimateZones[[#Headers],[Climate zone]], 0)</f>
        <v>1.0009999999999999</v>
      </c>
      <c r="S96" s="37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7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7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7" t="str" cm="1">
        <f t="array" ref="F97">Common_InputFunctions.Utility_DisplayArrayInTable(Common_SourceData.Common_SourceData_ClimateZones_Data(), Table_SourceData_ClimateZones[[#Headers],[Climate zone]], 0)</f>
        <v>Any</v>
      </c>
      <c r="G97" s="37" t="str" cm="1">
        <f t="array" ref="G97">Common_InputFunctions.Utility_DisplayArrayInTable(Common_SourceData.Common_SourceData_ClimateZones_Data(), Table_SourceData_ClimateZones[[#Headers],[Climate zone]], 0)</f>
        <v>Any</v>
      </c>
      <c r="H97" s="37" t="str" cm="1">
        <f t="array" ref="H97">Common_InputFunctions.Utility_DisplayArrayInTable(Common_SourceData.Common_SourceData_ClimateZones_Data(), Table_SourceData_ClimateZones[[#Headers],[Climate zone]], 0)</f>
        <v>Any</v>
      </c>
      <c r="I97" s="37" t="str" cm="1">
        <f t="array" ref="I97">Common_InputFunctions.Utility_DisplayArrayInTable(Common_SourceData.Common_SourceData_ClimateZones_Data(), Table_SourceData_ClimateZones[[#Headers],[Climate zone]], 0)</f>
        <v>≤ 1</v>
      </c>
      <c r="J97" s="37" cm="1">
        <f t="array" ref="J97">Common_InputFunctions.Utility_DisplayArrayInTable(Common_SourceData.Common_SourceData_ClimateZones_Data(), Table_SourceData_ClimateZones[[#Headers],[Climate zone]], 0)</f>
        <v>-999999</v>
      </c>
      <c r="K97" s="37" cm="1">
        <f t="array" ref="K97">Common_InputFunctions.Utility_DisplayArrayInTable(Common_SourceData.Common_SourceData_ClimateZones_Data(), Table_SourceData_ClimateZones[[#Headers],[Climate zone]], 0)</f>
        <v>10</v>
      </c>
      <c r="L97" s="37" cm="1">
        <f t="array" ref="L97">Common_InputFunctions.Utility_DisplayArrayInTable(Common_SourceData.Common_SourceData_ClimateZones_Data(), Table_SourceData_ClimateZones[[#Headers],[Climate zone]], 0)</f>
        <v>-999999</v>
      </c>
      <c r="M97" s="37" cm="1">
        <f t="array" ref="M97">Common_InputFunctions.Utility_DisplayArrayInTable(Common_SourceData.Common_SourceData_ClimateZones_Data(), Table_SourceData_ClimateZones[[#Headers],[Climate zone]], 0)</f>
        <v>999999</v>
      </c>
      <c r="N97" s="37" cm="1">
        <f t="array" ref="N97">Common_InputFunctions.Utility_DisplayArrayInTable(Common_SourceData.Common_SourceData_ClimateZones_Data(), Table_SourceData_ClimateZones[[#Headers],[Climate zone]], 0)</f>
        <v>-999999</v>
      </c>
      <c r="O97" s="37" cm="1">
        <f t="array" ref="O97">Common_InputFunctions.Utility_DisplayArrayInTable(Common_SourceData.Common_SourceData_ClimateZones_Data(), Table_SourceData_ClimateZones[[#Headers],[Climate zone]], 0)</f>
        <v>999999</v>
      </c>
      <c r="P97" s="37" cm="1">
        <f t="array" ref="P97">Common_InputFunctions.Utility_DisplayArrayInTable(Common_SourceData.Common_SourceData_ClimateZones_Data(), Table_SourceData_ClimateZones[[#Headers],[Climate zone]], 0)</f>
        <v>-999999</v>
      </c>
      <c r="Q97" s="37" cm="1">
        <f t="array" ref="Q97">Common_InputFunctions.Utility_DisplayArrayInTable(Common_SourceData.Common_SourceData_ClimateZones_Data(), Table_SourceData_ClimateZones[[#Headers],[Climate zone]], 0)</f>
        <v>999999</v>
      </c>
      <c r="R97" s="37" cm="1">
        <f t="array" ref="R97">Common_InputFunctions.Utility_DisplayArrayInTable(Common_SourceData.Common_SourceData_ClimateZones_Data(), Table_SourceData_ClimateZones[[#Headers],[Climate zone]], 0)</f>
        <v>-999999</v>
      </c>
      <c r="S97" s="37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3" t="str" cm="1">
        <f t="array" ref="D98:D101">Common_SourceData.Common_SourceData_ClimateZones_Appendices()</f>
        <v>Note:</v>
      </c>
    </row>
    <row r="99" spans="4:19" ht="20.100000000000001" customHeight="1" x14ac:dyDescent="0.25">
      <c r="D99" s="53" t="str">
        <v>MAT = mean annual temperature</v>
      </c>
    </row>
    <row r="100" spans="4:19" ht="20.100000000000001" customHeight="1" x14ac:dyDescent="0.25">
      <c r="D100" s="53" t="str">
        <v>MAP = mean annual precipitation</v>
      </c>
    </row>
    <row r="101" spans="4:19" ht="20.100000000000001" customHeight="1" x14ac:dyDescent="0.25">
      <c r="D101" s="53" t="str">
        <v>PET = potential evapotranspiration</v>
      </c>
    </row>
    <row r="102" spans="4:19" ht="20.100000000000001" customHeight="1" x14ac:dyDescent="0.25">
      <c r="D102" s="53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4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7" t="s">
        <v>55</v>
      </c>
      <c r="E109" s="37" t="s">
        <v>36</v>
      </c>
      <c r="F109" s="37" t="s">
        <v>56</v>
      </c>
      <c r="G109" s="37" t="s">
        <v>57</v>
      </c>
    </row>
    <row r="110" spans="4:19" ht="20.100000000000001" customHeight="1" x14ac:dyDescent="0.25">
      <c r="D110" s="37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7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7" cm="1">
        <f t="array" ref="F110">Common_InputFunctions.Utility_DisplayArrayInTable(Common_SourceData.Common_SourceData_TemperatureZones_Data(),Table_SourceData_TemperatureZones[[#Headers],[Temperature Zone]],0)</f>
        <v>26</v>
      </c>
      <c r="G110" s="37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7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7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7" cm="1">
        <f t="array" ref="F111">Common_InputFunctions.Utility_DisplayArrayInTable(Common_SourceData.Common_SourceData_TemperatureZones_Data(),Table_SourceData_TemperatureZones[[#Headers],[Temperature Zone]],0)</f>
        <v>15</v>
      </c>
      <c r="G111" s="37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7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7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7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7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4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7" t="s">
        <v>58</v>
      </c>
      <c r="E119" s="37" t="s">
        <v>59</v>
      </c>
      <c r="F119" s="37" t="s">
        <v>43</v>
      </c>
      <c r="G119" s="37" t="s">
        <v>44</v>
      </c>
      <c r="BM119" s="7"/>
    </row>
    <row r="120" spans="4:65" ht="20.100000000000001" customHeight="1" x14ac:dyDescent="0.25">
      <c r="D120" s="37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7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7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7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7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7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7" cm="1">
        <f t="array" ref="F121">Common_InputFunctions.Utility_DisplayArrayInTable(Common_SourceData.Common_SourceData_RainfallZones_Data(),Table_SourceData_RainfallZones[[#Headers],[Rainfall Zone]],0)</f>
        <v>-999999</v>
      </c>
      <c r="G121" s="37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7" t="s">
        <v>65</v>
      </c>
      <c r="E127" s="37" t="s">
        <v>66</v>
      </c>
    </row>
    <row r="128" spans="4:65" ht="20.100000000000001" customHeight="1" x14ac:dyDescent="0.25">
      <c r="D128" s="37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7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7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7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2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2"/>
    </row>
    <row r="134" spans="4:76" ht="20.100000000000001" customHeight="1" x14ac:dyDescent="0.25">
      <c r="D134" t="s">
        <v>93</v>
      </c>
      <c r="E134" t="s">
        <v>94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7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Common_SourceData.Common_SourceData_FracWETIrrigation_Title()</f>
        <v>FracWET for irrigation types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Common_SourceData.Common_SourceData_FracWETIrrigation_Source()</f>
        <v>VEERG 2026: Chapter 1, section 1.8.2 Leaching, climate and rainfall zones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D141" s="54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7"/>
    </row>
    <row r="142" spans="4:76" ht="20.100000000000001" customHeight="1" x14ac:dyDescent="0.25">
      <c r="D142" s="37" t="s">
        <v>131</v>
      </c>
      <c r="E142" s="37" t="s">
        <v>94</v>
      </c>
      <c r="BM142" s="7"/>
    </row>
    <row r="143" spans="4:76" ht="20.100000000000001" customHeight="1" x14ac:dyDescent="0.25">
      <c r="D143" s="37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37" cm="1">
        <f t="array" ref="E143">Common_InputFunctions.Utility_DisplayArrayInTable(Common_SourceData.Common_SourceData_FracWETIrrigation_Data(), Table_SourceData_FracWETIrrigation[[#Headers],[Irrigation type i]], 0)</f>
        <v>0</v>
      </c>
      <c r="BM143" s="7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37" cm="1">
        <f t="array" ref="E144">Common_InputFunctions.Utility_DisplayArrayInTable(Common_SourceData.Common_SourceData_FracWETIrrigation_Data(), Table_SourceData_FracWETIrrigation[[#Headers],[Irrigation type i]], 0)</f>
        <v>0</v>
      </c>
      <c r="BM144" s="7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37" cm="1">
        <f t="array" ref="E145">Common_InputFunctions.Utility_DisplayArrayInTable(Common_SourceData.Common_SourceData_FracWETIrrigation_Data(), Table_SourceData_FracWETIrrigation[[#Headers],[Irrigation type i]], 0)</f>
        <v>1</v>
      </c>
      <c r="BM145" s="7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37" cm="1">
        <f t="array" ref="E146">Common_InputFunctions.Utility_DisplayArrayInTable(Common_SourceData.Common_SourceData_FracWETIrrigation_Data(), Table_SourceData_FracWETIrrigation[[#Headers],[Irrigation type i]], 0)</f>
        <v>1</v>
      </c>
      <c r="BM146" s="7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37" cm="1">
        <f t="array" ref="E147">Common_InputFunctions.Utility_DisplayArrayInTable(Common_SourceData.Common_SourceData_FracWETIrrigation_Data(), Table_SourceData_FracWETIrrigation[[#Headers],[Irrigation type i]], 0)</f>
        <v>1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Common_SourceData.Common_SourceData_DataScores_Scope3_Title()</f>
        <v>Australian data scores for scope 3</v>
      </c>
      <c r="BM150" s="7"/>
    </row>
    <row r="151" spans="4:65" ht="20.100000000000001" customHeight="1" x14ac:dyDescent="0.25">
      <c r="D151" s="5" t="str" cm="1">
        <f t="array" ref="D151">Common_SourceData.Common_SourceData_DataScores_Scope3_Source()</f>
        <v>VEERG 2026: XXXXXXXX</v>
      </c>
      <c r="BM151" s="7"/>
    </row>
    <row r="152" spans="4:65" ht="20.100000000000001" customHeight="1" x14ac:dyDescent="0.25">
      <c r="BM152" s="7"/>
    </row>
    <row r="153" spans="4:65" ht="20.100000000000001" customHeight="1" x14ac:dyDescent="0.25">
      <c r="D153" s="37" t="s">
        <v>68</v>
      </c>
      <c r="E153" s="37" t="s">
        <v>69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D154" s="37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37" cm="1">
        <f t="array" ref="E154">Common_InputFunctions.Utility_DisplayArrayInTable(Common_SourceData.Common_SourceData_DataScores_Scope3_Data(), Table_SourceData_DataScores_Scope3[[#Headers],[Data source]], 0)</f>
        <v>1</v>
      </c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D155" s="37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37" cm="1">
        <f t="array" ref="E155">Common_InputFunctions.Utility_DisplayArrayInTable(Common_SourceData.Common_SourceData_DataScores_Scope3_Data(), Table_SourceData_DataScores_Scope3[[#Headers],[Data source]], 0)</f>
        <v>2</v>
      </c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37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37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37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37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37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37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6" t="str" cm="1">
        <f t="array" ref="D161">Common_SourceData.Common_SourceData_FracLEACH_Title()</f>
        <v>Fraction of N that is available for leaching and runoff</v>
      </c>
      <c r="E161" s="22"/>
    </row>
    <row r="162" spans="4:67" ht="20.100000000000001" customHeight="1" x14ac:dyDescent="0.25">
      <c r="D162" s="5" t="str" cm="1">
        <f t="array" ref="D162">Common_SourceData.Common_SourceData_FracLEACH_Source()</f>
        <v>VEERG 2026:5.5.2.3 Constant Parameters</v>
      </c>
      <c r="E162" s="22"/>
    </row>
    <row r="163" spans="4:67" ht="20.100000000000001" customHeight="1" x14ac:dyDescent="0.25">
      <c r="D163" s="5" t="str" cm="1">
        <f t="array" ref="D163">Common_SourceData.Common_SourceData_FracLEACH_NIRReference()</f>
        <v>National Inventory Report Volume 1: Leaching and runoff (3.D.b.2)</v>
      </c>
      <c r="E163" s="22"/>
    </row>
    <row r="164" spans="4:67" ht="20.100000000000001" customHeight="1" x14ac:dyDescent="0.25">
      <c r="D164" s="22" t="str" cm="1">
        <f t="array" ref="D164:E164">Common_SourceData.Common_SourceData_FracLEACH_Data()</f>
        <v>FracLEACH</v>
      </c>
      <c r="E164" s="22">
        <v>0.24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Common_SourceData.Common_SourceData_EFleach_Title()</f>
        <v>Emission factor for nitrogen leaching and runoff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Common_SourceData.Common_SourceData_EFleach_Source()</f>
        <v>VEERG 2026:5.5.2.3 Constant Parameters</v>
      </c>
      <c r="BM168" s="7"/>
      <c r="BN168" s="7"/>
      <c r="BO168" s="7"/>
    </row>
    <row r="169" spans="4:67" ht="20.100000000000001" customHeight="1" x14ac:dyDescent="0.25">
      <c r="D169" s="5" t="str" cm="1">
        <f t="array" ref="D169">Common_SourceData.Common_SourceData_EFleach_NIRReference()</f>
        <v>National Inventory Report Volume 1: Equation 3.D.B_10</v>
      </c>
      <c r="BM169" s="7"/>
      <c r="BN169" s="7"/>
      <c r="BO169" s="7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7"/>
      <c r="BN170" s="7"/>
      <c r="BO170" s="7"/>
    </row>
    <row r="171" spans="4:67" ht="20.100000000000001" customHeight="1" x14ac:dyDescent="0.25">
      <c r="BM171" s="7"/>
      <c r="BN171" s="7"/>
      <c r="BO171" s="7"/>
    </row>
    <row r="172" spans="4:67" ht="20.100000000000001" customHeight="1" x14ac:dyDescent="0.25">
      <c r="BM172" s="7"/>
      <c r="BN172" s="7"/>
      <c r="BO172" s="7"/>
    </row>
    <row r="173" spans="4:67" ht="20.100000000000001" customHeight="1" x14ac:dyDescent="0.25">
      <c r="D173" s="6" t="str" cm="1">
        <f t="array" ref="D173">Common_SourceData.Common_SourceData_DensityOfMethane_Title()</f>
        <v>p = density of methane</v>
      </c>
      <c r="BM173" s="7"/>
      <c r="BN173" s="7"/>
      <c r="BO173" s="7"/>
    </row>
    <row r="174" spans="4:67" ht="20.100000000000001" customHeight="1" x14ac:dyDescent="0.25">
      <c r="D174" s="5" t="str" cm="1">
        <f t="array" ref="D174">Common_SourceData.Common_SourceData_DensityOfMethane_Source()</f>
        <v>National Inventory Report 2023 Volume 1: Equations 3.B.1a_2, 3.B.1c_2, 3.B.3_1, 3.B.4g_2</v>
      </c>
      <c r="BM174" s="7"/>
      <c r="BN174" s="7"/>
      <c r="BO174" s="7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53" t="str" cm="1">
        <f t="array" ref="E175">Common_SourceData.Common_SourceData_DensityOfMethane_Unit()</f>
        <v>kg/m3</v>
      </c>
      <c r="BM175" s="7"/>
      <c r="BN175" s="7"/>
      <c r="BO175" s="7"/>
    </row>
    <row r="176" spans="4:67" ht="20.100000000000001" customHeight="1" x14ac:dyDescent="0.25">
      <c r="BM176" s="7"/>
      <c r="BN176" s="7"/>
      <c r="BO176" s="7"/>
    </row>
    <row r="177" spans="4:67" ht="20.100000000000001" customHeight="1" x14ac:dyDescent="0.25">
      <c r="BM177" s="7"/>
      <c r="BN177" s="7"/>
      <c r="BO177" s="7"/>
    </row>
    <row r="178" spans="4:67" ht="20.100000000000001" customHeight="1" x14ac:dyDescent="0.25">
      <c r="D178" s="6" t="str" cm="1">
        <f t="array" ref="D178">Common_SourceData.Common_SourceData_EFN2O_Title()</f>
        <v>Nitrous oxide emission factors for inorganic fertiliser application</v>
      </c>
      <c r="BM178" s="7"/>
      <c r="BN178" s="7"/>
      <c r="BO178" s="7"/>
    </row>
    <row r="179" spans="4:67" ht="20.100000000000001" customHeight="1" x14ac:dyDescent="0.25">
      <c r="D179" s="5" t="str" cm="1">
        <f t="array" ref="D179">Common_SourceData.Common_SourceData_EFN2O_Source()</f>
        <v>VEERG 2026: Table A.2.2.1</v>
      </c>
      <c r="BM179" s="7"/>
      <c r="BN179" s="7"/>
      <c r="BO179" s="7"/>
    </row>
    <row r="180" spans="4:67" ht="20.100000000000001" customHeight="1" x14ac:dyDescent="0.25">
      <c r="D180" s="53" t="str" cm="1">
        <f t="array" ref="D180">Common_SourceData.Common_SourceData_EFN2O_Unit()</f>
        <v>(kg N2O-N / kg N</v>
      </c>
    </row>
    <row r="181" spans="4:67" ht="20.100000000000001" customHeight="1" x14ac:dyDescent="0.25">
      <c r="D181" s="54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54" t="str">
        <v>Removed duplicate 'Aquaculture' row.</v>
      </c>
    </row>
    <row r="183" spans="4:67" ht="20.100000000000001" customHeight="1" x14ac:dyDescent="0.25">
      <c r="D183" s="54" t="str">
        <v>Removed asterisks to aid lookup.</v>
      </c>
    </row>
    <row r="184" spans="4:67" ht="20.100000000000001" customHeight="1" x14ac:dyDescent="0.25">
      <c r="D184" s="54" t="str">
        <v>Added 'production system only', 'rainfall zone' and 'irrigation method' columns to aid lookup.</v>
      </c>
    </row>
    <row r="185" spans="4:67" ht="20.100000000000001" customHeight="1" x14ac:dyDescent="0.25">
      <c r="D185" s="54" t="str">
        <v>Duplicated 'non-irrigated pasture' row with same EF for low and high rainfall zones to aid lookup.</v>
      </c>
    </row>
    <row r="186" spans="4:67" ht="20.100000000000001" customHeight="1" x14ac:dyDescent="0.25">
      <c r="D186" s="37" t="s">
        <v>109</v>
      </c>
      <c r="E186" s="37" t="s">
        <v>110</v>
      </c>
      <c r="F186" s="37" t="s">
        <v>111</v>
      </c>
      <c r="G186" s="37" t="s">
        <v>112</v>
      </c>
      <c r="H186" s="37" t="s">
        <v>35</v>
      </c>
    </row>
    <row r="187" spans="4:67" ht="20.100000000000001" customHeight="1" x14ac:dyDescent="0.25">
      <c r="D187" s="37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37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37" t="str" cm="1">
        <f t="array" ref="F187">Common_InputFunctions.Utility_DisplayArrayInTable(Common_SourceData.Common_SourceData_EFN2O_Data(), Table_SourceData_Common_EFN2O[[#Headers],[Production system j]], 0)</f>
        <v>Pasture</v>
      </c>
      <c r="G187" s="37" t="str" cm="1">
        <f t="array" ref="G187">Common_InputFunctions.Utility_DisplayArrayInTable(Common_SourceData.Common_SourceData_EFN2O_Data(), Table_SourceData_Common_EFN2O[[#Headers],[Production system j]], 0)</f>
        <v>Any</v>
      </c>
      <c r="H187" s="37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7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37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37" t="str" cm="1">
        <f t="array" ref="F188">Common_InputFunctions.Utility_DisplayArrayInTable(Common_SourceData.Common_SourceData_EFN2O_Data(), Table_SourceData_Common_EFN2O[[#Headers],[Production system j]], 0)</f>
        <v>Crop</v>
      </c>
      <c r="G188" s="37" t="str" cm="1">
        <f t="array" ref="G188">Common_InputFunctions.Utility_DisplayArrayInTable(Common_SourceData.Common_SourceData_EFN2O_Data(), Table_SourceData_Common_EFN2O[[#Headers],[Production system j]], 0)</f>
        <v>Any</v>
      </c>
      <c r="H188" s="37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37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37" cm="1">
        <f t="array" ref="E189">Common_InputFunctions.Utility_DisplayArrayInTable(Common_SourceData.Common_SourceData_EFN2O_Data(), Table_SourceData_Common_EFN2O[[#Headers],[Production system j]], 0)</f>
        <v>1.8E-3</v>
      </c>
      <c r="F189" s="37" t="str" cm="1">
        <f t="array" ref="F189">Common_InputFunctions.Utility_DisplayArrayInTable(Common_SourceData.Common_SourceData_EFN2O_Data(), Table_SourceData_Common_EFN2O[[#Headers],[Production system j]], 0)</f>
        <v>Pasture</v>
      </c>
      <c r="G189" s="37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37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37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37" cm="1">
        <f t="array" ref="E190">Common_InputFunctions.Utility_DisplayArrayInTable(Common_SourceData.Common_SourceData_EFN2O_Data(), Table_SourceData_Common_EFN2O[[#Headers],[Production system j]], 0)</f>
        <v>1.8E-3</v>
      </c>
      <c r="F190" s="37" t="str" cm="1">
        <f t="array" ref="F190">Common_InputFunctions.Utility_DisplayArrayInTable(Common_SourceData.Common_SourceData_EFN2O_Data(), Table_SourceData_Common_EFN2O[[#Headers],[Production system j]], 0)</f>
        <v>Pasture</v>
      </c>
      <c r="G190" s="37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37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37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37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37" t="str" cm="1">
        <f t="array" ref="F191">Common_InputFunctions.Utility_DisplayArrayInTable(Common_SourceData.Common_SourceData_EFN2O_Data(), Table_SourceData_Common_EFN2O[[#Headers],[Production system j]], 0)</f>
        <v>Crop</v>
      </c>
      <c r="G191" s="37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37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37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37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37" t="str" cm="1">
        <f t="array" ref="F192">Common_InputFunctions.Utility_DisplayArrayInTable(Common_SourceData.Common_SourceData_EFN2O_Data(), Table_SourceData_Common_EFN2O[[#Headers],[Production system j]], 0)</f>
        <v>Crop</v>
      </c>
      <c r="G192" s="37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37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37" t="str" cm="1">
        <f t="array" ref="D193">Common_InputFunctions.Utility_DisplayArrayInTable(Common_SourceData.Common_SourceData_EFN2O_Data(), Table_SourceData_Common_EFN2O[[#Headers],[Production system j]], 0)</f>
        <v>Sugar</v>
      </c>
      <c r="E193" s="37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37" t="str" cm="1">
        <f t="array" ref="F193">Common_InputFunctions.Utility_DisplayArrayInTable(Common_SourceData.Common_SourceData_EFN2O_Data(), Table_SourceData_Common_EFN2O[[#Headers],[Production system j]], 0)</f>
        <v>Sugar</v>
      </c>
      <c r="G193" s="37" t="str" cm="1">
        <f t="array" ref="G193">Common_InputFunctions.Utility_DisplayArrayInTable(Common_SourceData.Common_SourceData_EFN2O_Data(), Table_SourceData_Common_EFN2O[[#Headers],[Production system j]], 0)</f>
        <v>Any</v>
      </c>
      <c r="H193" s="37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37" t="str" cm="1">
        <f t="array" ref="D194">Common_InputFunctions.Utility_DisplayArrayInTable(Common_SourceData.Common_SourceData_EFN2O_Data(), Table_SourceData_Common_EFN2O[[#Headers],[Production system j]], 0)</f>
        <v>Cotton</v>
      </c>
      <c r="E194" s="37" cm="1">
        <f t="array" ref="E194">Common_InputFunctions.Utility_DisplayArrayInTable(Common_SourceData.Common_SourceData_EFN2O_Data(), Table_SourceData_Common_EFN2O[[#Headers],[Production system j]], 0)</f>
        <v>5.3E-3</v>
      </c>
      <c r="F194" s="37" t="str" cm="1">
        <f t="array" ref="F194">Common_InputFunctions.Utility_DisplayArrayInTable(Common_SourceData.Common_SourceData_EFN2O_Data(), Table_SourceData_Common_EFN2O[[#Headers],[Production system j]], 0)</f>
        <v>Cotton</v>
      </c>
      <c r="G194" s="37" t="str" cm="1">
        <f t="array" ref="G194">Common_InputFunctions.Utility_DisplayArrayInTable(Common_SourceData.Common_SourceData_EFN2O_Data(), Table_SourceData_Common_EFN2O[[#Headers],[Production system j]], 0)</f>
        <v>Any</v>
      </c>
      <c r="H194" s="37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37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37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37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37" t="str" cm="1">
        <f t="array" ref="G195">Common_InputFunctions.Utility_DisplayArrayInTable(Common_SourceData.Common_SourceData_EFN2O_Data(), Table_SourceData_Common_EFN2O[[#Headers],[Production system j]], 0)</f>
        <v>Any</v>
      </c>
      <c r="H195" s="37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37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37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37" t="str" cm="1">
        <f t="array" ref="F196">Common_InputFunctions.Utility_DisplayArrayInTable(Common_SourceData.Common_SourceData_EFN2O_Data(), Table_SourceData_Common_EFN2O[[#Headers],[Production system j]], 0)</f>
        <v>Rice</v>
      </c>
      <c r="G196" s="37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37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37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37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37" t="str" cm="1">
        <f t="array" ref="F197">Common_InputFunctions.Utility_DisplayArrayInTable(Common_SourceData.Common_SourceData_EFN2O_Data(), Table_SourceData_Common_EFN2O[[#Headers],[Production system j]], 0)</f>
        <v>Rice</v>
      </c>
      <c r="G197" s="37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37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37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37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37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37" t="str" cm="1">
        <f t="array" ref="G198">Common_InputFunctions.Utility_DisplayArrayInTable(Common_SourceData.Common_SourceData_EFN2O_Data(), Table_SourceData_Common_EFN2O[[#Headers],[Production system j]], 0)</f>
        <v>Any</v>
      </c>
      <c r="H198" s="37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37" t="str" cm="1">
        <f t="array" ref="D199">Common_InputFunctions.Utility_DisplayArrayInTable(Common_SourceData.Common_SourceData_EFN2O_Data(), Table_SourceData_Common_EFN2O[[#Headers],[Production system j]], 0)</f>
        <v>Forestry</v>
      </c>
      <c r="E199" s="37" cm="1">
        <f t="array" ref="E199">Common_InputFunctions.Utility_DisplayArrayInTable(Common_SourceData.Common_SourceData_EFN2O_Data(), Table_SourceData_Common_EFN2O[[#Headers],[Production system j]], 0)</f>
        <v>1.8E-3</v>
      </c>
      <c r="F199" s="37" t="str" cm="1">
        <f t="array" ref="F199">Common_InputFunctions.Utility_DisplayArrayInTable(Common_SourceData.Common_SourceData_EFN2O_Data(), Table_SourceData_Common_EFN2O[[#Headers],[Production system j]], 0)</f>
        <v>Forestry</v>
      </c>
      <c r="G199" s="37" t="str" cm="1">
        <f t="array" ref="G199">Common_InputFunctions.Utility_DisplayArrayInTable(Common_SourceData.Common_SourceData_EFN2O_Data(), Table_SourceData_Common_EFN2O[[#Headers],[Production system j]], 0)</f>
        <v>Any</v>
      </c>
      <c r="H199" s="37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6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5" t="str" cm="1">
        <f t="array" ref="D203">Common_SourceData.Common_SourceData_EFPastureRangeAndPaddock_Source()</f>
        <v>VEERG 2026: Table A.2.2.2</v>
      </c>
    </row>
    <row r="204" spans="4:8" x14ac:dyDescent="0.25">
      <c r="D204" s="54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53" t="str" cm="1">
        <f t="array" ref="D205">Common_SourceData.Common_SourceData_EFPastureRangeAndPaddock_Unit()</f>
        <v>kg N2O - N / kg N</v>
      </c>
    </row>
    <row r="206" spans="4:8" x14ac:dyDescent="0.25">
      <c r="D206" s="37" t="s">
        <v>10</v>
      </c>
      <c r="E206" s="37" t="s">
        <v>133</v>
      </c>
    </row>
    <row r="207" spans="4:8" x14ac:dyDescent="0.25">
      <c r="D207" s="37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37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37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x14ac:dyDescent="0.25">
      <c r="D211" s="1" t="str" cm="1">
        <f t="array" ref="D211">Common_SourceData.Common_SourceData_MonthsToSeasons_Title()</f>
        <v>Months to Seasons Mapping</v>
      </c>
    </row>
    <row r="212" spans="4:5" x14ac:dyDescent="0.25">
      <c r="D212" s="37" t="s">
        <v>119</v>
      </c>
      <c r="E212" s="37" t="s">
        <v>153</v>
      </c>
    </row>
    <row r="213" spans="4:5" x14ac:dyDescent="0.25">
      <c r="D213" s="37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37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37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37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37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37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37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37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37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37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37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37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37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workbookViewId="0">
      <selection activeCell="A24" sqref="A2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4" t="e" vm="1">
        <v>#VALUE!</v>
      </c>
      <c r="C1" s="8" t="s">
        <v>79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>
      <c r="A4" s="17" t="str">
        <f>HYPERLINK("#'Results'!A1", "Results")</f>
        <v>Results</v>
      </c>
    </row>
    <row r="5" spans="1:13" ht="20.100000000000001" customHeight="1" x14ac:dyDescent="0.25">
      <c r="A5" s="16"/>
    </row>
    <row r="6" spans="1:13" ht="20.100000000000001" customHeight="1" x14ac:dyDescent="0.25">
      <c r="A6" s="20" t="s">
        <v>3</v>
      </c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A7" s="17" t="str">
        <f>HYPERLINK("#'Input - Site'!A1", "Site")</f>
        <v>Site</v>
      </c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A8" s="17" t="str">
        <f>HYPERLINK("#'Input - Swine'!A1", "Swine")</f>
        <v>Swine</v>
      </c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A9" s="17"/>
      <c r="D9" s="36" t="s">
        <v>80</v>
      </c>
      <c r="E9" s="37" t="s">
        <v>20</v>
      </c>
      <c r="F9" s="37" t="s">
        <v>81</v>
      </c>
      <c r="G9" s="3"/>
    </row>
    <row r="10" spans="1:13" ht="20.100000000000001" customHeight="1" x14ac:dyDescent="0.25">
      <c r="A10" s="19" t="s">
        <v>76</v>
      </c>
      <c r="D10" s="36" t="str" cm="1">
        <f t="array" ref="D10">Common_InputFunctions.Utility_DisplayArrayInTable(CommonLivestock_SourceData.SourceData_Livestock_Common_SymbolsMMS_Data(), Table_Data_MMSSymbols[[#Headers],[Symbol]], 0)</f>
        <v>1</v>
      </c>
      <c r="E10" s="36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6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A11" s="17" t="str">
        <f>HYPERLINK("#'4.2.1.1-2 Methane'!A1", "4.2.1.1-2 Methane")</f>
        <v>4.2.1.1-2 Methane</v>
      </c>
      <c r="D11" s="36" t="str" cm="1">
        <f t="array" ref="D11">Common_InputFunctions.Utility_DisplayArrayInTable(CommonLivestock_SourceData.SourceData_Livestock_Common_SymbolsMMS_Data(), Table_Data_MMSSymbols[[#Headers],[Symbol]], 0)</f>
        <v>2</v>
      </c>
      <c r="E11" s="36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6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A12" s="17" t="str">
        <f>HYPERLINK("#'4.2.1.3-4 Soil direct N2O'!A1", "4.2.1.3-4 Soil direct N2O")</f>
        <v>4.2.1.3-4 Soil direct N2O</v>
      </c>
      <c r="D12" s="37" t="str" cm="1">
        <f t="array" ref="D12">Common_InputFunctions.Utility_DisplayArrayInTable(CommonLivestock_SourceData.SourceData_Livestock_Common_SymbolsMMS_Data(), Table_Data_MMSSymbols[[#Headers],[Symbol]], 0)</f>
        <v>3</v>
      </c>
      <c r="E12" s="37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7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A13" s="17" t="str">
        <f>HYPERLINK("#'4.2.1.5-6 Soil Atmos Dep'!A1", "4.2.1.5-6 Soil atm. deposition")</f>
        <v>4.2.1.5-6 Soil atm. deposition</v>
      </c>
      <c r="D13" s="37" t="str" cm="1">
        <f t="array" ref="D13">Common_InputFunctions.Utility_DisplayArrayInTable(CommonLivestock_SourceData.SourceData_Livestock_Common_SymbolsMMS_Data(), Table_Data_MMSSymbols[[#Headers],[Symbol]], 0)</f>
        <v>3a</v>
      </c>
      <c r="E13" s="37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7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A14" s="17" t="str">
        <f>HYPERLINK("#'4.2.1.7-8 Soil leach runoff'!A1", "4.2.1.7-8 Soil leach &amp; runoff")</f>
        <v>4.2.1.7-8 Soil leach &amp; runoff</v>
      </c>
      <c r="D14" s="37" t="str" cm="1">
        <f t="array" ref="D14">Common_InputFunctions.Utility_DisplayArrayInTable(CommonLivestock_SourceData.SourceData_Livestock_Common_SymbolsMMS_Data(), Table_Data_MMSSymbols[[#Headers],[Symbol]], 0)</f>
        <v>3b</v>
      </c>
      <c r="E14" s="37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7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A15" s="17"/>
      <c r="D15" s="37" t="str" cm="1">
        <f t="array" ref="D15">Common_InputFunctions.Utility_DisplayArrayInTable(CommonLivestock_SourceData.SourceData_Livestock_Common_SymbolsMMS_Data(), Table_Data_MMSSymbols[[#Headers],[Symbol]], 0)</f>
        <v>4</v>
      </c>
      <c r="E15" s="37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7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A16" s="18" t="s">
        <v>4</v>
      </c>
      <c r="D16" s="37" t="str" cm="1">
        <f t="array" ref="D16">Common_InputFunctions.Utility_DisplayArrayInTable(CommonLivestock_SourceData.SourceData_Livestock_Common_SymbolsMMS_Data(), Table_Data_MMSSymbols[[#Headers],[Symbol]], 0)</f>
        <v>5</v>
      </c>
      <c r="E16" s="37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7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1:8" ht="20.100000000000001" customHeight="1" x14ac:dyDescent="0.25">
      <c r="A17" s="17" t="str">
        <f>HYPERLINK("#'Constants - Swine'!A1", "Constants - Swine")</f>
        <v>Constants - Swine</v>
      </c>
      <c r="D17" s="37" t="str" cm="1">
        <f t="array" ref="D17">Common_InputFunctions.Utility_DisplayArrayInTable(CommonLivestock_SourceData.SourceData_Livestock_Common_SymbolsMMS_Data(), Table_Data_MMSSymbols[[#Headers],[Symbol]], 0)</f>
        <v>6</v>
      </c>
      <c r="E17" s="37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7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1:8" ht="20.100000000000001" customHeight="1" x14ac:dyDescent="0.25">
      <c r="A18" s="17" t="str">
        <f>HYPERLINK("#'Constants - Livestock'!A1", "Constants - Livestock")</f>
        <v>Constants - Livestock</v>
      </c>
      <c r="D18" s="37" t="str" cm="1">
        <f t="array" ref="D18">Common_InputFunctions.Utility_DisplayArrayInTable(CommonLivestock_SourceData.SourceData_Livestock_Common_SymbolsMMS_Data(), Table_Data_MMSSymbols[[#Headers],[Symbol]], 0)</f>
        <v>7</v>
      </c>
      <c r="E18" s="37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7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1:8" ht="20.100000000000001" customHeight="1" x14ac:dyDescent="0.25">
      <c r="A19" s="17" t="str">
        <f>HYPERLINK("#'Constants - Common'!A1", "Constants - Common")</f>
        <v>Constants - Common</v>
      </c>
      <c r="D19" s="37" t="str" cm="1">
        <f t="array" ref="D19">Common_InputFunctions.Utility_DisplayArrayInTable(CommonLivestock_SourceData.SourceData_Livestock_Common_SymbolsMMS_Data(), Table_Data_MMSSymbols[[#Headers],[Symbol]], 0)</f>
        <v>8</v>
      </c>
      <c r="E19" s="37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7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1:8" ht="20.100000000000001" customHeight="1" x14ac:dyDescent="0.25">
      <c r="A20" s="17" t="str">
        <f>HYPERLINK("#'Acknowledgements'!A1", "Acknowledgements")</f>
        <v>Acknowledgements</v>
      </c>
      <c r="D20" s="37" t="str" cm="1">
        <f t="array" ref="D20">Common_InputFunctions.Utility_DisplayArrayInTable(CommonLivestock_SourceData.SourceData_Livestock_Common_SymbolsMMS_Data(), Table_Data_MMSSymbols[[#Headers],[Symbol]], 0)</f>
        <v>9</v>
      </c>
      <c r="E20" s="37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7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1:8" ht="20.100000000000001" customHeight="1" x14ac:dyDescent="0.25">
      <c r="D21" s="37" t="str" cm="1">
        <f t="array" ref="D21">Common_InputFunctions.Utility_DisplayArrayInTable(CommonLivestock_SourceData.SourceData_Livestock_Common_SymbolsMMS_Data(), Table_Data_MMSSymbols[[#Headers],[Symbol]], 0)</f>
        <v>10</v>
      </c>
      <c r="E21" s="37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7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1:8" ht="20.100000000000001" customHeight="1" x14ac:dyDescent="0.25">
      <c r="A22" s="17"/>
      <c r="D22" s="37" t="str" cm="1">
        <f t="array" ref="D22">Common_InputFunctions.Utility_DisplayArrayInTable(CommonLivestock_SourceData.SourceData_Livestock_Common_SymbolsMMS_Data(), Table_Data_MMSSymbols[[#Headers],[Symbol]], 0)</f>
        <v>11</v>
      </c>
      <c r="E22" s="37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7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1:8" ht="20.100000000000001" customHeight="1" x14ac:dyDescent="0.25">
      <c r="A23" s="17"/>
      <c r="D23" s="37" t="str" cm="1">
        <f t="array" ref="D23">Common_InputFunctions.Utility_DisplayArrayInTable(CommonLivestock_SourceData.SourceData_Livestock_Common_SymbolsMMS_Data(), Table_Data_MMSSymbols[[#Headers],[Symbol]], 0)</f>
        <v>11a</v>
      </c>
      <c r="E23" s="37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7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1:8" ht="20.100000000000001" customHeight="1" x14ac:dyDescent="0.25">
      <c r="A24" s="17"/>
      <c r="D24" s="37" t="str" cm="1">
        <f t="array" ref="D24">Common_InputFunctions.Utility_DisplayArrayInTable(CommonLivestock_SourceData.SourceData_Livestock_Common_SymbolsMMS_Data(), Table_Data_MMSSymbols[[#Headers],[Symbol]], 0)</f>
        <v>11b</v>
      </c>
      <c r="E24" s="37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7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1:8" ht="20.100000000000001" customHeight="1" x14ac:dyDescent="0.25">
      <c r="D25" s="37" t="str" cm="1">
        <f t="array" ref="D25">Common_InputFunctions.Utility_DisplayArrayInTable(CommonLivestock_SourceData.SourceData_Livestock_Common_SymbolsMMS_Data(), Table_Data_MMSSymbols[[#Headers],[Symbol]], 0)</f>
        <v>12</v>
      </c>
      <c r="E25" s="37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7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1:8" ht="20.100000000000001" customHeight="1" x14ac:dyDescent="0.25">
      <c r="D26" s="37" t="str" cm="1">
        <f t="array" ref="D26">Common_InputFunctions.Utility_DisplayArrayInTable(CommonLivestock_SourceData.SourceData_Livestock_Common_SymbolsMMS_Data(), Table_Data_MMSSymbols[[#Headers],[Symbol]], 0)</f>
        <v>13</v>
      </c>
      <c r="E26" s="37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7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1:8" ht="20.100000000000001" customHeight="1" x14ac:dyDescent="0.25">
      <c r="D27" s="37" t="str" cm="1">
        <f t="array" ref="D27">Common_InputFunctions.Utility_DisplayArrayInTable(CommonLivestock_SourceData.SourceData_Livestock_Common_SymbolsMMS_Data(), Table_Data_MMSSymbols[[#Headers],[Symbol]], 0)</f>
        <v>14</v>
      </c>
      <c r="E27" s="37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7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1:8" ht="20.100000000000001" customHeight="1" x14ac:dyDescent="0.25">
      <c r="G28" s="3"/>
      <c r="H28" s="3"/>
    </row>
    <row r="29" spans="1:8" ht="20.100000000000001" customHeight="1" x14ac:dyDescent="0.25"/>
    <row r="30" spans="1:8" ht="20.100000000000001" customHeight="1" x14ac:dyDescent="0.25"/>
    <row r="31" spans="1:8" ht="20.100000000000001" customHeight="1" x14ac:dyDescent="0.25"/>
    <row r="32" spans="1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>
    <row r="1" spans="1:1" x14ac:dyDescent="0.25">
      <c r="A1" t="s">
        <v>215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66" t="s">
        <v>78</v>
      </c>
    </row>
    <row r="17" spans="1:1" ht="20.100000000000001" customHeight="1" x14ac:dyDescent="0.25">
      <c r="A17" s="66" t="s">
        <v>74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76</v>
      </c>
    </row>
    <row r="22" spans="1:1" ht="20.100000000000001" customHeight="1" x14ac:dyDescent="0.25">
      <c r="A22" s="66" t="s">
        <v>1</v>
      </c>
    </row>
    <row r="23" spans="1:1" ht="20.100000000000001" customHeight="1" x14ac:dyDescent="0.25">
      <c r="A23" s="66" t="s">
        <v>75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66" t="s">
        <v>78</v>
      </c>
    </row>
    <row r="32" spans="1:1" ht="20.100000000000001" customHeight="1" x14ac:dyDescent="0.25">
      <c r="A32" s="66" t="s">
        <v>74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66" t="s">
        <v>2</v>
      </c>
    </row>
    <row r="41" spans="1:1" ht="20.100000000000001" customHeight="1" x14ac:dyDescent="0.25">
      <c r="A41" s="44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+ADwAcwA+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+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+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AiAH0ALAB7ACIAcABhAHQAaAAiADoAIgAvAHAAcgBvAGoAZQBjAHQAcwAvAE0ATQBTAF8AUABhAHMAdAB1AHIAZQBCAGUAZQBm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wAgAE0AZQB0AGgAbwBkACAAMQAgAC0AIABTAG8AaQBsACAARABpAHIAZQBjAHQ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wBfAF8AMQBfAEQAaQByAGUAYwB0AE4AaQB0AHIAbwB1AHMATwB4AGkAZABlAEUAbQBpAHMAcwBpAG8AbgBzAE8AbgBQAGEAcwB0AHUAcgBlAFwAbgBUAG8AdABhAGwAIABhAG4AbgB1AGEAbAAgAGQAaQByAGUAYwB0ACAAbgBpAHQAcgBvAHUAcwAgAG8AeABpAGQAZQAgAGUAbQBpAHMAcwBpAG8AbgBzACAAZgByAG8AbQAgAGEAZwByAGkAYwB1AGwAdAB1AHIAYQBsACAAcwBvAGkAbABzACAAZgByAG8AbQAgAGQAZQBwAG8AcwBpAHQAaQBvAG4AIABvAGYAIAB1AHIAaQBuAGUAIABhAG4AZAAgAGQAdQBuAGcAXABuAEUAXwBOADIATwBkAGkAcgBcAG4AdAAgAE4AMgBPAFwAbgBFAF8AewBOADIATwAsAGQAaQByAH0APQBBAEUAXABcAHQAaQBtAGUAcwAgAEUARgBfAHsAUABSAFAAfQBcAFwAdABpAG0AZQBzACAAQwBfAHsATgAyAE8AfQBcAFwAdABpAG0AZQBzACAAMQAwAF4AewAtADMAfQBcAG4AQQBFACAAPQAgAHQAbwB0AGEAbAAgAG0AYQBzAHMAIABvAGYAIABuAGkAdAByAG8AZwBlAG4AIABlAHgAYwByAGUAdABlAGQAIABvAG4AIABQAFIAUAAgAGYAbwByACAAYgBlAGUAZgAgAGMAYQB0AHQAbABlACAAKABrAGcAIABOACkAXABuAEUARgBfAFAAUgBQACAAPQAgAGUAbQBpAHMAcwBpAG8AbgAgAGYAYQBjAHQAbwByACAAZgBvAHIAIABuAGkAdAByAG8AdQBzACAAbwB4AGkAZABlACAAZgByAG8AbQAgAHUAcgBpAG4AZQAgAGEAbgBkACAAZAB1AG4AZwAgAGQAZQBwAG8AcwBpAHQAZQBkACAAdABvACAAcwBvAGkAbAAgACgAawBnACAATgAyAE8ALQBOAC8AawBnACAATgAgAGQAZQBwAG8AcwBpAHQAZQBk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yAF8AMQBfADMAXwBfADEAXwBEAGkAcgBlAGMAdABOAGkAdAByAG8AdQBzAE8AeABpAGQAZQBFAG0AaQBzAHMAaQBvAG4AcwBPAG4AUABhAHMAdAB1AHIAZQBcAG4AIAAgAD0ATABBAE0AQgBEAEEAKABcAG4AIAAgACAAIABBAEUALAAgAEUARgBfAFAAUgBQACwAIABDAF8ATgAyAE8ALABcAG4AIAAgACAAIABBAEUAIAAqACAARQBGAF8AUABSAFAAIAAqACAAQwBfAE4AMgBPACAAKgAgADEAMAAgAF4AIAAtADMAXABuACAAIAApADsAXABuAFwAbgBWAEUARQBSAEcAXwA0AF8AMgBfADEAXwAzAF8AXwAxAF8ARABpAHIAZQBjAHQATgBpAHQAcgBvAHUAcwBPAHgAaQBkAGUARQBtAGkAcwBzAGkAbwBuAHMATwBuAFAAYQBzAHQAdQByAGUAXwBUAGkAdABsAGUAXABuACAAIAA9AEwAQQBNAEIARABBACgAXAAiAFQAbwB0AGEAbAAgAGEAbgBuAHUAYQBsACAAZABpAHIAZQBjAHQAIABuAGkAdAByAG8AdQBzACAAbwB4AGkAZABlACAAZQBtAGkAcwBzAGkAbwBuAHMAIABmAHIAbwBtACAAYQBnAHIAaQBjAHUAbAB0AHUAcgBhAGwAIABzAG8AaQBsAHMAIABmAHIAbwBtACAAZABlAHAAbwBzAGkAdABpAG8AbgAgAG8AZgAgAHUAcgBpAG4AZQAgAGEAbgBkACAAZAB1AG4AZwBcACIAKQA7AFwAbgBcAG4AVgBFAEUAUgBHAF8ANABfADIAXwAxAF8AMwBfAF8AMQBfAEQAaQByAGUAYwB0AE4AaQB0AHIAbwB1AHMATwB4AGkAZABlAEUAbQBpAHMAcwBpAG8AbgBzAE8AbgBQAGEAcwB0AHUAcgBlAF8AVgBhAHIAaQBhAGIAbABlAFwAbgAgACAAPQBMAEEATQBCAEQAQQAoAFwAIgBFAF8ATgAyAE8AZABpAHIAXAAiACkAOwBcAG4AXABuAFYARQBFAFIARwBfADQAXwAyAF8AMQBfADMAXwBfADEAXwBEAGkAcgBlAGMAdABOAGkAdAByAG8AdQBzAE8AeABpAGQAZQBFAG0AaQBzAHMAaQBvAG4AcwBPAG4AUABhAHMAdAB1AHIAZQBfAFUAbgBpAHQAXABuACAAIAA9AEwAQQBNAEIARABBACgAXAAiAHQAIABOADIATwBcACIAKQA7AFwAbgBcAG4AVgBFAEUAUgBHAF8ANABfADIAXwAxAF8AMwBfAF8AMQBfAEQAaQByAGUAYwB0AE4AaQB0AHIAbwB1AHMATwB4AGkAZABlAEUAbQBpAHMAcwBpAG8AbgBzAE8AbgBQAGEAcwB0AHUAcgBlAF8AUwBvAHUAcgBjAGUAXABuACAAIAA9AEwAQQBNAEIARABBACgAXAAiAFYARQBFAFIARwAgADIAMAAyADYAOgAgADQALgAyAC4AMQAuADMALAAgAEUAcQB1AGEAdABpAG8AbgAgACgAMQApAFwAIgApADsAXABuAFwAbgBWAEUARQBSAEcAXwA0AF8AMgBfADEAXwAzAF8AXwAxAF8ARABpAHIAZQBjAHQATgBpAHQAcgBvAHUAcwBPAHgAaQBkAGUARQBtAGkAcwBzAGkAbwBuAHMATwBuAFAAYQBzAHQAdQByAGUAXwBOAEkAUgBSAGUAZgBlAHIAZQBuAGMAZQBcAG4AIAAgAD0ATABBAE0AQgBEAEEAKABcACIAXAAiACkAOwBcAG4AXABuAFYARQBFAFIARwBfADQAXwAyAF8AMQBfADMAXwBfADEAXwBEAGkAcgBlAGMAdABOAGkAdAByAG8AdQBzAE8AeABpAGQAZQBFAG0AaQBzAHMAaQBvAG4AcwBPAG4AUABhAHMAdAB1AHIAZQBfAEwAYQB0AGUAeABFAHEAdQBhAHQAaQBvAG4AXABuACAAIAA9AEwAQQBNAEIARABBACgAXAAiAEUAXwB7AE4AMgBPACwAZABpAHIAfQA9AEEARQBcAFwAdABpAG0AZQBzACAARQBGAF8AewBQAFIAUAB9AFwAXAB0AGkAbQBlAHMAIABDAF8AewBOADIATwB9AFwAXAB0AGkAbQBlAHMAIAAxADAAXgB7AC0AMwB9AFwAIgApADsAXABuAFwAbgBWAEUARQBSAEcAXwA0AF8AMgBfADEAXwAzAF8AXwAxAF8ARABpAHIAZQBjAHQATgBpAHQAcgBvAHUAcwBPAHgAaQBkAGUARQBtAGkAcwBzAGkAbwBuAHMATwBuAFAAYQBzAHQAdQByAGUAXwBBAHIAZwB1AG0AZQBuAHQAcwBcAG4AIAAgAD0ATABBAE0AQgBEAEEAKABcAG4AIAAgACAAIABNAEEASwBFAEEAUgBSAEEAWQAoADQALAAgADI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CAAKABrAGcAIABOACkAXAAiADsAXABuACAAIAAgACAAIAAgACAAIAAgACAAXAAiAEUARgBfAFAAUgBQAFwAIgAsACAAXAAiAGUAbQBpAHMAcwBpAG8AbgAgAGYAYQBjAHQAbwByACAAZgBvAHIAIABuAGkAdAByAG8AdQBzACAAbwB4AGkAZABlACAAZgByAG8AbQAgAHUAcgBpAG4AZQAgAGEAbgBkACAAZAB1AG4AZwAgAGQAZQBwAG8AcwBpAHQAZQBkACAAdABvACAAcwBvAGkAbAAgACgAawBnACAATgAyAE8ALQBOAC8AawBnACAATgAgAGQAZQBwAG8AcwBpAHQAZQBkACkAXAAiADsAXABuACAAIAAgACAAIAAgACAAIAAgACAAXAAiAEMAXwBOADIATwBcACIALAAgAFwAIgBmAGEAYwB0AG8AcgAgAHQAbwAgAGMAbwBuAHYAZQByAHQAIABlAGwAZQBtAGUAbgB0AGEAbAAgAG0AYQBzAHMAIABvAGYAIABuAGkAdAByAG8AdQBzACAAbwB4AGkAZABlACAAdABvACAAbQBvAGwAZQBjAHUAbABhAHIAIABtAGEAcwBzAFwAIgA7AFwAbgAgACAAIAAgACAAIAAgACAAIAAgAFwAIgB6AFwAIgAsACAAXAAiAHcAZQB0ACAAbwByACAAZAByAHkAIABjAGwAaQBtAGEAdABlACAAegBvAG4AZ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yAF8AVABvAHQAYQBsAE4AaQB0AHIAbwBnAGUAbgBFAHgAYwByAGUAdABlAGQAVABvAFAAYQBzAHQAdQByAGUAUgBhAG4AZwBlAEEAbgBkAFAAYQBkAGQAbwBjAGsAXABuAFQAbwB0AGEAbAAgAG4AaQB0AHIAbwBnAGUAbgAgAGUAeABjAHIAZQB0AGUAZAAgAHQAbwAgAHAAYQBzAHQAdQByAGUALAAgAHIAYQBuAGcAZQAgAGEAbgBkACAAcABhAGQAZABvAGMAawBcAG4AQQBFAFwAbgBrAGcAIABOAFwAbgBBAEUAPQBcAFwAcwB1AG0AXwB7AGoAfQBcAFwAcwB1AG0AXwB7AGsAfQBcAFwAcwB1AG0AXwB7AGwAfQAoAE4AXwB7AGoAawBsAH0AXABcAHQAaQBtAGUAcwAgAE4ARQBfAHsAagBrAGwAfQBcAFwAdABpAG0AZQBzACAARABfAGoAKQBcAG4ATgBfAGoAawBsACAAPQAgAG4AdQBtAGIAZQByACAAbwBmACAAYgBlAGUAZgAgAGMAYQB0AHQAbABlACAAYgB5ACAAdABpAG0AZQAtAHAAZQByAGkAbwBkACwAIABjAGwAYQBzAHMAIABhAG4AZAAgAHMAdQBiAGMAbABhAHMAcwAgACgAaABlAGEAZAApAFwAbgBOAEUAXwBqAGsAbAAgAD0AIABuAGkAdAByAG8AZwBlAG4AIABlAHgAYwByAGUAdABlAGQAIABpAG4AIABlAGEAYwBoACAAdABpAG0AZQAtAHAAZQByAGkAbwBkACwAIABiAHkAIABlAGEAYwBoACAAYwBsAGEAcwBzACAAYQBuAGQAIABzAHUAYgBjAGwAYQBzAHMAIAAoAGsAZwAgAE4ALwBoAGUAYQBkAC8AZABhAHkAKQBcAG4ARABfAGoAIAA9ACAAbgB1AG0AYgBlAHIAIABvAGYAIABkAGEAeQBzACAAaQBuACAAZQBhAGMAaAAgAHQAaQBtAGUALQBwAGUAcgBpAG8AZAAgACgAZABhAHkAcwApAFwAbgAtAC0ALQAtAC0ALQAtAC0ALQAtAC0ALQAtAC0ALQAtAC0ALQAtAC0ALQAtAC0ALQAtAC0ALQAtAC0ALQAtAC0ALQAtAC0ALQAtAC0AXABuACoALwBcAG4AXABuAFYARQBFAFIARwBfADQAXwAyAF8AMQBfADMAXwBfADIAXwBUAG8AdABhAGwATgBpAHQAcgBvAGcAZQBuAEUAeABjAHIAZQB0AGUAZABUAG8AUABhAHMAdAB1AHIAZQBSAGEAbgBnAGUAQQBuAGQAUABhAGQAZABvAGMAawBcAG4AIAAgAD0ATABBAE0AQgBEAEEAKABcAG4AIAAgACAAIABOAF8AagBrAGwALAAgAE4ARQBfAGoAawBsACwAIABEAF8AagAsAFwAbgAgACAAIAAgAFMAVQBNACgAKABOAF8AagBrAGwAIAAqACAATgBFAF8AagBrAGwAKQAgACoAIABEAF8AagApAFwAbgAgACAAKQA7AFwAbgBcAG4AVgBFAEUAUgBHAF8ANABfADIAXwAxAF8AMwBfAF8AMgBfAFQAbwB0AGEAbABOAGkAdAByAG8AZwBlAG4ARQB4AGMAcgBlAHQAZQBkAFQAbwBQAGEAcwB0AHUAcgBlAFIAYQBuAGcAZQBBAG4AZABQAGEAZABkAG8AYwBrAF8AVABpAHQAbABlAFwAbgAgACAAPQBMAEEATQBCAEQAQQAoAFwAIgBUAG8AdABhAGwAIABuAGkAdAByAG8AZwBlAG4AIABlAHgAYwByAGUAdABlAGQAIAB0AG8AIABwAGEAcwB0AHUAcgBlACwAIAByAGEAbgBnAGUAIABhAG4AZAAgAHAAYQBkAGQAbwBjAGsAXAAiACkAOwBcAG4AXABuAFYARQBFAFIARwBfADQAXwAyAF8AMQBfADMAXwBfADIAXwBUAG8AdABhAGwATgBpAHQAcgBvAGcAZQBuAEUAeABjAHIAZQB0AGUAZABUAG8AUABhAHMAdAB1AHIAZQBSAGEAbgBnAGUAQQBuAGQAUABhAGQAZABvAGMAawBfAFYAYQByAGkAYQBiAGwAZQBcAG4AIAAgAD0ATABBAE0AQgBEAEEAKABcACIAQQBFAFwAIgApADsAXABuAFwAbgBWAEUARQBSAEcAXwA0AF8AMgBfADEAXwAzAF8AXwAyAF8AVABvAHQAYQBsAE4AaQB0AHIAbwBnAGUAbgBFAHgAYwByAGUAdABlAGQAVABvAFAAYQBzAHQAdQByAGUAUgBhAG4AZwBlAEEAbgBkAFAAYQBkAGQAbwBjAGsAXwBVAG4AaQB0AFwAbgAgACAAPQBMAEEATQBCAEQAQQAoAFwAIgBrAGcAIABOAFwAIgApADsAXABuAFwAbgBWAEUARQBSAEcAXwA0AF8AMgBfADEAXwAzAF8AXwAyAF8AVABvAHQAYQBsAE4AaQB0AHIAbwBnAGUAbgBFAHgAYwByAGUAdABlAGQAVABvAFAAYQBzAHQAdQByAGUAUgBhAG4AZwBlAEEAbgBkAFAAYQBkAGQAbwBjAGsAXwBTAG8AdQByAGMAZQBcAG4AIAAgAD0ATABBAE0AQgBEAEEAKABcACIAVgBFAEUAUgBHACAAMgAwADIANgA6ACAANAAuADIALgAxAC4AMwAsACAARQBxAHUAYQB0AGkAbwBuACAAKAAyACkAXAAiACkAOwBcAG4AXABuAFYARQBFAFIARwBfADQAXwAyAF8AMQBfADMAXwBfADIAXwBUAG8AdABhAGwATgBpAHQAcgBvAGcAZQBuAEUAeABjAHIAZQB0AGUAZABUAG8AUABhAHMAdAB1AHIAZQBSAGEAbgBnAGUAQQBuAGQAUABhAGQAZABvAGMAawBfAE4ASQBSAFIAZQBmAGUAcgBlAG4AYwBlAFwAbgAgACAAPQBMAEEATQBCAEQAQQAoAFwAIgBcACIAKQA7AFwAbgBcAG4AVgBFAEUAUgBHAF8ANABfADIAXwAxAF8AMwBfAF8AMgBfAFQAbwB0AGEAbABOAGkAdAByAG8AZwBlAG4ARQB4AGMAcgBlAHQAZQBkAFQAbwBQAGEAcwB0AHUAcgBlAFIAYQBuAGcAZQBBAG4AZABQAGEAZABkAG8AYwBrAF8ATABhAHQAZQB4AEUAcQB1AGEAdABpAG8AbgBcAG4AIAAgAD0ATABBAE0AQgBEAEEAKABcACIAQQBFAD0AXABcAHMAdQBtAF8AewBqAH0AXABcAHMAdQBtAF8AewBrAH0AXABcAHMAdQBtAF8AewBsAH0AKABOAF8AewBqAGsAbAB9AFwAXAB0AGkAbQBlAHMAIABOAEUAXwB7AGoAawBsAH0AXABcAHQAaQBtAGUAcwAgAEQAXwBqACkAXAAiACkAOwBcAG4AXABuAFYARQBFAFIARwBfADQAXwAyAF8AMQBfADMAXwBfADIAXwBUAG8AdABhAGwATgBpAHQAcgBvAGcAZQBuAEUAeABjAHIAZQB0AGUAZABUAG8AUABhAHMAdAB1AHIAZQBSAGEAbgBnAGUAQQBuAGQAUABhAGQAZABvAGMAawBfAEEAcgBnAHUAbQBlAG4AdABzAFwAbgAgACAAPQBMAEEATQBCAEQAQQAoAFwAbgAgACAAIAAgAE0AQQBLAEUAQQBSAFIAQQBZACgAMwAsACAAMgAsAFwAbgAgACAAIAAgACAAIABMAEEATQBCAEQAQQAoAHIALABjACwAXABuACAAIAAgACAAIAAgACAAIABJAE4ARABFAFgAKAB7AFwAbgAgACAAIAAgACAAIAAgACAAIAAgAFwAIgBOAF8AagBrAGwAXAAiACwAIABcACIAbgB1AG0AYgBlAHIAIABvAGYAIABiAGUAZQBmACAAYwBhAHQAdABsAGUAIABiAHkAIAB0AGkAbQBlAC0AcABlAHIAaQBvAGQALAAgAGMAbABhAHMAcwAgAGEAbgBkACAAcwB1AGIAYwBsAGEAcwBzACAAKABoAGUAYQBkACkAXAAiADsAXABuACAAIAAgACAAIAAgACAAIAAgACAAXAAiAE4ARQBfAGoAawBsAFwAIgAsACAAXAAiAG4AaQB0AHIAbwBnAGUAbgAgAGUAeABjAHIAZQB0AGUAZAAgAGkAbgAgAGUAYQBjAGgAIAB0AGkAbQBlAC0AcABlAHIAaQBvAGQALAAgAGIAeQAgAGUAYQBjAGgAIABjAGwAYQBzAHMAIABhAG4AZAAgAHMAdQBiAGMAbABhAHMAcwAgACgAawBnACAATgAvAGgAZQBhAGQALwBkAGEAeQApAFwAIgA7AFwAbgAgACAAIAAgACAAIAAgACAAIAAgAFwAIgBEAF8AagBcACIALAAgAFwAIgBuAHUAbQBiAGUAcgAgAG8AZgAgAGQAYQB5AHMAIABpAG4AIABlAGEAYwBoACAAdABpAG0AZQAtAHAAZQByAGkAbwBkACAAKABkAGEAeQBz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QAsACAAMg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DsAXABuACAAIAAgACAAIAAgACAAIAAgACAAXAAiAEMAUABfAGoAXAAiACwAIABcACIAYwByAHUAZABlACAAcAByAG8AdABlAGkAbgAgAGMAbwBuAHQAZQBuAHQAIABvAGYAIABkAHIAeQAgAG0AYQB0AHQAZQByACAAaQBuAHQAYQBrAGUAXAAiADsAXABuACAAIAAgACAAIAAgACAAIAAgACAAXAAiAE0AQwBfAGoAawAxADMANgBcACIALAAgAFwAIgBtAGkAbABrACAAaQBuAHQAYQBrAGUAIAAoAGsAZwAvAGgAZQBhAGQALwBkAGEAeQApAFwAIgA7AFwAbgAgACAAIAAgACAAIAAgACAAIAAgAFwAIgBOAFIAXwBqAGsAbABcACIALAAgAFwAIgB0AGgAZQAgAGEAbQBvAHUAbgB0ACAAbwBmACAAbgBpAHQAcgBvAGcAZQBuACAAcgBlAHQAYQBpAG4AZQBkACAAYgB5ACAAdABoAGUAIABiAG8AZAB5ACAAKABrAGcAIABOAC8AaABlAGEAZAAvAGQAYQB5ACkAXAAiADsAXABuACAAIAAgACAAIAAgACAAIAAgACAAXAAiAFcAXwBqAGsAbABcACIALAAgAFwAIgBsAGkAdgBlAHcAZQBpAGcAaAB0ACAAKABrAGcALwBoAGUAYQBk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MgAsAFwAbgAgACAAIAAgACAAIABMAEEATQBCAEQAQQAoAHIALABjACwAXABuACAAIAAgACAAIAAgACAAIABJAE4ARABFAFgAKAB7AFwAbgAgACAAIAAgACAAIAAgACAAIAAgAFwAIgBNAFAAXwBqAGsANQBcACIALAAgAFwAIgBtAGkAbABrACAAcAByAG8AZAB1AGMAdABpAG8AbgAgACgAawBnAC8AaABlAGEAZAAvAGQAYQB5ACkAXAAiADsAXABuACAAIAAgACAAIAAgACAAIAAgACAAXAAiAEwAXwBqAGsAbABcACIALAAgAFwAIgBpAG4AdABhAGsAZQAgAHIAZQBsAGEAdABpAHYAZQAgAHQAbwAgAHQAaABhAHQAIABuAGUAZQBkAGUAZAAgAGYAbwByACAAbQBhAGkAbgB0AGUAbgBhAG4AYwBlAFwAIgA7AFwAbgAgACAAIAAgACAAIAAgACAAIAAgAFwAIgBaAF8AagBrAGwAXAAiACwAIABcACIAcgBlAGwAYQB0AGkAdgBlACAAcwBpAHoAZQBcACIAOwBcAG4AIAAgACAAIAAgACAAIAAgACAAIABcACIATABXAEcAXwBqAGsAbABcACIALAAgAFwAIgBsAGkAdgBlAHcAZQBpAGcAaAB0ACAAZwBhAGkAbgAgACgAaw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Mg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7AFwAbgAgACAAIAAgACAAIAAgACAAIAAgAFwAIgBEAE0AUABfAGoAawA1AFwAIgAsACAAXAAiAGQAYQBpAGwAeQAgAG0AaQBsAGsAIABwAHIAbwBkAHUAYwB0AGkAbwBu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Mg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7AFwAbgAgACAAIAAgACAAIAAgACAAIAAgAFwAIgBEAE0AUABfAGoAawA1AGMAYQBsAHYAXAAiACwAIABcACIAZABhAGkAbAB5ACAAbQBpAGwAawAgAHAAcgBvAGQAdQBjAHQAaQBvAG4AIABmAG8AcgAgAHQAaABlACAAcwBlAGEAcwBvAG4AIABvAGYAIABjAGEAbAB2AGkAbgBnACAAKABrAGcALwBoAGUAYQBkAC8AZABhAHkAKQBcACIAOwBcAG4AIAAgACAAIAAgACAAIAAgACAAIABcACIARABNAFAAXwBqAGsANQBhAGYAdABlAHIAXAAiACwAIABcACIAZABhAGkAbAB5ACAAbQBpAGwAawAgAHAAcgBvAGQAdQBjAHQAaQBvAG4AIABmAG8AcgAgAHQAaABlACAAcwBlAGEAcwBvAG4AIABhAGYAdABlAHIAIABjAGEAbAB2AGkAbgBn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VwBfAGoAawBsAFwAIgAsACAAXAAiAGwAaQB2AGUAdwBlAGkAZwBoAHQAIAAoAGsAZwAvAGgAZQBhAGQ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MgAsAFwAbgAgACAAIAAgACAAIABMAEEATQBCAEQAQQAoAHIALABjACwAXABuACAAIAAgACAAIAAgACAAIABJAE4ARABFAFgAKAB7AFwAbgAgACAAIAAgACAAIAAgACAAIAAgAFwAIgBXAF8AagBrAGwAXAAiACwAIABcACIAbABpAHYAZQB3AGUAaQBnAGgAdAAgACgAawBnACkAXAAiADsAXABuACAAIAAgACAAIAAgACAAIAAgACAAXAAiAFMAUgBXAF8AawBcACIALAAgAFwAIgBzAHQAYQBuAGQAYQByAGQAIAByAGUAZgBlAHIAZQBuAGMAZQAgAHcAZQBpAGcAaAB0ACAAKABrAGcAKQBcACIAOwBcAG4AIAAgACAAIAAgACAAIAAgACAAIABcACIAaQBcACIALAAgAFwAIgBzAHQAYQB0AGU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I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AgACgAawBnACAATgApAFwAIgA7AFwAbgAgACAAIAAgACAAIAAgACAAIAAgAFwAIgBFAEYAXwBOADIATwBcACIALAAgAFwAIgBuAGkAdAByAG8AdQBzACAAbwB4AGkAZABlACAAZQBtAGkAcwBzAGkAbwBuACAAZgBhAGMAdABvAHIAIABmAG8AcgAgAGEAdABtAG8AcwBwAGgAZQByAGkAYwAgAGQAZQBwAG8AcwBpAHQAaQBvAG4AIAAoAGsAZwAgAE4AMgBPAC0ATgAvAGsAZwAgAE4AKQBcACIAOwBcAG4AIAAgACAAIAAgACAAIAAgACAAIABcACIAQwBfAE4AMgBPAFwAIgAsACAAXAAiAGYAYQBjAHQAbwByACAAdABvACAAYwBvAG4AdgBlAHIAdAAgAGUAbABlAG0AZQBuAHQAYQBsACAAbQBhAHMAcwAgAG8AZgAgAE4AMgBPACAAdABvACAAbQBvAGwAZQBjAHUAbABhAHIAIABtAGEAcwBzAFwAIgA7AFwAbgAgACAAIAAgACAAIAAgACAAIAAgAFwAIgBqAFwAIgAsACAAXAAiAHAAcgBvAGQAdQBjAHQAaQBvAG4AIABzAHkAcwB0AGUAbQBcACIAOwBcAG4AIAAgACAAIAAgACAAIAAgACAAIABcACIAaQBcACIALAAgAFwAIgBpAHIAcgBpAGcAYQB0AGkAbwBuACAAbQBlAHQAaABvAGQAXAAiADsAXABuACAAIAAgACAAIAAgACAAIAAgACAAXAAiAHIAXAAiACwAIABcACIAcgBhAGkAbgBmAGEAbABsACAAegBvAG4AZQ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I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IAAoAGsAZwAgAE4AKQBcACIAOwBcAG4AIAAgACAAIAAgACAAIAAgACAAIABcACIARQBGAF8AbABlAGEAYwBoAFwAIgAsACAAXAAi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XAGUAdABcACIALAAgAFwAIgBmAHIAYQBjAHQAaQBvAG4AIABvAGYAIABOACAAYQB2AGEAaQBsAGEAYgBsAGUAIABmAG8AcgAgAGwAZQBhAGMAaABpAG4AZwAgAGEAbgBkACAAcgB1AG4AbwBmAGYAXAAiADsAXABuACAAIAAgACAAIAAgACAAIAAgACAAXAAiAEYAcgBhAGMATABFAEEAQwBIAFwAIgAsACAAXAAiAGYAcgBhAGMAdABpAG8AbgAgAG8AZgAgAGEAbABsACAATgAgAHQAaABhAHQAIABpAHMAIABsAG8AcwB0ACAAdABoAHIAbwB1AGcAaAAgAGwAZQBhAGMAaABpAG4AZwAgAGEAbgBkACAAcgB1AG4AbwBmAGYAXAAiADsAXABuACAAIAAgACAAIAAgACAAIAAgACAAXAAiAHoAXAAiACwAIABcACIAbABvAGMAYQB0AGkAbwBuACAAaQBuACAAbABlAGEAYwBoAGkAbgBnACAAegBvAG4AZQBcACIAOwBcAG4AIAAgACAAIAAgACAAIAAgACAAIABcACIAagBcACIALAAgAFwAIgBwAHIAbwBkAHUAYwB0AGkAbwBuACAAcwB5AHMAdABlAG0AXAAiADsAXABuACAAIAAgACAAIAAgACAAIAAgACAAXAAiAGkAcgBcACIALAAgAFwAIgBpAHIAcgBpAGcAYQB0AGkAbwBuACAAbQBlAHQAaABvAGQAXAAiAFwAbgAgACAAIAAgACAAIAAgACAAfQAsACAAcgAsACAAYwApAFwAbgAgACAAIAAgACAAIAApAFwAbgAgACAAIAAgACkAXABuACAAIAApADsAXABuAFwAbg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BAGQAZABlAGQAIAAnAFMAdQBjAGsAZQByAHMAJwAsACAAJwBXAGUAYQBuAGUAcgBzACcAIABhAG4AZAAgACcARwByAG8AdwBlAHIAcwAnACAAYwBsAGEAcwBzAGUAcwAgAHcAaABpAGMAaAAgAGgAYQB2AGUAIAB0AGgAZQAgAHMAYQBtAGUAIAB2AGEAbAB1AGUAcwAgAGEAcwAgACcAUwBsAGEAdQBnAGgAdABlAHIAIABwAGkAZwBzACcALgBcACIAKQA7AFwAbgBcAG4AUwBvAHUAcgBjAGUARABhAHQAYQBfAFMAdwBpAG4AZQBfAFYAbwBsAGEAdABpAGwAZQBTAG8AbABpAGQAcwBfAEQAYQB0AGEAXABuACAAIAA9AEwAQQBNAEIARABBACgAXABuACAAIAAgACAATQBBAEsARQBBAFIAUgBBAFkAKAA4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TAGwAYQB1AGcAaAB0AGUAcgAgAHAAaQBnAHMAXAAiACwAIAAwAC4AMwA5ADsAXABuACAAIAAgACAAIAAgACAAIAAgACAAXAAiAFMAdQBjAGsAZQByAHMAXAAiACwAIAAwAC4AMwA5ADsAXABuACAAIAAgACAAIAAgACAAIAAgACAAXAAiAFcAZQBhAG4AZQByAHMAXAAiACwAIAAwAC4AMwA5ADsAXABuACAAIAAgACAAIAAgACAAIAAgACAAXAAiAEcAcgBvAHc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BMg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A8ACAAMQAgAG0AbwBuAHQAaAAgACgAcABpAHQAIABzAHQAbwByAGEAZwBlACkAXAAiACwAIAAwAC4AMAAzACwAIAAwAC4AMAAzACwAIAAwAC4AMAAzACwAIAAwAC4AMAAzACwAIAAwAC4AMAAzACwAIAAwAC4AMAAzACwAIAAwAC4AMAAzACwAIAAwAC4AMAAzACwAIABcACIAUABpAHQAIABzAHQAbwByAGEAZwBlAFwAIgA7ACA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UAByAG8AZAB1AGMAdABpAG8AbgBTAHkAcwB0AGUAbQBzAFwAbgA0AC4ANQAgAFMAdwBpAG4AZQAgAEYAaQBnAHUAcgBlACAANAAuADgAXABuAC0ALQAtAC0ALQAtAC0ALQAtAC0ALQAtAC0ALQAtAC0ALQAtAC0ALQAtAC0ALQAtAC0ALQAtAC0ALQAtAC0ALQAtAC0ALQAtAC0ALQBcAG4AKgAvAFwAbgBcAG4AUwBvAHUAcgBjAGUARABhAHQAYQBfAFMAdwBpAG4AZQBfAFAAcgBvAGQAdQBjAHQAaQBvAG4AUwB5AHMAdABlAG0AcwBfAFQAaQB0AGwAZQBcAG4AIAAgAD0ATABBAE0AQgBEAEEAKABcACIAUwB3AGkAbgBlACAAcAByAG8AZAB1AGMAdABpAG8AbgAgAHMAeQBzAHQAZQBtAHMAXAAiACkAOwBcAG4AXABuAFMAbwB1AHIAYwBlAEQAYQB0AGEAXwBTAHcAaQBuAGUAXwBQAHIAbwBkAHUAYwB0AGkAbwBuAFMAeQBzAHQAZQBtAHMAXwBVAG4AaQB0AFwAbgAgACAAPQBMAEEATQBCAEQAQQAoAFwAIgBcACIAKQA7AFwAbgBcAG4AUwBvAHUAcgBjAGUARABhAHQAYQBfAFMAdwBpAG4AZQBfAFAAcgBvAGQAdQBjAHQAaQBvAG4AUwB5AHMAdABlAG0AcwBfAFMAbwB1AHIAYwBlAFwAbgAgACAAPQBMAEEATQBCAEQAQQAoAFwAIgBWAEUARQBSAEcAIAAyADAAMgA2ADoAIAA0AC4ANQAgAFMAdwBpAG4AZQAgAEYAaQBnAHUAcgBlACAANAAuADgAXAAiACkAOwBcAG4AXABuAFMAbwB1AHIAYwBlAEQAYQB0AGEAXwBTAHcAaQBuAGUAXwBQAHIAbwBkAHUAYwB0AGkAbwBuAFMAeQBzAHQAZQBtAHMAXwBWAGEAcgBpAGEAdABpAG8AbgBcAG4AIAAgAD0ATABBAE0AQgBEAEEAKABcACIAXAAiACkAOwBcAG4AXABuAFMAbwB1AHIAYwBlAEQAYQB0AGEAXwBTAHcAaQBuAGU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DAG8AbgB2AGUAbgB0AGkAbwBuAGEAbAAgAGgAbwB1AHMAaQBuAGcAXAAiADsAXABuACAAIAAgACAAIAAgACAAIAAgACAAXAAiAEQAZQBlAHAAIABsAGkAdAB0AGUAcgAgAGgAbwB1AHMAaQBuAGcAXAAiADsAXABuACAAIAAgACAAIAAgACAAIAAgACAAXAAiAE8AdQB0AGQAbwBvAHIALwBmAHIAZQBlACAAcgBhAG4AZwBlAFwAIgBcAG4AIAAgACAAIAAgACAAIAAgAH0ALAAgAHIALAAgAGMAKQBcAG4AIAAgACAAIAAgACAAKQBcAG4AIAAgACAAIAApAFwAbgAgACAAKQA7AFwAbgAiAH0ALAB7ACIAcABhAHQAaAAiADoAIgAvAHAAcgBvAGoAZQBjAHQAcwAvAEUAbgB0AGUAcgBpAGMATQBlAHQAaABhAG4AZQBfAFMAdwBpAG4AZQBfAEUAcQB1AGEAdABpAG8AbgBzACIALAAiAHQAZQB4AHQAIgA6ACI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IALABcAG4AIAAgACAAIAAgACAATABBAE0AQgBEAEEAKAByACwAYwAsAFwAbgAgACAAIAAgACAAIAAgACAASQBOAEQARQBYACgAewBcAG4AIAAgACAAIAAgACAAIAAgACAAIABcACIARABqAFwAIgAsAFwAIgBsAGUAbgBnAHQAaAAgAG8AZgAgAHMAdABhAHkAIABvAGYAIABlAGEAYwBoACAAYwBsAGEAcwBzACAAbwBmACAAcwB3AGkAbgBlACAAOgAgAGQAYQB5AHMAXAAiADsAXABuACAAIAAgACAAIAAgACAAIAAgACAAXAAiAE0AbQBqAFwAIgAsAFwAIgBtAGUAdABoAGEAbgBlACAAcAByAG8AZAB1AGMAdABpAG8AbgAgAGYAcgBvAG0AIABtAGEAbgB1AHIAZQAgAGkAbgAgAGUAYQBjAGgAIABzAHcAaQBuAGUAIABjAGwAYQBzAHMAIAA6ACAAawBnACAAQwBIADQALwBoAGUAYQBkAC8AZABhAHkAXAAiADsAXABuACAAIAAgACAAIAAgACAAIAAgACAAXAAiAE4AagBcACIALABcACIAbgB1AG0AYgBlAHIAcwAgAG8AZgAgAHMAdwBpAG4AZQAgAGkAbgAgAGUAYQBjAGgAIABjAGwAYQBzAHMAIAA6ACAAaABlAGEAZ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I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IAA6ACAAawBnACAAQwBIADQALwBoAGUAYQBkAC8AZABhAH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Mg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CAAOgAgAGsAZwAvAGgAZQBhAGQALwBkAGEAeQBcACIAOwBcAG4AIAAgACAAIAAgACAAIAAgACAAIABcACIARgBWAFMAagBtAFQAMQBcACIALABcACIAZgByAGEAYwB0AGkAbwBuACAAbwBmACAAdgBvAGwAYQB0AGkAbABlACAAcwBvAGwAaQBkAHMAIABpAG4AIABlAGEAYwBoACAAcAByAGkAbQBhAHIAeQAgAHMAeQBzAHQAZQBtACAAOgAgAGYAcgBhAGMAdABpAG8AbgBcACIAOwBcAG4AIAAgACAAIAAgACAAIAAgACAAIABcACIATQBDAEYAaQBtAFwAIgAsAFwAIgBtAGUAdABoAGEAbgBlACAAYwBvAG4AdgBlAHIAcwBpAG8AbgAgAGYAYQBjAHQAbwByACAAZgBvAHIAIAB0AGUAbQBwAGUAcgBhAHQAZQAgAHoAbwBuAGUAIABhAG4AZAAgAHMAeQBzAHQAZQBtACAAOgAgAGYAcgBhAGMAdABpAG8AbgBcACIAOwBcAG4AIAAgACAAIAAgACAAIAAgACAAIABcACIAQgBPAFwAIgAsAFwAIgBlAG0AaQBzAHMAaQBvAG4AcwAgAHAAbwB0AGUAbgB0AGkAYQBsACAAOgAgAG0AMwAgAEMASAA0AC8AawBnACAAVgBTAFwAIgA7AFwAbgAgACAAIAAgACAAIAAgACAAIAAgAFwAIgByAGgAbwBcACIALABcACIAZABlAG4AcwBpAHQAeQAgAG8AZgAgAG0AZQB0AGgAYQBuAGUAIAA6ACAAawBnAC8AbQAz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QAXwBGAHIAYQBjAHQAaQBvAG4AVgBvAGwAYQB0AGkAbABlAFMAbwBsAGkAZABzAFAAcgBpAG0AYQByAHkAUwB5AHMAdABlAG0AXABuAEYAcgBhAGMAdABpAG8AbgAgAG8AZgAgAHYAbwBsAGEAdABpAGwAZQAgAHMAbwBsAGkAZABzACAAaQBuACAAZQBhAGMAaAAgAHAAcgBpAG0AYQByAHkAIABzAHkAcwB0AGUAbQAgAG8AdABoAGUAcgAgAHQAaABhAG4AIABzAG8AbABpAGQAIABzAHQAbwByAGEAZwBlAFwAbgBGAFYAUwBqAG0AVAAxAFwAbgBmAHIAYQBjAHQAaQBvAG4AXABuAEYAVgBTAF8AewBqAG0ALABUAD0AMQB9AD0ATQBNAFMAXwB7AGoAbQAsAFQAPQAxAH0AXABcAHQAaQBtAGUAcwAoADEALQBTAFMAXwB7AG0AfQApAFwAbgBNAE0AUwBqAG0AVAAxACAAPQAgAGYAcgBhAGMAdABpAG8AbgAgAG8AZgAgAG0AYQBuAHUAcgBlACAAdABvACAAZQBhAGMAaAAgAHAAcgBpAG0AYQByAHkAIABNAE0AUwAgAGYAbwByACAAZQBhAGMAaAAgAGMAbABhAHMAcwAgAHAAcgBpAG8AcgAgAHQAbwAgAHMAbwBsAGkAZAAgAHMAZQBwAGEAcgBhAHQAaQBvAG4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0AF8ARgByAGEAYwB0AGkAbwBuAFYAbwBsAGEAdABpAGwAZQBTAG8AbABpAGQAcwBQAHIAaQBtAGEAcgB5AFMAeQBzAHQAZQBtAFwAbgAgACAAPQBMAEEATQBCAEQAQQAoAFwAbgAgACAAIAAgAE0ATQBTAGoAbQBUADEALAAgAFMAUwBtACwAXABuACAAIAAgACAATABFAFQAKABcAG4AIAAgACAAIAAgACAAcwBzAG0ALAAgAEkARgAoAEkAUwBOAFUATQBCAEUAUgAoAFMAUwBtACkALAAgAFMAUwBtACwAIAAwACkALABcAG4AIAAgACAAIAAgACAATQBNAFMAagBtAFQAMQAgACoAIAAoADEAIAAtACAAcwBzAG0AKQBcAG4AIAAgACAAIA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Mg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CAAOgAgAGYAcgBhAGMAdABpAG8AbgBcACIAOwBcAG4AIAAgACAAIAAgACAAIAAgACAAIABcACIAUwBTAG0AXAAiACwAXAAiAGYAcgBhAGMAdABpAG8AbgAgAG8AZgAgAHYAbwBsAGEAdABpAGwAZQAgAHMAbwBsAGkAZABzACAAcwBlAHAAYQByAGEAdABlAGQAIAB0AG8AIABzAG8AbABpAGQAIABzAHQAbwByAGEAZwBlACAAZgBvAHIAIABlAGEAYwBoACAATQBNAFMAIAA6ACAAZgByAGEAYwB0AGkAbwBuAFwAIgBcAG4AIAAgACAAIAAgACAAIAAgAH0ALAAgAHIALAAgAGMAKQBcAG4AIAAgACAAIAAgACAAKQBcAG4AIAAgACAAIAApAFwAbgAgACAAKQA7AFwAbgBcAG4AVgBFAEUAUgBHAF8ANABfADUAXwAxAF8AMQBfAF8ANABfAEYAcgBhAGMAdABpAG8AbgBWAG8AbABhAHQAaQBsAGUAUwBvAGwAaQBkAHMAUAByAGkAbQBhAHIAeQBTAHkAcwB0AGUAbQBfAFYAYQByAGkAYQB0AGkAbwBuAFwAbgAgACAAPQBMAEEATQBCAEQAQQAoAFwAIgBWAEEAUgBJAEEAVABJAE8ATgAgAE8ATgAgAFMATwBVAFIAQwBFADoAIABBAGQAZABlAGQAIABjAGgAZQBjAGsAIAB0AG8AIABjAG8AbgB2AGUAcgB0ACAAJwBOAC8AQQAnACAAdgBhAGwAdQBlACAAdABvACAAegBlAHIAbwAu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ABFAFQAKABcAG4AIAAgACAAIAAgACAATQBNAFMAagBtADQAVAAxACwAIABJAEYAKABJAFMATgBVAE0AQgBFAFIAKABNAE0AUwBqAG0ANABUADEAKQAsACAATQBNAFMAagBtADQAVAAxACwAIAAwACkALABcAG4AIAAgACAAIAAgACAATQBNAFMAagBtADEANwA5AFQAMQAsACAASQBGACgASQBTAE4AVQBNAEIARQBSACgATQBNAFMAagBtADEANwA5AFQAMQApACwAIABNAE0AUwBqAG0AMQA3ADkAVAAxACwAIAAwACkALABcAG4AIAAgACAAIAAgACAAUwBTAG0ALAAgAEkARgAoAEkAUwBOAFUATQBCAEUAUgAoAFMAUwBtACkALAAgAFMAUwBtACwAIAAwACkALABcAG4AIAAgACAAIAAgACAATQBNAFMAagBtADQAVAAxACAAKwAgACgATQBNAFMAagBtADEANwA5AFQAMQAgACoAIABTAFMAbQApAFwAbgAgACAAIAAgACkAXABuACAAIAAgACA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EwARQBUACgAXABuACAAIAAgACAAIAAgAE0ATQBTAGoAbQA0AFQAMQAsACAASQBGACgASQBTAE4AVQBNAEIARQBSACgATQBNAFMAagBtADQAVAAxACkALAAgAE0ATQBTAGoAbQA0AFQAMQAsACAAMAApACwAXABuACAAIAAgACAAIAAgAE0ATQBTAGoAbQBUADEAXwAxACwAIABJAEYAKABJAFMATgBVAE0AQgBFAFIAKABNAE0AUwBqAG0AVAAxAF8AMQApACwAIABNAE0AUwBqAG0AVAAxAF8AMQAsACAAMAApACwAXABuACAAIAAgACAAIAAgAE0ATQBTAGoAbQBUADEAXwAyACwAIABJAEYAKABJAFMATgBVAE0AQgBFAFIAKABNAE0AUwBqAG0AVAAxAF8AMgApACwAIABNAE0AUwBqAG0AVAAxAF8AMgAsACAAMAApACwAXABuACAAIAAgACAAIAAgAE0ATQBTAGoAbQBUADEAXwAzACwAIABJAEYAKABJAFMATgBVAE0AQgBFAFIAKABNAE0AUwBqAG0AVAAxAF8AMwApACwAIABNAE0AUwBqAG0AVAAxAF8AMwAsACAAMAApACwAXABuACAAIAAgACAAIAAgAE0ATQBTAGoAbQBUADEAXwA0ACwAIABJAEYAKABJAFMATgBVAE0AQgBFAFIAKABNAE0AUwBqAG0AVAAxAF8ANAApACwAIABNAE0AUwBqAG0AVAAxAF8ANAAsACAAMAApACwAXABuACAAIAAgACAAIAAgAE0ATQBTAGoAbQBUADEAXwA1ACwAIABJAEYAKABJAFMATgBVAE0AQgBFAFIAKABNAE0AUwBqAG0AVAAxAF8ANQApACwAIABNAE0AUwBqAG0AVAAxAF8ANQAsACAAMAApACwAXABuACAAIAAgACAAIAAgAFMAUwBqAG0AVAAxAF8AMQAsACAASQBGACgASQBTAE4AVQBNAEIARQBSACgAUwBTAGoAbQBUADEAXwAxACkALAAgAFMAUwBqAG0AVAAxAF8AMQAsACAAMAApACwAXABuACAAIAAgACAAIAAgAFMAUwBqAG0AVAAxAF8AMgAsACAASQBGACgASQBTAE4AVQBNAEIARQBSACgAUwBTAGoAbQBUADEAXwAyACkALAAgAFMAUwBqAG0AVAAxAF8AMgAsACAAMAApACwAXABuACAAIAAgACAAIAAgAFMAUwBqAG0AVAAxAF8AMwAsACAASQBGACgASQBTAE4AVQBNAEIARQBSACgAUwBTAGoAbQBUADEAXwAzACkALAAgAFMAUwBqAG0AVAAxAF8AMwAsACAAMAApACwAXABuACAAIAAgACAAIAAgAFMAUwBqAG0AVAAxAF8ANAAsACAASQBGACgASQBTAE4AVQBNAEIARQBSACgAUwBTAGoAbQBUADEAXwA0ACkALAAgAFMAUwBqAG0AVAAxAF8ANAAsACAAMAApACwAXABuACAAIAAgACAAIAAgAFMAUwBqAG0AVAAxAF8ANQAsACAASQBGACgASQBTAE4AVQBNAEIARQBSACgAUwBTAGoAbQBUADEAXwA1ACkALAAgAFMAUwBqAG0AVAAxAF8ANQAsACAAMAApACwAXABuACAAIAAgACAAIAAgAE0ATQBTAGoAbQA0AFQAMQAgACsAIABcAG4AIAAgACAAIAAgACAAKABNAE0AUwBqAG0AVAAxAF8AMQAgACoAIABTAFMAagBtAFQAMQBfADEAKQAgACsAIABcAG4AIAAgACAAIAAgACAAKABNAE0AUwBqAG0AVAAxAF8AMgAgACoAIABTAFMAagBtAFQAMQBfADIAKQAgACsAIABcAG4AIAAgACAAIAAgACAAKABNAE0AUwBqAG0AVAAxAF8AMwAgACoAIABTAFMAagBtAFQAMQBfADMAKQAgACsAXABuACAAIAAgACAAIAAgACgATQBNAFMAagBtAFQAMQBfADQAIAAqACAAUwBTAGoAbQBUADEAXwA0ACkAIAArAFwAbgAgACAAIAAgACAAIAAoAE0ATQBTAGoAbQBUADEAXwA1ACAAKgAgAFMAUwBqAG0AVAAxAF8ANQApAFwAbgAgACAAIAAg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I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IAA6ACAAZgByAGEAYwB0AGkAbwBuAFwAIgA7AFwAbgAgACAAIAAgACAAIAAgACAAIAAgAFwAIgBNAE0AUwBqAG0AMQA3ADkAVAAxAFwAIgAsAFwAIgBmAHIAYQBjAHQAaQBvAG4AIABvAGYAIABtAGEAbgB1AHIAZQAgAGkAbgAgAE0ATQBTACAAMQAsACAANwAsACAAYQBuAGQAIAA5ACAAaQBuACAAdAByAGUAYQB0AG0AZQBuAHQAIABzAHQAYQBnAGUAIAAxACAAOgAgAGYAcgBhAGMAdABpAG8AbgBcACIAOwBcAG4AIAAgACAAIAAgACAAIAAgACAAIABcACIAUwBTAG0AXAAiACwAXAAiAGYAcgBhAGMAdABpAG8AbgAgAG8AZgAgAHYAbwBsAGEAdABpAGwAZQAgAHMAbwBsAGkAZABzACAAcwBlAHAAYQByAGEAdABlAGQAIAB0AG8AIABzAG8AbABpAGQAIABzAHQAbwByAGEAZwBlACAAZgBvAHIAIABlAGEAYwBoACAATQBNAFMAIAA6ACAAZgByAGEAYwB0AGkAbwBu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I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AgADoAIABrAGcALwBoAGUAYQBkAC8AZABhAHkAXAAiADsAXABuACAAIAAgACAAIAAgACAAIAAgACAAXAAiAEIATwBcACIALABcACIAZQBtAGkAcwBzAGkAbwBuAHMAIABwAG8AdABlAG4AdABpAGEAbAAgADoAIABtADMAIABDAEgANAAvAGsAZwAgAFYAUwBcACIAOwBcAG4AIAAgACAAIAAgACAAIAAgACAAIABcACIATQBNAFMAagBtAFQAMgBcACIALABcACIAZgByAGEAYwB0AGkAbwBuACAAbwBmACAAbQBhAG4AdQByAGUAIABpAG4AIABlAGEAYwBoACAAcwBlAGMAbwBuAGQAYQByAHkAIABzAHkAcwB0AGUAbQAgADoAIABmAHIAYQBjAHQAaQBvAG4AXAAiADsAXABuACAAIAAgACAAIAAgACAAIAAgACAAXAAiAE0AQwBGAGkAbQBcACIALABcACIAbQBlAHQAaABhAG4AZQAgAGMAbwBuAHYAZQByAHMAaQBvAG4AIABmAGEAYwB0AG8AcgAgAGYAbwByACAAdABlAG0AcABlAHIAYQB0AGUAIAB6AG8AbgBlACAAYQBuAGQAIABzAHkAcwB0AGUAbQAgADoAIABmAHIAYQBjAHQAaQBvAG4AXAAiADsAXABuACAAIAAgACAAIAAgACAAIAAgACAAXAAiAHIAaABvAFwAIgAsAFwAIgBkAGUAbgBzAGkAdAB5ACAAbwBmACAAbQBlAHQAaABhAG4AZQAgADoAIABrAGcALwBtADMAXAAiADsAXABuACAAIAAgACAAIAAgACAAIAAgACAAXAAiAGkAXAAiACw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3AF8AVgBvAGwAYQB0AGkAbABlAFMAbwBsAGkAZABzAFQAcgBhAG4AcwBmAGUAcgByAGUAZABTAHQAYQBnAGUAMgBcAG4AVgBvAGwAYQB0AGkAbABlACAAcwBvAGwAaQBkAHMAIAB0AHIAYQBuAHMAZgBlAHIAcgBlAGQAIAB0AG8AIAB0AHIAZQBhAHQAbQBlAG4AdAAgAHMAdABhAGcAZQAgADIAIABNAE0AUwBcAG4AVgBTAFQAaQBqAG0AVAAyAFwAbgBrAGcAIABWAFMAXABuAFYAUwBUAF8AewBpAGoAbQAsAFQAPQAyAH0APQBWAFMAXwB7AGoAfQBcAFwAdABpAG0AZQBzACAARgBWAFMAXwB7AGoAbQAsAFQAPQAxAH0AXABcAHQAaQBtAGUAcwAoADEALQBWAFMATABfAHsAbQAsAFQAPQAxAH0AKQ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WAFMATA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UAXwAxAF8AMQBfAF8ANwBfAFYAbwBsAGEAdABpAGwAZQBTAG8AbABpAGQAcwBUAHIAYQBuAHMAZgBlAHIAcgBlAGQAUwB0AGEAZwBlADIAXABuACAAIAA9AEwAQQBNAEIARABBACgAXABuACAAIAAgACAAVgBTAGoALAAgAEYAVgBTAGoAbQBUADEALAAgAFYAUwBMAG0AVAAxACwAXABuACAAIAAgACAAVgBTAGoAIAAqACAARgBWAFMAagBtAFQAMQAgACoAIAAoADEAIAAtACAAVgBTAEwAbQBUADEAKQBcAG4AIAAgACkAOwBcAG4AXABuAFYARQBFAFIARwBfADQAXwA1AF8AMQBfADEAXwBfADcAXwBWAG8AbABhAHQAaQBsAGUAUwBvAGwAaQBkAHMAVAByAGEAbgBzAGYAZQByAHIAZQBkAFMAdABhAGcAZQAyAF8AVABpAHQAbABlAFwAbgAgACAAPQBMAEEATQBCAEQAQQAoAFwAIgBWAG8AbABhAHQAaQBsAGUAIABzAG8AbABpAGQAcwAgAHQAcgBhAG4AcwBmAGUAcgByAGUAZAAgAHQAbwAgAHQAcgBlAGEAdABtAGUAbgB0ACAAcwB0AGEAZwBlACAAMgAgAE0ATQBTAFwAIgApADsAXABuAFwAbgBWAEUARQBSAEcAXwA0AF8ANQBfADEAXwAxAF8AXwA3AF8AVgBvAGwAYQB0AGkAbABlAFMAbwBsAGkAZABzAFQAcgBhAG4AcwBmAGUAcgByAGUAZABTAHQAYQBnAGUAMgBfAFYAYQByAGkAYQBiAGwAZQBcAG4AIAAgAD0ATABBAE0AQgBEAEEAKABcACIAVgBTAFQAaQBqAG0AVAAyAFwAIgApADsAXABuAFwAbgBWAEUARQBSAEcAXwA0AF8ANQBfADEAXwAxAF8AXwA3AF8AVgBvAGwAYQB0AGkAbABlAFMAbwBsAGkAZABzAFQAcgBhAG4AcwBmAGUAcgByAGUAZABTAHQAYQBnAGUAMgBfAFUAbgBpAHQAXABuACAAIAA9AEwAQQBNAEIARABBACgAXAAiAGsAZwAgAFYAUwBcACIAKQA7AFwAbgBcAG4AVgBFAEUAUgBHAF8ANABfADUAXwAxAF8AMQBfAF8ANwBfAFYAbwBsAGEAdABpAGwAZQBTAG8AbABpAGQAcwBUAHIAYQBuAHMAZgBlAHIAcgBlAGQAUwB0AGEAZwBlADIAXwBTAG8AdQByAGMAZQBcAG4AIAAgAD0ATABBAE0AQgBEAEEAKABcACIAVgBFAEUAUgBHACAAMgAwADIANgA6ACAANAAuADUALgAxAC4AMQAsACAARQBxAHUAYQB0AGkAbwBuACAAKAA3ACkAXAAiACkAOwBcAG4AXABuAFYARQBFAFIARwBfADQAXwA1AF8AMQBfADEAXwBfADcAXwBWAG8AbABhAHQAaQBsAGUAUwBvAGwAaQBkAHMAVAByAGEAbgBzAGYAZQByAHIAZQBkAFMAdABhAGcAZQAyAF8ATgBJAFIAUgBlAGYAZQByAGUAbgBjAGUAXABuACAAIAA9AEwAQQBNAEIARABBACgAXAAiAFwAIgApADsAXABuAFwAbgBWAEUARQBSAEcAXwA0AF8ANQBfADEAXwAxAF8AXwA3AF8AVgBvAGwAYQB0AGkAbABlAFMAbwBsAGkAZABzAFQAcgBhAG4AcwBmAGUAcgByAGUAZABTAHQAYQBnAGUAMgBfAEwAYQB0AGUAeABFAHEAdQBhAHQAaQBvAG4AXABuACAAIAA9AEwAQQBNAEIARABBACgAXAAiAFYAUwBUAF8AewBpAGoAbQAsAFQAPQAyAH0APQBWAFMAXwB7AGoAfQBcAFwAdABpAG0AZQBzACAARgBWAFMAXwB7AGoAbQAsAFQAPQAxAH0AXABcAHQAaQBtAGUAcwAoADEALQBWAFMATABfAHsAbQAsAFQAPQAxAH0AKQBcACIAKQA7AFwAbgBcAG4AVgBFAEUAUgBHAF8ANABfADUAXwAxAF8AMQBfAF8ANwBfAFYAbwBsAGEAdABpAGwAZQBTAG8AbABpAGQAcwBUAHIAYQBuAHMAZgBlAHIAcgBlAGQAUwB0AGEAZwBlADIAXwBBAHIAZwB1AG0AZQBuAHQAcwBcAG4AIAAgAD0ATABBAE0AQgBEAEEAKABcAG4AIAAgACAAIABNAEEASwBFAEEAUgBSAEEAWQAoADMALAAgADI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AgADoAIABrAGcALwBoAGUAYQBkAC8AZABhAHkAXAAiADsAXABuACAAIAAgACAAIAAgACAAIAAgACAAXAAiAEYAVgBTAGoAbQBUADEAXAAiACwAXAAiAGYAcgBhAGMAdABpAG8AbgAgAG8AZgAgAHYAbwBsAGEAdABpAGwAZQAgAHMAbwBsAGkAZABzACAAaQBuACAAZQBhAGMAaAAgAHAAcgBpAG0AYQByAHkAIABzAHkAcwB0AGUAbQAgADoAIABmAHIAYQBjAHQAaQBvAG4AXAAiADsAXABuACAAIAAgACAAIAAgACAAIAAgACAAXAAiAFYAUwBMAG0AVAAxAFwAIgAsAFwAIgBmAHIAYQBjAHQAaQBvAG4AIABvAGYAIAB2AG8AbABhAHQAaQBsAGUAIABzAG8AbABpAGQAcwAgAGwAbwBzAHQAIABkAHUAcgBpAG4AZwAgAHMAdABvAHIAYQBnAGUAIABpAG4AIAB0AGgAZQAgAHAAcgBpAG0AYQByAHkAIABzAHkAcwB0AGUAbQAgADoAIABmAHIAYQBjAHQAaQBvAG4AXAAiAFwAbgAgACAAIAAgACAAIAAgACAAfQAsACAAcgAsACAAYwApAFwAbgAgACAAIAAgACAAIAApAFwAbgAgACAAIAAgACkAXABuACAAIA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JAG4AcAB1AHQARgB1AG4AYwB0AGkAbwBuAHMAXwBQAGEAcwB0AHUAcgBlAEIAZQBlAGYALgBMAG8AbwBrAHUAcABMAGkAdgBlAHcAZQBpAGcAaAB0AEYAcgBvAG0AUwBlAGEAcwBvAG4AIgAsACIASQBuAHAAdQB0AEYAdQBuAGMAdABpAG8AbgBzAF8AUABhAHMAdAB1AHIAZQBCAGUAZQBmAC4ATABvAG8AawB1AHAATABpAHYAZQB3AGUAaQBnAGgAdABGAHIAbwBtAE0AbwBuAHQAaAAiACwAIgBJAG4AcAB1AHQARgB1AG4AYwB0AGkAbwBuAHMAXwBQAGEAcwB0AHUAcgBlAEIAZQBlAGYALgBDAG8AbgB2AGUAcgB0AE0AbwBuAHQAaABsAHkAQwBhAGwAdgBpAG4AZwBUAG8AUwBlAGEAcwBvAG4AIgAsACIATQBNAFMAXwBQAGEAcwB0AHUAcgBlAEIAZQBlAGYAXwBTAG8AaQBsAF8ATgAyAE8ARABpAHIAZQBjAHQAXwBFAHEAdQBhAHQAaQBvAG4AcwAuAFYARQBFAFIARwBfADQAXwAyAF8AMQBfADMAXwBfADEAXwBEAGkAcgBlAGMAdABOAGkAdAByAG8AdQBzAE8AeABpAGQAZQBFAG0AaQBzAHMAaQBvAG4AcwBPAG4AUABhAHMAdAB1AHIAZQAiACwAIgBNAE0AUwBfAFAAYQBzAHQAdQByAGUAQgBlAGUAZgBfAFMAbwBpAGwAXwBOADIATwBEAGkAcgBlAGMAdABfAEUAcQB1AGEAdABpAG8AbgBzAC4AVgBFAEUAUgBHAF8ANABfADIAXwAxAF8AMwBfAF8AMQBfAEQAaQByAGUAYwB0AE4AaQB0AHIAbwB1AHMATwB4AGkAZABlAEUAbQBpAHMAcwBpAG8AbgBzAE8AbgBQAGEAcwB0AHUAcgBlAF8AVABpAHQAbABlACIALAAiAE0ATQBTAF8AUABhAHMAdAB1AHIAZQBCAGUAZQBmAF8AUwBvAGkAbABfAE4AMgBPAEQAaQByAGUAYwB0AF8ARQBxAHUAYQB0AGkAbwBuAHMALgBWAEUARQBSAEcAXwA0AF8AMgBfADEAXwAzAF8AXwAxAF8ARABpAHIAZQBjAHQATgBpAHQAcgBvAHUAcwBPAHgAaQBkAGUARQBtAGkAcwBzAGkAbwBuAHMATwBuAFAAYQBzAHQAdQByAGUAXwBWAGEAcgBpAGEAYgBsAGUAIgAsACIATQBNAFMAXwBQAGEAcwB0AHUAcgBlAEIAZQBlAGYAXwBTAG8AaQBsAF8ATgAyAE8ARABpAHIAZQBjAHQAXwBFAHEAdQBhAHQAaQBvAG4AcwAuAFYARQBFAFIARwBfADQAXwAyAF8AMQBfADMAXwBfADEAXwBEAGkAcgBlAGMAdABOAGkAdAByAG8AdQBzAE8AeABpAGQAZQBFAG0AaQBzAHMAaQBvAG4AcwBPAG4AUABhAHMAdAB1AHIAZQBfAFUAbgBpAHQAIgAsACIATQBNAFMAXwBQAGEAcwB0AHUAcgBlAEIAZQBlAGYAXwBTAG8AaQBsAF8ATgAyAE8ARABpAHIAZQBjAHQAXwBFAHEAdQBhAHQAaQBvAG4AcwAuAFYARQBFAFIARwBfADQAXwAyAF8AMQBfADMAXwBfADEAXwBEAGkAcgBlAGMAdABOAGkAdAByAG8AdQBzAE8AeABpAGQAZQBFAG0AaQBzAHMAaQBvAG4AcwBPAG4AUABhAHMAdAB1AHIAZQBfAFMAbwB1AHIAYwBlACIALAAiAE0ATQBTAF8AUABhAHMAdAB1AHIAZQBCAGUAZQBmAF8AUwBvAGkAbABfAE4AMgBPAEQAaQByAGUAYwB0AF8ARQBxAHUAYQB0AGkAbwBuAHMALgBWAEUARQBSAEcAXwA0AF8AMgBfADEAXwAzAF8AXwAxAF8ARABpAHIAZQBjAHQATgBpAHQAcgBvAHUAcwBPAHgAaQBkAGUARQBtAGkAcwBzAGkAbwBuAHMATwBuAFAAYQBzAHQAdQByAGUAXwBOAEkAUgBSAGUAZgBlAHIAZQBuAGMAZQAiACwAIgBNAE0AUwBfAFAAYQBzAHQAdQByAGUAQgBlAGUAZgBfAFMAbwBpAGwAXwBOADIATwBEAGkAcgBlAGMAdABfAEUAcQB1AGEAdABpAG8AbgBzAC4AVgBFAEUAUgBHAF8ANABfADIAXwAxAF8AMwBfAF8AMQBfAEQAaQByAGUAYwB0AE4AaQB0AHIAbwB1AHMATwB4AGkAZABlAEUAbQBpAHMAcwBpAG8AbgBzAE8AbgBQAGEAcwB0AHUAcgBlAF8ATABhAHQAZQB4AEUAcQB1AGEAdABpAG8AbgAiACwAIgBNAE0AUwBfAFAAYQBzAHQAdQByAGUAQgBlAGUAZgBfAFMAbwBpAGwAXwBOADIATwBEAGkAcgBlAGMAdABfAEUAcQB1AGEAdABpAG8AbgBzAC4AVgBFAEUAUgBHAF8ANABfADIAXwAxAF8AMwBfAF8AMQBfAEQAaQByAGUAYwB0AE4AaQB0AHIAbwB1AHMATwB4AGkAZABlAEUAbQBpAHMAcwBpAG8AbgBzAE8AbgBQAGEAcwB0AHUAcgBlAF8AQQByAGcAdQBtAGUAbgB0AHM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ABpAHQ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WAGEAcgBpAGEAYg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UAbgBpAHQ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MAbwB1AHI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OAEkAUgBSAGUAZgBlAHIAZQBu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ABhAHQAZQB4AEUAcQB1AGEAdABpAG8Abg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QQByAGcAdQBtAGUAbgB0AHMAIgAsACIATQBNAFMAXwBQAGEAcwB0AHUAcgBlAEIAZQBlAGYAXwBTAG8AaQBsAF8ATgAyAE8ARABpAHIAZQBjAHQAXwBFAHEAdQBhAHQAaQBvAG4AcwAuAFYARQBFAFIARwBfADQAXwAyAF8AMQBfADMAXwBfADMAXwBOAGkAdAByAG8AZwBlAG4ARQB4AGMAcgBlAHQAZQBkACIALAAiAE0ATQBTAF8AUABhAHMAdAB1AHIAZQBCAGUAZQBmAF8AUwBvAGkAbABfAE4AMgBPAEQAaQByAGUAYwB0AF8ARQBxAHUAYQB0AGkAbwBuAHMALgBWAEUARQBSAEcAXwA0AF8AMgBfADEAXwAzAF8AXwAzAF8ATgBpAHQAcgBvAGcAZQBuAEUAeABjAHIAZQB0AGUAZABfAFQAaQB0AGwAZQAiACwAIgBNAE0AUwBfAFAAYQBzAHQAdQByAGUAQgBlAGUAZgBfAFMAbwBpAGwAXwBOADIATwBEAGkAcgBlAGMAdABfAEUAcQB1AGEAdABpAG8AbgBzAC4AVgBFAEUAUgBHAF8ANABfADIAXwAxAF8AMwBfAF8AMwBfAE4AaQB0AHIAbwBnAGUAbgBFAHgAYwByAGUAdABlAGQAXwBWAGEAcgBpAGEAYgBsAGUAIgAsACIATQBNAFMAXwBQAGEAcwB0AHUAcgBlAEIAZQBlAGYAXwBTAG8AaQBsAF8ATgAyAE8ARABpAHIAZQBjAHQAXwBFAHEAdQBhAHQAaQBvAG4AcwAuAFYARQBFAFIARwBfADQAXwAyAF8AMQBfADMAXwBfADMAXwBOAGkAdAByAG8AZwBlAG4ARQB4AGMAcgBlAHQAZQBkAF8AVQBuAGkAdAAiACwAIgBNAE0AUwBfAFAAYQBzAHQAdQByAGUAQgBlAGUAZgBfAFMAbwBpAGwAXwBOADIATwBEAGkAcgBlAGMAdABfAEUAcQB1AGEAdABpAG8AbgBzAC4AVgBFAEUAUgBHAF8ANABfADIAXwAxAF8AMwBfAF8AMwBfAE4AaQB0AHIAbwBnAGUAbgBFAHgAYwByAGUAdABlAGQAXwBTAG8AdQByAGMAZQAiACwAIgBNAE0AUwBfAFAAYQBzAHQAdQByAGUAQgBlAGUAZgBfAFMAbwBpAGwAXwBOADIATwBEAGkAcgBlAGMAdABfAEUAcQB1AGEAdABpAG8AbgBzAC4AVgBFAEUAUgBHAF8ANABfADIAXwAxAF8AMwBfAF8AMwBfAE4AaQB0AHIAbwBnAGUAbgBFAHgAYwByAGUAdABlAGQAXwBOAEkAUgBSAGUAZgBlAHIAZQBuAGMAZQAiACwAIgBNAE0AUwBfAFAAYQBzAHQAdQByAGUAQgBlAGUAZgBfAFMAbwBpAGwAXwBOADIATwBEAGkAcgBlAGMAdABfAEUAcQB1AGEAdABpAG8AbgBzAC4AVgBFAEUAUgBHAF8ANABfADIAXwAxAF8AMwBfAF8AMwBfAE4AaQB0AHIAbwBnAGUAbgBFAHgAYwByAGUAdABlAGQAXwBMAGEAdABlAHgARQBxAHUAYQB0AGkAbwBuACIALAAiAE0ATQBTAF8AUABhAHMAdAB1AHIAZQBCAGUAZQBmAF8AUwBvAGkAbABfAE4AMgBPAEQAaQByAGUAYwB0AF8ARQBxAHUAYQB0AGkAbwBuAHMALgBWAEUARQBSAEcAXwA0AF8AMgBfADEAXwAzAF8AXwAzAF8ATgBpAHQAcgBvAGcAZQBuAEUAeABjAHIAZQB0AGUAZABfAEEAcgBnAHUAbQBlAG4AdABzACIALAAiAE0ATQBTAF8AUABhAHMAdAB1AHIAZQBCAGUAZQBmAF8AUwBvAGkAbABfAE4AMgBPAEQAaQByAGUAYwB0AF8ARQBxAHUAYQB0AGkAbwBuAHMALgBWAEUARQBSAEcAXwA0AF8AMgBfADEAXwAzAF8AXwA0AF8ATgBpAHQAcgBvAGcAZQBuAFIAZQB0AGEAaQBuAGUAZABCAHkAQgBvAGQAeQAiACwAIgBNAE0AUwBfAFAAYQBzAHQAdQByAGUAQgBlAGUAZgBfAFMAbwBpAGwAXwBOADIATwBEAGkAcgBlAGMAdABfAEUAcQB1AGEAdABpAG8AbgBzAC4AVgBFAEUAUgBHAF8ANABfADIAXwAxAF8AMwBfAF8ANABfAE4AaQB0AHIAbwBnAGUAbgBSAGUAdABhAGkAbgBlAGQAQgB5AEIAbwBkAHkAXwBUAGkAdABsAGUAIgAsACIATQBNAFMAXwBQAGEAcwB0AHUAcgBlAEIAZQBlAGYAXwBTAG8AaQBsAF8ATgAyAE8ARABpAHIAZQBjAHQAXwBFAHEAdQBhAHQAaQBvAG4AcwAuAFYARQBFAFIARwBfADQAXwAyAF8AMQBfADMAXwBfADQAXwBOAGkAdAByAG8AZwBlAG4AUgBlAHQAYQBpAG4AZQBkAEIAeQBCAG8AZAB5AF8AVgBhAHIAaQBhAGIAbABlACIALAAiAE0ATQBTAF8AUABhAHMAdAB1AHIAZQBCAGUAZQBmAF8AUwBvAGkAbABfAE4AMgBPAEQAaQByAGUAYwB0AF8ARQBxAHUAYQB0AGkAbwBuAHMALgBWAEUARQBSAEcAXwA0AF8AMgBfADEAXwAzAF8AXwA0AF8ATgBpAHQAcgBvAGcAZQBuAFIAZQB0AGEAaQBuAGUAZABCAHkAQgBvAGQAeQBfAFUAbgBpAHQAIgAsACIATQBNAFMAXwBQAGEAcwB0AHUAcgBlAEIAZQBlAGYAXwBTAG8AaQBsAF8ATgAyAE8ARABpAHIAZQBjAHQAXwBFAHEAdQBhAHQAaQBvAG4AcwAuAFYARQBFAFIARwBfADQAXwAyAF8AMQBfADMAXwBfADQAXwBOAGkAdAByAG8AZwBlAG4AUgBlAHQAYQBpAG4AZQBkAEIAeQBCAG8AZAB5AF8AUwBvAHUAcgBjAGUAIgAsACIATQBNAFMAXwBQAGEAcwB0AHUAcgBlAEIAZQBlAGYAXwBTAG8AaQBsAF8ATgAyAE8ARABpAHIAZQBjAHQAXwBFAHEAdQBhAHQAaQBvAG4AcwAuAFYARQBFAFIARwBfADQAXwAyAF8AMQBfADMAXwBfADQAXwBOAGkAdAByAG8AZwBlAG4AUgBlAHQAYQBpAG4AZQBkAEIAeQBCAG8AZAB5AF8ATgBJAFIAUgBlAGYAZQByAGUAbgBjAGUAIgAsACIATQBNAFMAXwBQAGEAcwB0AHUAcgBlAEIAZQBlAGYAXwBTAG8AaQBsAF8ATgAyAE8ARABpAHIAZQBjAHQAXwBFAHEAdQBhAHQAaQBvAG4AcwAuAFYARQBFAFIARwBfADQAXwAyAF8AMQBfADMAXwBfADQAXwBOAGkAdAByAG8AZwBlAG4AUgBlAHQAYQBpAG4AZQBkAEIAeQBCAG8AZAB5AF8ATABhAHQAZQB4AEUAcQB1AGEAdABpAG8AbgAiACwAIgBNAE0AUwBfAFAAYQBzAHQAdQByAGUAQgBlAGUAZgBfAFMAbwBpAGwAXwBOADIATwBEAGkAcgBlAGMAdABfAEUAcQB1AGEAdABpAG8AbgBzAC4AVgBFAEUAUgBHAF8ANABfADIAXwAxAF8AMwBfAF8ANABfAE4AaQB0AHIAbwBnAGUAbgBSAGUAdABhAGkAbgBlAGQAQgB5AEIAbwBkAHkAXwBBAHIAZwB1AG0AZQBuAHQAcwAiACwAIgBNAE0AUwBfAFAAYQBzAHQAdQByAGUAQgBlAGUAZgBfAFMAbwBpAGwAXwBOADIATwBEAGkAcgBlAGMAdABfAEUAcQB1AGEAdABpAG8AbgBzAC4AVgBFAEUAUgBHAF8ANABfADIAXwAxAF8AMwBfAF8ANQBfAE0AaQBsAGsAUAByAG8AZAB1AGMAdABpAG8AbgBGAG8AcgBDAGEAbAB2AGkAbgBnAFMAZQBhAHMAbwBuACIALAAiAE0ATQBTAF8AUABhAHMAdAB1AHIAZQBCAGUAZQBmAF8AUwBvAGkAbABfAE4AMgBPAEQAaQByAGUAYwB0AF8ARQBxAHUAYQB0AGkAbwBuAHMALgBWAEUARQBSAEcAXwA0AF8AMgBfADEAXwAzAF8AXwA1AF8ATQBpAGwAawBQAHIAbwBkAHUAYwB0AGkAbwBuAEYAbwByAEMAYQBsAHYAaQBuAGcAUwBlAGEAcwBvAG4AVgBhAHIAaQBhAHQAaQBvAG4AIgAsACIATQBNAFMAXwBQAGEAcwB0AHUAcgBlAEIAZQBlAGYAXwBTAG8AaQBsAF8ATgAyAE8ARABpAHIAZQBjAHQAXwBFAHEAdQBhAHQAaQBvAG4AcwAuAFYARQBFAFIARwBfADQAXwAyAF8AMQBfADMAXwBfADUAXwBNAGkAbABrAFAAcgBvAGQAdQBjAHQAaQBvAG4ARgBvAHIAQwBhAGwAdgBpAG4AZwBTAGUAYQBzAG8AbgBfAFQAaQB0AGwAZQAiACwAIgBNAE0AUwBfAFAAYQBzAHQAdQByAGUAQgBlAGUAZgBfAFMAbwBpAGwAXwBOADIATwBEAGkAcgBlAGMAdABfAEUAcQB1AGEAdABpAG8AbgBzAC4AVgBFAEUAUgBHAF8ANABfADIAXwAxAF8AMwBfAF8ANQBfAE0AaQBsAGsAUAByAG8AZAB1AGMAdABpAG8AbgBGAG8AcgBDAGEAbAB2AGkAbgBnAFMAZQBhAHMAbwBuAF8AVgBhAHIAaQBhAGIAbABlACIALAAiAE0ATQBTAF8AUABhAHMAdAB1AHIAZQBCAGUAZQBmAF8AUwBvAGkAbABfAE4AMgBPAEQAaQByAGUAYwB0AF8ARQBxAHUAYQB0AGkAbwBuAHMALgBWAEUARQBSAEcAXwA0AF8AMgBfADEAXwAzAF8AXwA1AF8ATQBpAGwAawBQAHIAbwBkAHUAYwB0AGkAbwBuAEYAbwByAEMAYQBsAHYAaQBuAGcAUwBlAGEAcwBvAG4AXwBVAG4AaQB0ACIALAAiAE0ATQBTAF8AUABhAHMAdAB1AHIAZQBCAGUAZQBmAF8AUwBvAGkAbABfAE4AMgBPAEQAaQByAGUAYwB0AF8ARQBxAHUAYQB0AGkAbwBuAHMALgBWAEUARQBSAEcAXwA0AF8AMgBfADEAXwAzAF8AXwA1AF8ATQBpAGwAawBQAHIAbwBkAHUAYwB0AGkAbwBuAEYAbwByAEMAYQBsAHYAaQBuAGcAUwBlAGEAcwBvAG4AXwBTAG8AdQByAGMAZQAiACwAIgBNAE0AUwBfAFAAYQBzAHQAdQByAGUAQgBlAGUAZgBfAFMAbwBpAGwAXwBOADIATwBEAGkAcgBlAGMAdABfAEUAcQB1AGEAdABpAG8AbgBzAC4AVgBFAEUAUgBHAF8ANABfADIAXwAxAF8AMwBfAF8ANQBfAE0AaQBsAGsAUAByAG8AZAB1AGMAdABpAG8AbgBGAG8AcgBDAGEAbAB2AGkAbgBnAFMAZQBhAHMAbwBuAF8ATgBJAFIAUgBlAGYAZQByAGUAbgBjAGU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VgBhAHIAaQBhAHQAaQBvAG4AIgAsACIATQBNAFMAXwBQAGEAcwB0AHUAcgBlAEIAZQBlAGYAXwBTAG8AaQBsAF8ATgAyAE8ARABpAHIAZQBjAHQAXwBFAHEAdQBhAHQAaQBvAG4AcwAuAFYARQBFAFIARwBfADQAXwAyAF8AMQBfADMAXwBfADUAXwBNAGkAbABrAFAAcgBvAGQAdQBjAHQAaQBvAG4ARgBvAHIAQwBhAGwAdgBpAG4AZwBTAGUAYQBzAG8AbgBfAEEAcgBnAHUAbQBlAG4AdABzACIALAAiAE0ATQBTAF8AUABhAHMAdAB1AHIAZQBCAGUAZQBmAF8AUwBvAGkAbABfAE4AMgBPAEQAaQByAGUAYwB0AF8ARQBxAHUAYQB0AGkAbwBuAHMALgBWAEUARQBSAEcAXwA0AF8AMgBfADEAXwAzAF8AXwA1AF8ATQBpAGwAawBQAHIAbwBkAHUAYwB0AGkAbwBuAEYAbwByAEMAYQBsAHYAaQBuAGcAUwBlAGEAcwBvAG4AXwBBAHIAZwB1AG0AZQBuAHQAcwBWAGEAcgBpAGEAdABpAG8AbgAiACwAIgBNAE0AUwBfAFAAYQBzAHQAdQByAGUAQgBlAGUAZgBfAFMAbwBpAGwAXwBOADIATwBEAGkAcgBlAGMAdABfAEUAcQB1AGEAdABpAG8AbgBzAC4AVgBFAEUAUgBHAF8ANABfADIAXwAxAF8AMwBfAF8ANQBfAE0AaQBsAGsAUAByAG8AZAB1AGMAdABpAG8AbgBGAG8AcgBDAGEAbAB2AGkAbgBnAFMAZQBhAHMAbwBuAF8AVgBhAHIAaQBhAHQAaQBvAG4AIgAsACIATQBNAFMAXwBQAGEAcwB0AHUAcgBlAEIAZQBlAGYAXwBTAG8AaQBsAF8ATgAyAE8ARABpAHIAZQBjAHQAXwBFAHEAdQBhAHQAaQBvAG4AcwAuAFYARQBFAFIARwBfADQAXwAyAF8AMQBfADMAXwBfADYAXwBJAG4AdABhAGsAZQBSAGUAbABhAHQAaQB2AGUAVABvAE0AYQBpAG4AdABlAG4AYQBuAGMAZQAiACwAIgBNAE0AUwBfAFAAYQBzAHQAdQByAGUAQgBlAGUAZgBfAFMAbwBpAGwAXwBOADIATwBEAGkAcgBlAGMAdABfAEUAcQB1AGEAdABpAG8AbgBzAC4AVgBFAEUAUgBHAF8ANABfADIAXwAxAF8AMwBfAF8ANgBfAEkAbgB0AGEAawBlAFIAZQBsAGEAdABpAHYAZQBUAG8ATQBhAGkAbgB0AGUAbgBhAG4AYwBlAF8AVABpAHQAbABlACIALAAiAE0ATQBTAF8AUABhAHMAdAB1AHIAZQBCAGUAZQBmAF8AUwBvAGkAbABfAE4AMgBPAEQAaQByAGUAYwB0AF8ARQBxAHUAYQB0AGkAbwBuAHMALgBWAEUARQBSAEcAXwA0AF8AMgBfADEAXwAzAF8AXwA2AF8ASQBuAHQAYQBrAGUAUgBlAGwAYQB0AGkAdgBlAFQAbwBNAGEAaQBuAHQAZQBuAGEAbgBjAGUAXwBWAGEAcgBpAGEAYgBsAGUAIgAsACIATQBNAFMAXwBQAGEAcwB0AHUAcgBlAEIAZQBlAGYAXwBTAG8AaQBsAF8ATgAyAE8ARABpAHIAZQBjAHQAXwBFAHEAdQBhAHQAaQBvAG4AcwAuAFYARQBFAFIARwBfADQAXwAyAF8AMQBfADMAXwBfADYAXwBJAG4AdABhAGsAZQBSAGUAbABhAHQAaQB2AGUAVABvAE0AYQBpAG4AdABlAG4AYQBuAGMAZQBfAFUAbgBpAHQAIgAsACIATQBNAFMAXwBQAGEAcwB0AHUAcgBlAEIAZQBlAGYAXwBTAG8AaQBsAF8ATgAyAE8ARABpAHIAZQBjAHQAXwBFAHEAdQBhAHQAaQBvAG4AcwAuAFYARQBFAFIARwBfADQAXwAyAF8AMQBfADMAXwBfADYAXwBJAG4AdABhAGsAZQBSAGUAbABhAHQAaQB2AGUAVABvAE0AYQBpAG4AdABlAG4AYQBuAGMAZQBfAFMAbwB1AHIAYwBlACIALAAiAE0ATQBTAF8AUABhAHMAdAB1AHIAZQBCAGUAZQBmAF8AUwBvAGkAbABfAE4AMgBPAEQAaQByAGUAYwB0AF8ARQBxAHUAYQB0AGkAbwBuAHMALgBWAEUARQBSAEcAXwA0AF8AMgBfADEAXwAzAF8AXwA2AF8ASQBuAHQAYQBrAGUAUgBlAGwAYQB0AGkAdgBlAFQAbwBNAGEAaQBuAHQAZQBuAGEAbgBjAGUAXwBOAEkAUgBSAGUAZgBlAHIAZQBuAGMAZQAiACwAIgBNAE0AUwBfAFAAYQBzAHQAdQByAGUAQgBlAGUAZgBfAFMAbwBpAGwAXwBOADIATwBEAGkAcgBlAGMAdABfAEUAcQB1AGEAdABpAG8AbgBzAC4AVgBFAEUAUgBHAF8ANABfADIAXwAxAF8AMwBfAF8ANgBfAEkAbgB0AGEAawBlAFIAZQBsAGEAdABpAHYAZQBUAG8ATQBhAGkAbgB0AGUAbgBhAG4AYwBlAF8ATABhAHQAZQB4AEUAcQB1AGEAdABpAG8AbgAiACwAIgBNAE0AUwBfAFAAYQBzAHQAdQByAGUAQgBlAGUAZgBfAFMAbwBpAGwAXwBOADIATwBEAGkAcgBlAGMAdABfAEUAcQB1AGEAdABpAG8AbgBzAC4AVgBFAEUAUgBHAF8ANABfADIAXwAxAF8AMwBfAF8ANgBfAEkAbgB0AGEAawBlAFIAZQBsAGEAdABpAHYAZQBUAG8ATQBhAGkAbgB0AGUAbgBhAG4AYwBlAF8AQQByAGcAdQBtAGUAbgB0AHMAIgAsACIATQBNAFMAXwBQAGEAcwB0AHUAcgBlAEIAZQBlAGYAXwBTAG8AaQBsAF8ATgAyAE8ARABpAHIAZQBjAHQAXwBFAHEAdQBhAHQAaQBvAG4AcwAuAFYARQBFAFIARwBfADQAXwAyAF8AMQBfADMAXwBfADcAXwBSAGUAbABhAHQAaQB2AGUAUwBpAHoAZQAiACwAIgBNAE0AUwBfAFAAYQBzAHQAdQByAGUAQgBlAGUAZgBfAFMAbwBpAGwAXwBOADIATwBEAGkAcgBlAGMAdABfAEUAcQB1AGEAdABpAG8AbgBzAC4AVgBFAEUAUgBHAF8ANABfADIAXwAxAF8AMwBfAF8ANwBfAFIAZQBsAGEAdABpAHYAZQBTAGkAegBlAF8AVABpAHQAbABlACIALAAiAE0ATQBTAF8AUABhAHMAdAB1AHIAZQBCAGUAZQBmAF8AUwBvAGkAbABfAE4AMgBPAEQAaQByAGUAYwB0AF8ARQBxAHUAYQB0AGkAbwBuAHMALgBWAEUARQBSAEcAXwA0AF8AMgBfADEAXwAzAF8AXwA3AF8AUgBlAGwAYQB0AGkAdgBlAFMAaQB6AGUAXwBWAGEAcgBpAGEAYgBsAGUAIgAsACIATQBNAFMAXwBQAGEAcwB0AHUAcgBlAEIAZQBlAGYAXwBTAG8AaQBsAF8ATgAyAE8ARABpAHIAZQBjAHQAXwBFAHEAdQBhAHQAaQBvAG4AcwAuAFYARQBFAFIARwBfADQAXwAyAF8AMQBfADMAXwBfADcAXwBSAGUAbABhAHQAaQB2AGUAUwBpAHoAZQBfAFUAbgBpAHQAIgAsACIATQBNAFMAXwBQAGEAcwB0AHUAcgBlAEIAZQBlAGYAXwBTAG8AaQBsAF8ATgAyAE8ARABpAHIAZQBjAHQAXwBFAHEAdQBhAHQAaQBvAG4AcwAuAFYARQBFAFIARwBfADQAXwAyAF8AMQBfADMAXwBfADcAXwBSAGUAbABhAHQAaQB2AGUAUwBpAHoAZQBfAFMAbwB1AHIAYwBlACIALAAiAE0ATQBTAF8AUABhAHMAdAB1AHIAZQBCAGUAZQBmAF8AUwBvAGkAbABfAE4AMgBPAEQAaQByAGUAYwB0AF8ARQBxAHUAYQB0AGkAbwBuAHMALgBWAEUARQBSAEcAXwA0AF8AMgBfADEAXwAzAF8AXwA3AF8AUgBlAGwAYQB0AGkAdgBlAFMAaQB6AGUAXwBOAEkAUgBSAGUAZgBlAHIAZQBuAGMAZQAiACwAIgBNAE0AUwBfAFAAYQBzAHQAdQByAGUAQgBlAGUAZgBfAFMAbwBpAGwAXwBOADIATwBEAGkAcgBlAGMAdABfAEUAcQB1AGEAdABpAG8AbgBzAC4AVgBFAEUAUgBHAF8ANABfADIAXwAxAF8AMwBfAF8ANwBfAFIAZQBsAGEAdABpAHYAZQBTAGkAegBlAF8ATABhAHQAZQB4AEUAcQB1AGEAdABpAG8AbgAiACwAIgBNAE0AUwBfAFAAYQBzAHQAdQByAGUAQgBlAGUAZgBfAFMAbwBpAGwAXwBOADIATwBEAGkAcgBlAGMAdABfAEUAcQB1AGEAdABpAG8AbgBzAC4AVgBFAEUAUgBHAF8ANABfADIAXwAxAF8AMwBfAF8ANwBfAFIAZQBsAGEAdABpAHYAZQBTAGkAegBlAF8AQQByAGcAdQBtAGUAbgB0AHM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QAaQB0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WAGEAcgBpAGEAYg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QBuAGkAdA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TAG8AdQBy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OAEkAUgBSAGUAZgBlAHIAZQBu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MAGEAdABlAHgARQBxAHUAYQB0AGkAbwBu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EAcgBnAHUAbQBlAG4AdABz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UAGkAdA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gBhAHIAaQBhAGI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UAbgBpAHQ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UwBvAHUAc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gBJAFIAUgBlAGYAZQByAGUAb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ABhAHQAZQB4AEUAcQB1AGEAdABpAG8Abg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BAHIAZwB1AG0AZQBuAHQAcw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ABpAHQ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YAYQByAGkAYQBi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VAG4AaQB0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MAbwB1AHI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4ASQBSAFIAZQBmAGUAcgBlAG4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wAYQB0AGUAeABFAHEAdQBhAHQAaQBvAG4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QQByAGcAdQBtAGUAbgB0AHM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UAGkAdA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WAGEAcgBpAGEAYg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VAG4AaQB0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UwBvAHUAc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OAEkAUgBSAGUAZgBlAHIAZQBu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wAYQB0AGUAeABFAHEAdQBhAHQAaQBvAG4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BAHIAZwB1AG0AZQBuAHQAcw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NAE0AUwBfAFMAdwBpAG4AZQBfAE0AZQB0AGgAYQBuAGUAXwBFAHEAdQBhAHQAaQBvAG4AcwAuAFYARQBFAFIARwBfADQAXwA1AF8AMQBfADEAXwBfADEAXwBUAG8AdABhAGwAQQBuAG4AdQBhAGwATQBlAHQAaABhAG4AZQBFAG0AaQBzAHMAaQBvAG4AcwAiACwAIgBNAE0AUwBfAFMAdwBpAG4AZQBfAE0AZQB0AGgAYQBuAGUAXwBFAHEAdQBhAHQAaQBvAG4AcwAuAFYARQBFAFIARwBfADQAXwA1AF8AMQBfADEAXwBfADEAXwBUAG8AdABhAGwAQQBuAG4AdQBhAGwATQBlAHQAaABhAG4AZQBFAG0AaQBzAHMAaQBvAG4AcwBfAFQAaQB0AGwAZQAiACwAIgBNAE0AUwBfAFMAdwBpAG4AZQBfAE0AZQB0AGgAYQBuAGUAXwBFAHEAdQBhAHQAaQBvAG4AcwAuAFYARQBFAFIARwBfADQAXwA1AF8AMQBfADEAXwBfADEAXwBUAG8AdABhAGwAQQBuAG4AdQBhAGwATQBlAHQAaABhAG4AZQBFAG0AaQBzAHMAaQBvAG4AcwBfAFYAYQByAGkAYQBiAGwAZQAiACwAIgBNAE0AUwBfAFMAdwBpAG4AZQBfAE0AZQB0AGgAYQBuAGUAXwBFAHEAdQBhAHQAaQBvAG4AcwAuAFYARQBFAFIARwBfADQAXwA1AF8AMQBfADEAXwBfADEAXwBUAG8AdABhAGwAQQBuAG4AdQBhAGwATQBlAHQAaABhAG4AZQBFAG0AaQBzAHMAaQBvAG4AcwBfAFUAbgBpAHQAIgAsACIATQBNAFMAXwBTAHcAaQBuAGUAXwBNAGUAdABoAGEAbgBlAF8ARQBxAHUAYQB0AGkAbwBuAHMALgBWAEUARQBSAEcAXwA0AF8ANQBfADEAXwAxAF8AXwAxAF8AVABvAHQAYQBsAEEAbgBuAHUAYQBsAE0AZQB0AGgAYQBuAGUARQBtAGkAcwBzAGkAbwBuAHMAXwBTAG8AdQByAGMAZQAiACwAIgBNAE0AUwBfAFMAdwBpAG4AZQBfAE0AZQB0AGgAYQBuAGUAXwBFAHEAdQBhAHQAaQBvAG4AcwAuAFYARQBFAFIARwBfADQAXwA1AF8AMQBfADEAXwBfADEAXwBUAG8AdABhAGwAQQBuAG4AdQBhAGwATQBlAHQAaABhAG4AZQBFAG0AaQBzAHMAaQBvAG4AcwBfAE4ASQBSAFIAZQBmAGUAcgBlAG4AYwBlACIALAAiAE0ATQBTAF8AUwB3AGkAbgBlAF8ATQBlAHQAaABhAG4AZQBfAEUAcQB1AGEAdABpAG8AbgBzAC4AVgBFAEUAUgBHAF8ANABfADUAXwAxAF8AMQBfAF8AMQBfAFQAbwB0AGEAbABBAG4AbgB1AGEAbABNAGUAdABoAGEAbgBlAEUAbQBpAHMAcwBpAG8AbgBzAF8ATABhAHQAZQB4AEUAcQB1AGEAdABpAG8AbgAiACwAIgBNAE0AUwBfAFMAdwBpAG4AZQBfAE0AZQB0AGgAYQBuAGUAXwBFAHEAdQBhAHQAaQBvAG4AcwAuAFYARQBFAFIARwBfADQAXwA1AF8AMQBfADEAXwBfADEAXwBUAG8AdABhAGwAQQBuAG4AdQBhAGwATQBlAHQAaABhAG4AZQBFAG0AaQBzAHMAaQBvAG4AcwBfAEEAcgBnAHUAbQBlAG4AdABzACIALAAiAE0ATQBTAF8AUwB3AGkAbgBlAF8ATQBlAHQAaABhAG4AZQBfAEUAcQB1AGEAdABpAG8AbgBzAC4AVgBFAEUAUgBHAF8ANABfADUAXwAxAF8AMQBfAF8AMgBfAE0AZQB0AGgAYQBuAGUAUAByAG8AZAB1AGMAdABpAG8AbgBQAGUAcgBDAGwAYQBzAHMAIgAsACIATQBNAFMAXwBTAHcAaQBuAGUAXwBNAGUAdABoAGEAbgBlAF8ARQBxAHUAYQB0AGkAbwBuAHMALgBWAEUARQBSAEcAXwA0AF8ANQBfADEAXwAxAF8AXwAyAF8ATQBlAHQAaABhAG4AZQBQAHIAbwBkAHUAYwB0AGkAbwBuAFAAZQByAEMAbABhAHMAcwBWAGEAcgBpAGEAdABpAG8AbgAiACwAIgBNAE0AUwBfAFMAdwBpAG4AZQBfAE0AZQB0AGgAYQBuAGUAXwBFAHEAdQBhAHQAaQBvAG4AcwAuAFYARQBFAFIARwBfADQAXwA1AF8AMQBfADEAXwBfADIAXwBNAGUAdABoAGEAbgBlAFAAcgBvAGQAdQBjAHQAaQBvAG4AUABlAHIAQwBsAGEAcwBzAF8AVABpAHQAbABlACIALAAiAE0ATQBTAF8AUwB3AGkAbgBlAF8ATQBlAHQAaABhAG4AZQBfAEUAcQB1AGEAdABpAG8AbgBzAC4AVgBFAEUAUgBHAF8ANABfADUAXwAxAF8AMQBfAF8AMgBfAE0AZQB0AGgAYQBuAGUAUAByAG8AZAB1AGMAdABpAG8AbgBQAGUAcgBDAGwAYQBzAHMAXwBWAGEAcgBpAGEAYgBsAGUAIgAsACIATQBNAFMAXwBTAHcAaQBuAGUAXwBNAGUAdABoAGEAbgBlAF8ARQBxAHUAYQB0AGkAbwBuAHMALgBWAEUARQBSAEcAXwA0AF8ANQBfADEAXwAxAF8AXwAyAF8ATQBlAHQAaABhAG4AZQBQAHIAbwBkAHUAYwB0AGkAbwBuAFAAZQByAEMAbABhAHMAcwBfAFUAbgBpAHQAIgAsACIATQBNAFMAXwBTAHcAaQBuAGUAXwBNAGUAdABoAGEAbgBlAF8ARQBxAHUAYQB0AGkAbwBuAHMALgBWAEUARQBSAEcAXwA0AF8ANQBfADEAXwAxAF8AXwAyAF8ATQBlAHQAaABhAG4AZQBQAHIAbwBkAHUAYwB0AGkAbwBuAFAAZQByAEMAbABhAHMAcwBfAFMAbwB1AHIAYwBlACIALAAiAE0ATQBTAF8AUwB3AGkAbgBlAF8ATQBlAHQAaABhAG4AZQBfAEUAcQB1AGEAdABpAG8AbgBzAC4AVgBFAEUAUgBHAF8ANABfADUAXwAxAF8AMQBfAF8AMgBfAE0AZQB0AGgAYQBuAGUAUAByAG8AZAB1AGMAdABpAG8AbgBQAGUAcgBDAGwAYQBzAHMAXwBOAEkAUgBSAGUAZgBlAHIAZQBuAGMAZQAiACwAIgBNAE0AUwBfAFMAdwBpAG4AZQBfAE0AZQB0AGgAYQBuAGUAXwBFAHEAdQBhAHQAaQBvAG4AcwAuAFYARQBFAFIARwBfADQAXwA1AF8AMQBfADEAXwBfADIAXwBNAGUAdABoAGEAbgBlAFAAcgBvAGQAdQBjAHQAaQBvAG4AUABlAHIAQwBsAGEAcwBzAF8ATABhAHQAZQB4AEUAcQB1AGEAdABpAG8AbgAiACwAIgBNAE0AUwBfAFMAdwBpAG4AZQBfAE0AZQB0AGgAYQBuAGUAXwBFAHEAdQBhAHQAaQBvAG4AcwAuAFYARQBFAFIARwBfADQAXwA1AF8AMQBfADEAXwBfADIAXwBNAGUAdABoAGEAbgBlAFAAcgBvAGQAdQBjAHQAaQBvAG4AUABlAHIAQwBsAGEAcwBzAF8AQQByAGcAdQBtAGUAbgB0AHMAIgAsACIATQBNAFMAXwBTAHcAaQBuAGUAXwBNAGUAdABoAGEAbgBlAF8ARQBxAHUAYQB0AGkAbwBuAHMALgBWAEUARQBSAEcAXwA0AF8ANQBfADEAXwAxAF8AXwAyAF8ATQBlAHQAaABhAG4AZQBQAHIAbwBkAHUAYwB0AGkAbwBuAFAAZQByAEMAbABhAHMAcwBfAFYAYQByAGkAYQB0AGkAbwBuACIALAAiAE0ATQBTAF8AUwB3AGkAbgBlAF8ATQBlAHQAaABhAG4AZQBfAEUAcQB1AGEAdABpAG8AbgBzAC4AVgBFAEUAUgBHAF8ANABfADUAXwAxAF8AMQBfAF8AMwBfAFMAdABhAGcAZQAxAE0AZQB0AGgAYQBuAGUAUAByAG8AZAB1AGMAdABpAG8AbgAiACwAIgBNAE0AUwBfAFMAdwBpAG4AZQBfAE0AZQB0AGgAYQBuAGUAXwBFAHEAdQBhAHQAaQBvAG4AcwAuAFYARQBFAFIARwBfADQAXwA1AF8AMQBfADEAXwBfADMAXwBTAHQAYQBnAGUAMQBNAGUAdABoAGEAbgBlAFAAcgBvAGQAdQBjAHQAaQBvAG4AXwBUAGkAdABsAGUAIgAsACIATQBNAFMAXwBTAHcAaQBuAGUAXwBNAGUAdABoAGEAbgBlAF8ARQBxAHUAYQB0AGkAbwBuAHMALgBWAEUARQBSAEcAXwA0AF8ANQBfADEAXwAxAF8AXwAzAF8AUwB0AGEAZwBlADEATQBlAHQAaABhAG4AZQBQAHIAbwBkAHUAYwB0AGkAbwBuAF8AVgBhAHIAaQBhAGIAbABlACIALAAiAE0ATQBTAF8AUwB3AGkAbgBlAF8ATQBlAHQAaABhAG4AZQBfAEUAcQB1AGEAdABpAG8AbgBzAC4AVgBFAEUAUgBHAF8ANABfADUAXwAxAF8AMQBfAF8AMwBfAFMAdABhAGcAZQAxAE0AZQB0AGgAYQBuAGUAUAByAG8AZAB1AGMAdABpAG8AbgBfAFUAbgBpAHQAIgAsACIATQBNAFMAXwBTAHcAaQBuAGUAXwBNAGUAdABoAGEAbgBlAF8ARQBxAHUAYQB0AGkAbwBuAHMALgBWAEUARQBSAEcAXwA0AF8ANQBfADEAXwAxAF8AXwAzAF8AUwB0AGEAZwBlADEATQBlAHQAaABhAG4AZQBQAHIAbwBkAHUAYwB0AGkAbwBuAF8AUwBvAHUAcgBjAGUAIgAsACIATQBNAFMAXwBTAHcAaQBuAGUAXwBNAGUAdABoAGEAbgBlAF8ARQBxAHUAYQB0AGkAbwBuAHMALgBWAEUARQBSAEcAXwA0AF8ANQBfADEAXwAxAF8AXwAzAF8AUwB0AGEAZwBlADEATQBlAHQAaABhAG4AZQBQAHIAbwBkAHUAYwB0AGkAbwBuAF8ATgBJAFIAUgBlAGYAZQByAGUAbgBjAGUAIgAsACIATQBNAFMAXwBTAHcAaQBuAGUAXwBNAGUAdABoAGEAbgBlAF8ARQBxAHUAYQB0AGkAbwBuAHMALgBWAEUARQBSAEcAXwA0AF8ANQBfADEAXwAxAF8AXwAzAF8AUwB0AGEAZwBlADEATQBlAHQAaABhAG4AZQBQAHIAbwBkAHUAYwB0AGkAbwBuAF8ATABhAHQAZQB4AEUAcQB1AGEAdABpAG8AbgAiACwAIgBNAE0AUwBfAFMAdwBpAG4AZQBfAE0AZQB0AGgAYQBuAGUAXwBFAHEAdQBhAHQAaQBvAG4AcwAuAFYARQBFAFIARwBfADQAXwA1AF8AMQBfADEAXwBfADMAXwBTAHQAYQBnAGUAMQBNAGUAdABoAGEAbgBlAFAAcgBvAGQAdQBjAHQAaQBvAG4AXwBBAHIAZwB1AG0AZQBuAHQAcwAiACwAIgBNAE0AUwBfAFMAdwBpAG4AZQBfAE0AZQB0AGgAYQBuAGUAXwBFAHEAdQBhAHQAaQBvAG4AcwAuAFYARQBFAFIARwBfADQAXwA1AF8AMQBfADEAXwBfADQAXwBGAHIAYQBjAHQAaQBvAG4AVgBvAGwAYQB0AGkAbABlAFMAbwBsAGkAZABzAFAAcgBpAG0AYQByAHkAUwB5AHMAdABlAG0AIgAsACIATQBNAFMAXwBTAHcAaQBuAGUAXwBNAGUAdABoAGEAbgBlAF8ARQBxAHUAYQB0AGkAbwBuAHMALgBWAEUARQBSAEcAXwA0AF8ANQBfADEAXwAxAF8AXwA0AF8ARgByAGEAYwB0AGkAbwBuAFYAbwBsAGEAdABpAGwAZQBTAG8AbABpAGQAcwBQAHIAaQBtAGEAcgB5AFMAeQBzAHQAZQBtAF8AVABpAHQAbABlACIALAAiAE0ATQBTAF8AUwB3AGkAbgBlAF8ATQBlAHQAaABhAG4AZQBfAEUAcQB1AGEAdABpAG8AbgBzAC4AVgBFAEUAUgBHAF8ANABfADUAXwAxAF8AMQBfAF8ANABfAEYAcgBhAGMAdABpAG8AbgBWAG8AbABhAHQAaQBsAGUAUwBvAGwAaQBkAHMAUAByAGkAbQBhAHIAeQBTAHkAcwB0AGUAbQBfAFYAYQByAGkAYQBiAGwAZQAiACwAIgBNAE0AUwBfAFMAdwBpAG4AZQBfAE0AZQB0AGgAYQBuAGUAXwBFAHEAdQBhAHQAaQBvAG4AcwAuAFYARQBFAFIARwBfADQAXwA1AF8AMQBfADEAXwBfADQAXwBGAHIAYQBjAHQAaQBvAG4AVgBvAGwAYQB0AGkAbABlAFMAbwBsAGkAZABzAFAAcgBpAG0AYQByAHkAUwB5AHMAdABlAG0AXwBVAG4AaQB0ACIALAAiAE0ATQBTAF8AUwB3AGkAbgBlAF8ATQBlAHQAaABhAG4AZQBfAEUAcQB1AGEAdABpAG8AbgBzAC4AVgBFAEUAUgBHAF8ANABfADUAXwAxAF8AMQBfAF8ANABfAEYAcgBhAGMAdABpAG8AbgBWAG8AbABhAHQAaQBsAGUAUwBvAGwAaQBkAHMAUAByAGkAbQBhAHIAeQBTAHkAcwB0AGUAbQBfAFMAbwB1AHIAYwBlACIALAAiAE0ATQBTAF8AUwB3AGkAbgBlAF8ATQBlAHQAaABhAG4AZQBfAEUAcQB1AGEAdABpAG8AbgBzAC4AVgBFAEUAUgBHAF8ANABfADUAXwAxAF8AMQBfAF8ANABfAEYAcgBhAGMAdABpAG8AbgBWAG8AbABhAHQAaQBsAGUAUwBvAGwAaQBkAHMAUAByAGkAbQBhAHIAeQBTAHkAcwB0AGUAbQBfAE4ASQBSAFIAZQBmAGUAcgBlAG4AYwBlACIALAAiAE0ATQBTAF8AUwB3AGkAbgBlAF8ATQBlAHQAaABhAG4AZQBfAEUAcQB1AGEAdABpAG8AbgBzAC4AVgBFAEUAUgBHAF8ANABfADUAXwAxAF8AMQBfAF8ANABfAEYAcgBhAGMAdABpAG8AbgBWAG8AbABhAHQAaQBsAGUAUwBvAGwAaQBkAHMAUAByAGkAbQBhAHIAeQBTAHkAcwB0AGUAbQBfAEwAYQB0AGUAeABFAHEAdQBhAHQAaQBvAG4AIgAsACIATQBNAFMAXwBTAHcAaQBuAGUAXwBNAGUAdABoAGEAbgBlAF8ARQBxAHUAYQB0AGkAbwBuAHMALgBWAEUARQBSAEcAXwA0AF8ANQBfADEAXwAxAF8AXwA0AF8ARgByAGEAYwB0AGkAbwBuAFYAbwBsAGEAdABpAGwAZQBTAG8AbABpAGQAcwBQAHIAaQBtAGEAcgB5AFMAeQBzAHQAZQBtAF8AQQByAGcAdQBtAGUAbgB0AHMAIgAsACIATQBNAFMAXwBTAHcAaQBuAGUAXwBNAGUAdABoAGEAbgBlAF8ARQBxAHUAYQB0AGkAbwBuAHMALgBWAEUARQBSAEcAXwA0AF8ANQBfADEAXwAxAF8AXwA0AF8ARgByAGEAYwB0AGkAbwBuAFYAbwBsAGEAdABpAGwAZQBTAG8AbABpAGQAcwBQAHIAaQBtAGEAcgB5AFMAeQBzAHQAZQBtAF8AVgBhAHIAaQBhAHQAaQBvAG4AIgAsACIATQBNAFMAXwBTAHcAaQBuAGUAXwBNAGUAdABoAGEAbgBlAF8ARQBxAHUAYQB0AGkAbwBuAHMALgBWAEUARQBSAEcAXwA0AF8ANQBfADEAXwAxAF8AXwA1AF8ARgByAGEAYwB0AGkAbwBuAFYAbwBsAGEAdABpAGwAZQBTAG8AbABpAGQAcwBTAG8AbABpAGQAUwB0AG8AcgBhAGcAZQAiACwAIgBNAE0AUwBfAFMAdwBpAG4AZQBfAE0AZQB0AGgAYQBuAGUAXwBFAHEAdQBhAHQAaQBvAG4AcwAuAFYARQBFAFIARwBfADQAXwA1AF8AMQBfADEAXwBfADUAXwBGAHIAYQBjAHQAaQBvAG4AVgBvAGwAYQB0AGkAbABlAFMAbwBsAGkAZABzAFMAbwBsAGkAZABTAHQAbwByAGEAZwBlAFYAYQByAGkAYQB0AGkAbwBuACIALAAiAE0ATQBTAF8AUwB3AGkAbgBlAF8ATQBlAHQAaABhAG4AZQBfAEUAcQB1AGEAdABpAG8AbgBzAC4AVgBFAEUAUgBHAF8ANABfADUAXwAxAF8AMQBfAF8ANQBfAEYAcgBhAGMAdABpAG8AbgBWAG8AbABhAHQAaQBsAGUAUwBvAGwAaQBkAHMAUwBvAGwAaQBkAFMAdABvAHIAYQBnAGUAXwBUAGkAdABsAGUAIgAsACIATQBNAFMAXwBTAHcAaQBuAGUAXwBNAGUAdABoAGEAbgBlAF8ARQBxAHUAYQB0AGkAbwBuAHMALgBWAEUARQBSAEcAXwA0AF8ANQBfADEAXwAxAF8AXwA1AF8ARgByAGEAYwB0AGkAbwBuAFYAbwBsAGEAdABpAGwAZQBTAG8AbABpAGQAcwBTAG8AbABpAGQAUwB0AG8AcgBhAGcAZQBfAFYAYQByAGkAYQBiAGwAZQAiACwAIgBNAE0AUwBfAFMAdwBpAG4AZQBfAE0AZQB0AGgAYQBuAGUAXwBFAHEAdQBhAHQAaQBvAG4AcwAuAFYARQBFAFIARwBfADQAXwA1AF8AMQBfADEAXwBfADUAXwBGAHIAYQBjAHQAaQBvAG4AVgBvAGwAYQB0AGkAbABlAFMAbwBsAGkAZABzAFMAbwBsAGkAZABTAHQAbwByAGEAZwBlAF8AVQBuAGkAdAAiACwAIgBNAE0AUwBfAFMAdwBpAG4AZQBfAE0AZQB0AGgAYQBuAGUAXwBFAHEAdQBhAHQAaQBvAG4AcwAuAFYARQBFAFIARwBfADQAXwA1AF8AMQBfADEAXwBfADUAXwBGAHIAYQBjAHQAaQBvAG4AVgBvAGwAYQB0AGkAbABlAFMAbwBsAGkAZABzAFMAbwBsAGkAZABTAHQAbwByAGEAZwBlAF8AUwBvAHUAcgBjAGUAIgAsACIATQBNAFMAXwBTAHcAaQBuAGUAXwBNAGUAdABoAGEAbgBlAF8ARQBxAHUAYQB0AGkAbwBuAHMALgBWAEUARQBSAEcAXwA0AF8ANQBfADEAXwAxAF8AXwA1AF8ARgByAGEAYwB0AGkAbwBuAFYAbwBsAGEAdABpAGwAZQBTAG8AbABpAGQAcwBTAG8AbABpAGQAUwB0AG8AcgBhAGcAZQBfAE4ASQBSAFIAZQBmAGUAcgBlAG4AYwBlACIALAAiAE0ATQBTAF8AUwB3AGkAbgBlAF8ATQBlAHQAaABhAG4AZQBfAEUAcQB1AGEAdABpAG8AbgBzAC4AVgBFAEUAUgBHAF8ANABfADUAXwAxAF8AMQBfAF8ANQBfAEYAcgBhAGMAdABpAG8AbgBWAG8AbABhAHQAaQBsAGUAUwBvAGwAaQBkAHMAUwBvAGwAaQBkAFMAdABvAHIAYQBnAGUAXwBMAGEAdABlAHgARQBxAHUAYQB0AGkAbwBuACIALAAiAE0ATQBTAF8AUwB3AGkAbgBlAF8ATQBlAHQAaABhAG4AZQBfAEUAcQB1AGEAdABpAG8AbgBzAC4AVgBFAEUAUgBHAF8ANABfADUAXwAxAF8AMQBfAF8ANQBfAEYAcgBhAGMAdABpAG8AbgBWAG8AbABhAHQAaQBsAGUAUwBvAGwAaQBkAHMAUwBvAGwAaQBkAFMAdABvAHIAYQBnAGUAXwBMAGEAdABlAHgARQBxAHUAYQB0AGkAbwBuAFYAYQByAGkAYQB0AGkAbwBuACIALAAiAE0ATQBTAF8AUwB3AGkAbgBlAF8ATQBlAHQAaABhAG4AZQBfAEUAcQB1AGEAdABpAG8AbgBzAC4AVgBFAEUAUgBHAF8ANABfADUAXwAxAF8AMQBfAF8ANQBfAEYAcgBhAGMAdABpAG8AbgBWAG8AbABhAHQAaQBsAGUAUwBvAGwAaQBkAHMAUwBvAGwAaQBkAFMAdABvAHIAYQBnAGUAXwBBAHIAZwB1AG0AZQBuAHQAcwAiACwAIgBNAE0AUwBfAFMAdwBpAG4AZQBfAE0AZQB0AGgAYQBuAGUAXwBFAHEAdQBhAHQAaQBvAG4AcwAuAFYARQBFAFIARwBfADQAXwA1AF8AMQBfADEAXwBfADUAXwBGAHIAYQBjAHQAaQBvAG4AVgBvAGwAYQB0AGkAbABlAFMAbwBsAGkAZABzAFMAbwBsAGkAZABTAHQAbwByAGEAZwBlAF8AVgBhAHIAaQBhAHQAaQBvAG4AIgAsACIATQBNAFMAXwBTAHcAaQBuAGUAXwBNAGUAdABoAGEAbgBlAF8ARQBxAHUAYQB0AGkAbwBuAHMALgBWAEUARQBSAEcAXwA0AF8ANQBfADEAXwAxAF8AXwA2AF8AUwB0AGEAZwBlADIATQBlAHQAaABhAG4AZQBQAHIAbwBkAHUAYwB0AGkAbwBuACIALAAiAE0ATQBTAF8AUwB3AGkAbgBlAF8ATQBlAHQAaABhAG4AZQBfAEUAcQB1AGEAdABpAG8AbgBzAC4AVgBFAEUAUgBHAF8ANABfADUAXwAxAF8AMQBfAF8ANgBfAFMAdABhAGcAZQAyAE0AZQB0AGgAYQBuAGUAUAByAG8AZAB1AGMAdABpAG8AbgBfAFQAaQB0AGwAZQAiACwAIgBNAE0AUwBfAFMAdwBpAG4AZQBfAE0AZQB0AGgAYQBuAGUAXwBFAHEAdQBhAHQAaQBvAG4AcwAuAFYARQBFAFIARwBfADQAXwA1AF8AMQBfADEAXwBfADYAXwBTAHQAYQBnAGUAMgBNAGUAdABoAGEAbgBlAFAAcgBvAGQAdQBjAHQAaQBvAG4AXwBWAGEAcgBpAGEAYgBsAGUAIgAsACIATQBNAFMAXwBTAHcAaQBuAGUAXwBNAGUAdABoAGEAbgBlAF8ARQBxAHUAYQB0AGkAbwBuAHMALgBWAEUARQBSAEcAXwA0AF8ANQBfADEAXwAxAF8AXwA2AF8AUwB0AGEAZwBlADIATQBlAHQAaABhAG4AZQBQAHIAbwBkAHUAYwB0AGkAbwBuAF8AVQBuAGkAdAAiACwAIgBNAE0AUwBfAFMAdwBpAG4AZQBfAE0AZQB0AGgAYQBuAGUAXwBFAHEAdQBhAHQAaQBvAG4AcwAuAFYARQBFAFIARwBfADQAXwA1AF8AMQBfADEAXwBfADYAXwBTAHQAYQBnAGUAMgBNAGUAdABoAGEAbgBlAFAAcgBvAGQAdQBjAHQAaQBvAG4AXwBTAG8AdQByAGMAZQAiACwAIgBNAE0AUwBfAFMAdwBpAG4AZQBfAE0AZQB0AGgAYQBuAGUAXwBFAHEAdQBhAHQAaQBvAG4AcwAuAFYARQBFAFIARwBfADQAXwA1AF8AMQBfADEAXwBfADYAXwBTAHQAYQBnAGUAMgBNAGUAdABoAGEAbgBlAFAAcgBvAGQAdQBjAHQAaQBvAG4AXwBOAEkAUgBSAGUAZgBlAHIAZQBuAGMAZQAiACwAIgBNAE0AUwBfAFMAdwBpAG4AZQBfAE0AZQB0AGgAYQBuAGUAXwBFAHEAdQBhAHQAaQBvAG4AcwAuAFYARQBFAFIARwBfADQAXwA1AF8AMQBfADEAXwBfADYAXwBTAHQAYQBnAGUAMgBNAGUAdABoAGEAbgBlAFAAcgBvAGQAdQBjAHQAaQBvAG4AXwBMAGEAdABlAHgARQBxAHUAYQB0AGkAbwBuACIALAAiAE0ATQBTAF8AUwB3AGkAbgBlAF8ATQBlAHQAaABhAG4AZQBfAEUAcQB1AGEAdABpAG8AbgBzAC4AVgBFAEUAUgBHAF8ANABfADUAXwAxAF8AMQBfAF8ANgBfAFMAdABhAGcAZQAyAE0AZQB0AGgAYQBuAGUAUAByAG8AZAB1AGMAdABpAG8AbgBfAEEAcgBnAHUAbQBlAG4AdABzACIALAAiAE0ATQBTAF8AUwB3AGkAbgBlAF8ATQBlAHQAaABhAG4AZQBfAEUAcQB1AGEAdABpAG8AbgBzAC4AVgBFAEUAUgBHAF8ANABfADUAXwAxAF8AMQBfAF8ANwBfAFYAbwBsAGEAdABpAGwAZQBTAG8AbABpAGQAcwBUAHIAYQBuAHMAZgBlAHIAcgBlAGQAUwB0AGEAZwBlADIAIgAsACIATQBNAFMAXwBTAHcAaQBuAGUAXwBNAGUAdABoAGEAbgBlAF8ARQBxAHUAYQB0AGkAbwBuAHMALgBWAEUARQBSAEcAXwA0AF8ANQBfADEAXwAxAF8AXwA3AF8AVgBvAGwAYQB0AGkAbABlAFMAbwBsAGkAZABzAFQAcgBhAG4AcwBmAGUAcgByAGUAZABTAHQAYQBnAGUAMgBfAFQAaQB0AGwAZQAiACwAIgBNAE0AUwBfAFMAdwBpAG4AZQBfAE0AZQB0AGgAYQBuAGUAXwBFAHEAdQBhAHQAaQBvAG4AcwAuAFYARQBFAFIARwBfADQAXwA1AF8AMQBfADEAXwBfADcAXwBWAG8AbABhAHQAaQBsAGUAUwBvAGwAaQBkAHMAVAByAGEAbgBzAGYAZQByAHIAZQBkAFMAdABhAGcAZQAyAF8AVgBhAHIAaQBhAGIAbABlACIALAAiAE0ATQBTAF8AUwB3AGkAbgBlAF8ATQBlAHQAaABhAG4AZQBfAEUAcQB1AGEAdABpAG8AbgBzAC4AVgBFAEUAUgBHAF8ANABfADUAXwAxAF8AMQBfAF8ANwBfAFYAbwBsAGEAdABpAGwAZQBTAG8AbABpAGQAcwBUAHIAYQBuAHMAZgBlAHIAcgBlAGQAUwB0AGEAZwBlADIAXwBVAG4AaQB0ACIALAAiAE0ATQBTAF8AUwB3AGkAbgBlAF8ATQBlAHQAaABhAG4AZQBfAEUAcQB1AGEAdABpAG8AbgBzAC4AVgBFAEUAUgBHAF8ANABfADUAXwAxAF8AMQBfAF8ANwBfAFYAbwBsAGEAdABpAGwAZQBTAG8AbABpAGQAcwBUAHIAYQBuAHMAZgBlAHIAcgBlAGQAUwB0AGEAZwBlADIAXwBTAG8AdQByAGMAZQAiACwAIgBNAE0AUwBfAFMAdwBpAG4AZQBfAE0AZQB0AGgAYQBuAGUAXwBFAHEAdQBhAHQAaQBvAG4AcwAuAFYARQBFAFIARwBfADQAXwA1AF8AMQBfADEAXwBfADcAXwBWAG8AbABhAHQAaQBsAGUAUwBvAGwAaQBkAHMAVAByAGEAbgBzAGYAZQByAHIAZQBkAFMAdABhAGcAZQAyAF8ATgBJAFIAUgBlAGYAZQByAGUAbgBjAGUAIgAsACIATQBNAFMAXwBTAHcAaQBuAGUAXwBNAGUAdABoAGEAbgBlAF8ARQBxAHUAYQB0AGkAbwBuAHMALgBWAEUARQBSAEcAXwA0AF8ANQBfADEAXwAxAF8AXwA3AF8AVgBvAGwAYQB0AGkAbABlAFMAbwBsAGkAZABzAFQAcgBhAG4AcwBmAGUAcgByAGUAZABTAHQAYQBnAGUAMgBfAEwAYQB0AGUAeABFAHEAdQBhAHQAaQBvAG4AIgAsACIATQBNAFMAXwBTAHcAaQBuAGUAXwBNAGUAdABoAGEAbgBlAF8ARQBxAHUAYQB0AGkAbwBuAHMALgBWAEUARQBSAEcAXwA0AF8ANQBfADEAXwAxAF8AXwA3AF8AVgBvAGwAYQB0AGkAbABlAFMAbwBsAGkAZABzAFQAcgBhAG4AcwBmAGUAcgByAGUAZABTAHQAYQBnAGUAM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Home</vt:lpstr>
      <vt:lpstr>Results</vt:lpstr>
      <vt:lpstr>Input - Site</vt:lpstr>
      <vt:lpstr>Input - Swine</vt:lpstr>
      <vt:lpstr>4.5.1.1-2 Methane</vt:lpstr>
      <vt:lpstr>4.2.1.3-4 Soil direct N20</vt:lpstr>
      <vt:lpstr>4.2.1.5-6 Soil Atmos Dep</vt:lpstr>
      <vt:lpstr>4.2.1.7-8 Soil leach runoff</vt:lpstr>
      <vt:lpstr>Constants - Swine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2026-04-12T23:15:32Z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