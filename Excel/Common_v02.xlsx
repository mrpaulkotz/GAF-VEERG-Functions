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htdocs\zneagcrc\GAF-VEERG-Functions\Excel\"/>
    </mc:Choice>
  </mc:AlternateContent>
  <xr:revisionPtr revIDLastSave="0" documentId="13_ncr:1_{0E96CC2B-52B5-4EE3-B37A-A2D092A4E89B}" xr6:coauthVersionLast="47" xr6:coauthVersionMax="47" xr10:uidLastSave="{00000000-0000-0000-0000-000000000000}"/>
  <bookViews>
    <workbookView xWindow="570" yWindow="345" windowWidth="37755" windowHeight="20445" activeTab="1" xr2:uid="{992023F3-CAB7-4E5B-A348-08D563A0EF40}"/>
  </bookViews>
  <sheets>
    <sheet name="Home" sheetId="3" r:id="rId1"/>
    <sheet name="Constants - Common" sheetId="2" r:id="rId2"/>
    <sheet name="Acknowledgements" sheetId="4" r:id="rId3"/>
  </sheets>
  <definedNames>
    <definedName name="Common_Equations.Common_ConvertCH4ToCO2e">_xlfn.LAMBDA(_xlpm.E_CH4,_xlpm.GWP_CH4, _xlpm.E_CH4 * _xlpm.GWP_CH4)</definedName>
    <definedName name="Common_Equations.Common_ConvertCH4ToCO2e_Arguments">_xlfn.LAMBDA(_xlfn.MAKEARRAY(2, 2, _xlfn.LAMBDA(_xlpm.r,_xlpm.c, INDEX({"ECH4","Methane emissions (t CH4)";"GWPCH4","Global warming potential for methane (t CO2-e / t CH4)"}, _xlpm.r, _xlpm.c))))</definedName>
    <definedName name="Common_Equations.Common_ConvertCH4ToCO2e_LatexEquation">_xlfn.LAMBDA("CO2_e = E_{CH4} \times GWP_{CH4}")</definedName>
    <definedName name="Common_Equations.Common_ConvertCH4ToCO2e_NIRReference">_xlfn.LAMBDA("")</definedName>
    <definedName name="Common_Equations.Common_ConvertCH4ToCO2e_Title">_xlfn.LAMBDA("Convert methane emissions to carbon dioxide equivalent emissions")</definedName>
    <definedName name="Common_Equations.Common_ConvertCH4ToCO2e_Unit">_xlfn.LAMBDA("t CO2e")</definedName>
    <definedName name="Common_Equations.Common_ConvertCH4ToCO2e_Variable">_xlfn.LAMBDA("ECH4 CO2e")</definedName>
    <definedName name="Common_Equations.Common_ConvertN2OToCO2e">_xlfn.LAMBDA(_xlpm.E_N2O,_xlpm.GWP_N2O, _xlpm.E_N2O * _xlpm.GWP_N2O)</definedName>
    <definedName name="Common_Equations.Common_ConvertN2OToCO2e_Arguments">_xlfn.LAMBDA(_xlfn.MAKEARRAY(2, 2, _xlfn.LAMBDA(_xlpm.r,_xlpm.c, INDEX({"EN2O","Nitrous oxide emissions (t N2O)";"GWPN2O","Global warming potential for nitrous oxide (t CO2-e / t N2O)"}, _xlpm.r, _xlpm.c))))</definedName>
    <definedName name="Common_Equations.Common_ConvertN2OToCO2e_LatexEquation">_xlfn.LAMBDA("CO2_e = E_{N2O} \times GWP_{N2O}")</definedName>
    <definedName name="Common_Equations.Common_ConvertN2OToCO2e_NIRReference">_xlfn.LAMBDA("")</definedName>
    <definedName name="Common_Equations.Common_ConvertN2OToCO2e_Title">_xlfn.LAMBDA("Convert nitrous oxide emissions to carbon dioxide equivalent emissions")</definedName>
    <definedName name="Common_Equations.Common_ConvertN2OToCO2e_Unit">_xlfn.LAMBDA("t CO2e")</definedName>
    <definedName name="Common_Equations.Common_ConvertN2OToCO2e_Variable">_xlfn.LAMBDA("EN2O CO2e")</definedName>
    <definedName name="Common_InputFunctions.CommonCropping_GetFracWET">_xlfn.LAMBDA(_xlpm.LeachingZone,_xlpm.ProductionSystem,_xlpm.LeachingZoneLookup,_xlpm.LeachingZoneFracWETLookup,_xlpm.ProductionSystemLookup,_xlpm.ProductionSystemFracWETLookup, _xlfn.LET(_xlpm.LeachingZoneFracWET, Common_InputFunctions.Utility_LookupValueInTableNumber(_xlpm.LeachingZone, _xlpm.LeachingZoneLookup, _xlpm.LeachingZoneFracWETLookup), _xlpm.ProductionSystemFracWET, Common_InputFunctions.Utility_LookupValueInTableNumber(_xlpm.ProductionSystem, _xlpm.ProductionSystemLookup, _xlpm.ProductionSystemFracWETLookup), IF(_xlpm.LeachingZoneFracWET + _xlpm.ProductionSystemFracWET &gt; 0, 1, 0)))</definedName>
    <definedName name="Common_InputFunctions.getOverlappingReportingCycles">_xlfn.LAMBDA(_xlpm.ProductionCycleStart,_xlpm.ProductionCycleEnd,_xlpm.ReportingCycleStart, _xlfn.LET(_xlpm.S, _xlpm.ProductionCycleStart, _xlpm.E, _xlpm.ProductionCycleEnd, _xlpm.m, MONTH(_xlpm.ReportingCycleStart), _xlpm.d, DAY(_xlpm.ReportingCycleStart), _xlpm.PeriodEnd, _xlfn.LAMBDA(_xlpm.st, EDATE(_xlpm.st, 12) - 1), _xlpm.A, _xlpm.S - 365, _xlpm.ya, YEAR(_xlpm.A), _xlpm.yb, YEAR(_xlpm.E), _xlpm.firstYear, _xlpm.ya + (_xlpm.PeriodEnd(DATE(_xlpm.ya, _xlpm.m, _xlpm.d)) &lt; _xlpm.S), _xlpm.lastYear, _xlpm.yb - (DATE(_xlpm.yb, _xlpm.m, _xlpm.d) &gt; _xlpm.E), MAX(0, _xlpm.lastYear - _xlpm.firstYear + 1)))</definedName>
    <definedName name="Common_InputFunctions.getOverlappingReportingPeriods">_xlfn.LAMBDA(_xlpm.ProductionCycleStart,_xlpm.ProductionCycleEnd,_xlpm.ReportingCycleStart, _xlfn.LET(_xlpm.S, _xlpm.ProductionCycleStart, _xlpm.E, _xlpm.ProductionCycleEnd, _xlpm.m, MONTH(_xlpm.ReportingCycleStart), _xlpm.d, DAY(_xlpm.ReportingCycleStart), _xlpm.PeriodEnd, _xlfn.LAMBDA(_xlpm.st, EDATE(_xlpm.st, 12) - 1), _xlpm.A, _xlpm.S - 365, _xlpm.ya, YEAR(_xlpm.A), _xlpm.yb, YEAR(_xlpm.E), _xlpm.firstYear, _xlpm.ya + (_xlpm.PeriodEnd(DATE(_xlpm.ya, _xlpm.m, _xlpm.d)) &lt; _xlpm.S), _xlpm.lastYear, _xlpm.yb - (DATE(_xlpm.yb, _xlpm.m, _xlpm.d) &gt; _xlpm.E), _xlpm.n, MAX(0, _xlpm.lastYear - _xlpm.firstYear + 1), _xlpm.yrs, _xlfn.SEQUENCE(_xlpm.n, 1, _xlpm.firstYear, 1), _xlpm.starts, DATE(_xlpm.yrs, _xlpm.m, _xlpm.d), _xlpm.ends, _xlfn.MAP(_xlpm.starts, _xlpm.PeriodEnd), _xlpm.tag, IF(_xlpm.starts = _xlpm.ReportingCycleStart, " (This reporting cycle)", ""), _xlpm.startsText, TEXT(_xlpm.starts, "dd mmm yyyy"), _xlpm.endsText, TEXT(_xlpm.ends, "dd mmm yyyy"), IF(_xlpm.n = 0, "", _xlfn.HSTACK(_xlpm.startsText &amp; " to " &amp; _xlpm.endsText &amp; _xlpm.tag))))</definedName>
    <definedName name="Common_InputFunctions.Utility_DisplayArrayInTable">_xlfn.LAMBDA(_xlpm.ArrayData,_xlpm.TableheaderCell,_xlpm.RowsBetweenHeaderandArray,_xlop.ColumnsBetweenHeaderAndArray, IFERROR(INDEX(_xlfn.UNIQUE(_xlpm.ArrayData), ROW() - Common_InputFunctions.Utility_GetArrayTableRowStartNumber(_xlpm.TableheaderCell, _xlpm.RowsBetweenHeaderandArray), COLUMN() - Common_InputFunctions.Utility_GetArrayTableColumnStartNumber(_xlpm.TableheaderCell) + IF(_xlfn.ISOMITTED(_xlpm.ColumnsBetweenHeaderAndArray), 1, _xlpm.ColumnsBetweenHeaderAndArray)), ""))</definedName>
    <definedName name="Common_InputFunctions.Utility_DisplayFunctionName">_xlfn.LAMBDA(_xlpm.Function, _xlfn.TEXTBEFORE(_xlfn.FORMULATEXT(_xlpm.Function), "("))</definedName>
    <definedName name="Common_InputFunctions.Utility_GetArrayTableColumnStartNumber">_xlfn.LAMBDA(_xlpm.TableHeaderCell, COLUMN(_xlpm.TableHeaderCell))</definedName>
    <definedName name="Common_InputFunctions.Utility_GetArrayTableRowStartNumber">_xlfn.LAMBDA(_xlpm.TableheaderCell,_xlpm.RowsBetweenHeaderandArray, ROW(_xlpm.TableheaderCell) + _xlpm.RowsBetweenHeaderandArray - 1)</definedName>
    <definedName name="Common_InputFunctions.Utility_GetClimateZone">_xlfn.LAMBDA(_xlpm.avgTemp,_xlpm.avgRain,_xlpm.frostDays,_xlpm.elev,_xlpm.map_pet,_xlpm.minTempArray,_xlpm.maxTempArray,_xlpm.minRainfallArray,_xlpm.maxRainfallArray,_xlpm.minFrostArray,_xlpm.maxFrostArray,_xlpm.minElevationArray,_xlpm.maxElevationArray,_xlpm.minPETArray,_xlpm.maxPETArray,_xlpm.climateZoneArray, _xlfn.LET(_xlpm.mask, (VALUE(_xlpm.minTempArray) &lt;= _xlpm.avgTemp) * (VALUE(_xlpm.maxTempArray) &gt;= _xlpm.avgTemp) * (VALUE(_xlpm.minRainfallArray) &lt;= _xlpm.avgRain) * (VALUE(_xlpm.maxRainfallArray) &gt;= _xlpm.avgRain) * (VALUE(_xlpm.minFrostArray) &lt;= _xlpm.frostDays) * (VALUE(_xlpm.maxFrostArray) &gt;= _xlpm.frostDays) * (VALUE(_xlpm.minElevationArray) &lt;= _xlpm.elev) * (VALUE(_xlpm.maxElevationArray) &gt;= _xlpm.elev) * (VALUE(_xlpm.minPETArray) &lt;= _xlpm.map_pet) * (VALUE(_xlpm.maxPETArray) &gt;= _xlpm.map_pet), _xlfn.TAKE(_xlfn._xlws.FILTER(_xlpm.climateZoneArray, _xlpm.mask, "No match"), 1)))</definedName>
    <definedName name="Common_InputFunctions.Utility_LookupItemFromMinMax">_xlfn.LAMBDA(_xlpm.LookupValue,_xlpm.MinArray,_xlpm.MaxArray,_xlpm.ItemArray, _xlfn.LET(_xlpm.mask, (VALUE(_xlpm.MinArray) &lt;= _xlpm.LookupValue) * (VALUE(_xlpm.MaxArray) &gt;= _xlpm.LookupValue), _xlfn._xlws.FILTER(_xlpm.ItemArray, _xlpm.mask, "No match")))</definedName>
    <definedName name="Common_InputFunctions.Utility_LookupN2OEFFromProdIrrigationRainfall">_xlfn.LAMBDA(_xlpm.ProductionSystem,_xlpm.IrrigationMethod,_xlpm.RainfallZone,_xlpm.ProductionSystemArray,_xlpm.IrrigationMethodArray,_xlpm.RainfallZoneArray,_xlpm.ReturnArray, _xlfn.LET(_xlpm.IrrigationMethod, IF(_xlpm.IrrigationMethod = "Not irrigated", "Not irrigated", "Any"), _xlpm.RainfallZone, IF(_xlpm.IrrigationMethod = "Not irrigated", _xlpm.RainfallZone, "Any"), _xlfn.XLOOKUP(1, (_xlpm.ProductionSystemArray = _xlpm.ProductionSystem) * (_xlpm.IrrigationMethodArray = _xlpm.IrrigationMethod) * (_xlpm.RainfallZoneArray = _xlpm.RainfallZone), _xlpm.ReturnArray)))</definedName>
    <definedName name="Common_InputFunctions.Utility_LookupValueInTable">_xlfn.LAMBDA(_xlpm.LookupValue,_xlpm.LookupArray,_xlpm.ReturnArray, _xlfn.XLOOKUP(_xlpm.LookupValue, _xlpm.LookupArray, _xlpm.ReturnArray, ""))</definedName>
    <definedName name="Common_InputFunctions.Utility_LookupValueInTableNumber">_xlfn.LAMBDA(_xlpm.LookupValue,_xlpm.LookupArray,_xlpm.ReturnArray, IF(ISNUMBER(_xlfn.XLOOKUP(_xlpm.LookupValue, _xlpm.LookupArray, _xlpm.ReturnArray, "")), _xlfn.XLOOKUP(_xlpm.LookupValue, _xlpm.LookupArray, _xlpm.ReturnArray, ""), 0))</definedName>
    <definedName name="Common_InputFunctions.Utility_SplitStringIntoArray">_xlfn.LAMBDA(_xlpm.Cell,_xlpm.Delimiter,_xlop.CharacterToRemove1,_xlop.CharacterToRemove2, _xlfn.FILTERXML("&lt;t&gt;&lt;s&gt;" &amp; SUBSTITUTE(SUBSTITUTE(SUBSTITUTE(_xlpm.Cell, _xlpm.CharacterToRemove1, ""), _xlpm.CharacterToRemove2, ""), _xlpm.Delimiter, "&lt;/s&gt;&lt;s&gt;") &amp; "&lt;/s&gt;&lt;/t&gt;", "//s"))</definedName>
    <definedName name="Common_InputFunctions.Utility_SumQuantityFromCriteria">_xlfn.LAMBDA(_xlpm.Criteria1,_xlpm.Criteria1TypeArray,_xlpm.Quantity,_xlop.Multiplier,_xlop.Criteria2,_xlop.Criteria2Array, _xlfn.LET(_xlpm.multiplier, IF(_xlfn.ISOMITTED(_xlpm.Multiplier), 1, _xlpm.Multiplier), _xlpm.quantity, _xlpm.Quantity * _xlpm.multiplier, _xlpm.criteria1, --(_xlpm.Criteria1TypeArray = _xlpm.Criteria1), _xlpm.criteria2, IF(_xlfn.ISOMITTED(_xlpm.Criteria2), 1, --(_xlpm.Criteria2Array = _xlpm.Criteria2)), SUMPRODUCT(_xlpm.criteria1 * _xlpm.criteria2 * _xlpm.quantity)))</definedName>
    <definedName name="Common_SourceData.Common_SourceData_AustralianStatesTerritories_Data">_xlfn.LAMBDA(_xlfn.MAKEARRAY(9, 3, _xlfn.LAMBDA(_xlpm.r,_xlpm.c, INDEX({"State/Territory","Common Name","Abbreviation";"New South Wales","New South Wales","NSW";"Australian Capital Territory","ACT","ACT";"Victoria","Victoria","VIC";"Queensland","Queensland","QLD";"South Australia","South Australia","SA";"Western Australia","Western Australia","WA";"Tasmania","Tasmania","TAS";"Northern Territory","Northern Territory","NT"}, _xlpm.r, _xlpm.c))))</definedName>
    <definedName name="Common_SourceData.Common_SourceData_AustralianStatesTerritories_Source">_xlfn.LAMBDA("")</definedName>
    <definedName name="Common_SourceData.Common_SourceData_AustralianStatesTerritories_Title">_xlfn.LAMBDA("Australian states and territories")</definedName>
    <definedName name="Common_SourceData.Common_SourceData_AustralianStatesTerritories_Unit">_xlfn.LAMBDA("")</definedName>
    <definedName name="Common_SourceData.Common_SourceData_AustralianStatesTerritories_Variable">_xlfn.LAMBDA("")</definedName>
    <definedName name="Common_SourceData.Common_SourceData_ClimateZones_Appendices">_xlfn.LAMBDA(_xlfn.MAKEARRAY(4, 1, _xlfn.LAMBDA(_xlpm.r,_xlpm.c, INDEX({"Note:";"MAT = mean annual temperature";"MAP = mean annual precipitation";"PET = potential evapotranspiration"}, _xlpm.r, _xlpm.c))))</definedName>
    <definedName name="Common_SourceData.Common_SourceData_ClimateZones_Data">_xlfn.LAMBDA(_xlfn.MAKEARRAY(9, 16, _xlfn.LAMBDA(_xlpm.r,_xlpm.c, INDEX({"Climate Zone","MAT","MAP","Frost days per year","Elevation","MAP:PET","Min temp","Max temp","Min rainfall","Max rainfall","Min frost days","Max frost days","Min elevation","Max elevation","Min MAP:PET","Min MAP:PET";"Tropical montane","&gt; 18 C","Any","≤ 7","&gt; 1000 m","Any",18.001,999999,-999999,999999,-999999,7,1000,999999,-999999,999999;"Tropical wet","&gt; 18 C","&gt; 2000 mm","≤ 7","≤ 1000 m","Any",18.001,999999,2000.001,999999,-999999,7,-999999,999.999,-999999,999999;"Tropical moist","&gt; 18 C","&gt; 1000 mm - ≤ 2000 mm","≤ 7","≤ 1000 m","Any",18.001,999999,1000.001,2000,-999999,7,-999999,999.999,-999999,999999;"Tropical dry","&gt; 18 C","≤ 1000 mm","≤ 7","≤ 1000 m","Any",18.001,999999,-999999,1000,-999999,7,-999999,999.999,-999999,999999;"Warm temperate moist","&gt; 10 C","Any","Any","Any","&gt; 1",10.001,999999,-999999,999999,-999999,999999,-999999,999999,1.001,999999;"Warm temperate dry","&gt; 10 C","Any","Any","Any","≤ 1",10.001,999999,-999999,999999,-999999,999999,-999999,999999,-999999,1;"Cool temperate moist","&gt; 0 C - ≤ 10 C","Any","Any","Any","&gt; 1",-999999,10,-999999,999999,-999999,999999,-999999,999999,1.001,999999;"Cool temperate dry","&gt; 0 C - ≤ 10 C","Any","Any","Any","≤ 1",-999999,10,-999999,999999,-999999,999999,-999999,999999,-999999,1}, _xlpm.r, _xlpm.c))))</definedName>
    <definedName name="Common_SourceData.Common_SourceData_ClimateZones_Source">_xlfn.LAMBDA("VEERG 2026: Table 1.3: Climate and Rainfall zone classifications and definitions")</definedName>
    <definedName name="Common_SourceData.Common_SourceData_ClimateZones_Title">_xlfn.LAMBDA("VEERG Australian climate zones")</definedName>
    <definedName name="Common_SourceData.Common_SourceData_ClimateZones_Unit">_xlfn.LAMBDA("")</definedName>
    <definedName name="Common_SourceData.Common_SourceData_ClimateZones_Variable">_xlfn.LAMBDA("")</definedName>
    <definedName name="Common_SourceData.Common_SourceData_ClimateZones_Variation">_xlfn.LAMBDA(_xlfn.MAKEARRAY(5, 1, _xlfn.LAMBDA(_xlpm.r,_xlpm.c, INDEX({"VARIATION OF SOURCE DATA:";"Added warm / cool temperate moist / dry - low frost and high temp classes to accommodate climate scenarios excluded by VEERG criteria.";"Fixed typo in MAT value for warm temperate dry - changed 10 to 11.";"Added min and max columns for MAT, MAP, frost days per year, elevation, MAP:PET to calculate zones from real climate data.";"GAF accepts rainfall as a proxy for precipitation."}, _xlpm.r, _xlpm.c))))</definedName>
    <definedName name="Common_SourceData.Common_SourceData_ConvertGasElementalToMolecular_Data">_xlfn.LAMBDA(_xlfn.MAKEARRAY(8, 4, _xlfn.LAMBDA(_xlpm.r,_xlpm.c, INDEX({"Gas","Conversion factor","Conversion factor 1","Conversion factor 2";"CO2","44/12",44,12;"CH4","16/12",16,12;"N2O","44/28",44,28;"Nox","46/14",46,14;"CO","28/12",28,12;"CO2 Lime","44/12",44,12;"NMVOC","14/12",14,12}, _xlpm.r, _xlpm.c))))</definedName>
    <definedName name="Common_SourceData.Common_SourceData_ConvertGasElementalToMolecular_Source">_xlfn.LAMBDA("XXXXXXX")</definedName>
    <definedName name="Common_SourceData.Common_SourceData_ConvertGasElementalToMolecular_Title">_xlfn.LAMBDA("Factor to convert elemental mass of gas to molecular mass")</definedName>
    <definedName name="Common_SourceData.Common_SourceData_ConvertGasElementalToMolecular_Unit">_xlfn.LAMBDA("factor")</definedName>
    <definedName name="Common_SourceData.Common_SourceData_ConvertGasElementalToMolecular_Variable">_xlfn.LAMBDA("Cg")</definedName>
    <definedName name="Common_SourceData.Common_SourceData_ConvertN2oElementalToMolecularCg_Data">_xlfn.LAMBDA(44 / 28)</definedName>
    <definedName name="Common_SourceData.Common_SourceData_ConvertN2oElementalToMolecularCg_Source">_xlfn.LAMBDA("National Inventory Report 2023 Volume 1")</definedName>
    <definedName name="Common_SourceData.Common_SourceData_ConvertN2oElementalToMolecularCg_Title">_xlfn.LAMBDA("Factor to convert elemental mass of N2O to molecular mass")</definedName>
    <definedName name="Common_SourceData.Common_SourceData_ConvertN2oElementalToMolecularCg_Unit">_xlfn.LAMBDA("factor")</definedName>
    <definedName name="Common_SourceData.Common_SourceData_ConvertN2oElementalToMolecularCg_Variable">_xlfn.LAMBDA("CgN2O")</definedName>
    <definedName name="Common_SourceData.Common_SourceData_DataScores_Scope3_Data">_xlfn.LAMBDA(_xlfn.MAKEARRAY(6, 2, _xlfn.LAMBDA(_xlpm.r,_xlpm.c, INDEX({"Data source","Data score";"International scope 3 database",1;"Australian scope 3 database",2;"State or regional scope 3 database",3;"Emissions intensity calculated from approved method",4;"Verified credential matching ISO14067",5}, _xlpm.r, _xlpm.c))))</definedName>
    <definedName name="Common_SourceData.Common_SourceData_DataScores_Scope3_Source">_xlfn.LAMBDA("VEERG 2026: XXXXXXXX")</definedName>
    <definedName name="Common_SourceData.Common_SourceData_DataScores_Scope3_Title">_xlfn.LAMBDA("Australian data scores for scope 3")</definedName>
    <definedName name="Common_SourceData.Common_SourceData_DataScores_Scope3_Unit">_xlfn.LAMBDA("")</definedName>
    <definedName name="Common_SourceData.Common_SourceData_DataScores_Scope3_Variable">_xlfn.LAMBDA("")</definedName>
    <definedName name="Common_SourceData.Common_SourceData_DataScores_Scope3_Variation">_xlfn.LAMBDA("")</definedName>
    <definedName name="Common_SourceData.Common_SourceData_DensityOfMethane_Data">_xlfn.LAMBDA(0.6784)</definedName>
    <definedName name="Common_SourceData.Common_SourceData_DensityOfMethane_Source">_xlfn.LAMBDA("National Inventory Report 2023 Volume 1: Equations 3.B.1a_2, 3.B.1c_2, 3.B.3_1, 3.B.4g_2")</definedName>
    <definedName name="Common_SourceData.Common_SourceData_DensityOfMethane_Title">_xlfn.LAMBDA("p = density of methane")</definedName>
    <definedName name="Common_SourceData.Common_SourceData_DensityOfMethane_Unit">_xlfn.LAMBDA("kg/m3")</definedName>
    <definedName name="Common_SourceData.Common_SourceData_EFleach_Data">_xlfn.LAMBDA(_xlfn.MAKEARRAY(1, 2, _xlfn.LAMBDA(_xlpm.r,_xlpm.c, INDEX({"EFleach",0.011}, _xlpm.r, _xlpm.c))))</definedName>
    <definedName name="Common_SourceData.Common_SourceData_EFleach_NIRReference">_xlfn.LAMBDA("National Inventory Report Volume 1: Equation 3.D.B_10")</definedName>
    <definedName name="Common_SourceData.Common_SourceData_EFleach_Source">_xlfn.LAMBDA("VEERG 2026:5.5.2.3 Constant Parameters")</definedName>
    <definedName name="Common_SourceData.Common_SourceData_EFleach_Title">_xlfn.LAMBDA("Emission factor for nitrogen leaching and runoff")</definedName>
    <definedName name="Common_SourceData.Common_SourceData_EFleach_Unit">_xlfn.LAMBDA("(kg N2O-N / kg N")</definedName>
    <definedName name="Common_SourceData.Common_SourceData_EFleach_Variation">_xlfn.LAMBDA((""))</definedName>
    <definedName name="Common_SourceData.Common_SourceData_EFN2O_Data">_xlfn.LAMBDA(_xlfn.MAKEARRAY(15, 5, _xlfn.LAMBDA(_xlpm.r,_xlpm.c, INDEX({"Production system j","EFN2O","Production system only","Irrigation method","Rainfall zone";"Irrigated pasture",0.0059,"Pasture","Any","Any";"Irrigated crop",0.007,"Crop","Any","Any";"Non-irrigated pasture",0.0018,"Pasture","Not irrigated","Low rainfall";"Non-irrigated pasture",0.0018,"Pasture","Not irrigated","High rainfall";"Non-irrigated crop (low rainfall)",0.0029,"Crop","Not irrigated","Low rainfall";"Non-irrigated crop (high rainfall)",0.008,"Crop","Not irrigated","High rainfall";"Sugar",0.0199,"Sugar","Any","Any";"Cotton",0.0053,"Cotton","Any","Any";"Horticultural crops",0.0064,"Horticultural crops","Any","Any";"Rice (continuous flooding)",0.003,"Rice","Continuous flooding","Any";"Rice (single and multiple drainage, or alternate wetting and drying)",0.005,"Rice","Single and multiple drainage, or alternate wetting and drying","Any";"Aquaculture",0.0026,"Aquaculture","Any","Any";"Forestry",0.0018,"Forestry","Any","Any"}, _xlpm.r, _xlpm.c))))</definedName>
    <definedName name="Common_SourceData.Common_SourceData_EFN2O_NIRReference">_xlfn.LAMBDA("")</definedName>
    <definedName name="Common_SourceData.Common_SourceData_EFN2O_Source">_xlfn.LAMBDA("VEERG 2026: Table A.2.2.1")</definedName>
    <definedName name="Common_SourceData.Common_SourceData_EFN2O_Title">_xlfn.LAMBDA("Nitrous oxide emission factors for inorganic fertiliser application")</definedName>
    <definedName name="Common_SourceData.Common_SourceData_EFN2O_Unit">_xlfn.LAMBDA("(kg N2O-N / kg N")</definedName>
    <definedName name="Common_SourceData.Common_SourceData_EFN2O_Variation">_xlfn.LAMBDA(_xlfn.MAKEARRAY(5, 1, _xlfn.LAMBDA(_xlpm.r,_xlpm.c, INDEX({"VARIATION OF SOURCE DATA:";"Removed duplicate 'Aquaculture' row.";"Removed asterisks to aid lookup.";"Added 'production system only', 'rainfall zone' and 'irrigation method' columns to aid lookup.";"Duplicated 'non-irrigated pasture' row with same EF for low and high rainfall zones to aid lookup."}, _xlpm.r, _xlpm.c))))</definedName>
    <definedName name="Common_SourceData.Common_SourceData_EFPastureRangeAndPaddock_Data">_xlfn.LAMBDA(_xlfn.MAKEARRAY(3, 2, _xlfn.LAMBDA(_xlpm.r,_xlpm.c, INDEX({"Climate zone","EFPRP";"Wet climate zone",0.006;"Dry climate zone",0.002}, _xlpm.r, _xlpm.c))))</definedName>
    <definedName name="Common_SourceData.Common_SourceData_EFPastureRangeAndPaddock_NIRReference">_xlfn.LAMBDA("")</definedName>
    <definedName name="Common_SourceData.Common_SourceData_EFPastureRangeAndPaddock_Source">_xlfn.LAMBDA("VEERG 2026: Table A.2.2.2")</definedName>
    <definedName name="Common_SourceData.Common_SourceData_EFPastureRangeAndPaddock_Title">_xlfn.LAMBDA("Emission factor for urine and dung deposited on pasture, range or paddock")</definedName>
    <definedName name="Common_SourceData.Common_SourceData_EFPastureRangeAndPaddock_Unit">_xlfn.LAMBDA("kg N2O - N / kg N")</definedName>
    <definedName name="Common_SourceData.Common_SourceData_EFPastureRangeAndPaddock_Variation">_xlfn.LAMBDA("VARIATION FROM SOURCE DATA: Changed 'Dry climate zones' to singular 'Dry climate zone' to aid lookup.")</definedName>
    <definedName name="Common_SourceData.Common_SourceData_FracLEACH_Data">_xlfn.LAMBDA(_xlfn.MAKEARRAY(1, 2, _xlfn.LAMBDA(_xlpm.r,_xlpm.c, INDEX({"FracLEACH",0.24}, _xlpm.r, _xlpm.c))))</definedName>
    <definedName name="Common_SourceData.Common_SourceData_FracLEACH_NIRReference">_xlfn.LAMBDA("National Inventory Report Volume 1: Leaching and runoff (3.D.b.2)")</definedName>
    <definedName name="Common_SourceData.Common_SourceData_FracLEACH_Source">_xlfn.LAMBDA("VEERG 2026:5.5.2.3 Constant Parameters")</definedName>
    <definedName name="Common_SourceData.Common_SourceData_FracLEACH_Title">_xlfn.LAMBDA("Fraction of N that is available for leaching and runoff")</definedName>
    <definedName name="Common_SourceData.Common_SourceData_FracLEACH_Unit">_xlfn.LAMBDA("(Dimensionless")</definedName>
    <definedName name="Common_SourceData.Common_SourceData_FracLEACH_Variation">_xlfn.LAMBDA((""))</definedName>
    <definedName name="Common_SourceData.Common_SourceData_FracWET_Data">_xlfn.LAMBDA(_xlfn.MAKEARRAY(3, 2, _xlfn.LAMBDA(_xlpm.r,_xlpm.c, INDEX({"Is in leaching zone","FracWET";"Yes - in leaching zone",1;"No - not in leaching zone",0}, _xlpm.r, _xlpm.c))))</definedName>
    <definedName name="Common_SourceData.Common_SourceData_FracWET_NIRReference">_xlfn.LAMBDA("")</definedName>
    <definedName name="Common_SourceData.Common_SourceData_FracWET_Source">_xlfn.LAMBDA("VEERG 2026:5.5.2.3 Constant Parameters")</definedName>
    <definedName name="Common_SourceData.Common_SourceData_FracWET_Title">_xlfn.LAMBDA("Fraction of N that is available for leaching and runoff")</definedName>
    <definedName name="Common_SourceData.Common_SourceData_FracWET_Unit">_xlfn.LAMBDA("(Dimensionless")</definedName>
    <definedName name="Common_SourceData.Common_SourceData_FracWET_Variation">_xlfn.LAMBDA((""))</definedName>
    <definedName name="Common_SourceData.Common_SourceData_FracWETIrrigation_Data">_xlfn.LAMBDA(_xlfn.MAKEARRAY(6, 2, _xlfn.LAMBDA(_xlpm.r,_xlpm.c, INDEX({"Irrigation type ir","FracWET";"Not irrigated",0;"Drip irrigation",0;"Sprinkler irrigation",1;"Surface irrigation",1;"Other irrigation",1}, _xlpm.r, _xlpm.c))))</definedName>
    <definedName name="Common_SourceData.Common_SourceData_FracWETIrrigation_NIRReference">_xlfn.LAMBDA("IPCC 2019 Refinement Volume 4: Chapter 11: N2O Emissions from Managed Soils, and CO2 Emissions from Lime and Urea Application")</definedName>
    <definedName name="Common_SourceData.Common_SourceData_FracWETIrrigation_Source">_xlfn.LAMBDA("VEERG 2026: Chapter 1, section 1.8.2 Leaching, climate and rainfall zones")</definedName>
    <definedName name="Common_SourceData.Common_SourceData_FracWETIrrigation_Title">_xlfn.LAMBDA("FracWET for irrigation types")</definedName>
    <definedName name="Common_SourceData.Common_SourceData_FracWETIrrigation_Unit">_xlfn.LAMBDA("dimensionless")</definedName>
    <definedName name="Common_SourceData.Common_SourceData_FracWETIrrigation_Variation">_xlfn.LAMBDA("VARIATION FROM SOURCE DATA: Table created based on VEERG text 'Areas are subject to leaching (i.e., in the leaching zone) when... the land is irrigated (except drip irrigation).'")</definedName>
    <definedName name="Common_SourceData.Common_SourceData_GWP_Data">_xlfn.LAMBDA(_xlfn.MAKEARRAY(8, 2, _xlfn.LAMBDA(_xlpm.r,_xlpm.c, INDEX({"Gas","CO2-e factor";"CO2",1;"CH4",28;"N2O",265;"CF4",6630;"C2F6",12200;"SF6",22800;"NF3",17200}, _xlpm.r, _xlpm.c))))</definedName>
    <definedName name="Common_SourceData.Common_SourceData_GWP_Source">_xlfn.LAMBDA("XXXXXXX")</definedName>
    <definedName name="Common_SourceData.Common_SourceData_GWP_Title">_xlfn.LAMBDA("Global warming potential for greenhouse gases")</definedName>
    <definedName name="Common_SourceData.Common_SourceData_GWP_Unit">_xlfn.LAMBDA("factor")</definedName>
    <definedName name="Common_SourceData.Common_SourceData_GWP_Variable">_xlfn.LAMBDA("GWPN2O")</definedName>
    <definedName name="Common_SourceData.Common_SourceData_LeachingZones_Data">_xlfn.LAMBDA(_xlfn.MAKEARRAY(4, 2, _xlfn.LAMBDA(_xlpm.r,_xlpm.c, INDEX({"Leaching Zone","Leaching criteria";"Leaching occurs","Σ(𝑟𝑎𝑖𝑛)&gt;Σ(𝐸𝑇0)+𝑠𝑜𝑖𝑙 𝑤𝑎𝑡𝑒𝑟 ℎ𝑜𝑙𝑑𝑖𝑛𝑔 𝑐𝑎𝑝𝑎𝑐𝑖𝑡𝑦";"Leaching does not occur","Σ(𝑟𝑎𝑖𝑛)≤Σ(𝐸𝑇0)+𝑠𝑜𝑖𝑙 𝑤𝑎𝑡𝑒𝑟 ℎ𝑜𝑙𝑑𝑖𝑛𝑔 𝑐𝑎𝑝𝑎𝑐𝑖𝑡𝑦"}, _xlpm.r, _xlpm.c))))</definedName>
    <definedName name="Common_SourceData.Common_SourceData_LeachingZones_Source">_xlfn.LAMBDA("VEERG 2026: Table 1.3: Climate and Rainfall zone classifications and definitions")</definedName>
    <definedName name="Common_SourceData.Common_SourceData_LeachingZones_Title">_xlfn.LAMBDA("VEERG Australian leaching zones")</definedName>
    <definedName name="Common_SourceData.Common_SourceData_LeachingZones_Unit">_xlfn.LAMBDA("")</definedName>
    <definedName name="Common_SourceData.Common_SourceData_LeachingZones_Variable">_xlfn.LAMBDA("")</definedName>
    <definedName name="Common_SourceData.Common_SourceData_LeachingZones_Variation">_xlfn.LAMBDA("")</definedName>
    <definedName name="Common_SourceData.Common_SourceData_MonthsToSeasons_Data">_xlfn.LAMBDA(_xlfn.MAKEARRAY(13, 2, _xlfn.LAMBDA(_xlpm.r,_xlpm.c, INDEX({"Month","Season";"January","Summer";"February","Summer";"March","Autumn";"April","Autumn";"May","Autumn";"June","Winter";"July","Winter";"August","Winter";"September","Spring";"October","Spring";"November","Spring";"December","Summer"}, _xlpm.r, _xlpm.c))))</definedName>
    <definedName name="Common_SourceData.Common_SourceData_MonthsToSeasons_NIRReference">_xlfn.LAMBDA("")</definedName>
    <definedName name="Common_SourceData.Common_SourceData_MonthsToSeasons_Source">_xlfn.LAMBDA("")</definedName>
    <definedName name="Common_SourceData.Common_SourceData_MonthsToSeasons_Title">_xlfn.LAMBDA("Months to Seasons Mapping")</definedName>
    <definedName name="Common_SourceData.Common_SourceData_MonthsToSeasons_Unit">_xlfn.LAMBDA("")</definedName>
    <definedName name="Common_SourceData.Common_SourceData_MonthsToSeasons_Variation">_xlfn.LAMBDA("")</definedName>
    <definedName name="Common_SourceData.Common_SourceData_RainfallZones_Data">_xlfn.LAMBDA(_xlfn.MAKEARRAY(3, 4, _xlfn.LAMBDA(_xlpm.r,_xlpm.c, INDEX({"Rainfall Zone","Annual rainfall","Rainfall min","Rainfall max";"High rainfall","Annual rainfall &gt; 600mm",600.001,999999;"Low rainfall","Annual rainfall ≤ 600mm",-999999,600}, _xlpm.r, _xlpm.c))))</definedName>
    <definedName name="Common_SourceData.Common_SourceData_RainfallZones_Source">_xlfn.LAMBDA("VEERG 2026: Table 1.3: Climate and Rainfall zone classifications and definitions")</definedName>
    <definedName name="Common_SourceData.Common_SourceData_RainfallZones_Title">_xlfn.LAMBDA("VEERG Australian rainfall zones")</definedName>
    <definedName name="Common_SourceData.Common_SourceData_RainfallZones_Unit">_xlfn.LAMBDA("")</definedName>
    <definedName name="Common_SourceData.Common_SourceData_RainfallZones_Variable">_xlfn.LAMBDA("")</definedName>
    <definedName name="Common_SourceData.Common_SourceData_RainfallZones_Variation">_xlfn.LAMBDA("VARIATION OF SOURCE DATA: Added extra Rainfall min and Rainfall max columns to calculate zone from real rainfall data.")</definedName>
    <definedName name="Common_SourceData.Common_SourceData_TemperatureZones_Data">_xlfn.LAMBDA(_xlfn.MAKEARRAY(4, 4, _xlfn.LAMBDA(_xlpm.r,_xlpm.c, INDEX({"Temperature Zone","Median Annual Temperature (MAT)","Min MAT","Max MAT";"Warm","≥ 26 C",26,999999;"Temperate","15 - 25 C",15,25.999;"Cool","≤ 14 C",-999999,14.999}, _xlpm.r, _xlpm.c))))</definedName>
    <definedName name="Common_SourceData.Common_SourceData_TemperatureZones_Source">_xlfn.LAMBDA("VEERG 2026: Table 1.3: Climate and Rainfall zone classifications and definitions")</definedName>
    <definedName name="Common_SourceData.Common_SourceData_TemperatureZones_Title">_xlfn.LAMBDA("VEERG Australian temperature zones")</definedName>
    <definedName name="Common_SourceData.Common_SourceData_TemperatureZones_Unit">_xlfn.LAMBDA("")</definedName>
    <definedName name="Common_SourceData.Common_SourceData_TemperatureZones_Variable">_xlfn.LAMBDA("")</definedName>
    <definedName name="Common_SourceData.Common_SourceData_TemperatureZones_Variation">_xlfn.LAMBDA("VARIATION OF SOURCE DATA: Added extra MAT min and MAT max columns to calculate zone from real temperature data.")</definedName>
    <definedName name="Common_SourceData.Common_SourceData_WASA4Areas_Data">_xlfn.LAMBDA(_xlfn.MAKEARRAY(11, 1, _xlfn.LAMBDA(_xlpm.r,_xlpm.c, INDEX({"SA 4 Name";"Bunbury";"Mandurah";"Perth - Inner";"Perth - North East";"Perth - North West";"Perth - South East";"Perth - South West";"Western Australia - Wheat Belt";"Western Australia - Outback (North)";"Western Australia - Outback (South)"}, _xlpm.r, _xlpm.c))))</definedName>
    <definedName name="Common_SourceData.Common_SourceData_WASA4Areas_Source">_xlfn.LAMBDA("Australian Bureau of Statistics (ABS) - Statistical Areas Level 2 - 2021 - Shapefile")</definedName>
    <definedName name="Common_SourceData.Common_SourceData_WASA4Areas_Title">_xlfn.LAMBDA("ABS Statistcal Areas Level 4 - Western Australia")</definedName>
    <definedName name="Common_SourceData.Common_SourceData_WASA4Areas_Unit">_xlfn.LAMBDA("")</definedName>
    <definedName name="Common_SourceData.Common_SourceData_WASA4Areas_Variable">_xlfn.LAMBDA("")</definedName>
    <definedName name="Common_SourceData.Common_SourceData_WetAndDryZones_Data">_xlfn.LAMBDA(_xlfn.MAKEARRAY(15, 2, _xlfn.LAMBDA(_xlpm.r,_xlpm.c, INDEX({"Climate Zone","Wet or Dry Zone";"Tropical montane","Wet climate zone";"Tropical wet","Wet climate zone";"Tropical moist","Wet climate zone";"Tropical dry","Dry climate zone";"Warm temperate moist","Wet climate zone";"Warm temperate dry","Dry climate zone";"Cool temperate moist","Wet climate zone";"Cool temperate dry","Dry climate zone";"Warm temperate moist - low frost","Wet climate zone";"Warm temperate dry - low frost","Dry climate zone";"Warm temperate moist - high temp","Wet climate zone";"Warm temperate dry - high temp","Dry climate zone";"Cool temperate moist - low frost","Wet climate zone";"Cool temperate dry - low frost","Dry climate zone"}, _xlpm.r, _xlpm.c))))</definedName>
    <definedName name="Common_SourceData.Common_SourceData_WetAndDryZones_Source">_xlfn.LAMBDA("VEERG 2026: Table 1.2: Translating climate zones to wet and dry zones")</definedName>
    <definedName name="Common_SourceData.Common_SourceData_WetAndDryZones_Title">_xlfn.LAMBDA("VEERG Australian wet and dry zones")</definedName>
    <definedName name="Common_SourceData.Common_SourceData_WetAndDryZones_Unit">_xlfn.LAMBDA("")</definedName>
    <definedName name="Common_SourceData.Common_SourceData_WetAndDryZones_Variable">_xlfn.LAMBDA("")</definedName>
    <definedName name="Common_SourceData.Common_SourceData_WetAndDryZones_Variation">_xlfn.LAMBDA(_xlfn.MAKEARRAY(3, 1, _xlfn.LAMBDA(_xlpm.r,_xlpm.c, INDEX({"VARIATION OF SOURCE DATA:";"Added warm / cool temperate moist / dry - low frost and high temp classes to accommodate climate scenarios excluded by VEERG criteria.";"Fixed typo - Changed 'Fry' to 'Dry'."}, _xlpm.r, _xlpm.c))))</definedName>
    <definedName name="CommonLivestock_InputFunctions.AverageLiveweightEndOfMonth">_xlfn.LAMBDA(_xlpm.Month,_xlpm.LivestockClass,_xlpm.HeadAtStart,_xlpm.LiveweightAtStart,_xlpm.LiveweightGain, [0]!CommonLivestock_InputFunctions.LivestockMovement_ProportionalAverageLiveweightAddedDuringMonth(_xlpm.Month, _xlpm.LivestockClass, _xlpm.HeadAtStart) + [0]!CommonLivestock_InputFunctions.LivestockMovement_ProportionalAverageLiveweightRemainingAtEndOfMonth(_xlpm.Month, _xlpm.LivestockClass, _xlpm.HeadAtStart, _xlpm.LiveweightAtStart, _xlpm.LiveweightGain))</definedName>
    <definedName name="CommonLivestock_InputFunctions.LivestockMovement_AverageLiveweightAddedDuringMonth">_xlfn.LAMBDA(_xlpm.Month,_xlpm.LivestockClass, IFERROR([0]!CommonLivestock_InputFunctions.LivestockMovement_TotalLiveweightAddedDuringMonth(_xlpm.Month, _xlpm.LivestockClass) / [0]!CommonLivestock_InputFunctions.LivestockMovement_HeadAddedDuringMonth(_xlpm.Month, _xlpm.LivestockClass), 0))</definedName>
    <definedName name="CommonLivestock_InputFunctions.LivestockMovement_GetMovementLiveweightGain">_xlfn.LAMBDA(_xlpm.LivestockClass,_xlpm.MovementDate, _xlfn.LET(_xlpm.ym, TEXT(_xlpm.MovementDate, "yyyymm"), IFERROR(INDEX(_xlfn._xlws.FILTER(#REF!, (TEXT(#REF!, "yyyymm") = _xlpm.ym) * (#REF! = _xlpm.LivestockClass)), 1), "")))</definedName>
    <definedName name="CommonLivestock_InputFunctions.LivestockMovement_HeadAdded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HeadAtEndOfMonth">_xlfn.LAMBDA(_xlpm.HeadAtStart,_xlpm.Month,_xlpm.LivestockClass, _xlpm.HeadAtStart + [0]!CommonLivestock_InputFunctions.LivestockMovement_HeadAddedDuringMonth(_xlpm.Month, _xlpm.LivestockClass) - [0]!CommonLivestock_InputFunctions.LivestockMovement_HeadLostDuringMonth(_xlpm.Month, _xlpm.LivestockClass))</definedName>
    <definedName name="CommonLivestock_InputFunctions.LivestockMovement_HeadLost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HeadRemainingAtMonthEnd">_xlfn.LAMBDA(_xlpm.Month,_xlpm.LivestockClass,_xlpm.HeadAtStartOfMonth, MAX(_xlpm.HeadAtStartOfMonth - [0]!CommonLivestock_InputFunctions.LivestockMovement_HeadLostDuringMonth(_xlpm.Month, _xlpm.LivestockClass), 0))</definedName>
    <definedName name="CommonLivestock_InputFunctions.LivestockMovement_LiveweightAddedDuringMonth">_xlfn.LAMBDA(_xlpm.LivestockClass,_xlpm.MovementDate,_xlpm.WeightAtMovementDate,_xlpm.Head, IFERROR(_xlpm.Head * (_xlpm.WeightAtMovementDate + [0]!CommonLivestock_InputFunctions.LivestockMovement_LiveweightGrownDuringMonthPerHead(_xlpm.LivestockClass, _xlpm.MovementDate)), 0))</definedName>
    <definedName name="CommonLivestock_InputFunctions.LivestockMovement_LiveweightGrownDuringMonthPerHead">_xlfn.LAMBDA(_xlpm.LivestockClass,_xlpm.MovementDate, IFERROR([0]!CommonLivestock_InputFunctions.LivestockMovement_GetMovementLiveweightGain(_xlpm.LivestockClass, _xlpm.MovementDate) * CommonLivestock_InputFunctions.LivestockMovement_DaysMovementToMonthEnd(_xlpm.MovementDate), 0))</definedName>
    <definedName name="CommonLivestock_InputFunctions.LivestockMovement_LiveweightGrownFromMonthStartPerHead">_xlfn.LAMBDA(_xlpm.LivestockClass,_xlpm.Month, [0]!CommonLivestock_InputFunctions.LivestockMovement_LiveweightGrownDuringMonthPerHead(_xlpm.LivestockClass, EOMONTH(_xlpm.Month, -1) + 1))</definedName>
    <definedName name="CommonLivestock_InputFunctions.LivestockMovement_LiveweightGrownFromMonthStartTotal">_xlfn.LAMBDA(_xlpm.LivestockClass,_xlpm.Month,_xlpm.HeadAtStartOfMonth, [0]!CommonLivestock_InputFunctions.LivestockMovement_HeadRemainingAtMonthEnd(_xlpm.Month, _xlpm.LivestockClass, _xlpm.HeadAtStartOfMonth) * [0]!CommonLivestock_InputFunctions.LivestockMovement_LiveweightGrownFromMonthStartPerHead(_xlpm.LivestockClass, _xlpm.Month))</definedName>
    <definedName name="CommonLivestock_InputFunctions.LivestockMovement_LiveweightGrownFromMovementDateTotal">_xlfn.LAMBDA(_xlpm.LivestockClass,_xlpm.MovementDate,_xlpm.Head, [0]!CommonLivestock_InputFunctions.LivestockMovement_LiveweightGrownDuringMonthPerHead(_xlpm.LivestockClass, _xlpm.MovementDate) * _xlpm.Head)</definedName>
    <definedName name="CommonLivestock_InputFunctions.LivestockMovement_ProportionalAverageLiveweightAddedDuringMonth">_xlfn.LAMBDA(_xlpm.Month,_xlpm.LivestockClass,_xlpm.HeadAtStart, [0]!CommonLivestock_InputFunctions.LivestockMovement_ProportionHeadAddedDuringMonth(_xlpm.Month, _xlpm.LivestockClass, _xlpm.HeadAtStart) * [0]!CommonLivestock_InputFunctions.LivestockMovement_AverageLiveweightAddedDuringMonth(_xlpm.Month, _xlpm.LivestockClass))</definedName>
    <definedName name="CommonLivestock_InputFunctions.LivestockMovement_ProportionalAverageLiveweightRemainingAtEndOfMonth">_xlfn.LAMBDA(_xlpm.Month,_xlpm.LivestockClass,_xlpm.HeadAtStart,_xlpm.LiveweightAtStart,_xlpm.LiveweightGain, [0]!CommonLivestock_InputFunctions.LivestockMovement_ProportionHeadRemainingAtEndOfMonth(_xlpm.Month, _xlpm.LivestockClass, _xlpm.HeadAtStart) * CommonLivestock_InputFunctions.LivestockMovement_AverageLiveweightRemainingHead(_xlpm.Month, _xlpm.LiveweightAtStart, _xlpm.LiveweightGain))</definedName>
    <definedName name="CommonLivestock_InputFunctions.LivestockMovement_ProportionHeadAddedDuringMonth">_xlfn.LAMBDA(_xlpm.Month,_xlpm.LivestockClass,_xlpm.HeadAtStart, IFERROR(MIN(1, [0]!CommonLivestock_InputFunctions.LivestockMovement_HeadAddedDuringMonth(_xlpm.Month, _xlpm.LivestockClass) / [0]!CommonLivestock_InputFunctions.LivestockMovement_HeadAtEndOfMonth(_xlpm.HeadAtStart, _xlpm.Month, _xlpm.LivestockClass)), 0))</definedName>
    <definedName name="CommonLivestock_InputFunctions.LivestockMovement_ProportionHeadRemainingAtEndOfMonth">_xlfn.LAMBDA(_xlpm.Month,_xlpm.LivestockClass,_xlpm.HeadAtStart, IFERROR(MIN(1, [0]!CommonLivestock_InputFunctions.LivestockMovement_HeadRemainingAtMonthEnd(_xlpm.Month, _xlpm.LivestockClass, _xlpm.HeadAtStart) / [0]!CommonLivestock_InputFunctions.LivestockMovement_HeadAtEndOfMonth(_xlpm.HeadAtStart, _xlpm.Month, _xlpm.LivestockClass)), 0))</definedName>
    <definedName name="CommonLivestock_InputFunctions.LivestockMovement_TotalLiveweightAdded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TotalLiveweightGrown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TotalLiveweightGrownDuringMonthAddedAndRemaining">_xlfn.LAMBDA(_xlpm.Month,_xlpm.LivestockClass,_xlpm.HeadAtStart, [0]!CommonLivestock_InputFunctions.LivestockMovement_LiveweightGrownFromMonthStartTotal(_xlpm.LivestockClass, _xlpm.Month, _xlpm.HeadAtStart) + [0]!CommonLivestock_InputFunctions.LivestockMovement_TotalLiveweightGrownDuringMonth(_xlpm.Month, _xlpm.LivestockClass))</definedName>
    <definedName name="getOverlappingReportingCycles">_xlfn.LAMBDA(_xlpm.ProductionCycleStart,_xlpm.ProductionCycleEnd,_xlpm.ReportingStartMonth,_xlpm.ReportingStartDay, _xlfn.LET(_xlpm.S, _xlpm.ProductionCycleStart, _xlpm.E, _xlpm.ProductionCycleEnd, _xlpm.m, _xlpm.ReportingStartMonth, _xlpm.d, _xlpm.ReportingStartDay, _xlpm.A, _xlpm.S - 364, _xlpm.ya, YEAR(_xlpm.A), _xlpm.yb, YEAR(_xlpm.E), _xlpm.firstYear, _xlpm.ya + (DATE(_xlpm.ya, _xlpm.m, _xlpm.d) &lt; _xlpm.A), _xlpm.lastYear, _xlpm.yb - (DATE(_xlpm.yb, _xlpm.m, _xlpm.d) &gt; _xlpm.E), MAX(0, _xlpm.lastYear - _xlpm.firstYear + 1)))</definedName>
    <definedName name="Inoput_Cell_Livestock_antibiotics">#REF!</definedName>
    <definedName name="Inoput_Cell_Livestockantibiotics">#REF!</definedName>
    <definedName name="Input_Cell_CO2_for_carbonation">#REF!</definedName>
    <definedName name="Input_Cell_CO2forcarbonation">#REF!</definedName>
    <definedName name="Input_Cell_Livestock_antibiotics">#REF!</definedName>
    <definedName name="Input_Cell_Livestock_tags">#REF!</definedName>
    <definedName name="Input_Cell_LivestockAntibiotics">#REF!</definedName>
    <definedName name="Input_Cell_Nylon_netting_for_horticulture">#REF!</definedName>
    <definedName name="Input_Cell_Nylonnettingforhorticulture">#REF!</definedName>
    <definedName name="Input_Cell_Pallets__Plastic">#REF!</definedName>
    <definedName name="Input_Cell_Pallets__Wood">#REF!</definedName>
    <definedName name="Input_Cell_Pallets_Plastic">#REF!</definedName>
    <definedName name="Input_Cell_Pallets_Wood">#REF!</definedName>
    <definedName name="Range_LivestockStartingValues">#REF!</definedName>
    <definedName name="Step1">#REF!</definedName>
    <definedName name="Step2">#REF!</definedName>
    <definedName name="Step3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24" i="2" l="1" a="1"/>
  <c r="D224" i="2" s="1"/>
  <c r="E224" i="2" a="1"/>
  <c r="E224" i="2"/>
  <c r="D223" i="2" a="1"/>
  <c r="D223" i="2" s="1"/>
  <c r="E223" i="2" a="1"/>
  <c r="E223" i="2" s="1"/>
  <c r="D222" i="2" a="1"/>
  <c r="D222" i="2" s="1"/>
  <c r="E222" i="2" a="1"/>
  <c r="E222" i="2" s="1"/>
  <c r="D221" i="2" a="1"/>
  <c r="D221" i="2" s="1"/>
  <c r="E221" i="2" a="1"/>
  <c r="E221" i="2" s="1"/>
  <c r="D220" i="2" a="1"/>
  <c r="D220" i="2" s="1"/>
  <c r="E220" i="2" a="1"/>
  <c r="E220" i="2" s="1"/>
  <c r="D219" i="2" a="1"/>
  <c r="D219" i="2" s="1"/>
  <c r="E219" i="2" a="1"/>
  <c r="E219" i="2" s="1"/>
  <c r="D218" i="2" a="1"/>
  <c r="D218" i="2" s="1"/>
  <c r="E218" i="2" a="1"/>
  <c r="E218" i="2" s="1"/>
  <c r="D217" i="2" a="1"/>
  <c r="D217" i="2" s="1"/>
  <c r="E217" i="2" a="1"/>
  <c r="E217" i="2" s="1"/>
  <c r="D216" i="2" a="1"/>
  <c r="D216" i="2" s="1"/>
  <c r="E216" i="2" a="1"/>
  <c r="E216" i="2" s="1"/>
  <c r="D215" i="2" a="1"/>
  <c r="D215" i="2" s="1"/>
  <c r="E215" i="2" a="1"/>
  <c r="E215" i="2" s="1"/>
  <c r="D214" i="2" a="1"/>
  <c r="D214" i="2" s="1"/>
  <c r="E214" i="2" a="1"/>
  <c r="E214" i="2" s="1"/>
  <c r="E213" i="2" a="1"/>
  <c r="E213" i="2" s="1"/>
  <c r="D213" i="2" a="1"/>
  <c r="D213" i="2" s="1"/>
  <c r="D211" i="2" a="1"/>
  <c r="D211" i="2" s="1"/>
  <c r="D208" i="2" a="1"/>
  <c r="D208" i="2" s="1"/>
  <c r="E208" i="2" a="1"/>
  <c r="E208" i="2" s="1"/>
  <c r="E207" i="2" a="1"/>
  <c r="E207" i="2" s="1"/>
  <c r="D207" i="2" a="1"/>
  <c r="D207" i="2" s="1"/>
  <c r="D204" i="2" a="1"/>
  <c r="D204" i="2" s="1"/>
  <c r="D205" i="2" a="1"/>
  <c r="D205" i="2" s="1"/>
  <c r="D203" i="2" a="1"/>
  <c r="D203" i="2" s="1"/>
  <c r="D202" i="2" a="1"/>
  <c r="D202" i="2" s="1"/>
  <c r="D147" i="2" a="1"/>
  <c r="D147" i="2" s="1"/>
  <c r="E147" i="2" a="1"/>
  <c r="E147" i="2" s="1"/>
  <c r="D146" i="2" a="1"/>
  <c r="D146" i="2" s="1"/>
  <c r="E146" i="2" a="1"/>
  <c r="E146" i="2" s="1"/>
  <c r="D145" i="2" a="1"/>
  <c r="D145" i="2" s="1"/>
  <c r="E145" i="2" a="1"/>
  <c r="E145" i="2" s="1"/>
  <c r="D144" i="2" a="1"/>
  <c r="D144" i="2" s="1"/>
  <c r="E144" i="2" a="1"/>
  <c r="E144" i="2" s="1"/>
  <c r="E143" i="2" a="1"/>
  <c r="E143" i="2" s="1"/>
  <c r="D143" i="2" a="1"/>
  <c r="D143" i="2" s="1"/>
  <c r="D141" i="2" a="1"/>
  <c r="D141" i="2" s="1"/>
  <c r="D150" i="2" a="1"/>
  <c r="D150" i="2" s="1"/>
  <c r="D140" i="2" a="1"/>
  <c r="D140" i="2" s="1"/>
  <c r="D139" i="2" a="1"/>
  <c r="D139" i="2" s="1"/>
  <c r="D199" i="2" a="1"/>
  <c r="D199" i="2" s="1"/>
  <c r="E199" i="2" a="1"/>
  <c r="E199" i="2" s="1"/>
  <c r="F199" i="2" a="1"/>
  <c r="F199" i="2" s="1"/>
  <c r="G199" i="2" a="1"/>
  <c r="G199" i="2" s="1"/>
  <c r="H199" i="2" a="1"/>
  <c r="H199" i="2" s="1"/>
  <c r="D181" i="2" a="1"/>
  <c r="D181" i="2" s="1"/>
  <c r="H198" i="2" a="1"/>
  <c r="H198" i="2" s="1"/>
  <c r="G198" i="2" a="1"/>
  <c r="G198" i="2" s="1"/>
  <c r="F198" i="2" a="1"/>
  <c r="F198" i="2" s="1"/>
  <c r="E198" i="2" a="1"/>
  <c r="E198" i="2" s="1"/>
  <c r="D198" i="2" a="1"/>
  <c r="D198" i="2" s="1"/>
  <c r="H197" i="2" a="1"/>
  <c r="H197" i="2" s="1"/>
  <c r="G197" i="2" a="1"/>
  <c r="G197" i="2" s="1"/>
  <c r="F197" i="2" a="1"/>
  <c r="F197" i="2" s="1"/>
  <c r="E197" i="2" a="1"/>
  <c r="E197" i="2" s="1"/>
  <c r="D197" i="2" a="1"/>
  <c r="D197" i="2" s="1"/>
  <c r="H196" i="2" a="1"/>
  <c r="H196" i="2" s="1"/>
  <c r="G196" i="2" a="1"/>
  <c r="G196" i="2" s="1"/>
  <c r="F196" i="2" a="1"/>
  <c r="F196" i="2" s="1"/>
  <c r="E196" i="2" a="1"/>
  <c r="E196" i="2" s="1"/>
  <c r="D196" i="2" a="1"/>
  <c r="D196" i="2" s="1"/>
  <c r="H195" i="2" a="1"/>
  <c r="H195" i="2" s="1"/>
  <c r="G195" i="2" a="1"/>
  <c r="G195" i="2" s="1"/>
  <c r="F195" i="2" a="1"/>
  <c r="F195" i="2" s="1"/>
  <c r="E195" i="2" a="1"/>
  <c r="E195" i="2" s="1"/>
  <c r="D195" i="2" a="1"/>
  <c r="D195" i="2" s="1"/>
  <c r="H194" i="2" a="1"/>
  <c r="H194" i="2" s="1"/>
  <c r="G194" i="2" a="1"/>
  <c r="G194" i="2" s="1"/>
  <c r="F194" i="2" a="1"/>
  <c r="F194" i="2" s="1"/>
  <c r="E194" i="2" a="1"/>
  <c r="E194" i="2" s="1"/>
  <c r="D194" i="2" a="1"/>
  <c r="D194" i="2" s="1"/>
  <c r="H193" i="2" a="1"/>
  <c r="H193" i="2" s="1"/>
  <c r="G193" i="2" a="1"/>
  <c r="G193" i="2" s="1"/>
  <c r="F193" i="2" a="1"/>
  <c r="F193" i="2" s="1"/>
  <c r="E193" i="2" a="1"/>
  <c r="E193" i="2" s="1"/>
  <c r="D193" i="2" a="1"/>
  <c r="D193" i="2" s="1"/>
  <c r="H192" i="2" a="1"/>
  <c r="H192" i="2" s="1"/>
  <c r="G192" i="2" a="1"/>
  <c r="G192" i="2" s="1"/>
  <c r="F192" i="2" a="1"/>
  <c r="F192" i="2" s="1"/>
  <c r="E192" i="2" a="1"/>
  <c r="E192" i="2" s="1"/>
  <c r="D192" i="2" a="1"/>
  <c r="D192" i="2" s="1"/>
  <c r="H191" i="2" a="1"/>
  <c r="H191" i="2" s="1"/>
  <c r="G191" i="2" a="1"/>
  <c r="G191" i="2" s="1"/>
  <c r="F191" i="2" a="1"/>
  <c r="F191" i="2" s="1"/>
  <c r="E191" i="2" a="1"/>
  <c r="E191" i="2" s="1"/>
  <c r="D191" i="2" a="1"/>
  <c r="D191" i="2" s="1"/>
  <c r="H190" i="2" a="1"/>
  <c r="H190" i="2" s="1"/>
  <c r="G190" i="2" a="1"/>
  <c r="G190" i="2" s="1"/>
  <c r="F190" i="2" a="1"/>
  <c r="F190" i="2" s="1"/>
  <c r="E190" i="2" a="1"/>
  <c r="E190" i="2" s="1"/>
  <c r="D190" i="2" a="1"/>
  <c r="D190" i="2" s="1"/>
  <c r="H189" i="2" a="1"/>
  <c r="H189" i="2" s="1"/>
  <c r="G189" i="2" a="1"/>
  <c r="G189" i="2" s="1"/>
  <c r="F189" i="2" a="1"/>
  <c r="F189" i="2" s="1"/>
  <c r="E189" i="2" a="1"/>
  <c r="E189" i="2" s="1"/>
  <c r="D189" i="2" a="1"/>
  <c r="D189" i="2" s="1"/>
  <c r="H188" i="2" a="1"/>
  <c r="H188" i="2" s="1"/>
  <c r="G188" i="2" a="1"/>
  <c r="G188" i="2" s="1"/>
  <c r="F188" i="2" a="1"/>
  <c r="F188" i="2" s="1"/>
  <c r="E188" i="2" a="1"/>
  <c r="E188" i="2" s="1"/>
  <c r="D188" i="2" a="1"/>
  <c r="D188" i="2" s="1"/>
  <c r="H187" i="2" a="1"/>
  <c r="H187" i="2" s="1"/>
  <c r="G187" i="2" a="1"/>
  <c r="G187" i="2" s="1"/>
  <c r="F187" i="2" a="1"/>
  <c r="F187" i="2" s="1"/>
  <c r="E187" i="2" a="1"/>
  <c r="E187" i="2" s="1"/>
  <c r="D187" i="2" a="1"/>
  <c r="D187" i="2" s="1"/>
  <c r="D180" i="2" a="1"/>
  <c r="D180" i="2" s="1"/>
  <c r="D179" i="2" a="1"/>
  <c r="D179" i="2" s="1"/>
  <c r="D178" i="2" a="1"/>
  <c r="D178" i="2" s="1"/>
  <c r="E175" i="2" a="1"/>
  <c r="E175" i="2" s="1"/>
  <c r="D175" i="2" a="1"/>
  <c r="D175" i="2" s="1"/>
  <c r="D174" i="2" a="1"/>
  <c r="D174" i="2" s="1"/>
  <c r="D173" i="2" a="1"/>
  <c r="D173" i="2" s="1"/>
  <c r="D170" i="2" a="1"/>
  <c r="D170" i="2" s="1"/>
  <c r="D169" i="2" a="1"/>
  <c r="D169" i="2" s="1"/>
  <c r="D168" i="2" a="1"/>
  <c r="D168" i="2" s="1"/>
  <c r="D167" i="2" a="1"/>
  <c r="D167" i="2" s="1"/>
  <c r="D164" i="2" a="1"/>
  <c r="D164" i="2" s="1"/>
  <c r="D163" i="2" a="1"/>
  <c r="D163" i="2" s="1"/>
  <c r="D162" i="2" a="1"/>
  <c r="D162" i="2" s="1"/>
  <c r="D161" i="2" a="1"/>
  <c r="D161" i="2" s="1"/>
  <c r="E158" i="2" a="1"/>
  <c r="E158" i="2" s="1"/>
  <c r="D158" i="2" a="1"/>
  <c r="D158" i="2" s="1"/>
  <c r="E157" i="2" a="1"/>
  <c r="E157" i="2" s="1"/>
  <c r="D157" i="2" a="1"/>
  <c r="D157" i="2" s="1"/>
  <c r="E156" i="2" a="1"/>
  <c r="E156" i="2" s="1"/>
  <c r="D156" i="2" a="1"/>
  <c r="D156" i="2" s="1"/>
  <c r="E155" i="2" a="1"/>
  <c r="E155" i="2" s="1"/>
  <c r="D155" i="2" a="1"/>
  <c r="D155" i="2" s="1"/>
  <c r="E154" i="2" a="1"/>
  <c r="E154" i="2" s="1"/>
  <c r="D154" i="2" a="1"/>
  <c r="D154" i="2" s="1"/>
  <c r="D151" i="2" a="1"/>
  <c r="D151" i="2" s="1"/>
  <c r="E136" i="2" a="1"/>
  <c r="E136" i="2" s="1"/>
  <c r="D136" i="2" a="1"/>
  <c r="D136" i="2" s="1"/>
  <c r="E135" i="2" a="1"/>
  <c r="E135" i="2" s="1"/>
  <c r="D135" i="2" a="1"/>
  <c r="D135" i="2" s="1"/>
  <c r="D133" i="2" a="1"/>
  <c r="D133" i="2" s="1"/>
  <c r="D132" i="2" a="1"/>
  <c r="D132" i="2" s="1"/>
  <c r="E129" i="2" a="1"/>
  <c r="E129" i="2" s="1"/>
  <c r="D129" i="2" a="1"/>
  <c r="D129" i="2" s="1"/>
  <c r="E128" i="2" a="1"/>
  <c r="E128" i="2" s="1"/>
  <c r="D128" i="2" a="1"/>
  <c r="D128" i="2" s="1"/>
  <c r="D125" i="2" a="1"/>
  <c r="D125" i="2" s="1"/>
  <c r="D124" i="2" a="1"/>
  <c r="D124" i="2" s="1"/>
  <c r="G121" i="2" a="1"/>
  <c r="G121" i="2" s="1"/>
  <c r="F121" i="2" a="1"/>
  <c r="F121" i="2" s="1"/>
  <c r="E121" i="2" a="1"/>
  <c r="E121" i="2" s="1"/>
  <c r="D121" i="2" a="1"/>
  <c r="D121" i="2" s="1"/>
  <c r="G120" i="2" a="1"/>
  <c r="G120" i="2" s="1"/>
  <c r="F120" i="2" a="1"/>
  <c r="F120" i="2" s="1"/>
  <c r="E120" i="2" a="1"/>
  <c r="E120" i="2" s="1"/>
  <c r="D120" i="2" a="1"/>
  <c r="D120" i="2" s="1"/>
  <c r="D117" i="2" a="1"/>
  <c r="D117" i="2" s="1"/>
  <c r="D116" i="2" a="1"/>
  <c r="D116" i="2" s="1"/>
  <c r="D115" i="2" a="1"/>
  <c r="D115" i="2" s="1"/>
  <c r="G112" i="2" a="1"/>
  <c r="G112" i="2" s="1"/>
  <c r="F112" i="2" a="1"/>
  <c r="F112" i="2" s="1"/>
  <c r="E112" i="2" a="1"/>
  <c r="E112" i="2" s="1"/>
  <c r="D112" i="2" a="1"/>
  <c r="D112" i="2" s="1"/>
  <c r="G111" i="2" a="1"/>
  <c r="G111" i="2" s="1"/>
  <c r="F111" i="2" a="1"/>
  <c r="F111" i="2" s="1"/>
  <c r="E111" i="2" a="1"/>
  <c r="E111" i="2" s="1"/>
  <c r="D111" i="2" a="1"/>
  <c r="D111" i="2" s="1"/>
  <c r="G110" i="2" a="1"/>
  <c r="G110" i="2" s="1"/>
  <c r="F110" i="2" a="1"/>
  <c r="F110" i="2" s="1"/>
  <c r="E110" i="2" a="1"/>
  <c r="E110" i="2" s="1"/>
  <c r="D110" i="2" a="1"/>
  <c r="D110" i="2" s="1"/>
  <c r="D107" i="2" a="1"/>
  <c r="D107" i="2" s="1"/>
  <c r="D106" i="2" a="1"/>
  <c r="D106" i="2" s="1"/>
  <c r="D105" i="2" a="1"/>
  <c r="D105" i="2" s="1"/>
  <c r="D98" i="2" a="1"/>
  <c r="D98" i="2" s="1"/>
  <c r="S97" i="2" a="1"/>
  <c r="S97" i="2" s="1"/>
  <c r="R97" i="2" a="1"/>
  <c r="R97" i="2" s="1"/>
  <c r="Q97" i="2" a="1"/>
  <c r="Q97" i="2" s="1"/>
  <c r="P97" i="2" a="1"/>
  <c r="P97" i="2" s="1"/>
  <c r="O97" i="2" a="1"/>
  <c r="O97" i="2" s="1"/>
  <c r="N97" i="2" a="1"/>
  <c r="N97" i="2" s="1"/>
  <c r="M97" i="2" a="1"/>
  <c r="M97" i="2" s="1"/>
  <c r="L97" i="2" a="1"/>
  <c r="L97" i="2" s="1"/>
  <c r="K97" i="2" a="1"/>
  <c r="K97" i="2" s="1"/>
  <c r="J97" i="2" a="1"/>
  <c r="J97" i="2" s="1"/>
  <c r="I97" i="2" a="1"/>
  <c r="I97" i="2" s="1"/>
  <c r="H97" i="2" a="1"/>
  <c r="H97" i="2" s="1"/>
  <c r="G97" i="2" a="1"/>
  <c r="G97" i="2" s="1"/>
  <c r="F97" i="2" a="1"/>
  <c r="F97" i="2" s="1"/>
  <c r="E97" i="2" a="1"/>
  <c r="E97" i="2" s="1"/>
  <c r="D97" i="2" a="1"/>
  <c r="D97" i="2" s="1"/>
  <c r="S96" i="2" a="1"/>
  <c r="S96" i="2" s="1"/>
  <c r="R96" i="2" a="1"/>
  <c r="R96" i="2" s="1"/>
  <c r="Q96" i="2" a="1"/>
  <c r="Q96" i="2" s="1"/>
  <c r="P96" i="2" a="1"/>
  <c r="P96" i="2" s="1"/>
  <c r="O96" i="2" a="1"/>
  <c r="O96" i="2" s="1"/>
  <c r="N96" i="2" a="1"/>
  <c r="N96" i="2" s="1"/>
  <c r="M96" i="2" a="1"/>
  <c r="M96" i="2" s="1"/>
  <c r="L96" i="2" a="1"/>
  <c r="L96" i="2" s="1"/>
  <c r="K96" i="2" a="1"/>
  <c r="K96" i="2" s="1"/>
  <c r="J96" i="2" a="1"/>
  <c r="J96" i="2" s="1"/>
  <c r="I96" i="2" a="1"/>
  <c r="I96" i="2" s="1"/>
  <c r="H96" i="2" a="1"/>
  <c r="H96" i="2" s="1"/>
  <c r="G96" i="2" a="1"/>
  <c r="G96" i="2" s="1"/>
  <c r="F96" i="2" a="1"/>
  <c r="F96" i="2" s="1"/>
  <c r="E96" i="2" a="1"/>
  <c r="E96" i="2" s="1"/>
  <c r="D96" i="2" a="1"/>
  <c r="D96" i="2" s="1"/>
  <c r="S95" i="2" a="1"/>
  <c r="S95" i="2" s="1"/>
  <c r="R95" i="2" a="1"/>
  <c r="R95" i="2" s="1"/>
  <c r="Q95" i="2" a="1"/>
  <c r="Q95" i="2" s="1"/>
  <c r="P95" i="2" a="1"/>
  <c r="P95" i="2" s="1"/>
  <c r="O95" i="2" a="1"/>
  <c r="O95" i="2" s="1"/>
  <c r="N95" i="2" a="1"/>
  <c r="N95" i="2" s="1"/>
  <c r="M95" i="2" a="1"/>
  <c r="M95" i="2" s="1"/>
  <c r="L95" i="2" a="1"/>
  <c r="L95" i="2" s="1"/>
  <c r="K95" i="2" a="1"/>
  <c r="K95" i="2" s="1"/>
  <c r="J95" i="2" a="1"/>
  <c r="J95" i="2" s="1"/>
  <c r="I95" i="2" a="1"/>
  <c r="I95" i="2" s="1"/>
  <c r="H95" i="2" a="1"/>
  <c r="H95" i="2" s="1"/>
  <c r="G95" i="2" a="1"/>
  <c r="G95" i="2" s="1"/>
  <c r="F95" i="2" a="1"/>
  <c r="F95" i="2" s="1"/>
  <c r="E95" i="2" a="1"/>
  <c r="E95" i="2" s="1"/>
  <c r="D95" i="2" a="1"/>
  <c r="D95" i="2" s="1"/>
  <c r="S94" i="2" a="1"/>
  <c r="S94" i="2" s="1"/>
  <c r="R94" i="2" a="1"/>
  <c r="R94" i="2" s="1"/>
  <c r="Q94" i="2" a="1"/>
  <c r="Q94" i="2" s="1"/>
  <c r="P94" i="2" a="1"/>
  <c r="P94" i="2" s="1"/>
  <c r="O94" i="2" a="1"/>
  <c r="O94" i="2" s="1"/>
  <c r="N94" i="2" a="1"/>
  <c r="N94" i="2" s="1"/>
  <c r="M94" i="2" a="1"/>
  <c r="M94" i="2" s="1"/>
  <c r="L94" i="2" a="1"/>
  <c r="L94" i="2" s="1"/>
  <c r="K94" i="2" a="1"/>
  <c r="K94" i="2" s="1"/>
  <c r="J94" i="2" a="1"/>
  <c r="J94" i="2" s="1"/>
  <c r="I94" i="2" a="1"/>
  <c r="I94" i="2" s="1"/>
  <c r="H94" i="2" a="1"/>
  <c r="H94" i="2" s="1"/>
  <c r="G94" i="2" a="1"/>
  <c r="G94" i="2" s="1"/>
  <c r="F94" i="2" a="1"/>
  <c r="F94" i="2" s="1"/>
  <c r="E94" i="2" a="1"/>
  <c r="E94" i="2" s="1"/>
  <c r="D94" i="2" a="1"/>
  <c r="D94" i="2" s="1"/>
  <c r="S93" i="2" a="1"/>
  <c r="S93" i="2" s="1"/>
  <c r="R93" i="2" a="1"/>
  <c r="R93" i="2" s="1"/>
  <c r="Q93" i="2" a="1"/>
  <c r="Q93" i="2" s="1"/>
  <c r="P93" i="2" a="1"/>
  <c r="P93" i="2" s="1"/>
  <c r="O93" i="2" a="1"/>
  <c r="O93" i="2" s="1"/>
  <c r="N93" i="2" a="1"/>
  <c r="N93" i="2" s="1"/>
  <c r="M93" i="2" a="1"/>
  <c r="M93" i="2" s="1"/>
  <c r="L93" i="2" a="1"/>
  <c r="L93" i="2" s="1"/>
  <c r="K93" i="2" a="1"/>
  <c r="K93" i="2" s="1"/>
  <c r="J93" i="2" a="1"/>
  <c r="J93" i="2" s="1"/>
  <c r="I93" i="2" a="1"/>
  <c r="I93" i="2" s="1"/>
  <c r="H93" i="2" a="1"/>
  <c r="H93" i="2" s="1"/>
  <c r="G93" i="2" a="1"/>
  <c r="G93" i="2" s="1"/>
  <c r="F93" i="2" a="1"/>
  <c r="F93" i="2" s="1"/>
  <c r="E93" i="2" a="1"/>
  <c r="E93" i="2" s="1"/>
  <c r="D93" i="2" a="1"/>
  <c r="D93" i="2" s="1"/>
  <c r="S92" i="2" a="1"/>
  <c r="S92" i="2" s="1"/>
  <c r="R92" i="2" a="1"/>
  <c r="R92" i="2" s="1"/>
  <c r="Q92" i="2" a="1"/>
  <c r="Q92" i="2" s="1"/>
  <c r="P92" i="2" a="1"/>
  <c r="P92" i="2" s="1"/>
  <c r="O92" i="2" a="1"/>
  <c r="O92" i="2" s="1"/>
  <c r="N92" i="2" a="1"/>
  <c r="N92" i="2" s="1"/>
  <c r="M92" i="2" a="1"/>
  <c r="M92" i="2" s="1"/>
  <c r="L92" i="2" a="1"/>
  <c r="L92" i="2" s="1"/>
  <c r="K92" i="2" a="1"/>
  <c r="K92" i="2" s="1"/>
  <c r="J92" i="2" a="1"/>
  <c r="J92" i="2" s="1"/>
  <c r="I92" i="2" a="1"/>
  <c r="I92" i="2" s="1"/>
  <c r="H92" i="2" a="1"/>
  <c r="H92" i="2" s="1"/>
  <c r="G92" i="2" a="1"/>
  <c r="G92" i="2" s="1"/>
  <c r="F92" i="2" a="1"/>
  <c r="F92" i="2" s="1"/>
  <c r="E92" i="2" a="1"/>
  <c r="E92" i="2" s="1"/>
  <c r="D92" i="2" a="1"/>
  <c r="D92" i="2" s="1"/>
  <c r="S91" i="2" a="1"/>
  <c r="S91" i="2" s="1"/>
  <c r="R91" i="2" a="1"/>
  <c r="R91" i="2" s="1"/>
  <c r="Q91" i="2" a="1"/>
  <c r="Q91" i="2" s="1"/>
  <c r="P91" i="2" a="1"/>
  <c r="P91" i="2" s="1"/>
  <c r="O91" i="2" a="1"/>
  <c r="O91" i="2" s="1"/>
  <c r="N91" i="2" a="1"/>
  <c r="N91" i="2" s="1"/>
  <c r="M91" i="2" a="1"/>
  <c r="M91" i="2" s="1"/>
  <c r="L91" i="2" a="1"/>
  <c r="L91" i="2" s="1"/>
  <c r="K91" i="2" a="1"/>
  <c r="K91" i="2" s="1"/>
  <c r="J91" i="2" a="1"/>
  <c r="J91" i="2" s="1"/>
  <c r="I91" i="2" a="1"/>
  <c r="I91" i="2" s="1"/>
  <c r="H91" i="2" a="1"/>
  <c r="H91" i="2" s="1"/>
  <c r="G91" i="2" a="1"/>
  <c r="G91" i="2" s="1"/>
  <c r="F91" i="2" a="1"/>
  <c r="F91" i="2" s="1"/>
  <c r="E91" i="2" a="1"/>
  <c r="E91" i="2" s="1"/>
  <c r="D91" i="2" a="1"/>
  <c r="D91" i="2" s="1"/>
  <c r="S90" i="2" a="1"/>
  <c r="S90" i="2" s="1"/>
  <c r="R90" i="2" a="1"/>
  <c r="R90" i="2" s="1"/>
  <c r="Q90" i="2" a="1"/>
  <c r="Q90" i="2" s="1"/>
  <c r="P90" i="2" a="1"/>
  <c r="P90" i="2" s="1"/>
  <c r="O90" i="2" a="1"/>
  <c r="O90" i="2" s="1"/>
  <c r="N90" i="2" a="1"/>
  <c r="N90" i="2" s="1"/>
  <c r="M90" i="2" a="1"/>
  <c r="M90" i="2" s="1"/>
  <c r="L90" i="2" a="1"/>
  <c r="L90" i="2" s="1"/>
  <c r="K90" i="2" a="1"/>
  <c r="K90" i="2" s="1"/>
  <c r="J90" i="2" a="1"/>
  <c r="J90" i="2" s="1"/>
  <c r="I90" i="2" a="1"/>
  <c r="I90" i="2" s="1"/>
  <c r="H90" i="2" a="1"/>
  <c r="H90" i="2" s="1"/>
  <c r="G90" i="2" a="1"/>
  <c r="G90" i="2" s="1"/>
  <c r="F90" i="2" a="1"/>
  <c r="F90" i="2" s="1"/>
  <c r="E90" i="2" a="1"/>
  <c r="E90" i="2" s="1"/>
  <c r="D90" i="2" a="1"/>
  <c r="D90" i="2" s="1"/>
  <c r="D83" i="2" a="1"/>
  <c r="D83" i="2" s="1"/>
  <c r="D82" i="2" a="1"/>
  <c r="D82" i="2" s="1"/>
  <c r="D81" i="2" a="1"/>
  <c r="D81" i="2" s="1"/>
  <c r="E77" i="2" a="1"/>
  <c r="E77" i="2" s="1"/>
  <c r="D77" i="2" a="1"/>
  <c r="D77" i="2" s="1"/>
  <c r="E76" i="2" a="1"/>
  <c r="E76" i="2" s="1"/>
  <c r="D76" i="2" a="1"/>
  <c r="D76" i="2" s="1"/>
  <c r="E75" i="2" a="1"/>
  <c r="E75" i="2" s="1"/>
  <c r="D75" i="2" a="1"/>
  <c r="D75" i="2" s="1"/>
  <c r="E74" i="2" a="1"/>
  <c r="E74" i="2" s="1"/>
  <c r="D74" i="2" a="1"/>
  <c r="D74" i="2" s="1"/>
  <c r="E73" i="2" a="1"/>
  <c r="E73" i="2" s="1"/>
  <c r="D73" i="2" a="1"/>
  <c r="D73" i="2" s="1"/>
  <c r="E72" i="2" a="1"/>
  <c r="E72" i="2" s="1"/>
  <c r="D72" i="2" a="1"/>
  <c r="D72" i="2" s="1"/>
  <c r="E71" i="2" a="1"/>
  <c r="E71" i="2" s="1"/>
  <c r="D71" i="2" a="1"/>
  <c r="D71" i="2" s="1"/>
  <c r="E70" i="2" a="1"/>
  <c r="E70" i="2" s="1"/>
  <c r="D70" i="2" a="1"/>
  <c r="D70" i="2" s="1"/>
  <c r="E69" i="2" a="1"/>
  <c r="E69" i="2" s="1"/>
  <c r="D69" i="2" a="1"/>
  <c r="D69" i="2" s="1"/>
  <c r="E68" i="2" a="1"/>
  <c r="E68" i="2" s="1"/>
  <c r="D68" i="2" a="1"/>
  <c r="D68" i="2" s="1"/>
  <c r="E67" i="2" a="1"/>
  <c r="E67" i="2" s="1"/>
  <c r="D67" i="2" a="1"/>
  <c r="D67" i="2" s="1"/>
  <c r="E66" i="2" a="1"/>
  <c r="E66" i="2" s="1"/>
  <c r="D66" i="2" a="1"/>
  <c r="D66" i="2" s="1"/>
  <c r="E65" i="2" a="1"/>
  <c r="E65" i="2" s="1"/>
  <c r="D65" i="2" a="1"/>
  <c r="D65" i="2" s="1"/>
  <c r="E64" i="2" a="1"/>
  <c r="E64" i="2" s="1"/>
  <c r="D64" i="2" a="1"/>
  <c r="D64" i="2" s="1"/>
  <c r="D59" i="2" a="1"/>
  <c r="D59" i="2" s="1"/>
  <c r="D58" i="2" a="1"/>
  <c r="D58" i="2" s="1"/>
  <c r="D57" i="2" a="1"/>
  <c r="D57" i="2" s="1"/>
  <c r="G54" i="2" a="1"/>
  <c r="G54" i="2" s="1"/>
  <c r="F54" i="2" a="1"/>
  <c r="F54" i="2" s="1"/>
  <c r="H54" i="2" s="1"/>
  <c r="E54" i="2" a="1"/>
  <c r="E54" i="2" s="1"/>
  <c r="D54" i="2" a="1"/>
  <c r="D54" i="2" s="1"/>
  <c r="G53" i="2" a="1"/>
  <c r="G53" i="2" s="1"/>
  <c r="F53" i="2" a="1"/>
  <c r="F53" i="2" s="1"/>
  <c r="E53" i="2" a="1"/>
  <c r="E53" i="2" s="1"/>
  <c r="D53" i="2" a="1"/>
  <c r="D53" i="2" s="1"/>
  <c r="G52" i="2" a="1"/>
  <c r="G52" i="2" s="1"/>
  <c r="F52" i="2" a="1"/>
  <c r="F52" i="2" s="1"/>
  <c r="E52" i="2" a="1"/>
  <c r="E52" i="2" s="1"/>
  <c r="D52" i="2" a="1"/>
  <c r="D52" i="2" s="1"/>
  <c r="G51" i="2" a="1"/>
  <c r="G51" i="2" s="1"/>
  <c r="F51" i="2" a="1"/>
  <c r="F51" i="2" s="1"/>
  <c r="E51" i="2" a="1"/>
  <c r="E51" i="2" s="1"/>
  <c r="D51" i="2" a="1"/>
  <c r="D51" i="2" s="1"/>
  <c r="G50" i="2" a="1"/>
  <c r="G50" i="2" s="1"/>
  <c r="F50" i="2" a="1"/>
  <c r="F50" i="2" s="1"/>
  <c r="E50" i="2" a="1"/>
  <c r="E50" i="2" s="1"/>
  <c r="D50" i="2" a="1"/>
  <c r="D50" i="2" s="1"/>
  <c r="G49" i="2" a="1"/>
  <c r="G49" i="2" s="1"/>
  <c r="F49" i="2" a="1"/>
  <c r="F49" i="2" s="1"/>
  <c r="E49" i="2" a="1"/>
  <c r="E49" i="2" s="1"/>
  <c r="D49" i="2" a="1"/>
  <c r="D49" i="2" s="1"/>
  <c r="G48" i="2" a="1"/>
  <c r="G48" i="2" s="1"/>
  <c r="F48" i="2" a="1"/>
  <c r="F48" i="2" s="1"/>
  <c r="E48" i="2" a="1"/>
  <c r="E48" i="2" s="1"/>
  <c r="D48" i="2" a="1"/>
  <c r="D48" i="2" s="1"/>
  <c r="D46" i="2" a="1"/>
  <c r="D46" i="2" s="1"/>
  <c r="D45" i="2" a="1"/>
  <c r="D45" i="2" s="1"/>
  <c r="E43" i="2" a="1"/>
  <c r="E43" i="2" s="1"/>
  <c r="D43" i="2" a="1"/>
  <c r="D43" i="2" s="1"/>
  <c r="E42" i="2" a="1"/>
  <c r="E42" i="2" s="1"/>
  <c r="D42" i="2" a="1"/>
  <c r="D42" i="2" s="1"/>
  <c r="E41" i="2" a="1"/>
  <c r="E41" i="2" s="1"/>
  <c r="D41" i="2" a="1"/>
  <c r="D41" i="2" s="1"/>
  <c r="E40" i="2" a="1"/>
  <c r="E40" i="2" s="1"/>
  <c r="D40" i="2" a="1"/>
  <c r="D40" i="2" s="1"/>
  <c r="E39" i="2" a="1"/>
  <c r="E39" i="2" s="1"/>
  <c r="D39" i="2" a="1"/>
  <c r="D39" i="2" s="1"/>
  <c r="E38" i="2" a="1"/>
  <c r="E38" i="2" s="1"/>
  <c r="D38" i="2" a="1"/>
  <c r="D38" i="2" s="1"/>
  <c r="E37" i="2" a="1"/>
  <c r="E37" i="2" s="1"/>
  <c r="D37" i="2" a="1"/>
  <c r="D37" i="2" s="1"/>
  <c r="D35" i="2" a="1"/>
  <c r="D35" i="2" s="1"/>
  <c r="D34" i="2" a="1"/>
  <c r="D34" i="2" s="1"/>
  <c r="D30" i="2" a="1"/>
  <c r="D30" i="2" s="1"/>
  <c r="D29" i="2" a="1"/>
  <c r="D29" i="2" s="1"/>
  <c r="D28" i="2" a="1"/>
  <c r="D28" i="2" s="1"/>
  <c r="D27" i="2" a="1"/>
  <c r="D27" i="2" s="1"/>
  <c r="D26" i="2" a="1"/>
  <c r="D26" i="2" s="1"/>
  <c r="D25" i="2" a="1"/>
  <c r="D25" i="2" s="1"/>
  <c r="D24" i="2" a="1"/>
  <c r="D24" i="2" s="1"/>
  <c r="D23" i="2" a="1"/>
  <c r="D23" i="2" s="1"/>
  <c r="D22" i="2" a="1"/>
  <c r="D22" i="2" s="1"/>
  <c r="D21" i="2" a="1"/>
  <c r="D21" i="2" s="1"/>
  <c r="D19" i="2" a="1"/>
  <c r="D19" i="2" s="1"/>
  <c r="D18" i="2" a="1"/>
  <c r="D18" i="2" s="1"/>
  <c r="F14" i="2" a="1"/>
  <c r="F14" i="2" s="1"/>
  <c r="E14" i="2" a="1"/>
  <c r="E14" i="2" s="1"/>
  <c r="D14" i="2" a="1"/>
  <c r="D14" i="2" s="1"/>
  <c r="F13" i="2" a="1"/>
  <c r="F13" i="2" s="1"/>
  <c r="E13" i="2" a="1"/>
  <c r="E13" i="2" s="1"/>
  <c r="D13" i="2" a="1"/>
  <c r="D13" i="2" s="1"/>
  <c r="F12" i="2" a="1"/>
  <c r="F12" i="2" s="1"/>
  <c r="E12" i="2" a="1"/>
  <c r="E12" i="2" s="1"/>
  <c r="D12" i="2" a="1"/>
  <c r="D12" i="2" s="1"/>
  <c r="F11" i="2" a="1"/>
  <c r="F11" i="2" s="1"/>
  <c r="E11" i="2" a="1"/>
  <c r="E11" i="2" s="1"/>
  <c r="D11" i="2" a="1"/>
  <c r="D11" i="2" s="1"/>
  <c r="F10" i="2" a="1"/>
  <c r="F10" i="2" s="1"/>
  <c r="E10" i="2" a="1"/>
  <c r="E10" i="2" s="1"/>
  <c r="D10" i="2" a="1"/>
  <c r="D10" i="2" s="1"/>
  <c r="F9" i="2" a="1"/>
  <c r="F9" i="2" s="1"/>
  <c r="E9" i="2" a="1"/>
  <c r="E9" i="2" s="1"/>
  <c r="D9" i="2" a="1"/>
  <c r="D9" i="2" s="1"/>
  <c r="F8" i="2" a="1"/>
  <c r="F8" i="2" s="1"/>
  <c r="E8" i="2" a="1"/>
  <c r="E8" i="2" s="1"/>
  <c r="D8" i="2" a="1"/>
  <c r="D8" i="2" s="1"/>
  <c r="F7" i="2" a="1"/>
  <c r="F7" i="2" s="1"/>
  <c r="E7" i="2" a="1"/>
  <c r="E7" i="2" s="1"/>
  <c r="D7" i="2" a="1"/>
  <c r="D7" i="2" s="1"/>
  <c r="D5" i="2" a="1"/>
  <c r="D5" i="2" s="1"/>
  <c r="H50" i="2" l="1"/>
  <c r="H51" i="2"/>
  <c r="H48" i="2"/>
  <c r="H52" i="2"/>
  <c r="H49" i="2"/>
  <c r="H53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<sst xmlns="http://schemas.openxmlformats.org/spreadsheetml/2006/main" count="57" uniqueCount="50">
  <si>
    <t>Climate zone</t>
  </si>
  <si>
    <t>State/Territory</t>
  </si>
  <si>
    <t>Common Name</t>
  </si>
  <si>
    <t>Abbreviation</t>
  </si>
  <si>
    <t>SA 4 Name</t>
  </si>
  <si>
    <t>Gas</t>
  </si>
  <si>
    <t>CO2-e factor</t>
  </si>
  <si>
    <t>Conversion factor</t>
  </si>
  <si>
    <t>Conversion factor 1</t>
  </si>
  <si>
    <t>Conversion factor 2</t>
  </si>
  <si>
    <t>Conversion factor combined</t>
  </si>
  <si>
    <t>MAT</t>
  </si>
  <si>
    <t>MAP</t>
  </si>
  <si>
    <t>Frost days per year</t>
  </si>
  <si>
    <t>Elevation</t>
  </si>
  <si>
    <t>MAP:PET</t>
  </si>
  <si>
    <t>Min temp</t>
  </si>
  <si>
    <t>Max temp</t>
  </si>
  <si>
    <t>Min rainfall</t>
  </si>
  <si>
    <t>Max rainfall</t>
  </si>
  <si>
    <t>Min frost days</t>
  </si>
  <si>
    <t>Min elevation</t>
  </si>
  <si>
    <t>Min MAP:PET</t>
  </si>
  <si>
    <t>Wet or Dry Zone</t>
  </si>
  <si>
    <t>Max frost days</t>
  </si>
  <si>
    <t>Max elevation</t>
  </si>
  <si>
    <t>Max MAP:PET</t>
  </si>
  <si>
    <t>Temperature Zone</t>
  </si>
  <si>
    <t>Min MAT</t>
  </si>
  <si>
    <t>Max MAT</t>
  </si>
  <si>
    <t>Rainfall Zone</t>
  </si>
  <si>
    <t>Annual rainfall</t>
  </si>
  <si>
    <t>Leaching Zone</t>
  </si>
  <si>
    <t>Leaching criteria</t>
  </si>
  <si>
    <t>Data source</t>
  </si>
  <si>
    <t>Data score</t>
  </si>
  <si>
    <t>Constants - Common</t>
  </si>
  <si>
    <t>Is in leaching zone</t>
  </si>
  <si>
    <t>FracWET</t>
  </si>
  <si>
    <t>Production system j</t>
  </si>
  <si>
    <t>EFN2O</t>
  </si>
  <si>
    <t>Production system only</t>
  </si>
  <si>
    <t>Irrigation method</t>
  </si>
  <si>
    <t>Rainfall zone</t>
  </si>
  <si>
    <t>Home</t>
  </si>
  <si>
    <t>Acknowledgements</t>
  </si>
  <si>
    <t>Irrigation type i</t>
  </si>
  <si>
    <t>EFPRP</t>
  </si>
  <si>
    <t>Month</t>
  </si>
  <si>
    <t>Season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</si>
</sst>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64" formatCode="0.000"/>
    <numFmt numFmtId="165" formatCode="#,##0.000"/>
    <numFmt numFmtId="166" formatCode="d/mm/yyyy;@"/>
    <numFmt numFmtId="167" formatCode="[$-C09]dd\-mmmm\-yyyy;@"/>
    <numFmt numFmtId="168" formatCode="#,##0.000000"/>
  </numFmts>
  <fonts count="32" x14ac:knownFonts="1">
    <font>
      <sz val="11"/>
      <color theme="1"/>
      <name val="Times New Roman"/>
      <family val="2"/>
      <scheme val="minor"/>
    </font>
    <font>
      <i/>
      <sz val="12"/>
      <color theme="1" tint="0.499984740745262"/>
      <name val="Times New Roman"/>
      <family val="1"/>
    </font>
    <font>
      <sz val="12"/>
      <color theme="1" tint="0.14999847407452621"/>
      <name val="Times New Roman"/>
      <family val="1"/>
    </font>
    <font>
      <b/>
      <sz val="12"/>
      <color theme="1" tint="0.14999847407452621"/>
      <name val="Times New Roman"/>
      <family val="1"/>
    </font>
    <font>
      <b/>
      <sz val="20"/>
      <color rgb="FF183C1B"/>
      <name val="Times New Roman"/>
      <family val="1"/>
    </font>
    <font>
      <b/>
      <sz val="11"/>
      <color rgb="FF183C1B"/>
      <name val="Times New Roman"/>
      <family val="1"/>
    </font>
    <font>
      <i/>
      <sz val="12"/>
      <color theme="1" tint="0.34998626667073579"/>
      <name val="Times New Roman"/>
      <family val="1"/>
    </font>
    <font>
      <sz val="12"/>
      <color theme="1" tint="0.34998626667073579"/>
      <name val="Times New Roman"/>
      <family val="1"/>
    </font>
    <font>
      <sz val="12"/>
      <color theme="1" tint="0.14996795556505021"/>
      <name val="Times New Roman"/>
      <family val="1"/>
    </font>
    <font>
      <sz val="11"/>
      <color theme="1"/>
      <name val="Times New Roman"/>
      <family val="2"/>
      <scheme val="minor"/>
    </font>
    <font>
      <b/>
      <sz val="20"/>
      <color rgb="FFCC6600"/>
      <name val="Times New Roman"/>
      <family val="1"/>
    </font>
    <font>
      <i/>
      <sz val="12"/>
      <color rgb="FFCC6600"/>
      <name val="Times New Roman"/>
      <family val="1"/>
    </font>
    <font>
      <b/>
      <sz val="11"/>
      <color rgb="FF533001"/>
      <name val="Times New Roman"/>
      <family val="1"/>
    </font>
    <font>
      <i/>
      <strike/>
      <sz val="12"/>
      <color theme="1" tint="0.499984740745262"/>
      <name val="Times New Roman"/>
      <family val="1"/>
    </font>
    <font>
      <b/>
      <i/>
      <strike/>
      <sz val="12"/>
      <color theme="1" tint="0.499984740745262"/>
      <name val="Times New Roman"/>
      <family val="1"/>
    </font>
    <font>
      <sz val="9"/>
      <color theme="1" tint="0.499984740745262"/>
      <name val="Courier New"/>
      <family val="3"/>
    </font>
    <font>
      <b/>
      <sz val="16"/>
      <color theme="0"/>
      <name val="Times New Roman"/>
      <family val="1"/>
    </font>
    <font>
      <sz val="9"/>
      <color theme="1" tint="0.249977111117893"/>
      <name val="Times New Roman"/>
      <family val="1"/>
    </font>
    <font>
      <sz val="12"/>
      <color theme="0"/>
      <name val="Times New Roman"/>
      <family val="1"/>
    </font>
    <font>
      <sz val="11"/>
      <color theme="1" tint="0.499984740745262"/>
      <name val="Times New Roman"/>
      <family val="1"/>
    </font>
    <font>
      <sz val="12"/>
      <color theme="0" tint="-4.9989318521683403E-2"/>
      <name val="Times New Roman"/>
      <family val="1"/>
    </font>
    <font>
      <sz val="10"/>
      <color theme="1" tint="0.34998626667073579"/>
      <name val="Times New Roman"/>
      <family val="1"/>
    </font>
    <font>
      <sz val="10"/>
      <name val="Arial"/>
      <family val="2"/>
    </font>
    <font>
      <sz val="18"/>
      <color theme="1" tint="0.14996795556505021"/>
      <name val="Times New Roman"/>
      <family val="1"/>
    </font>
    <font>
      <sz val="10"/>
      <color theme="1" tint="0.34998626667073579"/>
      <name val="Times New Roman"/>
      <family val="2"/>
      <scheme val="minor"/>
    </font>
    <font>
      <sz val="14"/>
      <color theme="5"/>
      <name val="Times New Roman"/>
      <family val="1"/>
    </font>
    <font>
      <sz val="12"/>
      <color theme="1" tint="0.24994659260841701"/>
      <name val="Times New Roman"/>
      <family val="1"/>
    </font>
    <font>
      <sz val="12"/>
      <color rgb="FFC44340"/>
      <name val="Times New Roman"/>
      <family val="1"/>
    </font>
    <font>
      <sz val="12"/>
      <color rgb="FF008000"/>
      <name val="Times New Roman"/>
      <family val="1"/>
    </font>
    <font>
      <sz val="12"/>
      <color rgb="FF0070C0"/>
      <name val="Times New Roman"/>
      <family val="1"/>
    </font>
    <font>
      <b/>
      <sz val="12"/>
      <color theme="0" tint="-0.499984740745262"/>
      <name val="Times New Roman"/>
      <family val="1"/>
    </font>
    <font>
      <sz val="10"/>
      <color theme="0" tint="-0.499984740745262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rgb="FFB2D498"/>
        <bgColor indexed="64"/>
      </patternFill>
    </fill>
    <fill>
      <patternFill patternType="solid">
        <fgColor rgb="FF183C1B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C6600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rgb="FF533001"/>
        <bgColor indexed="64"/>
      </patternFill>
    </fill>
    <fill>
      <patternFill patternType="solid">
        <fgColor rgb="FF008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gradientFill degree="90">
        <stop position="0">
          <color theme="0"/>
        </stop>
        <stop position="1">
          <color theme="0" tint="-5.0965910824915313E-2"/>
        </stop>
      </gradientFill>
    </fill>
    <fill>
      <patternFill patternType="solid">
        <fgColor theme="3" tint="0.89996032593768116"/>
        <bgColor indexed="64"/>
      </patternFill>
    </fill>
  </fills>
  <borders count="5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1" tint="0.499984740745262"/>
      </top>
      <bottom/>
      <diagonal/>
    </border>
    <border>
      <left/>
      <right/>
      <top/>
      <bottom style="thin">
        <color theme="0" tint="-0.34998626667073579"/>
      </bottom>
      <diagonal/>
    </border>
    <border>
      <left style="thin">
        <color theme="3" tint="0.749961851863155"/>
      </left>
      <right style="thin">
        <color theme="3" tint="0.749961851863155"/>
      </right>
      <top style="thin">
        <color theme="3" tint="0.749961851863155"/>
      </top>
      <bottom style="thin">
        <color theme="3" tint="0.749961851863155"/>
      </bottom>
      <diagonal/>
    </border>
  </borders>
  <cellStyleXfs count="59">
    <xf numFmtId="0" fontId="0" fillId="0" borderId="0"/>
    <xf numFmtId="0" fontId="5" fillId="2" borderId="0">
      <alignment horizontal="left" vertical="center" indent="1"/>
      <protection locked="0"/>
    </xf>
    <xf numFmtId="0" fontId="4" fillId="0" borderId="0"/>
    <xf numFmtId="0" fontId="1" fillId="0" borderId="0">
      <alignment vertical="center"/>
    </xf>
    <xf numFmtId="0" fontId="16" fillId="3" borderId="0">
      <alignment vertical="center"/>
    </xf>
    <xf numFmtId="0" fontId="23" fillId="4" borderId="0">
      <alignment horizontal="left" vertical="center"/>
    </xf>
    <xf numFmtId="0" fontId="28" fillId="4" borderId="0">
      <alignment vertical="center"/>
    </xf>
    <xf numFmtId="0" fontId="3" fillId="4" borderId="0">
      <alignment horizontal="left" vertical="center"/>
    </xf>
    <xf numFmtId="0" fontId="26" fillId="4" borderId="0">
      <alignment horizontal="left" vertical="center"/>
    </xf>
    <xf numFmtId="0" fontId="5" fillId="2" borderId="0">
      <alignment horizontal="center" vertical="center"/>
    </xf>
    <xf numFmtId="164" fontId="8" fillId="4" borderId="0">
      <alignment horizontal="center" vertical="center"/>
    </xf>
    <xf numFmtId="9" fontId="8" fillId="4" borderId="0">
      <alignment horizontal="center" vertical="center"/>
    </xf>
    <xf numFmtId="0" fontId="6" fillId="4" borderId="0">
      <alignment horizontal="left" vertical="center" indent="1"/>
    </xf>
    <xf numFmtId="0" fontId="7" fillId="4" borderId="0">
      <alignment horizontal="right" vertical="center"/>
    </xf>
    <xf numFmtId="0" fontId="2" fillId="0" borderId="1">
      <alignment horizontal="center" vertical="center"/>
    </xf>
    <xf numFmtId="0" fontId="3" fillId="11" borderId="1">
      <alignment horizontal="center" vertical="center"/>
    </xf>
    <xf numFmtId="9" fontId="2" fillId="0" borderId="1">
      <alignment horizontal="center" vertical="center"/>
    </xf>
    <xf numFmtId="4" fontId="2" fillId="0" borderId="1">
      <alignment horizontal="center" vertical="center"/>
    </xf>
    <xf numFmtId="3" fontId="2" fillId="0" borderId="1">
      <alignment horizontal="center" vertical="center"/>
    </xf>
    <xf numFmtId="0" fontId="13" fillId="0" borderId="1">
      <alignment horizontal="center" vertical="center"/>
    </xf>
    <xf numFmtId="0" fontId="14" fillId="0" borderId="1">
      <alignment horizontal="center" vertical="center"/>
    </xf>
    <xf numFmtId="9" fontId="13" fillId="0" borderId="1">
      <alignment horizontal="center" vertical="center"/>
    </xf>
    <xf numFmtId="165" fontId="13" fillId="0" borderId="1">
      <alignment horizontal="center" vertical="center"/>
    </xf>
    <xf numFmtId="3" fontId="13" fillId="0" borderId="1">
      <alignment horizontal="center" vertical="center"/>
    </xf>
    <xf numFmtId="0" fontId="15" fillId="4" borderId="0">
      <alignment horizontal="left" vertical="center"/>
    </xf>
    <xf numFmtId="0" fontId="6" fillId="4" borderId="2">
      <alignment horizontal="left" vertical="center" indent="1"/>
    </xf>
    <xf numFmtId="164" fontId="8" fillId="4" borderId="2">
      <alignment horizontal="center" vertical="center"/>
    </xf>
    <xf numFmtId="0" fontId="3" fillId="4" borderId="2">
      <alignment horizontal="left" vertical="center"/>
    </xf>
    <xf numFmtId="0" fontId="12" fillId="6" borderId="0">
      <alignment horizontal="left" vertical="center" indent="1"/>
    </xf>
    <xf numFmtId="0" fontId="12" fillId="6" borderId="0">
      <alignment horizontal="center" vertical="center"/>
      <protection locked="0"/>
    </xf>
    <xf numFmtId="0" fontId="11" fillId="4" borderId="0">
      <alignment vertical="center"/>
    </xf>
    <xf numFmtId="0" fontId="16" fillId="7" borderId="0">
      <alignment vertical="center"/>
    </xf>
    <xf numFmtId="0" fontId="10" fillId="0" borderId="0"/>
    <xf numFmtId="0" fontId="2" fillId="0" borderId="0">
      <alignment horizontal="left" vertical="center" indent="1"/>
    </xf>
    <xf numFmtId="0" fontId="17" fillId="9" borderId="3">
      <alignment horizontal="left" vertical="center" indent="1"/>
    </xf>
    <xf numFmtId="0" fontId="18" fillId="10" borderId="0">
      <alignment horizontal="left" vertical="center" indent="1"/>
    </xf>
    <xf numFmtId="0" fontId="18" fillId="5" borderId="0">
      <alignment horizontal="left" vertical="center" indent="1"/>
    </xf>
    <xf numFmtId="0" fontId="18" fillId="8" borderId="0">
      <alignment horizontal="left" vertical="center" indent="1"/>
    </xf>
    <xf numFmtId="0" fontId="19" fillId="0" borderId="0">
      <alignment horizontal="left" vertical="center" indent="2"/>
    </xf>
    <xf numFmtId="0" fontId="29" fillId="12" borderId="4">
      <alignment horizontal="left" vertical="center"/>
    </xf>
    <xf numFmtId="3" fontId="21" fillId="4" borderId="1">
      <alignment horizontal="center" vertical="center"/>
    </xf>
    <xf numFmtId="167" fontId="2" fillId="0" borderId="1">
      <alignment horizontal="center" vertical="center"/>
    </xf>
    <xf numFmtId="0" fontId="22" fillId="0" borderId="0"/>
    <xf numFmtId="0" fontId="9" fillId="0" borderId="0"/>
    <xf numFmtId="0" fontId="22" fillId="0" borderId="0"/>
    <xf numFmtId="166" fontId="21" fillId="4" borderId="1">
      <alignment horizontal="center" vertical="center"/>
    </xf>
    <xf numFmtId="4" fontId="21" fillId="4" borderId="1">
      <alignment horizontal="center" vertical="center"/>
    </xf>
    <xf numFmtId="0" fontId="25" fillId="4" borderId="0">
      <alignment horizontal="left" vertical="center"/>
    </xf>
    <xf numFmtId="0" fontId="24" fillId="4" borderId="0" applyNumberFormat="0">
      <alignment horizontal="center" vertical="center"/>
    </xf>
    <xf numFmtId="165" fontId="21" fillId="4" borderId="1">
      <alignment horizontal="center" vertical="center"/>
    </xf>
    <xf numFmtId="0" fontId="20" fillId="4" borderId="0">
      <alignment horizontal="left" vertical="center"/>
    </xf>
    <xf numFmtId="168" fontId="21" fillId="4" borderId="1">
      <alignment horizontal="center" vertical="center"/>
    </xf>
    <xf numFmtId="0" fontId="21" fillId="4" borderId="1">
      <alignment horizontal="center" vertical="center"/>
    </xf>
    <xf numFmtId="0" fontId="6" fillId="4" borderId="0">
      <alignment horizontal="left" vertical="center"/>
    </xf>
    <xf numFmtId="0" fontId="27" fillId="4" borderId="0">
      <alignment horizontal="left" vertical="center"/>
    </xf>
    <xf numFmtId="0" fontId="9" fillId="0" borderId="0"/>
    <xf numFmtId="0" fontId="2" fillId="0" borderId="1">
      <alignment horizontal="center" vertical="center"/>
    </xf>
    <xf numFmtId="0" fontId="30" fillId="4" borderId="0">
      <alignment horizontal="left" vertical="center"/>
    </xf>
    <xf numFmtId="0" fontId="31" fillId="4" borderId="0">
      <alignment horizontal="left" vertical="center"/>
    </xf>
  </cellStyleXfs>
  <cellXfs count="15">
    <xf numFmtId="0" fontId="0" fillId="0" borderId="0" xfId="0"/>
    <xf numFmtId="0" fontId="26" fillId="4" borderId="0" xfId="8">
      <alignment horizontal="left" vertical="center"/>
    </xf>
    <xf numFmtId="0" fontId="3" fillId="4" borderId="0" xfId="7">
      <alignment horizontal="left" vertical="center"/>
    </xf>
    <xf numFmtId="0" fontId="16" fillId="3" borderId="0" xfId="4">
      <alignment vertical="center"/>
    </xf>
    <xf numFmtId="0" fontId="28" fillId="4" borderId="0" xfId="6">
      <alignment vertical="center"/>
    </xf>
    <xf numFmtId="0" fontId="23" fillId="4" borderId="0" xfId="5">
      <alignment horizontal="left" vertical="center"/>
    </xf>
    <xf numFmtId="0" fontId="3" fillId="0" borderId="0" xfId="7" applyFill="1">
      <alignment horizontal="left" vertical="center"/>
    </xf>
    <xf numFmtId="0" fontId="4" fillId="0" borderId="0" xfId="2"/>
    <xf numFmtId="0" fontId="1" fillId="0" borderId="0" xfId="3">
      <alignment vertical="center"/>
    </xf>
    <xf numFmtId="0" fontId="16" fillId="0" borderId="0" xfId="4" applyFill="1">
      <alignment vertical="center"/>
    </xf>
    <xf numFmtId="0" fontId="0" fillId="4" borderId="0" xfId="0" applyFill="1"/>
    <xf numFmtId="0" fontId="0" fillId="0" borderId="0" xfId="8" applyFont="1" applyFill="1">
      <alignment horizontal="left" vertical="center"/>
    </xf>
    <xf numFmtId="0" fontId="6" fillId="4" borderId="0" xfId="53">
      <alignment horizontal="left" vertical="center"/>
    </xf>
    <xf numFmtId="0" fontId="27" fillId="4" borderId="0" xfId="54">
      <alignment horizontal="left" vertical="center"/>
    </xf>
    <xf numFmtId="0" fontId="0" fillId="0" borderId="0" xfId="8" applyFont="1" applyFill="1" applyBorder="1">
      <alignment horizontal="left" vertical="center"/>
    </xf>
  </cellXfs>
  <cellStyles count="59">
    <cellStyle name="Block heading" xfId="5" xr:uid="{74527274-3B4A-494A-B37C-EA50686E114C}"/>
    <cellStyle name="Block subheading" xfId="47" xr:uid="{34E62905-A3E0-4883-B81A-BDB58FC88DA7}"/>
    <cellStyle name="Code" xfId="24" xr:uid="{99B3520F-01DD-4F8E-A8D0-24EAA04E90EB}"/>
    <cellStyle name="Content bold" xfId="7" xr:uid="{468A1381-682E-4BF1-945B-DF2E2BCA4419}"/>
    <cellStyle name="Content bold total" xfId="27" xr:uid="{17159E75-EF9F-42B8-8195-E83583796F67}"/>
    <cellStyle name="Content hidden" xfId="50" xr:uid="{8E56D08F-467A-4F3D-ADA8-ECA27B2FFCD3}"/>
    <cellStyle name="Content normal" xfId="8" xr:uid="{55F96DE2-2B61-4529-A3B8-2B8B8AA0D350}"/>
    <cellStyle name="Equation column header" xfId="9" xr:uid="{B705D3A4-E195-47DF-A4D1-BA1FDC70C701}"/>
    <cellStyle name="Equation source" xfId="6" xr:uid="{348FC12D-3392-478F-B0B3-D4FA4BBA59E4}"/>
    <cellStyle name="Equation table header" xfId="1" xr:uid="{11780056-D3CA-48D4-90AF-8DF1A50E1B13}"/>
    <cellStyle name="Euqation table row 2" xfId="13" xr:uid="{2CAEAB93-BC87-4606-B5A1-3C2F7B5C52A1}"/>
    <cellStyle name="Information tip" xfId="39" xr:uid="{7D200D09-32E3-4546-9822-1B93AD118A74}"/>
    <cellStyle name="Information variation" xfId="54" xr:uid="{205494A3-14DD-4E6A-BDD3-5C5A864D6FA7}"/>
    <cellStyle name="Input block subheading" xfId="30" xr:uid="{A9FEBDB0-0992-4E30-96E5-9F9CAE92E3FB}"/>
    <cellStyle name="Input date" xfId="41" xr:uid="{A1D72D5E-DCF3-445F-8FC0-A147E105D774}"/>
    <cellStyle name="Input date calculated" xfId="45" xr:uid="{5A42AD0E-F665-46A9-9757-6B6A4BE7013E}"/>
    <cellStyle name="Input number 2 decimal places" xfId="17" xr:uid="{F9671E40-5700-4055-A6D2-272CF9DB620E}"/>
    <cellStyle name="Input number 2 decimal places calculated" xfId="46" xr:uid="{C04BA53C-14E1-48A5-99A3-C9FD44741A2A}"/>
    <cellStyle name="Input number 3 decimal places calculated" xfId="49" xr:uid="{637E6039-0A01-48EF-8C15-C29A497EF449}"/>
    <cellStyle name="Input number 3 decimal places disabled" xfId="22" xr:uid="{6B1B6177-B1C0-4190-858F-6E4C823402C3}"/>
    <cellStyle name="Input number 6 decimal places calculated" xfId="51" xr:uid="{CE70A7A2-3CEE-4689-8FF6-8EB6FCE0A94C}"/>
    <cellStyle name="Input number general" xfId="56" xr:uid="{D8583F7D-F13A-4EA8-BAA6-B42739FDBDDB}"/>
    <cellStyle name="Input number general calculated" xfId="52" xr:uid="{34755FEB-6E4E-4BD7-A478-DF7299A7A914}"/>
    <cellStyle name="Input number no decimals" xfId="18" xr:uid="{B33B4FB5-F3F4-4036-B2DD-663B694E2A90}"/>
    <cellStyle name="Input number no decimals calculated" xfId="40" xr:uid="{5A48F48F-03B2-410E-887B-2A9297006BAF}"/>
    <cellStyle name="Input number no decimals disabled" xfId="23" xr:uid="{7ABDCB2D-7703-4392-9553-5620789B1E19}"/>
    <cellStyle name="Input number percent disabled" xfId="21" xr:uid="{D0E8B42E-13A8-477C-99CB-5FF73C5BBAA4}"/>
    <cellStyle name="Input page heading" xfId="32" xr:uid="{74FB9B3B-4B5B-4B7F-A54C-22E0724783C8}"/>
    <cellStyle name="Input page section heading" xfId="31" xr:uid="{1A05B367-BE5D-4E2B-9831-A28D5CFAC8EC}"/>
    <cellStyle name="Input percent" xfId="16" xr:uid="{923E56A7-7902-46CD-9AA8-0D69F2E1ECA1}"/>
    <cellStyle name="Input select" xfId="15" xr:uid="{3CF2E653-7F22-4996-ABB9-95CA16698B1F}"/>
    <cellStyle name="Input select disabled" xfId="20" xr:uid="{5CE680CC-504C-444D-8337-CF97D9BB5A78}"/>
    <cellStyle name="Input table column header" xfId="29" xr:uid="{EF98B018-1246-451D-91C2-97FCD443EDC9}"/>
    <cellStyle name="Input table header" xfId="28" xr:uid="{04872377-9FDD-4D5A-91FC-B9D8DA1E8E91}"/>
    <cellStyle name="Input text" xfId="14" xr:uid="{4C71A4C5-ADD8-4A09-A7FE-940DA96821F6}"/>
    <cellStyle name="Input text calculated" xfId="48" xr:uid="{43DCF082-1F0D-4E07-9785-CAF41B37CFCC}"/>
    <cellStyle name="Input text disabled" xfId="19" xr:uid="{79E76B35-E5FF-43A1-B0D0-016F346F8B97}"/>
    <cellStyle name="Menu link child" xfId="38" xr:uid="{609090D3-DE1E-48FE-A8AA-233CE9B146E0}"/>
    <cellStyle name="Menu link default" xfId="33" xr:uid="{11B84453-1DD4-492A-B241-FE6AD4CB25FA}"/>
    <cellStyle name="Menu link selected" xfId="35" xr:uid="{B16EBA6F-62C4-483F-8E15-B20D06ABF61F}"/>
    <cellStyle name="Menu link selected equations" xfId="37" xr:uid="{7AFCC545-C221-4BAC-933E-19109D0FB654}"/>
    <cellStyle name="Menu link selected input" xfId="36" xr:uid="{17D327F4-9149-4DAC-85BB-811698090830}"/>
    <cellStyle name="Menu section title" xfId="34" xr:uid="{E2117B15-AE58-4F76-B13B-671D455A4107}"/>
    <cellStyle name="Normal" xfId="0" builtinId="0"/>
    <cellStyle name="Normal 2" xfId="55" xr:uid="{FE64FEFB-54C6-42B4-AA7F-D49670F5ED19}"/>
    <cellStyle name="Normal 2 2" xfId="44" xr:uid="{B8803ACE-513D-4EEF-BBE0-0BB76AE7D7F4}"/>
    <cellStyle name="Normal 4" xfId="42" xr:uid="{99CD1B63-5040-4067-BBD7-470030C57E5D}"/>
    <cellStyle name="Normal 5" xfId="43" xr:uid="{C95BEC9B-545D-4D75-A129-77179ED2BD99}"/>
    <cellStyle name="Number diplsay percent" xfId="11" xr:uid="{2A2547EE-93B6-4F82-A56A-1A45D8712142}"/>
    <cellStyle name="Number display decimal" xfId="10" xr:uid="{D6C655C7-D21F-4B70-8143-4C163C43FE08}"/>
    <cellStyle name="Number display decimal total" xfId="26" xr:uid="{A9378C0C-CCAE-43D1-BC2C-BD4A9766DA0D}"/>
    <cellStyle name="Page heading" xfId="2" xr:uid="{255E304E-A5AB-40F0-8E3A-91C132147F10}"/>
    <cellStyle name="Page section heading" xfId="4" xr:uid="{B654AFF3-28A2-43B8-AE91-E7D2C159A294}"/>
    <cellStyle name="Page source" xfId="3" xr:uid="{35DF92BD-4909-4EA7-B1E6-C0EDAAEB1713}"/>
    <cellStyle name="Table description" xfId="58" xr:uid="{8BD2F353-2E3C-42FF-89E9-616E85DC18C5}"/>
    <cellStyle name="Table name" xfId="57" xr:uid="{D56F17A4-9740-44B6-BDDB-150E2C950B8B}"/>
    <cellStyle name="Unit" xfId="12" xr:uid="{90B9E191-F5E0-43AB-A245-D6CA23D4ADFC}"/>
    <cellStyle name="Unit no indent" xfId="53" xr:uid="{2829D020-DAD8-4B7D-9262-450720E27D2B}"/>
    <cellStyle name="Unit total" xfId="25" xr:uid="{65428923-3DAD-47B6-8DDF-0EBD05E7C55B}"/>
  </cellStyles>
  <dxfs count="3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color theme="1" tint="0.24994659260841701"/>
      </font>
      <fill>
        <patternFill patternType="solid">
          <fgColor indexed="64"/>
          <bgColor theme="0" tint="-4.9989318521683403E-2"/>
        </patternFill>
      </fill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ont>
        <color theme="1" tint="0.24994659260841701"/>
      </font>
      <fill>
        <patternFill>
          <bgColor theme="0" tint="-4.9989318521683403E-2"/>
        </patternFill>
      </fill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ill>
        <patternFill>
          <fgColor theme="0"/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ont>
        <b/>
        <i val="0"/>
        <color rgb="FF183C1B"/>
      </font>
      <fill>
        <patternFill patternType="solid">
          <fgColor indexed="64"/>
          <bgColor rgb="FFB2D498"/>
        </patternFill>
      </fill>
    </dxf>
    <dxf>
      <font>
        <color theme="1" tint="0.24994659260841701"/>
      </font>
      <border>
        <left/>
        <right/>
        <top/>
        <bottom/>
        <vertical/>
        <horizontal/>
      </border>
    </dxf>
    <dxf>
      <font>
        <color theme="1" tint="0.24994659260841701"/>
      </font>
      <fill>
        <patternFill patternType="none">
          <fgColor indexed="64"/>
          <bgColor auto="1"/>
        </patternFill>
      </fill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ont>
        <color theme="1" tint="0.24994659260841701"/>
      </font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ill>
        <patternFill>
          <fgColor theme="0"/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ont>
        <b/>
        <i val="0"/>
        <color rgb="FF533001"/>
      </font>
      <fill>
        <patternFill patternType="solid">
          <fgColor indexed="64"/>
          <bgColor rgb="FFFFCC66"/>
        </patternFill>
      </fill>
    </dxf>
    <dxf>
      <font>
        <color theme="1" tint="0.24994659260841701"/>
      </font>
      <border>
        <left/>
        <right/>
        <top/>
        <bottom/>
        <vertical/>
        <horizontal/>
      </border>
    </dxf>
  </dxfs>
  <tableStyles count="3" defaultTableStyle="Equation table" defaultPivotStyle="PivotStyleLight16">
    <tableStyle name="Editable table" pivot="0" count="6" xr9:uid="{8C498A1C-5864-4BF8-8739-A3055FE117E0}">
      <tableStyleElement type="wholeTable" dxfId="31"/>
      <tableStyleElement type="headerRow" dxfId="30"/>
      <tableStyleElement type="totalRow" dxfId="29"/>
      <tableStyleElement type="firstColumn" dxfId="28"/>
      <tableStyleElement type="firstRowStripe" dxfId="27"/>
      <tableStyleElement type="secondRowStripe" dxfId="26"/>
    </tableStyle>
    <tableStyle name="Equation table" pivot="0" count="6" xr9:uid="{B247698E-E41D-4CCD-AA0A-C14817E9DE65}">
      <tableStyleElement type="wholeTable" dxfId="25"/>
      <tableStyleElement type="headerRow" dxfId="24"/>
      <tableStyleElement type="totalRow" dxfId="23"/>
      <tableStyleElement type="firstColumn" dxfId="22"/>
      <tableStyleElement type="firstRowStripe" dxfId="21"/>
      <tableStyleElement type="secondRowStripe" dxfId="20"/>
    </tableStyle>
    <tableStyle name="Table Style 1" pivot="0" count="0" xr9:uid="{97B370DB-5463-4A31-9160-5A96BD6A559D}"/>
  </tableStyles>
  <colors>
    <mruColors>
      <color rgb="FF0C769E"/>
      <color rgb="FFC44340"/>
      <color rgb="FF008000"/>
      <color rgb="FFFFCCCC"/>
      <color rgb="FFC4433F"/>
      <color rgb="FFE9F2FB"/>
      <color rgb="FF183C1B"/>
      <color rgb="FFB2D498"/>
      <color rgb="FFCC6600"/>
      <color rgb="FF4F47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0/relationships/richValueRel" Target="richData/richValueRel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5" Type="http://schemas.openxmlformats.org/officeDocument/2006/relationships/customXml" Target="../customXml/item3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Relationship Id="rId14" Type="http://schemas.openxmlformats.org/officeDocument/2006/relationships/customXml" Target="../customXml/item2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55AFDDE-E44E-4566-9446-49D22D1085DF}" name="Table_AustralianStates" displayName="Table_AustralianStates" ref="D6:F14" totalsRowShown="0">
  <autoFilter ref="D6:F14" xr:uid="{E0906749-7FC7-47DE-82F6-F796C4463018}">
    <filterColumn colId="0" hiddenButton="1"/>
    <filterColumn colId="1" hiddenButton="1"/>
    <filterColumn colId="2" hiddenButton="1"/>
  </autoFilter>
  <tableColumns count="3">
    <tableColumn id="1" xr3:uid="{8BD56FF8-29E2-4DF7-85A1-55618F035A34}" name="State/Territory">
      <calculatedColumnFormula array="1">Common_InputFunctions.Utility_DisplayArrayInTable(Common_SourceData.Common_SourceData_AustralianStatesTerritories_Data(),Table_AustralianStates[[#Headers],[State/Territory]],0)</calculatedColumnFormula>
    </tableColumn>
    <tableColumn id="2" xr3:uid="{F5DA0D0E-6BC4-4950-A99F-5113C027644B}" name="Common Name">
      <calculatedColumnFormula array="1">Common_InputFunctions.Utility_DisplayArrayInTable(Common_SourceData.Common_SourceData_AustralianStatesTerritories_Data(),Table_AustralianStates[[#Headers],[State/Territory]],0)</calculatedColumnFormula>
    </tableColumn>
    <tableColumn id="3" xr3:uid="{387B7C9E-D7D9-4D36-A290-1A81ACD3515A}" name="Abbreviation">
      <calculatedColumnFormula array="1">Common_InputFunctions.Utility_DisplayArrayInTable(Common_SourceData.Common_SourceData_AustralianStatesTerritories_Data(),Table_AustralianStates[[#Headers],[State/Territory]],0)</calculatedColumnFormula>
    </tableColumn>
  </tableColumns>
  <tableStyleInfo name="Equation 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68A2510-6801-4CC4-A35D-1182F8B5B0D6}" name="Table_WASA4Areas" displayName="Table_WASA4Areas" ref="D20:D30" totalsRowShown="0">
  <autoFilter ref="D20:D30" xr:uid="{5FA81339-C6C8-4D36-BEEA-6C4AEDD9E676}">
    <filterColumn colId="0" hiddenButton="1"/>
  </autoFilter>
  <tableColumns count="1">
    <tableColumn id="1" xr3:uid="{FEC43FAA-C4DB-43B0-B971-1FF71C5C3EB9}" name="SA 4 Name">
      <calculatedColumnFormula array="1">Common_InputFunctions.Utility_DisplayArrayInTable(Common_SourceData.Common_SourceData_WASA4Areas_Data(), Table_WASA4Areas[[#Headers],[SA 4 Name]], 0)</calculatedColumnFormula>
    </tableColumn>
  </tableColumns>
  <tableStyleInfo name="Equation 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8693B4F-0827-4BC0-8BFF-4E2F8802A9A6}" name="Table_GWPData" displayName="Table_GWPData" ref="D36:E43" totalsRowShown="0">
  <autoFilter ref="D36:E43" xr:uid="{B8E87A66-3E41-4AD3-925D-01EE21B43D7A}">
    <filterColumn colId="0" hiddenButton="1"/>
    <filterColumn colId="1" hiddenButton="1"/>
  </autoFilter>
  <tableColumns count="2">
    <tableColumn id="1" xr3:uid="{58198B4B-31B9-425F-A0C1-D1593EEF16FC}" name="Gas">
      <calculatedColumnFormula array="1">Common_InputFunctions.Utility_DisplayArrayInTable(Common_SourceData.Common_SourceData_GWP_Data(), Table_GWPData[[#Headers],[Gas]], 0)</calculatedColumnFormula>
    </tableColumn>
    <tableColumn id="2" xr3:uid="{B9F0B86C-9146-4976-B742-C78D7C3C1146}" name="CO2-e factor">
      <calculatedColumnFormula array="1">Common_InputFunctions.Utility_DisplayArrayInTable(Common_SourceData.Common_SourceData_GWP_Data(), Table_GWPData[[#Headers],[Gas]], 0)</calculatedColumnFormula>
    </tableColumn>
  </tableColumns>
  <tableStyleInfo name="Equation 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62FC099-DF5F-42B5-806A-E7A932074694}" name="Table_GasToMolecularConversionFactor" displayName="Table_GasToMolecularConversionFactor" ref="D47:H54" totalsRowShown="0">
  <autoFilter ref="D47:H54" xr:uid="{C1F562BB-DAA6-45BB-951A-7BAFA5B64B45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A6E029C1-D4D4-46E4-9D9D-9AA604F09519}" name="Gas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5" xr3:uid="{AD8A597E-16A3-42B7-A64E-7A1DF4ED3338}" name="Conversion factor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2" xr3:uid="{FB88E96D-D31C-4C55-BB92-4DA916E3D9DA}" name="Conversion factor 1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3" xr3:uid="{B708733D-F7A9-4A74-8BE2-FF67131886D8}" name="Conversion factor 2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4" xr3:uid="{D26A421E-E754-4C8A-9D08-12DF73D61E7C}" name="Conversion factor combined">
      <calculatedColumnFormula>Table_GasToMolecularConversionFactor[[#This Row],[Conversion factor 1]]/Table_GasToMolecularConversionFactor[[#This Row],[Conversion factor 2]]</calculatedColumnFormula>
    </tableColumn>
  </tableColumns>
  <tableStyleInfo name="Equation 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FF0180F-7F7D-4433-BEE0-8A0A823637BF}" name="Table_SourceData_ClimateZones" displayName="Table_SourceData_ClimateZones" ref="D89:S97" totalsRowShown="0">
  <autoFilter ref="D89:S97" xr:uid="{5A437AE9-7724-4CF2-ACCF-291078682FB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</autoFilter>
  <tableColumns count="16">
    <tableColumn id="1" xr3:uid="{8938BBE8-7B92-48A9-872B-3320D21DB635}" name="Climate zone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2" xr3:uid="{658207C9-89A7-4F8D-BFB1-8E32C6E5CE10}" name="MAT" totalsRowDxfId="19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3" xr3:uid="{354F10CE-DC7A-49A5-AA19-EEB6281A6412}" name="MAP" totalsRowDxfId="18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4" xr3:uid="{38F4182B-B4B5-426D-98BC-0B2593A7B2AC}" name="Frost days per year" totalsRowDxfId="17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5" xr3:uid="{EE15735E-8ABF-428C-B015-3F1955A6D060}" name="Elevation" totalsRowDxfId="16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6" xr3:uid="{24D889BF-3FFC-47F8-87FE-E95F033D2601}" name="MAP:PET" totalsRowDxfId="15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7" xr3:uid="{8B1AA507-6E86-4E0A-8123-6045EBFC43F0}" name="Min temp" totalsRowDxfId="14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8" xr3:uid="{B7A64A9C-167B-48BE-9126-A0FC1AEC24A5}" name="Max temp" totalsRowDxfId="13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9" xr3:uid="{6A8CA332-9832-49EA-97FB-DD23C730245E}" name="Min rainfall" totalsRowDxfId="12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0" xr3:uid="{B24E0786-86EC-449C-85EE-60C753B18536}" name="Max rainfall" totalsRowDxfId="11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1" xr3:uid="{25C5B38E-3202-4F57-A055-5B1AD8BE4CEF}" name="Min frost days" totalsRowDxfId="10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5" xr3:uid="{E486BEC3-9016-4BF3-8FB0-8F4450C55190}" name="Max frost days" totalsRowDxfId="9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2" xr3:uid="{8C9D6103-6384-43E4-AD6A-556A38AB52A4}" name="Min elevation" totalsRowDxfId="8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6" xr3:uid="{BF7FD137-AA7E-444B-8D18-DC8AB8FE4C1A}" name="Max elevation" totalsRowDxfId="7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3" xr3:uid="{99EBF2EA-96A6-4345-93B0-3364616813EA}" name="Min MAP:PET" totalsRowDxfId="6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7" xr3:uid="{3EB0AAD6-2B47-4B1F-AB9F-DF46F10D5123}" name="Max MAP:PET" totalsRowDxfId="5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</tableColumns>
  <tableStyleInfo name="Equation 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32A6A92-FC29-4D50-BA04-0826843E7703}" name="Table_SourceData_WetDryZones" displayName="Table_SourceData_WetDryZones" ref="D63:E77" totalsRowShown="0">
  <autoFilter ref="D63:E77" xr:uid="{3597E019-B21E-4B76-BCC8-D02D497BCFA9}">
    <filterColumn colId="0" hiddenButton="1"/>
    <filterColumn colId="1" hiddenButton="1"/>
  </autoFilter>
  <tableColumns count="2">
    <tableColumn id="1" xr3:uid="{2FCD4A06-823B-4A3F-89D0-46C27A9E1AA9}" name="Climate zone" totalsRowCellStyle="Content bold">
      <calculatedColumnFormula array="1">Common_InputFunctions.Utility_DisplayArrayInTable(Common_SourceData.Common_SourceData_WetAndDryZones_Data(), Table_SourceData_WetDryZones[[#Headers],[Climate zone]], 0)</calculatedColumnFormula>
    </tableColumn>
    <tableColumn id="2" xr3:uid="{605D6DF8-71A8-491A-BF4E-F6D008835D65}" name="Wet or Dry Zone" totalsRowDxfId="4" totalsRowCellStyle="Content bold">
      <calculatedColumnFormula array="1">Common_InputFunctions.Utility_DisplayArrayInTable(Common_SourceData.Common_SourceData_WetAndDryZones_Data(), Table_SourceData_WetDryZones[[#Headers],[Climate zone]], 0)</calculatedColumnFormula>
    </tableColumn>
  </tableColumns>
  <tableStyleInfo name="Equation table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9FC6E4B-1485-47B3-B981-452B30BCE51E}" name="Table_SourceData_TemperatureZones" displayName="Table_SourceData_TemperatureZones" ref="D109:G112" totalsRowShown="0">
  <autoFilter ref="D109:G112" xr:uid="{AB16FEAB-AB03-45E1-BBD4-66D29CD412DF}">
    <filterColumn colId="0" hiddenButton="1"/>
    <filterColumn colId="1" hiddenButton="1"/>
    <filterColumn colId="2" hiddenButton="1"/>
    <filterColumn colId="3" hiddenButton="1"/>
  </autoFilter>
  <tableColumns count="4">
    <tableColumn id="1" xr3:uid="{5FDD3467-EE45-473F-B48C-CD61900185F2}" name="Temperature Zone">
      <calculatedColumnFormula array="1">Common_InputFunctions.Utility_DisplayArrayInTable(Common_SourceData.Common_SourceData_TemperatureZones_Data(),Table_SourceData_TemperatureZones[[#Headers],[Temperature Zone]],0)</calculatedColumnFormula>
    </tableColumn>
    <tableColumn id="2" xr3:uid="{3152390A-DC85-4607-A3A6-0AA517B5C99A}" name="MAT">
      <calculatedColumnFormula array="1">Common_InputFunctions.Utility_DisplayArrayInTable(Common_SourceData.Common_SourceData_TemperatureZones_Data(),Table_SourceData_TemperatureZones[[#Headers],[Temperature Zone]],0)</calculatedColumnFormula>
    </tableColumn>
    <tableColumn id="3" xr3:uid="{0ADEDEE0-6AD4-4B94-BBD5-BCBB07E1B11F}" name="Min MAT">
      <calculatedColumnFormula array="1">Common_InputFunctions.Utility_DisplayArrayInTable(Common_SourceData.Common_SourceData_TemperatureZones_Data(),Table_SourceData_TemperatureZones[[#Headers],[Temperature Zone]],0)</calculatedColumnFormula>
    </tableColumn>
    <tableColumn id="4" xr3:uid="{865B2916-F18A-4E99-BE24-FAB9BFD4F68A}" name="Max MAT">
      <calculatedColumnFormula array="1">Common_InputFunctions.Utility_DisplayArrayInTable(Common_SourceData.Common_SourceData_TemperatureZones_Data(),Table_SourceData_TemperatureZones[[#Headers],[Temperature Zone]],0)</calculatedColumnFormula>
    </tableColumn>
  </tableColumns>
  <tableStyleInfo name="Equation table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7337C26-229C-4E09-A297-90C453C060F3}" name="Table_SourceData_RainfallZones" displayName="Table_SourceData_RainfallZones" ref="D119:G121" totalsRowShown="0">
  <autoFilter ref="D119:G121" xr:uid="{E08772F3-2E8C-40A8-B755-08A5BBDF4130}">
    <filterColumn colId="0" hiddenButton="1"/>
    <filterColumn colId="1" hiddenButton="1"/>
    <filterColumn colId="2" hiddenButton="1"/>
    <filterColumn colId="3" hiddenButton="1"/>
  </autoFilter>
  <tableColumns count="4">
    <tableColumn id="1" xr3:uid="{9AEEFC53-E611-4230-AAAF-3DE6B5E5E950}" name="Rainfall Zone">
      <calculatedColumnFormula array="1">Common_InputFunctions.Utility_DisplayArrayInTable(Common_SourceData.Common_SourceData_RainfallZones_Data(),Table_SourceData_RainfallZones[[#Headers],[Rainfall Zone]],0)</calculatedColumnFormula>
    </tableColumn>
    <tableColumn id="2" xr3:uid="{C472DBB4-6A9E-4914-AA99-450142F197F5}" name="Annual rainfall">
      <calculatedColumnFormula array="1">Common_InputFunctions.Utility_DisplayArrayInTable(Common_SourceData.Common_SourceData_RainfallZones_Data(),Table_SourceData_RainfallZones[[#Headers],[Rainfall Zone]],0)</calculatedColumnFormula>
    </tableColumn>
    <tableColumn id="3" xr3:uid="{0286587B-B8A4-411F-86B6-7742963B61A7}" name="Min rainfall">
      <calculatedColumnFormula array="1">Common_InputFunctions.Utility_DisplayArrayInTable(Common_SourceData.Common_SourceData_RainfallZones_Data(),Table_SourceData_RainfallZones[[#Headers],[Rainfall Zone]],0)</calculatedColumnFormula>
    </tableColumn>
    <tableColumn id="4" xr3:uid="{9A50E08F-C1E5-4577-BFCD-3512C380DD34}" name="Max rainfall">
      <calculatedColumnFormula array="1">Common_InputFunctions.Utility_DisplayArrayInTable(Common_SourceData.Common_SourceData_RainfallZones_Data(),Table_SourceData_RainfallZones[[#Headers],[Rainfall Zone]],0)</calculatedColumnFormula>
    </tableColumn>
  </tableColumns>
  <tableStyleInfo name="Equation table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DB7A349-D3DD-4014-9714-0EE906A80983}" name="Table_SourceData_LeachingZones" displayName="Table_SourceData_LeachingZones" ref="D127:E129" totalsRowShown="0">
  <autoFilter ref="D127:E129" xr:uid="{A159E140-02ED-4547-B6E1-6695D8B16A11}">
    <filterColumn colId="0" hiddenButton="1"/>
    <filterColumn colId="1" hiddenButton="1"/>
  </autoFilter>
  <tableColumns count="2">
    <tableColumn id="1" xr3:uid="{61D54A58-B9CE-4F4F-A6C1-9709184F0C68}" name="Leaching Zone">
      <calculatedColumnFormula array="1">Common_InputFunctions.Utility_DisplayArrayInTable(Common_SourceData.Common_SourceData_LeachingZones_Data(), Table_SourceData_LeachingZones[[#Headers],[Leaching Zone]], 0)</calculatedColumnFormula>
    </tableColumn>
    <tableColumn id="2" xr3:uid="{FA4910CF-D781-41C4-A05F-986A4A73D67B}" name="Leaching criteria">
      <calculatedColumnFormula array="1">Common_InputFunctions.Utility_DisplayArrayInTable(Common_SourceData.Common_SourceData_LeachingZones_Data(), Table_SourceData_LeachingZones[[#Headers],[Leaching Zone]], 0)</calculatedColumnFormula>
    </tableColumn>
  </tableColumns>
  <tableStyleInfo name="Equation table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BFC15E8-D67C-4277-8EF9-438444043863}" name="Table_SourceData_DataScores_Scope3" displayName="Table_SourceData_DataScores_Scope3" ref="D153:E158" totalsRowShown="0">
  <autoFilter ref="D153:E158" xr:uid="{133D42B0-F6D2-470A-858A-37E6A7F5EC2B}">
    <filterColumn colId="0" hiddenButton="1"/>
    <filterColumn colId="1" hiddenButton="1"/>
  </autoFilter>
  <tableColumns count="2">
    <tableColumn id="1" xr3:uid="{59A3EF04-81A1-4788-92ED-C93EB4567386}" name="Data source">
      <calculatedColumnFormula array="1">Common_InputFunctions.Utility_DisplayArrayInTable(Common_SourceData.Common_SourceData_DataScores_Scope3_Data(), Table_SourceData_DataScores_Scope3[[#Headers],[Data source]], 0)</calculatedColumnFormula>
    </tableColumn>
    <tableColumn id="2" xr3:uid="{08331E38-C96C-45D2-ABE0-F9E96883DAB0}" name="Data score">
      <calculatedColumnFormula array="1">Common_InputFunctions.Utility_DisplayArrayInTable(Common_SourceData.Common_SourceData_DataScores_Scope3_Data(), Table_SourceData_DataScores_Scope3[[#Headers],[Data source]], 0)</calculatedColumnFormula>
    </tableColumn>
  </tableColumns>
  <tableStyleInfo name="Equation table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D871F994-12EC-4014-A3F3-C7F599044252}" name="Table_SourceData_FracWET" displayName="Table_SourceData_FracWET" ref="D134:E136" totalsRowShown="0">
  <autoFilter ref="D134:E136" xr:uid="{308E99BE-FE1F-47A4-B2CA-97217277C4E9}">
    <filterColumn colId="0" hiddenButton="1"/>
    <filterColumn colId="1" hiddenButton="1"/>
  </autoFilter>
  <tableColumns count="2">
    <tableColumn id="1" xr3:uid="{CA74DB79-CAE7-4EF8-BA48-96421E9E9373}" name="Is in leaching zone">
      <calculatedColumnFormula array="1">Common_InputFunctions.Utility_DisplayArrayInTable(Common_SourceData.Common_SourceData_FracWET_Data(),Table_SourceData_FracWET[[#Headers],[Is in leaching zone]],0)</calculatedColumnFormula>
    </tableColumn>
    <tableColumn id="2" xr3:uid="{F0DDE0C3-8378-485B-A4A4-D07B38ADF801}" name="FracWET" dataDxfId="3">
      <calculatedColumnFormula array="1">Common_InputFunctions.Utility_DisplayArrayInTable(Common_SourceData.Common_SourceData_FracWET_Data(),Table_SourceData_FracWET[[#Headers],[Is in leaching zone]],0)</calculatedColumnFormula>
    </tableColumn>
  </tableColumns>
  <tableStyleInfo name="Equation table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CFF24A4D-FB3A-4990-A60E-B22F27A25574}" name="Table_SourceData_Common_EFN2O" displayName="Table_SourceData_Common_EFN2O" ref="D186:H199" totalsRowShown="0">
  <autoFilter ref="D186:H199" xr:uid="{D41FBEA4-8379-4DF7-A068-BF94D364F1A2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849A0981-50FD-4A56-9339-1D4877F4BC58}" name="Production system j">
      <calculatedColumnFormula array="1">Common_InputFunctions.Utility_DisplayArrayInTable(Common_SourceData.Common_SourceData_EFN2O_Data(), Table_SourceData_Common_EFN2O[[#Headers],[Production system j]], 0)</calculatedColumnFormula>
    </tableColumn>
    <tableColumn id="2" xr3:uid="{956974C7-4464-4357-8D9E-FC82DB381483}" name="EFN2O">
      <calculatedColumnFormula array="1">Common_InputFunctions.Utility_DisplayArrayInTable(Common_SourceData.Common_SourceData_EFN2O_Data(), Table_SourceData_Common_EFN2O[[#Headers],[Production system j]], 0)</calculatedColumnFormula>
    </tableColumn>
    <tableColumn id="3" xr3:uid="{31E180E3-1F8B-483C-A30C-1675039A95CA}" name="Production system only">
      <calculatedColumnFormula array="1">Common_InputFunctions.Utility_DisplayArrayInTable(Common_SourceData.Common_SourceData_EFN2O_Data(), Table_SourceData_Common_EFN2O[[#Headers],[Production system j]], 0)</calculatedColumnFormula>
    </tableColumn>
    <tableColumn id="4" xr3:uid="{C9763E21-E4AE-4087-BDBD-60136B5D44A0}" name="Irrigation method">
      <calculatedColumnFormula array="1">Common_InputFunctions.Utility_DisplayArrayInTable(Common_SourceData.Common_SourceData_EFN2O_Data(), Table_SourceData_Common_EFN2O[[#Headers],[Production system j]], 0)</calculatedColumnFormula>
    </tableColumn>
    <tableColumn id="5" xr3:uid="{3490D434-A455-4128-8D9F-A4C3B5BCB722}" name="Rainfall zone">
      <calculatedColumnFormula array="1">Common_InputFunctions.Utility_DisplayArrayInTable(Common_SourceData.Common_SourceData_EFN2O_Data(), Table_SourceData_Common_EFN2O[[#Headers],[Production system j]], 0)</calculatedColumnFormula>
    </tableColumn>
  </tableColumns>
  <tableStyleInfo name="Equation table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48CA34-50DE-46D5-B32A-BB3A1E818E37}" name="Table_SourceData_FracWETIrrigation" displayName="Table_SourceData_FracWETIrrigation" ref="D142:E147" totalsRowShown="0">
  <autoFilter ref="D142:E147" xr:uid="{1F48CA34-50DE-46D5-B32A-BB3A1E818E37}">
    <filterColumn colId="0" hiddenButton="1"/>
    <filterColumn colId="1" hiddenButton="1"/>
  </autoFilter>
  <tableColumns count="2">
    <tableColumn id="1" xr3:uid="{B18D772B-2FE9-457A-A200-8E17C55C340C}" name="Irrigation type i">
      <calculatedColumnFormula array="1">Common_InputFunctions.Utility_DisplayArrayInTable(Common_SourceData.Common_SourceData_FracWETIrrigation_Data(), Table_SourceData_FracWETIrrigation[[#Headers],[Irrigation type i]], 0)</calculatedColumnFormula>
    </tableColumn>
    <tableColumn id="2" xr3:uid="{A11A4C1D-EDEC-4818-93B7-672872C6D107}" name="FracWET" dataDxfId="2" dataCellStyle="Content normal">
      <calculatedColumnFormula array="1">Common_InputFunctions.Utility_DisplayArrayInTable(Common_SourceData.Common_SourceData_FracWETIrrigation_Data(), Table_SourceData_FracWETIrrigation[[#Headers],[Irrigation type i]], 0)</calculatedColumnFormula>
    </tableColumn>
  </tableColumns>
  <tableStyleInfo name="Equation table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D5BE3F89-D70E-4C53-A71C-E756622DEF38}" name="Table_SourceData_EFPastureRangeAndPaddock" displayName="Table_SourceData_EFPastureRangeAndPaddock" ref="D206:E208" totalsRowShown="0">
  <autoFilter ref="D206:E208" xr:uid="{D5BE3F89-D70E-4C53-A71C-E756622DEF38}">
    <filterColumn colId="0" hiddenButton="1"/>
    <filterColumn colId="1" hiddenButton="1"/>
  </autoFilter>
  <tableColumns count="2">
    <tableColumn id="1" xr3:uid="{718360C9-DDF8-4B7B-B842-EE0D39ED743F}" name="Climate zone">
      <calculatedColumnFormula array="1">Common_InputFunctions.Utility_DisplayArrayInTable(Common_SourceData.Common_SourceData_EFPastureRangeAndPaddock_Data(), Table_SourceData_EFPastureRangeAndPaddock[[#Headers],[Climate zone]], 0)</calculatedColumnFormula>
    </tableColumn>
    <tableColumn id="2" xr3:uid="{876E0F1A-E7CF-4E69-9C3F-6E0E84FF4B5D}" name="EFPRP" dataDxfId="1" dataCellStyle="Content normal">
      <calculatedColumnFormula array="1">Common_InputFunctions.Utility_DisplayArrayInTable(Common_SourceData.Common_SourceData_EFPastureRangeAndPaddock_Data(), Table_SourceData_EFPastureRangeAndPaddock[[#Headers],[Climate zone]], 0)</calculatedColumnFormula>
    </tableColumn>
  </tableColumns>
  <tableStyleInfo name="Equation table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97796C3A-D95E-4077-AA20-A8FE4145DAAD}" name="Table_SourceData_Common_MonthToSeason" displayName="Table_SourceData_Common_MonthToSeason" ref="D212:E224" totalsRowShown="0">
  <autoFilter ref="D212:E224" xr:uid="{97796C3A-D95E-4077-AA20-A8FE4145DAAD}">
    <filterColumn colId="0" hiddenButton="1"/>
    <filterColumn colId="1" hiddenButton="1"/>
  </autoFilter>
  <tableColumns count="2">
    <tableColumn id="1" xr3:uid="{7CBE043C-4D22-47C3-AE18-5E55E64542E1}" name="Month">
      <calculatedColumnFormula array="1">Common_InputFunctions.Utility_DisplayArrayInTable(Common_SourceData.Common_SourceData_MonthsToSeasons_Data(), Table_SourceData_Common_MonthToSeason[[#Headers],[Month]], 0)</calculatedColumnFormula>
    </tableColumn>
    <tableColumn id="2" xr3:uid="{10DA8C9D-4358-470A-AF6C-AE27470313DE}" name="Season" dataDxfId="0" dataCellStyle="Content normal">
      <calculatedColumnFormula array="1">Common_InputFunctions.Utility_DisplayArrayInTable(Common_SourceData.Common_SourceData_MonthsToSeasons_Data(), Table_SourceData_Common_MonthToSeason[[#Headers],[Month]], 0)</calculatedColumnFormula>
    </tableColumn>
  </tableColumns>
  <tableStyleInfo name="Equation 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ZNE-Ag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0B769F"/>
      </a:accent1>
      <a:accent2>
        <a:srgbClr val="CC6600"/>
      </a:accent2>
      <a:accent3>
        <a:srgbClr val="008000"/>
      </a:accent3>
      <a:accent4>
        <a:srgbClr val="C4433F"/>
      </a:accent4>
      <a:accent5>
        <a:srgbClr val="4F4789"/>
      </a:accent5>
      <a:accent6>
        <a:srgbClr val="FFCC66"/>
      </a:accent6>
      <a:hlink>
        <a:srgbClr val="467886"/>
      </a:hlink>
      <a:folHlink>
        <a:srgbClr val="894763"/>
      </a:folHlink>
    </a:clrScheme>
    <a:fontScheme name="Custom 1">
      <a:majorFont>
        <a:latin typeface="Times New Roman"/>
        <a:ea typeface=""/>
        <a:cs typeface=""/>
      </a:majorFont>
      <a:minorFont>
        <a:latin typeface="Times New Roman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984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102233F-B6A7-4C5C-980A-848E7A11A33D}">
  <we:reference id="wa200003696" version="1.3.0.0" store="en-US" storeType="OMEX"/>
  <we:alternateReferences>
    <we:reference id="WA200003696" version="1.3.0.0" store="WA200003696" storeType="OMEX"/>
  </we:alternateReferences>
  <we:properties>
    <we:property name="projectV0_1-56c6e055-265e-4713-816e-a646dbb708de" value="{&quot;kind&quot;:&quot;AFEJSONBlobNode&quot;,&quot;id&quot;:&quot;{B6BE249C-20B1-4A62-BBCD-F2A46D88BCAB}&quot;}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13" Type="http://schemas.openxmlformats.org/officeDocument/2006/relationships/table" Target="../tables/table13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5" Type="http://schemas.openxmlformats.org/officeDocument/2006/relationships/table" Target="../tables/table1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Relationship Id="rId14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159CA-1C38-4131-B0D4-3DBCDED3299D}">
  <dimension ref="A1"/>
  <sheetViews>
    <sheetView workbookViewId="0">
      <selection activeCell="A2" sqref="A2"/>
    </sheetView>
  </sheetViews>
  <sheetFormatPr defaultRowHeight="15" x14ac:dyDescent="0.25"/>
  <sheetData>
    <row r="1" spans="1:1" x14ac:dyDescent="0.25">
      <c r="A1" t="s">
        <v>44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968956-F921-4291-AAEE-DE11952DD430}">
  <dimension ref="A1:BX224"/>
  <sheetViews>
    <sheetView showGridLines="0" tabSelected="1" topLeftCell="A180" zoomScale="85" zoomScaleNormal="85" workbookViewId="0">
      <selection activeCell="D224" sqref="D224"/>
    </sheetView>
  </sheetViews>
  <sheetFormatPr defaultColWidth="9.140625" defaultRowHeight="15.75" x14ac:dyDescent="0.25"/>
  <cols>
    <col min="1" max="1" width="30.7109375" style="6" customWidth="1"/>
    <col min="2" max="2" width="2.7109375" style="6" customWidth="1"/>
    <col min="3" max="3" width="4.7109375" style="1" customWidth="1"/>
    <col min="4" max="4" width="48" style="1" customWidth="1"/>
    <col min="5" max="16" width="20.7109375" style="1" customWidth="1"/>
    <col min="17" max="17" width="17.28515625" style="1" customWidth="1"/>
    <col min="18" max="19" width="20.7109375" style="1" customWidth="1"/>
    <col min="20" max="20" width="4.7109375" style="1" customWidth="1"/>
    <col min="21" max="32" width="20.7109375" style="6" customWidth="1"/>
    <col min="33" max="38" width="21.85546875" style="6" customWidth="1"/>
    <col min="39" max="43" width="20.7109375" style="6" customWidth="1"/>
    <col min="44" max="64" width="9.140625" style="6"/>
    <col min="65" max="16384" width="9.140625" style="2"/>
  </cols>
  <sheetData>
    <row r="1" spans="1:64" s="7" customFormat="1" ht="30" customHeight="1" x14ac:dyDescent="0.35">
      <c r="A1" s="7" t="e" vm="1">
        <v>#VALUE!</v>
      </c>
      <c r="C1" s="7" t="s">
        <v>36</v>
      </c>
    </row>
    <row r="2" spans="1:64" s="8" customFormat="1" ht="20.100000000000001" customHeight="1" x14ac:dyDescent="0.25"/>
    <row r="3" spans="1:64" ht="20.100000000000001" customHeight="1" x14ac:dyDescent="0.25">
      <c r="A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9"/>
      <c r="V3" s="9"/>
    </row>
    <row r="4" spans="1:64" ht="20.100000000000001" customHeight="1" x14ac:dyDescent="0.25">
      <c r="A4"/>
      <c r="BL4" s="2"/>
    </row>
    <row r="5" spans="1:64" ht="20.100000000000001" customHeight="1" x14ac:dyDescent="0.25">
      <c r="A5"/>
      <c r="D5" s="5" t="str" cm="1">
        <f t="array" ref="D5">Common_SourceData.Common_SourceData_AustralianStatesTerritories_Title()</f>
        <v>Australian states and territories</v>
      </c>
      <c r="BL5" s="2"/>
    </row>
    <row r="6" spans="1:64" ht="20.100000000000001" customHeight="1" x14ac:dyDescent="0.25">
      <c r="A6"/>
      <c r="D6" s="11" t="s">
        <v>1</v>
      </c>
      <c r="E6" s="11" t="s">
        <v>2</v>
      </c>
      <c r="F6" s="11" t="s">
        <v>3</v>
      </c>
    </row>
    <row r="7" spans="1:64" ht="20.100000000000001" customHeight="1" x14ac:dyDescent="0.25">
      <c r="A7"/>
      <c r="D7" s="11" t="str" cm="1">
        <f t="array" ref="D7">Common_InputFunctions.Utility_DisplayArrayInTable(Common_SourceData.Common_SourceData_AustralianStatesTerritories_Data(),Table_AustralianStates[[#Headers],[State/Territory]],0)</f>
        <v>New South Wales</v>
      </c>
      <c r="E7" s="11" t="str" cm="1">
        <f t="array" ref="E7">Common_InputFunctions.Utility_DisplayArrayInTable(Common_SourceData.Common_SourceData_AustralianStatesTerritories_Data(),Table_AustralianStates[[#Headers],[State/Territory]],0)</f>
        <v>New South Wales</v>
      </c>
      <c r="F7" s="11" t="str" cm="1">
        <f t="array" ref="F7">Common_InputFunctions.Utility_DisplayArrayInTable(Common_SourceData.Common_SourceData_AustralianStatesTerritories_Data(),Table_AustralianStates[[#Headers],[State/Territory]],0)</f>
        <v>NSW</v>
      </c>
    </row>
    <row r="8" spans="1:64" ht="20.100000000000001" customHeight="1" x14ac:dyDescent="0.25">
      <c r="A8"/>
      <c r="D8" s="11" t="str" cm="1">
        <f t="array" ref="D8">Common_InputFunctions.Utility_DisplayArrayInTable(Common_SourceData.Common_SourceData_AustralianStatesTerritories_Data(),Table_AustralianStates[[#Headers],[State/Territory]],0)</f>
        <v>Australian Capital Territory</v>
      </c>
      <c r="E8" s="11" t="str" cm="1">
        <f t="array" ref="E8">Common_InputFunctions.Utility_DisplayArrayInTable(Common_SourceData.Common_SourceData_AustralianStatesTerritories_Data(),Table_AustralianStates[[#Headers],[State/Territory]],0)</f>
        <v>ACT</v>
      </c>
      <c r="F8" s="11" t="str" cm="1">
        <f t="array" ref="F8">Common_InputFunctions.Utility_DisplayArrayInTable(Common_SourceData.Common_SourceData_AustralianStatesTerritories_Data(),Table_AustralianStates[[#Headers],[State/Territory]],0)</f>
        <v>ACT</v>
      </c>
    </row>
    <row r="9" spans="1:64" ht="20.100000000000001" customHeight="1" x14ac:dyDescent="0.25">
      <c r="A9"/>
      <c r="D9" s="11" t="str" cm="1">
        <f t="array" ref="D9">Common_InputFunctions.Utility_DisplayArrayInTable(Common_SourceData.Common_SourceData_AustralianStatesTerritories_Data(),Table_AustralianStates[[#Headers],[State/Territory]],0)</f>
        <v>Victoria</v>
      </c>
      <c r="E9" s="11" t="str" cm="1">
        <f t="array" ref="E9">Common_InputFunctions.Utility_DisplayArrayInTable(Common_SourceData.Common_SourceData_AustralianStatesTerritories_Data(),Table_AustralianStates[[#Headers],[State/Territory]],0)</f>
        <v>Victoria</v>
      </c>
      <c r="F9" s="11" t="str" cm="1">
        <f t="array" ref="F9">Common_InputFunctions.Utility_DisplayArrayInTable(Common_SourceData.Common_SourceData_AustralianStatesTerritories_Data(),Table_AustralianStates[[#Headers],[State/Territory]],0)</f>
        <v>VIC</v>
      </c>
    </row>
    <row r="10" spans="1:64" ht="20.100000000000001" customHeight="1" x14ac:dyDescent="0.25">
      <c r="A10"/>
      <c r="D10" s="11" t="str" cm="1">
        <f t="array" ref="D10">Common_InputFunctions.Utility_DisplayArrayInTable(Common_SourceData.Common_SourceData_AustralianStatesTerritories_Data(),Table_AustralianStates[[#Headers],[State/Territory]],0)</f>
        <v>Queensland</v>
      </c>
      <c r="E10" s="11" t="str" cm="1">
        <f t="array" ref="E10">Common_InputFunctions.Utility_DisplayArrayInTable(Common_SourceData.Common_SourceData_AustralianStatesTerritories_Data(),Table_AustralianStates[[#Headers],[State/Territory]],0)</f>
        <v>Queensland</v>
      </c>
      <c r="F10" s="11" t="str" cm="1">
        <f t="array" ref="F10">Common_InputFunctions.Utility_DisplayArrayInTable(Common_SourceData.Common_SourceData_AustralianStatesTerritories_Data(),Table_AustralianStates[[#Headers],[State/Territory]],0)</f>
        <v>QLD</v>
      </c>
    </row>
    <row r="11" spans="1:64" ht="20.100000000000001" customHeight="1" x14ac:dyDescent="0.25">
      <c r="A11"/>
      <c r="D11" s="11" t="str" cm="1">
        <f t="array" ref="D11">Common_InputFunctions.Utility_DisplayArrayInTable(Common_SourceData.Common_SourceData_AustralianStatesTerritories_Data(),Table_AustralianStates[[#Headers],[State/Territory]],0)</f>
        <v>South Australia</v>
      </c>
      <c r="E11" s="11" t="str" cm="1">
        <f t="array" ref="E11">Common_InputFunctions.Utility_DisplayArrayInTable(Common_SourceData.Common_SourceData_AustralianStatesTerritories_Data(),Table_AustralianStates[[#Headers],[State/Territory]],0)</f>
        <v>South Australia</v>
      </c>
      <c r="F11" s="11" t="str" cm="1">
        <f t="array" ref="F11">Common_InputFunctions.Utility_DisplayArrayInTable(Common_SourceData.Common_SourceData_AustralianStatesTerritories_Data(),Table_AustralianStates[[#Headers],[State/Territory]],0)</f>
        <v>SA</v>
      </c>
      <c r="BL11" s="2"/>
    </row>
    <row r="12" spans="1:64" ht="20.100000000000001" customHeight="1" x14ac:dyDescent="0.25">
      <c r="A12"/>
      <c r="D12" s="11" t="str" cm="1">
        <f t="array" ref="D12">Common_InputFunctions.Utility_DisplayArrayInTable(Common_SourceData.Common_SourceData_AustralianStatesTerritories_Data(),Table_AustralianStates[[#Headers],[State/Territory]],0)</f>
        <v>Western Australia</v>
      </c>
      <c r="E12" s="11" t="str" cm="1">
        <f t="array" ref="E12">Common_InputFunctions.Utility_DisplayArrayInTable(Common_SourceData.Common_SourceData_AustralianStatesTerritories_Data(),Table_AustralianStates[[#Headers],[State/Territory]],0)</f>
        <v>Western Australia</v>
      </c>
      <c r="F12" s="11" t="str" cm="1">
        <f t="array" ref="F12">Common_InputFunctions.Utility_DisplayArrayInTable(Common_SourceData.Common_SourceData_AustralianStatesTerritories_Data(),Table_AustralianStates[[#Headers],[State/Territory]],0)</f>
        <v>WA</v>
      </c>
      <c r="BL12" s="2"/>
    </row>
    <row r="13" spans="1:64" ht="20.100000000000001" customHeight="1" x14ac:dyDescent="0.25">
      <c r="A13"/>
      <c r="D13" s="11" t="str" cm="1">
        <f t="array" ref="D13">Common_InputFunctions.Utility_DisplayArrayInTable(Common_SourceData.Common_SourceData_AustralianStatesTerritories_Data(),Table_AustralianStates[[#Headers],[State/Territory]],0)</f>
        <v>Tasmania</v>
      </c>
      <c r="E13" s="11" t="str" cm="1">
        <f t="array" ref="E13">Common_InputFunctions.Utility_DisplayArrayInTable(Common_SourceData.Common_SourceData_AustralianStatesTerritories_Data(),Table_AustralianStates[[#Headers],[State/Territory]],0)</f>
        <v>Tasmania</v>
      </c>
      <c r="F13" s="11" t="str" cm="1">
        <f t="array" ref="F13">Common_InputFunctions.Utility_DisplayArrayInTable(Common_SourceData.Common_SourceData_AustralianStatesTerritories_Data(),Table_AustralianStates[[#Headers],[State/Territory]],0)</f>
        <v>TAS</v>
      </c>
    </row>
    <row r="14" spans="1:64" ht="20.100000000000001" customHeight="1" x14ac:dyDescent="0.25">
      <c r="A14"/>
      <c r="D14" s="11" t="str" cm="1">
        <f t="array" ref="D14">Common_InputFunctions.Utility_DisplayArrayInTable(Common_SourceData.Common_SourceData_AustralianStatesTerritories_Data(),Table_AustralianStates[[#Headers],[State/Territory]],0)</f>
        <v>Northern Territory</v>
      </c>
      <c r="E14" s="11" t="str" cm="1">
        <f t="array" ref="E14">Common_InputFunctions.Utility_DisplayArrayInTable(Common_SourceData.Common_SourceData_AustralianStatesTerritories_Data(),Table_AustralianStates[[#Headers],[State/Territory]],0)</f>
        <v>Northern Territory</v>
      </c>
      <c r="F14" s="11" t="str" cm="1">
        <f t="array" ref="F14">Common_InputFunctions.Utility_DisplayArrayInTable(Common_SourceData.Common_SourceData_AustralianStatesTerritories_Data(),Table_AustralianStates[[#Headers],[State/Territory]],0)</f>
        <v>NT</v>
      </c>
    </row>
    <row r="15" spans="1:64" ht="20.100000000000001" customHeight="1" x14ac:dyDescent="0.25">
      <c r="A15"/>
    </row>
    <row r="16" spans="1:64" ht="20.100000000000001" customHeight="1" x14ac:dyDescent="0.25">
      <c r="A16"/>
    </row>
    <row r="17" spans="1:4" ht="20.100000000000001" customHeight="1" x14ac:dyDescent="0.25">
      <c r="A17"/>
    </row>
    <row r="18" spans="1:4" ht="20.100000000000001" customHeight="1" x14ac:dyDescent="0.25">
      <c r="A18"/>
      <c r="D18" s="5" t="str" cm="1">
        <f t="array" ref="D18">Common_SourceData.Common_SourceData_WASA4Areas_Title()</f>
        <v>ABS Statistcal Areas Level 4 - Western Australia</v>
      </c>
    </row>
    <row r="19" spans="1:4" ht="20.100000000000001" customHeight="1" x14ac:dyDescent="0.25">
      <c r="A19"/>
      <c r="D19" s="4" t="str" cm="1">
        <f t="array" ref="D19">Common_SourceData.Common_SourceData_WASA4Areas_Source()</f>
        <v>Australian Bureau of Statistics (ABS) - Statistical Areas Level 2 - 2021 - Shapefile</v>
      </c>
    </row>
    <row r="20" spans="1:4" ht="20.100000000000001" customHeight="1" x14ac:dyDescent="0.25">
      <c r="A20"/>
      <c r="D20" s="11" t="s">
        <v>4</v>
      </c>
    </row>
    <row r="21" spans="1:4" ht="20.100000000000001" customHeight="1" x14ac:dyDescent="0.25">
      <c r="A21"/>
      <c r="D21" s="11" t="str" cm="1">
        <f t="array" ref="D21">Common_InputFunctions.Utility_DisplayArrayInTable(Common_SourceData.Common_SourceData_WASA4Areas_Data(), Table_WASA4Areas[[#Headers],[SA 4 Name]], 0)</f>
        <v>Bunbury</v>
      </c>
    </row>
    <row r="22" spans="1:4" ht="20.100000000000001" customHeight="1" x14ac:dyDescent="0.25">
      <c r="A22"/>
      <c r="D22" s="11" t="str" cm="1">
        <f t="array" ref="D22">Common_InputFunctions.Utility_DisplayArrayInTable(Common_SourceData.Common_SourceData_WASA4Areas_Data(), Table_WASA4Areas[[#Headers],[SA 4 Name]], 0)</f>
        <v>Mandurah</v>
      </c>
    </row>
    <row r="23" spans="1:4" ht="20.100000000000001" customHeight="1" x14ac:dyDescent="0.25">
      <c r="A23"/>
      <c r="D23" s="11" t="str" cm="1">
        <f t="array" ref="D23">Common_InputFunctions.Utility_DisplayArrayInTable(Common_SourceData.Common_SourceData_WASA4Areas_Data(), Table_WASA4Areas[[#Headers],[SA 4 Name]], 0)</f>
        <v>Perth - Inner</v>
      </c>
    </row>
    <row r="24" spans="1:4" ht="20.100000000000001" customHeight="1" x14ac:dyDescent="0.25">
      <c r="A24"/>
      <c r="D24" s="11" t="str" cm="1">
        <f t="array" ref="D24">Common_InputFunctions.Utility_DisplayArrayInTable(Common_SourceData.Common_SourceData_WASA4Areas_Data(), Table_WASA4Areas[[#Headers],[SA 4 Name]], 0)</f>
        <v>Perth - North East</v>
      </c>
    </row>
    <row r="25" spans="1:4" ht="20.100000000000001" customHeight="1" x14ac:dyDescent="0.25">
      <c r="A25"/>
      <c r="D25" s="11" t="str" cm="1">
        <f t="array" ref="D25">Common_InputFunctions.Utility_DisplayArrayInTable(Common_SourceData.Common_SourceData_WASA4Areas_Data(), Table_WASA4Areas[[#Headers],[SA 4 Name]], 0)</f>
        <v>Perth - North West</v>
      </c>
    </row>
    <row r="26" spans="1:4" ht="20.100000000000001" customHeight="1" x14ac:dyDescent="0.25">
      <c r="A26"/>
      <c r="D26" s="11" t="str" cm="1">
        <f t="array" ref="D26">Common_InputFunctions.Utility_DisplayArrayInTable(Common_SourceData.Common_SourceData_WASA4Areas_Data(), Table_WASA4Areas[[#Headers],[SA 4 Name]], 0)</f>
        <v>Perth - South East</v>
      </c>
    </row>
    <row r="27" spans="1:4" ht="20.100000000000001" customHeight="1" x14ac:dyDescent="0.25">
      <c r="A27"/>
      <c r="D27" s="11" t="str" cm="1">
        <f t="array" ref="D27">Common_InputFunctions.Utility_DisplayArrayInTable(Common_SourceData.Common_SourceData_WASA4Areas_Data(), Table_WASA4Areas[[#Headers],[SA 4 Name]], 0)</f>
        <v>Perth - South West</v>
      </c>
    </row>
    <row r="28" spans="1:4" ht="20.100000000000001" customHeight="1" x14ac:dyDescent="0.25">
      <c r="A28"/>
      <c r="D28" s="11" t="str" cm="1">
        <f t="array" ref="D28">Common_InputFunctions.Utility_DisplayArrayInTable(Common_SourceData.Common_SourceData_WASA4Areas_Data(), Table_WASA4Areas[[#Headers],[SA 4 Name]], 0)</f>
        <v>Western Australia - Wheat Belt</v>
      </c>
    </row>
    <row r="29" spans="1:4" ht="20.100000000000001" customHeight="1" x14ac:dyDescent="0.25">
      <c r="A29"/>
      <c r="D29" s="11" t="str" cm="1">
        <f t="array" ref="D29">Common_InputFunctions.Utility_DisplayArrayInTable(Common_SourceData.Common_SourceData_WASA4Areas_Data(), Table_WASA4Areas[[#Headers],[SA 4 Name]], 0)</f>
        <v>Western Australia - Outback (North)</v>
      </c>
    </row>
    <row r="30" spans="1:4" ht="20.100000000000001" customHeight="1" x14ac:dyDescent="0.25">
      <c r="A30"/>
      <c r="D30" s="11" t="str" cm="1">
        <f t="array" ref="D30">Common_InputFunctions.Utility_DisplayArrayInTable(Common_SourceData.Common_SourceData_WASA4Areas_Data(), Table_WASA4Areas[[#Headers],[SA 4 Name]], 0)</f>
        <v>Western Australia - Outback (South)</v>
      </c>
    </row>
    <row r="31" spans="1:4" ht="20.100000000000001" customHeight="1" x14ac:dyDescent="0.25">
      <c r="A31"/>
    </row>
    <row r="32" spans="1:4" ht="20.100000000000001" customHeight="1" x14ac:dyDescent="0.25">
      <c r="A32"/>
    </row>
    <row r="33" spans="1:8" ht="20.100000000000001" customHeight="1" x14ac:dyDescent="0.25">
      <c r="A33"/>
    </row>
    <row r="34" spans="1:8" ht="20.100000000000001" customHeight="1" x14ac:dyDescent="0.25">
      <c r="A34"/>
      <c r="D34" s="5" t="str" cm="1">
        <f t="array" ref="D34">Common_SourceData.Common_SourceData_GWP_Title()</f>
        <v>Global warming potential for greenhouse gases</v>
      </c>
    </row>
    <row r="35" spans="1:8" ht="20.100000000000001" customHeight="1" x14ac:dyDescent="0.25">
      <c r="A35"/>
      <c r="D35" s="4" t="str" cm="1">
        <f t="array" ref="D35">Common_SourceData.Common_SourceData_GWP_Source()</f>
        <v>XXXXXXX</v>
      </c>
    </row>
    <row r="36" spans="1:8" ht="20.100000000000001" customHeight="1" x14ac:dyDescent="0.25">
      <c r="A36"/>
      <c r="D36" s="11" t="s">
        <v>5</v>
      </c>
      <c r="E36" s="11" t="s">
        <v>6</v>
      </c>
    </row>
    <row r="37" spans="1:8" ht="20.100000000000001" customHeight="1" x14ac:dyDescent="0.25">
      <c r="A37"/>
      <c r="D37" s="11" t="str" cm="1">
        <f t="array" ref="D37">Common_InputFunctions.Utility_DisplayArrayInTable(Common_SourceData.Common_SourceData_GWP_Data(), Table_GWPData[[#Headers],[Gas]], 0)</f>
        <v>CO2</v>
      </c>
      <c r="E37" s="11" cm="1">
        <f t="array" ref="E37">Common_InputFunctions.Utility_DisplayArrayInTable(Common_SourceData.Common_SourceData_GWP_Data(), Table_GWPData[[#Headers],[Gas]], 0)</f>
        <v>1</v>
      </c>
    </row>
    <row r="38" spans="1:8" ht="20.100000000000001" customHeight="1" x14ac:dyDescent="0.25">
      <c r="A38"/>
      <c r="D38" s="11" t="str" cm="1">
        <f t="array" ref="D38">Common_InputFunctions.Utility_DisplayArrayInTable(Common_SourceData.Common_SourceData_GWP_Data(), Table_GWPData[[#Headers],[Gas]], 0)</f>
        <v>CH4</v>
      </c>
      <c r="E38" s="11" cm="1">
        <f t="array" ref="E38">Common_InputFunctions.Utility_DisplayArrayInTable(Common_SourceData.Common_SourceData_GWP_Data(), Table_GWPData[[#Headers],[Gas]], 0)</f>
        <v>28</v>
      </c>
    </row>
    <row r="39" spans="1:8" ht="20.100000000000001" customHeight="1" x14ac:dyDescent="0.25">
      <c r="A39"/>
      <c r="D39" s="11" t="str" cm="1">
        <f t="array" ref="D39">Common_InputFunctions.Utility_DisplayArrayInTable(Common_SourceData.Common_SourceData_GWP_Data(), Table_GWPData[[#Headers],[Gas]], 0)</f>
        <v>N2O</v>
      </c>
      <c r="E39" s="11" cm="1">
        <f t="array" ref="E39">Common_InputFunctions.Utility_DisplayArrayInTable(Common_SourceData.Common_SourceData_GWP_Data(), Table_GWPData[[#Headers],[Gas]], 0)</f>
        <v>265</v>
      </c>
    </row>
    <row r="40" spans="1:8" ht="20.100000000000001" customHeight="1" x14ac:dyDescent="0.25">
      <c r="A40"/>
      <c r="D40" s="11" t="str" cm="1">
        <f t="array" ref="D40">Common_InputFunctions.Utility_DisplayArrayInTable(Common_SourceData.Common_SourceData_GWP_Data(), Table_GWPData[[#Headers],[Gas]], 0)</f>
        <v>CF4</v>
      </c>
      <c r="E40" s="11" cm="1">
        <f t="array" ref="E40">Common_InputFunctions.Utility_DisplayArrayInTable(Common_SourceData.Common_SourceData_GWP_Data(), Table_GWPData[[#Headers],[Gas]], 0)</f>
        <v>6630</v>
      </c>
    </row>
    <row r="41" spans="1:8" ht="20.100000000000001" customHeight="1" x14ac:dyDescent="0.25">
      <c r="A41"/>
      <c r="D41" s="11" t="str" cm="1">
        <f t="array" ref="D41">Common_InputFunctions.Utility_DisplayArrayInTable(Common_SourceData.Common_SourceData_GWP_Data(), Table_GWPData[[#Headers],[Gas]], 0)</f>
        <v>C2F6</v>
      </c>
      <c r="E41" s="11" cm="1">
        <f t="array" ref="E41">Common_InputFunctions.Utility_DisplayArrayInTable(Common_SourceData.Common_SourceData_GWP_Data(), Table_GWPData[[#Headers],[Gas]], 0)</f>
        <v>12200</v>
      </c>
    </row>
    <row r="42" spans="1:8" ht="20.100000000000001" customHeight="1" x14ac:dyDescent="0.25">
      <c r="D42" s="11" t="str" cm="1">
        <f t="array" ref="D42">Common_InputFunctions.Utility_DisplayArrayInTable(Common_SourceData.Common_SourceData_GWP_Data(), Table_GWPData[[#Headers],[Gas]], 0)</f>
        <v>SF6</v>
      </c>
      <c r="E42" s="11" cm="1">
        <f t="array" ref="E42">Common_InputFunctions.Utility_DisplayArrayInTable(Common_SourceData.Common_SourceData_GWP_Data(), Table_GWPData[[#Headers],[Gas]], 0)</f>
        <v>22800</v>
      </c>
    </row>
    <row r="43" spans="1:8" ht="20.100000000000001" customHeight="1" x14ac:dyDescent="0.25">
      <c r="D43" s="11" t="str" cm="1">
        <f t="array" ref="D43">Common_InputFunctions.Utility_DisplayArrayInTable(Common_SourceData.Common_SourceData_GWP_Data(), Table_GWPData[[#Headers],[Gas]], 0)</f>
        <v>NF3</v>
      </c>
      <c r="E43" s="11" cm="1">
        <f t="array" ref="E43">Common_InputFunctions.Utility_DisplayArrayInTable(Common_SourceData.Common_SourceData_GWP_Data(), Table_GWPData[[#Headers],[Gas]], 0)</f>
        <v>17200</v>
      </c>
    </row>
    <row r="44" spans="1:8" ht="20.100000000000001" customHeight="1" x14ac:dyDescent="0.25"/>
    <row r="45" spans="1:8" ht="20.100000000000001" customHeight="1" x14ac:dyDescent="0.25">
      <c r="D45" s="5" t="str" cm="1">
        <f t="array" ref="D45">Common_SourceData.Common_SourceData_ConvertGasElementalToMolecular_Title()</f>
        <v>Factor to convert elemental mass of gas to molecular mass</v>
      </c>
    </row>
    <row r="46" spans="1:8" ht="20.100000000000001" customHeight="1" x14ac:dyDescent="0.25">
      <c r="D46" s="4" t="str" cm="1">
        <f t="array" ref="D46">Common_SourceData.Common_SourceData_ConvertGasElementalToMolecular_Source()</f>
        <v>XXXXXXX</v>
      </c>
    </row>
    <row r="47" spans="1:8" ht="20.100000000000001" customHeight="1" x14ac:dyDescent="0.25">
      <c r="D47" s="11" t="s">
        <v>5</v>
      </c>
      <c r="E47" s="11" t="s">
        <v>7</v>
      </c>
      <c r="F47" s="11" t="s">
        <v>8</v>
      </c>
      <c r="G47" s="11" t="s">
        <v>9</v>
      </c>
      <c r="H47" s="11" t="s">
        <v>10</v>
      </c>
    </row>
    <row r="48" spans="1:8" ht="20.100000000000001" customHeight="1" x14ac:dyDescent="0.25">
      <c r="D48" s="11" t="str" cm="1">
        <f t="array" ref="D48">Common_InputFunctions.Utility_DisplayArrayInTable(Common_SourceData.Common_SourceData_ConvertGasElementalToMolecular_Data(),Table_GasToMolecularConversionFactor[[#Headers],[Gas]], 0)</f>
        <v>CO2</v>
      </c>
      <c r="E48" s="11" t="str" cm="1">
        <f t="array" ref="E48">Common_InputFunctions.Utility_DisplayArrayInTable(Common_SourceData.Common_SourceData_ConvertGasElementalToMolecular_Data(),Table_GasToMolecularConversionFactor[[#Headers],[Gas]], 0)</f>
        <v>44/12</v>
      </c>
      <c r="F48" s="11" cm="1">
        <f t="array" ref="F48">Common_InputFunctions.Utility_DisplayArrayInTable(Common_SourceData.Common_SourceData_ConvertGasElementalToMolecular_Data(),Table_GasToMolecularConversionFactor[[#Headers],[Gas]], 0)</f>
        <v>44</v>
      </c>
      <c r="G48" s="11" cm="1">
        <f t="array" ref="G48">Common_InputFunctions.Utility_DisplayArrayInTable(Common_SourceData.Common_SourceData_ConvertGasElementalToMolecular_Data(),Table_GasToMolecularConversionFactor[[#Headers],[Gas]], 0)</f>
        <v>12</v>
      </c>
      <c r="H48" s="11">
        <f>Table_GasToMolecularConversionFactor[[#This Row],[Conversion factor 1]]/Table_GasToMolecularConversionFactor[[#This Row],[Conversion factor 2]]</f>
        <v>3.6666666666666665</v>
      </c>
    </row>
    <row r="49" spans="4:8" ht="20.100000000000001" customHeight="1" x14ac:dyDescent="0.25">
      <c r="D49" s="11" t="str" cm="1">
        <f t="array" ref="D49">Common_InputFunctions.Utility_DisplayArrayInTable(Common_SourceData.Common_SourceData_ConvertGasElementalToMolecular_Data(),Table_GasToMolecularConversionFactor[[#Headers],[Gas]], 0)</f>
        <v>CH4</v>
      </c>
      <c r="E49" s="11" t="str" cm="1">
        <f t="array" ref="E49">Common_InputFunctions.Utility_DisplayArrayInTable(Common_SourceData.Common_SourceData_ConvertGasElementalToMolecular_Data(),Table_GasToMolecularConversionFactor[[#Headers],[Gas]], 0)</f>
        <v>16/12</v>
      </c>
      <c r="F49" s="11" cm="1">
        <f t="array" ref="F49">Common_InputFunctions.Utility_DisplayArrayInTable(Common_SourceData.Common_SourceData_ConvertGasElementalToMolecular_Data(),Table_GasToMolecularConversionFactor[[#Headers],[Gas]], 0)</f>
        <v>16</v>
      </c>
      <c r="G49" s="11" cm="1">
        <f t="array" ref="G49">Common_InputFunctions.Utility_DisplayArrayInTable(Common_SourceData.Common_SourceData_ConvertGasElementalToMolecular_Data(),Table_GasToMolecularConversionFactor[[#Headers],[Gas]], 0)</f>
        <v>12</v>
      </c>
      <c r="H49" s="11">
        <f>Table_GasToMolecularConversionFactor[[#This Row],[Conversion factor 1]]/Table_GasToMolecularConversionFactor[[#This Row],[Conversion factor 2]]</f>
        <v>1.3333333333333333</v>
      </c>
    </row>
    <row r="50" spans="4:8" ht="20.100000000000001" customHeight="1" x14ac:dyDescent="0.25">
      <c r="D50" s="11" t="str" cm="1">
        <f t="array" ref="D50">Common_InputFunctions.Utility_DisplayArrayInTable(Common_SourceData.Common_SourceData_ConvertGasElementalToMolecular_Data(),Table_GasToMolecularConversionFactor[[#Headers],[Gas]], 0)</f>
        <v>N2O</v>
      </c>
      <c r="E50" s="11" t="str" cm="1">
        <f t="array" ref="E50">Common_InputFunctions.Utility_DisplayArrayInTable(Common_SourceData.Common_SourceData_ConvertGasElementalToMolecular_Data(),Table_GasToMolecularConversionFactor[[#Headers],[Gas]], 0)</f>
        <v>44/28</v>
      </c>
      <c r="F50" s="11" cm="1">
        <f t="array" ref="F50">Common_InputFunctions.Utility_DisplayArrayInTable(Common_SourceData.Common_SourceData_ConvertGasElementalToMolecular_Data(),Table_GasToMolecularConversionFactor[[#Headers],[Gas]], 0)</f>
        <v>44</v>
      </c>
      <c r="G50" s="11" cm="1">
        <f t="array" ref="G50">Common_InputFunctions.Utility_DisplayArrayInTable(Common_SourceData.Common_SourceData_ConvertGasElementalToMolecular_Data(),Table_GasToMolecularConversionFactor[[#Headers],[Gas]], 0)</f>
        <v>28</v>
      </c>
      <c r="H50" s="11">
        <f>Table_GasToMolecularConversionFactor[[#This Row],[Conversion factor 1]]/Table_GasToMolecularConversionFactor[[#This Row],[Conversion factor 2]]</f>
        <v>1.5714285714285714</v>
      </c>
    </row>
    <row r="51" spans="4:8" ht="20.100000000000001" customHeight="1" x14ac:dyDescent="0.25">
      <c r="D51" s="11" t="str" cm="1">
        <f t="array" ref="D51">Common_InputFunctions.Utility_DisplayArrayInTable(Common_SourceData.Common_SourceData_ConvertGasElementalToMolecular_Data(),Table_GasToMolecularConversionFactor[[#Headers],[Gas]], 0)</f>
        <v>Nox</v>
      </c>
      <c r="E51" s="11" t="str" cm="1">
        <f t="array" ref="E51">Common_InputFunctions.Utility_DisplayArrayInTable(Common_SourceData.Common_SourceData_ConvertGasElementalToMolecular_Data(),Table_GasToMolecularConversionFactor[[#Headers],[Gas]], 0)</f>
        <v>46/14</v>
      </c>
      <c r="F51" s="11" cm="1">
        <f t="array" ref="F51">Common_InputFunctions.Utility_DisplayArrayInTable(Common_SourceData.Common_SourceData_ConvertGasElementalToMolecular_Data(),Table_GasToMolecularConversionFactor[[#Headers],[Gas]], 0)</f>
        <v>46</v>
      </c>
      <c r="G51" s="11" cm="1">
        <f t="array" ref="G51">Common_InputFunctions.Utility_DisplayArrayInTable(Common_SourceData.Common_SourceData_ConvertGasElementalToMolecular_Data(),Table_GasToMolecularConversionFactor[[#Headers],[Gas]], 0)</f>
        <v>14</v>
      </c>
      <c r="H51" s="11">
        <f>Table_GasToMolecularConversionFactor[[#This Row],[Conversion factor 1]]/Table_GasToMolecularConversionFactor[[#This Row],[Conversion factor 2]]</f>
        <v>3.2857142857142856</v>
      </c>
    </row>
    <row r="52" spans="4:8" ht="20.100000000000001" customHeight="1" x14ac:dyDescent="0.25">
      <c r="D52" s="11" t="str" cm="1">
        <f t="array" ref="D52">Common_InputFunctions.Utility_DisplayArrayInTable(Common_SourceData.Common_SourceData_ConvertGasElementalToMolecular_Data(),Table_GasToMolecularConversionFactor[[#Headers],[Gas]], 0)</f>
        <v>CO</v>
      </c>
      <c r="E52" s="11" t="str" cm="1">
        <f t="array" ref="E52">Common_InputFunctions.Utility_DisplayArrayInTable(Common_SourceData.Common_SourceData_ConvertGasElementalToMolecular_Data(),Table_GasToMolecularConversionFactor[[#Headers],[Gas]], 0)</f>
        <v>28/12</v>
      </c>
      <c r="F52" s="11" cm="1">
        <f t="array" ref="F52">Common_InputFunctions.Utility_DisplayArrayInTable(Common_SourceData.Common_SourceData_ConvertGasElementalToMolecular_Data(),Table_GasToMolecularConversionFactor[[#Headers],[Gas]], 0)</f>
        <v>28</v>
      </c>
      <c r="G52" s="11" cm="1">
        <f t="array" ref="G52">Common_InputFunctions.Utility_DisplayArrayInTable(Common_SourceData.Common_SourceData_ConvertGasElementalToMolecular_Data(),Table_GasToMolecularConversionFactor[[#Headers],[Gas]], 0)</f>
        <v>12</v>
      </c>
      <c r="H52" s="11">
        <f>Table_GasToMolecularConversionFactor[[#This Row],[Conversion factor 1]]/Table_GasToMolecularConversionFactor[[#This Row],[Conversion factor 2]]</f>
        <v>2.3333333333333335</v>
      </c>
    </row>
    <row r="53" spans="4:8" ht="20.100000000000001" customHeight="1" x14ac:dyDescent="0.25">
      <c r="D53" s="11" t="str" cm="1">
        <f t="array" ref="D53">Common_InputFunctions.Utility_DisplayArrayInTable(Common_SourceData.Common_SourceData_ConvertGasElementalToMolecular_Data(),Table_GasToMolecularConversionFactor[[#Headers],[Gas]], 0)</f>
        <v>CO2 Lime</v>
      </c>
      <c r="E53" s="11" t="str" cm="1">
        <f t="array" ref="E53">Common_InputFunctions.Utility_DisplayArrayInTable(Common_SourceData.Common_SourceData_ConvertGasElementalToMolecular_Data(),Table_GasToMolecularConversionFactor[[#Headers],[Gas]], 0)</f>
        <v>44/12</v>
      </c>
      <c r="F53" s="11" cm="1">
        <f t="array" ref="F53">Common_InputFunctions.Utility_DisplayArrayInTable(Common_SourceData.Common_SourceData_ConvertGasElementalToMolecular_Data(),Table_GasToMolecularConversionFactor[[#Headers],[Gas]], 0)</f>
        <v>44</v>
      </c>
      <c r="G53" s="11" cm="1">
        <f t="array" ref="G53">Common_InputFunctions.Utility_DisplayArrayInTable(Common_SourceData.Common_SourceData_ConvertGasElementalToMolecular_Data(),Table_GasToMolecularConversionFactor[[#Headers],[Gas]], 0)</f>
        <v>12</v>
      </c>
      <c r="H53" s="11">
        <f>Table_GasToMolecularConversionFactor[[#This Row],[Conversion factor 1]]/Table_GasToMolecularConversionFactor[[#This Row],[Conversion factor 2]]</f>
        <v>3.6666666666666665</v>
      </c>
    </row>
    <row r="54" spans="4:8" ht="20.100000000000001" customHeight="1" x14ac:dyDescent="0.25">
      <c r="D54" s="11" t="str" cm="1">
        <f t="array" ref="D54">Common_InputFunctions.Utility_DisplayArrayInTable(Common_SourceData.Common_SourceData_ConvertGasElementalToMolecular_Data(),Table_GasToMolecularConversionFactor[[#Headers],[Gas]], 0)</f>
        <v>NMVOC</v>
      </c>
      <c r="E54" s="11" t="str" cm="1">
        <f t="array" ref="E54">Common_InputFunctions.Utility_DisplayArrayInTable(Common_SourceData.Common_SourceData_ConvertGasElementalToMolecular_Data(),Table_GasToMolecularConversionFactor[[#Headers],[Gas]], 0)</f>
        <v>14/12</v>
      </c>
      <c r="F54" s="11" cm="1">
        <f t="array" ref="F54">Common_InputFunctions.Utility_DisplayArrayInTable(Common_SourceData.Common_SourceData_ConvertGasElementalToMolecular_Data(),Table_GasToMolecularConversionFactor[[#Headers],[Gas]], 0)</f>
        <v>14</v>
      </c>
      <c r="G54" s="11" cm="1">
        <f t="array" ref="G54">Common_InputFunctions.Utility_DisplayArrayInTable(Common_SourceData.Common_SourceData_ConvertGasElementalToMolecular_Data(),Table_GasToMolecularConversionFactor[[#Headers],[Gas]], 0)</f>
        <v>12</v>
      </c>
      <c r="H54" s="11">
        <f>Table_GasToMolecularConversionFactor[[#This Row],[Conversion factor 1]]/Table_GasToMolecularConversionFactor[[#This Row],[Conversion factor 2]]</f>
        <v>1.1666666666666667</v>
      </c>
    </row>
    <row r="55" spans="4:8" ht="20.100000000000001" customHeight="1" x14ac:dyDescent="0.25"/>
    <row r="56" spans="4:8" ht="20.100000000000001" customHeight="1" x14ac:dyDescent="0.25"/>
    <row r="57" spans="4:8" ht="20.100000000000001" customHeight="1" x14ac:dyDescent="0.25">
      <c r="D57" s="5" t="str" cm="1">
        <f t="array" ref="D57">Common_SourceData.Common_SourceData_WetAndDryZones_Title()</f>
        <v>VEERG Australian wet and dry zones</v>
      </c>
    </row>
    <row r="58" spans="4:8" ht="20.100000000000001" customHeight="1" x14ac:dyDescent="0.25">
      <c r="D58" s="4" t="str" cm="1">
        <f t="array" ref="D58">Common_SourceData.Common_SourceData_WetAndDryZones_Source()</f>
        <v>VEERG 2026: Table 1.2: Translating climate zones to wet and dry zones</v>
      </c>
    </row>
    <row r="59" spans="4:8" ht="20.100000000000001" customHeight="1" x14ac:dyDescent="0.25">
      <c r="D59" s="13" t="str" cm="1">
        <f t="array" ref="D59:D61">"⚠️" &amp; Common_SourceData.Common_SourceData_WetAndDryZones_Variation()</f>
        <v>⚠️VARIATION OF SOURCE DATA:</v>
      </c>
    </row>
    <row r="60" spans="4:8" ht="20.100000000000001" customHeight="1" x14ac:dyDescent="0.25">
      <c r="D60" s="13" t="str">
        <v>⚠️Added warm / cool temperate moist / dry - low frost and high temp classes to accommodate climate scenarios excluded by VEERG criteria.</v>
      </c>
    </row>
    <row r="61" spans="4:8" ht="20.100000000000001" customHeight="1" x14ac:dyDescent="0.25">
      <c r="D61" s="13" t="str">
        <v>⚠️Fixed typo - Changed 'Fry' to 'Dry'.</v>
      </c>
    </row>
    <row r="62" spans="4:8" ht="20.100000000000001" customHeight="1" x14ac:dyDescent="0.25"/>
    <row r="63" spans="4:8" ht="20.100000000000001" customHeight="1" x14ac:dyDescent="0.25">
      <c r="D63" s="11" t="s">
        <v>0</v>
      </c>
      <c r="E63" s="11" t="s">
        <v>23</v>
      </c>
    </row>
    <row r="64" spans="4:8" ht="20.100000000000001" customHeight="1" x14ac:dyDescent="0.25">
      <c r="D64" s="11" t="str" cm="1">
        <f t="array" ref="D64">Common_InputFunctions.Utility_DisplayArrayInTable(Common_SourceData.Common_SourceData_WetAndDryZones_Data(), Table_SourceData_WetDryZones[[#Headers],[Climate zone]], 0)</f>
        <v>Tropical montane</v>
      </c>
      <c r="E64" s="11" t="str" cm="1">
        <f t="array" ref="E64">Common_InputFunctions.Utility_DisplayArrayInTable(Common_SourceData.Common_SourceData_WetAndDryZones_Data(), Table_SourceData_WetDryZones[[#Headers],[Climate zone]], 0)</f>
        <v>Wet climate zone</v>
      </c>
    </row>
    <row r="65" spans="4:5" ht="20.100000000000001" customHeight="1" x14ac:dyDescent="0.25">
      <c r="D65" s="11" t="str" cm="1">
        <f t="array" ref="D65">Common_InputFunctions.Utility_DisplayArrayInTable(Common_SourceData.Common_SourceData_WetAndDryZones_Data(), Table_SourceData_WetDryZones[[#Headers],[Climate zone]], 0)</f>
        <v>Tropical wet</v>
      </c>
      <c r="E65" s="11" t="str" cm="1">
        <f t="array" ref="E65">Common_InputFunctions.Utility_DisplayArrayInTable(Common_SourceData.Common_SourceData_WetAndDryZones_Data(), Table_SourceData_WetDryZones[[#Headers],[Climate zone]], 0)</f>
        <v>Wet climate zone</v>
      </c>
    </row>
    <row r="66" spans="4:5" ht="20.100000000000001" customHeight="1" x14ac:dyDescent="0.25">
      <c r="D66" s="11" t="str" cm="1">
        <f t="array" ref="D66">Common_InputFunctions.Utility_DisplayArrayInTable(Common_SourceData.Common_SourceData_WetAndDryZones_Data(), Table_SourceData_WetDryZones[[#Headers],[Climate zone]], 0)</f>
        <v>Tropical moist</v>
      </c>
      <c r="E66" s="11" t="str" cm="1">
        <f t="array" ref="E66">Common_InputFunctions.Utility_DisplayArrayInTable(Common_SourceData.Common_SourceData_WetAndDryZones_Data(), Table_SourceData_WetDryZones[[#Headers],[Climate zone]], 0)</f>
        <v>Wet climate zone</v>
      </c>
    </row>
    <row r="67" spans="4:5" ht="20.100000000000001" customHeight="1" x14ac:dyDescent="0.25">
      <c r="D67" s="11" t="str" cm="1">
        <f t="array" ref="D67">Common_InputFunctions.Utility_DisplayArrayInTable(Common_SourceData.Common_SourceData_WetAndDryZones_Data(), Table_SourceData_WetDryZones[[#Headers],[Climate zone]], 0)</f>
        <v>Tropical dry</v>
      </c>
      <c r="E67" s="11" t="str" cm="1">
        <f t="array" ref="E67">Common_InputFunctions.Utility_DisplayArrayInTable(Common_SourceData.Common_SourceData_WetAndDryZones_Data(), Table_SourceData_WetDryZones[[#Headers],[Climate zone]], 0)</f>
        <v>Dry climate zone</v>
      </c>
    </row>
    <row r="68" spans="4:5" ht="20.100000000000001" customHeight="1" x14ac:dyDescent="0.25">
      <c r="D68" s="11" t="str" cm="1">
        <f t="array" ref="D68">Common_InputFunctions.Utility_DisplayArrayInTable(Common_SourceData.Common_SourceData_WetAndDryZones_Data(), Table_SourceData_WetDryZones[[#Headers],[Climate zone]], 0)</f>
        <v>Warm temperate moist</v>
      </c>
      <c r="E68" s="11" t="str" cm="1">
        <f t="array" ref="E68">Common_InputFunctions.Utility_DisplayArrayInTable(Common_SourceData.Common_SourceData_WetAndDryZones_Data(), Table_SourceData_WetDryZones[[#Headers],[Climate zone]], 0)</f>
        <v>Wet climate zone</v>
      </c>
    </row>
    <row r="69" spans="4:5" ht="20.100000000000001" customHeight="1" x14ac:dyDescent="0.25">
      <c r="D69" s="11" t="str" cm="1">
        <f t="array" ref="D69">Common_InputFunctions.Utility_DisplayArrayInTable(Common_SourceData.Common_SourceData_WetAndDryZones_Data(), Table_SourceData_WetDryZones[[#Headers],[Climate zone]], 0)</f>
        <v>Warm temperate dry</v>
      </c>
      <c r="E69" s="11" t="str" cm="1">
        <f t="array" ref="E69">Common_InputFunctions.Utility_DisplayArrayInTable(Common_SourceData.Common_SourceData_WetAndDryZones_Data(), Table_SourceData_WetDryZones[[#Headers],[Climate zone]], 0)</f>
        <v>Dry climate zone</v>
      </c>
    </row>
    <row r="70" spans="4:5" ht="20.100000000000001" customHeight="1" x14ac:dyDescent="0.25">
      <c r="D70" s="11" t="str" cm="1">
        <f t="array" ref="D70">Common_InputFunctions.Utility_DisplayArrayInTable(Common_SourceData.Common_SourceData_WetAndDryZones_Data(), Table_SourceData_WetDryZones[[#Headers],[Climate zone]], 0)</f>
        <v>Cool temperate moist</v>
      </c>
      <c r="E70" s="11" t="str" cm="1">
        <f t="array" ref="E70">Common_InputFunctions.Utility_DisplayArrayInTable(Common_SourceData.Common_SourceData_WetAndDryZones_Data(), Table_SourceData_WetDryZones[[#Headers],[Climate zone]], 0)</f>
        <v>Wet climate zone</v>
      </c>
    </row>
    <row r="71" spans="4:5" ht="20.100000000000001" customHeight="1" x14ac:dyDescent="0.25">
      <c r="D71" s="11" t="str" cm="1">
        <f t="array" ref="D71">Common_InputFunctions.Utility_DisplayArrayInTable(Common_SourceData.Common_SourceData_WetAndDryZones_Data(), Table_SourceData_WetDryZones[[#Headers],[Climate zone]], 0)</f>
        <v>Cool temperate dry</v>
      </c>
      <c r="E71" s="11" t="str" cm="1">
        <f t="array" ref="E71">Common_InputFunctions.Utility_DisplayArrayInTable(Common_SourceData.Common_SourceData_WetAndDryZones_Data(), Table_SourceData_WetDryZones[[#Headers],[Climate zone]], 0)</f>
        <v>Dry climate zone</v>
      </c>
    </row>
    <row r="72" spans="4:5" ht="20.100000000000001" customHeight="1" x14ac:dyDescent="0.25">
      <c r="D72" s="11" t="str" cm="1">
        <f t="array" ref="D72">Common_InputFunctions.Utility_DisplayArrayInTable(Common_SourceData.Common_SourceData_WetAndDryZones_Data(), Table_SourceData_WetDryZones[[#Headers],[Climate zone]], 0)</f>
        <v>Warm temperate moist - low frost</v>
      </c>
      <c r="E72" s="11" t="str" cm="1">
        <f t="array" ref="E72">Common_InputFunctions.Utility_DisplayArrayInTable(Common_SourceData.Common_SourceData_WetAndDryZones_Data(), Table_SourceData_WetDryZones[[#Headers],[Climate zone]], 0)</f>
        <v>Wet climate zone</v>
      </c>
    </row>
    <row r="73" spans="4:5" ht="20.100000000000001" customHeight="1" x14ac:dyDescent="0.25">
      <c r="D73" s="11" t="str" cm="1">
        <f t="array" ref="D73">Common_InputFunctions.Utility_DisplayArrayInTable(Common_SourceData.Common_SourceData_WetAndDryZones_Data(), Table_SourceData_WetDryZones[[#Headers],[Climate zone]], 0)</f>
        <v>Warm temperate dry - low frost</v>
      </c>
      <c r="E73" s="11" t="str" cm="1">
        <f t="array" ref="E73">Common_InputFunctions.Utility_DisplayArrayInTable(Common_SourceData.Common_SourceData_WetAndDryZones_Data(), Table_SourceData_WetDryZones[[#Headers],[Climate zone]], 0)</f>
        <v>Dry climate zone</v>
      </c>
    </row>
    <row r="74" spans="4:5" ht="20.100000000000001" customHeight="1" x14ac:dyDescent="0.25">
      <c r="D74" s="11" t="str" cm="1">
        <f t="array" ref="D74">Common_InputFunctions.Utility_DisplayArrayInTable(Common_SourceData.Common_SourceData_WetAndDryZones_Data(), Table_SourceData_WetDryZones[[#Headers],[Climate zone]], 0)</f>
        <v>Warm temperate moist - high temp</v>
      </c>
      <c r="E74" s="11" t="str" cm="1">
        <f t="array" ref="E74">Common_InputFunctions.Utility_DisplayArrayInTable(Common_SourceData.Common_SourceData_WetAndDryZones_Data(), Table_SourceData_WetDryZones[[#Headers],[Climate zone]], 0)</f>
        <v>Wet climate zone</v>
      </c>
    </row>
    <row r="75" spans="4:5" ht="20.100000000000001" customHeight="1" x14ac:dyDescent="0.25">
      <c r="D75" s="11" t="str" cm="1">
        <f t="array" ref="D75">Common_InputFunctions.Utility_DisplayArrayInTable(Common_SourceData.Common_SourceData_WetAndDryZones_Data(), Table_SourceData_WetDryZones[[#Headers],[Climate zone]], 0)</f>
        <v>Warm temperate dry - high temp</v>
      </c>
      <c r="E75" s="11" t="str" cm="1">
        <f t="array" ref="E75">Common_InputFunctions.Utility_DisplayArrayInTable(Common_SourceData.Common_SourceData_WetAndDryZones_Data(), Table_SourceData_WetDryZones[[#Headers],[Climate zone]], 0)</f>
        <v>Dry climate zone</v>
      </c>
    </row>
    <row r="76" spans="4:5" ht="20.100000000000001" customHeight="1" x14ac:dyDescent="0.25">
      <c r="D76" s="11" t="str" cm="1">
        <f t="array" ref="D76">Common_InputFunctions.Utility_DisplayArrayInTable(Common_SourceData.Common_SourceData_WetAndDryZones_Data(), Table_SourceData_WetDryZones[[#Headers],[Climate zone]], 0)</f>
        <v>Cool temperate moist - low frost</v>
      </c>
      <c r="E76" s="11" t="str" cm="1">
        <f t="array" ref="E76">Common_InputFunctions.Utility_DisplayArrayInTable(Common_SourceData.Common_SourceData_WetAndDryZones_Data(), Table_SourceData_WetDryZones[[#Headers],[Climate zone]], 0)</f>
        <v>Wet climate zone</v>
      </c>
    </row>
    <row r="77" spans="4:5" ht="20.100000000000001" customHeight="1" x14ac:dyDescent="0.25">
      <c r="D77" s="11" t="str" cm="1">
        <f t="array" ref="D77">Common_InputFunctions.Utility_DisplayArrayInTable(Common_SourceData.Common_SourceData_WetAndDryZones_Data(), Table_SourceData_WetDryZones[[#Headers],[Climate zone]], 0)</f>
        <v>Cool temperate dry - low frost</v>
      </c>
      <c r="E77" s="11" t="str" cm="1">
        <f t="array" ref="E77">Common_InputFunctions.Utility_DisplayArrayInTable(Common_SourceData.Common_SourceData_WetAndDryZones_Data(), Table_SourceData_WetDryZones[[#Headers],[Climate zone]], 0)</f>
        <v>Dry climate zone</v>
      </c>
    </row>
    <row r="78" spans="4:5" ht="20.100000000000001" customHeight="1" x14ac:dyDescent="0.25"/>
    <row r="79" spans="4:5" ht="20.100000000000001" customHeight="1" x14ac:dyDescent="0.25"/>
    <row r="80" spans="4:5" ht="20.100000000000001" customHeight="1" x14ac:dyDescent="0.25"/>
    <row r="81" spans="4:19" ht="20.100000000000001" customHeight="1" x14ac:dyDescent="0.25">
      <c r="D81" s="5" t="str" cm="1">
        <f t="array" ref="D81">Common_SourceData.Common_SourceData_ClimateZones_Title()</f>
        <v>VEERG Australian climate zones</v>
      </c>
    </row>
    <row r="82" spans="4:19" ht="20.100000000000001" customHeight="1" x14ac:dyDescent="0.25">
      <c r="D82" s="4" t="str" cm="1">
        <f t="array" ref="D82">Common_SourceData.Common_SourceData_ClimateZones_Source()</f>
        <v>VEERG 2026: Table 1.3: Climate and Rainfall zone classifications and definitions</v>
      </c>
    </row>
    <row r="83" spans="4:19" ht="20.100000000000001" customHeight="1" x14ac:dyDescent="0.25">
      <c r="D83" s="13" t="str" cm="1">
        <f t="array" ref="D83:D87">"⚠️" &amp; Common_SourceData.Common_SourceData_ClimateZones_Variation()</f>
        <v>⚠️VARIATION OF SOURCE DATA:</v>
      </c>
    </row>
    <row r="84" spans="4:19" ht="20.100000000000001" customHeight="1" x14ac:dyDescent="0.25">
      <c r="D84" s="13" t="str">
        <v>⚠️Added warm / cool temperate moist / dry - low frost and high temp classes to accommodate climate scenarios excluded by VEERG criteria.</v>
      </c>
    </row>
    <row r="85" spans="4:19" ht="20.100000000000001" customHeight="1" x14ac:dyDescent="0.25">
      <c r="D85" s="13" t="str">
        <v>⚠️Fixed typo in MAT value for warm temperate dry - changed 10 to 11.</v>
      </c>
    </row>
    <row r="86" spans="4:19" ht="20.100000000000001" customHeight="1" x14ac:dyDescent="0.25">
      <c r="D86" s="13" t="str">
        <v>⚠️Added min and max columns for MAT, MAP, frost days per year, elevation, MAP:PET to calculate zones from real climate data.</v>
      </c>
    </row>
    <row r="87" spans="4:19" ht="20.100000000000001" customHeight="1" x14ac:dyDescent="0.25">
      <c r="D87" s="13" t="str">
        <v>⚠️GAF accepts rainfall as a proxy for precipitation.</v>
      </c>
    </row>
    <row r="88" spans="4:19" ht="20.100000000000001" customHeight="1" x14ac:dyDescent="0.25"/>
    <row r="89" spans="4:19" ht="20.100000000000001" customHeight="1" x14ac:dyDescent="0.25">
      <c r="D89" s="11" t="s">
        <v>0</v>
      </c>
      <c r="E89" s="11" t="s">
        <v>11</v>
      </c>
      <c r="F89" s="11" t="s">
        <v>12</v>
      </c>
      <c r="G89" s="11" t="s">
        <v>13</v>
      </c>
      <c r="H89" s="11" t="s">
        <v>14</v>
      </c>
      <c r="I89" s="11" t="s">
        <v>15</v>
      </c>
      <c r="J89" s="11" t="s">
        <v>16</v>
      </c>
      <c r="K89" s="11" t="s">
        <v>17</v>
      </c>
      <c r="L89" s="11" t="s">
        <v>18</v>
      </c>
      <c r="M89" s="11" t="s">
        <v>19</v>
      </c>
      <c r="N89" s="11" t="s">
        <v>20</v>
      </c>
      <c r="O89" s="11" t="s">
        <v>24</v>
      </c>
      <c r="P89" s="11" t="s">
        <v>21</v>
      </c>
      <c r="Q89" s="11" t="s">
        <v>25</v>
      </c>
      <c r="R89" s="11" t="s">
        <v>22</v>
      </c>
      <c r="S89" s="11" t="s">
        <v>26</v>
      </c>
    </row>
    <row r="90" spans="4:19" ht="20.100000000000001" customHeight="1" x14ac:dyDescent="0.25">
      <c r="D90" s="11" t="str" cm="1">
        <f t="array" ref="D90">Common_InputFunctions.Utility_DisplayArrayInTable(Common_SourceData.Common_SourceData_ClimateZones_Data(), Table_SourceData_ClimateZones[[#Headers],[Climate zone]], 0)</f>
        <v>Tropical montane</v>
      </c>
      <c r="E90" s="11" t="str" cm="1">
        <f t="array" ref="E90">Common_InputFunctions.Utility_DisplayArrayInTable(Common_SourceData.Common_SourceData_ClimateZones_Data(), Table_SourceData_ClimateZones[[#Headers],[Climate zone]], 0)</f>
        <v>&gt; 18 C</v>
      </c>
      <c r="F90" s="11" t="str" cm="1">
        <f t="array" ref="F90">Common_InputFunctions.Utility_DisplayArrayInTable(Common_SourceData.Common_SourceData_ClimateZones_Data(), Table_SourceData_ClimateZones[[#Headers],[Climate zone]], 0)</f>
        <v>Any</v>
      </c>
      <c r="G90" s="11" t="str" cm="1">
        <f t="array" ref="G90">Common_InputFunctions.Utility_DisplayArrayInTable(Common_SourceData.Common_SourceData_ClimateZones_Data(), Table_SourceData_ClimateZones[[#Headers],[Climate zone]], 0)</f>
        <v>≤ 7</v>
      </c>
      <c r="H90" s="11" t="str" cm="1">
        <f t="array" ref="H90">Common_InputFunctions.Utility_DisplayArrayInTable(Common_SourceData.Common_SourceData_ClimateZones_Data(), Table_SourceData_ClimateZones[[#Headers],[Climate zone]], 0)</f>
        <v>&gt; 1000 m</v>
      </c>
      <c r="I90" s="11" t="str" cm="1">
        <f t="array" ref="I90">Common_InputFunctions.Utility_DisplayArrayInTable(Common_SourceData.Common_SourceData_ClimateZones_Data(), Table_SourceData_ClimateZones[[#Headers],[Climate zone]], 0)</f>
        <v>Any</v>
      </c>
      <c r="J90" s="11" cm="1">
        <f t="array" ref="J90">Common_InputFunctions.Utility_DisplayArrayInTable(Common_SourceData.Common_SourceData_ClimateZones_Data(), Table_SourceData_ClimateZones[[#Headers],[Climate zone]], 0)</f>
        <v>18.001000000000001</v>
      </c>
      <c r="K90" s="11" cm="1">
        <f t="array" ref="K90">Common_InputFunctions.Utility_DisplayArrayInTable(Common_SourceData.Common_SourceData_ClimateZones_Data(), Table_SourceData_ClimateZones[[#Headers],[Climate zone]], 0)</f>
        <v>999999</v>
      </c>
      <c r="L90" s="11" cm="1">
        <f t="array" ref="L90">Common_InputFunctions.Utility_DisplayArrayInTable(Common_SourceData.Common_SourceData_ClimateZones_Data(), Table_SourceData_ClimateZones[[#Headers],[Climate zone]], 0)</f>
        <v>-999999</v>
      </c>
      <c r="M90" s="11" cm="1">
        <f t="array" ref="M90">Common_InputFunctions.Utility_DisplayArrayInTable(Common_SourceData.Common_SourceData_ClimateZones_Data(), Table_SourceData_ClimateZones[[#Headers],[Climate zone]], 0)</f>
        <v>999999</v>
      </c>
      <c r="N90" s="11" cm="1">
        <f t="array" ref="N90">Common_InputFunctions.Utility_DisplayArrayInTable(Common_SourceData.Common_SourceData_ClimateZones_Data(), Table_SourceData_ClimateZones[[#Headers],[Climate zone]], 0)</f>
        <v>-999999</v>
      </c>
      <c r="O90" s="11" cm="1">
        <f t="array" ref="O90">Common_InputFunctions.Utility_DisplayArrayInTable(Common_SourceData.Common_SourceData_ClimateZones_Data(), Table_SourceData_ClimateZones[[#Headers],[Climate zone]], 0)</f>
        <v>7</v>
      </c>
      <c r="P90" s="11" cm="1">
        <f t="array" ref="P90">Common_InputFunctions.Utility_DisplayArrayInTable(Common_SourceData.Common_SourceData_ClimateZones_Data(), Table_SourceData_ClimateZones[[#Headers],[Climate zone]], 0)</f>
        <v>1000</v>
      </c>
      <c r="Q90" s="11" cm="1">
        <f t="array" ref="Q90">Common_InputFunctions.Utility_DisplayArrayInTable(Common_SourceData.Common_SourceData_ClimateZones_Data(), Table_SourceData_ClimateZones[[#Headers],[Climate zone]], 0)</f>
        <v>999999</v>
      </c>
      <c r="R90" s="11" cm="1">
        <f t="array" ref="R90">Common_InputFunctions.Utility_DisplayArrayInTable(Common_SourceData.Common_SourceData_ClimateZones_Data(), Table_SourceData_ClimateZones[[#Headers],[Climate zone]], 0)</f>
        <v>-999999</v>
      </c>
      <c r="S90" s="11" cm="1">
        <f t="array" ref="S90">Common_InputFunctions.Utility_DisplayArrayInTable(Common_SourceData.Common_SourceData_ClimateZones_Data(), Table_SourceData_ClimateZones[[#Headers],[Climate zone]], 0)</f>
        <v>999999</v>
      </c>
    </row>
    <row r="91" spans="4:19" ht="20.100000000000001" customHeight="1" x14ac:dyDescent="0.25">
      <c r="D91" s="11" t="str" cm="1">
        <f t="array" ref="D91">Common_InputFunctions.Utility_DisplayArrayInTable(Common_SourceData.Common_SourceData_ClimateZones_Data(), Table_SourceData_ClimateZones[[#Headers],[Climate zone]], 0)</f>
        <v>Tropical wet</v>
      </c>
      <c r="E91" s="11" t="str" cm="1">
        <f t="array" ref="E91">Common_InputFunctions.Utility_DisplayArrayInTable(Common_SourceData.Common_SourceData_ClimateZones_Data(), Table_SourceData_ClimateZones[[#Headers],[Climate zone]], 0)</f>
        <v>&gt; 18 C</v>
      </c>
      <c r="F91" s="11" t="str" cm="1">
        <f t="array" ref="F91">Common_InputFunctions.Utility_DisplayArrayInTable(Common_SourceData.Common_SourceData_ClimateZones_Data(), Table_SourceData_ClimateZones[[#Headers],[Climate zone]], 0)</f>
        <v>&gt; 2000 mm</v>
      </c>
      <c r="G91" s="11" t="str" cm="1">
        <f t="array" ref="G91">Common_InputFunctions.Utility_DisplayArrayInTable(Common_SourceData.Common_SourceData_ClimateZones_Data(), Table_SourceData_ClimateZones[[#Headers],[Climate zone]], 0)</f>
        <v>≤ 7</v>
      </c>
      <c r="H91" s="11" t="str" cm="1">
        <f t="array" ref="H91">Common_InputFunctions.Utility_DisplayArrayInTable(Common_SourceData.Common_SourceData_ClimateZones_Data(), Table_SourceData_ClimateZones[[#Headers],[Climate zone]], 0)</f>
        <v>≤ 1000 m</v>
      </c>
      <c r="I91" s="11" t="str" cm="1">
        <f t="array" ref="I91">Common_InputFunctions.Utility_DisplayArrayInTable(Common_SourceData.Common_SourceData_ClimateZones_Data(), Table_SourceData_ClimateZones[[#Headers],[Climate zone]], 0)</f>
        <v>Any</v>
      </c>
      <c r="J91" s="11" cm="1">
        <f t="array" ref="J91">Common_InputFunctions.Utility_DisplayArrayInTable(Common_SourceData.Common_SourceData_ClimateZones_Data(), Table_SourceData_ClimateZones[[#Headers],[Climate zone]], 0)</f>
        <v>18.001000000000001</v>
      </c>
      <c r="K91" s="11" cm="1">
        <f t="array" ref="K91">Common_InputFunctions.Utility_DisplayArrayInTable(Common_SourceData.Common_SourceData_ClimateZones_Data(), Table_SourceData_ClimateZones[[#Headers],[Climate zone]], 0)</f>
        <v>999999</v>
      </c>
      <c r="L91" s="11" cm="1">
        <f t="array" ref="L91">Common_InputFunctions.Utility_DisplayArrayInTable(Common_SourceData.Common_SourceData_ClimateZones_Data(), Table_SourceData_ClimateZones[[#Headers],[Climate zone]], 0)</f>
        <v>2000.001</v>
      </c>
      <c r="M91" s="11" cm="1">
        <f t="array" ref="M91">Common_InputFunctions.Utility_DisplayArrayInTable(Common_SourceData.Common_SourceData_ClimateZones_Data(), Table_SourceData_ClimateZones[[#Headers],[Climate zone]], 0)</f>
        <v>999999</v>
      </c>
      <c r="N91" s="11" cm="1">
        <f t="array" ref="N91">Common_InputFunctions.Utility_DisplayArrayInTable(Common_SourceData.Common_SourceData_ClimateZones_Data(), Table_SourceData_ClimateZones[[#Headers],[Climate zone]], 0)</f>
        <v>-999999</v>
      </c>
      <c r="O91" s="11" cm="1">
        <f t="array" ref="O91">Common_InputFunctions.Utility_DisplayArrayInTable(Common_SourceData.Common_SourceData_ClimateZones_Data(), Table_SourceData_ClimateZones[[#Headers],[Climate zone]], 0)</f>
        <v>7</v>
      </c>
      <c r="P91" s="11" cm="1">
        <f t="array" ref="P91">Common_InputFunctions.Utility_DisplayArrayInTable(Common_SourceData.Common_SourceData_ClimateZones_Data(), Table_SourceData_ClimateZones[[#Headers],[Climate zone]], 0)</f>
        <v>-999999</v>
      </c>
      <c r="Q91" s="11" cm="1">
        <f t="array" ref="Q91">Common_InputFunctions.Utility_DisplayArrayInTable(Common_SourceData.Common_SourceData_ClimateZones_Data(), Table_SourceData_ClimateZones[[#Headers],[Climate zone]], 0)</f>
        <v>999.99900000000002</v>
      </c>
      <c r="R91" s="11" cm="1">
        <f t="array" ref="R91">Common_InputFunctions.Utility_DisplayArrayInTable(Common_SourceData.Common_SourceData_ClimateZones_Data(), Table_SourceData_ClimateZones[[#Headers],[Climate zone]], 0)</f>
        <v>-999999</v>
      </c>
      <c r="S91" s="11" cm="1">
        <f t="array" ref="S91">Common_InputFunctions.Utility_DisplayArrayInTable(Common_SourceData.Common_SourceData_ClimateZones_Data(), Table_SourceData_ClimateZones[[#Headers],[Climate zone]], 0)</f>
        <v>999999</v>
      </c>
    </row>
    <row r="92" spans="4:19" ht="20.100000000000001" customHeight="1" x14ac:dyDescent="0.25">
      <c r="D92" s="11" t="str" cm="1">
        <f t="array" ref="D92">Common_InputFunctions.Utility_DisplayArrayInTable(Common_SourceData.Common_SourceData_ClimateZones_Data(), Table_SourceData_ClimateZones[[#Headers],[Climate zone]], 0)</f>
        <v>Tropical moist</v>
      </c>
      <c r="E92" s="11" t="str" cm="1">
        <f t="array" ref="E92">Common_InputFunctions.Utility_DisplayArrayInTable(Common_SourceData.Common_SourceData_ClimateZones_Data(), Table_SourceData_ClimateZones[[#Headers],[Climate zone]], 0)</f>
        <v>&gt; 18 C</v>
      </c>
      <c r="F92" s="11" t="str" cm="1">
        <f t="array" ref="F92">Common_InputFunctions.Utility_DisplayArrayInTable(Common_SourceData.Common_SourceData_ClimateZones_Data(), Table_SourceData_ClimateZones[[#Headers],[Climate zone]], 0)</f>
        <v>&gt; 1000 mm - ≤ 2000 mm</v>
      </c>
      <c r="G92" s="11" t="str" cm="1">
        <f t="array" ref="G92">Common_InputFunctions.Utility_DisplayArrayInTable(Common_SourceData.Common_SourceData_ClimateZones_Data(), Table_SourceData_ClimateZones[[#Headers],[Climate zone]], 0)</f>
        <v>≤ 7</v>
      </c>
      <c r="H92" s="11" t="str" cm="1">
        <f t="array" ref="H92">Common_InputFunctions.Utility_DisplayArrayInTable(Common_SourceData.Common_SourceData_ClimateZones_Data(), Table_SourceData_ClimateZones[[#Headers],[Climate zone]], 0)</f>
        <v>≤ 1000 m</v>
      </c>
      <c r="I92" s="11" t="str" cm="1">
        <f t="array" ref="I92">Common_InputFunctions.Utility_DisplayArrayInTable(Common_SourceData.Common_SourceData_ClimateZones_Data(), Table_SourceData_ClimateZones[[#Headers],[Climate zone]], 0)</f>
        <v>Any</v>
      </c>
      <c r="J92" s="11" cm="1">
        <f t="array" ref="J92">Common_InputFunctions.Utility_DisplayArrayInTable(Common_SourceData.Common_SourceData_ClimateZones_Data(), Table_SourceData_ClimateZones[[#Headers],[Climate zone]], 0)</f>
        <v>18.001000000000001</v>
      </c>
      <c r="K92" s="11" cm="1">
        <f t="array" ref="K92">Common_InputFunctions.Utility_DisplayArrayInTable(Common_SourceData.Common_SourceData_ClimateZones_Data(), Table_SourceData_ClimateZones[[#Headers],[Climate zone]], 0)</f>
        <v>999999</v>
      </c>
      <c r="L92" s="11" cm="1">
        <f t="array" ref="L92">Common_InputFunctions.Utility_DisplayArrayInTable(Common_SourceData.Common_SourceData_ClimateZones_Data(), Table_SourceData_ClimateZones[[#Headers],[Climate zone]], 0)</f>
        <v>1000.001</v>
      </c>
      <c r="M92" s="11" cm="1">
        <f t="array" ref="M92">Common_InputFunctions.Utility_DisplayArrayInTable(Common_SourceData.Common_SourceData_ClimateZones_Data(), Table_SourceData_ClimateZones[[#Headers],[Climate zone]], 0)</f>
        <v>2000</v>
      </c>
      <c r="N92" s="11" cm="1">
        <f t="array" ref="N92">Common_InputFunctions.Utility_DisplayArrayInTable(Common_SourceData.Common_SourceData_ClimateZones_Data(), Table_SourceData_ClimateZones[[#Headers],[Climate zone]], 0)</f>
        <v>-999999</v>
      </c>
      <c r="O92" s="11" cm="1">
        <f t="array" ref="O92">Common_InputFunctions.Utility_DisplayArrayInTable(Common_SourceData.Common_SourceData_ClimateZones_Data(), Table_SourceData_ClimateZones[[#Headers],[Climate zone]], 0)</f>
        <v>7</v>
      </c>
      <c r="P92" s="11" cm="1">
        <f t="array" ref="P92">Common_InputFunctions.Utility_DisplayArrayInTable(Common_SourceData.Common_SourceData_ClimateZones_Data(), Table_SourceData_ClimateZones[[#Headers],[Climate zone]], 0)</f>
        <v>-999999</v>
      </c>
      <c r="Q92" s="11" cm="1">
        <f t="array" ref="Q92">Common_InputFunctions.Utility_DisplayArrayInTable(Common_SourceData.Common_SourceData_ClimateZones_Data(), Table_SourceData_ClimateZones[[#Headers],[Climate zone]], 0)</f>
        <v>999.99900000000002</v>
      </c>
      <c r="R92" s="11" cm="1">
        <f t="array" ref="R92">Common_InputFunctions.Utility_DisplayArrayInTable(Common_SourceData.Common_SourceData_ClimateZones_Data(), Table_SourceData_ClimateZones[[#Headers],[Climate zone]], 0)</f>
        <v>-999999</v>
      </c>
      <c r="S92" s="11" cm="1">
        <f t="array" ref="S92">Common_InputFunctions.Utility_DisplayArrayInTable(Common_SourceData.Common_SourceData_ClimateZones_Data(), Table_SourceData_ClimateZones[[#Headers],[Climate zone]], 0)</f>
        <v>999999</v>
      </c>
    </row>
    <row r="93" spans="4:19" ht="20.100000000000001" customHeight="1" x14ac:dyDescent="0.25">
      <c r="D93" s="11" t="str" cm="1">
        <f t="array" ref="D93">Common_InputFunctions.Utility_DisplayArrayInTable(Common_SourceData.Common_SourceData_ClimateZones_Data(), Table_SourceData_ClimateZones[[#Headers],[Climate zone]], 0)</f>
        <v>Tropical dry</v>
      </c>
      <c r="E93" s="11" t="str" cm="1">
        <f t="array" ref="E93">Common_InputFunctions.Utility_DisplayArrayInTable(Common_SourceData.Common_SourceData_ClimateZones_Data(), Table_SourceData_ClimateZones[[#Headers],[Climate zone]], 0)</f>
        <v>&gt; 18 C</v>
      </c>
      <c r="F93" s="11" t="str" cm="1">
        <f t="array" ref="F93">Common_InputFunctions.Utility_DisplayArrayInTable(Common_SourceData.Common_SourceData_ClimateZones_Data(), Table_SourceData_ClimateZones[[#Headers],[Climate zone]], 0)</f>
        <v>≤ 1000 mm</v>
      </c>
      <c r="G93" s="11" t="str" cm="1">
        <f t="array" ref="G93">Common_InputFunctions.Utility_DisplayArrayInTable(Common_SourceData.Common_SourceData_ClimateZones_Data(), Table_SourceData_ClimateZones[[#Headers],[Climate zone]], 0)</f>
        <v>≤ 7</v>
      </c>
      <c r="H93" s="11" t="str" cm="1">
        <f t="array" ref="H93">Common_InputFunctions.Utility_DisplayArrayInTable(Common_SourceData.Common_SourceData_ClimateZones_Data(), Table_SourceData_ClimateZones[[#Headers],[Climate zone]], 0)</f>
        <v>≤ 1000 m</v>
      </c>
      <c r="I93" s="11" t="str" cm="1">
        <f t="array" ref="I93">Common_InputFunctions.Utility_DisplayArrayInTable(Common_SourceData.Common_SourceData_ClimateZones_Data(), Table_SourceData_ClimateZones[[#Headers],[Climate zone]], 0)</f>
        <v>Any</v>
      </c>
      <c r="J93" s="11" cm="1">
        <f t="array" ref="J93">Common_InputFunctions.Utility_DisplayArrayInTable(Common_SourceData.Common_SourceData_ClimateZones_Data(), Table_SourceData_ClimateZones[[#Headers],[Climate zone]], 0)</f>
        <v>18.001000000000001</v>
      </c>
      <c r="K93" s="11" cm="1">
        <f t="array" ref="K93">Common_InputFunctions.Utility_DisplayArrayInTable(Common_SourceData.Common_SourceData_ClimateZones_Data(), Table_SourceData_ClimateZones[[#Headers],[Climate zone]], 0)</f>
        <v>999999</v>
      </c>
      <c r="L93" s="11" cm="1">
        <f t="array" ref="L93">Common_InputFunctions.Utility_DisplayArrayInTable(Common_SourceData.Common_SourceData_ClimateZones_Data(), Table_SourceData_ClimateZones[[#Headers],[Climate zone]], 0)</f>
        <v>-999999</v>
      </c>
      <c r="M93" s="11" cm="1">
        <f t="array" ref="M93">Common_InputFunctions.Utility_DisplayArrayInTable(Common_SourceData.Common_SourceData_ClimateZones_Data(), Table_SourceData_ClimateZones[[#Headers],[Climate zone]], 0)</f>
        <v>1000</v>
      </c>
      <c r="N93" s="11" cm="1">
        <f t="array" ref="N93">Common_InputFunctions.Utility_DisplayArrayInTable(Common_SourceData.Common_SourceData_ClimateZones_Data(), Table_SourceData_ClimateZones[[#Headers],[Climate zone]], 0)</f>
        <v>-999999</v>
      </c>
      <c r="O93" s="11" cm="1">
        <f t="array" ref="O93">Common_InputFunctions.Utility_DisplayArrayInTable(Common_SourceData.Common_SourceData_ClimateZones_Data(), Table_SourceData_ClimateZones[[#Headers],[Climate zone]], 0)</f>
        <v>7</v>
      </c>
      <c r="P93" s="11" cm="1">
        <f t="array" ref="P93">Common_InputFunctions.Utility_DisplayArrayInTable(Common_SourceData.Common_SourceData_ClimateZones_Data(), Table_SourceData_ClimateZones[[#Headers],[Climate zone]], 0)</f>
        <v>-999999</v>
      </c>
      <c r="Q93" s="11" cm="1">
        <f t="array" ref="Q93">Common_InputFunctions.Utility_DisplayArrayInTable(Common_SourceData.Common_SourceData_ClimateZones_Data(), Table_SourceData_ClimateZones[[#Headers],[Climate zone]], 0)</f>
        <v>999.99900000000002</v>
      </c>
      <c r="R93" s="11" cm="1">
        <f t="array" ref="R93">Common_InputFunctions.Utility_DisplayArrayInTable(Common_SourceData.Common_SourceData_ClimateZones_Data(), Table_SourceData_ClimateZones[[#Headers],[Climate zone]], 0)</f>
        <v>-999999</v>
      </c>
      <c r="S93" s="11" cm="1">
        <f t="array" ref="S93">Common_InputFunctions.Utility_DisplayArrayInTable(Common_SourceData.Common_SourceData_ClimateZones_Data(), Table_SourceData_ClimateZones[[#Headers],[Climate zone]], 0)</f>
        <v>999999</v>
      </c>
    </row>
    <row r="94" spans="4:19" ht="20.100000000000001" customHeight="1" x14ac:dyDescent="0.25">
      <c r="D94" s="11" t="str" cm="1">
        <f t="array" ref="D94">Common_InputFunctions.Utility_DisplayArrayInTable(Common_SourceData.Common_SourceData_ClimateZones_Data(), Table_SourceData_ClimateZones[[#Headers],[Climate zone]], 0)</f>
        <v>Warm temperate moist</v>
      </c>
      <c r="E94" s="11" t="str" cm="1">
        <f t="array" ref="E94">Common_InputFunctions.Utility_DisplayArrayInTable(Common_SourceData.Common_SourceData_ClimateZones_Data(), Table_SourceData_ClimateZones[[#Headers],[Climate zone]], 0)</f>
        <v>&gt; 10 C</v>
      </c>
      <c r="F94" s="11" t="str" cm="1">
        <f t="array" ref="F94">Common_InputFunctions.Utility_DisplayArrayInTable(Common_SourceData.Common_SourceData_ClimateZones_Data(), Table_SourceData_ClimateZones[[#Headers],[Climate zone]], 0)</f>
        <v>Any</v>
      </c>
      <c r="G94" s="11" t="str" cm="1">
        <f t="array" ref="G94">Common_InputFunctions.Utility_DisplayArrayInTable(Common_SourceData.Common_SourceData_ClimateZones_Data(), Table_SourceData_ClimateZones[[#Headers],[Climate zone]], 0)</f>
        <v>Any</v>
      </c>
      <c r="H94" s="11" t="str" cm="1">
        <f t="array" ref="H94">Common_InputFunctions.Utility_DisplayArrayInTable(Common_SourceData.Common_SourceData_ClimateZones_Data(), Table_SourceData_ClimateZones[[#Headers],[Climate zone]], 0)</f>
        <v>Any</v>
      </c>
      <c r="I94" s="11" t="str" cm="1">
        <f t="array" ref="I94">Common_InputFunctions.Utility_DisplayArrayInTable(Common_SourceData.Common_SourceData_ClimateZones_Data(), Table_SourceData_ClimateZones[[#Headers],[Climate zone]], 0)</f>
        <v>&gt; 1</v>
      </c>
      <c r="J94" s="11" cm="1">
        <f t="array" ref="J94">Common_InputFunctions.Utility_DisplayArrayInTable(Common_SourceData.Common_SourceData_ClimateZones_Data(), Table_SourceData_ClimateZones[[#Headers],[Climate zone]], 0)</f>
        <v>10.000999999999999</v>
      </c>
      <c r="K94" s="11" cm="1">
        <f t="array" ref="K94">Common_InputFunctions.Utility_DisplayArrayInTable(Common_SourceData.Common_SourceData_ClimateZones_Data(), Table_SourceData_ClimateZones[[#Headers],[Climate zone]], 0)</f>
        <v>999999</v>
      </c>
      <c r="L94" s="11" cm="1">
        <f t="array" ref="L94">Common_InputFunctions.Utility_DisplayArrayInTable(Common_SourceData.Common_SourceData_ClimateZones_Data(), Table_SourceData_ClimateZones[[#Headers],[Climate zone]], 0)</f>
        <v>-999999</v>
      </c>
      <c r="M94" s="11" cm="1">
        <f t="array" ref="M94">Common_InputFunctions.Utility_DisplayArrayInTable(Common_SourceData.Common_SourceData_ClimateZones_Data(), Table_SourceData_ClimateZones[[#Headers],[Climate zone]], 0)</f>
        <v>999999</v>
      </c>
      <c r="N94" s="11" cm="1">
        <f t="array" ref="N94">Common_InputFunctions.Utility_DisplayArrayInTable(Common_SourceData.Common_SourceData_ClimateZones_Data(), Table_SourceData_ClimateZones[[#Headers],[Climate zone]], 0)</f>
        <v>-999999</v>
      </c>
      <c r="O94" s="11" cm="1">
        <f t="array" ref="O94">Common_InputFunctions.Utility_DisplayArrayInTable(Common_SourceData.Common_SourceData_ClimateZones_Data(), Table_SourceData_ClimateZones[[#Headers],[Climate zone]], 0)</f>
        <v>999999</v>
      </c>
      <c r="P94" s="11" cm="1">
        <f t="array" ref="P94">Common_InputFunctions.Utility_DisplayArrayInTable(Common_SourceData.Common_SourceData_ClimateZones_Data(), Table_SourceData_ClimateZones[[#Headers],[Climate zone]], 0)</f>
        <v>-999999</v>
      </c>
      <c r="Q94" s="11" cm="1">
        <f t="array" ref="Q94">Common_InputFunctions.Utility_DisplayArrayInTable(Common_SourceData.Common_SourceData_ClimateZones_Data(), Table_SourceData_ClimateZones[[#Headers],[Climate zone]], 0)</f>
        <v>999999</v>
      </c>
      <c r="R94" s="11" cm="1">
        <f t="array" ref="R94">Common_InputFunctions.Utility_DisplayArrayInTable(Common_SourceData.Common_SourceData_ClimateZones_Data(), Table_SourceData_ClimateZones[[#Headers],[Climate zone]], 0)</f>
        <v>1.0009999999999999</v>
      </c>
      <c r="S94" s="11" cm="1">
        <f t="array" ref="S94">Common_InputFunctions.Utility_DisplayArrayInTable(Common_SourceData.Common_SourceData_ClimateZones_Data(), Table_SourceData_ClimateZones[[#Headers],[Climate zone]], 0)</f>
        <v>999999</v>
      </c>
    </row>
    <row r="95" spans="4:19" ht="20.100000000000001" customHeight="1" x14ac:dyDescent="0.25">
      <c r="D95" s="11" t="str" cm="1">
        <f t="array" ref="D95">Common_InputFunctions.Utility_DisplayArrayInTable(Common_SourceData.Common_SourceData_ClimateZones_Data(), Table_SourceData_ClimateZones[[#Headers],[Climate zone]], 0)</f>
        <v>Warm temperate dry</v>
      </c>
      <c r="E95" s="11" t="str" cm="1">
        <f t="array" ref="E95">Common_InputFunctions.Utility_DisplayArrayInTable(Common_SourceData.Common_SourceData_ClimateZones_Data(), Table_SourceData_ClimateZones[[#Headers],[Climate zone]], 0)</f>
        <v>&gt; 10 C</v>
      </c>
      <c r="F95" s="11" t="str" cm="1">
        <f t="array" ref="F95">Common_InputFunctions.Utility_DisplayArrayInTable(Common_SourceData.Common_SourceData_ClimateZones_Data(), Table_SourceData_ClimateZones[[#Headers],[Climate zone]], 0)</f>
        <v>Any</v>
      </c>
      <c r="G95" s="11" t="str" cm="1">
        <f t="array" ref="G95">Common_InputFunctions.Utility_DisplayArrayInTable(Common_SourceData.Common_SourceData_ClimateZones_Data(), Table_SourceData_ClimateZones[[#Headers],[Climate zone]], 0)</f>
        <v>Any</v>
      </c>
      <c r="H95" s="11" t="str" cm="1">
        <f t="array" ref="H95">Common_InputFunctions.Utility_DisplayArrayInTable(Common_SourceData.Common_SourceData_ClimateZones_Data(), Table_SourceData_ClimateZones[[#Headers],[Climate zone]], 0)</f>
        <v>Any</v>
      </c>
      <c r="I95" s="11" t="str" cm="1">
        <f t="array" ref="I95">Common_InputFunctions.Utility_DisplayArrayInTable(Common_SourceData.Common_SourceData_ClimateZones_Data(), Table_SourceData_ClimateZones[[#Headers],[Climate zone]], 0)</f>
        <v>≤ 1</v>
      </c>
      <c r="J95" s="11" cm="1">
        <f t="array" ref="J95">Common_InputFunctions.Utility_DisplayArrayInTable(Common_SourceData.Common_SourceData_ClimateZones_Data(), Table_SourceData_ClimateZones[[#Headers],[Climate zone]], 0)</f>
        <v>10.000999999999999</v>
      </c>
      <c r="K95" s="11" cm="1">
        <f t="array" ref="K95">Common_InputFunctions.Utility_DisplayArrayInTable(Common_SourceData.Common_SourceData_ClimateZones_Data(), Table_SourceData_ClimateZones[[#Headers],[Climate zone]], 0)</f>
        <v>999999</v>
      </c>
      <c r="L95" s="11" cm="1">
        <f t="array" ref="L95">Common_InputFunctions.Utility_DisplayArrayInTable(Common_SourceData.Common_SourceData_ClimateZones_Data(), Table_SourceData_ClimateZones[[#Headers],[Climate zone]], 0)</f>
        <v>-999999</v>
      </c>
      <c r="M95" s="11" cm="1">
        <f t="array" ref="M95">Common_InputFunctions.Utility_DisplayArrayInTable(Common_SourceData.Common_SourceData_ClimateZones_Data(), Table_SourceData_ClimateZones[[#Headers],[Climate zone]], 0)</f>
        <v>999999</v>
      </c>
      <c r="N95" s="11" cm="1">
        <f t="array" ref="N95">Common_InputFunctions.Utility_DisplayArrayInTable(Common_SourceData.Common_SourceData_ClimateZones_Data(), Table_SourceData_ClimateZones[[#Headers],[Climate zone]], 0)</f>
        <v>-999999</v>
      </c>
      <c r="O95" s="11" cm="1">
        <f t="array" ref="O95">Common_InputFunctions.Utility_DisplayArrayInTable(Common_SourceData.Common_SourceData_ClimateZones_Data(), Table_SourceData_ClimateZones[[#Headers],[Climate zone]], 0)</f>
        <v>999999</v>
      </c>
      <c r="P95" s="11" cm="1">
        <f t="array" ref="P95">Common_InputFunctions.Utility_DisplayArrayInTable(Common_SourceData.Common_SourceData_ClimateZones_Data(), Table_SourceData_ClimateZones[[#Headers],[Climate zone]], 0)</f>
        <v>-999999</v>
      </c>
      <c r="Q95" s="11" cm="1">
        <f t="array" ref="Q95">Common_InputFunctions.Utility_DisplayArrayInTable(Common_SourceData.Common_SourceData_ClimateZones_Data(), Table_SourceData_ClimateZones[[#Headers],[Climate zone]], 0)</f>
        <v>999999</v>
      </c>
      <c r="R95" s="11" cm="1">
        <f t="array" ref="R95">Common_InputFunctions.Utility_DisplayArrayInTable(Common_SourceData.Common_SourceData_ClimateZones_Data(), Table_SourceData_ClimateZones[[#Headers],[Climate zone]], 0)</f>
        <v>-999999</v>
      </c>
      <c r="S95" s="11" cm="1">
        <f t="array" ref="S95">Common_InputFunctions.Utility_DisplayArrayInTable(Common_SourceData.Common_SourceData_ClimateZones_Data(), Table_SourceData_ClimateZones[[#Headers],[Climate zone]], 0)</f>
        <v>1</v>
      </c>
    </row>
    <row r="96" spans="4:19" ht="20.100000000000001" customHeight="1" x14ac:dyDescent="0.25">
      <c r="D96" s="11" t="str" cm="1">
        <f t="array" ref="D96">Common_InputFunctions.Utility_DisplayArrayInTable(Common_SourceData.Common_SourceData_ClimateZones_Data(), Table_SourceData_ClimateZones[[#Headers],[Climate zone]], 0)</f>
        <v>Cool temperate moist</v>
      </c>
      <c r="E96" s="11" t="str" cm="1">
        <f t="array" ref="E96">Common_InputFunctions.Utility_DisplayArrayInTable(Common_SourceData.Common_SourceData_ClimateZones_Data(), Table_SourceData_ClimateZones[[#Headers],[Climate zone]], 0)</f>
        <v>&gt; 0 C - ≤ 10 C</v>
      </c>
      <c r="F96" s="11" t="str" cm="1">
        <f t="array" ref="F96">Common_InputFunctions.Utility_DisplayArrayInTable(Common_SourceData.Common_SourceData_ClimateZones_Data(), Table_SourceData_ClimateZones[[#Headers],[Climate zone]], 0)</f>
        <v>Any</v>
      </c>
      <c r="G96" s="11" t="str" cm="1">
        <f t="array" ref="G96">Common_InputFunctions.Utility_DisplayArrayInTable(Common_SourceData.Common_SourceData_ClimateZones_Data(), Table_SourceData_ClimateZones[[#Headers],[Climate zone]], 0)</f>
        <v>Any</v>
      </c>
      <c r="H96" s="11" t="str" cm="1">
        <f t="array" ref="H96">Common_InputFunctions.Utility_DisplayArrayInTable(Common_SourceData.Common_SourceData_ClimateZones_Data(), Table_SourceData_ClimateZones[[#Headers],[Climate zone]], 0)</f>
        <v>Any</v>
      </c>
      <c r="I96" s="11" t="str" cm="1">
        <f t="array" ref="I96">Common_InputFunctions.Utility_DisplayArrayInTable(Common_SourceData.Common_SourceData_ClimateZones_Data(), Table_SourceData_ClimateZones[[#Headers],[Climate zone]], 0)</f>
        <v>&gt; 1</v>
      </c>
      <c r="J96" s="11" cm="1">
        <f t="array" ref="J96">Common_InputFunctions.Utility_DisplayArrayInTable(Common_SourceData.Common_SourceData_ClimateZones_Data(), Table_SourceData_ClimateZones[[#Headers],[Climate zone]], 0)</f>
        <v>-999999</v>
      </c>
      <c r="K96" s="11" cm="1">
        <f t="array" ref="K96">Common_InputFunctions.Utility_DisplayArrayInTable(Common_SourceData.Common_SourceData_ClimateZones_Data(), Table_SourceData_ClimateZones[[#Headers],[Climate zone]], 0)</f>
        <v>10</v>
      </c>
      <c r="L96" s="11" cm="1">
        <f t="array" ref="L96">Common_InputFunctions.Utility_DisplayArrayInTable(Common_SourceData.Common_SourceData_ClimateZones_Data(), Table_SourceData_ClimateZones[[#Headers],[Climate zone]], 0)</f>
        <v>-999999</v>
      </c>
      <c r="M96" s="11" cm="1">
        <f t="array" ref="M96">Common_InputFunctions.Utility_DisplayArrayInTable(Common_SourceData.Common_SourceData_ClimateZones_Data(), Table_SourceData_ClimateZones[[#Headers],[Climate zone]], 0)</f>
        <v>999999</v>
      </c>
      <c r="N96" s="11" cm="1">
        <f t="array" ref="N96">Common_InputFunctions.Utility_DisplayArrayInTable(Common_SourceData.Common_SourceData_ClimateZones_Data(), Table_SourceData_ClimateZones[[#Headers],[Climate zone]], 0)</f>
        <v>-999999</v>
      </c>
      <c r="O96" s="11" cm="1">
        <f t="array" ref="O96">Common_InputFunctions.Utility_DisplayArrayInTable(Common_SourceData.Common_SourceData_ClimateZones_Data(), Table_SourceData_ClimateZones[[#Headers],[Climate zone]], 0)</f>
        <v>999999</v>
      </c>
      <c r="P96" s="11" cm="1">
        <f t="array" ref="P96">Common_InputFunctions.Utility_DisplayArrayInTable(Common_SourceData.Common_SourceData_ClimateZones_Data(), Table_SourceData_ClimateZones[[#Headers],[Climate zone]], 0)</f>
        <v>-999999</v>
      </c>
      <c r="Q96" s="11" cm="1">
        <f t="array" ref="Q96">Common_InputFunctions.Utility_DisplayArrayInTable(Common_SourceData.Common_SourceData_ClimateZones_Data(), Table_SourceData_ClimateZones[[#Headers],[Climate zone]], 0)</f>
        <v>999999</v>
      </c>
      <c r="R96" s="11" cm="1">
        <f t="array" ref="R96">Common_InputFunctions.Utility_DisplayArrayInTable(Common_SourceData.Common_SourceData_ClimateZones_Data(), Table_SourceData_ClimateZones[[#Headers],[Climate zone]], 0)</f>
        <v>1.0009999999999999</v>
      </c>
      <c r="S96" s="11" cm="1">
        <f t="array" ref="S96">Common_InputFunctions.Utility_DisplayArrayInTable(Common_SourceData.Common_SourceData_ClimateZones_Data(), Table_SourceData_ClimateZones[[#Headers],[Climate zone]], 0)</f>
        <v>999999</v>
      </c>
    </row>
    <row r="97" spans="4:19" ht="20.100000000000001" customHeight="1" x14ac:dyDescent="0.25">
      <c r="D97" s="11" t="str" cm="1">
        <f t="array" ref="D97">Common_InputFunctions.Utility_DisplayArrayInTable(Common_SourceData.Common_SourceData_ClimateZones_Data(), Table_SourceData_ClimateZones[[#Headers],[Climate zone]], 0)</f>
        <v>Cool temperate dry</v>
      </c>
      <c r="E97" s="11" t="str" cm="1">
        <f t="array" ref="E97">Common_InputFunctions.Utility_DisplayArrayInTable(Common_SourceData.Common_SourceData_ClimateZones_Data(), Table_SourceData_ClimateZones[[#Headers],[Climate zone]], 0)</f>
        <v>&gt; 0 C - ≤ 10 C</v>
      </c>
      <c r="F97" s="11" t="str" cm="1">
        <f t="array" ref="F97">Common_InputFunctions.Utility_DisplayArrayInTable(Common_SourceData.Common_SourceData_ClimateZones_Data(), Table_SourceData_ClimateZones[[#Headers],[Climate zone]], 0)</f>
        <v>Any</v>
      </c>
      <c r="G97" s="11" t="str" cm="1">
        <f t="array" ref="G97">Common_InputFunctions.Utility_DisplayArrayInTable(Common_SourceData.Common_SourceData_ClimateZones_Data(), Table_SourceData_ClimateZones[[#Headers],[Climate zone]], 0)</f>
        <v>Any</v>
      </c>
      <c r="H97" s="11" t="str" cm="1">
        <f t="array" ref="H97">Common_InputFunctions.Utility_DisplayArrayInTable(Common_SourceData.Common_SourceData_ClimateZones_Data(), Table_SourceData_ClimateZones[[#Headers],[Climate zone]], 0)</f>
        <v>Any</v>
      </c>
      <c r="I97" s="11" t="str" cm="1">
        <f t="array" ref="I97">Common_InputFunctions.Utility_DisplayArrayInTable(Common_SourceData.Common_SourceData_ClimateZones_Data(), Table_SourceData_ClimateZones[[#Headers],[Climate zone]], 0)</f>
        <v>≤ 1</v>
      </c>
      <c r="J97" s="11" cm="1">
        <f t="array" ref="J97">Common_InputFunctions.Utility_DisplayArrayInTable(Common_SourceData.Common_SourceData_ClimateZones_Data(), Table_SourceData_ClimateZones[[#Headers],[Climate zone]], 0)</f>
        <v>-999999</v>
      </c>
      <c r="K97" s="11" cm="1">
        <f t="array" ref="K97">Common_InputFunctions.Utility_DisplayArrayInTable(Common_SourceData.Common_SourceData_ClimateZones_Data(), Table_SourceData_ClimateZones[[#Headers],[Climate zone]], 0)</f>
        <v>10</v>
      </c>
      <c r="L97" s="11" cm="1">
        <f t="array" ref="L97">Common_InputFunctions.Utility_DisplayArrayInTable(Common_SourceData.Common_SourceData_ClimateZones_Data(), Table_SourceData_ClimateZones[[#Headers],[Climate zone]], 0)</f>
        <v>-999999</v>
      </c>
      <c r="M97" s="11" cm="1">
        <f t="array" ref="M97">Common_InputFunctions.Utility_DisplayArrayInTable(Common_SourceData.Common_SourceData_ClimateZones_Data(), Table_SourceData_ClimateZones[[#Headers],[Climate zone]], 0)</f>
        <v>999999</v>
      </c>
      <c r="N97" s="11" cm="1">
        <f t="array" ref="N97">Common_InputFunctions.Utility_DisplayArrayInTable(Common_SourceData.Common_SourceData_ClimateZones_Data(), Table_SourceData_ClimateZones[[#Headers],[Climate zone]], 0)</f>
        <v>-999999</v>
      </c>
      <c r="O97" s="11" cm="1">
        <f t="array" ref="O97">Common_InputFunctions.Utility_DisplayArrayInTable(Common_SourceData.Common_SourceData_ClimateZones_Data(), Table_SourceData_ClimateZones[[#Headers],[Climate zone]], 0)</f>
        <v>999999</v>
      </c>
      <c r="P97" s="11" cm="1">
        <f t="array" ref="P97">Common_InputFunctions.Utility_DisplayArrayInTable(Common_SourceData.Common_SourceData_ClimateZones_Data(), Table_SourceData_ClimateZones[[#Headers],[Climate zone]], 0)</f>
        <v>-999999</v>
      </c>
      <c r="Q97" s="11" cm="1">
        <f t="array" ref="Q97">Common_InputFunctions.Utility_DisplayArrayInTable(Common_SourceData.Common_SourceData_ClimateZones_Data(), Table_SourceData_ClimateZones[[#Headers],[Climate zone]], 0)</f>
        <v>999999</v>
      </c>
      <c r="R97" s="11" cm="1">
        <f t="array" ref="R97">Common_InputFunctions.Utility_DisplayArrayInTable(Common_SourceData.Common_SourceData_ClimateZones_Data(), Table_SourceData_ClimateZones[[#Headers],[Climate zone]], 0)</f>
        <v>-999999</v>
      </c>
      <c r="S97" s="11" cm="1">
        <f t="array" ref="S97">Common_InputFunctions.Utility_DisplayArrayInTable(Common_SourceData.Common_SourceData_ClimateZones_Data(), Table_SourceData_ClimateZones[[#Headers],[Climate zone]], 0)</f>
        <v>1</v>
      </c>
    </row>
    <row r="98" spans="4:19" ht="20.100000000000001" customHeight="1" x14ac:dyDescent="0.25">
      <c r="D98" s="12" t="str" cm="1">
        <f t="array" ref="D98:D101">Common_SourceData.Common_SourceData_ClimateZones_Appendices()</f>
        <v>Note:</v>
      </c>
    </row>
    <row r="99" spans="4:19" ht="20.100000000000001" customHeight="1" x14ac:dyDescent="0.25">
      <c r="D99" s="12" t="str">
        <v>MAT = mean annual temperature</v>
      </c>
    </row>
    <row r="100" spans="4:19" ht="20.100000000000001" customHeight="1" x14ac:dyDescent="0.25">
      <c r="D100" s="12" t="str">
        <v>MAP = mean annual precipitation</v>
      </c>
    </row>
    <row r="101" spans="4:19" ht="20.100000000000001" customHeight="1" x14ac:dyDescent="0.25">
      <c r="D101" s="12" t="str">
        <v>PET = potential evapotranspiration</v>
      </c>
    </row>
    <row r="102" spans="4:19" ht="20.100000000000001" customHeight="1" x14ac:dyDescent="0.25">
      <c r="D102" s="12"/>
    </row>
    <row r="103" spans="4:19" ht="20.100000000000001" customHeight="1" x14ac:dyDescent="0.25"/>
    <row r="104" spans="4:19" ht="20.100000000000001" customHeight="1" x14ac:dyDescent="0.25"/>
    <row r="105" spans="4:19" ht="20.100000000000001" customHeight="1" x14ac:dyDescent="0.25">
      <c r="D105" s="5" t="str" cm="1">
        <f t="array" ref="D105">Common_SourceData.Common_SourceData_TemperatureZones_Title()</f>
        <v>VEERG Australian temperature zones</v>
      </c>
    </row>
    <row r="106" spans="4:19" ht="20.100000000000001" customHeight="1" x14ac:dyDescent="0.25">
      <c r="D106" s="4" t="str" cm="1">
        <f t="array" ref="D106">Common_SourceData.Common_SourceData_TemperatureZones_Source()</f>
        <v>VEERG 2026: Table 1.3: Climate and Rainfall zone classifications and definitions</v>
      </c>
    </row>
    <row r="107" spans="4:19" ht="20.100000000000001" customHeight="1" x14ac:dyDescent="0.25">
      <c r="D107" s="13" t="str" cm="1">
        <f t="array" ref="D107">"⚠️" &amp; Common_SourceData.Common_SourceData_TemperatureZones_Variation()</f>
        <v>⚠️VARIATION OF SOURCE DATA: Added extra MAT min and MAT max columns to calculate zone from real temperature data.</v>
      </c>
    </row>
    <row r="108" spans="4:19" ht="20.100000000000001" customHeight="1" x14ac:dyDescent="0.25"/>
    <row r="109" spans="4:19" ht="20.100000000000001" customHeight="1" x14ac:dyDescent="0.25">
      <c r="D109" s="11" t="s">
        <v>27</v>
      </c>
      <c r="E109" s="11" t="s">
        <v>11</v>
      </c>
      <c r="F109" s="11" t="s">
        <v>28</v>
      </c>
      <c r="G109" s="11" t="s">
        <v>29</v>
      </c>
    </row>
    <row r="110" spans="4:19" ht="20.100000000000001" customHeight="1" x14ac:dyDescent="0.25">
      <c r="D110" s="11" t="str" cm="1">
        <f t="array" ref="D110">Common_InputFunctions.Utility_DisplayArrayInTable(Common_SourceData.Common_SourceData_TemperatureZones_Data(),Table_SourceData_TemperatureZones[[#Headers],[Temperature Zone]],0)</f>
        <v>Warm</v>
      </c>
      <c r="E110" s="11" t="str" cm="1">
        <f t="array" ref="E110">Common_InputFunctions.Utility_DisplayArrayInTable(Common_SourceData.Common_SourceData_TemperatureZones_Data(),Table_SourceData_TemperatureZones[[#Headers],[Temperature Zone]],0)</f>
        <v>≥ 26 C</v>
      </c>
      <c r="F110" s="11" cm="1">
        <f t="array" ref="F110">Common_InputFunctions.Utility_DisplayArrayInTable(Common_SourceData.Common_SourceData_TemperatureZones_Data(),Table_SourceData_TemperatureZones[[#Headers],[Temperature Zone]],0)</f>
        <v>26</v>
      </c>
      <c r="G110" s="11" cm="1">
        <f t="array" ref="G110">Common_InputFunctions.Utility_DisplayArrayInTable(Common_SourceData.Common_SourceData_TemperatureZones_Data(),Table_SourceData_TemperatureZones[[#Headers],[Temperature Zone]],0)</f>
        <v>999999</v>
      </c>
    </row>
    <row r="111" spans="4:19" ht="20.100000000000001" customHeight="1" x14ac:dyDescent="0.25">
      <c r="D111" s="11" t="str" cm="1">
        <f t="array" ref="D111">Common_InputFunctions.Utility_DisplayArrayInTable(Common_SourceData.Common_SourceData_TemperatureZones_Data(),Table_SourceData_TemperatureZones[[#Headers],[Temperature Zone]],0)</f>
        <v>Temperate</v>
      </c>
      <c r="E111" s="11" t="str" cm="1">
        <f t="array" ref="E111">Common_InputFunctions.Utility_DisplayArrayInTable(Common_SourceData.Common_SourceData_TemperatureZones_Data(),Table_SourceData_TemperatureZones[[#Headers],[Temperature Zone]],0)</f>
        <v>15 - 25 C</v>
      </c>
      <c r="F111" s="11" cm="1">
        <f t="array" ref="F111">Common_InputFunctions.Utility_DisplayArrayInTable(Common_SourceData.Common_SourceData_TemperatureZones_Data(),Table_SourceData_TemperatureZones[[#Headers],[Temperature Zone]],0)</f>
        <v>15</v>
      </c>
      <c r="G111" s="11" cm="1">
        <f t="array" ref="G111">Common_InputFunctions.Utility_DisplayArrayInTable(Common_SourceData.Common_SourceData_TemperatureZones_Data(),Table_SourceData_TemperatureZones[[#Headers],[Temperature Zone]],0)</f>
        <v>25.998999999999999</v>
      </c>
    </row>
    <row r="112" spans="4:19" ht="20.100000000000001" customHeight="1" x14ac:dyDescent="0.25">
      <c r="D112" s="11" t="str" cm="1">
        <f t="array" ref="D112">Common_InputFunctions.Utility_DisplayArrayInTable(Common_SourceData.Common_SourceData_TemperatureZones_Data(),Table_SourceData_TemperatureZones[[#Headers],[Temperature Zone]],0)</f>
        <v>Cool</v>
      </c>
      <c r="E112" s="11" t="str" cm="1">
        <f t="array" ref="E112">Common_InputFunctions.Utility_DisplayArrayInTable(Common_SourceData.Common_SourceData_TemperatureZones_Data(),Table_SourceData_TemperatureZones[[#Headers],[Temperature Zone]],0)</f>
        <v>≤ 14 C</v>
      </c>
      <c r="F112" s="11" cm="1">
        <f t="array" ref="F112">Common_InputFunctions.Utility_DisplayArrayInTable(Common_SourceData.Common_SourceData_TemperatureZones_Data(),Table_SourceData_TemperatureZones[[#Headers],[Temperature Zone]],0)</f>
        <v>-999999</v>
      </c>
      <c r="G112" s="11" cm="1">
        <f t="array" ref="G112">Common_InputFunctions.Utility_DisplayArrayInTable(Common_SourceData.Common_SourceData_TemperatureZones_Data(),Table_SourceData_TemperatureZones[[#Headers],[Temperature Zone]],0)</f>
        <v>14.999000000000001</v>
      </c>
    </row>
    <row r="113" spans="4:65" ht="20.100000000000001" customHeight="1" x14ac:dyDescent="0.25"/>
    <row r="114" spans="4:65" ht="20.100000000000001" customHeight="1" x14ac:dyDescent="0.25"/>
    <row r="115" spans="4:65" ht="20.100000000000001" customHeight="1" x14ac:dyDescent="0.25">
      <c r="D115" s="5" t="str" cm="1">
        <f t="array" ref="D115">Common_SourceData.Common_SourceData_RainfallZones_Title()</f>
        <v>VEERG Australian rainfall zones</v>
      </c>
      <c r="BM115" s="6"/>
    </row>
    <row r="116" spans="4:65" ht="20.100000000000001" customHeight="1" x14ac:dyDescent="0.25">
      <c r="D116" s="4" t="str" cm="1">
        <f t="array" ref="D116">Common_SourceData.Common_SourceData_RainfallZones_Source()</f>
        <v>VEERG 2026: Table 1.3: Climate and Rainfall zone classifications and definitions</v>
      </c>
      <c r="BM116" s="6"/>
    </row>
    <row r="117" spans="4:65" ht="20.100000000000001" customHeight="1" x14ac:dyDescent="0.25">
      <c r="D117" s="13" t="str" cm="1">
        <f t="array" ref="D117">"⚠️" &amp; Common_SourceData.Common_SourceData_RainfallZones_Variation()</f>
        <v>⚠️VARIATION OF SOURCE DATA: Added extra Rainfall min and Rainfall max columns to calculate zone from real rainfall data.</v>
      </c>
      <c r="BM117" s="6"/>
    </row>
    <row r="118" spans="4:65" ht="20.100000000000001" customHeight="1" x14ac:dyDescent="0.25">
      <c r="BM118" s="6"/>
    </row>
    <row r="119" spans="4:65" ht="20.100000000000001" customHeight="1" x14ac:dyDescent="0.25">
      <c r="D119" s="11" t="s">
        <v>30</v>
      </c>
      <c r="E119" s="11" t="s">
        <v>31</v>
      </c>
      <c r="F119" s="11" t="s">
        <v>18</v>
      </c>
      <c r="G119" s="11" t="s">
        <v>19</v>
      </c>
      <c r="BM119" s="6"/>
    </row>
    <row r="120" spans="4:65" ht="20.100000000000001" customHeight="1" x14ac:dyDescent="0.25">
      <c r="D120" s="11" t="str" cm="1">
        <f t="array" ref="D120">Common_InputFunctions.Utility_DisplayArrayInTable(Common_SourceData.Common_SourceData_RainfallZones_Data(),Table_SourceData_RainfallZones[[#Headers],[Rainfall Zone]],0)</f>
        <v>High rainfall</v>
      </c>
      <c r="E120" s="11" t="str" cm="1">
        <f t="array" ref="E120">Common_InputFunctions.Utility_DisplayArrayInTable(Common_SourceData.Common_SourceData_RainfallZones_Data(),Table_SourceData_RainfallZones[[#Headers],[Rainfall Zone]],0)</f>
        <v>Annual rainfall &gt; 600mm</v>
      </c>
      <c r="F120" s="11" cm="1">
        <f t="array" ref="F120">Common_InputFunctions.Utility_DisplayArrayInTable(Common_SourceData.Common_SourceData_RainfallZones_Data(),Table_SourceData_RainfallZones[[#Headers],[Rainfall Zone]],0)</f>
        <v>600.00099999999998</v>
      </c>
      <c r="G120" s="11" cm="1">
        <f t="array" ref="G120">Common_InputFunctions.Utility_DisplayArrayInTable(Common_SourceData.Common_SourceData_RainfallZones_Data(),Table_SourceData_RainfallZones[[#Headers],[Rainfall Zone]],0)</f>
        <v>999999</v>
      </c>
      <c r="BM120" s="6"/>
    </row>
    <row r="121" spans="4:65" ht="20.100000000000001" customHeight="1" x14ac:dyDescent="0.25">
      <c r="D121" s="11" t="str" cm="1">
        <f t="array" ref="D121">Common_InputFunctions.Utility_DisplayArrayInTable(Common_SourceData.Common_SourceData_RainfallZones_Data(),Table_SourceData_RainfallZones[[#Headers],[Rainfall Zone]],0)</f>
        <v>Low rainfall</v>
      </c>
      <c r="E121" s="11" t="str" cm="1">
        <f t="array" ref="E121">Common_InputFunctions.Utility_DisplayArrayInTable(Common_SourceData.Common_SourceData_RainfallZones_Data(),Table_SourceData_RainfallZones[[#Headers],[Rainfall Zone]],0)</f>
        <v>Annual rainfall ≤ 600mm</v>
      </c>
      <c r="F121" s="11" cm="1">
        <f t="array" ref="F121">Common_InputFunctions.Utility_DisplayArrayInTable(Common_SourceData.Common_SourceData_RainfallZones_Data(),Table_SourceData_RainfallZones[[#Headers],[Rainfall Zone]],0)</f>
        <v>-999999</v>
      </c>
      <c r="G121" s="11" cm="1">
        <f t="array" ref="G121">Common_InputFunctions.Utility_DisplayArrayInTable(Common_SourceData.Common_SourceData_RainfallZones_Data(),Table_SourceData_RainfallZones[[#Headers],[Rainfall Zone]],0)</f>
        <v>600</v>
      </c>
      <c r="BM121" s="6"/>
    </row>
    <row r="122" spans="4:65" ht="20.100000000000001" customHeight="1" x14ac:dyDescent="0.25">
      <c r="BM122" s="6"/>
    </row>
    <row r="123" spans="4:65" ht="20.100000000000001" customHeight="1" x14ac:dyDescent="0.25"/>
    <row r="124" spans="4:65" ht="20.100000000000001" customHeight="1" x14ac:dyDescent="0.25">
      <c r="D124" s="5" t="str" cm="1">
        <f t="array" ref="D124">Common_SourceData.Common_SourceData_LeachingZones_Title()</f>
        <v>VEERG Australian leaching zones</v>
      </c>
    </row>
    <row r="125" spans="4:65" ht="20.100000000000001" customHeight="1" x14ac:dyDescent="0.25">
      <c r="D125" s="4" t="str" cm="1">
        <f t="array" ref="D125">Common_SourceData.Common_SourceData_LeachingZones_Source()</f>
        <v>VEERG 2026: Table 1.3: Climate and Rainfall zone classifications and definitions</v>
      </c>
    </row>
    <row r="126" spans="4:65" ht="20.100000000000001" customHeight="1" x14ac:dyDescent="0.25"/>
    <row r="127" spans="4:65" ht="20.100000000000001" customHeight="1" x14ac:dyDescent="0.25">
      <c r="D127" s="11" t="s">
        <v>32</v>
      </c>
      <c r="E127" s="11" t="s">
        <v>33</v>
      </c>
    </row>
    <row r="128" spans="4:65" ht="20.100000000000001" customHeight="1" x14ac:dyDescent="0.25">
      <c r="D128" s="11" t="str" cm="1">
        <f t="array" ref="D128">Common_InputFunctions.Utility_DisplayArrayInTable(Common_SourceData.Common_SourceData_LeachingZones_Data(), Table_SourceData_LeachingZones[[#Headers],[Leaching Zone]], 0)</f>
        <v>Leaching occurs</v>
      </c>
      <c r="E128" s="11" t="str" cm="1">
        <f t="array" ref="E128">Common_InputFunctions.Utility_DisplayArrayInTable(Common_SourceData.Common_SourceData_LeachingZones_Data(), Table_SourceData_LeachingZones[[#Headers],[Leaching Zone]], 0)</f>
        <v>Σ(𝑟𝑎𝑖𝑛)&gt;Σ(𝐸𝑇0)+𝑠𝑜𝑖𝑙 𝑤𝑎𝑡𝑒𝑟 ℎ𝑜𝑙𝑑𝑖𝑛𝑔 𝑐𝑎𝑝𝑎𝑐𝑖𝑡𝑦</v>
      </c>
    </row>
    <row r="129" spans="4:76" ht="20.100000000000001" customHeight="1" x14ac:dyDescent="0.25">
      <c r="D129" s="11" t="str" cm="1">
        <f t="array" ref="D129">Common_InputFunctions.Utility_DisplayArrayInTable(Common_SourceData.Common_SourceData_LeachingZones_Data(), Table_SourceData_LeachingZones[[#Headers],[Leaching Zone]], 0)</f>
        <v>Leaching does not occur</v>
      </c>
      <c r="E129" s="11" t="str" cm="1">
        <f t="array" ref="E129">Common_InputFunctions.Utility_DisplayArrayInTable(Common_SourceData.Common_SourceData_LeachingZones_Data(), Table_SourceData_LeachingZones[[#Headers],[Leaching Zone]], 0)</f>
        <v>Σ(𝑟𝑎𝑖𝑛)≤Σ(𝐸𝑇0)+𝑠𝑜𝑖𝑙 𝑤𝑎𝑡𝑒𝑟 ℎ𝑜𝑙𝑑𝑖𝑛𝑔 𝑐𝑎𝑝𝑎𝑐𝑖𝑡𝑦</v>
      </c>
    </row>
    <row r="130" spans="4:76" ht="20.100000000000001" customHeight="1" x14ac:dyDescent="0.25"/>
    <row r="131" spans="4:76" ht="20.100000000000001" customHeight="1" x14ac:dyDescent="0.25"/>
    <row r="132" spans="4:76" ht="20.100000000000001" customHeight="1" x14ac:dyDescent="0.25">
      <c r="D132" s="5" t="str" cm="1">
        <f t="array" ref="D132">Common_SourceData.Common_SourceData_FracWET_Title()</f>
        <v>Fraction of N that is available for leaching and runoff</v>
      </c>
      <c r="E132" s="10"/>
    </row>
    <row r="133" spans="4:76" ht="20.100000000000001" customHeight="1" x14ac:dyDescent="0.25">
      <c r="D133" s="4" t="str" cm="1">
        <f t="array" ref="D133">Common_SourceData.Common_SourceData_FracWET_Source()</f>
        <v>VEERG 2026:5.5.2.3 Constant Parameters</v>
      </c>
      <c r="E133" s="10"/>
    </row>
    <row r="134" spans="4:76" ht="20.100000000000001" customHeight="1" x14ac:dyDescent="0.25">
      <c r="D134" t="s">
        <v>37</v>
      </c>
      <c r="E134" t="s">
        <v>38</v>
      </c>
    </row>
    <row r="135" spans="4:76" ht="20.100000000000001" customHeight="1" x14ac:dyDescent="0.25">
      <c r="D135" t="str" cm="1">
        <f t="array" ref="D135">Common_InputFunctions.Utility_DisplayArrayInTable(Common_SourceData.Common_SourceData_FracWET_Data(),Table_SourceData_FracWET[[#Headers],[Is in leaching zone]],0)</f>
        <v>Yes - in leaching zone</v>
      </c>
      <c r="E135" cm="1">
        <f t="array" ref="E135">Common_InputFunctions.Utility_DisplayArrayInTable(Common_SourceData.Common_SourceData_FracWET_Data(),Table_SourceData_FracWET[[#Headers],[Is in leaching zone]],0)</f>
        <v>1</v>
      </c>
    </row>
    <row r="136" spans="4:76" ht="20.100000000000001" customHeight="1" x14ac:dyDescent="0.25">
      <c r="D136" s="1" t="str" cm="1">
        <f t="array" ref="D136">Common_InputFunctions.Utility_DisplayArrayInTable(Common_SourceData.Common_SourceData_FracWET_Data(),Table_SourceData_FracWET[[#Headers],[Is in leaching zone]],0)</f>
        <v>No - not in leaching zone</v>
      </c>
      <c r="E136" s="11" cm="1">
        <f t="array" ref="E136">Common_InputFunctions.Utility_DisplayArrayInTable(Common_SourceData.Common_SourceData_FracWET_Data(),Table_SourceData_FracWET[[#Headers],[Is in leaching zone]],0)</f>
        <v>0</v>
      </c>
    </row>
    <row r="137" spans="4:76" ht="20.100000000000001" customHeight="1" x14ac:dyDescent="0.25"/>
    <row r="138" spans="4:76" ht="20.100000000000001" customHeight="1" x14ac:dyDescent="0.25">
      <c r="BM138" s="6"/>
      <c r="BN138" s="6"/>
      <c r="BO138" s="6"/>
      <c r="BP138" s="6"/>
      <c r="BQ138" s="6"/>
      <c r="BR138" s="6"/>
      <c r="BS138" s="6"/>
      <c r="BT138" s="6"/>
      <c r="BU138" s="6"/>
      <c r="BV138" s="6"/>
      <c r="BW138" s="6"/>
      <c r="BX138" s="6"/>
    </row>
    <row r="139" spans="4:76" ht="20.100000000000001" customHeight="1" x14ac:dyDescent="0.25">
      <c r="D139" s="5" t="str" cm="1">
        <f t="array" ref="D139">Common_SourceData.Common_SourceData_FracWETIrrigation_Title()</f>
        <v>FracWET for irrigation types</v>
      </c>
      <c r="BM139" s="6"/>
      <c r="BN139" s="6"/>
      <c r="BO139" s="6"/>
      <c r="BP139" s="6"/>
      <c r="BQ139" s="6"/>
      <c r="BR139" s="6"/>
      <c r="BS139" s="6"/>
      <c r="BT139" s="6"/>
      <c r="BU139" s="6"/>
      <c r="BV139" s="6"/>
      <c r="BW139" s="6"/>
      <c r="BX139" s="6"/>
    </row>
    <row r="140" spans="4:76" ht="20.100000000000001" customHeight="1" x14ac:dyDescent="0.25">
      <c r="D140" s="4" t="str" cm="1">
        <f t="array" ref="D140">Common_SourceData.Common_SourceData_FracWETIrrigation_Source()</f>
        <v>VEERG 2026: Chapter 1, section 1.8.2 Leaching, climate and rainfall zones</v>
      </c>
      <c r="BM140" s="6"/>
      <c r="BN140" s="6"/>
      <c r="BO140" s="6"/>
      <c r="BP140" s="6"/>
      <c r="BQ140" s="6"/>
      <c r="BR140" s="6"/>
      <c r="BS140" s="6"/>
      <c r="BT140" s="6"/>
      <c r="BU140" s="6"/>
      <c r="BV140" s="6"/>
      <c r="BW140" s="6"/>
      <c r="BX140" s="6"/>
    </row>
    <row r="141" spans="4:76" ht="20.100000000000001" customHeight="1" x14ac:dyDescent="0.25">
      <c r="D141" s="13" t="str" cm="1">
        <f t="array" ref="D141">Common_SourceData.Common_SourceData_FracWETIrrigation_Variation()</f>
        <v>VARIATION FROM SOURCE DATA: Table created based on VEERG text 'Areas are subject to leaching (i.e., in the leaching zone) when... the land is irrigated (except drip irrigation).'</v>
      </c>
      <c r="BM141" s="6"/>
    </row>
    <row r="142" spans="4:76" ht="20.100000000000001" customHeight="1" x14ac:dyDescent="0.25">
      <c r="D142" s="14" t="s">
        <v>46</v>
      </c>
      <c r="E142" s="14" t="s">
        <v>38</v>
      </c>
      <c r="BM142" s="6"/>
    </row>
    <row r="143" spans="4:76" ht="20.100000000000001" customHeight="1" x14ac:dyDescent="0.25">
      <c r="D143" s="14" t="str" cm="1">
        <f t="array" ref="D143">Common_InputFunctions.Utility_DisplayArrayInTable(Common_SourceData.Common_SourceData_FracWETIrrigation_Data(), Table_SourceData_FracWETIrrigation[[#Headers],[Irrigation type i]], 0)</f>
        <v>Not irrigated</v>
      </c>
      <c r="E143" s="14" cm="1">
        <f t="array" ref="E143">Common_InputFunctions.Utility_DisplayArrayInTable(Common_SourceData.Common_SourceData_FracWETIrrigation_Data(), Table_SourceData_FracWETIrrigation[[#Headers],[Irrigation type i]], 0)</f>
        <v>0</v>
      </c>
      <c r="BM143" s="6"/>
    </row>
    <row r="144" spans="4:76" ht="20.100000000000001" customHeight="1" x14ac:dyDescent="0.25">
      <c r="D144" s="1" t="str" cm="1">
        <f t="array" ref="D144">Common_InputFunctions.Utility_DisplayArrayInTable(Common_SourceData.Common_SourceData_FracWETIrrigation_Data(), Table_SourceData_FracWETIrrigation[[#Headers],[Irrigation type i]], 0)</f>
        <v>Drip irrigation</v>
      </c>
      <c r="E144" s="11" cm="1">
        <f t="array" ref="E144">Common_InputFunctions.Utility_DisplayArrayInTable(Common_SourceData.Common_SourceData_FracWETIrrigation_Data(), Table_SourceData_FracWETIrrigation[[#Headers],[Irrigation type i]], 0)</f>
        <v>0</v>
      </c>
      <c r="BM144" s="6"/>
    </row>
    <row r="145" spans="4:65" ht="20.100000000000001" customHeight="1" x14ac:dyDescent="0.25">
      <c r="D145" s="1" t="str" cm="1">
        <f t="array" ref="D145">Common_InputFunctions.Utility_DisplayArrayInTable(Common_SourceData.Common_SourceData_FracWETIrrigation_Data(), Table_SourceData_FracWETIrrigation[[#Headers],[Irrigation type i]], 0)</f>
        <v>Sprinkler irrigation</v>
      </c>
      <c r="E145" s="11" cm="1">
        <f t="array" ref="E145">Common_InputFunctions.Utility_DisplayArrayInTable(Common_SourceData.Common_SourceData_FracWETIrrigation_Data(), Table_SourceData_FracWETIrrigation[[#Headers],[Irrigation type i]], 0)</f>
        <v>1</v>
      </c>
      <c r="BM145" s="6"/>
    </row>
    <row r="146" spans="4:65" ht="20.100000000000001" customHeight="1" x14ac:dyDescent="0.25">
      <c r="D146" s="1" t="str" cm="1">
        <f t="array" ref="D146">Common_InputFunctions.Utility_DisplayArrayInTable(Common_SourceData.Common_SourceData_FracWETIrrigation_Data(), Table_SourceData_FracWETIrrigation[[#Headers],[Irrigation type i]], 0)</f>
        <v>Surface irrigation</v>
      </c>
      <c r="E146" s="11" cm="1">
        <f t="array" ref="E146">Common_InputFunctions.Utility_DisplayArrayInTable(Common_SourceData.Common_SourceData_FracWETIrrigation_Data(), Table_SourceData_FracWETIrrigation[[#Headers],[Irrigation type i]], 0)</f>
        <v>1</v>
      </c>
      <c r="BM146" s="6"/>
    </row>
    <row r="147" spans="4:65" ht="20.100000000000001" customHeight="1" x14ac:dyDescent="0.25">
      <c r="D147" s="1" t="str" cm="1">
        <f t="array" ref="D147">Common_InputFunctions.Utility_DisplayArrayInTable(Common_SourceData.Common_SourceData_FracWETIrrigation_Data(), Table_SourceData_FracWETIrrigation[[#Headers],[Irrigation type i]], 0)</f>
        <v>Other irrigation</v>
      </c>
      <c r="E147" s="11" cm="1">
        <f t="array" ref="E147">Common_InputFunctions.Utility_DisplayArrayInTable(Common_SourceData.Common_SourceData_FracWETIrrigation_Data(), Table_SourceData_FracWETIrrigation[[#Headers],[Irrigation type i]], 0)</f>
        <v>1</v>
      </c>
      <c r="BM147" s="6"/>
    </row>
    <row r="148" spans="4:65" ht="20.100000000000001" customHeight="1" x14ac:dyDescent="0.25">
      <c r="BM148" s="6"/>
    </row>
    <row r="149" spans="4:65" ht="20.100000000000001" customHeight="1" x14ac:dyDescent="0.25">
      <c r="BM149" s="6"/>
    </row>
    <row r="150" spans="4:65" ht="20.100000000000001" customHeight="1" x14ac:dyDescent="0.25">
      <c r="D150" s="5" t="str" cm="1">
        <f t="array" ref="D150">Common_SourceData.Common_SourceData_DataScores_Scope3_Title()</f>
        <v>Australian data scores for scope 3</v>
      </c>
      <c r="BM150" s="6"/>
    </row>
    <row r="151" spans="4:65" ht="20.100000000000001" customHeight="1" x14ac:dyDescent="0.25">
      <c r="D151" s="4" t="str" cm="1">
        <f t="array" ref="D151">Common_SourceData.Common_SourceData_DataScores_Scope3_Source()</f>
        <v>VEERG 2026: XXXXXXXX</v>
      </c>
      <c r="BM151" s="6"/>
    </row>
    <row r="152" spans="4:65" ht="20.100000000000001" customHeight="1" x14ac:dyDescent="0.25">
      <c r="BM152" s="6"/>
    </row>
    <row r="153" spans="4:65" ht="20.100000000000001" customHeight="1" x14ac:dyDescent="0.25">
      <c r="D153" s="11" t="s">
        <v>34</v>
      </c>
      <c r="E153" s="11" t="s">
        <v>35</v>
      </c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</row>
    <row r="154" spans="4:65" ht="20.100000000000001" customHeight="1" x14ac:dyDescent="0.25">
      <c r="D154" s="11" t="str" cm="1">
        <f t="array" ref="D154">Common_InputFunctions.Utility_DisplayArrayInTable(Common_SourceData.Common_SourceData_DataScores_Scope3_Data(), Table_SourceData_DataScores_Scope3[[#Headers],[Data source]], 0)</f>
        <v>International scope 3 database</v>
      </c>
      <c r="E154" s="11" cm="1">
        <f t="array" ref="E154">Common_InputFunctions.Utility_DisplayArrayInTable(Common_SourceData.Common_SourceData_DataScores_Scope3_Data(), Table_SourceData_DataScores_Scope3[[#Headers],[Data source]], 0)</f>
        <v>1</v>
      </c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</row>
    <row r="155" spans="4:65" ht="20.100000000000001" customHeight="1" x14ac:dyDescent="0.25">
      <c r="D155" s="11" t="str" cm="1">
        <f t="array" ref="D155">Common_InputFunctions.Utility_DisplayArrayInTable(Common_SourceData.Common_SourceData_DataScores_Scope3_Data(), Table_SourceData_DataScores_Scope3[[#Headers],[Data source]], 0)</f>
        <v>Australian scope 3 database</v>
      </c>
      <c r="E155" s="11" cm="1">
        <f t="array" ref="E155">Common_InputFunctions.Utility_DisplayArrayInTable(Common_SourceData.Common_SourceData_DataScores_Scope3_Data(), Table_SourceData_DataScores_Scope3[[#Headers],[Data source]], 0)</f>
        <v>2</v>
      </c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</row>
    <row r="156" spans="4:65" ht="20.100000000000001" customHeight="1" x14ac:dyDescent="0.25">
      <c r="D156" s="11" t="str" cm="1">
        <f t="array" ref="D156">Common_InputFunctions.Utility_DisplayArrayInTable(Common_SourceData.Common_SourceData_DataScores_Scope3_Data(), Table_SourceData_DataScores_Scope3[[#Headers],[Data source]], 0)</f>
        <v>State or regional scope 3 database</v>
      </c>
      <c r="E156" s="11" cm="1">
        <f t="array" ref="E156">Common_InputFunctions.Utility_DisplayArrayInTable(Common_SourceData.Common_SourceData_DataScores_Scope3_Data(), Table_SourceData_DataScores_Scope3[[#Headers],[Data source]], 0)</f>
        <v>3</v>
      </c>
    </row>
    <row r="157" spans="4:65" ht="20.100000000000001" customHeight="1" x14ac:dyDescent="0.25">
      <c r="D157" s="11" t="str" cm="1">
        <f t="array" ref="D157">Common_InputFunctions.Utility_DisplayArrayInTable(Common_SourceData.Common_SourceData_DataScores_Scope3_Data(), Table_SourceData_DataScores_Scope3[[#Headers],[Data source]], 0)</f>
        <v>Emissions intensity calculated from approved method</v>
      </c>
      <c r="E157" s="11" cm="1">
        <f t="array" ref="E157">Common_InputFunctions.Utility_DisplayArrayInTable(Common_SourceData.Common_SourceData_DataScores_Scope3_Data(), Table_SourceData_DataScores_Scope3[[#Headers],[Data source]], 0)</f>
        <v>4</v>
      </c>
    </row>
    <row r="158" spans="4:65" ht="20.100000000000001" customHeight="1" x14ac:dyDescent="0.25">
      <c r="D158" s="11" t="str" cm="1">
        <f t="array" ref="D158">Common_InputFunctions.Utility_DisplayArrayInTable(Common_SourceData.Common_SourceData_DataScores_Scope3_Data(), Table_SourceData_DataScores_Scope3[[#Headers],[Data source]], 0)</f>
        <v>Verified credential matching ISO14067</v>
      </c>
      <c r="E158" s="11" cm="1">
        <f t="array" ref="E158">Common_InputFunctions.Utility_DisplayArrayInTable(Common_SourceData.Common_SourceData_DataScores_Scope3_Data(), Table_SourceData_DataScores_Scope3[[#Headers],[Data source]], 0)</f>
        <v>5</v>
      </c>
    </row>
    <row r="159" spans="4:65" ht="20.100000000000001" customHeight="1" x14ac:dyDescent="0.25"/>
    <row r="160" spans="4:65" ht="20.100000000000001" customHeight="1" x14ac:dyDescent="0.25"/>
    <row r="161" spans="4:67" ht="20.100000000000001" customHeight="1" x14ac:dyDescent="0.25">
      <c r="D161" s="5" t="str" cm="1">
        <f t="array" ref="D161">Common_SourceData.Common_SourceData_FracLEACH_Title()</f>
        <v>Fraction of N that is available for leaching and runoff</v>
      </c>
      <c r="E161" s="10"/>
    </row>
    <row r="162" spans="4:67" ht="20.100000000000001" customHeight="1" x14ac:dyDescent="0.25">
      <c r="D162" s="4" t="str" cm="1">
        <f t="array" ref="D162">Common_SourceData.Common_SourceData_FracLEACH_Source()</f>
        <v>VEERG 2026:5.5.2.3 Constant Parameters</v>
      </c>
      <c r="E162" s="10"/>
    </row>
    <row r="163" spans="4:67" ht="20.100000000000001" customHeight="1" x14ac:dyDescent="0.25">
      <c r="D163" s="4" t="str" cm="1">
        <f t="array" ref="D163">Common_SourceData.Common_SourceData_FracLEACH_NIRReference()</f>
        <v>National Inventory Report Volume 1: Leaching and runoff (3.D.b.2)</v>
      </c>
      <c r="E163" s="10"/>
    </row>
    <row r="164" spans="4:67" ht="20.100000000000001" customHeight="1" x14ac:dyDescent="0.25">
      <c r="D164" s="10" t="str" cm="1">
        <f t="array" ref="D164:E164">Common_SourceData.Common_SourceData_FracLEACH_Data()</f>
        <v>FracLEACH</v>
      </c>
      <c r="E164" s="10">
        <v>0.24</v>
      </c>
    </row>
    <row r="165" spans="4:67" ht="20.100000000000001" customHeight="1" x14ac:dyDescent="0.25">
      <c r="BM165" s="6"/>
      <c r="BN165" s="6"/>
      <c r="BO165" s="6"/>
    </row>
    <row r="166" spans="4:67" ht="20.100000000000001" customHeight="1" x14ac:dyDescent="0.25">
      <c r="BM166" s="6"/>
      <c r="BN166" s="6"/>
      <c r="BO166" s="6"/>
    </row>
    <row r="167" spans="4:67" ht="20.100000000000001" customHeight="1" x14ac:dyDescent="0.25">
      <c r="D167" s="5" t="str" cm="1">
        <f t="array" ref="D167">Common_SourceData.Common_SourceData_EFleach_Title()</f>
        <v>Emission factor for nitrogen leaching and runoff</v>
      </c>
      <c r="BM167" s="6"/>
      <c r="BN167" s="6"/>
      <c r="BO167" s="6"/>
    </row>
    <row r="168" spans="4:67" ht="20.100000000000001" customHeight="1" x14ac:dyDescent="0.25">
      <c r="D168" s="4" t="str" cm="1">
        <f t="array" ref="D168">Common_SourceData.Common_SourceData_EFleach_Source()</f>
        <v>VEERG 2026:5.5.2.3 Constant Parameters</v>
      </c>
      <c r="BM168" s="6"/>
      <c r="BN168" s="6"/>
      <c r="BO168" s="6"/>
    </row>
    <row r="169" spans="4:67" ht="20.100000000000001" customHeight="1" x14ac:dyDescent="0.25">
      <c r="D169" s="4" t="str" cm="1">
        <f t="array" ref="D169">Common_SourceData.Common_SourceData_EFleach_NIRReference()</f>
        <v>National Inventory Report Volume 1: Equation 3.D.B_10</v>
      </c>
      <c r="BM169" s="6"/>
      <c r="BN169" s="6"/>
      <c r="BO169" s="6"/>
    </row>
    <row r="170" spans="4:67" ht="20.100000000000001" customHeight="1" x14ac:dyDescent="0.25">
      <c r="D170" s="1" t="str" cm="1">
        <f t="array" ref="D170:E170">Common_SourceData.Common_SourceData_EFleach_Data()</f>
        <v>EFleach</v>
      </c>
      <c r="E170" s="1">
        <v>1.0999999999999999E-2</v>
      </c>
      <c r="BM170" s="6"/>
      <c r="BN170" s="6"/>
      <c r="BO170" s="6"/>
    </row>
    <row r="171" spans="4:67" ht="20.100000000000001" customHeight="1" x14ac:dyDescent="0.25">
      <c r="BM171" s="6"/>
      <c r="BN171" s="6"/>
      <c r="BO171" s="6"/>
    </row>
    <row r="172" spans="4:67" ht="20.100000000000001" customHeight="1" x14ac:dyDescent="0.25">
      <c r="BM172" s="6"/>
      <c r="BN172" s="6"/>
      <c r="BO172" s="6"/>
    </row>
    <row r="173" spans="4:67" ht="20.100000000000001" customHeight="1" x14ac:dyDescent="0.25">
      <c r="D173" s="5" t="str" cm="1">
        <f t="array" ref="D173">Common_SourceData.Common_SourceData_DensityOfMethane_Title()</f>
        <v>p = density of methane</v>
      </c>
      <c r="BM173" s="6"/>
      <c r="BN173" s="6"/>
      <c r="BO173" s="6"/>
    </row>
    <row r="174" spans="4:67" ht="20.100000000000001" customHeight="1" x14ac:dyDescent="0.25">
      <c r="D174" s="4" t="str" cm="1">
        <f t="array" ref="D174">Common_SourceData.Common_SourceData_DensityOfMethane_Source()</f>
        <v>National Inventory Report 2023 Volume 1: Equations 3.B.1a_2, 3.B.1c_2, 3.B.3_1, 3.B.4g_2</v>
      </c>
      <c r="BM174" s="6"/>
      <c r="BN174" s="6"/>
      <c r="BO174" s="6"/>
    </row>
    <row r="175" spans="4:67" ht="20.100000000000001" customHeight="1" x14ac:dyDescent="0.25">
      <c r="D175" s="1" cm="1">
        <f t="array" ref="D175">Common_SourceData.Common_SourceData_DensityOfMethane_Data()</f>
        <v>0.6784</v>
      </c>
      <c r="E175" s="12" t="str" cm="1">
        <f t="array" ref="E175">Common_SourceData.Common_SourceData_DensityOfMethane_Unit()</f>
        <v>kg/m3</v>
      </c>
      <c r="BM175" s="6"/>
      <c r="BN175" s="6"/>
      <c r="BO175" s="6"/>
    </row>
    <row r="176" spans="4:67" ht="20.100000000000001" customHeight="1" x14ac:dyDescent="0.25">
      <c r="BM176" s="6"/>
      <c r="BN176" s="6"/>
      <c r="BO176" s="6"/>
    </row>
    <row r="177" spans="4:67" ht="20.100000000000001" customHeight="1" x14ac:dyDescent="0.25">
      <c r="BM177" s="6"/>
      <c r="BN177" s="6"/>
      <c r="BO177" s="6"/>
    </row>
    <row r="178" spans="4:67" ht="20.100000000000001" customHeight="1" x14ac:dyDescent="0.25">
      <c r="D178" s="5" t="str" cm="1">
        <f t="array" ref="D178">Common_SourceData.Common_SourceData_EFN2O_Title()</f>
        <v>Nitrous oxide emission factors for inorganic fertiliser application</v>
      </c>
      <c r="BM178" s="6"/>
      <c r="BN178" s="6"/>
      <c r="BO178" s="6"/>
    </row>
    <row r="179" spans="4:67" ht="20.100000000000001" customHeight="1" x14ac:dyDescent="0.25">
      <c r="D179" s="4" t="str" cm="1">
        <f t="array" ref="D179">Common_SourceData.Common_SourceData_EFN2O_Source()</f>
        <v>VEERG 2026: Table A.2.2.1</v>
      </c>
      <c r="BM179" s="6"/>
      <c r="BN179" s="6"/>
      <c r="BO179" s="6"/>
    </row>
    <row r="180" spans="4:67" ht="20.100000000000001" customHeight="1" x14ac:dyDescent="0.25">
      <c r="D180" s="12" t="str" cm="1">
        <f t="array" ref="D180">Common_SourceData.Common_SourceData_EFN2O_Unit()</f>
        <v>(kg N2O-N / kg N</v>
      </c>
    </row>
    <row r="181" spans="4:67" ht="20.100000000000001" customHeight="1" x14ac:dyDescent="0.25">
      <c r="D181" s="13" t="str" cm="1">
        <f t="array" ref="D181:D185">Common_SourceData.Common_SourceData_EFN2O_Variation()</f>
        <v>VARIATION OF SOURCE DATA:</v>
      </c>
    </row>
    <row r="182" spans="4:67" ht="20.100000000000001" customHeight="1" x14ac:dyDescent="0.25">
      <c r="D182" s="13" t="str">
        <v>Removed duplicate 'Aquaculture' row.</v>
      </c>
    </row>
    <row r="183" spans="4:67" ht="20.100000000000001" customHeight="1" x14ac:dyDescent="0.25">
      <c r="D183" s="13" t="str">
        <v>Removed asterisks to aid lookup.</v>
      </c>
    </row>
    <row r="184" spans="4:67" ht="20.100000000000001" customHeight="1" x14ac:dyDescent="0.25">
      <c r="D184" s="13" t="str">
        <v>Added 'production system only', 'rainfall zone' and 'irrigation method' columns to aid lookup.</v>
      </c>
    </row>
    <row r="185" spans="4:67" ht="20.100000000000001" customHeight="1" x14ac:dyDescent="0.25">
      <c r="D185" s="13" t="str">
        <v>Duplicated 'non-irrigated pasture' row with same EF for low and high rainfall zones to aid lookup.</v>
      </c>
    </row>
    <row r="186" spans="4:67" ht="20.100000000000001" customHeight="1" x14ac:dyDescent="0.25">
      <c r="D186" s="11" t="s">
        <v>39</v>
      </c>
      <c r="E186" s="11" t="s">
        <v>40</v>
      </c>
      <c r="F186" s="11" t="s">
        <v>41</v>
      </c>
      <c r="G186" s="11" t="s">
        <v>42</v>
      </c>
      <c r="H186" s="11" t="s">
        <v>43</v>
      </c>
    </row>
    <row r="187" spans="4:67" ht="20.100000000000001" customHeight="1" x14ac:dyDescent="0.25">
      <c r="D187" s="11" t="str" cm="1">
        <f t="array" ref="D187">Common_InputFunctions.Utility_DisplayArrayInTable(Common_SourceData.Common_SourceData_EFN2O_Data(), Table_SourceData_Common_EFN2O[[#Headers],[Production system j]], 0)</f>
        <v>Irrigated pasture</v>
      </c>
      <c r="E187" s="11" cm="1">
        <f t="array" ref="E187">Common_InputFunctions.Utility_DisplayArrayInTable(Common_SourceData.Common_SourceData_EFN2O_Data(), Table_SourceData_Common_EFN2O[[#Headers],[Production system j]], 0)</f>
        <v>5.8999999999999999E-3</v>
      </c>
      <c r="F187" s="11" t="str" cm="1">
        <f t="array" ref="F187">Common_InputFunctions.Utility_DisplayArrayInTable(Common_SourceData.Common_SourceData_EFN2O_Data(), Table_SourceData_Common_EFN2O[[#Headers],[Production system j]], 0)</f>
        <v>Pasture</v>
      </c>
      <c r="G187" s="11" t="str" cm="1">
        <f t="array" ref="G187">Common_InputFunctions.Utility_DisplayArrayInTable(Common_SourceData.Common_SourceData_EFN2O_Data(), Table_SourceData_Common_EFN2O[[#Headers],[Production system j]], 0)</f>
        <v>Any</v>
      </c>
      <c r="H187" s="11" t="str" cm="1">
        <f t="array" ref="H187">Common_InputFunctions.Utility_DisplayArrayInTable(Common_SourceData.Common_SourceData_EFN2O_Data(), Table_SourceData_Common_EFN2O[[#Headers],[Production system j]], 0)</f>
        <v>Any</v>
      </c>
    </row>
    <row r="188" spans="4:67" ht="20.100000000000001" customHeight="1" x14ac:dyDescent="0.25">
      <c r="D188" s="11" t="str" cm="1">
        <f t="array" ref="D188">Common_InputFunctions.Utility_DisplayArrayInTable(Common_SourceData.Common_SourceData_EFN2O_Data(), Table_SourceData_Common_EFN2O[[#Headers],[Production system j]], 0)</f>
        <v>Irrigated crop</v>
      </c>
      <c r="E188" s="11" cm="1">
        <f t="array" ref="E188">Common_InputFunctions.Utility_DisplayArrayInTable(Common_SourceData.Common_SourceData_EFN2O_Data(), Table_SourceData_Common_EFN2O[[#Headers],[Production system j]], 0)</f>
        <v>7.0000000000000001E-3</v>
      </c>
      <c r="F188" s="11" t="str" cm="1">
        <f t="array" ref="F188">Common_InputFunctions.Utility_DisplayArrayInTable(Common_SourceData.Common_SourceData_EFN2O_Data(), Table_SourceData_Common_EFN2O[[#Headers],[Production system j]], 0)</f>
        <v>Crop</v>
      </c>
      <c r="G188" s="11" t="str" cm="1">
        <f t="array" ref="G188">Common_InputFunctions.Utility_DisplayArrayInTable(Common_SourceData.Common_SourceData_EFN2O_Data(), Table_SourceData_Common_EFN2O[[#Headers],[Production system j]], 0)</f>
        <v>Any</v>
      </c>
      <c r="H188" s="11" t="str" cm="1">
        <f t="array" ref="H188">Common_InputFunctions.Utility_DisplayArrayInTable(Common_SourceData.Common_SourceData_EFN2O_Data(), Table_SourceData_Common_EFN2O[[#Headers],[Production system j]], 0)</f>
        <v>Any</v>
      </c>
    </row>
    <row r="189" spans="4:67" ht="20.100000000000001" customHeight="1" x14ac:dyDescent="0.25">
      <c r="D189" s="11" t="str" cm="1">
        <f t="array" ref="D189">Common_InputFunctions.Utility_DisplayArrayInTable(Common_SourceData.Common_SourceData_EFN2O_Data(), Table_SourceData_Common_EFN2O[[#Headers],[Production system j]], 0)</f>
        <v>Non-irrigated pasture</v>
      </c>
      <c r="E189" s="11" cm="1">
        <f t="array" ref="E189">Common_InputFunctions.Utility_DisplayArrayInTable(Common_SourceData.Common_SourceData_EFN2O_Data(), Table_SourceData_Common_EFN2O[[#Headers],[Production system j]], 0)</f>
        <v>1.8E-3</v>
      </c>
      <c r="F189" s="11" t="str" cm="1">
        <f t="array" ref="F189">Common_InputFunctions.Utility_DisplayArrayInTable(Common_SourceData.Common_SourceData_EFN2O_Data(), Table_SourceData_Common_EFN2O[[#Headers],[Production system j]], 0)</f>
        <v>Pasture</v>
      </c>
      <c r="G189" s="11" t="str" cm="1">
        <f t="array" ref="G189">Common_InputFunctions.Utility_DisplayArrayInTable(Common_SourceData.Common_SourceData_EFN2O_Data(), Table_SourceData_Common_EFN2O[[#Headers],[Production system j]], 0)</f>
        <v>Not irrigated</v>
      </c>
      <c r="H189" s="11" t="str" cm="1">
        <f t="array" ref="H189">Common_InputFunctions.Utility_DisplayArrayInTable(Common_SourceData.Common_SourceData_EFN2O_Data(), Table_SourceData_Common_EFN2O[[#Headers],[Production system j]], 0)</f>
        <v>Low rainfall</v>
      </c>
    </row>
    <row r="190" spans="4:67" ht="20.100000000000001" customHeight="1" x14ac:dyDescent="0.25">
      <c r="D190" s="11" t="str" cm="1">
        <f t="array" ref="D190">Common_InputFunctions.Utility_DisplayArrayInTable(Common_SourceData.Common_SourceData_EFN2O_Data(), Table_SourceData_Common_EFN2O[[#Headers],[Production system j]], 0)</f>
        <v>Non-irrigated pasture</v>
      </c>
      <c r="E190" s="11" cm="1">
        <f t="array" ref="E190">Common_InputFunctions.Utility_DisplayArrayInTable(Common_SourceData.Common_SourceData_EFN2O_Data(), Table_SourceData_Common_EFN2O[[#Headers],[Production system j]], 0)</f>
        <v>1.8E-3</v>
      </c>
      <c r="F190" s="11" t="str" cm="1">
        <f t="array" ref="F190">Common_InputFunctions.Utility_DisplayArrayInTable(Common_SourceData.Common_SourceData_EFN2O_Data(), Table_SourceData_Common_EFN2O[[#Headers],[Production system j]], 0)</f>
        <v>Pasture</v>
      </c>
      <c r="G190" s="11" t="str" cm="1">
        <f t="array" ref="G190">Common_InputFunctions.Utility_DisplayArrayInTable(Common_SourceData.Common_SourceData_EFN2O_Data(), Table_SourceData_Common_EFN2O[[#Headers],[Production system j]], 0)</f>
        <v>Not irrigated</v>
      </c>
      <c r="H190" s="11" t="str" cm="1">
        <f t="array" ref="H190">Common_InputFunctions.Utility_DisplayArrayInTable(Common_SourceData.Common_SourceData_EFN2O_Data(), Table_SourceData_Common_EFN2O[[#Headers],[Production system j]], 0)</f>
        <v>High rainfall</v>
      </c>
    </row>
    <row r="191" spans="4:67" ht="20.100000000000001" customHeight="1" x14ac:dyDescent="0.25">
      <c r="D191" s="11" t="str" cm="1">
        <f t="array" ref="D191">Common_InputFunctions.Utility_DisplayArrayInTable(Common_SourceData.Common_SourceData_EFN2O_Data(), Table_SourceData_Common_EFN2O[[#Headers],[Production system j]], 0)</f>
        <v>Non-irrigated crop (low rainfall)</v>
      </c>
      <c r="E191" s="11" cm="1">
        <f t="array" ref="E191">Common_InputFunctions.Utility_DisplayArrayInTable(Common_SourceData.Common_SourceData_EFN2O_Data(), Table_SourceData_Common_EFN2O[[#Headers],[Production system j]], 0)</f>
        <v>2.8999999999999998E-3</v>
      </c>
      <c r="F191" s="11" t="str" cm="1">
        <f t="array" ref="F191">Common_InputFunctions.Utility_DisplayArrayInTable(Common_SourceData.Common_SourceData_EFN2O_Data(), Table_SourceData_Common_EFN2O[[#Headers],[Production system j]], 0)</f>
        <v>Crop</v>
      </c>
      <c r="G191" s="11" t="str" cm="1">
        <f t="array" ref="G191">Common_InputFunctions.Utility_DisplayArrayInTable(Common_SourceData.Common_SourceData_EFN2O_Data(), Table_SourceData_Common_EFN2O[[#Headers],[Production system j]], 0)</f>
        <v>Not irrigated</v>
      </c>
      <c r="H191" s="11" t="str" cm="1">
        <f t="array" ref="H191">Common_InputFunctions.Utility_DisplayArrayInTable(Common_SourceData.Common_SourceData_EFN2O_Data(), Table_SourceData_Common_EFN2O[[#Headers],[Production system j]], 0)</f>
        <v>Low rainfall</v>
      </c>
    </row>
    <row r="192" spans="4:67" ht="20.100000000000001" customHeight="1" x14ac:dyDescent="0.25">
      <c r="D192" s="11" t="str" cm="1">
        <f t="array" ref="D192">Common_InputFunctions.Utility_DisplayArrayInTable(Common_SourceData.Common_SourceData_EFN2O_Data(), Table_SourceData_Common_EFN2O[[#Headers],[Production system j]], 0)</f>
        <v>Non-irrigated crop (high rainfall)</v>
      </c>
      <c r="E192" s="11" cm="1">
        <f t="array" ref="E192">Common_InputFunctions.Utility_DisplayArrayInTable(Common_SourceData.Common_SourceData_EFN2O_Data(), Table_SourceData_Common_EFN2O[[#Headers],[Production system j]], 0)</f>
        <v>8.0000000000000002E-3</v>
      </c>
      <c r="F192" s="11" t="str" cm="1">
        <f t="array" ref="F192">Common_InputFunctions.Utility_DisplayArrayInTable(Common_SourceData.Common_SourceData_EFN2O_Data(), Table_SourceData_Common_EFN2O[[#Headers],[Production system j]], 0)</f>
        <v>Crop</v>
      </c>
      <c r="G192" s="11" t="str" cm="1">
        <f t="array" ref="G192">Common_InputFunctions.Utility_DisplayArrayInTable(Common_SourceData.Common_SourceData_EFN2O_Data(), Table_SourceData_Common_EFN2O[[#Headers],[Production system j]], 0)</f>
        <v>Not irrigated</v>
      </c>
      <c r="H192" s="11" t="str" cm="1">
        <f t="array" ref="H192">Common_InputFunctions.Utility_DisplayArrayInTable(Common_SourceData.Common_SourceData_EFN2O_Data(), Table_SourceData_Common_EFN2O[[#Headers],[Production system j]], 0)</f>
        <v>High rainfall</v>
      </c>
    </row>
    <row r="193" spans="4:8" ht="20.100000000000001" customHeight="1" x14ac:dyDescent="0.25">
      <c r="D193" s="11" t="str" cm="1">
        <f t="array" ref="D193">Common_InputFunctions.Utility_DisplayArrayInTable(Common_SourceData.Common_SourceData_EFN2O_Data(), Table_SourceData_Common_EFN2O[[#Headers],[Production system j]], 0)</f>
        <v>Sugar</v>
      </c>
      <c r="E193" s="11" cm="1">
        <f t="array" ref="E193">Common_InputFunctions.Utility_DisplayArrayInTable(Common_SourceData.Common_SourceData_EFN2O_Data(), Table_SourceData_Common_EFN2O[[#Headers],[Production system j]], 0)</f>
        <v>1.9900000000000001E-2</v>
      </c>
      <c r="F193" s="11" t="str" cm="1">
        <f t="array" ref="F193">Common_InputFunctions.Utility_DisplayArrayInTable(Common_SourceData.Common_SourceData_EFN2O_Data(), Table_SourceData_Common_EFN2O[[#Headers],[Production system j]], 0)</f>
        <v>Sugar</v>
      </c>
      <c r="G193" s="11" t="str" cm="1">
        <f t="array" ref="G193">Common_InputFunctions.Utility_DisplayArrayInTable(Common_SourceData.Common_SourceData_EFN2O_Data(), Table_SourceData_Common_EFN2O[[#Headers],[Production system j]], 0)</f>
        <v>Any</v>
      </c>
      <c r="H193" s="11" t="str" cm="1">
        <f t="array" ref="H193">Common_InputFunctions.Utility_DisplayArrayInTable(Common_SourceData.Common_SourceData_EFN2O_Data(), Table_SourceData_Common_EFN2O[[#Headers],[Production system j]], 0)</f>
        <v>Any</v>
      </c>
    </row>
    <row r="194" spans="4:8" ht="20.100000000000001" customHeight="1" x14ac:dyDescent="0.25">
      <c r="D194" s="11" t="str" cm="1">
        <f t="array" ref="D194">Common_InputFunctions.Utility_DisplayArrayInTable(Common_SourceData.Common_SourceData_EFN2O_Data(), Table_SourceData_Common_EFN2O[[#Headers],[Production system j]], 0)</f>
        <v>Cotton</v>
      </c>
      <c r="E194" s="11" cm="1">
        <f t="array" ref="E194">Common_InputFunctions.Utility_DisplayArrayInTable(Common_SourceData.Common_SourceData_EFN2O_Data(), Table_SourceData_Common_EFN2O[[#Headers],[Production system j]], 0)</f>
        <v>5.3E-3</v>
      </c>
      <c r="F194" s="11" t="str" cm="1">
        <f t="array" ref="F194">Common_InputFunctions.Utility_DisplayArrayInTable(Common_SourceData.Common_SourceData_EFN2O_Data(), Table_SourceData_Common_EFN2O[[#Headers],[Production system j]], 0)</f>
        <v>Cotton</v>
      </c>
      <c r="G194" s="11" t="str" cm="1">
        <f t="array" ref="G194">Common_InputFunctions.Utility_DisplayArrayInTable(Common_SourceData.Common_SourceData_EFN2O_Data(), Table_SourceData_Common_EFN2O[[#Headers],[Production system j]], 0)</f>
        <v>Any</v>
      </c>
      <c r="H194" s="11" t="str" cm="1">
        <f t="array" ref="H194">Common_InputFunctions.Utility_DisplayArrayInTable(Common_SourceData.Common_SourceData_EFN2O_Data(), Table_SourceData_Common_EFN2O[[#Headers],[Production system j]], 0)</f>
        <v>Any</v>
      </c>
    </row>
    <row r="195" spans="4:8" ht="20.100000000000001" customHeight="1" x14ac:dyDescent="0.25">
      <c r="D195" s="11" t="str" cm="1">
        <f t="array" ref="D195">Common_InputFunctions.Utility_DisplayArrayInTable(Common_SourceData.Common_SourceData_EFN2O_Data(), Table_SourceData_Common_EFN2O[[#Headers],[Production system j]], 0)</f>
        <v>Horticultural crops</v>
      </c>
      <c r="E195" s="11" cm="1">
        <f t="array" ref="E195">Common_InputFunctions.Utility_DisplayArrayInTable(Common_SourceData.Common_SourceData_EFN2O_Data(), Table_SourceData_Common_EFN2O[[#Headers],[Production system j]], 0)</f>
        <v>6.4000000000000003E-3</v>
      </c>
      <c r="F195" s="11" t="str" cm="1">
        <f t="array" ref="F195">Common_InputFunctions.Utility_DisplayArrayInTable(Common_SourceData.Common_SourceData_EFN2O_Data(), Table_SourceData_Common_EFN2O[[#Headers],[Production system j]], 0)</f>
        <v>Horticultural crops</v>
      </c>
      <c r="G195" s="11" t="str" cm="1">
        <f t="array" ref="G195">Common_InputFunctions.Utility_DisplayArrayInTable(Common_SourceData.Common_SourceData_EFN2O_Data(), Table_SourceData_Common_EFN2O[[#Headers],[Production system j]], 0)</f>
        <v>Any</v>
      </c>
      <c r="H195" s="11" t="str" cm="1">
        <f t="array" ref="H195">Common_InputFunctions.Utility_DisplayArrayInTable(Common_SourceData.Common_SourceData_EFN2O_Data(), Table_SourceData_Common_EFN2O[[#Headers],[Production system j]], 0)</f>
        <v>Any</v>
      </c>
    </row>
    <row r="196" spans="4:8" ht="20.100000000000001" customHeight="1" x14ac:dyDescent="0.25">
      <c r="D196" s="11" t="str" cm="1">
        <f t="array" ref="D196">Common_InputFunctions.Utility_DisplayArrayInTable(Common_SourceData.Common_SourceData_EFN2O_Data(), Table_SourceData_Common_EFN2O[[#Headers],[Production system j]], 0)</f>
        <v>Rice (continuous flooding)</v>
      </c>
      <c r="E196" s="11" cm="1">
        <f t="array" ref="E196">Common_InputFunctions.Utility_DisplayArrayInTable(Common_SourceData.Common_SourceData_EFN2O_Data(), Table_SourceData_Common_EFN2O[[#Headers],[Production system j]], 0)</f>
        <v>3.0000000000000001E-3</v>
      </c>
      <c r="F196" s="11" t="str" cm="1">
        <f t="array" ref="F196">Common_InputFunctions.Utility_DisplayArrayInTable(Common_SourceData.Common_SourceData_EFN2O_Data(), Table_SourceData_Common_EFN2O[[#Headers],[Production system j]], 0)</f>
        <v>Rice</v>
      </c>
      <c r="G196" s="11" t="str" cm="1">
        <f t="array" ref="G196">Common_InputFunctions.Utility_DisplayArrayInTable(Common_SourceData.Common_SourceData_EFN2O_Data(), Table_SourceData_Common_EFN2O[[#Headers],[Production system j]], 0)</f>
        <v>Continuous flooding</v>
      </c>
      <c r="H196" s="11" t="str" cm="1">
        <f t="array" ref="H196">Common_InputFunctions.Utility_DisplayArrayInTable(Common_SourceData.Common_SourceData_EFN2O_Data(), Table_SourceData_Common_EFN2O[[#Headers],[Production system j]], 0)</f>
        <v>Any</v>
      </c>
    </row>
    <row r="197" spans="4:8" x14ac:dyDescent="0.25">
      <c r="D197" s="11" t="str" cm="1">
        <f t="array" ref="D197">Common_InputFunctions.Utility_DisplayArrayInTable(Common_SourceData.Common_SourceData_EFN2O_Data(), Table_SourceData_Common_EFN2O[[#Headers],[Production system j]], 0)</f>
        <v>Rice (single and multiple drainage, or alternate wetting and drying)</v>
      </c>
      <c r="E197" s="11" cm="1">
        <f t="array" ref="E197">Common_InputFunctions.Utility_DisplayArrayInTable(Common_SourceData.Common_SourceData_EFN2O_Data(), Table_SourceData_Common_EFN2O[[#Headers],[Production system j]], 0)</f>
        <v>5.0000000000000001E-3</v>
      </c>
      <c r="F197" s="11" t="str" cm="1">
        <f t="array" ref="F197">Common_InputFunctions.Utility_DisplayArrayInTable(Common_SourceData.Common_SourceData_EFN2O_Data(), Table_SourceData_Common_EFN2O[[#Headers],[Production system j]], 0)</f>
        <v>Rice</v>
      </c>
      <c r="G197" s="11" t="str" cm="1">
        <f t="array" ref="G197">Common_InputFunctions.Utility_DisplayArrayInTable(Common_SourceData.Common_SourceData_EFN2O_Data(), Table_SourceData_Common_EFN2O[[#Headers],[Production system j]], 0)</f>
        <v>Single and multiple drainage, or alternate wetting and drying</v>
      </c>
      <c r="H197" s="11" t="str" cm="1">
        <f t="array" ref="H197">Common_InputFunctions.Utility_DisplayArrayInTable(Common_SourceData.Common_SourceData_EFN2O_Data(), Table_SourceData_Common_EFN2O[[#Headers],[Production system j]], 0)</f>
        <v>Any</v>
      </c>
    </row>
    <row r="198" spans="4:8" x14ac:dyDescent="0.25">
      <c r="D198" s="11" t="str" cm="1">
        <f t="array" ref="D198">Common_InputFunctions.Utility_DisplayArrayInTable(Common_SourceData.Common_SourceData_EFN2O_Data(), Table_SourceData_Common_EFN2O[[#Headers],[Production system j]], 0)</f>
        <v>Aquaculture</v>
      </c>
      <c r="E198" s="11" cm="1">
        <f t="array" ref="E198">Common_InputFunctions.Utility_DisplayArrayInTable(Common_SourceData.Common_SourceData_EFN2O_Data(), Table_SourceData_Common_EFN2O[[#Headers],[Production system j]], 0)</f>
        <v>2.5999999999999999E-3</v>
      </c>
      <c r="F198" s="11" t="str" cm="1">
        <f t="array" ref="F198">Common_InputFunctions.Utility_DisplayArrayInTable(Common_SourceData.Common_SourceData_EFN2O_Data(), Table_SourceData_Common_EFN2O[[#Headers],[Production system j]], 0)</f>
        <v>Aquaculture</v>
      </c>
      <c r="G198" s="11" t="str" cm="1">
        <f t="array" ref="G198">Common_InputFunctions.Utility_DisplayArrayInTable(Common_SourceData.Common_SourceData_EFN2O_Data(), Table_SourceData_Common_EFN2O[[#Headers],[Production system j]], 0)</f>
        <v>Any</v>
      </c>
      <c r="H198" s="11" t="str" cm="1">
        <f t="array" ref="H198">Common_InputFunctions.Utility_DisplayArrayInTable(Common_SourceData.Common_SourceData_EFN2O_Data(), Table_SourceData_Common_EFN2O[[#Headers],[Production system j]], 0)</f>
        <v>Any</v>
      </c>
    </row>
    <row r="199" spans="4:8" x14ac:dyDescent="0.25">
      <c r="D199" s="11" t="str" cm="1">
        <f t="array" ref="D199">Common_InputFunctions.Utility_DisplayArrayInTable(Common_SourceData.Common_SourceData_EFN2O_Data(), Table_SourceData_Common_EFN2O[[#Headers],[Production system j]], 0)</f>
        <v>Forestry</v>
      </c>
      <c r="E199" s="11" cm="1">
        <f t="array" ref="E199">Common_InputFunctions.Utility_DisplayArrayInTable(Common_SourceData.Common_SourceData_EFN2O_Data(), Table_SourceData_Common_EFN2O[[#Headers],[Production system j]], 0)</f>
        <v>1.8E-3</v>
      </c>
      <c r="F199" s="11" t="str" cm="1">
        <f t="array" ref="F199">Common_InputFunctions.Utility_DisplayArrayInTable(Common_SourceData.Common_SourceData_EFN2O_Data(), Table_SourceData_Common_EFN2O[[#Headers],[Production system j]], 0)</f>
        <v>Forestry</v>
      </c>
      <c r="G199" s="11" t="str" cm="1">
        <f t="array" ref="G199">Common_InputFunctions.Utility_DisplayArrayInTable(Common_SourceData.Common_SourceData_EFN2O_Data(), Table_SourceData_Common_EFN2O[[#Headers],[Production system j]], 0)</f>
        <v>Any</v>
      </c>
      <c r="H199" s="11" t="str" cm="1">
        <f t="array" ref="H199">Common_InputFunctions.Utility_DisplayArrayInTable(Common_SourceData.Common_SourceData_EFN2O_Data(), Table_SourceData_Common_EFN2O[[#Headers],[Production system j]], 0)</f>
        <v>Any</v>
      </c>
    </row>
    <row r="202" spans="4:8" ht="23.25" x14ac:dyDescent="0.25">
      <c r="D202" s="5" t="str" cm="1">
        <f t="array" ref="D202">Common_SourceData.Common_SourceData_EFPastureRangeAndPaddock_Title()</f>
        <v>Emission factor for urine and dung deposited on pasture, range or paddock</v>
      </c>
    </row>
    <row r="203" spans="4:8" x14ac:dyDescent="0.25">
      <c r="D203" s="4" t="str" cm="1">
        <f t="array" ref="D203">Common_SourceData.Common_SourceData_EFPastureRangeAndPaddock_Source()</f>
        <v>VEERG 2026: Table A.2.2.2</v>
      </c>
    </row>
    <row r="204" spans="4:8" x14ac:dyDescent="0.25">
      <c r="D204" s="13" t="str" cm="1">
        <f t="array" ref="D204">Common_SourceData.Common_SourceData_EFPastureRangeAndPaddock_Variation()</f>
        <v>VARIATION FROM SOURCE DATA: Changed 'Dry climate zones' to singular 'Dry climate zone' to aid lookup.</v>
      </c>
    </row>
    <row r="205" spans="4:8" x14ac:dyDescent="0.25">
      <c r="D205" s="12" t="str" cm="1">
        <f t="array" ref="D205">Common_SourceData.Common_SourceData_EFPastureRangeAndPaddock_Unit()</f>
        <v>kg N2O - N / kg N</v>
      </c>
    </row>
    <row r="206" spans="4:8" x14ac:dyDescent="0.25">
      <c r="D206" s="14" t="s">
        <v>0</v>
      </c>
      <c r="E206" s="14" t="s">
        <v>47</v>
      </c>
    </row>
    <row r="207" spans="4:8" x14ac:dyDescent="0.25">
      <c r="D207" s="14" t="str" cm="1">
        <f t="array" ref="D207">Common_InputFunctions.Utility_DisplayArrayInTable(Common_SourceData.Common_SourceData_EFPastureRangeAndPaddock_Data(), Table_SourceData_EFPastureRangeAndPaddock[[#Headers],[Climate zone]], 0)</f>
        <v>Wet climate zone</v>
      </c>
      <c r="E207" s="14" cm="1">
        <f t="array" ref="E207">Common_InputFunctions.Utility_DisplayArrayInTable(Common_SourceData.Common_SourceData_EFPastureRangeAndPaddock_Data(), Table_SourceData_EFPastureRangeAndPaddock[[#Headers],[Climate zone]], 0)</f>
        <v>6.0000000000000001E-3</v>
      </c>
    </row>
    <row r="208" spans="4:8" x14ac:dyDescent="0.25">
      <c r="D208" s="1" t="str" cm="1">
        <f t="array" ref="D208">Common_InputFunctions.Utility_DisplayArrayInTable(Common_SourceData.Common_SourceData_EFPastureRangeAndPaddock_Data(), Table_SourceData_EFPastureRangeAndPaddock[[#Headers],[Climate zone]], 0)</f>
        <v>Dry climate zone</v>
      </c>
      <c r="E208" s="11" cm="1">
        <f t="array" ref="E208">Common_InputFunctions.Utility_DisplayArrayInTable(Common_SourceData.Common_SourceData_EFPastureRangeAndPaddock_Data(), Table_SourceData_EFPastureRangeAndPaddock[[#Headers],[Climate zone]], 0)</f>
        <v>2E-3</v>
      </c>
    </row>
    <row r="211" spans="4:5" x14ac:dyDescent="0.25">
      <c r="D211" s="1" t="str" cm="1">
        <f t="array" ref="D211">Common_SourceData.Common_SourceData_MonthsToSeasons_Title()</f>
        <v>Months to Seasons Mapping</v>
      </c>
    </row>
    <row r="212" spans="4:5" x14ac:dyDescent="0.25">
      <c r="D212" s="14" t="s">
        <v>48</v>
      </c>
      <c r="E212" s="14" t="s">
        <v>49</v>
      </c>
    </row>
    <row r="213" spans="4:5" x14ac:dyDescent="0.25">
      <c r="D213" s="14" t="str" cm="1">
        <f t="array" ref="D213">Common_InputFunctions.Utility_DisplayArrayInTable(Common_SourceData.Common_SourceData_MonthsToSeasons_Data(), Table_SourceData_Common_MonthToSeason[[#Headers],[Month]], 0)</f>
        <v>January</v>
      </c>
      <c r="E213" s="14" t="str" cm="1">
        <f t="array" ref="E213">Common_InputFunctions.Utility_DisplayArrayInTable(Common_SourceData.Common_SourceData_MonthsToSeasons_Data(), Table_SourceData_Common_MonthToSeason[[#Headers],[Month]], 0)</f>
        <v>Summer</v>
      </c>
    </row>
    <row r="214" spans="4:5" x14ac:dyDescent="0.25">
      <c r="D214" s="1" t="str" cm="1">
        <f t="array" ref="D214">Common_InputFunctions.Utility_DisplayArrayInTable(Common_SourceData.Common_SourceData_MonthsToSeasons_Data(), Table_SourceData_Common_MonthToSeason[[#Headers],[Month]], 0)</f>
        <v>February</v>
      </c>
      <c r="E214" s="11" t="str" cm="1">
        <f t="array" ref="E214">Common_InputFunctions.Utility_DisplayArrayInTable(Common_SourceData.Common_SourceData_MonthsToSeasons_Data(), Table_SourceData_Common_MonthToSeason[[#Headers],[Month]], 0)</f>
        <v>Summer</v>
      </c>
    </row>
    <row r="215" spans="4:5" x14ac:dyDescent="0.25">
      <c r="D215" s="1" t="str" cm="1">
        <f t="array" ref="D215">Common_InputFunctions.Utility_DisplayArrayInTable(Common_SourceData.Common_SourceData_MonthsToSeasons_Data(), Table_SourceData_Common_MonthToSeason[[#Headers],[Month]], 0)</f>
        <v>March</v>
      </c>
      <c r="E215" s="11" t="str" cm="1">
        <f t="array" ref="E215">Common_InputFunctions.Utility_DisplayArrayInTable(Common_SourceData.Common_SourceData_MonthsToSeasons_Data(), Table_SourceData_Common_MonthToSeason[[#Headers],[Month]], 0)</f>
        <v>Autumn</v>
      </c>
    </row>
    <row r="216" spans="4:5" x14ac:dyDescent="0.25">
      <c r="D216" s="1" t="str" cm="1">
        <f t="array" ref="D216">Common_InputFunctions.Utility_DisplayArrayInTable(Common_SourceData.Common_SourceData_MonthsToSeasons_Data(), Table_SourceData_Common_MonthToSeason[[#Headers],[Month]], 0)</f>
        <v>April</v>
      </c>
      <c r="E216" s="11" t="str" cm="1">
        <f t="array" ref="E216">Common_InputFunctions.Utility_DisplayArrayInTable(Common_SourceData.Common_SourceData_MonthsToSeasons_Data(), Table_SourceData_Common_MonthToSeason[[#Headers],[Month]], 0)</f>
        <v>Autumn</v>
      </c>
    </row>
    <row r="217" spans="4:5" x14ac:dyDescent="0.25">
      <c r="D217" s="1" t="str" cm="1">
        <f t="array" ref="D217">Common_InputFunctions.Utility_DisplayArrayInTable(Common_SourceData.Common_SourceData_MonthsToSeasons_Data(), Table_SourceData_Common_MonthToSeason[[#Headers],[Month]], 0)</f>
        <v>May</v>
      </c>
      <c r="E217" s="11" t="str" cm="1">
        <f t="array" ref="E217">Common_InputFunctions.Utility_DisplayArrayInTable(Common_SourceData.Common_SourceData_MonthsToSeasons_Data(), Table_SourceData_Common_MonthToSeason[[#Headers],[Month]], 0)</f>
        <v>Autumn</v>
      </c>
    </row>
    <row r="218" spans="4:5" x14ac:dyDescent="0.25">
      <c r="D218" s="1" t="str" cm="1">
        <f t="array" ref="D218">Common_InputFunctions.Utility_DisplayArrayInTable(Common_SourceData.Common_SourceData_MonthsToSeasons_Data(), Table_SourceData_Common_MonthToSeason[[#Headers],[Month]], 0)</f>
        <v>June</v>
      </c>
      <c r="E218" s="11" t="str" cm="1">
        <f t="array" ref="E218">Common_InputFunctions.Utility_DisplayArrayInTable(Common_SourceData.Common_SourceData_MonthsToSeasons_Data(), Table_SourceData_Common_MonthToSeason[[#Headers],[Month]], 0)</f>
        <v>Winter</v>
      </c>
    </row>
    <row r="219" spans="4:5" x14ac:dyDescent="0.25">
      <c r="D219" s="1" t="str" cm="1">
        <f t="array" ref="D219">Common_InputFunctions.Utility_DisplayArrayInTable(Common_SourceData.Common_SourceData_MonthsToSeasons_Data(), Table_SourceData_Common_MonthToSeason[[#Headers],[Month]], 0)</f>
        <v>July</v>
      </c>
      <c r="E219" s="11" t="str" cm="1">
        <f t="array" ref="E219">Common_InputFunctions.Utility_DisplayArrayInTable(Common_SourceData.Common_SourceData_MonthsToSeasons_Data(), Table_SourceData_Common_MonthToSeason[[#Headers],[Month]], 0)</f>
        <v>Winter</v>
      </c>
    </row>
    <row r="220" spans="4:5" x14ac:dyDescent="0.25">
      <c r="D220" s="1" t="str" cm="1">
        <f t="array" ref="D220">Common_InputFunctions.Utility_DisplayArrayInTable(Common_SourceData.Common_SourceData_MonthsToSeasons_Data(), Table_SourceData_Common_MonthToSeason[[#Headers],[Month]], 0)</f>
        <v>August</v>
      </c>
      <c r="E220" s="11" t="str" cm="1">
        <f t="array" ref="E220">Common_InputFunctions.Utility_DisplayArrayInTable(Common_SourceData.Common_SourceData_MonthsToSeasons_Data(), Table_SourceData_Common_MonthToSeason[[#Headers],[Month]], 0)</f>
        <v>Winter</v>
      </c>
    </row>
    <row r="221" spans="4:5" x14ac:dyDescent="0.25">
      <c r="D221" s="1" t="str" cm="1">
        <f t="array" ref="D221">Common_InputFunctions.Utility_DisplayArrayInTable(Common_SourceData.Common_SourceData_MonthsToSeasons_Data(), Table_SourceData_Common_MonthToSeason[[#Headers],[Month]], 0)</f>
        <v>September</v>
      </c>
      <c r="E221" s="11" t="str" cm="1">
        <f t="array" ref="E221">Common_InputFunctions.Utility_DisplayArrayInTable(Common_SourceData.Common_SourceData_MonthsToSeasons_Data(), Table_SourceData_Common_MonthToSeason[[#Headers],[Month]], 0)</f>
        <v>Spring</v>
      </c>
    </row>
    <row r="222" spans="4:5" x14ac:dyDescent="0.25">
      <c r="D222" s="1" t="str" cm="1">
        <f t="array" ref="D222">Common_InputFunctions.Utility_DisplayArrayInTable(Common_SourceData.Common_SourceData_MonthsToSeasons_Data(), Table_SourceData_Common_MonthToSeason[[#Headers],[Month]], 0)</f>
        <v>October</v>
      </c>
      <c r="E222" s="11" t="str" cm="1">
        <f t="array" ref="E222">Common_InputFunctions.Utility_DisplayArrayInTable(Common_SourceData.Common_SourceData_MonthsToSeasons_Data(), Table_SourceData_Common_MonthToSeason[[#Headers],[Month]], 0)</f>
        <v>Spring</v>
      </c>
    </row>
    <row r="223" spans="4:5" x14ac:dyDescent="0.25">
      <c r="D223" s="1" t="str" cm="1">
        <f t="array" ref="D223">Common_InputFunctions.Utility_DisplayArrayInTable(Common_SourceData.Common_SourceData_MonthsToSeasons_Data(), Table_SourceData_Common_MonthToSeason[[#Headers],[Month]], 0)</f>
        <v>November</v>
      </c>
      <c r="E223" s="11" t="str" cm="1">
        <f t="array" ref="E223">Common_InputFunctions.Utility_DisplayArrayInTable(Common_SourceData.Common_SourceData_MonthsToSeasons_Data(), Table_SourceData_Common_MonthToSeason[[#Headers],[Month]], 0)</f>
        <v>Spring</v>
      </c>
    </row>
    <row r="224" spans="4:5" x14ac:dyDescent="0.25">
      <c r="D224" s="1" t="str" cm="1">
        <f t="array" ref="D224">Common_InputFunctions.Utility_DisplayArrayInTable(Common_SourceData.Common_SourceData_MonthsToSeasons_Data(), Table_SourceData_Common_MonthToSeason[[#Headers],[Month]], 0)</f>
        <v>December</v>
      </c>
      <c r="E224" s="11" t="str" cm="1">
        <f t="array" ref="E224">Common_InputFunctions.Utility_DisplayArrayInTable(Common_SourceData.Common_SourceData_MonthsToSeasons_Data(), Table_SourceData_Common_MonthToSeason[[#Headers],[Month]], 0)</f>
        <v>Summer</v>
      </c>
    </row>
  </sheetData>
  <pageMargins left="0.7" right="0.7" top="0.75" bottom="0.75" header="0.3" footer="0.3"/>
  <tableParts count="15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F8506-5EB7-47C9-955C-A68351EE5687}">
  <dimension ref="A1"/>
  <sheetViews>
    <sheetView workbookViewId="0">
      <selection activeCell="A2" sqref="A2"/>
    </sheetView>
  </sheetViews>
  <sheetFormatPr defaultRowHeight="15" x14ac:dyDescent="0.25"/>
  <sheetData>
    <row r="1" spans="1:1" x14ac:dyDescent="0.25">
      <c r="A1" t="s">
        <v>45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CB660BB23738846A00119B5826AC974" ma:contentTypeVersion="11" ma:contentTypeDescription="Create a new document." ma:contentTypeScope="" ma:versionID="3e3613359d4ae7f6bda6c57be713f101">
  <xsd:schema xmlns:xsd="http://www.w3.org/2001/XMLSchema" xmlns:xs="http://www.w3.org/2001/XMLSchema" xmlns:p="http://schemas.microsoft.com/office/2006/metadata/properties" xmlns:ns2="7291119c-fce9-4911-96ae-b800be5dccd8" xmlns:ns3="09eef6d6-daa8-4301-8f9f-b1ec38079286" targetNamespace="http://schemas.microsoft.com/office/2006/metadata/properties" ma:root="true" ma:fieldsID="87491bfad7f11426ad96486e70428b3e" ns2:_="" ns3:_="">
    <xsd:import namespace="7291119c-fce9-4911-96ae-b800be5dccd8"/>
    <xsd:import namespace="09eef6d6-daa8-4301-8f9f-b1ec3807928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91119c-fce9-4911-96ae-b800be5dcc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db163b37-248a-4bdb-8038-6e8df1cc47a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eef6d6-daa8-4301-8f9f-b1ec38079286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52b9829-e58f-4759-907b-e4bc75f6ae89}" ma:internalName="TaxCatchAll" ma:showField="CatchAllData" ma:web="09eef6d6-daa8-4301-8f9f-b1ec3807928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9eef6d6-daa8-4301-8f9f-b1ec38079286" xsi:nil="true"/>
    <lcf76f155ced4ddcb4097134ff3c332f xmlns="7291119c-fce9-4911-96ae-b800be5dccd8">
      <Terms xmlns="http://schemas.microsoft.com/office/infopath/2007/PartnerControls"/>
    </lcf76f155ced4ddcb4097134ff3c332f>
  </documentManagement>
</p:properties>
</file>

<file path=customXml/item4.xml><?xml version="1.0" encoding="utf-8"?>
<AFEJSONBlob xmlns="http://schemas.advancedformulaenvironment.officeapps.live.com/afejsonblob/1.0">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FwAbg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FwAbgAgACAAIAAgAFgATABPAE8ASwBVAFAAKAAxACwAIAAoAEwAbwBvAGsAdQBwAEEAcgByAGEAeQAxAD0ATABvAG8AawB1AHAAVgBhAGwAdQBlADEAKQAqACgATABvAG8AawB1AHAAQQByAHIAYQB5ADIAPQBMAG8AbwBrAHUAcABWAGEAbAB1AGUAMgApACwAIABSAGUAdAB1AHIAbgBBAHIAcgBhAHkALAAgAFwAIgBcACI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FwAbgAgACAAIAAgAFgATABPAE8ASwBVAFAAKABMAG8AbwBrAHUAcABWAGEAbAB1AGUAMQAsACAATABvAG8AawB1AHAAQQByAHIAYQB5ADEALABcAG4AIAAgACAAIAAgACAAIAAgAFgATABPAE8ASwBVAFAAKABMAG8AbwBrAHUAcABWAGEAbAB1AGUAMgAsACAATABvAG8AawB1AHAAQQByAHIAYQB5ADIALAAgAFIAZQB0AHUAcgBuAEEAcgByAGEAe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</AFEJSONBlob>
</file>

<file path=customXml/itemProps1.xml><?xml version="1.0" encoding="utf-8"?>
<ds:datastoreItem xmlns:ds="http://schemas.openxmlformats.org/officeDocument/2006/customXml" ds:itemID="{9A9CF321-0D35-4044-BC72-33748FE2B86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09E3D44-A88D-4EBF-A307-6B8CE77A336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291119c-fce9-4911-96ae-b800be5dccd8"/>
    <ds:schemaRef ds:uri="09eef6d6-daa8-4301-8f9f-b1ec3807928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D460F9D-420A-4723-B323-396E4D19EC9B}">
  <ds:schemaRefs>
    <ds:schemaRef ds:uri="http://schemas.microsoft.com/office/2006/metadata/properties"/>
    <ds:schemaRef ds:uri="http://schemas.microsoft.com/office/infopath/2007/PartnerControls"/>
    <ds:schemaRef ds:uri="09eef6d6-daa8-4301-8f9f-b1ec38079286"/>
    <ds:schemaRef ds:uri="7291119c-fce9-4911-96ae-b800be5dccd8"/>
  </ds:schemaRefs>
</ds:datastoreItem>
</file>

<file path=customXml/itemProps4.xml><?xml version="1.0" encoding="utf-8"?>
<ds:datastoreItem xmlns:ds="http://schemas.openxmlformats.org/officeDocument/2006/customXml" ds:itemID="{B6BE249C-20B1-4A62-BBCD-F2A46D88BCAB}">
  <ds:schemaRefs>
    <ds:schemaRef ds:uri="http://schemas.advancedformulaenvironment.officeapps.live.com/afejsonblob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Home</vt:lpstr>
      <vt:lpstr>Constants - Common</vt:lpstr>
      <vt:lpstr>Acknowledgements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Kotz</dc:creator>
  <cp:lastModifiedBy>Paul Kotz</cp:lastModifiedBy>
  <dcterms:created xsi:type="dcterms:W3CDTF">2025-11-17T03:37:23Z</dcterms:created>
  <dcterms:modified xsi:type="dcterms:W3CDTF">2026-04-08T05:09:48Z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0x010100ACB660BB23738846A00119B5826AC974</vt:lpwstr>
  </property>
  <property fmtid="{D5CDD505-2E9C-101B-9397-08002B2CF9AE}" pid="3" name="MediaServiceImageTags">
    <vt:lpwstr/>
  </property>
</Properties>
</file>