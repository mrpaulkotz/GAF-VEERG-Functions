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FF39F33-F015-47E3-B46D-EB4BA39A554C}" xr6:coauthVersionLast="47" xr6:coauthVersionMax="47" xr10:uidLastSave="{00000000-0000-0000-0000-000000000000}"/>
  <bookViews>
    <workbookView xWindow="0" yWindow="390" windowWidth="28800" windowHeight="16890" activeTab="1" xr2:uid="{992023F3-CAB7-4E5B-A348-08D563A0EF40}"/>
  </bookViews>
  <sheets>
    <sheet name="Home" sheetId="3" r:id="rId1"/>
    <sheet name="Constants - Common" sheetId="2" r:id="rId2"/>
    <sheet name="Acknowledgements" sheetId="4" r:id="rId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8" i="2" a="1"/>
  <c r="D98"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H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0" i="2" l="1"/>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<sst xmlns="http://schemas.openxmlformats.org/spreadsheetml/2006/main" count="73" uniqueCount="66">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</sst>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5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cellStyleXfs>
  <cellXfs count="15">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cellXfs>
  <cellStyles count="59">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4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6"/>
      <tableStyleElement type="headerRow" dxfId="45"/>
      <tableStyleElement type="totalRow" dxfId="44"/>
      <tableStyleElement type="firstColumn" dxfId="43"/>
      <tableStyleElement type="firstRowStripe" dxfId="42"/>
      <tableStyleElement type="secondRowStripe" dxfId="41"/>
    </tableStyle>
    <tableStyle name="Equation table" pivot="0" count="6" xr9:uid="{B247698E-E41D-4CCD-AA0A-C14817E9DE65}">
      <tableStyleElement type="wholeTable" dxfId="40"/>
      <tableStyleElement type="headerRow" dxfId="39"/>
      <tableStyleElement type="totalRow" dxfId="38"/>
      <tableStyleElement type="firstColumn" dxfId="37"/>
      <tableStyleElement type="firstRowStripe" dxfId="36"/>
      <tableStyleElement type="secondRowStripe" dxfId="3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9"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dimension ref="A1"/>
  <sheetViews>
    <sheetView workbookViewId="0">
      <selection activeCell="A2" sqref="A2"/>
    </sheetView>
  </sheetViews>
  <sheetFormatPr defaultRowHeight="15" x14ac:dyDescent="0.25"/>
  <sheetData>
    <row r="1" spans="1:1" x14ac:dyDescent="0.25">
      <c r="A1"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dimension ref="A1:BY250"/>
  <sheetViews>
    <sheetView showGridLines="0" tabSelected="1" topLeftCell="A227" zoomScale="85" zoomScaleNormal="85" workbookViewId="0">
      <selection activeCell="G262" sqref="G26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11" t="s">
        <v>1</v>
      </c>
      <c r="E6" s="11" t="s">
        <v>2</v>
      </c>
      <c r="F6" s="11" t="s">
        <v>3</v>
      </c>
    </row>
    <row r="7" spans="1:65" ht="20.100000000000001" customHeight="1" x14ac:dyDescent="0.25">
      <c r="A7"/>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11" t="s">
        <v>5</v>
      </c>
      <c r="E47" s="11" t="s">
        <v>7</v>
      </c>
      <c r="F47" s="11" t="s">
        <v>8</v>
      </c>
      <c r="G47" s="11" t="s">
        <v>9</v>
      </c>
      <c r="H47" s="11" t="s">
        <v>10</v>
      </c>
    </row>
    <row r="48" spans="1:8" ht="20.100000000000001" customHeight="1" x14ac:dyDescent="0.25">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4:8" ht="20.100000000000001" customHeight="1" x14ac:dyDescent="0.25">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4:8" ht="20.100000000000001" customHeight="1" x14ac:dyDescent="0.25">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4:8" ht="20.100000000000001" customHeight="1" x14ac:dyDescent="0.25">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4:8" ht="20.100000000000001" customHeight="1" x14ac:dyDescent="0.25">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4:8" ht="20.100000000000001" customHeight="1" x14ac:dyDescent="0.25">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4:8" ht="20.100000000000001" customHeight="1" x14ac:dyDescent="0.25">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13" t="str" cm="1">
        <f t="array" ref="D59:D61">"⚠️" &amp; Common_SourceData.Common_SourceData_WetAndDryZones_Variation()</f>
        <v>⚠️VARIATION OF SOURCE DATA:</v>
      </c>
    </row>
    <row r="60" spans="4:8" ht="20.100000000000001" customHeight="1" x14ac:dyDescent="0.25">
      <c r="D60" s="13" t="str">
        <v>⚠️Added warm / cool temperate moist / dry - low frost and high temp classes to accommodate climate scenarios excluded by VEERG criteria.</v>
      </c>
    </row>
    <row r="61" spans="4:8" ht="20.100000000000001" customHeight="1" x14ac:dyDescent="0.25">
      <c r="D61" s="13" t="str">
        <v>⚠️Fixed typo - Changed 'Fry' to 'Dry'.</v>
      </c>
    </row>
    <row r="62" spans="4:8" ht="20.100000000000001" customHeight="1" x14ac:dyDescent="0.25"/>
    <row r="63" spans="4:8" ht="20.100000000000001" customHeight="1" x14ac:dyDescent="0.25">
      <c r="D63" s="11" t="s">
        <v>0</v>
      </c>
      <c r="E63" s="11" t="s">
        <v>23</v>
      </c>
    </row>
    <row r="64" spans="4:8" ht="20.100000000000001" customHeight="1" x14ac:dyDescent="0.25">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13" t="str" cm="1">
        <f t="array" ref="D83:D87">"⚠️" &amp; Common_SourceData.Common_SourceData_ClimateZones_Variation()</f>
        <v>⚠️VARIATION OF SOURCE DATA:</v>
      </c>
    </row>
    <row r="84" spans="4:20" ht="20.100000000000001" customHeight="1" x14ac:dyDescent="0.25">
      <c r="D84" s="13" t="str">
        <v>⚠️Added warm / cool temperate moist / dry - low frost and high temp classes to accommodate climate scenarios excluded by VEERG criteria.</v>
      </c>
    </row>
    <row r="85" spans="4:20" ht="20.100000000000001" customHeight="1" x14ac:dyDescent="0.25">
      <c r="D85" s="13" t="str">
        <v>⚠️Fixed typo in MAT value for warm temperate dry - changed 10 to 11.</v>
      </c>
    </row>
    <row r="86" spans="4:20" ht="20.100000000000001" customHeight="1" x14ac:dyDescent="0.25">
      <c r="D86" s="13" t="str">
        <v>⚠️Added min and max columns for MAT, MAP, frost days per year, elevation, MAP:PET to calculate zones from real climate data.</v>
      </c>
    </row>
    <row r="87" spans="4:20" ht="20.100000000000001" customHeight="1" x14ac:dyDescent="0.25">
      <c r="D87" s="13" t="str">
        <v>⚠️GAF accepts rainfall as a proxy for precipitation.</v>
      </c>
    </row>
    <row r="88" spans="4:20" ht="20.100000000000001" customHeight="1" x14ac:dyDescent="0.25"/>
    <row r="89" spans="4:20" ht="20.100000000000001" customHeight="1" x14ac:dyDescent="0.25">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4:20" ht="20.100000000000001" customHeight="1" x14ac:dyDescent="0.25">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4:20" ht="20.100000000000001" customHeight="1" x14ac:dyDescent="0.25">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4:20" ht="20.100000000000001" customHeight="1" x14ac:dyDescent="0.25">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4:20" ht="20.100000000000001" customHeight="1" x14ac:dyDescent="0.25">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4:20" ht="20.100000000000001" customHeight="1" x14ac:dyDescent="0.25">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4:20" ht="20.100000000000001" customHeight="1" x14ac:dyDescent="0.2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4:20" ht="20.100000000000001" customHeight="1" x14ac:dyDescent="0.25">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4:20" ht="20.100000000000001" customHeight="1" x14ac:dyDescent="0.25">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4:20" ht="20.100000000000001" customHeight="1" x14ac:dyDescent="0.25">
      <c r="D98" s="12" t="str" cm="1">
        <f t="array" ref="D98:D101">Common_SourceData.Common_SourceData_ClimateZones_Appendices()</f>
        <v>Note:</v>
      </c>
    </row>
    <row r="99" spans="4:20" ht="20.100000000000001" customHeight="1" x14ac:dyDescent="0.25">
      <c r="D99" s="12" t="str">
        <v>MAT = mean annual temperature</v>
      </c>
    </row>
    <row r="100" spans="4:20" ht="20.100000000000001" customHeight="1" x14ac:dyDescent="0.25">
      <c r="D100" s="12" t="str">
        <v>MAP = mean annual precipitation</v>
      </c>
    </row>
    <row r="101" spans="4:20" ht="20.100000000000001" customHeight="1" x14ac:dyDescent="0.25">
      <c r="D101" s="12" t="str">
        <v>PET = potential evapotranspiration</v>
      </c>
    </row>
    <row r="102" spans="4:20" ht="20.100000000000001" customHeight="1" x14ac:dyDescent="0.25">
      <c r="D102" s="12"/>
    </row>
    <row r="103" spans="4:20" ht="20.100000000000001" customHeight="1" x14ac:dyDescent="0.25"/>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1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1" t="s">
        <v>27</v>
      </c>
      <c r="E109" s="11" t="s">
        <v>11</v>
      </c>
      <c r="F109" s="11" t="s">
        <v>28</v>
      </c>
      <c r="G109" s="11" t="s">
        <v>29</v>
      </c>
    </row>
    <row r="110" spans="4:20" ht="20.100000000000001" customHeight="1" x14ac:dyDescent="0.25">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4:20" ht="20.100000000000001" customHeight="1" x14ac:dyDescent="0.25">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13"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11" t="s">
        <v>30</v>
      </c>
      <c r="E119" s="11" t="s">
        <v>31</v>
      </c>
      <c r="F119" s="11" t="s">
        <v>18</v>
      </c>
      <c r="G119" s="11" t="s">
        <v>19</v>
      </c>
      <c r="BN119" s="6"/>
    </row>
    <row r="120" spans="4:66" ht="20.100000000000001" customHeight="1" x14ac:dyDescent="0.25">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1" t="s">
        <v>32</v>
      </c>
      <c r="E127" s="11" t="s">
        <v>33</v>
      </c>
    </row>
    <row r="128" spans="4:66" ht="20.100000000000001" customHeight="1" x14ac:dyDescent="0.25">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0"/>
    </row>
    <row r="133" spans="4:77" ht="20.100000000000001" customHeight="1" x14ac:dyDescent="0.25">
      <c r="D133" s="4" t="str" cm="1">
        <f t="array" ref="D133">Common_SourceData.Common_SourceData_FracWET_Source()</f>
        <v>VEERG 2026:5.5.2.3 Constant Parameters</v>
      </c>
      <c r="E133" s="10"/>
    </row>
    <row r="134" spans="4:77" ht="20.100000000000001" customHeight="1" x14ac:dyDescent="0.25">
      <c r="D134" t="s">
        <v>37</v>
      </c>
      <c r="E134" t="s">
        <v>38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11" t="s">
        <v>46</v>
      </c>
      <c r="E142" s="11" t="s">
        <v>38</v>
      </c>
      <c r="BN142" s="6"/>
    </row>
    <row r="143" spans="4:77" ht="20.100000000000001" customHeight="1" x14ac:dyDescent="0.25">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11" t="s">
        <v>34</v>
      </c>
      <c r="E153" s="11" t="s">
        <v>35</v>
      </c>
      <c r="BC153" s="2"/>
      <c r="BD153" s="2"/>
      <c r="BE153" s="2"/>
      <c r="BF153" s="2"/>
      <c r="BG153" s="2"/>
      <c r="BH153" s="2"/>
      <c r="BI153" s="2"/>
      <c r="BJ153" s="2"/>
      <c r="BK153" s="2"/>
      <c r="BL153" s="2"/>
      <c r="BM153" s="2"/>
    </row>
    <row r="154" spans="4:66" ht="20.100000000000001" customHeight="1" x14ac:dyDescent="0.25">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4:66" ht="20.100000000000001" customHeight="1" x14ac:dyDescent="0.25">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4:66" ht="20.100000000000001" customHeight="1" x14ac:dyDescent="0.25">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
  <sheetViews>
    <sheetView workbookViewId="0">
      <selection activeCell="A2" sqref="A2"/>
    </sheetView>
  </sheetViews>
  <sheetFormatPr defaultRowHeight="15" x14ac:dyDescent="0.25"/>
  <sheetData>
    <row r="1" spans="1:1" x14ac:dyDescent="0.25">
      <c r="A1" t="s">
        <v>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Home</vt:lpstr>
      <vt:lpstr>Constants - Common</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2026-04-23T01:30:42Z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