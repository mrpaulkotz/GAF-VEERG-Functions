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D2E58CD4-C075-453D-8582-BFB865924DA0}" xr6:coauthVersionLast="47" xr6:coauthVersionMax="47" xr10:uidLastSave="{00000000-0000-0000-0000-000000000000}"/>
  <bookViews>
    <workbookView xWindow="3120" yWindow="3120" windowWidth="28800" windowHeight="15345" firstSheet="2" activeTab="4"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3.1.1-2 Leach runoff crop" sheetId="123" r:id="rId10"/>
    <sheet name="6.3.1.1-2 Leach runoff pasture" sheetId="122" r:id="rId11"/>
    <sheet name="6.4.1.1-2 Residue burning" sheetId="114" r:id="rId12"/>
    <sheet name="Constants - Ag Residue" sheetId="110" r:id="rId13"/>
    <sheet name="Constants - Common" sheetId="125" r:id="rId14"/>
  </sheet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Fertiliser_InputFunctions.Fertiliser_SumProductApplied(
      _xlpm.ChemicalCompound,
      _xlpm.ProductIngredient1,
      _xlpm.calculatedAmount1
    ) + IFERROR(
      Fertiliser_InputFunctions.Fertiliser_SumProductApplied(
        _xlpm.ChemicalCompound,
        _xlpm.ProductIngredient2,
        _xlpm.calculatedAmount2
      ),
      0
    ) + IFERROR(
      Fertiliser_InputFunctions.Fertiliser_SumProductApplied(
        _xlpm.ChemicalCompound,
        _xlpm.ProductIngredient3,
        _xlpm.calculatedAmount3
      ),
      0
    ) + IFERROR(
      Fertiliser_InputFunctions.Fertiliser_SumProductApplied(
        _xlpm.ChemicalCompound,
        _xlpm.ProductIngredient4,
        _xlpm.calculatedAmount4
      ),
      0
    ) + IFERROR(
      Fertiliser_InputFunctions.Fertiliser_SumProductApplied(
        _xlpm.ChemicalCompound,
        _xlpm.ProductIngredient5,
        _xlpm.calculatedAmount5
      ),
      0
    ) + IFERROR(
      Fertiliser_InputFunctions.Fertiliser_SumProductApplied(
        _xlpm.ChemicalCompound,
        _xlpm.ProductIngredient6,
        _xlpm.calculatedAmount6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Fertiliser_InputFunctions.Fertiliser_SumProductApplied(
      _xlpm.ChemicalCompound,
      _xlpm.ProductIngredient1,
      _xlpm.calculatedAmount1,
      _xlpm.Source,
      _xlpm.ProductIngredientSource
    ) + IFERROR(
      Fertiliser_InputFunctions.Fertiliser_SumProductApplied(
        _xlpm.ChemicalCompound,
        _xlpm.ProductIngredient2,
        _xlpm.calculatedAmount2,
        _xlpm.Source,
        _xlpm.ProductIngredientSource
      ),
      0
    ) + IFERROR(
      Fertiliser_InputFunctions.Fertiliser_SumProductApplied(
        _xlpm.ChemicalCompound,
        _xlpm.ProductIngredient3,
        _xlpm.calculatedAmount3,
        _xlpm.Source,
        _xlpm.ProductIngredientSource
      ),
      0
    ) + IFERROR(
      Fertiliser_InputFunctions.Fertiliser_SumProductApplied(
        _xlpm.ChemicalCompound,
        _xlpm.ProductIngredient4,
        _xlpm.calculatedAmount4,
        _xlpm.Source,
        _xlpm.ProductIngredientSource
      ),
      0
    ) + IFERROR(
      Fertiliser_InputFunctions.Fertiliser_SumProductApplied(
        _xlpm.ChemicalCompound,
        _xlpm.ProductIngredient5,
        _xlpm.calculatedAmount5,
        _xlpm.Source,
        _xlpm.ProductIngredientSource
      ),
      0
    ) + IFERROR(
      Fertiliser_InputFunctions.Fertiliser_SumProductApplied(
        _xlpm.ChemicalCompound,
        _xlpm.ProductIngredient6,
        _xlpm.calculatedAmount6,
        _xlpm.Source,
        _xlpm.ProductIngredientSource
      ),
      0
    )
  )
)</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N2O" localSheetId="9">'6.3.1.1-2 Leach runoff crop'!$N$44:$O$46</definedName>
    <definedName name="M1_Table_E_N2O" localSheetId="10">'6.3.1.1-2 Leach runoff pasture'!$N$44:$O$46</definedName>
    <definedName name="M1_Table_E_N2O">'6.3.1.1-2 Leaching and runoff'!$N$44:$O$46</definedName>
    <definedName name="M1_Table_E_N2O_Consumer_1" localSheetId="9">'6.3.1.1-2 Leach runoff crop'!$D$44:$E$46</definedName>
    <definedName name="M1_Table_E_N2O_Consumer_1" localSheetId="10">'6.3.1.1-2 Leach runoff pasture'!$D$44:$E$46</definedName>
    <definedName name="M1_Table_E_N2O_Consumer_1">'6.3.1.1-2 Leaching and runoff'!$D$44:$E$46</definedName>
    <definedName name="M1_Table_M_leach_cp" localSheetId="9">'6.3.1.1-2 Leach runoff crop'!$D$23:$I$25</definedName>
    <definedName name="M1_Table_M_leach_cp" localSheetId="10">'6.3.1.1-2 Leach runoff pasture'!$D$23:$I$25</definedName>
    <definedName name="M1_Table_M_leach_cp">'6.3.1.1-2 Leaching and runoff'!$D$23:$I$25</definedName>
    <definedName name="M2_Table_M_leach_cp" localSheetId="9">'6.3.1.1-2 Leach runoff crop'!$N$23:$S$23</definedName>
    <definedName name="M2_Table_M_leach_cp" localSheetId="10">'6.3.1.1-2 Leach runoff pasture'!$N$23:$S$23</definedName>
    <definedName name="M2_Table_M_leach_cp">'6.3.1.1-2 Leaching and runoff'!$N$23:$S$23</definedName>
    <definedName name="Range_LivestockStartingValues">#REF!</definedName>
    <definedName name="Step1">#REF!</definedName>
    <definedName name="Step2">#REF!</definedName>
    <definedName name="Step3">#REF!</definedName>
    <definedName name="VEERG_6_1_1_1__1__NitrousOxideEmissionsFromCropResidues_Result_Method1">'6.1.1.1-2 Crop residue N2O'!$E$42</definedName>
    <definedName name="VEERG_6_1_1_1__1__NitrousOxideEmissionsFromCropResidues_Result_Method2">'6.1.1.1-2 Crop residue N2O'!$N$77</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CropOnly_Result_Method1">'6.3.1.1-2 Leach runoff crop'!$E$48</definedName>
    <definedName name="VEERG_6_3_1_1__1__LeachingAndRunoffEmissionsCropAndPastureResidue_CropOnly_Result_Method2">'6.3.1.1-2 Leach runoff crop'!$O$48</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9">'6.3.1.1-2 Leach runoff crop'!$E$48</definedName>
    <definedName name="VEERG_6_3_1_1__1__LeachingAndRunoffEmissionsCropAndPastureResidue_Result_Method1" localSheetId="10">'6.3.1.1-2 Leach runoff pasture'!$E$48</definedName>
    <definedName name="VEERG_6_3_1_1__1__LeachingAndRunoffEmissionsCropAndPastureResidue_Result_Method1">'6.3.1.1-2 Leaching and runoff'!$E$48</definedName>
    <definedName name="VEERG_6_3_1_1__1__LeachingAndRunoffEmissionsCropAndPastureResidue_Result_Method2" localSheetId="9">'6.3.1.1-2 Leach runoff crop'!$O$48</definedName>
    <definedName name="VEERG_6_3_1_1__1__LeachingAndRunoffEmissionsCropAndPastureResidue_Result_Method2" localSheetId="10">'6.3.1.1-2 Leach runoff pasture'!$O$48</definedName>
    <definedName name="VEERG_6_3_1_1__1__LeachingAndRunoffEmissionsCropAndPastureResidue_Result_Method2">'6.3.1.1-2 Leaching and runoff'!$O$48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Crop'!$E$43</definedName>
    <definedName name="X_Cell_Crop_PercentResidueGrazed">'Input - Crop'!$E$39</definedName>
    <definedName name="X_Cell_Crop_TotalProductionOfCrop">'Input - Crop'!$E$22</definedName>
    <definedName name="X_Cell_Crop_TotalResidueBaled">'Input - Crop'!$E$36</definedName>
    <definedName name="X_Cell_Crop_YieldPerHectare">'Input - Crop'!$E$17</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4" i="114" l="1"/>
  <c r="H41" i="114"/>
  <c r="Q50" i="122"/>
  <c r="G50" i="122"/>
  <c r="Q50" i="123"/>
  <c r="G50" i="123"/>
  <c r="Q50" i="113"/>
  <c r="G50" i="113"/>
  <c r="Q42" i="74"/>
  <c r="G42" i="74"/>
  <c r="P79" i="69"/>
  <c r="G44" i="69"/>
  <c r="E20" i="120"/>
  <c r="E19" i="120"/>
  <c r="E46" i="70"/>
  <c r="E44" i="70"/>
  <c r="E40" i="70"/>
  <c r="E36" i="70"/>
  <c r="E35" i="70"/>
  <c r="E30" i="70"/>
  <c r="D30" i="70"/>
  <c r="D26" i="70"/>
  <c r="D25" i="70"/>
  <c r="D24" i="70"/>
  <c r="F22" i="70"/>
  <c r="E22" i="70"/>
  <c r="E20" i="70"/>
  <c r="E19" i="70"/>
  <c r="E18" i="70"/>
  <c r="F17" i="70"/>
  <c r="D17" i="70"/>
  <c r="E33" i="15"/>
  <c r="E32" i="15"/>
  <c r="E31" i="15"/>
  <c r="E30" i="15"/>
  <c r="E29" i="15"/>
  <c r="E13" i="15"/>
  <c r="A25" i="125"/>
  <c r="A24" i="125"/>
  <c r="A20" i="125"/>
  <c r="A19" i="125"/>
  <c r="A18" i="125"/>
  <c r="A17" i="125"/>
  <c r="A16" i="125"/>
  <c r="A15" i="125"/>
  <c r="A11" i="125"/>
  <c r="A10" i="125"/>
  <c r="A9" i="125"/>
  <c r="A5" i="125"/>
  <c r="A4" i="125"/>
  <c r="A3" i="125"/>
  <c r="A25" i="110"/>
  <c r="A24" i="110"/>
  <c r="A20" i="110"/>
  <c r="A19" i="110"/>
  <c r="A18" i="110"/>
  <c r="A17" i="110"/>
  <c r="A16" i="110"/>
  <c r="A15" i="110"/>
  <c r="A11" i="110"/>
  <c r="A10" i="110"/>
  <c r="A9" i="110"/>
  <c r="A5" i="110"/>
  <c r="A4" i="110"/>
  <c r="A3" i="110"/>
  <c r="A25" i="114"/>
  <c r="A24" i="114"/>
  <c r="A20" i="114"/>
  <c r="A19" i="114"/>
  <c r="A18" i="114"/>
  <c r="A17" i="114"/>
  <c r="A16" i="114"/>
  <c r="A15" i="114"/>
  <c r="A11" i="114"/>
  <c r="A10" i="114"/>
  <c r="A9" i="114"/>
  <c r="A5" i="114"/>
  <c r="A4" i="114"/>
  <c r="A3" i="114"/>
  <c r="A25" i="122"/>
  <c r="A24" i="122"/>
  <c r="A20" i="122"/>
  <c r="A19" i="122"/>
  <c r="A18" i="122"/>
  <c r="A17" i="122"/>
  <c r="A16" i="122"/>
  <c r="A15" i="122"/>
  <c r="A11" i="122"/>
  <c r="A10" i="122"/>
  <c r="A9" i="122"/>
  <c r="A5" i="122"/>
  <c r="A4" i="122"/>
  <c r="A3" i="122"/>
  <c r="A25" i="123"/>
  <c r="A24" i="123"/>
  <c r="A20" i="123"/>
  <c r="A19" i="123"/>
  <c r="A18" i="123"/>
  <c r="A17" i="123"/>
  <c r="A16" i="123"/>
  <c r="A15" i="123"/>
  <c r="A11" i="123"/>
  <c r="A10" i="123"/>
  <c r="A9" i="123"/>
  <c r="A5" i="123"/>
  <c r="A4" i="123"/>
  <c r="A3" i="123"/>
  <c r="A25" i="113"/>
  <c r="A24" i="113"/>
  <c r="A20" i="113"/>
  <c r="A19" i="113"/>
  <c r="A18" i="113"/>
  <c r="A17" i="113"/>
  <c r="A16" i="113"/>
  <c r="A15" i="113"/>
  <c r="A11" i="113"/>
  <c r="A10" i="113"/>
  <c r="A9" i="113"/>
  <c r="A5" i="113"/>
  <c r="A4" i="113"/>
  <c r="A3" i="113"/>
  <c r="A25" i="74"/>
  <c r="A24" i="74"/>
  <c r="A20" i="74"/>
  <c r="A19" i="74"/>
  <c r="A18" i="74"/>
  <c r="A17" i="74"/>
  <c r="A16" i="74"/>
  <c r="A15" i="74"/>
  <c r="A11" i="74"/>
  <c r="A10" i="74"/>
  <c r="A9" i="74"/>
  <c r="A5" i="74"/>
  <c r="A4" i="74"/>
  <c r="A3" i="74"/>
  <c r="A25" i="69"/>
  <c r="A24" i="69"/>
  <c r="A20" i="69"/>
  <c r="A19" i="69"/>
  <c r="A18" i="69"/>
  <c r="A17" i="69"/>
  <c r="A16" i="69"/>
  <c r="A15" i="69"/>
  <c r="A11" i="69"/>
  <c r="A10" i="69"/>
  <c r="A9" i="69"/>
  <c r="A5" i="69"/>
  <c r="A4" i="69"/>
  <c r="A3" i="69"/>
  <c r="A25" i="120"/>
  <c r="A24" i="120"/>
  <c r="A20" i="120"/>
  <c r="A19" i="120"/>
  <c r="A18" i="120"/>
  <c r="A17" i="120"/>
  <c r="A16" i="120"/>
  <c r="A15" i="120"/>
  <c r="A11" i="120"/>
  <c r="A10" i="120"/>
  <c r="A9" i="120"/>
  <c r="A5" i="120"/>
  <c r="A4" i="120"/>
  <c r="A3" i="120"/>
  <c r="A25" i="70"/>
  <c r="A24" i="70"/>
  <c r="A20" i="70"/>
  <c r="A19" i="70"/>
  <c r="A18" i="70"/>
  <c r="A17" i="70"/>
  <c r="A16" i="70"/>
  <c r="A15" i="70"/>
  <c r="A11" i="70"/>
  <c r="A10" i="70"/>
  <c r="A9" i="70"/>
  <c r="A5" i="70"/>
  <c r="A4" i="70"/>
  <c r="A3" i="70"/>
  <c r="A25" i="15"/>
  <c r="A24" i="15"/>
  <c r="A20" i="15"/>
  <c r="A19" i="15"/>
  <c r="A18" i="15"/>
  <c r="A17" i="15"/>
  <c r="A16" i="15"/>
  <c r="A15" i="15"/>
  <c r="A11" i="15"/>
  <c r="A10" i="15"/>
  <c r="A9" i="15"/>
  <c r="A5" i="15"/>
  <c r="A4" i="15"/>
  <c r="A3" i="15"/>
  <c r="A25" i="13"/>
  <c r="A24" i="13"/>
  <c r="A20" i="13"/>
  <c r="A19" i="13"/>
  <c r="A18" i="13"/>
  <c r="A17" i="13"/>
  <c r="A16" i="13"/>
  <c r="A15" i="13"/>
  <c r="A11" i="13"/>
  <c r="A10" i="13"/>
  <c r="A9" i="13"/>
  <c r="A5" i="13"/>
  <c r="A4" i="13"/>
  <c r="A3" i="13"/>
  <c r="A25" i="118"/>
  <c r="A24" i="118"/>
  <c r="A20" i="118"/>
  <c r="A19" i="118"/>
  <c r="A18" i="118"/>
  <c r="A17" i="118"/>
  <c r="A16" i="118"/>
  <c r="A15" i="118"/>
  <c r="A11" i="118"/>
  <c r="A10" i="118"/>
  <c r="A9" i="118"/>
  <c r="A5" i="118"/>
  <c r="A4" i="118"/>
  <c r="A3" i="118"/>
  <c r="A25" i="71"/>
  <c r="A24" i="71"/>
  <c r="A20" i="71"/>
  <c r="A19" i="71"/>
  <c r="A18" i="71"/>
  <c r="A17" i="71"/>
  <c r="A16" i="71"/>
  <c r="A15" i="71"/>
  <c r="A11" i="71"/>
  <c r="A10" i="71"/>
  <c r="A9" i="71"/>
  <c r="A5" i="71"/>
  <c r="A4" i="71"/>
  <c r="A3" i="71"/>
  <c r="J37" i="122"/>
  <c r="J15" i="122"/>
  <c r="J37" i="123"/>
  <c r="J15" i="123"/>
  <c r="J37" i="113"/>
  <c r="J15" i="113"/>
  <c r="H25" i="122"/>
  <c r="H24" i="123"/>
  <c r="H25" i="113"/>
  <c r="H24" i="113"/>
  <c r="I59" i="114"/>
  <c r="I36" i="114"/>
  <c r="J38" i="122"/>
  <c r="J38" i="123"/>
  <c r="J38" i="113"/>
  <c r="J35" i="74"/>
  <c r="R73" i="69"/>
  <c r="I38" i="69"/>
  <c r="H65" i="114"/>
  <c r="H42" i="114"/>
  <c r="Q51" i="122"/>
  <c r="G51" i="122"/>
  <c r="Q51" i="123"/>
  <c r="G51" i="123"/>
  <c r="Q51" i="113"/>
  <c r="G51" i="113"/>
  <c r="Q43" i="74"/>
  <c r="G43" i="74"/>
  <c r="P80" i="69"/>
  <c r="G45" i="69"/>
  <c r="I22" i="69"/>
  <c r="E259" i="125" a="1"/>
  <c r="E259" i="125" s="1"/>
  <c r="D259" i="125" a="1"/>
  <c r="D259" i="125" s="1"/>
  <c r="E258" i="125" a="1"/>
  <c r="E258" i="125" s="1"/>
  <c r="D258" i="125" a="1"/>
  <c r="D258" i="125" s="1"/>
  <c r="D256" i="125" a="1"/>
  <c r="D256" i="125" s="1"/>
  <c r="D255" i="125" a="1"/>
  <c r="D255" i="125" s="1"/>
  <c r="D254" i="125"/>
  <c r="D254" i="125" a="1"/>
  <c r="D253" i="125" a="1"/>
  <c r="D253" i="125" s="1"/>
  <c r="S250" i="125" a="1"/>
  <c r="S250" i="125" s="1"/>
  <c r="R250" i="125" a="1"/>
  <c r="R250" i="125" s="1"/>
  <c r="Q250" i="125" a="1"/>
  <c r="Q250" i="125" s="1"/>
  <c r="P250" i="125" a="1"/>
  <c r="P250" i="125" s="1"/>
  <c r="O250" i="125" a="1"/>
  <c r="O250" i="125" s="1"/>
  <c r="N250" i="125" a="1"/>
  <c r="N250" i="125" s="1"/>
  <c r="M250" i="125" a="1"/>
  <c r="M250" i="125" s="1"/>
  <c r="L250" i="125" a="1"/>
  <c r="L250" i="125" s="1"/>
  <c r="K250" i="125" a="1"/>
  <c r="K250" i="125" s="1"/>
  <c r="J250" i="125" a="1"/>
  <c r="J250" i="125" s="1"/>
  <c r="I250" i="125" a="1"/>
  <c r="I250" i="125" s="1"/>
  <c r="H250" i="125" a="1"/>
  <c r="H250" i="125" s="1"/>
  <c r="G250" i="125" a="1"/>
  <c r="G250" i="125" s="1"/>
  <c r="F250" i="125" a="1"/>
  <c r="F250" i="125" s="1"/>
  <c r="E250" i="125" a="1"/>
  <c r="E250" i="125" s="1"/>
  <c r="D250" i="125" a="1"/>
  <c r="D250" i="125" s="1"/>
  <c r="S249" i="125" a="1"/>
  <c r="S249" i="125" s="1"/>
  <c r="R249" i="125" a="1"/>
  <c r="R249" i="125" s="1"/>
  <c r="Q249" i="125" a="1"/>
  <c r="Q249" i="125" s="1"/>
  <c r="P249" i="125" a="1"/>
  <c r="P249" i="125" s="1"/>
  <c r="O249" i="125" a="1"/>
  <c r="O249" i="125" s="1"/>
  <c r="N249" i="125" a="1"/>
  <c r="N249" i="125" s="1"/>
  <c r="M249" i="125" a="1"/>
  <c r="M249" i="125" s="1"/>
  <c r="L249" i="125" a="1"/>
  <c r="L249" i="125" s="1"/>
  <c r="K249" i="125" a="1"/>
  <c r="K249" i="125" s="1"/>
  <c r="J249" i="125" a="1"/>
  <c r="J249" i="125" s="1"/>
  <c r="I249" i="125" a="1"/>
  <c r="I249" i="125" s="1"/>
  <c r="H249" i="125" a="1"/>
  <c r="H249" i="125" s="1"/>
  <c r="G249" i="125" a="1"/>
  <c r="G249" i="125" s="1"/>
  <c r="F249" i="125" a="1"/>
  <c r="F249" i="125" s="1"/>
  <c r="E249" i="125" a="1"/>
  <c r="E249" i="125" s="1"/>
  <c r="D249" i="125" a="1"/>
  <c r="D249" i="125" s="1"/>
  <c r="S248" i="125" a="1"/>
  <c r="S248" i="125" s="1"/>
  <c r="R248" i="125" a="1"/>
  <c r="R248" i="125" s="1"/>
  <c r="Q248" i="125" a="1"/>
  <c r="Q248" i="125" s="1"/>
  <c r="P248" i="125" a="1"/>
  <c r="P248" i="125" s="1"/>
  <c r="O248" i="125" a="1"/>
  <c r="O248" i="125" s="1"/>
  <c r="N248" i="125" a="1"/>
  <c r="N248" i="125" s="1"/>
  <c r="M248" i="125" a="1"/>
  <c r="M248" i="125" s="1"/>
  <c r="L248" i="125" a="1"/>
  <c r="L248" i="125" s="1"/>
  <c r="K248" i="125" a="1"/>
  <c r="K248" i="125" s="1"/>
  <c r="J248" i="125" a="1"/>
  <c r="J248" i="125" s="1"/>
  <c r="I248" i="125" a="1"/>
  <c r="I248" i="125" s="1"/>
  <c r="H248" i="125" a="1"/>
  <c r="H248" i="125" s="1"/>
  <c r="G248" i="125" a="1"/>
  <c r="G248" i="125" s="1"/>
  <c r="F248" i="125" a="1"/>
  <c r="F248" i="125" s="1"/>
  <c r="E248" i="125" a="1"/>
  <c r="E248" i="125" s="1"/>
  <c r="D248" i="125" a="1"/>
  <c r="D248" i="125" s="1"/>
  <c r="S247" i="125" a="1"/>
  <c r="S247" i="125" s="1"/>
  <c r="R247" i="125" a="1"/>
  <c r="R247" i="125" s="1"/>
  <c r="Q247" i="125" a="1"/>
  <c r="Q247" i="125" s="1"/>
  <c r="P247" i="125" a="1"/>
  <c r="P247" i="125" s="1"/>
  <c r="O247" i="125" a="1"/>
  <c r="O247" i="125" s="1"/>
  <c r="N247" i="125" a="1"/>
  <c r="N247" i="125" s="1"/>
  <c r="M247" i="125" a="1"/>
  <c r="M247" i="125" s="1"/>
  <c r="L247" i="125" a="1"/>
  <c r="L247" i="125" s="1"/>
  <c r="K247" i="125" a="1"/>
  <c r="K247" i="125" s="1"/>
  <c r="J247" i="125" a="1"/>
  <c r="J247" i="125" s="1"/>
  <c r="I247" i="125" a="1"/>
  <c r="I247" i="125" s="1"/>
  <c r="H247" i="125" a="1"/>
  <c r="H247" i="125" s="1"/>
  <c r="G247" i="125" a="1"/>
  <c r="G247" i="125" s="1"/>
  <c r="F247" i="125" a="1"/>
  <c r="F247" i="125" s="1"/>
  <c r="E247" i="125" a="1"/>
  <c r="E247" i="125" s="1"/>
  <c r="D247" i="125" a="1"/>
  <c r="D247" i="125" s="1"/>
  <c r="S246" i="125" a="1"/>
  <c r="S246" i="125" s="1"/>
  <c r="R246" i="125" a="1"/>
  <c r="R246" i="125" s="1"/>
  <c r="Q246" i="125" a="1"/>
  <c r="Q246" i="125" s="1"/>
  <c r="P246" i="125" a="1"/>
  <c r="P246" i="125" s="1"/>
  <c r="O246" i="125" a="1"/>
  <c r="O246" i="125" s="1"/>
  <c r="N246" i="125" a="1"/>
  <c r="N246" i="125" s="1"/>
  <c r="M246" i="125" a="1"/>
  <c r="M246" i="125" s="1"/>
  <c r="L246" i="125" a="1"/>
  <c r="L246" i="125" s="1"/>
  <c r="K246" i="125" a="1"/>
  <c r="K246" i="125" s="1"/>
  <c r="J246" i="125" a="1"/>
  <c r="J246" i="125" s="1"/>
  <c r="I246" i="125" a="1"/>
  <c r="I246" i="125" s="1"/>
  <c r="H246" i="125" a="1"/>
  <c r="H246" i="125" s="1"/>
  <c r="G246" i="125" a="1"/>
  <c r="G246" i="125" s="1"/>
  <c r="F246" i="125" a="1"/>
  <c r="F246" i="125" s="1"/>
  <c r="E246" i="125" a="1"/>
  <c r="E246" i="125" s="1"/>
  <c r="D246" i="125" a="1"/>
  <c r="D246" i="125" s="1"/>
  <c r="S245" i="125" a="1"/>
  <c r="S245" i="125" s="1"/>
  <c r="R245" i="125" a="1"/>
  <c r="R245" i="125" s="1"/>
  <c r="Q245" i="125" a="1"/>
  <c r="Q245" i="125" s="1"/>
  <c r="P245" i="125" a="1"/>
  <c r="P245" i="125" s="1"/>
  <c r="O245" i="125" a="1"/>
  <c r="O245" i="125" s="1"/>
  <c r="N245" i="125" a="1"/>
  <c r="N245" i="125" s="1"/>
  <c r="M245" i="125" a="1"/>
  <c r="M245" i="125" s="1"/>
  <c r="L245" i="125" a="1"/>
  <c r="L245" i="125" s="1"/>
  <c r="K245" i="125" a="1"/>
  <c r="K245" i="125" s="1"/>
  <c r="J245" i="125" a="1"/>
  <c r="J245" i="125" s="1"/>
  <c r="I245" i="125" a="1"/>
  <c r="I245" i="125" s="1"/>
  <c r="H245" i="125" a="1"/>
  <c r="H245" i="125" s="1"/>
  <c r="G245" i="125" a="1"/>
  <c r="G245" i="125" s="1"/>
  <c r="F245" i="125" a="1"/>
  <c r="F245" i="125" s="1"/>
  <c r="E245" i="125" a="1"/>
  <c r="E245" i="125" s="1"/>
  <c r="D245" i="125" a="1"/>
  <c r="D245" i="125" s="1"/>
  <c r="S244" i="125" a="1"/>
  <c r="S244" i="125" s="1"/>
  <c r="R244" i="125" a="1"/>
  <c r="R244" i="125" s="1"/>
  <c r="Q244" i="125" a="1"/>
  <c r="Q244" i="125" s="1"/>
  <c r="P244" i="125" a="1"/>
  <c r="P244" i="125" s="1"/>
  <c r="O244" i="125" a="1"/>
  <c r="O244" i="125" s="1"/>
  <c r="N244" i="125" a="1"/>
  <c r="N244" i="125" s="1"/>
  <c r="M244" i="125" a="1"/>
  <c r="M244" i="125" s="1"/>
  <c r="L244" i="125" a="1"/>
  <c r="L244" i="125" s="1"/>
  <c r="K244" i="125" a="1"/>
  <c r="K244" i="125" s="1"/>
  <c r="J244" i="125" a="1"/>
  <c r="J244" i="125" s="1"/>
  <c r="I244" i="125" a="1"/>
  <c r="I244" i="125" s="1"/>
  <c r="H244" i="125" a="1"/>
  <c r="H244" i="125" s="1"/>
  <c r="G244" i="125" a="1"/>
  <c r="G244" i="125" s="1"/>
  <c r="F244" i="125" a="1"/>
  <c r="F244" i="125" s="1"/>
  <c r="E244" i="125" a="1"/>
  <c r="E244" i="125" s="1"/>
  <c r="D244" i="125" a="1"/>
  <c r="D244" i="125" s="1"/>
  <c r="S243" i="125" a="1"/>
  <c r="S243" i="125" s="1"/>
  <c r="R243" i="125" a="1"/>
  <c r="R243" i="125" s="1"/>
  <c r="Q243" i="125" a="1"/>
  <c r="Q243" i="125" s="1"/>
  <c r="P243" i="125" a="1"/>
  <c r="P243" i="125" s="1"/>
  <c r="O243" i="125" a="1"/>
  <c r="O243" i="125" s="1"/>
  <c r="N243" i="125" a="1"/>
  <c r="N243" i="125" s="1"/>
  <c r="M243" i="125" a="1"/>
  <c r="M243" i="125" s="1"/>
  <c r="L243" i="125" a="1"/>
  <c r="L243" i="125" s="1"/>
  <c r="K243" i="125" a="1"/>
  <c r="K243" i="125" s="1"/>
  <c r="J243" i="125" a="1"/>
  <c r="J243" i="125" s="1"/>
  <c r="I243" i="125" a="1"/>
  <c r="I243" i="125" s="1"/>
  <c r="H243" i="125" a="1"/>
  <c r="H243" i="125" s="1"/>
  <c r="G243" i="125" a="1"/>
  <c r="G243" i="125" s="1"/>
  <c r="F243" i="125" a="1"/>
  <c r="F243" i="125" s="1"/>
  <c r="E243" i="125" a="1"/>
  <c r="E243" i="125" s="1"/>
  <c r="D243" i="125" a="1"/>
  <c r="D243" i="125" s="1"/>
  <c r="S242" i="125" a="1"/>
  <c r="S242" i="125" s="1"/>
  <c r="R242" i="125" a="1"/>
  <c r="R242" i="125" s="1"/>
  <c r="Q242" i="125" a="1"/>
  <c r="Q242" i="125" s="1"/>
  <c r="P242" i="125" a="1"/>
  <c r="P242" i="125" s="1"/>
  <c r="O242" i="125" a="1"/>
  <c r="O242" i="125" s="1"/>
  <c r="N242" i="125" a="1"/>
  <c r="N242" i="125" s="1"/>
  <c r="M242" i="125" a="1"/>
  <c r="M242" i="125" s="1"/>
  <c r="L242" i="125" a="1"/>
  <c r="L242" i="125" s="1"/>
  <c r="K242" i="125" a="1"/>
  <c r="K242" i="125" s="1"/>
  <c r="J242" i="125" a="1"/>
  <c r="J242" i="125" s="1"/>
  <c r="I242" i="125" a="1"/>
  <c r="I242" i="125" s="1"/>
  <c r="H242" i="125" a="1"/>
  <c r="H242" i="125" s="1"/>
  <c r="G242" i="125" a="1"/>
  <c r="G242" i="125" s="1"/>
  <c r="F242" i="125" a="1"/>
  <c r="F242" i="125" s="1"/>
  <c r="E242" i="125" a="1"/>
  <c r="E242" i="125" s="1"/>
  <c r="D242" i="125" a="1"/>
  <c r="D242" i="125" s="1"/>
  <c r="S241" i="125" a="1"/>
  <c r="S241" i="125" s="1"/>
  <c r="R241" i="125" a="1"/>
  <c r="R241" i="125" s="1"/>
  <c r="Q241" i="125" a="1"/>
  <c r="Q241" i="125" s="1"/>
  <c r="P241" i="125" a="1"/>
  <c r="P241" i="125" s="1"/>
  <c r="O241" i="125" a="1"/>
  <c r="O241" i="125" s="1"/>
  <c r="N241" i="125" a="1"/>
  <c r="N241" i="125" s="1"/>
  <c r="M241" i="125" a="1"/>
  <c r="M241" i="125" s="1"/>
  <c r="L241" i="125" a="1"/>
  <c r="L241" i="125" s="1"/>
  <c r="K241" i="125" a="1"/>
  <c r="K241" i="125" s="1"/>
  <c r="J241" i="125" a="1"/>
  <c r="J241" i="125" s="1"/>
  <c r="I241" i="125" a="1"/>
  <c r="I241" i="125" s="1"/>
  <c r="H241" i="125" a="1"/>
  <c r="H241" i="125" s="1"/>
  <c r="G241" i="125" a="1"/>
  <c r="G241" i="125" s="1"/>
  <c r="F241" i="125" a="1"/>
  <c r="F241" i="125" s="1"/>
  <c r="E241" i="125" a="1"/>
  <c r="E241" i="125" s="1"/>
  <c r="D241" i="125" a="1"/>
  <c r="D241" i="125" s="1"/>
  <c r="S240" i="125" a="1"/>
  <c r="S240" i="125" s="1"/>
  <c r="R240" i="125" a="1"/>
  <c r="R240" i="125" s="1"/>
  <c r="Q240" i="125" a="1"/>
  <c r="Q240" i="125" s="1"/>
  <c r="P240" i="125" a="1"/>
  <c r="P240" i="125" s="1"/>
  <c r="O240" i="125" a="1"/>
  <c r="O240" i="125" s="1"/>
  <c r="N240" i="125" a="1"/>
  <c r="N240" i="125" s="1"/>
  <c r="M240" i="125" a="1"/>
  <c r="M240" i="125" s="1"/>
  <c r="L240" i="125" a="1"/>
  <c r="L240" i="125" s="1"/>
  <c r="K240" i="125" a="1"/>
  <c r="K240" i="125" s="1"/>
  <c r="J240" i="125" a="1"/>
  <c r="J240" i="125" s="1"/>
  <c r="I240" i="125" a="1"/>
  <c r="I240" i="125" s="1"/>
  <c r="H240" i="125" a="1"/>
  <c r="H240" i="125" s="1"/>
  <c r="G240" i="125" a="1"/>
  <c r="G240" i="125" s="1"/>
  <c r="F240" i="125" a="1"/>
  <c r="F240" i="125" s="1"/>
  <c r="E240" i="125" a="1"/>
  <c r="E240" i="125" s="1"/>
  <c r="D240" i="125" a="1"/>
  <c r="D240" i="125" s="1"/>
  <c r="S239" i="125" a="1"/>
  <c r="S239" i="125" s="1"/>
  <c r="R239" i="125" a="1"/>
  <c r="R239" i="125" s="1"/>
  <c r="Q239" i="125" a="1"/>
  <c r="Q239" i="125" s="1"/>
  <c r="P239" i="125" a="1"/>
  <c r="P239" i="125" s="1"/>
  <c r="O239" i="125" a="1"/>
  <c r="O239" i="125" s="1"/>
  <c r="N239" i="125" a="1"/>
  <c r="N239" i="125" s="1"/>
  <c r="M239" i="125" a="1"/>
  <c r="M239" i="125" s="1"/>
  <c r="L239" i="125" a="1"/>
  <c r="L239" i="125" s="1"/>
  <c r="K239" i="125" a="1"/>
  <c r="K239" i="125" s="1"/>
  <c r="J239" i="125" a="1"/>
  <c r="J239" i="125" s="1"/>
  <c r="I239" i="125" a="1"/>
  <c r="I239" i="125" s="1"/>
  <c r="H239" i="125" a="1"/>
  <c r="H239" i="125" s="1"/>
  <c r="G239" i="125" a="1"/>
  <c r="G239" i="125" s="1"/>
  <c r="F239" i="125" a="1"/>
  <c r="F239" i="125" s="1"/>
  <c r="E239" i="125" a="1"/>
  <c r="E239" i="125" s="1"/>
  <c r="D239" i="125" a="1"/>
  <c r="D239" i="125" s="1"/>
  <c r="S238" i="125" a="1"/>
  <c r="S238" i="125" s="1"/>
  <c r="R238" i="125" a="1"/>
  <c r="R238" i="125" s="1"/>
  <c r="Q238" i="125" a="1"/>
  <c r="Q238" i="125" s="1"/>
  <c r="P238" i="125" a="1"/>
  <c r="P238" i="125" s="1"/>
  <c r="O238" i="125" a="1"/>
  <c r="O238" i="125" s="1"/>
  <c r="N238" i="125" a="1"/>
  <c r="N238" i="125" s="1"/>
  <c r="M238" i="125" a="1"/>
  <c r="M238" i="125" s="1"/>
  <c r="L238" i="125" a="1"/>
  <c r="L238" i="125" s="1"/>
  <c r="K238" i="125" a="1"/>
  <c r="K238" i="125" s="1"/>
  <c r="J238" i="125" a="1"/>
  <c r="J238" i="125" s="1"/>
  <c r="I238" i="125" a="1"/>
  <c r="I238" i="125" s="1"/>
  <c r="H238" i="125" a="1"/>
  <c r="H238" i="125" s="1"/>
  <c r="G238" i="125" a="1"/>
  <c r="G238" i="125" s="1"/>
  <c r="F238" i="125" a="1"/>
  <c r="F238" i="125" s="1"/>
  <c r="E238" i="125" a="1"/>
  <c r="E238" i="125" s="1"/>
  <c r="D238" i="125" a="1"/>
  <c r="D238" i="125" s="1"/>
  <c r="S237" i="125" a="1"/>
  <c r="S237" i="125" s="1"/>
  <c r="R237" i="125" a="1"/>
  <c r="R237" i="125" s="1"/>
  <c r="Q237" i="125" a="1"/>
  <c r="Q237" i="125" s="1"/>
  <c r="P237" i="125" a="1"/>
  <c r="P237" i="125" s="1"/>
  <c r="O237" i="125" a="1"/>
  <c r="O237" i="125" s="1"/>
  <c r="N237" i="125" a="1"/>
  <c r="N237" i="125" s="1"/>
  <c r="M237" i="125" a="1"/>
  <c r="M237" i="125" s="1"/>
  <c r="L237" i="125" a="1"/>
  <c r="L237" i="125" s="1"/>
  <c r="K237" i="125" a="1"/>
  <c r="K237" i="125" s="1"/>
  <c r="J237" i="125" a="1"/>
  <c r="J237" i="125" s="1"/>
  <c r="I237" i="125" a="1"/>
  <c r="I237" i="125" s="1"/>
  <c r="H237" i="125" a="1"/>
  <c r="H237" i="125" s="1"/>
  <c r="G237" i="125" a="1"/>
  <c r="G237" i="125" s="1"/>
  <c r="F237" i="125" a="1"/>
  <c r="F237" i="125" s="1"/>
  <c r="E237" i="125" a="1"/>
  <c r="E237" i="125" s="1"/>
  <c r="D237" i="125" a="1"/>
  <c r="D237" i="125" s="1"/>
  <c r="S236" i="125" a="1"/>
  <c r="S236" i="125" s="1"/>
  <c r="R236" i="125" a="1"/>
  <c r="R236" i="125" s="1"/>
  <c r="Q236" i="125" a="1"/>
  <c r="Q236" i="125" s="1"/>
  <c r="P236" i="125" a="1"/>
  <c r="P236" i="125" s="1"/>
  <c r="O236" i="125" a="1"/>
  <c r="O236" i="125" s="1"/>
  <c r="N236" i="125" a="1"/>
  <c r="N236" i="125" s="1"/>
  <c r="M236" i="125" a="1"/>
  <c r="M236" i="125" s="1"/>
  <c r="L236" i="125" a="1"/>
  <c r="L236" i="125" s="1"/>
  <c r="K236" i="125" a="1"/>
  <c r="K236" i="125" s="1"/>
  <c r="J236" i="125" a="1"/>
  <c r="J236" i="125" s="1"/>
  <c r="I236" i="125" a="1"/>
  <c r="I236" i="125" s="1"/>
  <c r="H236" i="125" a="1"/>
  <c r="H236" i="125" s="1"/>
  <c r="G236" i="125" a="1"/>
  <c r="G236" i="125" s="1"/>
  <c r="F236" i="125" a="1"/>
  <c r="F236" i="125" s="1"/>
  <c r="E236" i="125" a="1"/>
  <c r="E236" i="125" s="1"/>
  <c r="D236" i="125" a="1"/>
  <c r="D236" i="125" s="1"/>
  <c r="S235" i="125" a="1"/>
  <c r="S235" i="125" s="1"/>
  <c r="R235" i="125" a="1"/>
  <c r="R235" i="125" s="1"/>
  <c r="Q235" i="125" a="1"/>
  <c r="Q235" i="125" s="1"/>
  <c r="P235" i="125" a="1"/>
  <c r="P235" i="125" s="1"/>
  <c r="O235" i="125" a="1"/>
  <c r="O235" i="125" s="1"/>
  <c r="N235" i="125" a="1"/>
  <c r="N235" i="125" s="1"/>
  <c r="M235" i="125" a="1"/>
  <c r="M235" i="125" s="1"/>
  <c r="L235" i="125" a="1"/>
  <c r="L235" i="125" s="1"/>
  <c r="K235" i="125" a="1"/>
  <c r="K235" i="125" s="1"/>
  <c r="J235" i="125" a="1"/>
  <c r="J235" i="125" s="1"/>
  <c r="I235" i="125" a="1"/>
  <c r="I235" i="125" s="1"/>
  <c r="H235" i="125" a="1"/>
  <c r="H235" i="125" s="1"/>
  <c r="G235" i="125" a="1"/>
  <c r="G235" i="125" s="1"/>
  <c r="F235" i="125" a="1"/>
  <c r="F235" i="125" s="1"/>
  <c r="E235" i="125" a="1"/>
  <c r="E235" i="125" s="1"/>
  <c r="D235" i="125" a="1"/>
  <c r="D235" i="125" s="1"/>
  <c r="S234" i="125" a="1"/>
  <c r="S234" i="125" s="1"/>
  <c r="R234" i="125" a="1"/>
  <c r="R234" i="125" s="1"/>
  <c r="Q234" i="125" a="1"/>
  <c r="Q234" i="125" s="1"/>
  <c r="P234" i="125" a="1"/>
  <c r="P234" i="125" s="1"/>
  <c r="O234" i="125" a="1"/>
  <c r="O234" i="125" s="1"/>
  <c r="N234" i="125" a="1"/>
  <c r="N234" i="125" s="1"/>
  <c r="M234" i="125" a="1"/>
  <c r="M234" i="125" s="1"/>
  <c r="L234" i="125" a="1"/>
  <c r="L234" i="125" s="1"/>
  <c r="K234" i="125" a="1"/>
  <c r="K234" i="125" s="1"/>
  <c r="J234" i="125" a="1"/>
  <c r="J234" i="125" s="1"/>
  <c r="I234" i="125" a="1"/>
  <c r="I234" i="125" s="1"/>
  <c r="H234" i="125" a="1"/>
  <c r="H234" i="125" s="1"/>
  <c r="G234" i="125" a="1"/>
  <c r="G234" i="125" s="1"/>
  <c r="F234" i="125" a="1"/>
  <c r="F234" i="125" s="1"/>
  <c r="E234" i="125" a="1"/>
  <c r="E234" i="125" s="1"/>
  <c r="D234" i="125" a="1"/>
  <c r="D234" i="125" s="1"/>
  <c r="S233" i="125" a="1"/>
  <c r="S233" i="125" s="1"/>
  <c r="R233" i="125" a="1"/>
  <c r="R233" i="125" s="1"/>
  <c r="Q233" i="125" a="1"/>
  <c r="Q233" i="125" s="1"/>
  <c r="P233" i="125" a="1"/>
  <c r="P233" i="125" s="1"/>
  <c r="O233" i="125" a="1"/>
  <c r="O233" i="125" s="1"/>
  <c r="N233" i="125" a="1"/>
  <c r="N233" i="125" s="1"/>
  <c r="M233" i="125" a="1"/>
  <c r="M233" i="125" s="1"/>
  <c r="L233" i="125" a="1"/>
  <c r="L233" i="125" s="1"/>
  <c r="K233" i="125" a="1"/>
  <c r="K233" i="125" s="1"/>
  <c r="J233" i="125" a="1"/>
  <c r="J233" i="125" s="1"/>
  <c r="I233" i="125" a="1"/>
  <c r="I233" i="125" s="1"/>
  <c r="H233" i="125" a="1"/>
  <c r="H233" i="125" s="1"/>
  <c r="G233" i="125" a="1"/>
  <c r="G233" i="125" s="1"/>
  <c r="F233" i="125" a="1"/>
  <c r="F233" i="125" s="1"/>
  <c r="E233" i="125" a="1"/>
  <c r="E233" i="125" s="1"/>
  <c r="D233" i="125" a="1"/>
  <c r="D233" i="125" s="1"/>
  <c r="S232" i="125" a="1"/>
  <c r="S232" i="125" s="1"/>
  <c r="R232" i="125" a="1"/>
  <c r="R232" i="125" s="1"/>
  <c r="Q232" i="125" a="1"/>
  <c r="Q232" i="125" s="1"/>
  <c r="P232" i="125" a="1"/>
  <c r="P232" i="125" s="1"/>
  <c r="O232" i="125" a="1"/>
  <c r="O232" i="125" s="1"/>
  <c r="N232" i="125" a="1"/>
  <c r="N232" i="125" s="1"/>
  <c r="M232" i="125" a="1"/>
  <c r="M232" i="125" s="1"/>
  <c r="L232" i="125" a="1"/>
  <c r="L232" i="125" s="1"/>
  <c r="K232" i="125" a="1"/>
  <c r="K232" i="125" s="1"/>
  <c r="J232" i="125" a="1"/>
  <c r="J232" i="125" s="1"/>
  <c r="I232" i="125" a="1"/>
  <c r="I232" i="125" s="1"/>
  <c r="H232" i="125" a="1"/>
  <c r="H232" i="125" s="1"/>
  <c r="G232" i="125" a="1"/>
  <c r="G232" i="125" s="1"/>
  <c r="F232" i="125" a="1"/>
  <c r="F232" i="125" s="1"/>
  <c r="E232" i="125" a="1"/>
  <c r="E232" i="125" s="1"/>
  <c r="D232" i="125" a="1"/>
  <c r="D232" i="125" s="1"/>
  <c r="D229" i="125" a="1"/>
  <c r="D229" i="125" s="1"/>
  <c r="D228" i="125" a="1"/>
  <c r="D228" i="125" s="1"/>
  <c r="D227" i="125" a="1"/>
  <c r="D227" i="125" s="1"/>
  <c r="E224" i="125" a="1"/>
  <c r="E224" i="125" s="1"/>
  <c r="D224" i="125" a="1"/>
  <c r="D224" i="125" s="1"/>
  <c r="E223" i="125" a="1"/>
  <c r="E223" i="125" s="1"/>
  <c r="D223" i="125" a="1"/>
  <c r="D223" i="125" s="1"/>
  <c r="E222" i="125" a="1"/>
  <c r="E222" i="125" s="1"/>
  <c r="D222" i="125" a="1"/>
  <c r="D222" i="125" s="1"/>
  <c r="E221" i="125" a="1"/>
  <c r="E221" i="125" s="1"/>
  <c r="D221" i="125" a="1"/>
  <c r="D221" i="125" s="1"/>
  <c r="E220" i="125" a="1"/>
  <c r="E220" i="125" s="1"/>
  <c r="D220" i="125" a="1"/>
  <c r="D220" i="125" s="1"/>
  <c r="E219" i="125" a="1"/>
  <c r="E219" i="125" s="1"/>
  <c r="D219" i="125" a="1"/>
  <c r="D219" i="125" s="1"/>
  <c r="E218" i="125" a="1"/>
  <c r="E218" i="125" s="1"/>
  <c r="D218" i="125" a="1"/>
  <c r="D218" i="125" s="1"/>
  <c r="E217" i="125" a="1"/>
  <c r="E217" i="125" s="1"/>
  <c r="D217" i="125" a="1"/>
  <c r="D217" i="125" s="1"/>
  <c r="E216" i="125" a="1"/>
  <c r="E216" i="125" s="1"/>
  <c r="D216" i="125" a="1"/>
  <c r="D216" i="125" s="1"/>
  <c r="E215" i="125" a="1"/>
  <c r="E215" i="125" s="1"/>
  <c r="D215" i="125" a="1"/>
  <c r="D215" i="125" s="1"/>
  <c r="E214" i="125" a="1"/>
  <c r="E214" i="125" s="1"/>
  <c r="D214" i="125" a="1"/>
  <c r="D214" i="125" s="1"/>
  <c r="E213" i="125" a="1"/>
  <c r="E213" i="125" s="1"/>
  <c r="D213" i="125" a="1"/>
  <c r="D213" i="125" s="1"/>
  <c r="D211" i="125" a="1"/>
  <c r="D211" i="125" s="1"/>
  <c r="E208" i="125" a="1"/>
  <c r="E208" i="125" s="1"/>
  <c r="D208" i="125" a="1"/>
  <c r="D208" i="125" s="1"/>
  <c r="E207" i="125" a="1"/>
  <c r="E207" i="125" s="1"/>
  <c r="D207" i="125" a="1"/>
  <c r="D207" i="125" s="1"/>
  <c r="D205" i="125" a="1"/>
  <c r="D205" i="125" s="1"/>
  <c r="D204" i="125" a="1"/>
  <c r="D204" i="125" s="1"/>
  <c r="D203" i="125" a="1"/>
  <c r="D203" i="125" s="1"/>
  <c r="D202" i="125" a="1"/>
  <c r="D202" i="125" s="1"/>
  <c r="H199" i="125" a="1"/>
  <c r="H199" i="125" s="1"/>
  <c r="G199" i="125" a="1"/>
  <c r="G199" i="125" s="1"/>
  <c r="F199" i="125" a="1"/>
  <c r="F199" i="125" s="1"/>
  <c r="E199" i="125" a="1"/>
  <c r="E199" i="125" s="1"/>
  <c r="D199" i="125" a="1"/>
  <c r="D199" i="125" s="1"/>
  <c r="H198" i="125" a="1"/>
  <c r="H198" i="125" s="1"/>
  <c r="G198" i="125" a="1"/>
  <c r="G198" i="125" s="1"/>
  <c r="F198" i="125" a="1"/>
  <c r="F198" i="125" s="1"/>
  <c r="E198" i="125" a="1"/>
  <c r="E198" i="125" s="1"/>
  <c r="D198" i="125" a="1"/>
  <c r="D198" i="125" s="1"/>
  <c r="H197" i="125" a="1"/>
  <c r="H197" i="125" s="1"/>
  <c r="G197" i="125" a="1"/>
  <c r="G197" i="125" s="1"/>
  <c r="F197" i="125" a="1"/>
  <c r="F197" i="125" s="1"/>
  <c r="E197" i="125" a="1"/>
  <c r="E197" i="125" s="1"/>
  <c r="D197" i="125" a="1"/>
  <c r="D197" i="125" s="1"/>
  <c r="H196" i="125" a="1"/>
  <c r="H196" i="125" s="1"/>
  <c r="G196" i="125" a="1"/>
  <c r="G196" i="125" s="1"/>
  <c r="F196" i="125" a="1"/>
  <c r="F196" i="125" s="1"/>
  <c r="E196" i="125" a="1"/>
  <c r="E196" i="125" s="1"/>
  <c r="D196" i="125" a="1"/>
  <c r="D196" i="125" s="1"/>
  <c r="H195" i="125" a="1"/>
  <c r="H195" i="125" s="1"/>
  <c r="G195" i="125" a="1"/>
  <c r="G195" i="125" s="1"/>
  <c r="F195" i="125" a="1"/>
  <c r="F195" i="125" s="1"/>
  <c r="E195" i="125" a="1"/>
  <c r="E195" i="125" s="1"/>
  <c r="D195" i="125" a="1"/>
  <c r="D195" i="125" s="1"/>
  <c r="H194" i="125" a="1"/>
  <c r="H194" i="125" s="1"/>
  <c r="G194" i="125" a="1"/>
  <c r="G194" i="125" s="1"/>
  <c r="F194" i="125" a="1"/>
  <c r="F194" i="125" s="1"/>
  <c r="E194" i="125" a="1"/>
  <c r="E194" i="125" s="1"/>
  <c r="D194" i="125" a="1"/>
  <c r="D194" i="125" s="1"/>
  <c r="H193" i="125" a="1"/>
  <c r="H193" i="125" s="1"/>
  <c r="G193" i="125" a="1"/>
  <c r="G193" i="125" s="1"/>
  <c r="F193" i="125" a="1"/>
  <c r="F193" i="125" s="1"/>
  <c r="E193" i="125" a="1"/>
  <c r="E193" i="125" s="1"/>
  <c r="D193" i="125" a="1"/>
  <c r="D193" i="125" s="1"/>
  <c r="H192" i="125" a="1"/>
  <c r="H192" i="125" s="1"/>
  <c r="G192" i="125" a="1"/>
  <c r="G192" i="125" s="1"/>
  <c r="F192" i="125" a="1"/>
  <c r="F192" i="125" s="1"/>
  <c r="E192" i="125" a="1"/>
  <c r="E192" i="125" s="1"/>
  <c r="D192" i="125" a="1"/>
  <c r="D192" i="125" s="1"/>
  <c r="H191" i="125" a="1"/>
  <c r="H191" i="125" s="1"/>
  <c r="G191" i="125" a="1"/>
  <c r="G191" i="125" s="1"/>
  <c r="F191" i="125" a="1"/>
  <c r="F191" i="125" s="1"/>
  <c r="E191" i="125" a="1"/>
  <c r="E191" i="125" s="1"/>
  <c r="D191" i="125" a="1"/>
  <c r="D191" i="125" s="1"/>
  <c r="H190" i="125" a="1"/>
  <c r="H190" i="125" s="1"/>
  <c r="G190" i="125" a="1"/>
  <c r="G190" i="125" s="1"/>
  <c r="F190" i="125" a="1"/>
  <c r="F190" i="125" s="1"/>
  <c r="E190" i="125" a="1"/>
  <c r="E190" i="125" s="1"/>
  <c r="D190" i="125" a="1"/>
  <c r="D190" i="125" s="1"/>
  <c r="H189" i="125" a="1"/>
  <c r="H189" i="125" s="1"/>
  <c r="G189" i="125" a="1"/>
  <c r="G189" i="125" s="1"/>
  <c r="F189" i="125" a="1"/>
  <c r="F189" i="125" s="1"/>
  <c r="E189" i="125" a="1"/>
  <c r="E189" i="125" s="1"/>
  <c r="D189" i="125" a="1"/>
  <c r="D189" i="125" s="1"/>
  <c r="H188" i="125" a="1"/>
  <c r="H188" i="125" s="1"/>
  <c r="G188" i="125" a="1"/>
  <c r="G188" i="125" s="1"/>
  <c r="F188" i="125" a="1"/>
  <c r="F188" i="125" s="1"/>
  <c r="E188" i="125" a="1"/>
  <c r="E188" i="125" s="1"/>
  <c r="D188" i="125" a="1"/>
  <c r="D188" i="125" s="1"/>
  <c r="H187" i="125" a="1"/>
  <c r="H187" i="125" s="1"/>
  <c r="G187" i="125" a="1"/>
  <c r="G187" i="125" s="1"/>
  <c r="F187" i="125" a="1"/>
  <c r="F187" i="125" s="1"/>
  <c r="E187" i="125" a="1"/>
  <c r="E187" i="125" s="1"/>
  <c r="D187" i="125" a="1"/>
  <c r="D187" i="125" s="1"/>
  <c r="D181" i="125" a="1"/>
  <c r="D181" i="125" s="1"/>
  <c r="D180" i="125" a="1"/>
  <c r="D180" i="125" s="1"/>
  <c r="D179" i="125" a="1"/>
  <c r="D179" i="125" s="1"/>
  <c r="D178" i="125" a="1"/>
  <c r="D178" i="125" s="1"/>
  <c r="E175" i="125" a="1"/>
  <c r="E175" i="125" s="1"/>
  <c r="D175" i="125" a="1"/>
  <c r="D175" i="125" s="1"/>
  <c r="D174" i="125" a="1"/>
  <c r="D174" i="125" s="1"/>
  <c r="D173" i="125" a="1"/>
  <c r="D173" i="125" s="1"/>
  <c r="D170" i="125" a="1"/>
  <c r="D170" i="125" s="1"/>
  <c r="D169" i="125" a="1"/>
  <c r="D169" i="125" s="1"/>
  <c r="D168" i="125"/>
  <c r="D168" i="125" a="1"/>
  <c r="D167" i="125"/>
  <c r="D167" i="125" a="1"/>
  <c r="D164" i="125" a="1"/>
  <c r="D164" i="125" s="1"/>
  <c r="D163" i="125" a="1"/>
  <c r="D163" i="125" s="1"/>
  <c r="D162" i="125" a="1"/>
  <c r="D162" i="125" s="1"/>
  <c r="D161" i="125" a="1"/>
  <c r="D161" i="125" s="1"/>
  <c r="E158" i="125" a="1"/>
  <c r="E158" i="125" s="1"/>
  <c r="D158" i="125" a="1"/>
  <c r="D158" i="125" s="1"/>
  <c r="E157" i="125" a="1"/>
  <c r="E157" i="125" s="1"/>
  <c r="D157" i="125" a="1"/>
  <c r="D157" i="125" s="1"/>
  <c r="E156" i="125" a="1"/>
  <c r="E156" i="125" s="1"/>
  <c r="D156" i="125" a="1"/>
  <c r="D156" i="125" s="1"/>
  <c r="E155" i="125" a="1"/>
  <c r="E155" i="125" s="1"/>
  <c r="D155" i="125" a="1"/>
  <c r="D155" i="125" s="1"/>
  <c r="E154" i="125" a="1"/>
  <c r="E154" i="125" s="1"/>
  <c r="D154" i="125" a="1"/>
  <c r="D154" i="125" s="1"/>
  <c r="D151" i="125"/>
  <c r="D151" i="125" a="1"/>
  <c r="D150" i="125" a="1"/>
  <c r="D150" i="125" s="1"/>
  <c r="E147" i="125" a="1"/>
  <c r="E147" i="125" s="1"/>
  <c r="D147" i="125" a="1"/>
  <c r="D147" i="125" s="1"/>
  <c r="E146" i="125" a="1"/>
  <c r="E146" i="125" s="1"/>
  <c r="D146" i="125" a="1"/>
  <c r="D146" i="125" s="1"/>
  <c r="E145" i="125" a="1"/>
  <c r="E145" i="125" s="1"/>
  <c r="D145" i="125" a="1"/>
  <c r="D145" i="125" s="1"/>
  <c r="E144" i="125" a="1"/>
  <c r="E144" i="125" s="1"/>
  <c r="D144" i="125" a="1"/>
  <c r="D144" i="125" s="1"/>
  <c r="E143" i="125" a="1"/>
  <c r="E143" i="125" s="1"/>
  <c r="D143" i="125" a="1"/>
  <c r="D143" i="125" s="1"/>
  <c r="D141" i="125" a="1"/>
  <c r="D141" i="125" s="1"/>
  <c r="D140" i="125" a="1"/>
  <c r="D140" i="125" s="1"/>
  <c r="D139" i="125"/>
  <c r="D139" i="125" a="1"/>
  <c r="E136" i="125" a="1"/>
  <c r="E136" i="125" s="1"/>
  <c r="D136" i="125" a="1"/>
  <c r="D136" i="125" s="1"/>
  <c r="E135" i="125" a="1"/>
  <c r="E135" i="125" s="1"/>
  <c r="D135" i="125" a="1"/>
  <c r="D135" i="125" s="1"/>
  <c r="D133" i="125" a="1"/>
  <c r="D133" i="125" s="1"/>
  <c r="D132" i="125"/>
  <c r="D132" i="125" a="1"/>
  <c r="E129" i="125" a="1"/>
  <c r="E129" i="125" s="1"/>
  <c r="D129" i="125" a="1"/>
  <c r="D129" i="125" s="1"/>
  <c r="E128" i="125" a="1"/>
  <c r="E128" i="125" s="1"/>
  <c r="D128" i="125" a="1"/>
  <c r="D128" i="125" s="1"/>
  <c r="D125" i="125" a="1"/>
  <c r="D125" i="125" s="1"/>
  <c r="D124" i="125" a="1"/>
  <c r="D124" i="125" s="1"/>
  <c r="G121" i="125" a="1"/>
  <c r="G121" i="125" s="1"/>
  <c r="F121" i="125" a="1"/>
  <c r="F121" i="125" s="1"/>
  <c r="E121" i="125" a="1"/>
  <c r="E121" i="125" s="1"/>
  <c r="D121" i="125" a="1"/>
  <c r="D121" i="125" s="1"/>
  <c r="G120" i="125" a="1"/>
  <c r="G120" i="125" s="1"/>
  <c r="F120" i="125" a="1"/>
  <c r="F120" i="125" s="1"/>
  <c r="E120" i="125" a="1"/>
  <c r="E120" i="125" s="1"/>
  <c r="D120" i="125" a="1"/>
  <c r="D120" i="125" s="1"/>
  <c r="D117" i="125" a="1"/>
  <c r="D117" i="125" s="1"/>
  <c r="D116" i="125" a="1"/>
  <c r="D116" i="125" s="1"/>
  <c r="D115" i="125" a="1"/>
  <c r="D115" i="125" s="1"/>
  <c r="G112" i="125" a="1"/>
  <c r="G112" i="125" s="1"/>
  <c r="F112" i="125" a="1"/>
  <c r="F112" i="125" s="1"/>
  <c r="E112" i="125" a="1"/>
  <c r="E112" i="125" s="1"/>
  <c r="D112" i="125" a="1"/>
  <c r="D112" i="125" s="1"/>
  <c r="G111" i="125" a="1"/>
  <c r="G111" i="125" s="1"/>
  <c r="F111" i="125" a="1"/>
  <c r="F111" i="125" s="1"/>
  <c r="E111" i="125" a="1"/>
  <c r="E111" i="125" s="1"/>
  <c r="D111" i="125" a="1"/>
  <c r="D111" i="125" s="1"/>
  <c r="G110" i="125" a="1"/>
  <c r="G110" i="125" s="1"/>
  <c r="F110" i="125" a="1"/>
  <c r="F110" i="125" s="1"/>
  <c r="E110" i="125" a="1"/>
  <c r="E110" i="125" s="1"/>
  <c r="D110" i="125" a="1"/>
  <c r="D110" i="125" s="1"/>
  <c r="D107" i="125" a="1"/>
  <c r="D107" i="125" s="1"/>
  <c r="D106" i="125" a="1"/>
  <c r="D106" i="125" s="1"/>
  <c r="D105" i="125" a="1"/>
  <c r="D105" i="125" s="1"/>
  <c r="D99" i="125" a="1"/>
  <c r="D99" i="125" s="1"/>
  <c r="S97" i="125" a="1"/>
  <c r="S97" i="125" s="1"/>
  <c r="R97" i="125" a="1"/>
  <c r="R97" i="125" s="1"/>
  <c r="Q97" i="125" a="1"/>
  <c r="Q97" i="125" s="1"/>
  <c r="P97" i="125" a="1"/>
  <c r="P97" i="125" s="1"/>
  <c r="O97" i="125" a="1"/>
  <c r="O97" i="125" s="1"/>
  <c r="N97" i="125" a="1"/>
  <c r="N97" i="125" s="1"/>
  <c r="M97" i="125" a="1"/>
  <c r="M97" i="125" s="1"/>
  <c r="L97" i="125" a="1"/>
  <c r="L97" i="125" s="1"/>
  <c r="K97" i="125" a="1"/>
  <c r="K97" i="125" s="1"/>
  <c r="J97" i="125" a="1"/>
  <c r="J97" i="125" s="1"/>
  <c r="I97" i="125" a="1"/>
  <c r="I97" i="125" s="1"/>
  <c r="H97" i="125" a="1"/>
  <c r="H97" i="125" s="1"/>
  <c r="G97" i="125" a="1"/>
  <c r="G97" i="125" s="1"/>
  <c r="F97" i="125" a="1"/>
  <c r="F97" i="125" s="1"/>
  <c r="E97" i="125" a="1"/>
  <c r="E97" i="125" s="1"/>
  <c r="D97" i="125" a="1"/>
  <c r="D97" i="125" s="1"/>
  <c r="S96" i="125" a="1"/>
  <c r="S96" i="125" s="1"/>
  <c r="R96" i="125" a="1"/>
  <c r="R96" i="125" s="1"/>
  <c r="Q96" i="125" a="1"/>
  <c r="Q96" i="125" s="1"/>
  <c r="P96" i="125" a="1"/>
  <c r="P96" i="125" s="1"/>
  <c r="O96" i="125" a="1"/>
  <c r="O96" i="125" s="1"/>
  <c r="N96" i="125" a="1"/>
  <c r="N96" i="125" s="1"/>
  <c r="M96" i="125" a="1"/>
  <c r="M96" i="125" s="1"/>
  <c r="L96" i="125" a="1"/>
  <c r="L96" i="125" s="1"/>
  <c r="K96" i="125" a="1"/>
  <c r="K96" i="125" s="1"/>
  <c r="J96" i="125" a="1"/>
  <c r="J96" i="125" s="1"/>
  <c r="I96" i="125" a="1"/>
  <c r="I96" i="125" s="1"/>
  <c r="H96" i="125" a="1"/>
  <c r="H96" i="125" s="1"/>
  <c r="G96" i="125" a="1"/>
  <c r="G96" i="125" s="1"/>
  <c r="F96" i="125" a="1"/>
  <c r="F96" i="125" s="1"/>
  <c r="E96" i="125" a="1"/>
  <c r="E96" i="125" s="1"/>
  <c r="D96" i="125" a="1"/>
  <c r="D96" i="125" s="1"/>
  <c r="S95" i="125" a="1"/>
  <c r="S95" i="125" s="1"/>
  <c r="R95" i="125" a="1"/>
  <c r="R95" i="125" s="1"/>
  <c r="Q95" i="125" a="1"/>
  <c r="Q95" i="125" s="1"/>
  <c r="P95" i="125" a="1"/>
  <c r="P95" i="125" s="1"/>
  <c r="O95" i="125" a="1"/>
  <c r="O95" i="125" s="1"/>
  <c r="N95" i="125" a="1"/>
  <c r="N95" i="125" s="1"/>
  <c r="M95" i="125" a="1"/>
  <c r="M95" i="125" s="1"/>
  <c r="L95" i="125" a="1"/>
  <c r="L95" i="125" s="1"/>
  <c r="K95" i="125" a="1"/>
  <c r="K95" i="125" s="1"/>
  <c r="J95" i="125" a="1"/>
  <c r="J95" i="125" s="1"/>
  <c r="I95" i="125" a="1"/>
  <c r="I95" i="125" s="1"/>
  <c r="H95" i="125" a="1"/>
  <c r="H95" i="125" s="1"/>
  <c r="G95" i="125" a="1"/>
  <c r="G95" i="125" s="1"/>
  <c r="F95" i="125" a="1"/>
  <c r="F95" i="125" s="1"/>
  <c r="E95" i="125" a="1"/>
  <c r="E95" i="125" s="1"/>
  <c r="D95" i="125" a="1"/>
  <c r="D95" i="125" s="1"/>
  <c r="S94" i="125" a="1"/>
  <c r="S94" i="125" s="1"/>
  <c r="R94" i="125" a="1"/>
  <c r="R94" i="125" s="1"/>
  <c r="Q94" i="125" a="1"/>
  <c r="Q94" i="125" s="1"/>
  <c r="P94" i="125" a="1"/>
  <c r="P94" i="125" s="1"/>
  <c r="O94" i="125" a="1"/>
  <c r="O94" i="125" s="1"/>
  <c r="N94" i="125" a="1"/>
  <c r="N94" i="125" s="1"/>
  <c r="M94" i="125" a="1"/>
  <c r="M94" i="125" s="1"/>
  <c r="L94" i="125" a="1"/>
  <c r="L94" i="125" s="1"/>
  <c r="K94" i="125" a="1"/>
  <c r="K94" i="125" s="1"/>
  <c r="J94" i="125" a="1"/>
  <c r="J94" i="125" s="1"/>
  <c r="I94" i="125" a="1"/>
  <c r="I94" i="125" s="1"/>
  <c r="H94" i="125" a="1"/>
  <c r="H94" i="125" s="1"/>
  <c r="G94" i="125" a="1"/>
  <c r="G94" i="125" s="1"/>
  <c r="F94" i="125" a="1"/>
  <c r="F94" i="125" s="1"/>
  <c r="E94" i="125" a="1"/>
  <c r="E94" i="125" s="1"/>
  <c r="D94" i="125" a="1"/>
  <c r="D94" i="125" s="1"/>
  <c r="S93" i="125" a="1"/>
  <c r="S93" i="125" s="1"/>
  <c r="R93" i="125" a="1"/>
  <c r="R93" i="125" s="1"/>
  <c r="Q93" i="125" a="1"/>
  <c r="Q93" i="125" s="1"/>
  <c r="P93" i="125" a="1"/>
  <c r="P93" i="125" s="1"/>
  <c r="O93" i="125" a="1"/>
  <c r="O93" i="125" s="1"/>
  <c r="N93" i="125" a="1"/>
  <c r="N93" i="125" s="1"/>
  <c r="M93" i="125" a="1"/>
  <c r="M93" i="125" s="1"/>
  <c r="L93" i="125" a="1"/>
  <c r="L93" i="125" s="1"/>
  <c r="K93" i="125" a="1"/>
  <c r="K93" i="125" s="1"/>
  <c r="J93" i="125" a="1"/>
  <c r="J93" i="125" s="1"/>
  <c r="I93" i="125" a="1"/>
  <c r="I93" i="125" s="1"/>
  <c r="H93" i="125" a="1"/>
  <c r="H93" i="125" s="1"/>
  <c r="G93" i="125" a="1"/>
  <c r="G93" i="125" s="1"/>
  <c r="F93" i="125" a="1"/>
  <c r="F93" i="125" s="1"/>
  <c r="E93" i="125" a="1"/>
  <c r="E93" i="125" s="1"/>
  <c r="D93" i="125" a="1"/>
  <c r="D93" i="125" s="1"/>
  <c r="S92" i="125" a="1"/>
  <c r="S92" i="125" s="1"/>
  <c r="R92" i="125" a="1"/>
  <c r="R92" i="125" s="1"/>
  <c r="Q92" i="125" a="1"/>
  <c r="Q92" i="125" s="1"/>
  <c r="P92" i="125" a="1"/>
  <c r="P92" i="125" s="1"/>
  <c r="O92" i="125" a="1"/>
  <c r="O92" i="125" s="1"/>
  <c r="N92" i="125" a="1"/>
  <c r="N92" i="125" s="1"/>
  <c r="M92" i="125" a="1"/>
  <c r="M92" i="125" s="1"/>
  <c r="L92" i="125" a="1"/>
  <c r="L92" i="125" s="1"/>
  <c r="K92" i="125" a="1"/>
  <c r="K92" i="125" s="1"/>
  <c r="J92" i="125" a="1"/>
  <c r="J92" i="125" s="1"/>
  <c r="I92" i="125" a="1"/>
  <c r="I92" i="125" s="1"/>
  <c r="H92" i="125" a="1"/>
  <c r="H92" i="125" s="1"/>
  <c r="G92" i="125" a="1"/>
  <c r="G92" i="125" s="1"/>
  <c r="F92" i="125" a="1"/>
  <c r="F92" i="125" s="1"/>
  <c r="E92" i="125" a="1"/>
  <c r="E92" i="125" s="1"/>
  <c r="D92" i="125" a="1"/>
  <c r="D92" i="125" s="1"/>
  <c r="S91" i="125" a="1"/>
  <c r="S91" i="125" s="1"/>
  <c r="R91" i="125" a="1"/>
  <c r="R91" i="125" s="1"/>
  <c r="Q91" i="125" a="1"/>
  <c r="Q91" i="125" s="1"/>
  <c r="P91" i="125" a="1"/>
  <c r="P91" i="125" s="1"/>
  <c r="O91" i="125" a="1"/>
  <c r="O91" i="125" s="1"/>
  <c r="N91" i="125" a="1"/>
  <c r="N91" i="125" s="1"/>
  <c r="M91" i="125" a="1"/>
  <c r="M91" i="125" s="1"/>
  <c r="L91" i="125" a="1"/>
  <c r="L91" i="125" s="1"/>
  <c r="K91" i="125" a="1"/>
  <c r="K91" i="125" s="1"/>
  <c r="J91" i="125" a="1"/>
  <c r="J91" i="125" s="1"/>
  <c r="I91" i="125" a="1"/>
  <c r="I91" i="125" s="1"/>
  <c r="H91" i="125" a="1"/>
  <c r="H91" i="125" s="1"/>
  <c r="G91" i="125" a="1"/>
  <c r="G91" i="125" s="1"/>
  <c r="F91" i="125" a="1"/>
  <c r="F91" i="125" s="1"/>
  <c r="E91" i="125" a="1"/>
  <c r="E91" i="125" s="1"/>
  <c r="D91" i="125" a="1"/>
  <c r="D91" i="125" s="1"/>
  <c r="S90" i="125" a="1"/>
  <c r="S90" i="125" s="1"/>
  <c r="R90" i="125" a="1"/>
  <c r="R90" i="125" s="1"/>
  <c r="Q90" i="125" a="1"/>
  <c r="Q90" i="125" s="1"/>
  <c r="P90" i="125" a="1"/>
  <c r="P90" i="125" s="1"/>
  <c r="O90" i="125" a="1"/>
  <c r="O90" i="125" s="1"/>
  <c r="N90" i="125" a="1"/>
  <c r="N90" i="125" s="1"/>
  <c r="M90" i="125" a="1"/>
  <c r="M90" i="125" s="1"/>
  <c r="L90" i="125" a="1"/>
  <c r="L90" i="125" s="1"/>
  <c r="K90" i="125" a="1"/>
  <c r="K90" i="125" s="1"/>
  <c r="J90" i="125" a="1"/>
  <c r="J90" i="125" s="1"/>
  <c r="I90" i="125" a="1"/>
  <c r="I90" i="125" s="1"/>
  <c r="H90" i="125" a="1"/>
  <c r="H90" i="125" s="1"/>
  <c r="G90" i="125" a="1"/>
  <c r="G90" i="125" s="1"/>
  <c r="F90" i="125" a="1"/>
  <c r="F90" i="125" s="1"/>
  <c r="E90" i="125" a="1"/>
  <c r="E90" i="125" s="1"/>
  <c r="D90" i="125" a="1"/>
  <c r="D90" i="125" s="1"/>
  <c r="D83" i="125" a="1"/>
  <c r="D83" i="125" s="1"/>
  <c r="D82" i="125" a="1"/>
  <c r="D82" i="125" s="1"/>
  <c r="D81" i="125"/>
  <c r="D81" i="125" a="1"/>
  <c r="E77" i="125" a="1"/>
  <c r="E77" i="125" s="1"/>
  <c r="D77" i="125" a="1"/>
  <c r="D77" i="125" s="1"/>
  <c r="E76" i="125" a="1"/>
  <c r="E76" i="125" s="1"/>
  <c r="D76" i="125" a="1"/>
  <c r="D76" i="125" s="1"/>
  <c r="E75" i="125" a="1"/>
  <c r="E75" i="125" s="1"/>
  <c r="D75" i="125" a="1"/>
  <c r="D75" i="125" s="1"/>
  <c r="E74" i="125" a="1"/>
  <c r="E74" i="125" s="1"/>
  <c r="D74" i="125" a="1"/>
  <c r="D74" i="125" s="1"/>
  <c r="E73" i="125" a="1"/>
  <c r="E73" i="125" s="1"/>
  <c r="D73" i="125" a="1"/>
  <c r="D73" i="125" s="1"/>
  <c r="E72" i="125" a="1"/>
  <c r="E72" i="125" s="1"/>
  <c r="D72" i="125" a="1"/>
  <c r="D72" i="125" s="1"/>
  <c r="E71" i="125" a="1"/>
  <c r="E71" i="125" s="1"/>
  <c r="D71" i="125" a="1"/>
  <c r="D71" i="125" s="1"/>
  <c r="E70" i="125" a="1"/>
  <c r="E70" i="125" s="1"/>
  <c r="D70" i="125" a="1"/>
  <c r="D70" i="125" s="1"/>
  <c r="E69" i="125" a="1"/>
  <c r="E69" i="125" s="1"/>
  <c r="D69" i="125" a="1"/>
  <c r="D69" i="125" s="1"/>
  <c r="E68" i="125" a="1"/>
  <c r="E68" i="125" s="1"/>
  <c r="D68" i="125" a="1"/>
  <c r="D68" i="125" s="1"/>
  <c r="E67" i="125" a="1"/>
  <c r="E67" i="125" s="1"/>
  <c r="D67" i="125" a="1"/>
  <c r="D67" i="125" s="1"/>
  <c r="E66" i="125" a="1"/>
  <c r="E66" i="125" s="1"/>
  <c r="D66" i="125" a="1"/>
  <c r="D66" i="125" s="1"/>
  <c r="E65" i="125" a="1"/>
  <c r="E65" i="125" s="1"/>
  <c r="D65" i="125" a="1"/>
  <c r="D65" i="125" s="1"/>
  <c r="E64" i="125" a="1"/>
  <c r="E64" i="125" s="1"/>
  <c r="D64" i="125" a="1"/>
  <c r="D64" i="125" s="1"/>
  <c r="D59" i="125" a="1"/>
  <c r="D59" i="125" s="1"/>
  <c r="D58" i="125" a="1"/>
  <c r="D58" i="125" s="1"/>
  <c r="D57" i="125" a="1"/>
  <c r="D57" i="125" s="1"/>
  <c r="G54" i="125" a="1"/>
  <c r="G54" i="125" s="1"/>
  <c r="F54" i="125" a="1"/>
  <c r="F54" i="125" s="1"/>
  <c r="E54" i="125" a="1"/>
  <c r="E54" i="125" s="1"/>
  <c r="D54" i="125" a="1"/>
  <c r="D54" i="125" s="1"/>
  <c r="G53" i="125" a="1"/>
  <c r="G53" i="125" s="1"/>
  <c r="F53" i="125" a="1"/>
  <c r="F53" i="125" s="1"/>
  <c r="E53" i="125" a="1"/>
  <c r="E53" i="125" s="1"/>
  <c r="D53" i="125" a="1"/>
  <c r="D53" i="125" s="1"/>
  <c r="G52" i="125" a="1"/>
  <c r="G52" i="125" s="1"/>
  <c r="F52" i="125" a="1"/>
  <c r="F52" i="125" s="1"/>
  <c r="E52" i="125" a="1"/>
  <c r="E52" i="125" s="1"/>
  <c r="D52" i="125" a="1"/>
  <c r="D52" i="125" s="1"/>
  <c r="G51" i="125" a="1"/>
  <c r="G51" i="125" s="1"/>
  <c r="F51" i="125" a="1"/>
  <c r="F51" i="125" s="1"/>
  <c r="E51" i="125" a="1"/>
  <c r="E51" i="125" s="1"/>
  <c r="D51" i="125" a="1"/>
  <c r="D51" i="125" s="1"/>
  <c r="G50" i="125" a="1"/>
  <c r="G50" i="125" s="1"/>
  <c r="F50" i="125" a="1"/>
  <c r="F50" i="125" s="1"/>
  <c r="E50" i="125" a="1"/>
  <c r="E50" i="125" s="1"/>
  <c r="D50" i="125" a="1"/>
  <c r="D50" i="125" s="1"/>
  <c r="G49" i="125" a="1"/>
  <c r="G49" i="125" s="1"/>
  <c r="F49" i="125" a="1"/>
  <c r="F49" i="125" s="1"/>
  <c r="E49" i="125" a="1"/>
  <c r="E49" i="125" s="1"/>
  <c r="D49" i="125" a="1"/>
  <c r="D49" i="125" s="1"/>
  <c r="G48" i="125" a="1"/>
  <c r="G48" i="125" s="1"/>
  <c r="F48" i="125" a="1"/>
  <c r="F48" i="125" s="1"/>
  <c r="E48" i="125" a="1"/>
  <c r="E48" i="125" s="1"/>
  <c r="D48" i="125" a="1"/>
  <c r="D48" i="125" s="1"/>
  <c r="D46" i="125" a="1"/>
  <c r="D46" i="125" s="1"/>
  <c r="D45" i="125"/>
  <c r="D45" i="125" a="1"/>
  <c r="E43" i="125" a="1"/>
  <c r="E43" i="125" s="1"/>
  <c r="D43" i="125" a="1"/>
  <c r="D43" i="125" s="1"/>
  <c r="E42" i="125" a="1"/>
  <c r="E42" i="125" s="1"/>
  <c r="D42" i="125" a="1"/>
  <c r="D42" i="125" s="1"/>
  <c r="E41" i="125" a="1"/>
  <c r="E41" i="125" s="1"/>
  <c r="D41" i="125" a="1"/>
  <c r="D41" i="125" s="1"/>
  <c r="E40" i="125" a="1"/>
  <c r="E40" i="125" s="1"/>
  <c r="D40" i="125" a="1"/>
  <c r="D40" i="125" s="1"/>
  <c r="E39" i="125" a="1"/>
  <c r="E39" i="125" s="1"/>
  <c r="D39" i="125" a="1"/>
  <c r="D39" i="125" s="1"/>
  <c r="E38" i="125" a="1"/>
  <c r="E38" i="125" s="1"/>
  <c r="D38" i="125" a="1"/>
  <c r="D38" i="125" s="1"/>
  <c r="E37" i="125" a="1"/>
  <c r="E37" i="125" s="1"/>
  <c r="D37" i="125" a="1"/>
  <c r="D37" i="125" s="1"/>
  <c r="D35" i="125" a="1"/>
  <c r="D35" i="125" s="1"/>
  <c r="D34" i="125" a="1"/>
  <c r="D34" i="125" s="1"/>
  <c r="D30" i="125" a="1"/>
  <c r="D30" i="125" s="1"/>
  <c r="D29" i="125" a="1"/>
  <c r="D29" i="125" s="1"/>
  <c r="D28" i="125" a="1"/>
  <c r="D28" i="125" s="1"/>
  <c r="D27" i="125" a="1"/>
  <c r="D27" i="125" s="1"/>
  <c r="D26" i="125" a="1"/>
  <c r="D26" i="125" s="1"/>
  <c r="D25" i="125" a="1"/>
  <c r="D25" i="125" s="1"/>
  <c r="D24" i="125" a="1"/>
  <c r="D24" i="125" s="1"/>
  <c r="D23" i="125" a="1"/>
  <c r="D23" i="125" s="1"/>
  <c r="D22" i="125" a="1"/>
  <c r="D22" i="125" s="1"/>
  <c r="D21" i="125" a="1"/>
  <c r="D21" i="125" s="1"/>
  <c r="D19" i="125" a="1"/>
  <c r="D19" i="125" s="1"/>
  <c r="D18" i="125" a="1"/>
  <c r="D18" i="125" s="1"/>
  <c r="F14" i="125" a="1"/>
  <c r="F14" i="125" s="1"/>
  <c r="E14" i="125" a="1"/>
  <c r="E14" i="125" s="1"/>
  <c r="D14" i="125" a="1"/>
  <c r="D14" i="125" s="1"/>
  <c r="F13" i="125" a="1"/>
  <c r="F13" i="125" s="1"/>
  <c r="E13" i="125" a="1"/>
  <c r="E13" i="125" s="1"/>
  <c r="D13" i="125" a="1"/>
  <c r="D13" i="125" s="1"/>
  <c r="F12" i="125" a="1"/>
  <c r="F12" i="125" s="1"/>
  <c r="E12" i="125" a="1"/>
  <c r="E12" i="125" s="1"/>
  <c r="D12" i="125" a="1"/>
  <c r="D12" i="125" s="1"/>
  <c r="F11" i="125" a="1"/>
  <c r="F11" i="125" s="1"/>
  <c r="E11" i="125" a="1"/>
  <c r="E11" i="125" s="1"/>
  <c r="D11" i="125" a="1"/>
  <c r="D11" i="125" s="1"/>
  <c r="F10" i="125" a="1"/>
  <c r="F10" i="125" s="1"/>
  <c r="E10" i="125" a="1"/>
  <c r="E10" i="125" s="1"/>
  <c r="D10" i="125" a="1"/>
  <c r="D10" i="125" s="1"/>
  <c r="F9" i="125" a="1"/>
  <c r="F9" i="125" s="1"/>
  <c r="E9" i="125" a="1"/>
  <c r="E9" i="125" s="1"/>
  <c r="D9" i="125" a="1"/>
  <c r="D9" i="125" s="1"/>
  <c r="F8" i="125" a="1"/>
  <c r="F8" i="125" s="1"/>
  <c r="E8" i="125" a="1"/>
  <c r="E8" i="125" s="1"/>
  <c r="D8" i="125" a="1"/>
  <c r="D8" i="125" s="1"/>
  <c r="F7" i="125" a="1"/>
  <c r="F7" i="125" s="1"/>
  <c r="E7" i="125" a="1"/>
  <c r="E7" i="125" s="1"/>
  <c r="D7" i="125" a="1"/>
  <c r="D7" i="125" s="1"/>
  <c r="D5" i="125" a="1"/>
  <c r="D5" i="125" s="1"/>
  <c r="P53" i="123" a="1"/>
  <c r="P53" i="123" s="1"/>
  <c r="F53" i="123" a="1"/>
  <c r="F53" i="123" s="1"/>
  <c r="N50" i="123" a="1"/>
  <c r="N50" i="123" s="1"/>
  <c r="D50" i="123" a="1"/>
  <c r="D50" i="123" s="1"/>
  <c r="J39" i="123"/>
  <c r="J36" i="123" a="1"/>
  <c r="J36" i="123" s="1"/>
  <c r="H36" i="123" a="1"/>
  <c r="H36" i="123" s="1"/>
  <c r="D36" i="123" a="1"/>
  <c r="D36" i="123" s="1"/>
  <c r="E34" i="123" a="1"/>
  <c r="E34" i="123" s="1"/>
  <c r="E33" i="123" a="1"/>
  <c r="E33" i="123" s="1"/>
  <c r="D29" i="123" a="1"/>
  <c r="D29" i="123" s="1"/>
  <c r="D28" i="123" a="1"/>
  <c r="D28" i="123" s="1"/>
  <c r="G24" i="123"/>
  <c r="F24" i="123"/>
  <c r="J19" i="123" a="1"/>
  <c r="J19" i="123" s="1"/>
  <c r="J17" i="123"/>
  <c r="J16" i="123" a="1"/>
  <c r="J16" i="123" s="1"/>
  <c r="J14" i="123" a="1"/>
  <c r="J14" i="123" s="1"/>
  <c r="J13" i="123" a="1"/>
  <c r="J13" i="123" s="1"/>
  <c r="H13" i="123" a="1"/>
  <c r="H13" i="123" s="1"/>
  <c r="D13" i="123" a="1"/>
  <c r="D13" i="123" s="1"/>
  <c r="E11" i="123" a="1"/>
  <c r="E11" i="123" s="1"/>
  <c r="E10" i="123" a="1"/>
  <c r="E10" i="123" s="1"/>
  <c r="D6" i="123" a="1"/>
  <c r="D6" i="123" s="1"/>
  <c r="D5" i="123" a="1"/>
  <c r="D5" i="123" s="1"/>
  <c r="P53" i="122" a="1"/>
  <c r="P53" i="122" s="1"/>
  <c r="F53" i="122" a="1"/>
  <c r="F53" i="122" s="1"/>
  <c r="N50" i="122" a="1"/>
  <c r="N50" i="122" s="1"/>
  <c r="D50" i="122" a="1"/>
  <c r="D50" i="122" s="1"/>
  <c r="J40" i="122"/>
  <c r="J36" i="122" a="1"/>
  <c r="J36" i="122" s="1"/>
  <c r="H36" i="122" a="1"/>
  <c r="H36" i="122" s="1"/>
  <c r="D36" i="122" a="1"/>
  <c r="D36" i="122" s="1"/>
  <c r="E34" i="122" a="1"/>
  <c r="E34" i="122" s="1"/>
  <c r="E33" i="122" a="1"/>
  <c r="E33" i="122" s="1"/>
  <c r="D29" i="122" a="1"/>
  <c r="D29" i="122" s="1"/>
  <c r="D28" i="122" a="1"/>
  <c r="D28" i="122" s="1"/>
  <c r="G25" i="122"/>
  <c r="F25" i="122"/>
  <c r="J19" i="122" a="1"/>
  <c r="J19" i="122" s="1"/>
  <c r="J18" i="122"/>
  <c r="J16" i="122" a="1"/>
  <c r="J16" i="122" s="1"/>
  <c r="J14" i="122" a="1"/>
  <c r="J14" i="122" s="1"/>
  <c r="J13" i="122" a="1"/>
  <c r="J13" i="122" s="1"/>
  <c r="H13" i="122" a="1"/>
  <c r="H13" i="122" s="1"/>
  <c r="D13" i="122" a="1"/>
  <c r="D13" i="122" s="1"/>
  <c r="E11" i="122" a="1"/>
  <c r="E11" i="122" s="1"/>
  <c r="E10" i="122" a="1"/>
  <c r="E10" i="122" s="1"/>
  <c r="D6" i="122" a="1"/>
  <c r="D6" i="122" s="1"/>
  <c r="D5" i="122" a="1"/>
  <c r="D5" i="122" s="1"/>
  <c r="I18" i="114"/>
  <c r="G25" i="113"/>
  <c r="F25" i="113"/>
  <c r="G24" i="113"/>
  <c r="F24" i="113"/>
  <c r="I60" i="114"/>
  <c r="I37" i="114"/>
  <c r="I19" i="114"/>
  <c r="I13" i="114"/>
  <c r="J40" i="113"/>
  <c r="J39" i="113"/>
  <c r="J18" i="113"/>
  <c r="J17" i="113"/>
  <c r="J36" i="74"/>
  <c r="J19" i="74"/>
  <c r="J13" i="74"/>
  <c r="R74" i="69"/>
  <c r="E50" i="114"/>
  <c r="E27" i="114"/>
  <c r="O27" i="74"/>
  <c r="E27" i="74"/>
  <c r="N65" i="69"/>
  <c r="E30" i="69"/>
  <c r="E7" i="122" a="1"/>
  <c r="E30" i="122" a="1"/>
  <c r="E7" i="123" a="1"/>
  <c r="E30" i="123" a="1"/>
  <c r="H53" i="125" l="1"/>
  <c r="H50" i="125"/>
  <c r="H48" i="125"/>
  <c r="H49" i="125"/>
  <c r="H51" i="125"/>
  <c r="H54" i="125"/>
  <c r="H52" i="125"/>
  <c r="E7" i="122"/>
  <c r="E30" i="122"/>
  <c r="E30" i="123"/>
  <c r="E7" i="123"/>
  <c r="P48" i="123"/>
  <c r="F48" i="123"/>
  <c r="P48" i="122"/>
  <c r="F48" i="122"/>
  <c r="I39" i="69"/>
  <c r="S34" i="69"/>
  <c r="Q19" i="69"/>
  <c r="Q17" i="69"/>
  <c r="Q16" i="69"/>
  <c r="I21" i="69"/>
  <c r="I16" i="69"/>
  <c r="I13" i="69"/>
  <c r="D5" i="110" a="1"/>
  <c r="D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J37" i="74" l="1"/>
  <c r="I40" i="69" l="1"/>
  <c r="R75" i="69"/>
  <c r="D26" i="114" a="1"/>
  <c r="D26" i="114" s="1"/>
  <c r="D49" i="114" a="1"/>
  <c r="D49" i="114"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I58" i="114" s="1" a="1"/>
  <c r="I58" i="114" s="1"/>
  <c r="D60" i="110" a="1"/>
  <c r="D60" i="110" s="1"/>
  <c r="D59" i="110" a="1"/>
  <c r="D59" i="110" s="1"/>
  <c r="G56" i="114" a="1"/>
  <c r="G56" i="114" s="1"/>
  <c r="D56" i="114" a="1"/>
  <c r="D56" i="114" s="1"/>
  <c r="G33" i="114" a="1"/>
  <c r="G33" i="114" s="1"/>
  <c r="D33" i="114" a="1"/>
  <c r="D33" i="114" s="1"/>
  <c r="G13" i="114" a="1"/>
  <c r="G13" i="114" s="1"/>
  <c r="D13" i="114" a="1"/>
  <c r="D13" i="114" s="1"/>
  <c r="F67" i="114" a="1"/>
  <c r="F67" i="114" s="1"/>
  <c r="D64" i="114" a="1"/>
  <c r="D64" i="114" s="1"/>
  <c r="F62" i="114" a="1"/>
  <c r="F62" i="114" s="1"/>
  <c r="E54" i="114" a="1"/>
  <c r="E54" i="114" s="1"/>
  <c r="E53" i="114" a="1"/>
  <c r="E53" i="114" s="1"/>
  <c r="D48" i="114" a="1"/>
  <c r="D48" i="114" s="1"/>
  <c r="F44" i="114" a="1"/>
  <c r="F44" i="114" s="1"/>
  <c r="D41" i="114" a="1"/>
  <c r="D41" i="114" s="1"/>
  <c r="F39" i="114" a="1"/>
  <c r="F39" i="114" s="1"/>
  <c r="E31" i="114" a="1"/>
  <c r="E31" i="114" s="1"/>
  <c r="E30" i="114" a="1"/>
  <c r="E30" i="114" s="1"/>
  <c r="D25" i="114" a="1"/>
  <c r="D25" i="114" s="1"/>
  <c r="F21" i="114" a="1"/>
  <c r="F21" i="114" s="1"/>
  <c r="E11" i="114" a="1"/>
  <c r="E11" i="114" s="1"/>
  <c r="E10" i="114" a="1"/>
  <c r="E10" i="114" s="1"/>
  <c r="D6" i="114" a="1"/>
  <c r="D6" i="114" s="1"/>
  <c r="D5" i="114" a="1"/>
  <c r="D5" i="114" s="1"/>
  <c r="P53" i="113" a="1"/>
  <c r="P53" i="113" s="1"/>
  <c r="N50" i="113" a="1"/>
  <c r="N50" i="113" s="1"/>
  <c r="J36" i="113" a="1"/>
  <c r="J36" i="113" s="1"/>
  <c r="J19" i="113" a="1"/>
  <c r="J19" i="113" s="1"/>
  <c r="J16" i="113" a="1"/>
  <c r="J16" i="113" s="1"/>
  <c r="J14" i="113" a="1"/>
  <c r="J14" i="113" s="1"/>
  <c r="J13" i="113" a="1"/>
  <c r="J13"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D26" i="74" a="1"/>
  <c r="D26" i="74" s="1"/>
  <c r="H13" i="113" a="1"/>
  <c r="H13" i="113" s="1"/>
  <c r="H36" i="113" a="1"/>
  <c r="H36" i="113" s="1"/>
  <c r="D36" i="113" a="1"/>
  <c r="D36" i="113" s="1"/>
  <c r="D13" i="113" a="1"/>
  <c r="D13" i="113" s="1"/>
  <c r="E34" i="113" a="1"/>
  <c r="E34" i="113" s="1"/>
  <c r="F48" i="113" s="1"/>
  <c r="E33" i="113" a="1"/>
  <c r="E33" i="113" s="1"/>
  <c r="D29" i="113" a="1"/>
  <c r="D29" i="113" s="1"/>
  <c r="D28" i="113" a="1"/>
  <c r="D28" i="113" s="1"/>
  <c r="E11" i="113" a="1"/>
  <c r="E11" i="113" s="1"/>
  <c r="E10" i="113" a="1"/>
  <c r="E10" i="113" s="1"/>
  <c r="D6" i="113" a="1"/>
  <c r="D6" i="113" s="1"/>
  <c r="D5" i="113" a="1"/>
  <c r="D5" i="113" s="1"/>
  <c r="F53" i="113" a="1"/>
  <c r="F53" i="113" s="1"/>
  <c r="D50" i="113" a="1"/>
  <c r="D50" i="113" s="1"/>
  <c r="E30" i="113" a="1"/>
  <c r="E7" i="113" a="1"/>
  <c r="E7" i="114" a="1"/>
  <c r="P48" i="113" l="1"/>
  <c r="I57" i="114" a="1"/>
  <c r="I57" i="114" s="1"/>
  <c r="I35" i="114" a="1"/>
  <c r="I35" i="114" s="1"/>
  <c r="I15" i="114" a="1"/>
  <c r="I15" i="114" s="1"/>
  <c r="I34" i="114" a="1"/>
  <c r="I34" i="114" s="1"/>
  <c r="I17" i="114" a="1"/>
  <c r="I17" i="114" s="1"/>
  <c r="I16" i="114" a="1"/>
  <c r="I16" i="114" s="1"/>
  <c r="E7" i="114"/>
  <c r="E30" i="113"/>
  <c r="E7" i="113"/>
  <c r="P45" i="74" l="1" a="1"/>
  <c r="P45" i="74" s="1"/>
  <c r="N42" i="74" a="1"/>
  <c r="N42" i="74" s="1"/>
  <c r="P40" i="74" a="1"/>
  <c r="P40" i="74" s="1"/>
  <c r="R33" i="74" a="1"/>
  <c r="R33" i="74" s="1"/>
  <c r="N33" i="74" a="1"/>
  <c r="N33" i="74" s="1"/>
  <c r="O31" i="74" a="1"/>
  <c r="O31" i="74" s="1"/>
  <c r="O30" i="74" a="1"/>
  <c r="O30" i="74" s="1"/>
  <c r="N26" i="74" a="1"/>
  <c r="N26" i="74" s="1"/>
  <c r="N25" i="74" a="1"/>
  <c r="N25" i="74" s="1"/>
  <c r="R13" i="74" a="1"/>
  <c r="R13" i="74" s="1"/>
  <c r="N13" i="74" a="1"/>
  <c r="N13" i="74" s="1"/>
  <c r="P21" i="74" a="1"/>
  <c r="P21" i="74" s="1"/>
  <c r="H33" i="74" a="1"/>
  <c r="H33" i="74" s="1"/>
  <c r="D33" i="74" a="1"/>
  <c r="D33" i="74" s="1"/>
  <c r="H13" i="74" a="1"/>
  <c r="H13" i="74" s="1"/>
  <c r="D13" i="74" a="1"/>
  <c r="D13" i="74" s="1"/>
  <c r="F40" i="74" a="1"/>
  <c r="F40" i="74" s="1"/>
  <c r="E31" i="74" a="1"/>
  <c r="E31" i="74" s="1"/>
  <c r="E30" i="74" a="1"/>
  <c r="E30" i="74" s="1"/>
  <c r="D25" i="74" a="1"/>
  <c r="D25" i="74" s="1"/>
  <c r="F21" i="74" a="1"/>
  <c r="F21" i="74" s="1"/>
  <c r="E11" i="74" a="1"/>
  <c r="E11" i="74" s="1"/>
  <c r="E10" i="74" a="1"/>
  <c r="E10" i="74" s="1"/>
  <c r="D6" i="74" a="1"/>
  <c r="D6" i="74" s="1"/>
  <c r="D5" i="74" a="1"/>
  <c r="D5" i="74" s="1"/>
  <c r="F45" i="74" a="1"/>
  <c r="F45" i="74" s="1"/>
  <c r="D42" i="74" a="1"/>
  <c r="D42" i="74"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D49" i="110" a="1"/>
  <c r="D49" i="110" s="1"/>
  <c r="D48" i="110" a="1"/>
  <c r="D48" i="110" s="1"/>
  <c r="P48" i="69" a="1"/>
  <c r="P48" i="69" s="1"/>
  <c r="M48" i="69" a="1"/>
  <c r="M48" i="69" s="1"/>
  <c r="O82" i="69" a="1"/>
  <c r="O82" i="69" s="1"/>
  <c r="M79" i="69" a="1"/>
  <c r="M79" i="69" s="1"/>
  <c r="P71" i="69" a="1"/>
  <c r="P71" i="69" s="1"/>
  <c r="M71" i="69" a="1"/>
  <c r="M71" i="69" s="1"/>
  <c r="N69" i="69" a="1"/>
  <c r="N69" i="69" s="1"/>
  <c r="N68" i="69" a="1"/>
  <c r="N68" i="69" s="1"/>
  <c r="M64" i="69" a="1"/>
  <c r="M64" i="69" s="1"/>
  <c r="M63" i="69" a="1"/>
  <c r="M63" i="69" s="1"/>
  <c r="N46" i="69" a="1"/>
  <c r="N46" i="69" s="1"/>
  <c r="N45" i="69" a="1"/>
  <c r="N45" i="69" s="1"/>
  <c r="M41" i="69" a="1"/>
  <c r="M41" i="69" s="1"/>
  <c r="M40" i="69" a="1"/>
  <c r="M40" i="69" s="1"/>
  <c r="E45" i="110" a="1"/>
  <c r="E45" i="110" s="1"/>
  <c r="D45" i="110" a="1"/>
  <c r="D45" i="110" s="1"/>
  <c r="E44" i="110" a="1"/>
  <c r="E44" i="110" s="1"/>
  <c r="D44" i="110" a="1"/>
  <c r="D44" i="110" s="1"/>
  <c r="D41" i="110" a="1"/>
  <c r="D41" i="110" s="1"/>
  <c r="D40" i="110" a="1"/>
  <c r="D40" i="110" s="1"/>
  <c r="M25" i="69" a="1"/>
  <c r="M25" i="69" s="1"/>
  <c r="G36" i="69" a="1"/>
  <c r="G36" i="69" s="1"/>
  <c r="G13" i="69" a="1"/>
  <c r="G13" i="69" s="1"/>
  <c r="Q33" i="69" a="1"/>
  <c r="Q33" i="69" s="1"/>
  <c r="O15" i="69" a="1"/>
  <c r="O15" i="69" s="1"/>
  <c r="M33" i="69" a="1"/>
  <c r="M33" i="69" s="1"/>
  <c r="M15" i="69" a="1"/>
  <c r="M15" i="69" s="1"/>
  <c r="D36" i="69" a="1"/>
  <c r="D36" i="69" s="1"/>
  <c r="D13" i="69" a="1"/>
  <c r="D13" i="69" s="1"/>
  <c r="E34" i="69" a="1"/>
  <c r="E34" i="69" s="1"/>
  <c r="F42" i="69" s="1"/>
  <c r="E33" i="69" a="1"/>
  <c r="E33" i="69" s="1"/>
  <c r="N31" i="69" a="1"/>
  <c r="N31" i="69" s="1"/>
  <c r="N30" i="69" a="1"/>
  <c r="N30" i="69" s="1"/>
  <c r="D29" i="69" a="1"/>
  <c r="D29" i="69" s="1"/>
  <c r="D28" i="69" a="1"/>
  <c r="D28" i="69" s="1"/>
  <c r="M26" i="69" a="1"/>
  <c r="M26" i="69" s="1"/>
  <c r="M24" i="69" a="1"/>
  <c r="M24" i="69" s="1"/>
  <c r="N13" i="69" a="1"/>
  <c r="N13" i="69" s="1"/>
  <c r="N12" i="69" a="1"/>
  <c r="N12" i="69" s="1"/>
  <c r="E11" i="69" a="1"/>
  <c r="E11" i="69" s="1"/>
  <c r="F24" i="69" s="1"/>
  <c r="E10" i="69" a="1"/>
  <c r="E10" i="69" s="1"/>
  <c r="M7" i="69" a="1"/>
  <c r="M7" i="69" s="1"/>
  <c r="M6" i="69" a="1"/>
  <c r="M6" i="69" s="1"/>
  <c r="D6" i="69" a="1"/>
  <c r="D6" i="69" s="1"/>
  <c r="M5" i="69" a="1"/>
  <c r="M5" i="69" s="1"/>
  <c r="D5" i="69" a="1"/>
  <c r="D5" i="69" s="1"/>
  <c r="I15" i="69" a="1"/>
  <c r="I15" i="69" s="1"/>
  <c r="F47" i="69" a="1"/>
  <c r="F47" i="69" s="1"/>
  <c r="D44" i="69" a="1"/>
  <c r="D44" i="69" s="1"/>
  <c r="E7" i="74" a="1"/>
  <c r="E7" i="69" a="1"/>
  <c r="N42" i="69" a="1"/>
  <c r="N8" i="69" a="1"/>
  <c r="J16" i="74" l="1" a="1"/>
  <c r="J16" i="74" s="1"/>
  <c r="T14" i="74"/>
  <c r="J17" i="74" a="1"/>
  <c r="J17" i="74" s="1"/>
  <c r="J18" i="74" a="1"/>
  <c r="J18" i="74" s="1"/>
  <c r="J14" i="74" a="1"/>
  <c r="J14" i="74" s="1"/>
  <c r="J15" i="74" a="1"/>
  <c r="J15" i="74" s="1"/>
  <c r="E7" i="74"/>
  <c r="O77" i="69"/>
  <c r="O59" i="69"/>
  <c r="N42" i="69"/>
  <c r="I19" i="69" a="1"/>
  <c r="I19" i="69" s="1"/>
  <c r="I18" i="69" a="1"/>
  <c r="I18" i="69" s="1"/>
  <c r="I20" i="69" a="1"/>
  <c r="I20" i="69" s="1"/>
  <c r="N8" i="69"/>
  <c r="E7" i="69"/>
  <c r="O21" i="74" l="1" a="1"/>
  <c r="O21" i="74" s="1"/>
  <c r="I14" i="114"/>
  <c r="E21" i="114" s="1" a="1"/>
  <c r="E21" i="114" s="1"/>
  <c r="E21" i="74" a="1"/>
  <c r="E21" i="74" s="1"/>
  <c r="D46" i="123" s="1"/>
  <c r="Q18" i="69"/>
  <c r="I14" i="69"/>
  <c r="O25" i="122" l="1"/>
  <c r="S25" i="122" s="1" a="1"/>
  <c r="S25" i="122" s="1"/>
  <c r="N46" i="122" s="1"/>
  <c r="O46" i="122" s="1" a="1"/>
  <c r="O46" i="122" s="1"/>
  <c r="N46" i="123"/>
  <c r="E25" i="113"/>
  <c r="E25" i="122"/>
  <c r="I25" i="122" s="1" a="1"/>
  <c r="I25" i="122" s="1"/>
  <c r="D46" i="122" s="1"/>
  <c r="E46" i="122" s="1" a="1"/>
  <c r="E46" i="122" s="1"/>
  <c r="T33" i="74"/>
  <c r="O25" i="113"/>
  <c r="I33" i="114"/>
  <c r="I56" i="114"/>
  <c r="J33" i="74"/>
  <c r="Q15" i="69" l="1"/>
  <c r="N21" i="69" s="1" a="1"/>
  <c r="N21" i="69" s="1"/>
  <c r="S33" i="69" s="1"/>
  <c r="N36" i="69" s="1" a="1"/>
  <c r="N36" i="69" s="1"/>
  <c r="R52" i="69" s="1"/>
  <c r="N59" i="69" s="1" a="1"/>
  <c r="N59" i="69" s="1"/>
  <c r="O24" i="123" s="1"/>
  <c r="S24" i="123" s="1" a="1"/>
  <c r="S24" i="123" s="1"/>
  <c r="N45" i="123" s="1"/>
  <c r="O45" i="123" s="1" a="1"/>
  <c r="O45" i="123" s="1"/>
  <c r="O48" i="123" s="1"/>
  <c r="O53" i="123" s="1" a="1"/>
  <c r="O53" i="123" s="1"/>
  <c r="N45" i="122" l="1"/>
  <c r="O48" i="122" s="1"/>
  <c r="O53" i="122" s="1" a="1"/>
  <c r="O53" i="122" s="1"/>
  <c r="R71" i="69"/>
  <c r="O24" i="113"/>
  <c r="I17" i="69" l="1" a="1"/>
  <c r="I17" i="69" s="1"/>
  <c r="E24" i="69" s="1" a="1"/>
  <c r="E24" i="69" s="1"/>
  <c r="E24" i="123" s="1"/>
  <c r="I24" i="123" s="1" a="1"/>
  <c r="I24" i="123" s="1"/>
  <c r="D45" i="123" s="1"/>
  <c r="E45" i="123" s="1" a="1"/>
  <c r="E45" i="123" s="1"/>
  <c r="E48" i="123" s="1"/>
  <c r="E53" i="123" s="1" a="1"/>
  <c r="E53" i="123" s="1"/>
  <c r="S24" i="113" a="1"/>
  <c r="S24" i="113" s="1"/>
  <c r="N45" i="113" s="1"/>
  <c r="E62" i="114" a="1"/>
  <c r="E62" i="114" s="1"/>
  <c r="E13" i="13" s="1"/>
  <c r="E24" i="113" l="1"/>
  <c r="I24" i="113" s="1" a="1"/>
  <c r="I24" i="113" s="1"/>
  <c r="D45" i="113" s="1"/>
  <c r="D45" i="122"/>
  <c r="E48" i="122" s="1"/>
  <c r="E53" i="122" s="1" a="1"/>
  <c r="E53" i="122" s="1"/>
  <c r="E67" i="114" a="1"/>
  <c r="E67" i="114" s="1"/>
  <c r="H13" i="13" s="1"/>
  <c r="I13" i="13" s="1"/>
  <c r="F13" i="13"/>
  <c r="E39" i="114" a="1"/>
  <c r="E39" i="114" s="1"/>
  <c r="E12" i="13" s="1"/>
  <c r="I36" i="69"/>
  <c r="I25" i="113" a="1"/>
  <c r="I25" i="113" s="1"/>
  <c r="D46" i="113" s="1"/>
  <c r="S25" i="113" a="1"/>
  <c r="S25" i="113" s="1"/>
  <c r="N46" i="113" s="1"/>
  <c r="E45" i="113" l="1" a="1"/>
  <c r="E45" i="113" s="1"/>
  <c r="O46" i="113" a="1"/>
  <c r="O46" i="113" s="1"/>
  <c r="O45" i="113" a="1"/>
  <c r="O45" i="113" s="1"/>
  <c r="E46" i="113" a="1"/>
  <c r="E46" i="113" s="1"/>
  <c r="E44" i="114" a="1"/>
  <c r="E44" i="114" s="1"/>
  <c r="H12" i="13" s="1"/>
  <c r="I12" i="13" s="1"/>
  <c r="F12" i="13"/>
  <c r="J34" i="74" a="1"/>
  <c r="J34" i="74" s="1"/>
  <c r="O48" i="113" l="1"/>
  <c r="E48" i="113"/>
  <c r="E11" i="13" s="1"/>
  <c r="O40" i="74" a="1"/>
  <c r="O40" i="74" s="1"/>
  <c r="F10" i="13" s="1"/>
  <c r="E40" i="74" a="1"/>
  <c r="E40" i="74" s="1"/>
  <c r="E10" i="13" s="1"/>
  <c r="I37" i="69" a="1"/>
  <c r="I37" i="69" s="1"/>
  <c r="E42" i="69" s="1" a="1"/>
  <c r="E42" i="69" s="1"/>
  <c r="E9" i="13" s="1"/>
  <c r="R72" i="69" a="1"/>
  <c r="R72" i="69" s="1"/>
  <c r="N77" i="69" s="1" a="1"/>
  <c r="N77" i="69" s="1"/>
  <c r="F9" i="13" s="1"/>
  <c r="O53" i="113" l="1" a="1"/>
  <c r="O53" i="113" s="1"/>
  <c r="I11" i="13" s="1"/>
  <c r="F11" i="13"/>
  <c r="E53" i="113" a="1"/>
  <c r="E53" i="113" s="1"/>
  <c r="H11" i="13" s="1"/>
  <c r="E45" i="74" a="1"/>
  <c r="E45" i="74" s="1"/>
  <c r="H10" i="13" s="1"/>
  <c r="O45" i="74" a="1"/>
  <c r="O45" i="74" s="1"/>
  <c r="I10" i="13" s="1"/>
  <c r="E47" i="69" a="1"/>
  <c r="E47" i="69" s="1"/>
  <c r="H9" i="13" s="1"/>
  <c r="N82" i="69" a="1"/>
  <c r="N82" i="69" s="1"/>
  <c r="I9" i="13" s="1"/>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<sst xmlns="http://schemas.openxmlformats.org/spreadsheetml/2006/main" count="494" uniqueCount="237">
  <si>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</si>
  <si>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</si>
  <si>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</si>
  <si>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</si>
  <si>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</si>
  <si>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</si>
  <si>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</si>
  <si>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</si>
  <si>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</si>
  <si>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</si>
  <si>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</si>
  <si>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</si>
  <si>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</si>
  <si>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</si>
  <si>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</si>
  <si>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</si>
  <si>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</si>
  <si>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</si>
  <si>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</si>
  <si>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</si>
  <si>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</si>
  <si>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</si>
  <si>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</si>
  <si>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</si>
  <si>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</si>
  <si>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</si>
  <si>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</si>
  <si>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</si>
  <si>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</si>
  <si>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</si>
  <si>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</si>
  <si>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</si>
  <si>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</si>
  <si>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</si>
  <si>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</si>
  <si>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</si>
  <si>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</si>
  <si>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</si>
  <si>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</si>
  <si>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</si>
  <si>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</si>
  <si>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</si>
  <si>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</si>
  <si>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</si>
  <si>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</si>
  <si>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</si>
  <si>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</si>
  <si>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</si>
  <si>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</si>
  <si>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</si>
  <si>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</si>
  <si>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</si>
  <si>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</si>
  <si>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</si>
  <si>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</si>
  <si>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</si>
  <si>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</si>
  <si>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</si>
  <si>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</si>
  <si>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</si>
  <si>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</si>
  <si>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</si>
  <si>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</si>
  <si>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</si>
  <si>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</si>
  <si>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</si>
  <si>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</si>
  <si>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</si>
  <si>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</si>
  <si>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</si>
  <si>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</si>
  <si>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</si>
  <si>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</si>
  <si>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</si>
  <si>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</si>
  <si>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</si>
  <si>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</si>
  <si>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</si>
  <si>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</si>
  <si>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</si>
  <si>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</si>
  <si>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</si>
  <si>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</si>
  <si>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</si>
  <si>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</si>
  <si>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</si>
  <si>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</si>
  <si>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</si>
  <si>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</si>
  <si>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</si>
  <si>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</si>
  <si>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</si>
  <si>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</si>
  <si>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</si>
  <si>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</si>
  <si>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</si>
  <si>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</si>
  <si>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</si>
  <si>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</si>
  <si>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</si>
  <si>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</si>
  <si>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</si>
  <si>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</si>
  <si>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</si>
  <si>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</si>
  <si>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</si>
  <si>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</si>
  <si>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</si>
  <si>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</si>
  <si>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</si>
  <si>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</si>
  <si>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</si>
  <si>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</si>
  <si>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</si>
  <si>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</si>
  <si>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</si>
  <si>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</si>
  <si>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</si>
  <si>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</si>
  <si>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</si>
  <si>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</si>
  <si>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</si>
  <si>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</si>
  <si>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</si>
  <si>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</si>
  <si>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</si>
  <si>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</si>
  <si>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</si>
  <si>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</si>
  <si>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</si>
  <si>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</si>
  <si>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</si>
  <si>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</si>
  <si>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</si>
  <si>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</si>
  <si>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</si>
  <si>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</si>
  <si>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</si>
  <si>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</si>
  <si>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</si>
  <si>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</si>
  <si>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</si>
  <si>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</si>
  <si>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</si>
  <si>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</si>
  <si>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</si>
  <si>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</si>
  <si>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</si>
  <si>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</si>
  <si>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</si>
  <si>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Grazed residue</t>
  </si>
  <si>
    <t>Percentage of residue that was grazed</t>
  </si>
  <si>
    <t>Total residue grazed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</si>
  <si>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</si>
  <si>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</si>
  <si>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</si>
  <si>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</si>
  <si>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</si>
  <si>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</si>
  <si>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</si>
  <si>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</si>
  <si>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</si>
  <si>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</si>
  <si>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</si>
  <si>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</si>
  <si>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</si>
  <si>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</si>
  <si>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</si>
  <si>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</si>
  <si>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</si>
  <si>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</si>
  <si>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</si>
  <si>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</si>
  <si>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</si>
  <si>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2"/>
        <color theme="1" tint="0.24994659260841701"/>
        <rFont val="Times New Roman"/>
        <family val="1"/>
      </rPr>
      <t>c,baled</t>
    </r>
  </si>
  <si>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</si>
  <si>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</si>
  <si>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</si>
  <si>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</si>
  <si>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</si>
  <si>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</si>
  <si>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</si>
  <si>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</si>
  <si>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</si>
  <si>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</si>
  <si>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</si>
  <si>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</si>
  <si>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</si>
  <si>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</si>
  <si>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</si>
  <si>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</si>
  <si>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</si>
  <si>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</si>
  <si>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</si>
  <si>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</si>
  <si>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</si>
  <si>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</si>
  <si>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</si>
  <si>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6"/>
        <color theme="1"/>
        <rFont val="Times New Roman"/>
        <family val="1"/>
        <scheme val="minor"/>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</si>
  <si>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</si>
  <si>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</si>
  <si>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</si>
  <si>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</si>
  <si>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</si>
  <si>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</si>
  <si>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</si>
  <si>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</si>
  <si>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</si>
  <si>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</si>
  <si>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</si>
  <si>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</si>
  <si>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</si>
  <si>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</si>
  <si>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</si>
  <si>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</si>
  <si>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</si>
  <si>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</si>
  <si>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</si>
  <si>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</si>
  <si>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</si>
  <si>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</si>
  <si>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</si>
  <si>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</si>
  <si>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</si>
  <si>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</si>
  <si>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</si>
  <si>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</si>
  <si>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</si>
  <si>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</si>
  <si>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</si>
  <si>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</si>
  <si>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</si>
  <si>
    <t>M2_Table_M_leach_cp</t>
  </si>
  <si>
    <t>Mass of nitrogen lost through leaching and runoff (Method 2)</t>
  </si>
  <si>
    <t>6.3.1.1-2 Leaching and run-off from pasture residues only</t>
  </si>
  <si>
    <t>N/A</t>
  </si>
  <si>
    <t>6.3.1.1-2 Leaching and run-off from crop residues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</si>
</sst>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6"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6" fillId="15" borderId="2">
      <alignment horizontal="center" vertical="center"/>
    </xf>
    <xf numFmtId="0" fontId="58" fillId="4" borderId="2">
      <alignment horizontal="left" vertical="center"/>
    </xf>
    <xf numFmtId="0" fontId="35" fillId="4" borderId="2">
      <alignment horizontal="left" vertical="center"/>
    </xf>
    <xf numFmtId="0" fontId="60" fillId="0" borderId="0"/>
  </cellStyleXfs>
  <cellXfs count="142">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52"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1"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4" fillId="13" borderId="9" xfId="41" applyFont="1" applyBorder="1">
      <alignment horizontal="left" vertical="center"/>
    </xf>
    <xf numFmtId="0" fontId="47" fillId="4" borderId="0" xfId="61">
      <alignment horizontal="left" vertical="center"/>
    </xf>
    <xf numFmtId="0" fontId="46" fillId="4" borderId="0" xfId="60">
      <alignment horizontal="left"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39" fillId="4" borderId="0" xfId="8" applyAlignment="1">
      <alignment horizontal="center" vertical="center"/>
    </xf>
    <xf numFmtId="0" fontId="43" fillId="13" borderId="9" xfId="41" applyBorder="1">
      <alignment horizontal="left" vertical="center"/>
    </xf>
    <xf numFmtId="0" fontId="55"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6" fillId="15" borderId="2" xfId="66">
      <alignment horizontal="center" vertical="center"/>
    </xf>
    <xf numFmtId="0" fontId="57" fillId="14" borderId="2" xfId="65">
      <alignment horizontal="center" vertical="center"/>
    </xf>
    <xf numFmtId="0" fontId="39"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58" fillId="4" borderId="2" xfId="67">
      <alignment horizontal="left" vertical="center"/>
    </xf>
    <xf numFmtId="0" fontId="35" fillId="4" borderId="2" xfId="68">
      <alignment horizontal="left" vertical="center"/>
    </xf>
    <xf numFmtId="0" fontId="40"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9" fontId="2" fillId="0" borderId="2" xfId="17">
      <alignment horizontal="center" vertical="center"/>
    </xf>
    <xf numFmtId="170" fontId="8" fillId="4" borderId="0" xfId="10" applyNumberFormat="1">
      <alignment horizontal="center" vertical="center"/>
    </xf>
    <xf numFmtId="0" fontId="61" fillId="9" borderId="0" xfId="33" applyFont="1" applyFill="1"/>
    <xf numFmtId="0" fontId="39" fillId="9" borderId="0" xfId="8" applyFill="1">
      <alignment horizontal="left" vertical="center"/>
    </xf>
    <xf numFmtId="0" fontId="0" fillId="9" borderId="0" xfId="0" applyFill="1"/>
    <xf numFmtId="0" fontId="17" fillId="11" borderId="0" xfId="32" applyFill="1">
      <alignment vertical="center"/>
    </xf>
    <xf numFmtId="0" fontId="44"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3"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2" fillId="4" borderId="1" xfId="0" applyFont="1" applyFill="1" applyBorder="1"/>
    <xf numFmtId="0" fontId="64" fillId="4" borderId="1" xfId="0" applyFont="1" applyFill="1" applyBorder="1"/>
    <xf numFmtId="171" fontId="8" fillId="4" borderId="0" xfId="10" applyNumberFormat="1">
      <alignment horizontal="center" vertical="center"/>
    </xf>
    <xf numFmtId="0" fontId="65" fillId="9" borderId="5" xfId="36" applyFont="1">
      <alignment horizontal="left" vertical="center" inden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7"/>
      <tableStyleElement type="headerRow" dxfId="76"/>
      <tableStyleElement type="totalRow" dxfId="75"/>
      <tableStyleElement type="firstColumn" dxfId="74"/>
      <tableStyleElement type="firstRowStripe" dxfId="73"/>
      <tableStyleElement type="secondRowStripe" dxfId="72"/>
    </tableStyle>
    <tableStyle name="Equation table" pivot="0" count="6" xr9:uid="{B247698E-E41D-4CCD-AA0A-C14817E9DE65}">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6.1.1.1-2 </a:t>
          </a:r>
          <a:br>
            <a:rPr lang="en-AU" sz="1400" b="0">
              <a:solidFill>
                <a:srgbClr val="0C769E"/>
              </a:solidFill>
            </a:rPr>
          </a:br>
          <a:r>
            <a:rPr lang="en-AU" sz="14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1000" b="0" i="0" u="none" strike="noStrike">
              <a:solidFill>
                <a:srgbClr val="0C769E"/>
              </a:solidFill>
              <a:latin typeface="Times New Roman"/>
              <a:cs typeface="Times New Roman"/>
            </a:rPr>
            <a:pPr algn="ctr"/>
            <a:t>Mass of nitrogen in crop residues returned to the soil</a:t>
          </a:fld>
          <a:endParaRPr lang="en-AU" sz="10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1000" b="1" i="0" u="none" strike="noStrike">
              <a:solidFill>
                <a:srgbClr val="0C769E"/>
              </a:solidFill>
              <a:latin typeface="Times New Roman"/>
              <a:cs typeface="Times New Roman"/>
            </a:rPr>
            <a:pPr algn="ctr"/>
            <a:t>Nitrous oxide emissions from the return of crop residues across all crops c to the soil</a:t>
          </a:fld>
          <a:endParaRPr lang="en-AU" sz="10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1000" b="0" i="0" u="none" strike="noStrike">
              <a:solidFill>
                <a:srgbClr val="0C769E"/>
              </a:solidFill>
              <a:latin typeface="Times New Roman"/>
              <a:cs typeface="Times New Roman"/>
            </a:rPr>
            <a:pPr algn="ctr"/>
            <a:t>Fraction of crop residue that is removed for crop c, calculated where residues are baled</a:t>
          </a:fld>
          <a:endParaRPr lang="en-AU" sz="10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M24">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1000" b="0" i="0" u="none" strike="noStrike">
              <a:solidFill>
                <a:srgbClr val="0C769E"/>
              </a:solidFill>
              <a:latin typeface="Times New Roman"/>
              <a:cs typeface="Times New Roman"/>
            </a:rPr>
            <a:pPr algn="ctr"/>
            <a:t>Fraction of crop residue that is removed for crop c</a:t>
          </a:fld>
          <a:endParaRPr lang="en-AU" sz="10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6.2.1.1-2 </a:t>
          </a:r>
          <a:br>
            <a:rPr lang="en-AU" sz="1400" b="0">
              <a:solidFill>
                <a:schemeClr val="accent5">
                  <a:lumMod val="75000"/>
                </a:schemeClr>
              </a:solidFill>
            </a:rPr>
          </a:br>
          <a:r>
            <a:rPr lang="en-AU" sz="1400" b="0">
              <a:solidFill>
                <a:schemeClr val="accent5">
                  <a:lumMod val="75000"/>
                </a:schemeClr>
              </a:solidFill>
            </a:rPr>
            <a:t>Pasture</a:t>
          </a:r>
          <a:r>
            <a:rPr lang="en-AU" sz="1400" b="0" baseline="0">
              <a:solidFill>
                <a:schemeClr val="accent5">
                  <a:lumMod val="75000"/>
                </a:schemeClr>
              </a:solidFill>
            </a:rPr>
            <a:t> residue N2O</a:t>
          </a:r>
          <a:endParaRPr lang="en-AU" sz="14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1000" b="1" i="0" u="none" strike="noStrike">
              <a:solidFill>
                <a:schemeClr val="accent5">
                  <a:lumMod val="75000"/>
                </a:schemeClr>
              </a:solidFill>
              <a:latin typeface="Times New Roman"/>
              <a:cs typeface="Times New Roman"/>
            </a:rPr>
            <a:pPr algn="ctr"/>
            <a:t>Nitrous oxide emissions from the return of pasture residues from all pasture types to the soil</a:t>
          </a:fld>
          <a:endParaRPr lang="en-AU" sz="10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6.3.1.1-2 </a:t>
          </a:r>
          <a:br>
            <a:rPr lang="en-AU" sz="1400" b="0">
              <a:solidFill>
                <a:srgbClr val="7030A0"/>
              </a:solidFill>
            </a:rPr>
          </a:br>
          <a:r>
            <a:rPr lang="en-AU" sz="14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1000" b="0" i="0" u="none" strike="noStrike">
              <a:solidFill>
                <a:srgbClr val="7030A0"/>
              </a:solidFill>
              <a:latin typeface="Times New Roman"/>
              <a:cs typeface="Times New Roman"/>
            </a:rPr>
            <a:pPr algn="ctr"/>
            <a:t>Mass of nitrogen lost through leaching and runoff</a:t>
          </a:fld>
          <a:endParaRPr lang="en-AU" sz="10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1000" b="1" i="0" u="none" strike="noStrike">
              <a:solidFill>
                <a:srgbClr val="7030A0"/>
              </a:solidFill>
              <a:latin typeface="Times New Roman"/>
              <a:cs typeface="Times New Roman"/>
            </a:rPr>
            <a:pPr algn="ctr"/>
            <a:t>Nitrous oxide leaching and runoff emissions from crop and pasture residues returned to the soil</a:t>
          </a:fld>
          <a:endParaRPr lang="en-AU" sz="10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6.4.1.1-2 </a:t>
          </a:r>
          <a:br>
            <a:rPr lang="en-AU" sz="1400" b="0">
              <a:solidFill>
                <a:srgbClr val="C44340"/>
              </a:solidFill>
            </a:rPr>
          </a:br>
          <a:r>
            <a:rPr lang="en-AU" sz="14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1000" b="0" i="0" u="none" strike="noStrike">
              <a:solidFill>
                <a:srgbClr val="C00000"/>
              </a:solidFill>
              <a:latin typeface="Times New Roman"/>
              <a:cs typeface="Times New Roman"/>
            </a:rPr>
            <a:pPr algn="ctr"/>
            <a:t>Mass of residue of crop c burnt</a:t>
          </a:fld>
          <a:endParaRPr lang="en-AU" sz="10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1000" b="1" i="0" u="none" strike="noStrike">
              <a:solidFill>
                <a:srgbClr val="C00000"/>
              </a:solidFill>
              <a:latin typeface="Times New Roman"/>
              <a:cs typeface="Times New Roman"/>
            </a:rPr>
            <a:pPr algn="ctr"/>
            <a:t>Nitrous oxide emissions from the burning of crop residues</a:t>
          </a:fld>
          <a:endParaRPr lang="en-AU" sz="10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1000" b="1" i="0" u="none" strike="noStrike">
              <a:solidFill>
                <a:srgbClr val="C00000"/>
              </a:solidFill>
              <a:latin typeface="Times New Roman"/>
              <a:cs typeface="Times New Roman"/>
            </a:rPr>
            <a:pPr algn="ctr"/>
            <a:t>Methane emissions from the burning of crop residues</a:t>
          </a:fld>
          <a:endParaRPr lang="en-AU" sz="10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𝐸=∑10_𝑐▒(𝑀_𝑐×𝐸𝐹_𝑁 ) ×𝐶_(𝑔,𝑁2𝑂)×10^(−3)</a:t>
              </a:r>
              <a:endParaRPr lang="en-AU" sz="1100"/>
            </a:p>
          </xdr:txBody>
        </xdr:sp>
      </mc:Fallback>
    </mc:AlternateContent>
    <xdr:clientData/>
  </xdr:oneCellAnchor>
  <xdr:oneCellAnchor>
    <xdr:from>
      <xdr:col>12</xdr:col>
      <xdr:colOff>0</xdr:colOff>
      <xdr:row>27</xdr:row>
      <xdr:rowOff>0</xdr:rowOff>
    </xdr:from>
    <xdr:ext cx="2265236" cy="17665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oneCellAnchor>
    <xdr:from>
      <xdr:col>11</xdr:col>
      <xdr:colOff>295275</xdr:colOff>
      <xdr:row>42</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65</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𝐸_𝑁2𝑂=∑10_𝑝▒(𝑀_𝑝×𝐸𝐹_𝑁𝑖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𝐸_𝑁2𝑂=∑10_𝑐▒∑10_𝑝▒(𝑀_(𝑙𝑒𝑎𝑐ℎ,𝑐𝑝)×𝐸𝐹_𝑙𝑒𝑎𝑐ℎ×𝐶_𝑁2𝑂×10^(−3)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𝐸_𝐶𝐻4=∑10_𝑐▒(𝑀_(𝑏𝑢𝑟𝑛,𝑐)×𝐶𝐶_𝑐 ) ×𝐸𝐹_𝐶𝐻4×𝐶_𝐶𝐻4×10^(−3)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65">
      <calculatedColumnFormula array="1">Common_InputFunctions.Utility_DisplayArrayInTable(Agresidue_SourceData.CropFractionRemoved_Data(), Table76[[#Headers],[Crop type c]], 0)</calculatedColumnFormula>
    </tableColumn>
    <tableColumn id="3" xr3:uid="{BB1819D3-B175-4610-A8F6-4C85437820E5}" name="Fraction removed" dataDxfId="64">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63">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62">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61" dataCellStyle="Content bold">
  <autoFilter ref="D43:E45" xr:uid="{2270AB6D-D03A-4D71-95C0-00BA6BB02732}">
    <filterColumn colId="0" hiddenButton="1"/>
    <filterColumn colId="1" hiddenButton="1"/>
  </autoFilter>
  <tableColumns count="2">
    <tableColumn id="1" xr3:uid="{C1F5DE5C-442A-47C8-B53B-A669D141AC48}" name="Climate zone type i" dataDxfId="60"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59"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58"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57"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56"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55"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54"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53"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52"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51"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50"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49">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DF3297E-39AE-4170-8501-BDBB7A4BF4D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D1DEB43-9E7B-4D1D-AE92-9540E9F24054}" name="State/Territory">
      <calculatedColumnFormula array="1">Common_InputFunctions.Utility_DisplayArrayInTable(Common_SourceData.Common_SourceData_AustralianStatesTerritories_Data(),Table_AustralianStates[[#Headers],[State/Territory]],0)</calculatedColumnFormula>
    </tableColumn>
    <tableColumn id="2" xr3:uid="{835881AD-8D80-4DB0-ABD7-35E8A16BEF60}" name="Common Name">
      <calculatedColumnFormula array="1">Common_InputFunctions.Utility_DisplayArrayInTable(Common_SourceData.Common_SourceData_AustralianStatesTerritories_Data(),Table_AustralianStates[[#Headers],[State/Territory]],0)</calculatedColumnFormula>
    </tableColumn>
    <tableColumn id="3" xr3:uid="{F5F6596E-E51F-433D-BA86-0BA9ED20A5C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B9FD492-8E09-414A-B165-02CDBA3EFB91}" name="Table_WASA4Areas" displayName="Table_WASA4Areas" ref="D20:D30" totalsRowShown="0">
  <autoFilter ref="D20:D30" xr:uid="{5FA81339-C6C8-4D36-BEEA-6C4AEDD9E676}">
    <filterColumn colId="0" hiddenButton="1"/>
  </autoFilter>
  <tableColumns count="1">
    <tableColumn id="1" xr3:uid="{97396C8E-6175-48FA-B1A9-61F17FF933C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E5E549D-B493-4017-B4C4-6C9252E17C6A}" name="Table_GWPData" displayName="Table_GWPData" ref="D36:E43" totalsRowShown="0">
  <autoFilter ref="D36:E43" xr:uid="{B8E87A66-3E41-4AD3-925D-01EE21B43D7A}">
    <filterColumn colId="0" hiddenButton="1"/>
    <filterColumn colId="1" hiddenButton="1"/>
  </autoFilter>
  <tableColumns count="2">
    <tableColumn id="1" xr3:uid="{BA051297-4995-4CDF-9F30-472CFD79C30E}" name="Gas">
      <calculatedColumnFormula array="1">Common_InputFunctions.Utility_DisplayArrayInTable(Common_SourceData.Common_SourceData_GWP_Data(), Table_GWPData[[#Headers],[Gas]], 0)</calculatedColumnFormula>
    </tableColumn>
    <tableColumn id="2" xr3:uid="{6AB5903D-E3A8-41FC-BE7A-B112AB4CD1B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F91BE1B-CA63-42E8-8400-64A82D6095BC}"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FBDF814-F158-4E66-8E5C-F2CE921B3612}" name="Gas">
      <calculatedColumnFormula array="1">Common_InputFunctions.Utility_DisplayArrayInTable(Common_SourceData.Common_SourceData_ConvertGasElementalToMolecular_Data(),Table_GasToMolecularConversionFactor[[#Headers],[Gas]], 0)</calculatedColumnFormula>
    </tableColumn>
    <tableColumn id="5" xr3:uid="{25C62F32-B1BD-4489-8F7B-84296661D745}" name="Conversion factor">
      <calculatedColumnFormula array="1">Common_InputFunctions.Utility_DisplayArrayInTable(Common_SourceData.Common_SourceData_ConvertGasElementalToMolecular_Data(),Table_GasToMolecularConversionFactor[[#Headers],[Gas]], 0)</calculatedColumnFormula>
    </tableColumn>
    <tableColumn id="2" xr3:uid="{30054792-FD75-44B9-8DAA-F66AC7578C33}"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3FF3A6-735C-462F-B10A-AFA05631A46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17936CBF-E2FB-4521-9D4B-92D392F4375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3DEDB13-4E89-42A8-B15A-15786E932E6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29D23BD-19B1-4872-8EF9-4FEE0857953A}"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272B3DD-7E81-4DC4-9A7A-E173A6FB513C}" name="MA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3" xr3:uid="{80884A9D-90B2-4E06-BFFB-02F2992AD56A}" name="MAP"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4" xr3:uid="{F5FCD98B-734A-4AEA-9266-8A5CA37980E7}" name="Frost days per year"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5" xr3:uid="{07E5C8C1-73BB-482B-83F6-913DBA923A79}" name="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6" xr3:uid="{2754D596-D705-4122-88EE-52E0464E9979}" name="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7" xr3:uid="{10007AE2-313D-4C3E-A5CB-60718E4DB116}" name="Min temp"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8" xr3:uid="{C72535E9-DBEE-4B28-8079-3126259768E9}" name="Max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9" xr3:uid="{E211A98F-CC9C-41AF-A1FC-E9FECE8E5FD5}" name="Min rainfall"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0" xr3:uid="{650B767F-A36A-4EDF-9F20-6EA566605FF6}" name="Max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1" xr3:uid="{65B0EC80-2847-4F6A-8812-68EF716E5A6C}" name="Min frost days"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5" xr3:uid="{AA4C3373-4B77-4D87-A360-7BED1BEC37E5}" name="Max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2" xr3:uid="{5608447B-20A2-4AE0-8677-DB963A1A666B}" name="Min 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6" xr3:uid="{E718956A-8A2A-4620-A76B-4DDCB993E443}" name="Max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3" xr3:uid="{F3943668-FC10-405A-872E-B2034E141420}" name="Min MAP:PE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7" xr3:uid="{35758071-61D2-4EAB-A0E0-D894F1A85CA0}" name="Max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C27C1E3-6586-4FFF-80DE-5C270B7A9CF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DAD6C72-8084-493B-B581-9ECD1832618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6F2D49D-05E6-429E-B96B-47DD9A7E7997}" name="Wet or Dry Zone" totalsRowDxfId="3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CBD5650-3FF1-4A08-8C0D-E513B9262FB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298E1E12-DC52-4962-A320-A7C95EF5C915}" name="Temperature Zone">
      <calculatedColumnFormula array="1">Common_InputFunctions.Utility_DisplayArrayInTable(Common_SourceData.Common_SourceData_TemperatureZones_Data(),Table_SourceData_TemperatureZones[[#Headers],[Temperature Zone]],0)</calculatedColumnFormula>
    </tableColumn>
    <tableColumn id="2" xr3:uid="{CDF66F5C-4B11-4569-A38D-8726F58D4885}" name="MAT">
      <calculatedColumnFormula array="1">Common_InputFunctions.Utility_DisplayArrayInTable(Common_SourceData.Common_SourceData_TemperatureZones_Data(),Table_SourceData_TemperatureZones[[#Headers],[Temperature Zone]],0)</calculatedColumnFormula>
    </tableColumn>
    <tableColumn id="3" xr3:uid="{1DF1A1DC-4497-44CB-A52E-A8B3D9DD832D}" name="Min MAT">
      <calculatedColumnFormula array="1">Common_InputFunctions.Utility_DisplayArrayInTable(Common_SourceData.Common_SourceData_TemperatureZones_Data(),Table_SourceData_TemperatureZones[[#Headers],[Temperature Zone]],0)</calculatedColumnFormula>
    </tableColumn>
    <tableColumn id="4" xr3:uid="{F0823CAF-CC15-4F07-B334-7F9E4B29FE1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DF872A4-AC34-4B98-BB47-24B688478F2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E0C8972A-6712-431C-8F45-2C7631CDD3D7}" name="Rainfall Zone">
      <calculatedColumnFormula array="1">Common_InputFunctions.Utility_DisplayArrayInTable(Common_SourceData.Common_SourceData_RainfallZones_Data(),Table_SourceData_RainfallZones[[#Headers],[Rainfall Zone]],0)</calculatedColumnFormula>
    </tableColumn>
    <tableColumn id="2" xr3:uid="{D524FDE7-DB47-42A1-A906-8F8AC75FF37C}" name="Annual rainfall">
      <calculatedColumnFormula array="1">Common_InputFunctions.Utility_DisplayArrayInTable(Common_SourceData.Common_SourceData_RainfallZones_Data(),Table_SourceData_RainfallZones[[#Headers],[Rainfall Zone]],0)</calculatedColumnFormula>
    </tableColumn>
    <tableColumn id="3" xr3:uid="{ACF464EE-7748-45BC-A3B0-8883C7118A63}" name="Min rainfall">
      <calculatedColumnFormula array="1">Common_InputFunctions.Utility_DisplayArrayInTable(Common_SourceData.Common_SourceData_RainfallZones_Data(),Table_SourceData_RainfallZones[[#Headers],[Rainfall Zone]],0)</calculatedColumnFormula>
    </tableColumn>
    <tableColumn id="4" xr3:uid="{9C079EC8-42B7-4BD5-A499-E7B49611F007}"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54178E3-A889-45F3-A979-C2B51FAF3F3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C1165483-9FBB-440F-A1BC-F669FD2A72AC}" name="Leaching Zone">
      <calculatedColumnFormula array="1">Common_InputFunctions.Utility_DisplayArrayInTable(Common_SourceData.Common_SourceData_LeachingZones_Data(), Table_SourceData_LeachingZones[[#Headers],[Leaching Zone]], 0)</calculatedColumnFormula>
    </tableColumn>
    <tableColumn id="2" xr3:uid="{3969F1EB-CD7B-4988-AAA4-670EB3C8716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D6CE53F-A5F9-4A51-96F3-9686477F5674}"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583BCF6-B668-41EB-B925-BFCC853F7E77}" name="Data source">
      <calculatedColumnFormula array="1">Common_InputFunctions.Utility_DisplayArrayInTable(Common_SourceData.Common_SourceData_DataScores_Scope3_Data(), Table_SourceData_DataScores_Scope3[[#Headers],[Data source]], 0)</calculatedColumnFormula>
    </tableColumn>
    <tableColumn id="2" xr3:uid="{C2A18FD4-80E7-4710-A1A9-652B5E4E95E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93D4BE9-C62B-42AD-A543-DB9FA3724252}" name="Table_SourceData_FracWET" displayName="Table_SourceData_FracWET" ref="D134:E136" totalsRowShown="0">
  <autoFilter ref="D134:E136" xr:uid="{308E99BE-FE1F-47A4-B2CA-97217277C4E9}">
    <filterColumn colId="0" hiddenButton="1"/>
    <filterColumn colId="1" hiddenButton="1"/>
  </autoFilter>
  <tableColumns count="2">
    <tableColumn id="1" xr3:uid="{53543185-6A5D-40A7-AEB9-CA4F04A43F8A}" name="Is in leaching zone">
      <calculatedColumnFormula array="1">Common_InputFunctions.Utility_DisplayArrayInTable(Common_SourceData.Common_SourceData_FracWET_Data(),Table_SourceData_FracWET[[#Headers],[Is in leaching zone]],0)</calculatedColumnFormula>
    </tableColumn>
    <tableColumn id="2" xr3:uid="{23635C4F-9AAF-4F6A-8FE8-04B5B3A29E9B}" name="FracWET" dataDxfId="3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A2E9E17-2FF4-4E72-AF46-C97CB4BFC5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A9A1D63-2612-4DC7-83BD-894579F47297}" name="Production system j">
      <calculatedColumnFormula array="1">Common_InputFunctions.Utility_DisplayArrayInTable(Common_SourceData.Common_SourceData_EFN2O_Data(), Table_SourceData_Common_EFN2O[[#Headers],[Production system j]], 0)</calculatedColumnFormula>
    </tableColumn>
    <tableColumn id="2" xr3:uid="{D981C71B-17D1-4933-A354-4B2581022298}" name="EFN2O">
      <calculatedColumnFormula array="1">Common_InputFunctions.Utility_DisplayArrayInTable(Common_SourceData.Common_SourceData_EFN2O_Data(), Table_SourceData_Common_EFN2O[[#Headers],[Production system j]], 0)</calculatedColumnFormula>
    </tableColumn>
    <tableColumn id="3" xr3:uid="{A5DCC921-EBAF-4B7A-81D3-4E417851A038}" name="Production system only">
      <calculatedColumnFormula array="1">Common_InputFunctions.Utility_DisplayArrayInTable(Common_SourceData.Common_SourceData_EFN2O_Data(), Table_SourceData_Common_EFN2O[[#Headers],[Production system j]], 0)</calculatedColumnFormula>
    </tableColumn>
    <tableColumn id="4" xr3:uid="{B5AD14D7-65E0-4D07-A945-17F22DE18790}" name="Irrigation method">
      <calculatedColumnFormula array="1">Common_InputFunctions.Utility_DisplayArrayInTable(Common_SourceData.Common_SourceData_EFN2O_Data(), Table_SourceData_Common_EFN2O[[#Headers],[Production system j]], 0)</calculatedColumnFormula>
    </tableColumn>
    <tableColumn id="5" xr3:uid="{A884D557-1117-446A-9529-4F7BF5A7B0D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9B2864D-AB6B-444D-9AC5-28A36F5EA7F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4758B0CD-42F4-45D8-852A-2CCE2DC88853}" name="Irrigation type i">
      <calculatedColumnFormula array="1">Common_InputFunctions.Utility_DisplayArrayInTable(Common_SourceData.Common_SourceData_FracWETIrrigation_Data(), Table_SourceData_FracWETIrrigation[[#Headers],[Irrigation type i]], 0)</calculatedColumnFormula>
    </tableColumn>
    <tableColumn id="2" xr3:uid="{DE5BE296-B545-4EB4-98ED-D4483A3E59B7}" name="FracWET" dataDxfId="3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60320EF-E283-484A-8205-4B0DCF1A2FF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E7E9462-8B01-49C1-AC03-C942D136571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67BCA50-B136-49DB-AF56-B66E99CA6E3C}" name="EFPRP" dataDxfId="3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7C04E70-4B57-4515-909A-6AFFC3E2572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2B732629-F26F-4264-A46A-6E22B4E91C95}" name="Month">
      <calculatedColumnFormula array="1">Common_InputFunctions.Utility_DisplayArrayInTable(Common_SourceData.Common_SourceData_MonthsToSeasons_Data(), Table_SourceData_Common_MonthToSeason[[#Headers],[Month]], 0)</calculatedColumnFormula>
    </tableColumn>
    <tableColumn id="2" xr3:uid="{F1FC14D5-6DF2-40CA-A3BA-E84770250602}" name="Season" dataDxfId="2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DC1D256-81F3-4AD8-B942-FA51416E0C0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47423DE-F5AA-4E30-B57A-9D8A04BD2E9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E7DC55A-A07C-4FEA-8ADA-F1121E75F870}" name="MAT (ºC)"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146F132-A870-4A53-B511-D6758CEB1D64}" name="Anaerobic lago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29D82B8-DD4D-4882-85A7-3DCB0C271538}" name="Digester / covered lagoons"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7E52908-B327-4FFF-85BA-ED1E88B3AE03}" name="Liquid system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8ECCF51-610D-4F5C-9BBB-E38741570C5E}" name="Daily spread"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6333BCE1-156A-44F3-85D9-678B0CABCAF4}" name="Composting (passive windrow)"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9D1EEE8-82FA-4FA1-9C34-F8E8AB2A9309}" name="Solid storage"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384180F-C755-4F47-95D2-6493AE3AF230}" name="Pit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D777881-0A11-4702-AD38-DED4720A1AB5}" name="Deep litter"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A33B200-4624-418F-B16F-B73192CD36DB}" name="Poultry manure with bedding"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BC87E90-A001-4DDE-923E-3D031CDDC1ED}" name="Poultry manure without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A993CE5-7229-403B-8766-C627B9BD9E70}" name="Direct process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FB6244D-5B5C-4A30-98C2-1755B7B3585B}" name="Direct application"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8681463-C339-45C9-B449-FA6BDEEEB20E}" name="Pasture range and paddock"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4012AF28-080A-412F-8D2D-568688C47D48}" name="MAT raw"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A2902D7-6DDC-496B-86D9-192E8F3BA78A}"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07EAF1A-F29F-4E7A-A599-374F31F80EE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1ACE537-F56D-4FA2-AD9F-B09BF7F7CB4A}" name="EFNi &amp; EFN2Oi" dataDxfId="1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64"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9.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10.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5"/>
  <sheetViews>
    <sheetView zoomScaleNormal="100" workbookViewId="0">
      <selection activeCell="A25" sqref="A25"/>
    </sheetView>
  </sheetViews>
  <sheetFormatPr defaultRowHeight="15" x14ac:dyDescent="0.25"/>
  <sheetData>
    <row r="1" spans="1:1" ht="25.5" x14ac:dyDescent="0.35">
      <c r="A1" s="60" t="e" vm="1">
        <v>#VALUE!</v>
      </c>
    </row>
    <row r="3" spans="1:1" ht="15.75" x14ac:dyDescent="0.25">
      <c r="A3" s="105"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Crop'!A1", "Crop")</f>
        <v>Crop</v>
      </c>
    </row>
    <row r="11" spans="1:1" ht="15.75" x14ac:dyDescent="0.25">
      <c r="A11" s="17" t="str">
        <f>HYPERLINK("#'Input - Pasture'!A1", "Pasture")</f>
        <v>Pasture</v>
      </c>
    </row>
    <row r="14" spans="1:1" x14ac:dyDescent="0.25">
      <c r="A14" s="18" t="s">
        <v>68</v>
      </c>
    </row>
    <row r="15" spans="1:1" ht="15.75" x14ac:dyDescent="0.25">
      <c r="A15" s="17" t="str">
        <f>HYPERLINK("#'6.1.1.1-2 Crop residue N2O'!A1", "6.1.1.1-2 Crop residue N2O")</f>
        <v>6.1.1.1-2 Crop residue N2O</v>
      </c>
    </row>
    <row r="16" spans="1:1" ht="15.75" x14ac:dyDescent="0.25">
      <c r="A16" s="17" t="str">
        <f>HYPERLINK("#'6.2.1.1-2 Pasture residue N2O'!A1", "6.2.1.1-2 Pasture residue N2O")</f>
        <v>6.2.1.1-2 Pasture residue N2O</v>
      </c>
    </row>
    <row r="17" spans="1:1" ht="15.75" x14ac:dyDescent="0.25">
      <c r="A17" s="17" t="str">
        <f>HYPERLINK("#'6.3.1.1-2 Leaching and runoff'!A1", "6.3.1.1-2 Leaching and runoff")</f>
        <v>6.3.1.1-2 Leaching and runoff</v>
      </c>
    </row>
    <row r="18" spans="1:1" ht="15.75" x14ac:dyDescent="0.25">
      <c r="A18" s="17" t="str">
        <f>HYPERLINK("#'6.3.1.1-2 Leach runoff crop'!A1", "6.3.1.1-2 Leach runoff crop")</f>
        <v>6.3.1.1-2 Leach runoff crop</v>
      </c>
    </row>
    <row r="19" spans="1:1" ht="15.75" x14ac:dyDescent="0.25">
      <c r="A19" s="17" t="str">
        <f>HYPERLINK("#'6.3.1.1-2 Leach runoff pasture'!A1", "6.3.1.1-2 Leach runoff pasture")</f>
        <v>6.3.1.1-2 Leach runoff pasture</v>
      </c>
    </row>
    <row r="20" spans="1:1" ht="15.75" x14ac:dyDescent="0.25">
      <c r="A20" s="17" t="str">
        <f>HYPERLINK("#'6.4.1.1-2 Residue burning'!A1", "6.4.1.1-2 Residue burning")</f>
        <v>6.4.1.1-2 Residue burning</v>
      </c>
    </row>
    <row r="23" spans="1:1" x14ac:dyDescent="0.25">
      <c r="A23" s="141" t="s">
        <v>1</v>
      </c>
    </row>
    <row r="24" spans="1:1" ht="15.75" x14ac:dyDescent="0.25">
      <c r="A24" s="17" t="str">
        <f>HYPERLINK("#'Constants - Ag Residue'!A1", "Constants - Ag Residue")</f>
        <v>Constants - Ag Residue</v>
      </c>
    </row>
    <row r="25" spans="1:1" ht="15.75" x14ac:dyDescent="0.25">
      <c r="A25" s="17"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22" t="s">
        <v>126</v>
      </c>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row>
    <row r="2" spans="1:42" ht="20.100000000000001" customHeight="1" x14ac:dyDescent="0.25">
      <c r="C2" s="123"/>
      <c r="D2" s="123"/>
      <c r="E2" s="123"/>
      <c r="F2" s="123"/>
      <c r="G2" s="123"/>
      <c r="H2" s="123"/>
      <c r="I2" s="123"/>
      <c r="J2" s="123"/>
      <c r="K2" s="123"/>
      <c r="L2" s="123"/>
      <c r="M2" s="123"/>
      <c r="N2" s="123"/>
      <c r="O2" s="123"/>
      <c r="P2" s="123"/>
      <c r="Q2" s="123"/>
      <c r="R2" s="123"/>
      <c r="S2" s="123"/>
      <c r="T2" s="123"/>
      <c r="U2" s="123"/>
      <c r="V2" s="123"/>
      <c r="W2" s="123"/>
      <c r="X2" s="123"/>
      <c r="Y2" s="123"/>
      <c r="Z2" s="123"/>
      <c r="AA2" s="123"/>
      <c r="AB2" s="123"/>
      <c r="AC2" s="123"/>
      <c r="AD2" s="123"/>
      <c r="AE2" s="123"/>
      <c r="AF2" s="123"/>
      <c r="AG2" s="123"/>
      <c r="AH2" s="123"/>
      <c r="AI2" s="123"/>
      <c r="AJ2" s="123"/>
      <c r="AK2" s="123"/>
      <c r="AL2" s="123"/>
      <c r="AM2" s="123"/>
      <c r="AN2" s="123"/>
      <c r="AO2" s="123"/>
      <c r="AP2" s="124"/>
    </row>
    <row r="3" spans="1:42" ht="20.100000000000001" customHeight="1" x14ac:dyDescent="0.25">
      <c r="A3" s="17" t="str">
        <f>HYPERLINK("#'Home'!A1", "Home")</f>
        <v>Home</v>
      </c>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row>
    <row r="4" spans="1:42" ht="20.100000000000001" customHeight="1" x14ac:dyDescent="0.25">
      <c r="A4" s="105" t="str">
        <f>HYPERLINK("#'Overview'!A1", "Overview")</f>
        <v>Overview</v>
      </c>
    </row>
    <row r="5" spans="1:42" ht="20.100000000000001" customHeight="1" x14ac:dyDescent="0.25">
      <c r="A5" s="17" t="str">
        <f>HYPERLINK("#'Results'!A1", "Results")</f>
        <v>Results</v>
      </c>
      <c r="D5" s="102" t="s">
        <v>124</v>
      </c>
      <c r="E5" s="83"/>
      <c r="F5" s="83"/>
      <c r="G5" s="83"/>
      <c r="H5" s="83"/>
      <c r="I5" s="83"/>
      <c r="J5" s="83"/>
      <c r="K5" s="83"/>
      <c r="L5" s="83"/>
      <c r="M5" s="83"/>
      <c r="N5" s="83"/>
      <c r="O5" s="79"/>
    </row>
    <row r="6" spans="1:42" ht="20.100000000000001" customHeight="1" x14ac:dyDescent="0.25">
      <c r="D6" s="126" t="s">
        <v>125</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Crop'!A1", "Crop")</f>
        <v>Crop</v>
      </c>
    </row>
    <row r="11" spans="1:42" ht="20.100000000000001" customHeight="1" x14ac:dyDescent="0.25">
      <c r="A11" s="17" t="str">
        <f>HYPERLINK("#'Input - Pasture'!A1", "Pasture")</f>
        <v>Pasture</v>
      </c>
    </row>
    <row r="12" spans="1:42" ht="20.100000000000001" customHeight="1" x14ac:dyDescent="0.25"/>
    <row r="13" spans="1:42" ht="20.100000000000001" customHeight="1" x14ac:dyDescent="0.25"/>
    <row r="14" spans="1:42" ht="20.100000000000001" customHeight="1" x14ac:dyDescent="0.25">
      <c r="A14" s="18" t="s">
        <v>68</v>
      </c>
    </row>
    <row r="15" spans="1:42" ht="20.100000000000001" customHeight="1" x14ac:dyDescent="0.25">
      <c r="A15" s="17" t="str">
        <f>HYPERLINK("#'6.1.1.1-2 Crop residue N2O'!A1", "6.1.1.1-2 Crop residue N2O")</f>
        <v>6.1.1.1-2 Crop residue N2O</v>
      </c>
    </row>
    <row r="16" spans="1:42" ht="20.100000000000001" customHeight="1" x14ac:dyDescent="0.25">
      <c r="A16" s="17" t="str">
        <f>HYPERLINK("#'6.2.1.1-2 Pasture residue N2O'!A1", "6.2.1.1-2 Pasture residue N2O")</f>
        <v>6.2.1.1-2 Pasture residue N2O</v>
      </c>
    </row>
    <row r="17" spans="1:1" ht="20.100000000000001" customHeight="1" x14ac:dyDescent="0.25">
      <c r="A17" s="17" t="str">
        <f>HYPERLINK("#'6.3.1.1-2 Leaching and runoff'!A1", "6.3.1.1-2 Leaching and runoff")</f>
        <v>6.3.1.1-2 Leaching and runoff</v>
      </c>
    </row>
    <row r="18" spans="1:1" ht="20.100000000000001" customHeight="1" x14ac:dyDescent="0.25">
      <c r="A18" s="17" t="str">
        <f>HYPERLINK("#'6.3.1.1-2 Leach runoff crop'!A1", "6.3.1.1-2 Leach runoff crop")</f>
        <v>6.3.1.1-2 Leach runoff crop</v>
      </c>
    </row>
    <row r="19" spans="1:1" ht="20.100000000000001" customHeight="1" x14ac:dyDescent="0.25">
      <c r="A19" s="17" t="str">
        <f>HYPERLINK("#'6.3.1.1-2 Leach runoff pasture'!A1", "6.3.1.1-2 Leach runoff pasture")</f>
        <v>6.3.1.1-2 Leach runoff pasture</v>
      </c>
    </row>
    <row r="20" spans="1:1" ht="20.100000000000001" customHeight="1" x14ac:dyDescent="0.25">
      <c r="A20" s="17" t="str">
        <f>HYPERLINK("#'6.4.1.1-2 Residue burning'!A1", "6.4.1.1-2 Residue burning")</f>
        <v>6.4.1.1-2 Residue burning</v>
      </c>
    </row>
    <row r="21" spans="1:1" ht="20.100000000000001" customHeight="1" x14ac:dyDescent="0.25"/>
    <row r="22" spans="1:1" ht="20.100000000000001" customHeight="1" x14ac:dyDescent="0.25"/>
    <row r="23" spans="1:1" ht="20.100000000000001" customHeight="1" x14ac:dyDescent="0.25">
      <c r="A23" s="141" t="s">
        <v>1</v>
      </c>
    </row>
    <row r="24" spans="1:1" ht="20.100000000000001" customHeight="1" x14ac:dyDescent="0.25">
      <c r="A24" s="17" t="str">
        <f>HYPERLINK("#'Constants - Ag Residue'!A1", "Constants - Ag Residue")</f>
        <v>Constants - Ag Residue</v>
      </c>
    </row>
    <row r="25" spans="1:1" ht="20.100000000000001" customHeight="1" x14ac:dyDescent="0.25">
      <c r="A25" s="17" t="str">
        <f>HYPERLINK("#'Constants - Common'!A1", "Constants - Common")</f>
        <v>Constants - Common</v>
      </c>
    </row>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122</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0" t="e" vm="1">
        <v>#VALUE!</v>
      </c>
      <c r="C1" s="122" t="s">
        <v>127</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5" t="str">
        <f>HYPERLINK("#'Results'!A1", "Results")</f>
        <v>Results</v>
      </c>
      <c r="C5" s="21"/>
      <c r="D5" s="25"/>
      <c r="E5" s="26"/>
      <c r="F5" s="26"/>
      <c r="G5" s="26"/>
      <c r="H5" s="23"/>
      <c r="I5" s="21"/>
      <c r="J5" s="21"/>
      <c r="K5" s="21"/>
    </row>
    <row r="6" spans="1:11" ht="20.100000000000001" customHeight="1" x14ac:dyDescent="0.25">
      <c r="C6" s="21"/>
      <c r="D6" s="86" t="s">
        <v>121</v>
      </c>
      <c r="E6" s="8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0" t="s">
        <v>81</v>
      </c>
      <c r="E8" s="100" t="s">
        <v>93</v>
      </c>
      <c r="F8" s="100" t="s">
        <v>94</v>
      </c>
      <c r="G8" s="100" t="s">
        <v>87</v>
      </c>
      <c r="H8" s="100" t="s">
        <v>95</v>
      </c>
      <c r="I8" s="100" t="s">
        <v>96</v>
      </c>
      <c r="J8" s="100" t="s">
        <v>88</v>
      </c>
      <c r="K8" s="21"/>
    </row>
    <row r="9" spans="1:11" ht="20.100000000000001" customHeight="1" x14ac:dyDescent="0.25">
      <c r="A9" s="17" t="str">
        <f>HYPERLINK("#'Input - Site'!A1", "Site")</f>
        <v>Site</v>
      </c>
      <c r="C9" s="21"/>
      <c r="D9" s="1" t="s">
        <v>216</v>
      </c>
      <c r="E9" s="121">
        <f>VEERG_6_1_1_1__1__NitrousOxideEmissionsFromCropResidues_Result_Method1</f>
        <v>2.3377199999999997E-2</v>
      </c>
      <c r="F9" s="121">
        <f>VEERG_6_1_1_1__1__NitrousOxideEmissionsFromCropResidues_Result_Method2</f>
        <v>2.3377199999999997E-2</v>
      </c>
      <c r="G9" s="51" t="s">
        <v>99</v>
      </c>
      <c r="H9" s="98">
        <f>'6.1.1.1-2 Crop residue N2O'!E47</f>
        <v>6.1949579999999989</v>
      </c>
      <c r="I9" s="98">
        <f>'6.1.1.1-2 Crop residue N2O'!N82</f>
        <v>6.1949579999999989</v>
      </c>
      <c r="J9" s="51" t="s">
        <v>91</v>
      </c>
      <c r="K9" s="21"/>
    </row>
    <row r="10" spans="1:11" ht="20.100000000000001" customHeight="1" x14ac:dyDescent="0.25">
      <c r="A10" s="17" t="str">
        <f>HYPERLINK("#'Input - Crop'!A1", "Crop")</f>
        <v>Crop</v>
      </c>
      <c r="C10" s="21"/>
      <c r="D10" s="1" t="s">
        <v>217</v>
      </c>
      <c r="E10" s="140">
        <f>VEERG_6_2_1_1__1__NitrousOxideEmissionsFromPastureResidues_Result_Method1</f>
        <v>5.8320428571428569E-7</v>
      </c>
      <c r="F10" s="140">
        <f>VEERG_6_2_1_1__1__NitrousOxideEmissionsFromPastureResidues_Result_Method2</f>
        <v>5.8320428571428569E-7</v>
      </c>
      <c r="G10" s="51" t="s">
        <v>99</v>
      </c>
      <c r="H10" s="98">
        <f>'6.2.1.1-2 Pasture residue N2O'!E45</f>
        <v>1.545491357142857E-4</v>
      </c>
      <c r="I10" s="98">
        <f>'6.2.1.1-2 Pasture residue N2O'!O45</f>
        <v>1.545491357142857E-4</v>
      </c>
      <c r="J10" s="51" t="s">
        <v>91</v>
      </c>
      <c r="K10" s="21"/>
    </row>
    <row r="11" spans="1:11" ht="20.100000000000001" customHeight="1" x14ac:dyDescent="0.25">
      <c r="A11" s="17" t="str">
        <f>HYPERLINK("#'Input - Pasture'!A1", "Pasture")</f>
        <v>Pasture</v>
      </c>
      <c r="C11" s="21"/>
      <c r="D11" s="1" t="s">
        <v>218</v>
      </c>
      <c r="E11" s="121">
        <f>VEERG_6_3_1_1__1__LeachingAndRunoffEmissionsCropAndPastureResidue_Result_Method1</f>
        <v>1.2343469531862857E-2</v>
      </c>
      <c r="F11" s="121">
        <f>VEERG_6_3_1_1__1__LeachingAndRunoffEmissionsCropAndPastureResidue_Result_Method2</f>
        <v>1.2343469531862857E-2</v>
      </c>
      <c r="G11" s="51" t="s">
        <v>99</v>
      </c>
      <c r="H11" s="98">
        <f>'6.3.1.1-2 Leaching and runoff'!E53</f>
        <v>3.2710194259436571</v>
      </c>
      <c r="I11" s="98">
        <f>'6.3.1.1-2 Leaching and runoff'!O53</f>
        <v>3.2710194259436571</v>
      </c>
      <c r="J11" s="51" t="s">
        <v>91</v>
      </c>
      <c r="K11" s="21"/>
    </row>
    <row r="12" spans="1:11" ht="20.100000000000001" customHeight="1" x14ac:dyDescent="0.25">
      <c r="C12" s="21"/>
      <c r="D12" s="1" t="s">
        <v>219</v>
      </c>
      <c r="E12" s="121">
        <f>VEERG_6_4_1_1__2__NitrousOxideEmissionsFromBurningOfCropResidues_Result_Method1</f>
        <v>4.4692560000000004E-3</v>
      </c>
      <c r="F12" s="121">
        <f>E12</f>
        <v>4.4692560000000004E-3</v>
      </c>
      <c r="G12" s="51" t="s">
        <v>99</v>
      </c>
      <c r="H12" s="98">
        <f>'6.4.1.1-2 Residue burning'!E44</f>
        <v>1.1843528400000001</v>
      </c>
      <c r="I12" s="98">
        <f>H12</f>
        <v>1.1843528400000001</v>
      </c>
      <c r="J12" s="51" t="s">
        <v>91</v>
      </c>
      <c r="K12" s="21"/>
    </row>
    <row r="13" spans="1:11" ht="20.100000000000001" customHeight="1" x14ac:dyDescent="0.25">
      <c r="C13" s="21"/>
      <c r="D13" s="1" t="s">
        <v>219</v>
      </c>
      <c r="E13" s="121">
        <f>VEERG_6_4_1_1__1__MethaneEmissionsFromBurningOfCropResidues_Result_Method1</f>
        <v>0.116424</v>
      </c>
      <c r="F13" s="121">
        <f>E13</f>
        <v>0.116424</v>
      </c>
      <c r="G13" s="51" t="s">
        <v>220</v>
      </c>
      <c r="H13" s="98">
        <f>'6.4.1.1-2 Residue burning'!E67</f>
        <v>3.2598720000000001</v>
      </c>
      <c r="I13" s="98">
        <f>H13</f>
        <v>3.2598720000000001</v>
      </c>
      <c r="J13" s="51" t="s">
        <v>91</v>
      </c>
      <c r="K13" s="21"/>
    </row>
    <row r="14" spans="1:11" ht="20.100000000000001" customHeight="1" x14ac:dyDescent="0.3">
      <c r="A14" s="18" t="s">
        <v>68</v>
      </c>
      <c r="C14" s="21"/>
      <c r="D14" s="28" t="s">
        <v>86</v>
      </c>
      <c r="E14" s="22"/>
      <c r="F14" s="22"/>
      <c r="G14" s="28"/>
      <c r="H14" s="99">
        <f>SUM(H9:H13)</f>
        <v>13.910356815079371</v>
      </c>
      <c r="I14" s="99">
        <f>SUM(I9:I13)</f>
        <v>13.910356815079371</v>
      </c>
      <c r="J14" s="95" t="s">
        <v>91</v>
      </c>
      <c r="K14" s="21"/>
    </row>
    <row r="15" spans="1:11" ht="20.100000000000001" customHeight="1" x14ac:dyDescent="0.25">
      <c r="A15" s="17" t="str">
        <f>HYPERLINK("#'6.1.1.1-2 Crop residue N2O'!A1", "6.1.1.1-2 Crop residue N2O")</f>
        <v>6.1.1.1-2 Crop residue N2O</v>
      </c>
      <c r="C15" s="21"/>
      <c r="D15" s="1"/>
      <c r="E15" s="1"/>
      <c r="F15" s="1"/>
      <c r="G15" s="1"/>
      <c r="H15" s="1"/>
      <c r="I15" s="1"/>
      <c r="J15" s="1"/>
      <c r="K15" s="21"/>
    </row>
    <row r="16" spans="1:11" ht="20.100000000000001" customHeight="1" x14ac:dyDescent="0.25">
      <c r="A16" s="17" t="str">
        <f>HYPERLINK("#'6.2.1.1-2 Pasture residue N2O'!A1", "6.2.1.1-2 Pasture residue N2O")</f>
        <v>6.2.1.1-2 Pasture residue N2O</v>
      </c>
      <c r="C16" s="21"/>
      <c r="D16" s="96"/>
      <c r="E16" s="96"/>
      <c r="F16" s="96"/>
      <c r="G16" s="96"/>
      <c r="H16" s="96"/>
      <c r="I16" s="96"/>
      <c r="J16" s="96"/>
      <c r="K16" s="21"/>
    </row>
    <row r="17" spans="1:11" ht="20.100000000000001" customHeight="1" x14ac:dyDescent="0.25">
      <c r="A17" s="17" t="str">
        <f>HYPERLINK("#'6.3.1.1-2 Leaching and runoff'!A1", "6.3.1.1-2 Leaching and runoff")</f>
        <v>6.3.1.1-2 Leaching and runoff</v>
      </c>
      <c r="C17" s="21"/>
      <c r="D17" s="96"/>
      <c r="E17" s="1"/>
      <c r="F17" s="1"/>
      <c r="G17" s="1"/>
      <c r="H17" s="1"/>
      <c r="I17" s="1"/>
      <c r="J17" s="21"/>
      <c r="K17" s="21"/>
    </row>
    <row r="18" spans="1:11" ht="20.100000000000001" customHeight="1" x14ac:dyDescent="0.25">
      <c r="A18" s="17" t="str">
        <f>HYPERLINK("#'6.3.1.1-2 Leach runoff crop'!A1", "6.3.1.1-2 Leach runoff crop")</f>
        <v>6.3.1.1-2 Leach runoff crop</v>
      </c>
      <c r="C18" s="21"/>
      <c r="D18" s="103"/>
      <c r="E18" s="1"/>
      <c r="F18" s="1"/>
      <c r="G18" s="1"/>
      <c r="H18" s="1"/>
      <c r="I18" s="1"/>
      <c r="J18" s="21"/>
      <c r="K18" s="21"/>
    </row>
    <row r="19" spans="1:11" ht="20.100000000000001" customHeight="1" x14ac:dyDescent="0.25">
      <c r="A19" s="17" t="str">
        <f>HYPERLINK("#'6.3.1.1-2 Leach runoff pasture'!A1", "6.3.1.1-2 Leach runoff pasture")</f>
        <v>6.3.1.1-2 Leach runoff pasture</v>
      </c>
      <c r="C19" s="21"/>
      <c r="D19" s="1"/>
      <c r="E19" s="1"/>
      <c r="F19" s="1"/>
      <c r="G19" s="1"/>
      <c r="H19" s="1"/>
      <c r="I19" s="1"/>
      <c r="J19" s="21"/>
      <c r="K19" s="21"/>
    </row>
    <row r="20" spans="1:11" ht="20.100000000000001" customHeight="1" x14ac:dyDescent="0.25">
      <c r="A20" s="17" t="str">
        <f>HYPERLINK("#'6.4.1.1-2 Residue burning'!A1", "6.4.1.1-2 Residue burning")</f>
        <v>6.4.1.1-2 Residue burning</v>
      </c>
      <c r="C20" s="21"/>
      <c r="D20" s="1"/>
      <c r="E20" s="1"/>
      <c r="F20" s="1"/>
      <c r="G20" s="1"/>
      <c r="H20" s="1"/>
      <c r="I20" s="1"/>
      <c r="J20" s="21"/>
      <c r="K20" s="21"/>
    </row>
    <row r="21" spans="1:11" ht="20.100000000000001" customHeight="1" x14ac:dyDescent="0.25">
      <c r="C21" s="21"/>
      <c r="D21" s="1"/>
      <c r="E21" s="101"/>
      <c r="F21" s="51"/>
      <c r="G21" s="1"/>
      <c r="H21" s="1"/>
      <c r="I21" s="21"/>
      <c r="J21" s="21"/>
      <c r="K21" s="21"/>
    </row>
    <row r="22" spans="1:11" ht="20.100000000000001" customHeight="1" x14ac:dyDescent="0.25">
      <c r="C22" s="21"/>
      <c r="D22" s="1"/>
      <c r="E22" s="101"/>
      <c r="F22" s="51"/>
      <c r="G22" s="1"/>
      <c r="H22" s="1"/>
      <c r="I22" s="21"/>
      <c r="J22" s="21"/>
      <c r="K22" s="21"/>
    </row>
    <row r="23" spans="1:11" ht="20.100000000000001" customHeight="1" x14ac:dyDescent="0.3">
      <c r="A23" s="141" t="s">
        <v>1</v>
      </c>
      <c r="C23" s="21"/>
      <c r="D23" s="1"/>
      <c r="E23" s="1"/>
      <c r="F23" s="1"/>
      <c r="G23" s="1"/>
      <c r="H23" s="26"/>
      <c r="I23" s="21"/>
      <c r="J23" s="21"/>
      <c r="K23" s="21"/>
    </row>
    <row r="24" spans="1:11" ht="20.100000000000001" customHeight="1" x14ac:dyDescent="0.3">
      <c r="A24" s="17" t="str">
        <f>HYPERLINK("#'Constants - Ag Residue'!A1", "Constants - Ag Residue")</f>
        <v>Constants - Ag Residue</v>
      </c>
      <c r="C24" s="21"/>
      <c r="D24" s="1"/>
      <c r="E24" s="1"/>
      <c r="F24" s="1"/>
      <c r="G24" s="1"/>
      <c r="H24" s="26"/>
      <c r="I24" s="21"/>
      <c r="J24" s="21"/>
      <c r="K24" s="21"/>
    </row>
    <row r="25" spans="1:11" ht="20.100000000000001" customHeight="1" x14ac:dyDescent="0.3">
      <c r="A25" s="17" t="str">
        <f>HYPERLINK("#'Constants - Common'!A1", "Constants - Common")</f>
        <v>Constants - Common</v>
      </c>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7"/>
      <c r="J38" s="97"/>
      <c r="K38" s="21"/>
    </row>
    <row r="39" spans="3:11" ht="20.100000000000001" customHeight="1" x14ac:dyDescent="0.25">
      <c r="C39" s="21"/>
      <c r="D39" s="1"/>
      <c r="E39" s="1"/>
      <c r="F39" s="1"/>
      <c r="G39" s="1"/>
      <c r="H39" s="1"/>
      <c r="I39" s="97"/>
      <c r="J39" s="97"/>
      <c r="K39" s="21"/>
    </row>
    <row r="40" spans="3:11" ht="20.100000000000001" customHeight="1" x14ac:dyDescent="0.25">
      <c r="C40" s="21"/>
      <c r="D40" s="1"/>
      <c r="E40" s="1"/>
      <c r="F40" s="1"/>
      <c r="G40" s="1"/>
      <c r="H40" s="1"/>
      <c r="I40" s="97"/>
      <c r="J40" s="97"/>
      <c r="K40" s="21"/>
    </row>
    <row r="41" spans="3:11" ht="20.100000000000001" customHeight="1" x14ac:dyDescent="0.25">
      <c r="C41" s="21"/>
      <c r="D41" s="1"/>
      <c r="E41" s="1"/>
      <c r="F41" s="1"/>
      <c r="G41" s="1"/>
      <c r="H41" s="1"/>
      <c r="I41" s="97"/>
      <c r="J41" s="97"/>
      <c r="K41" s="21"/>
    </row>
    <row r="42" spans="3:11" ht="20.100000000000001" customHeight="1" x14ac:dyDescent="0.25">
      <c r="C42" s="21"/>
      <c r="D42" s="1"/>
      <c r="E42" s="1"/>
      <c r="F42" s="1"/>
      <c r="G42" s="1"/>
      <c r="H42" s="1"/>
      <c r="I42" s="97"/>
      <c r="J42" s="97"/>
      <c r="K42" s="21"/>
    </row>
    <row r="43" spans="3:11" ht="20.100000000000001" customHeight="1" x14ac:dyDescent="0.25">
      <c r="C43" s="21"/>
      <c r="D43" s="1"/>
      <c r="E43" s="1"/>
      <c r="F43" s="1"/>
      <c r="G43" s="1"/>
      <c r="H43" s="1"/>
      <c r="I43" s="97"/>
      <c r="J43" s="97"/>
      <c r="K43" s="21"/>
    </row>
    <row r="44" spans="3:11" ht="20.100000000000001" customHeight="1" x14ac:dyDescent="0.25">
      <c r="C44" s="21"/>
      <c r="D44" s="1"/>
      <c r="E44" s="1"/>
      <c r="F44" s="1"/>
      <c r="G44" s="1"/>
      <c r="H44" s="1"/>
      <c r="I44" s="97"/>
      <c r="J44" s="97"/>
      <c r="K44" s="21"/>
    </row>
    <row r="45" spans="3:11" ht="20.100000000000001" customHeight="1" x14ac:dyDescent="0.25">
      <c r="C45" s="21"/>
      <c r="D45" s="1"/>
      <c r="E45" s="1"/>
      <c r="F45" s="1"/>
      <c r="G45" s="1"/>
      <c r="H45" s="1"/>
      <c r="I45" s="97"/>
      <c r="J45" s="97"/>
      <c r="K45" s="21"/>
    </row>
    <row r="46" spans="3:11" ht="20.100000000000001" customHeight="1" x14ac:dyDescent="0.25">
      <c r="C46" s="21"/>
      <c r="D46" s="1"/>
      <c r="E46" s="1"/>
      <c r="F46" s="1"/>
      <c r="G46" s="1"/>
      <c r="H46" s="1"/>
      <c r="I46" s="97"/>
      <c r="J46" s="97"/>
      <c r="K46" s="21"/>
    </row>
    <row r="47" spans="3:11" ht="20.100000000000001" customHeight="1" x14ac:dyDescent="0.25">
      <c r="C47" s="21"/>
      <c r="D47" s="1"/>
      <c r="E47" s="1"/>
      <c r="F47" s="1"/>
      <c r="G47" s="1"/>
      <c r="H47" s="1"/>
      <c r="I47" s="97"/>
      <c r="J47" s="97"/>
      <c r="K47" s="21"/>
    </row>
    <row r="48" spans="3:11" ht="20.100000000000001" customHeight="1" x14ac:dyDescent="0.25">
      <c r="C48" s="21"/>
      <c r="D48" s="1"/>
      <c r="E48" s="1"/>
      <c r="F48" s="1"/>
      <c r="G48" s="1"/>
      <c r="H48" s="1"/>
      <c r="I48" s="97"/>
      <c r="J48" s="97"/>
      <c r="K48" s="21"/>
    </row>
    <row r="49" spans="3:11" ht="20.100000000000001" customHeight="1" x14ac:dyDescent="0.25">
      <c r="C49" s="21"/>
      <c r="D49" s="1"/>
      <c r="E49" s="1"/>
      <c r="F49" s="1"/>
      <c r="G49" s="1"/>
      <c r="H49" s="97"/>
      <c r="I49" s="97"/>
      <c r="J49" s="97"/>
      <c r="K49" s="21"/>
    </row>
    <row r="50" spans="3:11" ht="20.100000000000001" customHeight="1" x14ac:dyDescent="0.25">
      <c r="C50" s="21"/>
      <c r="D50" s="1"/>
      <c r="E50" s="1"/>
      <c r="F50" s="1"/>
      <c r="G50" s="1"/>
      <c r="H50" s="97"/>
      <c r="I50" s="97"/>
      <c r="J50" s="97"/>
      <c r="K50" s="21"/>
    </row>
    <row r="51" spans="3:11" ht="20.100000000000001" customHeight="1" x14ac:dyDescent="0.25">
      <c r="C51" s="21"/>
      <c r="D51" s="1"/>
      <c r="E51" s="1"/>
      <c r="F51" s="1"/>
      <c r="G51" s="1"/>
      <c r="H51" s="97"/>
      <c r="I51" s="97"/>
      <c r="J51" s="97"/>
      <c r="K51" s="21"/>
    </row>
    <row r="52" spans="3:11" ht="20.100000000000001" customHeight="1" x14ac:dyDescent="0.25">
      <c r="C52" s="21"/>
      <c r="D52" s="1"/>
      <c r="E52" s="1"/>
      <c r="F52" s="1"/>
      <c r="G52" s="1"/>
      <c r="H52" s="97"/>
      <c r="I52" s="97"/>
      <c r="J52" s="97"/>
      <c r="K52" s="21"/>
    </row>
    <row r="53" spans="3:11" ht="20.100000000000001" customHeight="1" x14ac:dyDescent="0.25">
      <c r="C53" s="21"/>
      <c r="D53" s="1"/>
      <c r="E53" s="1"/>
      <c r="F53" s="1"/>
      <c r="G53" s="1"/>
      <c r="H53" s="97"/>
      <c r="I53" s="97"/>
      <c r="J53" s="97"/>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5" zoomScaleNormal="100" workbookViewId="0">
      <selection activeCell="A25" sqref="A2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71</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66</v>
      </c>
      <c r="E8" s="32" t="s">
        <v>67</v>
      </c>
    </row>
    <row r="9" spans="1:24" ht="20.100000000000001" customHeight="1" x14ac:dyDescent="0.25">
      <c r="A9" s="104" t="str">
        <f>HYPERLINK("#'Input - Site'!A1", "Site")</f>
        <v>Site</v>
      </c>
      <c r="N9" s="41"/>
    </row>
    <row r="10" spans="1:24" ht="20.100000000000001" customHeight="1" x14ac:dyDescent="0.25">
      <c r="A10" s="17" t="str">
        <f>HYPERLINK("#'Input - Crop'!A1", "Crop")</f>
        <v>Crop</v>
      </c>
      <c r="D10" s="86" t="s">
        <v>70</v>
      </c>
      <c r="E10" s="84"/>
      <c r="F10" s="87"/>
      <c r="G10" s="81"/>
      <c r="N10" s="41"/>
    </row>
    <row r="11" spans="1:24" ht="20.100000000000001" customHeight="1" x14ac:dyDescent="0.25">
      <c r="A11" s="17" t="str">
        <f>HYPERLINK("#'Input - Pasture'!A1", "Pasture")</f>
        <v>Pasture</v>
      </c>
      <c r="N11" s="42"/>
    </row>
    <row r="12" spans="1:24" ht="20.100000000000001" customHeight="1" x14ac:dyDescent="0.25">
      <c r="A12"/>
      <c r="D12" s="10" t="s">
        <v>76</v>
      </c>
      <c r="E12" s="59">
        <v>45292</v>
      </c>
      <c r="F12" s="2" t="s">
        <v>64</v>
      </c>
    </row>
    <row r="13" spans="1:24" ht="20.100000000000001" customHeight="1" x14ac:dyDescent="0.25">
      <c r="A13"/>
      <c r="D13" s="10" t="s">
        <v>77</v>
      </c>
      <c r="E13" s="62">
        <f>DATE(YEAR(X_Cell_Site_StartDate)+1,MONTH(X_Cell_Site_StartDate),DAY(X_Cell_Site_StartDate))-1</f>
        <v>45657</v>
      </c>
      <c r="F13" s="2" t="s">
        <v>14</v>
      </c>
      <c r="N13" s="37"/>
      <c r="O13" s="37"/>
    </row>
    <row r="14" spans="1:24" ht="20.100000000000001" customHeight="1" x14ac:dyDescent="0.25">
      <c r="A14" s="18" t="s">
        <v>68</v>
      </c>
      <c r="N14" s="37"/>
      <c r="O14" s="37"/>
    </row>
    <row r="15" spans="1:24" ht="20.100000000000001" customHeight="1" x14ac:dyDescent="0.25">
      <c r="A15" s="17" t="str">
        <f>HYPERLINK("#'6.1.1.1-2 Crop residue N2O'!A1", "6.1.1.1-2 Crop residue N2O")</f>
        <v>6.1.1.1-2 Crop residue N2O</v>
      </c>
      <c r="N15" s="37"/>
      <c r="O15" s="37"/>
    </row>
    <row r="16" spans="1:24" ht="20.100000000000001" customHeight="1" x14ac:dyDescent="0.25">
      <c r="A16" s="17" t="str">
        <f>HYPERLINK("#'6.2.1.1-2 Pasture residue N2O'!A1", "6.2.1.1-2 Pasture residue N2O")</f>
        <v>6.2.1.1-2 Pasture residue N2O</v>
      </c>
      <c r="D16" s="6" t="s">
        <v>11</v>
      </c>
      <c r="N16" s="37"/>
      <c r="O16" s="37"/>
    </row>
    <row r="17" spans="1:25" ht="20.100000000000001" customHeight="1" x14ac:dyDescent="0.25">
      <c r="A17" s="17" t="str">
        <f>HYPERLINK("#'6.3.1.1-2 Leaching and runoff'!A1", "6.3.1.1-2 Leaching and runoff")</f>
        <v>6.3.1.1-2 Leaching and runoff</v>
      </c>
    </row>
    <row r="18" spans="1:25" ht="20.100000000000001" customHeight="1" x14ac:dyDescent="0.25">
      <c r="A18" s="17" t="str">
        <f>HYPERLINK("#'6.3.1.1-2 Leach runoff crop'!A1", "6.3.1.1-2 Leach runoff crop")</f>
        <v>6.3.1.1-2 Leach runoff crop</v>
      </c>
      <c r="D18" s="88" t="s">
        <v>13</v>
      </c>
      <c r="E18" s="83"/>
      <c r="F18" s="83"/>
      <c r="G18" s="79"/>
    </row>
    <row r="19" spans="1:25" ht="20.100000000000001" customHeight="1" x14ac:dyDescent="0.25">
      <c r="A19" s="17" t="str">
        <f>HYPERLINK("#'6.3.1.1-2 Leach runoff pasture'!A1", "6.3.1.1-2 Leach runoff pasture")</f>
        <v>6.3.1.1-2 Leach runoff pasture</v>
      </c>
      <c r="D19" s="85" t="s">
        <v>65</v>
      </c>
      <c r="E19" s="82"/>
      <c r="F19" s="82"/>
      <c r="G19" s="80"/>
      <c r="N19" s="39"/>
    </row>
    <row r="20" spans="1:25" ht="20.100000000000001" customHeight="1" x14ac:dyDescent="0.25">
      <c r="A20" s="17" t="str">
        <f>HYPERLINK("#'6.4.1.1-2 Residue burning'!A1", "6.4.1.1-2 Residue burning")</f>
        <v>6.4.1.1-2 Residue burning</v>
      </c>
      <c r="D20" s="1"/>
      <c r="E20" s="30"/>
      <c r="F20" s="2"/>
      <c r="N20" s="40"/>
    </row>
    <row r="21" spans="1:25" ht="20.100000000000001" customHeight="1" x14ac:dyDescent="0.25">
      <c r="A21"/>
      <c r="D21" s="1" t="s">
        <v>5</v>
      </c>
      <c r="E21" s="38" t="s">
        <v>98</v>
      </c>
      <c r="F21" s="2" t="s">
        <v>8</v>
      </c>
    </row>
    <row r="22" spans="1:25" ht="20.100000000000001" customHeight="1" x14ac:dyDescent="0.25">
      <c r="A22"/>
      <c r="D22" s="1" t="s">
        <v>20</v>
      </c>
      <c r="E22" s="38" t="s">
        <v>29</v>
      </c>
      <c r="F22" s="2" t="s">
        <v>8</v>
      </c>
      <c r="G22" s="1"/>
    </row>
    <row r="23" spans="1:25" ht="20.100000000000001" customHeight="1" x14ac:dyDescent="0.25">
      <c r="A23" s="141" t="s">
        <v>1</v>
      </c>
      <c r="D23" s="1" t="s">
        <v>6</v>
      </c>
      <c r="E23" s="38" t="s">
        <v>75</v>
      </c>
      <c r="F23" s="2" t="s">
        <v>8</v>
      </c>
    </row>
    <row r="24" spans="1:25" ht="20.100000000000001" customHeight="1" x14ac:dyDescent="0.25">
      <c r="A24" s="17" t="str">
        <f>HYPERLINK("#'Constants - Ag Residue'!A1", "Constants - Ag Residue")</f>
        <v>Constants - Ag Residue</v>
      </c>
      <c r="D24" s="1" t="s">
        <v>34</v>
      </c>
      <c r="E24" s="32">
        <v>307.7</v>
      </c>
      <c r="F24" s="2" t="s">
        <v>48</v>
      </c>
    </row>
    <row r="25" spans="1:25" ht="20.100000000000001" customHeight="1" x14ac:dyDescent="0.25">
      <c r="A25" s="17" t="str">
        <f>HYPERLINK("#'Constants - Common'!A1", "Constants - Common")</f>
        <v>Constants - Common</v>
      </c>
      <c r="D25" s="1" t="s">
        <v>56</v>
      </c>
      <c r="E25" s="32">
        <v>18</v>
      </c>
      <c r="F25" s="2" t="s">
        <v>9</v>
      </c>
      <c r="N25" s="40"/>
    </row>
    <row r="26" spans="1:25" ht="20.100000000000001" customHeight="1" x14ac:dyDescent="0.25">
      <c r="A26"/>
      <c r="D26" s="1" t="s">
        <v>57</v>
      </c>
      <c r="E26" s="32">
        <v>599</v>
      </c>
      <c r="F26" s="2" t="s">
        <v>10</v>
      </c>
    </row>
    <row r="27" spans="1:25" ht="20.100000000000001" customHeight="1" x14ac:dyDescent="0.25">
      <c r="A27"/>
      <c r="D27" s="10" t="s">
        <v>58</v>
      </c>
      <c r="E27" s="32">
        <v>1326</v>
      </c>
      <c r="F27" s="2" t="s">
        <v>10</v>
      </c>
    </row>
    <row r="28" spans="1:25" ht="20.100000000000001" customHeight="1" x14ac:dyDescent="0.25">
      <c r="A28"/>
      <c r="D28" s="1" t="s">
        <v>59</v>
      </c>
      <c r="E28" s="32">
        <v>7</v>
      </c>
      <c r="F28" s="2" t="s">
        <v>49</v>
      </c>
    </row>
    <row r="29" spans="1:25" ht="20.100000000000001" customHeight="1" x14ac:dyDescent="0.25">
      <c r="A29"/>
      <c r="D29" s="10" t="s">
        <v>55</v>
      </c>
      <c r="E29" s="49">
        <f>X_Cell_Site_TotalRainfall/X_Cell_Site_PotentialEvapotranspiration</f>
        <v>0.45173453996983409</v>
      </c>
      <c r="F29" s="2"/>
    </row>
    <row r="30" spans="1:25" ht="20.100000000000001" customHeight="1" x14ac:dyDescent="0.25">
      <c r="A30"/>
      <c r="D30" s="10" t="s">
        <v>30</v>
      </c>
      <c r="E30" s="49" t="str">
        <f>Common_InputFunctions.Utility_LookupItemFromMinMax(X_Cell_Site_TotalRainfall,Table_SourceData_RainfallZones[Min rainfall],Table_SourceData_RainfallZones[Max rainfall],Table_SourceData_RainfallZones[Rainfall Zone])</f>
        <v>Low rainfall</v>
      </c>
      <c r="G30" s="31"/>
      <c r="L30" s="46"/>
      <c r="M30" s="46"/>
      <c r="N30" s="46"/>
      <c r="O30" s="46"/>
      <c r="P30" s="46"/>
      <c r="Q30" s="46"/>
      <c r="R30" s="46"/>
      <c r="S30" s="46"/>
      <c r="T30" s="46"/>
      <c r="U30" s="46"/>
      <c r="V30" s="46"/>
      <c r="W30" s="46"/>
      <c r="X30" s="46"/>
      <c r="Y30" s="46"/>
    </row>
    <row r="31" spans="1:25" ht="20.100000000000001" customHeight="1" x14ac:dyDescent="0.25">
      <c r="A31"/>
      <c r="D31" s="1" t="s">
        <v>7</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72</v>
      </c>
      <c r="E32" s="49" t="str">
        <f>Common_InputFunctions.Utility_LookupValueInTable(X_Cell_Site_ClimateZone,Table_SourceData_WetDryZones[Climate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47</v>
      </c>
      <c r="E33" s="49" t="str">
        <f>Common_InputFunctions.Utility_LookupItemFromMinMax(X_Cell_Site_AverageTemperature,Table_SourceData_TemperatureZones[Min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H361"/>
  <sheetViews>
    <sheetView showGridLines="0" tabSelected="1" topLeftCell="A15" zoomScaleNormal="100" workbookViewId="0">
      <selection activeCell="E36" sqref="E36"/>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0" customFormat="1" ht="30" customHeight="1" x14ac:dyDescent="0.35">
      <c r="A1" s="60" t="e" vm="1">
        <v>#VALUE!</v>
      </c>
      <c r="C1" s="60" t="s">
        <v>129</v>
      </c>
    </row>
    <row r="2" spans="1:8" s="9" customFormat="1" ht="20.100000000000001" customHeight="1" x14ac:dyDescent="0.25">
      <c r="A2"/>
    </row>
    <row r="3" spans="1:8" ht="20.100000000000001" customHeight="1" x14ac:dyDescent="0.25">
      <c r="A3" s="17" t="str">
        <f>HYPERLINK("#'Home'!A1", "Home")</f>
        <v>Home</v>
      </c>
      <c r="C3" s="15"/>
      <c r="D3" s="15"/>
      <c r="E3" s="15"/>
      <c r="F3" s="15"/>
      <c r="G3" s="15"/>
      <c r="H3" s="15"/>
    </row>
    <row r="4" spans="1:8" ht="20.100000000000001" customHeight="1" x14ac:dyDescent="0.25">
      <c r="A4" s="17" t="str">
        <f>HYPERLINK("#'Overview'!A1", "Overview")</f>
        <v>Overview</v>
      </c>
    </row>
    <row r="5" spans="1:8" ht="20.100000000000001" customHeight="1" x14ac:dyDescent="0.25">
      <c r="A5" s="17" t="str">
        <f>HYPERLINK("#'Results'!A1", "Results")</f>
        <v>Results</v>
      </c>
      <c r="D5" s="6" t="s">
        <v>130</v>
      </c>
    </row>
    <row r="6" spans="1:8" ht="20.100000000000001" customHeight="1" x14ac:dyDescent="0.25"/>
    <row r="7" spans="1:8" ht="20.100000000000001" customHeight="1" x14ac:dyDescent="0.25">
      <c r="D7" s="86" t="s">
        <v>131</v>
      </c>
      <c r="E7" s="87"/>
      <c r="F7" s="87"/>
      <c r="G7" s="81"/>
    </row>
    <row r="8" spans="1:8" ht="20.100000000000001" customHeight="1" x14ac:dyDescent="0.25">
      <c r="A8" s="19" t="s">
        <v>0</v>
      </c>
    </row>
    <row r="9" spans="1:8" ht="20.100000000000001" customHeight="1" x14ac:dyDescent="0.25">
      <c r="A9" s="17" t="str">
        <f>HYPERLINK("#'Input - Site'!A1", "Site")</f>
        <v>Site</v>
      </c>
      <c r="D9" s="1" t="s">
        <v>109</v>
      </c>
      <c r="E9" s="38" t="s">
        <v>132</v>
      </c>
      <c r="F9" s="2" t="s">
        <v>133</v>
      </c>
    </row>
    <row r="10" spans="1:8" ht="20.100000000000001" customHeight="1" x14ac:dyDescent="0.25">
      <c r="A10" s="104" t="str">
        <f>HYPERLINK("#'Input - Crop'!A1", "Crop")</f>
        <v>Crop</v>
      </c>
      <c r="D10" s="1" t="s">
        <v>134</v>
      </c>
      <c r="E10" s="38" t="s">
        <v>173</v>
      </c>
      <c r="F10" s="2" t="s">
        <v>133</v>
      </c>
    </row>
    <row r="11" spans="1:8" ht="20.100000000000001" customHeight="1" x14ac:dyDescent="0.25">
      <c r="A11" s="17" t="str">
        <f>HYPERLINK("#'Input - Pasture'!A1", "Pasture")</f>
        <v>Pasture</v>
      </c>
      <c r="D11" s="10" t="s">
        <v>85</v>
      </c>
      <c r="E11" s="38" t="s">
        <v>107</v>
      </c>
      <c r="F11" s="2" t="s">
        <v>133</v>
      </c>
    </row>
    <row r="12" spans="1:8" ht="20.100000000000001" customHeight="1" x14ac:dyDescent="0.25"/>
    <row r="13" spans="1:8" ht="20.100000000000001" customHeight="1" x14ac:dyDescent="0.25">
      <c r="D13" s="1" t="s">
        <v>110</v>
      </c>
      <c r="E13" s="129">
        <v>100</v>
      </c>
      <c r="F13" s="2" t="s">
        <v>135</v>
      </c>
    </row>
    <row r="14" spans="1:8" ht="20.100000000000001" customHeight="1" x14ac:dyDescent="0.25">
      <c r="A14" s="18" t="s">
        <v>68</v>
      </c>
    </row>
    <row r="15" spans="1:8" ht="20.100000000000001" customHeight="1" x14ac:dyDescent="0.25">
      <c r="A15" s="17" t="str">
        <f>HYPERLINK("#'6.1.1.1-2 Crop residue N2O'!A1", "6.1.1.1-2 Crop residue N2O")</f>
        <v>6.1.1.1-2 Crop residue N2O</v>
      </c>
      <c r="D15" s="6" t="s">
        <v>136</v>
      </c>
    </row>
    <row r="16" spans="1:8" ht="20.100000000000001" customHeight="1" x14ac:dyDescent="0.25">
      <c r="A16" s="17" t="str">
        <f>HYPERLINK("#'6.2.1.1-2 Pasture residue N2O'!A1", "6.2.1.1-2 Pasture residue N2O")</f>
        <v>6.2.1.1-2 Pasture residue N2O</v>
      </c>
    </row>
    <row r="17" spans="1:6" ht="20.100000000000001" customHeight="1" x14ac:dyDescent="0.25">
      <c r="A17" s="17" t="str">
        <f>HYPERLINK("#'6.3.1.1-2 Leaching and runoff'!A1", "6.3.1.1-2 Leaching and runoff")</f>
        <v>6.3.1.1-2 Leaching and runoff</v>
      </c>
      <c r="D17" s="1" t="str">
        <f>X_Cell_Crop_CropPurpose &amp; " " &amp; _xlfn.XLOOKUP(X_Cell_Crop_CropPurpose,Table_SourceData_CropPurposeAndYields[Purpose], Table_SourceData_CropPurposeAndYields[harvest term]) &amp; " per hectare¹"</f>
        <v>Cash grain crop yield per hectare¹</v>
      </c>
      <c r="E17" s="112">
        <v>3.5</v>
      </c>
      <c r="F17" s="2" t="str">
        <f>"Tonnes " &amp; _xlfn.XLOOKUP(X_Cell_Crop_CropPurpose, Table_SourceData_CropPurposeAndYields[Purpose], Table_SourceData_CropPurposeAndYields[Per hectare unit], FALSE) &amp; " per hectare"</f>
        <v>Tonnes grain per hectare</v>
      </c>
    </row>
    <row r="18" spans="1:6" ht="20.100000000000001" customHeight="1" x14ac:dyDescent="0.25">
      <c r="A18" s="17" t="str">
        <f>HYPERLINK("#'6.3.1.1-2 Leach runoff crop'!A1", "6.3.1.1-2 Leach runoff crop")</f>
        <v>6.3.1.1-2 Leach runoff crop</v>
      </c>
      <c r="D18" s="1" t="s">
        <v>230</v>
      </c>
      <c r="E18" s="49">
        <f>_xlfn.IFS(X_Cell_Crop_CropPurpose="Cash grain crop", Common_InputFunctions.Utility_LookupValueInTableNumber(X_Cell_Crop_CropType, Table_SourceData_CropAttributes[Crop type],Table_SourceData_CropAttributes[Residue: Crop ratio]), X_Cell_Crop_CropPurpose="Cash crop for hay/silage", 0, X_Cell_Crop_CropPurpose="Cover crop", 1)</f>
        <v>1.5</v>
      </c>
    </row>
    <row r="19" spans="1:6" ht="20.100000000000001" customHeight="1" x14ac:dyDescent="0.25">
      <c r="A19" s="17" t="str">
        <f>HYPERLINK("#'6.3.1.1-2 Leach runoff pasture'!A1", "6.3.1.1-2 Leach runoff pasture")</f>
        <v>6.3.1.1-2 Leach runoff pasture</v>
      </c>
      <c r="D19" s="1" t="s">
        <v>139</v>
      </c>
      <c r="E19" s="49">
        <f>X_Cell_Crop_YieldPerHectare*E18</f>
        <v>5.25</v>
      </c>
      <c r="F19" s="2" t="s">
        <v>138</v>
      </c>
    </row>
    <row r="20" spans="1:6" ht="20.100000000000001" customHeight="1" x14ac:dyDescent="0.25">
      <c r="A20" s="17" t="str">
        <f>HYPERLINK("#'6.4.1.1-2 Residue burning'!A1", "6.4.1.1-2 Residue burning")</f>
        <v>6.4.1.1-2 Residue burning</v>
      </c>
      <c r="D20" s="1" t="s">
        <v>137</v>
      </c>
      <c r="E20" s="49">
        <f>X_Cell_Crop_YieldPerHectare+E19</f>
        <v>8.75</v>
      </c>
      <c r="F20" s="2" t="s">
        <v>138</v>
      </c>
    </row>
    <row r="21" spans="1:6" ht="20.100000000000001" customHeight="1" x14ac:dyDescent="0.25"/>
    <row r="22" spans="1:6" ht="20.100000000000001" customHeight="1" x14ac:dyDescent="0.25">
      <c r="D22" s="50" t="s">
        <v>231</v>
      </c>
      <c r="E22" s="49">
        <f>X_Cell_Crop_YieldPerHectare*X_Cell_Crop_AreaUnderCropping</f>
        <v>350</v>
      </c>
      <c r="F22" s="2" t="str">
        <f>"Tonnes " &amp; _xlfn.XLOOKUP(X_Cell_Crop_CropPurpose, Table_SourceData_CropPurposeAndYields[Purpose], Table_SourceData_CropPurposeAndYields[Harvest uit], FALSE)</f>
        <v>Tonnes grain</v>
      </c>
    </row>
    <row r="23" spans="1:6" ht="20.100000000000001" customHeight="1" x14ac:dyDescent="0.25">
      <c r="A23" s="141" t="s">
        <v>1</v>
      </c>
    </row>
    <row r="24" spans="1:6" ht="20.100000000000001" customHeight="1" x14ac:dyDescent="0.25">
      <c r="A24" s="17" t="str">
        <f>HYPERLINK("#'Constants - Ag Residue'!A1", "Constants - Ag Residue")</f>
        <v>Constants - Ag Residue</v>
      </c>
      <c r="D24" s="96" t="str">
        <f>"¹ " &amp; _xlfn.XLOOKUP(X_Cell_Crop_CropPurpose, Table_SourceData_CropPurposeAndYields[Purpose],Table_SourceData_CropPurposeAndYields[Yield note])</f>
        <v>¹ Yield is the grain harvested from the plant</v>
      </c>
    </row>
    <row r="25" spans="1:6" ht="20.100000000000001" customHeight="1" x14ac:dyDescent="0.25">
      <c r="A25" s="17" t="str">
        <f>HYPERLINK("#'Constants - Common'!A1", "Constants - Common")</f>
        <v>Constants - Common</v>
      </c>
      <c r="D25" s="96" t="str">
        <f>"² " &amp; _xlfn.XLOOKUP(X_Cell_Crop_CropPurpose, Table_SourceData_CropPurposeAndYields[Purpose],Table_SourceData_CropPurposeAndYields[Residue crop ratio note])</f>
        <v>² Residue to crop ratio is provided from default values</v>
      </c>
    </row>
    <row r="26" spans="1:6" ht="20.100000000000001" customHeight="1" x14ac:dyDescent="0.25">
      <c r="D26" s="96" t="str">
        <f>"³ " &amp; _xlfn.XLOOKUP(X_Cell_Crop_CropPurpose,Table_SourceData_CropPurposeAndYields[Purpose],Table_SourceData_CropPurposeAndYields[Total production note])</f>
        <v>³ Total production is the total grain harvested</v>
      </c>
    </row>
    <row r="27" spans="1:6" ht="20.100000000000001" customHeight="1" x14ac:dyDescent="0.25"/>
    <row r="28" spans="1:6" ht="20.100000000000001" customHeight="1" x14ac:dyDescent="0.25">
      <c r="D28" s="6" t="s">
        <v>140</v>
      </c>
    </row>
    <row r="29" spans="1:6" ht="20.100000000000001" customHeight="1" x14ac:dyDescent="0.25"/>
    <row r="30" spans="1:6" ht="20.100000000000001" customHeight="1" x14ac:dyDescent="0.25">
      <c r="D30" s="1" t="str">
        <f>"Residue after " &amp; VLOOKUP(X_Cell_Crop_CropPurpose,'Constants - Ag Residue'!D8:G10, 4, FALSE)</f>
        <v>Residue after harvest</v>
      </c>
      <c r="E30" s="49">
        <f>E19*X_Cell_Crop_AreaUnderCropping</f>
        <v>525</v>
      </c>
      <c r="F30" s="2" t="s">
        <v>141</v>
      </c>
    </row>
    <row r="31" spans="1:6" ht="20.100000000000001" customHeight="1" x14ac:dyDescent="0.25"/>
    <row r="32" spans="1:6" ht="20.100000000000001" customHeight="1" x14ac:dyDescent="0.25">
      <c r="D32" s="45" t="s">
        <v>142</v>
      </c>
    </row>
    <row r="33" spans="1:8" ht="20.100000000000001" customHeight="1" x14ac:dyDescent="0.25">
      <c r="D33" s="1" t="s">
        <v>143</v>
      </c>
      <c r="E33" s="120">
        <v>0.1</v>
      </c>
      <c r="F33" s="2" t="s">
        <v>144</v>
      </c>
    </row>
    <row r="34" spans="1:8" ht="20.100000000000001" customHeight="1" x14ac:dyDescent="0.25">
      <c r="D34" s="1" t="s">
        <v>145</v>
      </c>
      <c r="E34" s="112">
        <v>60</v>
      </c>
      <c r="F34" s="2" t="s">
        <v>146</v>
      </c>
    </row>
    <row r="35" spans="1:8" ht="20.100000000000001" customHeight="1" x14ac:dyDescent="0.25">
      <c r="D35" s="50" t="s">
        <v>147</v>
      </c>
      <c r="E35" s="131">
        <f>IFERROR((X_Cell_Crop_TotalResidueBaled*10^3)/X_Cell_Crop_AverageWeightPerBale, 0)</f>
        <v>875</v>
      </c>
      <c r="F35" s="2" t="s">
        <v>148</v>
      </c>
    </row>
    <row r="36" spans="1:8" ht="20.100000000000001" customHeight="1" x14ac:dyDescent="0.25">
      <c r="D36" s="50" t="s">
        <v>149</v>
      </c>
      <c r="E36" s="49">
        <f>E30*X_Cell_Crop_PercentResidueBaled</f>
        <v>52.5</v>
      </c>
      <c r="F36" s="2" t="s">
        <v>141</v>
      </c>
    </row>
    <row r="37" spans="1:8" ht="20.100000000000001" customHeight="1" x14ac:dyDescent="0.25">
      <c r="C37" s="110"/>
    </row>
    <row r="38" spans="1:8" ht="20.100000000000001" customHeight="1" x14ac:dyDescent="0.25">
      <c r="C38" s="110"/>
      <c r="D38" s="45" t="s">
        <v>150</v>
      </c>
    </row>
    <row r="39" spans="1:8" ht="20.100000000000001" customHeight="1" x14ac:dyDescent="0.25">
      <c r="D39" s="1" t="s">
        <v>151</v>
      </c>
      <c r="E39" s="120">
        <v>0.01</v>
      </c>
      <c r="F39" s="2" t="s">
        <v>144</v>
      </c>
    </row>
    <row r="40" spans="1:8" s="111" customFormat="1" ht="20.100000000000001" customHeight="1" x14ac:dyDescent="0.25">
      <c r="A40"/>
      <c r="C40" s="1"/>
      <c r="D40" s="1" t="s">
        <v>152</v>
      </c>
      <c r="E40" s="49">
        <f>E30*X_Cell_Crop_PercentResidueGrazed</f>
        <v>5.25</v>
      </c>
      <c r="F40" s="2" t="s">
        <v>141</v>
      </c>
      <c r="G40" s="1"/>
      <c r="H40" s="1"/>
    </row>
    <row r="41" spans="1:8" s="111" customFormat="1" ht="20.100000000000001" customHeight="1" x14ac:dyDescent="0.25">
      <c r="A41"/>
      <c r="C41" s="1"/>
      <c r="D41" s="1"/>
      <c r="E41" s="1"/>
      <c r="F41" s="1"/>
      <c r="G41" s="1"/>
      <c r="H41" s="1"/>
    </row>
    <row r="42" spans="1:8" ht="20.100000000000001" customHeight="1" x14ac:dyDescent="0.25">
      <c r="D42" s="45" t="s">
        <v>153</v>
      </c>
    </row>
    <row r="43" spans="1:8" ht="20.100000000000001" customHeight="1" x14ac:dyDescent="0.25">
      <c r="D43" s="1" t="s">
        <v>154</v>
      </c>
      <c r="E43" s="120">
        <v>0.3</v>
      </c>
      <c r="F43" s="2" t="s">
        <v>144</v>
      </c>
    </row>
    <row r="44" spans="1:8" ht="20.100000000000001" customHeight="1" x14ac:dyDescent="0.25">
      <c r="D44" s="1" t="s">
        <v>155</v>
      </c>
      <c r="E44" s="49">
        <f>E30*X_Cell_Crop_PercentResidueBurned</f>
        <v>157.5</v>
      </c>
      <c r="F44" s="2" t="s">
        <v>141</v>
      </c>
    </row>
    <row r="45" spans="1:8" ht="20.100000000000001" customHeight="1" x14ac:dyDescent="0.25"/>
    <row r="46" spans="1:8" ht="20.100000000000001" customHeight="1" x14ac:dyDescent="0.25">
      <c r="D46" s="1" t="s">
        <v>156</v>
      </c>
      <c r="E46" s="49">
        <f>E30-X_Cell_Crop_TotalResidueBaled-E40-E44</f>
        <v>309.75</v>
      </c>
      <c r="F46" s="2" t="s">
        <v>141</v>
      </c>
    </row>
    <row r="47" spans="1:8" ht="20.100000000000001" customHeight="1" x14ac:dyDescent="0.25"/>
    <row r="48" spans="1:8" ht="20.100000000000001" customHeight="1" x14ac:dyDescent="0.25">
      <c r="D48" s="6"/>
    </row>
    <row r="49" spans="4:6" ht="20.100000000000001" customHeight="1" x14ac:dyDescent="0.25"/>
    <row r="50" spans="4:6" ht="20.100000000000001" customHeight="1" x14ac:dyDescent="0.25">
      <c r="D50" s="10"/>
      <c r="F50" s="2"/>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96"/>
    </row>
  </sheetData>
  <conditionalFormatting sqref="E210:G210">
    <cfRule type="cellIs" dxfId="12" priority="79" operator="lessThan">
      <formula>0</formula>
    </cfRule>
  </conditionalFormatting>
  <conditionalFormatting sqref="F46">
    <cfRule type="cellIs" dxfId="11" priority="62" operator="lessThan">
      <formula>0</formula>
    </cfRule>
  </conditionalFormatting>
  <conditionalFormatting sqref="F126:F127">
    <cfRule type="cellIs" dxfId="10" priority="21" operator="lessThan">
      <formula>0</formula>
    </cfRule>
  </conditionalFormatting>
  <conditionalFormatting sqref="F138:F139">
    <cfRule type="cellIs" dxfId="9" priority="20" operator="lessThan">
      <formula>0</formula>
    </cfRule>
  </conditionalFormatting>
  <conditionalFormatting sqref="F150:F151">
    <cfRule type="cellIs" dxfId="8" priority="19" operator="lessThan">
      <formula>0</formula>
    </cfRule>
  </conditionalFormatting>
  <conditionalFormatting sqref="F162:F163">
    <cfRule type="cellIs" dxfId="7" priority="18" operator="lessThan">
      <formula>0</formula>
    </cfRule>
  </conditionalFormatting>
  <conditionalFormatting sqref="F250:F251">
    <cfRule type="cellIs" dxfId="6" priority="93" operator="lessThan">
      <formula>0</formula>
    </cfRule>
  </conditionalFormatting>
  <conditionalFormatting sqref="F255:F256">
    <cfRule type="cellIs" dxfId="5" priority="92" operator="lessThan">
      <formula>0</formula>
    </cfRule>
  </conditionalFormatting>
  <conditionalFormatting sqref="F260:F261">
    <cfRule type="cellIs" dxfId="4" priority="91" operator="lessThan">
      <formula>0</formula>
    </cfRule>
  </conditionalFormatting>
  <conditionalFormatting sqref="F284:F285">
    <cfRule type="cellIs" dxfId="3" priority="85" operator="lessThan">
      <formula>0</formula>
    </cfRule>
  </conditionalFormatting>
  <conditionalFormatting sqref="F289:F290">
    <cfRule type="cellIs" dxfId="2" priority="84" operator="lessThan">
      <formula>0</formula>
    </cfRule>
  </conditionalFormatting>
  <conditionalFormatting sqref="F294:F295">
    <cfRule type="cellIs" dxfId="1"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0" t="e" vm="1">
        <v>#VALUE!</v>
      </c>
      <c r="C1" s="60" t="s">
        <v>196</v>
      </c>
      <c r="D1" s="60"/>
      <c r="E1" s="60"/>
      <c r="F1" s="60"/>
      <c r="G1" s="60"/>
    </row>
    <row r="2" spans="1:7" ht="20.100000000000001" customHeight="1" x14ac:dyDescent="0.25">
      <c r="C2" s="9"/>
      <c r="D2" s="9"/>
      <c r="E2" s="9"/>
      <c r="F2" s="9"/>
      <c r="G2" s="9"/>
    </row>
    <row r="3" spans="1:7" ht="20.100000000000001" customHeight="1" x14ac:dyDescent="0.25">
      <c r="A3" s="17" t="str">
        <f>HYPERLINK("#'Home'!A1", "Home")</f>
        <v>Home</v>
      </c>
      <c r="C3" s="15"/>
      <c r="D3" s="15"/>
      <c r="E3" s="15"/>
      <c r="F3" s="15"/>
      <c r="G3" s="15"/>
    </row>
    <row r="4" spans="1:7" ht="20.100000000000001" customHeight="1" x14ac:dyDescent="0.25">
      <c r="A4" s="17" t="str">
        <f>HYPERLINK("#'Overview'!A1", "Overview")</f>
        <v>Overview</v>
      </c>
    </row>
    <row r="5" spans="1:7" ht="20.100000000000001" customHeight="1" x14ac:dyDescent="0.25">
      <c r="A5" s="17" t="str">
        <f>HYPERLINK("#'Results'!A1", "Results")</f>
        <v>Results</v>
      </c>
      <c r="D5" s="6" t="s">
        <v>130</v>
      </c>
    </row>
    <row r="6" spans="1:7" ht="20.100000000000001" customHeight="1" x14ac:dyDescent="0.25"/>
    <row r="7" spans="1:7" ht="20.100000000000001" customHeight="1" x14ac:dyDescent="0.25">
      <c r="D7" s="20" t="s">
        <v>131</v>
      </c>
      <c r="E7" s="20"/>
      <c r="F7" s="20"/>
    </row>
    <row r="8" spans="1:7" ht="20.100000000000001" customHeight="1" x14ac:dyDescent="0.25">
      <c r="A8" s="19" t="s">
        <v>0</v>
      </c>
    </row>
    <row r="9" spans="1:7" ht="20.100000000000001" customHeight="1" x14ac:dyDescent="0.25">
      <c r="A9" s="17" t="str">
        <f>HYPERLINK("#'Input - Site'!A1", "Site")</f>
        <v>Site</v>
      </c>
      <c r="D9" s="1" t="s">
        <v>180</v>
      </c>
      <c r="E9" s="38" t="s">
        <v>221</v>
      </c>
      <c r="F9" s="2" t="s">
        <v>195</v>
      </c>
    </row>
    <row r="10" spans="1:7" ht="20.100000000000001" customHeight="1" x14ac:dyDescent="0.25">
      <c r="A10" s="17" t="str">
        <f>HYPERLINK("#'Input - Crop'!A1", "Crop")</f>
        <v>Crop</v>
      </c>
      <c r="D10" s="1" t="s">
        <v>85</v>
      </c>
      <c r="E10" s="38" t="s">
        <v>225</v>
      </c>
      <c r="F10" s="2" t="s">
        <v>195</v>
      </c>
    </row>
    <row r="11" spans="1:7" ht="20.100000000000001" customHeight="1" x14ac:dyDescent="0.25">
      <c r="A11" s="104" t="str">
        <f>HYPERLINK("#'Input - Pasture'!A1", "Pasture")</f>
        <v>Pasture</v>
      </c>
    </row>
    <row r="12" spans="1:7" ht="20.100000000000001" customHeight="1" x14ac:dyDescent="0.25">
      <c r="D12" s="1" t="s">
        <v>188</v>
      </c>
      <c r="E12" s="112">
        <v>1000</v>
      </c>
      <c r="F12" s="2" t="s">
        <v>135</v>
      </c>
    </row>
    <row r="13" spans="1:7" ht="20.100000000000001" customHeight="1" x14ac:dyDescent="0.25"/>
    <row r="14" spans="1:7" ht="20.100000000000001" customHeight="1" x14ac:dyDescent="0.25">
      <c r="A14" s="18" t="s">
        <v>68</v>
      </c>
      <c r="D14" s="6" t="s">
        <v>136</v>
      </c>
    </row>
    <row r="15" spans="1:7" ht="20.100000000000001" customHeight="1" x14ac:dyDescent="0.25">
      <c r="A15" s="17" t="str">
        <f>HYPERLINK("#'6.1.1.1-2 Crop residue N2O'!A1", "6.1.1.1-2 Crop residue N2O")</f>
        <v>6.1.1.1-2 Crop residue N2O</v>
      </c>
    </row>
    <row r="16" spans="1:7" ht="20.100000000000001" customHeight="1" x14ac:dyDescent="0.25">
      <c r="A16" s="17" t="str">
        <f>HYPERLINK("#'6.2.1.1-2 Pasture residue N2O'!A1", "6.2.1.1-2 Pasture residue N2O")</f>
        <v>6.2.1.1-2 Pasture residue N2O</v>
      </c>
      <c r="D16" s="130" t="s">
        <v>189</v>
      </c>
      <c r="E16" s="83"/>
      <c r="F16" s="79"/>
    </row>
    <row r="17" spans="1:6" ht="20.100000000000001" customHeight="1" x14ac:dyDescent="0.25">
      <c r="A17" s="17" t="str">
        <f>HYPERLINK("#'6.3.1.1-2 Leaching and runoff'!A1", "6.3.1.1-2 Leaching and runoff")</f>
        <v>6.3.1.1-2 Leaching and runoff</v>
      </c>
      <c r="D17" s="85" t="s">
        <v>190</v>
      </c>
      <c r="E17" s="82"/>
      <c r="F17" s="80"/>
    </row>
    <row r="18" spans="1:6" ht="20.100000000000001" customHeight="1" x14ac:dyDescent="0.25">
      <c r="A18" s="17" t="str">
        <f>HYPERLINK("#'6.3.1.1-2 Leach runoff crop'!A1", "6.3.1.1-2 Leach runoff crop")</f>
        <v>6.3.1.1-2 Leach runoff crop</v>
      </c>
    </row>
    <row r="19" spans="1:6" ht="20.100000000000001" customHeight="1" x14ac:dyDescent="0.25">
      <c r="A19" s="17" t="str">
        <f>HYPERLINK("#'6.3.1.1-2 Leach runoff pasture'!A1", "6.3.1.1-2 Leach runoff pasture")</f>
        <v>6.3.1.1-2 Leach runoff pasture</v>
      </c>
      <c r="D19" s="1" t="s">
        <v>191</v>
      </c>
      <c r="E19" s="112">
        <f>_xlfn.XLOOKUP(X_Cell_Pasture_PastureType, Table_SourceData_PastureAttributes[Pasture type],Table_SourceData_PastureAttributes[Average Yield (t DM ha) Yp])</f>
        <v>8.34</v>
      </c>
      <c r="F19" s="2" t="s">
        <v>192</v>
      </c>
    </row>
    <row r="20" spans="1:6" ht="20.100000000000001" customHeight="1" x14ac:dyDescent="0.25">
      <c r="A20" s="17" t="str">
        <f>HYPERLINK("#'6.4.1.1-2 Residue burning'!A1", "6.4.1.1-2 Residue burning")</f>
        <v>6.4.1.1-2 Residue burning</v>
      </c>
      <c r="D20" s="1" t="s">
        <v>193</v>
      </c>
      <c r="E20" s="49">
        <f>X_Cell_Pasture_AreaUnderPasture*X_Cell_Pasture_YieldPerHectare</f>
        <v>8340</v>
      </c>
      <c r="F20" s="2" t="s">
        <v>141</v>
      </c>
    </row>
    <row r="21" spans="1:6" ht="20.100000000000001" customHeight="1" x14ac:dyDescent="0.25"/>
    <row r="22" spans="1:6" ht="20.100000000000001" customHeight="1" x14ac:dyDescent="0.25"/>
    <row r="23" spans="1:6" ht="20.100000000000001" customHeight="1" x14ac:dyDescent="0.25">
      <c r="A23" s="141" t="s">
        <v>1</v>
      </c>
      <c r="D23" s="6" t="s">
        <v>140</v>
      </c>
    </row>
    <row r="24" spans="1:6" ht="20.100000000000001" customHeight="1" x14ac:dyDescent="0.25">
      <c r="A24" s="17" t="str">
        <f>HYPERLINK("#'Constants - Ag Residue'!A1", "Constants - Ag Residue")</f>
        <v>Constants - Ag Residue</v>
      </c>
    </row>
    <row r="25" spans="1:6" ht="20.100000000000001" customHeight="1" x14ac:dyDescent="0.25">
      <c r="A25" s="17" t="str">
        <f>HYPERLINK("#'Constants - Common'!A1", "Constants - Common")</f>
        <v>Constants - Common</v>
      </c>
      <c r="D25" s="1" t="s">
        <v>194</v>
      </c>
      <c r="E25" s="112">
        <v>500</v>
      </c>
      <c r="F25" s="2" t="s">
        <v>135</v>
      </c>
    </row>
    <row r="26" spans="1:6" ht="20.100000000000001" customHeight="1" x14ac:dyDescent="0.25"/>
    <row r="27" spans="1:6" ht="20.100000000000001" customHeight="1" x14ac:dyDescent="0.25"/>
    <row r="28" spans="1:6" ht="20.100000000000001" customHeight="1" x14ac:dyDescent="0.25"/>
    <row r="29" spans="1:6" ht="20.100000000000001" customHeight="1" x14ac:dyDescent="0.25"/>
    <row r="30" spans="1:6" ht="20.100000000000001" customHeight="1" x14ac:dyDescent="0.25"/>
    <row r="31" spans="1:6" ht="20.100000000000001" customHeight="1" x14ac:dyDescent="0.25"/>
    <row r="32" spans="1: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0"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topLeftCell="H7"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0" t="e" vm="1">
        <v>#VALUE!</v>
      </c>
      <c r="C1" s="8" t="s">
        <v>128</v>
      </c>
      <c r="K1"/>
    </row>
    <row r="2" spans="1:20" s="9" customFormat="1" ht="20.100000000000001" customHeight="1" x14ac:dyDescent="0.25">
      <c r="A2"/>
      <c r="K2"/>
    </row>
    <row r="3" spans="1:20" ht="20.100000000000001" customHeight="1" x14ac:dyDescent="0.25">
      <c r="A3" s="17" t="str">
        <f>HYPERLINK("#'Home'!A1", "Home")</f>
        <v>Home</v>
      </c>
      <c r="C3" s="4"/>
      <c r="D3" s="4" t="s">
        <v>79</v>
      </c>
      <c r="E3" s="4"/>
      <c r="F3" s="4"/>
      <c r="G3" s="4"/>
      <c r="H3" s="4"/>
      <c r="I3" s="4"/>
      <c r="J3" s="4"/>
      <c r="L3" s="4"/>
      <c r="M3" s="4" t="s">
        <v>80</v>
      </c>
      <c r="N3" s="4"/>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AgResidue_Equations_CropResidue.VEERG_6_1_1_1__2__MassOfNitrogenInCropResidues_Title()</f>
        <v>Mass of nitrogen in crop residues returned to the soil</v>
      </c>
      <c r="E5" s="21"/>
      <c r="F5" s="21"/>
      <c r="G5" s="21"/>
      <c r="H5" s="21"/>
      <c r="L5" s="21"/>
      <c r="M5" s="6" t="str" cm="1">
        <f t="array" ref="M5">AgResidue_Equations_CropResidue.VEERG_6_1_1_2__1__FractionOfCropResidueRemovedBaled_Title()</f>
        <v>Fraction of crop residue that is removed for crop c, calculated where residues are baled</v>
      </c>
      <c r="N5" s="21"/>
      <c r="O5" s="21"/>
      <c r="P5" s="21"/>
      <c r="Q5" s="21"/>
    </row>
    <row r="6" spans="1:20" ht="20.100000000000001" customHeight="1" x14ac:dyDescent="0.25">
      <c r="D6" s="5" t="str" cm="1">
        <f t="array" ref="D6">AgResidue_Equations_CropResidue.VEERG_6_1_1_1__2__MassOfNitrogenInCropResidues_Source()</f>
        <v>VEERG 2026: 6.1.1.1, Equation (2)</v>
      </c>
      <c r="E6" s="21"/>
      <c r="F6" s="21"/>
      <c r="G6" s="21"/>
      <c r="H6" s="21"/>
      <c r="J6" s="21"/>
      <c r="L6" s="21"/>
      <c r="M6" s="5" t="str" cm="1">
        <f t="array" ref="M6">AgResidue_Equations_CropResidue.VEERG_6_1_1_2__1__FractionOfCropResidueRemovedBaled_Source()</f>
        <v>VEERG 2026: 6.1.1.2, Equation (1)</v>
      </c>
      <c r="N6" s="21"/>
      <c r="O6" s="21"/>
      <c r="P6" s="21"/>
      <c r="Q6" s="21"/>
    </row>
    <row r="7" spans="1:20" ht="20.100000000000001" customHeight="1" x14ac:dyDescent="0.25">
      <c r="D7" s="13" t="s">
        <v>21</v>
      </c>
      <c r="E7" s="13" t="str" cm="1">
        <f t="array" aca="1" ref="E7" ca="1">Common_InputFunctions.Utility_DisplayFunctionName(E24)</f>
        <v>=AgResidue_Equations_CropResidue.VEERG_6_1_1_1__2__MassOfNitrogenInCropResidues</v>
      </c>
      <c r="F7" s="21"/>
      <c r="G7" s="21"/>
      <c r="H7" s="21"/>
      <c r="J7" s="21"/>
      <c r="L7" s="21"/>
      <c r="M7" s="52" t="str" cm="1">
        <f t="array" ref="M7">"⚠️" &amp; AgResidue_Equations_CropResidue.VEERG_6_1_1_2__1__FractionOfCropResidueRemovedBaled_Variation()</f>
        <v>⚠️VARIATION FROM SOURCE: Added 'baled' to variable subscript</v>
      </c>
      <c r="N7" s="21"/>
      <c r="O7" s="21"/>
      <c r="P7" s="21"/>
      <c r="Q7" s="21"/>
    </row>
    <row r="8" spans="1:20" ht="20.100000000000001" customHeight="1" x14ac:dyDescent="0.25">
      <c r="A8" s="19" t="s">
        <v>0</v>
      </c>
      <c r="F8" s="21"/>
      <c r="G8" s="21"/>
      <c r="H8" s="21"/>
      <c r="J8" s="21"/>
      <c r="L8" s="21"/>
      <c r="M8" s="13" t="s">
        <v>21</v>
      </c>
      <c r="N8" s="13" t="str" cm="1">
        <f t="array" aca="1" ref="N8" ca="1">Common_InputFunctions.Utility_DisplayFunctionName(N21)</f>
        <v>=AgResidue_Equations_CropResidue.VEERG_6_1_1_2__1__FractionOfCropResidueRemovedBaled</v>
      </c>
      <c r="O8" s="21"/>
      <c r="P8" s="21"/>
      <c r="Q8" s="21"/>
    </row>
    <row r="9" spans="1:20" ht="20.100000000000001" customHeight="1" x14ac:dyDescent="0.25">
      <c r="A9" s="17" t="str">
        <f>HYPERLINK("#'Input - Site'!A1", "Site")</f>
        <v>Site</v>
      </c>
      <c r="D9" s="21"/>
      <c r="E9" s="21"/>
      <c r="F9" s="21"/>
      <c r="G9" s="21"/>
      <c r="H9" s="21"/>
      <c r="J9" s="21"/>
      <c r="L9" s="21"/>
      <c r="M9" s="21"/>
      <c r="N9" s="21"/>
      <c r="O9" s="21"/>
      <c r="P9" s="21"/>
      <c r="Q9" s="21"/>
    </row>
    <row r="10" spans="1:20" ht="20.100000000000001" customHeight="1" x14ac:dyDescent="0.25">
      <c r="A10" s="17" t="str">
        <f>HYPERLINK("#'Input - Crop'!A1", "Crop")</f>
        <v>Crop</v>
      </c>
      <c r="D10" s="50" t="s">
        <v>24</v>
      </c>
      <c r="E10" s="1" t="str" cm="1">
        <f t="array" ref="E10">AgResidue_Equations_CropResidue.VEERG_6_1_1_1__2__MassOfNitrogenInCropResidues_Variable()</f>
        <v>M_c</v>
      </c>
      <c r="F10" s="21"/>
      <c r="G10" s="21"/>
      <c r="H10" s="21"/>
      <c r="J10" s="21"/>
      <c r="L10" s="21"/>
      <c r="M10" s="21"/>
      <c r="N10" s="21"/>
      <c r="O10" s="21"/>
      <c r="P10" s="21"/>
      <c r="Q10" s="21"/>
    </row>
    <row r="11" spans="1:20" ht="20.100000000000001" customHeight="1" x14ac:dyDescent="0.25">
      <c r="A11" s="17" t="str">
        <f>HYPERLINK("#'Input - Pasture'!A1", "Pasture")</f>
        <v>Pasture</v>
      </c>
      <c r="D11" s="50" t="s">
        <v>15</v>
      </c>
      <c r="E11" s="51" t="str" cm="1">
        <f t="array" ref="E11">AgResidue_Equations_CropResidue.VEERG_6_1_1_1__2__MassOfNitrogenInCropResidues_Unit()</f>
        <v>kg N</v>
      </c>
      <c r="F11" s="21"/>
      <c r="G11" s="21"/>
      <c r="H11" s="21"/>
      <c r="J11" s="21"/>
      <c r="L11" s="21"/>
      <c r="M11" s="21"/>
      <c r="N11" s="21"/>
      <c r="O11" s="21"/>
      <c r="P11" s="21"/>
      <c r="Q11" s="21"/>
    </row>
    <row r="12" spans="1:20" ht="20.100000000000001" customHeight="1" x14ac:dyDescent="0.25">
      <c r="D12" s="21"/>
      <c r="E12" s="21"/>
      <c r="F12" s="21"/>
      <c r="G12" s="21"/>
      <c r="J12" s="21"/>
      <c r="L12" s="21"/>
      <c r="M12" s="50" t="s">
        <v>24</v>
      </c>
      <c r="N12" s="1" t="str" cm="1">
        <f t="array" ref="N12">AgResidue_Equations_CropResidue.VEERG_6_1_1_2__1__FractionOfCropResidueRemovedBaled_Variable()</f>
        <v>FFOD_cbaled</v>
      </c>
      <c r="O12" s="21"/>
      <c r="P12" s="21"/>
      <c r="Q12" s="21"/>
    </row>
    <row r="13" spans="1:20" ht="20.100000000000001" customHeight="1" x14ac:dyDescent="0.25">
      <c r="D13" s="114" t="str" cm="1">
        <f t="array" ref="D13:E22">_xlfn.CHOOSECOLS(AgResidue_Equations_CropResidue.VEERG_6_1_1_1__2__MassOfNitrogenInCropResidues_Arguments(), 1, 2)</f>
        <v>P_c</v>
      </c>
      <c r="E13" s="118" t="str">
        <v>annual production of crop c</v>
      </c>
      <c r="F13" s="117"/>
      <c r="G13" s="114" t="str" cm="1">
        <f t="array" ref="G13:H22">_xlfn.CHOOSECOLS(AgResidue_Equations_CropResidue.VEERG_6_1_1_1__2__MassOfNitrogenInCropResidues_Arguments(), 3,4)</f>
        <v>kg</v>
      </c>
      <c r="H13" s="109" t="str">
        <v>Input</v>
      </c>
      <c r="I13" s="114">
        <f>X_Cell_Crop_TotalProductionOfCrop*10^3</f>
        <v>350000</v>
      </c>
      <c r="J13" s="21"/>
      <c r="L13" s="21"/>
      <c r="M13" s="50" t="s">
        <v>15</v>
      </c>
      <c r="N13" s="51" t="str" cm="1">
        <f t="array" ref="N13">AgResidue_Equations_CropResidue.VEERG_6_1_1_2__1__FractionOfCropResidueRemovedBaled_Unit()</f>
        <v>dimensionless</v>
      </c>
      <c r="O13" s="21"/>
      <c r="P13" s="21"/>
      <c r="Q13" s="21"/>
    </row>
    <row r="14" spans="1:20" ht="20.100000000000001" customHeight="1" x14ac:dyDescent="0.25">
      <c r="A14" s="18" t="s">
        <v>68</v>
      </c>
      <c r="D14" s="114" t="str">
        <v>R_AGc</v>
      </c>
      <c r="E14" s="118" t="str">
        <v>residue to crop ratio for crop c</v>
      </c>
      <c r="F14" s="117"/>
      <c r="G14" s="114" t="str">
        <v/>
      </c>
      <c r="H14" s="108" t="str">
        <v>Constant</v>
      </c>
      <c r="I14" s="114">
        <f>'Input - Crop'!$E$18</f>
        <v>1.5</v>
      </c>
      <c r="J14" s="21"/>
      <c r="L14" s="21"/>
      <c r="M14" s="21"/>
      <c r="N14" s="21"/>
      <c r="O14" s="21"/>
      <c r="P14" s="21"/>
    </row>
    <row r="15" spans="1:20" ht="20.100000000000001" customHeight="1" x14ac:dyDescent="0.25">
      <c r="A15" s="127" t="str">
        <f>HYPERLINK("#'6.1.1.1-2 Crop residue N2O'!A1", "6.1.1.1-2 Crop residue N2O")</f>
        <v>6.1.1.1-2 Crop residue N2O</v>
      </c>
      <c r="D15" s="114" t="str">
        <v>R_BGc</v>
      </c>
      <c r="E15" s="118" t="str">
        <v>below ground-residue to above ground residue ratio for crop c</v>
      </c>
      <c r="F15" s="117"/>
      <c r="G15" s="114" t="str">
        <v/>
      </c>
      <c r="H15" s="108" t="str">
        <v>Constant</v>
      </c>
      <c r="I15" s="114" cm="1">
        <f t="array" ref="I15">Common_InputFunctions.Utility_LookupValueInTableNumber($I$21,Table_SourceData_CropAttributes[Crop type],Table_SourceData_CropAttributes[Below-ground: above-ground residue ratio])</f>
        <v>0.28999999999999998</v>
      </c>
      <c r="L15" s="21"/>
      <c r="M15" s="114" t="str" cm="1">
        <f t="array" ref="M15:N19">_xlfn.CHOOSECOLS(AgResidue_Equations_CropResidue.VEERG_6_1_1_2__1__FractionOfCropResidueRemovedBaled_Arguments(), 1, 2)</f>
        <v>B</v>
      </c>
      <c r="N15" s="114" t="str">
        <v>number of bales generated</v>
      </c>
      <c r="O15" s="114" t="str" cm="1">
        <f t="array" ref="O15:P19">_xlfn.CHOOSECOLS(AgResidue_Equations_CropResidue.VEERG_6_1_1_2__1__FractionOfCropResidueRemovedBaled_Arguments(), 3,4)</f>
        <v/>
      </c>
      <c r="P15" s="109" t="str">
        <v>Input</v>
      </c>
      <c r="Q15" s="135">
        <f>X_Cell_Crop_NumberOfBales</f>
        <v>875</v>
      </c>
    </row>
    <row r="16" spans="1:20" ht="20.100000000000001" customHeight="1" x14ac:dyDescent="0.25">
      <c r="A16" s="17" t="str">
        <f>HYPERLINK("#'6.2.1.1-2 Pasture residue N2O'!A1", "6.2.1.1-2 Pasture residue N2O")</f>
        <v>6.2.1.1-2 Pasture residue N2O</v>
      </c>
      <c r="D16" s="114" t="str">
        <v>F_c</v>
      </c>
      <c r="E16" s="118" t="str">
        <v>fraction of crop residue that is burnt for crop c</v>
      </c>
      <c r="F16" s="117"/>
      <c r="G16" s="114" t="str">
        <v>fraction</v>
      </c>
      <c r="H16" s="109" t="str">
        <v>Input</v>
      </c>
      <c r="I16" s="114">
        <f>X_Cell_Crop_PercentResidueBurned</f>
        <v>0.3</v>
      </c>
      <c r="L16" s="21"/>
      <c r="M16" s="114" t="str">
        <v>M_B</v>
      </c>
      <c r="N16" s="114" t="str">
        <v>mass of each bale</v>
      </c>
      <c r="O16" s="114" t="str">
        <v>kg</v>
      </c>
      <c r="P16" s="109" t="str">
        <v>Input</v>
      </c>
      <c r="Q16" s="114">
        <f>X_Cell_Crop_AverageWeightPerBale</f>
        <v>60</v>
      </c>
    </row>
    <row r="17" spans="1:17" ht="20.100000000000001" customHeight="1" x14ac:dyDescent="0.25">
      <c r="A17" s="17" t="str">
        <f>HYPERLINK("#'6.3.1.1-2 Leaching and runoff'!A1", "6.3.1.1-2 Leaching and runoff")</f>
        <v>6.3.1.1-2 Leaching and runoff</v>
      </c>
      <c r="D17" s="114" t="str">
        <v>FFOD_c</v>
      </c>
      <c r="E17" s="118" t="str">
        <v>fraction of the crop residue that is removed for crop c</v>
      </c>
      <c r="F17" s="117"/>
      <c r="G17" s="114" t="str">
        <v>fraction</v>
      </c>
      <c r="H17" s="108" t="str">
        <v>Constant</v>
      </c>
      <c r="I17" s="114" cm="1">
        <f t="array" ref="I17">IF(ISNUMBER(_xlfn.XLOOKUP(1, (Table77[Crop type c]=$I$21)*(Table77[State]=$I$22),Table77[Fraction removed])), _xlfn.XLOOKUP(1, (Table77[Crop type c]=$I$21)*(Table77[State]=$I$22),Table77[Fraction removed]), 0)</f>
        <v>0.11</v>
      </c>
      <c r="L17" s="21"/>
      <c r="M17" s="114" t="str">
        <v>P_c</v>
      </c>
      <c r="N17" s="114" t="str">
        <v>annual production of crop c</v>
      </c>
      <c r="O17" s="114" t="str">
        <v>kg</v>
      </c>
      <c r="P17" s="109" t="str">
        <v>Input</v>
      </c>
      <c r="Q17" s="114">
        <f>X_Cell_Crop_TotalProductionOfCrop*10^3</f>
        <v>350000</v>
      </c>
    </row>
    <row r="18" spans="1:17" ht="20.100000000000001" customHeight="1" x14ac:dyDescent="0.25">
      <c r="A18" s="17" t="str">
        <f>HYPERLINK("#'6.3.1.1-2 Leach runoff crop'!A1", "6.3.1.1-2 Leach runoff crop")</f>
        <v>6.3.1.1-2 Leach runoff crop</v>
      </c>
      <c r="D18" s="114" t="str">
        <v>DM_c</v>
      </c>
      <c r="E18" s="118" t="str">
        <v>dry matter content of crop c</v>
      </c>
      <c r="F18" s="117"/>
      <c r="G18" s="114" t="str">
        <v>kg dry weight/kg crop residue</v>
      </c>
      <c r="H18" s="108" t="str">
        <v>Constant</v>
      </c>
      <c r="I18" s="114" cm="1">
        <f t="array" ref="I18">Common_InputFunctions.Utility_LookupValueInTableNumber($I$21,Table_SourceData_CropAttributes[Crop type],Table_SourceData_CropAttributes[Dry matter content])</f>
        <v>0.88</v>
      </c>
      <c r="L18" s="21"/>
      <c r="M18" s="114" t="str">
        <v>R_AGc</v>
      </c>
      <c r="N18" s="114" t="str">
        <v>residue to crop ratio for crop c</v>
      </c>
      <c r="O18" s="114" t="str">
        <v/>
      </c>
      <c r="P18" s="108" t="str">
        <v>Constant</v>
      </c>
      <c r="Q18" s="114">
        <f>'Input - Crop'!$E$18</f>
        <v>1.5</v>
      </c>
    </row>
    <row r="19" spans="1:17" ht="20.100000000000001" customHeight="1" x14ac:dyDescent="0.25">
      <c r="A19" s="17" t="str">
        <f>HYPERLINK("#'6.3.1.1-2 Leach runoff pasture'!A1", "6.3.1.1-2 Leach runoff pasture")</f>
        <v>6.3.1.1-2 Leach runoff pasture</v>
      </c>
      <c r="D19" s="114" t="str">
        <v>NC_AGc</v>
      </c>
      <c r="E19" s="118" t="str">
        <v>nitrogen content of above-ground crop residue of crop c</v>
      </c>
      <c r="F19" s="117"/>
      <c r="G19" s="114" t="str">
        <v>kg N/kg DM</v>
      </c>
      <c r="H19" s="108" t="str">
        <v>Constant</v>
      </c>
      <c r="I19" s="114" cm="1">
        <f t="array" ref="I19">Common_InputFunctions.Utility_LookupValueInTableNumber($I$21,Table_SourceData_CropAttributes[Crop type],Table_SourceData_CropAttributes[N content above-ground])</f>
        <v>6.0000000000000001E-3</v>
      </c>
      <c r="L19" s="21"/>
      <c r="M19" s="114" t="str">
        <v>c</v>
      </c>
      <c r="N19" s="114" t="str">
        <v>Crop type</v>
      </c>
      <c r="O19" s="114" t="str">
        <v/>
      </c>
      <c r="P19" s="109" t="str">
        <v>Input</v>
      </c>
      <c r="Q19" s="114" t="str">
        <f>X_Cell_Crop_CropType</f>
        <v>Wheat</v>
      </c>
    </row>
    <row r="20" spans="1:17" ht="20.100000000000001" customHeight="1" x14ac:dyDescent="0.25">
      <c r="A20" s="17" t="str">
        <f>HYPERLINK("#'6.4.1.1-2 Residue burning'!A1", "6.4.1.1-2 Residue burning")</f>
        <v>6.4.1.1-2 Residue burning</v>
      </c>
      <c r="D20" s="114" t="str">
        <v>NC_BGc</v>
      </c>
      <c r="E20" s="118" t="str">
        <v>nitrogen content of below-ground crop residue of crop c</v>
      </c>
      <c r="F20" s="117"/>
      <c r="G20" s="114" t="str">
        <v>kg N/kg DM</v>
      </c>
      <c r="H20" s="108" t="str">
        <v>Constant</v>
      </c>
      <c r="I20" s="114" cm="1">
        <f t="array" ref="I20">Common_InputFunctions.Utility_LookupValueInTableNumber($I$21,Table_SourceData_CropAttributes[Crop type],Table_SourceData_CropAttributes[N content below-ground])</f>
        <v>0.01</v>
      </c>
      <c r="L20" s="21"/>
      <c r="M20" s="21"/>
      <c r="N20" s="21"/>
      <c r="O20" s="21"/>
      <c r="P20" s="21"/>
      <c r="Q20" s="21"/>
    </row>
    <row r="21" spans="1:17" ht="20.100000000000001" customHeight="1" x14ac:dyDescent="0.25">
      <c r="D21" s="114" t="str">
        <v>c</v>
      </c>
      <c r="E21" s="118" t="str">
        <v>Crop type</v>
      </c>
      <c r="F21" s="117"/>
      <c r="G21" s="114" t="str">
        <v/>
      </c>
      <c r="H21" s="109" t="str">
        <v>Input</v>
      </c>
      <c r="I21" s="114" t="str">
        <f>X_Cell_Crop_CropType</f>
        <v>Wheat</v>
      </c>
      <c r="L21" s="21"/>
      <c r="M21" s="115" t="s">
        <v>174</v>
      </c>
      <c r="N21" s="43" cm="1">
        <f t="array" ref="N21">AgResidue_Equations_CropResidue.VEERG_6_1_1_2__1__FractionOfCropResidueRemovedBaled(Q15,Q16,Q17,Q18)</f>
        <v>0.1</v>
      </c>
    </row>
    <row r="22" spans="1:17" ht="20.100000000000001" customHeight="1" x14ac:dyDescent="0.25">
      <c r="D22" s="114" t="str">
        <v>State</v>
      </c>
      <c r="E22" s="118" t="str">
        <v>State or territory</v>
      </c>
      <c r="F22" s="117"/>
      <c r="G22" s="114" t="str">
        <v/>
      </c>
      <c r="H22" s="109" t="str">
        <v>Input</v>
      </c>
      <c r="I22" s="114" t="str">
        <f>Common_InputFunctions.Utility_ConvertStateCommonNameToAbbreviation(X_Cell_Site_State,Table_AustralianStates[Common Name],Table_AustralianStates[Abbreviation])</f>
        <v>WA</v>
      </c>
      <c r="L22" s="21"/>
      <c r="M22" s="21"/>
      <c r="N22" s="21"/>
      <c r="O22" s="21"/>
      <c r="P22" s="21"/>
      <c r="Q22" s="21"/>
    </row>
    <row r="23" spans="1:17" ht="20.100000000000001" customHeight="1" x14ac:dyDescent="0.25">
      <c r="A23" s="141" t="s">
        <v>1</v>
      </c>
      <c r="D23" s="21"/>
      <c r="E23" s="21"/>
      <c r="F23" s="21"/>
      <c r="G23" s="21"/>
      <c r="H23" s="21"/>
      <c r="L23" s="21"/>
      <c r="M23" s="21"/>
      <c r="N23" s="21"/>
      <c r="O23" s="21"/>
      <c r="P23" s="21"/>
      <c r="Q23" s="21"/>
    </row>
    <row r="24" spans="1:17" ht="20.100000000000001" customHeight="1" x14ac:dyDescent="0.25">
      <c r="A24" s="17" t="str">
        <f>HYPERLINK("#'Constants - Ag Residue'!A1", "Constants - Ag Residue")</f>
        <v>Constants - Ag Residue</v>
      </c>
      <c r="D24" s="115" t="s">
        <v>176</v>
      </c>
      <c r="E24" s="134" cm="1">
        <f t="array" ref="E24">AgResidue_Equations_CropResidue.VEERG_6_1_1_1__2__MassOfNitrogenInCropResidues(I13,I14,I16,I17,I18,I19,I15,I20)</f>
        <v>2975.2799999999997</v>
      </c>
      <c r="F24" s="116" t="str">
        <f>$E$11</f>
        <v>kg N</v>
      </c>
      <c r="L24" s="21"/>
      <c r="M24" s="6" t="str" cm="1">
        <f t="array" ref="M24">AgResidue_Equations_CropResidue.VEERG_6_1_1_2__1a__FractionOfCropResidueRemoved_Title()</f>
        <v>Fraction of crop residue that is removed for crop c</v>
      </c>
      <c r="N24" s="21"/>
      <c r="O24" s="21"/>
      <c r="P24" s="21"/>
      <c r="Q24" s="21"/>
    </row>
    <row r="25" spans="1:17" ht="20.100000000000001" customHeight="1" x14ac:dyDescent="0.25">
      <c r="A25" s="17" t="str">
        <f>HYPERLINK("#'Constants - Common'!A1", "Constants - Common")</f>
        <v>Constants - Common</v>
      </c>
      <c r="D25" s="50"/>
      <c r="E25" s="21"/>
      <c r="F25" s="21"/>
      <c r="G25" s="21"/>
      <c r="H25" s="21"/>
      <c r="L25" s="21"/>
      <c r="M25" s="6" t="str" cm="1">
        <f t="array" ref="M25">AgResidue_Equations_CropResidue.VEERG_6_1_1_2__1a__FractionOfCropResidueRemoved_Source()</f>
        <v/>
      </c>
      <c r="N25" s="21"/>
      <c r="O25" s="21"/>
      <c r="P25" s="21"/>
      <c r="Q25" s="21"/>
    </row>
    <row r="26" spans="1:17" ht="20.100000000000001" customHeight="1" x14ac:dyDescent="0.25">
      <c r="D26" s="21"/>
      <c r="E26" s="21"/>
      <c r="F26" s="21"/>
      <c r="G26" s="21"/>
      <c r="H26" s="21"/>
      <c r="L26" s="21"/>
      <c r="M26" s="52" t="str" cm="1">
        <f t="array" ref="M26">"⚠️" &amp; AgResidue_Equations_CropResidue.VEERG_6_1_1_2__1a__FractionOfCropResidueRemoved_Variation()</f>
        <v>⚠️VARIATION FROM SOURCE: Added this equation to accommodate user-defined residue removal other than baling.</v>
      </c>
      <c r="N26" s="21"/>
      <c r="O26" s="21"/>
      <c r="P26" s="21"/>
      <c r="Q26" s="21"/>
    </row>
    <row r="27" spans="1:17" ht="20.100000000000001" customHeight="1" x14ac:dyDescent="0.25">
      <c r="D27" s="133"/>
      <c r="E27" s="133"/>
      <c r="F27" s="133"/>
      <c r="G27" s="133"/>
      <c r="H27" s="133"/>
      <c r="I27" s="133"/>
      <c r="L27" s="21"/>
      <c r="M27" s="21"/>
      <c r="N27" s="21"/>
      <c r="O27" s="21"/>
      <c r="P27" s="21"/>
      <c r="Q27" s="21"/>
    </row>
    <row r="28" spans="1:17" ht="20.100000000000001" customHeight="1" x14ac:dyDescent="0.25">
      <c r="D28" s="6" t="str" cm="1">
        <f t="array" ref="D28">AgResidue_Equations_CropResidue.VEERG_6_1_1_1__1__NitrousOxideEmissionsFromCropResidues_Title()</f>
        <v>Nitrous oxide emissions from the return of crop residues across all crops c to the soil</v>
      </c>
      <c r="E28" s="21"/>
      <c r="F28" s="21"/>
      <c r="G28" s="21"/>
      <c r="H28" s="21"/>
      <c r="J28" s="21"/>
      <c r="L28" s="21"/>
      <c r="M28" s="21"/>
      <c r="N28" s="21"/>
      <c r="O28" s="21"/>
      <c r="P28" s="21"/>
      <c r="Q28" s="21"/>
    </row>
    <row r="29" spans="1:17" ht="20.100000000000001" customHeight="1" x14ac:dyDescent="0.25">
      <c r="D29" s="5" t="str" cm="1">
        <f t="array" ref="D29">AgResidue_Equations_CropResidue.VEERG_6_1_1_1__1__NitrousOxideEmissionsFromCropResidues_Source()</f>
        <v>VEERG 2026: 6.1.1.1, Equation (1)</v>
      </c>
      <c r="E29" s="21"/>
      <c r="F29" s="21"/>
      <c r="G29" s="21"/>
      <c r="H29" s="21"/>
      <c r="J29" s="21"/>
      <c r="L29" s="21"/>
      <c r="M29" s="21"/>
      <c r="N29" s="21"/>
      <c r="O29" s="21"/>
      <c r="P29" s="52"/>
      <c r="Q29" s="21"/>
    </row>
    <row r="30" spans="1:17" ht="20.100000000000001" customHeight="1" x14ac:dyDescent="0.25">
      <c r="D30" s="13" t="s">
        <v>21</v>
      </c>
      <c r="E30" s="13" t="str">
        <f ca="1">Common_InputFunctions.Utility_DisplayFunctionName(VEERG_6_1_1_1__1__NitrousOxideEmissionsFromCropResidues_Result_Method1)</f>
        <v>=AgResidue_Equations_CropResidue.VEERG_6_1_1_1__1__NitrousOxideEmissionsFromCropResidues</v>
      </c>
      <c r="F30" s="21"/>
      <c r="G30" s="21"/>
      <c r="H30" s="21"/>
      <c r="L30" s="21"/>
      <c r="M30" s="50" t="s">
        <v>24</v>
      </c>
      <c r="N30" s="1" t="str" cm="1">
        <f t="array" ref="N30">AgResidue_Equations_CropResidue.VEERG_6_1_1_2__1a__FractionOfCropResidueRemoved_Variable()</f>
        <v>FFOD_c</v>
      </c>
      <c r="O30" s="21"/>
      <c r="P30" s="21"/>
      <c r="Q30" s="21"/>
    </row>
    <row r="31" spans="1:17" ht="20.100000000000001" customHeight="1" x14ac:dyDescent="0.25">
      <c r="F31" s="21"/>
      <c r="G31" s="21"/>
      <c r="H31" s="21"/>
      <c r="J31" s="21"/>
      <c r="L31" s="21"/>
      <c r="M31" s="50" t="s">
        <v>15</v>
      </c>
      <c r="N31" s="51" t="str" cm="1">
        <f t="array" ref="N31">AgResidue_Equations_CropResidue.VEERG_6_1_1_2__1a__FractionOfCropResidueRemoved_Unit()</f>
        <v>dimensionless</v>
      </c>
      <c r="O31" s="21"/>
      <c r="P31" s="21"/>
      <c r="Q31" s="21"/>
    </row>
    <row r="32" spans="1:17" ht="20.100000000000001" customHeight="1" x14ac:dyDescent="0.25">
      <c r="D32" s="21"/>
      <c r="E32" s="21"/>
      <c r="F32" s="21"/>
      <c r="G32" s="21"/>
      <c r="H32" s="21"/>
      <c r="J32" s="21"/>
      <c r="M32" s="21"/>
      <c r="N32" s="21"/>
      <c r="O32" s="21"/>
      <c r="P32" s="21"/>
      <c r="Q32" s="21"/>
    </row>
    <row r="33" spans="4:20" ht="20.100000000000001" customHeight="1" x14ac:dyDescent="0.25">
      <c r="D33" s="50" t="s">
        <v>24</v>
      </c>
      <c r="E33" s="1" t="str" cm="1">
        <f t="array" ref="E33">AgResidue_Equations_CropResidue.VEERG_6_1_1_1__1__NitrousOxideEmissionsFromCropResidues_Variable()</f>
        <v>E</v>
      </c>
      <c r="F33" s="21"/>
      <c r="G33" s="21"/>
      <c r="H33" s="21"/>
      <c r="J33" s="21"/>
      <c r="M33" s="114" t="str" cm="1">
        <f t="array" ref="M33:N34">_xlfn.CHOOSECOLS(AgResidue_Equations_CropResidue.VEERG_6_1_1_2__1a__FractionOfCropResidueRemoved_Arguments(), 1, 2)</f>
        <v>FFOD_cbaled</v>
      </c>
      <c r="N33" s="114" t="str">
        <v>Fraction of crop residue that is removed for crop c, calculated where residues are baled</v>
      </c>
      <c r="O33" s="114"/>
      <c r="P33" s="114"/>
      <c r="Q33" s="114" t="str" cm="1">
        <f t="array" ref="Q33:R34">_xlfn.CHOOSECOLS(AgResidue_Equations_CropResidue.VEERG_6_1_1_2__1a__FractionOfCropResidueRemoved_Arguments(), 3,4)</f>
        <v>fraction</v>
      </c>
      <c r="R33" s="108" t="str">
        <v>Calculated from 6.1.1.2, (1)</v>
      </c>
      <c r="S33" s="114">
        <f>$N$21</f>
        <v>0.1</v>
      </c>
    </row>
    <row r="34" spans="4:20" ht="20.100000000000001" customHeight="1" x14ac:dyDescent="0.25">
      <c r="D34" s="50" t="s">
        <v>15</v>
      </c>
      <c r="E34" s="51" t="str" cm="1">
        <f t="array" ref="E34">AgResidue_Equations_CropResidue.VEERG_6_1_1_1__1__NitrousOxideEmissionsFromCropResidues_Unit()</f>
        <v>t N2O</v>
      </c>
      <c r="F34" s="21"/>
      <c r="G34" s="21"/>
      <c r="H34" s="21"/>
      <c r="J34" s="21"/>
      <c r="M34" s="114" t="str">
        <v>FFOD_cother</v>
      </c>
      <c r="N34" s="114" t="str">
        <v>Fraction of crop residue that is removed for crop c, calculated where residues are removed by other means</v>
      </c>
      <c r="O34" s="114"/>
      <c r="P34" s="114"/>
      <c r="Q34" s="114" t="str">
        <v>fraction</v>
      </c>
      <c r="R34" s="109" t="str">
        <v>Input</v>
      </c>
      <c r="S34" s="114">
        <f>X_Cell_Crop_PercentResidueGrazed</f>
        <v>0.01</v>
      </c>
    </row>
    <row r="35" spans="4:20" ht="20.100000000000001" customHeight="1" x14ac:dyDescent="0.25">
      <c r="D35" s="21"/>
      <c r="E35" s="21"/>
      <c r="F35" s="21"/>
      <c r="G35" s="21"/>
      <c r="H35" s="21"/>
      <c r="J35" s="21"/>
      <c r="M35" s="21"/>
      <c r="N35" s="21"/>
      <c r="O35" s="21"/>
      <c r="P35" s="21"/>
      <c r="Q35" s="21"/>
    </row>
    <row r="36" spans="4:20" ht="20.100000000000001" customHeight="1" x14ac:dyDescent="0.25">
      <c r="D36" s="114" t="str" cm="1">
        <f t="array" ref="D36:E40">_xlfn.CHOOSECOLS(AgResidue_Equations_CropResidue.VEERG_6_1_1_1__1__NitrousOxideEmissionsFromCropResidues_Arguments(), 1, 2)</f>
        <v>M_c</v>
      </c>
      <c r="E36" s="118" t="str">
        <v>mass of nitrogen in crop c residues returned to the soil</v>
      </c>
      <c r="F36" s="117"/>
      <c r="G36" s="114" t="str" cm="1">
        <f t="array" ref="G36:H40">_xlfn.CHOOSECOLS(AgResidue_Equations_CropResidue.VEERG_6_1_1_1__1__NitrousOxideEmissionsFromCropResidues_Arguments(), 3,4)</f>
        <v>kg N</v>
      </c>
      <c r="H36" s="108" t="str">
        <v>Calculated from 6.1.1.1 (2)</v>
      </c>
      <c r="I36" s="114">
        <f>E24</f>
        <v>2975.2799999999997</v>
      </c>
      <c r="J36" s="21"/>
      <c r="M36" s="115" t="s">
        <v>175</v>
      </c>
      <c r="N36" s="43" cm="1">
        <f t="array" ref="N36">AgResidue_Equations_CropResidue.VEERG_6_1_1_2__1a__FractionOfCropResidueRemoved($S$33,$S$34)</f>
        <v>0.11</v>
      </c>
    </row>
    <row r="37" spans="4:20" ht="20.100000000000001" customHeight="1" x14ac:dyDescent="0.25">
      <c r="D37" s="114" t="str">
        <v>EF_Ni</v>
      </c>
      <c r="E37" s="118" t="str">
        <v>emission factor for crop residues returned to the soil</v>
      </c>
      <c r="F37" s="117"/>
      <c r="G37" s="114" t="str">
        <v>kg N2O-N/kg N</v>
      </c>
      <c r="H37" s="108" t="str">
        <v>Constant</v>
      </c>
      <c r="I37" s="114" cm="1">
        <f t="array" ref="I37">Common_InputFunctions.Utility_LookupValueInTableNumber(I40,Table_SourceData_N2OEFOrganicFert[Climate zone type i],Table_SourceData_N2OEFOrganicFert[EF i N2O])</f>
        <v>5.0000000000000001E-3</v>
      </c>
      <c r="J37" s="21"/>
      <c r="L37" s="21"/>
      <c r="M37" s="21"/>
    </row>
    <row r="38" spans="4:20" ht="20.100000000000001" customHeight="1" x14ac:dyDescent="0.25">
      <c r="D38" s="114" t="str">
        <v>C_N2O</v>
      </c>
      <c r="E38" s="118" t="str">
        <v>factor to convert elemental mass of nitrous oxide to molecular mass</v>
      </c>
      <c r="F38" s="117"/>
      <c r="G38" s="114" t="str">
        <v>dimensionless</v>
      </c>
      <c r="H38" s="108" t="str">
        <v>Constant</v>
      </c>
      <c r="I38" s="114">
        <f>Common_InputFunctions.Utility_LookupValueInTableNumber("N2O",Table_GasToMolecularConversionFactor[Gas],Table_GasToMolecularConversionFactor[Conversion factor combined])</f>
        <v>1.5714285714285714</v>
      </c>
      <c r="J38" s="21"/>
      <c r="L38" s="21"/>
      <c r="M38" s="21"/>
    </row>
    <row r="39" spans="4:20" ht="20.100000000000001" customHeight="1" x14ac:dyDescent="0.25">
      <c r="D39" s="114" t="str">
        <v>c</v>
      </c>
      <c r="E39" s="118" t="str">
        <v>Crop type</v>
      </c>
      <c r="F39" s="117"/>
      <c r="G39" s="114" t="str">
        <v/>
      </c>
      <c r="H39" s="109" t="str">
        <v>Input</v>
      </c>
      <c r="I39" s="114" t="str">
        <f>X_Cell_Crop_CropType</f>
        <v>Wheat</v>
      </c>
      <c r="J39" s="21"/>
      <c r="L39" s="43"/>
      <c r="M39" s="43"/>
      <c r="N39" s="43"/>
      <c r="O39" s="43"/>
      <c r="P39" s="43"/>
      <c r="Q39" s="43"/>
      <c r="R39" s="43"/>
      <c r="S39" s="43"/>
      <c r="T39" s="43"/>
    </row>
    <row r="40" spans="4:20" ht="20.100000000000001" customHeight="1" x14ac:dyDescent="0.25">
      <c r="D40" s="114" t="str">
        <v>i</v>
      </c>
      <c r="E40" s="118" t="str">
        <v>Wet or dry climate zone</v>
      </c>
      <c r="F40" s="117"/>
      <c r="G40" s="114" t="str">
        <v/>
      </c>
      <c r="H40" s="109" t="str">
        <v>Input</v>
      </c>
      <c r="I40" s="114" t="str">
        <f>X_Cell_Site_WetOrDryClimateZone</f>
        <v>Dry climate zone</v>
      </c>
      <c r="M40" s="6" t="str" cm="1">
        <f t="array" ref="M40">AgResidue_Equations_CropResidue.VEERG_6_1_1_1__2__MassOfNitrogenInCropResidues_Title()</f>
        <v>Mass of nitrogen in crop residues returned to the soil</v>
      </c>
      <c r="N40" s="21"/>
      <c r="O40" s="21"/>
      <c r="P40" s="21"/>
      <c r="Q40" s="21"/>
    </row>
    <row r="41" spans="4:20" ht="20.100000000000001" customHeight="1" x14ac:dyDescent="0.25">
      <c r="D41" s="21"/>
      <c r="E41" s="21"/>
      <c r="F41" s="21"/>
      <c r="G41" s="21"/>
      <c r="H41" s="21"/>
      <c r="L41" s="21"/>
      <c r="M41" s="5" t="str" cm="1">
        <f t="array" ref="M41">AgResidue_Equations_CropResidue.VEERG_6_1_1_1__2__MassOfNitrogenInCropResidues_Source()</f>
        <v>VEERG 2026: 6.1.1.1, Equation (2)</v>
      </c>
      <c r="N41" s="21"/>
      <c r="O41" s="21"/>
      <c r="P41" s="21"/>
      <c r="Q41" s="21"/>
    </row>
    <row r="42" spans="4:20" ht="20.100000000000001" customHeight="1" x14ac:dyDescent="0.25">
      <c r="D42" s="91" t="s">
        <v>108</v>
      </c>
      <c r="E42" s="92" cm="1">
        <f t="array" ref="E42">AgResidue_Equations_CropResidue.VEERG_6_1_1_1__1__NitrousOxideEmissionsFromCropResidues(I36,I37,I38)</f>
        <v>2.3377199999999997E-2</v>
      </c>
      <c r="F42" s="93" t="str">
        <f>$E$34</f>
        <v>t N2O</v>
      </c>
      <c r="H42" s="21"/>
      <c r="L42" s="21"/>
      <c r="M42" s="13" t="s">
        <v>21</v>
      </c>
      <c r="N42" s="13" t="str" cm="1">
        <f t="array" aca="1" ref="N42" ca="1">Common_InputFunctions.Utility_DisplayFunctionName(N59)</f>
        <v>=AgResidue_Equations_CropResidue.VEERG_6_1_1_1__2__MassOfNitrogenInCropResidues</v>
      </c>
      <c r="O42" s="21"/>
      <c r="P42" s="21"/>
      <c r="Q42" s="21"/>
    </row>
    <row r="43" spans="4:20" ht="20.100000000000001" customHeight="1" x14ac:dyDescent="0.25">
      <c r="H43" s="21"/>
      <c r="L43" s="21"/>
      <c r="O43" s="21"/>
      <c r="P43" s="21"/>
      <c r="Q43" s="21"/>
    </row>
    <row r="44" spans="4:20" ht="20.100000000000001" customHeight="1" x14ac:dyDescent="0.25">
      <c r="D44" s="53" t="str" cm="1">
        <f t="array" ref="D44:E45">Common_Equations.Common_ConvertN2OToCO2e_Arguments()</f>
        <v>EN2O</v>
      </c>
      <c r="E44" s="54" t="str">
        <v>Nitrous oxide emissions (t N2O)</v>
      </c>
      <c r="F44" s="94"/>
      <c r="G44" s="49">
        <f>VEERG_6_1_1_1__1__NitrousOxideEmissionsFromCropResidues_Result_Method1</f>
        <v>2.3377199999999997E-2</v>
      </c>
      <c r="L44" s="21"/>
      <c r="M44" s="21"/>
      <c r="N44" s="21"/>
      <c r="O44" s="21"/>
      <c r="P44" s="21"/>
      <c r="Q44" s="21"/>
    </row>
    <row r="45" spans="4:20" ht="20.100000000000001" customHeight="1" x14ac:dyDescent="0.25">
      <c r="D45" s="53" t="str">
        <v>GWPN2O</v>
      </c>
      <c r="E45" s="54" t="str">
        <v>Global warming potential for nitrous oxide (t CO2-e / t N2O)</v>
      </c>
      <c r="F45" s="94"/>
      <c r="G45" s="49">
        <f>Common_InputFunctions.Utility_LookupValueInTableNumber("N2O",Table_GWPData[Gas],Table_GWPData[CO2-e factor])</f>
        <v>265</v>
      </c>
      <c r="J45" s="21"/>
      <c r="L45" s="21"/>
      <c r="M45" s="50" t="s">
        <v>24</v>
      </c>
      <c r="N45" s="1" t="str" cm="1">
        <f t="array" ref="N45">AgResidue_Equations_CropResidue.VEERG_6_1_1_1__2__MassOfNitrogenInCropResidues_Variable()</f>
        <v>M_c</v>
      </c>
      <c r="O45" s="21"/>
      <c r="P45" s="21"/>
      <c r="Q45" s="21"/>
    </row>
    <row r="46" spans="4:20" ht="20.100000000000001" customHeight="1" x14ac:dyDescent="0.25">
      <c r="H46" s="21"/>
      <c r="J46" s="21"/>
      <c r="L46" s="21"/>
      <c r="M46" s="50" t="s">
        <v>15</v>
      </c>
      <c r="N46" s="51" t="str" cm="1">
        <f t="array" ref="N46">AgResidue_Equations_CropResidue.VEERG_6_1_1_1__2__MassOfNitrogenInCropResidues_Unit()</f>
        <v>kg N</v>
      </c>
      <c r="O46" s="21"/>
      <c r="P46" s="21"/>
      <c r="Q46" s="21"/>
    </row>
    <row r="47" spans="4:20" ht="20.100000000000001" customHeight="1" x14ac:dyDescent="0.25">
      <c r="D47" s="43" t="s">
        <v>78</v>
      </c>
      <c r="E47" s="43" cm="1">
        <f t="array" ref="E47">Common_Equations.Common_ConvertN2OToCO2e(G44,G45)</f>
        <v>6.1949579999999989</v>
      </c>
      <c r="F47" s="95" t="str" cm="1">
        <f t="array" ref="F47">Common_Equations.Common_ConvertN2OToCO2e_Unit()</f>
        <v>t CO2e</v>
      </c>
      <c r="H47" s="21"/>
      <c r="J47" s="21"/>
      <c r="L47" s="21"/>
      <c r="M47" s="21"/>
      <c r="N47" s="21"/>
      <c r="O47" s="21"/>
      <c r="P47" s="21"/>
    </row>
    <row r="48" spans="4:20" ht="20.100000000000001" customHeight="1" x14ac:dyDescent="0.25">
      <c r="D48" s="21"/>
      <c r="E48" s="21"/>
      <c r="F48" s="101"/>
      <c r="G48" s="21"/>
      <c r="H48" s="21"/>
      <c r="I48" s="21"/>
      <c r="J48" s="21"/>
      <c r="L48" s="21"/>
      <c r="M48" s="114" t="str" cm="1">
        <f t="array" ref="M48:N57">_xlfn.CHOOSECOLS(AgResidue_Equations_CropResidue.VEERG_6_1_1_1__2__MassOfNitrogenInCropResidues_Arguments_Method2(), 1, 2)</f>
        <v>P_c</v>
      </c>
      <c r="N48" s="118" t="str">
        <v>annual production of crop c</v>
      </c>
      <c r="O48" s="117"/>
      <c r="P48" s="114" t="str" cm="1">
        <f t="array" ref="P48:Q57">_xlfn.CHOOSECOLS(AgResidue_Equations_CropResidue.VEERG_6_1_1_1__2__MassOfNitrogenInCropResidues_Arguments_Method2(), 3,4)</f>
        <v>kg</v>
      </c>
      <c r="Q48" s="109" t="str">
        <v>Input</v>
      </c>
      <c r="R48" s="114"/>
    </row>
    <row r="49" spans="10:20" ht="20.100000000000001" customHeight="1" x14ac:dyDescent="0.25">
      <c r="J49" s="21"/>
      <c r="M49" s="114" t="str">
        <v>R_AGc</v>
      </c>
      <c r="N49" s="118" t="str">
        <v>residue to crop ratio for crop c</v>
      </c>
      <c r="O49" s="117"/>
      <c r="P49" s="114" t="str">
        <v/>
      </c>
      <c r="Q49" s="108" t="str">
        <v>Constant</v>
      </c>
      <c r="R49" s="114"/>
    </row>
    <row r="50" spans="10:20" ht="20.100000000000001" customHeight="1" x14ac:dyDescent="0.25">
      <c r="J50" s="21"/>
      <c r="M50" s="114" t="str">
        <v>R_BGc</v>
      </c>
      <c r="N50" s="118" t="str">
        <v>below ground-residue to above ground residue ratio for crop c</v>
      </c>
      <c r="O50" s="117"/>
      <c r="P50" s="114" t="str">
        <v/>
      </c>
      <c r="Q50" s="108" t="str">
        <v>Constant</v>
      </c>
      <c r="R50" s="114"/>
    </row>
    <row r="51" spans="10:20" ht="20.100000000000001" customHeight="1" x14ac:dyDescent="0.25">
      <c r="J51" s="21"/>
      <c r="M51" s="114" t="str">
        <v>F_c</v>
      </c>
      <c r="N51" s="118" t="str">
        <v>fraction of crop residue that is burnt for crop c</v>
      </c>
      <c r="O51" s="117"/>
      <c r="P51" s="114" t="str">
        <v>fraction</v>
      </c>
      <c r="Q51" s="109" t="str">
        <v>Input</v>
      </c>
      <c r="R51" s="114"/>
    </row>
    <row r="52" spans="10:20" ht="20.100000000000001" customHeight="1" x14ac:dyDescent="0.25">
      <c r="J52" s="21"/>
      <c r="M52" s="114" t="str">
        <v>FFOD_c</v>
      </c>
      <c r="N52" s="118" t="str">
        <v>fraction of the crop residue that is removed for crop c</v>
      </c>
      <c r="O52" s="117"/>
      <c r="P52" s="114" t="str">
        <v>fraction</v>
      </c>
      <c r="Q52" s="108" t="str">
        <v>Calculated from 6.1.1.2 (1)</v>
      </c>
      <c r="R52" s="114">
        <f>N36</f>
        <v>0.11</v>
      </c>
    </row>
    <row r="53" spans="10:20" ht="20.100000000000001" customHeight="1" x14ac:dyDescent="0.25">
      <c r="M53" s="114" t="str">
        <v>DM_c</v>
      </c>
      <c r="N53" s="118" t="str">
        <v>dry matter content of crop c</v>
      </c>
      <c r="O53" s="117"/>
      <c r="P53" s="114" t="str">
        <v>kg dry weight/kg crop residue</v>
      </c>
      <c r="Q53" s="108" t="str">
        <v>Constant</v>
      </c>
      <c r="R53" s="114"/>
    </row>
    <row r="54" spans="10:20" ht="20.100000000000001" customHeight="1" x14ac:dyDescent="0.25">
      <c r="M54" s="114" t="str">
        <v>NC_AGc</v>
      </c>
      <c r="N54" s="118" t="str">
        <v>nitrogen content of above-ground crop residue of crop c</v>
      </c>
      <c r="O54" s="117"/>
      <c r="P54" s="114" t="str">
        <v>kg N/kg DM</v>
      </c>
      <c r="Q54" s="108" t="str">
        <v>Constant</v>
      </c>
      <c r="R54" s="114"/>
    </row>
    <row r="55" spans="10:20" ht="20.100000000000001" customHeight="1" x14ac:dyDescent="0.25">
      <c r="M55" s="114" t="str">
        <v>NC_BGc</v>
      </c>
      <c r="N55" s="118" t="str">
        <v>nitrogen content of below-ground crop residue of crop c</v>
      </c>
      <c r="O55" s="117"/>
      <c r="P55" s="114" t="str">
        <v>kg N/kg DM</v>
      </c>
      <c r="Q55" s="108" t="str">
        <v>Constant</v>
      </c>
      <c r="R55" s="114"/>
    </row>
    <row r="56" spans="10:20" ht="20.100000000000001" customHeight="1" x14ac:dyDescent="0.25">
      <c r="M56" s="114" t="str">
        <v>c</v>
      </c>
      <c r="N56" s="118" t="str">
        <v>Crop type</v>
      </c>
      <c r="O56" s="117"/>
      <c r="P56" s="114" t="str">
        <v/>
      </c>
      <c r="Q56" s="109" t="str">
        <v>Input</v>
      </c>
      <c r="R56" s="114"/>
    </row>
    <row r="57" spans="10:20" ht="20.100000000000001" customHeight="1" x14ac:dyDescent="0.25">
      <c r="M57" s="114" t="str">
        <v>State</v>
      </c>
      <c r="N57" s="118" t="str">
        <v>State or territory</v>
      </c>
      <c r="O57" s="117"/>
      <c r="P57" s="114" t="str">
        <v/>
      </c>
      <c r="Q57" s="109" t="str">
        <v>Input</v>
      </c>
      <c r="R57" s="114"/>
    </row>
    <row r="58" spans="10:20" ht="20.100000000000001" customHeight="1" x14ac:dyDescent="0.25">
      <c r="M58" s="21"/>
      <c r="N58" s="21"/>
      <c r="O58" s="21"/>
      <c r="P58" s="21"/>
      <c r="Q58" s="21"/>
    </row>
    <row r="59" spans="10:20" ht="20.100000000000001" customHeight="1" x14ac:dyDescent="0.25">
      <c r="M59" s="115" t="s">
        <v>176</v>
      </c>
      <c r="N59" s="134" cm="1">
        <f t="array" ref="N59">AgResidue_Equations_CropResidue.VEERG_6_1_1_1__2__MassOfNitrogenInCropResidues(I13,I14,I16,R52,I18,I19,I15,I20)</f>
        <v>2975.2799999999997</v>
      </c>
      <c r="O59" s="116" t="str">
        <f>$E$11</f>
        <v>kg N</v>
      </c>
    </row>
    <row r="60" spans="10:20" ht="20.100000000000001" customHeight="1" x14ac:dyDescent="0.25">
      <c r="M60" s="50"/>
      <c r="N60" s="21"/>
      <c r="O60" s="21"/>
      <c r="P60" s="21"/>
      <c r="Q60" s="21"/>
    </row>
    <row r="61" spans="10:20" ht="20.100000000000001" customHeight="1" x14ac:dyDescent="0.25">
      <c r="M61" s="21"/>
      <c r="N61" s="21"/>
      <c r="O61" s="21"/>
      <c r="P61" s="21"/>
      <c r="Q61" s="21"/>
    </row>
    <row r="62" spans="10:20" ht="20.100000000000001" customHeight="1" x14ac:dyDescent="0.25">
      <c r="L62" s="133"/>
      <c r="M62" s="133"/>
      <c r="N62" s="133"/>
      <c r="O62" s="133"/>
      <c r="P62" s="133"/>
      <c r="Q62" s="133"/>
      <c r="R62" s="133"/>
      <c r="S62" s="133"/>
      <c r="T62" s="133"/>
    </row>
    <row r="63" spans="10:20" ht="20.100000000000001" customHeight="1" x14ac:dyDescent="0.25">
      <c r="L63" s="21"/>
      <c r="M63" s="6" t="str" cm="1">
        <f t="array" ref="M63">AgResidue_Equations_CropResidue.VEERG_6_1_1_1__1__NitrousOxideEmissionsFromCropResidues_Title()</f>
        <v>Nitrous oxide emissions from the return of crop residues across all crops c to the soil</v>
      </c>
      <c r="N63" s="21"/>
      <c r="O63" s="21"/>
      <c r="P63" s="21"/>
      <c r="Q63" s="21"/>
    </row>
    <row r="64" spans="10:20" ht="20.100000000000001" customHeight="1" x14ac:dyDescent="0.25">
      <c r="M64" s="5" t="str" cm="1">
        <f t="array" ref="M64">AgResidue_Equations_CropResidue.VEERG_6_1_1_1__1__NitrousOxideEmissionsFromCropResidues_Source()</f>
        <v>VEERG 2026: 6.1.1.1, Equation (1)</v>
      </c>
      <c r="N64" s="21"/>
      <c r="O64" s="21"/>
      <c r="P64" s="21"/>
      <c r="Q64" s="21"/>
    </row>
    <row r="65" spans="12:18" ht="20.100000000000001" customHeight="1" x14ac:dyDescent="0.25">
      <c r="L65" s="21"/>
      <c r="M65" s="13" t="s">
        <v>21</v>
      </c>
      <c r="N65" s="13" t="str">
        <f ca="1">Common_InputFunctions.Utility_DisplayFunctionName(VEERG_6_1_1_1__1__NitrousOxideEmissionsFromCropResidues_Result_Method2)</f>
        <v>=AgResidue_Equations_CropResidue.VEERG_6_1_1_1__1__NitrousOxideEmissionsFromCropResidues</v>
      </c>
      <c r="O65" s="21"/>
      <c r="P65" s="21"/>
      <c r="Q65" s="21"/>
    </row>
    <row r="66" spans="12:18" ht="20.100000000000001" customHeight="1" x14ac:dyDescent="0.25">
      <c r="L66" s="21"/>
      <c r="O66" s="21"/>
      <c r="P66" s="21"/>
      <c r="Q66" s="21"/>
    </row>
    <row r="67" spans="12:18" ht="20.100000000000001" customHeight="1" x14ac:dyDescent="0.25">
      <c r="L67" s="21"/>
      <c r="M67" s="21"/>
      <c r="N67" s="21"/>
      <c r="O67" s="21"/>
      <c r="P67" s="21"/>
      <c r="Q67" s="21"/>
    </row>
    <row r="68" spans="12:18" ht="20.100000000000001" customHeight="1" x14ac:dyDescent="0.25">
      <c r="L68" s="21"/>
      <c r="M68" s="50" t="s">
        <v>24</v>
      </c>
      <c r="N68" s="1" t="str" cm="1">
        <f t="array" ref="N68">AgResidue_Equations_CropResidue.VEERG_6_1_1_1__1__NitrousOxideEmissionsFromCropResidues_Variable()</f>
        <v>E</v>
      </c>
      <c r="O68" s="21"/>
      <c r="P68" s="21"/>
      <c r="Q68" s="21"/>
    </row>
    <row r="69" spans="12:18" ht="20.100000000000001" customHeight="1" x14ac:dyDescent="0.25">
      <c r="L69" s="21"/>
      <c r="M69" s="50" t="s">
        <v>15</v>
      </c>
      <c r="N69" s="51" t="str" cm="1">
        <f t="array" ref="N69">AgResidue_Equations_CropResidue.VEERG_6_1_1_1__1__NitrousOxideEmissionsFromCropResidues_Unit()</f>
        <v>t N2O</v>
      </c>
      <c r="O69" s="21"/>
      <c r="P69" s="21"/>
      <c r="Q69" s="21"/>
    </row>
    <row r="70" spans="12:18" ht="20.100000000000001" customHeight="1" x14ac:dyDescent="0.25">
      <c r="L70" s="21"/>
      <c r="M70" s="21"/>
      <c r="N70" s="21"/>
      <c r="O70" s="21"/>
      <c r="P70" s="21"/>
      <c r="Q70" s="21"/>
    </row>
    <row r="71" spans="12:18" ht="20.100000000000001" customHeight="1" x14ac:dyDescent="0.25">
      <c r="L71" s="21"/>
      <c r="M71" s="114" t="str" cm="1">
        <f t="array" ref="M71:N75">_xlfn.CHOOSECOLS(AgResidue_Equations_CropResidue.VEERG_6_1_1_1__1__NitrousOxideEmissionsFromCropResidues_Arguments(), 1, 2)</f>
        <v>M_c</v>
      </c>
      <c r="N71" s="118" t="str">
        <v>mass of nitrogen in crop c residues returned to the soil</v>
      </c>
      <c r="O71" s="117"/>
      <c r="P71" s="114" t="str" cm="1">
        <f t="array" ref="P71:Q75">_xlfn.CHOOSECOLS(AgResidue_Equations_CropResidue.VEERG_6_1_1_1__1__NitrousOxideEmissionsFromCropResidues_Arguments(), 3,4)</f>
        <v>kg N</v>
      </c>
      <c r="Q71" s="108" t="str">
        <v>Calculated from 6.1.1.1 (2)</v>
      </c>
      <c r="R71" s="114">
        <f>N59</f>
        <v>2975.2799999999997</v>
      </c>
    </row>
    <row r="72" spans="12:18" ht="20.100000000000001" customHeight="1" x14ac:dyDescent="0.25">
      <c r="L72" s="21"/>
      <c r="M72" s="114" t="str">
        <v>EF_Ni</v>
      </c>
      <c r="N72" s="118" t="str">
        <v>emission factor for crop residues returned to the soil</v>
      </c>
      <c r="O72" s="117"/>
      <c r="P72" s="114" t="str">
        <v>kg N2O-N/kg N</v>
      </c>
      <c r="Q72" s="108" t="str">
        <v>Constant</v>
      </c>
      <c r="R72" s="114" cm="1">
        <f t="array" ref="R72">Common_InputFunctions.Utility_LookupValueInTableNumber(R75,Table_SourceData_N2OEFOrganicFert[Climate zone type i],Table_SourceData_N2OEFOrganicFert[EF i N2O])</f>
        <v>5.0000000000000001E-3</v>
      </c>
    </row>
    <row r="73" spans="12:18" ht="20.100000000000001" customHeight="1" x14ac:dyDescent="0.25">
      <c r="L73" s="21"/>
      <c r="M73" s="114" t="str">
        <v>C_N2O</v>
      </c>
      <c r="N73" s="118" t="str">
        <v>factor to convert elemental mass of nitrous oxide to molecular mass</v>
      </c>
      <c r="O73" s="117"/>
      <c r="P73" s="114" t="str">
        <v>dimensionless</v>
      </c>
      <c r="Q73" s="108" t="str">
        <v>Constant</v>
      </c>
      <c r="R73" s="114">
        <f>Common_InputFunctions.Utility_LookupValueInTableNumber("N2O",Table_GasToMolecularConversionFactor[Gas],Table_GasToMolecularConversionFactor[Conversion factor combined])</f>
        <v>1.5714285714285714</v>
      </c>
    </row>
    <row r="74" spans="12:18" ht="20.100000000000001" customHeight="1" x14ac:dyDescent="0.25">
      <c r="L74" s="21"/>
      <c r="M74" s="114" t="str">
        <v>c</v>
      </c>
      <c r="N74" s="118" t="str">
        <v>Crop type</v>
      </c>
      <c r="O74" s="117"/>
      <c r="P74" s="114" t="str">
        <v/>
      </c>
      <c r="Q74" s="109" t="str">
        <v>Input</v>
      </c>
      <c r="R74" s="114" t="str">
        <f>X_Cell_Crop_CropType</f>
        <v>Wheat</v>
      </c>
    </row>
    <row r="75" spans="12:18" ht="20.100000000000001" customHeight="1" x14ac:dyDescent="0.25">
      <c r="L75" s="21"/>
      <c r="M75" s="114" t="str">
        <v>i</v>
      </c>
      <c r="N75" s="118" t="str">
        <v>Wet or dry climate zone</v>
      </c>
      <c r="O75" s="117"/>
      <c r="P75" s="114" t="str">
        <v/>
      </c>
      <c r="Q75" s="109" t="str">
        <v>Input</v>
      </c>
      <c r="R75" s="114" t="str">
        <f>X_Cell_Site_WetOrDryClimateZone</f>
        <v>Dry climate zone</v>
      </c>
    </row>
    <row r="76" spans="12:18" ht="20.100000000000001" customHeight="1" x14ac:dyDescent="0.25">
      <c r="L76" s="21"/>
      <c r="M76" s="21"/>
      <c r="N76" s="21"/>
      <c r="O76" s="21"/>
      <c r="P76" s="21"/>
      <c r="Q76" s="21"/>
    </row>
    <row r="77" spans="12:18" ht="20.100000000000001" customHeight="1" x14ac:dyDescent="0.25">
      <c r="L77" s="21"/>
      <c r="M77" s="91" t="s">
        <v>108</v>
      </c>
      <c r="N77" s="92" cm="1">
        <f t="array" ref="N77">AgResidue_Equations_CropResidue.VEERG_6_1_1_1__1__NitrousOxideEmissionsFromCropResidues(R71,R72,R73)</f>
        <v>2.3377199999999997E-2</v>
      </c>
      <c r="O77" s="93" t="str">
        <f>$E$34</f>
        <v>t N2O</v>
      </c>
      <c r="Q77" s="21"/>
    </row>
    <row r="78" spans="12:18" ht="20.100000000000001" customHeight="1" x14ac:dyDescent="0.25">
      <c r="L78" s="21"/>
      <c r="Q78" s="21"/>
    </row>
    <row r="79" spans="12:18" ht="20.100000000000001" customHeight="1" x14ac:dyDescent="0.25">
      <c r="L79" s="21"/>
      <c r="M79" s="53" t="str" cm="1">
        <f t="array" ref="M79:N80">Common_Equations.Common_ConvertN2OToCO2e_Arguments()</f>
        <v>EN2O</v>
      </c>
      <c r="N79" s="54" t="str">
        <v>Nitrous oxide emissions (t N2O)</v>
      </c>
      <c r="O79" s="94"/>
      <c r="P79" s="49">
        <f>VEERG_6_1_1_1__1__NitrousOxideEmissionsFromCropResidues_Result_Method2</f>
        <v>2.3377199999999997E-2</v>
      </c>
    </row>
    <row r="80" spans="12:18" ht="20.100000000000001" customHeight="1" x14ac:dyDescent="0.25">
      <c r="L80" s="21"/>
      <c r="M80" s="53" t="str">
        <v>GWPN2O</v>
      </c>
      <c r="N80" s="54" t="str">
        <v>Global warming potential for nitrous oxide (t CO2-e / t N2O)</v>
      </c>
      <c r="O80" s="94"/>
      <c r="P80" s="49">
        <f>Common_InputFunctions.Utility_LookupValueInTableNumber("N2O",Table_GWPData[Gas],Table_GWPData[CO2-e factor])</f>
        <v>265</v>
      </c>
    </row>
    <row r="81" spans="12:18" ht="20.100000000000001" customHeight="1" x14ac:dyDescent="0.25">
      <c r="L81" s="21"/>
      <c r="Q81" s="21"/>
    </row>
    <row r="82" spans="12:18" ht="20.100000000000001" customHeight="1" x14ac:dyDescent="0.25">
      <c r="L82" s="21"/>
      <c r="M82" s="43" t="s">
        <v>78</v>
      </c>
      <c r="N82" s="43" cm="1">
        <f t="array" ref="N82">Common_Equations.Common_ConvertN2OToCO2e(P79,P80)</f>
        <v>6.1949579999999989</v>
      </c>
      <c r="O82" s="95" t="str" cm="1">
        <f t="array" ref="O82">Common_Equations.Common_ConvertN2OToCO2e_Unit()</f>
        <v>t CO2e</v>
      </c>
      <c r="Q82" s="21"/>
    </row>
    <row r="83" spans="12:18" ht="20.100000000000001" customHeight="1" x14ac:dyDescent="0.25">
      <c r="L83" s="21"/>
      <c r="M83" s="21"/>
      <c r="N83" s="21"/>
      <c r="O83" s="101"/>
      <c r="P83" s="21"/>
      <c r="Q83" s="21"/>
      <c r="R83" s="21"/>
    </row>
    <row r="84" spans="12:18" ht="20.100000000000001" customHeight="1" x14ac:dyDescent="0.25">
      <c r="L84" s="21"/>
    </row>
    <row r="85" spans="12:18" ht="20.100000000000001" customHeight="1" x14ac:dyDescent="0.25">
      <c r="L85" s="21"/>
    </row>
    <row r="86" spans="12:18" ht="20.100000000000001" customHeight="1" x14ac:dyDescent="0.25">
      <c r="L86" s="21"/>
    </row>
    <row r="87" spans="12:18" ht="20.100000000000001" customHeight="1" x14ac:dyDescent="0.25"/>
    <row r="88" spans="12:18" ht="20.100000000000001" customHeight="1" x14ac:dyDescent="0.25"/>
    <row r="89" spans="12:18" ht="20.100000000000001" customHeight="1" x14ac:dyDescent="0.25"/>
    <row r="90" spans="12:18" ht="20.100000000000001" customHeight="1" x14ac:dyDescent="0.25"/>
    <row r="91" spans="12:18" ht="20.100000000000001" customHeight="1" x14ac:dyDescent="0.25"/>
    <row r="92" spans="12:18" ht="20.100000000000001" customHeight="1" x14ac:dyDescent="0.25"/>
    <row r="93" spans="12:18" ht="20.100000000000001" customHeight="1" x14ac:dyDescent="0.25"/>
    <row r="94" spans="12:18" ht="20.100000000000001" customHeight="1" x14ac:dyDescent="0.25"/>
    <row r="95" spans="12:18" ht="20.100000000000001" customHeight="1" x14ac:dyDescent="0.25"/>
    <row r="96" spans="12:18"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0" t="e" vm="1">
        <v>#VALUE!</v>
      </c>
      <c r="C1" s="8" t="s">
        <v>179</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M3" s="4"/>
      <c r="N3" s="4" t="s">
        <v>80</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AgResidue_Equations_PastureResidue.VEERG_6_2_1_1__2__MassOfNitrogenInPastureResidues_Title()</f>
        <v>Mass of nitrogen in pasture residues returned to the soil</v>
      </c>
    </row>
    <row r="6" spans="1:21" ht="20.100000000000001" customHeight="1" x14ac:dyDescent="0.25">
      <c r="D6" s="5" t="str" cm="1">
        <f t="array" ref="D6">AgResidue_Equations_PastureResidue.VEERG_6_2_1_1__2__MassOfNitrogenInPastureResidues_Source()</f>
        <v>VEERG 2026: 6.2.1.1, Equation (2)</v>
      </c>
    </row>
    <row r="7" spans="1:21" ht="20.100000000000001" customHeight="1" x14ac:dyDescent="0.25">
      <c r="D7" s="13" t="s">
        <v>21</v>
      </c>
      <c r="E7" s="13" t="str" cm="1">
        <f t="array" aca="1" ref="E7" ca="1">Common_InputFunctions.Utility_DisplayFunctionName(E21)</f>
        <v>=AgResidue_Equations_PastureResidue.VEERG_6_2_1_1__2__MassOfNitrogenInPastureResidues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Crop'!A1", "Crop")</f>
        <v>Crop</v>
      </c>
      <c r="D10" s="3" t="s">
        <v>24</v>
      </c>
      <c r="E10" s="1" t="str" cm="1">
        <f t="array" ref="E10">AgResidue_Equations_PastureResidue.VEERG_6_2_1_1__2__MassOfNitrogenInPastureResidues_Variable()</f>
        <v>Mp</v>
      </c>
    </row>
    <row r="11" spans="1:21" ht="20.100000000000001" customHeight="1" x14ac:dyDescent="0.25">
      <c r="A11" s="17" t="str">
        <f>HYPERLINK("#'Input - Pasture'!A1", "Pasture")</f>
        <v>Pasture</v>
      </c>
      <c r="D11" s="3" t="s">
        <v>15</v>
      </c>
      <c r="E11" s="51" t="str" cm="1">
        <f t="array" ref="E11">AgResidue_Equations_PastureResidue.VEERG_6_2_1_1__2__MassOfNitrogenInPastureResidues_Unit()</f>
        <v>kg N</v>
      </c>
    </row>
    <row r="12" spans="1:21" ht="20.100000000000001" customHeight="1" x14ac:dyDescent="0.25"/>
    <row r="13" spans="1:21" ht="20.100000000000001" customHeight="1" x14ac:dyDescent="0.25">
      <c r="D13" s="114" t="str" cm="1">
        <f t="array" ref="D13:E19">_xlfn.CHOOSECOLS(AgResidue_Equations_PastureResidue.VEERG_6_2_1_1__2__MassOfNitrogenInPastureResidues_Arguments(), 1, 2)</f>
        <v>A_p</v>
      </c>
      <c r="E13" s="118" t="str">
        <v>area of pasture renewed or removed</v>
      </c>
      <c r="F13" s="119"/>
      <c r="G13" s="117"/>
      <c r="H13" s="114" t="str" cm="1">
        <f t="array" ref="H13:I19">_xlfn.CHOOSECOLS(AgResidue_Equations_PastureResidue.VEERG_6_2_1_1__2__MassOfNitrogenInPastureResidues_Arguments(), 3,4)</f>
        <v>ha</v>
      </c>
      <c r="I13" s="109" t="str">
        <v>Input</v>
      </c>
      <c r="J13" s="114">
        <f>X_Cell_Pasture_AreaRemovedOrRenewed</f>
        <v>500</v>
      </c>
      <c r="N13" s="114" t="str" cm="1">
        <f t="array" ref="N13:O19">_xlfn.CHOOSECOLS(AgResidue_Equations_PastureResidue.VEERG_6_2_1_1__2__MassOfNitrogenInPastureResidues_Arguments_Method2(), 1, 2)</f>
        <v>A_p</v>
      </c>
      <c r="O13" s="118" t="str">
        <v>area of pasture renewed or removed</v>
      </c>
      <c r="P13" s="119"/>
      <c r="Q13" s="117"/>
      <c r="R13" s="114" t="str" cm="1">
        <f t="array" ref="R13:S19">_xlfn.CHOOSECOLS(AgResidue_Equations_PastureResidue.VEERG_6_2_1_1__2__MassOfNitrogenInPastureResidues_Arguments_Method2(), 3,4)</f>
        <v>ha</v>
      </c>
      <c r="S13" s="109" t="str">
        <v>Input</v>
      </c>
      <c r="T13" s="114"/>
    </row>
    <row r="14" spans="1:21" ht="20.100000000000001" customHeight="1" x14ac:dyDescent="0.25">
      <c r="A14" s="18" t="s">
        <v>68</v>
      </c>
      <c r="D14" s="114" t="str">
        <v>Y_p</v>
      </c>
      <c r="E14" s="118" t="str">
        <v>average yield of pasture crop</v>
      </c>
      <c r="F14" s="119"/>
      <c r="G14" s="117"/>
      <c r="H14" s="114" t="str">
        <v>t DM/ha</v>
      </c>
      <c r="I14" s="108" t="str">
        <v>Constant</v>
      </c>
      <c r="J14" s="114" cm="1">
        <f t="array" ref="J14">Common_InputFunctions.Utility_LookupValueInTableNumber($J$19,Table_SourceData_PastureAttributes[Pasture type],Table_SourceData_PastureAttributes[Average Yield (t DM ha) Yp])</f>
        <v>8.34</v>
      </c>
      <c r="N14" s="114" t="str">
        <v>Y_p</v>
      </c>
      <c r="O14" s="118" t="str">
        <v>average yield of pasture crop</v>
      </c>
      <c r="P14" s="119"/>
      <c r="Q14" s="117"/>
      <c r="R14" s="114" t="str">
        <v>t DM/ha</v>
      </c>
      <c r="S14" s="109" t="str">
        <v>Input</v>
      </c>
      <c r="T14" s="114">
        <f>X_Cell_Pasture_YieldPerHectare</f>
        <v>8.34</v>
      </c>
    </row>
    <row r="15" spans="1:21" ht="20.100000000000001" customHeight="1" x14ac:dyDescent="0.25">
      <c r="A15" s="17" t="str">
        <f>HYPERLINK("#'6.1.1.1-2 Crop residue N2O'!A1", "6.1.1.1-2 Crop residue N2O")</f>
        <v>6.1.1.1-2 Crop residue N2O</v>
      </c>
      <c r="D15" s="114" t="str">
        <v>NC_AGp</v>
      </c>
      <c r="E15" s="118" t="str">
        <v>N content of above-ground pasture residue</v>
      </c>
      <c r="F15" s="119"/>
      <c r="G15" s="117"/>
      <c r="H15" s="114" t="str">
        <v>kg N/kg DM</v>
      </c>
      <c r="I15" s="108" t="str">
        <v>Constant</v>
      </c>
      <c r="J15" s="114" cm="1">
        <f t="array" ref="J15">Common_InputFunctions.Utility_LookupValueInTableNumber($J$19,Table_SourceData_PastureAttributes[Pasture type],Table_SourceData_PastureAttributes[N content Above-ground NCAGp])</f>
        <v>2.5000000000000001E-2</v>
      </c>
      <c r="N15" s="114" t="str">
        <v>NC_AGp</v>
      </c>
      <c r="O15" s="118" t="str">
        <v>N content of above-ground pasture residue</v>
      </c>
      <c r="P15" s="119"/>
      <c r="Q15" s="117"/>
      <c r="R15" s="114" t="str">
        <v>kg N/kg DM</v>
      </c>
      <c r="S15" s="108" t="str">
        <v>Constant</v>
      </c>
      <c r="T15" s="114"/>
    </row>
    <row r="16" spans="1:21" ht="20.100000000000001" customHeight="1" x14ac:dyDescent="0.25">
      <c r="A16" s="127" t="str">
        <f>HYPERLINK("#'6.2.1.1-2 Pasture residue N2O'!A1", "6.2.1.1-2 Pasture residue N2O")</f>
        <v>6.2.1.1-2 Pasture residue N2O</v>
      </c>
      <c r="D16" s="114" t="str">
        <v>R_BGp</v>
      </c>
      <c r="E16" s="118" t="str">
        <v>below-ground residue to above-ground residue ratio for pasture crop</v>
      </c>
      <c r="F16" s="119"/>
      <c r="G16" s="117"/>
      <c r="H16" s="114" t="str">
        <v/>
      </c>
      <c r="I16" s="108" t="str">
        <v>Constant</v>
      </c>
      <c r="J16" s="114" cm="1">
        <f t="array" ref="J16">Common_InputFunctions.Utility_LookupValueInTableNumber($J$19,Table_SourceData_PastureAttributes[Pasture type],Table_SourceData_PastureAttributes[Below-ground: above-ground residue ratio RBGp])</f>
        <v>0.8</v>
      </c>
      <c r="N16" s="114" t="str">
        <v>R_BGp</v>
      </c>
      <c r="O16" s="118" t="str">
        <v>below-ground residue to above-ground residue ratio for pasture crop</v>
      </c>
      <c r="P16" s="119"/>
      <c r="Q16" s="117"/>
      <c r="R16" s="114" t="str">
        <v/>
      </c>
      <c r="S16" s="108" t="str">
        <v>Constant</v>
      </c>
      <c r="T16" s="114"/>
    </row>
    <row r="17" spans="1:21" ht="20.100000000000001" customHeight="1" x14ac:dyDescent="0.25">
      <c r="A17" s="17" t="str">
        <f>HYPERLINK("#'6.3.1.1-2 Leaching and runoff'!A1", "6.3.1.1-2 Leaching and runoff")</f>
        <v>6.3.1.1-2 Leaching and runoff</v>
      </c>
      <c r="D17" s="114" t="str">
        <v>NC_BGp</v>
      </c>
      <c r="E17" s="118" t="str">
        <v>N content of below-ground pasture crop residue</v>
      </c>
      <c r="F17" s="119"/>
      <c r="G17" s="117"/>
      <c r="H17" s="114" t="str">
        <v>kg N/kg DM</v>
      </c>
      <c r="I17" s="108" t="str">
        <v>Constant</v>
      </c>
      <c r="J17" s="114" cm="1">
        <f t="array" ref="J17">Common_InputFunctions.Utility_LookupValueInTableNumber($J$19,Table_SourceData_PastureAttributes[Pasture type],Table_SourceData_PastureAttributes[N content Below-ground NCBGp])</f>
        <v>1.6E-2</v>
      </c>
      <c r="N17" s="114" t="str">
        <v>NC_BGp</v>
      </c>
      <c r="O17" s="118" t="str">
        <v>N content of below-ground pasture crop residue</v>
      </c>
      <c r="P17" s="119"/>
      <c r="Q17" s="117"/>
      <c r="R17" s="114" t="str">
        <v>kg N/kg DM</v>
      </c>
      <c r="S17" s="108" t="str">
        <v>Constant</v>
      </c>
      <c r="T17" s="114"/>
    </row>
    <row r="18" spans="1:21" ht="20.100000000000001" customHeight="1" x14ac:dyDescent="0.25">
      <c r="A18" s="17" t="str">
        <f>HYPERLINK("#'6.3.1.1-2 Leach runoff crop'!A1", "6.3.1.1-2 Leach runoff crop")</f>
        <v>6.3.1.1-2 Leach runoff crop</v>
      </c>
      <c r="D18" s="114" t="str">
        <v>FFOD_p</v>
      </c>
      <c r="E18" s="118" t="str">
        <v>fraction of pasture yield that is removed</v>
      </c>
      <c r="F18" s="119"/>
      <c r="G18" s="117"/>
      <c r="H18" s="114" t="str">
        <v>fraction</v>
      </c>
      <c r="I18" s="108" t="str">
        <v>Constant</v>
      </c>
      <c r="J18" s="114" cm="1">
        <f t="array" ref="J18">Common_InputFunctions.Utility_LookupValueInTableNumber($J$19,Table_SourceData_PastureAttributes[Pasture type],Table_SourceData_PastureAttributes[Fraction of pasture yield that is removed FFODp])</f>
        <v>0.8</v>
      </c>
      <c r="N18" s="114" t="str">
        <v>FFOD_p</v>
      </c>
      <c r="O18" s="118" t="str">
        <v>fraction of pasture yield that is removed</v>
      </c>
      <c r="P18" s="119"/>
      <c r="Q18" s="117"/>
      <c r="R18" s="114" t="str">
        <v>fraction</v>
      </c>
      <c r="S18" s="108" t="str">
        <v>Constant</v>
      </c>
      <c r="T18" s="114"/>
    </row>
    <row r="19" spans="1:21" ht="20.100000000000001" customHeight="1" x14ac:dyDescent="0.25">
      <c r="A19" s="17" t="str">
        <f>HYPERLINK("#'6.3.1.1-2 Leach runoff pasture'!A1", "6.3.1.1-2 Leach runoff pasture")</f>
        <v>6.3.1.1-2 Leach runoff pasture</v>
      </c>
      <c r="D19" s="114" t="str">
        <v>p</v>
      </c>
      <c r="E19" s="118" t="str">
        <v>Pasture type</v>
      </c>
      <c r="F19" s="119"/>
      <c r="G19" s="117"/>
      <c r="H19" s="114" t="str">
        <v/>
      </c>
      <c r="I19" s="109" t="str">
        <v>Input</v>
      </c>
      <c r="J19" s="114" t="str">
        <f>X_Cell_Pasture_PastureType</f>
        <v>Grass clover mixture</v>
      </c>
      <c r="N19" s="114" t="str">
        <v>p</v>
      </c>
      <c r="O19" s="118" t="str">
        <v>Pasture type</v>
      </c>
      <c r="P19" s="119"/>
      <c r="Q19" s="117"/>
      <c r="R19" s="114" t="str">
        <v/>
      </c>
      <c r="S19" s="109" t="str">
        <v>Input</v>
      </c>
      <c r="T19" s="114"/>
    </row>
    <row r="20" spans="1:21" ht="20.100000000000001" customHeight="1" x14ac:dyDescent="0.25">
      <c r="A20" s="17" t="str">
        <f>HYPERLINK("#'6.4.1.1-2 Residue burning'!A1", "6.4.1.1-2 Residue burning")</f>
        <v>6.4.1.1-2 Residue burning</v>
      </c>
    </row>
    <row r="21" spans="1:21" ht="20.100000000000001" customHeight="1" x14ac:dyDescent="0.25">
      <c r="D21" s="115" t="s">
        <v>186</v>
      </c>
      <c r="E21" s="43" cm="1">
        <f t="array" ref="E21">AgResidue_Equations_PastureResidue.VEERG_6_2_1_1__2__MassOfNitrogenInPastureResidues(J13,J14,J18,J15,J16,J17)</f>
        <v>7.4226E-2</v>
      </c>
      <c r="F21" s="95" t="str" cm="1">
        <f t="array" ref="F21">AgResidue_Equations_PastureResidue.VEERG_6_2_1_1__2__MassOfNitrogenInPastureResidues_Unit()</f>
        <v>kg N</v>
      </c>
      <c r="N21" s="115" t="s">
        <v>186</v>
      </c>
      <c r="O21" s="43" cm="1">
        <f t="array" ref="O21">AgResidue_Equations_PastureResidue.VEERG_6_2_1_1__2__MassOfNitrogenInPastureResidues(J13,T14,J18,J15,J16,J17)</f>
        <v>7.4226E-2</v>
      </c>
      <c r="P21" s="95" t="str" cm="1">
        <f t="array" ref="P21">AgResidue_Equations_PastureResidue.VEERG_6_2_1_1__2__MassOfNitrogenInPastureResidues_Unit()</f>
        <v>kg N</v>
      </c>
    </row>
    <row r="22" spans="1:21" ht="20.100000000000001" customHeight="1" x14ac:dyDescent="0.25"/>
    <row r="23" spans="1:21" ht="20.100000000000001" customHeight="1" x14ac:dyDescent="0.25">
      <c r="A23" s="141" t="s">
        <v>1</v>
      </c>
    </row>
    <row r="24" spans="1:21" ht="20.100000000000001" customHeight="1" x14ac:dyDescent="0.25">
      <c r="A24" s="17" t="str">
        <f>HYPERLINK("#'Constants - Ag Residue'!A1", "Constants - Ag Residue")</f>
        <v>Constants - Ag Residue</v>
      </c>
      <c r="C24" s="43"/>
      <c r="D24" s="43"/>
      <c r="E24" s="43"/>
      <c r="F24" s="43"/>
      <c r="G24" s="43"/>
      <c r="H24" s="43"/>
      <c r="I24" s="43"/>
      <c r="J24" s="43"/>
      <c r="K24" s="43"/>
      <c r="M24" s="43"/>
      <c r="N24" s="43"/>
      <c r="O24" s="43"/>
      <c r="P24" s="43"/>
      <c r="Q24" s="43"/>
      <c r="R24" s="43"/>
      <c r="S24" s="43"/>
      <c r="T24" s="43"/>
      <c r="U24" s="43"/>
    </row>
    <row r="25" spans="1:21" ht="20.100000000000001" customHeight="1" x14ac:dyDescent="0.25">
      <c r="A25" s="17" t="str">
        <f>HYPERLINK("#'Constants - Common'!A1", "Constants - Common")</f>
        <v>Constants - Common</v>
      </c>
      <c r="D25" s="6" t="str" cm="1">
        <f t="array" ref="D25">AgResidue_Equations_PastureResidue.VEERG_6_2_1_1__1__NitrousOxideEmissionsFromPastureResidues_Title()</f>
        <v>Nitrous oxide emissions from the return of pasture residues from all pasture types to the soil</v>
      </c>
      <c r="N25" s="6"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5" t="str" cm="1">
        <f t="array" ref="D26">AgResidue_Equations_PastureResidue.VEERG_6_2_1_1__1__NitrousOxideEmissionsFromPastureResidues_Source()</f>
        <v>VEERG 2026: 6.2.1.1, Equation (1)</v>
      </c>
      <c r="N26" s="5" t="str" cm="1">
        <f t="array" ref="N26">AgResidue_Equations_PastureResidue.VEERG_6_2_1_1__1__NitrousOxideEmissionsFromPastureResidues_Source()</f>
        <v>VEERG 2026: 6.2.1.1, Equation (1)</v>
      </c>
    </row>
    <row r="27" spans="1:21" ht="20.100000000000001" customHeight="1" x14ac:dyDescent="0.25">
      <c r="D27" s="13" t="s">
        <v>21</v>
      </c>
      <c r="E27" s="13" t="str">
        <f ca="1">Common_InputFunctions.Utility_DisplayFunctionName(VEERG_6_2_1_1__1__NitrousOxideEmissionsFromPastureResidues_Result_Method1)</f>
        <v>=AgResidue_Equations_PastureResidue.VEERG_6_2_1_1__1__NitrousOxideEmissionsFromPastureResidues</v>
      </c>
      <c r="N27" s="13" t="s">
        <v>21</v>
      </c>
      <c r="O27" s="13" t="str">
        <f ca="1">Common_InputFunctions.Utility_DisplayFunctionName(VEERG_6_2_1_1__1__NitrousOxideEmissionsFromPastureResidues_Result_Method2)</f>
        <v>=AgResidue_Equations_PastureResidue.VEERG_6_2_1_1__1__NitrousOxideEmissionsFromPastureResidues</v>
      </c>
    </row>
    <row r="28" spans="1:21" ht="20.100000000000001" customHeight="1" x14ac:dyDescent="0.25"/>
    <row r="29" spans="1:21" ht="20.100000000000001" customHeight="1" x14ac:dyDescent="0.25"/>
    <row r="30" spans="1:21" ht="20.100000000000001" customHeight="1" x14ac:dyDescent="0.25">
      <c r="D30" s="3" t="s">
        <v>24</v>
      </c>
      <c r="E30" s="1" t="str" cm="1">
        <f t="array" ref="E30">AgResidue_Equations_PastureResidue.VEERG_6_2_1_1__1__NitrousOxideEmissionsFromPastureResidues_Variable()</f>
        <v>EN2O</v>
      </c>
      <c r="N30" s="3" t="s">
        <v>24</v>
      </c>
      <c r="O30" s="1" t="str" cm="1">
        <f t="array" ref="O30">AgResidue_Equations_PastureResidue.VEERG_6_2_1_1__1__NitrousOxideEmissionsFromPastureResidues_Variable()</f>
        <v>EN2O</v>
      </c>
    </row>
    <row r="31" spans="1:21" ht="20.100000000000001" customHeight="1" x14ac:dyDescent="0.25">
      <c r="D31" s="3" t="s">
        <v>15</v>
      </c>
      <c r="E31" s="51" t="str" cm="1">
        <f t="array" ref="E31">AgResidue_Equations_PastureResidue.VEERG_6_2_1_1__1__NitrousOxideEmissionsFromPastureResidues_Unit()</f>
        <v>t N2O</v>
      </c>
      <c r="N31" s="3" t="s">
        <v>15</v>
      </c>
      <c r="O31" s="51" t="str" cm="1">
        <f t="array" ref="O31">AgResidue_Equations_PastureResidue.VEERG_6_2_1_1__1__NitrousOxideEmissionsFromPastureResidues_Unit()</f>
        <v>t N2O</v>
      </c>
    </row>
    <row r="32" spans="1:21" ht="20.100000000000001" customHeight="1" x14ac:dyDescent="0.25"/>
    <row r="33" spans="4:20" ht="20.100000000000001" customHeight="1" x14ac:dyDescent="0.25">
      <c r="D33" s="114" t="str" cm="1">
        <f t="array" ref="D33:E37">_xlfn.CHOOSECOLS(AgResidue_Equations_PastureResidue.VEERG_6_2_1_1__1__NitrousOxideEmissionsFromPastureResidues_Arguments(), 1, 2)</f>
        <v>M_p</v>
      </c>
      <c r="E33" s="118" t="str">
        <v>mass of nitrogen in pasture p residues returned to the soil</v>
      </c>
      <c r="F33" s="119"/>
      <c r="G33" s="117"/>
      <c r="H33" s="114" t="str" cm="1">
        <f t="array" ref="H33:I37">_xlfn.CHOOSECOLS(AgResidue_Equations_PastureResidue.VEERG_6_2_1_1__1__NitrousOxideEmissionsFromPastureResidues_Arguments(), 3,4)</f>
        <v>kg N</v>
      </c>
      <c r="I33" s="108" t="str">
        <v>Calculated from 6.2.1.1 (2)</v>
      </c>
      <c r="J33" s="114">
        <f>$E$21</f>
        <v>7.4226E-2</v>
      </c>
      <c r="N33" s="114" t="str" cm="1">
        <f t="array" ref="N33:O37">_xlfn.CHOOSECOLS(AgResidue_Equations_PastureResidue.VEERG_6_2_1_1__1__NitrousOxideEmissionsFromPastureResidues_Arguments(), 1, 2)</f>
        <v>M_p</v>
      </c>
      <c r="O33" s="118" t="str">
        <v>mass of nitrogen in pasture p residues returned to the soil</v>
      </c>
      <c r="P33" s="119"/>
      <c r="Q33" s="117"/>
      <c r="R33" s="114" t="str" cm="1">
        <f t="array" ref="R33:S37">_xlfn.CHOOSECOLS(AgResidue_Equations_PastureResidue.VEERG_6_2_1_1__1__NitrousOxideEmissionsFromPastureResidues_Arguments(), 3,4)</f>
        <v>kg N</v>
      </c>
      <c r="S33" s="108" t="str">
        <v>Calculated from 6.2.1.1 (2)</v>
      </c>
      <c r="T33" s="114">
        <f>$O$21</f>
        <v>7.4226E-2</v>
      </c>
    </row>
    <row r="34" spans="4:20" ht="20.100000000000001" customHeight="1" x14ac:dyDescent="0.25">
      <c r="D34" s="114" t="str">
        <v>EF_Ni</v>
      </c>
      <c r="E34" s="118" t="str">
        <v>emission factor for crop residues returned to the soil in climate zone i</v>
      </c>
      <c r="F34" s="119"/>
      <c r="G34" s="117"/>
      <c r="H34" s="114" t="str">
        <v>kg N2O-N/kg N</v>
      </c>
      <c r="I34" s="108" t="str">
        <v>Constant</v>
      </c>
      <c r="J34" s="114" cm="1">
        <f t="array" ref="J34">Common_InputFunctions.Utility_LookupValueInTableNumber(J37,Table_SourceData_N2OEFOrganicFert[Climate zone type i],Table_SourceData_N2OEFOrganicFert[EF i N2O])</f>
        <v>5.0000000000000001E-3</v>
      </c>
      <c r="N34" s="114" t="str">
        <v>EF_Ni</v>
      </c>
      <c r="O34" s="118" t="str">
        <v>emission factor for crop residues returned to the soil in climate zone i</v>
      </c>
      <c r="P34" s="119"/>
      <c r="Q34" s="117"/>
      <c r="R34" s="114" t="str">
        <v>kg N2O-N/kg N</v>
      </c>
      <c r="S34" s="108" t="str">
        <v>Constant</v>
      </c>
      <c r="T34" s="114"/>
    </row>
    <row r="35" spans="4:20" ht="20.100000000000001" customHeight="1" x14ac:dyDescent="0.25">
      <c r="D35" s="114" t="str">
        <v>C_N2O</v>
      </c>
      <c r="E35" s="118" t="str">
        <v>factor to convert elemental mass of nitrous oxide to molecular mass</v>
      </c>
      <c r="F35" s="119"/>
      <c r="G35" s="117"/>
      <c r="H35" s="114" t="str">
        <v>dimensionless</v>
      </c>
      <c r="I35" s="108" t="str">
        <v>Constant</v>
      </c>
      <c r="J35" s="114">
        <f>Common_InputFunctions.Utility_LookupValueInTableNumber("N2O",Table_GasToMolecularConversionFactor[Gas],Table_GasToMolecularConversionFactor[Conversion factor combined])</f>
        <v>1.5714285714285714</v>
      </c>
      <c r="N35" s="114" t="str">
        <v>C_N2O</v>
      </c>
      <c r="O35" s="118" t="str">
        <v>factor to convert elemental mass of nitrous oxide to molecular mass</v>
      </c>
      <c r="P35" s="119"/>
      <c r="Q35" s="117"/>
      <c r="R35" s="114" t="str">
        <v>dimensionless</v>
      </c>
      <c r="S35" s="108" t="str">
        <v>Constant</v>
      </c>
      <c r="T35" s="114"/>
    </row>
    <row r="36" spans="4:20" ht="20.100000000000001" customHeight="1" x14ac:dyDescent="0.25">
      <c r="D36" s="114" t="str">
        <v>p</v>
      </c>
      <c r="E36" s="118" t="str">
        <v>Pasture type</v>
      </c>
      <c r="F36" s="119"/>
      <c r="G36" s="117"/>
      <c r="H36" s="114" t="str">
        <v/>
      </c>
      <c r="I36" s="109" t="str">
        <v>Input</v>
      </c>
      <c r="J36" s="114" t="str">
        <f>X_Cell_Pasture_PastureType</f>
        <v>Grass clover mixture</v>
      </c>
      <c r="N36" s="114" t="str">
        <v>p</v>
      </c>
      <c r="O36" s="118" t="str">
        <v>Pasture type</v>
      </c>
      <c r="P36" s="119"/>
      <c r="Q36" s="117"/>
      <c r="R36" s="114" t="str">
        <v/>
      </c>
      <c r="S36" s="109" t="str">
        <v>Input</v>
      </c>
      <c r="T36" s="114"/>
    </row>
    <row r="37" spans="4:20" ht="20.100000000000001" customHeight="1" x14ac:dyDescent="0.25">
      <c r="D37" s="114" t="str">
        <v>i</v>
      </c>
      <c r="E37" s="118" t="str">
        <v>Wet or dry climate zone</v>
      </c>
      <c r="F37" s="119"/>
      <c r="G37" s="117"/>
      <c r="H37" s="114" t="str">
        <v/>
      </c>
      <c r="I37" s="109" t="str">
        <v>Input</v>
      </c>
      <c r="J37" s="114" t="str">
        <f>X_Cell_Site_WetOrDryClimateZone</f>
        <v>Dry climate zone</v>
      </c>
      <c r="N37" s="114" t="str">
        <v>i</v>
      </c>
      <c r="O37" s="118" t="str">
        <v>Wet or dry climate zone</v>
      </c>
      <c r="P37" s="119"/>
      <c r="Q37" s="117"/>
      <c r="R37" s="114" t="str">
        <v/>
      </c>
      <c r="S37" s="109" t="str">
        <v>Input</v>
      </c>
      <c r="T37" s="114"/>
    </row>
    <row r="38" spans="4:20" ht="20.100000000000001" customHeight="1" x14ac:dyDescent="0.25"/>
    <row r="39" spans="4:20" ht="20.100000000000001" customHeight="1" x14ac:dyDescent="0.25"/>
    <row r="40" spans="4:20" ht="20.100000000000001" customHeight="1" x14ac:dyDescent="0.25">
      <c r="D40" s="91" t="s">
        <v>108</v>
      </c>
      <c r="E40" s="92" cm="1">
        <f t="array" ref="E40">AgResidue_Equations_PastureResidue.VEERG_6_2_1_1__1__NitrousOxideEmissionsFromPastureResidues(J33,J34,J35)</f>
        <v>5.8320428571428569E-7</v>
      </c>
      <c r="F40" s="93" t="str" cm="1">
        <f t="array" ref="F40">AgResidue_Equations_PastureResidue.VEERG_6_2_1_1__1__NitrousOxideEmissionsFromPastureResidues_Unit()</f>
        <v>t N2O</v>
      </c>
      <c r="N40" s="91" t="s">
        <v>108</v>
      </c>
      <c r="O40" s="92" cm="1">
        <f t="array" ref="O40">AgResidue_Equations_PastureResidue.VEERG_6_2_1_1__1__NitrousOxideEmissionsFromPastureResidues(T33,J34,J35)</f>
        <v>5.8320428571428569E-7</v>
      </c>
      <c r="P40" s="93" t="str" cm="1">
        <f t="array" ref="P40">AgResidue_Equations_PastureResidue.VEERG_6_2_1_1__1__NitrousOxideEmissionsFromPastureResidues_Unit()</f>
        <v>t N2O</v>
      </c>
    </row>
    <row r="41" spans="4:20" ht="20.100000000000001" customHeight="1" x14ac:dyDescent="0.25"/>
    <row r="42" spans="4:20" ht="20.100000000000001" customHeight="1" x14ac:dyDescent="0.25">
      <c r="D42" s="53" t="str" cm="1">
        <f t="array" ref="D42:E43">Common_Equations.Common_ConvertN2OToCO2e_Arguments()</f>
        <v>EN2O</v>
      </c>
      <c r="E42" s="54" t="str">
        <v>Nitrous oxide emissions (t N2O)</v>
      </c>
      <c r="F42" s="55"/>
      <c r="G42" s="53">
        <f>VEERG_6_2_1_1__1__NitrousOxideEmissionsFromPastureResidues_Result_Method1</f>
        <v>5.8320428571428569E-7</v>
      </c>
      <c r="N42" s="53" t="str" cm="1">
        <f t="array" ref="N42:O43">Common_Equations.Common_ConvertN2OToCO2e_Arguments()</f>
        <v>EN2O</v>
      </c>
      <c r="O42" s="54" t="str">
        <v>Nitrous oxide emissions (t N2O)</v>
      </c>
      <c r="P42" s="55"/>
      <c r="Q42" s="53">
        <f>VEERG_6_2_1_1__1__NitrousOxideEmissionsFromPastureResidues_Result_Method2</f>
        <v>5.8320428571428569E-7</v>
      </c>
    </row>
    <row r="43" spans="4:20" ht="20.100000000000001" customHeight="1" x14ac:dyDescent="0.25">
      <c r="D43" s="53" t="str">
        <v>GWPN2O</v>
      </c>
      <c r="E43" s="54" t="str">
        <v>Global warming potential for nitrous oxide (t CO2-e / t N2O)</v>
      </c>
      <c r="F43" s="55"/>
      <c r="G43" s="49">
        <f>Common_InputFunctions.Utility_LookupValueInTableNumber("N2O",Table_GWPData[Gas],Table_GWPData[CO2-e factor])</f>
        <v>265</v>
      </c>
      <c r="N43" s="53" t="str">
        <v>GWPN2O</v>
      </c>
      <c r="O43" s="54" t="str">
        <v>Global warming potential for nitrous oxide (t CO2-e / t N2O)</v>
      </c>
      <c r="P43" s="55"/>
      <c r="Q43" s="49">
        <f>Common_InputFunctions.Utility_LookupValueInTableNumber("N2O",Table_GWPData[Gas],Table_GWPData[CO2-e factor])</f>
        <v>265</v>
      </c>
    </row>
    <row r="44" spans="4:20" ht="20.100000000000001" customHeight="1" x14ac:dyDescent="0.25"/>
    <row r="45" spans="4:20" ht="20.100000000000001" customHeight="1" x14ac:dyDescent="0.25">
      <c r="D45" s="1" t="s">
        <v>187</v>
      </c>
      <c r="E45" s="1" cm="1">
        <f t="array" ref="E45">Common_Equations.Common_ConvertN2OToCO2e(G42,G43)</f>
        <v>1.545491357142857E-4</v>
      </c>
      <c r="F45" s="51" t="str" cm="1">
        <f t="array" ref="F45">Common_Equations.Common_ConvertN2OToCO2e_Unit()</f>
        <v>t CO2e</v>
      </c>
      <c r="N45" s="1" t="s">
        <v>187</v>
      </c>
      <c r="O45" s="1" cm="1">
        <f t="array" ref="O45">Common_Equations.Common_ConvertN2OToCO2e(Q42,Q43)</f>
        <v>1.545491357142857E-4</v>
      </c>
      <c r="P45" s="51" t="str" cm="1">
        <f t="array" ref="P45">Common_Equations.Common_ConvertN2OToCO2e_Unit()</f>
        <v>t CO2e</v>
      </c>
    </row>
    <row r="46" spans="4:20" ht="20.100000000000001" customHeight="1" x14ac:dyDescent="0.25"/>
    <row r="47" spans="4:20" ht="20.100000000000001" customHeight="1" x14ac:dyDescent="0.25"/>
    <row r="48" spans="4: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T165"/>
  <sheetViews>
    <sheetView showGridLines="0" topLeftCell="B1"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197</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5">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5">
      <c r="C7" s="21"/>
      <c r="D7" s="13" t="s">
        <v>21</v>
      </c>
      <c r="E7" s="13" t="str" cm="1">
        <f t="array" aca="1" ref="E7" ca="1">Common_InputFunctions.Utility_DisplayFunctionName(I24)</f>
        <v>=AgResidue_Equations_Leaching.VEERG_6_3_1_1__2__MassOfNitrogenLostThroughLeachingAndRunoff</v>
      </c>
      <c r="F7" s="13"/>
      <c r="G7" s="21"/>
      <c r="H7" s="21"/>
      <c r="I7" s="21"/>
      <c r="J7" s="21"/>
      <c r="K7" s="21"/>
    </row>
    <row r="8" spans="1:20" ht="20.100000000000001" customHeight="1" x14ac:dyDescent="0.25">
      <c r="A8" s="19" t="s">
        <v>0</v>
      </c>
      <c r="C8" s="21"/>
      <c r="F8" s="21"/>
      <c r="G8" s="21"/>
      <c r="H8" s="21"/>
      <c r="I8" s="21"/>
      <c r="J8" s="21"/>
      <c r="K8" s="21"/>
    </row>
    <row r="9" spans="1:20" ht="20.100000000000001" customHeight="1" x14ac:dyDescent="0.25">
      <c r="A9" s="17" t="str">
        <f>HYPERLINK("#'Input - Site'!A1", "Site")</f>
        <v>Site</v>
      </c>
      <c r="C9" s="21"/>
      <c r="D9" s="21"/>
      <c r="E9" s="21"/>
      <c r="F9" s="21"/>
      <c r="G9" s="21"/>
      <c r="H9" s="21"/>
      <c r="I9" s="21"/>
      <c r="J9" s="21"/>
      <c r="K9" s="21"/>
    </row>
    <row r="10" spans="1:20" ht="20.100000000000001" customHeight="1" x14ac:dyDescent="0.25">
      <c r="A10" s="17" t="str">
        <f>HYPERLINK("#'Input - Crop'!A1", "Crop")</f>
        <v>Crop</v>
      </c>
      <c r="C10" s="21"/>
      <c r="D10" s="25" t="s">
        <v>24</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5">
      <c r="A11" s="17" t="str">
        <f>HYPERLINK("#'Input - Pasture'!A1", "Pasture")</f>
        <v>Pasture</v>
      </c>
      <c r="C11" s="21"/>
      <c r="D11" s="25" t="s">
        <v>15</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5">
      <c r="C12" s="21"/>
      <c r="D12" s="21"/>
      <c r="E12" s="21"/>
      <c r="F12" s="21"/>
      <c r="G12" s="21"/>
      <c r="H12" s="21"/>
      <c r="I12" s="21"/>
      <c r="J12" s="21"/>
      <c r="K12" s="21"/>
    </row>
    <row r="13" spans="1:20" ht="20.100000000000001" customHeight="1" x14ac:dyDescent="0.25">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5">
      <c r="A14" s="18" t="s">
        <v>68</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5">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5">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5">
      <c r="A17" s="127" t="str">
        <f>HYPERLINK("#'6.3.1.1-2 Leaching and runoff'!A1", "6.3.1.1-2 Leaching and runoff")</f>
        <v>6.3.1.1-2 Leaching and runoff</v>
      </c>
      <c r="C17" s="21"/>
      <c r="D17" s="114" t="str">
        <v>c</v>
      </c>
      <c r="E17" s="118" t="str">
        <v>Crop residue type</v>
      </c>
      <c r="F17" s="119"/>
      <c r="G17" s="117"/>
      <c r="H17" s="114" t="str">
        <v/>
      </c>
      <c r="I17" s="109" t="str">
        <v>Input</v>
      </c>
      <c r="J17" s="114" t="str">
        <f>X_Cell_Crop_CropType</f>
        <v>Wheat</v>
      </c>
      <c r="K17" s="21"/>
    </row>
    <row r="18" spans="1:20" ht="20.100000000000001" customHeight="1" x14ac:dyDescent="0.25">
      <c r="A18" s="17" t="str">
        <f>HYPERLINK("#'6.3.1.1-2 Leach runoff crop'!A1", "6.3.1.1-2 Leach runoff crop")</f>
        <v>6.3.1.1-2 Leach runoff crop</v>
      </c>
      <c r="C18" s="21"/>
      <c r="D18" s="114" t="str">
        <v>p</v>
      </c>
      <c r="E18" s="118" t="str">
        <v>Pasture residue type</v>
      </c>
      <c r="F18" s="119"/>
      <c r="G18" s="117"/>
      <c r="H18" s="114" t="str">
        <v/>
      </c>
      <c r="I18" s="109" t="str">
        <v>Input</v>
      </c>
      <c r="J18" s="114" t="str">
        <f>X_Cell_Pasture_PastureType</f>
        <v>Grass clover mixture</v>
      </c>
      <c r="K18" s="21"/>
    </row>
    <row r="19" spans="1:20" ht="20.100000000000001" customHeight="1" x14ac:dyDescent="0.25">
      <c r="A19" s="1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5">
      <c r="A20" s="17" t="str">
        <f>HYPERLINK("#'6.4.1.1-2 Residue burning'!A1", "6.4.1.1-2 Residue burning")</f>
        <v>6.4.1.1-2 Residue burning</v>
      </c>
      <c r="C20" s="21"/>
      <c r="D20" s="21"/>
      <c r="E20" s="21"/>
      <c r="F20" s="21"/>
      <c r="G20" s="21"/>
      <c r="H20" s="21"/>
      <c r="I20" s="21"/>
      <c r="J20" s="21"/>
      <c r="K20" s="21"/>
    </row>
    <row r="21" spans="1:20" ht="20.100000000000001" customHeight="1" x14ac:dyDescent="0.25">
      <c r="C21" s="21"/>
      <c r="D21" s="90" t="s">
        <v>207</v>
      </c>
      <c r="E21" s="21"/>
      <c r="F21" s="21"/>
      <c r="G21" s="21"/>
      <c r="H21" s="21"/>
      <c r="I21" s="21"/>
      <c r="J21" s="21"/>
      <c r="K21" s="21"/>
      <c r="N21" s="90" t="s">
        <v>232</v>
      </c>
      <c r="O21" s="21"/>
      <c r="P21" s="21"/>
      <c r="Q21" s="21"/>
      <c r="R21" s="21"/>
      <c r="S21" s="21"/>
    </row>
    <row r="22" spans="1:20" ht="20.100000000000001" customHeight="1" x14ac:dyDescent="0.25">
      <c r="C22" s="21"/>
      <c r="D22" s="89" t="s">
        <v>208</v>
      </c>
      <c r="E22" s="21"/>
      <c r="F22" s="21"/>
      <c r="G22" s="21"/>
      <c r="H22" s="21"/>
      <c r="I22" s="21"/>
      <c r="J22" s="21"/>
      <c r="K22" s="21"/>
      <c r="N22" s="89" t="s">
        <v>233</v>
      </c>
      <c r="O22" s="21"/>
      <c r="P22" s="21"/>
      <c r="Q22" s="21"/>
      <c r="R22" s="21"/>
      <c r="S22" s="21"/>
    </row>
    <row r="23" spans="1:20" ht="20.100000000000001" customHeight="1" x14ac:dyDescent="0.25">
      <c r="A23" s="141" t="s">
        <v>1</v>
      </c>
      <c r="C23" s="21"/>
      <c r="D23" s="107" t="s">
        <v>201</v>
      </c>
      <c r="E23" s="48" t="s">
        <v>203</v>
      </c>
      <c r="F23" s="107" t="s">
        <v>205</v>
      </c>
      <c r="G23" s="107" t="s">
        <v>6</v>
      </c>
      <c r="H23" s="48" t="s">
        <v>202</v>
      </c>
      <c r="I23" s="48" t="s">
        <v>204</v>
      </c>
      <c r="J23" s="21"/>
      <c r="K23" s="21"/>
      <c r="N23" s="107" t="s">
        <v>201</v>
      </c>
      <c r="O23" s="48" t="s">
        <v>203</v>
      </c>
      <c r="P23" s="107" t="s">
        <v>205</v>
      </c>
      <c r="Q23" s="107" t="s">
        <v>6</v>
      </c>
      <c r="R23" s="48" t="s">
        <v>202</v>
      </c>
      <c r="S23" s="48" t="s">
        <v>204</v>
      </c>
    </row>
    <row r="24" spans="1:20" ht="20.100000000000001" customHeight="1" x14ac:dyDescent="0.25">
      <c r="A24" s="17" t="str">
        <f>HYPERLINK("#'Constants - Ag Residue'!A1", "Constants - Ag Residue")</f>
        <v>Constants - Ag Residue</v>
      </c>
      <c r="D24" s="49" t="s">
        <v>199</v>
      </c>
      <c r="E24" s="49">
        <f>'6.1.1.1-2 Crop residue N2O'!$E$24</f>
        <v>2975.2799999999997</v>
      </c>
      <c r="F24" s="49" t="str">
        <f>X_Cell_Crop_IrrigationMethod</f>
        <v>Sprinkler irrigation</v>
      </c>
      <c r="G24" s="49" t="str">
        <f>X_Cell_Site_LeachingZone</f>
        <v>NO - Not in leaching zone</v>
      </c>
      <c r="H24" s="49">
        <f>CommonCropping_InputFunctions.CommonCropping_GetFracWET(G24,F24,#REF!,#REF!, Table_SourceData_FracWETIrrigation[Irrigation type i],Table_SourceData_FracWETIrrigation[FracWET])</f>
        <v>1</v>
      </c>
      <c r="I24" s="49" cm="1">
        <f t="array" ref="I24">AgResidue_Equations_Leaching.VEERG_6_3_1_1__2__MassOfNitrogenLostThroughLeachingAndRunoff(E24,H24,$J$15)</f>
        <v>714.06719999999996</v>
      </c>
      <c r="N24" s="49"/>
      <c r="O24" s="49">
        <f>'6.1.1.1-2 Crop residue N2O'!$N$59</f>
        <v>2975.2799999999997</v>
      </c>
      <c r="P24" s="49"/>
      <c r="Q24" s="49"/>
      <c r="R24" s="49"/>
      <c r="S24" s="49" cm="1">
        <f t="array" ref="S24">AgResidue_Equations_Leaching.VEERG_6_3_1_1__2__MassOfNitrogenLostThroughLeachingAndRunoff(O24,H24,$J$15)</f>
        <v>714.06719999999996</v>
      </c>
    </row>
    <row r="25" spans="1:20" ht="20.100000000000001" customHeight="1" x14ac:dyDescent="0.25">
      <c r="A25" s="17" t="str">
        <f>HYPERLINK("#'Constants - Common'!A1", "Constants - Common")</f>
        <v>Constants - Common</v>
      </c>
      <c r="D25" s="49" t="s">
        <v>200</v>
      </c>
      <c r="E25" s="49">
        <f>'6.2.1.1-2 Pasture residue N2O'!$E$21</f>
        <v>7.4226E-2</v>
      </c>
      <c r="F25" s="49" t="str">
        <f>X_Cell_Pasture_IrrigationMethod</f>
        <v>Surface irrigation</v>
      </c>
      <c r="G25" s="49" t="str">
        <f>X_Cell_Site_LeachingZone</f>
        <v>NO - Not in leaching zone</v>
      </c>
      <c r="H25" s="49">
        <f>CommonCropping_InputFunctions.CommonCropping_GetFracWET(G25,F25,#REF!,#REF!, Table_SourceData_FracWETIrrigation[Irrigation type i],Table_SourceData_FracWETIrrigation[FracWET])</f>
        <v>1</v>
      </c>
      <c r="I25" s="49" cm="1">
        <f t="array" ref="I25">AgResidue_Equations_Leaching.VEERG_6_3_1_1__2__MassOfNitrogenLostThroughLeachingAndRunoff(E25,H25,$J$15)</f>
        <v>1.7814239999999999E-2</v>
      </c>
      <c r="N25" s="49"/>
      <c r="O25" s="49">
        <f>'6.2.1.1-2 Pasture residue N2O'!$O$21</f>
        <v>7.4226E-2</v>
      </c>
      <c r="P25" s="49"/>
      <c r="Q25" s="49"/>
      <c r="R25" s="49"/>
      <c r="S25" s="49"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3"/>
      <c r="D27" s="133"/>
      <c r="E27" s="133"/>
      <c r="F27" s="133"/>
      <c r="G27" s="133"/>
      <c r="H27" s="133"/>
      <c r="I27" s="133"/>
      <c r="J27" s="133"/>
      <c r="K27" s="133"/>
      <c r="M27" s="133"/>
      <c r="N27" s="133"/>
      <c r="O27" s="133"/>
      <c r="P27" s="133"/>
      <c r="Q27" s="133"/>
      <c r="R27" s="133"/>
      <c r="S27" s="133"/>
      <c r="T27" s="133"/>
    </row>
    <row r="28" spans="1:20" ht="20.100000000000001" customHeight="1" x14ac:dyDescent="0.25">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5">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5">
      <c r="C30" s="21"/>
      <c r="D30" s="13" t="s">
        <v>21</v>
      </c>
      <c r="E30" s="13" t="str" cm="1">
        <f t="array" aca="1" ref="E30" ca="1">Common_InputFunctions.Utility_DisplayFunctionName(E45)</f>
        <v>=AgResidue_Equations_Leaching.VEERG_6_3_1_1__1__LeachingAndRunoffEmissionsCropAndPastureResidue</v>
      </c>
      <c r="F30" s="21"/>
      <c r="G30" s="21"/>
      <c r="H30" s="21"/>
      <c r="I30" s="21"/>
      <c r="J30" s="21"/>
      <c r="K30" s="21"/>
    </row>
    <row r="31" spans="1:20" ht="20.100000000000001" customHeight="1" x14ac:dyDescent="0.25">
      <c r="C31" s="21"/>
      <c r="D31" s="21"/>
      <c r="E31" s="21"/>
      <c r="F31" s="21"/>
      <c r="G31" s="21"/>
      <c r="H31" s="21"/>
      <c r="I31" s="21"/>
      <c r="J31" s="21"/>
      <c r="K31" s="21"/>
    </row>
    <row r="32" spans="1:20" ht="20.100000000000001" customHeight="1" x14ac:dyDescent="0.25">
      <c r="C32" s="21"/>
      <c r="D32" s="21"/>
      <c r="E32" s="21"/>
      <c r="F32" s="5"/>
      <c r="G32" s="21"/>
      <c r="H32" s="21"/>
      <c r="I32" s="21"/>
      <c r="J32" s="21"/>
      <c r="K32" s="21"/>
    </row>
    <row r="33" spans="3:17" ht="20.100000000000001" customHeight="1" x14ac:dyDescent="0.25">
      <c r="C33" s="21"/>
      <c r="D33" s="25" t="s">
        <v>24</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5">
      <c r="C34" s="21"/>
      <c r="D34" s="25" t="s">
        <v>15</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5">
      <c r="C35" s="21"/>
      <c r="D35" s="21"/>
      <c r="E35" s="21"/>
      <c r="F35" s="21"/>
      <c r="G35" s="21"/>
      <c r="H35" s="21"/>
      <c r="I35" s="21"/>
      <c r="J35" s="21"/>
      <c r="K35" s="21"/>
    </row>
    <row r="36" spans="3:17" ht="20.100000000000001" customHeight="1" x14ac:dyDescent="0.25">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5">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5">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5">
      <c r="C39" s="21"/>
      <c r="D39" s="114" t="str">
        <v>c</v>
      </c>
      <c r="E39" s="118" t="str">
        <v>Crop residue type</v>
      </c>
      <c r="F39" s="119"/>
      <c r="G39" s="117"/>
      <c r="H39" s="114" t="str">
        <v/>
      </c>
      <c r="I39" s="109" t="str">
        <v>Input</v>
      </c>
      <c r="J39" s="114" t="str">
        <f>X_Cell_Crop_CropType</f>
        <v>Wheat</v>
      </c>
      <c r="K39" s="21"/>
    </row>
    <row r="40" spans="3:17" ht="20.100000000000001" customHeight="1" x14ac:dyDescent="0.25">
      <c r="C40" s="21"/>
      <c r="D40" s="114" t="str">
        <v>p</v>
      </c>
      <c r="E40" s="118" t="str">
        <v>Pasture residue type</v>
      </c>
      <c r="F40" s="119"/>
      <c r="G40" s="117"/>
      <c r="H40" s="114" t="str">
        <v/>
      </c>
      <c r="I40" s="109" t="str">
        <v>Input</v>
      </c>
      <c r="J40" s="114" t="str">
        <f>X_Cell_Pasture_PastureType</f>
        <v>Grass clover mixture</v>
      </c>
      <c r="K40" s="21"/>
    </row>
    <row r="41" spans="3:17" ht="20.100000000000001" customHeight="1" x14ac:dyDescent="0.25">
      <c r="C41" s="21"/>
      <c r="D41" s="21"/>
      <c r="E41" s="21"/>
      <c r="F41" s="21"/>
      <c r="G41" s="21"/>
      <c r="H41" s="21"/>
      <c r="I41" s="21"/>
      <c r="J41" s="21"/>
      <c r="K41" s="21"/>
    </row>
    <row r="42" spans="3:17" ht="20.100000000000001" customHeight="1" x14ac:dyDescent="0.25">
      <c r="C42" s="21"/>
      <c r="D42" s="90" t="s">
        <v>209</v>
      </c>
      <c r="E42" s="21"/>
      <c r="F42" s="21"/>
      <c r="G42" s="21"/>
      <c r="H42" s="21"/>
      <c r="I42" s="21"/>
      <c r="J42" s="21"/>
      <c r="K42" s="21"/>
      <c r="N42" s="90" t="s">
        <v>209</v>
      </c>
      <c r="O42" s="21"/>
      <c r="P42" s="21"/>
      <c r="Q42" s="21"/>
    </row>
    <row r="43" spans="3:17" ht="20.100000000000001" customHeight="1" x14ac:dyDescent="0.25">
      <c r="C43" s="21"/>
      <c r="D43" s="89" t="s">
        <v>210</v>
      </c>
      <c r="E43" s="21"/>
      <c r="F43" s="21"/>
      <c r="G43" s="21"/>
      <c r="H43" s="21"/>
      <c r="I43" s="21"/>
      <c r="J43" s="21"/>
      <c r="K43" s="21"/>
      <c r="N43" s="89" t="s">
        <v>210</v>
      </c>
      <c r="O43" s="21"/>
      <c r="P43" s="21"/>
      <c r="Q43" s="21"/>
    </row>
    <row r="44" spans="3:17" ht="20.100000000000001" customHeight="1" x14ac:dyDescent="0.25">
      <c r="C44" s="21"/>
      <c r="D44" s="48" t="s">
        <v>204</v>
      </c>
      <c r="E44" s="48" t="s">
        <v>206</v>
      </c>
      <c r="F44" s="21"/>
      <c r="G44" s="21"/>
      <c r="H44" s="21"/>
      <c r="I44" s="21"/>
      <c r="J44" s="21"/>
      <c r="K44" s="21"/>
      <c r="N44" s="48" t="s">
        <v>204</v>
      </c>
      <c r="O44" s="48" t="s">
        <v>206</v>
      </c>
      <c r="P44" s="21"/>
      <c r="Q44" s="21"/>
    </row>
    <row r="45" spans="3:17" ht="20.100000000000001" customHeight="1" x14ac:dyDescent="0.25">
      <c r="C45" s="21"/>
      <c r="D45" s="49">
        <f>I24</f>
        <v>714.06719999999996</v>
      </c>
      <c r="E45" s="49" cm="1">
        <f t="array" ref="E45">AgResidue_Equations_Leaching.VEERG_6_3_1_1__1__LeachingAndRunoffEmissionsCropAndPastureResidue(D45,$J$37,$J$38)</f>
        <v>1.2343161599999999E-2</v>
      </c>
      <c r="F45" s="21"/>
      <c r="G45" s="21"/>
      <c r="H45" s="21"/>
      <c r="I45" s="21"/>
      <c r="J45" s="21"/>
      <c r="K45" s="21"/>
      <c r="N45" s="49">
        <f>S24</f>
        <v>714.06719999999996</v>
      </c>
      <c r="O45" s="49" cm="1">
        <f t="array" ref="O45">AgResidue_Equations_Leaching.VEERG_6_3_1_1__1__LeachingAndRunoffEmissionsCropAndPastureResidue(N45,$J$37,$J$38)</f>
        <v>1.2343161599999999E-2</v>
      </c>
      <c r="P45" s="21"/>
      <c r="Q45" s="21"/>
    </row>
    <row r="46" spans="3:17" ht="20.100000000000001" customHeight="1" x14ac:dyDescent="0.25">
      <c r="C46" s="21"/>
      <c r="D46" s="49">
        <f>I25</f>
        <v>1.7814239999999999E-2</v>
      </c>
      <c r="E46" s="49" cm="1">
        <f t="array" ref="E46">AgResidue_Equations_Leaching.VEERG_6_3_1_1__1__LeachingAndRunoffEmissionsCropAndPastureResidue(D46,$J$37,$J$38)</f>
        <v>3.0793186285714277E-7</v>
      </c>
      <c r="F46" s="21"/>
      <c r="G46" s="21"/>
      <c r="H46" s="21"/>
      <c r="I46" s="21"/>
      <c r="J46" s="21"/>
      <c r="K46" s="21"/>
      <c r="N46" s="49">
        <f>S25</f>
        <v>1.7814239999999999E-2</v>
      </c>
      <c r="O46" s="49" cm="1">
        <f t="array" ref="O46">AgResidue_Equations_Leaching.VEERG_6_3_1_1__1__LeachingAndRunoffEmissionsCropAndPastureResidue(N46,$J$37,$J$38)</f>
        <v>3.0793186285714277E-7</v>
      </c>
      <c r="P46" s="21"/>
      <c r="Q46" s="21"/>
    </row>
    <row r="47" spans="3:17" ht="20.100000000000001" customHeight="1" x14ac:dyDescent="0.25">
      <c r="C47" s="21"/>
      <c r="F47" s="21"/>
      <c r="G47" s="21"/>
      <c r="H47" s="21"/>
      <c r="I47" s="21"/>
      <c r="J47" s="21"/>
      <c r="K47" s="21"/>
      <c r="P47" s="21"/>
      <c r="Q47" s="21"/>
    </row>
    <row r="48" spans="3:17" ht="20.100000000000001" customHeight="1" x14ac:dyDescent="0.4">
      <c r="C48" s="21"/>
      <c r="D48" s="138" t="s">
        <v>198</v>
      </c>
      <c r="E48" s="139">
        <f>SUM(E45:E46)</f>
        <v>1.2343469531862857E-2</v>
      </c>
      <c r="F48" s="93" t="str">
        <f>$E$34</f>
        <v>t N2O</v>
      </c>
      <c r="G48" s="21"/>
      <c r="H48" s="21"/>
      <c r="I48" s="21"/>
      <c r="J48" s="21"/>
      <c r="K48" s="21"/>
      <c r="N48" s="138" t="s">
        <v>198</v>
      </c>
      <c r="O48" s="139">
        <f>SUM(O45:O46)</f>
        <v>1.2343469531862857E-2</v>
      </c>
      <c r="P48" s="93" t="str">
        <f>$E$34</f>
        <v>t N2O</v>
      </c>
      <c r="Q48" s="21"/>
    </row>
    <row r="49" spans="4:17" ht="20.100000000000001" customHeight="1" x14ac:dyDescent="0.25">
      <c r="D49" s="21"/>
      <c r="E49" s="21"/>
      <c r="F49" s="21"/>
      <c r="G49" s="21"/>
      <c r="N49" s="21"/>
      <c r="O49" s="21"/>
      <c r="P49" s="21"/>
      <c r="Q49" s="21"/>
    </row>
    <row r="50" spans="4:17" ht="20.100000000000001" customHeight="1" x14ac:dyDescent="0.25">
      <c r="D50" s="53" t="str" cm="1">
        <f t="array" ref="D50:E51">Common_Equations.Common_ConvertN2OToCO2e_Arguments()</f>
        <v>EN2O</v>
      </c>
      <c r="E50" s="54" t="str">
        <v>Nitrous oxide emissions (t N2O)</v>
      </c>
      <c r="F50" s="94"/>
      <c r="G50" s="49">
        <f>VEERG_6_3_1_1__1__LeachingAndRunoffEmissionsCropAndPastureResidue_Result_Method1</f>
        <v>1.2343469531862857E-2</v>
      </c>
      <c r="N50" s="53" t="str" cm="1">
        <f t="array" ref="N50:O51">Common_Equations.Common_ConvertN2OToCO2e_Arguments()</f>
        <v>EN2O</v>
      </c>
      <c r="O50" s="54" t="str">
        <v>Nitrous oxide emissions (t N2O)</v>
      </c>
      <c r="P50" s="94"/>
      <c r="Q50" s="49">
        <f>VEERG_6_3_1_1__1__LeachingAndRunoffEmissionsCropAndPastureResidue_Result_Method2</f>
        <v>1.2343469531862857E-2</v>
      </c>
    </row>
    <row r="51" spans="4:17" ht="20.100000000000001" customHeight="1" x14ac:dyDescent="0.25">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5">
      <c r="H52" s="21"/>
      <c r="I52" s="21"/>
    </row>
    <row r="53" spans="4:17" ht="20.100000000000001" customHeight="1" x14ac:dyDescent="0.25">
      <c r="D53" s="43" t="s">
        <v>78</v>
      </c>
      <c r="E53" s="43" cm="1">
        <f t="array" ref="E53">Common_Equations.Common_ConvertN2OToCO2e(G50,G51)</f>
        <v>3.2710194259436571</v>
      </c>
      <c r="F53" s="95" t="str" cm="1">
        <f t="array" ref="F53">Common_Equations.Common_ConvertN2OToCO2e_Unit()</f>
        <v>t CO2e</v>
      </c>
      <c r="I53" s="21"/>
      <c r="N53" s="43" t="s">
        <v>78</v>
      </c>
      <c r="O53" s="43" cm="1">
        <f t="array" ref="O53">Common_Equations.Common_ConvertN2OToCO2e(Q50,Q51)</f>
        <v>3.2710194259436571</v>
      </c>
      <c r="P53" s="95" t="str" cm="1">
        <f t="array" ref="P53">Common_Equations.Common_ConvertN2OToCO2e_Unit()</f>
        <v>t CO2e</v>
      </c>
    </row>
    <row r="54" spans="4:17" ht="20.100000000000001" customHeight="1" x14ac:dyDescent="0.25">
      <c r="I54" s="21"/>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21"/>
      <c r="I60" s="21"/>
    </row>
    <row r="61" spans="4:17" ht="20.100000000000001" customHeight="1" x14ac:dyDescent="0.25">
      <c r="H61" s="21"/>
      <c r="I61" s="21"/>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07ED-6FF1-46ED-8CBD-6301F0771971}">
  <dimension ref="A1:T165"/>
  <sheetViews>
    <sheetView showGridLines="0" topLeftCell="A7"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236</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5">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5">
      <c r="C7" s="21"/>
      <c r="D7" s="13" t="s">
        <v>21</v>
      </c>
      <c r="E7" s="13" t="str" cm="1">
        <f t="array" aca="1" ref="E7" ca="1">Common_InputFunctions.Utility_DisplayFunctionName(I24)</f>
        <v>=AgResidue_Equations_Leaching.VEERG_6_3_1_1__2__MassOfNitrogenLostThroughLeachingAndRunoff</v>
      </c>
      <c r="F7" s="13"/>
      <c r="G7" s="21"/>
      <c r="H7" s="21"/>
      <c r="I7" s="21"/>
      <c r="J7" s="21"/>
      <c r="K7" s="21"/>
    </row>
    <row r="8" spans="1:20" ht="20.100000000000001" customHeight="1" x14ac:dyDescent="0.25">
      <c r="A8" s="19" t="s">
        <v>0</v>
      </c>
      <c r="C8" s="21"/>
      <c r="F8" s="21"/>
      <c r="G8" s="21"/>
      <c r="H8" s="21"/>
      <c r="I8" s="21"/>
      <c r="J8" s="21"/>
      <c r="K8" s="21"/>
    </row>
    <row r="9" spans="1:20" ht="20.100000000000001" customHeight="1" x14ac:dyDescent="0.25">
      <c r="A9" s="17" t="str">
        <f>HYPERLINK("#'Input - Site'!A1", "Site")</f>
        <v>Site</v>
      </c>
      <c r="C9" s="21"/>
      <c r="D9" s="21"/>
      <c r="E9" s="21"/>
      <c r="F9" s="21"/>
      <c r="G9" s="21"/>
      <c r="H9" s="21"/>
      <c r="I9" s="21"/>
      <c r="J9" s="21"/>
      <c r="K9" s="21"/>
    </row>
    <row r="10" spans="1:20" ht="20.100000000000001" customHeight="1" x14ac:dyDescent="0.25">
      <c r="A10" s="17" t="str">
        <f>HYPERLINK("#'Input - Crop'!A1", "Crop")</f>
        <v>Crop</v>
      </c>
      <c r="C10" s="21"/>
      <c r="D10" s="25" t="s">
        <v>24</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5">
      <c r="A11" s="17" t="str">
        <f>HYPERLINK("#'Input - Pasture'!A1", "Pasture")</f>
        <v>Pasture</v>
      </c>
      <c r="C11" s="21"/>
      <c r="D11" s="25" t="s">
        <v>15</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5">
      <c r="C12" s="21"/>
      <c r="D12" s="21"/>
      <c r="E12" s="21"/>
      <c r="F12" s="21"/>
      <c r="G12" s="21"/>
      <c r="H12" s="21"/>
      <c r="I12" s="21"/>
      <c r="J12" s="21"/>
      <c r="K12" s="21"/>
    </row>
    <row r="13" spans="1:20" ht="20.100000000000001" customHeight="1" x14ac:dyDescent="0.25">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5">
      <c r="A14" s="18" t="s">
        <v>68</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5">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5">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5">
      <c r="A17" s="17" t="str">
        <f>HYPERLINK("#'6.3.1.1-2 Leaching and runoff'!A1", "6.3.1.1-2 Leaching and runoff")</f>
        <v>6.3.1.1-2 Leaching and runoff</v>
      </c>
      <c r="C17" s="21"/>
      <c r="D17" s="114" t="str">
        <v>c</v>
      </c>
      <c r="E17" s="118" t="str">
        <v>Crop residue type</v>
      </c>
      <c r="F17" s="119"/>
      <c r="G17" s="117"/>
      <c r="H17" s="114" t="str">
        <v/>
      </c>
      <c r="I17" s="109" t="str">
        <v>Input</v>
      </c>
      <c r="J17" s="114" t="str">
        <f>X_Cell_Crop_CropType</f>
        <v>Wheat</v>
      </c>
      <c r="K17" s="21"/>
    </row>
    <row r="18" spans="1:20" ht="20.100000000000001" customHeight="1" x14ac:dyDescent="0.25">
      <c r="A18" s="127" t="str">
        <f>HYPERLINK("#'6.3.1.1-2 Leach runoff crop'!A1", "6.3.1.1-2 Leach runoff crop")</f>
        <v>6.3.1.1-2 Leach runoff crop</v>
      </c>
      <c r="C18" s="21"/>
      <c r="D18" s="114" t="str">
        <v>p</v>
      </c>
      <c r="E18" s="118" t="str">
        <v>Pasture residue type</v>
      </c>
      <c r="F18" s="119"/>
      <c r="G18" s="117"/>
      <c r="H18" s="114" t="str">
        <v/>
      </c>
      <c r="I18" s="109" t="str">
        <v>Input</v>
      </c>
      <c r="J18" s="114" t="s">
        <v>235</v>
      </c>
      <c r="K18" s="21"/>
    </row>
    <row r="19" spans="1:20" ht="20.100000000000001" customHeight="1" x14ac:dyDescent="0.25">
      <c r="A19" s="1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5">
      <c r="A20" s="17" t="str">
        <f>HYPERLINK("#'6.4.1.1-2 Residue burning'!A1", "6.4.1.1-2 Residue burning")</f>
        <v>6.4.1.1-2 Residue burning</v>
      </c>
      <c r="C20" s="21"/>
      <c r="D20" s="21"/>
      <c r="E20" s="21"/>
      <c r="F20" s="21"/>
      <c r="G20" s="21"/>
      <c r="H20" s="21"/>
      <c r="I20" s="21"/>
      <c r="J20" s="21"/>
      <c r="K20" s="21"/>
    </row>
    <row r="21" spans="1:20" ht="20.100000000000001" customHeight="1" x14ac:dyDescent="0.25">
      <c r="C21" s="21"/>
      <c r="D21" s="90" t="s">
        <v>207</v>
      </c>
      <c r="E21" s="21"/>
      <c r="F21" s="21"/>
      <c r="G21" s="21"/>
      <c r="H21" s="21"/>
      <c r="I21" s="21"/>
      <c r="J21" s="21"/>
      <c r="K21" s="21"/>
      <c r="N21" s="90" t="s">
        <v>232</v>
      </c>
      <c r="O21" s="21"/>
      <c r="P21" s="21"/>
      <c r="Q21" s="21"/>
      <c r="R21" s="21"/>
      <c r="S21" s="21"/>
    </row>
    <row r="22" spans="1:20" ht="20.100000000000001" customHeight="1" x14ac:dyDescent="0.25">
      <c r="C22" s="21"/>
      <c r="D22" s="89" t="s">
        <v>208</v>
      </c>
      <c r="E22" s="21"/>
      <c r="F22" s="21"/>
      <c r="G22" s="21"/>
      <c r="H22" s="21"/>
      <c r="I22" s="21"/>
      <c r="J22" s="21"/>
      <c r="K22" s="21"/>
      <c r="N22" s="89" t="s">
        <v>233</v>
      </c>
      <c r="O22" s="21"/>
      <c r="P22" s="21"/>
      <c r="Q22" s="21"/>
      <c r="R22" s="21"/>
      <c r="S22" s="21"/>
    </row>
    <row r="23" spans="1:20" ht="20.100000000000001" customHeight="1" x14ac:dyDescent="0.25">
      <c r="A23" s="141" t="s">
        <v>1</v>
      </c>
      <c r="C23" s="21"/>
      <c r="D23" s="107" t="s">
        <v>201</v>
      </c>
      <c r="E23" s="48" t="s">
        <v>203</v>
      </c>
      <c r="F23" s="107" t="s">
        <v>205</v>
      </c>
      <c r="G23" s="107" t="s">
        <v>6</v>
      </c>
      <c r="H23" s="48" t="s">
        <v>202</v>
      </c>
      <c r="I23" s="48" t="s">
        <v>204</v>
      </c>
      <c r="J23" s="21"/>
      <c r="K23" s="21"/>
      <c r="N23" s="107" t="s">
        <v>201</v>
      </c>
      <c r="O23" s="48" t="s">
        <v>203</v>
      </c>
      <c r="P23" s="107" t="s">
        <v>205</v>
      </c>
      <c r="Q23" s="107" t="s">
        <v>6</v>
      </c>
      <c r="R23" s="48" t="s">
        <v>202</v>
      </c>
      <c r="S23" s="48" t="s">
        <v>204</v>
      </c>
    </row>
    <row r="24" spans="1:20" ht="20.100000000000001" customHeight="1" x14ac:dyDescent="0.25">
      <c r="A24" s="17" t="str">
        <f>HYPERLINK("#'Constants - Ag Residue'!A1", "Constants - Ag Residue")</f>
        <v>Constants - Ag Residue</v>
      </c>
      <c r="D24" s="49" t="s">
        <v>199</v>
      </c>
      <c r="E24" s="49">
        <f>'6.1.1.1-2 Crop residue N2O'!$E$24</f>
        <v>2975.2799999999997</v>
      </c>
      <c r="F24" s="49" t="str">
        <f>X_Cell_Crop_IrrigationMethod</f>
        <v>Sprinkler irrigation</v>
      </c>
      <c r="G24" s="49" t="str">
        <f>X_Cell_Site_LeachingZone</f>
        <v>NO - Not in leaching zone</v>
      </c>
      <c r="H24" s="49">
        <f>CommonCropping_InputFunctions.CommonCropping_GetFracWET(G24,F24,#REF!,#REF!, Table_SourceData_FracWETIrrigation[Irrigation type i],Table_SourceData_FracWETIrrigation[FracWET])</f>
        <v>1</v>
      </c>
      <c r="I24" s="49" cm="1">
        <f t="array" ref="I24">AgResidue_Equations_Leaching.VEERG_6_3_1_1__2__MassOfNitrogenLostThroughLeachingAndRunoff(E24,H24,$J$15)</f>
        <v>714.06719999999996</v>
      </c>
      <c r="N24" s="49"/>
      <c r="O24" s="49">
        <f>'6.1.1.1-2 Crop residue N2O'!$N$59</f>
        <v>2975.2799999999997</v>
      </c>
      <c r="P24" s="49"/>
      <c r="Q24" s="49"/>
      <c r="R24" s="49"/>
      <c r="S24" s="49" cm="1">
        <f t="array" ref="S24">AgResidue_Equations_Leaching.VEERG_6_3_1_1__2__MassOfNitrogenLostThroughLeachingAndRunoff(O24,H24,$J$15)</f>
        <v>714.06719999999996</v>
      </c>
    </row>
    <row r="25" spans="1:20" ht="20.100000000000001" customHeight="1" x14ac:dyDescent="0.25">
      <c r="A25" s="17" t="str">
        <f>HYPERLINK("#'Constants - Common'!A1", "Constants - Common")</f>
        <v>Constants - Common</v>
      </c>
      <c r="D25" s="49" t="s">
        <v>200</v>
      </c>
      <c r="E25" s="49" t="s">
        <v>235</v>
      </c>
      <c r="F25" s="49" t="s">
        <v>235</v>
      </c>
      <c r="G25" s="49" t="s">
        <v>235</v>
      </c>
      <c r="H25" s="49" t="s">
        <v>235</v>
      </c>
      <c r="I25" s="49" t="s">
        <v>235</v>
      </c>
      <c r="N25" s="49"/>
      <c r="O25" s="49" t="s">
        <v>235</v>
      </c>
      <c r="P25" s="49"/>
      <c r="Q25" s="49"/>
      <c r="R25" s="49"/>
      <c r="S25" s="49" t="s">
        <v>235</v>
      </c>
    </row>
    <row r="26" spans="1:20" ht="20.100000000000001" customHeight="1" x14ac:dyDescent="0.25"/>
    <row r="27" spans="1:20" ht="20.100000000000001" customHeight="1" x14ac:dyDescent="0.25">
      <c r="C27" s="133"/>
      <c r="D27" s="133"/>
      <c r="E27" s="133"/>
      <c r="F27" s="133"/>
      <c r="G27" s="133"/>
      <c r="H27" s="133"/>
      <c r="I27" s="133"/>
      <c r="J27" s="133"/>
      <c r="K27" s="133"/>
      <c r="M27" s="133"/>
      <c r="N27" s="133"/>
      <c r="O27" s="133"/>
      <c r="P27" s="133"/>
      <c r="Q27" s="133"/>
      <c r="R27" s="133"/>
      <c r="S27" s="133"/>
      <c r="T27" s="133"/>
    </row>
    <row r="28" spans="1:20" ht="20.100000000000001" customHeight="1" x14ac:dyDescent="0.25">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5">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5">
      <c r="C30" s="21"/>
      <c r="D30" s="13" t="s">
        <v>21</v>
      </c>
      <c r="E30" s="13" t="str" cm="1">
        <f t="array" aca="1" ref="E30" ca="1">Common_InputFunctions.Utility_DisplayFunctionName(E45)</f>
        <v>=AgResidue_Equations_Leaching.VEERG_6_3_1_1__1__LeachingAndRunoffEmissionsCropAndPastureResidue</v>
      </c>
      <c r="F30" s="21"/>
      <c r="G30" s="21"/>
      <c r="H30" s="21"/>
      <c r="I30" s="21"/>
      <c r="J30" s="21"/>
      <c r="K30" s="21"/>
    </row>
    <row r="31" spans="1:20" ht="20.100000000000001" customHeight="1" x14ac:dyDescent="0.25">
      <c r="C31" s="21"/>
      <c r="D31" s="21"/>
      <c r="E31" s="21"/>
      <c r="F31" s="21"/>
      <c r="G31" s="21"/>
      <c r="H31" s="21"/>
      <c r="I31" s="21"/>
      <c r="J31" s="21"/>
      <c r="K31" s="21"/>
    </row>
    <row r="32" spans="1:20" ht="20.100000000000001" customHeight="1" x14ac:dyDescent="0.25">
      <c r="C32" s="21"/>
      <c r="D32" s="21"/>
      <c r="E32" s="21"/>
      <c r="F32" s="5"/>
      <c r="G32" s="21"/>
      <c r="H32" s="21"/>
      <c r="I32" s="21"/>
      <c r="J32" s="21"/>
      <c r="K32" s="21"/>
    </row>
    <row r="33" spans="3:17" ht="20.100000000000001" customHeight="1" x14ac:dyDescent="0.25">
      <c r="C33" s="21"/>
      <c r="D33" s="25" t="s">
        <v>24</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5">
      <c r="C34" s="21"/>
      <c r="D34" s="25" t="s">
        <v>15</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5">
      <c r="C35" s="21"/>
      <c r="D35" s="21"/>
      <c r="E35" s="21"/>
      <c r="F35" s="21"/>
      <c r="G35" s="21"/>
      <c r="H35" s="21"/>
      <c r="I35" s="21"/>
      <c r="J35" s="21"/>
      <c r="K35" s="21"/>
    </row>
    <row r="36" spans="3:17" ht="20.100000000000001" customHeight="1" x14ac:dyDescent="0.25">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5">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5">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5">
      <c r="C39" s="21"/>
      <c r="D39" s="114" t="str">
        <v>c</v>
      </c>
      <c r="E39" s="118" t="str">
        <v>Crop residue type</v>
      </c>
      <c r="F39" s="119"/>
      <c r="G39" s="117"/>
      <c r="H39" s="114" t="str">
        <v/>
      </c>
      <c r="I39" s="109" t="str">
        <v>Input</v>
      </c>
      <c r="J39" s="114" t="str">
        <f>X_Cell_Crop_CropType</f>
        <v>Wheat</v>
      </c>
      <c r="K39" s="21"/>
    </row>
    <row r="40" spans="3:17" ht="20.100000000000001" customHeight="1" x14ac:dyDescent="0.25">
      <c r="C40" s="21"/>
      <c r="D40" s="114" t="str">
        <v>p</v>
      </c>
      <c r="E40" s="118" t="str">
        <v>Pasture residue type</v>
      </c>
      <c r="F40" s="119"/>
      <c r="G40" s="117"/>
      <c r="H40" s="114" t="str">
        <v/>
      </c>
      <c r="I40" s="109" t="str">
        <v>Input</v>
      </c>
      <c r="J40" s="114" t="s">
        <v>235</v>
      </c>
      <c r="K40" s="21"/>
    </row>
    <row r="41" spans="3:17" ht="20.100000000000001" customHeight="1" x14ac:dyDescent="0.25">
      <c r="C41" s="21"/>
      <c r="D41" s="21"/>
      <c r="E41" s="21"/>
      <c r="F41" s="21"/>
      <c r="G41" s="21"/>
      <c r="H41" s="21"/>
      <c r="I41" s="21"/>
      <c r="J41" s="21"/>
      <c r="K41" s="21"/>
    </row>
    <row r="42" spans="3:17" ht="20.100000000000001" customHeight="1" x14ac:dyDescent="0.25">
      <c r="C42" s="21"/>
      <c r="D42" s="90" t="s">
        <v>209</v>
      </c>
      <c r="E42" s="21"/>
      <c r="F42" s="21"/>
      <c r="G42" s="21"/>
      <c r="H42" s="21"/>
      <c r="I42" s="21"/>
      <c r="J42" s="21"/>
      <c r="K42" s="21"/>
      <c r="N42" s="90" t="s">
        <v>209</v>
      </c>
      <c r="O42" s="21"/>
      <c r="P42" s="21"/>
      <c r="Q42" s="21"/>
    </row>
    <row r="43" spans="3:17" ht="20.100000000000001" customHeight="1" x14ac:dyDescent="0.25">
      <c r="C43" s="21"/>
      <c r="D43" s="89" t="s">
        <v>210</v>
      </c>
      <c r="E43" s="21"/>
      <c r="F43" s="21"/>
      <c r="G43" s="21"/>
      <c r="H43" s="21"/>
      <c r="I43" s="21"/>
      <c r="J43" s="21"/>
      <c r="K43" s="21"/>
      <c r="N43" s="89" t="s">
        <v>210</v>
      </c>
      <c r="O43" s="21"/>
      <c r="P43" s="21"/>
      <c r="Q43" s="21"/>
    </row>
    <row r="44" spans="3:17" ht="20.100000000000001" customHeight="1" x14ac:dyDescent="0.25">
      <c r="C44" s="21"/>
      <c r="D44" s="48" t="s">
        <v>204</v>
      </c>
      <c r="E44" s="48" t="s">
        <v>206</v>
      </c>
      <c r="F44" s="21"/>
      <c r="G44" s="21"/>
      <c r="H44" s="21"/>
      <c r="I44" s="21"/>
      <c r="J44" s="21"/>
      <c r="K44" s="21"/>
      <c r="N44" s="48" t="s">
        <v>204</v>
      </c>
      <c r="O44" s="48" t="s">
        <v>206</v>
      </c>
      <c r="P44" s="21"/>
      <c r="Q44" s="21"/>
    </row>
    <row r="45" spans="3:17" ht="20.100000000000001" customHeight="1" x14ac:dyDescent="0.25">
      <c r="C45" s="21"/>
      <c r="D45" s="49">
        <f>I24</f>
        <v>714.06719999999996</v>
      </c>
      <c r="E45" s="49" cm="1">
        <f t="array" ref="E45">AgResidue_Equations_Leaching.VEERG_6_3_1_1__1__LeachingAndRunoffEmissionsCropAndPastureResidue(D45,$J$37,$J$38)</f>
        <v>1.2343161599999999E-2</v>
      </c>
      <c r="F45" s="21"/>
      <c r="G45" s="21"/>
      <c r="H45" s="21"/>
      <c r="I45" s="21"/>
      <c r="J45" s="21"/>
      <c r="K45" s="21"/>
      <c r="N45" s="49">
        <f>S24</f>
        <v>714.06719999999996</v>
      </c>
      <c r="O45" s="49" cm="1">
        <f t="array" ref="O45">AgResidue_Equations_Leaching.VEERG_6_3_1_1__1__LeachingAndRunoffEmissionsCropAndPastureResidue(N45,$J$37,$J$38)</f>
        <v>1.2343161599999999E-2</v>
      </c>
      <c r="P45" s="21"/>
      <c r="Q45" s="21"/>
    </row>
    <row r="46" spans="3:17" ht="20.100000000000001" customHeight="1" x14ac:dyDescent="0.25">
      <c r="C46" s="21"/>
      <c r="D46" s="49" t="str">
        <f>I25</f>
        <v>N/A</v>
      </c>
      <c r="E46" s="49" t="s">
        <v>235</v>
      </c>
      <c r="F46" s="21"/>
      <c r="G46" s="21"/>
      <c r="H46" s="21"/>
      <c r="I46" s="21"/>
      <c r="J46" s="21"/>
      <c r="K46" s="21"/>
      <c r="N46" s="49" t="str">
        <f>S25</f>
        <v>N/A</v>
      </c>
      <c r="O46" s="49" t="s">
        <v>235</v>
      </c>
      <c r="P46" s="21"/>
      <c r="Q46" s="21"/>
    </row>
    <row r="47" spans="3:17" ht="20.100000000000001" customHeight="1" x14ac:dyDescent="0.25">
      <c r="C47" s="21"/>
      <c r="F47" s="21"/>
      <c r="G47" s="21"/>
      <c r="H47" s="21"/>
      <c r="I47" s="21"/>
      <c r="J47" s="21"/>
      <c r="K47" s="21"/>
      <c r="P47" s="21"/>
      <c r="Q47" s="21"/>
    </row>
    <row r="48" spans="3:17" ht="20.100000000000001" customHeight="1" x14ac:dyDescent="0.4">
      <c r="C48" s="21"/>
      <c r="D48" s="138" t="s">
        <v>198</v>
      </c>
      <c r="E48" s="139">
        <f>SUM(E45:E46)</f>
        <v>1.2343161599999999E-2</v>
      </c>
      <c r="F48" s="93" t="str">
        <f>$E$34</f>
        <v>t N2O</v>
      </c>
      <c r="G48" s="21"/>
      <c r="H48" s="21"/>
      <c r="I48" s="21"/>
      <c r="J48" s="21"/>
      <c r="K48" s="21"/>
      <c r="N48" s="138" t="s">
        <v>198</v>
      </c>
      <c r="O48" s="139">
        <f>SUM(O45:O46)</f>
        <v>1.2343161599999999E-2</v>
      </c>
      <c r="P48" s="93" t="str">
        <f>$E$34</f>
        <v>t N2O</v>
      </c>
      <c r="Q48" s="21"/>
    </row>
    <row r="49" spans="4:17" ht="20.100000000000001" customHeight="1" x14ac:dyDescent="0.25">
      <c r="D49" s="21"/>
      <c r="E49" s="21"/>
      <c r="F49" s="21"/>
      <c r="G49" s="21"/>
      <c r="N49" s="21"/>
      <c r="O49" s="21"/>
      <c r="P49" s="21"/>
      <c r="Q49" s="21"/>
    </row>
    <row r="50" spans="4:17" ht="20.100000000000001" customHeight="1" x14ac:dyDescent="0.25">
      <c r="D50" s="53" t="str" cm="1">
        <f t="array" ref="D50:E51">Common_Equations.Common_ConvertN2OToCO2e_Arguments()</f>
        <v>EN2O</v>
      </c>
      <c r="E50" s="54" t="str">
        <v>Nitrous oxide emissions (t N2O)</v>
      </c>
      <c r="F50" s="94"/>
      <c r="G50" s="49">
        <f>VEERG_6_3_1_1__1__LeachingAndRunoffEmissionsCropAndPastureResidue_CropOnly_Result_Method1</f>
        <v>1.2343161599999999E-2</v>
      </c>
      <c r="N50" s="53" t="str" cm="1">
        <f t="array" ref="N50:O51">Common_Equations.Common_ConvertN2OToCO2e_Arguments()</f>
        <v>EN2O</v>
      </c>
      <c r="O50" s="54" t="str">
        <v>Nitrous oxide emissions (t N2O)</v>
      </c>
      <c r="P50" s="94"/>
      <c r="Q50" s="49">
        <f>VEERG_6_3_1_1__1__LeachingAndRunoffEmissionsCropAndPastureResidue_CropOnly_Result_Method2</f>
        <v>1.2343161599999999E-2</v>
      </c>
    </row>
    <row r="51" spans="4:17" ht="20.100000000000001" customHeight="1" x14ac:dyDescent="0.25">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5">
      <c r="H52" s="21"/>
      <c r="I52" s="21"/>
    </row>
    <row r="53" spans="4:17" ht="20.100000000000001" customHeight="1" x14ac:dyDescent="0.25">
      <c r="D53" s="43" t="s">
        <v>78</v>
      </c>
      <c r="E53" s="43" cm="1">
        <f t="array" ref="E53">Common_Equations.Common_ConvertN2OToCO2e(G50,G51)</f>
        <v>3.2709378239999998</v>
      </c>
      <c r="F53" s="95" t="str" cm="1">
        <f t="array" ref="F53">Common_Equations.Common_ConvertN2OToCO2e_Unit()</f>
        <v>t CO2e</v>
      </c>
      <c r="I53" s="21"/>
      <c r="N53" s="43" t="s">
        <v>78</v>
      </c>
      <c r="O53" s="43" cm="1">
        <f t="array" ref="O53">Common_Equations.Common_ConvertN2OToCO2e(Q50,Q51)</f>
        <v>3.2709378239999998</v>
      </c>
      <c r="P53" s="95" t="str" cm="1">
        <f t="array" ref="P53">Common_Equations.Common_ConvertN2OToCO2e_Unit()</f>
        <v>t CO2e</v>
      </c>
    </row>
    <row r="54" spans="4:17" ht="20.100000000000001" customHeight="1" x14ac:dyDescent="0.25">
      <c r="I54" s="21"/>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21"/>
      <c r="I60" s="21"/>
    </row>
    <row r="61" spans="4:17" ht="20.100000000000001" customHeight="1" x14ac:dyDescent="0.25">
      <c r="H61" s="21"/>
      <c r="I61" s="21"/>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3AE05-1BBC-4424-B700-D8DD789D95B7}">
  <dimension ref="A1:T165"/>
  <sheetViews>
    <sheetView showGridLines="0" topLeftCell="A2"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234</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1"/>
      <c r="D5" s="6" t="str" cm="1">
        <f t="array" ref="D5">AgResidue_Equations_Leaching.VEERG_6_3_1_1__2__MassOfNitrogenLostThroughLeachingAndRunoff_Title()</f>
        <v>Mass of nitrogen lost through leaching and runoff</v>
      </c>
      <c r="E5" s="21"/>
      <c r="F5" s="21"/>
      <c r="G5" s="21"/>
      <c r="H5" s="21"/>
      <c r="I5" s="21"/>
      <c r="J5" s="21"/>
      <c r="K5" s="21"/>
    </row>
    <row r="6" spans="1:20" ht="20.100000000000001" customHeight="1" x14ac:dyDescent="0.25">
      <c r="C6" s="21"/>
      <c r="D6" s="5" t="str" cm="1">
        <f t="array" ref="D6">AgResidue_Equations_Leaching.VEERG_6_3_1_1__2__MassOfNitrogenLostThroughLeachingAndRunoff_Source()</f>
        <v>VEERG 2026: 6.3.1.1, Equation (2)</v>
      </c>
      <c r="E6" s="21"/>
      <c r="F6" s="21"/>
      <c r="G6" s="21"/>
      <c r="H6" s="21"/>
      <c r="I6" s="21"/>
      <c r="J6" s="21"/>
      <c r="K6" s="21"/>
    </row>
    <row r="7" spans="1:20" ht="20.100000000000001" customHeight="1" x14ac:dyDescent="0.25">
      <c r="C7" s="21"/>
      <c r="D7" s="13" t="s">
        <v>21</v>
      </c>
      <c r="E7" s="13" t="str" cm="1">
        <f t="array" aca="1" ref="E7" ca="1">Common_InputFunctions.Utility_DisplayFunctionName(I25)</f>
        <v>=AgResidue_Equations_Leaching.VEERG_6_3_1_1__2__MassOfNitrogenLostThroughLeachingAndRunoff</v>
      </c>
      <c r="F7" s="13"/>
      <c r="G7" s="21"/>
      <c r="H7" s="21"/>
      <c r="I7" s="21"/>
      <c r="J7" s="21"/>
      <c r="K7" s="21"/>
    </row>
    <row r="8" spans="1:20" ht="20.100000000000001" customHeight="1" x14ac:dyDescent="0.25">
      <c r="A8" s="19" t="s">
        <v>0</v>
      </c>
      <c r="C8" s="21"/>
      <c r="F8" s="21"/>
      <c r="G8" s="21"/>
      <c r="H8" s="21"/>
      <c r="I8" s="21"/>
      <c r="J8" s="21"/>
      <c r="K8" s="21"/>
    </row>
    <row r="9" spans="1:20" ht="20.100000000000001" customHeight="1" x14ac:dyDescent="0.25">
      <c r="A9" s="17" t="str">
        <f>HYPERLINK("#'Input - Site'!A1", "Site")</f>
        <v>Site</v>
      </c>
      <c r="C9" s="21"/>
      <c r="D9" s="21"/>
      <c r="E9" s="21"/>
      <c r="F9" s="21"/>
      <c r="G9" s="21"/>
      <c r="H9" s="21"/>
      <c r="I9" s="21"/>
      <c r="J9" s="21"/>
      <c r="K9" s="21"/>
    </row>
    <row r="10" spans="1:20" ht="20.100000000000001" customHeight="1" x14ac:dyDescent="0.25">
      <c r="A10" s="17" t="str">
        <f>HYPERLINK("#'Input - Crop'!A1", "Crop")</f>
        <v>Crop</v>
      </c>
      <c r="C10" s="21"/>
      <c r="D10" s="25" t="s">
        <v>24</v>
      </c>
      <c r="E10" s="21" t="str" cm="1">
        <f t="array" ref="E10">AgResidue_Equations_Leaching.VEERG_6_3_1_1__2__MassOfNitrogenLostThroughLeachingAndRunoff_Variable()</f>
        <v>M_leachcp</v>
      </c>
      <c r="F10" s="21"/>
      <c r="G10" s="5"/>
      <c r="H10" s="21"/>
      <c r="I10" s="21"/>
      <c r="J10" s="21"/>
      <c r="K10" s="21"/>
    </row>
    <row r="11" spans="1:20" ht="20.100000000000001" customHeight="1" x14ac:dyDescent="0.25">
      <c r="A11" s="17" t="str">
        <f>HYPERLINK("#'Input - Pasture'!A1", "Pasture")</f>
        <v>Pasture</v>
      </c>
      <c r="C11" s="21"/>
      <c r="D11" s="25" t="s">
        <v>15</v>
      </c>
      <c r="E11" s="51" t="str" cm="1">
        <f t="array" ref="E11">AgResidue_Equations_Leaching.VEERG_6_3_1_1__2__MassOfNitrogenLostThroughLeachingAndRunoff_Unit()</f>
        <v>kg N</v>
      </c>
      <c r="F11" s="21"/>
      <c r="G11" s="21"/>
      <c r="H11" s="21"/>
      <c r="I11" s="21"/>
      <c r="J11" s="21"/>
      <c r="K11" s="21"/>
    </row>
    <row r="12" spans="1:20" ht="20.100000000000001" customHeight="1" x14ac:dyDescent="0.25">
      <c r="C12" s="21"/>
      <c r="D12" s="21"/>
      <c r="E12" s="21"/>
      <c r="F12" s="21"/>
      <c r="G12" s="21"/>
      <c r="H12" s="21"/>
      <c r="I12" s="21"/>
      <c r="J12" s="21"/>
      <c r="K12" s="21"/>
    </row>
    <row r="13" spans="1:20" ht="20.100000000000001" customHeight="1" x14ac:dyDescent="0.25">
      <c r="C13" s="21"/>
      <c r="D13" s="114" t="str" cm="1">
        <f t="array" ref="D13:E19">_xlfn.CHOOSECOLS(AgResidue_Equations_Leaching.VEERG_6_3_1_1__2__MassOfNitrogenLostThroughLeachingAndRunoff_Arguments(), 1,2)</f>
        <v>M_cp</v>
      </c>
      <c r="E13" s="118" t="str">
        <v>mass of nitrogen in crop residues c or pasture residues p applied to soils</v>
      </c>
      <c r="F13" s="119"/>
      <c r="G13" s="117"/>
      <c r="H13" s="114" t="str" cm="1">
        <f t="array" ref="H13:I19">_xlfn.CHOOSECOLS(AgResidue_Equations_Leaching.VEERG_6_3_1_1__2__MassOfNitrogenLostThroughLeachingAndRunoff_Arguments(), 3,4)</f>
        <v>kg N</v>
      </c>
      <c r="I13" s="108" t="str">
        <v>Calc from 6.1.1.1 (2) and 6.2.1.1 (2)</v>
      </c>
      <c r="J13" s="113" t="str" cm="1">
        <f t="array" aca="1" ref="J13" ca="1">HYPERLINK(Common_InputFunctions.Utility_SourceHyperlink($D$21), $D$21)</f>
        <v>M1_Table_M_leach_cp</v>
      </c>
      <c r="K13" s="21"/>
    </row>
    <row r="14" spans="1:20" ht="20.100000000000001" customHeight="1" x14ac:dyDescent="0.25">
      <c r="A14" s="18" t="s">
        <v>68</v>
      </c>
      <c r="C14" s="21"/>
      <c r="D14" s="114" t="str">
        <v>FracWET_j</v>
      </c>
      <c r="E14" s="118" t="str">
        <v>fraction of N that is available for leaching and runoff from the leaching zone z and irrigation type ir</v>
      </c>
      <c r="F14" s="119"/>
      <c r="G14" s="117"/>
      <c r="H14" s="114" t="str">
        <v>fraction</v>
      </c>
      <c r="I14" s="108" t="str">
        <v>Constant</v>
      </c>
      <c r="J14" s="113" t="str" cm="1">
        <f t="array" aca="1" ref="J14" ca="1">HYPERLINK(Common_InputFunctions.Utility_SourceHyperlink($D$21), $D$21)</f>
        <v>M1_Table_M_leach_cp</v>
      </c>
      <c r="K14" s="21"/>
    </row>
    <row r="15" spans="1:20" ht="20.100000000000001" customHeight="1" x14ac:dyDescent="0.25">
      <c r="A15" s="17" t="str">
        <f>HYPERLINK("#'6.1.1.1-2 Crop residue N2O'!A1", "6.1.1.1-2 Crop residue N2O")</f>
        <v>6.1.1.1-2 Crop residue N2O</v>
      </c>
      <c r="C15" s="21"/>
      <c r="D15" s="114" t="str">
        <v>FracLEACH</v>
      </c>
      <c r="E15" s="118" t="str">
        <v>fraction of N that is lost through leaching and runoff</v>
      </c>
      <c r="F15" s="119"/>
      <c r="G15" s="117"/>
      <c r="H15" s="114" t="str">
        <v>fraction</v>
      </c>
      <c r="I15" s="108" t="str">
        <v>Constant</v>
      </c>
      <c r="J15" s="114">
        <f>'Constants - Common'!$E$164</f>
        <v>0.24</v>
      </c>
      <c r="K15" s="21"/>
    </row>
    <row r="16" spans="1:20" ht="20.100000000000001" customHeight="1" x14ac:dyDescent="0.25">
      <c r="A16" s="17" t="str">
        <f>HYPERLINK("#'6.2.1.1-2 Pasture residue N2O'!A1", "6.2.1.1-2 Pasture residue N2O")</f>
        <v>6.2.1.1-2 Pasture residue N2O</v>
      </c>
      <c r="C16" s="21"/>
      <c r="D16" s="114" t="str">
        <v>z</v>
      </c>
      <c r="E16" s="118" t="str">
        <v>Location in leaching zone</v>
      </c>
      <c r="F16" s="119"/>
      <c r="G16" s="117"/>
      <c r="H16" s="114" t="str">
        <v/>
      </c>
      <c r="I16" s="109" t="str">
        <v>Input</v>
      </c>
      <c r="J16" s="113" t="str" cm="1">
        <f t="array" aca="1" ref="J16" ca="1">HYPERLINK(Common_InputFunctions.Utility_SourceHyperlink($D$21), $D$21)</f>
        <v>M1_Table_M_leach_cp</v>
      </c>
      <c r="K16" s="21"/>
    </row>
    <row r="17" spans="1:20" ht="20.100000000000001" customHeight="1" x14ac:dyDescent="0.25">
      <c r="A17" s="17" t="str">
        <f>HYPERLINK("#'6.3.1.1-2 Leaching and runoff'!A1", "6.3.1.1-2 Leaching and runoff")</f>
        <v>6.3.1.1-2 Leaching and runoff</v>
      </c>
      <c r="C17" s="21"/>
      <c r="D17" s="114" t="str">
        <v>c</v>
      </c>
      <c r="E17" s="118" t="str">
        <v>Crop residue type</v>
      </c>
      <c r="F17" s="119"/>
      <c r="G17" s="117"/>
      <c r="H17" s="114" t="str">
        <v/>
      </c>
      <c r="I17" s="109" t="str">
        <v>Input</v>
      </c>
      <c r="J17" s="114" t="s">
        <v>235</v>
      </c>
      <c r="K17" s="21"/>
    </row>
    <row r="18" spans="1:20" ht="20.100000000000001" customHeight="1" x14ac:dyDescent="0.25">
      <c r="A18" s="17" t="str">
        <f>HYPERLINK("#'6.3.1.1-2 Leach runoff crop'!A1", "6.3.1.1-2 Leach runoff crop")</f>
        <v>6.3.1.1-2 Leach runoff crop</v>
      </c>
      <c r="C18" s="21"/>
      <c r="D18" s="114" t="str">
        <v>p</v>
      </c>
      <c r="E18" s="118" t="str">
        <v>Pasture residue type</v>
      </c>
      <c r="F18" s="119"/>
      <c r="G18" s="117"/>
      <c r="H18" s="114" t="str">
        <v/>
      </c>
      <c r="I18" s="109" t="str">
        <v>Input</v>
      </c>
      <c r="J18" s="114" t="str">
        <f>X_Cell_Pasture_PastureType</f>
        <v>Grass clover mixture</v>
      </c>
      <c r="K18" s="21"/>
    </row>
    <row r="19" spans="1:20" ht="20.100000000000001" customHeight="1" x14ac:dyDescent="0.25">
      <c r="A19" s="127" t="str">
        <f>HYPERLINK("#'6.3.1.1-2 Leach runoff pasture'!A1", "6.3.1.1-2 Leach runoff pasture")</f>
        <v>6.3.1.1-2 Leach runoff pasture</v>
      </c>
      <c r="C19" s="21"/>
      <c r="D19" s="114" t="str">
        <v>ir</v>
      </c>
      <c r="E19" s="118" t="str">
        <v>Irrigation type</v>
      </c>
      <c r="F19" s="119"/>
      <c r="G19" s="117"/>
      <c r="H19" s="114" t="str">
        <v/>
      </c>
      <c r="I19" s="109" t="str">
        <v>Input</v>
      </c>
      <c r="J19" s="113" t="str" cm="1">
        <f t="array" aca="1" ref="J19" ca="1">HYPERLINK(Common_InputFunctions.Utility_SourceHyperlink($D$21), $D$21)</f>
        <v>M1_Table_M_leach_cp</v>
      </c>
      <c r="K19" s="21"/>
    </row>
    <row r="20" spans="1:20" ht="20.100000000000001" customHeight="1" x14ac:dyDescent="0.25">
      <c r="A20" s="17" t="str">
        <f>HYPERLINK("#'6.4.1.1-2 Residue burning'!A1", "6.4.1.1-2 Residue burning")</f>
        <v>6.4.1.1-2 Residue burning</v>
      </c>
      <c r="C20" s="21"/>
      <c r="D20" s="21"/>
      <c r="E20" s="21"/>
      <c r="F20" s="21"/>
      <c r="G20" s="21"/>
      <c r="H20" s="21"/>
      <c r="I20" s="21"/>
      <c r="J20" s="21"/>
      <c r="K20" s="21"/>
    </row>
    <row r="21" spans="1:20" ht="20.100000000000001" customHeight="1" x14ac:dyDescent="0.25">
      <c r="C21" s="21"/>
      <c r="D21" s="90" t="s">
        <v>207</v>
      </c>
      <c r="E21" s="21"/>
      <c r="F21" s="21"/>
      <c r="G21" s="21"/>
      <c r="H21" s="21"/>
      <c r="I21" s="21"/>
      <c r="J21" s="21"/>
      <c r="K21" s="21"/>
      <c r="N21" s="90" t="s">
        <v>232</v>
      </c>
      <c r="O21" s="21"/>
      <c r="P21" s="21"/>
      <c r="Q21" s="21"/>
      <c r="R21" s="21"/>
      <c r="S21" s="21"/>
    </row>
    <row r="22" spans="1:20" ht="20.100000000000001" customHeight="1" x14ac:dyDescent="0.25">
      <c r="C22" s="21"/>
      <c r="D22" s="89" t="s">
        <v>208</v>
      </c>
      <c r="E22" s="21"/>
      <c r="F22" s="21"/>
      <c r="G22" s="21"/>
      <c r="H22" s="21"/>
      <c r="I22" s="21"/>
      <c r="J22" s="21"/>
      <c r="K22" s="21"/>
      <c r="N22" s="89" t="s">
        <v>233</v>
      </c>
      <c r="O22" s="21"/>
      <c r="P22" s="21"/>
      <c r="Q22" s="21"/>
      <c r="R22" s="21"/>
      <c r="S22" s="21"/>
    </row>
    <row r="23" spans="1:20" ht="20.100000000000001" customHeight="1" x14ac:dyDescent="0.25">
      <c r="A23" s="141" t="s">
        <v>1</v>
      </c>
      <c r="C23" s="21"/>
      <c r="D23" s="107" t="s">
        <v>201</v>
      </c>
      <c r="E23" s="48" t="s">
        <v>203</v>
      </c>
      <c r="F23" s="107" t="s">
        <v>205</v>
      </c>
      <c r="G23" s="107" t="s">
        <v>6</v>
      </c>
      <c r="H23" s="48" t="s">
        <v>202</v>
      </c>
      <c r="I23" s="48" t="s">
        <v>204</v>
      </c>
      <c r="J23" s="21"/>
      <c r="K23" s="21"/>
      <c r="N23" s="107" t="s">
        <v>201</v>
      </c>
      <c r="O23" s="48" t="s">
        <v>203</v>
      </c>
      <c r="P23" s="107" t="s">
        <v>205</v>
      </c>
      <c r="Q23" s="107" t="s">
        <v>6</v>
      </c>
      <c r="R23" s="48" t="s">
        <v>202</v>
      </c>
      <c r="S23" s="48" t="s">
        <v>204</v>
      </c>
    </row>
    <row r="24" spans="1:20" ht="20.100000000000001" customHeight="1" x14ac:dyDescent="0.25">
      <c r="A24" s="17" t="str">
        <f>HYPERLINK("#'Constants - Ag Residue'!A1", "Constants - Ag Residue")</f>
        <v>Constants - Ag Residue</v>
      </c>
      <c r="D24" s="49" t="s">
        <v>199</v>
      </c>
      <c r="E24" s="49" t="s">
        <v>235</v>
      </c>
      <c r="F24" s="49" t="s">
        <v>235</v>
      </c>
      <c r="G24" s="49" t="s">
        <v>235</v>
      </c>
      <c r="H24" s="49" t="s">
        <v>235</v>
      </c>
      <c r="I24" s="49" t="s">
        <v>235</v>
      </c>
      <c r="N24" s="49"/>
      <c r="O24" s="49" t="s">
        <v>235</v>
      </c>
      <c r="P24" s="49"/>
      <c r="Q24" s="49"/>
      <c r="R24" s="49"/>
      <c r="S24" s="49" t="s">
        <v>235</v>
      </c>
    </row>
    <row r="25" spans="1:20" ht="20.100000000000001" customHeight="1" x14ac:dyDescent="0.25">
      <c r="A25" s="17" t="str">
        <f>HYPERLINK("#'Constants - Common'!A1", "Constants - Common")</f>
        <v>Constants - Common</v>
      </c>
      <c r="D25" s="49" t="s">
        <v>200</v>
      </c>
      <c r="E25" s="49">
        <f>'6.2.1.1-2 Pasture residue N2O'!$E$21</f>
        <v>7.4226E-2</v>
      </c>
      <c r="F25" s="49" t="str">
        <f>X_Cell_Pasture_IrrigationMethod</f>
        <v>Surface irrigation</v>
      </c>
      <c r="G25" s="49" t="str">
        <f>X_Cell_Site_LeachingZone</f>
        <v>NO - Not in leaching zone</v>
      </c>
      <c r="H25" s="49">
        <f>CommonCropping_InputFunctions.CommonCropping_GetFracWET(G25,F25,#REF!,#REF!, Table_SourceData_FracWETIrrigation[Irrigation type i],Table_SourceData_FracWETIrrigation[FracWET])</f>
        <v>1</v>
      </c>
      <c r="I25" s="49" cm="1">
        <f t="array" ref="I25">AgResidue_Equations_Leaching.VEERG_6_3_1_1__2__MassOfNitrogenLostThroughLeachingAndRunoff(E25,H25,$J$15)</f>
        <v>1.7814239999999999E-2</v>
      </c>
      <c r="N25" s="49"/>
      <c r="O25" s="49">
        <f>'6.2.1.1-2 Pasture residue N2O'!$O$21</f>
        <v>7.4226E-2</v>
      </c>
      <c r="P25" s="49"/>
      <c r="Q25" s="49"/>
      <c r="R25" s="49"/>
      <c r="S25" s="49"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3"/>
      <c r="D27" s="133"/>
      <c r="E27" s="133"/>
      <c r="F27" s="133"/>
      <c r="G27" s="133"/>
      <c r="H27" s="133"/>
      <c r="I27" s="133"/>
      <c r="J27" s="133"/>
      <c r="K27" s="133"/>
      <c r="M27" s="133"/>
      <c r="N27" s="133"/>
      <c r="O27" s="133"/>
      <c r="P27" s="133"/>
      <c r="Q27" s="133"/>
      <c r="R27" s="133"/>
      <c r="S27" s="133"/>
      <c r="T27" s="133"/>
    </row>
    <row r="28" spans="1:20" ht="20.100000000000001" customHeight="1" x14ac:dyDescent="0.25">
      <c r="C28" s="21"/>
      <c r="D28" s="6" t="str" cm="1">
        <f t="array" ref="D28">AgResidue_Equations_Leaching.VEERG_6_3_1_1__1__LeachingAndRunoffEmissionsCropAndPastureResidue_Title()</f>
        <v>Nitrous oxide leaching and runoff emissions from crop and pasture residues returned to the soil</v>
      </c>
      <c r="E28" s="21"/>
      <c r="F28" s="137"/>
      <c r="G28" s="21"/>
      <c r="H28" s="21"/>
      <c r="I28" s="21"/>
      <c r="J28" s="21"/>
      <c r="K28" s="21"/>
    </row>
    <row r="29" spans="1:20" ht="20.100000000000001" customHeight="1" x14ac:dyDescent="0.25">
      <c r="C29" s="21"/>
      <c r="D29" s="5" t="str" cm="1">
        <f t="array" ref="D29">AgResidue_Equations_Leaching.VEERG_6_3_1_1__1__LeachingAndRunoffEmissionsCropAndPastureResidue_Source()</f>
        <v>VEERG 2026: 6.3.1.1, Equation (1)</v>
      </c>
      <c r="E29" s="21"/>
      <c r="F29" s="21"/>
      <c r="G29" s="21"/>
      <c r="H29" s="21"/>
      <c r="I29" s="21"/>
      <c r="J29" s="21"/>
      <c r="K29" s="21"/>
    </row>
    <row r="30" spans="1:20" ht="20.100000000000001" customHeight="1" x14ac:dyDescent="0.25">
      <c r="C30" s="21"/>
      <c r="D30" s="13" t="s">
        <v>21</v>
      </c>
      <c r="E30" s="13" t="str" cm="1">
        <f t="array" aca="1" ref="E30" ca="1">Common_InputFunctions.Utility_DisplayFunctionName(E46)</f>
        <v>=AgResidue_Equations_Leaching.VEERG_6_3_1_1__1__LeachingAndRunoffEmissionsCropAndPastureResidue</v>
      </c>
      <c r="F30" s="21"/>
      <c r="G30" s="21"/>
      <c r="H30" s="21"/>
      <c r="I30" s="21"/>
      <c r="J30" s="21"/>
      <c r="K30" s="21"/>
    </row>
    <row r="31" spans="1:20" ht="20.100000000000001" customHeight="1" x14ac:dyDescent="0.25">
      <c r="C31" s="21"/>
      <c r="D31" s="21"/>
      <c r="E31" s="21"/>
      <c r="F31" s="21"/>
      <c r="G31" s="21"/>
      <c r="H31" s="21"/>
      <c r="I31" s="21"/>
      <c r="J31" s="21"/>
      <c r="K31" s="21"/>
    </row>
    <row r="32" spans="1:20" ht="20.100000000000001" customHeight="1" x14ac:dyDescent="0.25">
      <c r="C32" s="21"/>
      <c r="D32" s="21"/>
      <c r="E32" s="21"/>
      <c r="F32" s="5"/>
      <c r="G32" s="21"/>
      <c r="H32" s="21"/>
      <c r="I32" s="21"/>
      <c r="J32" s="21"/>
      <c r="K32" s="21"/>
    </row>
    <row r="33" spans="3:17" ht="20.100000000000001" customHeight="1" x14ac:dyDescent="0.25">
      <c r="C33" s="21"/>
      <c r="D33" s="25" t="s">
        <v>24</v>
      </c>
      <c r="E33" s="21" t="str" cm="1">
        <f t="array" ref="E33">AgResidue_Equations_Leaching.VEERG_6_3_1_1__1__LeachingAndRunoffEmissionsCropAndPastureResidue_Variable()</f>
        <v>EN2O</v>
      </c>
      <c r="F33" s="21"/>
      <c r="G33" s="21"/>
      <c r="H33" s="21"/>
      <c r="I33" s="21"/>
      <c r="J33" s="21"/>
      <c r="K33" s="21"/>
    </row>
    <row r="34" spans="3:17" ht="20.100000000000001" customHeight="1" x14ac:dyDescent="0.25">
      <c r="C34" s="21"/>
      <c r="D34" s="25" t="s">
        <v>15</v>
      </c>
      <c r="E34" s="51" t="str" cm="1">
        <f t="array" ref="E34">AgResidue_Equations_Leaching.VEERG_6_3_1_1__1__LeachingAndRunoffEmissionsCropAndPastureResidue_Unit()</f>
        <v>t N2O</v>
      </c>
      <c r="F34" s="21"/>
      <c r="G34" s="21"/>
      <c r="H34" s="21"/>
      <c r="I34" s="21"/>
      <c r="J34" s="21"/>
      <c r="K34" s="21"/>
    </row>
    <row r="35" spans="3:17" ht="20.100000000000001" customHeight="1" x14ac:dyDescent="0.25">
      <c r="C35" s="21"/>
      <c r="D35" s="21"/>
      <c r="E35" s="21"/>
      <c r="F35" s="21"/>
      <c r="G35" s="21"/>
      <c r="H35" s="21"/>
      <c r="I35" s="21"/>
      <c r="J35" s="21"/>
      <c r="K35" s="21"/>
    </row>
    <row r="36" spans="3:17" ht="20.100000000000001" customHeight="1" x14ac:dyDescent="0.25">
      <c r="C36" s="21"/>
      <c r="D36" s="114" t="str" cm="1">
        <f t="array" ref="D36:E40">_xlfn.CHOOSECOLS(AgResidue_Equations_Leaching.VEERG_6_3_1_1__1__LeachingAndRunoffEmissionsCropAndPastureResidue_Arguments(),1,2)</f>
        <v>M_leachcp</v>
      </c>
      <c r="E36" s="118" t="str">
        <v>mass of nitrogen lost through leaching and runoff from the crop residue c or pasture residue p</v>
      </c>
      <c r="F36" s="119"/>
      <c r="G36" s="117"/>
      <c r="H36" s="114" t="str" cm="1">
        <f t="array" ref="H36:I40">_xlfn.CHOOSECOLS(AgResidue_Equations_Leaching.VEERG_6_3_1_1__1__LeachingAndRunoffEmissionsCropAndPastureResidue_Arguments(),3,4)</f>
        <v>kg N</v>
      </c>
      <c r="I36" s="108" t="str">
        <v>Calculated from 6.3.1.1 (2)</v>
      </c>
      <c r="J36" s="114" t="str" cm="1">
        <f t="array" aca="1" ref="J36" ca="1">HYPERLINK(Common_InputFunctions.Utility_SourceHyperlink($D$21), $D$21)</f>
        <v>M1_Table_M_leach_cp</v>
      </c>
      <c r="K36" s="21"/>
    </row>
    <row r="37" spans="3:17" ht="20.100000000000001" customHeight="1" x14ac:dyDescent="0.25">
      <c r="C37" s="21"/>
      <c r="D37" s="114" t="str">
        <v>EF_leach</v>
      </c>
      <c r="E37" s="118" t="str">
        <v>emission factor for leaching and runoff</v>
      </c>
      <c r="F37" s="119"/>
      <c r="G37" s="117"/>
      <c r="H37" s="114" t="str">
        <v>kg N2O-N/kg N</v>
      </c>
      <c r="I37" s="108" t="str">
        <v>Constant</v>
      </c>
      <c r="J37" s="114">
        <f>'Constants - Common'!$E$170</f>
        <v>1.0999999999999999E-2</v>
      </c>
      <c r="K37" s="21"/>
    </row>
    <row r="38" spans="3:17" ht="20.100000000000001" customHeight="1" x14ac:dyDescent="0.25">
      <c r="C38" s="21"/>
      <c r="D38" s="114" t="str">
        <v>C_N2O</v>
      </c>
      <c r="E38" s="118" t="str">
        <v>factor to convert elemental mass of nitrous oxide to molecular mass</v>
      </c>
      <c r="F38" s="119"/>
      <c r="G38" s="117"/>
      <c r="H38" s="114" t="str">
        <v>dimensionless</v>
      </c>
      <c r="I38" s="108" t="str">
        <v>Constant</v>
      </c>
      <c r="J38" s="114">
        <f>Common_InputFunctions.Utility_LookupValueInTableNumber("N2O",Table_GasToMolecularConversionFactor[Gas],Table_GasToMolecularConversionFactor[Conversion factor combined])</f>
        <v>1.5714285714285714</v>
      </c>
      <c r="K38" s="21"/>
    </row>
    <row r="39" spans="3:17" ht="20.100000000000001" customHeight="1" x14ac:dyDescent="0.25">
      <c r="C39" s="21"/>
      <c r="D39" s="114" t="str">
        <v>c</v>
      </c>
      <c r="E39" s="118" t="str">
        <v>Crop residue type</v>
      </c>
      <c r="F39" s="119"/>
      <c r="G39" s="117"/>
      <c r="H39" s="114" t="str">
        <v/>
      </c>
      <c r="I39" s="109" t="str">
        <v>Input</v>
      </c>
      <c r="J39" s="114" t="s">
        <v>235</v>
      </c>
      <c r="K39" s="21"/>
    </row>
    <row r="40" spans="3:17" ht="20.100000000000001" customHeight="1" x14ac:dyDescent="0.25">
      <c r="C40" s="21"/>
      <c r="D40" s="114" t="str">
        <v>p</v>
      </c>
      <c r="E40" s="118" t="str">
        <v>Pasture residue type</v>
      </c>
      <c r="F40" s="119"/>
      <c r="G40" s="117"/>
      <c r="H40" s="114" t="str">
        <v/>
      </c>
      <c r="I40" s="109" t="str">
        <v>Input</v>
      </c>
      <c r="J40" s="114" t="str">
        <f>X_Cell_Pasture_PastureType</f>
        <v>Grass clover mixture</v>
      </c>
      <c r="K40" s="21"/>
    </row>
    <row r="41" spans="3:17" ht="20.100000000000001" customHeight="1" x14ac:dyDescent="0.25">
      <c r="C41" s="21"/>
      <c r="D41" s="21"/>
      <c r="E41" s="21"/>
      <c r="F41" s="21"/>
      <c r="G41" s="21"/>
      <c r="H41" s="21"/>
      <c r="I41" s="21"/>
      <c r="J41" s="21"/>
      <c r="K41" s="21"/>
    </row>
    <row r="42" spans="3:17" ht="20.100000000000001" customHeight="1" x14ac:dyDescent="0.25">
      <c r="C42" s="21"/>
      <c r="D42" s="90" t="s">
        <v>209</v>
      </c>
      <c r="E42" s="21"/>
      <c r="F42" s="21"/>
      <c r="G42" s="21"/>
      <c r="H42" s="21"/>
      <c r="I42" s="21"/>
      <c r="J42" s="21"/>
      <c r="K42" s="21"/>
      <c r="N42" s="90" t="s">
        <v>209</v>
      </c>
      <c r="O42" s="21"/>
      <c r="P42" s="21"/>
      <c r="Q42" s="21"/>
    </row>
    <row r="43" spans="3:17" ht="20.100000000000001" customHeight="1" x14ac:dyDescent="0.25">
      <c r="C43" s="21"/>
      <c r="D43" s="89" t="s">
        <v>210</v>
      </c>
      <c r="E43" s="21"/>
      <c r="F43" s="21"/>
      <c r="G43" s="21"/>
      <c r="H43" s="21"/>
      <c r="I43" s="21"/>
      <c r="J43" s="21"/>
      <c r="K43" s="21"/>
      <c r="N43" s="89" t="s">
        <v>210</v>
      </c>
      <c r="O43" s="21"/>
      <c r="P43" s="21"/>
      <c r="Q43" s="21"/>
    </row>
    <row r="44" spans="3:17" ht="20.100000000000001" customHeight="1" x14ac:dyDescent="0.25">
      <c r="C44" s="21"/>
      <c r="D44" s="48" t="s">
        <v>204</v>
      </c>
      <c r="E44" s="48" t="s">
        <v>206</v>
      </c>
      <c r="F44" s="21"/>
      <c r="G44" s="21"/>
      <c r="H44" s="21"/>
      <c r="I44" s="21"/>
      <c r="J44" s="21"/>
      <c r="K44" s="21"/>
      <c r="N44" s="48" t="s">
        <v>204</v>
      </c>
      <c r="O44" s="48" t="s">
        <v>206</v>
      </c>
      <c r="P44" s="21"/>
      <c r="Q44" s="21"/>
    </row>
    <row r="45" spans="3:17" ht="20.100000000000001" customHeight="1" x14ac:dyDescent="0.25">
      <c r="C45" s="21"/>
      <c r="D45" s="49" t="str">
        <f>I24</f>
        <v>N/A</v>
      </c>
      <c r="E45" s="49" t="s">
        <v>235</v>
      </c>
      <c r="F45" s="21"/>
      <c r="G45" s="21"/>
      <c r="H45" s="21"/>
      <c r="I45" s="21"/>
      <c r="J45" s="21"/>
      <c r="K45" s="21"/>
      <c r="N45" s="49" t="str">
        <f>S24</f>
        <v>N/A</v>
      </c>
      <c r="O45" s="49" t="s">
        <v>235</v>
      </c>
      <c r="P45" s="21"/>
      <c r="Q45" s="21"/>
    </row>
    <row r="46" spans="3:17" ht="20.100000000000001" customHeight="1" x14ac:dyDescent="0.25">
      <c r="C46" s="21"/>
      <c r="D46" s="49">
        <f>I25</f>
        <v>1.7814239999999999E-2</v>
      </c>
      <c r="E46" s="49" cm="1">
        <f t="array" ref="E46">AgResidue_Equations_Leaching.VEERG_6_3_1_1__1__LeachingAndRunoffEmissionsCropAndPastureResidue(D46,$J$37,$J$38)</f>
        <v>3.0793186285714277E-7</v>
      </c>
      <c r="F46" s="21"/>
      <c r="G46" s="21"/>
      <c r="H46" s="21"/>
      <c r="I46" s="21"/>
      <c r="J46" s="21"/>
      <c r="K46" s="21"/>
      <c r="N46" s="49">
        <f>S25</f>
        <v>1.7814239999999999E-2</v>
      </c>
      <c r="O46" s="49" cm="1">
        <f t="array" ref="O46">AgResidue_Equations_Leaching.VEERG_6_3_1_1__1__LeachingAndRunoffEmissionsCropAndPastureResidue(N46,$J$37,$J$38)</f>
        <v>3.0793186285714277E-7</v>
      </c>
      <c r="P46" s="21"/>
      <c r="Q46" s="21"/>
    </row>
    <row r="47" spans="3:17" ht="20.100000000000001" customHeight="1" x14ac:dyDescent="0.25">
      <c r="C47" s="21"/>
      <c r="F47" s="21"/>
      <c r="G47" s="21"/>
      <c r="H47" s="21"/>
      <c r="I47" s="21"/>
      <c r="J47" s="21"/>
      <c r="K47" s="21"/>
      <c r="P47" s="21"/>
      <c r="Q47" s="21"/>
    </row>
    <row r="48" spans="3:17" ht="20.100000000000001" customHeight="1" x14ac:dyDescent="0.4">
      <c r="C48" s="21"/>
      <c r="D48" s="138" t="s">
        <v>198</v>
      </c>
      <c r="E48" s="139">
        <f>SUM(E45:E46)</f>
        <v>3.0793186285714277E-7</v>
      </c>
      <c r="F48" s="93" t="str">
        <f>$E$34</f>
        <v>t N2O</v>
      </c>
      <c r="G48" s="21"/>
      <c r="H48" s="21"/>
      <c r="I48" s="21"/>
      <c r="J48" s="21"/>
      <c r="K48" s="21"/>
      <c r="N48" s="138" t="s">
        <v>198</v>
      </c>
      <c r="O48" s="139">
        <f>SUM(O45:O46)</f>
        <v>3.0793186285714277E-7</v>
      </c>
      <c r="P48" s="93" t="str">
        <f>$E$34</f>
        <v>t N2O</v>
      </c>
      <c r="Q48" s="21"/>
    </row>
    <row r="49" spans="4:17" ht="20.100000000000001" customHeight="1" x14ac:dyDescent="0.25">
      <c r="D49" s="21"/>
      <c r="E49" s="21"/>
      <c r="F49" s="21"/>
      <c r="G49" s="21"/>
      <c r="N49" s="21"/>
      <c r="O49" s="21"/>
      <c r="P49" s="21"/>
      <c r="Q49" s="21"/>
    </row>
    <row r="50" spans="4:17" ht="20.100000000000001" customHeight="1" x14ac:dyDescent="0.25">
      <c r="D50" s="53" t="str" cm="1">
        <f t="array" ref="D50:E51">Common_Equations.Common_ConvertN2OToCO2e_Arguments()</f>
        <v>EN2O</v>
      </c>
      <c r="E50" s="54" t="str">
        <v>Nitrous oxide emissions (t N2O)</v>
      </c>
      <c r="F50" s="94"/>
      <c r="G50" s="49">
        <f>VEERG_6_3_1_1__1__LeachingAndRunoffEmissionsCropAndPastureResidue_PastureOnly_Result_Method1</f>
        <v>3.0793186285714277E-7</v>
      </c>
      <c r="N50" s="53" t="str" cm="1">
        <f t="array" ref="N50:O51">Common_Equations.Common_ConvertN2OToCO2e_Arguments()</f>
        <v>EN2O</v>
      </c>
      <c r="O50" s="54" t="str">
        <v>Nitrous oxide emissions (t N2O)</v>
      </c>
      <c r="P50" s="94"/>
      <c r="Q50" s="49">
        <f>VEERG_6_3_1_1__1__LeachingAndRunoffEmissionsCropAndPastureResidue_PastureOnly_Result_Method2</f>
        <v>3.0793186285714277E-7</v>
      </c>
    </row>
    <row r="51" spans="4:17" ht="20.100000000000001" customHeight="1" x14ac:dyDescent="0.25">
      <c r="D51" s="53" t="str">
        <v>GWPN2O</v>
      </c>
      <c r="E51" s="54" t="str">
        <v>Global warming potential for nitrous oxide (t CO2-e / t N2O)</v>
      </c>
      <c r="F51" s="94"/>
      <c r="G51" s="49">
        <f>Common_InputFunctions.Utility_LookupValueInTableNumber("N2O",Table_GWPData[Gas],Table_GWPData[CO2-e factor])</f>
        <v>265</v>
      </c>
      <c r="H51" s="21"/>
      <c r="I51" s="21"/>
      <c r="N51" s="53" t="str">
        <v>GWPN2O</v>
      </c>
      <c r="O51" s="54" t="str">
        <v>Global warming potential for nitrous oxide (t CO2-e / t N2O)</v>
      </c>
      <c r="P51" s="94"/>
      <c r="Q51" s="49">
        <f>Common_InputFunctions.Utility_LookupValueInTableNumber("N2O",Table_GWPData[Gas],Table_GWPData[CO2-e factor])</f>
        <v>265</v>
      </c>
    </row>
    <row r="52" spans="4:17" ht="20.100000000000001" customHeight="1" x14ac:dyDescent="0.25">
      <c r="H52" s="21"/>
      <c r="I52" s="21"/>
    </row>
    <row r="53" spans="4:17" ht="20.100000000000001" customHeight="1" x14ac:dyDescent="0.25">
      <c r="D53" s="43" t="s">
        <v>78</v>
      </c>
      <c r="E53" s="43" cm="1">
        <f t="array" ref="E53">Common_Equations.Common_ConvertN2OToCO2e(G50,G51)</f>
        <v>8.1601943657142831E-5</v>
      </c>
      <c r="F53" s="95" t="str" cm="1">
        <f t="array" ref="F53">Common_Equations.Common_ConvertN2OToCO2e_Unit()</f>
        <v>t CO2e</v>
      </c>
      <c r="I53" s="21"/>
      <c r="N53" s="43" t="s">
        <v>78</v>
      </c>
      <c r="O53" s="43" cm="1">
        <f t="array" ref="O53">Common_Equations.Common_ConvertN2OToCO2e(Q50,Q51)</f>
        <v>8.1601943657142831E-5</v>
      </c>
      <c r="P53" s="95" t="str" cm="1">
        <f t="array" ref="P53">Common_Equations.Common_ConvertN2OToCO2e_Unit()</f>
        <v>t CO2e</v>
      </c>
    </row>
    <row r="54" spans="4:17" ht="20.100000000000001" customHeight="1" x14ac:dyDescent="0.25">
      <c r="I54" s="21"/>
    </row>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c r="H60" s="21"/>
      <c r="I60" s="21"/>
    </row>
    <row r="61" spans="4:17" ht="20.100000000000001" customHeight="1" x14ac:dyDescent="0.25">
      <c r="H61" s="21"/>
      <c r="I61" s="21"/>
    </row>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S165"/>
  <sheetViews>
    <sheetView showGridLines="0"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0" t="e" vm="1">
        <v>#VALUE!</v>
      </c>
      <c r="C1" s="8" t="s">
        <v>211</v>
      </c>
    </row>
    <row r="2" spans="1:19" s="9" customFormat="1" ht="20.100000000000001" customHeight="1" x14ac:dyDescent="0.25">
      <c r="A2"/>
    </row>
    <row r="3" spans="1:19" ht="20.100000000000001" customHeight="1" x14ac:dyDescent="0.25">
      <c r="A3" s="17" t="str">
        <f>HYPERLINK("#'Home'!A1", "Home")</f>
        <v>Home</v>
      </c>
      <c r="C3" s="4"/>
      <c r="D3" s="4" t="s">
        <v>79</v>
      </c>
      <c r="E3" s="4"/>
      <c r="F3" s="4"/>
      <c r="G3" s="4"/>
      <c r="H3" s="4"/>
      <c r="I3" s="4"/>
      <c r="J3" s="4"/>
      <c r="L3" s="4"/>
      <c r="M3" s="4" t="s">
        <v>80</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AgResidue_Equations_FieldBurning.VEERG_6_4_1_1__3__MassOfCropResidueBurnt_Title()</f>
        <v>Mass of residue of crop c burnt</v>
      </c>
    </row>
    <row r="6" spans="1:19" ht="20.100000000000001" customHeight="1" x14ac:dyDescent="0.25">
      <c r="D6" s="5" t="str" cm="1">
        <f t="array" ref="D6">AgResidue_Equations_FieldBurning.VEERG_6_4_1_1__3__MassOfCropResidueBurnt_Source()</f>
        <v>VEERG 2026: 6.4.1.1, Equation (3)</v>
      </c>
    </row>
    <row r="7" spans="1:19" ht="20.100000000000001" customHeight="1" x14ac:dyDescent="0.25">
      <c r="D7" s="13" t="s">
        <v>21</v>
      </c>
      <c r="E7" s="13" t="str" cm="1">
        <f t="array" aca="1" ref="E7" ca="1">Common_InputFunctions.Utility_DisplayFunctionName(E21)</f>
        <v>=AgResidue_Equations_FieldBurning.VEERG_6_4_1_1__3__MassOfCropResidueBurnt</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Crop'!A1", "Crop")</f>
        <v>Crop</v>
      </c>
      <c r="D10" s="50" t="s">
        <v>24</v>
      </c>
      <c r="E10" s="1" t="str" cm="1">
        <f t="array" ref="E10">AgResidue_Equations_FieldBurning.VEERG_6_4_1_1__3__MassOfCropResidueBurnt_Variable()</f>
        <v>M_burnc</v>
      </c>
    </row>
    <row r="11" spans="1:19" ht="20.100000000000001" customHeight="1" x14ac:dyDescent="0.25">
      <c r="A11" s="17" t="str">
        <f>HYPERLINK("#'Input - Pasture'!A1", "Pasture")</f>
        <v>Pasture</v>
      </c>
      <c r="D11" s="50" t="s">
        <v>15</v>
      </c>
      <c r="E11" s="51" t="str" cm="1">
        <f t="array" ref="E11">AgResidue_Equations_FieldBurning.VEERG_6_4_1_1__3__MassOfCropResidueBurnt_Unit()</f>
        <v>kg</v>
      </c>
    </row>
    <row r="12" spans="1:19" ht="20.100000000000001" customHeight="1" x14ac:dyDescent="0.25"/>
    <row r="13" spans="1:19" ht="20.100000000000001" customHeight="1" x14ac:dyDescent="0.25">
      <c r="D13" s="114" t="str" cm="1">
        <f t="array" ref="D13:E19">_xlfn.CHOOSECOLS(AgResidue_Equations_FieldBurning.VEERG_6_4_1_1__3__MassOfCropResidueBurnt_Arguments(), 1, 2)</f>
        <v>P_c</v>
      </c>
      <c r="E13" s="118" t="str">
        <v>annual production of crop type c</v>
      </c>
      <c r="F13" s="117"/>
      <c r="G13" s="114" t="str" cm="1">
        <f t="array" ref="G13:H19">_xlfn.CHOOSECOLS(AgResidue_Equations_FieldBurning.VEERG_6_4_1_1__3__MassOfCropResidueBurnt_Arguments(), 3,4)</f>
        <v>kg</v>
      </c>
      <c r="H13" s="109" t="str">
        <v>Input</v>
      </c>
      <c r="I13" s="114">
        <f>X_Cell_Crop_TotalProductionOfCrop*10^3</f>
        <v>350000</v>
      </c>
    </row>
    <row r="14" spans="1:19" ht="20.100000000000001" customHeight="1" x14ac:dyDescent="0.25">
      <c r="A14" s="18" t="s">
        <v>68</v>
      </c>
      <c r="D14" s="114" t="str">
        <v>R_AGc</v>
      </c>
      <c r="E14" s="118" t="str">
        <v>residue to crop ratio of crop type c</v>
      </c>
      <c r="F14" s="117"/>
      <c r="G14" s="114" t="str">
        <v>kg crop residue/kg crop</v>
      </c>
      <c r="H14" s="108" t="str">
        <v>Constant</v>
      </c>
      <c r="I14" s="114">
        <f>'Input - Crop'!$E$18</f>
        <v>1.5</v>
      </c>
    </row>
    <row r="15" spans="1:19" ht="20.100000000000001" customHeight="1" x14ac:dyDescent="0.25">
      <c r="A15" s="17" t="str">
        <f>HYPERLINK("#'6.1.1.1-2 Crop residue N2O'!A1", "6.1.1.1-2 Crop residue N2O")</f>
        <v>6.1.1.1-2 Crop residue N2O</v>
      </c>
      <c r="D15" s="114" t="str">
        <v>S_c</v>
      </c>
      <c r="E15" s="118" t="str">
        <v>fraction of residues of crop type c remaining at burning</v>
      </c>
      <c r="F15" s="117"/>
      <c r="G15" s="114" t="str">
        <v>fraction</v>
      </c>
      <c r="H15" s="108" t="str">
        <v>Constant</v>
      </c>
      <c r="I15" s="114"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17" t="str">
        <f>HYPERLINK("#'6.2.1.1-2 Pasture residue N2O'!A1", "6.2.1.1-2 Pasture residue N2O")</f>
        <v>6.2.1.1-2 Pasture residue N2O</v>
      </c>
      <c r="D16" s="114" t="str">
        <v>DM_c</v>
      </c>
      <c r="E16" s="118" t="str">
        <v>dry matter content of crop type c</v>
      </c>
      <c r="F16" s="117"/>
      <c r="G16" s="114" t="str">
        <v>kg dry weight/kg crop residue</v>
      </c>
      <c r="H16" s="108" t="str">
        <v>Constant</v>
      </c>
      <c r="I16" s="114" cm="1">
        <f t="array" ref="I16">Common_InputFunctions.Utility_LookupValueInTableNumber($I$19,Table_SourceData_CropAttributes[Crop type],Table_SourceData_CropAttributes[Dry matter content])</f>
        <v>0.88</v>
      </c>
    </row>
    <row r="17" spans="1:10" ht="20.100000000000001" customHeight="1" x14ac:dyDescent="0.25">
      <c r="A17" s="17" t="str">
        <f>HYPERLINK("#'6.3.1.1-2 Leaching and runoff'!A1", "6.3.1.1-2 Leaching and runoff")</f>
        <v>6.3.1.1-2 Leaching and runoff</v>
      </c>
      <c r="D17" s="114" t="str">
        <v>Z_c</v>
      </c>
      <c r="E17" s="118" t="str">
        <v>burning efficiency (ratio of fuel burnt to fuel load) of crop type c</v>
      </c>
      <c r="F17" s="117"/>
      <c r="G17" s="114" t="str">
        <v/>
      </c>
      <c r="H17" s="108" t="str">
        <v>Constant</v>
      </c>
      <c r="I17" s="114" cm="1">
        <f t="array" ref="I17">Common_InputFunctions.Utility_LookupValueInTableNumber($I$19,Table_SourceData_CropAttributes[Crop type],Table_SourceData_CropAttributes[Fraction burnt])</f>
        <v>0.9</v>
      </c>
    </row>
    <row r="18" spans="1:10" ht="20.100000000000001" customHeight="1" x14ac:dyDescent="0.25">
      <c r="A18" s="17" t="str">
        <f>HYPERLINK("#'6.3.1.1-2 Leach runoff crop'!A1", "6.3.1.1-2 Leach runoff crop")</f>
        <v>6.3.1.1-2 Leach runoff crop</v>
      </c>
      <c r="D18" s="114" t="str">
        <v>F_c</v>
      </c>
      <c r="E18" s="118" t="str">
        <v>fraction of the annual production of crop type c that is burnt</v>
      </c>
      <c r="F18" s="117"/>
      <c r="G18" s="114" t="str">
        <v>fraction</v>
      </c>
      <c r="H18" s="108" t="str">
        <v>Constant</v>
      </c>
      <c r="I18" s="114">
        <f>X_Cell_Crop_PercentResidueBurned</f>
        <v>0.3</v>
      </c>
    </row>
    <row r="19" spans="1:10" ht="20.100000000000001" customHeight="1" x14ac:dyDescent="0.25">
      <c r="A19" s="17" t="str">
        <f>HYPERLINK("#'6.3.1.1-2 Leach runoff pasture'!A1", "6.3.1.1-2 Leach runoff pasture")</f>
        <v>6.3.1.1-2 Leach runoff pasture</v>
      </c>
      <c r="D19" s="114" t="str">
        <v>c</v>
      </c>
      <c r="E19" s="118" t="str">
        <v>Crop type</v>
      </c>
      <c r="F19" s="117"/>
      <c r="G19" s="114" t="str">
        <v/>
      </c>
      <c r="H19" s="109" t="str">
        <v>Input</v>
      </c>
      <c r="I19" s="114" t="str">
        <f>X_Cell_Crop_CropType</f>
        <v>Wheat</v>
      </c>
    </row>
    <row r="20" spans="1:10" ht="20.100000000000001" customHeight="1" x14ac:dyDescent="0.25">
      <c r="A20" s="127" t="str">
        <f>HYPERLINK("#'6.4.1.1-2 Residue burning'!A1", "6.4.1.1-2 Residue burning")</f>
        <v>6.4.1.1-2 Residue burning</v>
      </c>
    </row>
    <row r="21" spans="1:10" ht="20.100000000000001" customHeight="1" x14ac:dyDescent="0.25">
      <c r="D21" s="115" t="s">
        <v>212</v>
      </c>
      <c r="E21" s="43" cm="1">
        <f t="array" ref="E21">AgResidue_Equations_FieldBurning.VEERG_6_4_1_1__3__MassOfCropResidueBurnt(I13,I14,I15,I16,I17,I18)</f>
        <v>62370</v>
      </c>
      <c r="F21" s="95" t="str" cm="1">
        <f t="array" ref="F21">AgResidue_Equations_FieldBurning.VEERG_6_4_1_1__3__MassOfCropResidueBurnt_Unit()</f>
        <v>kg</v>
      </c>
    </row>
    <row r="22" spans="1:10" ht="20.100000000000001" customHeight="1" x14ac:dyDescent="0.25"/>
    <row r="23" spans="1:10" ht="20.100000000000001" customHeight="1" x14ac:dyDescent="0.25">
      <c r="A23" s="141" t="s">
        <v>1</v>
      </c>
    </row>
    <row r="24" spans="1:10" ht="20.100000000000001" customHeight="1" x14ac:dyDescent="0.25">
      <c r="A24" s="17" t="str">
        <f>HYPERLINK("#'Constants - Ag Residue'!A1", "Constants - Ag Residue")</f>
        <v>Constants - Ag Residue</v>
      </c>
      <c r="C24" s="43"/>
      <c r="D24" s="43"/>
      <c r="E24" s="43"/>
      <c r="F24" s="43"/>
      <c r="G24" s="43"/>
      <c r="H24" s="43"/>
      <c r="I24" s="43"/>
      <c r="J24" s="43"/>
    </row>
    <row r="25" spans="1:10" ht="20.100000000000001" customHeight="1" x14ac:dyDescent="0.25">
      <c r="A25" s="17" t="str">
        <f>HYPERLINK("#'Constants - Common'!A1", "Constants - Common")</f>
        <v>Constants - Common</v>
      </c>
      <c r="D25" s="6" t="str" cm="1">
        <f t="array" ref="D25">AgResidue_Equations_FieldBurning.VEERG_6_4_1_1__2__NitrousOxideEmissionsFromBurningOfCropResidues_Title()</f>
        <v>Nitrous oxide emissions from the burning of crop residues</v>
      </c>
    </row>
    <row r="26" spans="1:10" ht="20.100000000000001" customHeight="1" x14ac:dyDescent="0.25">
      <c r="D26" s="5" t="str" cm="1">
        <f t="array" ref="D26">AgResidue_Equations_FieldBurning.VEERG_6_4_1_1__2__NitrousOxideEmissionsFromBurningOfCropResidues_Source()</f>
        <v>VEERG 2026: 6.4.1.1, Equation (2)</v>
      </c>
    </row>
    <row r="27" spans="1:10" ht="20.100000000000001" customHeight="1" x14ac:dyDescent="0.25">
      <c r="D27" s="13" t="s">
        <v>21</v>
      </c>
      <c r="E27" s="13" t="str">
        <f ca="1">Common_InputFunctions.Utility_DisplayFunctionName(VEERG_6_4_1_1__2__NitrousOxideEmissionsFromBurningOfCropResidues_Result_Method1)</f>
        <v>=AgResidue_Equations_FieldBurning.VEERG_6_4_1_1__2__NitrousOxideEmissionsFromBurningOfCropResidues</v>
      </c>
    </row>
    <row r="28" spans="1:10" ht="20.100000000000001" customHeight="1" x14ac:dyDescent="0.25"/>
    <row r="29" spans="1:10" ht="20.100000000000001" customHeight="1" x14ac:dyDescent="0.25"/>
    <row r="30" spans="1:10" ht="20.100000000000001" customHeight="1" x14ac:dyDescent="0.25">
      <c r="D30" s="50" t="s">
        <v>24</v>
      </c>
      <c r="E30" s="1" t="str" cm="1">
        <f t="array" ref="E30">AgResidue_Equations_FieldBurning.VEERG_6_4_1_1__2__NitrousOxideEmissionsFromBurningOfCropResidues_Variable()</f>
        <v>EN2O</v>
      </c>
    </row>
    <row r="31" spans="1:10" ht="20.100000000000001" customHeight="1" x14ac:dyDescent="0.25">
      <c r="D31" s="50" t="s">
        <v>15</v>
      </c>
      <c r="E31" s="51" t="str" cm="1">
        <f t="array" ref="E31">AgResidue_Equations_FieldBurning.VEERG_6_4_1_1__2__NitrousOxideEmissionsFromBurningOfCropResidues_Unit()</f>
        <v>t N2O</v>
      </c>
    </row>
    <row r="32" spans="1:10" ht="20.100000000000001" customHeight="1" x14ac:dyDescent="0.25"/>
    <row r="33" spans="3:10" ht="20.100000000000001" customHeight="1" x14ac:dyDescent="0.25">
      <c r="D33" s="114" t="str" cm="1">
        <f t="array" ref="D33:E37">_xlfn.CHOOSECOLS(AgResidue_Equations_FieldBurning.VEERG_6_4_1_1__2__NitrousOxideEmissionsFromBurningOfCropResidues_Arguments(), 1, 2)</f>
        <v>M_burnc</v>
      </c>
      <c r="E33" s="118" t="str">
        <v>mass of residue burnt for crop type c</v>
      </c>
      <c r="F33" s="117"/>
      <c r="G33" s="114" t="str" cm="1">
        <f t="array" ref="G33:H37">_xlfn.CHOOSECOLS(AgResidue_Equations_FieldBurning.VEERG_6_4_1_1__2__NitrousOxideEmissionsFromBurningOfCropResidues_Arguments(), 3,4)</f>
        <v>kg</v>
      </c>
      <c r="H33" s="108" t="str">
        <v>Calculated from 6.4.1.1 (3)</v>
      </c>
      <c r="I33" s="114">
        <f>$E$21</f>
        <v>62370</v>
      </c>
    </row>
    <row r="34" spans="3:10" ht="20.100000000000001" customHeight="1" x14ac:dyDescent="0.25">
      <c r="D34" s="114" t="str">
        <v>NC_AGc</v>
      </c>
      <c r="E34" s="118" t="str">
        <v>nitrogen content in the above-ground residue of crop type c</v>
      </c>
      <c r="F34" s="117"/>
      <c r="G34" s="114" t="str">
        <v>kg N/kg DM</v>
      </c>
      <c r="H34" s="108" t="str">
        <v>Constant</v>
      </c>
      <c r="I34" s="114" cm="1">
        <f t="array" ref="I34">Common_InputFunctions.Utility_LookupValueInTableNumber($I$37,Table_SourceData_CropAttributes[Crop type],Table_SourceData_CropAttributes[N content above-ground])</f>
        <v>6.0000000000000001E-3</v>
      </c>
    </row>
    <row r="35" spans="3:10" ht="20.100000000000001" customHeight="1" x14ac:dyDescent="0.25">
      <c r="D35" s="114" t="str">
        <v>EF_N2O</v>
      </c>
      <c r="E35" s="118" t="str">
        <v>emission factor for nitrous oxide from burning of crop residues</v>
      </c>
      <c r="F35" s="117"/>
      <c r="G35" s="114" t="str">
        <v>kg N2O/kg N2O burnt</v>
      </c>
      <c r="H35" s="108" t="str">
        <v>Constant</v>
      </c>
      <c r="I35" s="114" cm="1">
        <f t="array" ref="I35">Common_InputFunctions.Utility_LookupValueInTableNumber("N2O", Table_SourceData_BurningResidueEFs[Gas species],Table_SourceData_BurningResidueEFs[Emission factor EFg (Gg element in species/ Gg element in fuel burnt)])</f>
        <v>7.6E-3</v>
      </c>
    </row>
    <row r="36" spans="3:10" ht="20.100000000000001" customHeight="1" x14ac:dyDescent="0.25">
      <c r="D36" s="114" t="str">
        <v>C_N2O</v>
      </c>
      <c r="E36" s="118" t="str">
        <v>factor to convert elemental mass of nitrous oxide to molecular mass</v>
      </c>
      <c r="F36" s="117"/>
      <c r="G36" s="114" t="str">
        <v>dimensionless</v>
      </c>
      <c r="H36" s="108" t="str">
        <v>Constant</v>
      </c>
      <c r="I36" s="114">
        <f>Common_InputFunctions.Utility_LookupValueInTableNumber("N2O",Table_GasToMolecularConversionFactor[Gas],Table_GasToMolecularConversionFactor[Conversion factor combined])</f>
        <v>1.5714285714285714</v>
      </c>
    </row>
    <row r="37" spans="3:10" ht="20.100000000000001" customHeight="1" x14ac:dyDescent="0.25">
      <c r="D37" s="114" t="str">
        <v>c</v>
      </c>
      <c r="E37" s="118" t="str">
        <v>Crop type</v>
      </c>
      <c r="F37" s="117"/>
      <c r="G37" s="114" t="str">
        <v/>
      </c>
      <c r="H37" s="109" t="str">
        <v>Input</v>
      </c>
      <c r="I37" s="114" t="str">
        <f>X_Cell_Crop_CropType</f>
        <v>Wheat</v>
      </c>
    </row>
    <row r="38" spans="3:10" ht="20.100000000000001" customHeight="1" x14ac:dyDescent="0.25"/>
    <row r="39" spans="3:10" ht="20.100000000000001" customHeight="1" x14ac:dyDescent="0.25">
      <c r="D39" s="91" t="s">
        <v>108</v>
      </c>
      <c r="E39" s="92" cm="1">
        <f t="array" ref="E39">AgResidue_Equations_FieldBurning.VEERG_6_4_1_1__2__NitrousOxideEmissionsFromBurningOfCropResidues(I33,I34,I35,I36)</f>
        <v>4.4692560000000004E-3</v>
      </c>
      <c r="F39" s="93" t="str" cm="1">
        <f t="array" ref="F39">AgResidue_Equations_FieldBurning.VEERG_6_4_1_1__2__NitrousOxideEmissionsFromBurningOfCropResidues_Unit()</f>
        <v>t N2O</v>
      </c>
    </row>
    <row r="40" spans="3:10" ht="20.100000000000001" customHeight="1" x14ac:dyDescent="0.25"/>
    <row r="41" spans="3:10" ht="20.100000000000001" customHeight="1" x14ac:dyDescent="0.25">
      <c r="D41" s="53" t="str" cm="1">
        <f t="array" ref="D41:E42">Common_Equations.Common_ConvertN2OToCO2e_Arguments()</f>
        <v>EN2O</v>
      </c>
      <c r="E41" s="54" t="str">
        <v>Nitrous oxide emissions (t N2O)</v>
      </c>
      <c r="F41" s="94"/>
      <c r="G41" s="136"/>
      <c r="H41" s="49">
        <f>VEERG_6_4_1_1__2__NitrousOxideEmissionsFromBurningOfCropResidues_Result_Method1</f>
        <v>4.4692560000000004E-3</v>
      </c>
    </row>
    <row r="42" spans="3:10" ht="20.100000000000001" customHeight="1" x14ac:dyDescent="0.25">
      <c r="D42" s="53" t="str">
        <v>GWPN2O</v>
      </c>
      <c r="E42" s="54" t="str">
        <v>Global warming potential for nitrous oxide (t CO2-e / t N2O)</v>
      </c>
      <c r="F42" s="94"/>
      <c r="G42" s="136"/>
      <c r="H42" s="49">
        <f>Common_InputFunctions.Utility_LookupValueInTableNumber("N2O",Table_GWPData[Gas],Table_GWPData[CO2-e factor])</f>
        <v>265</v>
      </c>
    </row>
    <row r="43" spans="3:10" ht="20.100000000000001" customHeight="1" x14ac:dyDescent="0.25">
      <c r="H43" s="21"/>
    </row>
    <row r="44" spans="3:10" ht="20.100000000000001" customHeight="1" x14ac:dyDescent="0.25">
      <c r="D44" s="43" t="s">
        <v>78</v>
      </c>
      <c r="E44" s="43" cm="1">
        <f t="array" ref="E44">Common_Equations.Common_ConvertN2OToCO2e(H41,H42)</f>
        <v>1.1843528400000001</v>
      </c>
      <c r="F44" s="95" t="str" cm="1">
        <f t="array" ref="F44">Common_Equations.Common_ConvertN2OToCO2e_Unit()</f>
        <v>t CO2e</v>
      </c>
      <c r="H44" s="21"/>
    </row>
    <row r="45" spans="3:10" ht="20.100000000000001" customHeight="1" x14ac:dyDescent="0.25"/>
    <row r="46" spans="3:10" ht="20.100000000000001" customHeight="1" x14ac:dyDescent="0.25"/>
    <row r="47" spans="3:10" ht="20.100000000000001" customHeight="1" x14ac:dyDescent="0.25">
      <c r="C47" s="43"/>
      <c r="D47" s="43"/>
      <c r="E47" s="43"/>
      <c r="F47" s="43"/>
      <c r="G47" s="43"/>
      <c r="H47" s="43"/>
      <c r="I47" s="43"/>
      <c r="J47" s="43"/>
    </row>
    <row r="48" spans="3:10" ht="20.100000000000001" customHeight="1" x14ac:dyDescent="0.25">
      <c r="D48" s="6" t="str" cm="1">
        <f t="array" ref="D48">AgResidue_Equations_FieldBurning.VEERG_6_4_1_1__1__MethaneEmissionsFromBurningOfCropResidues_Title()</f>
        <v>Methane emissions from the burning of crop residues</v>
      </c>
    </row>
    <row r="49" spans="4:9" ht="20.100000000000001" customHeight="1" x14ac:dyDescent="0.25">
      <c r="D49" s="5" t="str" cm="1">
        <f t="array" ref="D49">AgResidue_Equations_FieldBurning.VEERG_6_4_1_1__1__MethaneEmissionsFromBurningOfCropResidues_Source()</f>
        <v>VEERG 2026: 6.4.1.1, Equation (1)</v>
      </c>
    </row>
    <row r="50" spans="4:9" ht="20.100000000000001" customHeight="1" x14ac:dyDescent="0.25">
      <c r="D50" s="13" t="s">
        <v>21</v>
      </c>
      <c r="E50" s="13" t="str">
        <f ca="1">Common_InputFunctions.Utility_DisplayFunctionName(VEERG_6_4_1_1__1__MethaneEmissionsFromBurningOfCropResidues_Result_Method1)</f>
        <v>=AgResidue_Equations_FieldBurning.VEERG_6_4_1_1__1__MethaneEmissionsFromBurningOfCropResidues</v>
      </c>
    </row>
    <row r="51" spans="4:9" ht="20.100000000000001" customHeight="1" x14ac:dyDescent="0.25"/>
    <row r="52" spans="4:9" ht="20.100000000000001" customHeight="1" x14ac:dyDescent="0.25"/>
    <row r="53" spans="4:9" ht="20.100000000000001" customHeight="1" x14ac:dyDescent="0.25">
      <c r="D53" s="50" t="s">
        <v>24</v>
      </c>
      <c r="E53" s="1" t="str" cm="1">
        <f t="array" ref="E53">AgResidue_Equations_FieldBurning.VEERG_6_4_1_1__1__MethaneEmissionsFromBurningOfCropResidues_Variable()</f>
        <v>ECH4</v>
      </c>
      <c r="F53" s="5"/>
    </row>
    <row r="54" spans="4:9" ht="20.100000000000001" customHeight="1" x14ac:dyDescent="0.25">
      <c r="D54" s="50" t="s">
        <v>15</v>
      </c>
      <c r="E54" s="51" t="str" cm="1">
        <f t="array" ref="E54">AgResidue_Equations_FieldBurning.VEERG_6_4_1_1__1__MethaneEmissionsFromBurningOfCropResidues_Unit()</f>
        <v>t CH4</v>
      </c>
    </row>
    <row r="55" spans="4:9" ht="20.100000000000001" customHeight="1" x14ac:dyDescent="0.25"/>
    <row r="56" spans="4:9" ht="20.100000000000001" customHeight="1" x14ac:dyDescent="0.25">
      <c r="D56" s="114" t="str" cm="1">
        <f t="array" ref="D56:E60">_xlfn.CHOOSECOLS(AgResidue_Equations_FieldBurning.VEERG_6_4_1_1__1__MethaneEmissionsFromBurningOfCropResidues_Arguments(), 1,2)</f>
        <v>M_burnc</v>
      </c>
      <c r="E56" s="118" t="str">
        <v>mass of residue burnt for crop type c</v>
      </c>
      <c r="F56" s="117"/>
      <c r="G56" s="114" t="str" cm="1">
        <f t="array" ref="G56:H60">_xlfn.CHOOSECOLS(AgResidue_Equations_FieldBurning.VEERG_6_4_1_1__1__MethaneEmissionsFromBurningOfCropResidues_Arguments(), 3,4)</f>
        <v>kg</v>
      </c>
      <c r="H56" s="108" t="str">
        <v>Calculated from 6.4.1.1 (3)</v>
      </c>
      <c r="I56" s="114">
        <f>$E$21</f>
        <v>62370</v>
      </c>
    </row>
    <row r="57" spans="4:9" ht="20.100000000000001" customHeight="1" x14ac:dyDescent="0.25">
      <c r="D57" s="114" t="str">
        <v>CC_c</v>
      </c>
      <c r="E57" s="118" t="str">
        <v>carbon mass fraction in the residues of crop type c</v>
      </c>
      <c r="F57" s="117"/>
      <c r="G57" s="114" t="str">
        <v>fraction</v>
      </c>
      <c r="H57" s="108" t="str">
        <v>Constant</v>
      </c>
      <c r="I57" s="114" cm="1">
        <f t="array" ref="I57">Common_InputFunctions.Utility_LookupValueInTableNumber($I$60,Table_SourceData_CropAttributes[Crop type],Table_SourceData_CropAttributes[Carbon fraction in dry matter])</f>
        <v>0.4</v>
      </c>
    </row>
    <row r="58" spans="4:9" ht="20.100000000000001" customHeight="1" x14ac:dyDescent="0.25">
      <c r="D58" s="114" t="str">
        <v>EF_CH4</v>
      </c>
      <c r="E58" s="118" t="str">
        <v>emission factor for methane from burning of crop residues</v>
      </c>
      <c r="F58" s="117"/>
      <c r="G58" s="114" t="str">
        <v>kg CH4 / kg CH4 burnt</v>
      </c>
      <c r="H58" s="108" t="str">
        <v>Constant</v>
      </c>
      <c r="I58" s="114"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14" t="str">
        <v>C_CH4</v>
      </c>
      <c r="E59" s="118" t="str">
        <v>factor to convert elemental mass of methane to molecular mass</v>
      </c>
      <c r="F59" s="117"/>
      <c r="G59" s="114" t="str">
        <v>dimensionless</v>
      </c>
      <c r="H59" s="108" t="str">
        <v>Constant</v>
      </c>
      <c r="I59" s="114">
        <f>Common_InputFunctions.Utility_LookupValueInTableNumber("CH4",Table_GasToMolecularConversionFactor[Gas],Table_GasToMolecularConversionFactor[Conversion factor combined])</f>
        <v>1.3333333333333333</v>
      </c>
    </row>
    <row r="60" spans="4:9" ht="20.100000000000001" customHeight="1" x14ac:dyDescent="0.25">
      <c r="D60" s="114" t="str">
        <v>c</v>
      </c>
      <c r="E60" s="118" t="str">
        <v>Crop type</v>
      </c>
      <c r="F60" s="117"/>
      <c r="G60" s="114" t="str">
        <v/>
      </c>
      <c r="H60" s="109" t="str">
        <v>Input</v>
      </c>
      <c r="I60" s="114" t="str">
        <f>X_Cell_Crop_CropType</f>
        <v>Wheat</v>
      </c>
    </row>
    <row r="61" spans="4:9" ht="20.100000000000001" customHeight="1" x14ac:dyDescent="0.25"/>
    <row r="62" spans="4:9" ht="20.100000000000001" customHeight="1" x14ac:dyDescent="0.25">
      <c r="D62" s="91" t="s">
        <v>108</v>
      </c>
      <c r="E62" s="92" cm="1">
        <f t="array" ref="E62">AgResidue_Equations_FieldBurning.VEERG_6_4_1_1__1__MethaneEmissionsFromBurningOfCropResidues(I56,I57,I58,I59)</f>
        <v>0.116424</v>
      </c>
      <c r="F62" s="93" t="str" cm="1">
        <f t="array" ref="F62">AgResidue_Equations_FieldBurning.VEERG_6_4_1_1__2__NitrousOxideEmissionsFromBurningOfCropResidues_Unit()</f>
        <v>t N2O</v>
      </c>
    </row>
    <row r="63" spans="4:9" ht="20.100000000000001" customHeight="1" x14ac:dyDescent="0.25"/>
    <row r="64" spans="4:9" ht="20.100000000000001" customHeight="1" x14ac:dyDescent="0.25">
      <c r="D64" s="53" t="str" cm="1">
        <f t="array" ref="D64:E65">Common_Equations.Common_ConvertCH4ToCO2e_Arguments()</f>
        <v>ECH4</v>
      </c>
      <c r="E64" s="54" t="str">
        <v>Methane emissions (t CH4)</v>
      </c>
      <c r="F64" s="94"/>
      <c r="G64" s="136"/>
      <c r="H64" s="49">
        <f>VEERG_6_4_1_1__1__MethaneEmissionsFromBurningOfCropResidues_Result_Method1</f>
        <v>0.116424</v>
      </c>
    </row>
    <row r="65" spans="4:8" ht="20.100000000000001" customHeight="1" x14ac:dyDescent="0.25">
      <c r="D65" s="53" t="str">
        <v>GWPCH4</v>
      </c>
      <c r="E65" s="54" t="str">
        <v>Global warming potential for methane (t CO2-e / t CH4)</v>
      </c>
      <c r="F65" s="94"/>
      <c r="G65" s="136"/>
      <c r="H65" s="49">
        <f>Common_InputFunctions.Utility_LookupValueInTableNumber("CH4",Table_GWPData[Gas],Table_GWPData[CO2-e factor])</f>
        <v>28</v>
      </c>
    </row>
    <row r="66" spans="4:8" ht="20.100000000000001" customHeight="1" x14ac:dyDescent="0.25">
      <c r="H66" s="21"/>
    </row>
    <row r="67" spans="4:8" ht="20.100000000000001" customHeight="1" x14ac:dyDescent="0.25">
      <c r="D67" s="43" t="s">
        <v>78</v>
      </c>
      <c r="E67" s="43" cm="1">
        <f t="array" ref="E67">Common_Equations.Common_ConvertCH4ToCO2e(H64,H65)</f>
        <v>3.2598720000000001</v>
      </c>
      <c r="F67" s="95" t="str" cm="1">
        <f t="array" ref="F67">Common_Equations.Common_ConvertCH4ToCO2e_Unit()</f>
        <v>t CO2e</v>
      </c>
      <c r="H67" s="21"/>
    </row>
    <row r="68" spans="4:8" ht="20.100000000000001" customHeight="1" x14ac:dyDescent="0.25"/>
    <row r="69" spans="4:8" ht="20.100000000000001" customHeight="1" x14ac:dyDescent="0.25"/>
    <row r="70" spans="4:8" ht="20.100000000000001" customHeight="1" x14ac:dyDescent="0.25"/>
    <row r="71" spans="4:8" ht="20.100000000000001" customHeight="1" x14ac:dyDescent="0.25"/>
    <row r="72" spans="4:8" ht="20.100000000000001" customHeight="1" x14ac:dyDescent="0.25"/>
    <row r="73" spans="4:8" ht="20.100000000000001" customHeight="1" x14ac:dyDescent="0.25"/>
    <row r="74" spans="4:8" ht="20.100000000000001" customHeight="1" x14ac:dyDescent="0.25"/>
    <row r="75" spans="4:8" ht="20.100000000000001" customHeight="1" x14ac:dyDescent="0.25"/>
    <row r="76" spans="4:8" ht="20.100000000000001" customHeight="1" x14ac:dyDescent="0.25"/>
    <row r="77" spans="4:8" ht="20.100000000000001" customHeight="1" x14ac:dyDescent="0.25"/>
    <row r="78" spans="4:8" ht="20.100000000000001" customHeight="1" x14ac:dyDescent="0.25"/>
    <row r="79" spans="4:8" ht="20.100000000000001" customHeight="1" x14ac:dyDescent="0.25"/>
    <row r="80" spans="4: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35"/>
  <sheetViews>
    <sheetView showGridLines="0" topLeftCell="B16" zoomScaleNormal="100" workbookViewId="0">
      <selection activeCell="A25" sqref="A2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60" t="e" vm="1">
        <v>#VALUE!</v>
      </c>
      <c r="C1" s="8" t="s">
        <v>157</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Agresidue_SourceData.CropPurposeAndYield_Title()</f>
        <v>Crop purpose and yield</v>
      </c>
    </row>
    <row r="6" spans="1:35" ht="20.100000000000001" customHeight="1" x14ac:dyDescent="0.25"/>
    <row r="7" spans="1:35" ht="20.100000000000001" customHeight="1" x14ac:dyDescent="0.25">
      <c r="D7" s="132" t="s">
        <v>168</v>
      </c>
      <c r="E7" s="132" t="s">
        <v>169</v>
      </c>
      <c r="F7" s="132" t="s">
        <v>170</v>
      </c>
      <c r="G7" s="132" t="s">
        <v>171</v>
      </c>
      <c r="H7" s="132" t="s">
        <v>172</v>
      </c>
      <c r="I7" s="132" t="s">
        <v>227</v>
      </c>
      <c r="J7" s="132" t="s">
        <v>228</v>
      </c>
      <c r="K7" s="132" t="s">
        <v>229</v>
      </c>
      <c r="AG7" s="1"/>
      <c r="AH7" s="1"/>
      <c r="AI7" s="1"/>
    </row>
    <row r="8" spans="1:35" ht="20.100000000000001" customHeight="1" x14ac:dyDescent="0.25">
      <c r="A8" s="19"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17" t="str">
        <f>HYPERLINK("#'Input - Site'!A1", "Site")</f>
        <v>Site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17" t="str">
        <f>HYPERLINK("#'Input - Crop'!A1", "Crop")</f>
        <v>Crop</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17" t="str">
        <f>HYPERLINK("#'Input - Pasture'!A1", "Pasture")</f>
        <v>Pasture</v>
      </c>
    </row>
    <row r="12" spans="1:35" ht="20.100000000000001" customHeight="1" x14ac:dyDescent="0.25"/>
    <row r="13" spans="1:35" ht="20.100000000000001" customHeight="1" x14ac:dyDescent="0.25"/>
    <row r="14" spans="1:35" ht="20.100000000000001" customHeight="1" x14ac:dyDescent="0.25">
      <c r="A14" s="18" t="s">
        <v>68</v>
      </c>
    </row>
    <row r="15" spans="1:35" ht="20.100000000000001" customHeight="1" x14ac:dyDescent="0.25">
      <c r="A15" s="17" t="str">
        <f>HYPERLINK("#'6.1.1.1-2 Crop residue N2O'!A1", "6.1.1.1-2 Crop residue N2O")</f>
        <v>6.1.1.1-2 Crop residue N2O</v>
      </c>
      <c r="D15" s="6" t="str" cm="1">
        <f t="array" ref="D15">Agresidue_SourceData.CropAttributes_Title()</f>
        <v>Table A.2.1.1: Crop attributes</v>
      </c>
      <c r="E15" s="21"/>
      <c r="F15" s="21"/>
      <c r="G15" s="21"/>
      <c r="H15" s="21"/>
      <c r="I15" s="21"/>
      <c r="J15" s="21"/>
      <c r="K15" s="21"/>
      <c r="L15" s="21"/>
    </row>
    <row r="16" spans="1:35" ht="20.100000000000001" customHeight="1" x14ac:dyDescent="0.25">
      <c r="A16" s="17" t="str">
        <f>HYPERLINK("#'6.2.1.1-2 Pasture residue N2O'!A1", "6.2.1.1-2 Pasture residue N2O")</f>
        <v>6.2.1.1-2 Pasture residue N2O</v>
      </c>
      <c r="D16" s="5" t="str" cm="1">
        <f t="array" ref="D16">Agresidue_SourceData.CropAttributes_Source()</f>
        <v>VEERG 2026: Table A.2.1.1: Crop attributes</v>
      </c>
      <c r="E16" s="21"/>
      <c r="F16" s="21"/>
      <c r="G16" s="21"/>
      <c r="H16" s="21"/>
      <c r="I16" s="21"/>
      <c r="J16" s="21"/>
      <c r="K16" s="21"/>
      <c r="L16" s="21"/>
    </row>
    <row r="17" spans="1:14" ht="20.100000000000001" customHeight="1" x14ac:dyDescent="0.25">
      <c r="A17" s="17" t="str">
        <f>HYPERLINK("#'6.3.1.1-2 Leaching and runoff'!A1", "6.3.1.1-2 Leaching and runoff")</f>
        <v>6.3.1.1-2 Leaching and runoff</v>
      </c>
      <c r="D17" s="52" t="str" cm="1">
        <f t="array" ref="D17">"⚠️" &amp; Agresidue_SourceData.CropAttributes_Variation()</f>
        <v>⚠️VARIATION FROM SOURCE: 'N/A' values passed as zero for calculations.</v>
      </c>
      <c r="E17" s="21"/>
      <c r="F17" s="21"/>
      <c r="G17" s="21"/>
      <c r="H17" s="21"/>
      <c r="I17" s="21"/>
      <c r="J17" s="21"/>
      <c r="K17" s="21"/>
      <c r="L17" s="21"/>
    </row>
    <row r="18" spans="1:14" ht="20.100000000000001" customHeight="1" x14ac:dyDescent="0.25">
      <c r="A18" s="17" t="str">
        <f>HYPERLINK("#'6.3.1.1-2 Leach runoff crop'!A1", "6.3.1.1-2 Leach runoff crop")</f>
        <v>6.3.1.1-2 Leach runoff crop</v>
      </c>
      <c r="D18" s="21"/>
      <c r="E18" s="21"/>
      <c r="F18" s="21"/>
      <c r="G18" s="21"/>
      <c r="H18" s="21"/>
      <c r="I18" s="21"/>
      <c r="J18" s="21"/>
      <c r="K18" s="21"/>
      <c r="L18" s="21"/>
    </row>
    <row r="19" spans="1:14" ht="20.100000000000001" customHeight="1" x14ac:dyDescent="0.25">
      <c r="A19" s="17" t="str">
        <f>HYPERLINK("#'6.3.1.1-2 Leach runoff pasture'!A1", "6.3.1.1-2 Leach runoff pasture")</f>
        <v>6.3.1.1-2 Leach runoff pasture</v>
      </c>
      <c r="D19" t="s">
        <v>109</v>
      </c>
      <c r="E19" t="s">
        <v>158</v>
      </c>
      <c r="F19" t="s">
        <v>159</v>
      </c>
      <c r="G19" t="s">
        <v>160</v>
      </c>
      <c r="H19" t="s">
        <v>161</v>
      </c>
      <c r="I19" t="s">
        <v>162</v>
      </c>
      <c r="J19" t="s">
        <v>163</v>
      </c>
      <c r="K19" t="s">
        <v>164</v>
      </c>
      <c r="L19" t="s">
        <v>165</v>
      </c>
      <c r="N19" s="6" t="s">
        <v>222</v>
      </c>
    </row>
    <row r="20" spans="1:14" ht="20.100000000000001" customHeight="1" x14ac:dyDescent="0.25">
      <c r="A20" s="17" t="str">
        <f>HYPERLINK("#'6.4.1.1-2 Residue burning'!A1", "6.4.1.1-2 Residue burning")</f>
        <v>6.4.1.1-2 Residue burning</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6" t="s">
        <v>85</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6" t="s">
        <v>223</v>
      </c>
    </row>
    <row r="23" spans="1:14" ht="20.100000000000001" customHeight="1" x14ac:dyDescent="0.25">
      <c r="A23" s="141" t="s">
        <v>1</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6" t="s">
        <v>224</v>
      </c>
    </row>
    <row r="24" spans="1:14" ht="20.100000000000001" customHeight="1" x14ac:dyDescent="0.25">
      <c r="A24" s="128" t="str">
        <f>HYPERLINK("#'Constants - Ag Residue'!A1", "Constants - Ag Residue")</f>
        <v>Constants - Ag Residue</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107</v>
      </c>
    </row>
    <row r="25" spans="1:14" ht="20.100000000000001" customHeight="1" x14ac:dyDescent="0.25">
      <c r="A25" s="17" t="str">
        <f>HYPERLINK("#'Constants - Common'!A1", "Constants - Common")</f>
        <v>Constants - Common</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225</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226</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4:13" ht="20.100000000000001" customHeight="1" x14ac:dyDescent="0.25">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4:13" ht="20.100000000000001" customHeight="1" x14ac:dyDescent="0.25">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4: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4: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4:13" ht="20.100000000000001" customHeight="1" x14ac:dyDescent="0.25">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4:13" ht="20.100000000000001" customHeight="1" x14ac:dyDescent="0.25">
      <c r="D38" s="21"/>
      <c r="E38" s="21"/>
      <c r="F38" s="21"/>
      <c r="G38" s="21"/>
      <c r="H38" s="21"/>
      <c r="I38" s="21"/>
      <c r="J38" s="21"/>
      <c r="K38" s="21"/>
      <c r="L38" s="21"/>
    </row>
    <row r="39" spans="4:13" ht="20.100000000000001" customHeight="1" x14ac:dyDescent="0.25">
      <c r="D39" s="21"/>
      <c r="E39" s="21"/>
      <c r="F39" s="21"/>
      <c r="G39" s="21"/>
      <c r="H39" s="21"/>
      <c r="I39" s="21"/>
      <c r="J39" s="21"/>
      <c r="K39" s="21"/>
      <c r="L39" s="21"/>
    </row>
    <row r="40" spans="4:13" ht="20.100000000000001" customHeight="1" x14ac:dyDescent="0.25">
      <c r="D40" s="6" t="str" cm="1">
        <f t="array" ref="D40">Agresidue_SourceData.N2OEFOrganicFertiliser_Title()</f>
        <v>Emission factor for organic fertiliser and crop residues returned to the soil</v>
      </c>
      <c r="E40" s="3"/>
      <c r="F40" s="3"/>
      <c r="G40" s="21"/>
      <c r="H40" s="21"/>
      <c r="I40" s="21"/>
      <c r="J40" s="21"/>
      <c r="K40" s="21"/>
      <c r="L40" s="21"/>
    </row>
    <row r="41" spans="4:13" ht="20.100000000000001" customHeight="1" x14ac:dyDescent="0.25">
      <c r="D41" s="5" t="str" cm="1">
        <f t="array" ref="D41">Agresidue_SourceData.N2OEFOrganicFertiliser_Source()</f>
        <v>VEERG 2026: Table A.2.1.4</v>
      </c>
      <c r="E41" s="3"/>
      <c r="F41" s="3"/>
      <c r="G41" s="21"/>
      <c r="H41" s="21"/>
      <c r="I41" s="21"/>
      <c r="J41" s="21"/>
      <c r="K41" s="21"/>
      <c r="L41" s="21"/>
    </row>
    <row r="42" spans="4:13" ht="20.100000000000001" customHeight="1" x14ac:dyDescent="0.25">
      <c r="D42" s="5"/>
      <c r="E42" s="3"/>
      <c r="F42" s="3"/>
      <c r="H42" s="21"/>
      <c r="I42" s="21"/>
      <c r="M42" s="3"/>
    </row>
    <row r="43" spans="4:13" ht="20.100000000000001" customHeight="1" x14ac:dyDescent="0.25">
      <c r="D43" s="106" t="s">
        <v>177</v>
      </c>
      <c r="E43" s="106" t="s">
        <v>178</v>
      </c>
      <c r="F43" s="3"/>
      <c r="H43" s="21"/>
      <c r="I43" s="21"/>
      <c r="M43" s="3"/>
    </row>
    <row r="44" spans="4:13" ht="20.100000000000001" customHeight="1" x14ac:dyDescent="0.25">
      <c r="D44" s="35" t="str" cm="1">
        <f t="array" ref="D44">Common_InputFunctions.Utility_DisplayArrayInTable(Agresidue_SourceData.N2OEFOrganicFertiliser_Data(), Table_SourceData_N2OEFOrganicFert[[#Headers],[Climate zone type i]], 0)</f>
        <v>Wet climate zone</v>
      </c>
      <c r="E44" s="35" cm="1">
        <f t="array" ref="E44">Common_InputFunctions.Utility_DisplayArrayInTable(Agresidue_SourceData.N2OEFOrganicFertiliser_Data(), Table_SourceData_N2OEFOrganicFert[[#Headers],[Climate zone type i]], 0)</f>
        <v>6.0000000000000001E-3</v>
      </c>
      <c r="F44" s="3"/>
      <c r="H44" s="21"/>
      <c r="I44" s="21"/>
      <c r="M44" s="3"/>
    </row>
    <row r="45" spans="4:13" ht="20.100000000000001" customHeight="1" x14ac:dyDescent="0.25">
      <c r="D45" s="35" t="str" cm="1">
        <f t="array" ref="D45">Common_InputFunctions.Utility_DisplayArrayInTable(Agresidue_SourceData.N2OEFOrganicFertiliser_Data(), Table_SourceData_N2OEFOrganicFert[[#Headers],[Climate zone type i]], 0)</f>
        <v>Dry climate zone</v>
      </c>
      <c r="E45" s="35" cm="1">
        <f t="array" ref="E45">Common_InputFunctions.Utility_DisplayArrayInTable(Agresidue_SourceData.N2OEFOrganicFertiliser_Data(), Table_SourceData_N2OEFOrganicFert[[#Headers],[Climate zone type i]], 0)</f>
        <v>5.0000000000000001E-3</v>
      </c>
      <c r="F45" s="3"/>
      <c r="H45" s="21"/>
      <c r="I45" s="21"/>
      <c r="M45" s="3"/>
    </row>
    <row r="46" spans="4:13" ht="20.100000000000001" customHeight="1" x14ac:dyDescent="0.25">
      <c r="H46" s="21"/>
      <c r="I46" s="21"/>
      <c r="M46" s="3"/>
    </row>
    <row r="47" spans="4:13" ht="20.100000000000001" customHeight="1" x14ac:dyDescent="0.25">
      <c r="M47" s="3"/>
    </row>
    <row r="48" spans="4:13" ht="20.100000000000001" customHeight="1" x14ac:dyDescent="0.25">
      <c r="D48" s="6" t="str" cm="1">
        <f t="array" ref="D48">Agresidue_SourceData.PastureAttributes_Title()</f>
        <v>Table A.2.1.3 Pasture attributes</v>
      </c>
      <c r="K48" s="21"/>
      <c r="L48" s="21"/>
    </row>
    <row r="49" spans="4:12" ht="20.100000000000001" customHeight="1" x14ac:dyDescent="0.25">
      <c r="D49" s="5" t="str" cm="1">
        <f t="array" ref="D49">Agresidue_SourceData.PastureAttributes_Source()</f>
        <v>VEERG 2026: Table A.2.1.3: Pasture attributes</v>
      </c>
      <c r="K49" s="21"/>
      <c r="L49" s="21"/>
    </row>
    <row r="50" spans="4:12" ht="20.100000000000001" customHeight="1" x14ac:dyDescent="0.25">
      <c r="K50" s="21"/>
      <c r="L50" s="21"/>
    </row>
    <row r="51" spans="4:12" ht="20.100000000000001" customHeight="1" x14ac:dyDescent="0.25">
      <c r="D51" s="36" t="s">
        <v>180</v>
      </c>
      <c r="E51" s="36" t="s">
        <v>181</v>
      </c>
      <c r="F51" s="36" t="s">
        <v>182</v>
      </c>
      <c r="G51" s="36" t="s">
        <v>183</v>
      </c>
      <c r="H51" s="36" t="s">
        <v>184</v>
      </c>
      <c r="I51" s="36" t="s">
        <v>185</v>
      </c>
      <c r="K51" s="21"/>
      <c r="L51" s="21"/>
    </row>
    <row r="52" spans="4:12" ht="20.100000000000001" customHeight="1" x14ac:dyDescent="0.25">
      <c r="D52" s="36" t="str" cm="1">
        <f t="array" ref="D52">Common_InputFunctions.Utility_DisplayArrayInTable(Agresidue_SourceData.PastureAttributes_Data(), Table_SourceData_PastureAttributes[[#Headers],[Pasture type]], 0)</f>
        <v>Annual grass</v>
      </c>
      <c r="E52" s="36" cm="1">
        <f t="array" ref="E52">Common_InputFunctions.Utility_DisplayArrayInTable(Agresidue_SourceData.PastureAttributes_Data(), Table_SourceData_PastureAttributes[[#Headers],[Pasture type]], 0)</f>
        <v>4.41</v>
      </c>
      <c r="F52" s="36" cm="1">
        <f t="array" ref="F52">Common_InputFunctions.Utility_DisplayArrayInTable(Agresidue_SourceData.PastureAttributes_Data(), Table_SourceData_PastureAttributes[[#Headers],[Pasture type]], 0)</f>
        <v>0.4</v>
      </c>
      <c r="G52" s="36" cm="1">
        <f t="array" ref="G52">Common_InputFunctions.Utility_DisplayArrayInTable(Agresidue_SourceData.PastureAttributes_Data(), Table_SourceData_PastureAttributes[[#Headers],[Pasture type]], 0)</f>
        <v>1.4999999999999999E-2</v>
      </c>
      <c r="H52" s="36" cm="1">
        <f t="array" ref="H52">Common_InputFunctions.Utility_DisplayArrayInTable(Agresidue_SourceData.PastureAttributes_Data(), Table_SourceData_PastureAttributes[[#Headers],[Pasture type]], 0)</f>
        <v>1.2E-2</v>
      </c>
      <c r="I52" s="36" cm="1">
        <f t="array" ref="I52">Common_InputFunctions.Utility_DisplayArrayInTable(Agresidue_SourceData.PastureAttributes_Data(), Table_SourceData_PastureAttributes[[#Headers],[Pasture type]], 0)</f>
        <v>0.8</v>
      </c>
      <c r="L52" s="21"/>
    </row>
    <row r="53" spans="4:12" ht="20.100000000000001" customHeight="1" x14ac:dyDescent="0.25">
      <c r="D53" s="36" t="str" cm="1">
        <f t="array" ref="D53">Common_InputFunctions.Utility_DisplayArrayInTable(Agresidue_SourceData.PastureAttributes_Data(), Table_SourceData_PastureAttributes[[#Headers],[Pasture type]], 0)</f>
        <v>Grass clover mixture</v>
      </c>
      <c r="E53" s="36" cm="1">
        <f t="array" ref="E53">Common_InputFunctions.Utility_DisplayArrayInTable(Agresidue_SourceData.PastureAttributes_Data(), Table_SourceData_PastureAttributes[[#Headers],[Pasture type]], 0)</f>
        <v>8.34</v>
      </c>
      <c r="F53" s="36" cm="1">
        <f t="array" ref="F53">Common_InputFunctions.Utility_DisplayArrayInTable(Agresidue_SourceData.PastureAttributes_Data(), Table_SourceData_PastureAttributes[[#Headers],[Pasture type]], 0)</f>
        <v>0.8</v>
      </c>
      <c r="G53" s="36" cm="1">
        <f t="array" ref="G53">Common_InputFunctions.Utility_DisplayArrayInTable(Agresidue_SourceData.PastureAttributes_Data(), Table_SourceData_PastureAttributes[[#Headers],[Pasture type]], 0)</f>
        <v>2.5000000000000001E-2</v>
      </c>
      <c r="H53" s="36" cm="1">
        <f t="array" ref="H53">Common_InputFunctions.Utility_DisplayArrayInTable(Agresidue_SourceData.PastureAttributes_Data(), Table_SourceData_PastureAttributes[[#Headers],[Pasture type]], 0)</f>
        <v>1.6E-2</v>
      </c>
      <c r="I53" s="36" cm="1">
        <f t="array" ref="I53">Common_InputFunctions.Utility_DisplayArrayInTable(Agresidue_SourceData.PastureAttributes_Data(), Table_SourceData_PastureAttributes[[#Headers],[Pasture type]], 0)</f>
        <v>0.8</v>
      </c>
      <c r="L53" s="21"/>
    </row>
    <row r="54" spans="4:12" ht="20.100000000000001" customHeight="1" x14ac:dyDescent="0.25">
      <c r="D54" s="36" t="str" cm="1">
        <f t="array" ref="D54">Common_InputFunctions.Utility_DisplayArrayInTable(Agresidue_SourceData.PastureAttributes_Data(), Table_SourceData_PastureAttributes[[#Headers],[Pasture type]], 0)</f>
        <v>Lucerne</v>
      </c>
      <c r="E54" s="36" cm="1">
        <f t="array" ref="E54">Common_InputFunctions.Utility_DisplayArrayInTable(Agresidue_SourceData.PastureAttributes_Data(), Table_SourceData_PastureAttributes[[#Headers],[Pasture type]], 0)</f>
        <v>8.6199999999999992</v>
      </c>
      <c r="F54" s="36" cm="1">
        <f t="array" ref="F54">Common_InputFunctions.Utility_DisplayArrayInTable(Agresidue_SourceData.PastureAttributes_Data(), Table_SourceData_PastureAttributes[[#Headers],[Pasture type]], 0)</f>
        <v>0.4</v>
      </c>
      <c r="G54" s="36" cm="1">
        <f t="array" ref="G54">Common_InputFunctions.Utility_DisplayArrayInTable(Agresidue_SourceData.PastureAttributes_Data(), Table_SourceData_PastureAttributes[[#Headers],[Pasture type]], 0)</f>
        <v>2.7E-2</v>
      </c>
      <c r="H54" s="36" cm="1">
        <f t="array" ref="H54">Common_InputFunctions.Utility_DisplayArrayInTable(Agresidue_SourceData.PastureAttributes_Data(), Table_SourceData_PastureAttributes[[#Headers],[Pasture type]], 0)</f>
        <v>1.9E-2</v>
      </c>
      <c r="I54" s="36" cm="1">
        <f t="array" ref="I54">Common_InputFunctions.Utility_DisplayArrayInTable(Agresidue_SourceData.PastureAttributes_Data(), Table_SourceData_PastureAttributes[[#Headers],[Pasture type]], 0)</f>
        <v>0.8</v>
      </c>
    </row>
    <row r="55" spans="4:12" ht="20.100000000000001" customHeight="1" x14ac:dyDescent="0.25">
      <c r="D55" s="36" t="str" cm="1">
        <f t="array" ref="D55">Common_InputFunctions.Utility_DisplayArrayInTable(Agresidue_SourceData.PastureAttributes_Data(), Table_SourceData_PastureAttributes[[#Headers],[Pasture type]], 0)</f>
        <v>Other legume</v>
      </c>
      <c r="E55" s="36" cm="1">
        <f t="array" ref="E55">Common_InputFunctions.Utility_DisplayArrayInTable(Agresidue_SourceData.PastureAttributes_Data(), Table_SourceData_PastureAttributes[[#Headers],[Pasture type]], 0)</f>
        <v>5.62</v>
      </c>
      <c r="F55" s="36" cm="1">
        <f t="array" ref="F55">Common_InputFunctions.Utility_DisplayArrayInTable(Agresidue_SourceData.PastureAttributes_Data(), Table_SourceData_PastureAttributes[[#Headers],[Pasture type]], 0)</f>
        <v>0.4</v>
      </c>
      <c r="G55" s="36" cm="1">
        <f t="array" ref="G55">Common_InputFunctions.Utility_DisplayArrayInTable(Agresidue_SourceData.PastureAttributes_Data(), Table_SourceData_PastureAttributes[[#Headers],[Pasture type]], 0)</f>
        <v>2.7E-2</v>
      </c>
      <c r="H55" s="36" cm="1">
        <f t="array" ref="H55">Common_InputFunctions.Utility_DisplayArrayInTable(Agresidue_SourceData.PastureAttributes_Data(), Table_SourceData_PastureAttributes[[#Headers],[Pasture type]], 0)</f>
        <v>2.1999999999999999E-2</v>
      </c>
      <c r="I55" s="36" cm="1">
        <f t="array" ref="I55">Common_InputFunctions.Utility_DisplayArrayInTable(Agresidue_SourceData.PastureAttributes_Data(), Table_SourceData_PastureAttributes[[#Headers],[Pasture type]], 0)</f>
        <v>0.8</v>
      </c>
    </row>
    <row r="56" spans="4:12" ht="20.100000000000001" customHeight="1" x14ac:dyDescent="0.25">
      <c r="D56" s="36" t="str" cm="1">
        <f t="array" ref="D56">Common_InputFunctions.Utility_DisplayArrayInTable(Agresidue_SourceData.PastureAttributes_Data(), Table_SourceData_PastureAttributes[[#Headers],[Pasture type]], 0)</f>
        <v>Perennial pasture</v>
      </c>
      <c r="E56" s="36" cm="1">
        <f t="array" ref="E56">Common_InputFunctions.Utility_DisplayArrayInTable(Agresidue_SourceData.PastureAttributes_Data(), Table_SourceData_PastureAttributes[[#Headers],[Pasture type]], 0)</f>
        <v>8.35</v>
      </c>
      <c r="F56" s="36" cm="1">
        <f t="array" ref="F56">Common_InputFunctions.Utility_DisplayArrayInTable(Agresidue_SourceData.PastureAttributes_Data(), Table_SourceData_PastureAttributes[[#Headers],[Pasture type]], 0)</f>
        <v>0.8</v>
      </c>
      <c r="G56" s="36" cm="1">
        <f t="array" ref="G56">Common_InputFunctions.Utility_DisplayArrayInTable(Agresidue_SourceData.PastureAttributes_Data(), Table_SourceData_PastureAttributes[[#Headers],[Pasture type]], 0)</f>
        <v>1.4999999999999999E-2</v>
      </c>
      <c r="H56" s="36" cm="1">
        <f t="array" ref="H56">Common_InputFunctions.Utility_DisplayArrayInTable(Agresidue_SourceData.PastureAttributes_Data(), Table_SourceData_PastureAttributes[[#Headers],[Pasture type]], 0)</f>
        <v>1.2E-2</v>
      </c>
      <c r="I56" s="36" cm="1">
        <f t="array" ref="I56">Common_InputFunctions.Utility_DisplayArrayInTable(Agresidue_SourceData.PastureAttributes_Data(), Table_SourceData_PastureAttributes[[#Headers],[Pasture type]], 0)</f>
        <v>0.8</v>
      </c>
    </row>
    <row r="57" spans="4:12" ht="20.100000000000001" customHeight="1" x14ac:dyDescent="0.25">
      <c r="H57" s="21"/>
    </row>
    <row r="58" spans="4:12" ht="20.100000000000001" customHeight="1" x14ac:dyDescent="0.25"/>
    <row r="59" spans="4:12" ht="20.100000000000001" customHeight="1" x14ac:dyDescent="0.25">
      <c r="D59" s="6" t="str" cm="1">
        <f t="array" ref="D59">AgResidues_SourceData.BurningOfAgriculturalResiduesEFs_Title()</f>
        <v>Table 5.31 Burning of agricultural residues - EFs</v>
      </c>
    </row>
    <row r="60" spans="4:12" ht="20.100000000000001" customHeight="1" x14ac:dyDescent="0.25">
      <c r="D60" s="5"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6" t="s">
        <v>213</v>
      </c>
      <c r="E62" s="36" t="s">
        <v>214</v>
      </c>
      <c r="F62" s="36" t="s">
        <v>215</v>
      </c>
    </row>
    <row r="63" spans="4:12" ht="20.100000000000001" customHeight="1" x14ac:dyDescent="0.25">
      <c r="D63" s="36" t="str" cm="1">
        <f t="array" ref="D63">Common_InputFunctions.Utility_DisplayArrayInTable(AgResidues_SourceData.BurningOfAgriculturalResiduesEFs_Data(), Table_SourceData_BurningResidueEFs[[#Headers],[Gas species]], 0)</f>
        <v>CH4</v>
      </c>
      <c r="E63" s="36" cm="1">
        <f t="array" ref="E63">Common_InputFunctions.Utility_DisplayArrayInTable(AgResidues_SourceData.BurningOfAgriculturalResiduesEFs_Data(), Table_SourceData_BurningResidueEFs[[#Headers],[Gas species]], 0)</f>
        <v>3.5000000000000001E-3</v>
      </c>
      <c r="F63" s="36" t="str" cm="1">
        <f t="array" ref="F63">Common_InputFunctions.Utility_DisplayArrayInTable(AgResidues_SourceData.BurningOfAgriculturalResiduesEFs_Data(), Table_SourceData_BurningResidueEFs[[#Headers],[Gas species]], 0)</f>
        <v>16/12</v>
      </c>
      <c r="K63" s="21"/>
      <c r="L63" s="21"/>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6" cm="1">
        <f t="array" ref="E64">Common_InputFunctions.Utility_DisplayArrayInTable(AgResidues_SourceData.BurningOfAgriculturalResiduesEFs_Data(), Table_SourceData_BurningResidueEFs[[#Headers],[Gas species]], 0)</f>
        <v>7.6E-3</v>
      </c>
      <c r="F64" s="36" t="str" cm="1">
        <f t="array" ref="F64">Common_InputFunctions.Utility_DisplayArrayInTable(AgResidues_SourceData.BurningOfAgriculturalResiduesEFs_Data(), Table_SourceData_BurningResidueEFs[[#Headers],[Gas species]], 0)</f>
        <v>44/28</v>
      </c>
      <c r="K64" s="21"/>
      <c r="L64" s="21"/>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6" cm="1">
        <f t="array" ref="E65">Common_InputFunctions.Utility_DisplayArrayInTable(AgResidues_SourceData.BurningOfAgriculturalResiduesEFs_Data(), Table_SourceData_BurningResidueEFs[[#Headers],[Gas species]], 0)</f>
        <v>0.21</v>
      </c>
      <c r="F65" s="36" t="str" cm="1">
        <f t="array" ref="F65">Common_InputFunctions.Utility_DisplayArrayInTable(AgResidues_SourceData.BurningOfAgriculturalResiduesEFs_Data(), Table_SourceData_BurningResidueEFs[[#Headers],[Gas species]], 0)</f>
        <v>46/14</v>
      </c>
      <c r="K65" s="21"/>
      <c r="L65" s="21"/>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6" cm="1">
        <f t="array" ref="E66">Common_InputFunctions.Utility_DisplayArrayInTable(AgResidues_SourceData.BurningOfAgriculturalResiduesEFs_Data(), Table_SourceData_BurningResidueEFs[[#Headers],[Gas species]], 0)</f>
        <v>7.8E-2</v>
      </c>
      <c r="F66" s="36" t="str" cm="1">
        <f t="array" ref="F66">Common_InputFunctions.Utility_DisplayArrayInTable(AgResidues_SourceData.BurningOfAgriculturalResiduesEFs_Data(), Table_SourceData_BurningResidueEFs[[#Headers],[Gas species]], 0)</f>
        <v>28/12</v>
      </c>
      <c r="K66" s="21"/>
      <c r="L66" s="21"/>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6" cm="1">
        <f t="array" ref="E67">Common_InputFunctions.Utility_DisplayArrayInTable(AgResidues_SourceData.BurningOfAgriculturalResiduesEFs_Data(), Table_SourceData_BurningResidueEFs[[#Headers],[Gas species]], 0)</f>
        <v>9.1000000000000004E-3</v>
      </c>
      <c r="F67" s="36" t="str" cm="1">
        <f t="array" ref="F67">Common_InputFunctions.Utility_DisplayArrayInTable(AgResidues_SourceData.BurningOfAgriculturalResiduesEFs_Data(), Table_SourceData_BurningResidueEFs[[#Headers],[Gas species]], 0)</f>
        <v>14/12</v>
      </c>
      <c r="K67" s="21"/>
      <c r="L67" s="21"/>
    </row>
    <row r="68" spans="4:12" ht="20.100000000000001" customHeight="1" x14ac:dyDescent="0.25">
      <c r="K68" s="21"/>
      <c r="L68" s="21"/>
    </row>
    <row r="69" spans="4:12" ht="20.100000000000001" customHeight="1" x14ac:dyDescent="0.25">
      <c r="K69" s="21"/>
      <c r="L69" s="21"/>
    </row>
    <row r="70" spans="4:12" ht="20.100000000000001" customHeight="1" x14ac:dyDescent="0.25">
      <c r="D70" s="6" t="str" cm="1">
        <f t="array" ref="D70">Agresidue_SourceData.CropFractionRemoved_Title()</f>
        <v>Table A.2.1.2: Crop attributes - Fraction removed (FFODc)</v>
      </c>
      <c r="E70" s="21"/>
      <c r="F70" s="21"/>
      <c r="G70" s="21"/>
      <c r="K70" s="21"/>
      <c r="L70" s="21"/>
    </row>
    <row r="71" spans="4:12" ht="20.100000000000001" customHeight="1" x14ac:dyDescent="0.25">
      <c r="D71" s="5" t="str" cm="1">
        <f t="array" ref="D71">Agresidue_SourceData.CropFractionRemoved_Source()</f>
        <v>VEERG 2026: Table A.2.1.2: Crop attributes - Fraction removed (FFODc)</v>
      </c>
      <c r="E71" s="21"/>
      <c r="F71" s="21"/>
      <c r="G71" s="21"/>
      <c r="K71" s="21"/>
      <c r="L71" s="21"/>
    </row>
    <row r="72" spans="4:12" ht="20.100000000000001" customHeight="1" x14ac:dyDescent="0.25">
      <c r="D72" s="21"/>
      <c r="E72" s="21"/>
      <c r="F72" s="21"/>
      <c r="G72" s="21"/>
      <c r="K72" s="21"/>
      <c r="L72" s="21"/>
    </row>
    <row r="73" spans="4:12" ht="20.100000000000001" customHeight="1" x14ac:dyDescent="0.25">
      <c r="D73" t="s">
        <v>166</v>
      </c>
      <c r="E73" t="s">
        <v>5</v>
      </c>
      <c r="F73" t="s">
        <v>167</v>
      </c>
      <c r="G73" s="21"/>
      <c r="K73" s="21"/>
      <c r="L73" s="21"/>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21"/>
      <c r="K74" s="21"/>
      <c r="L74" s="21"/>
    </row>
    <row r="75" spans="4:12" ht="20.100000000000001" customHeight="1" x14ac:dyDescent="0.25">
      <c r="D75" s="21"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21"/>
      <c r="H75" s="21"/>
      <c r="K75" s="21"/>
      <c r="L75" s="21"/>
    </row>
    <row r="76" spans="4:12" ht="20.100000000000001" customHeight="1" x14ac:dyDescent="0.25">
      <c r="D76" s="21"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21"/>
      <c r="H76" s="21"/>
      <c r="K76" s="21"/>
      <c r="L76" s="21"/>
    </row>
    <row r="77" spans="4:12" ht="20.100000000000001" customHeight="1" x14ac:dyDescent="0.25">
      <c r="D77" s="21"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21"/>
      <c r="H77" s="21"/>
      <c r="I77" s="21"/>
      <c r="J77" s="21"/>
      <c r="K77" s="21"/>
      <c r="L77" s="21"/>
    </row>
    <row r="78" spans="4:12" ht="20.100000000000001" customHeight="1" x14ac:dyDescent="0.25">
      <c r="D78" s="21"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21"/>
      <c r="H78" s="21"/>
      <c r="I78" s="21"/>
      <c r="J78" s="21"/>
      <c r="K78" s="21"/>
      <c r="L78" s="21"/>
    </row>
    <row r="79" spans="4:12" ht="20.100000000000001" customHeight="1" x14ac:dyDescent="0.25">
      <c r="D79" s="21"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21"/>
      <c r="H79" s="21"/>
      <c r="I79" s="21"/>
      <c r="J79" s="21"/>
      <c r="K79" s="21"/>
      <c r="L79" s="21"/>
    </row>
    <row r="80" spans="4:12" ht="20.100000000000001" customHeight="1" x14ac:dyDescent="0.25">
      <c r="D80" s="21"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21"/>
      <c r="H80" s="21"/>
      <c r="I80" s="21"/>
      <c r="J80" s="21"/>
      <c r="K80" s="21"/>
      <c r="L80" s="21"/>
    </row>
    <row r="81" spans="4:12" ht="20.100000000000001" customHeight="1" x14ac:dyDescent="0.25">
      <c r="D81" s="21"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21"/>
      <c r="H81" s="21"/>
      <c r="I81" s="21"/>
      <c r="J81" s="21"/>
      <c r="K81" s="21"/>
      <c r="L81" s="21"/>
    </row>
    <row r="82" spans="4:12" ht="20.100000000000001" customHeight="1" x14ac:dyDescent="0.25">
      <c r="D82" s="21"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21"/>
      <c r="H82" s="21"/>
      <c r="I82" s="21"/>
      <c r="J82" s="21"/>
      <c r="K82" s="21"/>
      <c r="L82" s="21"/>
    </row>
    <row r="83" spans="4:12" ht="20.100000000000001" customHeight="1" x14ac:dyDescent="0.25">
      <c r="D83" s="21"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21"/>
      <c r="H83" s="21"/>
      <c r="I83" s="21"/>
      <c r="J83" s="21"/>
      <c r="K83" s="21"/>
      <c r="L83" s="21"/>
    </row>
    <row r="84" spans="4:12" ht="20.100000000000001" customHeight="1" x14ac:dyDescent="0.25">
      <c r="D84" s="21"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21"/>
      <c r="H84" s="21"/>
      <c r="I84" s="21"/>
      <c r="J84" s="21"/>
      <c r="K84" s="21"/>
      <c r="L84" s="21"/>
    </row>
    <row r="85" spans="4:12" ht="20.100000000000001" customHeight="1" x14ac:dyDescent="0.25">
      <c r="D85" s="21"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21"/>
      <c r="H85" s="21"/>
      <c r="I85" s="21"/>
      <c r="J85" s="21"/>
      <c r="K85" s="21"/>
      <c r="L85" s="21"/>
    </row>
    <row r="86" spans="4:12" ht="20.100000000000001" customHeight="1" x14ac:dyDescent="0.25">
      <c r="D86" s="21"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21"/>
      <c r="H86" s="21"/>
      <c r="I86" s="21"/>
      <c r="J86" s="21"/>
      <c r="K86" s="21"/>
      <c r="L86" s="21"/>
    </row>
    <row r="87" spans="4:12" ht="20.100000000000001" customHeight="1" x14ac:dyDescent="0.25">
      <c r="D87" s="21"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21"/>
      <c r="H87" s="21"/>
      <c r="I87" s="21"/>
      <c r="J87" s="21"/>
      <c r="K87" s="21"/>
      <c r="L87" s="21"/>
    </row>
    <row r="88" spans="4:12" ht="20.100000000000001" customHeight="1" x14ac:dyDescent="0.25">
      <c r="D88" s="21"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21"/>
      <c r="H88" s="21"/>
      <c r="I88" s="21"/>
      <c r="J88" s="21"/>
      <c r="K88" s="21"/>
      <c r="L88" s="21"/>
    </row>
    <row r="89" spans="4:12" ht="20.100000000000001" customHeight="1" x14ac:dyDescent="0.25">
      <c r="D89" s="21"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21"/>
      <c r="H89" s="21"/>
      <c r="I89" s="21"/>
      <c r="J89" s="21"/>
      <c r="K89" s="21"/>
      <c r="L89" s="21"/>
    </row>
    <row r="90" spans="4:12" ht="20.100000000000001" customHeight="1" x14ac:dyDescent="0.25">
      <c r="D90" s="21"/>
      <c r="E90" s="21"/>
      <c r="F90" s="21"/>
      <c r="G90" s="21"/>
      <c r="H90" s="21"/>
      <c r="I90" s="21"/>
      <c r="J90" s="21"/>
      <c r="K90" s="21"/>
      <c r="L90" s="21"/>
    </row>
    <row r="91" spans="4:12" ht="20.100000000000001" customHeight="1" x14ac:dyDescent="0.25">
      <c r="D91" s="52" t="str" cm="1">
        <f t="array" ref="D91">"⚠️" &amp; Agresidue_SourceData.CropFractionRemoved_Variation()</f>
        <v>⚠️VARIATION OF SOURCE DATA: Split 'All other crop types' into individual crop types for each state. Listed all states for Sugar Cane, with 'N/A' for states where it is not grown.</v>
      </c>
      <c r="E91" s="21"/>
      <c r="F91" s="21"/>
      <c r="G91" s="21"/>
      <c r="H91" s="21"/>
      <c r="I91" s="21"/>
      <c r="J91" s="21"/>
      <c r="K91" s="21"/>
      <c r="L91" s="21"/>
    </row>
    <row r="92" spans="4:12" ht="20.100000000000001" customHeight="1" x14ac:dyDescent="0.25">
      <c r="D92" t="s">
        <v>166</v>
      </c>
      <c r="E92" t="s">
        <v>5</v>
      </c>
      <c r="F92" t="s">
        <v>167</v>
      </c>
      <c r="G92" s="21"/>
      <c r="H92" s="21"/>
      <c r="I92" s="21"/>
      <c r="J92" s="21"/>
      <c r="K92" s="21"/>
      <c r="L92" s="21"/>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21"/>
      <c r="H93" s="21"/>
      <c r="I93" s="21"/>
      <c r="J93" s="21"/>
      <c r="K93" s="21"/>
      <c r="L93" s="21"/>
    </row>
    <row r="94" spans="4:12" ht="20.100000000000001" customHeight="1" x14ac:dyDescent="0.25">
      <c r="D94" s="21"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21"/>
      <c r="H94" s="21"/>
      <c r="I94" s="21"/>
      <c r="J94" s="21"/>
      <c r="K94" s="21"/>
      <c r="L94" s="21"/>
    </row>
    <row r="95" spans="4:12" ht="20.100000000000001" customHeight="1" x14ac:dyDescent="0.25">
      <c r="D95" s="21"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21"/>
      <c r="H95" s="21"/>
      <c r="I95" s="21"/>
      <c r="J95" s="21"/>
      <c r="K95" s="21"/>
      <c r="L95" s="21"/>
    </row>
    <row r="96" spans="4:12" ht="20.100000000000001" customHeight="1" x14ac:dyDescent="0.25">
      <c r="D96" s="21"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21"/>
      <c r="H96" s="21"/>
      <c r="I96" s="21"/>
      <c r="J96" s="21"/>
      <c r="K96" s="21"/>
      <c r="L96" s="21"/>
    </row>
    <row r="97" spans="4:12" ht="20.100000000000001" customHeight="1" x14ac:dyDescent="0.25">
      <c r="D97" s="21"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21"/>
      <c r="H97" s="21"/>
      <c r="I97" s="21"/>
      <c r="J97" s="21"/>
      <c r="K97" s="21"/>
      <c r="L97" s="21"/>
    </row>
    <row r="98" spans="4:12" ht="20.100000000000001" customHeight="1" x14ac:dyDescent="0.25">
      <c r="D98" s="21"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21"/>
      <c r="H98" s="21"/>
      <c r="I98" s="21"/>
      <c r="J98" s="21"/>
      <c r="K98" s="21"/>
      <c r="L98" s="21"/>
    </row>
    <row r="99" spans="4:12" ht="20.100000000000001" customHeight="1" x14ac:dyDescent="0.25">
      <c r="D99" s="21"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21"/>
      <c r="H99" s="21"/>
      <c r="I99" s="21"/>
      <c r="J99" s="21"/>
      <c r="K99" s="21"/>
      <c r="L99" s="21"/>
    </row>
    <row r="100" spans="4:12" ht="20.100000000000001" customHeight="1" x14ac:dyDescent="0.25">
      <c r="D100" s="21"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21"/>
      <c r="H100" s="21"/>
      <c r="I100" s="21"/>
      <c r="J100" s="21"/>
      <c r="K100" s="21"/>
      <c r="L100" s="21"/>
    </row>
    <row r="101" spans="4:12" ht="20.100000000000001" customHeight="1" x14ac:dyDescent="0.25">
      <c r="D101" s="21"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21"/>
      <c r="H101" s="21"/>
      <c r="I101" s="21"/>
      <c r="J101" s="21"/>
      <c r="K101" s="21"/>
      <c r="L101" s="21"/>
    </row>
    <row r="102" spans="4:12" ht="20.100000000000001" customHeight="1" x14ac:dyDescent="0.25">
      <c r="D102" s="21"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21"/>
      <c r="H102" s="21"/>
      <c r="I102" s="21"/>
      <c r="J102" s="21"/>
      <c r="K102" s="21"/>
      <c r="L102" s="21"/>
    </row>
    <row r="103" spans="4:12" ht="20.100000000000001" customHeight="1" x14ac:dyDescent="0.25">
      <c r="D103" s="21"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21"/>
      <c r="H103" s="21"/>
      <c r="I103" s="21"/>
      <c r="J103" s="21"/>
      <c r="K103" s="21"/>
      <c r="L103" s="21"/>
    </row>
    <row r="104" spans="4:12" ht="20.100000000000001" customHeight="1" x14ac:dyDescent="0.25">
      <c r="D104" s="21"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21"/>
      <c r="H104" s="21"/>
      <c r="I104" s="21"/>
      <c r="J104" s="21"/>
      <c r="K104" s="21"/>
      <c r="L104" s="21"/>
    </row>
    <row r="105" spans="4:12" ht="20.100000000000001" customHeight="1" x14ac:dyDescent="0.25">
      <c r="D105" s="21"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21"/>
      <c r="H105" s="21"/>
      <c r="I105" s="21"/>
      <c r="J105" s="21"/>
      <c r="K105" s="21"/>
      <c r="L105" s="21"/>
    </row>
    <row r="106" spans="4:12" ht="20.100000000000001" customHeight="1" x14ac:dyDescent="0.25">
      <c r="D106" s="21"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21"/>
      <c r="H106" s="21"/>
      <c r="I106" s="21"/>
      <c r="J106" s="21"/>
      <c r="K106" s="21"/>
      <c r="L106" s="21"/>
    </row>
    <row r="107" spans="4:12" ht="20.100000000000001" customHeight="1" x14ac:dyDescent="0.25">
      <c r="D107" s="21"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21"/>
      <c r="H107" s="21"/>
      <c r="I107" s="21"/>
      <c r="J107" s="21"/>
      <c r="K107" s="21"/>
      <c r="L107" s="21"/>
    </row>
    <row r="108" spans="4:12" ht="20.100000000000001" customHeight="1" x14ac:dyDescent="0.25">
      <c r="D108" s="21"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21"/>
      <c r="H108" s="21"/>
      <c r="I108" s="21"/>
      <c r="J108" s="21"/>
      <c r="K108" s="21"/>
      <c r="L108" s="21"/>
    </row>
    <row r="109" spans="4:12" ht="20.100000000000001" customHeight="1" x14ac:dyDescent="0.25">
      <c r="D109" s="21"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21"/>
      <c r="H109" s="21"/>
      <c r="I109" s="21"/>
      <c r="J109" s="21"/>
      <c r="K109" s="21"/>
      <c r="L109" s="21"/>
    </row>
    <row r="110" spans="4:12" ht="20.100000000000001" customHeight="1" x14ac:dyDescent="0.25">
      <c r="D110" s="21"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21"/>
      <c r="H110" s="21"/>
      <c r="I110" s="21"/>
      <c r="J110" s="21"/>
      <c r="K110" s="21"/>
      <c r="L110" s="21"/>
    </row>
    <row r="111" spans="4:12" ht="20.100000000000001" customHeight="1" x14ac:dyDescent="0.25">
      <c r="D111" s="21"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21"/>
      <c r="H111" s="21"/>
      <c r="I111" s="21"/>
      <c r="J111" s="21"/>
      <c r="K111" s="21"/>
      <c r="L111" s="21"/>
    </row>
    <row r="112" spans="4:12" ht="20.100000000000001" customHeight="1" x14ac:dyDescent="0.25">
      <c r="D112" s="21"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21"/>
      <c r="H112" s="21"/>
      <c r="I112" s="21"/>
      <c r="J112" s="21"/>
      <c r="K112" s="21"/>
      <c r="L112" s="21"/>
    </row>
    <row r="113" spans="4:12" ht="20.100000000000001" customHeight="1" x14ac:dyDescent="0.25">
      <c r="D113" s="21"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21"/>
      <c r="H113" s="21"/>
      <c r="I113" s="21"/>
      <c r="J113" s="21"/>
      <c r="K113" s="21"/>
      <c r="L113" s="21"/>
    </row>
    <row r="114" spans="4:12" ht="20.100000000000001" customHeight="1" x14ac:dyDescent="0.25">
      <c r="D114" s="21"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21"/>
      <c r="H114" s="21"/>
      <c r="I114" s="21"/>
      <c r="J114" s="21"/>
      <c r="K114" s="21"/>
      <c r="L114" s="21"/>
    </row>
    <row r="115" spans="4:12" ht="20.100000000000001" customHeight="1" x14ac:dyDescent="0.25">
      <c r="D115" s="21"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21"/>
      <c r="H115" s="21"/>
      <c r="I115" s="21"/>
      <c r="J115" s="21"/>
      <c r="K115" s="21"/>
      <c r="L115" s="21"/>
    </row>
    <row r="116" spans="4:12" ht="20.100000000000001" customHeight="1" x14ac:dyDescent="0.25">
      <c r="D116" s="21"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21"/>
      <c r="H116" s="21"/>
      <c r="I116" s="21"/>
      <c r="J116" s="21"/>
      <c r="K116" s="21"/>
      <c r="L116" s="21"/>
    </row>
    <row r="117" spans="4:12" ht="20.100000000000001" customHeight="1" x14ac:dyDescent="0.25">
      <c r="D117" s="21"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21"/>
      <c r="H117" s="21"/>
      <c r="I117" s="21"/>
      <c r="J117" s="21"/>
      <c r="K117" s="21"/>
      <c r="L117" s="21"/>
    </row>
    <row r="118" spans="4:12" ht="20.100000000000001" customHeight="1" x14ac:dyDescent="0.25">
      <c r="D118" s="21"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21"/>
      <c r="H118" s="21"/>
      <c r="I118" s="21"/>
      <c r="J118" s="21"/>
      <c r="K118" s="21"/>
      <c r="L118" s="21"/>
    </row>
    <row r="119" spans="4:12" ht="20.100000000000001" customHeight="1" x14ac:dyDescent="0.25">
      <c r="D119" s="21"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21"/>
      <c r="H119" s="21"/>
      <c r="I119" s="21"/>
      <c r="J119" s="21"/>
      <c r="K119" s="21"/>
      <c r="L119" s="21"/>
    </row>
    <row r="120" spans="4:12" ht="20.100000000000001" customHeight="1" x14ac:dyDescent="0.25">
      <c r="D120" s="21"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21"/>
      <c r="H120" s="21"/>
      <c r="I120" s="21"/>
      <c r="J120" s="21"/>
      <c r="K120" s="21"/>
      <c r="L120" s="21"/>
    </row>
    <row r="121" spans="4:12" ht="20.100000000000001" customHeight="1" x14ac:dyDescent="0.25">
      <c r="D121" s="21"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21"/>
      <c r="H121" s="21"/>
      <c r="I121" s="21"/>
      <c r="J121" s="21"/>
      <c r="K121" s="21"/>
      <c r="L121" s="21"/>
    </row>
    <row r="122" spans="4:12" ht="20.100000000000001" customHeight="1" x14ac:dyDescent="0.25">
      <c r="D122" s="21"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21"/>
      <c r="H122" s="21"/>
      <c r="I122" s="21"/>
      <c r="J122" s="21"/>
      <c r="K122" s="21"/>
      <c r="L122" s="21"/>
    </row>
    <row r="123" spans="4:12" ht="20.100000000000001" customHeight="1" x14ac:dyDescent="0.25">
      <c r="D123" s="21"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21"/>
      <c r="H123" s="21"/>
      <c r="I123" s="21"/>
      <c r="J123" s="21"/>
      <c r="K123" s="21"/>
      <c r="L123" s="21"/>
    </row>
    <row r="124" spans="4:12" ht="20.100000000000001" customHeight="1" x14ac:dyDescent="0.25">
      <c r="D124" s="21"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21"/>
      <c r="H124" s="21"/>
      <c r="I124" s="21"/>
      <c r="J124" s="21"/>
      <c r="K124" s="21"/>
      <c r="L124" s="21"/>
    </row>
    <row r="125" spans="4:12" ht="20.100000000000001" customHeight="1" x14ac:dyDescent="0.25">
      <c r="D125" s="21"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21"/>
      <c r="H125" s="21"/>
      <c r="I125" s="21"/>
      <c r="J125" s="21"/>
      <c r="K125" s="21"/>
      <c r="L125" s="21"/>
    </row>
    <row r="126" spans="4:12" ht="20.100000000000001" customHeight="1" x14ac:dyDescent="0.25">
      <c r="D126" s="21"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21"/>
      <c r="H126" s="21"/>
      <c r="I126" s="21"/>
      <c r="J126" s="21"/>
      <c r="K126" s="21"/>
      <c r="L126" s="21"/>
    </row>
    <row r="127" spans="4:12" ht="20.100000000000001" customHeight="1" x14ac:dyDescent="0.25">
      <c r="D127" s="21"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21"/>
      <c r="H127" s="21"/>
      <c r="I127" s="21"/>
      <c r="J127" s="21"/>
      <c r="K127" s="21"/>
      <c r="L127" s="21"/>
    </row>
    <row r="128" spans="4:12" ht="20.100000000000001" customHeight="1" x14ac:dyDescent="0.25">
      <c r="D128" s="21"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21"/>
      <c r="H128" s="21"/>
      <c r="I128" s="21"/>
      <c r="J128" s="21"/>
      <c r="K128" s="21"/>
      <c r="L128" s="21"/>
    </row>
    <row r="129" spans="4:12" ht="20.100000000000001" customHeight="1" x14ac:dyDescent="0.25">
      <c r="D129" s="21"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21"/>
      <c r="H129" s="21"/>
      <c r="I129" s="21"/>
      <c r="J129" s="21"/>
      <c r="K129" s="21"/>
      <c r="L129" s="21"/>
    </row>
    <row r="130" spans="4:12" ht="20.100000000000001" customHeight="1" x14ac:dyDescent="0.25">
      <c r="D130" s="21"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21"/>
      <c r="H130" s="21"/>
      <c r="I130" s="21"/>
      <c r="J130" s="21"/>
      <c r="K130" s="21"/>
      <c r="L130" s="21"/>
    </row>
    <row r="131" spans="4:12" ht="20.100000000000001" customHeight="1" x14ac:dyDescent="0.25">
      <c r="D131" s="21"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21"/>
      <c r="H131" s="21"/>
      <c r="I131" s="21"/>
      <c r="J131" s="21"/>
      <c r="K131" s="21"/>
      <c r="L131" s="21"/>
    </row>
    <row r="132" spans="4:12" ht="20.100000000000001" customHeight="1" x14ac:dyDescent="0.25">
      <c r="D132" s="21"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21"/>
      <c r="H132" s="21"/>
      <c r="I132" s="21"/>
      <c r="J132" s="21"/>
      <c r="K132" s="21"/>
      <c r="L132" s="21"/>
    </row>
    <row r="133" spans="4:12" ht="20.100000000000001" customHeight="1" x14ac:dyDescent="0.25">
      <c r="D133" s="21"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21"/>
      <c r="H133" s="21"/>
      <c r="I133" s="21"/>
      <c r="J133" s="21"/>
      <c r="K133" s="21"/>
      <c r="L133" s="21"/>
    </row>
    <row r="134" spans="4:12" ht="20.100000000000001" customHeight="1" x14ac:dyDescent="0.25">
      <c r="D134" s="21"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21"/>
      <c r="H134" s="21"/>
      <c r="I134" s="21"/>
      <c r="J134" s="21"/>
      <c r="K134" s="21"/>
      <c r="L134" s="21"/>
    </row>
    <row r="135" spans="4:12" ht="20.100000000000001" customHeight="1" x14ac:dyDescent="0.25">
      <c r="D135" s="21"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21"/>
      <c r="H135" s="21"/>
      <c r="I135" s="21"/>
      <c r="J135" s="21"/>
      <c r="K135" s="21"/>
      <c r="L135" s="21"/>
    </row>
    <row r="136" spans="4:12" ht="20.100000000000001" customHeight="1" x14ac:dyDescent="0.25">
      <c r="D136" s="21"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21"/>
      <c r="H136" s="21"/>
      <c r="I136" s="21"/>
      <c r="J136" s="21"/>
      <c r="K136" s="21"/>
      <c r="L136" s="21"/>
    </row>
    <row r="137" spans="4:12" ht="20.100000000000001" customHeight="1" x14ac:dyDescent="0.25">
      <c r="D137" s="21"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21"/>
      <c r="H137" s="21"/>
      <c r="I137" s="21"/>
      <c r="J137" s="21"/>
      <c r="K137" s="21"/>
      <c r="L137" s="21"/>
    </row>
    <row r="138" spans="4:12" ht="20.100000000000001" customHeight="1" x14ac:dyDescent="0.25">
      <c r="D138" s="21"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21"/>
      <c r="H138" s="21"/>
      <c r="I138" s="21"/>
      <c r="J138" s="21"/>
      <c r="K138" s="21"/>
      <c r="L138" s="21"/>
    </row>
    <row r="139" spans="4:12" ht="20.100000000000001" customHeight="1" x14ac:dyDescent="0.25">
      <c r="D139" s="21"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21"/>
      <c r="H139" s="21"/>
      <c r="I139" s="21"/>
      <c r="J139" s="21"/>
      <c r="K139" s="21"/>
      <c r="L139" s="21"/>
    </row>
    <row r="140" spans="4:12" ht="20.100000000000001" customHeight="1" x14ac:dyDescent="0.25">
      <c r="D140" s="21"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21"/>
      <c r="H140" s="21"/>
      <c r="I140" s="21"/>
      <c r="J140" s="21"/>
      <c r="K140" s="21"/>
      <c r="L140" s="21"/>
    </row>
    <row r="141" spans="4:12" ht="20.100000000000001" customHeight="1" x14ac:dyDescent="0.25">
      <c r="D141" s="21"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21"/>
      <c r="H141" s="21"/>
      <c r="I141" s="21"/>
      <c r="J141" s="21"/>
      <c r="K141" s="21"/>
      <c r="L141" s="21"/>
    </row>
    <row r="142" spans="4:12" ht="20.100000000000001" customHeight="1" x14ac:dyDescent="0.25">
      <c r="D142" s="21"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21"/>
      <c r="H142" s="21"/>
      <c r="I142" s="21"/>
      <c r="J142" s="21"/>
      <c r="K142" s="21"/>
      <c r="L142" s="21"/>
    </row>
    <row r="143" spans="4:12" ht="20.100000000000001" customHeight="1" x14ac:dyDescent="0.25">
      <c r="D143" s="21"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21"/>
      <c r="H143" s="21"/>
      <c r="I143" s="21"/>
      <c r="J143" s="21"/>
      <c r="K143" s="21"/>
      <c r="L143" s="21"/>
    </row>
    <row r="144" spans="4:12" ht="20.100000000000001" customHeight="1" x14ac:dyDescent="0.25">
      <c r="D144" s="21"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21"/>
      <c r="H144" s="21"/>
      <c r="I144" s="21"/>
      <c r="J144" s="21"/>
      <c r="K144" s="21"/>
      <c r="L144" s="21"/>
    </row>
    <row r="145" spans="4:12" ht="20.100000000000001" customHeight="1" x14ac:dyDescent="0.25">
      <c r="D145" s="21"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21"/>
      <c r="H145" s="21"/>
      <c r="I145" s="21"/>
      <c r="J145" s="21"/>
      <c r="K145" s="21"/>
      <c r="L145" s="21"/>
    </row>
    <row r="146" spans="4:12" ht="20.100000000000001" customHeight="1" x14ac:dyDescent="0.25">
      <c r="D146" s="21"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21"/>
      <c r="H146" s="21"/>
      <c r="I146" s="21"/>
      <c r="J146" s="21"/>
      <c r="K146" s="21"/>
      <c r="L146" s="21"/>
    </row>
    <row r="147" spans="4:12" ht="20.100000000000001" customHeight="1" x14ac:dyDescent="0.25">
      <c r="D147" s="21"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21"/>
      <c r="H147" s="21"/>
      <c r="I147" s="21"/>
      <c r="J147" s="21"/>
      <c r="K147" s="21"/>
      <c r="L147" s="21"/>
    </row>
    <row r="148" spans="4:12" ht="20.100000000000001" customHeight="1" x14ac:dyDescent="0.25">
      <c r="D148" s="21"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21"/>
      <c r="H148" s="21"/>
      <c r="I148" s="21"/>
      <c r="J148" s="21"/>
      <c r="K148" s="21"/>
      <c r="L148" s="21"/>
    </row>
    <row r="149" spans="4:12" ht="20.100000000000001" customHeight="1" x14ac:dyDescent="0.25">
      <c r="D149" s="21"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21"/>
      <c r="H149" s="21"/>
      <c r="I149" s="21"/>
      <c r="J149" s="21"/>
      <c r="K149" s="21"/>
      <c r="L149" s="21"/>
    </row>
    <row r="150" spans="4:12" ht="20.100000000000001" customHeight="1" x14ac:dyDescent="0.25">
      <c r="D150" s="21"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21"/>
      <c r="H150" s="21"/>
      <c r="I150" s="21"/>
      <c r="J150" s="21"/>
      <c r="K150" s="21"/>
      <c r="L150" s="21"/>
    </row>
    <row r="151" spans="4:12" ht="20.100000000000001" customHeight="1" x14ac:dyDescent="0.25">
      <c r="D151" s="21"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21"/>
      <c r="H151" s="21"/>
      <c r="I151" s="21"/>
      <c r="J151" s="21"/>
      <c r="K151" s="21"/>
      <c r="L151" s="21"/>
    </row>
    <row r="152" spans="4:12" ht="20.100000000000001" customHeight="1" x14ac:dyDescent="0.25">
      <c r="D152" s="21"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21"/>
      <c r="H152" s="21"/>
      <c r="I152" s="21"/>
      <c r="J152" s="21"/>
      <c r="K152" s="21"/>
      <c r="L152" s="21"/>
    </row>
    <row r="153" spans="4:12" ht="20.100000000000001" customHeight="1" x14ac:dyDescent="0.25">
      <c r="D153" s="21"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21"/>
      <c r="H153" s="21"/>
      <c r="I153" s="21"/>
      <c r="J153" s="21"/>
      <c r="K153" s="21"/>
      <c r="L153" s="21"/>
    </row>
    <row r="154" spans="4:12" ht="20.100000000000001" customHeight="1" x14ac:dyDescent="0.25">
      <c r="D154" s="21"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21"/>
      <c r="H154" s="21"/>
      <c r="I154" s="21"/>
      <c r="J154" s="21"/>
      <c r="K154" s="21"/>
      <c r="L154" s="21"/>
    </row>
    <row r="155" spans="4:12" ht="20.100000000000001" customHeight="1" x14ac:dyDescent="0.25">
      <c r="D155" s="21"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21"/>
      <c r="H155" s="21"/>
      <c r="I155" s="21"/>
      <c r="J155" s="21"/>
      <c r="K155" s="21"/>
      <c r="L155" s="21"/>
    </row>
    <row r="156" spans="4:12" ht="20.100000000000001" customHeight="1" x14ac:dyDescent="0.25">
      <c r="D156" s="21"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21"/>
      <c r="H156" s="21"/>
      <c r="I156" s="21"/>
      <c r="J156" s="21"/>
      <c r="K156" s="21"/>
      <c r="L156" s="21"/>
    </row>
    <row r="157" spans="4:12" ht="20.100000000000001" customHeight="1" x14ac:dyDescent="0.25">
      <c r="D157" s="21"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21"/>
      <c r="H157" s="21"/>
      <c r="I157" s="21"/>
      <c r="J157" s="21"/>
      <c r="K157" s="21"/>
      <c r="L157" s="21"/>
    </row>
    <row r="158" spans="4:12" ht="20.100000000000001" customHeight="1" x14ac:dyDescent="0.25">
      <c r="D158" s="21"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21"/>
      <c r="H158" s="21"/>
      <c r="I158" s="21"/>
      <c r="J158" s="21"/>
      <c r="K158" s="21"/>
      <c r="L158" s="21"/>
    </row>
    <row r="159" spans="4:12" ht="20.100000000000001" customHeight="1" x14ac:dyDescent="0.25">
      <c r="D159" s="21"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21"/>
      <c r="H159" s="21"/>
      <c r="I159" s="21"/>
      <c r="J159" s="21"/>
      <c r="K159" s="21"/>
      <c r="L159" s="21"/>
    </row>
    <row r="160" spans="4:12" ht="20.100000000000001" customHeight="1" x14ac:dyDescent="0.25">
      <c r="D160" s="21"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21"/>
      <c r="H160" s="21"/>
      <c r="I160" s="21"/>
      <c r="J160" s="21"/>
      <c r="K160" s="21"/>
      <c r="L160" s="21"/>
    </row>
    <row r="161" spans="4:12" ht="20.100000000000001" customHeight="1" x14ac:dyDescent="0.25">
      <c r="D161" s="21"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21"/>
      <c r="H161" s="21"/>
      <c r="I161" s="21"/>
      <c r="J161" s="21"/>
      <c r="K161" s="21"/>
      <c r="L161" s="21"/>
    </row>
    <row r="162" spans="4:12" ht="20.100000000000001" customHeight="1" x14ac:dyDescent="0.25">
      <c r="D162" s="21"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21"/>
      <c r="H162" s="21"/>
      <c r="I162" s="21"/>
      <c r="J162" s="21"/>
      <c r="K162" s="21"/>
      <c r="L162" s="21"/>
    </row>
    <row r="163" spans="4:12" ht="20.100000000000001" customHeight="1" x14ac:dyDescent="0.25">
      <c r="D163" s="21"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21"/>
      <c r="H163" s="21"/>
      <c r="I163" s="21"/>
      <c r="J163" s="21"/>
      <c r="K163" s="21"/>
      <c r="L163" s="21"/>
    </row>
    <row r="164" spans="4:12" ht="20.100000000000001" customHeight="1" x14ac:dyDescent="0.25">
      <c r="D164" s="21"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21"/>
      <c r="H164" s="21"/>
      <c r="I164" s="21"/>
      <c r="J164" s="21"/>
      <c r="K164" s="21"/>
      <c r="L164" s="21"/>
    </row>
    <row r="165" spans="4:12" ht="20.100000000000001" customHeight="1" x14ac:dyDescent="0.25">
      <c r="D165" s="21"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21"/>
      <c r="H165" s="21"/>
      <c r="I165" s="21"/>
      <c r="J165" s="21"/>
      <c r="K165" s="21"/>
      <c r="L165" s="21"/>
    </row>
    <row r="166" spans="4:12" x14ac:dyDescent="0.25">
      <c r="D166" s="21"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21"/>
      <c r="H166" s="21"/>
      <c r="I166" s="21"/>
      <c r="J166" s="21"/>
      <c r="K166" s="21"/>
      <c r="L166" s="21"/>
    </row>
    <row r="167" spans="4:12" x14ac:dyDescent="0.25">
      <c r="D167" s="21"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21"/>
      <c r="H167" s="21"/>
      <c r="I167" s="21"/>
      <c r="J167" s="21"/>
      <c r="K167" s="21"/>
      <c r="L167" s="21"/>
    </row>
    <row r="168" spans="4:12" x14ac:dyDescent="0.25">
      <c r="D168" s="21"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21"/>
      <c r="H168" s="21"/>
      <c r="I168" s="21"/>
      <c r="J168" s="21"/>
      <c r="K168" s="21"/>
      <c r="L168" s="21"/>
    </row>
    <row r="169" spans="4:12" x14ac:dyDescent="0.25">
      <c r="D169" s="21"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21"/>
      <c r="H169" s="21"/>
      <c r="I169" s="21"/>
      <c r="J169" s="21"/>
      <c r="K169" s="21"/>
      <c r="L169" s="21"/>
    </row>
    <row r="170" spans="4:12" x14ac:dyDescent="0.25">
      <c r="D170" s="21"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21"/>
      <c r="H170" s="21"/>
      <c r="I170" s="21"/>
      <c r="J170" s="21"/>
      <c r="K170" s="21"/>
      <c r="L170" s="21"/>
    </row>
    <row r="171" spans="4:12" x14ac:dyDescent="0.25">
      <c r="D171" s="21"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21"/>
      <c r="H171" s="21"/>
      <c r="I171" s="21"/>
      <c r="J171" s="21"/>
      <c r="K171" s="21"/>
      <c r="L171" s="21"/>
    </row>
    <row r="172" spans="4:12" x14ac:dyDescent="0.25">
      <c r="D172" s="21"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21"/>
      <c r="H172" s="21"/>
      <c r="I172" s="21"/>
      <c r="J172" s="21"/>
      <c r="K172" s="21"/>
      <c r="L172" s="21"/>
    </row>
    <row r="173" spans="4:12" x14ac:dyDescent="0.25">
      <c r="D173" s="21"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21"/>
      <c r="H173" s="21"/>
      <c r="I173" s="21"/>
      <c r="J173" s="21"/>
      <c r="K173" s="21"/>
      <c r="L173" s="21"/>
    </row>
    <row r="174" spans="4:12" x14ac:dyDescent="0.25">
      <c r="D174" s="21"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21"/>
      <c r="H174" s="21"/>
      <c r="I174" s="21"/>
      <c r="J174" s="21"/>
      <c r="K174" s="21"/>
      <c r="L174" s="21"/>
    </row>
    <row r="175" spans="4:12" x14ac:dyDescent="0.25">
      <c r="D175" s="21"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21"/>
      <c r="H175" s="21"/>
      <c r="I175" s="21"/>
      <c r="J175" s="21"/>
      <c r="K175" s="21"/>
      <c r="L175" s="21"/>
    </row>
    <row r="176" spans="4:12" x14ac:dyDescent="0.25">
      <c r="D176" s="21"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21"/>
      <c r="H176" s="21"/>
      <c r="I176" s="21"/>
      <c r="J176" s="21"/>
      <c r="K176" s="21"/>
      <c r="L176" s="21"/>
    </row>
    <row r="177" spans="4:12" x14ac:dyDescent="0.25">
      <c r="D177" s="21"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21"/>
      <c r="H177" s="21"/>
      <c r="I177" s="21"/>
      <c r="J177" s="21"/>
      <c r="K177" s="21"/>
      <c r="L177" s="21"/>
    </row>
    <row r="178" spans="4:12" x14ac:dyDescent="0.25">
      <c r="D178" s="21"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21"/>
      <c r="H178" s="21"/>
      <c r="I178" s="21"/>
      <c r="J178" s="21"/>
      <c r="K178" s="21"/>
      <c r="L178" s="21"/>
    </row>
    <row r="179" spans="4:12" x14ac:dyDescent="0.25">
      <c r="D179" s="21"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21"/>
      <c r="H179" s="21"/>
      <c r="I179" s="21"/>
      <c r="J179" s="21"/>
      <c r="K179" s="21"/>
      <c r="L179" s="21"/>
    </row>
    <row r="180" spans="4:12" x14ac:dyDescent="0.25">
      <c r="D180" s="21"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21"/>
      <c r="H180" s="21"/>
      <c r="I180" s="21"/>
      <c r="J180" s="21"/>
      <c r="K180" s="21"/>
      <c r="L180" s="21"/>
    </row>
    <row r="181" spans="4:12" x14ac:dyDescent="0.25">
      <c r="D181" s="21"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21"/>
      <c r="H181" s="21"/>
      <c r="I181" s="21"/>
      <c r="J181" s="21"/>
      <c r="K181" s="21"/>
      <c r="L181" s="21"/>
    </row>
    <row r="182" spans="4:12" x14ac:dyDescent="0.25">
      <c r="D182" s="21"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21"/>
      <c r="H182" s="21"/>
      <c r="I182" s="21"/>
      <c r="J182" s="21"/>
      <c r="K182" s="21"/>
      <c r="L182" s="21"/>
    </row>
    <row r="183" spans="4:12" x14ac:dyDescent="0.25">
      <c r="D183" s="21"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21"/>
      <c r="H183" s="21"/>
      <c r="I183" s="21"/>
      <c r="J183" s="21"/>
      <c r="K183" s="21"/>
      <c r="L183" s="21"/>
    </row>
    <row r="184" spans="4:12" x14ac:dyDescent="0.25">
      <c r="D184" s="21"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21"/>
      <c r="H184" s="21"/>
      <c r="I184" s="21"/>
      <c r="J184" s="21"/>
      <c r="K184" s="21"/>
      <c r="L184" s="21"/>
    </row>
    <row r="185" spans="4:12" x14ac:dyDescent="0.25">
      <c r="D185" s="21"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21"/>
      <c r="H185" s="21"/>
      <c r="I185" s="21"/>
      <c r="J185" s="21"/>
      <c r="K185" s="21"/>
      <c r="L185" s="21"/>
    </row>
    <row r="186" spans="4:12" x14ac:dyDescent="0.25">
      <c r="D186" s="21"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21"/>
      <c r="H186" s="21"/>
      <c r="I186" s="21"/>
      <c r="J186" s="21"/>
      <c r="K186" s="21"/>
      <c r="L186" s="21"/>
    </row>
    <row r="187" spans="4:12" x14ac:dyDescent="0.25">
      <c r="D187" s="21"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21"/>
      <c r="H187" s="21"/>
      <c r="I187" s="21"/>
      <c r="J187" s="21"/>
      <c r="K187" s="21"/>
      <c r="L187" s="21"/>
    </row>
    <row r="188" spans="4:12" x14ac:dyDescent="0.25">
      <c r="D188" s="21"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21"/>
      <c r="H188" s="21"/>
      <c r="I188" s="21"/>
      <c r="J188" s="21"/>
      <c r="K188" s="21"/>
      <c r="L188" s="21"/>
    </row>
    <row r="189" spans="4:12" x14ac:dyDescent="0.25">
      <c r="D189" s="21"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21"/>
      <c r="H189" s="21"/>
      <c r="I189" s="21"/>
      <c r="J189" s="21"/>
      <c r="K189" s="21"/>
      <c r="L189" s="21"/>
    </row>
    <row r="190" spans="4:12" x14ac:dyDescent="0.25">
      <c r="D190" s="21"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21"/>
      <c r="H190" s="21"/>
      <c r="I190" s="21"/>
      <c r="J190" s="21"/>
      <c r="K190" s="21"/>
      <c r="L190" s="21"/>
    </row>
    <row r="191" spans="4:12" x14ac:dyDescent="0.25">
      <c r="D191" s="21"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21"/>
      <c r="H191" s="21"/>
      <c r="I191" s="21"/>
      <c r="J191" s="21"/>
      <c r="K191" s="21"/>
      <c r="L191" s="21"/>
    </row>
    <row r="192" spans="4:12" x14ac:dyDescent="0.25">
      <c r="D192" s="21"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21"/>
      <c r="H192" s="21"/>
      <c r="I192" s="21"/>
      <c r="J192" s="21"/>
      <c r="K192" s="21"/>
      <c r="L192" s="21"/>
    </row>
    <row r="193" spans="4:12" x14ac:dyDescent="0.25">
      <c r="D193" s="21"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21"/>
      <c r="H193" s="21"/>
      <c r="I193" s="21"/>
      <c r="J193" s="21"/>
      <c r="K193" s="21"/>
      <c r="L193" s="21"/>
    </row>
    <row r="194" spans="4:12" x14ac:dyDescent="0.25">
      <c r="D194" s="21"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21"/>
      <c r="H194" s="21"/>
      <c r="I194" s="21"/>
      <c r="J194" s="21"/>
      <c r="K194" s="21"/>
      <c r="L194" s="21"/>
    </row>
    <row r="195" spans="4:12" x14ac:dyDescent="0.25">
      <c r="D195" s="21"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21"/>
      <c r="H195" s="21"/>
      <c r="I195" s="21"/>
      <c r="J195" s="21"/>
      <c r="K195" s="21"/>
      <c r="L195" s="21"/>
    </row>
    <row r="196" spans="4:12" x14ac:dyDescent="0.25">
      <c r="D196" s="21"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21"/>
      <c r="H196" s="21"/>
      <c r="I196" s="21"/>
      <c r="J196" s="21"/>
      <c r="K196" s="21"/>
      <c r="L196" s="21"/>
    </row>
    <row r="197" spans="4:12" x14ac:dyDescent="0.25">
      <c r="D197" s="21"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21"/>
      <c r="H197" s="21"/>
      <c r="I197" s="21"/>
      <c r="J197" s="21"/>
      <c r="K197" s="21"/>
      <c r="L197" s="21"/>
    </row>
    <row r="198" spans="4:12" x14ac:dyDescent="0.25">
      <c r="D198" s="21"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21"/>
      <c r="H198" s="21"/>
      <c r="I198" s="21"/>
      <c r="J198" s="21"/>
      <c r="K198" s="21"/>
      <c r="L198" s="21"/>
    </row>
    <row r="199" spans="4:12" x14ac:dyDescent="0.25">
      <c r="D199" s="21"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21"/>
      <c r="H199" s="21"/>
      <c r="I199" s="21"/>
      <c r="J199" s="21"/>
      <c r="K199" s="21"/>
      <c r="L199" s="21"/>
    </row>
    <row r="200" spans="4:12" x14ac:dyDescent="0.25">
      <c r="D200" s="21"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21"/>
      <c r="H200" s="21"/>
      <c r="I200" s="21"/>
      <c r="J200" s="21"/>
      <c r="K200" s="21"/>
      <c r="L200" s="21"/>
    </row>
    <row r="201" spans="4:12" x14ac:dyDescent="0.25">
      <c r="D201" s="21"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21"/>
      <c r="H201" s="21"/>
      <c r="I201" s="21"/>
      <c r="J201" s="21"/>
      <c r="K201" s="21"/>
      <c r="L201" s="21"/>
    </row>
    <row r="202" spans="4:12" x14ac:dyDescent="0.25">
      <c r="D202" s="21"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21"/>
      <c r="H202" s="21"/>
      <c r="I202" s="21"/>
      <c r="J202" s="21"/>
      <c r="K202" s="21"/>
      <c r="L202" s="21"/>
    </row>
    <row r="203" spans="4:12" x14ac:dyDescent="0.25">
      <c r="D203" s="21"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21"/>
      <c r="H203" s="21"/>
      <c r="I203" s="21"/>
      <c r="J203" s="21"/>
      <c r="K203" s="21"/>
      <c r="L203" s="21"/>
    </row>
    <row r="204" spans="4:12" x14ac:dyDescent="0.25">
      <c r="D204" s="21"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21"/>
      <c r="H204" s="21"/>
      <c r="I204" s="21"/>
      <c r="J204" s="21"/>
      <c r="K204" s="21"/>
      <c r="L204" s="21"/>
    </row>
    <row r="205" spans="4:12" x14ac:dyDescent="0.25">
      <c r="D205" s="21"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21"/>
      <c r="H205" s="21"/>
      <c r="I205" s="21"/>
      <c r="J205" s="21"/>
      <c r="K205" s="21"/>
      <c r="L205" s="21"/>
    </row>
    <row r="206" spans="4:12" x14ac:dyDescent="0.25">
      <c r="D206" s="21"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21"/>
      <c r="H206" s="21"/>
      <c r="I206" s="21"/>
      <c r="J206" s="21"/>
      <c r="K206" s="21"/>
      <c r="L206" s="21"/>
    </row>
    <row r="207" spans="4:12" x14ac:dyDescent="0.25">
      <c r="D207" s="21"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21"/>
      <c r="H207" s="21"/>
      <c r="I207" s="21"/>
      <c r="J207" s="21"/>
      <c r="K207" s="21"/>
      <c r="L207" s="21"/>
    </row>
    <row r="208" spans="4:12" x14ac:dyDescent="0.25">
      <c r="D208" s="21"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21"/>
      <c r="H208" s="21"/>
      <c r="I208" s="21"/>
      <c r="J208" s="21"/>
      <c r="K208" s="21"/>
      <c r="L208" s="21"/>
    </row>
    <row r="209" spans="4:12" x14ac:dyDescent="0.25">
      <c r="D209" s="21"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21"/>
      <c r="H209" s="21"/>
      <c r="I209" s="21"/>
      <c r="J209" s="21"/>
      <c r="K209" s="21"/>
      <c r="L209" s="21"/>
    </row>
    <row r="210" spans="4:12" x14ac:dyDescent="0.25">
      <c r="D210" s="21"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21"/>
      <c r="H210" s="21"/>
      <c r="I210" s="21"/>
      <c r="J210" s="21"/>
      <c r="K210" s="21"/>
      <c r="L210" s="21"/>
    </row>
    <row r="211" spans="4:12" x14ac:dyDescent="0.25">
      <c r="D211" s="21"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21"/>
      <c r="H211" s="21"/>
      <c r="I211" s="21"/>
      <c r="J211" s="21"/>
      <c r="K211" s="21"/>
      <c r="L211" s="21"/>
    </row>
    <row r="212" spans="4:12" x14ac:dyDescent="0.25">
      <c r="D212" s="21"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21"/>
      <c r="H212" s="21"/>
      <c r="I212" s="21"/>
      <c r="J212" s="21"/>
      <c r="K212" s="21"/>
      <c r="L212" s="21"/>
    </row>
    <row r="213" spans="4:12" x14ac:dyDescent="0.25">
      <c r="D213" s="21"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21"/>
      <c r="H213" s="21"/>
      <c r="I213" s="21"/>
      <c r="J213" s="21"/>
      <c r="K213" s="21"/>
      <c r="L213" s="21"/>
    </row>
    <row r="214" spans="4:12" x14ac:dyDescent="0.25">
      <c r="D214" s="21"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21"/>
      <c r="H214" s="21"/>
      <c r="I214" s="21"/>
      <c r="J214" s="21"/>
    </row>
    <row r="215" spans="4:12" x14ac:dyDescent="0.25">
      <c r="D215" s="21"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21"/>
      <c r="H215" s="21"/>
      <c r="I215" s="21"/>
      <c r="J215" s="21"/>
    </row>
    <row r="216" spans="4:12" x14ac:dyDescent="0.25">
      <c r="D216" s="21"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21"/>
      <c r="H216" s="21"/>
      <c r="I216" s="21"/>
      <c r="J216" s="21"/>
    </row>
    <row r="217" spans="4:12" x14ac:dyDescent="0.25">
      <c r="D217" s="21"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21"/>
      <c r="H217" s="21"/>
      <c r="I217" s="21"/>
      <c r="J217" s="21"/>
    </row>
    <row r="218" spans="4:12" x14ac:dyDescent="0.25">
      <c r="D218" s="21"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21"/>
      <c r="H218" s="21"/>
      <c r="I218" s="21"/>
      <c r="J218" s="21"/>
    </row>
    <row r="219" spans="4:12" x14ac:dyDescent="0.25">
      <c r="D219" s="21"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21"/>
      <c r="H219" s="21"/>
      <c r="I219" s="21"/>
      <c r="J219" s="21"/>
    </row>
    <row r="220" spans="4:12" x14ac:dyDescent="0.25">
      <c r="D220" s="21"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21"/>
      <c r="H220" s="21"/>
      <c r="I220" s="21"/>
      <c r="J220" s="21"/>
    </row>
    <row r="221" spans="4:12" x14ac:dyDescent="0.25">
      <c r="D221" s="21"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21"/>
      <c r="H221" s="21"/>
      <c r="I221" s="21"/>
      <c r="J221" s="21"/>
    </row>
    <row r="222" spans="4:12" x14ac:dyDescent="0.25">
      <c r="D222" s="21"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21"/>
      <c r="H222" s="21"/>
      <c r="I222" s="21"/>
      <c r="J222" s="21"/>
    </row>
    <row r="223" spans="4:12" x14ac:dyDescent="0.25">
      <c r="D223" s="21"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21"/>
      <c r="H223" s="21"/>
      <c r="I223" s="21"/>
      <c r="J223" s="21"/>
    </row>
    <row r="224" spans="4:12" x14ac:dyDescent="0.25">
      <c r="D224" s="21"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21"/>
      <c r="H224" s="21"/>
      <c r="I224" s="21"/>
      <c r="J224" s="21"/>
    </row>
    <row r="225" spans="4:10" x14ac:dyDescent="0.25">
      <c r="D225" s="21"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21"/>
      <c r="H225" s="21"/>
      <c r="I225" s="21"/>
      <c r="J225" s="21"/>
    </row>
    <row r="226" spans="4:10" x14ac:dyDescent="0.25">
      <c r="D226" s="21"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21"/>
      <c r="H226" s="21"/>
      <c r="I226" s="21"/>
      <c r="J226" s="21"/>
    </row>
    <row r="227" spans="4:10" x14ac:dyDescent="0.25">
      <c r="D227" s="21"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21"/>
      <c r="H227" s="21"/>
      <c r="I227" s="21"/>
      <c r="J227" s="21"/>
    </row>
    <row r="228" spans="4:10" x14ac:dyDescent="0.25">
      <c r="D228" s="21"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21"/>
      <c r="H228" s="21"/>
    </row>
    <row r="229" spans="4:10" x14ac:dyDescent="0.25">
      <c r="D229" s="21"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21"/>
    </row>
    <row r="230" spans="4:10" x14ac:dyDescent="0.25">
      <c r="D230" s="21"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21"/>
    </row>
    <row r="231" spans="4:10" x14ac:dyDescent="0.25">
      <c r="D231" s="21"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21"/>
    </row>
    <row r="232" spans="4:10" x14ac:dyDescent="0.25">
      <c r="D232" s="21"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21"/>
    </row>
    <row r="233" spans="4:10" x14ac:dyDescent="0.25">
      <c r="D233" s="21"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21"/>
    </row>
    <row r="234" spans="4:10" x14ac:dyDescent="0.25">
      <c r="D234" s="21"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21"/>
    </row>
    <row r="235" spans="4:10" x14ac:dyDescent="0.25">
      <c r="D235" s="21"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21"/>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27930-E77D-466C-952D-4504FA818AAA}">
  <dimension ref="A1:BY259"/>
  <sheetViews>
    <sheetView showGridLines="0" topLeftCell="A86" zoomScaleNormal="100" workbookViewId="0">
      <selection activeCell="A24" sqref="A2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0" t="e" vm="1">
        <v>#VALUE!</v>
      </c>
      <c r="C1" s="8" t="s">
        <v>69</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Crop'!A1", "Crop")</f>
        <v>Crop</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s="17" t="str">
        <f>HYPERLINK("#'Input - Pasture'!A1", "Pasture")</f>
        <v>Pasture</v>
      </c>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8" t="s">
        <v>68</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HYPERLINK("#'6.1.1.1-2 Crop residue N2O'!A1", "6.1.1.1-2 Crop residue N2O")</f>
        <v>6.1.1.1-2 Crop residue N2O</v>
      </c>
    </row>
    <row r="16" spans="1:65" ht="20.100000000000001" customHeight="1" x14ac:dyDescent="0.25">
      <c r="A16" s="17" t="str">
        <f>HYPERLINK("#'6.2.1.1-2 Pasture residue N2O'!A1", "6.2.1.1-2 Pasture residue N2O")</f>
        <v>6.2.1.1-2 Pasture residue N2O</v>
      </c>
    </row>
    <row r="17" spans="1:4" ht="20.100000000000001" customHeight="1" x14ac:dyDescent="0.25">
      <c r="A17" s="17" t="str">
        <f>HYPERLINK("#'6.3.1.1-2 Leaching and runoff'!A1", "6.3.1.1-2 Leaching and runoff")</f>
        <v>6.3.1.1-2 Leaching and runoff</v>
      </c>
    </row>
    <row r="18" spans="1:4" ht="20.100000000000001" customHeight="1" x14ac:dyDescent="0.25">
      <c r="A18" s="17" t="str">
        <f>HYPERLINK("#'6.3.1.1-2 Leach runoff crop'!A1", "6.3.1.1-2 Leach runoff crop")</f>
        <v>6.3.1.1-2 Leach runoff crop</v>
      </c>
      <c r="D18" s="6" t="str" cm="1">
        <f t="array" ref="D18">Common_SourceData.Common_SourceData_WASA4Areas_Title()</f>
        <v>ABS Statistcal Areas Level 4 - Western Australia</v>
      </c>
    </row>
    <row r="19" spans="1:4" ht="20.100000000000001" customHeight="1" x14ac:dyDescent="0.25">
      <c r="A19" s="17" t="str">
        <f>HYPERLINK("#'6.3.1.1-2 Leach runoff pasture'!A1", "6.3.1.1-2 Leach runoff pasture")</f>
        <v>6.3.1.1-2 Leach runoff pasture</v>
      </c>
      <c r="D19" s="5" t="str" cm="1">
        <f t="array" ref="D19">Common_SourceData.Common_SourceData_WASA4Areas_Source()</f>
        <v>Australian Bureau of Statistics (ABS) - Statistical Areas Level 2 - 2021 - Shapefile</v>
      </c>
    </row>
    <row r="20" spans="1:4" ht="20.100000000000001" customHeight="1" x14ac:dyDescent="0.25">
      <c r="A20" s="17" t="str">
        <f>HYPERLINK("#'6.4.1.1-2 Residue burning'!A1", "6.4.1.1-2 Residue burning")</f>
        <v>6.4.1.1-2 Residue burning</v>
      </c>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s="141" t="s">
        <v>1</v>
      </c>
      <c r="D23" s="36" t="str" cm="1">
        <f t="array" ref="D23">Common_InputFunctions.Utility_DisplayArrayInTable(Common_SourceData.Common_SourceData_WASA4Areas_Data(), Table_WASA4Areas[[#Headers],[SA 4 Name]], 0)</f>
        <v>Perth - Inner</v>
      </c>
    </row>
    <row r="24" spans="1:4" ht="20.100000000000001" customHeight="1" x14ac:dyDescent="0.25">
      <c r="A24" s="17" t="str">
        <f>HYPERLINK("#'Constants - Ag Residue'!A1", "Constants - Ag Residue")</f>
        <v>Constants - Ag Residue</v>
      </c>
      <c r="D24" s="36" t="str" cm="1">
        <f t="array" ref="D24">Common_InputFunctions.Utility_DisplayArrayInTable(Common_SourceData.Common_SourceData_WASA4Areas_Data(), Table_WASA4Areas[[#Headers],[SA 4 Name]], 0)</f>
        <v>Perth - North East</v>
      </c>
    </row>
    <row r="25" spans="1:4" ht="20.100000000000001" customHeight="1" x14ac:dyDescent="0.25">
      <c r="A25" s="128" t="str">
        <f>HYPERLINK("#'Constants - Common'!A1", "Constants - Common")</f>
        <v>Constants - Common</v>
      </c>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22</v>
      </c>
      <c r="E47" s="36" t="s">
        <v>25</v>
      </c>
      <c r="F47" s="36" t="s">
        <v>26</v>
      </c>
      <c r="G47" s="36" t="s">
        <v>27</v>
      </c>
      <c r="H47" s="36" t="s">
        <v>28</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7</v>
      </c>
      <c r="E63" s="36" t="s">
        <v>43</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7</v>
      </c>
      <c r="E89" s="36" t="s">
        <v>31</v>
      </c>
      <c r="F89" s="36" t="s">
        <v>32</v>
      </c>
      <c r="G89" s="36" t="s">
        <v>33</v>
      </c>
      <c r="H89" s="36" t="s">
        <v>34</v>
      </c>
      <c r="I89" s="36" t="s">
        <v>35</v>
      </c>
      <c r="J89" s="36" t="s">
        <v>36</v>
      </c>
      <c r="K89" s="36" t="s">
        <v>37</v>
      </c>
      <c r="L89" s="36" t="s">
        <v>38</v>
      </c>
      <c r="M89" s="36" t="s">
        <v>39</v>
      </c>
      <c r="N89" s="36" t="s">
        <v>40</v>
      </c>
      <c r="O89" s="36" t="s">
        <v>44</v>
      </c>
      <c r="P89" s="36" t="s">
        <v>41</v>
      </c>
      <c r="Q89" s="36" t="s">
        <v>45</v>
      </c>
      <c r="R89" s="36" t="s">
        <v>42</v>
      </c>
      <c r="S89" s="36" t="s">
        <v>46</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50</v>
      </c>
      <c r="E109" s="36" t="s">
        <v>31</v>
      </c>
      <c r="F109" s="36" t="s">
        <v>51</v>
      </c>
      <c r="G109" s="36" t="s">
        <v>52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53</v>
      </c>
      <c r="E119" s="36" t="s">
        <v>54</v>
      </c>
      <c r="F119" s="36" t="s">
        <v>38</v>
      </c>
      <c r="G119" s="36" t="s">
        <v>39</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60</v>
      </c>
      <c r="E127" s="36" t="s">
        <v>61</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73</v>
      </c>
      <c r="E134" t="s">
        <v>74</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90</v>
      </c>
      <c r="E142" s="36" t="s">
        <v>74</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62</v>
      </c>
      <c r="E153" s="36" t="s">
        <v>63</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82</v>
      </c>
      <c r="E186" s="36" t="s">
        <v>83</v>
      </c>
      <c r="F186" s="36" t="s">
        <v>84</v>
      </c>
      <c r="G186" s="36" t="s">
        <v>85</v>
      </c>
      <c r="H186" s="36" t="s">
        <v>30</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7</v>
      </c>
      <c r="E206" s="36" t="s">
        <v>92</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89</v>
      </c>
      <c r="E212" s="36" t="s">
        <v>97</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47</v>
      </c>
      <c r="E231" s="36" t="s">
        <v>111</v>
      </c>
      <c r="F231" s="35" t="s">
        <v>112</v>
      </c>
      <c r="G231" s="36" t="s">
        <v>103</v>
      </c>
      <c r="H231" s="36" t="s">
        <v>113</v>
      </c>
      <c r="I231" s="36" t="s">
        <v>114</v>
      </c>
      <c r="J231" s="36" t="s">
        <v>102</v>
      </c>
      <c r="K231" s="36" t="s">
        <v>101</v>
      </c>
      <c r="L231" s="36" t="s">
        <v>115</v>
      </c>
      <c r="M231" s="36" t="s">
        <v>116</v>
      </c>
      <c r="N231" s="36" t="s">
        <v>100</v>
      </c>
      <c r="O231" s="36" t="s">
        <v>117</v>
      </c>
      <c r="P231" s="36" t="s">
        <v>105</v>
      </c>
      <c r="Q231" s="36" t="s">
        <v>106</v>
      </c>
      <c r="R231" s="36" t="s">
        <v>104</v>
      </c>
      <c r="S231" s="36" t="s">
        <v>118</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6" t="s">
        <v>119</v>
      </c>
      <c r="E257" s="36" t="s">
        <v>120</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QQBnAHIAZQBzAGkAZAB1AGUAXwBTAG8AdQByAGMAZQBEAGEAdABhACIALAAiAHQAZQB4AHQAIgA6ACIALwAqAFwAbgA9AD0APQA9AD0APQA9AD0APQA9AD0APQA9AD0APQA9AD0APQA9AD0APQA9AD0APQA9AD0APQA9AD0APQA9AD0APQA9AD0APQA9AD0APQA9AD0APQA9AD0APQA9AD0APQA9AD0APQA9AD0APQA9AD0APQA9AD0APQA9AD0APQA9AD0APQA9AD0APQA9AD0APQA9AD0APQA9AFwAbgBDAHIAbwBwACAAcAB1AHIAcABvAHMAZQAgAGEAbgBkACAAeQBpAGUAbABkAFwAbgA9AD0APQA9AD0APQA9AD0APQA9AD0APQA9AD0APQA9AD0APQA9AD0APQA9AD0APQA9AD0APQA9AD0APQA9AD0APQA9AD0APQA9AD0APQA9AD0APQA9AD0APQA9AD0APQA9AD0APQA9AD0APQA9AD0APQA9AD0APQA9AD0APQA9AD0APQA9AD0APQA9AD0APQA9AD0APQA9AFwAbgAqAC8AXABuAFwAbgBDAHIAbwBwAFAAdQByAHAAbwBzAGUAQQBuAGQAWQBpAGUAbABkAF8AVABpAHQAbABlAFwAbgA9AEwAQQBNAEIARABBACgAKABcACIAQwByAG8AcAAgAHAAdQByAHAAbwBzAGUAIABhAG4AZAAgAHkAaQBlAGwAZABcACIAKQApADsAXABuAFwAbgBDAHIAbwBwAFAAdQByAHAAbwBzAGUAQQBuAGQAWQBpAGUAbABkAF8ARABhAHQAYQBcAG4APQBMAEEATQBCAEQAQQAoAFwAbgAgACAATQBBAEsARQBBAFIAUgBBAFkAKAA0ACwAIAA4ACwAXABuACAAIAAgACAATABBAE0AQgBEAEEAKAByACwAYwAsAFwAbgAgACAAIAAgACAAIABJAE4ARABFAFgAKAB7AFwAbgAgACAAIAAgACAAIAAgACAAXAAiAFAAdQByAHAAbwBzAGUAXAAiACwAIABcACIAUABlAHIAIABoAGUAYwB0AGEAcgBlACAAdQBuAGkAdABcACIALAAgAFwAIgBoAGEAcgB2AGUAcwB0ACAAdABlAHIAbQBcACIALAAgAFwAIgBoAGEAcgB2AGUAcwB0ACAAZQBuAGQAcABvAGkAbgB0AFwAIgAsACAAXAAiAEgAYQByAHYAZQBzAHQAIAB1AGkAdABcACIALAAgAFwAIgBZAGkAZQBsAGQAIABuAG8AdABlAFwAIgAsACAAXAAiAFIAZQBzAGkAZAB1AGUAIABjAHIAbwBwACAAcgBhAHQAaQBvACAAbgBvAHQAZQBcACIALAAgAFwAIgBUAG8AdABhAGwAIABwAHIAbwBkAHUAYwB0AGkAbwBuACAAbgBvAHQAZQBcACIAOwBcAG4AIAAgACAAIAAgACAAIAAgAFwAIgBDAGEAcwBoACAAZwByAGEAaQBuACAAYwByAG8AcABcACIALAAgAFwAIgBnAHIAYQBpAG4AXAAiACwAIABcACIAeQBpAGUAbABkAFwAIgAsACAAXAAiAGgAYQByAHYAZQBzAHQAXAAiACwAIABcACIAZwByAGEAaQBuAFwAIgAsACAAXAAiAFkAaQBlAGwAZAAgAGkAcwAgAHQAaABlACAAZwByAGEAaQBuACAAaABhAHIAdgBlAHMAdABlAGQAIABmAHIAbwBtACAAdABoAGUAIABwAGwAYQBuAHQAXAAiACwAIABcACIAUgBlAHMAaQBkAHUAZQAgAHQAbwAgAGMAcgBvAHAAIAByAGEAdABpAG8AIABpAHMAIABwAHIAbwB2AGkAZABlAGQAIABmAHIAbwBtACAAZABlAGYAYQB1AGwAdAAgAHYAYQBsAHUAZQBzAFwAIgAsACAAXAAiAFQAbwB0AGEAbAAgAHAAcgBvAGQAdQBjAHQAaQBvAG4AIABpAHMAIAB0AGgAZQAgAHQAbwB0AGEAbAAgAGcAcgBhAGkAbgAgAGgAYQByAHYAZQBzAHQAZQBkAFwAIgA7AFwAbgAgACAAIAAgACAAIAAgACAAXAAiAEMAYQBzAGgAIABjAHIAbwBwACAAZgBvAHIAIABoAGEAeQAvAHMAaQBsAGEAZwBlAFwAIgAsACAAXAAiAGEAYgBvAHYAZQAgAGcAcgBvAHUAbgBkACAAYgBpAG8AbQBhAHMAcwBcACIALAAgAFwAIgB5AGkAZQBsAGQAXAAiACwAIABcACIAaABhAHIAdgBlAHMAdABcACIALAAgAFwAIgBwAGwAYQBuAHQAIABiAGkAbwBtAGEAcwBzAFwAIgAsACAAXAAiAFkAaQBlAGwAZAAgAGkAcwAgAHQAaABlACAAdwBoAG8AbABlACAAcABsAGEAbgB0ACAAaABhAHIAdgBlAHMAdABlAGQAIABmAG8AcgAgAGgAYQB5AC8AcwBpAGwAYQBnAGUAXAAiACwAIABcACIAUgBlAHMAaQBkAHUAZQAgAHQAbwAgAGMAcgBvAHAAIAByAGEAdABpAG8AIABpAHMAIAAwACAAYQBzAHMAdQBtAGkAbgBnACAAdABoAGUAIAB3AGgAbwBsAGUAIABwAGwAYQBuAHQAIABpAHMAIABoAGEAcgB2AGUAcwB0AGUAZAAgAGYAbwByACAAaABhAHkALwBzAGkAbABhAGcAZQBcACIALAAgAFwAIgBUAG8AdABhAGwAIABwAHIAbwBkAHUAYwB0AGkAbwBuACAAaQBzACAAdABoAGUAIAB0AG8AdABhAGwAIAB3AGgAbwBsAGUAIABwAGwAYQBuAHQAIABiAGkAbwBtAGEAcwBzACAAaABhAHIAdgBlAHMAdABlAGQAIABhAHMAIABoAGEAeQAvAHMAaQBsAGEAZwBlAFwAIgA7AFwAbgAgACAAIAAgACAAIAAgACAAXAAiAEMAbwB2AGUAcgAgAGMAcgBvAHAAXAAiACwAIABcACIAYQBiAG8AdgBlACAAZwByAG8AdQBuAGQAIABiAGkAbwBtAGEAcwBzAFwAIgAsACAAXAAiAG0AYQBzAHMAXAAiACwAIABcACIAZQBuAGQAIABvAGYAIABjAHIAbwBwACAAYwB5AGMAbABlAFwAIgAsACAAXAAiAGEAYgBvAHYAZQAgAGcAcgBvAHUAbgBkACAAYgBpAG8AbQBhAHMAcwBcACIALAAgAFwAIgBZAGkAZQBsAGQAIABpAHMAIAB0AGgAZQAgAHcAaABvAGwAZQAgAHAAbABhAG4AdAAgAGsAZQBwAHQAIABhAHMAIABjAG8AdgBlAHIAIABjAHIAbwBwAFwAIgAsACAAXAAiAFIAZQBzAGkAZAB1AGUAIAB0AG8AIABjAHIAbwBwACAAcgBhAHQAaQBvACAAaQBzACAAMQAgAGEAcwBzAHUAbQBpAG4AZwAgAHQAaABlACAAdwBoAG8AbABlACAAcABsAGEAbgB0ACAAaQBzACAAawBlAHAAdAAgAGEAcwAgAGMAbwB2AGUAcgAgAGMAcgBvAHAAXAAiACwAIABcACIAVABvAHQAYQBsACAAcAByAG8AZAB1AGMAdABpAG8AbgAgAGkAcwAgAHQAaABlACAAdABvAHQAYQBsACAAdwBoAG8AbABlACAAcABsAGEAbgB0ACAAYgBpAG8AbQBhAHMAcwAgAGsAZQBwAHQAIABhAHMAIABjAG8AdgBlAHIAIABjAHIAbwBw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BcAHUAMAAwADIANwBOAC8AQQBcAHUAMAAwADIAN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gAw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FwAdQAwADAAMgA3AEEAbABsACAAbwB0AGgAZQByACAAYwByAG8AcAAgAHQAeQBwAGUAcwBcAHUAMAAwADIANwAgAGkAbgB0AG8AIABpAG4AZABpAHYAaQBkAHUAYQBsACAAYwByAG8AcAAgAHQAeQBwAGUAcwAgAGYAbwByACAAZQBhAGMAaAAgAHMAdABhAHQAZQAuACAATABpAHMAdABlAGQAIABhAGwAbAAgAHMAdABhAHQAZQBzACAAZgBvAHIAIABTAHUAZwBhAHIAIABDAGEAbgBlACwAIAB3AGkAdABoACAAXAB1ADAAMAAyADcATgAvAEEAXAB1ADAAMAAyAD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AvACoAIABcAG4ALQAtAC0ALQAtAC0ALQAtAC0ALQAtAC0ALQAtAC0ALQAtAC0ALQAtAC0ALQAtAC0ALQAtAC0ALQAtAC0ALQAtAC0ALQAtAC0ALQAtAFwAbg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TgAyAE8ARQBGAE8AcgBnAGEAbgBpAGMARgBlAHIAdABpAGwAaQBzAGUAcgBfAFUAbgBpAHQAXABuACAAIAA9AEwAQQBNAEIARABBACgAXAAiAGsAZwAgAE4AMgBPACAALQAgAE4AIAAvACAAawBnACAATgBcACIAKQA7AFwAbgBcAG4ATgAyAE8ARQBGAE8AcgBnAGEAbgBpAGMARgBlAHIAdABpAGwAaQBzAGUAcgBfAFMAbwB1AHIAYwBlAFwAbgAgACAAPQBMAEEATQBCAEQAQQAoAFwAIgBWAEUARQBSAEcAIAAyADAAMgA2ADoAIABUAGEAYgBsAGUAIABBAC4AMgAuADEALgA0AFwAIgApADsAXABuAFwAbg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OADIATwBFAEYATwByAGcAYQBuAGkAYwBGAGUAcgB0AGkAbABpAHMAZQByAF8ARABhAHQAYQBcAG4AIAAgAD0ATABBAE0AQgBEAEEAKABcAG4AIAAgACAAIABNAEEASwBFAEEAUgBSAEEAWQAoADMALAAgADIALAAgAFwAbgAgACAAIAAgACAAIABMAEEATQBCAEQAQQAoAHIALABjACwAIABcAG4AIAAgACAAIAAgACAAIAAgAEkATgBEAEUAWAAoAHsAXABuACAAIAAgACAAIAAgACAAIAAgACAAXAAiAEMAbABpAG0AYQB0AGUAIAB6AG8AbgBlACAAaQBcACIALAAgAFwAIgBFAEYAIABpACAATgAyAE8AXAAiADsAXABuACAAIAAgACAAIAAgACAAIAAgACAAIAAgAFwAIgBXAGUAdAAgAGMAbABpAG0AYQB0AGUAIAB6AG8AbgBlAFwAIgAsACAAMAAuADAAMAA2ADsAXABuACAAIAAgACAAIAAgACAAIAAgACAAIAAgAFwAIgBEAHIAeQAgAGMAbABpAG0AYQB0AGUAIAB6AG8AbgBlAFwAIgAsACAAMAAuADAAMAA1AFwAbgAgACAAIAAgACAAIAAgACAAfQAsACAAcgAsACAAYwApAFwAbgAgACAAIAAgACAAIAApAFwAbgAgACAAIAAgACkAXABuACAAIAApADsAXABu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YgBhAGwAZQBkAFwAbgBkAGkAbQBlAG4AcwBpAG8AbgBsAGUAcwBzAFwAbgBGAEYATwBEAF8AewBjAH0APQBcAFwAZgByAGEAYwB7AEIAXABcAHQAaQBtAGUAcwAgAE0AXwB7AEIAfQB9AHsAUABfAHsAYwB9AFwAXAB0AGkAbQBlAHMAIABSAF8AewBBAEcALABjAH0AfQBcAG4AQgAgAD0AIABuAHUAbQBiAGUAcgAgAG8AZgAgAGIAYQBsAGUAcwAgAGcAZQBuAGUAcgBhAHQAZQBkACAAKABkAGkAbQBlAG4AcwBpAG8AbgBsAGUAcwBz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ABpAG0AZQBuAHMAaQBvAG4AbABlAHMAcwApAFwAbgBjACAAPQAgAEMAcgBvAHAAIAB0AHkAcABlAFwAbgAtAC0ALQAtAC0ALQAtAC0ALQAtAC0ALQAtAC0ALQAtAC0ALQAtAC0ALQAtAC0ALQAtAC0ALQAtAC0ALQAtAC0ALQAtAC0ALQAtAC0AXABuACoALwBcAG4AXABuAFYARQBFAFIARwBfADYAXwAxAF8AMQBfADIAXwBfADEAXwBfAEYAcgBhAGMAdABpAG8AbgBPAGYAQwByAG8AcABSAGUAcwBpAGQAdQBlAFIAZQBtAG8AdgBlAGQAQgBhAGwAZQBkAFwAbgAgACAAPQBMAEEATQBCAEQAQQAoAFwAbgAgACAAIAAgAEIALAAgAE0AXwBCACwAIABQAF8AYwAsACAAUgBfAEEARwBjACwAXABuACAAIAAgACAASQBGAEUAUgBSAE8AUgAoACgAQgAgACoAIABNAF8AQgApACAALwAgACgAUABfAGMAIAAqACAAUgBfAEEARwBjACkALAAgADAAKQBcAG4AIAAgACkAXABuADsAXABuAFwAbgBWAEUARQBSAEcAXwA2AF8AMQBfADEAXwAyAF8AXwAxAF8AXwBGAHIAYQBjAHQAaQBvAG4ATwBmAEMAcgBvAHAAUgBlAHMAaQBkAHUAZQBSAGUAbQBvAHYAZQBkAEIAYQBsAGUAZABfAFQAaQB0AGwAZQBcAG4AIAAgAD0ATABBAE0AQgBEAEEAKABcACIARgByAGEAYwB0AGkAbwBuACAAbwBmACAAYwByAG8AcAAgAHIAZQBzAGkAZAB1AGUAIAB0AGgAYQB0ACAAaQBzACAAcgBlAG0AbwB2AGUAZAAgAGYAbwByACAAYwByAG8AcAAgAGMALAAgAGMAYQBsAGMAdQBsAGEAdABlAGQAIAB3AGgAZQByAGUAIAByAGUAcwBpAGQAdQBlAHMAIABhAHIAZQAgAGIAYQBsAGUAZABcACIAKQA7AFwAbgBcAG4AVgBFAEUAUgBHAF8ANgBfADEAXwAxAF8AMgBfAF8AMQBfAF8ARgByAGEAYwB0AGkAbwBuAE8AZgBDAHIAbwBwAFIAZQBzAGkAZAB1AGUAUgBlAG0AbwB2AGUAZABCAGEAbABlAGQAXwBWAGEAcgBpAGEAYgBsAGUAXABuACAAIAA9AEwAQQBNAEIARABBACgAXAAiAEYARgBPAEQAXwBjAGIAYQBsAGUAZABcACIAKQA7AFwAbgBcAG4AVgBFAEUAUgBHAF8ANgBfADEAXwAxAF8AMgBfAF8AMQBfAF8ARgByAGEAYwB0AGkAbwBuAE8AZgBDAHIAbwBwAFIAZQBzAGkAZAB1AGUAUgBlAG0AbwB2AGUAZABCAGEAbABlAGQAXwBVAG4AaQB0AFwAbgAgACAAPQBMAEEATQBCAEQAQQAoAFwAIgBkAGkAbQBlAG4AcwBpAG8AbgBsAGUAcwBz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AsAGIAYQBsAGUAZA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WAEEAUgBJAEEAVABJAE8ATgAgAEYAUgBPAE0AIABTAE8AVQBSAEMARQA6ACAAQQBkAGQAZQBkACAAXAB1ADAAMAAyADcAYgBhAGwAZQBkAFwAdQAwADAAMgA3ACAAdABvACAAdgBhAHIAaQBhAGIAbABlACAAcwB1AGIAcwBjAHIAaQBwAHQAXAAiACkAOwBcAG4AXABuAFwAbgBcAG4ALwAqACAAXABuAC0ALQAtAC0ALQAtAC0ALQAtAC0ALQAtAC0ALQAtAC0ALQAtAC0ALQAtAC0ALQAtAC0ALQAtAC0ALQAtAC0ALQAtAC0ALQAtAC0ALQBcAG4AVgBFAEUAUgBHAF8ANgBfADEAXwAxAF8AMgBfAF8AMQBhAF8AXwBGAHIAYQBjAHQAaQBvAG4ATwBmAEMAcgBvAHAAUgBlAHMAaQBkAHUAZQBSAGUAbQBvAHYAZQBkAFwAbgBGAHIAYQBjAHQAaQBvAG4AIABvAGYAIABjAHIAbwBwACAAcgBlAHMAaQBkAHUAZQAgAHQAaABhAHQAIABpAHMAIAByAGUAbQBvAHYAZQBkACAAZgBvAHIAIABjAHIAbwBwACAAYwBcAG4ARgBGAE8ARABjAFwAbgBkAGkAbQBlAG4AcwBpAG8AbgBsAGUAcwBzAFwAbgBcAG4ALQAtAC0ALQAtAC0ALQAtAC0ALQAtAC0ALQAtAC0ALQAtAC0ALQAtAC0ALQAtAC0ALQAtAC0ALQAtAC0ALQAtAC0ALQAtAC0ALQAtAFwAbgAqAC8AXABuAFwAbgBWAEUARQBSAEcAXwA2AF8AMQBfADEAXwAyAF8AXwAxAGEAXwBfAEYAcgBhAGMAdABpAG8AbgBPAGYAQwByAG8AcABSAGUAcwBpAGQAdQBlAFIAZQBtAG8AdgBlAGQAXABuACAAIAA9AEwAQQBNAEIARABBACgAXABuACAAIAAgACAARgBGAE8ARABfAGMAYgBhAGwAZQBkACwAIABGAEYATwBEAF8AYwBvAHQAaABlAHIALABcAG4AIAAgACAAIABGAEYATwBEAF8AYwBiAGEAbABlAGQAIAArACAARgBGAE8ARABfAGMAbwB0AGgAZQByAFwAbgAgACAAKQBcAG4AOwBcAG4AXABuAFYARQBFAFIARwBfADYAXwAxAF8AMQBfADIAXwBfADEAYQBfAF8ARgByAGEAYwB0AGkAbwBuAE8AZgBDAHIAbwBwAFIAZQBzAGkAZAB1AGUAUgBlAG0AbwB2AGUAZABfAFQAaQB0AGwAZQBcAG4AIAAgAD0ATABBAE0AQgBEAEEAKABcACIARgByAGEAYwB0AGkAbwBuACAAbwBmACAAYwByAG8AcAAgAHIAZQBzAGkAZAB1AGUAIAB0AGgAYQB0ACAAaQBzACAAcgBlAG0AbwB2AGUAZAAgAGYAbwByACAAYwByAG8AcAAgAGMAXAAiACkAOwBcAG4AXABuAFYARQBFAFIARwBfADYAXwAxAF8AMQBfADIAXwBfADEAYQBfAF8ARgByAGEAYwB0AGkAbwBuAE8AZgBDAHIAbwBwAFIAZQBzAGkAZAB1AGUAUgBlAG0AbwB2AGUAZABfAFYAYQByAGkAYQBiAGwAZQBcAG4AIAAgAD0ATABBAE0AQgBEAEEAKABcACIARgBGAE8ARABfAGMAXAAiACkAOwBcAG4AXABuAFYARQBFAFIARwBfADYAXwAxAF8AMQBfADIAXwBfADEAYQBfAF8ARgByAGEAYwB0AGkAbwBuAE8AZgBDAHIAbwBwAFIAZQBzAGkAZAB1AGUAUgBlAG0AbwB2AGUAZABfAFUAbgBpAHQAXABuACAAIAA9AEwAQQBNAEIARABBACgAXAAiAGQAaQBtAGUAbgBzAGkAbwBuAGwAZQBzAHMAXAAiACkAOwBcAG4AXABuAFYARQBFAFIARwBfADYAXwAxAF8AMQBfADIAXwBfADEAYQBfAF8ARgByAGEAYwB0AGkAbwBuAE8AZgBDAHIAbwBwAFIAZQBzAGkAZAB1AGUAUgBlAG0AbwB2AGUAZABfAFMAbwB1AHIAYwBlAFwAbgAgACAAPQBMAEEATQBCAEQAQQAoAFwAIgBcACIAKQA7AFwAbgBcAG4AVgBFAEUAUgBHAF8ANgBfADEAXwAxAF8AMgBfAF8AMQBhAF8AXwBGAHIAYQBjAHQAaQBvAG4ATwBmAEMAcgBvAHAAUgBlAHMAaQBkAHUAZQBSAGUAbQBvAHYAZQBkAF8ATgBJAFIAUgBlAGYAZQByAGUAbgBjAGUAXABuACAAIAA9AEwAQQBNAEIARABBACgAXAAiAFwAIgApADsAXABuAFwAbgBWAEUARQBSAEcAXwA2AF8AMQBfADEAXwAyAF8AXwAxAGEAXwBfAEYAcgBhAGMAdABpAG8AbgBPAGYAQwByAG8AcABSAGUAcwBpAGQAdQBlAFIAZQBtAG8AdgBlAGQAXwBMAGEAdABlAHgARQBxAHUAYQB0AGkAbwBuAFwAbgAgACAAPQBMAEEATQBCAEQAQQAoAFwAIgBGAEYATwBEAF8AewBjAH0AIAA9ACAARgBGAE8ARABfAHsAYwAsAGIAYQBsAGUAZAB9ACAAKwAgAEYARgBPAEQAXwB7AGMALABvAHQAaABlAHIAfQBcACIAKQA7AFwAbgBcAG4AVgBFAEUAUgBHAF8ANgBfADEAXwAxAF8AMgBfAF8AMQBhAF8AXwBGAHIAYQBjAHQAaQBvAG4ATwBmAEMAcgBvAHAAUgBlAHMAaQBkAHUAZQBSAGUAbQBvAHYAZQBkAF8AQQByAGcAdQBtAGUAbgB0AHMAXABuACAAIAA9AEwAQQBNAEIARABBACgAXABuACAAIAAgACAATQBBAEsARQBBAFIAUgBBAFkAKAAyACwAIAA0ACwAIABcAG4AIAAgACAAIAAgACAATABBAE0AQgBEAEEAKAByACwAYwAsACAAXABuACAAIAAgACAAIAAgACAAIABJAE4ARABFAFgAKAB7AFwAbgAgACAAIAAgACAAIAAgACAAIAAgAFwAIgBGAEYATwBEAF8AYwBiAGEAbABlAGQAXAAiACwAXAAiAEYAcgBhAGMAdABpAG8AbgAgAG8AZgAgAGMAcgBvAHAAIAByAGUAcwBpAGQAdQBlACAAdABoAGEAdAAgAGkAcwAgAHIAZQBtAG8AdgBlAGQAIABmAG8AcgAgAGMAcgBvAHAAIABjACwAIABjAGEAbABjAHUAbABhAHQAZQBkACAAdwBoAGUAcgBlACAAcgBlAHMAaQBkAHUAZQBzACAAYQByAGUAIABiAGEAbABlAGQAXAAiACwAIABcACIAZgByAGEAYwB0AGkAbwBuAFwAIgAsACAAXAAiAEMAYQBsAGMAdQBsAGEAdABlAGQAIABmAHIAbwBtACAANgAuADEALgAxAC4AMgAsACAAKAAxACkAXAAiADsAXABuACAAIAAgACAAIAAgACAAIAAgACAAXAAiAEYARgBPAEQAXwBjAG8AdABoAGUAcgBcACIALABcACIARgByAGEAYwB0AGkAbwBuACAAbwBmACAAYwByAG8AcAAgAHIAZQBzAGkAZAB1AGUAIAB0AGgAYQB0ACAAaQBzACAAcgBlAG0AbwB2AGUAZAAgAGYAbwByACAAYwByAG8AcAAgAGMALAAgAGMAYQBsAGMAdQBsAGEAdABlAGQAIAB3AGgAZQByAGUAIAByAGUAcwBpAGQAdQBlAHMAIABhAHIAZQAgAHIAZQBtAG8AdgBlAGQAIABiAHkAIABvAHQAaABlAHIAIABtAGUAYQBuAHMAXAAiACwAIABcACIAZgByAGEAYwB0AGkAbwBuAFwAIgAsACAAXAAiAEkAbgBwAHUAdABcACIAXABuACAAIAAgACAAIAAgACAAIAB9ACwAIAByACwAIABjACkAXABuACAAIAAgACAAIAAgACkAXABuACAAIAAgACAAKQBcAG4AIAAgACkAOwBcAG4AXABuAFYARQBFAFIARwBfADYAXwAxAF8AMQBfADIAXwBfADEAYQBfAF8ARgByAGEAYwB0AGkAbwBuAE8AZgBDAHIAbwBwAFIAZQBzAGkAZAB1AGUAUgBlAG0AbwB2AGUAZABfAFYAYQByAGkAYQB0AGkAbwBuAFwAbgAgACAAPQBMAEEATQBCAEQAQQAoAFwAIgBWAEEAUgBJAEEAVABJAE8ATgAgAEYAUgBPAE0AIABTAE8AVQBSAEMARQA6ACAAQQBkAGQAZQBkACAAdABoAGkAcwAgAGUAcQB1AGEAdABpAG8AbgAgAHQAbwAgAGEAYwBjAG8AbQBtAG8AZABhAHQAZQAgAHUAcwBlAHIALQBkAGUAZgBpAG4AZQBkACAAcgBlAHMAaQBkAHUAZQAgAHIAZQBtAG8AdgBhAGwAIABvAHQAaABlAHIAIAB0AGgAYQBuACAAYgBhAGwAaQBuAGcALgBcACIAKQA7ACIAfQAsAHsAIgBwAGEAdABoACIAOgAiAC8AcAByAG8AagBlAGMAdABzAC8AQQBnAFIAZQBzAGkAZAB1AGUAXwBFAHEAdQBhAHQAaQBvAG4AcwBfAEYAaQBlAGwAZABCAHUAcgBuAGkAbgBnACIALAAiAHQAZQB4AHQAIgA6ACIALwAqACAAXABuAC0ALQAtAC0ALQAtAC0ALQAtAC0ALQAtAC0ALQAtAC0ALQAtAC0ALQAtAC0ALQAtAC0ALQAtAC0ALQAtAC0ALQAtAC0ALQAtAC0ALQBcAG4AVgBFAEUAUgBHAF8ANgBfADQAXwAxAF8AMQBfAF8AMQBfAF8ATQBlAHQAaABhAG4AZQBFAG0AaQBzAHMAaQBvAG4AcwBGAHIAbwBtAEIAdQByAG4AaQBuAGcATwBmAEMAcgBvAHAAUgBlAHMAaQBkAHUAZQBzAFwAbgBNAGUAdABoAGEAbgBlACAAZQBtAGkAcwBzAGkAbwBuAHMAIABmAHIAbwBtACAAdABoAGUAIABiAHUAcgBuAGkAbgBnACAAbwBmACAAYwByAG8AcAAgAHIAZQBzAGkAZAB1AGUAcwBcAG4ARQBDAEgANABcAG4AdAAgAEMASAA0AFwAbgBFAF8AewBDAEgANAB9AD0AXABuAFwAXABzAHUAbQBfAHsAYwB9ACgATQBfAHsAYgB1AHIAbgAsAGMAfQBcAFwAdABpAG0AZQBzACAAQwBDAF8AewBjAH0AXABcAHQAaQBtAGUAcwAgAEUARgBfAHsAQwBIADQAfQBcAFwAdABpAG0AZQBzACAAQwBfAHsAQwBIADQAfQBcAFwAdABpAG0AZQBzACAAMQAwAF4AewAtADMAfQApAFwAbgBNAF8AYgB1AHIAbgBjACAAPQAgAG0AYQBzAHMAIABvAGYAIAByAGUAcwBpAGQAdQBlACAAYgB1AHIAbgB0ACAAZgBvAHIAIABjAHIAbwBwACAAdAB5AHAAZQAgAGMAIAAoAGsAZwApAFwAbgBDAEMAXwBjACAAPQAgAGMAYQByAGIAbwBuACAAbQBhAHMAcwAgAGYAcgBhAGMAdABpAG8AbgAgAGkAbgAgAHQAaABlACAAcgBlAHMAaQBkAHUAZQBzACAAbwBmACAAYwByAG8AcAAgAHQAeQBwAGUAIABjACAAKABkAGkAbQBlAG4AcwBpAG8AbgBsAGUAcwBzACkAXABuAEUARgBfAEMASAA0ACAAPQAgAGUAbQBpAHMAcwBpAG8AbgAgAGYAYQBjAHQAbwByACAAZgBvAHIAIABtAGUAdABoAGEAbgBlACAAZgByAG8AbQAgAGIAdQByAG4AaQBuAGcAIABvAGYAIABjAHIAbwBwACAAcgBlAHMAaQBkAHUAZQBzACAAKABrAGcAIABDAEgANAAvAGsAZwAgAEMASAA0ACAAYgB1AHIAbgB0ACkAXABuAEMAQwBIADQAIAA9ACAAZgBhAGMAdABvAHIAIAB0AG8AIABjAG8AbgB2AGUAcgB0ACAAZQBsAGUAbQBlAG4AdABhAGwAIABtAGEAcwBzACAAbwBmACAAbQBlAHQAaABhAG4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EAXwBfAE0AZQB0AGgAYQBuAGUARQBtAGkAcwBzAGkAbwBuAHMARgByAG8AbQBCAHUAcgBuAGkAbgBnAE8AZgBDAHIAbwBwAFIAZQBzAGkAZAB1AGUAcwBcAG4AIAAgAD0ATABBAE0AQgBEAEEAKABcAG4AIAAgACAAIABNAF8AYgB1AHIAbgBjACwAIABDAEMAXwBjACwAIABFAEYAXwBDAEgANAAsACAAQwBfAEMASAA0ACwAXABuACAAIAAgACAAKABNAF8AYgB1AHIAbgBjACAAKgAgAEMAQwBfAGMAKQAgACoAIABFAEYAXwBDAEgANAAgACoAIABDAF8AQwBIADQAIAAqACAAMQAwAF4AKAAtADMAKQBcAG4AIAAgACkAOwBcAG4AXABuAFYARQBFAFIARwBfADYAXwA0AF8AMQBfADEAXwBfADEAXwBfAE0AZQB0AGgAYQBuAGUARQBtAGkAcwBzAGkAbwBuAHMARgByAG8AbQBCAHUAcgBuAGkAbgBnAE8AZgBDAHIAbwBwAFIAZQBzAGkAZAB1AGUAcwBfAEYAdQBuAGMAdABpAG8AbgBOAGEAbQBlAFwAbgAgACAAPQBMAEEATQBCAEQAQQAoAFwAIgBWAEUARQBSAEcAXwA2AF8ANABfADEAXwAxAF8AXwAxAF8AXwBNAGUAdABoAGEAbgBlAEUAbQBpAHMAcwBpAG8AbgBzAEYAcgBvAG0AQgB1AHIAbgBpAG4AZwBPAGYAQwByAG8AcABSAGUAcwBpAGQAdQBlAHMAXAAiACkAOwBcAG4AXABuAFYARQBFAFIARwBfADYAXwA0AF8AMQBfADEAXwBfADEAXwBfAE0AZQB0AGgAYQBuAGUARQBtAGkAcwBzAGkAbwBuAHMARgByAG8AbQBCAHUAcgBuAGkAbgBnAE8AZgBDAHIAbwBwAFIAZQBzAGkAZAB1AGUAcwBfAFQAaQB0AGwAZQBcAG4AIAAgAD0ATABBAE0AQgBEAEEAKABcACIATQBlAHQAaABhAG4AZQAgAGUAbQBpAHMAcwBpAG8AbgBzACAAZgByAG8AbQAgAHQAaABlACAAYgB1AHIAbgBpAG4AZwAgAG8AZgAgAGMAcgBvAHAAIAByAGUAcwBpAGQAdQBlAHMAXAAiACkAOwBcAG4AXABuAFYARQBFAFIARwBfADYAXwA0AF8AMQBfADEAXwBfADEAXwBfAE0AZQB0AGgAYQBuAGUARQBtAGkAcwBzAGkAbwBuAHMARgByAG8AbQBCAHUAcgBuAGkAbgBnAE8AZgBDAHIAbwBwAFIAZQBzAGkAZAB1AGUAcwBfAFYAYQByAGkAYQBiAGwAZQBcAG4AIAAgAD0ATABBAE0AQgBEAEEAKABcACIARQBDAEgANABcACIAKQA7AFwAbgBcAG4AVgBFAEUAUgBHAF8ANgBfADQAXwAxAF8AMQBfAF8AMQBfAF8ATQBlAHQAaABhAG4AZQBFAG0AaQBzAHMAaQBvAG4AcwBGAHIAbwBtAEIAdQByAG4AaQBuAGcATwBmAEMAcgBvAHAAUgBlAHMAaQBkAHUAZQBzAF8AVQBuAGkAdABcAG4AIAAgAD0ATABBAE0AQgBEAEEAKABcACIAdAAgAEMASAA0AFwAIgApADsAXABuAFwAbgBWAEUARQBSAEcAXwA2AF8ANABfADEAXwAxAF8AXwAxAF8AXwBNAGUAdABoAGEAbgBlAEUAbQBpAHMAcwBpAG8AbgBzAEYAcgBvAG0AQgB1AHIAbgBpAG4AZwBPAGYAQwByAG8AcABSAGUAcwBpAGQAdQBlAHMAXwBTAG8AdQByAGMAZQBcAG4AIAAgAD0ATABBAE0AQgBEAEEAKABcACIAVgBFAEUAUgBHACAAMgAwADIANgA6ACAANgAuADQALgAxAC4AMQAsACAARQBxAHUAYQB0AGkAbwBuACAAKAAxACkAXAAiACkAOwBcAG4AXABuAFYARQBFAFIARwBfADYAXwA0AF8AMQBfADEAXwBfADEAXwBfAE0AZQB0AGgAYQBuAGUARQBtAGkAcwBzAGkAbwBuAHMARgByAG8AbQBCAHUAcgBuAGkAbgBnAE8AZgBDAHIAbwBwAFIAZQBzAGkAZAB1AGUAcwBfAE4ASQBSAFIAZQBmAGUAcgBlAG4AYwBlAFwAbgAgACAAPQBMAEEATQBCAEQAQQAoAFwAIgBcACIAKQA7AFwAbgBcAG4AVgBFAEUAUgBHAF8ANgBfADQAXwAxAF8AMQBfAF8AMQBfAF8ATQBlAHQAaABhAG4AZQBFAG0AaQBzAHMAaQBvAG4AcwBGAHIAbwBtAEIAdQByAG4AaQBuAGcATwBmAEMAcgBvAHAAUgBlAHMAaQBkAHUAZQBzAF8ATABhAHQAZQB4AEUAcQB1AGEAdABpAG8AbgBcAG4AIAAgAD0ATABBAE0AQgBEAEEAKABcACIARQBfAHsAQwBIADQAfQA9AFwAXABzAHUAbQBcAFwAbgBvAGwAaQBtAGkAdABzAF8AYwAoAE0AXwB7AGIAdQByAG4ALABjAH0AXABcAHQAaQBtAGUAcwAgAEMAQwBfAHsAYwB9ACkAXABcAHQAaQBtAGUAcwAgAEUARgBfAHsAQwBIADQAfQBcAFwAdABpAG0AZQBzACAAQwBfAHsAQwBIADQAfQBcAFwAdABpAG0AZQBzACAAMQAwAF4AewAtADMAfQBcACIAKQA7AFwAbgBcAG4AVgBFAEUAUgBHAF8ANgBfADQAXwAxAF8AMQBfAF8AMQBfAF8ATQBlAHQAaABhAG4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DAEMAXwBjAFwAIgAsAFwAIgBjAGEAcgBiAG8AbgAgAG0AYQBzAHMAIABmAHIAYQBjAHQAaQBvAG4AIABpAG4AIAB0AGgAZQAgAHIAZQBzAGkAZAB1AGUAcwAgAG8AZgAgAGMAcgBvAHAAIAB0AHkAcABlACAAYwBcACIALAAgAFwAIgBmAHIAYQBjAHQAaQBvAG4AXAAiACwAIABcACIAQwBvAG4AcwB0AGEAbgB0AFwAIgA7AFwAbgAgACAAIAAgACAAIAAgACAAIAAgAFwAIgBFAEYAXwBDAEgANABcACIALABcACIAZQBtAGkAcwBzAGkAbwBuACAAZgBhAGMAdABvAHIAIABmAG8AcgAgAG0AZQB0AGgAYQBuAGUAIABmAHIAbwBtACAAYgB1AHIAbgBpAG4AZwAgAG8AZgAgAGMAcgBvAHAAIAByAGUAcwBpAGQAdQBlAHMAXAAiACwAIABcACIAawBnACAAQwBIADQAIAAvACAAawBnACAAQwBIADQAIABiAHUAcgBuAHQAXAAiACwAIABcACIAQwBvAG4AcwB0AGEAbgB0AFwAIgA7AFwAbgAgACAAIAAgACAAIAAgACAAIAAgAFwAIgBDAF8AQwBIADQAXAAiACwAXAAiAGYAYQBjAHQAbwByACAAdABvACAAYwBvAG4AdgBlAHIAdAAgAGUAbABlAG0AZQBuAHQAYQBsACAAbQBhAHMAcwAgAG8AZgAgAG0AZQB0AGgAYQBu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XwBiAHUAcgBuAGMAIAA9ACAAbQBhAHMAcwAgAG8AZgAgAHIAZQBzAGkAZAB1AGUAIABiAHUAcgBuAHQAIABmAG8AcgAgAGMAcgBvAHAAIAB0AHkAcABlACAAYwAgACgAawBnACkAXABuAE4AQwBfAEEARwBjACAAPQAgAG4AaQB0AHIAbwBnAGUAbgAgAGMAbwBuAHQAZQBuAHQAIABpAG4AIAB0AGgAZQAgAGEAYgBvAHYAZQAtAGcAcgBvAHUAbgBkACAAcgBlAHMAaQBkAHUAZQAgAG8AZgAgAGMAcgBvAHAAIAB0AHkAcABlACAAYwAgACgAawBnACAATgAvAGsAZwAgAEQATQApAFwAbgBFAEYAXwBOADIATwAgAD0AIABlAG0AaQBzAHMAaQBvAG4AIABmAGEAYwB0AG8AcgAgAGYAbwByACAAbgBpAHQAcgBvAHUAcwAgAG8AeABpAGQAZQAgAGYAcgBvAG0AIABiAHUAcgBuAGkAbgBnACAAbwBmACAAYwByAG8AcAAgAHIAZQBzAGkAZAB1AGUAcwAgACgAawBnACAATgAyAE8ALwBrAGcAIABOADIATwAgAGIAdQByAG4AdAApAFwAbgBDAF8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IAXwBfAE4AaQB0AHIAbwB1AHMATwB4AGkAZABlAEUAbQBpAHMAcwBpAG8AbgBzAEYAcgBvAG0AQgB1AHIAbgBpAG4AZwBPAGYAQwByAG8AcABSAGUAcwBpAGQAdQBlAHMAXABuACAAIAA9AEwAQQBNAEIARABBACgAXABuACAAIAAgACAATQBfAGIAdQByAG4AYwAsACAATgBDAF8AQQBHAGMALAAgAEUARgBfAE4AMgBPACwAIABDAF8ATgAyAE8ALABcAG4AIAAgACAAIAAoAE0AXwBiAHUAcgBuAGMAIAAqACAATgBDAF8AQQBHAGMAKQAgACoAIABFAEYAXwBOADIATwAgACoAIABDAF8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wAXABuAG8AbABpAG0AaQB0AHMAXwBjACgATQBfAHsAYgB1AHIAbgAsAGMAfQBcAFwAdABpAG0AZQBzACAATgBDAF8AewBBAEcAYwB9ACkAXABcAHQAaQBtAGUAcwAgAEUARgBfAHsATgAyAE8AfQBcAFwAdABpAG0AZQBzACAAQwBfAHsATgAyAE8AfQBcAFwAdABpAG0AZQBzACAAMQAwAF4AewAtADMAfQBcACIAKQA7AFwAbgBcAG4AVgBFAEUAUgBHAF8ANgBfADQAXwAxAF8AMQBfAF8AMgBfAF8ATgBpAHQAcgBvAHUAcwBPAHgAaQBk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TgBDAF8AQQBHAGMAXAAiACwAXAAiAG4AaQB0AHIAbwBnAGUAbgAgAGMAbwBuAHQAZQBuAHQAIABpAG4AIAB0AGgAZQAgAGEAYgBvAHYAZQAtAGcAcgBvAHUAbgBkACAAcgBlAHMAaQBkAHUAZQAgAG8AZgAgAGMAcgBvAHAAIAB0AHkAcABlACAAYwBcACIALAAgAFwAIgBrAGcAIABOAC8AawBnACAARABNAFwAIgAsACAAXAAiAEMAbwBuAHMAdABhAG4AdABcACIAOwBcAG4AIAAgACAAIAAgACAAIAAgACAAIABcACIARQBGAF8ATgAyAE8AXAAiACwAXAAiAGUAbQBpAHMAcwBpAG8AbgAgAGYAYQBjAHQAbwByACAAZgBvAHIAIABuAGkAdAByAG8AdQBzACAAbwB4AGkAZABlACAAZgByAG8AbQAgAGIAdQByAG4AaQBuAGcAIABvAGYAIABjAHIAbwBwACAAcgBlAHMAaQBkAHUAZQBzAFwAIgAsACAAXAAiAGsAZwAgAE4AMgBPAC8AawBnACAATgAyAE8AIABiAHUAcgBuAH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MAXwBfAE0AYQBzAHMATwBmAEMAcgBvAHAAUgBlAHMAaQBkAHUAZQBCAHUAcgBuAHQAXABuAE0AYQBzAHMAIABvAGYAIAByAGUAcwBpAGQAdQBlACAAbwBmACAAYwByAG8AcAAgAGMAIABiAHUAcgBuAHQAXABuAE0AXwBiAHUAcgBuAGMAXABuAGsAZwBcAG4ATQBfAHsAYgB1AHIAbgAsAGMAfQA9AFAAXwB7AGMAfQBcAFwAdABpAG0AZQBzACAAUgBfAHsAQQBHAGMAfQBcAFwAdABpAG0AZQBzACAAUwBfAHsAYwB9AFwAXAB0AGkAbQBlAHMAIABEAE0AXwB7AGMAfQBcAFwAdABpAG0AZQBzACAAWgBfAHsAYwB9AFwAXAB0AGkAbQBlAHMAIABGAF8AewBjAH0AXABuAFAAXwBjACAAPQAgAGEAbgBuAHUAYQBsACAAcAByAG8AZAB1AGMAdABpAG8AbgAgAG8AZgAgAGMAcgBvAHAAIAB0AHkAcABlACAAYwAgACgAawBnACkAXABuAFIAXwBBAEcAYwAgAD0AIAByAGUAcwBpAGQAdQBlACAAdABvACAAYwByAG8AcAAgAHIAYQB0AGkAbwAgAG8AZgAgAGMAcgBvAHAAIAB0AHkAcABlACAAYwAgACgAawBnACAAYwByAG8AcAAgAHIAZQBzAGkAZAB1AGUALwBrAGcAIABjAHIAbwBwACkAXABuAFMAXwBjACAAPQAgAGYAcgBhAGMAdABpAG8AbgAgAG8AZgAgAHIAZQBzAGkAZAB1AGUAcwAgAG8AZgAgAGMAcgBvAHAAIAB0AHkAcABlACAAYwAgAHIAZQBtAGEAaQBuAGkAbgBnACAAYQB0ACAAYgB1AHIAbgBpAG4AZwAgACgAZABpAG0AZQBuAHMAaQBvAG4AbABlAHMAcwApAFwAbgBEAE0AXwBjACAAPQAgAGQAcgB5ACAAbQBhAHQAdABlAHIAIABjAG8AbgB0AGUAbgB0ACAAbwBmACAAYwByAG8AcAAgAHQAeQBwAGUAIABjACAAKABrAGcAIABkAHIAeQAgAHcAZQBpAGcAaAB0AC8AawBnACAAYwByAG8AcAAgAHIAZQBzAGkAZAB1AGUAKQBcAG4AWgBfAGMAIAA9ACAAYgB1AHIAbgBpAG4AZwAgAGUAZgBmAGkAYwBpAGUAbgBjAHkAIAAoAHIAYQB0AGkAbwAgAG8AZgAgAGYAdQBlAGwAIABiAHUAcgBuAHQAIAB0AG8AIABmAHUAZQBsACAAbABvAGEAZAApACAAbwBmACAAYwByAG8AcAAgAHQAeQBwAGUAIABjACAAKABkAGkAbQBlAG4AcwBpAG8AbgBsAGUAcwBzACkAXABuAEYAXw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fAGMALAAgAFIAXwBBAEcAYwAsACAAUwBfAGMALAAgAEQATQBfAGMALAAgAFoAXwBjACwAIABGAF8AYwAsAFwAbgAgACAAIAAgAFAAXwBjACAAKgAgAFIAXwBBAEcAYwAgACoAIABTAF8AYwAgACoAIABEAE0AXwBjACAAKgAgAFoAXwBjACAAKgAgAEYAXw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F8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QALABcAG4AIAAgACAAIAAgACAATABBAE0AQgBEAEEAKAByACwAYwAsAFwAbgAgACAAIAAgACAAIAAgACAASQBOAEQARQBYACgAewBcAG4AIAAgACAAIAAgACAAIAAgACAAIABcACIAUABfAGMAXAAiACwAXAAiAGEAbgBuAHUAYQBsACAAcAByAG8AZAB1AGMAdABpAG8AbgAgAG8AZgAgAGMAcgBvAHAAIAB0AHkAcABlACAAYwBcACIALAAgAFwAIgBrAGcAXAAiACwAIABcACIASQBuAHAAdQB0AFwAIgA7AFwAbgAgACAAIAAgACAAIAAgACAAIAAgAFwAIgBSAF8AQQBHAGMAXAAiACwAXAAiAHIAZQBzAGkAZAB1AGUAIAB0AG8AIABjAHIAbwBwACAAcgBhAHQAaQBvACAAbwBmACAAYwByAG8AcAAgAHQAeQBwAGUAIABjAFwAIgAsACAAXAAiAGsAZwAgAGMAcgBvAHAAIAByAGUAcwBpAGQAdQBlAC8AawBnACAAYwByAG8AcABcACIALAAgAFwAIgBDAG8AbgBzAHQAYQBuAHQAXAAiADsAXABuACAAIAAgACAAIAAgACAAIAAgACAAXAAiAFMAXwBjAFwAIgAsAFwAIgBmAHIAYQBjAHQAaQBvAG4AIABvAGYAIAByAGUAcwBpAGQAdQBlAHMAIABvAGYAIABjAHIAbwBwACAAdAB5AHAAZQAgAGMAIAByAGUAbQBhAGkAbgBpAG4AZwAgAGEAdAAgAGIAdQByAG4AaQBuAGcAXAAiACwAIABcACIAZgByAGEAYwB0AGkAbwBuAFwAIgAsACAAXAAiAEMAbwBuAHMAdABhAG4AdABcACIAOwBcAG4AIAAgACAAIAAgACAAIAAgACAAIABcACIARABNAF8AYwBcACIALABcACIAZAByAHkAIABtAGEAdAB0AGUAcgAgAGMAbwBuAHQAZQBuAHQAIABvAGYAIABjAHIAbwBwACAAdAB5AHAAZQAgAGMAXAAiACwAIABcACIAawBnACAAZAByAHkAIAB3AGUAaQBnAGgAdAAvAGsAZwAgAGMAcgBvAHAAIAByAGUAcwBpAGQAdQBlAFwAIgAsACAAXAAiAEMAbwBuAHMAdABhAG4AdABcACIAOwBcAG4AIAAgACAAIAAgACAAIAAgACAAIABcACIAWgBfAGMAXAAiACwAXAAiAGIAdQByAG4AaQBuAGcAIABlAGYAZgBpAGMAaQBlAG4AYwB5ACAAKAByAGEAdABpAG8AIABvAGYAIABmAHUAZQBsACAAYgB1AHIAbgB0ACAAdABvACAAZgB1AGUAbAAgAGwAbwBhAGQAKQAgAG8AZgAgAGMAcgBvAHAAIAB0AHkAcABlACAAYwBcACIALAAgAFwAIgBcACIALAAgAFwAIgBDAG8AbgBzAHQAYQBuAHQAXAAiADsAXABuACAAIAAgACAAIAAgACAAIAAgACAAXAAiAEYAXwBjAFwAIgAsAFwAIgBmAHIAYQBjAHQAaQBvAG4AIABvAGYAIAB0AGgAZQAgAGEAbgBuAHUAYQBsACAAcAByAG8AZAB1AGMAdABpAG8AbgAgAG8AZgAgAGMAcgBvAHAAIAB0AHkAcABlACAAYwAgAHQAaABhAHQAIABpAHMAIABiAHUAcgBuAHQAXAAiACwAIABcACIAZgByAGEAYwB0AGkAbwBu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CIAfQAsAHsAIgBwAGEAdABoACIAOgAiAC8AcAByAG8AagBlAGMAdABzAC8AQQBnAFIAZQBzAGkAZAB1AGUAXwBFAHEAdQBhAHQAaQBvAG4AcwBfAEwAZQBhAGMAaABpAG4AZwAiACwAIgB0AGUAeAB0ACIAOgAiAC8AKgAgAFwAbgAtAC0ALQAtAC0ALQAtAC0ALQAtAC0ALQAtAC0ALQAtAC0ALQAtAC0ALQAtAC0ALQAtAC0ALQAtAC0ALQAtAC0ALQAtAC0ALQAtAC0AXABuAFYARQBFAFIARwBfADYAXwAzAF8AMQBfADEAXwBfADEAXwBfAEwAZQBhAGMAaABpAG4AZwBBAG4AZABSAHUAbgBvAGYAZgBFAG0AaQBzAHMAaQBvAG4AcwBDAHIAbwBwAEEAbgBkAFAAYQBzAHQAdQByAGUAUgBlAHMAaQBkAHUAZQBcAG4ATgBpAHQAcgBvAHUAcwAgAG8AeABpAGQAZQAgAGwAZQBhAGMAaABpAG4AZwAgAGEAbgBkACAAcgB1AG4AbwBmAGYAIABlAG0AaQBzAHMAaQBvAG4AcwAgAGYAcgBvAG0AIABjAHIAbwBwACAAYQBuAGQAIABwAGEAcwB0AHUAcgBlACAAcgBlAHMAaQBkAHUAZQBzACAAcgBlAHQAdQByAG4AZQBkACAAdABvACAAdABoAGUAIABzAG8AaQBsACwAIABhAGMAcgBvAHMAcwAgAGEAbABsACAAYwByAG8AcAAgAHIAZQBzAGkAZAB1AGUAcwAgAGMAIABhAG4AZAAgAHAAYQBzAHQAdQByAGUAIAByAGUAcwBpAGQAdQBlAHMAIABwAFwAbgBFAE4AMgBPAFwAbgB0ACAATgAyAE8AXABuAEUAXwB7AE4AMgBPAH0APQBcAFwAcwB1AG0AXwB7AGMAfQBcAFwAcwB1AG0AXwB7AHAAfQAoAE0AXwB7AGwAZQBhAGMAaAAsAGMAcAB9AFwAXAB0AGkAbQBlAHMAIABFAEYAXwB7AGwAZQBhAGMAaAB9AFwAXAB0AGkAbQBlAHMAIABDAF8AewBOADIATwB9AFwAXAB0AGkAbQBlAHMAIAAxADAAXgB7AC0AMwB9ACkAXABuAE0AXwBsAGUAYQBjAGgAYwBwACAAPQAgAG0AYQBzAHMAIABvAGYAIABuAGkAdAByAG8AZwBlAG4AIABsAG8AcwB0ACAAdABoAHIAbwB1AGcAaAAgAGwAZQBhAGMAaABpAG4AZwAgAGEAbgBkACAAcgB1AG4AbwBmAGYAIABmAHIAbwBtACAAdABoAGUAIABjAHIAbwBwACAAcgBlAHMAaQBkAHUAZQAgAGMAIABvAHIAIABwAGEAcwB0AHUAcgBlACAAcgBlAHMAaQBkAHUAZQAgAHAAIAAoAGsAZwAgAE4AKQBcAG4ARQBGAF8AbABlAGEAYwBoACAAPQAgAGUAbQBpAHMAcwBpAG8AbgAgAGYAYQBjAHQAbwByACAAZgBvAHIAIABsAGUAYQBjAGgAaQBuAGcAIABhAG4AZAAgAHIAdQBuAG8AZgBm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jACAAPQAgAEMAcgBvAHAAIAByAGUAcwBpAGQAdQBlACAAdAB5AHAAZQBcAG4AcAAgAD0AIABQAGEAcwB0AHUAcgBlACAAcgBlAHMAaQBkAHUAZQAgAHQAeQBwAGUAXABuAC0ALQAtAC0ALQAtAC0ALQAtAC0ALQAtAC0ALQAtAC0ALQAtAC0ALQAtAC0ALQAtAC0ALQAtAC0ALQAtAC0ALQAtAC0ALQAtAC0ALQBcAG4AKgAvAFwAbgBcAG4AVgBFAEUAUgBHAF8ANgBfADMAXwAxAF8AMQBfAF8AMQBfAF8ATABlAGEAYwBoAGkAbgBnAEEAbgBkAFIAdQBuAG8AZgBmAEUAbQBpAHMAcwBpAG8AbgBzAEMAcgBvAHAAQQBuAGQAUABhAHMAdAB1AHIAZQBSAGUAcwBpAGQAdQBlAFwAbgAgACAAPQBMAEEATQBCAEQAQQAoAFwAbgAgACAAIAAgAE0AXwBsAGUAYQBjAGgAYwBwACwAIABFAEYAXwBsAGUAYQBjAGgALAAgAEMAXwBOADIATwAsAFwAbgAgACAAIAAgACgATQBfAGwAZQBhAGMAaABjAHAAIAAqACAARQBGAF8AbABlAGEAYwBoACkAIAAqACAAQwBfAE4AMgBPACAAKgAgADEAMABeACgALQAzACkAXABuACAAIAApAFwAbgA7AFwAbgBcAG4AVgBFAEUAUgBHAF8ANgBfADMAXwAxAF8AMQBfAF8AMQBfAF8ATABlAGEAYwBoAGkAbgBnAEEAbgBkAFIAdQBuAG8AZgBmAEUAbQBpAHMAcwBpAG8AbgBzAEMAcgBvAHAAQQBuAGQAUABhAHMAdAB1AHIAZQBSAGUAcwBpAGQAdQBlAF8AVABpAHQAbABlAFwAbgAgACAAPQBMAEEATQBCAEQAQQAoAFwAIgBOAGkAdAByAG8AdQBzACAAbwB4AGkAZABlACAAbABlAGEAYwBoAGkAbgBnACAAYQBuAGQAIAByAHUAbgBvAGYAZgAgAGUAbQBpAHMAcwBpAG8AbgBzACAAZgByAG8AbQAgAGMAcgBvAHAAIABhAG4AZAAgAHAAYQBzAHQAdQByAGUAIAByAGUAcwBpAGQAdQBlAHMAIAByAGUAdAB1AHIAbgBlAGQAIAB0AG8AIAB0AGgAZQAgAHMAbwBpAGwAXAAiACkAOwBcAG4AXABuAFYARQBFAFIARwBfADYAXwAzAF8AMQBfADEAXwBfADEAXwBfAEwAZQBhAGMAaABpAG4AZwBBAG4AZABSAHUAbgBvAGYAZgBFAG0AaQBzAHMAaQBvAG4AcwBDAHIAbwBwAEEAbgBkAFAAYQBzAHQAdQByAGUAUgBlAHMAaQBkAHUAZQBfAFYAYQByAGkAYQBiAGwAZQBcAG4AIAAgAD0ATABBAE0AQgBEAEEAKABcACIARQBOADIATwBcACIAKQA7AFwAbgBcAG4AVgBFAEUAUgBHAF8ANgBfADMAXwAxAF8AMQBfAF8AMQBfAF8ATABlAGEAYwBoAGkAbgBnAEEAbgBkAFIAdQBuAG8AZgBmAEUAbQBpAHMAcwBpAG8AbgBzAEMAcgBvAHAAQQBuAGQAUABhAHMAdAB1AHIAZQBSAGUAcwBpAGQAdQBlAF8AVQBuAGkAdABcAG4AIAAgAD0ATABBAE0AQgBEAEEAKABcACIAdAAgAE4AMgBPAFwAIgApADsAXABuAFwAbgBWAEUARQBSAEcAXwA2AF8AMwBfADEAXwAxAF8AXwAxAF8AXwBMAGUAYQBjAGgAaQBuAGcAQQBuAGQAUgB1AG4AbwBmAGYARQBtAGkAcwBzAGkAbwBuAHMAQwByAG8AcABBAG4AZABQAGEAcwB0AHUAcgBlAFIAZQBzAGkAZAB1AGUAXwBTAG8AdQByAGMAZQBcAG4AIAAgAD0ATABBAE0AQgBEAEEAKABcACIAVgBFAEUAUgBHACAAMgAwADIANgA6ACAANgAuADMALgAxAC4AMQAsACAARQBxAHUAYQB0AGkAbwBuACAAKAAxACkAXAAiACkAOwBcAG4AXABuAFYARQBFAFIARwBfADYAXwAzAF8AMQBfADEAXwBfADEAXwBfAEwAZQBhAGMAaABpAG4AZwBBAG4AZABSAHUAbgBvAGYAZgBFAG0AaQBzAHMAaQBvAG4AcwBDAHIAbwBwAEEAbgBkAFAAYQBzAHQAdQByAGUAUgBlAHMAaQBkAHUAZQBfAE4ASQBSAFIAZQBmAGUAcgBlAG4AYwBlAFwAbgAgACAAPQBMAEEATQBCAEQAQQAoAFwAIgBcACIAKQA7AFwAbgBcAG4AVgBFAEUAUgBHAF8ANgBfADMAXwAxAF8AMQBfAF8AMQBfAF8ATABlAGEAYwBoAGkAbgBnAEEAbgBkAFIAdQBuAG8AZgBmAEUAbQBpAHMAcwBpAG8AbgBzAEMAcgBvAHAAQQBuAGQAUABhAHMAdAB1AHIAZQBSAGUAcwBpAGQAdQBlAF8ATABhAHQAZQB4AEUAcQB1AGEAdABpAG8AbgBcAG4AIAAgAD0ATABBAE0AQgBEAEEAKABcACIARQBfAHsATgAyAE8AfQA9AFwAXABzAHUAbQBcAFwAbgBvAGwAaQBtAGkAdABzAF8AYwBcAFwAcwB1AG0AXABcAG4AbwBsAGkAbQBpAHQAcwBfAHAAKABNAF8AewBsAGUAYQBjAGgALABjAHAAfQBcAFwAdABpAG0AZQBzACAARQBGAF8AewBsAGUAYQBjAGgAfQBcAFwAdABpAG0AZQBzACAAQwBfAHsATgAyAE8AfQBcAFwAdABpAG0AZQBzACAAMQAwAF4AewAtADMAfQApAFwAIgApADsAXABuAFwAbgBWAEUARQBSAEcAXwA2AF8AMwBfADEAXwAxAF8AXwAxAF8AXwBMAGUAYQBjAGgAaQBuAGcAQQBuAGQAUgB1AG4AbwBmAGYARQBtAGkAcwBzAGkAbwBuAHMAQwByAG8AcABBAG4AZABQAGEAcwB0AHUAcgBlAFIAZQBzAGkAZAB1AGUAXwBBAHIAZwB1AG0AZQBuAHQAcwBcAG4AIAAgAD0ATABBAE0AQgBEAEEAKABcAG4AIAAgACAAIABNAEEASwBFAEEAUgBSAEEAWQAoADUALAAgADQALAAgAFwAbgAgACAAIAAgACAAIABMAEEATQBCAEQAQQAoAHIALABjACwAIABcAG4AIAAgACAAIAAgACAAIAAgAEkATgBEAEUAWAAoAHsAXABuACAAIAAgACAAIAAgACAAIAAgACAAXAAiAE0AXwBsAGUAYQBjAGgAYwBwAFwAIgAsAFwAIgBtAGEAcwBzACAAbwBmACAAbgBpAHQAcgBvAGcAZQBuACAAbABvAHMAdAAgAHQAaAByAG8AdQBnAGgAIABsAGUAYQBjAGgAaQBuAGcAIABhAG4AZAAgAHIAdQBuAG8AZgBmACAAZgByAG8AbQAgAHQAaABlACAAYwByAG8AcAAgAHIAZQBzAGkAZAB1AGUAIABjACAAbwByACAAcABhAHMAdAB1AHIAZQAgAHIAZQBzAGkAZAB1AGUAIABwAFwAIgAsACAAXAAiAGsAZwAgAE4AXAAiACwAIABcACIAQwBhAGwAYwB1AGwAYQB0AGUAZAAgAGYAcgBvAG0AIAA2AC4AMwAuADEALgAxACAAKAAyACkAXAAiADsAXABuACAAIAAgACAAIAAgACAAIAAgACAAXAAiAEUARgBfAGwAZQBhAGMAaABcACIALABcACIAZQBtAGkAcwBzAGkAbwBuACAAZgBhAGMAdABvAHIAIABmAG8Ac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zAF8AMQBfADEAXwBfADIAXwBfAE0AYQBzAHMATwBmAE4AaQB0AHIAbwBnAGUAbgBMAG8AcwB0AFQAaAByAG8AdQBnAGgATABlAGEAYwBoAGkAbgBnAEEAbgBkAFIAdQBuAG8AZgBmAFwAbgBNAGEAcwBzACAAbwBmACAAbgBpAHQAcgBvAGcAZQBuACAAbABvAHMAdAAgAHQAaAByAG8AdQBnAGgAIABsAGUAYQBjAGgAaQBuAGcAIABhAG4AZAAgAHIAdQBuAG8AZgBmAFwAbgBNAF8AbABlAGEAYwBoAGMAcABcAG4AawBnACAATgBcAG4ATQBfAHsAbABlAGEAYwBoACwAYwBwAH0APQBNAF8AewBjAHAAfQBcAFwAdABpAG0AZQBzACAARgByAGEAYwBXAEUAVABfAHsAagB9AFwAXAB0AGkAbQBlAHMAIABGAHIAYQBjAEwARQBBAEMASABcAG4ATQBfAGMAcAAgAD0AIABtAGEAcwBzACAAbwBmACAAbgBpAHQAcgBvAGcAZQBuACAAaQBuACAAYwByAG8AcAAgAHIAZQBzAGkAZAB1AGUAcwAgAGMAIABvAHIAIABwAGEAcwB0AHUAcgBlACAAcgBlAHMAaQBkAHUAZQBzACAAcAAgAGEAcABwAGwAaQBlAGQAIAB0AG8AIABzAG8AaQBsAHMAIAAoAGsAZwAgAE4AKQBcAG4ARgByAGEAYwBXAEUAVABqACAAPQAgAGYAcgBhAGMAdABpAG8AbgAgAG8AZgAgAE4AIAB0AGgAYQB0ACAAaQBzACAAYQB2AGEAaQBsAGEAYgBsAGUAIABmAG8AcgAgAGwAZQBhAGMAaABpAG4AZwAgAGEAbgBkACAAcgB1AG4AbwBmAGYAIABmAHIAbwBtACAAcAByAG8AZAB1AGMAdABpAG8AbgAgAHMAeQBzAHQAZQBtACAAagAgACgAZABpAG0AZQBuAHMAaQBvAG4AbABlAHMAcwApAFwAbgBGAHIAYQBjAEwARQBBAEMASAAgAD0AIABmAHIAYQBjAHQAaQBvAG4AIABvAGYAIABOACAAdABoAGEAdAAgAGkAcwAgAGwAbwBzAHQAIAB0AGgAcgBvAHUAZwBoACAAbABlAGEAYwBoAGkAbgBnACAAYQBuAGQAIAByAHUAbgBvAGYAZgAgACgAZABpAG0AZQBuAHMAaQBvAG4AbABlAHMAcwApAFwAbgBjACAAPQAgAEMAcgBvAHAAIAByAGUAcwBpAGQAdQBlACAAdAB5AHAAZQBcAG4AcAAgAD0AIABQAGEAcwB0AHUAcgBlACAAcgBlAHMAaQBkAHUAZQAgAHQAeQBwAGUAXABuAGkAcgAgAD0AIABpAHIAcgBpAGcAYQB0AGkAbwBuACAAdAB5AHAAZQBcAG4ALQAtAC0ALQAtAC0ALQAtAC0ALQAtAC0ALQAtAC0ALQAtAC0ALQAtAC0ALQAtAC0ALQAtAC0ALQAtAC0ALQAtAC0ALQAtAC0ALQAtAFwAbgAqAC8AXABuAFwAbgBWAEUARQBSAEcAXwA2AF8AMwBfADEAXwAxAF8AXwAyAF8AXwBNAGEAcwBzAE8AZgBOAGkAdAByAG8AZwBlAG4ATABvAHMAdABUAGgAcgBvAHUAZwBoAEwAZQBhAGMAaABpAG4AZwBBAG4AZABSAHUAbgBvAGYAZgBcAG4AIAAgAD0ATABBAE0AQgBEAEEAKABcAG4AIAAgACAAIABNAF8AYwBwACwAIABGAHIAYQBjAFcARQBUAF8AagAsACAARgByAGEAYwBMAEUAQQBDAEgALABcAG4AIAAgACAAIABNAF8AYwBwACAAKgAgAEYAcgBhAGMAVwBFAFQAXwBqACAAKgAgAEYAcgBhAGMATABFAEEAQwBIAFwAbgAgACAAKQBcAG4AOwBcAG4AXABuAFYARQBFAFIARwBfADYAXwAzAF8AMQBfADEAXwBfADIAXwBfAE0AYQBzAHMATwBmAE4AaQB0AHIAbwBnAGUAbgBMAG8AcwB0AFQAaAByAG8AdQBnAGgATABlAGEAYwBoAGkAbgBnAEEAbgBkAFIAdQBuAG8AZgBmAF8AVABpAHQAbABlAFwAbgAgACAAPQBMAEEATQBCAEQAQQAoAFwAIgBNAGEAcwBzACAAbwBmACAAbgBpAHQAcgBvAGcAZQBuACAAbABvAHMAdAAgAHQAaAByAG8AdQBnAGgAIABsAGUAYQBjAGgAaQBuAGcAIABhAG4AZAAgAHIAdQBuAG8AZgBmAFwAIgApADsAXABuAFwAbgBWAEUARQBSAEcAXwA2AF8AMwBfADEAXwAxAF8AXwAyAF8AXwBNAGEAcwBzAE8AZgBOAGkAdAByAG8AZwBlAG4ATABvAHMAdABUAGgAcgBvAHUAZwBoAEwAZQBhAGMAaABpAG4AZwBBAG4AZABSAHUAbgBvAGYAZgBfAFYAYQByAGkAYQBiAGwAZQBcAG4AIAAgAD0ATABBAE0AQgBEAEEAKABcACIATQBfAGwAZQBhAGMAaABjAHAAXAAiACkAOwBcAG4AXABuAFYARQBFAFIARwBfADYAXwAzAF8AMQBfADEAXwBfADIAXwBfAE0AYQBzAHMATwBmAE4AaQB0AHIAbwBnAGUAbgBMAG8AcwB0AFQAaAByAG8AdQBnAGgATABlAGEAYwBoAGkAbgBnAEEAbgBkAFIAdQBuAG8AZgBmAF8AVQBuAGkAdABcAG4AIAAgAD0ATABBAE0AQgBEAEEAKABcACIAawBnACAATgBcACIAKQA7AFwAbgBcAG4AVgBFAEUAUgBHAF8ANgBfADMAXwAxAF8AMQBfAF8AMgBfAF8ATQBhAHMAcwBPAGYATgBpAHQAcgBvAGcAZQBuAEwAbwBzAHQAVABoAHIAbwB1AGcAaABMAGUAYQBjAGgAaQBuAGcAQQBuAGQAUgB1AG4AbwBmAGYAXwBTAG8AdQByAGMAZQBcAG4AIAAgAD0ATABBAE0AQgBEAEEAKABcACIAVgBFAEUAUgBHACAAMgAwADIANgA6ACAANgAuADMALgAxAC4AMQAsACAARQBxAHUAYQB0AGkAbwBuACAAKAAyACkAXAAiACkAOwBcAG4AXABuAFYARQBFAFIARwBfADYAXwAzAF8AMQBfADEAXwBfADIAXwBfAE0AYQBzAHMATwBmAE4AaQB0AHIAbwBnAGUAbgBMAG8AcwB0AFQAaAByAG8AdQBnAGgATABlAGEAYwBoAGkAbgBnAEEAbgBkAFIAdQBuAG8AZgBmAF8ATgBJAFIAUgBlAGYAZQByAGUAbgBjAGUAXABuACAAIAA9AEwAQQBNAEIARABBACgAXAAiAFwAIgApADsAXABuAFwAbgBWAEUARQBSAEcAXwA2AF8AMwBfADEAXwAxAF8AXwAyAF8AXwBNAGEAcwBzAE8AZgBOAGkAdAByAG8AZwBlAG4ATABvAHMAdABUAGgAcgBvAHUAZwBoAEwAZQBhAGMAaABpAG4AZwBBAG4AZABSAHUAbgBvAGYAZgBfAEwAYQB0AGUAeABFAHEAdQBhAHQAaQBvAG4AXABuACAAIAA9AEwAQQBNAEIARABBACgAXAAiAE0AXwB7AGwAZQBhAGMAaAAsAGMAcAB9AD0ATQBfAHsAYwBwAH0AXABcAHQAaQBtAGUAcwAgAEYAcgBhAGMAVwBFAFQAXwB7AGoAfQBcAFwAdABpAG0AZQBzACAARgByAGEAYwBMAEUAQQBDAEgAXAAiACkAOwBcAG4AXABuAFYARQBFAFIARwBfADYAXwAzAF8AMQBfADEAXwBfADIAXwBfAE0AYQBzAHMATwBmAE4AaQB0AHIAbwBnAGUAbgBMAG8AcwB0AFQAaAByAG8AdQBnAGgATABlAGEAYwBoAGkAbgBnAEEAbgBkAFIAdQBuAG8AZgBmAF8AQQByAGcAdQBtAGUAbgB0AHMAXABuACAAIAA9AEwAQQBNAEIARABBACgAXABuACAAIAAgACAATQBBAEsARQBBAFIAUgBBAFkAKAA3ACwAIAA0ACwAIABcAG4AIAAgACAAIAAgACAATABBAE0AQgBEAEEAKAByACwAYwAsACAAXABuACAAIAAgACAAIAAgACAAIABJAE4ARABFAFgAKAB7AFwAbgAgACAAIAAgACAAIAAgACAAIAAgAFwAIgBNAF8AYwBwAFwAIgAsAFwAIgBtAGEAcwBzACAAbwBmACAAbgBpAHQAcgBvAGcAZQBuACAAaQBuACAAYwByAG8AcAAgAHIAZQBzAGkAZAB1AGUAcwAgAGMAIABvAHIAIABwAGEAcwB0AHUAcgBlACAAcgBlAHMAaQBkAHUAZQBzACAAcAAgAGEAcABwAGwAaQBlAGQAIAB0AG8AIABzAG8AaQBsAHMAXAAiACwAIABcACIAawBnACAATgBcACIALAAgAFwAIgBDAGEAbABjACAAZgByAG8AbQAgADYALgAxAC4AMQAuADEAIAAoADIAKQAgAGEAbgBkACAANgAuADIALgAxAC4AMQAgACgAMgApAFwAIgA7AFwAbgAgACAAIAAgACAAIAAgACAAIAAgAFwAIgBGAHIAYQBjAFcARQBUAF8AagBcACIAL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MAG8AYwBhAHQAaQBvAG4AIABpAG4AIABsAGUAYQBjAGgAaQBuAGcAIAB6AG8AbgBlAFwAIgAsACAAXAAiAFwAIgAsACAAXAAiAEkAbgBwAHU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OwBcAG4AIAAgACAAIAAgACAAIAAgACAAIABcACIAaQByAFwAIgAsACAAXAAiAEkAcgByAGkAZwBhAHQAaQBvAG4AIAB0AHkAcABlAFwAIgAsACAAXAAiAFwAIgAsACAAXAAiAEkAbgBwAHUAdABcACIAXABuACAAIAAgACAAIAAgACAAIAB9ACwAIAByACwAIABjACkAXABuACAAIAAgACAAIAAgACkAXABuACAAIAAgACAAKQBcAG4AIAAgACkAOwBcAG4AXABuACAAIABWAEUARQBSAEcAXwA2AF8AMwBfADEAXwAxAF8AXwAyAF8AXwBNAGEAcwBzAE8AZgBOAGkAdAByAG8AZwBlAG4ATABvAHMAdABUAGgAcgBvAHUAZwBoAEwAZQBhAGMAaABpAG4AZwBBAG4AZABSAHUAbgBvAGYAZgBfAFYAYQByAGkAYQB0AGkAbwBuAFwAbgAgACAAPQBMAEEATQBCAEQAQQAoAFwAIgBcACIAKQA7AFwAbgBcAG4AXABuAFwAbg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EEAZwByAGUAcwBpAGQAdQBlAF8AUwBvAHUAcgBjAGUARABhAHQAYQAuAEMAcgBvAHAAUAB1AHIAcABvAHMAZQBBAG4AZABZAGkAZQBsAGQAXwBUAGkAdABsAGUAIgAsACIAQQBnAHIAZQBzAGkAZAB1AGUAXwBTAG8AdQByAGMAZQBEAGEAdABhAC4AQwByAG8AcABQAHUAcgBwAG8AcwBlAEEAbgBkAFkAaQBlAGwAZABfAEQAYQB0AGEAIgAsACIAQQBnAHIAZQBzAGkAZAB1AGUAXwBTAG8AdQByAGMAZQBEAGEAdABhAC4AQwByAG8AcABBAHQAdAByAGkAYgB1AHQAZQBzAF8AVABpAHQAbABlACIALAAiAEEAZwByAGUAcwBpAGQAdQBlAF8AUwBvAHUAcgBjAGUARABhAHQAYQAuAEMAcgBvAHAAQQB0AHQAcgBpAGIAdQB0AGUAcwBfAEQAZQBzAGMAcgBpAHAAdABpAG8AbgAiACwAIgBBAGcAcgBlAHMAaQBkAHUAZQBfAFMAbwB1AHIAYwBlAEQAYQB0AGEALgBDAHIAbwBwAEEAdAB0AHIAaQBiAHUAdABlAHMAXwBTAG8AdQByAGMAZQAiACwAIgBBAGcAcgBlAHMAaQBkAHUAZQBfAFMAbwB1AHIAYwBlAEQAYQB0AGEALgBDAHIAbwBwAEEAdAB0AHIAaQBiAHUAdABlAHMAXwBEAGEAdABhACIALAAiAEEAZwByAGUAcwBpAGQAdQBlAF8AUwBvAHUAcgBjAGUARABhAHQAYQAuAEMAcgBvAHAAQQB0AHQAcgBpAGIAdQB0AGUAcwBfAFYAYQByAGkAYQB0AGkAbwBuACIALAAiAEEAZwByAGUAcwBpAGQAdQBlAF8AUwBvAHUAcgBjAGUARABhAHQAYQAuAEMAcgBvAHAARgByAGEAYwB0AGkAbwBuAFIAZQBtAG8AdgBlAGQAXwBUAGkAdABsAGUAIgAsACIAQQBnAHIAZQBzAGkAZAB1AGUAXwBTAG8AdQByAGMAZQBEAGEAdABhAC4AQwByAG8AcABGAHIAYQBjAHQAaQBvAG4AUgBlAG0AbwB2AGUAZABfAEQAZQBzAGMAcgBpAHAAdABpAG8AbgAiACwAIgBBAGcAcgBlAHMAaQBkAHUAZQBfAFMAbwB1AHIAYwBlAEQAYQB0AGEALgBDAHIAbwBwAEYAcgBhAGMAdABpAG8AbgBSAGUAbQBvAHYAZQBkAF8AUwBvAHUAcgBjAGUAIgAsACIAQQBnAHIAZQBzAGkAZAB1AGUAXwBTAG8AdQByAGMAZQBEAGEAdABhAC4AQwByAG8AcABGAHIAYQBjAHQAaQBvAG4AUgBlAG0AbwB2AGUAZABfAEQAYQB0AGEAIgAsACIAQQBnAHIAZQBzAGkAZAB1AGUAXwBTAG8AdQByAGMAZQBEAGEAdABhAC4AQwByAG8AcABGAHIAYQBjAHQAaQBvAG4AUgBlAG0AbwB2AGUAZABfAEMAdQBzAHQAbwBtAGkAcwBlAGQARABhAHQAYQAiACwAIgBBAGcAcgBlAHMAaQBkAHUAZQBfAFMAbwB1AHIAYwBlAEQAYQB0AGEALgBDAHIAbwBwAEYAcgBhAGMAdABpAG8AbgBSAGUAbQBvAHYAZQBkAF8AVgBhAHIAaQBhAHQAaQBvAG4AIgAsACIAQQBnAHIAZQBzAGkAZAB1AGUAXwBTAG8AdQByAGMAZQBEAGEAdABhAC4AUABhAHMAdAB1AHIAZQBBAHQAdAByAGkAYgB1AHQAZQBzAF8AVABpAHQAbABlACIALAAiAEEAZwByAGUAcwBpAGQAdQBlAF8AUwBvAHUAcgBjAGUARABhAHQAYQAuAFAAYQBzAHQAdQByAGUAQQB0AHQAcgBpAGIAdQB0AGUAcwBfAEQAZQBzAGMAcgBpAHAAdABpAG8AbgAiACwAIgBBAGcAcgBlAHMAaQBkAHUAZQBfAFMAbwB1AHIAYwBlAEQAYQB0AGEALgBQAGEAcwB0AHUAcgBlAEEAdAB0AHIAaQBiAHUAdABlAHMAXwBTAG8AdQByAGMAZQAiACwAIgBBAGcAcgBlAHMAaQBkAHUAZQBfAFMAbwB1AHIAYwBlAEQAYQB0AGEALgBQAGEAcwB0AHUAcgBlAEEAdAB0AHIAaQBiAHUAdABlAHMAXwBEAGEAdABhACIALAAiAEEAZwByAGUAcwBpAGQAdQBlAF8AUwBvAHUAcgBjAGUARABhAHQAYQAuAEIAdQByAG4AaQBuAGcATwBmAEEAZwByAGkAYwB1AGwAdAB1AHIAYQBsAFIAZQBzAGkAZAB1AGUAcwBFAEYAcwBfAFQAaQB0AGwAZQAiACwAIgBBAGcAcgBlAHMAaQBkAHUAZQBfAFMAbwB1AHIAYwBlAEQAYQB0AGEALgBCAHUAcgBuAGkAbgBnAE8AZgBBAGcAcgBpAGMAdQBsAHQAdQByAGEAbABSAGUAcwBpAGQAdQBlAHMARQBGAHMAXwBEAGUAcwBjAHIAaQBwAHQAaQBvAG4AIgAsACIAQQBnAHIAZQBzAGkAZAB1AGUAXwBTAG8AdQByAGMAZQBEAGEAdABhAC4AQgB1AHIAbgBpAG4AZwBPAGYAQQBnAHIAaQBjAHUAbAB0AHUAcgBhAGwAUgBlAHMAaQBkAHUAZQBzAEUARgBzAF8AUwBvAHUAcgBjAGUAIgAsACIAQQBnAHIAZQBzAGkAZAB1AGUAXwBTAG8AdQByAGMAZQBEAGEAdABhAC4AQgB1AHIAbgBpAG4AZwBPAGYAQQBnAHIAaQBjAHUAbAB0AHUAcgBhAGwAUgBlAHMAaQBkAHUAZQBzAEUARgBzAF8ARABhAHQAYQAiACwAIgBBAGcAcgBlAHMAaQBkAHUAZQBfAFMAbwB1AHIAYwBlAEQAYQB0AGEALgBOADIATwBFAEYATwByAGcAYQBuAGkAYwBGAGUAcgB0AGkAbABpAHMAZQByAF8AVABpAHQAbABlACIALAAiAEEAZwByAGUAcwBpAGQAdQBlAF8AUwBvAHUAcgBjAGUARABhAHQAYQAuAE4AMgBPAEUARgBPAHIAZwBhAG4AaQBjAEYAZQByAHQAaQBsAGkAcwBlAHIAXwBVAG4AaQB0ACIALAAiAEEAZwByAGUAcwBpAGQAdQBlAF8AUwBvAHUAcgBjAGUARABhAHQAYQAuAE4AMgBPAEUARgBPAHIAZwBhAG4AaQBjAEYAZQByAHQAaQBsAGkAcwBlAHIAXwBTAG8AdQByAGMAZQAiACwAIgBBAGcAcgBlAHMAaQBkAHUAZQBfAFMAbwB1AHIAYwBlAEQAYQB0AGEALgBOADIATwBFAEYATwByAGcAYQBuAGkAYwBGAGUAcgB0AGkAbABpAHMAZQByAF8ATgBJAFIAUgBlAGYAZQByAGUAbgBjAGUAIgAsACIAQQBnAHIAZQBzAGkAZAB1AGUAXwBTAG8AdQByAGMAZQBEAGEAdABhAC4ATgAyAE8ARQBGAE8AcgBnAGEAbgBpAGMARgBlAHIAdABpAGwAaQBzAGUAcgBfAEQAYQB0AGEAIgAsACIAQQBnAFIAZQBzAGkAZAB1AGUAXwBFAHEAdQBhAHQAaQBvAG4AcwBfAEMAcgBvAHAAUgBlAHMAaQBkAHUAZQAuAFYARQBFAFIARwBfADYAXwAxAF8AMQBfADEAXwBfADEAXwBfAE4AaQB0AHIAbwB1AHMATwB4AGkAZABlAEUAbQBpAHMAcwBpAG8AbgBzAEYAcgBvAG0AQwByAG8AcABSAGUAcwBpAGQAdQBlAHMAIgAsACIAQQBnAFIAZQBzAGkAZAB1AGUAXwBFAHEAdQBhAHQAaQBvAG4AcwBfAEMAcgBvAHAAUgBlAHMAaQBkAHUAZQAuAFYARQBFAFIARwBfADYAXwAxAF8AMQBfADEAXwBfADEAXwBfAE4AaQB0AHIAbwB1AHMATwB4AGkAZABlAEUAbQBpAHMAcwBpAG8AbgBzAEYAcgBvAG0AQwByAG8AcABSAGUAcwBpAGQAdQBlAHMAXwBGAHUAbgBjAHQAaQBvAG4ATgBhAG0AZQAiACwAIgBBAGcAUgBlAHMAaQBkAHUAZQBfAEUAcQB1AGEAdABpAG8AbgBzAF8AQwByAG8AcABSAGUAcwBpAGQAdQBlAC4AVgBFAEUAUgBHAF8ANgBfADEAXwAxAF8AMQBfAF8AMQBfAF8ATgBpAHQAcgBvAHUAcwBPAHgAaQBkAGUARQBtAGkAcwBzAGkAbwBuAHMARgByAG8AbQBDAHIAbwBwAFIAZQBzAGkAZAB1AGUAcwBfAFQAaQB0AGwAZQAiACwAIgBBAGcAUgBlAHMAaQBkAHUAZQBfAEUAcQB1AGEAdABpAG8AbgBzAF8AQwByAG8AcABSAGUAcwBpAGQAdQBlAC4AVgBFAEUAUgBHAF8ANgBfADEAXwAxAF8AMQBfAF8AMQBfAF8ATgBpAHQAcgBvAHUAcwBPAHgAaQBkAGUARQBtAGkAcwBzAGkAbwBuAHMARgByAG8AbQBDAHIAbwBwAFIAZQBzAGkAZAB1AGUAcwBfAFYAYQByAGkAYQBiAGwAZQAiACwAIgBBAGcAUgBlAHMAaQBkAHUAZQBfAEUAcQB1AGEAdABpAG8AbgBzAF8AQwByAG8AcABSAGUAcwBpAGQAdQBlAC4AVgBFAEUAUgBHAF8ANgBfADEAXwAxAF8AMQBfAF8AMQBfAF8ATgBpAHQAcgBvAHUAcwBPAHgAaQBkAGUARQBtAGkAcwBzAGkAbwBuAHMARgByAG8AbQBDAHIAbwBwAFIAZQBzAGkAZAB1AGUAcwBfAFUAbgBpAHQAIgAsACIAQQBnAFIAZQBzAGkAZAB1AGUAXwBFAHEAdQBhAHQAaQBvAG4AcwBfAEMAcgBvAHAAUgBlAHMAaQBkAHUAZQAuAFYARQBFAFIARwBfADYAXwAxAF8AMQBfADEAXwBfADEAXwBfAE4AaQB0AHIAbwB1AHMATwB4AGkAZABlAEUAbQBpAHMAcwBpAG8AbgBzAEYAcgBvAG0AQwByAG8AcABSAGUAcwBpAGQAdQBlAHMAXwBTAG8AdQByAGMAZQAiACwAIgBBAGcAUgBlAHMAaQBkAHUAZQBfAEUAcQB1AGEAdABpAG8AbgBzAF8AQwByAG8AcABSAGUAcwBpAGQAdQBlAC4AVgBFAEUAUgBHAF8ANgBfADEAXwAxAF8AMQBfAF8AMQBfAF8ATgBpAHQAcgBvAHUAcwBPAHgAaQBkAGUARQBtAGkAcwBzAGkAbwBuAHMARgByAG8AbQBDAHIAbwBwAFIAZQBzAGkAZAB1AGUAcwBfAE4ASQBSAFIAZQBmAGUAcgBlAG4AYwBlACIALAAiAEEAZwBSAGUAcwBpAGQAdQBlAF8ARQBxAHUAYQB0AGkAbwBuAHMAXwBDAHIAbwBwAFIAZQBzAGkAZAB1AGUALgBWAEUARQBSAEcAXwA2AF8AMQBfADEAXwAxAF8AXwAxAF8AXwBOAGkAdAByAG8AdQBzAE8AeABpAGQAZQBFAG0AaQBzAHMAaQBvAG4AcwBGAHIAbwBtAEMAcgBvAHAAUgBlAHMAaQBkAHUAZQBzAF8ATABhAHQAZQB4AEUAcQB1AGEAdABpAG8AbgAiACwAIgBBAGcAUgBlAHMAaQBkAHUAZQBfAEUAcQB1AGEAdABpAG8AbgBzAF8AQwByAG8AcABSAGUAcwBpAGQAdQBlAC4AVgBFAEUAUgBHAF8ANgBfADEAXwAxAF8AMQBfAF8AMQBfAF8ATgBpAHQAcgBvAHUAcwBPAHgAaQBkAGUARQBtAGkAcwBzAGkAbwBuAHMARgByAG8AbQBDAHIAbwBwAFIAZQBzAGkAZAB1AGUAcwBfAEEAcgBnAHUAbQBlAG4AdABzACIALAAiAEEAZwBSAGUAcwBpAGQAdQBlAF8ARQBxAHUAYQB0AGkAbwBuAHMAXwBDAHIAbwBwAFIAZQBzAGkAZAB1AGUALgBWAEUARQBSAEcAXwA2AF8AMQBfADEAXwAxAF8AXwAyAF8AXwBNAGEAcwBzAE8AZgBOAGkAdAByAG8AZwBlAG4ASQBuAEMAcgBvAHAAUgBlAHMAaQBkAHUAZQBzACIALAAiAEEAZwBSAGUAcwBpAGQAdQBlAF8ARQBxAHUAYQB0AGkAbwBuAHMAXwBDAHIAbwBwAFIAZQBzAGkAZAB1AGUALgBWAEUARQBSAEcAXwA2AF8AMQBfADEAXwAxAF8AXwAyAF8AXwBNAGEAcwBzAE8AZgBOAGkAdAByAG8AZwBlAG4ASQBuAEMAcgBvAHAAUgBlAHMAaQBkAHUAZQBzAF8AVABpAHQAbABlACIALAAiAEEAZwBSAGUAcwBpAGQAdQBlAF8ARQBxAHUAYQB0AGkAbwBuAHMAXwBDAHIAbwBwAFIAZQBzAGkAZAB1AGUALgBWAEUARQBSAEcAXwA2AF8AMQBfADEAXwAxAF8AXwAyAF8AXwBNAGEAcwBzAE8AZgBOAGkAdAByAG8AZwBlAG4ASQBuAEMAcgBvAHAAUgBlAHMAaQBkAHUAZQBzAF8AVgBhAHIAaQBhAGIAbABlACIALAAiAEEAZwBSAGUAcwBpAGQAdQBlAF8ARQBxAHUAYQB0AGkAbwBuAHMAXwBDAHIAbwBwAFIAZQBzAGkAZAB1AGUALgBWAEUARQBSAEcAXwA2AF8AMQBfADEAXwAxAF8AXwAyAF8AXwBNAGEAcwBzAE8AZgBOAGkAdAByAG8AZwBlAG4ASQBuAEMAcgBvAHAAUgBlAHMAaQBkAHUAZQBzAF8AVQBuAGkAdAAiACwAIgBBAGcAUgBlAHMAaQBkAHUAZQBfAEUAcQB1AGEAdABpAG8AbgBzAF8AQwByAG8AcABSAGUAcwBpAGQAdQBlAC4AVgBFAEUAUgBHAF8ANgBfADEAXwAxAF8AMQBfAF8AMgBfAF8ATQBhAHMAcwBPAGYATgBpAHQAcgBvAGcAZQBuAEkAbgBDAHIAbwBwAFIAZQBzAGkAZAB1AGUAcwBfAFMAbwB1AHIAYwBlACIALAAiAEEAZwBSAGUAcwBpAGQAdQBlAF8ARQBxAHUAYQB0AGkAbwBuAHMAXwBDAHIAbwBwAFIAZQBzAGkAZAB1AGUALgBWAEUARQBSAEcAXwA2AF8AMQBfADEAXwAxAF8AXwAyAF8AXwBNAGEAcwBzAE8AZgBOAGkAdAByAG8AZwBlAG4ASQBuAEMAcgBvAHAAUgBlAHMAaQBkAHUAZQBzAF8ATgBJAFIAUgBlAGYAZQByAGUAbgBjAGUAIgAsACIAQQBnAFIAZQBzAGkAZAB1AGUAXwBFAHEAdQBhAHQAaQBvAG4AcwBfAEMAcgBvAHAAUgBlAHMAaQBkAHUAZQAuAFYARQBFAFIARwBfADYAXwAxAF8AMQBfADEAXwBfADIAXwBfAE0AYQBzAHMATwBmAE4AaQB0AHIAbwBnAGUAbgBJAG4AQwByAG8AcABSAGUAcwBpAGQAdQBlAHMAXwBMAGEAdABlAHgARQBxAHUAYQB0AGkAbwBuACIALAAiAEEAZwBSAGUAcwBpAGQAdQBlAF8ARQBxAHUAYQB0AGkAbwBuAHMAXwBDAHIAbwBwAFIAZQBzAGkAZAB1AGUALgBWAEUARQBSAEcAXwA2AF8AMQBfADEAXwAxAF8AXwAyAF8AXwBNAGEAcwBzAE8AZgBOAGkAdAByAG8AZwBlAG4ASQBuAEMAcgBvAHAAUgBlAHMAaQBkAHUAZQBzAF8AQQByAGcAdQBtAGUAbgB0AHMAIgAsACIAQQBnAFIAZQBzAGkAZAB1AGUAXwBFAHEAdQBhAHQAaQBvAG4AcwBfAEMAcgBvAHAAUgBlAHMAaQBkAHUAZQAuAFYARQBFAFIARwBfADYAXwAxAF8AMQBfADEAXwBfADIAXwBfAE0AYQBzAHMATwBmAE4AaQB0AHIAbwBnAGUAbgBJAG4AQwByAG8AcABSAGUAcwBpAGQAdQBlAHMAXwBBAHIAZwB1AG0AZQBuAHQAcwBfAE0AZQB0AGgAbwBkADIAIgAsACIAQQBnAFIAZQBzAGkAZAB1AGUAXwBFAHEAdQBhAHQAaQBvAG4AcwBfAEMAcgBvAHAAUgBlAHMAaQBkAHUAZQAuAFYARQBFAFIARwBfADYAXwAxAF8AMQBfADIAXwBfADEAXwBfAEYAcgBhAGMAdABpAG8AbgBPAGYAQwByAG8AcABSAGUAcwBpAGQAdQBlAFIAZQBtAG8AdgBlAGQAQgBhAGwAZQBkACIALAAiAEEAZwBSAGUAcwBpAGQAdQBlAF8ARQBxAHUAYQB0AGkAbwBuAHMAXwBDAHIAbwBwAFIAZQBzAGkAZAB1AGUALgBWAEUARQBSAEcAXwA2AF8AMQBfADEAXwAyAF8AXwAxAF8AXwBGAHIAYQBjAHQAaQBvAG4ATwBmAEMAcgBvAHAAUgBlAHMAaQBkAHUAZQBSAGUAbQBvAHYAZQBkAEIAYQBsAGUAZABfAFQAaQB0AGwAZQAiACwAIgBBAGcAUgBlAHMAaQBkAHUAZQBfAEUAcQB1AGEAdABpAG8AbgBzAF8AQwByAG8AcABSAGUAcwBpAGQAdQBlAC4AVgBFAEUAUgBHAF8ANgBfADEAXwAxAF8AMgBfAF8AMQBfAF8ARgByAGEAYwB0AGkAbwBuAE8AZgBDAHIAbwBwAFIAZQBzAGkAZAB1AGUAUgBlAG0AbwB2AGUAZABCAGEAbABlAGQAXwBWAGEAcgBpAGEAYgBsAGUAIgAsACIAQQBnAFIAZQBzAGkAZAB1AGUAXwBFAHEAdQBhAHQAaQBvAG4AcwBfAEMAcgBvAHAAUgBlAHMAaQBkAHUAZQAuAFYARQBFAFIARwBfADYAXwAxAF8AMQBfADIAXwBfADEAXwBfAEYAcgBhAGMAdABpAG8AbgBPAGYAQwByAG8AcABSAGUAcwBpAGQAdQBlAFIAZQBtAG8AdgBlAGQAQgBhAGwAZQBkAF8AVQBuAGkAdAAiACwAIgBBAGcAUgBlAHMAaQBkAHUAZQBfAEUAcQB1AGEAdABpAG8AbgBzAF8AQwByAG8AcABSAGUAcwBpAGQAdQBlAC4AVgBFAEUAUgBHAF8ANgBfADEAXwAxAF8AMgBfAF8AMQBfAF8ARgByAGEAYwB0AGkAbwBuAE8AZgBDAHIAbwBwAFIAZQBzAGkAZAB1AGUAUgBlAG0AbwB2AGUAZABCAGEAbABlAGQAXwBTAG8AdQByAGMAZQAiACwAIgBBAGcAUgBlAHMAaQBkAHUAZQBfAEUAcQB1AGEAdABpAG8AbgBzAF8AQwByAG8AcABSAGUAcwBpAGQAdQBlAC4AVgBFAEUAUgBHAF8ANgBfADEAXwAxAF8AMgBfAF8AMQBfAF8ARgByAGEAYwB0AGkAbwBuAE8AZgBDAHIAbwBwAFIAZQBzAGkAZAB1AGUAUgBlAG0AbwB2AGUAZABCAGEAbABlAGQAXwBOAEkAUgBSAGUAZgBlAHIAZQBuAGMAZQAiACwAIgBBAGcAUgBlAHMAaQBkAHUAZQBfAEUAcQB1AGEAdABpAG8AbgBzAF8AQwByAG8AcABSAGUAcwBpAGQAdQBlAC4AVgBFAEUAUgBHAF8ANgBfADEAXwAxAF8AMgBfAF8AMQBfAF8ARgByAGEAYwB0AGkAbwBuAE8AZgBDAHIAbwBwAFIAZQBzAGkAZAB1AGUAUgBlAG0AbwB2AGUAZABCAGEAbABlAGQAXwBMAGEAdABlAHgARQBxAHUAYQB0AGkAbwBuACIALAAiAEEAZwBSAGUAcwBpAGQAdQBlAF8ARQBxAHUAYQB0AGkAbwBuAHMAXwBDAHIAbwBwAFIAZQBzAGkAZAB1AGUALgBWAEUARQBSAEcAXwA2AF8AMQBfADEAXwAyAF8AXwAxAF8AXwBGAHIAYQBjAHQAaQBvAG4ATwBmAEMAcgBvAHAAUgBlAHMAaQBkAHUAZQBSAGUAbQBvAHYAZQBkAEIAYQBsAGUAZABfAEEAcgBnAHUAbQBlAG4AdABzACIALAAiAEEAZwBSAGUAcwBpAGQAdQBlAF8ARQBxAHUAYQB0AGkAbwBuAHMAXwBDAHIAbwBwAFIAZQBzAGkAZAB1AGUALgBWAEUARQBSAEcAXwA2AF8AMQBfADEAXwAyAF8AXwAxAF8AXwBGAHIAYQBjAHQAaQBvAG4ATwBmAEMAcgBvAHAAUgBlAHMAaQBkAHUAZQBSAGUAbQBvAHYAZQBkAEIAYQBsAGUAZABfAFYAYQByAGkAYQB0AGkAbwBuACIALAAiAEEAZwBSAGUAcwBpAGQAdQBlAF8ARQBxAHUAYQB0AGkAbwBuAHMAXwBDAHIAbwBwAFIAZQBzAGkAZAB1AGUALgBWAEUARQBSAEcAXwA2AF8AMQBfADEAXwAyAF8AXwAxAGEAXwBfAEYAcgBhAGMAdABpAG8AbgBPAGYAQwByAG8AcABSAGUAcwBpAGQAdQBlAFIAZQBtAG8AdgBlAGQAIgAsACIAQQBnAFIAZQBzAGkAZAB1AGUAXwBFAHEAdQBhAHQAaQBvAG4AcwBfAEMAcgBvAHAAUgBlAHMAaQBkAHUAZQAuAFYARQBFAFIARwBfADYAXwAxAF8AMQBfADIAXwBfADEAYQBfAF8ARgByAGEAYwB0AGkAbwBuAE8AZgBDAHIAbwBwAFIAZQBzAGkAZAB1AGUAUgBlAG0AbwB2AGUAZABfAFQAaQB0AGwAZQAiACwAIgBBAGcAUgBlAHMAaQBkAHUAZQBfAEUAcQB1AGEAdABpAG8AbgBzAF8AQwByAG8AcABSAGUAcwBpAGQAdQBlAC4AVgBFAEUAUgBHAF8ANgBfADEAXwAxAF8AMgBfAF8AMQBhAF8AXwBGAHIAYQBjAHQAaQBvAG4ATwBmAEMAcgBvAHAAUgBlAHMAaQBkAHUAZQBSAGUAbQBvAHYAZQBkAF8AVgBhAHIAaQBhAGIAbABlACIALAAiAEEAZwBSAGUAcwBpAGQAdQBlAF8ARQBxAHUAYQB0AGkAbwBuAHMAXwBDAHIAbwBwAFIAZQBzAGkAZAB1AGUALgBWAEUARQBSAEcAXwA2AF8AMQBfADEAXwAyAF8AXwAxAGEAXwBfAEYAcgBhAGMAdABpAG8AbgBPAGYAQwByAG8AcABSAGUAcwBpAGQAdQBlAFIAZQBtAG8AdgBlAGQAXwBVAG4AaQB0ACIALAAiAEEAZwBSAGUAcwBpAGQAdQBlAF8ARQBxAHUAYQB0AGkAbwBuAHMAXwBDAHIAbwBwAFIAZQBzAGkAZAB1AGUALgBWAEUARQBSAEcAXwA2AF8AMQBfADEAXwAyAF8AXwAxAGEAXwBfAEYAcgBhAGMAdABpAG8AbgBPAGYAQwByAG8AcABSAGUAcwBpAGQAdQBlAFIAZQBtAG8AdgBlAGQAXwBTAG8AdQByAGMAZQAiACwAIgBBAGcAUgBlAHMAaQBkAHUAZQBfAEUAcQB1AGEAdABpAG8AbgBzAF8AQwByAG8AcABSAGUAcwBpAGQAdQBlAC4AVgBFAEUAUgBHAF8ANgBfADEAXwAxAF8AMgBfAF8AMQBhAF8AXwBGAHIAYQBjAHQAaQBvAG4ATwBmAEMAcgBvAHAAUgBlAHMAaQBkAHUAZQBSAGUAbQBvAHYAZQBkAF8ATgBJAFIAUgBlAGYAZQByAGUAbgBjAGUAIgAsACIAQQBnAFIAZQBzAGkAZAB1AGUAXwBFAHEAdQBhAHQAaQBvAG4AcwBfAEMAcgBvAHAAUgBlAHMAaQBkAHUAZQAuAFYARQBFAFIARwBfADYAXwAxAF8AMQBfADIAXwBfADEAYQBfAF8ARgByAGEAYwB0AGkAbwBuAE8AZgBDAHIAbwBwAFIAZQBzAGkAZAB1AGUAUgBlAG0AbwB2AGUAZABfAEwAYQB0AGUAeABFAHEAdQBhAHQAaQBvAG4AIgAsACIAQQBnAFIAZQBzAGkAZAB1AGUAXwBFAHEAdQBhAHQAaQBvAG4AcwBfAEMAcgBvAHAAUgBlAHMAaQBkAHUAZQAuAFYARQBFAFIARwBfADYAXwAxAF8AMQBfADIAXwBfADEAYQBfAF8ARgByAGEAYwB0AGkAbwBuAE8AZgBDAHIAbwBwAFIAZQBzAGkAZAB1AGUAUgBlAG0AbwB2AGUAZABfAEEAcgBnAHUAbQBlAG4AdABzACIALAAiAEEAZwBSAGUAcwBpAGQAdQBlAF8ARQBxAHUAYQB0AGkAbwBuAHMAXwBDAHIAbwBwAFIAZQBzAGkAZAB1AGUALgBWAEUARQBSAEcAXwA2AF8AMQBfADEAXwAyAF8AXwAxAGEAXwBfAEYAcgBhAGMAdABpAG8AbgBPAGYAQwByAG8AcABSAGUAcwBpAGQAdQBlAFIAZQBtAG8AdgBlAGQAXwBWAGEAcgBpAGEAdABpAG8AbgAiACwAIgBBAGcAUgBlAHMAaQBkAHUAZQBfAEUAcQB1AGEAdABpAG8AbgBzAF8ARgBpAGUAbABkAEIAdQByAG4AaQBuAGcALgBWAEUARQBSAEcAXwA2AF8ANABfADEAXwAxAF8AXwAxAF8AXwBNAGUAdABoAGEAbgBlAEUAbQBpAHMAcwBpAG8AbgBzAEYAcgBvAG0AQgB1AHIAbgBpAG4AZwBPAGYAQwByAG8AcABSAGUAcwBpAGQAdQBlAHMAIgAsACIAQQBnAFIAZQBzAGkAZAB1AGUAXwBFAHEAdQBhAHQAaQBvAG4AcwBfAEYAaQBlAGwAZABCAHUAcgBuAGkAbgBnAC4AVgBFAEUAUgBHAF8ANgBfADQAXwAxAF8AMQBfAF8AMQBfAF8ATQBlAHQAaABhAG4AZQBFAG0AaQBzAHMAaQBvAG4AcwBGAHIAbwBtAEIAdQByAG4AaQBuAGcATwBmAEMAcgBvAHAAUgBlAHMAaQBkAHUAZQBzAF8ARgB1AG4AYwB0AGkAbwBuAE4AYQBtAGUAIgAsACIAQQBnAFIAZQBzAGkAZAB1AGUAXwBFAHEAdQBhAHQAaQBvAG4AcwBfAEYAaQBlAGwAZABCAHUAcgBuAGkAbgBnAC4AVgBFAEUAUgBHAF8ANgBfADQAXwAxAF8AMQBfAF8AMQBfAF8ATQBlAHQAaABhAG4AZQBFAG0AaQBzAHMAaQBvAG4AcwBGAHIAbwBtAEIAdQByAG4AaQBuAGcATwBmAEMAcgBvAHAAUgBlAHMAaQBkAHUAZQBzAF8AVABpAHQAbABlACIALAAiAEEAZwBSAGUAcwBpAGQAdQBlAF8ARQBxAHUAYQB0AGkAbwBuAHMAXwBGAGkAZQBsAGQAQgB1AHIAbgBpAG4AZwAuAFYARQBFAFIARwBfADYAXwA0AF8AMQBfADEAXwBfADEAXwBfAE0AZQB0AGgAYQBuAGUARQBtAGkAcwBzAGkAbwBuAHMARgByAG8AbQBCAHUAcgBuAGkAbgBnAE8AZgBDAHIAbwBwAFIAZQBzAGkAZAB1AGUAcwBfAFYAYQByAGkAYQBiAGwAZQAiACwAIgBBAGcAUgBlAHMAaQBkAHUAZQBfAEUAcQB1AGEAdABpAG8AbgBzAF8ARgBpAGUAbABkAEIAdQByAG4AaQBuAGcALgBWAEUARQBSAEcAXwA2AF8ANABfADEAXwAxAF8AXwAxAF8AXwBNAGUAdABoAGEAbgBlAEUAbQBpAHMAcwBpAG8AbgBzAEYAcgBvAG0AQgB1AHIAbgBpAG4AZwBPAGYAQwByAG8AcABSAGUAcwBpAGQAdQBlAHMAXwBVAG4AaQB0ACIALAAiAEEAZwBSAGUAcwBpAGQAdQBlAF8ARQBxAHUAYQB0AGkAbwBuAHMAXwBGAGkAZQBsAGQAQgB1AHIAbgBpAG4AZwAuAFYARQBFAFIARwBfADYAXwA0AF8AMQBfADEAXwBfADEAXwBfAE0AZQB0AGgAYQBuAGUARQBtAGkAcwBzAGkAbwBuAHMARgByAG8AbQBCAHUAcgBuAGkAbgBnAE8AZgBDAHIAbwBwAFIAZQBzAGkAZAB1AGUAcwBfAFMAbwB1AHIAYwBlACIALAAiAEEAZwBSAGUAcwBpAGQAdQBlAF8ARQBxAHUAYQB0AGkAbwBuAHMAXwBGAGkAZQBsAGQAQgB1AHIAbgBpAG4AZwAuAFYARQBFAFIARwBfADYAXwA0AF8AMQBfADEAXwBfADEAXwBfAE0AZQB0AGgAYQBuAGUARQBtAGkAcwBzAGkAbwBuAHMARgByAG8AbQBCAHUAcgBuAGkAbgBnAE8AZgBDAHIAbwBwAFIAZQBzAGkAZAB1AGUAcwBfAE4ASQBSAFIAZQBmAGUAcgBlAG4AYwBlACIALAAiAEEAZwBSAGUAcwBpAGQAdQBlAF8ARQBxAHUAYQB0AGkAbwBuAHMAXwBGAGkAZQBsAGQAQgB1AHIAbgBpAG4AZwAuAFYARQBFAFIARwBfADYAXwA0AF8AMQBfADEAXwBfADEAXwBfAE0AZQB0AGgAYQBuAGUARQBtAGkAcwBzAGkAbwBuAHMARgByAG8AbQBCAHUAcgBuAGkAbgBnAE8AZgBDAHIAbwBwAFIAZQBzAGkAZAB1AGUAcwBfAEwAYQB0AGUAeABFAHEAdQBhAHQAaQBvAG4AIgAsACIAQQBnAFIAZQBzAGkAZAB1AGUAXwBFAHEAdQBhAHQAaQBvAG4AcwBfAEYAaQBlAGwAZABCAHUAcgBuAGkAbgBnAC4AVgBFAEUAUgBHAF8ANgBfADQAXwAxAF8AMQBfAF8AMQBfAF8ATQBlAHQAaABhAG4AZQBFAG0AaQBzAHMAaQBvAG4AcwBGAHIAbwBtAEIAdQByAG4AaQBuAGcATwBmAEMAcgBvAHAAUgBlAHMAaQBkAHUAZQBzAF8AQQByAGcAdQBtAGUAbgB0AHMAIgAsACIAQQBnAFIAZQBzAGkAZAB1AGUAXwBFAHEAdQBhAHQAaQBvAG4AcwBfAEYAaQBlAGwAZABCAHUAcgBuAGkAbgBnAC4AVgBFAEUAUgBHAF8ANgBfADQAXwAxAF8AMQBfAF8AMgBfAF8ATgBpAHQAcgBvAHUAcwBPAHgAaQBkAGUARQBtAGkAcwBzAGkAbwBuAHMARgByAG8AbQBCAHUAcgBuAGkAbgBnAE8AZgBDAHIAbwBwAFIAZQBzAGkAZAB1AGUAcwAiACwAIgBBAGcAUgBlAHMAaQBkAHUAZQBfAEUAcQB1AGEAdABpAG8AbgBzAF8ARgBpAGUAbABkAEIAdQByAG4AaQBuAGcALgBWAEUARQBSAEcAXwA2AF8ANABfADEAXwAxAF8AXwAyAF8AXwBOAGkAdAByAG8AdQBzAE8AeABpAGQAZQBFAG0AaQBzAHMAaQBvAG4AcwBGAHIAbwBtAEIAdQByAG4AaQBuAGcATwBmAEMAcgBvAHAAUgBlAHMAaQBkAHUAZQBzAF8ARgB1AG4AYwB0AGkAbwBuAE4AYQBtAGUAIgAsACIAQQBnAFIAZQBzAGkAZAB1AGUAXwBFAHEAdQBhAHQAaQBvAG4AcwBfAEYAaQBlAGwAZABCAHUAcgBuAGkAbgBnAC4AVgBFAEUAUgBHAF8ANgBfADQAXwAxAF8AMQBfAF8AMgBfAF8ATgBpAHQAcgBvAHUAcwBPAHgAaQBkAGUARQBtAGkAcwBzAGkAbwBuAHMARgByAG8AbQBCAHUAcgBuAGkAbgBnAE8AZgBDAHIAbwBwAFIAZQBzAGkAZAB1AGUAcwBfAFQAaQB0AGwAZQAiACwAIgBBAGcAUgBlAHMAaQBkAHUAZQBfAEUAcQB1AGEAdABpAG8AbgBzAF8ARgBpAGUAbABkAEIAdQByAG4AaQBuAGcALgBWAEUARQBSAEcAXwA2AF8ANABfADEAXwAxAF8AXwAyAF8AXwBOAGkAdAByAG8AdQBzAE8AeABpAGQAZQBFAG0AaQBzAHMAaQBvAG4AcwBGAHIAbwBtAEIAdQByAG4AaQBuAGcATwBmAEMAcgBvAHAAUgBlAHMAaQBkAHUAZQBzAF8AVgBhAHIAaQBhAGIAbABlACIALAAiAEEAZwBSAGUAcwBpAGQAdQBlAF8ARQBxAHUAYQB0AGkAbwBuAHMAXwBGAGkAZQBsAGQAQgB1AHIAbgBpAG4AZwAuAFYARQBFAFIARwBfADYAXwA0AF8AMQBfADEAXwBfADIAXwBfAE4AaQB0AHIAbwB1AHMATwB4AGkAZABlAEUAbQBpAHMAcwBpAG8AbgBzAEYAcgBvAG0AQgB1AHIAbgBpAG4AZwBPAGYAQwByAG8AcABSAGUAcwBpAGQAdQBlAHMAXwBVAG4AaQB0ACIALAAiAEEAZwBSAGUAcwBpAGQAdQBlAF8ARQBxAHUAYQB0AGkAbwBuAHMAXwBGAGkAZQBsAGQAQgB1AHIAbgBpAG4AZwAuAFYARQBFAFIARwBfADYAXwA0AF8AMQBfADEAXwBfADIAXwBfAE4AaQB0AHIAbwB1AHMATwB4AGkAZABlAEUAbQBpAHMAcwBpAG8AbgBzAEYAcgBvAG0AQgB1AHIAbgBpAG4AZwBPAGYAQwByAG8AcABSAGUAcwBpAGQAdQBlAHMAXwBTAG8AdQByAGMAZQAiACwAIgBBAGcAUgBlAHMAaQBkAHUAZQBfAEUAcQB1AGEAdABpAG8AbgBzAF8ARgBpAGUAbABkAEIAdQByAG4AaQBuAGcALgBWAEUARQBSAEcAXwA2AF8ANABfADEAXwAxAF8AXwAyAF8AXwBOAGkAdAByAG8AdQBzAE8AeABpAGQAZQBFAG0AaQBzAHMAaQBvAG4AcwBGAHIAbwBtAEIAdQByAG4AaQBuAGcATwBmAEMAcgBvAHAAUgBlAHMAaQBkAHUAZQBzAF8ATgBJAFIAUgBlAGYAZQByAGUAbgBjAGUAIgAsACIAQQBnAFIAZQBzAGkAZAB1AGUAXwBFAHEAdQBhAHQAaQBvAG4AcwBfAEYAaQBlAGwAZABCAHUAcgBuAGkAbgBnAC4AVgBFAEUAUgBHAF8ANgBfADQAXwAxAF8AMQBfAF8AMgBfAF8ATgBpAHQAcgBvAHUAcwBPAHgAaQBkAGUARQBtAGkAcwBzAGkAbwBuAHMARgByAG8AbQBCAHUAcgBuAGkAbgBnAE8AZgBDAHIAbwBwAFIAZQBzAGkAZAB1AGUAcwBfAEwAYQB0AGUAeABFAHEAdQBhAHQAaQBvAG4AIgAsACIAQQBnAFIAZQBzAGkAZAB1AGUAXwBFAHEAdQBhAHQAaQBvAG4AcwBfAEYAaQBlAGwAZABCAHUAcgBuAGkAbgBnAC4AVgBFAEUAUgBHAF8ANgBfADQAXwAxAF8AMQBfAF8AMgBfAF8ATgBpAHQAcgBvAHUAcwBPAHgAaQBkAGUARQBtAGkAcwBzAGkAbwBuAHMARgByAG8AbQBCAHUAcgBuAGkAbgBnAE8AZgBDAHIAbwBwAFIAZQBzAGkAZAB1AGUAcwBfAEEAcgBnAHUAbQBlAG4AdABzACIALAAiAEEAZwBSAGUAcwBpAGQAdQBlAF8ARQBxAHUAYQB0AGkAbwBuAHMAXwBGAGkAZQBsAGQAQgB1AHIAbgBpAG4AZwAuAFYARQBFAFIARwBfADYAXwA0AF8AMQBfADEAXwBfADMAXwBfAE0AYQBzAHMATwBmAEMAcgBvAHAAUgBlAHMAaQBkAHUAZQBCAHUAcgBuAHQAIgAsACIAQQBnAFIAZQBzAGkAZAB1AGUAXwBFAHEAdQBhAHQAaQBvAG4AcwBfAEYAaQBlAGwAZABCAHUAcgBuAGkAbgBnAC4AVgBFAEUAUgBHAF8ANgBfADQAXwAxAF8AMQBfAF8AMwBfAF8ATQBhAHMAcwBPAGYAQwByAG8AcABSAGUAcwBpAGQAdQBlAEIAdQByAG4AdABfAEYAdQBuAGMAdABpAG8AbgBOAGEAbQBlACIALAAiAEEAZwBSAGUAcwBpAGQAdQBlAF8ARQBxAHUAYQB0AGkAbwBuAHMAXwBGAGkAZQBsAGQAQgB1AHIAbgBpAG4AZwAuAFYARQBFAFIARwBfADYAXwA0AF8AMQBfADEAXwBfADMAXwBfAE0AYQBzAHMATwBmAEMAcgBvAHAAUgBlAHMAaQBkAHUAZQBCAHUAcgBuAHQAXwBUAGkAdABsAGUAIgAsACIAQQBnAFIAZQBzAGkAZAB1AGUAXwBFAHEAdQBhAHQAaQBvAG4AcwBfAEYAaQBlAGwAZABCAHUAcgBuAGkAbgBnAC4AVgBFAEUAUgBHAF8ANgBfADQAXwAxAF8AMQBfAF8AMwBfAF8ATQBhAHMAcwBPAGYAQwByAG8AcABSAGUAcwBpAGQAdQBlAEIAdQByAG4AdABfAFYAYQByAGkAYQBiAGwAZQAiACwAIgBBAGcAUgBlAHMAaQBkAHUAZQBfAEUAcQB1AGEAdABpAG8AbgBzAF8ARgBpAGUAbABkAEIAdQByAG4AaQBuAGcALgBWAEUARQBSAEcAXwA2AF8ANABfADEAXwAxAF8AXwAzAF8AXwBNAGEAcwBzAE8AZgBDAHIAbwBwAFIAZQBzAGkAZAB1AGUAQgB1AHIAbgB0AF8AVQBuAGkAdAAiACwAIgBBAGcAUgBlAHMAaQBkAHUAZQBfAEUAcQB1AGEAdABpAG8AbgBzAF8ARgBpAGUAbABkAEIAdQByAG4AaQBuAGcALgBWAEUARQBSAEcAXwA2AF8ANABfADEAXwAxAF8AXwAzAF8AXwBNAGEAcwBzAE8AZgBDAHIAbwBwAFIAZQBzAGkAZAB1AGUAQgB1AHIAbgB0AF8AUwBvAHUAcgBjAGUAIgAsACIAQQBnAFIAZQBzAGkAZAB1AGUAXwBFAHEAdQBhAHQAaQBvAG4AcwBfAEYAaQBlAGwAZABCAHUAcgBuAGkAbgBnAC4AVgBFAEUAUgBHAF8ANgBfADQAXwAxAF8AMQBfAF8AMwBfAF8ATQBhAHMAcwBPAGYAQwByAG8AcABSAGUAcwBpAGQAdQBlAEIAdQByAG4AdABfAE4ASQBSAFIAZQBmAGUAcgBlAG4AYwBlACIALAAiAEEAZwBSAGUAcwBpAGQAdQBlAF8ARQBxAHUAYQB0AGkAbwBuAHMAXwBGAGkAZQBsAGQAQgB1AHIAbgBpAG4AZwAuAFYARQBFAFIARwBfADYAXwA0AF8AMQBfADEAXwBfADMAXwBfAE0AYQBzAHMATwBmAEMAcgBvAHAAUgBlAHMAaQBkAHUAZQBCAHUAcgBuAHQAXwBMAGEAdABlAHgARQBxAHUAYQB0AGkAbwBuACIALAAiAEEAZwBSAGUAcwBpAGQAdQBlAF8ARQBxAHUAYQB0AGkAbwBuAHMAXwBGAGkAZQBsAGQAQgB1AHIAbgBpAG4AZwAuAFYARQBFAFIARwBfADYAXwA0AF8AMQBfADEAXwBfADMAXwBfAE0AYQBzAHMATwBmAEMAcgBvAHAAUgBlAHMAaQBkAHUAZQBCAHUAcgBuAHQAXwBBAHIAZwB1AG0AZQBuAHQAcwAiACwAIgBBAGcAUgBlAHMAaQBkAHUAZQBfAEUAcQB1AGEAdABpAG8AbgBzAF8ATABlAGEAYwBoAGkAbgBnAC4AVgBFAEUAUgBHAF8ANgBfADMAXwAxAF8AMQBfAF8AMQBfAF8ATABlAGEAYwBoAGkAbgBnAEEAbgBkAFIAdQBuAG8AZgBmAEUAbQBpAHMAcwBpAG8AbgBzAEMAcgBvAHAAQQBuAGQAUABhAHMAdAB1AHIAZQBSAGUAcwBpAGQAdQBlACIALAAiAEEAZwBSAGUAcwBpAGQAdQBlAF8ARQBxAHUAYQB0AGkAbwBuAHMAXwBMAGUAYQBjAGgAaQBuAGcALgBWAEUARQBSAEcAXwA2AF8AMwBfADEAXwAxAF8AXwAxAF8AXwBMAGUAYQBjAGgAaQBuAGcAQQBuAGQAUgB1AG4AbwBmAGYARQBtAGkAcwBzAGkAbwBuAHMAQwByAG8AcABBAG4AZABQAGEAcwB0AHUAcgBlAFIAZQBzAGkAZAB1AGUAXwBUAGkAdABsAGUAIgAsACIAQQBnAFIAZQBzAGkAZAB1AGUAXwBFAHEAdQBhAHQAaQBvAG4AcwBfAEwAZQBhAGMAaABpAG4AZwAuAFYARQBFAFIARwBfADYAXwAzAF8AMQBfADEAXwBfADEAXwBfAEwAZQBhAGMAaABpAG4AZwBBAG4AZABSAHUAbgBvAGYAZgBFAG0AaQBzAHMAaQBvAG4AcwBDAHIAbwBwAEEAbgBkAFAAYQBzAHQAdQByAGUAUgBlAHMAaQBkAHUAZQBfAFYAYQByAGkAYQBiAGwAZQAiACwAIgBBAGcAUgBlAHMAaQBkAHUAZQBfAEUAcQB1AGEAdABpAG8AbgBzAF8ATABlAGEAYwBoAGkAbgBnAC4AVgBFAEUAUgBHAF8ANgBfADMAXwAxAF8AMQBfAF8AMQBfAF8ATABlAGEAYwBoAGkAbgBnAEEAbgBkAFIAdQBuAG8AZgBmAEUAbQBpAHMAcwBpAG8AbgBzAEMAcgBvAHAAQQBuAGQAUABhAHMAdAB1AHIAZQBSAGUAcwBpAGQAdQBlAF8AVQBuAGkAdAAiACwAIgBBAGcAUgBlAHMAaQBkAHUAZQBfAEUAcQB1AGEAdABpAG8AbgBzAF8ATABlAGEAYwBoAGkAbgBnAC4AVgBFAEUAUgBHAF8ANgBfADMAXwAxAF8AMQBfAF8AMQBfAF8ATABlAGEAYwBoAGkAbgBnAEEAbgBkAFIAdQBuAG8AZgBmAEUAbQBpAHMAcwBpAG8AbgBzAEMAcgBvAHAAQQBuAGQAUABhAHMAdAB1AHIAZQBSAGUAcwBpAGQAdQBlAF8AUwBvAHUAcgBjAGUAIgAsACIAQQBnAFIAZQBzAGkAZAB1AGUAXwBFAHEAdQBhAHQAaQBvAG4AcwBfAEwAZQBhAGMAaABpAG4AZwAuAFYARQBFAFIARwBfADYAXwAzAF8AMQBfADEAXwBfADEAXwBfAEwAZQBhAGMAaABpAG4AZwBBAG4AZABSAHUAbgBvAGYAZgBFAG0AaQBzAHMAaQBvAG4AcwBDAHIAbwBwAEEAbgBkAFAAYQBzAHQAdQByAGUAUgBlAHMAaQBkAHUAZQBfAE4ASQBSAFIAZQBmAGUAcgBlAG4AYwBlACIALAAiAEEAZwBSAGUAcwBpAGQAdQBlAF8ARQBxAHUAYQB0AGkAbwBuAHMAXwBMAGUAYQBjAGgAaQBuAGcALgBWAEUARQBSAEcAXwA2AF8AMwBfADEAXwAxAF8AXwAxAF8AXwBMAGUAYQBjAGgAaQBuAGcAQQBuAGQAUgB1AG4AbwBmAGYARQBtAGkAcwBzAGkAbwBuAHMAQwByAG8AcABBAG4AZABQAGEAcwB0AHUAcgBlAFIAZQBzAGkAZAB1AGUAXwBMAGEAdABlAHgARQBxAHUAYQB0AGkAbwBuACIALAAiAEEAZwBSAGUAcwBpAGQAdQBlAF8ARQBxAHUAYQB0AGkAbwBuAHMAXwBMAGUAYQBjAGgAaQBuAGcALgBWAEUARQBSAEcAXwA2AF8AMwBfADEAXwAxAF8AXwAxAF8AXwBMAGUAYQBjAGgAaQBuAGcAQQBuAGQAUgB1AG4AbwBmAGYARQBtAGkAcwBzAGkAbwBuAHMAQwByAG8AcABBAG4AZABQAGEAcwB0AHUAcgBlAFIAZQBzAGkAZAB1AGUAXwBBAHIAZwB1AG0AZQBuAHQAcwAiACwAIgBBAGcAUgBlAHMAaQBkAHUAZQBfAEUAcQB1AGEAdABpAG8AbgBzAF8ATABlAGEAYwBoAGkAbgBnAC4AVgBFAEUAUgBHAF8ANgBfADMAXwAxAF8AMQBfAF8AMgBfAF8ATQBhAHMAcwBPAGYATgBpAHQAcgBvAGcAZQBuAEwAbwBzAHQAVABoAHIAbwB1AGcAaABMAGUAYQBjAGgAaQBuAGcAQQBuAGQAUgB1AG4AbwBmAGYAIgAsACIAQQBnAFIAZQBzAGkAZAB1AGUAXwBFAHEAdQBhAHQAaQBvAG4AcwBfAEwAZQBhAGMAaABpAG4AZwAuAFYARQBFAFIARwBfADYAXwAzAF8AMQBfADEAXwBfADIAXwBfAE0AYQBzAHMATwBmAE4AaQB0AHIAbwBnAGUAbgBMAG8AcwB0AFQAaAByAG8AdQBnAGgATABlAGEAYwBoAGkAbgBnAEEAbgBkAFIAdQBuAG8AZgBmAF8AVABpAHQAbABlACIALAAiAEEAZwBSAGUAcwBpAGQAdQBlAF8ARQBxAHUAYQB0AGkAbwBuAHMAXwBMAGUAYQBjAGgAaQBuAGcALgBWAEUARQBSAEcAXwA2AF8AMwBfADEAXwAxAF8AXwAyAF8AXwBNAGEAcwBzAE8AZgBOAGkAdAByAG8AZwBlAG4ATABvAHMAdABUAGgAcgBvAHUAZwBoAEwAZQBhAGMAaABpAG4AZwBBAG4AZABSAHUAbgBvAGYAZgBfAFYAYQByAGkAYQBiAGwAZQAiACwAIgBBAGcAUgBlAHMAaQBkAHUAZQBfAEUAcQB1AGEAdABpAG8AbgBzAF8ATABlAGEAYwBoAGkAbgBnAC4AVgBFAEUAUgBHAF8ANgBfADMAXwAxAF8AMQBfAF8AMgBfAF8ATQBhAHMAcwBPAGYATgBpAHQAcgBvAGcAZQBuAEwAbwBzAHQAVABoAHIAbwB1AGcAaABMAGUAYQBjAGgAaQBuAGcAQQBuAGQAUgB1AG4AbwBmAGYAXwBVAG4AaQB0ACIALAAiAEEAZwBSAGUAcwBpAGQAdQBlAF8ARQBxAHUAYQB0AGkAbwBuAHMAXwBMAGUAYQBjAGgAaQBuAGcALgBWAEUARQBSAEcAXwA2AF8AMwBfADEAXwAxAF8AXwAyAF8AXwBNAGEAcwBzAE8AZgBOAGkAdAByAG8AZwBlAG4ATABvAHMAdABUAGgAcgBvAHUAZwBoAEwAZQBhAGMAaABpAG4AZwBBAG4AZABSAHUAbgBvAGYAZgBfAFMAbwB1AHIAYwBlACIALAAiAEEAZwBSAGUAcwBpAGQAdQBlAF8ARQBxAHUAYQB0AGkAbwBuAHMAXwBMAGUAYQBjAGgAaQBuAGcALgBWAEUARQBSAEcAXwA2AF8AMwBfADEAXwAxAF8AXwAyAF8AXwBNAGEAcwBzAE8AZgBOAGkAdAByAG8AZwBlAG4ATABvAHMAdABUAGgAcgBvAHUAZwBoAEwAZQBhAGMAaABpAG4AZwBBAG4AZABSAHUAbgBvAGYAZgBfAE4ASQBSAFIAZQBmAGUAcgBlAG4AYwBlACIALAAiAEEAZwBSAGUAcwBpAGQAdQBlAF8ARQBxAHUAYQB0AGkAbwBuAHMAXwBMAGUAYQBjAGgAaQBuAGcALgBWAEUARQBSAEcAXwA2AF8AMwBfADEAXwAxAF8AXwAyAF8AXwBNAGEAcwBzAE8AZgBOAGkAdAByAG8AZwBlAG4ATABvAHMAdABUAGgAcgBvAHUAZwBoAEwAZQBhAGMAaABpAG4AZwBBAG4AZABSAHUAbgBvAGYAZgBfAEwAYQB0AGUAeABFAHEAdQBhAHQAaQBvAG4AIgAsACIAQQBnAFIAZQBzAGkAZAB1AGUAXwBFAHEAdQBhAHQAaQBvAG4AcwBfAEwAZQBhAGMAaABpAG4AZwAuAFYARQBFAFIARwBfADYAXwAzAF8AMQBfADEAXwBfADIAXwBfAE0AYQBzAHMATwBmAE4AaQB0AHIAbwBnAGUAbgBMAG8AcwB0AFQAaAByAG8AdQBnAGgATABlAGEAYwBoAGkAbgBnAEEAbgBkAFIAdQBuAG8AZgBmAF8AQQByAGcAdQBtAGUAbgB0AHMAIgAsACIAQQBnAFIAZQBzAGkAZAB1AGUAXwBFAHEAdQBhAHQAaQBvAG4AcwBfAEwAZQBhAGMAaABpAG4AZwAuAFYARQBFAFIARwBfADYAXwAzAF8AMQBfADEAXwBfADIAXwBfAE0AYQBzAHMATwBmAE4AaQB0AHIAbwBnAGUAbgBMAG8AcwB0AFQAaAByAG8AdQBnAGgATABlAGEAYwBoAGkAbgBnAEEAbgBkAFIAdQBuAG8AZgBmAF8AVgBhAHIAaQBhAHQAaQBvAG4AIgAsACIAQQBnAFIAZQBzAGkAZAB1AGUAXwBFAHEAdQBhAHQAaQBvAG4AcwBfAFAAYQBzAHQAdQByAGUAUgBlAHMAaQBkAHUAZQAuAFYARQBFAFIARwBfADYAXwAyAF8AMQBfADEAXwBfADEAXwBfAE4AaQB0AHIAbwB1AHMATwB4AGkAZABlAEUAbQBpAHMAcwBpAG8AbgBzAEYAcgBvAG0AUABhAHMAdAB1AHIAZQBSAGUAcwBpAGQAdQBlAHMAIgAsACIAQQBnAFIAZQBzAGkAZAB1AGUAXwBFAHEAdQBhAHQAaQBvAG4AcwBfAFAAYQBzAHQAdQByAGUAUgBlAHMAaQBkAHUAZQAuAFYARQBFAFIARwBfADYAXwAyAF8AMQBfADEAXwBfADEAXwBfAE4AaQB0AHIAbwB1AHMATwB4AGkAZABlAEUAbQBpAHMAcwBpAG8AbgBzAEYAcgBvAG0AUABhAHMAdAB1AHIAZQBSAGUAcwBpAGQAdQBlAHMAXwBUAGkAdABsAGUAIgAsACIAQQBnAFIAZQBzAGkAZAB1AGUAXwBFAHEAdQBhAHQAaQBvAG4AcwBfAFAAYQBzAHQAdQByAGUAUgBlAHMAaQBkAHUAZQAuAFYARQBFAFIARwBfADYAXwAyAF8AMQBfADEAXwBfADEAXwBfAE4AaQB0AHIAbwB1AHMATwB4AGkAZABlAEUAbQBpAHMAcwBpAG8AbgBzAEYAcgBvAG0AUABhAHMAdAB1AHIAZQBSAGUAcwBpAGQAdQBlAHMAXwBWAGEAcgBpAGEAYgBsAGUAIgAsACIAQQBnAFIAZQBzAGkAZAB1AGUAXwBFAHEAdQBhAHQAaQBvAG4AcwBfAFAAYQBzAHQAdQByAGUAUgBlAHMAaQBkAHUAZQAuAFYARQBFAFIARwBfADYAXwAyAF8AMQBfADEAXwBfADEAXwBfAE4AaQB0AHIAbwB1AHMATwB4AGkAZABlAEUAbQBpAHMAcwBpAG8AbgBzAEYAcgBvAG0AUABhAHMAdAB1AHIAZQBSAGUAcwBpAGQAdQBlAHMAXwBVAG4AaQB0ACIALAAiAEEAZwBSAGUAcwBpAGQAdQBlAF8ARQBxAHUAYQB0AGkAbwBuAHMAXwBQAGEAcwB0AHUAcgBlAFIAZQBzAGkAZAB1AGUALgBWAEUARQBSAEcAXwA2AF8AMgBfADEAXwAxAF8AXwAxAF8AXwBOAGkAdAByAG8AdQBzAE8AeABpAGQAZQBFAG0AaQBzAHMAaQBvAG4AcwBGAHIAbwBtAFAAYQBzAHQAdQByAGUAUgBlAHMAaQBkAHUAZQBzAF8AUwBvAHUAcgBjAGUAIgAsACIAQQBnAFIAZQBzAGkAZAB1AGUAXwBFAHEAdQBhAHQAaQBvAG4AcwBfAFAAYQBzAHQAdQByAGUAUgBlAHMAaQBkAHUAZQAuAFYARQBFAFIARwBfADYAXwAyAF8AMQBfADEAXwBfADEAXwBfAE4AaQB0AHIAbwB1AHMATwB4AGkAZABlAEUAbQBpAHMAcwBpAG8AbgBzAEYAcgBvAG0AUABhAHMAdAB1AHIAZQBSAGUAcwBpAGQAdQBlAHMAXwBOAEkAUgBSAGUAZgBlAHIAZQBuAGMAZQAiACwAIgBBAGcAUgBlAHMAaQBkAHUAZQBfAEUAcQB1AGEAdABpAG8AbgBzAF8AUABhAHMAdAB1AHIAZQBSAGUAcwBpAGQAdQBlAC4AVgBFAEUAUgBHAF8ANgBfADIAXwAxAF8AMQBfAF8AMQBfAF8ATgBpAHQAcgBvAHUAcwBPAHgAaQBkAGUARQBtAGkAcwBzAGkAbwBuAHMARgByAG8AbQBQAGEAcwB0AHUAcgBlAFIAZQBzAGkAZAB1AGUAcwBfAEwAYQB0AGUAeABFAHEAdQBhAHQAaQBvAG4AIgAsACIAQQBnAFIAZQBzAGkAZAB1AGUAXwBFAHEAdQBhAHQAaQBvAG4AcwBfAFAAYQBzAHQAdQByAGUAUgBlAHMAaQBkAHUAZQAuAFYARQBFAFIARwBfADYAXwAyAF8AMQBfADEAXwBfADEAXwBfAE4AaQB0AHIAbwB1AHMATwB4AGkAZABlAEUAbQBpAHMAcwBpAG8AbgBzAEYAcgBvAG0AUABhAHMAdAB1AHIAZQBSAGUAcwBpAGQAdQBlAHMAXwBBAHIAZwB1AG0AZQBuAHQAcwAiACwAIgBBAGcAUgBlAHMAaQBkAHUAZQBfAEUAcQB1AGEAdABpAG8AbgBzAF8AUABhAHMAdAB1AHIAZQBSAGUAcwBpAGQAdQBlAC4AVgBFAEUAUgBHAF8ANgBfADIAXwAxAF8AMQBfAF8AMgBfAF8ATQBhAHMAcwBPAGYATgBpAHQAcgBvAGcAZQBuAEkAbgBQAGEAcwB0AHUAcgBlAFIAZQBzAGkAZAB1AGUAcwAiACwAIgBBAGcAUgBlAHMAaQBkAHUAZQBfAEUAcQB1AGEAdABpAG8AbgBzAF8AUABhAHMAdAB1AHIAZQBSAGUAcwBpAGQAdQBlAC4AVgBFAEUAUgBHAF8ANgBfADIAXwAxAF8AMQBfAF8AMgBfAF8ATQBhAHMAcwBPAGYATgBpAHQAcgBvAGcAZQBuAEkAbgBQAGEAcwB0AHUAcgBlAFIAZQBzAGkAZAB1AGUAcwBfAFQAaQB0AGwAZQAiACwAIgBBAGcAUgBlAHMAaQBkAHUAZQBfAEUAcQB1AGEAdABpAG8AbgBzAF8AUABhAHMAdAB1AHIAZQBSAGUAcwBpAGQAdQBlAC4AVgBFAEUAUgBHAF8ANgBfADIAXwAxAF8AMQBfAF8AMgBfAF8ATQBhAHMAcwBPAGYATgBpAHQAcgBvAGcAZQBuAEkAbgBQAGEAcwB0AHUAcgBlAFIAZQBzAGkAZAB1AGUAcwBfAFYAYQByAGkAYQBiAGwAZQAiACwAIgBBAGcAUgBlAHMAaQBkAHUAZQBfAEUAcQB1AGEAdABpAG8AbgBzAF8AUABhAHMAdAB1AHIAZQBSAGUAcwBpAGQAdQBlAC4AVgBFAEUAUgBHAF8ANgBfADIAXwAxAF8AMQBfAF8AMgBfAF8ATQBhAHMAcwBPAGYATgBpAHQAcgBvAGcAZQBuAEkAbgBQAGEAcwB0AHUAcgBlAFIAZQBzAGkAZAB1AGUAcwBfAFUAbgBpAHQAIgAsACIAQQBnAFIAZQBzAGkAZAB1AGUAXwBFAHEAdQBhAHQAaQBvAG4AcwBfAFAAYQBzAHQAdQByAGUAUgBlAHMAaQBkAHUAZQAuAFYARQBFAFIARwBfADYAXwAyAF8AMQBfADEAXwBfADIAXwBfAE0AYQBzAHMATwBmAE4AaQB0AHIAbwBnAGUAbgBJAG4AUABhAHMAdAB1AHIAZQBSAGUAcwBpAGQAdQBlAHMAXwBTAG8AdQByAGMAZQAiACwAIgBBAGcAUgBlAHMAaQBkAHUAZQBfAEUAcQB1AGEAdABpAG8AbgBzAF8AUABhAHMAdAB1AHIAZQBSAGUAcwBpAGQAdQBlAC4AVgBFAEUAUgBHAF8ANgBfADIAXwAxAF8AMQBfAF8AMgBfAF8ATQBhAHMAcwBPAGYATgBpAHQAcgBvAGcAZQBuAEkAbgBQAGEAcwB0AHUAcgBlAFIAZQBzAGkAZAB1AGUAcwBfAE4ASQBSAFIAZQBmAGUAcgBlAG4AYwBlACIALAAiAEEAZwBSAGUAcwBpAGQAdQBlAF8ARQBxAHUAYQB0AGkAbwBuAHMAXwBQAGEAcwB0AHUAcgBlAFIAZQBzAGkAZAB1AGUALgBWAEUARQBSAEcAXwA2AF8AMgBfADEAXwAxAF8AXwAyAF8AXwBNAGEAcwBzAE8AZgBOAGkAdAByAG8AZwBlAG4ASQBuAFAAYQBzAHQAdQByAGUAUgBlAHMAaQBkAHUAZQBzAF8ATABhAHQAZQB4AEUAcQB1AGEAdABpAG8AbgAiACwAIgBBAGcAUgBlAHMAaQBkAHUAZQBfAEUAcQB1AGEAdABpAG8AbgBzAF8AUABhAHMAdAB1AHIAZQBSAGUAcwBpAGQAdQBlAC4AVgBFAEUAUgBHAF8ANgBfADIAXwAxAF8AMQBfAF8AMgBfAF8ATQBhAHMAcwBPAGYATgBpAHQAcgBvAGcAZQBuAEkAbg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F8AQQByAGcAdQBtAGUAbgB0AHMAXwBNAGUAdABoAG8AZAAy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62</vt:i4>
      </vt:variant>
    </vt:vector>
  </HeadingPairs>
  <TitlesOfParts>
    <vt:vector size="76"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6.3.1.1-2 Leach runoff crop</vt:lpstr>
      <vt:lpstr>6.3.1.1-2 Leach runoff pasture</vt:lpstr>
      <vt:lpstr>6.4.1.1-2 Residue burning</vt:lpstr>
      <vt:lpstr>Constants - Ag Residue</vt:lpstr>
      <vt:lpstr>Constants - Common</vt:lpstr>
      <vt:lpstr>Common_SourceData_DensityOfMethane_Data</vt:lpstr>
      <vt:lpstr>'6.3.1.1-2 Leach runoff crop'!M1_Table_E_N2O</vt:lpstr>
      <vt:lpstr>'6.3.1.1-2 Leach runoff pasture'!M1_Table_E_N2O</vt:lpstr>
      <vt:lpstr>M1_Table_E_N2O</vt:lpstr>
      <vt:lpstr>'6.3.1.1-2 Leach runoff crop'!M1_Table_E_N2O_Consumer_1</vt:lpstr>
      <vt:lpstr>'6.3.1.1-2 Leach runoff pasture'!M1_Table_E_N2O_Consumer_1</vt:lpstr>
      <vt:lpstr>M1_Table_E_N2O_Consumer_1</vt:lpstr>
      <vt:lpstr>'6.3.1.1-2 Leach runoff crop'!M1_Table_M_leach_cp</vt:lpstr>
      <vt:lpstr>'6.3.1.1-2 Leach runoff pasture'!M1_Table_M_leach_cp</vt:lpstr>
      <vt:lpstr>M1_Table_M_leach_cp</vt:lpstr>
      <vt:lpstr>'6.3.1.1-2 Leach runoff crop'!M2_Table_M_leach_cp</vt:lpstr>
      <vt:lpstr>'6.3.1.1-2 Leach runoff pasture'!M2_Table_M_leach_cp</vt:lpstr>
      <vt:lpstr>M2_Table_M_leach_cp</vt:lpstr>
      <vt:lpstr>VEERG_6_1_1_1__1__NitrousOxideEmissionsFromCropResidues_Result_Method1</vt:lpstr>
      <vt:lpstr>VEERG_6_1_1_1__1__NitrousOxideEmissionsFromCropResidues_Result_Method2</vt:lpstr>
      <vt:lpstr>VEERG_6_2_1_1__1__NitrousOxideEmissionsFromPastureResidues_Result_Method1</vt:lpstr>
      <vt:lpstr>VEERG_6_2_1_1__1__NitrousOxideEmissionsFromPastureResidues_Result_Method2</vt:lpstr>
      <vt:lpstr>VEERG_6_3_1_1__1__LeachingAndRunoffEmissionsCropAndPastureResidue_CropOnly_Result_Method1</vt:lpstr>
      <vt:lpstr>VEERG_6_3_1_1__1__LeachingAndRunoffEmissionsCropAndPastureResidue_CropOnly_Result_Method2</vt:lpstr>
      <vt:lpstr>VEERG_6_3_1_1__1__LeachingAndRunoffEmissionsCropAndPastureResidue_PastureOnly_Result_Method1</vt:lpstr>
      <vt:lpstr>VEERG_6_3_1_1__1__LeachingAndRunoffEmissionsCropAndPastureResidue_PastureOnly_Result_Method2</vt:lpstr>
      <vt:lpstr>'6.3.1.1-2 Leach runoff crop'!VEERG_6_3_1_1__1__LeachingAndRunoffEmissionsCropAndPastureResidue_Result_Method1</vt:lpstr>
      <vt:lpstr>'6.3.1.1-2 Leach runoff pasture'!VEERG_6_3_1_1__1__LeachingAndRunoffEmissionsCropAndPastureResidue_Result_Method1</vt:lpstr>
      <vt:lpstr>VEERG_6_3_1_1__1__LeachingAndRunoffEmissionsCropAndPastureResidue_Result_Method1</vt:lpstr>
      <vt:lpstr>'6.3.1.1-2 Leach runoff crop'!VEERG_6_3_1_1__1__LeachingAndRunoffEmissionsCropAndPastureResidue_Result_Method2</vt:lpstr>
      <vt:lpstr>'6.3.1.1-2 Leach runoff pasture'!VEERG_6_3_1_1__1__LeachingAndRunoffEmissionsCropAndPastureResidue_Result_Method2</vt:lpstr>
      <vt:lpstr>VEERG_6_3_1_1__1__LeachingAndRunoffEmissionsCropAndPastureResidue_Result_Method2</vt:lpstr>
      <vt:lpstr>VEERG_6_4_1_1__1__MethaneEmissionsFromBurningOfCropResidues_Result_Method1</vt:lpstr>
      <vt:lpstr>VEERG_6_4_1_1__2__NitrousOxideEmissionsFromBurningOfCropResidues_Result_Method1</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X_Cell_Crop_PercentResidueGrazed</vt:lpstr>
      <vt:lpstr>X_Cell_Crop_TotalProductionOfCrop</vt:lpstr>
      <vt:lpstr>X_Cell_Crop_TotalResidueBaled</vt:lpstr>
      <vt:lpstr>X_Cell_Crop_YieldPerHectare</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2026-07-31T06:33:53Z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