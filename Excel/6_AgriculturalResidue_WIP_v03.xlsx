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520D256-75A8-4F6E-988B-2455EEFB2373}" xr6:coauthVersionLast="47" xr6:coauthVersionMax="47" xr10:uidLastSave="{00000000-0000-0000-0000-000000000000}"/>
  <bookViews>
    <workbookView xWindow="780" yWindow="780" windowWidth="36255" windowHeight="19140" firstSheet="4" activeTab="10"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25"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 i="122" l="1"/>
  <c r="H24" i="123"/>
  <c r="H25" i="113"/>
  <c r="H24" i="113"/>
  <c r="H64" i="114"/>
  <c r="H41" i="114"/>
  <c r="Q42" i="74"/>
  <c r="G42" i="74"/>
  <c r="P79" i="69"/>
  <c r="G44" i="69"/>
  <c r="E20" i="120"/>
  <c r="E19" i="120"/>
  <c r="E46" i="70"/>
  <c r="E44" i="70"/>
  <c r="E40" i="70"/>
  <c r="E36" i="70"/>
  <c r="E35" i="70"/>
  <c r="E30" i="70"/>
  <c r="D30" i="70"/>
  <c r="D26" i="70"/>
  <c r="D25" i="70"/>
  <c r="D24" i="70"/>
  <c r="F22" i="70"/>
  <c r="E22" i="70"/>
  <c r="E20" i="70"/>
  <c r="E19" i="70"/>
  <c r="E18" i="70"/>
  <c r="F17" i="70"/>
  <c r="D17" i="70"/>
  <c r="E33" i="15"/>
  <c r="E32" i="15"/>
  <c r="E31" i="15"/>
  <c r="E30" i="15"/>
  <c r="E29" i="15"/>
  <c r="E13" i="15"/>
  <c r="A25" i="125"/>
  <c r="A24" i="125"/>
  <c r="A20" i="125"/>
  <c r="A19" i="125"/>
  <c r="A18" i="125"/>
  <c r="A17" i="125"/>
  <c r="A16" i="125"/>
  <c r="A15" i="125"/>
  <c r="A11" i="125"/>
  <c r="A10" i="125"/>
  <c r="A9" i="125"/>
  <c r="A5" i="125"/>
  <c r="A4" i="125"/>
  <c r="A3" i="12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A25" i="71"/>
  <c r="A24" i="71"/>
  <c r="A20" i="71"/>
  <c r="A19" i="71"/>
  <c r="A18" i="71"/>
  <c r="A17" i="71"/>
  <c r="A16" i="71"/>
  <c r="A15" i="71"/>
  <c r="A11" i="71"/>
  <c r="A10" i="71"/>
  <c r="A9" i="71"/>
  <c r="A5" i="71"/>
  <c r="A4" i="71"/>
  <c r="A3" i="71"/>
  <c r="J37" i="122"/>
  <c r="J15" i="122"/>
  <c r="J37" i="123"/>
  <c r="J15" i="123"/>
  <c r="J37" i="113"/>
  <c r="J15" i="113"/>
  <c r="I59" i="114"/>
  <c r="I36" i="114"/>
  <c r="J38" i="122"/>
  <c r="J38" i="123"/>
  <c r="J38" i="113"/>
  <c r="J35" i="74"/>
  <c r="R73" i="69"/>
  <c r="I38" i="69"/>
  <c r="H65" i="114"/>
  <c r="H42" i="114"/>
  <c r="Q51" i="122"/>
  <c r="G51" i="122"/>
  <c r="Q51" i="123"/>
  <c r="G51" i="123"/>
  <c r="Q51" i="113"/>
  <c r="G51" i="113"/>
  <c r="Q43" i="74"/>
  <c r="G43" i="74"/>
  <c r="P80" i="69"/>
  <c r="G45" i="69"/>
  <c r="I22" i="69"/>
  <c r="E259" i="125" a="1"/>
  <c r="E259" i="125" s="1"/>
  <c r="D259" i="125" a="1"/>
  <c r="D259" i="125" s="1"/>
  <c r="E258" i="125" a="1"/>
  <c r="E258" i="125" s="1"/>
  <c r="D258" i="125" a="1"/>
  <c r="D258" i="125" s="1"/>
  <c r="D256" i="125" a="1"/>
  <c r="D256" i="125" s="1"/>
  <c r="D255" i="125" a="1"/>
  <c r="D255" i="125" s="1"/>
  <c r="D254" i="125"/>
  <c r="D254" i="125" a="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c r="D168" i="125" a="1"/>
  <c r="D167" i="125"/>
  <c r="D167" i="125" a="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c r="D151" i="125" a="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c r="D139" i="125" a="1"/>
  <c r="E136" i="125" a="1"/>
  <c r="E136" i="125" s="1"/>
  <c r="D136" i="125" a="1"/>
  <c r="D136" i="125" s="1"/>
  <c r="E135" i="125" a="1"/>
  <c r="E135" i="125" s="1"/>
  <c r="D135" i="125" a="1"/>
  <c r="D135" i="125" s="1"/>
  <c r="D133" i="125" a="1"/>
  <c r="D133" i="125" s="1"/>
  <c r="D132" i="125"/>
  <c r="D132" i="125" a="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c r="D81" i="125" a="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c r="D45" i="125" a="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I13" i="114"/>
  <c r="J40" i="113"/>
  <c r="J39" i="113"/>
  <c r="J18" i="113"/>
  <c r="J17" i="113"/>
  <c r="J36" i="74"/>
  <c r="J19" i="74"/>
  <c r="J13" i="74"/>
  <c r="R74" i="69"/>
  <c r="O27" i="74"/>
  <c r="E30" i="122" a="1"/>
  <c r="E7" i="122" a="1"/>
  <c r="N65" i="69"/>
  <c r="E30" i="69"/>
  <c r="E27" i="74"/>
  <c r="E27" i="114"/>
  <c r="E30" i="123" a="1"/>
  <c r="E50" i="114"/>
  <c r="E7" i="123" a="1"/>
  <c r="H53" i="125" l="1"/>
  <c r="H50" i="125"/>
  <c r="H48" i="125"/>
  <c r="H49" i="125"/>
  <c r="H51" i="125"/>
  <c r="H54" i="125"/>
  <c r="H52" i="125"/>
  <c r="E7" i="122"/>
  <c r="E30" i="122"/>
  <c r="E30" i="123"/>
  <c r="E7" i="123"/>
  <c r="P48" i="123"/>
  <c r="F48" i="123"/>
  <c r="P48" i="122"/>
  <c r="F48" i="122"/>
  <c r="I39" i="69"/>
  <c r="S34" i="69"/>
  <c r="Q19" i="69"/>
  <c r="Q17" i="69"/>
  <c r="Q16"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J37" i="74" l="1"/>
  <c r="I40" i="69" l="1"/>
  <c r="R75"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30" i="113" a="1"/>
  <c r="E7" i="113" a="1"/>
  <c r="E7" i="114" a="1"/>
  <c r="P48" i="113" l="1"/>
  <c r="I57" i="114" a="1"/>
  <c r="I57" i="114" s="1"/>
  <c r="I35" i="114" a="1"/>
  <c r="I35" i="114" s="1"/>
  <c r="I15" i="114" a="1"/>
  <c r="I15" i="114" s="1"/>
  <c r="I34" i="114" a="1"/>
  <c r="I34" i="114" s="1"/>
  <c r="I17" i="114" a="1"/>
  <c r="I17" i="114" s="1"/>
  <c r="I16" i="114" a="1"/>
  <c r="I16" i="114" s="1"/>
  <c r="E7"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E7" i="74" a="1"/>
  <c r="E7" i="69" a="1"/>
  <c r="N8" i="69" a="1"/>
  <c r="N42" i="69" a="1"/>
  <c r="J16" i="74" l="1" a="1"/>
  <c r="J16" i="74" s="1"/>
  <c r="T14" i="74"/>
  <c r="J17" i="74" a="1"/>
  <c r="J17" i="74" s="1"/>
  <c r="J18" i="74" a="1"/>
  <c r="J18" i="74" s="1"/>
  <c r="J14" i="74" a="1"/>
  <c r="J14" i="74" s="1"/>
  <c r="J15" i="74" a="1"/>
  <c r="J15" i="74" s="1"/>
  <c r="E7" i="74"/>
  <c r="O77" i="69"/>
  <c r="O59" i="69"/>
  <c r="N42" i="69"/>
  <c r="I19" i="69" a="1"/>
  <c r="I19" i="69" s="1"/>
  <c r="I18" i="69" a="1"/>
  <c r="I18" i="69" s="1"/>
  <c r="I20" i="69" a="1"/>
  <c r="I20" i="69" s="1"/>
  <c r="N8" i="69"/>
  <c r="E7" i="69"/>
  <c r="O21" i="74" l="1" a="1"/>
  <c r="O21" i="74" s="1"/>
  <c r="I14" i="114"/>
  <c r="E21" i="114" s="1" a="1"/>
  <c r="E21" i="114" s="1"/>
  <c r="E21" i="74" a="1"/>
  <c r="E21" i="74" s="1"/>
  <c r="D46" i="123" s="1"/>
  <c r="Q18" i="69"/>
  <c r="I14" i="69"/>
  <c r="O25" i="122" l="1"/>
  <c r="S25" i="122" s="1" a="1"/>
  <c r="S25" i="122" s="1"/>
  <c r="N46" i="122" s="1"/>
  <c r="O46" i="122" s="1" a="1"/>
  <c r="O46" i="122" s="1"/>
  <c r="N46" i="123"/>
  <c r="E25" i="113"/>
  <c r="E25" i="122"/>
  <c r="I25" i="122" s="1" a="1"/>
  <c r="I25" i="122" s="1"/>
  <c r="D46" i="122" s="1"/>
  <c r="E46" i="122" s="1" a="1"/>
  <c r="E46" i="122" s="1"/>
  <c r="T33" i="74"/>
  <c r="O25" i="113"/>
  <c r="I33" i="114"/>
  <c r="I56" i="114"/>
  <c r="J33" i="74"/>
  <c r="Q15" i="69" l="1"/>
  <c r="N21" i="69" s="1" a="1"/>
  <c r="N21" i="69" s="1"/>
  <c r="S33" i="69" s="1"/>
  <c r="N36" i="69" s="1" a="1"/>
  <c r="N36" i="69" s="1"/>
  <c r="R52" i="69" s="1"/>
  <c r="N59" i="69" s="1" a="1"/>
  <c r="N59" i="69" s="1"/>
  <c r="O24" i="123" s="1"/>
  <c r="S24" i="123" s="1" a="1"/>
  <c r="S24" i="123" s="1"/>
  <c r="N45" i="123" s="1"/>
  <c r="O45" i="123" s="1" a="1"/>
  <c r="O45" i="123" s="1"/>
  <c r="O48" i="123" s="1"/>
  <c r="O53" i="123" l="1" a="1"/>
  <c r="O53" i="123" s="1"/>
  <c r="Q50" i="123"/>
  <c r="N45" i="122"/>
  <c r="O48" i="122" s="1"/>
  <c r="R71" i="69"/>
  <c r="O24" i="113"/>
  <c r="O53" i="122" l="1" a="1"/>
  <c r="O53" i="122" s="1"/>
  <c r="Q50" i="122"/>
  <c r="I17" i="69" a="1"/>
  <c r="I17" i="69" s="1"/>
  <c r="E24" i="69" s="1" a="1"/>
  <c r="E24" i="69" s="1"/>
  <c r="E24" i="123" s="1"/>
  <c r="I24" i="123" s="1" a="1"/>
  <c r="I24" i="123" s="1"/>
  <c r="D45" i="123" s="1"/>
  <c r="E45" i="123" s="1" a="1"/>
  <c r="E45" i="123" s="1"/>
  <c r="E48" i="123" s="1"/>
  <c r="S24" i="113" a="1"/>
  <c r="S24" i="113" s="1"/>
  <c r="N45" i="113" s="1"/>
  <c r="E62" i="114" a="1"/>
  <c r="E62" i="114" s="1"/>
  <c r="E13" i="13" s="1"/>
  <c r="E53" i="123" l="1" a="1"/>
  <c r="E53" i="123" s="1"/>
  <c r="G50" i="123"/>
  <c r="E24" i="113"/>
  <c r="I24" i="113" s="1" a="1"/>
  <c r="I24" i="113" s="1"/>
  <c r="D45" i="113" s="1"/>
  <c r="D45" i="122"/>
  <c r="E48" i="122" s="1"/>
  <c r="E67" i="114" a="1"/>
  <c r="E67" i="114" s="1"/>
  <c r="H13" i="13" s="1"/>
  <c r="I13" i="13" s="1"/>
  <c r="F13" i="13"/>
  <c r="E39" i="114" a="1"/>
  <c r="E39" i="114" s="1"/>
  <c r="E12" i="13" s="1"/>
  <c r="I36" i="69"/>
  <c r="I25" i="113" a="1"/>
  <c r="I25" i="113" s="1"/>
  <c r="D46" i="113" s="1"/>
  <c r="S25" i="113" a="1"/>
  <c r="S25" i="113" s="1"/>
  <c r="N46" i="113" s="1"/>
  <c r="E53" i="122" l="1" a="1"/>
  <c r="E53" i="122" s="1"/>
  <c r="G50" i="122"/>
  <c r="E45" i="113" a="1"/>
  <c r="E45" i="113" s="1"/>
  <c r="O46" i="113" a="1"/>
  <c r="O46" i="113" s="1"/>
  <c r="O45" i="113" a="1"/>
  <c r="O45" i="113" s="1"/>
  <c r="E46" i="113" a="1"/>
  <c r="E46" i="113" s="1"/>
  <c r="E44" i="114" a="1"/>
  <c r="E44" i="114" s="1"/>
  <c r="H12" i="13" s="1"/>
  <c r="I12" i="13" s="1"/>
  <c r="F12" i="13"/>
  <c r="J34" i="74" a="1"/>
  <c r="J34" i="74" s="1"/>
  <c r="O48" i="113" l="1"/>
  <c r="Q50" i="113" s="1"/>
  <c r="E48" i="113"/>
  <c r="O40" i="74" a="1"/>
  <c r="O40" i="74" s="1"/>
  <c r="F10" i="13" s="1"/>
  <c r="E40" i="74" a="1"/>
  <c r="E40" i="74" s="1"/>
  <c r="E10" i="13" s="1"/>
  <c r="I37" i="69" a="1"/>
  <c r="I37" i="69" s="1"/>
  <c r="E42" i="69" s="1" a="1"/>
  <c r="E42" i="69" s="1"/>
  <c r="E9" i="13" s="1"/>
  <c r="R72" i="69" a="1"/>
  <c r="R72" i="69" s="1"/>
  <c r="N77" i="69" s="1" a="1"/>
  <c r="N77" i="69" s="1"/>
  <c r="F9" i="13" s="1"/>
  <c r="E11" i="13" l="1"/>
  <c r="G50" i="113"/>
  <c r="O53" i="113" a="1"/>
  <c r="O53" i="113" s="1"/>
  <c r="I11" i="13" s="1"/>
  <c r="F11" i="13"/>
  <c r="E53" i="113" a="1"/>
  <c r="E53" i="113" s="1"/>
  <c r="H11" i="13" s="1"/>
  <c r="E45" i="74" a="1"/>
  <c r="E45" i="74" s="1"/>
  <c r="H10" i="13" s="1"/>
  <c r="O45" i="74" a="1"/>
  <c r="O45" i="74" s="1"/>
  <c r="I10" i="13" s="1"/>
  <c r="E47" i="69" a="1"/>
  <c r="E47" i="69" s="1"/>
  <c r="H9" i="13" s="1"/>
  <c r="N82" i="69" a="1"/>
  <c r="N82" i="69" s="1"/>
  <c r="I9"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<sst xmlns="http://schemas.openxmlformats.org/spreadsheetml/2006/main" count="494" uniqueCount="237">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</sst>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2">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5">
      <calculatedColumnFormula array="1">Common_InputFunctions.Utility_DisplayArrayInTable(Agresidue_SourceData.CropFractionRemoved_Data(), Table76[[#Headers],[Crop type c]], 0)</calculatedColumnFormula>
    </tableColumn>
    <tableColumn id="3" xr3:uid="{BB1819D3-B175-4610-A8F6-4C85437820E5}" name="Fraction removed" dataDxfId="6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3">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1" dataCellStyle="Content bold">
  <autoFilter ref="D43:E45" xr:uid="{2270AB6D-D03A-4D71-95C0-00BA6BB02732}">
    <filterColumn colId="0" hiddenButton="1"/>
    <filterColumn colId="1" hiddenButton="1"/>
  </autoFilter>
  <tableColumns count="2">
    <tableColumn id="1" xr3:uid="{C1F5DE5C-442A-47C8-B53B-A669D141AC48}" name="Climate zone type i" dataDxfId="60"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5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7"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6"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5"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4"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3"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4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F3297E-39AE-4170-8501-BDBB7A4BF4D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1DEB43-9E7B-4D1D-AE92-9540E9F24054}" name="State/Territory">
      <calculatedColumnFormula array="1">Common_InputFunctions.Utility_DisplayArrayInTable(Common_SourceData.Common_SourceData_AustralianStatesTerritories_Data(),Table_AustralianStates[[#Headers],[State/Territory]],0)</calculatedColumnFormula>
    </tableColumn>
    <tableColumn id="2" xr3:uid="{835881AD-8D80-4DB0-ABD7-35E8A16BEF60}" name="Common Name">
      <calculatedColumnFormula array="1">Common_InputFunctions.Utility_DisplayArrayInTable(Common_SourceData.Common_SourceData_AustralianStatesTerritories_Data(),Table_AustralianStates[[#Headers],[State/Territory]],0)</calculatedColumnFormula>
    </tableColumn>
    <tableColumn id="3" xr3:uid="{F5F6596E-E51F-433D-BA86-0BA9ED20A5C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9FD492-8E09-414A-B165-02CDBA3EFB91}" name="Table_WASA4Areas" displayName="Table_WASA4Areas" ref="D20:D30" totalsRowShown="0">
  <autoFilter ref="D20:D30" xr:uid="{5FA81339-C6C8-4D36-BEEA-6C4AEDD9E676}">
    <filterColumn colId="0" hiddenButton="1"/>
  </autoFilter>
  <tableColumns count="1">
    <tableColumn id="1" xr3:uid="{97396C8E-6175-48FA-B1A9-61F17FF933C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E5E549D-B493-4017-B4C4-6C9252E17C6A}" name="Table_GWPData" displayName="Table_GWPData" ref="D36:E43" totalsRowShown="0">
  <autoFilter ref="D36:E43" xr:uid="{B8E87A66-3E41-4AD3-925D-01EE21B43D7A}">
    <filterColumn colId="0" hiddenButton="1"/>
    <filterColumn colId="1" hiddenButton="1"/>
  </autoFilter>
  <tableColumns count="2">
    <tableColumn id="1" xr3:uid="{BA051297-4995-4CDF-9F30-472CFD79C30E}" name="Gas">
      <calculatedColumnFormula array="1">Common_InputFunctions.Utility_DisplayArrayInTable(Common_SourceData.Common_SourceData_GWP_Data(), Table_GWPData[[#Headers],[Gas]], 0)</calculatedColumnFormula>
    </tableColumn>
    <tableColumn id="2" xr3:uid="{6AB5903D-E3A8-41FC-BE7A-B112AB4CD1B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91BE1B-CA63-42E8-8400-64A82D6095B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BDF814-F158-4E66-8E5C-F2CE921B3612}" name="Gas">
      <calculatedColumnFormula array="1">Common_InputFunctions.Utility_DisplayArrayInTable(Common_SourceData.Common_SourceData_ConvertGasElementalToMolecular_Data(),Table_GasToMolecularConversionFactor[[#Headers],[Gas]], 0)</calculatedColumnFormula>
    </tableColumn>
    <tableColumn id="5" xr3:uid="{25C62F32-B1BD-4489-8F7B-84296661D745}" name="Conversion factor">
      <calculatedColumnFormula array="1">Common_InputFunctions.Utility_DisplayArrayInTable(Common_SourceData.Common_SourceData_ConvertGasElementalToMolecular_Data(),Table_GasToMolecularConversionFactor[[#Headers],[Gas]], 0)</calculatedColumnFormula>
    </tableColumn>
    <tableColumn id="2" xr3:uid="{30054792-FD75-44B9-8DAA-F66AC7578C3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3FF3A6-735C-462F-B10A-AFA05631A46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7936CBF-E2FB-4521-9D4B-92D392F4375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3DEDB13-4E89-42A8-B15A-15786E932E6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9D23BD-19B1-4872-8EF9-4FEE085795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272B3DD-7E81-4DC4-9A7A-E173A6FB513C}"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80884A9D-90B2-4E06-BFFB-02F2992AD56A}"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F5FCD98B-734A-4AEA-9266-8A5CA37980E7}"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07E5C8C1-73BB-482B-83F6-913DBA923A79}"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2754D596-D705-4122-88EE-52E0464E9979}"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10007AE2-313D-4C3E-A5CB-60718E4DB116}"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C72535E9-DBEE-4B28-8079-3126259768E9}"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E211A98F-CC9C-41AF-A1FC-E9FECE8E5FD5}"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650B767F-A36A-4EDF-9F20-6EA566605FF6}"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65B0EC80-2847-4F6A-8812-68EF716E5A6C}"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AA4C3373-4B77-4D87-A360-7BED1BEC37E5}"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5608447B-20A2-4AE0-8677-DB963A1A666B}"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E718956A-8A2A-4620-A76B-4DDCB993E443}"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F3943668-FC10-405A-872E-B2034E141420}"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35758071-61D2-4EAB-A0E0-D894F1A85CA0}"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C27C1E3-6586-4FFF-80DE-5C270B7A9CF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DAD6C72-8084-493B-B581-9ECD183261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6F2D49D-05E6-429E-B96B-47DD9A7E7997}"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D5650-3FF1-4A08-8C0D-E513B9262FB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8E1E12-DC52-4962-A320-A7C95EF5C915}" name="Temperature Zone">
      <calculatedColumnFormula array="1">Common_InputFunctions.Utility_DisplayArrayInTable(Common_SourceData.Common_SourceData_TemperatureZones_Data(),Table_SourceData_TemperatureZones[[#Headers],[Temperature Zone]],0)</calculatedColumnFormula>
    </tableColumn>
    <tableColumn id="2" xr3:uid="{CDF66F5C-4B11-4569-A38D-8726F58D4885}" name="MAT">
      <calculatedColumnFormula array="1">Common_InputFunctions.Utility_DisplayArrayInTable(Common_SourceData.Common_SourceData_TemperatureZones_Data(),Table_SourceData_TemperatureZones[[#Headers],[Temperature Zone]],0)</calculatedColumnFormula>
    </tableColumn>
    <tableColumn id="3" xr3:uid="{1DF1A1DC-4497-44CB-A52E-A8B3D9DD832D}" name="Min MAT">
      <calculatedColumnFormula array="1">Common_InputFunctions.Utility_DisplayArrayInTable(Common_SourceData.Common_SourceData_TemperatureZones_Data(),Table_SourceData_TemperatureZones[[#Headers],[Temperature Zone]],0)</calculatedColumnFormula>
    </tableColumn>
    <tableColumn id="4" xr3:uid="{F0823CAF-CC15-4F07-B334-7F9E4B29FE1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DF872A4-AC34-4B98-BB47-24B688478F2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E0C8972A-6712-431C-8F45-2C7631CDD3D7}" name="Rainfall Zone">
      <calculatedColumnFormula array="1">Common_InputFunctions.Utility_DisplayArrayInTable(Common_SourceData.Common_SourceData_RainfallZones_Data(),Table_SourceData_RainfallZones[[#Headers],[Rainfall Zone]],0)</calculatedColumnFormula>
    </tableColumn>
    <tableColumn id="2" xr3:uid="{D524FDE7-DB47-42A1-A906-8F8AC75FF37C}" name="Annual rainfall">
      <calculatedColumnFormula array="1">Common_InputFunctions.Utility_DisplayArrayInTable(Common_SourceData.Common_SourceData_RainfallZones_Data(),Table_SourceData_RainfallZones[[#Headers],[Rainfall Zone]],0)</calculatedColumnFormula>
    </tableColumn>
    <tableColumn id="3" xr3:uid="{ACF464EE-7748-45BC-A3B0-8883C7118A63}" name="Min rainfall">
      <calculatedColumnFormula array="1">Common_InputFunctions.Utility_DisplayArrayInTable(Common_SourceData.Common_SourceData_RainfallZones_Data(),Table_SourceData_RainfallZones[[#Headers],[Rainfall Zone]],0)</calculatedColumnFormula>
    </tableColumn>
    <tableColumn id="4" xr3:uid="{9C079EC8-42B7-4BD5-A499-E7B49611F00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54178E3-A889-45F3-A979-C2B51FAF3F3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1165483-9FBB-440F-A1BC-F669FD2A72AC}" name="Leaching Zone">
      <calculatedColumnFormula array="1">Common_InputFunctions.Utility_DisplayArrayInTable(Common_SourceData.Common_SourceData_LeachingZones_Data(), Table_SourceData_LeachingZones[[#Headers],[Leaching Zone]], 0)</calculatedColumnFormula>
    </tableColumn>
    <tableColumn id="2" xr3:uid="{3969F1EB-CD7B-4988-AAA4-670EB3C8716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D6CE53F-A5F9-4A51-96F3-9686477F567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583BCF6-B668-41EB-B925-BFCC853F7E77}" name="Data source">
      <calculatedColumnFormula array="1">Common_InputFunctions.Utility_DisplayArrayInTable(Common_SourceData.Common_SourceData_DataScores_Scope3_Data(), Table_SourceData_DataScores_Scope3[[#Headers],[Data source]], 0)</calculatedColumnFormula>
    </tableColumn>
    <tableColumn id="2" xr3:uid="{C2A18FD4-80E7-4710-A1A9-652B5E4E95E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93D4BE9-C62B-42AD-A543-DB9FA372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53543185-6A5D-40A7-AEB9-CA4F04A43F8A}" name="Is in leaching zone">
      <calculatedColumnFormula array="1">Common_InputFunctions.Utility_DisplayArrayInTable(Common_SourceData.Common_SourceData_FracWET_Data(),Table_SourceData_FracWET[[#Headers],[Is in leaching zone]],0)</calculatedColumnFormula>
    </tableColumn>
    <tableColumn id="2" xr3:uid="{23635C4F-9AAF-4F6A-8FE8-04B5B3A29E9B}"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A2E9E17-2FF4-4E72-AF46-C97CB4BFC5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A9A1D63-2612-4DC7-83BD-894579F47297}" name="Production system j">
      <calculatedColumnFormula array="1">Common_InputFunctions.Utility_DisplayArrayInTable(Common_SourceData.Common_SourceData_EFN2O_Data(), Table_SourceData_Common_EFN2O[[#Headers],[Production system j]], 0)</calculatedColumnFormula>
    </tableColumn>
    <tableColumn id="2" xr3:uid="{D981C71B-17D1-4933-A354-4B2581022298}" name="EFN2O">
      <calculatedColumnFormula array="1">Common_InputFunctions.Utility_DisplayArrayInTable(Common_SourceData.Common_SourceData_EFN2O_Data(), Table_SourceData_Common_EFN2O[[#Headers],[Production system j]], 0)</calculatedColumnFormula>
    </tableColumn>
    <tableColumn id="3" xr3:uid="{A5DCC921-EBAF-4B7A-81D3-4E417851A038}" name="Production system only">
      <calculatedColumnFormula array="1">Common_InputFunctions.Utility_DisplayArrayInTable(Common_SourceData.Common_SourceData_EFN2O_Data(), Table_SourceData_Common_EFN2O[[#Headers],[Production system j]], 0)</calculatedColumnFormula>
    </tableColumn>
    <tableColumn id="4" xr3:uid="{B5AD14D7-65E0-4D07-A945-17F22DE18790}" name="Irrigation method">
      <calculatedColumnFormula array="1">Common_InputFunctions.Utility_DisplayArrayInTable(Common_SourceData.Common_SourceData_EFN2O_Data(), Table_SourceData_Common_EFN2O[[#Headers],[Production system j]], 0)</calculatedColumnFormula>
    </tableColumn>
    <tableColumn id="5" xr3:uid="{A884D557-1117-446A-9529-4F7BF5A7B0D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9B2864D-AB6B-444D-9AC5-28A36F5EA7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758B0CD-42F4-45D8-852A-2CCE2DC88853}" name="Irrigation type i">
      <calculatedColumnFormula array="1">Common_InputFunctions.Utility_DisplayArrayInTable(Common_SourceData.Common_SourceData_FracWETIrrigation_Data(), Table_SourceData_FracWETIrrigation[[#Headers],[Irrigation type i]], 0)</calculatedColumnFormula>
    </tableColumn>
    <tableColumn id="2" xr3:uid="{DE5BE296-B545-4EB4-98ED-D4483A3E59B7}"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60320EF-E283-484A-8205-4B0DCF1A2FF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E7E9462-8B01-49C1-AC03-C942D136571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67BCA50-B136-49DB-AF56-B66E99CA6E3C}"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7C04E70-4B57-4515-909A-6AFFC3E2572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B732629-F26F-4264-A46A-6E22B4E91C95}" name="Month">
      <calculatedColumnFormula array="1">Common_InputFunctions.Utility_DisplayArrayInTable(Common_SourceData.Common_SourceData_MonthsToSeasons_Data(), Table_SourceData_Common_MonthToSeason[[#Headers],[Month]], 0)</calculatedColumnFormula>
    </tableColumn>
    <tableColumn id="2" xr3:uid="{F1FC14D5-6DF2-40CA-A3BA-E84770250602}"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DC1D256-81F3-4AD8-B942-FA51416E0C0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47423DE-F5AA-4E30-B57A-9D8A04BD2E9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E7DC55A-A07C-4FEA-8ADA-F1121E75F870}"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46F132-A870-4A53-B511-D6758CEB1D64}"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29D82B8-DD4D-4882-85A7-3DCB0C271538}"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7E52908-B327-4FFF-85BA-ED1E88B3AE03}"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8ECCF51-610D-4F5C-9BBB-E38741570C5E}"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3BCE1-156A-44F3-85D9-678B0CABCAF4}"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9D1EEE8-82FA-4FA1-9C34-F8E8AB2A9309}"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384180F-C755-4F47-95D2-6493AE3AF230}"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D777881-0A11-4702-AD38-DED4720A1AB5}"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A33B200-4624-418F-B16F-B73192CD36DB}"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BC87E90-A001-4DDE-923E-3D031CDDC1ED}"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A993CE5-7229-403B-8766-C627B9BD9E70}"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FB6244D-5B5C-4A30-98C2-1755B7B3585B}"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8681463-C339-45C9-B449-FA6BDEEEB20E}"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012AF28-080A-412F-8D2D-568688C47D48}"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A2902D7-6DDC-496B-86D9-192E8F3BA78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07EAF1A-F29F-4E7A-A599-374F31F80EE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1ACE537-F56D-4FA2-AD9F-B09BF7F7CB4A}"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5"/>
  <sheetViews>
    <sheetView zoomScaleNormal="100" workbookViewId="0">
      <selection activeCell="A25" sqref="A25"/>
    </sheetView>
  </sheetViews>
  <sheetFormatPr defaultRowHeight="15" x14ac:dyDescent="0.25"/>
  <sheetData>
    <row r="1" spans="1:1" ht="25.5" x14ac:dyDescent="0.35">
      <c r="A1" s="60" t="e" vm="1">
        <v>#VALUE!</v>
      </c>
    </row>
    <row r="3" spans="1:1" ht="15.75" x14ac:dyDescent="0.25">
      <c r="A3" s="105"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Crop'!A1", "Crop")</f>
        <v>Crop</v>
      </c>
    </row>
    <row r="11" spans="1:1" ht="15.75" x14ac:dyDescent="0.25">
      <c r="A11" s="17" t="str">
        <f>HYPERLINK("#'Input - Pasture'!A1", "Pasture")</f>
        <v>Pasture</v>
      </c>
    </row>
    <row r="14" spans="1:1" x14ac:dyDescent="0.25">
      <c r="A14" s="18" t="s">
        <v>68</v>
      </c>
    </row>
    <row r="15" spans="1:1" ht="15.75" x14ac:dyDescent="0.25">
      <c r="A15" s="17" t="str">
        <f>HYPERLINK("#'6.1.1.1-2 Crop residue N2O'!A1", "6.1.1.1-2 Crop residue N2O")</f>
        <v>6.1.1.1-2 Crop residue N2O</v>
      </c>
    </row>
    <row r="16" spans="1:1" ht="15.75" x14ac:dyDescent="0.25">
      <c r="A16" s="17" t="str">
        <f>HYPERLINK("#'6.2.1.1-2 Pasture residue N2O'!A1", "6.2.1.1-2 Pasture residue N2O")</f>
        <v>6.2.1.1-2 Pasture residue N2O</v>
      </c>
    </row>
    <row r="17" spans="1:1" ht="15.75" x14ac:dyDescent="0.25">
      <c r="A17" s="17" t="str">
        <f>HYPERLINK("#'6.3.1.1-2 Leaching and runoff'!A1", "6.3.1.1-2 Leaching and runoff")</f>
        <v>6.3.1.1-2 Leaching and runoff</v>
      </c>
    </row>
    <row r="18" spans="1:1" ht="15.75" x14ac:dyDescent="0.25">
      <c r="A18" s="17" t="str">
        <f>HYPERLINK("#'6.3.1.1-2 Leach runoff crop'!A1", "6.3.1.1-2 Leach runoff crop")</f>
        <v>6.3.1.1-2 Leach runoff crop</v>
      </c>
    </row>
    <row r="19" spans="1:1" ht="15.75" x14ac:dyDescent="0.25">
      <c r="A19" s="17" t="str">
        <f>HYPERLINK("#'6.3.1.1-2 Leach runoff pasture'!A1", "6.3.1.1-2 Leach runoff pasture")</f>
        <v>6.3.1.1-2 Leach runoff pasture</v>
      </c>
    </row>
    <row r="20" spans="1:1" ht="15.75" x14ac:dyDescent="0.25">
      <c r="A20" s="17" t="str">
        <f>HYPERLINK("#'6.4.1.1-2 Residue burning'!A1", "6.4.1.1-2 Residue burning")</f>
        <v>6.4.1.1-2 Residue burning</v>
      </c>
    </row>
    <row r="23" spans="1:1" x14ac:dyDescent="0.25">
      <c r="A23" s="141" t="s">
        <v>1</v>
      </c>
    </row>
    <row r="24" spans="1:1" ht="15.75" x14ac:dyDescent="0.25">
      <c r="A24" s="17" t="str">
        <f>HYPERLINK("#'Constants - Ag Residue'!A1", "Constants - Ag Residue")</f>
        <v>Constants - Ag Residue</v>
      </c>
    </row>
    <row r="25" spans="1:1" ht="15.75" x14ac:dyDescent="0.25">
      <c r="A25"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216</v>
      </c>
      <c r="E9" s="121">
        <f>VEERG_6_1_1_1__1__NitrousOxideEmissionsFromCropResidues_Result_Method1</f>
        <v>2.3377199999999997E-2</v>
      </c>
      <c r="F9" s="121">
        <f>VEERG_6_1_1_1__1__NitrousOxideEmissionsFromCropResidues_Result_Method2</f>
        <v>2.3377199999999997E-2</v>
      </c>
      <c r="G9" s="51" t="s">
        <v>99</v>
      </c>
      <c r="H9" s="98">
        <f>'6.1.1.1-2 Crop residue N2O'!E47</f>
        <v>6.1949579999999989</v>
      </c>
      <c r="I9" s="98">
        <f>'6.1.1.1-2 Crop residue N2O'!N82</f>
        <v>6.1949579999999989</v>
      </c>
      <c r="J9" s="51" t="s">
        <v>91</v>
      </c>
      <c r="K9" s="21"/>
    </row>
    <row r="10" spans="1:11" ht="20.100000000000001" customHeight="1" x14ac:dyDescent="0.25">
      <c r="A10" s="17" t="str">
        <f>HYPERLINK("#'Input - Crop'!A1", "Crop")</f>
        <v>Crop</v>
      </c>
      <c r="C10" s="21"/>
      <c r="D10" s="1" t="s">
        <v>217</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218</v>
      </c>
      <c r="E11" s="121">
        <f>VEERG_6_3_1_1__1__LeachingAndRunoffEmissionsCropAndPastureResidue_Result_Method1</f>
        <v>1.2343469531862857E-2</v>
      </c>
      <c r="F11" s="121">
        <f>VEERG_6_3_1_1__1__LeachingAndRunoffEmissionsCropAndPastureResidue_Result_Method2</f>
        <v>1.2343469531862857E-2</v>
      </c>
      <c r="G11" s="51" t="s">
        <v>99</v>
      </c>
      <c r="H11" s="98">
        <f>'6.3.1.1-2 Leaching and runoff'!E53</f>
        <v>3.2710194259436571</v>
      </c>
      <c r="I11" s="98">
        <f>'6.3.1.1-2 Leaching and runoff'!O53</f>
        <v>3.2710194259436571</v>
      </c>
      <c r="J11" s="51" t="s">
        <v>91</v>
      </c>
      <c r="K11" s="21"/>
    </row>
    <row r="12" spans="1:11" ht="20.100000000000001" customHeight="1" x14ac:dyDescent="0.25">
      <c r="C12" s="21"/>
      <c r="D12" s="1" t="s">
        <v>219</v>
      </c>
      <c r="E12" s="121">
        <f>VEERG_6_4_1_1__2__NitrousOxideEmissionsFromBurningOfCropResidues_Result_Method1</f>
        <v>4.4692560000000004E-3</v>
      </c>
      <c r="F12" s="121">
        <f>E12</f>
        <v>4.4692560000000004E-3</v>
      </c>
      <c r="G12" s="51" t="s">
        <v>99</v>
      </c>
      <c r="H12" s="98">
        <f>'6.4.1.1-2 Residue burning'!E44</f>
        <v>1.1843528400000001</v>
      </c>
      <c r="I12" s="98">
        <f>H12</f>
        <v>1.1843528400000001</v>
      </c>
      <c r="J12" s="51" t="s">
        <v>91</v>
      </c>
      <c r="K12" s="21"/>
    </row>
    <row r="13" spans="1:11" ht="20.100000000000001" customHeight="1" x14ac:dyDescent="0.25">
      <c r="C13" s="21"/>
      <c r="D13" s="1" t="s">
        <v>219</v>
      </c>
      <c r="E13" s="121">
        <f>VEERG_6_4_1_1__1__MethaneEmissionsFromBurningOfCropResidues_Result_Method1</f>
        <v>0.116424</v>
      </c>
      <c r="F13" s="121">
        <f>E13</f>
        <v>0.116424</v>
      </c>
      <c r="G13" s="51" t="s">
        <v>220</v>
      </c>
      <c r="H13" s="98">
        <f>'6.4.1.1-2 Residue burning'!E67</f>
        <v>3.2598720000000001</v>
      </c>
      <c r="I13" s="98">
        <f>H13</f>
        <v>3.2598720000000001</v>
      </c>
      <c r="J13" s="51" t="s">
        <v>91</v>
      </c>
      <c r="K13" s="21"/>
    </row>
    <row r="14" spans="1:11" ht="20.100000000000001" customHeight="1" x14ac:dyDescent="0.3">
      <c r="A14" s="18" t="s">
        <v>68</v>
      </c>
      <c r="C14" s="21"/>
      <c r="D14" s="28" t="s">
        <v>86</v>
      </c>
      <c r="E14" s="22"/>
      <c r="F14" s="22"/>
      <c r="G14" s="28"/>
      <c r="H14" s="99">
        <f>SUM(H9:H13)</f>
        <v>13.910356815079371</v>
      </c>
      <c r="I14" s="99">
        <f>SUM(I9:I13)</f>
        <v>13.910356815079371</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5" zoomScaleNormal="100" workbookViewId="0">
      <selection activeCell="A25" sqref="A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DATE(YEAR(X_Cell_Site_StartDate)+1,MONTH(X_Cell_Site_StartDate),DAY(X_Cell_Site_StartDate))-1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12"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173</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X_Cell_Crop_CropPurpose &amp; " " &amp; _xlfn.XLOOKUP(X_Cell_Crop_CropPurpose,Table_SourceData_CropPurposeAndYields[Purpose], Table_SourceData_CropPurposeAndYields[harvest term]) &amp; " per hectare¹"</f>
        <v>Cash grain crop yield per hectare¹</v>
      </c>
      <c r="E17" s="112">
        <v>3.5</v>
      </c>
      <c r="F17" s="2"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230</v>
      </c>
      <c r="E18" s="49">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17" t="str">
        <f>HYPERLINK("#'6.3.1.1-2 Leach runoff pasture'!A1", "6.3.1.1-2 Leach runoff pasture")</f>
        <v>6.3.1.1-2 Leach runoff pasture</v>
      </c>
      <c r="D19" s="1" t="s">
        <v>139</v>
      </c>
      <c r="E19" s="49">
        <f>X_Cell_Crop_YieldPerHectare*E18</f>
        <v>5.25</v>
      </c>
      <c r="F19" s="2" t="s">
        <v>138</v>
      </c>
    </row>
    <row r="20" spans="1:6" ht="20.100000000000001" customHeight="1" x14ac:dyDescent="0.25">
      <c r="A20" s="17" t="str">
        <f>HYPERLINK("#'6.4.1.1-2 Residue burning'!A1", "6.4.1.1-2 Residue burning")</f>
        <v>6.4.1.1-2 Residue burning</v>
      </c>
      <c r="D20" s="1" t="s">
        <v>137</v>
      </c>
      <c r="E20" s="49">
        <f>X_Cell_Crop_YieldPerHectare+E19</f>
        <v>8.75</v>
      </c>
      <c r="F20" s="2" t="s">
        <v>138</v>
      </c>
    </row>
    <row r="21" spans="1:6" ht="20.100000000000001" customHeight="1" x14ac:dyDescent="0.25"/>
    <row r="22" spans="1:6" ht="20.100000000000001" customHeight="1" x14ac:dyDescent="0.25">
      <c r="D22" s="50" t="s">
        <v>231</v>
      </c>
      <c r="E22" s="49">
        <f>X_Cell_Crop_YieldPerHectare*X_Cell_Crop_AreaUnderCropping</f>
        <v>350</v>
      </c>
      <c r="F22" s="2" t="str">
        <f>"Tonnes " &amp; _xlfn.XLOOKUP(X_Cell_Crop_CropPurpose,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_xlfn.XLOOKUP(X_Cell_Crop_CropPurpose,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D26" s="96" t="str">
        <f>"³ " &amp; _xlfn.XLOOKUP(X_Cell_Crop_CropPurpose,Table_SourceData_CropPurposeAndYields[Purpose],Table_SourceData_CropPurposeAndYields[Total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VLOOKUP(X_Cell_Crop_CropPurpose,'Constants - Ag Residue'!D8:G10, 4, FALSE)</f>
        <v>Residue after harvest</v>
      </c>
      <c r="E30" s="49">
        <f>E19*X_Cell_Crop_AreaUnderCropping</f>
        <v>525</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v>
      </c>
      <c r="F33" s="2" t="s">
        <v>144</v>
      </c>
    </row>
    <row r="34" spans="1:8" ht="20.100000000000001" customHeight="1" x14ac:dyDescent="0.25">
      <c r="D34" s="1" t="s">
        <v>145</v>
      </c>
      <c r="E34" s="112">
        <v>60</v>
      </c>
      <c r="F34" s="2" t="s">
        <v>146</v>
      </c>
    </row>
    <row r="35" spans="1:8" ht="20.100000000000001" customHeight="1" x14ac:dyDescent="0.25">
      <c r="D35" s="50" t="s">
        <v>147</v>
      </c>
      <c r="E35" s="131">
        <f>IFERROR((X_Cell_Crop_TotalResidueBaled*10^3)/X_Cell_Crop_AverageWeightPerBale, 0)</f>
        <v>875</v>
      </c>
      <c r="F35" s="2" t="s">
        <v>148</v>
      </c>
    </row>
    <row r="36" spans="1:8" ht="20.100000000000001" customHeight="1" x14ac:dyDescent="0.25">
      <c r="D36" s="50" t="s">
        <v>149</v>
      </c>
      <c r="E36" s="49">
        <f>E30*X_Cell_Crop_PercentResidueBaled</f>
        <v>52.5</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0.01</v>
      </c>
      <c r="F39" s="2" t="s">
        <v>144</v>
      </c>
    </row>
    <row r="40" spans="1:8" s="111" customFormat="1" ht="20.100000000000001" customHeight="1" x14ac:dyDescent="0.25">
      <c r="A40"/>
      <c r="C40" s="1"/>
      <c r="D40" s="1" t="s">
        <v>152</v>
      </c>
      <c r="E40" s="49">
        <f>E30*X_Cell_Crop_PercentResidueGrazed</f>
        <v>5.25</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45" t="s">
        <v>153</v>
      </c>
    </row>
    <row r="43" spans="1:8" ht="20.100000000000001" customHeight="1" x14ac:dyDescent="0.25">
      <c r="D43" s="1" t="s">
        <v>154</v>
      </c>
      <c r="E43" s="120">
        <v>0.3</v>
      </c>
      <c r="F43" s="2" t="s">
        <v>144</v>
      </c>
    </row>
    <row r="44" spans="1:8" ht="20.100000000000001" customHeight="1" x14ac:dyDescent="0.25">
      <c r="D44" s="1" t="s">
        <v>155</v>
      </c>
      <c r="E44" s="49">
        <f>E30*X_Cell_Crop_PercentResidueBurned</f>
        <v>157.5</v>
      </c>
      <c r="F44" s="2" t="s">
        <v>141</v>
      </c>
    </row>
    <row r="45" spans="1:8" ht="20.100000000000001" customHeight="1" x14ac:dyDescent="0.25"/>
    <row r="46" spans="1:8" ht="20.100000000000001" customHeight="1" x14ac:dyDescent="0.25">
      <c r="D46" s="1" t="s">
        <v>156</v>
      </c>
      <c r="E46" s="49">
        <f>E30-X_Cell_Crop_TotalResidueBaled-E40-E44</f>
        <v>309.75</v>
      </c>
      <c r="F46" s="2" t="s">
        <v>141</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12" priority="79" operator="lessThan">
      <formula>0</formula>
    </cfRule>
  </conditionalFormatting>
  <conditionalFormatting sqref="F46">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196</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180</v>
      </c>
      <c r="E9" s="38" t="s">
        <v>221</v>
      </c>
      <c r="F9" s="2" t="s">
        <v>195</v>
      </c>
    </row>
    <row r="10" spans="1:7" ht="20.100000000000001" customHeight="1" x14ac:dyDescent="0.25">
      <c r="A10" s="17" t="str">
        <f>HYPERLINK("#'Input - Crop'!A1", "Crop")</f>
        <v>Crop</v>
      </c>
      <c r="D10" s="1" t="s">
        <v>85</v>
      </c>
      <c r="E10" s="38" t="s">
        <v>225</v>
      </c>
      <c r="F10" s="2" t="s">
        <v>195</v>
      </c>
    </row>
    <row r="11" spans="1:7" ht="20.100000000000001" customHeight="1" x14ac:dyDescent="0.25">
      <c r="A11" s="104" t="str">
        <f>HYPERLINK("#'Input - Pasture'!A1", "Pasture")</f>
        <v>Pasture</v>
      </c>
    </row>
    <row r="12" spans="1:7" ht="20.100000000000001" customHeight="1" x14ac:dyDescent="0.25">
      <c r="D12" s="1" t="s">
        <v>188</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189</v>
      </c>
      <c r="E16" s="83"/>
      <c r="F16" s="79"/>
    </row>
    <row r="17" spans="1:6" ht="20.100000000000001" customHeight="1" x14ac:dyDescent="0.25">
      <c r="A17" s="17" t="str">
        <f>HYPERLINK("#'6.3.1.1-2 Leaching and runoff'!A1", "6.3.1.1-2 Leaching and runoff")</f>
        <v>6.3.1.1-2 Leaching and runoff</v>
      </c>
      <c r="D17" s="85" t="s">
        <v>190</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191</v>
      </c>
      <c r="E19" s="112">
        <f>_xlfn.XLOOKUP(X_Cell_Pasture_PastureType, Table_SourceData_PastureAttributes[Pasture type],Table_SourceData_PastureAttributes[Average Yield (t DM ha) Yp])</f>
        <v>8.34</v>
      </c>
      <c r="F19" s="2" t="s">
        <v>192</v>
      </c>
    </row>
    <row r="20" spans="1:6" ht="20.100000000000001" customHeight="1" x14ac:dyDescent="0.25">
      <c r="A20" s="17" t="str">
        <f>HYPERLINK("#'6.4.1.1-2 Residue burning'!A1", "6.4.1.1-2 Residue burning")</f>
        <v>6.4.1.1-2 Residue burning</v>
      </c>
      <c r="D20" s="1" t="s">
        <v>193</v>
      </c>
      <c r="E20" s="49">
        <f>X_Cell_Pasture_AreaUnderPasture*X_Cell_Pasture_YieldPerHectare</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194</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H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cm="1">
        <f t="array" aca="1" ref="E7" ca="1">Common_InputFunctions.Utility_DisplayFunctionName(E24)</f>
        <v>=AgResidue_Equations_CropResidue.VEERG_6_1_1_1__2__MassOfNitrogenInCropResidues</v>
      </c>
      <c r="F7" s="21"/>
      <c r="G7" s="21"/>
      <c r="H7" s="21"/>
      <c r="J7" s="21"/>
      <c r="L7" s="21"/>
      <c r="M7" s="52" t="str" cm="1">
        <f t="array" ref="M7">"⚠️" &amp; AgResidue_Equations_CropResidue.VEERG_6_1_1_2__1__FractionOfCropResidueRemovedBaled_Variation()</f>
        <v>⚠️VARIATION FROM SOURCE: Added 'baled' to variable subscript</v>
      </c>
      <c r="N7" s="21"/>
      <c r="O7" s="21"/>
      <c r="P7" s="21"/>
      <c r="Q7" s="21"/>
    </row>
    <row r="8" spans="1:20" ht="20.100000000000001" customHeight="1" x14ac:dyDescent="0.25">
      <c r="A8" s="19" t="s">
        <v>0</v>
      </c>
      <c r="F8" s="21"/>
      <c r="G8" s="21"/>
      <c r="H8" s="21"/>
      <c r="J8" s="21"/>
      <c r="L8" s="21"/>
      <c r="M8" s="13" t="s">
        <v>21</v>
      </c>
      <c r="N8" s="13" t="str" cm="1">
        <f t="array" aca="1" ref="N8" ca="1">Common_InputFunctions.Utility_DisplayFunctionName(N21)</f>
        <v>=AgResidue_Equations_CropResidue.VEERG_6_1_1_2__1__FractionOfCropResidueRemovedBaled</v>
      </c>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21"/>
      <c r="N11" s="21"/>
      <c r="O11" s="21"/>
      <c r="P11" s="21"/>
      <c r="Q11" s="21"/>
    </row>
    <row r="12" spans="1:20" ht="20.100000000000001" customHeight="1" x14ac:dyDescent="0.25">
      <c r="D12" s="21"/>
      <c r="E12" s="21"/>
      <c r="F12" s="21"/>
      <c r="G12" s="21"/>
      <c r="J12" s="21"/>
      <c r="L12" s="21"/>
      <c r="M12" s="50" t="s">
        <v>24</v>
      </c>
      <c r="N12" s="1" t="str" cm="1">
        <f t="array" ref="N12">AgResidue_Equations_CropResidue.VEERG_6_1_1_2__1__FractionOfCropResidueRemovedBaled_Variable()</f>
        <v>FFOD_cbaled</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350000</v>
      </c>
      <c r="J13" s="21"/>
      <c r="L13" s="21"/>
      <c r="M13" s="50" t="s">
        <v>15</v>
      </c>
      <c r="N13" s="51" t="str" cm="1">
        <f t="array" ref="N13">AgResidue_Equations_CropResidue.VEERG_6_1_1_2__1__FractionOfCropResidueRemovedBaled_Unit()</f>
        <v>dimensionless</v>
      </c>
      <c r="O13" s="21"/>
      <c r="P13" s="21"/>
      <c r="Q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21"/>
      <c r="N14" s="21"/>
      <c r="O14" s="21"/>
      <c r="P14" s="21"/>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cm="1">
        <f t="array" ref="M15:N19">_xlfn.CHOOSECOLS(AgResidue_Equations_CropResidue.VEERG_6_1_1_2__1__FractionOfCropResidueRemovedBaled_Arguments(), 1, 2)</f>
        <v>B</v>
      </c>
      <c r="N15" s="114" t="str">
        <v>number of bales generated</v>
      </c>
      <c r="O15" s="114" t="str" cm="1">
        <f t="array" ref="O15:P19">_xlfn.CHOOSECOLS(AgResidue_Equations_CropResidue.VEERG_6_1_1_2__1__FractionOfCropResidueRemovedBaled_Arguments(), 3,4)</f>
        <v/>
      </c>
      <c r="P15" s="109" t="str">
        <v>Input</v>
      </c>
      <c r="Q15" s="135">
        <f>X_Cell_Crop_NumberOfBales</f>
        <v>875</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M_B</v>
      </c>
      <c r="N16" s="114" t="str">
        <v>mass of each bale</v>
      </c>
      <c r="O16" s="114" t="str">
        <v>kg</v>
      </c>
      <c r="P16" s="109" t="str">
        <v>Input</v>
      </c>
      <c r="Q16" s="114">
        <f>X_Cell_Crop_AverageWeightPerBale</f>
        <v>60</v>
      </c>
    </row>
    <row r="17" spans="1:17"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P_c</v>
      </c>
      <c r="N17" s="114" t="str">
        <v>annual production of crop c</v>
      </c>
      <c r="O17" s="114" t="str">
        <v>kg</v>
      </c>
      <c r="P17" s="109" t="str">
        <v>Input</v>
      </c>
      <c r="Q17" s="114">
        <f>X_Cell_Crop_TotalProductionOfCrop*10^3</f>
        <v>350000</v>
      </c>
    </row>
    <row r="18" spans="1:17"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R_AGc</v>
      </c>
      <c r="N18" s="114" t="str">
        <v>residue to crop ratio for crop c</v>
      </c>
      <c r="O18" s="114" t="str">
        <v/>
      </c>
      <c r="P18" s="108" t="str">
        <v>Constant</v>
      </c>
      <c r="Q18" s="114">
        <f>'Input - Crop'!$E$18</f>
        <v>1.5</v>
      </c>
    </row>
    <row r="19" spans="1:17"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114" t="str">
        <v>c</v>
      </c>
      <c r="N19" s="114" t="str">
        <v>Crop type</v>
      </c>
      <c r="O19" s="114" t="str">
        <v/>
      </c>
      <c r="P19" s="109" t="str">
        <v>Input</v>
      </c>
      <c r="Q19" s="114" t="str">
        <f>X_Cell_Crop_CropType</f>
        <v>Wheat</v>
      </c>
    </row>
    <row r="20" spans="1:17"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21"/>
      <c r="N20" s="21"/>
      <c r="O20" s="21"/>
      <c r="P20" s="21"/>
      <c r="Q20" s="21"/>
    </row>
    <row r="21" spans="1:17" ht="20.100000000000001" customHeight="1" x14ac:dyDescent="0.25">
      <c r="D21" s="114" t="str">
        <v>c</v>
      </c>
      <c r="E21" s="118" t="str">
        <v>Crop type</v>
      </c>
      <c r="F21" s="117"/>
      <c r="G21" s="114" t="str">
        <v/>
      </c>
      <c r="H21" s="109" t="str">
        <v>Input</v>
      </c>
      <c r="I21" s="114" t="str">
        <f>X_Cell_Crop_CropType</f>
        <v>Wheat</v>
      </c>
      <c r="L21" s="21"/>
      <c r="M21" s="115" t="s">
        <v>174</v>
      </c>
      <c r="N21" s="43" cm="1">
        <f t="array" ref="N21">AgResidue_Equations_CropResidue.VEERG_6_1_1_2__1__FractionOfCropResidueRemovedBaled(Q15,Q16,Q17,Q18)</f>
        <v>0.1</v>
      </c>
    </row>
    <row r="22" spans="1:17"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17" ht="20.100000000000001" customHeight="1" x14ac:dyDescent="0.25">
      <c r="A23" s="141" t="s">
        <v>1</v>
      </c>
      <c r="D23" s="21"/>
      <c r="E23" s="21"/>
      <c r="F23" s="21"/>
      <c r="G23" s="21"/>
      <c r="H23" s="21"/>
      <c r="L23" s="21"/>
      <c r="M23" s="21"/>
      <c r="N23" s="21"/>
      <c r="O23" s="21"/>
      <c r="P23" s="21"/>
      <c r="Q23" s="21"/>
    </row>
    <row r="24" spans="1:17" ht="20.100000000000001" customHeight="1" x14ac:dyDescent="0.25">
      <c r="A24" s="17" t="str">
        <f>HYPERLINK("#'Constants - Ag Residue'!A1", "Constants - Ag Residue")</f>
        <v>Constants - Ag Residue</v>
      </c>
      <c r="D24" s="115" t="s">
        <v>176</v>
      </c>
      <c r="E24" s="134" cm="1">
        <f t="array" ref="E24">AgResidue_Equations_CropResidue.VEERG_6_1_1_1__2__MassOfNitrogenInCropResidues(I13,I14,I16,I17,I18,I19,I15,I20)</f>
        <v>2975.2799999999997</v>
      </c>
      <c r="F24" s="116" t="str">
        <f>$E$11</f>
        <v>kg N</v>
      </c>
      <c r="L24" s="21"/>
      <c r="M24" s="6" t="str" cm="1">
        <f t="array" ref="M24">AgResidue_Equations_CropResidue.VEERG_6_1_1_2__1a__FractionOfCropResidueRemoved_Title()</f>
        <v>Fraction of crop residue that is removed for crop c</v>
      </c>
      <c r="N24" s="21"/>
      <c r="O24" s="21"/>
      <c r="P24" s="21"/>
      <c r="Q24" s="21"/>
    </row>
    <row r="25" spans="1:17" ht="20.100000000000001" customHeight="1" x14ac:dyDescent="0.25">
      <c r="A25" s="17" t="str">
        <f>HYPERLINK("#'Constants - Common'!A1", "Constants - Common")</f>
        <v>Constants - Common</v>
      </c>
      <c r="D25" s="50"/>
      <c r="E25" s="21"/>
      <c r="F25" s="21"/>
      <c r="G25" s="21"/>
      <c r="H25" s="21"/>
      <c r="L25" s="21"/>
      <c r="M25" s="6" t="str" cm="1">
        <f t="array" ref="M25">AgResidue_Equations_CropResidue.VEERG_6_1_1_2__1a__FractionOfCropResidueRemoved_Source()</f>
        <v/>
      </c>
      <c r="N25" s="21"/>
      <c r="O25" s="21"/>
      <c r="P25" s="21"/>
      <c r="Q25" s="21"/>
    </row>
    <row r="26" spans="1:17" ht="20.100000000000001" customHeight="1" x14ac:dyDescent="0.25">
      <c r="D26" s="21"/>
      <c r="E26" s="21"/>
      <c r="F26" s="21"/>
      <c r="G26" s="21"/>
      <c r="H26" s="21"/>
      <c r="L26" s="21"/>
      <c r="M26" s="52" t="str" cm="1">
        <f t="array" ref="M26">"⚠️" &amp; AgResidue_Equations_CropResidue.VEERG_6_1_1_2__1a__FractionOfCropResidueRemoved_Variation()</f>
        <v>⚠️VARIATION FROM SOURCE: Added this equation to accommodate user-defined residue removal other than baling.</v>
      </c>
      <c r="N26" s="21"/>
      <c r="O26" s="21"/>
      <c r="P26" s="21"/>
      <c r="Q26" s="21"/>
    </row>
    <row r="27" spans="1:17" ht="20.100000000000001" customHeight="1" x14ac:dyDescent="0.25">
      <c r="D27" s="133"/>
      <c r="E27" s="133"/>
      <c r="F27" s="133"/>
      <c r="G27" s="133"/>
      <c r="H27" s="133"/>
      <c r="I27" s="133"/>
      <c r="L27" s="21"/>
      <c r="M27" s="21"/>
      <c r="N27" s="21"/>
      <c r="O27" s="21"/>
      <c r="P27" s="21"/>
      <c r="Q27" s="21"/>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17"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21"/>
      <c r="N29" s="21"/>
      <c r="O29" s="21"/>
      <c r="P29" s="52"/>
      <c r="Q29" s="21"/>
    </row>
    <row r="30" spans="1:17" ht="20.100000000000001" customHeight="1" x14ac:dyDescent="0.25">
      <c r="D30" s="13" t="s">
        <v>21</v>
      </c>
      <c r="E30" s="13" t="str">
        <f ca="1">Common_InputFunctions.Utility_DisplayFunctionName(VEERG_6_1_1_1__1__NitrousOxideEmissionsFromCropResidues_Result_Method1)</f>
        <v>=AgResidue_Equations_CropResidue.VEERG_6_1_1_1__1__NitrousOxideEmissionsFromCropResidues</v>
      </c>
      <c r="F30" s="21"/>
      <c r="G30" s="21"/>
      <c r="H30" s="21"/>
      <c r="L30" s="21"/>
      <c r="M30" s="50" t="s">
        <v>24</v>
      </c>
      <c r="N30" s="1" t="str" cm="1">
        <f t="array" ref="N30">AgResidue_Equations_CropResidue.VEERG_6_1_1_2__1a__FractionOfCropResidueRemoved_Variable()</f>
        <v>FFOD_c</v>
      </c>
      <c r="O30" s="21"/>
      <c r="P30" s="21"/>
      <c r="Q30" s="21"/>
    </row>
    <row r="31" spans="1:17" ht="20.100000000000001" customHeight="1" x14ac:dyDescent="0.25">
      <c r="F31" s="21"/>
      <c r="G31" s="21"/>
      <c r="H31" s="21"/>
      <c r="J31" s="21"/>
      <c r="L31" s="21"/>
      <c r="M31" s="50" t="s">
        <v>15</v>
      </c>
      <c r="N31" s="51" t="str" cm="1">
        <f t="array" ref="N31">AgResidue_Equations_CropResidue.VEERG_6_1_1_2__1a__FractionOfCropResidueRemoved_Unit()</f>
        <v>dimensionless</v>
      </c>
      <c r="O31" s="21"/>
      <c r="P31" s="21"/>
      <c r="Q31" s="21"/>
    </row>
    <row r="32" spans="1:17" ht="20.100000000000001" customHeight="1" x14ac:dyDescent="0.25">
      <c r="D32" s="21"/>
      <c r="E32" s="21"/>
      <c r="F32" s="21"/>
      <c r="G32" s="21"/>
      <c r="H32" s="21"/>
      <c r="J32" s="21"/>
      <c r="M32" s="21"/>
      <c r="N32" s="21"/>
      <c r="O32" s="21"/>
      <c r="P32" s="21"/>
      <c r="Q32" s="21"/>
    </row>
    <row r="33" spans="4:20" ht="20.100000000000001" customHeight="1" x14ac:dyDescent="0.25">
      <c r="D33" s="50" t="s">
        <v>24</v>
      </c>
      <c r="E33" s="1" t="str" cm="1">
        <f t="array" ref="E33">AgResidue_Equations_CropResidue.VEERG_6_1_1_1__1__NitrousOxideEmissionsFromCropResidues_Variable()</f>
        <v>E</v>
      </c>
      <c r="F33" s="21"/>
      <c r="G33" s="21"/>
      <c r="H33" s="21"/>
      <c r="J33" s="21"/>
      <c r="M33" s="114" t="str" cm="1">
        <f t="array" ref="M33:N34">_xlfn.CHOOSECOLS(AgResidue_Equations_CropResidue.VEERG_6_1_1_2__1a__FractionOfCropResidueRemoved_Arguments(), 1, 2)</f>
        <v>FFOD_cbaled</v>
      </c>
      <c r="N33" s="114" t="str">
        <v>Fraction of crop residue that is removed for crop c, calculated where residues are baled</v>
      </c>
      <c r="O33" s="114"/>
      <c r="P33" s="114"/>
      <c r="Q33" s="114" t="str" cm="1">
        <f t="array" ref="Q33:R34">_xlfn.CHOOSECOLS(AgResidue_Equations_CropResidue.VEERG_6_1_1_2__1a__FractionOfCropResidueRemoved_Arguments(), 3,4)</f>
        <v>fraction</v>
      </c>
      <c r="R33" s="108" t="str">
        <v>Calculated from 6.1.1.2, (1)</v>
      </c>
      <c r="S33" s="114">
        <f>$N$21</f>
        <v>0.1</v>
      </c>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FFOD_cother</v>
      </c>
      <c r="N34" s="114" t="str">
        <v>Fraction of crop residue that is removed for crop c, calculated where residues are removed by other means</v>
      </c>
      <c r="O34" s="114"/>
      <c r="P34" s="114"/>
      <c r="Q34" s="114" t="str">
        <v>fraction</v>
      </c>
      <c r="R34" s="109" t="str">
        <v>Input</v>
      </c>
      <c r="S34" s="114">
        <f>X_Cell_Crop_PercentResidueGrazed</f>
        <v>0.01</v>
      </c>
    </row>
    <row r="35" spans="4:20" ht="20.100000000000001" customHeight="1" x14ac:dyDescent="0.25">
      <c r="D35" s="21"/>
      <c r="E35" s="21"/>
      <c r="F35" s="21"/>
      <c r="G35" s="21"/>
      <c r="H35" s="21"/>
      <c r="J35" s="21"/>
      <c r="M35" s="21"/>
      <c r="N35" s="21"/>
      <c r="O35" s="21"/>
      <c r="P35" s="21"/>
      <c r="Q35" s="21"/>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E24</f>
        <v>2975.2799999999997</v>
      </c>
      <c r="J36" s="21"/>
      <c r="M36" s="115" t="s">
        <v>175</v>
      </c>
      <c r="N36" s="43" cm="1">
        <f t="array" ref="N36">AgResidue_Equations_CropResidue.VEERG_6_1_1_2__1a__FractionOfCropResidueRemoved($S$33,$S$34)</f>
        <v>0.11</v>
      </c>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L37" s="21"/>
      <c r="M37" s="21"/>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L38" s="21"/>
      <c r="M38" s="21"/>
    </row>
    <row r="39" spans="4:20" ht="20.100000000000001" customHeight="1" x14ac:dyDescent="0.25">
      <c r="D39" s="114" t="str">
        <v>c</v>
      </c>
      <c r="E39" s="118" t="str">
        <v>Crop type</v>
      </c>
      <c r="F39" s="117"/>
      <c r="G39" s="114" t="str">
        <v/>
      </c>
      <c r="H39" s="109" t="str">
        <v>Input</v>
      </c>
      <c r="I39" s="114" t="str">
        <f>X_Cell_Crop_CropType</f>
        <v>Wheat</v>
      </c>
      <c r="J39" s="21"/>
      <c r="L39" s="43"/>
      <c r="M39" s="43"/>
      <c r="N39" s="43"/>
      <c r="O39" s="43"/>
      <c r="P39" s="43"/>
      <c r="Q39" s="43"/>
      <c r="R39" s="43"/>
      <c r="S39" s="43"/>
      <c r="T39" s="43"/>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6" t="str" cm="1">
        <f t="array" ref="M40">AgResidue_Equations_CropResidue.VEERG_6_1_1_1__2__MassOfNitrogenInCropResidues_Title()</f>
        <v>Mass of nitrogen in crop residues returned to the soil</v>
      </c>
      <c r="N40" s="21"/>
      <c r="O40" s="21"/>
      <c r="P40" s="21"/>
      <c r="Q40" s="21"/>
    </row>
    <row r="41" spans="4:20" ht="20.100000000000001" customHeight="1" x14ac:dyDescent="0.25">
      <c r="D41" s="21"/>
      <c r="E41" s="21"/>
      <c r="F41" s="21"/>
      <c r="G41" s="21"/>
      <c r="H41" s="21"/>
      <c r="L41" s="21"/>
      <c r="M41" s="5" t="str" cm="1">
        <f t="array" ref="M41">AgResidue_Equations_CropResidue.VEERG_6_1_1_1__2__MassOfNitrogenInCropResidues_Source()</f>
        <v>VEERG 2026: 6.1.1.1, Equation (2)</v>
      </c>
      <c r="N41" s="21"/>
      <c r="O41" s="21"/>
      <c r="P41" s="21"/>
      <c r="Q41" s="21"/>
    </row>
    <row r="42" spans="4:20" ht="20.100000000000001" customHeight="1" x14ac:dyDescent="0.25">
      <c r="D42" s="91" t="s">
        <v>108</v>
      </c>
      <c r="E42" s="92" cm="1">
        <f t="array" ref="E42">AgResidue_Equations_CropResidue.VEERG_6_1_1_1__1__NitrousOxideEmissionsFromCropResidues(I36,I37,I38)</f>
        <v>2.3377199999999997E-2</v>
      </c>
      <c r="F42" s="93" t="str">
        <f>$E$34</f>
        <v>t N2O</v>
      </c>
      <c r="H42" s="21"/>
      <c r="L42" s="21"/>
      <c r="M42" s="13" t="s">
        <v>21</v>
      </c>
      <c r="N42" s="13" t="str" cm="1">
        <f t="array" aca="1" ref="N42" ca="1">Common_InputFunctions.Utility_DisplayFunctionName(N59)</f>
        <v>=AgResidue_Equations_CropResidue.VEERG_6_1_1_1__2__MassOfNitrogenInCropResidues</v>
      </c>
      <c r="O42" s="21"/>
      <c r="P42" s="21"/>
      <c r="Q42" s="21"/>
    </row>
    <row r="43" spans="4:20" ht="20.100000000000001" customHeight="1" x14ac:dyDescent="0.25">
      <c r="H43" s="21"/>
      <c r="L43" s="21"/>
      <c r="O43" s="21"/>
      <c r="P43" s="21"/>
      <c r="Q43" s="21"/>
    </row>
    <row r="44" spans="4:20" ht="20.100000000000001" customHeight="1" x14ac:dyDescent="0.25">
      <c r="D44" s="53" t="str" cm="1">
        <f t="array" ref="D44:E45">Common_Equations.Common_ConvertN2OToCO2e_Arguments()</f>
        <v>EN2O</v>
      </c>
      <c r="E44" s="54" t="str">
        <v>Nitrous oxide emissions (t N2O)</v>
      </c>
      <c r="F44" s="94"/>
      <c r="G44" s="49">
        <f>VEERG_6_1_1_1__1__NitrousOxideEmissionsFromCropResidues_Result_Method1</f>
        <v>2.3377199999999997E-2</v>
      </c>
      <c r="L44" s="21"/>
      <c r="M44" s="21"/>
      <c r="N44" s="21"/>
      <c r="O44" s="21"/>
      <c r="P44" s="21"/>
      <c r="Q44" s="21"/>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L45" s="21"/>
      <c r="M45" s="50" t="s">
        <v>24</v>
      </c>
      <c r="N45" s="1" t="str" cm="1">
        <f t="array" ref="N45">AgResidue_Equations_CropResidue.VEERG_6_1_1_1__2__MassOfNitrogenInCropResidues_Variable()</f>
        <v>M_c</v>
      </c>
      <c r="O45" s="21"/>
      <c r="P45" s="21"/>
      <c r="Q45" s="21"/>
    </row>
    <row r="46" spans="4:20" ht="20.100000000000001" customHeight="1" x14ac:dyDescent="0.25">
      <c r="H46" s="21"/>
      <c r="J46" s="21"/>
      <c r="L46" s="21"/>
      <c r="M46" s="50" t="s">
        <v>15</v>
      </c>
      <c r="N46" s="51" t="str" cm="1">
        <f t="array" ref="N46">AgResidue_Equations_CropResidue.VEERG_6_1_1_1__2__MassOfNitrogenInCropResidues_Unit()</f>
        <v>kg N</v>
      </c>
      <c r="O46" s="21"/>
      <c r="P46" s="21"/>
      <c r="Q46" s="21"/>
    </row>
    <row r="47" spans="4:20" ht="20.100000000000001" customHeight="1" x14ac:dyDescent="0.25">
      <c r="D47" s="43" t="s">
        <v>78</v>
      </c>
      <c r="E47" s="43" cm="1">
        <f t="array" ref="E47">Common_Equations.Common_ConvertN2OToCO2e(G44,G45)</f>
        <v>6.1949579999999989</v>
      </c>
      <c r="F47" s="95" t="str" cm="1">
        <f t="array" ref="F47">Common_Equations.Common_ConvertN2OToCO2e_Unit()</f>
        <v>t CO2e</v>
      </c>
      <c r="H47" s="21"/>
      <c r="J47" s="21"/>
      <c r="L47" s="21"/>
      <c r="M47" s="21"/>
      <c r="N47" s="21"/>
      <c r="O47" s="21"/>
      <c r="P47" s="21"/>
    </row>
    <row r="48" spans="4:20" ht="20.100000000000001" customHeight="1" x14ac:dyDescent="0.25">
      <c r="D48" s="21"/>
      <c r="E48" s="21"/>
      <c r="F48" s="101"/>
      <c r="G48" s="21"/>
      <c r="H48" s="21"/>
      <c r="I48" s="21"/>
      <c r="J48" s="21"/>
      <c r="L48" s="21"/>
      <c r="M48" s="114" t="str" cm="1">
        <f t="array" ref="M48:N57">_xlfn.CHOOSECOLS(AgResidue_Equations_CropResidue.VEERG_6_1_1_1__2__MassOfNitrogenInCropResidues_Arguments_Method2(), 1, 2)</f>
        <v>P_c</v>
      </c>
      <c r="N48" s="118" t="str">
        <v>annual production of crop c</v>
      </c>
      <c r="O48" s="117"/>
      <c r="P48" s="114" t="str" cm="1">
        <f t="array" ref="P48:Q57">_xlfn.CHOOSECOLS(AgResidue_Equations_CropResidue.VEERG_6_1_1_1__2__MassOfNitrogenInCropResidues_Arguments_Method2(), 3,4)</f>
        <v>kg</v>
      </c>
      <c r="Q48" s="109" t="str">
        <v>Input</v>
      </c>
      <c r="R48" s="114"/>
    </row>
    <row r="49" spans="10:20" ht="20.100000000000001" customHeight="1" x14ac:dyDescent="0.25">
      <c r="J49" s="21"/>
      <c r="M49" s="114" t="str">
        <v>R_AGc</v>
      </c>
      <c r="N49" s="118" t="str">
        <v>residue to crop ratio for crop c</v>
      </c>
      <c r="O49" s="117"/>
      <c r="P49" s="114" t="str">
        <v/>
      </c>
      <c r="Q49" s="108" t="str">
        <v>Constant</v>
      </c>
      <c r="R49" s="114"/>
    </row>
    <row r="50" spans="10:20" ht="20.100000000000001" customHeight="1" x14ac:dyDescent="0.25">
      <c r="J50" s="21"/>
      <c r="M50" s="114" t="str">
        <v>R_BGc</v>
      </c>
      <c r="N50" s="118" t="str">
        <v>below ground-residue to above ground residue ratio for crop c</v>
      </c>
      <c r="O50" s="117"/>
      <c r="P50" s="114" t="str">
        <v/>
      </c>
      <c r="Q50" s="108" t="str">
        <v>Constant</v>
      </c>
      <c r="R50" s="114"/>
    </row>
    <row r="51" spans="10:20" ht="20.100000000000001" customHeight="1" x14ac:dyDescent="0.25">
      <c r="J51" s="21"/>
      <c r="M51" s="114" t="str">
        <v>F_c</v>
      </c>
      <c r="N51" s="118" t="str">
        <v>fraction of crop residue that is burnt for crop c</v>
      </c>
      <c r="O51" s="117"/>
      <c r="P51" s="114" t="str">
        <v>fraction</v>
      </c>
      <c r="Q51" s="109" t="str">
        <v>Input</v>
      </c>
      <c r="R51" s="114"/>
    </row>
    <row r="52" spans="10:20" ht="20.100000000000001" customHeight="1" x14ac:dyDescent="0.25">
      <c r="J52" s="21"/>
      <c r="M52" s="114" t="str">
        <v>FFOD_c</v>
      </c>
      <c r="N52" s="118" t="str">
        <v>fraction of the crop residue that is removed for crop c</v>
      </c>
      <c r="O52" s="117"/>
      <c r="P52" s="114" t="str">
        <v>fraction</v>
      </c>
      <c r="Q52" s="108" t="str">
        <v>Calculated from 6.1.1.2 (1)</v>
      </c>
      <c r="R52" s="114">
        <f>N36</f>
        <v>0.11</v>
      </c>
    </row>
    <row r="53" spans="10:20" ht="20.100000000000001" customHeight="1" x14ac:dyDescent="0.25">
      <c r="M53" s="114" t="str">
        <v>DM_c</v>
      </c>
      <c r="N53" s="118" t="str">
        <v>dry matter content of crop c</v>
      </c>
      <c r="O53" s="117"/>
      <c r="P53" s="114" t="str">
        <v>kg dry weight/kg crop residue</v>
      </c>
      <c r="Q53" s="108" t="str">
        <v>Constant</v>
      </c>
      <c r="R53" s="114"/>
    </row>
    <row r="54" spans="10:20" ht="20.100000000000001" customHeight="1" x14ac:dyDescent="0.25">
      <c r="M54" s="114" t="str">
        <v>NC_AGc</v>
      </c>
      <c r="N54" s="118" t="str">
        <v>nitrogen content of above-ground crop residue of crop c</v>
      </c>
      <c r="O54" s="117"/>
      <c r="P54" s="114" t="str">
        <v>kg N/kg DM</v>
      </c>
      <c r="Q54" s="108" t="str">
        <v>Constant</v>
      </c>
      <c r="R54" s="114"/>
    </row>
    <row r="55" spans="10:20" ht="20.100000000000001" customHeight="1" x14ac:dyDescent="0.25">
      <c r="M55" s="114" t="str">
        <v>NC_BGc</v>
      </c>
      <c r="N55" s="118" t="str">
        <v>nitrogen content of below-ground crop residue of crop c</v>
      </c>
      <c r="O55" s="117"/>
      <c r="P55" s="114" t="str">
        <v>kg N/kg DM</v>
      </c>
      <c r="Q55" s="108" t="str">
        <v>Constant</v>
      </c>
      <c r="R55" s="114"/>
    </row>
    <row r="56" spans="10:20" ht="20.100000000000001" customHeight="1" x14ac:dyDescent="0.25">
      <c r="M56" s="114" t="str">
        <v>c</v>
      </c>
      <c r="N56" s="118" t="str">
        <v>Crop type</v>
      </c>
      <c r="O56" s="117"/>
      <c r="P56" s="114" t="str">
        <v/>
      </c>
      <c r="Q56" s="109" t="str">
        <v>Input</v>
      </c>
      <c r="R56" s="114"/>
    </row>
    <row r="57" spans="10:20" ht="20.100000000000001" customHeight="1" x14ac:dyDescent="0.25">
      <c r="M57" s="114" t="str">
        <v>State</v>
      </c>
      <c r="N57" s="118" t="str">
        <v>State or territory</v>
      </c>
      <c r="O57" s="117"/>
      <c r="P57" s="114" t="str">
        <v/>
      </c>
      <c r="Q57" s="109" t="str">
        <v>Input</v>
      </c>
      <c r="R57" s="114"/>
    </row>
    <row r="58" spans="10:20" ht="20.100000000000001" customHeight="1" x14ac:dyDescent="0.25">
      <c r="M58" s="21"/>
      <c r="N58" s="21"/>
      <c r="O58" s="21"/>
      <c r="P58" s="21"/>
      <c r="Q58" s="21"/>
    </row>
    <row r="59" spans="10:20" ht="20.100000000000001" customHeight="1" x14ac:dyDescent="0.25">
      <c r="M59" s="115" t="s">
        <v>176</v>
      </c>
      <c r="N59" s="134" cm="1">
        <f t="array" ref="N59">AgResidue_Equations_CropResidue.VEERG_6_1_1_1__2__MassOfNitrogenInCropResidues(I13,I14,I16,R52,I18,I19,I15,I20)</f>
        <v>2975.2799999999997</v>
      </c>
      <c r="O59" s="116" t="str">
        <f>$E$11</f>
        <v>kg N</v>
      </c>
    </row>
    <row r="60" spans="10:20" ht="20.100000000000001" customHeight="1" x14ac:dyDescent="0.25">
      <c r="M60" s="50"/>
      <c r="N60" s="21"/>
      <c r="O60" s="21"/>
      <c r="P60" s="21"/>
      <c r="Q60" s="21"/>
    </row>
    <row r="61" spans="10:20" ht="20.100000000000001" customHeight="1" x14ac:dyDescent="0.25">
      <c r="M61" s="21"/>
      <c r="N61" s="21"/>
      <c r="O61" s="21"/>
      <c r="P61" s="21"/>
      <c r="Q61" s="21"/>
    </row>
    <row r="62" spans="10:20" ht="20.100000000000001" customHeight="1" x14ac:dyDescent="0.25">
      <c r="L62" s="133"/>
      <c r="M62" s="133"/>
      <c r="N62" s="133"/>
      <c r="O62" s="133"/>
      <c r="P62" s="133"/>
      <c r="Q62" s="133"/>
      <c r="R62" s="133"/>
      <c r="S62" s="133"/>
      <c r="T62" s="133"/>
    </row>
    <row r="63" spans="10:20" ht="20.100000000000001" customHeight="1" x14ac:dyDescent="0.25">
      <c r="L63" s="21"/>
      <c r="M63" s="6" t="str" cm="1">
        <f t="array" ref="M63">AgResidue_Equations_CropResidue.VEERG_6_1_1_1__1__NitrousOxideEmissionsFromCropResidues_Title()</f>
        <v>Nitrous oxide emissions from the return of crop residues across all crops c to the soil</v>
      </c>
      <c r="N63" s="21"/>
      <c r="O63" s="21"/>
      <c r="P63" s="21"/>
      <c r="Q63" s="21"/>
    </row>
    <row r="64" spans="10:20" ht="20.100000000000001" customHeight="1" x14ac:dyDescent="0.25">
      <c r="M64" s="5" t="str" cm="1">
        <f t="array" ref="M64">AgResidue_Equations_CropResidue.VEERG_6_1_1_1__1__NitrousOxideEmissionsFromCropResidues_Source()</f>
        <v>VEERG 2026: 6.1.1.1, Equation (1)</v>
      </c>
      <c r="N64" s="21"/>
      <c r="O64" s="21"/>
      <c r="P64" s="21"/>
      <c r="Q64" s="21"/>
    </row>
    <row r="65" spans="12:18" ht="20.100000000000001" customHeight="1" x14ac:dyDescent="0.25">
      <c r="L65" s="21"/>
      <c r="M65" s="13" t="s">
        <v>21</v>
      </c>
      <c r="N65" s="13" t="str">
        <f ca="1">Common_InputFunctions.Utility_DisplayFunctionName(VEERG_6_1_1_1__1__NitrousOxideEmissionsFromCropResidues_Result_Method2)</f>
        <v>=AgResidue_Equations_CropResidue.VEERG_6_1_1_1__1__NitrousOxideEmissionsFromCropResidues</v>
      </c>
      <c r="O65" s="21"/>
      <c r="P65" s="21"/>
      <c r="Q65" s="21"/>
    </row>
    <row r="66" spans="12:18" ht="20.100000000000001" customHeight="1" x14ac:dyDescent="0.25">
      <c r="L66" s="21"/>
      <c r="O66" s="21"/>
      <c r="P66" s="21"/>
      <c r="Q66" s="21"/>
    </row>
    <row r="67" spans="12:18" ht="20.100000000000001" customHeight="1" x14ac:dyDescent="0.25">
      <c r="L67" s="21"/>
      <c r="M67" s="21"/>
      <c r="N67" s="21"/>
      <c r="O67" s="21"/>
      <c r="P67" s="21"/>
      <c r="Q67" s="21"/>
    </row>
    <row r="68" spans="12:18" ht="20.100000000000001" customHeight="1" x14ac:dyDescent="0.25">
      <c r="L68" s="21"/>
      <c r="M68" s="50" t="s">
        <v>24</v>
      </c>
      <c r="N68" s="1" t="str" cm="1">
        <f t="array" ref="N68">AgResidue_Equations_CropResidue.VEERG_6_1_1_1__1__NitrousOxideEmissionsFromCropResidues_Variable()</f>
        <v>E</v>
      </c>
      <c r="O68" s="21"/>
      <c r="P68" s="21"/>
      <c r="Q68" s="21"/>
    </row>
    <row r="69" spans="12:18" ht="20.100000000000001" customHeight="1" x14ac:dyDescent="0.25">
      <c r="L69" s="21"/>
      <c r="M69" s="50" t="s">
        <v>15</v>
      </c>
      <c r="N69" s="51" t="str" cm="1">
        <f t="array" ref="N69">AgResidue_Equations_CropResidue.VEERG_6_1_1_1__1__NitrousOxideEmissionsFromCropResidues_Unit()</f>
        <v>t N2O</v>
      </c>
      <c r="O69" s="21"/>
      <c r="P69" s="21"/>
      <c r="Q69" s="21"/>
    </row>
    <row r="70" spans="12:18" ht="20.100000000000001" customHeight="1" x14ac:dyDescent="0.25">
      <c r="L70" s="21"/>
      <c r="M70" s="21"/>
      <c r="N70" s="21"/>
      <c r="O70" s="21"/>
      <c r="P70" s="21"/>
      <c r="Q70" s="21"/>
    </row>
    <row r="71" spans="12:18" ht="20.100000000000001" customHeight="1" x14ac:dyDescent="0.25">
      <c r="L71" s="21"/>
      <c r="M71" s="114" t="str" cm="1">
        <f t="array" ref="M71:N75">_xlfn.CHOOSECOLS(AgResidue_Equations_CropResidue.VEERG_6_1_1_1__1__NitrousOxideEmissionsFromCropResidues_Arguments(), 1, 2)</f>
        <v>M_c</v>
      </c>
      <c r="N71" s="118" t="str">
        <v>mass of nitrogen in crop c residues returned to the soil</v>
      </c>
      <c r="O71" s="117"/>
      <c r="P71" s="114" t="str" cm="1">
        <f t="array" ref="P71:Q75">_xlfn.CHOOSECOLS(AgResidue_Equations_CropResidue.VEERG_6_1_1_1__1__NitrousOxideEmissionsFromCropResidues_Arguments(), 3,4)</f>
        <v>kg N</v>
      </c>
      <c r="Q71" s="108" t="str">
        <v>Calculated from 6.1.1.1 (2)</v>
      </c>
      <c r="R71" s="114">
        <f>N59</f>
        <v>2975.2799999999997</v>
      </c>
    </row>
    <row r="72" spans="12:18" ht="20.100000000000001" customHeight="1" x14ac:dyDescent="0.25">
      <c r="L72" s="21"/>
      <c r="M72" s="114" t="str">
        <v>EF_Ni</v>
      </c>
      <c r="N72" s="118" t="str">
        <v>emission factor for crop residues returned to the soil</v>
      </c>
      <c r="O72" s="117"/>
      <c r="P72" s="114" t="str">
        <v>kg N2O-N/kg N</v>
      </c>
      <c r="Q72" s="108" t="str">
        <v>Constant</v>
      </c>
      <c r="R72" s="114" cm="1">
        <f t="array" ref="R72">Common_InputFunctions.Utility_LookupValueInTableNumber(R75,Table_SourceData_N2OEFOrganicFert[Climate zone type i],Table_SourceData_N2OEFOrganicFert[EF i N2O])</f>
        <v>5.0000000000000001E-3</v>
      </c>
    </row>
    <row r="73" spans="12:18" ht="20.100000000000001" customHeight="1" x14ac:dyDescent="0.25">
      <c r="L73" s="21"/>
      <c r="M73" s="114" t="str">
        <v>C_N2O</v>
      </c>
      <c r="N73" s="118" t="str">
        <v>factor to convert elemental mass of nitrous oxide to molecular mass</v>
      </c>
      <c r="O73" s="117"/>
      <c r="P73" s="114" t="str">
        <v>dimensionless</v>
      </c>
      <c r="Q73" s="108" t="str">
        <v>Constant</v>
      </c>
      <c r="R73" s="114">
        <f>Common_InputFunctions.Utility_LookupValueInTableNumber("N2O",Table_GasToMolecularConversionFactor[Gas],Table_GasToMolecularConversionFactor[Conversion factor combined])</f>
        <v>1.5714285714285714</v>
      </c>
    </row>
    <row r="74" spans="12:18" ht="20.100000000000001" customHeight="1" x14ac:dyDescent="0.25">
      <c r="L74" s="21"/>
      <c r="M74" s="114" t="str">
        <v>c</v>
      </c>
      <c r="N74" s="118" t="str">
        <v>Crop type</v>
      </c>
      <c r="O74" s="117"/>
      <c r="P74" s="114" t="str">
        <v/>
      </c>
      <c r="Q74" s="109" t="str">
        <v>Input</v>
      </c>
      <c r="R74" s="114" t="str">
        <f>X_Cell_Crop_CropType</f>
        <v>Wheat</v>
      </c>
    </row>
    <row r="75" spans="12:18" ht="20.100000000000001" customHeight="1" x14ac:dyDescent="0.25">
      <c r="L75" s="21"/>
      <c r="M75" s="114" t="str">
        <v>i</v>
      </c>
      <c r="N75" s="118" t="str">
        <v>Wet or dry climate zone</v>
      </c>
      <c r="O75" s="117"/>
      <c r="P75" s="114" t="str">
        <v/>
      </c>
      <c r="Q75" s="109" t="str">
        <v>Input</v>
      </c>
      <c r="R75" s="114" t="str">
        <f>X_Cell_Site_WetOrDryClimateZone</f>
        <v>Dry climate zone</v>
      </c>
    </row>
    <row r="76" spans="12:18" ht="20.100000000000001" customHeight="1" x14ac:dyDescent="0.25">
      <c r="L76" s="21"/>
      <c r="M76" s="21"/>
      <c r="N76" s="21"/>
      <c r="O76" s="21"/>
      <c r="P76" s="21"/>
      <c r="Q76" s="21"/>
    </row>
    <row r="77" spans="12:18" ht="20.100000000000001" customHeight="1" x14ac:dyDescent="0.25">
      <c r="L77" s="21"/>
      <c r="M77" s="91" t="s">
        <v>108</v>
      </c>
      <c r="N77" s="92" cm="1">
        <f t="array" ref="N77">AgResidue_Equations_CropResidue.VEERG_6_1_1_1__1__NitrousOxideEmissionsFromCropResidues(R71,R72,R73)</f>
        <v>2.3377199999999997E-2</v>
      </c>
      <c r="O77" s="93" t="str">
        <f>$E$34</f>
        <v>t N2O</v>
      </c>
      <c r="Q77" s="21"/>
    </row>
    <row r="78" spans="12:18" ht="20.100000000000001" customHeight="1" x14ac:dyDescent="0.25">
      <c r="L78" s="21"/>
      <c r="Q78" s="21"/>
    </row>
    <row r="79" spans="12:18" ht="20.100000000000001" customHeight="1" x14ac:dyDescent="0.25">
      <c r="L79" s="21"/>
      <c r="M79" s="53" t="str" cm="1">
        <f t="array" ref="M79:N80">Common_Equations.Common_ConvertN2OToCO2e_Arguments()</f>
        <v>EN2O</v>
      </c>
      <c r="N79" s="54" t="str">
        <v>Nitrous oxide emissions (t N2O)</v>
      </c>
      <c r="O79" s="94"/>
      <c r="P79" s="49">
        <f>VEERG_6_1_1_1__1__NitrousOxideEmissionsFromCropResidues_Result_Method2</f>
        <v>2.3377199999999997E-2</v>
      </c>
    </row>
    <row r="80" spans="12:18" ht="20.100000000000001" customHeight="1" x14ac:dyDescent="0.25">
      <c r="L80" s="21"/>
      <c r="M80" s="53" t="str">
        <v>GWPN2O</v>
      </c>
      <c r="N80" s="54" t="str">
        <v>Global warming potential for nitrous oxide (t CO2-e / t N2O)</v>
      </c>
      <c r="O80" s="94"/>
      <c r="P80" s="49">
        <f>Common_InputFunctions.Utility_LookupValueInTableNumber("N2O",Table_GWPData[Gas],Table_GWPData[CO2-e factor])</f>
        <v>265</v>
      </c>
    </row>
    <row r="81" spans="12:18" ht="20.100000000000001" customHeight="1" x14ac:dyDescent="0.25">
      <c r="L81" s="21"/>
      <c r="Q81" s="21"/>
    </row>
    <row r="82" spans="12:18" ht="20.100000000000001" customHeight="1" x14ac:dyDescent="0.25">
      <c r="L82" s="21"/>
      <c r="M82" s="43" t="s">
        <v>78</v>
      </c>
      <c r="N82" s="43" cm="1">
        <f t="array" ref="N82">Common_Equations.Common_ConvertN2OToCO2e(P79,P80)</f>
        <v>6.1949579999999989</v>
      </c>
      <c r="O82" s="95" t="str" cm="1">
        <f t="array" ref="O82">Common_Equations.Common_ConvertN2OToCO2e_Unit()</f>
        <v>t CO2e</v>
      </c>
      <c r="Q82" s="21"/>
    </row>
    <row r="83" spans="12:18" ht="20.100000000000001" customHeight="1" x14ac:dyDescent="0.25">
      <c r="L83" s="21"/>
      <c r="M83" s="21"/>
      <c r="N83" s="21"/>
      <c r="O83" s="101"/>
      <c r="P83" s="21"/>
      <c r="Q83" s="21"/>
      <c r="R83" s="21"/>
    </row>
    <row r="84" spans="12:18" ht="20.100000000000001" customHeight="1" x14ac:dyDescent="0.25">
      <c r="L84" s="21"/>
    </row>
    <row r="85" spans="12:18" ht="20.100000000000001" customHeight="1" x14ac:dyDescent="0.25">
      <c r="L85" s="21"/>
    </row>
    <row r="86" spans="12:18" ht="20.100000000000001" customHeight="1" x14ac:dyDescent="0.25">
      <c r="L86" s="21"/>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179</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186</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186</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f ca="1">Common_InputFunctions.Utility_DisplayFunctionName(VEERG_6_2_1_1__1__NitrousOxideEmissionsFromPastureResidues_Result_Method1)</f>
        <v>=AgResidue_Equations_PastureResidue.VEERG_6_2_1_1__1__NitrousOxideEmissionsFromPastureResidues</v>
      </c>
      <c r="N27" s="13" t="s">
        <v>21</v>
      </c>
      <c r="O27" s="1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VEERG_6_2_1_1__1__NitrousOxideEmissionsFromPastureResidues_Result_Method1</f>
        <v>5.8320428571428569E-7</v>
      </c>
      <c r="N42" s="53" t="str" cm="1">
        <f t="array" ref="N42:O43">Common_Equations.Common_ConvertN2OToCO2e_Arguments()</f>
        <v>EN2O</v>
      </c>
      <c r="O42" s="54" t="str">
        <v>Nitrous oxide emissions (t N2O)</v>
      </c>
      <c r="P42" s="55"/>
      <c r="Q42" s="53">
        <f>VEERG_6_2_1_1__1__NitrousOxideEmissionsFromPastureResidues_Result_Method2</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187</v>
      </c>
      <c r="E45" s="1" cm="1">
        <f t="array" ref="E45">Common_Equations.Common_ConvertN2OToCO2e(G42,G43)</f>
        <v>1.545491357142857E-4</v>
      </c>
      <c r="F45" s="51" t="str" cm="1">
        <f t="array" ref="F45">Common_Equations.Common_ConvertN2OToCO2e_Unit()</f>
        <v>t CO2e</v>
      </c>
      <c r="N45" s="1" t="s">
        <v>187</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A12"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197</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f>'6.1.1.1-2 Crop residue N2O'!$E$24</f>
        <v>2975.2799999999997</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714.06719999999996</v>
      </c>
      <c r="N24" s="49"/>
      <c r="O24" s="49">
        <f>'6.1.1.1-2 Crop residue N2O'!$N$59</f>
        <v>2975.2799999999997</v>
      </c>
      <c r="P24" s="49"/>
      <c r="Q24" s="49"/>
      <c r="R24" s="49"/>
      <c r="S24" s="49" cm="1">
        <f t="array" ref="S24">AgResidue_Equations_Leaching.VEERG_6_3_1_1__2__MassOfNitrogenLostThroughLeachingAndRunoff(O24,H24,$J$15)</f>
        <v>714.06719999999996</v>
      </c>
    </row>
    <row r="25" spans="1:20" ht="20.100000000000001" customHeight="1" x14ac:dyDescent="0.25">
      <c r="A25" s="17" t="str">
        <f>HYPERLINK("#'Constants - Common'!A1", "Constants - Common")</f>
        <v>Constants - Common</v>
      </c>
      <c r="D25" s="49" t="s">
        <v>200</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f>I24</f>
        <v>714.06719999999996</v>
      </c>
      <c r="E45" s="49" cm="1">
        <f t="array" ref="E45">AgResidue_Equations_Leaching.VEERG_6_3_1_1__1__LeachingAndRunoffEmissionsCropAndPastureResidue(D45,$J$37,$J$38)</f>
        <v>1.2343161599999999E-2</v>
      </c>
      <c r="F45" s="21"/>
      <c r="G45" s="21"/>
      <c r="H45" s="21"/>
      <c r="I45" s="21"/>
      <c r="J45" s="21"/>
      <c r="K45" s="21"/>
      <c r="N45" s="49">
        <f>S24</f>
        <v>714.06719999999996</v>
      </c>
      <c r="O45" s="49" cm="1">
        <f t="array" ref="O45">AgResidue_Equations_Leaching.VEERG_6_3_1_1__1__LeachingAndRunoffEmissionsCropAndPastureResidue(N45,$J$37,$J$38)</f>
        <v>1.2343161599999999E-2</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1.2343469531862857E-2</v>
      </c>
      <c r="F48" s="93" t="str">
        <f>$E$34</f>
        <v>t N2O</v>
      </c>
      <c r="G48" s="21"/>
      <c r="H48" s="21"/>
      <c r="I48" s="21"/>
      <c r="J48" s="21"/>
      <c r="K48" s="21"/>
      <c r="N48" s="138" t="s">
        <v>198</v>
      </c>
      <c r="O48" s="139">
        <f>SUM(O45:O46)</f>
        <v>1.2343469531862857E-2</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VEERG_6_3_1_1__1__LeachingAndRunoffEmissionsCropAndPastureResidue_Result_Method1</f>
        <v>1.2343469531862857E-2</v>
      </c>
      <c r="N50" s="53" t="str" cm="1">
        <f t="array" ref="N50:O51">Common_Equations.Common_ConvertN2OToCO2e_Arguments()</f>
        <v>EN2O</v>
      </c>
      <c r="O50" s="54" t="str">
        <v>Nitrous oxide emissions (t N2O)</v>
      </c>
      <c r="P50" s="94"/>
      <c r="Q50" s="49">
        <f>VEERG_6_3_1_1__1__LeachingAndRunoffEmissionsCropAndPastureResidue_Result_Method2</f>
        <v>1.2343469531862857E-2</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3.2710194259436571</v>
      </c>
      <c r="F53" s="95" t="str" cm="1">
        <f t="array" ref="F53">Common_Equations.Common_ConvertN2OToCO2e_Unit()</f>
        <v>t CO2e</v>
      </c>
      <c r="I53" s="21"/>
      <c r="N53" s="43" t="s">
        <v>78</v>
      </c>
      <c r="O53" s="43" cm="1">
        <f t="array" ref="O53">Common_Equations.Common_ConvertN2OToCO2e(Q50,Q51)</f>
        <v>3.2710194259436571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236</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235</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f>'6.1.1.1-2 Crop residue N2O'!$E$24</f>
        <v>2975.2799999999997</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714.06719999999996</v>
      </c>
      <c r="N24" s="49"/>
      <c r="O24" s="49">
        <f>'6.1.1.1-2 Crop residue N2O'!$N$59</f>
        <v>2975.2799999999997</v>
      </c>
      <c r="P24" s="49"/>
      <c r="Q24" s="49"/>
      <c r="R24" s="49"/>
      <c r="S24" s="49" cm="1">
        <f t="array" ref="S24">AgResidue_Equations_Leaching.VEERG_6_3_1_1__2__MassOfNitrogenLostThroughLeachingAndRunoff(O24,H24,$J$15)</f>
        <v>714.06719999999996</v>
      </c>
    </row>
    <row r="25" spans="1:20" ht="20.100000000000001" customHeight="1" x14ac:dyDescent="0.25">
      <c r="A25" s="17" t="str">
        <f>HYPERLINK("#'Constants - Common'!A1", "Constants - Common")</f>
        <v>Constants - Common</v>
      </c>
      <c r="D25" s="49" t="s">
        <v>200</v>
      </c>
      <c r="E25" s="49" t="s">
        <v>235</v>
      </c>
      <c r="F25" s="49" t="s">
        <v>235</v>
      </c>
      <c r="G25" s="49" t="s">
        <v>235</v>
      </c>
      <c r="H25" s="49" t="s">
        <v>235</v>
      </c>
      <c r="I25" s="49" t="s">
        <v>235</v>
      </c>
      <c r="N25" s="49"/>
      <c r="O25" s="49" t="s">
        <v>235</v>
      </c>
      <c r="P25" s="49"/>
      <c r="Q25" s="49"/>
      <c r="R25" s="49"/>
      <c r="S25" s="49" t="s">
        <v>235</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235</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f>I24</f>
        <v>714.06719999999996</v>
      </c>
      <c r="E45" s="49" cm="1">
        <f t="array" ref="E45">AgResidue_Equations_Leaching.VEERG_6_3_1_1__1__LeachingAndRunoffEmissionsCropAndPastureResidue(D45,$J$37,$J$38)</f>
        <v>1.2343161599999999E-2</v>
      </c>
      <c r="F45" s="21"/>
      <c r="G45" s="21"/>
      <c r="H45" s="21"/>
      <c r="I45" s="21"/>
      <c r="J45" s="21"/>
      <c r="K45" s="21"/>
      <c r="N45" s="49">
        <f>S24</f>
        <v>714.06719999999996</v>
      </c>
      <c r="O45" s="49" cm="1">
        <f t="array" ref="O45">AgResidue_Equations_Leaching.VEERG_6_3_1_1__1__LeachingAndRunoffEmissionsCropAndPastureResidue(N45,$J$37,$J$38)</f>
        <v>1.2343161599999999E-2</v>
      </c>
      <c r="P45" s="21"/>
      <c r="Q45" s="21"/>
    </row>
    <row r="46" spans="3:17" ht="20.100000000000001" customHeight="1" x14ac:dyDescent="0.25">
      <c r="C46" s="21"/>
      <c r="D46" s="49" t="str">
        <f>I25</f>
        <v>N/A</v>
      </c>
      <c r="E46" s="49" t="s">
        <v>235</v>
      </c>
      <c r="F46" s="21"/>
      <c r="G46" s="21"/>
      <c r="H46" s="21"/>
      <c r="I46" s="21"/>
      <c r="J46" s="21"/>
      <c r="K46" s="21"/>
      <c r="N46" s="49" t="str">
        <f>S25</f>
        <v>N/A</v>
      </c>
      <c r="O46" s="49" t="s">
        <v>235</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1.2343161599999999E-2</v>
      </c>
      <c r="F48" s="93" t="str">
        <f>$E$34</f>
        <v>t N2O</v>
      </c>
      <c r="G48" s="21"/>
      <c r="H48" s="21"/>
      <c r="I48" s="21"/>
      <c r="J48" s="21"/>
      <c r="K48" s="21"/>
      <c r="N48" s="138" t="s">
        <v>198</v>
      </c>
      <c r="O48" s="139">
        <f>SUM(O45:O46)</f>
        <v>1.2343161599999999E-2</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VEERG_6_3_1_1__1__LeachingAndRunoffEmissionsCropAndPastureResidue_CropOnly_Result_Method1</f>
        <v>1.2343161599999999E-2</v>
      </c>
      <c r="N50" s="53" t="str" cm="1">
        <f t="array" ref="N50:O51">Common_Equations.Common_ConvertN2OToCO2e_Arguments()</f>
        <v>EN2O</v>
      </c>
      <c r="O50" s="54" t="str">
        <v>Nitrous oxide emissions (t N2O)</v>
      </c>
      <c r="P50" s="94"/>
      <c r="Q50" s="49">
        <f>VEERG_6_3_1_1__1__LeachingAndRunoffEmissionsCropAndPastureResidue_CropOnly_Result_Method2</f>
        <v>1.2343161599999999E-2</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3.2709378239999998</v>
      </c>
      <c r="F53" s="95" t="str" cm="1">
        <f t="array" ref="F53">Common_Equations.Common_ConvertN2OToCO2e_Unit()</f>
        <v>t CO2e</v>
      </c>
      <c r="I53" s="21"/>
      <c r="N53" s="43" t="s">
        <v>78</v>
      </c>
      <c r="O53" s="43" cm="1">
        <f t="array" ref="O53">Common_Equations.Common_ConvertN2OToCO2e(Q50,Q51)</f>
        <v>3.2709378239999998</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tabSelected="1" zoomScaleNormal="100" workbookViewId="0">
      <selection activeCell="H26" sqref="H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234</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235</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t="s">
        <v>235</v>
      </c>
      <c r="F24" s="49" t="s">
        <v>235</v>
      </c>
      <c r="G24" s="49" t="s">
        <v>235</v>
      </c>
      <c r="H24" s="49" t="s">
        <v>235</v>
      </c>
      <c r="I24" s="49" t="s">
        <v>235</v>
      </c>
      <c r="N24" s="49"/>
      <c r="O24" s="49" t="s">
        <v>235</v>
      </c>
      <c r="P24" s="49"/>
      <c r="Q24" s="49"/>
      <c r="R24" s="49"/>
      <c r="S24" s="49" t="s">
        <v>235</v>
      </c>
    </row>
    <row r="25" spans="1:20" ht="20.100000000000001" customHeight="1" x14ac:dyDescent="0.25">
      <c r="A25" s="17" t="str">
        <f>HYPERLINK("#'Constants - Common'!A1", "Constants - Common")</f>
        <v>Constants - Common</v>
      </c>
      <c r="D25" s="49" t="s">
        <v>200</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235</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t="str">
        <f>I24</f>
        <v>N/A</v>
      </c>
      <c r="E45" s="49" t="s">
        <v>235</v>
      </c>
      <c r="F45" s="21"/>
      <c r="G45" s="21"/>
      <c r="H45" s="21"/>
      <c r="I45" s="21"/>
      <c r="J45" s="21"/>
      <c r="K45" s="21"/>
      <c r="N45" s="49" t="str">
        <f>S24</f>
        <v>N/A</v>
      </c>
      <c r="O45" s="49" t="s">
        <v>235</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3.0793186285714277E-7</v>
      </c>
      <c r="F48" s="93" t="str">
        <f>$E$34</f>
        <v>t N2O</v>
      </c>
      <c r="G48" s="21"/>
      <c r="H48" s="21"/>
      <c r="I48" s="21"/>
      <c r="J48" s="21"/>
      <c r="K48" s="21"/>
      <c r="N48" s="138" t="s">
        <v>198</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VEERG_6_3_1_1__1__LeachingAndRunoffEmissionsCropAndPastureResidue_PastureOnly_Result_Method1</f>
        <v>3.0793186285714277E-7</v>
      </c>
      <c r="N50" s="53" t="str" cm="1">
        <f t="array" ref="N50:O51">Common_Equations.Common_ConvertN2OToCO2e_Arguments()</f>
        <v>EN2O</v>
      </c>
      <c r="O50" s="54" t="str">
        <v>Nitrous oxide emissions (t N2O)</v>
      </c>
      <c r="P50" s="94"/>
      <c r="Q50" s="49">
        <f>VEERG_6_3_1_1__1__LeachingAndRunoffEmissionsCropAndPastureResidue_PastureOnly_Result_Method2</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211</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350000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212</v>
      </c>
      <c r="E21" s="43" cm="1">
        <f t="array" ref="E21">AgResidue_Equations_FieldBurning.VEERG_6_4_1_1__3__MassOfCropResidueBurnt(I13,I14,I15,I16,I17,I18)</f>
        <v>62370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62370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4.4692560000000004E-3</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VEERG_6_4_1_1__2__NitrousOxideEmissionsFromBurningOfCropResidues_Result_Method1</f>
        <v>4.4692560000000004E-3</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1.1843528400000001</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62370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108</v>
      </c>
      <c r="E62" s="92" cm="1">
        <f t="array" ref="E62">AgResidue_Equations_FieldBurning.VEERG_6_4_1_1__1__MethaneEmissionsFromBurningOfCropResidues(I56,I57,I58,I59)</f>
        <v>0.116424</v>
      </c>
      <c r="F62" s="93"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VEERG_6_4_1_1__1__MethaneEmissionsFromBurningOfCropResidues_Result_Method1</f>
        <v>0.116424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3.2598720000000001</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157</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168</v>
      </c>
      <c r="E7" s="132" t="s">
        <v>169</v>
      </c>
      <c r="F7" s="132" t="s">
        <v>170</v>
      </c>
      <c r="G7" s="132" t="s">
        <v>171</v>
      </c>
      <c r="H7" s="132" t="s">
        <v>172</v>
      </c>
      <c r="I7" s="132" t="s">
        <v>227</v>
      </c>
      <c r="J7" s="132" t="s">
        <v>228</v>
      </c>
      <c r="K7" s="132" t="s">
        <v>229</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158</v>
      </c>
      <c r="F19" t="s">
        <v>159</v>
      </c>
      <c r="G19" t="s">
        <v>160</v>
      </c>
      <c r="H19" t="s">
        <v>161</v>
      </c>
      <c r="I19" t="s">
        <v>162</v>
      </c>
      <c r="J19" t="s">
        <v>163</v>
      </c>
      <c r="K19" t="s">
        <v>164</v>
      </c>
      <c r="L19" t="s">
        <v>165</v>
      </c>
      <c r="N19" s="6" t="s">
        <v>222</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223</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224</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225</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226</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177</v>
      </c>
      <c r="E43" s="106" t="s">
        <v>178</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180</v>
      </c>
      <c r="E51" s="36" t="s">
        <v>181</v>
      </c>
      <c r="F51" s="36" t="s">
        <v>182</v>
      </c>
      <c r="G51" s="36" t="s">
        <v>183</v>
      </c>
      <c r="H51" s="36" t="s">
        <v>184</v>
      </c>
      <c r="I51" s="36" t="s">
        <v>185</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213</v>
      </c>
      <c r="E62" s="36" t="s">
        <v>214</v>
      </c>
      <c r="F62" s="36" t="s">
        <v>215</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166</v>
      </c>
      <c r="E73" t="s">
        <v>5</v>
      </c>
      <c r="F73" t="s">
        <v>167</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166</v>
      </c>
      <c r="E92" t="s">
        <v>5</v>
      </c>
      <c r="F92" t="s">
        <v>167</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27930-E77D-466C-952D-4504FA818AAA}">
  <dimension ref="A1:BY259"/>
  <sheetViews>
    <sheetView showGridLines="0" topLeftCell="A86" zoomScaleNormal="100" workbookViewId="0">
      <selection activeCell="A24" sqref="A2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Crop'!A1", "Crop")</f>
        <v>Crop</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s="17" t="str">
        <f>HYPERLINK("#'Input - Pasture'!A1", "Pasture")</f>
        <v>Pasture</v>
      </c>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8" t="s">
        <v>68</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HYPERLINK("#'6.1.1.1-2 Crop residue N2O'!A1", "6.1.1.1-2 Crop residue N2O")</f>
        <v>6.1.1.1-2 Crop residue N2O</v>
      </c>
    </row>
    <row r="16" spans="1:65" ht="20.100000000000001" customHeight="1" x14ac:dyDescent="0.25">
      <c r="A16" s="17" t="str">
        <f>HYPERLINK("#'6.2.1.1-2 Pasture residue N2O'!A1", "6.2.1.1-2 Pasture residue N2O")</f>
        <v>6.2.1.1-2 Pasture residue N2O</v>
      </c>
    </row>
    <row r="17" spans="1:4" ht="20.100000000000001" customHeight="1" x14ac:dyDescent="0.25">
      <c r="A17" s="17" t="str">
        <f>HYPERLINK("#'6.3.1.1-2 Leaching and runoff'!A1", "6.3.1.1-2 Leaching and runoff")</f>
        <v>6.3.1.1-2 Leaching and runoff</v>
      </c>
    </row>
    <row r="18" spans="1:4" ht="20.100000000000001" customHeight="1" x14ac:dyDescent="0.25">
      <c r="A18" s="17" t="str">
        <f>HYPERLINK("#'6.3.1.1-2 Leach runoff crop'!A1", "6.3.1.1-2 Leach runoff crop")</f>
        <v>6.3.1.1-2 Leach runoff crop</v>
      </c>
      <c r="D18" s="6" t="str" cm="1">
        <f t="array" ref="D18">Common_SourceData.Common_SourceData_WASA4Areas_Title()</f>
        <v>ABS Statistcal Areas Level 4 - Western Australia</v>
      </c>
    </row>
    <row r="19" spans="1:4" ht="20.100000000000001" customHeight="1" x14ac:dyDescent="0.25">
      <c r="A19" s="17" t="str">
        <f>HYPERLINK("#'6.3.1.1-2 Leach runoff pasture'!A1", "6.3.1.1-2 Leach runoff pasture")</f>
        <v>6.3.1.1-2 Leach runoff pasture</v>
      </c>
      <c r="D19" s="5" t="str" cm="1">
        <f t="array" ref="D19">Common_SourceData.Common_SourceData_WASA4Areas_Source()</f>
        <v>Australian Bureau of Statistics (ABS) - Statistical Areas Level 2 - 2021 - Shapefile</v>
      </c>
    </row>
    <row r="20" spans="1:4" ht="20.100000000000001" customHeight="1" x14ac:dyDescent="0.25">
      <c r="A20" s="17" t="str">
        <f>HYPERLINK("#'6.4.1.1-2 Residue burning'!A1", "6.4.1.1-2 Residue burning")</f>
        <v>6.4.1.1-2 Residue burning</v>
      </c>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s="141" t="s">
        <v>1</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Ag Residue'!A1", "Constants - Ag Residue")</f>
        <v>Constants - Ag Residue</v>
      </c>
      <c r="D24" s="36" t="str" cm="1">
        <f t="array" ref="D24">Common_InputFunctions.Utility_DisplayArrayInTable(Common_SourceData.Common_SourceData_WASA4Areas_Data(), Table_WASA4Areas[[#Headers],[SA 4 Name]], 0)</f>
        <v>Perth - North East</v>
      </c>
    </row>
    <row r="25" spans="1:4" ht="20.100000000000001" customHeight="1" x14ac:dyDescent="0.25">
      <c r="A25" s="128" t="str">
        <f>HYPERLINK("#'Constants - Common'!A1", "Constants - Common")</f>
        <v>Constants - Common</v>
      </c>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119</v>
      </c>
      <c r="E257" s="36" t="s">
        <v>120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EEAZwByAGUAcwBpAGQAdQBlAF8AUwBvAHUAcgBjAGUARABhAHQAYQAuAEMAcgBvAHAAUAB1AHIAcABvAHMAZQBBAG4AZABZAGkAZQBsAGQAXwBUAGkAdABsAGUAIgAsACIAQQBnAHIAZQBzAGkAZAB1AGUAXwBTAG8AdQByAGMAZQBEAGEAdABhAC4AQwByAG8AcABQAHUAcgBwAG8AcwBlAEEAbgBkAFkAaQBlAGwAZABfAEQAYQB0AGEAIgAsACIAQQBnAHIAZQBzAGkAZAB1AGUAXwBTAG8AdQByAGMAZQBEAGEAdABhAC4AQwByAG8AcABBAHQAdAByAGkAYgB1AHQAZQBzAF8AVABpAHQAbABlACIALAAiAEEAZwByAGUAcwBpAGQAdQBlAF8AUwBvAHUAcgBjAGUARABhAHQAYQAuAEMAcgBvAHAAQQB0AHQAcgBpAGIAdQB0AGUAcwBfAEQAZQBzAGMAcgBpAHAAdABpAG8AbgAiACwAIgBBAGcAcgBlAHMAaQBkAHUAZQBfAFMAbwB1AHIAYwBlAEQAYQB0AGEALgBDAHIAbwBwAEEAdAB0AHIAaQBiAHUAdABlAHMAXwBTAG8AdQByAGMAZQAiACwAIgBBAGcAcgBlAHMAaQBkAHUAZQBfAFMAbwB1AHIAYwBlAEQAYQB0AGEALgBDAHIAbwBwAEEAdAB0AHIAaQBiAHUAdABlAHMAXwBEAGEAdABhACIALAAiAEEAZwByAGUAcwBpAGQAdQBlAF8AUwBvAHUAcgBjAGUARABhAHQAYQAuAEMAcgBvAHAAQQB0AHQAcgBpAGIAdQB0AGUAcwBfAFYAYQByAGkAYQB0AGkAbwBuACIALAAiAEEAZwByAGUAcwBpAGQAdQBlAF8AUwBvAHUAcgBjAGUARABhAHQAYQAuAEMAcgBvAHAARgByAGEAYwB0AGkAbwBuAFIAZQBtAG8AdgBlAGQAXwBUAGkAdABsAGUAIgAsACIAQQBnAHIAZQBzAGkAZAB1AGUAXwBTAG8AdQByAGMAZQBEAGEAdABhAC4AQwByAG8AcABGAHIAYQBjAHQAaQBvAG4AUgBlAG0AbwB2AGUAZABfAEQAZQBzAGMAcgBpAHAAdABpAG8AbgAiACwAIgBBAGcAcgBlAHMAaQBkAHUAZQBfAFMAbwB1AHIAYwBlAEQAYQB0AGEALgBDAHIAbwBwAEYAcgBhAGMAdABpAG8AbgBSAGUAbQBvAHYAZQBkAF8AUwBvAHUAcgBjAGUAIgAsACIAQQBnAHIAZQBzAGkAZAB1AGUAXwBTAG8AdQByAGMAZQBEAGEAdABhAC4AQwByAG8AcABGAHIAYQBjAHQAaQBvAG4AUgBlAG0AbwB2AGUAZABfAEQAYQB0AGEAIgAsACIAQQBnAHIAZQBzAGkAZAB1AGUAXwBTAG8AdQByAGMAZQBEAGEAdABhAC4AQwByAG8AcABGAHIAYQBjAHQAaQBvAG4AUgBlAG0AbwB2AGUAZABfAEMAdQBzAHQAbwBtAGkAcwBlAGQARABhAHQAYQAiACwAIgBBAGcAcgBlAHMAaQBkAHUAZQBfAFMAbwB1AHIAYwBlAEQAYQB0AGEALgBDAHIAbwBwAEYAcgBhAGMAdABpAG8AbgBSAGUAbQBvAHYAZQBkAF8AVgBhAHIAaQBhAHQAaQBvAG4AIgAsACIAQQBnAHIAZQBzAGkAZAB1AGUAXwBTAG8AdQByAGMAZQBEAGEAdABhAC4AUABhAHMAdAB1AHIAZQBBAHQAdAByAGkAYgB1AHQAZQBzAF8AVABpAHQAbABlACIALAAiAEEAZwByAGUAcwBpAGQAdQBlAF8AUwBvAHUAcgBjAGUARABhAHQAYQAuAFAAYQBzAHQAdQByAGUAQQB0AHQAcgBpAGIAdQB0AGUAcwBfAEQAZQBzAGMAcgBpAHAAdABpAG8AbgAiACwAIgBBAGcAcgBlAHMAaQBkAHUAZQBfAFMAbwB1AHIAYwBlAEQAYQB0AGEALgBQAGEAcwB0AHUAcgBlAEEAdAB0AHIAaQBiAHUAdABlAHMAXwBTAG8AdQByAGMAZQAiACwAIgBBAGcAcgBlAHMAaQBkAHUAZQBfAFMAbwB1AHIAYwBlAEQAYQB0AGEALgBQAGEAcwB0AHUAcgBlAEEAdAB0AHIAaQBiAHUAdABlAHMAXwBEAGEAdABhACIALAAiAEEAZwByAGUAcwBpAGQAdQBlAF8AUwBvAHUAcgBjAGUARABhAHQAYQAuAEIAdQByAG4AaQBuAGcATwBmAEEAZwByAGkAYwB1AGwAdAB1AHIAYQBsAFIAZQBzAGkAZAB1AGUAcwBFAEYAcwBfAFQAaQB0AGwAZQAiACwAIgBBAGcAcgBlAHMAaQBkAHUAZQBfAFMAbwB1AHIAYwBlAEQAYQB0AGEALgBCAHUAcgBuAGkAbgBnAE8AZgBBAGcAcgBpAGMAdQBsAHQAdQByAGEAbABSAGUAcwBpAGQAdQBlAHMARQBGAHMAXwBEAGUAcwBjAHIAaQBwAHQAaQBvAG4AIgAsACIAQQBnAHIAZQBzAGkAZAB1AGUAXwBTAG8AdQByAGMAZQBEAGEAdABhAC4AQgB1AHIAbgBpAG4AZwBPAGYAQQBnAHIAaQBjAHUAbAB0AHUAcgBhAGwAUgBlAHMAaQBkAHUAZQBzAEUARgBzAF8AUwBvAHUAcgBjAGUAIgAsACIAQQBnAHIAZQBzAGkAZAB1AGUAXwBTAG8AdQByAGMAZQBEAGEAdABhAC4AQgB1AHIAbgBpAG4AZwBPAGYAQQBnAHIAaQBjAHUAbAB0AHUAcgBhAGwAUgBlAHMAaQBkAHUAZQBzAEUARgBzAF8ARABhAHQAYQAiACwAIgBBAGcAcgBlAHMAaQBkAHUAZQBfAFMAbwB1AHIAYwBlAEQAYQB0AGEALgBOADIATwBFAEYATwByAGcAYQBuAGkAYwBGAGUAcgB0AGkAbABpAHMAZQByAF8AVABpAHQAbABlACIALAAiAEEAZwByAGUAcwBpAGQAdQBlAF8AUwBvAHUAcgBjAGUARABhAHQAYQAuAE4AMgBPAEUARgBPAHIAZwBhAG4AaQBjAEYAZQByAHQAaQBsAGkAcwBlAHIAXwBVAG4AaQB0ACIALAAiAEEAZwByAGUAcwBpAGQAdQBlAF8AUwBvAHUAcgBjAGUARABhAHQAYQAuAE4AMgBPAEUARgBPAHIAZwBhAG4AaQBjAEYAZQByAHQAaQBsAGkAcwBlAHIAXwBTAG8AdQByAGMAZQAiACwAIgBBAGcAcgBlAHMAaQBkAHUAZQBfAFMAbwB1AHIAYwBlAEQAYQB0AGEALgBOADIATwBFAEYATwByAGcAYQBuAGkAYwBGAGUAcgB0AGkAbABpAHMAZQByAF8ATgBJAFIAUgBlAGYAZQByAGUAbgBjAGUAIgAsACIAQQBnAHIAZQBzAGkAZAB1AGUAXwBTAG8AdQByAGMAZQBEAGEAdABhAC4ATgAyAE8ARQBGAE8AcgBnAGEAbgBpAGMARgBlAHIAdABpAGwAaQBzAGUAcgBfAEQAYQB0AGEAIgAsACIAQQBnAFIAZQBzAGkAZAB1AGUAXwBFAHEAdQBhAHQAaQBvAG4AcwBfAEMAcgBvAHAAUgBlAHMAaQBkAHUAZQAuAFYARQBFAFIARwBfADYAXwAxAF8AMQBfADEAXwBfADEAXwBfAE4AaQB0AHIAbwB1AHMATwB4AGkAZABlAEUAbQBpAHMAcwBpAG8AbgBzAEYAcgBvAG0AQwByAG8AcABSAGUAcwBpAGQAdQBlAHMAIgAsACIAQQBnAFIAZQBzAGkAZAB1AGUAXwBFAHEAdQBhAHQAaQBvAG4AcwBfAEMAcgBvAHAAUgBlAHMAaQBkAHUAZQAuAFYARQBFAFIARwBfADYAXwAxAF8AMQBfADEAXwBfADEAXwBfAE4AaQB0AHIAbwB1AHMATwB4AGkAZABlAEUAbQBpAHMAcwBpAG8AbgBzAEYAcgBvAG0AQwByAG8AcABSAGUAcwBpAGQAdQBlAHMAXwBGAHUAbgBjAHQAaQBvAG4ATgBhAG0AZQAiACwAIgBBAGcAUgBlAHMAaQBkAHUAZQBfAEUAcQB1AGEAdABpAG8AbgBzAF8AQwByAG8AcABSAGUAcwBpAGQAdQBlAC4AVgBFAEUAUgBHAF8ANgBfADEAXwAxAF8AMQBfAF8AMQBfAF8ATgBpAHQAcgBvAHUAcwBPAHgAaQBkAGUARQBtAGkAcwBzAGkAbwBuAHMARgByAG8AbQBDAHIAbwBwAFIAZQBzAGkAZAB1AGUAcwBfAFQAaQB0AGwAZQAiACwAIgBBAGcAUgBlAHMAaQBkAHUAZQBfAEUAcQB1AGEAdABpAG8AbgBzAF8AQwByAG8AcABSAGUAcwBpAGQAdQBlAC4AVgBFAEUAUgBHAF8ANgBfADEAXwAxAF8AMQBfAF8AMQBfAF8ATgBpAHQAcgBvAHUAcwBPAHgAaQBkAGUARQBtAGkAcwBzAGkAbwBuAHMARgByAG8AbQBDAHIAbwBwAFIAZQBzAGkAZAB1AGUAcwBfAFYAYQByAGkAYQBiAGwAZQAiACwAIgBBAGcAUgBlAHMAaQBkAHUAZQBfAEUAcQB1AGEAdABpAG8AbgBzAF8AQwByAG8AcABSAGUAcwBpAGQAdQBlAC4AVgBFAEUAUgBHAF8ANgBfADEAXwAxAF8AMQBfAF8AMQBfAF8ATgBpAHQAcgBvAHUAcwBPAHgAaQBkAGUARQBtAGkAcwBzAGkAbwBuAHMARgByAG8AbQBDAHIAbwBwAFIAZQBzAGkAZAB1AGUAcwBfAFUAbgBpAHQAIgAsACIAQQBnAFIAZQBzAGkAZAB1AGUAXwBFAHEAdQBhAHQAaQBvAG4AcwBfAEMAcgBvAHAAUgBlAHMAaQBkAHUAZQAuAFYARQBFAFIARwBfADYAXwAxAF8AMQBfADEAXwBfADEAXwBfAE4AaQB0AHIAbwB1AHMATwB4AGkAZABlAEUAbQBpAHMAcwBpAG8AbgBzAEYAcgBvAG0AQwByAG8AcABSAGUAcwBpAGQAdQBlAHMAXwBTAG8AdQByAGMAZQAiACwAIgBBAGcAUgBlAHMAaQBkAHUAZQBfAEUAcQB1AGEAdABpAG8AbgBzAF8AQwByAG8AcABSAGUAcwBpAGQAdQBlAC4AVgBFAEUAUgBHAF8ANgBfADEAXwAxAF8AMQBfAF8AMQBfAF8ATgBpAHQAcgBvAHUAcwBPAHgAaQBkAGUARQBtAGkAcwBzAGkAbwBuAHMARgByAG8AbQBDAHIAbwBwAFIAZQBzAGkAZAB1AGUAcwBfAE4ASQBSAFIAZQBmAGUAcgBlAG4AYwBlACIALAAiAEEAZwBSAGUAcwBpAGQAdQBlAF8ARQBxAHUAYQB0AGkAbwBuAHMAXwBDAHIAbwBwAFIAZQBzAGkAZAB1AGUALgBWAEUARQBSAEcAXwA2AF8AMQBfADEAXwAxAF8AXwAxAF8AXwBOAGkAdAByAG8AdQBzAE8AeABpAGQAZQBFAG0AaQBzAHMAaQBvAG4AcwBGAHIAbwBtAEMAcgBvAHAAUgBlAHMAaQBkAHUAZQBzAF8ATABhAHQAZQB4AEUAcQB1AGEAdABpAG8AbgAiACwAIgBBAGcAUgBlAHMAaQBkAHUAZQBfAEUAcQB1AGEAdABpAG8AbgBzAF8AQwByAG8AcABSAGUAcwBpAGQAdQBlAC4AVgBFAEUAUgBHAF8ANgBfADEAXwAxAF8AMQBfAF8AMQBfAF8ATgBpAHQAcgBvAHUAcwBPAHgAaQBkAGUARQBtAGkAcwBzAGkAbwBuAHMARgByAG8AbQBDAHIAbwBwAFIAZQBzAGkAZAB1AGUAcwBfAEEAcgBnAHUAbQBlAG4AdABzACIALAAiAEEAZwBSAGUAcwBpAGQAdQBlAF8ARQBxAHUAYQB0AGkAbwBuAHMAXwBDAHIAbwBwAFIAZQBzAGkAZAB1AGUALgBWAEUARQBSAEcAXwA2AF8AMQBfADEAXwAxAF8AXwAyAF8AXwBNAGEAcwBzAE8AZgBOAGkAdAByAG8AZwBlAG4ASQBuAEMAcgBvAHAAUgBlAHMAaQBkAHUAZQBzACIALAAiAEEAZwBSAGUAcwBpAGQAdQBlAF8ARQBxAHUAYQB0AGkAbwBuAHMAXwBDAHIAbwBwAFIAZQBzAGkAZAB1AGUALgBWAEUARQBSAEcAXwA2AF8AMQBfADEAXwAxAF8AXwAyAF8AXwBNAGEAcwBzAE8AZgBOAGkAdAByAG8AZwBlAG4ASQBuAEMAcgBvAHAAUgBlAHMAaQBkAHUAZQBzAF8AVABpAHQAbABlACIALAAiAEEAZwBSAGUAcwBpAGQAdQBlAF8ARQBxAHUAYQB0AGkAbwBuAHMAXwBDAHIAbwBwAFIAZQBzAGkAZAB1AGUALgBWAEUARQBSAEcAXwA2AF8AMQBfADEAXwAxAF8AXwAyAF8AXwBNAGEAcwBzAE8AZgBOAGkAdAByAG8AZwBlAG4ASQBuAEMAcgBvAHAAUgBlAHMAaQBkAHUAZQBzAF8AVgBhAHIAaQBhAGIAbABlACIALAAiAEEAZwBSAGUAcwBpAGQAdQBlAF8ARQBxAHUAYQB0AGkAbwBuAHMAXwBDAHIAbwBwAFIAZQBzAGkAZAB1AGUALgBWAEUARQBSAEcAXwA2AF8AMQBfADEAXwAxAF8AXwAyAF8AXwBNAGEAcwBzAE8AZgBOAGkAdAByAG8AZwBlAG4ASQBuAEMAcgBvAHAAUgBlAHMAaQBkAHUAZQBzAF8AVQBuAGkAdAAiACwAIgBBAGcAUgBlAHMAaQBkAHUAZQBfAEUAcQB1AGEAdABpAG8AbgBzAF8AQwByAG8AcABSAGUAcwBpAGQAdQBlAC4AVgBFAEUAUgBHAF8ANgBfADEAXwAxAF8AMQBfAF8AMgBfAF8ATQBhAHMAcwBPAGYATgBpAHQAcgBvAGcAZQBuAEkAbgBDAHIAbwBwAFIAZQBzAGkAZAB1AGUAcwBfAFMAbwB1AHIAYwBlACIALAAiAEEAZwBSAGUAcwBpAGQAdQBlAF8ARQBxAHUAYQB0AGkAbwBuAHMAXwBDAHIAbwBwAFIAZQBzAGkAZAB1AGUALgBWAEUARQBSAEcAXwA2AF8AMQBfADEAXwAxAF8AXwAyAF8AXwBNAGEAcwBzAE8AZgBOAGkAdAByAG8AZwBlAG4ASQBuAEMAcgBvAHAAUgBlAHMAaQBkAHUAZQBzAF8ATgBJAFIAUgBlAGYAZQByAGUAbgBjAGUAIgAsACIAQQBnAFIAZQBzAGkAZAB1AGUAXwBFAHEAdQBhAHQAaQBvAG4AcwBfAEMAcgBvAHAAUgBlAHMAaQBkAHUAZQAuAFYARQBFAFIARwBfADYAXwAxAF8AMQBfADEAXwBfADIAXwBfAE0AYQBzAHMATwBmAE4AaQB0AHIAbwBnAGUAbgBJAG4AQwByAG8AcABSAGUAcwBpAGQAdQBlAHMAXwBMAGEAdABlAHgARQBxAHUAYQB0AGkAbwBuACIALAAiAEEAZwBSAGUAcwBpAGQAdQBlAF8ARQBxAHUAYQB0AGkAbwBuAHMAXwBDAHIAbwBwAFIAZQBzAGkAZAB1AGUALgBWAEUARQBSAEcAXwA2AF8AMQBfADEAXwAxAF8AXwAyAF8AXwBNAGEAcwBzAE8AZgBOAGkAdAByAG8AZwBlAG4ASQBuAEMAcgBvAHAAUgBlAHMAaQBkAHUAZQBzAF8AQQByAGcAdQBtAGUAbgB0AHMAIgAsACIAQQBnAFIAZQBzAGkAZAB1AGUAXwBFAHEAdQBhAHQAaQBvAG4AcwBfAEMAcgBvAHAAUgBlAHMAaQBkAHUAZQAuAFYARQBFAFIARwBfADYAXwAxAF8AMQBfADEAXwBfADIAXwBfAE0AYQBzAHMATwBmAE4AaQB0AHIAbwBnAGUAbgBJAG4AQwByAG8AcABSAGUAcwBpAGQAdQBlAHMAXwBBAHIAZwB1AG0AZQBuAHQAcwBfAE0AZQB0AGgAbwBkADIAIgAsACIAQQBnAFIAZQBzAGkAZAB1AGUAXwBFAHEAdQBhAHQAaQBvAG4AcwBfAEMAcgBvAHAAUgBlAHMAaQBkAHUAZQAuAFYARQBFAFIARwBfADYAXwAxAF8AMQBfADIAXwBfADEAXwBfAEYAcgBhAGMAdABpAG8AbgBPAGYAQwByAG8AcABSAGUAcwBpAGQAdQBlAFIAZQBtAG8AdgBlAGQAQgBhAGwAZQBkACIALAAiAEEAZwBSAGUAcwBpAGQAdQBlAF8ARQBxAHUAYQB0AGkAbwBuAHMAXwBDAHIAbwBwAFIAZQBzAGkAZAB1AGUALgBWAEUARQBSAEcAXwA2AF8AMQBfADEAXwAyAF8AXwAxAF8AXwBGAHIAYQBjAHQAaQBvAG4ATwBmAEMAcgBvAHAAUgBlAHMAaQBkAHUAZQBSAGUAbQBvAHYAZQBkAEIAYQBsAGUAZABfAFQAaQB0AGwAZQAiACwAIgBBAGcAUgBlAHMAaQBkAHUAZQBfAEUAcQB1AGEAdABpAG8AbgBzAF8AQwByAG8AcABSAGUAcwBpAGQAdQBlAC4AVgBFAEUAUgBHAF8ANgBfADEAXwAxAF8AMgBfAF8AMQBfAF8ARgByAGEAYwB0AGkAbwBuAE8AZgBDAHIAbwBwAFIAZQBzAGkAZAB1AGUAUgBlAG0AbwB2AGUAZABCAGEAbABlAGQAXwBWAGEAcgBpAGEAYgBsAGUAIgAsACIAQQBnAFIAZQBzAGkAZAB1AGUAXwBFAHEAdQBhAHQAaQBvAG4AcwBfAEMAcgBvAHAAUgBlAHMAaQBkAHUAZQAuAFYARQBFAFIARwBfADYAXwAxAF8AMQBfADIAXwBfADEAXwBfAEYAcgBhAGMAdABpAG8AbgBPAGYAQwByAG8AcABSAGUAcwBpAGQAdQBlAFIAZQBtAG8AdgBlAGQAQgBhAGwAZQBkAF8AVQBuAGkAdAAiACwAIgBBAGcAUgBlAHMAaQBkAHUAZQBfAEUAcQB1AGEAdABpAG8AbgBzAF8AQwByAG8AcABSAGUAcwBpAGQAdQBlAC4AVgBFAEUAUgBHAF8ANgBfADEAXwAxAF8AMgBfAF8AMQBfAF8ARgByAGEAYwB0AGkAbwBuAE8AZgBDAHIAbwBwAFIAZQBzAGkAZAB1AGUAUgBlAG0AbwB2AGUAZABCAGEAbABlAGQAXwBTAG8AdQByAGMAZQAiACwAIgBBAGcAUgBlAHMAaQBkAHUAZQBfAEUAcQB1AGEAdABpAG8AbgBzAF8AQwByAG8AcABSAGUAcwBpAGQAdQBlAC4AVgBFAEUAUgBHAF8ANgBfADEAXwAxAF8AMgBfAF8AMQBfAF8ARgByAGEAYwB0AGkAbwBuAE8AZgBDAHIAbwBwAFIAZQBzAGkAZAB1AGUAUgBlAG0AbwB2AGUAZABCAGEAbABlAGQAXwBOAEkAUgBSAGUAZgBlAHIAZQBuAGMAZQAiACwAIgBBAGcAUgBlAHMAaQBkAHUAZQBfAEUAcQB1AGEAdABpAG8AbgBzAF8AQwByAG8AcABSAGUAcwBpAGQAdQBlAC4AVgBFAEUAUgBHAF8ANgBfADEAXwAxAF8AMgBfAF8AMQBfAF8ARgByAGEAYwB0AGkAbwBuAE8AZgBDAHIAbwBwAFIAZQBzAGkAZAB1AGUAUgBlAG0AbwB2AGUAZABCAGEAbABlAGQAXwBMAGEAdABlAHgARQBxAHUAYQB0AGkAbwBuACIALAAiAEEAZwBSAGUAcwBpAGQAdQBlAF8ARQBxAHUAYQB0AGkAbwBuAHMAXwBDAHIAbwBwAFIAZQBzAGkAZAB1AGUALgBWAEUARQBSAEcAXwA2AF8AMQBfADEAXwAyAF8AXwAxAF8AXwBGAHIAYQBjAHQAaQBvAG4ATwBmAEMAcgBvAHAAUgBlAHMAaQBkAHUAZQBSAGUAbQBvAHYAZQBkAEIAYQBsAGUAZABfAEEAcgBnAHUAbQBlAG4AdABzACIALAAiAEEAZwBSAGUAcwBpAGQAdQBlAF8ARQBxAHUAYQB0AGkAbwBuAHMAXwBDAHIAbwBwAFIAZQBzAGkAZAB1AGUALgBWAEUARQBSAEcAXwA2AF8AMQBfADEAXwAyAF8AXwAxAF8AXwBGAHIAYQBjAHQAaQBvAG4ATwBmAEMAcgBvAHAAUgBlAHMAaQBkAHUAZQBSAGUAbQBvAHYAZQBkAEIAYQBsAGUAZABfAFYAYQByAGkAYQB0AGkAbwBuACIALAAiAEEAZwBSAGUAcwBpAGQAdQBlAF8ARQBxAHUAYQB0AGkAbwBuAHMAXwBDAHIAbwBwAFIAZQBzAGkAZAB1AGUALgBWAEUARQBSAEcAXwA2AF8AMQBfADEAXwAyAF8AXwAxAGEAXwBfAEYAcgBhAGMAdABpAG8AbgBPAGYAQwByAG8AcABSAGUAcwBpAGQAdQBlAFIAZQBtAG8AdgBlAGQAIgAsACIAQQBnAFIAZQBzAGkAZAB1AGUAXwBFAHEAdQBhAHQAaQBvAG4AcwBfAEMAcgBvAHAAUgBlAHMAaQBkAHUAZQAuAFYARQBFAFIARwBfADYAXwAxAF8AMQBfADIAXwBfADEAYQBfAF8ARgByAGEAYwB0AGkAbwBuAE8AZgBDAHIAbwBwAFIAZQBzAGkAZAB1AGUAUgBlAG0AbwB2AGUAZABfAFQAaQB0AGwAZQAiACwAIgBBAGcAUgBlAHMAaQBkAHUAZQBfAEUAcQB1AGEAdABpAG8AbgBzAF8AQwByAG8AcABSAGUAcwBpAGQAdQBlAC4AVgBFAEUAUgBHAF8ANgBfADEAXwAxAF8AMgBfAF8AMQBhAF8AXwBGAHIAYQBjAHQAaQBvAG4ATwBmAEMAcgBvAHAAUgBlAHMAaQBkAHUAZQBSAGUAbQBvAHYAZQBkAF8AVgBhAHIAaQBhAGIAbABlACIALAAiAEEAZwBSAGUAcwBpAGQAdQBlAF8ARQBxAHUAYQB0AGkAbwBuAHMAXwBDAHIAbwBwAFIAZQBzAGkAZAB1AGUALgBWAEUARQBSAEcAXwA2AF8AMQBfADEAXwAyAF8AXwAxAGEAXwBfAEYAcgBhAGMAdABpAG8AbgBPAGYAQwByAG8AcABSAGUAcwBpAGQAdQBlAFIAZQBtAG8AdgBlAGQAXwBVAG4AaQB0ACIALAAiAEEAZwBSAGUAcwBpAGQAdQBlAF8ARQBxAHUAYQB0AGkAbwBuAHMAXwBDAHIAbwBwAFIAZQBzAGkAZAB1AGUALgBWAEUARQBSAEcAXwA2AF8AMQBfADEAXwAyAF8AXwAxAGEAXwBfAEYAcgBhAGMAdABpAG8AbgBPAGYAQwByAG8AcABSAGUAcwBpAGQAdQBlAFIAZQBtAG8AdgBlAGQAXwBTAG8AdQByAGMAZQAiACwAIgBBAGcAUgBlAHMAaQBkAHUAZQBfAEUAcQB1AGEAdABpAG8AbgBzAF8AQwByAG8AcABSAGUAcwBpAGQAdQBlAC4AVgBFAEUAUgBHAF8ANgBfADEAXwAxAF8AMgBfAF8AMQBhAF8AXwBGAHIAYQBjAHQAaQBvAG4ATwBmAEMAcgBvAHAAUgBlAHMAaQBkAHUAZQBSAGUAbQBvAHYAZQBkAF8ATgBJAFIAUgBlAGYAZQByAGUAbgBjAGUAIgAsACIAQQBnAFIAZQBzAGkAZAB1AGUAXwBFAHEAdQBhAHQAaQBvAG4AcwBfAEMAcgBvAHAAUgBlAHMAaQBkAHUAZQAuAFYARQBFAFIARwBfADYAXwAxAF8AMQBfADIAXwBfADEAYQBfAF8ARgByAGEAYwB0AGkAbwBuAE8AZgBDAHIAbwBwAFIAZQBzAGkAZAB1AGUAUgBlAG0AbwB2AGUAZABfAEwAYQB0AGUAeABFAHEAdQBhAHQAaQBvAG4AIgAsACIAQQBnAFIAZQBzAGkAZAB1AGUAXwBFAHEAdQBhAHQAaQBvAG4AcwBfAEMAcgBvAHAAUgBlAHMAaQBkAHUAZQAuAFYARQBFAFIARwBfADYAXwAxAF8AMQBfADIAXwBfADEAYQBfAF8ARgByAGEAYwB0AGkAbwBuAE8AZgBDAHIAbwBwAFIAZQBzAGkAZAB1AGUAUgBlAG0AbwB2AGUAZABfAEEAcgBnAHUAbQBlAG4AdABzACIALAAiAEEAZwBSAGUAcwBpAGQAdQBlAF8ARQBxAHUAYQB0AGkAbwBuAHMAXwBDAHIAbwBwAFIAZQBzAGkAZAB1AGUALgBWAEUARQBSAEcAXwA2AF8AMQBfADEAXwAyAF8AXwAxAGEAXwBfAEYAcgBhAGMAdABpAG8AbgBPAGYAQwByAG8AcABSAGUAcwBpAGQAdQBlAFIAZQBtAG8Adg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62</vt:i4>
      </vt:variant>
    </vt:vector>
  </HeadingPairs>
  <TitlesOfParts>
    <vt:vector size="76"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2026-08-05T00:48:36Z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