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C999BB3-ACE9-4D1C-AF2C-F6F298B67C06}" xr6:coauthVersionLast="47" xr6:coauthVersionMax="47" xr10:uidLastSave="{00000000-0000-0000-0000-000000000000}"/>
  <bookViews>
    <workbookView xWindow="1350" yWindow="360" windowWidth="36255" windowHeight="19140"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4"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25" i="122"/>
  <c r="H24" i="123"/>
  <c r="H25" i="113"/>
  <c r="H24" i="113"/>
  <c r="E30" i="15"/>
  <c r="E33" i="15"/>
  <c r="E32" i="15"/>
  <c r="E31" i="15"/>
  <c r="I59" i="114"/>
  <c r="I36" i="114"/>
  <c r="J38" i="122"/>
  <c r="J38" i="123"/>
  <c r="J38" i="113"/>
  <c r="J35" i="74"/>
  <c r="R73" i="69"/>
  <c r="I38" i="69"/>
  <c r="H65" i="114"/>
  <c r="H42" i="114"/>
  <c r="Q51" i="122"/>
  <c r="G51" i="122"/>
  <c r="Q51" i="123"/>
  <c r="G51" i="123"/>
  <c r="Q51" i="113"/>
  <c r="G51" i="113"/>
  <c r="Q43" i="74"/>
  <c r="G43" i="74"/>
  <c r="P80" i="69"/>
  <c r="G45" i="69"/>
  <c r="I22" i="69"/>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c r="D163" i="124" a="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c r="D140" i="124" a="1"/>
  <c r="D139" i="124"/>
  <c r="D139" i="124" a="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H53" i="124" s="1"/>
  <c r="E53" i="124" a="1"/>
  <c r="E53" i="124" s="1"/>
  <c r="D53" i="124" a="1"/>
  <c r="D53" i="124" s="1"/>
  <c r="G52" i="124" a="1"/>
  <c r="G52" i="124" s="1"/>
  <c r="F52" i="124" a="1"/>
  <c r="F52" i="124" s="1"/>
  <c r="H52" i="124" s="1"/>
  <c r="E52" i="124" a="1"/>
  <c r="E52" i="124" s="1"/>
  <c r="D52" i="124" a="1"/>
  <c r="D52" i="124" s="1"/>
  <c r="G51" i="124" a="1"/>
  <c r="G51" i="124" s="1"/>
  <c r="F51" i="124" a="1"/>
  <c r="F51" i="124" s="1"/>
  <c r="E51" i="124" a="1"/>
  <c r="E51" i="124" s="1"/>
  <c r="D51" i="124" a="1"/>
  <c r="D51" i="124" s="1"/>
  <c r="G50" i="124" a="1"/>
  <c r="G50" i="124" s="1"/>
  <c r="F50" i="124" a="1"/>
  <c r="F50" i="124" s="1"/>
  <c r="H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55" i="123"/>
  <c r="P53" i="123" a="1"/>
  <c r="P53" i="123" s="1"/>
  <c r="F53" i="123" a="1"/>
  <c r="F53" i="123" s="1"/>
  <c r="N50" i="123" a="1"/>
  <c r="N50" i="123" s="1"/>
  <c r="D50" i="123" a="1"/>
  <c r="D50" i="123" s="1"/>
  <c r="J39" i="123"/>
  <c r="J36" i="123" a="1"/>
  <c r="J36" i="123" s="1"/>
  <c r="H36" i="123" a="1"/>
  <c r="H36" i="123" s="1"/>
  <c r="D36" i="123" a="1"/>
  <c r="D36" i="123" s="1"/>
  <c r="E34" i="123" a="1"/>
  <c r="E34" i="123" s="1"/>
  <c r="A34" i="123"/>
  <c r="E33" i="123" a="1"/>
  <c r="E33" i="123" s="1"/>
  <c r="D29" i="123" a="1"/>
  <c r="D29" i="123" s="1"/>
  <c r="D28" i="123" a="1"/>
  <c r="D28" i="123" s="1"/>
  <c r="G24" i="123"/>
  <c r="F24" i="123"/>
  <c r="A20" i="123"/>
  <c r="J19" i="123" a="1"/>
  <c r="J19" i="123" s="1"/>
  <c r="A19" i="123"/>
  <c r="J17" i="123"/>
  <c r="J16" i="123" a="1"/>
  <c r="J16" i="123" s="1"/>
  <c r="A16" i="123"/>
  <c r="A15" i="123"/>
  <c r="J14" i="123" a="1"/>
  <c r="J14" i="123" s="1"/>
  <c r="A14" i="123"/>
  <c r="J13" i="123" a="1"/>
  <c r="J13" i="123" s="1"/>
  <c r="H13" i="123" a="1"/>
  <c r="H13" i="123" s="1"/>
  <c r="D13" i="123" a="1"/>
  <c r="D13" i="123" s="1"/>
  <c r="A13" i="123"/>
  <c r="E11" i="123" a="1"/>
  <c r="E11" i="123" s="1"/>
  <c r="E10" i="123"/>
  <c r="E10" i="123" a="1"/>
  <c r="A10" i="123"/>
  <c r="A9" i="123"/>
  <c r="A8" i="123"/>
  <c r="D6" i="123" a="1"/>
  <c r="D6" i="123" s="1"/>
  <c r="D5" i="123" a="1"/>
  <c r="D5" i="123" s="1"/>
  <c r="A5" i="123"/>
  <c r="A4" i="123"/>
  <c r="A3" i="123"/>
  <c r="A55" i="122"/>
  <c r="P53" i="122" a="1"/>
  <c r="P53" i="122" s="1"/>
  <c r="F53" i="122" a="1"/>
  <c r="F53" i="122" s="1"/>
  <c r="N50" i="122" a="1"/>
  <c r="N50" i="122" s="1"/>
  <c r="D50" i="122" a="1"/>
  <c r="D50" i="122" s="1"/>
  <c r="J40" i="122"/>
  <c r="J36" i="122" a="1"/>
  <c r="J36" i="122" s="1"/>
  <c r="H36" i="122" a="1"/>
  <c r="H36" i="122" s="1"/>
  <c r="D36" i="122" a="1"/>
  <c r="D36" i="122" s="1"/>
  <c r="E34" i="122" a="1"/>
  <c r="E34" i="122" s="1"/>
  <c r="A34" i="122"/>
  <c r="E33" i="122" a="1"/>
  <c r="E33" i="122" s="1"/>
  <c r="D29" i="122" a="1"/>
  <c r="D29" i="122" s="1"/>
  <c r="D28" i="122" a="1"/>
  <c r="D28" i="122" s="1"/>
  <c r="G25" i="122"/>
  <c r="F25" i="122"/>
  <c r="A20" i="122"/>
  <c r="J19" i="122" a="1"/>
  <c r="J19" i="122" s="1"/>
  <c r="A19" i="122"/>
  <c r="J18" i="122"/>
  <c r="J16" i="122" a="1"/>
  <c r="J16" i="122" s="1"/>
  <c r="A16" i="122"/>
  <c r="A15" i="122"/>
  <c r="J14" i="122" a="1"/>
  <c r="J14" i="122" s="1"/>
  <c r="A14" i="122"/>
  <c r="J13" i="122" a="1"/>
  <c r="J13" i="122" s="1"/>
  <c r="H13" i="122" a="1"/>
  <c r="H13" i="122" s="1"/>
  <c r="D13" i="122" a="1"/>
  <c r="D13" i="122" s="1"/>
  <c r="A13" i="122"/>
  <c r="E11" i="122" a="1"/>
  <c r="E11" i="122" s="1"/>
  <c r="E10" i="122" a="1"/>
  <c r="E10" i="122" s="1"/>
  <c r="A10" i="122"/>
  <c r="A9" i="122"/>
  <c r="A8" i="122"/>
  <c r="D6" i="122" a="1"/>
  <c r="D6" i="122" s="1"/>
  <c r="D5" i="122" a="1"/>
  <c r="D5" i="122" s="1"/>
  <c r="A5" i="122"/>
  <c r="A4" i="122"/>
  <c r="A3" i="122"/>
  <c r="I18" i="114"/>
  <c r="G25" i="113"/>
  <c r="F25" i="113"/>
  <c r="G24" i="113"/>
  <c r="F24" i="113"/>
  <c r="I60" i="114"/>
  <c r="I37" i="114"/>
  <c r="I19" i="114"/>
  <c r="I13" i="114"/>
  <c r="J40" i="113"/>
  <c r="J39" i="113"/>
  <c r="J18" i="113"/>
  <c r="J17" i="113"/>
  <c r="J36" i="74"/>
  <c r="J19" i="74"/>
  <c r="J13" i="74"/>
  <c r="R74" i="69"/>
  <c r="E30" i="122" a="1"/>
  <c r="E30" i="123" a="1"/>
  <c r="E7" i="123" a="1"/>
  <c r="E7" i="122" a="1"/>
  <c r="H54" i="124" l="1"/>
  <c r="H51" i="124"/>
  <c r="H48" i="124"/>
  <c r="H49" i="124"/>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J37" i="74" l="1"/>
  <c r="F17" i="70"/>
  <c r="D26" i="70"/>
  <c r="D25" i="70"/>
  <c r="D24" i="70"/>
  <c r="D17" i="70"/>
  <c r="F22" i="70"/>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50" i="114" a="1"/>
  <c r="E7" i="113" a="1"/>
  <c r="E7" i="114" a="1"/>
  <c r="E27" i="114" a="1"/>
  <c r="E30" i="113"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O27" i="74" a="1"/>
  <c r="N65" i="69" a="1"/>
  <c r="E7" i="74" a="1"/>
  <c r="E7" i="69" a="1"/>
  <c r="N42" i="69" a="1"/>
  <c r="N8" i="69" a="1"/>
  <c r="E27" i="74" a="1"/>
  <c r="E30" i="69" a="1"/>
  <c r="J16" i="74" l="1" a="1"/>
  <c r="J16" i="74" s="1"/>
  <c r="E19" i="120"/>
  <c r="T14" i="74" s="1"/>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O21" i="74" l="1" a="1"/>
  <c r="O21" i="74" s="1"/>
  <c r="E20" i="120"/>
  <c r="E19" i="70"/>
  <c r="E20" i="70" s="1"/>
  <c r="I14" i="114"/>
  <c r="E21" i="114" s="1" a="1"/>
  <c r="E21" i="114" s="1"/>
  <c r="E21" i="74" a="1"/>
  <c r="E21" i="74" s="1"/>
  <c r="D46" i="123" s="1"/>
  <c r="Q18" i="69"/>
  <c r="I14" i="69"/>
  <c r="E30" i="70"/>
  <c r="E44" i="70" s="1"/>
  <c r="O25" i="122" l="1"/>
  <c r="S25" i="122" s="1" a="1"/>
  <c r="S25" i="122" s="1"/>
  <c r="N46" i="122" s="1"/>
  <c r="O46" i="122" s="1" a="1"/>
  <c r="O46" i="122" s="1"/>
  <c r="N46" i="123"/>
  <c r="E25" i="113"/>
  <c r="E25" i="122"/>
  <c r="I25" i="122" s="1" a="1"/>
  <c r="I25" i="122" s="1"/>
  <c r="D46" i="122" s="1"/>
  <c r="E46" i="122" s="1" a="1"/>
  <c r="E46" i="122" s="1"/>
  <c r="T33" i="74"/>
  <c r="O25" i="113"/>
  <c r="I33" i="114"/>
  <c r="I56" i="114"/>
  <c r="J33" i="74"/>
  <c r="E36" i="70"/>
  <c r="E35" i="70" s="1"/>
  <c r="E40" i="70"/>
  <c r="Q15" i="69" l="1"/>
  <c r="N21" i="69" s="1" a="1"/>
  <c r="N21" i="69" s="1"/>
  <c r="S33" i="69" s="1"/>
  <c r="N36" i="69" s="1" a="1"/>
  <c r="N36" i="69" s="1"/>
  <c r="R52" i="69" s="1"/>
  <c r="N59" i="69" s="1" a="1"/>
  <c r="N59" i="69" s="1"/>
  <c r="O24" i="123" s="1"/>
  <c r="S24" i="123" s="1" a="1"/>
  <c r="S24" i="123" s="1"/>
  <c r="N45" i="123" s="1"/>
  <c r="O45" i="123" s="1" a="1"/>
  <c r="O45" i="123" s="1"/>
  <c r="O48" i="123" s="1"/>
  <c r="Q50" i="123" s="1"/>
  <c r="O53" i="123" s="1" a="1"/>
  <c r="O53" i="123" s="1"/>
  <c r="E46" i="70"/>
  <c r="A20" i="118"/>
  <c r="A8" i="118"/>
  <c r="A5" i="118"/>
  <c r="A4" i="118"/>
  <c r="A3" i="118"/>
  <c r="N45" i="122" l="1"/>
  <c r="O48" i="122" s="1"/>
  <c r="Q50" i="122" s="1"/>
  <c r="O53" i="122" s="1" a="1"/>
  <c r="O53" i="122" s="1"/>
  <c r="R71" i="69"/>
  <c r="O24" i="113"/>
  <c r="A67" i="114"/>
  <c r="A46" i="114"/>
  <c r="A44" i="70"/>
  <c r="A83" i="69"/>
  <c r="A76" i="74"/>
  <c r="A45" i="74"/>
  <c r="A34" i="113"/>
  <c r="A55" i="113"/>
  <c r="I17" i="69" l="1" a="1"/>
  <c r="I17" i="69" s="1"/>
  <c r="E24" i="69" s="1" a="1"/>
  <c r="E24" i="69" s="1"/>
  <c r="E24" i="123" s="1"/>
  <c r="I24" i="123" s="1" a="1"/>
  <c r="I24" i="123" s="1"/>
  <c r="D45" i="123" s="1"/>
  <c r="E45" i="123" s="1" a="1"/>
  <c r="E45" i="123" s="1"/>
  <c r="E48" i="123" s="1"/>
  <c r="G50" i="123" s="1"/>
  <c r="E53" i="123" s="1" a="1"/>
  <c r="E53" i="123" s="1"/>
  <c r="S24" i="113" a="1"/>
  <c r="S24" i="113" s="1"/>
  <c r="N45" i="113" s="1"/>
  <c r="E62" i="114" a="1"/>
  <c r="E62" i="114" s="1"/>
  <c r="E13" i="13" s="1"/>
  <c r="E24" i="113" l="1"/>
  <c r="I24" i="113" s="1" a="1"/>
  <c r="I24" i="113" s="1"/>
  <c r="D45" i="113" s="1"/>
  <c r="D45" i="122"/>
  <c r="E48" i="122" s="1"/>
  <c r="G50" i="122" s="1"/>
  <c r="E53" i="122" s="1" a="1"/>
  <c r="E53" i="122" s="1"/>
  <c r="H64" i="114"/>
  <c r="E67" i="114" s="1"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F12" i="13"/>
  <c r="E29" i="15"/>
  <c r="J34" i="74" s="1"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E13" i="15"/>
  <c r="Q50" i="113" l="1"/>
  <c r="O53" i="113" s="1" a="1"/>
  <c r="O53" i="113" s="1"/>
  <c r="I11" i="13" s="1"/>
  <c r="F11" i="13"/>
  <c r="G50" i="113"/>
  <c r="E53" i="113" s="1" a="1"/>
  <c r="E53" i="113" s="1"/>
  <c r="H11" i="13" s="1"/>
  <c r="G42" i="74"/>
  <c r="E45" i="74" s="1" a="1"/>
  <c r="E45" i="74" s="1"/>
  <c r="H10" i="13" s="1"/>
  <c r="Q42" i="74"/>
  <c r="O45" i="74" s="1" a="1"/>
  <c r="O45" i="74" s="1"/>
  <c r="I10" i="13" s="1"/>
  <c r="G44" i="69"/>
  <c r="E47" i="69" s="1" a="1"/>
  <c r="E47" i="69" s="1"/>
  <c r="H9" i="13" s="1"/>
  <c r="P79" i="69"/>
  <c r="N82" i="69" s="1"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<sst xmlns="http://schemas.openxmlformats.org/spreadsheetml/2006/main" count="489" uniqueCount="238">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</sst>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29">
      <calculatedColumnFormula array="1">Common_InputFunctions.Utility_DisplayArrayInTable(Agresidue_SourceData.CropFractionRemoved_Data(), Table76[[#Headers],[Crop type c]], 0)</calculatedColumnFormula>
    </tableColumn>
    <tableColumn id="3" xr3:uid="{BB1819D3-B175-4610-A8F6-4C85437820E5}"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27">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C1F5DE5C-442A-47C8-B53B-A669D141AC48}"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39C0B6-EF98-46D0-9D70-8599979CC8E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7C7D5CE-F8E8-4557-947C-1F9AE84FFC5C}" name="State/Territory">
      <calculatedColumnFormula array="1">Common_InputFunctions.Utility_DisplayArrayInTable(Common_SourceData.Common_SourceData_AustralianStatesTerritories_Data(),Table_AustralianStates[[#Headers],[State/Territory]],0)</calculatedColumnFormula>
    </tableColumn>
    <tableColumn id="2" xr3:uid="{8C0B5BDF-82F1-436F-BA47-0A327D62A06D}" name="Common Name">
      <calculatedColumnFormula array="1">Common_InputFunctions.Utility_DisplayArrayInTable(Common_SourceData.Common_SourceData_AustralianStatesTerritories_Data(),Table_AustralianStates[[#Headers],[State/Territory]],0)</calculatedColumnFormula>
    </tableColumn>
    <tableColumn id="3" xr3:uid="{73D50C36-A270-4F82-9D4F-844D7AFD734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80A0241-D084-4030-94B5-6683D1777585}" name="Table_WASA4Areas" displayName="Table_WASA4Areas" ref="D20:D30" totalsRowShown="0">
  <autoFilter ref="D20:D30" xr:uid="{5FA81339-C6C8-4D36-BEEA-6C4AEDD9E676}">
    <filterColumn colId="0" hiddenButton="1"/>
  </autoFilter>
  <tableColumns count="1">
    <tableColumn id="1" xr3:uid="{EAC4635F-1858-4AE3-96BF-FBB23B10A03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1D3D3D0-25C2-41EA-857E-0D0D15AAA5D7}" name="Table_GWPData" displayName="Table_GWPData" ref="D36:E43" totalsRowShown="0">
  <autoFilter ref="D36:E43" xr:uid="{B8E87A66-3E41-4AD3-925D-01EE21B43D7A}">
    <filterColumn colId="0" hiddenButton="1"/>
    <filterColumn colId="1" hiddenButton="1"/>
  </autoFilter>
  <tableColumns count="2">
    <tableColumn id="1" xr3:uid="{FB6F5E81-A847-41B5-AFF5-AB5B7462FA54}" name="Gas">
      <calculatedColumnFormula array="1">Common_InputFunctions.Utility_DisplayArrayInTable(Common_SourceData.Common_SourceData_GWP_Data(), Table_GWPData[[#Headers],[Gas]], 0)</calculatedColumnFormula>
    </tableColumn>
    <tableColumn id="2" xr3:uid="{57D69C0E-6651-4042-9302-DD1C70BF3CE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F293C9C-F21E-4A1E-A1CB-FE09026CFCD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839BE77-4C52-4F22-BFF5-C993FD1E2E28}" name="Gas">
      <calculatedColumnFormula array="1">Common_InputFunctions.Utility_DisplayArrayInTable(Common_SourceData.Common_SourceData_ConvertGasElementalToMolecular_Data(),Table_GasToMolecularConversionFactor[[#Headers],[Gas]], 0)</calculatedColumnFormula>
    </tableColumn>
    <tableColumn id="5" xr3:uid="{A9EC67E8-DBC8-4BFB-BECF-76E53C798BB8}" name="Conversion factor">
      <calculatedColumnFormula array="1">Common_InputFunctions.Utility_DisplayArrayInTable(Common_SourceData.Common_SourceData_ConvertGasElementalToMolecular_Data(),Table_GasToMolecularConversionFactor[[#Headers],[Gas]], 0)</calculatedColumnFormula>
    </tableColumn>
    <tableColumn id="2" xr3:uid="{24397999-D73B-43F6-94C9-D28BDFA4390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BB6D7D1-F479-483F-A886-780FE301F7A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C000690-5473-45CD-90BC-DCFCD94468F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965290D-EB9A-4F05-B50B-9FC6942951A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BA81C62-7B24-4909-B489-5077FFBEBB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30C0E4A-83D7-4C63-AEF6-7084F7424095}"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062CF998-4BC1-41EC-86FF-DCEAA9CE226D}"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CF1C0097-F7A1-4DA6-A2FD-5F74DC3D5DB3}"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D45D4DFF-635D-4A83-BB5C-5DC1CB789D36}"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44B8435F-9AA4-467F-BC7B-7FAE91484A27}"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C776B34C-B649-4C11-A063-5F5DD9643D6D}"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9DBB9889-23F9-4F32-863D-BD870DD8030A}"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6B8D9626-D888-4D88-AFDE-599537C461EA}"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E3582906-6CE8-428B-9A53-D2024BD3C58E}"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56E54654-0762-41E7-B2A7-A5EDEBD753BD}"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50457243-921D-416E-B027-30FCC45336AC}"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CE1E8219-30F4-4682-A471-3860248F33E1}"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DF5D339F-8134-4D5B-976C-290C9734C4AB}"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39D6DF98-B822-4365-B526-0C683195EEA7}"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9B3283B0-3E73-465E-A218-4340A281387D}"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7087DD3-3A6D-4E44-93CE-0150386C16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649CE73-0147-42D5-9253-1DCA43838AB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21C84FC-3CF0-4EB3-B98A-26A41EE5C868}"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B920F0E-ABDF-4BAA-92A2-C17E76968D2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3B3281C-4A32-45E6-AC6B-6065524620FE}" name="Temperature Zone">
      <calculatedColumnFormula array="1">Common_InputFunctions.Utility_DisplayArrayInTable(Common_SourceData.Common_SourceData_TemperatureZones_Data(),Table_SourceData_TemperatureZones[[#Headers],[Temperature Zone]],0)</calculatedColumnFormula>
    </tableColumn>
    <tableColumn id="2" xr3:uid="{9CD70A46-2B6C-40E6-A483-242C8624BDF8}" name="MAT">
      <calculatedColumnFormula array="1">Common_InputFunctions.Utility_DisplayArrayInTable(Common_SourceData.Common_SourceData_TemperatureZones_Data(),Table_SourceData_TemperatureZones[[#Headers],[Temperature Zone]],0)</calculatedColumnFormula>
    </tableColumn>
    <tableColumn id="3" xr3:uid="{8ACFA9DE-AD23-4B34-AB06-97CE2F39563A}" name="Min MAT">
      <calculatedColumnFormula array="1">Common_InputFunctions.Utility_DisplayArrayInTable(Common_SourceData.Common_SourceData_TemperatureZones_Data(),Table_SourceData_TemperatureZones[[#Headers],[Temperature Zone]],0)</calculatedColumnFormula>
    </tableColumn>
    <tableColumn id="4" xr3:uid="{935991CC-66DD-46DF-85AE-497DF66BBD6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668F5DF-11D6-41B9-AD44-30F3381903A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B0138F2-29C6-4C11-A330-2345B768F942}" name="Rainfall Zone">
      <calculatedColumnFormula array="1">Common_InputFunctions.Utility_DisplayArrayInTable(Common_SourceData.Common_SourceData_RainfallZones_Data(),Table_SourceData_RainfallZones[[#Headers],[Rainfall Zone]],0)</calculatedColumnFormula>
    </tableColumn>
    <tableColumn id="2" xr3:uid="{F4C5EC8C-4CD1-4F56-901E-43534A1E6332}" name="Annual rainfall">
      <calculatedColumnFormula array="1">Common_InputFunctions.Utility_DisplayArrayInTable(Common_SourceData.Common_SourceData_RainfallZones_Data(),Table_SourceData_RainfallZones[[#Headers],[Rainfall Zone]],0)</calculatedColumnFormula>
    </tableColumn>
    <tableColumn id="3" xr3:uid="{30773431-9129-4BFE-9E4B-30891B7F705B}" name="Min rainfall">
      <calculatedColumnFormula array="1">Common_InputFunctions.Utility_DisplayArrayInTable(Common_SourceData.Common_SourceData_RainfallZones_Data(),Table_SourceData_RainfallZones[[#Headers],[Rainfall Zone]],0)</calculatedColumnFormula>
    </tableColumn>
    <tableColumn id="4" xr3:uid="{DB7E8170-96FF-4660-BD78-D59A64DDBE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FC827CE-502C-4A36-8F16-E540F38749B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DF5E090-1868-4DF1-9A36-60B4E0A657E1}" name="Leaching Zone">
      <calculatedColumnFormula array="1">Common_InputFunctions.Utility_DisplayArrayInTable(Common_SourceData.Common_SourceData_LeachingZones_Data(), Table_SourceData_LeachingZones[[#Headers],[Leaching Zone]], 0)</calculatedColumnFormula>
    </tableColumn>
    <tableColumn id="2" xr3:uid="{304A2FC3-959E-44DC-A9FB-B8D23475614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582343D-A0AE-4A6C-9445-80DED45C9A4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99B507E-76BA-44F5-81AF-B5149FF6B3E9}" name="Data source">
      <calculatedColumnFormula array="1">Common_InputFunctions.Utility_DisplayArrayInTable(Common_SourceData.Common_SourceData_DataScores_Scope3_Data(), Table_SourceData_DataScores_Scope3[[#Headers],[Data source]], 0)</calculatedColumnFormula>
    </tableColumn>
    <tableColumn id="2" xr3:uid="{E018C19E-A5D9-406D-8354-CB8025BB8C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D54D336-E771-4980-AF06-0FC30B14F300}" name="Table_SourceData_FracWET" displayName="Table_SourceData_FracWET" ref="D134:E136" totalsRowShown="0">
  <autoFilter ref="D134:E136" xr:uid="{308E99BE-FE1F-47A4-B2CA-97217277C4E9}">
    <filterColumn colId="0" hiddenButton="1"/>
    <filterColumn colId="1" hiddenButton="1"/>
  </autoFilter>
  <tableColumns count="2">
    <tableColumn id="1" xr3:uid="{4D0E0DCB-ED89-457C-8180-45D0773EA5FC}" name="Is in leaching zone">
      <calculatedColumnFormula array="1">Common_InputFunctions.Utility_DisplayArrayInTable(Common_SourceData.Common_SourceData_FracWET_Data(),Table_SourceData_FracWET[[#Headers],[Is in leaching zone]],0)</calculatedColumnFormula>
    </tableColumn>
    <tableColumn id="2" xr3:uid="{53B12D24-A6EA-4CD4-A4F0-0C49D8004703}"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EDA5627-5235-405C-A725-BBB88CAAA16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69EB4CB-E006-47B1-BEB2-C5C96E134012}" name="Production system j">
      <calculatedColumnFormula array="1">Common_InputFunctions.Utility_DisplayArrayInTable(Common_SourceData.Common_SourceData_EFN2O_Data(), Table_SourceData_Common_EFN2O[[#Headers],[Production system j]], 0)</calculatedColumnFormula>
    </tableColumn>
    <tableColumn id="2" xr3:uid="{EDF32636-D791-41B2-9AFD-9536A6474703}" name="EFN2O">
      <calculatedColumnFormula array="1">Common_InputFunctions.Utility_DisplayArrayInTable(Common_SourceData.Common_SourceData_EFN2O_Data(), Table_SourceData_Common_EFN2O[[#Headers],[Production system j]], 0)</calculatedColumnFormula>
    </tableColumn>
    <tableColumn id="3" xr3:uid="{741634A5-115F-49B8-B190-06260D3C7AE1}" name="Production system only">
      <calculatedColumnFormula array="1">Common_InputFunctions.Utility_DisplayArrayInTable(Common_SourceData.Common_SourceData_EFN2O_Data(), Table_SourceData_Common_EFN2O[[#Headers],[Production system j]], 0)</calculatedColumnFormula>
    </tableColumn>
    <tableColumn id="4" xr3:uid="{658443C2-0328-4B86-BA3F-D3D45E213CFE}" name="Irrigation method">
      <calculatedColumnFormula array="1">Common_InputFunctions.Utility_DisplayArrayInTable(Common_SourceData.Common_SourceData_EFN2O_Data(), Table_SourceData_Common_EFN2O[[#Headers],[Production system j]], 0)</calculatedColumnFormula>
    </tableColumn>
    <tableColumn id="5" xr3:uid="{43F4CCA7-674C-4354-80CF-7A4273FEA1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5BE1A83-D4BF-4BB0-AD57-4AC23403318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B2B272C-835C-4316-BDF7-FA17F79D5FCD}" name="Irrigation type i">
      <calculatedColumnFormula array="1">Common_InputFunctions.Utility_DisplayArrayInTable(Common_SourceData.Common_SourceData_FracWETIrrigation_Data(), Table_SourceData_FracWETIrrigation[[#Headers],[Irrigation type i]], 0)</calculatedColumnFormula>
    </tableColumn>
    <tableColumn id="2" xr3:uid="{5AD483FF-A4BB-4311-91F0-FB8E145FA36A}"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F217F74-06E9-429F-99F3-C2C86220900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5FFD9C2-0DAF-4C58-A07B-1C99D238501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41A046E-5C16-4AED-8DF5-CFB6491558E8}"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CAA5CD8-CB69-43A4-B9DD-B9E2DB5014E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6241B51-8D52-41CD-8948-B90CB693712F}" name="Month">
      <calculatedColumnFormula array="1">Common_InputFunctions.Utility_DisplayArrayInTable(Common_SourceData.Common_SourceData_MonthsToSeasons_Data(), Table_SourceData_Common_MonthToSeason[[#Headers],[Month]], 0)</calculatedColumnFormula>
    </tableColumn>
    <tableColumn id="2" xr3:uid="{7AE8006C-A10F-4FA8-A105-0408909CEF12}"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AFA1B21-D20C-4237-A6C2-8A77F0AA953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34444E0-7B49-4C1D-91C8-8907379DC7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278E78C-9602-49CD-ADE4-85C0E467733D}"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24D0D3-4B1A-4B0C-A678-C69BF753040B}"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57FF1C6-072F-4B61-9382-7AE10903EB5E}"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6B0A86A-CF1C-4A19-B473-41C18A9767DD}"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B3E9144-98AC-49D5-9325-9E96F1EFCDD9}"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EBD8D17-56E8-4CAB-8E5C-3149DB35B09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C5FAED0-BC89-4845-92E5-C928C2E5F47E}"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8A11BBE-47FA-4CF4-B0FF-009F03ADB66A}"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90479B4-B1E6-4588-90D4-FEC02DB5FE25}"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ECD236D-547A-4679-95B7-1F1CAC120FF0}"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93E134F-3BE0-45F2-AF30-3A0756E21FC7}"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A97671D-33FF-4894-8D07-EB03E3EF4418}"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84D7CDC-22A3-4ACB-8FC7-D282CAB93D7E}"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99EDF09-9A4C-4971-8463-07F3CAEA5989}"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3FA8436-3375-4A3A-9E6B-EEA5B18C9C6F}"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5E29AEA-561A-4326-8829-923958FDD69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9EAFA26-FC61-4666-9F64-C922FC3C35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1A2C070-BC36-4E2B-983C-3053D80A5390}"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VEERG_6_1_1_1__1__NitrousOxideEmissionsFromCropResidues_Result_Method1</f>
        <v>2.3377199999999997E-2</v>
      </c>
      <c r="F9" s="125">
        <f>VEERG_6_1_1_1__1__NitrousOxideEmissionsFromCropResidues_Result_Method2</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VEERG_6_2_1_1__1__NitrousOxideEmissionsFromPastureResidues_Result_Method1</f>
        <v>5.8320428571428569E-7</v>
      </c>
      <c r="F10" s="144">
        <f>VEERG_6_2_1_1__1__NitrousOxideEmissionsFromPastureResidues_Result_Method2</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VEERG_6_3_1_1__1__LeachingAndRunoffEmissionsCropAndPastureResidue_Result_Method1</f>
        <v>1.2343469531862857E-2</v>
      </c>
      <c r="F11" s="125">
        <f>VEERG_6_3_1_1__1__LeachingAndRunoffEmissionsCropAndPastureResidue_Result_Method2</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VEERG_6_4_1_1__2__NitrousOxideEmissionsFromBurningOfCropResidues_Result_Method1</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VEERG_6_4_1_1__1__MethaneEmissionsFromBurningOfCropResidues_Result_Method1</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D18" sqref="D1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O24" sqref="O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O21" sqref="O2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X_Cell_Pasture_YieldPerHectare</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workbookViewId="0">
      <selection activeCell="H26" sqref="H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workbookViewId="0">
      <selection activeCell="E48" sqref="E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237</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
        <v>236</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X_Cell_Crop_IrrigationMethod</f>
        <v>Sprinkler irrigation</v>
      </c>
      <c r="G24" s="50" t="str">
        <f>X_Cell_Site_LeachingZone</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t="s">
        <v>236</v>
      </c>
      <c r="F25" s="50" t="s">
        <v>236</v>
      </c>
      <c r="G25" s="50" t="s">
        <v>236</v>
      </c>
      <c r="H25" s="50" t="s">
        <v>236</v>
      </c>
      <c r="I25" s="50" t="s">
        <v>236</v>
      </c>
      <c r="N25" s="50"/>
      <c r="O25" s="50" t="s">
        <v>236</v>
      </c>
      <c r="P25" s="50"/>
      <c r="Q25" s="50"/>
      <c r="R25" s="50"/>
      <c r="S25" s="50" t="s">
        <v>236</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
        <v>236</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t="str">
        <f>I25</f>
        <v>N/A</v>
      </c>
      <c r="E46" s="50" t="s">
        <v>236</v>
      </c>
      <c r="F46" s="22"/>
      <c r="G46" s="22"/>
      <c r="H46" s="22"/>
      <c r="I46" s="22"/>
      <c r="J46" s="22"/>
      <c r="K46" s="22"/>
      <c r="N46" s="50" t="str">
        <f>S25</f>
        <v>N/A</v>
      </c>
      <c r="O46" s="50" t="s">
        <v>236</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1.2343161599999999E-2</v>
      </c>
      <c r="F48" s="95" t="str">
        <f>$E$34</f>
        <v>t N2O</v>
      </c>
      <c r="G48" s="22"/>
      <c r="H48" s="22"/>
      <c r="I48" s="22"/>
      <c r="J48" s="22"/>
      <c r="K48" s="22"/>
      <c r="N48" s="142" t="s">
        <v>199</v>
      </c>
      <c r="O48" s="143">
        <f>SUM(O45:O46)</f>
        <v>1.2343161599999999E-2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1.2343161599999999E-2</v>
      </c>
      <c r="N50" s="54" t="str" cm="1">
        <f t="array" ref="N50:O51">Common_Equations.Common_ConvertN2OToCO2e_Arguments()</f>
        <v>EN2O</v>
      </c>
      <c r="O50" s="55" t="str">
        <v>Nitrous oxide emissions (t N2O)</v>
      </c>
      <c r="P50" s="96"/>
      <c r="Q50" s="50">
        <f>O48</f>
        <v>1.2343161599999999E-2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3.2709378239999998</v>
      </c>
      <c r="F53" s="97" t="str" cm="1">
        <f t="array" ref="F53">Common_Equations.Common_ConvertN2OToCO2e_Unit()</f>
        <v>t CO2e</v>
      </c>
      <c r="I53" s="22"/>
      <c r="N53" s="44" t="s">
        <v>79</v>
      </c>
      <c r="O53" s="44" cm="1">
        <f t="array" ref="O53">Common_Equations.Common_ConvertN2OToCO2e(Q50,Q51)</f>
        <v>3.2709378239999998</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workbookViewId="0">
      <selection activeCell="E8" sqref="E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235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Common_InputFunctions.Utility_DisplayFunctionName(I25)</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
        <v>236</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t="s">
        <v>236</v>
      </c>
      <c r="F24" s="50" t="s">
        <v>236</v>
      </c>
      <c r="G24" s="50" t="s">
        <v>236</v>
      </c>
      <c r="H24" s="50" t="s">
        <v>236</v>
      </c>
      <c r="I24" s="50" t="s">
        <v>236</v>
      </c>
      <c r="N24" s="50"/>
      <c r="O24" s="50" t="s">
        <v>236</v>
      </c>
      <c r="P24" s="50"/>
      <c r="Q24" s="50"/>
      <c r="R24" s="50"/>
      <c r="S24" s="50" t="s">
        <v>236</v>
      </c>
    </row>
    <row r="25" spans="1:20" ht="20.100000000000001" customHeight="1" x14ac:dyDescent="0.25">
      <c r="D25" s="50" t="s">
        <v>201</v>
      </c>
      <c r="E25" s="50">
        <f>'6.2.1.1-2 Pasture residue N2O'!$E$21</f>
        <v>7.4226E-2</v>
      </c>
      <c r="F25" s="50" t="str">
        <f>X_Cell_Pasture_IrrigationMethod</f>
        <v>Surface irrigation</v>
      </c>
      <c r="G25" s="50" t="str">
        <f>X_Cell_Site_LeachingZone</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Common_InputFunctions.Utility_DisplayFunctionName(E46)</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
        <v>236</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t="str">
        <f>I24</f>
        <v>N/A</v>
      </c>
      <c r="E45" s="50" t="s">
        <v>236</v>
      </c>
      <c r="F45" s="22"/>
      <c r="G45" s="22"/>
      <c r="H45" s="22"/>
      <c r="I45" s="22"/>
      <c r="J45" s="22"/>
      <c r="K45" s="22"/>
      <c r="N45" s="50" t="str">
        <f>S24</f>
        <v>N/A</v>
      </c>
      <c r="O45" s="50" t="s">
        <v>236</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3.0793186285714277E-7</v>
      </c>
      <c r="F48" s="95" t="str">
        <f>$E$34</f>
        <v>t N2O</v>
      </c>
      <c r="G48" s="22"/>
      <c r="H48" s="22"/>
      <c r="I48" s="22"/>
      <c r="J48" s="22"/>
      <c r="K48" s="22"/>
      <c r="N48" s="142" t="s">
        <v>199</v>
      </c>
      <c r="O48" s="143">
        <f>SUM(O45:O46)</f>
        <v>3.0793186285714277E-7</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3.0793186285714277E-7</v>
      </c>
      <c r="N50" s="54" t="str" cm="1">
        <f t="array" ref="N50:O51">Common_Equations.Common_ConvertN2OToCO2e_Arguments()</f>
        <v>EN2O</v>
      </c>
      <c r="O50" s="55" t="str">
        <v>Nitrous oxide emissions (t N2O)</v>
      </c>
      <c r="P50" s="96"/>
      <c r="Q50" s="50">
        <f>O48</f>
        <v>3.0793186285714277E-7</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8.1601943657142831E-5</v>
      </c>
      <c r="F53" s="97" t="str" cm="1">
        <f t="array" ref="F53">Common_Equations.Common_ConvertN2OToCO2e_Unit()</f>
        <v>t CO2e</v>
      </c>
      <c r="I53" s="22"/>
      <c r="N53" s="44" t="s">
        <v>79</v>
      </c>
      <c r="O53" s="44" cm="1">
        <f t="array" ref="O53">Common_Equations.Common_ConvertN2OToCO2e(Q50,Q51)</f>
        <v>8.1601943657142831E-5</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X_Cell_Crop_PercentResidueBurned</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7FB5-5E4E-474D-B378-CD3F0EFCCDD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61</vt:i4>
      </vt:variant>
    </vt:vector>
  </HeadingPairs>
  <TitlesOfParts>
    <vt:vector size="7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