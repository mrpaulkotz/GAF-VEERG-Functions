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8D3AEE1-32BA-41DF-AF61-192C1182A371}" xr6:coauthVersionLast="47" xr6:coauthVersionMax="47" xr10:uidLastSave="{00000000-0000-0000-0000-000000000000}"/>
  <bookViews>
    <workbookView xWindow="3900" yWindow="3900" windowWidth="28800" windowHeight="15345" activeTab="5"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3" r:id="rId6"/>
  </sheets>
  <externalReferences>
    <externalReference r:id="rId7"/>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 name="VEERG_12_1_1_1__1_EmissionsFromSupplementaryCO2_Result_Method1">'12.1.1-2 Supplementary CO2'!$E$15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3" l="1" a="1"/>
  <c r="E259" i="123" s="1"/>
  <c r="D259" i="123" a="1"/>
  <c r="D259" i="123" s="1"/>
  <c r="E258" i="123" a="1"/>
  <c r="E258" i="123" s="1"/>
  <c r="D258" i="123" a="1"/>
  <c r="D258" i="123" s="1"/>
  <c r="D256" i="123" a="1"/>
  <c r="D256" i="123" s="1"/>
  <c r="D255" i="123" a="1"/>
  <c r="D255" i="123" s="1"/>
  <c r="D254" i="123" a="1"/>
  <c r="D254" i="123" s="1"/>
  <c r="D253" i="123" a="1"/>
  <c r="D253" i="123" s="1"/>
  <c r="S250" i="123" a="1"/>
  <c r="S250" i="123" s="1"/>
  <c r="R250" i="123" a="1"/>
  <c r="R250" i="123" s="1"/>
  <c r="Q250" i="123" a="1"/>
  <c r="Q250" i="123" s="1"/>
  <c r="P250" i="123" a="1"/>
  <c r="P250" i="123" s="1"/>
  <c r="O250" i="123" a="1"/>
  <c r="O250" i="123" s="1"/>
  <c r="N250" i="123" a="1"/>
  <c r="N250" i="123" s="1"/>
  <c r="M250" i="123" a="1"/>
  <c r="M250" i="123" s="1"/>
  <c r="L250" i="123" a="1"/>
  <c r="L250" i="123" s="1"/>
  <c r="K250" i="123" a="1"/>
  <c r="K250" i="123" s="1"/>
  <c r="J250" i="123" a="1"/>
  <c r="J250" i="123" s="1"/>
  <c r="I250" i="123" a="1"/>
  <c r="I250" i="123" s="1"/>
  <c r="H250" i="123" a="1"/>
  <c r="H250" i="123" s="1"/>
  <c r="G250" i="123" a="1"/>
  <c r="G250" i="123" s="1"/>
  <c r="F250" i="123" a="1"/>
  <c r="F250" i="123" s="1"/>
  <c r="E250" i="123" a="1"/>
  <c r="E250" i="123" s="1"/>
  <c r="D250" i="123" a="1"/>
  <c r="D250" i="123" s="1"/>
  <c r="S249" i="123" a="1"/>
  <c r="S249" i="123" s="1"/>
  <c r="R249" i="123" a="1"/>
  <c r="R249" i="123" s="1"/>
  <c r="Q249" i="123" a="1"/>
  <c r="Q249" i="123" s="1"/>
  <c r="P249" i="123" a="1"/>
  <c r="P249" i="123" s="1"/>
  <c r="O249" i="123" a="1"/>
  <c r="O249" i="123" s="1"/>
  <c r="N249" i="123" a="1"/>
  <c r="N249" i="123" s="1"/>
  <c r="M249" i="123" a="1"/>
  <c r="M249" i="123" s="1"/>
  <c r="L249" i="123" a="1"/>
  <c r="L249" i="123" s="1"/>
  <c r="K249" i="123" a="1"/>
  <c r="K249" i="123" s="1"/>
  <c r="J249" i="123" a="1"/>
  <c r="J249" i="123" s="1"/>
  <c r="I249" i="123" a="1"/>
  <c r="I249" i="123" s="1"/>
  <c r="H249" i="123" a="1"/>
  <c r="H249" i="123" s="1"/>
  <c r="G249" i="123" a="1"/>
  <c r="G249" i="123" s="1"/>
  <c r="F249" i="123" a="1"/>
  <c r="F249" i="123" s="1"/>
  <c r="E249" i="123" a="1"/>
  <c r="E249" i="123" s="1"/>
  <c r="D249" i="123" a="1"/>
  <c r="D249" i="123" s="1"/>
  <c r="S248" i="123" a="1"/>
  <c r="S248" i="123" s="1"/>
  <c r="R248" i="123" a="1"/>
  <c r="R248" i="123" s="1"/>
  <c r="Q248" i="123" a="1"/>
  <c r="Q248" i="123" s="1"/>
  <c r="P248" i="123" a="1"/>
  <c r="P248" i="123" s="1"/>
  <c r="O248" i="123" a="1"/>
  <c r="O248" i="123" s="1"/>
  <c r="N248" i="123" a="1"/>
  <c r="N248" i="123" s="1"/>
  <c r="M248" i="123" a="1"/>
  <c r="M248" i="123" s="1"/>
  <c r="L248" i="123" a="1"/>
  <c r="L248" i="123" s="1"/>
  <c r="K248" i="123" a="1"/>
  <c r="K248" i="123" s="1"/>
  <c r="J248" i="123" a="1"/>
  <c r="J248" i="123" s="1"/>
  <c r="I248" i="123" a="1"/>
  <c r="I248" i="123" s="1"/>
  <c r="H248" i="123" a="1"/>
  <c r="H248" i="123" s="1"/>
  <c r="G248" i="123" a="1"/>
  <c r="G248" i="123" s="1"/>
  <c r="F248" i="123" a="1"/>
  <c r="F248" i="123" s="1"/>
  <c r="E248" i="123" a="1"/>
  <c r="E248" i="123" s="1"/>
  <c r="D248" i="123" a="1"/>
  <c r="D248" i="123" s="1"/>
  <c r="S247" i="123" a="1"/>
  <c r="S247" i="123" s="1"/>
  <c r="R247" i="123" a="1"/>
  <c r="R247" i="123" s="1"/>
  <c r="Q247" i="123" a="1"/>
  <c r="Q247" i="123" s="1"/>
  <c r="P247" i="123" a="1"/>
  <c r="P247" i="123" s="1"/>
  <c r="O247" i="123" a="1"/>
  <c r="O247" i="123" s="1"/>
  <c r="N247" i="123" a="1"/>
  <c r="N247" i="123" s="1"/>
  <c r="M247" i="123" a="1"/>
  <c r="M247" i="123" s="1"/>
  <c r="L247" i="123" a="1"/>
  <c r="L247" i="123" s="1"/>
  <c r="K247" i="123" a="1"/>
  <c r="K247" i="123" s="1"/>
  <c r="J247" i="123" a="1"/>
  <c r="J247" i="123" s="1"/>
  <c r="I247" i="123" a="1"/>
  <c r="I247" i="123" s="1"/>
  <c r="H247" i="123" a="1"/>
  <c r="H247" i="123" s="1"/>
  <c r="G247" i="123" a="1"/>
  <c r="G247" i="123" s="1"/>
  <c r="F247" i="123" a="1"/>
  <c r="F247" i="123" s="1"/>
  <c r="E247" i="123" a="1"/>
  <c r="E247" i="123" s="1"/>
  <c r="D247" i="123" a="1"/>
  <c r="D247" i="123" s="1"/>
  <c r="S246" i="123" a="1"/>
  <c r="S246" i="123" s="1"/>
  <c r="R246" i="123" a="1"/>
  <c r="R246" i="123" s="1"/>
  <c r="Q246" i="123" a="1"/>
  <c r="Q246" i="123" s="1"/>
  <c r="P246" i="123" a="1"/>
  <c r="P246" i="123" s="1"/>
  <c r="O246" i="123" a="1"/>
  <c r="O246" i="123" s="1"/>
  <c r="N246" i="123" a="1"/>
  <c r="N246" i="123" s="1"/>
  <c r="M246" i="123" a="1"/>
  <c r="M246" i="123" s="1"/>
  <c r="L246" i="123" a="1"/>
  <c r="L246" i="123" s="1"/>
  <c r="K246" i="123" a="1"/>
  <c r="K246" i="123" s="1"/>
  <c r="J246" i="123" a="1"/>
  <c r="J246" i="123" s="1"/>
  <c r="I246" i="123" a="1"/>
  <c r="I246" i="123" s="1"/>
  <c r="H246" i="123" a="1"/>
  <c r="H246" i="123" s="1"/>
  <c r="G246" i="123" a="1"/>
  <c r="G246" i="123" s="1"/>
  <c r="F246" i="123" a="1"/>
  <c r="F246" i="123" s="1"/>
  <c r="E246" i="123" a="1"/>
  <c r="E246" i="123" s="1"/>
  <c r="D246" i="123" a="1"/>
  <c r="D246" i="123" s="1"/>
  <c r="S245" i="123" a="1"/>
  <c r="S245" i="123" s="1"/>
  <c r="R245" i="123" a="1"/>
  <c r="R245" i="123" s="1"/>
  <c r="Q245" i="123" a="1"/>
  <c r="Q245" i="123" s="1"/>
  <c r="P245" i="123" a="1"/>
  <c r="P245" i="123" s="1"/>
  <c r="O245" i="123" a="1"/>
  <c r="O245" i="123" s="1"/>
  <c r="N245" i="123" a="1"/>
  <c r="N245" i="123" s="1"/>
  <c r="M245" i="123" a="1"/>
  <c r="M245" i="123" s="1"/>
  <c r="L245" i="123" a="1"/>
  <c r="L245" i="123" s="1"/>
  <c r="K245" i="123" a="1"/>
  <c r="K245" i="123" s="1"/>
  <c r="J245" i="123" a="1"/>
  <c r="J245" i="123" s="1"/>
  <c r="I245" i="123" a="1"/>
  <c r="I245" i="123" s="1"/>
  <c r="H245" i="123" a="1"/>
  <c r="H245" i="123" s="1"/>
  <c r="G245" i="123" a="1"/>
  <c r="G245" i="123" s="1"/>
  <c r="F245" i="123" a="1"/>
  <c r="F245" i="123" s="1"/>
  <c r="E245" i="123" a="1"/>
  <c r="E245" i="123" s="1"/>
  <c r="D245" i="123" a="1"/>
  <c r="D245" i="123" s="1"/>
  <c r="S244" i="123" a="1"/>
  <c r="S244" i="123" s="1"/>
  <c r="R244" i="123" a="1"/>
  <c r="R244" i="123" s="1"/>
  <c r="Q244" i="123" a="1"/>
  <c r="Q244" i="123" s="1"/>
  <c r="P244" i="123" a="1"/>
  <c r="P244" i="123" s="1"/>
  <c r="O244" i="123" a="1"/>
  <c r="O244" i="123" s="1"/>
  <c r="N244" i="123" a="1"/>
  <c r="N244" i="123" s="1"/>
  <c r="M244" i="123" a="1"/>
  <c r="M244" i="123" s="1"/>
  <c r="L244" i="123" a="1"/>
  <c r="L244" i="123" s="1"/>
  <c r="K244" i="123" a="1"/>
  <c r="K244" i="123" s="1"/>
  <c r="J244" i="123" a="1"/>
  <c r="J244" i="123" s="1"/>
  <c r="I244" i="123" a="1"/>
  <c r="I244" i="123" s="1"/>
  <c r="H244" i="123" a="1"/>
  <c r="H244" i="123" s="1"/>
  <c r="G244" i="123" a="1"/>
  <c r="G244" i="123" s="1"/>
  <c r="F244" i="123" a="1"/>
  <c r="F244" i="123" s="1"/>
  <c r="E244" i="123" a="1"/>
  <c r="E244" i="123" s="1"/>
  <c r="D244" i="123" a="1"/>
  <c r="D244" i="123" s="1"/>
  <c r="S243" i="123" a="1"/>
  <c r="S243" i="123" s="1"/>
  <c r="R243" i="123" a="1"/>
  <c r="R243" i="123" s="1"/>
  <c r="Q243" i="123" a="1"/>
  <c r="Q243" i="123" s="1"/>
  <c r="P243" i="123" a="1"/>
  <c r="P243" i="123" s="1"/>
  <c r="O243" i="123" a="1"/>
  <c r="O243" i="123" s="1"/>
  <c r="N243" i="123" a="1"/>
  <c r="N243" i="123" s="1"/>
  <c r="M243" i="123" a="1"/>
  <c r="M243" i="123" s="1"/>
  <c r="L243" i="123" a="1"/>
  <c r="L243" i="123" s="1"/>
  <c r="K243" i="123" a="1"/>
  <c r="K243" i="123" s="1"/>
  <c r="J243" i="123" a="1"/>
  <c r="J243" i="123" s="1"/>
  <c r="I243" i="123" a="1"/>
  <c r="I243" i="123" s="1"/>
  <c r="H243" i="123" a="1"/>
  <c r="H243" i="123" s="1"/>
  <c r="G243" i="123" a="1"/>
  <c r="G243" i="123" s="1"/>
  <c r="F243" i="123" a="1"/>
  <c r="F243" i="123" s="1"/>
  <c r="E243" i="123" a="1"/>
  <c r="E243" i="123" s="1"/>
  <c r="D243" i="123" a="1"/>
  <c r="D243" i="123" s="1"/>
  <c r="S242" i="123" a="1"/>
  <c r="S242" i="123" s="1"/>
  <c r="R242" i="123" a="1"/>
  <c r="R242" i="123" s="1"/>
  <c r="Q242" i="123" a="1"/>
  <c r="Q242" i="123" s="1"/>
  <c r="P242" i="123" a="1"/>
  <c r="P242" i="123" s="1"/>
  <c r="O242" i="123" a="1"/>
  <c r="O242" i="123" s="1"/>
  <c r="N242" i="123" a="1"/>
  <c r="N242" i="123" s="1"/>
  <c r="M242" i="123" a="1"/>
  <c r="M242" i="123" s="1"/>
  <c r="L242" i="123" a="1"/>
  <c r="L242" i="123" s="1"/>
  <c r="K242" i="123" a="1"/>
  <c r="K242" i="123" s="1"/>
  <c r="J242" i="123" a="1"/>
  <c r="J242" i="123" s="1"/>
  <c r="I242" i="123" a="1"/>
  <c r="I242" i="123" s="1"/>
  <c r="H242" i="123" a="1"/>
  <c r="H242" i="123" s="1"/>
  <c r="G242" i="123" a="1"/>
  <c r="G242" i="123" s="1"/>
  <c r="F242" i="123" a="1"/>
  <c r="F242" i="123" s="1"/>
  <c r="E242" i="123" a="1"/>
  <c r="E242" i="123" s="1"/>
  <c r="D242" i="123" a="1"/>
  <c r="D242" i="123" s="1"/>
  <c r="S241" i="123" a="1"/>
  <c r="S241" i="123" s="1"/>
  <c r="R241" i="123" a="1"/>
  <c r="R241" i="123" s="1"/>
  <c r="Q241" i="123" a="1"/>
  <c r="Q241" i="123" s="1"/>
  <c r="P241" i="123" a="1"/>
  <c r="P241" i="123" s="1"/>
  <c r="O241" i="123" a="1"/>
  <c r="O241" i="123" s="1"/>
  <c r="N241" i="123" a="1"/>
  <c r="N241" i="123" s="1"/>
  <c r="M241" i="123" a="1"/>
  <c r="M241" i="123" s="1"/>
  <c r="L241" i="123" a="1"/>
  <c r="L241" i="123" s="1"/>
  <c r="K241" i="123" a="1"/>
  <c r="K241" i="123" s="1"/>
  <c r="J241" i="123" a="1"/>
  <c r="J241" i="123" s="1"/>
  <c r="I241" i="123" a="1"/>
  <c r="I241" i="123" s="1"/>
  <c r="H241" i="123" a="1"/>
  <c r="H241" i="123" s="1"/>
  <c r="G241" i="123" a="1"/>
  <c r="G241" i="123" s="1"/>
  <c r="F241" i="123" a="1"/>
  <c r="F241" i="123" s="1"/>
  <c r="E241" i="123" a="1"/>
  <c r="E241" i="123" s="1"/>
  <c r="D241" i="123" a="1"/>
  <c r="D241" i="123" s="1"/>
  <c r="S240" i="123" a="1"/>
  <c r="S240" i="123" s="1"/>
  <c r="R240" i="123" a="1"/>
  <c r="R240" i="123" s="1"/>
  <c r="Q240" i="123" a="1"/>
  <c r="Q240" i="123" s="1"/>
  <c r="P240" i="123" a="1"/>
  <c r="P240" i="123" s="1"/>
  <c r="O240" i="123" a="1"/>
  <c r="O240" i="123" s="1"/>
  <c r="N240" i="123" a="1"/>
  <c r="N240" i="123" s="1"/>
  <c r="M240" i="123" a="1"/>
  <c r="M240" i="123" s="1"/>
  <c r="L240" i="123" a="1"/>
  <c r="L240" i="123" s="1"/>
  <c r="K240" i="123" a="1"/>
  <c r="K240" i="123" s="1"/>
  <c r="J240" i="123" a="1"/>
  <c r="J240" i="123" s="1"/>
  <c r="I240" i="123" a="1"/>
  <c r="I240" i="123" s="1"/>
  <c r="H240" i="123" a="1"/>
  <c r="H240" i="123" s="1"/>
  <c r="G240" i="123" a="1"/>
  <c r="G240" i="123" s="1"/>
  <c r="F240" i="123" a="1"/>
  <c r="F240" i="123" s="1"/>
  <c r="E240" i="123" a="1"/>
  <c r="E240" i="123" s="1"/>
  <c r="D240" i="123" a="1"/>
  <c r="D240" i="123" s="1"/>
  <c r="S239" i="123" a="1"/>
  <c r="S239" i="123" s="1"/>
  <c r="R239" i="123" a="1"/>
  <c r="R239" i="123" s="1"/>
  <c r="Q239" i="123" a="1"/>
  <c r="Q239" i="123" s="1"/>
  <c r="P239" i="123" a="1"/>
  <c r="P239" i="123" s="1"/>
  <c r="O239" i="123" a="1"/>
  <c r="O239" i="123" s="1"/>
  <c r="N239" i="123" a="1"/>
  <c r="N239" i="123" s="1"/>
  <c r="M239" i="123" a="1"/>
  <c r="M239" i="123" s="1"/>
  <c r="L239" i="123" a="1"/>
  <c r="L239" i="123" s="1"/>
  <c r="K239" i="123" a="1"/>
  <c r="K239" i="123" s="1"/>
  <c r="J239" i="123" a="1"/>
  <c r="J239" i="123" s="1"/>
  <c r="I239" i="123" a="1"/>
  <c r="I239" i="123" s="1"/>
  <c r="H239" i="123" a="1"/>
  <c r="H239" i="123" s="1"/>
  <c r="G239" i="123" a="1"/>
  <c r="G239" i="123" s="1"/>
  <c r="F239" i="123" a="1"/>
  <c r="F239" i="123" s="1"/>
  <c r="E239" i="123" a="1"/>
  <c r="E239" i="123" s="1"/>
  <c r="D239" i="123" a="1"/>
  <c r="D239" i="123" s="1"/>
  <c r="S238" i="123" a="1"/>
  <c r="S238" i="123" s="1"/>
  <c r="R238" i="123" a="1"/>
  <c r="R238" i="123" s="1"/>
  <c r="Q238" i="123" a="1"/>
  <c r="Q238" i="123" s="1"/>
  <c r="P238" i="123" a="1"/>
  <c r="P238" i="123" s="1"/>
  <c r="O238" i="123" a="1"/>
  <c r="O238" i="123" s="1"/>
  <c r="N238" i="123" a="1"/>
  <c r="N238" i="123" s="1"/>
  <c r="M238" i="123" a="1"/>
  <c r="M238" i="123" s="1"/>
  <c r="L238" i="123" a="1"/>
  <c r="L238" i="123" s="1"/>
  <c r="K238" i="123" a="1"/>
  <c r="K238" i="123" s="1"/>
  <c r="J238" i="123" a="1"/>
  <c r="J238" i="123" s="1"/>
  <c r="I238" i="123" a="1"/>
  <c r="I238" i="123" s="1"/>
  <c r="H238" i="123" a="1"/>
  <c r="H238" i="123" s="1"/>
  <c r="G238" i="123" a="1"/>
  <c r="G238" i="123" s="1"/>
  <c r="F238" i="123" a="1"/>
  <c r="F238" i="123" s="1"/>
  <c r="E238" i="123" a="1"/>
  <c r="E238" i="123" s="1"/>
  <c r="D238" i="123" a="1"/>
  <c r="D238" i="123" s="1"/>
  <c r="S237" i="123" a="1"/>
  <c r="S237" i="123" s="1"/>
  <c r="R237" i="123" a="1"/>
  <c r="R237" i="123" s="1"/>
  <c r="Q237" i="123" a="1"/>
  <c r="Q237" i="123" s="1"/>
  <c r="P237" i="123" a="1"/>
  <c r="P237" i="123" s="1"/>
  <c r="O237" i="123" a="1"/>
  <c r="O237" i="123" s="1"/>
  <c r="N237" i="123" a="1"/>
  <c r="N237" i="123" s="1"/>
  <c r="M237" i="123" a="1"/>
  <c r="M237" i="123" s="1"/>
  <c r="L237" i="123" a="1"/>
  <c r="L237" i="123" s="1"/>
  <c r="K237" i="123" a="1"/>
  <c r="K237" i="123" s="1"/>
  <c r="J237" i="123" a="1"/>
  <c r="J237" i="123" s="1"/>
  <c r="I237" i="123" a="1"/>
  <c r="I237" i="123" s="1"/>
  <c r="H237" i="123" a="1"/>
  <c r="H237" i="123" s="1"/>
  <c r="G237" i="123" a="1"/>
  <c r="G237" i="123" s="1"/>
  <c r="F237" i="123" a="1"/>
  <c r="F237" i="123" s="1"/>
  <c r="E237" i="123" a="1"/>
  <c r="E237" i="123" s="1"/>
  <c r="D237" i="123" a="1"/>
  <c r="D237" i="123" s="1"/>
  <c r="S236" i="123" a="1"/>
  <c r="S236" i="123" s="1"/>
  <c r="R236" i="123" a="1"/>
  <c r="R236" i="123" s="1"/>
  <c r="Q236" i="123" a="1"/>
  <c r="Q236" i="123" s="1"/>
  <c r="P236" i="123" a="1"/>
  <c r="P236" i="123" s="1"/>
  <c r="O236" i="123" a="1"/>
  <c r="O236" i="123" s="1"/>
  <c r="N236" i="123" a="1"/>
  <c r="N236" i="123" s="1"/>
  <c r="M236" i="123" a="1"/>
  <c r="M236" i="123" s="1"/>
  <c r="L236" i="123" a="1"/>
  <c r="L236" i="123" s="1"/>
  <c r="K236" i="123" a="1"/>
  <c r="K236" i="123" s="1"/>
  <c r="J236" i="123" a="1"/>
  <c r="J236" i="123" s="1"/>
  <c r="I236" i="123" a="1"/>
  <c r="I236" i="123" s="1"/>
  <c r="H236" i="123" a="1"/>
  <c r="H236" i="123" s="1"/>
  <c r="G236" i="123" a="1"/>
  <c r="G236" i="123" s="1"/>
  <c r="F236" i="123" a="1"/>
  <c r="F236" i="123" s="1"/>
  <c r="E236" i="123" a="1"/>
  <c r="E236" i="123" s="1"/>
  <c r="D236" i="123" a="1"/>
  <c r="D236" i="123" s="1"/>
  <c r="S235" i="123" a="1"/>
  <c r="S235" i="123" s="1"/>
  <c r="R235" i="123" a="1"/>
  <c r="R235" i="123" s="1"/>
  <c r="Q235" i="123" a="1"/>
  <c r="Q235" i="123" s="1"/>
  <c r="P235" i="123" a="1"/>
  <c r="P235" i="123" s="1"/>
  <c r="O235" i="123" a="1"/>
  <c r="O235" i="123" s="1"/>
  <c r="N235" i="123" a="1"/>
  <c r="N235" i="123" s="1"/>
  <c r="M235" i="123" a="1"/>
  <c r="M235" i="123" s="1"/>
  <c r="L235" i="123" a="1"/>
  <c r="L235" i="123" s="1"/>
  <c r="K235" i="123" a="1"/>
  <c r="K235" i="123" s="1"/>
  <c r="J235" i="123" a="1"/>
  <c r="J235" i="123" s="1"/>
  <c r="I235" i="123" a="1"/>
  <c r="I235" i="123" s="1"/>
  <c r="H235" i="123" a="1"/>
  <c r="H235" i="123" s="1"/>
  <c r="G235" i="123" a="1"/>
  <c r="G235" i="123" s="1"/>
  <c r="F235" i="123" a="1"/>
  <c r="F235" i="123" s="1"/>
  <c r="E235" i="123" a="1"/>
  <c r="E235" i="123" s="1"/>
  <c r="D235" i="123" a="1"/>
  <c r="D235" i="123" s="1"/>
  <c r="S234" i="123" a="1"/>
  <c r="S234" i="123" s="1"/>
  <c r="R234" i="123" a="1"/>
  <c r="R234" i="123" s="1"/>
  <c r="Q234" i="123" a="1"/>
  <c r="Q234" i="123" s="1"/>
  <c r="P234" i="123" a="1"/>
  <c r="P234" i="123" s="1"/>
  <c r="O234" i="123" a="1"/>
  <c r="O234" i="123" s="1"/>
  <c r="N234" i="123" a="1"/>
  <c r="N234" i="123" s="1"/>
  <c r="M234" i="123" a="1"/>
  <c r="M234" i="123" s="1"/>
  <c r="L234" i="123" a="1"/>
  <c r="L234" i="123" s="1"/>
  <c r="K234" i="123" a="1"/>
  <c r="K234" i="123" s="1"/>
  <c r="J234" i="123" a="1"/>
  <c r="J234" i="123" s="1"/>
  <c r="I234" i="123" a="1"/>
  <c r="I234" i="123" s="1"/>
  <c r="H234" i="123" a="1"/>
  <c r="H234" i="123" s="1"/>
  <c r="G234" i="123" a="1"/>
  <c r="G234" i="123" s="1"/>
  <c r="F234" i="123" a="1"/>
  <c r="F234" i="123" s="1"/>
  <c r="E234" i="123" a="1"/>
  <c r="E234" i="123" s="1"/>
  <c r="D234" i="123" a="1"/>
  <c r="D234" i="123" s="1"/>
  <c r="S233" i="123" a="1"/>
  <c r="S233" i="123" s="1"/>
  <c r="R233" i="123" a="1"/>
  <c r="R233" i="123" s="1"/>
  <c r="Q233" i="123" a="1"/>
  <c r="Q233" i="123" s="1"/>
  <c r="P233" i="123" a="1"/>
  <c r="P233" i="123" s="1"/>
  <c r="O233" i="123" a="1"/>
  <c r="O233" i="123" s="1"/>
  <c r="N233" i="123" a="1"/>
  <c r="N233" i="123" s="1"/>
  <c r="M233" i="123" a="1"/>
  <c r="M233" i="123" s="1"/>
  <c r="L233" i="123" a="1"/>
  <c r="L233" i="123" s="1"/>
  <c r="K233" i="123" a="1"/>
  <c r="K233" i="123" s="1"/>
  <c r="J233" i="123" a="1"/>
  <c r="J233" i="123" s="1"/>
  <c r="I233" i="123" a="1"/>
  <c r="I233" i="123" s="1"/>
  <c r="H233" i="123" a="1"/>
  <c r="H233" i="123" s="1"/>
  <c r="G233" i="123" a="1"/>
  <c r="G233" i="123" s="1"/>
  <c r="F233" i="123" a="1"/>
  <c r="F233" i="123" s="1"/>
  <c r="E233" i="123" a="1"/>
  <c r="E233" i="123" s="1"/>
  <c r="D233" i="123" a="1"/>
  <c r="D233" i="123" s="1"/>
  <c r="S232" i="123" a="1"/>
  <c r="S232" i="123" s="1"/>
  <c r="R232" i="123" a="1"/>
  <c r="R232" i="123" s="1"/>
  <c r="Q232" i="123" a="1"/>
  <c r="Q232" i="123" s="1"/>
  <c r="P232" i="123" a="1"/>
  <c r="P232" i="123" s="1"/>
  <c r="O232" i="123" a="1"/>
  <c r="O232" i="123" s="1"/>
  <c r="N232" i="123" a="1"/>
  <c r="N232" i="123" s="1"/>
  <c r="M232" i="123" a="1"/>
  <c r="M232" i="123" s="1"/>
  <c r="L232" i="123" a="1"/>
  <c r="L232" i="123" s="1"/>
  <c r="K232" i="123" a="1"/>
  <c r="K232" i="123" s="1"/>
  <c r="J232" i="123" a="1"/>
  <c r="J232" i="123" s="1"/>
  <c r="I232" i="123" a="1"/>
  <c r="I232" i="123" s="1"/>
  <c r="H232" i="123" a="1"/>
  <c r="H232" i="123" s="1"/>
  <c r="G232" i="123" a="1"/>
  <c r="G232" i="123" s="1"/>
  <c r="F232" i="123" a="1"/>
  <c r="F232" i="123" s="1"/>
  <c r="E232" i="123" a="1"/>
  <c r="E232" i="123" s="1"/>
  <c r="D232" i="123" a="1"/>
  <c r="D232" i="123" s="1"/>
  <c r="D229" i="123" a="1"/>
  <c r="D229" i="123" s="1"/>
  <c r="D228" i="123"/>
  <c r="D228" i="123" a="1"/>
  <c r="D227" i="123" a="1"/>
  <c r="D227" i="123" s="1"/>
  <c r="E224" i="123" a="1"/>
  <c r="E224" i="123" s="1"/>
  <c r="D224" i="123" a="1"/>
  <c r="D224" i="123" s="1"/>
  <c r="E223" i="123" a="1"/>
  <c r="E223" i="123" s="1"/>
  <c r="D223" i="123" a="1"/>
  <c r="D223" i="123" s="1"/>
  <c r="E222" i="123" a="1"/>
  <c r="E222" i="123" s="1"/>
  <c r="D222" i="123" a="1"/>
  <c r="D222" i="123" s="1"/>
  <c r="E221" i="123" a="1"/>
  <c r="E221" i="123" s="1"/>
  <c r="D221" i="123" a="1"/>
  <c r="D221" i="123" s="1"/>
  <c r="E220" i="123" a="1"/>
  <c r="E220" i="123" s="1"/>
  <c r="D220" i="123" a="1"/>
  <c r="D220" i="123" s="1"/>
  <c r="E219" i="123" a="1"/>
  <c r="E219" i="123" s="1"/>
  <c r="D219" i="123" a="1"/>
  <c r="D219" i="123" s="1"/>
  <c r="E218" i="123" a="1"/>
  <c r="E218" i="123" s="1"/>
  <c r="D218" i="123" a="1"/>
  <c r="D218" i="123" s="1"/>
  <c r="E217" i="123" a="1"/>
  <c r="E217" i="123" s="1"/>
  <c r="D217" i="123" a="1"/>
  <c r="D217" i="123" s="1"/>
  <c r="E216" i="123" a="1"/>
  <c r="E216" i="123" s="1"/>
  <c r="D216" i="123" a="1"/>
  <c r="D216" i="123" s="1"/>
  <c r="E215" i="123" a="1"/>
  <c r="E215" i="123" s="1"/>
  <c r="D215" i="123" a="1"/>
  <c r="D215" i="123" s="1"/>
  <c r="E214" i="123" a="1"/>
  <c r="E214" i="123" s="1"/>
  <c r="D214" i="123" a="1"/>
  <c r="D214" i="123" s="1"/>
  <c r="E213" i="123" a="1"/>
  <c r="E213" i="123" s="1"/>
  <c r="D213" i="123" a="1"/>
  <c r="D213" i="123" s="1"/>
  <c r="D211" i="123"/>
  <c r="D211" i="123" a="1"/>
  <c r="E208" i="123" a="1"/>
  <c r="E208" i="123" s="1"/>
  <c r="D208" i="123" a="1"/>
  <c r="D208" i="123" s="1"/>
  <c r="E207" i="123" a="1"/>
  <c r="E207" i="123" s="1"/>
  <c r="D207" i="123" a="1"/>
  <c r="D207" i="123" s="1"/>
  <c r="D205" i="123" a="1"/>
  <c r="D205" i="123" s="1"/>
  <c r="D204" i="123" a="1"/>
  <c r="D204" i="123" s="1"/>
  <c r="D203" i="123"/>
  <c r="D203" i="123" a="1"/>
  <c r="D202" i="123"/>
  <c r="D202" i="123" a="1"/>
  <c r="H199" i="123" a="1"/>
  <c r="H199" i="123" s="1"/>
  <c r="G199" i="123" a="1"/>
  <c r="G199" i="123" s="1"/>
  <c r="F199" i="123" a="1"/>
  <c r="F199" i="123" s="1"/>
  <c r="E199" i="123" a="1"/>
  <c r="E199" i="123" s="1"/>
  <c r="D199" i="123" a="1"/>
  <c r="D199" i="123" s="1"/>
  <c r="H198" i="123" a="1"/>
  <c r="H198" i="123" s="1"/>
  <c r="G198" i="123" a="1"/>
  <c r="G198" i="123" s="1"/>
  <c r="F198" i="123" a="1"/>
  <c r="F198" i="123" s="1"/>
  <c r="E198" i="123" a="1"/>
  <c r="E198" i="123" s="1"/>
  <c r="D198" i="123" a="1"/>
  <c r="D198" i="123" s="1"/>
  <c r="H197" i="123" a="1"/>
  <c r="H197" i="123" s="1"/>
  <c r="G197" i="123" a="1"/>
  <c r="G197" i="123" s="1"/>
  <c r="F197" i="123" a="1"/>
  <c r="F197" i="123" s="1"/>
  <c r="E197" i="123" a="1"/>
  <c r="E197" i="123" s="1"/>
  <c r="D197" i="123" a="1"/>
  <c r="D197" i="123" s="1"/>
  <c r="H196" i="123" a="1"/>
  <c r="H196" i="123" s="1"/>
  <c r="G196" i="123" a="1"/>
  <c r="G196" i="123" s="1"/>
  <c r="F196" i="123" a="1"/>
  <c r="F196" i="123" s="1"/>
  <c r="E196" i="123" a="1"/>
  <c r="E196" i="123" s="1"/>
  <c r="D196" i="123" a="1"/>
  <c r="D196" i="123" s="1"/>
  <c r="H195" i="123" a="1"/>
  <c r="H195" i="123" s="1"/>
  <c r="G195" i="123" a="1"/>
  <c r="G195" i="123" s="1"/>
  <c r="F195" i="123" a="1"/>
  <c r="F195" i="123" s="1"/>
  <c r="E195" i="123" a="1"/>
  <c r="E195" i="123" s="1"/>
  <c r="D195" i="123" a="1"/>
  <c r="D195" i="123" s="1"/>
  <c r="H194" i="123" a="1"/>
  <c r="H194" i="123" s="1"/>
  <c r="G194" i="123" a="1"/>
  <c r="G194" i="123" s="1"/>
  <c r="F194" i="123" a="1"/>
  <c r="F194" i="123" s="1"/>
  <c r="E194" i="123" a="1"/>
  <c r="E194" i="123" s="1"/>
  <c r="D194" i="123" a="1"/>
  <c r="D194" i="123" s="1"/>
  <c r="H193" i="123" a="1"/>
  <c r="H193" i="123" s="1"/>
  <c r="G193" i="123" a="1"/>
  <c r="G193" i="123" s="1"/>
  <c r="F193" i="123" a="1"/>
  <c r="F193" i="123" s="1"/>
  <c r="E193" i="123" a="1"/>
  <c r="E193" i="123" s="1"/>
  <c r="D193" i="123" a="1"/>
  <c r="D193" i="123" s="1"/>
  <c r="H192" i="123" a="1"/>
  <c r="H192" i="123" s="1"/>
  <c r="G192" i="123" a="1"/>
  <c r="G192" i="123" s="1"/>
  <c r="F192" i="123" a="1"/>
  <c r="F192" i="123" s="1"/>
  <c r="E192" i="123" a="1"/>
  <c r="E192" i="123" s="1"/>
  <c r="D192" i="123" a="1"/>
  <c r="D192" i="123" s="1"/>
  <c r="H191" i="123" a="1"/>
  <c r="H191" i="123" s="1"/>
  <c r="G191" i="123" a="1"/>
  <c r="G191" i="123" s="1"/>
  <c r="F191" i="123" a="1"/>
  <c r="F191" i="123" s="1"/>
  <c r="E191" i="123" a="1"/>
  <c r="E191" i="123" s="1"/>
  <c r="D191" i="123" a="1"/>
  <c r="D191" i="123" s="1"/>
  <c r="H190" i="123" a="1"/>
  <c r="H190" i="123" s="1"/>
  <c r="G190" i="123" a="1"/>
  <c r="G190" i="123" s="1"/>
  <c r="F190" i="123" a="1"/>
  <c r="F190" i="123" s="1"/>
  <c r="E190" i="123" a="1"/>
  <c r="E190" i="123" s="1"/>
  <c r="D190" i="123" a="1"/>
  <c r="D190" i="123" s="1"/>
  <c r="H189" i="123" a="1"/>
  <c r="H189" i="123" s="1"/>
  <c r="G189" i="123" a="1"/>
  <c r="G189" i="123" s="1"/>
  <c r="F189" i="123" a="1"/>
  <c r="F189" i="123" s="1"/>
  <c r="E189" i="123" a="1"/>
  <c r="E189" i="123" s="1"/>
  <c r="D189" i="123" a="1"/>
  <c r="D189" i="123" s="1"/>
  <c r="H188" i="123" a="1"/>
  <c r="H188" i="123" s="1"/>
  <c r="G188" i="123" a="1"/>
  <c r="G188" i="123" s="1"/>
  <c r="F188" i="123" a="1"/>
  <c r="F188" i="123" s="1"/>
  <c r="E188" i="123" a="1"/>
  <c r="E188" i="123" s="1"/>
  <c r="D188" i="123" a="1"/>
  <c r="D188" i="123" s="1"/>
  <c r="H187" i="123" a="1"/>
  <c r="H187" i="123" s="1"/>
  <c r="G187" i="123" a="1"/>
  <c r="G187" i="123" s="1"/>
  <c r="F187" i="123" a="1"/>
  <c r="F187" i="123" s="1"/>
  <c r="E187" i="123" a="1"/>
  <c r="E187" i="123" s="1"/>
  <c r="D187" i="123" a="1"/>
  <c r="D187" i="123" s="1"/>
  <c r="D181" i="123" a="1"/>
  <c r="D181" i="123" s="1"/>
  <c r="D180" i="123" a="1"/>
  <c r="D180" i="123" s="1"/>
  <c r="D179" i="123" a="1"/>
  <c r="D179" i="123" s="1"/>
  <c r="D178" i="123" a="1"/>
  <c r="D178" i="123" s="1"/>
  <c r="E175" i="123" a="1"/>
  <c r="E175" i="123" s="1"/>
  <c r="D175" i="123" a="1"/>
  <c r="D175" i="123" s="1"/>
  <c r="D174" i="123"/>
  <c r="D174" i="123" a="1"/>
  <c r="D173" i="123" a="1"/>
  <c r="D173" i="123" s="1"/>
  <c r="D170" i="123" a="1"/>
  <c r="D170" i="123" s="1"/>
  <c r="D169" i="123" a="1"/>
  <c r="D169" i="123" s="1"/>
  <c r="D168" i="123" a="1"/>
  <c r="D168" i="123" s="1"/>
  <c r="D167" i="123" a="1"/>
  <c r="D167" i="123" s="1"/>
  <c r="D164" i="123" a="1"/>
  <c r="D164" i="123" s="1"/>
  <c r="D163" i="123" a="1"/>
  <c r="D163" i="123" s="1"/>
  <c r="D162" i="123"/>
  <c r="D162" i="123" a="1"/>
  <c r="D161" i="123" a="1"/>
  <c r="D161" i="123" s="1"/>
  <c r="E158" i="123" a="1"/>
  <c r="E158" i="123" s="1"/>
  <c r="D158" i="123" a="1"/>
  <c r="D158" i="123" s="1"/>
  <c r="E157" i="123" a="1"/>
  <c r="E157" i="123" s="1"/>
  <c r="D157" i="123" a="1"/>
  <c r="D157" i="123" s="1"/>
  <c r="E156" i="123" a="1"/>
  <c r="E156" i="123" s="1"/>
  <c r="D156" i="123" a="1"/>
  <c r="D156" i="123" s="1"/>
  <c r="E155" i="123" a="1"/>
  <c r="E155" i="123" s="1"/>
  <c r="D155" i="123" a="1"/>
  <c r="D155" i="123" s="1"/>
  <c r="E154" i="123" a="1"/>
  <c r="E154" i="123" s="1"/>
  <c r="D154" i="123" a="1"/>
  <c r="D154" i="123" s="1"/>
  <c r="D151" i="123" a="1"/>
  <c r="D151" i="123" s="1"/>
  <c r="D150" i="123" a="1"/>
  <c r="D150" i="123" s="1"/>
  <c r="E147" i="123" a="1"/>
  <c r="E147" i="123" s="1"/>
  <c r="D147" i="123" a="1"/>
  <c r="D147" i="123" s="1"/>
  <c r="E146" i="123" a="1"/>
  <c r="E146" i="123" s="1"/>
  <c r="D146" i="123" a="1"/>
  <c r="D146" i="123" s="1"/>
  <c r="E145" i="123" a="1"/>
  <c r="E145" i="123" s="1"/>
  <c r="D145" i="123" a="1"/>
  <c r="D145" i="123" s="1"/>
  <c r="E144" i="123" a="1"/>
  <c r="E144" i="123" s="1"/>
  <c r="D144" i="123" a="1"/>
  <c r="D144" i="123" s="1"/>
  <c r="E143" i="123" a="1"/>
  <c r="E143" i="123" s="1"/>
  <c r="D143" i="123" a="1"/>
  <c r="D143" i="123" s="1"/>
  <c r="D141" i="123" a="1"/>
  <c r="D141" i="123" s="1"/>
  <c r="D140" i="123" a="1"/>
  <c r="D140" i="123" s="1"/>
  <c r="D139" i="123" a="1"/>
  <c r="D139" i="123" s="1"/>
  <c r="E136" i="123" a="1"/>
  <c r="E136" i="123" s="1"/>
  <c r="D136" i="123" a="1"/>
  <c r="D136" i="123" s="1"/>
  <c r="E135" i="123" a="1"/>
  <c r="E135" i="123" s="1"/>
  <c r="D135" i="123" a="1"/>
  <c r="D135" i="123" s="1"/>
  <c r="D133" i="123" a="1"/>
  <c r="D133" i="123" s="1"/>
  <c r="D132" i="123" a="1"/>
  <c r="D132" i="123" s="1"/>
  <c r="E129" i="123" a="1"/>
  <c r="E129" i="123" s="1"/>
  <c r="D129" i="123" a="1"/>
  <c r="D129" i="123" s="1"/>
  <c r="E128" i="123" a="1"/>
  <c r="E128" i="123" s="1"/>
  <c r="D128" i="123" a="1"/>
  <c r="D128" i="123" s="1"/>
  <c r="D125" i="123" a="1"/>
  <c r="D125" i="123" s="1"/>
  <c r="D124" i="123"/>
  <c r="D124" i="123" a="1"/>
  <c r="G121" i="123" a="1"/>
  <c r="G121" i="123" s="1"/>
  <c r="F121" i="123" a="1"/>
  <c r="F121" i="123" s="1"/>
  <c r="E121" i="123" a="1"/>
  <c r="E121" i="123" s="1"/>
  <c r="D121" i="123" a="1"/>
  <c r="D121" i="123" s="1"/>
  <c r="G120" i="123" a="1"/>
  <c r="G120" i="123" s="1"/>
  <c r="F120" i="123" a="1"/>
  <c r="F120" i="123" s="1"/>
  <c r="E120" i="123" a="1"/>
  <c r="E120" i="123" s="1"/>
  <c r="D120" i="123" a="1"/>
  <c r="D120" i="123" s="1"/>
  <c r="D117" i="123" a="1"/>
  <c r="D117" i="123" s="1"/>
  <c r="D116" i="123" a="1"/>
  <c r="D116" i="123" s="1"/>
  <c r="D115" i="123" a="1"/>
  <c r="D115" i="123" s="1"/>
  <c r="G112" i="123" a="1"/>
  <c r="G112" i="123" s="1"/>
  <c r="F112" i="123" a="1"/>
  <c r="F112" i="123" s="1"/>
  <c r="E112" i="123" a="1"/>
  <c r="E112" i="123" s="1"/>
  <c r="D112" i="123" a="1"/>
  <c r="D112" i="123" s="1"/>
  <c r="G111" i="123" a="1"/>
  <c r="G111" i="123" s="1"/>
  <c r="F111" i="123" a="1"/>
  <c r="F111" i="123" s="1"/>
  <c r="E111" i="123" a="1"/>
  <c r="E111" i="123" s="1"/>
  <c r="D111" i="123" a="1"/>
  <c r="D111" i="123" s="1"/>
  <c r="G110" i="123" a="1"/>
  <c r="G110" i="123" s="1"/>
  <c r="F110" i="123" a="1"/>
  <c r="F110" i="123" s="1"/>
  <c r="E110" i="123" a="1"/>
  <c r="E110" i="123" s="1"/>
  <c r="D110" i="123" a="1"/>
  <c r="D110" i="123" s="1"/>
  <c r="D107" i="123" a="1"/>
  <c r="D107" i="123" s="1"/>
  <c r="D106" i="123" a="1"/>
  <c r="D106" i="123" s="1"/>
  <c r="D105" i="123" a="1"/>
  <c r="D105" i="123" s="1"/>
  <c r="D99" i="123" a="1"/>
  <c r="D99" i="123" s="1"/>
  <c r="S97" i="123" a="1"/>
  <c r="S97" i="123" s="1"/>
  <c r="R97" i="123" a="1"/>
  <c r="R97" i="123" s="1"/>
  <c r="Q97" i="123" a="1"/>
  <c r="Q97" i="123" s="1"/>
  <c r="P97" i="123" a="1"/>
  <c r="P97" i="123" s="1"/>
  <c r="O97" i="123" a="1"/>
  <c r="O97" i="123" s="1"/>
  <c r="N97" i="123" a="1"/>
  <c r="N97" i="123" s="1"/>
  <c r="M97" i="123" a="1"/>
  <c r="M97" i="123" s="1"/>
  <c r="L97" i="123" a="1"/>
  <c r="L97" i="123" s="1"/>
  <c r="K97" i="123" a="1"/>
  <c r="K97" i="123" s="1"/>
  <c r="J97" i="123" a="1"/>
  <c r="J97" i="123" s="1"/>
  <c r="I97" i="123" a="1"/>
  <c r="I97" i="123" s="1"/>
  <c r="H97" i="123" a="1"/>
  <c r="H97" i="123" s="1"/>
  <c r="G97" i="123" a="1"/>
  <c r="G97" i="123" s="1"/>
  <c r="F97" i="123" a="1"/>
  <c r="F97" i="123" s="1"/>
  <c r="E97" i="123" a="1"/>
  <c r="E97" i="123" s="1"/>
  <c r="D97" i="123" a="1"/>
  <c r="D97" i="123" s="1"/>
  <c r="S96" i="123" a="1"/>
  <c r="S96" i="123" s="1"/>
  <c r="R96" i="123" a="1"/>
  <c r="R96" i="123" s="1"/>
  <c r="Q96" i="123" a="1"/>
  <c r="Q96" i="123" s="1"/>
  <c r="P96" i="123" a="1"/>
  <c r="P96" i="123" s="1"/>
  <c r="O96" i="123" a="1"/>
  <c r="O96" i="123" s="1"/>
  <c r="N96" i="123" a="1"/>
  <c r="N96" i="123" s="1"/>
  <c r="M96" i="123" a="1"/>
  <c r="M96" i="123" s="1"/>
  <c r="L96" i="123" a="1"/>
  <c r="L96" i="123" s="1"/>
  <c r="K96" i="123" a="1"/>
  <c r="K96" i="123" s="1"/>
  <c r="J96" i="123" a="1"/>
  <c r="J96" i="123" s="1"/>
  <c r="I96" i="123" a="1"/>
  <c r="I96" i="123" s="1"/>
  <c r="H96" i="123" a="1"/>
  <c r="H96" i="123" s="1"/>
  <c r="G96" i="123" a="1"/>
  <c r="G96" i="123" s="1"/>
  <c r="F96" i="123" a="1"/>
  <c r="F96" i="123" s="1"/>
  <c r="E96" i="123" a="1"/>
  <c r="E96" i="123" s="1"/>
  <c r="D96" i="123" a="1"/>
  <c r="D96" i="123" s="1"/>
  <c r="S95" i="123" a="1"/>
  <c r="S95" i="123" s="1"/>
  <c r="R95" i="123" a="1"/>
  <c r="R95" i="123" s="1"/>
  <c r="Q95" i="123" a="1"/>
  <c r="Q95" i="123" s="1"/>
  <c r="P95" i="123" a="1"/>
  <c r="P95" i="123" s="1"/>
  <c r="O95" i="123" a="1"/>
  <c r="O95" i="123" s="1"/>
  <c r="N95" i="123" a="1"/>
  <c r="N95" i="123" s="1"/>
  <c r="M95" i="123" a="1"/>
  <c r="M95" i="123" s="1"/>
  <c r="L95" i="123" a="1"/>
  <c r="L95" i="123" s="1"/>
  <c r="K95" i="123" a="1"/>
  <c r="K95" i="123" s="1"/>
  <c r="J95" i="123" a="1"/>
  <c r="J95" i="123" s="1"/>
  <c r="I95" i="123" a="1"/>
  <c r="I95" i="123" s="1"/>
  <c r="H95" i="123" a="1"/>
  <c r="H95" i="123" s="1"/>
  <c r="G95" i="123" a="1"/>
  <c r="G95" i="123" s="1"/>
  <c r="F95" i="123" a="1"/>
  <c r="F95" i="123" s="1"/>
  <c r="E95" i="123" a="1"/>
  <c r="E95" i="123" s="1"/>
  <c r="D95" i="123" a="1"/>
  <c r="D95" i="123" s="1"/>
  <c r="S94" i="123" a="1"/>
  <c r="S94" i="123" s="1"/>
  <c r="R94" i="123" a="1"/>
  <c r="R94" i="123" s="1"/>
  <c r="Q94" i="123" a="1"/>
  <c r="Q94" i="123" s="1"/>
  <c r="P94" i="123" a="1"/>
  <c r="P94" i="123" s="1"/>
  <c r="O94" i="123" a="1"/>
  <c r="O94" i="123" s="1"/>
  <c r="N94" i="123" a="1"/>
  <c r="N94" i="123" s="1"/>
  <c r="M94" i="123" a="1"/>
  <c r="M94" i="123" s="1"/>
  <c r="L94" i="123" a="1"/>
  <c r="L94" i="123" s="1"/>
  <c r="K94" i="123" a="1"/>
  <c r="K94" i="123" s="1"/>
  <c r="J94" i="123" a="1"/>
  <c r="J94" i="123" s="1"/>
  <c r="I94" i="123" a="1"/>
  <c r="I94" i="123" s="1"/>
  <c r="H94" i="123" a="1"/>
  <c r="H94" i="123" s="1"/>
  <c r="G94" i="123" a="1"/>
  <c r="G94" i="123" s="1"/>
  <c r="F94" i="123" a="1"/>
  <c r="F94" i="123" s="1"/>
  <c r="E94" i="123" a="1"/>
  <c r="E94" i="123" s="1"/>
  <c r="D94" i="123" a="1"/>
  <c r="D94" i="123" s="1"/>
  <c r="S93" i="123" a="1"/>
  <c r="S93" i="123" s="1"/>
  <c r="R93" i="123" a="1"/>
  <c r="R93" i="123" s="1"/>
  <c r="Q93" i="123" a="1"/>
  <c r="Q93" i="123" s="1"/>
  <c r="P93" i="123" a="1"/>
  <c r="P93" i="123" s="1"/>
  <c r="O93" i="123" a="1"/>
  <c r="O93" i="123" s="1"/>
  <c r="N93" i="123" a="1"/>
  <c r="N93" i="123" s="1"/>
  <c r="M93" i="123" a="1"/>
  <c r="M93" i="123" s="1"/>
  <c r="L93" i="123" a="1"/>
  <c r="L93" i="123" s="1"/>
  <c r="K93" i="123" a="1"/>
  <c r="K93" i="123" s="1"/>
  <c r="J93" i="123" a="1"/>
  <c r="J93" i="123" s="1"/>
  <c r="I93" i="123" a="1"/>
  <c r="I93" i="123" s="1"/>
  <c r="H93" i="123" a="1"/>
  <c r="H93" i="123" s="1"/>
  <c r="G93" i="123" a="1"/>
  <c r="G93" i="123" s="1"/>
  <c r="F93" i="123" a="1"/>
  <c r="F93" i="123" s="1"/>
  <c r="E93" i="123" a="1"/>
  <c r="E93" i="123" s="1"/>
  <c r="D93" i="123" a="1"/>
  <c r="D93" i="123" s="1"/>
  <c r="S92" i="123" a="1"/>
  <c r="S92" i="123" s="1"/>
  <c r="R92" i="123" a="1"/>
  <c r="R92" i="123" s="1"/>
  <c r="Q92" i="123" a="1"/>
  <c r="Q92" i="123" s="1"/>
  <c r="P92" i="123" a="1"/>
  <c r="P92" i="123" s="1"/>
  <c r="O92" i="123" a="1"/>
  <c r="O92" i="123" s="1"/>
  <c r="N92" i="123" a="1"/>
  <c r="N92" i="123" s="1"/>
  <c r="M92" i="123" a="1"/>
  <c r="M92" i="123" s="1"/>
  <c r="L92" i="123" a="1"/>
  <c r="L92" i="123" s="1"/>
  <c r="K92" i="123" a="1"/>
  <c r="K92" i="123" s="1"/>
  <c r="J92" i="123" a="1"/>
  <c r="J92" i="123" s="1"/>
  <c r="I92" i="123" a="1"/>
  <c r="I92" i="123" s="1"/>
  <c r="H92" i="123" a="1"/>
  <c r="H92" i="123" s="1"/>
  <c r="G92" i="123" a="1"/>
  <c r="G92" i="123" s="1"/>
  <c r="F92" i="123" a="1"/>
  <c r="F92" i="123" s="1"/>
  <c r="E92" i="123" a="1"/>
  <c r="E92" i="123" s="1"/>
  <c r="D92" i="123" a="1"/>
  <c r="D92" i="123" s="1"/>
  <c r="S91" i="123" a="1"/>
  <c r="S91" i="123" s="1"/>
  <c r="R91" i="123" a="1"/>
  <c r="R91" i="123" s="1"/>
  <c r="Q91" i="123" a="1"/>
  <c r="Q91" i="123" s="1"/>
  <c r="P91" i="123" a="1"/>
  <c r="P91" i="123" s="1"/>
  <c r="O91" i="123" a="1"/>
  <c r="O91" i="123" s="1"/>
  <c r="N91" i="123" a="1"/>
  <c r="N91" i="123" s="1"/>
  <c r="M91" i="123" a="1"/>
  <c r="M91" i="123" s="1"/>
  <c r="L91" i="123" a="1"/>
  <c r="L91" i="123" s="1"/>
  <c r="K91" i="123" a="1"/>
  <c r="K91" i="123" s="1"/>
  <c r="J91" i="123" a="1"/>
  <c r="J91" i="123" s="1"/>
  <c r="I91" i="123" a="1"/>
  <c r="I91" i="123" s="1"/>
  <c r="H91" i="123" a="1"/>
  <c r="H91" i="123" s="1"/>
  <c r="G91" i="123" a="1"/>
  <c r="G91" i="123" s="1"/>
  <c r="F91" i="123" a="1"/>
  <c r="F91" i="123" s="1"/>
  <c r="E91" i="123" a="1"/>
  <c r="E91" i="123" s="1"/>
  <c r="D91" i="123" a="1"/>
  <c r="D91" i="123" s="1"/>
  <c r="S90" i="123" a="1"/>
  <c r="S90" i="123" s="1"/>
  <c r="R90" i="123" a="1"/>
  <c r="R90" i="123" s="1"/>
  <c r="Q90" i="123" a="1"/>
  <c r="Q90" i="123" s="1"/>
  <c r="P90" i="123" a="1"/>
  <c r="P90" i="123" s="1"/>
  <c r="O90" i="123" a="1"/>
  <c r="O90" i="123" s="1"/>
  <c r="N90" i="123" a="1"/>
  <c r="N90" i="123" s="1"/>
  <c r="M90" i="123" a="1"/>
  <c r="M90" i="123" s="1"/>
  <c r="L90" i="123" a="1"/>
  <c r="L90" i="123" s="1"/>
  <c r="K90" i="123" a="1"/>
  <c r="K90" i="123" s="1"/>
  <c r="J90" i="123" a="1"/>
  <c r="J90" i="123" s="1"/>
  <c r="I90" i="123" a="1"/>
  <c r="I90" i="123" s="1"/>
  <c r="H90" i="123" a="1"/>
  <c r="H90" i="123" s="1"/>
  <c r="G90" i="123" a="1"/>
  <c r="G90" i="123" s="1"/>
  <c r="F90" i="123" a="1"/>
  <c r="F90" i="123" s="1"/>
  <c r="E90" i="123" a="1"/>
  <c r="E90" i="123" s="1"/>
  <c r="D90" i="123" a="1"/>
  <c r="D90" i="123" s="1"/>
  <c r="D83" i="123" a="1"/>
  <c r="D83" i="123" s="1"/>
  <c r="D82" i="123" a="1"/>
  <c r="D82" i="123" s="1"/>
  <c r="D81" i="123" a="1"/>
  <c r="D81" i="123" s="1"/>
  <c r="E77" i="123" a="1"/>
  <c r="E77" i="123" s="1"/>
  <c r="D77" i="123" a="1"/>
  <c r="D77" i="123" s="1"/>
  <c r="E76" i="123" a="1"/>
  <c r="E76" i="123" s="1"/>
  <c r="D76" i="123" a="1"/>
  <c r="D76" i="123" s="1"/>
  <c r="E75" i="123" a="1"/>
  <c r="E75" i="123" s="1"/>
  <c r="D75" i="123" a="1"/>
  <c r="D75" i="123" s="1"/>
  <c r="E74" i="123" a="1"/>
  <c r="E74" i="123" s="1"/>
  <c r="D74" i="123" a="1"/>
  <c r="D74" i="123" s="1"/>
  <c r="E73" i="123" a="1"/>
  <c r="E73" i="123" s="1"/>
  <c r="D73" i="123" a="1"/>
  <c r="D73" i="123" s="1"/>
  <c r="E72" i="123" a="1"/>
  <c r="E72" i="123" s="1"/>
  <c r="D72" i="123" a="1"/>
  <c r="D72" i="123" s="1"/>
  <c r="E71" i="123" a="1"/>
  <c r="E71" i="123" s="1"/>
  <c r="D71" i="123" a="1"/>
  <c r="D71" i="123" s="1"/>
  <c r="E70" i="123" a="1"/>
  <c r="E70" i="123" s="1"/>
  <c r="D70" i="123" a="1"/>
  <c r="D70" i="123" s="1"/>
  <c r="E69" i="123" a="1"/>
  <c r="E69" i="123" s="1"/>
  <c r="D69" i="123" a="1"/>
  <c r="D69" i="123" s="1"/>
  <c r="E68" i="123" a="1"/>
  <c r="E68" i="123" s="1"/>
  <c r="D68" i="123" a="1"/>
  <c r="D68" i="123" s="1"/>
  <c r="E67" i="123" a="1"/>
  <c r="E67" i="123" s="1"/>
  <c r="D67" i="123" a="1"/>
  <c r="D67" i="123" s="1"/>
  <c r="E66" i="123" a="1"/>
  <c r="E66" i="123" s="1"/>
  <c r="D66" i="123" a="1"/>
  <c r="D66" i="123" s="1"/>
  <c r="E65" i="123" a="1"/>
  <c r="E65" i="123" s="1"/>
  <c r="D65" i="123" a="1"/>
  <c r="D65" i="123" s="1"/>
  <c r="E64" i="123" a="1"/>
  <c r="E64" i="123" s="1"/>
  <c r="D64" i="123" a="1"/>
  <c r="D64" i="123" s="1"/>
  <c r="D59" i="123" a="1"/>
  <c r="D59" i="123" s="1"/>
  <c r="D58" i="123" a="1"/>
  <c r="D58" i="123" s="1"/>
  <c r="D57" i="123" a="1"/>
  <c r="D57" i="123" s="1"/>
  <c r="G54" i="123" a="1"/>
  <c r="G54" i="123" s="1"/>
  <c r="F54" i="123" a="1"/>
  <c r="F54" i="123" s="1"/>
  <c r="E54" i="123" a="1"/>
  <c r="E54" i="123" s="1"/>
  <c r="D54" i="123" a="1"/>
  <c r="D54" i="123" s="1"/>
  <c r="G53" i="123" a="1"/>
  <c r="G53" i="123" s="1"/>
  <c r="F53" i="123" a="1"/>
  <c r="F53" i="123" s="1"/>
  <c r="E53" i="123" a="1"/>
  <c r="E53" i="123" s="1"/>
  <c r="D53" i="123" a="1"/>
  <c r="D53" i="123" s="1"/>
  <c r="G52" i="123" a="1"/>
  <c r="G52" i="123" s="1"/>
  <c r="F52" i="123" a="1"/>
  <c r="F52" i="123" s="1"/>
  <c r="E52" i="123" a="1"/>
  <c r="E52" i="123" s="1"/>
  <c r="D52" i="123" a="1"/>
  <c r="D52" i="123" s="1"/>
  <c r="G51" i="123" a="1"/>
  <c r="G51" i="123" s="1"/>
  <c r="F51" i="123" a="1"/>
  <c r="F51" i="123" s="1"/>
  <c r="E51" i="123" a="1"/>
  <c r="E51" i="123" s="1"/>
  <c r="D51" i="123" a="1"/>
  <c r="D51" i="123" s="1"/>
  <c r="G50" i="123" a="1"/>
  <c r="G50" i="123" s="1"/>
  <c r="F50" i="123" a="1"/>
  <c r="F50" i="123" s="1"/>
  <c r="E50" i="123" a="1"/>
  <c r="E50" i="123" s="1"/>
  <c r="D50" i="123" a="1"/>
  <c r="D50" i="123" s="1"/>
  <c r="G49" i="123" a="1"/>
  <c r="G49" i="123" s="1"/>
  <c r="F49" i="123" a="1"/>
  <c r="F49" i="123" s="1"/>
  <c r="E49" i="123" a="1"/>
  <c r="E49" i="123" s="1"/>
  <c r="D49" i="123" a="1"/>
  <c r="D49" i="123" s="1"/>
  <c r="G48" i="123" a="1"/>
  <c r="G48" i="123" s="1"/>
  <c r="F48" i="123" a="1"/>
  <c r="F48" i="123" s="1"/>
  <c r="E48" i="123" a="1"/>
  <c r="E48" i="123" s="1"/>
  <c r="D48" i="123" a="1"/>
  <c r="D48" i="123" s="1"/>
  <c r="D46" i="123" a="1"/>
  <c r="D46" i="123" s="1"/>
  <c r="D45" i="123" a="1"/>
  <c r="D45" i="123" s="1"/>
  <c r="E43" i="123" a="1"/>
  <c r="E43" i="123" s="1"/>
  <c r="D43" i="123" a="1"/>
  <c r="D43" i="123" s="1"/>
  <c r="E42" i="123" a="1"/>
  <c r="E42" i="123" s="1"/>
  <c r="D42" i="123" a="1"/>
  <c r="D42" i="123" s="1"/>
  <c r="E41" i="123" a="1"/>
  <c r="E41" i="123" s="1"/>
  <c r="D41" i="123" a="1"/>
  <c r="D41" i="123" s="1"/>
  <c r="E40" i="123" a="1"/>
  <c r="E40" i="123" s="1"/>
  <c r="D40" i="123" a="1"/>
  <c r="D40" i="123" s="1"/>
  <c r="E39" i="123" a="1"/>
  <c r="E39" i="123" s="1"/>
  <c r="D39" i="123" a="1"/>
  <c r="D39" i="123" s="1"/>
  <c r="E38" i="123" a="1"/>
  <c r="E38" i="123" s="1"/>
  <c r="D38" i="123" a="1"/>
  <c r="D38" i="123" s="1"/>
  <c r="E37" i="123" a="1"/>
  <c r="E37" i="123" s="1"/>
  <c r="D37" i="123" a="1"/>
  <c r="D37" i="123" s="1"/>
  <c r="D35" i="123" a="1"/>
  <c r="D35" i="123" s="1"/>
  <c r="D34" i="123" a="1"/>
  <c r="D34" i="123" s="1"/>
  <c r="D30" i="123" a="1"/>
  <c r="D30" i="123" s="1"/>
  <c r="D29" i="123" a="1"/>
  <c r="D29" i="123" s="1"/>
  <c r="D28" i="123" a="1"/>
  <c r="D28" i="123" s="1"/>
  <c r="D27" i="123" a="1"/>
  <c r="D27" i="123" s="1"/>
  <c r="D26" i="123" a="1"/>
  <c r="D26" i="123" s="1"/>
  <c r="D25" i="123" a="1"/>
  <c r="D25" i="123" s="1"/>
  <c r="D24" i="123" a="1"/>
  <c r="D24" i="123" s="1"/>
  <c r="D23" i="123" a="1"/>
  <c r="D23" i="123" s="1"/>
  <c r="D22" i="123" a="1"/>
  <c r="D22" i="123" s="1"/>
  <c r="D21" i="123" a="1"/>
  <c r="D21" i="123" s="1"/>
  <c r="D19" i="123" a="1"/>
  <c r="D19" i="123" s="1"/>
  <c r="D18" i="123" a="1"/>
  <c r="D18" i="123" s="1"/>
  <c r="F14" i="123" a="1"/>
  <c r="F14" i="123" s="1"/>
  <c r="E14" i="123" a="1"/>
  <c r="E14" i="123" s="1"/>
  <c r="D14" i="123" a="1"/>
  <c r="D14" i="123" s="1"/>
  <c r="F13" i="123" a="1"/>
  <c r="F13" i="123" s="1"/>
  <c r="E13" i="123" a="1"/>
  <c r="E13" i="123" s="1"/>
  <c r="D13" i="123" a="1"/>
  <c r="D13" i="123" s="1"/>
  <c r="F12" i="123" a="1"/>
  <c r="F12" i="123" s="1"/>
  <c r="E12" i="123" a="1"/>
  <c r="E12" i="123" s="1"/>
  <c r="D12" i="123" a="1"/>
  <c r="D12" i="123" s="1"/>
  <c r="F11" i="123" a="1"/>
  <c r="F11" i="123" s="1"/>
  <c r="E11" i="123" a="1"/>
  <c r="E11" i="123" s="1"/>
  <c r="D11" i="123" a="1"/>
  <c r="D11" i="123" s="1"/>
  <c r="F10" i="123" a="1"/>
  <c r="F10" i="123" s="1"/>
  <c r="E10" i="123" a="1"/>
  <c r="E10" i="123" s="1"/>
  <c r="D10" i="123" a="1"/>
  <c r="D10" i="123" s="1"/>
  <c r="F9" i="123" a="1"/>
  <c r="F9" i="123" s="1"/>
  <c r="E9" i="123" a="1"/>
  <c r="E9" i="123" s="1"/>
  <c r="D9" i="123" a="1"/>
  <c r="D9" i="123" s="1"/>
  <c r="F8" i="123" a="1"/>
  <c r="F8" i="123" s="1"/>
  <c r="E8" i="123" a="1"/>
  <c r="E8" i="123" s="1"/>
  <c r="D8" i="123" a="1"/>
  <c r="D8" i="123" s="1"/>
  <c r="F7" i="123" a="1"/>
  <c r="F7" i="123" s="1"/>
  <c r="E7" i="123" a="1"/>
  <c r="E7" i="123" s="1"/>
  <c r="D7" i="123" a="1"/>
  <c r="D7" i="123" s="1"/>
  <c r="D5" i="123" a="1"/>
  <c r="D5" i="123" s="1"/>
  <c r="A14" i="69"/>
  <c r="A11" i="69"/>
  <c r="A8" i="69"/>
  <c r="A5" i="69"/>
  <c r="A4" i="69"/>
  <c r="A3" i="69"/>
  <c r="A14" i="70"/>
  <c r="A11" i="70"/>
  <c r="A8" i="70"/>
  <c r="A5" i="70"/>
  <c r="A4" i="70"/>
  <c r="A3" i="70"/>
  <c r="A14" i="13"/>
  <c r="A11" i="13"/>
  <c r="A8" i="13"/>
  <c r="A5" i="13"/>
  <c r="A4" i="13"/>
  <c r="A3" i="13"/>
  <c r="A8" i="118"/>
  <c r="A11" i="118"/>
  <c r="E15" i="69" a="1"/>
  <c r="E15" i="69" s="1"/>
  <c r="E9" i="13" s="1"/>
  <c r="E10" i="13" s="1"/>
  <c r="I13" i="69"/>
  <c r="G13" i="69" a="1"/>
  <c r="G13" i="69" s="1"/>
  <c r="D13" i="69" a="1"/>
  <c r="D13" i="69" s="1"/>
  <c r="E11" i="69" a="1"/>
  <c r="E11" i="69" s="1"/>
  <c r="F15" i="69" s="1"/>
  <c r="E10" i="69" a="1"/>
  <c r="E10" i="69" s="1"/>
  <c r="D6" i="69" a="1"/>
  <c r="D6" i="69" s="1"/>
  <c r="D5" i="69" a="1"/>
  <c r="D5" i="69" s="1"/>
  <c r="E7" i="69" a="1"/>
  <c r="H53" i="123" l="1"/>
  <c r="H49" i="123"/>
  <c r="H50" i="123"/>
  <c r="H54" i="123"/>
  <c r="H48" i="123"/>
  <c r="H51" i="123"/>
  <c r="H52" i="123"/>
  <c r="E7" i="69"/>
  <c r="F9" i="13" l="1"/>
  <c r="F10" i="13" s="1"/>
  <c r="A14" i="118" l="1"/>
  <c r="A5" i="118"/>
  <c r="A4" i="118"/>
  <c r="A3" i="1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<sst xmlns="http://schemas.openxmlformats.org/spreadsheetml/2006/main" count="116" uniqueCount="98">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</sst>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6" fillId="13" borderId="15" xfId="39" applyBorder="1">
      <alignment horizontal="left" vertical="center"/>
    </xf>
    <xf numFmtId="0" fontId="36" fillId="13" borderId="14" xfId="39" applyBorder="1">
      <alignment horizontal="left" vertical="center"/>
    </xf>
    <xf numFmtId="0" fontId="36" fillId="13" borderId="16" xfId="39" applyBorder="1">
      <alignment horizontal="left" vertical="center"/>
    </xf>
    <xf numFmtId="0" fontId="2" fillId="0" borderId="2" xfId="14">
      <alignment horizontal="center" vertical="center"/>
    </xf>
    <xf numFmtId="0" fontId="50" fillId="4" borderId="1" xfId="8" applyFont="1" applyBorder="1">
      <alignment horizontal="left" vertical="center"/>
    </xf>
    <xf numFmtId="0" fontId="48"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2">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Equation table" pivot="0" count="6" xr9:uid="{B247698E-E41D-4CCD-AA0A-C14817E9DE65}">
      <tableStyleElement type="wholeTable" dxfId="55"/>
      <tableStyleElement type="headerRow" dxfId="54"/>
      <tableStyleElement type="totalRow" dxfId="53"/>
      <tableStyleElement type="firstColumn" dxfId="52"/>
      <tableStyleElement type="firstRowStripe" dxfId="51"/>
      <tableStyleElement type="secondRowStripe" dxfId="5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pPr algn="ct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pPr algn="ct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SupplementaryCO2" displayName="Table_Input_SupplementaryCO2" ref="D9:E11" totalsRowDxfId="49"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48" dataCellStyle="Input text" totalsRowCellStyle="Input select"/>
    <tableColumn id="4" xr3:uid="{9DFFE0DC-C289-47FB-8F0C-2D2F480EEE4C}" name="Amount used (kg)" totalsRowDxfId="47"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ADC772-EA5E-433B-91D5-0C82352E20A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475A86E-019F-4C77-B082-710B26588B4B}" name="State/Territory">
      <calculatedColumnFormula array="1">Common_InputFunctions.Utility_DisplayArrayInTable(Common_SourceData.Common_SourceData_AustralianStatesTerritories_Data(),Table_AustralianStates[[#Headers],[State/Territory]],0)</calculatedColumnFormula>
    </tableColumn>
    <tableColumn id="2" xr3:uid="{0E6BB605-9345-49CD-98CE-B1FF7E9E599C}" name="Common Name">
      <calculatedColumnFormula array="1">Common_InputFunctions.Utility_DisplayArrayInTable(Common_SourceData.Common_SourceData_AustralianStatesTerritories_Data(),Table_AustralianStates[[#Headers],[State/Territory]],0)</calculatedColumnFormula>
    </tableColumn>
    <tableColumn id="3" xr3:uid="{AAE59A34-4695-4ED0-896B-485989902F5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E938AA-6F08-4062-B88A-24FC0304890A}" name="Table_WASA4Areas" displayName="Table_WASA4Areas" ref="D20:D30" totalsRowShown="0">
  <autoFilter ref="D20:D30" xr:uid="{5FA81339-C6C8-4D36-BEEA-6C4AEDD9E676}">
    <filterColumn colId="0" hiddenButton="1"/>
  </autoFilter>
  <tableColumns count="1">
    <tableColumn id="1" xr3:uid="{8B1C097D-25DC-42D1-8D9B-E0AE1E3C56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D12EAB-B378-41DF-8647-DA9306E8B228}" name="Table_GWPData" displayName="Table_GWPData" ref="D36:E43" totalsRowShown="0">
  <autoFilter ref="D36:E43" xr:uid="{B8E87A66-3E41-4AD3-925D-01EE21B43D7A}">
    <filterColumn colId="0" hiddenButton="1"/>
    <filterColumn colId="1" hiddenButton="1"/>
  </autoFilter>
  <tableColumns count="2">
    <tableColumn id="1" xr3:uid="{065C13CF-96F2-4C01-8AFC-EE5E672E3445}" name="Gas">
      <calculatedColumnFormula array="1">Common_InputFunctions.Utility_DisplayArrayInTable(Common_SourceData.Common_SourceData_GWP_Data(), Table_GWPData[[#Headers],[Gas]], 0)</calculatedColumnFormula>
    </tableColumn>
    <tableColumn id="2" xr3:uid="{F297B39A-0108-4B97-BE42-3842A5BC196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69636A-061F-4F7D-89A6-5D0C403191B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5DB43C9-F9A1-4150-8FDB-431E493449DF}" name="Gas">
      <calculatedColumnFormula array="1">Common_InputFunctions.Utility_DisplayArrayInTable(Common_SourceData.Common_SourceData_ConvertGasElementalToMolecular_Data(),Table_GasToMolecularConversionFactor[[#Headers],[Gas]], 0)</calculatedColumnFormula>
    </tableColumn>
    <tableColumn id="5" xr3:uid="{87D9FA60-95A8-455D-8335-282ED727679E}" name="Conversion factor">
      <calculatedColumnFormula array="1">Common_InputFunctions.Utility_DisplayArrayInTable(Common_SourceData.Common_SourceData_ConvertGasElementalToMolecular_Data(),Table_GasToMolecularConversionFactor[[#Headers],[Gas]], 0)</calculatedColumnFormula>
    </tableColumn>
    <tableColumn id="2" xr3:uid="{D5861B41-6E53-4E00-86C1-8543D2408553}"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CD51FCF-1F4B-4487-9A72-0A768B15987C}"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87CA5C0-6ADC-4106-A054-BCDF5C169AC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AA9DA4-746B-4D65-9342-E8D154658AC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7233F6-DEF8-4C23-B971-48F0B211B5E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C078087-8413-48FD-9ABC-A81F79A0365F}"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E06E46AB-F2A3-4D0E-9DA8-6019416CB348}"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61B5387C-8E7E-4348-B844-0DD6EDB1815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5D2D1E36-05BB-4AF5-A109-2E81B7E0E27E}"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9CEAA2A2-E598-4FB9-878C-67089701E719}"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75BEB992-6841-4944-B52E-149C1BAC548A}"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A96FE33C-AA42-4EFA-A6FE-656C06685D13}"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5E853EA5-0EA6-4591-9BFC-AF5B0D66899D}"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34EB25A8-147A-4AA4-BAB6-7861FC26CF5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C73E5785-0912-4BDE-A383-519AAB857EB8}"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B343787C-D2A5-44ED-81A8-C9D48FC86826}"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211ACD6B-7B0C-4CD1-B7A3-746D95F86A1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E0B8BDED-4D50-4C16-8DC2-2E8CBA07045A}"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D9925134-ABBF-4B7B-B0CA-BF1D5863F478}"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F8AF9ED0-1B38-41E1-8A6B-CF841FB00275}"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53938B7-C961-4EBE-8CA7-CD0617572E7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45ADA6E-9BDC-47FA-B55B-CCC0AFF4AE8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81513E9-A040-49E4-98DD-73697CAD90FF}"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5DC716-352E-494D-84FE-89EC306148F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1644AD4-DEA1-4785-AEB8-89154E24F05C}" name="Temperature Zone">
      <calculatedColumnFormula array="1">Common_InputFunctions.Utility_DisplayArrayInTable(Common_SourceData.Common_SourceData_TemperatureZones_Data(),Table_SourceData_TemperatureZones[[#Headers],[Temperature Zone]],0)</calculatedColumnFormula>
    </tableColumn>
    <tableColumn id="2" xr3:uid="{893DC201-1D6E-4DCB-B67B-9B3D5605FEF2}" name="MAT">
      <calculatedColumnFormula array="1">Common_InputFunctions.Utility_DisplayArrayInTable(Common_SourceData.Common_SourceData_TemperatureZones_Data(),Table_SourceData_TemperatureZones[[#Headers],[Temperature Zone]],0)</calculatedColumnFormula>
    </tableColumn>
    <tableColumn id="3" xr3:uid="{41E5D688-8D27-4F0A-A5DA-172049ABD36B}" name="Min MAT">
      <calculatedColumnFormula array="1">Common_InputFunctions.Utility_DisplayArrayInTable(Common_SourceData.Common_SourceData_TemperatureZones_Data(),Table_SourceData_TemperatureZones[[#Headers],[Temperature Zone]],0)</calculatedColumnFormula>
    </tableColumn>
    <tableColumn id="4" xr3:uid="{FAD8E530-E470-49D6-86B2-C27C2F7293A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DB768F-E4DE-437B-A85D-D4CA096DA3E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617EBEB-D565-4DAC-A5B9-A1337C720E0E}" name="Rainfall Zone">
      <calculatedColumnFormula array="1">Common_InputFunctions.Utility_DisplayArrayInTable(Common_SourceData.Common_SourceData_RainfallZones_Data(),Table_SourceData_RainfallZones[[#Headers],[Rainfall Zone]],0)</calculatedColumnFormula>
    </tableColumn>
    <tableColumn id="2" xr3:uid="{0B52BDC6-B9A6-457D-89D5-C9813110D291}" name="Annual rainfall">
      <calculatedColumnFormula array="1">Common_InputFunctions.Utility_DisplayArrayInTable(Common_SourceData.Common_SourceData_RainfallZones_Data(),Table_SourceData_RainfallZones[[#Headers],[Rainfall Zone]],0)</calculatedColumnFormula>
    </tableColumn>
    <tableColumn id="3" xr3:uid="{97EEB659-9CC4-4892-AE7F-3B354DDDC201}" name="Min rainfall">
      <calculatedColumnFormula array="1">Common_InputFunctions.Utility_DisplayArrayInTable(Common_SourceData.Common_SourceData_RainfallZones_Data(),Table_SourceData_RainfallZones[[#Headers],[Rainfall Zone]],0)</calculatedColumnFormula>
    </tableColumn>
    <tableColumn id="4" xr3:uid="{99B62BD1-9354-4A0B-8AF0-87E39BB6F9F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A826D83-A587-4203-B1E6-E5AB7CB217D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70F9377-590C-45A2-88C4-0579163D4540}" name="Leaching Zone">
      <calculatedColumnFormula array="1">Common_InputFunctions.Utility_DisplayArrayInTable(Common_SourceData.Common_SourceData_LeachingZones_Data(), Table_SourceData_LeachingZones[[#Headers],[Leaching Zone]], 0)</calculatedColumnFormula>
    </tableColumn>
    <tableColumn id="2" xr3:uid="{B6A91DC2-A896-483B-990D-C153C84E81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EBE31A5-F469-4D50-8E7E-85256DF3AF7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8FB5E3F-4655-4D63-A988-91420A3FE875}" name="Data source">
      <calculatedColumnFormula array="1">Common_InputFunctions.Utility_DisplayArrayInTable(Common_SourceData.Common_SourceData_DataScores_Scope3_Data(), Table_SourceData_DataScores_Scope3[[#Headers],[Data source]], 0)</calculatedColumnFormula>
    </tableColumn>
    <tableColumn id="2" xr3:uid="{483B6B3C-47D9-40E1-85E8-8561F30444E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FF86950-68CB-42C0-B089-C60D746B8AE3}" name="Table_SourceData_FracWET" displayName="Table_SourceData_FracWET" ref="D134:E136" totalsRowShown="0">
  <autoFilter ref="D134:E136" xr:uid="{308E99BE-FE1F-47A4-B2CA-97217277C4E9}">
    <filterColumn colId="0" hiddenButton="1"/>
    <filterColumn colId="1" hiddenButton="1"/>
  </autoFilter>
  <tableColumns count="2">
    <tableColumn id="1" xr3:uid="{A4EB55F1-64C2-420C-BAF6-A969104285A6}" name="Is in leaching zone">
      <calculatedColumnFormula array="1">Common_InputFunctions.Utility_DisplayArrayInTable(Common_SourceData.Common_SourceData_FracWET_Data(),Table_SourceData_FracWET[[#Headers],[Is in leaching zone]],0)</calculatedColumnFormula>
    </tableColumn>
    <tableColumn id="2" xr3:uid="{58C0EB8C-3FFB-42E6-9439-15B18019D100}"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3AFE20E-DAB8-46A4-835D-B77A062973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A4BD8BF-4297-4153-A404-E61612B78993}" name="Production system j">
      <calculatedColumnFormula array="1">Common_InputFunctions.Utility_DisplayArrayInTable(Common_SourceData.Common_SourceData_EFN2O_Data(), Table_SourceData_Common_EFN2O[[#Headers],[Production system j]], 0)</calculatedColumnFormula>
    </tableColumn>
    <tableColumn id="2" xr3:uid="{19A76A7D-B22B-4F83-A3F3-E659F931F76E}" name="EFN2O">
      <calculatedColumnFormula array="1">Common_InputFunctions.Utility_DisplayArrayInTable(Common_SourceData.Common_SourceData_EFN2O_Data(), Table_SourceData_Common_EFN2O[[#Headers],[Production system j]], 0)</calculatedColumnFormula>
    </tableColumn>
    <tableColumn id="3" xr3:uid="{91FC03C9-80F8-4876-B6F3-A091F8B2D2FC}" name="Production system only">
      <calculatedColumnFormula array="1">Common_InputFunctions.Utility_DisplayArrayInTable(Common_SourceData.Common_SourceData_EFN2O_Data(), Table_SourceData_Common_EFN2O[[#Headers],[Production system j]], 0)</calculatedColumnFormula>
    </tableColumn>
    <tableColumn id="4" xr3:uid="{EFD7456C-3006-41EE-B6B6-0D3EE0D4A261}" name="Irrigation method">
      <calculatedColumnFormula array="1">Common_InputFunctions.Utility_DisplayArrayInTable(Common_SourceData.Common_SourceData_EFN2O_Data(), Table_SourceData_Common_EFN2O[[#Headers],[Production system j]], 0)</calculatedColumnFormula>
    </tableColumn>
    <tableColumn id="5" xr3:uid="{6DEEEC44-C52E-40C7-AAF4-DD74AA666E2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829E9F-C966-439A-B9BA-B3116C8C82B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150E63D-D5D5-420D-9154-9DFE21F76D8B}" name="Irrigation type i">
      <calculatedColumnFormula array="1">Common_InputFunctions.Utility_DisplayArrayInTable(Common_SourceData.Common_SourceData_FracWETIrrigation_Data(), Table_SourceData_FracWETIrrigation[[#Headers],[Irrigation type i]], 0)</calculatedColumnFormula>
    </tableColumn>
    <tableColumn id="2" xr3:uid="{960A6E10-919B-40F0-9AAC-80B19FA883DF}"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F95BE01-A12C-4A48-AAE9-836A6A25761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3312A31-9282-435C-B4FD-1741806CF3D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398AAE0-CBD9-4CC5-9261-199C4BABBBF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6DE116F-1367-457C-9404-2B393E2C719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1B98E3B-FA94-489F-BD3B-C07B2E339C6A}" name="Month">
      <calculatedColumnFormula array="1">Common_InputFunctions.Utility_DisplayArrayInTable(Common_SourceData.Common_SourceData_MonthsToSeasons_Data(), Table_SourceData_Common_MonthToSeason[[#Headers],[Month]], 0)</calculatedColumnFormula>
    </tableColumn>
    <tableColumn id="2" xr3:uid="{AF160977-285F-461C-87EC-A6DF21119737}"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B3EC85D-9E46-461E-9649-64C43AF2459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759346-796F-43D7-8366-FEA179A1436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31A43E6-41BE-47E5-94C7-FA342E1A327D}"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EF04B9F-2FFC-4301-9B96-15CE61973FFB}"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E532650-CFFA-406F-A906-F961444D0125}"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4CEAE059-39A1-469F-B121-D4C01CC98BEB}"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34C88DA-789E-4F3E-AD75-0D9B2CC22D7A}"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CB045DF-8515-472B-8158-83166437C71E}"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F3E3A55-68A1-4AA9-9F23-C61AE74A2514}"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82E9EB0-5535-44D4-9618-1AAA7BDC367B}"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29BF8F-25D0-4850-9EE6-23E95AA4CA1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2CCE495-EA11-4EBD-AFD3-DCB807AA509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3C823A7-DDEF-4B47-B312-ABC9EE05E434}"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BEA7237-0720-46D5-A66F-0710B3A5BFBC}"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9E72303-413D-42E5-894E-6A4D2D34DC21}"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7061746-B7EA-454C-BA50-4B42EFB3F0E0}"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3E26496-FF78-4D80-83DE-52E9EB25004A}"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287AB9-D857-42CA-9329-53B9F1A9376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2B97538-2A93-4A5F-821B-63333CB37CB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0D4FB0D-6804-45B0-A258-9C18A5FBEF67}"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6" t="s">
        <v>97</v>
      </c>
      <c r="D1" s="57"/>
      <c r="E1" s="57"/>
      <c r="F1" s="57"/>
      <c r="G1" s="57"/>
      <c r="H1" s="57"/>
      <c r="I1" s="57"/>
      <c r="J1" s="57"/>
      <c r="K1" s="57"/>
      <c r="L1" s="57"/>
      <c r="M1" s="57"/>
      <c r="N1" s="57"/>
      <c r="O1" s="57"/>
      <c r="P1" s="57"/>
    </row>
    <row r="2" spans="1:17" ht="20.100000000000001" customHeight="1" x14ac:dyDescent="0.25">
      <c r="A2" s="8"/>
      <c r="C2" s="57"/>
      <c r="D2" s="57"/>
      <c r="E2" s="57"/>
      <c r="F2" s="57"/>
      <c r="G2" s="57"/>
      <c r="H2" s="57"/>
      <c r="I2" s="57"/>
      <c r="J2" s="57"/>
      <c r="K2" s="57"/>
      <c r="L2" s="57"/>
      <c r="M2" s="57"/>
      <c r="N2" s="57"/>
      <c r="O2" s="57"/>
      <c r="P2" s="57"/>
      <c r="Q2" s="58"/>
    </row>
    <row r="3" spans="1:17" ht="20.100000000000001" customHeight="1" x14ac:dyDescent="0.25">
      <c r="A3" s="13" t="str">
        <f>HYPERLINK("#'Home'!A1", "Home")</f>
        <v>Home</v>
      </c>
      <c r="C3" s="59"/>
      <c r="D3" s="59"/>
      <c r="E3" s="59"/>
      <c r="F3" s="59"/>
      <c r="G3" s="59"/>
      <c r="H3" s="59"/>
      <c r="I3" s="59"/>
      <c r="J3" s="59"/>
      <c r="K3" s="59"/>
      <c r="L3" s="59"/>
      <c r="M3" s="59"/>
      <c r="N3" s="59"/>
      <c r="O3" s="59"/>
      <c r="P3" s="59"/>
    </row>
    <row r="4" spans="1:17" ht="20.100000000000001" customHeight="1" x14ac:dyDescent="0.25">
      <c r="A4" s="44" t="str">
        <f>HYPERLINK("#'Overview'!A1", "Overview")</f>
        <v>Overview</v>
      </c>
    </row>
    <row r="5" spans="1:17" ht="20.100000000000001" customHeight="1" x14ac:dyDescent="0.25">
      <c r="A5" s="13" t="str">
        <f>HYPERLINK("#'Results'!A1", "Results")</f>
        <v>Results</v>
      </c>
      <c r="D5" s="42" t="s">
        <v>83</v>
      </c>
      <c r="E5" s="36"/>
      <c r="F5" s="36"/>
      <c r="G5" s="36"/>
      <c r="H5" s="36"/>
      <c r="I5" s="36"/>
      <c r="J5" s="36"/>
      <c r="K5" s="36"/>
      <c r="L5" s="36"/>
      <c r="M5" s="36"/>
      <c r="N5" s="36"/>
      <c r="O5" s="33"/>
    </row>
    <row r="6" spans="1:17" ht="20.100000000000001" customHeight="1" x14ac:dyDescent="0.25">
      <c r="A6" s="12"/>
      <c r="D6" s="60" t="s">
        <v>84</v>
      </c>
      <c r="E6" s="35"/>
      <c r="F6" s="35"/>
      <c r="G6" s="35"/>
      <c r="H6" s="35"/>
      <c r="I6" s="35"/>
      <c r="J6" s="35"/>
      <c r="K6" s="35"/>
      <c r="L6" s="35"/>
      <c r="M6" s="35"/>
      <c r="N6" s="35"/>
      <c r="O6" s="34"/>
    </row>
    <row r="7" spans="1:17" ht="20.100000000000001" customHeight="1" x14ac:dyDescent="0.25">
      <c r="A7" s="16" t="s">
        <v>1</v>
      </c>
    </row>
    <row r="8" spans="1:17" ht="20.100000000000001" customHeight="1" x14ac:dyDescent="0.25">
      <c r="A8" s="13" t="str">
        <f>HYPERLINK("#'Input - CO2 Use'!A1", "CO2 Use")</f>
        <v>CO2 Use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HYPERLINK("#'12.1.1-2 Supplementary CO2'!A1", "12.1.1-2 Supplementary CO2")</f>
        <v>12.1.1-2 Supplementary CO2</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Common'!A1", "Constants - Common")</f>
        <v>Constants - Common</v>
      </c>
      <c r="O14" s="1" t="s">
        <v>86</v>
      </c>
    </row>
    <row r="15" spans="1:17" ht="20.100000000000001" customHeight="1" x14ac:dyDescent="0.25"/>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c r="A22" s="13"/>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10" sqref="F10"/>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6" t="s">
        <v>96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4"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CO2 Use'!A1", "CO2 Use")</f>
        <v>CO2 Use</v>
      </c>
      <c r="C8" s="18"/>
      <c r="D8" s="40" t="s">
        <v>50</v>
      </c>
      <c r="E8" s="40" t="s">
        <v>60</v>
      </c>
      <c r="F8" s="40" t="s">
        <v>61</v>
      </c>
      <c r="G8" s="40" t="s">
        <v>56</v>
      </c>
      <c r="H8" s="18"/>
    </row>
    <row r="9" spans="1:8" ht="20.100000000000001" customHeight="1" x14ac:dyDescent="0.25">
      <c r="A9" s="13"/>
      <c r="C9" s="18"/>
      <c r="D9" s="1" t="s">
        <v>88</v>
      </c>
      <c r="E9" s="55">
        <f>VEERG_12_1_1_1__1_EmissionsFromSupplementaryCO2_Result_Method1</f>
        <v>0.2</v>
      </c>
      <c r="F9" s="55">
        <f>E9</f>
        <v>0.2</v>
      </c>
      <c r="G9" s="29" t="s">
        <v>95</v>
      </c>
      <c r="H9" s="18"/>
    </row>
    <row r="10" spans="1:8" ht="20.100000000000001" customHeight="1" x14ac:dyDescent="0.3">
      <c r="A10" s="15" t="s">
        <v>45</v>
      </c>
      <c r="C10" s="18"/>
      <c r="D10" s="24" t="s">
        <v>55</v>
      </c>
      <c r="E10" s="39">
        <f>SUM(E9:E9)</f>
        <v>0.2</v>
      </c>
      <c r="F10" s="39">
        <f>SUM(F9:F9)</f>
        <v>0.2</v>
      </c>
      <c r="G10" s="37" t="s">
        <v>95</v>
      </c>
      <c r="H10" s="18"/>
    </row>
    <row r="11" spans="1:8" ht="20.100000000000001" customHeight="1" x14ac:dyDescent="0.25">
      <c r="A11" s="13" t="str">
        <f>HYPERLINK("#'12.1.1-2 Supplementary CO2'!A1", "12.1.1-2 Supplementary CO2")</f>
        <v>12.1.1-2 Supplementary CO2</v>
      </c>
      <c r="C11" s="18"/>
      <c r="D11" s="1"/>
      <c r="E11" s="1"/>
      <c r="F11" s="1"/>
      <c r="G11" s="1"/>
      <c r="H11" s="18"/>
    </row>
    <row r="12" spans="1:8" ht="20.100000000000001" customHeight="1" x14ac:dyDescent="0.25">
      <c r="A12" s="13"/>
      <c r="C12" s="18"/>
      <c r="D12" s="1"/>
      <c r="E12" s="1"/>
      <c r="F12" s="1"/>
      <c r="G12" s="1"/>
      <c r="H12" s="18"/>
    </row>
    <row r="13" spans="1:8" ht="20.100000000000001" customHeight="1" x14ac:dyDescent="0.25">
      <c r="A13" s="14" t="s">
        <v>2</v>
      </c>
      <c r="C13" s="18"/>
      <c r="D13" s="1"/>
      <c r="E13" s="41"/>
      <c r="F13" s="29"/>
      <c r="G13" s="1"/>
      <c r="H13" s="18"/>
    </row>
    <row r="14" spans="1:8" ht="20.100000000000001" customHeight="1" x14ac:dyDescent="0.25">
      <c r="A14" s="13" t="str">
        <f>HYPERLINK("#'Constants - Common'!A1", "Constants - Common")</f>
        <v>Constants - Common</v>
      </c>
      <c r="C14" s="18"/>
      <c r="D14" s="1"/>
      <c r="E14" s="41"/>
      <c r="F14" s="29"/>
      <c r="G14" s="1"/>
      <c r="H14" s="18"/>
    </row>
    <row r="15" spans="1:8" ht="20.100000000000001" customHeight="1" x14ac:dyDescent="0.25">
      <c r="C15" s="18"/>
      <c r="D15" s="1"/>
      <c r="E15" s="1"/>
      <c r="F15" s="1"/>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1"/>
      <c r="F21" s="29"/>
      <c r="G21" s="1"/>
      <c r="H21" s="18"/>
    </row>
    <row r="22" spans="1:8" ht="20.100000000000001" customHeight="1" x14ac:dyDescent="0.25">
      <c r="C22" s="18"/>
      <c r="D22" s="1"/>
      <c r="E22" s="41"/>
      <c r="F22" s="29"/>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D11" sqref="D11"/>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32" customFormat="1" ht="30" customHeight="1" x14ac:dyDescent="0.35">
      <c r="A1" s="32" t="e" vm="1">
        <v>#VALUE!</v>
      </c>
      <c r="C1" s="32" t="s">
        <v>87</v>
      </c>
    </row>
    <row r="2" spans="1:7" s="8" customFormat="1" ht="20.100000000000001" customHeight="1" x14ac:dyDescent="0.25"/>
    <row r="3" spans="1:7" ht="20.100000000000001" customHeight="1" x14ac:dyDescent="0.25">
      <c r="A3" s="13" t="str">
        <f>HYPERLINK("#'Home'!A1", "Home")</f>
        <v>Home</v>
      </c>
      <c r="C3" s="11"/>
      <c r="D3" s="11"/>
      <c r="E3" s="11"/>
      <c r="F3" s="11"/>
      <c r="G3" s="11"/>
    </row>
    <row r="4" spans="1:7" ht="20.100000000000001" customHeight="1" x14ac:dyDescent="0.25">
      <c r="A4" s="13" t="str">
        <f>HYPERLINK("#'Overview'!A1", "Overview")</f>
        <v>Overview</v>
      </c>
    </row>
    <row r="5" spans="1:7" ht="20.100000000000001" customHeight="1" x14ac:dyDescent="0.25">
      <c r="A5" s="13" t="str">
        <f>HYPERLINK("#'Results'!A1", "Results")</f>
        <v>Results</v>
      </c>
      <c r="D5" s="5" t="s">
        <v>93</v>
      </c>
      <c r="E5" s="2"/>
      <c r="F5" s="2"/>
    </row>
    <row r="6" spans="1:7" ht="20.100000000000001" customHeight="1" x14ac:dyDescent="0.25">
      <c r="A6" s="12"/>
      <c r="D6" s="18"/>
      <c r="E6" s="18"/>
      <c r="F6" s="18"/>
    </row>
    <row r="7" spans="1:7" ht="20.100000000000001" customHeight="1" x14ac:dyDescent="0.25">
      <c r="A7" s="16" t="s">
        <v>1</v>
      </c>
      <c r="D7" s="64" t="s">
        <v>85</v>
      </c>
      <c r="E7" s="65"/>
      <c r="F7" s="63"/>
    </row>
    <row r="8" spans="1:7" ht="20.100000000000001" customHeight="1" x14ac:dyDescent="0.25">
      <c r="A8" s="43" t="str">
        <f>HYPERLINK("#'Input - CO2 Use'!A1", "CO2 Use")</f>
        <v>CO2 Use</v>
      </c>
      <c r="D8" s="18"/>
      <c r="E8" s="18"/>
      <c r="F8" s="18"/>
    </row>
    <row r="9" spans="1:7" ht="20.100000000000001" customHeight="1" x14ac:dyDescent="0.25">
      <c r="A9" s="13"/>
      <c r="D9" s="46" t="s">
        <v>90</v>
      </c>
      <c r="E9" s="46" t="s">
        <v>89</v>
      </c>
      <c r="F9" s="18"/>
    </row>
    <row r="10" spans="1:7" ht="20.100000000000001" customHeight="1" x14ac:dyDescent="0.25">
      <c r="A10" s="15" t="s">
        <v>45</v>
      </c>
      <c r="D10" s="66" t="s">
        <v>91</v>
      </c>
      <c r="E10" s="62">
        <v>100</v>
      </c>
    </row>
    <row r="11" spans="1:7" ht="20.100000000000001" customHeight="1" x14ac:dyDescent="0.25">
      <c r="A11" s="13" t="str">
        <f>HYPERLINK("#'12.1.1-2 Supplementary CO2'!A1", "12.1.1-2 Supplementary CO2")</f>
        <v>12.1.1-2 Supplementary CO2</v>
      </c>
      <c r="D11" s="66" t="s">
        <v>92</v>
      </c>
      <c r="E11" s="62">
        <v>100</v>
      </c>
    </row>
    <row r="12" spans="1:7" ht="20.100000000000001" customHeight="1" x14ac:dyDescent="0.25">
      <c r="A12" s="13"/>
    </row>
    <row r="13" spans="1:7" ht="20.100000000000001" customHeight="1" x14ac:dyDescent="0.25">
      <c r="A13" s="14" t="s">
        <v>2</v>
      </c>
    </row>
    <row r="14" spans="1:7" ht="20.100000000000001" customHeight="1" x14ac:dyDescent="0.25">
      <c r="A14" s="13" t="str">
        <f>HYPERLINK("#'Constants - Common'!A1", "Constants - Common")</f>
        <v>Constants - Common</v>
      </c>
    </row>
    <row r="15" spans="1:7" ht="20.100000000000001" customHeight="1" x14ac:dyDescent="0.25"/>
    <row r="16" spans="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1"/>
    </row>
    <row r="32" spans="1:1" ht="20.100000000000001" customHeight="1" x14ac:dyDescent="0.25">
      <c r="A32" s="31"/>
    </row>
    <row r="33" spans="1:7" ht="20.100000000000001" customHeight="1" x14ac:dyDescent="0.25">
      <c r="A33" s="13"/>
    </row>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8"/>
      <c r="G38" s="48"/>
    </row>
    <row r="39" spans="1:7" ht="20.100000000000001" customHeight="1" x14ac:dyDescent="0.25">
      <c r="A39" s="13"/>
      <c r="C39" s="48"/>
      <c r="G39" s="48"/>
    </row>
    <row r="40" spans="1:7" s="49" customFormat="1" ht="20.100000000000001" customHeight="1" x14ac:dyDescent="0.25">
      <c r="C40" s="1"/>
      <c r="D40" s="1"/>
      <c r="E40" s="1"/>
      <c r="F40" s="1"/>
      <c r="G40" s="1"/>
    </row>
    <row r="41" spans="1:7" s="49" customFormat="1" ht="20.100000000000001" customHeight="1" x14ac:dyDescent="0.25">
      <c r="A41" s="50"/>
      <c r="C41" s="1"/>
      <c r="D41" s="1"/>
      <c r="E41" s="1"/>
      <c r="F41" s="1"/>
      <c r="G41" s="1"/>
    </row>
    <row r="42" spans="1:7" ht="20.100000000000001" customHeight="1" x14ac:dyDescent="0.25"/>
    <row r="43" spans="1:7" ht="20.100000000000001" customHeight="1" x14ac:dyDescent="0.25"/>
    <row r="44" spans="1:7" ht="20.100000000000001" customHeight="1" x14ac:dyDescent="0.25">
      <c r="A44" s="54"/>
    </row>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8"/>
    </row>
  </sheetData>
  <phoneticPr fontId="21" type="noConversion"/>
  <conditionalFormatting sqref="F47 E200 F210">
    <cfRule type="cellIs" dxfId="46" priority="62" operator="lessThan">
      <formula>0</formula>
    </cfRule>
  </conditionalFormatting>
  <conditionalFormatting sqref="F126:F127">
    <cfRule type="cellIs" dxfId="45" priority="21" operator="lessThan">
      <formula>0</formula>
    </cfRule>
  </conditionalFormatting>
  <conditionalFormatting sqref="F138:F139">
    <cfRule type="cellIs" dxfId="44" priority="20" operator="lessThan">
      <formula>0</formula>
    </cfRule>
  </conditionalFormatting>
  <conditionalFormatting sqref="F150:F151">
    <cfRule type="cellIs" dxfId="43" priority="19" operator="lessThan">
      <formula>0</formula>
    </cfRule>
  </conditionalFormatting>
  <conditionalFormatting sqref="F162:F163">
    <cfRule type="cellIs" dxfId="42" priority="18" operator="lessThan">
      <formula>0</formula>
    </cfRule>
  </conditionalFormatting>
  <conditionalFormatting sqref="F250:F251">
    <cfRule type="cellIs" dxfId="41" priority="93" operator="lessThan">
      <formula>0</formula>
    </cfRule>
  </conditionalFormatting>
  <conditionalFormatting sqref="F255:F256">
    <cfRule type="cellIs" dxfId="40" priority="92" operator="lessThan">
      <formula>0</formula>
    </cfRule>
  </conditionalFormatting>
  <conditionalFormatting sqref="F260:F261">
    <cfRule type="cellIs" dxfId="39" priority="91" operator="lessThan">
      <formula>0</formula>
    </cfRule>
  </conditionalFormatting>
  <conditionalFormatting sqref="F284:F285">
    <cfRule type="cellIs" dxfId="38" priority="85" operator="lessThan">
      <formula>0</formula>
    </cfRule>
  </conditionalFormatting>
  <conditionalFormatting sqref="F289:F290">
    <cfRule type="cellIs" dxfId="37" priority="84" operator="lessThan">
      <formula>0</formula>
    </cfRule>
  </conditionalFormatting>
  <conditionalFormatting sqref="F294:F295">
    <cfRule type="cellIs" dxfId="36"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zoomScaleNormal="100" workbookViewId="0">
      <selection activeCell="E15" sqref="E15"/>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2" t="e" vm="1">
        <v>#VALUE!</v>
      </c>
      <c r="C1" s="7" t="s">
        <v>88</v>
      </c>
    </row>
    <row r="2" spans="1:16" s="8" customFormat="1" ht="20.100000000000001" customHeight="1" x14ac:dyDescent="0.25"/>
    <row r="3" spans="1:16" ht="20.100000000000001" customHeight="1" x14ac:dyDescent="0.25">
      <c r="A3" s="13" t="str">
        <f>HYPERLINK("#'Home'!A1", "Home")</f>
        <v>Home</v>
      </c>
      <c r="C3" s="3"/>
      <c r="D3" s="3" t="s">
        <v>49</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tr" cm="1">
        <f t="array" ref="D5">SupplementaryCO2_Equations.VEERG_12_1_1_1__1_EmissionsFromSupplementaryCO2_Title()</f>
        <v>Emissions from the use of supplementary CO2</v>
      </c>
      <c r="O5" s="45"/>
    </row>
    <row r="6" spans="1:16" ht="20.100000000000001" customHeight="1" x14ac:dyDescent="0.25">
      <c r="A6" s="12"/>
      <c r="D6" s="4" t="str" cm="1">
        <f t="array" ref="D6">SupplementaryCO2_Equations.VEERG_12_1_1_1__1_EmissionsFromSupplementaryCO2_Source()</f>
        <v>VEERG 2026: 12.1.1.1, Equation (1)</v>
      </c>
      <c r="O6" s="45"/>
    </row>
    <row r="7" spans="1:16" ht="20.100000000000001" customHeight="1" x14ac:dyDescent="0.25">
      <c r="A7" s="16" t="s">
        <v>1</v>
      </c>
      <c r="D7" s="10" t="s">
        <v>10</v>
      </c>
      <c r="E7" s="10" t="str" cm="1">
        <f t="array" aca="1" ref="E7" ca="1">Common_InputFunctions.Utility_DisplayFunctionName(E15)</f>
        <v>=SupplementaryCO2_Equations.VEERG_12_1_1_1__1_EmissionsFromSupplementaryCO2</v>
      </c>
      <c r="O7" s="45"/>
    </row>
    <row r="8" spans="1:16" ht="20.100000000000001" customHeight="1" x14ac:dyDescent="0.25">
      <c r="A8" s="13" t="str">
        <f>HYPERLINK("#'Input - CO2 Use'!A1", "CO2 Use")</f>
        <v>CO2 Use</v>
      </c>
      <c r="O8" s="45"/>
    </row>
    <row r="9" spans="1:16" ht="20.100000000000001" customHeight="1" x14ac:dyDescent="0.25">
      <c r="A9" s="13"/>
      <c r="G9" s="4"/>
      <c r="O9" s="45"/>
    </row>
    <row r="10" spans="1:16" ht="20.100000000000001" customHeight="1" x14ac:dyDescent="0.25">
      <c r="A10" s="15" t="s">
        <v>45</v>
      </c>
      <c r="D10" s="28" t="s">
        <v>13</v>
      </c>
      <c r="E10" s="1" t="str" cm="1">
        <f t="array" ref="E10">SupplementaryCO2_Equations.VEERG_12_1_1_1__1_EmissionsFromSupplementaryCO2_Variable()</f>
        <v>E</v>
      </c>
      <c r="O10" s="45"/>
    </row>
    <row r="11" spans="1:16" ht="20.100000000000001" customHeight="1" x14ac:dyDescent="0.25">
      <c r="A11" s="61" t="str">
        <f>HYPERLINK("#'12.1.1-2 Supplementary CO2'!A1", "12.1.1-2 Supplementary CO2")</f>
        <v>12.1.1-2 Supplementary CO2</v>
      </c>
      <c r="D11" s="28" t="s">
        <v>5</v>
      </c>
      <c r="E11" s="29" t="str" cm="1">
        <f t="array" ref="E11">SupplementaryCO2_Equations.VEERG_12_1_1_1__1_EmissionsFromSupplementaryCO2_Unit()</f>
        <v>t CO2e</v>
      </c>
      <c r="O11" s="45"/>
    </row>
    <row r="12" spans="1:16" ht="20.100000000000001" customHeight="1" x14ac:dyDescent="0.25">
      <c r="A12" s="13"/>
    </row>
    <row r="13" spans="1:16" ht="20.100000000000001" customHeight="1" x14ac:dyDescent="0.25">
      <c r="A13" s="14" t="s">
        <v>2</v>
      </c>
      <c r="D13" s="51" t="str" cm="1">
        <f t="array" ref="D13:E13">_xlfn.CHOOSECOLS(SupplementaryCO2_Equations.VEERG_12_1_1_1__1_EmissionsFromSupplementaryCO2_Arguments(), 1,2)</f>
        <v>Q</v>
      </c>
      <c r="E13" s="53" t="str">
        <v>quantity of supplementary CO2 used within the operations</v>
      </c>
      <c r="F13" s="52"/>
      <c r="G13" s="51" t="str" cm="1">
        <f t="array" ref="G13:H13">_xlfn.CHOOSECOLS(SupplementaryCO2_Equations.VEERG_12_1_1_1__1_EmissionsFromSupplementaryCO2_Arguments(), 3,4)</f>
        <v>kg CO2</v>
      </c>
      <c r="H13" s="47" t="str">
        <v>Input</v>
      </c>
      <c r="I13" s="51">
        <f>SUM(Table_Input_SupplementaryCO2[Amount used (kg)])</f>
        <v>200</v>
      </c>
    </row>
    <row r="14" spans="1:16" ht="20.100000000000001" customHeight="1" x14ac:dyDescent="0.25">
      <c r="A14" s="13" t="str">
        <f>HYPERLINK("#'Constants - Common'!A1", "Constants - Common")</f>
        <v>Constants - Common</v>
      </c>
      <c r="O14" s="45"/>
    </row>
    <row r="15" spans="1:16" ht="20.100000000000001" customHeight="1" x14ac:dyDescent="0.25">
      <c r="D15" s="67" t="s">
        <v>94</v>
      </c>
      <c r="E15" s="68" cm="1">
        <f t="array" ref="E15">SupplementaryCO2_Equations.VEERG_12_1_1_1__1_EmissionsFromSupplementaryCO2(I13)</f>
        <v>0.2</v>
      </c>
      <c r="F15" s="69" t="str">
        <f>E11</f>
        <v>t CO2e</v>
      </c>
      <c r="O15" s="45"/>
    </row>
    <row r="16" spans="1:16" ht="20.100000000000001" customHeight="1" x14ac:dyDescent="0.25">
      <c r="O16" s="45"/>
    </row>
    <row r="17" spans="1:15" ht="20.100000000000001" customHeight="1" x14ac:dyDescent="0.25">
      <c r="L17" s="45"/>
      <c r="M17" s="45"/>
      <c r="N17" s="45"/>
      <c r="O17" s="45"/>
    </row>
    <row r="18" spans="1:15" ht="20.100000000000001" customHeight="1" x14ac:dyDescent="0.25">
      <c r="L18" s="45"/>
      <c r="M18" s="45"/>
      <c r="N18" s="45"/>
      <c r="O18" s="45"/>
    </row>
    <row r="19" spans="1:15" ht="20.100000000000001" customHeight="1" x14ac:dyDescent="0.25">
      <c r="L19" s="45"/>
      <c r="M19" s="45"/>
      <c r="N19" s="45"/>
      <c r="O19" s="45"/>
    </row>
    <row r="20" spans="1:15" ht="20.100000000000001" customHeight="1" x14ac:dyDescent="0.25">
      <c r="A20" s="13"/>
      <c r="L20" s="45"/>
      <c r="M20" s="45"/>
      <c r="N20" s="45"/>
      <c r="O20" s="45"/>
    </row>
    <row r="21" spans="1:15" ht="20.100000000000001" customHeight="1" x14ac:dyDescent="0.25">
      <c r="A21" s="13"/>
      <c r="O21" s="45"/>
    </row>
    <row r="22" spans="1:15" ht="20.100000000000001" customHeight="1" x14ac:dyDescent="0.25"/>
    <row r="23" spans="1:15" ht="20.100000000000001" customHeight="1" x14ac:dyDescent="0.25">
      <c r="A23" s="13"/>
    </row>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spans="1:1" ht="20.100000000000001" customHeight="1" x14ac:dyDescent="0.25"/>
    <row r="34" spans="1:1" ht="20.100000000000001" customHeight="1" x14ac:dyDescent="0.25"/>
    <row r="35" spans="1:1" ht="20.100000000000001" customHeight="1" x14ac:dyDescent="0.25"/>
    <row r="36" spans="1:1" ht="20.100000000000001" customHeight="1" x14ac:dyDescent="0.25"/>
    <row r="37" spans="1:1" ht="20.100000000000001" customHeight="1" x14ac:dyDescent="0.25">
      <c r="A37" s="54"/>
    </row>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4"/>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4"/>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BC484-BB6E-45FA-82B3-176CB9E1966E}">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0" t="str" cm="1">
        <f t="array" ref="D59:D61">"⚠️" &amp; Common_SourceData.Common_SourceData_WetAndDryZones_Variation()</f>
        <v>⚠️VARIATION OF SOURCE DATA:</v>
      </c>
    </row>
    <row r="60" spans="4:8" ht="20.100000000000001" customHeight="1" x14ac:dyDescent="0.25">
      <c r="D60" s="30" t="str">
        <v>⚠️Added warm / cool temperate moist / dry - low frost and high temp classes to accommodate climate scenarios excluded by VEERG criteria.</v>
      </c>
    </row>
    <row r="61" spans="4:8" ht="20.100000000000001" customHeight="1" x14ac:dyDescent="0.25">
      <c r="D61" s="30"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0" t="str" cm="1">
        <f t="array" ref="D83:D87">"⚠️" &amp; Common_SourceData.Common_SourceData_ClimateZones_Variation()</f>
        <v>⚠️VARIATION OF SOURCE DATA:</v>
      </c>
    </row>
    <row r="84" spans="4:20" ht="20.100000000000001" customHeight="1" x14ac:dyDescent="0.25">
      <c r="D84" s="30" t="str">
        <v>⚠️Added warm / cool temperate moist / dry - low frost and high temp classes to accommodate climate scenarios excluded by VEERG criteria.</v>
      </c>
    </row>
    <row r="85" spans="4:20" ht="20.100000000000001" customHeight="1" x14ac:dyDescent="0.25">
      <c r="D85" s="30" t="str">
        <v>⚠️Fixed typo in MAT value for warm temperate dry - changed 10 to 11.</v>
      </c>
    </row>
    <row r="86" spans="4:20" ht="20.100000000000001" customHeight="1" x14ac:dyDescent="0.25">
      <c r="D86" s="30" t="str">
        <v>⚠️Added min and max columns for MAT, MAP, frost days per year, elevation, MAP:PET to calculate zones from real climate data.</v>
      </c>
    </row>
    <row r="87" spans="4:20" ht="20.100000000000001" customHeight="1" x14ac:dyDescent="0.25">
      <c r="D87" s="30"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29" t="str" cm="1">
        <f t="array" ref="D99:D102">Common_SourceData.Common_SourceData_ClimateZones_Appendices()</f>
        <v>Note:</v>
      </c>
    </row>
    <row r="100" spans="4:20" ht="20.100000000000001" customHeight="1" x14ac:dyDescent="0.25">
      <c r="D100" s="29" t="str">
        <v>MAT = mean annual temperature</v>
      </c>
    </row>
    <row r="101" spans="4:20" ht="20.100000000000001" customHeight="1" x14ac:dyDescent="0.25">
      <c r="D101" s="29" t="str">
        <v>MAP = mean annual precipitation</v>
      </c>
    </row>
    <row r="102" spans="4:20" ht="20.100000000000001" customHeight="1" x14ac:dyDescent="0.25">
      <c r="D102" s="29" t="str">
        <v>PET = potential evapotranspiration</v>
      </c>
    </row>
    <row r="103" spans="4:20" ht="20.100000000000001" customHeight="1" x14ac:dyDescent="0.25">
      <c r="D103" s="29"/>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0"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39</v>
      </c>
      <c r="E119" s="27" t="s">
        <v>40</v>
      </c>
      <c r="F119" s="27" t="s">
        <v>26</v>
      </c>
      <c r="G119" s="27" t="s">
        <v>27</v>
      </c>
      <c r="BN119" s="6"/>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0"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7" t="s">
        <v>58</v>
      </c>
      <c r="E142" s="27" t="s">
        <v>48</v>
      </c>
      <c r="BN142" s="6"/>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7" t="s">
        <v>43</v>
      </c>
      <c r="E153" s="27" t="s">
        <v>44</v>
      </c>
      <c r="BC153" s="2"/>
      <c r="BD153" s="2"/>
      <c r="BE153" s="2"/>
      <c r="BF153" s="2"/>
      <c r="BG153" s="2"/>
      <c r="BH153" s="2"/>
      <c r="BI153" s="2"/>
      <c r="BJ153" s="2"/>
      <c r="BK153" s="2"/>
      <c r="BL153" s="2"/>
      <c r="BM153" s="2"/>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9"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9" t="str" cm="1">
        <f t="array" ref="D180">Common_SourceData.Common_SourceData_EFN2O_Unit()</f>
        <v>(kg N2O-N / kg N</v>
      </c>
    </row>
    <row r="181" spans="4:68" ht="20.100000000000001" customHeight="1" x14ac:dyDescent="0.25">
      <c r="D181" s="30" t="str" cm="1">
        <f t="array" ref="D181:D185">Common_SourceData.Common_SourceData_EFN2O_Variation()</f>
        <v>VARIATION OF SOURCE DATA:</v>
      </c>
    </row>
    <row r="182" spans="4:68" ht="20.100000000000001" customHeight="1" x14ac:dyDescent="0.25">
      <c r="D182" s="30" t="str">
        <v>Removed duplicate 'Aquaculture' row.</v>
      </c>
    </row>
    <row r="183" spans="4:68" ht="20.100000000000001" customHeight="1" x14ac:dyDescent="0.25">
      <c r="D183" s="30" t="str">
        <v>Removed asterisks to aid lookup.</v>
      </c>
    </row>
    <row r="184" spans="4:68" ht="20.100000000000001" customHeight="1" x14ac:dyDescent="0.25">
      <c r="D184" s="30" t="str">
        <v>Added 'production system only', 'rainfall zone' and 'irrigation method' columns to aid lookup.</v>
      </c>
    </row>
    <row r="185" spans="4:68" ht="20.100000000000001" customHeight="1" x14ac:dyDescent="0.25">
      <c r="D185" s="30"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0" t="str" cm="1">
        <f t="array" ref="D204">Common_SourceData.Common_SourceData_EFPastureRangeAndPaddock_Variation()</f>
        <v>VARIATION FROM SOURCE DATA: Changed 'Dry climate zones' to singular 'Dry climate zone' to aid lookup.</v>
      </c>
    </row>
    <row r="205" spans="4:8" x14ac:dyDescent="0.25">
      <c r="D205" s="29"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57</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9"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HUAcABwAGwAZQBtAGUAbgB0AGEAcgB5AEMATwAyAF8ARQBxAHUAYQB0AGkAbwBuAHMAIgAsACIAdABlAHgAdAAiADoAIgAvACoAXABuAD0APQA9AD0APQA9AD0APQA9AD0APQA9AD0APQA9AD0APQA9AD0APQA9AD0APQA9AD0APQA9AD0APQA9AD0APQA9AD0APQA9AD0APQA9AD0APQA9AD0APQA9AD0APQA9AD0APQA9AD0APQA9AD0APQA9AD0APQA9AD0APQA9AD0APQA9AD0APQA9AD0APQA9AD0APQA9AD0AXABuADEAMgAuADEAOgAgAFMAdQBwAHAAbABlAG0AZQBuAHQAYQByAHkAIABDAE8AMgBcAG4APQA9AD0APQA9AD0APQA9AD0APQA9AD0APQA9AD0APQA9AD0APQA9AD0APQA9AD0APQA9AD0APQA9AD0APQA9AD0APQA9AD0APQA9AD0APQA9AD0APQA9AD0APQA9AD0APQA9AD0APQA9AD0APQA9AD0APQA9AD0APQA9AD0APQA9AD0APQA9AD0APQA9AD0APQA9AD0APQBcAG4AMQAyAC4AMQAuADEALgAxACAATQBlAHQAaABvAGQAIAAxACAALQAgAFMAdQBwAHAAbABlAG0AZQBuAHQAYQByAHkAIABDAE8AMg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gBfADEAXwAxAF8AMQBfAF8AMQBfAEUAbQBpAHMAcwBpAG8AbgBzAEYAcgBvAG0AUwB1AHAAcABsAGUAbQBlAG4AdABhAHIAeQBDAE8AMgBcAG4ARQBtAGkAcwBzAGkAbwBuAHMAIABmAHIAbwBtACAAdABoAGUAIAB1AHMAZQAgAG8AZgAgAHMAdQBwAHAAbABlAG0AZQBuAHQAYQByAHkAIABDAE8AMgBcAG4ARQBcAG4AdAAgAEMATwAyAGUAXABuAEUAPQBRAFwAXAB0AGkAbQBlAHMAIAAxADAAXgB7AC0AMwB9AFwAbgBRACAAPQAgAHEAdQBhAG4AdABpAHQAeQAgAG8AZgAgAHMAdQBwAHAAbABlAG0AZQBuAHQAYQByAHkAIABDAE8AMgAgAHUAcwBlAGQAIAB3AGkAdABoAGkAbgAgAHQAaABlACAAbwBwAGUAcgBhAHQAaQBvAG4AcwAgACgAawBnACAAQwBPADIAKQBcAG4ALQAtAC0ALQAtAC0ALQAtAC0ALQAtAC0ALQAtAC0ALQAtAC0ALQAtAC0ALQAtAC0ALQAtAC0ALQAtAC0ALQAtAC0ALQAtAC0ALQAtAFwAbgAqAC8AXABuAFwAbgBWAEUARQBSAEcAXwAxADIAXwAxAF8AMQBfADEAXwBfADEAXwBFAG0AaQBzAHMAaQBvAG4AcwBGAHIAbwBtAFMAdQBwAHAAbABlAG0AZQBuAHQAYQByAHkAQwBPADIAXABuACAAIAA9AEwAQQBNAEIARABBACgAXABuACAAIAAgACAAUQAsAFwAbgAgACAAIAAgAFEAIAAqACAAMQAwACAAXgAgAC0AMwBcAG4AIAAgACkAOwBcAG4AXABuAFYARQBFAFIARwBfADEAMgBfADEAXwAxAF8AMQBfAF8AMQBfAEUAbQBpAHMAcwBpAG8AbgBzAEYAcgBvAG0AUwB1AHAAcABsAGUAbQBlAG4AdABhAHIAeQBDAE8AMgBfAFQAaQB0AGwAZQBcAG4AIAAgAD0ATABBAE0AQgBEAEEAKABcACIARQBtAGkAcwBzAGkAbwBuAHMAIABmAHIAbwBtACAAdABoAGUAIAB1AHMAZQAgAG8AZgAgAHMAdQBwAHAAbABlAG0AZQBuAHQAYQByAHkAIABDAE8AMgBcACIAKQA7AFwAbgBcAG4AVgBFAEUAUgBHAF8AMQAyAF8AMQBfADEAXwAxAF8AXwAxAF8ARQBtAGkAcwBzAGkAbwBuAHMARgByAG8AbQBTAHUAcABwAGwAZQBtAGUAbgB0AGEAcgB5AEMATwAyAF8AVgBhAHIAaQBhAGIAbABlAFwAbgAgACAAPQBMAEEATQBCAEQAQQAoAFwAIgBFAFwAIgApADsAXABuAFwAbgBWAEUARQBSAEcAXwAxADIAXwAxAF8AMQBfADEAXwBfADEAXwBFAG0AaQBzAHMAaQBvAG4AcwBGAHIAbwBtAFMAdQBwAHAAbABlAG0AZQBuAHQAYQByAHkAQwBPADIAXwBVAG4AaQB0AFwAbgAgACAAPQBMAEEATQBCAEQAQQAoAFwAIgB0ACAAQwBPADIAZQBcACIAKQA7AFwAbgBcAG4AVgBFAEUAUgBHAF8AMQAyAF8AMQBfADEAXwAxAF8AXwAxAF8ARQBtAGkAcwBzAGkAbwBuAHMARgByAG8AbQBTAHUAcABwAGwAZQBtAGUAbgB0AGEAcgB5AEMATwAyAF8AUwBvAHUAcgBjAGUAXABuACAAIAA9AEwAQQBNAEIARABBACgAXAAiAFYARQBFAFIARwAgADIAMAAyADYAOgAgADEAMgAuADEALgAxAC4AMQAsACAARQBxAHUAYQB0AGkAbwBuACAAKAAxACkAXAAiACkAOwBcAG4AXABuAFYARQBFAFIARwBfADEAMgBfADEAXwAxAF8AMQBfAF8AMQBfAEUAbQBpAHMAcwBpAG8AbgBzAEYAcgBvAG0AUwB1AHAAcABsAGUAbQBlAG4AdABhAHIAeQBDAE8AMgBfAE4ASQBSAFIAZQBmAGUAcgBlAG4AYwBlAFwAbgAgACAAPQBMAEEATQBCAEQAQQAoAFwAIgBcACIAKQA7AFwAbgBcAG4AVgBFAEUAUgBHAF8AMQAyAF8AMQBfADEAXwAxAF8AXwAxAF8ARQBtAGkAcwBzAGkAbwBuAHMARgByAG8AbQBTAHUAcABwAGwAZQBtAGUAbgB0AGEAcgB5AEMATwAyAF8ATABhAHQAZQB4AEUAcQB1AGEAdABpAG8AbgBcAG4AIAAgAD0ATABBAE0AQgBEAEEAKABcACIARQA9AFEAXABcAHQAaQBtAGUAcwAgADEAMABeAHsALQAzAH0AXAAiACkAOwBcAG4AXABuAFYARQBFAFIARwBfADEAMgBfADEAXwAxAF8AMQBfAF8AMQBfAEUAbQBpAHMAcwBpAG8AbgBzAEYAcgBvAG0AUwB1AHAAcABsAGUAbQBlAG4AdABhAHIAeQBDAE8AMgBfAEEAcgBnAHUAbQBlAG4AdABzAFwAbgAgACAAPQBMAEEATQBCAEQAQQAoAFwAbgAgACAAIAAgAE0AQQBLAEUAQQBSAFIAQQBZACgAMQAsACAANAAsAFwAbgAgACAAIAAgACAAIABMAEEATQBCAEQAQQAoAHIALABjACwAXABuACAAIAAgACAAIAAgACAAIABJAE4ARABFAFgAKAB7AFwAbgAgACAAIAAgACAAIAAgACAAIAAgAFwAIgBRAFwAIgAsACAAXAAiAHEAdQBhAG4AdABpAHQAeQAgAG8AZgAgAHMAdQBwAHAAbABlAG0AZQBuAHQAYQByAHkAIABDAE8AMgAgAHUAcwBlAGQAIAB3AGkAdABoAGkAbgAgAHQAaABlACAAbwBwAGUAcgBhAHQAaQBvAG4AcwBcACIALAAgAFwAIgBrAGcAIABDAE8AMgBcACIALAAgAFwAIgBJAG4AcAB1AHQAXAAiAFwAbgAgACAAIAAgACAAIAAgACAAfQAsACAAcgAsACAAYwApAFwAbgAgACAAIAAgACAAIAApAFwAbgAgACAAIAAgACkAXABuACAAIAApADs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MAdQBwAHAAbABlAG0AZQBuAHQAYQByAHkAQwBPADIAXwBFAHEAdQBhAHQAaQBvAG4AcwAuAFYARQBFAFIARwBfADEAMgBfADEAXwAxAF8AMQBfAF8AMQBfAEUAbQBpAHMAcwBpAG8AbgBzAEYAcgBvAG0AUwB1AHAAcABsAGUAbQBlAG4AdABhAHIAeQBDAE8AMgAiACwAIgBTAHUAcABwAGwAZQBtAGUAbgB0AGEAcgB5AEMATwAyAF8ARQBxAHUAYQB0AGkAbwBuAHMALgBWAEUARQBSAEcAXwAxADIAXwAxAF8AMQBfADEAXwBfADEAXwBFAG0AaQBzAHMAaQBvAG4AcwBGAHIAbwBtAFMAdQBwAHAAbABlAG0AZQBuAHQAYQByAHkAQwBPADIAXwBUAGkAdABsAGUAIgAsACIAUwB1AHAAcABsAGUAbQBlAG4AdABhAHIAeQBDAE8AMgBfAEUAcQB1AGEAdABpAG8AbgBzAC4AVgBFAEUAUgBHAF8AMQAyAF8AMQBfADEAXwAxAF8AXwAxAF8ARQBtAGkAcwBzAGkAbwBuAHMARgByAG8AbQBTAHUAcABwAGwAZQBtAGUAbgB0AGEAcgB5AEMATwAyAF8AVgBhAHIAaQBhAGIAbABlACIALAAiAFMAdQBwAHAAbABlAG0AZQBuAHQAYQByAHkAQwBPADIAXwBFAHEAdQBhAHQAaQBvAG4AcwAuAFYARQBFAFIARwBfADEAMgBfADEAXwAxAF8AMQBfAF8AMQBfAEUAbQBpAHMAcwBpAG8AbgBzAEYAcgBvAG0AUwB1AHAAcABsAGUAbQBlAG4AdABhAHIAeQBDAE8AMgBfAFUAbgBpAHQAIgAsACIAUwB1AHAAcABsAGUAbQBlAG4AdABhAHIAeQBDAE8AMgBfAEUAcQB1AGEAdABpAG8AbgBzAC4AVgBFAEUAUgBHAF8AMQAyAF8AMQBfADEAXwAxAF8AXwAxAF8ARQBtAGkAcwBzAGkAbwBuAHMARgByAG8AbQBTAHUAcABwAGwAZQBtAGUAbgB0AGEAcgB5AEMATwAyAF8AUwBvAHUAcgBjAGUAIgAsACIAUwB1AHAAcABsAGUAbQBlAG4AdABhAHIAeQBDAE8AMgBfAEUAcQB1AGEAdABpAG8AbgBzAC4AVgBFAEUAUgBHAF8AMQAyAF8AMQBfADEAXwAxAF8AXwAxAF8ARQBtAGkAcwBzAGkAbwBuAHMARgByAG8AbQBTAHUAcABwAGwAZQBtAGUAbgB0AGEAcgB5AEMATwAyAF8ATgBJAFIAUgBlAGYAZQByAGUAbgBjAGUAIgAsACIAUwB1AHAAcABsAGUAbQBlAG4AdABhAHIAeQBDAE8AMgBfAEUAcQB1AGEAdABpAG8AbgBzAC4AVgBFAEUAUgBHAF8AMQAyAF8AMQBfADEAXwAxAF8AXwAxAF8ARQBtAGkAcwBzAGkAbwBuAHMARgByAG8AbQBTAHUAcABwAGwAZQBtAGUAbgB0AGEAcgB5AEMATwAyAF8ATABhAHQAZQB4AEUAcQB1AGEAdABpAG8AbgAiACwAIgBTAHUAcABwAGwAZQBtAGUAbgB0AGEAcgB5AEMATwAyAF8ARQBxAHUAYQB0AGkAbwBuAHMALgBWAEUARQBSAEcAXwAxADIAXwAxAF8AMQBfADEAXwBfADEAXwBFAG0AaQBzAHMAaQBvAG4AcwBGAHIAbwBtAFMAdQBwAHAAbABlAG0AZQBuAHQAYQByAHkAQwBPAD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Home</vt:lpstr>
      <vt:lpstr>Overview</vt:lpstr>
      <vt:lpstr>Results</vt:lpstr>
      <vt:lpstr>Input - CO2 Use</vt:lpstr>
      <vt:lpstr>12.1.1-2 Supplementary CO2</vt:lpstr>
      <vt:lpstr>Constants - Common</vt:lpstr>
      <vt:lpstr>Common_SourceData_DensityOfMethane_Data</vt:lpstr>
      <vt:lpstr>VEERG_12_1_1_1__1_EmissionsFromSupplementaryCO2_Result_Method1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