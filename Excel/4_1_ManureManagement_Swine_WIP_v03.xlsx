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4B294CAF-8956-4F7E-8E81-2DBC2A719E59}" xr6:coauthVersionLast="47" xr6:coauthVersionMax="47" xr10:uidLastSave="{00000000-0000-0000-0000-000000000000}"/>
  <bookViews>
    <workbookView xWindow="735" yWindow="345" windowWidth="36585" windowHeight="19950" firstSheet="2" activeTab="8" xr2:uid="{992023F3-CAB7-4E5B-A348-08D563A0EF40}"/>
  </bookViews>
  <sheets>
    <sheet name="Home" sheetId="71" r:id="rId1"/>
    <sheet name="Results" sheetId="13" r:id="rId2"/>
    <sheet name="Input - Site" sheetId="15" r:id="rId3"/>
    <sheet name="Input - Swine" sheetId="70" r:id="rId4"/>
    <sheet name="4.5.1.1-2 Methane" sheetId="69" r:id="rId5"/>
    <sheet name="4.5.1.3-4 Direct N20" sheetId="76" r:id="rId6"/>
    <sheet name="4.5.1.5-6 Atmos Dep" sheetId="97" r:id="rId7"/>
    <sheet name="4.5.1.7-8 Soil leach runoff" sheetId="98" r:id="rId8"/>
    <sheet name="4.5.1.9 Manure applied to soils" sheetId="105" r:id="rId9"/>
    <sheet name="Constants - Swine" sheetId="79" r:id="rId10"/>
    <sheet name="Constants - Common" sheetId="103" r:id="rId11"/>
    <sheet name="Constants - Livestock" sheetId="43" r:id="rId12"/>
    <sheet name="Acknowledgements" sheetId="72" r:id="rId13"/>
    <sheet name="Tab template" sheetId="74" r:id="rId14"/>
  </sheets>
  <externalReferences>
    <externalReference r:id="rId15"/>
    <externalReference r:id="rId16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 localSheetId="8">_xlfn.LAMBDA(_xlpm.Month,_xlpm.LivestockClass,_xlpm.HeadAtStart,_xlpm.LiveweightAtStart,_xlpm.LiveweightGain, [0]!CommonLivestock_InputFunctions.LivestockMovement_ProportionalAverageLiveweightAddedDuringMonth(_xlpm.Month, _xlpm.LivestockClass, _xlpm.HeadAtStart) + '4.5.1.9 Manure applied to soils'!CommonLivestock_InputFunctions.LivestockMovement_ProportionalAverageLiveweightRemainingAtEndOfMonth(_xlpm.Month,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10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 localSheetId="8">_xlfn.LAMBDA(_xlpm.LivestockClass,_xlpm.MovementDate,_xlpm.WeightAtMovementDate,_xlpm.Head, IFERROR(_xlpm.Head * (_xlpm.WeightAtMovementDate + '4.5.1.9 Manure applied to soils'!CommonLivestock_InputFunctions.LivestockMovement_LiveweightGrownDuringMonthPerHead(_xlpm.LivestockClass, _xlpm.MovementDate)),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 localSheetId="8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 localSheetId="8">_xlfn.LAMBDA(_xlpm.LivestockClass,_xlpm.Month, '4.5.1.9 Manure applied to soils'!CommonLivestock_InputFunctions.LivestockMovement_LiveweightGrownDuringMonthPerHead(_xlpm.LivestockClass, EOMONTH(_xlpm.Month, -1) + 1))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 localSheetId="8">_xlfn.LAMBDA(_xlpm.LivestockClass,_xlpm.Month,_xlpm.HeadAtStartOfMonth, [0]!CommonLivestock_InputFunctions.LivestockMovement_HeadRemainingAtMonthEnd(_xlpm.Month, _xlpm.LivestockClass, _xlpm.HeadAtStartOfMonth) * '4.5.1.9 Manure applied to soils'!CommonLivestock_InputFunctions.LivestockMovement_LiveweightGrownFromMonthStartPerHead(_xlpm.LivestockClass, _xlpm.Month))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 localSheetId="8">_xlfn.LAMBDA(_xlpm.LivestockClass,_xlpm.MovementDate,_xlpm.Head, '4.5.1.9 Manure applied to soils'!CommonLivestock_InputFunctions.LivestockMovement_LiveweightGrownDuringMonthPerHead(_xlpm.LivestockClass, _xlpm.MovementDate) * _xlpm.Head)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 localSheetId="8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 localSheetId="8">_xlfn.LAMBDA(_xlpm.Month,_xlpm.LivestockClass,_xlpm.HeadAtStart, '4.5.1.9 Manure applied to soils'!CommonLivestock_InputFunctions.LivestockMovement_LiveweightGrownFromMonthStartTotal(_xlpm.LivestockClass,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anureManagement_Swine_Methane.VEERG_4_5_1_1__1_TotalAnnualMethaneEmissions">_xlfn.LAMBDA(_xlpm.Dj,_xlpm.Mmj,_xlpm.Nj, _xlpm.Dj * _xlpm.Mmj * _xlpm.Nj * 10 ^ -3)</definedName>
    <definedName name="ManureManagement_Swine_Methane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anureManagement_Swine_Methane.VEERG_4_5_1_1__1_TotalAnnualMethaneEmissions_Source">_xlfn.LAMBDA("VEERG 2026: 4.5.1.1, Equation (1)")</definedName>
    <definedName name="ManureManagement_Swine_Methane.VEERG_4_5_1_1__1_TotalAnnualMethaneEmissions_Title">_xlfn.LAMBDA("Total annual methane emissions from manure management")</definedName>
    <definedName name="ManureManagement_Swine_Methane.VEERG_4_5_1_1__1_TotalAnnualMethaneEmissions_Unit">_xlfn.LAMBDA("t CH4")</definedName>
    <definedName name="ManureManagement_Swine_Methane.VEERG_4_5_1_1__1_TotalAnnualMethaneEmissions_Variable">_xlfn.LAMBDA("ECH4")</definedName>
    <definedName name="ManureManagement_Swine_Methane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anureManagement_Swine_Methane.VEERG_4_5_1_1__2_MethaneProductionPerClass_Source">_xlfn.LAMBDA("VEERG 2026: 4.5.1.1, Equation (2)")</definedName>
    <definedName name="ManureManagement_Swine_Methane.VEERG_4_5_1_1__2_MethaneProductionPerClass_Title">_xlfn.LAMBDA("Methane production from the manure of each class of swine")</definedName>
    <definedName name="ManureManagement_Swine_Methane.VEERG_4_5_1_1__2_MethaneProductionPerClass_Unit">_xlfn.LAMBDA("kg CH4/head/day")</definedName>
    <definedName name="ManureManagement_Swine_Methane.VEERG_4_5_1_1__2_MethaneProductionPerClass_Variable">_xlfn.LAMBDA("Mmj")</definedName>
    <definedName name="ManureManagement_Swine_Methane.VEERG_4_5_1_1__2_MethaneProductionPerClass_Variation">_xlfn.LAMBDA("VARIATION ON SOURCE: Split variable Mjm into MjmT1 and MjmT2 for stage 1 and 2 MMS.")</definedName>
    <definedName name="ManureManagement_Swine_Methane.VEERG_4_5_1_1__2_MethaneProductionPerClassVariation">_xlfn.LAMBDA(_xlpm.MjmT1,_xlpm.MjmT2, SUM(_xlpm.MjmT1, _xlpm.MjmT2))</definedName>
    <definedName name="ManureManagement_Swine_Methane.VEERG_4_5_1_1__3_Stage1MethaneProduction">_xlfn.LAMBDA(_xlpm.VSj,_xlpm.FVSjmT1,_xlpm.MCFim,_xlpm.BO,_xlpm.rho, _xlpm.VSj * _xlpm.FVSjmT1 * _xlpm.MCFim * _xlpm.BO * _xlpm.rho)</definedName>
    <definedName name="ManureManagement_Swine_Methane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anureManagement_Swine_Methane.VEERG_4_5_1_1__3_Stage1MethaneProduction_Source">_xlfn.LAMBDA("VEERG 2026: 4.5.1.1, Equation (3)")</definedName>
    <definedName name="ManureManagement_Swine_Methane.VEERG_4_5_1_1__3_Stage1MethaneProduction_Title">_xlfn.LAMBDA("Production of methane in treatment stage 1 MMS")</definedName>
    <definedName name="ManureManagement_Swine_Methane.VEERG_4_5_1_1__3_Stage1MethaneProduction_Unit">_xlfn.LAMBDA("kg CH4/head/day")</definedName>
    <definedName name="ManureManagement_Swine_Methane.VEERG_4_5_1_1__3_Stage1MethaneProduction_Variable">_xlfn.LAMBDA("MijmT1")</definedName>
    <definedName name="ManureManagement_Swine_Methane.VEERG_4_5_1_1__4_FractionVolatileSolidsPrimarySystem">_xlfn.LAMBDA(_xlpm.MMSjmT1,_xlpm.SSm, _xlfn.LET(_xlpm.ssm, IF(ISNUMBER(_xlpm.SSm), _xlpm.SSm, 0), _xlpm.MMSjmT1 * (1 - _xlpm.ssm)))</definedName>
    <definedName name="ManureManagement_Swine_Methane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anureManagement_Swine_Methane.VEERG_4_5_1_1__4_FractionVolatileSolidsPrimarySystem_Source">_xlfn.LAMBDA("VEERG 2026: 4.5.1.1, Equation (4)")</definedName>
    <definedName name="ManureManagement_Swine_Methane.VEERG_4_5_1_1__4_FractionVolatileSolidsPrimarySystem_Title">_xlfn.LAMBDA("Fraction of volatile solids in each primary system other than solid storage")</definedName>
    <definedName name="ManureManagement_Swine_Methane.VEERG_4_5_1_1__4_FractionVolatileSolidsPrimarySystem_Unit">_xlfn.LAMBDA("fraction")</definedName>
    <definedName name="ManureManagement_Swine_Methane.VEERG_4_5_1_1__4_FractionVolatileSolidsPrimarySystem_Variable">_xlfn.LAMBDA("FVSjmT1")</definedName>
    <definedName name="ManureManagement_Swine_Methane.VEERG_4_5_1_1__4_FractionVolatileSolidsPrimarySystem_Variation">_xlfn.LAMBDA("VARIATION ON SOURCE: Added check to convert 'N/A' value to zero.")</definedName>
    <definedName name="ManureManagement_Swine_Methane.VEERG_4_5_1_1__5_FractionVolatileSolidsSolidStorage">_xlfn.LAMBDA(_xlpm.MMSjm4T1,_xlpm.MMSjm179T1,_xlpm.SSm, _xlfn.LET(_xlpm.MMSjm4T1, IF(ISNUMBER(_xlpm.MMSjm4T1), _xlpm.MMSjm4T1, 0), _xlpm.MMSjm179T1, IF(ISNUMBER(_xlpm.MMSjm179T1), _xlpm.MMSjm179T1, 0), _xlpm.SSm, IF(ISNUMBER(_xlpm.SSm), _xlpm.SSm, 0), _xlpm.MMSjm4T1 + (_xlpm.MMSjm179T1 * _xlpm.SSm)))</definedName>
    <definedName name="ManureManagement_Swine_Methane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anureManagement_Swine_Methane.VEERG_4_5_1_1__5_FractionVolatileSolidsSolidStorage_Source">_xlfn.LAMBDA("VEERG 2026: 4.5.1.1, Equation (5)")</definedName>
    <definedName name="ManureManagement_Swine_Methane.VEERG_4_5_1_1__5_FractionVolatileSolidsSolidStorage_Title">_xlfn.LAMBDA("Fraction of volatile solids in solid storage")</definedName>
    <definedName name="ManureManagement_Swine_Methane.VEERG_4_5_1_1__5_FractionVolatileSolidsSolidStorage_Unit">_xlfn.LAMBDA("fraction")</definedName>
    <definedName name="ManureManagement_Swine_Methane.VEERG_4_5_1_1__5_FractionVolatileSolidsSolidStorage_Variable">_xlfn.LAMBDA("FVSjm4T1")</definedName>
    <definedName name="ManureManagement_Swine_Methane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anureManagement_Swine_Methane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anureManagement_Swine_Methane.VEERG_4_5_1_1__6_Stage2MethaneProduction_Source">_xlfn.LAMBDA("VEERG 2026: 4.5.1.1, Equation (6)")</definedName>
    <definedName name="ManureManagement_Swine_Methane.VEERG_4_5_1_1__6_Stage2MethaneProduction_Title">_xlfn.LAMBDA("Production of methane in each treatment stage 2 MMS")</definedName>
    <definedName name="ManureManagement_Swine_Methane.VEERG_4_5_1_1__6_Stage2MethaneProduction_Unit">_xlfn.LAMBDA("kg CH4/head/day")</definedName>
    <definedName name="ManureManagement_Swine_Methane.VEERG_4_5_1_1__6_Stage2MethaneProduction_Variable">_xlfn.LAMBDA("MijmT2")</definedName>
    <definedName name="ManureManagement_Swine_Methane.VEERG_4_5_1_1__7_VolatileSolidsTransferredStage2">_xlfn.LAMBDA(_xlpm.VSj,_xlpm.FVSjmT1,_xlpm.VSLmT1, _xlpm.VSj * _xlpm.FVSjmT1 * (1 - _xlpm.VSLmT1))</definedName>
    <definedName name="ManureManagement_Swine_Methane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anureManagement_Swine_Methane.VEERG_4_5_1_1__7_VolatileSolidsTransferredStage2_Source">_xlfn.LAMBDA("VEERG 2026: 4.5.1.1, Equation (7)")</definedName>
    <definedName name="ManureManagement_Swine_Methane.VEERG_4_5_1_1__7_VolatileSolidsTransferredStage2_Title">_xlfn.LAMBDA("Volatile solids transferred to treatment stage 2 MMS")</definedName>
    <definedName name="ManureManagement_Swine_Methane.VEERG_4_5_1_1__7_VolatileSolidsTransferredStage2_Unit">_xlfn.LAMBDA("kg VS")</definedName>
    <definedName name="ManureManagement_Swine_Methane.VEERG_4_5_1_1__7_VolatileSolidsTransferredStage2_Variable">_xlfn.LAMBDA("VSTijmT2")</definedName>
    <definedName name="MMS_Swine_AtmosphericDeposition_Equations.VEERG_4_5_1_5__1_AnnualAtmosphericDepositionEmissionsFromMMS">_xlfn.LAMBDA(_xlpm.MMS_ATMOS,_xlpm.EF_N2O,_xlpm.C_N2O, _xlpm.MMS_ATMOS * _xlpm.EF_N2O * _xlpm.C_N2O * 10 ^ -3)</definedName>
    <definedName name="MMS_Swine_AtmosphericDeposition_Equations.VEERG_4_5_1_5__1_AnnualAtmosphericDepositionEmissionsFromMMS_Arguments">_xlfn.LAMBDA(_xlfn.MAKEARRAY(6, 2, _xlfn.LAMBDA(_xlpm.r,_xlpm.c, INDEX({"MMS_ATMOS","mass of N volatilised from MMS (kg N)";"EF_N2O","nitrous oxide emission factor for atmospheric deposition (kg N2O-N/kg N)";"C_N2O","factor to convert elemental mass of N2O to molecular mass";"j","production system";"ir","irrigation method";"r","rainfall region"}, _xlpm.r, _xlpm.c))))</definedName>
    <definedName name="MMS_Swine_AtmosphericDeposition_Equations.VEERG_4_5_1_5__1_AnnualAtmosphericDepositionEmissionsFromMMS_LatexEquation">_xlfn.LAMBDA("E_{N2O,ad}=MMS_{ATMOS}\times EF_{N2O}\times C_{N2O}\times 10^{-3}")</definedName>
    <definedName name="MMS_Swine_AtmosphericDeposition_Equations.VEERG_4_5_1_5__1_AnnualAtmosphericDepositionEmissionsFromMMS_NIRReference">_xlfn.LAMBDA("")</definedName>
    <definedName name="MMS_Swine_AtmosphericDeposition_Equations.VEERG_4_5_1_5__1_AnnualAtmosphericDepositionEmissionsFromMMS_Source">_xlfn.LAMBDA("VEERG 2026: 4.5.1.1, Equation (1)")</definedName>
    <definedName name="MMS_Swine_AtmosphericDeposition_Equations.VEERG_4_5_1_5__1_AnnualAtmosphericDepositionEmissionsFromMMS_Title">_xlfn.LAMBDA("Annual atmospheric deposition emissions from MMS")</definedName>
    <definedName name="MMS_Swine_AtmosphericDeposition_Equations.VEERG_4_5_1_5__1_AnnualAtmosphericDepositionEmissionsFromMMS_Unit">_xlfn.LAMBDA("t N2O")</definedName>
    <definedName name="MMS_Swine_AtmosphericDeposition_Equations.VEERG_4_5_1_5__1_AnnualAtmosphericDepositionEmissionsFromMMS_Variable">_xlfn.LAMBDA("E_N2OMMSad")</definedName>
    <definedName name="MMS_Swine_AtmosphericDeposition_Equations.VEERG_4_5_1_5__2_TotalNitrogenVolatilisedFromMMS">_xlfn.LAMBDA(_xlpm.MN_jmT,_xlpm.FracGASMmT, _xlpm.MN_jmT * _xlpm.FracGASMmT)</definedName>
    <definedName name="MMS_Swine_AtmosphericDeposition_Equations.VEERG_4_5_1_5__2_TotalNitrogenVolatilisedFromMMS_Arguments">_xlfn.LAMBDA(_xlfn.MAKEARRAY(2, 2, _xlfn.LAMBDA(_xlpm.r,_xlpm.c, INDEX({"MN_jmT","nitrogen per swine class, MMS and treatment stage (kg N)";"FracGASMmT","fraction of N volatilised in each MMS ((kg NH3-N + NOx-N)/kg N)"}, _xlpm.r, _xlpm.c))))</definedName>
    <definedName name="MMS_Swine_AtmosphericDeposition_Equations.VEERG_4_5_1_5__2_TotalNitrogenVolatilisedFromMMS_LatexEquation">_xlfn.LAMBDA("MMS_{ATMOS}=\sum_{j}\sum_{m}\sum_{T}(MN_{jmT}\times FracGASM_{mT})")</definedName>
    <definedName name="MMS_Swine_AtmosphericDeposition_Equations.VEERG_4_5_1_5__2_TotalNitrogenVolatilisedFromMMS_NIRReference">_xlfn.LAMBDA("")</definedName>
    <definedName name="MMS_Swine_AtmosphericDeposition_Equations.VEERG_4_5_1_5__2_TotalNitrogenVolatilisedFromMMS_Source">_xlfn.LAMBDA("VEERG 2026: 4.5.1.1, Equation (2)")</definedName>
    <definedName name="MMS_Swine_AtmosphericDeposition_Equations.VEERG_4_5_1_5__2_TotalNitrogenVolatilisedFromMMS_Title">_xlfn.LAMBDA("Total nitrogen volatilised from MMS")</definedName>
    <definedName name="MMS_Swine_AtmosphericDeposition_Equations.VEERG_4_5_1_5__2_TotalNitrogenVolatilisedFromMMS_Unit">_xlfn.LAMBDA("kg N")</definedName>
    <definedName name="MMS_Swine_AtmosphericDeposition_Equations.VEERG_4_5_1_5__2_TotalNitrogenVolatilisedFromMMS_Variable">_xlfn.LAMBDA("MMS_ATMOS")</definedName>
    <definedName name="MMS_Swine_LeachingAndRunoff_Equations.VEERG_4_5_1_7__1_AnnualEmissionsFromLeachingAndRunoffFromMMS">_xlfn.LAMBDA(_xlpm.MNLeach_jm5,_xlpm.EF_leach,_xlpm.C_N2O, _xlpm.MNLeach_jm5 * _xlpm.EF_leach * _xlpm.C_N2O * 10 ^ -3)</definedName>
    <definedName name="MMS_Swine_LeachingAndRunoff_Equations.VEERG_4_5_1_7__1_AnnualEmissionsFromLeachingAndRunoffFromMMS_Arguments">_xlfn.LAMBDA(_xlfn.MAKEARRAY(3, 2, _xlfn.LAMBDA(_xlpm.r,_xlpm.c, INDEX({"MNLeach_jm5","mass of N lost through leaching and runoff from drylot MMS (kg N)";"EF_leach","emission factor for leaching and runoff (kg N2O-N/kg N)";"C_N2O","factor to convert elemental mass of N2O to molecular mass"}, _xlpm.r, _xlpm.c))))</definedName>
    <definedName name="MMS_Swine_LeachingAndRunoff_Equations.VEERG_4_5_1_7__1_AnnualEmissionsFromLeachingAndRunoffFromMMS_LatexEquation">_xlfn.LAMBDA("E_{N2O,leach}=MNLeach_{jm=5}\times EF_{leach}\times C_{N2O}\times 10^{-3}")</definedName>
    <definedName name="MMS_Swine_LeachingAndRunoff_Equations.VEERG_4_5_1_7__1_AnnualEmissionsFromLeachingAndRunoffFromMMS_NIRReference">_xlfn.LAMBDA("")</definedName>
    <definedName name="MMS_Swine_LeachingAndRunoff_Equations.VEERG_4_5_1_7__1_AnnualEmissionsFromLeachingAndRunoffFromMMS_Source">_xlfn.LAMBDA("VEERG 2026: 4.5.1.7, Equation (1)")</definedName>
    <definedName name="MMS_Swine_LeachingAndRunoff_Equations.VEERG_4_5_1_7__1_AnnualEmissionsFromLeachingAndRunoffFromMMS_Title">_xlfn.LAMBDA("Annual emissions from leaching and runoff from each MMS")</definedName>
    <definedName name="MMS_Swine_LeachingAndRunoff_Equations.VEERG_4_5_1_7__1_AnnualEmissionsFromLeachingAndRunoffFromMMS_Unit">_xlfn.LAMBDA("t N2O")</definedName>
    <definedName name="MMS_Swine_LeachingAndRunoff_Equations.VEERG_4_5_1_7__1_AnnualEmissionsFromLeachingAndRunoffFromMMS_Variable">_xlfn.LAMBDA("E_N2Oleach")</definedName>
    <definedName name="MMS_Swine_LeachingAndRunoff_Equations.VEERG_4_5_1_7__2_MassOfNitrogenLostToLeachingAndRunoffFromDrylotMMS">_xlfn.LAMBDA(_xlpm.MN_jm5T1,_xlpm.FracWET,_xlpm.FracLEACH_MS, _xlpm.MN_jm5T1 * _xlpm.FracWET * _xlpm.FracLEACH_MS)</definedName>
    <definedName name="MMS_Swine_LeachingAndRunoff_Equations.VEERG_4_5_1_7__2_MassOfNitrogenLostToLeachingAndRunoffFromDrylotMMS_Arguments">_xlfn.LAMBDA(_xlfn.MAKEARRAY(6, 2, _xlfn.LAMBDA(_xlpm.r,_xlpm.c, INDEX({"MN_jm5T1","nitrogen in treatment stage 1 drylot MMS (kg N)";"FracWET","fraction of N available for leaching and runoff";"FracLEACH_MS","fraction of N lost through leaching and runoff";"z","location in leaching zone";"j","production system";"ir","irrigation method"}, _xlpm.r, _xlpm.c))))</definedName>
    <definedName name="MMS_Swine_LeachingAndRunoff_Equations.VEERG_4_5_1_7__2_MassOfNitrogenLostToLeachingAndRunoffFromDrylotMMS_LatexEquation">_xlfn.LAMBDA("MNLeach_{jm=5}=MN_{jm=5,T=1}\times FracWET\times FracLEACH_{MS}")</definedName>
    <definedName name="MMS_Swine_LeachingAndRunoff_Equations.VEERG_4_5_1_7__2_MassOfNitrogenLostToLeachingAndRunoffFromDrylotMMS_NIRReference">_xlfn.LAMBDA("")</definedName>
    <definedName name="MMS_Swine_LeachingAndRunoff_Equations.VEERG_4_5_1_7__2_MassOfNitrogenLostToLeachingAndRunoffFromDrylotMMS_Source">_xlfn.LAMBDA("VEERG 2026: 4.5.1.7, Equation (2)")</definedName>
    <definedName name="MMS_Swine_LeachingAndRunoff_Equations.VEERG_4_5_1_7__2_MassOfNitrogenLostToLeachingAndRunoffFromDrylotMMS_Title">_xlfn.LAMBDA("Mass of nitrogen lost to leaching and runoff from drylot MMS")</definedName>
    <definedName name="MMS_Swine_LeachingAndRunoff_Equations.VEERG_4_5_1_7__2_MassOfNitrogenLostToLeachingAndRunoffFromDrylotMMS_Unit">_xlfn.LAMBDA("kg N")</definedName>
    <definedName name="MMS_Swine_LeachingAndRunoff_Equations.VEERG_4_5_1_7__2_MassOfNitrogenLostToLeachingAndRunoffFromDrylotMMS_Variable">_xlfn.LAMBDA("MNLeach_jm5")</definedName>
    <definedName name="MMS_Swine_ManureAppliedToSoils_Equations.VEERG_4_5_1_9__1_MassOfNitrogenAppliedToSoilsScope1">_xlfn.LAMBDA(_xlpm.MN_jmT2,_xlpm.EF_mT2,_xlpm.FracGASM_mT2,_xlpm.MNLeach_jm5,_xlpm.PF, (_xlpm.MN_jmT2 * (1 - _xlpm.EF_mT2 - _xlpm.FracGASM_mT2) - _xlpm.MNLeach_jm5) * _xlpm.PF)</definedName>
    <definedName name="MMS_Swine_ManureAppliedToSoils_Equations.VEERG_4_5_1_9__1_MassOfNitrogenAppliedToSoilsScope1_Arguments">_xlfn.LAMBDA(_xlfn.MAKEARRAY(5, 2, _xlfn.LAMBDA(_xlpm.r,_xlpm.c, INDEX({"MN_jmT2","mass of N in MMS at treatment stage 2 : kg N";"EF_mT2","nitrous oxide emission factor for each MMS at treatment stage 2 : kg N2O-N/kg N";"FracGASM_mT2","fraction of animal waste N volatilised in each MMS at treatment stage 2 : (kg NH3-N + NOx-N)/kg N";"MNLeach_jm5","mass of N lost to leaching and runoff from drylot MMS : kg N";"PF","fraction of manure applied to soil within the piggery boundary : fraction"}, _xlpm.r, _xlpm.c))))</definedName>
    <definedName name="MMS_Swine_ManureAppliedToSoils_Equations.VEERG_4_5_1_9__1_MassOfNitrogenAppliedToSoilsScope1_LatexEquation">_xlfn.LAMBDA("MNSoil_{scope1}=\sum_{j}\sum_{m}(MN_{jmT=2}\times(1-EF_{mT=2}-FracGASM_{mT=2})-MNLeach_{jm=5})\times PF")</definedName>
    <definedName name="MMS_Swine_ManureAppliedToSoils_Equations.VEERG_4_5_1_9__1_MassOfNitrogenAppliedToSoilsScope1_NIRReference">_xlfn.LAMBDA("")</definedName>
    <definedName name="MMS_Swine_ManureAppliedToSoils_Equations.VEERG_4_5_1_9__1_MassOfNitrogenAppliedToSoilsScope1_Source">_xlfn.LAMBDA("VEERG 2026: 4.5.1.9, Equation (1)")</definedName>
    <definedName name="MMS_Swine_ManureAppliedToSoils_Equations.VEERG_4_5_1_9__1_MassOfNitrogenAppliedToSoilsScope1_Title">_xlfn.LAMBDA("Mass of nitrogen applied to soils for scope 1 emissions")</definedName>
    <definedName name="MMS_Swine_ManureAppliedToSoils_Equations.VEERG_4_5_1_9__1_MassOfNitrogenAppliedToSoilsScope1_Unit">_xlfn.LAMBDA("kg N")</definedName>
    <definedName name="MMS_Swine_ManureAppliedToSoils_Equations.VEERG_4_5_1_9__1_MassOfNitrogenAppliedToSoilsScope1_Variable">_xlfn.LAMBDA("MNSoil_scope1")</definedName>
    <definedName name="MMS_Swine_ManureAppliedToSoils_Equations.VEERG_4_5_1_9__2_MassOfNitrogenAppliedToSoilsScope3">_xlfn.LAMBDA(_xlpm.MN_jmT2,_xlpm.EF_mT2,_xlpm.FracGASM_mT2,_xlpm.MNLeach_jm5,_xlpm.PF, (_xlpm.MN_jmT2 * (1 - _xlpm.EF_mT2 - _xlpm.FracGASM_mT2) - _xlpm.MNLeach_jm5) * (1 - _xlpm.PF))</definedName>
    <definedName name="MMS_Swine_ManureAppliedToSoils_Equations.VEERG_4_5_1_9__2_MassOfNitrogenAppliedToSoilsScope3_Arguments">_xlfn.LAMBDA(_xlfn.MAKEARRAY(5, 2, _xlfn.LAMBDA(_xlpm.r,_xlpm.c, INDEX({"MN_jmT2","mass of N in MMS at treatment stage 2 : kg N";"EF_mT2","nitrous oxide emission factor for each MMS at treatment stage 2 : kg N2O-N/kg N";"FracGASM_mT2","fraction of animal waste N volatilised in each MMS at treatment stage 2 : (kg NH3-N + NOx-N)/kg N";"MNLeach_jm5","mass of N lost to leaching and runoff from drylot MMS : kg N";"PF","fraction of manure applied to soil within the piggery boundary : fraction"}, _xlpm.r, _xlpm.c))))</definedName>
    <definedName name="MMS_Swine_ManureAppliedToSoils_Equations.VEERG_4_5_1_9__2_MassOfNitrogenAppliedToSoilsScope3_LatexEquation">_xlfn.LAMBDA("MNSoil_{scope3}=\sum_{j}\sum_{m}(MN_{jmT=2}\times(1-EF_{mT=2}-FracGASM_{mT=2})-MNLeach_{jm=5})\times(1-PF)")</definedName>
    <definedName name="MMS_Swine_ManureAppliedToSoils_Equations.VEERG_4_5_1_9__2_MassOfNitrogenAppliedToSoilsScope3_NIRReference">_xlfn.LAMBDA("")</definedName>
    <definedName name="MMS_Swine_ManureAppliedToSoils_Equations.VEERG_4_5_1_9__2_MassOfNitrogenAppliedToSoilsScope3_Source">_xlfn.LAMBDA("VEERG 2026: 4.5.1.9, Equation (2)")</definedName>
    <definedName name="MMS_Swine_ManureAppliedToSoils_Equations.VEERG_4_5_1_9__2_MassOfNitrogenAppliedToSoilsScope3_Title">_xlfn.LAMBDA("Mass of nitrogen applied to soils for scope 3 emissions")</definedName>
    <definedName name="MMS_Swine_ManureAppliedToSoils_Equations.VEERG_4_5_1_9__2_MassOfNitrogenAppliedToSoilsScope3_Unit">_xlfn.LAMBDA("kg N")</definedName>
    <definedName name="MMS_Swine_ManureAppliedToSoils_Equations.VEERG_4_5_1_9__2_MassOfNitrogenAppliedToSoilsScope3_Variable">_xlfn.LAMBDA("MNSoil_scope3")</definedName>
    <definedName name="MMS_Swine_Methane_Equations.VEERG_4_5_1_1__1_TotalAnnualMethaneEmissions">_xlfn.LAMBDA(_xlpm.Dj,_xlpm.Mmj,_xlpm.Nj, _xlpm.Dj * _xlpm.Mmj * _xlpm.Nj * 10 ^ -3)</definedName>
    <definedName name="MMS_Swine_Methane_Equations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MS_Swine_Methane_Equations.VEERG_4_5_1_1__1_TotalAnnualMethaneEmissions_LatexEquation">_xlfn.LAMBDA("{E}_{CH4}=\sum_{j}(D_{j}\times M_{mj}\times N_{j})\times10^{-3}")</definedName>
    <definedName name="MMS_Swine_Methane_Equations.VEERG_4_5_1_1__1_TotalAnnualMethaneEmissions_NIRReference">_xlfn.LAMBDA("")</definedName>
    <definedName name="MMS_Swine_Methane_Equations.VEERG_4_5_1_1__1_TotalAnnualMethaneEmissions_Source">_xlfn.LAMBDA("VEERG 2026: 4.5.1.1, Equation (1)")</definedName>
    <definedName name="MMS_Swine_Methane_Equations.VEERG_4_5_1_1__1_TotalAnnualMethaneEmissions_Title">_xlfn.LAMBDA("Total annual methane emissions from manure management")</definedName>
    <definedName name="MMS_Swine_Methane_Equations.VEERG_4_5_1_1__1_TotalAnnualMethaneEmissions_Unit">_xlfn.LAMBDA("t CH4")</definedName>
    <definedName name="MMS_Swine_Methane_Equations.VEERG_4_5_1_1__1_TotalAnnualMethaneEmissions_Variable">_xlfn.LAMBDA("ECH4")</definedName>
    <definedName name="MMS_Swine_Methane_Equations.VEERG_4_5_1_1__2_MethaneProductionPerClass">_xlfn.LAMBDA(_xlpm.MjmT, SUM(_xlpm.MjmT))</definedName>
    <definedName name="MMS_Swine_Methane_Equations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MS_Swine_Methane_Equations.VEERG_4_5_1_1__2_MethaneProductionPerClass_LatexEquation">_xlfn.LAMBDA("M_{mj}=\sum_{m}\sum_{T}M_{jmT}")</definedName>
    <definedName name="MMS_Swine_Methane_Equations.VEERG_4_5_1_1__2_MethaneProductionPerClass_NIRReference">_xlfn.LAMBDA("")</definedName>
    <definedName name="MMS_Swine_Methane_Equations.VEERG_4_5_1_1__2_MethaneProductionPerClass_Source">_xlfn.LAMBDA("VEERG 2026: 4.5.1.1, Equation (2)")</definedName>
    <definedName name="MMS_Swine_Methane_Equations.VEERG_4_5_1_1__2_MethaneProductionPerClass_Title">_xlfn.LAMBDA("Methane production from the manure of each class of swine")</definedName>
    <definedName name="MMS_Swine_Methane_Equations.VEERG_4_5_1_1__2_MethaneProductionPerClass_Unit">_xlfn.LAMBDA("kg CH4/head/day")</definedName>
    <definedName name="MMS_Swine_Methane_Equations.VEERG_4_5_1_1__2_MethaneProductionPerClass_Variable">_xlfn.LAMBDA("Mmj")</definedName>
    <definedName name="MMS_Swine_Methane_Equations.VEERG_4_5_1_1__2_MethaneProductionPerClass_Variation">_xlfn.LAMBDA("VARIATION ON SOURCE: Split variable Mjm into MjmT1 and MjmT2 for stage 1 and 2 MMS.")</definedName>
    <definedName name="MMS_Swine_Methane_Equations.VEERG_4_5_1_1__2_MethaneProductionPerClassVariation">_xlfn.LAMBDA(_xlpm.MjmT1,_xlpm.MjmT2, SUM(_xlpm.MjmT1, _xlpm.MjmT2))</definedName>
    <definedName name="MMS_Swine_Methane_Equations.VEERG_4_5_1_1__3_Stage1MethaneProduction">_xlfn.LAMBDA(_xlpm.VSj,_xlpm.FVSjmT1,_xlpm.MCFim,_xlpm.BO,_xlpm.rho, _xlpm.VSj * _xlpm.FVSjmT1 * _xlpm.MCFim * _xlpm.BO * _xlpm.rho)</definedName>
    <definedName name="MMS_Swine_Methane_Equations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MS_Swine_Methane_Equations.VEERG_4_5_1_1__3_Stage1MethaneProduction_LatexEquation">_xlfn.LAMBDA("M_{ijm,T=1}=VS_{j}\times FVS_{jm,T=1}\times MCF_{im}\times BO\times \rho")</definedName>
    <definedName name="MMS_Swine_Methane_Equations.VEERG_4_5_1_1__3_Stage1MethaneProduction_NIRReference">_xlfn.LAMBDA("")</definedName>
    <definedName name="MMS_Swine_Methane_Equations.VEERG_4_5_1_1__3_Stage1MethaneProduction_Source">_xlfn.LAMBDA("VEERG 2026: 4.5.1.1, Equation (3)")</definedName>
    <definedName name="MMS_Swine_Methane_Equations.VEERG_4_5_1_1__3_Stage1MethaneProduction_Title">_xlfn.LAMBDA("Production of methane in treatment stage 1 MMS")</definedName>
    <definedName name="MMS_Swine_Methane_Equations.VEERG_4_5_1_1__3_Stage1MethaneProduction_Unit">_xlfn.LAMBDA("kg CH4/head/day")</definedName>
    <definedName name="MMS_Swine_Methane_Equations.VEERG_4_5_1_1__3_Stage1MethaneProduction_Variable">_xlfn.LAMBDA("MijmT1")</definedName>
    <definedName name="MMS_Swine_Methane_Equations.VEERG_4_5_1_1__4_FractionVolatileSolidsPrimarySystem">_xlfn.LAMBDA(_xlpm.MMSjmT1,_xlpm.SSm, _xlpm.MMSjmT1 * (1 - _xlpm.SSm))</definedName>
    <definedName name="MMS_Swine_Methane_Equations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MS_Swine_Methane_Equations.VEERG_4_5_1_1__4_FractionVolatileSolidsPrimarySystem_LatexEquation">_xlfn.LAMBDA("FVS_{jm,T=1}=MMS_{jm,T=1}\times(1-SS_{m})")</definedName>
    <definedName name="MMS_Swine_Methane_Equations.VEERG_4_5_1_1__4_FractionVolatileSolidsPrimarySystem_NIRReference">_xlfn.LAMBDA("")</definedName>
    <definedName name="MMS_Swine_Methane_Equations.VEERG_4_5_1_1__4_FractionVolatileSolidsPrimarySystem_Source">_xlfn.LAMBDA("VEERG 2026: 4.5.1.1, Equation (4)")</definedName>
    <definedName name="MMS_Swine_Methane_Equations.VEERG_4_5_1_1__4_FractionVolatileSolidsPrimarySystem_Title">_xlfn.LAMBDA("Fraction of volatile solids in each primary system other than solid storage")</definedName>
    <definedName name="MMS_Swine_Methane_Equations.VEERG_4_5_1_1__4_FractionVolatileSolidsPrimarySystem_Unit">_xlfn.LAMBDA("fraction")</definedName>
    <definedName name="MMS_Swine_Methane_Equations.VEERG_4_5_1_1__4_FractionVolatileSolidsPrimarySystem_Variable">_xlfn.LAMBDA("FVSjmT1")</definedName>
    <definedName name="MMS_Swine_Methane_Equations.VEERG_4_5_1_1__4_FractionVolatileSolidsPrimarySystem_Variation">_xlfn.LAMBDA("")</definedName>
    <definedName name="MMS_Swine_Methane_Equations.VEERG_4_5_1_1__5_FractionVolatileSolidsSolidStorage">_xlfn.LAMBDA(_xlpm.MMSjm4T1,_xlpm.MMSjm179T1,_xlpm.SSm, _xlpm.MMSjm4T1 + (_xlpm.MMSjm179T1 * _xlpm.SSm))</definedName>
    <definedName name="MMS_Swine_Methane_Equations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MS_Swine_Methane_Equations.VEERG_4_5_1_1__5_FractionVolatileSolidsSolidStorage_LatexEquation">_xlfn.LAMBDA("FVS_{j,m=4,T=1}=MMS_{j,m=4,T=1}+(MMS_{j,m=1,7,9,T=1}\times SS_{m})")</definedName>
    <definedName name="MMS_Swine_Methane_Equations.VEERG_4_5_1_1__5_FractionVolatileSolidsSolidStorage_LatexEquationVariation">_xlfn.LAMBDA("FVS_{j,m=4,T=1}=MMS_{j,m=4,T=1}+(MMS_{j,m=1,T=1}\times SS_{m=1,T=1})+(MMS_{j,m=7,T=1}\times SS_{m=7,T=1})+(MMS_{j,m=9,T=1}\times SS_{m=9,T=1})")</definedName>
    <definedName name="MMS_Swine_Methane_Equations.VEERG_4_5_1_1__5_FractionVolatileSolidsSolidStorage_NIRReference">_xlfn.LAMBDA("")</definedName>
    <definedName name="MMS_Swine_Methane_Equations.VEERG_4_5_1_1__5_FractionVolatileSolidsSolidStorage_Source">_xlfn.LAMBDA("VEERG 2026: 4.5.1.1, Equation (5)")</definedName>
    <definedName name="MMS_Swine_Methane_Equations.VEERG_4_5_1_1__5_FractionVolatileSolidsSolidStorage_Title">_xlfn.LAMBDA("Fraction of volatile solids in solid storage")</definedName>
    <definedName name="MMS_Swine_Methane_Equations.VEERG_4_5_1_1__5_FractionVolatileSolidsSolidStorage_Unit">_xlfn.LAMBDA("fraction")</definedName>
    <definedName name="MMS_Swine_Methane_Equations.VEERG_4_5_1_1__5_FractionVolatileSolidsSolidStorage_Variable">_xlfn.LAMBDA("FVSjm4T1")</definedName>
    <definedName name="MMS_Swine_Methane_Equations.VEERG_4_5_1_1__5_FractionVolatileSolidsSolidStorage_Variation">_xlfn.LAMBDA("VARIATION ON SOURCE: Split equation for MMSm=1,7,9 into separate items to allow for calculation")</definedName>
    <definedName name="MMS_Swine_Methane_Equations.VEERG_4_5_1_1__5_FractionVolatileSolidsSolidStorageVariation">_xlfn.LAMBDA(_xlpm.MMSjm4T1,_xlpm.MMSjmT1_1,_xlpm.MMSjmT1_2,_xlpm.MMSjmT1_3,_xlpm.MMSjmT1_4,_xlpm.MMSjmT1_5,_xlpm.SSjmT1_1,_xlpm.SSjmT1_2,_xlpm.SSjmT1_3,_xlpm.SSjmT1_4,_xlpm.SSjmT1_5, _xlpm.MMSjm4T1 + (_xlpm.MMSjmT1_1 * _xlpm.SSjmT1_1) + (_xlpm.MMSjmT1_2 * _xlpm.SSjmT1_2) + (_xlpm.MMSjmT1_3 * _xlpm.SSjmT1_3) + (_xlpm.MMSjmT1_4 * _xlpm.SSjmT1_4) + (_xlpm.MMSjmT1_5 * _xlpm.SSjmT1_5))</definedName>
    <definedName name="MMS_Swine_Methane_Equations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MS_Swine_Methane_Equations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MS_Swine_Methane_Equations.VEERG_4_5_1_1__6_Stage2MethaneProduction_LatexEquation">_xlfn.LAMBDA("M_{ijm,T=2}=VST_{jm,T=2}\times BO\times MMS_{jm,T=2}\times MCF_{im}\times \rho")</definedName>
    <definedName name="MMS_Swine_Methane_Equations.VEERG_4_5_1_1__6_Stage2MethaneProduction_NIRReference">_xlfn.LAMBDA("")</definedName>
    <definedName name="MMS_Swine_Methane_Equations.VEERG_4_5_1_1__6_Stage2MethaneProduction_Source">_xlfn.LAMBDA("VEERG 2026: 4.5.1.1, Equation (6)")</definedName>
    <definedName name="MMS_Swine_Methane_Equations.VEERG_4_5_1_1__6_Stage2MethaneProduction_Title">_xlfn.LAMBDA("Production of methane in each treatment stage 2 MMS")</definedName>
    <definedName name="MMS_Swine_Methane_Equations.VEERG_4_5_1_1__6_Stage2MethaneProduction_Unit">_xlfn.LAMBDA("kg CH4/head/day")</definedName>
    <definedName name="MMS_Swine_Methane_Equations.VEERG_4_5_1_1__6_Stage2MethaneProduction_Variable">_xlfn.LAMBDA("MijmT2")</definedName>
    <definedName name="MMS_Swine_Methane_Equations.VEERG_4_5_1_1__7_VolatileSolidsTransferredStage2">_xlfn.LAMBDA(_xlpm.VSj,_xlpm.FVSjmT1,_xlpm.VSLmT1, _xlpm.VSj * _xlpm.FVSjmT1 * (1 - _xlpm.VSLmT1))</definedName>
    <definedName name="MMS_Swine_Methane_Equations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MS_Swine_Methane_Equations.VEERG_4_5_1_1__7_VolatileSolidsTransferredStage2_LatexEquation">_xlfn.LAMBDA("VST_{ijm,T=2}=VS_{j}\times FVS_{jm,T=1}\times(1-VSL_{m,T=1})")</definedName>
    <definedName name="MMS_Swine_Methane_Equations.VEERG_4_5_1_1__7_VolatileSolidsTransferredStage2_NIRReference">_xlfn.LAMBDA("")</definedName>
    <definedName name="MMS_Swine_Methane_Equations.VEERG_4_5_1_1__7_VolatileSolidsTransferredStage2_Source">_xlfn.LAMBDA("VEERG 2026: 4.5.1.1, Equation (7)")</definedName>
    <definedName name="MMS_Swine_Methane_Equations.VEERG_4_5_1_1__7_VolatileSolidsTransferredStage2_Title">_xlfn.LAMBDA("Volatile solids transferred to treatment stage 2 MMS")</definedName>
    <definedName name="MMS_Swine_Methane_Equations.VEERG_4_5_1_1__7_VolatileSolidsTransferredStage2_Unit">_xlfn.LAMBDA("kg VS")</definedName>
    <definedName name="MMS_Swine_Methane_Equations.VEERG_4_5_1_1__7_VolatileSolidsTransferredStage2_Variable">_xlfn.LAMBDA("VSTijmT2")</definedName>
    <definedName name="MMS_Swine_N2ODirect_Equations.VEERG_4_5_1_3__1_TotalAnnualDirectNitrousOxideEmissionsFromMMS">_xlfn.LAMBDA(_xlpm.MN_jmT,_xlpm.EF_jm,_xlpm.C_N2O, _xlpm.MN_jmT * _xlpm.EF_jm * _xlpm.C_N2O * 10 ^ -3)</definedName>
    <definedName name="MMS_Swine_N2ODirect_Equations.VEERG_4_5_1_3__1_TotalAnnualDirectNitrousOxideEmissionsFromMMS_Arguments">_xlfn.LAMBDA(_xlfn.MAKEARRAY(3, 2, _xlfn.LAMBDA(_xlpm.r,_xlpm.c, INDEX({"MN_jmT","nitrogen per swine class, MMS and treatment stage (kg N)";"EF_jm","nitrous oxide emission factor for MMS (kg N2O-N/kg N)";"C_N2O","factor to convert elemental mass of nitrous oxide to molecular mass"}, _xlpm.r, _xlpm.c))))</definedName>
    <definedName name="MMS_Swine_N2ODirect_Equations.VEERG_4_5_1_3__1_TotalAnnualDirectNitrousOxideEmissionsFromMMS_LatexEquation">_xlfn.LAMBDA("E_{N2O,dir}=\sum_{j}\sum_{m}\sum_{T}(MN_{jmT}\times EF_{jm}\times C_{N2O})\times10^{-3}")</definedName>
    <definedName name="MMS_Swine_N2ODirect_Equations.VEERG_4_5_1_3__1_TotalAnnualDirectNitrousOxideEmissionsFromMMS_NIRReference">_xlfn.LAMBDA("")</definedName>
    <definedName name="MMS_Swine_N2ODirect_Equations.VEERG_4_5_1_3__1_TotalAnnualDirectNitrousOxideEmissionsFromMMS_Source">_xlfn.LAMBDA("VEERG 2026: 4.5.1.3, Equation (1)")</definedName>
    <definedName name="MMS_Swine_N2ODirect_Equations.VEERG_4_5_1_3__1_TotalAnnualDirectNitrousOxideEmissionsFromMMS_Title">_xlfn.LAMBDA("Total annual direct nitrous oxide emissions from manure management systems")</definedName>
    <definedName name="MMS_Swine_N2ODirect_Equations.VEERG_4_5_1_3__1_TotalAnnualDirectNitrousOxideEmissionsFromMMS_Unit">_xlfn.LAMBDA("t N2O")</definedName>
    <definedName name="MMS_Swine_N2ODirect_Equations.VEERG_4_5_1_3__1_TotalAnnualDirectNitrousOxideEmissionsFromMMS_Variable">_xlfn.LAMBDA("E_N2Odir")</definedName>
    <definedName name="MMS_Swine_N2ODirect_Equations.VEERG_4_5_1_3__2_Stage1NitrogenInMMS">_xlfn.LAMBDA(_xlpm.AE_j,_xlpm.FN_jmT1, _xlpm.AE_j * _xlpm.FN_jmT1)</definedName>
    <definedName name="MMS_Swine_N2ODirect_Equations.VEERG_4_5_1_3__2_Stage1NitrogenInMMS_Arguments">_xlfn.LAMBDA(_xlfn.MAKEARRAY(2, 2, _xlfn.LAMBDA(_xlpm.r,_xlpm.c, INDEX({"AE_j","total nitrogen excreted by each swine class (kg N)";"FN_jmT1","fraction of nitrogen in each primary MMS system"}, _xlpm.r, _xlpm.c))))</definedName>
    <definedName name="MMS_Swine_N2ODirect_Equations.VEERG_4_5_1_3__2_Stage1NitrogenInMMS_LatexEquation">_xlfn.LAMBDA("MN_{jm,T=1}=AE_{j}\times FN_{jm,T=1}")</definedName>
    <definedName name="MMS_Swine_N2ODirect_Equations.VEERG_4_5_1_3__2_Stage1NitrogenInMMS_NIRReference">_xlfn.LAMBDA("")</definedName>
    <definedName name="MMS_Swine_N2ODirect_Equations.VEERG_4_5_1_3__2_Stage1NitrogenInMMS_Source">_xlfn.LAMBDA("VEERG 2026: 4.5.1.3, Equation (2)")</definedName>
    <definedName name="MMS_Swine_N2ODirect_Equations.VEERG_4_5_1_3__2_Stage1NitrogenInMMS_Title">_xlfn.LAMBDA("Nitrogen in treatment stage 1 MMS")</definedName>
    <definedName name="MMS_Swine_N2ODirect_Equations.VEERG_4_5_1_3__2_Stage1NitrogenInMMS_Unit">_xlfn.LAMBDA("kg N")</definedName>
    <definedName name="MMS_Swine_N2ODirect_Equations.VEERG_4_5_1_3__2_Stage1NitrogenInMMS_Variable">_xlfn.LAMBDA("MN_jmT1")</definedName>
    <definedName name="MMS_Swine_N2ODirect_Equations.VEERG_4_5_1_3__3_FractionOfNitrogenInPrimaryMMS">_xlfn.LAMBDA(_xlpm.MMS_jmT1,_xlpm.SN_m, _xlpm.MMS_jmT1 * (1 - _xlpm.SN_m))</definedName>
    <definedName name="MMS_Swine_N2ODirect_Equations.VEERG_4_5_1_3__3_FractionOfNitrogenInPrimaryMMS_Arguments">_xlfn.LAMBDA(_xlfn.MAKEARRAY(2, 2, _xlfn.LAMBDA(_xlpm.r,_xlpm.c, INDEX({"MMS_jmT1","fraction of manure in primary MMS";"SN_m","fraction of nitrogen separated to solid storage for each MMS"}, _xlpm.r, _xlpm.c))))</definedName>
    <definedName name="MMS_Swine_N2ODirect_Equations.VEERG_4_5_1_3__3_FractionOfNitrogenInPrimaryMMS_LatexEquation">_xlfn.LAMBDA("FN_{jm,T=1}=MMS_{jm,T=1}\times(1-SN_{m})")</definedName>
    <definedName name="MMS_Swine_N2ODirect_Equations.VEERG_4_5_1_3__3_FractionOfNitrogenInPrimaryMMS_NIRReference">_xlfn.LAMBDA("")</definedName>
    <definedName name="MMS_Swine_N2ODirect_Equations.VEERG_4_5_1_3__3_FractionOfNitrogenInPrimaryMMS_Source">_xlfn.LAMBDA("VEERG 2026: 4.5.1.3, Equation (3)")</definedName>
    <definedName name="MMS_Swine_N2ODirect_Equations.VEERG_4_5_1_3__3_FractionOfNitrogenInPrimaryMMS_Title">_xlfn.LAMBDA("Fraction of nitrogen in each primary MMS (excluding solid storage)")</definedName>
    <definedName name="MMS_Swine_N2ODirect_Equations.VEERG_4_5_1_3__3_FractionOfNitrogenInPrimaryMMS_Unit">_xlfn.LAMBDA("fraction")</definedName>
    <definedName name="MMS_Swine_N2ODirect_Equations.VEERG_4_5_1_3__3_FractionOfNitrogenInPrimaryMMS_Variable">_xlfn.LAMBDA("FN_jmT1")</definedName>
    <definedName name="MMS_Swine_N2ODirect_Equations.VEERG_4_5_1_3__4_FractionOfNitrogenInSolidStorage">_xlfn.LAMBDA(_xlpm.MMS_jm4T1,_xlpm.MMS_jm179T1,_xlpm.SN_m, _xlpm.MMS_jm4T1 + (_xlpm.MMS_jm179T1 * _xlpm.SN_m))</definedName>
    <definedName name="MMS_Swine_N2ODirect_Equations.VEERG_4_5_1_3__4_FractionOfNitrogenInSolidStorage_Arguments">_xlfn.LAMBDA(_xlfn.MAKEARRAY(3, 2, _xlfn.LAMBDA(_xlpm.r,_xlpm.c, INDEX({"MMS_jm4T1","fraction of manure in solid storage MMS";"MMS_jm179T1","fraction of manure in primary liquid systems (m=1,7,9)";"SN_m","fraction of nitrogen separated to solid storage for each MMS"}, _xlpm.r, _xlpm.c))))</definedName>
    <definedName name="MMS_Swine_N2ODirect_Equations.VEERG_4_5_1_3__4_FractionOfNitrogenInSolidStorage_LatexEquation">_xlfn.LAMBDA("FN_{jm=4,T=1}=MMS_{jm=4,T=1}+(MMS_{jm=1,7,9,T=1}\times SN_{m})")</definedName>
    <definedName name="MMS_Swine_N2ODirect_Equations.VEERG_4_5_1_3__4_FractionOfNitrogenInSolidStorage_LatexEquationVariation">_xlfn.LAMBDA("FN_{jm=4,T=1}=MMS_{jm=4,T=1}+(MMS_{j,m=1,T=1}\times SS_{m=1,T=1})+(MMS_{j,m=7,T=1}\times SS_{m=7,T=1})+(MMS_{j,m=9,T=1}\times SS_{m=9,T=1})")</definedName>
    <definedName name="MMS_Swine_N2ODirect_Equations.VEERG_4_5_1_3__4_FractionOfNitrogenInSolidStorage_NIRReference">_xlfn.LAMBDA("")</definedName>
    <definedName name="MMS_Swine_N2ODirect_Equations.VEERG_4_5_1_3__4_FractionOfNitrogenInSolidStorage_Source">_xlfn.LAMBDA("VEERG 2026: 4.5.1.3, Equation (4)")</definedName>
    <definedName name="MMS_Swine_N2ODirect_Equations.VEERG_4_5_1_3__4_FractionOfNitrogenInSolidStorage_Title">_xlfn.LAMBDA("Fraction of nitrogen in solid storage")</definedName>
    <definedName name="MMS_Swine_N2ODirect_Equations.VEERG_4_5_1_3__4_FractionOfNitrogenInSolidStorage_Unit">_xlfn.LAMBDA("fraction")</definedName>
    <definedName name="MMS_Swine_N2ODirect_Equations.VEERG_4_5_1_3__4_FractionOfNitrogenInSolidStorage_Variable">_xlfn.LAMBDA("FN_jm4T1")</definedName>
    <definedName name="MMS_Swine_N2ODirect_Equations.VEERG_4_5_1_3__4_FractionOfNitrogenInSolidStorage_Variation">_xlfn.LAMBDA("VARIATION ON SOURCE: Split equation for MMSm=1,7,9 into separate items to allow for calculation")</definedName>
    <definedName name="MMS_Swine_N2ODirect_Equations.VEERG_4_5_1_3__4_FractionOfNitrogenInSolidStorageVariation">_xlfn.LAMBDA(_xlpm.MMS_jm4T1,_xlpm.MMSjmT1_1,_xlpm.MMSjmT1_2,_xlpm.MMSjmT1_3,_xlpm.MMSjmT1_4,_xlpm.MMSjmT1_5,_xlpm.SSjmT1_1,_xlpm.SSjmT1_2,_xlpm.SSjmT1_3,_xlpm.SSjmT1_4,_xlpm.SSjmT1_5, _xlpm.MMS_jm4T1 + (_xlpm.MMSjmT1_1 * _xlpm.SSjmT1_1) + (_xlpm.MMSjmT1_2 * _xlpm.SSjmT1_2) + (_xlpm.MMSjmT1_3 * _xlpm.SSjmT1_3) + (_xlpm.MMSjmT1_4 * _xlpm.SSjmT1_4) + (_xlpm.MMSjmT1_5 * _xlpm.SSjmT1_5))</definedName>
    <definedName name="MMS_Swine_N2ODirect_Equations.VEERG_4_5_1_3__5_AnnualNitrogenExcretion">_xlfn.LAMBDA(_xlpm.N_j,_xlpm.NW_j,_xlpm.D_j, _xlpm.N_j * _xlpm.NW_j * _xlpm.D_j)</definedName>
    <definedName name="MMS_Swine_N2ODirect_Equations.VEERG_4_5_1_3__5_AnnualNitrogenExcretion_Arguments">_xlfn.LAMBDA(_xlfn.MAKEARRAY(3, 2, _xlfn.LAMBDA(_xlpm.r,_xlpm.c, INDEX({"N_j","number of swine in each group (head)";"NW_j","nitrogen produced in swine manure and waste feed in each class (kg N/head/day)";"D_j","duration of stay of swine group (days)"}, _xlpm.r, _xlpm.c))))</definedName>
    <definedName name="MMS_Swine_N2ODirect_Equations.VEERG_4_5_1_3__5_AnnualNitrogenExcretion_LatexEquation">_xlfn.LAMBDA("AE_{j}=N_{j}\times NW_{j}\times D_{j}")</definedName>
    <definedName name="MMS_Swine_N2ODirect_Equations.VEERG_4_5_1_3__5_AnnualNitrogenExcretion_NIRReference">_xlfn.LAMBDA("")</definedName>
    <definedName name="MMS_Swine_N2ODirect_Equations.VEERG_4_5_1_3__5_AnnualNitrogenExcretion_Source">_xlfn.LAMBDA("VEERG 2026: 4.5.1.3, Equation (5)")</definedName>
    <definedName name="MMS_Swine_N2ODirect_Equations.VEERG_4_5_1_3__5_AnnualNitrogenExcretion_Title">_xlfn.LAMBDA("Annual nitrogen excretion from each swine group")</definedName>
    <definedName name="MMS_Swine_N2ODirect_Equations.VEERG_4_5_1_3__5_AnnualNitrogenExcretion_Unit">_xlfn.LAMBDA("kg N")</definedName>
    <definedName name="MMS_Swine_N2ODirect_Equations.VEERG_4_5_1_3__5_AnnualNitrogenExcretion_Variable">_xlfn.LAMBDA("AE_j")</definedName>
    <definedName name="MMS_Swine_N2ODirect_Equations.VEERG_4_5_1_3__6_Stage2NitrogenInMMS">_xlfn.LAMBDA(_xlpm.NT_jmT2,_xlpm.MMS_jmT2, _xlpm.NT_jmT2 * _xlpm.MMS_jmT2)</definedName>
    <definedName name="MMS_Swine_N2ODirect_Equations.VEERG_4_5_1_3__6_Stage2NitrogenInMMS_Arguments">_xlfn.LAMBDA(_xlfn.MAKEARRAY(2, 2, _xlfn.LAMBDA(_xlpm.r,_xlpm.c, INDEX({"NT_jmT2","nitrogen transferred to secondary treatment MMS (kg N)";"MMS_jmT2","fraction of manure in each secondary system"}, _xlpm.r, _xlpm.c))))</definedName>
    <definedName name="MMS_Swine_N2ODirect_Equations.VEERG_4_5_1_3__6_Stage2NitrogenInMMS_LatexEquation">_xlfn.LAMBDA("MN_{jm,T=2}=NT_{jm,T=2}\times MMS_{jm,T=2}")</definedName>
    <definedName name="MMS_Swine_N2ODirect_Equations.VEERG_4_5_1_3__6_Stage2NitrogenInMMS_NIRReference">_xlfn.LAMBDA("")</definedName>
    <definedName name="MMS_Swine_N2ODirect_Equations.VEERG_4_5_1_3__6_Stage2NitrogenInMMS_Source">_xlfn.LAMBDA("VEERG 2026: 4.5.1.3, Equation (6)")</definedName>
    <definedName name="MMS_Swine_N2ODirect_Equations.VEERG_4_5_1_3__6_Stage2NitrogenInMMS_Title">_xlfn.LAMBDA("Nitrogen in treatment stage 2 MMS")</definedName>
    <definedName name="MMS_Swine_N2ODirect_Equations.VEERG_4_5_1_3__6_Stage2NitrogenInMMS_Unit">_xlfn.LAMBDA("kg N")</definedName>
    <definedName name="MMS_Swine_N2ODirect_Equations.VEERG_4_5_1_3__6_Stage2NitrogenInMMS_Variable">_xlfn.LAMBDA("MN_jmT2")</definedName>
    <definedName name="MMS_Swine_N2ODirect_Equations.VEERG_4_5_1_3__7_NitrogenTransferredToStage2MMS">_xlfn.LAMBDA(_xlpm.MN_jmT1,_xlpm.FracGASMmT1,_xlpm.EF_mT1, _xlpm.MN_jmT1 * (1 - _xlpm.FracGASMmT1 - _xlpm.EF_mT1))</definedName>
    <definedName name="MMS_Swine_N2ODirect_Equations.VEERG_4_5_1_3__7_NitrogenTransferredToStage2MMS_Arguments">_xlfn.LAMBDA(_xlfn.MAKEARRAY(3, 2, _xlfn.LAMBDA(_xlpm.r,_xlpm.c, INDEX({"MN_jmT1","nitrogen per swine class in treatment stage 1 MMS (kg N)";"FracGASMmT1","fraction of N volatilised from MMS treatment at stage 1";"EF_mT1","nitrous oxide emission factor for MMS treatment at stage 1"}, _xlpm.r, _xlpm.c))))</definedName>
    <definedName name="MMS_Swine_N2ODirect_Equations.VEERG_4_5_1_3__7_NitrogenTransferredToStage2MMS_LatexEquation">_xlfn.LAMBDA("NT_{jm,T=2}=MN_{jm,T=1}\times(1-FracGASM_{m,T=1}-EF_{m,T=1})")</definedName>
    <definedName name="MMS_Swine_N2ODirect_Equations.VEERG_4_5_1_3__7_NitrogenTransferredToStage2MMS_NIRReference">_xlfn.LAMBDA("")</definedName>
    <definedName name="MMS_Swine_N2ODirect_Equations.VEERG_4_5_1_3__7_NitrogenTransferredToStage2MMS_Source">_xlfn.LAMBDA("VEERG 2026: 4.5.1.3, Equation (7)")</definedName>
    <definedName name="MMS_Swine_N2ODirect_Equations.VEERG_4_5_1_3__7_NitrogenTransferredToStage2MMS_Title">_xlfn.LAMBDA("Nitrogen transferred to treatment stage 2 MMS")</definedName>
    <definedName name="MMS_Swine_N2ODirect_Equations.VEERG_4_5_1_3__7_NitrogenTransferredToStage2MMS_Unit">_xlfn.LAMBDA("kg N")</definedName>
    <definedName name="MMS_Swine_N2ODirect_Equations.VEERG_4_5_1_3__7_NitrogenTransferredToStage2MMS_Variable">_xlfn.LAMBDA("NT_jmT2")</definedName>
    <definedName name="Range_LivestockStartingValues">#REF!</definedName>
    <definedName name="SourceData_Swine.SourceData_Swine_AverageLiveweight_Data">_xlfn.LAMBDA(_xlfn.MAKEARRAY(6, 2, _xlfn.LAMBDA(_xlpm.r,_xlpm.c, INDEX({"Livestock Type j","Average Liveweight (kg)";"Sows",188;"Boars",206;"Gilts",125;"Slaughter pigs",39;"Slaughter pigs at turnoff",97}, _xlpm.r, _xlpm.c))))</definedName>
    <definedName name="SourceData_Swine.SourceData_Swine_AverageLiveweight_Source">_xlfn.LAMBDA("VEERG 2026: Table A.1.6.5: Swine - Average liveweight (inventory defaults) (kg) (Wco)")</definedName>
    <definedName name="SourceData_Swine.SourceData_Swine_AverageLiveweight_Title">_xlfn.LAMBDA("Swine - Average liveweight (inventory defaults) (kg) (Wco)")</definedName>
    <definedName name="SourceData_Swine.SourceData_Swine_AverageLiveweight_Unit">_xlfn.LAMBDA("kg")</definedName>
    <definedName name="SourceData_Swine.SourceData_Swine_AverageLiveweight_Variation">_xlfn.LAMBDA(".")</definedName>
    <definedName name="SourceData_Swine.SourceData_Swine_FeedIntake_Data">_xlfn.LAMBDA(_xlfn.MAKEARRAY(5, 2, _xlfn.LAMBDA(_xlpm.r,_xlpm.c, INDEX({"Class","Ij";"Boars",2.62;"Sows",2.3;"Gilts",2.5;"Others",1.71}, _xlpm.r, _xlpm.c))))</definedName>
    <definedName name="SourceData_Swine.SourceData_Swine_FeedIntake_Source">_xlfn.LAMBDA("VEERG 2026: Table A.1.6.1: Swine - Intake and manure characteristics derived from PigBal")</definedName>
    <definedName name="SourceData_Swine.SourceData_Swine_FeedIntake_Title">_xlfn.LAMBDA("Swine - Feed intake - ingested as fed  (Ij) - 2020 to 2024")</definedName>
    <definedName name="SourceData_Swine.SourceData_Swine_FeedIntake_Unit">_xlfn.LAMBDA("kg/head/day")</definedName>
    <definedName name="SourceData_Swine.SourceData_Swine_FeedIntake_Variation">_xlfn.LAMBDA("VARIATION ON SOURCE DATA: Only uses data for 2020-2024. Use 'Slaughter pigs' data for 'Other j=4' class.")</definedName>
    <definedName name="SourceData_Swine.SourceData_Swine_FracLEACH_DrylotMMS_Data">_xlfn.LAMBDA(0.02)</definedName>
    <definedName name="SourceData_Swine.SourceData_Swine_FracLEACH_DrylotMMS_Source">_xlfn.LAMBDA("VEERG 2026: 4.5.2.3 CONSTANT")</definedName>
    <definedName name="SourceData_Swine.SourceData_Swine_FracLEACH_DrylotMMS_Title">_xlfn.LAMBDA("Fraction of nitrogen lost through leaching and runoff for drylot MMS")</definedName>
    <definedName name="SourceData_Swine.SourceData_Swine_FracLEACH_DrylotMMS_Unit">_xlfn.LAMBDA("fraction")</definedName>
    <definedName name="SourceData_Swine.SourceData_Swine_FracLEACH_DrylotMMS_Variable">_xlfn.LAMBDA("FracLEACH_MS")</definedName>
    <definedName name="SourceData_Swine.SourceData_Swine_FracLEACH_DrylotMMS_Variation">_xlfn.LAMBDA("VARIATION ON SOURCE: Text refers to 'solid storage' MMS, but equation refers to 'drylot' MMS.")</definedName>
    <definedName name="SourceData_Swine.SourceData_Swine_FractionNVolatilised_Data">_xlfn.LAMBDA(_xlfn.MAKEARRAY(7, 3, _xlfn.LAMBDA(_xlpm.r,_xlpm.c, INDEX({"MMSm","FracGASMmT","NIR reference";"Outdoor (Dry lot)",0.3,"Drylot (feed pad)";"Deep litter",0.125,"Deep litter";"Stockpile (Solid storage)",0.2,"Solid storage";"Effluent pond (Uncovered anaerobic lagoon)",0.55,"Anaerobic lagoon";"Anaerobic digester / Covered lagoon",0,"Digester / covered lagoons";"Short HRT tank storage &lt; 1 month (pit storage)",0.25,"Pit storage"}, _xlpm.r, _xlpm.c))))</definedName>
    <definedName name="SourceData_Swine.SourceData_Swine_FractionNVolatilised_Source">_xlfn.LAMBDA("VEERG 2026: Table A.1.6.2: Swine - Fraction of N volatilised by MMS ((kg NH3-N + NOx-N)/kgN) (FracGASMmT)")</definedName>
    <definedName name="SourceData_Swine.SourceData_Swine_FractionNVolatilised_Title">_xlfn.LAMBDA("Swine - Fraction of nitrogen volatilised (FracGASMmT)")</definedName>
    <definedName name="SourceData_Swine.SourceData_Swine_FractionNVolatilised_Unit">_xlfn.LAMBDA("(kg NH3-N + NOx-N)/kgN")</definedName>
    <definedName name="SourceData_Swine.SourceData_Swine_FractionNVolatilised_Variation">_xlfn.LAMBDA("VARIATION ON SOURCE DATA: Added 'NIR reference column to aid lookup.")</definedName>
    <definedName name="SourceData_Swine.SourceData_Swine_MethaneVolatileSolidsEmissionsPotential_Data">_xlfn.LAMBDA(0.19)</definedName>
    <definedName name="SourceData_Swine.SourceData_Swine_MethaneVolatileSolidsEmissionsPotential_Source">_xlfn.LAMBDA("IPCC (2019), Chapter 10 [4]")</definedName>
    <definedName name="SourceData_Swine.SourceData_Swine_MethaneVolatileSolidsEmissionsPotential_Title">_xlfn.LAMBDA("Emissions potential of methane per kilogram of volatile solids")</definedName>
    <definedName name="SourceData_Swine.SourceData_Swine_MethaneVolatileSolidsEmissionsPotential_Unit">_xlfn.LAMBDA("m3 CH4 / kg VS")</definedName>
    <definedName name="SourceData_Swine.SourceData_Swine_MethaneVolatileSolidsEmissionsPotential_Variable">_xlfn.LAMBDA("B0")</definedName>
    <definedName name="SourceData_Swine.SourceData_Swine_MethaneVolatileSolidsEmissionsPotential_Variation">_xlfn.LAMBDA("")</definedName>
    <definedName name="SourceData_Swine.SourceData_Swine_MMS_MCFs_Data">_xlfn.LAMBDA(_xlfn.MAKEARRAY(8, 10, _xlfn.LAMBDA(_xlpm.r,_xlpm.c, INDEX({"MMS","NSW","ACT","QLD","NT","SA","TAS","VIC","WA","NIR definition";"Outdoor (Dry lot)",0.01,0.01,0.03,0.03,0.01,0.01,0.01,0.01,"Drylot (feed pad)";"Deep litter",0.04,0.04,0.04,0.04,0.04,0.04,0.04,0.04,"Deep litter";"Stockpile (Solid storage)",0.02,0.02,0.02,0.02,0.02,0.02,0.02,0.02,"Solid storage";"Effluent pond (Uncovered anaerobic lagoon)",0.75,0.75,0.78,0.78,0.75,0.7,0.74,0.76,"Anaerobic lagoon";"Anaerobic digester / Covered lagoon",0.1,0.1,0.1,0.1,0.1,0.1,0.1,0.1,"Digester / covered lagoons";"Short HRT tank storage &lt; 1 month (pit storage)",0.03,0.03,0.03,0.03,0.03,0.03,0.03,0.03,"Pit storage";"Direct Application to soil",0,0,0,0,0,0,0,0,"Direct application"}, _xlpm.r, _xlpm.c))))</definedName>
    <definedName name="SourceData_Swine.SourceData_Swine_MMS_MCFs_Source">_xlfn.LAMBDA("VEERG 2026: Table A.1.6.4: Swine - MCFs (MCFim)")</definedName>
    <definedName name="SourceData_Swine.SourceData_Swine_MMS_MCFs_Title">_xlfn.LAMBDA("Methane conversion factor for temperature zone and manure management system.")</definedName>
    <definedName name="SourceData_Swine.SourceData_Swine_MMS_MCFs_Unit">_xlfn.LAMBDA("")</definedName>
    <definedName name="SourceData_Swine.SourceData_Swine_MMS_MCFs_Variation">_xlfn.LAMBDA("VARIATION ON SOURCE DATA: Added columns for ACT, split QLD and NT. Added extra column with MMS names that match NIR definitions")</definedName>
    <definedName name="SourceData_Swine.SourceData_Swine_NitrogenInWaste_Data">_xlfn.LAMBDA(_xlfn.MAKEARRAY(5, 3, _xlfn.LAMBDA(_xlpm.r,_xlpm.c, INDEX({"Class","NWj","NWj daily";"Boars",0.046,0.046;"Sows",0.049,0.049;"Gilts",0.046,0.046;"Others (kg/head/year)",11.4,0.0312}, _xlpm.r, _xlpm.c))))</definedName>
    <definedName name="SourceData_Swine.SourceData_Swine_NitrogenInWaste_Source">_xlfn.LAMBDA("VEERG 2026: Table A.1.6.1: Swine - Intake and manure characteristics derived from PigBal")</definedName>
    <definedName name="SourceData_Swine.SourceData_Swine_NitrogenInWaste_Title">_xlfn.LAMBDA("Swine - Nitrogen in waste (NWj) - 2020 to 2024")</definedName>
    <definedName name="SourceData_Swine.SourceData_Swine_NitrogenInWaste_Unit">_xlfn.LAMBDA("kg/head/day")</definedName>
    <definedName name="SourceData_Swine.SourceData_Swine_NitrogenInWaste_Variation">_xlfn.LAMBDA("VARIATION ON SOURCE DATA: Only uses data for 2020-2024. Use 'Slaughter pigs' data for 'Other j=4' class. Added 'NWj daily' column to provide daily value for Others class")</definedName>
    <definedName name="SourceData_Swine.SourceData_Swine_NitrousOxideEFs_Data">_xlfn.LAMBDA(_xlfn.MAKEARRAY(7, 3, _xlfn.LAMBDA(_xlpm.r,_xlpm.c, INDEX({"MMSm","EFmT","NIR reference";"Outdoor (Dry lot)",0.02,"Drylot (feed pad)";"Deep litter",0.01,"Deep litter";"Stockpile (Solid storage)",0.005,"Solid storage";"Effluent pond (Uncovered anaerobic lagoon)",0,"Anaerobic lagoon";"Anaerobic digestor / Covered lagoon",0,"Digester / covered lagoons";"Short HRT tank storage &lt; 1 month (pit storage)",0.002,"Pit storage"}, _xlpm.r, _xlpm.c))))</definedName>
    <definedName name="SourceData_Swine.SourceData_Swine_NitrousOxideEFs_Source">_xlfn.LAMBDA("VEERG 2026: Table A.1.6.3: Swine - Nitrous oxide EFs by MMS (kgN2O-N/kgN) (EFmT)")</definedName>
    <definedName name="SourceData_Swine.SourceData_Swine_NitrousOxideEFs_Title">_xlfn.LAMBDA("Swine - Nitrous oxide EFs by MMS (EFmT)")</definedName>
    <definedName name="SourceData_Swine.SourceData_Swine_NitrousOxideEFs_Unit">_xlfn.LAMBDA("kgN2O - N / kgN")</definedName>
    <definedName name="SourceData_Swine.SourceData_Swine_NitrousOxideEFs_Variation">_xlfn.LAMBDA("VARIATION ON SOURCE DATA: Added 'NIR reference column to aid lookup.")</definedName>
    <definedName name="SourceData_Swine.SourceData_Swine_ProductionSystems_Data">_xlfn.LAMBDA(_xlfn.MAKEARRAY(4, 1, _xlfn.LAMBDA(_xlpm.r,_xlpm.c, INDEX({"Production system";"Conventional housing";"Deep litter housing";"Outdoor/free range"}, _xlpm.r, _xlpm.c))))</definedName>
    <definedName name="SourceData_Swine.SourceData_Swine_ProductionSystems_Source">_xlfn.LAMBDA("VEERG 2026: 4.5 Swine Figure 4.8")</definedName>
    <definedName name="SourceData_Swine.SourceData_Swine_ProductionSystems_Title">_xlfn.LAMBDA("Swine production systems")</definedName>
    <definedName name="SourceData_Swine.SourceData_Swine_ProductionSystems_Unit">_xlfn.LAMBDA("")</definedName>
    <definedName name="SourceData_Swine.SourceData_Swine_ProductionSystems_Variation">_xlfn.LAMBDA("")</definedName>
    <definedName name="SourceData_Swine.SourceData_Swine_VolatileSolids_Data">_xlfn.LAMBDA(_xlfn.MAKEARRAY(5, 2, _xlfn.LAMBDA(_xlpm.r,_xlpm.c, INDEX({"Class","VSj";"Boars",0.4;"Sows",0.46;"Gilts",0.55;"Others",0.39}, _xlpm.r, _xlpm.c))))</definedName>
    <definedName name="SourceData_Swine.SourceData_Swine_VolatileSolids_Source">_xlfn.LAMBDA("VEERG 2026: Table A.1.6.1: Swine - Intake and manure characteristics derived from PigBal")</definedName>
    <definedName name="SourceData_Swine.SourceData_Swine_VolatileSolids_Title">_xlfn.LAMBDA("Swine - Volatile solids (VSj) - 2020 to 2024")</definedName>
    <definedName name="SourceData_Swine.SourceData_Swine_VolatileSolids_Unit">_xlfn.LAMBDA("kg/head/day")</definedName>
    <definedName name="SourceData_Swine.SourceData_Swine_VolatileSolids_Variation">_xlfn.LAMBDA("VARIATION ON SOURCE DATA: Only uses data for 2020-2024. Use 'Slaughter pigs' data for 'Other j=4' class.")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05" l="1"/>
  <c r="I46" i="105"/>
  <c r="H46" i="105"/>
  <c r="G46" i="105"/>
  <c r="F46" i="105"/>
  <c r="I45" i="105"/>
  <c r="H45" i="105"/>
  <c r="G45" i="105"/>
  <c r="F45" i="105"/>
  <c r="I44" i="105"/>
  <c r="H44" i="105"/>
  <c r="G44" i="105"/>
  <c r="F44" i="105"/>
  <c r="I43" i="105"/>
  <c r="H43" i="105"/>
  <c r="G43" i="105"/>
  <c r="F43" i="105"/>
  <c r="I42" i="105"/>
  <c r="H42" i="105"/>
  <c r="G42" i="105"/>
  <c r="F42" i="105"/>
  <c r="I41" i="105"/>
  <c r="H41" i="105"/>
  <c r="G41" i="105"/>
  <c r="F41" i="105"/>
  <c r="I40" i="105"/>
  <c r="H40" i="105"/>
  <c r="G40" i="105"/>
  <c r="F40" i="105"/>
  <c r="I39" i="105"/>
  <c r="H39" i="105"/>
  <c r="G39" i="105"/>
  <c r="F39" i="105"/>
  <c r="I38" i="105"/>
  <c r="H38" i="105"/>
  <c r="G38" i="105"/>
  <c r="F38" i="105"/>
  <c r="I37" i="105"/>
  <c r="H37" i="105"/>
  <c r="G37" i="105"/>
  <c r="F37" i="105"/>
  <c r="I36" i="105"/>
  <c r="H36" i="105"/>
  <c r="G36" i="105"/>
  <c r="F36" i="105"/>
  <c r="I35" i="105"/>
  <c r="H35" i="105"/>
  <c r="G35" i="105"/>
  <c r="F35" i="105"/>
  <c r="I34" i="105"/>
  <c r="H34" i="105"/>
  <c r="G34" i="105"/>
  <c r="F34" i="105"/>
  <c r="I33" i="105"/>
  <c r="H33" i="105"/>
  <c r="G33" i="105"/>
  <c r="F33" i="105"/>
  <c r="I32" i="105"/>
  <c r="H32" i="105"/>
  <c r="G32" i="105"/>
  <c r="F32" i="105"/>
  <c r="I31" i="105"/>
  <c r="H31" i="105"/>
  <c r="G31" i="105"/>
  <c r="F31" i="105"/>
  <c r="I30" i="105"/>
  <c r="H30" i="105"/>
  <c r="G30" i="105"/>
  <c r="F30" i="105"/>
  <c r="I29" i="105"/>
  <c r="H29" i="105"/>
  <c r="G29" i="105"/>
  <c r="F29" i="105"/>
  <c r="I28" i="105"/>
  <c r="H28" i="105"/>
  <c r="G28" i="105"/>
  <c r="F28" i="105"/>
  <c r="I27" i="105"/>
  <c r="H27" i="105"/>
  <c r="G27" i="105"/>
  <c r="F27" i="105"/>
  <c r="I26" i="105"/>
  <c r="H26" i="105"/>
  <c r="G26" i="105"/>
  <c r="F26" i="105"/>
  <c r="I25" i="105"/>
  <c r="H25" i="105"/>
  <c r="G25" i="105"/>
  <c r="F25" i="105"/>
  <c r="I24" i="105"/>
  <c r="H24" i="105"/>
  <c r="G24" i="105"/>
  <c r="F24" i="105"/>
  <c r="I23" i="105"/>
  <c r="H23" i="105"/>
  <c r="G23" i="105"/>
  <c r="F23" i="105"/>
  <c r="I22" i="105"/>
  <c r="H22" i="105"/>
  <c r="G22" i="105"/>
  <c r="F22" i="105"/>
  <c r="F29" i="97"/>
  <c r="J46" i="105"/>
  <c r="E46" i="105"/>
  <c r="J45" i="105"/>
  <c r="E45" i="105"/>
  <c r="J44" i="105"/>
  <c r="E44" i="105"/>
  <c r="J43" i="105"/>
  <c r="E43" i="105"/>
  <c r="J42" i="105"/>
  <c r="E42" i="105"/>
  <c r="D42" i="105"/>
  <c r="J41" i="105"/>
  <c r="E41" i="105"/>
  <c r="J40" i="105"/>
  <c r="E40" i="105"/>
  <c r="J39" i="105"/>
  <c r="E39" i="105"/>
  <c r="J38" i="105"/>
  <c r="E38" i="105"/>
  <c r="D38" i="105"/>
  <c r="J37" i="105"/>
  <c r="E37" i="105"/>
  <c r="J36" i="105"/>
  <c r="E36" i="105"/>
  <c r="J35" i="105"/>
  <c r="E35" i="105"/>
  <c r="J34" i="105"/>
  <c r="E34" i="105"/>
  <c r="D34" i="105"/>
  <c r="J33" i="105"/>
  <c r="E33" i="105"/>
  <c r="J32" i="105"/>
  <c r="E32" i="105"/>
  <c r="J31" i="105"/>
  <c r="E31" i="105"/>
  <c r="J30" i="105"/>
  <c r="E30" i="105"/>
  <c r="D30" i="105"/>
  <c r="J29" i="105"/>
  <c r="E29" i="105"/>
  <c r="J28" i="105"/>
  <c r="E28" i="105"/>
  <c r="J27" i="105"/>
  <c r="E27" i="105"/>
  <c r="J26" i="105"/>
  <c r="E26" i="105"/>
  <c r="D26" i="105"/>
  <c r="J25" i="105"/>
  <c r="E25" i="105"/>
  <c r="J24" i="105"/>
  <c r="E24" i="105"/>
  <c r="J23" i="105"/>
  <c r="E23" i="105"/>
  <c r="J22" i="105"/>
  <c r="E22" i="105"/>
  <c r="D22" i="105"/>
  <c r="E7" i="105" a="1"/>
  <c r="E7" i="105" s="1"/>
  <c r="D13" i="105" a="1"/>
  <c r="D13" i="105" s="1"/>
  <c r="E11" i="105" a="1"/>
  <c r="E11" i="105" s="1"/>
  <c r="E10" i="105" a="1"/>
  <c r="E10" i="105" s="1"/>
  <c r="D6" i="105" a="1"/>
  <c r="D6" i="105" s="1"/>
  <c r="D5" i="105" a="1"/>
  <c r="D5" i="105" s="1"/>
  <c r="A39" i="105"/>
  <c r="A38" i="105"/>
  <c r="A37" i="105"/>
  <c r="A36" i="105"/>
  <c r="A33" i="105"/>
  <c r="A30" i="105"/>
  <c r="A29" i="105"/>
  <c r="A28" i="105"/>
  <c r="A27" i="105"/>
  <c r="A26" i="105"/>
  <c r="A25" i="105"/>
  <c r="A24" i="105"/>
  <c r="A19" i="105"/>
  <c r="A18" i="105"/>
  <c r="A15" i="105"/>
  <c r="A14" i="105"/>
  <c r="A13" i="105"/>
  <c r="A12" i="105"/>
  <c r="A11" i="105"/>
  <c r="A10" i="105"/>
  <c r="A9" i="105"/>
  <c r="A8" i="105"/>
  <c r="A7" i="105"/>
  <c r="A4" i="105"/>
  <c r="O54" i="98" a="1"/>
  <c r="O54" i="98" s="1"/>
  <c r="P52" i="98"/>
  <c r="M51" i="98" a="1"/>
  <c r="M51" i="98" s="1"/>
  <c r="O49" i="98"/>
  <c r="F54" i="98" a="1"/>
  <c r="F54" i="98" s="1"/>
  <c r="G52" i="98"/>
  <c r="D51" i="98" a="1"/>
  <c r="D51" i="98" s="1"/>
  <c r="I47" i="98"/>
  <c r="G40" i="98"/>
  <c r="D40" i="98" a="1"/>
  <c r="D40" i="98" s="1"/>
  <c r="E38" i="98" a="1"/>
  <c r="E38" i="98" s="1"/>
  <c r="R47" i="98" s="1"/>
  <c r="E37" i="98" a="1"/>
  <c r="E37" i="98" s="1"/>
  <c r="D33" i="98" a="1"/>
  <c r="D33" i="98" s="1"/>
  <c r="D32" i="98" a="1"/>
  <c r="D32" i="98" s="1"/>
  <c r="D16" i="79" a="1"/>
  <c r="D16" i="79"/>
  <c r="F17" i="79" a="1"/>
  <c r="F17" i="79" s="1"/>
  <c r="E17" i="79" a="1"/>
  <c r="E17" i="79" s="1"/>
  <c r="G15" i="98" s="1"/>
  <c r="D17" i="79" a="1"/>
  <c r="D17" i="79" s="1"/>
  <c r="D15" i="79" a="1"/>
  <c r="D15" i="79" s="1"/>
  <c r="D14" i="79" a="1"/>
  <c r="D14" i="79" s="1"/>
  <c r="G18" i="98"/>
  <c r="G17" i="98"/>
  <c r="G16" i="98"/>
  <c r="G13" i="98"/>
  <c r="D13" i="98" a="1"/>
  <c r="D13" i="98" s="1"/>
  <c r="E11" i="98" a="1"/>
  <c r="E11" i="98" s="1"/>
  <c r="R28" i="98" s="1"/>
  <c r="E10" i="98" a="1"/>
  <c r="E10" i="98" s="1"/>
  <c r="D6" i="98" a="1"/>
  <c r="D6" i="98" s="1"/>
  <c r="D5" i="98" a="1"/>
  <c r="D5" i="98" s="1"/>
  <c r="N112" i="97" a="1"/>
  <c r="N112" i="97" s="1"/>
  <c r="D112" i="97" a="1"/>
  <c r="D112" i="97" s="1"/>
  <c r="O110" i="97" a="1"/>
  <c r="O110" i="97" s="1"/>
  <c r="P119" i="97" s="1"/>
  <c r="E110" i="97"/>
  <c r="F119" i="97" s="1"/>
  <c r="E110" i="97" a="1"/>
  <c r="O109" i="97" a="1"/>
  <c r="O109" i="97" s="1"/>
  <c r="E109" i="97" a="1"/>
  <c r="E109" i="97" s="1"/>
  <c r="N105" i="97" a="1"/>
  <c r="N105" i="97" s="1"/>
  <c r="D105" i="97" a="1"/>
  <c r="D105" i="97" s="1"/>
  <c r="N104" i="97" a="1"/>
  <c r="N104" i="97" s="1"/>
  <c r="D104" i="97" a="1"/>
  <c r="D104" i="97" s="1"/>
  <c r="D13" i="97" a="1"/>
  <c r="D13" i="97" s="1"/>
  <c r="E11" i="97" a="1"/>
  <c r="E11" i="97" s="1"/>
  <c r="P100" i="97" s="1"/>
  <c r="E10" i="97" a="1"/>
  <c r="E10" i="97" s="1"/>
  <c r="D6" i="97" a="1"/>
  <c r="D6" i="97" s="1"/>
  <c r="D5" i="97" a="1"/>
  <c r="D5" i="97" s="1"/>
  <c r="P124" i="97" a="1"/>
  <c r="P124" i="97" s="1"/>
  <c r="Q122" i="97"/>
  <c r="N121" i="97" a="1"/>
  <c r="N121" i="97" s="1"/>
  <c r="N94" i="97"/>
  <c r="N73" i="97"/>
  <c r="N49" i="97"/>
  <c r="N24" i="97"/>
  <c r="P294" i="76" a="1"/>
  <c r="P294" i="76" s="1"/>
  <c r="Q292" i="76"/>
  <c r="N291" i="76" a="1"/>
  <c r="N291" i="76" s="1"/>
  <c r="N283" i="76"/>
  <c r="N262" i="76"/>
  <c r="N234" i="76"/>
  <c r="N167" i="76"/>
  <c r="N123" i="76"/>
  <c r="G48" i="76"/>
  <c r="N100" i="76"/>
  <c r="R66" i="76"/>
  <c r="Q66" i="76"/>
  <c r="P66" i="76"/>
  <c r="R65" i="76"/>
  <c r="Q65" i="76"/>
  <c r="P65" i="76"/>
  <c r="R64" i="76"/>
  <c r="Q64" i="76"/>
  <c r="P64" i="76"/>
  <c r="R63" i="76"/>
  <c r="Q63" i="76"/>
  <c r="P63" i="76"/>
  <c r="R62" i="76"/>
  <c r="Q62" i="76"/>
  <c r="P62" i="76"/>
  <c r="O66" i="76"/>
  <c r="O65" i="76"/>
  <c r="O64" i="76"/>
  <c r="O63" i="76"/>
  <c r="O62" i="76"/>
  <c r="G14" i="97"/>
  <c r="G13" i="97"/>
  <c r="F124" i="97" a="1"/>
  <c r="F124" i="97" s="1"/>
  <c r="G122" i="97"/>
  <c r="D121" i="97" a="1"/>
  <c r="D121" i="97" s="1"/>
  <c r="G116" i="97"/>
  <c r="G115" i="97"/>
  <c r="D10" i="79"/>
  <c r="D9" i="79"/>
  <c r="D63" i="97"/>
  <c r="D94" i="97"/>
  <c r="D73" i="97"/>
  <c r="D49" i="97"/>
  <c r="D24" i="97"/>
  <c r="G86" i="76" a="1"/>
  <c r="G86" i="76" s="1"/>
  <c r="F294" i="76" a="1"/>
  <c r="F294" i="76" s="1"/>
  <c r="G292" i="76"/>
  <c r="D291" i="76" a="1"/>
  <c r="D291" i="76" s="1"/>
  <c r="D262" i="76"/>
  <c r="D283" i="76"/>
  <c r="G251" i="76"/>
  <c r="E34" i="98" a="1"/>
  <c r="E7" i="98" a="1"/>
  <c r="O106" i="97" a="1"/>
  <c r="E106" i="97" a="1"/>
  <c r="E7" i="97" a="1"/>
  <c r="E244" i="76" a="1"/>
  <c r="I28" i="98" l="1"/>
  <c r="F49" i="98"/>
  <c r="E34" i="98"/>
  <c r="E7" i="98"/>
  <c r="J85" i="97"/>
  <c r="J71" i="97"/>
  <c r="J75" i="97"/>
  <c r="J89" i="97"/>
  <c r="T75" i="97"/>
  <c r="T92" i="97"/>
  <c r="T96" i="97"/>
  <c r="J76" i="97"/>
  <c r="J90" i="97"/>
  <c r="T77" i="97"/>
  <c r="T81" i="97"/>
  <c r="J77" i="97"/>
  <c r="J91" i="97"/>
  <c r="T79" i="97"/>
  <c r="T94" i="97"/>
  <c r="J78" i="97"/>
  <c r="J92" i="97"/>
  <c r="J79" i="97"/>
  <c r="J93" i="97"/>
  <c r="T83" i="97"/>
  <c r="J80" i="97"/>
  <c r="J94" i="97"/>
  <c r="T72" i="97"/>
  <c r="T85" i="97"/>
  <c r="T87" i="97"/>
  <c r="T89" i="97"/>
  <c r="J81" i="97"/>
  <c r="J95" i="97"/>
  <c r="T70" i="97"/>
  <c r="T74" i="97"/>
  <c r="T91" i="97"/>
  <c r="T97" i="97"/>
  <c r="J68" i="97"/>
  <c r="J82" i="97"/>
  <c r="J96" i="97"/>
  <c r="T68" i="97"/>
  <c r="T76" i="97"/>
  <c r="J69" i="97"/>
  <c r="J83" i="97"/>
  <c r="J97" i="97"/>
  <c r="T80" i="97"/>
  <c r="T95" i="97"/>
  <c r="J70" i="97"/>
  <c r="J84" i="97"/>
  <c r="J98" i="97"/>
  <c r="T78" i="97"/>
  <c r="T93" i="97"/>
  <c r="F100" i="97"/>
  <c r="J72" i="97"/>
  <c r="J86" i="97"/>
  <c r="T73" i="97"/>
  <c r="T82" i="97"/>
  <c r="T84" i="97"/>
  <c r="T88" i="97"/>
  <c r="J73" i="97"/>
  <c r="J87" i="97"/>
  <c r="T98" i="97"/>
  <c r="J74" i="97"/>
  <c r="J88" i="97"/>
  <c r="T69" i="97"/>
  <c r="T71" i="97"/>
  <c r="T86" i="97"/>
  <c r="T90" i="97"/>
  <c r="O106" i="97"/>
  <c r="E106" i="97"/>
  <c r="E7" i="97"/>
  <c r="E244" i="76"/>
  <c r="G250" i="76" l="1"/>
  <c r="D250" i="76" a="1"/>
  <c r="D250" i="76" s="1"/>
  <c r="E248" i="76" a="1"/>
  <c r="E248" i="76" s="1"/>
  <c r="E247" i="76" a="1"/>
  <c r="E247" i="76" s="1"/>
  <c r="D243" i="76" a="1"/>
  <c r="D243" i="76" s="1"/>
  <c r="D242" i="76" a="1"/>
  <c r="D242" i="76" s="1"/>
  <c r="D234" i="76"/>
  <c r="G180" i="76"/>
  <c r="I209" i="76"/>
  <c r="H209" i="76"/>
  <c r="G209" i="76"/>
  <c r="F209" i="76"/>
  <c r="I208" i="76"/>
  <c r="H208" i="76"/>
  <c r="G208" i="76"/>
  <c r="F208" i="76"/>
  <c r="I207" i="76"/>
  <c r="H207" i="76"/>
  <c r="G207" i="76"/>
  <c r="F207" i="76"/>
  <c r="I206" i="76"/>
  <c r="H206" i="76"/>
  <c r="G206" i="76"/>
  <c r="F206" i="76"/>
  <c r="I205" i="76"/>
  <c r="H205" i="76"/>
  <c r="G205" i="76"/>
  <c r="F205" i="76"/>
  <c r="I204" i="76"/>
  <c r="H204" i="76"/>
  <c r="G204" i="76"/>
  <c r="F204" i="76"/>
  <c r="I203" i="76"/>
  <c r="H203" i="76"/>
  <c r="G203" i="76"/>
  <c r="F203" i="76"/>
  <c r="I202" i="76"/>
  <c r="H202" i="76"/>
  <c r="G202" i="76"/>
  <c r="F202" i="76"/>
  <c r="I201" i="76"/>
  <c r="H201" i="76"/>
  <c r="G201" i="76"/>
  <c r="I200" i="76"/>
  <c r="H200" i="76"/>
  <c r="G200" i="76"/>
  <c r="F200" i="76"/>
  <c r="I199" i="76"/>
  <c r="H199" i="76"/>
  <c r="G199" i="76"/>
  <c r="F199" i="76"/>
  <c r="I198" i="76"/>
  <c r="H198" i="76"/>
  <c r="G198" i="76"/>
  <c r="F198" i="76"/>
  <c r="I197" i="76"/>
  <c r="H197" i="76"/>
  <c r="G197" i="76"/>
  <c r="F197" i="76"/>
  <c r="F201" i="76"/>
  <c r="I196" i="76"/>
  <c r="H196" i="76"/>
  <c r="G196" i="76"/>
  <c r="F196" i="76"/>
  <c r="I195" i="76"/>
  <c r="H195" i="76"/>
  <c r="G195" i="76"/>
  <c r="F195" i="76"/>
  <c r="I194" i="76"/>
  <c r="H194" i="76"/>
  <c r="G194" i="76"/>
  <c r="F194" i="76"/>
  <c r="I193" i="76"/>
  <c r="H193" i="76"/>
  <c r="G193" i="76"/>
  <c r="F193" i="76"/>
  <c r="I192" i="76"/>
  <c r="H192" i="76"/>
  <c r="G192" i="76"/>
  <c r="F192" i="76"/>
  <c r="I191" i="76"/>
  <c r="H191" i="76"/>
  <c r="G191" i="76"/>
  <c r="F191" i="76"/>
  <c r="I190" i="76"/>
  <c r="H190" i="76"/>
  <c r="G190" i="76"/>
  <c r="F190" i="76"/>
  <c r="I189" i="76"/>
  <c r="H189" i="76"/>
  <c r="G189" i="76"/>
  <c r="F189" i="76"/>
  <c r="I188" i="76"/>
  <c r="H188" i="76"/>
  <c r="G188" i="76"/>
  <c r="F188" i="76"/>
  <c r="I187" i="76"/>
  <c r="H187" i="76"/>
  <c r="G187" i="76"/>
  <c r="F187" i="76"/>
  <c r="I186" i="76"/>
  <c r="H186" i="76"/>
  <c r="G186" i="76"/>
  <c r="F186" i="76"/>
  <c r="I185" i="76"/>
  <c r="H185" i="76"/>
  <c r="G185" i="76"/>
  <c r="F185" i="76"/>
  <c r="D205" i="76"/>
  <c r="G179" i="76"/>
  <c r="D179" i="76" a="1"/>
  <c r="D179" i="76" s="1"/>
  <c r="E177" i="76" a="1"/>
  <c r="E177" i="76" s="1"/>
  <c r="E176" i="76" a="1"/>
  <c r="E176" i="76" s="1"/>
  <c r="D172" i="76" a="1"/>
  <c r="D172" i="76" s="1"/>
  <c r="D171" i="76" a="1"/>
  <c r="D171" i="76" s="1"/>
  <c r="D167" i="76"/>
  <c r="G137" i="76"/>
  <c r="D157" i="76"/>
  <c r="G136" i="76"/>
  <c r="D147" i="76"/>
  <c r="G135" i="76"/>
  <c r="D135" i="76" a="1"/>
  <c r="D135" i="76" s="1"/>
  <c r="E133" i="76" a="1"/>
  <c r="E133" i="76" s="1"/>
  <c r="E132" i="76" a="1"/>
  <c r="E132" i="76" s="1"/>
  <c r="D128" i="76" a="1"/>
  <c r="D128" i="76" s="1"/>
  <c r="D127" i="76" a="1"/>
  <c r="D127" i="76" s="1"/>
  <c r="D123" i="76"/>
  <c r="G113" i="76"/>
  <c r="G90" i="76"/>
  <c r="G89" i="76"/>
  <c r="G88" i="76"/>
  <c r="D81" i="76" a="1"/>
  <c r="D81" i="76" s="1"/>
  <c r="H95" i="76"/>
  <c r="G95" i="76"/>
  <c r="F95" i="76"/>
  <c r="E95" i="76"/>
  <c r="D100" i="76"/>
  <c r="D95" i="76"/>
  <c r="D88" i="76" a="1"/>
  <c r="D88" i="76" s="1"/>
  <c r="E86" i="76" a="1"/>
  <c r="E86" i="76" s="1"/>
  <c r="S100" i="76" s="1"/>
  <c r="E85" i="76" a="1"/>
  <c r="E85" i="76" s="1"/>
  <c r="D80" i="76" a="1"/>
  <c r="D80" i="76" s="1"/>
  <c r="D79" i="76" a="1"/>
  <c r="D79" i="76" s="1"/>
  <c r="D104" i="76" a="1"/>
  <c r="D104" i="76" s="1"/>
  <c r="D105" i="76" a="1"/>
  <c r="D105" i="76" s="1"/>
  <c r="H66" i="76"/>
  <c r="G66" i="76"/>
  <c r="F66" i="76"/>
  <c r="E66" i="76"/>
  <c r="H65" i="76"/>
  <c r="G65" i="76"/>
  <c r="F65" i="76"/>
  <c r="E65" i="76"/>
  <c r="H64" i="76"/>
  <c r="G64" i="76"/>
  <c r="F64" i="76"/>
  <c r="E64" i="76"/>
  <c r="H63" i="76"/>
  <c r="H72" i="76" s="1" a="1"/>
  <c r="H72" i="76" s="1"/>
  <c r="G63" i="76"/>
  <c r="F63" i="76"/>
  <c r="E63" i="76"/>
  <c r="H62" i="76"/>
  <c r="G62" i="76"/>
  <c r="F62" i="76"/>
  <c r="E62" i="76"/>
  <c r="E71" i="76" s="1" a="1"/>
  <c r="E71" i="76" s="1"/>
  <c r="G47" i="76"/>
  <c r="H57" i="76"/>
  <c r="G57" i="76"/>
  <c r="Q75" i="76" s="1" a="1"/>
  <c r="Q75" i="76" s="1"/>
  <c r="F57" i="76"/>
  <c r="P75" i="76" s="1" a="1"/>
  <c r="P75" i="76" s="1"/>
  <c r="E57" i="76"/>
  <c r="H56" i="76"/>
  <c r="R74" i="76" s="1" a="1"/>
  <c r="R74" i="76" s="1"/>
  <c r="G56" i="76"/>
  <c r="Q74" i="76" s="1" a="1"/>
  <c r="Q74" i="76" s="1"/>
  <c r="F56" i="76"/>
  <c r="P74" i="76" s="1" a="1"/>
  <c r="P74" i="76" s="1"/>
  <c r="E56" i="76"/>
  <c r="H55" i="76"/>
  <c r="G55" i="76"/>
  <c r="Q73" i="76" s="1" a="1"/>
  <c r="Q73" i="76" s="1"/>
  <c r="F55" i="76"/>
  <c r="P73" i="76" s="1" a="1"/>
  <c r="P73" i="76" s="1"/>
  <c r="E55" i="76"/>
  <c r="O73" i="76" s="1" a="1"/>
  <c r="O73" i="76" s="1"/>
  <c r="H54" i="76"/>
  <c r="R72" i="76" s="1" a="1"/>
  <c r="R72" i="76" s="1"/>
  <c r="G54" i="76"/>
  <c r="Q72" i="76" s="1" a="1"/>
  <c r="Q72" i="76" s="1"/>
  <c r="F54" i="76"/>
  <c r="E54" i="76"/>
  <c r="H53" i="76"/>
  <c r="R71" i="76" s="1" a="1"/>
  <c r="R71" i="76" s="1"/>
  <c r="G53" i="76"/>
  <c r="Q71" i="76" s="1" a="1"/>
  <c r="Q71" i="76" s="1"/>
  <c r="F53" i="76"/>
  <c r="P71" i="76" s="1" a="1"/>
  <c r="P71" i="76" s="1"/>
  <c r="E53" i="76"/>
  <c r="O71" i="76" s="1" a="1"/>
  <c r="O71" i="76" s="1"/>
  <c r="G45" i="76" a="1"/>
  <c r="G45" i="76" s="1"/>
  <c r="D47" i="76" a="1"/>
  <c r="D47" i="76" s="1"/>
  <c r="E45" i="76" a="1"/>
  <c r="E45" i="76" s="1"/>
  <c r="E44" i="76" a="1"/>
  <c r="E44" i="76" s="1"/>
  <c r="D40" i="76" a="1"/>
  <c r="D40" i="76" s="1"/>
  <c r="D39" i="76" a="1"/>
  <c r="D39" i="76" s="1"/>
  <c r="G112" i="76"/>
  <c r="G30" i="76"/>
  <c r="F30" i="76"/>
  <c r="E30" i="76"/>
  <c r="D30" i="76"/>
  <c r="H14" i="76"/>
  <c r="F117" i="79" a="1"/>
  <c r="F117" i="79" s="1"/>
  <c r="E117" i="79" a="1"/>
  <c r="E117" i="79" s="1"/>
  <c r="D117" i="79" a="1"/>
  <c r="D117" i="79" s="1"/>
  <c r="F116" i="79" a="1"/>
  <c r="F116" i="79" s="1"/>
  <c r="E116" i="79" a="1"/>
  <c r="E116" i="79" s="1"/>
  <c r="D116" i="79" a="1"/>
  <c r="D116" i="79" s="1"/>
  <c r="F115" i="79" a="1"/>
  <c r="F115" i="79" s="1"/>
  <c r="E115" i="79" a="1"/>
  <c r="E115" i="79" s="1"/>
  <c r="D115" i="79" a="1"/>
  <c r="D115" i="79" s="1"/>
  <c r="F114" i="79" a="1"/>
  <c r="F114" i="79" s="1"/>
  <c r="E114" i="79" a="1"/>
  <c r="E114" i="79" s="1"/>
  <c r="D114" i="79" a="1"/>
  <c r="D114" i="79" s="1"/>
  <c r="F113" i="79" a="1"/>
  <c r="F113" i="79" s="1"/>
  <c r="E113" i="79" a="1"/>
  <c r="E113" i="79" s="1"/>
  <c r="D113" i="79" a="1"/>
  <c r="D113" i="79" s="1"/>
  <c r="F112" i="79" a="1"/>
  <c r="F112" i="79" s="1"/>
  <c r="E112" i="79" a="1"/>
  <c r="E112" i="79" s="1"/>
  <c r="D112" i="79" a="1"/>
  <c r="D112" i="79" s="1"/>
  <c r="D110" i="79" a="1"/>
  <c r="D110" i="79" s="1"/>
  <c r="D109" i="79" a="1"/>
  <c r="D109" i="79" s="1"/>
  <c r="D108" i="79" a="1"/>
  <c r="D108" i="79" s="1"/>
  <c r="D105" i="79" a="1"/>
  <c r="D105" i="79" s="1"/>
  <c r="E105" i="79" a="1"/>
  <c r="E105" i="79" s="1"/>
  <c r="F105" i="79" a="1"/>
  <c r="F105" i="79" s="1"/>
  <c r="D104" i="79" a="1"/>
  <c r="D104" i="79" s="1"/>
  <c r="E104" i="79" a="1"/>
  <c r="E104" i="79" s="1"/>
  <c r="F104" i="79" a="1"/>
  <c r="F104" i="79" s="1"/>
  <c r="D103" i="79" a="1"/>
  <c r="D103" i="79" s="1"/>
  <c r="E103" i="79" a="1"/>
  <c r="E103" i="79" s="1"/>
  <c r="F103" i="79" a="1"/>
  <c r="F103" i="79" s="1"/>
  <c r="D102" i="79" a="1"/>
  <c r="D102" i="79" s="1"/>
  <c r="E102" i="79" a="1"/>
  <c r="E102" i="79" s="1"/>
  <c r="F102" i="79" a="1"/>
  <c r="F102" i="79" s="1"/>
  <c r="D101" i="79" a="1"/>
  <c r="D101" i="79" s="1"/>
  <c r="E101" i="79" a="1"/>
  <c r="E101" i="79" s="1"/>
  <c r="F101" i="79" a="1"/>
  <c r="F101" i="79" s="1"/>
  <c r="F100" i="79" a="1"/>
  <c r="F100" i="79" s="1"/>
  <c r="E100" i="79" a="1"/>
  <c r="E100" i="79" s="1"/>
  <c r="D100" i="79" a="1"/>
  <c r="D100" i="79" s="1"/>
  <c r="D98" i="79" a="1"/>
  <c r="D98" i="79" s="1"/>
  <c r="D97" i="79" a="1"/>
  <c r="D97" i="79" s="1"/>
  <c r="D96" i="79" a="1"/>
  <c r="D96" i="79" s="1"/>
  <c r="E82" i="79" a="1"/>
  <c r="E82" i="79" s="1"/>
  <c r="D82" i="79" a="1"/>
  <c r="D82" i="79" s="1"/>
  <c r="E81" i="79" a="1"/>
  <c r="E81" i="79" s="1"/>
  <c r="D81" i="79" a="1"/>
  <c r="D81" i="79" s="1"/>
  <c r="E80" i="79" a="1"/>
  <c r="E80" i="79" s="1"/>
  <c r="D80" i="79" a="1"/>
  <c r="D80" i="79" s="1"/>
  <c r="E79" i="79" a="1"/>
  <c r="E79" i="79" s="1"/>
  <c r="D79" i="79" a="1"/>
  <c r="D79" i="79" s="1"/>
  <c r="D76" i="79" a="1"/>
  <c r="D76" i="79" s="1"/>
  <c r="D75" i="79" a="1"/>
  <c r="D75" i="79" s="1"/>
  <c r="D74" i="79" a="1"/>
  <c r="D74" i="79" s="1"/>
  <c r="F93" i="79" a="1"/>
  <c r="F93" i="79" s="1"/>
  <c r="G25" i="76" s="1"/>
  <c r="E93" i="79" a="1"/>
  <c r="E93" i="79" s="1"/>
  <c r="D93" i="79" a="1"/>
  <c r="D93" i="79" s="1"/>
  <c r="F92" i="79" a="1"/>
  <c r="F92" i="79" s="1"/>
  <c r="F25" i="76" s="1"/>
  <c r="E92" i="79" a="1"/>
  <c r="E92" i="79" s="1"/>
  <c r="D92" i="79" a="1"/>
  <c r="D92" i="79" s="1"/>
  <c r="F91" i="79" a="1"/>
  <c r="F91" i="79" s="1"/>
  <c r="E25" i="76" s="1"/>
  <c r="E91" i="79" a="1"/>
  <c r="E91" i="79" s="1"/>
  <c r="D91" i="79" a="1"/>
  <c r="D91" i="79" s="1"/>
  <c r="F90" i="79" a="1"/>
  <c r="F90" i="79" s="1"/>
  <c r="D25" i="76" s="1"/>
  <c r="E90" i="79" a="1"/>
  <c r="E90" i="79" s="1"/>
  <c r="D90" i="79" a="1"/>
  <c r="D90" i="79" s="1"/>
  <c r="D87" i="79" a="1"/>
  <c r="D87" i="79" s="1"/>
  <c r="D86" i="79" a="1"/>
  <c r="D86" i="79" s="1"/>
  <c r="D85" i="79" a="1"/>
  <c r="D85" i="79" s="1"/>
  <c r="H13" i="76"/>
  <c r="G20" i="76"/>
  <c r="F20" i="76"/>
  <c r="E20" i="76"/>
  <c r="D20" i="76"/>
  <c r="G282" i="69"/>
  <c r="F282" i="69"/>
  <c r="E282" i="69"/>
  <c r="D282" i="69"/>
  <c r="D13" i="76" a="1"/>
  <c r="D13" i="76" s="1"/>
  <c r="E11" i="76" a="1"/>
  <c r="E11" i="76" s="1"/>
  <c r="H35" i="76" s="1"/>
  <c r="E10" i="76" a="1"/>
  <c r="E10" i="76" s="1"/>
  <c r="D6" i="76" a="1"/>
  <c r="D6" i="76" s="1"/>
  <c r="D5" i="76" a="1"/>
  <c r="D5" i="76" s="1"/>
  <c r="D112" i="76" a="1"/>
  <c r="D112" i="76" s="1"/>
  <c r="E110" i="76" a="1"/>
  <c r="E110" i="76" s="1"/>
  <c r="E109" i="76" a="1"/>
  <c r="E109" i="76" s="1"/>
  <c r="P295" i="69" a="1"/>
  <c r="P295" i="69" s="1"/>
  <c r="N292" i="69" a="1"/>
  <c r="N292" i="69" s="1"/>
  <c r="R255" i="69"/>
  <c r="N235" i="69"/>
  <c r="N73" i="69"/>
  <c r="D73" i="69"/>
  <c r="N202" i="69"/>
  <c r="I156" i="69"/>
  <c r="H156" i="69"/>
  <c r="G156" i="69"/>
  <c r="F156" i="69"/>
  <c r="I155" i="69"/>
  <c r="H155" i="69"/>
  <c r="G155" i="69"/>
  <c r="F155" i="69"/>
  <c r="I154" i="69"/>
  <c r="H154" i="69"/>
  <c r="G154" i="69"/>
  <c r="F154" i="69"/>
  <c r="I153" i="69"/>
  <c r="H153" i="69"/>
  <c r="G153" i="69"/>
  <c r="F153" i="69"/>
  <c r="I152" i="69"/>
  <c r="H152" i="69"/>
  <c r="G152" i="69"/>
  <c r="F152" i="69"/>
  <c r="I151" i="69"/>
  <c r="H151" i="69"/>
  <c r="G151" i="69"/>
  <c r="F151" i="69"/>
  <c r="I150" i="69"/>
  <c r="H150" i="69"/>
  <c r="G150" i="69"/>
  <c r="F150" i="69"/>
  <c r="I149" i="69"/>
  <c r="H149" i="69"/>
  <c r="G149" i="69"/>
  <c r="F149" i="69"/>
  <c r="N115" i="69"/>
  <c r="Q73" i="69" a="1"/>
  <c r="Q73" i="69"/>
  <c r="R73" i="69" a="1"/>
  <c r="R73" i="69" s="1"/>
  <c r="P73" i="69" a="1"/>
  <c r="P73" i="69" s="1"/>
  <c r="O73" i="69" a="1"/>
  <c r="O73" i="69" s="1"/>
  <c r="E73" i="69" a="1"/>
  <c r="E73" i="69" s="1"/>
  <c r="R44" i="69" a="1"/>
  <c r="R44" i="69" s="1"/>
  <c r="Q44" i="69" a="1"/>
  <c r="Q44" i="69" s="1"/>
  <c r="P44" i="69" a="1"/>
  <c r="P44" i="69" s="1"/>
  <c r="O44" i="69" a="1"/>
  <c r="O44" i="69" s="1"/>
  <c r="R43" i="69" a="1"/>
  <c r="R43" i="69" s="1"/>
  <c r="Q43" i="69" a="1"/>
  <c r="Q43" i="69" s="1"/>
  <c r="P43" i="69" a="1"/>
  <c r="P43" i="69" s="1"/>
  <c r="O43" i="69" a="1"/>
  <c r="O43" i="69" s="1"/>
  <c r="R42" i="69" a="1"/>
  <c r="R42" i="69" s="1"/>
  <c r="Q42" i="69" a="1"/>
  <c r="Q42" i="69" s="1"/>
  <c r="P42" i="69" a="1"/>
  <c r="P42" i="69" s="1"/>
  <c r="O42" i="69" a="1"/>
  <c r="O42" i="69" s="1"/>
  <c r="R41" i="69" a="1"/>
  <c r="R41" i="69" s="1"/>
  <c r="Q41" i="69" a="1"/>
  <c r="Q41" i="69" s="1"/>
  <c r="P41" i="69" a="1"/>
  <c r="P41" i="69" s="1"/>
  <c r="O41" i="69" a="1"/>
  <c r="O41" i="69" s="1"/>
  <c r="R40" i="69" a="1"/>
  <c r="R40" i="69" s="1"/>
  <c r="Q40" i="69" a="1"/>
  <c r="Q40" i="69" s="1"/>
  <c r="P40" i="69" a="1"/>
  <c r="P40" i="69" s="1"/>
  <c r="O40" i="69" a="1"/>
  <c r="O40" i="69" s="1"/>
  <c r="R34" i="69"/>
  <c r="Q34" i="69"/>
  <c r="P34" i="69"/>
  <c r="R33" i="69"/>
  <c r="Q33" i="69"/>
  <c r="P33" i="69"/>
  <c r="R32" i="69"/>
  <c r="Q32" i="69"/>
  <c r="P32" i="69"/>
  <c r="R31" i="69"/>
  <c r="Q31" i="69"/>
  <c r="P31" i="69"/>
  <c r="O34" i="69"/>
  <c r="O33" i="69"/>
  <c r="O32" i="69"/>
  <c r="O31" i="69"/>
  <c r="R30" i="69"/>
  <c r="Q30" i="69"/>
  <c r="P30" i="69"/>
  <c r="O30" i="69"/>
  <c r="E173" i="76" a="1"/>
  <c r="E129" i="76" a="1"/>
  <c r="E106" i="76" a="1"/>
  <c r="E82" i="76" a="1"/>
  <c r="E41" i="76" a="1"/>
  <c r="E7" i="76" a="1"/>
  <c r="E147" i="76" l="1" a="1"/>
  <c r="E147" i="76" s="1"/>
  <c r="E157" i="76" a="1"/>
  <c r="E157" i="76" s="1"/>
  <c r="E63" i="97" a="1"/>
  <c r="E63" i="97" s="1"/>
  <c r="O100" i="76" a="1"/>
  <c r="O100" i="76" s="1"/>
  <c r="H75" i="76" a="1"/>
  <c r="H75" i="76" s="1"/>
  <c r="R75" i="76" a="1"/>
  <c r="R75" i="76" s="1"/>
  <c r="P100" i="76" a="1"/>
  <c r="P100" i="76" s="1"/>
  <c r="I121" i="76"/>
  <c r="I22" i="97" s="1"/>
  <c r="S118" i="76"/>
  <c r="S19" i="97" s="1"/>
  <c r="S123" i="76"/>
  <c r="S24" i="97" s="1"/>
  <c r="S121" i="76"/>
  <c r="S22" i="97" s="1"/>
  <c r="S122" i="76"/>
  <c r="S23" i="97" s="1"/>
  <c r="S120" i="76"/>
  <c r="S21" i="97" s="1"/>
  <c r="S119" i="76"/>
  <c r="S20" i="97" s="1"/>
  <c r="I167" i="76"/>
  <c r="S167" i="76"/>
  <c r="S165" i="76"/>
  <c r="S163" i="76"/>
  <c r="S166" i="76"/>
  <c r="S164" i="76"/>
  <c r="S162" i="76"/>
  <c r="J232" i="76"/>
  <c r="J47" i="97" s="1"/>
  <c r="T231" i="76"/>
  <c r="T46" i="97" s="1"/>
  <c r="T225" i="76"/>
  <c r="T40" i="97" s="1"/>
  <c r="T233" i="76"/>
  <c r="T48" i="97" s="1"/>
  <c r="T214" i="76"/>
  <c r="T29" i="97" s="1"/>
  <c r="T237" i="76"/>
  <c r="T52" i="97" s="1"/>
  <c r="T218" i="76"/>
  <c r="T33" i="97" s="1"/>
  <c r="T235" i="76"/>
  <c r="T50" i="97" s="1"/>
  <c r="T215" i="76"/>
  <c r="T30" i="97" s="1"/>
  <c r="T221" i="76"/>
  <c r="T36" i="97" s="1"/>
  <c r="T230" i="76"/>
  <c r="T45" i="97" s="1"/>
  <c r="T224" i="76"/>
  <c r="T39" i="97" s="1"/>
  <c r="T236" i="76"/>
  <c r="T51" i="97" s="1"/>
  <c r="T229" i="76"/>
  <c r="T44" i="97" s="1"/>
  <c r="T227" i="76"/>
  <c r="T42" i="97" s="1"/>
  <c r="T223" i="76"/>
  <c r="T38" i="97" s="1"/>
  <c r="T217" i="76"/>
  <c r="T32" i="97" s="1"/>
  <c r="T234" i="76"/>
  <c r="T49" i="97" s="1"/>
  <c r="T228" i="76"/>
  <c r="T43" i="97" s="1"/>
  <c r="T222" i="76"/>
  <c r="T37" i="97" s="1"/>
  <c r="T216" i="76"/>
  <c r="T31" i="97" s="1"/>
  <c r="T232" i="76"/>
  <c r="T47" i="97" s="1"/>
  <c r="T220" i="76"/>
  <c r="T35" i="97" s="1"/>
  <c r="T238" i="76"/>
  <c r="T53" i="97" s="1"/>
  <c r="T219" i="76"/>
  <c r="T34" i="97" s="1"/>
  <c r="T226" i="76"/>
  <c r="T41" i="97" s="1"/>
  <c r="T282" i="76"/>
  <c r="T266" i="76"/>
  <c r="T259" i="76"/>
  <c r="T257" i="76"/>
  <c r="T260" i="76"/>
  <c r="T273" i="76"/>
  <c r="T283" i="76"/>
  <c r="T278" i="76"/>
  <c r="T269" i="76"/>
  <c r="T265" i="76"/>
  <c r="T281" i="76"/>
  <c r="P289" i="76"/>
  <c r="T280" i="76"/>
  <c r="T264" i="76"/>
  <c r="T267" i="76"/>
  <c r="T272" i="76"/>
  <c r="T263" i="76"/>
  <c r="T287" i="76"/>
  <c r="T276" i="76"/>
  <c r="T271" i="76"/>
  <c r="T285" i="76"/>
  <c r="T274" i="76"/>
  <c r="T262" i="76"/>
  <c r="T258" i="76"/>
  <c r="T286" i="76"/>
  <c r="T275" i="76"/>
  <c r="T279" i="76"/>
  <c r="T270" i="76"/>
  <c r="T284" i="76"/>
  <c r="T268" i="76"/>
  <c r="T261" i="76"/>
  <c r="T277" i="76"/>
  <c r="E74" i="76" a="1"/>
  <c r="E74" i="76" s="1"/>
  <c r="O74" i="76" a="1"/>
  <c r="O74" i="76" s="1"/>
  <c r="I100" i="76"/>
  <c r="E75" i="76" a="1"/>
  <c r="E75" i="76" s="1"/>
  <c r="O75" i="76" a="1"/>
  <c r="O75" i="76" s="1"/>
  <c r="R100" i="76" a="1"/>
  <c r="R100" i="76" s="1"/>
  <c r="H73" i="76" a="1"/>
  <c r="H73" i="76" s="1"/>
  <c r="R73" i="76" a="1"/>
  <c r="R73" i="76" s="1"/>
  <c r="E72" i="76" a="1"/>
  <c r="E72" i="76" s="1"/>
  <c r="O72" i="76" a="1"/>
  <c r="O72" i="76" s="1"/>
  <c r="F72" i="76" a="1"/>
  <c r="F72" i="76" s="1"/>
  <c r="P72" i="76" a="1"/>
  <c r="P72" i="76" s="1"/>
  <c r="I74" i="76"/>
  <c r="S75" i="76"/>
  <c r="S73" i="76"/>
  <c r="S74" i="76"/>
  <c r="S72" i="76"/>
  <c r="S71" i="76"/>
  <c r="Q100" i="76" a="1"/>
  <c r="Q100" i="76" s="1"/>
  <c r="G100" i="76" a="1"/>
  <c r="G100" i="76" s="1"/>
  <c r="I118" i="76"/>
  <c r="I19" i="97" s="1"/>
  <c r="G75" i="76" a="1"/>
  <c r="G75" i="76" s="1"/>
  <c r="I163" i="76"/>
  <c r="G73" i="76" a="1"/>
  <c r="G73" i="76" s="1"/>
  <c r="I119" i="76"/>
  <c r="I20" i="97" s="1"/>
  <c r="J280" i="76"/>
  <c r="J266" i="76"/>
  <c r="J275" i="76"/>
  <c r="J279" i="76"/>
  <c r="J265" i="76"/>
  <c r="F289" i="76"/>
  <c r="J278" i="76"/>
  <c r="J264" i="76"/>
  <c r="J277" i="76"/>
  <c r="J262" i="76"/>
  <c r="J283" i="76"/>
  <c r="J269" i="76"/>
  <c r="J267" i="76"/>
  <c r="J276" i="76"/>
  <c r="J261" i="76"/>
  <c r="J260" i="76"/>
  <c r="J281" i="76"/>
  <c r="J274" i="76"/>
  <c r="J259" i="76"/>
  <c r="J272" i="76"/>
  <c r="J287" i="76"/>
  <c r="J273" i="76"/>
  <c r="J258" i="76"/>
  <c r="J286" i="76"/>
  <c r="J257" i="76"/>
  <c r="J282" i="76"/>
  <c r="J268" i="76"/>
  <c r="J285" i="76"/>
  <c r="J271" i="76"/>
  <c r="J263" i="76"/>
  <c r="J284" i="76"/>
  <c r="J270" i="76"/>
  <c r="D35" i="76" a="1"/>
  <c r="D35" i="76" s="1"/>
  <c r="E120" i="76" s="1" a="1"/>
  <c r="E120" i="76" s="1"/>
  <c r="I122" i="76"/>
  <c r="I23" i="97" s="1"/>
  <c r="I120" i="76"/>
  <c r="I21" i="97" s="1"/>
  <c r="I123" i="76"/>
  <c r="I24" i="97" s="1"/>
  <c r="E73" i="76" a="1"/>
  <c r="E73" i="76" s="1"/>
  <c r="J220" i="76"/>
  <c r="J35" i="97" s="1"/>
  <c r="J234" i="76"/>
  <c r="J49" i="97" s="1"/>
  <c r="F74" i="76" a="1"/>
  <c r="F74" i="76" s="1"/>
  <c r="E100" i="76" a="1"/>
  <c r="E100" i="76" s="1"/>
  <c r="J221" i="76"/>
  <c r="J36" i="97" s="1"/>
  <c r="J235" i="76"/>
  <c r="J50" i="97" s="1"/>
  <c r="G74" i="76" a="1"/>
  <c r="G74" i="76" s="1"/>
  <c r="F100" i="76" a="1"/>
  <c r="F100" i="76" s="1"/>
  <c r="J222" i="76"/>
  <c r="J37" i="97" s="1"/>
  <c r="J236" i="76"/>
  <c r="J51" i="97" s="1"/>
  <c r="I162" i="76"/>
  <c r="J223" i="76"/>
  <c r="J38" i="97" s="1"/>
  <c r="J237" i="76"/>
  <c r="J52" i="97" s="1"/>
  <c r="J224" i="76"/>
  <c r="J39" i="97" s="1"/>
  <c r="J238" i="76"/>
  <c r="J53" i="97" s="1"/>
  <c r="I164" i="76"/>
  <c r="J225" i="76"/>
  <c r="J40" i="97" s="1"/>
  <c r="E35" i="76" a="1"/>
  <c r="E35" i="76" s="1"/>
  <c r="F71" i="76" a="1"/>
  <c r="F71" i="76" s="1"/>
  <c r="H74" i="76" a="1"/>
  <c r="H74" i="76" s="1"/>
  <c r="I165" i="76"/>
  <c r="J226" i="76"/>
  <c r="J41" i="97" s="1"/>
  <c r="J219" i="76"/>
  <c r="J34" i="97" s="1"/>
  <c r="G71" i="76" a="1"/>
  <c r="G71" i="76" s="1"/>
  <c r="I166" i="76"/>
  <c r="J227" i="76"/>
  <c r="J42" i="97" s="1"/>
  <c r="G35" i="76" a="1"/>
  <c r="G35" i="76" s="1"/>
  <c r="H71" i="76" a="1"/>
  <c r="H71" i="76" s="1"/>
  <c r="F75" i="76" a="1"/>
  <c r="F75" i="76" s="1"/>
  <c r="J214" i="76"/>
  <c r="J29" i="97" s="1"/>
  <c r="J228" i="76"/>
  <c r="J43" i="97" s="1"/>
  <c r="H100" i="76" a="1"/>
  <c r="H100" i="76" s="1"/>
  <c r="J230" i="76"/>
  <c r="J45" i="97" s="1"/>
  <c r="J233" i="76"/>
  <c r="J48" i="97" s="1"/>
  <c r="J215" i="76"/>
  <c r="J30" i="97" s="1"/>
  <c r="J229" i="76"/>
  <c r="J44" i="97" s="1"/>
  <c r="F73" i="76" a="1"/>
  <c r="F73" i="76" s="1"/>
  <c r="J216" i="76"/>
  <c r="J31" i="97" s="1"/>
  <c r="F35" i="76" a="1"/>
  <c r="F35" i="76" s="1"/>
  <c r="G72" i="76" a="1"/>
  <c r="G72" i="76" s="1"/>
  <c r="J217" i="76"/>
  <c r="J32" i="97" s="1"/>
  <c r="J231" i="76"/>
  <c r="J46" i="97" s="1"/>
  <c r="J218" i="76"/>
  <c r="J33" i="97" s="1"/>
  <c r="E173" i="76"/>
  <c r="E129" i="76"/>
  <c r="E106" i="76"/>
  <c r="I71" i="76"/>
  <c r="I72" i="76"/>
  <c r="I73" i="76"/>
  <c r="I75" i="76"/>
  <c r="E82" i="76"/>
  <c r="E41" i="76"/>
  <c r="E7" i="76"/>
  <c r="D10" i="70"/>
  <c r="D11" i="70"/>
  <c r="G276" i="69"/>
  <c r="F276" i="69"/>
  <c r="E276" i="69"/>
  <c r="D276" i="69"/>
  <c r="D235" i="69"/>
  <c r="G220" i="69"/>
  <c r="D202" i="69"/>
  <c r="G135" i="69"/>
  <c r="D176" i="69"/>
  <c r="I165" i="69"/>
  <c r="H165" i="69"/>
  <c r="G165" i="69"/>
  <c r="F165" i="69"/>
  <c r="I164" i="69"/>
  <c r="H164" i="69"/>
  <c r="G164" i="69"/>
  <c r="F164" i="69"/>
  <c r="I163" i="69"/>
  <c r="H163" i="69"/>
  <c r="G163" i="69"/>
  <c r="F163" i="69"/>
  <c r="I162" i="69"/>
  <c r="H162" i="69"/>
  <c r="G162" i="69"/>
  <c r="F162" i="69"/>
  <c r="I161" i="69"/>
  <c r="H161" i="69"/>
  <c r="G161" i="69"/>
  <c r="F161" i="69"/>
  <c r="I160" i="69"/>
  <c r="H160" i="69"/>
  <c r="G160" i="69"/>
  <c r="F160" i="69"/>
  <c r="I159" i="69"/>
  <c r="H159" i="69"/>
  <c r="G159" i="69"/>
  <c r="F159" i="69"/>
  <c r="I158" i="69"/>
  <c r="H158" i="69"/>
  <c r="G158" i="69"/>
  <c r="F158" i="69"/>
  <c r="I157" i="69"/>
  <c r="H157" i="69"/>
  <c r="G157" i="69"/>
  <c r="F157" i="69"/>
  <c r="H52" i="70"/>
  <c r="G52" i="70"/>
  <c r="F52" i="70"/>
  <c r="H84" i="70"/>
  <c r="G84" i="70"/>
  <c r="F84" i="70"/>
  <c r="H76" i="70"/>
  <c r="G76" i="70"/>
  <c r="F76" i="70"/>
  <c r="H68" i="70"/>
  <c r="G68" i="70"/>
  <c r="F68" i="70"/>
  <c r="H60" i="70"/>
  <c r="G60" i="70"/>
  <c r="F60" i="70"/>
  <c r="I148" i="69"/>
  <c r="H148" i="69"/>
  <c r="G148" i="69"/>
  <c r="F148" i="69"/>
  <c r="I147" i="69"/>
  <c r="H147" i="69"/>
  <c r="G147" i="69"/>
  <c r="F147" i="69"/>
  <c r="I146" i="69"/>
  <c r="H146" i="69"/>
  <c r="G146" i="69"/>
  <c r="F146" i="69"/>
  <c r="I145" i="69"/>
  <c r="H145" i="69"/>
  <c r="G145" i="69"/>
  <c r="F145" i="69"/>
  <c r="I144" i="69"/>
  <c r="H144" i="69"/>
  <c r="G144" i="69"/>
  <c r="F144" i="69"/>
  <c r="I143" i="69"/>
  <c r="H143" i="69"/>
  <c r="G143" i="69"/>
  <c r="F143" i="69"/>
  <c r="I142" i="69"/>
  <c r="H142" i="69"/>
  <c r="G142" i="69"/>
  <c r="F142" i="69"/>
  <c r="I141" i="69"/>
  <c r="H141" i="69"/>
  <c r="G141" i="69"/>
  <c r="F141" i="69"/>
  <c r="D161" i="69"/>
  <c r="D115" i="69"/>
  <c r="G87" i="69"/>
  <c r="D104" i="69"/>
  <c r="D51" i="69" a="1"/>
  <c r="D51" i="69" s="1"/>
  <c r="H67" i="69"/>
  <c r="G67" i="69"/>
  <c r="F67" i="69"/>
  <c r="E67" i="69"/>
  <c r="D67" i="69"/>
  <c r="H34" i="69"/>
  <c r="G34" i="69"/>
  <c r="F34" i="69"/>
  <c r="E34" i="69"/>
  <c r="H33" i="69"/>
  <c r="G33" i="69"/>
  <c r="F33" i="69"/>
  <c r="E33" i="69"/>
  <c r="H32" i="69"/>
  <c r="G32" i="69"/>
  <c r="F32" i="69"/>
  <c r="E32" i="69"/>
  <c r="H31" i="69"/>
  <c r="G31" i="69"/>
  <c r="F31" i="69"/>
  <c r="E31" i="69"/>
  <c r="H30" i="69"/>
  <c r="G30" i="69"/>
  <c r="F30" i="69"/>
  <c r="E30" i="69"/>
  <c r="H24" i="69"/>
  <c r="G24" i="69"/>
  <c r="F24" i="69"/>
  <c r="E24" i="69"/>
  <c r="H23" i="69"/>
  <c r="G23" i="69"/>
  <c r="F23" i="69"/>
  <c r="E23" i="69"/>
  <c r="H22" i="69"/>
  <c r="G22" i="69"/>
  <c r="F22" i="69"/>
  <c r="E22" i="69"/>
  <c r="H21" i="69"/>
  <c r="G21" i="69"/>
  <c r="F21" i="69"/>
  <c r="E21" i="69"/>
  <c r="H20" i="69"/>
  <c r="G20" i="69"/>
  <c r="F20" i="69"/>
  <c r="E20" i="69"/>
  <c r="E50" i="69" a="1"/>
  <c r="E7" i="69" a="1"/>
  <c r="R118" i="76" l="1" a="1"/>
  <c r="R118" i="76" s="1"/>
  <c r="R19" i="97" s="1"/>
  <c r="R119" i="76" a="1"/>
  <c r="R119" i="76" s="1"/>
  <c r="R121" i="76" a="1"/>
  <c r="R121" i="76" s="1"/>
  <c r="R22" i="97" s="1"/>
  <c r="R123" i="76" a="1"/>
  <c r="R123" i="76" s="1"/>
  <c r="R24" i="97" s="1"/>
  <c r="R120" i="76" a="1"/>
  <c r="R120" i="76" s="1"/>
  <c r="R21" i="97" s="1"/>
  <c r="R122" i="76" a="1"/>
  <c r="R122" i="76" s="1"/>
  <c r="R23" i="97" s="1"/>
  <c r="E119" i="76" a="1"/>
  <c r="E119" i="76" s="1"/>
  <c r="E23" i="98" s="1"/>
  <c r="O122" i="76" a="1"/>
  <c r="O122" i="76" s="1"/>
  <c r="O23" i="97" s="1"/>
  <c r="O120" i="76" a="1"/>
  <c r="O120" i="76" s="1"/>
  <c r="O21" i="97" s="1"/>
  <c r="O123" i="76" a="1"/>
  <c r="O123" i="76" s="1"/>
  <c r="O24" i="97" s="1"/>
  <c r="O121" i="76" a="1"/>
  <c r="O121" i="76" s="1"/>
  <c r="O22" i="97" s="1"/>
  <c r="O118" i="76" a="1"/>
  <c r="O118" i="76" s="1"/>
  <c r="O19" i="97" s="1"/>
  <c r="O119" i="76" a="1"/>
  <c r="O119" i="76" s="1"/>
  <c r="P123" i="76" a="1"/>
  <c r="P123" i="76" s="1"/>
  <c r="P24" i="97" s="1"/>
  <c r="P121" i="76" a="1"/>
  <c r="P121" i="76" s="1"/>
  <c r="P22" i="97" s="1"/>
  <c r="P118" i="76" a="1"/>
  <c r="P118" i="76" s="1"/>
  <c r="P19" i="97" s="1"/>
  <c r="P120" i="76" a="1"/>
  <c r="P120" i="76" s="1"/>
  <c r="P21" i="97" s="1"/>
  <c r="P122" i="76" a="1"/>
  <c r="P122" i="76" s="1"/>
  <c r="P23" i="97" s="1"/>
  <c r="P119" i="76" a="1"/>
  <c r="P119" i="76" s="1"/>
  <c r="E123" i="76" a="1"/>
  <c r="E123" i="76" s="1"/>
  <c r="E167" i="76" s="1" a="1"/>
  <c r="E167" i="76" s="1"/>
  <c r="Q121" i="76" a="1"/>
  <c r="Q121" i="76" s="1"/>
  <c r="Q22" i="97" s="1"/>
  <c r="Q118" i="76" a="1"/>
  <c r="Q118" i="76" s="1"/>
  <c r="Q19" i="97" s="1"/>
  <c r="Q123" i="76" a="1"/>
  <c r="Q123" i="76" s="1"/>
  <c r="Q24" i="97" s="1"/>
  <c r="Q120" i="76" a="1"/>
  <c r="Q120" i="76" s="1"/>
  <c r="Q21" i="97" s="1"/>
  <c r="Q119" i="76" a="1"/>
  <c r="Q119" i="76" s="1"/>
  <c r="Q122" i="76" a="1"/>
  <c r="Q122" i="76" s="1"/>
  <c r="Q23" i="97" s="1"/>
  <c r="E121" i="76" a="1"/>
  <c r="E121" i="76" s="1"/>
  <c r="E118" i="76" a="1"/>
  <c r="E118" i="76" s="1"/>
  <c r="E21" i="97"/>
  <c r="E122" i="76" a="1"/>
  <c r="E122" i="76" s="1"/>
  <c r="F120" i="76" a="1"/>
  <c r="F120" i="76" s="1"/>
  <c r="F123" i="76" a="1"/>
  <c r="F123" i="76" s="1"/>
  <c r="F119" i="76" a="1"/>
  <c r="F119" i="76" s="1"/>
  <c r="F23" i="98" s="1"/>
  <c r="F122" i="76" a="1"/>
  <c r="F122" i="76" s="1"/>
  <c r="F118" i="76" a="1"/>
  <c r="F118" i="76" s="1"/>
  <c r="F121" i="76" a="1"/>
  <c r="F121" i="76" s="1"/>
  <c r="H119" i="76" a="1"/>
  <c r="H119" i="76" s="1"/>
  <c r="H23" i="98" s="1"/>
  <c r="H121" i="76" a="1"/>
  <c r="H121" i="76" s="1"/>
  <c r="H123" i="76" a="1"/>
  <c r="H123" i="76" s="1"/>
  <c r="H122" i="76" a="1"/>
  <c r="H122" i="76" s="1"/>
  <c r="H118" i="76" a="1"/>
  <c r="H118" i="76" s="1"/>
  <c r="H120" i="76" a="1"/>
  <c r="H120" i="76" s="1"/>
  <c r="G123" i="76" a="1"/>
  <c r="G123" i="76" s="1"/>
  <c r="G119" i="76" a="1"/>
  <c r="G119" i="76" s="1"/>
  <c r="G23" i="98" s="1"/>
  <c r="G122" i="76" a="1"/>
  <c r="G122" i="76" s="1"/>
  <c r="G118" i="76" a="1"/>
  <c r="G118" i="76" s="1"/>
  <c r="G120" i="76" a="1"/>
  <c r="G120" i="76" s="1"/>
  <c r="G121" i="76" a="1"/>
  <c r="G121" i="76" s="1"/>
  <c r="H40" i="69" a="1"/>
  <c r="H40" i="69" s="1"/>
  <c r="G73" i="69" a="1"/>
  <c r="G73" i="69" s="1"/>
  <c r="F73" i="69" a="1"/>
  <c r="F73" i="69" s="1"/>
  <c r="H73" i="69" a="1"/>
  <c r="H73" i="69" s="1"/>
  <c r="E50" i="69"/>
  <c r="E7" i="69"/>
  <c r="E42" i="69" a="1"/>
  <c r="E42" i="69" s="1"/>
  <c r="E44" i="69" a="1"/>
  <c r="E44" i="69" s="1"/>
  <c r="F44" i="69" a="1"/>
  <c r="F44" i="69" s="1"/>
  <c r="F41" i="69" a="1"/>
  <c r="F41" i="69" s="1"/>
  <c r="E41" i="69" a="1"/>
  <c r="E41" i="69" s="1"/>
  <c r="E43" i="69" a="1"/>
  <c r="E43" i="69" s="1"/>
  <c r="H41" i="69" a="1"/>
  <c r="H41" i="69" s="1"/>
  <c r="H43" i="69" a="1"/>
  <c r="H43" i="69" s="1"/>
  <c r="F42" i="69" a="1"/>
  <c r="F42" i="69" s="1"/>
  <c r="F43" i="69" a="1"/>
  <c r="F43" i="69" s="1"/>
  <c r="G41" i="69" a="1"/>
  <c r="G41" i="69" s="1"/>
  <c r="G43" i="69" a="1"/>
  <c r="G43" i="69" s="1"/>
  <c r="E40" i="69" a="1"/>
  <c r="E40" i="69" s="1"/>
  <c r="G40" i="69" a="1"/>
  <c r="G40" i="69" s="1"/>
  <c r="G42" i="69" a="1"/>
  <c r="G42" i="69" s="1"/>
  <c r="G44" i="69" a="1"/>
  <c r="G44" i="69" s="1"/>
  <c r="F40" i="69" a="1"/>
  <c r="F40" i="69" s="1"/>
  <c r="H42" i="69" a="1"/>
  <c r="H42" i="69" s="1"/>
  <c r="H44" i="69" a="1"/>
  <c r="H44" i="69" s="1"/>
  <c r="E20" i="97" l="1"/>
  <c r="O20" i="97"/>
  <c r="N23" i="98"/>
  <c r="P23" i="98"/>
  <c r="Q20" i="97"/>
  <c r="O23" i="98"/>
  <c r="P20" i="97"/>
  <c r="Q23" i="98"/>
  <c r="R20" i="97"/>
  <c r="F235" i="76" a="1"/>
  <c r="F235" i="76" s="1"/>
  <c r="F50" i="97" s="1"/>
  <c r="F237" i="76" a="1"/>
  <c r="F237" i="76" s="1"/>
  <c r="F236" i="76" a="1"/>
  <c r="F236" i="76" s="1"/>
  <c r="F51" i="97" s="1"/>
  <c r="P167" i="76" a="1"/>
  <c r="P167" i="76" s="1"/>
  <c r="O167" i="76" a="1"/>
  <c r="O167" i="76" s="1"/>
  <c r="Q167" i="76" a="1"/>
  <c r="Q167" i="76" s="1"/>
  <c r="R167" i="76" a="1"/>
  <c r="R167" i="76" s="1"/>
  <c r="E24" i="97"/>
  <c r="G167" i="76" a="1"/>
  <c r="G167" i="76" s="1"/>
  <c r="H236" i="76" s="1" a="1"/>
  <c r="H236" i="76" s="1"/>
  <c r="G24" i="97"/>
  <c r="H20" i="97"/>
  <c r="F52" i="97"/>
  <c r="E23" i="97"/>
  <c r="E19" i="97"/>
  <c r="E22" i="97"/>
  <c r="G22" i="97"/>
  <c r="G21" i="97"/>
  <c r="H19" i="97"/>
  <c r="G19" i="97"/>
  <c r="H23" i="97"/>
  <c r="F238" i="76" a="1"/>
  <c r="F238" i="76" s="1"/>
  <c r="G23" i="97"/>
  <c r="H167" i="76" a="1"/>
  <c r="H167" i="76" s="1"/>
  <c r="I235" i="76" s="1" a="1"/>
  <c r="I235" i="76" s="1"/>
  <c r="H24" i="97"/>
  <c r="F234" i="76" a="1"/>
  <c r="F234" i="76" s="1"/>
  <c r="F22" i="97"/>
  <c r="F19" i="97"/>
  <c r="F23" i="97"/>
  <c r="F20" i="97"/>
  <c r="H21" i="97"/>
  <c r="F167" i="76" a="1"/>
  <c r="F167" i="76" s="1"/>
  <c r="G236" i="76" s="1" a="1"/>
  <c r="G236" i="76" s="1"/>
  <c r="F24" i="97"/>
  <c r="F21" i="97"/>
  <c r="G20" i="97"/>
  <c r="H22" i="97"/>
  <c r="G235" i="76" a="1"/>
  <c r="G235" i="76" s="1"/>
  <c r="H237" i="76" a="1"/>
  <c r="H237" i="76" s="1"/>
  <c r="H235" i="76" l="1" a="1"/>
  <c r="H235" i="76" s="1"/>
  <c r="G237" i="76" a="1"/>
  <c r="G237" i="76" s="1"/>
  <c r="S234" i="76" a="1"/>
  <c r="S234" i="76" s="1"/>
  <c r="S236" i="76" a="1"/>
  <c r="S236" i="76" s="1"/>
  <c r="S238" i="76" a="1"/>
  <c r="S238" i="76" s="1"/>
  <c r="S235" i="76" a="1"/>
  <c r="S235" i="76" s="1"/>
  <c r="S237" i="76" a="1"/>
  <c r="S237" i="76" s="1"/>
  <c r="I238" i="76" a="1"/>
  <c r="I238" i="76" s="1"/>
  <c r="I53" i="97" s="1"/>
  <c r="G234" i="76" a="1"/>
  <c r="G234" i="76" s="1"/>
  <c r="G49" i="97" s="1"/>
  <c r="I236" i="76" a="1"/>
  <c r="I236" i="76" s="1"/>
  <c r="I51" i="97" s="1"/>
  <c r="G238" i="76" a="1"/>
  <c r="G238" i="76" s="1"/>
  <c r="Q237" i="76" a="1"/>
  <c r="Q237" i="76" s="1"/>
  <c r="Q234" i="76" a="1"/>
  <c r="Q234" i="76" s="1"/>
  <c r="Q238" i="76" a="1"/>
  <c r="Q238" i="76" s="1"/>
  <c r="Q236" i="76" a="1"/>
  <c r="Q236" i="76" s="1"/>
  <c r="Q235" i="76" a="1"/>
  <c r="Q235" i="76" s="1"/>
  <c r="H234" i="76" a="1"/>
  <c r="H234" i="76" s="1"/>
  <c r="H49" i="97" s="1"/>
  <c r="R237" i="76" a="1"/>
  <c r="R237" i="76" s="1"/>
  <c r="R238" i="76" a="1"/>
  <c r="R238" i="76" s="1"/>
  <c r="R234" i="76" a="1"/>
  <c r="R234" i="76" s="1"/>
  <c r="R236" i="76" a="1"/>
  <c r="R236" i="76" s="1"/>
  <c r="R235" i="76" a="1"/>
  <c r="R235" i="76" s="1"/>
  <c r="P236" i="76" a="1"/>
  <c r="P236" i="76" s="1"/>
  <c r="P237" i="76" a="1"/>
  <c r="P237" i="76" s="1"/>
  <c r="P234" i="76" a="1"/>
  <c r="P234" i="76" s="1"/>
  <c r="P238" i="76" a="1"/>
  <c r="P238" i="76" s="1"/>
  <c r="P235" i="76" a="1"/>
  <c r="P235" i="76" s="1"/>
  <c r="H238" i="76" a="1"/>
  <c r="H238" i="76" s="1"/>
  <c r="H53" i="97" s="1"/>
  <c r="I50" i="97"/>
  <c r="F53" i="97"/>
  <c r="H50" i="97"/>
  <c r="G51" i="97"/>
  <c r="G52" i="97"/>
  <c r="H52" i="97"/>
  <c r="H51" i="97"/>
  <c r="F49" i="97"/>
  <c r="I234" i="76" a="1"/>
  <c r="I234" i="76" s="1"/>
  <c r="G53" i="97"/>
  <c r="G50" i="97"/>
  <c r="I237" i="76" a="1"/>
  <c r="I237" i="76" s="1"/>
  <c r="R53" i="97" l="1"/>
  <c r="S52" i="97"/>
  <c r="R52" i="97"/>
  <c r="S50" i="97"/>
  <c r="S53" i="97"/>
  <c r="S51" i="97"/>
  <c r="S49" i="97"/>
  <c r="P53" i="97"/>
  <c r="P50" i="97"/>
  <c r="P49" i="97"/>
  <c r="P52" i="97"/>
  <c r="Q50" i="97"/>
  <c r="Q51" i="97"/>
  <c r="P51" i="97"/>
  <c r="R50" i="97"/>
  <c r="Q53" i="97"/>
  <c r="R51" i="97"/>
  <c r="Q49" i="97"/>
  <c r="R49" i="97"/>
  <c r="Q52" i="97"/>
  <c r="I52" i="97"/>
  <c r="I49" i="97"/>
  <c r="E84" i="70" l="1"/>
  <c r="E76" i="70"/>
  <c r="E68" i="70"/>
  <c r="E60" i="70"/>
  <c r="E52" i="70"/>
  <c r="H93" i="70"/>
  <c r="G93" i="70"/>
  <c r="F93" i="70"/>
  <c r="E93" i="70"/>
  <c r="L51" i="70"/>
  <c r="L50" i="70"/>
  <c r="L49" i="70"/>
  <c r="L48" i="70"/>
  <c r="L59" i="70"/>
  <c r="L58" i="70"/>
  <c r="L57" i="70"/>
  <c r="L56" i="70"/>
  <c r="L67" i="70"/>
  <c r="L66" i="70"/>
  <c r="L65" i="70"/>
  <c r="L64" i="70"/>
  <c r="L75" i="70"/>
  <c r="L74" i="70"/>
  <c r="L73" i="70"/>
  <c r="L72" i="70"/>
  <c r="L83" i="70"/>
  <c r="L82" i="70"/>
  <c r="L81" i="70"/>
  <c r="L80" i="70"/>
  <c r="L92" i="70"/>
  <c r="L91" i="70"/>
  <c r="L90" i="70"/>
  <c r="L89" i="70"/>
  <c r="L88" i="70"/>
  <c r="D87" i="70"/>
  <c r="E87" i="70"/>
  <c r="E79" i="70"/>
  <c r="E71" i="70"/>
  <c r="E63" i="70"/>
  <c r="E55" i="70"/>
  <c r="E47" i="70"/>
  <c r="H35" i="70"/>
  <c r="G35" i="70"/>
  <c r="F35" i="70"/>
  <c r="E35" i="70"/>
  <c r="F295" i="69" l="1" a="1"/>
  <c r="F295" i="69" s="1"/>
  <c r="D292" i="69" a="1"/>
  <c r="D292" i="69" s="1"/>
  <c r="G270" i="69"/>
  <c r="G269" i="69"/>
  <c r="G268" i="69"/>
  <c r="D268" i="69" a="1"/>
  <c r="D268" i="69" s="1"/>
  <c r="E266" i="69" a="1"/>
  <c r="E266" i="69" s="1"/>
  <c r="E265" i="69" a="1"/>
  <c r="E265" i="69" s="1"/>
  <c r="D260" i="69" a="1"/>
  <c r="D260" i="69" s="1"/>
  <c r="D259" i="69" a="1"/>
  <c r="D259" i="69" s="1"/>
  <c r="D248" i="69" a="1"/>
  <c r="D248" i="69" s="1"/>
  <c r="E246" i="69" a="1"/>
  <c r="E246" i="69" s="1"/>
  <c r="H255" i="69" s="1"/>
  <c r="E245" i="69" a="1"/>
  <c r="E245" i="69" s="1"/>
  <c r="D241" i="69" a="1"/>
  <c r="D241" i="69" s="1"/>
  <c r="D240" i="69" a="1"/>
  <c r="D240" i="69" s="1"/>
  <c r="D239" i="69" a="1"/>
  <c r="D239" i="69" s="1"/>
  <c r="G221" i="69"/>
  <c r="G219" i="69"/>
  <c r="D219" i="69" a="1"/>
  <c r="D219" i="69" s="1"/>
  <c r="E217" i="69" a="1"/>
  <c r="E217" i="69" s="1"/>
  <c r="E216" i="69" a="1"/>
  <c r="E216" i="69" s="1"/>
  <c r="D211" i="69" a="1"/>
  <c r="D211" i="69" s="1"/>
  <c r="D210" i="69" a="1"/>
  <c r="D210" i="69" s="1"/>
  <c r="G133" i="69"/>
  <c r="G132" i="69"/>
  <c r="G130" i="69"/>
  <c r="D130" i="69" a="1"/>
  <c r="D130" i="69" s="1"/>
  <c r="E128" i="69" a="1"/>
  <c r="E128" i="69" s="1"/>
  <c r="E127" i="69" a="1"/>
  <c r="E127" i="69" s="1"/>
  <c r="D122" i="69" a="1"/>
  <c r="D122" i="69" s="1"/>
  <c r="D121" i="69" a="1"/>
  <c r="D121" i="69" s="1"/>
  <c r="G88" i="69"/>
  <c r="G86" i="69"/>
  <c r="D86" i="69" a="1"/>
  <c r="D86" i="69" s="1"/>
  <c r="E84" i="69" a="1"/>
  <c r="E84" i="69" s="1"/>
  <c r="E83" i="69" a="1"/>
  <c r="E83" i="69" s="1"/>
  <c r="D78" i="69" a="1"/>
  <c r="D78" i="69" s="1"/>
  <c r="D77" i="69" a="1"/>
  <c r="D77" i="69" s="1"/>
  <c r="G61" i="69"/>
  <c r="G60" i="69"/>
  <c r="G59" i="69"/>
  <c r="D59" i="69" a="1"/>
  <c r="D59" i="69" s="1"/>
  <c r="E57" i="69" a="1"/>
  <c r="E57" i="69" s="1"/>
  <c r="E56" i="69" a="1"/>
  <c r="E56" i="69" s="1"/>
  <c r="D49" i="69" a="1"/>
  <c r="D49" i="69" s="1"/>
  <c r="D48" i="69" a="1"/>
  <c r="D48" i="69" s="1"/>
  <c r="H14" i="69"/>
  <c r="H13" i="69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G56" i="79" a="1"/>
  <c r="G56" i="79" s="1"/>
  <c r="G55" i="79" a="1"/>
  <c r="G55" i="79" s="1"/>
  <c r="G54" i="79" a="1"/>
  <c r="G54" i="79" s="1"/>
  <c r="M35" i="79" a="1"/>
  <c r="M35" i="79" s="1"/>
  <c r="L35" i="79" a="1"/>
  <c r="L35" i="79" s="1"/>
  <c r="K35" i="79" a="1"/>
  <c r="K35" i="79" s="1"/>
  <c r="J35" i="79" a="1"/>
  <c r="J35" i="79" s="1"/>
  <c r="I35" i="79" a="1"/>
  <c r="I35" i="79" s="1"/>
  <c r="H35" i="79" a="1"/>
  <c r="H35" i="79" s="1"/>
  <c r="G35" i="79" a="1"/>
  <c r="G35" i="79" s="1"/>
  <c r="F35" i="79" a="1"/>
  <c r="F35" i="79" s="1"/>
  <c r="E35" i="79" a="1"/>
  <c r="E35" i="79" s="1"/>
  <c r="D35" i="79" a="1"/>
  <c r="D35" i="79" s="1"/>
  <c r="M34" i="79" a="1"/>
  <c r="M34" i="79" s="1"/>
  <c r="L34" i="79" a="1"/>
  <c r="L34" i="79" s="1"/>
  <c r="K34" i="79" a="1"/>
  <c r="K34" i="79" s="1"/>
  <c r="J34" i="79" a="1"/>
  <c r="J34" i="79" s="1"/>
  <c r="I34" i="79" a="1"/>
  <c r="I34" i="79" s="1"/>
  <c r="H34" i="79" a="1"/>
  <c r="H34" i="79" s="1"/>
  <c r="G34" i="79" a="1"/>
  <c r="G34" i="79" s="1"/>
  <c r="F34" i="79" a="1"/>
  <c r="F34" i="79" s="1"/>
  <c r="E34" i="79" a="1"/>
  <c r="E34" i="79" s="1"/>
  <c r="D34" i="79" a="1"/>
  <c r="D34" i="79" s="1"/>
  <c r="M33" i="79" a="1"/>
  <c r="M33" i="79" s="1"/>
  <c r="L33" i="79" a="1"/>
  <c r="L33" i="79" s="1"/>
  <c r="K33" i="79" a="1"/>
  <c r="K33" i="79" s="1"/>
  <c r="J33" i="79" a="1"/>
  <c r="J33" i="79" s="1"/>
  <c r="I33" i="79" a="1"/>
  <c r="I33" i="79" s="1"/>
  <c r="H33" i="79" a="1"/>
  <c r="H33" i="79" s="1"/>
  <c r="G33" i="79" a="1"/>
  <c r="G33" i="79" s="1"/>
  <c r="F33" i="79" a="1"/>
  <c r="F33" i="79" s="1"/>
  <c r="E33" i="79" a="1"/>
  <c r="E33" i="79" s="1"/>
  <c r="D33" i="79" a="1"/>
  <c r="D33" i="79" s="1"/>
  <c r="M32" i="79" a="1"/>
  <c r="M32" i="79" s="1"/>
  <c r="L32" i="79" a="1"/>
  <c r="L32" i="79" s="1"/>
  <c r="K32" i="79" a="1"/>
  <c r="K32" i="79" s="1"/>
  <c r="J32" i="79" a="1"/>
  <c r="J32" i="79" s="1"/>
  <c r="I32" i="79" a="1"/>
  <c r="I32" i="79" s="1"/>
  <c r="H32" i="79" a="1"/>
  <c r="H32" i="79" s="1"/>
  <c r="G32" i="79" a="1"/>
  <c r="G32" i="79" s="1"/>
  <c r="F32" i="79" a="1"/>
  <c r="F32" i="79" s="1"/>
  <c r="E32" i="79" a="1"/>
  <c r="E32" i="79" s="1"/>
  <c r="D32" i="79" a="1"/>
  <c r="D32" i="79" s="1"/>
  <c r="M31" i="79" a="1"/>
  <c r="M31" i="79" s="1"/>
  <c r="L31" i="79" a="1"/>
  <c r="L31" i="79" s="1"/>
  <c r="K31" i="79" a="1"/>
  <c r="K31" i="79" s="1"/>
  <c r="J31" i="79" a="1"/>
  <c r="J31" i="79" s="1"/>
  <c r="I31" i="79" a="1"/>
  <c r="I31" i="79" s="1"/>
  <c r="H31" i="79" a="1"/>
  <c r="H31" i="79" s="1"/>
  <c r="G31" i="79" a="1"/>
  <c r="G31" i="79" s="1"/>
  <c r="F31" i="79" a="1"/>
  <c r="F31" i="79" s="1"/>
  <c r="E31" i="79" a="1"/>
  <c r="E31" i="79" s="1"/>
  <c r="D31" i="79" a="1"/>
  <c r="D31" i="79" s="1"/>
  <c r="M30" i="79" a="1"/>
  <c r="M30" i="79" s="1"/>
  <c r="L30" i="79" a="1"/>
  <c r="L30" i="79" s="1"/>
  <c r="K30" i="79" a="1"/>
  <c r="K30" i="79" s="1"/>
  <c r="J30" i="79" a="1"/>
  <c r="J30" i="79" s="1"/>
  <c r="I30" i="79" a="1"/>
  <c r="I30" i="79" s="1"/>
  <c r="H30" i="79" a="1"/>
  <c r="H30" i="79" s="1"/>
  <c r="G30" i="79" a="1"/>
  <c r="G30" i="79" s="1"/>
  <c r="F30" i="79" a="1"/>
  <c r="F30" i="79" s="1"/>
  <c r="E30" i="79" a="1"/>
  <c r="E30" i="79" s="1"/>
  <c r="D30" i="79" a="1"/>
  <c r="D30" i="79" s="1"/>
  <c r="M29" i="79" a="1"/>
  <c r="M29" i="79" s="1"/>
  <c r="L29" i="79" a="1"/>
  <c r="L29" i="79" s="1"/>
  <c r="K29" i="79" a="1"/>
  <c r="K29" i="79" s="1"/>
  <c r="J29" i="79" a="1"/>
  <c r="J29" i="79" s="1"/>
  <c r="I29" i="79" a="1"/>
  <c r="I29" i="79" s="1"/>
  <c r="H29" i="79" a="1"/>
  <c r="H29" i="79" s="1"/>
  <c r="G29" i="79" a="1"/>
  <c r="G29" i="79" s="1"/>
  <c r="F29" i="79" a="1"/>
  <c r="F29" i="79" s="1"/>
  <c r="E29" i="79" a="1"/>
  <c r="E29" i="79" s="1"/>
  <c r="D29" i="79" a="1"/>
  <c r="D29" i="79" s="1"/>
  <c r="D26" i="79" a="1"/>
  <c r="D26" i="79" s="1"/>
  <c r="D25" i="79" a="1"/>
  <c r="D25" i="79" s="1"/>
  <c r="D24" i="79" a="1"/>
  <c r="D24" i="79" s="1"/>
  <c r="F21" i="79" a="1"/>
  <c r="F21" i="79" s="1"/>
  <c r="E21" i="79" a="1"/>
  <c r="E21" i="79" s="1"/>
  <c r="D21" i="79" a="1"/>
  <c r="D21" i="79" s="1"/>
  <c r="D20" i="79" a="1"/>
  <c r="D20" i="79" s="1"/>
  <c r="D19" i="79" a="1"/>
  <c r="D19" i="79" s="1"/>
  <c r="E71" i="79" a="1"/>
  <c r="E71" i="79" s="1"/>
  <c r="D71" i="79" a="1"/>
  <c r="D71" i="79" s="1"/>
  <c r="E70" i="79" a="1"/>
  <c r="E70" i="79" s="1"/>
  <c r="D70" i="79" a="1"/>
  <c r="D70" i="79" s="1"/>
  <c r="E69" i="79" a="1"/>
  <c r="E69" i="79" s="1"/>
  <c r="D69" i="79" a="1"/>
  <c r="D69" i="79" s="1"/>
  <c r="E68" i="79" a="1"/>
  <c r="E68" i="79" s="1"/>
  <c r="D68" i="79" a="1"/>
  <c r="D68" i="79" s="1"/>
  <c r="D65" i="79" a="1"/>
  <c r="D65" i="79" s="1"/>
  <c r="D64" i="79" a="1"/>
  <c r="D64" i="79" s="1"/>
  <c r="D63" i="79" a="1"/>
  <c r="D63" i="79" s="1"/>
  <c r="E212" i="69" a="1"/>
  <c r="E79" i="69" a="1"/>
  <c r="E123" i="69" a="1"/>
  <c r="E242" i="69" a="1"/>
  <c r="E261" i="69" a="1"/>
  <c r="I73" i="69" l="1"/>
  <c r="S73" i="69"/>
  <c r="T199" i="69"/>
  <c r="T185" i="69"/>
  <c r="T197" i="69"/>
  <c r="T183" i="69"/>
  <c r="T196" i="69"/>
  <c r="T182" i="69"/>
  <c r="T191" i="69"/>
  <c r="T200" i="69"/>
  <c r="T195" i="69"/>
  <c r="T194" i="69"/>
  <c r="T184" i="69"/>
  <c r="T206" i="69"/>
  <c r="T193" i="69"/>
  <c r="T205" i="69"/>
  <c r="T192" i="69"/>
  <c r="T201" i="69"/>
  <c r="T187" i="69"/>
  <c r="T204" i="69"/>
  <c r="T188" i="69"/>
  <c r="T186" i="69"/>
  <c r="T203" i="69"/>
  <c r="T190" i="69"/>
  <c r="T202" i="69"/>
  <c r="T189" i="69"/>
  <c r="T198" i="69"/>
  <c r="S44" i="69"/>
  <c r="S43" i="69"/>
  <c r="S42" i="69"/>
  <c r="S41" i="69"/>
  <c r="S40" i="69"/>
  <c r="I112" i="69"/>
  <c r="S111" i="69"/>
  <c r="I115" i="69"/>
  <c r="I114" i="69"/>
  <c r="S110" i="69"/>
  <c r="S114" i="69"/>
  <c r="S115" i="69"/>
  <c r="S113" i="69"/>
  <c r="S112" i="69"/>
  <c r="P290" i="69"/>
  <c r="F290" i="69"/>
  <c r="R288" i="69"/>
  <c r="S235" i="69"/>
  <c r="S233" i="69"/>
  <c r="S231" i="69"/>
  <c r="S230" i="69"/>
  <c r="S232" i="69"/>
  <c r="S234" i="69"/>
  <c r="G222" i="69"/>
  <c r="G131" i="69"/>
  <c r="H20" i="70" a="1"/>
  <c r="H20" i="70" s="1"/>
  <c r="Q94" i="69" s="1"/>
  <c r="G20" i="70" a="1"/>
  <c r="G20" i="70" s="1"/>
  <c r="P94" i="69" s="1"/>
  <c r="F20" i="70" a="1"/>
  <c r="F20" i="70" s="1"/>
  <c r="O94" i="69" s="1"/>
  <c r="E20" i="70" a="1"/>
  <c r="E20" i="70" s="1"/>
  <c r="N94" i="69" s="1"/>
  <c r="G16" i="70" a="1"/>
  <c r="G16" i="70" s="1"/>
  <c r="F94" i="69" s="1"/>
  <c r="H16" i="70" a="1"/>
  <c r="H16" i="70" s="1"/>
  <c r="G94" i="69" s="1"/>
  <c r="F16" i="70" a="1"/>
  <c r="F16" i="70" s="1"/>
  <c r="E94" i="69" s="1"/>
  <c r="E16" i="70" a="1"/>
  <c r="E16" i="70" s="1"/>
  <c r="D94" i="69" s="1"/>
  <c r="I235" i="69"/>
  <c r="I234" i="69"/>
  <c r="J186" i="69"/>
  <c r="J201" i="69"/>
  <c r="J200" i="69"/>
  <c r="J199" i="69"/>
  <c r="J198" i="69"/>
  <c r="J195" i="69"/>
  <c r="J194" i="69"/>
  <c r="J197" i="69"/>
  <c r="J196" i="69"/>
  <c r="J206" i="69"/>
  <c r="J205" i="69"/>
  <c r="J204" i="69"/>
  <c r="J203" i="69"/>
  <c r="J202" i="69"/>
  <c r="I44" i="69"/>
  <c r="I43" i="69"/>
  <c r="I42" i="69"/>
  <c r="I41" i="69"/>
  <c r="I40" i="69"/>
  <c r="E261" i="69"/>
  <c r="E242" i="69"/>
  <c r="E123" i="69"/>
  <c r="E79" i="69"/>
  <c r="E212" i="69"/>
  <c r="I230" i="69"/>
  <c r="I233" i="69"/>
  <c r="I232" i="69"/>
  <c r="I231" i="69"/>
  <c r="I113" i="69"/>
  <c r="J182" i="69"/>
  <c r="J191" i="69"/>
  <c r="J187" i="69"/>
  <c r="J183" i="69"/>
  <c r="I110" i="69"/>
  <c r="J188" i="69"/>
  <c r="J192" i="69"/>
  <c r="J184" i="69"/>
  <c r="J193" i="69"/>
  <c r="H288" i="69"/>
  <c r="I111" i="69"/>
  <c r="J189" i="69"/>
  <c r="J185" i="69"/>
  <c r="J190" i="69"/>
  <c r="A17" i="43" l="1"/>
  <c r="A8" i="43"/>
  <c r="A17" i="79"/>
  <c r="A8" i="79"/>
  <c r="A17" i="98"/>
  <c r="A8" i="98"/>
  <c r="A17" i="97"/>
  <c r="A8" i="97"/>
  <c r="A17" i="76"/>
  <c r="A8" i="76"/>
  <c r="A17" i="69"/>
  <c r="A8" i="69"/>
  <c r="A17" i="70"/>
  <c r="A8" i="70"/>
  <c r="A17" i="15"/>
  <c r="A8" i="15"/>
  <c r="A17" i="13"/>
  <c r="A8" i="13"/>
  <c r="E224" i="103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30" i="15" s="1"/>
  <c r="G117" i="97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33" i="15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E31" i="15" s="1"/>
  <c r="E32" i="15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 a="1"/>
  <c r="D34" i="103" s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G14" i="98" l="1"/>
  <c r="Q293" i="69"/>
  <c r="G293" i="69"/>
  <c r="E176" i="69" a="1"/>
  <c r="E176" i="69" s="1"/>
  <c r="G113" i="97"/>
  <c r="D170" i="103"/>
  <c r="G41" i="98"/>
  <c r="G134" i="69"/>
  <c r="G223" i="69"/>
  <c r="H51" i="103"/>
  <c r="H49" i="103"/>
  <c r="H54" i="103"/>
  <c r="H50" i="103"/>
  <c r="G114" i="97" s="1"/>
  <c r="H52" i="103"/>
  <c r="H48" i="103"/>
  <c r="H53" i="103"/>
  <c r="G10" i="13"/>
  <c r="H28" i="98" l="1" a="1"/>
  <c r="H28" i="98" s="1"/>
  <c r="G28" i="98" a="1"/>
  <c r="G28" i="98" s="1"/>
  <c r="E28" i="98" a="1"/>
  <c r="E28" i="98" s="1"/>
  <c r="F28" i="98" a="1"/>
  <c r="F28" i="98" s="1"/>
  <c r="O28" i="98" a="1"/>
  <c r="O28" i="98" s="1"/>
  <c r="P28" i="98" a="1"/>
  <c r="P28" i="98" s="1"/>
  <c r="N28" i="98" a="1"/>
  <c r="N28" i="98" s="1"/>
  <c r="Q28" i="98" a="1"/>
  <c r="Q28" i="98" s="1"/>
  <c r="G252" i="76"/>
  <c r="G42" i="98"/>
  <c r="A20" i="43"/>
  <c r="A19" i="43"/>
  <c r="A18" i="43"/>
  <c r="A14" i="43"/>
  <c r="A13" i="43"/>
  <c r="A12" i="43"/>
  <c r="A11" i="43"/>
  <c r="A7" i="43"/>
  <c r="A4" i="43"/>
  <c r="A3" i="43"/>
  <c r="A20" i="79"/>
  <c r="A19" i="79"/>
  <c r="A18" i="79"/>
  <c r="A14" i="79"/>
  <c r="A13" i="79"/>
  <c r="A12" i="79"/>
  <c r="A11" i="79"/>
  <c r="A7" i="79"/>
  <c r="A4" i="79"/>
  <c r="A3" i="79"/>
  <c r="A20" i="97"/>
  <c r="A19" i="97"/>
  <c r="A18" i="97"/>
  <c r="A14" i="97"/>
  <c r="A13" i="97"/>
  <c r="A12" i="97"/>
  <c r="A11" i="97"/>
  <c r="A7" i="97"/>
  <c r="A4" i="97"/>
  <c r="A3" i="97"/>
  <c r="A20" i="76"/>
  <c r="A19" i="76"/>
  <c r="A18" i="76"/>
  <c r="A14" i="76"/>
  <c r="A13" i="76"/>
  <c r="A12" i="76"/>
  <c r="A11" i="76"/>
  <c r="A7" i="76"/>
  <c r="A4" i="76"/>
  <c r="A3" i="76"/>
  <c r="A20" i="69"/>
  <c r="A19" i="69"/>
  <c r="A18" i="69"/>
  <c r="A14" i="69"/>
  <c r="A13" i="69"/>
  <c r="A12" i="69"/>
  <c r="A11" i="69"/>
  <c r="A7" i="69"/>
  <c r="A4" i="69"/>
  <c r="A3" i="69"/>
  <c r="A20" i="70"/>
  <c r="A19" i="70"/>
  <c r="A18" i="70"/>
  <c r="A14" i="70"/>
  <c r="A13" i="70"/>
  <c r="A12" i="70"/>
  <c r="A11" i="70"/>
  <c r="A7" i="70"/>
  <c r="A4" i="70"/>
  <c r="A3" i="70"/>
  <c r="A20" i="15"/>
  <c r="A19" i="15"/>
  <c r="A18" i="15"/>
  <c r="A14" i="15"/>
  <c r="A13" i="15"/>
  <c r="A12" i="15"/>
  <c r="A11" i="15"/>
  <c r="A7" i="15"/>
  <c r="A4" i="15"/>
  <c r="A3" i="15"/>
  <c r="A20" i="13"/>
  <c r="A19" i="13"/>
  <c r="A18" i="13"/>
  <c r="A14" i="13"/>
  <c r="A13" i="13"/>
  <c r="A12" i="13"/>
  <c r="A11" i="13"/>
  <c r="A7" i="13"/>
  <c r="A4" i="13"/>
  <c r="A3" i="13"/>
  <c r="A11" i="98"/>
  <c r="A12" i="98"/>
  <c r="A13" i="98"/>
  <c r="A14" i="98"/>
  <c r="Q47" i="98" l="1" a="1"/>
  <c r="Q47" i="98" s="1"/>
  <c r="N47" i="98" a="1"/>
  <c r="N47" i="98" s="1"/>
  <c r="N49" i="98" s="1"/>
  <c r="P51" i="98" s="1"/>
  <c r="N54" i="98" s="1" a="1"/>
  <c r="N54" i="98" s="1"/>
  <c r="P47" i="98" a="1"/>
  <c r="P47" i="98" s="1"/>
  <c r="O47" i="98" a="1"/>
  <c r="O47" i="98" s="1"/>
  <c r="F47" i="98" a="1"/>
  <c r="F47" i="98" s="1"/>
  <c r="E47" i="98" a="1"/>
  <c r="E47" i="98" s="1"/>
  <c r="G47" i="98" a="1"/>
  <c r="G47" i="98" s="1"/>
  <c r="H47" i="98" a="1"/>
  <c r="H47" i="98" s="1"/>
  <c r="A20" i="98"/>
  <c r="A19" i="98"/>
  <c r="A18" i="98"/>
  <c r="A7" i="98"/>
  <c r="A4" i="98"/>
  <c r="A3" i="98"/>
  <c r="E49" i="98" l="1"/>
  <c r="G51" i="98" s="1"/>
  <c r="E54" i="98" s="1" a="1"/>
  <c r="E54" i="98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F27" i="43" l="1" a="1"/>
  <c r="F27" i="43" s="1"/>
  <c r="E27" i="43" a="1"/>
  <c r="E27" i="43" s="1"/>
  <c r="D27" i="43" a="1"/>
  <c r="D27" i="43" s="1"/>
  <c r="F26" i="43" a="1"/>
  <c r="F26" i="43" s="1"/>
  <c r="E47" i="79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E44" i="79" l="1"/>
  <c r="H43" i="79"/>
  <c r="L44" i="79"/>
  <c r="D45" i="79"/>
  <c r="K45" i="79"/>
  <c r="G44" i="79"/>
  <c r="D32" i="70" s="1"/>
  <c r="D58" i="79"/>
  <c r="K41" i="79"/>
  <c r="G41" i="79"/>
  <c r="D29" i="70" s="1"/>
  <c r="D41" i="79"/>
  <c r="D54" i="79"/>
  <c r="E45" i="79"/>
  <c r="L45" i="79"/>
  <c r="H44" i="79"/>
  <c r="D42" i="79"/>
  <c r="K42" i="79"/>
  <c r="D55" i="79"/>
  <c r="E42" i="79"/>
  <c r="L42" i="79"/>
  <c r="G45" i="79"/>
  <c r="D33" i="70" s="1"/>
  <c r="K46" i="79"/>
  <c r="D46" i="79"/>
  <c r="D59" i="79"/>
  <c r="G43" i="79"/>
  <c r="D31" i="70" s="1"/>
  <c r="K44" i="79"/>
  <c r="D57" i="79"/>
  <c r="D44" i="79"/>
  <c r="L41" i="79"/>
  <c r="H41" i="79"/>
  <c r="E41" i="79"/>
  <c r="E46" i="79"/>
  <c r="H45" i="79"/>
  <c r="L46" i="79"/>
  <c r="D43" i="79"/>
  <c r="G42" i="79"/>
  <c r="D30" i="70" s="1"/>
  <c r="D56" i="79"/>
  <c r="K43" i="79"/>
  <c r="L43" i="79"/>
  <c r="H42" i="79"/>
  <c r="E43" i="79"/>
  <c r="D60" i="79"/>
  <c r="D47" i="79"/>
  <c r="I7" i="13"/>
  <c r="H7" i="13"/>
  <c r="E29" i="15"/>
  <c r="E104" i="69" l="1" a="1"/>
  <c r="E104" i="69" s="1"/>
  <c r="N21" i="97"/>
  <c r="N222" i="76"/>
  <c r="D232" i="69"/>
  <c r="D82" i="97"/>
  <c r="N64" i="76"/>
  <c r="D120" i="76"/>
  <c r="D101" i="69"/>
  <c r="E101" i="69" s="1" a="1"/>
  <c r="E101" i="69" s="1"/>
  <c r="D90" i="70"/>
  <c r="D49" i="70"/>
  <c r="N271" i="76"/>
  <c r="N164" i="76"/>
  <c r="D112" i="69"/>
  <c r="N259" i="76"/>
  <c r="D60" i="97"/>
  <c r="E60" i="97" s="1" a="1"/>
  <c r="E60" i="97" s="1"/>
  <c r="D70" i="97"/>
  <c r="N42" i="69"/>
  <c r="D149" i="69"/>
  <c r="N120" i="76"/>
  <c r="D259" i="76"/>
  <c r="D42" i="69"/>
  <c r="N32" i="69"/>
  <c r="D154" i="76"/>
  <c r="E154" i="76" s="1" a="1"/>
  <c r="E154" i="76" s="1"/>
  <c r="N190" i="69"/>
  <c r="D190" i="69"/>
  <c r="D21" i="97"/>
  <c r="N73" i="76"/>
  <c r="N37" i="97"/>
  <c r="D222" i="76"/>
  <c r="D22" i="69"/>
  <c r="D144" i="76"/>
  <c r="E144" i="76" s="1" a="1"/>
  <c r="E144" i="76" s="1"/>
  <c r="N82" i="97"/>
  <c r="D55" i="76"/>
  <c r="D57" i="70"/>
  <c r="D82" i="70"/>
  <c r="D63" i="70"/>
  <c r="N70" i="97"/>
  <c r="D164" i="76"/>
  <c r="N232" i="69"/>
  <c r="D74" i="70"/>
  <c r="D271" i="76"/>
  <c r="D73" i="76"/>
  <c r="N112" i="69"/>
  <c r="D37" i="97"/>
  <c r="D193" i="76"/>
  <c r="D173" i="69"/>
  <c r="E173" i="69" s="1" a="1"/>
  <c r="E173" i="69" s="1"/>
  <c r="D41" i="70"/>
  <c r="D64" i="76"/>
  <c r="D32" i="69"/>
  <c r="N74" i="97"/>
  <c r="N71" i="76"/>
  <c r="D88" i="70"/>
  <c r="D72" i="70"/>
  <c r="D64" i="70"/>
  <c r="N30" i="69"/>
  <c r="D30" i="69"/>
  <c r="D182" i="69"/>
  <c r="D39" i="70"/>
  <c r="N263" i="76"/>
  <c r="D74" i="97"/>
  <c r="N162" i="76"/>
  <c r="D80" i="70"/>
  <c r="D99" i="69"/>
  <c r="E99" i="69" s="1" a="1"/>
  <c r="E99" i="69" s="1"/>
  <c r="N257" i="76"/>
  <c r="D58" i="97"/>
  <c r="N110" i="69"/>
  <c r="D141" i="69"/>
  <c r="D68" i="97"/>
  <c r="N118" i="76"/>
  <c r="D257" i="76"/>
  <c r="N40" i="69"/>
  <c r="D110" i="69"/>
  <c r="D230" i="69"/>
  <c r="D171" i="69"/>
  <c r="D71" i="76"/>
  <c r="D47" i="70"/>
  <c r="D29" i="97"/>
  <c r="D118" i="76"/>
  <c r="N19" i="97"/>
  <c r="D162" i="76"/>
  <c r="N62" i="76"/>
  <c r="N182" i="69"/>
  <c r="D263" i="76"/>
  <c r="D142" i="76"/>
  <c r="E142" i="76" s="1" a="1"/>
  <c r="E142" i="76" s="1"/>
  <c r="N68" i="97"/>
  <c r="D56" i="70"/>
  <c r="N230" i="69"/>
  <c r="N214" i="76"/>
  <c r="D152" i="76"/>
  <c r="D40" i="69"/>
  <c r="D62" i="76"/>
  <c r="D214" i="76"/>
  <c r="D19" i="97"/>
  <c r="D185" i="76"/>
  <c r="D20" i="69"/>
  <c r="N29" i="97"/>
  <c r="D53" i="76"/>
  <c r="D47" i="98"/>
  <c r="M28" i="98"/>
  <c r="D28" i="98"/>
  <c r="M47" i="98"/>
  <c r="N218" i="76"/>
  <c r="M23" i="98"/>
  <c r="D119" i="76"/>
  <c r="N231" i="69"/>
  <c r="N31" i="69"/>
  <c r="D231" i="69"/>
  <c r="D189" i="76"/>
  <c r="N258" i="76"/>
  <c r="N163" i="76"/>
  <c r="D172" i="69"/>
  <c r="E172" i="69" s="1" a="1"/>
  <c r="E172" i="69" s="1"/>
  <c r="D73" i="70"/>
  <c r="D81" i="70"/>
  <c r="D40" i="70"/>
  <c r="N20" i="97"/>
  <c r="D59" i="97"/>
  <c r="E59" i="97" s="1" a="1"/>
  <c r="E59" i="97" s="1"/>
  <c r="N63" i="76"/>
  <c r="D186" i="69"/>
  <c r="N119" i="76"/>
  <c r="D258" i="76"/>
  <c r="D41" i="69"/>
  <c r="N186" i="69"/>
  <c r="D33" i="97"/>
  <c r="N33" i="97"/>
  <c r="N78" i="97"/>
  <c r="N41" i="69"/>
  <c r="N69" i="97"/>
  <c r="D23" i="98"/>
  <c r="D54" i="76"/>
  <c r="D55" i="70"/>
  <c r="D153" i="76"/>
  <c r="E153" i="76" s="1" a="1"/>
  <c r="E153" i="76" s="1"/>
  <c r="D100" i="69"/>
  <c r="E100" i="69" s="1" a="1"/>
  <c r="E100" i="69" s="1"/>
  <c r="N267" i="76"/>
  <c r="D163" i="76"/>
  <c r="D31" i="69"/>
  <c r="D63" i="76"/>
  <c r="D145" i="69"/>
  <c r="D21" i="69"/>
  <c r="D78" i="97"/>
  <c r="N111" i="69"/>
  <c r="D48" i="70"/>
  <c r="D267" i="76"/>
  <c r="D111" i="69"/>
  <c r="D69" i="97"/>
  <c r="D143" i="76"/>
  <c r="E143" i="76" s="1" a="1"/>
  <c r="E143" i="76" s="1"/>
  <c r="N72" i="76"/>
  <c r="D72" i="76"/>
  <c r="D89" i="70"/>
  <c r="D20" i="97"/>
  <c r="D218" i="76"/>
  <c r="D65" i="70"/>
  <c r="N22" i="97"/>
  <c r="N194" i="69"/>
  <c r="D50" i="70"/>
  <c r="D43" i="69"/>
  <c r="N33" i="69"/>
  <c r="D260" i="76"/>
  <c r="D165" i="76"/>
  <c r="N121" i="76"/>
  <c r="D22" i="97"/>
  <c r="N233" i="69"/>
  <c r="D58" i="70"/>
  <c r="D41" i="97"/>
  <c r="D42" i="70"/>
  <c r="D121" i="76"/>
  <c r="N71" i="97"/>
  <c r="N86" i="97"/>
  <c r="D66" i="70"/>
  <c r="D155" i="76"/>
  <c r="E155" i="76" s="1" a="1"/>
  <c r="E155" i="76" s="1"/>
  <c r="D61" i="97"/>
  <c r="E61" i="97" s="1" a="1"/>
  <c r="E61" i="97" s="1"/>
  <c r="D102" i="69"/>
  <c r="E102" i="69" s="1" a="1"/>
  <c r="E102" i="69" s="1"/>
  <c r="D226" i="76"/>
  <c r="D71" i="97"/>
  <c r="D86" i="97"/>
  <c r="D113" i="69"/>
  <c r="D194" i="69"/>
  <c r="D71" i="70"/>
  <c r="D33" i="69"/>
  <c r="D145" i="76"/>
  <c r="E145" i="76" s="1" a="1"/>
  <c r="E145" i="76" s="1"/>
  <c r="N275" i="76"/>
  <c r="N226" i="76"/>
  <c r="D275" i="76"/>
  <c r="D74" i="76"/>
  <c r="N260" i="76"/>
  <c r="N65" i="76"/>
  <c r="D56" i="76"/>
  <c r="D83" i="70"/>
  <c r="N43" i="69"/>
  <c r="D153" i="69"/>
  <c r="D233" i="69"/>
  <c r="N41" i="97"/>
  <c r="D197" i="76"/>
  <c r="D91" i="70"/>
  <c r="N113" i="69"/>
  <c r="D23" i="69"/>
  <c r="D174" i="69"/>
  <c r="E174" i="69" s="1" a="1"/>
  <c r="E174" i="69" s="1"/>
  <c r="N74" i="76"/>
  <c r="D65" i="76"/>
  <c r="N165" i="76"/>
  <c r="N72" i="97"/>
  <c r="N23" i="97"/>
  <c r="D157" i="69"/>
  <c r="D34" i="69"/>
  <c r="D234" i="69"/>
  <c r="D67" i="70"/>
  <c r="D166" i="76"/>
  <c r="D90" i="97"/>
  <c r="D51" i="70"/>
  <c r="D198" i="69"/>
  <c r="D72" i="97"/>
  <c r="D23" i="97"/>
  <c r="N114" i="69"/>
  <c r="D24" i="69"/>
  <c r="D59" i="70"/>
  <c r="D44" i="69"/>
  <c r="N66" i="76"/>
  <c r="N45" i="97"/>
  <c r="D92" i="70"/>
  <c r="N34" i="69"/>
  <c r="D114" i="69"/>
  <c r="D79" i="70"/>
  <c r="D45" i="97"/>
  <c r="N261" i="76"/>
  <c r="N234" i="69"/>
  <c r="N44" i="69"/>
  <c r="D103" i="69"/>
  <c r="E103" i="69" s="1" a="1"/>
  <c r="E103" i="69" s="1"/>
  <c r="D75" i="70"/>
  <c r="D175" i="69"/>
  <c r="E175" i="69" s="1" a="1"/>
  <c r="E175" i="69" s="1"/>
  <c r="D201" i="76"/>
  <c r="N122" i="76"/>
  <c r="D66" i="76"/>
  <c r="N279" i="76"/>
  <c r="D230" i="76"/>
  <c r="N198" i="69"/>
  <c r="D146" i="76"/>
  <c r="E146" i="76" s="1" a="1"/>
  <c r="E146" i="76" s="1"/>
  <c r="D279" i="76"/>
  <c r="D57" i="76"/>
  <c r="D43" i="70"/>
  <c r="N75" i="76"/>
  <c r="D156" i="76"/>
  <c r="E156" i="76" s="1" a="1"/>
  <c r="E156" i="76" s="1"/>
  <c r="D261" i="76"/>
  <c r="N230" i="76"/>
  <c r="N166" i="76"/>
  <c r="D75" i="76"/>
  <c r="N90" i="97"/>
  <c r="D62" i="97"/>
  <c r="E62" i="97" s="1" a="1"/>
  <c r="E62" i="97" s="1"/>
  <c r="D122" i="76"/>
  <c r="E7" i="13"/>
  <c r="F7" i="13"/>
  <c r="E10" i="13"/>
  <c r="H10" i="13"/>
  <c r="F8" i="13"/>
  <c r="F10" i="13"/>
  <c r="I10" i="13"/>
  <c r="E13" i="15"/>
  <c r="O194" i="69" l="1"/>
  <c r="O226" i="76"/>
  <c r="O41" i="97"/>
  <c r="E41" i="97"/>
  <c r="E86" i="97"/>
  <c r="O275" i="76"/>
  <c r="O86" i="97"/>
  <c r="E226" i="76"/>
  <c r="E194" i="69"/>
  <c r="E275" i="76"/>
  <c r="E197" i="76"/>
  <c r="E153" i="69"/>
  <c r="O234" i="76"/>
  <c r="O94" i="97"/>
  <c r="E283" i="76"/>
  <c r="E49" i="97"/>
  <c r="O283" i="76"/>
  <c r="E234" i="76"/>
  <c r="E205" i="76"/>
  <c r="E202" i="69"/>
  <c r="E161" i="69"/>
  <c r="O202" i="69"/>
  <c r="E94" i="97"/>
  <c r="O49" i="97"/>
  <c r="O264" i="76"/>
  <c r="I8" i="13" s="1"/>
  <c r="O75" i="97"/>
  <c r="E75" i="97"/>
  <c r="E183" i="69"/>
  <c r="E264" i="76"/>
  <c r="E186" i="76"/>
  <c r="E215" i="76"/>
  <c r="O30" i="97"/>
  <c r="E142" i="69"/>
  <c r="O183" i="69"/>
  <c r="O215" i="76"/>
  <c r="E30" i="97"/>
  <c r="O205" i="69"/>
  <c r="E237" i="76"/>
  <c r="O237" i="76"/>
  <c r="E164" i="69"/>
  <c r="E52" i="97"/>
  <c r="E286" i="76"/>
  <c r="O286" i="76"/>
  <c r="O52" i="97"/>
  <c r="O97" i="97"/>
  <c r="E97" i="97"/>
  <c r="E208" i="76"/>
  <c r="E205" i="69"/>
  <c r="O193" i="69"/>
  <c r="O85" i="97"/>
  <c r="E85" i="97"/>
  <c r="O225" i="76"/>
  <c r="E274" i="76"/>
  <c r="O40" i="97"/>
  <c r="I9" i="13" s="1"/>
  <c r="E152" i="69"/>
  <c r="E40" i="97"/>
  <c r="H9" i="13" s="1"/>
  <c r="O274" i="76"/>
  <c r="E193" i="69"/>
  <c r="E196" i="76"/>
  <c r="E225" i="76"/>
  <c r="H231" i="69" a="1"/>
  <c r="H231" i="69" s="1"/>
  <c r="O231" i="69" a="1"/>
  <c r="O231" i="69" s="1"/>
  <c r="P231" i="69" a="1"/>
  <c r="P231" i="69" s="1"/>
  <c r="F231" i="69" a="1"/>
  <c r="F231" i="69" s="1"/>
  <c r="R231" i="69" a="1"/>
  <c r="R231" i="69" s="1"/>
  <c r="Q231" i="69" a="1"/>
  <c r="Q231" i="69" s="1"/>
  <c r="G231" i="69" a="1"/>
  <c r="G231" i="69" s="1"/>
  <c r="E231" i="69" a="1"/>
  <c r="E231" i="69" s="1"/>
  <c r="F73" i="97" a="1"/>
  <c r="F73" i="97" s="1"/>
  <c r="I73" i="97" a="1"/>
  <c r="I73" i="97" s="1"/>
  <c r="E58" i="97" a="1"/>
  <c r="E58" i="97" s="1"/>
  <c r="P68" i="97" s="1" a="1"/>
  <c r="P68" i="97" s="1"/>
  <c r="P73" i="97" a="1"/>
  <c r="P73" i="97" s="1"/>
  <c r="G73" i="97" a="1"/>
  <c r="G73" i="97" s="1"/>
  <c r="R73" i="97" a="1"/>
  <c r="R73" i="97" s="1"/>
  <c r="S73" i="97" a="1"/>
  <c r="S73" i="97" s="1"/>
  <c r="Q73" i="97" a="1"/>
  <c r="Q73" i="97" s="1"/>
  <c r="H73" i="97" a="1"/>
  <c r="H73" i="97" s="1"/>
  <c r="E163" i="69"/>
  <c r="E204" i="69"/>
  <c r="E96" i="97"/>
  <c r="O236" i="76"/>
  <c r="E285" i="76"/>
  <c r="E51" i="97"/>
  <c r="O285" i="76"/>
  <c r="O51" i="97"/>
  <c r="O204" i="69"/>
  <c r="E207" i="76"/>
  <c r="E236" i="76"/>
  <c r="O96" i="97"/>
  <c r="H72" i="97" a="1"/>
  <c r="H72" i="97" s="1"/>
  <c r="G72" i="97" a="1"/>
  <c r="G72" i="97" s="1"/>
  <c r="Q72" i="97" a="1"/>
  <c r="Q72" i="97" s="1"/>
  <c r="P72" i="97" a="1"/>
  <c r="P72" i="97" s="1"/>
  <c r="I72" i="97" a="1"/>
  <c r="I72" i="97" s="1"/>
  <c r="S72" i="97" a="1"/>
  <c r="S72" i="97" s="1"/>
  <c r="R72" i="97" a="1"/>
  <c r="R72" i="97" s="1"/>
  <c r="F72" i="97" a="1"/>
  <c r="F72" i="97" s="1"/>
  <c r="O195" i="69"/>
  <c r="E154" i="69"/>
  <c r="O227" i="76"/>
  <c r="E195" i="69"/>
  <c r="O42" i="97"/>
  <c r="E42" i="97"/>
  <c r="O276" i="76"/>
  <c r="E227" i="76"/>
  <c r="E8" i="13" s="1"/>
  <c r="O87" i="97"/>
  <c r="E87" i="97"/>
  <c r="E276" i="76"/>
  <c r="E198" i="76"/>
  <c r="E165" i="69"/>
  <c r="E206" i="69"/>
  <c r="O238" i="76"/>
  <c r="E53" i="97"/>
  <c r="O53" i="97"/>
  <c r="O287" i="76"/>
  <c r="O98" i="97"/>
  <c r="E98" i="97"/>
  <c r="E287" i="76"/>
  <c r="E209" i="76"/>
  <c r="E238" i="76"/>
  <c r="O206" i="69"/>
  <c r="R234" i="69" a="1"/>
  <c r="R234" i="69" s="1"/>
  <c r="Q234" i="69" a="1"/>
  <c r="Q234" i="69" s="1"/>
  <c r="P234" i="69" a="1"/>
  <c r="P234" i="69" s="1"/>
  <c r="O234" i="69" a="1"/>
  <c r="O234" i="69" s="1"/>
  <c r="H234" i="69" a="1"/>
  <c r="H234" i="69" s="1"/>
  <c r="F234" i="69" a="1"/>
  <c r="F234" i="69" s="1"/>
  <c r="E234" i="69" a="1"/>
  <c r="E234" i="69" s="1"/>
  <c r="P233" i="69" a="1"/>
  <c r="P233" i="69" s="1"/>
  <c r="R233" i="69" a="1"/>
  <c r="R233" i="69" s="1"/>
  <c r="G233" i="69" a="1"/>
  <c r="G233" i="69" s="1"/>
  <c r="Q233" i="69" a="1"/>
  <c r="Q233" i="69" s="1"/>
  <c r="H233" i="69" a="1"/>
  <c r="H233" i="69" s="1"/>
  <c r="E233" i="69" a="1"/>
  <c r="E233" i="69" s="1"/>
  <c r="F233" i="69" a="1"/>
  <c r="F233" i="69" s="1"/>
  <c r="O233" i="69" a="1"/>
  <c r="O233" i="69" s="1"/>
  <c r="E188" i="69"/>
  <c r="E269" i="76"/>
  <c r="E35" i="97"/>
  <c r="E9" i="13" s="1"/>
  <c r="E147" i="69"/>
  <c r="O220" i="76"/>
  <c r="O188" i="69"/>
  <c r="E220" i="76"/>
  <c r="E191" i="76"/>
  <c r="E80" i="97"/>
  <c r="O35" i="97"/>
  <c r="F9" i="13" s="1"/>
  <c r="O269" i="76"/>
  <c r="O80" i="97"/>
  <c r="E203" i="69"/>
  <c r="E162" i="69"/>
  <c r="E235" i="76"/>
  <c r="O203" i="69"/>
  <c r="O50" i="97"/>
  <c r="O95" i="97"/>
  <c r="E95" i="97"/>
  <c r="O235" i="76"/>
  <c r="E284" i="76"/>
  <c r="E50" i="97"/>
  <c r="O284" i="76"/>
  <c r="E206" i="76"/>
  <c r="F258" i="76" a="1"/>
  <c r="F258" i="76" s="1"/>
  <c r="S258" i="76" a="1"/>
  <c r="S258" i="76" s="1"/>
  <c r="Q258" i="76" a="1"/>
  <c r="Q258" i="76" s="1"/>
  <c r="P258" i="76" a="1"/>
  <c r="P258" i="76" s="1"/>
  <c r="H258" i="76" a="1"/>
  <c r="H258" i="76" s="1"/>
  <c r="R258" i="76" a="1"/>
  <c r="R258" i="76" s="1"/>
  <c r="I258" i="76" a="1"/>
  <c r="I258" i="76" s="1"/>
  <c r="G258" i="76" a="1"/>
  <c r="G258" i="76" s="1"/>
  <c r="E112" i="69" a="1"/>
  <c r="E112" i="69" s="1"/>
  <c r="F193" i="69" s="1" a="1"/>
  <c r="F193" i="69" s="1"/>
  <c r="Q112" i="69" a="1"/>
  <c r="Q112" i="69" s="1"/>
  <c r="G112" i="69" a="1"/>
  <c r="G112" i="69" s="1"/>
  <c r="F112" i="69" a="1"/>
  <c r="F112" i="69" s="1"/>
  <c r="P112" i="69" a="1"/>
  <c r="P112" i="69" s="1"/>
  <c r="R112" i="69" a="1"/>
  <c r="R112" i="69" s="1"/>
  <c r="H112" i="69" a="1"/>
  <c r="H112" i="69" s="1"/>
  <c r="I193" i="69" s="1" a="1"/>
  <c r="I193" i="69" s="1"/>
  <c r="O112" i="69" a="1"/>
  <c r="O112" i="69" s="1"/>
  <c r="E194" i="76"/>
  <c r="O272" i="76"/>
  <c r="E223" i="76"/>
  <c r="E38" i="97"/>
  <c r="O191" i="69"/>
  <c r="O83" i="97"/>
  <c r="O38" i="97"/>
  <c r="E83" i="97"/>
  <c r="E150" i="69"/>
  <c r="O223" i="76"/>
  <c r="E191" i="69"/>
  <c r="E272" i="76"/>
  <c r="H110" i="69" a="1"/>
  <c r="H110" i="69" s="1"/>
  <c r="E110" i="69" a="1"/>
  <c r="E110" i="69" s="1"/>
  <c r="F183" i="69" s="1" a="1"/>
  <c r="F183" i="69" s="1"/>
  <c r="R110" i="69" a="1"/>
  <c r="R110" i="69" s="1"/>
  <c r="G110" i="69" a="1"/>
  <c r="G110" i="69" s="1"/>
  <c r="H183" i="69" s="1" a="1"/>
  <c r="H183" i="69" s="1"/>
  <c r="F110" i="69" a="1"/>
  <c r="F110" i="69" s="1"/>
  <c r="G183" i="69" s="1" a="1"/>
  <c r="G183" i="69" s="1"/>
  <c r="Q110" i="69" a="1"/>
  <c r="Q110" i="69" s="1"/>
  <c r="P110" i="69" a="1"/>
  <c r="P110" i="69" s="1"/>
  <c r="O110" i="69" a="1"/>
  <c r="O110" i="69" s="1"/>
  <c r="E232" i="76"/>
  <c r="H8" i="13" s="1"/>
  <c r="E203" i="76"/>
  <c r="E281" i="76"/>
  <c r="O47" i="97"/>
  <c r="O200" i="69"/>
  <c r="E47" i="97"/>
  <c r="E200" i="69"/>
  <c r="E159" i="69"/>
  <c r="O281" i="76"/>
  <c r="O92" i="97"/>
  <c r="E92" i="97"/>
  <c r="O232" i="76"/>
  <c r="G165" i="76" a="1"/>
  <c r="G165" i="76" s="1"/>
  <c r="O165" i="76" a="1"/>
  <c r="O165" i="76" s="1"/>
  <c r="R165" i="76" a="1"/>
  <c r="R165" i="76" s="1"/>
  <c r="P165" i="76" a="1"/>
  <c r="P165" i="76" s="1"/>
  <c r="E165" i="76" a="1"/>
  <c r="E165" i="76" s="1"/>
  <c r="H165" i="76" a="1"/>
  <c r="H165" i="76" s="1"/>
  <c r="Q165" i="76" a="1"/>
  <c r="Q165" i="76" s="1"/>
  <c r="F165" i="76" a="1"/>
  <c r="F165" i="76" s="1"/>
  <c r="F111" i="69" a="1"/>
  <c r="F111" i="69" s="1"/>
  <c r="E111" i="69" a="1"/>
  <c r="E111" i="69" s="1"/>
  <c r="H111" i="69" a="1"/>
  <c r="H111" i="69" s="1"/>
  <c r="G111" i="69" a="1"/>
  <c r="G111" i="69" s="1"/>
  <c r="H189" i="69" s="1" a="1"/>
  <c r="H189" i="69" s="1"/>
  <c r="P111" i="69" a="1"/>
  <c r="P111" i="69" s="1"/>
  <c r="R111" i="69" a="1"/>
  <c r="R111" i="69" s="1"/>
  <c r="O111" i="69" a="1"/>
  <c r="O111" i="69" s="1"/>
  <c r="Q111" i="69" a="1"/>
  <c r="Q111" i="69" s="1"/>
  <c r="E198" i="69"/>
  <c r="E157" i="69"/>
  <c r="E279" i="76"/>
  <c r="O279" i="76"/>
  <c r="O45" i="97"/>
  <c r="E90" i="97"/>
  <c r="O230" i="76"/>
  <c r="E230" i="76"/>
  <c r="E201" i="76"/>
  <c r="O90" i="97"/>
  <c r="O198" i="69"/>
  <c r="E45" i="97"/>
  <c r="E187" i="69"/>
  <c r="O79" i="97"/>
  <c r="O187" i="69"/>
  <c r="E79" i="97"/>
  <c r="E268" i="76"/>
  <c r="E34" i="97"/>
  <c r="O34" i="97"/>
  <c r="O268" i="76"/>
  <c r="O219" i="76"/>
  <c r="E219" i="76"/>
  <c r="E190" i="76"/>
  <c r="E146" i="69"/>
  <c r="F259" i="76" a="1"/>
  <c r="F259" i="76" s="1"/>
  <c r="Q259" i="76" a="1"/>
  <c r="Q259" i="76" s="1"/>
  <c r="R259" i="76" a="1"/>
  <c r="R259" i="76" s="1"/>
  <c r="S259" i="76" a="1"/>
  <c r="S259" i="76" s="1"/>
  <c r="P259" i="76" a="1"/>
  <c r="P259" i="76" s="1"/>
  <c r="H259" i="76" a="1"/>
  <c r="H259" i="76" s="1"/>
  <c r="G259" i="76" a="1"/>
  <c r="G259" i="76" s="1"/>
  <c r="I259" i="76" a="1"/>
  <c r="I259" i="76" s="1"/>
  <c r="E196" i="69"/>
  <c r="E155" i="69"/>
  <c r="O196" i="69"/>
  <c r="O228" i="76"/>
  <c r="O43" i="97"/>
  <c r="E43" i="97"/>
  <c r="O277" i="76"/>
  <c r="E199" i="76"/>
  <c r="O88" i="97"/>
  <c r="E88" i="97"/>
  <c r="E277" i="76"/>
  <c r="E228" i="76"/>
  <c r="E160" i="69"/>
  <c r="E48" i="97"/>
  <c r="E282" i="76"/>
  <c r="E233" i="76"/>
  <c r="E204" i="76"/>
  <c r="E93" i="97"/>
  <c r="O48" i="97"/>
  <c r="O233" i="76"/>
  <c r="E201" i="69"/>
  <c r="O201" i="69"/>
  <c r="O282" i="76"/>
  <c r="O93" i="97"/>
  <c r="Q71" i="97" a="1"/>
  <c r="Q71" i="97" s="1"/>
  <c r="F71" i="97" a="1"/>
  <c r="F71" i="97" s="1"/>
  <c r="H71" i="97" a="1"/>
  <c r="H71" i="97" s="1"/>
  <c r="S71" i="97" a="1"/>
  <c r="S71" i="97" s="1"/>
  <c r="P71" i="97" a="1"/>
  <c r="P71" i="97" s="1"/>
  <c r="I71" i="97" a="1"/>
  <c r="I71" i="97" s="1"/>
  <c r="G71" i="97" a="1"/>
  <c r="G71" i="97" s="1"/>
  <c r="R71" i="97" a="1"/>
  <c r="R71" i="97" s="1"/>
  <c r="E163" i="76" a="1"/>
  <c r="E163" i="76" s="1"/>
  <c r="P163" i="76" a="1"/>
  <c r="P163" i="76" s="1"/>
  <c r="H163" i="76" a="1"/>
  <c r="H163" i="76" s="1"/>
  <c r="G163" i="76" a="1"/>
  <c r="G163" i="76" s="1"/>
  <c r="Q163" i="76" a="1"/>
  <c r="Q163" i="76" s="1"/>
  <c r="F163" i="76" a="1"/>
  <c r="F163" i="76" s="1"/>
  <c r="O163" i="76" a="1"/>
  <c r="O163" i="76" s="1"/>
  <c r="R163" i="76" a="1"/>
  <c r="R163" i="76" s="1"/>
  <c r="I262" i="76" a="1"/>
  <c r="I262" i="76" s="1"/>
  <c r="E152" i="76" a="1"/>
  <c r="E152" i="76" s="1"/>
  <c r="P162" i="76" s="1" a="1"/>
  <c r="P162" i="76" s="1"/>
  <c r="F262" i="76" a="1"/>
  <c r="F262" i="76" s="1"/>
  <c r="S262" i="76" a="1"/>
  <c r="S262" i="76" s="1"/>
  <c r="G262" i="76" a="1"/>
  <c r="G262" i="76" s="1"/>
  <c r="R262" i="76" a="1"/>
  <c r="R262" i="76" s="1"/>
  <c r="P262" i="76" a="1"/>
  <c r="P262" i="76" s="1"/>
  <c r="H262" i="76" a="1"/>
  <c r="H262" i="76" s="1"/>
  <c r="Q262" i="76" a="1"/>
  <c r="Q262" i="76" s="1"/>
  <c r="Q257" i="76" a="1"/>
  <c r="Q257" i="76" s="1"/>
  <c r="G257" i="76" a="1"/>
  <c r="G257" i="76" s="1"/>
  <c r="R257" i="76" a="1"/>
  <c r="R257" i="76" s="1"/>
  <c r="G234" i="69" a="1"/>
  <c r="G234" i="69" s="1"/>
  <c r="O189" i="69"/>
  <c r="O270" i="76"/>
  <c r="O36" i="97"/>
  <c r="O81" i="97"/>
  <c r="E81" i="97"/>
  <c r="E270" i="76"/>
  <c r="E36" i="97"/>
  <c r="E148" i="69"/>
  <c r="O221" i="76"/>
  <c r="E221" i="76"/>
  <c r="E192" i="76"/>
  <c r="E189" i="69"/>
  <c r="S69" i="97" a="1"/>
  <c r="S69" i="97" s="1"/>
  <c r="I69" i="97" a="1"/>
  <c r="I69" i="97" s="1"/>
  <c r="H69" i="97" a="1"/>
  <c r="H69" i="97" s="1"/>
  <c r="R69" i="97" a="1"/>
  <c r="R69" i="97" s="1"/>
  <c r="F69" i="97" a="1"/>
  <c r="F69" i="97" s="1"/>
  <c r="Q69" i="97" a="1"/>
  <c r="Q69" i="97" s="1"/>
  <c r="P69" i="97" a="1"/>
  <c r="P69" i="97" s="1"/>
  <c r="G69" i="97" a="1"/>
  <c r="G69" i="97" s="1"/>
  <c r="E235" i="69" a="1"/>
  <c r="E235" i="69" s="1"/>
  <c r="P235" i="69" a="1"/>
  <c r="P235" i="69" s="1"/>
  <c r="O235" i="69" a="1"/>
  <c r="O235" i="69" s="1"/>
  <c r="Q235" i="69" a="1"/>
  <c r="Q235" i="69" s="1"/>
  <c r="R235" i="69" a="1"/>
  <c r="R235" i="69" s="1"/>
  <c r="F235" i="69" a="1"/>
  <c r="F235" i="69" s="1"/>
  <c r="H235" i="69" a="1"/>
  <c r="H235" i="69" s="1"/>
  <c r="G235" i="69" a="1"/>
  <c r="G235" i="69" s="1"/>
  <c r="E171" i="69" a="1"/>
  <c r="E171" i="69" s="1"/>
  <c r="H230" i="69" s="1" a="1"/>
  <c r="H230" i="69" s="1"/>
  <c r="E232" i="69" a="1"/>
  <c r="E232" i="69" s="1"/>
  <c r="O232" i="69" a="1"/>
  <c r="O232" i="69" s="1"/>
  <c r="G232" i="69" a="1"/>
  <c r="G232" i="69" s="1"/>
  <c r="R232" i="69" a="1"/>
  <c r="R232" i="69" s="1"/>
  <c r="F232" i="69" a="1"/>
  <c r="F232" i="69" s="1"/>
  <c r="Q232" i="69" a="1"/>
  <c r="Q232" i="69" s="1"/>
  <c r="H232" i="69" a="1"/>
  <c r="H232" i="69" s="1"/>
  <c r="P232" i="69" a="1"/>
  <c r="P232" i="69" s="1"/>
  <c r="F166" i="76" a="1"/>
  <c r="F166" i="76" s="1"/>
  <c r="R166" i="76" a="1"/>
  <c r="R166" i="76" s="1"/>
  <c r="O166" i="76" a="1"/>
  <c r="O166" i="76" s="1"/>
  <c r="Q166" i="76" a="1"/>
  <c r="Q166" i="76" s="1"/>
  <c r="P166" i="76" a="1"/>
  <c r="P166" i="76" s="1"/>
  <c r="H166" i="76" a="1"/>
  <c r="H166" i="76" s="1"/>
  <c r="G166" i="76" a="1"/>
  <c r="G166" i="76" s="1"/>
  <c r="E166" i="76" a="1"/>
  <c r="E166" i="76" s="1"/>
  <c r="S261" i="76" a="1"/>
  <c r="S261" i="76" s="1"/>
  <c r="Q261" i="76" a="1"/>
  <c r="Q261" i="76" s="1"/>
  <c r="G261" i="76" a="1"/>
  <c r="G261" i="76" s="1"/>
  <c r="I261" i="76" a="1"/>
  <c r="I261" i="76" s="1"/>
  <c r="F261" i="76" a="1"/>
  <c r="F261" i="76" s="1"/>
  <c r="H261" i="76" a="1"/>
  <c r="H261" i="76" s="1"/>
  <c r="P261" i="76" a="1"/>
  <c r="P261" i="76" s="1"/>
  <c r="R261" i="76" a="1"/>
  <c r="R261" i="76" s="1"/>
  <c r="E278" i="76"/>
  <c r="E229" i="76"/>
  <c r="E156" i="69"/>
  <c r="E200" i="76"/>
  <c r="E44" i="97"/>
  <c r="O278" i="76"/>
  <c r="E197" i="69"/>
  <c r="O89" i="97"/>
  <c r="O197" i="69"/>
  <c r="E89" i="97"/>
  <c r="O44" i="97"/>
  <c r="O229" i="76"/>
  <c r="R113" i="69" a="1"/>
  <c r="R113" i="69" s="1"/>
  <c r="G113" i="69" a="1"/>
  <c r="G113" i="69" s="1"/>
  <c r="P113" i="69" a="1"/>
  <c r="P113" i="69" s="1"/>
  <c r="F113" i="69" a="1"/>
  <c r="F113" i="69" s="1"/>
  <c r="H113" i="69" a="1"/>
  <c r="H113" i="69" s="1"/>
  <c r="I195" i="69" s="1" a="1"/>
  <c r="I195" i="69" s="1"/>
  <c r="Q113" i="69" a="1"/>
  <c r="Q113" i="69" s="1"/>
  <c r="R196" i="69" s="1" a="1"/>
  <c r="R196" i="69" s="1"/>
  <c r="E113" i="69" a="1"/>
  <c r="E113" i="69" s="1"/>
  <c r="O113" i="69" a="1"/>
  <c r="O113" i="69" s="1"/>
  <c r="P196" i="69" s="1" a="1"/>
  <c r="P196" i="69" s="1"/>
  <c r="Q260" i="76" a="1"/>
  <c r="Q260" i="76" s="1"/>
  <c r="F260" i="76" a="1"/>
  <c r="F260" i="76" s="1"/>
  <c r="I260" i="76" a="1"/>
  <c r="I260" i="76" s="1"/>
  <c r="S260" i="76" a="1"/>
  <c r="S260" i="76" s="1"/>
  <c r="R260" i="76" a="1"/>
  <c r="R260" i="76" s="1"/>
  <c r="H260" i="76" a="1"/>
  <c r="H260" i="76" s="1"/>
  <c r="G260" i="76" a="1"/>
  <c r="G260" i="76" s="1"/>
  <c r="P260" i="76" a="1"/>
  <c r="P260" i="76" s="1"/>
  <c r="O164" i="76" a="1"/>
  <c r="O164" i="76" s="1"/>
  <c r="H164" i="76" a="1"/>
  <c r="H164" i="76" s="1"/>
  <c r="F164" i="76" a="1"/>
  <c r="F164" i="76" s="1"/>
  <c r="Q164" i="76" a="1"/>
  <c r="Q164" i="76" s="1"/>
  <c r="E164" i="76" a="1"/>
  <c r="E164" i="76" s="1"/>
  <c r="P164" i="76" a="1"/>
  <c r="P164" i="76" s="1"/>
  <c r="G164" i="76" a="1"/>
  <c r="G164" i="76" s="1"/>
  <c r="R164" i="76" a="1"/>
  <c r="R164" i="76" s="1"/>
  <c r="O273" i="76"/>
  <c r="E273" i="76"/>
  <c r="E195" i="76"/>
  <c r="E192" i="69"/>
  <c r="E224" i="76"/>
  <c r="E151" i="69"/>
  <c r="O192" i="69"/>
  <c r="E39" i="97"/>
  <c r="O39" i="97"/>
  <c r="O84" i="97"/>
  <c r="O224" i="76"/>
  <c r="E84" i="97"/>
  <c r="O185" i="69"/>
  <c r="O217" i="76"/>
  <c r="E32" i="97"/>
  <c r="O266" i="76"/>
  <c r="O77" i="97"/>
  <c r="E77" i="97"/>
  <c r="E266" i="76"/>
  <c r="E144" i="69"/>
  <c r="O32" i="97"/>
  <c r="E217" i="76"/>
  <c r="E188" i="76"/>
  <c r="E185" i="69"/>
  <c r="E271" i="76"/>
  <c r="O190" i="69"/>
  <c r="E149" i="69"/>
  <c r="E190" i="69"/>
  <c r="O82" i="97"/>
  <c r="O37" i="97"/>
  <c r="E222" i="76"/>
  <c r="E82" i="97"/>
  <c r="O222" i="76"/>
  <c r="E193" i="76"/>
  <c r="O271" i="76"/>
  <c r="E37" i="97"/>
  <c r="F114" i="69" a="1"/>
  <c r="F114" i="69" s="1"/>
  <c r="G114" i="69" a="1"/>
  <c r="G114" i="69" s="1"/>
  <c r="P114" i="69" a="1"/>
  <c r="P114" i="69" s="1"/>
  <c r="Q199" i="69" s="1" a="1"/>
  <c r="Q199" i="69" s="1"/>
  <c r="E114" i="69" a="1"/>
  <c r="E114" i="69" s="1"/>
  <c r="R114" i="69" a="1"/>
  <c r="R114" i="69" s="1"/>
  <c r="H114" i="69" a="1"/>
  <c r="H114" i="69" s="1"/>
  <c r="O114" i="69" a="1"/>
  <c r="O114" i="69" s="1"/>
  <c r="Q114" i="69" a="1"/>
  <c r="Q114" i="69" s="1"/>
  <c r="R199" i="69" s="1" a="1"/>
  <c r="R199" i="69" s="1"/>
  <c r="O78" i="97"/>
  <c r="O218" i="76"/>
  <c r="E78" i="97"/>
  <c r="E186" i="69"/>
  <c r="E267" i="76"/>
  <c r="E33" i="97"/>
  <c r="O33" i="97"/>
  <c r="E218" i="76"/>
  <c r="E189" i="76"/>
  <c r="O267" i="76"/>
  <c r="E145" i="69"/>
  <c r="O186" i="69"/>
  <c r="R70" i="97" a="1"/>
  <c r="R70" i="97" s="1"/>
  <c r="P70" i="97" a="1"/>
  <c r="P70" i="97" s="1"/>
  <c r="F70" i="97" a="1"/>
  <c r="F70" i="97" s="1"/>
  <c r="I70" i="97" a="1"/>
  <c r="I70" i="97" s="1"/>
  <c r="G70" i="97" a="1"/>
  <c r="G70" i="97" s="1"/>
  <c r="H70" i="97" a="1"/>
  <c r="H70" i="97" s="1"/>
  <c r="Q70" i="97" a="1"/>
  <c r="Q70" i="97" s="1"/>
  <c r="S70" i="97" a="1"/>
  <c r="S70" i="97" s="1"/>
  <c r="E187" i="76"/>
  <c r="E143" i="69"/>
  <c r="O76" i="97"/>
  <c r="E184" i="69"/>
  <c r="O31" i="97"/>
  <c r="O216" i="76"/>
  <c r="O184" i="69"/>
  <c r="E265" i="76"/>
  <c r="E31" i="97"/>
  <c r="O265" i="76"/>
  <c r="E76" i="97"/>
  <c r="E216" i="76"/>
  <c r="R68" i="97" a="1"/>
  <c r="R68" i="97" s="1"/>
  <c r="F68" i="97" a="1"/>
  <c r="F68" i="97" s="1"/>
  <c r="Q68" i="97" a="1"/>
  <c r="Q68" i="97" s="1"/>
  <c r="G68" i="97" a="1"/>
  <c r="G68" i="97" s="1"/>
  <c r="H68" i="97" a="1"/>
  <c r="H68" i="97" s="1"/>
  <c r="S68" i="97" a="1"/>
  <c r="S68" i="97" s="1"/>
  <c r="I68" i="97" a="1"/>
  <c r="I68" i="97" s="1"/>
  <c r="E141" i="69"/>
  <c r="O182" i="69"/>
  <c r="E182" i="69"/>
  <c r="O214" i="76"/>
  <c r="O29" i="97"/>
  <c r="E214" i="76"/>
  <c r="E263" i="76"/>
  <c r="E29" i="97"/>
  <c r="E185" i="76"/>
  <c r="O263" i="76"/>
  <c r="O74" i="97"/>
  <c r="E74" i="97"/>
  <c r="E199" i="69"/>
  <c r="O199" i="69"/>
  <c r="E46" i="97"/>
  <c r="O280" i="76"/>
  <c r="E158" i="69"/>
  <c r="O91" i="97"/>
  <c r="E91" i="97"/>
  <c r="E280" i="76"/>
  <c r="O46" i="97"/>
  <c r="O231" i="76"/>
  <c r="E202" i="76"/>
  <c r="E231" i="76"/>
  <c r="P115" i="69" a="1"/>
  <c r="P115" i="69" s="1"/>
  <c r="Q206" i="69" s="1" a="1"/>
  <c r="Q206" i="69" s="1"/>
  <c r="F115" i="69" a="1"/>
  <c r="F115" i="69" s="1"/>
  <c r="G206" i="69" s="1" a="1"/>
  <c r="G206" i="69" s="1"/>
  <c r="H115" i="69" a="1"/>
  <c r="H115" i="69" s="1"/>
  <c r="G115" i="69" a="1"/>
  <c r="G115" i="69" s="1"/>
  <c r="H204" i="69" s="1" a="1"/>
  <c r="H204" i="69" s="1"/>
  <c r="Q115" i="69" a="1"/>
  <c r="Q115" i="69" s="1"/>
  <c r="R204" i="69" s="1" a="1"/>
  <c r="R204" i="69" s="1"/>
  <c r="R115" i="69" a="1"/>
  <c r="R115" i="69" s="1"/>
  <c r="S204" i="69" s="1" a="1"/>
  <c r="S204" i="69" s="1"/>
  <c r="O115" i="69" a="1"/>
  <c r="O115" i="69" s="1"/>
  <c r="P206" i="69" s="1" a="1"/>
  <c r="P206" i="69" s="1"/>
  <c r="E115" i="69" a="1"/>
  <c r="E115" i="69" s="1"/>
  <c r="F203" i="69" s="1" a="1"/>
  <c r="F203" i="69" s="1"/>
  <c r="I11" i="13"/>
  <c r="H11" i="13"/>
  <c r="G162" i="76" l="1" a="1"/>
  <c r="G162" i="76" s="1"/>
  <c r="I183" i="69" a="1"/>
  <c r="I183" i="69" s="1"/>
  <c r="S183" i="69" a="1"/>
  <c r="S183" i="69" s="1"/>
  <c r="P183" i="69" a="1"/>
  <c r="P183" i="69" s="1"/>
  <c r="R183" i="69" a="1"/>
  <c r="R183" i="69" s="1"/>
  <c r="Q183" i="69" a="1"/>
  <c r="Q183" i="69" s="1"/>
  <c r="F182" i="69" a="1"/>
  <c r="F182" i="69" s="1"/>
  <c r="I182" i="69" a="1"/>
  <c r="I182" i="69" s="1"/>
  <c r="G255" i="69" s="1" a="1"/>
  <c r="G255" i="69" s="1"/>
  <c r="G288" i="69" s="1" a="1"/>
  <c r="G288" i="69" s="1"/>
  <c r="P182" i="69" a="1"/>
  <c r="P182" i="69" s="1"/>
  <c r="G182" i="69" a="1"/>
  <c r="G182" i="69" s="1"/>
  <c r="Q182" i="69" a="1"/>
  <c r="Q182" i="69" s="1"/>
  <c r="H182" i="69" a="1"/>
  <c r="H182" i="69" s="1"/>
  <c r="G228" i="76" a="1"/>
  <c r="G228" i="76" s="1"/>
  <c r="G43" i="97" s="1"/>
  <c r="G88" i="97" s="1" a="1"/>
  <c r="G88" i="97" s="1"/>
  <c r="G229" i="76" a="1"/>
  <c r="G229" i="76" s="1"/>
  <c r="G44" i="97" s="1"/>
  <c r="G89" i="97" s="1" a="1"/>
  <c r="G89" i="97" s="1"/>
  <c r="G227" i="76" a="1"/>
  <c r="G227" i="76" s="1"/>
  <c r="G42" i="97" s="1"/>
  <c r="G87" i="97" s="1" a="1"/>
  <c r="G87" i="97" s="1"/>
  <c r="G226" i="76" a="1"/>
  <c r="G226" i="76" s="1"/>
  <c r="G41" i="97" s="1"/>
  <c r="G86" i="97" s="1" a="1"/>
  <c r="G86" i="97" s="1"/>
  <c r="S272" i="76" a="1"/>
  <c r="S272" i="76" s="1"/>
  <c r="S191" i="69" a="1"/>
  <c r="S191" i="69" s="1"/>
  <c r="R287" i="76" a="1"/>
  <c r="R287" i="76" s="1"/>
  <c r="I287" i="76" a="1"/>
  <c r="I287" i="76" s="1"/>
  <c r="Q287" i="76" a="1"/>
  <c r="Q287" i="76" s="1"/>
  <c r="F287" i="76" a="1"/>
  <c r="F287" i="76" s="1"/>
  <c r="G287" i="76" a="1"/>
  <c r="G287" i="76" s="1"/>
  <c r="H287" i="76" a="1"/>
  <c r="H287" i="76" s="1"/>
  <c r="S287" i="76" a="1"/>
  <c r="S287" i="76" s="1"/>
  <c r="P287" i="76" a="1"/>
  <c r="P287" i="76" s="1"/>
  <c r="I205" i="69" a="1"/>
  <c r="I205" i="69" s="1"/>
  <c r="F205" i="69" a="1"/>
  <c r="F205" i="69" s="1"/>
  <c r="P205" i="69" a="1"/>
  <c r="P205" i="69" s="1"/>
  <c r="R205" i="69" a="1"/>
  <c r="R205" i="69" s="1"/>
  <c r="S205" i="69" a="1"/>
  <c r="S205" i="69" s="1"/>
  <c r="H205" i="69" a="1"/>
  <c r="H205" i="69" s="1"/>
  <c r="G205" i="69" a="1"/>
  <c r="G205" i="69" s="1"/>
  <c r="Q205" i="69" a="1"/>
  <c r="Q205" i="69" s="1"/>
  <c r="H162" i="76" a="1"/>
  <c r="H162" i="76" s="1"/>
  <c r="Q230" i="69" a="1"/>
  <c r="Q230" i="69" s="1"/>
  <c r="I230" i="76" a="1"/>
  <c r="I230" i="76" s="1"/>
  <c r="I45" i="97" s="1"/>
  <c r="I90" i="97" s="1" a="1"/>
  <c r="I90" i="97" s="1"/>
  <c r="I233" i="76" a="1"/>
  <c r="I233" i="76" s="1"/>
  <c r="I48" i="97" s="1"/>
  <c r="I93" i="97" s="1" a="1"/>
  <c r="I93" i="97" s="1"/>
  <c r="I232" i="76" a="1"/>
  <c r="I232" i="76" s="1"/>
  <c r="I47" i="97" s="1"/>
  <c r="I92" i="97" s="1" a="1"/>
  <c r="I92" i="97" s="1"/>
  <c r="I231" i="76" a="1"/>
  <c r="I231" i="76" s="1"/>
  <c r="I46" i="97" s="1"/>
  <c r="I91" i="97" s="1" a="1"/>
  <c r="I91" i="97" s="1"/>
  <c r="F200" i="69" a="1"/>
  <c r="F200" i="69" s="1"/>
  <c r="I200" i="69" a="1"/>
  <c r="I200" i="69" s="1"/>
  <c r="R200" i="69" a="1"/>
  <c r="R200" i="69" s="1"/>
  <c r="H200" i="69" a="1"/>
  <c r="H200" i="69" s="1"/>
  <c r="Q200" i="69" a="1"/>
  <c r="Q200" i="69" s="1"/>
  <c r="G200" i="69" a="1"/>
  <c r="G200" i="69" s="1"/>
  <c r="P200" i="69" a="1"/>
  <c r="P200" i="69" s="1"/>
  <c r="Q231" i="76" a="1"/>
  <c r="Q231" i="76" s="1"/>
  <c r="Q46" i="97" s="1"/>
  <c r="Q91" i="97" s="1" a="1"/>
  <c r="Q91" i="97" s="1"/>
  <c r="Q230" i="76" a="1"/>
  <c r="Q230" i="76" s="1"/>
  <c r="Q45" i="97" s="1"/>
  <c r="Q90" i="97" s="1" a="1"/>
  <c r="Q90" i="97" s="1"/>
  <c r="Q232" i="76" a="1"/>
  <c r="Q232" i="76" s="1"/>
  <c r="Q47" i="97" s="1"/>
  <c r="Q92" i="97" s="1" a="1"/>
  <c r="Q92" i="97" s="1"/>
  <c r="Q233" i="76" a="1"/>
  <c r="Q233" i="76" s="1"/>
  <c r="Q48" i="97" s="1"/>
  <c r="Q93" i="97" s="1" a="1"/>
  <c r="Q93" i="97" s="1"/>
  <c r="R232" i="76" a="1"/>
  <c r="R232" i="76" s="1"/>
  <c r="R47" i="97" s="1"/>
  <c r="R92" i="97" s="1" a="1"/>
  <c r="R92" i="97" s="1"/>
  <c r="R231" i="76" a="1"/>
  <c r="R231" i="76" s="1"/>
  <c r="R46" i="97" s="1"/>
  <c r="R91" i="97" s="1" a="1"/>
  <c r="R91" i="97" s="1"/>
  <c r="R233" i="76" a="1"/>
  <c r="R233" i="76" s="1"/>
  <c r="R48" i="97" s="1"/>
  <c r="R93" i="97" s="1" a="1"/>
  <c r="R93" i="97" s="1"/>
  <c r="R230" i="76" a="1"/>
  <c r="R230" i="76" s="1"/>
  <c r="R45" i="97" s="1"/>
  <c r="R90" i="97" s="1" a="1"/>
  <c r="R90" i="97" s="1"/>
  <c r="I282" i="76" a="1"/>
  <c r="I282" i="76" s="1"/>
  <c r="G196" i="69" a="1"/>
  <c r="G196" i="69" s="1"/>
  <c r="S196" i="69" a="1"/>
  <c r="S196" i="69" s="1"/>
  <c r="H196" i="69" a="1"/>
  <c r="H196" i="69" s="1"/>
  <c r="F196" i="69" a="1"/>
  <c r="F196" i="69" s="1"/>
  <c r="I196" i="69" a="1"/>
  <c r="I196" i="69" s="1"/>
  <c r="R229" i="76" a="1"/>
  <c r="R229" i="76" s="1"/>
  <c r="R44" i="97" s="1"/>
  <c r="R89" i="97" s="1" a="1"/>
  <c r="R89" i="97" s="1"/>
  <c r="R228" i="76" a="1"/>
  <c r="R228" i="76" s="1"/>
  <c r="R43" i="97" s="1"/>
  <c r="R88" i="97" s="1" a="1"/>
  <c r="R88" i="97" s="1"/>
  <c r="R227" i="76" a="1"/>
  <c r="R227" i="76" s="1"/>
  <c r="R42" i="97" s="1"/>
  <c r="R87" i="97" s="1" a="1"/>
  <c r="R87" i="97" s="1"/>
  <c r="R226" i="76" a="1"/>
  <c r="R226" i="76" s="1"/>
  <c r="R41" i="97" s="1"/>
  <c r="R86" i="97" s="1" a="1"/>
  <c r="R86" i="97" s="1"/>
  <c r="I191" i="69" a="1"/>
  <c r="I191" i="69" s="1"/>
  <c r="H191" i="69" a="1"/>
  <c r="H191" i="69" s="1"/>
  <c r="G191" i="69" a="1"/>
  <c r="G191" i="69" s="1"/>
  <c r="F191" i="69" a="1"/>
  <c r="F191" i="69" s="1"/>
  <c r="Q191" i="69" a="1"/>
  <c r="Q191" i="69" s="1"/>
  <c r="P191" i="69" a="1"/>
  <c r="P191" i="69" s="1"/>
  <c r="Q190" i="69" a="1"/>
  <c r="Q190" i="69" s="1"/>
  <c r="H98" i="97" a="1"/>
  <c r="H98" i="97" s="1"/>
  <c r="G98" i="97" a="1"/>
  <c r="G98" i="97" s="1"/>
  <c r="F98" i="97" a="1"/>
  <c r="F98" i="97" s="1"/>
  <c r="I98" i="97" a="1"/>
  <c r="I98" i="97" s="1"/>
  <c r="S98" i="97" a="1"/>
  <c r="S98" i="97" s="1"/>
  <c r="Q98" i="97" a="1"/>
  <c r="Q98" i="97" s="1"/>
  <c r="R98" i="97" a="1"/>
  <c r="R98" i="97" s="1"/>
  <c r="P98" i="97" a="1"/>
  <c r="P98" i="97" s="1"/>
  <c r="Q162" i="76" a="1"/>
  <c r="Q162" i="76" s="1"/>
  <c r="S222" i="76" a="1"/>
  <c r="S222" i="76" s="1"/>
  <c r="S37" i="97" s="1"/>
  <c r="S82" i="97" s="1" a="1"/>
  <c r="S82" i="97" s="1"/>
  <c r="S224" i="76" a="1"/>
  <c r="S224" i="76" s="1"/>
  <c r="S39" i="97" s="1"/>
  <c r="S84" i="97" s="1" a="1"/>
  <c r="S84" i="97" s="1"/>
  <c r="S223" i="76" a="1"/>
  <c r="S223" i="76" s="1"/>
  <c r="S38" i="97" s="1"/>
  <c r="S83" i="97" s="1" a="1"/>
  <c r="S83" i="97" s="1"/>
  <c r="S225" i="76" a="1"/>
  <c r="S225" i="76" s="1"/>
  <c r="S40" i="97" s="1"/>
  <c r="S85" i="97" s="1" a="1"/>
  <c r="S85" i="97" s="1"/>
  <c r="S200" i="69" a="1"/>
  <c r="S200" i="69" s="1"/>
  <c r="H222" i="76" a="1"/>
  <c r="H222" i="76" s="1"/>
  <c r="H37" i="97" s="1"/>
  <c r="H82" i="97" s="1" a="1"/>
  <c r="H82" i="97" s="1"/>
  <c r="H224" i="76" a="1"/>
  <c r="H224" i="76" s="1"/>
  <c r="H39" i="97" s="1"/>
  <c r="H84" i="97" s="1" a="1"/>
  <c r="H84" i="97" s="1"/>
  <c r="H225" i="76" a="1"/>
  <c r="H225" i="76" s="1"/>
  <c r="H40" i="97" s="1"/>
  <c r="H85" i="97" s="1" a="1"/>
  <c r="H85" i="97" s="1"/>
  <c r="H223" i="76" a="1"/>
  <c r="H223" i="76" s="1"/>
  <c r="H38" i="97" s="1"/>
  <c r="H83" i="97" s="1" a="1"/>
  <c r="H83" i="97" s="1"/>
  <c r="F230" i="69" a="1"/>
  <c r="F230" i="69" s="1"/>
  <c r="Q196" i="69" a="1"/>
  <c r="Q196" i="69" s="1"/>
  <c r="R278" i="76" a="1"/>
  <c r="R278" i="76" s="1"/>
  <c r="G278" i="76" a="1"/>
  <c r="G278" i="76" s="1"/>
  <c r="P232" i="76" a="1"/>
  <c r="P232" i="76" s="1"/>
  <c r="P47" i="97" s="1"/>
  <c r="P92" i="97" s="1" a="1"/>
  <c r="P92" i="97" s="1"/>
  <c r="P230" i="76" a="1"/>
  <c r="P230" i="76" s="1"/>
  <c r="P45" i="97" s="1"/>
  <c r="P90" i="97" s="1" a="1"/>
  <c r="P90" i="97" s="1"/>
  <c r="P231" i="76" a="1"/>
  <c r="P231" i="76" s="1"/>
  <c r="P46" i="97" s="1"/>
  <c r="P91" i="97" s="1" a="1"/>
  <c r="P91" i="97" s="1"/>
  <c r="P233" i="76" a="1"/>
  <c r="P233" i="76" s="1"/>
  <c r="P48" i="97" s="1"/>
  <c r="P93" i="97" s="1" a="1"/>
  <c r="P93" i="97" s="1"/>
  <c r="I189" i="69" a="1"/>
  <c r="I189" i="69" s="1"/>
  <c r="Q189" i="69" a="1"/>
  <c r="Q189" i="69" s="1"/>
  <c r="R189" i="69" a="1"/>
  <c r="R189" i="69" s="1"/>
  <c r="G189" i="69" a="1"/>
  <c r="G189" i="69" s="1"/>
  <c r="S189" i="69" a="1"/>
  <c r="S189" i="69" s="1"/>
  <c r="P189" i="69" a="1"/>
  <c r="P189" i="69" s="1"/>
  <c r="Q216" i="76" a="1"/>
  <c r="Q216" i="76" s="1"/>
  <c r="Q31" i="97" s="1"/>
  <c r="Q76" i="97" s="1" a="1"/>
  <c r="Q76" i="97" s="1"/>
  <c r="Q215" i="76" a="1"/>
  <c r="Q215" i="76" s="1"/>
  <c r="Q30" i="97" s="1"/>
  <c r="Q75" i="97" s="1" a="1"/>
  <c r="Q75" i="97" s="1"/>
  <c r="Q217" i="76" a="1"/>
  <c r="Q217" i="76" s="1"/>
  <c r="Q32" i="97" s="1"/>
  <c r="Q77" i="97" s="1" a="1"/>
  <c r="Q77" i="97" s="1"/>
  <c r="Q214" i="76" a="1"/>
  <c r="Q214" i="76" s="1"/>
  <c r="Q29" i="97" s="1"/>
  <c r="Q74" i="97" s="1" a="1"/>
  <c r="Q74" i="97" s="1"/>
  <c r="I227" i="76" a="1"/>
  <c r="I227" i="76" s="1"/>
  <c r="I42" i="97" s="1"/>
  <c r="I87" i="97" s="1" a="1"/>
  <c r="I87" i="97" s="1"/>
  <c r="I228" i="76" a="1"/>
  <c r="I228" i="76" s="1"/>
  <c r="I43" i="97" s="1"/>
  <c r="I88" i="97" s="1" a="1"/>
  <c r="I88" i="97" s="1"/>
  <c r="I226" i="76" a="1"/>
  <c r="I226" i="76" s="1"/>
  <c r="I41" i="97" s="1"/>
  <c r="I86" i="97" s="1" a="1"/>
  <c r="I86" i="97" s="1"/>
  <c r="I229" i="76" a="1"/>
  <c r="I229" i="76" s="1"/>
  <c r="I44" i="97" s="1"/>
  <c r="I89" i="97" s="1" a="1"/>
  <c r="I89" i="97" s="1"/>
  <c r="P97" i="97" a="1"/>
  <c r="P97" i="97" s="1"/>
  <c r="R97" i="97" a="1"/>
  <c r="R97" i="97" s="1"/>
  <c r="S97" i="97" a="1"/>
  <c r="S97" i="97" s="1"/>
  <c r="F97" i="97" a="1"/>
  <c r="F97" i="97" s="1"/>
  <c r="H97" i="97" a="1"/>
  <c r="H97" i="97" s="1"/>
  <c r="G97" i="97" a="1"/>
  <c r="G97" i="97" s="1"/>
  <c r="I97" i="97" a="1"/>
  <c r="I97" i="97" s="1"/>
  <c r="Q97" i="97" a="1"/>
  <c r="Q97" i="97" s="1"/>
  <c r="F162" i="76" a="1"/>
  <c r="F162" i="76" s="1"/>
  <c r="I219" i="76" a="1"/>
  <c r="I219" i="76" s="1"/>
  <c r="I34" i="97" s="1"/>
  <c r="I79" i="97" s="1" a="1"/>
  <c r="I79" i="97" s="1"/>
  <c r="I218" i="76" a="1"/>
  <c r="I218" i="76" s="1"/>
  <c r="I33" i="97" s="1"/>
  <c r="I78" i="97" s="1" a="1"/>
  <c r="I78" i="97" s="1"/>
  <c r="I221" i="76" a="1"/>
  <c r="I221" i="76" s="1"/>
  <c r="I36" i="97" s="1"/>
  <c r="I81" i="97" s="1" a="1"/>
  <c r="I81" i="97" s="1"/>
  <c r="I220" i="76" a="1"/>
  <c r="I220" i="76" s="1"/>
  <c r="I35" i="97" s="1"/>
  <c r="I80" i="97" s="1" a="1"/>
  <c r="I80" i="97" s="1"/>
  <c r="G197" i="69" a="1"/>
  <c r="G197" i="69" s="1"/>
  <c r="Q197" i="69" a="1"/>
  <c r="Q197" i="69" s="1"/>
  <c r="R197" i="69" a="1"/>
  <c r="R197" i="69" s="1"/>
  <c r="F197" i="69" a="1"/>
  <c r="F197" i="69" s="1"/>
  <c r="P197" i="69" a="1"/>
  <c r="P197" i="69" s="1"/>
  <c r="S197" i="69" a="1"/>
  <c r="S197" i="69" s="1"/>
  <c r="I197" i="69" a="1"/>
  <c r="I197" i="69" s="1"/>
  <c r="R230" i="69" a="1"/>
  <c r="R230" i="69" s="1"/>
  <c r="G190" i="69" a="1"/>
  <c r="G190" i="69" s="1"/>
  <c r="H190" i="69" a="1"/>
  <c r="H190" i="69" s="1"/>
  <c r="I190" i="69" a="1"/>
  <c r="I190" i="69" s="1"/>
  <c r="R190" i="69" a="1"/>
  <c r="R190" i="69" s="1"/>
  <c r="S190" i="69" a="1"/>
  <c r="S190" i="69" s="1"/>
  <c r="F190" i="69" a="1"/>
  <c r="F190" i="69" s="1"/>
  <c r="E230" i="69" a="1"/>
  <c r="E230" i="69" s="1"/>
  <c r="F199" i="69" a="1"/>
  <c r="F199" i="69" s="1"/>
  <c r="I199" i="69" a="1"/>
  <c r="I199" i="69" s="1"/>
  <c r="P199" i="69" a="1"/>
  <c r="P199" i="69" s="1"/>
  <c r="G199" i="69" a="1"/>
  <c r="G199" i="69" s="1"/>
  <c r="H199" i="69" a="1"/>
  <c r="H199" i="69" s="1"/>
  <c r="S199" i="69" a="1"/>
  <c r="S199" i="69" s="1"/>
  <c r="I184" i="69" a="1"/>
  <c r="I184" i="69" s="1"/>
  <c r="F184" i="69" a="1"/>
  <c r="F184" i="69" s="1"/>
  <c r="G184" i="69" a="1"/>
  <c r="G184" i="69" s="1"/>
  <c r="H184" i="69" a="1"/>
  <c r="H184" i="69" s="1"/>
  <c r="R184" i="69" a="1"/>
  <c r="R184" i="69" s="1"/>
  <c r="Q184" i="69" a="1"/>
  <c r="Q184" i="69" s="1"/>
  <c r="S184" i="69" a="1"/>
  <c r="S184" i="69" s="1"/>
  <c r="Q225" i="76" a="1"/>
  <c r="Q225" i="76" s="1"/>
  <c r="Q40" i="97" s="1"/>
  <c r="Q85" i="97" s="1" a="1"/>
  <c r="Q85" i="97" s="1"/>
  <c r="Q224" i="76" a="1"/>
  <c r="Q224" i="76" s="1"/>
  <c r="Q39" i="97" s="1"/>
  <c r="Q84" i="97" s="1" a="1"/>
  <c r="Q84" i="97" s="1"/>
  <c r="Q222" i="76" a="1"/>
  <c r="Q222" i="76" s="1"/>
  <c r="Q37" i="97" s="1"/>
  <c r="Q82" i="97" s="1" a="1"/>
  <c r="Q82" i="97" s="1"/>
  <c r="Q223" i="76" a="1"/>
  <c r="Q223" i="76" s="1"/>
  <c r="Q38" i="97" s="1"/>
  <c r="Q83" i="97" s="1" a="1"/>
  <c r="Q83" i="97" s="1"/>
  <c r="H197" i="69" a="1"/>
  <c r="H197" i="69" s="1"/>
  <c r="S231" i="76" a="1"/>
  <c r="S231" i="76" s="1"/>
  <c r="S46" i="97" s="1"/>
  <c r="S91" i="97" s="1" a="1"/>
  <c r="S91" i="97" s="1"/>
  <c r="S230" i="76" a="1"/>
  <c r="S230" i="76" s="1"/>
  <c r="S45" i="97" s="1"/>
  <c r="S90" i="97" s="1" a="1"/>
  <c r="S90" i="97" s="1"/>
  <c r="S233" i="76" a="1"/>
  <c r="S233" i="76" s="1"/>
  <c r="S48" i="97" s="1"/>
  <c r="S93" i="97" s="1" a="1"/>
  <c r="S93" i="97" s="1"/>
  <c r="S232" i="76" a="1"/>
  <c r="S232" i="76" s="1"/>
  <c r="S47" i="97" s="1"/>
  <c r="S92" i="97" s="1" a="1"/>
  <c r="S92" i="97" s="1"/>
  <c r="I257" i="76" a="1"/>
  <c r="I257" i="76" s="1"/>
  <c r="F268" i="76" a="1"/>
  <c r="F268" i="76" s="1"/>
  <c r="P268" i="76" a="1"/>
  <c r="P268" i="76" s="1"/>
  <c r="H268" i="76" a="1"/>
  <c r="H268" i="76" s="1"/>
  <c r="R279" i="76" a="1"/>
  <c r="R279" i="76" s="1"/>
  <c r="S279" i="76" a="1"/>
  <c r="S279" i="76" s="1"/>
  <c r="Q279" i="76" a="1"/>
  <c r="Q279" i="76" s="1"/>
  <c r="I279" i="76" a="1"/>
  <c r="I279" i="76" s="1"/>
  <c r="F228" i="76" a="1"/>
  <c r="F228" i="76" s="1"/>
  <c r="F43" i="97" s="1"/>
  <c r="F88" i="97" s="1" a="1"/>
  <c r="F88" i="97" s="1"/>
  <c r="F226" i="76" a="1"/>
  <c r="F226" i="76" s="1"/>
  <c r="F41" i="97" s="1"/>
  <c r="F86" i="97" s="1" a="1"/>
  <c r="F86" i="97" s="1"/>
  <c r="F227" i="76" a="1"/>
  <c r="F227" i="76" s="1"/>
  <c r="F42" i="97" s="1"/>
  <c r="F87" i="97" s="1" a="1"/>
  <c r="F87" i="97" s="1"/>
  <c r="F229" i="76" a="1"/>
  <c r="F229" i="76" s="1"/>
  <c r="F44" i="97" s="1"/>
  <c r="F89" i="97" s="1" a="1"/>
  <c r="F89" i="97" s="1"/>
  <c r="Q281" i="76" a="1"/>
  <c r="Q281" i="76" s="1"/>
  <c r="P281" i="76" a="1"/>
  <c r="P281" i="76" s="1"/>
  <c r="I281" i="76" a="1"/>
  <c r="I281" i="76" s="1"/>
  <c r="R281" i="76" a="1"/>
  <c r="R281" i="76" s="1"/>
  <c r="S281" i="76" a="1"/>
  <c r="S281" i="76" s="1"/>
  <c r="F284" i="76" a="1"/>
  <c r="F284" i="76" s="1"/>
  <c r="H284" i="76" a="1"/>
  <c r="H284" i="76" s="1"/>
  <c r="I284" i="76" a="1"/>
  <c r="I284" i="76" s="1"/>
  <c r="G284" i="76" a="1"/>
  <c r="G284" i="76" s="1"/>
  <c r="S284" i="76" a="1"/>
  <c r="S284" i="76" s="1"/>
  <c r="R284" i="76" a="1"/>
  <c r="R284" i="76" s="1"/>
  <c r="Q284" i="76" a="1"/>
  <c r="Q284" i="76" s="1"/>
  <c r="P284" i="76" a="1"/>
  <c r="P284" i="76" s="1"/>
  <c r="G195" i="69" a="1"/>
  <c r="G195" i="69" s="1"/>
  <c r="S195" i="69" a="1"/>
  <c r="S195" i="69" s="1"/>
  <c r="P195" i="69" a="1"/>
  <c r="P195" i="69" s="1"/>
  <c r="Q195" i="69" a="1"/>
  <c r="Q195" i="69" s="1"/>
  <c r="R195" i="69" a="1"/>
  <c r="R195" i="69" s="1"/>
  <c r="F195" i="69" a="1"/>
  <c r="F195" i="69" s="1"/>
  <c r="H195" i="69" a="1"/>
  <c r="H195" i="69" s="1"/>
  <c r="R162" i="76" a="1"/>
  <c r="R162" i="76" s="1"/>
  <c r="Q275" i="76" a="1"/>
  <c r="Q275" i="76" s="1"/>
  <c r="R275" i="76" a="1"/>
  <c r="R275" i="76" s="1"/>
  <c r="S194" i="69" a="1"/>
  <c r="S194" i="69" s="1"/>
  <c r="P257" i="76" a="1"/>
  <c r="P257" i="76" s="1"/>
  <c r="S218" i="76" a="1"/>
  <c r="S218" i="76" s="1"/>
  <c r="S33" i="97" s="1"/>
  <c r="S78" i="97" s="1" a="1"/>
  <c r="S78" i="97" s="1"/>
  <c r="S219" i="76" a="1"/>
  <c r="S219" i="76" s="1"/>
  <c r="S34" i="97" s="1"/>
  <c r="S79" i="97" s="1" a="1"/>
  <c r="S79" i="97" s="1"/>
  <c r="S220" i="76" a="1"/>
  <c r="S220" i="76" s="1"/>
  <c r="S35" i="97" s="1"/>
  <c r="S80" i="97" s="1" a="1"/>
  <c r="S80" i="97" s="1"/>
  <c r="S221" i="76" a="1"/>
  <c r="S221" i="76" s="1"/>
  <c r="S36" i="97" s="1"/>
  <c r="S81" i="97" s="1" a="1"/>
  <c r="S81" i="97" s="1"/>
  <c r="Q227" i="76" a="1"/>
  <c r="Q227" i="76" s="1"/>
  <c r="Q42" i="97" s="1"/>
  <c r="Q87" i="97" s="1" a="1"/>
  <c r="Q87" i="97" s="1"/>
  <c r="Q229" i="76" a="1"/>
  <c r="Q229" i="76" s="1"/>
  <c r="Q44" i="97" s="1"/>
  <c r="Q89" i="97" s="1" a="1"/>
  <c r="Q89" i="97" s="1"/>
  <c r="Q226" i="76" a="1"/>
  <c r="Q226" i="76" s="1"/>
  <c r="Q41" i="97" s="1"/>
  <c r="Q86" i="97" s="1" a="1"/>
  <c r="Q86" i="97" s="1"/>
  <c r="Q228" i="76" a="1"/>
  <c r="Q228" i="76" s="1"/>
  <c r="Q43" i="97" s="1"/>
  <c r="Q88" i="97" s="1" a="1"/>
  <c r="Q88" i="97" s="1"/>
  <c r="R191" i="69" a="1"/>
  <c r="R191" i="69" s="1"/>
  <c r="G193" i="69" a="1"/>
  <c r="G193" i="69" s="1"/>
  <c r="H193" i="69" a="1"/>
  <c r="H193" i="69" s="1"/>
  <c r="R193" i="69" a="1"/>
  <c r="R193" i="69" s="1"/>
  <c r="Q193" i="69" a="1"/>
  <c r="Q193" i="69" s="1"/>
  <c r="S193" i="69" a="1"/>
  <c r="S193" i="69" s="1"/>
  <c r="P193" i="69" a="1"/>
  <c r="P193" i="69" s="1"/>
  <c r="O162" i="76" a="1"/>
  <c r="O162" i="76" s="1"/>
  <c r="P94" i="97" a="1"/>
  <c r="P94" i="97" s="1"/>
  <c r="Q94" i="97" a="1"/>
  <c r="Q94" i="97" s="1"/>
  <c r="S94" i="97" a="1"/>
  <c r="S94" i="97" s="1"/>
  <c r="I94" i="97" a="1"/>
  <c r="I94" i="97" s="1"/>
  <c r="H94" i="97" a="1"/>
  <c r="H94" i="97" s="1"/>
  <c r="F94" i="97" a="1"/>
  <c r="F94" i="97" s="1"/>
  <c r="G94" i="97" a="1"/>
  <c r="G94" i="97" s="1"/>
  <c r="R94" i="97" a="1"/>
  <c r="R94" i="97" s="1"/>
  <c r="G194" i="69" a="1"/>
  <c r="G194" i="69" s="1"/>
  <c r="R194" i="69" a="1"/>
  <c r="R194" i="69" s="1"/>
  <c r="Q194" i="69" a="1"/>
  <c r="Q194" i="69" s="1"/>
  <c r="H194" i="69" a="1"/>
  <c r="H194" i="69" s="1"/>
  <c r="I194" i="69" a="1"/>
  <c r="I194" i="69" s="1"/>
  <c r="P194" i="69" a="1"/>
  <c r="P194" i="69" s="1"/>
  <c r="R222" i="76" a="1"/>
  <c r="R222" i="76" s="1"/>
  <c r="R37" i="97" s="1"/>
  <c r="R82" i="97" s="1" a="1"/>
  <c r="R82" i="97" s="1"/>
  <c r="R224" i="76" a="1"/>
  <c r="R224" i="76" s="1"/>
  <c r="R39" i="97" s="1"/>
  <c r="R84" i="97" s="1" a="1"/>
  <c r="R84" i="97" s="1"/>
  <c r="R225" i="76" a="1"/>
  <c r="R225" i="76" s="1"/>
  <c r="R40" i="97" s="1"/>
  <c r="R85" i="97" s="1" a="1"/>
  <c r="R85" i="97" s="1"/>
  <c r="R223" i="76" a="1"/>
  <c r="R223" i="76" s="1"/>
  <c r="R38" i="97" s="1"/>
  <c r="R83" i="97" s="1" a="1"/>
  <c r="R83" i="97" s="1"/>
  <c r="G277" i="76" a="1"/>
  <c r="G277" i="76" s="1"/>
  <c r="P277" i="76" a="1"/>
  <c r="P277" i="76" s="1"/>
  <c r="S277" i="76" a="1"/>
  <c r="S277" i="76" s="1"/>
  <c r="Q277" i="76" a="1"/>
  <c r="Q277" i="76" s="1"/>
  <c r="I277" i="76" a="1"/>
  <c r="I277" i="76" s="1"/>
  <c r="R277" i="76" a="1"/>
  <c r="R277" i="76" s="1"/>
  <c r="F198" i="69" a="1"/>
  <c r="F198" i="69" s="1"/>
  <c r="I198" i="69" a="1"/>
  <c r="I198" i="69" s="1"/>
  <c r="Q198" i="69" a="1"/>
  <c r="Q198" i="69" s="1"/>
  <c r="G198" i="69" a="1"/>
  <c r="G198" i="69" s="1"/>
  <c r="S198" i="69" a="1"/>
  <c r="S198" i="69" s="1"/>
  <c r="R198" i="69" a="1"/>
  <c r="R198" i="69" s="1"/>
  <c r="S226" i="76" a="1"/>
  <c r="S226" i="76" s="1"/>
  <c r="S41" i="97" s="1"/>
  <c r="S86" i="97" s="1" a="1"/>
  <c r="S86" i="97" s="1"/>
  <c r="S229" i="76" a="1"/>
  <c r="S229" i="76" s="1"/>
  <c r="S44" i="97" s="1"/>
  <c r="S89" i="97" s="1" a="1"/>
  <c r="S89" i="97" s="1"/>
  <c r="S227" i="76" a="1"/>
  <c r="S227" i="76" s="1"/>
  <c r="S42" i="97" s="1"/>
  <c r="S87" i="97" s="1" a="1"/>
  <c r="S87" i="97" s="1"/>
  <c r="S228" i="76" a="1"/>
  <c r="S228" i="76" s="1"/>
  <c r="S43" i="97" s="1"/>
  <c r="S88" i="97" s="1" a="1"/>
  <c r="S88" i="97" s="1"/>
  <c r="F95" i="97" a="1"/>
  <c r="F95" i="97" s="1"/>
  <c r="H95" i="97" a="1"/>
  <c r="H95" i="97" s="1"/>
  <c r="G95" i="97" a="1"/>
  <c r="G95" i="97" s="1"/>
  <c r="I95" i="97" a="1"/>
  <c r="I95" i="97" s="1"/>
  <c r="S95" i="97" a="1"/>
  <c r="S95" i="97" s="1"/>
  <c r="P95" i="97" a="1"/>
  <c r="P95" i="97" s="1"/>
  <c r="R95" i="97" a="1"/>
  <c r="R95" i="97" s="1"/>
  <c r="Q95" i="97" a="1"/>
  <c r="Q95" i="97" s="1"/>
  <c r="Q266" i="76" a="1"/>
  <c r="Q266" i="76" s="1"/>
  <c r="P220" i="76" a="1"/>
  <c r="P220" i="76" s="1"/>
  <c r="P35" i="97" s="1"/>
  <c r="P80" i="97" s="1" a="1"/>
  <c r="P80" i="97" s="1"/>
  <c r="P218" i="76" a="1"/>
  <c r="P218" i="76" s="1"/>
  <c r="P33" i="97" s="1"/>
  <c r="P78" i="97" s="1" a="1"/>
  <c r="P78" i="97" s="1"/>
  <c r="P219" i="76" a="1"/>
  <c r="P219" i="76" s="1"/>
  <c r="P34" i="97" s="1"/>
  <c r="P79" i="97" s="1" a="1"/>
  <c r="P79" i="97" s="1"/>
  <c r="P221" i="76" a="1"/>
  <c r="P221" i="76" s="1"/>
  <c r="P36" i="97" s="1"/>
  <c r="P81" i="97" s="1" a="1"/>
  <c r="P81" i="97" s="1"/>
  <c r="G201" i="69" a="1"/>
  <c r="G201" i="69" s="1"/>
  <c r="G225" i="76" a="1"/>
  <c r="G225" i="76" s="1"/>
  <c r="G40" i="97" s="1"/>
  <c r="G85" i="97" s="1" a="1"/>
  <c r="G85" i="97" s="1"/>
  <c r="G223" i="76" a="1"/>
  <c r="G223" i="76" s="1"/>
  <c r="G38" i="97" s="1"/>
  <c r="G83" i="97" s="1" a="1"/>
  <c r="G83" i="97" s="1"/>
  <c r="G222" i="76" a="1"/>
  <c r="G222" i="76" s="1"/>
  <c r="G37" i="97" s="1"/>
  <c r="G82" i="97" s="1" a="1"/>
  <c r="G82" i="97" s="1"/>
  <c r="G224" i="76" a="1"/>
  <c r="G224" i="76" s="1"/>
  <c r="G39" i="97" s="1"/>
  <c r="G84" i="97" s="1" a="1"/>
  <c r="G84" i="97" s="1"/>
  <c r="F257" i="76" a="1"/>
  <c r="F257" i="76" s="1"/>
  <c r="G221" i="76" a="1"/>
  <c r="G221" i="76" s="1"/>
  <c r="G36" i="97" s="1"/>
  <c r="G81" i="97" s="1" a="1"/>
  <c r="G81" i="97" s="1"/>
  <c r="G218" i="76" a="1"/>
  <c r="G218" i="76" s="1"/>
  <c r="G33" i="97" s="1"/>
  <c r="G78" i="97" s="1" a="1"/>
  <c r="G78" i="97" s="1"/>
  <c r="G220" i="76" a="1"/>
  <c r="G220" i="76" s="1"/>
  <c r="G35" i="97" s="1"/>
  <c r="G80" i="97" s="1" a="1"/>
  <c r="G80" i="97" s="1"/>
  <c r="G219" i="76" a="1"/>
  <c r="G219" i="76" s="1"/>
  <c r="G34" i="97" s="1"/>
  <c r="G79" i="97" s="1" a="1"/>
  <c r="G79" i="97" s="1"/>
  <c r="R187" i="69" a="1"/>
  <c r="R187" i="69" s="1"/>
  <c r="P228" i="76" a="1"/>
  <c r="P228" i="76" s="1"/>
  <c r="P43" i="97" s="1"/>
  <c r="P88" i="97" s="1" a="1"/>
  <c r="P88" i="97" s="1"/>
  <c r="P227" i="76" a="1"/>
  <c r="P227" i="76" s="1"/>
  <c r="P42" i="97" s="1"/>
  <c r="P87" i="97" s="1" a="1"/>
  <c r="P87" i="97" s="1"/>
  <c r="P229" i="76" a="1"/>
  <c r="P229" i="76" s="1"/>
  <c r="P44" i="97" s="1"/>
  <c r="P89" i="97" s="1" a="1"/>
  <c r="P89" i="97" s="1"/>
  <c r="P226" i="76" a="1"/>
  <c r="P226" i="76" s="1"/>
  <c r="P41" i="97" s="1"/>
  <c r="P86" i="97" s="1" a="1"/>
  <c r="P86" i="97" s="1"/>
  <c r="P184" i="69" a="1"/>
  <c r="P184" i="69" s="1"/>
  <c r="F286" i="76" a="1"/>
  <c r="F286" i="76" s="1"/>
  <c r="G286" i="76" a="1"/>
  <c r="G286" i="76" s="1"/>
  <c r="H286" i="76" a="1"/>
  <c r="H286" i="76" s="1"/>
  <c r="S286" i="76" a="1"/>
  <c r="S286" i="76" s="1"/>
  <c r="I286" i="76" a="1"/>
  <c r="I286" i="76" s="1"/>
  <c r="P286" i="76" a="1"/>
  <c r="P286" i="76" s="1"/>
  <c r="R286" i="76" a="1"/>
  <c r="R286" i="76" s="1"/>
  <c r="Q286" i="76" a="1"/>
  <c r="Q286" i="76" s="1"/>
  <c r="S271" i="76" a="1"/>
  <c r="S271" i="76" s="1"/>
  <c r="H271" i="76" a="1"/>
  <c r="H271" i="76" s="1"/>
  <c r="I271" i="76" a="1"/>
  <c r="I271" i="76" s="1"/>
  <c r="G271" i="76" a="1"/>
  <c r="G271" i="76" s="1"/>
  <c r="P271" i="76" a="1"/>
  <c r="P271" i="76" s="1"/>
  <c r="Q271" i="76" a="1"/>
  <c r="Q271" i="76" s="1"/>
  <c r="G230" i="76" a="1"/>
  <c r="G230" i="76" s="1"/>
  <c r="G45" i="97" s="1"/>
  <c r="G90" i="97" s="1" a="1"/>
  <c r="G90" i="97" s="1"/>
  <c r="G231" i="76" a="1"/>
  <c r="G231" i="76" s="1"/>
  <c r="G46" i="97" s="1"/>
  <c r="G91" i="97" s="1" a="1"/>
  <c r="G91" i="97" s="1"/>
  <c r="G233" i="76" a="1"/>
  <c r="G233" i="76" s="1"/>
  <c r="G48" i="97" s="1"/>
  <c r="G93" i="97" s="1" a="1"/>
  <c r="G93" i="97" s="1"/>
  <c r="G232" i="76" a="1"/>
  <c r="G232" i="76" s="1"/>
  <c r="G47" i="97" s="1"/>
  <c r="G92" i="97" s="1" a="1"/>
  <c r="G92" i="97" s="1"/>
  <c r="H198" i="69" a="1"/>
  <c r="H198" i="69" s="1"/>
  <c r="I185" i="69" a="1"/>
  <c r="I185" i="69" s="1"/>
  <c r="R185" i="69" a="1"/>
  <c r="R185" i="69" s="1"/>
  <c r="S185" i="69" a="1"/>
  <c r="S185" i="69" s="1"/>
  <c r="H185" i="69" a="1"/>
  <c r="H185" i="69" s="1"/>
  <c r="F185" i="69" a="1"/>
  <c r="F185" i="69" s="1"/>
  <c r="G185" i="69" a="1"/>
  <c r="G185" i="69" s="1"/>
  <c r="P185" i="69" a="1"/>
  <c r="P185" i="69" s="1"/>
  <c r="I222" i="76" a="1"/>
  <c r="I222" i="76" s="1"/>
  <c r="I37" i="97" s="1"/>
  <c r="I82" i="97" s="1" a="1"/>
  <c r="I82" i="97" s="1"/>
  <c r="I223" i="76" a="1"/>
  <c r="I223" i="76" s="1"/>
  <c r="I38" i="97" s="1"/>
  <c r="I83" i="97" s="1" a="1"/>
  <c r="I83" i="97" s="1"/>
  <c r="I225" i="76" a="1"/>
  <c r="I225" i="76" s="1"/>
  <c r="I40" i="97" s="1"/>
  <c r="I85" i="97" s="1" a="1"/>
  <c r="I85" i="97" s="1"/>
  <c r="I224" i="76" a="1"/>
  <c r="I224" i="76" s="1"/>
  <c r="I39" i="97" s="1"/>
  <c r="I84" i="97" s="1" a="1"/>
  <c r="I84" i="97" s="1"/>
  <c r="H257" i="76" a="1"/>
  <c r="H257" i="76" s="1"/>
  <c r="R219" i="76" a="1"/>
  <c r="R219" i="76" s="1"/>
  <c r="R34" i="97" s="1"/>
  <c r="R79" i="97" s="1" a="1"/>
  <c r="R79" i="97" s="1"/>
  <c r="R221" i="76" a="1"/>
  <c r="R221" i="76" s="1"/>
  <c r="R36" i="97" s="1"/>
  <c r="R81" i="97" s="1" a="1"/>
  <c r="R81" i="97" s="1"/>
  <c r="R218" i="76" a="1"/>
  <c r="R218" i="76" s="1"/>
  <c r="R33" i="97" s="1"/>
  <c r="R78" i="97" s="1" a="1"/>
  <c r="R78" i="97" s="1"/>
  <c r="R220" i="76" a="1"/>
  <c r="R220" i="76" s="1"/>
  <c r="R35" i="97" s="1"/>
  <c r="R80" i="97" s="1" a="1"/>
  <c r="R80" i="97" s="1"/>
  <c r="I187" i="69" a="1"/>
  <c r="I187" i="69" s="1"/>
  <c r="F187" i="69" a="1"/>
  <c r="F187" i="69" s="1"/>
  <c r="H187" i="69" a="1"/>
  <c r="H187" i="69" s="1"/>
  <c r="Q187" i="69" a="1"/>
  <c r="Q187" i="69" s="1"/>
  <c r="G187" i="69" a="1"/>
  <c r="G187" i="69" s="1"/>
  <c r="P187" i="69" a="1"/>
  <c r="P187" i="69" s="1"/>
  <c r="H227" i="76" a="1"/>
  <c r="H227" i="76" s="1"/>
  <c r="H42" i="97" s="1"/>
  <c r="H87" i="97" s="1" a="1"/>
  <c r="H87" i="97" s="1"/>
  <c r="H226" i="76" a="1"/>
  <c r="H226" i="76" s="1"/>
  <c r="H41" i="97" s="1"/>
  <c r="H86" i="97" s="1" a="1"/>
  <c r="H86" i="97" s="1"/>
  <c r="H228" i="76" a="1"/>
  <c r="H228" i="76" s="1"/>
  <c r="H43" i="97" s="1"/>
  <c r="H88" i="97" s="1" a="1"/>
  <c r="H88" i="97" s="1"/>
  <c r="H229" i="76" a="1"/>
  <c r="H229" i="76" s="1"/>
  <c r="H44" i="97" s="1"/>
  <c r="H89" i="97" s="1" a="1"/>
  <c r="H89" i="97" s="1"/>
  <c r="Q185" i="69" a="1"/>
  <c r="Q185" i="69" s="1"/>
  <c r="I206" i="69" a="1"/>
  <c r="I206" i="69" s="1"/>
  <c r="H206" i="69" a="1"/>
  <c r="H206" i="69" s="1"/>
  <c r="S206" i="69" a="1"/>
  <c r="S206" i="69" s="1"/>
  <c r="R206" i="69" a="1"/>
  <c r="R206" i="69" s="1"/>
  <c r="F206" i="69" a="1"/>
  <c r="F206" i="69" s="1"/>
  <c r="I202" i="69" a="1"/>
  <c r="I202" i="69" s="1"/>
  <c r="P202" i="69" a="1"/>
  <c r="P202" i="69" s="1"/>
  <c r="S202" i="69" a="1"/>
  <c r="S202" i="69" s="1"/>
  <c r="H202" i="69" a="1"/>
  <c r="H202" i="69" s="1"/>
  <c r="R202" i="69" a="1"/>
  <c r="R202" i="69" s="1"/>
  <c r="Q202" i="69" a="1"/>
  <c r="Q202" i="69" s="1"/>
  <c r="G202" i="69" a="1"/>
  <c r="G202" i="69" s="1"/>
  <c r="F202" i="69" a="1"/>
  <c r="F202" i="69" s="1"/>
  <c r="Q263" i="76" a="1"/>
  <c r="Q263" i="76" s="1"/>
  <c r="I273" i="76" a="1"/>
  <c r="I273" i="76" s="1"/>
  <c r="S273" i="76" a="1"/>
  <c r="S273" i="76" s="1"/>
  <c r="F273" i="76" a="1"/>
  <c r="F273" i="76" s="1"/>
  <c r="H273" i="76" a="1"/>
  <c r="H273" i="76" s="1"/>
  <c r="G273" i="76" a="1"/>
  <c r="G273" i="76" s="1"/>
  <c r="Q273" i="76" a="1"/>
  <c r="Q273" i="76" s="1"/>
  <c r="R273" i="76" a="1"/>
  <c r="R273" i="76" s="1"/>
  <c r="G188" i="69" a="1"/>
  <c r="G188" i="69" s="1"/>
  <c r="P198" i="69" a="1"/>
  <c r="P198" i="69" s="1"/>
  <c r="F224" i="76" a="1"/>
  <c r="F224" i="76" s="1"/>
  <c r="F39" i="97" s="1"/>
  <c r="F84" i="97" s="1" a="1"/>
  <c r="F84" i="97" s="1"/>
  <c r="F225" i="76" a="1"/>
  <c r="F225" i="76" s="1"/>
  <c r="F40" i="97" s="1"/>
  <c r="F85" i="97" s="1" a="1"/>
  <c r="F85" i="97" s="1"/>
  <c r="F222" i="76" a="1"/>
  <c r="F222" i="76" s="1"/>
  <c r="F37" i="97" s="1"/>
  <c r="F82" i="97" s="1" a="1"/>
  <c r="F82" i="97" s="1"/>
  <c r="F223" i="76" a="1"/>
  <c r="F223" i="76" s="1"/>
  <c r="F38" i="97" s="1"/>
  <c r="F83" i="97" s="1" a="1"/>
  <c r="F83" i="97" s="1"/>
  <c r="I267" i="76" a="1"/>
  <c r="I267" i="76" s="1"/>
  <c r="H267" i="76" a="1"/>
  <c r="H267" i="76" s="1"/>
  <c r="R267" i="76" a="1"/>
  <c r="R267" i="76" s="1"/>
  <c r="S267" i="76" a="1"/>
  <c r="S267" i="76" s="1"/>
  <c r="G267" i="76" a="1"/>
  <c r="G267" i="76" s="1"/>
  <c r="P222" i="76" a="1"/>
  <c r="P222" i="76" s="1"/>
  <c r="P37" i="97" s="1"/>
  <c r="P82" i="97" s="1" a="1"/>
  <c r="P82" i="97" s="1"/>
  <c r="P225" i="76" a="1"/>
  <c r="P225" i="76" s="1"/>
  <c r="P40" i="97" s="1"/>
  <c r="P85" i="97" s="1" a="1"/>
  <c r="P85" i="97" s="1"/>
  <c r="P224" i="76" a="1"/>
  <c r="P224" i="76" s="1"/>
  <c r="P39" i="97" s="1"/>
  <c r="P84" i="97" s="1" a="1"/>
  <c r="P84" i="97" s="1"/>
  <c r="P223" i="76" a="1"/>
  <c r="P223" i="76" s="1"/>
  <c r="P38" i="97" s="1"/>
  <c r="P83" i="97" s="1" a="1"/>
  <c r="P83" i="97" s="1"/>
  <c r="G270" i="76" a="1"/>
  <c r="G270" i="76" s="1"/>
  <c r="S270" i="76" a="1"/>
  <c r="S270" i="76" s="1"/>
  <c r="I270" i="76" a="1"/>
  <c r="I270" i="76" s="1"/>
  <c r="S257" i="76" a="1"/>
  <c r="S257" i="76" s="1"/>
  <c r="H220" i="76" a="1"/>
  <c r="H220" i="76" s="1"/>
  <c r="H35" i="97" s="1"/>
  <c r="H80" i="97" s="1" a="1"/>
  <c r="H80" i="97" s="1"/>
  <c r="H219" i="76" a="1"/>
  <c r="H219" i="76" s="1"/>
  <c r="H34" i="97" s="1"/>
  <c r="H79" i="97" s="1" a="1"/>
  <c r="H79" i="97" s="1"/>
  <c r="H221" i="76" a="1"/>
  <c r="H221" i="76" s="1"/>
  <c r="H36" i="97" s="1"/>
  <c r="H81" i="97" s="1" a="1"/>
  <c r="H81" i="97" s="1"/>
  <c r="H218" i="76" a="1"/>
  <c r="H218" i="76" s="1"/>
  <c r="H33" i="97" s="1"/>
  <c r="H78" i="97" s="1" a="1"/>
  <c r="H78" i="97" s="1"/>
  <c r="S187" i="69" a="1"/>
  <c r="S187" i="69" s="1"/>
  <c r="R182" i="69" a="1"/>
  <c r="R182" i="69" s="1"/>
  <c r="Q269" i="76" a="1"/>
  <c r="Q269" i="76" s="1"/>
  <c r="R269" i="76" a="1"/>
  <c r="R269" i="76" s="1"/>
  <c r="G269" i="76" a="1"/>
  <c r="G269" i="76" s="1"/>
  <c r="F285" i="76" a="1"/>
  <c r="F285" i="76" s="1"/>
  <c r="H285" i="76" a="1"/>
  <c r="H285" i="76" s="1"/>
  <c r="G285" i="76" a="1"/>
  <c r="G285" i="76" s="1"/>
  <c r="I285" i="76" a="1"/>
  <c r="I285" i="76" s="1"/>
  <c r="P285" i="76" a="1"/>
  <c r="P285" i="76" s="1"/>
  <c r="S285" i="76" a="1"/>
  <c r="S285" i="76" s="1"/>
  <c r="Q285" i="76" a="1"/>
  <c r="Q285" i="76" s="1"/>
  <c r="R285" i="76" a="1"/>
  <c r="R285" i="76" s="1"/>
  <c r="Q186" i="69" a="1"/>
  <c r="Q186" i="69" s="1"/>
  <c r="I188" i="69" a="1"/>
  <c r="I188" i="69" s="1"/>
  <c r="R188" i="69" a="1"/>
  <c r="R188" i="69" s="1"/>
  <c r="F188" i="69" a="1"/>
  <c r="F188" i="69" s="1"/>
  <c r="S188" i="69" a="1"/>
  <c r="S188" i="69" s="1"/>
  <c r="Q188" i="69" a="1"/>
  <c r="Q188" i="69" s="1"/>
  <c r="P188" i="69" a="1"/>
  <c r="P188" i="69" s="1"/>
  <c r="H188" i="69" a="1"/>
  <c r="H188" i="69" s="1"/>
  <c r="P274" i="76" a="1"/>
  <c r="P274" i="76" s="1"/>
  <c r="H274" i="76" a="1"/>
  <c r="H274" i="76" s="1"/>
  <c r="R274" i="76" a="1"/>
  <c r="R274" i="76" s="1"/>
  <c r="Q274" i="76" a="1"/>
  <c r="Q274" i="76" s="1"/>
  <c r="S274" i="76" a="1"/>
  <c r="S274" i="76" s="1"/>
  <c r="I274" i="76" a="1"/>
  <c r="I274" i="76" s="1"/>
  <c r="G280" i="76" a="1"/>
  <c r="G280" i="76" s="1"/>
  <c r="Q280" i="76" a="1"/>
  <c r="Q280" i="76" s="1"/>
  <c r="R280" i="76" a="1"/>
  <c r="R280" i="76" s="1"/>
  <c r="S280" i="76" a="1"/>
  <c r="S280" i="76" s="1"/>
  <c r="F280" i="76" a="1"/>
  <c r="F280" i="76" s="1"/>
  <c r="I280" i="76" a="1"/>
  <c r="I280" i="76" s="1"/>
  <c r="G276" i="76" a="1"/>
  <c r="G276" i="76" s="1"/>
  <c r="Q276" i="76" a="1"/>
  <c r="Q276" i="76" s="1"/>
  <c r="R276" i="76" a="1"/>
  <c r="R276" i="76" s="1"/>
  <c r="I276" i="76" a="1"/>
  <c r="I276" i="76" s="1"/>
  <c r="S276" i="76" a="1"/>
  <c r="S276" i="76" s="1"/>
  <c r="F276" i="76" a="1"/>
  <c r="F276" i="76" s="1"/>
  <c r="F96" i="97" a="1"/>
  <c r="F96" i="97" s="1"/>
  <c r="H96" i="97" a="1"/>
  <c r="H96" i="97" s="1"/>
  <c r="I96" i="97" a="1"/>
  <c r="I96" i="97" s="1"/>
  <c r="G96" i="97" a="1"/>
  <c r="G96" i="97" s="1"/>
  <c r="R96" i="97" a="1"/>
  <c r="R96" i="97" s="1"/>
  <c r="P96" i="97" a="1"/>
  <c r="P96" i="97" s="1"/>
  <c r="S96" i="97" a="1"/>
  <c r="S96" i="97" s="1"/>
  <c r="Q96" i="97" a="1"/>
  <c r="Q96" i="97" s="1"/>
  <c r="I201" i="69" a="1"/>
  <c r="I201" i="69" s="1"/>
  <c r="F201" i="69" a="1"/>
  <c r="F201" i="69" s="1"/>
  <c r="P201" i="69" a="1"/>
  <c r="P201" i="69" s="1"/>
  <c r="Q201" i="69" a="1"/>
  <c r="Q201" i="69" s="1"/>
  <c r="S201" i="69" a="1"/>
  <c r="S201" i="69" s="1"/>
  <c r="R201" i="69" a="1"/>
  <c r="R201" i="69" s="1"/>
  <c r="H201" i="69" a="1"/>
  <c r="H201" i="69" s="1"/>
  <c r="G230" i="69" a="1"/>
  <c r="G230" i="69" s="1"/>
  <c r="Q219" i="76" a="1"/>
  <c r="Q219" i="76" s="1"/>
  <c r="Q34" i="97" s="1"/>
  <c r="Q79" i="97" s="1" a="1"/>
  <c r="Q79" i="97" s="1"/>
  <c r="Q221" i="76" a="1"/>
  <c r="Q221" i="76" s="1"/>
  <c r="Q36" i="97" s="1"/>
  <c r="Q81" i="97" s="1" a="1"/>
  <c r="Q81" i="97" s="1"/>
  <c r="Q218" i="76" a="1"/>
  <c r="Q218" i="76" s="1"/>
  <c r="Q33" i="97" s="1"/>
  <c r="Q78" i="97" s="1" a="1"/>
  <c r="Q78" i="97" s="1"/>
  <c r="Q220" i="76" a="1"/>
  <c r="Q220" i="76" s="1"/>
  <c r="Q35" i="97" s="1"/>
  <c r="Q80" i="97" s="1" a="1"/>
  <c r="Q80" i="97" s="1"/>
  <c r="I192" i="69" a="1"/>
  <c r="I192" i="69" s="1"/>
  <c r="G192" i="69" a="1"/>
  <c r="G192" i="69" s="1"/>
  <c r="H192" i="69" a="1"/>
  <c r="H192" i="69" s="1"/>
  <c r="S192" i="69" a="1"/>
  <c r="S192" i="69" s="1"/>
  <c r="Q192" i="69" a="1"/>
  <c r="Q192" i="69" s="1"/>
  <c r="F192" i="69" a="1"/>
  <c r="F192" i="69" s="1"/>
  <c r="P192" i="69" a="1"/>
  <c r="P192" i="69" s="1"/>
  <c r="R192" i="69" a="1"/>
  <c r="R192" i="69" s="1"/>
  <c r="P230" i="69" a="1"/>
  <c r="P230" i="69" s="1"/>
  <c r="F230" i="76" a="1"/>
  <c r="F230" i="76" s="1"/>
  <c r="F45" i="97" s="1"/>
  <c r="F90" i="97" s="1" a="1"/>
  <c r="F90" i="97" s="1"/>
  <c r="F233" i="76" a="1"/>
  <c r="F233" i="76" s="1"/>
  <c r="F48" i="97" s="1"/>
  <c r="F93" i="97" s="1" a="1"/>
  <c r="F93" i="97" s="1"/>
  <c r="F231" i="76" a="1"/>
  <c r="F231" i="76" s="1"/>
  <c r="F46" i="97" s="1"/>
  <c r="F91" i="97" s="1" a="1"/>
  <c r="F91" i="97" s="1"/>
  <c r="F232" i="76" a="1"/>
  <c r="F232" i="76" s="1"/>
  <c r="F47" i="97" s="1"/>
  <c r="F92" i="97" s="1" a="1"/>
  <c r="F92" i="97" s="1"/>
  <c r="F220" i="76" a="1"/>
  <c r="F220" i="76" s="1"/>
  <c r="F35" i="97" s="1"/>
  <c r="F221" i="76" a="1"/>
  <c r="F221" i="76" s="1"/>
  <c r="F36" i="97" s="1"/>
  <c r="F81" i="97" s="1" a="1"/>
  <c r="F81" i="97" s="1"/>
  <c r="F219" i="76" a="1"/>
  <c r="F219" i="76" s="1"/>
  <c r="F34" i="97" s="1"/>
  <c r="F79" i="97" s="1" a="1"/>
  <c r="F79" i="97" s="1"/>
  <c r="F218" i="76" a="1"/>
  <c r="F218" i="76" s="1"/>
  <c r="F33" i="97" s="1"/>
  <c r="F78" i="97" s="1" a="1"/>
  <c r="F78" i="97" s="1"/>
  <c r="S182" i="69" a="1"/>
  <c r="S182" i="69" s="1"/>
  <c r="I203" i="69" a="1"/>
  <c r="I203" i="69" s="1"/>
  <c r="S203" i="69" a="1"/>
  <c r="S203" i="69" s="1"/>
  <c r="R203" i="69" a="1"/>
  <c r="R203" i="69" s="1"/>
  <c r="P203" i="69" a="1"/>
  <c r="P203" i="69" s="1"/>
  <c r="H203" i="69" a="1"/>
  <c r="H203" i="69" s="1"/>
  <c r="Q203" i="69" a="1"/>
  <c r="Q203" i="69" s="1"/>
  <c r="G203" i="69" a="1"/>
  <c r="G203" i="69" s="1"/>
  <c r="I204" i="69" a="1"/>
  <c r="I204" i="69" s="1"/>
  <c r="Q204" i="69" a="1"/>
  <c r="Q204" i="69" s="1"/>
  <c r="G204" i="69" a="1"/>
  <c r="G204" i="69" s="1"/>
  <c r="F204" i="69" a="1"/>
  <c r="F204" i="69" s="1"/>
  <c r="P204" i="69" a="1"/>
  <c r="P204" i="69" s="1"/>
  <c r="I186" i="69" a="1"/>
  <c r="I186" i="69" s="1"/>
  <c r="P186" i="69" a="1"/>
  <c r="P186" i="69" s="1"/>
  <c r="G186" i="69" a="1"/>
  <c r="G186" i="69" s="1"/>
  <c r="S186" i="69" a="1"/>
  <c r="S186" i="69" s="1"/>
  <c r="R186" i="69" a="1"/>
  <c r="R186" i="69" s="1"/>
  <c r="H186" i="69" a="1"/>
  <c r="H186" i="69" s="1"/>
  <c r="F186" i="69" a="1"/>
  <c r="F186" i="69" s="1"/>
  <c r="O230" i="69" a="1"/>
  <c r="O230" i="69" s="1"/>
  <c r="F194" i="69" a="1"/>
  <c r="F194" i="69" s="1"/>
  <c r="H233" i="76" a="1"/>
  <c r="H233" i="76" s="1"/>
  <c r="H48" i="97" s="1"/>
  <c r="H93" i="97" s="1" a="1"/>
  <c r="H93" i="97" s="1"/>
  <c r="H232" i="76" a="1"/>
  <c r="H232" i="76" s="1"/>
  <c r="H47" i="97" s="1"/>
  <c r="H92" i="97" s="1" a="1"/>
  <c r="H92" i="97" s="1"/>
  <c r="H231" i="76" a="1"/>
  <c r="H231" i="76" s="1"/>
  <c r="H46" i="97" s="1"/>
  <c r="H91" i="97" s="1" a="1"/>
  <c r="H91" i="97" s="1"/>
  <c r="H230" i="76" a="1"/>
  <c r="H230" i="76" s="1"/>
  <c r="H45" i="97" s="1"/>
  <c r="H90" i="97" s="1" a="1"/>
  <c r="H90" i="97" s="1"/>
  <c r="F189" i="69" a="1"/>
  <c r="F189" i="69" s="1"/>
  <c r="P190" i="69" a="1"/>
  <c r="P190" i="69" s="1"/>
  <c r="E162" i="76" a="1"/>
  <c r="E162" i="76" s="1"/>
  <c r="Q264" i="76" a="1"/>
  <c r="Q264" i="76" s="1"/>
  <c r="F283" i="76" a="1"/>
  <c r="F283" i="76" s="1"/>
  <c r="S283" i="76" a="1"/>
  <c r="S283" i="76" s="1"/>
  <c r="P283" i="76" a="1"/>
  <c r="P283" i="76" s="1"/>
  <c r="I283" i="76" a="1"/>
  <c r="I283" i="76" s="1"/>
  <c r="G283" i="76" a="1"/>
  <c r="G283" i="76" s="1"/>
  <c r="H283" i="76" a="1"/>
  <c r="H283" i="76" s="1"/>
  <c r="R283" i="76" a="1"/>
  <c r="R283" i="76" s="1"/>
  <c r="Q283" i="76" a="1"/>
  <c r="Q283" i="76" s="1"/>
  <c r="F215" i="76" l="1" a="1"/>
  <c r="F215" i="76" s="1"/>
  <c r="F214" i="76" a="1"/>
  <c r="F214" i="76" s="1"/>
  <c r="F217" i="76" a="1"/>
  <c r="F217" i="76" s="1"/>
  <c r="F216" i="76" a="1"/>
  <c r="F216" i="76" s="1"/>
  <c r="I269" i="76" a="1"/>
  <c r="I269" i="76" s="1"/>
  <c r="Q270" i="76" a="1"/>
  <c r="Q270" i="76" s="1"/>
  <c r="F275" i="76" a="1"/>
  <c r="F275" i="76" s="1"/>
  <c r="Q272" i="76" a="1"/>
  <c r="Q272" i="76" s="1"/>
  <c r="H276" i="76" a="1"/>
  <c r="H276" i="76" s="1"/>
  <c r="G274" i="76" a="1"/>
  <c r="G274" i="76" s="1"/>
  <c r="H270" i="76" a="1"/>
  <c r="H270" i="76" s="1"/>
  <c r="S214" i="76" a="1"/>
  <c r="S214" i="76" s="1"/>
  <c r="S215" i="76" a="1"/>
  <c r="S215" i="76" s="1"/>
  <c r="S216" i="76" a="1"/>
  <c r="S216" i="76" s="1"/>
  <c r="S217" i="76" a="1"/>
  <c r="S217" i="76" s="1"/>
  <c r="G279" i="76" a="1"/>
  <c r="G279" i="76" s="1"/>
  <c r="I268" i="76" a="1"/>
  <c r="I268" i="76" s="1"/>
  <c r="H272" i="76" a="1"/>
  <c r="H272" i="76" s="1"/>
  <c r="F80" i="97" a="1"/>
  <c r="F80" i="97" s="1"/>
  <c r="G9" i="13"/>
  <c r="F274" i="76" a="1"/>
  <c r="F274" i="76" s="1"/>
  <c r="P215" i="76" a="1"/>
  <c r="P215" i="76" s="1"/>
  <c r="P216" i="76" a="1"/>
  <c r="P216" i="76" s="1"/>
  <c r="P217" i="76" a="1"/>
  <c r="P217" i="76" s="1"/>
  <c r="P214" i="76" a="1"/>
  <c r="P214" i="76" s="1"/>
  <c r="G217" i="76" a="1"/>
  <c r="G217" i="76" s="1"/>
  <c r="G214" i="76" a="1"/>
  <c r="G214" i="76" s="1"/>
  <c r="G216" i="76" a="1"/>
  <c r="G216" i="76" s="1"/>
  <c r="G215" i="76" a="1"/>
  <c r="G215" i="76" s="1"/>
  <c r="Q278" i="76" a="1"/>
  <c r="Q278" i="76" s="1"/>
  <c r="P255" i="69" a="1"/>
  <c r="P255" i="69" s="1"/>
  <c r="P288" i="69" s="1" a="1"/>
  <c r="P288" i="69" s="1"/>
  <c r="F281" i="76" a="1"/>
  <c r="F281" i="76" s="1"/>
  <c r="F278" i="76" a="1"/>
  <c r="F278" i="76" s="1"/>
  <c r="H282" i="76" a="1"/>
  <c r="H282" i="76" s="1"/>
  <c r="I215" i="76" a="1"/>
  <c r="I215" i="76" s="1"/>
  <c r="I216" i="76" a="1"/>
  <c r="I216" i="76" s="1"/>
  <c r="I214" i="76" a="1"/>
  <c r="I214" i="76" s="1"/>
  <c r="I217" i="76" a="1"/>
  <c r="I217" i="76" s="1"/>
  <c r="F271" i="76" a="1"/>
  <c r="F271" i="76" s="1"/>
  <c r="H279" i="76" a="1"/>
  <c r="H279" i="76" s="1"/>
  <c r="Q255" i="69" a="1"/>
  <c r="Q255" i="69" s="1"/>
  <c r="Q288" i="69" s="1" a="1"/>
  <c r="Q288" i="69" s="1"/>
  <c r="P278" i="76" a="1"/>
  <c r="P278" i="76" s="1"/>
  <c r="F282" i="76" a="1"/>
  <c r="F282" i="76" s="1"/>
  <c r="H278" i="76" a="1"/>
  <c r="H278" i="76" s="1"/>
  <c r="R282" i="76" a="1"/>
  <c r="R282" i="76" s="1"/>
  <c r="N255" i="69" a="1"/>
  <c r="N255" i="69" s="1"/>
  <c r="N288" i="69" s="1" a="1"/>
  <c r="N288" i="69" s="1"/>
  <c r="F255" i="69" a="1"/>
  <c r="F255" i="69" s="1"/>
  <c r="F288" i="69" s="1" a="1"/>
  <c r="F288" i="69" s="1"/>
  <c r="P280" i="76" a="1"/>
  <c r="P280" i="76" s="1"/>
  <c r="F267" i="76" a="1"/>
  <c r="F267" i="76" s="1"/>
  <c r="P273" i="76" a="1"/>
  <c r="P273" i="76" s="1"/>
  <c r="P275" i="76" a="1"/>
  <c r="P275" i="76" s="1"/>
  <c r="G281" i="76" a="1"/>
  <c r="G281" i="76" s="1"/>
  <c r="P279" i="76" a="1"/>
  <c r="P279" i="76" s="1"/>
  <c r="S278" i="76" a="1"/>
  <c r="S278" i="76" s="1"/>
  <c r="R216" i="76" a="1"/>
  <c r="R216" i="76" s="1"/>
  <c r="R214" i="76" a="1"/>
  <c r="R214" i="76" s="1"/>
  <c r="R217" i="76" a="1"/>
  <c r="R217" i="76" s="1"/>
  <c r="R215" i="76" a="1"/>
  <c r="R215" i="76" s="1"/>
  <c r="P282" i="76" a="1"/>
  <c r="P282" i="76" s="1"/>
  <c r="O255" i="69" a="1"/>
  <c r="O255" i="69" s="1"/>
  <c r="O288" i="69" s="1" a="1"/>
  <c r="O288" i="69" s="1"/>
  <c r="S269" i="76" a="1"/>
  <c r="S269" i="76" s="1"/>
  <c r="P270" i="76" a="1"/>
  <c r="P270" i="76" s="1"/>
  <c r="Q267" i="76" a="1"/>
  <c r="Q267" i="76" s="1"/>
  <c r="H277" i="76" a="1"/>
  <c r="H277" i="76" s="1"/>
  <c r="F279" i="76" a="1"/>
  <c r="F279" i="76" s="1"/>
  <c r="G272" i="76" a="1"/>
  <c r="G272" i="76" s="1"/>
  <c r="P276" i="76" a="1"/>
  <c r="P276" i="76" s="1"/>
  <c r="H280" i="76" a="1"/>
  <c r="H280" i="76" s="1"/>
  <c r="H269" i="76" a="1"/>
  <c r="H269" i="76" s="1"/>
  <c r="F277" i="76" a="1"/>
  <c r="F277" i="76" s="1"/>
  <c r="G275" i="76" a="1"/>
  <c r="G275" i="76" s="1"/>
  <c r="H281" i="76" a="1"/>
  <c r="H281" i="76" s="1"/>
  <c r="R268" i="76" a="1"/>
  <c r="R268" i="76" s="1"/>
  <c r="I278" i="76" a="1"/>
  <c r="I278" i="76" s="1"/>
  <c r="S282" i="76" a="1"/>
  <c r="S282" i="76" s="1"/>
  <c r="R272" i="76" a="1"/>
  <c r="R272" i="76" s="1"/>
  <c r="F269" i="76" a="1"/>
  <c r="F269" i="76" s="1"/>
  <c r="R270" i="76" a="1"/>
  <c r="R270" i="76" s="1"/>
  <c r="I275" i="76" a="1"/>
  <c r="I275" i="76" s="1"/>
  <c r="S268" i="76" a="1"/>
  <c r="S268" i="76" s="1"/>
  <c r="G282" i="76" a="1"/>
  <c r="G282" i="76" s="1"/>
  <c r="P272" i="76" a="1"/>
  <c r="P272" i="76" s="1"/>
  <c r="H275" i="76" a="1"/>
  <c r="H275" i="76" s="1"/>
  <c r="G268" i="76" a="1"/>
  <c r="G268" i="76" s="1"/>
  <c r="E255" i="69" a="1"/>
  <c r="E255" i="69" s="1"/>
  <c r="E288" i="69" s="1" a="1"/>
  <c r="E288" i="69" s="1"/>
  <c r="Q282" i="76" a="1"/>
  <c r="Q282" i="76" s="1"/>
  <c r="F272" i="76" a="1"/>
  <c r="F272" i="76" s="1"/>
  <c r="Q265" i="76" a="1"/>
  <c r="Q265" i="76" s="1"/>
  <c r="H217" i="76" a="1"/>
  <c r="H217" i="76" s="1"/>
  <c r="H214" i="76" a="1"/>
  <c r="H214" i="76" s="1"/>
  <c r="H215" i="76" a="1"/>
  <c r="H215" i="76" s="1"/>
  <c r="H216" i="76" a="1"/>
  <c r="H216" i="76" s="1"/>
  <c r="F270" i="76" a="1"/>
  <c r="F270" i="76" s="1"/>
  <c r="P269" i="76" a="1"/>
  <c r="P269" i="76" s="1"/>
  <c r="P267" i="76" a="1"/>
  <c r="P267" i="76" s="1"/>
  <c r="R271" i="76" a="1"/>
  <c r="R271" i="76" s="1"/>
  <c r="S275" i="76" a="1"/>
  <c r="S275" i="76" s="1"/>
  <c r="Q268" i="76" a="1"/>
  <c r="Q268" i="76" s="1"/>
  <c r="D255" i="69" a="1"/>
  <c r="D255" i="69" s="1"/>
  <c r="D288" i="69" s="1" a="1"/>
  <c r="D288" i="69" s="1"/>
  <c r="I272" i="76" a="1"/>
  <c r="I272" i="76" s="1"/>
  <c r="R29" i="97" l="1"/>
  <c r="R74" i="97" s="1" a="1"/>
  <c r="R74" i="97" s="1"/>
  <c r="R263" i="76" a="1"/>
  <c r="R263" i="76" s="1"/>
  <c r="G31" i="97"/>
  <c r="G76" i="97" s="1" a="1"/>
  <c r="G76" i="97" s="1"/>
  <c r="G265" i="76" a="1"/>
  <c r="G265" i="76" s="1"/>
  <c r="S31" i="97"/>
  <c r="S76" i="97" s="1" a="1"/>
  <c r="S76" i="97" s="1"/>
  <c r="S265" i="76" a="1"/>
  <c r="S265" i="76" s="1"/>
  <c r="R31" i="97"/>
  <c r="R76" i="97" s="1" a="1"/>
  <c r="R76" i="97" s="1"/>
  <c r="R265" i="76" a="1"/>
  <c r="R265" i="76" s="1"/>
  <c r="G29" i="97"/>
  <c r="G74" i="97" s="1" a="1"/>
  <c r="G74" i="97" s="1"/>
  <c r="G263" i="76" a="1"/>
  <c r="G263" i="76" s="1"/>
  <c r="S30" i="97"/>
  <c r="S75" i="97" s="1" a="1"/>
  <c r="S75" i="97" s="1"/>
  <c r="S264" i="76" a="1"/>
  <c r="S264" i="76" s="1"/>
  <c r="G32" i="97"/>
  <c r="G77" i="97" s="1" a="1"/>
  <c r="G77" i="97" s="1"/>
  <c r="G266" i="76" a="1"/>
  <c r="G266" i="76" s="1"/>
  <c r="S29" i="97"/>
  <c r="S74" i="97" s="1" a="1"/>
  <c r="S74" i="97" s="1"/>
  <c r="S263" i="76" a="1"/>
  <c r="S263" i="76" s="1"/>
  <c r="I32" i="97"/>
  <c r="I77" i="97" s="1" a="1"/>
  <c r="I77" i="97" s="1"/>
  <c r="I266" i="76" a="1"/>
  <c r="I266" i="76" s="1"/>
  <c r="P32" i="97"/>
  <c r="P77" i="97" s="1" a="1"/>
  <c r="P77" i="97" s="1"/>
  <c r="P266" i="76" a="1"/>
  <c r="P266" i="76" s="1"/>
  <c r="I29" i="97"/>
  <c r="I74" i="97" s="1" a="1"/>
  <c r="I74" i="97" s="1"/>
  <c r="I263" i="76" a="1"/>
  <c r="I263" i="76" s="1"/>
  <c r="P31" i="97"/>
  <c r="P76" i="97" s="1" a="1"/>
  <c r="P76" i="97" s="1"/>
  <c r="P265" i="76" a="1"/>
  <c r="P265" i="76" s="1"/>
  <c r="I31" i="97"/>
  <c r="I76" i="97" s="1" a="1"/>
  <c r="I76" i="97" s="1"/>
  <c r="I265" i="76" a="1"/>
  <c r="I265" i="76" s="1"/>
  <c r="P30" i="97"/>
  <c r="P75" i="97" s="1" a="1"/>
  <c r="P75" i="97" s="1"/>
  <c r="P264" i="76" a="1"/>
  <c r="P264" i="76" s="1"/>
  <c r="H31" i="97"/>
  <c r="H76" i="97" s="1" a="1"/>
  <c r="H76" i="97" s="1"/>
  <c r="H265" i="76" a="1"/>
  <c r="H265" i="76" s="1"/>
  <c r="H30" i="97"/>
  <c r="H75" i="97" s="1" a="1"/>
  <c r="H75" i="97" s="1"/>
  <c r="H264" i="76" a="1"/>
  <c r="H264" i="76" s="1"/>
  <c r="H29" i="97"/>
  <c r="H74" i="97" s="1" a="1"/>
  <c r="H74" i="97" s="1"/>
  <c r="H263" i="76" a="1"/>
  <c r="H263" i="76" s="1"/>
  <c r="I30" i="97"/>
  <c r="I75" i="97" s="1" a="1"/>
  <c r="I75" i="97" s="1"/>
  <c r="I264" i="76" a="1"/>
  <c r="I264" i="76" s="1"/>
  <c r="P29" i="97"/>
  <c r="P74" i="97" s="1" a="1"/>
  <c r="P74" i="97" s="1"/>
  <c r="P263" i="76" a="1"/>
  <c r="P263" i="76" s="1"/>
  <c r="H32" i="97"/>
  <c r="H77" i="97" s="1" a="1"/>
  <c r="H77" i="97" s="1"/>
  <c r="H266" i="76" a="1"/>
  <c r="H266" i="76" s="1"/>
  <c r="O290" i="69"/>
  <c r="Q292" i="69" s="1"/>
  <c r="O295" i="69" s="1" a="1"/>
  <c r="O295" i="69" s="1"/>
  <c r="F31" i="97"/>
  <c r="F76" i="97" s="1" a="1"/>
  <c r="F76" i="97" s="1"/>
  <c r="F265" i="76" a="1"/>
  <c r="F265" i="76" s="1"/>
  <c r="F32" i="97"/>
  <c r="F77" i="97" s="1" a="1"/>
  <c r="F77" i="97" s="1"/>
  <c r="F266" i="76" a="1"/>
  <c r="F266" i="76" s="1"/>
  <c r="R30" i="97"/>
  <c r="R75" i="97" s="1" a="1"/>
  <c r="R75" i="97" s="1"/>
  <c r="R264" i="76" a="1"/>
  <c r="R264" i="76" s="1"/>
  <c r="F74" i="97" a="1"/>
  <c r="F74" i="97" s="1"/>
  <c r="F263" i="76" a="1"/>
  <c r="F263" i="76" s="1"/>
  <c r="E289" i="76" s="1"/>
  <c r="G291" i="76" s="1"/>
  <c r="E294" i="76" s="1" a="1"/>
  <c r="E294" i="76" s="1"/>
  <c r="E290" i="69"/>
  <c r="G292" i="69" s="1"/>
  <c r="E295" i="69" s="1" a="1"/>
  <c r="E295" i="69" s="1"/>
  <c r="R32" i="97"/>
  <c r="R77" i="97" s="1" a="1"/>
  <c r="R77" i="97" s="1"/>
  <c r="R266" i="76" a="1"/>
  <c r="R266" i="76" s="1"/>
  <c r="G30" i="97"/>
  <c r="G75" i="97" s="1" a="1"/>
  <c r="G75" i="97" s="1"/>
  <c r="G264" i="76" a="1"/>
  <c r="G264" i="76" s="1"/>
  <c r="S32" i="97"/>
  <c r="S77" i="97" s="1" a="1"/>
  <c r="S77" i="97" s="1"/>
  <c r="S266" i="76" a="1"/>
  <c r="S266" i="76" s="1"/>
  <c r="F30" i="97"/>
  <c r="F75" i="97" s="1" a="1"/>
  <c r="F75" i="97" s="1"/>
  <c r="F264" i="76" a="1"/>
  <c r="F264" i="76" s="1"/>
  <c r="O100" i="97" l="1"/>
  <c r="E100" i="97"/>
  <c r="O289" i="76"/>
  <c r="Q291" i="76" s="1"/>
  <c r="O294" i="76" s="1" a="1"/>
  <c r="O294" i="76" s="1"/>
  <c r="G112" i="97" l="1"/>
  <c r="E119" i="97" s="1" a="1"/>
  <c r="E119" i="97" s="1"/>
  <c r="G121" i="97" s="1"/>
  <c r="E124" i="97" s="1" a="1"/>
  <c r="E124" i="97" s="1"/>
  <c r="Q112" i="97"/>
  <c r="O119" i="97" s="1" a="1"/>
  <c r="O119" i="97" s="1"/>
  <c r="Q121" i="97" s="1"/>
  <c r="O124" i="97" s="1" a="1"/>
  <c r="O124" i="9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<sst xmlns="http://schemas.openxmlformats.org/spreadsheetml/2006/main" count="1090" uniqueCount="368">
  <si>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</si>
  <si>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</si>
  <si>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</si>
  <si>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</si>
  <si>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</si>
  <si>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</si>
  <si>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</si>
  <si>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</si>
  <si>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</si>
  <si>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</si>
  <si>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</si>
  <si>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</si>
  <si>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</si>
  <si>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</si>
  <si>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</si>
  <si>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</si>
  <si>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</si>
  <si>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</si>
  <si>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</si>
  <si>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</si>
  <si>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</si>
  <si>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</si>
  <si>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</si>
  <si>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</si>
  <si>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</si>
  <si>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</si>
  <si>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</si>
  <si>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</si>
  <si>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</si>
  <si>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</si>
  <si>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</si>
  <si>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</si>
  <si>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</si>
  <si>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</si>
  <si>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</si>
  <si>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</si>
  <si>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</si>
  <si>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</si>
  <si>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</si>
  <si>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</si>
  <si>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</si>
  <si>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</si>
  <si>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</si>
  <si>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</si>
  <si>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</si>
  <si>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</si>
  <si>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</si>
  <si>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</si>
  <si>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</si>
  <si>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</si>
  <si>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</si>
  <si>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</si>
  <si>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</si>
  <si>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</si>
  <si>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</si>
  <si>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</si>
  <si>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</si>
  <si>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</si>
  <si>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</si>
  <si>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</si>
  <si>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</si>
  <si>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</si>
  <si>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</si>
  <si>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</si>
  <si>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</si>
  <si>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</si>
  <si>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</si>
  <si>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</si>
  <si>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</si>
  <si>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</si>
  <si>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</si>
  <si>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</si>
  <si>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</si>
  <si>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</si>
  <si>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</si>
  <si>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</si>
  <si>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</si>
  <si>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</si>
  <si>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</si>
  <si>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</si>
  <si>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</si>
  <si>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</si>
  <si>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</si>
  <si>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</si>
  <si>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</si>
  <si>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</si>
  <si>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</si>
  <si>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</si>
  <si>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</si>
  <si>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</si>
  <si>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</si>
  <si>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</si>
  <si>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</si>
  <si>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</si>
  <si>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</si>
  <si>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</si>
  <si>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</si>
  <si>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</si>
  <si>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</si>
  <si>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Fraction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</si>
  <si>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</si>
  <si>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</si>
  <si>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</si>
  <si>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</si>
  <si>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</si>
  <si>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</si>
  <si>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</si>
  <si>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</si>
  <si>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</si>
  <si>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</si>
  <si>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</si>
  <si>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</si>
  <si>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</si>
  <si>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</si>
  <si>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</si>
  <si>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</si>
  <si>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</si>
  <si>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t>Total</t>
  </si>
  <si>
    <t>GHG Unit</t>
  </si>
  <si>
    <t>CO2-e unit</t>
  </si>
  <si>
    <t>Month</t>
  </si>
  <si>
    <t>kg/head/day</t>
  </si>
  <si>
    <t>M1_Table_MCF_i_m</t>
  </si>
  <si>
    <t>M1_Table_E_CH4</t>
  </si>
  <si>
    <t>t CH4</t>
  </si>
  <si>
    <t>Irrigation type i</t>
  </si>
  <si>
    <t>t CO2e</t>
  </si>
  <si>
    <t>EFPRP</t>
  </si>
  <si>
    <t>GHG emissions method 1</t>
  </si>
  <si>
    <t>GHG emissions method 2</t>
  </si>
  <si>
    <t>CO2-e emissions method 1</t>
  </si>
  <si>
    <t>CO2-e emissions method 2</t>
  </si>
  <si>
    <t>4.2.1.1-2 Manure methane</t>
  </si>
  <si>
    <t>Season</t>
  </si>
  <si>
    <t>Western Australia</t>
  </si>
  <si>
    <t>M2_Table_E_CH4</t>
  </si>
  <si>
    <t>t N2O</t>
  </si>
  <si>
    <t>4.2.1.3-4 Soil direct N2O</t>
  </si>
  <si>
    <t>4.2.1.5-6 Soil atmospheric deposition</t>
  </si>
  <si>
    <t>4.2.1.7-8 Soil leaching and runoff</t>
  </si>
  <si>
    <t>Crop</t>
  </si>
  <si>
    <t>Acknowledgements</t>
  </si>
  <si>
    <t>4.5 Manure management: Swine: Results</t>
  </si>
  <si>
    <t>Input -Swine</t>
  </si>
  <si>
    <t>Constants - Swine</t>
  </si>
  <si>
    <t>Manure production</t>
  </si>
  <si>
    <t>Boars</t>
  </si>
  <si>
    <t>Sows</t>
  </si>
  <si>
    <t>Gilts</t>
  </si>
  <si>
    <t>Volatile solids produced per head per day</t>
  </si>
  <si>
    <t>Nitrogen produced in swine waste per head per day</t>
  </si>
  <si>
    <t>kg N/head/day</t>
  </si>
  <si>
    <t>Conventional housing</t>
  </si>
  <si>
    <t>Solid storage</t>
  </si>
  <si>
    <t>Yes</t>
  </si>
  <si>
    <t>Class</t>
  </si>
  <si>
    <t>VSj</t>
  </si>
  <si>
    <t>CHange title to match source</t>
  </si>
  <si>
    <t>CHange source</t>
  </si>
  <si>
    <t>NIR definition</t>
  </si>
  <si>
    <t>Swine Manure management systems</t>
  </si>
  <si>
    <t>Swine Manure management systems excl. solid storage and direct application</t>
  </si>
  <si>
    <t>Swine Manure management systems excl. direct application</t>
  </si>
  <si>
    <t>Fraction volatile solids lost during storage in primary system</t>
  </si>
  <si>
    <t>Swine housing</t>
  </si>
  <si>
    <t>VSL</t>
  </si>
  <si>
    <t>4.5.1.1-2 Manure Methane</t>
  </si>
  <si>
    <t>Inconsistencies - 'primary system' vs 'stage 1'</t>
  </si>
  <si>
    <t>If this is directly related to equation 5, the mms numbers should be the same eg 1,7,9 (and probably 8,)</t>
  </si>
  <si>
    <t>SSm should be SSjm</t>
  </si>
  <si>
    <t>Table_MMS_j_m-1-7-9-8_T-1</t>
  </si>
  <si>
    <t>Fraction VS sent to MMS other than solid storage in stage 1</t>
  </si>
  <si>
    <t>Stage 1 management</t>
  </si>
  <si>
    <r>
      <t>MMS</t>
    </r>
    <r>
      <rPr>
        <b/>
        <vertAlign val="subscript"/>
        <sz val="11"/>
        <color rgb="FF183C1B"/>
        <rFont val="Times New Roman"/>
        <family val="1"/>
      </rPr>
      <t>j=1,m=1,7,9,8,13,T=1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</si>
  <si>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</si>
  <si>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</si>
  <si>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j=4,m=1,7,9,8,13,T=1</t>
    </r>
  </si>
  <si>
    <r>
      <t>SS</t>
    </r>
    <r>
      <rPr>
        <b/>
        <vertAlign val="subscript"/>
        <sz val="11"/>
        <color rgb="FF183C1B"/>
        <rFont val="Times New Roman"/>
        <family val="1"/>
      </rPr>
      <t>j=1m=1,7,9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</si>
  <si>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j=2m=1,7,9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</si>
  <si>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j=3m=1,7,9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</si>
  <si>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j=4m=1,7,9</t>
    </r>
  </si>
  <si>
    <r>
      <t>FVS</t>
    </r>
    <r>
      <rPr>
        <b/>
        <vertAlign val="subscript"/>
        <sz val="11"/>
        <color rgb="FF183C1B"/>
        <rFont val="Times New Roman"/>
        <family val="1"/>
      </rPr>
      <t>j,m=1,7,9,T=1</t>
    </r>
  </si>
  <si>
    <t>Rename to 'Fraction of volatile solids in primary system in solid storage'</t>
  </si>
  <si>
    <t>should have mms numbers in SSm</t>
  </si>
  <si>
    <t>Table_MMS_j_m-4_T-1</t>
  </si>
  <si>
    <t>Fraction primary system solid storage</t>
  </si>
  <si>
    <r>
      <t>MMS</t>
    </r>
    <r>
      <rPr>
        <b/>
        <vertAlign val="subscript"/>
        <sz val="11"/>
        <color rgb="FF183C1B"/>
        <rFont val="Times New Roman"/>
        <family val="1"/>
      </rPr>
      <t>j=1,m=4,T=1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</si>
  <si>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</si>
  <si>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</si>
  <si>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</si>
  <si>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j=1,m=4,T=1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</si>
  <si>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j=2,m=4,T=1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</si>
  <si>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j=3,m=4,T=1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</si>
  <si>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j=4,m=4,T=1</t>
    </r>
  </si>
  <si>
    <t>Should be kg/head/day</t>
  </si>
  <si>
    <r>
      <t>VS</t>
    </r>
    <r>
      <rPr>
        <b/>
        <vertAlign val="subscript"/>
        <sz val="11"/>
        <color rgb="FF183C1B"/>
        <rFont val="Times New Roman"/>
        <family val="1"/>
      </rPr>
      <t>j=1</t>
    </r>
  </si>
  <si>
    <r>
      <t>VS</t>
    </r>
    <r>
      <rPr>
        <b/>
        <vertAlign val="subscript"/>
        <sz val="11"/>
        <color rgb="FF183C1B"/>
        <rFont val="Times New Roman"/>
        <family val="1"/>
      </rPr>
      <t>j=2</t>
    </r>
  </si>
  <si>
    <r>
      <t>VS</t>
    </r>
    <r>
      <rPr>
        <b/>
        <vertAlign val="subscript"/>
        <sz val="11"/>
        <color rgb="FF183C1B"/>
        <rFont val="Times New Roman"/>
        <family val="1"/>
      </rPr>
      <t>j=3</t>
    </r>
  </si>
  <si>
    <r>
      <t>VS</t>
    </r>
    <r>
      <rPr>
        <b/>
        <vertAlign val="subscript"/>
        <sz val="11"/>
        <color rgb="FF183C1B"/>
        <rFont val="Times New Roman"/>
        <family val="1"/>
      </rPr>
      <t>j=4</t>
    </r>
  </si>
  <si>
    <t>Table_VSL_m_T-1</t>
  </si>
  <si>
    <r>
      <t>VSL</t>
    </r>
    <r>
      <rPr>
        <b/>
        <vertAlign val="subscript"/>
        <sz val="11"/>
        <color rgb="FF183C1B"/>
        <rFont val="Times New Roman"/>
        <family val="1"/>
      </rPr>
      <t>m,T=1</t>
    </r>
  </si>
  <si>
    <t>create source data in sourcedata file</t>
  </si>
  <si>
    <r>
      <t>VST</t>
    </r>
    <r>
      <rPr>
        <b/>
        <vertAlign val="subscript"/>
        <sz val="11"/>
        <color rgb="FF183C1B"/>
        <rFont val="Times New Roman"/>
        <family val="1"/>
      </rPr>
      <t>j=1,m,T=2</t>
    </r>
  </si>
  <si>
    <r>
      <t>VST</t>
    </r>
    <r>
      <rPr>
        <b/>
        <vertAlign val="subscript"/>
        <sz val="11"/>
        <color rgb="FF183C1B"/>
        <rFont val="Times New Roman"/>
        <family val="1"/>
      </rPr>
      <t>j=2,m,T=1</t>
    </r>
  </si>
  <si>
    <r>
      <t>VST</t>
    </r>
    <r>
      <rPr>
        <b/>
        <vertAlign val="subscript"/>
        <sz val="11"/>
        <color rgb="FF183C1B"/>
        <rFont val="Times New Roman"/>
        <family val="1"/>
      </rPr>
      <t>j=3,m,T=1</t>
    </r>
  </si>
  <si>
    <r>
      <t>VST</t>
    </r>
    <r>
      <rPr>
        <b/>
        <vertAlign val="subscript"/>
        <sz val="11"/>
        <color rgb="FF183C1B"/>
        <rFont val="Times New Roman"/>
        <family val="1"/>
      </rPr>
      <t>j=4,m,T=1</t>
    </r>
  </si>
  <si>
    <t>Add variation - temperature zone or state</t>
  </si>
  <si>
    <t>Table_MMS_j_m_T-2</t>
  </si>
  <si>
    <t>Fraction of manure in each secondary system</t>
  </si>
  <si>
    <t>Stage 2 management</t>
  </si>
  <si>
    <r>
      <t>MMS</t>
    </r>
    <r>
      <rPr>
        <b/>
        <vertAlign val="subscript"/>
        <sz val="11"/>
        <color rgb="FF183C1B"/>
        <rFont val="Times New Roman"/>
        <family val="1"/>
      </rPr>
      <t>j=1,m,T=2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</si>
  <si>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</si>
  <si>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</si>
  <si>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j=4,m,T=2</t>
    </r>
  </si>
  <si>
    <t>N/A</t>
  </si>
  <si>
    <r>
      <t>M</t>
    </r>
    <r>
      <rPr>
        <b/>
        <vertAlign val="subscript"/>
        <sz val="11"/>
        <color rgb="FF183C1B"/>
        <rFont val="Times New Roman"/>
        <family val="1"/>
      </rPr>
      <t>i,j=1,m,T=2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</si>
  <si>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i,j=2,m,T=2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</si>
  <si>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i,j=3,m,T=2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</si>
  <si>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i,j=4,m,T=2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</si>
  <si>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ij=1,m,T=1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</si>
  <si>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ij=2,m,T=1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</si>
  <si>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ij=3,m,T=1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</si>
  <si>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ij=4,m,T=1</t>
    </r>
  </si>
  <si>
    <t>See table</t>
  </si>
  <si>
    <r>
      <t>M</t>
    </r>
    <r>
      <rPr>
        <b/>
        <vertAlign val="subscript"/>
        <sz val="11"/>
        <color rgb="FF183C1B"/>
        <rFont val="Times New Roman"/>
        <family val="1"/>
      </rPr>
      <t>mj=1</t>
    </r>
  </si>
  <si>
    <r>
      <t>M</t>
    </r>
    <r>
      <rPr>
        <b/>
        <vertAlign val="subscript"/>
        <sz val="11"/>
        <color rgb="FF183C1B"/>
        <rFont val="Times New Roman"/>
        <family val="1"/>
      </rPr>
      <t>mj=2</t>
    </r>
  </si>
  <si>
    <r>
      <t>M</t>
    </r>
    <r>
      <rPr>
        <b/>
        <vertAlign val="subscript"/>
        <sz val="11"/>
        <color rgb="FF183C1B"/>
        <rFont val="Times New Roman"/>
        <family val="1"/>
      </rPr>
      <t>mj=3</t>
    </r>
  </si>
  <si>
    <r>
      <t>M</t>
    </r>
    <r>
      <rPr>
        <b/>
        <vertAlign val="subscript"/>
        <sz val="11"/>
        <color rgb="FF183C1B"/>
        <rFont val="Times New Roman"/>
        <family val="1"/>
      </rPr>
      <t>mj=4</t>
    </r>
  </si>
  <si>
    <t>Table_D_j</t>
  </si>
  <si>
    <t>Duration of stay of each class of swine</t>
  </si>
  <si>
    <r>
      <t>D</t>
    </r>
    <r>
      <rPr>
        <b/>
        <vertAlign val="subscript"/>
        <sz val="11"/>
        <color rgb="FF183C1B"/>
        <rFont val="Times New Roman"/>
        <family val="1"/>
      </rPr>
      <t>j=1</t>
    </r>
  </si>
  <si>
    <r>
      <t>D</t>
    </r>
    <r>
      <rPr>
        <b/>
        <vertAlign val="subscript"/>
        <sz val="11"/>
        <color rgb="FF183C1B"/>
        <rFont val="Times New Roman"/>
        <family val="1"/>
      </rPr>
      <t>j=2</t>
    </r>
  </si>
  <si>
    <r>
      <t>D</t>
    </r>
    <r>
      <rPr>
        <b/>
        <vertAlign val="subscript"/>
        <sz val="11"/>
        <color rgb="FF183C1B"/>
        <rFont val="Times New Roman"/>
        <family val="1"/>
      </rPr>
      <t>j=3</t>
    </r>
  </si>
  <si>
    <r>
      <t>D</t>
    </r>
    <r>
      <rPr>
        <b/>
        <vertAlign val="subscript"/>
        <sz val="11"/>
        <color rgb="FF183C1B"/>
        <rFont val="Times New Roman"/>
        <family val="1"/>
      </rPr>
      <t>j=4</t>
    </r>
  </si>
  <si>
    <t>Table_N_j</t>
  </si>
  <si>
    <t>Number of head for each swine class</t>
  </si>
  <si>
    <t>ECH4</t>
  </si>
  <si>
    <t>Manure management systems</t>
  </si>
  <si>
    <t>Stage 1 MMS</t>
  </si>
  <si>
    <t>Total sent to all MMS (Must equal 100%)</t>
  </si>
  <si>
    <t>Stage 2 MMS</t>
  </si>
  <si>
    <t>Solid separation from stage 1 MMS</t>
  </si>
  <si>
    <t>Were solids separated? (select)</t>
  </si>
  <si>
    <t>Percent separated (Method 1)</t>
  </si>
  <si>
    <t>Percent separated (Method 2)</t>
  </si>
  <si>
    <t>This tool demostrates inputs for one production system.</t>
  </si>
  <si>
    <t>Because the type of production system is not relevant in emissions calculations, you can select any kind.</t>
  </si>
  <si>
    <t>Add OR statement if any solids were separated</t>
  </si>
  <si>
    <t>Destination after stage 2 MMS (Percent)</t>
  </si>
  <si>
    <t>Sold</t>
  </si>
  <si>
    <t>Fert for own farm (eg crop)</t>
  </si>
  <si>
    <t>Direct application to soil</t>
  </si>
  <si>
    <t>▼</t>
  </si>
  <si>
    <t>►</t>
  </si>
  <si>
    <t>Fraction separated solids sent from MMS other than solid storage to solid storage in stage 1 (Method 1)</t>
  </si>
  <si>
    <t>Fraction VS in MMS other than solid storage in stage 1 (Method 1)</t>
  </si>
  <si>
    <t>M1_Table_FVS_j_m-4_T-1</t>
  </si>
  <si>
    <t>Fraction VS in stage 1 solid storage (Method 1)</t>
  </si>
  <si>
    <t>Methane conversion factor for state (Method 1)</t>
  </si>
  <si>
    <t>M1_Table_M_i_j_m_T-2</t>
  </si>
  <si>
    <t>Production of methane for each MMS in stage 2 (Method 1)</t>
  </si>
  <si>
    <t>M1 Table_VST_j_m_T-2</t>
  </si>
  <si>
    <t>Volatile solids transferred from stage 1 to stage 2 (Method 1)</t>
  </si>
  <si>
    <t>Method 1 default values (Do not edit)</t>
  </si>
  <si>
    <t>Method 2 custom values (Edit if known)</t>
  </si>
  <si>
    <t>Methane emissions from manure management (Method 1)</t>
  </si>
  <si>
    <t>Others</t>
  </si>
  <si>
    <t>M2_Table_SS_m-1-7-9</t>
  </si>
  <si>
    <t>Fraction separated solids sent from MMS other than solid storage to solid storage in stage 1 (Method 2)</t>
  </si>
  <si>
    <t>Fraction VS in MMS other than solid storage in stage 1 (Method 2)</t>
  </si>
  <si>
    <t>M2_Table_FVS_j_m-4_T-1</t>
  </si>
  <si>
    <t>Fraction VS in stage 1 solid storage (Method 2)</t>
  </si>
  <si>
    <t>M1_Table_VS_j</t>
  </si>
  <si>
    <t>Daily volatile solid production (Method 1)</t>
  </si>
  <si>
    <t>M2_Table_VS_j</t>
  </si>
  <si>
    <t>Daily volatile solid production (Method 2)</t>
  </si>
  <si>
    <t>M2 Table_VST_j_m_T-2</t>
  </si>
  <si>
    <t>Volatile solids transferred from stage 1 to stage 2 (Method 2)</t>
  </si>
  <si>
    <t>M2_Table_M_i_j_m_T-2</t>
  </si>
  <si>
    <t>Production of methane for each MMS in stage 2 (Method 2)</t>
  </si>
  <si>
    <t>M2_Table_M_i_j_m_T-1</t>
  </si>
  <si>
    <t>Production of methane for each MMS in stage 1 (Method 2)</t>
  </si>
  <si>
    <t>M1_Table_M_i_j_m_T-1</t>
  </si>
  <si>
    <t>Production of methane for each MMS in stage 1 (Method 1)</t>
  </si>
  <si>
    <t>M1_Table_M_m_j</t>
  </si>
  <si>
    <t>Production of methane for all MMS in stages 1 and 2 (Method 1)</t>
  </si>
  <si>
    <t>M2_Table_M_m_j</t>
  </si>
  <si>
    <t>Production of methane for all MMS in stages 1 and 2 (Method 2)</t>
  </si>
  <si>
    <t>Methane emissions from manure management (Method 2)</t>
  </si>
  <si>
    <t>4.5.1.3-4 Manure Direct N2O</t>
  </si>
  <si>
    <t>Kg N/head/day</t>
  </si>
  <si>
    <t>NWj</t>
  </si>
  <si>
    <t>NWj Daily</t>
  </si>
  <si>
    <t>Ij</t>
  </si>
  <si>
    <t>MMSm</t>
  </si>
  <si>
    <t>FracGASMmT</t>
  </si>
  <si>
    <t>NIR reference</t>
  </si>
  <si>
    <t>Nitrogen produced per class</t>
  </si>
  <si>
    <t>Table_NW_j</t>
  </si>
  <si>
    <t>Duration of stay for each swine class</t>
  </si>
  <si>
    <t>Table_AE_j</t>
  </si>
  <si>
    <t xml:space="preserve">This is a duplicate of </t>
  </si>
  <si>
    <t>Fraction N sent to MMS other than solid storage in stage 1</t>
  </si>
  <si>
    <t>M1_Table_SN_m-1-7-9</t>
  </si>
  <si>
    <t>Fraction of nitrogen separated to solid storage (Method 1)</t>
  </si>
  <si>
    <t>M1_Table_FN_j_m_T-1</t>
  </si>
  <si>
    <t>M1_Table_FVS_j_m_T-1</t>
  </si>
  <si>
    <t>M2_Table_FVS_j_m_T-1</t>
  </si>
  <si>
    <t>Table_MMS_j_m_T-1</t>
  </si>
  <si>
    <t>M1_Table_SS_m</t>
  </si>
  <si>
    <t>Fraction N in each primary MMS (Method 1)</t>
  </si>
  <si>
    <t>M1_Table_MN_j_m_T-1</t>
  </si>
  <si>
    <t>Nitrogen in treatment stage 1 MMS (Method 1)</t>
  </si>
  <si>
    <t>Annual nitrogen excretion</t>
  </si>
  <si>
    <t>Table_FracGASM_m_t-1</t>
  </si>
  <si>
    <t>Fraction of N volatilised from stage 1 MMS</t>
  </si>
  <si>
    <t>FracGASMm</t>
  </si>
  <si>
    <t>Table_EF_m_t-1</t>
  </si>
  <si>
    <t>Nitrous oxide emissions factor for stage 1 MMS</t>
  </si>
  <si>
    <t>EF</t>
  </si>
  <si>
    <t>EFmT</t>
  </si>
  <si>
    <t>M1_Table_NT_j_m_T-2</t>
  </si>
  <si>
    <t>Nitrogen transferred to treatment stage 2 (Method 1)</t>
  </si>
  <si>
    <t>M1_Table_MN_j_m_T-2</t>
  </si>
  <si>
    <t>Nitrogen in stage 2 MMS (Method 1)</t>
  </si>
  <si>
    <t>M1_Table_E_N2O_dir</t>
  </si>
  <si>
    <t>Total direct nitrous oxide emissions from MMS (Method 1)</t>
  </si>
  <si>
    <r>
      <t>MMS</t>
    </r>
    <r>
      <rPr>
        <b/>
        <vertAlign val="subscript"/>
        <sz val="16"/>
        <color theme="1" tint="0.24994659260841701"/>
        <rFont val="Times New Roman"/>
        <family val="1"/>
      </rPr>
      <t>ATMOS</t>
    </r>
  </si>
  <si>
    <t>Where manure was deposited on farm soils, what is the closest match?</t>
  </si>
  <si>
    <t>Swine crop or pasture production systems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</si>
  <si>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</si>
  <si>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M2_Table_SN_m-1-7-9</t>
  </si>
  <si>
    <t>Fraction of nitrogen separated to solid storage (Method 2)</t>
  </si>
  <si>
    <t>M2_Table_MN_j_m_T-1</t>
  </si>
  <si>
    <t>Nitrogen in treatment stage 1 MMS (Method 2)</t>
  </si>
  <si>
    <t>M2_Table_NT_j_m_T-2</t>
  </si>
  <si>
    <t>Nitrogen transferred to treatment stage 2 (Method 2)</t>
  </si>
  <si>
    <t>M2_Table_FN_j_m_T-1</t>
  </si>
  <si>
    <t>Fraction N in each primary MMS (Method 2)</t>
  </si>
  <si>
    <t>M2_Table_E_N2O_dir</t>
  </si>
  <si>
    <t>Total direct nitrous oxide emissions from MMS (Method 2)</t>
  </si>
  <si>
    <r>
      <t xml:space="preserve">This infers that drylot is </t>
    </r>
    <r>
      <rPr>
        <b/>
        <sz val="12"/>
        <color theme="1" tint="0.24994659260841701"/>
        <rFont val="Times New Roman"/>
        <family val="1"/>
      </rPr>
      <t>not</t>
    </r>
    <r>
      <rPr>
        <sz val="12"/>
        <color theme="1" tint="0.24994659260841701"/>
        <rFont val="Times New Roman"/>
        <family val="1"/>
      </rPr>
      <t xml:space="preserve"> a stage 2 MMS option</t>
    </r>
  </si>
  <si>
    <t>M1_Table_MN_j_m-5_T-1</t>
  </si>
  <si>
    <t>kg N</t>
  </si>
  <si>
    <t>Nitrogen in stage 1 drylot (Method 1)</t>
  </si>
  <si>
    <t>M2_Table_MN_j_m-5_T-1</t>
  </si>
  <si>
    <t>Nitrogen in stage 1 drylot (Method 2)</t>
  </si>
  <si>
    <t>Doc has typo - refers to 'solid storage'</t>
  </si>
  <si>
    <t>M1_Table_MN_leach_j_m-5</t>
  </si>
  <si>
    <t>Mass of nitrogen lost to leaching (Method 1)</t>
  </si>
  <si>
    <t>M1_Table_E_N2O_leach</t>
  </si>
  <si>
    <t>Annual emissions from leaching and runoff (Method 1)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</si>
  <si>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N2O,leach</t>
    </r>
  </si>
  <si>
    <t>M2_Table_E_N2O_leach</t>
  </si>
  <si>
    <t>Annual emissions from leaching and runoff (Method 2)</t>
  </si>
  <si>
    <t>4.5.1.7-8 Leaching and runoff</t>
  </si>
  <si>
    <t>4.5.1.5-6 Atmospheric deposition N2O</t>
  </si>
  <si>
    <t>4.5.1.9 Manure applied to soils</t>
  </si>
  <si>
    <t xml:space="preserve"> but 4.5.1.7, Equation (2) says MNleachjm=5 only comes from stage 1 MMS</t>
  </si>
  <si>
    <t>MNleachjm=5 infers stage 1 and 2 drylot MMS</t>
  </si>
  <si>
    <t>MNsoil is how much N is left in stage 2 MMS after breaking down and volatilising</t>
  </si>
  <si>
    <t>It's logical to include N lost from leaching from stage 2 MMS as well (drylot is the only MMS we consider leachable)</t>
  </si>
  <si>
    <t xml:space="preserve">loss of N from stage 1 before going to stage 2 is already accounted for in </t>
  </si>
  <si>
    <t xml:space="preserve"> 4.5.1.3, Equation (7) 'Nitrogen transferred to stage 2 MMS'</t>
  </si>
  <si>
    <t>which considers breaking down and volatilising, but not leaching.</t>
  </si>
  <si>
    <t>However the MNleach equation 4.5.1.7, Equation (2) only refers to stage 1 drylot MMS</t>
  </si>
  <si>
    <t>I think we should be calculating MNleachjm=5 for both stage 1 and 2,</t>
  </si>
  <si>
    <t>And use the MNleachjm=5T=2 values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</si>
</sst>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4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b/>
      <sz val="12"/>
      <color theme="1" tint="0.499984740745262"/>
      <name val="Times New Roman"/>
      <family val="1"/>
    </font>
    <font>
      <sz val="10"/>
      <color theme="1" tint="0.499984740745262"/>
      <name val="Times New Roman"/>
      <family val="1"/>
    </font>
    <font>
      <b/>
      <sz val="22"/>
      <color theme="5" tint="-0.499984740745262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thin">
        <color theme="3" tint="0.749961851863155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46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46" fillId="13" borderId="20" xfId="41" applyBorder="1">
      <alignment horizontal="left" vertical="center"/>
    </xf>
    <xf numFmtId="0" fontId="60" fillId="6" borderId="0" xfId="30" applyFont="1" applyProtection="1">
      <alignment horizontal="center" vertical="center"/>
    </xf>
    <xf numFmtId="0" fontId="13" fillId="6" borderId="0" xfId="30">
      <alignment horizontal="center" vertical="center"/>
      <protection locked="0"/>
    </xf>
    <xf numFmtId="0" fontId="0" fillId="0" borderId="0" xfId="1" applyFont="1" applyFill="1">
      <alignment horizontal="left" vertical="center" indent="1"/>
      <protection locked="0"/>
    </xf>
    <xf numFmtId="0" fontId="61" fillId="4" borderId="0" xfId="8" applyFont="1">
      <alignment horizontal="left" vertical="center"/>
    </xf>
    <xf numFmtId="0" fontId="62" fillId="4" borderId="0" xfId="8" applyFont="1">
      <alignment horizontal="left" vertical="center"/>
    </xf>
    <xf numFmtId="0" fontId="35" fillId="4" borderId="6" xfId="55" applyBorder="1">
      <alignment horizontal="center" vertical="center"/>
    </xf>
    <xf numFmtId="0" fontId="6" fillId="14" borderId="0" xfId="12" applyFill="1">
      <alignment horizontal="left" vertical="center" indent="1"/>
    </xf>
    <xf numFmtId="3" fontId="35" fillId="4" borderId="2" xfId="55" applyNumberFormat="1">
      <alignment horizontal="center" vertical="center"/>
    </xf>
    <xf numFmtId="0" fontId="40" fillId="4" borderId="0" xfId="8" applyAlignment="1">
      <alignment horizontal="left" vertical="center" indent="3"/>
    </xf>
    <xf numFmtId="0" fontId="42" fillId="4" borderId="0" xfId="8" applyFont="1" applyAlignment="1">
      <alignment horizontal="left" vertical="center" indent="3"/>
    </xf>
    <xf numFmtId="0" fontId="40" fillId="4" borderId="0" xfId="8" applyAlignment="1">
      <alignment horizontal="left" vertical="center" indent="6"/>
    </xf>
    <xf numFmtId="0" fontId="13" fillId="6" borderId="0" xfId="29" applyAlignment="1">
      <alignment horizontal="left" vertical="center" indent="3"/>
    </xf>
    <xf numFmtId="0" fontId="60" fillId="6" borderId="0" xfId="30" applyFont="1" applyAlignment="1" applyProtection="1">
      <alignment horizontal="left" vertical="center"/>
    </xf>
    <xf numFmtId="0" fontId="13" fillId="6" borderId="0" xfId="29" applyAlignment="1">
      <alignment horizontal="left" vertical="center" indent="6"/>
    </xf>
    <xf numFmtId="0" fontId="42" fillId="4" borderId="0" xfId="8" applyFont="1" applyAlignment="1">
      <alignment horizontal="left" vertical="center" indent="9"/>
    </xf>
    <xf numFmtId="0" fontId="40" fillId="4" borderId="0" xfId="8" applyAlignment="1">
      <alignment horizontal="left" vertical="center" indent="9"/>
    </xf>
    <xf numFmtId="0" fontId="40" fillId="4" borderId="0" xfId="8" applyAlignment="1">
      <alignment horizontal="center" vertical="center"/>
    </xf>
    <xf numFmtId="0" fontId="63" fillId="4" borderId="0" xfId="62" applyFont="1" applyAlignment="1">
      <alignment horizontal="left" vertical="center" indent="6"/>
    </xf>
    <xf numFmtId="0" fontId="63" fillId="4" borderId="0" xfId="62" applyFont="1" applyAlignment="1">
      <alignment horizontal="left" vertical="center" indent="2"/>
    </xf>
    <xf numFmtId="0" fontId="63" fillId="4" borderId="0" xfId="62" applyFont="1">
      <alignment horizontal="left" vertical="center"/>
    </xf>
    <xf numFmtId="0" fontId="35" fillId="14" borderId="2" xfId="55" applyFill="1">
      <alignment horizontal="center" vertical="center"/>
    </xf>
    <xf numFmtId="0" fontId="2" fillId="14" borderId="2" xfId="59" applyFill="1">
      <alignment horizontal="center" vertical="center"/>
    </xf>
    <xf numFmtId="0" fontId="0" fillId="0" borderId="0" xfId="8" applyFont="1" applyFill="1" applyBorder="1">
      <alignment horizontal="left" vertical="center"/>
    </xf>
    <xf numFmtId="0" fontId="40" fillId="4" borderId="0" xfId="8" applyBorder="1">
      <alignment horizontal="left" vertical="center"/>
    </xf>
    <xf numFmtId="0" fontId="44" fillId="14" borderId="0" xfId="6" applyFill="1">
      <alignment vertical="center"/>
    </xf>
    <xf numFmtId="0" fontId="40" fillId="4" borderId="1" xfId="8" applyFont="1" applyBorder="1">
      <alignment horizontal="left" vertical="center"/>
    </xf>
    <xf numFmtId="0" fontId="6" fillId="4" borderId="1" xfId="56" applyFont="1" applyBorder="1">
      <alignment horizontal="left" vertical="center"/>
    </xf>
    <xf numFmtId="0" fontId="40" fillId="14" borderId="0" xfId="8" applyFill="1" applyAlignment="1">
      <alignment horizontal="left" vertical="center" indent="9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99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98"/>
      <tableStyleElement type="headerRow" dxfId="97"/>
      <tableStyleElement type="totalRow" dxfId="96"/>
      <tableStyleElement type="firstColumn" dxfId="95"/>
      <tableStyleElement type="firstRowStripe" dxfId="94"/>
      <tableStyleElement type="secondRowStripe" dxfId="93"/>
    </tableStyle>
    <tableStyle name="Equation table" pivot="0" count="6" xr9:uid="{B247698E-E41D-4CCD-AA0A-C14817E9DE65}">
      <tableStyleElement type="wholeTable" dxfId="92"/>
      <tableStyleElement type="headerRow" dxfId="91"/>
      <tableStyleElement type="totalRow" dxfId="90"/>
      <tableStyleElement type="firstColumn" dxfId="89"/>
      <tableStyleElement type="firstRowStripe" dxfId="88"/>
      <tableStyleElement type="secondRowStripe" dxfId="87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79</xdr:row>
      <xdr:rowOff>219075</xdr:rowOff>
    </xdr:from>
    <xdr:ext cx="2945165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A3B6995-DA2B-4A6B-B72E-9F495168D74D}"/>
                </a:ext>
              </a:extLst>
            </xdr:cNvPr>
            <xdr:cNvSpPr txBox="1"/>
          </xdr:nvSpPr>
          <xdr:spPr>
            <a:xfrm>
              <a:off x="2686050" y="19173825"/>
              <a:ext cx="294516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A3B6995-DA2B-4A6B-B72E-9F495168D74D}"/>
                </a:ext>
              </a:extLst>
            </xdr:cNvPr>
            <xdr:cNvSpPr txBox="1"/>
          </xdr:nvSpPr>
          <xdr:spPr>
            <a:xfrm>
              <a:off x="2686050" y="19173825"/>
              <a:ext cx="294516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𝑉𝑆𝑇_(𝑖𝑗𝑚,𝑇=2)=𝑉𝑆_𝑗×𝐹𝑉𝑆_(𝑗𝑚,𝑇=1)×(1−𝑉𝑆𝐿_(𝑚,𝑇=1)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124</xdr:row>
      <xdr:rowOff>119062</xdr:rowOff>
    </xdr:from>
    <xdr:ext cx="3358483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1C9D90-28C6-427F-B03E-AB27D8998AD6}"/>
                </a:ext>
              </a:extLst>
            </xdr:cNvPr>
            <xdr:cNvSpPr txBox="1"/>
          </xdr:nvSpPr>
          <xdr:spPr>
            <a:xfrm>
              <a:off x="2652712" y="29227462"/>
              <a:ext cx="335848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1C9D90-28C6-427F-B03E-AB27D8998AD6}"/>
                </a:ext>
              </a:extLst>
            </xdr:cNvPr>
            <xdr:cNvSpPr txBox="1"/>
          </xdr:nvSpPr>
          <xdr:spPr>
            <a:xfrm>
              <a:off x="2652712" y="29227462"/>
              <a:ext cx="335848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𝑀_(𝑖𝑗𝑚,𝑇=2)=𝑉𝑆𝑇_(𝑗𝑚,𝑇=2)×𝐵𝑂×𝑀𝑀𝑆_(𝑗𝑚,𝑇=2)×𝑀𝐶𝐹_𝑖𝑚×𝜌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27174</xdr:colOff>
      <xdr:row>7</xdr:row>
      <xdr:rowOff>152400</xdr:rowOff>
    </xdr:from>
    <xdr:ext cx="2277931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44D6FD-6FA9-430E-87ED-4FA92346A0C7}"/>
                </a:ext>
              </a:extLst>
            </xdr:cNvPr>
            <xdr:cNvSpPr txBox="1"/>
          </xdr:nvSpPr>
          <xdr:spPr>
            <a:xfrm>
              <a:off x="2705380" y="2012576"/>
              <a:ext cx="22779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44D6FD-6FA9-430E-87ED-4FA92346A0C7}"/>
                </a:ext>
              </a:extLst>
            </xdr:cNvPr>
            <xdr:cNvSpPr txBox="1"/>
          </xdr:nvSpPr>
          <xdr:spPr>
            <a:xfrm>
              <a:off x="2705380" y="2012576"/>
              <a:ext cx="22779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𝐹𝑉𝑆_(𝑗𝑚,𝑇=1)=𝑀𝑀𝑆_(𝑗𝑚,𝑇=1)×(1−𝑆𝑆_𝑚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8</xdr:col>
      <xdr:colOff>139792</xdr:colOff>
      <xdr:row>52</xdr:row>
      <xdr:rowOff>237004</xdr:rowOff>
    </xdr:from>
    <xdr:ext cx="4196405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8A8583-DF6F-4955-AF42-FE3EDAA835E4}"/>
                </a:ext>
              </a:extLst>
            </xdr:cNvPr>
            <xdr:cNvSpPr txBox="1"/>
          </xdr:nvSpPr>
          <xdr:spPr>
            <a:xfrm>
              <a:off x="13071380" y="13191004"/>
              <a:ext cx="419640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=1,7,9,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>
                <a:solidFill>
                  <a:srgbClr val="C00000"/>
                </a:solidFill>
              </a:endParaRPr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8A8583-DF6F-4955-AF42-FE3EDAA835E4}"/>
                </a:ext>
              </a:extLst>
            </xdr:cNvPr>
            <xdr:cNvSpPr txBox="1"/>
          </xdr:nvSpPr>
          <xdr:spPr>
            <a:xfrm>
              <a:off x="13071380" y="13191004"/>
              <a:ext cx="419640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𝐹𝑉𝑆_(𝑗,𝑚=4,𝑇=1)=𝑀𝑀𝑆_(𝑗,𝑚=4,𝑇=1)+(𝑀𝑀𝑆_(𝑗,𝑚=1,7,9,𝑇=1)×𝑆𝑆_𝑚 )</a:t>
              </a:r>
              <a:endParaRPr lang="en-AU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33337</xdr:colOff>
      <xdr:row>213</xdr:row>
      <xdr:rowOff>0</xdr:rowOff>
    </xdr:from>
    <xdr:ext cx="2904193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AF2FF1F-FC70-483C-980C-349CDA55527D}"/>
                </a:ext>
              </a:extLst>
            </xdr:cNvPr>
            <xdr:cNvSpPr txBox="1"/>
          </xdr:nvSpPr>
          <xdr:spPr>
            <a:xfrm>
              <a:off x="2709862" y="45453300"/>
              <a:ext cx="290419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AF2FF1F-FC70-483C-980C-349CDA55527D}"/>
                </a:ext>
              </a:extLst>
            </xdr:cNvPr>
            <xdr:cNvSpPr txBox="1"/>
          </xdr:nvSpPr>
          <xdr:spPr>
            <a:xfrm>
              <a:off x="2709862" y="45453300"/>
              <a:ext cx="290419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𝑀_(𝑖𝑗𝑚,𝑇=1)=𝑉𝑆_𝑗×𝐹𝑉𝑆_(𝑗𝑚,𝑇=1)×𝑀𝐶𝐹_𝑖𝑚×𝐵𝑂×𝜌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285908</xdr:colOff>
      <xdr:row>242</xdr:row>
      <xdr:rowOff>18270</xdr:rowOff>
    </xdr:from>
    <xdr:ext cx="1253035" cy="4107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B8182C9-EABC-4A69-B2F2-5576F1638B12}"/>
                </a:ext>
              </a:extLst>
            </xdr:cNvPr>
            <xdr:cNvSpPr txBox="1"/>
          </xdr:nvSpPr>
          <xdr:spPr>
            <a:xfrm>
              <a:off x="2648108" y="52158120"/>
              <a:ext cx="1253035" cy="410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  <m:sup/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𝑗𝑚𝑇</m:t>
                                </m:r>
                              </m:sub>
                            </m:sSub>
                          </m:e>
                        </m:nary>
                        <m:r>
                          <a:rPr lang="en-AU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B8182C9-EABC-4A69-B2F2-5576F1638B12}"/>
                </a:ext>
              </a:extLst>
            </xdr:cNvPr>
            <xdr:cNvSpPr txBox="1"/>
          </xdr:nvSpPr>
          <xdr:spPr>
            <a:xfrm>
              <a:off x="2648108" y="52158120"/>
              <a:ext cx="1253035" cy="410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𝑀_𝑚𝑗=∑_𝑚</a:t>
              </a:r>
              <a:r>
                <a:rPr lang="en-AU" sz="1100" b="0" i="0">
                  <a:latin typeface="Cambria Math" panose="02040503050406030204" pitchFamily="18" charset="0"/>
                </a:rPr>
                <a:t>▒〖∑_</a:t>
              </a:r>
              <a:r>
                <a:rPr lang="en-AU" sz="1100" i="0">
                  <a:latin typeface="Cambria Math" panose="02040503050406030204" pitchFamily="18" charset="0"/>
                </a:rPr>
                <a:t>𝑇▒𝑀_𝑗𝑚𝑇 </a:t>
              </a:r>
              <a:r>
                <a:rPr lang="en-AU" sz="1100" b="0" i="0">
                  <a:latin typeface="Cambria Math" panose="02040503050406030204" pitchFamily="18" charset="0"/>
                </a:rPr>
                <a:t>  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271462</xdr:colOff>
      <xdr:row>261</xdr:row>
      <xdr:rowOff>142875</xdr:rowOff>
    </xdr:from>
    <xdr:ext cx="2142701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675177A-4B40-4E29-869B-18762124A3E6}"/>
                </a:ext>
              </a:extLst>
            </xdr:cNvPr>
            <xdr:cNvSpPr txBox="1"/>
          </xdr:nvSpPr>
          <xdr:spPr>
            <a:xfrm>
              <a:off x="2633662" y="56988075"/>
              <a:ext cx="214270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𝑚𝑗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</m:e>
                        </m:d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675177A-4B40-4E29-869B-18762124A3E6}"/>
                </a:ext>
              </a:extLst>
            </xdr:cNvPr>
            <xdr:cNvSpPr txBox="1"/>
          </xdr:nvSpPr>
          <xdr:spPr>
            <a:xfrm>
              <a:off x="2633662" y="56988075"/>
              <a:ext cx="214270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𝐸_𝐶𝐻4=∑_𝑗▒(𝐷_𝑗×𝑀_𝑚𝑗×𝑁_𝑗 ) ×10^(−3)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13446</xdr:colOff>
      <xdr:row>52</xdr:row>
      <xdr:rowOff>164726</xdr:rowOff>
    </xdr:from>
    <xdr:ext cx="7504747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32B4099-801B-DE9D-C67B-1465C3FBD42D}"/>
                </a:ext>
              </a:extLst>
            </xdr:cNvPr>
            <xdr:cNvSpPr txBox="1"/>
          </xdr:nvSpPr>
          <xdr:spPr>
            <a:xfrm>
              <a:off x="2691652" y="13118726"/>
              <a:ext cx="75047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32B4099-801B-DE9D-C67B-1465C3FBD42D}"/>
                </a:ext>
              </a:extLst>
            </xdr:cNvPr>
            <xdr:cNvSpPr txBox="1"/>
          </xdr:nvSpPr>
          <xdr:spPr>
            <a:xfrm>
              <a:off x="2691652" y="13118726"/>
              <a:ext cx="75047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𝐹𝑉𝑆_(𝑗,𝑚=4,𝑇=1)=𝑀𝑀𝑆_(𝑗,𝑚=4,𝑇=1)+(𝑀𝑀𝑆_(𝑗,𝑚=1,𝑇=1)×𝑆𝑆_(𝑚=1,𝑇=1) )+(𝑀𝑀𝑆_(𝑗,𝑚=7,𝑇=1)×𝑆𝑆_(𝑚=7,𝑇=1) )+(𝑀𝑀𝑆_(𝑗,𝑚=9,𝑇=1)×𝑆𝑆_(𝑚=9,𝑇=1) 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47063</xdr:colOff>
      <xdr:row>106</xdr:row>
      <xdr:rowOff>114300</xdr:rowOff>
    </xdr:from>
    <xdr:ext cx="1720407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85F4E5-A2AB-2D9A-9336-D9BA205E678D}"/>
                </a:ext>
              </a:extLst>
            </xdr:cNvPr>
            <xdr:cNvSpPr txBox="1"/>
          </xdr:nvSpPr>
          <xdr:spPr>
            <a:xfrm>
              <a:off x="2725269" y="1974476"/>
              <a:ext cx="172040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85F4E5-A2AB-2D9A-9336-D9BA205E678D}"/>
                </a:ext>
              </a:extLst>
            </xdr:cNvPr>
            <xdr:cNvSpPr txBox="1"/>
          </xdr:nvSpPr>
          <xdr:spPr>
            <a:xfrm>
              <a:off x="2725269" y="1974476"/>
              <a:ext cx="172040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𝑀𝑁_(𝑗𝑚,𝑇=1)=𝐴𝐸_𝑗×𝐹𝑁_(𝑗𝑚,𝑇=1)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13447</xdr:colOff>
      <xdr:row>7</xdr:row>
      <xdr:rowOff>125506</xdr:rowOff>
    </xdr:from>
    <xdr:ext cx="1300997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3C77C9-9101-3C81-CE4D-05945C90F1D3}"/>
                </a:ext>
              </a:extLst>
            </xdr:cNvPr>
            <xdr:cNvSpPr txBox="1"/>
          </xdr:nvSpPr>
          <xdr:spPr>
            <a:xfrm>
              <a:off x="2691653" y="1985682"/>
              <a:ext cx="13009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3C77C9-9101-3C81-CE4D-05945C90F1D3}"/>
                </a:ext>
              </a:extLst>
            </xdr:cNvPr>
            <xdr:cNvSpPr txBox="1"/>
          </xdr:nvSpPr>
          <xdr:spPr>
            <a:xfrm>
              <a:off x="2691653" y="1985682"/>
              <a:ext cx="13009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𝐴𝐸_𝑗=𝑁_𝑗×𝑁𝑊_𝑗×𝐷_𝑗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35857</xdr:colOff>
      <xdr:row>41</xdr:row>
      <xdr:rowOff>136712</xdr:rowOff>
    </xdr:from>
    <xdr:ext cx="2237023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05C6EE-0C55-69CB-E0CF-E6E14D33F154}"/>
                </a:ext>
              </a:extLst>
            </xdr:cNvPr>
            <xdr:cNvSpPr txBox="1"/>
          </xdr:nvSpPr>
          <xdr:spPr>
            <a:xfrm>
              <a:off x="2714063" y="10378888"/>
              <a:ext cx="223702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05C6EE-0C55-69CB-E0CF-E6E14D33F154}"/>
                </a:ext>
              </a:extLst>
            </xdr:cNvPr>
            <xdr:cNvSpPr txBox="1"/>
          </xdr:nvSpPr>
          <xdr:spPr>
            <a:xfrm>
              <a:off x="2714063" y="10378888"/>
              <a:ext cx="223702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𝐹𝑁_(𝑗𝑚,𝑇=1)=𝑀𝑀𝑆_(𝑗𝑚,𝑇=1)×(1−𝑆𝑁_𝑚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7</xdr:col>
      <xdr:colOff>136710</xdr:colOff>
      <xdr:row>82</xdr:row>
      <xdr:rowOff>136712</xdr:rowOff>
    </xdr:from>
    <xdr:ext cx="4124912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17256B-BF80-FDAF-4B8E-A6DA8097309B}"/>
                </a:ext>
              </a:extLst>
            </xdr:cNvPr>
            <xdr:cNvSpPr txBox="1"/>
          </xdr:nvSpPr>
          <xdr:spPr>
            <a:xfrm>
              <a:off x="11017622" y="20240065"/>
              <a:ext cx="412491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ORIGINAL:</a:t>
              </a:r>
              <a:r>
                <a:rPr lang="en-AU" sz="1100"/>
                <a:t> </a:t>
              </a:r>
              <a14:m>
                <m:oMath xmlns:m="http://schemas.openxmlformats.org/officeDocument/2006/math">
                  <m:r>
                    <a:rPr lang="en-AU" sz="1100" i="1">
                      <a:latin typeface="Cambria Math" panose="02040503050406030204" pitchFamily="18" charset="0"/>
                    </a:rPr>
                    <m:t>𝐹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𝑁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𝑗𝑚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=4,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=1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AU" sz="1100" i="1">
                      <a:latin typeface="Cambria Math" panose="02040503050406030204" pitchFamily="18" charset="0"/>
                    </a:rPr>
                    <m:t>𝑀𝑀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𝑆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𝑗𝑚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=4,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=1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𝑀𝑀</m:t>
                      </m:r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𝑆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𝑗𝑚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=1,7,9,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=1</m:t>
                          </m:r>
                        </m:sub>
                      </m:sSub>
                      <m:r>
                        <a:rPr lang="en-AU" sz="1100" i="1">
                          <a:latin typeface="Cambria Math" panose="02040503050406030204" pitchFamily="18" charset="0"/>
                        </a:rPr>
                        <m:t>×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𝑆</m:t>
                      </m:r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𝑚</m:t>
                          </m:r>
                        </m:sub>
                      </m:sSub>
                    </m:e>
                  </m:d>
                </m:oMath>
              </a14:m>
              <a:endParaRPr lang="en-A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17256B-BF80-FDAF-4B8E-A6DA8097309B}"/>
                </a:ext>
              </a:extLst>
            </xdr:cNvPr>
            <xdr:cNvSpPr txBox="1"/>
          </xdr:nvSpPr>
          <xdr:spPr>
            <a:xfrm>
              <a:off x="11017622" y="20240065"/>
              <a:ext cx="412491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ORIGINAL:</a:t>
              </a:r>
              <a:r>
                <a:rPr lang="en-AU" sz="1100"/>
                <a:t> </a:t>
              </a:r>
              <a:r>
                <a:rPr lang="en-AU" sz="1100" i="0">
                  <a:latin typeface="Cambria Math" panose="02040503050406030204" pitchFamily="18" charset="0"/>
                </a:rPr>
                <a:t>𝐹𝑁_(𝑗𝑚=4,𝑇=1)=𝑀𝑀𝑆_(𝑗𝑚=4,𝑇=1)+(𝑀𝑀𝑆_(𝑗𝑚=1,7,9,𝑇=1)×𝑆𝑁_𝑚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304799</xdr:colOff>
      <xdr:row>82</xdr:row>
      <xdr:rowOff>136712</xdr:rowOff>
    </xdr:from>
    <xdr:ext cx="7391447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6C860CD-A0A8-A5CF-0BB3-DB7AC846F0E7}"/>
                </a:ext>
              </a:extLst>
            </xdr:cNvPr>
            <xdr:cNvSpPr txBox="1"/>
          </xdr:nvSpPr>
          <xdr:spPr>
            <a:xfrm>
              <a:off x="2669240" y="20486594"/>
              <a:ext cx="73914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6C860CD-A0A8-A5CF-0BB3-DB7AC846F0E7}"/>
                </a:ext>
              </a:extLst>
            </xdr:cNvPr>
            <xdr:cNvSpPr txBox="1"/>
          </xdr:nvSpPr>
          <xdr:spPr>
            <a:xfrm>
              <a:off x="2669240" y="20486594"/>
              <a:ext cx="73914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𝐹𝑁_(𝑗𝑚=4,𝑇=1)=𝑀𝑀𝑆_(𝑗𝑚=4,𝑇=1)+(𝑀𝑀𝑆_(𝑗,𝑚=1,𝑇=1)×𝑆𝑆_(𝑚=1,𝑇=1) )+(𝑀𝑀𝑆_(𝑗,𝑚=7,𝑇=1)×𝑆𝑆_(𝑚=7,𝑇=1) )+(𝑀𝑀𝑆_(𝑗,𝑚=9,𝑇=1)×𝑆𝑆_(𝑚=9,𝑇=1)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129</xdr:row>
      <xdr:rowOff>136711</xdr:rowOff>
    </xdr:from>
    <xdr:ext cx="3517245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7E3BF9-9CD8-98FA-5A3E-471EDE5AD2F3}"/>
                </a:ext>
              </a:extLst>
            </xdr:cNvPr>
            <xdr:cNvSpPr txBox="1"/>
          </xdr:nvSpPr>
          <xdr:spPr>
            <a:xfrm>
              <a:off x="2646829" y="32073476"/>
              <a:ext cx="351724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𝐹𝑟𝑎𝑐𝐺𝐴𝑆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7E3BF9-9CD8-98FA-5A3E-471EDE5AD2F3}"/>
                </a:ext>
              </a:extLst>
            </xdr:cNvPr>
            <xdr:cNvSpPr txBox="1"/>
          </xdr:nvSpPr>
          <xdr:spPr>
            <a:xfrm>
              <a:off x="2646829" y="32073476"/>
              <a:ext cx="351724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𝑁𝑇_(𝑗𝑚,𝑇=2)=𝑀𝑁_(𝑗𝑚,𝑇=1)×(1−𝐹𝑟𝑎𝑐𝐺𝐴𝑆𝑀_(𝑚,𝑇=1)−𝐸𝐹_(𝑚,𝑇=1)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173</xdr:row>
      <xdr:rowOff>125506</xdr:rowOff>
    </xdr:from>
    <xdr:ext cx="2169825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6B02DDB-690F-6EFC-CAEB-1A22900114BD}"/>
                </a:ext>
              </a:extLst>
            </xdr:cNvPr>
            <xdr:cNvSpPr txBox="1"/>
          </xdr:nvSpPr>
          <xdr:spPr>
            <a:xfrm>
              <a:off x="2646829" y="42909565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6B02DDB-690F-6EFC-CAEB-1A22900114BD}"/>
                </a:ext>
              </a:extLst>
            </xdr:cNvPr>
            <xdr:cNvSpPr txBox="1"/>
          </xdr:nvSpPr>
          <xdr:spPr>
            <a:xfrm>
              <a:off x="2646829" y="42909565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2240</xdr:colOff>
      <xdr:row>244</xdr:row>
      <xdr:rowOff>69476</xdr:rowOff>
    </xdr:from>
    <xdr:ext cx="3236784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4ABA84A-1346-D30E-4497-55E3C0F69101}"/>
                </a:ext>
              </a:extLst>
            </xdr:cNvPr>
            <xdr:cNvSpPr txBox="1"/>
          </xdr:nvSpPr>
          <xdr:spPr>
            <a:xfrm>
              <a:off x="2680446" y="60357123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4ABA84A-1346-D30E-4497-55E3C0F69101}"/>
                </a:ext>
              </a:extLst>
            </xdr:cNvPr>
            <xdr:cNvSpPr txBox="1"/>
          </xdr:nvSpPr>
          <xdr:spPr>
            <a:xfrm>
              <a:off x="2680446" y="60357123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𝐸_(𝑁2𝑂,𝑑𝑖𝑟)=∑8_𝑗▒∑8_𝑚▒∑8_𝑇▒(𝑀𝑁_𝑗𝑚𝑇×𝐸𝐹_𝑗𝑚×𝐶_𝑁2𝑂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57150</xdr:rowOff>
    </xdr:from>
    <xdr:ext cx="3032882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5738F73-5B01-5D6D-CCAA-34F364D0FCCE}"/>
                </a:ext>
              </a:extLst>
            </xdr:cNvPr>
            <xdr:cNvSpPr txBox="1"/>
          </xdr:nvSpPr>
          <xdr:spPr>
            <a:xfrm>
              <a:off x="2671762" y="1924050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5738F73-5B01-5D6D-CCAA-34F364D0FCCE}"/>
                </a:ext>
              </a:extLst>
            </xdr:cNvPr>
            <xdr:cNvSpPr txBox="1"/>
          </xdr:nvSpPr>
          <xdr:spPr>
            <a:xfrm>
              <a:off x="2671762" y="1924050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106</xdr:row>
      <xdr:rowOff>142875</xdr:rowOff>
    </xdr:from>
    <xdr:ext cx="2797753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BBA152-5DCE-A88E-8CAE-A189849ED403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BBA152-5DCE-A88E-8CAE-A189849ED403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𝐸_(𝑁2𝑂,𝑎𝑑)=𝑀𝑀𝑆_𝐴𝑇𝑀𝑂𝑆×𝐸𝐹_𝑁2𝑂×𝐶_𝑁2𝑂×10^(−3)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13</xdr:col>
      <xdr:colOff>4762</xdr:colOff>
      <xdr:row>106</xdr:row>
      <xdr:rowOff>142875</xdr:rowOff>
    </xdr:from>
    <xdr:ext cx="2797753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217D665-2149-42DA-B114-442B1624E1C7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217D665-2149-42DA-B114-442B1624E1C7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𝐸_(𝑁2𝑂,𝑎𝑑)=𝑀𝑀𝑆_𝐴𝑇𝑀𝑂𝑆×𝐸𝐹_𝑁2𝑂×𝐶_𝑁2𝑂×10^(−3)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171450</xdr:rowOff>
    </xdr:from>
    <xdr:ext cx="3621055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A2DC7A-E8E4-E8E7-4961-8E07C662A470}"/>
                </a:ext>
              </a:extLst>
            </xdr:cNvPr>
            <xdr:cNvSpPr txBox="1"/>
          </xdr:nvSpPr>
          <xdr:spPr>
            <a:xfrm>
              <a:off x="2681287" y="2038350"/>
              <a:ext cx="36210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𝐹𝑟𝑎𝑐𝑊𝐸𝑇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𝑀𝑆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A2DC7A-E8E4-E8E7-4961-8E07C662A470}"/>
                </a:ext>
              </a:extLst>
            </xdr:cNvPr>
            <xdr:cNvSpPr txBox="1"/>
          </xdr:nvSpPr>
          <xdr:spPr>
            <a:xfrm>
              <a:off x="2681287" y="2038350"/>
              <a:ext cx="36210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𝑀𝑁𝐿𝑒𝑎𝑐ℎ_(𝑗𝑚=5)=𝑀𝑁_(𝑗𝑚=5,𝑇=1)×𝐹𝑟𝑎𝑐𝑊𝐸𝑇×𝐹𝑟𝑎𝑐𝐿𝐸𝐴𝐶𝐻_𝑀𝑆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34</xdr:row>
      <xdr:rowOff>123825</xdr:rowOff>
    </xdr:from>
    <xdr:ext cx="3207865" cy="18633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FF59A9-9828-6685-931C-FADA6B557BAB}"/>
                </a:ext>
              </a:extLst>
            </xdr:cNvPr>
            <xdr:cNvSpPr txBox="1"/>
          </xdr:nvSpPr>
          <xdr:spPr>
            <a:xfrm>
              <a:off x="2671762" y="8677275"/>
              <a:ext cx="3207865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FF59A9-9828-6685-931C-FADA6B557BAB}"/>
                </a:ext>
              </a:extLst>
            </xdr:cNvPr>
            <xdr:cNvSpPr txBox="1"/>
          </xdr:nvSpPr>
          <xdr:spPr>
            <a:xfrm>
              <a:off x="2671762" y="8677275"/>
              <a:ext cx="3207865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𝐸_(𝑁2𝑂,𝑙𝑒𝑎𝑐ℎ)=𝑀𝑁𝐿𝑒𝑎𝑐ℎ_(𝑗𝑚=5)×𝐸𝐹_𝑙𝑒𝑎𝑐ℎ×𝐶_𝑁2𝑂×10^(−3)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47625</xdr:rowOff>
    </xdr:from>
    <xdr:ext cx="5621219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35B234-5189-FB55-0706-EBE0B687057C}"/>
                </a:ext>
              </a:extLst>
            </xdr:cNvPr>
            <xdr:cNvSpPr txBox="1"/>
          </xdr:nvSpPr>
          <xdr:spPr>
            <a:xfrm>
              <a:off x="2690812" y="1914525"/>
              <a:ext cx="562121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=5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35B234-5189-FB55-0706-EBE0B687057C}"/>
                </a:ext>
              </a:extLst>
            </xdr:cNvPr>
            <xdr:cNvSpPr txBox="1"/>
          </xdr:nvSpPr>
          <xdr:spPr>
            <a:xfrm>
              <a:off x="2690812" y="1914525"/>
              <a:ext cx="562121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𝑀𝑁𝑆𝑜𝑖𝑙_𝑠𝑐𝑜𝑝𝑒1=∑8_𝑗▒∑8_𝑚▒(𝑀𝑁_(𝑗𝑚𝑇=2)×(1−𝐸𝐹_(𝑚𝑇=2)−𝐹𝑟𝑎𝑐𝐺𝐴𝑆𝑀_(𝑚𝑇=2) )−𝑀𝑁𝐿𝑒𝑎𝑐ℎ_(𝑗𝑚=5) ) ×𝑃𝐹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Feedlot_WIP_v04.xlsx" TargetMode="External"/><Relationship Id="rId1" Type="http://schemas.openxmlformats.org/officeDocument/2006/relationships/externalLinkPath" Target="4_1_ManureManagement_Feedlot_WIP_v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Dairy_WIP_v04.xlsx" TargetMode="External"/><Relationship Id="rId1" Type="http://schemas.openxmlformats.org/officeDocument/2006/relationships/externalLinkPath" Target="4_1_ManureManagement_Dairy_WIP_v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Feedlot"/>
      <sheetName val="4.1.1.1-2 Methane"/>
      <sheetName val="4.1.1.3-4 Direct N20"/>
      <sheetName val="4.1.1.5-6 Atmos Deposition"/>
      <sheetName val="4.1.1.9 Manure applied to soils"/>
      <sheetName val="Constants - Feedlot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Dairy"/>
      <sheetName val="4.3.1.1-2 Methane"/>
      <sheetName val="4.3.1.3-4 Direct N20"/>
      <sheetName val="4.3.1.5 Atmos deposition"/>
      <sheetName val="4.3.1.6-7 Leaching and runoff"/>
      <sheetName val="4.3.1.8 Manure applied to soils"/>
      <sheetName val="4.3.1.9 Soil direct N2O"/>
      <sheetName val="4.3.1.10-11 Soil Atmos Dep"/>
      <sheetName val="4.3.1.12-13 Soil leach runoff"/>
      <sheetName val="Constants - Dairy"/>
      <sheetName val="Constants - Common"/>
      <sheetName val="Constants - Livestock"/>
      <sheetName val="Acknowledgements"/>
      <sheetName val="Tab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187">
          <cell r="F187" t="str">
            <v>Pasture</v>
          </cell>
        </row>
        <row r="188">
          <cell r="F188" t="str">
            <v>Crop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2</v>
    <v>1</v>
    <v>19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error">
    <k n="errorType" t="i"/>
    <k n="argument" t="s"/>
    <k n="subType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EF5DA-4392-40D7-9550-EA401E64C221}" name="Table_SourceData_Swine_VolatileSolids" displayName="Table_SourceData_Swine_VolatileSolids" ref="D67:E71" totalsRowShown="0">
  <autoFilter ref="D67:E71" xr:uid="{9DEEF5DA-4392-40D7-9550-EA401E64C221}"/>
  <tableColumns count="2">
    <tableColumn id="1" xr3:uid="{A1AC17BE-6F0C-4EA3-88D1-F15B8A0AA6A1}" name="Class">
      <calculatedColumnFormula array="1">Common_InputFunctions.Utility_DisplayArrayInTable(SourceData_Swine.SourceData_Swine_VolatileSolids_Data(), Table_SourceData_Swine_VolatileSolids[[#Headers],[Class]], 0)</calculatedColumnFormula>
    </tableColumn>
    <tableColumn id="2" xr3:uid="{539845C7-E401-474C-86C5-B676BBD1B040}" name="VSj" dataDxfId="66" dataCellStyle="Content normal">
      <calculatedColumnFormula array="1">Common_InputFunctions.Utility_DisplayArrayInTable(SourceData_Swine.SourceData_Swine_VolatileSolids_Data(), Table_SourceData_Swine_VolatileSolids[[#Headers],[Class]],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FD9E79-6224-4B04-B002-84DC46086DAC}" name="Table_SourceData_Swine_MMSMCF" displayName="Table_SourceData_Swine_MMSMCF" ref="D28:M35" totalsRowShown="0">
  <autoFilter ref="D28:M35" xr:uid="{8BFD9E79-6224-4B04-B002-84DC46086DAC}"/>
  <tableColumns count="10">
    <tableColumn id="1" xr3:uid="{948C8C81-0F25-4404-945E-CD16BE93BFBF}" name="MMS">
      <calculatedColumnFormula array="1">Common_InputFunctions.Utility_DisplayArrayInTable(SourceData_Swine.SourceData_Swine_MMS_MCFs_Data(),Table_SourceData_Swine_MMSMCF[[#Headers],[MMS]],0)</calculatedColumnFormula>
    </tableColumn>
    <tableColumn id="2" xr3:uid="{CC6F19AB-67BC-413A-9108-447CB795CC02}" name="NSW" dataDxfId="65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3" xr3:uid="{EFE4C41A-233A-4E7D-912F-E949B7110A0A}" name="ACT" dataDxfId="64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4" xr3:uid="{90D72B45-949A-49D4-8B76-EF78C1A193C9}" name="QLD" dataDxfId="63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5" xr3:uid="{D7D725B2-0CF9-4EB2-A5C1-09EDA961537A}" name="NT" dataDxfId="62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6" xr3:uid="{2934DF60-275E-438D-A730-DD780A8931E8}" name="SA" dataDxfId="61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7" xr3:uid="{29BE3DB6-3057-4DB9-9C8B-816C15103256}" name="TAS" dataDxfId="60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8" xr3:uid="{FF50759B-240C-4451-AB1C-3143673818F2}" name="VIC" dataDxfId="59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9" xr3:uid="{F164F2B6-4BA2-43CA-8A29-E52D5447FFC0}" name="WA" dataDxfId="58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10" xr3:uid="{F171BCD0-98D2-4E5E-AC27-147712A91756}" name="NIR definition" dataDxfId="57" dataCellStyle="Content normal">
      <calculatedColumnFormula array="1">Common_InputFunctions.Utility_DisplayArrayInTable(SourceData_Swine.SourceData_Swine_MMS_MCFs_Data(),Table_SourceData_Swine_MMSMCF[[#Headers],[MMS]],0)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2F7033B-606B-4A24-9223-A30737FDC1FE}" name="Table_SourceData_SwineMMS" displayName="Table_SourceData_SwineMMS" ref="D40:E47" totalsRowShown="0">
  <autoFilter ref="D40:E47" xr:uid="{42F7033B-606B-4A24-9223-A30737FDC1FE}"/>
  <tableColumns count="2">
    <tableColumn id="1" xr3:uid="{EE2AFE6D-8BE2-4C1D-92EA-668A71924A96}" name="MMS"/>
    <tableColumn id="2" xr3:uid="{58174C83-0911-44A2-9C27-90139AD99654}" name="Symbol and MMS"/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79C074C-6E98-47B5-B4E5-F8A1F12104F2}" name="Table_SourceData_SwineVSL" displayName="Table_SourceData_SwineVSL" ref="D53:E60" totalsRowShown="0">
  <autoFilter ref="D53:E60" xr:uid="{079C074C-6E98-47B5-B4E5-F8A1F12104F2}"/>
  <tableColumns count="2">
    <tableColumn id="1" xr3:uid="{76B78063-3D59-41B8-AAF7-BECA81797EB1}" name="MMS"/>
    <tableColumn id="2" xr3:uid="{80304E2C-AE1E-4612-8DE0-4A55D1D32766}" name="VSL"/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71229DD-CBF4-4099-8199-8A23112B275F}" name="Table_SourceData_SwineMMSExcSolidStorage" displayName="Table_SourceData_SwineMMSExcSolidStorage" ref="G40:H45" totalsRowShown="0">
  <autoFilter ref="G40:H45" xr:uid="{171229DD-CBF4-4099-8199-8A23112B275F}"/>
  <tableColumns count="2">
    <tableColumn id="1" xr3:uid="{C0D13436-3E27-4F37-9CCA-2D00D7C01FD4}" name="MMS"/>
    <tableColumn id="2" xr3:uid="{418916E8-5946-4F0D-8939-8D73423F7FC0}" name="Symbol and MMS"/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63E0626-9932-4FCA-A861-C95F26E527BC}" name="Table_SourceData_SwineExclDirectApplicationMMS" displayName="Table_SourceData_SwineExclDirectApplicationMMS" ref="K40:L46" totalsRowShown="0">
  <autoFilter ref="K40:L46" xr:uid="{363E0626-9932-4FCA-A861-C95F26E527BC}"/>
  <tableColumns count="2">
    <tableColumn id="1" xr3:uid="{1C3E7665-A94B-47E1-AED9-2A651F0F5EBC}" name="MMS"/>
    <tableColumn id="2" xr3:uid="{DB6F1473-C896-4813-B84D-C2E7CFF76FAF}" name="Symbol and MMS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BE3FFD-EB90-45EB-8756-16A72E0C6869}" name="Table_SourceData_Swine_ProductionSystems" displayName="Table_SourceData_Swine_ProductionSystems" ref="G53:G56" totalsRowShown="0">
  <autoFilter ref="G53:G56" xr:uid="{A6BE3FFD-EB90-45EB-8756-16A72E0C6869}"/>
  <tableColumns count="1">
    <tableColumn id="1" xr3:uid="{6D0FC1C5-CBBC-40AA-BD0A-8ED9E6F795A5}" name="Production system">
      <calculatedColumnFormula array="1">Common_InputFunctions.Utility_DisplayArrayInTable(SourceData_Swine.SourceData_Swine_ProductionSystems_Data(), Table_SourceData_Swine_ProductionSystems[[#Headers],[Production system]],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1D86DCB-D80D-4593-96F3-A897FC93073F}" name="Table_SourceData_Swine_NitrogenInWaste" displayName="Table_SourceData_Swine_NitrogenInWaste" ref="D89:F93" totalsRowShown="0" dataDxfId="53" dataCellStyle="Content normal">
  <autoFilter ref="D89:F93" xr:uid="{61D86DCB-D80D-4593-96F3-A897FC93073F}"/>
  <tableColumns count="3">
    <tableColumn id="1" xr3:uid="{1C4094D2-E798-4EA4-8FBC-50FBA0E527D4}" name="Class" dataDxfId="56" dataCellStyle="Content normal">
      <calculatedColumnFormula array="1">Common_InputFunctions.Utility_DisplayArrayInTable(SourceData_Swine.SourceData_Swine_NitrogenInWaste_Data(), Table_SourceData_Swine_NitrogenInWaste[[#Headers],[Class]], 0)</calculatedColumnFormula>
    </tableColumn>
    <tableColumn id="2" xr3:uid="{0BD1910A-3F15-4C45-9A95-D2ADDB197E82}" name="NWj" dataDxfId="55" dataCellStyle="Content normal">
      <calculatedColumnFormula array="1">Common_InputFunctions.Utility_DisplayArrayInTable(SourceData_Swine.SourceData_Swine_NitrogenInWaste_Data(), Table_SourceData_Swine_NitrogenInWaste[[#Headers],[Class]], 0)</calculatedColumnFormula>
    </tableColumn>
    <tableColumn id="3" xr3:uid="{06D949C0-1431-4E8B-9FED-E08C8D4D7E61}" name="NWj Daily" dataDxfId="54" dataCellStyle="Content normal">
      <calculatedColumnFormula array="1">Common_InputFunctions.Utility_DisplayArrayInTable(SourceData_Swine.SourceData_Swine_NitrogenInWaste_Data(), Table_SourceData_Swine_NitrogenInWaste[[#Headers],[Class]],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34928EB-73E5-43B2-830B-089F30DA4EF0}" name="Table_SourceData_Swine_FeedIntake" displayName="Table_SourceData_Swine_FeedIntake" ref="D78:E82" totalsRowShown="0" dataDxfId="50" dataCellStyle="Content normal">
  <autoFilter ref="D78:E82" xr:uid="{E34928EB-73E5-43B2-830B-089F30DA4EF0}"/>
  <tableColumns count="2">
    <tableColumn id="1" xr3:uid="{CAC8EB28-568F-4E9F-8E36-EBDFF74A58D3}" name="Class" dataDxfId="52" dataCellStyle="Content normal">
      <calculatedColumnFormula array="1">Common_InputFunctions.Utility_DisplayArrayInTable(SourceData_Swine.SourceData_Swine_FeedIntake_Data(), Table_SourceData_Swine_FeedIntake[[#Headers],[Class]], 0)</calculatedColumnFormula>
    </tableColumn>
    <tableColumn id="2" xr3:uid="{2CE09F11-701B-40A5-9E2D-B745C440FD8B}" name="Ij" dataDxfId="51" dataCellStyle="Content normal">
      <calculatedColumnFormula array="1">Common_InputFunctions.Utility_DisplayArrayInTable(SourceData_Swine.SourceData_Swine_FeedIntake_Data(), Table_SourceData_Swine_FeedIntake[[#Headers],[Class]],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1184525-440F-427A-8F5F-F24C51E83194}" name="Table_SourceData_Swine_FracGASM" displayName="Table_SourceData_Swine_FracGASM" ref="D99:F105" totalsRowShown="0">
  <autoFilter ref="D99:F105" xr:uid="{11184525-440F-427A-8F5F-F24C51E83194}">
    <filterColumn colId="0" hiddenButton="1"/>
    <filterColumn colId="1" hiddenButton="1"/>
    <filterColumn colId="2" hiddenButton="1"/>
  </autoFilter>
  <tableColumns count="3">
    <tableColumn id="1" xr3:uid="{28F331F7-8BDD-4FF1-BD1F-E5995BC2EE5E}" name="MMSm">
      <calculatedColumnFormula array="1">Common_InputFunctions.Utility_DisplayArrayInTable(SourceData_Swine.SourceData_Swine_FractionNVolatilised_Data(), Table_SourceData_Swine_FracGASM[[#Headers],[MMSm]],0)</calculatedColumnFormula>
    </tableColumn>
    <tableColumn id="2" xr3:uid="{3ED5AE40-0DB0-4E45-8562-5381DA5DDC2A}" name="FracGASMmT">
      <calculatedColumnFormula array="1">Common_InputFunctions.Utility_DisplayArrayInTable(SourceData_Swine.SourceData_Swine_FractionNVolatilised_Data(), Table_SourceData_Swine_FracGASM[[#Headers],[MMSm]],0)</calculatedColumnFormula>
    </tableColumn>
    <tableColumn id="3" xr3:uid="{A6C79A8E-6FC5-410F-9934-8E7F14F11977}" name="NIR reference">
      <calculatedColumnFormula array="1">Common_InputFunctions.Utility_DisplayArrayInTable(SourceData_Swine.SourceData_Swine_FractionNVolatilised_Data(), Table_SourceData_Swine_FracGASM[[#Headers],[MMSm]],0)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333872B-E46C-4DC7-8E2D-1F3D704794C8}" name="Table_SourceData_Swine_FracGASM28" displayName="Table_SourceData_Swine_FracGASM28" ref="D111:F117" totalsRowShown="0" dataDxfId="49" dataCellStyle="Content normal">
  <autoFilter ref="D111:F117" xr:uid="{1333872B-E46C-4DC7-8E2D-1F3D704794C8}"/>
  <tableColumns count="3">
    <tableColumn id="1" xr3:uid="{6DD7EF85-D333-4B03-BD58-78D84BEEC9B4}" name="MMSm" dataDxfId="48" dataCellStyle="Content normal">
      <calculatedColumnFormula array="1">Common_InputFunctions.Utility_DisplayArrayInTable(SourceData_Swine.SourceData_Swine_NitrousOxideEFs_Data(), Table_SourceData_Swine_FracGASM28[[#Headers],[MMSm]],0)</calculatedColumnFormula>
    </tableColumn>
    <tableColumn id="2" xr3:uid="{F61F4819-1794-4A31-843F-5F15C9F3C95F}" name="EFmT" dataDxfId="47" dataCellStyle="Content normal">
      <calculatedColumnFormula array="1">Common_InputFunctions.Utility_DisplayArrayInTable(SourceData_Swine.SourceData_Swine_NitrousOxideEFs_Data(), Table_SourceData_Swine_FracGASM28[[#Headers],[MMSm]],0)</calculatedColumnFormula>
    </tableColumn>
    <tableColumn id="3" xr3:uid="{B97B38DF-3EA9-445C-BD0D-2CBB24B993D8}" name="NIR reference" dataDxfId="46" dataCellStyle="Content normal">
      <calculatedColumnFormula array="1">Common_InputFunctions.Utility_DisplayArrayInTable(SourceData_Swine.SourceData_Swine_NitrousOxideEFs_Data(), Table_SourceData_Swine_FracGASM28[[#Headers],[MMSm]],0)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DC3FD95-46BB-428C-8DAB-6CC542C27F2F}" name="Table_SourceData_Swine_CropProdSystems" displayName="Table_SourceData_Swine_CropProdSystems" ref="D8:D10" totalsRowShown="0">
  <autoFilter ref="D8:D10" xr:uid="{1DC3FD95-46BB-428C-8DAB-6CC542C27F2F}"/>
  <tableColumns count="1">
    <tableColumn id="1" xr3:uid="{B933B64A-0B6A-4006-B26F-51E5E064CB09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A6B756B-6FF9-48AC-BC54-06A8937EFD12}" name="Table_SourceData_Swine_IrrigationMethods" displayName="Table_SourceData_Swine_IrrigationMethods" ref="G8:G13" totalsRowShown="0">
  <autoFilter ref="G8:G13" xr:uid="{AA6B756B-6FF9-48AC-BC54-06A8937EFD12}"/>
  <tableColumns count="1">
    <tableColumn id="1" xr3:uid="{85D1C6B9-1B3E-46A7-9944-B5E2866ADFB6}" name="Irrigation method"/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8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8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8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8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8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8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8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7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7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7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7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7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7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7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7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7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7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69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68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67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13" Type="http://schemas.openxmlformats.org/officeDocument/2006/relationships/table" Target="../tables/table26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12" Type="http://schemas.openxmlformats.org/officeDocument/2006/relationships/table" Target="../tables/table25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5" Type="http://schemas.openxmlformats.org/officeDocument/2006/relationships/table" Target="../tables/table18.xml"/><Relationship Id="rId15" Type="http://schemas.openxmlformats.org/officeDocument/2006/relationships/table" Target="../tables/table2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Relationship Id="rId14" Type="http://schemas.openxmlformats.org/officeDocument/2006/relationships/table" Target="../tables/table2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H17" sqref="H17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142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7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105</v>
      </c>
      <c r="E6" s="115" t="s">
        <v>128</v>
      </c>
      <c r="F6" s="115" t="s">
        <v>129</v>
      </c>
      <c r="G6" s="115" t="s">
        <v>118</v>
      </c>
      <c r="H6" s="115" t="s">
        <v>130</v>
      </c>
      <c r="I6" s="115" t="s">
        <v>131</v>
      </c>
      <c r="J6" s="115" t="s">
        <v>119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132</v>
      </c>
      <c r="E7" s="112">
        <f>'4.5.1.1-2 Methane'!$D$276</f>
        <v>365</v>
      </c>
      <c r="F7" s="112">
        <f>'4.5.1.1-2 Methane'!O276</f>
        <v>0</v>
      </c>
      <c r="G7" s="54" t="s">
        <v>124</v>
      </c>
      <c r="H7" s="112" t="e">
        <f>'4.5.1.1-2 Methane'!#REF!</f>
        <v>#REF!</v>
      </c>
      <c r="I7" s="112">
        <f>'4.5.1.1-2 Methane'!$O$281</f>
        <v>0</v>
      </c>
      <c r="J7" s="54" t="s">
        <v>126</v>
      </c>
      <c r="K7" s="22"/>
    </row>
    <row r="8" spans="1:11" ht="20.100000000000001" customHeight="1" x14ac:dyDescent="0.25">
      <c r="A8" s="17" t="str">
        <f>HYPERLINK("#'Input - Swine'!A1", "Swine")</f>
        <v>Swine</v>
      </c>
      <c r="C8" s="22"/>
      <c r="D8" s="1" t="s">
        <v>137</v>
      </c>
      <c r="E8" s="112" t="str">
        <f>'4.5.1.3-4 Direct N20'!$E$227</f>
        <v>Drylot (feed pad)</v>
      </c>
      <c r="F8" s="112" t="str">
        <f>'4.5.1.3-4 Direct N20'!$O$259</f>
        <v>N/A</v>
      </c>
      <c r="G8" s="54" t="s">
        <v>136</v>
      </c>
      <c r="H8" s="112" t="str">
        <f>'4.5.1.3-4 Direct N20'!$E$232</f>
        <v>Digester / covered lagoons</v>
      </c>
      <c r="I8" s="112" t="str">
        <f>'4.5.1.3-4 Direct N20'!$O$264</f>
        <v>Digester / covered lagoons</v>
      </c>
      <c r="J8" s="54" t="s">
        <v>126</v>
      </c>
      <c r="K8" s="22"/>
    </row>
    <row r="9" spans="1:11" ht="20.100000000000001" customHeight="1" x14ac:dyDescent="0.25">
      <c r="A9" s="17"/>
      <c r="C9" s="22"/>
      <c r="D9" s="1" t="s">
        <v>138</v>
      </c>
      <c r="E9" s="112" t="str">
        <f>'4.5.1.5-6 Atmos Dep'!$E$35</f>
        <v>Deep litter</v>
      </c>
      <c r="F9" s="112" t="str">
        <f>'4.5.1.5-6 Atmos Dep'!$O$35</f>
        <v>Deep litter</v>
      </c>
      <c r="G9" s="54">
        <f>'4.5.1.5-6 Atmos Dep'!$F$35</f>
        <v>27.401279999999993</v>
      </c>
      <c r="H9" s="112" t="str">
        <f>'4.5.1.5-6 Atmos Dep'!$E$40</f>
        <v>Pit storage</v>
      </c>
      <c r="I9" s="112" t="str">
        <f>'4.5.1.5-6 Atmos Dep'!$O$40</f>
        <v>Pit storage</v>
      </c>
      <c r="J9" s="54" t="s">
        <v>126</v>
      </c>
      <c r="K9" s="22"/>
    </row>
    <row r="10" spans="1:11" ht="20.100000000000001" customHeight="1" x14ac:dyDescent="0.25">
      <c r="A10" s="19" t="s">
        <v>76</v>
      </c>
      <c r="C10" s="22"/>
      <c r="D10" s="1" t="s">
        <v>139</v>
      </c>
      <c r="E10" s="112">
        <f>'4.5.1.7-8 Soil leach runoff'!$E$36</f>
        <v>0</v>
      </c>
      <c r="F10" s="112">
        <f>'4.5.1.7-8 Soil leach runoff'!$N$36</f>
        <v>0</v>
      </c>
      <c r="G10" s="54">
        <f>'4.5.1.7-8 Soil leach runoff'!$F$36</f>
        <v>0</v>
      </c>
      <c r="H10" s="112" t="str">
        <f>'4.5.1.7-8 Soil leach runoff'!$E$41</f>
        <v>emission factor for leaching and runoff (kg N2O-N/kg N)</v>
      </c>
      <c r="I10" s="112">
        <f>'4.5.1.7-8 Soil leach runoff'!$N$41</f>
        <v>0</v>
      </c>
      <c r="J10" s="54" t="s">
        <v>126</v>
      </c>
      <c r="K10" s="22"/>
    </row>
    <row r="11" spans="1:11" ht="20.100000000000001" customHeight="1" x14ac:dyDescent="0.3">
      <c r="A11" s="17" t="str">
        <f>HYPERLINK("#'4.2.1.1-2 Methane'!A1", "4.2.1.1-2 Methane")</f>
        <v>4.2.1.1-2 Methane</v>
      </c>
      <c r="C11" s="22"/>
      <c r="D11" s="29" t="s">
        <v>117</v>
      </c>
      <c r="E11" s="23"/>
      <c r="F11" s="23"/>
      <c r="G11" s="29"/>
      <c r="H11" s="114" t="e">
        <f>SUM(H7:H10)</f>
        <v>#REF!</v>
      </c>
      <c r="I11" s="114">
        <f>SUM(I7:I10)</f>
        <v>0</v>
      </c>
      <c r="J11" s="105" t="s">
        <v>126</v>
      </c>
      <c r="K11" s="22"/>
    </row>
    <row r="12" spans="1:11" ht="20.100000000000001" customHeight="1" x14ac:dyDescent="0.25">
      <c r="A12" s="17" t="str">
        <f>HYPERLINK("#'4.2.1.3-4 Soil direct N2O'!A1", "4.2.1.3-4 Soil direct N2O")</f>
        <v>4.2.1.3-4 Soil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HYPERLINK("#'4.2.1.5-6 Soil Atmos Dep'!A1", "4.2.1.5-6 Soil atm. deposition")</f>
        <v>4.2.1.5-6 Soil atm. deposition</v>
      </c>
      <c r="C13" s="22"/>
      <c r="D13" s="1"/>
      <c r="E13" s="1"/>
      <c r="F13" s="1"/>
      <c r="G13" s="1"/>
      <c r="H13" s="24"/>
      <c r="I13" s="22"/>
      <c r="J13" s="22"/>
      <c r="K13" s="22"/>
    </row>
    <row r="14" spans="1:11" ht="20.100000000000001" customHeight="1" x14ac:dyDescent="0.3">
      <c r="A14" s="17" t="str">
        <f>HYPERLINK("#'4.2.1.7-8 Soil leach runoff'!A1", "4.2.1.7-8 Soil leach &amp; runoff")</f>
        <v>4.2.1.7-8 Soil leach &amp; runoff</v>
      </c>
      <c r="C14" s="22"/>
      <c r="D14" s="1"/>
      <c r="E14" s="1"/>
      <c r="F14" s="1"/>
      <c r="G14" s="1"/>
      <c r="H14" s="27"/>
      <c r="I14" s="22"/>
      <c r="J14" s="22"/>
      <c r="K14" s="22"/>
    </row>
    <row r="15" spans="1:11" ht="20.100000000000001" customHeight="1" x14ac:dyDescent="0.3">
      <c r="A15" s="17"/>
      <c r="C15" s="22"/>
      <c r="D15" s="1"/>
      <c r="E15" s="1"/>
      <c r="F15" s="1"/>
      <c r="G15" s="1"/>
      <c r="H15" s="27"/>
      <c r="I15" s="22"/>
      <c r="J15" s="22"/>
      <c r="K15" s="22"/>
    </row>
    <row r="16" spans="1:11" ht="20.100000000000001" customHeight="1" x14ac:dyDescent="0.3">
      <c r="A16" s="18" t="s">
        <v>4</v>
      </c>
      <c r="C16" s="22"/>
      <c r="D16" s="1"/>
      <c r="E16" s="1"/>
      <c r="F16" s="1"/>
      <c r="G16" s="1"/>
      <c r="H16" s="27"/>
      <c r="I16" s="22"/>
      <c r="J16" s="22"/>
      <c r="K16" s="22"/>
    </row>
    <row r="17" spans="1:11" ht="20.100000000000001" customHeight="1" x14ac:dyDescent="0.3">
      <c r="A17" s="17" t="str">
        <f>HYPERLINK("#'Constants - Swine'!A1", "Constants - Swine")</f>
        <v>Constants - Swine</v>
      </c>
      <c r="C17" s="22"/>
      <c r="D17" s="1"/>
      <c r="E17" s="1"/>
      <c r="F17" s="1"/>
      <c r="G17" s="1"/>
      <c r="H17" s="27"/>
      <c r="I17" s="22"/>
      <c r="J17" s="22"/>
      <c r="K17" s="22"/>
    </row>
    <row r="18" spans="1:11" ht="20.100000000000001" customHeight="1" x14ac:dyDescent="0.3">
      <c r="A18" s="17" t="str">
        <f>HYPERLINK("#'Constants - Livestock'!A1", "Constants - Livestock")</f>
        <v>Constants - Livestock</v>
      </c>
      <c r="C18" s="22"/>
      <c r="D18" s="1"/>
      <c r="E18" s="1"/>
      <c r="F18" s="1"/>
      <c r="G18" s="1"/>
      <c r="H18" s="27"/>
      <c r="I18" s="22"/>
      <c r="J18" s="22"/>
      <c r="K18" s="22"/>
    </row>
    <row r="19" spans="1:11" ht="20.100000000000001" customHeight="1" x14ac:dyDescent="0.3">
      <c r="A19" s="17" t="str">
        <f>HYPERLINK("#'Constants - Common'!A1", "Constants - Common")</f>
        <v>Constants - Common</v>
      </c>
      <c r="C19" s="22"/>
      <c r="D19" s="1"/>
      <c r="E19" s="1"/>
      <c r="F19" s="1"/>
      <c r="G19" s="1"/>
      <c r="H19" s="27"/>
      <c r="I19" s="22"/>
      <c r="J19" s="22"/>
      <c r="K19" s="22"/>
    </row>
    <row r="20" spans="1:11" ht="20.100000000000001" customHeight="1" x14ac:dyDescent="0.3">
      <c r="A20" s="17" t="str">
        <f>HYPERLINK("#'Acknowledgements'!A1", "Acknowledgements")</f>
        <v>Acknowledgements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A22" s="17"/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/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/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F21" sqref="F21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91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7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Swine'!A1", "Swine")</f>
        <v>Swine</v>
      </c>
      <c r="D8" s="10" t="s">
        <v>72</v>
      </c>
      <c r="E8" s="33" t="s">
        <v>73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76</v>
      </c>
      <c r="D10" s="94" t="s">
        <v>90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HYPERLINK("#'4.2.1.1-2 Methane'!A1", "4.2.1.1-2 Methane")</f>
        <v>4.2.1.1-2 Methane</v>
      </c>
      <c r="N11" s="43"/>
    </row>
    <row r="12" spans="1:24" ht="20.100000000000001" customHeight="1" x14ac:dyDescent="0.25">
      <c r="A12" s="17" t="str">
        <f>HYPERLINK("#'4.2.1.3-4 Soil direct N2O'!A1", "4.2.1.3-4 Soil direct N2O")</f>
        <v>4.2.1.3-4 Soil direct N2O</v>
      </c>
      <c r="D12" s="10" t="s">
        <v>96</v>
      </c>
      <c r="E12" s="64">
        <v>45292</v>
      </c>
      <c r="F12" s="2" t="s">
        <v>70</v>
      </c>
    </row>
    <row r="13" spans="1:24" ht="20.100000000000001" customHeight="1" x14ac:dyDescent="0.25">
      <c r="A13" s="17" t="str">
        <f>HYPERLINK("#'4.2.1.5-6 Soil Atmos Dep'!A1", "4.2.1.5-6 Soil atm. deposition")</f>
        <v>4.2.1.5-6 Soil atm. deposition</v>
      </c>
      <c r="D13" s="10" t="s">
        <v>97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HYPERLINK("#'4.2.1.7-8 Soil leach runoff'!A1", "4.2.1.7-8 Soil leach &amp; runoff")</f>
        <v>4.2.1.7-8 Soil leach &amp; runoff</v>
      </c>
      <c r="N14" s="38"/>
      <c r="O14" s="38"/>
    </row>
    <row r="15" spans="1:24" ht="20.100000000000001" customHeight="1" x14ac:dyDescent="0.25">
      <c r="A15" s="17"/>
      <c r="N15" s="38"/>
      <c r="O15" s="38"/>
    </row>
    <row r="16" spans="1:24" ht="20.100000000000001" customHeight="1" x14ac:dyDescent="0.25">
      <c r="A16" s="18" t="s">
        <v>4</v>
      </c>
      <c r="D16" s="6" t="s">
        <v>14</v>
      </c>
      <c r="N16" s="38"/>
      <c r="O16" s="38"/>
    </row>
    <row r="17" spans="1:25" ht="20.100000000000001" customHeight="1" x14ac:dyDescent="0.25">
      <c r="A17" s="17" t="str">
        <f>HYPERLINK("#'Constants - Swine'!A1", "Constants - Swine")</f>
        <v>Constants - Swine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96" t="s">
        <v>16</v>
      </c>
      <c r="E18" s="91"/>
      <c r="F18" s="91"/>
      <c r="G18" s="87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3" t="s">
        <v>71</v>
      </c>
      <c r="E19" s="90"/>
      <c r="F19" s="90"/>
      <c r="G19" s="88"/>
      <c r="N19" s="40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1"/>
      <c r="F20" s="2"/>
      <c r="N20" s="41"/>
    </row>
    <row r="21" spans="1:25" ht="20.100000000000001" customHeight="1" x14ac:dyDescent="0.25">
      <c r="A21"/>
      <c r="D21" s="1" t="s">
        <v>8</v>
      </c>
      <c r="E21" s="39" t="s">
        <v>134</v>
      </c>
      <c r="F21" s="2" t="s">
        <v>11</v>
      </c>
    </row>
    <row r="22" spans="1:25" ht="20.100000000000001" customHeight="1" x14ac:dyDescent="0.25">
      <c r="A22" s="17"/>
      <c r="D22" s="1" t="s">
        <v>25</v>
      </c>
      <c r="E22" s="39" t="s">
        <v>34</v>
      </c>
      <c r="F22" s="2" t="s">
        <v>11</v>
      </c>
      <c r="G22" s="1"/>
    </row>
    <row r="23" spans="1:25" ht="20.100000000000001" customHeight="1" x14ac:dyDescent="0.25">
      <c r="A23" s="17"/>
      <c r="D23" s="1" t="s">
        <v>9</v>
      </c>
      <c r="E23" s="39" t="s">
        <v>95</v>
      </c>
      <c r="F23" s="2" t="s">
        <v>11</v>
      </c>
    </row>
    <row r="24" spans="1:25" ht="20.100000000000001" customHeight="1" x14ac:dyDescent="0.25">
      <c r="A24" s="17"/>
      <c r="D24" s="1" t="s">
        <v>39</v>
      </c>
      <c r="E24" s="33">
        <v>307.7</v>
      </c>
      <c r="F24" s="2" t="s">
        <v>53</v>
      </c>
    </row>
    <row r="25" spans="1:25" ht="20.100000000000001" customHeight="1" x14ac:dyDescent="0.25">
      <c r="A25"/>
      <c r="D25" s="1" t="s">
        <v>61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62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63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64</v>
      </c>
      <c r="E28" s="33">
        <v>7</v>
      </c>
      <c r="F28" s="2" t="s">
        <v>54</v>
      </c>
    </row>
    <row r="29" spans="1:25" ht="20.100000000000001" customHeight="1" x14ac:dyDescent="0.25">
      <c r="A29"/>
      <c r="D29" s="10" t="s">
        <v>60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35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92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52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V356"/>
  <sheetViews>
    <sheetView showGridLines="0" topLeftCell="A46" zoomScale="85" zoomScaleNormal="85" workbookViewId="0">
      <selection activeCell="D75" sqref="D7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3.28515625" style="1" customWidth="1"/>
    <col min="5" max="8" width="30.7109375" style="1" customWidth="1"/>
    <col min="9" max="9" width="20.5703125" style="1" customWidth="1"/>
    <col min="10" max="11" width="30.7109375" style="1" customWidth="1"/>
    <col min="12" max="12" width="27.140625" style="1" customWidth="1"/>
    <col min="13" max="13" width="4.7109375" style="1" customWidth="1"/>
    <col min="14" max="15" width="4.7109375" style="56" customWidth="1"/>
    <col min="16" max="21" width="30.7109375" style="56" customWidth="1"/>
    <col min="22" max="22" width="4.7109375" style="56" customWidth="1"/>
  </cols>
  <sheetData>
    <row r="1" spans="1:22" s="68" customFormat="1" ht="30" customHeight="1" x14ac:dyDescent="0.35">
      <c r="A1" s="68" t="e" vm="1">
        <v>#VALUE!</v>
      </c>
      <c r="C1" s="68" t="s">
        <v>143</v>
      </c>
      <c r="N1" s="56"/>
      <c r="O1" s="56"/>
      <c r="P1" s="56"/>
      <c r="Q1" s="56"/>
      <c r="R1" s="56"/>
      <c r="S1" s="56"/>
      <c r="T1" s="56"/>
      <c r="U1" s="56"/>
      <c r="V1" s="56"/>
    </row>
    <row r="2" spans="1:22" s="9" customFormat="1" ht="20.100000000000001" customHeight="1" x14ac:dyDescent="0.25">
      <c r="N2" s="56"/>
      <c r="O2" s="56"/>
      <c r="P2" s="56"/>
      <c r="Q2" s="56"/>
      <c r="R2" s="56"/>
      <c r="S2" s="56"/>
      <c r="T2" s="56"/>
      <c r="U2" s="56"/>
      <c r="V2" s="56"/>
    </row>
    <row r="3" spans="1:22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22" ht="20.100000000000001" customHeight="1" x14ac:dyDescent="0.25">
      <c r="A4" s="17" t="str">
        <f>HYPERLINK("#'Results'!A1", "Results")</f>
        <v>Results</v>
      </c>
    </row>
    <row r="5" spans="1:22" ht="20.100000000000001" customHeight="1" x14ac:dyDescent="0.25">
      <c r="A5" s="16"/>
      <c r="D5" s="96" t="s">
        <v>245</v>
      </c>
      <c r="E5" s="91"/>
      <c r="F5" s="91"/>
      <c r="G5" s="91"/>
      <c r="H5" s="87"/>
      <c r="M5" s="3"/>
      <c r="Q5" s="7"/>
    </row>
    <row r="6" spans="1:22" ht="20.100000000000001" customHeight="1" x14ac:dyDescent="0.25">
      <c r="A6" s="20" t="s">
        <v>3</v>
      </c>
      <c r="D6" s="93" t="s">
        <v>246</v>
      </c>
      <c r="E6" s="90"/>
      <c r="F6" s="90"/>
      <c r="G6" s="88"/>
      <c r="H6" s="117"/>
      <c r="M6" s="3"/>
      <c r="Q6" s="7"/>
    </row>
    <row r="7" spans="1:22" ht="20.100000000000001" customHeight="1" x14ac:dyDescent="0.25">
      <c r="A7" s="17" t="str">
        <f>HYPERLINK("#'Input - Site'!A1", "Site")</f>
        <v>Site</v>
      </c>
      <c r="M7" s="3"/>
      <c r="Q7" s="7"/>
    </row>
    <row r="8" spans="1:22" ht="20.100000000000001" customHeight="1" x14ac:dyDescent="0.25">
      <c r="A8" s="17" t="str">
        <f>HYPERLINK("#'Input - Swine'!A1", "Swine")</f>
        <v>Swine</v>
      </c>
      <c r="M8" s="3"/>
      <c r="Q8" s="7"/>
    </row>
    <row r="9" spans="1:22" ht="20.100000000000001" customHeight="1" x14ac:dyDescent="0.25">
      <c r="A9" s="17"/>
      <c r="E9" s="118" t="s">
        <v>146</v>
      </c>
      <c r="F9" s="118" t="s">
        <v>147</v>
      </c>
      <c r="G9" s="118" t="s">
        <v>148</v>
      </c>
      <c r="H9" s="118" t="s">
        <v>266</v>
      </c>
      <c r="Q9" s="7"/>
    </row>
    <row r="10" spans="1:22" ht="20.100000000000001" customHeight="1" x14ac:dyDescent="0.25">
      <c r="A10" s="19" t="s">
        <v>76</v>
      </c>
      <c r="D10" s="48" t="str">
        <f>"Average duration of stay between " &amp; TEXT('Input - Site'!$E$12, "dd mmm yy") &amp; " and " &amp; TEXT('Input - Site'!$E$13, "dd mmm yy")</f>
        <v>Average duration of stay between 01 Jan 24 and 31 Dec 24</v>
      </c>
      <c r="E10" s="66">
        <v>365</v>
      </c>
      <c r="F10" s="66">
        <v>365</v>
      </c>
      <c r="G10" s="66">
        <v>365</v>
      </c>
      <c r="H10" s="66">
        <v>365</v>
      </c>
      <c r="I10" s="2" t="s">
        <v>54</v>
      </c>
      <c r="Q10" s="7"/>
    </row>
    <row r="11" spans="1:22" ht="20.100000000000001" customHeight="1" x14ac:dyDescent="0.25">
      <c r="A11" s="17" t="str">
        <f>HYPERLINK("#'4.2.1.1-2 Methane'!A1", "4.2.1.1-2 Methane")</f>
        <v>4.2.1.1-2 Methane</v>
      </c>
      <c r="D11" s="48" t="str">
        <f>"Average number of head between " &amp; TEXT('Input - Site'!$E$12, "dd mmm yy") &amp; " and " &amp; TEXT('Input - Site'!$E$13, "dd mmm yy")</f>
        <v>Average number of head between 01 Jan 24 and 31 Dec 24</v>
      </c>
      <c r="E11" s="66">
        <v>100</v>
      </c>
      <c r="F11" s="66">
        <v>100</v>
      </c>
      <c r="G11" s="66">
        <v>100</v>
      </c>
      <c r="H11" s="66">
        <v>100</v>
      </c>
      <c r="I11" s="2" t="s">
        <v>100</v>
      </c>
      <c r="Q11" s="7"/>
    </row>
    <row r="12" spans="1:22" ht="20.100000000000001" customHeight="1" x14ac:dyDescent="0.25">
      <c r="A12" s="17" t="str">
        <f>HYPERLINK("#'4.2.1.3-4 Soil direct N2O'!A1", "4.2.1.3-4 Soil direct N2O")</f>
        <v>4.2.1.3-4 Soil direct N2O</v>
      </c>
      <c r="Q12" s="7"/>
    </row>
    <row r="13" spans="1:22" ht="20.100000000000001" customHeight="1" x14ac:dyDescent="0.25">
      <c r="A13" s="17" t="str">
        <f>HYPERLINK("#'4.2.1.5-6 Soil Atmos Dep'!A1", "4.2.1.5-6 Soil atm. deposition")</f>
        <v>4.2.1.5-6 Soil atm. deposition</v>
      </c>
      <c r="D13" s="6" t="s">
        <v>145</v>
      </c>
      <c r="Q13" s="38"/>
    </row>
    <row r="14" spans="1:22" ht="20.100000000000001" customHeight="1" x14ac:dyDescent="0.25">
      <c r="A14" s="17" t="str">
        <f>HYPERLINK("#'4.2.1.7-8 Soil leach runoff'!A1", "4.2.1.7-8 Soil leach &amp; runoff")</f>
        <v>4.2.1.7-8 Soil leach &amp; runoff</v>
      </c>
      <c r="Q14" s="38"/>
    </row>
    <row r="15" spans="1:22" ht="20.100000000000001" customHeight="1" x14ac:dyDescent="0.25">
      <c r="A15" s="17"/>
      <c r="D15" s="63" t="s">
        <v>263</v>
      </c>
      <c r="E15" s="118" t="s">
        <v>146</v>
      </c>
      <c r="F15" s="118" t="s">
        <v>147</v>
      </c>
      <c r="G15" s="118" t="s">
        <v>148</v>
      </c>
      <c r="H15" s="118" t="s">
        <v>266</v>
      </c>
      <c r="Q15" s="38"/>
    </row>
    <row r="16" spans="1:22" ht="20.100000000000001" customHeight="1" x14ac:dyDescent="0.25">
      <c r="A16" s="18" t="s">
        <v>4</v>
      </c>
      <c r="D16" s="1" t="s">
        <v>149</v>
      </c>
      <c r="E16" s="52" cm="1">
        <f t="array" ref="E16">Common_InputFunctions.Utility_LookupValueInTableNumber(E15, Table_SourceData_Swine_VolatileSolids[Class], Table_SourceData_Swine_VolatileSolids[VSj])</f>
        <v>0.4</v>
      </c>
      <c r="F16" s="52" cm="1">
        <f t="array" ref="F16">Common_InputFunctions.Utility_LookupValueInTableNumber(F15, Table_SourceData_Swine_VolatileSolids[Class], Table_SourceData_Swine_VolatileSolids[VSj])</f>
        <v>0.46</v>
      </c>
      <c r="G16" s="52" cm="1">
        <f t="array" ref="G16">Common_InputFunctions.Utility_LookupValueInTableNumber(G15, Table_SourceData_Swine_VolatileSolids[Class], Table_SourceData_Swine_VolatileSolids[VSj])</f>
        <v>0.55000000000000004</v>
      </c>
      <c r="H16" s="138" cm="1">
        <f t="array" ref="H16">Common_InputFunctions.Utility_LookupValueInTableNumber(H15, Table_SourceData_Swine_VolatileSolids[Class], Table_SourceData_Swine_VolatileSolids[VSj])</f>
        <v>0.39</v>
      </c>
      <c r="I16" s="2" t="s">
        <v>121</v>
      </c>
      <c r="Q16" s="38"/>
    </row>
    <row r="17" spans="1:17" ht="20.100000000000001" customHeight="1" x14ac:dyDescent="0.25">
      <c r="A17" s="17" t="str">
        <f>HYPERLINK("#'Constants - Swine'!A1", "Constants - Swine")</f>
        <v>Constants - Swine</v>
      </c>
      <c r="D17" s="1" t="s">
        <v>150</v>
      </c>
      <c r="E17" s="52"/>
      <c r="F17" s="52"/>
      <c r="G17" s="52"/>
      <c r="H17" s="52"/>
      <c r="I17" s="2" t="s">
        <v>151</v>
      </c>
      <c r="Q17" s="7"/>
    </row>
    <row r="18" spans="1:17" ht="20.100000000000001" customHeight="1" x14ac:dyDescent="0.25">
      <c r="A18" s="17" t="str">
        <f>HYPERLINK("#'Constants - Livestock'!A1", "Constants - Livestock")</f>
        <v>Constants - Livestock</v>
      </c>
      <c r="J18" s="2"/>
      <c r="Q18" s="7"/>
    </row>
    <row r="19" spans="1:17" ht="20.100000000000001" customHeight="1" x14ac:dyDescent="0.25">
      <c r="A19" s="17" t="str">
        <f>HYPERLINK("#'Constants - Common'!A1", "Constants - Common")</f>
        <v>Constants - Common</v>
      </c>
      <c r="D19" s="63" t="s">
        <v>264</v>
      </c>
      <c r="E19" s="118" t="s">
        <v>146</v>
      </c>
      <c r="F19" s="118" t="s">
        <v>147</v>
      </c>
      <c r="G19" s="118" t="s">
        <v>148</v>
      </c>
      <c r="H19" s="118" t="s">
        <v>266</v>
      </c>
      <c r="Q19" s="7"/>
    </row>
    <row r="20" spans="1:17" ht="20.100000000000001" customHeight="1" x14ac:dyDescent="0.25">
      <c r="A20" s="17" t="str">
        <f>HYPERLINK("#'Acknowledgements'!A1", "Acknowledgements")</f>
        <v>Acknowledgements</v>
      </c>
      <c r="D20" s="1" t="s">
        <v>149</v>
      </c>
      <c r="E20" s="66" cm="1">
        <f t="array" ref="E20">Common_InputFunctions.Utility_LookupValueInTableNumber(E19, Table_SourceData_Swine_VolatileSolids[Class], Table_SourceData_Swine_VolatileSolids[VSj])</f>
        <v>0.4</v>
      </c>
      <c r="F20" s="66" cm="1">
        <f t="array" ref="F20">Common_InputFunctions.Utility_LookupValueInTableNumber(F19, Table_SourceData_Swine_VolatileSolids[Class], Table_SourceData_Swine_VolatileSolids[VSj])</f>
        <v>0.46</v>
      </c>
      <c r="G20" s="66" cm="1">
        <f t="array" ref="G20">Common_InputFunctions.Utility_LookupValueInTableNumber(G19, Table_SourceData_Swine_VolatileSolids[Class], Table_SourceData_Swine_VolatileSolids[VSj])</f>
        <v>0.55000000000000004</v>
      </c>
      <c r="H20" s="139" cm="1">
        <f t="array" ref="H20">Common_InputFunctions.Utility_LookupValueInTableNumber(H19, Table_SourceData_Swine_VolatileSolids[Class], Table_SourceData_Swine_VolatileSolids[VSj])</f>
        <v>0.39</v>
      </c>
      <c r="I20" s="2" t="s">
        <v>121</v>
      </c>
      <c r="Q20" s="7"/>
    </row>
    <row r="21" spans="1:17" ht="20.100000000000001" customHeight="1" x14ac:dyDescent="0.25">
      <c r="D21" s="1" t="s">
        <v>150</v>
      </c>
      <c r="E21" s="66"/>
      <c r="F21" s="66"/>
      <c r="G21" s="66"/>
      <c r="H21" s="66"/>
      <c r="I21" s="2" t="s">
        <v>151</v>
      </c>
      <c r="Q21" s="7"/>
    </row>
    <row r="22" spans="1:17" ht="20.100000000000001" customHeight="1" x14ac:dyDescent="0.25">
      <c r="A22" s="17"/>
      <c r="Q22" s="7"/>
    </row>
    <row r="23" spans="1:17" ht="20.100000000000001" customHeight="1" x14ac:dyDescent="0.25">
      <c r="A23" s="17"/>
      <c r="Q23" s="7"/>
    </row>
    <row r="24" spans="1:17" ht="20.100000000000001" customHeight="1" x14ac:dyDescent="0.25">
      <c r="A24" s="17"/>
      <c r="D24" s="6" t="s">
        <v>237</v>
      </c>
      <c r="Q24" s="7"/>
    </row>
    <row r="25" spans="1:17" ht="20.100000000000001" customHeight="1" x14ac:dyDescent="0.25">
      <c r="Q25" s="7"/>
    </row>
    <row r="26" spans="1:17" ht="20.100000000000001" customHeight="1" x14ac:dyDescent="0.25">
      <c r="A26" s="17"/>
      <c r="D26" s="1" t="s">
        <v>110</v>
      </c>
      <c r="E26" s="39" t="s">
        <v>152</v>
      </c>
      <c r="F26" s="2" t="s">
        <v>11</v>
      </c>
      <c r="Q26" s="7"/>
    </row>
    <row r="27" spans="1:17" ht="20.100000000000001" customHeight="1" x14ac:dyDescent="0.25">
      <c r="A27" s="17"/>
      <c r="Q27" s="7"/>
    </row>
    <row r="28" spans="1:17" ht="20.100000000000001" customHeight="1" x14ac:dyDescent="0.25">
      <c r="A28" s="17"/>
      <c r="D28" s="63" t="s">
        <v>238</v>
      </c>
      <c r="E28" s="118" t="s">
        <v>146</v>
      </c>
      <c r="F28" s="118" t="s">
        <v>147</v>
      </c>
      <c r="G28" s="118" t="s">
        <v>148</v>
      </c>
      <c r="H28" s="118" t="s">
        <v>266</v>
      </c>
      <c r="Q28" s="7"/>
    </row>
    <row r="29" spans="1:17" ht="20.100000000000001" customHeight="1" x14ac:dyDescent="0.25">
      <c r="A29" s="17"/>
      <c r="D29" s="127" t="str">
        <f>'Constants - Swine'!$G$41</f>
        <v>Anaerobic lagoon</v>
      </c>
      <c r="E29" s="46">
        <v>0.15</v>
      </c>
      <c r="F29" s="46">
        <v>0.15</v>
      </c>
      <c r="G29" s="46">
        <v>0.15</v>
      </c>
      <c r="H29" s="46">
        <v>0.15</v>
      </c>
      <c r="I29" s="2" t="s">
        <v>18</v>
      </c>
      <c r="Q29" s="7"/>
    </row>
    <row r="30" spans="1:17" ht="20.100000000000001" customHeight="1" x14ac:dyDescent="0.25">
      <c r="A30" s="17"/>
      <c r="D30" s="127" t="str">
        <f>'Constants - Swine'!$G$42</f>
        <v>Drylot (feed pad)</v>
      </c>
      <c r="E30" s="46">
        <v>0.15</v>
      </c>
      <c r="F30" s="46">
        <v>0.15</v>
      </c>
      <c r="G30" s="46">
        <v>0.15</v>
      </c>
      <c r="H30" s="46">
        <v>0.15</v>
      </c>
      <c r="I30" s="2" t="s">
        <v>18</v>
      </c>
      <c r="Q30" s="7"/>
    </row>
    <row r="31" spans="1:17" ht="20.100000000000001" customHeight="1" x14ac:dyDescent="0.25">
      <c r="A31" s="67"/>
      <c r="D31" s="127" t="str">
        <f>'Constants - Swine'!$G$43</f>
        <v>Digester / covered lagoons</v>
      </c>
      <c r="E31" s="46">
        <v>0.15</v>
      </c>
      <c r="F31" s="46">
        <v>0.15</v>
      </c>
      <c r="G31" s="46">
        <v>0.15</v>
      </c>
      <c r="H31" s="46">
        <v>0.15</v>
      </c>
      <c r="I31" s="2" t="s">
        <v>18</v>
      </c>
      <c r="Q31" s="7"/>
    </row>
    <row r="32" spans="1:17" ht="20.100000000000001" customHeight="1" x14ac:dyDescent="0.25">
      <c r="A32" s="67"/>
      <c r="D32" s="127" t="str">
        <f>'Constants - Swine'!$G$44</f>
        <v>Deep litter</v>
      </c>
      <c r="E32" s="46">
        <v>0.15</v>
      </c>
      <c r="F32" s="46">
        <v>0.15</v>
      </c>
      <c r="G32" s="46">
        <v>0.15</v>
      </c>
      <c r="H32" s="46">
        <v>0.15</v>
      </c>
      <c r="I32" s="2" t="s">
        <v>18</v>
      </c>
      <c r="Q32" s="7"/>
    </row>
    <row r="33" spans="1:17" ht="20.100000000000001" customHeight="1" x14ac:dyDescent="0.25">
      <c r="A33" s="17"/>
      <c r="D33" s="127" t="str">
        <f>'Constants - Swine'!$G$45</f>
        <v>Pit storage</v>
      </c>
      <c r="E33" s="46">
        <v>0.15</v>
      </c>
      <c r="F33" s="46">
        <v>0.15</v>
      </c>
      <c r="G33" s="46">
        <v>0.15</v>
      </c>
      <c r="H33" s="46">
        <v>0.15</v>
      </c>
      <c r="I33" s="2" t="s">
        <v>18</v>
      </c>
      <c r="Q33" s="7"/>
    </row>
    <row r="34" spans="1:17" ht="20.100000000000001" customHeight="1" x14ac:dyDescent="0.25">
      <c r="D34" s="127" t="s">
        <v>153</v>
      </c>
      <c r="E34" s="46">
        <v>0.25</v>
      </c>
      <c r="F34" s="46">
        <v>0.25</v>
      </c>
      <c r="G34" s="46">
        <v>0.25</v>
      </c>
      <c r="H34" s="46">
        <v>0.25</v>
      </c>
      <c r="I34" s="2" t="s">
        <v>18</v>
      </c>
      <c r="Q34" s="7"/>
    </row>
    <row r="35" spans="1:17" ht="20.100000000000001" customHeight="1" x14ac:dyDescent="0.25">
      <c r="D35" s="126" t="s">
        <v>239</v>
      </c>
      <c r="E35" s="97">
        <f>SUM(E29,E30,E31,E32,E33,E34)</f>
        <v>1</v>
      </c>
      <c r="F35" s="97">
        <f>SUM(F29,F30,F31,F32,F33,F34)</f>
        <v>1</v>
      </c>
      <c r="G35" s="97">
        <f>SUM(G29,G30,G31,G32,G33,G34)</f>
        <v>1</v>
      </c>
      <c r="H35" s="97">
        <f>SUM(H29,H30,H31,H32,H33,H34)</f>
        <v>1</v>
      </c>
      <c r="Q35" s="7"/>
    </row>
    <row r="36" spans="1:17" ht="20.100000000000001" customHeight="1" x14ac:dyDescent="0.25">
      <c r="Q36" s="7"/>
    </row>
    <row r="37" spans="1:17" ht="20.100000000000001" customHeight="1" x14ac:dyDescent="0.25">
      <c r="D37" s="136" t="s">
        <v>252</v>
      </c>
      <c r="Q37" s="7"/>
    </row>
    <row r="38" spans="1:17" ht="20.100000000000001" customHeight="1" x14ac:dyDescent="0.25">
      <c r="D38" s="129" t="s">
        <v>241</v>
      </c>
      <c r="E38" s="118" t="s">
        <v>242</v>
      </c>
      <c r="F38" s="118" t="s">
        <v>243</v>
      </c>
      <c r="G38" s="118" t="s">
        <v>244</v>
      </c>
      <c r="Q38" s="7"/>
    </row>
    <row r="39" spans="1:17" ht="20.100000000000001" customHeight="1" x14ac:dyDescent="0.25">
      <c r="A39" s="17"/>
      <c r="D39" s="128" t="str">
        <f>"Solids separated from " &amp; $D$29</f>
        <v>Solids separated from Anaerobic lagoon</v>
      </c>
      <c r="E39" s="39" t="s">
        <v>154</v>
      </c>
      <c r="F39" s="97">
        <v>0.2</v>
      </c>
      <c r="G39" s="46">
        <v>0.2</v>
      </c>
      <c r="Q39" s="7"/>
    </row>
    <row r="40" spans="1:17" ht="20.100000000000001" customHeight="1" x14ac:dyDescent="0.25">
      <c r="D40" s="128" t="str">
        <f>"Solids separated from " &amp; $D$30</f>
        <v>Solids separated from Drylot (feed pad)</v>
      </c>
      <c r="E40" s="39" t="s">
        <v>154</v>
      </c>
      <c r="F40" s="97">
        <v>0.2</v>
      </c>
      <c r="G40" s="46">
        <v>0.2</v>
      </c>
      <c r="Q40" s="7"/>
    </row>
    <row r="41" spans="1:17" ht="20.100000000000001" customHeight="1" x14ac:dyDescent="0.25">
      <c r="A41" s="44"/>
      <c r="D41" s="128" t="str">
        <f>"Solids separated from " &amp; $D$31</f>
        <v>Solids separated from Digester / covered lagoons</v>
      </c>
      <c r="E41" s="39" t="s">
        <v>154</v>
      </c>
      <c r="F41" s="97">
        <v>0.2</v>
      </c>
      <c r="G41" s="46">
        <v>0.2</v>
      </c>
      <c r="Q41" s="7"/>
    </row>
    <row r="42" spans="1:17" ht="20.100000000000001" customHeight="1" x14ac:dyDescent="0.25">
      <c r="D42" s="128" t="str">
        <f>"Solids separated from " &amp; $D$32</f>
        <v>Solids separated from Deep litter</v>
      </c>
      <c r="E42" s="39" t="s">
        <v>154</v>
      </c>
      <c r="F42" s="97">
        <v>0.2</v>
      </c>
      <c r="G42" s="46">
        <v>0.2</v>
      </c>
      <c r="Q42" s="7"/>
    </row>
    <row r="43" spans="1:17" ht="20.100000000000001" customHeight="1" x14ac:dyDescent="0.25">
      <c r="D43" s="128" t="str">
        <f>"Solids separated from " &amp; $D$33</f>
        <v>Solids separated from Pit storage</v>
      </c>
      <c r="E43" s="39" t="s">
        <v>154</v>
      </c>
      <c r="F43" s="97">
        <v>0.2</v>
      </c>
      <c r="G43" s="46">
        <v>0.2</v>
      </c>
      <c r="Q43" s="7"/>
    </row>
    <row r="44" spans="1:17" ht="20.100000000000001" customHeight="1" x14ac:dyDescent="0.25">
      <c r="D44" s="126"/>
      <c r="F44" s="2"/>
      <c r="Q44" s="7"/>
    </row>
    <row r="45" spans="1:17" ht="20.100000000000001" customHeight="1" x14ac:dyDescent="0.25">
      <c r="D45" s="135" t="s">
        <v>252</v>
      </c>
      <c r="Q45" s="7"/>
    </row>
    <row r="46" spans="1:17" ht="20.100000000000001" customHeight="1" x14ac:dyDescent="0.25">
      <c r="D46" s="131" t="s">
        <v>240</v>
      </c>
      <c r="E46" s="130" t="s">
        <v>146</v>
      </c>
      <c r="F46" s="130" t="s">
        <v>147</v>
      </c>
      <c r="G46" s="130" t="s">
        <v>148</v>
      </c>
      <c r="H46" s="130" t="s">
        <v>266</v>
      </c>
      <c r="I46" s="137" t="s">
        <v>253</v>
      </c>
      <c r="J46" s="63" t="s">
        <v>248</v>
      </c>
      <c r="K46" s="63"/>
      <c r="L46" s="119"/>
      <c r="Q46" s="7"/>
    </row>
    <row r="47" spans="1:17" ht="20.100000000000001" customHeight="1" x14ac:dyDescent="0.25">
      <c r="D47" s="132" t="str">
        <f>"Stage 2 MMS From " &amp; $D$29</f>
        <v>Stage 2 MMS From Anaerobic lagoon</v>
      </c>
      <c r="E47" s="106" t="str">
        <f>IF(SUM(E29:K29)&gt;0,"Manure was sent to this MMS, please complete this section.","No manure was sent to this MMS. Leave this section blank.")</f>
        <v>Manure was sent to this MMS, please complete this section.</v>
      </c>
      <c r="J47" s="134" t="s">
        <v>249</v>
      </c>
      <c r="K47" s="134" t="s">
        <v>250</v>
      </c>
      <c r="L47" s="134" t="s">
        <v>251</v>
      </c>
      <c r="Q47" s="7"/>
    </row>
    <row r="48" spans="1:17" ht="20.100000000000001" customHeight="1" x14ac:dyDescent="0.25">
      <c r="D48" s="145" t="str">
        <f>$D$30</f>
        <v>Drylot (feed pad)</v>
      </c>
      <c r="E48" s="46">
        <v>0.2</v>
      </c>
      <c r="F48" s="46">
        <v>0.25</v>
      </c>
      <c r="G48" s="46">
        <v>0.25</v>
      </c>
      <c r="H48" s="46">
        <v>0.25</v>
      </c>
      <c r="I48" s="2" t="s">
        <v>18</v>
      </c>
      <c r="J48" s="46">
        <v>0.25</v>
      </c>
      <c r="K48" s="46">
        <v>0.25</v>
      </c>
      <c r="L48" s="97">
        <f>1-SUM(J48:K48)</f>
        <v>0.5</v>
      </c>
      <c r="Q48" s="7"/>
    </row>
    <row r="49" spans="4:17" ht="20.100000000000001" customHeight="1" x14ac:dyDescent="0.25">
      <c r="D49" s="133" t="str">
        <f>$D$31</f>
        <v>Digester / covered lagoons</v>
      </c>
      <c r="E49" s="46">
        <v>0.2</v>
      </c>
      <c r="F49" s="46">
        <v>0.25</v>
      </c>
      <c r="G49" s="46">
        <v>0.25</v>
      </c>
      <c r="H49" s="46">
        <v>0.25</v>
      </c>
      <c r="I49" s="2" t="s">
        <v>18</v>
      </c>
      <c r="J49" s="46">
        <v>0.25</v>
      </c>
      <c r="K49" s="46">
        <v>0.25</v>
      </c>
      <c r="L49" s="97">
        <f t="shared" ref="L49:L52" si="0">1-SUM(J49:K49)</f>
        <v>0.5</v>
      </c>
      <c r="Q49" s="7"/>
    </row>
    <row r="50" spans="4:17" ht="20.100000000000001" customHeight="1" x14ac:dyDescent="0.25">
      <c r="D50" s="133" t="str">
        <f>$D$32</f>
        <v>Deep litter</v>
      </c>
      <c r="E50" s="46">
        <v>0.2</v>
      </c>
      <c r="F50" s="46">
        <v>0.25</v>
      </c>
      <c r="G50" s="46">
        <v>0.25</v>
      </c>
      <c r="H50" s="46">
        <v>0.25</v>
      </c>
      <c r="I50" s="2" t="s">
        <v>18</v>
      </c>
      <c r="J50" s="46">
        <v>0.25</v>
      </c>
      <c r="K50" s="46">
        <v>0.25</v>
      </c>
      <c r="L50" s="97">
        <f t="shared" si="0"/>
        <v>0.5</v>
      </c>
      <c r="Q50" s="7"/>
    </row>
    <row r="51" spans="4:17" ht="20.100000000000001" customHeight="1" x14ac:dyDescent="0.25">
      <c r="D51" s="133" t="str">
        <f>$D$33</f>
        <v>Pit storage</v>
      </c>
      <c r="E51" s="46">
        <v>0.2</v>
      </c>
      <c r="F51" s="46">
        <v>0.25</v>
      </c>
      <c r="G51" s="46">
        <v>0.25</v>
      </c>
      <c r="H51" s="46">
        <v>0.25</v>
      </c>
      <c r="I51" s="2" t="s">
        <v>18</v>
      </c>
      <c r="J51" s="46">
        <v>0.25</v>
      </c>
      <c r="K51" s="46">
        <v>0.25</v>
      </c>
      <c r="L51" s="97">
        <f t="shared" si="0"/>
        <v>0.5</v>
      </c>
      <c r="Q51" s="7"/>
    </row>
    <row r="52" spans="4:17" ht="20.100000000000001" customHeight="1" x14ac:dyDescent="0.25">
      <c r="D52" s="133" t="s">
        <v>251</v>
      </c>
      <c r="E52" s="97">
        <f>1-SUM(E48:E51)</f>
        <v>0.19999999999999996</v>
      </c>
      <c r="F52" s="97">
        <f t="shared" ref="F52:H52" si="1">1-SUM(F48:F51)</f>
        <v>0</v>
      </c>
      <c r="G52" s="97">
        <f t="shared" si="1"/>
        <v>0</v>
      </c>
      <c r="H52" s="97">
        <f t="shared" si="1"/>
        <v>0</v>
      </c>
      <c r="I52" s="2" t="s">
        <v>18</v>
      </c>
      <c r="Q52" s="7"/>
    </row>
    <row r="53" spans="4:17" ht="20.100000000000001" customHeight="1" x14ac:dyDescent="0.25">
      <c r="Q53" s="7"/>
    </row>
    <row r="54" spans="4:17" ht="20.100000000000001" customHeight="1" x14ac:dyDescent="0.25">
      <c r="D54" s="128"/>
      <c r="F54" s="2"/>
      <c r="Q54" s="7"/>
    </row>
    <row r="55" spans="4:17" ht="20.100000000000001" customHeight="1" x14ac:dyDescent="0.25">
      <c r="D55" s="132" t="str">
        <f>"Stage 2 MMS From " &amp; $D$30</f>
        <v>Stage 2 MMS From Drylot (feed pad)</v>
      </c>
      <c r="E55" s="106" t="str">
        <f>IF(SUM(E30:K30)&gt;0,"Manure was sent to this MMS, please complete this section.","No manure was sent to this MMS. Leave this section blank.")</f>
        <v>Manure was sent to this MMS, please complete this section.</v>
      </c>
      <c r="J55" s="134" t="s">
        <v>249</v>
      </c>
      <c r="K55" s="134" t="s">
        <v>250</v>
      </c>
      <c r="L55" s="134" t="s">
        <v>251</v>
      </c>
      <c r="Q55" s="7"/>
    </row>
    <row r="56" spans="4:17" ht="20.100000000000001" customHeight="1" x14ac:dyDescent="0.25">
      <c r="D56" s="133" t="str">
        <f>$D$29</f>
        <v>Anaerobic lagoon</v>
      </c>
      <c r="E56" s="46">
        <v>0.2</v>
      </c>
      <c r="F56" s="46">
        <v>0.25</v>
      </c>
      <c r="G56" s="46">
        <v>0.25</v>
      </c>
      <c r="H56" s="46">
        <v>0.25</v>
      </c>
      <c r="I56" s="2" t="s">
        <v>18</v>
      </c>
      <c r="J56" s="46">
        <v>0.25</v>
      </c>
      <c r="K56" s="46">
        <v>0.25</v>
      </c>
      <c r="L56" s="97">
        <f>1-SUM(J56:K56)</f>
        <v>0.5</v>
      </c>
      <c r="Q56" s="7"/>
    </row>
    <row r="57" spans="4:17" ht="20.100000000000001" customHeight="1" x14ac:dyDescent="0.25">
      <c r="D57" s="133" t="str">
        <f>$D$31</f>
        <v>Digester / covered lagoons</v>
      </c>
      <c r="E57" s="46">
        <v>0.2</v>
      </c>
      <c r="F57" s="46">
        <v>0.25</v>
      </c>
      <c r="G57" s="46">
        <v>0.25</v>
      </c>
      <c r="H57" s="46">
        <v>0.25</v>
      </c>
      <c r="I57" s="2" t="s">
        <v>18</v>
      </c>
      <c r="J57" s="46">
        <v>0.25</v>
      </c>
      <c r="K57" s="46">
        <v>0.25</v>
      </c>
      <c r="L57" s="97">
        <f t="shared" ref="L57:L60" si="2">1-SUM(J57:K57)</f>
        <v>0.5</v>
      </c>
      <c r="Q57" s="7"/>
    </row>
    <row r="58" spans="4:17" ht="20.100000000000001" customHeight="1" x14ac:dyDescent="0.25">
      <c r="D58" s="133" t="str">
        <f>$D$32</f>
        <v>Deep litter</v>
      </c>
      <c r="E58" s="46">
        <v>0.2</v>
      </c>
      <c r="F58" s="46">
        <v>0.25</v>
      </c>
      <c r="G58" s="46">
        <v>0.25</v>
      </c>
      <c r="H58" s="46">
        <v>0.25</v>
      </c>
      <c r="I58" s="2" t="s">
        <v>18</v>
      </c>
      <c r="J58" s="46">
        <v>0.25</v>
      </c>
      <c r="K58" s="46">
        <v>0.25</v>
      </c>
      <c r="L58" s="97">
        <f t="shared" si="2"/>
        <v>0.5</v>
      </c>
      <c r="Q58" s="7"/>
    </row>
    <row r="59" spans="4:17" ht="20.100000000000001" customHeight="1" x14ac:dyDescent="0.25">
      <c r="D59" s="133" t="str">
        <f>$D$33</f>
        <v>Pit storage</v>
      </c>
      <c r="E59" s="46">
        <v>0.2</v>
      </c>
      <c r="F59" s="46">
        <v>0.25</v>
      </c>
      <c r="G59" s="46">
        <v>0.25</v>
      </c>
      <c r="H59" s="46">
        <v>0.25</v>
      </c>
      <c r="I59" s="2" t="s">
        <v>18</v>
      </c>
      <c r="J59" s="46">
        <v>0.25</v>
      </c>
      <c r="K59" s="46">
        <v>0.25</v>
      </c>
      <c r="L59" s="97">
        <f t="shared" si="2"/>
        <v>0.5</v>
      </c>
      <c r="Q59" s="7"/>
    </row>
    <row r="60" spans="4:17" ht="20.100000000000001" customHeight="1" x14ac:dyDescent="0.25">
      <c r="D60" s="133" t="s">
        <v>251</v>
      </c>
      <c r="E60" s="97">
        <f>1-SUM(E56:E59)</f>
        <v>0.19999999999999996</v>
      </c>
      <c r="F60" s="97">
        <f t="shared" ref="F60:H60" si="3">1-SUM(F56:F59)</f>
        <v>0</v>
      </c>
      <c r="G60" s="97">
        <f t="shared" si="3"/>
        <v>0</v>
      </c>
      <c r="H60" s="97">
        <f t="shared" si="3"/>
        <v>0</v>
      </c>
      <c r="Q60" s="7"/>
    </row>
    <row r="61" spans="4:17" ht="20.100000000000001" customHeight="1" x14ac:dyDescent="0.25">
      <c r="Q61" s="7"/>
    </row>
    <row r="62" spans="4:17" ht="20.100000000000001" customHeight="1" x14ac:dyDescent="0.25">
      <c r="Q62" s="7"/>
    </row>
    <row r="63" spans="4:17" ht="20.100000000000001" customHeight="1" x14ac:dyDescent="0.25">
      <c r="D63" s="132" t="str">
        <f>"Stage 2 MMS From " &amp; $D$31</f>
        <v>Stage 2 MMS From Digester / covered lagoons</v>
      </c>
      <c r="E63" s="106" t="str">
        <f>IF(SUM(E31:K31)&gt;0,"Manure was sent to this MMS, please complete this section.","No manure was sent to this MMS. Leave this section blank.")</f>
        <v>Manure was sent to this MMS, please complete this section.</v>
      </c>
      <c r="J63" s="134" t="s">
        <v>249</v>
      </c>
      <c r="K63" s="134" t="s">
        <v>250</v>
      </c>
      <c r="L63" s="134" t="s">
        <v>251</v>
      </c>
      <c r="Q63" s="7"/>
    </row>
    <row r="64" spans="4:17" ht="20.100000000000001" customHeight="1" x14ac:dyDescent="0.25">
      <c r="D64" s="133" t="str">
        <f>$D$29</f>
        <v>Anaerobic lagoon</v>
      </c>
      <c r="E64" s="46">
        <v>0.2</v>
      </c>
      <c r="F64" s="46">
        <v>0.25</v>
      </c>
      <c r="G64" s="46">
        <v>0.25</v>
      </c>
      <c r="H64" s="46">
        <v>0.25</v>
      </c>
      <c r="I64" s="2" t="s">
        <v>18</v>
      </c>
      <c r="J64" s="46">
        <v>0.25</v>
      </c>
      <c r="K64" s="46">
        <v>0.25</v>
      </c>
      <c r="L64" s="97">
        <f>1-SUM(J64:K64)</f>
        <v>0.5</v>
      </c>
      <c r="Q64" s="7"/>
    </row>
    <row r="65" spans="4:17" ht="20.100000000000001" customHeight="1" x14ac:dyDescent="0.25">
      <c r="D65" s="145" t="str">
        <f>$D$30</f>
        <v>Drylot (feed pad)</v>
      </c>
      <c r="E65" s="46">
        <v>0.2</v>
      </c>
      <c r="F65" s="46">
        <v>0.25</v>
      </c>
      <c r="G65" s="46">
        <v>0.25</v>
      </c>
      <c r="H65" s="46">
        <v>0.25</v>
      </c>
      <c r="I65" s="2" t="s">
        <v>18</v>
      </c>
      <c r="J65" s="46">
        <v>0.25</v>
      </c>
      <c r="K65" s="46">
        <v>0.25</v>
      </c>
      <c r="L65" s="97">
        <f t="shared" ref="L65:L68" si="4">1-SUM(J65:K65)</f>
        <v>0.5</v>
      </c>
      <c r="Q65" s="7"/>
    </row>
    <row r="66" spans="4:17" ht="20.100000000000001" customHeight="1" x14ac:dyDescent="0.25">
      <c r="D66" s="133" t="str">
        <f>$D$32</f>
        <v>Deep litter</v>
      </c>
      <c r="E66" s="46">
        <v>0.2</v>
      </c>
      <c r="F66" s="46">
        <v>0.25</v>
      </c>
      <c r="G66" s="46">
        <v>0.25</v>
      </c>
      <c r="H66" s="46">
        <v>0.25</v>
      </c>
      <c r="I66" s="2" t="s">
        <v>18</v>
      </c>
      <c r="J66" s="46">
        <v>0.25</v>
      </c>
      <c r="K66" s="46">
        <v>0.25</v>
      </c>
      <c r="L66" s="97">
        <f t="shared" si="4"/>
        <v>0.5</v>
      </c>
      <c r="Q66" s="7"/>
    </row>
    <row r="67" spans="4:17" ht="20.100000000000001" customHeight="1" x14ac:dyDescent="0.25">
      <c r="D67" s="133" t="str">
        <f>$D$33</f>
        <v>Pit storage</v>
      </c>
      <c r="E67" s="46">
        <v>0.2</v>
      </c>
      <c r="F67" s="46">
        <v>0.25</v>
      </c>
      <c r="G67" s="46">
        <v>0.25</v>
      </c>
      <c r="H67" s="46">
        <v>0.25</v>
      </c>
      <c r="I67" s="2" t="s">
        <v>18</v>
      </c>
      <c r="J67" s="46">
        <v>0.25</v>
      </c>
      <c r="K67" s="46">
        <v>0.25</v>
      </c>
      <c r="L67" s="97">
        <f t="shared" si="4"/>
        <v>0.5</v>
      </c>
      <c r="Q67" s="7"/>
    </row>
    <row r="68" spans="4:17" ht="20.100000000000001" customHeight="1" x14ac:dyDescent="0.25">
      <c r="D68" s="133" t="s">
        <v>251</v>
      </c>
      <c r="E68" s="97">
        <f>1-SUM(E64:E67)</f>
        <v>0.19999999999999996</v>
      </c>
      <c r="F68" s="97">
        <f t="shared" ref="F68:H68" si="5">1-SUM(F64:F67)</f>
        <v>0</v>
      </c>
      <c r="G68" s="97">
        <f t="shared" si="5"/>
        <v>0</v>
      </c>
      <c r="H68" s="97">
        <f t="shared" si="5"/>
        <v>0</v>
      </c>
      <c r="I68" s="2" t="s">
        <v>18</v>
      </c>
      <c r="Q68" s="7"/>
    </row>
    <row r="69" spans="4:17" ht="20.100000000000001" customHeight="1" x14ac:dyDescent="0.25">
      <c r="Q69" s="7"/>
    </row>
    <row r="70" spans="4:17" ht="20.100000000000001" customHeight="1" x14ac:dyDescent="0.25">
      <c r="D70" s="126"/>
      <c r="Q70" s="7"/>
    </row>
    <row r="71" spans="4:17" ht="20.100000000000001" customHeight="1" x14ac:dyDescent="0.25">
      <c r="D71" s="132" t="str">
        <f>"Stage 2 MMS From " &amp; $D$32</f>
        <v>Stage 2 MMS From Deep litter</v>
      </c>
      <c r="E71" s="106" t="str">
        <f>IF(SUM(E32:K32)&gt;0,"Manure was sent to this MMS, please complete this section.","No manure was sent to this MMS. Leave this section blank.")</f>
        <v>Manure was sent to this MMS, please complete this section.</v>
      </c>
      <c r="J71" s="134" t="s">
        <v>249</v>
      </c>
      <c r="K71" s="134" t="s">
        <v>250</v>
      </c>
      <c r="L71" s="134" t="s">
        <v>251</v>
      </c>
      <c r="Q71" s="7"/>
    </row>
    <row r="72" spans="4:17" ht="20.100000000000001" customHeight="1" x14ac:dyDescent="0.25">
      <c r="D72" s="133" t="str">
        <f>$D$29</f>
        <v>Anaerobic lagoon</v>
      </c>
      <c r="E72" s="46">
        <v>0.2</v>
      </c>
      <c r="F72" s="46">
        <v>0.25</v>
      </c>
      <c r="G72" s="46">
        <v>0.25</v>
      </c>
      <c r="H72" s="46">
        <v>0.25</v>
      </c>
      <c r="I72" s="2" t="s">
        <v>18</v>
      </c>
      <c r="J72" s="46">
        <v>0.25</v>
      </c>
      <c r="K72" s="46">
        <v>0.25</v>
      </c>
      <c r="L72" s="97">
        <f>1-SUM(J72:K72)</f>
        <v>0.5</v>
      </c>
      <c r="Q72" s="7"/>
    </row>
    <row r="73" spans="4:17" ht="20.100000000000001" customHeight="1" x14ac:dyDescent="0.25">
      <c r="D73" s="145" t="str">
        <f>$D$30</f>
        <v>Drylot (feed pad)</v>
      </c>
      <c r="E73" s="46">
        <v>0.2</v>
      </c>
      <c r="F73" s="46">
        <v>0.25</v>
      </c>
      <c r="G73" s="46">
        <v>0.25</v>
      </c>
      <c r="H73" s="46">
        <v>0.25</v>
      </c>
      <c r="I73" s="2" t="s">
        <v>18</v>
      </c>
      <c r="J73" s="46">
        <v>0.25</v>
      </c>
      <c r="K73" s="46">
        <v>0.25</v>
      </c>
      <c r="L73" s="97">
        <f t="shared" ref="L73:L76" si="6">1-SUM(J73:K73)</f>
        <v>0.5</v>
      </c>
      <c r="Q73" s="7"/>
    </row>
    <row r="74" spans="4:17" ht="20.100000000000001" customHeight="1" x14ac:dyDescent="0.25">
      <c r="D74" s="133" t="str">
        <f>$D$31</f>
        <v>Digester / covered lagoons</v>
      </c>
      <c r="E74" s="46">
        <v>0.2</v>
      </c>
      <c r="F74" s="46">
        <v>0.25</v>
      </c>
      <c r="G74" s="46">
        <v>0.25</v>
      </c>
      <c r="H74" s="46">
        <v>0.25</v>
      </c>
      <c r="I74" s="2" t="s">
        <v>18</v>
      </c>
      <c r="J74" s="46">
        <v>0.25</v>
      </c>
      <c r="K74" s="46">
        <v>0.25</v>
      </c>
      <c r="L74" s="97">
        <f t="shared" si="6"/>
        <v>0.5</v>
      </c>
      <c r="Q74" s="7"/>
    </row>
    <row r="75" spans="4:17" ht="20.100000000000001" customHeight="1" x14ac:dyDescent="0.25">
      <c r="D75" s="133" t="str">
        <f>$D$33</f>
        <v>Pit storage</v>
      </c>
      <c r="E75" s="46">
        <v>0.2</v>
      </c>
      <c r="F75" s="46">
        <v>0.25</v>
      </c>
      <c r="G75" s="46">
        <v>0.25</v>
      </c>
      <c r="H75" s="46">
        <v>0.25</v>
      </c>
      <c r="I75" s="2" t="s">
        <v>18</v>
      </c>
      <c r="J75" s="46">
        <v>0.25</v>
      </c>
      <c r="K75" s="46">
        <v>0.25</v>
      </c>
      <c r="L75" s="97">
        <f t="shared" si="6"/>
        <v>0.5</v>
      </c>
      <c r="Q75" s="7"/>
    </row>
    <row r="76" spans="4:17" ht="20.100000000000001" customHeight="1" x14ac:dyDescent="0.25">
      <c r="D76" s="133" t="s">
        <v>251</v>
      </c>
      <c r="E76" s="97">
        <f>1-SUM(E72:E75)</f>
        <v>0.19999999999999996</v>
      </c>
      <c r="F76" s="97">
        <f t="shared" ref="F76:H76" si="7">1-SUM(F72:F75)</f>
        <v>0</v>
      </c>
      <c r="G76" s="97">
        <f t="shared" si="7"/>
        <v>0</v>
      </c>
      <c r="H76" s="97">
        <f t="shared" si="7"/>
        <v>0</v>
      </c>
      <c r="I76" s="2" t="s">
        <v>18</v>
      </c>
      <c r="Q76" s="7"/>
    </row>
    <row r="77" spans="4:17" ht="20.100000000000001" customHeight="1" x14ac:dyDescent="0.25">
      <c r="Q77" s="7"/>
    </row>
    <row r="78" spans="4:17" ht="20.100000000000001" customHeight="1" x14ac:dyDescent="0.25">
      <c r="Q78" s="7"/>
    </row>
    <row r="79" spans="4:17" ht="20.100000000000001" customHeight="1" x14ac:dyDescent="0.25">
      <c r="D79" s="132" t="str">
        <f>"Stage 2 MMS From " &amp; $D$33</f>
        <v>Stage 2 MMS From Pit storage</v>
      </c>
      <c r="E79" s="106" t="str">
        <f>IF(SUM(E33:K33)&gt;0,"Manure was sent to this MMS, please complete this section.","No manure was sent to this MMS. Leave this section blank.")</f>
        <v>Manure was sent to this MMS, please complete this section.</v>
      </c>
      <c r="J79" s="134" t="s">
        <v>249</v>
      </c>
      <c r="K79" s="134" t="s">
        <v>250</v>
      </c>
      <c r="L79" s="134" t="s">
        <v>251</v>
      </c>
      <c r="Q79" s="7"/>
    </row>
    <row r="80" spans="4:17" ht="20.100000000000001" customHeight="1" x14ac:dyDescent="0.25">
      <c r="D80" s="133" t="str">
        <f>$D$29</f>
        <v>Anaerobic lagoon</v>
      </c>
      <c r="E80" s="46">
        <v>0.2</v>
      </c>
      <c r="F80" s="46">
        <v>0.25</v>
      </c>
      <c r="G80" s="46">
        <v>0.25</v>
      </c>
      <c r="H80" s="46">
        <v>0.25</v>
      </c>
      <c r="I80" s="2" t="s">
        <v>18</v>
      </c>
      <c r="J80" s="46">
        <v>0.25</v>
      </c>
      <c r="K80" s="46">
        <v>0.25</v>
      </c>
      <c r="L80" s="97">
        <f>1-SUM(J80:K80)</f>
        <v>0.5</v>
      </c>
      <c r="Q80" s="7"/>
    </row>
    <row r="81" spans="4:17" ht="20.100000000000001" customHeight="1" x14ac:dyDescent="0.25">
      <c r="D81" s="145" t="str">
        <f>$D$30</f>
        <v>Drylot (feed pad)</v>
      </c>
      <c r="E81" s="46">
        <v>0.2</v>
      </c>
      <c r="F81" s="46">
        <v>0.25</v>
      </c>
      <c r="G81" s="46">
        <v>0.25</v>
      </c>
      <c r="H81" s="46">
        <v>0.25</v>
      </c>
      <c r="I81" s="2" t="s">
        <v>18</v>
      </c>
      <c r="J81" s="46">
        <v>0.25</v>
      </c>
      <c r="K81" s="46">
        <v>0.25</v>
      </c>
      <c r="L81" s="97">
        <f t="shared" ref="L81:L84" si="8">1-SUM(J81:K81)</f>
        <v>0.5</v>
      </c>
      <c r="Q81" s="7"/>
    </row>
    <row r="82" spans="4:17" ht="20.100000000000001" customHeight="1" x14ac:dyDescent="0.25">
      <c r="D82" s="133" t="str">
        <f>$D$31</f>
        <v>Digester / covered lagoons</v>
      </c>
      <c r="E82" s="46">
        <v>0.2</v>
      </c>
      <c r="F82" s="46">
        <v>0.25</v>
      </c>
      <c r="G82" s="46">
        <v>0.25</v>
      </c>
      <c r="H82" s="46">
        <v>0.25</v>
      </c>
      <c r="I82" s="2" t="s">
        <v>18</v>
      </c>
      <c r="J82" s="46">
        <v>0.25</v>
      </c>
      <c r="K82" s="46">
        <v>0.25</v>
      </c>
      <c r="L82" s="97">
        <f t="shared" si="8"/>
        <v>0.5</v>
      </c>
      <c r="Q82" s="7"/>
    </row>
    <row r="83" spans="4:17" ht="20.100000000000001" customHeight="1" x14ac:dyDescent="0.25">
      <c r="D83" s="133" t="str">
        <f>$D$32</f>
        <v>Deep litter</v>
      </c>
      <c r="E83" s="46">
        <v>0.2</v>
      </c>
      <c r="F83" s="46">
        <v>0.25</v>
      </c>
      <c r="G83" s="46">
        <v>0.25</v>
      </c>
      <c r="H83" s="46">
        <v>0.25</v>
      </c>
      <c r="I83" s="2" t="s">
        <v>18</v>
      </c>
      <c r="J83" s="46">
        <v>0.25</v>
      </c>
      <c r="K83" s="46">
        <v>0.25</v>
      </c>
      <c r="L83" s="97">
        <f t="shared" si="8"/>
        <v>0.5</v>
      </c>
      <c r="Q83" s="7"/>
    </row>
    <row r="84" spans="4:17" ht="20.100000000000001" customHeight="1" x14ac:dyDescent="0.25">
      <c r="D84" s="133" t="s">
        <v>251</v>
      </c>
      <c r="E84" s="97">
        <f>1-SUM(E80:E83)</f>
        <v>0.19999999999999996</v>
      </c>
      <c r="F84" s="97">
        <f t="shared" ref="F84:H84" si="9">1-SUM(F80:F83)</f>
        <v>0</v>
      </c>
      <c r="G84" s="97">
        <f t="shared" si="9"/>
        <v>0</v>
      </c>
      <c r="H84" s="97">
        <f t="shared" si="9"/>
        <v>0</v>
      </c>
      <c r="I84" s="2" t="s">
        <v>18</v>
      </c>
      <c r="Q84" s="7"/>
    </row>
    <row r="85" spans="4:17" ht="20.100000000000001" customHeight="1" x14ac:dyDescent="0.25">
      <c r="Q85" s="7"/>
    </row>
    <row r="86" spans="4:17" ht="20.100000000000001" customHeight="1" x14ac:dyDescent="0.25">
      <c r="Q86" s="7"/>
    </row>
    <row r="87" spans="4:17" ht="20.100000000000001" customHeight="1" x14ac:dyDescent="0.25">
      <c r="D87" s="132" t="str">
        <f>"Stage 2 MMS From " &amp; $D$34</f>
        <v>Stage 2 MMS From Solid storage</v>
      </c>
      <c r="E87" s="106" t="str">
        <f>IF(SUM(E41:K41)&gt;0,"Manure was sent to this MMS, please complete this section.","No manure was sent to this MMS. Leave this section blank.")</f>
        <v>Manure was sent to this MMS, please complete this section.</v>
      </c>
      <c r="H87" s="107" t="s">
        <v>247</v>
      </c>
      <c r="J87" s="134" t="s">
        <v>249</v>
      </c>
      <c r="K87" s="134" t="s">
        <v>250</v>
      </c>
      <c r="L87" s="134" t="s">
        <v>251</v>
      </c>
      <c r="Q87" s="7"/>
    </row>
    <row r="88" spans="4:17" ht="20.100000000000001" customHeight="1" x14ac:dyDescent="0.25">
      <c r="D88" s="133" t="str">
        <f>$D$29</f>
        <v>Anaerobic lagoon</v>
      </c>
      <c r="E88" s="46">
        <v>0.2</v>
      </c>
      <c r="F88" s="46">
        <v>0.2</v>
      </c>
      <c r="G88" s="46">
        <v>0.2</v>
      </c>
      <c r="H88" s="46">
        <v>0.2</v>
      </c>
      <c r="I88" s="2" t="s">
        <v>18</v>
      </c>
      <c r="J88" s="46">
        <v>0.25</v>
      </c>
      <c r="K88" s="46">
        <v>0.25</v>
      </c>
      <c r="L88" s="97">
        <f>1-SUM(J88:K88)</f>
        <v>0.5</v>
      </c>
      <c r="Q88" s="7"/>
    </row>
    <row r="89" spans="4:17" ht="20.100000000000001" customHeight="1" x14ac:dyDescent="0.25">
      <c r="D89" s="145" t="str">
        <f>$D$30</f>
        <v>Drylot (feed pad)</v>
      </c>
      <c r="E89" s="46">
        <v>0.2</v>
      </c>
      <c r="F89" s="46">
        <v>0.2</v>
      </c>
      <c r="G89" s="46">
        <v>0.2</v>
      </c>
      <c r="H89" s="46">
        <v>0.2</v>
      </c>
      <c r="I89" s="2" t="s">
        <v>18</v>
      </c>
      <c r="J89" s="46">
        <v>0.25</v>
      </c>
      <c r="K89" s="46">
        <v>0.25</v>
      </c>
      <c r="L89" s="97">
        <f t="shared" ref="L89:L93" si="10">1-SUM(J89:K89)</f>
        <v>0.5</v>
      </c>
      <c r="Q89" s="7"/>
    </row>
    <row r="90" spans="4:17" ht="20.100000000000001" customHeight="1" x14ac:dyDescent="0.25">
      <c r="D90" s="133" t="str">
        <f>$D$31</f>
        <v>Digester / covered lagoons</v>
      </c>
      <c r="E90" s="46">
        <v>0.2</v>
      </c>
      <c r="F90" s="46">
        <v>0.2</v>
      </c>
      <c r="G90" s="46">
        <v>0.2</v>
      </c>
      <c r="H90" s="46">
        <v>0.2</v>
      </c>
      <c r="I90" s="2" t="s">
        <v>18</v>
      </c>
      <c r="J90" s="46">
        <v>0.25</v>
      </c>
      <c r="K90" s="46">
        <v>0.25</v>
      </c>
      <c r="L90" s="97">
        <f t="shared" si="10"/>
        <v>0.5</v>
      </c>
      <c r="Q90" s="7"/>
    </row>
    <row r="91" spans="4:17" ht="20.100000000000001" customHeight="1" x14ac:dyDescent="0.25">
      <c r="D91" s="133" t="str">
        <f>$D$32</f>
        <v>Deep litter</v>
      </c>
      <c r="E91" s="46">
        <v>0.2</v>
      </c>
      <c r="F91" s="46">
        <v>0.2</v>
      </c>
      <c r="G91" s="46">
        <v>0.2</v>
      </c>
      <c r="H91" s="46">
        <v>0.2</v>
      </c>
      <c r="I91" s="2" t="s">
        <v>18</v>
      </c>
      <c r="J91" s="46">
        <v>0.25</v>
      </c>
      <c r="K91" s="46">
        <v>0.25</v>
      </c>
      <c r="L91" s="97">
        <f t="shared" si="10"/>
        <v>0.5</v>
      </c>
      <c r="Q91" s="7"/>
    </row>
    <row r="92" spans="4:17" ht="20.100000000000001" customHeight="1" x14ac:dyDescent="0.25">
      <c r="D92" s="133" t="str">
        <f>$D$33</f>
        <v>Pit storage</v>
      </c>
      <c r="E92" s="46">
        <v>0.1</v>
      </c>
      <c r="F92" s="46">
        <v>0.1</v>
      </c>
      <c r="G92" s="46">
        <v>0.1</v>
      </c>
      <c r="H92" s="46">
        <v>0.1</v>
      </c>
      <c r="I92" s="2" t="s">
        <v>18</v>
      </c>
      <c r="J92" s="46">
        <v>0.25</v>
      </c>
      <c r="K92" s="46">
        <v>0.25</v>
      </c>
      <c r="L92" s="97">
        <f t="shared" si="10"/>
        <v>0.5</v>
      </c>
      <c r="Q92" s="7"/>
    </row>
    <row r="93" spans="4:17" ht="20.100000000000001" customHeight="1" x14ac:dyDescent="0.25">
      <c r="D93" s="133" t="s">
        <v>251</v>
      </c>
      <c r="E93" s="97">
        <f>1-SUM(E88:E92)</f>
        <v>9.9999999999999978E-2</v>
      </c>
      <c r="F93" s="97">
        <f t="shared" ref="F93:H93" si="11">1-SUM(F88:F92)</f>
        <v>9.9999999999999978E-2</v>
      </c>
      <c r="G93" s="97">
        <f t="shared" si="11"/>
        <v>9.9999999999999978E-2</v>
      </c>
      <c r="H93" s="97">
        <f t="shared" si="11"/>
        <v>9.9999999999999978E-2</v>
      </c>
      <c r="I93" s="2" t="s">
        <v>18</v>
      </c>
      <c r="Q93" s="7"/>
    </row>
    <row r="94" spans="4:17" ht="20.100000000000001" customHeight="1" x14ac:dyDescent="0.25">
      <c r="Q94" s="7"/>
    </row>
    <row r="95" spans="4:17" ht="20.100000000000001" customHeight="1" x14ac:dyDescent="0.25">
      <c r="Q95" s="7"/>
    </row>
    <row r="96" spans="4:17" ht="20.100000000000001" customHeight="1" x14ac:dyDescent="0.25">
      <c r="D96" s="1" t="s">
        <v>328</v>
      </c>
      <c r="E96" s="39" t="s">
        <v>140</v>
      </c>
      <c r="F96" s="2" t="s">
        <v>11</v>
      </c>
      <c r="Q96" s="7"/>
    </row>
    <row r="97" spans="5:17" ht="20.100000000000001" customHeight="1" x14ac:dyDescent="0.25">
      <c r="E97" s="39" t="s">
        <v>114</v>
      </c>
      <c r="F97" s="2" t="s">
        <v>11</v>
      </c>
      <c r="Q97" s="7"/>
    </row>
    <row r="98" spans="5:17" ht="20.100000000000001" customHeight="1" x14ac:dyDescent="0.25">
      <c r="Q98" s="7"/>
    </row>
    <row r="99" spans="5:17" ht="20.100000000000001" customHeight="1" x14ac:dyDescent="0.25">
      <c r="Q99" s="7"/>
    </row>
    <row r="100" spans="5:17" ht="20.100000000000001" customHeight="1" x14ac:dyDescent="0.25">
      <c r="Q100" s="7"/>
    </row>
    <row r="101" spans="5:17" ht="20.100000000000001" customHeight="1" x14ac:dyDescent="0.25">
      <c r="Q101" s="7"/>
    </row>
    <row r="102" spans="5:17" ht="20.100000000000001" customHeight="1" x14ac:dyDescent="0.25">
      <c r="Q102" s="7"/>
    </row>
    <row r="103" spans="5:17" ht="20.100000000000001" customHeight="1" x14ac:dyDescent="0.25">
      <c r="Q103" s="7"/>
    </row>
    <row r="104" spans="5:17" ht="20.100000000000001" customHeight="1" x14ac:dyDescent="0.25">
      <c r="Q104" s="7"/>
    </row>
    <row r="105" spans="5:17" ht="20.100000000000001" customHeight="1" x14ac:dyDescent="0.25">
      <c r="Q105" s="7"/>
    </row>
    <row r="106" spans="5:17" ht="20.100000000000001" customHeight="1" x14ac:dyDescent="0.25">
      <c r="Q106" s="7"/>
    </row>
    <row r="107" spans="5:17" ht="20.100000000000001" customHeight="1" x14ac:dyDescent="0.25"/>
    <row r="108" spans="5:17" ht="20.100000000000001" customHeight="1" x14ac:dyDescent="0.25">
      <c r="M108" s="3"/>
    </row>
    <row r="109" spans="5:17" ht="20.100000000000001" customHeight="1" x14ac:dyDescent="0.25">
      <c r="M109" s="3"/>
    </row>
    <row r="110" spans="5:17" ht="20.100000000000001" customHeight="1" x14ac:dyDescent="0.25">
      <c r="M110" s="3"/>
    </row>
    <row r="111" spans="5:17" ht="20.100000000000001" customHeight="1" x14ac:dyDescent="0.25">
      <c r="M111" s="3"/>
    </row>
    <row r="112" spans="5:17" ht="20.100000000000001" customHeight="1" x14ac:dyDescent="0.25">
      <c r="M112" s="3"/>
    </row>
    <row r="113" spans="13:13" ht="20.100000000000001" customHeight="1" x14ac:dyDescent="0.25">
      <c r="M113" s="3"/>
    </row>
    <row r="114" spans="13:13" ht="20.100000000000001" customHeight="1" x14ac:dyDescent="0.25">
      <c r="M114" s="3"/>
    </row>
    <row r="115" spans="13:13" ht="20.100000000000001" customHeight="1" x14ac:dyDescent="0.25">
      <c r="M115" s="3"/>
    </row>
    <row r="116" spans="13:13" ht="20.100000000000001" customHeight="1" x14ac:dyDescent="0.25">
      <c r="M116" s="3"/>
    </row>
    <row r="117" spans="13:13" ht="20.100000000000001" customHeight="1" x14ac:dyDescent="0.25">
      <c r="M117" s="3"/>
    </row>
    <row r="118" spans="13:13" ht="20.100000000000001" customHeight="1" x14ac:dyDescent="0.25">
      <c r="M118" s="3"/>
    </row>
    <row r="119" spans="13:13" ht="20.100000000000001" customHeight="1" x14ac:dyDescent="0.25">
      <c r="M119" s="3"/>
    </row>
    <row r="120" spans="13:13" ht="20.100000000000001" customHeight="1" x14ac:dyDescent="0.25">
      <c r="M120" s="3"/>
    </row>
    <row r="121" spans="13:13" ht="20.100000000000001" customHeight="1" x14ac:dyDescent="0.25">
      <c r="M121" s="3"/>
    </row>
    <row r="122" spans="13:13" ht="20.100000000000001" customHeight="1" x14ac:dyDescent="0.25">
      <c r="M122" s="3"/>
    </row>
    <row r="123" spans="13:13" ht="20.100000000000001" customHeight="1" x14ac:dyDescent="0.25">
      <c r="M123" s="3"/>
    </row>
    <row r="124" spans="13:13" ht="20.100000000000001" customHeight="1" x14ac:dyDescent="0.25">
      <c r="M124" s="3"/>
    </row>
    <row r="125" spans="13:13" ht="20.100000000000001" customHeight="1" x14ac:dyDescent="0.25">
      <c r="M125" s="3"/>
    </row>
    <row r="126" spans="13:13" ht="20.100000000000001" customHeight="1" x14ac:dyDescent="0.25">
      <c r="M126" s="3"/>
    </row>
    <row r="127" spans="13:13" ht="20.100000000000001" customHeight="1" x14ac:dyDescent="0.25">
      <c r="M127" s="3"/>
    </row>
    <row r="128" spans="13:13" ht="20.100000000000001" customHeight="1" x14ac:dyDescent="0.25">
      <c r="M128" s="3"/>
    </row>
    <row r="129" spans="13:13" ht="20.100000000000001" customHeight="1" x14ac:dyDescent="0.25">
      <c r="M129" s="3"/>
    </row>
    <row r="130" spans="13:13" ht="20.100000000000001" customHeight="1" x14ac:dyDescent="0.25"/>
    <row r="131" spans="13:13" ht="20.100000000000001" customHeight="1" x14ac:dyDescent="0.25"/>
    <row r="132" spans="13:13" ht="20.100000000000001" customHeight="1" x14ac:dyDescent="0.25"/>
    <row r="133" spans="13:13" ht="20.100000000000001" customHeight="1" x14ac:dyDescent="0.25"/>
    <row r="134" spans="13:13" ht="20.100000000000001" customHeight="1" x14ac:dyDescent="0.25"/>
    <row r="135" spans="13:13" ht="20.100000000000001" customHeight="1" x14ac:dyDescent="0.25"/>
    <row r="136" spans="13:13" ht="20.100000000000001" customHeight="1" x14ac:dyDescent="0.25"/>
    <row r="137" spans="13:13" ht="20.100000000000001" customHeight="1" x14ac:dyDescent="0.25"/>
    <row r="138" spans="13:13" ht="20.100000000000001" customHeight="1" x14ac:dyDescent="0.25"/>
    <row r="139" spans="13:13" ht="20.100000000000001" customHeight="1" x14ac:dyDescent="0.25"/>
    <row r="140" spans="13:13" ht="20.100000000000001" customHeight="1" x14ac:dyDescent="0.25"/>
    <row r="141" spans="13:13" ht="20.100000000000001" customHeight="1" x14ac:dyDescent="0.25"/>
    <row r="142" spans="13:13" ht="20.100000000000001" customHeight="1" x14ac:dyDescent="0.25"/>
    <row r="143" spans="13:13" ht="20.100000000000001" customHeight="1" x14ac:dyDescent="0.25"/>
    <row r="144" spans="13:13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206" spans="12:12" x14ac:dyDescent="0.25">
      <c r="L206" s="2"/>
    </row>
    <row r="207" spans="12:12" x14ac:dyDescent="0.25">
      <c r="L207" s="2"/>
    </row>
    <row r="208" spans="12:12" x14ac:dyDescent="0.25">
      <c r="L208" s="2"/>
    </row>
    <row r="209" spans="12:12" x14ac:dyDescent="0.25">
      <c r="L209" s="2"/>
    </row>
    <row r="210" spans="12:12" x14ac:dyDescent="0.25">
      <c r="L210" s="2"/>
    </row>
    <row r="212" spans="12:12" x14ac:dyDescent="0.25">
      <c r="L212" s="2"/>
    </row>
    <row r="214" spans="12:12" x14ac:dyDescent="0.25">
      <c r="L214" s="2"/>
    </row>
    <row r="215" spans="12:12" x14ac:dyDescent="0.25">
      <c r="L215" s="2"/>
    </row>
    <row r="216" spans="12:12" x14ac:dyDescent="0.25">
      <c r="L216" s="2"/>
    </row>
    <row r="217" spans="12:12" x14ac:dyDescent="0.25">
      <c r="L217" s="2"/>
    </row>
    <row r="219" spans="12:12" x14ac:dyDescent="0.25">
      <c r="L219" s="2"/>
    </row>
    <row r="227" spans="12:12" x14ac:dyDescent="0.25">
      <c r="L227" s="2"/>
    </row>
    <row r="228" spans="12:12" x14ac:dyDescent="0.25">
      <c r="L228" s="2"/>
    </row>
    <row r="229" spans="12:12" x14ac:dyDescent="0.25">
      <c r="L229" s="2"/>
    </row>
    <row r="232" spans="12:12" x14ac:dyDescent="0.25">
      <c r="L232" s="2"/>
    </row>
    <row r="233" spans="12:12" x14ac:dyDescent="0.25">
      <c r="L233" s="2"/>
    </row>
    <row r="234" spans="12:12" x14ac:dyDescent="0.25">
      <c r="L234" s="2"/>
    </row>
    <row r="237" spans="12:12" x14ac:dyDescent="0.25">
      <c r="L237" s="2"/>
    </row>
    <row r="238" spans="12:12" x14ac:dyDescent="0.25">
      <c r="L238" s="2"/>
    </row>
    <row r="239" spans="12:12" x14ac:dyDescent="0.25">
      <c r="L239" s="2"/>
    </row>
    <row r="242" spans="11:12" x14ac:dyDescent="0.25">
      <c r="L242" s="2"/>
    </row>
    <row r="243" spans="11:12" x14ac:dyDescent="0.25">
      <c r="K243" s="2"/>
      <c r="L243" s="2"/>
    </row>
    <row r="244" spans="11:12" x14ac:dyDescent="0.25">
      <c r="L244" s="2"/>
    </row>
    <row r="248" spans="11:12" x14ac:dyDescent="0.25">
      <c r="K248" s="2"/>
    </row>
    <row r="251" spans="11:12" x14ac:dyDescent="0.25">
      <c r="L251" s="2"/>
    </row>
    <row r="252" spans="11:12" x14ac:dyDescent="0.25">
      <c r="L252" s="2"/>
    </row>
    <row r="253" spans="11:12" x14ac:dyDescent="0.25">
      <c r="K253" s="2"/>
      <c r="L253" s="2"/>
    </row>
    <row r="256" spans="11:12" x14ac:dyDescent="0.25">
      <c r="L256" s="2"/>
    </row>
    <row r="257" spans="11:12" x14ac:dyDescent="0.25">
      <c r="L257" s="2"/>
    </row>
    <row r="258" spans="11:12" x14ac:dyDescent="0.25">
      <c r="K258" s="2"/>
      <c r="L258" s="2"/>
    </row>
    <row r="259" spans="11:12" x14ac:dyDescent="0.25">
      <c r="K259" s="2"/>
    </row>
    <row r="260" spans="11:12" x14ac:dyDescent="0.25">
      <c r="K260" s="2"/>
    </row>
    <row r="261" spans="11:12" x14ac:dyDescent="0.25">
      <c r="K261" s="2"/>
      <c r="L261" s="2"/>
    </row>
    <row r="262" spans="11:12" x14ac:dyDescent="0.25">
      <c r="K262" s="2"/>
      <c r="L262" s="2"/>
    </row>
    <row r="263" spans="11:12" x14ac:dyDescent="0.25">
      <c r="L263" s="2"/>
    </row>
    <row r="264" spans="11:12" x14ac:dyDescent="0.25">
      <c r="K264" s="2"/>
    </row>
    <row r="266" spans="11:12" x14ac:dyDescent="0.25">
      <c r="K266" s="2"/>
      <c r="L266" s="2"/>
    </row>
    <row r="267" spans="11:12" x14ac:dyDescent="0.25">
      <c r="K267" s="2"/>
      <c r="L267" s="2"/>
    </row>
    <row r="268" spans="11:12" x14ac:dyDescent="0.25">
      <c r="K268" s="2"/>
      <c r="L268" s="2"/>
    </row>
    <row r="269" spans="11:12" x14ac:dyDescent="0.25">
      <c r="K269" s="2"/>
    </row>
    <row r="271" spans="11:12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N43:O43 M101 K184:L185 K180:L180 K194:L195 K188:L189 I205:L205 I199:L199 K198:L198 I119:J119">
    <cfRule type="cellIs" dxfId="45" priority="74" operator="lessThan">
      <formula>0</formula>
    </cfRule>
  </conditionalFormatting>
  <conditionalFormatting sqref="E205:G205">
    <cfRule type="cellIs" dxfId="44" priority="79" operator="lessThan">
      <formula>0</formula>
    </cfRule>
  </conditionalFormatting>
  <conditionalFormatting sqref="L206:L210 L212 L214:L217 L219 J223:J225 J228:J230 J243:K243 J248:K248 J253:K253 J258:K262 J264:K264 J266:K269 J271:K271 J277:K277 J282:K282 J287:K287 J292:K296 J298:K298 J300:K303 J305:K305">
    <cfRule type="cellIs" dxfId="43" priority="102" operator="lessThan">
      <formula>0</formula>
    </cfRule>
  </conditionalFormatting>
  <conditionalFormatting sqref="F245:F246">
    <cfRule type="cellIs" dxfId="42" priority="93" operator="lessThan">
      <formula>0</formula>
    </cfRule>
  </conditionalFormatting>
  <conditionalFormatting sqref="F250:F251">
    <cfRule type="cellIs" dxfId="41" priority="92" operator="lessThan">
      <formula>0</formula>
    </cfRule>
  </conditionalFormatting>
  <conditionalFormatting sqref="F255:F256">
    <cfRule type="cellIs" dxfId="40" priority="91" operator="lessThan">
      <formula>0</formula>
    </cfRule>
  </conditionalFormatting>
  <conditionalFormatting sqref="F279:F280">
    <cfRule type="cellIs" dxfId="39" priority="85" operator="lessThan">
      <formula>0</formula>
    </cfRule>
  </conditionalFormatting>
  <conditionalFormatting sqref="F284:F285">
    <cfRule type="cellIs" dxfId="38" priority="84" operator="lessThan">
      <formula>0</formula>
    </cfRule>
  </conditionalFormatting>
  <conditionalFormatting sqref="F289:F290">
    <cfRule type="cellIs" dxfId="37" priority="83" operator="lessThan">
      <formula>0</formula>
    </cfRule>
  </conditionalFormatting>
  <conditionalFormatting sqref="I29">
    <cfRule type="cellIs" dxfId="36" priority="70" operator="lessThan">
      <formula>0</formula>
    </cfRule>
  </conditionalFormatting>
  <conditionalFormatting sqref="F40:F41">
    <cfRule type="cellIs" dxfId="35" priority="69" operator="lessThan">
      <formula>0</formula>
    </cfRule>
  </conditionalFormatting>
  <conditionalFormatting sqref="F44">
    <cfRule type="cellIs" dxfId="34" priority="68" operator="lessThan">
      <formula>0</formula>
    </cfRule>
  </conditionalFormatting>
  <conditionalFormatting sqref="F54">
    <cfRule type="cellIs" dxfId="33" priority="62" operator="lessThan">
      <formula>0</formula>
    </cfRule>
  </conditionalFormatting>
  <conditionalFormatting sqref="I30">
    <cfRule type="cellIs" dxfId="32" priority="59" operator="lessThan">
      <formula>0</formula>
    </cfRule>
  </conditionalFormatting>
  <conditionalFormatting sqref="I31">
    <cfRule type="cellIs" dxfId="31" priority="58" operator="lessThan">
      <formula>0</formula>
    </cfRule>
  </conditionalFormatting>
  <conditionalFormatting sqref="I32">
    <cfRule type="cellIs" dxfId="30" priority="57" operator="lessThan">
      <formula>0</formula>
    </cfRule>
  </conditionalFormatting>
  <conditionalFormatting sqref="I33">
    <cfRule type="cellIs" dxfId="29" priority="56" operator="lessThan">
      <formula>0</formula>
    </cfRule>
  </conditionalFormatting>
  <conditionalFormatting sqref="I34">
    <cfRule type="cellIs" dxfId="28" priority="55" operator="lessThan">
      <formula>0</formula>
    </cfRule>
  </conditionalFormatting>
  <conditionalFormatting sqref="I48:I52">
    <cfRule type="cellIs" dxfId="26" priority="28" operator="lessThan">
      <formula>0</formula>
    </cfRule>
  </conditionalFormatting>
  <conditionalFormatting sqref="I56:I59">
    <cfRule type="cellIs" dxfId="25" priority="27" operator="lessThan">
      <formula>0</formula>
    </cfRule>
  </conditionalFormatting>
  <conditionalFormatting sqref="I64:I67">
    <cfRule type="cellIs" dxfId="24" priority="26" operator="lessThan">
      <formula>0</formula>
    </cfRule>
  </conditionalFormatting>
  <conditionalFormatting sqref="I72:I75">
    <cfRule type="cellIs" dxfId="23" priority="25" operator="lessThan">
      <formula>0</formula>
    </cfRule>
  </conditionalFormatting>
  <conditionalFormatting sqref="J147">
    <cfRule type="cellIs" dxfId="22" priority="24" operator="lessThan">
      <formula>0</formula>
    </cfRule>
  </conditionalFormatting>
  <conditionalFormatting sqref="F121:F122">
    <cfRule type="cellIs" dxfId="20" priority="21" operator="lessThan">
      <formula>0</formula>
    </cfRule>
  </conditionalFormatting>
  <conditionalFormatting sqref="F133:F134">
    <cfRule type="cellIs" dxfId="19" priority="20" operator="lessThan">
      <formula>0</formula>
    </cfRule>
  </conditionalFormatting>
  <conditionalFormatting sqref="F145:F146">
    <cfRule type="cellIs" dxfId="18" priority="19" operator="lessThan">
      <formula>0</formula>
    </cfRule>
  </conditionalFormatting>
  <conditionalFormatting sqref="F157:F158">
    <cfRule type="cellIs" dxfId="17" priority="18" operator="lessThan">
      <formula>0</formula>
    </cfRule>
  </conditionalFormatting>
  <conditionalFormatting sqref="L119">
    <cfRule type="cellIs" dxfId="16" priority="17" operator="lessThan">
      <formula>0</formula>
    </cfRule>
  </conditionalFormatting>
  <conditionalFormatting sqref="L131">
    <cfRule type="cellIs" dxfId="15" priority="16" operator="lessThan">
      <formula>0</formula>
    </cfRule>
  </conditionalFormatting>
  <conditionalFormatting sqref="L143">
    <cfRule type="cellIs" dxfId="14" priority="15" operator="lessThan">
      <formula>0</formula>
    </cfRule>
  </conditionalFormatting>
  <conditionalFormatting sqref="L155">
    <cfRule type="cellIs" dxfId="13" priority="14" operator="lessThan">
      <formula>0</formula>
    </cfRule>
  </conditionalFormatting>
  <conditionalFormatting sqref="L160">
    <cfRule type="cellIs" dxfId="12" priority="13" operator="lessThan">
      <formula>0</formula>
    </cfRule>
  </conditionalFormatting>
  <conditionalFormatting sqref="L159">
    <cfRule type="cellIs" dxfId="11" priority="12" operator="lessThan">
      <formula>0</formula>
    </cfRule>
  </conditionalFormatting>
  <conditionalFormatting sqref="L113:L116">
    <cfRule type="cellIs" dxfId="10" priority="11" operator="lessThan">
      <formula>0</formula>
    </cfRule>
  </conditionalFormatting>
  <conditionalFormatting sqref="L125:L128">
    <cfRule type="cellIs" dxfId="9" priority="10" operator="lessThan">
      <formula>0</formula>
    </cfRule>
  </conditionalFormatting>
  <conditionalFormatting sqref="L137:L140">
    <cfRule type="cellIs" dxfId="8" priority="9" operator="lessThan">
      <formula>0</formula>
    </cfRule>
  </conditionalFormatting>
  <conditionalFormatting sqref="L149:L152">
    <cfRule type="cellIs" dxfId="7" priority="8" operator="lessThan">
      <formula>0</formula>
    </cfRule>
  </conditionalFormatting>
  <conditionalFormatting sqref="I80:I83">
    <cfRule type="cellIs" dxfId="6" priority="7" operator="lessThan">
      <formula>0</formula>
    </cfRule>
  </conditionalFormatting>
  <conditionalFormatting sqref="I60">
    <cfRule type="cellIs" dxfId="5" priority="6" operator="lessThan">
      <formula>0</formula>
    </cfRule>
  </conditionalFormatting>
  <conditionalFormatting sqref="I68">
    <cfRule type="cellIs" dxfId="4" priority="5" operator="lessThan">
      <formula>0</formula>
    </cfRule>
  </conditionalFormatting>
  <conditionalFormatting sqref="I76">
    <cfRule type="cellIs" dxfId="3" priority="4" operator="lessThan">
      <formula>0</formula>
    </cfRule>
  </conditionalFormatting>
  <conditionalFormatting sqref="I84">
    <cfRule type="cellIs" dxfId="2" priority="3" operator="lessThan">
      <formula>0</formula>
    </cfRule>
  </conditionalFormatting>
  <conditionalFormatting sqref="I88:I92">
    <cfRule type="cellIs" dxfId="1" priority="2" operator="lessThan">
      <formula>0</formula>
    </cfRule>
  </conditionalFormatting>
  <conditionalFormatting sqref="I93">
    <cfRule type="cellIs" dxfId="0" priority="1" operator="lessThan">
      <formula>0</formula>
    </cfRule>
  </conditionalFormatting>
  <dataValidations count="6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39:E43 E156 E144 E120 E132" xr:uid="{00A4EA4C-90D3-4150-979D-4D71C7F37A31}">
      <formula1>"Yes, No"</formula1>
    </dataValidation>
    <dataValidation type="list" allowBlank="1" showInputMessage="1" showErrorMessage="1" sqref="E26" xr:uid="{7CE3F3B3-74F0-4147-9434-E417CDC75C10}">
      <formula1>INDIRECT("Table_SourceData_Swine_ProductionSystems[Production system]")</formula1>
    </dataValidation>
    <dataValidation type="list" allowBlank="1" showInputMessage="1" showErrorMessage="1" sqref="E97" xr:uid="{DBA884B0-B52E-420E-8FD2-21B082EB75E2}">
      <formula1>INDIRECT("Table_SourceData_Swine_IrrigationMethods[Irrigation method]")</formula1>
    </dataValidation>
    <dataValidation type="list" allowBlank="1" showInputMessage="1" showErrorMessage="1" sqref="E96" xr:uid="{B95E29DC-96D0-4475-A29E-3F3A3B60CEA1}">
      <formula1>INDIRECT("Table_SourceData_Swine_CropProdSystems[Production system]")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AA342"/>
  <sheetViews>
    <sheetView showGridLines="0" zoomScale="70" zoomScaleNormal="70" workbookViewId="0">
      <selection activeCell="D137" sqref="D137:J16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6" width="30.7109375" style="1" customWidth="1"/>
    <col min="27" max="27" width="4.7109375" style="1" customWidth="1"/>
  </cols>
  <sheetData>
    <row r="1" spans="1:27" s="8" customFormat="1" ht="30" customHeight="1" x14ac:dyDescent="0.35">
      <c r="A1" s="68" t="e" vm="1">
        <v>#VALUE!</v>
      </c>
      <c r="C1" s="8" t="s">
        <v>166</v>
      </c>
    </row>
    <row r="2" spans="1:27" s="9" customFormat="1" ht="20.100000000000001" customHeight="1" x14ac:dyDescent="0.25"/>
    <row r="3" spans="1:27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0.100000000000001" customHeight="1" x14ac:dyDescent="0.25">
      <c r="A4" s="17" t="str">
        <f>HYPERLINK("#'Results'!A1", "Results")</f>
        <v>Results</v>
      </c>
    </row>
    <row r="5" spans="1:27" ht="20.100000000000001" customHeight="1" x14ac:dyDescent="0.25">
      <c r="A5" s="16"/>
      <c r="D5" s="6" t="str" cm="1">
        <f t="array" ref="D5">ManureManagement_Swine_Methane.VEERG_4_5_1_1__4_FractionVolatileSolidsPrimarySystem_Title()</f>
        <v>Fraction of volatile solids in each primary system other than solid storage</v>
      </c>
    </row>
    <row r="6" spans="1:27" ht="20.100000000000001" customHeight="1" x14ac:dyDescent="0.25">
      <c r="A6" s="20" t="s">
        <v>3</v>
      </c>
      <c r="D6" s="5" t="str" cm="1">
        <f t="array" ref="D6">ManureManagement_Swine_Methane.VEERG_4_5_1_1__4_FractionVolatileSolidsPrimarySystem_Source()</f>
        <v>VEERG 2026: 4.5.1.1, Equation (4)</v>
      </c>
    </row>
    <row r="7" spans="1:27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Common_InputFunctions.Utility_DisplayFunctionName($E$40)</f>
        <v>=ManureManagement_Swine_Methane.VEERG_4_5_1_1__4_FractionVolatileSolidsPrimarySystem</v>
      </c>
    </row>
    <row r="8" spans="1:27" ht="20.100000000000001" customHeight="1" x14ac:dyDescent="0.25">
      <c r="A8" s="17" t="str">
        <f>HYPERLINK("#'Input - Swine'!A1", "Swine")</f>
        <v>Swine</v>
      </c>
      <c r="D8" s="55"/>
    </row>
    <row r="9" spans="1:27" ht="20.100000000000001" customHeight="1" x14ac:dyDescent="0.25">
      <c r="A9" s="17"/>
    </row>
    <row r="10" spans="1:27" ht="20.100000000000001" customHeight="1" x14ac:dyDescent="0.25">
      <c r="A10" s="19" t="s">
        <v>76</v>
      </c>
      <c r="D10" s="53" t="s">
        <v>29</v>
      </c>
      <c r="E10" s="1" t="str" cm="1">
        <f t="array" ref="E10">ManureManagement_Swine_Methane.VEERG_4_5_1_1__4_FractionVolatileSolidsPrimarySystem_Variable()</f>
        <v>FVSjmT1</v>
      </c>
      <c r="G10" s="107" t="s">
        <v>167</v>
      </c>
    </row>
    <row r="11" spans="1:27" ht="20.100000000000001" customHeight="1" x14ac:dyDescent="0.25">
      <c r="A11" s="17" t="str">
        <f>HYPERLINK("#'4.2.1.1-2 Methane'!A1", "4.2.1.1-2 Methane")</f>
        <v>4.2.1.1-2 Methane</v>
      </c>
      <c r="D11" s="53" t="s">
        <v>19</v>
      </c>
      <c r="E11" s="54" t="str" cm="1">
        <f t="array" ref="E11">ManureManagement_Swine_Methane.VEERG_4_5_1_1__4_FractionVolatileSolidsPrimarySystem_Unit()</f>
        <v>fraction</v>
      </c>
    </row>
    <row r="12" spans="1:27" ht="20.100000000000001" customHeight="1" x14ac:dyDescent="0.25">
      <c r="A12" s="17" t="str">
        <f>HYPERLINK("#'4.2.1.3-4 Soil direct N2O'!A1", "4.2.1.3-4 Soil direct N2O")</f>
        <v>4.2.1.3-4 Soil direct N2O</v>
      </c>
    </row>
    <row r="13" spans="1:27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4">ManureManagement_Swine_Methane.VEERG_4_5_1_1__4_FractionVolatileSolidsPrimarySystem_Arguments()</f>
        <v>MMSjmT1</v>
      </c>
      <c r="E13" s="58" t="str">
        <v>fraction of manure to each primary MMS for each class prior to solid separation : fraction</v>
      </c>
      <c r="F13" s="100"/>
      <c r="G13" s="59"/>
      <c r="H13" s="52" t="str">
        <f>"See " &amp; $D$16</f>
        <v>See Table_MMS_j_m_T-1</v>
      </c>
      <c r="I13" s="107" t="s">
        <v>168</v>
      </c>
    </row>
    <row r="14" spans="1:27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SSm</v>
      </c>
      <c r="E14" s="58" t="str">
        <v>fraction of volatile solids separated to solid storage for each MMS : fraction</v>
      </c>
      <c r="F14" s="100"/>
      <c r="G14" s="59"/>
      <c r="H14" s="52" t="str">
        <f>"See " &amp; $D$26</f>
        <v>See M1_Table_SS_m</v>
      </c>
      <c r="I14" s="107" t="s">
        <v>169</v>
      </c>
    </row>
    <row r="15" spans="1:27" ht="20.100000000000001" customHeight="1" x14ac:dyDescent="0.25">
      <c r="A15" s="17"/>
    </row>
    <row r="16" spans="1:27" ht="20.100000000000001" customHeight="1" x14ac:dyDescent="0.25">
      <c r="A16" s="18" t="s">
        <v>4</v>
      </c>
      <c r="D16" s="121" t="s">
        <v>308</v>
      </c>
    </row>
    <row r="17" spans="1:19" ht="20.100000000000001" customHeight="1" x14ac:dyDescent="0.25">
      <c r="A17" s="17" t="str">
        <f>HYPERLINK("#'Constants - Swine'!A1", "Constants - Swine")</f>
        <v>Constants - Swine</v>
      </c>
      <c r="D17" s="122" t="s">
        <v>171</v>
      </c>
    </row>
    <row r="18" spans="1:19" ht="20.100000000000001" customHeight="1" x14ac:dyDescent="0.25">
      <c r="A18" s="17" t="str">
        <f>HYPERLINK("#'Constants - Livestock'!A1", "Constants - Livestock")</f>
        <v>Constants - Livestock</v>
      </c>
      <c r="E18" s="51" t="s">
        <v>146</v>
      </c>
      <c r="F18" s="51" t="s">
        <v>147</v>
      </c>
      <c r="G18" s="51" t="s">
        <v>148</v>
      </c>
      <c r="H18" s="51" t="s">
        <v>266</v>
      </c>
    </row>
    <row r="19" spans="1:19" ht="20.100000000000001" customHeight="1" x14ac:dyDescent="0.25">
      <c r="A19" s="17" t="str">
        <f>HYPERLINK("#'Constants - Common'!A1", "Constants - Common")</f>
        <v>Constants - Common</v>
      </c>
      <c r="D19" s="51" t="s">
        <v>172</v>
      </c>
      <c r="E19" s="51" t="s">
        <v>173</v>
      </c>
      <c r="F19" s="51" t="s">
        <v>174</v>
      </c>
      <c r="G19" s="51" t="s">
        <v>175</v>
      </c>
      <c r="H19" s="51" t="s">
        <v>176</v>
      </c>
    </row>
    <row r="20" spans="1:19" ht="20.100000000000001" customHeight="1" x14ac:dyDescent="0.25">
      <c r="A20" s="17" t="str">
        <f>HYPERLINK("#'Acknowledgements'!A1", "Acknowledgements")</f>
        <v>Acknowledgements</v>
      </c>
      <c r="D20" s="57" t="str">
        <f>'Input - Swine'!$D$29</f>
        <v>Anaerobic lagoon</v>
      </c>
      <c r="E20" s="52">
        <f>'Input - Swine'!E29</f>
        <v>0.15</v>
      </c>
      <c r="F20" s="52">
        <f>'Input - Swine'!F29</f>
        <v>0.15</v>
      </c>
      <c r="G20" s="52">
        <f>'Input - Swine'!G29</f>
        <v>0.15</v>
      </c>
      <c r="H20" s="52">
        <f>'Input - Swine'!H29</f>
        <v>0.15</v>
      </c>
      <c r="I20" s="2" t="s">
        <v>99</v>
      </c>
    </row>
    <row r="21" spans="1:19" ht="20.100000000000001" customHeight="1" x14ac:dyDescent="0.25">
      <c r="D21" s="57" t="str">
        <f>'Input - Swine'!$D$30</f>
        <v>Drylot (feed pad)</v>
      </c>
      <c r="E21" s="52">
        <f>'Input - Swine'!E30</f>
        <v>0.15</v>
      </c>
      <c r="F21" s="52">
        <f>'Input - Swine'!F30</f>
        <v>0.15</v>
      </c>
      <c r="G21" s="52">
        <f>'Input - Swine'!G30</f>
        <v>0.15</v>
      </c>
      <c r="H21" s="52">
        <f>'Input - Swine'!H30</f>
        <v>0.15</v>
      </c>
      <c r="I21" s="2" t="s">
        <v>99</v>
      </c>
    </row>
    <row r="22" spans="1:19" ht="20.100000000000001" customHeight="1" x14ac:dyDescent="0.25">
      <c r="A22" s="17"/>
      <c r="D22" s="57" t="str">
        <f>'Input - Swine'!$D$31</f>
        <v>Digester / covered lagoons</v>
      </c>
      <c r="E22" s="52">
        <f>'Input - Swine'!E31</f>
        <v>0.15</v>
      </c>
      <c r="F22" s="52">
        <f>'Input - Swine'!F31</f>
        <v>0.15</v>
      </c>
      <c r="G22" s="52">
        <f>'Input - Swine'!G31</f>
        <v>0.15</v>
      </c>
      <c r="H22" s="52">
        <f>'Input - Swine'!H31</f>
        <v>0.15</v>
      </c>
      <c r="I22" s="2" t="s">
        <v>99</v>
      </c>
    </row>
    <row r="23" spans="1:19" ht="20.100000000000001" customHeight="1" x14ac:dyDescent="0.25">
      <c r="A23" s="17"/>
      <c r="D23" s="57" t="str">
        <f>'Input - Swine'!$D$32</f>
        <v>Deep litter</v>
      </c>
      <c r="E23" s="52">
        <f>'Input - Swine'!E32</f>
        <v>0.15</v>
      </c>
      <c r="F23" s="52">
        <f>'Input - Swine'!F32</f>
        <v>0.15</v>
      </c>
      <c r="G23" s="52">
        <f>'Input - Swine'!G32</f>
        <v>0.15</v>
      </c>
      <c r="H23" s="52">
        <f>'Input - Swine'!H32</f>
        <v>0.15</v>
      </c>
      <c r="I23" s="2" t="s">
        <v>99</v>
      </c>
    </row>
    <row r="24" spans="1:19" ht="20.100000000000001" customHeight="1" x14ac:dyDescent="0.25">
      <c r="D24" s="57" t="str">
        <f>'Input - Swine'!$D$33</f>
        <v>Pit storage</v>
      </c>
      <c r="E24" s="52">
        <f>'Input - Swine'!E33</f>
        <v>0.15</v>
      </c>
      <c r="F24" s="52">
        <f>'Input - Swine'!F33</f>
        <v>0.15</v>
      </c>
      <c r="G24" s="52">
        <f>'Input - Swine'!G33</f>
        <v>0.15</v>
      </c>
      <c r="H24" s="52">
        <f>'Input - Swine'!H33</f>
        <v>0.15</v>
      </c>
      <c r="I24" s="2" t="s">
        <v>99</v>
      </c>
    </row>
    <row r="25" spans="1:19" ht="20.100000000000001" customHeight="1" x14ac:dyDescent="0.25"/>
    <row r="26" spans="1:19" ht="20.100000000000001" customHeight="1" x14ac:dyDescent="0.25">
      <c r="D26" s="121" t="s">
        <v>309</v>
      </c>
      <c r="N26" s="121" t="s">
        <v>267</v>
      </c>
    </row>
    <row r="27" spans="1:19" ht="20.100000000000001" customHeight="1" x14ac:dyDescent="0.25">
      <c r="D27" s="122" t="s">
        <v>254</v>
      </c>
      <c r="N27" s="122" t="s">
        <v>268</v>
      </c>
    </row>
    <row r="28" spans="1:19" ht="20.100000000000001" customHeight="1" x14ac:dyDescent="0.25">
      <c r="E28" s="51" t="s">
        <v>146</v>
      </c>
      <c r="F28" s="51" t="s">
        <v>147</v>
      </c>
      <c r="G28" s="51" t="s">
        <v>148</v>
      </c>
      <c r="H28" s="51" t="s">
        <v>266</v>
      </c>
      <c r="O28" s="51" t="s">
        <v>146</v>
      </c>
      <c r="P28" s="51" t="s">
        <v>147</v>
      </c>
      <c r="Q28" s="51" t="s">
        <v>148</v>
      </c>
      <c r="R28" s="51" t="s">
        <v>266</v>
      </c>
    </row>
    <row r="29" spans="1:19" ht="20.100000000000001" customHeight="1" x14ac:dyDescent="0.25">
      <c r="D29" s="51" t="s">
        <v>172</v>
      </c>
      <c r="E29" s="51" t="s">
        <v>177</v>
      </c>
      <c r="F29" s="51" t="s">
        <v>178</v>
      </c>
      <c r="G29" s="51" t="s">
        <v>179</v>
      </c>
      <c r="H29" s="51" t="s">
        <v>180</v>
      </c>
      <c r="N29" s="51" t="s">
        <v>172</v>
      </c>
      <c r="O29" s="51" t="s">
        <v>177</v>
      </c>
      <c r="P29" s="51" t="s">
        <v>178</v>
      </c>
      <c r="Q29" s="51" t="s">
        <v>179</v>
      </c>
      <c r="R29" s="51" t="s">
        <v>180</v>
      </c>
    </row>
    <row r="30" spans="1:19" ht="20.100000000000001" customHeight="1" x14ac:dyDescent="0.25">
      <c r="D30" s="57" t="str">
        <f>'Input - Swine'!$D$29</f>
        <v>Anaerobic lagoon</v>
      </c>
      <c r="E30" s="52">
        <f>'Input - Swine'!$F$39</f>
        <v>0.2</v>
      </c>
      <c r="F30" s="52">
        <f>'Input - Swine'!$F$39</f>
        <v>0.2</v>
      </c>
      <c r="G30" s="52">
        <f>'Input - Swine'!$F$39</f>
        <v>0.2</v>
      </c>
      <c r="H30" s="52">
        <f>'Input - Swine'!$F$39</f>
        <v>0.2</v>
      </c>
      <c r="I30" s="2" t="s">
        <v>99</v>
      </c>
      <c r="N30" s="57" t="str">
        <f>'Input - Swine'!$D$29</f>
        <v>Anaerobic lagoon</v>
      </c>
      <c r="O30" s="52">
        <f>'Input - Swine'!$G$39</f>
        <v>0.2</v>
      </c>
      <c r="P30" s="52">
        <f>'Input - Swine'!$G$39</f>
        <v>0.2</v>
      </c>
      <c r="Q30" s="52">
        <f>'Input - Swine'!$G$39</f>
        <v>0.2</v>
      </c>
      <c r="R30" s="52">
        <f>'Input - Swine'!$G$39</f>
        <v>0.2</v>
      </c>
      <c r="S30" s="2" t="s">
        <v>99</v>
      </c>
    </row>
    <row r="31" spans="1:19" ht="20.100000000000001" customHeight="1" x14ac:dyDescent="0.25">
      <c r="D31" s="57" t="str">
        <f>'Input - Swine'!$D$30</f>
        <v>Drylot (feed pad)</v>
      </c>
      <c r="E31" s="52">
        <f>'Input - Swine'!$F$40</f>
        <v>0.2</v>
      </c>
      <c r="F31" s="52">
        <f>'Input - Swine'!$F$40</f>
        <v>0.2</v>
      </c>
      <c r="G31" s="52">
        <f>'Input - Swine'!$F$40</f>
        <v>0.2</v>
      </c>
      <c r="H31" s="52">
        <f>'Input - Swine'!$F$40</f>
        <v>0.2</v>
      </c>
      <c r="I31" s="2" t="s">
        <v>99</v>
      </c>
      <c r="N31" s="57" t="str">
        <f>'Input - Swine'!$D$30</f>
        <v>Drylot (feed pad)</v>
      </c>
      <c r="O31" s="52">
        <f>'Input - Swine'!$G$40</f>
        <v>0.2</v>
      </c>
      <c r="P31" s="52">
        <f>'Input - Swine'!$G$40</f>
        <v>0.2</v>
      </c>
      <c r="Q31" s="52">
        <f>'Input - Swine'!$G$40</f>
        <v>0.2</v>
      </c>
      <c r="R31" s="52">
        <f>'Input - Swine'!$G$40</f>
        <v>0.2</v>
      </c>
      <c r="S31" s="2" t="s">
        <v>99</v>
      </c>
    </row>
    <row r="32" spans="1:19" ht="20.100000000000001" customHeight="1" x14ac:dyDescent="0.25">
      <c r="D32" s="57" t="str">
        <f>'Input - Swine'!$D$31</f>
        <v>Digester / covered lagoons</v>
      </c>
      <c r="E32" s="52">
        <f>'Input - Swine'!$F$41</f>
        <v>0.2</v>
      </c>
      <c r="F32" s="52">
        <f>'Input - Swine'!$F$41</f>
        <v>0.2</v>
      </c>
      <c r="G32" s="52">
        <f>'Input - Swine'!$F$41</f>
        <v>0.2</v>
      </c>
      <c r="H32" s="52">
        <f>'Input - Swine'!$F$41</f>
        <v>0.2</v>
      </c>
      <c r="I32" s="2" t="s">
        <v>99</v>
      </c>
      <c r="N32" s="57" t="str">
        <f>'Input - Swine'!$D$31</f>
        <v>Digester / covered lagoons</v>
      </c>
      <c r="O32" s="52">
        <f>'Input - Swine'!$G$41</f>
        <v>0.2</v>
      </c>
      <c r="P32" s="52">
        <f>'Input - Swine'!$G$41</f>
        <v>0.2</v>
      </c>
      <c r="Q32" s="52">
        <f>'Input - Swine'!$G$41</f>
        <v>0.2</v>
      </c>
      <c r="R32" s="52">
        <f>'Input - Swine'!$G$41</f>
        <v>0.2</v>
      </c>
      <c r="S32" s="2" t="s">
        <v>99</v>
      </c>
    </row>
    <row r="33" spans="3:19" ht="20.100000000000001" customHeight="1" x14ac:dyDescent="0.25">
      <c r="D33" s="57" t="str">
        <f>'Input - Swine'!$D$32</f>
        <v>Deep litter</v>
      </c>
      <c r="E33" s="52">
        <f>'Input - Swine'!$F$42</f>
        <v>0.2</v>
      </c>
      <c r="F33" s="52">
        <f>'Input - Swine'!$F$42</f>
        <v>0.2</v>
      </c>
      <c r="G33" s="52">
        <f>'Input - Swine'!$F$42</f>
        <v>0.2</v>
      </c>
      <c r="H33" s="52">
        <f>'Input - Swine'!$F$42</f>
        <v>0.2</v>
      </c>
      <c r="I33" s="2" t="s">
        <v>99</v>
      </c>
      <c r="N33" s="57" t="str">
        <f>'Input - Swine'!$D$32</f>
        <v>Deep litter</v>
      </c>
      <c r="O33" s="52">
        <f>'Input - Swine'!$G$42</f>
        <v>0.2</v>
      </c>
      <c r="P33" s="52">
        <f>'Input - Swine'!$G$42</f>
        <v>0.2</v>
      </c>
      <c r="Q33" s="52">
        <f>'Input - Swine'!$G$42</f>
        <v>0.2</v>
      </c>
      <c r="R33" s="52">
        <f>'Input - Swine'!$G$42</f>
        <v>0.2</v>
      </c>
      <c r="S33" s="2" t="s">
        <v>99</v>
      </c>
    </row>
    <row r="34" spans="3:19" ht="20.100000000000001" customHeight="1" x14ac:dyDescent="0.25">
      <c r="D34" s="57" t="str">
        <f>'Input - Swine'!$D$33</f>
        <v>Pit storage</v>
      </c>
      <c r="E34" s="52">
        <f>'Input - Swine'!$F$43</f>
        <v>0.2</v>
      </c>
      <c r="F34" s="52">
        <f>'Input - Swine'!$F$43</f>
        <v>0.2</v>
      </c>
      <c r="G34" s="52">
        <f>'Input - Swine'!$F$43</f>
        <v>0.2</v>
      </c>
      <c r="H34" s="52">
        <f>'Input - Swine'!$F$43</f>
        <v>0.2</v>
      </c>
      <c r="I34" s="2" t="s">
        <v>99</v>
      </c>
      <c r="N34" s="57" t="str">
        <f>'Input - Swine'!$D$33</f>
        <v>Pit storage</v>
      </c>
      <c r="O34" s="52">
        <f>'Input - Swine'!$G$43</f>
        <v>0.2</v>
      </c>
      <c r="P34" s="52">
        <f>'Input - Swine'!$G$43</f>
        <v>0.2</v>
      </c>
      <c r="Q34" s="52">
        <f>'Input - Swine'!$G$43</f>
        <v>0.2</v>
      </c>
      <c r="R34" s="52">
        <f>'Input - Swine'!$G$43</f>
        <v>0.2</v>
      </c>
      <c r="S34" s="2" t="s">
        <v>99</v>
      </c>
    </row>
    <row r="35" spans="3:19" ht="20.100000000000001" customHeight="1" x14ac:dyDescent="0.25"/>
    <row r="36" spans="3:19" ht="20.100000000000001" customHeight="1" x14ac:dyDescent="0.25">
      <c r="D36" s="121" t="s">
        <v>306</v>
      </c>
      <c r="N36" s="121" t="s">
        <v>307</v>
      </c>
    </row>
    <row r="37" spans="3:19" ht="20.100000000000001" customHeight="1" x14ac:dyDescent="0.25">
      <c r="D37" s="122" t="s">
        <v>255</v>
      </c>
      <c r="N37" s="122" t="s">
        <v>269</v>
      </c>
    </row>
    <row r="38" spans="3:19" ht="20.100000000000001" customHeight="1" x14ac:dyDescent="0.25">
      <c r="E38" s="51" t="s">
        <v>146</v>
      </c>
      <c r="F38" s="51" t="s">
        <v>147</v>
      </c>
      <c r="G38" s="51" t="s">
        <v>148</v>
      </c>
      <c r="H38" s="51" t="s">
        <v>266</v>
      </c>
      <c r="O38" s="51" t="s">
        <v>146</v>
      </c>
      <c r="P38" s="51" t="s">
        <v>147</v>
      </c>
      <c r="Q38" s="51" t="s">
        <v>148</v>
      </c>
      <c r="R38" s="51" t="s">
        <v>266</v>
      </c>
    </row>
    <row r="39" spans="3:19" ht="20.100000000000001" customHeight="1" x14ac:dyDescent="0.25">
      <c r="D39" s="51" t="s">
        <v>172</v>
      </c>
      <c r="E39" s="51" t="s">
        <v>181</v>
      </c>
      <c r="F39" s="51" t="s">
        <v>181</v>
      </c>
      <c r="G39" s="51" t="s">
        <v>181</v>
      </c>
      <c r="H39" s="51" t="s">
        <v>181</v>
      </c>
      <c r="N39" s="51" t="s">
        <v>172</v>
      </c>
      <c r="O39" s="51" t="s">
        <v>181</v>
      </c>
      <c r="P39" s="51" t="s">
        <v>181</v>
      </c>
      <c r="Q39" s="51" t="s">
        <v>181</v>
      </c>
      <c r="R39" s="51" t="s">
        <v>181</v>
      </c>
    </row>
    <row r="40" spans="3:19" ht="20.100000000000001" customHeight="1" x14ac:dyDescent="0.25">
      <c r="D40" s="57" t="str">
        <f>'Input - Swine'!$D$29</f>
        <v>Anaerobic lagoon</v>
      </c>
      <c r="E40" s="52" cm="1">
        <f t="array" ref="E40">ManureManagement_Swine_Methane.VEERG_4_5_1_1__4_FractionVolatileSolidsPrimarySystem(E20,E30)</f>
        <v>0.12</v>
      </c>
      <c r="F40" s="52" cm="1">
        <f t="array" ref="F40">ManureManagement_Swine_Methane.VEERG_4_5_1_1__4_FractionVolatileSolidsPrimarySystem(F20,F30)</f>
        <v>0.12</v>
      </c>
      <c r="G40" s="52" cm="1">
        <f t="array" ref="G40">ManureManagement_Swine_Methane.VEERG_4_5_1_1__4_FractionVolatileSolidsPrimarySystem(G20,G30)</f>
        <v>0.12</v>
      </c>
      <c r="H40" s="52" cm="1">
        <f t="array" ref="H40">ManureManagement_Swine_Methane.VEERG_4_5_1_1__4_FractionVolatileSolidsPrimarySystem(H20,H30)</f>
        <v>0.12</v>
      </c>
      <c r="I40" s="2" t="str">
        <f>$E$11</f>
        <v>fraction</v>
      </c>
      <c r="N40" s="57" t="str">
        <f>'Input - Swine'!$D$29</f>
        <v>Anaerobic lagoon</v>
      </c>
      <c r="O40" s="52" cm="1">
        <f t="array" ref="O40">ManureManagement_Swine_Methane.VEERG_4_5_1_1__4_FractionVolatileSolidsPrimarySystem(E20,O30)</f>
        <v>0.12</v>
      </c>
      <c r="P40" s="52" cm="1">
        <f t="array" ref="P40">ManureManagement_Swine_Methane.VEERG_4_5_1_1__4_FractionVolatileSolidsPrimarySystem(F20,P30)</f>
        <v>0.12</v>
      </c>
      <c r="Q40" s="52" cm="1">
        <f t="array" ref="Q40">ManureManagement_Swine_Methane.VEERG_4_5_1_1__4_FractionVolatileSolidsPrimarySystem(G20,Q30)</f>
        <v>0.12</v>
      </c>
      <c r="R40" s="52" cm="1">
        <f t="array" ref="R40">ManureManagement_Swine_Methane.VEERG_4_5_1_1__4_FractionVolatileSolidsPrimarySystem(H20,R30)</f>
        <v>0.12</v>
      </c>
      <c r="S40" s="2" t="str">
        <f>$E$11</f>
        <v>fraction</v>
      </c>
    </row>
    <row r="41" spans="3:19" ht="20.100000000000001" customHeight="1" x14ac:dyDescent="0.25">
      <c r="D41" s="57" t="str">
        <f>'Input - Swine'!$D$30</f>
        <v>Drylot (feed pad)</v>
      </c>
      <c r="E41" s="52" cm="1">
        <f t="array" ref="E41">ManureManagement_Swine_Methane.VEERG_4_5_1_1__4_FractionVolatileSolidsPrimarySystem(E21,E31)</f>
        <v>0.12</v>
      </c>
      <c r="F41" s="52" cm="1">
        <f t="array" ref="F41">ManureManagement_Swine_Methane.VEERG_4_5_1_1__4_FractionVolatileSolidsPrimarySystem(F21,F31)</f>
        <v>0.12</v>
      </c>
      <c r="G41" s="52" cm="1">
        <f t="array" ref="G41">ManureManagement_Swine_Methane.VEERG_4_5_1_1__4_FractionVolatileSolidsPrimarySystem(G21,G31)</f>
        <v>0.12</v>
      </c>
      <c r="H41" s="52" cm="1">
        <f t="array" ref="H41">ManureManagement_Swine_Methane.VEERG_4_5_1_1__4_FractionVolatileSolidsPrimarySystem(H21,H31)</f>
        <v>0.12</v>
      </c>
      <c r="I41" s="2" t="str">
        <f>$E$11</f>
        <v>fraction</v>
      </c>
      <c r="N41" s="57" t="str">
        <f>'Input - Swine'!$D$30</f>
        <v>Drylot (feed pad)</v>
      </c>
      <c r="O41" s="52" cm="1">
        <f t="array" ref="O41">ManureManagement_Swine_Methane.VEERG_4_5_1_1__4_FractionVolatileSolidsPrimarySystem(E21,O31)</f>
        <v>0.12</v>
      </c>
      <c r="P41" s="52" cm="1">
        <f t="array" ref="P41">ManureManagement_Swine_Methane.VEERG_4_5_1_1__4_FractionVolatileSolidsPrimarySystem(F21,P31)</f>
        <v>0.12</v>
      </c>
      <c r="Q41" s="52" cm="1">
        <f t="array" ref="Q41">ManureManagement_Swine_Methane.VEERG_4_5_1_1__4_FractionVolatileSolidsPrimarySystem(G21,Q31)</f>
        <v>0.12</v>
      </c>
      <c r="R41" s="52" cm="1">
        <f t="array" ref="R41">ManureManagement_Swine_Methane.VEERG_4_5_1_1__4_FractionVolatileSolidsPrimarySystem(H21,R31)</f>
        <v>0.12</v>
      </c>
      <c r="S41" s="2" t="str">
        <f>$E$11</f>
        <v>fraction</v>
      </c>
    </row>
    <row r="42" spans="3:19" ht="20.100000000000001" customHeight="1" x14ac:dyDescent="0.25">
      <c r="D42" s="57" t="str">
        <f>'Input - Swine'!$D$31</f>
        <v>Digester / covered lagoons</v>
      </c>
      <c r="E42" s="52" cm="1">
        <f t="array" ref="E42">ManureManagement_Swine_Methane.VEERG_4_5_1_1__4_FractionVolatileSolidsPrimarySystem(E22,E32)</f>
        <v>0.12</v>
      </c>
      <c r="F42" s="52" cm="1">
        <f t="array" ref="F42">ManureManagement_Swine_Methane.VEERG_4_5_1_1__4_FractionVolatileSolidsPrimarySystem(F22,F32)</f>
        <v>0.12</v>
      </c>
      <c r="G42" s="52" cm="1">
        <f t="array" ref="G42">ManureManagement_Swine_Methane.VEERG_4_5_1_1__4_FractionVolatileSolidsPrimarySystem(G22,G32)</f>
        <v>0.12</v>
      </c>
      <c r="H42" s="52" cm="1">
        <f t="array" ref="H42">ManureManagement_Swine_Methane.VEERG_4_5_1_1__4_FractionVolatileSolidsPrimarySystem(H22,H32)</f>
        <v>0.12</v>
      </c>
      <c r="I42" s="2" t="str">
        <f>$E$11</f>
        <v>fraction</v>
      </c>
      <c r="N42" s="57" t="str">
        <f>'Input - Swine'!$D$31</f>
        <v>Digester / covered lagoons</v>
      </c>
      <c r="O42" s="52" cm="1">
        <f t="array" ref="O42">ManureManagement_Swine_Methane.VEERG_4_5_1_1__4_FractionVolatileSolidsPrimarySystem(E22,O32)</f>
        <v>0.12</v>
      </c>
      <c r="P42" s="52" cm="1">
        <f t="array" ref="P42">ManureManagement_Swine_Methane.VEERG_4_5_1_1__4_FractionVolatileSolidsPrimarySystem(F22,P32)</f>
        <v>0.12</v>
      </c>
      <c r="Q42" s="52" cm="1">
        <f t="array" ref="Q42">ManureManagement_Swine_Methane.VEERG_4_5_1_1__4_FractionVolatileSolidsPrimarySystem(G22,Q32)</f>
        <v>0.12</v>
      </c>
      <c r="R42" s="52" cm="1">
        <f t="array" ref="R42">ManureManagement_Swine_Methane.VEERG_4_5_1_1__4_FractionVolatileSolidsPrimarySystem(H22,R32)</f>
        <v>0.12</v>
      </c>
      <c r="S42" s="2" t="str">
        <f>$E$11</f>
        <v>fraction</v>
      </c>
    </row>
    <row r="43" spans="3:19" ht="20.100000000000001" customHeight="1" x14ac:dyDescent="0.25">
      <c r="D43" s="57" t="str">
        <f>'Input - Swine'!$D$32</f>
        <v>Deep litter</v>
      </c>
      <c r="E43" s="52" cm="1">
        <f t="array" ref="E43">ManureManagement_Swine_Methane.VEERG_4_5_1_1__4_FractionVolatileSolidsPrimarySystem(E23,E33)</f>
        <v>0.12</v>
      </c>
      <c r="F43" s="52" cm="1">
        <f t="array" ref="F43">ManureManagement_Swine_Methane.VEERG_4_5_1_1__4_FractionVolatileSolidsPrimarySystem(F23,F33)</f>
        <v>0.12</v>
      </c>
      <c r="G43" s="52" cm="1">
        <f t="array" ref="G43">ManureManagement_Swine_Methane.VEERG_4_5_1_1__4_FractionVolatileSolidsPrimarySystem(G23,G33)</f>
        <v>0.12</v>
      </c>
      <c r="H43" s="52" cm="1">
        <f t="array" ref="H43">ManureManagement_Swine_Methane.VEERG_4_5_1_1__4_FractionVolatileSolidsPrimarySystem(H23,H33)</f>
        <v>0.12</v>
      </c>
      <c r="I43" s="2" t="str">
        <f>$E$11</f>
        <v>fraction</v>
      </c>
      <c r="N43" s="57" t="str">
        <f>'Input - Swine'!$D$32</f>
        <v>Deep litter</v>
      </c>
      <c r="O43" s="52" cm="1">
        <f t="array" ref="O43">ManureManagement_Swine_Methane.VEERG_4_5_1_1__4_FractionVolatileSolidsPrimarySystem(E23,O33)</f>
        <v>0.12</v>
      </c>
      <c r="P43" s="52" cm="1">
        <f t="array" ref="P43">ManureManagement_Swine_Methane.VEERG_4_5_1_1__4_FractionVolatileSolidsPrimarySystem(F23,P33)</f>
        <v>0.12</v>
      </c>
      <c r="Q43" s="52" cm="1">
        <f t="array" ref="Q43">ManureManagement_Swine_Methane.VEERG_4_5_1_1__4_FractionVolatileSolidsPrimarySystem(G23,Q33)</f>
        <v>0.12</v>
      </c>
      <c r="R43" s="52" cm="1">
        <f t="array" ref="R43">ManureManagement_Swine_Methane.VEERG_4_5_1_1__4_FractionVolatileSolidsPrimarySystem(H23,R33)</f>
        <v>0.12</v>
      </c>
      <c r="S43" s="2" t="str">
        <f>$E$11</f>
        <v>fraction</v>
      </c>
    </row>
    <row r="44" spans="3:19" ht="20.100000000000001" customHeight="1" x14ac:dyDescent="0.25">
      <c r="D44" s="57" t="str">
        <f>'Input - Swine'!$D$33</f>
        <v>Pit storage</v>
      </c>
      <c r="E44" s="52" cm="1">
        <f t="array" ref="E44">ManureManagement_Swine_Methane.VEERG_4_5_1_1__4_FractionVolatileSolidsPrimarySystem(E24,E34)</f>
        <v>0.12</v>
      </c>
      <c r="F44" s="52" cm="1">
        <f t="array" ref="F44">ManureManagement_Swine_Methane.VEERG_4_5_1_1__4_FractionVolatileSolidsPrimarySystem(F24,F34)</f>
        <v>0.12</v>
      </c>
      <c r="G44" s="52" cm="1">
        <f t="array" ref="G44">ManureManagement_Swine_Methane.VEERG_4_5_1_1__4_FractionVolatileSolidsPrimarySystem(G24,G34)</f>
        <v>0.12</v>
      </c>
      <c r="H44" s="52" cm="1">
        <f t="array" ref="H44">ManureManagement_Swine_Methane.VEERG_4_5_1_1__4_FractionVolatileSolidsPrimarySystem(H24,H34)</f>
        <v>0.12</v>
      </c>
      <c r="I44" s="2" t="str">
        <f>$E$11</f>
        <v>fraction</v>
      </c>
      <c r="N44" s="57" t="str">
        <f>'Input - Swine'!$D$33</f>
        <v>Pit storage</v>
      </c>
      <c r="O44" s="52" cm="1">
        <f t="array" ref="O44">ManureManagement_Swine_Methane.VEERG_4_5_1_1__4_FractionVolatileSolidsPrimarySystem(E24,O34)</f>
        <v>0.12</v>
      </c>
      <c r="P44" s="52" cm="1">
        <f t="array" ref="P44">ManureManagement_Swine_Methane.VEERG_4_5_1_1__4_FractionVolatileSolidsPrimarySystem(F24,P34)</f>
        <v>0.12</v>
      </c>
      <c r="Q44" s="52" cm="1">
        <f t="array" ref="Q44">ManureManagement_Swine_Methane.VEERG_4_5_1_1__4_FractionVolatileSolidsPrimarySystem(G24,Q34)</f>
        <v>0.12</v>
      </c>
      <c r="R44" s="52" cm="1">
        <f t="array" ref="R44">ManureManagement_Swine_Methane.VEERG_4_5_1_1__4_FractionVolatileSolidsPrimarySystem(H24,R34)</f>
        <v>0.12</v>
      </c>
      <c r="S44" s="2" t="str">
        <f>$E$11</f>
        <v>fraction</v>
      </c>
    </row>
    <row r="45" spans="3:19" ht="20.100000000000001" customHeight="1" x14ac:dyDescent="0.25"/>
    <row r="46" spans="3:19" ht="20.100000000000001" customHeight="1" x14ac:dyDescent="0.25"/>
    <row r="47" spans="3:19" ht="20.100000000000001" customHeight="1" x14ac:dyDescent="0.25">
      <c r="C47" s="45"/>
      <c r="D47" s="45"/>
      <c r="E47" s="45"/>
      <c r="F47" s="45"/>
      <c r="G47" s="45"/>
      <c r="H47" s="45"/>
      <c r="I47" s="45"/>
      <c r="J47" s="45"/>
    </row>
    <row r="48" spans="3:19" ht="20.100000000000001" customHeight="1" x14ac:dyDescent="0.25">
      <c r="D48" s="6" t="str" cm="1">
        <f t="array" ref="D48">ManureManagement_Swine_Methane.VEERG_4_5_1_1__5_FractionVolatileSolidsSolidStorage_Title()</f>
        <v>Fraction of volatile solids in solid storage</v>
      </c>
      <c r="F48" s="107" t="s">
        <v>182</v>
      </c>
    </row>
    <row r="49" spans="4:9" ht="20.100000000000001" customHeight="1" x14ac:dyDescent="0.25">
      <c r="D49" s="5" t="str" cm="1">
        <f t="array" ref="D49">ManureManagement_Swine_Methane.VEERG_4_5_1_1__5_FractionVolatileSolidsSolidStorage_Source()</f>
        <v>VEERG 2026: 4.5.1.1, Equation (5)</v>
      </c>
    </row>
    <row r="50" spans="4:9" ht="20.100000000000001" customHeight="1" x14ac:dyDescent="0.25">
      <c r="D50" s="13" t="s">
        <v>26</v>
      </c>
      <c r="E50" s="13" t="str" cm="1">
        <f t="array" aca="1" ref="E50" ca="1">Common_InputFunctions.Utility_DisplayFunctionName($E$73)</f>
        <v>=MMS_Swine_Methane_Equations.VEERG_4_5_1_1__5_FractionVolatileSolidsSolidStorageVariation</v>
      </c>
    </row>
    <row r="51" spans="4:9" ht="20.100000000000001" customHeight="1" x14ac:dyDescent="0.25">
      <c r="D51" s="55" t="str" cm="1">
        <f t="array" ref="D51">MMS_Swine_Methane_Equations.VEERG_4_5_1_1__5_FractionVolatileSolidsSolidStorage_Variation()</f>
        <v>VARIATION ON SOURCE: Split equation for MMSm=1,7,9 into separate items to allow for calculation</v>
      </c>
    </row>
    <row r="52" spans="4:9" ht="20.100000000000001" customHeight="1" x14ac:dyDescent="0.25"/>
    <row r="53" spans="4:9" ht="20.100000000000001" customHeight="1" x14ac:dyDescent="0.25"/>
    <row r="54" spans="4:9" ht="20.100000000000001" customHeight="1" x14ac:dyDescent="0.25">
      <c r="D54" s="6"/>
      <c r="H54" s="55"/>
    </row>
    <row r="55" spans="4:9" ht="20.100000000000001" customHeight="1" x14ac:dyDescent="0.25"/>
    <row r="56" spans="4:9" ht="20.100000000000001" customHeight="1" x14ac:dyDescent="0.25">
      <c r="D56" s="53" t="s">
        <v>29</v>
      </c>
      <c r="E56" s="1" t="str" cm="1">
        <f t="array" ref="E56">ManureManagement_Swine_Methane.VEERG_4_5_1_1__5_FractionVolatileSolidsSolidStorage_Variable()</f>
        <v>FVSjm4T1</v>
      </c>
      <c r="I56" s="107" t="s">
        <v>183</v>
      </c>
    </row>
    <row r="57" spans="4:9" ht="20.100000000000001" customHeight="1" x14ac:dyDescent="0.25">
      <c r="D57" s="53" t="s">
        <v>19</v>
      </c>
      <c r="E57" s="54" t="str" cm="1">
        <f t="array" ref="E57">ManureManagement_Swine_Methane.VEERG_4_5_1_1__5_FractionVolatileSolidsSolidStorage_Unit()</f>
        <v>fraction</v>
      </c>
    </row>
    <row r="58" spans="4:9" ht="20.100000000000001" customHeight="1" x14ac:dyDescent="0.25"/>
    <row r="59" spans="4:9" ht="20.100000000000001" customHeight="1" x14ac:dyDescent="0.25">
      <c r="D59" s="108" t="str" cm="1">
        <f t="array" ref="D59:E61">ManureManagement_Swine_Methane.VEERG_4_5_1_1__5_FractionVolatileSolidsSolidStorage_Arguments()</f>
        <v>MMSjm4T1</v>
      </c>
      <c r="E59" s="110" t="str">
        <v>fraction of manure in solid storage primary system : fraction</v>
      </c>
      <c r="F59" s="109"/>
      <c r="G59" s="52" t="str">
        <f>"See " &amp; $D$63</f>
        <v>See Table_MMS_j_m-4_T-1</v>
      </c>
    </row>
    <row r="60" spans="4:9" ht="20.100000000000001" customHeight="1" x14ac:dyDescent="0.25">
      <c r="D60" s="108" t="str">
        <v>MMSjm179T1</v>
      </c>
      <c r="E60" s="110" t="str">
        <v>fraction of manure in MMS 1, 7, and 9 in treatment stage 1 : fraction</v>
      </c>
      <c r="F60" s="109"/>
      <c r="G60" s="52" t="str">
        <f>"See " &amp; $D$16</f>
        <v>See Table_MMS_j_m_T-1</v>
      </c>
    </row>
    <row r="61" spans="4:9" ht="20.100000000000001" customHeight="1" x14ac:dyDescent="0.25">
      <c r="D61" s="108" t="str">
        <v>SSm</v>
      </c>
      <c r="E61" s="110" t="str">
        <v>fraction of volatile solids separated to solid storage for each MMS : fraction</v>
      </c>
      <c r="F61" s="109"/>
      <c r="G61" s="52" t="str">
        <f>"See " &amp; $D$26</f>
        <v>See M1_Table_SS_m</v>
      </c>
    </row>
    <row r="62" spans="4:9" ht="20.100000000000001" customHeight="1" x14ac:dyDescent="0.25"/>
    <row r="63" spans="4:9" ht="20.100000000000001" customHeight="1" x14ac:dyDescent="0.25">
      <c r="D63" s="121" t="s">
        <v>184</v>
      </c>
    </row>
    <row r="64" spans="4:9" ht="20.100000000000001" customHeight="1" x14ac:dyDescent="0.25">
      <c r="D64" s="122" t="s">
        <v>185</v>
      </c>
    </row>
    <row r="65" spans="3:19" ht="20.100000000000001" customHeight="1" x14ac:dyDescent="0.25">
      <c r="E65" s="51" t="s">
        <v>146</v>
      </c>
      <c r="F65" s="51" t="s">
        <v>147</v>
      </c>
      <c r="G65" s="51" t="s">
        <v>148</v>
      </c>
      <c r="H65" s="51" t="s">
        <v>266</v>
      </c>
    </row>
    <row r="66" spans="3:19" ht="20.100000000000001" customHeight="1" x14ac:dyDescent="0.25">
      <c r="D66" s="51" t="s">
        <v>172</v>
      </c>
      <c r="E66" s="51" t="s">
        <v>186</v>
      </c>
      <c r="F66" s="51" t="s">
        <v>187</v>
      </c>
      <c r="G66" s="51" t="s">
        <v>188</v>
      </c>
      <c r="H66" s="51" t="s">
        <v>189</v>
      </c>
    </row>
    <row r="67" spans="3:19" ht="20.100000000000001" customHeight="1" x14ac:dyDescent="0.25">
      <c r="D67" s="57" t="str">
        <f>'Input - Swine'!$D$34</f>
        <v>Solid storage</v>
      </c>
      <c r="E67" s="52">
        <f>'Input - Swine'!E34</f>
        <v>0.25</v>
      </c>
      <c r="F67" s="52">
        <f>'Input - Swine'!F34</f>
        <v>0.25</v>
      </c>
      <c r="G67" s="52">
        <f>'Input - Swine'!G34</f>
        <v>0.25</v>
      </c>
      <c r="H67" s="52">
        <f>'Input - Swine'!H34</f>
        <v>0.25</v>
      </c>
      <c r="I67" s="2" t="s">
        <v>99</v>
      </c>
    </row>
    <row r="68" spans="3:19" ht="20.100000000000001" customHeight="1" x14ac:dyDescent="0.25"/>
    <row r="69" spans="3:19" ht="20.100000000000001" customHeight="1" x14ac:dyDescent="0.25">
      <c r="D69" s="121" t="s">
        <v>256</v>
      </c>
      <c r="N69" s="121" t="s">
        <v>270</v>
      </c>
    </row>
    <row r="70" spans="3:19" ht="20.100000000000001" customHeight="1" x14ac:dyDescent="0.25">
      <c r="D70" s="122" t="s">
        <v>257</v>
      </c>
      <c r="N70" s="122" t="s">
        <v>271</v>
      </c>
    </row>
    <row r="71" spans="3:19" ht="20.100000000000001" customHeight="1" x14ac:dyDescent="0.25">
      <c r="E71" s="51" t="s">
        <v>146</v>
      </c>
      <c r="F71" s="51" t="s">
        <v>147</v>
      </c>
      <c r="G71" s="51" t="s">
        <v>148</v>
      </c>
      <c r="H71" s="51" t="s">
        <v>266</v>
      </c>
      <c r="O71" s="51" t="s">
        <v>146</v>
      </c>
      <c r="P71" s="51" t="s">
        <v>147</v>
      </c>
      <c r="Q71" s="51" t="s">
        <v>148</v>
      </c>
      <c r="R71" s="51" t="s">
        <v>266</v>
      </c>
    </row>
    <row r="72" spans="3:19" ht="20.100000000000001" customHeight="1" x14ac:dyDescent="0.25">
      <c r="D72" s="51" t="s">
        <v>172</v>
      </c>
      <c r="E72" s="51" t="s">
        <v>190</v>
      </c>
      <c r="F72" s="51" t="s">
        <v>191</v>
      </c>
      <c r="G72" s="51" t="s">
        <v>192</v>
      </c>
      <c r="H72" s="51" t="s">
        <v>193</v>
      </c>
      <c r="N72" s="51" t="s">
        <v>172</v>
      </c>
      <c r="O72" s="51" t="s">
        <v>190</v>
      </c>
      <c r="P72" s="51" t="s">
        <v>191</v>
      </c>
      <c r="Q72" s="51" t="s">
        <v>192</v>
      </c>
      <c r="R72" s="51" t="s">
        <v>193</v>
      </c>
    </row>
    <row r="73" spans="3:19" ht="20.100000000000001" customHeight="1" x14ac:dyDescent="0.25">
      <c r="D73" s="57" t="str">
        <f>'Input - Swine'!$D$34</f>
        <v>Solid storage</v>
      </c>
      <c r="E73" s="52" cm="1">
        <f t="array" ref="E73">MMS_Swine_Methane_Equations.VEERG_4_5_1_1__5_FractionVolatileSolidsSolidStorageVariation(E67,E20,E21,E22,E23,E24,E30,E31,E32,E33,E34)</f>
        <v>0.40000000000000013</v>
      </c>
      <c r="F73" s="52" cm="1">
        <f t="array" ref="F73">MMS_Swine_Methane_Equations.VEERG_4_5_1_1__5_FractionVolatileSolidsSolidStorageVariation(F67,F20,F21,F22,F23,F24,F30,F31,F32,F33,F34)</f>
        <v>0.40000000000000013</v>
      </c>
      <c r="G73" s="52" cm="1">
        <f t="array" ref="G73">MMS_Swine_Methane_Equations.VEERG_4_5_1_1__5_FractionVolatileSolidsSolidStorageVariation(G67,G20,G21,G22,G23,G24,G30,G31,G32,G33,G34)</f>
        <v>0.40000000000000013</v>
      </c>
      <c r="H73" s="52" cm="1">
        <f t="array" ref="H73">MMS_Swine_Methane_Equations.VEERG_4_5_1_1__5_FractionVolatileSolidsSolidStorageVariation(H67,H20,H21,H22,H23,H24,H30,H31,H32,H33,H34)</f>
        <v>0.40000000000000013</v>
      </c>
      <c r="I73" s="2" t="str">
        <f>$E$57</f>
        <v>fraction</v>
      </c>
      <c r="N73" s="57" t="str">
        <f>'Input - Swine'!$D$34</f>
        <v>Solid storage</v>
      </c>
      <c r="O73" s="52" cm="1">
        <f t="array" ref="O73">MMS_Swine_Methane_Equations.VEERG_4_5_1_1__5_FractionVolatileSolidsSolidStorageVariation(E67,E20,E21,E22,E23,E24,O30,O31,O32,O33,O34)</f>
        <v>0.40000000000000013</v>
      </c>
      <c r="P73" s="52" cm="1">
        <f t="array" ref="P73">MMS_Swine_Methane_Equations.VEERG_4_5_1_1__5_FractionVolatileSolidsSolidStorageVariation(F67,F20,F21,F22,F23,F24,P30,P31,P32,P33,P34)</f>
        <v>0.40000000000000013</v>
      </c>
      <c r="Q73" s="52" cm="1">
        <f t="array" ref="Q73">MMS_Swine_Methane_Equations.VEERG_4_5_1_1__5_FractionVolatileSolidsSolidStorageVariation(G67,G20,G21,G22,G23,G24,Q30,Q31,Q32,Q33,Q34)</f>
        <v>0.40000000000000013</v>
      </c>
      <c r="R73" s="52" cm="1">
        <f t="array" ref="R73">MMS_Swine_Methane_Equations.VEERG_4_5_1_1__5_FractionVolatileSolidsSolidStorageVariation(H67,H20,H21,H22,H23,H24,R30,R31,R32,R33,R34)</f>
        <v>0.40000000000000013</v>
      </c>
      <c r="S73" s="2" t="str">
        <f>$E$57</f>
        <v>fraction</v>
      </c>
    </row>
    <row r="74" spans="3:19" ht="20.100000000000001" customHeight="1" x14ac:dyDescent="0.25"/>
    <row r="75" spans="3:19" ht="20.100000000000001" customHeight="1" x14ac:dyDescent="0.25"/>
    <row r="76" spans="3:19" ht="20.100000000000001" customHeight="1" x14ac:dyDescent="0.25">
      <c r="C76" s="45"/>
      <c r="D76" s="45"/>
      <c r="E76" s="45"/>
      <c r="F76" s="45"/>
      <c r="G76" s="45"/>
      <c r="H76" s="45"/>
      <c r="I76" s="45"/>
      <c r="J76" s="45"/>
    </row>
    <row r="77" spans="3:19" ht="20.100000000000001" customHeight="1" x14ac:dyDescent="0.25">
      <c r="D77" s="6" t="str" cm="1">
        <f t="array" ref="D77">ManureManagement_Swine_Methane.VEERG_4_5_1_1__7_VolatileSolidsTransferredStage2_Title()</f>
        <v>Volatile solids transferred to treatment stage 2 MMS</v>
      </c>
    </row>
    <row r="78" spans="3:19" ht="20.100000000000001" customHeight="1" x14ac:dyDescent="0.25">
      <c r="D78" s="5" t="str" cm="1">
        <f t="array" ref="D78">ManureManagement_Swine_Methane.VEERG_4_5_1_1__7_VolatileSolidsTransferredStage2_Source()</f>
        <v>VEERG 2026: 4.5.1.1, Equation (7)</v>
      </c>
    </row>
    <row r="79" spans="3:19" ht="20.100000000000001" customHeight="1" x14ac:dyDescent="0.25">
      <c r="D79" s="13" t="s">
        <v>26</v>
      </c>
      <c r="E79" s="13" t="str" cm="1">
        <f t="array" aca="1" ref="E79" ca="1">Common_InputFunctions.Utility_DisplayFunctionName(E110)</f>
        <v>=MMS_Swine_Methane_Equations.VEERG_4_5_1_1__7_VolatileSolidsTransferredStage2</v>
      </c>
    </row>
    <row r="80" spans="3:19" ht="20.100000000000001" customHeight="1" x14ac:dyDescent="0.25"/>
    <row r="81" spans="4:18" ht="20.100000000000001" customHeight="1" x14ac:dyDescent="0.25"/>
    <row r="82" spans="4:18" ht="20.100000000000001" customHeight="1" x14ac:dyDescent="0.25"/>
    <row r="83" spans="4:18" ht="20.100000000000001" customHeight="1" x14ac:dyDescent="0.25">
      <c r="D83" s="53" t="s">
        <v>29</v>
      </c>
      <c r="E83" s="1" t="str" cm="1">
        <f t="array" ref="E83">ManureManagement_Swine_Methane.VEERG_4_5_1_1__7_VolatileSolidsTransferredStage2_Variable()</f>
        <v>VSTijmT2</v>
      </c>
    </row>
    <row r="84" spans="4:18" ht="20.100000000000001" customHeight="1" x14ac:dyDescent="0.25">
      <c r="D84" s="53" t="s">
        <v>19</v>
      </c>
      <c r="E84" s="54" t="str" cm="1">
        <f t="array" ref="E84">ManureManagement_Swine_Methane.VEERG_4_5_1_1__7_VolatileSolidsTransferredStage2_Unit()</f>
        <v>kg VS</v>
      </c>
      <c r="F84" s="107" t="s">
        <v>194</v>
      </c>
    </row>
    <row r="85" spans="4:18" ht="20.100000000000001" customHeight="1" x14ac:dyDescent="0.25"/>
    <row r="86" spans="4:18" ht="20.100000000000001" customHeight="1" x14ac:dyDescent="0.25">
      <c r="D86" s="57" t="str" cm="1">
        <f t="array" ref="D86:E88">ManureManagement_Swine_Methane.VEERG_4_5_1_1__7_VolatileSolidsTransferredStage2_Arguments()</f>
        <v>VSj</v>
      </c>
      <c r="E86" s="58" t="str">
        <v>volatile solid production from swine in each class : kg/head/day</v>
      </c>
      <c r="F86" s="59"/>
      <c r="G86" s="58" t="str">
        <f>"See " &amp; $D$90</f>
        <v>See M1_Table_VS_j</v>
      </c>
      <c r="H86" s="123"/>
    </row>
    <row r="87" spans="4:18" ht="20.100000000000001" customHeight="1" x14ac:dyDescent="0.25">
      <c r="D87" s="57" t="str">
        <v>FVSjmT1</v>
      </c>
      <c r="E87" s="58" t="str">
        <v>fraction of volatile solids in each primary system : fraction</v>
      </c>
      <c r="F87" s="59"/>
      <c r="G87" s="57" t="str">
        <f>"See " &amp; $D$36 &amp; " and " &amp; $D$69</f>
        <v>See M1_Table_FVS_j_m_T-1 and M1_Table_FVS_j_m-4_T-1</v>
      </c>
      <c r="H87" s="52"/>
    </row>
    <row r="88" spans="4:18" ht="20.100000000000001" customHeight="1" x14ac:dyDescent="0.25">
      <c r="D88" s="57" t="str">
        <v>VSLmT1</v>
      </c>
      <c r="E88" s="58" t="str">
        <v>fraction of volatile solids lost during storage in the primary system : fraction</v>
      </c>
      <c r="F88" s="59"/>
      <c r="G88" s="58" t="str">
        <f>"See " &amp; $D$96</f>
        <v>See Table_VSL_m_T-1</v>
      </c>
      <c r="H88" s="123"/>
    </row>
    <row r="89" spans="4:18" ht="20.100000000000001" customHeight="1" x14ac:dyDescent="0.25"/>
    <row r="90" spans="4:18" ht="20.100000000000001" customHeight="1" x14ac:dyDescent="0.25">
      <c r="D90" s="121" t="s">
        <v>272</v>
      </c>
      <c r="N90" s="121" t="s">
        <v>274</v>
      </c>
    </row>
    <row r="91" spans="4:18" ht="20.100000000000001" customHeight="1" x14ac:dyDescent="0.25">
      <c r="D91" s="122" t="s">
        <v>273</v>
      </c>
      <c r="N91" s="122" t="s">
        <v>275</v>
      </c>
    </row>
    <row r="92" spans="4:18" ht="20.100000000000001" customHeight="1" x14ac:dyDescent="0.25">
      <c r="D92" s="51" t="s">
        <v>146</v>
      </c>
      <c r="E92" s="51" t="s">
        <v>147</v>
      </c>
      <c r="F92" s="51" t="s">
        <v>148</v>
      </c>
      <c r="G92" s="51" t="s">
        <v>266</v>
      </c>
      <c r="N92" s="51" t="s">
        <v>146</v>
      </c>
      <c r="O92" s="51" t="s">
        <v>147</v>
      </c>
      <c r="P92" s="51" t="s">
        <v>148</v>
      </c>
      <c r="Q92" s="51" t="s">
        <v>266</v>
      </c>
    </row>
    <row r="93" spans="4:18" ht="20.100000000000001" customHeight="1" x14ac:dyDescent="0.25">
      <c r="D93" s="51" t="s">
        <v>195</v>
      </c>
      <c r="E93" s="51" t="s">
        <v>196</v>
      </c>
      <c r="F93" s="51" t="s">
        <v>197</v>
      </c>
      <c r="G93" s="51" t="s">
        <v>198</v>
      </c>
      <c r="I93" s="2"/>
      <c r="J93" s="2"/>
      <c r="N93" s="51" t="s">
        <v>195</v>
      </c>
      <c r="O93" s="51" t="s">
        <v>196</v>
      </c>
      <c r="P93" s="51" t="s">
        <v>197</v>
      </c>
      <c r="Q93" s="51" t="s">
        <v>198</v>
      </c>
    </row>
    <row r="94" spans="4:18" ht="20.100000000000001" customHeight="1" x14ac:dyDescent="0.25">
      <c r="D94" s="52">
        <f>'Input - Swine'!E16</f>
        <v>0.4</v>
      </c>
      <c r="E94" s="52">
        <f>'Input - Swine'!F16</f>
        <v>0.46</v>
      </c>
      <c r="F94" s="52">
        <f>'Input - Swine'!G16</f>
        <v>0.55000000000000004</v>
      </c>
      <c r="G94" s="52">
        <f>'Input - Swine'!H16</f>
        <v>0.39</v>
      </c>
      <c r="H94" s="2" t="s">
        <v>121</v>
      </c>
      <c r="N94" s="52">
        <f>'Input - Swine'!E20</f>
        <v>0.4</v>
      </c>
      <c r="O94" s="52">
        <f>'Input - Swine'!F20</f>
        <v>0.46</v>
      </c>
      <c r="P94" s="52">
        <f>'Input - Swine'!G20</f>
        <v>0.55000000000000004</v>
      </c>
      <c r="Q94" s="52">
        <f>'Input - Swine'!H20</f>
        <v>0.39</v>
      </c>
      <c r="R94" s="2" t="s">
        <v>121</v>
      </c>
    </row>
    <row r="95" spans="4:18" ht="20.100000000000001" customHeight="1" x14ac:dyDescent="0.25"/>
    <row r="96" spans="4:18" ht="20.100000000000001" customHeight="1" x14ac:dyDescent="0.25">
      <c r="D96" s="121" t="s">
        <v>199</v>
      </c>
    </row>
    <row r="97" spans="4:19" ht="20.100000000000001" customHeight="1" x14ac:dyDescent="0.25">
      <c r="D97" s="122" t="s">
        <v>163</v>
      </c>
    </row>
    <row r="98" spans="4:19" ht="20.100000000000001" customHeight="1" x14ac:dyDescent="0.25">
      <c r="D98" s="51" t="s">
        <v>172</v>
      </c>
      <c r="E98" s="51" t="s">
        <v>200</v>
      </c>
    </row>
    <row r="99" spans="4:19" ht="20.100000000000001" customHeight="1" x14ac:dyDescent="0.25">
      <c r="D99" s="57" t="str">
        <f>'Input - Swine'!$D$29</f>
        <v>Anaerobic lagoon</v>
      </c>
      <c r="E99" s="52" cm="1">
        <f t="array" ref="E99">Common_InputFunctions.Utility_LookupValueInTableNumber(D99,Table_SourceData_SwineVSL[MMS],Table_SourceData_SwineVSL[VSL])</f>
        <v>0</v>
      </c>
      <c r="F99" s="2" t="s">
        <v>99</v>
      </c>
    </row>
    <row r="100" spans="4:19" ht="20.100000000000001" customHeight="1" x14ac:dyDescent="0.25">
      <c r="D100" s="57" t="str">
        <f>'Input - Swine'!$D$30</f>
        <v>Drylot (feed pad)</v>
      </c>
      <c r="E100" s="52" cm="1">
        <f t="array" ref="E100">Common_InputFunctions.Utility_LookupValueInTableNumber(D100,Table_SourceData_SwineVSL[MMS],Table_SourceData_SwineVSL[VSL])</f>
        <v>0</v>
      </c>
      <c r="F100" s="2" t="s">
        <v>99</v>
      </c>
    </row>
    <row r="101" spans="4:19" ht="20.100000000000001" customHeight="1" x14ac:dyDescent="0.25">
      <c r="D101" s="57" t="str">
        <f>'Input - Swine'!$D$31</f>
        <v>Digester / covered lagoons</v>
      </c>
      <c r="E101" s="52" cm="1">
        <f t="array" ref="E101">Common_InputFunctions.Utility_LookupValueInTableNumber(D101,Table_SourceData_SwineVSL[MMS],Table_SourceData_SwineVSL[VSL])</f>
        <v>0.75</v>
      </c>
      <c r="F101" s="2" t="s">
        <v>99</v>
      </c>
    </row>
    <row r="102" spans="4:19" ht="20.100000000000001" customHeight="1" x14ac:dyDescent="0.25">
      <c r="D102" s="57" t="str">
        <f>'Input - Swine'!$D$32</f>
        <v>Deep litter</v>
      </c>
      <c r="E102" s="52" cm="1">
        <f t="array" ref="E102">Common_InputFunctions.Utility_LookupValueInTableNumber(D102,Table_SourceData_SwineVSL[MMS],Table_SourceData_SwineVSL[VSL])</f>
        <v>0.05</v>
      </c>
      <c r="F102" s="2" t="s">
        <v>99</v>
      </c>
      <c r="G102" s="107" t="s">
        <v>201</v>
      </c>
    </row>
    <row r="103" spans="4:19" ht="20.100000000000001" customHeight="1" x14ac:dyDescent="0.25">
      <c r="D103" s="57" t="str">
        <f>'Input - Swine'!$D$33</f>
        <v>Pit storage</v>
      </c>
      <c r="E103" s="52" cm="1">
        <f t="array" ref="E103">Common_InputFunctions.Utility_LookupValueInTableNumber(D103,Table_SourceData_SwineVSL[MMS],Table_SourceData_SwineVSL[VSL])</f>
        <v>0</v>
      </c>
      <c r="F103" s="2" t="s">
        <v>99</v>
      </c>
    </row>
    <row r="104" spans="4:19" ht="20.100000000000001" customHeight="1" x14ac:dyDescent="0.25">
      <c r="D104" s="57" t="str">
        <f>'Input - Swine'!$D$34</f>
        <v>Solid storage</v>
      </c>
      <c r="E104" s="52" cm="1">
        <f t="array" ref="E104">Common_InputFunctions.Utility_LookupValueInTableNumber(D104,Table_SourceData_SwineVSL[MMS],Table_SourceData_SwineVSL[VSL])</f>
        <v>0</v>
      </c>
      <c r="F104" s="2" t="s">
        <v>99</v>
      </c>
    </row>
    <row r="105" spans="4:19" ht="20.100000000000001" customHeight="1" x14ac:dyDescent="0.25"/>
    <row r="106" spans="4:19" ht="20.100000000000001" customHeight="1" x14ac:dyDescent="0.25">
      <c r="D106" s="121" t="s">
        <v>261</v>
      </c>
      <c r="N106" s="121" t="s">
        <v>276</v>
      </c>
    </row>
    <row r="107" spans="4:19" ht="20.100000000000001" customHeight="1" x14ac:dyDescent="0.25">
      <c r="D107" s="122" t="s">
        <v>262</v>
      </c>
      <c r="N107" s="122" t="s">
        <v>277</v>
      </c>
    </row>
    <row r="108" spans="4:19" ht="20.100000000000001" customHeight="1" x14ac:dyDescent="0.25">
      <c r="E108" s="51" t="s">
        <v>146</v>
      </c>
      <c r="F108" s="51" t="s">
        <v>147</v>
      </c>
      <c r="G108" s="51" t="s">
        <v>148</v>
      </c>
      <c r="H108" s="51" t="s">
        <v>266</v>
      </c>
      <c r="O108" s="51" t="s">
        <v>146</v>
      </c>
      <c r="P108" s="51" t="s">
        <v>147</v>
      </c>
      <c r="Q108" s="51" t="s">
        <v>148</v>
      </c>
      <c r="R108" s="51" t="s">
        <v>266</v>
      </c>
    </row>
    <row r="109" spans="4:19" ht="20.100000000000001" customHeight="1" x14ac:dyDescent="0.25">
      <c r="D109" s="51" t="s">
        <v>172</v>
      </c>
      <c r="E109" s="51" t="s">
        <v>202</v>
      </c>
      <c r="F109" s="51" t="s">
        <v>203</v>
      </c>
      <c r="G109" s="51" t="s">
        <v>204</v>
      </c>
      <c r="H109" s="51" t="s">
        <v>205</v>
      </c>
      <c r="N109" s="51" t="s">
        <v>172</v>
      </c>
      <c r="O109" s="51" t="s">
        <v>202</v>
      </c>
      <c r="P109" s="51" t="s">
        <v>203</v>
      </c>
      <c r="Q109" s="51" t="s">
        <v>204</v>
      </c>
      <c r="R109" s="51" t="s">
        <v>205</v>
      </c>
    </row>
    <row r="110" spans="4:19" ht="20.100000000000001" customHeight="1" x14ac:dyDescent="0.25">
      <c r="D110" s="57" t="str">
        <f>'Input - Swine'!$D$29</f>
        <v>Anaerobic lagoon</v>
      </c>
      <c r="E110" s="52" cm="1">
        <f t="array" ref="E110">MMS_Swine_Methane_Equations.VEERG_4_5_1_1__7_VolatileSolidsTransferredStage2(D$94,E40,$E99)</f>
        <v>4.8000000000000001E-2</v>
      </c>
      <c r="F110" s="52" cm="1">
        <f t="array" ref="F110">MMS_Swine_Methane_Equations.VEERG_4_5_1_1__7_VolatileSolidsTransferredStage2(E$94,F40,$E99)</f>
        <v>5.5199999999999999E-2</v>
      </c>
      <c r="G110" s="52" cm="1">
        <f t="array" ref="G110">MMS_Swine_Methane_Equations.VEERG_4_5_1_1__7_VolatileSolidsTransferredStage2(F$94,G40,$E99)</f>
        <v>6.6000000000000003E-2</v>
      </c>
      <c r="H110" s="52" cm="1">
        <f t="array" ref="H110">MMS_Swine_Methane_Equations.VEERG_4_5_1_1__7_VolatileSolidsTransferredStage2(G$94,H40,$E99)</f>
        <v>4.6800000000000001E-2</v>
      </c>
      <c r="I110" s="124" t="str">
        <f>$E$84</f>
        <v>kg VS</v>
      </c>
      <c r="N110" s="57" t="str">
        <f>'Input - Swine'!$D$29</f>
        <v>Anaerobic lagoon</v>
      </c>
      <c r="O110" s="52" cm="1">
        <f t="array" ref="O110">MMS_Swine_Methane_Equations.VEERG_4_5_1_1__7_VolatileSolidsTransferredStage2(N$94,O40,$E99)</f>
        <v>4.8000000000000001E-2</v>
      </c>
      <c r="P110" s="52" cm="1">
        <f t="array" ref="P110">MMS_Swine_Methane_Equations.VEERG_4_5_1_1__7_VolatileSolidsTransferredStage2(O$94,P40,$E99)</f>
        <v>5.5199999999999999E-2</v>
      </c>
      <c r="Q110" s="52" cm="1">
        <f t="array" ref="Q110">MMS_Swine_Methane_Equations.VEERG_4_5_1_1__7_VolatileSolidsTransferredStage2(P$94,Q40,$E99)</f>
        <v>6.6000000000000003E-2</v>
      </c>
      <c r="R110" s="52" cm="1">
        <f t="array" ref="R110">MMS_Swine_Methane_Equations.VEERG_4_5_1_1__7_VolatileSolidsTransferredStage2(Q$94,R40,$E99)</f>
        <v>4.6800000000000001E-2</v>
      </c>
      <c r="S110" s="124" t="str">
        <f>$E$84</f>
        <v>kg VS</v>
      </c>
    </row>
    <row r="111" spans="4:19" ht="20.100000000000001" customHeight="1" x14ac:dyDescent="0.25">
      <c r="D111" s="57" t="str">
        <f>'Input - Swine'!$D$30</f>
        <v>Drylot (feed pad)</v>
      </c>
      <c r="E111" s="52" cm="1">
        <f t="array" ref="E111">MMS_Swine_Methane_Equations.VEERG_4_5_1_1__7_VolatileSolidsTransferredStage2(D$94,E41,$E100)</f>
        <v>4.8000000000000001E-2</v>
      </c>
      <c r="F111" s="52" cm="1">
        <f t="array" ref="F111">MMS_Swine_Methane_Equations.VEERG_4_5_1_1__7_VolatileSolidsTransferredStage2(E$94,F41,$E100)</f>
        <v>5.5199999999999999E-2</v>
      </c>
      <c r="G111" s="52" cm="1">
        <f t="array" ref="G111">MMS_Swine_Methane_Equations.VEERG_4_5_1_1__7_VolatileSolidsTransferredStage2(F$94,G41,$E100)</f>
        <v>6.6000000000000003E-2</v>
      </c>
      <c r="H111" s="52" cm="1">
        <f t="array" ref="H111">MMS_Swine_Methane_Equations.VEERG_4_5_1_1__7_VolatileSolidsTransferredStage2(G$94,H41,$E100)</f>
        <v>4.6800000000000001E-2</v>
      </c>
      <c r="I111" s="124" t="str">
        <f>$E$84</f>
        <v>kg VS</v>
      </c>
      <c r="N111" s="57" t="str">
        <f>'Input - Swine'!$D$30</f>
        <v>Drylot (feed pad)</v>
      </c>
      <c r="O111" s="52" cm="1">
        <f t="array" ref="O111">MMS_Swine_Methane_Equations.VEERG_4_5_1_1__7_VolatileSolidsTransferredStage2(N$94,O41,$E100)</f>
        <v>4.8000000000000001E-2</v>
      </c>
      <c r="P111" s="52" cm="1">
        <f t="array" ref="P111">MMS_Swine_Methane_Equations.VEERG_4_5_1_1__7_VolatileSolidsTransferredStage2(O$94,P41,$E100)</f>
        <v>5.5199999999999999E-2</v>
      </c>
      <c r="Q111" s="52" cm="1">
        <f t="array" ref="Q111">MMS_Swine_Methane_Equations.VEERG_4_5_1_1__7_VolatileSolidsTransferredStage2(P$94,Q41,$E100)</f>
        <v>6.6000000000000003E-2</v>
      </c>
      <c r="R111" s="52" cm="1">
        <f t="array" ref="R111">MMS_Swine_Methane_Equations.VEERG_4_5_1_1__7_VolatileSolidsTransferredStage2(Q$94,R41,$E100)</f>
        <v>4.6800000000000001E-2</v>
      </c>
      <c r="S111" s="124" t="str">
        <f>$E$84</f>
        <v>kg VS</v>
      </c>
    </row>
    <row r="112" spans="4:19" ht="20.100000000000001" customHeight="1" x14ac:dyDescent="0.25">
      <c r="D112" s="57" t="str">
        <f>'Input - Swine'!$D$31</f>
        <v>Digester / covered lagoons</v>
      </c>
      <c r="E112" s="52" cm="1">
        <f t="array" ref="E112">MMS_Swine_Methane_Equations.VEERG_4_5_1_1__7_VolatileSolidsTransferredStage2(D$94,E42,$E101)</f>
        <v>1.2E-2</v>
      </c>
      <c r="F112" s="52" cm="1">
        <f t="array" ref="F112">MMS_Swine_Methane_Equations.VEERG_4_5_1_1__7_VolatileSolidsTransferredStage2(E$94,F42,$E101)</f>
        <v>1.38E-2</v>
      </c>
      <c r="G112" s="52" cm="1">
        <f t="array" ref="G112">MMS_Swine_Methane_Equations.VEERG_4_5_1_1__7_VolatileSolidsTransferredStage2(F$94,G42,$E101)</f>
        <v>1.6500000000000001E-2</v>
      </c>
      <c r="H112" s="52" cm="1">
        <f t="array" ref="H112">MMS_Swine_Methane_Equations.VEERG_4_5_1_1__7_VolatileSolidsTransferredStage2(G$94,H42,$E101)</f>
        <v>1.17E-2</v>
      </c>
      <c r="I112" s="124" t="str">
        <f>$E$84</f>
        <v>kg VS</v>
      </c>
      <c r="N112" s="57" t="str">
        <f>'Input - Swine'!$D$31</f>
        <v>Digester / covered lagoons</v>
      </c>
      <c r="O112" s="52" cm="1">
        <f t="array" ref="O112">MMS_Swine_Methane_Equations.VEERG_4_5_1_1__7_VolatileSolidsTransferredStage2(N$94,O42,$E101)</f>
        <v>1.2E-2</v>
      </c>
      <c r="P112" s="52" cm="1">
        <f t="array" ref="P112">MMS_Swine_Methane_Equations.VEERG_4_5_1_1__7_VolatileSolidsTransferredStage2(O$94,P42,$E101)</f>
        <v>1.38E-2</v>
      </c>
      <c r="Q112" s="52" cm="1">
        <f t="array" ref="Q112">MMS_Swine_Methane_Equations.VEERG_4_5_1_1__7_VolatileSolidsTransferredStage2(P$94,Q42,$E101)</f>
        <v>1.6500000000000001E-2</v>
      </c>
      <c r="R112" s="52" cm="1">
        <f t="array" ref="R112">MMS_Swine_Methane_Equations.VEERG_4_5_1_1__7_VolatileSolidsTransferredStage2(Q$94,R42,$E101)</f>
        <v>1.17E-2</v>
      </c>
      <c r="S112" s="124" t="str">
        <f>$E$84</f>
        <v>kg VS</v>
      </c>
    </row>
    <row r="113" spans="3:19" ht="20.100000000000001" customHeight="1" x14ac:dyDescent="0.25">
      <c r="D113" s="57" t="str">
        <f>'Input - Swine'!$D$32</f>
        <v>Deep litter</v>
      </c>
      <c r="E113" s="52" cm="1">
        <f t="array" ref="E113">MMS_Swine_Methane_Equations.VEERG_4_5_1_1__7_VolatileSolidsTransferredStage2(D$94,E43,$E102)</f>
        <v>4.5600000000000002E-2</v>
      </c>
      <c r="F113" s="52" cm="1">
        <f t="array" ref="F113">MMS_Swine_Methane_Equations.VEERG_4_5_1_1__7_VolatileSolidsTransferredStage2(E$94,F43,$E102)</f>
        <v>5.2439999999999994E-2</v>
      </c>
      <c r="G113" s="52" cm="1">
        <f t="array" ref="G113">MMS_Swine_Methane_Equations.VEERG_4_5_1_1__7_VolatileSolidsTransferredStage2(F$94,G43,$E102)</f>
        <v>6.2700000000000006E-2</v>
      </c>
      <c r="H113" s="52" cm="1">
        <f t="array" ref="H113">MMS_Swine_Methane_Equations.VEERG_4_5_1_1__7_VolatileSolidsTransferredStage2(G$94,H43,$E102)</f>
        <v>4.446E-2</v>
      </c>
      <c r="I113" s="124" t="str">
        <f>$E$84</f>
        <v>kg VS</v>
      </c>
      <c r="N113" s="57" t="str">
        <f>'Input - Swine'!$D$32</f>
        <v>Deep litter</v>
      </c>
      <c r="O113" s="52" cm="1">
        <f t="array" ref="O113">MMS_Swine_Methane_Equations.VEERG_4_5_1_1__7_VolatileSolidsTransferredStage2(N$94,O43,$E102)</f>
        <v>4.5600000000000002E-2</v>
      </c>
      <c r="P113" s="52" cm="1">
        <f t="array" ref="P113">MMS_Swine_Methane_Equations.VEERG_4_5_1_1__7_VolatileSolidsTransferredStage2(O$94,P43,$E102)</f>
        <v>5.2439999999999994E-2</v>
      </c>
      <c r="Q113" s="52" cm="1">
        <f t="array" ref="Q113">MMS_Swine_Methane_Equations.VEERG_4_5_1_1__7_VolatileSolidsTransferredStage2(P$94,Q43,$E102)</f>
        <v>6.2700000000000006E-2</v>
      </c>
      <c r="R113" s="52" cm="1">
        <f t="array" ref="R113">MMS_Swine_Methane_Equations.VEERG_4_5_1_1__7_VolatileSolidsTransferredStage2(Q$94,R43,$E102)</f>
        <v>4.446E-2</v>
      </c>
      <c r="S113" s="124" t="str">
        <f>$E$84</f>
        <v>kg VS</v>
      </c>
    </row>
    <row r="114" spans="3:19" ht="20.100000000000001" customHeight="1" x14ac:dyDescent="0.25">
      <c r="D114" s="57" t="str">
        <f>'Input - Swine'!$D$33</f>
        <v>Pit storage</v>
      </c>
      <c r="E114" s="52" cm="1">
        <f t="array" ref="E114">MMS_Swine_Methane_Equations.VEERG_4_5_1_1__7_VolatileSolidsTransferredStage2(D$94,E44,$E103)</f>
        <v>4.8000000000000001E-2</v>
      </c>
      <c r="F114" s="52" cm="1">
        <f t="array" ref="F114">MMS_Swine_Methane_Equations.VEERG_4_5_1_1__7_VolatileSolidsTransferredStage2(E$94,F44,$E103)</f>
        <v>5.5199999999999999E-2</v>
      </c>
      <c r="G114" s="52" cm="1">
        <f t="array" ref="G114">MMS_Swine_Methane_Equations.VEERG_4_5_1_1__7_VolatileSolidsTransferredStage2(F$94,G44,$E103)</f>
        <v>6.6000000000000003E-2</v>
      </c>
      <c r="H114" s="52" cm="1">
        <f t="array" ref="H114">MMS_Swine_Methane_Equations.VEERG_4_5_1_1__7_VolatileSolidsTransferredStage2(G$94,H44,$E103)</f>
        <v>4.6800000000000001E-2</v>
      </c>
      <c r="I114" s="124" t="str">
        <f t="shared" ref="I114:I115" si="0">$E$84</f>
        <v>kg VS</v>
      </c>
      <c r="N114" s="57" t="str">
        <f>'Input - Swine'!$D$33</f>
        <v>Pit storage</v>
      </c>
      <c r="O114" s="52" cm="1">
        <f t="array" ref="O114">MMS_Swine_Methane_Equations.VEERG_4_5_1_1__7_VolatileSolidsTransferredStage2(N$94,O44,$E103)</f>
        <v>4.8000000000000001E-2</v>
      </c>
      <c r="P114" s="52" cm="1">
        <f t="array" ref="P114">MMS_Swine_Methane_Equations.VEERG_4_5_1_1__7_VolatileSolidsTransferredStage2(O$94,P44,$E103)</f>
        <v>5.5199999999999999E-2</v>
      </c>
      <c r="Q114" s="52" cm="1">
        <f t="array" ref="Q114">MMS_Swine_Methane_Equations.VEERG_4_5_1_1__7_VolatileSolidsTransferredStage2(P$94,Q44,$E103)</f>
        <v>6.6000000000000003E-2</v>
      </c>
      <c r="R114" s="52" cm="1">
        <f t="array" ref="R114">MMS_Swine_Methane_Equations.VEERG_4_5_1_1__7_VolatileSolidsTransferredStage2(Q$94,R44,$E103)</f>
        <v>4.6800000000000001E-2</v>
      </c>
      <c r="S114" s="124" t="str">
        <f t="shared" ref="S114:S115" si="1">$E$84</f>
        <v>kg VS</v>
      </c>
    </row>
    <row r="115" spans="3:19" ht="20.100000000000001" customHeight="1" x14ac:dyDescent="0.25">
      <c r="D115" s="57" t="str">
        <f>'Input - Swine'!$D$34</f>
        <v>Solid storage</v>
      </c>
      <c r="E115" s="52" cm="1">
        <f t="array" ref="E115">MMS_Swine_Methane_Equations.VEERG_4_5_1_1__7_VolatileSolidsTransferredStage2(D$94,E73,$E104)</f>
        <v>0.16000000000000006</v>
      </c>
      <c r="F115" s="52" cm="1">
        <f t="array" ref="F115">MMS_Swine_Methane_Equations.VEERG_4_5_1_1__7_VolatileSolidsTransferredStage2(E$94,F73,$E104)</f>
        <v>0.18400000000000008</v>
      </c>
      <c r="G115" s="52" cm="1">
        <f t="array" ref="G115">MMS_Swine_Methane_Equations.VEERG_4_5_1_1__7_VolatileSolidsTransferredStage2(F$94,G73,$E104)</f>
        <v>0.22000000000000008</v>
      </c>
      <c r="H115" s="52" cm="1">
        <f t="array" ref="H115">MMS_Swine_Methane_Equations.VEERG_4_5_1_1__7_VolatileSolidsTransferredStage2(G$94,H73,$E104)</f>
        <v>0.15600000000000006</v>
      </c>
      <c r="I115" s="124" t="str">
        <f t="shared" si="0"/>
        <v>kg VS</v>
      </c>
      <c r="N115" s="57" t="str">
        <f>'Input - Swine'!$D$34</f>
        <v>Solid storage</v>
      </c>
      <c r="O115" s="52" cm="1">
        <f t="array" ref="O115">MMS_Swine_Methane_Equations.VEERG_4_5_1_1__7_VolatileSolidsTransferredStage2(N$94,O73,$E104)</f>
        <v>0.16000000000000006</v>
      </c>
      <c r="P115" s="52" cm="1">
        <f t="array" ref="P115">MMS_Swine_Methane_Equations.VEERG_4_5_1_1__7_VolatileSolidsTransferredStage2(O$94,P73,$E104)</f>
        <v>0.18400000000000008</v>
      </c>
      <c r="Q115" s="52" cm="1">
        <f t="array" ref="Q115">MMS_Swine_Methane_Equations.VEERG_4_5_1_1__7_VolatileSolidsTransferredStage2(P$94,Q73,$E104)</f>
        <v>0.22000000000000008</v>
      </c>
      <c r="R115" s="52" cm="1">
        <f t="array" ref="R115">MMS_Swine_Methane_Equations.VEERG_4_5_1_1__7_VolatileSolidsTransferredStage2(Q$94,R73,$E104)</f>
        <v>0.15600000000000006</v>
      </c>
      <c r="S115" s="124" t="str">
        <f t="shared" si="1"/>
        <v>kg VS</v>
      </c>
    </row>
    <row r="116" spans="3:19" ht="20.100000000000001" customHeight="1" x14ac:dyDescent="0.25"/>
    <row r="117" spans="3:19" ht="20.100000000000001" customHeight="1" x14ac:dyDescent="0.25"/>
    <row r="118" spans="3:19" ht="20.100000000000001" customHeight="1" x14ac:dyDescent="0.25"/>
    <row r="119" spans="3:19" ht="20.100000000000001" customHeight="1" x14ac:dyDescent="0.25"/>
    <row r="120" spans="3:19" ht="20.100000000000001" customHeight="1" x14ac:dyDescent="0.25">
      <c r="C120" s="45"/>
      <c r="D120" s="45"/>
      <c r="E120" s="45"/>
      <c r="F120" s="45"/>
      <c r="G120" s="45"/>
      <c r="H120" s="45"/>
      <c r="I120" s="45"/>
      <c r="J120" s="45"/>
    </row>
    <row r="121" spans="3:19" ht="20.100000000000001" customHeight="1" x14ac:dyDescent="0.25">
      <c r="D121" s="6" t="str" cm="1">
        <f t="array" ref="D121">ManureManagement_Swine_Methane.VEERG_4_5_1_1__6_Stage2MethaneProduction_Title()</f>
        <v>Production of methane in each treatment stage 2 MMS</v>
      </c>
    </row>
    <row r="122" spans="3:19" ht="20.100000000000001" customHeight="1" x14ac:dyDescent="0.25">
      <c r="D122" s="5" t="str" cm="1">
        <f t="array" ref="D122">ManureManagement_Swine_Methane.VEERG_4_5_1_1__6_Stage2MethaneProduction_Source()</f>
        <v>VEERG 2026: 4.5.1.1, Equation (6)</v>
      </c>
    </row>
    <row r="123" spans="3:19" ht="20.100000000000001" customHeight="1" x14ac:dyDescent="0.25">
      <c r="D123" s="13" t="s">
        <v>26</v>
      </c>
      <c r="E123" s="13" t="str" cm="1">
        <f t="array" aca="1" ref="E123" ca="1">Common_InputFunctions.Utility_DisplayFunctionName(F182)</f>
        <v>=ManureManagement_Swine_Methane.VEERG_4_5_1_1__6_Stage2MethaneProduction</v>
      </c>
    </row>
    <row r="124" spans="3:19" ht="20.100000000000001" customHeight="1" x14ac:dyDescent="0.25">
      <c r="D124" s="107" t="s">
        <v>206</v>
      </c>
    </row>
    <row r="125" spans="3:19" ht="20.100000000000001" customHeight="1" x14ac:dyDescent="0.25"/>
    <row r="126" spans="3:19" ht="20.100000000000001" customHeight="1" x14ac:dyDescent="0.25"/>
    <row r="127" spans="3:19" ht="20.100000000000001" customHeight="1" x14ac:dyDescent="0.25">
      <c r="D127" s="53" t="s">
        <v>29</v>
      </c>
      <c r="E127" s="1" t="str" cm="1">
        <f t="array" ref="E127">ManureManagement_Swine_Methane.VEERG_4_5_1_1__6_Stage2MethaneProduction_Variable()</f>
        <v>MijmT2</v>
      </c>
    </row>
    <row r="128" spans="3:19" ht="20.100000000000001" customHeight="1" x14ac:dyDescent="0.25">
      <c r="D128" s="53" t="s">
        <v>19</v>
      </c>
      <c r="E128" s="54" t="str" cm="1">
        <f t="array" ref="E128">ManureManagement_Swine_Methane.VEERG_4_5_1_1__6_Stage2MethaneProduction_Unit()</f>
        <v>kg CH4/head/day</v>
      </c>
    </row>
    <row r="129" spans="4:10" ht="20.100000000000001" customHeight="1" x14ac:dyDescent="0.25"/>
    <row r="130" spans="4:10" ht="20.100000000000001" customHeight="1" x14ac:dyDescent="0.25">
      <c r="D130" s="57" t="str" cm="1">
        <f t="array" ref="D130:E135">ManureManagement_Swine_Methane.VEERG_4_5_1_1__6_Stage2MethaneProduction_Arguments()</f>
        <v>VSTjmT2</v>
      </c>
      <c r="E130" s="58" t="str">
        <v>volatile solids transferred to treatment stage 2 MMS : kg/head/day</v>
      </c>
      <c r="F130" s="59"/>
      <c r="G130" s="57" t="str">
        <f>"See " &amp; D106</f>
        <v>See M1 Table_VST_j_m_T-2</v>
      </c>
    </row>
    <row r="131" spans="4:10" ht="20.100000000000001" customHeight="1" x14ac:dyDescent="0.25">
      <c r="D131" s="57" t="str">
        <v>BO</v>
      </c>
      <c r="E131" s="58" t="str">
        <v>emissions potential : m3 CH4/kg VS</v>
      </c>
      <c r="F131" s="59"/>
      <c r="G131" s="57">
        <f>'Constants - Swine'!$E$21</f>
        <v>0.19</v>
      </c>
    </row>
    <row r="132" spans="4:10" ht="20.100000000000001" customHeight="1" x14ac:dyDescent="0.25">
      <c r="D132" s="57" t="str">
        <v>MMSjmT2</v>
      </c>
      <c r="E132" s="58" t="str">
        <v>fraction of manure in each secondary system : fraction</v>
      </c>
      <c r="F132" s="59"/>
      <c r="G132" s="57" t="str">
        <f>"See " &amp; D137</f>
        <v>See Table_MMS_j_m_T-2</v>
      </c>
    </row>
    <row r="133" spans="4:10" ht="20.100000000000001" customHeight="1" x14ac:dyDescent="0.25">
      <c r="D133" s="57" t="str">
        <v>MCFim</v>
      </c>
      <c r="E133" s="58" t="str">
        <v>methane conversion factor for temperate zone and system : fraction</v>
      </c>
      <c r="F133" s="59"/>
      <c r="G133" s="57" t="str">
        <f>"See " &amp; $D$167</f>
        <v>See M1_Table_MCF_i_m</v>
      </c>
    </row>
    <row r="134" spans="4:10" ht="20.100000000000001" customHeight="1" x14ac:dyDescent="0.25">
      <c r="D134" s="57" t="str">
        <v>rho</v>
      </c>
      <c r="E134" s="58" t="str">
        <v>density of methane : kg/m3</v>
      </c>
      <c r="F134" s="59"/>
      <c r="G134" s="57">
        <f>'Constants - Common'!$D$175</f>
        <v>0.6784</v>
      </c>
    </row>
    <row r="135" spans="4:10" ht="20.100000000000001" customHeight="1" x14ac:dyDescent="0.25">
      <c r="D135" s="57" t="str">
        <v>i</v>
      </c>
      <c r="E135" s="58" t="str">
        <v>state</v>
      </c>
      <c r="F135" s="59"/>
      <c r="G135" s="57" t="str">
        <f>'Input - Site'!$E$21</f>
        <v>Western Australia</v>
      </c>
    </row>
    <row r="136" spans="4:10" ht="20.100000000000001" customHeight="1" x14ac:dyDescent="0.25"/>
    <row r="137" spans="4:10" ht="20.100000000000001" customHeight="1" x14ac:dyDescent="0.25">
      <c r="D137" s="121" t="s">
        <v>207</v>
      </c>
    </row>
    <row r="138" spans="4:10" ht="20.100000000000001" customHeight="1" x14ac:dyDescent="0.25">
      <c r="D138" s="122" t="s">
        <v>208</v>
      </c>
    </row>
    <row r="139" spans="4:10" ht="20.100000000000001" customHeight="1" x14ac:dyDescent="0.25">
      <c r="F139" s="51" t="s">
        <v>146</v>
      </c>
      <c r="G139" s="51" t="s">
        <v>147</v>
      </c>
      <c r="H139" s="51" t="s">
        <v>148</v>
      </c>
      <c r="I139" s="51" t="s">
        <v>266</v>
      </c>
    </row>
    <row r="140" spans="4:10" ht="20.100000000000001" customHeight="1" x14ac:dyDescent="0.25">
      <c r="D140" s="51" t="s">
        <v>172</v>
      </c>
      <c r="E140" s="51" t="s">
        <v>209</v>
      </c>
      <c r="F140" s="51" t="s">
        <v>210</v>
      </c>
      <c r="G140" s="51" t="s">
        <v>211</v>
      </c>
      <c r="H140" s="51" t="s">
        <v>212</v>
      </c>
      <c r="I140" s="51" t="s">
        <v>213</v>
      </c>
    </row>
    <row r="141" spans="4:10" ht="20.100000000000001" customHeight="1" x14ac:dyDescent="0.25">
      <c r="D141" s="57" t="str">
        <f>'Input - Swine'!$D$29</f>
        <v>Anaerobic lagoon</v>
      </c>
      <c r="E141" s="57" t="str">
        <f>'Input - Swine'!$D$48</f>
        <v>Drylot (feed pad)</v>
      </c>
      <c r="F141" s="52">
        <f>'Input - Swine'!E48</f>
        <v>0.2</v>
      </c>
      <c r="G141" s="52">
        <f>'Input - Swine'!F48</f>
        <v>0.25</v>
      </c>
      <c r="H141" s="52">
        <f>'Input - Swine'!G48</f>
        <v>0.25</v>
      </c>
      <c r="I141" s="52">
        <f>'Input - Swine'!H48</f>
        <v>0.25</v>
      </c>
      <c r="J141" s="2" t="s">
        <v>99</v>
      </c>
    </row>
    <row r="142" spans="4:10" ht="20.100000000000001" customHeight="1" x14ac:dyDescent="0.25">
      <c r="D142" s="57"/>
      <c r="E142" s="57" t="str">
        <f>'Input - Swine'!$D$49</f>
        <v>Digester / covered lagoons</v>
      </c>
      <c r="F142" s="52">
        <f>'Input - Swine'!E49</f>
        <v>0.2</v>
      </c>
      <c r="G142" s="52">
        <f>'Input - Swine'!F49</f>
        <v>0.25</v>
      </c>
      <c r="H142" s="52">
        <f>'Input - Swine'!G49</f>
        <v>0.25</v>
      </c>
      <c r="I142" s="52">
        <f>'Input - Swine'!H49</f>
        <v>0.25</v>
      </c>
      <c r="J142" s="2" t="s">
        <v>99</v>
      </c>
    </row>
    <row r="143" spans="4:10" ht="20.100000000000001" customHeight="1" x14ac:dyDescent="0.25">
      <c r="D143" s="57"/>
      <c r="E143" s="57" t="str">
        <f>'Input - Swine'!$D$50</f>
        <v>Deep litter</v>
      </c>
      <c r="F143" s="52">
        <f>'Input - Swine'!E50</f>
        <v>0.2</v>
      </c>
      <c r="G143" s="52">
        <f>'Input - Swine'!F50</f>
        <v>0.25</v>
      </c>
      <c r="H143" s="52">
        <f>'Input - Swine'!G50</f>
        <v>0.25</v>
      </c>
      <c r="I143" s="52">
        <f>'Input - Swine'!H50</f>
        <v>0.25</v>
      </c>
      <c r="J143" s="2" t="s">
        <v>99</v>
      </c>
    </row>
    <row r="144" spans="4:10" ht="20.100000000000001" customHeight="1" x14ac:dyDescent="0.25">
      <c r="D144" s="57"/>
      <c r="E144" s="57" t="str">
        <f>'Input - Swine'!$D$51</f>
        <v>Pit storage</v>
      </c>
      <c r="F144" s="52">
        <f>'Input - Swine'!E51</f>
        <v>0.2</v>
      </c>
      <c r="G144" s="52">
        <f>'Input - Swine'!F51</f>
        <v>0.25</v>
      </c>
      <c r="H144" s="52">
        <f>'Input - Swine'!G51</f>
        <v>0.25</v>
      </c>
      <c r="I144" s="52">
        <f>'Input - Swine'!H51</f>
        <v>0.25</v>
      </c>
      <c r="J144" s="2" t="s">
        <v>99</v>
      </c>
    </row>
    <row r="145" spans="4:10" ht="20.100000000000001" customHeight="1" x14ac:dyDescent="0.25">
      <c r="D145" s="57" t="str">
        <f>'Input - Swine'!$D$30</f>
        <v>Drylot (feed pad)</v>
      </c>
      <c r="E145" s="57" t="str">
        <f>'Input - Swine'!$D$56</f>
        <v>Anaerobic lagoon</v>
      </c>
      <c r="F145" s="52">
        <f>'Input - Swine'!E56</f>
        <v>0.2</v>
      </c>
      <c r="G145" s="52">
        <f>'Input - Swine'!F56</f>
        <v>0.25</v>
      </c>
      <c r="H145" s="52">
        <f>'Input - Swine'!G56</f>
        <v>0.25</v>
      </c>
      <c r="I145" s="52">
        <f>'Input - Swine'!H56</f>
        <v>0.25</v>
      </c>
      <c r="J145" s="2" t="s">
        <v>99</v>
      </c>
    </row>
    <row r="146" spans="4:10" ht="20.100000000000001" customHeight="1" x14ac:dyDescent="0.25">
      <c r="D146" s="57"/>
      <c r="E146" s="57" t="str">
        <f>'Input - Swine'!$D$57</f>
        <v>Digester / covered lagoons</v>
      </c>
      <c r="F146" s="52">
        <f>'Input - Swine'!E57</f>
        <v>0.2</v>
      </c>
      <c r="G146" s="52">
        <f>'Input - Swine'!F57</f>
        <v>0.25</v>
      </c>
      <c r="H146" s="52">
        <f>'Input - Swine'!G57</f>
        <v>0.25</v>
      </c>
      <c r="I146" s="52">
        <f>'Input - Swine'!H57</f>
        <v>0.25</v>
      </c>
      <c r="J146" s="2" t="s">
        <v>99</v>
      </c>
    </row>
    <row r="147" spans="4:10" ht="20.100000000000001" customHeight="1" x14ac:dyDescent="0.25">
      <c r="D147" s="57"/>
      <c r="E147" s="57" t="str">
        <f>'Input - Swine'!$D$58</f>
        <v>Deep litter</v>
      </c>
      <c r="F147" s="52">
        <f>'Input - Swine'!E58</f>
        <v>0.2</v>
      </c>
      <c r="G147" s="52">
        <f>'Input - Swine'!F58</f>
        <v>0.25</v>
      </c>
      <c r="H147" s="52">
        <f>'Input - Swine'!G58</f>
        <v>0.25</v>
      </c>
      <c r="I147" s="52">
        <f>'Input - Swine'!H58</f>
        <v>0.25</v>
      </c>
      <c r="J147" s="2" t="s">
        <v>99</v>
      </c>
    </row>
    <row r="148" spans="4:10" ht="20.100000000000001" customHeight="1" x14ac:dyDescent="0.25">
      <c r="D148" s="57"/>
      <c r="E148" s="57" t="str">
        <f>'Input - Swine'!$D$59</f>
        <v>Pit storage</v>
      </c>
      <c r="F148" s="52">
        <f>'Input - Swine'!E59</f>
        <v>0.2</v>
      </c>
      <c r="G148" s="52">
        <f>'Input - Swine'!F59</f>
        <v>0.25</v>
      </c>
      <c r="H148" s="52">
        <f>'Input - Swine'!G59</f>
        <v>0.25</v>
      </c>
      <c r="I148" s="52">
        <f>'Input - Swine'!H59</f>
        <v>0.25</v>
      </c>
      <c r="J148" s="2" t="s">
        <v>99</v>
      </c>
    </row>
    <row r="149" spans="4:10" ht="20.100000000000001" customHeight="1" x14ac:dyDescent="0.25">
      <c r="D149" s="57" t="str">
        <f>'Input - Swine'!$D$31</f>
        <v>Digester / covered lagoons</v>
      </c>
      <c r="E149" s="57" t="str">
        <f>'Input - Swine'!$D$64</f>
        <v>Anaerobic lagoon</v>
      </c>
      <c r="F149" s="52">
        <f>'Input - Swine'!E64</f>
        <v>0.2</v>
      </c>
      <c r="G149" s="52">
        <f>'Input - Swine'!F64</f>
        <v>0.25</v>
      </c>
      <c r="H149" s="52">
        <f>'Input - Swine'!G64</f>
        <v>0.25</v>
      </c>
      <c r="I149" s="52">
        <f>'Input - Swine'!H64</f>
        <v>0.25</v>
      </c>
      <c r="J149" s="2" t="s">
        <v>99</v>
      </c>
    </row>
    <row r="150" spans="4:10" ht="20.100000000000001" customHeight="1" x14ac:dyDescent="0.25">
      <c r="D150" s="57"/>
      <c r="E150" s="57" t="str">
        <f>'Input - Swine'!$D$65</f>
        <v>Drylot (feed pad)</v>
      </c>
      <c r="F150" s="52">
        <f>'Input - Swine'!E65</f>
        <v>0.2</v>
      </c>
      <c r="G150" s="52">
        <f>'Input - Swine'!F65</f>
        <v>0.25</v>
      </c>
      <c r="H150" s="52">
        <f>'Input - Swine'!G65</f>
        <v>0.25</v>
      </c>
      <c r="I150" s="52">
        <f>'Input - Swine'!H65</f>
        <v>0.25</v>
      </c>
      <c r="J150" s="2" t="s">
        <v>99</v>
      </c>
    </row>
    <row r="151" spans="4:10" ht="20.100000000000001" customHeight="1" x14ac:dyDescent="0.25">
      <c r="D151" s="57"/>
      <c r="E151" s="57" t="str">
        <f>'Input - Swine'!$D$66</f>
        <v>Deep litter</v>
      </c>
      <c r="F151" s="52">
        <f>'Input - Swine'!E66</f>
        <v>0.2</v>
      </c>
      <c r="G151" s="52">
        <f>'Input - Swine'!F66</f>
        <v>0.25</v>
      </c>
      <c r="H151" s="52">
        <f>'Input - Swine'!G66</f>
        <v>0.25</v>
      </c>
      <c r="I151" s="52">
        <f>'Input - Swine'!H66</f>
        <v>0.25</v>
      </c>
      <c r="J151" s="2" t="s">
        <v>99</v>
      </c>
    </row>
    <row r="152" spans="4:10" ht="20.100000000000001" customHeight="1" x14ac:dyDescent="0.25">
      <c r="D152" s="57"/>
      <c r="E152" s="57" t="str">
        <f>'Input - Swine'!$D$67</f>
        <v>Pit storage</v>
      </c>
      <c r="F152" s="52">
        <f>'Input - Swine'!E67</f>
        <v>0.2</v>
      </c>
      <c r="G152" s="52">
        <f>'Input - Swine'!F67</f>
        <v>0.25</v>
      </c>
      <c r="H152" s="52">
        <f>'Input - Swine'!G67</f>
        <v>0.25</v>
      </c>
      <c r="I152" s="52">
        <f>'Input - Swine'!H67</f>
        <v>0.25</v>
      </c>
      <c r="J152" s="2" t="s">
        <v>99</v>
      </c>
    </row>
    <row r="153" spans="4:10" ht="20.100000000000001" customHeight="1" x14ac:dyDescent="0.25">
      <c r="D153" s="57" t="str">
        <f>'Input - Swine'!$D$32</f>
        <v>Deep litter</v>
      </c>
      <c r="E153" s="57" t="str">
        <f>'Input - Swine'!$D$72</f>
        <v>Anaerobic lagoon</v>
      </c>
      <c r="F153" s="52">
        <f>'Input - Swine'!E72</f>
        <v>0.2</v>
      </c>
      <c r="G153" s="52">
        <f>'Input - Swine'!F72</f>
        <v>0.25</v>
      </c>
      <c r="H153" s="52">
        <f>'Input - Swine'!G72</f>
        <v>0.25</v>
      </c>
      <c r="I153" s="52">
        <f>'Input - Swine'!H72</f>
        <v>0.25</v>
      </c>
      <c r="J153" s="2" t="s">
        <v>99</v>
      </c>
    </row>
    <row r="154" spans="4:10" ht="20.100000000000001" customHeight="1" x14ac:dyDescent="0.25">
      <c r="D154" s="57"/>
      <c r="E154" s="57" t="str">
        <f>'Input - Swine'!$D$73</f>
        <v>Drylot (feed pad)</v>
      </c>
      <c r="F154" s="52">
        <f>'Input - Swine'!E73</f>
        <v>0.2</v>
      </c>
      <c r="G154" s="52">
        <f>'Input - Swine'!F73</f>
        <v>0.25</v>
      </c>
      <c r="H154" s="52">
        <f>'Input - Swine'!G73</f>
        <v>0.25</v>
      </c>
      <c r="I154" s="52">
        <f>'Input - Swine'!H73</f>
        <v>0.25</v>
      </c>
      <c r="J154" s="2" t="s">
        <v>99</v>
      </c>
    </row>
    <row r="155" spans="4:10" ht="20.100000000000001" customHeight="1" x14ac:dyDescent="0.25">
      <c r="D155" s="57"/>
      <c r="E155" s="57" t="str">
        <f>'Input - Swine'!$D$74</f>
        <v>Digester / covered lagoons</v>
      </c>
      <c r="F155" s="52">
        <f>'Input - Swine'!E74</f>
        <v>0.2</v>
      </c>
      <c r="G155" s="52">
        <f>'Input - Swine'!F74</f>
        <v>0.25</v>
      </c>
      <c r="H155" s="52">
        <f>'Input - Swine'!G74</f>
        <v>0.25</v>
      </c>
      <c r="I155" s="52">
        <f>'Input - Swine'!H74</f>
        <v>0.25</v>
      </c>
      <c r="J155" s="2" t="s">
        <v>99</v>
      </c>
    </row>
    <row r="156" spans="4:10" ht="20.100000000000001" customHeight="1" x14ac:dyDescent="0.25">
      <c r="D156" s="57"/>
      <c r="E156" s="57" t="str">
        <f>'Input - Swine'!$D$75</f>
        <v>Pit storage</v>
      </c>
      <c r="F156" s="52">
        <f>'Input - Swine'!E75</f>
        <v>0.2</v>
      </c>
      <c r="G156" s="52">
        <f>'Input - Swine'!F75</f>
        <v>0.25</v>
      </c>
      <c r="H156" s="52">
        <f>'Input - Swine'!G75</f>
        <v>0.25</v>
      </c>
      <c r="I156" s="52">
        <f>'Input - Swine'!H75</f>
        <v>0.25</v>
      </c>
      <c r="J156" s="2" t="s">
        <v>99</v>
      </c>
    </row>
    <row r="157" spans="4:10" ht="20.100000000000001" customHeight="1" x14ac:dyDescent="0.25">
      <c r="D157" s="57" t="str">
        <f>'Input - Swine'!$D$33</f>
        <v>Pit storage</v>
      </c>
      <c r="E157" s="57" t="str">
        <f>'Input - Swine'!$D$80</f>
        <v>Anaerobic lagoon</v>
      </c>
      <c r="F157" s="52">
        <f>'Input - Swine'!E80</f>
        <v>0.2</v>
      </c>
      <c r="G157" s="52">
        <f>'Input - Swine'!F80</f>
        <v>0.25</v>
      </c>
      <c r="H157" s="52">
        <f>'Input - Swine'!G80</f>
        <v>0.25</v>
      </c>
      <c r="I157" s="52">
        <f>'Input - Swine'!H80</f>
        <v>0.25</v>
      </c>
      <c r="J157" s="2" t="s">
        <v>99</v>
      </c>
    </row>
    <row r="158" spans="4:10" ht="20.100000000000001" customHeight="1" x14ac:dyDescent="0.25">
      <c r="D158" s="57"/>
      <c r="E158" s="57" t="str">
        <f>'Input - Swine'!$D$81</f>
        <v>Drylot (feed pad)</v>
      </c>
      <c r="F158" s="52">
        <f>'Input - Swine'!E81</f>
        <v>0.2</v>
      </c>
      <c r="G158" s="52">
        <f>'Input - Swine'!F81</f>
        <v>0.25</v>
      </c>
      <c r="H158" s="52">
        <f>'Input - Swine'!G81</f>
        <v>0.25</v>
      </c>
      <c r="I158" s="52">
        <f>'Input - Swine'!H81</f>
        <v>0.25</v>
      </c>
      <c r="J158" s="2" t="s">
        <v>99</v>
      </c>
    </row>
    <row r="159" spans="4:10" ht="20.100000000000001" customHeight="1" x14ac:dyDescent="0.25">
      <c r="D159" s="57"/>
      <c r="E159" s="57" t="str">
        <f>'Input - Swine'!$D$82</f>
        <v>Digester / covered lagoons</v>
      </c>
      <c r="F159" s="52">
        <f>'Input - Swine'!E82</f>
        <v>0.2</v>
      </c>
      <c r="G159" s="52">
        <f>'Input - Swine'!F82</f>
        <v>0.25</v>
      </c>
      <c r="H159" s="52">
        <f>'Input - Swine'!G82</f>
        <v>0.25</v>
      </c>
      <c r="I159" s="52">
        <f>'Input - Swine'!H82</f>
        <v>0.25</v>
      </c>
      <c r="J159" s="2" t="s">
        <v>99</v>
      </c>
    </row>
    <row r="160" spans="4:10" ht="20.100000000000001" customHeight="1" x14ac:dyDescent="0.25">
      <c r="D160" s="57"/>
      <c r="E160" s="57" t="str">
        <f>'Input - Swine'!$D$83</f>
        <v>Deep litter</v>
      </c>
      <c r="F160" s="52">
        <f>'Input - Swine'!E83</f>
        <v>0.2</v>
      </c>
      <c r="G160" s="52">
        <f>'Input - Swine'!F83</f>
        <v>0.25</v>
      </c>
      <c r="H160" s="52">
        <f>'Input - Swine'!G83</f>
        <v>0.25</v>
      </c>
      <c r="I160" s="52">
        <f>'Input - Swine'!H83</f>
        <v>0.25</v>
      </c>
      <c r="J160" s="2" t="s">
        <v>99</v>
      </c>
    </row>
    <row r="161" spans="4:10" ht="20.100000000000001" customHeight="1" x14ac:dyDescent="0.25">
      <c r="D161" s="57" t="str">
        <f>'Input - Swine'!$D$34</f>
        <v>Solid storage</v>
      </c>
      <c r="E161" s="57" t="str">
        <f>'Input - Swine'!$D$88</f>
        <v>Anaerobic lagoon</v>
      </c>
      <c r="F161" s="52">
        <f>'Input - Swine'!E88</f>
        <v>0.2</v>
      </c>
      <c r="G161" s="52">
        <f>'Input - Swine'!F88</f>
        <v>0.2</v>
      </c>
      <c r="H161" s="52">
        <f>'Input - Swine'!G88</f>
        <v>0.2</v>
      </c>
      <c r="I161" s="52">
        <f>'Input - Swine'!H88</f>
        <v>0.2</v>
      </c>
      <c r="J161" s="2" t="s">
        <v>99</v>
      </c>
    </row>
    <row r="162" spans="4:10" ht="20.100000000000001" customHeight="1" x14ac:dyDescent="0.25">
      <c r="D162" s="57"/>
      <c r="E162" s="57" t="str">
        <f>'Input - Swine'!$D$89</f>
        <v>Drylot (feed pad)</v>
      </c>
      <c r="F162" s="52">
        <f>'Input - Swine'!E89</f>
        <v>0.2</v>
      </c>
      <c r="G162" s="52">
        <f>'Input - Swine'!F89</f>
        <v>0.2</v>
      </c>
      <c r="H162" s="52">
        <f>'Input - Swine'!G89</f>
        <v>0.2</v>
      </c>
      <c r="I162" s="52">
        <f>'Input - Swine'!H89</f>
        <v>0.2</v>
      </c>
      <c r="J162" s="2" t="s">
        <v>99</v>
      </c>
    </row>
    <row r="163" spans="4:10" ht="20.100000000000001" customHeight="1" x14ac:dyDescent="0.25">
      <c r="D163" s="57"/>
      <c r="E163" s="57" t="str">
        <f>'Input - Swine'!$D$90</f>
        <v>Digester / covered lagoons</v>
      </c>
      <c r="F163" s="52">
        <f>'Input - Swine'!E90</f>
        <v>0.2</v>
      </c>
      <c r="G163" s="52">
        <f>'Input - Swine'!F90</f>
        <v>0.2</v>
      </c>
      <c r="H163" s="52">
        <f>'Input - Swine'!G90</f>
        <v>0.2</v>
      </c>
      <c r="I163" s="52">
        <f>'Input - Swine'!H90</f>
        <v>0.2</v>
      </c>
      <c r="J163" s="2" t="s">
        <v>99</v>
      </c>
    </row>
    <row r="164" spans="4:10" ht="20.100000000000001" customHeight="1" x14ac:dyDescent="0.25">
      <c r="D164" s="57"/>
      <c r="E164" s="57" t="str">
        <f>'Input - Swine'!$D$91</f>
        <v>Deep litter</v>
      </c>
      <c r="F164" s="52">
        <f>'Input - Swine'!E91</f>
        <v>0.2</v>
      </c>
      <c r="G164" s="52">
        <f>'Input - Swine'!F91</f>
        <v>0.2</v>
      </c>
      <c r="H164" s="52">
        <f>'Input - Swine'!G91</f>
        <v>0.2</v>
      </c>
      <c r="I164" s="52">
        <f>'Input - Swine'!H91</f>
        <v>0.2</v>
      </c>
      <c r="J164" s="2" t="s">
        <v>99</v>
      </c>
    </row>
    <row r="165" spans="4:10" ht="20.100000000000001" customHeight="1" x14ac:dyDescent="0.25">
      <c r="D165" s="57"/>
      <c r="E165" s="57" t="str">
        <f>'Input - Swine'!$D$92</f>
        <v>Pit storage</v>
      </c>
      <c r="F165" s="52">
        <f>'Input - Swine'!E92</f>
        <v>0.1</v>
      </c>
      <c r="G165" s="52">
        <f>'Input - Swine'!F92</f>
        <v>0.1</v>
      </c>
      <c r="H165" s="52">
        <f>'Input - Swine'!G92</f>
        <v>0.1</v>
      </c>
      <c r="I165" s="52">
        <f>'Input - Swine'!H92</f>
        <v>0.1</v>
      </c>
      <c r="J165" s="2" t="s">
        <v>99</v>
      </c>
    </row>
    <row r="166" spans="4:10" ht="20.100000000000001" customHeight="1" x14ac:dyDescent="0.25"/>
    <row r="167" spans="4:10" ht="20.100000000000001" customHeight="1" x14ac:dyDescent="0.25">
      <c r="D167" s="121" t="s">
        <v>122</v>
      </c>
    </row>
    <row r="168" spans="4:10" ht="20.100000000000001" customHeight="1" x14ac:dyDescent="0.25">
      <c r="D168" s="122" t="s">
        <v>258</v>
      </c>
    </row>
    <row r="169" spans="4:10" ht="20.100000000000001" customHeight="1" x14ac:dyDescent="0.25"/>
    <row r="170" spans="4:10" ht="20.100000000000001" customHeight="1" x14ac:dyDescent="0.25">
      <c r="D170" s="51" t="s">
        <v>67</v>
      </c>
      <c r="E170" s="51" t="s">
        <v>98</v>
      </c>
    </row>
    <row r="171" spans="4:10" ht="20.100000000000001" customHeight="1" x14ac:dyDescent="0.25">
      <c r="D171" s="57" t="str">
        <f>'Input - Swine'!$D$29</f>
        <v>Anaerobic lagoon</v>
      </c>
      <c r="E171" s="52" cm="1">
        <f t="array" ref="E171">CommonLivestock_InputFunctions.Livestock_LookupMCFState(D171,Table_SourceData_Swine_MMSMCF[NIR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0.76</v>
      </c>
    </row>
    <row r="172" spans="4:10" ht="20.100000000000001" customHeight="1" x14ac:dyDescent="0.25">
      <c r="D172" s="57" t="str">
        <f>'Input - Swine'!$D$30</f>
        <v>Drylot (feed pad)</v>
      </c>
      <c r="E172" s="52" cm="1">
        <f t="array" ref="E172">CommonLivestock_InputFunctions.Livestock_LookupMCFState(D172,Table_SourceData_Swine_MMSMCF[NIR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0.01</v>
      </c>
    </row>
    <row r="173" spans="4:10" ht="20.100000000000001" customHeight="1" x14ac:dyDescent="0.25">
      <c r="D173" s="57" t="str">
        <f>'Input - Swine'!$D$31</f>
        <v>Digester / covered lagoons</v>
      </c>
      <c r="E173" s="52" cm="1">
        <f t="array" ref="E173">CommonLivestock_InputFunctions.Livestock_LookupMCFState(D173,Table_SourceData_Swine_MMSMCF[NIR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0.1</v>
      </c>
    </row>
    <row r="174" spans="4:10" ht="20.100000000000001" customHeight="1" x14ac:dyDescent="0.25">
      <c r="D174" s="57" t="str">
        <f>'Input - Swine'!$D$32</f>
        <v>Deep litter</v>
      </c>
      <c r="E174" s="52" cm="1">
        <f t="array" ref="E174">CommonLivestock_InputFunctions.Livestock_LookupMCFState(D174,Table_SourceData_Swine_MMSMCF[NIR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0.04</v>
      </c>
    </row>
    <row r="175" spans="4:10" ht="20.100000000000001" customHeight="1" x14ac:dyDescent="0.25">
      <c r="D175" s="57" t="str">
        <f>'Input - Swine'!$D$33</f>
        <v>Pit storage</v>
      </c>
      <c r="E175" s="52" cm="1">
        <f t="array" ref="E175">CommonLivestock_InputFunctions.Livestock_LookupMCFState(D175,Table_SourceData_Swine_MMSMCF[NIR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0.03</v>
      </c>
    </row>
    <row r="176" spans="4:10" ht="20.100000000000001" customHeight="1" x14ac:dyDescent="0.25">
      <c r="D176" s="57" t="str">
        <f>'Input - Swine'!$D$34</f>
        <v>Solid storage</v>
      </c>
      <c r="E176" s="52" cm="1">
        <f t="array" ref="E176">CommonLivestock_InputFunctions.Livestock_LookupMCFState(D176,Table_SourceData_Swine_MMSMCF[NIR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0.02</v>
      </c>
    </row>
    <row r="177" spans="4:20" ht="20.100000000000001" customHeight="1" x14ac:dyDescent="0.25"/>
    <row r="178" spans="4:20" ht="20.100000000000001" customHeight="1" x14ac:dyDescent="0.25">
      <c r="D178" s="121" t="s">
        <v>259</v>
      </c>
      <c r="N178" s="121" t="s">
        <v>278</v>
      </c>
    </row>
    <row r="179" spans="4:20" ht="20.100000000000001" customHeight="1" x14ac:dyDescent="0.25">
      <c r="D179" s="122" t="s">
        <v>260</v>
      </c>
      <c r="N179" s="122" t="s">
        <v>279</v>
      </c>
    </row>
    <row r="180" spans="4:20" ht="20.100000000000001" customHeight="1" x14ac:dyDescent="0.25">
      <c r="F180" s="51" t="s">
        <v>146</v>
      </c>
      <c r="G180" s="51" t="s">
        <v>147</v>
      </c>
      <c r="H180" s="51" t="s">
        <v>148</v>
      </c>
      <c r="I180" s="51" t="s">
        <v>266</v>
      </c>
      <c r="P180" s="51" t="s">
        <v>146</v>
      </c>
      <c r="Q180" s="51" t="s">
        <v>147</v>
      </c>
      <c r="R180" s="51" t="s">
        <v>148</v>
      </c>
      <c r="S180" s="51" t="s">
        <v>266</v>
      </c>
    </row>
    <row r="181" spans="4:20" ht="20.100000000000001" customHeight="1" x14ac:dyDescent="0.25">
      <c r="D181" s="51" t="s">
        <v>172</v>
      </c>
      <c r="E181" s="51" t="s">
        <v>209</v>
      </c>
      <c r="F181" s="51" t="s">
        <v>215</v>
      </c>
      <c r="G181" s="51" t="s">
        <v>216</v>
      </c>
      <c r="H181" s="51" t="s">
        <v>217</v>
      </c>
      <c r="I181" s="51" t="s">
        <v>218</v>
      </c>
      <c r="N181" s="51" t="s">
        <v>172</v>
      </c>
      <c r="O181" s="51" t="s">
        <v>209</v>
      </c>
      <c r="P181" s="51" t="s">
        <v>215</v>
      </c>
      <c r="Q181" s="51" t="s">
        <v>216</v>
      </c>
      <c r="R181" s="51" t="s">
        <v>217</v>
      </c>
      <c r="S181" s="51" t="s">
        <v>218</v>
      </c>
    </row>
    <row r="182" spans="4:20" ht="20.100000000000001" customHeight="1" x14ac:dyDescent="0.25">
      <c r="D182" s="57" t="str">
        <f>'Input - Swine'!$D$29</f>
        <v>Anaerobic lagoon</v>
      </c>
      <c r="E182" s="57" t="str">
        <f>'Input - Swine'!$D$48</f>
        <v>Drylot (feed pad)</v>
      </c>
      <c r="F182" s="52" cm="1">
        <f t="array" ref="F182">ManureManagement_Swine_Methane.VEERG_4_5_1_1__6_Stage2MethaneProduction(E$110,$G$131,F141,VLOOKUP($E182,$D$171:$E$176,2, FALSE),$G$134)</f>
        <v>1.2374016000000001E-5</v>
      </c>
      <c r="G182" s="52" cm="1">
        <f t="array" ref="G182">ManureManagement_Swine_Methane.VEERG_4_5_1_1__6_Stage2MethaneProduction(F$110,$G$131,G141,VLOOKUP($E182,$D$171:$E$176,2, FALSE),$G$134)</f>
        <v>1.7787648000000004E-5</v>
      </c>
      <c r="H182" s="52" cm="1">
        <f t="array" ref="H182">ManureManagement_Swine_Methane.VEERG_4_5_1_1__6_Stage2MethaneProduction(G$110,$G$131,H141,VLOOKUP($E182,$D$171:$E$176,2, FALSE),$G$134)</f>
        <v>2.1267840000000003E-5</v>
      </c>
      <c r="I182" s="52" cm="1">
        <f t="array" ref="I182">ManureManagement_Swine_Methane.VEERG_4_5_1_1__6_Stage2MethaneProduction(H$110,$G$131,I141,VLOOKUP($E182,$D$171:$E$176,2, FALSE),$G$134)</f>
        <v>1.5080832000000002E-5</v>
      </c>
      <c r="J182" s="2" t="str">
        <f>$E$128</f>
        <v>kg CH4/head/day</v>
      </c>
      <c r="N182" s="57" t="str">
        <f>'Input - Swine'!$D$29</f>
        <v>Anaerobic lagoon</v>
      </c>
      <c r="O182" s="57" t="str">
        <f>'Input - Swine'!$D$48</f>
        <v>Drylot (feed pad)</v>
      </c>
      <c r="P182" s="52" cm="1">
        <f t="array" ref="P182">ManureManagement_Swine_Methane.VEERG_4_5_1_1__6_Stage2MethaneProduction(O$110,$G$131,F141,VLOOKUP($E182,$D$171:$E$176,2, FALSE),$G$134)</f>
        <v>1.2374016000000001E-5</v>
      </c>
      <c r="Q182" s="52" cm="1">
        <f t="array" ref="Q182">ManureManagement_Swine_Methane.VEERG_4_5_1_1__6_Stage2MethaneProduction(P$110,$G$131,G141,VLOOKUP($E182,$D$171:$E$176,2, FALSE),$G$134)</f>
        <v>1.7787648000000004E-5</v>
      </c>
      <c r="R182" s="52" cm="1">
        <f t="array" ref="R182">ManureManagement_Swine_Methane.VEERG_4_5_1_1__6_Stage2MethaneProduction(Q$110,$G$131,H141,VLOOKUP($E182,$D$171:$E$176,2, FALSE),$G$134)</f>
        <v>2.1267840000000003E-5</v>
      </c>
      <c r="S182" s="52" cm="1">
        <f t="array" ref="S182">ManureManagement_Swine_Methane.VEERG_4_5_1_1__6_Stage2MethaneProduction(R$110,$G$131,I141,VLOOKUP($E182,$D$171:$E$176,2, FALSE),$G$134)</f>
        <v>1.5080832000000002E-5</v>
      </c>
      <c r="T182" s="2" t="str">
        <f>$E$128</f>
        <v>kg CH4/head/day</v>
      </c>
    </row>
    <row r="183" spans="4:20" ht="20.100000000000001" customHeight="1" x14ac:dyDescent="0.25">
      <c r="D183" s="57"/>
      <c r="E183" s="57" t="str">
        <f>'Input - Swine'!$D$49</f>
        <v>Digester / covered lagoons</v>
      </c>
      <c r="F183" s="52" cm="1">
        <f t="array" ref="F183">ManureManagement_Swine_Methane.VEERG_4_5_1_1__6_Stage2MethaneProduction(E$110,$G$131,F142,VLOOKUP($E183,$D$171:$E$176,2, FALSE),$G$134)</f>
        <v>1.2374016000000002E-4</v>
      </c>
      <c r="G183" s="52" cm="1">
        <f t="array" ref="G183">ManureManagement_Swine_Methane.VEERG_4_5_1_1__6_Stage2MethaneProduction(F$110,$G$131,G142,VLOOKUP($E183,$D$171:$E$176,2, FALSE),$G$134)</f>
        <v>1.7787648000000002E-4</v>
      </c>
      <c r="H183" s="52" cm="1">
        <f t="array" ref="H183">ManureManagement_Swine_Methane.VEERG_4_5_1_1__6_Stage2MethaneProduction(G$110,$G$131,H142,VLOOKUP($E183,$D$171:$E$176,2, FALSE),$G$134)</f>
        <v>2.1267840000000003E-4</v>
      </c>
      <c r="I183" s="52" cm="1">
        <f t="array" ref="I183">ManureManagement_Swine_Methane.VEERG_4_5_1_1__6_Stage2MethaneProduction(H$110,$G$131,I142,VLOOKUP($E183,$D$171:$E$176,2, FALSE),$G$134)</f>
        <v>1.5080832000000002E-4</v>
      </c>
      <c r="J183" s="2" t="str">
        <f>$E$128</f>
        <v>kg CH4/head/day</v>
      </c>
      <c r="N183" s="57"/>
      <c r="O183" s="57" t="str">
        <f>'Input - Swine'!$D$49</f>
        <v>Digester / covered lagoons</v>
      </c>
      <c r="P183" s="52" cm="1">
        <f t="array" ref="P183">ManureManagement_Swine_Methane.VEERG_4_5_1_1__6_Stage2MethaneProduction(O$110,$G$131,F142,VLOOKUP($E183,$D$171:$E$176,2, FALSE),$G$134)</f>
        <v>1.2374016000000002E-4</v>
      </c>
      <c r="Q183" s="52" cm="1">
        <f t="array" ref="Q183">ManureManagement_Swine_Methane.VEERG_4_5_1_1__6_Stage2MethaneProduction(P$110,$G$131,G142,VLOOKUP($E183,$D$171:$E$176,2, FALSE),$G$134)</f>
        <v>1.7787648000000002E-4</v>
      </c>
      <c r="R183" s="52" cm="1">
        <f t="array" ref="R183">ManureManagement_Swine_Methane.VEERG_4_5_1_1__6_Stage2MethaneProduction(Q$110,$G$131,H142,VLOOKUP($E183,$D$171:$E$176,2, FALSE),$G$134)</f>
        <v>2.1267840000000003E-4</v>
      </c>
      <c r="S183" s="52" cm="1">
        <f t="array" ref="S183">ManureManagement_Swine_Methane.VEERG_4_5_1_1__6_Stage2MethaneProduction(R$110,$G$131,I142,VLOOKUP($E183,$D$171:$E$176,2, FALSE),$G$134)</f>
        <v>1.5080832000000002E-4</v>
      </c>
      <c r="T183" s="2" t="str">
        <f>$E$128</f>
        <v>kg CH4/head/day</v>
      </c>
    </row>
    <row r="184" spans="4:20" ht="20.100000000000001" customHeight="1" x14ac:dyDescent="0.25">
      <c r="D184" s="57"/>
      <c r="E184" s="57" t="str">
        <f>'Input - Swine'!$D$50</f>
        <v>Deep litter</v>
      </c>
      <c r="F184" s="52" cm="1">
        <f t="array" ref="F184">ManureManagement_Swine_Methane.VEERG_4_5_1_1__6_Stage2MethaneProduction(E$110,$G$131,F143,VLOOKUP($E184,$D$171:$E$176,2, FALSE),$G$134)</f>
        <v>4.9496064000000004E-5</v>
      </c>
      <c r="G184" s="52" cm="1">
        <f t="array" ref="G184">ManureManagement_Swine_Methane.VEERG_4_5_1_1__6_Stage2MethaneProduction(F$110,$G$131,G143,VLOOKUP($E184,$D$171:$E$176,2, FALSE),$G$134)</f>
        <v>7.1150592000000014E-5</v>
      </c>
      <c r="H184" s="52" cm="1">
        <f t="array" ref="H184">ManureManagement_Swine_Methane.VEERG_4_5_1_1__6_Stage2MethaneProduction(G$110,$G$131,H143,VLOOKUP($E184,$D$171:$E$176,2, FALSE),$G$134)</f>
        <v>8.5071360000000011E-5</v>
      </c>
      <c r="I184" s="52" cm="1">
        <f t="array" ref="I184">ManureManagement_Swine_Methane.VEERG_4_5_1_1__6_Stage2MethaneProduction(H$110,$G$131,I143,VLOOKUP($E184,$D$171:$E$176,2, FALSE),$G$134)</f>
        <v>6.0323328000000009E-5</v>
      </c>
      <c r="J184" s="2" t="str">
        <f>$E$128</f>
        <v>kg CH4/head/day</v>
      </c>
      <c r="N184" s="57"/>
      <c r="O184" s="57" t="str">
        <f>'Input - Swine'!$D$50</f>
        <v>Deep litter</v>
      </c>
      <c r="P184" s="52" cm="1">
        <f t="array" ref="P184">ManureManagement_Swine_Methane.VEERG_4_5_1_1__6_Stage2MethaneProduction(O$110,$G$131,F143,VLOOKUP($E184,$D$171:$E$176,2, FALSE),$G$134)</f>
        <v>4.9496064000000004E-5</v>
      </c>
      <c r="Q184" s="52" cm="1">
        <f t="array" ref="Q184">ManureManagement_Swine_Methane.VEERG_4_5_1_1__6_Stage2MethaneProduction(P$110,$G$131,G143,VLOOKUP($E184,$D$171:$E$176,2, FALSE),$G$134)</f>
        <v>7.1150592000000014E-5</v>
      </c>
      <c r="R184" s="52" cm="1">
        <f t="array" ref="R184">ManureManagement_Swine_Methane.VEERG_4_5_1_1__6_Stage2MethaneProduction(Q$110,$G$131,H143,VLOOKUP($E184,$D$171:$E$176,2, FALSE),$G$134)</f>
        <v>8.5071360000000011E-5</v>
      </c>
      <c r="S184" s="52" cm="1">
        <f t="array" ref="S184">ManureManagement_Swine_Methane.VEERG_4_5_1_1__6_Stage2MethaneProduction(R$110,$G$131,I143,VLOOKUP($E184,$D$171:$E$176,2, FALSE),$G$134)</f>
        <v>6.0323328000000009E-5</v>
      </c>
      <c r="T184" s="2" t="str">
        <f>$E$128</f>
        <v>kg CH4/head/day</v>
      </c>
    </row>
    <row r="185" spans="4:20" ht="20.100000000000001" customHeight="1" x14ac:dyDescent="0.25">
      <c r="D185" s="57"/>
      <c r="E185" s="57" t="str">
        <f>'Input - Swine'!$D$51</f>
        <v>Pit storage</v>
      </c>
      <c r="F185" s="52" cm="1">
        <f t="array" ref="F185">ManureManagement_Swine_Methane.VEERG_4_5_1_1__6_Stage2MethaneProduction(E$110,$G$131,F144,VLOOKUP($E185,$D$171:$E$176,2, FALSE),$G$134)</f>
        <v>3.7122047999999999E-5</v>
      </c>
      <c r="G185" s="52" cm="1">
        <f t="array" ref="G185">ManureManagement_Swine_Methane.VEERG_4_5_1_1__6_Stage2MethaneProduction(F$110,$G$131,G144,VLOOKUP($E185,$D$171:$E$176,2, FALSE),$G$134)</f>
        <v>5.3362944000000004E-5</v>
      </c>
      <c r="H185" s="52" cm="1">
        <f t="array" ref="H185">ManureManagement_Swine_Methane.VEERG_4_5_1_1__6_Stage2MethaneProduction(G$110,$G$131,H144,VLOOKUP($E185,$D$171:$E$176,2, FALSE),$G$134)</f>
        <v>6.3803520000000008E-5</v>
      </c>
      <c r="I185" s="52" cm="1">
        <f t="array" ref="I185">ManureManagement_Swine_Methane.VEERG_4_5_1_1__6_Stage2MethaneProduction(H$110,$G$131,I144,VLOOKUP($E185,$D$171:$E$176,2, FALSE),$G$134)</f>
        <v>4.5242496000000002E-5</v>
      </c>
      <c r="J185" s="2" t="str">
        <f>$E$128</f>
        <v>kg CH4/head/day</v>
      </c>
      <c r="N185" s="57"/>
      <c r="O185" s="57" t="str">
        <f>'Input - Swine'!$D$51</f>
        <v>Pit storage</v>
      </c>
      <c r="P185" s="52" cm="1">
        <f t="array" ref="P185">ManureManagement_Swine_Methane.VEERG_4_5_1_1__6_Stage2MethaneProduction(O$110,$G$131,F144,VLOOKUP($E185,$D$171:$E$176,2, FALSE),$G$134)</f>
        <v>3.7122047999999999E-5</v>
      </c>
      <c r="Q185" s="52" cm="1">
        <f t="array" ref="Q185">ManureManagement_Swine_Methane.VEERG_4_5_1_1__6_Stage2MethaneProduction(P$110,$G$131,G144,VLOOKUP($E185,$D$171:$E$176,2, FALSE),$G$134)</f>
        <v>5.3362944000000004E-5</v>
      </c>
      <c r="R185" s="52" cm="1">
        <f t="array" ref="R185">ManureManagement_Swine_Methane.VEERG_4_5_1_1__6_Stage2MethaneProduction(Q$110,$G$131,H144,VLOOKUP($E185,$D$171:$E$176,2, FALSE),$G$134)</f>
        <v>6.3803520000000008E-5</v>
      </c>
      <c r="S185" s="52" cm="1">
        <f t="array" ref="S185">ManureManagement_Swine_Methane.VEERG_4_5_1_1__6_Stage2MethaneProduction(R$110,$G$131,I144,VLOOKUP($E185,$D$171:$E$176,2, FALSE),$G$134)</f>
        <v>4.5242496000000002E-5</v>
      </c>
      <c r="T185" s="2" t="str">
        <f>$E$128</f>
        <v>kg CH4/head/day</v>
      </c>
    </row>
    <row r="186" spans="4:20" ht="20.100000000000001" customHeight="1" x14ac:dyDescent="0.25">
      <c r="D186" s="57" t="str">
        <f>'Input - Swine'!$D$30</f>
        <v>Drylot (feed pad)</v>
      </c>
      <c r="E186" s="57" t="str">
        <f>'Input - Swine'!$D$56</f>
        <v>Anaerobic lagoon</v>
      </c>
      <c r="F186" s="52" cm="1">
        <f t="array" ref="F186">ManureManagement_Swine_Methane.VEERG_4_5_1_1__6_Stage2MethaneProduction(E$111,$G$131,F145,VLOOKUP($E186,$D$171:$E$176,2, FALSE),$G$134)</f>
        <v>9.4042521600000016E-4</v>
      </c>
      <c r="G186" s="52" cm="1">
        <f t="array" ref="G186">ManureManagement_Swine_Methane.VEERG_4_5_1_1__6_Stage2MethaneProduction(F$111,$G$131,G145,VLOOKUP($E186,$D$171:$E$176,2, FALSE),$G$134)</f>
        <v>1.3518612480000003E-3</v>
      </c>
      <c r="H186" s="52" cm="1">
        <f t="array" ref="H186">ManureManagement_Swine_Methane.VEERG_4_5_1_1__6_Stage2MethaneProduction(G$111,$G$131,H145,VLOOKUP($E186,$D$171:$E$176,2, FALSE),$G$134)</f>
        <v>1.6163558400000002E-3</v>
      </c>
      <c r="I186" s="52" cm="1">
        <f t="array" ref="I186">ManureManagement_Swine_Methane.VEERG_4_5_1_1__6_Stage2MethaneProduction(H$111,$G$131,I145,VLOOKUP($E186,$D$171:$E$176,2, FALSE),$G$134)</f>
        <v>1.146143232E-3</v>
      </c>
      <c r="J186" s="2" t="str">
        <f>$E$128</f>
        <v>kg CH4/head/day</v>
      </c>
      <c r="N186" s="57" t="str">
        <f>'Input - Swine'!$D$30</f>
        <v>Drylot (feed pad)</v>
      </c>
      <c r="O186" s="57" t="str">
        <f>'Input - Swine'!$D$56</f>
        <v>Anaerobic lagoon</v>
      </c>
      <c r="P186" s="52" cm="1">
        <f t="array" ref="P186">ManureManagement_Swine_Methane.VEERG_4_5_1_1__6_Stage2MethaneProduction(O$111,$G$131,F145,VLOOKUP($E186,$D$171:$E$176,2, FALSE),$G$134)</f>
        <v>9.4042521600000016E-4</v>
      </c>
      <c r="Q186" s="52" cm="1">
        <f t="array" ref="Q186">ManureManagement_Swine_Methane.VEERG_4_5_1_1__6_Stage2MethaneProduction(P$111,$G$131,G145,VLOOKUP($E186,$D$171:$E$176,2, FALSE),$G$134)</f>
        <v>1.3518612480000003E-3</v>
      </c>
      <c r="R186" s="52" cm="1">
        <f t="array" ref="R186">ManureManagement_Swine_Methane.VEERG_4_5_1_1__6_Stage2MethaneProduction(Q$111,$G$131,H145,VLOOKUP($E186,$D$171:$E$176,2, FALSE),$G$134)</f>
        <v>1.6163558400000002E-3</v>
      </c>
      <c r="S186" s="52" cm="1">
        <f t="array" ref="S186">ManureManagement_Swine_Methane.VEERG_4_5_1_1__6_Stage2MethaneProduction(R$111,$G$131,I145,VLOOKUP($E186,$D$171:$E$176,2, FALSE),$G$134)</f>
        <v>1.146143232E-3</v>
      </c>
      <c r="T186" s="2" t="str">
        <f>$E$128</f>
        <v>kg CH4/head/day</v>
      </c>
    </row>
    <row r="187" spans="4:20" ht="20.100000000000001" customHeight="1" x14ac:dyDescent="0.25">
      <c r="D187" s="57"/>
      <c r="E187" s="57" t="str">
        <f>'Input - Swine'!$D$57</f>
        <v>Digester / covered lagoons</v>
      </c>
      <c r="F187" s="52" cm="1">
        <f t="array" ref="F187">ManureManagement_Swine_Methane.VEERG_4_5_1_1__6_Stage2MethaneProduction(E$111,$G$131,F146,VLOOKUP($E187,$D$171:$E$176,2, FALSE),$G$134)</f>
        <v>1.2374016000000002E-4</v>
      </c>
      <c r="G187" s="52" cm="1">
        <f t="array" ref="G187">ManureManagement_Swine_Methane.VEERG_4_5_1_1__6_Stage2MethaneProduction(F$111,$G$131,G146,VLOOKUP($E187,$D$171:$E$176,2, FALSE),$G$134)</f>
        <v>1.7787648000000002E-4</v>
      </c>
      <c r="H187" s="52" cm="1">
        <f t="array" ref="H187">ManureManagement_Swine_Methane.VEERG_4_5_1_1__6_Stage2MethaneProduction(G$111,$G$131,H146,VLOOKUP($E187,$D$171:$E$176,2, FALSE),$G$134)</f>
        <v>2.1267840000000003E-4</v>
      </c>
      <c r="I187" s="52" cm="1">
        <f t="array" ref="I187">ManureManagement_Swine_Methane.VEERG_4_5_1_1__6_Stage2MethaneProduction(H$111,$G$131,I146,VLOOKUP($E187,$D$171:$E$176,2, FALSE),$G$134)</f>
        <v>1.5080832000000002E-4</v>
      </c>
      <c r="J187" s="2" t="str">
        <f>$E$128</f>
        <v>kg CH4/head/day</v>
      </c>
      <c r="N187" s="57"/>
      <c r="O187" s="57" t="str">
        <f>'Input - Swine'!$D$57</f>
        <v>Digester / covered lagoons</v>
      </c>
      <c r="P187" s="52" cm="1">
        <f t="array" ref="P187">ManureManagement_Swine_Methane.VEERG_4_5_1_1__6_Stage2MethaneProduction(O$111,$G$131,F146,VLOOKUP($E187,$D$171:$E$176,2, FALSE),$G$134)</f>
        <v>1.2374016000000002E-4</v>
      </c>
      <c r="Q187" s="52" cm="1">
        <f t="array" ref="Q187">ManureManagement_Swine_Methane.VEERG_4_5_1_1__6_Stage2MethaneProduction(P$111,$G$131,G146,VLOOKUP($E187,$D$171:$E$176,2, FALSE),$G$134)</f>
        <v>1.7787648000000002E-4</v>
      </c>
      <c r="R187" s="52" cm="1">
        <f t="array" ref="R187">ManureManagement_Swine_Methane.VEERG_4_5_1_1__6_Stage2MethaneProduction(Q$111,$G$131,H146,VLOOKUP($E187,$D$171:$E$176,2, FALSE),$G$134)</f>
        <v>2.1267840000000003E-4</v>
      </c>
      <c r="S187" s="52" cm="1">
        <f t="array" ref="S187">ManureManagement_Swine_Methane.VEERG_4_5_1_1__6_Stage2MethaneProduction(R$111,$G$131,I146,VLOOKUP($E187,$D$171:$E$176,2, FALSE),$G$134)</f>
        <v>1.5080832000000002E-4</v>
      </c>
      <c r="T187" s="2" t="str">
        <f>$E$128</f>
        <v>kg CH4/head/day</v>
      </c>
    </row>
    <row r="188" spans="4:20" ht="20.100000000000001" customHeight="1" x14ac:dyDescent="0.25">
      <c r="D188" s="57"/>
      <c r="E188" s="57" t="str">
        <f>'Input - Swine'!$D$58</f>
        <v>Deep litter</v>
      </c>
      <c r="F188" s="52" cm="1">
        <f t="array" ref="F188">ManureManagement_Swine_Methane.VEERG_4_5_1_1__6_Stage2MethaneProduction(E$111,$G$131,F147,VLOOKUP($E188,$D$171:$E$176,2, FALSE),$G$134)</f>
        <v>4.9496064000000004E-5</v>
      </c>
      <c r="G188" s="52" cm="1">
        <f t="array" ref="G188">ManureManagement_Swine_Methane.VEERG_4_5_1_1__6_Stage2MethaneProduction(F$111,$G$131,G147,VLOOKUP($E188,$D$171:$E$176,2, FALSE),$G$134)</f>
        <v>7.1150592000000014E-5</v>
      </c>
      <c r="H188" s="52" cm="1">
        <f t="array" ref="H188">ManureManagement_Swine_Methane.VEERG_4_5_1_1__6_Stage2MethaneProduction(G$111,$G$131,H147,VLOOKUP($E188,$D$171:$E$176,2, FALSE),$G$134)</f>
        <v>8.5071360000000011E-5</v>
      </c>
      <c r="I188" s="52" cm="1">
        <f t="array" ref="I188">ManureManagement_Swine_Methane.VEERG_4_5_1_1__6_Stage2MethaneProduction(H$111,$G$131,I147,VLOOKUP($E188,$D$171:$E$176,2, FALSE),$G$134)</f>
        <v>6.0323328000000009E-5</v>
      </c>
      <c r="J188" s="2" t="str">
        <f>$E$128</f>
        <v>kg CH4/head/day</v>
      </c>
      <c r="N188" s="57"/>
      <c r="O188" s="57" t="str">
        <f>'Input - Swine'!$D$58</f>
        <v>Deep litter</v>
      </c>
      <c r="P188" s="52" cm="1">
        <f t="array" ref="P188">ManureManagement_Swine_Methane.VEERG_4_5_1_1__6_Stage2MethaneProduction(O$111,$G$131,F147,VLOOKUP($E188,$D$171:$E$176,2, FALSE),$G$134)</f>
        <v>4.9496064000000004E-5</v>
      </c>
      <c r="Q188" s="52" cm="1">
        <f t="array" ref="Q188">ManureManagement_Swine_Methane.VEERG_4_5_1_1__6_Stage2MethaneProduction(P$111,$G$131,G147,VLOOKUP($E188,$D$171:$E$176,2, FALSE),$G$134)</f>
        <v>7.1150592000000014E-5</v>
      </c>
      <c r="R188" s="52" cm="1">
        <f t="array" ref="R188">ManureManagement_Swine_Methane.VEERG_4_5_1_1__6_Stage2MethaneProduction(Q$111,$G$131,H147,VLOOKUP($E188,$D$171:$E$176,2, FALSE),$G$134)</f>
        <v>8.5071360000000011E-5</v>
      </c>
      <c r="S188" s="52" cm="1">
        <f t="array" ref="S188">ManureManagement_Swine_Methane.VEERG_4_5_1_1__6_Stage2MethaneProduction(R$111,$G$131,I147,VLOOKUP($E188,$D$171:$E$176,2, FALSE),$G$134)</f>
        <v>6.0323328000000009E-5</v>
      </c>
      <c r="T188" s="2" t="str">
        <f>$E$128</f>
        <v>kg CH4/head/day</v>
      </c>
    </row>
    <row r="189" spans="4:20" ht="20.100000000000001" customHeight="1" x14ac:dyDescent="0.25">
      <c r="D189" s="57"/>
      <c r="E189" s="57" t="str">
        <f>'Input - Swine'!$D$59</f>
        <v>Pit storage</v>
      </c>
      <c r="F189" s="52" cm="1">
        <f t="array" ref="F189">ManureManagement_Swine_Methane.VEERG_4_5_1_1__6_Stage2MethaneProduction(E$111,$G$131,F148,VLOOKUP($E189,$D$171:$E$176,2, FALSE),$G$134)</f>
        <v>3.7122047999999999E-5</v>
      </c>
      <c r="G189" s="52" cm="1">
        <f t="array" ref="G189">ManureManagement_Swine_Methane.VEERG_4_5_1_1__6_Stage2MethaneProduction(F$111,$G$131,G148,VLOOKUP($E189,$D$171:$E$176,2, FALSE),$G$134)</f>
        <v>5.3362944000000004E-5</v>
      </c>
      <c r="H189" s="52" cm="1">
        <f t="array" ref="H189">ManureManagement_Swine_Methane.VEERG_4_5_1_1__6_Stage2MethaneProduction(G$111,$G$131,H148,VLOOKUP($E189,$D$171:$E$176,2, FALSE),$G$134)</f>
        <v>6.3803520000000008E-5</v>
      </c>
      <c r="I189" s="52" cm="1">
        <f t="array" ref="I189">ManureManagement_Swine_Methane.VEERG_4_5_1_1__6_Stage2MethaneProduction(H$111,$G$131,I148,VLOOKUP($E189,$D$171:$E$176,2, FALSE),$G$134)</f>
        <v>4.5242496000000002E-5</v>
      </c>
      <c r="J189" s="2" t="str">
        <f>$E$128</f>
        <v>kg CH4/head/day</v>
      </c>
      <c r="N189" s="57"/>
      <c r="O189" s="57" t="str">
        <f>'Input - Swine'!$D$59</f>
        <v>Pit storage</v>
      </c>
      <c r="P189" s="52" cm="1">
        <f t="array" ref="P189">ManureManagement_Swine_Methane.VEERG_4_5_1_1__6_Stage2MethaneProduction(O$111,$G$131,F148,VLOOKUP($E189,$D$171:$E$176,2, FALSE),$G$134)</f>
        <v>3.7122047999999999E-5</v>
      </c>
      <c r="Q189" s="52" cm="1">
        <f t="array" ref="Q189">ManureManagement_Swine_Methane.VEERG_4_5_1_1__6_Stage2MethaneProduction(P$111,$G$131,G148,VLOOKUP($E189,$D$171:$E$176,2, FALSE),$G$134)</f>
        <v>5.3362944000000004E-5</v>
      </c>
      <c r="R189" s="52" cm="1">
        <f t="array" ref="R189">ManureManagement_Swine_Methane.VEERG_4_5_1_1__6_Stage2MethaneProduction(Q$111,$G$131,H148,VLOOKUP($E189,$D$171:$E$176,2, FALSE),$G$134)</f>
        <v>6.3803520000000008E-5</v>
      </c>
      <c r="S189" s="52" cm="1">
        <f t="array" ref="S189">ManureManagement_Swine_Methane.VEERG_4_5_1_1__6_Stage2MethaneProduction(R$111,$G$131,I148,VLOOKUP($E189,$D$171:$E$176,2, FALSE),$G$134)</f>
        <v>4.5242496000000002E-5</v>
      </c>
      <c r="T189" s="2" t="str">
        <f>$E$128</f>
        <v>kg CH4/head/day</v>
      </c>
    </row>
    <row r="190" spans="4:20" ht="20.100000000000001" customHeight="1" x14ac:dyDescent="0.25">
      <c r="D190" s="57" t="str">
        <f>'Input - Swine'!$D$31</f>
        <v>Digester / covered lagoons</v>
      </c>
      <c r="E190" s="57" t="str">
        <f>'Input - Swine'!$D$64</f>
        <v>Anaerobic lagoon</v>
      </c>
      <c r="F190" s="52" cm="1">
        <f t="array" ref="F190">ManureManagement_Swine_Methane.VEERG_4_5_1_1__6_Stage2MethaneProduction(E$112,$G$131,F149,VLOOKUP($E190,$D$171:$E$176,2, FALSE),$G$134)</f>
        <v>2.3510630400000004E-4</v>
      </c>
      <c r="G190" s="52" cm="1">
        <f t="array" ref="G190">ManureManagement_Swine_Methane.VEERG_4_5_1_1__6_Stage2MethaneProduction(F$112,$G$131,G149,VLOOKUP($E190,$D$171:$E$176,2, FALSE),$G$134)</f>
        <v>3.3796531200000008E-4</v>
      </c>
      <c r="H190" s="52" cm="1">
        <f t="array" ref="H190">ManureManagement_Swine_Methane.VEERG_4_5_1_1__6_Stage2MethaneProduction(G$112,$G$131,H149,VLOOKUP($E190,$D$171:$E$176,2, FALSE),$G$134)</f>
        <v>4.0408896000000005E-4</v>
      </c>
      <c r="I190" s="52" cm="1">
        <f t="array" ref="I190">ManureManagement_Swine_Methane.VEERG_4_5_1_1__6_Stage2MethaneProduction(H$112,$G$131,I149,VLOOKUP($E190,$D$171:$E$176,2, FALSE),$G$134)</f>
        <v>2.86535808E-4</v>
      </c>
      <c r="J190" s="2" t="str">
        <f>$E$128</f>
        <v>kg CH4/head/day</v>
      </c>
      <c r="N190" s="57" t="str">
        <f>'Input - Swine'!$D$31</f>
        <v>Digester / covered lagoons</v>
      </c>
      <c r="O190" s="57" t="str">
        <f>'Input - Swine'!$D$64</f>
        <v>Anaerobic lagoon</v>
      </c>
      <c r="P190" s="52" cm="1">
        <f t="array" ref="P190">ManureManagement_Swine_Methane.VEERG_4_5_1_1__6_Stage2MethaneProduction(O$112,$G$131,F149,VLOOKUP($E190,$D$171:$E$176,2, FALSE),$G$134)</f>
        <v>2.3510630400000004E-4</v>
      </c>
      <c r="Q190" s="52" cm="1">
        <f t="array" ref="Q190">ManureManagement_Swine_Methane.VEERG_4_5_1_1__6_Stage2MethaneProduction(P$112,$G$131,G149,VLOOKUP($E190,$D$171:$E$176,2, FALSE),$G$134)</f>
        <v>3.3796531200000008E-4</v>
      </c>
      <c r="R190" s="52" cm="1">
        <f t="array" ref="R190">ManureManagement_Swine_Methane.VEERG_4_5_1_1__6_Stage2MethaneProduction(Q$112,$G$131,H149,VLOOKUP($E190,$D$171:$E$176,2, FALSE),$G$134)</f>
        <v>4.0408896000000005E-4</v>
      </c>
      <c r="S190" s="52" cm="1">
        <f t="array" ref="S190">ManureManagement_Swine_Methane.VEERG_4_5_1_1__6_Stage2MethaneProduction(R$112,$G$131,I149,VLOOKUP($E190,$D$171:$E$176,2, FALSE),$G$134)</f>
        <v>2.86535808E-4</v>
      </c>
      <c r="T190" s="2" t="str">
        <f>$E$128</f>
        <v>kg CH4/head/day</v>
      </c>
    </row>
    <row r="191" spans="4:20" ht="20.100000000000001" customHeight="1" x14ac:dyDescent="0.25">
      <c r="D191" s="57"/>
      <c r="E191" s="57" t="str">
        <f>'Input - Swine'!$D$65</f>
        <v>Drylot (feed pad)</v>
      </c>
      <c r="F191" s="52" cm="1">
        <f t="array" ref="F191">ManureManagement_Swine_Methane.VEERG_4_5_1_1__6_Stage2MethaneProduction(E$112,$G$131,F150,VLOOKUP($E191,$D$171:$E$176,2, FALSE),$G$134)</f>
        <v>3.0935040000000002E-6</v>
      </c>
      <c r="G191" s="52" cm="1">
        <f t="array" ref="G191">ManureManagement_Swine_Methane.VEERG_4_5_1_1__6_Stage2MethaneProduction(F$112,$G$131,G150,VLOOKUP($E191,$D$171:$E$176,2, FALSE),$G$134)</f>
        <v>4.4469120000000009E-6</v>
      </c>
      <c r="H191" s="52" cm="1">
        <f t="array" ref="H191">ManureManagement_Swine_Methane.VEERG_4_5_1_1__6_Stage2MethaneProduction(G$112,$G$131,H150,VLOOKUP($E191,$D$171:$E$176,2, FALSE),$G$134)</f>
        <v>5.3169600000000007E-6</v>
      </c>
      <c r="I191" s="52" cm="1">
        <f t="array" ref="I191">ManureManagement_Swine_Methane.VEERG_4_5_1_1__6_Stage2MethaneProduction(H$112,$G$131,I150,VLOOKUP($E191,$D$171:$E$176,2, FALSE),$G$134)</f>
        <v>3.7702080000000006E-6</v>
      </c>
      <c r="J191" s="2" t="str">
        <f>$E$128</f>
        <v>kg CH4/head/day</v>
      </c>
      <c r="N191" s="57"/>
      <c r="O191" s="57" t="str">
        <f>'Input - Swine'!$D$65</f>
        <v>Drylot (feed pad)</v>
      </c>
      <c r="P191" s="52" cm="1">
        <f t="array" ref="P191">ManureManagement_Swine_Methane.VEERG_4_5_1_1__6_Stage2MethaneProduction(O$112,$G$131,F150,VLOOKUP($E191,$D$171:$E$176,2, FALSE),$G$134)</f>
        <v>3.0935040000000002E-6</v>
      </c>
      <c r="Q191" s="52" cm="1">
        <f t="array" ref="Q191">ManureManagement_Swine_Methane.VEERG_4_5_1_1__6_Stage2MethaneProduction(P$112,$G$131,G150,VLOOKUP($E191,$D$171:$E$176,2, FALSE),$G$134)</f>
        <v>4.4469120000000009E-6</v>
      </c>
      <c r="R191" s="52" cm="1">
        <f t="array" ref="R191">ManureManagement_Swine_Methane.VEERG_4_5_1_1__6_Stage2MethaneProduction(Q$112,$G$131,H150,VLOOKUP($E191,$D$171:$E$176,2, FALSE),$G$134)</f>
        <v>5.3169600000000007E-6</v>
      </c>
      <c r="S191" s="52" cm="1">
        <f t="array" ref="S191">ManureManagement_Swine_Methane.VEERG_4_5_1_1__6_Stage2MethaneProduction(R$112,$G$131,I150,VLOOKUP($E191,$D$171:$E$176,2, FALSE),$G$134)</f>
        <v>3.7702080000000006E-6</v>
      </c>
      <c r="T191" s="2" t="str">
        <f>$E$128</f>
        <v>kg CH4/head/day</v>
      </c>
    </row>
    <row r="192" spans="4:20" ht="20.100000000000001" customHeight="1" x14ac:dyDescent="0.25">
      <c r="D192" s="57"/>
      <c r="E192" s="57" t="str">
        <f>'Input - Swine'!$D$66</f>
        <v>Deep litter</v>
      </c>
      <c r="F192" s="52" cm="1">
        <f t="array" ref="F192">ManureManagement_Swine_Methane.VEERG_4_5_1_1__6_Stage2MethaneProduction(E$112,$G$131,F151,VLOOKUP($E192,$D$171:$E$176,2, FALSE),$G$134)</f>
        <v>1.2374016000000001E-5</v>
      </c>
      <c r="G192" s="52" cm="1">
        <f t="array" ref="G192">ManureManagement_Swine_Methane.VEERG_4_5_1_1__6_Stage2MethaneProduction(F$112,$G$131,G151,VLOOKUP($E192,$D$171:$E$176,2, FALSE),$G$134)</f>
        <v>1.7787648000000004E-5</v>
      </c>
      <c r="H192" s="52" cm="1">
        <f t="array" ref="H192">ManureManagement_Swine_Methane.VEERG_4_5_1_1__6_Stage2MethaneProduction(G$112,$G$131,H151,VLOOKUP($E192,$D$171:$E$176,2, FALSE),$G$134)</f>
        <v>2.1267840000000003E-5</v>
      </c>
      <c r="I192" s="52" cm="1">
        <f t="array" ref="I192">ManureManagement_Swine_Methane.VEERG_4_5_1_1__6_Stage2MethaneProduction(H$112,$G$131,I151,VLOOKUP($E192,$D$171:$E$176,2, FALSE),$G$134)</f>
        <v>1.5080832000000002E-5</v>
      </c>
      <c r="J192" s="2" t="str">
        <f>$E$128</f>
        <v>kg CH4/head/day</v>
      </c>
      <c r="N192" s="57"/>
      <c r="O192" s="57" t="str">
        <f>'Input - Swine'!$D$66</f>
        <v>Deep litter</v>
      </c>
      <c r="P192" s="52" cm="1">
        <f t="array" ref="P192">ManureManagement_Swine_Methane.VEERG_4_5_1_1__6_Stage2MethaneProduction(O$112,$G$131,F151,VLOOKUP($E192,$D$171:$E$176,2, FALSE),$G$134)</f>
        <v>1.2374016000000001E-5</v>
      </c>
      <c r="Q192" s="52" cm="1">
        <f t="array" ref="Q192">ManureManagement_Swine_Methane.VEERG_4_5_1_1__6_Stage2MethaneProduction(P$112,$G$131,G151,VLOOKUP($E192,$D$171:$E$176,2, FALSE),$G$134)</f>
        <v>1.7787648000000004E-5</v>
      </c>
      <c r="R192" s="52" cm="1">
        <f t="array" ref="R192">ManureManagement_Swine_Methane.VEERG_4_5_1_1__6_Stage2MethaneProduction(Q$112,$G$131,H151,VLOOKUP($E192,$D$171:$E$176,2, FALSE),$G$134)</f>
        <v>2.1267840000000003E-5</v>
      </c>
      <c r="S192" s="52" cm="1">
        <f t="array" ref="S192">ManureManagement_Swine_Methane.VEERG_4_5_1_1__6_Stage2MethaneProduction(R$112,$G$131,I151,VLOOKUP($E192,$D$171:$E$176,2, FALSE),$G$134)</f>
        <v>1.5080832000000002E-5</v>
      </c>
      <c r="T192" s="2" t="str">
        <f>$E$128</f>
        <v>kg CH4/head/day</v>
      </c>
    </row>
    <row r="193" spans="4:20" ht="20.100000000000001" customHeight="1" x14ac:dyDescent="0.25">
      <c r="D193" s="57"/>
      <c r="E193" s="57" t="str">
        <f>'Input - Swine'!$D$67</f>
        <v>Pit storage</v>
      </c>
      <c r="F193" s="52" cm="1">
        <f t="array" ref="F193">ManureManagement_Swine_Methane.VEERG_4_5_1_1__6_Stage2MethaneProduction(E$112,$G$131,F152,VLOOKUP($E193,$D$171:$E$176,2, FALSE),$G$134)</f>
        <v>9.2805119999999998E-6</v>
      </c>
      <c r="G193" s="52" cm="1">
        <f t="array" ref="G193">ManureManagement_Swine_Methane.VEERG_4_5_1_1__6_Stage2MethaneProduction(F$112,$G$131,G152,VLOOKUP($E193,$D$171:$E$176,2, FALSE),$G$134)</f>
        <v>1.3340736000000001E-5</v>
      </c>
      <c r="H193" s="52" cm="1">
        <f t="array" ref="H193">ManureManagement_Swine_Methane.VEERG_4_5_1_1__6_Stage2MethaneProduction(G$112,$G$131,H152,VLOOKUP($E193,$D$171:$E$176,2, FALSE),$G$134)</f>
        <v>1.5950880000000002E-5</v>
      </c>
      <c r="I193" s="52" cm="1">
        <f t="array" ref="I193">ManureManagement_Swine_Methane.VEERG_4_5_1_1__6_Stage2MethaneProduction(H$112,$G$131,I152,VLOOKUP($E193,$D$171:$E$176,2, FALSE),$G$134)</f>
        <v>1.1310624E-5</v>
      </c>
      <c r="J193" s="2" t="str">
        <f>$E$128</f>
        <v>kg CH4/head/day</v>
      </c>
      <c r="N193" s="57"/>
      <c r="O193" s="57" t="str">
        <f>'Input - Swine'!$D$67</f>
        <v>Pit storage</v>
      </c>
      <c r="P193" s="52" cm="1">
        <f t="array" ref="P193">ManureManagement_Swine_Methane.VEERG_4_5_1_1__6_Stage2MethaneProduction(O$112,$G$131,F152,VLOOKUP($E193,$D$171:$E$176,2, FALSE),$G$134)</f>
        <v>9.2805119999999998E-6</v>
      </c>
      <c r="Q193" s="52" cm="1">
        <f t="array" ref="Q193">ManureManagement_Swine_Methane.VEERG_4_5_1_1__6_Stage2MethaneProduction(P$112,$G$131,G152,VLOOKUP($E193,$D$171:$E$176,2, FALSE),$G$134)</f>
        <v>1.3340736000000001E-5</v>
      </c>
      <c r="R193" s="52" cm="1">
        <f t="array" ref="R193">ManureManagement_Swine_Methane.VEERG_4_5_1_1__6_Stage2MethaneProduction(Q$112,$G$131,H152,VLOOKUP($E193,$D$171:$E$176,2, FALSE),$G$134)</f>
        <v>1.5950880000000002E-5</v>
      </c>
      <c r="S193" s="52" cm="1">
        <f t="array" ref="S193">ManureManagement_Swine_Methane.VEERG_4_5_1_1__6_Stage2MethaneProduction(R$112,$G$131,I152,VLOOKUP($E193,$D$171:$E$176,2, FALSE),$G$134)</f>
        <v>1.1310624E-5</v>
      </c>
      <c r="T193" s="2" t="str">
        <f>$E$128</f>
        <v>kg CH4/head/day</v>
      </c>
    </row>
    <row r="194" spans="4:20" ht="20.100000000000001" customHeight="1" x14ac:dyDescent="0.25">
      <c r="D194" s="57" t="str">
        <f>'Input - Swine'!$D$32</f>
        <v>Deep litter</v>
      </c>
      <c r="E194" s="57" t="str">
        <f>'Input - Swine'!$D$72</f>
        <v>Anaerobic lagoon</v>
      </c>
      <c r="F194" s="52" cm="1">
        <f t="array" ref="F194">ManureManagement_Swine_Methane.VEERG_4_5_1_1__6_Stage2MethaneProduction(E$113,$G$131,F153,VLOOKUP($E194,$D$171:$E$176,2, FALSE),$G$134)</f>
        <v>8.9340395520000001E-4</v>
      </c>
      <c r="G194" s="52" cm="1">
        <f t="array" ref="G194">ManureManagement_Swine_Methane.VEERG_4_5_1_1__6_Stage2MethaneProduction(F$113,$G$131,G153,VLOOKUP($E194,$D$171:$E$176,2, FALSE),$G$134)</f>
        <v>1.2842681856000001E-3</v>
      </c>
      <c r="H194" s="52" cm="1">
        <f t="array" ref="H194">ManureManagement_Swine_Methane.VEERG_4_5_1_1__6_Stage2MethaneProduction(G$113,$G$131,H153,VLOOKUP($E194,$D$171:$E$176,2, FALSE),$G$134)</f>
        <v>1.5355380480000004E-3</v>
      </c>
      <c r="I194" s="52" cm="1">
        <f t="array" ref="I194">ManureManagement_Swine_Methane.VEERG_4_5_1_1__6_Stage2MethaneProduction(H$113,$G$131,I153,VLOOKUP($E194,$D$171:$E$176,2, FALSE),$G$134)</f>
        <v>1.0888360704000002E-3</v>
      </c>
      <c r="J194" s="2" t="str">
        <f t="shared" ref="J194:J206" si="2">$E$128</f>
        <v>kg CH4/head/day</v>
      </c>
      <c r="N194" s="57" t="str">
        <f>'Input - Swine'!$D$32</f>
        <v>Deep litter</v>
      </c>
      <c r="O194" s="57" t="str">
        <f>'Input - Swine'!$D$72</f>
        <v>Anaerobic lagoon</v>
      </c>
      <c r="P194" s="52" cm="1">
        <f t="array" ref="P194">ManureManagement_Swine_Methane.VEERG_4_5_1_1__6_Stage2MethaneProduction(O$113,$G$131,F153,VLOOKUP($E194,$D$171:$E$176,2, FALSE),$G$134)</f>
        <v>8.9340395520000001E-4</v>
      </c>
      <c r="Q194" s="52" cm="1">
        <f t="array" ref="Q194">ManureManagement_Swine_Methane.VEERG_4_5_1_1__6_Stage2MethaneProduction(P$113,$G$131,G153,VLOOKUP($E194,$D$171:$E$176,2, FALSE),$G$134)</f>
        <v>1.2842681856000001E-3</v>
      </c>
      <c r="R194" s="52" cm="1">
        <f t="array" ref="R194">ManureManagement_Swine_Methane.VEERG_4_5_1_1__6_Stage2MethaneProduction(Q$113,$G$131,H153,VLOOKUP($E194,$D$171:$E$176,2, FALSE),$G$134)</f>
        <v>1.5355380480000004E-3</v>
      </c>
      <c r="S194" s="52" cm="1">
        <f t="array" ref="S194">ManureManagement_Swine_Methane.VEERG_4_5_1_1__6_Stage2MethaneProduction(R$113,$G$131,I153,VLOOKUP($E194,$D$171:$E$176,2, FALSE),$G$134)</f>
        <v>1.0888360704000002E-3</v>
      </c>
      <c r="T194" s="2" t="str">
        <f t="shared" ref="T194:T206" si="3">$E$128</f>
        <v>kg CH4/head/day</v>
      </c>
    </row>
    <row r="195" spans="4:20" ht="20.100000000000001" customHeight="1" x14ac:dyDescent="0.25">
      <c r="D195" s="57"/>
      <c r="E195" s="57" t="str">
        <f>'Input - Swine'!$D$73</f>
        <v>Drylot (feed pad)</v>
      </c>
      <c r="F195" s="52" cm="1">
        <f t="array" ref="F195">ManureManagement_Swine_Methane.VEERG_4_5_1_1__6_Stage2MethaneProduction(E$113,$G$131,F154,VLOOKUP($E195,$D$171:$E$176,2, FALSE),$G$134)</f>
        <v>1.17553152E-5</v>
      </c>
      <c r="G195" s="52" cm="1">
        <f t="array" ref="G195">ManureManagement_Swine_Methane.VEERG_4_5_1_1__6_Stage2MethaneProduction(F$113,$G$131,G154,VLOOKUP($E195,$D$171:$E$176,2, FALSE),$G$134)</f>
        <v>1.6898265599999998E-5</v>
      </c>
      <c r="H195" s="52" cm="1">
        <f t="array" ref="H195">ManureManagement_Swine_Methane.VEERG_4_5_1_1__6_Stage2MethaneProduction(G$113,$G$131,H154,VLOOKUP($E195,$D$171:$E$176,2, FALSE),$G$134)</f>
        <v>2.0204448000000004E-5</v>
      </c>
      <c r="I195" s="52" cm="1">
        <f t="array" ref="I195">ManureManagement_Swine_Methane.VEERG_4_5_1_1__6_Stage2MethaneProduction(H$113,$G$131,I154,VLOOKUP($E195,$D$171:$E$176,2, FALSE),$G$134)</f>
        <v>1.4326790400000001E-5</v>
      </c>
      <c r="J195" s="2" t="str">
        <f t="shared" si="2"/>
        <v>kg CH4/head/day</v>
      </c>
      <c r="N195" s="57"/>
      <c r="O195" s="57" t="str">
        <f>'Input - Swine'!$D$73</f>
        <v>Drylot (feed pad)</v>
      </c>
      <c r="P195" s="52" cm="1">
        <f t="array" ref="P195">ManureManagement_Swine_Methane.VEERG_4_5_1_1__6_Stage2MethaneProduction(O$113,$G$131,F154,VLOOKUP($E195,$D$171:$E$176,2, FALSE),$G$134)</f>
        <v>1.17553152E-5</v>
      </c>
      <c r="Q195" s="52" cm="1">
        <f t="array" ref="Q195">ManureManagement_Swine_Methane.VEERG_4_5_1_1__6_Stage2MethaneProduction(P$113,$G$131,G154,VLOOKUP($E195,$D$171:$E$176,2, FALSE),$G$134)</f>
        <v>1.6898265599999998E-5</v>
      </c>
      <c r="R195" s="52" cm="1">
        <f t="array" ref="R195">ManureManagement_Swine_Methane.VEERG_4_5_1_1__6_Stage2MethaneProduction(Q$113,$G$131,H154,VLOOKUP($E195,$D$171:$E$176,2, FALSE),$G$134)</f>
        <v>2.0204448000000004E-5</v>
      </c>
      <c r="S195" s="52" cm="1">
        <f t="array" ref="S195">ManureManagement_Swine_Methane.VEERG_4_5_1_1__6_Stage2MethaneProduction(R$113,$G$131,I154,VLOOKUP($E195,$D$171:$E$176,2, FALSE),$G$134)</f>
        <v>1.4326790400000001E-5</v>
      </c>
      <c r="T195" s="2" t="str">
        <f t="shared" si="3"/>
        <v>kg CH4/head/day</v>
      </c>
    </row>
    <row r="196" spans="4:20" ht="20.100000000000001" customHeight="1" x14ac:dyDescent="0.25">
      <c r="D196" s="57"/>
      <c r="E196" s="57" t="str">
        <f>'Input - Swine'!$D$74</f>
        <v>Digester / covered lagoons</v>
      </c>
      <c r="F196" s="52" cm="1">
        <f t="array" ref="F196">ManureManagement_Swine_Methane.VEERG_4_5_1_1__6_Stage2MethaneProduction(E$113,$G$131,F155,VLOOKUP($E196,$D$171:$E$176,2, FALSE),$G$134)</f>
        <v>1.1755315200000002E-4</v>
      </c>
      <c r="G196" s="52" cm="1">
        <f t="array" ref="G196">ManureManagement_Swine_Methane.VEERG_4_5_1_1__6_Stage2MethaneProduction(F$113,$G$131,G155,VLOOKUP($E196,$D$171:$E$176,2, FALSE),$G$134)</f>
        <v>1.6898265599999998E-4</v>
      </c>
      <c r="H196" s="52" cm="1">
        <f t="array" ref="H196">ManureManagement_Swine_Methane.VEERG_4_5_1_1__6_Stage2MethaneProduction(G$113,$G$131,H155,VLOOKUP($E196,$D$171:$E$176,2, FALSE),$G$134)</f>
        <v>2.0204448000000003E-4</v>
      </c>
      <c r="I196" s="52" cm="1">
        <f t="array" ref="I196">ManureManagement_Swine_Methane.VEERG_4_5_1_1__6_Stage2MethaneProduction(H$113,$G$131,I155,VLOOKUP($E196,$D$171:$E$176,2, FALSE),$G$134)</f>
        <v>1.43267904E-4</v>
      </c>
      <c r="J196" s="2" t="str">
        <f t="shared" si="2"/>
        <v>kg CH4/head/day</v>
      </c>
      <c r="N196" s="57"/>
      <c r="O196" s="57" t="str">
        <f>'Input - Swine'!$D$74</f>
        <v>Digester / covered lagoons</v>
      </c>
      <c r="P196" s="52" cm="1">
        <f t="array" ref="P196">ManureManagement_Swine_Methane.VEERG_4_5_1_1__6_Stage2MethaneProduction(O$113,$G$131,F155,VLOOKUP($E196,$D$171:$E$176,2, FALSE),$G$134)</f>
        <v>1.1755315200000002E-4</v>
      </c>
      <c r="Q196" s="52" cm="1">
        <f t="array" ref="Q196">ManureManagement_Swine_Methane.VEERG_4_5_1_1__6_Stage2MethaneProduction(P$113,$G$131,G155,VLOOKUP($E196,$D$171:$E$176,2, FALSE),$G$134)</f>
        <v>1.6898265599999998E-4</v>
      </c>
      <c r="R196" s="52" cm="1">
        <f t="array" ref="R196">ManureManagement_Swine_Methane.VEERG_4_5_1_1__6_Stage2MethaneProduction(Q$113,$G$131,H155,VLOOKUP($E196,$D$171:$E$176,2, FALSE),$G$134)</f>
        <v>2.0204448000000003E-4</v>
      </c>
      <c r="S196" s="52" cm="1">
        <f t="array" ref="S196">ManureManagement_Swine_Methane.VEERG_4_5_1_1__6_Stage2MethaneProduction(R$113,$G$131,I155,VLOOKUP($E196,$D$171:$E$176,2, FALSE),$G$134)</f>
        <v>1.43267904E-4</v>
      </c>
      <c r="T196" s="2" t="str">
        <f t="shared" si="3"/>
        <v>kg CH4/head/day</v>
      </c>
    </row>
    <row r="197" spans="4:20" ht="20.100000000000001" customHeight="1" x14ac:dyDescent="0.25">
      <c r="D197" s="57"/>
      <c r="E197" s="57" t="str">
        <f>'Input - Swine'!$D$75</f>
        <v>Pit storage</v>
      </c>
      <c r="F197" s="52" cm="1">
        <f t="array" ref="F197">ManureManagement_Swine_Methane.VEERG_4_5_1_1__6_Stage2MethaneProduction(E$113,$G$131,F156,VLOOKUP($E197,$D$171:$E$176,2, FALSE),$G$134)</f>
        <v>3.5265945600000003E-5</v>
      </c>
      <c r="G197" s="52" cm="1">
        <f t="array" ref="G197">ManureManagement_Swine_Methane.VEERG_4_5_1_1__6_Stage2MethaneProduction(F$113,$G$131,G156,VLOOKUP($E197,$D$171:$E$176,2, FALSE),$G$134)</f>
        <v>5.0694796799999996E-5</v>
      </c>
      <c r="H197" s="52" cm="1">
        <f t="array" ref="H197">ManureManagement_Swine_Methane.VEERG_4_5_1_1__6_Stage2MethaneProduction(G$113,$G$131,H156,VLOOKUP($E197,$D$171:$E$176,2, FALSE),$G$134)</f>
        <v>6.0613344000000005E-5</v>
      </c>
      <c r="I197" s="52" cm="1">
        <f t="array" ref="I197">ManureManagement_Swine_Methane.VEERG_4_5_1_1__6_Stage2MethaneProduction(H$113,$G$131,I156,VLOOKUP($E197,$D$171:$E$176,2, FALSE),$G$134)</f>
        <v>4.2980371200000003E-5</v>
      </c>
      <c r="J197" s="2" t="str">
        <f t="shared" si="2"/>
        <v>kg CH4/head/day</v>
      </c>
      <c r="N197" s="57"/>
      <c r="O197" s="57" t="str">
        <f>'Input - Swine'!$D$75</f>
        <v>Pit storage</v>
      </c>
      <c r="P197" s="52" cm="1">
        <f t="array" ref="P197">ManureManagement_Swine_Methane.VEERG_4_5_1_1__6_Stage2MethaneProduction(O$113,$G$131,F156,VLOOKUP($E197,$D$171:$E$176,2, FALSE),$G$134)</f>
        <v>3.5265945600000003E-5</v>
      </c>
      <c r="Q197" s="52" cm="1">
        <f t="array" ref="Q197">ManureManagement_Swine_Methane.VEERG_4_5_1_1__6_Stage2MethaneProduction(P$113,$G$131,G156,VLOOKUP($E197,$D$171:$E$176,2, FALSE),$G$134)</f>
        <v>5.0694796799999996E-5</v>
      </c>
      <c r="R197" s="52" cm="1">
        <f t="array" ref="R197">ManureManagement_Swine_Methane.VEERG_4_5_1_1__6_Stage2MethaneProduction(Q$113,$G$131,H156,VLOOKUP($E197,$D$171:$E$176,2, FALSE),$G$134)</f>
        <v>6.0613344000000005E-5</v>
      </c>
      <c r="S197" s="52" cm="1">
        <f t="array" ref="S197">ManureManagement_Swine_Methane.VEERG_4_5_1_1__6_Stage2MethaneProduction(R$113,$G$131,I156,VLOOKUP($E197,$D$171:$E$176,2, FALSE),$G$134)</f>
        <v>4.2980371200000003E-5</v>
      </c>
      <c r="T197" s="2" t="str">
        <f t="shared" si="3"/>
        <v>kg CH4/head/day</v>
      </c>
    </row>
    <row r="198" spans="4:20" ht="20.100000000000001" customHeight="1" x14ac:dyDescent="0.25">
      <c r="D198" s="57" t="str">
        <f>'Input - Swine'!$D$33</f>
        <v>Pit storage</v>
      </c>
      <c r="E198" s="57" t="str">
        <f>'Input - Swine'!$D$80</f>
        <v>Anaerobic lagoon</v>
      </c>
      <c r="F198" s="52" cm="1">
        <f t="array" ref="F198">ManureManagement_Swine_Methane.VEERG_4_5_1_1__6_Stage2MethaneProduction(E$114,$G$131,F157,VLOOKUP($E198,$D$171:$E$176,2, FALSE),$G$134)</f>
        <v>9.4042521600000016E-4</v>
      </c>
      <c r="G198" s="52" cm="1">
        <f t="array" ref="G198">ManureManagement_Swine_Methane.VEERG_4_5_1_1__6_Stage2MethaneProduction(F$114,$G$131,G157,VLOOKUP($E198,$D$171:$E$176,2, FALSE),$G$134)</f>
        <v>1.3518612480000003E-3</v>
      </c>
      <c r="H198" s="52" cm="1">
        <f t="array" ref="H198">ManureManagement_Swine_Methane.VEERG_4_5_1_1__6_Stage2MethaneProduction(G$114,$G$131,H157,VLOOKUP($E198,$D$171:$E$176,2, FALSE),$G$134)</f>
        <v>1.6163558400000002E-3</v>
      </c>
      <c r="I198" s="52" cm="1">
        <f t="array" ref="I198">ManureManagement_Swine_Methane.VEERG_4_5_1_1__6_Stage2MethaneProduction(H$114,$G$131,I157,VLOOKUP($E198,$D$171:$E$176,2, FALSE),$G$134)</f>
        <v>1.146143232E-3</v>
      </c>
      <c r="J198" s="2" t="str">
        <f t="shared" si="2"/>
        <v>kg CH4/head/day</v>
      </c>
      <c r="N198" s="57" t="str">
        <f>'Input - Swine'!$D$33</f>
        <v>Pit storage</v>
      </c>
      <c r="O198" s="57" t="str">
        <f>'Input - Swine'!$D$80</f>
        <v>Anaerobic lagoon</v>
      </c>
      <c r="P198" s="52" cm="1">
        <f t="array" ref="P198">ManureManagement_Swine_Methane.VEERG_4_5_1_1__6_Stage2MethaneProduction(O$114,$G$131,F157,VLOOKUP($E198,$D$171:$E$176,2, FALSE),$G$134)</f>
        <v>9.4042521600000016E-4</v>
      </c>
      <c r="Q198" s="52" cm="1">
        <f t="array" ref="Q198">ManureManagement_Swine_Methane.VEERG_4_5_1_1__6_Stage2MethaneProduction(P$114,$G$131,G157,VLOOKUP($E198,$D$171:$E$176,2, FALSE),$G$134)</f>
        <v>1.3518612480000003E-3</v>
      </c>
      <c r="R198" s="52" cm="1">
        <f t="array" ref="R198">ManureManagement_Swine_Methane.VEERG_4_5_1_1__6_Stage2MethaneProduction(Q$114,$G$131,H157,VLOOKUP($E198,$D$171:$E$176,2, FALSE),$G$134)</f>
        <v>1.6163558400000002E-3</v>
      </c>
      <c r="S198" s="52" cm="1">
        <f t="array" ref="S198">ManureManagement_Swine_Methane.VEERG_4_5_1_1__6_Stage2MethaneProduction(R$114,$G$131,I157,VLOOKUP($E198,$D$171:$E$176,2, FALSE),$G$134)</f>
        <v>1.146143232E-3</v>
      </c>
      <c r="T198" s="2" t="str">
        <f t="shared" si="3"/>
        <v>kg CH4/head/day</v>
      </c>
    </row>
    <row r="199" spans="4:20" ht="20.100000000000001" customHeight="1" x14ac:dyDescent="0.25">
      <c r="D199" s="57"/>
      <c r="E199" s="57" t="str">
        <f>'Input - Swine'!$D$81</f>
        <v>Drylot (feed pad)</v>
      </c>
      <c r="F199" s="52" cm="1">
        <f t="array" ref="F199">ManureManagement_Swine_Methane.VEERG_4_5_1_1__6_Stage2MethaneProduction(E$114,$G$131,F158,VLOOKUP($E199,$D$171:$E$176,2, FALSE),$G$134)</f>
        <v>1.2374016000000001E-5</v>
      </c>
      <c r="G199" s="52" cm="1">
        <f t="array" ref="G199">ManureManagement_Swine_Methane.VEERG_4_5_1_1__6_Stage2MethaneProduction(F$114,$G$131,G158,VLOOKUP($E199,$D$171:$E$176,2, FALSE),$G$134)</f>
        <v>1.7787648000000004E-5</v>
      </c>
      <c r="H199" s="52" cm="1">
        <f t="array" ref="H199">ManureManagement_Swine_Methane.VEERG_4_5_1_1__6_Stage2MethaneProduction(G$114,$G$131,H158,VLOOKUP($E199,$D$171:$E$176,2, FALSE),$G$134)</f>
        <v>2.1267840000000003E-5</v>
      </c>
      <c r="I199" s="52" cm="1">
        <f t="array" ref="I199">ManureManagement_Swine_Methane.VEERG_4_5_1_1__6_Stage2MethaneProduction(H$114,$G$131,I158,VLOOKUP($E199,$D$171:$E$176,2, FALSE),$G$134)</f>
        <v>1.5080832000000002E-5</v>
      </c>
      <c r="J199" s="2" t="str">
        <f t="shared" si="2"/>
        <v>kg CH4/head/day</v>
      </c>
      <c r="N199" s="57"/>
      <c r="O199" s="57" t="str">
        <f>'Input - Swine'!$D$81</f>
        <v>Drylot (feed pad)</v>
      </c>
      <c r="P199" s="52" cm="1">
        <f t="array" ref="P199">ManureManagement_Swine_Methane.VEERG_4_5_1_1__6_Stage2MethaneProduction(O$114,$G$131,F158,VLOOKUP($E199,$D$171:$E$176,2, FALSE),$G$134)</f>
        <v>1.2374016000000001E-5</v>
      </c>
      <c r="Q199" s="52" cm="1">
        <f t="array" ref="Q199">ManureManagement_Swine_Methane.VEERG_4_5_1_1__6_Stage2MethaneProduction(P$114,$G$131,G158,VLOOKUP($E199,$D$171:$E$176,2, FALSE),$G$134)</f>
        <v>1.7787648000000004E-5</v>
      </c>
      <c r="R199" s="52" cm="1">
        <f t="array" ref="R199">ManureManagement_Swine_Methane.VEERG_4_5_1_1__6_Stage2MethaneProduction(Q$114,$G$131,H158,VLOOKUP($E199,$D$171:$E$176,2, FALSE),$G$134)</f>
        <v>2.1267840000000003E-5</v>
      </c>
      <c r="S199" s="52" cm="1">
        <f t="array" ref="S199">ManureManagement_Swine_Methane.VEERG_4_5_1_1__6_Stage2MethaneProduction(R$114,$G$131,I158,VLOOKUP($E199,$D$171:$E$176,2, FALSE),$G$134)</f>
        <v>1.5080832000000002E-5</v>
      </c>
      <c r="T199" s="2" t="str">
        <f t="shared" si="3"/>
        <v>kg CH4/head/day</v>
      </c>
    </row>
    <row r="200" spans="4:20" ht="20.100000000000001" customHeight="1" x14ac:dyDescent="0.25">
      <c r="D200" s="57"/>
      <c r="E200" s="57" t="str">
        <f>'Input - Swine'!$D$82</f>
        <v>Digester / covered lagoons</v>
      </c>
      <c r="F200" s="52" cm="1">
        <f t="array" ref="F200">ManureManagement_Swine_Methane.VEERG_4_5_1_1__6_Stage2MethaneProduction(E$114,$G$131,F159,VLOOKUP($E200,$D$171:$E$176,2, FALSE),$G$134)</f>
        <v>1.2374016000000002E-4</v>
      </c>
      <c r="G200" s="52" cm="1">
        <f t="array" ref="G200">ManureManagement_Swine_Methane.VEERG_4_5_1_1__6_Stage2MethaneProduction(F$114,$G$131,G159,VLOOKUP($E200,$D$171:$E$176,2, FALSE),$G$134)</f>
        <v>1.7787648000000002E-4</v>
      </c>
      <c r="H200" s="52" cm="1">
        <f t="array" ref="H200">ManureManagement_Swine_Methane.VEERG_4_5_1_1__6_Stage2MethaneProduction(G$114,$G$131,H159,VLOOKUP($E200,$D$171:$E$176,2, FALSE),$G$134)</f>
        <v>2.1267840000000003E-4</v>
      </c>
      <c r="I200" s="52" cm="1">
        <f t="array" ref="I200">ManureManagement_Swine_Methane.VEERG_4_5_1_1__6_Stage2MethaneProduction(H$114,$G$131,I159,VLOOKUP($E200,$D$171:$E$176,2, FALSE),$G$134)</f>
        <v>1.5080832000000002E-4</v>
      </c>
      <c r="J200" s="2" t="str">
        <f t="shared" si="2"/>
        <v>kg CH4/head/day</v>
      </c>
      <c r="N200" s="57"/>
      <c r="O200" s="57" t="str">
        <f>'Input - Swine'!$D$82</f>
        <v>Digester / covered lagoons</v>
      </c>
      <c r="P200" s="52" cm="1">
        <f t="array" ref="P200">ManureManagement_Swine_Methane.VEERG_4_5_1_1__6_Stage2MethaneProduction(O$114,$G$131,F159,VLOOKUP($E200,$D$171:$E$176,2, FALSE),$G$134)</f>
        <v>1.2374016000000002E-4</v>
      </c>
      <c r="Q200" s="52" cm="1">
        <f t="array" ref="Q200">ManureManagement_Swine_Methane.VEERG_4_5_1_1__6_Stage2MethaneProduction(P$114,$G$131,G159,VLOOKUP($E200,$D$171:$E$176,2, FALSE),$G$134)</f>
        <v>1.7787648000000002E-4</v>
      </c>
      <c r="R200" s="52" cm="1">
        <f t="array" ref="R200">ManureManagement_Swine_Methane.VEERG_4_5_1_1__6_Stage2MethaneProduction(Q$114,$G$131,H159,VLOOKUP($E200,$D$171:$E$176,2, FALSE),$G$134)</f>
        <v>2.1267840000000003E-4</v>
      </c>
      <c r="S200" s="52" cm="1">
        <f t="array" ref="S200">ManureManagement_Swine_Methane.VEERG_4_5_1_1__6_Stage2MethaneProduction(R$114,$G$131,I159,VLOOKUP($E200,$D$171:$E$176,2, FALSE),$G$134)</f>
        <v>1.5080832000000002E-4</v>
      </c>
      <c r="T200" s="2" t="str">
        <f t="shared" si="3"/>
        <v>kg CH4/head/day</v>
      </c>
    </row>
    <row r="201" spans="4:20" ht="20.100000000000001" customHeight="1" x14ac:dyDescent="0.25">
      <c r="D201" s="57"/>
      <c r="E201" s="57" t="str">
        <f>'Input - Swine'!$D$83</f>
        <v>Deep litter</v>
      </c>
      <c r="F201" s="52" cm="1">
        <f t="array" ref="F201">ManureManagement_Swine_Methane.VEERG_4_5_1_1__6_Stage2MethaneProduction(E$114,$G$131,F160,VLOOKUP($E201,$D$171:$E$176,2, FALSE),$G$134)</f>
        <v>4.9496064000000004E-5</v>
      </c>
      <c r="G201" s="52" cm="1">
        <f t="array" ref="G201">ManureManagement_Swine_Methane.VEERG_4_5_1_1__6_Stage2MethaneProduction(F$114,$G$131,G160,VLOOKUP($E201,$D$171:$E$176,2, FALSE),$G$134)</f>
        <v>7.1150592000000014E-5</v>
      </c>
      <c r="H201" s="52" cm="1">
        <f t="array" ref="H201">ManureManagement_Swine_Methane.VEERG_4_5_1_1__6_Stage2MethaneProduction(G$114,$G$131,H160,VLOOKUP($E201,$D$171:$E$176,2, FALSE),$G$134)</f>
        <v>8.5071360000000011E-5</v>
      </c>
      <c r="I201" s="52" cm="1">
        <f t="array" ref="I201">ManureManagement_Swine_Methane.VEERG_4_5_1_1__6_Stage2MethaneProduction(H$114,$G$131,I160,VLOOKUP($E201,$D$171:$E$176,2, FALSE),$G$134)</f>
        <v>6.0323328000000009E-5</v>
      </c>
      <c r="J201" s="2" t="str">
        <f t="shared" si="2"/>
        <v>kg CH4/head/day</v>
      </c>
      <c r="N201" s="57"/>
      <c r="O201" s="57" t="str">
        <f>'Input - Swine'!$D$83</f>
        <v>Deep litter</v>
      </c>
      <c r="P201" s="52" cm="1">
        <f t="array" ref="P201">ManureManagement_Swine_Methane.VEERG_4_5_1_1__6_Stage2MethaneProduction(O$114,$G$131,F160,VLOOKUP($E201,$D$171:$E$176,2, FALSE),$G$134)</f>
        <v>4.9496064000000004E-5</v>
      </c>
      <c r="Q201" s="52" cm="1">
        <f t="array" ref="Q201">ManureManagement_Swine_Methane.VEERG_4_5_1_1__6_Stage2MethaneProduction(P$114,$G$131,G160,VLOOKUP($E201,$D$171:$E$176,2, FALSE),$G$134)</f>
        <v>7.1150592000000014E-5</v>
      </c>
      <c r="R201" s="52" cm="1">
        <f t="array" ref="R201">ManureManagement_Swine_Methane.VEERG_4_5_1_1__6_Stage2MethaneProduction(Q$114,$G$131,H160,VLOOKUP($E201,$D$171:$E$176,2, FALSE),$G$134)</f>
        <v>8.5071360000000011E-5</v>
      </c>
      <c r="S201" s="52" cm="1">
        <f t="array" ref="S201">ManureManagement_Swine_Methane.VEERG_4_5_1_1__6_Stage2MethaneProduction(R$114,$G$131,I160,VLOOKUP($E201,$D$171:$E$176,2, FALSE),$G$134)</f>
        <v>6.0323328000000009E-5</v>
      </c>
      <c r="T201" s="2" t="str">
        <f t="shared" si="3"/>
        <v>kg CH4/head/day</v>
      </c>
    </row>
    <row r="202" spans="4:20" ht="20.100000000000001" customHeight="1" x14ac:dyDescent="0.25">
      <c r="D202" s="57" t="str">
        <f>'Input - Swine'!$D$34</f>
        <v>Solid storage</v>
      </c>
      <c r="E202" s="57" t="str">
        <f>'Input - Swine'!$D$88</f>
        <v>Anaerobic lagoon</v>
      </c>
      <c r="F202" s="52" cm="1">
        <f t="array" ref="F202">ManureManagement_Swine_Methane.VEERG_4_5_1_1__6_Stage2MethaneProduction(E$115,$G$131,F161,VLOOKUP($E202,$D$171:$E$176,2, FALSE),$G$134)</f>
        <v>3.134750720000001E-3</v>
      </c>
      <c r="G202" s="52" cm="1">
        <f t="array" ref="G202">ManureManagement_Swine_Methane.VEERG_4_5_1_1__6_Stage2MethaneProduction(F$115,$G$131,G161,VLOOKUP($E202,$D$171:$E$176,2, FALSE),$G$134)</f>
        <v>3.6049633280000022E-3</v>
      </c>
      <c r="H202" s="52" cm="1">
        <f t="array" ref="H202">ManureManagement_Swine_Methane.VEERG_4_5_1_1__6_Stage2MethaneProduction(G$115,$G$131,H161,VLOOKUP($E202,$D$171:$E$176,2, FALSE),$G$134)</f>
        <v>4.310282240000002E-3</v>
      </c>
      <c r="I202" s="52" cm="1">
        <f t="array" ref="I202">ManureManagement_Swine_Methane.VEERG_4_5_1_1__6_Stage2MethaneProduction(H$115,$G$131,I161,VLOOKUP($E202,$D$171:$E$176,2, FALSE),$G$134)</f>
        <v>3.0563819520000013E-3</v>
      </c>
      <c r="J202" s="2" t="str">
        <f t="shared" si="2"/>
        <v>kg CH4/head/day</v>
      </c>
      <c r="N202" s="57" t="str">
        <f>'Input - Swine'!$D$34</f>
        <v>Solid storage</v>
      </c>
      <c r="O202" s="57" t="str">
        <f>'Input - Swine'!$D$88</f>
        <v>Anaerobic lagoon</v>
      </c>
      <c r="P202" s="52" cm="1">
        <f t="array" ref="P202">ManureManagement_Swine_Methane.VEERG_4_5_1_1__6_Stage2MethaneProduction(O$115,$G$131,F161,VLOOKUP($E202,$D$171:$E$176,2, FALSE),$G$134)</f>
        <v>3.134750720000001E-3</v>
      </c>
      <c r="Q202" s="52" cm="1">
        <f t="array" ref="Q202">ManureManagement_Swine_Methane.VEERG_4_5_1_1__6_Stage2MethaneProduction(P$115,$G$131,G161,VLOOKUP($E202,$D$171:$E$176,2, FALSE),$G$134)</f>
        <v>3.6049633280000022E-3</v>
      </c>
      <c r="R202" s="52" cm="1">
        <f t="array" ref="R202">ManureManagement_Swine_Methane.VEERG_4_5_1_1__6_Stage2MethaneProduction(Q$115,$G$131,H161,VLOOKUP($E202,$D$171:$E$176,2, FALSE),$G$134)</f>
        <v>4.310282240000002E-3</v>
      </c>
      <c r="S202" s="52" cm="1">
        <f t="array" ref="S202">ManureManagement_Swine_Methane.VEERG_4_5_1_1__6_Stage2MethaneProduction(R$115,$G$131,I161,VLOOKUP($E202,$D$171:$E$176,2, FALSE),$G$134)</f>
        <v>3.0563819520000013E-3</v>
      </c>
      <c r="T202" s="2" t="str">
        <f t="shared" si="3"/>
        <v>kg CH4/head/day</v>
      </c>
    </row>
    <row r="203" spans="4:20" ht="20.100000000000001" customHeight="1" x14ac:dyDescent="0.25">
      <c r="D203" s="57"/>
      <c r="E203" s="57" t="str">
        <f>'Input - Swine'!$D$89</f>
        <v>Drylot (feed pad)</v>
      </c>
      <c r="F203" s="52" cm="1">
        <f t="array" ref="F203">ManureManagement_Swine_Methane.VEERG_4_5_1_1__6_Stage2MethaneProduction(E$115,$G$131,F162,VLOOKUP($E203,$D$171:$E$176,2, FALSE),$G$134)</f>
        <v>4.1246720000000014E-5</v>
      </c>
      <c r="G203" s="52" cm="1">
        <f t="array" ref="G203">ManureManagement_Swine_Methane.VEERG_4_5_1_1__6_Stage2MethaneProduction(F$115,$G$131,G162,VLOOKUP($E203,$D$171:$E$176,2, FALSE),$G$134)</f>
        <v>4.7433728000000037E-5</v>
      </c>
      <c r="H203" s="52" cm="1">
        <f t="array" ref="H203">ManureManagement_Swine_Methane.VEERG_4_5_1_1__6_Stage2MethaneProduction(G$115,$G$131,H162,VLOOKUP($E203,$D$171:$E$176,2, FALSE),$G$134)</f>
        <v>5.6714240000000037E-5</v>
      </c>
      <c r="I203" s="52" cm="1">
        <f t="array" ref="I203">ManureManagement_Swine_Methane.VEERG_4_5_1_1__6_Stage2MethaneProduction(H$115,$G$131,I162,VLOOKUP($E203,$D$171:$E$176,2, FALSE),$G$134)</f>
        <v>4.0215552000000017E-5</v>
      </c>
      <c r="J203" s="2" t="str">
        <f t="shared" si="2"/>
        <v>kg CH4/head/day</v>
      </c>
      <c r="N203" s="57"/>
      <c r="O203" s="57" t="str">
        <f>'Input - Swine'!$D$89</f>
        <v>Drylot (feed pad)</v>
      </c>
      <c r="P203" s="52" cm="1">
        <f t="array" ref="P203">ManureManagement_Swine_Methane.VEERG_4_5_1_1__6_Stage2MethaneProduction(O$115,$G$131,F162,VLOOKUP($E203,$D$171:$E$176,2, FALSE),$G$134)</f>
        <v>4.1246720000000014E-5</v>
      </c>
      <c r="Q203" s="52" cm="1">
        <f t="array" ref="Q203">ManureManagement_Swine_Methane.VEERG_4_5_1_1__6_Stage2MethaneProduction(P$115,$G$131,G162,VLOOKUP($E203,$D$171:$E$176,2, FALSE),$G$134)</f>
        <v>4.7433728000000037E-5</v>
      </c>
      <c r="R203" s="52" cm="1">
        <f t="array" ref="R203">ManureManagement_Swine_Methane.VEERG_4_5_1_1__6_Stage2MethaneProduction(Q$115,$G$131,H162,VLOOKUP($E203,$D$171:$E$176,2, FALSE),$G$134)</f>
        <v>5.6714240000000037E-5</v>
      </c>
      <c r="S203" s="52" cm="1">
        <f t="array" ref="S203">ManureManagement_Swine_Methane.VEERG_4_5_1_1__6_Stage2MethaneProduction(R$115,$G$131,I162,VLOOKUP($E203,$D$171:$E$176,2, FALSE),$G$134)</f>
        <v>4.0215552000000017E-5</v>
      </c>
      <c r="T203" s="2" t="str">
        <f t="shared" si="3"/>
        <v>kg CH4/head/day</v>
      </c>
    </row>
    <row r="204" spans="4:20" ht="20.100000000000001" customHeight="1" x14ac:dyDescent="0.25">
      <c r="D204" s="57"/>
      <c r="E204" s="57" t="str">
        <f>'Input - Swine'!$D$90</f>
        <v>Digester / covered lagoons</v>
      </c>
      <c r="F204" s="52" cm="1">
        <f t="array" ref="F204">ManureManagement_Swine_Methane.VEERG_4_5_1_1__6_Stage2MethaneProduction(E$115,$G$131,F163,VLOOKUP($E204,$D$171:$E$176,2, FALSE),$G$134)</f>
        <v>4.124672000000002E-4</v>
      </c>
      <c r="G204" s="52" cm="1">
        <f t="array" ref="G204">ManureManagement_Swine_Methane.VEERG_4_5_1_1__6_Stage2MethaneProduction(F$115,$G$131,G163,VLOOKUP($E204,$D$171:$E$176,2, FALSE),$G$134)</f>
        <v>4.7433728000000037E-4</v>
      </c>
      <c r="H204" s="52" cm="1">
        <f t="array" ref="H204">ManureManagement_Swine_Methane.VEERG_4_5_1_1__6_Stage2MethaneProduction(G$115,$G$131,H163,VLOOKUP($E204,$D$171:$E$176,2, FALSE),$G$134)</f>
        <v>5.6714240000000032E-4</v>
      </c>
      <c r="I204" s="52" cm="1">
        <f t="array" ref="I204">ManureManagement_Swine_Methane.VEERG_4_5_1_1__6_Stage2MethaneProduction(H$115,$G$131,I163,VLOOKUP($E204,$D$171:$E$176,2, FALSE),$G$134)</f>
        <v>4.0215552000000021E-4</v>
      </c>
      <c r="J204" s="2" t="str">
        <f t="shared" si="2"/>
        <v>kg CH4/head/day</v>
      </c>
      <c r="N204" s="57"/>
      <c r="O204" s="57" t="str">
        <f>'Input - Swine'!$D$90</f>
        <v>Digester / covered lagoons</v>
      </c>
      <c r="P204" s="52" cm="1">
        <f t="array" ref="P204">ManureManagement_Swine_Methane.VEERG_4_5_1_1__6_Stage2MethaneProduction(O$115,$G$131,F163,VLOOKUP($E204,$D$171:$E$176,2, FALSE),$G$134)</f>
        <v>4.124672000000002E-4</v>
      </c>
      <c r="Q204" s="52" cm="1">
        <f t="array" ref="Q204">ManureManagement_Swine_Methane.VEERG_4_5_1_1__6_Stage2MethaneProduction(P$115,$G$131,G163,VLOOKUP($E204,$D$171:$E$176,2, FALSE),$G$134)</f>
        <v>4.7433728000000037E-4</v>
      </c>
      <c r="R204" s="52" cm="1">
        <f t="array" ref="R204">ManureManagement_Swine_Methane.VEERG_4_5_1_1__6_Stage2MethaneProduction(Q$115,$G$131,H163,VLOOKUP($E204,$D$171:$E$176,2, FALSE),$G$134)</f>
        <v>5.6714240000000032E-4</v>
      </c>
      <c r="S204" s="52" cm="1">
        <f t="array" ref="S204">ManureManagement_Swine_Methane.VEERG_4_5_1_1__6_Stage2MethaneProduction(R$115,$G$131,I163,VLOOKUP($E204,$D$171:$E$176,2, FALSE),$G$134)</f>
        <v>4.0215552000000021E-4</v>
      </c>
      <c r="T204" s="2" t="str">
        <f t="shared" si="3"/>
        <v>kg CH4/head/day</v>
      </c>
    </row>
    <row r="205" spans="4:20" ht="20.100000000000001" customHeight="1" x14ac:dyDescent="0.25">
      <c r="D205" s="57"/>
      <c r="E205" s="57" t="str">
        <f>'Input - Swine'!$D$91</f>
        <v>Deep litter</v>
      </c>
      <c r="F205" s="52" cm="1">
        <f t="array" ref="F205">ManureManagement_Swine_Methane.VEERG_4_5_1_1__6_Stage2MethaneProduction(E$115,$G$131,F164,VLOOKUP($E205,$D$171:$E$176,2, FALSE),$G$134)</f>
        <v>1.6498688000000006E-4</v>
      </c>
      <c r="G205" s="52" cm="1">
        <f t="array" ref="G205">ManureManagement_Swine_Methane.VEERG_4_5_1_1__6_Stage2MethaneProduction(F$115,$G$131,G164,VLOOKUP($E205,$D$171:$E$176,2, FALSE),$G$134)</f>
        <v>1.8973491200000015E-4</v>
      </c>
      <c r="H205" s="52" cm="1">
        <f t="array" ref="H205">ManureManagement_Swine_Methane.VEERG_4_5_1_1__6_Stage2MethaneProduction(G$115,$G$131,H164,VLOOKUP($E205,$D$171:$E$176,2, FALSE),$G$134)</f>
        <v>2.2685696000000015E-4</v>
      </c>
      <c r="I205" s="52" cm="1">
        <f t="array" ref="I205">ManureManagement_Swine_Methane.VEERG_4_5_1_1__6_Stage2MethaneProduction(H$115,$G$131,I164,VLOOKUP($E205,$D$171:$E$176,2, FALSE),$G$134)</f>
        <v>1.6086220800000007E-4</v>
      </c>
      <c r="J205" s="2" t="str">
        <f t="shared" si="2"/>
        <v>kg CH4/head/day</v>
      </c>
      <c r="N205" s="57"/>
      <c r="O205" s="57" t="str">
        <f>'Input - Swine'!$D$91</f>
        <v>Deep litter</v>
      </c>
      <c r="P205" s="52" cm="1">
        <f t="array" ref="P205">ManureManagement_Swine_Methane.VEERG_4_5_1_1__6_Stage2MethaneProduction(O$115,$G$131,F164,VLOOKUP($E205,$D$171:$E$176,2, FALSE),$G$134)</f>
        <v>1.6498688000000006E-4</v>
      </c>
      <c r="Q205" s="52" cm="1">
        <f t="array" ref="Q205">ManureManagement_Swine_Methane.VEERG_4_5_1_1__6_Stage2MethaneProduction(P$115,$G$131,G164,VLOOKUP($E205,$D$171:$E$176,2, FALSE),$G$134)</f>
        <v>1.8973491200000015E-4</v>
      </c>
      <c r="R205" s="52" cm="1">
        <f t="array" ref="R205">ManureManagement_Swine_Methane.VEERG_4_5_1_1__6_Stage2MethaneProduction(Q$115,$G$131,H164,VLOOKUP($E205,$D$171:$E$176,2, FALSE),$G$134)</f>
        <v>2.2685696000000015E-4</v>
      </c>
      <c r="S205" s="52" cm="1">
        <f t="array" ref="S205">ManureManagement_Swine_Methane.VEERG_4_5_1_1__6_Stage2MethaneProduction(R$115,$G$131,I164,VLOOKUP($E205,$D$171:$E$176,2, FALSE),$G$134)</f>
        <v>1.6086220800000007E-4</v>
      </c>
      <c r="T205" s="2" t="str">
        <f t="shared" si="3"/>
        <v>kg CH4/head/day</v>
      </c>
    </row>
    <row r="206" spans="4:20" ht="20.100000000000001" customHeight="1" x14ac:dyDescent="0.25">
      <c r="D206" s="57"/>
      <c r="E206" s="57" t="str">
        <f>'Input - Swine'!$D$92</f>
        <v>Pit storage</v>
      </c>
      <c r="F206" s="52" cm="1">
        <f t="array" ref="F206">ManureManagement_Swine_Methane.VEERG_4_5_1_1__6_Stage2MethaneProduction(E$115,$G$131,F165,VLOOKUP($E206,$D$171:$E$176,2, FALSE),$G$134)</f>
        <v>6.1870080000000021E-5</v>
      </c>
      <c r="G206" s="52" cm="1">
        <f t="array" ref="G206">ManureManagement_Swine_Methane.VEERG_4_5_1_1__6_Stage2MethaneProduction(F$115,$G$131,G165,VLOOKUP($E206,$D$171:$E$176,2, FALSE),$G$134)</f>
        <v>7.1150592000000042E-5</v>
      </c>
      <c r="H206" s="52" cm="1">
        <f t="array" ref="H206">ManureManagement_Swine_Methane.VEERG_4_5_1_1__6_Stage2MethaneProduction(G$115,$G$131,H165,VLOOKUP($E206,$D$171:$E$176,2, FALSE),$G$134)</f>
        <v>8.5071360000000051E-5</v>
      </c>
      <c r="I206" s="52" cm="1">
        <f t="array" ref="I206">ManureManagement_Swine_Methane.VEERG_4_5_1_1__6_Stage2MethaneProduction(H$115,$G$131,I165,VLOOKUP($E206,$D$171:$E$176,2, FALSE),$G$134)</f>
        <v>6.0323328000000023E-5</v>
      </c>
      <c r="J206" s="2" t="str">
        <f t="shared" si="2"/>
        <v>kg CH4/head/day</v>
      </c>
      <c r="N206" s="57"/>
      <c r="O206" s="57" t="str">
        <f>'Input - Swine'!$D$92</f>
        <v>Pit storage</v>
      </c>
      <c r="P206" s="52" cm="1">
        <f t="array" ref="P206">ManureManagement_Swine_Methane.VEERG_4_5_1_1__6_Stage2MethaneProduction(O$115,$G$131,F165,VLOOKUP($E206,$D$171:$E$176,2, FALSE),$G$134)</f>
        <v>6.1870080000000021E-5</v>
      </c>
      <c r="Q206" s="52" cm="1">
        <f t="array" ref="Q206">ManureManagement_Swine_Methane.VEERG_4_5_1_1__6_Stage2MethaneProduction(P$115,$G$131,G165,VLOOKUP($E206,$D$171:$E$176,2, FALSE),$G$134)</f>
        <v>7.1150592000000042E-5</v>
      </c>
      <c r="R206" s="52" cm="1">
        <f t="array" ref="R206">ManureManagement_Swine_Methane.VEERG_4_5_1_1__6_Stage2MethaneProduction(Q$115,$G$131,H165,VLOOKUP($E206,$D$171:$E$176,2, FALSE),$G$134)</f>
        <v>8.5071360000000051E-5</v>
      </c>
      <c r="S206" s="52" cm="1">
        <f t="array" ref="S206">ManureManagement_Swine_Methane.VEERG_4_5_1_1__6_Stage2MethaneProduction(R$115,$G$131,I165,VLOOKUP($E206,$D$171:$E$176,2, FALSE),$G$134)</f>
        <v>6.0323328000000023E-5</v>
      </c>
      <c r="T206" s="2" t="str">
        <f t="shared" si="3"/>
        <v>kg CH4/head/day</v>
      </c>
    </row>
    <row r="207" spans="4:20" ht="20.100000000000001" customHeight="1" x14ac:dyDescent="0.25"/>
    <row r="208" spans="4:20" ht="20.100000000000001" customHeight="1" x14ac:dyDescent="0.25"/>
    <row r="209" spans="3:10" ht="20.100000000000001" customHeight="1" x14ac:dyDescent="0.25">
      <c r="C209" s="45"/>
      <c r="D209" s="45"/>
      <c r="E209" s="45"/>
      <c r="F209" s="45"/>
      <c r="G209" s="45"/>
      <c r="H209" s="45"/>
      <c r="I209" s="45"/>
      <c r="J209" s="45"/>
    </row>
    <row r="210" spans="3:10" ht="20.100000000000001" customHeight="1" x14ac:dyDescent="0.25">
      <c r="D210" s="6" t="str" cm="1">
        <f t="array" ref="D210">ManureManagement_Swine_Methane.VEERG_4_5_1_1__3_Stage1MethaneProduction_Title()</f>
        <v>Production of methane in treatment stage 1 MMS</v>
      </c>
    </row>
    <row r="211" spans="3:10" ht="20.100000000000001" customHeight="1" x14ac:dyDescent="0.25">
      <c r="D211" s="5" t="str" cm="1">
        <f t="array" ref="D211">ManureManagement_Swine_Methane.VEERG_4_5_1_1__3_Stage1MethaneProduction_Source()</f>
        <v>VEERG 2026: 4.5.1.1, Equation (3)</v>
      </c>
    </row>
    <row r="212" spans="3:10" ht="20.100000000000001" customHeight="1" x14ac:dyDescent="0.25">
      <c r="D212" s="13" t="s">
        <v>26</v>
      </c>
      <c r="E212" s="13" t="str" cm="1">
        <f t="array" aca="1" ref="E212" ca="1">Common_InputFunctions.Utility_DisplayFunctionName(E230)</f>
        <v>=ManureManagement_Swine_Methane.VEERG_4_5_1_1__3_Stage1MethaneProduction</v>
      </c>
    </row>
    <row r="213" spans="3:10" ht="20.100000000000001" customHeight="1" x14ac:dyDescent="0.25"/>
    <row r="214" spans="3:10" ht="20.100000000000001" customHeight="1" x14ac:dyDescent="0.25">
      <c r="D214" s="6"/>
    </row>
    <row r="215" spans="3:10" ht="20.100000000000001" customHeight="1" x14ac:dyDescent="0.25"/>
    <row r="216" spans="3:10" ht="20.100000000000001" customHeight="1" x14ac:dyDescent="0.25">
      <c r="D216" s="53" t="s">
        <v>29</v>
      </c>
      <c r="E216" s="1" t="str" cm="1">
        <f t="array" ref="E216">ManureManagement_Swine_Methane.VEERG_4_5_1_1__3_Stage1MethaneProduction_Variable()</f>
        <v>MijmT1</v>
      </c>
    </row>
    <row r="217" spans="3:10" ht="20.100000000000001" customHeight="1" x14ac:dyDescent="0.25">
      <c r="D217" s="53" t="s">
        <v>19</v>
      </c>
      <c r="E217" s="54" t="str" cm="1">
        <f t="array" ref="E217">ManureManagement_Swine_Methane.VEERG_4_5_1_1__3_Stage1MethaneProduction_Unit()</f>
        <v>kg CH4/head/day</v>
      </c>
    </row>
    <row r="218" spans="3:10" ht="20.100000000000001" customHeight="1" x14ac:dyDescent="0.25"/>
    <row r="219" spans="3:10" ht="20.100000000000001" customHeight="1" x14ac:dyDescent="0.25">
      <c r="D219" s="57" t="str" cm="1">
        <f t="array" ref="D219:E223">ManureManagement_Swine_Methane.VEERG_4_5_1_1__3_Stage1MethaneProduction_Arguments()</f>
        <v>VSj</v>
      </c>
      <c r="E219" s="58" t="str">
        <v>volatile solid production from swine in each class : kg/head/day</v>
      </c>
      <c r="F219" s="59"/>
      <c r="G219" s="58" t="str">
        <f>"See " &amp; $D$90</f>
        <v>See M1_Table_VS_j</v>
      </c>
      <c r="H219" s="59"/>
    </row>
    <row r="220" spans="3:10" ht="20.100000000000001" customHeight="1" x14ac:dyDescent="0.25">
      <c r="D220" s="57" t="str">
        <v>FVSjmT1</v>
      </c>
      <c r="E220" s="58" t="str">
        <v>fraction of volatile solids in each primary system : fraction</v>
      </c>
      <c r="F220" s="59"/>
      <c r="G220" s="58" t="str">
        <f>"See " &amp; $D$36 &amp; " and " &amp; $D$69</f>
        <v>See M1_Table_FVS_j_m_T-1 and M1_Table_FVS_j_m-4_T-1</v>
      </c>
      <c r="H220" s="59"/>
    </row>
    <row r="221" spans="3:10" ht="20.100000000000001" customHeight="1" x14ac:dyDescent="0.25">
      <c r="D221" s="57" t="str">
        <v>MCFim</v>
      </c>
      <c r="E221" s="58" t="str">
        <v>methane conversion factor for temperate zone and system : fraction</v>
      </c>
      <c r="F221" s="59"/>
      <c r="G221" s="58" t="str">
        <f>"See " &amp; $D$167</f>
        <v>See M1_Table_MCF_i_m</v>
      </c>
      <c r="H221" s="59"/>
    </row>
    <row r="222" spans="3:10" ht="20.100000000000001" customHeight="1" x14ac:dyDescent="0.25">
      <c r="D222" s="57" t="str">
        <v>BO</v>
      </c>
      <c r="E222" s="58" t="str">
        <v>emissions potential : m3 CH4/kg VS</v>
      </c>
      <c r="F222" s="59"/>
      <c r="G222" s="58">
        <f>'Constants - Swine'!$E$21</f>
        <v>0.19</v>
      </c>
      <c r="H222" s="59"/>
    </row>
    <row r="223" spans="3:10" ht="20.100000000000001" customHeight="1" x14ac:dyDescent="0.25">
      <c r="D223" s="57" t="str">
        <v>rho</v>
      </c>
      <c r="E223" s="58" t="str">
        <v>density of methane : kg/m3</v>
      </c>
      <c r="F223" s="59"/>
      <c r="G223" s="58">
        <f>'Constants - Common'!$D$175</f>
        <v>0.6784</v>
      </c>
      <c r="H223" s="59"/>
    </row>
    <row r="224" spans="3:10" ht="20.100000000000001" customHeight="1" x14ac:dyDescent="0.25"/>
    <row r="225" spans="3:19" ht="20.100000000000001" customHeight="1" x14ac:dyDescent="0.25"/>
    <row r="226" spans="3:19" ht="20.100000000000001" customHeight="1" x14ac:dyDescent="0.25">
      <c r="D226" s="121" t="s">
        <v>282</v>
      </c>
      <c r="N226" s="121" t="s">
        <v>280</v>
      </c>
    </row>
    <row r="227" spans="3:19" ht="20.100000000000001" customHeight="1" x14ac:dyDescent="0.25">
      <c r="D227" s="122" t="s">
        <v>283</v>
      </c>
      <c r="N227" s="122" t="s">
        <v>281</v>
      </c>
    </row>
    <row r="228" spans="3:19" ht="20.100000000000001" customHeight="1" x14ac:dyDescent="0.25">
      <c r="E228" s="51" t="s">
        <v>146</v>
      </c>
      <c r="F228" s="51" t="s">
        <v>147</v>
      </c>
      <c r="G228" s="51" t="s">
        <v>148</v>
      </c>
      <c r="H228" s="51" t="s">
        <v>266</v>
      </c>
      <c r="O228" s="51" t="s">
        <v>146</v>
      </c>
      <c r="P228" s="51" t="s">
        <v>147</v>
      </c>
      <c r="Q228" s="51" t="s">
        <v>148</v>
      </c>
      <c r="R228" s="51" t="s">
        <v>266</v>
      </c>
    </row>
    <row r="229" spans="3:19" ht="20.100000000000001" customHeight="1" x14ac:dyDescent="0.25">
      <c r="D229" s="51" t="s">
        <v>172</v>
      </c>
      <c r="E229" s="51" t="s">
        <v>219</v>
      </c>
      <c r="F229" s="51" t="s">
        <v>220</v>
      </c>
      <c r="G229" s="51" t="s">
        <v>221</v>
      </c>
      <c r="H229" s="51" t="s">
        <v>222</v>
      </c>
      <c r="N229" s="51" t="s">
        <v>172</v>
      </c>
      <c r="O229" s="51" t="s">
        <v>219</v>
      </c>
      <c r="P229" s="51" t="s">
        <v>220</v>
      </c>
      <c r="Q229" s="51" t="s">
        <v>221</v>
      </c>
      <c r="R229" s="51" t="s">
        <v>222</v>
      </c>
    </row>
    <row r="230" spans="3:19" ht="20.100000000000001" customHeight="1" x14ac:dyDescent="0.25">
      <c r="D230" s="57" t="str">
        <f>'Input - Swine'!$D$29</f>
        <v>Anaerobic lagoon</v>
      </c>
      <c r="E230" s="52" cm="1">
        <f t="array" ref="E230">ManureManagement_Swine_Methane.VEERG_4_5_1_1__3_Stage1MethaneProduction(D$94,E40,VLOOKUP($D230, $D$171:$E$176, 2, FALSE),$G$222,$G$223)</f>
        <v>4.7021260799999997E-3</v>
      </c>
      <c r="F230" s="52" cm="1">
        <f t="array" ref="F230">ManureManagement_Swine_Methane.VEERG_4_5_1_1__3_Stage1MethaneProduction(E$94,F40,VLOOKUP($D230, $D$171:$E$176, 2, FALSE),$G$222,$G$223)</f>
        <v>5.4074449920000012E-3</v>
      </c>
      <c r="G230" s="52" cm="1">
        <f t="array" ref="G230">ManureManagement_Swine_Methane.VEERG_4_5_1_1__3_Stage1MethaneProduction(F$94,G40,VLOOKUP($D230, $D$171:$E$176, 2, FALSE),$G$222,$G$223)</f>
        <v>6.4654233600000008E-3</v>
      </c>
      <c r="H230" s="52" cm="1">
        <f t="array" ref="H230">ManureManagement_Swine_Methane.VEERG_4_5_1_1__3_Stage1MethaneProduction(G$94,H40,VLOOKUP($D230, $D$171:$E$176, 2, FALSE),$G$222,$G$223)</f>
        <v>4.5845729280000001E-3</v>
      </c>
      <c r="I230" s="2" t="str">
        <f>$E$217</f>
        <v>kg CH4/head/day</v>
      </c>
      <c r="N230" s="57" t="str">
        <f>'Input - Swine'!$D$29</f>
        <v>Anaerobic lagoon</v>
      </c>
      <c r="O230" s="52" cm="1">
        <f t="array" ref="O230">ManureManagement_Swine_Methane.VEERG_4_5_1_1__3_Stage1MethaneProduction(N$94,O40,VLOOKUP($D230, $D$171:$E$176, 2, FALSE),$G$222,$G$223)</f>
        <v>4.7021260799999997E-3</v>
      </c>
      <c r="P230" s="52" cm="1">
        <f t="array" ref="P230">ManureManagement_Swine_Methane.VEERG_4_5_1_1__3_Stage1MethaneProduction(O$94,P40,VLOOKUP($D230, $D$171:$E$176, 2, FALSE),$G$222,$G$223)</f>
        <v>5.4074449920000012E-3</v>
      </c>
      <c r="Q230" s="52" cm="1">
        <f t="array" ref="Q230">ManureManagement_Swine_Methane.VEERG_4_5_1_1__3_Stage1MethaneProduction(P$94,Q40,VLOOKUP($D230, $D$171:$E$176, 2, FALSE),$G$222,$G$223)</f>
        <v>6.4654233600000008E-3</v>
      </c>
      <c r="R230" s="52" cm="1">
        <f t="array" ref="R230">ManureManagement_Swine_Methane.VEERG_4_5_1_1__3_Stage1MethaneProduction(Q$94,R40,VLOOKUP($D230, $D$171:$E$176, 2, FALSE),$G$222,$G$223)</f>
        <v>4.5845729280000001E-3</v>
      </c>
      <c r="S230" s="2" t="str">
        <f>$E$217</f>
        <v>kg CH4/head/day</v>
      </c>
    </row>
    <row r="231" spans="3:19" ht="20.100000000000001" customHeight="1" x14ac:dyDescent="0.25">
      <c r="D231" s="57" t="str">
        <f>'Input - Swine'!$D$30</f>
        <v>Drylot (feed pad)</v>
      </c>
      <c r="E231" s="52" cm="1">
        <f t="array" ref="E231">ManureManagement_Swine_Methane.VEERG_4_5_1_1__3_Stage1MethaneProduction(D$94,E41,VLOOKUP($D231, $D$171:$E$176, 2, FALSE),$G$222,$G$223)</f>
        <v>6.1870080000000008E-5</v>
      </c>
      <c r="F231" s="52" cm="1">
        <f t="array" ref="F231">ManureManagement_Swine_Methane.VEERG_4_5_1_1__3_Stage1MethaneProduction(E$94,F41,VLOOKUP($D231, $D$171:$E$176, 2, FALSE),$G$222,$G$223)</f>
        <v>7.1150592000000001E-5</v>
      </c>
      <c r="G231" s="52" cm="1">
        <f t="array" ref="G231">ManureManagement_Swine_Methane.VEERG_4_5_1_1__3_Stage1MethaneProduction(F$94,G41,VLOOKUP($D231, $D$171:$E$176, 2, FALSE),$G$222,$G$223)</f>
        <v>8.5071360000000011E-5</v>
      </c>
      <c r="H231" s="52" cm="1">
        <f t="array" ref="H231">ManureManagement_Swine_Methane.VEERG_4_5_1_1__3_Stage1MethaneProduction(G$94,H41,VLOOKUP($D231, $D$171:$E$176, 2, FALSE),$G$222,$G$223)</f>
        <v>6.0323328000000009E-5</v>
      </c>
      <c r="I231" s="2" t="str">
        <f>$E$217</f>
        <v>kg CH4/head/day</v>
      </c>
      <c r="N231" s="57" t="str">
        <f>'Input - Swine'!$D$30</f>
        <v>Drylot (feed pad)</v>
      </c>
      <c r="O231" s="52" cm="1">
        <f t="array" ref="O231">ManureManagement_Swine_Methane.VEERG_4_5_1_1__3_Stage1MethaneProduction(N$94,O41,VLOOKUP($D231, $D$171:$E$176, 2, FALSE),$G$222,$G$223)</f>
        <v>6.1870080000000008E-5</v>
      </c>
      <c r="P231" s="52" cm="1">
        <f t="array" ref="P231">ManureManagement_Swine_Methane.VEERG_4_5_1_1__3_Stage1MethaneProduction(O$94,P41,VLOOKUP($D231, $D$171:$E$176, 2, FALSE),$G$222,$G$223)</f>
        <v>7.1150592000000001E-5</v>
      </c>
      <c r="Q231" s="52" cm="1">
        <f t="array" ref="Q231">ManureManagement_Swine_Methane.VEERG_4_5_1_1__3_Stage1MethaneProduction(P$94,Q41,VLOOKUP($D231, $D$171:$E$176, 2, FALSE),$G$222,$G$223)</f>
        <v>8.5071360000000011E-5</v>
      </c>
      <c r="R231" s="52" cm="1">
        <f t="array" ref="R231">ManureManagement_Swine_Methane.VEERG_4_5_1_1__3_Stage1MethaneProduction(Q$94,R41,VLOOKUP($D231, $D$171:$E$176, 2, FALSE),$G$222,$G$223)</f>
        <v>6.0323328000000009E-5</v>
      </c>
      <c r="S231" s="2" t="str">
        <f>$E$217</f>
        <v>kg CH4/head/day</v>
      </c>
    </row>
    <row r="232" spans="3:19" ht="20.100000000000001" customHeight="1" x14ac:dyDescent="0.25">
      <c r="D232" s="57" t="str">
        <f>'Input - Swine'!$D$31</f>
        <v>Digester / covered lagoons</v>
      </c>
      <c r="E232" s="52" cm="1">
        <f t="array" ref="E232">ManureManagement_Swine_Methane.VEERG_4_5_1_1__3_Stage1MethaneProduction(D$94,E42,VLOOKUP($D232, $D$171:$E$176, 2, FALSE),$G$222,$G$223)</f>
        <v>6.1870080000000008E-4</v>
      </c>
      <c r="F232" s="52" cm="1">
        <f t="array" ref="F232">ManureManagement_Swine_Methane.VEERG_4_5_1_1__3_Stage1MethaneProduction(E$94,F42,VLOOKUP($D232, $D$171:$E$176, 2, FALSE),$G$222,$G$223)</f>
        <v>7.1150592000000009E-4</v>
      </c>
      <c r="G232" s="52" cm="1">
        <f t="array" ref="G232">ManureManagement_Swine_Methane.VEERG_4_5_1_1__3_Stage1MethaneProduction(F$94,G42,VLOOKUP($D232, $D$171:$E$176, 2, FALSE),$G$222,$G$223)</f>
        <v>8.5071360000000011E-4</v>
      </c>
      <c r="H232" s="52" cm="1">
        <f t="array" ref="H232">ManureManagement_Swine_Methane.VEERG_4_5_1_1__3_Stage1MethaneProduction(G$94,H42,VLOOKUP($D232, $D$171:$E$176, 2, FALSE),$G$222,$G$223)</f>
        <v>6.0323328000000008E-4</v>
      </c>
      <c r="I232" s="2" t="str">
        <f>$E$217</f>
        <v>kg CH4/head/day</v>
      </c>
      <c r="N232" s="57" t="str">
        <f>'Input - Swine'!$D$31</f>
        <v>Digester / covered lagoons</v>
      </c>
      <c r="O232" s="52" cm="1">
        <f t="array" ref="O232">ManureManagement_Swine_Methane.VEERG_4_5_1_1__3_Stage1MethaneProduction(N$94,O42,VLOOKUP($D232, $D$171:$E$176, 2, FALSE),$G$222,$G$223)</f>
        <v>6.1870080000000008E-4</v>
      </c>
      <c r="P232" s="52" cm="1">
        <f t="array" ref="P232">ManureManagement_Swine_Methane.VEERG_4_5_1_1__3_Stage1MethaneProduction(O$94,P42,VLOOKUP($D232, $D$171:$E$176, 2, FALSE),$G$222,$G$223)</f>
        <v>7.1150592000000009E-4</v>
      </c>
      <c r="Q232" s="52" cm="1">
        <f t="array" ref="Q232">ManureManagement_Swine_Methane.VEERG_4_5_1_1__3_Stage1MethaneProduction(P$94,Q42,VLOOKUP($D232, $D$171:$E$176, 2, FALSE),$G$222,$G$223)</f>
        <v>8.5071360000000011E-4</v>
      </c>
      <c r="R232" s="52" cm="1">
        <f t="array" ref="R232">ManureManagement_Swine_Methane.VEERG_4_5_1_1__3_Stage1MethaneProduction(Q$94,R42,VLOOKUP($D232, $D$171:$E$176, 2, FALSE),$G$222,$G$223)</f>
        <v>6.0323328000000008E-4</v>
      </c>
      <c r="S232" s="2" t="str">
        <f>$E$217</f>
        <v>kg CH4/head/day</v>
      </c>
    </row>
    <row r="233" spans="3:19" ht="20.100000000000001" customHeight="1" x14ac:dyDescent="0.25">
      <c r="D233" s="57" t="str">
        <f>'Input - Swine'!$D$32</f>
        <v>Deep litter</v>
      </c>
      <c r="E233" s="52" cm="1">
        <f t="array" ref="E233">ManureManagement_Swine_Methane.VEERG_4_5_1_1__3_Stage1MethaneProduction(D$94,E43,VLOOKUP($D233, $D$171:$E$176, 2, FALSE),$G$222,$G$223)</f>
        <v>2.4748032000000003E-4</v>
      </c>
      <c r="F233" s="52" cm="1">
        <f t="array" ref="F233">ManureManagement_Swine_Methane.VEERG_4_5_1_1__3_Stage1MethaneProduction(E$94,F43,VLOOKUP($D233, $D$171:$E$176, 2, FALSE),$G$222,$G$223)</f>
        <v>2.84602368E-4</v>
      </c>
      <c r="G233" s="52" cm="1">
        <f t="array" ref="G233">ManureManagement_Swine_Methane.VEERG_4_5_1_1__3_Stage1MethaneProduction(F$94,G43,VLOOKUP($D233, $D$171:$E$176, 2, FALSE),$G$222,$G$223)</f>
        <v>3.4028544000000004E-4</v>
      </c>
      <c r="H233" s="52" cm="1">
        <f t="array" ref="H233">ManureManagement_Swine_Methane.VEERG_4_5_1_1__3_Stage1MethaneProduction(G$94,H43,VLOOKUP($D233, $D$171:$E$176, 2, FALSE),$G$222,$G$223)</f>
        <v>2.4129331200000004E-4</v>
      </c>
      <c r="I233" s="2" t="str">
        <f>$E$217</f>
        <v>kg CH4/head/day</v>
      </c>
      <c r="N233" s="57" t="str">
        <f>'Input - Swine'!$D$32</f>
        <v>Deep litter</v>
      </c>
      <c r="O233" s="52" cm="1">
        <f t="array" ref="O233">ManureManagement_Swine_Methane.VEERG_4_5_1_1__3_Stage1MethaneProduction(N$94,O43,VLOOKUP($D233, $D$171:$E$176, 2, FALSE),$G$222,$G$223)</f>
        <v>2.4748032000000003E-4</v>
      </c>
      <c r="P233" s="52" cm="1">
        <f t="array" ref="P233">ManureManagement_Swine_Methane.VEERG_4_5_1_1__3_Stage1MethaneProduction(O$94,P43,VLOOKUP($D233, $D$171:$E$176, 2, FALSE),$G$222,$G$223)</f>
        <v>2.84602368E-4</v>
      </c>
      <c r="Q233" s="52" cm="1">
        <f t="array" ref="Q233">ManureManagement_Swine_Methane.VEERG_4_5_1_1__3_Stage1MethaneProduction(P$94,Q43,VLOOKUP($D233, $D$171:$E$176, 2, FALSE),$G$222,$G$223)</f>
        <v>3.4028544000000004E-4</v>
      </c>
      <c r="R233" s="52" cm="1">
        <f t="array" ref="R233">ManureManagement_Swine_Methane.VEERG_4_5_1_1__3_Stage1MethaneProduction(Q$94,R43,VLOOKUP($D233, $D$171:$E$176, 2, FALSE),$G$222,$G$223)</f>
        <v>2.4129331200000004E-4</v>
      </c>
      <c r="S233" s="2" t="str">
        <f>$E$217</f>
        <v>kg CH4/head/day</v>
      </c>
    </row>
    <row r="234" spans="3:19" ht="20.100000000000001" customHeight="1" x14ac:dyDescent="0.25">
      <c r="D234" s="57" t="str">
        <f>'Input - Swine'!$D$33</f>
        <v>Pit storage</v>
      </c>
      <c r="E234" s="52" cm="1">
        <f t="array" ref="E234">ManureManagement_Swine_Methane.VEERG_4_5_1_1__3_Stage1MethaneProduction(D$94,E44,VLOOKUP($D234, $D$171:$E$176, 2, FALSE),$G$222,$G$223)</f>
        <v>1.8561024E-4</v>
      </c>
      <c r="F234" s="52" cm="1">
        <f t="array" ref="F234">ManureManagement_Swine_Methane.VEERG_4_5_1_1__3_Stage1MethaneProduction(E$94,F44,VLOOKUP($D234, $D$171:$E$176, 2, FALSE),$G$222,$G$223)</f>
        <v>2.1345177599999999E-4</v>
      </c>
      <c r="G234" s="52" cm="1">
        <f t="array" ref="G234">ManureManagement_Swine_Methane.VEERG_4_5_1_1__3_Stage1MethaneProduction(F$94,G44,VLOOKUP($D234, $D$171:$E$176, 2, FALSE),$G$222,$G$223)</f>
        <v>2.5521407999999998E-4</v>
      </c>
      <c r="H234" s="52" cm="1">
        <f t="array" ref="H234">ManureManagement_Swine_Methane.VEERG_4_5_1_1__3_Stage1MethaneProduction(G$94,H44,VLOOKUP($D234, $D$171:$E$176, 2, FALSE),$G$222,$G$223)</f>
        <v>1.8096998400000001E-4</v>
      </c>
      <c r="I234" s="2" t="str">
        <f t="shared" ref="I234:I235" si="4">$E$217</f>
        <v>kg CH4/head/day</v>
      </c>
      <c r="N234" s="57" t="str">
        <f>'Input - Swine'!$D$33</f>
        <v>Pit storage</v>
      </c>
      <c r="O234" s="52" cm="1">
        <f t="array" ref="O234">ManureManagement_Swine_Methane.VEERG_4_5_1_1__3_Stage1MethaneProduction(N$94,O44,VLOOKUP($D234, $D$171:$E$176, 2, FALSE),$G$222,$G$223)</f>
        <v>1.8561024E-4</v>
      </c>
      <c r="P234" s="52" cm="1">
        <f t="array" ref="P234">ManureManagement_Swine_Methane.VEERG_4_5_1_1__3_Stage1MethaneProduction(O$94,P44,VLOOKUP($D234, $D$171:$E$176, 2, FALSE),$G$222,$G$223)</f>
        <v>2.1345177599999999E-4</v>
      </c>
      <c r="Q234" s="52" cm="1">
        <f t="array" ref="Q234">ManureManagement_Swine_Methane.VEERG_4_5_1_1__3_Stage1MethaneProduction(P$94,Q44,VLOOKUP($D234, $D$171:$E$176, 2, FALSE),$G$222,$G$223)</f>
        <v>2.5521407999999998E-4</v>
      </c>
      <c r="R234" s="52" cm="1">
        <f t="array" ref="R234">ManureManagement_Swine_Methane.VEERG_4_5_1_1__3_Stage1MethaneProduction(Q$94,R44,VLOOKUP($D234, $D$171:$E$176, 2, FALSE),$G$222,$G$223)</f>
        <v>1.8096998400000001E-4</v>
      </c>
      <c r="S234" s="2" t="str">
        <f t="shared" ref="S234:S235" si="5">$E$217</f>
        <v>kg CH4/head/day</v>
      </c>
    </row>
    <row r="235" spans="3:19" ht="20.100000000000001" customHeight="1" x14ac:dyDescent="0.25">
      <c r="D235" s="57" t="str">
        <f>'Input - Swine'!$D$34</f>
        <v>Solid storage</v>
      </c>
      <c r="E235" s="52" cm="1">
        <f t="array" ref="E235">ManureManagement_Swine_Methane.VEERG_4_5_1_1__3_Stage1MethaneProduction(D$94,E73,VLOOKUP($D235, $D$171:$E$176, 2, FALSE),$G$222,$G$223)</f>
        <v>4.124672000000002E-4</v>
      </c>
      <c r="F235" s="52" cm="1">
        <f t="array" ref="F235">ManureManagement_Swine_Methane.VEERG_4_5_1_1__3_Stage1MethaneProduction(E$94,F73,VLOOKUP($D235, $D$171:$E$176, 2, FALSE),$G$222,$G$223)</f>
        <v>4.7433728000000026E-4</v>
      </c>
      <c r="G235" s="52" cm="1">
        <f t="array" ref="G235">ManureManagement_Swine_Methane.VEERG_4_5_1_1__3_Stage1MethaneProduction(F$94,G73,VLOOKUP($D235, $D$171:$E$176, 2, FALSE),$G$222,$G$223)</f>
        <v>5.6714240000000022E-4</v>
      </c>
      <c r="H235" s="52" cm="1">
        <f t="array" ref="H235">ManureManagement_Swine_Methane.VEERG_4_5_1_1__3_Stage1MethaneProduction(G$94,H73,VLOOKUP($D235, $D$171:$E$176, 2, FALSE),$G$222,$G$223)</f>
        <v>4.0215552000000016E-4</v>
      </c>
      <c r="I235" s="2" t="str">
        <f t="shared" si="4"/>
        <v>kg CH4/head/day</v>
      </c>
      <c r="N235" s="57" t="str">
        <f>'Input - Swine'!$D$34</f>
        <v>Solid storage</v>
      </c>
      <c r="O235" s="52" cm="1">
        <f t="array" ref="O235">ManureManagement_Swine_Methane.VEERG_4_5_1_1__3_Stage1MethaneProduction(N$94,O73,VLOOKUP($D235, $D$171:$E$176, 2, FALSE),$G$222,$G$223)</f>
        <v>4.124672000000002E-4</v>
      </c>
      <c r="P235" s="52" cm="1">
        <f t="array" ref="P235">ManureManagement_Swine_Methane.VEERG_4_5_1_1__3_Stage1MethaneProduction(O$94,P73,VLOOKUP($D235, $D$171:$E$176, 2, FALSE),$G$222,$G$223)</f>
        <v>4.7433728000000026E-4</v>
      </c>
      <c r="Q235" s="52" cm="1">
        <f t="array" ref="Q235">ManureManagement_Swine_Methane.VEERG_4_5_1_1__3_Stage1MethaneProduction(P$94,Q73,VLOOKUP($D235, $D$171:$E$176, 2, FALSE),$G$222,$G$223)</f>
        <v>5.6714240000000022E-4</v>
      </c>
      <c r="R235" s="52" cm="1">
        <f t="array" ref="R235">ManureManagement_Swine_Methane.VEERG_4_5_1_1__3_Stage1MethaneProduction(Q$94,R73,VLOOKUP($D235, $D$171:$E$176, 2, FALSE),$G$222,$G$223)</f>
        <v>4.0215552000000016E-4</v>
      </c>
      <c r="S235" s="2" t="str">
        <f t="shared" si="5"/>
        <v>kg CH4/head/day</v>
      </c>
    </row>
    <row r="236" spans="3:19" ht="20.100000000000001" customHeight="1" x14ac:dyDescent="0.25"/>
    <row r="237" spans="3:19" ht="20.100000000000001" customHeight="1" x14ac:dyDescent="0.25"/>
    <row r="238" spans="3:19" ht="20.100000000000001" customHeight="1" x14ac:dyDescent="0.25">
      <c r="C238" s="45"/>
      <c r="D238" s="45"/>
      <c r="E238" s="45"/>
      <c r="F238" s="45"/>
      <c r="G238" s="45"/>
      <c r="H238" s="45"/>
      <c r="I238" s="45"/>
      <c r="J238" s="45"/>
    </row>
    <row r="239" spans="3:19" ht="20.100000000000001" customHeight="1" x14ac:dyDescent="0.25">
      <c r="D239" s="6" t="str" cm="1">
        <f t="array" ref="D239">ManureManagement_Swine_Methane.VEERG_4_5_1_1__2_MethaneProductionPerClass_Title()</f>
        <v>Methane production from the manure of each class of swine</v>
      </c>
    </row>
    <row r="240" spans="3:19" ht="20.100000000000001" customHeight="1" x14ac:dyDescent="0.25">
      <c r="D240" s="5" t="str" cm="1">
        <f t="array" ref="D240">ManureManagement_Swine_Methane.VEERG_4_5_1_1__2_MethaneProductionPerClass_Source()</f>
        <v>VEERG 2026: 4.5.1.1, Equation (2)</v>
      </c>
    </row>
    <row r="241" spans="4:18" ht="20.100000000000001" customHeight="1" x14ac:dyDescent="0.25">
      <c r="D241" s="55" t="str" cm="1">
        <f t="array" ref="D241">ManureManagement_Swine_Methane.VEERG_4_5_1_1__2_MethaneProductionPerClass_Variation()</f>
        <v>VARIATION ON SOURCE: Split variable Mjm into MjmT1 and MjmT2 for stage 1 and 2 MMS.</v>
      </c>
    </row>
    <row r="242" spans="4:18" ht="20.100000000000001" customHeight="1" x14ac:dyDescent="0.25">
      <c r="D242" s="13" t="s">
        <v>26</v>
      </c>
      <c r="E242" s="13" t="str" cm="1">
        <f t="array" aca="1" ref="E242" ca="1">Common_InputFunctions.Utility_DisplayFunctionName(D255)</f>
        <v>=ManureManagement_Swine_Methane.VEERG_4_5_1_1__2_MethaneProductionPerClassVariation</v>
      </c>
    </row>
    <row r="243" spans="4:18" ht="20.100000000000001" customHeight="1" x14ac:dyDescent="0.25"/>
    <row r="244" spans="4:18" ht="20.100000000000001" customHeight="1" x14ac:dyDescent="0.25">
      <c r="E244" s="13"/>
    </row>
    <row r="245" spans="4:18" ht="20.100000000000001" customHeight="1" x14ac:dyDescent="0.25">
      <c r="D245" s="53" t="s">
        <v>29</v>
      </c>
      <c r="E245" s="1" t="str" cm="1">
        <f t="array" ref="E245">ManureManagement_Swine_Methane.VEERG_4_5_1_1__2_MethaneProductionPerClass_Variable()</f>
        <v>Mmj</v>
      </c>
    </row>
    <row r="246" spans="4:18" ht="20.100000000000001" customHeight="1" x14ac:dyDescent="0.25">
      <c r="D246" s="53" t="s">
        <v>19</v>
      </c>
      <c r="E246" s="54" t="str" cm="1">
        <f t="array" ref="E246">ManureManagement_Swine_Methane.VEERG_4_5_1_1__2_MethaneProductionPerClass_Unit()</f>
        <v>kg CH4/head/day</v>
      </c>
    </row>
    <row r="247" spans="4:18" ht="20.100000000000001" customHeight="1" x14ac:dyDescent="0.25"/>
    <row r="248" spans="4:18" ht="20.100000000000001" customHeight="1" x14ac:dyDescent="0.25">
      <c r="D248" s="57" t="str" cm="1">
        <f t="array" ref="D248:E248">ManureManagement_Swine_Methane.VEERG_4_5_1_1__2_MethaneProductionPerClass_Arguments()</f>
        <v>MjmT</v>
      </c>
      <c r="E248" s="58" t="str">
        <v>methane production from manure per class, MMS, and treatment stage : kg CH4/head/day</v>
      </c>
      <c r="F248" s="100"/>
      <c r="G248" s="123"/>
      <c r="H248" s="52" t="s">
        <v>223</v>
      </c>
    </row>
    <row r="249" spans="4:18" ht="20.100000000000001" customHeight="1" x14ac:dyDescent="0.25"/>
    <row r="250" spans="4:18" ht="20.100000000000001" customHeight="1" x14ac:dyDescent="0.25">
      <c r="D250" s="121" t="s">
        <v>284</v>
      </c>
      <c r="N250" s="121" t="s">
        <v>286</v>
      </c>
    </row>
    <row r="251" spans="4:18" ht="20.100000000000001" customHeight="1" x14ac:dyDescent="0.25">
      <c r="D251" s="122" t="s">
        <v>285</v>
      </c>
      <c r="N251" s="122" t="s">
        <v>287</v>
      </c>
    </row>
    <row r="252" spans="4:18" ht="20.100000000000001" customHeight="1" x14ac:dyDescent="0.25"/>
    <row r="253" spans="4:18" ht="20.100000000000001" customHeight="1" x14ac:dyDescent="0.25">
      <c r="D253" s="51" t="s">
        <v>146</v>
      </c>
      <c r="E253" s="51" t="s">
        <v>147</v>
      </c>
      <c r="F253" s="51" t="s">
        <v>148</v>
      </c>
      <c r="G253" s="51" t="s">
        <v>266</v>
      </c>
      <c r="N253" s="51" t="s">
        <v>146</v>
      </c>
      <c r="O253" s="51" t="s">
        <v>147</v>
      </c>
      <c r="P253" s="51" t="s">
        <v>148</v>
      </c>
      <c r="Q253" s="51" t="s">
        <v>266</v>
      </c>
    </row>
    <row r="254" spans="4:18" ht="20.100000000000001" customHeight="1" x14ac:dyDescent="0.25">
      <c r="D254" s="51" t="s">
        <v>224</v>
      </c>
      <c r="E254" s="51" t="s">
        <v>225</v>
      </c>
      <c r="F254" s="51" t="s">
        <v>226</v>
      </c>
      <c r="G254" s="51" t="s">
        <v>227</v>
      </c>
      <c r="N254" s="51" t="s">
        <v>224</v>
      </c>
      <c r="O254" s="51" t="s">
        <v>225</v>
      </c>
      <c r="P254" s="51" t="s">
        <v>226</v>
      </c>
      <c r="Q254" s="51" t="s">
        <v>227</v>
      </c>
    </row>
    <row r="255" spans="4:18" ht="20.100000000000001" customHeight="1" x14ac:dyDescent="0.25">
      <c r="D255" s="52" cm="1">
        <f t="array" ref="D255">ManureManagement_Swine_Methane.VEERG_4_5_1_1__2_MethaneProductionPerClassVariation(E230:E235,F182:F206)</f>
        <v>1.3860960256000006E-2</v>
      </c>
      <c r="E255" s="52" cm="1">
        <f t="array" ref="E255">ManureManagement_Swine_Methane.VEERG_4_5_1_1__2_MethaneProductionPerClassVariation(F230:F235,G182:G206)</f>
        <v>1.7037602176000005E-2</v>
      </c>
      <c r="F255" s="52" cm="1">
        <f t="array" ref="F255">ManureManagement_Swine_Methane.VEERG_4_5_1_1__2_MethaneProductionPerClassVariation(G230:G235,H182:H206)</f>
        <v>2.0371046080000003E-2</v>
      </c>
      <c r="G255" s="52" cm="1">
        <f t="array" ref="G255">ManureManagement_Swine_Methane.VEERG_4_5_1_1__2_MethaneProductionPerClassVariation(H230:H235,I182:I206)</f>
        <v>1.4444923583999998E-2</v>
      </c>
      <c r="H255" s="2" t="str">
        <f>E246</f>
        <v>kg CH4/head/day</v>
      </c>
      <c r="N255" s="52" cm="1">
        <f t="array" ref="N255">ManureManagement_Swine_Methane.VEERG_4_5_1_1__2_MethaneProductionPerClassVariation(O230:O235,P182:P206)</f>
        <v>1.3860960256000006E-2</v>
      </c>
      <c r="O255" s="52" cm="1">
        <f t="array" ref="O255">ManureManagement_Swine_Methane.VEERG_4_5_1_1__2_MethaneProductionPerClassVariation(P230:P235,Q182:Q206)</f>
        <v>1.7037602176000005E-2</v>
      </c>
      <c r="P255" s="52" cm="1">
        <f t="array" ref="P255">ManureManagement_Swine_Methane.VEERG_4_5_1_1__2_MethaneProductionPerClassVariation(Q230:Q235,R182:R206)</f>
        <v>2.0371046080000003E-2</v>
      </c>
      <c r="Q255" s="52" cm="1">
        <f t="array" ref="Q255">ManureManagement_Swine_Methane.VEERG_4_5_1_1__2_MethaneProductionPerClassVariation(R230:R235,S182:S206)</f>
        <v>1.4444923583999998E-2</v>
      </c>
      <c r="R255" s="2">
        <f>O246</f>
        <v>0</v>
      </c>
    </row>
    <row r="256" spans="4:18" ht="20.100000000000001" customHeight="1" x14ac:dyDescent="0.25"/>
    <row r="257" spans="3:10" ht="20.100000000000001" customHeight="1" x14ac:dyDescent="0.25"/>
    <row r="258" spans="3:10" ht="20.100000000000001" customHeight="1" x14ac:dyDescent="0.25">
      <c r="C258" s="45"/>
      <c r="D258" s="45"/>
      <c r="E258" s="45"/>
      <c r="F258" s="45"/>
      <c r="G258" s="45"/>
      <c r="H258" s="45"/>
      <c r="I258" s="45"/>
      <c r="J258" s="45"/>
    </row>
    <row r="259" spans="3:10" ht="20.100000000000001" customHeight="1" x14ac:dyDescent="0.25">
      <c r="D259" s="6" t="str" cm="1">
        <f t="array" ref="D259">ManureManagement_Swine_Methane.VEERG_4_5_1_1__1_TotalAnnualMethaneEmissions_Title()</f>
        <v>Total annual methane emissions from manure management</v>
      </c>
    </row>
    <row r="260" spans="3:10" ht="20.100000000000001" customHeight="1" x14ac:dyDescent="0.25">
      <c r="D260" s="5" t="str" cm="1">
        <f t="array" ref="D260">ManureManagement_Swine_Methane.VEERG_4_5_1_1__1_TotalAnnualMethaneEmissions_Source()</f>
        <v>VEERG 2026: 4.5.1.1, Equation (1)</v>
      </c>
    </row>
    <row r="261" spans="3:10" ht="20.100000000000001" customHeight="1" x14ac:dyDescent="0.25">
      <c r="D261" s="13" t="s">
        <v>26</v>
      </c>
      <c r="E261" s="13" t="str" cm="1">
        <f t="array" aca="1" ref="E261" ca="1">Common_InputFunctions.Utility_DisplayFunctionName(D288)</f>
        <v>=ManureManagement_Swine_Methane.VEERG_4_5_1_1__1_TotalAnnualMethaneEmissions</v>
      </c>
    </row>
    <row r="262" spans="3:10" ht="20.100000000000001" customHeight="1" x14ac:dyDescent="0.25"/>
    <row r="263" spans="3:10" ht="20.100000000000001" customHeight="1" x14ac:dyDescent="0.25">
      <c r="D263" s="6"/>
    </row>
    <row r="264" spans="3:10" ht="20.100000000000001" customHeight="1" x14ac:dyDescent="0.25"/>
    <row r="265" spans="3:10" ht="20.100000000000001" customHeight="1" x14ac:dyDescent="0.25">
      <c r="D265" s="53" t="s">
        <v>29</v>
      </c>
      <c r="E265" s="1" t="str" cm="1">
        <f t="array" ref="E265">ManureManagement_Swine_Methane.VEERG_4_5_1_1__1_TotalAnnualMethaneEmissions_Variable()</f>
        <v>ECH4</v>
      </c>
    </row>
    <row r="266" spans="3:10" ht="20.100000000000001" customHeight="1" x14ac:dyDescent="0.25">
      <c r="D266" s="53" t="s">
        <v>19</v>
      </c>
      <c r="E266" s="54" t="str" cm="1">
        <f t="array" ref="E266">ManureManagement_Swine_Methane.VEERG_4_5_1_1__1_TotalAnnualMethaneEmissions_Unit()</f>
        <v>t CH4</v>
      </c>
    </row>
    <row r="267" spans="3:10" ht="20.100000000000001" customHeight="1" x14ac:dyDescent="0.25"/>
    <row r="268" spans="3:10" ht="20.100000000000001" customHeight="1" x14ac:dyDescent="0.25">
      <c r="D268" s="57" t="str" cm="1">
        <f t="array" ref="D268:E270">ManureManagement_Swine_Methane.VEERG_4_5_1_1__1_TotalAnnualMethaneEmissions_Arguments()</f>
        <v>Dj</v>
      </c>
      <c r="E268" s="58" t="str">
        <v>length of stay of each class of swine : days</v>
      </c>
      <c r="F268" s="59"/>
      <c r="G268" s="57" t="str">
        <f>"See " &amp; D272</f>
        <v>See Table_D_j</v>
      </c>
    </row>
    <row r="269" spans="3:10" ht="20.100000000000001" customHeight="1" x14ac:dyDescent="0.25">
      <c r="D269" s="57" t="str">
        <v>Mmj</v>
      </c>
      <c r="E269" s="58" t="str">
        <v>methane production from manure in each swine class : kg CH4/head/day</v>
      </c>
      <c r="F269" s="59"/>
      <c r="G269" s="57" t="str">
        <f>"See " &amp; D250</f>
        <v>See M1_Table_M_m_j</v>
      </c>
    </row>
    <row r="270" spans="3:10" ht="20.100000000000001" customHeight="1" x14ac:dyDescent="0.25">
      <c r="D270" s="57" t="str">
        <v>Nj</v>
      </c>
      <c r="E270" s="58" t="str">
        <v>numbers of swine in each class : head</v>
      </c>
      <c r="F270" s="59"/>
      <c r="G270" s="57" t="str">
        <f>"See " &amp; D278</f>
        <v>See Table_N_j</v>
      </c>
    </row>
    <row r="271" spans="3:10" ht="20.100000000000001" customHeight="1" x14ac:dyDescent="0.25"/>
    <row r="272" spans="3:10" x14ac:dyDescent="0.25">
      <c r="D272" s="121" t="s">
        <v>228</v>
      </c>
    </row>
    <row r="273" spans="4:18" x14ac:dyDescent="0.25">
      <c r="D273" s="122" t="s">
        <v>229</v>
      </c>
    </row>
    <row r="274" spans="4:18" x14ac:dyDescent="0.25">
      <c r="D274" s="51" t="s">
        <v>146</v>
      </c>
      <c r="E274" s="51" t="s">
        <v>147</v>
      </c>
      <c r="F274" s="51" t="s">
        <v>148</v>
      </c>
      <c r="G274" s="51" t="s">
        <v>266</v>
      </c>
    </row>
    <row r="275" spans="4:18" ht="17.25" x14ac:dyDescent="0.25">
      <c r="D275" s="51" t="s">
        <v>230</v>
      </c>
      <c r="E275" s="51" t="s">
        <v>231</v>
      </c>
      <c r="F275" s="51" t="s">
        <v>232</v>
      </c>
      <c r="G275" s="51" t="s">
        <v>233</v>
      </c>
    </row>
    <row r="276" spans="4:18" x14ac:dyDescent="0.25">
      <c r="D276" s="125">
        <f>'Input - Swine'!E10</f>
        <v>365</v>
      </c>
      <c r="E276" s="125">
        <f>'Input - Swine'!F10</f>
        <v>365</v>
      </c>
      <c r="F276" s="125">
        <f>'Input - Swine'!G10</f>
        <v>365</v>
      </c>
      <c r="G276" s="125">
        <f>'Input - Swine'!H10</f>
        <v>365</v>
      </c>
      <c r="H276" s="2" t="s">
        <v>54</v>
      </c>
    </row>
    <row r="278" spans="4:18" x14ac:dyDescent="0.25">
      <c r="D278" s="121" t="s">
        <v>234</v>
      </c>
    </row>
    <row r="279" spans="4:18" x14ac:dyDescent="0.25">
      <c r="D279" s="122" t="s">
        <v>235</v>
      </c>
    </row>
    <row r="280" spans="4:18" x14ac:dyDescent="0.25">
      <c r="D280" s="51" t="s">
        <v>146</v>
      </c>
      <c r="E280" s="51" t="s">
        <v>147</v>
      </c>
      <c r="F280" s="51" t="s">
        <v>148</v>
      </c>
      <c r="G280" s="51" t="s">
        <v>266</v>
      </c>
    </row>
    <row r="281" spans="4:18" ht="17.25" x14ac:dyDescent="0.25">
      <c r="D281" s="51" t="s">
        <v>230</v>
      </c>
      <c r="E281" s="51" t="s">
        <v>231</v>
      </c>
      <c r="F281" s="51" t="s">
        <v>232</v>
      </c>
      <c r="G281" s="51" t="s">
        <v>233</v>
      </c>
    </row>
    <row r="282" spans="4:18" x14ac:dyDescent="0.25">
      <c r="D282" s="125">
        <f>'Input - Swine'!$E$11</f>
        <v>100</v>
      </c>
      <c r="E282" s="125">
        <f>'Input - Swine'!$F$11</f>
        <v>100</v>
      </c>
      <c r="F282" s="125">
        <f>'Input - Swine'!$G$11</f>
        <v>100</v>
      </c>
      <c r="G282" s="125">
        <f>'Input - Swine'!$H$11</f>
        <v>100</v>
      </c>
      <c r="H282" s="2" t="s">
        <v>100</v>
      </c>
    </row>
    <row r="284" spans="4:18" x14ac:dyDescent="0.25">
      <c r="D284" s="121" t="s">
        <v>123</v>
      </c>
      <c r="N284" s="121" t="s">
        <v>135</v>
      </c>
    </row>
    <row r="285" spans="4:18" x14ac:dyDescent="0.25">
      <c r="D285" s="122" t="s">
        <v>265</v>
      </c>
      <c r="N285" s="122" t="s">
        <v>288</v>
      </c>
    </row>
    <row r="286" spans="4:18" x14ac:dyDescent="0.25">
      <c r="D286" s="51" t="s">
        <v>146</v>
      </c>
      <c r="E286" s="51" t="s">
        <v>147</v>
      </c>
      <c r="F286" s="51" t="s">
        <v>148</v>
      </c>
      <c r="G286" s="51" t="s">
        <v>266</v>
      </c>
      <c r="N286" s="51" t="s">
        <v>146</v>
      </c>
      <c r="O286" s="51" t="s">
        <v>147</v>
      </c>
      <c r="P286" s="51" t="s">
        <v>148</v>
      </c>
      <c r="Q286" s="51" t="s">
        <v>266</v>
      </c>
    </row>
    <row r="287" spans="4:18" ht="17.25" x14ac:dyDescent="0.25">
      <c r="D287" s="51" t="s">
        <v>230</v>
      </c>
      <c r="E287" s="51" t="s">
        <v>231</v>
      </c>
      <c r="F287" s="51" t="s">
        <v>232</v>
      </c>
      <c r="G287" s="51" t="s">
        <v>233</v>
      </c>
      <c r="N287" s="51" t="s">
        <v>230</v>
      </c>
      <c r="O287" s="51" t="s">
        <v>231</v>
      </c>
      <c r="P287" s="51" t="s">
        <v>232</v>
      </c>
      <c r="Q287" s="51" t="s">
        <v>233</v>
      </c>
    </row>
    <row r="288" spans="4:18" x14ac:dyDescent="0.25">
      <c r="D288" s="52" cm="1">
        <f t="array" ref="D288">ManureManagement_Swine_Methane.VEERG_4_5_1_1__1_TotalAnnualMethaneEmissions(D276,D$255,D282)</f>
        <v>0.50592504934400029</v>
      </c>
      <c r="E288" s="52" cm="1">
        <f t="array" ref="E288">ManureManagement_Swine_Methane.VEERG_4_5_1_1__1_TotalAnnualMethaneEmissions(E276,E$255,E282)</f>
        <v>0.62187247942400015</v>
      </c>
      <c r="F288" s="52" cm="1">
        <f t="array" ref="F288">ManureManagement_Swine_Methane.VEERG_4_5_1_1__1_TotalAnnualMethaneEmissions(F276,F$255,F282)</f>
        <v>0.74354318192000013</v>
      </c>
      <c r="G288" s="52" cm="1">
        <f t="array" ref="G288">ManureManagement_Swine_Methane.VEERG_4_5_1_1__1_TotalAnnualMethaneEmissions(G276,G$255,G282)</f>
        <v>0.52723971081599985</v>
      </c>
      <c r="H288" s="2" t="str">
        <f>$E$266</f>
        <v>t CH4</v>
      </c>
      <c r="N288" s="52" cm="1">
        <f t="array" ref="N288">ManureManagement_Swine_Methane.VEERG_4_5_1_1__1_TotalAnnualMethaneEmissions(D276,N$255,D282)</f>
        <v>0.50592504934400029</v>
      </c>
      <c r="O288" s="52" cm="1">
        <f t="array" ref="O288">ManureManagement_Swine_Methane.VEERG_4_5_1_1__1_TotalAnnualMethaneEmissions(E276,O$255,E282)</f>
        <v>0.62187247942400015</v>
      </c>
      <c r="P288" s="52" cm="1">
        <f t="array" ref="P288">ManureManagement_Swine_Methane.VEERG_4_5_1_1__1_TotalAnnualMethaneEmissions(F276,P$255,F282)</f>
        <v>0.74354318192000013</v>
      </c>
      <c r="Q288" s="52" cm="1">
        <f t="array" ref="Q288">ManureManagement_Swine_Methane.VEERG_4_5_1_1__1_TotalAnnualMethaneEmissions(G276,Q$255,G282)</f>
        <v>0.52723971081599985</v>
      </c>
      <c r="R288" s="2" t="str">
        <f>$E$266</f>
        <v>t CH4</v>
      </c>
    </row>
    <row r="290" spans="4:17" ht="20.25" x14ac:dyDescent="0.25">
      <c r="D290" s="101" t="s">
        <v>236</v>
      </c>
      <c r="E290" s="102">
        <f>SUM(D288:G288)</f>
        <v>2.3985804215040005</v>
      </c>
      <c r="F290" s="103" t="str">
        <f>$E$266</f>
        <v>t CH4</v>
      </c>
      <c r="N290" s="101" t="s">
        <v>236</v>
      </c>
      <c r="O290" s="102">
        <f>SUM(N288:Q288)</f>
        <v>2.3985804215040005</v>
      </c>
      <c r="P290" s="103" t="str">
        <f>$E$266</f>
        <v>t CH4</v>
      </c>
    </row>
    <row r="292" spans="4:17" x14ac:dyDescent="0.25">
      <c r="D292" s="57" t="str" cm="1">
        <f t="array" ref="D292:E293">Common_Equations.Common_ConvertCH4ToCO2e_Arguments()</f>
        <v>ECH4</v>
      </c>
      <c r="E292" s="58" t="str">
        <v>Methane emissions (t CH4)</v>
      </c>
      <c r="F292" s="104"/>
      <c r="G292" s="52">
        <f>E290</f>
        <v>2.3985804215040005</v>
      </c>
      <c r="N292" s="57" t="str" cm="1">
        <f t="array" ref="N292:O293">Common_Equations.Common_ConvertCH4ToCO2e_Arguments()</f>
        <v>ECH4</v>
      </c>
      <c r="O292" s="58" t="str">
        <v>Methane emissions (t CH4)</v>
      </c>
      <c r="P292" s="104"/>
      <c r="Q292" s="52">
        <f>O290</f>
        <v>2.3985804215040005</v>
      </c>
    </row>
    <row r="293" spans="4:17" x14ac:dyDescent="0.25">
      <c r="D293" s="57" t="str">
        <v>GWPCH4</v>
      </c>
      <c r="E293" s="58" t="str">
        <v>Global warming potential for methane (t CO2-e / t CH4)</v>
      </c>
      <c r="F293" s="104"/>
      <c r="G293" s="52">
        <f>Common_InputFunctions.Utility_LookupValueInTableNumber("CH4",Table_GWPData[Gas],Table_GWPData[CO2-e factor])</f>
        <v>28</v>
      </c>
      <c r="N293" s="57" t="str">
        <v>GWPCH4</v>
      </c>
      <c r="O293" s="58" t="str">
        <v>Global warming potential for methane (t CO2-e / t CH4)</v>
      </c>
      <c r="P293" s="104"/>
      <c r="Q293" s="52">
        <f>Common_InputFunctions.Utility_LookupValueInTableNumber("CH4",Table_GWPData[Gas],Table_GWPData[CO2-e factor])</f>
        <v>28</v>
      </c>
    </row>
    <row r="295" spans="4:17" ht="18.75" x14ac:dyDescent="0.25">
      <c r="D295" s="45" t="s">
        <v>101</v>
      </c>
      <c r="E295" s="45" cm="1">
        <f t="array" ref="E295">Common_Equations.Common_ConvertCH4ToCO2e(G292,G293)</f>
        <v>67.160251802112015</v>
      </c>
      <c r="F295" s="105" t="str" cm="1">
        <f t="array" ref="F295">Common_Equations.Common_ConvertN2OToCO2e_Unit()</f>
        <v>t CO2e</v>
      </c>
      <c r="N295" s="45" t="s">
        <v>101</v>
      </c>
      <c r="O295" s="45" cm="1">
        <f t="array" ref="O295">Common_Equations.Common_ConvertCH4ToCO2e(Q292,Q293)</f>
        <v>67.160251802112015</v>
      </c>
      <c r="P295" s="105" t="str" cm="1">
        <f t="array" ref="P295">Common_Equations.Common_ConvertN2OToCO2e_Unit()</f>
        <v>t CO2e</v>
      </c>
    </row>
    <row r="341" spans="8:8" x14ac:dyDescent="0.25">
      <c r="H341" s="22"/>
    </row>
    <row r="342" spans="8:8" x14ac:dyDescent="0.25">
      <c r="H342" s="22"/>
    </row>
  </sheetData>
  <dataValidations disablePrompts="1" count="1">
    <dataValidation operator="equal" allowBlank="1" showInputMessage="1" showErrorMessage="1" sqref="O172:T172 F173 E128:J128 F129:J133 P173:T173 G222 E279 F149:I152 O166:T166 P143:T144 E238 P167:T167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U294"/>
  <sheetViews>
    <sheetView showGridLines="0" topLeftCell="A115" zoomScale="85" zoomScaleNormal="85" workbookViewId="0">
      <selection activeCell="D128" sqref="D12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289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MMS_Swine_N2ODirect_Equations.VEERG_4_5_1_3__5_AnnualNitrogenExcretion_Title()</f>
        <v>Annual nitrogen excretion from each swine group</v>
      </c>
    </row>
    <row r="6" spans="1:21" ht="20.100000000000001" customHeight="1" x14ac:dyDescent="0.25">
      <c r="A6" s="20" t="s">
        <v>3</v>
      </c>
      <c r="D6" s="5" t="str" cm="1">
        <f t="array" ref="D6">MMS_Swine_N2ODirect_Equations.VEERG_4_5_1_3__5_AnnualNitrogenExcretion_Source()</f>
        <v>VEERG 2026: 4.5.1.3, Equation (5)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Common_InputFunctions.Utility_DisplayFunctionName($E$35)</f>
        <v>=MMS_Swine_N2ODirect_Equations.VEERG_4_5_1_3__5_AnnualNitrogenExcretion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MMS_Swine_N2ODirect_Equations.VEERG_4_5_1_3__5_AnnualNitrogenExcretion_Variable()</f>
        <v>AE_j</v>
      </c>
    </row>
    <row r="11" spans="1:21" ht="20.100000000000001" customHeight="1" x14ac:dyDescent="0.25">
      <c r="A11" s="17" t="str">
        <f>HYPERLINK("#'4.2.1.1-2 Methane'!A1", "4.2.1.1-2 Methane")</f>
        <v>4.2.1.1-2 Methane</v>
      </c>
      <c r="D11" s="53" t="s">
        <v>19</v>
      </c>
      <c r="E11" s="54" t="str" cm="1">
        <f t="array" ref="E11">MMS_Swine_N2ODirect_Equations.VEERG_4_5_1_3__5_AnnualNitrogenExcretion_Unit()</f>
        <v>kg N</v>
      </c>
    </row>
    <row r="12" spans="1:21" ht="20.100000000000001" customHeight="1" x14ac:dyDescent="0.25">
      <c r="A12" s="17" t="str">
        <f>HYPERLINK("#'4.2.1.3-4 Soil direct N2O'!A1", "4.2.1.3-4 Soil direct N2O")</f>
        <v>4.2.1.3-4 Soil direct N2O</v>
      </c>
    </row>
    <row r="13" spans="1:21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5">MMS_Swine_N2ODirect_Equations.VEERG_4_5_1_3__5_AnnualNitrogenExcretion_Arguments()</f>
        <v>N_j</v>
      </c>
      <c r="E13" s="58" t="str">
        <v>number of swine in each group (head)</v>
      </c>
      <c r="F13" s="100"/>
      <c r="G13" s="59"/>
      <c r="H13" s="57" t="str">
        <f>"See " &amp; D17</f>
        <v>See Table_N_j</v>
      </c>
    </row>
    <row r="14" spans="1:21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NW_j</v>
      </c>
      <c r="E14" s="58" t="str">
        <v>nitrogen produced in swine manure and waste feed in each class (kg N/head/day)</v>
      </c>
      <c r="F14" s="100"/>
      <c r="G14" s="59"/>
      <c r="H14" s="57" t="str">
        <f>"See " &amp; D22</f>
        <v>See Table_NW_j</v>
      </c>
    </row>
    <row r="15" spans="1:21" ht="20.100000000000001" customHeight="1" x14ac:dyDescent="0.25">
      <c r="A15" s="17"/>
      <c r="D15" s="57" t="str">
        <v>D_j</v>
      </c>
      <c r="E15" s="58" t="str">
        <v>duration of stay of swine group (days)</v>
      </c>
      <c r="F15" s="100"/>
      <c r="G15" s="59"/>
      <c r="H15" s="57"/>
    </row>
    <row r="16" spans="1:21" ht="20.100000000000001" customHeight="1" x14ac:dyDescent="0.25">
      <c r="A16" s="18" t="s">
        <v>4</v>
      </c>
    </row>
    <row r="17" spans="1:8" ht="20.100000000000001" customHeight="1" x14ac:dyDescent="0.25">
      <c r="A17" s="17" t="str">
        <f>HYPERLINK("#'Constants - Swine'!A1", "Constants - Swine")</f>
        <v>Constants - Swine</v>
      </c>
      <c r="D17" s="121" t="s">
        <v>234</v>
      </c>
    </row>
    <row r="18" spans="1:8" ht="20.100000000000001" customHeight="1" x14ac:dyDescent="0.25">
      <c r="A18" s="17" t="str">
        <f>HYPERLINK("#'Constants - Livestock'!A1", "Constants - Livestock")</f>
        <v>Constants - Livestock</v>
      </c>
      <c r="D18" s="122" t="s">
        <v>235</v>
      </c>
    </row>
    <row r="19" spans="1:8" ht="20.100000000000001" customHeight="1" x14ac:dyDescent="0.25">
      <c r="A19" s="17" t="str">
        <f>HYPERLINK("#'Constants - Common'!A1", "Constants - Common")</f>
        <v>Constants - Common</v>
      </c>
      <c r="D19" s="51" t="s">
        <v>146</v>
      </c>
      <c r="E19" s="51" t="s">
        <v>147</v>
      </c>
      <c r="F19" s="51" t="s">
        <v>148</v>
      </c>
      <c r="G19" s="51" t="s">
        <v>266</v>
      </c>
    </row>
    <row r="20" spans="1:8" ht="20.100000000000001" customHeight="1" x14ac:dyDescent="0.25">
      <c r="A20" s="17" t="str">
        <f>HYPERLINK("#'Acknowledgements'!A1", "Acknowledgements")</f>
        <v>Acknowledgements</v>
      </c>
      <c r="D20" s="125">
        <f>'Input - Swine'!$E$11</f>
        <v>100</v>
      </c>
      <c r="E20" s="125">
        <f>'Input - Swine'!$F$11</f>
        <v>100</v>
      </c>
      <c r="F20" s="125">
        <f>'Input - Swine'!$G$11</f>
        <v>100</v>
      </c>
      <c r="G20" s="125">
        <f>'Input - Swine'!$H$11</f>
        <v>100</v>
      </c>
      <c r="H20" s="2" t="s">
        <v>100</v>
      </c>
    </row>
    <row r="21" spans="1:8" ht="20.100000000000001" customHeight="1" x14ac:dyDescent="0.25"/>
    <row r="22" spans="1:8" ht="20.100000000000001" customHeight="1" x14ac:dyDescent="0.25">
      <c r="A22" s="17"/>
      <c r="D22" s="121" t="s">
        <v>298</v>
      </c>
    </row>
    <row r="23" spans="1:8" ht="20.100000000000001" customHeight="1" x14ac:dyDescent="0.25">
      <c r="A23" s="17"/>
      <c r="D23" s="122" t="s">
        <v>297</v>
      </c>
    </row>
    <row r="24" spans="1:8" ht="20.100000000000001" customHeight="1" x14ac:dyDescent="0.25">
      <c r="A24" s="17"/>
      <c r="D24" s="51" t="s">
        <v>146</v>
      </c>
      <c r="E24" s="51" t="s">
        <v>147</v>
      </c>
      <c r="F24" s="51" t="s">
        <v>148</v>
      </c>
      <c r="G24" s="51" t="s">
        <v>266</v>
      </c>
    </row>
    <row r="25" spans="1:8" ht="20.100000000000001" customHeight="1" x14ac:dyDescent="0.25">
      <c r="D25" s="52">
        <f>'Constants - Swine'!F90</f>
        <v>4.5999999999999999E-2</v>
      </c>
      <c r="E25" s="52">
        <f>'Constants - Swine'!F91</f>
        <v>4.9000000000000002E-2</v>
      </c>
      <c r="F25" s="52">
        <f>'Constants - Swine'!$F$92</f>
        <v>4.5999999999999999E-2</v>
      </c>
      <c r="G25" s="52">
        <f>'Constants - Swine'!$F$93</f>
        <v>3.1199999999999999E-2</v>
      </c>
      <c r="H25" s="2" t="s">
        <v>290</v>
      </c>
    </row>
    <row r="26" spans="1:8" ht="20.100000000000001" customHeight="1" x14ac:dyDescent="0.25"/>
    <row r="27" spans="1:8" ht="20.100000000000001" customHeight="1" x14ac:dyDescent="0.25">
      <c r="D27" s="121" t="s">
        <v>228</v>
      </c>
    </row>
    <row r="28" spans="1:8" ht="20.100000000000001" customHeight="1" x14ac:dyDescent="0.25">
      <c r="D28" s="122" t="s">
        <v>299</v>
      </c>
    </row>
    <row r="29" spans="1:8" ht="20.100000000000001" customHeight="1" x14ac:dyDescent="0.25">
      <c r="D29" s="51" t="s">
        <v>146</v>
      </c>
      <c r="E29" s="51" t="s">
        <v>147</v>
      </c>
      <c r="F29" s="51" t="s">
        <v>148</v>
      </c>
      <c r="G29" s="51" t="s">
        <v>266</v>
      </c>
    </row>
    <row r="30" spans="1:8" ht="20.100000000000001" customHeight="1" x14ac:dyDescent="0.25">
      <c r="D30" s="125">
        <f>'Input - Swine'!E10</f>
        <v>365</v>
      </c>
      <c r="E30" s="125">
        <f>'Input - Swine'!F10</f>
        <v>365</v>
      </c>
      <c r="F30" s="125">
        <f>'Input - Swine'!G10</f>
        <v>365</v>
      </c>
      <c r="G30" s="125">
        <f>'Input - Swine'!H10</f>
        <v>365</v>
      </c>
      <c r="H30" s="2" t="s">
        <v>100</v>
      </c>
    </row>
    <row r="31" spans="1:8" ht="20.100000000000001" customHeight="1" x14ac:dyDescent="0.25"/>
    <row r="32" spans="1:8" ht="20.100000000000001" customHeight="1" x14ac:dyDescent="0.25">
      <c r="D32" s="121" t="s">
        <v>300</v>
      </c>
    </row>
    <row r="33" spans="3:10" ht="20.100000000000001" customHeight="1" x14ac:dyDescent="0.25">
      <c r="D33" s="122" t="s">
        <v>313</v>
      </c>
    </row>
    <row r="34" spans="3:10" ht="20.100000000000001" customHeight="1" x14ac:dyDescent="0.25">
      <c r="D34" s="51" t="s">
        <v>146</v>
      </c>
      <c r="E34" s="51" t="s">
        <v>147</v>
      </c>
      <c r="F34" s="51" t="s">
        <v>148</v>
      </c>
      <c r="G34" s="51" t="s">
        <v>266</v>
      </c>
    </row>
    <row r="35" spans="3:10" ht="20.100000000000001" customHeight="1" x14ac:dyDescent="0.25">
      <c r="D35" s="125" cm="1">
        <f t="array" ref="D35">MMS_Swine_N2ODirect_Equations.VEERG_4_5_1_3__5_AnnualNitrogenExcretion(D20,D25,D30)</f>
        <v>1678.9999999999998</v>
      </c>
      <c r="E35" s="125" cm="1">
        <f t="array" ref="E35">MMS_Swine_N2ODirect_Equations.VEERG_4_5_1_3__5_AnnualNitrogenExcretion(E20,E25,E30)</f>
        <v>1788.5000000000002</v>
      </c>
      <c r="F35" s="125" cm="1">
        <f t="array" ref="F35">MMS_Swine_N2ODirect_Equations.VEERG_4_5_1_3__5_AnnualNitrogenExcretion(F20,F25,F30)</f>
        <v>1678.9999999999998</v>
      </c>
      <c r="G35" s="125" cm="1">
        <f t="array" ref="G35">MMS_Swine_N2ODirect_Equations.VEERG_4_5_1_3__5_AnnualNitrogenExcretion(G20,G25,G30)</f>
        <v>1138.8</v>
      </c>
      <c r="H35" s="2" t="str">
        <f>$E$11</f>
        <v>kg N</v>
      </c>
    </row>
    <row r="36" spans="3:10" ht="20.100000000000001" customHeight="1" x14ac:dyDescent="0.25"/>
    <row r="37" spans="3:10" ht="20.100000000000001" customHeight="1" x14ac:dyDescent="0.25"/>
    <row r="38" spans="3:10" ht="20.100000000000001" customHeight="1" x14ac:dyDescent="0.25">
      <c r="C38" s="45"/>
      <c r="D38" s="45"/>
      <c r="E38" s="45"/>
      <c r="F38" s="45"/>
      <c r="G38" s="45"/>
      <c r="H38" s="45"/>
      <c r="I38" s="45"/>
      <c r="J38" s="45"/>
    </row>
    <row r="39" spans="3:10" ht="20.100000000000001" customHeight="1" x14ac:dyDescent="0.25">
      <c r="D39" s="6" t="str" cm="1">
        <f t="array" ref="D39">MMS_Swine_N2ODirect_Equations.VEERG_4_5_1_3__3_FractionOfNitrogenInPrimaryMMS_Title()</f>
        <v>Fraction of nitrogen in each primary MMS (excluding solid storage)</v>
      </c>
    </row>
    <row r="40" spans="3:10" ht="20.100000000000001" customHeight="1" x14ac:dyDescent="0.25">
      <c r="D40" s="5" t="str" cm="1">
        <f t="array" ref="D40">MMS_Swine_N2ODirect_Equations.VEERG_4_5_1_3__3_FractionOfNitrogenInPrimaryMMS_Source()</f>
        <v>VEERG 2026: 4.5.1.3, Equation (3)</v>
      </c>
    </row>
    <row r="41" spans="3:10" ht="20.100000000000001" customHeight="1" x14ac:dyDescent="0.25">
      <c r="D41" s="13" t="s">
        <v>26</v>
      </c>
      <c r="E41" s="13" t="str" cm="1">
        <f t="array" aca="1" ref="E41" ca="1">Common_InputFunctions.Utility_DisplayFunctionName($E$71)</f>
        <v>=MMS_Swine_N2ODirect_Equations.VEERG_4_5_1_3__3_FractionOfNitrogenInPrimaryMMS</v>
      </c>
    </row>
    <row r="42" spans="3:10" ht="20.100000000000001" customHeight="1" x14ac:dyDescent="0.25"/>
    <row r="43" spans="3:10" ht="20.100000000000001" customHeight="1" x14ac:dyDescent="0.25"/>
    <row r="44" spans="3:10" ht="20.100000000000001" customHeight="1" x14ac:dyDescent="0.25">
      <c r="D44" s="53" t="s">
        <v>29</v>
      </c>
      <c r="E44" s="1" t="str" cm="1">
        <f t="array" ref="E44">MMS_Swine_N2ODirect_Equations.VEERG_4_5_1_3__3_FractionOfNitrogenInPrimaryMMS_Variable()</f>
        <v>FN_jmT1</v>
      </c>
    </row>
    <row r="45" spans="3:10" ht="20.100000000000001" customHeight="1" x14ac:dyDescent="0.25">
      <c r="D45" s="53" t="s">
        <v>19</v>
      </c>
      <c r="E45" s="1" t="str" cm="1">
        <f t="array" ref="E45">MMS_Swine_N2ODirect_Equations.VEERG_4_5_1_3__3_FractionOfNitrogenInPrimaryMMS_Unit()</f>
        <v>fraction</v>
      </c>
      <c r="F45" s="107" t="s">
        <v>301</v>
      </c>
      <c r="G45" s="142" t="str" cm="1">
        <f t="array" ref="G45">ManureManagement_Swine_Methane.VEERG_4_5_1_1__4_FractionVolatileSolidsPrimarySystem_Source()</f>
        <v>VEERG 2026: 4.5.1.1, Equation (4)</v>
      </c>
      <c r="H45" s="107"/>
    </row>
    <row r="46" spans="3:10" ht="20.100000000000001" customHeight="1" x14ac:dyDescent="0.25"/>
    <row r="47" spans="3:10" ht="20.100000000000001" customHeight="1" x14ac:dyDescent="0.25">
      <c r="D47" s="57" t="str" cm="1">
        <f t="array" ref="D47:E48">MMS_Swine_N2ODirect_Equations.VEERG_4_5_1_3__3_FractionOfNitrogenInPrimaryMMS_Arguments()</f>
        <v>MMS_jmT1</v>
      </c>
      <c r="E47" s="58" t="str">
        <v>fraction of manure in primary MMS</v>
      </c>
      <c r="F47" s="59"/>
      <c r="G47" s="57" t="str">
        <f>"See " &amp; D50</f>
        <v>See Table_MMS_j_m-1-7-9-8_T-1</v>
      </c>
    </row>
    <row r="48" spans="3:10" ht="20.100000000000001" customHeight="1" x14ac:dyDescent="0.25">
      <c r="D48" s="57" t="str">
        <v>SN_m</v>
      </c>
      <c r="E48" s="58" t="str">
        <v>fraction of nitrogen separated to solid storage for each MMS</v>
      </c>
      <c r="F48" s="59"/>
      <c r="G48" s="57" t="str">
        <f>"See " &amp; D59</f>
        <v>See M1_Table_SN_m-1-7-9</v>
      </c>
    </row>
    <row r="49" spans="4:19" ht="20.100000000000001" customHeight="1" x14ac:dyDescent="0.25"/>
    <row r="50" spans="4:19" ht="20.100000000000001" customHeight="1" x14ac:dyDescent="0.25">
      <c r="D50" s="121" t="s">
        <v>170</v>
      </c>
    </row>
    <row r="51" spans="4:19" ht="20.100000000000001" customHeight="1" x14ac:dyDescent="0.25">
      <c r="D51" s="122" t="s">
        <v>302</v>
      </c>
    </row>
    <row r="52" spans="4:19" ht="20.100000000000001" customHeight="1" x14ac:dyDescent="0.25">
      <c r="D52" s="51" t="s">
        <v>172</v>
      </c>
      <c r="E52" s="51" t="s">
        <v>146</v>
      </c>
      <c r="F52" s="51" t="s">
        <v>147</v>
      </c>
      <c r="G52" s="51" t="s">
        <v>148</v>
      </c>
      <c r="H52" s="51" t="s">
        <v>266</v>
      </c>
    </row>
    <row r="53" spans="4:19" ht="20.100000000000001" customHeight="1" x14ac:dyDescent="0.25">
      <c r="D53" s="57" t="str">
        <f>'Input - Swine'!$D$29</f>
        <v>Anaerobic lagoon</v>
      </c>
      <c r="E53" s="52">
        <f>'Input - Swine'!E29</f>
        <v>0.15</v>
      </c>
      <c r="F53" s="52">
        <f>'Input - Swine'!F29</f>
        <v>0.15</v>
      </c>
      <c r="G53" s="52">
        <f>'Input - Swine'!G29</f>
        <v>0.15</v>
      </c>
      <c r="H53" s="52">
        <f>'Input - Swine'!H29</f>
        <v>0.15</v>
      </c>
      <c r="I53" s="2" t="s">
        <v>99</v>
      </c>
    </row>
    <row r="54" spans="4:19" ht="20.100000000000001" customHeight="1" x14ac:dyDescent="0.25">
      <c r="D54" s="57" t="str">
        <f>'Input - Swine'!$D$30</f>
        <v>Drylot (feed pad)</v>
      </c>
      <c r="E54" s="52">
        <f>'Input - Swine'!E30</f>
        <v>0.15</v>
      </c>
      <c r="F54" s="52">
        <f>'Input - Swine'!F30</f>
        <v>0.15</v>
      </c>
      <c r="G54" s="52">
        <f>'Input - Swine'!G30</f>
        <v>0.15</v>
      </c>
      <c r="H54" s="52">
        <f>'Input - Swine'!H30</f>
        <v>0.15</v>
      </c>
      <c r="I54" s="2" t="s">
        <v>99</v>
      </c>
    </row>
    <row r="55" spans="4:19" ht="20.100000000000001" customHeight="1" x14ac:dyDescent="0.25">
      <c r="D55" s="57" t="str">
        <f>'Input - Swine'!$D$31</f>
        <v>Digester / covered lagoons</v>
      </c>
      <c r="E55" s="52">
        <f>'Input - Swine'!E31</f>
        <v>0.15</v>
      </c>
      <c r="F55" s="52">
        <f>'Input - Swine'!F31</f>
        <v>0.15</v>
      </c>
      <c r="G55" s="52">
        <f>'Input - Swine'!G31</f>
        <v>0.15</v>
      </c>
      <c r="H55" s="52">
        <f>'Input - Swine'!H31</f>
        <v>0.15</v>
      </c>
      <c r="I55" s="2" t="s">
        <v>99</v>
      </c>
    </row>
    <row r="56" spans="4:19" ht="20.100000000000001" customHeight="1" x14ac:dyDescent="0.25">
      <c r="D56" s="57" t="str">
        <f>'Input - Swine'!$D$32</f>
        <v>Deep litter</v>
      </c>
      <c r="E56" s="52">
        <f>'Input - Swine'!E32</f>
        <v>0.15</v>
      </c>
      <c r="F56" s="52">
        <f>'Input - Swine'!F32</f>
        <v>0.15</v>
      </c>
      <c r="G56" s="52">
        <f>'Input - Swine'!G32</f>
        <v>0.15</v>
      </c>
      <c r="H56" s="52">
        <f>'Input - Swine'!H32</f>
        <v>0.15</v>
      </c>
      <c r="I56" s="2" t="s">
        <v>99</v>
      </c>
    </row>
    <row r="57" spans="4:19" ht="20.100000000000001" customHeight="1" x14ac:dyDescent="0.25">
      <c r="D57" s="57" t="str">
        <f>'Input - Swine'!$D$33</f>
        <v>Pit storage</v>
      </c>
      <c r="E57" s="52">
        <f>'Input - Swine'!E33</f>
        <v>0.15</v>
      </c>
      <c r="F57" s="52">
        <f>'Input - Swine'!F33</f>
        <v>0.15</v>
      </c>
      <c r="G57" s="52">
        <f>'Input - Swine'!G33</f>
        <v>0.15</v>
      </c>
      <c r="H57" s="52">
        <f>'Input - Swine'!H33</f>
        <v>0.15</v>
      </c>
      <c r="I57" s="2" t="s">
        <v>99</v>
      </c>
    </row>
    <row r="58" spans="4:19" ht="20.100000000000001" customHeight="1" x14ac:dyDescent="0.25"/>
    <row r="59" spans="4:19" ht="20.100000000000001" customHeight="1" x14ac:dyDescent="0.25">
      <c r="D59" s="121" t="s">
        <v>303</v>
      </c>
      <c r="N59" s="121" t="s">
        <v>331</v>
      </c>
    </row>
    <row r="60" spans="4:19" ht="20.100000000000001" customHeight="1" x14ac:dyDescent="0.25">
      <c r="D60" s="122" t="s">
        <v>304</v>
      </c>
      <c r="N60" s="122" t="s">
        <v>332</v>
      </c>
    </row>
    <row r="61" spans="4:19" ht="20.100000000000001" customHeight="1" x14ac:dyDescent="0.25">
      <c r="D61" s="51" t="s">
        <v>172</v>
      </c>
      <c r="E61" s="51" t="s">
        <v>146</v>
      </c>
      <c r="F61" s="51" t="s">
        <v>147</v>
      </c>
      <c r="G61" s="51" t="s">
        <v>148</v>
      </c>
      <c r="H61" s="51" t="s">
        <v>266</v>
      </c>
      <c r="N61" s="51" t="s">
        <v>172</v>
      </c>
      <c r="O61" s="51" t="s">
        <v>146</v>
      </c>
      <c r="P61" s="51" t="s">
        <v>147</v>
      </c>
      <c r="Q61" s="51" t="s">
        <v>148</v>
      </c>
      <c r="R61" s="51" t="s">
        <v>266</v>
      </c>
    </row>
    <row r="62" spans="4:19" ht="20.100000000000001" customHeight="1" x14ac:dyDescent="0.25">
      <c r="D62" s="57" t="str">
        <f>'Input - Swine'!$D$29</f>
        <v>Anaerobic lagoon</v>
      </c>
      <c r="E62" s="52">
        <f>'Input - Swine'!$F$39</f>
        <v>0.2</v>
      </c>
      <c r="F62" s="52">
        <f>'Input - Swine'!$F$39</f>
        <v>0.2</v>
      </c>
      <c r="G62" s="52">
        <f>'Input - Swine'!$F$39</f>
        <v>0.2</v>
      </c>
      <c r="H62" s="52">
        <f>'Input - Swine'!$F$39</f>
        <v>0.2</v>
      </c>
      <c r="I62" s="2" t="s">
        <v>99</v>
      </c>
      <c r="N62" s="57" t="str">
        <f>'Input - Swine'!$D$29</f>
        <v>Anaerobic lagoon</v>
      </c>
      <c r="O62" s="52">
        <f>'Input - Swine'!$G$39</f>
        <v>0.2</v>
      </c>
      <c r="P62" s="52">
        <f>'Input - Swine'!$G$39</f>
        <v>0.2</v>
      </c>
      <c r="Q62" s="52">
        <f>'Input - Swine'!$G$39</f>
        <v>0.2</v>
      </c>
      <c r="R62" s="52">
        <f>'Input - Swine'!$G$39</f>
        <v>0.2</v>
      </c>
      <c r="S62" s="2" t="s">
        <v>99</v>
      </c>
    </row>
    <row r="63" spans="4:19" ht="20.100000000000001" customHeight="1" x14ac:dyDescent="0.25">
      <c r="D63" s="57" t="str">
        <f>'Input - Swine'!$D$30</f>
        <v>Drylot (feed pad)</v>
      </c>
      <c r="E63" s="52">
        <f>'Input - Swine'!$F$40</f>
        <v>0.2</v>
      </c>
      <c r="F63" s="52">
        <f>'Input - Swine'!$F$40</f>
        <v>0.2</v>
      </c>
      <c r="G63" s="52">
        <f>'Input - Swine'!$F$40</f>
        <v>0.2</v>
      </c>
      <c r="H63" s="52">
        <f>'Input - Swine'!$F$40</f>
        <v>0.2</v>
      </c>
      <c r="I63" s="2" t="s">
        <v>99</v>
      </c>
      <c r="N63" s="57" t="str">
        <f>'Input - Swine'!$D$30</f>
        <v>Drylot (feed pad)</v>
      </c>
      <c r="O63" s="52">
        <f>'Input - Swine'!$G$40</f>
        <v>0.2</v>
      </c>
      <c r="P63" s="52">
        <f>'Input - Swine'!$G$40</f>
        <v>0.2</v>
      </c>
      <c r="Q63" s="52">
        <f>'Input - Swine'!$G$40</f>
        <v>0.2</v>
      </c>
      <c r="R63" s="52">
        <f>'Input - Swine'!$G$40</f>
        <v>0.2</v>
      </c>
      <c r="S63" s="2" t="s">
        <v>99</v>
      </c>
    </row>
    <row r="64" spans="4:19" ht="20.100000000000001" customHeight="1" x14ac:dyDescent="0.25">
      <c r="D64" s="57" t="str">
        <f>'Input - Swine'!$D$31</f>
        <v>Digester / covered lagoons</v>
      </c>
      <c r="E64" s="52">
        <f>'Input - Swine'!$F$41</f>
        <v>0.2</v>
      </c>
      <c r="F64" s="52">
        <f>'Input - Swine'!$F$41</f>
        <v>0.2</v>
      </c>
      <c r="G64" s="52">
        <f>'Input - Swine'!$F$41</f>
        <v>0.2</v>
      </c>
      <c r="H64" s="52">
        <f>'Input - Swine'!$F$41</f>
        <v>0.2</v>
      </c>
      <c r="I64" s="2" t="s">
        <v>99</v>
      </c>
      <c r="N64" s="57" t="str">
        <f>'Input - Swine'!$D$31</f>
        <v>Digester / covered lagoons</v>
      </c>
      <c r="O64" s="52">
        <f>'Input - Swine'!$G$41</f>
        <v>0.2</v>
      </c>
      <c r="P64" s="52">
        <f>'Input - Swine'!$G$41</f>
        <v>0.2</v>
      </c>
      <c r="Q64" s="52">
        <f>'Input - Swine'!$G$41</f>
        <v>0.2</v>
      </c>
      <c r="R64" s="52">
        <f>'Input - Swine'!$G$41</f>
        <v>0.2</v>
      </c>
      <c r="S64" s="2" t="s">
        <v>99</v>
      </c>
    </row>
    <row r="65" spans="3:21" ht="20.100000000000001" customHeight="1" x14ac:dyDescent="0.25">
      <c r="D65" s="57" t="str">
        <f>'Input - Swine'!$D$32</f>
        <v>Deep litter</v>
      </c>
      <c r="E65" s="52">
        <f>'Input - Swine'!$F$42</f>
        <v>0.2</v>
      </c>
      <c r="F65" s="52">
        <f>'Input - Swine'!$F$42</f>
        <v>0.2</v>
      </c>
      <c r="G65" s="52">
        <f>'Input - Swine'!$F$42</f>
        <v>0.2</v>
      </c>
      <c r="H65" s="52">
        <f>'Input - Swine'!$F$42</f>
        <v>0.2</v>
      </c>
      <c r="I65" s="2" t="s">
        <v>99</v>
      </c>
      <c r="N65" s="57" t="str">
        <f>'Input - Swine'!$D$32</f>
        <v>Deep litter</v>
      </c>
      <c r="O65" s="52">
        <f>'Input - Swine'!$G$42</f>
        <v>0.2</v>
      </c>
      <c r="P65" s="52">
        <f>'Input - Swine'!$G$42</f>
        <v>0.2</v>
      </c>
      <c r="Q65" s="52">
        <f>'Input - Swine'!$G$42</f>
        <v>0.2</v>
      </c>
      <c r="R65" s="52">
        <f>'Input - Swine'!$G$42</f>
        <v>0.2</v>
      </c>
      <c r="S65" s="2" t="s">
        <v>99</v>
      </c>
    </row>
    <row r="66" spans="3:21" ht="20.100000000000001" customHeight="1" x14ac:dyDescent="0.25">
      <c r="D66" s="57" t="str">
        <f>'Input - Swine'!$D$33</f>
        <v>Pit storage</v>
      </c>
      <c r="E66" s="52">
        <f>'Input - Swine'!$F$43</f>
        <v>0.2</v>
      </c>
      <c r="F66" s="52">
        <f>'Input - Swine'!$F$43</f>
        <v>0.2</v>
      </c>
      <c r="G66" s="52">
        <f>'Input - Swine'!$F$43</f>
        <v>0.2</v>
      </c>
      <c r="H66" s="52">
        <f>'Input - Swine'!$F$43</f>
        <v>0.2</v>
      </c>
      <c r="I66" s="2" t="s">
        <v>99</v>
      </c>
      <c r="N66" s="57" t="str">
        <f>'Input - Swine'!$D$33</f>
        <v>Pit storage</v>
      </c>
      <c r="O66" s="52">
        <f>'Input - Swine'!$G$43</f>
        <v>0.2</v>
      </c>
      <c r="P66" s="52">
        <f>'Input - Swine'!$G$43</f>
        <v>0.2</v>
      </c>
      <c r="Q66" s="52">
        <f>'Input - Swine'!$G$43</f>
        <v>0.2</v>
      </c>
      <c r="R66" s="52">
        <f>'Input - Swine'!$G$43</f>
        <v>0.2</v>
      </c>
      <c r="S66" s="2" t="s">
        <v>99</v>
      </c>
    </row>
    <row r="67" spans="3:21" ht="20.100000000000001" customHeight="1" x14ac:dyDescent="0.25"/>
    <row r="68" spans="3:21" ht="20.100000000000001" customHeight="1" x14ac:dyDescent="0.25">
      <c r="D68" s="121" t="s">
        <v>305</v>
      </c>
      <c r="N68" s="121" t="s">
        <v>337</v>
      </c>
    </row>
    <row r="69" spans="3:21" ht="20.100000000000001" customHeight="1" x14ac:dyDescent="0.25">
      <c r="D69" s="122" t="s">
        <v>310</v>
      </c>
      <c r="N69" s="122" t="s">
        <v>338</v>
      </c>
    </row>
    <row r="70" spans="3:21" ht="20.100000000000001" customHeight="1" x14ac:dyDescent="0.25">
      <c r="D70" s="51" t="s">
        <v>172</v>
      </c>
      <c r="E70" s="51" t="s">
        <v>146</v>
      </c>
      <c r="F70" s="51" t="s">
        <v>147</v>
      </c>
      <c r="G70" s="51" t="s">
        <v>148</v>
      </c>
      <c r="H70" s="51" t="s">
        <v>266</v>
      </c>
      <c r="N70" s="51" t="s">
        <v>172</v>
      </c>
      <c r="O70" s="51" t="s">
        <v>146</v>
      </c>
      <c r="P70" s="51" t="s">
        <v>147</v>
      </c>
      <c r="Q70" s="51" t="s">
        <v>148</v>
      </c>
      <c r="R70" s="51" t="s">
        <v>266</v>
      </c>
    </row>
    <row r="71" spans="3:21" ht="20.100000000000001" customHeight="1" x14ac:dyDescent="0.25">
      <c r="D71" s="57" t="str">
        <f>'Input - Swine'!$D$29</f>
        <v>Anaerobic lagoon</v>
      </c>
      <c r="E71" s="52" cm="1">
        <f t="array" ref="E71">MMS_Swine_N2ODirect_Equations.VEERG_4_5_1_3__3_FractionOfNitrogenInPrimaryMMS(E53,E62)</f>
        <v>0.12</v>
      </c>
      <c r="F71" s="52" cm="1">
        <f t="array" ref="F71">MMS_Swine_N2ODirect_Equations.VEERG_4_5_1_3__3_FractionOfNitrogenInPrimaryMMS(F53,F62)</f>
        <v>0.12</v>
      </c>
      <c r="G71" s="52" cm="1">
        <f t="array" ref="G71">MMS_Swine_N2ODirect_Equations.VEERG_4_5_1_3__3_FractionOfNitrogenInPrimaryMMS(G53,G62)</f>
        <v>0.12</v>
      </c>
      <c r="H71" s="52" cm="1">
        <f t="array" ref="H71">MMS_Swine_N2ODirect_Equations.VEERG_4_5_1_3__3_FractionOfNitrogenInPrimaryMMS(H53,H62)</f>
        <v>0.12</v>
      </c>
      <c r="I71" s="2" t="str">
        <f>$E$45</f>
        <v>fraction</v>
      </c>
      <c r="N71" s="57" t="str">
        <f>'Input - Swine'!$D$29</f>
        <v>Anaerobic lagoon</v>
      </c>
      <c r="O71" s="52" cm="1">
        <f t="array" ref="O71">MMS_Swine_N2ODirect_Equations.VEERG_4_5_1_3__3_FractionOfNitrogenInPrimaryMMS(E53,O62)</f>
        <v>0.12</v>
      </c>
      <c r="P71" s="52" cm="1">
        <f t="array" ref="P71">MMS_Swine_N2ODirect_Equations.VEERG_4_5_1_3__3_FractionOfNitrogenInPrimaryMMS(F53,P62)</f>
        <v>0.12</v>
      </c>
      <c r="Q71" s="52" cm="1">
        <f t="array" ref="Q71">MMS_Swine_N2ODirect_Equations.VEERG_4_5_1_3__3_FractionOfNitrogenInPrimaryMMS(G53,Q62)</f>
        <v>0.12</v>
      </c>
      <c r="R71" s="52" cm="1">
        <f t="array" ref="R71">MMS_Swine_N2ODirect_Equations.VEERG_4_5_1_3__3_FractionOfNitrogenInPrimaryMMS(H53,R62)</f>
        <v>0.12</v>
      </c>
      <c r="S71" s="2" t="str">
        <f>$E$45</f>
        <v>fraction</v>
      </c>
    </row>
    <row r="72" spans="3:21" ht="20.100000000000001" customHeight="1" x14ac:dyDescent="0.25">
      <c r="D72" s="57" t="str">
        <f>'Input - Swine'!$D$30</f>
        <v>Drylot (feed pad)</v>
      </c>
      <c r="E72" s="52" cm="1">
        <f t="array" ref="E72">MMS_Swine_N2ODirect_Equations.VEERG_4_5_1_3__3_FractionOfNitrogenInPrimaryMMS(E54,E63)</f>
        <v>0.12</v>
      </c>
      <c r="F72" s="52" cm="1">
        <f t="array" ref="F72">MMS_Swine_N2ODirect_Equations.VEERG_4_5_1_3__3_FractionOfNitrogenInPrimaryMMS(F54,F63)</f>
        <v>0.12</v>
      </c>
      <c r="G72" s="52" cm="1">
        <f t="array" ref="G72">MMS_Swine_N2ODirect_Equations.VEERG_4_5_1_3__3_FractionOfNitrogenInPrimaryMMS(G54,G63)</f>
        <v>0.12</v>
      </c>
      <c r="H72" s="52" cm="1">
        <f t="array" ref="H72">MMS_Swine_N2ODirect_Equations.VEERG_4_5_1_3__3_FractionOfNitrogenInPrimaryMMS(H54,H63)</f>
        <v>0.12</v>
      </c>
      <c r="I72" s="2" t="str">
        <f t="shared" ref="I72:I75" si="0">$E$45</f>
        <v>fraction</v>
      </c>
      <c r="N72" s="57" t="str">
        <f>'Input - Swine'!$D$30</f>
        <v>Drylot (feed pad)</v>
      </c>
      <c r="O72" s="52" cm="1">
        <f t="array" ref="O72">MMS_Swine_N2ODirect_Equations.VEERG_4_5_1_3__3_FractionOfNitrogenInPrimaryMMS(E54,O63)</f>
        <v>0.12</v>
      </c>
      <c r="P72" s="52" cm="1">
        <f t="array" ref="P72">MMS_Swine_N2ODirect_Equations.VEERG_4_5_1_3__3_FractionOfNitrogenInPrimaryMMS(F54,P63)</f>
        <v>0.12</v>
      </c>
      <c r="Q72" s="52" cm="1">
        <f t="array" ref="Q72">MMS_Swine_N2ODirect_Equations.VEERG_4_5_1_3__3_FractionOfNitrogenInPrimaryMMS(G54,Q63)</f>
        <v>0.12</v>
      </c>
      <c r="R72" s="52" cm="1">
        <f t="array" ref="R72">MMS_Swine_N2ODirect_Equations.VEERG_4_5_1_3__3_FractionOfNitrogenInPrimaryMMS(H54,R63)</f>
        <v>0.12</v>
      </c>
      <c r="S72" s="2" t="str">
        <f t="shared" ref="S72:S75" si="1">$E$45</f>
        <v>fraction</v>
      </c>
    </row>
    <row r="73" spans="3:21" ht="20.100000000000001" customHeight="1" x14ac:dyDescent="0.25">
      <c r="D73" s="57" t="str">
        <f>'Input - Swine'!$D$31</f>
        <v>Digester / covered lagoons</v>
      </c>
      <c r="E73" s="52" cm="1">
        <f t="array" ref="E73">MMS_Swine_N2ODirect_Equations.VEERG_4_5_1_3__3_FractionOfNitrogenInPrimaryMMS(E55,E64)</f>
        <v>0.12</v>
      </c>
      <c r="F73" s="52" cm="1">
        <f t="array" ref="F73">MMS_Swine_N2ODirect_Equations.VEERG_4_5_1_3__3_FractionOfNitrogenInPrimaryMMS(F55,F64)</f>
        <v>0.12</v>
      </c>
      <c r="G73" s="52" cm="1">
        <f t="array" ref="G73">MMS_Swine_N2ODirect_Equations.VEERG_4_5_1_3__3_FractionOfNitrogenInPrimaryMMS(G55,G64)</f>
        <v>0.12</v>
      </c>
      <c r="H73" s="52" cm="1">
        <f t="array" ref="H73">MMS_Swine_N2ODirect_Equations.VEERG_4_5_1_3__3_FractionOfNitrogenInPrimaryMMS(H55,H64)</f>
        <v>0.12</v>
      </c>
      <c r="I73" s="2" t="str">
        <f t="shared" si="0"/>
        <v>fraction</v>
      </c>
      <c r="N73" s="57" t="str">
        <f>'Input - Swine'!$D$31</f>
        <v>Digester / covered lagoons</v>
      </c>
      <c r="O73" s="52" cm="1">
        <f t="array" ref="O73">MMS_Swine_N2ODirect_Equations.VEERG_4_5_1_3__3_FractionOfNitrogenInPrimaryMMS(E55,O64)</f>
        <v>0.12</v>
      </c>
      <c r="P73" s="52" cm="1">
        <f t="array" ref="P73">MMS_Swine_N2ODirect_Equations.VEERG_4_5_1_3__3_FractionOfNitrogenInPrimaryMMS(F55,P64)</f>
        <v>0.12</v>
      </c>
      <c r="Q73" s="52" cm="1">
        <f t="array" ref="Q73">MMS_Swine_N2ODirect_Equations.VEERG_4_5_1_3__3_FractionOfNitrogenInPrimaryMMS(G55,Q64)</f>
        <v>0.12</v>
      </c>
      <c r="R73" s="52" cm="1">
        <f t="array" ref="R73">MMS_Swine_N2ODirect_Equations.VEERG_4_5_1_3__3_FractionOfNitrogenInPrimaryMMS(H55,R64)</f>
        <v>0.12</v>
      </c>
      <c r="S73" s="2" t="str">
        <f t="shared" si="1"/>
        <v>fraction</v>
      </c>
    </row>
    <row r="74" spans="3:21" ht="20.100000000000001" customHeight="1" x14ac:dyDescent="0.25">
      <c r="D74" s="57" t="str">
        <f>'Input - Swine'!$D$32</f>
        <v>Deep litter</v>
      </c>
      <c r="E74" s="52" cm="1">
        <f t="array" ref="E74">MMS_Swine_N2ODirect_Equations.VEERG_4_5_1_3__3_FractionOfNitrogenInPrimaryMMS(E56,E65)</f>
        <v>0.12</v>
      </c>
      <c r="F74" s="52" cm="1">
        <f t="array" ref="F74">MMS_Swine_N2ODirect_Equations.VEERG_4_5_1_3__3_FractionOfNitrogenInPrimaryMMS(F56,F65)</f>
        <v>0.12</v>
      </c>
      <c r="G74" s="52" cm="1">
        <f t="array" ref="G74">MMS_Swine_N2ODirect_Equations.VEERG_4_5_1_3__3_FractionOfNitrogenInPrimaryMMS(G56,G65)</f>
        <v>0.12</v>
      </c>
      <c r="H74" s="52" cm="1">
        <f t="array" ref="H74">MMS_Swine_N2ODirect_Equations.VEERG_4_5_1_3__3_FractionOfNitrogenInPrimaryMMS(H56,H65)</f>
        <v>0.12</v>
      </c>
      <c r="I74" s="2" t="str">
        <f t="shared" si="0"/>
        <v>fraction</v>
      </c>
      <c r="N74" s="57" t="str">
        <f>'Input - Swine'!$D$32</f>
        <v>Deep litter</v>
      </c>
      <c r="O74" s="52" cm="1">
        <f t="array" ref="O74">MMS_Swine_N2ODirect_Equations.VEERG_4_5_1_3__3_FractionOfNitrogenInPrimaryMMS(E56,O65)</f>
        <v>0.12</v>
      </c>
      <c r="P74" s="52" cm="1">
        <f t="array" ref="P74">MMS_Swine_N2ODirect_Equations.VEERG_4_5_1_3__3_FractionOfNitrogenInPrimaryMMS(F56,P65)</f>
        <v>0.12</v>
      </c>
      <c r="Q74" s="52" cm="1">
        <f t="array" ref="Q74">MMS_Swine_N2ODirect_Equations.VEERG_4_5_1_3__3_FractionOfNitrogenInPrimaryMMS(G56,Q65)</f>
        <v>0.12</v>
      </c>
      <c r="R74" s="52" cm="1">
        <f t="array" ref="R74">MMS_Swine_N2ODirect_Equations.VEERG_4_5_1_3__3_FractionOfNitrogenInPrimaryMMS(H56,R65)</f>
        <v>0.12</v>
      </c>
      <c r="S74" s="2" t="str">
        <f t="shared" si="1"/>
        <v>fraction</v>
      </c>
    </row>
    <row r="75" spans="3:21" ht="20.100000000000001" customHeight="1" x14ac:dyDescent="0.25">
      <c r="D75" s="57" t="str">
        <f>'Input - Swine'!$D$33</f>
        <v>Pit storage</v>
      </c>
      <c r="E75" s="52" cm="1">
        <f t="array" ref="E75">MMS_Swine_N2ODirect_Equations.VEERG_4_5_1_3__3_FractionOfNitrogenInPrimaryMMS(E57,E66)</f>
        <v>0.12</v>
      </c>
      <c r="F75" s="52" cm="1">
        <f t="array" ref="F75">MMS_Swine_N2ODirect_Equations.VEERG_4_5_1_3__3_FractionOfNitrogenInPrimaryMMS(F57,F66)</f>
        <v>0.12</v>
      </c>
      <c r="G75" s="52" cm="1">
        <f t="array" ref="G75">MMS_Swine_N2ODirect_Equations.VEERG_4_5_1_3__3_FractionOfNitrogenInPrimaryMMS(G57,G66)</f>
        <v>0.12</v>
      </c>
      <c r="H75" s="52" cm="1">
        <f t="array" ref="H75">MMS_Swine_N2ODirect_Equations.VEERG_4_5_1_3__3_FractionOfNitrogenInPrimaryMMS(H57,H66)</f>
        <v>0.12</v>
      </c>
      <c r="I75" s="2" t="str">
        <f t="shared" si="0"/>
        <v>fraction</v>
      </c>
      <c r="N75" s="57" t="str">
        <f>'Input - Swine'!$D$33</f>
        <v>Pit storage</v>
      </c>
      <c r="O75" s="52" cm="1">
        <f t="array" ref="O75">MMS_Swine_N2ODirect_Equations.VEERG_4_5_1_3__3_FractionOfNitrogenInPrimaryMMS(E57,O66)</f>
        <v>0.12</v>
      </c>
      <c r="P75" s="52" cm="1">
        <f t="array" ref="P75">MMS_Swine_N2ODirect_Equations.VEERG_4_5_1_3__3_FractionOfNitrogenInPrimaryMMS(F57,P66)</f>
        <v>0.12</v>
      </c>
      <c r="Q75" s="52" cm="1">
        <f t="array" ref="Q75">MMS_Swine_N2ODirect_Equations.VEERG_4_5_1_3__3_FractionOfNitrogenInPrimaryMMS(G57,Q66)</f>
        <v>0.12</v>
      </c>
      <c r="R75" s="52" cm="1">
        <f t="array" ref="R75">MMS_Swine_N2ODirect_Equations.VEERG_4_5_1_3__3_FractionOfNitrogenInPrimaryMMS(H57,R66)</f>
        <v>0.12</v>
      </c>
      <c r="S75" s="2" t="str">
        <f t="shared" si="1"/>
        <v>fraction</v>
      </c>
    </row>
    <row r="76" spans="3:21" ht="20.100000000000001" customHeight="1" x14ac:dyDescent="0.25"/>
    <row r="77" spans="3:21" ht="20.100000000000001" customHeight="1" x14ac:dyDescent="0.25"/>
    <row r="78" spans="3:21" ht="20.100000000000001" customHeight="1" x14ac:dyDescent="0.25">
      <c r="C78" s="45"/>
      <c r="D78" s="45"/>
      <c r="E78" s="45"/>
      <c r="F78" s="45"/>
      <c r="G78" s="45"/>
      <c r="H78" s="45"/>
      <c r="I78" s="45"/>
      <c r="J78" s="45"/>
      <c r="K78" s="45"/>
      <c r="M78" s="45"/>
      <c r="N78" s="45"/>
      <c r="O78" s="45"/>
      <c r="P78" s="45"/>
      <c r="Q78" s="45"/>
      <c r="R78" s="45"/>
      <c r="S78" s="45"/>
      <c r="T78" s="45"/>
      <c r="U78" s="45"/>
    </row>
    <row r="79" spans="3:21" ht="20.100000000000001" customHeight="1" x14ac:dyDescent="0.25">
      <c r="C79" s="141"/>
      <c r="D79" s="6" t="str" cm="1">
        <f t="array" ref="D79">MMS_Swine_N2ODirect_Equations.VEERG_4_5_1_3__4_FractionOfNitrogenInSolidStorage_Title()</f>
        <v>Fraction of nitrogen in solid storage</v>
      </c>
      <c r="E79" s="141"/>
      <c r="F79" s="141"/>
      <c r="G79" s="141"/>
      <c r="H79" s="141"/>
      <c r="I79" s="141"/>
      <c r="J79" s="141"/>
    </row>
    <row r="80" spans="3:21" ht="20.100000000000001" customHeight="1" x14ac:dyDescent="0.25">
      <c r="C80" s="141"/>
      <c r="D80" s="5" t="str" cm="1">
        <f t="array" ref="D80">MMS_Swine_N2ODirect_Equations.VEERG_4_5_1_3__4_FractionOfNitrogenInSolidStorage_Source()</f>
        <v>VEERG 2026: 4.5.1.3, Equation (4)</v>
      </c>
      <c r="E80" s="141"/>
      <c r="F80" s="141"/>
      <c r="G80" s="141"/>
      <c r="H80" s="141"/>
      <c r="I80" s="141"/>
      <c r="J80" s="141"/>
    </row>
    <row r="81" spans="4:9" ht="20.100000000000001" customHeight="1" x14ac:dyDescent="0.25">
      <c r="D81" s="55" t="str" cm="1">
        <f t="array" ref="D81">MMS_Swine_N2ODirect_Equations.VEERG_4_5_1_3__4_FractionOfNitrogenInSolidStorage_Variation()</f>
        <v>VARIATION ON SOURCE: Split equation for MMSm=1,7,9 into separate items to allow for calculation</v>
      </c>
    </row>
    <row r="82" spans="4:9" ht="20.100000000000001" customHeight="1" x14ac:dyDescent="0.25">
      <c r="D82" s="13" t="s">
        <v>26</v>
      </c>
      <c r="E82" s="13" t="str" cm="1">
        <f t="array" aca="1" ref="E82" ca="1">Common_InputFunctions.Utility_DisplayFunctionName($E$100)</f>
        <v>=MMS_Swine_N2ODirect_Equations.VEERG_4_5_1_3__4_FractionOfNitrogenInSolidStorageVariation</v>
      </c>
    </row>
    <row r="83" spans="4:9" ht="20.100000000000001" customHeight="1" x14ac:dyDescent="0.25">
      <c r="D83" s="55"/>
    </row>
    <row r="84" spans="4:9" ht="20.100000000000001" customHeight="1" x14ac:dyDescent="0.25"/>
    <row r="85" spans="4:9" ht="20.100000000000001" customHeight="1" x14ac:dyDescent="0.25">
      <c r="D85" s="53" t="s">
        <v>29</v>
      </c>
      <c r="E85" s="1" t="str" cm="1">
        <f t="array" ref="E85">MMS_Swine_N2ODirect_Equations.VEERG_4_5_1_3__4_FractionOfNitrogenInSolidStorage_Variable()</f>
        <v>FN_jm4T1</v>
      </c>
    </row>
    <row r="86" spans="4:9" ht="20.100000000000001" customHeight="1" x14ac:dyDescent="0.25">
      <c r="D86" s="53" t="s">
        <v>19</v>
      </c>
      <c r="E86" s="54" t="str" cm="1">
        <f t="array" ref="E86">MMS_Swine_N2ODirect_Equations.VEERG_4_5_1_3__4_FractionOfNitrogenInSolidStorage_Unit()</f>
        <v>fraction</v>
      </c>
      <c r="F86" s="107" t="s">
        <v>301</v>
      </c>
      <c r="G86" s="142" t="str" cm="1">
        <f t="array" ref="G86">ManureManagement_Swine_Methane.VEERG_4_5_1_1__5_FractionVolatileSolidsSolidStorage_Source()</f>
        <v>VEERG 2026: 4.5.1.1, Equation (5)</v>
      </c>
      <c r="H86" s="107"/>
    </row>
    <row r="87" spans="4:9" ht="20.100000000000001" customHeight="1" x14ac:dyDescent="0.25"/>
    <row r="88" spans="4:9" ht="20.100000000000001" customHeight="1" x14ac:dyDescent="0.25">
      <c r="D88" s="57" t="str" cm="1">
        <f t="array" ref="D88:E90">MMS_Swine_N2ODirect_Equations.VEERG_4_5_1_3__4_FractionOfNitrogenInSolidStorage_Arguments()</f>
        <v>MMS_jm4T1</v>
      </c>
      <c r="E88" s="58" t="str">
        <v>fraction of manure in solid storage MMS</v>
      </c>
      <c r="F88" s="59"/>
      <c r="G88" s="57" t="str">
        <f>"See " &amp; $D$92</f>
        <v>See Table_MMS_j_m-4_T-1</v>
      </c>
    </row>
    <row r="89" spans="4:9" ht="20.100000000000001" customHeight="1" x14ac:dyDescent="0.25">
      <c r="D89" s="57" t="str">
        <v>MMS_jm179T1</v>
      </c>
      <c r="E89" s="58" t="str">
        <v>fraction of manure in primary liquid systems (m=1,7,9)</v>
      </c>
      <c r="F89" s="59"/>
      <c r="G89" s="57" t="str">
        <f>"See " &amp; $D$50</f>
        <v>See Table_MMS_j_m-1-7-9-8_T-1</v>
      </c>
    </row>
    <row r="90" spans="4:9" ht="20.100000000000001" customHeight="1" x14ac:dyDescent="0.25">
      <c r="D90" s="57" t="str">
        <v>SN_m</v>
      </c>
      <c r="E90" s="58" t="str">
        <v>fraction of nitrogen separated to solid storage for each MMS</v>
      </c>
      <c r="F90" s="59"/>
      <c r="G90" s="57" t="str">
        <f>"See " &amp; $D$59</f>
        <v>See M1_Table_SN_m-1-7-9</v>
      </c>
    </row>
    <row r="91" spans="4:9" ht="20.100000000000001" customHeight="1" x14ac:dyDescent="0.25"/>
    <row r="92" spans="4:9" ht="20.100000000000001" customHeight="1" x14ac:dyDescent="0.25">
      <c r="D92" s="121" t="s">
        <v>184</v>
      </c>
    </row>
    <row r="93" spans="4:9" ht="20.100000000000001" customHeight="1" x14ac:dyDescent="0.25">
      <c r="D93" s="122" t="s">
        <v>185</v>
      </c>
    </row>
    <row r="94" spans="4:9" ht="20.100000000000001" customHeight="1" x14ac:dyDescent="0.25">
      <c r="D94" s="51" t="s">
        <v>172</v>
      </c>
      <c r="E94" s="51" t="s">
        <v>146</v>
      </c>
      <c r="F94" s="51" t="s">
        <v>147</v>
      </c>
      <c r="G94" s="51" t="s">
        <v>148</v>
      </c>
      <c r="H94" s="51" t="s">
        <v>266</v>
      </c>
    </row>
    <row r="95" spans="4:9" ht="20.100000000000001" customHeight="1" x14ac:dyDescent="0.25">
      <c r="D95" s="57" t="str">
        <f>'Input - Swine'!$D$34</f>
        <v>Solid storage</v>
      </c>
      <c r="E95" s="52">
        <f>'Input - Swine'!E34</f>
        <v>0.25</v>
      </c>
      <c r="F95" s="52">
        <f>'Input - Swine'!F34</f>
        <v>0.25</v>
      </c>
      <c r="G95" s="52">
        <f>'Input - Swine'!G34</f>
        <v>0.25</v>
      </c>
      <c r="H95" s="52">
        <f>'Input - Swine'!H34</f>
        <v>0.25</v>
      </c>
      <c r="I95" s="2" t="s">
        <v>99</v>
      </c>
    </row>
    <row r="96" spans="4:9" ht="20.100000000000001" customHeight="1" x14ac:dyDescent="0.25"/>
    <row r="97" spans="3:21" ht="20.100000000000001" customHeight="1" x14ac:dyDescent="0.25">
      <c r="D97" s="121" t="s">
        <v>256</v>
      </c>
      <c r="N97" s="121" t="s">
        <v>270</v>
      </c>
    </row>
    <row r="98" spans="3:21" ht="20.100000000000001" customHeight="1" x14ac:dyDescent="0.25">
      <c r="D98" s="122" t="s">
        <v>257</v>
      </c>
      <c r="N98" s="122" t="s">
        <v>271</v>
      </c>
    </row>
    <row r="99" spans="3:21" ht="20.100000000000001" customHeight="1" x14ac:dyDescent="0.25">
      <c r="D99" s="51" t="s">
        <v>172</v>
      </c>
      <c r="E99" s="51" t="s">
        <v>146</v>
      </c>
      <c r="F99" s="51" t="s">
        <v>147</v>
      </c>
      <c r="G99" s="51" t="s">
        <v>148</v>
      </c>
      <c r="H99" s="51" t="s">
        <v>266</v>
      </c>
      <c r="N99" s="51" t="s">
        <v>172</v>
      </c>
      <c r="O99" s="51" t="s">
        <v>146</v>
      </c>
      <c r="P99" s="51" t="s">
        <v>147</v>
      </c>
      <c r="Q99" s="51" t="s">
        <v>148</v>
      </c>
      <c r="R99" s="51" t="s">
        <v>266</v>
      </c>
    </row>
    <row r="100" spans="3:21" ht="20.100000000000001" customHeight="1" x14ac:dyDescent="0.25">
      <c r="D100" s="57" t="str">
        <f>'Input - Swine'!$D$34</f>
        <v>Solid storage</v>
      </c>
      <c r="E100" s="52" cm="1">
        <f t="array" ref="E100">MMS_Swine_N2ODirect_Equations.VEERG_4_5_1_3__4_FractionOfNitrogenInSolidStorageVariation(E95,E53,E54,E55,E56,E57,E62,E63,E64,E65,E66)</f>
        <v>0.40000000000000013</v>
      </c>
      <c r="F100" s="52" cm="1">
        <f t="array" ref="F100">MMS_Swine_N2ODirect_Equations.VEERG_4_5_1_3__4_FractionOfNitrogenInSolidStorageVariation(F95,F53,F54,F55,F56,F57,F62,F63,F64,F65,F66)</f>
        <v>0.40000000000000013</v>
      </c>
      <c r="G100" s="52" cm="1">
        <f t="array" ref="G100">MMS_Swine_N2ODirect_Equations.VEERG_4_5_1_3__4_FractionOfNitrogenInSolidStorageVariation(G95,G53,G54,G55,G56,G57,G62,G63,G64,G65,G66)</f>
        <v>0.40000000000000013</v>
      </c>
      <c r="H100" s="52" cm="1">
        <f t="array" ref="H100">MMS_Swine_N2ODirect_Equations.VEERG_4_5_1_3__4_FractionOfNitrogenInSolidStorageVariation(H95,H53,H54,H55,H56,H57,H62,H63,H64,H65,H66)</f>
        <v>0.40000000000000013</v>
      </c>
      <c r="I100" s="2" t="str">
        <f>$E$86</f>
        <v>fraction</v>
      </c>
      <c r="N100" s="57" t="str">
        <f>'Input - Swine'!$D$34</f>
        <v>Solid storage</v>
      </c>
      <c r="O100" s="52" cm="1">
        <f t="array" ref="O100">MMS_Swine_N2ODirect_Equations.VEERG_4_5_1_3__4_FractionOfNitrogenInSolidStorageVariation(E95,E53,E54,E55,E56,E57,O62,O63,O64,O65,O66)</f>
        <v>0.40000000000000013</v>
      </c>
      <c r="P100" s="52" cm="1">
        <f t="array" ref="P100">MMS_Swine_N2ODirect_Equations.VEERG_4_5_1_3__4_FractionOfNitrogenInSolidStorageVariation(F95,F53,F54,F55,F56,F57,P62,P63,P64,P65,P66)</f>
        <v>0.40000000000000013</v>
      </c>
      <c r="Q100" s="52" cm="1">
        <f t="array" ref="Q100">MMS_Swine_N2ODirect_Equations.VEERG_4_5_1_3__4_FractionOfNitrogenInSolidStorageVariation(G95,G53,G54,G55,G56,G57,Q62,Q63,Q64,Q65,Q66)</f>
        <v>0.40000000000000013</v>
      </c>
      <c r="R100" s="52" cm="1">
        <f t="array" ref="R100">MMS_Swine_N2ODirect_Equations.VEERG_4_5_1_3__4_FractionOfNitrogenInSolidStorageVariation(H95,H53,H54,H55,H56,H57,R62,R63,R64,R65,R66)</f>
        <v>0.40000000000000013</v>
      </c>
      <c r="S100" s="2" t="str">
        <f>$E$86</f>
        <v>fraction</v>
      </c>
    </row>
    <row r="101" spans="3:21" ht="20.100000000000001" customHeight="1" x14ac:dyDescent="0.25"/>
    <row r="102" spans="3:21" ht="20.100000000000001" customHeight="1" x14ac:dyDescent="0.25"/>
    <row r="103" spans="3:21" ht="20.100000000000001" customHeight="1" x14ac:dyDescent="0.25">
      <c r="C103" s="45"/>
      <c r="D103" s="45"/>
      <c r="E103" s="45"/>
      <c r="F103" s="45"/>
      <c r="G103" s="45"/>
      <c r="H103" s="45"/>
      <c r="I103" s="45"/>
      <c r="J103" s="45"/>
      <c r="K103" s="45"/>
      <c r="M103" s="45"/>
      <c r="N103" s="45"/>
      <c r="O103" s="45"/>
      <c r="P103" s="45"/>
      <c r="Q103" s="45"/>
      <c r="R103" s="45"/>
      <c r="S103" s="45"/>
      <c r="T103" s="45"/>
      <c r="U103" s="45"/>
    </row>
    <row r="104" spans="3:21" ht="20.100000000000001" customHeight="1" x14ac:dyDescent="0.25">
      <c r="D104" s="6" t="str" cm="1">
        <f t="array" ref="D104">MMS_Swine_N2ODirect_Equations.VEERG_4_5_1_3__2_Stage1NitrogenInMMS_Title()</f>
        <v>Nitrogen in treatment stage 1 MMS</v>
      </c>
      <c r="J104" s="141"/>
      <c r="K104" s="141"/>
    </row>
    <row r="105" spans="3:21" ht="20.100000000000001" customHeight="1" x14ac:dyDescent="0.25">
      <c r="D105" s="5" t="str" cm="1">
        <f t="array" ref="D105">MMS_Swine_N2ODirect_Equations.VEERG_4_5_1_3__2_Stage1NitrogenInMMS_Source()</f>
        <v>VEERG 2026: 4.5.1.3, Equation (2)</v>
      </c>
    </row>
    <row r="106" spans="3:21" ht="20.100000000000001" customHeight="1" x14ac:dyDescent="0.25">
      <c r="D106" s="13" t="s">
        <v>26</v>
      </c>
      <c r="E106" s="13" t="str" cm="1">
        <f t="array" aca="1" ref="E106" ca="1">Common_InputFunctions.Utility_DisplayFunctionName(E118)</f>
        <v>=MMS_Swine_N2ODirect_Equations.VEERG_4_5_1_3__2_Stage1NitrogenInMMS</v>
      </c>
    </row>
    <row r="107" spans="3:21" ht="20.100000000000001" customHeight="1" x14ac:dyDescent="0.25"/>
    <row r="108" spans="3:21" ht="20.100000000000001" customHeight="1" x14ac:dyDescent="0.25"/>
    <row r="109" spans="3:21" ht="20.100000000000001" customHeight="1" x14ac:dyDescent="0.25">
      <c r="D109" s="53" t="s">
        <v>29</v>
      </c>
      <c r="E109" s="1" t="str" cm="1">
        <f t="array" ref="E109">MMS_Swine_N2ODirect_Equations.VEERG_4_5_1_3__2_Stage1NitrogenInMMS_Variable()</f>
        <v>MN_jmT1</v>
      </c>
    </row>
    <row r="110" spans="3:21" ht="20.100000000000001" customHeight="1" x14ac:dyDescent="0.25">
      <c r="D110" s="53" t="s">
        <v>19</v>
      </c>
      <c r="E110" s="54" t="str" cm="1">
        <f t="array" ref="E110">MMS_Swine_N2ODirect_Equations.VEERG_4_5_1_3__2_Stage1NitrogenInMMS_Unit()</f>
        <v>kg N</v>
      </c>
    </row>
    <row r="111" spans="3:21" ht="20.100000000000001" customHeight="1" x14ac:dyDescent="0.25"/>
    <row r="112" spans="3:21" ht="20.100000000000001" customHeight="1" x14ac:dyDescent="0.25">
      <c r="D112" s="57" t="str" cm="1">
        <f t="array" ref="D112:E113">MMS_Swine_N2ODirect_Equations.VEERG_4_5_1_3__2_Stage1NitrogenInMMS_Arguments()</f>
        <v>AE_j</v>
      </c>
      <c r="E112" s="58" t="str">
        <v>total nitrogen excreted by each swine class (kg N)</v>
      </c>
      <c r="F112" s="59"/>
      <c r="G112" s="58" t="str">
        <f>"See " &amp; D32</f>
        <v>See Table_AE_j</v>
      </c>
      <c r="H112" s="59"/>
    </row>
    <row r="113" spans="3:21" ht="20.100000000000001" customHeight="1" x14ac:dyDescent="0.25">
      <c r="D113" s="57" t="str">
        <v>FN_jmT1</v>
      </c>
      <c r="E113" s="58" t="str">
        <v>fraction of nitrogen in each primary MMS system</v>
      </c>
      <c r="F113" s="59"/>
      <c r="G113" s="58" t="str">
        <f>"See " &amp; D68 &amp; " and " &amp; D97</f>
        <v>See M1_Table_FN_j_m_T-1 and M1_Table_FVS_j_m-4_T-1</v>
      </c>
      <c r="H113" s="59"/>
    </row>
    <row r="114" spans="3:21" ht="20.100000000000001" customHeight="1" x14ac:dyDescent="0.25"/>
    <row r="115" spans="3:21" ht="20.100000000000001" customHeight="1" x14ac:dyDescent="0.25">
      <c r="D115" s="121" t="s">
        <v>311</v>
      </c>
      <c r="N115" s="121" t="s">
        <v>333</v>
      </c>
    </row>
    <row r="116" spans="3:21" ht="20.100000000000001" customHeight="1" x14ac:dyDescent="0.25">
      <c r="D116" s="122" t="s">
        <v>312</v>
      </c>
      <c r="N116" s="122" t="s">
        <v>334</v>
      </c>
    </row>
    <row r="117" spans="3:21" ht="20.100000000000001" customHeight="1" x14ac:dyDescent="0.25">
      <c r="D117" s="51" t="s">
        <v>172</v>
      </c>
      <c r="E117" s="51" t="s">
        <v>146</v>
      </c>
      <c r="F117" s="51" t="s">
        <v>147</v>
      </c>
      <c r="G117" s="51" t="s">
        <v>148</v>
      </c>
      <c r="H117" s="51" t="s">
        <v>266</v>
      </c>
      <c r="N117" s="51" t="s">
        <v>172</v>
      </c>
      <c r="O117" s="51" t="s">
        <v>146</v>
      </c>
      <c r="P117" s="51" t="s">
        <v>147</v>
      </c>
      <c r="Q117" s="51" t="s">
        <v>148</v>
      </c>
      <c r="R117" s="51" t="s">
        <v>266</v>
      </c>
    </row>
    <row r="118" spans="3:21" ht="20.100000000000001" customHeight="1" x14ac:dyDescent="0.25">
      <c r="D118" s="57" t="str">
        <f>'Input - Swine'!$D$29</f>
        <v>Anaerobic lagoon</v>
      </c>
      <c r="E118" s="52" cm="1">
        <f t="array" ref="E118">MMS_Swine_N2ODirect_Equations.VEERG_4_5_1_3__2_Stage1NitrogenInMMS(D$35,E71)</f>
        <v>201.47999999999996</v>
      </c>
      <c r="F118" s="52" cm="1">
        <f t="array" ref="F118">MMS_Swine_N2ODirect_Equations.VEERG_4_5_1_3__2_Stage1NitrogenInMMS(E$35,F71)</f>
        <v>214.62000000000003</v>
      </c>
      <c r="G118" s="52" cm="1">
        <f t="array" ref="G118">MMS_Swine_N2ODirect_Equations.VEERG_4_5_1_3__2_Stage1NitrogenInMMS(F$35,G71)</f>
        <v>201.47999999999996</v>
      </c>
      <c r="H118" s="52" cm="1">
        <f t="array" ref="H118">MMS_Swine_N2ODirect_Equations.VEERG_4_5_1_3__2_Stage1NitrogenInMMS(G$35,H71)</f>
        <v>136.65599999999998</v>
      </c>
      <c r="I118" s="2" t="str">
        <f>$E$110</f>
        <v>kg N</v>
      </c>
      <c r="N118" s="57" t="str">
        <f>'Input - Swine'!$D$29</f>
        <v>Anaerobic lagoon</v>
      </c>
      <c r="O118" s="52" cm="1">
        <f t="array" ref="O118">MMS_Swine_N2ODirect_Equations.VEERG_4_5_1_3__2_Stage1NitrogenInMMS(D$35,O71)</f>
        <v>201.47999999999996</v>
      </c>
      <c r="P118" s="52" cm="1">
        <f t="array" ref="P118">MMS_Swine_N2ODirect_Equations.VEERG_4_5_1_3__2_Stage1NitrogenInMMS(E$35,P71)</f>
        <v>214.62000000000003</v>
      </c>
      <c r="Q118" s="52" cm="1">
        <f t="array" ref="Q118">MMS_Swine_N2ODirect_Equations.VEERG_4_5_1_3__2_Stage1NitrogenInMMS(F$35,Q71)</f>
        <v>201.47999999999996</v>
      </c>
      <c r="R118" s="52" cm="1">
        <f t="array" ref="R118">MMS_Swine_N2ODirect_Equations.VEERG_4_5_1_3__2_Stage1NitrogenInMMS(G$35,R71)</f>
        <v>136.65599999999998</v>
      </c>
      <c r="S118" s="2" t="str">
        <f>$E$110</f>
        <v>kg N</v>
      </c>
    </row>
    <row r="119" spans="3:21" ht="20.100000000000001" customHeight="1" x14ac:dyDescent="0.25">
      <c r="D119" s="57" t="str">
        <f>'Input - Swine'!$D$30</f>
        <v>Drylot (feed pad)</v>
      </c>
      <c r="E119" s="52" cm="1">
        <f t="array" ref="E119">MMS_Swine_N2ODirect_Equations.VEERG_4_5_1_3__2_Stage1NitrogenInMMS(D$35,E72)</f>
        <v>201.47999999999996</v>
      </c>
      <c r="F119" s="52" cm="1">
        <f t="array" ref="F119">MMS_Swine_N2ODirect_Equations.VEERG_4_5_1_3__2_Stage1NitrogenInMMS(E$35,F72)</f>
        <v>214.62000000000003</v>
      </c>
      <c r="G119" s="52" cm="1">
        <f t="array" ref="G119">MMS_Swine_N2ODirect_Equations.VEERG_4_5_1_3__2_Stage1NitrogenInMMS(F$35,G72)</f>
        <v>201.47999999999996</v>
      </c>
      <c r="H119" s="52" cm="1">
        <f t="array" ref="H119">MMS_Swine_N2ODirect_Equations.VEERG_4_5_1_3__2_Stage1NitrogenInMMS(G$35,H72)</f>
        <v>136.65599999999998</v>
      </c>
      <c r="I119" s="2" t="str">
        <f>$E$110</f>
        <v>kg N</v>
      </c>
      <c r="N119" s="57" t="str">
        <f>'Input - Swine'!$D$30</f>
        <v>Drylot (feed pad)</v>
      </c>
      <c r="O119" s="52" cm="1">
        <f t="array" ref="O119">MMS_Swine_N2ODirect_Equations.VEERG_4_5_1_3__2_Stage1NitrogenInMMS(D$35,O72)</f>
        <v>201.47999999999996</v>
      </c>
      <c r="P119" s="52" cm="1">
        <f t="array" ref="P119">MMS_Swine_N2ODirect_Equations.VEERG_4_5_1_3__2_Stage1NitrogenInMMS(E$35,P72)</f>
        <v>214.62000000000003</v>
      </c>
      <c r="Q119" s="52" cm="1">
        <f t="array" ref="Q119">MMS_Swine_N2ODirect_Equations.VEERG_4_5_1_3__2_Stage1NitrogenInMMS(F$35,Q72)</f>
        <v>201.47999999999996</v>
      </c>
      <c r="R119" s="52" cm="1">
        <f t="array" ref="R119">MMS_Swine_N2ODirect_Equations.VEERG_4_5_1_3__2_Stage1NitrogenInMMS(G$35,R72)</f>
        <v>136.65599999999998</v>
      </c>
      <c r="S119" s="2" t="str">
        <f>$E$110</f>
        <v>kg N</v>
      </c>
    </row>
    <row r="120" spans="3:21" ht="20.100000000000001" customHeight="1" x14ac:dyDescent="0.25">
      <c r="D120" s="57" t="str">
        <f>'Input - Swine'!$D$31</f>
        <v>Digester / covered lagoons</v>
      </c>
      <c r="E120" s="52" cm="1">
        <f t="array" ref="E120">MMS_Swine_N2ODirect_Equations.VEERG_4_5_1_3__2_Stage1NitrogenInMMS(D$35,E73)</f>
        <v>201.47999999999996</v>
      </c>
      <c r="F120" s="52" cm="1">
        <f t="array" ref="F120">MMS_Swine_N2ODirect_Equations.VEERG_4_5_1_3__2_Stage1NitrogenInMMS(E$35,F73)</f>
        <v>214.62000000000003</v>
      </c>
      <c r="G120" s="52" cm="1">
        <f t="array" ref="G120">MMS_Swine_N2ODirect_Equations.VEERG_4_5_1_3__2_Stage1NitrogenInMMS(F$35,G73)</f>
        <v>201.47999999999996</v>
      </c>
      <c r="H120" s="52" cm="1">
        <f t="array" ref="H120">MMS_Swine_N2ODirect_Equations.VEERG_4_5_1_3__2_Stage1NitrogenInMMS(G$35,H73)</f>
        <v>136.65599999999998</v>
      </c>
      <c r="I120" s="2" t="str">
        <f>$E$110</f>
        <v>kg N</v>
      </c>
      <c r="N120" s="57" t="str">
        <f>'Input - Swine'!$D$31</f>
        <v>Digester / covered lagoons</v>
      </c>
      <c r="O120" s="52" cm="1">
        <f t="array" ref="O120">MMS_Swine_N2ODirect_Equations.VEERG_4_5_1_3__2_Stage1NitrogenInMMS(D$35,O73)</f>
        <v>201.47999999999996</v>
      </c>
      <c r="P120" s="52" cm="1">
        <f t="array" ref="P120">MMS_Swine_N2ODirect_Equations.VEERG_4_5_1_3__2_Stage1NitrogenInMMS(E$35,P73)</f>
        <v>214.62000000000003</v>
      </c>
      <c r="Q120" s="52" cm="1">
        <f t="array" ref="Q120">MMS_Swine_N2ODirect_Equations.VEERG_4_5_1_3__2_Stage1NitrogenInMMS(F$35,Q73)</f>
        <v>201.47999999999996</v>
      </c>
      <c r="R120" s="52" cm="1">
        <f t="array" ref="R120">MMS_Swine_N2ODirect_Equations.VEERG_4_5_1_3__2_Stage1NitrogenInMMS(G$35,R73)</f>
        <v>136.65599999999998</v>
      </c>
      <c r="S120" s="2" t="str">
        <f>$E$110</f>
        <v>kg N</v>
      </c>
    </row>
    <row r="121" spans="3:21" ht="20.100000000000001" customHeight="1" x14ac:dyDescent="0.25">
      <c r="D121" s="57" t="str">
        <f>'Input - Swine'!$D$32</f>
        <v>Deep litter</v>
      </c>
      <c r="E121" s="52" cm="1">
        <f t="array" ref="E121">MMS_Swine_N2ODirect_Equations.VEERG_4_5_1_3__2_Stage1NitrogenInMMS(D$35,E74)</f>
        <v>201.47999999999996</v>
      </c>
      <c r="F121" s="52" cm="1">
        <f t="array" ref="F121">MMS_Swine_N2ODirect_Equations.VEERG_4_5_1_3__2_Stage1NitrogenInMMS(E$35,F74)</f>
        <v>214.62000000000003</v>
      </c>
      <c r="G121" s="52" cm="1">
        <f t="array" ref="G121">MMS_Swine_N2ODirect_Equations.VEERG_4_5_1_3__2_Stage1NitrogenInMMS(F$35,G74)</f>
        <v>201.47999999999996</v>
      </c>
      <c r="H121" s="52" cm="1">
        <f t="array" ref="H121">MMS_Swine_N2ODirect_Equations.VEERG_4_5_1_3__2_Stage1NitrogenInMMS(G$35,H74)</f>
        <v>136.65599999999998</v>
      </c>
      <c r="I121" s="2" t="str">
        <f>$E$110</f>
        <v>kg N</v>
      </c>
      <c r="N121" s="57" t="str">
        <f>'Input - Swine'!$D$32</f>
        <v>Deep litter</v>
      </c>
      <c r="O121" s="52" cm="1">
        <f t="array" ref="O121">MMS_Swine_N2ODirect_Equations.VEERG_4_5_1_3__2_Stage1NitrogenInMMS(D$35,O74)</f>
        <v>201.47999999999996</v>
      </c>
      <c r="P121" s="52" cm="1">
        <f t="array" ref="P121">MMS_Swine_N2ODirect_Equations.VEERG_4_5_1_3__2_Stage1NitrogenInMMS(E$35,P74)</f>
        <v>214.62000000000003</v>
      </c>
      <c r="Q121" s="52" cm="1">
        <f t="array" ref="Q121">MMS_Swine_N2ODirect_Equations.VEERG_4_5_1_3__2_Stage1NitrogenInMMS(F$35,Q74)</f>
        <v>201.47999999999996</v>
      </c>
      <c r="R121" s="52" cm="1">
        <f t="array" ref="R121">MMS_Swine_N2ODirect_Equations.VEERG_4_5_1_3__2_Stage1NitrogenInMMS(G$35,R74)</f>
        <v>136.65599999999998</v>
      </c>
      <c r="S121" s="2" t="str">
        <f>$E$110</f>
        <v>kg N</v>
      </c>
    </row>
    <row r="122" spans="3:21" ht="20.100000000000001" customHeight="1" x14ac:dyDescent="0.25">
      <c r="D122" s="57" t="str">
        <f>'Input - Swine'!$D$33</f>
        <v>Pit storage</v>
      </c>
      <c r="E122" s="52" cm="1">
        <f t="array" ref="E122">MMS_Swine_N2ODirect_Equations.VEERG_4_5_1_3__2_Stage1NitrogenInMMS(D$35,E75)</f>
        <v>201.47999999999996</v>
      </c>
      <c r="F122" s="52" cm="1">
        <f t="array" ref="F122">MMS_Swine_N2ODirect_Equations.VEERG_4_5_1_3__2_Stage1NitrogenInMMS(E$35,F75)</f>
        <v>214.62000000000003</v>
      </c>
      <c r="G122" s="52" cm="1">
        <f t="array" ref="G122">MMS_Swine_N2ODirect_Equations.VEERG_4_5_1_3__2_Stage1NitrogenInMMS(F$35,G75)</f>
        <v>201.47999999999996</v>
      </c>
      <c r="H122" s="52" cm="1">
        <f t="array" ref="H122">MMS_Swine_N2ODirect_Equations.VEERG_4_5_1_3__2_Stage1NitrogenInMMS(G$35,H75)</f>
        <v>136.65599999999998</v>
      </c>
      <c r="I122" s="2" t="str">
        <f>$E$110</f>
        <v>kg N</v>
      </c>
      <c r="N122" s="57" t="str">
        <f>'Input - Swine'!$D$33</f>
        <v>Pit storage</v>
      </c>
      <c r="O122" s="52" cm="1">
        <f t="array" ref="O122">MMS_Swine_N2ODirect_Equations.VEERG_4_5_1_3__2_Stage1NitrogenInMMS(D$35,O75)</f>
        <v>201.47999999999996</v>
      </c>
      <c r="P122" s="52" cm="1">
        <f t="array" ref="P122">MMS_Swine_N2ODirect_Equations.VEERG_4_5_1_3__2_Stage1NitrogenInMMS(E$35,P75)</f>
        <v>214.62000000000003</v>
      </c>
      <c r="Q122" s="52" cm="1">
        <f t="array" ref="Q122">MMS_Swine_N2ODirect_Equations.VEERG_4_5_1_3__2_Stage1NitrogenInMMS(F$35,Q75)</f>
        <v>201.47999999999996</v>
      </c>
      <c r="R122" s="52" cm="1">
        <f t="array" ref="R122">MMS_Swine_N2ODirect_Equations.VEERG_4_5_1_3__2_Stage1NitrogenInMMS(G$35,R75)</f>
        <v>136.65599999999998</v>
      </c>
      <c r="S122" s="2" t="str">
        <f>$E$110</f>
        <v>kg N</v>
      </c>
    </row>
    <row r="123" spans="3:21" ht="20.100000000000001" customHeight="1" x14ac:dyDescent="0.25">
      <c r="D123" s="57" t="str">
        <f>'Input - Swine'!$D$34</f>
        <v>Solid storage</v>
      </c>
      <c r="E123" s="52" cm="1">
        <f t="array" ref="E123">MMS_Swine_N2ODirect_Equations.VEERG_4_5_1_3__2_Stage1NitrogenInMMS(D$35,E100)</f>
        <v>671.60000000000014</v>
      </c>
      <c r="F123" s="52" cm="1">
        <f t="array" ref="F123">MMS_Swine_N2ODirect_Equations.VEERG_4_5_1_3__2_Stage1NitrogenInMMS(E$35,F100)</f>
        <v>715.40000000000032</v>
      </c>
      <c r="G123" s="52" cm="1">
        <f t="array" ref="G123">MMS_Swine_N2ODirect_Equations.VEERG_4_5_1_3__2_Stage1NitrogenInMMS(F$35,G100)</f>
        <v>671.60000000000014</v>
      </c>
      <c r="H123" s="52" cm="1">
        <f t="array" ref="H123">MMS_Swine_N2ODirect_Equations.VEERG_4_5_1_3__2_Stage1NitrogenInMMS(G$35,H100)</f>
        <v>455.52000000000015</v>
      </c>
      <c r="I123" s="2" t="str">
        <f>$E$110</f>
        <v>kg N</v>
      </c>
      <c r="N123" s="57" t="str">
        <f>'Input - Swine'!$D$34</f>
        <v>Solid storage</v>
      </c>
      <c r="O123" s="52" cm="1">
        <f t="array" ref="O123">MMS_Swine_N2ODirect_Equations.VEERG_4_5_1_3__2_Stage1NitrogenInMMS(D$35,O100)</f>
        <v>671.60000000000014</v>
      </c>
      <c r="P123" s="52" cm="1">
        <f t="array" ref="P123">MMS_Swine_N2ODirect_Equations.VEERG_4_5_1_3__2_Stage1NitrogenInMMS(E$35,P100)</f>
        <v>715.40000000000032</v>
      </c>
      <c r="Q123" s="52" cm="1">
        <f t="array" ref="Q123">MMS_Swine_N2ODirect_Equations.VEERG_4_5_1_3__2_Stage1NitrogenInMMS(F$35,Q100)</f>
        <v>671.60000000000014</v>
      </c>
      <c r="R123" s="52" cm="1">
        <f t="array" ref="R123">MMS_Swine_N2ODirect_Equations.VEERG_4_5_1_3__2_Stage1NitrogenInMMS(G$35,R100)</f>
        <v>455.52000000000015</v>
      </c>
      <c r="S123" s="2" t="str">
        <f>$E$110</f>
        <v>kg N</v>
      </c>
    </row>
    <row r="124" spans="3:21" ht="20.100000000000001" customHeight="1" x14ac:dyDescent="0.25"/>
    <row r="125" spans="3:21" ht="20.100000000000001" customHeight="1" x14ac:dyDescent="0.25"/>
    <row r="126" spans="3:21" ht="20.100000000000001" customHeight="1" x14ac:dyDescent="0.25">
      <c r="C126" s="45"/>
      <c r="D126" s="45"/>
      <c r="E126" s="45"/>
      <c r="F126" s="45"/>
      <c r="G126" s="45"/>
      <c r="H126" s="45"/>
      <c r="I126" s="45"/>
      <c r="J126" s="45"/>
      <c r="K126" s="45"/>
      <c r="M126" s="45"/>
      <c r="N126" s="45"/>
      <c r="O126" s="45"/>
      <c r="P126" s="45"/>
      <c r="Q126" s="45"/>
      <c r="R126" s="45"/>
      <c r="S126" s="45"/>
      <c r="T126" s="45"/>
      <c r="U126" s="45"/>
    </row>
    <row r="127" spans="3:21" ht="20.100000000000001" customHeight="1" x14ac:dyDescent="0.25">
      <c r="D127" s="6" t="str" cm="1">
        <f t="array" ref="D127">MMS_Swine_N2ODirect_Equations.VEERG_4_5_1_3__7_NitrogenTransferredToStage2MMS_Title()</f>
        <v>Nitrogen transferred to treatment stage 2 MMS</v>
      </c>
      <c r="M127" s="141"/>
      <c r="N127" s="141"/>
      <c r="O127" s="141"/>
      <c r="P127" s="141"/>
      <c r="Q127" s="141"/>
      <c r="R127" s="141"/>
      <c r="S127" s="141"/>
      <c r="T127" s="141"/>
    </row>
    <row r="128" spans="3:21" ht="20.100000000000001" customHeight="1" x14ac:dyDescent="0.25">
      <c r="D128" s="5" t="str" cm="1">
        <f t="array" ref="D128">MMS_Swine_N2ODirect_Equations.VEERG_4_5_1_3__7_NitrogenTransferredToStage2MMS_Source()</f>
        <v>VEERG 2026: 4.5.1.3, Equation (7)</v>
      </c>
    </row>
    <row r="129" spans="4:7" ht="20.100000000000001" customHeight="1" x14ac:dyDescent="0.25">
      <c r="D129" s="13" t="s">
        <v>26</v>
      </c>
      <c r="E129" s="13" t="str" cm="1">
        <f t="array" aca="1" ref="E129" ca="1">Common_InputFunctions.Utility_DisplayFunctionName(E162)</f>
        <v>=MMS_Swine_N2ODirect_Equations.VEERG_4_5_1_3__7_NitrogenTransferredToStage2MMS</v>
      </c>
    </row>
    <row r="130" spans="4:7" ht="20.100000000000001" customHeight="1" x14ac:dyDescent="0.25"/>
    <row r="131" spans="4:7" ht="20.100000000000001" customHeight="1" x14ac:dyDescent="0.25"/>
    <row r="132" spans="4:7" ht="20.100000000000001" customHeight="1" x14ac:dyDescent="0.25">
      <c r="D132" s="53" t="s">
        <v>29</v>
      </c>
      <c r="E132" s="1" t="str" cm="1">
        <f t="array" ref="E132">MMS_Swine_N2ODirect_Equations.VEERG_4_5_1_3__7_NitrogenTransferredToStage2MMS_Variable()</f>
        <v>NT_jmT2</v>
      </c>
    </row>
    <row r="133" spans="4:7" ht="20.100000000000001" customHeight="1" x14ac:dyDescent="0.25">
      <c r="D133" s="53" t="s">
        <v>19</v>
      </c>
      <c r="E133" s="54" t="str" cm="1">
        <f t="array" ref="E133">MMS_Swine_N2ODirect_Equations.VEERG_4_5_1_3__7_NitrogenTransferredToStage2MMS_Unit()</f>
        <v>kg N</v>
      </c>
    </row>
    <row r="134" spans="4:7" ht="20.100000000000001" customHeight="1" x14ac:dyDescent="0.25"/>
    <row r="135" spans="4:7" ht="20.100000000000001" customHeight="1" x14ac:dyDescent="0.25">
      <c r="D135" s="57" t="str" cm="1">
        <f t="array" ref="D135:E137">MMS_Swine_N2ODirect_Equations.VEERG_4_5_1_3__7_NitrogenTransferredToStage2MMS_Arguments()</f>
        <v>MN_jmT1</v>
      </c>
      <c r="E135" s="57" t="str">
        <v>nitrogen per swine class in treatment stage 1 MMS (kg N)</v>
      </c>
      <c r="F135" s="57"/>
      <c r="G135" s="57" t="str">
        <f>"See " &amp; D115</f>
        <v>See M1_Table_MN_j_m_T-1</v>
      </c>
    </row>
    <row r="136" spans="4:7" ht="20.100000000000001" customHeight="1" x14ac:dyDescent="0.25">
      <c r="D136" s="57" t="str">
        <v>FracGASMmT1</v>
      </c>
      <c r="E136" s="57" t="str">
        <v>fraction of N volatilised from MMS treatment at stage 1</v>
      </c>
      <c r="F136" s="57"/>
      <c r="G136" s="57" t="str">
        <f>"See " &amp; D139</f>
        <v>See Table_FracGASM_m_t-1</v>
      </c>
    </row>
    <row r="137" spans="4:7" ht="20.100000000000001" customHeight="1" x14ac:dyDescent="0.25">
      <c r="D137" s="57" t="str">
        <v>EF_mT1</v>
      </c>
      <c r="E137" s="57" t="str">
        <v>nitrous oxide emission factor for MMS treatment at stage 1</v>
      </c>
      <c r="F137" s="57"/>
      <c r="G137" s="57" t="str">
        <f>"See " &amp; D149</f>
        <v>See Table_EF_m_t-1</v>
      </c>
    </row>
    <row r="138" spans="4:7" ht="20.100000000000001" customHeight="1" x14ac:dyDescent="0.25"/>
    <row r="139" spans="4:7" ht="20.100000000000001" customHeight="1" x14ac:dyDescent="0.25">
      <c r="D139" s="121" t="s">
        <v>314</v>
      </c>
    </row>
    <row r="140" spans="4:7" ht="20.100000000000001" customHeight="1" x14ac:dyDescent="0.25">
      <c r="D140" s="122" t="s">
        <v>315</v>
      </c>
    </row>
    <row r="141" spans="4:7" ht="20.100000000000001" customHeight="1" x14ac:dyDescent="0.25">
      <c r="D141" s="51" t="s">
        <v>172</v>
      </c>
      <c r="E141" s="51" t="s">
        <v>316</v>
      </c>
    </row>
    <row r="142" spans="4:7" ht="20.100000000000001" customHeight="1" x14ac:dyDescent="0.25">
      <c r="D142" s="57" t="str">
        <f>'Input - Swine'!$D$29</f>
        <v>Anaerobic lagoon</v>
      </c>
      <c r="E142" s="52" cm="1">
        <f t="array" ref="E142">Common_InputFunctions.Utility_LookupValueInTableNumber(D142, Table_SourceData_Swine_FracGASM[NIR reference],Table_SourceData_Swine_FracGASM[FracGASMmT])</f>
        <v>0.55000000000000004</v>
      </c>
    </row>
    <row r="143" spans="4:7" ht="20.100000000000001" customHeight="1" x14ac:dyDescent="0.25">
      <c r="D143" s="57" t="str">
        <f>'Input - Swine'!$D$30</f>
        <v>Drylot (feed pad)</v>
      </c>
      <c r="E143" s="52" cm="1">
        <f t="array" ref="E143">Common_InputFunctions.Utility_LookupValueInTableNumber(D143, Table_SourceData_Swine_FracGASM[NIR reference],Table_SourceData_Swine_FracGASM[FracGASMmT])</f>
        <v>0.3</v>
      </c>
    </row>
    <row r="144" spans="4:7" ht="20.100000000000001" customHeight="1" x14ac:dyDescent="0.25">
      <c r="D144" s="57" t="str">
        <f>'Input - Swine'!$D$31</f>
        <v>Digester / covered lagoons</v>
      </c>
      <c r="E144" s="52" cm="1">
        <f t="array" ref="E144">Common_InputFunctions.Utility_LookupValueInTableNumber(D144, Table_SourceData_Swine_FracGASM[NIR reference],Table_SourceData_Swine_FracGASM[FracGASMmT])</f>
        <v>0</v>
      </c>
    </row>
    <row r="145" spans="4:14" ht="20.100000000000001" customHeight="1" x14ac:dyDescent="0.25">
      <c r="D145" s="57" t="str">
        <f>'Input - Swine'!$D$32</f>
        <v>Deep litter</v>
      </c>
      <c r="E145" s="52" cm="1">
        <f t="array" ref="E145">Common_InputFunctions.Utility_LookupValueInTableNumber(D145, Table_SourceData_Swine_FracGASM[NIR reference],Table_SourceData_Swine_FracGASM[FracGASMmT])</f>
        <v>0.125</v>
      </c>
    </row>
    <row r="146" spans="4:14" ht="20.100000000000001" customHeight="1" x14ac:dyDescent="0.25">
      <c r="D146" s="57" t="str">
        <f>'Input - Swine'!$D$33</f>
        <v>Pit storage</v>
      </c>
      <c r="E146" s="52" cm="1">
        <f t="array" ref="E146">Common_InputFunctions.Utility_LookupValueInTableNumber(D146, Table_SourceData_Swine_FracGASM[NIR reference],Table_SourceData_Swine_FracGASM[FracGASMmT])</f>
        <v>0.25</v>
      </c>
    </row>
    <row r="147" spans="4:14" ht="20.100000000000001" customHeight="1" x14ac:dyDescent="0.25">
      <c r="D147" s="57" t="str">
        <f>'Input - Swine'!$D$34</f>
        <v>Solid storage</v>
      </c>
      <c r="E147" s="52" cm="1">
        <f t="array" ref="E147">Common_InputFunctions.Utility_LookupValueInTableNumber(D147, Table_SourceData_Swine_FracGASM[NIR reference],Table_SourceData_Swine_FracGASM[FracGASMmT])</f>
        <v>0.2</v>
      </c>
    </row>
    <row r="148" spans="4:14" ht="20.100000000000001" customHeight="1" x14ac:dyDescent="0.25"/>
    <row r="149" spans="4:14" ht="20.100000000000001" customHeight="1" x14ac:dyDescent="0.25">
      <c r="D149" s="121" t="s">
        <v>317</v>
      </c>
    </row>
    <row r="150" spans="4:14" ht="20.100000000000001" customHeight="1" x14ac:dyDescent="0.25">
      <c r="D150" s="122" t="s">
        <v>318</v>
      </c>
    </row>
    <row r="151" spans="4:14" ht="20.100000000000001" customHeight="1" x14ac:dyDescent="0.25">
      <c r="D151" s="51" t="s">
        <v>67</v>
      </c>
      <c r="E151" s="51" t="s">
        <v>319</v>
      </c>
    </row>
    <row r="152" spans="4:14" ht="20.100000000000001" customHeight="1" x14ac:dyDescent="0.25">
      <c r="D152" s="57" t="str">
        <f>'Input - Swine'!$D$29</f>
        <v>Anaerobic lagoon</v>
      </c>
      <c r="E152" s="52" cm="1">
        <f t="array" ref="E152">Common_InputFunctions.Utility_LookupValueInTableNumber(D152, Table_SourceData_Swine_FracGASM28[NIR reference],Table_SourceData_Swine_FracGASM28[EFmT])</f>
        <v>0</v>
      </c>
    </row>
    <row r="153" spans="4:14" ht="20.100000000000001" customHeight="1" x14ac:dyDescent="0.25">
      <c r="D153" s="57" t="str">
        <f>'Input - Swine'!$D$30</f>
        <v>Drylot (feed pad)</v>
      </c>
      <c r="E153" s="52" cm="1">
        <f t="array" ref="E153">Common_InputFunctions.Utility_LookupValueInTableNumber(D153, Table_SourceData_Swine_FracGASM28[NIR reference],Table_SourceData_Swine_FracGASM28[EFmT])</f>
        <v>0.02</v>
      </c>
    </row>
    <row r="154" spans="4:14" ht="20.100000000000001" customHeight="1" x14ac:dyDescent="0.25">
      <c r="D154" s="57" t="str">
        <f>'Input - Swine'!$D$31</f>
        <v>Digester / covered lagoons</v>
      </c>
      <c r="E154" s="52" cm="1">
        <f t="array" ref="E154">Common_InputFunctions.Utility_LookupValueInTableNumber(D154, Table_SourceData_Swine_FracGASM28[NIR reference],Table_SourceData_Swine_FracGASM28[EFmT])</f>
        <v>0</v>
      </c>
    </row>
    <row r="155" spans="4:14" ht="20.100000000000001" customHeight="1" x14ac:dyDescent="0.25">
      <c r="D155" s="57" t="str">
        <f>'Input - Swine'!$D$32</f>
        <v>Deep litter</v>
      </c>
      <c r="E155" s="52" cm="1">
        <f t="array" ref="E155">Common_InputFunctions.Utility_LookupValueInTableNumber(D155, Table_SourceData_Swine_FracGASM28[NIR reference],Table_SourceData_Swine_FracGASM28[EFmT])</f>
        <v>0.01</v>
      </c>
    </row>
    <row r="156" spans="4:14" ht="20.100000000000001" customHeight="1" x14ac:dyDescent="0.25">
      <c r="D156" s="57" t="str">
        <f>'Input - Swine'!$D$33</f>
        <v>Pit storage</v>
      </c>
      <c r="E156" s="52" cm="1">
        <f t="array" ref="E156">Common_InputFunctions.Utility_LookupValueInTableNumber(D156, Table_SourceData_Swine_FracGASM28[NIR reference],Table_SourceData_Swine_FracGASM28[EFmT])</f>
        <v>2E-3</v>
      </c>
    </row>
    <row r="157" spans="4:14" ht="20.100000000000001" customHeight="1" x14ac:dyDescent="0.25">
      <c r="D157" s="57" t="str">
        <f>'Input - Swine'!$D$34</f>
        <v>Solid storage</v>
      </c>
      <c r="E157" s="52" cm="1">
        <f t="array" ref="E157">Common_InputFunctions.Utility_LookupValueInTableNumber(D157, Table_SourceData_Swine_FracGASM28[NIR reference],Table_SourceData_Swine_FracGASM28[EFmT])</f>
        <v>5.0000000000000001E-3</v>
      </c>
    </row>
    <row r="158" spans="4:14" ht="20.100000000000001" customHeight="1" x14ac:dyDescent="0.25"/>
    <row r="159" spans="4:14" ht="20.100000000000001" customHeight="1" x14ac:dyDescent="0.25">
      <c r="D159" s="121" t="s">
        <v>321</v>
      </c>
      <c r="N159" s="121" t="s">
        <v>335</v>
      </c>
    </row>
    <row r="160" spans="4:14" ht="20.100000000000001" customHeight="1" x14ac:dyDescent="0.25">
      <c r="D160" s="122" t="s">
        <v>322</v>
      </c>
      <c r="N160" s="122" t="s">
        <v>336</v>
      </c>
    </row>
    <row r="161" spans="3:21" ht="20.100000000000001" customHeight="1" x14ac:dyDescent="0.25">
      <c r="D161" s="51" t="s">
        <v>172</v>
      </c>
      <c r="E161" s="51" t="s">
        <v>146</v>
      </c>
      <c r="F161" s="51" t="s">
        <v>147</v>
      </c>
      <c r="G161" s="51" t="s">
        <v>148</v>
      </c>
      <c r="H161" s="51" t="s">
        <v>266</v>
      </c>
      <c r="N161" s="51" t="s">
        <v>172</v>
      </c>
      <c r="O161" s="51" t="s">
        <v>146</v>
      </c>
      <c r="P161" s="51" t="s">
        <v>147</v>
      </c>
      <c r="Q161" s="51" t="s">
        <v>148</v>
      </c>
      <c r="R161" s="51" t="s">
        <v>266</v>
      </c>
    </row>
    <row r="162" spans="3:21" ht="20.100000000000001" customHeight="1" x14ac:dyDescent="0.25">
      <c r="D162" s="57" t="str">
        <f>'Input - Swine'!$D$29</f>
        <v>Anaerobic lagoon</v>
      </c>
      <c r="E162" s="52" cm="1">
        <f t="array" ref="E162">MMS_Swine_N2ODirect_Equations.VEERG_4_5_1_3__7_NitrogenTransferredToStage2MMS(E118,$E142,$E152)</f>
        <v>90.665999999999968</v>
      </c>
      <c r="F162" s="52" cm="1">
        <f t="array" ref="F162">MMS_Swine_N2ODirect_Equations.VEERG_4_5_1_3__7_NitrogenTransferredToStage2MMS(F118,$E142,$E152)</f>
        <v>96.579000000000008</v>
      </c>
      <c r="G162" s="52" cm="1">
        <f t="array" ref="G162">MMS_Swine_N2ODirect_Equations.VEERG_4_5_1_3__7_NitrogenTransferredToStage2MMS(G118,$E142,$E152)</f>
        <v>90.665999999999968</v>
      </c>
      <c r="H162" s="52" cm="1">
        <f t="array" ref="H162">MMS_Swine_N2ODirect_Equations.VEERG_4_5_1_3__7_NitrogenTransferredToStage2MMS(H118,$E142,$E152)</f>
        <v>61.495199999999983</v>
      </c>
      <c r="I162" s="2" t="str">
        <f>$E$133</f>
        <v>kg N</v>
      </c>
      <c r="N162" s="57" t="str">
        <f>'Input - Swine'!$D$29</f>
        <v>Anaerobic lagoon</v>
      </c>
      <c r="O162" s="52" cm="1">
        <f t="array" ref="O162">MMS_Swine_N2ODirect_Equations.VEERG_4_5_1_3__7_NitrogenTransferredToStage2MMS(O118,$E142,$E152)</f>
        <v>90.665999999999968</v>
      </c>
      <c r="P162" s="52" cm="1">
        <f t="array" ref="P162">MMS_Swine_N2ODirect_Equations.VEERG_4_5_1_3__7_NitrogenTransferredToStage2MMS(P118,$E142,$E152)</f>
        <v>96.579000000000008</v>
      </c>
      <c r="Q162" s="52" cm="1">
        <f t="array" ref="Q162">MMS_Swine_N2ODirect_Equations.VEERG_4_5_1_3__7_NitrogenTransferredToStage2MMS(Q118,$E142,$E152)</f>
        <v>90.665999999999968</v>
      </c>
      <c r="R162" s="52" cm="1">
        <f t="array" ref="R162">MMS_Swine_N2ODirect_Equations.VEERG_4_5_1_3__7_NitrogenTransferredToStage2MMS(R118,$E142,$E152)</f>
        <v>61.495199999999983</v>
      </c>
      <c r="S162" s="2" t="str">
        <f>$E$133</f>
        <v>kg N</v>
      </c>
    </row>
    <row r="163" spans="3:21" ht="20.100000000000001" customHeight="1" x14ac:dyDescent="0.25">
      <c r="D163" s="57" t="str">
        <f>'Input - Swine'!$D$30</f>
        <v>Drylot (feed pad)</v>
      </c>
      <c r="E163" s="52" cm="1">
        <f t="array" ref="E163">MMS_Swine_N2ODirect_Equations.VEERG_4_5_1_3__7_NitrogenTransferredToStage2MMS(E119,$E143,$E153)</f>
        <v>137.00639999999996</v>
      </c>
      <c r="F163" s="52" cm="1">
        <f t="array" ref="F163">MMS_Swine_N2ODirect_Equations.VEERG_4_5_1_3__7_NitrogenTransferredToStage2MMS(F119,$E143,$E153)</f>
        <v>145.94160000000002</v>
      </c>
      <c r="G163" s="52" cm="1">
        <f t="array" ref="G163">MMS_Swine_N2ODirect_Equations.VEERG_4_5_1_3__7_NitrogenTransferredToStage2MMS(G119,$E143,$E153)</f>
        <v>137.00639999999996</v>
      </c>
      <c r="H163" s="52" cm="1">
        <f t="array" ref="H163">MMS_Swine_N2ODirect_Equations.VEERG_4_5_1_3__7_NitrogenTransferredToStage2MMS(H119,$E143,$E153)</f>
        <v>92.92607999999997</v>
      </c>
      <c r="I163" s="2" t="str">
        <f t="shared" ref="I163:I167" si="2">$E$133</f>
        <v>kg N</v>
      </c>
      <c r="N163" s="57" t="str">
        <f>'Input - Swine'!$D$30</f>
        <v>Drylot (feed pad)</v>
      </c>
      <c r="O163" s="52" cm="1">
        <f t="array" ref="O163">MMS_Swine_N2ODirect_Equations.VEERG_4_5_1_3__7_NitrogenTransferredToStage2MMS(O119,$E143,$E153)</f>
        <v>137.00639999999996</v>
      </c>
      <c r="P163" s="52" cm="1">
        <f t="array" ref="P163">MMS_Swine_N2ODirect_Equations.VEERG_4_5_1_3__7_NitrogenTransferredToStage2MMS(P119,$E143,$E153)</f>
        <v>145.94160000000002</v>
      </c>
      <c r="Q163" s="52" cm="1">
        <f t="array" ref="Q163">MMS_Swine_N2ODirect_Equations.VEERG_4_5_1_3__7_NitrogenTransferredToStage2MMS(Q119,$E143,$E153)</f>
        <v>137.00639999999996</v>
      </c>
      <c r="R163" s="52" cm="1">
        <f t="array" ref="R163">MMS_Swine_N2ODirect_Equations.VEERG_4_5_1_3__7_NitrogenTransferredToStage2MMS(R119,$E143,$E153)</f>
        <v>92.92607999999997</v>
      </c>
      <c r="S163" s="2" t="str">
        <f t="shared" ref="S163:S167" si="3">$E$133</f>
        <v>kg N</v>
      </c>
    </row>
    <row r="164" spans="3:21" ht="20.100000000000001" customHeight="1" x14ac:dyDescent="0.25">
      <c r="D164" s="57" t="str">
        <f>'Input - Swine'!$D$31</f>
        <v>Digester / covered lagoons</v>
      </c>
      <c r="E164" s="52" cm="1">
        <f t="array" ref="E164">MMS_Swine_N2ODirect_Equations.VEERG_4_5_1_3__7_NitrogenTransferredToStage2MMS(E120,$E144,$E154)</f>
        <v>201.47999999999996</v>
      </c>
      <c r="F164" s="52" cm="1">
        <f t="array" ref="F164">MMS_Swine_N2ODirect_Equations.VEERG_4_5_1_3__7_NitrogenTransferredToStage2MMS(F120,$E144,$E154)</f>
        <v>214.62000000000003</v>
      </c>
      <c r="G164" s="52" cm="1">
        <f t="array" ref="G164">MMS_Swine_N2ODirect_Equations.VEERG_4_5_1_3__7_NitrogenTransferredToStage2MMS(G120,$E144,$E154)</f>
        <v>201.47999999999996</v>
      </c>
      <c r="H164" s="52" cm="1">
        <f t="array" ref="H164">MMS_Swine_N2ODirect_Equations.VEERG_4_5_1_3__7_NitrogenTransferredToStage2MMS(H120,$E144,$E154)</f>
        <v>136.65599999999998</v>
      </c>
      <c r="I164" s="2" t="str">
        <f t="shared" si="2"/>
        <v>kg N</v>
      </c>
      <c r="N164" s="57" t="str">
        <f>'Input - Swine'!$D$31</f>
        <v>Digester / covered lagoons</v>
      </c>
      <c r="O164" s="52" cm="1">
        <f t="array" ref="O164">MMS_Swine_N2ODirect_Equations.VEERG_4_5_1_3__7_NitrogenTransferredToStage2MMS(O120,$E144,$E154)</f>
        <v>201.47999999999996</v>
      </c>
      <c r="P164" s="52" cm="1">
        <f t="array" ref="P164">MMS_Swine_N2ODirect_Equations.VEERG_4_5_1_3__7_NitrogenTransferredToStage2MMS(P120,$E144,$E154)</f>
        <v>214.62000000000003</v>
      </c>
      <c r="Q164" s="52" cm="1">
        <f t="array" ref="Q164">MMS_Swine_N2ODirect_Equations.VEERG_4_5_1_3__7_NitrogenTransferredToStage2MMS(Q120,$E144,$E154)</f>
        <v>201.47999999999996</v>
      </c>
      <c r="R164" s="52" cm="1">
        <f t="array" ref="R164">MMS_Swine_N2ODirect_Equations.VEERG_4_5_1_3__7_NitrogenTransferredToStage2MMS(R120,$E144,$E154)</f>
        <v>136.65599999999998</v>
      </c>
      <c r="S164" s="2" t="str">
        <f t="shared" si="3"/>
        <v>kg N</v>
      </c>
    </row>
    <row r="165" spans="3:21" ht="20.100000000000001" customHeight="1" x14ac:dyDescent="0.25">
      <c r="D165" s="57" t="str">
        <f>'Input - Swine'!$D$32</f>
        <v>Deep litter</v>
      </c>
      <c r="E165" s="52" cm="1">
        <f t="array" ref="E165">MMS_Swine_N2ODirect_Equations.VEERG_4_5_1_3__7_NitrogenTransferredToStage2MMS(E121,$E145,$E155)</f>
        <v>174.28019999999995</v>
      </c>
      <c r="F165" s="52" cm="1">
        <f t="array" ref="F165">MMS_Swine_N2ODirect_Equations.VEERG_4_5_1_3__7_NitrogenTransferredToStage2MMS(F121,$E145,$E155)</f>
        <v>185.64630000000002</v>
      </c>
      <c r="G165" s="52" cm="1">
        <f t="array" ref="G165">MMS_Swine_N2ODirect_Equations.VEERG_4_5_1_3__7_NitrogenTransferredToStage2MMS(G121,$E145,$E155)</f>
        <v>174.28019999999995</v>
      </c>
      <c r="H165" s="52" cm="1">
        <f t="array" ref="H165">MMS_Swine_N2ODirect_Equations.VEERG_4_5_1_3__7_NitrogenTransferredToStage2MMS(H121,$E145,$E155)</f>
        <v>118.20743999999998</v>
      </c>
      <c r="I165" s="2" t="str">
        <f t="shared" si="2"/>
        <v>kg N</v>
      </c>
      <c r="N165" s="57" t="str">
        <f>'Input - Swine'!$D$32</f>
        <v>Deep litter</v>
      </c>
      <c r="O165" s="52" cm="1">
        <f t="array" ref="O165">MMS_Swine_N2ODirect_Equations.VEERG_4_5_1_3__7_NitrogenTransferredToStage2MMS(O121,$E145,$E155)</f>
        <v>174.28019999999995</v>
      </c>
      <c r="P165" s="52" cm="1">
        <f t="array" ref="P165">MMS_Swine_N2ODirect_Equations.VEERG_4_5_1_3__7_NitrogenTransferredToStage2MMS(P121,$E145,$E155)</f>
        <v>185.64630000000002</v>
      </c>
      <c r="Q165" s="52" cm="1">
        <f t="array" ref="Q165">MMS_Swine_N2ODirect_Equations.VEERG_4_5_1_3__7_NitrogenTransferredToStage2MMS(Q121,$E145,$E155)</f>
        <v>174.28019999999995</v>
      </c>
      <c r="R165" s="52" cm="1">
        <f t="array" ref="R165">MMS_Swine_N2ODirect_Equations.VEERG_4_5_1_3__7_NitrogenTransferredToStage2MMS(R121,$E145,$E155)</f>
        <v>118.20743999999998</v>
      </c>
      <c r="S165" s="2" t="str">
        <f t="shared" si="3"/>
        <v>kg N</v>
      </c>
    </row>
    <row r="166" spans="3:21" ht="20.100000000000001" customHeight="1" x14ac:dyDescent="0.25">
      <c r="D166" s="57" t="str">
        <f>'Input - Swine'!$D$33</f>
        <v>Pit storage</v>
      </c>
      <c r="E166" s="52" cm="1">
        <f t="array" ref="E166">MMS_Swine_N2ODirect_Equations.VEERG_4_5_1_3__7_NitrogenTransferredToStage2MMS(E122,$E146,$E156)</f>
        <v>150.70703999999998</v>
      </c>
      <c r="F166" s="52" cm="1">
        <f t="array" ref="F166">MMS_Swine_N2ODirect_Equations.VEERG_4_5_1_3__7_NitrogenTransferredToStage2MMS(F122,$E146,$E156)</f>
        <v>160.53576000000001</v>
      </c>
      <c r="G166" s="52" cm="1">
        <f t="array" ref="G166">MMS_Swine_N2ODirect_Equations.VEERG_4_5_1_3__7_NitrogenTransferredToStage2MMS(G122,$E146,$E156)</f>
        <v>150.70703999999998</v>
      </c>
      <c r="H166" s="52" cm="1">
        <f t="array" ref="H166">MMS_Swine_N2ODirect_Equations.VEERG_4_5_1_3__7_NitrogenTransferredToStage2MMS(H122,$E146,$E156)</f>
        <v>102.21868799999999</v>
      </c>
      <c r="I166" s="2" t="str">
        <f t="shared" si="2"/>
        <v>kg N</v>
      </c>
      <c r="N166" s="57" t="str">
        <f>'Input - Swine'!$D$33</f>
        <v>Pit storage</v>
      </c>
      <c r="O166" s="52" cm="1">
        <f t="array" ref="O166">MMS_Swine_N2ODirect_Equations.VEERG_4_5_1_3__7_NitrogenTransferredToStage2MMS(O122,$E146,$E156)</f>
        <v>150.70703999999998</v>
      </c>
      <c r="P166" s="52" cm="1">
        <f t="array" ref="P166">MMS_Swine_N2ODirect_Equations.VEERG_4_5_1_3__7_NitrogenTransferredToStage2MMS(P122,$E146,$E156)</f>
        <v>160.53576000000001</v>
      </c>
      <c r="Q166" s="52" cm="1">
        <f t="array" ref="Q166">MMS_Swine_N2ODirect_Equations.VEERG_4_5_1_3__7_NitrogenTransferredToStage2MMS(Q122,$E146,$E156)</f>
        <v>150.70703999999998</v>
      </c>
      <c r="R166" s="52" cm="1">
        <f t="array" ref="R166">MMS_Swine_N2ODirect_Equations.VEERG_4_5_1_3__7_NitrogenTransferredToStage2MMS(R122,$E146,$E156)</f>
        <v>102.21868799999999</v>
      </c>
      <c r="S166" s="2" t="str">
        <f t="shared" si="3"/>
        <v>kg N</v>
      </c>
    </row>
    <row r="167" spans="3:21" ht="20.100000000000001" customHeight="1" x14ac:dyDescent="0.25">
      <c r="D167" s="57" t="str">
        <f>'Input - Swine'!$D$34</f>
        <v>Solid storage</v>
      </c>
      <c r="E167" s="52" cm="1">
        <f t="array" ref="E167">MMS_Swine_N2ODirect_Equations.VEERG_4_5_1_3__7_NitrogenTransferredToStage2MMS(E123,$E147,$E157)</f>
        <v>533.92200000000014</v>
      </c>
      <c r="F167" s="52" cm="1">
        <f t="array" ref="F167">MMS_Swine_N2ODirect_Equations.VEERG_4_5_1_3__7_NitrogenTransferredToStage2MMS(F123,$E147,$E157)</f>
        <v>568.74300000000028</v>
      </c>
      <c r="G167" s="52" cm="1">
        <f t="array" ref="G167">MMS_Swine_N2ODirect_Equations.VEERG_4_5_1_3__7_NitrogenTransferredToStage2MMS(G123,$E147,$E157)</f>
        <v>533.92200000000014</v>
      </c>
      <c r="H167" s="52" cm="1">
        <f t="array" ref="H167">MMS_Swine_N2ODirect_Equations.VEERG_4_5_1_3__7_NitrogenTransferredToStage2MMS(H123,$E147,$E157)</f>
        <v>362.13840000000016</v>
      </c>
      <c r="I167" s="2" t="str">
        <f t="shared" si="2"/>
        <v>kg N</v>
      </c>
      <c r="N167" s="57" t="str">
        <f>'Input - Swine'!$D$34</f>
        <v>Solid storage</v>
      </c>
      <c r="O167" s="52" cm="1">
        <f t="array" ref="O167">MMS_Swine_N2ODirect_Equations.VEERG_4_5_1_3__7_NitrogenTransferredToStage2MMS(O123,$E147,$E157)</f>
        <v>533.92200000000014</v>
      </c>
      <c r="P167" s="52" cm="1">
        <f t="array" ref="P167">MMS_Swine_N2ODirect_Equations.VEERG_4_5_1_3__7_NitrogenTransferredToStage2MMS(P123,$E147,$E157)</f>
        <v>568.74300000000028</v>
      </c>
      <c r="Q167" s="52" cm="1">
        <f t="array" ref="Q167">MMS_Swine_N2ODirect_Equations.VEERG_4_5_1_3__7_NitrogenTransferredToStage2MMS(Q123,$E147,$E157)</f>
        <v>533.92200000000014</v>
      </c>
      <c r="R167" s="52" cm="1">
        <f t="array" ref="R167">MMS_Swine_N2ODirect_Equations.VEERG_4_5_1_3__7_NitrogenTransferredToStage2MMS(R123,$E147,$E157)</f>
        <v>362.13840000000016</v>
      </c>
      <c r="S167" s="2" t="str">
        <f t="shared" si="3"/>
        <v>kg N</v>
      </c>
    </row>
    <row r="168" spans="3:21" ht="20.100000000000001" customHeight="1" x14ac:dyDescent="0.25"/>
    <row r="169" spans="3:21" ht="20.100000000000001" customHeight="1" x14ac:dyDescent="0.25"/>
    <row r="170" spans="3:21" ht="20.100000000000001" customHeight="1" x14ac:dyDescent="0.25">
      <c r="C170" s="45"/>
      <c r="D170" s="45"/>
      <c r="E170" s="45"/>
      <c r="F170" s="45"/>
      <c r="G170" s="45"/>
      <c r="H170" s="45"/>
      <c r="I170" s="45"/>
      <c r="J170" s="45"/>
      <c r="K170" s="45"/>
      <c r="M170" s="45"/>
      <c r="N170" s="45"/>
      <c r="O170" s="45"/>
      <c r="P170" s="45"/>
      <c r="Q170" s="45"/>
      <c r="R170" s="45"/>
      <c r="S170" s="45"/>
      <c r="T170" s="45"/>
      <c r="U170" s="45"/>
    </row>
    <row r="171" spans="3:21" ht="20.100000000000001" customHeight="1" x14ac:dyDescent="0.25">
      <c r="D171" s="6" t="str" cm="1">
        <f t="array" ref="D171">MMS_Swine_N2ODirect_Equations.VEERG_4_5_1_3__6_Stage2NitrogenInMMS_Title()</f>
        <v>Nitrogen in treatment stage 2 MMS</v>
      </c>
      <c r="M171" s="141"/>
      <c r="N171" s="141"/>
      <c r="O171" s="141"/>
      <c r="P171" s="141"/>
      <c r="Q171" s="141"/>
      <c r="R171" s="141"/>
      <c r="S171" s="141"/>
      <c r="T171" s="141"/>
    </row>
    <row r="172" spans="3:21" ht="20.100000000000001" customHeight="1" x14ac:dyDescent="0.25">
      <c r="D172" s="5" t="str" cm="1">
        <f t="array" ref="D172">MMS_Swine_N2ODirect_Equations.VEERG_4_5_1_3__6_Stage2NitrogenInMMS_Source()</f>
        <v>VEERG 2026: 4.5.1.3, Equation (6)</v>
      </c>
    </row>
    <row r="173" spans="3:21" ht="20.100000000000001" customHeight="1" x14ac:dyDescent="0.25">
      <c r="D173" s="13" t="s">
        <v>26</v>
      </c>
      <c r="E173" s="13" t="str" cm="1">
        <f t="array" aca="1" ref="E173" ca="1">Common_InputFunctions.Utility_DisplayFunctionName(F214)</f>
        <v>=MMS_Swine_N2ODirect_Equations.VEERG_4_5_1_3__6_Stage2NitrogenInMMS</v>
      </c>
    </row>
    <row r="174" spans="3:21" ht="20.100000000000001" customHeight="1" x14ac:dyDescent="0.25"/>
    <row r="175" spans="3:21" ht="20.100000000000001" customHeight="1" x14ac:dyDescent="0.25"/>
    <row r="176" spans="3:21" ht="20.100000000000001" customHeight="1" x14ac:dyDescent="0.25">
      <c r="D176" s="53" t="s">
        <v>29</v>
      </c>
      <c r="E176" s="1" t="str" cm="1">
        <f t="array" ref="E176">MMS_Swine_N2ODirect_Equations.VEERG_4_5_1_3__6_Stage2NitrogenInMMS_Variable()</f>
        <v>MN_jmT2</v>
      </c>
    </row>
    <row r="177" spans="4:10" ht="20.100000000000001" customHeight="1" x14ac:dyDescent="0.25">
      <c r="D177" s="53" t="s">
        <v>19</v>
      </c>
      <c r="E177" s="54" t="str" cm="1">
        <f t="array" ref="E177">MMS_Swine_N2ODirect_Equations.VEERG_4_5_1_3__6_Stage2NitrogenInMMS_Unit()</f>
        <v>kg N</v>
      </c>
    </row>
    <row r="178" spans="4:10" ht="20.100000000000001" customHeight="1" x14ac:dyDescent="0.25"/>
    <row r="179" spans="4:10" ht="20.100000000000001" customHeight="1" x14ac:dyDescent="0.25">
      <c r="D179" s="108" t="str" cm="1">
        <f t="array" ref="D179:E180">MMS_Swine_N2ODirect_Equations.VEERG_4_5_1_3__6_Stage2NitrogenInMMS_Arguments()</f>
        <v>NT_jmT2</v>
      </c>
      <c r="E179" s="110" t="str">
        <v>nitrogen transferred to secondary treatment MMS (kg N)</v>
      </c>
      <c r="F179" s="109"/>
      <c r="G179" s="108" t="str">
        <f>"See " &amp; D159</f>
        <v>See M1_Table_NT_j_m_T-2</v>
      </c>
    </row>
    <row r="180" spans="4:10" ht="20.100000000000001" customHeight="1" x14ac:dyDescent="0.25">
      <c r="D180" s="108" t="str">
        <v>MMS_jmT2</v>
      </c>
      <c r="E180" s="110" t="str">
        <v>fraction of manure in each secondary system</v>
      </c>
      <c r="F180" s="109"/>
      <c r="G180" s="108" t="str">
        <f>"See " &amp; D182</f>
        <v>See Table_MMS_j_m_T-2</v>
      </c>
    </row>
    <row r="181" spans="4:10" ht="20.100000000000001" customHeight="1" x14ac:dyDescent="0.25"/>
    <row r="182" spans="4:10" ht="20.100000000000001" customHeight="1" x14ac:dyDescent="0.25">
      <c r="D182" s="121" t="s">
        <v>207</v>
      </c>
    </row>
    <row r="183" spans="4:10" ht="20.100000000000001" customHeight="1" x14ac:dyDescent="0.25">
      <c r="D183" s="122" t="s">
        <v>208</v>
      </c>
    </row>
    <row r="184" spans="4:10" ht="20.100000000000001" customHeight="1" x14ac:dyDescent="0.25">
      <c r="D184" s="51" t="s">
        <v>172</v>
      </c>
      <c r="E184" s="51" t="s">
        <v>209</v>
      </c>
      <c r="F184" s="51" t="s">
        <v>146</v>
      </c>
      <c r="G184" s="51" t="s">
        <v>147</v>
      </c>
      <c r="H184" s="51" t="s">
        <v>148</v>
      </c>
      <c r="I184" s="51" t="s">
        <v>266</v>
      </c>
    </row>
    <row r="185" spans="4:10" ht="20.100000000000001" customHeight="1" x14ac:dyDescent="0.25">
      <c r="D185" s="57" t="str">
        <f>'Input - Swine'!$D$29</f>
        <v>Anaerobic lagoon</v>
      </c>
      <c r="E185" s="57" t="str">
        <f>'Input - Swine'!$D$48</f>
        <v>Drylot (feed pad)</v>
      </c>
      <c r="F185" s="52">
        <f>'Input - Swine'!E48</f>
        <v>0.2</v>
      </c>
      <c r="G185" s="52">
        <f>'Input - Swine'!F48</f>
        <v>0.25</v>
      </c>
      <c r="H185" s="52">
        <f>'Input - Swine'!G48</f>
        <v>0.25</v>
      </c>
      <c r="I185" s="52">
        <f>'Input - Swine'!H48</f>
        <v>0.25</v>
      </c>
      <c r="J185" s="2" t="s">
        <v>99</v>
      </c>
    </row>
    <row r="186" spans="4:10" ht="20.100000000000001" customHeight="1" x14ac:dyDescent="0.25">
      <c r="D186" s="57"/>
      <c r="E186" s="57" t="str">
        <f>'Input - Swine'!$D$49</f>
        <v>Digester / covered lagoons</v>
      </c>
      <c r="F186" s="52">
        <f>'Input - Swine'!E49</f>
        <v>0.2</v>
      </c>
      <c r="G186" s="52">
        <f>'Input - Swine'!F49</f>
        <v>0.25</v>
      </c>
      <c r="H186" s="52">
        <f>'Input - Swine'!G49</f>
        <v>0.25</v>
      </c>
      <c r="I186" s="52">
        <f>'Input - Swine'!H49</f>
        <v>0.25</v>
      </c>
      <c r="J186" s="2" t="s">
        <v>99</v>
      </c>
    </row>
    <row r="187" spans="4:10" ht="20.100000000000001" customHeight="1" x14ac:dyDescent="0.25">
      <c r="D187" s="57"/>
      <c r="E187" s="57" t="str">
        <f>'Input - Swine'!$D$50</f>
        <v>Deep litter</v>
      </c>
      <c r="F187" s="52">
        <f>'Input - Swine'!E50</f>
        <v>0.2</v>
      </c>
      <c r="G187" s="52">
        <f>'Input - Swine'!F50</f>
        <v>0.25</v>
      </c>
      <c r="H187" s="52">
        <f>'Input - Swine'!G50</f>
        <v>0.25</v>
      </c>
      <c r="I187" s="52">
        <f>'Input - Swine'!H50</f>
        <v>0.25</v>
      </c>
      <c r="J187" s="2" t="s">
        <v>99</v>
      </c>
    </row>
    <row r="188" spans="4:10" ht="20.100000000000001" customHeight="1" x14ac:dyDescent="0.25">
      <c r="D188" s="57"/>
      <c r="E188" s="57" t="str">
        <f>'Input - Swine'!$D$51</f>
        <v>Pit storage</v>
      </c>
      <c r="F188" s="52">
        <f>'Input - Swine'!E51</f>
        <v>0.2</v>
      </c>
      <c r="G188" s="52">
        <f>'Input - Swine'!F51</f>
        <v>0.25</v>
      </c>
      <c r="H188" s="52">
        <f>'Input - Swine'!G51</f>
        <v>0.25</v>
      </c>
      <c r="I188" s="52">
        <f>'Input - Swine'!H51</f>
        <v>0.25</v>
      </c>
      <c r="J188" s="2" t="s">
        <v>99</v>
      </c>
    </row>
    <row r="189" spans="4:10" ht="20.100000000000001" customHeight="1" x14ac:dyDescent="0.25">
      <c r="D189" s="57" t="str">
        <f>'Input - Swine'!$D$30</f>
        <v>Drylot (feed pad)</v>
      </c>
      <c r="E189" s="57" t="str">
        <f>'Input - Swine'!$D$56</f>
        <v>Anaerobic lagoon</v>
      </c>
      <c r="F189" s="52">
        <f>'Input - Swine'!E56</f>
        <v>0.2</v>
      </c>
      <c r="G189" s="52">
        <f>'Input - Swine'!F56</f>
        <v>0.25</v>
      </c>
      <c r="H189" s="52">
        <f>'Input - Swine'!G56</f>
        <v>0.25</v>
      </c>
      <c r="I189" s="52">
        <f>'Input - Swine'!H56</f>
        <v>0.25</v>
      </c>
      <c r="J189" s="2" t="s">
        <v>99</v>
      </c>
    </row>
    <row r="190" spans="4:10" ht="20.100000000000001" customHeight="1" x14ac:dyDescent="0.25">
      <c r="D190" s="57"/>
      <c r="E190" s="57" t="str">
        <f>'Input - Swine'!$D$57</f>
        <v>Digester / covered lagoons</v>
      </c>
      <c r="F190" s="52">
        <f>'Input - Swine'!E57</f>
        <v>0.2</v>
      </c>
      <c r="G190" s="52">
        <f>'Input - Swine'!F57</f>
        <v>0.25</v>
      </c>
      <c r="H190" s="52">
        <f>'Input - Swine'!G57</f>
        <v>0.25</v>
      </c>
      <c r="I190" s="52">
        <f>'Input - Swine'!H57</f>
        <v>0.25</v>
      </c>
      <c r="J190" s="2" t="s">
        <v>99</v>
      </c>
    </row>
    <row r="191" spans="4:10" ht="20.100000000000001" customHeight="1" x14ac:dyDescent="0.25">
      <c r="D191" s="57"/>
      <c r="E191" s="57" t="str">
        <f>'Input - Swine'!$D$58</f>
        <v>Deep litter</v>
      </c>
      <c r="F191" s="52">
        <f>'Input - Swine'!E58</f>
        <v>0.2</v>
      </c>
      <c r="G191" s="52">
        <f>'Input - Swine'!F58</f>
        <v>0.25</v>
      </c>
      <c r="H191" s="52">
        <f>'Input - Swine'!G58</f>
        <v>0.25</v>
      </c>
      <c r="I191" s="52">
        <f>'Input - Swine'!H58</f>
        <v>0.25</v>
      </c>
      <c r="J191" s="2" t="s">
        <v>99</v>
      </c>
    </row>
    <row r="192" spans="4:10" ht="20.100000000000001" customHeight="1" x14ac:dyDescent="0.25">
      <c r="D192" s="57"/>
      <c r="E192" s="57" t="str">
        <f>'Input - Swine'!$D$59</f>
        <v>Pit storage</v>
      </c>
      <c r="F192" s="52">
        <f>'Input - Swine'!E59</f>
        <v>0.2</v>
      </c>
      <c r="G192" s="52">
        <f>'Input - Swine'!F59</f>
        <v>0.25</v>
      </c>
      <c r="H192" s="52">
        <f>'Input - Swine'!G59</f>
        <v>0.25</v>
      </c>
      <c r="I192" s="52">
        <f>'Input - Swine'!H59</f>
        <v>0.25</v>
      </c>
      <c r="J192" s="2" t="s">
        <v>99</v>
      </c>
    </row>
    <row r="193" spans="4:21" ht="20.100000000000001" customHeight="1" x14ac:dyDescent="0.25">
      <c r="D193" s="57" t="str">
        <f>'Input - Swine'!$D$31</f>
        <v>Digester / covered lagoons</v>
      </c>
      <c r="E193" s="57" t="str">
        <f>'Input - Swine'!$D$64</f>
        <v>Anaerobic lagoon</v>
      </c>
      <c r="F193" s="52">
        <f>'Input - Swine'!E64</f>
        <v>0.2</v>
      </c>
      <c r="G193" s="52">
        <f>'Input - Swine'!F64</f>
        <v>0.25</v>
      </c>
      <c r="H193" s="52">
        <f>'Input - Swine'!G64</f>
        <v>0.25</v>
      </c>
      <c r="I193" s="52">
        <f>'Input - Swine'!H64</f>
        <v>0.25</v>
      </c>
      <c r="J193" s="2" t="s">
        <v>99</v>
      </c>
    </row>
    <row r="194" spans="4:21" ht="20.100000000000001" customHeight="1" x14ac:dyDescent="0.25">
      <c r="D194" s="57"/>
      <c r="E194" s="57" t="str">
        <f>'Input - Swine'!$D$65</f>
        <v>Drylot (feed pad)</v>
      </c>
      <c r="F194" s="52">
        <f>'Input - Swine'!E65</f>
        <v>0.2</v>
      </c>
      <c r="G194" s="52">
        <f>'Input - Swine'!F65</f>
        <v>0.25</v>
      </c>
      <c r="H194" s="52">
        <f>'Input - Swine'!G65</f>
        <v>0.25</v>
      </c>
      <c r="I194" s="52">
        <f>'Input - Swine'!H65</f>
        <v>0.25</v>
      </c>
      <c r="J194" s="2" t="s">
        <v>99</v>
      </c>
    </row>
    <row r="195" spans="4:21" ht="20.100000000000001" customHeight="1" x14ac:dyDescent="0.25">
      <c r="D195" s="57"/>
      <c r="E195" s="57" t="str">
        <f>'Input - Swine'!$D$66</f>
        <v>Deep litter</v>
      </c>
      <c r="F195" s="52">
        <f>'Input - Swine'!E66</f>
        <v>0.2</v>
      </c>
      <c r="G195" s="52">
        <f>'Input - Swine'!F66</f>
        <v>0.25</v>
      </c>
      <c r="H195" s="52">
        <f>'Input - Swine'!G66</f>
        <v>0.25</v>
      </c>
      <c r="I195" s="52">
        <f>'Input - Swine'!H66</f>
        <v>0.25</v>
      </c>
      <c r="J195" s="2" t="s">
        <v>99</v>
      </c>
    </row>
    <row r="196" spans="4:21" ht="20.100000000000001" customHeight="1" x14ac:dyDescent="0.25">
      <c r="D196" s="57"/>
      <c r="E196" s="57" t="str">
        <f>'Input - Swine'!$D$67</f>
        <v>Pit storage</v>
      </c>
      <c r="F196" s="52">
        <f>'Input - Swine'!E67</f>
        <v>0.2</v>
      </c>
      <c r="G196" s="52">
        <f>'Input - Swine'!F67</f>
        <v>0.25</v>
      </c>
      <c r="H196" s="52">
        <f>'Input - Swine'!G67</f>
        <v>0.25</v>
      </c>
      <c r="I196" s="52">
        <f>'Input - Swine'!H67</f>
        <v>0.25</v>
      </c>
      <c r="J196" s="2" t="s">
        <v>99</v>
      </c>
    </row>
    <row r="197" spans="4:21" ht="20.100000000000001" customHeight="1" x14ac:dyDescent="0.25">
      <c r="D197" s="57" t="str">
        <f>'Input - Swine'!$D$32</f>
        <v>Deep litter</v>
      </c>
      <c r="E197" s="57" t="str">
        <f>'Input - Swine'!$D$72</f>
        <v>Anaerobic lagoon</v>
      </c>
      <c r="F197" s="52">
        <f>'Input - Swine'!E72</f>
        <v>0.2</v>
      </c>
      <c r="G197" s="52">
        <f>'Input - Swine'!F72</f>
        <v>0.25</v>
      </c>
      <c r="H197" s="52">
        <f>'Input - Swine'!G72</f>
        <v>0.25</v>
      </c>
      <c r="I197" s="52">
        <f>'Input - Swine'!H72</f>
        <v>0.25</v>
      </c>
      <c r="J197" s="2" t="s">
        <v>99</v>
      </c>
    </row>
    <row r="198" spans="4:21" ht="20.100000000000001" customHeight="1" x14ac:dyDescent="0.25">
      <c r="D198" s="57"/>
      <c r="E198" s="57" t="str">
        <f>'Input - Swine'!$D$73</f>
        <v>Drylot (feed pad)</v>
      </c>
      <c r="F198" s="52">
        <f>'Input - Swine'!E73</f>
        <v>0.2</v>
      </c>
      <c r="G198" s="52">
        <f>'Input - Swine'!F73</f>
        <v>0.25</v>
      </c>
      <c r="H198" s="52">
        <f>'Input - Swine'!G73</f>
        <v>0.25</v>
      </c>
      <c r="I198" s="52">
        <f>'Input - Swine'!H73</f>
        <v>0.25</v>
      </c>
      <c r="J198" s="2" t="s">
        <v>99</v>
      </c>
    </row>
    <row r="199" spans="4:21" ht="20.100000000000001" customHeight="1" x14ac:dyDescent="0.25">
      <c r="D199" s="57"/>
      <c r="E199" s="57" t="str">
        <f>'Input - Swine'!$D$74</f>
        <v>Digester / covered lagoons</v>
      </c>
      <c r="F199" s="52">
        <f>'Input - Swine'!E74</f>
        <v>0.2</v>
      </c>
      <c r="G199" s="52">
        <f>'Input - Swine'!F74</f>
        <v>0.25</v>
      </c>
      <c r="H199" s="52">
        <f>'Input - Swine'!G74</f>
        <v>0.25</v>
      </c>
      <c r="I199" s="52">
        <f>'Input - Swine'!H74</f>
        <v>0.25</v>
      </c>
      <c r="J199" s="2" t="s">
        <v>99</v>
      </c>
    </row>
    <row r="200" spans="4:21" ht="20.100000000000001" customHeight="1" x14ac:dyDescent="0.25">
      <c r="D200" s="57"/>
      <c r="E200" s="57" t="str">
        <f>'Input - Swine'!$D$75</f>
        <v>Pit storage</v>
      </c>
      <c r="F200" s="52">
        <f>'Input - Swine'!E75</f>
        <v>0.2</v>
      </c>
      <c r="G200" s="52">
        <f>'Input - Swine'!F75</f>
        <v>0.25</v>
      </c>
      <c r="H200" s="52">
        <f>'Input - Swine'!G75</f>
        <v>0.25</v>
      </c>
      <c r="I200" s="52">
        <f>'Input - Swine'!H75</f>
        <v>0.25</v>
      </c>
      <c r="J200" s="2" t="s">
        <v>99</v>
      </c>
    </row>
    <row r="201" spans="4:21" ht="20.100000000000001" customHeight="1" x14ac:dyDescent="0.25">
      <c r="D201" s="57" t="str">
        <f>'Input - Swine'!$D$33</f>
        <v>Pit storage</v>
      </c>
      <c r="E201" s="57" t="str">
        <f>'Input - Swine'!$D$80</f>
        <v>Anaerobic lagoon</v>
      </c>
      <c r="F201" s="52">
        <f>'Input - Swine'!E80</f>
        <v>0.2</v>
      </c>
      <c r="G201" s="52">
        <f>'Input - Swine'!F80</f>
        <v>0.25</v>
      </c>
      <c r="H201" s="52">
        <f>'Input - Swine'!G80</f>
        <v>0.25</v>
      </c>
      <c r="I201" s="52">
        <f>'Input - Swine'!H80</f>
        <v>0.25</v>
      </c>
      <c r="J201" s="2" t="s">
        <v>99</v>
      </c>
    </row>
    <row r="202" spans="4:21" ht="20.100000000000001" customHeight="1" x14ac:dyDescent="0.25">
      <c r="D202" s="57"/>
      <c r="E202" s="57" t="str">
        <f>'Input - Swine'!$D$81</f>
        <v>Drylot (feed pad)</v>
      </c>
      <c r="F202" s="52">
        <f>'Input - Swine'!E81</f>
        <v>0.2</v>
      </c>
      <c r="G202" s="52">
        <f>'Input - Swine'!F81</f>
        <v>0.25</v>
      </c>
      <c r="H202" s="52">
        <f>'Input - Swine'!G81</f>
        <v>0.25</v>
      </c>
      <c r="I202" s="52">
        <f>'Input - Swine'!H81</f>
        <v>0.25</v>
      </c>
      <c r="J202" s="2" t="s">
        <v>99</v>
      </c>
      <c r="U202" s="141"/>
    </row>
    <row r="203" spans="4:21" ht="20.100000000000001" customHeight="1" x14ac:dyDescent="0.25">
      <c r="D203" s="57"/>
      <c r="E203" s="57" t="str">
        <f>'Input - Swine'!$D$82</f>
        <v>Digester / covered lagoons</v>
      </c>
      <c r="F203" s="52">
        <f>'Input - Swine'!E82</f>
        <v>0.2</v>
      </c>
      <c r="G203" s="52">
        <f>'Input - Swine'!F82</f>
        <v>0.25</v>
      </c>
      <c r="H203" s="52">
        <f>'Input - Swine'!G82</f>
        <v>0.25</v>
      </c>
      <c r="I203" s="52">
        <f>'Input - Swine'!H82</f>
        <v>0.25</v>
      </c>
      <c r="J203" s="2" t="s">
        <v>99</v>
      </c>
    </row>
    <row r="204" spans="4:21" ht="20.100000000000001" customHeight="1" x14ac:dyDescent="0.25">
      <c r="D204" s="57"/>
      <c r="E204" s="57" t="str">
        <f>'Input - Swine'!$D$83</f>
        <v>Deep litter</v>
      </c>
      <c r="F204" s="52">
        <f>'Input - Swine'!E83</f>
        <v>0.2</v>
      </c>
      <c r="G204" s="52">
        <f>'Input - Swine'!F83</f>
        <v>0.25</v>
      </c>
      <c r="H204" s="52">
        <f>'Input - Swine'!G83</f>
        <v>0.25</v>
      </c>
      <c r="I204" s="52">
        <f>'Input - Swine'!H83</f>
        <v>0.25</v>
      </c>
      <c r="J204" s="2" t="s">
        <v>99</v>
      </c>
    </row>
    <row r="205" spans="4:21" ht="20.100000000000001" customHeight="1" x14ac:dyDescent="0.25">
      <c r="D205" s="57" t="str">
        <f>'Input - Swine'!$D$34</f>
        <v>Solid storage</v>
      </c>
      <c r="E205" s="57" t="str">
        <f>'Input - Swine'!$D$88</f>
        <v>Anaerobic lagoon</v>
      </c>
      <c r="F205" s="52">
        <f>'Input - Swine'!E88</f>
        <v>0.2</v>
      </c>
      <c r="G205" s="52">
        <f>'Input - Swine'!F88</f>
        <v>0.2</v>
      </c>
      <c r="H205" s="52">
        <f>'Input - Swine'!G88</f>
        <v>0.2</v>
      </c>
      <c r="I205" s="52">
        <f>'Input - Swine'!H88</f>
        <v>0.2</v>
      </c>
      <c r="J205" s="2" t="s">
        <v>99</v>
      </c>
    </row>
    <row r="206" spans="4:21" ht="20.100000000000001" customHeight="1" x14ac:dyDescent="0.25">
      <c r="D206" s="57"/>
      <c r="E206" s="57" t="str">
        <f>'Input - Swine'!$D$89</f>
        <v>Drylot (feed pad)</v>
      </c>
      <c r="F206" s="52">
        <f>'Input - Swine'!E89</f>
        <v>0.2</v>
      </c>
      <c r="G206" s="52">
        <f>'Input - Swine'!F89</f>
        <v>0.2</v>
      </c>
      <c r="H206" s="52">
        <f>'Input - Swine'!G89</f>
        <v>0.2</v>
      </c>
      <c r="I206" s="52">
        <f>'Input - Swine'!H89</f>
        <v>0.2</v>
      </c>
      <c r="J206" s="2" t="s">
        <v>99</v>
      </c>
    </row>
    <row r="207" spans="4:21" ht="20.100000000000001" customHeight="1" x14ac:dyDescent="0.25">
      <c r="D207" s="57"/>
      <c r="E207" s="57" t="str">
        <f>'Input - Swine'!$D$90</f>
        <v>Digester / covered lagoons</v>
      </c>
      <c r="F207" s="52">
        <f>'Input - Swine'!E90</f>
        <v>0.2</v>
      </c>
      <c r="G207" s="52">
        <f>'Input - Swine'!F90</f>
        <v>0.2</v>
      </c>
      <c r="H207" s="52">
        <f>'Input - Swine'!G90</f>
        <v>0.2</v>
      </c>
      <c r="I207" s="52">
        <f>'Input - Swine'!H90</f>
        <v>0.2</v>
      </c>
      <c r="J207" s="2" t="s">
        <v>99</v>
      </c>
    </row>
    <row r="208" spans="4:21" ht="20.100000000000001" customHeight="1" x14ac:dyDescent="0.25">
      <c r="D208" s="57"/>
      <c r="E208" s="57" t="str">
        <f>'Input - Swine'!$D$91</f>
        <v>Deep litter</v>
      </c>
      <c r="F208" s="52">
        <f>'Input - Swine'!E91</f>
        <v>0.2</v>
      </c>
      <c r="G208" s="52">
        <f>'Input - Swine'!F91</f>
        <v>0.2</v>
      </c>
      <c r="H208" s="52">
        <f>'Input - Swine'!G91</f>
        <v>0.2</v>
      </c>
      <c r="I208" s="52">
        <f>'Input - Swine'!H91</f>
        <v>0.2</v>
      </c>
      <c r="J208" s="2" t="s">
        <v>99</v>
      </c>
    </row>
    <row r="209" spans="4:20" ht="20.100000000000001" customHeight="1" x14ac:dyDescent="0.25">
      <c r="D209" s="57"/>
      <c r="E209" s="57" t="str">
        <f>'Input - Swine'!$D$92</f>
        <v>Pit storage</v>
      </c>
      <c r="F209" s="52">
        <f>'Input - Swine'!E92</f>
        <v>0.1</v>
      </c>
      <c r="G209" s="52">
        <f>'Input - Swine'!F92</f>
        <v>0.1</v>
      </c>
      <c r="H209" s="52">
        <f>'Input - Swine'!G92</f>
        <v>0.1</v>
      </c>
      <c r="I209" s="52">
        <f>'Input - Swine'!H92</f>
        <v>0.1</v>
      </c>
      <c r="J209" s="2" t="s">
        <v>99</v>
      </c>
    </row>
    <row r="210" spans="4:20" ht="20.100000000000001" customHeight="1" x14ac:dyDescent="0.25"/>
    <row r="211" spans="4:20" ht="20.100000000000001" customHeight="1" x14ac:dyDescent="0.25">
      <c r="D211" s="121" t="s">
        <v>323</v>
      </c>
      <c r="N211" s="121" t="s">
        <v>323</v>
      </c>
    </row>
    <row r="212" spans="4:20" ht="20.100000000000001" customHeight="1" x14ac:dyDescent="0.25">
      <c r="D212" s="122" t="s">
        <v>324</v>
      </c>
      <c r="N212" s="122" t="s">
        <v>324</v>
      </c>
    </row>
    <row r="213" spans="4:20" ht="20.100000000000001" customHeight="1" x14ac:dyDescent="0.25">
      <c r="D213" s="51" t="s">
        <v>172</v>
      </c>
      <c r="E213" s="51" t="s">
        <v>209</v>
      </c>
      <c r="F213" s="51" t="s">
        <v>146</v>
      </c>
      <c r="G213" s="51" t="s">
        <v>147</v>
      </c>
      <c r="H213" s="51" t="s">
        <v>148</v>
      </c>
      <c r="I213" s="51" t="s">
        <v>266</v>
      </c>
      <c r="N213" s="51" t="s">
        <v>172</v>
      </c>
      <c r="O213" s="51" t="s">
        <v>209</v>
      </c>
      <c r="P213" s="51" t="s">
        <v>146</v>
      </c>
      <c r="Q213" s="51" t="s">
        <v>147</v>
      </c>
      <c r="R213" s="51" t="s">
        <v>148</v>
      </c>
      <c r="S213" s="51" t="s">
        <v>266</v>
      </c>
    </row>
    <row r="214" spans="4:20" ht="20.100000000000001" customHeight="1" x14ac:dyDescent="0.25">
      <c r="D214" s="57" t="str">
        <f>'Input - Swine'!$D$29</f>
        <v>Anaerobic lagoon</v>
      </c>
      <c r="E214" s="57" t="str">
        <f>'Input - Swine'!$D$48</f>
        <v>Drylot (feed pad)</v>
      </c>
      <c r="F214" s="52" cm="1">
        <f t="array" ref="F214">MMS_Swine_N2ODirect_Equations.VEERG_4_5_1_3__6_Stage2NitrogenInMMS(E$162,F185)</f>
        <v>18.133199999999995</v>
      </c>
      <c r="G214" s="52" cm="1">
        <f t="array" ref="G214">MMS_Swine_N2ODirect_Equations.VEERG_4_5_1_3__6_Stage2NitrogenInMMS(F$162,G185)</f>
        <v>24.144750000000002</v>
      </c>
      <c r="H214" s="52" cm="1">
        <f t="array" ref="H214">MMS_Swine_N2ODirect_Equations.VEERG_4_5_1_3__6_Stage2NitrogenInMMS(G$162,H185)</f>
        <v>22.666499999999992</v>
      </c>
      <c r="I214" s="52" cm="1">
        <f t="array" ref="I214">MMS_Swine_N2ODirect_Equations.VEERG_4_5_1_3__6_Stage2NitrogenInMMS(H$162,I185)</f>
        <v>15.373799999999996</v>
      </c>
      <c r="J214" s="2" t="str">
        <f>$E$177</f>
        <v>kg N</v>
      </c>
      <c r="N214" s="57" t="str">
        <f>'Input - Swine'!$D$29</f>
        <v>Anaerobic lagoon</v>
      </c>
      <c r="O214" s="57" t="str">
        <f>'Input - Swine'!$D$48</f>
        <v>Drylot (feed pad)</v>
      </c>
      <c r="P214" s="52" cm="1">
        <f t="array" ref="P214">MMS_Swine_N2ODirect_Equations.VEERG_4_5_1_3__6_Stage2NitrogenInMMS(O$162,F185)</f>
        <v>18.133199999999995</v>
      </c>
      <c r="Q214" s="52" cm="1">
        <f t="array" ref="Q214">MMS_Swine_N2ODirect_Equations.VEERG_4_5_1_3__6_Stage2NitrogenInMMS(P$162,G185)</f>
        <v>24.144750000000002</v>
      </c>
      <c r="R214" s="52" cm="1">
        <f t="array" ref="R214">MMS_Swine_N2ODirect_Equations.VEERG_4_5_1_3__6_Stage2NitrogenInMMS(Q$162,H185)</f>
        <v>22.666499999999992</v>
      </c>
      <c r="S214" s="52" cm="1">
        <f t="array" ref="S214">MMS_Swine_N2ODirect_Equations.VEERG_4_5_1_3__6_Stage2NitrogenInMMS(R$162,I185)</f>
        <v>15.373799999999996</v>
      </c>
      <c r="T214" s="2" t="str">
        <f>$E$177</f>
        <v>kg N</v>
      </c>
    </row>
    <row r="215" spans="4:20" ht="20.100000000000001" customHeight="1" x14ac:dyDescent="0.25">
      <c r="D215" s="57"/>
      <c r="E215" s="57" t="str">
        <f>'Input - Swine'!$D$49</f>
        <v>Digester / covered lagoons</v>
      </c>
      <c r="F215" s="52" cm="1">
        <f t="array" ref="F215">MMS_Swine_N2ODirect_Equations.VEERG_4_5_1_3__6_Stage2NitrogenInMMS(E$162,F186)</f>
        <v>18.133199999999995</v>
      </c>
      <c r="G215" s="52" cm="1">
        <f t="array" ref="G215">MMS_Swine_N2ODirect_Equations.VEERG_4_5_1_3__6_Stage2NitrogenInMMS(F$162,G186)</f>
        <v>24.144750000000002</v>
      </c>
      <c r="H215" s="52" cm="1">
        <f t="array" ref="H215">MMS_Swine_N2ODirect_Equations.VEERG_4_5_1_3__6_Stage2NitrogenInMMS(G$162,H186)</f>
        <v>22.666499999999992</v>
      </c>
      <c r="I215" s="52" cm="1">
        <f t="array" ref="I215">MMS_Swine_N2ODirect_Equations.VEERG_4_5_1_3__6_Stage2NitrogenInMMS(H$162,I186)</f>
        <v>15.373799999999996</v>
      </c>
      <c r="J215" s="2" t="str">
        <f t="shared" ref="J215:J238" si="4">$E$177</f>
        <v>kg N</v>
      </c>
      <c r="N215" s="57"/>
      <c r="O215" s="57" t="str">
        <f>'Input - Swine'!$D$49</f>
        <v>Digester / covered lagoons</v>
      </c>
      <c r="P215" s="52" cm="1">
        <f t="array" ref="P215">MMS_Swine_N2ODirect_Equations.VEERG_4_5_1_3__6_Stage2NitrogenInMMS(O$162,F186)</f>
        <v>18.133199999999995</v>
      </c>
      <c r="Q215" s="52" cm="1">
        <f t="array" ref="Q215">MMS_Swine_N2ODirect_Equations.VEERG_4_5_1_3__6_Stage2NitrogenInMMS(P$162,G186)</f>
        <v>24.144750000000002</v>
      </c>
      <c r="R215" s="52" cm="1">
        <f t="array" ref="R215">MMS_Swine_N2ODirect_Equations.VEERG_4_5_1_3__6_Stage2NitrogenInMMS(Q$162,H186)</f>
        <v>22.666499999999992</v>
      </c>
      <c r="S215" s="52" cm="1">
        <f t="array" ref="S215">MMS_Swine_N2ODirect_Equations.VEERG_4_5_1_3__6_Stage2NitrogenInMMS(R$162,I186)</f>
        <v>15.373799999999996</v>
      </c>
      <c r="T215" s="2" t="str">
        <f t="shared" ref="T215:T238" si="5">$E$177</f>
        <v>kg N</v>
      </c>
    </row>
    <row r="216" spans="4:20" ht="20.100000000000001" customHeight="1" x14ac:dyDescent="0.25">
      <c r="D216" s="57"/>
      <c r="E216" s="57" t="str">
        <f>'Input - Swine'!$D$50</f>
        <v>Deep litter</v>
      </c>
      <c r="F216" s="52" cm="1">
        <f t="array" ref="F216">MMS_Swine_N2ODirect_Equations.VEERG_4_5_1_3__6_Stage2NitrogenInMMS(E$162,F187)</f>
        <v>18.133199999999995</v>
      </c>
      <c r="G216" s="52" cm="1">
        <f t="array" ref="G216">MMS_Swine_N2ODirect_Equations.VEERG_4_5_1_3__6_Stage2NitrogenInMMS(F$162,G187)</f>
        <v>24.144750000000002</v>
      </c>
      <c r="H216" s="52" cm="1">
        <f t="array" ref="H216">MMS_Swine_N2ODirect_Equations.VEERG_4_5_1_3__6_Stage2NitrogenInMMS(G$162,H187)</f>
        <v>22.666499999999992</v>
      </c>
      <c r="I216" s="52" cm="1">
        <f t="array" ref="I216">MMS_Swine_N2ODirect_Equations.VEERG_4_5_1_3__6_Stage2NitrogenInMMS(H$162,I187)</f>
        <v>15.373799999999996</v>
      </c>
      <c r="J216" s="2" t="str">
        <f t="shared" si="4"/>
        <v>kg N</v>
      </c>
      <c r="N216" s="57"/>
      <c r="O216" s="57" t="str">
        <f>'Input - Swine'!$D$50</f>
        <v>Deep litter</v>
      </c>
      <c r="P216" s="52" cm="1">
        <f t="array" ref="P216">MMS_Swine_N2ODirect_Equations.VEERG_4_5_1_3__6_Stage2NitrogenInMMS(O$162,F187)</f>
        <v>18.133199999999995</v>
      </c>
      <c r="Q216" s="52" cm="1">
        <f t="array" ref="Q216">MMS_Swine_N2ODirect_Equations.VEERG_4_5_1_3__6_Stage2NitrogenInMMS(P$162,G187)</f>
        <v>24.144750000000002</v>
      </c>
      <c r="R216" s="52" cm="1">
        <f t="array" ref="R216">MMS_Swine_N2ODirect_Equations.VEERG_4_5_1_3__6_Stage2NitrogenInMMS(Q$162,H187)</f>
        <v>22.666499999999992</v>
      </c>
      <c r="S216" s="52" cm="1">
        <f t="array" ref="S216">MMS_Swine_N2ODirect_Equations.VEERG_4_5_1_3__6_Stage2NitrogenInMMS(R$162,I187)</f>
        <v>15.373799999999996</v>
      </c>
      <c r="T216" s="2" t="str">
        <f t="shared" si="5"/>
        <v>kg N</v>
      </c>
    </row>
    <row r="217" spans="4:20" ht="20.100000000000001" customHeight="1" x14ac:dyDescent="0.25">
      <c r="D217" s="57"/>
      <c r="E217" s="57" t="str">
        <f>'Input - Swine'!$D$51</f>
        <v>Pit storage</v>
      </c>
      <c r="F217" s="52" cm="1">
        <f t="array" ref="F217">MMS_Swine_N2ODirect_Equations.VEERG_4_5_1_3__6_Stage2NitrogenInMMS(E$162,F188)</f>
        <v>18.133199999999995</v>
      </c>
      <c r="G217" s="52" cm="1">
        <f t="array" ref="G217">MMS_Swine_N2ODirect_Equations.VEERG_4_5_1_3__6_Stage2NitrogenInMMS(F$162,G188)</f>
        <v>24.144750000000002</v>
      </c>
      <c r="H217" s="52" cm="1">
        <f t="array" ref="H217">MMS_Swine_N2ODirect_Equations.VEERG_4_5_1_3__6_Stage2NitrogenInMMS(G$162,H188)</f>
        <v>22.666499999999992</v>
      </c>
      <c r="I217" s="52" cm="1">
        <f t="array" ref="I217">MMS_Swine_N2ODirect_Equations.VEERG_4_5_1_3__6_Stage2NitrogenInMMS(H$162,I188)</f>
        <v>15.373799999999996</v>
      </c>
      <c r="J217" s="2" t="str">
        <f t="shared" si="4"/>
        <v>kg N</v>
      </c>
      <c r="N217" s="57"/>
      <c r="O217" s="57" t="str">
        <f>'Input - Swine'!$D$51</f>
        <v>Pit storage</v>
      </c>
      <c r="P217" s="52" cm="1">
        <f t="array" ref="P217">MMS_Swine_N2ODirect_Equations.VEERG_4_5_1_3__6_Stage2NitrogenInMMS(O$162,F188)</f>
        <v>18.133199999999995</v>
      </c>
      <c r="Q217" s="52" cm="1">
        <f t="array" ref="Q217">MMS_Swine_N2ODirect_Equations.VEERG_4_5_1_3__6_Stage2NitrogenInMMS(P$162,G188)</f>
        <v>24.144750000000002</v>
      </c>
      <c r="R217" s="52" cm="1">
        <f t="array" ref="R217">MMS_Swine_N2ODirect_Equations.VEERG_4_5_1_3__6_Stage2NitrogenInMMS(Q$162,H188)</f>
        <v>22.666499999999992</v>
      </c>
      <c r="S217" s="52" cm="1">
        <f t="array" ref="S217">MMS_Swine_N2ODirect_Equations.VEERG_4_5_1_3__6_Stage2NitrogenInMMS(R$162,I188)</f>
        <v>15.373799999999996</v>
      </c>
      <c r="T217" s="2" t="str">
        <f t="shared" si="5"/>
        <v>kg N</v>
      </c>
    </row>
    <row r="218" spans="4:20" ht="20.100000000000001" customHeight="1" x14ac:dyDescent="0.25">
      <c r="D218" s="57" t="str">
        <f>'Input - Swine'!$D$30</f>
        <v>Drylot (feed pad)</v>
      </c>
      <c r="E218" s="57" t="str">
        <f>'Input - Swine'!$D$56</f>
        <v>Anaerobic lagoon</v>
      </c>
      <c r="F218" s="52" cm="1">
        <f t="array" ref="F218">MMS_Swine_N2ODirect_Equations.VEERG_4_5_1_3__6_Stage2NitrogenInMMS(E$163,F189)</f>
        <v>27.401279999999993</v>
      </c>
      <c r="G218" s="52" cm="1">
        <f t="array" ref="G218">MMS_Swine_N2ODirect_Equations.VEERG_4_5_1_3__6_Stage2NitrogenInMMS(F$163,G189)</f>
        <v>36.485400000000006</v>
      </c>
      <c r="H218" s="52" cm="1">
        <f t="array" ref="H218">MMS_Swine_N2ODirect_Equations.VEERG_4_5_1_3__6_Stage2NitrogenInMMS(G$163,H189)</f>
        <v>34.251599999999989</v>
      </c>
      <c r="I218" s="52" cm="1">
        <f t="array" ref="I218">MMS_Swine_N2ODirect_Equations.VEERG_4_5_1_3__6_Stage2NitrogenInMMS(H$163,I189)</f>
        <v>23.231519999999993</v>
      </c>
      <c r="J218" s="2" t="str">
        <f t="shared" si="4"/>
        <v>kg N</v>
      </c>
      <c r="N218" s="57" t="str">
        <f>'Input - Swine'!$D$30</f>
        <v>Drylot (feed pad)</v>
      </c>
      <c r="O218" s="57" t="str">
        <f>'Input - Swine'!$D$56</f>
        <v>Anaerobic lagoon</v>
      </c>
      <c r="P218" s="52" cm="1">
        <f t="array" ref="P218">MMS_Swine_N2ODirect_Equations.VEERG_4_5_1_3__6_Stage2NitrogenInMMS(O$163,F189)</f>
        <v>27.401279999999993</v>
      </c>
      <c r="Q218" s="52" cm="1">
        <f t="array" ref="Q218">MMS_Swine_N2ODirect_Equations.VEERG_4_5_1_3__6_Stage2NitrogenInMMS(P$163,G189)</f>
        <v>36.485400000000006</v>
      </c>
      <c r="R218" s="52" cm="1">
        <f t="array" ref="R218">MMS_Swine_N2ODirect_Equations.VEERG_4_5_1_3__6_Stage2NitrogenInMMS(Q$163,H189)</f>
        <v>34.251599999999989</v>
      </c>
      <c r="S218" s="52" cm="1">
        <f t="array" ref="S218">MMS_Swine_N2ODirect_Equations.VEERG_4_5_1_3__6_Stage2NitrogenInMMS(R$163,I189)</f>
        <v>23.231519999999993</v>
      </c>
      <c r="T218" s="2" t="str">
        <f t="shared" si="5"/>
        <v>kg N</v>
      </c>
    </row>
    <row r="219" spans="4:20" ht="20.100000000000001" customHeight="1" x14ac:dyDescent="0.25">
      <c r="D219" s="57"/>
      <c r="E219" s="57" t="str">
        <f>'Input - Swine'!$D$57</f>
        <v>Digester / covered lagoons</v>
      </c>
      <c r="F219" s="52" cm="1">
        <f t="array" ref="F219">MMS_Swine_N2ODirect_Equations.VEERG_4_5_1_3__6_Stage2NitrogenInMMS(E$163,F190)</f>
        <v>27.401279999999993</v>
      </c>
      <c r="G219" s="52" cm="1">
        <f t="array" ref="G219">MMS_Swine_N2ODirect_Equations.VEERG_4_5_1_3__6_Stage2NitrogenInMMS(F$163,G190)</f>
        <v>36.485400000000006</v>
      </c>
      <c r="H219" s="52" cm="1">
        <f t="array" ref="H219">MMS_Swine_N2ODirect_Equations.VEERG_4_5_1_3__6_Stage2NitrogenInMMS(G$163,H190)</f>
        <v>34.251599999999989</v>
      </c>
      <c r="I219" s="52" cm="1">
        <f t="array" ref="I219">MMS_Swine_N2ODirect_Equations.VEERG_4_5_1_3__6_Stage2NitrogenInMMS(H$163,I190)</f>
        <v>23.231519999999993</v>
      </c>
      <c r="J219" s="2" t="str">
        <f t="shared" si="4"/>
        <v>kg N</v>
      </c>
      <c r="N219" s="57"/>
      <c r="O219" s="57" t="str">
        <f>'Input - Swine'!$D$57</f>
        <v>Digester / covered lagoons</v>
      </c>
      <c r="P219" s="52" cm="1">
        <f t="array" ref="P219">MMS_Swine_N2ODirect_Equations.VEERG_4_5_1_3__6_Stage2NitrogenInMMS(O$163,F190)</f>
        <v>27.401279999999993</v>
      </c>
      <c r="Q219" s="52" cm="1">
        <f t="array" ref="Q219">MMS_Swine_N2ODirect_Equations.VEERG_4_5_1_3__6_Stage2NitrogenInMMS(P$163,G190)</f>
        <v>36.485400000000006</v>
      </c>
      <c r="R219" s="52" cm="1">
        <f t="array" ref="R219">MMS_Swine_N2ODirect_Equations.VEERG_4_5_1_3__6_Stage2NitrogenInMMS(Q$163,H190)</f>
        <v>34.251599999999989</v>
      </c>
      <c r="S219" s="52" cm="1">
        <f t="array" ref="S219">MMS_Swine_N2ODirect_Equations.VEERG_4_5_1_3__6_Stage2NitrogenInMMS(R$163,I190)</f>
        <v>23.231519999999993</v>
      </c>
      <c r="T219" s="2" t="str">
        <f t="shared" si="5"/>
        <v>kg N</v>
      </c>
    </row>
    <row r="220" spans="4:20" ht="20.100000000000001" customHeight="1" x14ac:dyDescent="0.25">
      <c r="D220" s="57"/>
      <c r="E220" s="57" t="str">
        <f>'Input - Swine'!$D$58</f>
        <v>Deep litter</v>
      </c>
      <c r="F220" s="52" cm="1">
        <f t="array" ref="F220">MMS_Swine_N2ODirect_Equations.VEERG_4_5_1_3__6_Stage2NitrogenInMMS(E$163,F191)</f>
        <v>27.401279999999993</v>
      </c>
      <c r="G220" s="52" cm="1">
        <f t="array" ref="G220">MMS_Swine_N2ODirect_Equations.VEERG_4_5_1_3__6_Stage2NitrogenInMMS(F$163,G191)</f>
        <v>36.485400000000006</v>
      </c>
      <c r="H220" s="52" cm="1">
        <f t="array" ref="H220">MMS_Swine_N2ODirect_Equations.VEERG_4_5_1_3__6_Stage2NitrogenInMMS(G$163,H191)</f>
        <v>34.251599999999989</v>
      </c>
      <c r="I220" s="52" cm="1">
        <f t="array" ref="I220">MMS_Swine_N2ODirect_Equations.VEERG_4_5_1_3__6_Stage2NitrogenInMMS(H$163,I191)</f>
        <v>23.231519999999993</v>
      </c>
      <c r="J220" s="2" t="str">
        <f t="shared" si="4"/>
        <v>kg N</v>
      </c>
      <c r="N220" s="57"/>
      <c r="O220" s="57" t="str">
        <f>'Input - Swine'!$D$58</f>
        <v>Deep litter</v>
      </c>
      <c r="P220" s="52" cm="1">
        <f t="array" ref="P220">MMS_Swine_N2ODirect_Equations.VEERG_4_5_1_3__6_Stage2NitrogenInMMS(O$163,F191)</f>
        <v>27.401279999999993</v>
      </c>
      <c r="Q220" s="52" cm="1">
        <f t="array" ref="Q220">MMS_Swine_N2ODirect_Equations.VEERG_4_5_1_3__6_Stage2NitrogenInMMS(P$163,G191)</f>
        <v>36.485400000000006</v>
      </c>
      <c r="R220" s="52" cm="1">
        <f t="array" ref="R220">MMS_Swine_N2ODirect_Equations.VEERG_4_5_1_3__6_Stage2NitrogenInMMS(Q$163,H191)</f>
        <v>34.251599999999989</v>
      </c>
      <c r="S220" s="52" cm="1">
        <f t="array" ref="S220">MMS_Swine_N2ODirect_Equations.VEERG_4_5_1_3__6_Stage2NitrogenInMMS(R$163,I191)</f>
        <v>23.231519999999993</v>
      </c>
      <c r="T220" s="2" t="str">
        <f t="shared" si="5"/>
        <v>kg N</v>
      </c>
    </row>
    <row r="221" spans="4:20" ht="20.100000000000001" customHeight="1" x14ac:dyDescent="0.25">
      <c r="D221" s="57"/>
      <c r="E221" s="57" t="str">
        <f>'Input - Swine'!$D$59</f>
        <v>Pit storage</v>
      </c>
      <c r="F221" s="52" cm="1">
        <f t="array" ref="F221">MMS_Swine_N2ODirect_Equations.VEERG_4_5_1_3__6_Stage2NitrogenInMMS(E$163,F192)</f>
        <v>27.401279999999993</v>
      </c>
      <c r="G221" s="52" cm="1">
        <f t="array" ref="G221">MMS_Swine_N2ODirect_Equations.VEERG_4_5_1_3__6_Stage2NitrogenInMMS(F$163,G192)</f>
        <v>36.485400000000006</v>
      </c>
      <c r="H221" s="52" cm="1">
        <f t="array" ref="H221">MMS_Swine_N2ODirect_Equations.VEERG_4_5_1_3__6_Stage2NitrogenInMMS(G$163,H192)</f>
        <v>34.251599999999989</v>
      </c>
      <c r="I221" s="52" cm="1">
        <f t="array" ref="I221">MMS_Swine_N2ODirect_Equations.VEERG_4_5_1_3__6_Stage2NitrogenInMMS(H$163,I192)</f>
        <v>23.231519999999993</v>
      </c>
      <c r="J221" s="2" t="str">
        <f t="shared" si="4"/>
        <v>kg N</v>
      </c>
      <c r="N221" s="57"/>
      <c r="O221" s="57" t="str">
        <f>'Input - Swine'!$D$59</f>
        <v>Pit storage</v>
      </c>
      <c r="P221" s="52" cm="1">
        <f t="array" ref="P221">MMS_Swine_N2ODirect_Equations.VEERG_4_5_1_3__6_Stage2NitrogenInMMS(O$163,F192)</f>
        <v>27.401279999999993</v>
      </c>
      <c r="Q221" s="52" cm="1">
        <f t="array" ref="Q221">MMS_Swine_N2ODirect_Equations.VEERG_4_5_1_3__6_Stage2NitrogenInMMS(P$163,G192)</f>
        <v>36.485400000000006</v>
      </c>
      <c r="R221" s="52" cm="1">
        <f t="array" ref="R221">MMS_Swine_N2ODirect_Equations.VEERG_4_5_1_3__6_Stage2NitrogenInMMS(Q$163,H192)</f>
        <v>34.251599999999989</v>
      </c>
      <c r="S221" s="52" cm="1">
        <f t="array" ref="S221">MMS_Swine_N2ODirect_Equations.VEERG_4_5_1_3__6_Stage2NitrogenInMMS(R$163,I192)</f>
        <v>23.231519999999993</v>
      </c>
      <c r="T221" s="2" t="str">
        <f t="shared" si="5"/>
        <v>kg N</v>
      </c>
    </row>
    <row r="222" spans="4:20" ht="20.100000000000001" customHeight="1" x14ac:dyDescent="0.25">
      <c r="D222" s="57" t="str">
        <f>'Input - Swine'!$D$31</f>
        <v>Digester / covered lagoons</v>
      </c>
      <c r="E222" s="57" t="str">
        <f>'Input - Swine'!$D$64</f>
        <v>Anaerobic lagoon</v>
      </c>
      <c r="F222" s="52" cm="1">
        <f t="array" ref="F222">MMS_Swine_N2ODirect_Equations.VEERG_4_5_1_3__6_Stage2NitrogenInMMS(E$164,F193)</f>
        <v>40.295999999999992</v>
      </c>
      <c r="G222" s="52" cm="1">
        <f t="array" ref="G222">MMS_Swine_N2ODirect_Equations.VEERG_4_5_1_3__6_Stage2NitrogenInMMS(F$164,G193)</f>
        <v>53.655000000000008</v>
      </c>
      <c r="H222" s="52" cm="1">
        <f t="array" ref="H222">MMS_Swine_N2ODirect_Equations.VEERG_4_5_1_3__6_Stage2NitrogenInMMS(G$164,H193)</f>
        <v>50.36999999999999</v>
      </c>
      <c r="I222" s="52" cm="1">
        <f t="array" ref="I222">MMS_Swine_N2ODirect_Equations.VEERG_4_5_1_3__6_Stage2NitrogenInMMS(H$164,I193)</f>
        <v>34.163999999999994</v>
      </c>
      <c r="J222" s="2" t="str">
        <f t="shared" si="4"/>
        <v>kg N</v>
      </c>
      <c r="N222" s="57" t="str">
        <f>'Input - Swine'!$D$31</f>
        <v>Digester / covered lagoons</v>
      </c>
      <c r="O222" s="57" t="str">
        <f>'Input - Swine'!$D$64</f>
        <v>Anaerobic lagoon</v>
      </c>
      <c r="P222" s="52" cm="1">
        <f t="array" ref="P222">MMS_Swine_N2ODirect_Equations.VEERG_4_5_1_3__6_Stage2NitrogenInMMS(O$164,F193)</f>
        <v>40.295999999999992</v>
      </c>
      <c r="Q222" s="52" cm="1">
        <f t="array" ref="Q222">MMS_Swine_N2ODirect_Equations.VEERG_4_5_1_3__6_Stage2NitrogenInMMS(P$164,G193)</f>
        <v>53.655000000000008</v>
      </c>
      <c r="R222" s="52" cm="1">
        <f t="array" ref="R222">MMS_Swine_N2ODirect_Equations.VEERG_4_5_1_3__6_Stage2NitrogenInMMS(Q$164,H193)</f>
        <v>50.36999999999999</v>
      </c>
      <c r="S222" s="52" cm="1">
        <f t="array" ref="S222">MMS_Swine_N2ODirect_Equations.VEERG_4_5_1_3__6_Stage2NitrogenInMMS(R$164,I193)</f>
        <v>34.163999999999994</v>
      </c>
      <c r="T222" s="2" t="str">
        <f t="shared" si="5"/>
        <v>kg N</v>
      </c>
    </row>
    <row r="223" spans="4:20" ht="20.100000000000001" customHeight="1" x14ac:dyDescent="0.25">
      <c r="D223" s="57"/>
      <c r="E223" s="57" t="str">
        <f>'Input - Swine'!$D$65</f>
        <v>Drylot (feed pad)</v>
      </c>
      <c r="F223" s="52" cm="1">
        <f t="array" ref="F223">MMS_Swine_N2ODirect_Equations.VEERG_4_5_1_3__6_Stage2NitrogenInMMS(E$164,F194)</f>
        <v>40.295999999999992</v>
      </c>
      <c r="G223" s="52" cm="1">
        <f t="array" ref="G223">MMS_Swine_N2ODirect_Equations.VEERG_4_5_1_3__6_Stage2NitrogenInMMS(F$164,G194)</f>
        <v>53.655000000000008</v>
      </c>
      <c r="H223" s="52" cm="1">
        <f t="array" ref="H223">MMS_Swine_N2ODirect_Equations.VEERG_4_5_1_3__6_Stage2NitrogenInMMS(G$164,H194)</f>
        <v>50.36999999999999</v>
      </c>
      <c r="I223" s="52" cm="1">
        <f t="array" ref="I223">MMS_Swine_N2ODirect_Equations.VEERG_4_5_1_3__6_Stage2NitrogenInMMS(H$164,I194)</f>
        <v>34.163999999999994</v>
      </c>
      <c r="J223" s="2" t="str">
        <f t="shared" si="4"/>
        <v>kg N</v>
      </c>
      <c r="N223" s="57"/>
      <c r="O223" s="57" t="str">
        <f>'Input - Swine'!$D$65</f>
        <v>Drylot (feed pad)</v>
      </c>
      <c r="P223" s="52" cm="1">
        <f t="array" ref="P223">MMS_Swine_N2ODirect_Equations.VEERG_4_5_1_3__6_Stage2NitrogenInMMS(O$164,F194)</f>
        <v>40.295999999999992</v>
      </c>
      <c r="Q223" s="52" cm="1">
        <f t="array" ref="Q223">MMS_Swine_N2ODirect_Equations.VEERG_4_5_1_3__6_Stage2NitrogenInMMS(P$164,G194)</f>
        <v>53.655000000000008</v>
      </c>
      <c r="R223" s="52" cm="1">
        <f t="array" ref="R223">MMS_Swine_N2ODirect_Equations.VEERG_4_5_1_3__6_Stage2NitrogenInMMS(Q$164,H194)</f>
        <v>50.36999999999999</v>
      </c>
      <c r="S223" s="52" cm="1">
        <f t="array" ref="S223">MMS_Swine_N2ODirect_Equations.VEERG_4_5_1_3__6_Stage2NitrogenInMMS(R$164,I194)</f>
        <v>34.163999999999994</v>
      </c>
      <c r="T223" s="2" t="str">
        <f t="shared" si="5"/>
        <v>kg N</v>
      </c>
    </row>
    <row r="224" spans="4:20" ht="20.100000000000001" customHeight="1" x14ac:dyDescent="0.25">
      <c r="D224" s="57"/>
      <c r="E224" s="57" t="str">
        <f>'Input - Swine'!$D$66</f>
        <v>Deep litter</v>
      </c>
      <c r="F224" s="52" cm="1">
        <f t="array" ref="F224">MMS_Swine_N2ODirect_Equations.VEERG_4_5_1_3__6_Stage2NitrogenInMMS(E$164,F195)</f>
        <v>40.295999999999992</v>
      </c>
      <c r="G224" s="52" cm="1">
        <f t="array" ref="G224">MMS_Swine_N2ODirect_Equations.VEERG_4_5_1_3__6_Stage2NitrogenInMMS(F$164,G195)</f>
        <v>53.655000000000008</v>
      </c>
      <c r="H224" s="52" cm="1">
        <f t="array" ref="H224">MMS_Swine_N2ODirect_Equations.VEERG_4_5_1_3__6_Stage2NitrogenInMMS(G$164,H195)</f>
        <v>50.36999999999999</v>
      </c>
      <c r="I224" s="52" cm="1">
        <f t="array" ref="I224">MMS_Swine_N2ODirect_Equations.VEERG_4_5_1_3__6_Stage2NitrogenInMMS(H$164,I195)</f>
        <v>34.163999999999994</v>
      </c>
      <c r="J224" s="2" t="str">
        <f t="shared" si="4"/>
        <v>kg N</v>
      </c>
      <c r="N224" s="57"/>
      <c r="O224" s="57" t="str">
        <f>'Input - Swine'!$D$66</f>
        <v>Deep litter</v>
      </c>
      <c r="P224" s="52" cm="1">
        <f t="array" ref="P224">MMS_Swine_N2ODirect_Equations.VEERG_4_5_1_3__6_Stage2NitrogenInMMS(O$164,F195)</f>
        <v>40.295999999999992</v>
      </c>
      <c r="Q224" s="52" cm="1">
        <f t="array" ref="Q224">MMS_Swine_N2ODirect_Equations.VEERG_4_5_1_3__6_Stage2NitrogenInMMS(P$164,G195)</f>
        <v>53.655000000000008</v>
      </c>
      <c r="R224" s="52" cm="1">
        <f t="array" ref="R224">MMS_Swine_N2ODirect_Equations.VEERG_4_5_1_3__6_Stage2NitrogenInMMS(Q$164,H195)</f>
        <v>50.36999999999999</v>
      </c>
      <c r="S224" s="52" cm="1">
        <f t="array" ref="S224">MMS_Swine_N2ODirect_Equations.VEERG_4_5_1_3__6_Stage2NitrogenInMMS(R$164,I195)</f>
        <v>34.163999999999994</v>
      </c>
      <c r="T224" s="2" t="str">
        <f t="shared" si="5"/>
        <v>kg N</v>
      </c>
    </row>
    <row r="225" spans="4:20" ht="20.100000000000001" customHeight="1" x14ac:dyDescent="0.25">
      <c r="D225" s="57"/>
      <c r="E225" s="57" t="str">
        <f>'Input - Swine'!$D$67</f>
        <v>Pit storage</v>
      </c>
      <c r="F225" s="52" cm="1">
        <f t="array" ref="F225">MMS_Swine_N2ODirect_Equations.VEERG_4_5_1_3__6_Stage2NitrogenInMMS(E$164,F196)</f>
        <v>40.295999999999992</v>
      </c>
      <c r="G225" s="52" cm="1">
        <f t="array" ref="G225">MMS_Swine_N2ODirect_Equations.VEERG_4_5_1_3__6_Stage2NitrogenInMMS(F$164,G196)</f>
        <v>53.655000000000008</v>
      </c>
      <c r="H225" s="52" cm="1">
        <f t="array" ref="H225">MMS_Swine_N2ODirect_Equations.VEERG_4_5_1_3__6_Stage2NitrogenInMMS(G$164,H196)</f>
        <v>50.36999999999999</v>
      </c>
      <c r="I225" s="52" cm="1">
        <f t="array" ref="I225">MMS_Swine_N2ODirect_Equations.VEERG_4_5_1_3__6_Stage2NitrogenInMMS(H$164,I196)</f>
        <v>34.163999999999994</v>
      </c>
      <c r="J225" s="2" t="str">
        <f t="shared" si="4"/>
        <v>kg N</v>
      </c>
      <c r="N225" s="57"/>
      <c r="O225" s="57" t="str">
        <f>'Input - Swine'!$D$67</f>
        <v>Pit storage</v>
      </c>
      <c r="P225" s="52" cm="1">
        <f t="array" ref="P225">MMS_Swine_N2ODirect_Equations.VEERG_4_5_1_3__6_Stage2NitrogenInMMS(O$164,F196)</f>
        <v>40.295999999999992</v>
      </c>
      <c r="Q225" s="52" cm="1">
        <f t="array" ref="Q225">MMS_Swine_N2ODirect_Equations.VEERG_4_5_1_3__6_Stage2NitrogenInMMS(P$164,G196)</f>
        <v>53.655000000000008</v>
      </c>
      <c r="R225" s="52" cm="1">
        <f t="array" ref="R225">MMS_Swine_N2ODirect_Equations.VEERG_4_5_1_3__6_Stage2NitrogenInMMS(Q$164,H196)</f>
        <v>50.36999999999999</v>
      </c>
      <c r="S225" s="52" cm="1">
        <f t="array" ref="S225">MMS_Swine_N2ODirect_Equations.VEERG_4_5_1_3__6_Stage2NitrogenInMMS(R$164,I196)</f>
        <v>34.163999999999994</v>
      </c>
      <c r="T225" s="2" t="str">
        <f t="shared" si="5"/>
        <v>kg N</v>
      </c>
    </row>
    <row r="226" spans="4:20" ht="20.100000000000001" customHeight="1" x14ac:dyDescent="0.25">
      <c r="D226" s="57" t="str">
        <f>'Input - Swine'!$D$32</f>
        <v>Deep litter</v>
      </c>
      <c r="E226" s="57" t="str">
        <f>'Input - Swine'!$D$72</f>
        <v>Anaerobic lagoon</v>
      </c>
      <c r="F226" s="52" cm="1">
        <f t="array" ref="F226">MMS_Swine_N2ODirect_Equations.VEERG_4_5_1_3__6_Stage2NitrogenInMMS(E$165,F197)</f>
        <v>34.856039999999993</v>
      </c>
      <c r="G226" s="52" cm="1">
        <f t="array" ref="G226">MMS_Swine_N2ODirect_Equations.VEERG_4_5_1_3__6_Stage2NitrogenInMMS(F$165,G197)</f>
        <v>46.411575000000006</v>
      </c>
      <c r="H226" s="52" cm="1">
        <f t="array" ref="H226">MMS_Swine_N2ODirect_Equations.VEERG_4_5_1_3__6_Stage2NitrogenInMMS(G$165,H197)</f>
        <v>43.570049999999988</v>
      </c>
      <c r="I226" s="52" cm="1">
        <f t="array" ref="I226">MMS_Swine_N2ODirect_Equations.VEERG_4_5_1_3__6_Stage2NitrogenInMMS(H$165,I197)</f>
        <v>29.551859999999994</v>
      </c>
      <c r="J226" s="2" t="str">
        <f t="shared" si="4"/>
        <v>kg N</v>
      </c>
      <c r="N226" s="57" t="str">
        <f>'Input - Swine'!$D$32</f>
        <v>Deep litter</v>
      </c>
      <c r="O226" s="57" t="str">
        <f>'Input - Swine'!$D$72</f>
        <v>Anaerobic lagoon</v>
      </c>
      <c r="P226" s="52" cm="1">
        <f t="array" ref="P226">MMS_Swine_N2ODirect_Equations.VEERG_4_5_1_3__6_Stage2NitrogenInMMS(O$165,F197)</f>
        <v>34.856039999999993</v>
      </c>
      <c r="Q226" s="52" cm="1">
        <f t="array" ref="Q226">MMS_Swine_N2ODirect_Equations.VEERG_4_5_1_3__6_Stage2NitrogenInMMS(P$165,G197)</f>
        <v>46.411575000000006</v>
      </c>
      <c r="R226" s="52" cm="1">
        <f t="array" ref="R226">MMS_Swine_N2ODirect_Equations.VEERG_4_5_1_3__6_Stage2NitrogenInMMS(Q$165,H197)</f>
        <v>43.570049999999988</v>
      </c>
      <c r="S226" s="52" cm="1">
        <f t="array" ref="S226">MMS_Swine_N2ODirect_Equations.VEERG_4_5_1_3__6_Stage2NitrogenInMMS(R$165,I197)</f>
        <v>29.551859999999994</v>
      </c>
      <c r="T226" s="2" t="str">
        <f t="shared" si="5"/>
        <v>kg N</v>
      </c>
    </row>
    <row r="227" spans="4:20" ht="20.100000000000001" customHeight="1" x14ac:dyDescent="0.25">
      <c r="D227" s="57"/>
      <c r="E227" s="57" t="str">
        <f>'Input - Swine'!$D$73</f>
        <v>Drylot (feed pad)</v>
      </c>
      <c r="F227" s="52" cm="1">
        <f t="array" ref="F227">MMS_Swine_N2ODirect_Equations.VEERG_4_5_1_3__6_Stage2NitrogenInMMS(E$165,F198)</f>
        <v>34.856039999999993</v>
      </c>
      <c r="G227" s="52" cm="1">
        <f t="array" ref="G227">MMS_Swine_N2ODirect_Equations.VEERG_4_5_1_3__6_Stage2NitrogenInMMS(F$165,G198)</f>
        <v>46.411575000000006</v>
      </c>
      <c r="H227" s="52" cm="1">
        <f t="array" ref="H227">MMS_Swine_N2ODirect_Equations.VEERG_4_5_1_3__6_Stage2NitrogenInMMS(G$165,H198)</f>
        <v>43.570049999999988</v>
      </c>
      <c r="I227" s="52" cm="1">
        <f t="array" ref="I227">MMS_Swine_N2ODirect_Equations.VEERG_4_5_1_3__6_Stage2NitrogenInMMS(H$165,I198)</f>
        <v>29.551859999999994</v>
      </c>
      <c r="J227" s="2" t="str">
        <f t="shared" si="4"/>
        <v>kg N</v>
      </c>
      <c r="N227" s="57"/>
      <c r="O227" s="57" t="str">
        <f>'Input - Swine'!$D$73</f>
        <v>Drylot (feed pad)</v>
      </c>
      <c r="P227" s="52" cm="1">
        <f t="array" ref="P227">MMS_Swine_N2ODirect_Equations.VEERG_4_5_1_3__6_Stage2NitrogenInMMS(O$165,F198)</f>
        <v>34.856039999999993</v>
      </c>
      <c r="Q227" s="52" cm="1">
        <f t="array" ref="Q227">MMS_Swine_N2ODirect_Equations.VEERG_4_5_1_3__6_Stage2NitrogenInMMS(P$165,G198)</f>
        <v>46.411575000000006</v>
      </c>
      <c r="R227" s="52" cm="1">
        <f t="array" ref="R227">MMS_Swine_N2ODirect_Equations.VEERG_4_5_1_3__6_Stage2NitrogenInMMS(Q$165,H198)</f>
        <v>43.570049999999988</v>
      </c>
      <c r="S227" s="52" cm="1">
        <f t="array" ref="S227">MMS_Swine_N2ODirect_Equations.VEERG_4_5_1_3__6_Stage2NitrogenInMMS(R$165,I198)</f>
        <v>29.551859999999994</v>
      </c>
      <c r="T227" s="2" t="str">
        <f t="shared" si="5"/>
        <v>kg N</v>
      </c>
    </row>
    <row r="228" spans="4:20" ht="20.100000000000001" customHeight="1" x14ac:dyDescent="0.25">
      <c r="D228" s="57"/>
      <c r="E228" s="57" t="str">
        <f>'Input - Swine'!$D$74</f>
        <v>Digester / covered lagoons</v>
      </c>
      <c r="F228" s="52" cm="1">
        <f t="array" ref="F228">MMS_Swine_N2ODirect_Equations.VEERG_4_5_1_3__6_Stage2NitrogenInMMS(E$165,F199)</f>
        <v>34.856039999999993</v>
      </c>
      <c r="G228" s="52" cm="1">
        <f t="array" ref="G228">MMS_Swine_N2ODirect_Equations.VEERG_4_5_1_3__6_Stage2NitrogenInMMS(F$165,G199)</f>
        <v>46.411575000000006</v>
      </c>
      <c r="H228" s="52" cm="1">
        <f t="array" ref="H228">MMS_Swine_N2ODirect_Equations.VEERG_4_5_1_3__6_Stage2NitrogenInMMS(G$165,H199)</f>
        <v>43.570049999999988</v>
      </c>
      <c r="I228" s="52" cm="1">
        <f t="array" ref="I228">MMS_Swine_N2ODirect_Equations.VEERG_4_5_1_3__6_Stage2NitrogenInMMS(H$165,I199)</f>
        <v>29.551859999999994</v>
      </c>
      <c r="J228" s="2" t="str">
        <f t="shared" si="4"/>
        <v>kg N</v>
      </c>
      <c r="N228" s="57"/>
      <c r="O228" s="57" t="str">
        <f>'Input - Swine'!$D$74</f>
        <v>Digester / covered lagoons</v>
      </c>
      <c r="P228" s="52" cm="1">
        <f t="array" ref="P228">MMS_Swine_N2ODirect_Equations.VEERG_4_5_1_3__6_Stage2NitrogenInMMS(O$165,F199)</f>
        <v>34.856039999999993</v>
      </c>
      <c r="Q228" s="52" cm="1">
        <f t="array" ref="Q228">MMS_Swine_N2ODirect_Equations.VEERG_4_5_1_3__6_Stage2NitrogenInMMS(P$165,G199)</f>
        <v>46.411575000000006</v>
      </c>
      <c r="R228" s="52" cm="1">
        <f t="array" ref="R228">MMS_Swine_N2ODirect_Equations.VEERG_4_5_1_3__6_Stage2NitrogenInMMS(Q$165,H199)</f>
        <v>43.570049999999988</v>
      </c>
      <c r="S228" s="52" cm="1">
        <f t="array" ref="S228">MMS_Swine_N2ODirect_Equations.VEERG_4_5_1_3__6_Stage2NitrogenInMMS(R$165,I199)</f>
        <v>29.551859999999994</v>
      </c>
      <c r="T228" s="2" t="str">
        <f t="shared" si="5"/>
        <v>kg N</v>
      </c>
    </row>
    <row r="229" spans="4:20" ht="20.100000000000001" customHeight="1" x14ac:dyDescent="0.25">
      <c r="D229" s="57"/>
      <c r="E229" s="57" t="str">
        <f>'Input - Swine'!$D$75</f>
        <v>Pit storage</v>
      </c>
      <c r="F229" s="52" cm="1">
        <f t="array" ref="F229">MMS_Swine_N2ODirect_Equations.VEERG_4_5_1_3__6_Stage2NitrogenInMMS(E$165,F200)</f>
        <v>34.856039999999993</v>
      </c>
      <c r="G229" s="52" cm="1">
        <f t="array" ref="G229">MMS_Swine_N2ODirect_Equations.VEERG_4_5_1_3__6_Stage2NitrogenInMMS(F$165,G200)</f>
        <v>46.411575000000006</v>
      </c>
      <c r="H229" s="52" cm="1">
        <f t="array" ref="H229">MMS_Swine_N2ODirect_Equations.VEERG_4_5_1_3__6_Stage2NitrogenInMMS(G$165,H200)</f>
        <v>43.570049999999988</v>
      </c>
      <c r="I229" s="52" cm="1">
        <f t="array" ref="I229">MMS_Swine_N2ODirect_Equations.VEERG_4_5_1_3__6_Stage2NitrogenInMMS(H$165,I200)</f>
        <v>29.551859999999994</v>
      </c>
      <c r="J229" s="2" t="str">
        <f t="shared" si="4"/>
        <v>kg N</v>
      </c>
      <c r="N229" s="57"/>
      <c r="O229" s="57" t="str">
        <f>'Input - Swine'!$D$75</f>
        <v>Pit storage</v>
      </c>
      <c r="P229" s="52" cm="1">
        <f t="array" ref="P229">MMS_Swine_N2ODirect_Equations.VEERG_4_5_1_3__6_Stage2NitrogenInMMS(O$165,F200)</f>
        <v>34.856039999999993</v>
      </c>
      <c r="Q229" s="52" cm="1">
        <f t="array" ref="Q229">MMS_Swine_N2ODirect_Equations.VEERG_4_5_1_3__6_Stage2NitrogenInMMS(P$165,G200)</f>
        <v>46.411575000000006</v>
      </c>
      <c r="R229" s="52" cm="1">
        <f t="array" ref="R229">MMS_Swine_N2ODirect_Equations.VEERG_4_5_1_3__6_Stage2NitrogenInMMS(Q$165,H200)</f>
        <v>43.570049999999988</v>
      </c>
      <c r="S229" s="52" cm="1">
        <f t="array" ref="S229">MMS_Swine_N2ODirect_Equations.VEERG_4_5_1_3__6_Stage2NitrogenInMMS(R$165,I200)</f>
        <v>29.551859999999994</v>
      </c>
      <c r="T229" s="2" t="str">
        <f t="shared" si="5"/>
        <v>kg N</v>
      </c>
    </row>
    <row r="230" spans="4:20" ht="20.100000000000001" customHeight="1" x14ac:dyDescent="0.25">
      <c r="D230" s="57" t="str">
        <f>'Input - Swine'!$D$33</f>
        <v>Pit storage</v>
      </c>
      <c r="E230" s="57" t="str">
        <f>'Input - Swine'!$D$80</f>
        <v>Anaerobic lagoon</v>
      </c>
      <c r="F230" s="52" cm="1">
        <f t="array" ref="F230">MMS_Swine_N2ODirect_Equations.VEERG_4_5_1_3__6_Stage2NitrogenInMMS(E$166,F201)</f>
        <v>30.141407999999998</v>
      </c>
      <c r="G230" s="52" cm="1">
        <f t="array" ref="G230">MMS_Swine_N2ODirect_Equations.VEERG_4_5_1_3__6_Stage2NitrogenInMMS(F$166,G201)</f>
        <v>40.133940000000003</v>
      </c>
      <c r="H230" s="52" cm="1">
        <f t="array" ref="H230">MMS_Swine_N2ODirect_Equations.VEERG_4_5_1_3__6_Stage2NitrogenInMMS(G$166,H201)</f>
        <v>37.676759999999994</v>
      </c>
      <c r="I230" s="52" cm="1">
        <f t="array" ref="I230">MMS_Swine_N2ODirect_Equations.VEERG_4_5_1_3__6_Stage2NitrogenInMMS(H$166,I201)</f>
        <v>25.554671999999997</v>
      </c>
      <c r="J230" s="2" t="str">
        <f t="shared" si="4"/>
        <v>kg N</v>
      </c>
      <c r="N230" s="57" t="str">
        <f>'Input - Swine'!$D$33</f>
        <v>Pit storage</v>
      </c>
      <c r="O230" s="57" t="str">
        <f>'Input - Swine'!$D$80</f>
        <v>Anaerobic lagoon</v>
      </c>
      <c r="P230" s="52" cm="1">
        <f t="array" ref="P230">MMS_Swine_N2ODirect_Equations.VEERG_4_5_1_3__6_Stage2NitrogenInMMS(O$166,F201)</f>
        <v>30.141407999999998</v>
      </c>
      <c r="Q230" s="52" cm="1">
        <f t="array" ref="Q230">MMS_Swine_N2ODirect_Equations.VEERG_4_5_1_3__6_Stage2NitrogenInMMS(P$166,G201)</f>
        <v>40.133940000000003</v>
      </c>
      <c r="R230" s="52" cm="1">
        <f t="array" ref="R230">MMS_Swine_N2ODirect_Equations.VEERG_4_5_1_3__6_Stage2NitrogenInMMS(Q$166,H201)</f>
        <v>37.676759999999994</v>
      </c>
      <c r="S230" s="52" cm="1">
        <f t="array" ref="S230">MMS_Swine_N2ODirect_Equations.VEERG_4_5_1_3__6_Stage2NitrogenInMMS(R$166,I201)</f>
        <v>25.554671999999997</v>
      </c>
      <c r="T230" s="2" t="str">
        <f t="shared" si="5"/>
        <v>kg N</v>
      </c>
    </row>
    <row r="231" spans="4:20" ht="20.100000000000001" customHeight="1" x14ac:dyDescent="0.25">
      <c r="D231" s="57"/>
      <c r="E231" s="57" t="str">
        <f>'Input - Swine'!$D$81</f>
        <v>Drylot (feed pad)</v>
      </c>
      <c r="F231" s="52" cm="1">
        <f t="array" ref="F231">MMS_Swine_N2ODirect_Equations.VEERG_4_5_1_3__6_Stage2NitrogenInMMS(E$166,F202)</f>
        <v>30.141407999999998</v>
      </c>
      <c r="G231" s="52" cm="1">
        <f t="array" ref="G231">MMS_Swine_N2ODirect_Equations.VEERG_4_5_1_3__6_Stage2NitrogenInMMS(F$166,G202)</f>
        <v>40.133940000000003</v>
      </c>
      <c r="H231" s="52" cm="1">
        <f t="array" ref="H231">MMS_Swine_N2ODirect_Equations.VEERG_4_5_1_3__6_Stage2NitrogenInMMS(G$166,H202)</f>
        <v>37.676759999999994</v>
      </c>
      <c r="I231" s="52" cm="1">
        <f t="array" ref="I231">MMS_Swine_N2ODirect_Equations.VEERG_4_5_1_3__6_Stage2NitrogenInMMS(H$166,I202)</f>
        <v>25.554671999999997</v>
      </c>
      <c r="J231" s="2" t="str">
        <f t="shared" si="4"/>
        <v>kg N</v>
      </c>
      <c r="N231" s="57"/>
      <c r="O231" s="57" t="str">
        <f>'Input - Swine'!$D$81</f>
        <v>Drylot (feed pad)</v>
      </c>
      <c r="P231" s="52" cm="1">
        <f t="array" ref="P231">MMS_Swine_N2ODirect_Equations.VEERG_4_5_1_3__6_Stage2NitrogenInMMS(O$166,F202)</f>
        <v>30.141407999999998</v>
      </c>
      <c r="Q231" s="52" cm="1">
        <f t="array" ref="Q231">MMS_Swine_N2ODirect_Equations.VEERG_4_5_1_3__6_Stage2NitrogenInMMS(P$166,G202)</f>
        <v>40.133940000000003</v>
      </c>
      <c r="R231" s="52" cm="1">
        <f t="array" ref="R231">MMS_Swine_N2ODirect_Equations.VEERG_4_5_1_3__6_Stage2NitrogenInMMS(Q$166,H202)</f>
        <v>37.676759999999994</v>
      </c>
      <c r="S231" s="52" cm="1">
        <f t="array" ref="S231">MMS_Swine_N2ODirect_Equations.VEERG_4_5_1_3__6_Stage2NitrogenInMMS(R$166,I202)</f>
        <v>25.554671999999997</v>
      </c>
      <c r="T231" s="2" t="str">
        <f t="shared" si="5"/>
        <v>kg N</v>
      </c>
    </row>
    <row r="232" spans="4:20" ht="20.100000000000001" customHeight="1" x14ac:dyDescent="0.25">
      <c r="D232" s="57"/>
      <c r="E232" s="57" t="str">
        <f>'Input - Swine'!$D$82</f>
        <v>Digester / covered lagoons</v>
      </c>
      <c r="F232" s="52" cm="1">
        <f t="array" ref="F232">MMS_Swine_N2ODirect_Equations.VEERG_4_5_1_3__6_Stage2NitrogenInMMS(E$166,F203)</f>
        <v>30.141407999999998</v>
      </c>
      <c r="G232" s="52" cm="1">
        <f t="array" ref="G232">MMS_Swine_N2ODirect_Equations.VEERG_4_5_1_3__6_Stage2NitrogenInMMS(F$166,G203)</f>
        <v>40.133940000000003</v>
      </c>
      <c r="H232" s="52" cm="1">
        <f t="array" ref="H232">MMS_Swine_N2ODirect_Equations.VEERG_4_5_1_3__6_Stage2NitrogenInMMS(G$166,H203)</f>
        <v>37.676759999999994</v>
      </c>
      <c r="I232" s="52" cm="1">
        <f t="array" ref="I232">MMS_Swine_N2ODirect_Equations.VEERG_4_5_1_3__6_Stage2NitrogenInMMS(H$166,I203)</f>
        <v>25.554671999999997</v>
      </c>
      <c r="J232" s="2" t="str">
        <f t="shared" si="4"/>
        <v>kg N</v>
      </c>
      <c r="N232" s="57"/>
      <c r="O232" s="57" t="str">
        <f>'Input - Swine'!$D$82</f>
        <v>Digester / covered lagoons</v>
      </c>
      <c r="P232" s="52" cm="1">
        <f t="array" ref="P232">MMS_Swine_N2ODirect_Equations.VEERG_4_5_1_3__6_Stage2NitrogenInMMS(O$166,F203)</f>
        <v>30.141407999999998</v>
      </c>
      <c r="Q232" s="52" cm="1">
        <f t="array" ref="Q232">MMS_Swine_N2ODirect_Equations.VEERG_4_5_1_3__6_Stage2NitrogenInMMS(P$166,G203)</f>
        <v>40.133940000000003</v>
      </c>
      <c r="R232" s="52" cm="1">
        <f t="array" ref="R232">MMS_Swine_N2ODirect_Equations.VEERG_4_5_1_3__6_Stage2NitrogenInMMS(Q$166,H203)</f>
        <v>37.676759999999994</v>
      </c>
      <c r="S232" s="52" cm="1">
        <f t="array" ref="S232">MMS_Swine_N2ODirect_Equations.VEERG_4_5_1_3__6_Stage2NitrogenInMMS(R$166,I203)</f>
        <v>25.554671999999997</v>
      </c>
      <c r="T232" s="2" t="str">
        <f t="shared" si="5"/>
        <v>kg N</v>
      </c>
    </row>
    <row r="233" spans="4:20" ht="20.100000000000001" customHeight="1" x14ac:dyDescent="0.25">
      <c r="D233" s="57"/>
      <c r="E233" s="57" t="str">
        <f>'Input - Swine'!$D$83</f>
        <v>Deep litter</v>
      </c>
      <c r="F233" s="52" cm="1">
        <f t="array" ref="F233">MMS_Swine_N2ODirect_Equations.VEERG_4_5_1_3__6_Stage2NitrogenInMMS(E$166,F204)</f>
        <v>30.141407999999998</v>
      </c>
      <c r="G233" s="52" cm="1">
        <f t="array" ref="G233">MMS_Swine_N2ODirect_Equations.VEERG_4_5_1_3__6_Stage2NitrogenInMMS(F$166,G204)</f>
        <v>40.133940000000003</v>
      </c>
      <c r="H233" s="52" cm="1">
        <f t="array" ref="H233">MMS_Swine_N2ODirect_Equations.VEERG_4_5_1_3__6_Stage2NitrogenInMMS(G$166,H204)</f>
        <v>37.676759999999994</v>
      </c>
      <c r="I233" s="52" cm="1">
        <f t="array" ref="I233">MMS_Swine_N2ODirect_Equations.VEERG_4_5_1_3__6_Stage2NitrogenInMMS(H$166,I204)</f>
        <v>25.554671999999997</v>
      </c>
      <c r="J233" s="2" t="str">
        <f t="shared" si="4"/>
        <v>kg N</v>
      </c>
      <c r="N233" s="57"/>
      <c r="O233" s="57" t="str">
        <f>'Input - Swine'!$D$83</f>
        <v>Deep litter</v>
      </c>
      <c r="P233" s="52" cm="1">
        <f t="array" ref="P233">MMS_Swine_N2ODirect_Equations.VEERG_4_5_1_3__6_Stage2NitrogenInMMS(O$166,F204)</f>
        <v>30.141407999999998</v>
      </c>
      <c r="Q233" s="52" cm="1">
        <f t="array" ref="Q233">MMS_Swine_N2ODirect_Equations.VEERG_4_5_1_3__6_Stage2NitrogenInMMS(P$166,G204)</f>
        <v>40.133940000000003</v>
      </c>
      <c r="R233" s="52" cm="1">
        <f t="array" ref="R233">MMS_Swine_N2ODirect_Equations.VEERG_4_5_1_3__6_Stage2NitrogenInMMS(Q$166,H204)</f>
        <v>37.676759999999994</v>
      </c>
      <c r="S233" s="52" cm="1">
        <f t="array" ref="S233">MMS_Swine_N2ODirect_Equations.VEERG_4_5_1_3__6_Stage2NitrogenInMMS(R$166,I204)</f>
        <v>25.554671999999997</v>
      </c>
      <c r="T233" s="2" t="str">
        <f t="shared" si="5"/>
        <v>kg N</v>
      </c>
    </row>
    <row r="234" spans="4:20" ht="20.100000000000001" customHeight="1" x14ac:dyDescent="0.25">
      <c r="D234" s="57" t="str">
        <f>'Input - Swine'!$D$34</f>
        <v>Solid storage</v>
      </c>
      <c r="E234" s="57" t="str">
        <f>'Input - Swine'!$D$88</f>
        <v>Anaerobic lagoon</v>
      </c>
      <c r="F234" s="52" cm="1">
        <f t="array" ref="F234">MMS_Swine_N2ODirect_Equations.VEERG_4_5_1_3__6_Stage2NitrogenInMMS(E$167,F205)</f>
        <v>106.78440000000003</v>
      </c>
      <c r="G234" s="52" cm="1">
        <f t="array" ref="G234">MMS_Swine_N2ODirect_Equations.VEERG_4_5_1_3__6_Stage2NitrogenInMMS(F$167,G205)</f>
        <v>113.74860000000007</v>
      </c>
      <c r="H234" s="52" cm="1">
        <f t="array" ref="H234">MMS_Swine_N2ODirect_Equations.VEERG_4_5_1_3__6_Stage2NitrogenInMMS(G$167,H205)</f>
        <v>106.78440000000003</v>
      </c>
      <c r="I234" s="52" cm="1">
        <f t="array" ref="I234">MMS_Swine_N2ODirect_Equations.VEERG_4_5_1_3__6_Stage2NitrogenInMMS(H$167,I205)</f>
        <v>72.427680000000038</v>
      </c>
      <c r="J234" s="2" t="str">
        <f t="shared" si="4"/>
        <v>kg N</v>
      </c>
      <c r="N234" s="57" t="str">
        <f>'Input - Swine'!$D$34</f>
        <v>Solid storage</v>
      </c>
      <c r="O234" s="57" t="str">
        <f>'Input - Swine'!$D$88</f>
        <v>Anaerobic lagoon</v>
      </c>
      <c r="P234" s="52" cm="1">
        <f t="array" ref="P234">MMS_Swine_N2ODirect_Equations.VEERG_4_5_1_3__6_Stage2NitrogenInMMS(O$167,F205)</f>
        <v>106.78440000000003</v>
      </c>
      <c r="Q234" s="52" cm="1">
        <f t="array" ref="Q234">MMS_Swine_N2ODirect_Equations.VEERG_4_5_1_3__6_Stage2NitrogenInMMS(P$167,G205)</f>
        <v>113.74860000000007</v>
      </c>
      <c r="R234" s="52" cm="1">
        <f t="array" ref="R234">MMS_Swine_N2ODirect_Equations.VEERG_4_5_1_3__6_Stage2NitrogenInMMS(Q$167,H205)</f>
        <v>106.78440000000003</v>
      </c>
      <c r="S234" s="52" cm="1">
        <f t="array" ref="S234">MMS_Swine_N2ODirect_Equations.VEERG_4_5_1_3__6_Stage2NitrogenInMMS(R$167,I205)</f>
        <v>72.427680000000038</v>
      </c>
      <c r="T234" s="2" t="str">
        <f t="shared" si="5"/>
        <v>kg N</v>
      </c>
    </row>
    <row r="235" spans="4:20" ht="20.100000000000001" customHeight="1" x14ac:dyDescent="0.25">
      <c r="D235" s="57"/>
      <c r="E235" s="57" t="str">
        <f>'Input - Swine'!$D$89</f>
        <v>Drylot (feed pad)</v>
      </c>
      <c r="F235" s="52" cm="1">
        <f t="array" ref="F235">MMS_Swine_N2ODirect_Equations.VEERG_4_5_1_3__6_Stage2NitrogenInMMS(E$167,F206)</f>
        <v>106.78440000000003</v>
      </c>
      <c r="G235" s="52" cm="1">
        <f t="array" ref="G235">MMS_Swine_N2ODirect_Equations.VEERG_4_5_1_3__6_Stage2NitrogenInMMS(F$167,G206)</f>
        <v>113.74860000000007</v>
      </c>
      <c r="H235" s="52" cm="1">
        <f t="array" ref="H235">MMS_Swine_N2ODirect_Equations.VEERG_4_5_1_3__6_Stage2NitrogenInMMS(G$167,H206)</f>
        <v>106.78440000000003</v>
      </c>
      <c r="I235" s="52" cm="1">
        <f t="array" ref="I235">MMS_Swine_N2ODirect_Equations.VEERG_4_5_1_3__6_Stage2NitrogenInMMS(H$167,I206)</f>
        <v>72.427680000000038</v>
      </c>
      <c r="J235" s="2" t="str">
        <f t="shared" si="4"/>
        <v>kg N</v>
      </c>
      <c r="N235" s="57"/>
      <c r="O235" s="57" t="str">
        <f>'Input - Swine'!$D$89</f>
        <v>Drylot (feed pad)</v>
      </c>
      <c r="P235" s="52" cm="1">
        <f t="array" ref="P235">MMS_Swine_N2ODirect_Equations.VEERG_4_5_1_3__6_Stage2NitrogenInMMS(O$167,F206)</f>
        <v>106.78440000000003</v>
      </c>
      <c r="Q235" s="52" cm="1">
        <f t="array" ref="Q235">MMS_Swine_N2ODirect_Equations.VEERG_4_5_1_3__6_Stage2NitrogenInMMS(P$167,G206)</f>
        <v>113.74860000000007</v>
      </c>
      <c r="R235" s="52" cm="1">
        <f t="array" ref="R235">MMS_Swine_N2ODirect_Equations.VEERG_4_5_1_3__6_Stage2NitrogenInMMS(Q$167,H206)</f>
        <v>106.78440000000003</v>
      </c>
      <c r="S235" s="52" cm="1">
        <f t="array" ref="S235">MMS_Swine_N2ODirect_Equations.VEERG_4_5_1_3__6_Stage2NitrogenInMMS(R$167,I206)</f>
        <v>72.427680000000038</v>
      </c>
      <c r="T235" s="2" t="str">
        <f t="shared" si="5"/>
        <v>kg N</v>
      </c>
    </row>
    <row r="236" spans="4:20" ht="20.100000000000001" customHeight="1" x14ac:dyDescent="0.25">
      <c r="D236" s="57"/>
      <c r="E236" s="57" t="str">
        <f>'Input - Swine'!$D$90</f>
        <v>Digester / covered lagoons</v>
      </c>
      <c r="F236" s="52" cm="1">
        <f t="array" ref="F236">MMS_Swine_N2ODirect_Equations.VEERG_4_5_1_3__6_Stage2NitrogenInMMS(E$167,F207)</f>
        <v>106.78440000000003</v>
      </c>
      <c r="G236" s="52" cm="1">
        <f t="array" ref="G236">MMS_Swine_N2ODirect_Equations.VEERG_4_5_1_3__6_Stage2NitrogenInMMS(F$167,G207)</f>
        <v>113.74860000000007</v>
      </c>
      <c r="H236" s="52" cm="1">
        <f t="array" ref="H236">MMS_Swine_N2ODirect_Equations.VEERG_4_5_1_3__6_Stage2NitrogenInMMS(G$167,H207)</f>
        <v>106.78440000000003</v>
      </c>
      <c r="I236" s="52" cm="1">
        <f t="array" ref="I236">MMS_Swine_N2ODirect_Equations.VEERG_4_5_1_3__6_Stage2NitrogenInMMS(H$167,I207)</f>
        <v>72.427680000000038</v>
      </c>
      <c r="J236" s="2" t="str">
        <f t="shared" si="4"/>
        <v>kg N</v>
      </c>
      <c r="N236" s="57"/>
      <c r="O236" s="57" t="str">
        <f>'Input - Swine'!$D$90</f>
        <v>Digester / covered lagoons</v>
      </c>
      <c r="P236" s="52" cm="1">
        <f t="array" ref="P236">MMS_Swine_N2ODirect_Equations.VEERG_4_5_1_3__6_Stage2NitrogenInMMS(O$167,F207)</f>
        <v>106.78440000000003</v>
      </c>
      <c r="Q236" s="52" cm="1">
        <f t="array" ref="Q236">MMS_Swine_N2ODirect_Equations.VEERG_4_5_1_3__6_Stage2NitrogenInMMS(P$167,G207)</f>
        <v>113.74860000000007</v>
      </c>
      <c r="R236" s="52" cm="1">
        <f t="array" ref="R236">MMS_Swine_N2ODirect_Equations.VEERG_4_5_1_3__6_Stage2NitrogenInMMS(Q$167,H207)</f>
        <v>106.78440000000003</v>
      </c>
      <c r="S236" s="52" cm="1">
        <f t="array" ref="S236">MMS_Swine_N2ODirect_Equations.VEERG_4_5_1_3__6_Stage2NitrogenInMMS(R$167,I207)</f>
        <v>72.427680000000038</v>
      </c>
      <c r="T236" s="2" t="str">
        <f t="shared" si="5"/>
        <v>kg N</v>
      </c>
    </row>
    <row r="237" spans="4:20" ht="20.100000000000001" customHeight="1" x14ac:dyDescent="0.25">
      <c r="D237" s="57"/>
      <c r="E237" s="57" t="str">
        <f>'Input - Swine'!$D$91</f>
        <v>Deep litter</v>
      </c>
      <c r="F237" s="52" cm="1">
        <f t="array" ref="F237">MMS_Swine_N2ODirect_Equations.VEERG_4_5_1_3__6_Stage2NitrogenInMMS(E$167,F208)</f>
        <v>106.78440000000003</v>
      </c>
      <c r="G237" s="52" cm="1">
        <f t="array" ref="G237">MMS_Swine_N2ODirect_Equations.VEERG_4_5_1_3__6_Stage2NitrogenInMMS(F$167,G208)</f>
        <v>113.74860000000007</v>
      </c>
      <c r="H237" s="52" cm="1">
        <f t="array" ref="H237">MMS_Swine_N2ODirect_Equations.VEERG_4_5_1_3__6_Stage2NitrogenInMMS(G$167,H208)</f>
        <v>106.78440000000003</v>
      </c>
      <c r="I237" s="52" cm="1">
        <f t="array" ref="I237">MMS_Swine_N2ODirect_Equations.VEERG_4_5_1_3__6_Stage2NitrogenInMMS(H$167,I208)</f>
        <v>72.427680000000038</v>
      </c>
      <c r="J237" s="2" t="str">
        <f t="shared" si="4"/>
        <v>kg N</v>
      </c>
      <c r="N237" s="57"/>
      <c r="O237" s="57" t="str">
        <f>'Input - Swine'!$D$91</f>
        <v>Deep litter</v>
      </c>
      <c r="P237" s="52" cm="1">
        <f t="array" ref="P237">MMS_Swine_N2ODirect_Equations.VEERG_4_5_1_3__6_Stage2NitrogenInMMS(O$167,F208)</f>
        <v>106.78440000000003</v>
      </c>
      <c r="Q237" s="52" cm="1">
        <f t="array" ref="Q237">MMS_Swine_N2ODirect_Equations.VEERG_4_5_1_3__6_Stage2NitrogenInMMS(P$167,G208)</f>
        <v>113.74860000000007</v>
      </c>
      <c r="R237" s="52" cm="1">
        <f t="array" ref="R237">MMS_Swine_N2ODirect_Equations.VEERG_4_5_1_3__6_Stage2NitrogenInMMS(Q$167,H208)</f>
        <v>106.78440000000003</v>
      </c>
      <c r="S237" s="52" cm="1">
        <f t="array" ref="S237">MMS_Swine_N2ODirect_Equations.VEERG_4_5_1_3__6_Stage2NitrogenInMMS(R$167,I208)</f>
        <v>72.427680000000038</v>
      </c>
      <c r="T237" s="2" t="str">
        <f t="shared" si="5"/>
        <v>kg N</v>
      </c>
    </row>
    <row r="238" spans="4:20" ht="20.100000000000001" customHeight="1" x14ac:dyDescent="0.25">
      <c r="D238" s="57"/>
      <c r="E238" s="57" t="str">
        <f>'Input - Swine'!$D$92</f>
        <v>Pit storage</v>
      </c>
      <c r="F238" s="52" cm="1">
        <f t="array" ref="F238">MMS_Swine_N2ODirect_Equations.VEERG_4_5_1_3__6_Stage2NitrogenInMMS(E$167,F209)</f>
        <v>53.392200000000017</v>
      </c>
      <c r="G238" s="52" cm="1">
        <f t="array" ref="G238">MMS_Swine_N2ODirect_Equations.VEERG_4_5_1_3__6_Stage2NitrogenInMMS(F$167,G209)</f>
        <v>56.874300000000034</v>
      </c>
      <c r="H238" s="52" cm="1">
        <f t="array" ref="H238">MMS_Swine_N2ODirect_Equations.VEERG_4_5_1_3__6_Stage2NitrogenInMMS(G$167,H209)</f>
        <v>53.392200000000017</v>
      </c>
      <c r="I238" s="52" cm="1">
        <f t="array" ref="I238">MMS_Swine_N2ODirect_Equations.VEERG_4_5_1_3__6_Stage2NitrogenInMMS(H$167,I209)</f>
        <v>36.213840000000019</v>
      </c>
      <c r="J238" s="2" t="str">
        <f t="shared" si="4"/>
        <v>kg N</v>
      </c>
      <c r="N238" s="57"/>
      <c r="O238" s="57" t="str">
        <f>'Input - Swine'!$D$92</f>
        <v>Pit storage</v>
      </c>
      <c r="P238" s="52" cm="1">
        <f t="array" ref="P238">MMS_Swine_N2ODirect_Equations.VEERG_4_5_1_3__6_Stage2NitrogenInMMS(O$167,F209)</f>
        <v>53.392200000000017</v>
      </c>
      <c r="Q238" s="52" cm="1">
        <f t="array" ref="Q238">MMS_Swine_N2ODirect_Equations.VEERG_4_5_1_3__6_Stage2NitrogenInMMS(P$167,G209)</f>
        <v>56.874300000000034</v>
      </c>
      <c r="R238" s="52" cm="1">
        <f t="array" ref="R238">MMS_Swine_N2ODirect_Equations.VEERG_4_5_1_3__6_Stage2NitrogenInMMS(Q$167,H209)</f>
        <v>53.392200000000017</v>
      </c>
      <c r="S238" s="52" cm="1">
        <f t="array" ref="S238">MMS_Swine_N2ODirect_Equations.VEERG_4_5_1_3__6_Stage2NitrogenInMMS(R$167,I209)</f>
        <v>36.213840000000019</v>
      </c>
      <c r="T238" s="2" t="str">
        <f t="shared" si="5"/>
        <v>kg N</v>
      </c>
    </row>
    <row r="239" spans="4:20" ht="20.100000000000001" customHeight="1" x14ac:dyDescent="0.25"/>
    <row r="240" spans="4:20" ht="20.100000000000001" customHeight="1" x14ac:dyDescent="0.25"/>
    <row r="241" spans="3:21" ht="20.100000000000001" customHeight="1" x14ac:dyDescent="0.25">
      <c r="C241" s="45"/>
      <c r="D241" s="45"/>
      <c r="E241" s="45"/>
      <c r="F241" s="45"/>
      <c r="G241" s="45"/>
      <c r="H241" s="45"/>
      <c r="I241" s="45"/>
      <c r="J241" s="45"/>
      <c r="K241" s="45"/>
      <c r="M241" s="45"/>
      <c r="N241" s="45"/>
      <c r="O241" s="45"/>
      <c r="P241" s="45"/>
      <c r="Q241" s="45"/>
      <c r="R241" s="45"/>
      <c r="S241" s="45"/>
      <c r="T241" s="45"/>
      <c r="U241" s="45"/>
    </row>
    <row r="242" spans="3:21" ht="20.100000000000001" customHeight="1" x14ac:dyDescent="0.25">
      <c r="D242" s="6" t="str" cm="1">
        <f t="array" ref="D242">MMS_Swine_N2ODirect_Equations.VEERG_4_5_1_3__1_TotalAnnualDirectNitrousOxideEmissionsFromMMS_Title()</f>
        <v>Total annual direct nitrous oxide emissions from manure management systems</v>
      </c>
    </row>
    <row r="243" spans="3:21" ht="20.100000000000001" customHeight="1" x14ac:dyDescent="0.25">
      <c r="D243" s="5" t="str" cm="1">
        <f t="array" ref="D243">MMS_Swine_N2ODirect_Equations.VEERG_4_5_1_3__1_TotalAnnualDirectNitrousOxideEmissionsFromMMS_Source()</f>
        <v>VEERG 2026: 4.5.1.3, Equation (1)</v>
      </c>
    </row>
    <row r="244" spans="3:21" ht="20.100000000000001" customHeight="1" x14ac:dyDescent="0.25">
      <c r="D244" s="13" t="s">
        <v>26</v>
      </c>
      <c r="E244" s="13" t="str" cm="1">
        <f t="array" aca="1" ref="E244" ca="1">Common_InputFunctions.Utility_DisplayFunctionName(F257)</f>
        <v>=MMS_Swine_N2ODirect_Equations.VEERG_4_5_1_3__1_TotalAnnualDirectNitrousOxideEmissionsFromMMS</v>
      </c>
    </row>
    <row r="245" spans="3:21" ht="20.100000000000001" customHeight="1" x14ac:dyDescent="0.25"/>
    <row r="246" spans="3:21" ht="20.100000000000001" customHeight="1" x14ac:dyDescent="0.25"/>
    <row r="247" spans="3:21" ht="20.100000000000001" customHeight="1" x14ac:dyDescent="0.25">
      <c r="D247" s="53" t="s">
        <v>29</v>
      </c>
      <c r="E247" s="1" t="str" cm="1">
        <f t="array" ref="E247">MMS_Swine_N2ODirect_Equations.VEERG_4_5_1_3__1_TotalAnnualDirectNitrousOxideEmissionsFromMMS_Variable()</f>
        <v>E_N2Odir</v>
      </c>
    </row>
    <row r="248" spans="3:21" ht="20.100000000000001" customHeight="1" x14ac:dyDescent="0.25">
      <c r="D248" s="53" t="s">
        <v>19</v>
      </c>
      <c r="E248" s="54" t="str" cm="1">
        <f t="array" ref="E248">MMS_Swine_N2ODirect_Equations.VEERG_4_5_1_3__1_TotalAnnualDirectNitrousOxideEmissionsFromMMS_Unit()</f>
        <v>t N2O</v>
      </c>
    </row>
    <row r="249" spans="3:21" ht="20.100000000000001" customHeight="1" x14ac:dyDescent="0.25"/>
    <row r="250" spans="3:21" ht="20.100000000000001" customHeight="1" x14ac:dyDescent="0.25">
      <c r="D250" s="108" t="str" cm="1">
        <f t="array" ref="D250:E252">MMS_Swine_N2ODirect_Equations.VEERG_4_5_1_3__1_TotalAnnualDirectNitrousOxideEmissionsFromMMS_Arguments()</f>
        <v>MN_jmT</v>
      </c>
      <c r="E250" s="110" t="str">
        <v>nitrogen per swine class, MMS and treatment stage (kg N)</v>
      </c>
      <c r="F250" s="109"/>
      <c r="G250" s="110" t="str">
        <f>"See " &amp; D115 &amp; " and " &amp; D211</f>
        <v>See M1_Table_MN_j_m_T-1 and M1_Table_MN_j_m_T-2</v>
      </c>
      <c r="H250" s="109"/>
    </row>
    <row r="251" spans="3:21" ht="20.100000000000001" customHeight="1" x14ac:dyDescent="0.25">
      <c r="D251" s="108" t="str">
        <v>EF_jm</v>
      </c>
      <c r="E251" s="110" t="str">
        <v>nitrous oxide emission factor for MMS (kg N2O-N/kg N)</v>
      </c>
      <c r="F251" s="109"/>
      <c r="G251" s="110" t="str">
        <f>"See " &amp; D149</f>
        <v>See Table_EF_m_t-1</v>
      </c>
      <c r="H251" s="109"/>
    </row>
    <row r="252" spans="3:21" ht="20.100000000000001" customHeight="1" x14ac:dyDescent="0.25">
      <c r="D252" s="108" t="str">
        <v>C_N2O</v>
      </c>
      <c r="E252" s="110" t="str">
        <v>factor to convert elemental mass of nitrous oxide to molecular mass</v>
      </c>
      <c r="F252" s="109"/>
      <c r="G252" s="58">
        <f>Common_InputFunctions.Utility_LookupValueInTableNumber("N2O",Table_GasToMolecularConversionFactor[Gas],Table_GasToMolecularConversionFactor[Conversion factor combined])</f>
        <v>1.5714285714285714</v>
      </c>
      <c r="H252" s="109"/>
    </row>
    <row r="253" spans="3:21" ht="20.100000000000001" customHeight="1" x14ac:dyDescent="0.25"/>
    <row r="254" spans="3:21" ht="20.100000000000001" customHeight="1" x14ac:dyDescent="0.25">
      <c r="D254" s="121" t="s">
        <v>325</v>
      </c>
      <c r="N254" s="121" t="s">
        <v>339</v>
      </c>
    </row>
    <row r="255" spans="3:21" ht="20.100000000000001" customHeight="1" x14ac:dyDescent="0.25">
      <c r="D255" s="122" t="s">
        <v>326</v>
      </c>
      <c r="N255" s="122" t="s">
        <v>340</v>
      </c>
      <c r="U255" s="141"/>
    </row>
    <row r="256" spans="3:21" ht="20.100000000000001" customHeight="1" x14ac:dyDescent="0.25">
      <c r="D256" s="51" t="s">
        <v>172</v>
      </c>
      <c r="E256" s="51" t="s">
        <v>209</v>
      </c>
      <c r="F256" s="51" t="s">
        <v>146</v>
      </c>
      <c r="G256" s="51" t="s">
        <v>147</v>
      </c>
      <c r="H256" s="51" t="s">
        <v>148</v>
      </c>
      <c r="I256" s="51" t="s">
        <v>266</v>
      </c>
      <c r="N256" s="51" t="s">
        <v>172</v>
      </c>
      <c r="O256" s="51" t="s">
        <v>209</v>
      </c>
      <c r="P256" s="51" t="s">
        <v>146</v>
      </c>
      <c r="Q256" s="51" t="s">
        <v>147</v>
      </c>
      <c r="R256" s="51" t="s">
        <v>148</v>
      </c>
      <c r="S256" s="51" t="s">
        <v>266</v>
      </c>
      <c r="U256" s="141"/>
    </row>
    <row r="257" spans="4:20" ht="20.100000000000001" customHeight="1" x14ac:dyDescent="0.25">
      <c r="D257" s="57" t="str">
        <f>'Input - Swine'!$D$29</f>
        <v>Anaerobic lagoon</v>
      </c>
      <c r="E257" s="57" t="s">
        <v>214</v>
      </c>
      <c r="F257" s="52" cm="1">
        <f t="array" ref="F257">MMS_Swine_N2ODirect_Equations.VEERG_4_5_1_3__1_TotalAnnualDirectNitrousOxideEmissionsFromMMS(E118, _xlfn.XLOOKUP($D257, $D$152:$D$157, $E$152:$E$157), $G$252)</f>
        <v>0</v>
      </c>
      <c r="G257" s="52" cm="1">
        <f t="array" ref="G257">MMS_Swine_N2ODirect_Equations.VEERG_4_5_1_3__1_TotalAnnualDirectNitrousOxideEmissionsFromMMS(F118, _xlfn.XLOOKUP($D257, $D$152:$D$157, $E$152:$E$157), $G$252)</f>
        <v>0</v>
      </c>
      <c r="H257" s="52" cm="1">
        <f t="array" ref="H257">MMS_Swine_N2ODirect_Equations.VEERG_4_5_1_3__1_TotalAnnualDirectNitrousOxideEmissionsFromMMS(G118, _xlfn.XLOOKUP($D257, $D$152:$D$157, $E$152:$E$157), $G$252)</f>
        <v>0</v>
      </c>
      <c r="I257" s="52" cm="1">
        <f t="array" ref="I257">MMS_Swine_N2ODirect_Equations.VEERG_4_5_1_3__1_TotalAnnualDirectNitrousOxideEmissionsFromMMS(H118, _xlfn.XLOOKUP($D257, $D$152:$D$157, $E$152:$E$157), $G$252)</f>
        <v>0</v>
      </c>
      <c r="J257" s="2" t="str">
        <f t="shared" ref="J257:J262" si="6">$E$248</f>
        <v>t N2O</v>
      </c>
      <c r="N257" s="57" t="str">
        <f>'Input - Swine'!$D$29</f>
        <v>Anaerobic lagoon</v>
      </c>
      <c r="O257" s="57" t="s">
        <v>214</v>
      </c>
      <c r="P257" s="52" cm="1">
        <f t="array" ref="P257">MMS_Swine_N2ODirect_Equations.VEERG_4_5_1_3__1_TotalAnnualDirectNitrousOxideEmissionsFromMMS(O118, _xlfn.XLOOKUP($D257, $D$152:$D$157, $E$152:$E$157), $G$252)</f>
        <v>0</v>
      </c>
      <c r="Q257" s="52" cm="1">
        <f t="array" ref="Q257">MMS_Swine_N2ODirect_Equations.VEERG_4_5_1_3__1_TotalAnnualDirectNitrousOxideEmissionsFromMMS(P118, _xlfn.XLOOKUP($D257, $D$152:$D$157, $E$152:$E$157), $G$252)</f>
        <v>0</v>
      </c>
      <c r="R257" s="52" cm="1">
        <f t="array" ref="R257">MMS_Swine_N2ODirect_Equations.VEERG_4_5_1_3__1_TotalAnnualDirectNitrousOxideEmissionsFromMMS(Q118, _xlfn.XLOOKUP($D257, $D$152:$D$157, $E$152:$E$157), $G$252)</f>
        <v>0</v>
      </c>
      <c r="S257" s="52" cm="1">
        <f t="array" ref="S257">MMS_Swine_N2ODirect_Equations.VEERG_4_5_1_3__1_TotalAnnualDirectNitrousOxideEmissionsFromMMS(R118, _xlfn.XLOOKUP($D257, $D$152:$D$157, $E$152:$E$157), $G$252)</f>
        <v>0</v>
      </c>
      <c r="T257" s="2" t="str">
        <f t="shared" ref="T257:T262" si="7">$E$248</f>
        <v>t N2O</v>
      </c>
    </row>
    <row r="258" spans="4:20" ht="20.100000000000001" customHeight="1" x14ac:dyDescent="0.25">
      <c r="D258" s="57" t="str">
        <f>'Input - Swine'!$D$30</f>
        <v>Drylot (feed pad)</v>
      </c>
      <c r="E258" s="57" t="s">
        <v>214</v>
      </c>
      <c r="F258" s="52" cm="1">
        <f t="array" ref="F258">MMS_Swine_N2ODirect_Equations.VEERG_4_5_1_3__1_TotalAnnualDirectNitrousOxideEmissionsFromMMS(E119, _xlfn.XLOOKUP($D258, $D$152:$D$157, $E$152:$E$157), $G$252)</f>
        <v>6.3322285714285699E-3</v>
      </c>
      <c r="G258" s="52" cm="1">
        <f t="array" ref="G258">MMS_Swine_N2ODirect_Equations.VEERG_4_5_1_3__1_TotalAnnualDirectNitrousOxideEmissionsFromMMS(F119, _xlfn.XLOOKUP($D258, $D$152:$D$157, $E$152:$E$157), $G$252)</f>
        <v>6.7452000000000007E-3</v>
      </c>
      <c r="H258" s="52" cm="1">
        <f t="array" ref="H258">MMS_Swine_N2ODirect_Equations.VEERG_4_5_1_3__1_TotalAnnualDirectNitrousOxideEmissionsFromMMS(G119, _xlfn.XLOOKUP($D258, $D$152:$D$157, $E$152:$E$157), $G$252)</f>
        <v>6.3322285714285699E-3</v>
      </c>
      <c r="I258" s="52" cm="1">
        <f t="array" ref="I258">MMS_Swine_N2ODirect_Equations.VEERG_4_5_1_3__1_TotalAnnualDirectNitrousOxideEmissionsFromMMS(H119, _xlfn.XLOOKUP($D258, $D$152:$D$157, $E$152:$E$157), $G$252)</f>
        <v>4.2949028571428564E-3</v>
      </c>
      <c r="J258" s="2" t="str">
        <f t="shared" si="6"/>
        <v>t N2O</v>
      </c>
      <c r="N258" s="57" t="str">
        <f>'Input - Swine'!$D$30</f>
        <v>Drylot (feed pad)</v>
      </c>
      <c r="O258" s="57" t="s">
        <v>214</v>
      </c>
      <c r="P258" s="52" cm="1">
        <f t="array" ref="P258">MMS_Swine_N2ODirect_Equations.VEERG_4_5_1_3__1_TotalAnnualDirectNitrousOxideEmissionsFromMMS(O119, _xlfn.XLOOKUP($D258, $D$152:$D$157, $E$152:$E$157), $G$252)</f>
        <v>6.3322285714285699E-3</v>
      </c>
      <c r="Q258" s="52" cm="1">
        <f t="array" ref="Q258">MMS_Swine_N2ODirect_Equations.VEERG_4_5_1_3__1_TotalAnnualDirectNitrousOxideEmissionsFromMMS(P119, _xlfn.XLOOKUP($D258, $D$152:$D$157, $E$152:$E$157), $G$252)</f>
        <v>6.7452000000000007E-3</v>
      </c>
      <c r="R258" s="52" cm="1">
        <f t="array" ref="R258">MMS_Swine_N2ODirect_Equations.VEERG_4_5_1_3__1_TotalAnnualDirectNitrousOxideEmissionsFromMMS(Q119, _xlfn.XLOOKUP($D258, $D$152:$D$157, $E$152:$E$157), $G$252)</f>
        <v>6.3322285714285699E-3</v>
      </c>
      <c r="S258" s="52" cm="1">
        <f t="array" ref="S258">MMS_Swine_N2ODirect_Equations.VEERG_4_5_1_3__1_TotalAnnualDirectNitrousOxideEmissionsFromMMS(R119, _xlfn.XLOOKUP($D258, $D$152:$D$157, $E$152:$E$157), $G$252)</f>
        <v>4.2949028571428564E-3</v>
      </c>
      <c r="T258" s="2" t="str">
        <f t="shared" si="7"/>
        <v>t N2O</v>
      </c>
    </row>
    <row r="259" spans="4:20" ht="20.100000000000001" customHeight="1" x14ac:dyDescent="0.25">
      <c r="D259" s="57" t="str">
        <f>'Input - Swine'!$D$31</f>
        <v>Digester / covered lagoons</v>
      </c>
      <c r="E259" s="57" t="s">
        <v>214</v>
      </c>
      <c r="F259" s="52" cm="1">
        <f t="array" ref="F259">MMS_Swine_N2ODirect_Equations.VEERG_4_5_1_3__1_TotalAnnualDirectNitrousOxideEmissionsFromMMS(E120, _xlfn.XLOOKUP($D259, $D$152:$D$157, $E$152:$E$157), $G$252)</f>
        <v>0</v>
      </c>
      <c r="G259" s="52" cm="1">
        <f t="array" ref="G259">MMS_Swine_N2ODirect_Equations.VEERG_4_5_1_3__1_TotalAnnualDirectNitrousOxideEmissionsFromMMS(F120, _xlfn.XLOOKUP($D259, $D$152:$D$157, $E$152:$E$157), $G$252)</f>
        <v>0</v>
      </c>
      <c r="H259" s="52" cm="1">
        <f t="array" ref="H259">MMS_Swine_N2ODirect_Equations.VEERG_4_5_1_3__1_TotalAnnualDirectNitrousOxideEmissionsFromMMS(G120, _xlfn.XLOOKUP($D259, $D$152:$D$157, $E$152:$E$157), $G$252)</f>
        <v>0</v>
      </c>
      <c r="I259" s="52" cm="1">
        <f t="array" ref="I259">MMS_Swine_N2ODirect_Equations.VEERG_4_5_1_3__1_TotalAnnualDirectNitrousOxideEmissionsFromMMS(H120, _xlfn.XLOOKUP($D259, $D$152:$D$157, $E$152:$E$157), $G$252)</f>
        <v>0</v>
      </c>
      <c r="J259" s="2" t="str">
        <f t="shared" si="6"/>
        <v>t N2O</v>
      </c>
      <c r="N259" s="57" t="str">
        <f>'Input - Swine'!$D$31</f>
        <v>Digester / covered lagoons</v>
      </c>
      <c r="O259" s="57" t="s">
        <v>214</v>
      </c>
      <c r="P259" s="52" cm="1">
        <f t="array" ref="P259">MMS_Swine_N2ODirect_Equations.VEERG_4_5_1_3__1_TotalAnnualDirectNitrousOxideEmissionsFromMMS(O120, _xlfn.XLOOKUP($D259, $D$152:$D$157, $E$152:$E$157), $G$252)</f>
        <v>0</v>
      </c>
      <c r="Q259" s="52" cm="1">
        <f t="array" ref="Q259">MMS_Swine_N2ODirect_Equations.VEERG_4_5_1_3__1_TotalAnnualDirectNitrousOxideEmissionsFromMMS(P120, _xlfn.XLOOKUP($D259, $D$152:$D$157, $E$152:$E$157), $G$252)</f>
        <v>0</v>
      </c>
      <c r="R259" s="52" cm="1">
        <f t="array" ref="R259">MMS_Swine_N2ODirect_Equations.VEERG_4_5_1_3__1_TotalAnnualDirectNitrousOxideEmissionsFromMMS(Q120, _xlfn.XLOOKUP($D259, $D$152:$D$157, $E$152:$E$157), $G$252)</f>
        <v>0</v>
      </c>
      <c r="S259" s="52" cm="1">
        <f t="array" ref="S259">MMS_Swine_N2ODirect_Equations.VEERG_4_5_1_3__1_TotalAnnualDirectNitrousOxideEmissionsFromMMS(R120, _xlfn.XLOOKUP($D259, $D$152:$D$157, $E$152:$E$157), $G$252)</f>
        <v>0</v>
      </c>
      <c r="T259" s="2" t="str">
        <f t="shared" si="7"/>
        <v>t N2O</v>
      </c>
    </row>
    <row r="260" spans="4:20" ht="20.100000000000001" customHeight="1" x14ac:dyDescent="0.25">
      <c r="D260" s="57" t="str">
        <f>'Input - Swine'!$D$32</f>
        <v>Deep litter</v>
      </c>
      <c r="E260" s="57" t="s">
        <v>214</v>
      </c>
      <c r="F260" s="52" cm="1">
        <f t="array" ref="F260">MMS_Swine_N2ODirect_Equations.VEERG_4_5_1_3__1_TotalAnnualDirectNitrousOxideEmissionsFromMMS(E121, _xlfn.XLOOKUP($D260, $D$152:$D$157, $E$152:$E$157), $G$252)</f>
        <v>3.166114285714285E-3</v>
      </c>
      <c r="G260" s="52" cm="1">
        <f t="array" ref="G260">MMS_Swine_N2ODirect_Equations.VEERG_4_5_1_3__1_TotalAnnualDirectNitrousOxideEmissionsFromMMS(F121, _xlfn.XLOOKUP($D260, $D$152:$D$157, $E$152:$E$157), $G$252)</f>
        <v>3.3726000000000003E-3</v>
      </c>
      <c r="H260" s="52" cm="1">
        <f t="array" ref="H260">MMS_Swine_N2ODirect_Equations.VEERG_4_5_1_3__1_TotalAnnualDirectNitrousOxideEmissionsFromMMS(G121, _xlfn.XLOOKUP($D260, $D$152:$D$157, $E$152:$E$157), $G$252)</f>
        <v>3.166114285714285E-3</v>
      </c>
      <c r="I260" s="52" cm="1">
        <f t="array" ref="I260">MMS_Swine_N2ODirect_Equations.VEERG_4_5_1_3__1_TotalAnnualDirectNitrousOxideEmissionsFromMMS(H121, _xlfn.XLOOKUP($D260, $D$152:$D$157, $E$152:$E$157), $G$252)</f>
        <v>2.1474514285714282E-3</v>
      </c>
      <c r="J260" s="2" t="str">
        <f t="shared" si="6"/>
        <v>t N2O</v>
      </c>
      <c r="N260" s="57" t="str">
        <f>'Input - Swine'!$D$32</f>
        <v>Deep litter</v>
      </c>
      <c r="O260" s="57" t="s">
        <v>214</v>
      </c>
      <c r="P260" s="52" cm="1">
        <f t="array" ref="P260">MMS_Swine_N2ODirect_Equations.VEERG_4_5_1_3__1_TotalAnnualDirectNitrousOxideEmissionsFromMMS(O121, _xlfn.XLOOKUP($D260, $D$152:$D$157, $E$152:$E$157), $G$252)</f>
        <v>3.166114285714285E-3</v>
      </c>
      <c r="Q260" s="52" cm="1">
        <f t="array" ref="Q260">MMS_Swine_N2ODirect_Equations.VEERG_4_5_1_3__1_TotalAnnualDirectNitrousOxideEmissionsFromMMS(P121, _xlfn.XLOOKUP($D260, $D$152:$D$157, $E$152:$E$157), $G$252)</f>
        <v>3.3726000000000003E-3</v>
      </c>
      <c r="R260" s="52" cm="1">
        <f t="array" ref="R260">MMS_Swine_N2ODirect_Equations.VEERG_4_5_1_3__1_TotalAnnualDirectNitrousOxideEmissionsFromMMS(Q121, _xlfn.XLOOKUP($D260, $D$152:$D$157, $E$152:$E$157), $G$252)</f>
        <v>3.166114285714285E-3</v>
      </c>
      <c r="S260" s="52" cm="1">
        <f t="array" ref="S260">MMS_Swine_N2ODirect_Equations.VEERG_4_5_1_3__1_TotalAnnualDirectNitrousOxideEmissionsFromMMS(R121, _xlfn.XLOOKUP($D260, $D$152:$D$157, $E$152:$E$157), $G$252)</f>
        <v>2.1474514285714282E-3</v>
      </c>
      <c r="T260" s="2" t="str">
        <f t="shared" si="7"/>
        <v>t N2O</v>
      </c>
    </row>
    <row r="261" spans="4:20" ht="20.100000000000001" customHeight="1" x14ac:dyDescent="0.25">
      <c r="D261" s="57" t="str">
        <f>'Input - Swine'!$D$33</f>
        <v>Pit storage</v>
      </c>
      <c r="E261" s="57" t="s">
        <v>214</v>
      </c>
      <c r="F261" s="52" cm="1">
        <f t="array" ref="F261">MMS_Swine_N2ODirect_Equations.VEERG_4_5_1_3__1_TotalAnnualDirectNitrousOxideEmissionsFromMMS(E122, _xlfn.XLOOKUP($D261, $D$152:$D$157, $E$152:$E$157), $G$252)</f>
        <v>6.3322285714285703E-4</v>
      </c>
      <c r="G261" s="52" cm="1">
        <f t="array" ref="G261">MMS_Swine_N2ODirect_Equations.VEERG_4_5_1_3__1_TotalAnnualDirectNitrousOxideEmissionsFromMMS(F122, _xlfn.XLOOKUP($D261, $D$152:$D$157, $E$152:$E$157), $G$252)</f>
        <v>6.7452000000000018E-4</v>
      </c>
      <c r="H261" s="52" cm="1">
        <f t="array" ref="H261">MMS_Swine_N2ODirect_Equations.VEERG_4_5_1_3__1_TotalAnnualDirectNitrousOxideEmissionsFromMMS(G122, _xlfn.XLOOKUP($D261, $D$152:$D$157, $E$152:$E$157), $G$252)</f>
        <v>6.3322285714285703E-4</v>
      </c>
      <c r="I261" s="52" cm="1">
        <f t="array" ref="I261">MMS_Swine_N2ODirect_Equations.VEERG_4_5_1_3__1_TotalAnnualDirectNitrousOxideEmissionsFromMMS(H122, _xlfn.XLOOKUP($D261, $D$152:$D$157, $E$152:$E$157), $G$252)</f>
        <v>4.294902857142856E-4</v>
      </c>
      <c r="J261" s="2" t="str">
        <f t="shared" si="6"/>
        <v>t N2O</v>
      </c>
      <c r="N261" s="57" t="str">
        <f>'Input - Swine'!$D$33</f>
        <v>Pit storage</v>
      </c>
      <c r="O261" s="57" t="s">
        <v>214</v>
      </c>
      <c r="P261" s="52" cm="1">
        <f t="array" ref="P261">MMS_Swine_N2ODirect_Equations.VEERG_4_5_1_3__1_TotalAnnualDirectNitrousOxideEmissionsFromMMS(O122, _xlfn.XLOOKUP($D261, $D$152:$D$157, $E$152:$E$157), $G$252)</f>
        <v>6.3322285714285703E-4</v>
      </c>
      <c r="Q261" s="52" cm="1">
        <f t="array" ref="Q261">MMS_Swine_N2ODirect_Equations.VEERG_4_5_1_3__1_TotalAnnualDirectNitrousOxideEmissionsFromMMS(P122, _xlfn.XLOOKUP($D261, $D$152:$D$157, $E$152:$E$157), $G$252)</f>
        <v>6.7452000000000018E-4</v>
      </c>
      <c r="R261" s="52" cm="1">
        <f t="array" ref="R261">MMS_Swine_N2ODirect_Equations.VEERG_4_5_1_3__1_TotalAnnualDirectNitrousOxideEmissionsFromMMS(Q122, _xlfn.XLOOKUP($D261, $D$152:$D$157, $E$152:$E$157), $G$252)</f>
        <v>6.3322285714285703E-4</v>
      </c>
      <c r="S261" s="52" cm="1">
        <f t="array" ref="S261">MMS_Swine_N2ODirect_Equations.VEERG_4_5_1_3__1_TotalAnnualDirectNitrousOxideEmissionsFromMMS(R122, _xlfn.XLOOKUP($D261, $D$152:$D$157, $E$152:$E$157), $G$252)</f>
        <v>4.294902857142856E-4</v>
      </c>
      <c r="T261" s="2" t="str">
        <f t="shared" si="7"/>
        <v>t N2O</v>
      </c>
    </row>
    <row r="262" spans="4:20" ht="20.100000000000001" customHeight="1" x14ac:dyDescent="0.25">
      <c r="D262" s="57" t="str">
        <f>'Input - Swine'!$D$34</f>
        <v>Solid storage</v>
      </c>
      <c r="E262" s="57" t="s">
        <v>214</v>
      </c>
      <c r="F262" s="52" cm="1">
        <f t="array" ref="F262">MMS_Swine_N2ODirect_Equations.VEERG_4_5_1_3__1_TotalAnnualDirectNitrousOxideEmissionsFromMMS(E123, _xlfn.XLOOKUP($D262, $D$152:$D$157, $E$152:$E$157), $G$252)</f>
        <v>5.2768571428571439E-3</v>
      </c>
      <c r="G262" s="52" cm="1">
        <f t="array" ref="G262">MMS_Swine_N2ODirect_Equations.VEERG_4_5_1_3__1_TotalAnnualDirectNitrousOxideEmissionsFromMMS(F123, _xlfn.XLOOKUP($D262, $D$152:$D$157, $E$152:$E$157), $G$252)</f>
        <v>5.6210000000000027E-3</v>
      </c>
      <c r="H262" s="52" cm="1">
        <f t="array" ref="H262">MMS_Swine_N2ODirect_Equations.VEERG_4_5_1_3__1_TotalAnnualDirectNitrousOxideEmissionsFromMMS(G123, _xlfn.XLOOKUP($D262, $D$152:$D$157, $E$152:$E$157), $G$252)</f>
        <v>5.2768571428571439E-3</v>
      </c>
      <c r="I262" s="52" cm="1">
        <f t="array" ref="I262">MMS_Swine_N2ODirect_Equations.VEERG_4_5_1_3__1_TotalAnnualDirectNitrousOxideEmissionsFromMMS(H123, _xlfn.XLOOKUP($D262, $D$152:$D$157, $E$152:$E$157), $G$252)</f>
        <v>3.5790857142857157E-3</v>
      </c>
      <c r="J262" s="2" t="str">
        <f t="shared" si="6"/>
        <v>t N2O</v>
      </c>
      <c r="N262" s="57" t="str">
        <f>'Input - Swine'!$D$34</f>
        <v>Solid storage</v>
      </c>
      <c r="O262" s="57" t="s">
        <v>214</v>
      </c>
      <c r="P262" s="52" cm="1">
        <f t="array" ref="P262">MMS_Swine_N2ODirect_Equations.VEERG_4_5_1_3__1_TotalAnnualDirectNitrousOxideEmissionsFromMMS(O123, _xlfn.XLOOKUP($D262, $D$152:$D$157, $E$152:$E$157), $G$252)</f>
        <v>5.2768571428571439E-3</v>
      </c>
      <c r="Q262" s="52" cm="1">
        <f t="array" ref="Q262">MMS_Swine_N2ODirect_Equations.VEERG_4_5_1_3__1_TotalAnnualDirectNitrousOxideEmissionsFromMMS(P123, _xlfn.XLOOKUP($D262, $D$152:$D$157, $E$152:$E$157), $G$252)</f>
        <v>5.6210000000000027E-3</v>
      </c>
      <c r="R262" s="52" cm="1">
        <f t="array" ref="R262">MMS_Swine_N2ODirect_Equations.VEERG_4_5_1_3__1_TotalAnnualDirectNitrousOxideEmissionsFromMMS(Q123, _xlfn.XLOOKUP($D262, $D$152:$D$157, $E$152:$E$157), $G$252)</f>
        <v>5.2768571428571439E-3</v>
      </c>
      <c r="S262" s="52" cm="1">
        <f t="array" ref="S262">MMS_Swine_N2ODirect_Equations.VEERG_4_5_1_3__1_TotalAnnualDirectNitrousOxideEmissionsFromMMS(R123, _xlfn.XLOOKUP($D262, $D$152:$D$157, $E$152:$E$157), $G$252)</f>
        <v>3.5790857142857157E-3</v>
      </c>
      <c r="T262" s="2" t="str">
        <f t="shared" si="7"/>
        <v>t N2O</v>
      </c>
    </row>
    <row r="263" spans="4:20" ht="20.100000000000001" customHeight="1" x14ac:dyDescent="0.25">
      <c r="D263" s="57" t="str">
        <f>'Input - Swine'!$D$29</f>
        <v>Anaerobic lagoon</v>
      </c>
      <c r="E263" s="57" t="str">
        <f>'Input - Swine'!$D$48</f>
        <v>Drylot (feed pad)</v>
      </c>
      <c r="F263" s="52" cm="1">
        <f t="array" ref="F263">MMS_Swine_N2ODirect_Equations.VEERG_4_5_1_3__1_TotalAnnualDirectNitrousOxideEmissionsFromMMS(F214, _xlfn.XLOOKUP($E263, $D$152:$D$157, $E$152:$E$157), $G$252)</f>
        <v>5.6990057142857137E-4</v>
      </c>
      <c r="G263" s="52" cm="1">
        <f t="array" ref="G263">MMS_Swine_N2ODirect_Equations.VEERG_4_5_1_3__1_TotalAnnualDirectNitrousOxideEmissionsFromMMS(G214, _xlfn.XLOOKUP($E263, $D$152:$D$157, $E$152:$E$157), $G$252)</f>
        <v>7.5883500000000013E-4</v>
      </c>
      <c r="H263" s="52" cm="1">
        <f t="array" ref="H263">MMS_Swine_N2ODirect_Equations.VEERG_4_5_1_3__1_TotalAnnualDirectNitrousOxideEmissionsFromMMS(H214, _xlfn.XLOOKUP($E263, $D$152:$D$157, $E$152:$E$157), $G$252)</f>
        <v>7.1237571428571403E-4</v>
      </c>
      <c r="I263" s="52" cm="1">
        <f t="array" ref="I263">MMS_Swine_N2ODirect_Equations.VEERG_4_5_1_3__1_TotalAnnualDirectNitrousOxideEmissionsFromMMS(I214, _xlfn.XLOOKUP($E263, $D$152:$D$157, $E$152:$E$157), $G$252)</f>
        <v>4.8317657142857127E-4</v>
      </c>
      <c r="J263" s="2" t="str">
        <f>$E$248</f>
        <v>t N2O</v>
      </c>
      <c r="N263" s="57" t="str">
        <f>'Input - Swine'!$D$29</f>
        <v>Anaerobic lagoon</v>
      </c>
      <c r="O263" s="57" t="str">
        <f>'Input - Swine'!$D$48</f>
        <v>Drylot (feed pad)</v>
      </c>
      <c r="P263" s="52" cm="1">
        <f t="array" ref="P263">MMS_Swine_N2ODirect_Equations.VEERG_4_5_1_3__1_TotalAnnualDirectNitrousOxideEmissionsFromMMS(P214, _xlfn.XLOOKUP($E263, $D$152:$D$157, $E$152:$E$157), $G$252)</f>
        <v>5.6990057142857137E-4</v>
      </c>
      <c r="Q263" s="52" cm="1">
        <f t="array" ref="Q263">MMS_Swine_N2ODirect_Equations.VEERG_4_5_1_3__1_TotalAnnualDirectNitrousOxideEmissionsFromMMS(Q214, _xlfn.XLOOKUP($E263, $D$152:$D$157, $E$152:$E$157), $G$252)</f>
        <v>7.5883500000000013E-4</v>
      </c>
      <c r="R263" s="52" cm="1">
        <f t="array" ref="R263">MMS_Swine_N2ODirect_Equations.VEERG_4_5_1_3__1_TotalAnnualDirectNitrousOxideEmissionsFromMMS(R214, _xlfn.XLOOKUP($E263, $D$152:$D$157, $E$152:$E$157), $G$252)</f>
        <v>7.1237571428571403E-4</v>
      </c>
      <c r="S263" s="52" cm="1">
        <f t="array" ref="S263">MMS_Swine_N2ODirect_Equations.VEERG_4_5_1_3__1_TotalAnnualDirectNitrousOxideEmissionsFromMMS(S214, _xlfn.XLOOKUP($E263, $D$152:$D$157, $E$152:$E$157), $G$252)</f>
        <v>4.8317657142857127E-4</v>
      </c>
      <c r="T263" s="2" t="str">
        <f>$E$248</f>
        <v>t N2O</v>
      </c>
    </row>
    <row r="264" spans="4:20" ht="20.100000000000001" customHeight="1" x14ac:dyDescent="0.25">
      <c r="D264" s="57"/>
      <c r="E264" s="57" t="str">
        <f>'Input - Swine'!$D$49</f>
        <v>Digester / covered lagoons</v>
      </c>
      <c r="F264" s="52" cm="1">
        <f t="array" ref="F264">MMS_Swine_N2ODirect_Equations.VEERG_4_5_1_3__1_TotalAnnualDirectNitrousOxideEmissionsFromMMS(F215, _xlfn.XLOOKUP($E264, $D$152:$D$157, $E$152:$E$157), $G$252)</f>
        <v>0</v>
      </c>
      <c r="G264" s="52" cm="1">
        <f t="array" ref="G264">MMS_Swine_N2ODirect_Equations.VEERG_4_5_1_3__1_TotalAnnualDirectNitrousOxideEmissionsFromMMS(G215, _xlfn.XLOOKUP($E264, $D$152:$D$157, $E$152:$E$157), $G$252)</f>
        <v>0</v>
      </c>
      <c r="H264" s="52" cm="1">
        <f t="array" ref="H264">MMS_Swine_N2ODirect_Equations.VEERG_4_5_1_3__1_TotalAnnualDirectNitrousOxideEmissionsFromMMS(H215, _xlfn.XLOOKUP($E264, $D$152:$D$157, $E$152:$E$157), $G$252)</f>
        <v>0</v>
      </c>
      <c r="I264" s="52" cm="1">
        <f t="array" ref="I264">MMS_Swine_N2ODirect_Equations.VEERG_4_5_1_3__1_TotalAnnualDirectNitrousOxideEmissionsFromMMS(I215, _xlfn.XLOOKUP($E264, $D$152:$D$157, $E$152:$E$157), $G$252)</f>
        <v>0</v>
      </c>
      <c r="J264" s="2" t="str">
        <f t="shared" ref="J264:J287" si="8">$E$248</f>
        <v>t N2O</v>
      </c>
      <c r="N264" s="57"/>
      <c r="O264" s="57" t="str">
        <f>'Input - Swine'!$D$49</f>
        <v>Digester / covered lagoons</v>
      </c>
      <c r="P264" s="52" cm="1">
        <f t="array" ref="P264">MMS_Swine_N2ODirect_Equations.VEERG_4_5_1_3__1_TotalAnnualDirectNitrousOxideEmissionsFromMMS(P215, _xlfn.XLOOKUP($E264, $D$152:$D$157, $E$152:$E$157), $G$252)</f>
        <v>0</v>
      </c>
      <c r="Q264" s="52" cm="1">
        <f t="array" ref="Q264">MMS_Swine_N2ODirect_Equations.VEERG_4_5_1_3__1_TotalAnnualDirectNitrousOxideEmissionsFromMMS(Q215, _xlfn.XLOOKUP($E264, $D$152:$D$157, $E$152:$E$157), $G$252)</f>
        <v>0</v>
      </c>
      <c r="R264" s="52" cm="1">
        <f t="array" ref="R264">MMS_Swine_N2ODirect_Equations.VEERG_4_5_1_3__1_TotalAnnualDirectNitrousOxideEmissionsFromMMS(R215, _xlfn.XLOOKUP($E264, $D$152:$D$157, $E$152:$E$157), $G$252)</f>
        <v>0</v>
      </c>
      <c r="S264" s="52" cm="1">
        <f t="array" ref="S264">MMS_Swine_N2ODirect_Equations.VEERG_4_5_1_3__1_TotalAnnualDirectNitrousOxideEmissionsFromMMS(S215, _xlfn.XLOOKUP($E264, $D$152:$D$157, $E$152:$E$157), $G$252)</f>
        <v>0</v>
      </c>
      <c r="T264" s="2" t="str">
        <f t="shared" ref="T264:T287" si="9">$E$248</f>
        <v>t N2O</v>
      </c>
    </row>
    <row r="265" spans="4:20" ht="20.100000000000001" customHeight="1" x14ac:dyDescent="0.25">
      <c r="D265" s="57"/>
      <c r="E265" s="57" t="str">
        <f>'Input - Swine'!$D$50</f>
        <v>Deep litter</v>
      </c>
      <c r="F265" s="52" cm="1">
        <f t="array" ref="F265">MMS_Swine_N2ODirect_Equations.VEERG_4_5_1_3__1_TotalAnnualDirectNitrousOxideEmissionsFromMMS(F216, _xlfn.XLOOKUP($E265, $D$152:$D$157, $E$152:$E$157), $G$252)</f>
        <v>2.8495028571428569E-4</v>
      </c>
      <c r="G265" s="52" cm="1">
        <f t="array" ref="G265">MMS_Swine_N2ODirect_Equations.VEERG_4_5_1_3__1_TotalAnnualDirectNitrousOxideEmissionsFromMMS(G216, _xlfn.XLOOKUP($E265, $D$152:$D$157, $E$152:$E$157), $G$252)</f>
        <v>3.7941750000000007E-4</v>
      </c>
      <c r="H265" s="52" cm="1">
        <f t="array" ref="H265">MMS_Swine_N2ODirect_Equations.VEERG_4_5_1_3__1_TotalAnnualDirectNitrousOxideEmissionsFromMMS(H216, _xlfn.XLOOKUP($E265, $D$152:$D$157, $E$152:$E$157), $G$252)</f>
        <v>3.5618785714285701E-4</v>
      </c>
      <c r="I265" s="52" cm="1">
        <f t="array" ref="I265">MMS_Swine_N2ODirect_Equations.VEERG_4_5_1_3__1_TotalAnnualDirectNitrousOxideEmissionsFromMMS(I216, _xlfn.XLOOKUP($E265, $D$152:$D$157, $E$152:$E$157), $G$252)</f>
        <v>2.4158828571428564E-4</v>
      </c>
      <c r="J265" s="2" t="str">
        <f t="shared" si="8"/>
        <v>t N2O</v>
      </c>
      <c r="N265" s="57"/>
      <c r="O265" s="57" t="str">
        <f>'Input - Swine'!$D$50</f>
        <v>Deep litter</v>
      </c>
      <c r="P265" s="52" cm="1">
        <f t="array" ref="P265">MMS_Swine_N2ODirect_Equations.VEERG_4_5_1_3__1_TotalAnnualDirectNitrousOxideEmissionsFromMMS(P216, _xlfn.XLOOKUP($E265, $D$152:$D$157, $E$152:$E$157), $G$252)</f>
        <v>2.8495028571428569E-4</v>
      </c>
      <c r="Q265" s="52" cm="1">
        <f t="array" ref="Q265">MMS_Swine_N2ODirect_Equations.VEERG_4_5_1_3__1_TotalAnnualDirectNitrousOxideEmissionsFromMMS(Q216, _xlfn.XLOOKUP($E265, $D$152:$D$157, $E$152:$E$157), $G$252)</f>
        <v>3.7941750000000007E-4</v>
      </c>
      <c r="R265" s="52" cm="1">
        <f t="array" ref="R265">MMS_Swine_N2ODirect_Equations.VEERG_4_5_1_3__1_TotalAnnualDirectNitrousOxideEmissionsFromMMS(R216, _xlfn.XLOOKUP($E265, $D$152:$D$157, $E$152:$E$157), $G$252)</f>
        <v>3.5618785714285701E-4</v>
      </c>
      <c r="S265" s="52" cm="1">
        <f t="array" ref="S265">MMS_Swine_N2ODirect_Equations.VEERG_4_5_1_3__1_TotalAnnualDirectNitrousOxideEmissionsFromMMS(S216, _xlfn.XLOOKUP($E265, $D$152:$D$157, $E$152:$E$157), $G$252)</f>
        <v>2.4158828571428564E-4</v>
      </c>
      <c r="T265" s="2" t="str">
        <f t="shared" si="9"/>
        <v>t N2O</v>
      </c>
    </row>
    <row r="266" spans="4:20" ht="20.100000000000001" customHeight="1" x14ac:dyDescent="0.25">
      <c r="D266" s="57"/>
      <c r="E266" s="57" t="str">
        <f>'Input - Swine'!$D$51</f>
        <v>Pit storage</v>
      </c>
      <c r="F266" s="52" cm="1">
        <f t="array" ref="F266">MMS_Swine_N2ODirect_Equations.VEERG_4_5_1_3__1_TotalAnnualDirectNitrousOxideEmissionsFromMMS(F217, _xlfn.XLOOKUP($E266, $D$152:$D$157, $E$152:$E$157), $G$252)</f>
        <v>5.6990057142857125E-5</v>
      </c>
      <c r="G266" s="52" cm="1">
        <f t="array" ref="G266">MMS_Swine_N2ODirect_Equations.VEERG_4_5_1_3__1_TotalAnnualDirectNitrousOxideEmissionsFromMMS(G217, _xlfn.XLOOKUP($E266, $D$152:$D$157, $E$152:$E$157), $G$252)</f>
        <v>7.5883500000000013E-5</v>
      </c>
      <c r="H266" s="52" cm="1">
        <f t="array" ref="H266">MMS_Swine_N2ODirect_Equations.VEERG_4_5_1_3__1_TotalAnnualDirectNitrousOxideEmissionsFromMMS(H217, _xlfn.XLOOKUP($E266, $D$152:$D$157, $E$152:$E$157), $G$252)</f>
        <v>7.1237571428571408E-5</v>
      </c>
      <c r="I266" s="52" cm="1">
        <f t="array" ref="I266">MMS_Swine_N2ODirect_Equations.VEERG_4_5_1_3__1_TotalAnnualDirectNitrousOxideEmissionsFromMMS(I217, _xlfn.XLOOKUP($E266, $D$152:$D$157, $E$152:$E$157), $G$252)</f>
        <v>4.831765714285713E-5</v>
      </c>
      <c r="J266" s="2" t="str">
        <f t="shared" si="8"/>
        <v>t N2O</v>
      </c>
      <c r="N266" s="57"/>
      <c r="O266" s="57" t="str">
        <f>'Input - Swine'!$D$51</f>
        <v>Pit storage</v>
      </c>
      <c r="P266" s="52" cm="1">
        <f t="array" ref="P266">MMS_Swine_N2ODirect_Equations.VEERG_4_5_1_3__1_TotalAnnualDirectNitrousOxideEmissionsFromMMS(P217, _xlfn.XLOOKUP($E266, $D$152:$D$157, $E$152:$E$157), $G$252)</f>
        <v>5.6990057142857125E-5</v>
      </c>
      <c r="Q266" s="52" cm="1">
        <f t="array" ref="Q266">MMS_Swine_N2ODirect_Equations.VEERG_4_5_1_3__1_TotalAnnualDirectNitrousOxideEmissionsFromMMS(Q217, _xlfn.XLOOKUP($E266, $D$152:$D$157, $E$152:$E$157), $G$252)</f>
        <v>7.5883500000000013E-5</v>
      </c>
      <c r="R266" s="52" cm="1">
        <f t="array" ref="R266">MMS_Swine_N2ODirect_Equations.VEERG_4_5_1_3__1_TotalAnnualDirectNitrousOxideEmissionsFromMMS(R217, _xlfn.XLOOKUP($E266, $D$152:$D$157, $E$152:$E$157), $G$252)</f>
        <v>7.1237571428571408E-5</v>
      </c>
      <c r="S266" s="52" cm="1">
        <f t="array" ref="S266">MMS_Swine_N2ODirect_Equations.VEERG_4_5_1_3__1_TotalAnnualDirectNitrousOxideEmissionsFromMMS(S217, _xlfn.XLOOKUP($E266, $D$152:$D$157, $E$152:$E$157), $G$252)</f>
        <v>4.831765714285713E-5</v>
      </c>
      <c r="T266" s="2" t="str">
        <f t="shared" si="9"/>
        <v>t N2O</v>
      </c>
    </row>
    <row r="267" spans="4:20" ht="20.100000000000001" customHeight="1" x14ac:dyDescent="0.25">
      <c r="D267" s="57" t="str">
        <f>'Input - Swine'!$D$30</f>
        <v>Drylot (feed pad)</v>
      </c>
      <c r="E267" s="57" t="str">
        <f>'Input - Swine'!$D$56</f>
        <v>Anaerobic lagoon</v>
      </c>
      <c r="F267" s="52" cm="1">
        <f t="array" ref="F267">MMS_Swine_N2ODirect_Equations.VEERG_4_5_1_3__1_TotalAnnualDirectNitrousOxideEmissionsFromMMS(F218, _xlfn.XLOOKUP($E267, $D$152:$D$157, $E$152:$E$157), $G$252)</f>
        <v>0</v>
      </c>
      <c r="G267" s="52" cm="1">
        <f t="array" ref="G267">MMS_Swine_N2ODirect_Equations.VEERG_4_5_1_3__1_TotalAnnualDirectNitrousOxideEmissionsFromMMS(G218, _xlfn.XLOOKUP($E267, $D$152:$D$157, $E$152:$E$157), $G$252)</f>
        <v>0</v>
      </c>
      <c r="H267" s="52" cm="1">
        <f t="array" ref="H267">MMS_Swine_N2ODirect_Equations.VEERG_4_5_1_3__1_TotalAnnualDirectNitrousOxideEmissionsFromMMS(H218, _xlfn.XLOOKUP($E267, $D$152:$D$157, $E$152:$E$157), $G$252)</f>
        <v>0</v>
      </c>
      <c r="I267" s="52" cm="1">
        <f t="array" ref="I267">MMS_Swine_N2ODirect_Equations.VEERG_4_5_1_3__1_TotalAnnualDirectNitrousOxideEmissionsFromMMS(I218, _xlfn.XLOOKUP($E267, $D$152:$D$157, $E$152:$E$157), $G$252)</f>
        <v>0</v>
      </c>
      <c r="J267" s="2" t="str">
        <f t="shared" si="8"/>
        <v>t N2O</v>
      </c>
      <c r="N267" s="57" t="str">
        <f>'Input - Swine'!$D$30</f>
        <v>Drylot (feed pad)</v>
      </c>
      <c r="O267" s="57" t="str">
        <f>'Input - Swine'!$D$56</f>
        <v>Anaerobic lagoon</v>
      </c>
      <c r="P267" s="52" cm="1">
        <f t="array" ref="P267">MMS_Swine_N2ODirect_Equations.VEERG_4_5_1_3__1_TotalAnnualDirectNitrousOxideEmissionsFromMMS(P218, _xlfn.XLOOKUP($E267, $D$152:$D$157, $E$152:$E$157), $G$252)</f>
        <v>0</v>
      </c>
      <c r="Q267" s="52" cm="1">
        <f t="array" ref="Q267">MMS_Swine_N2ODirect_Equations.VEERG_4_5_1_3__1_TotalAnnualDirectNitrousOxideEmissionsFromMMS(Q218, _xlfn.XLOOKUP($E267, $D$152:$D$157, $E$152:$E$157), $G$252)</f>
        <v>0</v>
      </c>
      <c r="R267" s="52" cm="1">
        <f t="array" ref="R267">MMS_Swine_N2ODirect_Equations.VEERG_4_5_1_3__1_TotalAnnualDirectNitrousOxideEmissionsFromMMS(R218, _xlfn.XLOOKUP($E267, $D$152:$D$157, $E$152:$E$157), $G$252)</f>
        <v>0</v>
      </c>
      <c r="S267" s="52" cm="1">
        <f t="array" ref="S267">MMS_Swine_N2ODirect_Equations.VEERG_4_5_1_3__1_TotalAnnualDirectNitrousOxideEmissionsFromMMS(S218, _xlfn.XLOOKUP($E267, $D$152:$D$157, $E$152:$E$157), $G$252)</f>
        <v>0</v>
      </c>
      <c r="T267" s="2" t="str">
        <f t="shared" si="9"/>
        <v>t N2O</v>
      </c>
    </row>
    <row r="268" spans="4:20" ht="20.100000000000001" customHeight="1" x14ac:dyDescent="0.25">
      <c r="D268" s="57"/>
      <c r="E268" s="57" t="str">
        <f>'Input - Swine'!$D$57</f>
        <v>Digester / covered lagoons</v>
      </c>
      <c r="F268" s="52" cm="1">
        <f t="array" ref="F268">MMS_Swine_N2ODirect_Equations.VEERG_4_5_1_3__1_TotalAnnualDirectNitrousOxideEmissionsFromMMS(F219, _xlfn.XLOOKUP($E268, $D$152:$D$157, $E$152:$E$157), $G$252)</f>
        <v>0</v>
      </c>
      <c r="G268" s="52" cm="1">
        <f t="array" ref="G268">MMS_Swine_N2ODirect_Equations.VEERG_4_5_1_3__1_TotalAnnualDirectNitrousOxideEmissionsFromMMS(G219, _xlfn.XLOOKUP($E268, $D$152:$D$157, $E$152:$E$157), $G$252)</f>
        <v>0</v>
      </c>
      <c r="H268" s="52" cm="1">
        <f t="array" ref="H268">MMS_Swine_N2ODirect_Equations.VEERG_4_5_1_3__1_TotalAnnualDirectNitrousOxideEmissionsFromMMS(H219, _xlfn.XLOOKUP($E268, $D$152:$D$157, $E$152:$E$157), $G$252)</f>
        <v>0</v>
      </c>
      <c r="I268" s="52" cm="1">
        <f t="array" ref="I268">MMS_Swine_N2ODirect_Equations.VEERG_4_5_1_3__1_TotalAnnualDirectNitrousOxideEmissionsFromMMS(I219, _xlfn.XLOOKUP($E268, $D$152:$D$157, $E$152:$E$157), $G$252)</f>
        <v>0</v>
      </c>
      <c r="J268" s="2" t="str">
        <f t="shared" si="8"/>
        <v>t N2O</v>
      </c>
      <c r="N268" s="57"/>
      <c r="O268" s="57" t="str">
        <f>'Input - Swine'!$D$57</f>
        <v>Digester / covered lagoons</v>
      </c>
      <c r="P268" s="52" cm="1">
        <f t="array" ref="P268">MMS_Swine_N2ODirect_Equations.VEERG_4_5_1_3__1_TotalAnnualDirectNitrousOxideEmissionsFromMMS(P219, _xlfn.XLOOKUP($E268, $D$152:$D$157, $E$152:$E$157), $G$252)</f>
        <v>0</v>
      </c>
      <c r="Q268" s="52" cm="1">
        <f t="array" ref="Q268">MMS_Swine_N2ODirect_Equations.VEERG_4_5_1_3__1_TotalAnnualDirectNitrousOxideEmissionsFromMMS(Q219, _xlfn.XLOOKUP($E268, $D$152:$D$157, $E$152:$E$157), $G$252)</f>
        <v>0</v>
      </c>
      <c r="R268" s="52" cm="1">
        <f t="array" ref="R268">MMS_Swine_N2ODirect_Equations.VEERG_4_5_1_3__1_TotalAnnualDirectNitrousOxideEmissionsFromMMS(R219, _xlfn.XLOOKUP($E268, $D$152:$D$157, $E$152:$E$157), $G$252)</f>
        <v>0</v>
      </c>
      <c r="S268" s="52" cm="1">
        <f t="array" ref="S268">MMS_Swine_N2ODirect_Equations.VEERG_4_5_1_3__1_TotalAnnualDirectNitrousOxideEmissionsFromMMS(S219, _xlfn.XLOOKUP($E268, $D$152:$D$157, $E$152:$E$157), $G$252)</f>
        <v>0</v>
      </c>
      <c r="T268" s="2" t="str">
        <f t="shared" si="9"/>
        <v>t N2O</v>
      </c>
    </row>
    <row r="269" spans="4:20" ht="20.100000000000001" customHeight="1" x14ac:dyDescent="0.25">
      <c r="D269" s="57"/>
      <c r="E269" s="57" t="str">
        <f>'Input - Swine'!$D$58</f>
        <v>Deep litter</v>
      </c>
      <c r="F269" s="52" cm="1">
        <f t="array" ref="F269">MMS_Swine_N2ODirect_Equations.VEERG_4_5_1_3__1_TotalAnnualDirectNitrousOxideEmissionsFromMMS(F220, _xlfn.XLOOKUP($E269, $D$152:$D$157, $E$152:$E$157), $G$252)</f>
        <v>4.3059154285714273E-4</v>
      </c>
      <c r="G269" s="52" cm="1">
        <f t="array" ref="G269">MMS_Swine_N2ODirect_Equations.VEERG_4_5_1_3__1_TotalAnnualDirectNitrousOxideEmissionsFromMMS(G220, _xlfn.XLOOKUP($E269, $D$152:$D$157, $E$152:$E$157), $G$252)</f>
        <v>5.7334200000000012E-4</v>
      </c>
      <c r="H269" s="52" cm="1">
        <f t="array" ref="H269">MMS_Swine_N2ODirect_Equations.VEERG_4_5_1_3__1_TotalAnnualDirectNitrousOxideEmissionsFromMMS(H220, _xlfn.XLOOKUP($E269, $D$152:$D$157, $E$152:$E$157), $G$252)</f>
        <v>5.3823942857142838E-4</v>
      </c>
      <c r="I269" s="52" cm="1">
        <f t="array" ref="I269">MMS_Swine_N2ODirect_Equations.VEERG_4_5_1_3__1_TotalAnnualDirectNitrousOxideEmissionsFromMMS(I220, _xlfn.XLOOKUP($E269, $D$152:$D$157, $E$152:$E$157), $G$252)</f>
        <v>3.6506674285714276E-4</v>
      </c>
      <c r="J269" s="2" t="str">
        <f t="shared" si="8"/>
        <v>t N2O</v>
      </c>
      <c r="N269" s="57"/>
      <c r="O269" s="57" t="str">
        <f>'Input - Swine'!$D$58</f>
        <v>Deep litter</v>
      </c>
      <c r="P269" s="52" cm="1">
        <f t="array" ref="P269">MMS_Swine_N2ODirect_Equations.VEERG_4_5_1_3__1_TotalAnnualDirectNitrousOxideEmissionsFromMMS(P220, _xlfn.XLOOKUP($E269, $D$152:$D$157, $E$152:$E$157), $G$252)</f>
        <v>4.3059154285714273E-4</v>
      </c>
      <c r="Q269" s="52" cm="1">
        <f t="array" ref="Q269">MMS_Swine_N2ODirect_Equations.VEERG_4_5_1_3__1_TotalAnnualDirectNitrousOxideEmissionsFromMMS(Q220, _xlfn.XLOOKUP($E269, $D$152:$D$157, $E$152:$E$157), $G$252)</f>
        <v>5.7334200000000012E-4</v>
      </c>
      <c r="R269" s="52" cm="1">
        <f t="array" ref="R269">MMS_Swine_N2ODirect_Equations.VEERG_4_5_1_3__1_TotalAnnualDirectNitrousOxideEmissionsFromMMS(R220, _xlfn.XLOOKUP($E269, $D$152:$D$157, $E$152:$E$157), $G$252)</f>
        <v>5.3823942857142838E-4</v>
      </c>
      <c r="S269" s="52" cm="1">
        <f t="array" ref="S269">MMS_Swine_N2ODirect_Equations.VEERG_4_5_1_3__1_TotalAnnualDirectNitrousOxideEmissionsFromMMS(S220, _xlfn.XLOOKUP($E269, $D$152:$D$157, $E$152:$E$157), $G$252)</f>
        <v>3.6506674285714276E-4</v>
      </c>
      <c r="T269" s="2" t="str">
        <f t="shared" si="9"/>
        <v>t N2O</v>
      </c>
    </row>
    <row r="270" spans="4:20" ht="20.100000000000001" customHeight="1" x14ac:dyDescent="0.25">
      <c r="D270" s="57"/>
      <c r="E270" s="57" t="str">
        <f>'Input - Swine'!$D$59</f>
        <v>Pit storage</v>
      </c>
      <c r="F270" s="52" cm="1">
        <f t="array" ref="F270">MMS_Swine_N2ODirect_Equations.VEERG_4_5_1_3__1_TotalAnnualDirectNitrousOxideEmissionsFromMMS(F221, _xlfn.XLOOKUP($E270, $D$152:$D$157, $E$152:$E$157), $G$252)</f>
        <v>8.6118308571428545E-5</v>
      </c>
      <c r="G270" s="52" cm="1">
        <f t="array" ref="G270">MMS_Swine_N2ODirect_Equations.VEERG_4_5_1_3__1_TotalAnnualDirectNitrousOxideEmissionsFromMMS(G221, _xlfn.XLOOKUP($E270, $D$152:$D$157, $E$152:$E$157), $G$252)</f>
        <v>1.1466840000000002E-4</v>
      </c>
      <c r="H270" s="52" cm="1">
        <f t="array" ref="H270">MMS_Swine_N2ODirect_Equations.VEERG_4_5_1_3__1_TotalAnnualDirectNitrousOxideEmissionsFromMMS(H221, _xlfn.XLOOKUP($E270, $D$152:$D$157, $E$152:$E$157), $G$252)</f>
        <v>1.0764788571428568E-4</v>
      </c>
      <c r="I270" s="52" cm="1">
        <f t="array" ref="I270">MMS_Swine_N2ODirect_Equations.VEERG_4_5_1_3__1_TotalAnnualDirectNitrousOxideEmissionsFromMMS(I221, _xlfn.XLOOKUP($E270, $D$152:$D$157, $E$152:$E$157), $G$252)</f>
        <v>7.3013348571428544E-5</v>
      </c>
      <c r="J270" s="2" t="str">
        <f t="shared" si="8"/>
        <v>t N2O</v>
      </c>
      <c r="N270" s="57"/>
      <c r="O270" s="57" t="str">
        <f>'Input - Swine'!$D$59</f>
        <v>Pit storage</v>
      </c>
      <c r="P270" s="52" cm="1">
        <f t="array" ref="P270">MMS_Swine_N2ODirect_Equations.VEERG_4_5_1_3__1_TotalAnnualDirectNitrousOxideEmissionsFromMMS(P221, _xlfn.XLOOKUP($E270, $D$152:$D$157, $E$152:$E$157), $G$252)</f>
        <v>8.6118308571428545E-5</v>
      </c>
      <c r="Q270" s="52" cm="1">
        <f t="array" ref="Q270">MMS_Swine_N2ODirect_Equations.VEERG_4_5_1_3__1_TotalAnnualDirectNitrousOxideEmissionsFromMMS(Q221, _xlfn.XLOOKUP($E270, $D$152:$D$157, $E$152:$E$157), $G$252)</f>
        <v>1.1466840000000002E-4</v>
      </c>
      <c r="R270" s="52" cm="1">
        <f t="array" ref="R270">MMS_Swine_N2ODirect_Equations.VEERG_4_5_1_3__1_TotalAnnualDirectNitrousOxideEmissionsFromMMS(R221, _xlfn.XLOOKUP($E270, $D$152:$D$157, $E$152:$E$157), $G$252)</f>
        <v>1.0764788571428568E-4</v>
      </c>
      <c r="S270" s="52" cm="1">
        <f t="array" ref="S270">MMS_Swine_N2ODirect_Equations.VEERG_4_5_1_3__1_TotalAnnualDirectNitrousOxideEmissionsFromMMS(S221, _xlfn.XLOOKUP($E270, $D$152:$D$157, $E$152:$E$157), $G$252)</f>
        <v>7.3013348571428544E-5</v>
      </c>
      <c r="T270" s="2" t="str">
        <f t="shared" si="9"/>
        <v>t N2O</v>
      </c>
    </row>
    <row r="271" spans="4:20" ht="20.100000000000001" customHeight="1" x14ac:dyDescent="0.25">
      <c r="D271" s="57" t="str">
        <f>'Input - Swine'!$D$31</f>
        <v>Digester / covered lagoons</v>
      </c>
      <c r="E271" s="57" t="str">
        <f>'Input - Swine'!$D$64</f>
        <v>Anaerobic lagoon</v>
      </c>
      <c r="F271" s="52" cm="1">
        <f t="array" ref="F271">MMS_Swine_N2ODirect_Equations.VEERG_4_5_1_3__1_TotalAnnualDirectNitrousOxideEmissionsFromMMS(F222, _xlfn.XLOOKUP($E271, $D$152:$D$157, $E$152:$E$157), $G$252)</f>
        <v>0</v>
      </c>
      <c r="G271" s="52" cm="1">
        <f t="array" ref="G271">MMS_Swine_N2ODirect_Equations.VEERG_4_5_1_3__1_TotalAnnualDirectNitrousOxideEmissionsFromMMS(G222, _xlfn.XLOOKUP($E271, $D$152:$D$157, $E$152:$E$157), $G$252)</f>
        <v>0</v>
      </c>
      <c r="H271" s="52" cm="1">
        <f t="array" ref="H271">MMS_Swine_N2ODirect_Equations.VEERG_4_5_1_3__1_TotalAnnualDirectNitrousOxideEmissionsFromMMS(H222, _xlfn.XLOOKUP($E271, $D$152:$D$157, $E$152:$E$157), $G$252)</f>
        <v>0</v>
      </c>
      <c r="I271" s="52" cm="1">
        <f t="array" ref="I271">MMS_Swine_N2ODirect_Equations.VEERG_4_5_1_3__1_TotalAnnualDirectNitrousOxideEmissionsFromMMS(I222, _xlfn.XLOOKUP($E271, $D$152:$D$157, $E$152:$E$157), $G$252)</f>
        <v>0</v>
      </c>
      <c r="J271" s="2" t="str">
        <f t="shared" si="8"/>
        <v>t N2O</v>
      </c>
      <c r="N271" s="57" t="str">
        <f>'Input - Swine'!$D$31</f>
        <v>Digester / covered lagoons</v>
      </c>
      <c r="O271" s="57" t="str">
        <f>'Input - Swine'!$D$64</f>
        <v>Anaerobic lagoon</v>
      </c>
      <c r="P271" s="52" cm="1">
        <f t="array" ref="P271">MMS_Swine_N2ODirect_Equations.VEERG_4_5_1_3__1_TotalAnnualDirectNitrousOxideEmissionsFromMMS(P222, _xlfn.XLOOKUP($E271, $D$152:$D$157, $E$152:$E$157), $G$252)</f>
        <v>0</v>
      </c>
      <c r="Q271" s="52" cm="1">
        <f t="array" ref="Q271">MMS_Swine_N2ODirect_Equations.VEERG_4_5_1_3__1_TotalAnnualDirectNitrousOxideEmissionsFromMMS(Q222, _xlfn.XLOOKUP($E271, $D$152:$D$157, $E$152:$E$157), $G$252)</f>
        <v>0</v>
      </c>
      <c r="R271" s="52" cm="1">
        <f t="array" ref="R271">MMS_Swine_N2ODirect_Equations.VEERG_4_5_1_3__1_TotalAnnualDirectNitrousOxideEmissionsFromMMS(R222, _xlfn.XLOOKUP($E271, $D$152:$D$157, $E$152:$E$157), $G$252)</f>
        <v>0</v>
      </c>
      <c r="S271" s="52" cm="1">
        <f t="array" ref="S271">MMS_Swine_N2ODirect_Equations.VEERG_4_5_1_3__1_TotalAnnualDirectNitrousOxideEmissionsFromMMS(S222, _xlfn.XLOOKUP($E271, $D$152:$D$157, $E$152:$E$157), $G$252)</f>
        <v>0</v>
      </c>
      <c r="T271" s="2" t="str">
        <f t="shared" si="9"/>
        <v>t N2O</v>
      </c>
    </row>
    <row r="272" spans="4:20" ht="20.100000000000001" customHeight="1" x14ac:dyDescent="0.25">
      <c r="D272" s="57"/>
      <c r="E272" s="57" t="str">
        <f>'Input - Swine'!$D$65</f>
        <v>Drylot (feed pad)</v>
      </c>
      <c r="F272" s="52" cm="1">
        <f t="array" ref="F272">MMS_Swine_N2ODirect_Equations.VEERG_4_5_1_3__1_TotalAnnualDirectNitrousOxideEmissionsFromMMS(F223, _xlfn.XLOOKUP($E272, $D$152:$D$157, $E$152:$E$157), $G$252)</f>
        <v>1.2664457142857141E-3</v>
      </c>
      <c r="G272" s="52" cm="1">
        <f t="array" ref="G272">MMS_Swine_N2ODirect_Equations.VEERG_4_5_1_3__1_TotalAnnualDirectNitrousOxideEmissionsFromMMS(G223, _xlfn.XLOOKUP($E272, $D$152:$D$157, $E$152:$E$157), $G$252)</f>
        <v>1.6863000000000002E-3</v>
      </c>
      <c r="H272" s="52" cm="1">
        <f t="array" ref="H272">MMS_Swine_N2ODirect_Equations.VEERG_4_5_1_3__1_TotalAnnualDirectNitrousOxideEmissionsFromMMS(H223, _xlfn.XLOOKUP($E272, $D$152:$D$157, $E$152:$E$157), $G$252)</f>
        <v>1.5830571428571425E-3</v>
      </c>
      <c r="I272" s="52" cm="1">
        <f t="array" ref="I272">MMS_Swine_N2ODirect_Equations.VEERG_4_5_1_3__1_TotalAnnualDirectNitrousOxideEmissionsFromMMS(I223, _xlfn.XLOOKUP($E272, $D$152:$D$157, $E$152:$E$157), $G$252)</f>
        <v>1.0737257142857141E-3</v>
      </c>
      <c r="J272" s="2" t="str">
        <f t="shared" si="8"/>
        <v>t N2O</v>
      </c>
      <c r="N272" s="57"/>
      <c r="O272" s="57" t="str">
        <f>'Input - Swine'!$D$65</f>
        <v>Drylot (feed pad)</v>
      </c>
      <c r="P272" s="52" cm="1">
        <f t="array" ref="P272">MMS_Swine_N2ODirect_Equations.VEERG_4_5_1_3__1_TotalAnnualDirectNitrousOxideEmissionsFromMMS(P223, _xlfn.XLOOKUP($E272, $D$152:$D$157, $E$152:$E$157), $G$252)</f>
        <v>1.2664457142857141E-3</v>
      </c>
      <c r="Q272" s="52" cm="1">
        <f t="array" ref="Q272">MMS_Swine_N2ODirect_Equations.VEERG_4_5_1_3__1_TotalAnnualDirectNitrousOxideEmissionsFromMMS(Q223, _xlfn.XLOOKUP($E272, $D$152:$D$157, $E$152:$E$157), $G$252)</f>
        <v>1.6863000000000002E-3</v>
      </c>
      <c r="R272" s="52" cm="1">
        <f t="array" ref="R272">MMS_Swine_N2ODirect_Equations.VEERG_4_5_1_3__1_TotalAnnualDirectNitrousOxideEmissionsFromMMS(R223, _xlfn.XLOOKUP($E272, $D$152:$D$157, $E$152:$E$157), $G$252)</f>
        <v>1.5830571428571425E-3</v>
      </c>
      <c r="S272" s="52" cm="1">
        <f t="array" ref="S272">MMS_Swine_N2ODirect_Equations.VEERG_4_5_1_3__1_TotalAnnualDirectNitrousOxideEmissionsFromMMS(S223, _xlfn.XLOOKUP($E272, $D$152:$D$157, $E$152:$E$157), $G$252)</f>
        <v>1.0737257142857141E-3</v>
      </c>
      <c r="T272" s="2" t="str">
        <f t="shared" si="9"/>
        <v>t N2O</v>
      </c>
    </row>
    <row r="273" spans="4:20" ht="20.100000000000001" customHeight="1" x14ac:dyDescent="0.25">
      <c r="D273" s="57"/>
      <c r="E273" s="57" t="str">
        <f>'Input - Swine'!$D$66</f>
        <v>Deep litter</v>
      </c>
      <c r="F273" s="52" cm="1">
        <f t="array" ref="F273">MMS_Swine_N2ODirect_Equations.VEERG_4_5_1_3__1_TotalAnnualDirectNitrousOxideEmissionsFromMMS(F224, _xlfn.XLOOKUP($E273, $D$152:$D$157, $E$152:$E$157), $G$252)</f>
        <v>6.3322285714285703E-4</v>
      </c>
      <c r="G273" s="52" cm="1">
        <f t="array" ref="G273">MMS_Swine_N2ODirect_Equations.VEERG_4_5_1_3__1_TotalAnnualDirectNitrousOxideEmissionsFromMMS(G224, _xlfn.XLOOKUP($E273, $D$152:$D$157, $E$152:$E$157), $G$252)</f>
        <v>8.4315000000000008E-4</v>
      </c>
      <c r="H273" s="52" cm="1">
        <f t="array" ref="H273">MMS_Swine_N2ODirect_Equations.VEERG_4_5_1_3__1_TotalAnnualDirectNitrousOxideEmissionsFromMMS(H224, _xlfn.XLOOKUP($E273, $D$152:$D$157, $E$152:$E$157), $G$252)</f>
        <v>7.9152857142857124E-4</v>
      </c>
      <c r="I273" s="52" cm="1">
        <f t="array" ref="I273">MMS_Swine_N2ODirect_Equations.VEERG_4_5_1_3__1_TotalAnnualDirectNitrousOxideEmissionsFromMMS(I224, _xlfn.XLOOKUP($E273, $D$152:$D$157, $E$152:$E$157), $G$252)</f>
        <v>5.3686285714285705E-4</v>
      </c>
      <c r="J273" s="2" t="str">
        <f t="shared" si="8"/>
        <v>t N2O</v>
      </c>
      <c r="N273" s="57"/>
      <c r="O273" s="57" t="str">
        <f>'Input - Swine'!$D$66</f>
        <v>Deep litter</v>
      </c>
      <c r="P273" s="52" cm="1">
        <f t="array" ref="P273">MMS_Swine_N2ODirect_Equations.VEERG_4_5_1_3__1_TotalAnnualDirectNitrousOxideEmissionsFromMMS(P224, _xlfn.XLOOKUP($E273, $D$152:$D$157, $E$152:$E$157), $G$252)</f>
        <v>6.3322285714285703E-4</v>
      </c>
      <c r="Q273" s="52" cm="1">
        <f t="array" ref="Q273">MMS_Swine_N2ODirect_Equations.VEERG_4_5_1_3__1_TotalAnnualDirectNitrousOxideEmissionsFromMMS(Q224, _xlfn.XLOOKUP($E273, $D$152:$D$157, $E$152:$E$157), $G$252)</f>
        <v>8.4315000000000008E-4</v>
      </c>
      <c r="R273" s="52" cm="1">
        <f t="array" ref="R273">MMS_Swine_N2ODirect_Equations.VEERG_4_5_1_3__1_TotalAnnualDirectNitrousOxideEmissionsFromMMS(R224, _xlfn.XLOOKUP($E273, $D$152:$D$157, $E$152:$E$157), $G$252)</f>
        <v>7.9152857142857124E-4</v>
      </c>
      <c r="S273" s="52" cm="1">
        <f t="array" ref="S273">MMS_Swine_N2ODirect_Equations.VEERG_4_5_1_3__1_TotalAnnualDirectNitrousOxideEmissionsFromMMS(S224, _xlfn.XLOOKUP($E273, $D$152:$D$157, $E$152:$E$157), $G$252)</f>
        <v>5.3686285714285705E-4</v>
      </c>
      <c r="T273" s="2" t="str">
        <f t="shared" si="9"/>
        <v>t N2O</v>
      </c>
    </row>
    <row r="274" spans="4:20" ht="20.100000000000001" customHeight="1" x14ac:dyDescent="0.25">
      <c r="D274" s="57"/>
      <c r="E274" s="57" t="str">
        <f>'Input - Swine'!$D$67</f>
        <v>Pit storage</v>
      </c>
      <c r="F274" s="52" cm="1">
        <f t="array" ref="F274">MMS_Swine_N2ODirect_Equations.VEERG_4_5_1_3__1_TotalAnnualDirectNitrousOxideEmissionsFromMMS(F225, _xlfn.XLOOKUP($E274, $D$152:$D$157, $E$152:$E$157), $G$252)</f>
        <v>1.266445714285714E-4</v>
      </c>
      <c r="G274" s="52" cm="1">
        <f t="array" ref="G274">MMS_Swine_N2ODirect_Equations.VEERG_4_5_1_3__1_TotalAnnualDirectNitrousOxideEmissionsFromMMS(G225, _xlfn.XLOOKUP($E274, $D$152:$D$157, $E$152:$E$157), $G$252)</f>
        <v>1.6863000000000004E-4</v>
      </c>
      <c r="H274" s="52" cm="1">
        <f t="array" ref="H274">MMS_Swine_N2ODirect_Equations.VEERG_4_5_1_3__1_TotalAnnualDirectNitrousOxideEmissionsFromMMS(H225, _xlfn.XLOOKUP($E274, $D$152:$D$157, $E$152:$E$157), $G$252)</f>
        <v>1.5830571428571426E-4</v>
      </c>
      <c r="I274" s="52" cm="1">
        <f t="array" ref="I274">MMS_Swine_N2ODirect_Equations.VEERG_4_5_1_3__1_TotalAnnualDirectNitrousOxideEmissionsFromMMS(I225, _xlfn.XLOOKUP($E274, $D$152:$D$157, $E$152:$E$157), $G$252)</f>
        <v>1.073725714285714E-4</v>
      </c>
      <c r="J274" s="2" t="str">
        <f t="shared" si="8"/>
        <v>t N2O</v>
      </c>
      <c r="N274" s="57"/>
      <c r="O274" s="57" t="str">
        <f>'Input - Swine'!$D$67</f>
        <v>Pit storage</v>
      </c>
      <c r="P274" s="52" cm="1">
        <f t="array" ref="P274">MMS_Swine_N2ODirect_Equations.VEERG_4_5_1_3__1_TotalAnnualDirectNitrousOxideEmissionsFromMMS(P225, _xlfn.XLOOKUP($E274, $D$152:$D$157, $E$152:$E$157), $G$252)</f>
        <v>1.266445714285714E-4</v>
      </c>
      <c r="Q274" s="52" cm="1">
        <f t="array" ref="Q274">MMS_Swine_N2ODirect_Equations.VEERG_4_5_1_3__1_TotalAnnualDirectNitrousOxideEmissionsFromMMS(Q225, _xlfn.XLOOKUP($E274, $D$152:$D$157, $E$152:$E$157), $G$252)</f>
        <v>1.6863000000000004E-4</v>
      </c>
      <c r="R274" s="52" cm="1">
        <f t="array" ref="R274">MMS_Swine_N2ODirect_Equations.VEERG_4_5_1_3__1_TotalAnnualDirectNitrousOxideEmissionsFromMMS(R225, _xlfn.XLOOKUP($E274, $D$152:$D$157, $E$152:$E$157), $G$252)</f>
        <v>1.5830571428571426E-4</v>
      </c>
      <c r="S274" s="52" cm="1">
        <f t="array" ref="S274">MMS_Swine_N2ODirect_Equations.VEERG_4_5_1_3__1_TotalAnnualDirectNitrousOxideEmissionsFromMMS(S225, _xlfn.XLOOKUP($E274, $D$152:$D$157, $E$152:$E$157), $G$252)</f>
        <v>1.073725714285714E-4</v>
      </c>
      <c r="T274" s="2" t="str">
        <f t="shared" si="9"/>
        <v>t N2O</v>
      </c>
    </row>
    <row r="275" spans="4:20" ht="20.100000000000001" customHeight="1" x14ac:dyDescent="0.25">
      <c r="D275" s="57" t="str">
        <f>'Input - Swine'!$D$32</f>
        <v>Deep litter</v>
      </c>
      <c r="E275" s="57" t="str">
        <f>'Input - Swine'!$D$72</f>
        <v>Anaerobic lagoon</v>
      </c>
      <c r="F275" s="52" cm="1">
        <f t="array" ref="F275">MMS_Swine_N2ODirect_Equations.VEERG_4_5_1_3__1_TotalAnnualDirectNitrousOxideEmissionsFromMMS(F226, _xlfn.XLOOKUP($E275, $D$152:$D$157, $E$152:$E$157), $G$252)</f>
        <v>0</v>
      </c>
      <c r="G275" s="52" cm="1">
        <f t="array" ref="G275">MMS_Swine_N2ODirect_Equations.VEERG_4_5_1_3__1_TotalAnnualDirectNitrousOxideEmissionsFromMMS(G226, _xlfn.XLOOKUP($E275, $D$152:$D$157, $E$152:$E$157), $G$252)</f>
        <v>0</v>
      </c>
      <c r="H275" s="52" cm="1">
        <f t="array" ref="H275">MMS_Swine_N2ODirect_Equations.VEERG_4_5_1_3__1_TotalAnnualDirectNitrousOxideEmissionsFromMMS(H226, _xlfn.XLOOKUP($E275, $D$152:$D$157, $E$152:$E$157), $G$252)</f>
        <v>0</v>
      </c>
      <c r="I275" s="52" cm="1">
        <f t="array" ref="I275">MMS_Swine_N2ODirect_Equations.VEERG_4_5_1_3__1_TotalAnnualDirectNitrousOxideEmissionsFromMMS(I226, _xlfn.XLOOKUP($E275, $D$152:$D$157, $E$152:$E$157), $G$252)</f>
        <v>0</v>
      </c>
      <c r="J275" s="2" t="str">
        <f t="shared" si="8"/>
        <v>t N2O</v>
      </c>
      <c r="N275" s="57" t="str">
        <f>'Input - Swine'!$D$32</f>
        <v>Deep litter</v>
      </c>
      <c r="O275" s="57" t="str">
        <f>'Input - Swine'!$D$72</f>
        <v>Anaerobic lagoon</v>
      </c>
      <c r="P275" s="52" cm="1">
        <f t="array" ref="P275">MMS_Swine_N2ODirect_Equations.VEERG_4_5_1_3__1_TotalAnnualDirectNitrousOxideEmissionsFromMMS(P226, _xlfn.XLOOKUP($E275, $D$152:$D$157, $E$152:$E$157), $G$252)</f>
        <v>0</v>
      </c>
      <c r="Q275" s="52" cm="1">
        <f t="array" ref="Q275">MMS_Swine_N2ODirect_Equations.VEERG_4_5_1_3__1_TotalAnnualDirectNitrousOxideEmissionsFromMMS(Q226, _xlfn.XLOOKUP($E275, $D$152:$D$157, $E$152:$E$157), $G$252)</f>
        <v>0</v>
      </c>
      <c r="R275" s="52" cm="1">
        <f t="array" ref="R275">MMS_Swine_N2ODirect_Equations.VEERG_4_5_1_3__1_TotalAnnualDirectNitrousOxideEmissionsFromMMS(R226, _xlfn.XLOOKUP($E275, $D$152:$D$157, $E$152:$E$157), $G$252)</f>
        <v>0</v>
      </c>
      <c r="S275" s="52" cm="1">
        <f t="array" ref="S275">MMS_Swine_N2ODirect_Equations.VEERG_4_5_1_3__1_TotalAnnualDirectNitrousOxideEmissionsFromMMS(S226, _xlfn.XLOOKUP($E275, $D$152:$D$157, $E$152:$E$157), $G$252)</f>
        <v>0</v>
      </c>
      <c r="T275" s="2" t="str">
        <f t="shared" si="9"/>
        <v>t N2O</v>
      </c>
    </row>
    <row r="276" spans="4:20" ht="20.100000000000001" customHeight="1" x14ac:dyDescent="0.25">
      <c r="D276" s="57"/>
      <c r="E276" s="57" t="str">
        <f>'Input - Swine'!$D$73</f>
        <v>Drylot (feed pad)</v>
      </c>
      <c r="F276" s="52" cm="1">
        <f t="array" ref="F276">MMS_Swine_N2ODirect_Equations.VEERG_4_5_1_3__1_TotalAnnualDirectNitrousOxideEmissionsFromMMS(F227, _xlfn.XLOOKUP($E276, $D$152:$D$157, $E$152:$E$157), $G$252)</f>
        <v>1.0954755428571425E-3</v>
      </c>
      <c r="G276" s="52" cm="1">
        <f t="array" ref="G276">MMS_Swine_N2ODirect_Equations.VEERG_4_5_1_3__1_TotalAnnualDirectNitrousOxideEmissionsFromMMS(G227, _xlfn.XLOOKUP($E276, $D$152:$D$157, $E$152:$E$157), $G$252)</f>
        <v>1.4586495000000002E-3</v>
      </c>
      <c r="H276" s="52" cm="1">
        <f t="array" ref="H276">MMS_Swine_N2ODirect_Equations.VEERG_4_5_1_3__1_TotalAnnualDirectNitrousOxideEmissionsFromMMS(H227, _xlfn.XLOOKUP($E276, $D$152:$D$157, $E$152:$E$157), $G$252)</f>
        <v>1.3693444285714283E-3</v>
      </c>
      <c r="I276" s="52" cm="1">
        <f t="array" ref="I276">MMS_Swine_N2ODirect_Equations.VEERG_4_5_1_3__1_TotalAnnualDirectNitrousOxideEmissionsFromMMS(I227, _xlfn.XLOOKUP($E276, $D$152:$D$157, $E$152:$E$157), $G$252)</f>
        <v>9.2877274285714279E-4</v>
      </c>
      <c r="J276" s="2" t="str">
        <f t="shared" si="8"/>
        <v>t N2O</v>
      </c>
      <c r="N276" s="57"/>
      <c r="O276" s="57" t="str">
        <f>'Input - Swine'!$D$73</f>
        <v>Drylot (feed pad)</v>
      </c>
      <c r="P276" s="52" cm="1">
        <f t="array" ref="P276">MMS_Swine_N2ODirect_Equations.VEERG_4_5_1_3__1_TotalAnnualDirectNitrousOxideEmissionsFromMMS(P227, _xlfn.XLOOKUP($E276, $D$152:$D$157, $E$152:$E$157), $G$252)</f>
        <v>1.0954755428571425E-3</v>
      </c>
      <c r="Q276" s="52" cm="1">
        <f t="array" ref="Q276">MMS_Swine_N2ODirect_Equations.VEERG_4_5_1_3__1_TotalAnnualDirectNitrousOxideEmissionsFromMMS(Q227, _xlfn.XLOOKUP($E276, $D$152:$D$157, $E$152:$E$157), $G$252)</f>
        <v>1.4586495000000002E-3</v>
      </c>
      <c r="R276" s="52" cm="1">
        <f t="array" ref="R276">MMS_Swine_N2ODirect_Equations.VEERG_4_5_1_3__1_TotalAnnualDirectNitrousOxideEmissionsFromMMS(R227, _xlfn.XLOOKUP($E276, $D$152:$D$157, $E$152:$E$157), $G$252)</f>
        <v>1.3693444285714283E-3</v>
      </c>
      <c r="S276" s="52" cm="1">
        <f t="array" ref="S276">MMS_Swine_N2ODirect_Equations.VEERG_4_5_1_3__1_TotalAnnualDirectNitrousOxideEmissionsFromMMS(S227, _xlfn.XLOOKUP($E276, $D$152:$D$157, $E$152:$E$157), $G$252)</f>
        <v>9.2877274285714279E-4</v>
      </c>
      <c r="T276" s="2" t="str">
        <f t="shared" si="9"/>
        <v>t N2O</v>
      </c>
    </row>
    <row r="277" spans="4:20" ht="20.100000000000001" customHeight="1" x14ac:dyDescent="0.25">
      <c r="D277" s="57"/>
      <c r="E277" s="57" t="str">
        <f>'Input - Swine'!$D$74</f>
        <v>Digester / covered lagoons</v>
      </c>
      <c r="F277" s="52" cm="1">
        <f t="array" ref="F277">MMS_Swine_N2ODirect_Equations.VEERG_4_5_1_3__1_TotalAnnualDirectNitrousOxideEmissionsFromMMS(F228, _xlfn.XLOOKUP($E277, $D$152:$D$157, $E$152:$E$157), $G$252)</f>
        <v>0</v>
      </c>
      <c r="G277" s="52" cm="1">
        <f t="array" ref="G277">MMS_Swine_N2ODirect_Equations.VEERG_4_5_1_3__1_TotalAnnualDirectNitrousOxideEmissionsFromMMS(G228, _xlfn.XLOOKUP($E277, $D$152:$D$157, $E$152:$E$157), $G$252)</f>
        <v>0</v>
      </c>
      <c r="H277" s="52" cm="1">
        <f t="array" ref="H277">MMS_Swine_N2ODirect_Equations.VEERG_4_5_1_3__1_TotalAnnualDirectNitrousOxideEmissionsFromMMS(H228, _xlfn.XLOOKUP($E277, $D$152:$D$157, $E$152:$E$157), $G$252)</f>
        <v>0</v>
      </c>
      <c r="I277" s="52" cm="1">
        <f t="array" ref="I277">MMS_Swine_N2ODirect_Equations.VEERG_4_5_1_3__1_TotalAnnualDirectNitrousOxideEmissionsFromMMS(I228, _xlfn.XLOOKUP($E277, $D$152:$D$157, $E$152:$E$157), $G$252)</f>
        <v>0</v>
      </c>
      <c r="J277" s="2" t="str">
        <f t="shared" si="8"/>
        <v>t N2O</v>
      </c>
      <c r="N277" s="57"/>
      <c r="O277" s="57" t="str">
        <f>'Input - Swine'!$D$74</f>
        <v>Digester / covered lagoons</v>
      </c>
      <c r="P277" s="52" cm="1">
        <f t="array" ref="P277">MMS_Swine_N2ODirect_Equations.VEERG_4_5_1_3__1_TotalAnnualDirectNitrousOxideEmissionsFromMMS(P228, _xlfn.XLOOKUP($E277, $D$152:$D$157, $E$152:$E$157), $G$252)</f>
        <v>0</v>
      </c>
      <c r="Q277" s="52" cm="1">
        <f t="array" ref="Q277">MMS_Swine_N2ODirect_Equations.VEERG_4_5_1_3__1_TotalAnnualDirectNitrousOxideEmissionsFromMMS(Q228, _xlfn.XLOOKUP($E277, $D$152:$D$157, $E$152:$E$157), $G$252)</f>
        <v>0</v>
      </c>
      <c r="R277" s="52" cm="1">
        <f t="array" ref="R277">MMS_Swine_N2ODirect_Equations.VEERG_4_5_1_3__1_TotalAnnualDirectNitrousOxideEmissionsFromMMS(R228, _xlfn.XLOOKUP($E277, $D$152:$D$157, $E$152:$E$157), $G$252)</f>
        <v>0</v>
      </c>
      <c r="S277" s="52" cm="1">
        <f t="array" ref="S277">MMS_Swine_N2ODirect_Equations.VEERG_4_5_1_3__1_TotalAnnualDirectNitrousOxideEmissionsFromMMS(S228, _xlfn.XLOOKUP($E277, $D$152:$D$157, $E$152:$E$157), $G$252)</f>
        <v>0</v>
      </c>
      <c r="T277" s="2" t="str">
        <f t="shared" si="9"/>
        <v>t N2O</v>
      </c>
    </row>
    <row r="278" spans="4:20" ht="20.100000000000001" customHeight="1" x14ac:dyDescent="0.25">
      <c r="D278" s="57"/>
      <c r="E278" s="57" t="str">
        <f>'Input - Swine'!$D$75</f>
        <v>Pit storage</v>
      </c>
      <c r="F278" s="52" cm="1">
        <f t="array" ref="F278">MMS_Swine_N2ODirect_Equations.VEERG_4_5_1_3__1_TotalAnnualDirectNitrousOxideEmissionsFromMMS(F229, _xlfn.XLOOKUP($E278, $D$152:$D$157, $E$152:$E$157), $G$252)</f>
        <v>1.0954755428571425E-4</v>
      </c>
      <c r="G278" s="52" cm="1">
        <f t="array" ref="G278">MMS_Swine_N2ODirect_Equations.VEERG_4_5_1_3__1_TotalAnnualDirectNitrousOxideEmissionsFromMMS(G229, _xlfn.XLOOKUP($E278, $D$152:$D$157, $E$152:$E$157), $G$252)</f>
        <v>1.4586495000000002E-4</v>
      </c>
      <c r="H278" s="52" cm="1">
        <f t="array" ref="H278">MMS_Swine_N2ODirect_Equations.VEERG_4_5_1_3__1_TotalAnnualDirectNitrousOxideEmissionsFromMMS(H229, _xlfn.XLOOKUP($E278, $D$152:$D$157, $E$152:$E$157), $G$252)</f>
        <v>1.3693444285714282E-4</v>
      </c>
      <c r="I278" s="52" cm="1">
        <f t="array" ref="I278">MMS_Swine_N2ODirect_Equations.VEERG_4_5_1_3__1_TotalAnnualDirectNitrousOxideEmissionsFromMMS(I229, _xlfn.XLOOKUP($E278, $D$152:$D$157, $E$152:$E$157), $G$252)</f>
        <v>9.2877274285714271E-5</v>
      </c>
      <c r="J278" s="2" t="str">
        <f t="shared" si="8"/>
        <v>t N2O</v>
      </c>
      <c r="N278" s="57"/>
      <c r="O278" s="57" t="str">
        <f>'Input - Swine'!$D$75</f>
        <v>Pit storage</v>
      </c>
      <c r="P278" s="52" cm="1">
        <f t="array" ref="P278">MMS_Swine_N2ODirect_Equations.VEERG_4_5_1_3__1_TotalAnnualDirectNitrousOxideEmissionsFromMMS(P229, _xlfn.XLOOKUP($E278, $D$152:$D$157, $E$152:$E$157), $G$252)</f>
        <v>1.0954755428571425E-4</v>
      </c>
      <c r="Q278" s="52" cm="1">
        <f t="array" ref="Q278">MMS_Swine_N2ODirect_Equations.VEERG_4_5_1_3__1_TotalAnnualDirectNitrousOxideEmissionsFromMMS(Q229, _xlfn.XLOOKUP($E278, $D$152:$D$157, $E$152:$E$157), $G$252)</f>
        <v>1.4586495000000002E-4</v>
      </c>
      <c r="R278" s="52" cm="1">
        <f t="array" ref="R278">MMS_Swine_N2ODirect_Equations.VEERG_4_5_1_3__1_TotalAnnualDirectNitrousOxideEmissionsFromMMS(R229, _xlfn.XLOOKUP($E278, $D$152:$D$157, $E$152:$E$157), $G$252)</f>
        <v>1.3693444285714282E-4</v>
      </c>
      <c r="S278" s="52" cm="1">
        <f t="array" ref="S278">MMS_Swine_N2ODirect_Equations.VEERG_4_5_1_3__1_TotalAnnualDirectNitrousOxideEmissionsFromMMS(S229, _xlfn.XLOOKUP($E278, $D$152:$D$157, $E$152:$E$157), $G$252)</f>
        <v>9.2877274285714271E-5</v>
      </c>
      <c r="T278" s="2" t="str">
        <f t="shared" si="9"/>
        <v>t N2O</v>
      </c>
    </row>
    <row r="279" spans="4:20" ht="20.100000000000001" customHeight="1" x14ac:dyDescent="0.25">
      <c r="D279" s="57" t="str">
        <f>'Input - Swine'!$D$33</f>
        <v>Pit storage</v>
      </c>
      <c r="E279" s="57" t="str">
        <f>'Input - Swine'!$D$80</f>
        <v>Anaerobic lagoon</v>
      </c>
      <c r="F279" s="52" cm="1">
        <f t="array" ref="F279">MMS_Swine_N2ODirect_Equations.VEERG_4_5_1_3__1_TotalAnnualDirectNitrousOxideEmissionsFromMMS(F230, _xlfn.XLOOKUP($E279, $D$152:$D$157, $E$152:$E$157), $G$252)</f>
        <v>0</v>
      </c>
      <c r="G279" s="52" cm="1">
        <f t="array" ref="G279">MMS_Swine_N2ODirect_Equations.VEERG_4_5_1_3__1_TotalAnnualDirectNitrousOxideEmissionsFromMMS(G230, _xlfn.XLOOKUP($E279, $D$152:$D$157, $E$152:$E$157), $G$252)</f>
        <v>0</v>
      </c>
      <c r="H279" s="52" cm="1">
        <f t="array" ref="H279">MMS_Swine_N2ODirect_Equations.VEERG_4_5_1_3__1_TotalAnnualDirectNitrousOxideEmissionsFromMMS(H230, _xlfn.XLOOKUP($E279, $D$152:$D$157, $E$152:$E$157), $G$252)</f>
        <v>0</v>
      </c>
      <c r="I279" s="52" cm="1">
        <f t="array" ref="I279">MMS_Swine_N2ODirect_Equations.VEERG_4_5_1_3__1_TotalAnnualDirectNitrousOxideEmissionsFromMMS(I230, _xlfn.XLOOKUP($E279, $D$152:$D$157, $E$152:$E$157), $G$252)</f>
        <v>0</v>
      </c>
      <c r="J279" s="2" t="str">
        <f t="shared" si="8"/>
        <v>t N2O</v>
      </c>
      <c r="N279" s="57" t="str">
        <f>'Input - Swine'!$D$33</f>
        <v>Pit storage</v>
      </c>
      <c r="O279" s="57" t="str">
        <f>'Input - Swine'!$D$80</f>
        <v>Anaerobic lagoon</v>
      </c>
      <c r="P279" s="52" cm="1">
        <f t="array" ref="P279">MMS_Swine_N2ODirect_Equations.VEERG_4_5_1_3__1_TotalAnnualDirectNitrousOxideEmissionsFromMMS(P230, _xlfn.XLOOKUP($E279, $D$152:$D$157, $E$152:$E$157), $G$252)</f>
        <v>0</v>
      </c>
      <c r="Q279" s="52" cm="1">
        <f t="array" ref="Q279">MMS_Swine_N2ODirect_Equations.VEERG_4_5_1_3__1_TotalAnnualDirectNitrousOxideEmissionsFromMMS(Q230, _xlfn.XLOOKUP($E279, $D$152:$D$157, $E$152:$E$157), $G$252)</f>
        <v>0</v>
      </c>
      <c r="R279" s="52" cm="1">
        <f t="array" ref="R279">MMS_Swine_N2ODirect_Equations.VEERG_4_5_1_3__1_TotalAnnualDirectNitrousOxideEmissionsFromMMS(R230, _xlfn.XLOOKUP($E279, $D$152:$D$157, $E$152:$E$157), $G$252)</f>
        <v>0</v>
      </c>
      <c r="S279" s="52" cm="1">
        <f t="array" ref="S279">MMS_Swine_N2ODirect_Equations.VEERG_4_5_1_3__1_TotalAnnualDirectNitrousOxideEmissionsFromMMS(S230, _xlfn.XLOOKUP($E279, $D$152:$D$157, $E$152:$E$157), $G$252)</f>
        <v>0</v>
      </c>
      <c r="T279" s="2" t="str">
        <f t="shared" si="9"/>
        <v>t N2O</v>
      </c>
    </row>
    <row r="280" spans="4:20" ht="20.100000000000001" customHeight="1" x14ac:dyDescent="0.25">
      <c r="D280" s="57"/>
      <c r="E280" s="57" t="str">
        <f>'Input - Swine'!$D$81</f>
        <v>Drylot (feed pad)</v>
      </c>
      <c r="F280" s="52" cm="1">
        <f t="array" ref="F280">MMS_Swine_N2ODirect_Equations.VEERG_4_5_1_3__1_TotalAnnualDirectNitrousOxideEmissionsFromMMS(F231, _xlfn.XLOOKUP($E280, $D$152:$D$157, $E$152:$E$157), $G$252)</f>
        <v>9.4730139428571411E-4</v>
      </c>
      <c r="G280" s="52" cm="1">
        <f t="array" ref="G280">MMS_Swine_N2ODirect_Equations.VEERG_4_5_1_3__1_TotalAnnualDirectNitrousOxideEmissionsFromMMS(G231, _xlfn.XLOOKUP($E280, $D$152:$D$157, $E$152:$E$157), $G$252)</f>
        <v>1.2613524E-3</v>
      </c>
      <c r="H280" s="52" cm="1">
        <f t="array" ref="H280">MMS_Swine_N2ODirect_Equations.VEERG_4_5_1_3__1_TotalAnnualDirectNitrousOxideEmissionsFromMMS(H231, _xlfn.XLOOKUP($E280, $D$152:$D$157, $E$152:$E$157), $G$252)</f>
        <v>1.1841267428571427E-3</v>
      </c>
      <c r="I280" s="52" cm="1">
        <f t="array" ref="I280">MMS_Swine_N2ODirect_Equations.VEERG_4_5_1_3__1_TotalAnnualDirectNitrousOxideEmissionsFromMMS(I231, _xlfn.XLOOKUP($E280, $D$152:$D$157, $E$152:$E$157), $G$252)</f>
        <v>8.0314683428571411E-4</v>
      </c>
      <c r="J280" s="2" t="str">
        <f t="shared" si="8"/>
        <v>t N2O</v>
      </c>
      <c r="N280" s="57"/>
      <c r="O280" s="57" t="str">
        <f>'Input - Swine'!$D$81</f>
        <v>Drylot (feed pad)</v>
      </c>
      <c r="P280" s="52" cm="1">
        <f t="array" ref="P280">MMS_Swine_N2ODirect_Equations.VEERG_4_5_1_3__1_TotalAnnualDirectNitrousOxideEmissionsFromMMS(P231, _xlfn.XLOOKUP($E280, $D$152:$D$157, $E$152:$E$157), $G$252)</f>
        <v>9.4730139428571411E-4</v>
      </c>
      <c r="Q280" s="52" cm="1">
        <f t="array" ref="Q280">MMS_Swine_N2ODirect_Equations.VEERG_4_5_1_3__1_TotalAnnualDirectNitrousOxideEmissionsFromMMS(Q231, _xlfn.XLOOKUP($E280, $D$152:$D$157, $E$152:$E$157), $G$252)</f>
        <v>1.2613524E-3</v>
      </c>
      <c r="R280" s="52" cm="1">
        <f t="array" ref="R280">MMS_Swine_N2ODirect_Equations.VEERG_4_5_1_3__1_TotalAnnualDirectNitrousOxideEmissionsFromMMS(R231, _xlfn.XLOOKUP($E280, $D$152:$D$157, $E$152:$E$157), $G$252)</f>
        <v>1.1841267428571427E-3</v>
      </c>
      <c r="S280" s="52" cm="1">
        <f t="array" ref="S280">MMS_Swine_N2ODirect_Equations.VEERG_4_5_1_3__1_TotalAnnualDirectNitrousOxideEmissionsFromMMS(S231, _xlfn.XLOOKUP($E280, $D$152:$D$157, $E$152:$E$157), $G$252)</f>
        <v>8.0314683428571411E-4</v>
      </c>
      <c r="T280" s="2" t="str">
        <f t="shared" si="9"/>
        <v>t N2O</v>
      </c>
    </row>
    <row r="281" spans="4:20" ht="20.100000000000001" customHeight="1" x14ac:dyDescent="0.25">
      <c r="D281" s="57"/>
      <c r="E281" s="57" t="str">
        <f>'Input - Swine'!$D$82</f>
        <v>Digester / covered lagoons</v>
      </c>
      <c r="F281" s="52" cm="1">
        <f t="array" ref="F281">MMS_Swine_N2ODirect_Equations.VEERG_4_5_1_3__1_TotalAnnualDirectNitrousOxideEmissionsFromMMS(F232, _xlfn.XLOOKUP($E281, $D$152:$D$157, $E$152:$E$157), $G$252)</f>
        <v>0</v>
      </c>
      <c r="G281" s="52" cm="1">
        <f t="array" ref="G281">MMS_Swine_N2ODirect_Equations.VEERG_4_5_1_3__1_TotalAnnualDirectNitrousOxideEmissionsFromMMS(G232, _xlfn.XLOOKUP($E281, $D$152:$D$157, $E$152:$E$157), $G$252)</f>
        <v>0</v>
      </c>
      <c r="H281" s="52" cm="1">
        <f t="array" ref="H281">MMS_Swine_N2ODirect_Equations.VEERG_4_5_1_3__1_TotalAnnualDirectNitrousOxideEmissionsFromMMS(H232, _xlfn.XLOOKUP($E281, $D$152:$D$157, $E$152:$E$157), $G$252)</f>
        <v>0</v>
      </c>
      <c r="I281" s="52" cm="1">
        <f t="array" ref="I281">MMS_Swine_N2ODirect_Equations.VEERG_4_5_1_3__1_TotalAnnualDirectNitrousOxideEmissionsFromMMS(I232, _xlfn.XLOOKUP($E281, $D$152:$D$157, $E$152:$E$157), $G$252)</f>
        <v>0</v>
      </c>
      <c r="J281" s="2" t="str">
        <f t="shared" si="8"/>
        <v>t N2O</v>
      </c>
      <c r="N281" s="57"/>
      <c r="O281" s="57" t="str">
        <f>'Input - Swine'!$D$82</f>
        <v>Digester / covered lagoons</v>
      </c>
      <c r="P281" s="52" cm="1">
        <f t="array" ref="P281">MMS_Swine_N2ODirect_Equations.VEERG_4_5_1_3__1_TotalAnnualDirectNitrousOxideEmissionsFromMMS(P232, _xlfn.XLOOKUP($E281, $D$152:$D$157, $E$152:$E$157), $G$252)</f>
        <v>0</v>
      </c>
      <c r="Q281" s="52" cm="1">
        <f t="array" ref="Q281">MMS_Swine_N2ODirect_Equations.VEERG_4_5_1_3__1_TotalAnnualDirectNitrousOxideEmissionsFromMMS(Q232, _xlfn.XLOOKUP($E281, $D$152:$D$157, $E$152:$E$157), $G$252)</f>
        <v>0</v>
      </c>
      <c r="R281" s="52" cm="1">
        <f t="array" ref="R281">MMS_Swine_N2ODirect_Equations.VEERG_4_5_1_3__1_TotalAnnualDirectNitrousOxideEmissionsFromMMS(R232, _xlfn.XLOOKUP($E281, $D$152:$D$157, $E$152:$E$157), $G$252)</f>
        <v>0</v>
      </c>
      <c r="S281" s="52" cm="1">
        <f t="array" ref="S281">MMS_Swine_N2ODirect_Equations.VEERG_4_5_1_3__1_TotalAnnualDirectNitrousOxideEmissionsFromMMS(S232, _xlfn.XLOOKUP($E281, $D$152:$D$157, $E$152:$E$157), $G$252)</f>
        <v>0</v>
      </c>
      <c r="T281" s="2" t="str">
        <f t="shared" si="9"/>
        <v>t N2O</v>
      </c>
    </row>
    <row r="282" spans="4:20" ht="20.100000000000001" customHeight="1" x14ac:dyDescent="0.25">
      <c r="D282" s="57"/>
      <c r="E282" s="57" t="str">
        <f>'Input - Swine'!$D$83</f>
        <v>Deep litter</v>
      </c>
      <c r="F282" s="52" cm="1">
        <f t="array" ref="F282">MMS_Swine_N2ODirect_Equations.VEERG_4_5_1_3__1_TotalAnnualDirectNitrousOxideEmissionsFromMMS(F233, _xlfn.XLOOKUP($E282, $D$152:$D$157, $E$152:$E$157), $G$252)</f>
        <v>4.7365069714285705E-4</v>
      </c>
      <c r="G282" s="52" cm="1">
        <f t="array" ref="G282">MMS_Swine_N2ODirect_Equations.VEERG_4_5_1_3__1_TotalAnnualDirectNitrousOxideEmissionsFromMMS(G233, _xlfn.XLOOKUP($E282, $D$152:$D$157, $E$152:$E$157), $G$252)</f>
        <v>6.306762E-4</v>
      </c>
      <c r="H282" s="52" cm="1">
        <f t="array" ref="H282">MMS_Swine_N2ODirect_Equations.VEERG_4_5_1_3__1_TotalAnnualDirectNitrousOxideEmissionsFromMMS(H233, _xlfn.XLOOKUP($E282, $D$152:$D$157, $E$152:$E$157), $G$252)</f>
        <v>5.9206337142857137E-4</v>
      </c>
      <c r="I282" s="52" cm="1">
        <f t="array" ref="I282">MMS_Swine_N2ODirect_Equations.VEERG_4_5_1_3__1_TotalAnnualDirectNitrousOxideEmissionsFromMMS(I233, _xlfn.XLOOKUP($E282, $D$152:$D$157, $E$152:$E$157), $G$252)</f>
        <v>4.0157341714285705E-4</v>
      </c>
      <c r="J282" s="2" t="str">
        <f t="shared" si="8"/>
        <v>t N2O</v>
      </c>
      <c r="N282" s="57"/>
      <c r="O282" s="57" t="str">
        <f>'Input - Swine'!$D$83</f>
        <v>Deep litter</v>
      </c>
      <c r="P282" s="52" cm="1">
        <f t="array" ref="P282">MMS_Swine_N2ODirect_Equations.VEERG_4_5_1_3__1_TotalAnnualDirectNitrousOxideEmissionsFromMMS(P233, _xlfn.XLOOKUP($E282, $D$152:$D$157, $E$152:$E$157), $G$252)</f>
        <v>4.7365069714285705E-4</v>
      </c>
      <c r="Q282" s="52" cm="1">
        <f t="array" ref="Q282">MMS_Swine_N2ODirect_Equations.VEERG_4_5_1_3__1_TotalAnnualDirectNitrousOxideEmissionsFromMMS(Q233, _xlfn.XLOOKUP($E282, $D$152:$D$157, $E$152:$E$157), $G$252)</f>
        <v>6.306762E-4</v>
      </c>
      <c r="R282" s="52" cm="1">
        <f t="array" ref="R282">MMS_Swine_N2ODirect_Equations.VEERG_4_5_1_3__1_TotalAnnualDirectNitrousOxideEmissionsFromMMS(R233, _xlfn.XLOOKUP($E282, $D$152:$D$157, $E$152:$E$157), $G$252)</f>
        <v>5.9206337142857137E-4</v>
      </c>
      <c r="S282" s="52" cm="1">
        <f t="array" ref="S282">MMS_Swine_N2ODirect_Equations.VEERG_4_5_1_3__1_TotalAnnualDirectNitrousOxideEmissionsFromMMS(S233, _xlfn.XLOOKUP($E282, $D$152:$D$157, $E$152:$E$157), $G$252)</f>
        <v>4.0157341714285705E-4</v>
      </c>
      <c r="T282" s="2" t="str">
        <f t="shared" si="9"/>
        <v>t N2O</v>
      </c>
    </row>
    <row r="283" spans="4:20" ht="20.100000000000001" customHeight="1" x14ac:dyDescent="0.25">
      <c r="D283" s="57" t="str">
        <f>'Input - Swine'!$D$34</f>
        <v>Solid storage</v>
      </c>
      <c r="E283" s="57" t="str">
        <f>'Input - Swine'!$D$88</f>
        <v>Anaerobic lagoon</v>
      </c>
      <c r="F283" s="52" cm="1">
        <f t="array" ref="F283">MMS_Swine_N2ODirect_Equations.VEERG_4_5_1_3__1_TotalAnnualDirectNitrousOxideEmissionsFromMMS(F234, _xlfn.XLOOKUP($E283, $D$152:$D$157, $E$152:$E$157), $G$252)</f>
        <v>0</v>
      </c>
      <c r="G283" s="52" cm="1">
        <f t="array" ref="G283">MMS_Swine_N2ODirect_Equations.VEERG_4_5_1_3__1_TotalAnnualDirectNitrousOxideEmissionsFromMMS(G234, _xlfn.XLOOKUP($E283, $D$152:$D$157, $E$152:$E$157), $G$252)</f>
        <v>0</v>
      </c>
      <c r="H283" s="52" cm="1">
        <f t="array" ref="H283">MMS_Swine_N2ODirect_Equations.VEERG_4_5_1_3__1_TotalAnnualDirectNitrousOxideEmissionsFromMMS(H234, _xlfn.XLOOKUP($E283, $D$152:$D$157, $E$152:$E$157), $G$252)</f>
        <v>0</v>
      </c>
      <c r="I283" s="52" cm="1">
        <f t="array" ref="I283">MMS_Swine_N2ODirect_Equations.VEERG_4_5_1_3__1_TotalAnnualDirectNitrousOxideEmissionsFromMMS(I234, _xlfn.XLOOKUP($E283, $D$152:$D$157, $E$152:$E$157), $G$252)</f>
        <v>0</v>
      </c>
      <c r="J283" s="2" t="str">
        <f t="shared" si="8"/>
        <v>t N2O</v>
      </c>
      <c r="N283" s="57" t="str">
        <f>'Input - Swine'!$D$34</f>
        <v>Solid storage</v>
      </c>
      <c r="O283" s="57" t="str">
        <f>'Input - Swine'!$D$88</f>
        <v>Anaerobic lagoon</v>
      </c>
      <c r="P283" s="52" cm="1">
        <f t="array" ref="P283">MMS_Swine_N2ODirect_Equations.VEERG_4_5_1_3__1_TotalAnnualDirectNitrousOxideEmissionsFromMMS(P234, _xlfn.XLOOKUP($E283, $D$152:$D$157, $E$152:$E$157), $G$252)</f>
        <v>0</v>
      </c>
      <c r="Q283" s="52" cm="1">
        <f t="array" ref="Q283">MMS_Swine_N2ODirect_Equations.VEERG_4_5_1_3__1_TotalAnnualDirectNitrousOxideEmissionsFromMMS(Q234, _xlfn.XLOOKUP($E283, $D$152:$D$157, $E$152:$E$157), $G$252)</f>
        <v>0</v>
      </c>
      <c r="R283" s="52" cm="1">
        <f t="array" ref="R283">MMS_Swine_N2ODirect_Equations.VEERG_4_5_1_3__1_TotalAnnualDirectNitrousOxideEmissionsFromMMS(R234, _xlfn.XLOOKUP($E283, $D$152:$D$157, $E$152:$E$157), $G$252)</f>
        <v>0</v>
      </c>
      <c r="S283" s="52" cm="1">
        <f t="array" ref="S283">MMS_Swine_N2ODirect_Equations.VEERG_4_5_1_3__1_TotalAnnualDirectNitrousOxideEmissionsFromMMS(S234, _xlfn.XLOOKUP($E283, $D$152:$D$157, $E$152:$E$157), $G$252)</f>
        <v>0</v>
      </c>
      <c r="T283" s="2" t="str">
        <f t="shared" si="9"/>
        <v>t N2O</v>
      </c>
    </row>
    <row r="284" spans="4:20" ht="20.100000000000001" customHeight="1" x14ac:dyDescent="0.25">
      <c r="D284" s="57"/>
      <c r="E284" s="57" t="str">
        <f>'Input - Swine'!$D$89</f>
        <v>Drylot (feed pad)</v>
      </c>
      <c r="F284" s="52" cm="1">
        <f t="array" ref="F284">MMS_Swine_N2ODirect_Equations.VEERG_4_5_1_3__1_TotalAnnualDirectNitrousOxideEmissionsFromMMS(F235, _xlfn.XLOOKUP($E284, $D$152:$D$157, $E$152:$E$157), $G$252)</f>
        <v>3.3560811428571444E-3</v>
      </c>
      <c r="G284" s="52" cm="1">
        <f t="array" ref="G284">MMS_Swine_N2ODirect_Equations.VEERG_4_5_1_3__1_TotalAnnualDirectNitrousOxideEmissionsFromMMS(G235, _xlfn.XLOOKUP($E284, $D$152:$D$157, $E$152:$E$157), $G$252)</f>
        <v>3.574956000000002E-3</v>
      </c>
      <c r="H284" s="52" cm="1">
        <f t="array" ref="H284">MMS_Swine_N2ODirect_Equations.VEERG_4_5_1_3__1_TotalAnnualDirectNitrousOxideEmissionsFromMMS(H235, _xlfn.XLOOKUP($E284, $D$152:$D$157, $E$152:$E$157), $G$252)</f>
        <v>3.3560811428571444E-3</v>
      </c>
      <c r="I284" s="52" cm="1">
        <f t="array" ref="I284">MMS_Swine_N2ODirect_Equations.VEERG_4_5_1_3__1_TotalAnnualDirectNitrousOxideEmissionsFromMMS(I235, _xlfn.XLOOKUP($E284, $D$152:$D$157, $E$152:$E$157), $G$252)</f>
        <v>2.2762985142857155E-3</v>
      </c>
      <c r="J284" s="2" t="str">
        <f t="shared" si="8"/>
        <v>t N2O</v>
      </c>
      <c r="N284" s="57"/>
      <c r="O284" s="57" t="str">
        <f>'Input - Swine'!$D$89</f>
        <v>Drylot (feed pad)</v>
      </c>
      <c r="P284" s="52" cm="1">
        <f t="array" ref="P284">MMS_Swine_N2ODirect_Equations.VEERG_4_5_1_3__1_TotalAnnualDirectNitrousOxideEmissionsFromMMS(P235, _xlfn.XLOOKUP($E284, $D$152:$D$157, $E$152:$E$157), $G$252)</f>
        <v>3.3560811428571444E-3</v>
      </c>
      <c r="Q284" s="52" cm="1">
        <f t="array" ref="Q284">MMS_Swine_N2ODirect_Equations.VEERG_4_5_1_3__1_TotalAnnualDirectNitrousOxideEmissionsFromMMS(Q235, _xlfn.XLOOKUP($E284, $D$152:$D$157, $E$152:$E$157), $G$252)</f>
        <v>3.574956000000002E-3</v>
      </c>
      <c r="R284" s="52" cm="1">
        <f t="array" ref="R284">MMS_Swine_N2ODirect_Equations.VEERG_4_5_1_3__1_TotalAnnualDirectNitrousOxideEmissionsFromMMS(R235, _xlfn.XLOOKUP($E284, $D$152:$D$157, $E$152:$E$157), $G$252)</f>
        <v>3.3560811428571444E-3</v>
      </c>
      <c r="S284" s="52" cm="1">
        <f t="array" ref="S284">MMS_Swine_N2ODirect_Equations.VEERG_4_5_1_3__1_TotalAnnualDirectNitrousOxideEmissionsFromMMS(S235, _xlfn.XLOOKUP($E284, $D$152:$D$157, $E$152:$E$157), $G$252)</f>
        <v>2.2762985142857155E-3</v>
      </c>
      <c r="T284" s="2" t="str">
        <f t="shared" si="9"/>
        <v>t N2O</v>
      </c>
    </row>
    <row r="285" spans="4:20" ht="20.100000000000001" customHeight="1" x14ac:dyDescent="0.25">
      <c r="D285" s="57"/>
      <c r="E285" s="57" t="str">
        <f>'Input - Swine'!$D$90</f>
        <v>Digester / covered lagoons</v>
      </c>
      <c r="F285" s="52" cm="1">
        <f t="array" ref="F285">MMS_Swine_N2ODirect_Equations.VEERG_4_5_1_3__1_TotalAnnualDirectNitrousOxideEmissionsFromMMS(F236, _xlfn.XLOOKUP($E285, $D$152:$D$157, $E$152:$E$157), $G$252)</f>
        <v>0</v>
      </c>
      <c r="G285" s="52" cm="1">
        <f t="array" ref="G285">MMS_Swine_N2ODirect_Equations.VEERG_4_5_1_3__1_TotalAnnualDirectNitrousOxideEmissionsFromMMS(G236, _xlfn.XLOOKUP($E285, $D$152:$D$157, $E$152:$E$157), $G$252)</f>
        <v>0</v>
      </c>
      <c r="H285" s="52" cm="1">
        <f t="array" ref="H285">MMS_Swine_N2ODirect_Equations.VEERG_4_5_1_3__1_TotalAnnualDirectNitrousOxideEmissionsFromMMS(H236, _xlfn.XLOOKUP($E285, $D$152:$D$157, $E$152:$E$157), $G$252)</f>
        <v>0</v>
      </c>
      <c r="I285" s="52" cm="1">
        <f t="array" ref="I285">MMS_Swine_N2ODirect_Equations.VEERG_4_5_1_3__1_TotalAnnualDirectNitrousOxideEmissionsFromMMS(I236, _xlfn.XLOOKUP($E285, $D$152:$D$157, $E$152:$E$157), $G$252)</f>
        <v>0</v>
      </c>
      <c r="J285" s="2" t="str">
        <f t="shared" si="8"/>
        <v>t N2O</v>
      </c>
      <c r="N285" s="57"/>
      <c r="O285" s="57" t="str">
        <f>'Input - Swine'!$D$90</f>
        <v>Digester / covered lagoons</v>
      </c>
      <c r="P285" s="52" cm="1">
        <f t="array" ref="P285">MMS_Swine_N2ODirect_Equations.VEERG_4_5_1_3__1_TotalAnnualDirectNitrousOxideEmissionsFromMMS(P236, _xlfn.XLOOKUP($E285, $D$152:$D$157, $E$152:$E$157), $G$252)</f>
        <v>0</v>
      </c>
      <c r="Q285" s="52" cm="1">
        <f t="array" ref="Q285">MMS_Swine_N2ODirect_Equations.VEERG_4_5_1_3__1_TotalAnnualDirectNitrousOxideEmissionsFromMMS(Q236, _xlfn.XLOOKUP($E285, $D$152:$D$157, $E$152:$E$157), $G$252)</f>
        <v>0</v>
      </c>
      <c r="R285" s="52" cm="1">
        <f t="array" ref="R285">MMS_Swine_N2ODirect_Equations.VEERG_4_5_1_3__1_TotalAnnualDirectNitrousOxideEmissionsFromMMS(R236, _xlfn.XLOOKUP($E285, $D$152:$D$157, $E$152:$E$157), $G$252)</f>
        <v>0</v>
      </c>
      <c r="S285" s="52" cm="1">
        <f t="array" ref="S285">MMS_Swine_N2ODirect_Equations.VEERG_4_5_1_3__1_TotalAnnualDirectNitrousOxideEmissionsFromMMS(S236, _xlfn.XLOOKUP($E285, $D$152:$D$157, $E$152:$E$157), $G$252)</f>
        <v>0</v>
      </c>
      <c r="T285" s="2" t="str">
        <f t="shared" si="9"/>
        <v>t N2O</v>
      </c>
    </row>
    <row r="286" spans="4:20" ht="20.100000000000001" customHeight="1" x14ac:dyDescent="0.25">
      <c r="D286" s="57"/>
      <c r="E286" s="57" t="str">
        <f>'Input - Swine'!$D$91</f>
        <v>Deep litter</v>
      </c>
      <c r="F286" s="52" cm="1">
        <f t="array" ref="F286">MMS_Swine_N2ODirect_Equations.VEERG_4_5_1_3__1_TotalAnnualDirectNitrousOxideEmissionsFromMMS(F237, _xlfn.XLOOKUP($E286, $D$152:$D$157, $E$152:$E$157), $G$252)</f>
        <v>1.6780405714285722E-3</v>
      </c>
      <c r="G286" s="52" cm="1">
        <f t="array" ref="G286">MMS_Swine_N2ODirect_Equations.VEERG_4_5_1_3__1_TotalAnnualDirectNitrousOxideEmissionsFromMMS(G237, _xlfn.XLOOKUP($E286, $D$152:$D$157, $E$152:$E$157), $G$252)</f>
        <v>1.787478000000001E-3</v>
      </c>
      <c r="H286" s="52" cm="1">
        <f t="array" ref="H286">MMS_Swine_N2ODirect_Equations.VEERG_4_5_1_3__1_TotalAnnualDirectNitrousOxideEmissionsFromMMS(H237, _xlfn.XLOOKUP($E286, $D$152:$D$157, $E$152:$E$157), $G$252)</f>
        <v>1.6780405714285722E-3</v>
      </c>
      <c r="I286" s="52" cm="1">
        <f t="array" ref="I286">MMS_Swine_N2ODirect_Equations.VEERG_4_5_1_3__1_TotalAnnualDirectNitrousOxideEmissionsFromMMS(I237, _xlfn.XLOOKUP($E286, $D$152:$D$157, $E$152:$E$157), $G$252)</f>
        <v>1.1381492571428578E-3</v>
      </c>
      <c r="J286" s="2" t="str">
        <f t="shared" si="8"/>
        <v>t N2O</v>
      </c>
      <c r="N286" s="57"/>
      <c r="O286" s="57" t="str">
        <f>'Input - Swine'!$D$91</f>
        <v>Deep litter</v>
      </c>
      <c r="P286" s="52" cm="1">
        <f t="array" ref="P286">MMS_Swine_N2ODirect_Equations.VEERG_4_5_1_3__1_TotalAnnualDirectNitrousOxideEmissionsFromMMS(P237, _xlfn.XLOOKUP($E286, $D$152:$D$157, $E$152:$E$157), $G$252)</f>
        <v>1.6780405714285722E-3</v>
      </c>
      <c r="Q286" s="52" cm="1">
        <f t="array" ref="Q286">MMS_Swine_N2ODirect_Equations.VEERG_4_5_1_3__1_TotalAnnualDirectNitrousOxideEmissionsFromMMS(Q237, _xlfn.XLOOKUP($E286, $D$152:$D$157, $E$152:$E$157), $G$252)</f>
        <v>1.787478000000001E-3</v>
      </c>
      <c r="R286" s="52" cm="1">
        <f t="array" ref="R286">MMS_Swine_N2ODirect_Equations.VEERG_4_5_1_3__1_TotalAnnualDirectNitrousOxideEmissionsFromMMS(R237, _xlfn.XLOOKUP($E286, $D$152:$D$157, $E$152:$E$157), $G$252)</f>
        <v>1.6780405714285722E-3</v>
      </c>
      <c r="S286" s="52" cm="1">
        <f t="array" ref="S286">MMS_Swine_N2ODirect_Equations.VEERG_4_5_1_3__1_TotalAnnualDirectNitrousOxideEmissionsFromMMS(S237, _xlfn.XLOOKUP($E286, $D$152:$D$157, $E$152:$E$157), $G$252)</f>
        <v>1.1381492571428578E-3</v>
      </c>
      <c r="T286" s="2" t="str">
        <f t="shared" si="9"/>
        <v>t N2O</v>
      </c>
    </row>
    <row r="287" spans="4:20" ht="20.100000000000001" customHeight="1" x14ac:dyDescent="0.25">
      <c r="D287" s="57"/>
      <c r="E287" s="57" t="str">
        <f>'Input - Swine'!$D$92</f>
        <v>Pit storage</v>
      </c>
      <c r="F287" s="52" cm="1">
        <f t="array" ref="F287">MMS_Swine_N2ODirect_Equations.VEERG_4_5_1_3__1_TotalAnnualDirectNitrousOxideEmissionsFromMMS(F238, _xlfn.XLOOKUP($E287, $D$152:$D$157, $E$152:$E$157), $G$252)</f>
        <v>1.6780405714285717E-4</v>
      </c>
      <c r="G287" s="52" cm="1">
        <f t="array" ref="G287">MMS_Swine_N2ODirect_Equations.VEERG_4_5_1_3__1_TotalAnnualDirectNitrousOxideEmissionsFromMMS(G238, _xlfn.XLOOKUP($E287, $D$152:$D$157, $E$152:$E$157), $G$252)</f>
        <v>1.7874780000000013E-4</v>
      </c>
      <c r="H287" s="52" cm="1">
        <f t="array" ref="H287">MMS_Swine_N2ODirect_Equations.VEERG_4_5_1_3__1_TotalAnnualDirectNitrousOxideEmissionsFromMMS(H238, _xlfn.XLOOKUP($E287, $D$152:$D$157, $E$152:$E$157), $G$252)</f>
        <v>1.6780405714285717E-4</v>
      </c>
      <c r="I287" s="52" cm="1">
        <f t="array" ref="I287">MMS_Swine_N2ODirect_Equations.VEERG_4_5_1_3__1_TotalAnnualDirectNitrousOxideEmissionsFromMMS(I238, _xlfn.XLOOKUP($E287, $D$152:$D$157, $E$152:$E$157), $G$252)</f>
        <v>1.1381492571428576E-4</v>
      </c>
      <c r="J287" s="2" t="str">
        <f t="shared" si="8"/>
        <v>t N2O</v>
      </c>
      <c r="N287" s="57"/>
      <c r="O287" s="57" t="str">
        <f>'Input - Swine'!$D$92</f>
        <v>Pit storage</v>
      </c>
      <c r="P287" s="52" cm="1">
        <f t="array" ref="P287">MMS_Swine_N2ODirect_Equations.VEERG_4_5_1_3__1_TotalAnnualDirectNitrousOxideEmissionsFromMMS(P238, _xlfn.XLOOKUP($E287, $D$152:$D$157, $E$152:$E$157), $G$252)</f>
        <v>1.6780405714285717E-4</v>
      </c>
      <c r="Q287" s="52" cm="1">
        <f t="array" ref="Q287">MMS_Swine_N2ODirect_Equations.VEERG_4_5_1_3__1_TotalAnnualDirectNitrousOxideEmissionsFromMMS(Q238, _xlfn.XLOOKUP($E287, $D$152:$D$157, $E$152:$E$157), $G$252)</f>
        <v>1.7874780000000013E-4</v>
      </c>
      <c r="R287" s="52" cm="1">
        <f t="array" ref="R287">MMS_Swine_N2ODirect_Equations.VEERG_4_5_1_3__1_TotalAnnualDirectNitrousOxideEmissionsFromMMS(R238, _xlfn.XLOOKUP($E287, $D$152:$D$157, $E$152:$E$157), $G$252)</f>
        <v>1.6780405714285717E-4</v>
      </c>
      <c r="S287" s="52" cm="1">
        <f t="array" ref="S287">MMS_Swine_N2ODirect_Equations.VEERG_4_5_1_3__1_TotalAnnualDirectNitrousOxideEmissionsFromMMS(S238, _xlfn.XLOOKUP($E287, $D$152:$D$157, $E$152:$E$157), $G$252)</f>
        <v>1.1381492571428576E-4</v>
      </c>
      <c r="T287" s="2" t="str">
        <f t="shared" si="9"/>
        <v>t N2O</v>
      </c>
    </row>
    <row r="288" spans="4:20" ht="20.100000000000001" customHeight="1" x14ac:dyDescent="0.25"/>
    <row r="289" spans="4:17" ht="20.100000000000001" customHeight="1" x14ac:dyDescent="0.25">
      <c r="D289" s="101" t="s">
        <v>104</v>
      </c>
      <c r="E289" s="102">
        <f>SUM(F257:I287)</f>
        <v>0.10408854347571431</v>
      </c>
      <c r="F289" s="103" t="str">
        <f>$E$248</f>
        <v>t N2O</v>
      </c>
      <c r="N289" s="101" t="s">
        <v>104</v>
      </c>
      <c r="O289" s="102">
        <f>SUM(P257:S287)</f>
        <v>0.10408854347571431</v>
      </c>
      <c r="P289" s="103" t="str">
        <f>$E$248</f>
        <v>t N2O</v>
      </c>
    </row>
    <row r="290" spans="4:17" ht="20.100000000000001" customHeight="1" x14ac:dyDescent="0.25"/>
    <row r="291" spans="4:17" ht="20.100000000000001" customHeight="1" x14ac:dyDescent="0.25">
      <c r="D291" s="57" t="str" cm="1">
        <f t="array" ref="D291:E292">Common_Equations.Common_ConvertN2OToCO2e_Arguments()</f>
        <v>EN2O</v>
      </c>
      <c r="E291" s="58" t="str">
        <v>Nitrous oxide emissions (t N2O)</v>
      </c>
      <c r="F291" s="104"/>
      <c r="G291" s="52">
        <f>E289</f>
        <v>0.10408854347571431</v>
      </c>
      <c r="N291" s="57" t="str" cm="1">
        <f t="array" ref="N291:O292">Common_Equations.Common_ConvertN2OToCO2e_Arguments()</f>
        <v>EN2O</v>
      </c>
      <c r="O291" s="58" t="str">
        <v>Nitrous oxide emissions (t N2O)</v>
      </c>
      <c r="P291" s="104"/>
      <c r="Q291" s="52">
        <f>O289</f>
        <v>0.10408854347571431</v>
      </c>
    </row>
    <row r="292" spans="4:17" x14ac:dyDescent="0.25">
      <c r="D292" s="57" t="str">
        <v>GWPN2O</v>
      </c>
      <c r="E292" s="58" t="str">
        <v>Global warming potential for nitrous oxide (t CO2-e / t N2O)</v>
      </c>
      <c r="F292" s="104"/>
      <c r="G292" s="52">
        <f>Common_InputFunctions.Utility_LookupValueInTableNumber("N2O",[1]!Table_GWPData[Gas],[1]!Table_GWPData[CO2-e factor])</f>
        <v>265</v>
      </c>
      <c r="N292" s="57" t="str">
        <v>GWPN2O</v>
      </c>
      <c r="O292" s="58" t="str">
        <v>Global warming potential for nitrous oxide (t CO2-e / t N2O)</v>
      </c>
      <c r="P292" s="104"/>
      <c r="Q292" s="52">
        <f>Common_InputFunctions.Utility_LookupValueInTableNumber("N2O",[1]!Table_GWPData[Gas],[1]!Table_GWPData[CO2-e factor])</f>
        <v>265</v>
      </c>
    </row>
    <row r="294" spans="4:17" ht="18.75" x14ac:dyDescent="0.25">
      <c r="D294" s="45" t="s">
        <v>101</v>
      </c>
      <c r="E294" s="45" cm="1">
        <f t="array" ref="E294">Common_Equations.Common_ConvertN2OToCO2e(G291,G292)</f>
        <v>27.583464021064291</v>
      </c>
      <c r="F294" s="105" t="str" cm="1">
        <f t="array" ref="F294">Common_Equations.Common_ConvertN2OToCO2e_Unit()</f>
        <v>t CO2e</v>
      </c>
      <c r="N294" s="45" t="s">
        <v>101</v>
      </c>
      <c r="O294" s="45" cm="1">
        <f t="array" ref="O294">Common_Equations.Common_ConvertN2OToCO2e(Q291,Q292)</f>
        <v>27.583464021064291</v>
      </c>
      <c r="P294" s="105" t="str" cm="1">
        <f t="array" ref="P294">Common_Equations.Common_ConvertN2OToCO2e_Unit()</f>
        <v>t CO2e</v>
      </c>
    </row>
  </sheetData>
  <dataValidations count="1">
    <dataValidation operator="equal" allowBlank="1" showInputMessage="1" showErrorMessage="1" sqref="E18 E239 E28 E33 J101 F193:I196 J106 E23 U126 O114:T114 U103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V165"/>
  <sheetViews>
    <sheetView showGridLines="0" topLeftCell="A22" workbookViewId="0">
      <selection activeCell="I47" sqref="I47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1" width="30.7109375" style="1" customWidth="1"/>
    <col min="22" max="22" width="4.7109375" style="1" customWidth="1"/>
  </cols>
  <sheetData>
    <row r="1" spans="1:22" s="8" customFormat="1" ht="30" customHeight="1" x14ac:dyDescent="0.35">
      <c r="A1" s="8" t="e" vm="1">
        <v>#VALUE!</v>
      </c>
      <c r="C1" s="8" t="s">
        <v>356</v>
      </c>
      <c r="L1"/>
    </row>
    <row r="2" spans="1:22" s="9" customFormat="1" ht="20.100000000000001" customHeight="1" x14ac:dyDescent="0.25">
      <c r="L2"/>
    </row>
    <row r="3" spans="1:22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  <c r="V3" s="4"/>
    </row>
    <row r="4" spans="1:22" ht="20.100000000000001" customHeight="1" x14ac:dyDescent="0.25">
      <c r="A4" s="17" t="str">
        <f>HYPERLINK("#'Results'!A1", "Results")</f>
        <v>Results</v>
      </c>
    </row>
    <row r="5" spans="1:22" ht="20.100000000000001" customHeight="1" x14ac:dyDescent="0.25">
      <c r="A5" s="16"/>
      <c r="D5" s="6" t="str" cm="1">
        <f t="array" ref="D5">MMS_Swine_AtmosphericDeposition_Equations.VEERG_4_5_1_5__2_TotalNitrogenVolatilisedFromMMS_Title()</f>
        <v>Total nitrogen volatilised from MMS</v>
      </c>
    </row>
    <row r="6" spans="1:22" ht="20.100000000000001" customHeight="1" x14ac:dyDescent="0.25">
      <c r="A6" s="20" t="s">
        <v>3</v>
      </c>
      <c r="D6" s="5" t="str" cm="1">
        <f t="array" ref="D6">MMS_Swine_AtmosphericDeposition_Equations.VEERG_4_5_1_5__2_TotalNitrogenVolatilisedFromMMS_Source()</f>
        <v>VEERG 2026: 4.5.1.1, Equation (2)</v>
      </c>
    </row>
    <row r="7" spans="1:22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Common_InputFunctions.Utility_DisplayFunctionName(F68)</f>
        <v>=MMS_Swine_AtmosphericDeposition_Equations.VEERG_4_5_1_5__2_TotalNitrogenVolatilisedFromMMS</v>
      </c>
    </row>
    <row r="8" spans="1:22" ht="20.100000000000001" customHeight="1" x14ac:dyDescent="0.25">
      <c r="A8" s="17" t="str">
        <f>HYPERLINK("#'Input - Swine'!A1", "Swine")</f>
        <v>Swine</v>
      </c>
    </row>
    <row r="9" spans="1:22" ht="20.100000000000001" customHeight="1" x14ac:dyDescent="0.25">
      <c r="A9" s="17"/>
    </row>
    <row r="10" spans="1:22" ht="20.100000000000001" customHeight="1" x14ac:dyDescent="0.25">
      <c r="A10" s="19" t="s">
        <v>76</v>
      </c>
      <c r="D10" s="53" t="s">
        <v>29</v>
      </c>
      <c r="E10" s="1" t="str" cm="1">
        <f t="array" ref="E10">MMS_Swine_AtmosphericDeposition_Equations.VEERG_4_5_1_5__2_TotalNitrogenVolatilisedFromMMS_Variable()</f>
        <v>MMS_ATMOS</v>
      </c>
    </row>
    <row r="11" spans="1:22" ht="20.100000000000001" customHeight="1" x14ac:dyDescent="0.25">
      <c r="A11" s="17" t="str">
        <f>HYPERLINK("#'4.2.1.1-2 Methane'!A1", "4.2.1.1-2 Methane")</f>
        <v>4.2.1.1-2 Methane</v>
      </c>
      <c r="D11" s="53" t="s">
        <v>19</v>
      </c>
      <c r="E11" s="54" t="str" cm="1">
        <f t="array" ref="E11">MMS_Swine_AtmosphericDeposition_Equations.VEERG_4_5_1_5__2_TotalNitrogenVolatilisedFromMMS_Unit()</f>
        <v>kg N</v>
      </c>
    </row>
    <row r="12" spans="1:22" ht="20.100000000000001" customHeight="1" x14ac:dyDescent="0.25">
      <c r="A12" s="17" t="str">
        <f>HYPERLINK("#'4.2.1.3-4 Soil direct N2O'!A1", "4.2.1.3-4 Soil direct N2O")</f>
        <v>4.2.1.3-4 Soil direct N2O</v>
      </c>
    </row>
    <row r="13" spans="1:22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4">MMS_Swine_AtmosphericDeposition_Equations.VEERG_4_5_1_5__2_TotalNitrogenVolatilisedFromMMS_Arguments()</f>
        <v>MN_jmT</v>
      </c>
      <c r="E13" s="58" t="str">
        <v>nitrogen per swine class, MMS and treatment stage (kg N)</v>
      </c>
      <c r="F13" s="59"/>
      <c r="G13" s="58" t="str">
        <f>"See " &amp; D16 &amp; " and " &amp; D26</f>
        <v>See M1_Table_MN_j_m_T-1 and M1_Table_MN_j_m_T-2</v>
      </c>
      <c r="H13" s="59"/>
    </row>
    <row r="14" spans="1:22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FracGASMmT</v>
      </c>
      <c r="E14" s="58" t="str">
        <v>fraction of N volatilised in each MMS ((kg NH3-N + NOx-N)/kg N)</v>
      </c>
      <c r="F14" s="59"/>
      <c r="G14" s="58" t="str">
        <f>"See " &amp; D55</f>
        <v>See Table_FracGASM_m_t-1</v>
      </c>
      <c r="H14" s="59"/>
    </row>
    <row r="15" spans="1:22" ht="20.100000000000001" customHeight="1" x14ac:dyDescent="0.25">
      <c r="A15" s="17"/>
    </row>
    <row r="16" spans="1:22" ht="20.100000000000001" customHeight="1" x14ac:dyDescent="0.25">
      <c r="A16" s="18" t="s">
        <v>4</v>
      </c>
      <c r="D16" s="121" t="s">
        <v>311</v>
      </c>
      <c r="N16" s="121" t="s">
        <v>311</v>
      </c>
    </row>
    <row r="17" spans="1:22" ht="20.100000000000001" customHeight="1" x14ac:dyDescent="0.25">
      <c r="A17" s="17" t="str">
        <f>HYPERLINK("#'Constants - Swine'!A1", "Constants - Swine")</f>
        <v>Constants - Swine</v>
      </c>
      <c r="D17" s="122" t="s">
        <v>312</v>
      </c>
      <c r="N17" s="122" t="s">
        <v>312</v>
      </c>
    </row>
    <row r="18" spans="1:22" ht="20.100000000000001" customHeight="1" x14ac:dyDescent="0.25">
      <c r="A18" s="17" t="str">
        <f>HYPERLINK("#'Constants - Livestock'!A1", "Constants - Livestock")</f>
        <v>Constants - Livestock</v>
      </c>
      <c r="D18" s="51" t="s">
        <v>172</v>
      </c>
      <c r="E18" s="51" t="s">
        <v>146</v>
      </c>
      <c r="F18" s="51" t="s">
        <v>147</v>
      </c>
      <c r="G18" s="51" t="s">
        <v>148</v>
      </c>
      <c r="H18" s="51" t="s">
        <v>266</v>
      </c>
      <c r="N18" s="51" t="s">
        <v>172</v>
      </c>
      <c r="O18" s="51" t="s">
        <v>146</v>
      </c>
      <c r="P18" s="51" t="s">
        <v>147</v>
      </c>
      <c r="Q18" s="51" t="s">
        <v>148</v>
      </c>
      <c r="R18" s="51" t="s">
        <v>266</v>
      </c>
    </row>
    <row r="19" spans="1:22" ht="20.100000000000001" customHeight="1" x14ac:dyDescent="0.25">
      <c r="A19" s="17" t="str">
        <f>HYPERLINK("#'Constants - Common'!A1", "Constants - Common")</f>
        <v>Constants - Common</v>
      </c>
      <c r="D19" s="57" t="str">
        <f>'Input - Swine'!$D$29</f>
        <v>Anaerobic lagoon</v>
      </c>
      <c r="E19" s="52">
        <f>'4.5.1.3-4 Direct N20'!E118</f>
        <v>201.47999999999996</v>
      </c>
      <c r="F19" s="52">
        <f>'4.5.1.3-4 Direct N20'!F118</f>
        <v>214.62000000000003</v>
      </c>
      <c r="G19" s="52">
        <f>'4.5.1.3-4 Direct N20'!G118</f>
        <v>201.47999999999996</v>
      </c>
      <c r="H19" s="52">
        <f>'4.5.1.3-4 Direct N20'!H118</f>
        <v>136.65599999999998</v>
      </c>
      <c r="I19" s="2" t="str">
        <f>'4.5.1.3-4 Direct N20'!I118</f>
        <v>kg N</v>
      </c>
      <c r="N19" s="57" t="str">
        <f>'Input - Swine'!$D$29</f>
        <v>Anaerobic lagoon</v>
      </c>
      <c r="O19" s="52">
        <f>'4.5.1.3-4 Direct N20'!O118</f>
        <v>201.47999999999996</v>
      </c>
      <c r="P19" s="52">
        <f>'4.5.1.3-4 Direct N20'!P118</f>
        <v>214.62000000000003</v>
      </c>
      <c r="Q19" s="52">
        <f>'4.5.1.3-4 Direct N20'!Q118</f>
        <v>201.47999999999996</v>
      </c>
      <c r="R19" s="52">
        <f>'4.5.1.3-4 Direct N20'!R118</f>
        <v>136.65599999999998</v>
      </c>
      <c r="S19" s="2" t="str">
        <f>'4.5.1.3-4 Direct N20'!S118</f>
        <v>kg N</v>
      </c>
      <c r="V19" s="45"/>
    </row>
    <row r="20" spans="1:22" ht="20.100000000000001" customHeight="1" x14ac:dyDescent="0.25">
      <c r="A20" s="17" t="str">
        <f>HYPERLINK("#'Acknowledgements'!A1", "Acknowledgements")</f>
        <v>Acknowledgements</v>
      </c>
      <c r="D20" s="57" t="str">
        <f>'Input - Swine'!$D$30</f>
        <v>Drylot (feed pad)</v>
      </c>
      <c r="E20" s="52">
        <f>'4.5.1.3-4 Direct N20'!E119</f>
        <v>201.47999999999996</v>
      </c>
      <c r="F20" s="52">
        <f>'4.5.1.3-4 Direct N20'!F119</f>
        <v>214.62000000000003</v>
      </c>
      <c r="G20" s="52">
        <f>'4.5.1.3-4 Direct N20'!G119</f>
        <v>201.47999999999996</v>
      </c>
      <c r="H20" s="52">
        <f>'4.5.1.3-4 Direct N20'!H119</f>
        <v>136.65599999999998</v>
      </c>
      <c r="I20" s="2" t="str">
        <f>'4.5.1.3-4 Direct N20'!I119</f>
        <v>kg N</v>
      </c>
      <c r="N20" s="57" t="str">
        <f>'Input - Swine'!$D$30</f>
        <v>Drylot (feed pad)</v>
      </c>
      <c r="O20" s="52">
        <f>'4.5.1.3-4 Direct N20'!O119</f>
        <v>201.47999999999996</v>
      </c>
      <c r="P20" s="52">
        <f>'4.5.1.3-4 Direct N20'!P119</f>
        <v>214.62000000000003</v>
      </c>
      <c r="Q20" s="52">
        <f>'4.5.1.3-4 Direct N20'!Q119</f>
        <v>201.47999999999996</v>
      </c>
      <c r="R20" s="52">
        <f>'4.5.1.3-4 Direct N20'!R119</f>
        <v>136.65599999999998</v>
      </c>
      <c r="S20" s="2" t="str">
        <f>'4.5.1.3-4 Direct N20'!S119</f>
        <v>kg N</v>
      </c>
    </row>
    <row r="21" spans="1:22" ht="20.100000000000001" customHeight="1" x14ac:dyDescent="0.25">
      <c r="D21" s="57" t="str">
        <f>'Input - Swine'!$D$31</f>
        <v>Digester / covered lagoons</v>
      </c>
      <c r="E21" s="52">
        <f>'4.5.1.3-4 Direct N20'!E120</f>
        <v>201.47999999999996</v>
      </c>
      <c r="F21" s="52">
        <f>'4.5.1.3-4 Direct N20'!F120</f>
        <v>214.62000000000003</v>
      </c>
      <c r="G21" s="52">
        <f>'4.5.1.3-4 Direct N20'!G120</f>
        <v>201.47999999999996</v>
      </c>
      <c r="H21" s="52">
        <f>'4.5.1.3-4 Direct N20'!H120</f>
        <v>136.65599999999998</v>
      </c>
      <c r="I21" s="2" t="str">
        <f>'4.5.1.3-4 Direct N20'!I120</f>
        <v>kg N</v>
      </c>
      <c r="N21" s="57" t="str">
        <f>'Input - Swine'!$D$31</f>
        <v>Digester / covered lagoons</v>
      </c>
      <c r="O21" s="52">
        <f>'4.5.1.3-4 Direct N20'!O120</f>
        <v>201.47999999999996</v>
      </c>
      <c r="P21" s="52">
        <f>'4.5.1.3-4 Direct N20'!P120</f>
        <v>214.62000000000003</v>
      </c>
      <c r="Q21" s="52">
        <f>'4.5.1.3-4 Direct N20'!Q120</f>
        <v>201.47999999999996</v>
      </c>
      <c r="R21" s="52">
        <f>'4.5.1.3-4 Direct N20'!R120</f>
        <v>136.65599999999998</v>
      </c>
      <c r="S21" s="2" t="str">
        <f>'4.5.1.3-4 Direct N20'!S120</f>
        <v>kg N</v>
      </c>
    </row>
    <row r="22" spans="1:22" ht="20.100000000000001" customHeight="1" x14ac:dyDescent="0.25">
      <c r="A22" s="17"/>
      <c r="D22" s="57" t="str">
        <f>'Input - Swine'!$D$32</f>
        <v>Deep litter</v>
      </c>
      <c r="E22" s="52">
        <f>'4.5.1.3-4 Direct N20'!E121</f>
        <v>201.47999999999996</v>
      </c>
      <c r="F22" s="52">
        <f>'4.5.1.3-4 Direct N20'!F121</f>
        <v>214.62000000000003</v>
      </c>
      <c r="G22" s="52">
        <f>'4.5.1.3-4 Direct N20'!G121</f>
        <v>201.47999999999996</v>
      </c>
      <c r="H22" s="52">
        <f>'4.5.1.3-4 Direct N20'!H121</f>
        <v>136.65599999999998</v>
      </c>
      <c r="I22" s="2" t="str">
        <f>'4.5.1.3-4 Direct N20'!I121</f>
        <v>kg N</v>
      </c>
      <c r="N22" s="57" t="str">
        <f>'Input - Swine'!$D$32</f>
        <v>Deep litter</v>
      </c>
      <c r="O22" s="52">
        <f>'4.5.1.3-4 Direct N20'!O121</f>
        <v>201.47999999999996</v>
      </c>
      <c r="P22" s="52">
        <f>'4.5.1.3-4 Direct N20'!P121</f>
        <v>214.62000000000003</v>
      </c>
      <c r="Q22" s="52">
        <f>'4.5.1.3-4 Direct N20'!Q121</f>
        <v>201.47999999999996</v>
      </c>
      <c r="R22" s="52">
        <f>'4.5.1.3-4 Direct N20'!R121</f>
        <v>136.65599999999998</v>
      </c>
      <c r="S22" s="2" t="str">
        <f>'4.5.1.3-4 Direct N20'!S121</f>
        <v>kg N</v>
      </c>
    </row>
    <row r="23" spans="1:22" ht="20.100000000000001" customHeight="1" x14ac:dyDescent="0.25">
      <c r="A23" s="17"/>
      <c r="D23" s="57" t="str">
        <f>'Input - Swine'!$D$33</f>
        <v>Pit storage</v>
      </c>
      <c r="E23" s="52">
        <f>'4.5.1.3-4 Direct N20'!E122</f>
        <v>201.47999999999996</v>
      </c>
      <c r="F23" s="52">
        <f>'4.5.1.3-4 Direct N20'!F122</f>
        <v>214.62000000000003</v>
      </c>
      <c r="G23" s="52">
        <f>'4.5.1.3-4 Direct N20'!G122</f>
        <v>201.47999999999996</v>
      </c>
      <c r="H23" s="52">
        <f>'4.5.1.3-4 Direct N20'!H122</f>
        <v>136.65599999999998</v>
      </c>
      <c r="I23" s="2" t="str">
        <f>'4.5.1.3-4 Direct N20'!I122</f>
        <v>kg N</v>
      </c>
      <c r="N23" s="57" t="str">
        <f>'Input - Swine'!$D$33</f>
        <v>Pit storage</v>
      </c>
      <c r="O23" s="52">
        <f>'4.5.1.3-4 Direct N20'!O122</f>
        <v>201.47999999999996</v>
      </c>
      <c r="P23" s="52">
        <f>'4.5.1.3-4 Direct N20'!P122</f>
        <v>214.62000000000003</v>
      </c>
      <c r="Q23" s="52">
        <f>'4.5.1.3-4 Direct N20'!Q122</f>
        <v>201.47999999999996</v>
      </c>
      <c r="R23" s="52">
        <f>'4.5.1.3-4 Direct N20'!R122</f>
        <v>136.65599999999998</v>
      </c>
      <c r="S23" s="2" t="str">
        <f>'4.5.1.3-4 Direct N20'!S122</f>
        <v>kg N</v>
      </c>
    </row>
    <row r="24" spans="1:22" ht="20.100000000000001" customHeight="1" x14ac:dyDescent="0.25">
      <c r="A24" s="17"/>
      <c r="D24" s="57" t="str">
        <f>'Input - Swine'!$D$34</f>
        <v>Solid storage</v>
      </c>
      <c r="E24" s="52">
        <f>'4.5.1.3-4 Direct N20'!E123</f>
        <v>671.60000000000014</v>
      </c>
      <c r="F24" s="52">
        <f>'4.5.1.3-4 Direct N20'!F123</f>
        <v>715.40000000000032</v>
      </c>
      <c r="G24" s="52">
        <f>'4.5.1.3-4 Direct N20'!G123</f>
        <v>671.60000000000014</v>
      </c>
      <c r="H24" s="52">
        <f>'4.5.1.3-4 Direct N20'!H123</f>
        <v>455.52000000000015</v>
      </c>
      <c r="I24" s="2" t="str">
        <f>'4.5.1.3-4 Direct N20'!I123</f>
        <v>kg N</v>
      </c>
      <c r="N24" s="57" t="str">
        <f>'Input - Swine'!$D$34</f>
        <v>Solid storage</v>
      </c>
      <c r="O24" s="52">
        <f>'4.5.1.3-4 Direct N20'!O123</f>
        <v>671.60000000000014</v>
      </c>
      <c r="P24" s="52">
        <f>'4.5.1.3-4 Direct N20'!P123</f>
        <v>715.40000000000032</v>
      </c>
      <c r="Q24" s="52">
        <f>'4.5.1.3-4 Direct N20'!Q123</f>
        <v>671.60000000000014</v>
      </c>
      <c r="R24" s="52">
        <f>'4.5.1.3-4 Direct N20'!R123</f>
        <v>455.52000000000015</v>
      </c>
      <c r="S24" s="2" t="str">
        <f>'4.5.1.3-4 Direct N20'!S123</f>
        <v>kg N</v>
      </c>
    </row>
    <row r="25" spans="1:22" ht="20.100000000000001" customHeight="1" x14ac:dyDescent="0.25"/>
    <row r="26" spans="1:22" ht="20.100000000000001" customHeight="1" x14ac:dyDescent="0.25">
      <c r="D26" s="121" t="s">
        <v>323</v>
      </c>
      <c r="N26" s="121" t="s">
        <v>323</v>
      </c>
    </row>
    <row r="27" spans="1:22" ht="20.100000000000001" customHeight="1" x14ac:dyDescent="0.25">
      <c r="D27" s="122" t="s">
        <v>324</v>
      </c>
      <c r="N27" s="122" t="s">
        <v>324</v>
      </c>
    </row>
    <row r="28" spans="1:22" ht="20.100000000000001" customHeight="1" x14ac:dyDescent="0.25">
      <c r="D28" s="51" t="s">
        <v>172</v>
      </c>
      <c r="E28" s="51" t="s">
        <v>209</v>
      </c>
      <c r="F28" s="51" t="s">
        <v>146</v>
      </c>
      <c r="G28" s="51" t="s">
        <v>147</v>
      </c>
      <c r="H28" s="51" t="s">
        <v>148</v>
      </c>
      <c r="I28" s="51" t="s">
        <v>266</v>
      </c>
      <c r="N28" s="51" t="s">
        <v>172</v>
      </c>
      <c r="O28" s="51" t="s">
        <v>209</v>
      </c>
      <c r="P28" s="51" t="s">
        <v>146</v>
      </c>
      <c r="Q28" s="51" t="s">
        <v>147</v>
      </c>
      <c r="R28" s="51" t="s">
        <v>148</v>
      </c>
      <c r="S28" s="51" t="s">
        <v>266</v>
      </c>
    </row>
    <row r="29" spans="1:22" ht="20.100000000000001" customHeight="1" x14ac:dyDescent="0.25">
      <c r="D29" s="57" t="str">
        <f>'Input - Swine'!$D$29</f>
        <v>Anaerobic lagoon</v>
      </c>
      <c r="E29" s="57" t="str">
        <f>'Input - Swine'!$D$48</f>
        <v>Drylot (feed pad)</v>
      </c>
      <c r="F29" s="52">
        <f>'4.5.1.3-4 Direct N20'!F214</f>
        <v>18.133199999999995</v>
      </c>
      <c r="G29" s="52">
        <f>'4.5.1.3-4 Direct N20'!G214</f>
        <v>24.144750000000002</v>
      </c>
      <c r="H29" s="52">
        <f>'4.5.1.3-4 Direct N20'!H214</f>
        <v>22.666499999999992</v>
      </c>
      <c r="I29" s="52">
        <f>'4.5.1.3-4 Direct N20'!I214</f>
        <v>15.373799999999996</v>
      </c>
      <c r="J29" s="2" t="str">
        <f>'4.5.1.3-4 Direct N20'!J214</f>
        <v>kg N</v>
      </c>
      <c r="N29" s="57" t="str">
        <f>'Input - Swine'!$D$29</f>
        <v>Anaerobic lagoon</v>
      </c>
      <c r="O29" s="57" t="str">
        <f>'Input - Swine'!$D$48</f>
        <v>Drylot (feed pad)</v>
      </c>
      <c r="P29" s="52">
        <f>'4.5.1.3-4 Direct N20'!P214</f>
        <v>18.133199999999995</v>
      </c>
      <c r="Q29" s="52">
        <f>'4.5.1.3-4 Direct N20'!Q214</f>
        <v>24.144750000000002</v>
      </c>
      <c r="R29" s="52">
        <f>'4.5.1.3-4 Direct N20'!R214</f>
        <v>22.666499999999992</v>
      </c>
      <c r="S29" s="52">
        <f>'4.5.1.3-4 Direct N20'!S214</f>
        <v>15.373799999999996</v>
      </c>
      <c r="T29" s="2" t="str">
        <f>'4.5.1.3-4 Direct N20'!T214</f>
        <v>kg N</v>
      </c>
    </row>
    <row r="30" spans="1:22" ht="20.100000000000001" customHeight="1" x14ac:dyDescent="0.25">
      <c r="D30" s="57"/>
      <c r="E30" s="57" t="str">
        <f>'Input - Swine'!$D$49</f>
        <v>Digester / covered lagoons</v>
      </c>
      <c r="F30" s="52">
        <f>'4.5.1.3-4 Direct N20'!F215</f>
        <v>18.133199999999995</v>
      </c>
      <c r="G30" s="52">
        <f>'4.5.1.3-4 Direct N20'!G215</f>
        <v>24.144750000000002</v>
      </c>
      <c r="H30" s="52">
        <f>'4.5.1.3-4 Direct N20'!H215</f>
        <v>22.666499999999992</v>
      </c>
      <c r="I30" s="52">
        <f>'4.5.1.3-4 Direct N20'!I215</f>
        <v>15.373799999999996</v>
      </c>
      <c r="J30" s="2" t="str">
        <f>'4.5.1.3-4 Direct N20'!J215</f>
        <v>kg N</v>
      </c>
      <c r="N30" s="57"/>
      <c r="O30" s="57" t="str">
        <f>'Input - Swine'!$D$49</f>
        <v>Digester / covered lagoons</v>
      </c>
      <c r="P30" s="52">
        <f>'4.5.1.3-4 Direct N20'!P215</f>
        <v>18.133199999999995</v>
      </c>
      <c r="Q30" s="52">
        <f>'4.5.1.3-4 Direct N20'!Q215</f>
        <v>24.144750000000002</v>
      </c>
      <c r="R30" s="52">
        <f>'4.5.1.3-4 Direct N20'!R215</f>
        <v>22.666499999999992</v>
      </c>
      <c r="S30" s="52">
        <f>'4.5.1.3-4 Direct N20'!S215</f>
        <v>15.373799999999996</v>
      </c>
      <c r="T30" s="2" t="str">
        <f>'4.5.1.3-4 Direct N20'!T215</f>
        <v>kg N</v>
      </c>
    </row>
    <row r="31" spans="1:22" ht="20.100000000000001" customHeight="1" x14ac:dyDescent="0.25">
      <c r="D31" s="57"/>
      <c r="E31" s="57" t="str">
        <f>'Input - Swine'!$D$50</f>
        <v>Deep litter</v>
      </c>
      <c r="F31" s="52">
        <f>'4.5.1.3-4 Direct N20'!F216</f>
        <v>18.133199999999995</v>
      </c>
      <c r="G31" s="52">
        <f>'4.5.1.3-4 Direct N20'!G216</f>
        <v>24.144750000000002</v>
      </c>
      <c r="H31" s="52">
        <f>'4.5.1.3-4 Direct N20'!H216</f>
        <v>22.666499999999992</v>
      </c>
      <c r="I31" s="52">
        <f>'4.5.1.3-4 Direct N20'!I216</f>
        <v>15.373799999999996</v>
      </c>
      <c r="J31" s="2" t="str">
        <f>'4.5.1.3-4 Direct N20'!J216</f>
        <v>kg N</v>
      </c>
      <c r="N31" s="57"/>
      <c r="O31" s="57" t="str">
        <f>'Input - Swine'!$D$50</f>
        <v>Deep litter</v>
      </c>
      <c r="P31" s="52">
        <f>'4.5.1.3-4 Direct N20'!P216</f>
        <v>18.133199999999995</v>
      </c>
      <c r="Q31" s="52">
        <f>'4.5.1.3-4 Direct N20'!Q216</f>
        <v>24.144750000000002</v>
      </c>
      <c r="R31" s="52">
        <f>'4.5.1.3-4 Direct N20'!R216</f>
        <v>22.666499999999992</v>
      </c>
      <c r="S31" s="52">
        <f>'4.5.1.3-4 Direct N20'!S216</f>
        <v>15.373799999999996</v>
      </c>
      <c r="T31" s="2" t="str">
        <f>'4.5.1.3-4 Direct N20'!T216</f>
        <v>kg N</v>
      </c>
    </row>
    <row r="32" spans="1:22" ht="20.100000000000001" customHeight="1" x14ac:dyDescent="0.25">
      <c r="D32" s="57"/>
      <c r="E32" s="57" t="str">
        <f>'Input - Swine'!$D$51</f>
        <v>Pit storage</v>
      </c>
      <c r="F32" s="52">
        <f>'4.5.1.3-4 Direct N20'!F217</f>
        <v>18.133199999999995</v>
      </c>
      <c r="G32" s="52">
        <f>'4.5.1.3-4 Direct N20'!G217</f>
        <v>24.144750000000002</v>
      </c>
      <c r="H32" s="52">
        <f>'4.5.1.3-4 Direct N20'!H217</f>
        <v>22.666499999999992</v>
      </c>
      <c r="I32" s="52">
        <f>'4.5.1.3-4 Direct N20'!I217</f>
        <v>15.373799999999996</v>
      </c>
      <c r="J32" s="2" t="str">
        <f>'4.5.1.3-4 Direct N20'!J217</f>
        <v>kg N</v>
      </c>
      <c r="N32" s="57"/>
      <c r="O32" s="57" t="str">
        <f>'Input - Swine'!$D$51</f>
        <v>Pit storage</v>
      </c>
      <c r="P32" s="52">
        <f>'4.5.1.3-4 Direct N20'!P217</f>
        <v>18.133199999999995</v>
      </c>
      <c r="Q32" s="52">
        <f>'4.5.1.3-4 Direct N20'!Q217</f>
        <v>24.144750000000002</v>
      </c>
      <c r="R32" s="52">
        <f>'4.5.1.3-4 Direct N20'!R217</f>
        <v>22.666499999999992</v>
      </c>
      <c r="S32" s="52">
        <f>'4.5.1.3-4 Direct N20'!S217</f>
        <v>15.373799999999996</v>
      </c>
      <c r="T32" s="2" t="str">
        <f>'4.5.1.3-4 Direct N20'!T217</f>
        <v>kg N</v>
      </c>
    </row>
    <row r="33" spans="4:20" ht="20.100000000000001" customHeight="1" x14ac:dyDescent="0.25">
      <c r="D33" s="57" t="str">
        <f>'Input - Swine'!$D$30</f>
        <v>Drylot (feed pad)</v>
      </c>
      <c r="E33" s="57" t="str">
        <f>'Input - Swine'!$D$56</f>
        <v>Anaerobic lagoon</v>
      </c>
      <c r="F33" s="52">
        <f>'4.5.1.3-4 Direct N20'!F218</f>
        <v>27.401279999999993</v>
      </c>
      <c r="G33" s="52">
        <f>'4.5.1.3-4 Direct N20'!G218</f>
        <v>36.485400000000006</v>
      </c>
      <c r="H33" s="52">
        <f>'4.5.1.3-4 Direct N20'!H218</f>
        <v>34.251599999999989</v>
      </c>
      <c r="I33" s="52">
        <f>'4.5.1.3-4 Direct N20'!I218</f>
        <v>23.231519999999993</v>
      </c>
      <c r="J33" s="2" t="str">
        <f>'4.5.1.3-4 Direct N20'!J218</f>
        <v>kg N</v>
      </c>
      <c r="N33" s="57" t="str">
        <f>'Input - Swine'!$D$30</f>
        <v>Drylot (feed pad)</v>
      </c>
      <c r="O33" s="57" t="str">
        <f>'Input - Swine'!$D$56</f>
        <v>Anaerobic lagoon</v>
      </c>
      <c r="P33" s="52">
        <f>'4.5.1.3-4 Direct N20'!P218</f>
        <v>27.401279999999993</v>
      </c>
      <c r="Q33" s="52">
        <f>'4.5.1.3-4 Direct N20'!Q218</f>
        <v>36.485400000000006</v>
      </c>
      <c r="R33" s="52">
        <f>'4.5.1.3-4 Direct N20'!R218</f>
        <v>34.251599999999989</v>
      </c>
      <c r="S33" s="52">
        <f>'4.5.1.3-4 Direct N20'!S218</f>
        <v>23.231519999999993</v>
      </c>
      <c r="T33" s="2" t="str">
        <f>'4.5.1.3-4 Direct N20'!T218</f>
        <v>kg N</v>
      </c>
    </row>
    <row r="34" spans="4:20" ht="20.100000000000001" customHeight="1" x14ac:dyDescent="0.25">
      <c r="D34" s="57"/>
      <c r="E34" s="57" t="str">
        <f>'Input - Swine'!$D$57</f>
        <v>Digester / covered lagoons</v>
      </c>
      <c r="F34" s="52">
        <f>'4.5.1.3-4 Direct N20'!F219</f>
        <v>27.401279999999993</v>
      </c>
      <c r="G34" s="52">
        <f>'4.5.1.3-4 Direct N20'!G219</f>
        <v>36.485400000000006</v>
      </c>
      <c r="H34" s="52">
        <f>'4.5.1.3-4 Direct N20'!H219</f>
        <v>34.251599999999989</v>
      </c>
      <c r="I34" s="52">
        <f>'4.5.1.3-4 Direct N20'!I219</f>
        <v>23.231519999999993</v>
      </c>
      <c r="J34" s="2" t="str">
        <f>'4.5.1.3-4 Direct N20'!J219</f>
        <v>kg N</v>
      </c>
      <c r="N34" s="57"/>
      <c r="O34" s="57" t="str">
        <f>'Input - Swine'!$D$57</f>
        <v>Digester / covered lagoons</v>
      </c>
      <c r="P34" s="52">
        <f>'4.5.1.3-4 Direct N20'!P219</f>
        <v>27.401279999999993</v>
      </c>
      <c r="Q34" s="52">
        <f>'4.5.1.3-4 Direct N20'!Q219</f>
        <v>36.485400000000006</v>
      </c>
      <c r="R34" s="52">
        <f>'4.5.1.3-4 Direct N20'!R219</f>
        <v>34.251599999999989</v>
      </c>
      <c r="S34" s="52">
        <f>'4.5.1.3-4 Direct N20'!S219</f>
        <v>23.231519999999993</v>
      </c>
      <c r="T34" s="2" t="str">
        <f>'4.5.1.3-4 Direct N20'!T219</f>
        <v>kg N</v>
      </c>
    </row>
    <row r="35" spans="4:20" ht="20.100000000000001" customHeight="1" x14ac:dyDescent="0.25">
      <c r="D35" s="57"/>
      <c r="E35" s="57" t="str">
        <f>'Input - Swine'!$D$58</f>
        <v>Deep litter</v>
      </c>
      <c r="F35" s="52">
        <f>'4.5.1.3-4 Direct N20'!F220</f>
        <v>27.401279999999993</v>
      </c>
      <c r="G35" s="52">
        <f>'4.5.1.3-4 Direct N20'!G220</f>
        <v>36.485400000000006</v>
      </c>
      <c r="H35" s="52">
        <f>'4.5.1.3-4 Direct N20'!H220</f>
        <v>34.251599999999989</v>
      </c>
      <c r="I35" s="52">
        <f>'4.5.1.3-4 Direct N20'!I220</f>
        <v>23.231519999999993</v>
      </c>
      <c r="J35" s="2" t="str">
        <f>'4.5.1.3-4 Direct N20'!J220</f>
        <v>kg N</v>
      </c>
      <c r="N35" s="57"/>
      <c r="O35" s="57" t="str">
        <f>'Input - Swine'!$D$58</f>
        <v>Deep litter</v>
      </c>
      <c r="P35" s="52">
        <f>'4.5.1.3-4 Direct N20'!P220</f>
        <v>27.401279999999993</v>
      </c>
      <c r="Q35" s="52">
        <f>'4.5.1.3-4 Direct N20'!Q220</f>
        <v>36.485400000000006</v>
      </c>
      <c r="R35" s="52">
        <f>'4.5.1.3-4 Direct N20'!R220</f>
        <v>34.251599999999989</v>
      </c>
      <c r="S35" s="52">
        <f>'4.5.1.3-4 Direct N20'!S220</f>
        <v>23.231519999999993</v>
      </c>
      <c r="T35" s="2" t="str">
        <f>'4.5.1.3-4 Direct N20'!T220</f>
        <v>kg N</v>
      </c>
    </row>
    <row r="36" spans="4:20" ht="20.100000000000001" customHeight="1" x14ac:dyDescent="0.25">
      <c r="D36" s="57"/>
      <c r="E36" s="57" t="str">
        <f>'Input - Swine'!$D$59</f>
        <v>Pit storage</v>
      </c>
      <c r="F36" s="52">
        <f>'4.5.1.3-4 Direct N20'!F221</f>
        <v>27.401279999999993</v>
      </c>
      <c r="G36" s="52">
        <f>'4.5.1.3-4 Direct N20'!G221</f>
        <v>36.485400000000006</v>
      </c>
      <c r="H36" s="52">
        <f>'4.5.1.3-4 Direct N20'!H221</f>
        <v>34.251599999999989</v>
      </c>
      <c r="I36" s="52">
        <f>'4.5.1.3-4 Direct N20'!I221</f>
        <v>23.231519999999993</v>
      </c>
      <c r="J36" s="2" t="str">
        <f>'4.5.1.3-4 Direct N20'!J221</f>
        <v>kg N</v>
      </c>
      <c r="N36" s="57"/>
      <c r="O36" s="57" t="str">
        <f>'Input - Swine'!$D$59</f>
        <v>Pit storage</v>
      </c>
      <c r="P36" s="52">
        <f>'4.5.1.3-4 Direct N20'!P221</f>
        <v>27.401279999999993</v>
      </c>
      <c r="Q36" s="52">
        <f>'4.5.1.3-4 Direct N20'!Q221</f>
        <v>36.485400000000006</v>
      </c>
      <c r="R36" s="52">
        <f>'4.5.1.3-4 Direct N20'!R221</f>
        <v>34.251599999999989</v>
      </c>
      <c r="S36" s="52">
        <f>'4.5.1.3-4 Direct N20'!S221</f>
        <v>23.231519999999993</v>
      </c>
      <c r="T36" s="2" t="str">
        <f>'4.5.1.3-4 Direct N20'!T221</f>
        <v>kg N</v>
      </c>
    </row>
    <row r="37" spans="4:20" ht="20.100000000000001" customHeight="1" x14ac:dyDescent="0.25">
      <c r="D37" s="57" t="str">
        <f>'Input - Swine'!$D$31</f>
        <v>Digester / covered lagoons</v>
      </c>
      <c r="E37" s="57" t="str">
        <f>'Input - Swine'!$D$64</f>
        <v>Anaerobic lagoon</v>
      </c>
      <c r="F37" s="52">
        <f>'4.5.1.3-4 Direct N20'!F222</f>
        <v>40.295999999999992</v>
      </c>
      <c r="G37" s="52">
        <f>'4.5.1.3-4 Direct N20'!G222</f>
        <v>53.655000000000008</v>
      </c>
      <c r="H37" s="52">
        <f>'4.5.1.3-4 Direct N20'!H222</f>
        <v>50.36999999999999</v>
      </c>
      <c r="I37" s="52">
        <f>'4.5.1.3-4 Direct N20'!I222</f>
        <v>34.163999999999994</v>
      </c>
      <c r="J37" s="2" t="str">
        <f>'4.5.1.3-4 Direct N20'!J222</f>
        <v>kg N</v>
      </c>
      <c r="N37" s="57" t="str">
        <f>'Input - Swine'!$D$31</f>
        <v>Digester / covered lagoons</v>
      </c>
      <c r="O37" s="57" t="str">
        <f>'Input - Swine'!$D$64</f>
        <v>Anaerobic lagoon</v>
      </c>
      <c r="P37" s="52">
        <f>'4.5.1.3-4 Direct N20'!P222</f>
        <v>40.295999999999992</v>
      </c>
      <c r="Q37" s="52">
        <f>'4.5.1.3-4 Direct N20'!Q222</f>
        <v>53.655000000000008</v>
      </c>
      <c r="R37" s="52">
        <f>'4.5.1.3-4 Direct N20'!R222</f>
        <v>50.36999999999999</v>
      </c>
      <c r="S37" s="52">
        <f>'4.5.1.3-4 Direct N20'!S222</f>
        <v>34.163999999999994</v>
      </c>
      <c r="T37" s="2" t="str">
        <f>'4.5.1.3-4 Direct N20'!T222</f>
        <v>kg N</v>
      </c>
    </row>
    <row r="38" spans="4:20" ht="20.100000000000001" customHeight="1" x14ac:dyDescent="0.25">
      <c r="D38" s="57"/>
      <c r="E38" s="57" t="str">
        <f>'Input - Swine'!$D$65</f>
        <v>Drylot (feed pad)</v>
      </c>
      <c r="F38" s="52">
        <f>'4.5.1.3-4 Direct N20'!F223</f>
        <v>40.295999999999992</v>
      </c>
      <c r="G38" s="52">
        <f>'4.5.1.3-4 Direct N20'!G223</f>
        <v>53.655000000000008</v>
      </c>
      <c r="H38" s="52">
        <f>'4.5.1.3-4 Direct N20'!H223</f>
        <v>50.36999999999999</v>
      </c>
      <c r="I38" s="52">
        <f>'4.5.1.3-4 Direct N20'!I223</f>
        <v>34.163999999999994</v>
      </c>
      <c r="J38" s="2" t="str">
        <f>'4.5.1.3-4 Direct N20'!J223</f>
        <v>kg N</v>
      </c>
      <c r="N38" s="57"/>
      <c r="O38" s="57" t="str">
        <f>'Input - Swine'!$D$65</f>
        <v>Drylot (feed pad)</v>
      </c>
      <c r="P38" s="52">
        <f>'4.5.1.3-4 Direct N20'!P223</f>
        <v>40.295999999999992</v>
      </c>
      <c r="Q38" s="52">
        <f>'4.5.1.3-4 Direct N20'!Q223</f>
        <v>53.655000000000008</v>
      </c>
      <c r="R38" s="52">
        <f>'4.5.1.3-4 Direct N20'!R223</f>
        <v>50.36999999999999</v>
      </c>
      <c r="S38" s="52">
        <f>'4.5.1.3-4 Direct N20'!S223</f>
        <v>34.163999999999994</v>
      </c>
      <c r="T38" s="2" t="str">
        <f>'4.5.1.3-4 Direct N20'!T223</f>
        <v>kg N</v>
      </c>
    </row>
    <row r="39" spans="4:20" ht="20.100000000000001" customHeight="1" x14ac:dyDescent="0.25">
      <c r="D39" s="57"/>
      <c r="E39" s="57" t="str">
        <f>'Input - Swine'!$D$66</f>
        <v>Deep litter</v>
      </c>
      <c r="F39" s="52">
        <f>'4.5.1.3-4 Direct N20'!F224</f>
        <v>40.295999999999992</v>
      </c>
      <c r="G39" s="52">
        <f>'4.5.1.3-4 Direct N20'!G224</f>
        <v>53.655000000000008</v>
      </c>
      <c r="H39" s="52">
        <f>'4.5.1.3-4 Direct N20'!H224</f>
        <v>50.36999999999999</v>
      </c>
      <c r="I39" s="52">
        <f>'4.5.1.3-4 Direct N20'!I224</f>
        <v>34.163999999999994</v>
      </c>
      <c r="J39" s="2" t="str">
        <f>'4.5.1.3-4 Direct N20'!J224</f>
        <v>kg N</v>
      </c>
      <c r="N39" s="57"/>
      <c r="O39" s="57" t="str">
        <f>'Input - Swine'!$D$66</f>
        <v>Deep litter</v>
      </c>
      <c r="P39" s="52">
        <f>'4.5.1.3-4 Direct N20'!P224</f>
        <v>40.295999999999992</v>
      </c>
      <c r="Q39" s="52">
        <f>'4.5.1.3-4 Direct N20'!Q224</f>
        <v>53.655000000000008</v>
      </c>
      <c r="R39" s="52">
        <f>'4.5.1.3-4 Direct N20'!R224</f>
        <v>50.36999999999999</v>
      </c>
      <c r="S39" s="52">
        <f>'4.5.1.3-4 Direct N20'!S224</f>
        <v>34.163999999999994</v>
      </c>
      <c r="T39" s="2" t="str">
        <f>'4.5.1.3-4 Direct N20'!T224</f>
        <v>kg N</v>
      </c>
    </row>
    <row r="40" spans="4:20" ht="20.100000000000001" customHeight="1" x14ac:dyDescent="0.25">
      <c r="D40" s="57"/>
      <c r="E40" s="57" t="str">
        <f>'Input - Swine'!$D$67</f>
        <v>Pit storage</v>
      </c>
      <c r="F40" s="52">
        <f>'4.5.1.3-4 Direct N20'!F225</f>
        <v>40.295999999999992</v>
      </c>
      <c r="G40" s="52">
        <f>'4.5.1.3-4 Direct N20'!G225</f>
        <v>53.655000000000008</v>
      </c>
      <c r="H40" s="52">
        <f>'4.5.1.3-4 Direct N20'!H225</f>
        <v>50.36999999999999</v>
      </c>
      <c r="I40" s="52">
        <f>'4.5.1.3-4 Direct N20'!I225</f>
        <v>34.163999999999994</v>
      </c>
      <c r="J40" s="2" t="str">
        <f>'4.5.1.3-4 Direct N20'!J225</f>
        <v>kg N</v>
      </c>
      <c r="N40" s="57"/>
      <c r="O40" s="57" t="str">
        <f>'Input - Swine'!$D$67</f>
        <v>Pit storage</v>
      </c>
      <c r="P40" s="52">
        <f>'4.5.1.3-4 Direct N20'!P225</f>
        <v>40.295999999999992</v>
      </c>
      <c r="Q40" s="52">
        <f>'4.5.1.3-4 Direct N20'!Q225</f>
        <v>53.655000000000008</v>
      </c>
      <c r="R40" s="52">
        <f>'4.5.1.3-4 Direct N20'!R225</f>
        <v>50.36999999999999</v>
      </c>
      <c r="S40" s="52">
        <f>'4.5.1.3-4 Direct N20'!S225</f>
        <v>34.163999999999994</v>
      </c>
      <c r="T40" s="2" t="str">
        <f>'4.5.1.3-4 Direct N20'!T225</f>
        <v>kg N</v>
      </c>
    </row>
    <row r="41" spans="4:20" ht="20.100000000000001" customHeight="1" x14ac:dyDescent="0.25">
      <c r="D41" s="57" t="str">
        <f>'Input - Swine'!$D$32</f>
        <v>Deep litter</v>
      </c>
      <c r="E41" s="57" t="str">
        <f>'Input - Swine'!$D$72</f>
        <v>Anaerobic lagoon</v>
      </c>
      <c r="F41" s="52">
        <f>'4.5.1.3-4 Direct N20'!F226</f>
        <v>34.856039999999993</v>
      </c>
      <c r="G41" s="52">
        <f>'4.5.1.3-4 Direct N20'!G226</f>
        <v>46.411575000000006</v>
      </c>
      <c r="H41" s="52">
        <f>'4.5.1.3-4 Direct N20'!H226</f>
        <v>43.570049999999988</v>
      </c>
      <c r="I41" s="52">
        <f>'4.5.1.3-4 Direct N20'!I226</f>
        <v>29.551859999999994</v>
      </c>
      <c r="J41" s="2" t="str">
        <f>'4.5.1.3-4 Direct N20'!J226</f>
        <v>kg N</v>
      </c>
      <c r="N41" s="57" t="str">
        <f>'Input - Swine'!$D$32</f>
        <v>Deep litter</v>
      </c>
      <c r="O41" s="57" t="str">
        <f>'Input - Swine'!$D$72</f>
        <v>Anaerobic lagoon</v>
      </c>
      <c r="P41" s="52">
        <f>'4.5.1.3-4 Direct N20'!P226</f>
        <v>34.856039999999993</v>
      </c>
      <c r="Q41" s="52">
        <f>'4.5.1.3-4 Direct N20'!Q226</f>
        <v>46.411575000000006</v>
      </c>
      <c r="R41" s="52">
        <f>'4.5.1.3-4 Direct N20'!R226</f>
        <v>43.570049999999988</v>
      </c>
      <c r="S41" s="52">
        <f>'4.5.1.3-4 Direct N20'!S226</f>
        <v>29.551859999999994</v>
      </c>
      <c r="T41" s="2" t="str">
        <f>'4.5.1.3-4 Direct N20'!T226</f>
        <v>kg N</v>
      </c>
    </row>
    <row r="42" spans="4:20" ht="20.100000000000001" customHeight="1" x14ac:dyDescent="0.25">
      <c r="D42" s="57"/>
      <c r="E42" s="57" t="str">
        <f>'Input - Swine'!$D$73</f>
        <v>Drylot (feed pad)</v>
      </c>
      <c r="F42" s="52">
        <f>'4.5.1.3-4 Direct N20'!F227</f>
        <v>34.856039999999993</v>
      </c>
      <c r="G42" s="52">
        <f>'4.5.1.3-4 Direct N20'!G227</f>
        <v>46.411575000000006</v>
      </c>
      <c r="H42" s="52">
        <f>'4.5.1.3-4 Direct N20'!H227</f>
        <v>43.570049999999988</v>
      </c>
      <c r="I42" s="52">
        <f>'4.5.1.3-4 Direct N20'!I227</f>
        <v>29.551859999999994</v>
      </c>
      <c r="J42" s="2" t="str">
        <f>'4.5.1.3-4 Direct N20'!J227</f>
        <v>kg N</v>
      </c>
      <c r="N42" s="57"/>
      <c r="O42" s="57" t="str">
        <f>'Input - Swine'!$D$73</f>
        <v>Drylot (feed pad)</v>
      </c>
      <c r="P42" s="52">
        <f>'4.5.1.3-4 Direct N20'!P227</f>
        <v>34.856039999999993</v>
      </c>
      <c r="Q42" s="52">
        <f>'4.5.1.3-4 Direct N20'!Q227</f>
        <v>46.411575000000006</v>
      </c>
      <c r="R42" s="52">
        <f>'4.5.1.3-4 Direct N20'!R227</f>
        <v>43.570049999999988</v>
      </c>
      <c r="S42" s="52">
        <f>'4.5.1.3-4 Direct N20'!S227</f>
        <v>29.551859999999994</v>
      </c>
      <c r="T42" s="2" t="str">
        <f>'4.5.1.3-4 Direct N20'!T227</f>
        <v>kg N</v>
      </c>
    </row>
    <row r="43" spans="4:20" ht="20.100000000000001" customHeight="1" x14ac:dyDescent="0.25">
      <c r="D43" s="57"/>
      <c r="E43" s="57" t="str">
        <f>'Input - Swine'!$D$74</f>
        <v>Digester / covered lagoons</v>
      </c>
      <c r="F43" s="52">
        <f>'4.5.1.3-4 Direct N20'!F228</f>
        <v>34.856039999999993</v>
      </c>
      <c r="G43" s="52">
        <f>'4.5.1.3-4 Direct N20'!G228</f>
        <v>46.411575000000006</v>
      </c>
      <c r="H43" s="52">
        <f>'4.5.1.3-4 Direct N20'!H228</f>
        <v>43.570049999999988</v>
      </c>
      <c r="I43" s="52">
        <f>'4.5.1.3-4 Direct N20'!I228</f>
        <v>29.551859999999994</v>
      </c>
      <c r="J43" s="2" t="str">
        <f>'4.5.1.3-4 Direct N20'!J228</f>
        <v>kg N</v>
      </c>
      <c r="N43" s="57"/>
      <c r="O43" s="57" t="str">
        <f>'Input - Swine'!$D$74</f>
        <v>Digester / covered lagoons</v>
      </c>
      <c r="P43" s="52">
        <f>'4.5.1.3-4 Direct N20'!P228</f>
        <v>34.856039999999993</v>
      </c>
      <c r="Q43" s="52">
        <f>'4.5.1.3-4 Direct N20'!Q228</f>
        <v>46.411575000000006</v>
      </c>
      <c r="R43" s="52">
        <f>'4.5.1.3-4 Direct N20'!R228</f>
        <v>43.570049999999988</v>
      </c>
      <c r="S43" s="52">
        <f>'4.5.1.3-4 Direct N20'!S228</f>
        <v>29.551859999999994</v>
      </c>
      <c r="T43" s="2" t="str">
        <f>'4.5.1.3-4 Direct N20'!T228</f>
        <v>kg N</v>
      </c>
    </row>
    <row r="44" spans="4:20" ht="20.100000000000001" customHeight="1" x14ac:dyDescent="0.25">
      <c r="D44" s="57"/>
      <c r="E44" s="57" t="str">
        <f>'Input - Swine'!$D$75</f>
        <v>Pit storage</v>
      </c>
      <c r="F44" s="52">
        <f>'4.5.1.3-4 Direct N20'!F229</f>
        <v>34.856039999999993</v>
      </c>
      <c r="G44" s="52">
        <f>'4.5.1.3-4 Direct N20'!G229</f>
        <v>46.411575000000006</v>
      </c>
      <c r="H44" s="52">
        <f>'4.5.1.3-4 Direct N20'!H229</f>
        <v>43.570049999999988</v>
      </c>
      <c r="I44" s="52">
        <f>'4.5.1.3-4 Direct N20'!I229</f>
        <v>29.551859999999994</v>
      </c>
      <c r="J44" s="2" t="str">
        <f>'4.5.1.3-4 Direct N20'!J229</f>
        <v>kg N</v>
      </c>
      <c r="N44" s="57"/>
      <c r="O44" s="57" t="str">
        <f>'Input - Swine'!$D$75</f>
        <v>Pit storage</v>
      </c>
      <c r="P44" s="52">
        <f>'4.5.1.3-4 Direct N20'!P229</f>
        <v>34.856039999999993</v>
      </c>
      <c r="Q44" s="52">
        <f>'4.5.1.3-4 Direct N20'!Q229</f>
        <v>46.411575000000006</v>
      </c>
      <c r="R44" s="52">
        <f>'4.5.1.3-4 Direct N20'!R229</f>
        <v>43.570049999999988</v>
      </c>
      <c r="S44" s="52">
        <f>'4.5.1.3-4 Direct N20'!S229</f>
        <v>29.551859999999994</v>
      </c>
      <c r="T44" s="2" t="str">
        <f>'4.5.1.3-4 Direct N20'!T229</f>
        <v>kg N</v>
      </c>
    </row>
    <row r="45" spans="4:20" ht="20.100000000000001" customHeight="1" x14ac:dyDescent="0.25">
      <c r="D45" s="57" t="str">
        <f>'Input - Swine'!$D$33</f>
        <v>Pit storage</v>
      </c>
      <c r="E45" s="57" t="str">
        <f>'Input - Swine'!$D$80</f>
        <v>Anaerobic lagoon</v>
      </c>
      <c r="F45" s="52">
        <f>'4.5.1.3-4 Direct N20'!F230</f>
        <v>30.141407999999998</v>
      </c>
      <c r="G45" s="52">
        <f>'4.5.1.3-4 Direct N20'!G230</f>
        <v>40.133940000000003</v>
      </c>
      <c r="H45" s="52">
        <f>'4.5.1.3-4 Direct N20'!H230</f>
        <v>37.676759999999994</v>
      </c>
      <c r="I45" s="52">
        <f>'4.5.1.3-4 Direct N20'!I230</f>
        <v>25.554671999999997</v>
      </c>
      <c r="J45" s="2" t="str">
        <f>'4.5.1.3-4 Direct N20'!J230</f>
        <v>kg N</v>
      </c>
      <c r="N45" s="57" t="str">
        <f>'Input - Swine'!$D$33</f>
        <v>Pit storage</v>
      </c>
      <c r="O45" s="57" t="str">
        <f>'Input - Swine'!$D$80</f>
        <v>Anaerobic lagoon</v>
      </c>
      <c r="P45" s="52">
        <f>'4.5.1.3-4 Direct N20'!P230</f>
        <v>30.141407999999998</v>
      </c>
      <c r="Q45" s="52">
        <f>'4.5.1.3-4 Direct N20'!Q230</f>
        <v>40.133940000000003</v>
      </c>
      <c r="R45" s="52">
        <f>'4.5.1.3-4 Direct N20'!R230</f>
        <v>37.676759999999994</v>
      </c>
      <c r="S45" s="52">
        <f>'4.5.1.3-4 Direct N20'!S230</f>
        <v>25.554671999999997</v>
      </c>
      <c r="T45" s="2" t="str">
        <f>'4.5.1.3-4 Direct N20'!T230</f>
        <v>kg N</v>
      </c>
    </row>
    <row r="46" spans="4:20" ht="20.100000000000001" customHeight="1" x14ac:dyDescent="0.25">
      <c r="D46" s="57"/>
      <c r="E46" s="57" t="str">
        <f>'Input - Swine'!$D$81</f>
        <v>Drylot (feed pad)</v>
      </c>
      <c r="F46" s="52">
        <f>'4.5.1.3-4 Direct N20'!F231</f>
        <v>30.141407999999998</v>
      </c>
      <c r="G46" s="52">
        <f>'4.5.1.3-4 Direct N20'!G231</f>
        <v>40.133940000000003</v>
      </c>
      <c r="H46" s="52">
        <f>'4.5.1.3-4 Direct N20'!H231</f>
        <v>37.676759999999994</v>
      </c>
      <c r="I46" s="52">
        <f>'4.5.1.3-4 Direct N20'!I231</f>
        <v>25.554671999999997</v>
      </c>
      <c r="J46" s="2" t="str">
        <f>'4.5.1.3-4 Direct N20'!J231</f>
        <v>kg N</v>
      </c>
      <c r="N46" s="57"/>
      <c r="O46" s="57" t="str">
        <f>'Input - Swine'!$D$81</f>
        <v>Drylot (feed pad)</v>
      </c>
      <c r="P46" s="52">
        <f>'4.5.1.3-4 Direct N20'!P231</f>
        <v>30.141407999999998</v>
      </c>
      <c r="Q46" s="52">
        <f>'4.5.1.3-4 Direct N20'!Q231</f>
        <v>40.133940000000003</v>
      </c>
      <c r="R46" s="52">
        <f>'4.5.1.3-4 Direct N20'!R231</f>
        <v>37.676759999999994</v>
      </c>
      <c r="S46" s="52">
        <f>'4.5.1.3-4 Direct N20'!S231</f>
        <v>25.554671999999997</v>
      </c>
      <c r="T46" s="2" t="str">
        <f>'4.5.1.3-4 Direct N20'!T231</f>
        <v>kg N</v>
      </c>
    </row>
    <row r="47" spans="4:20" ht="20.100000000000001" customHeight="1" x14ac:dyDescent="0.25">
      <c r="D47" s="57"/>
      <c r="E47" s="57" t="str">
        <f>'Input - Swine'!$D$82</f>
        <v>Digester / covered lagoons</v>
      </c>
      <c r="F47" s="52">
        <f>'4.5.1.3-4 Direct N20'!F232</f>
        <v>30.141407999999998</v>
      </c>
      <c r="G47" s="52">
        <f>'4.5.1.3-4 Direct N20'!G232</f>
        <v>40.133940000000003</v>
      </c>
      <c r="H47" s="52">
        <f>'4.5.1.3-4 Direct N20'!H232</f>
        <v>37.676759999999994</v>
      </c>
      <c r="I47" s="52">
        <f>'4.5.1.3-4 Direct N20'!I232</f>
        <v>25.554671999999997</v>
      </c>
      <c r="J47" s="2" t="str">
        <f>'4.5.1.3-4 Direct N20'!J232</f>
        <v>kg N</v>
      </c>
      <c r="N47" s="57"/>
      <c r="O47" s="57" t="str">
        <f>'Input - Swine'!$D$82</f>
        <v>Digester / covered lagoons</v>
      </c>
      <c r="P47" s="52">
        <f>'4.5.1.3-4 Direct N20'!P232</f>
        <v>30.141407999999998</v>
      </c>
      <c r="Q47" s="52">
        <f>'4.5.1.3-4 Direct N20'!Q232</f>
        <v>40.133940000000003</v>
      </c>
      <c r="R47" s="52">
        <f>'4.5.1.3-4 Direct N20'!R232</f>
        <v>37.676759999999994</v>
      </c>
      <c r="S47" s="52">
        <f>'4.5.1.3-4 Direct N20'!S232</f>
        <v>25.554671999999997</v>
      </c>
      <c r="T47" s="2" t="str">
        <f>'4.5.1.3-4 Direct N20'!T232</f>
        <v>kg N</v>
      </c>
    </row>
    <row r="48" spans="4:20" ht="20.100000000000001" customHeight="1" x14ac:dyDescent="0.25">
      <c r="D48" s="57"/>
      <c r="E48" s="57" t="str">
        <f>'Input - Swine'!$D$83</f>
        <v>Deep litter</v>
      </c>
      <c r="F48" s="52">
        <f>'4.5.1.3-4 Direct N20'!F233</f>
        <v>30.141407999999998</v>
      </c>
      <c r="G48" s="52">
        <f>'4.5.1.3-4 Direct N20'!G233</f>
        <v>40.133940000000003</v>
      </c>
      <c r="H48" s="52">
        <f>'4.5.1.3-4 Direct N20'!H233</f>
        <v>37.676759999999994</v>
      </c>
      <c r="I48" s="52">
        <f>'4.5.1.3-4 Direct N20'!I233</f>
        <v>25.554671999999997</v>
      </c>
      <c r="J48" s="2" t="str">
        <f>'4.5.1.3-4 Direct N20'!J233</f>
        <v>kg N</v>
      </c>
      <c r="N48" s="57"/>
      <c r="O48" s="57" t="str">
        <f>'Input - Swine'!$D$83</f>
        <v>Deep litter</v>
      </c>
      <c r="P48" s="52">
        <f>'4.5.1.3-4 Direct N20'!P233</f>
        <v>30.141407999999998</v>
      </c>
      <c r="Q48" s="52">
        <f>'4.5.1.3-4 Direct N20'!Q233</f>
        <v>40.133940000000003</v>
      </c>
      <c r="R48" s="52">
        <f>'4.5.1.3-4 Direct N20'!R233</f>
        <v>37.676759999999994</v>
      </c>
      <c r="S48" s="52">
        <f>'4.5.1.3-4 Direct N20'!S233</f>
        <v>25.554671999999997</v>
      </c>
      <c r="T48" s="2" t="str">
        <f>'4.5.1.3-4 Direct N20'!T233</f>
        <v>kg N</v>
      </c>
    </row>
    <row r="49" spans="4:20" ht="20.100000000000001" customHeight="1" x14ac:dyDescent="0.25">
      <c r="D49" s="57" t="str">
        <f>'Input - Swine'!$D$34</f>
        <v>Solid storage</v>
      </c>
      <c r="E49" s="57" t="str">
        <f>'Input - Swine'!$D$88</f>
        <v>Anaerobic lagoon</v>
      </c>
      <c r="F49" s="52">
        <f>'4.5.1.3-4 Direct N20'!F234</f>
        <v>106.78440000000003</v>
      </c>
      <c r="G49" s="52">
        <f>'4.5.1.3-4 Direct N20'!G234</f>
        <v>113.74860000000007</v>
      </c>
      <c r="H49" s="52">
        <f>'4.5.1.3-4 Direct N20'!H234</f>
        <v>106.78440000000003</v>
      </c>
      <c r="I49" s="52">
        <f>'4.5.1.3-4 Direct N20'!I234</f>
        <v>72.427680000000038</v>
      </c>
      <c r="J49" s="2" t="str">
        <f>'4.5.1.3-4 Direct N20'!J234</f>
        <v>kg N</v>
      </c>
      <c r="N49" s="57" t="str">
        <f>'Input - Swine'!$D$34</f>
        <v>Solid storage</v>
      </c>
      <c r="O49" s="57" t="str">
        <f>'Input - Swine'!$D$88</f>
        <v>Anaerobic lagoon</v>
      </c>
      <c r="P49" s="52">
        <f>'4.5.1.3-4 Direct N20'!P234</f>
        <v>106.78440000000003</v>
      </c>
      <c r="Q49" s="52">
        <f>'4.5.1.3-4 Direct N20'!Q234</f>
        <v>113.74860000000007</v>
      </c>
      <c r="R49" s="52">
        <f>'4.5.1.3-4 Direct N20'!R234</f>
        <v>106.78440000000003</v>
      </c>
      <c r="S49" s="52">
        <f>'4.5.1.3-4 Direct N20'!S234</f>
        <v>72.427680000000038</v>
      </c>
      <c r="T49" s="2" t="str">
        <f>'4.5.1.3-4 Direct N20'!T234</f>
        <v>kg N</v>
      </c>
    </row>
    <row r="50" spans="4:20" ht="20.100000000000001" customHeight="1" x14ac:dyDescent="0.25">
      <c r="D50" s="57"/>
      <c r="E50" s="57" t="str">
        <f>'Input - Swine'!$D$89</f>
        <v>Drylot (feed pad)</v>
      </c>
      <c r="F50" s="52">
        <f>'4.5.1.3-4 Direct N20'!F235</f>
        <v>106.78440000000003</v>
      </c>
      <c r="G50" s="52">
        <f>'4.5.1.3-4 Direct N20'!G235</f>
        <v>113.74860000000007</v>
      </c>
      <c r="H50" s="52">
        <f>'4.5.1.3-4 Direct N20'!H235</f>
        <v>106.78440000000003</v>
      </c>
      <c r="I50" s="52">
        <f>'4.5.1.3-4 Direct N20'!I235</f>
        <v>72.427680000000038</v>
      </c>
      <c r="J50" s="2" t="str">
        <f>'4.5.1.3-4 Direct N20'!J235</f>
        <v>kg N</v>
      </c>
      <c r="N50" s="57"/>
      <c r="O50" s="57" t="str">
        <f>'Input - Swine'!$D$89</f>
        <v>Drylot (feed pad)</v>
      </c>
      <c r="P50" s="52">
        <f>'4.5.1.3-4 Direct N20'!P235</f>
        <v>106.78440000000003</v>
      </c>
      <c r="Q50" s="52">
        <f>'4.5.1.3-4 Direct N20'!Q235</f>
        <v>113.74860000000007</v>
      </c>
      <c r="R50" s="52">
        <f>'4.5.1.3-4 Direct N20'!R235</f>
        <v>106.78440000000003</v>
      </c>
      <c r="S50" s="52">
        <f>'4.5.1.3-4 Direct N20'!S235</f>
        <v>72.427680000000038</v>
      </c>
      <c r="T50" s="2" t="str">
        <f>'4.5.1.3-4 Direct N20'!T235</f>
        <v>kg N</v>
      </c>
    </row>
    <row r="51" spans="4:20" ht="20.100000000000001" customHeight="1" x14ac:dyDescent="0.25">
      <c r="D51" s="57"/>
      <c r="E51" s="57" t="str">
        <f>'Input - Swine'!$D$90</f>
        <v>Digester / covered lagoons</v>
      </c>
      <c r="F51" s="52">
        <f>'4.5.1.3-4 Direct N20'!F236</f>
        <v>106.78440000000003</v>
      </c>
      <c r="G51" s="52">
        <f>'4.5.1.3-4 Direct N20'!G236</f>
        <v>113.74860000000007</v>
      </c>
      <c r="H51" s="52">
        <f>'4.5.1.3-4 Direct N20'!H236</f>
        <v>106.78440000000003</v>
      </c>
      <c r="I51" s="52">
        <f>'4.5.1.3-4 Direct N20'!I236</f>
        <v>72.427680000000038</v>
      </c>
      <c r="J51" s="2" t="str">
        <f>'4.5.1.3-4 Direct N20'!J236</f>
        <v>kg N</v>
      </c>
      <c r="N51" s="57"/>
      <c r="O51" s="57" t="str">
        <f>'Input - Swine'!$D$90</f>
        <v>Digester / covered lagoons</v>
      </c>
      <c r="P51" s="52">
        <f>'4.5.1.3-4 Direct N20'!P236</f>
        <v>106.78440000000003</v>
      </c>
      <c r="Q51" s="52">
        <f>'4.5.1.3-4 Direct N20'!Q236</f>
        <v>113.74860000000007</v>
      </c>
      <c r="R51" s="52">
        <f>'4.5.1.3-4 Direct N20'!R236</f>
        <v>106.78440000000003</v>
      </c>
      <c r="S51" s="52">
        <f>'4.5.1.3-4 Direct N20'!S236</f>
        <v>72.427680000000038</v>
      </c>
      <c r="T51" s="2" t="str">
        <f>'4.5.1.3-4 Direct N20'!T236</f>
        <v>kg N</v>
      </c>
    </row>
    <row r="52" spans="4:20" ht="20.100000000000001" customHeight="1" x14ac:dyDescent="0.25">
      <c r="D52" s="57"/>
      <c r="E52" s="57" t="str">
        <f>'Input - Swine'!$D$91</f>
        <v>Deep litter</v>
      </c>
      <c r="F52" s="52">
        <f>'4.5.1.3-4 Direct N20'!F237</f>
        <v>106.78440000000003</v>
      </c>
      <c r="G52" s="52">
        <f>'4.5.1.3-4 Direct N20'!G237</f>
        <v>113.74860000000007</v>
      </c>
      <c r="H52" s="52">
        <f>'4.5.1.3-4 Direct N20'!H237</f>
        <v>106.78440000000003</v>
      </c>
      <c r="I52" s="52">
        <f>'4.5.1.3-4 Direct N20'!I237</f>
        <v>72.427680000000038</v>
      </c>
      <c r="J52" s="2" t="str">
        <f>'4.5.1.3-4 Direct N20'!J237</f>
        <v>kg N</v>
      </c>
      <c r="N52" s="57"/>
      <c r="O52" s="57" t="str">
        <f>'Input - Swine'!$D$91</f>
        <v>Deep litter</v>
      </c>
      <c r="P52" s="52">
        <f>'4.5.1.3-4 Direct N20'!P237</f>
        <v>106.78440000000003</v>
      </c>
      <c r="Q52" s="52">
        <f>'4.5.1.3-4 Direct N20'!Q237</f>
        <v>113.74860000000007</v>
      </c>
      <c r="R52" s="52">
        <f>'4.5.1.3-4 Direct N20'!R237</f>
        <v>106.78440000000003</v>
      </c>
      <c r="S52" s="52">
        <f>'4.5.1.3-4 Direct N20'!S237</f>
        <v>72.427680000000038</v>
      </c>
      <c r="T52" s="2" t="str">
        <f>'4.5.1.3-4 Direct N20'!T237</f>
        <v>kg N</v>
      </c>
    </row>
    <row r="53" spans="4:20" ht="20.100000000000001" customHeight="1" x14ac:dyDescent="0.25">
      <c r="D53" s="57"/>
      <c r="E53" s="57" t="str">
        <f>'Input - Swine'!$D$92</f>
        <v>Pit storage</v>
      </c>
      <c r="F53" s="52">
        <f>'4.5.1.3-4 Direct N20'!F238</f>
        <v>53.392200000000017</v>
      </c>
      <c r="G53" s="52">
        <f>'4.5.1.3-4 Direct N20'!G238</f>
        <v>56.874300000000034</v>
      </c>
      <c r="H53" s="52">
        <f>'4.5.1.3-4 Direct N20'!H238</f>
        <v>53.392200000000017</v>
      </c>
      <c r="I53" s="52">
        <f>'4.5.1.3-4 Direct N20'!I238</f>
        <v>36.213840000000019</v>
      </c>
      <c r="J53" s="2" t="str">
        <f>'4.5.1.3-4 Direct N20'!J238</f>
        <v>kg N</v>
      </c>
      <c r="N53" s="57"/>
      <c r="O53" s="57" t="str">
        <f>'Input - Swine'!$D$92</f>
        <v>Pit storage</v>
      </c>
      <c r="P53" s="52">
        <f>'4.5.1.3-4 Direct N20'!P238</f>
        <v>53.392200000000017</v>
      </c>
      <c r="Q53" s="52">
        <f>'4.5.1.3-4 Direct N20'!Q238</f>
        <v>56.874300000000034</v>
      </c>
      <c r="R53" s="52">
        <f>'4.5.1.3-4 Direct N20'!R238</f>
        <v>53.392200000000017</v>
      </c>
      <c r="S53" s="52">
        <f>'4.5.1.3-4 Direct N20'!S238</f>
        <v>36.213840000000019</v>
      </c>
      <c r="T53" s="2" t="str">
        <f>'4.5.1.3-4 Direct N20'!T238</f>
        <v>kg N</v>
      </c>
    </row>
    <row r="54" spans="4:20" ht="20.100000000000001" customHeight="1" x14ac:dyDescent="0.25"/>
    <row r="55" spans="4:20" ht="20.100000000000001" customHeight="1" x14ac:dyDescent="0.25">
      <c r="D55" s="121" t="s">
        <v>314</v>
      </c>
    </row>
    <row r="56" spans="4:20" ht="20.100000000000001" customHeight="1" x14ac:dyDescent="0.25">
      <c r="D56" s="122" t="s">
        <v>315</v>
      </c>
    </row>
    <row r="57" spans="4:20" ht="20.100000000000001" customHeight="1" x14ac:dyDescent="0.25">
      <c r="D57" s="51" t="s">
        <v>172</v>
      </c>
      <c r="E57" s="51" t="s">
        <v>316</v>
      </c>
    </row>
    <row r="58" spans="4:20" ht="20.100000000000001" customHeight="1" x14ac:dyDescent="0.25">
      <c r="D58" s="57" t="str">
        <f>'Input - Swine'!$D$29</f>
        <v>Anaerobic lagoon</v>
      </c>
      <c r="E58" s="52" cm="1">
        <f t="array" ref="E58">Common_InputFunctions.Utility_LookupValueInTableNumber(D58, Table_SourceData_Swine_FracGASM[NIR reference],Table_SourceData_Swine_FracGASM[FracGASMmT])</f>
        <v>0.55000000000000004</v>
      </c>
    </row>
    <row r="59" spans="4:20" ht="20.100000000000001" customHeight="1" x14ac:dyDescent="0.25">
      <c r="D59" s="57" t="str">
        <f>'Input - Swine'!$D$30</f>
        <v>Drylot (feed pad)</v>
      </c>
      <c r="E59" s="52" cm="1">
        <f t="array" ref="E59">Common_InputFunctions.Utility_LookupValueInTableNumber(D59, Table_SourceData_Swine_FracGASM[NIR reference],Table_SourceData_Swine_FracGASM[FracGASMmT])</f>
        <v>0.3</v>
      </c>
    </row>
    <row r="60" spans="4:20" ht="20.100000000000001" customHeight="1" x14ac:dyDescent="0.25">
      <c r="D60" s="57" t="str">
        <f>'Input - Swine'!$D$31</f>
        <v>Digester / covered lagoons</v>
      </c>
      <c r="E60" s="52" cm="1">
        <f t="array" ref="E60">Common_InputFunctions.Utility_LookupValueInTableNumber(D60, Table_SourceData_Swine_FracGASM[NIR reference],Table_SourceData_Swine_FracGASM[FracGASMmT])</f>
        <v>0</v>
      </c>
    </row>
    <row r="61" spans="4:20" ht="20.100000000000001" customHeight="1" x14ac:dyDescent="0.25">
      <c r="D61" s="57" t="str">
        <f>'Input - Swine'!$D$32</f>
        <v>Deep litter</v>
      </c>
      <c r="E61" s="52" cm="1">
        <f t="array" ref="E61">Common_InputFunctions.Utility_LookupValueInTableNumber(D61, Table_SourceData_Swine_FracGASM[NIR reference],Table_SourceData_Swine_FracGASM[FracGASMmT])</f>
        <v>0.125</v>
      </c>
    </row>
    <row r="62" spans="4:20" ht="20.100000000000001" customHeight="1" x14ac:dyDescent="0.25">
      <c r="D62" s="57" t="str">
        <f>'Input - Swine'!$D$33</f>
        <v>Pit storage</v>
      </c>
      <c r="E62" s="52" cm="1">
        <f t="array" ref="E62">Common_InputFunctions.Utility_LookupValueInTableNumber(D62, Table_SourceData_Swine_FracGASM[NIR reference],Table_SourceData_Swine_FracGASM[FracGASMmT])</f>
        <v>0.25</v>
      </c>
    </row>
    <row r="63" spans="4:20" ht="20.100000000000001" customHeight="1" x14ac:dyDescent="0.25">
      <c r="D63" s="57" t="str">
        <f>'Input - Swine'!$D$34</f>
        <v>Solid storage</v>
      </c>
      <c r="E63" s="52" cm="1">
        <f t="array" ref="E63">Common_InputFunctions.Utility_LookupValueInTableNumber(D63, Table_SourceData_Swine_FracGASM[NIR reference],Table_SourceData_Swine_FracGASM[FracGASMmT])</f>
        <v>0.2</v>
      </c>
    </row>
    <row r="64" spans="4:20" ht="20.100000000000001" customHeight="1" x14ac:dyDescent="0.25"/>
    <row r="65" spans="4:20" ht="20.100000000000001" customHeight="1" x14ac:dyDescent="0.25">
      <c r="D65" s="121" t="s">
        <v>325</v>
      </c>
      <c r="N65" s="121" t="s">
        <v>325</v>
      </c>
    </row>
    <row r="66" spans="4:20" ht="20.100000000000001" customHeight="1" x14ac:dyDescent="0.25">
      <c r="D66" s="122" t="s">
        <v>326</v>
      </c>
      <c r="N66" s="122" t="s">
        <v>326</v>
      </c>
    </row>
    <row r="67" spans="4:20" ht="20.100000000000001" customHeight="1" x14ac:dyDescent="0.25">
      <c r="D67" s="51" t="s">
        <v>172</v>
      </c>
      <c r="E67" s="51" t="s">
        <v>209</v>
      </c>
      <c r="F67" s="51" t="s">
        <v>146</v>
      </c>
      <c r="G67" s="51" t="s">
        <v>147</v>
      </c>
      <c r="H67" s="51" t="s">
        <v>148</v>
      </c>
      <c r="I67" s="51" t="s">
        <v>266</v>
      </c>
      <c r="N67" s="51" t="s">
        <v>172</v>
      </c>
      <c r="O67" s="51" t="s">
        <v>209</v>
      </c>
      <c r="P67" s="51" t="s">
        <v>146</v>
      </c>
      <c r="Q67" s="51" t="s">
        <v>147</v>
      </c>
      <c r="R67" s="51" t="s">
        <v>148</v>
      </c>
      <c r="S67" s="51" t="s">
        <v>266</v>
      </c>
    </row>
    <row r="68" spans="4:20" ht="20.100000000000001" customHeight="1" x14ac:dyDescent="0.25">
      <c r="D68" s="57" t="str">
        <f>'Input - Swine'!$D$29</f>
        <v>Anaerobic lagoon</v>
      </c>
      <c r="E68" s="57" t="s">
        <v>214</v>
      </c>
      <c r="F68" s="52" cm="1">
        <f t="array" ref="F68">MMS_Swine_AtmosphericDeposition_Equations.VEERG_4_5_1_5__2_TotalNitrogenVolatilisedFromMMS(E19,_xlfn.XLOOKUP($D68,$D$58:$D$63,$E$58:$E$63))</f>
        <v>110.81399999999999</v>
      </c>
      <c r="G68" s="52" cm="1">
        <f t="array" ref="G68">MMS_Swine_AtmosphericDeposition_Equations.VEERG_4_5_1_5__2_TotalNitrogenVolatilisedFromMMS(F19,_xlfn.XLOOKUP($D68,$D$58:$D$63,$E$58:$E$63))</f>
        <v>118.04100000000003</v>
      </c>
      <c r="H68" s="52" cm="1">
        <f t="array" ref="H68">MMS_Swine_AtmosphericDeposition_Equations.VEERG_4_5_1_5__2_TotalNitrogenVolatilisedFromMMS(G19,_xlfn.XLOOKUP($D68,$D$58:$D$63,$E$58:$E$63))</f>
        <v>110.81399999999999</v>
      </c>
      <c r="I68" s="52" cm="1">
        <f t="array" ref="I68">MMS_Swine_AtmosphericDeposition_Equations.VEERG_4_5_1_5__2_TotalNitrogenVolatilisedFromMMS(H19,_xlfn.XLOOKUP($D68,$D$58:$D$63,$E$58:$E$63))</f>
        <v>75.160799999999995</v>
      </c>
      <c r="J68" s="2" t="str">
        <f>$E$11</f>
        <v>kg N</v>
      </c>
      <c r="N68" s="57" t="str">
        <f>'Input - Swine'!$D$29</f>
        <v>Anaerobic lagoon</v>
      </c>
      <c r="O68" s="57" t="s">
        <v>214</v>
      </c>
      <c r="P68" s="52" cm="1">
        <f t="array" ref="P68">MMS_Swine_AtmosphericDeposition_Equations.VEERG_4_5_1_5__2_TotalNitrogenVolatilisedFromMMS(O19,_xlfn.XLOOKUP($D68,$D$58:$D$63,$E$58:$E$63))</f>
        <v>110.81399999999999</v>
      </c>
      <c r="Q68" s="52" cm="1">
        <f t="array" ref="Q68">MMS_Swine_AtmosphericDeposition_Equations.VEERG_4_5_1_5__2_TotalNitrogenVolatilisedFromMMS(P19,_xlfn.XLOOKUP($D68,$D$58:$D$63,$E$58:$E$63))</f>
        <v>118.04100000000003</v>
      </c>
      <c r="R68" s="52" cm="1">
        <f t="array" ref="R68">MMS_Swine_AtmosphericDeposition_Equations.VEERG_4_5_1_5__2_TotalNitrogenVolatilisedFromMMS(Q19,_xlfn.XLOOKUP($D68,$D$58:$D$63,$E$58:$E$63))</f>
        <v>110.81399999999999</v>
      </c>
      <c r="S68" s="52" cm="1">
        <f t="array" ref="S68">MMS_Swine_AtmosphericDeposition_Equations.VEERG_4_5_1_5__2_TotalNitrogenVolatilisedFromMMS(R19,_xlfn.XLOOKUP($D68,$D$58:$D$63,$E$58:$E$63))</f>
        <v>75.160799999999995</v>
      </c>
      <c r="T68" s="2" t="str">
        <f>$E$11</f>
        <v>kg N</v>
      </c>
    </row>
    <row r="69" spans="4:20" ht="20.100000000000001" customHeight="1" x14ac:dyDescent="0.25">
      <c r="D69" s="57" t="str">
        <f>'Input - Swine'!$D$30</f>
        <v>Drylot (feed pad)</v>
      </c>
      <c r="E69" s="57" t="s">
        <v>214</v>
      </c>
      <c r="F69" s="52" cm="1">
        <f t="array" ref="F69">MMS_Swine_AtmosphericDeposition_Equations.VEERG_4_5_1_5__2_TotalNitrogenVolatilisedFromMMS(E20,_xlfn.XLOOKUP($D69,$D$58:$D$63,$E$58:$E$63))</f>
        <v>60.443999999999988</v>
      </c>
      <c r="G69" s="52" cm="1">
        <f t="array" ref="G69">MMS_Swine_AtmosphericDeposition_Equations.VEERG_4_5_1_5__2_TotalNitrogenVolatilisedFromMMS(F20,_xlfn.XLOOKUP($D69,$D$58:$D$63,$E$58:$E$63))</f>
        <v>64.38600000000001</v>
      </c>
      <c r="H69" s="52" cm="1">
        <f t="array" ref="H69">MMS_Swine_AtmosphericDeposition_Equations.VEERG_4_5_1_5__2_TotalNitrogenVolatilisedFromMMS(G20,_xlfn.XLOOKUP($D69,$D$58:$D$63,$E$58:$E$63))</f>
        <v>60.443999999999988</v>
      </c>
      <c r="I69" s="52" cm="1">
        <f t="array" ref="I69">MMS_Swine_AtmosphericDeposition_Equations.VEERG_4_5_1_5__2_TotalNitrogenVolatilisedFromMMS(H20,_xlfn.XLOOKUP($D69,$D$58:$D$63,$E$58:$E$63))</f>
        <v>40.996799999999993</v>
      </c>
      <c r="J69" s="2" t="str">
        <f t="shared" ref="J69:J98" si="0">$E$11</f>
        <v>kg N</v>
      </c>
      <c r="N69" s="57" t="str">
        <f>'Input - Swine'!$D$30</f>
        <v>Drylot (feed pad)</v>
      </c>
      <c r="O69" s="57" t="s">
        <v>214</v>
      </c>
      <c r="P69" s="52" cm="1">
        <f t="array" ref="P69">MMS_Swine_AtmosphericDeposition_Equations.VEERG_4_5_1_5__2_TotalNitrogenVolatilisedFromMMS(O20,_xlfn.XLOOKUP($D69,$D$58:$D$63,$E$58:$E$63))</f>
        <v>60.443999999999988</v>
      </c>
      <c r="Q69" s="52" cm="1">
        <f t="array" ref="Q69">MMS_Swine_AtmosphericDeposition_Equations.VEERG_4_5_1_5__2_TotalNitrogenVolatilisedFromMMS(P20,_xlfn.XLOOKUP($D69,$D$58:$D$63,$E$58:$E$63))</f>
        <v>64.38600000000001</v>
      </c>
      <c r="R69" s="52" cm="1">
        <f t="array" ref="R69">MMS_Swine_AtmosphericDeposition_Equations.VEERG_4_5_1_5__2_TotalNitrogenVolatilisedFromMMS(Q20,_xlfn.XLOOKUP($D69,$D$58:$D$63,$E$58:$E$63))</f>
        <v>60.443999999999988</v>
      </c>
      <c r="S69" s="52" cm="1">
        <f t="array" ref="S69">MMS_Swine_AtmosphericDeposition_Equations.VEERG_4_5_1_5__2_TotalNitrogenVolatilisedFromMMS(R20,_xlfn.XLOOKUP($D69,$D$58:$D$63,$E$58:$E$63))</f>
        <v>40.996799999999993</v>
      </c>
      <c r="T69" s="2" t="str">
        <f t="shared" ref="T69:T98" si="1">$E$11</f>
        <v>kg N</v>
      </c>
    </row>
    <row r="70" spans="4:20" ht="20.100000000000001" customHeight="1" x14ac:dyDescent="0.25">
      <c r="D70" s="57" t="str">
        <f>'Input - Swine'!$D$31</f>
        <v>Digester / covered lagoons</v>
      </c>
      <c r="E70" s="57" t="s">
        <v>214</v>
      </c>
      <c r="F70" s="52" cm="1">
        <f t="array" ref="F70">MMS_Swine_AtmosphericDeposition_Equations.VEERG_4_5_1_5__2_TotalNitrogenVolatilisedFromMMS(E21,_xlfn.XLOOKUP($D70,$D$58:$D$63,$E$58:$E$63))</f>
        <v>0</v>
      </c>
      <c r="G70" s="52" cm="1">
        <f t="array" ref="G70">MMS_Swine_AtmosphericDeposition_Equations.VEERG_4_5_1_5__2_TotalNitrogenVolatilisedFromMMS(F21,_xlfn.XLOOKUP($D70,$D$58:$D$63,$E$58:$E$63))</f>
        <v>0</v>
      </c>
      <c r="H70" s="52" cm="1">
        <f t="array" ref="H70">MMS_Swine_AtmosphericDeposition_Equations.VEERG_4_5_1_5__2_TotalNitrogenVolatilisedFromMMS(G21,_xlfn.XLOOKUP($D70,$D$58:$D$63,$E$58:$E$63))</f>
        <v>0</v>
      </c>
      <c r="I70" s="52" cm="1">
        <f t="array" ref="I70">MMS_Swine_AtmosphericDeposition_Equations.VEERG_4_5_1_5__2_TotalNitrogenVolatilisedFromMMS(H21,_xlfn.XLOOKUP($D70,$D$58:$D$63,$E$58:$E$63))</f>
        <v>0</v>
      </c>
      <c r="J70" s="2" t="str">
        <f t="shared" si="0"/>
        <v>kg N</v>
      </c>
      <c r="N70" s="57" t="str">
        <f>'Input - Swine'!$D$31</f>
        <v>Digester / covered lagoons</v>
      </c>
      <c r="O70" s="57" t="s">
        <v>214</v>
      </c>
      <c r="P70" s="52" cm="1">
        <f t="array" ref="P70">MMS_Swine_AtmosphericDeposition_Equations.VEERG_4_5_1_5__2_TotalNitrogenVolatilisedFromMMS(O21,_xlfn.XLOOKUP($D70,$D$58:$D$63,$E$58:$E$63))</f>
        <v>0</v>
      </c>
      <c r="Q70" s="52" cm="1">
        <f t="array" ref="Q70">MMS_Swine_AtmosphericDeposition_Equations.VEERG_4_5_1_5__2_TotalNitrogenVolatilisedFromMMS(P21,_xlfn.XLOOKUP($D70,$D$58:$D$63,$E$58:$E$63))</f>
        <v>0</v>
      </c>
      <c r="R70" s="52" cm="1">
        <f t="array" ref="R70">MMS_Swine_AtmosphericDeposition_Equations.VEERG_4_5_1_5__2_TotalNitrogenVolatilisedFromMMS(Q21,_xlfn.XLOOKUP($D70,$D$58:$D$63,$E$58:$E$63))</f>
        <v>0</v>
      </c>
      <c r="S70" s="52" cm="1">
        <f t="array" ref="S70">MMS_Swine_AtmosphericDeposition_Equations.VEERG_4_5_1_5__2_TotalNitrogenVolatilisedFromMMS(R21,_xlfn.XLOOKUP($D70,$D$58:$D$63,$E$58:$E$63))</f>
        <v>0</v>
      </c>
      <c r="T70" s="2" t="str">
        <f t="shared" si="1"/>
        <v>kg N</v>
      </c>
    </row>
    <row r="71" spans="4:20" ht="20.100000000000001" customHeight="1" x14ac:dyDescent="0.25">
      <c r="D71" s="57" t="str">
        <f>'Input - Swine'!$D$32</f>
        <v>Deep litter</v>
      </c>
      <c r="E71" s="57" t="s">
        <v>214</v>
      </c>
      <c r="F71" s="52" cm="1">
        <f t="array" ref="F71">MMS_Swine_AtmosphericDeposition_Equations.VEERG_4_5_1_5__2_TotalNitrogenVolatilisedFromMMS(E22,_xlfn.XLOOKUP($D71,$D$58:$D$63,$E$58:$E$63))</f>
        <v>25.184999999999995</v>
      </c>
      <c r="G71" s="52" cm="1">
        <f t="array" ref="G71">MMS_Swine_AtmosphericDeposition_Equations.VEERG_4_5_1_5__2_TotalNitrogenVolatilisedFromMMS(F22,_xlfn.XLOOKUP($D71,$D$58:$D$63,$E$58:$E$63))</f>
        <v>26.827500000000004</v>
      </c>
      <c r="H71" s="52" cm="1">
        <f t="array" ref="H71">MMS_Swine_AtmosphericDeposition_Equations.VEERG_4_5_1_5__2_TotalNitrogenVolatilisedFromMMS(G22,_xlfn.XLOOKUP($D71,$D$58:$D$63,$E$58:$E$63))</f>
        <v>25.184999999999995</v>
      </c>
      <c r="I71" s="52" cm="1">
        <f t="array" ref="I71">MMS_Swine_AtmosphericDeposition_Equations.VEERG_4_5_1_5__2_TotalNitrogenVolatilisedFromMMS(H22,_xlfn.XLOOKUP($D71,$D$58:$D$63,$E$58:$E$63))</f>
        <v>17.081999999999997</v>
      </c>
      <c r="J71" s="2" t="str">
        <f t="shared" si="0"/>
        <v>kg N</v>
      </c>
      <c r="N71" s="57" t="str">
        <f>'Input - Swine'!$D$32</f>
        <v>Deep litter</v>
      </c>
      <c r="O71" s="57" t="s">
        <v>214</v>
      </c>
      <c r="P71" s="52" cm="1">
        <f t="array" ref="P71">MMS_Swine_AtmosphericDeposition_Equations.VEERG_4_5_1_5__2_TotalNitrogenVolatilisedFromMMS(O22,_xlfn.XLOOKUP($D71,$D$58:$D$63,$E$58:$E$63))</f>
        <v>25.184999999999995</v>
      </c>
      <c r="Q71" s="52" cm="1">
        <f t="array" ref="Q71">MMS_Swine_AtmosphericDeposition_Equations.VEERG_4_5_1_5__2_TotalNitrogenVolatilisedFromMMS(P22,_xlfn.XLOOKUP($D71,$D$58:$D$63,$E$58:$E$63))</f>
        <v>26.827500000000004</v>
      </c>
      <c r="R71" s="52" cm="1">
        <f t="array" ref="R71">MMS_Swine_AtmosphericDeposition_Equations.VEERG_4_5_1_5__2_TotalNitrogenVolatilisedFromMMS(Q22,_xlfn.XLOOKUP($D71,$D$58:$D$63,$E$58:$E$63))</f>
        <v>25.184999999999995</v>
      </c>
      <c r="S71" s="52" cm="1">
        <f t="array" ref="S71">MMS_Swine_AtmosphericDeposition_Equations.VEERG_4_5_1_5__2_TotalNitrogenVolatilisedFromMMS(R22,_xlfn.XLOOKUP($D71,$D$58:$D$63,$E$58:$E$63))</f>
        <v>17.081999999999997</v>
      </c>
      <c r="T71" s="2" t="str">
        <f t="shared" si="1"/>
        <v>kg N</v>
      </c>
    </row>
    <row r="72" spans="4:20" ht="20.100000000000001" customHeight="1" x14ac:dyDescent="0.25">
      <c r="D72" s="57" t="str">
        <f>'Input - Swine'!$D$33</f>
        <v>Pit storage</v>
      </c>
      <c r="E72" s="57" t="s">
        <v>214</v>
      </c>
      <c r="F72" s="52" cm="1">
        <f t="array" ref="F72">MMS_Swine_AtmosphericDeposition_Equations.VEERG_4_5_1_5__2_TotalNitrogenVolatilisedFromMMS(E23,_xlfn.XLOOKUP($D72,$D$58:$D$63,$E$58:$E$63))</f>
        <v>50.36999999999999</v>
      </c>
      <c r="G72" s="52" cm="1">
        <f t="array" ref="G72">MMS_Swine_AtmosphericDeposition_Equations.VEERG_4_5_1_5__2_TotalNitrogenVolatilisedFromMMS(F23,_xlfn.XLOOKUP($D72,$D$58:$D$63,$E$58:$E$63))</f>
        <v>53.655000000000008</v>
      </c>
      <c r="H72" s="52" cm="1">
        <f t="array" ref="H72">MMS_Swine_AtmosphericDeposition_Equations.VEERG_4_5_1_5__2_TotalNitrogenVolatilisedFromMMS(G23,_xlfn.XLOOKUP($D72,$D$58:$D$63,$E$58:$E$63))</f>
        <v>50.36999999999999</v>
      </c>
      <c r="I72" s="52" cm="1">
        <f t="array" ref="I72">MMS_Swine_AtmosphericDeposition_Equations.VEERG_4_5_1_5__2_TotalNitrogenVolatilisedFromMMS(H23,_xlfn.XLOOKUP($D72,$D$58:$D$63,$E$58:$E$63))</f>
        <v>34.163999999999994</v>
      </c>
      <c r="J72" s="2" t="str">
        <f t="shared" si="0"/>
        <v>kg N</v>
      </c>
      <c r="N72" s="57" t="str">
        <f>'Input - Swine'!$D$33</f>
        <v>Pit storage</v>
      </c>
      <c r="O72" s="57" t="s">
        <v>214</v>
      </c>
      <c r="P72" s="52" cm="1">
        <f t="array" ref="P72">MMS_Swine_AtmosphericDeposition_Equations.VEERG_4_5_1_5__2_TotalNitrogenVolatilisedFromMMS(O23,_xlfn.XLOOKUP($D72,$D$58:$D$63,$E$58:$E$63))</f>
        <v>50.36999999999999</v>
      </c>
      <c r="Q72" s="52" cm="1">
        <f t="array" ref="Q72">MMS_Swine_AtmosphericDeposition_Equations.VEERG_4_5_1_5__2_TotalNitrogenVolatilisedFromMMS(P23,_xlfn.XLOOKUP($D72,$D$58:$D$63,$E$58:$E$63))</f>
        <v>53.655000000000008</v>
      </c>
      <c r="R72" s="52" cm="1">
        <f t="array" ref="R72">MMS_Swine_AtmosphericDeposition_Equations.VEERG_4_5_1_5__2_TotalNitrogenVolatilisedFromMMS(Q23,_xlfn.XLOOKUP($D72,$D$58:$D$63,$E$58:$E$63))</f>
        <v>50.36999999999999</v>
      </c>
      <c r="S72" s="52" cm="1">
        <f t="array" ref="S72">MMS_Swine_AtmosphericDeposition_Equations.VEERG_4_5_1_5__2_TotalNitrogenVolatilisedFromMMS(R23,_xlfn.XLOOKUP($D72,$D$58:$D$63,$E$58:$E$63))</f>
        <v>34.163999999999994</v>
      </c>
      <c r="T72" s="2" t="str">
        <f t="shared" si="1"/>
        <v>kg N</v>
      </c>
    </row>
    <row r="73" spans="4:20" ht="20.100000000000001" customHeight="1" x14ac:dyDescent="0.25">
      <c r="D73" s="57" t="str">
        <f>'Input - Swine'!$D$34</f>
        <v>Solid storage</v>
      </c>
      <c r="E73" s="57" t="s">
        <v>214</v>
      </c>
      <c r="F73" s="52" cm="1">
        <f t="array" ref="F73">MMS_Swine_AtmosphericDeposition_Equations.VEERG_4_5_1_5__2_TotalNitrogenVolatilisedFromMMS(E24,_xlfn.XLOOKUP($D73,$D$58:$D$63,$E$58:$E$63))</f>
        <v>134.32000000000002</v>
      </c>
      <c r="G73" s="52" cm="1">
        <f t="array" ref="G73">MMS_Swine_AtmosphericDeposition_Equations.VEERG_4_5_1_5__2_TotalNitrogenVolatilisedFromMMS(F24,_xlfn.XLOOKUP($D73,$D$58:$D$63,$E$58:$E$63))</f>
        <v>143.08000000000007</v>
      </c>
      <c r="H73" s="52" cm="1">
        <f t="array" ref="H73">MMS_Swine_AtmosphericDeposition_Equations.VEERG_4_5_1_5__2_TotalNitrogenVolatilisedFromMMS(G24,_xlfn.XLOOKUP($D73,$D$58:$D$63,$E$58:$E$63))</f>
        <v>134.32000000000002</v>
      </c>
      <c r="I73" s="52" cm="1">
        <f t="array" ref="I73">MMS_Swine_AtmosphericDeposition_Equations.VEERG_4_5_1_5__2_TotalNitrogenVolatilisedFromMMS(H24,_xlfn.XLOOKUP($D73,$D$58:$D$63,$E$58:$E$63))</f>
        <v>91.104000000000042</v>
      </c>
      <c r="J73" s="2" t="str">
        <f t="shared" si="0"/>
        <v>kg N</v>
      </c>
      <c r="N73" s="57" t="str">
        <f>'Input - Swine'!$D$34</f>
        <v>Solid storage</v>
      </c>
      <c r="O73" s="57" t="s">
        <v>214</v>
      </c>
      <c r="P73" s="52" cm="1">
        <f t="array" ref="P73">MMS_Swine_AtmosphericDeposition_Equations.VEERG_4_5_1_5__2_TotalNitrogenVolatilisedFromMMS(O24,_xlfn.XLOOKUP($D73,$D$58:$D$63,$E$58:$E$63))</f>
        <v>134.32000000000002</v>
      </c>
      <c r="Q73" s="52" cm="1">
        <f t="array" ref="Q73">MMS_Swine_AtmosphericDeposition_Equations.VEERG_4_5_1_5__2_TotalNitrogenVolatilisedFromMMS(P24,_xlfn.XLOOKUP($D73,$D$58:$D$63,$E$58:$E$63))</f>
        <v>143.08000000000007</v>
      </c>
      <c r="R73" s="52" cm="1">
        <f t="array" ref="R73">MMS_Swine_AtmosphericDeposition_Equations.VEERG_4_5_1_5__2_TotalNitrogenVolatilisedFromMMS(Q24,_xlfn.XLOOKUP($D73,$D$58:$D$63,$E$58:$E$63))</f>
        <v>134.32000000000002</v>
      </c>
      <c r="S73" s="52" cm="1">
        <f t="array" ref="S73">MMS_Swine_AtmosphericDeposition_Equations.VEERG_4_5_1_5__2_TotalNitrogenVolatilisedFromMMS(R24,_xlfn.XLOOKUP($D73,$D$58:$D$63,$E$58:$E$63))</f>
        <v>91.104000000000042</v>
      </c>
      <c r="T73" s="2" t="str">
        <f t="shared" si="1"/>
        <v>kg N</v>
      </c>
    </row>
    <row r="74" spans="4:20" ht="20.100000000000001" customHeight="1" x14ac:dyDescent="0.25">
      <c r="D74" s="57" t="str">
        <f>'Input - Swine'!$D$29</f>
        <v>Anaerobic lagoon</v>
      </c>
      <c r="E74" s="57" t="str">
        <f>'Input - Swine'!$D$48</f>
        <v>Drylot (feed pad)</v>
      </c>
      <c r="F74" s="52" cm="1">
        <f t="array" ref="F74">MMS_Swine_AtmosphericDeposition_Equations.VEERG_4_5_1_5__2_TotalNitrogenVolatilisedFromMMS(F29,_xlfn.XLOOKUP($E74,$D$58:$D$63,$E$58:$E$63))</f>
        <v>5.4399599999999984</v>
      </c>
      <c r="G74" s="52" cm="1">
        <f t="array" ref="G74">MMS_Swine_AtmosphericDeposition_Equations.VEERG_4_5_1_5__2_TotalNitrogenVolatilisedFromMMS(G29,_xlfn.XLOOKUP($E74,$D$58:$D$63,$E$58:$E$63))</f>
        <v>7.2434250000000002</v>
      </c>
      <c r="H74" s="52" cm="1">
        <f t="array" ref="H74">MMS_Swine_AtmosphericDeposition_Equations.VEERG_4_5_1_5__2_TotalNitrogenVolatilisedFromMMS(H29,_xlfn.XLOOKUP($E74,$D$58:$D$63,$E$58:$E$63))</f>
        <v>6.7999499999999973</v>
      </c>
      <c r="I74" s="52" cm="1">
        <f t="array" ref="I74">MMS_Swine_AtmosphericDeposition_Equations.VEERG_4_5_1_5__2_TotalNitrogenVolatilisedFromMMS(I29,_xlfn.XLOOKUP($E74,$D$58:$D$63,$E$58:$E$63))</f>
        <v>4.6121399999999984</v>
      </c>
      <c r="J74" s="2" t="str">
        <f t="shared" si="0"/>
        <v>kg N</v>
      </c>
      <c r="N74" s="57" t="str">
        <f>'Input - Swine'!$D$29</f>
        <v>Anaerobic lagoon</v>
      </c>
      <c r="O74" s="57" t="str">
        <f>'Input - Swine'!$D$48</f>
        <v>Drylot (feed pad)</v>
      </c>
      <c r="P74" s="52" cm="1">
        <f t="array" ref="P74">MMS_Swine_AtmosphericDeposition_Equations.VEERG_4_5_1_5__2_TotalNitrogenVolatilisedFromMMS(P29,_xlfn.XLOOKUP($E74,$D$58:$D$63,$E$58:$E$63))</f>
        <v>5.4399599999999984</v>
      </c>
      <c r="Q74" s="52" cm="1">
        <f t="array" ref="Q74">MMS_Swine_AtmosphericDeposition_Equations.VEERG_4_5_1_5__2_TotalNitrogenVolatilisedFromMMS(Q29,_xlfn.XLOOKUP($E74,$D$58:$D$63,$E$58:$E$63))</f>
        <v>7.2434250000000002</v>
      </c>
      <c r="R74" s="52" cm="1">
        <f t="array" ref="R74">MMS_Swine_AtmosphericDeposition_Equations.VEERG_4_5_1_5__2_TotalNitrogenVolatilisedFromMMS(R29,_xlfn.XLOOKUP($E74,$D$58:$D$63,$E$58:$E$63))</f>
        <v>6.7999499999999973</v>
      </c>
      <c r="S74" s="52" cm="1">
        <f t="array" ref="S74">MMS_Swine_AtmosphericDeposition_Equations.VEERG_4_5_1_5__2_TotalNitrogenVolatilisedFromMMS(S29,_xlfn.XLOOKUP($E74,$D$58:$D$63,$E$58:$E$63))</f>
        <v>4.6121399999999984</v>
      </c>
      <c r="T74" s="2" t="str">
        <f t="shared" si="1"/>
        <v>kg N</v>
      </c>
    </row>
    <row r="75" spans="4:20" ht="20.100000000000001" customHeight="1" x14ac:dyDescent="0.25">
      <c r="D75" s="57"/>
      <c r="E75" s="57" t="str">
        <f>'Input - Swine'!$D$49</f>
        <v>Digester / covered lagoons</v>
      </c>
      <c r="F75" s="52" cm="1">
        <f t="array" ref="F75">MMS_Swine_AtmosphericDeposition_Equations.VEERG_4_5_1_5__2_TotalNitrogenVolatilisedFromMMS(F30,_xlfn.XLOOKUP($E75,$D$58:$D$63,$E$58:$E$63))</f>
        <v>0</v>
      </c>
      <c r="G75" s="52" cm="1">
        <f t="array" ref="G75">MMS_Swine_AtmosphericDeposition_Equations.VEERG_4_5_1_5__2_TotalNitrogenVolatilisedFromMMS(G30,_xlfn.XLOOKUP($E75,$D$58:$D$63,$E$58:$E$63))</f>
        <v>0</v>
      </c>
      <c r="H75" s="52" cm="1">
        <f t="array" ref="H75">MMS_Swine_AtmosphericDeposition_Equations.VEERG_4_5_1_5__2_TotalNitrogenVolatilisedFromMMS(H30,_xlfn.XLOOKUP($E75,$D$58:$D$63,$E$58:$E$63))</f>
        <v>0</v>
      </c>
      <c r="I75" s="52" cm="1">
        <f t="array" ref="I75">MMS_Swine_AtmosphericDeposition_Equations.VEERG_4_5_1_5__2_TotalNitrogenVolatilisedFromMMS(I30,_xlfn.XLOOKUP($E75,$D$58:$D$63,$E$58:$E$63))</f>
        <v>0</v>
      </c>
      <c r="J75" s="2" t="str">
        <f t="shared" si="0"/>
        <v>kg N</v>
      </c>
      <c r="N75" s="57"/>
      <c r="O75" s="57" t="str">
        <f>'Input - Swine'!$D$49</f>
        <v>Digester / covered lagoons</v>
      </c>
      <c r="P75" s="52" cm="1">
        <f t="array" ref="P75">MMS_Swine_AtmosphericDeposition_Equations.VEERG_4_5_1_5__2_TotalNitrogenVolatilisedFromMMS(P30,_xlfn.XLOOKUP($E75,$D$58:$D$63,$E$58:$E$63))</f>
        <v>0</v>
      </c>
      <c r="Q75" s="52" cm="1">
        <f t="array" ref="Q75">MMS_Swine_AtmosphericDeposition_Equations.VEERG_4_5_1_5__2_TotalNitrogenVolatilisedFromMMS(Q30,_xlfn.XLOOKUP($E75,$D$58:$D$63,$E$58:$E$63))</f>
        <v>0</v>
      </c>
      <c r="R75" s="52" cm="1">
        <f t="array" ref="R75">MMS_Swine_AtmosphericDeposition_Equations.VEERG_4_5_1_5__2_TotalNitrogenVolatilisedFromMMS(R30,_xlfn.XLOOKUP($E75,$D$58:$D$63,$E$58:$E$63))</f>
        <v>0</v>
      </c>
      <c r="S75" s="52" cm="1">
        <f t="array" ref="S75">MMS_Swine_AtmosphericDeposition_Equations.VEERG_4_5_1_5__2_TotalNitrogenVolatilisedFromMMS(S30,_xlfn.XLOOKUP($E75,$D$58:$D$63,$E$58:$E$63))</f>
        <v>0</v>
      </c>
      <c r="T75" s="2" t="str">
        <f t="shared" si="1"/>
        <v>kg N</v>
      </c>
    </row>
    <row r="76" spans="4:20" ht="20.100000000000001" customHeight="1" x14ac:dyDescent="0.25">
      <c r="D76" s="57"/>
      <c r="E76" s="57" t="str">
        <f>'Input - Swine'!$D$50</f>
        <v>Deep litter</v>
      </c>
      <c r="F76" s="52" cm="1">
        <f t="array" ref="F76">MMS_Swine_AtmosphericDeposition_Equations.VEERG_4_5_1_5__2_TotalNitrogenVolatilisedFromMMS(F31,_xlfn.XLOOKUP($E76,$D$58:$D$63,$E$58:$E$63))</f>
        <v>2.2666499999999994</v>
      </c>
      <c r="G76" s="52" cm="1">
        <f t="array" ref="G76">MMS_Swine_AtmosphericDeposition_Equations.VEERG_4_5_1_5__2_TotalNitrogenVolatilisedFromMMS(G31,_xlfn.XLOOKUP($E76,$D$58:$D$63,$E$58:$E$63))</f>
        <v>3.0180937500000002</v>
      </c>
      <c r="H76" s="52" cm="1">
        <f t="array" ref="H76">MMS_Swine_AtmosphericDeposition_Equations.VEERG_4_5_1_5__2_TotalNitrogenVolatilisedFromMMS(H31,_xlfn.XLOOKUP($E76,$D$58:$D$63,$E$58:$E$63))</f>
        <v>2.833312499999999</v>
      </c>
      <c r="I76" s="52" cm="1">
        <f t="array" ref="I76">MMS_Swine_AtmosphericDeposition_Equations.VEERG_4_5_1_5__2_TotalNitrogenVolatilisedFromMMS(I31,_xlfn.XLOOKUP($E76,$D$58:$D$63,$E$58:$E$63))</f>
        <v>1.9217249999999995</v>
      </c>
      <c r="J76" s="2" t="str">
        <f t="shared" si="0"/>
        <v>kg N</v>
      </c>
      <c r="N76" s="57"/>
      <c r="O76" s="57" t="str">
        <f>'Input - Swine'!$D$50</f>
        <v>Deep litter</v>
      </c>
      <c r="P76" s="52" cm="1">
        <f t="array" ref="P76">MMS_Swine_AtmosphericDeposition_Equations.VEERG_4_5_1_5__2_TotalNitrogenVolatilisedFromMMS(P31,_xlfn.XLOOKUP($E76,$D$58:$D$63,$E$58:$E$63))</f>
        <v>2.2666499999999994</v>
      </c>
      <c r="Q76" s="52" cm="1">
        <f t="array" ref="Q76">MMS_Swine_AtmosphericDeposition_Equations.VEERG_4_5_1_5__2_TotalNitrogenVolatilisedFromMMS(Q31,_xlfn.XLOOKUP($E76,$D$58:$D$63,$E$58:$E$63))</f>
        <v>3.0180937500000002</v>
      </c>
      <c r="R76" s="52" cm="1">
        <f t="array" ref="R76">MMS_Swine_AtmosphericDeposition_Equations.VEERG_4_5_1_5__2_TotalNitrogenVolatilisedFromMMS(R31,_xlfn.XLOOKUP($E76,$D$58:$D$63,$E$58:$E$63))</f>
        <v>2.833312499999999</v>
      </c>
      <c r="S76" s="52" cm="1">
        <f t="array" ref="S76">MMS_Swine_AtmosphericDeposition_Equations.VEERG_4_5_1_5__2_TotalNitrogenVolatilisedFromMMS(S31,_xlfn.XLOOKUP($E76,$D$58:$D$63,$E$58:$E$63))</f>
        <v>1.9217249999999995</v>
      </c>
      <c r="T76" s="2" t="str">
        <f t="shared" si="1"/>
        <v>kg N</v>
      </c>
    </row>
    <row r="77" spans="4:20" ht="20.100000000000001" customHeight="1" x14ac:dyDescent="0.25">
      <c r="D77" s="57"/>
      <c r="E77" s="57" t="str">
        <f>'Input - Swine'!$D$51</f>
        <v>Pit storage</v>
      </c>
      <c r="F77" s="52" cm="1">
        <f t="array" ref="F77">MMS_Swine_AtmosphericDeposition_Equations.VEERG_4_5_1_5__2_TotalNitrogenVolatilisedFromMMS(F32,_xlfn.XLOOKUP($E77,$D$58:$D$63,$E$58:$E$63))</f>
        <v>4.5332999999999988</v>
      </c>
      <c r="G77" s="52" cm="1">
        <f t="array" ref="G77">MMS_Swine_AtmosphericDeposition_Equations.VEERG_4_5_1_5__2_TotalNitrogenVolatilisedFromMMS(G32,_xlfn.XLOOKUP($E77,$D$58:$D$63,$E$58:$E$63))</f>
        <v>6.0361875000000005</v>
      </c>
      <c r="H77" s="52" cm="1">
        <f t="array" ref="H77">MMS_Swine_AtmosphericDeposition_Equations.VEERG_4_5_1_5__2_TotalNitrogenVolatilisedFromMMS(H32,_xlfn.XLOOKUP($E77,$D$58:$D$63,$E$58:$E$63))</f>
        <v>5.666624999999998</v>
      </c>
      <c r="I77" s="52" cm="1">
        <f t="array" ref="I77">MMS_Swine_AtmosphericDeposition_Equations.VEERG_4_5_1_5__2_TotalNitrogenVolatilisedFromMMS(I32,_xlfn.XLOOKUP($E77,$D$58:$D$63,$E$58:$E$63))</f>
        <v>3.8434499999999989</v>
      </c>
      <c r="J77" s="2" t="str">
        <f t="shared" si="0"/>
        <v>kg N</v>
      </c>
      <c r="N77" s="57"/>
      <c r="O77" s="57" t="str">
        <f>'Input - Swine'!$D$51</f>
        <v>Pit storage</v>
      </c>
      <c r="P77" s="52" cm="1">
        <f t="array" ref="P77">MMS_Swine_AtmosphericDeposition_Equations.VEERG_4_5_1_5__2_TotalNitrogenVolatilisedFromMMS(P32,_xlfn.XLOOKUP($E77,$D$58:$D$63,$E$58:$E$63))</f>
        <v>4.5332999999999988</v>
      </c>
      <c r="Q77" s="52" cm="1">
        <f t="array" ref="Q77">MMS_Swine_AtmosphericDeposition_Equations.VEERG_4_5_1_5__2_TotalNitrogenVolatilisedFromMMS(Q32,_xlfn.XLOOKUP($E77,$D$58:$D$63,$E$58:$E$63))</f>
        <v>6.0361875000000005</v>
      </c>
      <c r="R77" s="52" cm="1">
        <f t="array" ref="R77">MMS_Swine_AtmosphericDeposition_Equations.VEERG_4_5_1_5__2_TotalNitrogenVolatilisedFromMMS(R32,_xlfn.XLOOKUP($E77,$D$58:$D$63,$E$58:$E$63))</f>
        <v>5.666624999999998</v>
      </c>
      <c r="S77" s="52" cm="1">
        <f t="array" ref="S77">MMS_Swine_AtmosphericDeposition_Equations.VEERG_4_5_1_5__2_TotalNitrogenVolatilisedFromMMS(S32,_xlfn.XLOOKUP($E77,$D$58:$D$63,$E$58:$E$63))</f>
        <v>3.8434499999999989</v>
      </c>
      <c r="T77" s="2" t="str">
        <f t="shared" si="1"/>
        <v>kg N</v>
      </c>
    </row>
    <row r="78" spans="4:20" ht="20.100000000000001" customHeight="1" x14ac:dyDescent="0.25">
      <c r="D78" s="57" t="str">
        <f>'Input - Swine'!$D$30</f>
        <v>Drylot (feed pad)</v>
      </c>
      <c r="E78" s="57" t="str">
        <f>'Input - Swine'!$D$56</f>
        <v>Anaerobic lagoon</v>
      </c>
      <c r="F78" s="52" cm="1">
        <f t="array" ref="F78">MMS_Swine_AtmosphericDeposition_Equations.VEERG_4_5_1_5__2_TotalNitrogenVolatilisedFromMMS(F33,_xlfn.XLOOKUP($E78,$D$58:$D$63,$E$58:$E$63))</f>
        <v>15.070703999999997</v>
      </c>
      <c r="G78" s="52" cm="1">
        <f t="array" ref="G78">MMS_Swine_AtmosphericDeposition_Equations.VEERG_4_5_1_5__2_TotalNitrogenVolatilisedFromMMS(G33,_xlfn.XLOOKUP($E78,$D$58:$D$63,$E$58:$E$63))</f>
        <v>20.066970000000005</v>
      </c>
      <c r="H78" s="52" cm="1">
        <f t="array" ref="H78">MMS_Swine_AtmosphericDeposition_Equations.VEERG_4_5_1_5__2_TotalNitrogenVolatilisedFromMMS(H33,_xlfn.XLOOKUP($E78,$D$58:$D$63,$E$58:$E$63))</f>
        <v>18.838379999999997</v>
      </c>
      <c r="I78" s="52" cm="1">
        <f t="array" ref="I78">MMS_Swine_AtmosphericDeposition_Equations.VEERG_4_5_1_5__2_TotalNitrogenVolatilisedFromMMS(I33,_xlfn.XLOOKUP($E78,$D$58:$D$63,$E$58:$E$63))</f>
        <v>12.777335999999996</v>
      </c>
      <c r="J78" s="2" t="str">
        <f t="shared" si="0"/>
        <v>kg N</v>
      </c>
      <c r="N78" s="57" t="str">
        <f>'Input - Swine'!$D$30</f>
        <v>Drylot (feed pad)</v>
      </c>
      <c r="O78" s="57" t="str">
        <f>'Input - Swine'!$D$56</f>
        <v>Anaerobic lagoon</v>
      </c>
      <c r="P78" s="52" cm="1">
        <f t="array" ref="P78">MMS_Swine_AtmosphericDeposition_Equations.VEERG_4_5_1_5__2_TotalNitrogenVolatilisedFromMMS(P33,_xlfn.XLOOKUP($E78,$D$58:$D$63,$E$58:$E$63))</f>
        <v>15.070703999999997</v>
      </c>
      <c r="Q78" s="52" cm="1">
        <f t="array" ref="Q78">MMS_Swine_AtmosphericDeposition_Equations.VEERG_4_5_1_5__2_TotalNitrogenVolatilisedFromMMS(Q33,_xlfn.XLOOKUP($E78,$D$58:$D$63,$E$58:$E$63))</f>
        <v>20.066970000000005</v>
      </c>
      <c r="R78" s="52" cm="1">
        <f t="array" ref="R78">MMS_Swine_AtmosphericDeposition_Equations.VEERG_4_5_1_5__2_TotalNitrogenVolatilisedFromMMS(R33,_xlfn.XLOOKUP($E78,$D$58:$D$63,$E$58:$E$63))</f>
        <v>18.838379999999997</v>
      </c>
      <c r="S78" s="52" cm="1">
        <f t="array" ref="S78">MMS_Swine_AtmosphericDeposition_Equations.VEERG_4_5_1_5__2_TotalNitrogenVolatilisedFromMMS(S33,_xlfn.XLOOKUP($E78,$D$58:$D$63,$E$58:$E$63))</f>
        <v>12.777335999999996</v>
      </c>
      <c r="T78" s="2" t="str">
        <f t="shared" si="1"/>
        <v>kg N</v>
      </c>
    </row>
    <row r="79" spans="4:20" ht="20.100000000000001" customHeight="1" x14ac:dyDescent="0.25">
      <c r="D79" s="57"/>
      <c r="E79" s="57" t="str">
        <f>'Input - Swine'!$D$57</f>
        <v>Digester / covered lagoons</v>
      </c>
      <c r="F79" s="52" cm="1">
        <f t="array" ref="F79">MMS_Swine_AtmosphericDeposition_Equations.VEERG_4_5_1_5__2_TotalNitrogenVolatilisedFromMMS(F34,_xlfn.XLOOKUP($E79,$D$58:$D$63,$E$58:$E$63))</f>
        <v>0</v>
      </c>
      <c r="G79" s="52" cm="1">
        <f t="array" ref="G79">MMS_Swine_AtmosphericDeposition_Equations.VEERG_4_5_1_5__2_TotalNitrogenVolatilisedFromMMS(G34,_xlfn.XLOOKUP($E79,$D$58:$D$63,$E$58:$E$63))</f>
        <v>0</v>
      </c>
      <c r="H79" s="52" cm="1">
        <f t="array" ref="H79">MMS_Swine_AtmosphericDeposition_Equations.VEERG_4_5_1_5__2_TotalNitrogenVolatilisedFromMMS(H34,_xlfn.XLOOKUP($E79,$D$58:$D$63,$E$58:$E$63))</f>
        <v>0</v>
      </c>
      <c r="I79" s="52" cm="1">
        <f t="array" ref="I79">MMS_Swine_AtmosphericDeposition_Equations.VEERG_4_5_1_5__2_TotalNitrogenVolatilisedFromMMS(I34,_xlfn.XLOOKUP($E79,$D$58:$D$63,$E$58:$E$63))</f>
        <v>0</v>
      </c>
      <c r="J79" s="2" t="str">
        <f t="shared" si="0"/>
        <v>kg N</v>
      </c>
      <c r="N79" s="57"/>
      <c r="O79" s="57" t="str">
        <f>'Input - Swine'!$D$57</f>
        <v>Digester / covered lagoons</v>
      </c>
      <c r="P79" s="52" cm="1">
        <f t="array" ref="P79">MMS_Swine_AtmosphericDeposition_Equations.VEERG_4_5_1_5__2_TotalNitrogenVolatilisedFromMMS(P34,_xlfn.XLOOKUP($E79,$D$58:$D$63,$E$58:$E$63))</f>
        <v>0</v>
      </c>
      <c r="Q79" s="52" cm="1">
        <f t="array" ref="Q79">MMS_Swine_AtmosphericDeposition_Equations.VEERG_4_5_1_5__2_TotalNitrogenVolatilisedFromMMS(Q34,_xlfn.XLOOKUP($E79,$D$58:$D$63,$E$58:$E$63))</f>
        <v>0</v>
      </c>
      <c r="R79" s="52" cm="1">
        <f t="array" ref="R79">MMS_Swine_AtmosphericDeposition_Equations.VEERG_4_5_1_5__2_TotalNitrogenVolatilisedFromMMS(R34,_xlfn.XLOOKUP($E79,$D$58:$D$63,$E$58:$E$63))</f>
        <v>0</v>
      </c>
      <c r="S79" s="52" cm="1">
        <f t="array" ref="S79">MMS_Swine_AtmosphericDeposition_Equations.VEERG_4_5_1_5__2_TotalNitrogenVolatilisedFromMMS(S34,_xlfn.XLOOKUP($E79,$D$58:$D$63,$E$58:$E$63))</f>
        <v>0</v>
      </c>
      <c r="T79" s="2" t="str">
        <f t="shared" si="1"/>
        <v>kg N</v>
      </c>
    </row>
    <row r="80" spans="4:20" ht="20.100000000000001" customHeight="1" x14ac:dyDescent="0.25">
      <c r="D80" s="57"/>
      <c r="E80" s="57" t="str">
        <f>'Input - Swine'!$D$58</f>
        <v>Deep litter</v>
      </c>
      <c r="F80" s="52" cm="1">
        <f t="array" ref="F80">MMS_Swine_AtmosphericDeposition_Equations.VEERG_4_5_1_5__2_TotalNitrogenVolatilisedFromMMS(F35,_xlfn.XLOOKUP($E80,$D$58:$D$63,$E$58:$E$63))</f>
        <v>3.4251599999999991</v>
      </c>
      <c r="G80" s="52" cm="1">
        <f t="array" ref="G80">MMS_Swine_AtmosphericDeposition_Equations.VEERG_4_5_1_5__2_TotalNitrogenVolatilisedFromMMS(G35,_xlfn.XLOOKUP($E80,$D$58:$D$63,$E$58:$E$63))</f>
        <v>4.5606750000000007</v>
      </c>
      <c r="H80" s="52" cm="1">
        <f t="array" ref="H80">MMS_Swine_AtmosphericDeposition_Equations.VEERG_4_5_1_5__2_TotalNitrogenVolatilisedFromMMS(H35,_xlfn.XLOOKUP($E80,$D$58:$D$63,$E$58:$E$63))</f>
        <v>4.2814499999999986</v>
      </c>
      <c r="I80" s="52" cm="1">
        <f t="array" ref="I80">MMS_Swine_AtmosphericDeposition_Equations.VEERG_4_5_1_5__2_TotalNitrogenVolatilisedFromMMS(I35,_xlfn.XLOOKUP($E80,$D$58:$D$63,$E$58:$E$63))</f>
        <v>2.9039399999999991</v>
      </c>
      <c r="J80" s="2" t="str">
        <f t="shared" si="0"/>
        <v>kg N</v>
      </c>
      <c r="N80" s="57"/>
      <c r="O80" s="57" t="str">
        <f>'Input - Swine'!$D$58</f>
        <v>Deep litter</v>
      </c>
      <c r="P80" s="52" cm="1">
        <f t="array" ref="P80">MMS_Swine_AtmosphericDeposition_Equations.VEERG_4_5_1_5__2_TotalNitrogenVolatilisedFromMMS(P35,_xlfn.XLOOKUP($E80,$D$58:$D$63,$E$58:$E$63))</f>
        <v>3.4251599999999991</v>
      </c>
      <c r="Q80" s="52" cm="1">
        <f t="array" ref="Q80">MMS_Swine_AtmosphericDeposition_Equations.VEERG_4_5_1_5__2_TotalNitrogenVolatilisedFromMMS(Q35,_xlfn.XLOOKUP($E80,$D$58:$D$63,$E$58:$E$63))</f>
        <v>4.5606750000000007</v>
      </c>
      <c r="R80" s="52" cm="1">
        <f t="array" ref="R80">MMS_Swine_AtmosphericDeposition_Equations.VEERG_4_5_1_5__2_TotalNitrogenVolatilisedFromMMS(R35,_xlfn.XLOOKUP($E80,$D$58:$D$63,$E$58:$E$63))</f>
        <v>4.2814499999999986</v>
      </c>
      <c r="S80" s="52" cm="1">
        <f t="array" ref="S80">MMS_Swine_AtmosphericDeposition_Equations.VEERG_4_5_1_5__2_TotalNitrogenVolatilisedFromMMS(S35,_xlfn.XLOOKUP($E80,$D$58:$D$63,$E$58:$E$63))</f>
        <v>2.9039399999999991</v>
      </c>
      <c r="T80" s="2" t="str">
        <f t="shared" si="1"/>
        <v>kg N</v>
      </c>
    </row>
    <row r="81" spans="4:20" ht="20.100000000000001" customHeight="1" x14ac:dyDescent="0.25">
      <c r="D81" s="57"/>
      <c r="E81" s="57" t="str">
        <f>'Input - Swine'!$D$59</f>
        <v>Pit storage</v>
      </c>
      <c r="F81" s="52" cm="1">
        <f t="array" ref="F81">MMS_Swine_AtmosphericDeposition_Equations.VEERG_4_5_1_5__2_TotalNitrogenVolatilisedFromMMS(F36,_xlfn.XLOOKUP($E81,$D$58:$D$63,$E$58:$E$63))</f>
        <v>6.8503199999999982</v>
      </c>
      <c r="G81" s="52" cm="1">
        <f t="array" ref="G81">MMS_Swine_AtmosphericDeposition_Equations.VEERG_4_5_1_5__2_TotalNitrogenVolatilisedFromMMS(G36,_xlfn.XLOOKUP($E81,$D$58:$D$63,$E$58:$E$63))</f>
        <v>9.1213500000000014</v>
      </c>
      <c r="H81" s="52" cm="1">
        <f t="array" ref="H81">MMS_Swine_AtmosphericDeposition_Equations.VEERG_4_5_1_5__2_TotalNitrogenVolatilisedFromMMS(H36,_xlfn.XLOOKUP($E81,$D$58:$D$63,$E$58:$E$63))</f>
        <v>8.5628999999999973</v>
      </c>
      <c r="I81" s="52" cm="1">
        <f t="array" ref="I81">MMS_Swine_AtmosphericDeposition_Equations.VEERG_4_5_1_5__2_TotalNitrogenVolatilisedFromMMS(I36,_xlfn.XLOOKUP($E81,$D$58:$D$63,$E$58:$E$63))</f>
        <v>5.8078799999999982</v>
      </c>
      <c r="J81" s="2" t="str">
        <f t="shared" si="0"/>
        <v>kg N</v>
      </c>
      <c r="N81" s="57"/>
      <c r="O81" s="57" t="str">
        <f>'Input - Swine'!$D$59</f>
        <v>Pit storage</v>
      </c>
      <c r="P81" s="52" cm="1">
        <f t="array" ref="P81">MMS_Swine_AtmosphericDeposition_Equations.VEERG_4_5_1_5__2_TotalNitrogenVolatilisedFromMMS(P36,_xlfn.XLOOKUP($E81,$D$58:$D$63,$E$58:$E$63))</f>
        <v>6.8503199999999982</v>
      </c>
      <c r="Q81" s="52" cm="1">
        <f t="array" ref="Q81">MMS_Swine_AtmosphericDeposition_Equations.VEERG_4_5_1_5__2_TotalNitrogenVolatilisedFromMMS(Q36,_xlfn.XLOOKUP($E81,$D$58:$D$63,$E$58:$E$63))</f>
        <v>9.1213500000000014</v>
      </c>
      <c r="R81" s="52" cm="1">
        <f t="array" ref="R81">MMS_Swine_AtmosphericDeposition_Equations.VEERG_4_5_1_5__2_TotalNitrogenVolatilisedFromMMS(R36,_xlfn.XLOOKUP($E81,$D$58:$D$63,$E$58:$E$63))</f>
        <v>8.5628999999999973</v>
      </c>
      <c r="S81" s="52" cm="1">
        <f t="array" ref="S81">MMS_Swine_AtmosphericDeposition_Equations.VEERG_4_5_1_5__2_TotalNitrogenVolatilisedFromMMS(S36,_xlfn.XLOOKUP($E81,$D$58:$D$63,$E$58:$E$63))</f>
        <v>5.8078799999999982</v>
      </c>
      <c r="T81" s="2" t="str">
        <f t="shared" si="1"/>
        <v>kg N</v>
      </c>
    </row>
    <row r="82" spans="4:20" ht="20.100000000000001" customHeight="1" x14ac:dyDescent="0.25">
      <c r="D82" s="57" t="str">
        <f>'Input - Swine'!$D$31</f>
        <v>Digester / covered lagoons</v>
      </c>
      <c r="E82" s="57" t="str">
        <f>'Input - Swine'!$D$64</f>
        <v>Anaerobic lagoon</v>
      </c>
      <c r="F82" s="52" cm="1">
        <f t="array" ref="F82">MMS_Swine_AtmosphericDeposition_Equations.VEERG_4_5_1_5__2_TotalNitrogenVolatilisedFromMMS(F37,_xlfn.XLOOKUP($E82,$D$58:$D$63,$E$58:$E$63))</f>
        <v>22.162799999999997</v>
      </c>
      <c r="G82" s="52" cm="1">
        <f t="array" ref="G82">MMS_Swine_AtmosphericDeposition_Equations.VEERG_4_5_1_5__2_TotalNitrogenVolatilisedFromMMS(G37,_xlfn.XLOOKUP($E82,$D$58:$D$63,$E$58:$E$63))</f>
        <v>29.510250000000006</v>
      </c>
      <c r="H82" s="52" cm="1">
        <f t="array" ref="H82">MMS_Swine_AtmosphericDeposition_Equations.VEERG_4_5_1_5__2_TotalNitrogenVolatilisedFromMMS(H37,_xlfn.XLOOKUP($E82,$D$58:$D$63,$E$58:$E$63))</f>
        <v>27.703499999999998</v>
      </c>
      <c r="I82" s="52" cm="1">
        <f t="array" ref="I82">MMS_Swine_AtmosphericDeposition_Equations.VEERG_4_5_1_5__2_TotalNitrogenVolatilisedFromMMS(I37,_xlfn.XLOOKUP($E82,$D$58:$D$63,$E$58:$E$63))</f>
        <v>18.790199999999999</v>
      </c>
      <c r="J82" s="2" t="str">
        <f t="shared" si="0"/>
        <v>kg N</v>
      </c>
      <c r="N82" s="57" t="str">
        <f>'Input - Swine'!$D$31</f>
        <v>Digester / covered lagoons</v>
      </c>
      <c r="O82" s="57" t="str">
        <f>'Input - Swine'!$D$64</f>
        <v>Anaerobic lagoon</v>
      </c>
      <c r="P82" s="52" cm="1">
        <f t="array" ref="P82">MMS_Swine_AtmosphericDeposition_Equations.VEERG_4_5_1_5__2_TotalNitrogenVolatilisedFromMMS(P37,_xlfn.XLOOKUP($E82,$D$58:$D$63,$E$58:$E$63))</f>
        <v>22.162799999999997</v>
      </c>
      <c r="Q82" s="52" cm="1">
        <f t="array" ref="Q82">MMS_Swine_AtmosphericDeposition_Equations.VEERG_4_5_1_5__2_TotalNitrogenVolatilisedFromMMS(Q37,_xlfn.XLOOKUP($E82,$D$58:$D$63,$E$58:$E$63))</f>
        <v>29.510250000000006</v>
      </c>
      <c r="R82" s="52" cm="1">
        <f t="array" ref="R82">MMS_Swine_AtmosphericDeposition_Equations.VEERG_4_5_1_5__2_TotalNitrogenVolatilisedFromMMS(R37,_xlfn.XLOOKUP($E82,$D$58:$D$63,$E$58:$E$63))</f>
        <v>27.703499999999998</v>
      </c>
      <c r="S82" s="52" cm="1">
        <f t="array" ref="S82">MMS_Swine_AtmosphericDeposition_Equations.VEERG_4_5_1_5__2_TotalNitrogenVolatilisedFromMMS(S37,_xlfn.XLOOKUP($E82,$D$58:$D$63,$E$58:$E$63))</f>
        <v>18.790199999999999</v>
      </c>
      <c r="T82" s="2" t="str">
        <f t="shared" si="1"/>
        <v>kg N</v>
      </c>
    </row>
    <row r="83" spans="4:20" ht="20.100000000000001" customHeight="1" x14ac:dyDescent="0.25">
      <c r="D83" s="57"/>
      <c r="E83" s="57" t="str">
        <f>'Input - Swine'!$D$65</f>
        <v>Drylot (feed pad)</v>
      </c>
      <c r="F83" s="52" cm="1">
        <f t="array" ref="F83">MMS_Swine_AtmosphericDeposition_Equations.VEERG_4_5_1_5__2_TotalNitrogenVolatilisedFromMMS(F38,_xlfn.XLOOKUP($E83,$D$58:$D$63,$E$58:$E$63))</f>
        <v>12.088799999999997</v>
      </c>
      <c r="G83" s="52" cm="1">
        <f t="array" ref="G83">MMS_Swine_AtmosphericDeposition_Equations.VEERG_4_5_1_5__2_TotalNitrogenVolatilisedFromMMS(G38,_xlfn.XLOOKUP($E83,$D$58:$D$63,$E$58:$E$63))</f>
        <v>16.096500000000002</v>
      </c>
      <c r="H83" s="52" cm="1">
        <f t="array" ref="H83">MMS_Swine_AtmosphericDeposition_Equations.VEERG_4_5_1_5__2_TotalNitrogenVolatilisedFromMMS(H38,_xlfn.XLOOKUP($E83,$D$58:$D$63,$E$58:$E$63))</f>
        <v>15.110999999999997</v>
      </c>
      <c r="I83" s="52" cm="1">
        <f t="array" ref="I83">MMS_Swine_AtmosphericDeposition_Equations.VEERG_4_5_1_5__2_TotalNitrogenVolatilisedFromMMS(I38,_xlfn.XLOOKUP($E83,$D$58:$D$63,$E$58:$E$63))</f>
        <v>10.249199999999998</v>
      </c>
      <c r="J83" s="2" t="str">
        <f t="shared" si="0"/>
        <v>kg N</v>
      </c>
      <c r="N83" s="57"/>
      <c r="O83" s="57" t="str">
        <f>'Input - Swine'!$D$65</f>
        <v>Drylot (feed pad)</v>
      </c>
      <c r="P83" s="52" cm="1">
        <f t="array" ref="P83">MMS_Swine_AtmosphericDeposition_Equations.VEERG_4_5_1_5__2_TotalNitrogenVolatilisedFromMMS(P38,_xlfn.XLOOKUP($E83,$D$58:$D$63,$E$58:$E$63))</f>
        <v>12.088799999999997</v>
      </c>
      <c r="Q83" s="52" cm="1">
        <f t="array" ref="Q83">MMS_Swine_AtmosphericDeposition_Equations.VEERG_4_5_1_5__2_TotalNitrogenVolatilisedFromMMS(Q38,_xlfn.XLOOKUP($E83,$D$58:$D$63,$E$58:$E$63))</f>
        <v>16.096500000000002</v>
      </c>
      <c r="R83" s="52" cm="1">
        <f t="array" ref="R83">MMS_Swine_AtmosphericDeposition_Equations.VEERG_4_5_1_5__2_TotalNitrogenVolatilisedFromMMS(R38,_xlfn.XLOOKUP($E83,$D$58:$D$63,$E$58:$E$63))</f>
        <v>15.110999999999997</v>
      </c>
      <c r="S83" s="52" cm="1">
        <f t="array" ref="S83">MMS_Swine_AtmosphericDeposition_Equations.VEERG_4_5_1_5__2_TotalNitrogenVolatilisedFromMMS(S38,_xlfn.XLOOKUP($E83,$D$58:$D$63,$E$58:$E$63))</f>
        <v>10.249199999999998</v>
      </c>
      <c r="T83" s="2" t="str">
        <f t="shared" si="1"/>
        <v>kg N</v>
      </c>
    </row>
    <row r="84" spans="4:20" ht="20.100000000000001" customHeight="1" x14ac:dyDescent="0.25">
      <c r="D84" s="57"/>
      <c r="E84" s="57" t="str">
        <f>'Input - Swine'!$D$66</f>
        <v>Deep litter</v>
      </c>
      <c r="F84" s="52" cm="1">
        <f t="array" ref="F84">MMS_Swine_AtmosphericDeposition_Equations.VEERG_4_5_1_5__2_TotalNitrogenVolatilisedFromMMS(F39,_xlfn.XLOOKUP($E84,$D$58:$D$63,$E$58:$E$63))</f>
        <v>5.036999999999999</v>
      </c>
      <c r="G84" s="52" cm="1">
        <f t="array" ref="G84">MMS_Swine_AtmosphericDeposition_Equations.VEERG_4_5_1_5__2_TotalNitrogenVolatilisedFromMMS(G39,_xlfn.XLOOKUP($E84,$D$58:$D$63,$E$58:$E$63))</f>
        <v>6.706875000000001</v>
      </c>
      <c r="H84" s="52" cm="1">
        <f t="array" ref="H84">MMS_Swine_AtmosphericDeposition_Equations.VEERG_4_5_1_5__2_TotalNitrogenVolatilisedFromMMS(H39,_xlfn.XLOOKUP($E84,$D$58:$D$63,$E$58:$E$63))</f>
        <v>6.2962499999999988</v>
      </c>
      <c r="I84" s="52" cm="1">
        <f t="array" ref="I84">MMS_Swine_AtmosphericDeposition_Equations.VEERG_4_5_1_5__2_TotalNitrogenVolatilisedFromMMS(I39,_xlfn.XLOOKUP($E84,$D$58:$D$63,$E$58:$E$63))</f>
        <v>4.2704999999999993</v>
      </c>
      <c r="J84" s="2" t="str">
        <f t="shared" si="0"/>
        <v>kg N</v>
      </c>
      <c r="N84" s="57"/>
      <c r="O84" s="57" t="str">
        <f>'Input - Swine'!$D$66</f>
        <v>Deep litter</v>
      </c>
      <c r="P84" s="52" cm="1">
        <f t="array" ref="P84">MMS_Swine_AtmosphericDeposition_Equations.VEERG_4_5_1_5__2_TotalNitrogenVolatilisedFromMMS(P39,_xlfn.XLOOKUP($E84,$D$58:$D$63,$E$58:$E$63))</f>
        <v>5.036999999999999</v>
      </c>
      <c r="Q84" s="52" cm="1">
        <f t="array" ref="Q84">MMS_Swine_AtmosphericDeposition_Equations.VEERG_4_5_1_5__2_TotalNitrogenVolatilisedFromMMS(Q39,_xlfn.XLOOKUP($E84,$D$58:$D$63,$E$58:$E$63))</f>
        <v>6.706875000000001</v>
      </c>
      <c r="R84" s="52" cm="1">
        <f t="array" ref="R84">MMS_Swine_AtmosphericDeposition_Equations.VEERG_4_5_1_5__2_TotalNitrogenVolatilisedFromMMS(R39,_xlfn.XLOOKUP($E84,$D$58:$D$63,$E$58:$E$63))</f>
        <v>6.2962499999999988</v>
      </c>
      <c r="S84" s="52" cm="1">
        <f t="array" ref="S84">MMS_Swine_AtmosphericDeposition_Equations.VEERG_4_5_1_5__2_TotalNitrogenVolatilisedFromMMS(S39,_xlfn.XLOOKUP($E84,$D$58:$D$63,$E$58:$E$63))</f>
        <v>4.2704999999999993</v>
      </c>
      <c r="T84" s="2" t="str">
        <f t="shared" si="1"/>
        <v>kg N</v>
      </c>
    </row>
    <row r="85" spans="4:20" ht="20.100000000000001" customHeight="1" x14ac:dyDescent="0.25">
      <c r="D85" s="57"/>
      <c r="E85" s="57" t="str">
        <f>'Input - Swine'!$D$67</f>
        <v>Pit storage</v>
      </c>
      <c r="F85" s="52" cm="1">
        <f t="array" ref="F85">MMS_Swine_AtmosphericDeposition_Equations.VEERG_4_5_1_5__2_TotalNitrogenVolatilisedFromMMS(F40,_xlfn.XLOOKUP($E85,$D$58:$D$63,$E$58:$E$63))</f>
        <v>10.073999999999998</v>
      </c>
      <c r="G85" s="52" cm="1">
        <f t="array" ref="G85">MMS_Swine_AtmosphericDeposition_Equations.VEERG_4_5_1_5__2_TotalNitrogenVolatilisedFromMMS(G40,_xlfn.XLOOKUP($E85,$D$58:$D$63,$E$58:$E$63))</f>
        <v>13.413750000000002</v>
      </c>
      <c r="H85" s="52" cm="1">
        <f t="array" ref="H85">MMS_Swine_AtmosphericDeposition_Equations.VEERG_4_5_1_5__2_TotalNitrogenVolatilisedFromMMS(H40,_xlfn.XLOOKUP($E85,$D$58:$D$63,$E$58:$E$63))</f>
        <v>12.592499999999998</v>
      </c>
      <c r="I85" s="52" cm="1">
        <f t="array" ref="I85">MMS_Swine_AtmosphericDeposition_Equations.VEERG_4_5_1_5__2_TotalNitrogenVolatilisedFromMMS(I40,_xlfn.XLOOKUP($E85,$D$58:$D$63,$E$58:$E$63))</f>
        <v>8.5409999999999986</v>
      </c>
      <c r="J85" s="2" t="str">
        <f t="shared" si="0"/>
        <v>kg N</v>
      </c>
      <c r="N85" s="57"/>
      <c r="O85" s="57" t="str">
        <f>'Input - Swine'!$D$67</f>
        <v>Pit storage</v>
      </c>
      <c r="P85" s="52" cm="1">
        <f t="array" ref="P85">MMS_Swine_AtmosphericDeposition_Equations.VEERG_4_5_1_5__2_TotalNitrogenVolatilisedFromMMS(P40,_xlfn.XLOOKUP($E85,$D$58:$D$63,$E$58:$E$63))</f>
        <v>10.073999999999998</v>
      </c>
      <c r="Q85" s="52" cm="1">
        <f t="array" ref="Q85">MMS_Swine_AtmosphericDeposition_Equations.VEERG_4_5_1_5__2_TotalNitrogenVolatilisedFromMMS(Q40,_xlfn.XLOOKUP($E85,$D$58:$D$63,$E$58:$E$63))</f>
        <v>13.413750000000002</v>
      </c>
      <c r="R85" s="52" cm="1">
        <f t="array" ref="R85">MMS_Swine_AtmosphericDeposition_Equations.VEERG_4_5_1_5__2_TotalNitrogenVolatilisedFromMMS(R40,_xlfn.XLOOKUP($E85,$D$58:$D$63,$E$58:$E$63))</f>
        <v>12.592499999999998</v>
      </c>
      <c r="S85" s="52" cm="1">
        <f t="array" ref="S85">MMS_Swine_AtmosphericDeposition_Equations.VEERG_4_5_1_5__2_TotalNitrogenVolatilisedFromMMS(S40,_xlfn.XLOOKUP($E85,$D$58:$D$63,$E$58:$E$63))</f>
        <v>8.5409999999999986</v>
      </c>
      <c r="T85" s="2" t="str">
        <f t="shared" si="1"/>
        <v>kg N</v>
      </c>
    </row>
    <row r="86" spans="4:20" ht="20.100000000000001" customHeight="1" x14ac:dyDescent="0.25">
      <c r="D86" s="57" t="str">
        <f>'Input - Swine'!$D$32</f>
        <v>Deep litter</v>
      </c>
      <c r="E86" s="57" t="str">
        <f>'Input - Swine'!$D$72</f>
        <v>Anaerobic lagoon</v>
      </c>
      <c r="F86" s="52" cm="1">
        <f t="array" ref="F86">MMS_Swine_AtmosphericDeposition_Equations.VEERG_4_5_1_5__2_TotalNitrogenVolatilisedFromMMS(F41,_xlfn.XLOOKUP($E86,$D$58:$D$63,$E$58:$E$63))</f>
        <v>19.170821999999998</v>
      </c>
      <c r="G86" s="52" cm="1">
        <f t="array" ref="G86">MMS_Swine_AtmosphericDeposition_Equations.VEERG_4_5_1_5__2_TotalNitrogenVolatilisedFromMMS(G41,_xlfn.XLOOKUP($E86,$D$58:$D$63,$E$58:$E$63))</f>
        <v>25.526366250000006</v>
      </c>
      <c r="H86" s="52" cm="1">
        <f t="array" ref="H86">MMS_Swine_AtmosphericDeposition_Equations.VEERG_4_5_1_5__2_TotalNitrogenVolatilisedFromMMS(H41,_xlfn.XLOOKUP($E86,$D$58:$D$63,$E$58:$E$63))</f>
        <v>23.963527499999994</v>
      </c>
      <c r="I86" s="52" cm="1">
        <f t="array" ref="I86">MMS_Swine_AtmosphericDeposition_Equations.VEERG_4_5_1_5__2_TotalNitrogenVolatilisedFromMMS(I41,_xlfn.XLOOKUP($E86,$D$58:$D$63,$E$58:$E$63))</f>
        <v>16.253522999999998</v>
      </c>
      <c r="J86" s="2" t="str">
        <f t="shared" si="0"/>
        <v>kg N</v>
      </c>
      <c r="N86" s="57" t="str">
        <f>'Input - Swine'!$D$32</f>
        <v>Deep litter</v>
      </c>
      <c r="O86" s="57" t="str">
        <f>'Input - Swine'!$D$72</f>
        <v>Anaerobic lagoon</v>
      </c>
      <c r="P86" s="52" cm="1">
        <f t="array" ref="P86">MMS_Swine_AtmosphericDeposition_Equations.VEERG_4_5_1_5__2_TotalNitrogenVolatilisedFromMMS(P41,_xlfn.XLOOKUP($E86,$D$58:$D$63,$E$58:$E$63))</f>
        <v>19.170821999999998</v>
      </c>
      <c r="Q86" s="52" cm="1">
        <f t="array" ref="Q86">MMS_Swine_AtmosphericDeposition_Equations.VEERG_4_5_1_5__2_TotalNitrogenVolatilisedFromMMS(Q41,_xlfn.XLOOKUP($E86,$D$58:$D$63,$E$58:$E$63))</f>
        <v>25.526366250000006</v>
      </c>
      <c r="R86" s="52" cm="1">
        <f t="array" ref="R86">MMS_Swine_AtmosphericDeposition_Equations.VEERG_4_5_1_5__2_TotalNitrogenVolatilisedFromMMS(R41,_xlfn.XLOOKUP($E86,$D$58:$D$63,$E$58:$E$63))</f>
        <v>23.963527499999994</v>
      </c>
      <c r="S86" s="52" cm="1">
        <f t="array" ref="S86">MMS_Swine_AtmosphericDeposition_Equations.VEERG_4_5_1_5__2_TotalNitrogenVolatilisedFromMMS(S41,_xlfn.XLOOKUP($E86,$D$58:$D$63,$E$58:$E$63))</f>
        <v>16.253522999999998</v>
      </c>
      <c r="T86" s="2" t="str">
        <f t="shared" si="1"/>
        <v>kg N</v>
      </c>
    </row>
    <row r="87" spans="4:20" ht="20.100000000000001" customHeight="1" x14ac:dyDescent="0.25">
      <c r="D87" s="57"/>
      <c r="E87" s="57" t="str">
        <f>'Input - Swine'!$D$73</f>
        <v>Drylot (feed pad)</v>
      </c>
      <c r="F87" s="52" cm="1">
        <f t="array" ref="F87">MMS_Swine_AtmosphericDeposition_Equations.VEERG_4_5_1_5__2_TotalNitrogenVolatilisedFromMMS(F42,_xlfn.XLOOKUP($E87,$D$58:$D$63,$E$58:$E$63))</f>
        <v>10.456811999999998</v>
      </c>
      <c r="G87" s="52" cm="1">
        <f t="array" ref="G87">MMS_Swine_AtmosphericDeposition_Equations.VEERG_4_5_1_5__2_TotalNitrogenVolatilisedFromMMS(G42,_xlfn.XLOOKUP($E87,$D$58:$D$63,$E$58:$E$63))</f>
        <v>13.923472500000001</v>
      </c>
      <c r="H87" s="52" cm="1">
        <f t="array" ref="H87">MMS_Swine_AtmosphericDeposition_Equations.VEERG_4_5_1_5__2_TotalNitrogenVolatilisedFromMMS(H42,_xlfn.XLOOKUP($E87,$D$58:$D$63,$E$58:$E$63))</f>
        <v>13.071014999999996</v>
      </c>
      <c r="I87" s="52" cm="1">
        <f t="array" ref="I87">MMS_Swine_AtmosphericDeposition_Equations.VEERG_4_5_1_5__2_TotalNitrogenVolatilisedFromMMS(I42,_xlfn.XLOOKUP($E87,$D$58:$D$63,$E$58:$E$63))</f>
        <v>8.8655579999999983</v>
      </c>
      <c r="J87" s="2" t="str">
        <f t="shared" si="0"/>
        <v>kg N</v>
      </c>
      <c r="N87" s="57"/>
      <c r="O87" s="57" t="str">
        <f>'Input - Swine'!$D$73</f>
        <v>Drylot (feed pad)</v>
      </c>
      <c r="P87" s="52" cm="1">
        <f t="array" ref="P87">MMS_Swine_AtmosphericDeposition_Equations.VEERG_4_5_1_5__2_TotalNitrogenVolatilisedFromMMS(P42,_xlfn.XLOOKUP($E87,$D$58:$D$63,$E$58:$E$63))</f>
        <v>10.456811999999998</v>
      </c>
      <c r="Q87" s="52" cm="1">
        <f t="array" ref="Q87">MMS_Swine_AtmosphericDeposition_Equations.VEERG_4_5_1_5__2_TotalNitrogenVolatilisedFromMMS(Q42,_xlfn.XLOOKUP($E87,$D$58:$D$63,$E$58:$E$63))</f>
        <v>13.923472500000001</v>
      </c>
      <c r="R87" s="52" cm="1">
        <f t="array" ref="R87">MMS_Swine_AtmosphericDeposition_Equations.VEERG_4_5_1_5__2_TotalNitrogenVolatilisedFromMMS(R42,_xlfn.XLOOKUP($E87,$D$58:$D$63,$E$58:$E$63))</f>
        <v>13.071014999999996</v>
      </c>
      <c r="S87" s="52" cm="1">
        <f t="array" ref="S87">MMS_Swine_AtmosphericDeposition_Equations.VEERG_4_5_1_5__2_TotalNitrogenVolatilisedFromMMS(S42,_xlfn.XLOOKUP($E87,$D$58:$D$63,$E$58:$E$63))</f>
        <v>8.8655579999999983</v>
      </c>
      <c r="T87" s="2" t="str">
        <f t="shared" si="1"/>
        <v>kg N</v>
      </c>
    </row>
    <row r="88" spans="4:20" ht="20.100000000000001" customHeight="1" x14ac:dyDescent="0.25">
      <c r="D88" s="57"/>
      <c r="E88" s="57" t="str">
        <f>'Input - Swine'!$D$74</f>
        <v>Digester / covered lagoons</v>
      </c>
      <c r="F88" s="52" cm="1">
        <f t="array" ref="F88">MMS_Swine_AtmosphericDeposition_Equations.VEERG_4_5_1_5__2_TotalNitrogenVolatilisedFromMMS(F43,_xlfn.XLOOKUP($E88,$D$58:$D$63,$E$58:$E$63))</f>
        <v>0</v>
      </c>
      <c r="G88" s="52" cm="1">
        <f t="array" ref="G88">MMS_Swine_AtmosphericDeposition_Equations.VEERG_4_5_1_5__2_TotalNitrogenVolatilisedFromMMS(G43,_xlfn.XLOOKUP($E88,$D$58:$D$63,$E$58:$E$63))</f>
        <v>0</v>
      </c>
      <c r="H88" s="52" cm="1">
        <f t="array" ref="H88">MMS_Swine_AtmosphericDeposition_Equations.VEERG_4_5_1_5__2_TotalNitrogenVolatilisedFromMMS(H43,_xlfn.XLOOKUP($E88,$D$58:$D$63,$E$58:$E$63))</f>
        <v>0</v>
      </c>
      <c r="I88" s="52" cm="1">
        <f t="array" ref="I88">MMS_Swine_AtmosphericDeposition_Equations.VEERG_4_5_1_5__2_TotalNitrogenVolatilisedFromMMS(I43,_xlfn.XLOOKUP($E88,$D$58:$D$63,$E$58:$E$63))</f>
        <v>0</v>
      </c>
      <c r="J88" s="2" t="str">
        <f t="shared" si="0"/>
        <v>kg N</v>
      </c>
      <c r="N88" s="57"/>
      <c r="O88" s="57" t="str">
        <f>'Input - Swine'!$D$74</f>
        <v>Digester / covered lagoons</v>
      </c>
      <c r="P88" s="52" cm="1">
        <f t="array" ref="P88">MMS_Swine_AtmosphericDeposition_Equations.VEERG_4_5_1_5__2_TotalNitrogenVolatilisedFromMMS(P43,_xlfn.XLOOKUP($E88,$D$58:$D$63,$E$58:$E$63))</f>
        <v>0</v>
      </c>
      <c r="Q88" s="52" cm="1">
        <f t="array" ref="Q88">MMS_Swine_AtmosphericDeposition_Equations.VEERG_4_5_1_5__2_TotalNitrogenVolatilisedFromMMS(Q43,_xlfn.XLOOKUP($E88,$D$58:$D$63,$E$58:$E$63))</f>
        <v>0</v>
      </c>
      <c r="R88" s="52" cm="1">
        <f t="array" ref="R88">MMS_Swine_AtmosphericDeposition_Equations.VEERG_4_5_1_5__2_TotalNitrogenVolatilisedFromMMS(R43,_xlfn.XLOOKUP($E88,$D$58:$D$63,$E$58:$E$63))</f>
        <v>0</v>
      </c>
      <c r="S88" s="52" cm="1">
        <f t="array" ref="S88">MMS_Swine_AtmosphericDeposition_Equations.VEERG_4_5_1_5__2_TotalNitrogenVolatilisedFromMMS(S43,_xlfn.XLOOKUP($E88,$D$58:$D$63,$E$58:$E$63))</f>
        <v>0</v>
      </c>
      <c r="T88" s="2" t="str">
        <f t="shared" si="1"/>
        <v>kg N</v>
      </c>
    </row>
    <row r="89" spans="4:20" ht="20.100000000000001" customHeight="1" x14ac:dyDescent="0.25">
      <c r="D89" s="57"/>
      <c r="E89" s="57" t="str">
        <f>'Input - Swine'!$D$75</f>
        <v>Pit storage</v>
      </c>
      <c r="F89" s="52" cm="1">
        <f t="array" ref="F89">MMS_Swine_AtmosphericDeposition_Equations.VEERG_4_5_1_5__2_TotalNitrogenVolatilisedFromMMS(F44,_xlfn.XLOOKUP($E89,$D$58:$D$63,$E$58:$E$63))</f>
        <v>8.7140099999999983</v>
      </c>
      <c r="G89" s="52" cm="1">
        <f t="array" ref="G89">MMS_Swine_AtmosphericDeposition_Equations.VEERG_4_5_1_5__2_TotalNitrogenVolatilisedFromMMS(G44,_xlfn.XLOOKUP($E89,$D$58:$D$63,$E$58:$E$63))</f>
        <v>11.602893750000002</v>
      </c>
      <c r="H89" s="52" cm="1">
        <f t="array" ref="H89">MMS_Swine_AtmosphericDeposition_Equations.VEERG_4_5_1_5__2_TotalNitrogenVolatilisedFromMMS(H44,_xlfn.XLOOKUP($E89,$D$58:$D$63,$E$58:$E$63))</f>
        <v>10.892512499999997</v>
      </c>
      <c r="I89" s="52" cm="1">
        <f t="array" ref="I89">MMS_Swine_AtmosphericDeposition_Equations.VEERG_4_5_1_5__2_TotalNitrogenVolatilisedFromMMS(I44,_xlfn.XLOOKUP($E89,$D$58:$D$63,$E$58:$E$63))</f>
        <v>7.3879649999999986</v>
      </c>
      <c r="J89" s="2" t="str">
        <f t="shared" si="0"/>
        <v>kg N</v>
      </c>
      <c r="N89" s="57"/>
      <c r="O89" s="57" t="str">
        <f>'Input - Swine'!$D$75</f>
        <v>Pit storage</v>
      </c>
      <c r="P89" s="52" cm="1">
        <f t="array" ref="P89">MMS_Swine_AtmosphericDeposition_Equations.VEERG_4_5_1_5__2_TotalNitrogenVolatilisedFromMMS(P44,_xlfn.XLOOKUP($E89,$D$58:$D$63,$E$58:$E$63))</f>
        <v>8.7140099999999983</v>
      </c>
      <c r="Q89" s="52" cm="1">
        <f t="array" ref="Q89">MMS_Swine_AtmosphericDeposition_Equations.VEERG_4_5_1_5__2_TotalNitrogenVolatilisedFromMMS(Q44,_xlfn.XLOOKUP($E89,$D$58:$D$63,$E$58:$E$63))</f>
        <v>11.602893750000002</v>
      </c>
      <c r="R89" s="52" cm="1">
        <f t="array" ref="R89">MMS_Swine_AtmosphericDeposition_Equations.VEERG_4_5_1_5__2_TotalNitrogenVolatilisedFromMMS(R44,_xlfn.XLOOKUP($E89,$D$58:$D$63,$E$58:$E$63))</f>
        <v>10.892512499999997</v>
      </c>
      <c r="S89" s="52" cm="1">
        <f t="array" ref="S89">MMS_Swine_AtmosphericDeposition_Equations.VEERG_4_5_1_5__2_TotalNitrogenVolatilisedFromMMS(S44,_xlfn.XLOOKUP($E89,$D$58:$D$63,$E$58:$E$63))</f>
        <v>7.3879649999999986</v>
      </c>
      <c r="T89" s="2" t="str">
        <f t="shared" si="1"/>
        <v>kg N</v>
      </c>
    </row>
    <row r="90" spans="4:20" ht="20.100000000000001" customHeight="1" x14ac:dyDescent="0.25">
      <c r="D90" s="57" t="str">
        <f>'Input - Swine'!$D$33</f>
        <v>Pit storage</v>
      </c>
      <c r="E90" s="57" t="str">
        <f>'Input - Swine'!$D$80</f>
        <v>Anaerobic lagoon</v>
      </c>
      <c r="F90" s="52" cm="1">
        <f t="array" ref="F90">MMS_Swine_AtmosphericDeposition_Equations.VEERG_4_5_1_5__2_TotalNitrogenVolatilisedFromMMS(F45,_xlfn.XLOOKUP($E90,$D$58:$D$63,$E$58:$E$63))</f>
        <v>16.577774399999999</v>
      </c>
      <c r="G90" s="52" cm="1">
        <f t="array" ref="G90">MMS_Swine_AtmosphericDeposition_Equations.VEERG_4_5_1_5__2_TotalNitrogenVolatilisedFromMMS(G45,_xlfn.XLOOKUP($E90,$D$58:$D$63,$E$58:$E$63))</f>
        <v>22.073667000000004</v>
      </c>
      <c r="H90" s="52" cm="1">
        <f t="array" ref="H90">MMS_Swine_AtmosphericDeposition_Equations.VEERG_4_5_1_5__2_TotalNitrogenVolatilisedFromMMS(H45,_xlfn.XLOOKUP($E90,$D$58:$D$63,$E$58:$E$63))</f>
        <v>20.722217999999998</v>
      </c>
      <c r="I90" s="52" cm="1">
        <f t="array" ref="I90">MMS_Swine_AtmosphericDeposition_Equations.VEERG_4_5_1_5__2_TotalNitrogenVolatilisedFromMMS(I45,_xlfn.XLOOKUP($E90,$D$58:$D$63,$E$58:$E$63))</f>
        <v>14.055069599999999</v>
      </c>
      <c r="J90" s="2" t="str">
        <f t="shared" si="0"/>
        <v>kg N</v>
      </c>
      <c r="N90" s="57" t="str">
        <f>'Input - Swine'!$D$33</f>
        <v>Pit storage</v>
      </c>
      <c r="O90" s="57" t="str">
        <f>'Input - Swine'!$D$80</f>
        <v>Anaerobic lagoon</v>
      </c>
      <c r="P90" s="52" cm="1">
        <f t="array" ref="P90">MMS_Swine_AtmosphericDeposition_Equations.VEERG_4_5_1_5__2_TotalNitrogenVolatilisedFromMMS(P45,_xlfn.XLOOKUP($E90,$D$58:$D$63,$E$58:$E$63))</f>
        <v>16.577774399999999</v>
      </c>
      <c r="Q90" s="52" cm="1">
        <f t="array" ref="Q90">MMS_Swine_AtmosphericDeposition_Equations.VEERG_4_5_1_5__2_TotalNitrogenVolatilisedFromMMS(Q45,_xlfn.XLOOKUP($E90,$D$58:$D$63,$E$58:$E$63))</f>
        <v>22.073667000000004</v>
      </c>
      <c r="R90" s="52" cm="1">
        <f t="array" ref="R90">MMS_Swine_AtmosphericDeposition_Equations.VEERG_4_5_1_5__2_TotalNitrogenVolatilisedFromMMS(R45,_xlfn.XLOOKUP($E90,$D$58:$D$63,$E$58:$E$63))</f>
        <v>20.722217999999998</v>
      </c>
      <c r="S90" s="52" cm="1">
        <f t="array" ref="S90">MMS_Swine_AtmosphericDeposition_Equations.VEERG_4_5_1_5__2_TotalNitrogenVolatilisedFromMMS(S45,_xlfn.XLOOKUP($E90,$D$58:$D$63,$E$58:$E$63))</f>
        <v>14.055069599999999</v>
      </c>
      <c r="T90" s="2" t="str">
        <f t="shared" si="1"/>
        <v>kg N</v>
      </c>
    </row>
    <row r="91" spans="4:20" ht="20.100000000000001" customHeight="1" x14ac:dyDescent="0.25">
      <c r="D91" s="57"/>
      <c r="E91" s="57" t="str">
        <f>'Input - Swine'!$D$81</f>
        <v>Drylot (feed pad)</v>
      </c>
      <c r="F91" s="52" cm="1">
        <f t="array" ref="F91">MMS_Swine_AtmosphericDeposition_Equations.VEERG_4_5_1_5__2_TotalNitrogenVolatilisedFromMMS(F46,_xlfn.XLOOKUP($E91,$D$58:$D$63,$E$58:$E$63))</f>
        <v>9.0424223999999995</v>
      </c>
      <c r="G91" s="52" cm="1">
        <f t="array" ref="G91">MMS_Swine_AtmosphericDeposition_Equations.VEERG_4_5_1_5__2_TotalNitrogenVolatilisedFromMMS(G46,_xlfn.XLOOKUP($E91,$D$58:$D$63,$E$58:$E$63))</f>
        <v>12.040182</v>
      </c>
      <c r="H91" s="52" cm="1">
        <f t="array" ref="H91">MMS_Swine_AtmosphericDeposition_Equations.VEERG_4_5_1_5__2_TotalNitrogenVolatilisedFromMMS(H46,_xlfn.XLOOKUP($E91,$D$58:$D$63,$E$58:$E$63))</f>
        <v>11.303027999999998</v>
      </c>
      <c r="I91" s="52" cm="1">
        <f t="array" ref="I91">MMS_Swine_AtmosphericDeposition_Equations.VEERG_4_5_1_5__2_TotalNitrogenVolatilisedFromMMS(I46,_xlfn.XLOOKUP($E91,$D$58:$D$63,$E$58:$E$63))</f>
        <v>7.6664015999999986</v>
      </c>
      <c r="J91" s="2" t="str">
        <f t="shared" si="0"/>
        <v>kg N</v>
      </c>
      <c r="N91" s="57"/>
      <c r="O91" s="57" t="str">
        <f>'Input - Swine'!$D$81</f>
        <v>Drylot (feed pad)</v>
      </c>
      <c r="P91" s="52" cm="1">
        <f t="array" ref="P91">MMS_Swine_AtmosphericDeposition_Equations.VEERG_4_5_1_5__2_TotalNitrogenVolatilisedFromMMS(P46,_xlfn.XLOOKUP($E91,$D$58:$D$63,$E$58:$E$63))</f>
        <v>9.0424223999999995</v>
      </c>
      <c r="Q91" s="52" cm="1">
        <f t="array" ref="Q91">MMS_Swine_AtmosphericDeposition_Equations.VEERG_4_5_1_5__2_TotalNitrogenVolatilisedFromMMS(Q46,_xlfn.XLOOKUP($E91,$D$58:$D$63,$E$58:$E$63))</f>
        <v>12.040182</v>
      </c>
      <c r="R91" s="52" cm="1">
        <f t="array" ref="R91">MMS_Swine_AtmosphericDeposition_Equations.VEERG_4_5_1_5__2_TotalNitrogenVolatilisedFromMMS(R46,_xlfn.XLOOKUP($E91,$D$58:$D$63,$E$58:$E$63))</f>
        <v>11.303027999999998</v>
      </c>
      <c r="S91" s="52" cm="1">
        <f t="array" ref="S91">MMS_Swine_AtmosphericDeposition_Equations.VEERG_4_5_1_5__2_TotalNitrogenVolatilisedFromMMS(S46,_xlfn.XLOOKUP($E91,$D$58:$D$63,$E$58:$E$63))</f>
        <v>7.6664015999999986</v>
      </c>
      <c r="T91" s="2" t="str">
        <f t="shared" si="1"/>
        <v>kg N</v>
      </c>
    </row>
    <row r="92" spans="4:20" ht="20.100000000000001" customHeight="1" x14ac:dyDescent="0.25">
      <c r="D92" s="57"/>
      <c r="E92" s="57" t="str">
        <f>'Input - Swine'!$D$82</f>
        <v>Digester / covered lagoons</v>
      </c>
      <c r="F92" s="52" cm="1">
        <f t="array" ref="F92">MMS_Swine_AtmosphericDeposition_Equations.VEERG_4_5_1_5__2_TotalNitrogenVolatilisedFromMMS(F47,_xlfn.XLOOKUP($E92,$D$58:$D$63,$E$58:$E$63))</f>
        <v>0</v>
      </c>
      <c r="G92" s="52" cm="1">
        <f t="array" ref="G92">MMS_Swine_AtmosphericDeposition_Equations.VEERG_4_5_1_5__2_TotalNitrogenVolatilisedFromMMS(G47,_xlfn.XLOOKUP($E92,$D$58:$D$63,$E$58:$E$63))</f>
        <v>0</v>
      </c>
      <c r="H92" s="52" cm="1">
        <f t="array" ref="H92">MMS_Swine_AtmosphericDeposition_Equations.VEERG_4_5_1_5__2_TotalNitrogenVolatilisedFromMMS(H47,_xlfn.XLOOKUP($E92,$D$58:$D$63,$E$58:$E$63))</f>
        <v>0</v>
      </c>
      <c r="I92" s="52" cm="1">
        <f t="array" ref="I92">MMS_Swine_AtmosphericDeposition_Equations.VEERG_4_5_1_5__2_TotalNitrogenVolatilisedFromMMS(I47,_xlfn.XLOOKUP($E92,$D$58:$D$63,$E$58:$E$63))</f>
        <v>0</v>
      </c>
      <c r="J92" s="2" t="str">
        <f t="shared" si="0"/>
        <v>kg N</v>
      </c>
      <c r="N92" s="57"/>
      <c r="O92" s="57" t="str">
        <f>'Input - Swine'!$D$82</f>
        <v>Digester / covered lagoons</v>
      </c>
      <c r="P92" s="52" cm="1">
        <f t="array" ref="P92">MMS_Swine_AtmosphericDeposition_Equations.VEERG_4_5_1_5__2_TotalNitrogenVolatilisedFromMMS(P47,_xlfn.XLOOKUP($E92,$D$58:$D$63,$E$58:$E$63))</f>
        <v>0</v>
      </c>
      <c r="Q92" s="52" cm="1">
        <f t="array" ref="Q92">MMS_Swine_AtmosphericDeposition_Equations.VEERG_4_5_1_5__2_TotalNitrogenVolatilisedFromMMS(Q47,_xlfn.XLOOKUP($E92,$D$58:$D$63,$E$58:$E$63))</f>
        <v>0</v>
      </c>
      <c r="R92" s="52" cm="1">
        <f t="array" ref="R92">MMS_Swine_AtmosphericDeposition_Equations.VEERG_4_5_1_5__2_TotalNitrogenVolatilisedFromMMS(R47,_xlfn.XLOOKUP($E92,$D$58:$D$63,$E$58:$E$63))</f>
        <v>0</v>
      </c>
      <c r="S92" s="52" cm="1">
        <f t="array" ref="S92">MMS_Swine_AtmosphericDeposition_Equations.VEERG_4_5_1_5__2_TotalNitrogenVolatilisedFromMMS(S47,_xlfn.XLOOKUP($E92,$D$58:$D$63,$E$58:$E$63))</f>
        <v>0</v>
      </c>
      <c r="T92" s="2" t="str">
        <f t="shared" si="1"/>
        <v>kg N</v>
      </c>
    </row>
    <row r="93" spans="4:20" ht="20.100000000000001" customHeight="1" x14ac:dyDescent="0.25">
      <c r="D93" s="57"/>
      <c r="E93" s="57" t="str">
        <f>'Input - Swine'!$D$83</f>
        <v>Deep litter</v>
      </c>
      <c r="F93" s="52" cm="1">
        <f t="array" ref="F93">MMS_Swine_AtmosphericDeposition_Equations.VEERG_4_5_1_5__2_TotalNitrogenVolatilisedFromMMS(F48,_xlfn.XLOOKUP($E93,$D$58:$D$63,$E$58:$E$63))</f>
        <v>3.7676759999999998</v>
      </c>
      <c r="G93" s="52" cm="1">
        <f t="array" ref="G93">MMS_Swine_AtmosphericDeposition_Equations.VEERG_4_5_1_5__2_TotalNitrogenVolatilisedFromMMS(G48,_xlfn.XLOOKUP($E93,$D$58:$D$63,$E$58:$E$63))</f>
        <v>5.0167425000000003</v>
      </c>
      <c r="H93" s="52" cm="1">
        <f t="array" ref="H93">MMS_Swine_AtmosphericDeposition_Equations.VEERG_4_5_1_5__2_TotalNitrogenVolatilisedFromMMS(H48,_xlfn.XLOOKUP($E93,$D$58:$D$63,$E$58:$E$63))</f>
        <v>4.7095949999999993</v>
      </c>
      <c r="I93" s="52" cm="1">
        <f t="array" ref="I93">MMS_Swine_AtmosphericDeposition_Equations.VEERG_4_5_1_5__2_TotalNitrogenVolatilisedFromMMS(I48,_xlfn.XLOOKUP($E93,$D$58:$D$63,$E$58:$E$63))</f>
        <v>3.1943339999999996</v>
      </c>
      <c r="J93" s="2" t="str">
        <f t="shared" si="0"/>
        <v>kg N</v>
      </c>
      <c r="N93" s="57"/>
      <c r="O93" s="57" t="str">
        <f>'Input - Swine'!$D$83</f>
        <v>Deep litter</v>
      </c>
      <c r="P93" s="52" cm="1">
        <f t="array" ref="P93">MMS_Swine_AtmosphericDeposition_Equations.VEERG_4_5_1_5__2_TotalNitrogenVolatilisedFromMMS(P48,_xlfn.XLOOKUP($E93,$D$58:$D$63,$E$58:$E$63))</f>
        <v>3.7676759999999998</v>
      </c>
      <c r="Q93" s="52" cm="1">
        <f t="array" ref="Q93">MMS_Swine_AtmosphericDeposition_Equations.VEERG_4_5_1_5__2_TotalNitrogenVolatilisedFromMMS(Q48,_xlfn.XLOOKUP($E93,$D$58:$D$63,$E$58:$E$63))</f>
        <v>5.0167425000000003</v>
      </c>
      <c r="R93" s="52" cm="1">
        <f t="array" ref="R93">MMS_Swine_AtmosphericDeposition_Equations.VEERG_4_5_1_5__2_TotalNitrogenVolatilisedFromMMS(R48,_xlfn.XLOOKUP($E93,$D$58:$D$63,$E$58:$E$63))</f>
        <v>4.7095949999999993</v>
      </c>
      <c r="S93" s="52" cm="1">
        <f t="array" ref="S93">MMS_Swine_AtmosphericDeposition_Equations.VEERG_4_5_1_5__2_TotalNitrogenVolatilisedFromMMS(S48,_xlfn.XLOOKUP($E93,$D$58:$D$63,$E$58:$E$63))</f>
        <v>3.1943339999999996</v>
      </c>
      <c r="T93" s="2" t="str">
        <f t="shared" si="1"/>
        <v>kg N</v>
      </c>
    </row>
    <row r="94" spans="4:20" ht="20.100000000000001" customHeight="1" x14ac:dyDescent="0.25">
      <c r="D94" s="57" t="str">
        <f>'Input - Swine'!$D$34</f>
        <v>Solid storage</v>
      </c>
      <c r="E94" s="57" t="str">
        <f>'Input - Swine'!$D$88</f>
        <v>Anaerobic lagoon</v>
      </c>
      <c r="F94" s="52" cm="1">
        <f t="array" ref="F94">MMS_Swine_AtmosphericDeposition_Equations.VEERG_4_5_1_5__2_TotalNitrogenVolatilisedFromMMS(F49,_xlfn.XLOOKUP($E94,$D$58:$D$63,$E$58:$E$63))</f>
        <v>58.731420000000021</v>
      </c>
      <c r="G94" s="52" cm="1">
        <f t="array" ref="G94">MMS_Swine_AtmosphericDeposition_Equations.VEERG_4_5_1_5__2_TotalNitrogenVolatilisedFromMMS(G49,_xlfn.XLOOKUP($E94,$D$58:$D$63,$E$58:$E$63))</f>
        <v>62.56173000000004</v>
      </c>
      <c r="H94" s="52" cm="1">
        <f t="array" ref="H94">MMS_Swine_AtmosphericDeposition_Equations.VEERG_4_5_1_5__2_TotalNitrogenVolatilisedFromMMS(H49,_xlfn.XLOOKUP($E94,$D$58:$D$63,$E$58:$E$63))</f>
        <v>58.731420000000021</v>
      </c>
      <c r="I94" s="52" cm="1">
        <f t="array" ref="I94">MMS_Swine_AtmosphericDeposition_Equations.VEERG_4_5_1_5__2_TotalNitrogenVolatilisedFromMMS(I49,_xlfn.XLOOKUP($E94,$D$58:$D$63,$E$58:$E$63))</f>
        <v>39.835224000000025</v>
      </c>
      <c r="J94" s="2" t="str">
        <f t="shared" si="0"/>
        <v>kg N</v>
      </c>
      <c r="N94" s="57" t="str">
        <f>'Input - Swine'!$D$34</f>
        <v>Solid storage</v>
      </c>
      <c r="O94" s="57" t="str">
        <f>'Input - Swine'!$D$88</f>
        <v>Anaerobic lagoon</v>
      </c>
      <c r="P94" s="52" cm="1">
        <f t="array" ref="P94">MMS_Swine_AtmosphericDeposition_Equations.VEERG_4_5_1_5__2_TotalNitrogenVolatilisedFromMMS(P49,_xlfn.XLOOKUP($E94,$D$58:$D$63,$E$58:$E$63))</f>
        <v>58.731420000000021</v>
      </c>
      <c r="Q94" s="52" cm="1">
        <f t="array" ref="Q94">MMS_Swine_AtmosphericDeposition_Equations.VEERG_4_5_1_5__2_TotalNitrogenVolatilisedFromMMS(Q49,_xlfn.XLOOKUP($E94,$D$58:$D$63,$E$58:$E$63))</f>
        <v>62.56173000000004</v>
      </c>
      <c r="R94" s="52" cm="1">
        <f t="array" ref="R94">MMS_Swine_AtmosphericDeposition_Equations.VEERG_4_5_1_5__2_TotalNitrogenVolatilisedFromMMS(R49,_xlfn.XLOOKUP($E94,$D$58:$D$63,$E$58:$E$63))</f>
        <v>58.731420000000021</v>
      </c>
      <c r="S94" s="52" cm="1">
        <f t="array" ref="S94">MMS_Swine_AtmosphericDeposition_Equations.VEERG_4_5_1_5__2_TotalNitrogenVolatilisedFromMMS(S49,_xlfn.XLOOKUP($E94,$D$58:$D$63,$E$58:$E$63))</f>
        <v>39.835224000000025</v>
      </c>
      <c r="T94" s="2" t="str">
        <f t="shared" si="1"/>
        <v>kg N</v>
      </c>
    </row>
    <row r="95" spans="4:20" ht="20.100000000000001" customHeight="1" x14ac:dyDescent="0.25">
      <c r="D95" s="57"/>
      <c r="E95" s="57" t="str">
        <f>'Input - Swine'!$D$89</f>
        <v>Drylot (feed pad)</v>
      </c>
      <c r="F95" s="52" cm="1">
        <f t="array" ref="F95">MMS_Swine_AtmosphericDeposition_Equations.VEERG_4_5_1_5__2_TotalNitrogenVolatilisedFromMMS(F50,_xlfn.XLOOKUP($E95,$D$58:$D$63,$E$58:$E$63))</f>
        <v>32.035320000000006</v>
      </c>
      <c r="G95" s="52" cm="1">
        <f t="array" ref="G95">MMS_Swine_AtmosphericDeposition_Equations.VEERG_4_5_1_5__2_TotalNitrogenVolatilisedFromMMS(G50,_xlfn.XLOOKUP($E95,$D$58:$D$63,$E$58:$E$63))</f>
        <v>34.124580000000016</v>
      </c>
      <c r="H95" s="52" cm="1">
        <f t="array" ref="H95">MMS_Swine_AtmosphericDeposition_Equations.VEERG_4_5_1_5__2_TotalNitrogenVolatilisedFromMMS(H50,_xlfn.XLOOKUP($E95,$D$58:$D$63,$E$58:$E$63))</f>
        <v>32.035320000000006</v>
      </c>
      <c r="I95" s="52" cm="1">
        <f t="array" ref="I95">MMS_Swine_AtmosphericDeposition_Equations.VEERG_4_5_1_5__2_TotalNitrogenVolatilisedFromMMS(I50,_xlfn.XLOOKUP($E95,$D$58:$D$63,$E$58:$E$63))</f>
        <v>21.728304000000012</v>
      </c>
      <c r="J95" s="2" t="str">
        <f t="shared" si="0"/>
        <v>kg N</v>
      </c>
      <c r="N95" s="57"/>
      <c r="O95" s="57" t="str">
        <f>'Input - Swine'!$D$89</f>
        <v>Drylot (feed pad)</v>
      </c>
      <c r="P95" s="52" cm="1">
        <f t="array" ref="P95">MMS_Swine_AtmosphericDeposition_Equations.VEERG_4_5_1_5__2_TotalNitrogenVolatilisedFromMMS(P50,_xlfn.XLOOKUP($E95,$D$58:$D$63,$E$58:$E$63))</f>
        <v>32.035320000000006</v>
      </c>
      <c r="Q95" s="52" cm="1">
        <f t="array" ref="Q95">MMS_Swine_AtmosphericDeposition_Equations.VEERG_4_5_1_5__2_TotalNitrogenVolatilisedFromMMS(Q50,_xlfn.XLOOKUP($E95,$D$58:$D$63,$E$58:$E$63))</f>
        <v>34.124580000000016</v>
      </c>
      <c r="R95" s="52" cm="1">
        <f t="array" ref="R95">MMS_Swine_AtmosphericDeposition_Equations.VEERG_4_5_1_5__2_TotalNitrogenVolatilisedFromMMS(R50,_xlfn.XLOOKUP($E95,$D$58:$D$63,$E$58:$E$63))</f>
        <v>32.035320000000006</v>
      </c>
      <c r="S95" s="52" cm="1">
        <f t="array" ref="S95">MMS_Swine_AtmosphericDeposition_Equations.VEERG_4_5_1_5__2_TotalNitrogenVolatilisedFromMMS(S50,_xlfn.XLOOKUP($E95,$D$58:$D$63,$E$58:$E$63))</f>
        <v>21.728304000000012</v>
      </c>
      <c r="T95" s="2" t="str">
        <f t="shared" si="1"/>
        <v>kg N</v>
      </c>
    </row>
    <row r="96" spans="4:20" ht="20.100000000000001" customHeight="1" x14ac:dyDescent="0.25">
      <c r="D96" s="57"/>
      <c r="E96" s="57" t="str">
        <f>'Input - Swine'!$D$90</f>
        <v>Digester / covered lagoons</v>
      </c>
      <c r="F96" s="52" cm="1">
        <f t="array" ref="F96">MMS_Swine_AtmosphericDeposition_Equations.VEERG_4_5_1_5__2_TotalNitrogenVolatilisedFromMMS(F51,_xlfn.XLOOKUP($E96,$D$58:$D$63,$E$58:$E$63))</f>
        <v>0</v>
      </c>
      <c r="G96" s="52" cm="1">
        <f t="array" ref="G96">MMS_Swine_AtmosphericDeposition_Equations.VEERG_4_5_1_5__2_TotalNitrogenVolatilisedFromMMS(G51,_xlfn.XLOOKUP($E96,$D$58:$D$63,$E$58:$E$63))</f>
        <v>0</v>
      </c>
      <c r="H96" s="52" cm="1">
        <f t="array" ref="H96">MMS_Swine_AtmosphericDeposition_Equations.VEERG_4_5_1_5__2_TotalNitrogenVolatilisedFromMMS(H51,_xlfn.XLOOKUP($E96,$D$58:$D$63,$E$58:$E$63))</f>
        <v>0</v>
      </c>
      <c r="I96" s="52" cm="1">
        <f t="array" ref="I96">MMS_Swine_AtmosphericDeposition_Equations.VEERG_4_5_1_5__2_TotalNitrogenVolatilisedFromMMS(I51,_xlfn.XLOOKUP($E96,$D$58:$D$63,$E$58:$E$63))</f>
        <v>0</v>
      </c>
      <c r="J96" s="2" t="str">
        <f t="shared" si="0"/>
        <v>kg N</v>
      </c>
      <c r="N96" s="57"/>
      <c r="O96" s="57" t="str">
        <f>'Input - Swine'!$D$90</f>
        <v>Digester / covered lagoons</v>
      </c>
      <c r="P96" s="52" cm="1">
        <f t="array" ref="P96">MMS_Swine_AtmosphericDeposition_Equations.VEERG_4_5_1_5__2_TotalNitrogenVolatilisedFromMMS(P51,_xlfn.XLOOKUP($E96,$D$58:$D$63,$E$58:$E$63))</f>
        <v>0</v>
      </c>
      <c r="Q96" s="52" cm="1">
        <f t="array" ref="Q96">MMS_Swine_AtmosphericDeposition_Equations.VEERG_4_5_1_5__2_TotalNitrogenVolatilisedFromMMS(Q51,_xlfn.XLOOKUP($E96,$D$58:$D$63,$E$58:$E$63))</f>
        <v>0</v>
      </c>
      <c r="R96" s="52" cm="1">
        <f t="array" ref="R96">MMS_Swine_AtmosphericDeposition_Equations.VEERG_4_5_1_5__2_TotalNitrogenVolatilisedFromMMS(R51,_xlfn.XLOOKUP($E96,$D$58:$D$63,$E$58:$E$63))</f>
        <v>0</v>
      </c>
      <c r="S96" s="52" cm="1">
        <f t="array" ref="S96">MMS_Swine_AtmosphericDeposition_Equations.VEERG_4_5_1_5__2_TotalNitrogenVolatilisedFromMMS(S51,_xlfn.XLOOKUP($E96,$D$58:$D$63,$E$58:$E$63))</f>
        <v>0</v>
      </c>
      <c r="T96" s="2" t="str">
        <f t="shared" si="1"/>
        <v>kg N</v>
      </c>
    </row>
    <row r="97" spans="3:20" ht="20.100000000000001" customHeight="1" x14ac:dyDescent="0.25">
      <c r="D97" s="57"/>
      <c r="E97" s="57" t="str">
        <f>'Input - Swine'!$D$91</f>
        <v>Deep litter</v>
      </c>
      <c r="F97" s="52" cm="1">
        <f t="array" ref="F97">MMS_Swine_AtmosphericDeposition_Equations.VEERG_4_5_1_5__2_TotalNitrogenVolatilisedFromMMS(F52,_xlfn.XLOOKUP($E97,$D$58:$D$63,$E$58:$E$63))</f>
        <v>13.348050000000004</v>
      </c>
      <c r="G97" s="52" cm="1">
        <f t="array" ref="G97">MMS_Swine_AtmosphericDeposition_Equations.VEERG_4_5_1_5__2_TotalNitrogenVolatilisedFromMMS(G52,_xlfn.XLOOKUP($E97,$D$58:$D$63,$E$58:$E$63))</f>
        <v>14.218575000000008</v>
      </c>
      <c r="H97" s="52" cm="1">
        <f t="array" ref="H97">MMS_Swine_AtmosphericDeposition_Equations.VEERG_4_5_1_5__2_TotalNitrogenVolatilisedFromMMS(H52,_xlfn.XLOOKUP($E97,$D$58:$D$63,$E$58:$E$63))</f>
        <v>13.348050000000004</v>
      </c>
      <c r="I97" s="52" cm="1">
        <f t="array" ref="I97">MMS_Swine_AtmosphericDeposition_Equations.VEERG_4_5_1_5__2_TotalNitrogenVolatilisedFromMMS(I52,_xlfn.XLOOKUP($E97,$D$58:$D$63,$E$58:$E$63))</f>
        <v>9.0534600000000047</v>
      </c>
      <c r="J97" s="2" t="str">
        <f t="shared" si="0"/>
        <v>kg N</v>
      </c>
      <c r="N97" s="57"/>
      <c r="O97" s="57" t="str">
        <f>'Input - Swine'!$D$91</f>
        <v>Deep litter</v>
      </c>
      <c r="P97" s="52" cm="1">
        <f t="array" ref="P97">MMS_Swine_AtmosphericDeposition_Equations.VEERG_4_5_1_5__2_TotalNitrogenVolatilisedFromMMS(P52,_xlfn.XLOOKUP($E97,$D$58:$D$63,$E$58:$E$63))</f>
        <v>13.348050000000004</v>
      </c>
      <c r="Q97" s="52" cm="1">
        <f t="array" ref="Q97">MMS_Swine_AtmosphericDeposition_Equations.VEERG_4_5_1_5__2_TotalNitrogenVolatilisedFromMMS(Q52,_xlfn.XLOOKUP($E97,$D$58:$D$63,$E$58:$E$63))</f>
        <v>14.218575000000008</v>
      </c>
      <c r="R97" s="52" cm="1">
        <f t="array" ref="R97">MMS_Swine_AtmosphericDeposition_Equations.VEERG_4_5_1_5__2_TotalNitrogenVolatilisedFromMMS(R52,_xlfn.XLOOKUP($E97,$D$58:$D$63,$E$58:$E$63))</f>
        <v>13.348050000000004</v>
      </c>
      <c r="S97" s="52" cm="1">
        <f t="array" ref="S97">MMS_Swine_AtmosphericDeposition_Equations.VEERG_4_5_1_5__2_TotalNitrogenVolatilisedFromMMS(S52,_xlfn.XLOOKUP($E97,$D$58:$D$63,$E$58:$E$63))</f>
        <v>9.0534600000000047</v>
      </c>
      <c r="T97" s="2" t="str">
        <f t="shared" si="1"/>
        <v>kg N</v>
      </c>
    </row>
    <row r="98" spans="3:20" ht="20.100000000000001" customHeight="1" x14ac:dyDescent="0.25">
      <c r="D98" s="57"/>
      <c r="E98" s="57" t="str">
        <f>'Input - Swine'!$D$92</f>
        <v>Pit storage</v>
      </c>
      <c r="F98" s="52" cm="1">
        <f t="array" ref="F98">MMS_Swine_AtmosphericDeposition_Equations.VEERG_4_5_1_5__2_TotalNitrogenVolatilisedFromMMS(F53,_xlfn.XLOOKUP($E98,$D$58:$D$63,$E$58:$E$63))</f>
        <v>13.348050000000004</v>
      </c>
      <c r="G98" s="52" cm="1">
        <f t="array" ref="G98">MMS_Swine_AtmosphericDeposition_Equations.VEERG_4_5_1_5__2_TotalNitrogenVolatilisedFromMMS(G53,_xlfn.XLOOKUP($E98,$D$58:$D$63,$E$58:$E$63))</f>
        <v>14.218575000000008</v>
      </c>
      <c r="H98" s="52" cm="1">
        <f t="array" ref="H98">MMS_Swine_AtmosphericDeposition_Equations.VEERG_4_5_1_5__2_TotalNitrogenVolatilisedFromMMS(H53,_xlfn.XLOOKUP($E98,$D$58:$D$63,$E$58:$E$63))</f>
        <v>13.348050000000004</v>
      </c>
      <c r="I98" s="52" cm="1">
        <f t="array" ref="I98">MMS_Swine_AtmosphericDeposition_Equations.VEERG_4_5_1_5__2_TotalNitrogenVolatilisedFromMMS(I53,_xlfn.XLOOKUP($E98,$D$58:$D$63,$E$58:$E$63))</f>
        <v>9.0534600000000047</v>
      </c>
      <c r="J98" s="2" t="str">
        <f t="shared" si="0"/>
        <v>kg N</v>
      </c>
      <c r="N98" s="57"/>
      <c r="O98" s="57" t="str">
        <f>'Input - Swine'!$D$92</f>
        <v>Pit storage</v>
      </c>
      <c r="P98" s="52" cm="1">
        <f t="array" ref="P98">MMS_Swine_AtmosphericDeposition_Equations.VEERG_4_5_1_5__2_TotalNitrogenVolatilisedFromMMS(P53,_xlfn.XLOOKUP($E98,$D$58:$D$63,$E$58:$E$63))</f>
        <v>13.348050000000004</v>
      </c>
      <c r="Q98" s="52" cm="1">
        <f t="array" ref="Q98">MMS_Swine_AtmosphericDeposition_Equations.VEERG_4_5_1_5__2_TotalNitrogenVolatilisedFromMMS(Q53,_xlfn.XLOOKUP($E98,$D$58:$D$63,$E$58:$E$63))</f>
        <v>14.218575000000008</v>
      </c>
      <c r="R98" s="52" cm="1">
        <f t="array" ref="R98">MMS_Swine_AtmosphericDeposition_Equations.VEERG_4_5_1_5__2_TotalNitrogenVolatilisedFromMMS(R53,_xlfn.XLOOKUP($E98,$D$58:$D$63,$E$58:$E$63))</f>
        <v>13.348050000000004</v>
      </c>
      <c r="S98" s="52" cm="1">
        <f t="array" ref="S98">MMS_Swine_AtmosphericDeposition_Equations.VEERG_4_5_1_5__2_TotalNitrogenVolatilisedFromMMS(S53,_xlfn.XLOOKUP($E98,$D$58:$D$63,$E$58:$E$63))</f>
        <v>9.0534600000000047</v>
      </c>
      <c r="T98" s="2" t="str">
        <f t="shared" si="1"/>
        <v>kg N</v>
      </c>
    </row>
    <row r="99" spans="3:20" ht="20.100000000000001" customHeight="1" x14ac:dyDescent="0.25"/>
    <row r="100" spans="3:20" ht="20.100000000000001" customHeight="1" x14ac:dyDescent="0.25">
      <c r="D100" s="113" t="s">
        <v>330</v>
      </c>
      <c r="E100" s="143">
        <f>SUM(F68:I98)</f>
        <v>2551.6062847499998</v>
      </c>
      <c r="F100" s="144" t="str">
        <f>$E$11</f>
        <v>kg N</v>
      </c>
      <c r="N100" s="113" t="s">
        <v>330</v>
      </c>
      <c r="O100" s="143">
        <f>SUM(P68:S98)</f>
        <v>2551.6062847499998</v>
      </c>
      <c r="P100" s="144" t="str">
        <f>$E$11</f>
        <v>kg N</v>
      </c>
    </row>
    <row r="101" spans="3:20" ht="20.100000000000001" customHeight="1" x14ac:dyDescent="0.25"/>
    <row r="102" spans="3:20" ht="20.100000000000001" customHeight="1" x14ac:dyDescent="0.25"/>
    <row r="103" spans="3:20" ht="20.100000000000001" customHeight="1" x14ac:dyDescent="0.25">
      <c r="C103" s="45"/>
      <c r="D103" s="45"/>
      <c r="E103" s="45"/>
      <c r="F103" s="45"/>
      <c r="G103" s="45"/>
      <c r="H103" s="45"/>
      <c r="I103" s="45"/>
      <c r="J103" s="45"/>
      <c r="K103" s="45"/>
      <c r="N103" s="45"/>
      <c r="O103" s="45"/>
      <c r="P103" s="45"/>
      <c r="Q103" s="45"/>
      <c r="R103" s="45"/>
      <c r="S103" s="45"/>
      <c r="T103" s="45"/>
    </row>
    <row r="104" spans="3:20" ht="20.100000000000001" customHeight="1" x14ac:dyDescent="0.25">
      <c r="D104" s="6" t="str" cm="1">
        <f t="array" ref="D104">MMS_Swine_AtmosphericDeposition_Equations.VEERG_4_5_1_5__1_AnnualAtmosphericDepositionEmissionsFromMMS_Title()</f>
        <v>Annual atmospheric deposition emissions from MMS</v>
      </c>
      <c r="N104" s="6" t="str" cm="1">
        <f t="array" ref="N104">MMS_Swine_AtmosphericDeposition_Equations.VEERG_4_5_1_5__1_AnnualAtmosphericDepositionEmissionsFromMMS_Title()</f>
        <v>Annual atmospheric deposition emissions from MMS</v>
      </c>
    </row>
    <row r="105" spans="3:20" ht="20.100000000000001" customHeight="1" x14ac:dyDescent="0.25">
      <c r="D105" s="5" t="str" cm="1">
        <f t="array" ref="D105">MMS_Swine_AtmosphericDeposition_Equations.VEERG_4_5_1_5__1_AnnualAtmosphericDepositionEmissionsFromMMS_Source()</f>
        <v>VEERG 2026: 4.5.1.1, Equation (1)</v>
      </c>
      <c r="N105" s="5" t="str" cm="1">
        <f t="array" ref="N105">MMS_Swine_AtmosphericDeposition_Equations.VEERG_4_5_1_5__1_AnnualAtmosphericDepositionEmissionsFromMMS_Source()</f>
        <v>VEERG 2026: 4.5.1.1, Equation (1)</v>
      </c>
    </row>
    <row r="106" spans="3:20" ht="20.100000000000001" customHeight="1" x14ac:dyDescent="0.25">
      <c r="D106" s="13" t="s">
        <v>26</v>
      </c>
      <c r="E106" s="13" t="str" cm="1">
        <f t="array" aca="1" ref="E106" ca="1">Common_InputFunctions.Utility_DisplayFunctionName(E119)</f>
        <v>=MMS_Swine_AtmosphericDeposition_Equations.VEERG_4_5_1_5__1_AnnualAtmosphericDepositionEmissionsFromMMS</v>
      </c>
      <c r="N106" s="13" t="s">
        <v>26</v>
      </c>
      <c r="O106" s="13" t="str" cm="1">
        <f t="array" aca="1" ref="O106" ca="1">Common_InputFunctions.Utility_DisplayFunctionName(O119)</f>
        <v>=MMS_Swine_AtmosphericDeposition_Equations.VEERG_4_5_1_5__1_AnnualAtmosphericDepositionEmissionsFromMMS</v>
      </c>
    </row>
    <row r="107" spans="3:20" ht="20.100000000000001" customHeight="1" x14ac:dyDescent="0.25"/>
    <row r="108" spans="3:20" ht="20.100000000000001" customHeight="1" x14ac:dyDescent="0.25"/>
    <row r="109" spans="3:20" ht="20.100000000000001" customHeight="1" x14ac:dyDescent="0.25">
      <c r="D109" s="53" t="s">
        <v>29</v>
      </c>
      <c r="E109" s="1" t="str" cm="1">
        <f t="array" ref="E109">MMS_Swine_AtmosphericDeposition_Equations.VEERG_4_5_1_5__1_AnnualAtmosphericDepositionEmissionsFromMMS_Variable()</f>
        <v>E_N2OMMSad</v>
      </c>
      <c r="N109" s="53" t="s">
        <v>29</v>
      </c>
      <c r="O109" s="1" t="str" cm="1">
        <f t="array" ref="O109">MMS_Swine_AtmosphericDeposition_Equations.VEERG_4_5_1_5__1_AnnualAtmosphericDepositionEmissionsFromMMS_Variable()</f>
        <v>E_N2OMMSad</v>
      </c>
    </row>
    <row r="110" spans="3:20" ht="20.100000000000001" customHeight="1" x14ac:dyDescent="0.25">
      <c r="D110" s="53" t="s">
        <v>19</v>
      </c>
      <c r="E110" s="54" t="str" cm="1">
        <f t="array" ref="E110">MMS_Swine_AtmosphericDeposition_Equations.VEERG_4_5_1_5__1_AnnualAtmosphericDepositionEmissionsFromMMS_Unit()</f>
        <v>t N2O</v>
      </c>
      <c r="N110" s="53" t="s">
        <v>19</v>
      </c>
      <c r="O110" s="54" t="str" cm="1">
        <f t="array" ref="O110">MMS_Swine_AtmosphericDeposition_Equations.VEERG_4_5_1_5__1_AnnualAtmosphericDepositionEmissionsFromMMS_Unit()</f>
        <v>t N2O</v>
      </c>
    </row>
    <row r="111" spans="3:20" ht="20.100000000000001" customHeight="1" x14ac:dyDescent="0.25"/>
    <row r="112" spans="3:20" ht="20.100000000000001" customHeight="1" x14ac:dyDescent="0.25">
      <c r="D112" s="57" t="str" cm="1">
        <f t="array" ref="D112:E117">MMS_Swine_AtmosphericDeposition_Equations.VEERG_4_5_1_5__1_AnnualAtmosphericDepositionEmissionsFromMMS_Arguments()</f>
        <v>MMS_ATMOS</v>
      </c>
      <c r="E112" s="58" t="str">
        <v>mass of N volatilised from MMS (kg N)</v>
      </c>
      <c r="F112" s="59"/>
      <c r="G112" s="57">
        <f>$E$100</f>
        <v>2551.6062847499998</v>
      </c>
      <c r="N112" s="57" t="str" cm="1">
        <f t="array" ref="N112:O117">MMS_Swine_AtmosphericDeposition_Equations.VEERG_4_5_1_5__1_AnnualAtmosphericDepositionEmissionsFromMMS_Arguments()</f>
        <v>MMS_ATMOS</v>
      </c>
      <c r="O112" s="58" t="str">
        <v>mass of N volatilised from MMS (kg N)</v>
      </c>
      <c r="P112" s="59"/>
      <c r="Q112" s="57">
        <f>$E$100</f>
        <v>2551.6062847499998</v>
      </c>
    </row>
    <row r="113" spans="4:17" ht="20.100000000000001" customHeight="1" x14ac:dyDescent="0.25">
      <c r="D113" s="57" t="str">
        <v>EF_N2O</v>
      </c>
      <c r="E113" s="58" t="str">
        <v>nitrous oxide emission factor for atmospheric deposition (kg N2O-N/kg N)</v>
      </c>
      <c r="F113" s="59"/>
      <c r="G113" s="57">
        <f>Common_InputFunctions.Utility_LookupN2OEFFromProdIrrigationRainfall(G115,G116,G117,Table_SourceData_Common_EFN2O[Production system only],Table_SourceData_Common_EFN2O[Irrigation method],Table_SourceData_Common_EFN2O[Rainfall zone],Table_SourceData_Common_EFN2O[EFN2O])</f>
        <v>7.0000000000000001E-3</v>
      </c>
      <c r="N113" s="57" t="str">
        <v>EF_N2O</v>
      </c>
      <c r="O113" s="58" t="str">
        <v>nitrous oxide emission factor for atmospheric deposition (kg N2O-N/kg N)</v>
      </c>
      <c r="P113" s="59"/>
      <c r="Q113" s="57"/>
    </row>
    <row r="114" spans="4:17" ht="20.100000000000001" customHeight="1" x14ac:dyDescent="0.25">
      <c r="D114" s="57" t="str">
        <v>C_N2O</v>
      </c>
      <c r="E114" s="58" t="str">
        <v>factor to convert elemental mass of N2O to molecular mass</v>
      </c>
      <c r="F114" s="59"/>
      <c r="G114" s="57">
        <f>Common_InputFunctions.Utility_LookupValueInTableNumber("N2O",Table_GasToMolecularConversionFactor[Gas],Table_GasToMolecularConversionFactor[Conversion factor combined])</f>
        <v>1.5714285714285714</v>
      </c>
      <c r="N114" s="57" t="str">
        <v>C_N2O</v>
      </c>
      <c r="O114" s="58" t="str">
        <v>factor to convert elemental mass of N2O to molecular mass</v>
      </c>
      <c r="P114" s="59"/>
      <c r="Q114" s="57"/>
    </row>
    <row r="115" spans="4:17" ht="20.100000000000001" customHeight="1" x14ac:dyDescent="0.25">
      <c r="D115" s="57" t="str">
        <v>j</v>
      </c>
      <c r="E115" s="58" t="str">
        <v>production system</v>
      </c>
      <c r="F115" s="59"/>
      <c r="G115" s="57" t="str">
        <f>'Input - Swine'!$E$96</f>
        <v>Crop</v>
      </c>
      <c r="N115" s="57" t="str">
        <v>j</v>
      </c>
      <c r="O115" s="58" t="str">
        <v>production system</v>
      </c>
      <c r="P115" s="59"/>
      <c r="Q115" s="57"/>
    </row>
    <row r="116" spans="4:17" ht="20.100000000000001" customHeight="1" x14ac:dyDescent="0.25">
      <c r="D116" s="57" t="str">
        <v>ir</v>
      </c>
      <c r="E116" s="58" t="str">
        <v>irrigation method</v>
      </c>
      <c r="F116" s="59"/>
      <c r="G116" s="57" t="str">
        <f>'Input - Swine'!$E$97</f>
        <v>Sprinkler irrigation</v>
      </c>
      <c r="N116" s="57" t="str">
        <v>ir</v>
      </c>
      <c r="O116" s="58" t="str">
        <v>irrigation method</v>
      </c>
      <c r="P116" s="59"/>
      <c r="Q116" s="57"/>
    </row>
    <row r="117" spans="4:17" ht="20.100000000000001" customHeight="1" x14ac:dyDescent="0.25">
      <c r="D117" s="57" t="str">
        <v>r</v>
      </c>
      <c r="E117" s="58" t="str">
        <v>rainfall region</v>
      </c>
      <c r="F117" s="59"/>
      <c r="G117" s="57" t="str">
        <f>'Input - Site'!$E$30</f>
        <v>High rainfall</v>
      </c>
      <c r="N117" s="57" t="str">
        <v>r</v>
      </c>
      <c r="O117" s="58" t="str">
        <v>rainfall region</v>
      </c>
      <c r="P117" s="59"/>
      <c r="Q117" s="57"/>
    </row>
    <row r="118" spans="4:17" ht="20.100000000000001" customHeight="1" x14ac:dyDescent="0.25"/>
    <row r="119" spans="4:17" ht="20.100000000000001" customHeight="1" x14ac:dyDescent="0.25">
      <c r="D119" s="101" t="s">
        <v>327</v>
      </c>
      <c r="E119" s="102" cm="1">
        <f t="array" ref="E119">MMS_Swine_AtmosphericDeposition_Equations.VEERG_4_5_1_5__1_AnnualAtmosphericDepositionEmissionsFromMMS(G112,G113,G114)</f>
        <v>2.8067669132249999E-2</v>
      </c>
      <c r="F119" s="103" t="str">
        <f>E110</f>
        <v>t N2O</v>
      </c>
      <c r="N119" s="101" t="s">
        <v>327</v>
      </c>
      <c r="O119" s="102" cm="1">
        <f t="array" ref="O119">MMS_Swine_AtmosphericDeposition_Equations.VEERG_4_5_1_5__1_AnnualAtmosphericDepositionEmissionsFromMMS(Q112,G113,G114)</f>
        <v>2.8067669132249999E-2</v>
      </c>
      <c r="P119" s="103" t="str">
        <f>O110</f>
        <v>t N2O</v>
      </c>
    </row>
    <row r="120" spans="4:17" ht="20.100000000000001" customHeight="1" x14ac:dyDescent="0.25"/>
    <row r="121" spans="4:17" ht="20.100000000000001" customHeight="1" x14ac:dyDescent="0.25">
      <c r="D121" s="57" t="str" cm="1">
        <f t="array" ref="D121:E122">Common_Equations.Common_ConvertN2OToCO2e_Arguments()</f>
        <v>EN2O</v>
      </c>
      <c r="E121" s="58" t="str">
        <v>Nitrous oxide emissions (t N2O)</v>
      </c>
      <c r="F121" s="104"/>
      <c r="G121" s="52">
        <f>E119</f>
        <v>2.8067669132249999E-2</v>
      </c>
      <c r="N121" s="57" t="str" cm="1">
        <f t="array" ref="N121:O122">Common_Equations.Common_ConvertN2OToCO2e_Arguments()</f>
        <v>EN2O</v>
      </c>
      <c r="O121" s="58" t="str">
        <v>Nitrous oxide emissions (t N2O)</v>
      </c>
      <c r="P121" s="104"/>
      <c r="Q121" s="52">
        <f>O119</f>
        <v>2.8067669132249999E-2</v>
      </c>
    </row>
    <row r="122" spans="4:17" ht="20.100000000000001" customHeight="1" x14ac:dyDescent="0.25">
      <c r="D122" s="57" t="str">
        <v>GWPN2O</v>
      </c>
      <c r="E122" s="58" t="str">
        <v>Global warming potential for nitrous oxide (t CO2-e / t N2O)</v>
      </c>
      <c r="F122" s="104"/>
      <c r="G122" s="52">
        <f>Common_InputFunctions.Utility_LookupValueInTableNumber("N2O",[1]!Table_GWPData[Gas],[1]!Table_GWPData[CO2-e factor])</f>
        <v>265</v>
      </c>
      <c r="N122" s="57" t="str">
        <v>GWPN2O</v>
      </c>
      <c r="O122" s="58" t="str">
        <v>Global warming potential for nitrous oxide (t CO2-e / t N2O)</v>
      </c>
      <c r="P122" s="104"/>
      <c r="Q122" s="52">
        <f>Common_InputFunctions.Utility_LookupValueInTableNumber("N2O",[1]!Table_GWPData[Gas],[1]!Table_GWPData[CO2-e factor])</f>
        <v>265</v>
      </c>
    </row>
    <row r="123" spans="4:17" ht="20.100000000000001" customHeight="1" x14ac:dyDescent="0.25"/>
    <row r="124" spans="4:17" ht="20.100000000000001" customHeight="1" x14ac:dyDescent="0.25">
      <c r="D124" s="45" t="s">
        <v>101</v>
      </c>
      <c r="E124" s="45" cm="1">
        <f t="array" ref="E124">Common_Equations.Common_ConvertN2OToCO2e(G121,G122)</f>
        <v>7.4379323200462499</v>
      </c>
      <c r="F124" s="105" t="str" cm="1">
        <f t="array" ref="F124">Common_Equations.Common_ConvertN2OToCO2e_Unit()</f>
        <v>t CO2e</v>
      </c>
      <c r="N124" s="45" t="s">
        <v>101</v>
      </c>
      <c r="O124" s="45" cm="1">
        <f t="array" ref="O124">Common_Equations.Common_ConvertN2OToCO2e(Q121,Q122)</f>
        <v>7.4379323200462499</v>
      </c>
      <c r="P124" s="105" t="str" cm="1">
        <f t="array" ref="P124">Common_Equations.Common_ConvertN2OToCO2e_Unit()</f>
        <v>t CO2e</v>
      </c>
    </row>
    <row r="125" spans="4:17" ht="20.100000000000001" customHeight="1" x14ac:dyDescent="0.25"/>
    <row r="126" spans="4:17" ht="20.100000000000001" customHeight="1" x14ac:dyDescent="0.25"/>
    <row r="127" spans="4:17" ht="20.100000000000001" customHeight="1" x14ac:dyDescent="0.25"/>
    <row r="128" spans="4:17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S165"/>
  <sheetViews>
    <sheetView showGridLines="0" topLeftCell="A2" workbookViewId="0">
      <selection activeCell="D6" sqref="D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8" t="e" vm="1">
        <v>#VALUE!</v>
      </c>
      <c r="C1" s="8" t="s">
        <v>355</v>
      </c>
      <c r="K1"/>
    </row>
    <row r="2" spans="1:19" s="9" customFormat="1" ht="20.100000000000001" customHeight="1" x14ac:dyDescent="0.25">
      <c r="K2"/>
    </row>
    <row r="3" spans="1:19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L3" s="4"/>
      <c r="M3" s="4" t="s">
        <v>103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MMS_Swine_LeachingAndRunoff_Equations.VEERG_4_5_1_7__2_MassOfNitrogenLostToLeachingAndRunoffFromDrylotMMS_Title()</f>
        <v>Mass of nitrogen lost to leaching and runoff from drylot MMS</v>
      </c>
    </row>
    <row r="6" spans="1:19" ht="20.100000000000001" customHeight="1" x14ac:dyDescent="0.25">
      <c r="A6" s="20" t="s">
        <v>3</v>
      </c>
      <c r="D6" s="5" t="str" cm="1">
        <f t="array" ref="D6">MMS_Swine_LeachingAndRunoff_Equations.VEERG_4_5_1_7__2_MassOfNitrogenLostToLeachingAndRunoffFromDrylotMMS_Source()</f>
        <v>VEERG 2026: 4.5.1.7, Equation (2)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Common_InputFunctions.Utility_DisplayFunctionName($E$28)</f>
        <v>=MMS_Swine_LeachingAndRunoff_Equations.VEERG_4_5_1_7__2_MassOfNitrogenLostToLeachingAndRunoffFromDrylotMMS</v>
      </c>
    </row>
    <row r="8" spans="1:19" ht="20.100000000000001" customHeight="1" x14ac:dyDescent="0.25">
      <c r="A8" s="17" t="str">
        <f>HYPERLINK("#'Input - Swine'!A1", "Swine")</f>
        <v>Swine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3" t="s">
        <v>29</v>
      </c>
      <c r="E10" s="1" t="str" cm="1">
        <f t="array" ref="E10">MMS_Swine_LeachingAndRunoff_Equations.VEERG_4_5_1_7__2_MassOfNitrogenLostToLeachingAndRunoffFromDrylotMMS_Variable()</f>
        <v>MNLeach_jm5</v>
      </c>
      <c r="F10" s="107" t="s">
        <v>341</v>
      </c>
    </row>
    <row r="11" spans="1:19" ht="20.100000000000001" customHeight="1" x14ac:dyDescent="0.25">
      <c r="A11" s="17" t="str">
        <f>HYPERLINK("#'4.2.1.1-2 Methane'!A1", "4.2.1.1-2 Methane")</f>
        <v>4.2.1.1-2 Methane</v>
      </c>
      <c r="D11" s="53" t="s">
        <v>19</v>
      </c>
      <c r="E11" s="54" t="str" cm="1">
        <f t="array" ref="E11">MMS_Swine_LeachingAndRunoff_Equations.VEERG_4_5_1_7__2_MassOfNitrogenLostToLeachingAndRunoffFromDrylotMMS_Unit()</f>
        <v>kg N</v>
      </c>
      <c r="F11" s="107" t="s">
        <v>347</v>
      </c>
    </row>
    <row r="12" spans="1:19" ht="20.100000000000001" customHeight="1" x14ac:dyDescent="0.25">
      <c r="A12" s="17" t="str">
        <f>HYPERLINK("#'4.2.1.3-4 Soil direct N2O'!A1", "4.2.1.3-4 Soil direct N2O")</f>
        <v>4.2.1.3-4 Soil direct N2O</v>
      </c>
    </row>
    <row r="13" spans="1:19" ht="20.100000000000001" customHeight="1" x14ac:dyDescent="0.25">
      <c r="A13" s="17" t="str">
        <f>HYPERLINK("#'4.2.1.5-6 Soil Atmos Dep'!A1", "4.2.1.5-6 Soil atm. deposition")</f>
        <v>4.2.1.5-6 Soil atm. deposition</v>
      </c>
      <c r="D13" s="108" t="str" cm="1">
        <f t="array" ref="D13:E18">MMS_Swine_LeachingAndRunoff_Equations.VEERG_4_5_1_7__2_MassOfNitrogenLostToLeachingAndRunoffFromDrylotMMS_Arguments()</f>
        <v>MN_jm5T1</v>
      </c>
      <c r="E13" s="110" t="str">
        <v>nitrogen in treatment stage 1 drylot MMS (kg N)</v>
      </c>
      <c r="F13" s="109"/>
      <c r="G13" s="52" t="str">
        <f>"See " &amp; D20</f>
        <v>See M1_Table_MN_j_m-5_T-1</v>
      </c>
    </row>
    <row r="14" spans="1:19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8" t="str">
        <v>FracWET</v>
      </c>
      <c r="E14" s="110" t="str">
        <v>fraction of N available for leaching and runoff</v>
      </c>
      <c r="F14" s="109"/>
      <c r="G14" s="52">
        <f>Common_InputFunctions.CommonCropping_GetFracWET(G16,G18,Table_SourceData_FracWET[Is in leaching zone],Table_SourceData_FracWET[FracWET],Table_SourceData_FracWETIrrigation[Irrigation type i],Table_SourceData_FracWETIrrigation[FracWET])</f>
        <v>1</v>
      </c>
    </row>
    <row r="15" spans="1:19" ht="20.100000000000001" customHeight="1" x14ac:dyDescent="0.25">
      <c r="A15" s="17"/>
      <c r="D15" s="108" t="str">
        <v>FracLEACH_MS</v>
      </c>
      <c r="E15" s="110" t="str">
        <v>fraction of N lost through leaching and runoff</v>
      </c>
      <c r="F15" s="109"/>
      <c r="G15" s="52">
        <f>'Constants - Swine'!$E$17</f>
        <v>0.02</v>
      </c>
    </row>
    <row r="16" spans="1:19" ht="20.100000000000001" customHeight="1" x14ac:dyDescent="0.25">
      <c r="A16" s="18" t="s">
        <v>4</v>
      </c>
      <c r="D16" s="108" t="str">
        <v>z</v>
      </c>
      <c r="E16" s="110" t="str">
        <v>location in leaching zone</v>
      </c>
      <c r="F16" s="109"/>
      <c r="G16" s="108" t="str">
        <f>'Input - Site'!$E$23</f>
        <v>NO - Not in leaching zone</v>
      </c>
    </row>
    <row r="17" spans="1:19" ht="20.100000000000001" customHeight="1" x14ac:dyDescent="0.25">
      <c r="A17" s="17" t="str">
        <f>HYPERLINK("#'Constants - Swine'!A1", "Constants - Swine")</f>
        <v>Constants - Swine</v>
      </c>
      <c r="D17" s="108" t="str">
        <v>j</v>
      </c>
      <c r="E17" s="110" t="str">
        <v>production system</v>
      </c>
      <c r="F17" s="109"/>
      <c r="G17" s="108" t="str">
        <f>'Input - Swine'!$E$96</f>
        <v>Crop</v>
      </c>
    </row>
    <row r="18" spans="1:19" ht="20.100000000000001" customHeight="1" x14ac:dyDescent="0.25">
      <c r="A18" s="17" t="str">
        <f>HYPERLINK("#'Constants - Livestock'!A1", "Constants - Livestock")</f>
        <v>Constants - Livestock</v>
      </c>
      <c r="D18" s="108" t="str">
        <v>ir</v>
      </c>
      <c r="E18" s="110" t="str">
        <v>irrigation method</v>
      </c>
      <c r="F18" s="109"/>
      <c r="G18" s="108" t="str">
        <f>'Input - Swine'!$E$97</f>
        <v>Sprinkler irrigation</v>
      </c>
    </row>
    <row r="19" spans="1:19" ht="20.100000000000001" customHeight="1" x14ac:dyDescent="0.25">
      <c r="A19" s="17" t="str">
        <f>HYPERLINK("#'Constants - Common'!A1", "Constants - Common")</f>
        <v>Constants - Common</v>
      </c>
    </row>
    <row r="20" spans="1:19" ht="20.100000000000001" customHeight="1" x14ac:dyDescent="0.25">
      <c r="A20" s="17" t="str">
        <f>HYPERLINK("#'Acknowledgements'!A1", "Acknowledgements")</f>
        <v>Acknowledgements</v>
      </c>
      <c r="D20" s="99" t="s">
        <v>342</v>
      </c>
      <c r="M20" s="99" t="s">
        <v>345</v>
      </c>
    </row>
    <row r="21" spans="1:19" ht="20.100000000000001" customHeight="1" x14ac:dyDescent="0.25">
      <c r="D21" s="98" t="s">
        <v>344</v>
      </c>
      <c r="M21" s="98" t="s">
        <v>346</v>
      </c>
    </row>
    <row r="22" spans="1:19" ht="20.100000000000001" customHeight="1" x14ac:dyDescent="0.25">
      <c r="D22" s="51" t="s">
        <v>172</v>
      </c>
      <c r="E22" s="51" t="s">
        <v>146</v>
      </c>
      <c r="F22" s="51" t="s">
        <v>147</v>
      </c>
      <c r="G22" s="51" t="s">
        <v>148</v>
      </c>
      <c r="H22" s="51" t="s">
        <v>266</v>
      </c>
      <c r="M22" s="51" t="s">
        <v>172</v>
      </c>
      <c r="N22" s="51" t="s">
        <v>146</v>
      </c>
      <c r="O22" s="51" t="s">
        <v>147</v>
      </c>
      <c r="P22" s="51" t="s">
        <v>148</v>
      </c>
      <c r="Q22" s="51" t="s">
        <v>266</v>
      </c>
    </row>
    <row r="23" spans="1:19" ht="20.100000000000001" customHeight="1" x14ac:dyDescent="0.25">
      <c r="D23" s="52" t="str">
        <f>'Input - Swine'!$D$30</f>
        <v>Drylot (feed pad)</v>
      </c>
      <c r="E23" s="52">
        <f>'4.5.1.3-4 Direct N20'!E119</f>
        <v>201.47999999999996</v>
      </c>
      <c r="F23" s="52">
        <f>'4.5.1.3-4 Direct N20'!F119</f>
        <v>214.62000000000003</v>
      </c>
      <c r="G23" s="52">
        <f>'4.5.1.3-4 Direct N20'!G119</f>
        <v>201.47999999999996</v>
      </c>
      <c r="H23" s="52">
        <f>'4.5.1.3-4 Direct N20'!H119</f>
        <v>136.65599999999998</v>
      </c>
      <c r="I23" s="2" t="s">
        <v>343</v>
      </c>
      <c r="M23" s="52" t="str">
        <f>'Input - Swine'!$D$30</f>
        <v>Drylot (feed pad)</v>
      </c>
      <c r="N23" s="52">
        <f>'4.5.1.3-4 Direct N20'!O119</f>
        <v>201.47999999999996</v>
      </c>
      <c r="O23" s="52">
        <f>'4.5.1.3-4 Direct N20'!P119</f>
        <v>214.62000000000003</v>
      </c>
      <c r="P23" s="52">
        <f>'4.5.1.3-4 Direct N20'!Q119</f>
        <v>201.47999999999996</v>
      </c>
      <c r="Q23" s="52">
        <f>'4.5.1.3-4 Direct N20'!R119</f>
        <v>136.65599999999998</v>
      </c>
      <c r="R23" s="2" t="s">
        <v>343</v>
      </c>
    </row>
    <row r="24" spans="1:19" ht="20.100000000000001" customHeight="1" x14ac:dyDescent="0.25"/>
    <row r="25" spans="1:19" ht="20.100000000000001" customHeight="1" x14ac:dyDescent="0.25">
      <c r="D25" s="99" t="s">
        <v>348</v>
      </c>
      <c r="M25" s="99" t="s">
        <v>348</v>
      </c>
    </row>
    <row r="26" spans="1:19" ht="20.100000000000001" customHeight="1" x14ac:dyDescent="0.25">
      <c r="D26" s="98" t="s">
        <v>349</v>
      </c>
      <c r="M26" s="98" t="s">
        <v>349</v>
      </c>
    </row>
    <row r="27" spans="1:19" ht="20.100000000000001" customHeight="1" x14ac:dyDescent="0.25">
      <c r="D27" s="51" t="s">
        <v>172</v>
      </c>
      <c r="E27" s="51" t="s">
        <v>146</v>
      </c>
      <c r="F27" s="51" t="s">
        <v>147</v>
      </c>
      <c r="G27" s="51" t="s">
        <v>148</v>
      </c>
      <c r="H27" s="51" t="s">
        <v>266</v>
      </c>
      <c r="M27" s="51" t="s">
        <v>172</v>
      </c>
      <c r="N27" s="51" t="s">
        <v>146</v>
      </c>
      <c r="O27" s="51" t="s">
        <v>147</v>
      </c>
      <c r="P27" s="51" t="s">
        <v>148</v>
      </c>
      <c r="Q27" s="51" t="s">
        <v>266</v>
      </c>
    </row>
    <row r="28" spans="1:19" ht="20.100000000000001" customHeight="1" x14ac:dyDescent="0.25">
      <c r="D28" s="52" t="str">
        <f>'Input - Swine'!$D$30</f>
        <v>Drylot (feed pad)</v>
      </c>
      <c r="E28" s="52" cm="1">
        <f t="array" ref="E28">MMS_Swine_LeachingAndRunoff_Equations.VEERG_4_5_1_7__2_MassOfNitrogenLostToLeachingAndRunoffFromDrylotMMS(E23,$G$14,$G$15)</f>
        <v>4.0295999999999994</v>
      </c>
      <c r="F28" s="52" cm="1">
        <f t="array" ref="F28">MMS_Swine_LeachingAndRunoff_Equations.VEERG_4_5_1_7__2_MassOfNitrogenLostToLeachingAndRunoffFromDrylotMMS(F23,$G$14,$G$15)</f>
        <v>4.2924000000000007</v>
      </c>
      <c r="G28" s="52" cm="1">
        <f t="array" ref="G28">MMS_Swine_LeachingAndRunoff_Equations.VEERG_4_5_1_7__2_MassOfNitrogenLostToLeachingAndRunoffFromDrylotMMS(G23,$G$14,$G$15)</f>
        <v>4.0295999999999994</v>
      </c>
      <c r="H28" s="52" cm="1">
        <f t="array" ref="H28">MMS_Swine_LeachingAndRunoff_Equations.VEERG_4_5_1_7__2_MassOfNitrogenLostToLeachingAndRunoffFromDrylotMMS(H23,$G$14,$G$15)</f>
        <v>2.7331199999999995</v>
      </c>
      <c r="I28" s="2" t="str">
        <f>$E$11</f>
        <v>kg N</v>
      </c>
      <c r="M28" s="52" t="str">
        <f>'Input - Swine'!$D$30</f>
        <v>Drylot (feed pad)</v>
      </c>
      <c r="N28" s="52" cm="1">
        <f t="array" ref="N28">MMS_Swine_LeachingAndRunoff_Equations.VEERG_4_5_1_7__2_MassOfNitrogenLostToLeachingAndRunoffFromDrylotMMS(N23,$G$14,$G$15)</f>
        <v>4.0295999999999994</v>
      </c>
      <c r="O28" s="52" cm="1">
        <f t="array" ref="O28">MMS_Swine_LeachingAndRunoff_Equations.VEERG_4_5_1_7__2_MassOfNitrogenLostToLeachingAndRunoffFromDrylotMMS(O23,$G$14,$G$15)</f>
        <v>4.2924000000000007</v>
      </c>
      <c r="P28" s="52" cm="1">
        <f t="array" ref="P28">MMS_Swine_LeachingAndRunoff_Equations.VEERG_4_5_1_7__2_MassOfNitrogenLostToLeachingAndRunoffFromDrylotMMS(P23,$G$14,$G$15)</f>
        <v>4.0295999999999994</v>
      </c>
      <c r="Q28" s="52" cm="1">
        <f t="array" ref="Q28">MMS_Swine_LeachingAndRunoff_Equations.VEERG_4_5_1_7__2_MassOfNitrogenLostToLeachingAndRunoffFromDrylotMMS(Q23,$G$14,$G$15)</f>
        <v>2.7331199999999995</v>
      </c>
      <c r="R28" s="2" t="str">
        <f>$E$11</f>
        <v>kg N</v>
      </c>
    </row>
    <row r="29" spans="1:19" ht="20.100000000000001" customHeight="1" x14ac:dyDescent="0.25"/>
    <row r="30" spans="1:19" ht="20.100000000000001" customHeight="1" x14ac:dyDescent="0.25"/>
    <row r="31" spans="1:19" ht="20.100000000000001" customHeight="1" x14ac:dyDescent="0.25">
      <c r="C31" s="45"/>
      <c r="D31" s="45"/>
      <c r="E31" s="45"/>
      <c r="F31" s="45"/>
      <c r="G31" s="45"/>
      <c r="H31" s="45"/>
      <c r="I31" s="45"/>
      <c r="J31" s="45"/>
      <c r="L31" s="45"/>
      <c r="M31" s="45"/>
      <c r="N31" s="45"/>
      <c r="O31" s="45"/>
      <c r="P31" s="45"/>
      <c r="Q31" s="45"/>
      <c r="R31" s="45"/>
      <c r="S31" s="45"/>
    </row>
    <row r="32" spans="1:19" ht="20.100000000000001" customHeight="1" x14ac:dyDescent="0.25">
      <c r="D32" s="6" t="str" cm="1">
        <f t="array" ref="D32">MMS_Swine_LeachingAndRunoff_Equations.VEERG_4_5_1_7__1_AnnualEmissionsFromLeachingAndRunoffFromMMS_Title()</f>
        <v>Annual emissions from leaching and runoff from each MMS</v>
      </c>
    </row>
    <row r="33" spans="4:18" ht="20.100000000000001" customHeight="1" x14ac:dyDescent="0.25">
      <c r="D33" s="5" t="str" cm="1">
        <f t="array" ref="D33">MMS_Swine_LeachingAndRunoff_Equations.VEERG_4_5_1_7__1_AnnualEmissionsFromLeachingAndRunoffFromMMS_Source()</f>
        <v>VEERG 2026: 4.5.1.7, Equation (1)</v>
      </c>
    </row>
    <row r="34" spans="4:18" ht="20.100000000000001" customHeight="1" x14ac:dyDescent="0.25">
      <c r="D34" s="13" t="s">
        <v>26</v>
      </c>
      <c r="E34" s="13" t="str" cm="1">
        <f t="array" aca="1" ref="E34" ca="1">Common_InputFunctions.Utility_DisplayFunctionName($E$47)</f>
        <v>=MMS_Swine_LeachingAndRunoff_Equations.VEERG_4_5_1_7__1_AnnualEmissionsFromLeachingAndRunoffFromMMS</v>
      </c>
    </row>
    <row r="35" spans="4:18" ht="20.100000000000001" customHeight="1" x14ac:dyDescent="0.25"/>
    <row r="36" spans="4:18" ht="20.100000000000001" customHeight="1" x14ac:dyDescent="0.25"/>
    <row r="37" spans="4:18" ht="20.100000000000001" customHeight="1" x14ac:dyDescent="0.25">
      <c r="D37" s="53" t="s">
        <v>29</v>
      </c>
      <c r="E37" s="1" t="str" cm="1">
        <f t="array" ref="E37">MMS_Swine_LeachingAndRunoff_Equations.VEERG_4_5_1_7__1_AnnualEmissionsFromLeachingAndRunoffFromMMS_Variable()</f>
        <v>E_N2Oleach</v>
      </c>
    </row>
    <row r="38" spans="4:18" ht="20.100000000000001" customHeight="1" x14ac:dyDescent="0.25">
      <c r="D38" s="53" t="s">
        <v>19</v>
      </c>
      <c r="E38" s="54" t="str" cm="1">
        <f t="array" ref="E38">MMS_Swine_LeachingAndRunoff_Equations.VEERG_4_5_1_7__1_AnnualEmissionsFromLeachingAndRunoffFromMMS_Unit()</f>
        <v>t N2O</v>
      </c>
    </row>
    <row r="39" spans="4:18" ht="20.100000000000001" customHeight="1" x14ac:dyDescent="0.25"/>
    <row r="40" spans="4:18" ht="20.100000000000001" customHeight="1" x14ac:dyDescent="0.25">
      <c r="D40" s="57" t="str" cm="1">
        <f t="array" ref="D40:E42">MMS_Swine_LeachingAndRunoff_Equations.VEERG_4_5_1_7__1_AnnualEmissionsFromLeachingAndRunoffFromMMS_Arguments()</f>
        <v>MNLeach_jm5</v>
      </c>
      <c r="E40" s="58" t="str">
        <v>mass of N lost through leaching and runoff from drylot MMS (kg N)</v>
      </c>
      <c r="F40" s="59"/>
      <c r="G40" s="57" t="str">
        <f>"See " &amp; D25</f>
        <v>See M1_Table_MN_leach_j_m-5</v>
      </c>
    </row>
    <row r="41" spans="4:18" ht="20.100000000000001" customHeight="1" x14ac:dyDescent="0.25">
      <c r="D41" s="57" t="str">
        <v>EF_leach</v>
      </c>
      <c r="E41" s="58" t="str">
        <v>emission factor for leaching and runoff (kg N2O-N/kg N)</v>
      </c>
      <c r="F41" s="59"/>
      <c r="G41" s="57">
        <f>'Constants - Common'!$E$170</f>
        <v>1.0999999999999999E-2</v>
      </c>
    </row>
    <row r="42" spans="4:18" ht="20.100000000000001" customHeight="1" x14ac:dyDescent="0.25">
      <c r="D42" s="57" t="str">
        <v>C_N2O</v>
      </c>
      <c r="E42" s="58" t="str">
        <v>factor to convert elemental mass of N2O to molecular mass</v>
      </c>
      <c r="F42" s="59"/>
      <c r="G42" s="57">
        <f>Common_InputFunctions.Utility_LookupValueInTableNumber("N2O",Table_GasToMolecularConversionFactor[Gas],Table_GasToMolecularConversionFactor[Conversion factor combined])</f>
        <v>1.5714285714285714</v>
      </c>
    </row>
    <row r="43" spans="4:18" ht="20.100000000000001" customHeight="1" x14ac:dyDescent="0.25"/>
    <row r="44" spans="4:18" ht="20.100000000000001" customHeight="1" x14ac:dyDescent="0.25">
      <c r="D44" s="99" t="s">
        <v>350</v>
      </c>
      <c r="M44" s="99" t="s">
        <v>353</v>
      </c>
    </row>
    <row r="45" spans="4:18" ht="20.100000000000001" customHeight="1" x14ac:dyDescent="0.25">
      <c r="D45" s="98" t="s">
        <v>351</v>
      </c>
      <c r="M45" s="98" t="s">
        <v>354</v>
      </c>
    </row>
    <row r="46" spans="4:18" ht="20.100000000000001" customHeight="1" x14ac:dyDescent="0.25">
      <c r="D46" s="51" t="s">
        <v>172</v>
      </c>
      <c r="E46" s="51" t="s">
        <v>146</v>
      </c>
      <c r="F46" s="51" t="s">
        <v>147</v>
      </c>
      <c r="G46" s="51" t="s">
        <v>148</v>
      </c>
      <c r="H46" s="51" t="s">
        <v>266</v>
      </c>
      <c r="M46" s="51" t="s">
        <v>172</v>
      </c>
      <c r="N46" s="51" t="s">
        <v>146</v>
      </c>
      <c r="O46" s="51" t="s">
        <v>147</v>
      </c>
      <c r="P46" s="51" t="s">
        <v>148</v>
      </c>
      <c r="Q46" s="51" t="s">
        <v>266</v>
      </c>
    </row>
    <row r="47" spans="4:18" ht="20.100000000000001" customHeight="1" x14ac:dyDescent="0.25">
      <c r="D47" s="52" t="str">
        <f>'Input - Swine'!$D$30</f>
        <v>Drylot (feed pad)</v>
      </c>
      <c r="E47" s="52" cm="1">
        <f t="array" ref="E47">MMS_Swine_LeachingAndRunoff_Equations.VEERG_4_5_1_7__1_AnnualEmissionsFromLeachingAndRunoffFromMMS(E28,$G$41,$G$42)</f>
        <v>6.9654514285714269E-5</v>
      </c>
      <c r="F47" s="52" cm="1">
        <f t="array" ref="F47">MMS_Swine_LeachingAndRunoff_Equations.VEERG_4_5_1_7__1_AnnualEmissionsFromLeachingAndRunoffFromMMS(F28,$G$41,$G$42)</f>
        <v>7.4197200000000009E-5</v>
      </c>
      <c r="G47" s="52" cm="1">
        <f t="array" ref="G47">MMS_Swine_LeachingAndRunoff_Equations.VEERG_4_5_1_7__1_AnnualEmissionsFromLeachingAndRunoffFromMMS(G28,$G$41,$G$42)</f>
        <v>6.9654514285714269E-5</v>
      </c>
      <c r="H47" s="52" cm="1">
        <f t="array" ref="H47">MMS_Swine_LeachingAndRunoff_Equations.VEERG_4_5_1_7__1_AnnualEmissionsFromLeachingAndRunoffFromMMS(H28,$G$41,$G$42)</f>
        <v>4.7243931428571419E-5</v>
      </c>
      <c r="I47" s="2" t="str">
        <f>$E$38</f>
        <v>t N2O</v>
      </c>
      <c r="M47" s="52" t="str">
        <f>'Input - Swine'!$D$30</f>
        <v>Drylot (feed pad)</v>
      </c>
      <c r="N47" s="52" cm="1">
        <f t="array" ref="N47">MMS_Swine_LeachingAndRunoff_Equations.VEERG_4_5_1_7__1_AnnualEmissionsFromLeachingAndRunoffFromMMS(N28,$G$41,$G$42)</f>
        <v>6.9654514285714269E-5</v>
      </c>
      <c r="O47" s="52" cm="1">
        <f t="array" ref="O47">MMS_Swine_LeachingAndRunoff_Equations.VEERG_4_5_1_7__1_AnnualEmissionsFromLeachingAndRunoffFromMMS(O28,$G$41,$G$42)</f>
        <v>7.4197200000000009E-5</v>
      </c>
      <c r="P47" s="52" cm="1">
        <f t="array" ref="P47">MMS_Swine_LeachingAndRunoff_Equations.VEERG_4_5_1_7__1_AnnualEmissionsFromLeachingAndRunoffFromMMS(P28,$G$41,$G$42)</f>
        <v>6.9654514285714269E-5</v>
      </c>
      <c r="Q47" s="52" cm="1">
        <f t="array" ref="Q47">MMS_Swine_LeachingAndRunoff_Equations.VEERG_4_5_1_7__1_AnnualEmissionsFromLeachingAndRunoffFromMMS(Q28,$G$41,$G$42)</f>
        <v>4.7243931428571419E-5</v>
      </c>
      <c r="R47" s="2" t="str">
        <f>$E$38</f>
        <v>t N2O</v>
      </c>
    </row>
    <row r="48" spans="4:18" ht="20.100000000000001" customHeight="1" x14ac:dyDescent="0.25"/>
    <row r="49" spans="4:16" ht="20.100000000000001" customHeight="1" x14ac:dyDescent="0.25">
      <c r="D49" s="101" t="s">
        <v>352</v>
      </c>
      <c r="E49" s="102">
        <f>SUM(E47:H47)</f>
        <v>2.6075015999999998E-4</v>
      </c>
      <c r="F49" s="103" t="str">
        <f>$E$38</f>
        <v>t N2O</v>
      </c>
      <c r="M49" s="101" t="s">
        <v>352</v>
      </c>
      <c r="N49" s="102">
        <f>SUM(N47:Q47)</f>
        <v>2.6075015999999998E-4</v>
      </c>
      <c r="O49" s="103" t="str">
        <f>$E$38</f>
        <v>t N2O</v>
      </c>
    </row>
    <row r="50" spans="4:16" ht="20.100000000000001" customHeight="1" x14ac:dyDescent="0.25"/>
    <row r="51" spans="4:16" ht="20.100000000000001" customHeight="1" x14ac:dyDescent="0.25">
      <c r="D51" s="57" t="str" cm="1">
        <f t="array" ref="D51:E52">Common_Equations.Common_ConvertN2OToCO2e_Arguments()</f>
        <v>EN2O</v>
      </c>
      <c r="E51" s="58" t="str">
        <v>Nitrous oxide emissions (t N2O)</v>
      </c>
      <c r="F51" s="104"/>
      <c r="G51" s="52">
        <f>E49</f>
        <v>2.6075015999999998E-4</v>
      </c>
      <c r="M51" s="57" t="str" cm="1">
        <f t="array" ref="M51:N52">Common_Equations.Common_ConvertN2OToCO2e_Arguments()</f>
        <v>EN2O</v>
      </c>
      <c r="N51" s="58" t="str">
        <v>Nitrous oxide emissions (t N2O)</v>
      </c>
      <c r="O51" s="104"/>
      <c r="P51" s="52">
        <f>N49</f>
        <v>2.6075015999999998E-4</v>
      </c>
    </row>
    <row r="52" spans="4:16" ht="20.100000000000001" customHeight="1" x14ac:dyDescent="0.25">
      <c r="D52" s="57" t="str">
        <v>GWPN2O</v>
      </c>
      <c r="E52" s="58" t="str">
        <v>Global warming potential for nitrous oxide (t CO2-e / t N2O)</v>
      </c>
      <c r="F52" s="104"/>
      <c r="G52" s="52">
        <f>Common_InputFunctions.Utility_LookupValueInTableNumber("N2O",[1]!Table_GWPData[Gas],[1]!Table_GWPData[CO2-e factor])</f>
        <v>265</v>
      </c>
      <c r="M52" s="57" t="str">
        <v>GWPN2O</v>
      </c>
      <c r="N52" s="58" t="str">
        <v>Global warming potential for nitrous oxide (t CO2-e / t N2O)</v>
      </c>
      <c r="O52" s="104"/>
      <c r="P52" s="52">
        <f>Common_InputFunctions.Utility_LookupValueInTableNumber("N2O",[1]!Table_GWPData[Gas],[1]!Table_GWPData[CO2-e factor])</f>
        <v>265</v>
      </c>
    </row>
    <row r="53" spans="4:16" ht="20.100000000000001" customHeight="1" x14ac:dyDescent="0.25"/>
    <row r="54" spans="4:16" ht="20.100000000000001" customHeight="1" x14ac:dyDescent="0.25">
      <c r="D54" s="45" t="s">
        <v>101</v>
      </c>
      <c r="E54" s="45" cm="1">
        <f t="array" ref="E54">Common_Equations.Common_ConvertN2OToCO2e(G51,G52)</f>
        <v>6.9098792399999998E-2</v>
      </c>
      <c r="F54" s="105" t="str" cm="1">
        <f t="array" ref="F54">Common_Equations.Common_ConvertN2OToCO2e_Unit()</f>
        <v>t CO2e</v>
      </c>
      <c r="M54" s="45" t="s">
        <v>101</v>
      </c>
      <c r="N54" s="45" cm="1">
        <f t="array" ref="N54">Common_Equations.Common_ConvertN2OToCO2e(P51,P52)</f>
        <v>6.9098792399999998E-2</v>
      </c>
      <c r="O54" s="105" t="str" cm="1">
        <f t="array" ref="O54">Common_Equations.Common_ConvertN2OToCO2e_Unit()</f>
        <v>t CO2e</v>
      </c>
    </row>
    <row r="55" spans="4:16" ht="20.100000000000001" customHeight="1" x14ac:dyDescent="0.25"/>
    <row r="56" spans="4:16" ht="20.100000000000001" customHeight="1" x14ac:dyDescent="0.25"/>
    <row r="57" spans="4:16" ht="20.100000000000001" customHeight="1" x14ac:dyDescent="0.25"/>
    <row r="58" spans="4:16" ht="20.100000000000001" customHeight="1" x14ac:dyDescent="0.25"/>
    <row r="59" spans="4:16" ht="20.100000000000001" customHeight="1" x14ac:dyDescent="0.25"/>
    <row r="60" spans="4:16" ht="20.100000000000001" customHeight="1" x14ac:dyDescent="0.25"/>
    <row r="61" spans="4:16" ht="20.100000000000001" customHeight="1" x14ac:dyDescent="0.25"/>
    <row r="62" spans="4:16" ht="20.100000000000001" customHeight="1" x14ac:dyDescent="0.25"/>
    <row r="63" spans="4:16" ht="20.100000000000001" customHeight="1" x14ac:dyDescent="0.25"/>
    <row r="64" spans="4:16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6575-F465-4E80-A051-488250B82152}">
  <dimension ref="A1:U165"/>
  <sheetViews>
    <sheetView showGridLines="0" tabSelected="1" topLeftCell="A5" workbookViewId="0">
      <selection activeCell="J16" sqref="J1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357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 t="s">
        <v>102</v>
      </c>
      <c r="E3" s="4"/>
      <c r="F3" s="4"/>
      <c r="G3" s="4"/>
      <c r="H3" s="4"/>
      <c r="I3" s="4"/>
      <c r="J3" s="4"/>
      <c r="K3" s="4"/>
      <c r="L3" s="4"/>
      <c r="N3" s="4"/>
      <c r="O3" s="4" t="s">
        <v>103</v>
      </c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MMS_Swine_ManureAppliedToSoils_Equations.VEERG_4_5_1_9__1_MassOfNitrogenAppliedToSoilsScope1_Title()</f>
        <v>Mass of nitrogen applied to soils for scope 1 emissions</v>
      </c>
    </row>
    <row r="6" spans="1:21" ht="20.100000000000001" customHeight="1" x14ac:dyDescent="0.25">
      <c r="A6" s="20" t="s">
        <v>3</v>
      </c>
      <c r="D6" s="5" t="str" cm="1">
        <f t="array" ref="D6">MMS_Swine_ManureAppliedToSoils_Equations.VEERG_4_5_1_9__1_MassOfNitrogenAppliedToSoilsScope1_Source()</f>
        <v>VEERG 2026: 4.5.1.9, Equation (1)</v>
      </c>
      <c r="J6" s="1" t="s">
        <v>360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e" cm="1" vm="2">
        <f t="array" aca="1" ref="E7" ca="1">Common_InputFunctions.Utility_DisplayFunctionName()</f>
        <v>#VALUE!</v>
      </c>
      <c r="J7" s="1" t="s">
        <v>361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  <c r="J8" s="1" t="s">
        <v>365</v>
      </c>
    </row>
    <row r="9" spans="1:21" ht="20.100000000000001" customHeight="1" x14ac:dyDescent="0.25">
      <c r="A9" s="17" t="str">
        <f>HYPERLINK("#'Input - Herd - Dairy'!A1", "Herd - Dairy")</f>
        <v>Herd - Dairy</v>
      </c>
      <c r="G9" s="107" t="s">
        <v>359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  <c r="D10" s="53" t="s">
        <v>29</v>
      </c>
      <c r="E10" s="1" t="str" cm="1">
        <f t="array" ref="E10">MMS_Swine_ManureAppliedToSoils_Equations.VEERG_4_5_1_9__1_MassOfNitrogenAppliedToSoilsScope1_Variable()</f>
        <v>MNSoil_scope1</v>
      </c>
      <c r="G10" s="5" t="s">
        <v>358</v>
      </c>
      <c r="J10" s="1" t="s">
        <v>362</v>
      </c>
    </row>
    <row r="11" spans="1:21" ht="20.100000000000001" customHeight="1" x14ac:dyDescent="0.25">
      <c r="A11" s="17" t="str">
        <f>HYPERLINK("#'Input - Herd - Feedlot'!A1", "Herd - Feedlot")</f>
        <v>Herd - Feedlot</v>
      </c>
      <c r="D11" s="53" t="s">
        <v>19</v>
      </c>
      <c r="E11" s="54" t="str" cm="1">
        <f t="array" ref="E11">MMS_Swine_ManureAppliedToSoils_Equations.VEERG_4_5_1_9__1_MassOfNitrogenAppliedToSoilsScope1_Unit()</f>
        <v>kg N</v>
      </c>
      <c r="J11" s="1" t="s">
        <v>363</v>
      </c>
    </row>
    <row r="12" spans="1:21" ht="20.100000000000001" customHeight="1" x14ac:dyDescent="0.25">
      <c r="A12" s="17" t="str">
        <f>HYPERLINK("#'Input - Pasture'!A1", "Pasture")</f>
        <v>Pasture</v>
      </c>
      <c r="J12" s="1" t="s">
        <v>364</v>
      </c>
    </row>
    <row r="13" spans="1:21" ht="20.100000000000001" customHeight="1" x14ac:dyDescent="0.25">
      <c r="A13" s="17" t="str">
        <f>HYPERLINK("#'Input - Grains'!A1", "Crop - Grains")</f>
        <v>Crop - Grains</v>
      </c>
      <c r="D13" s="57" t="str" cm="1">
        <f t="array" ref="D13:E17">MMS_Swine_ManureAppliedToSoils_Equations.VEERG_4_5_1_9__1_MassOfNitrogenAppliedToSoilsScope1_Arguments()</f>
        <v>MN_jmT2</v>
      </c>
      <c r="E13" s="58" t="str">
        <v>mass of N in MMS at treatment stage 2 : kg N</v>
      </c>
      <c r="F13" s="100"/>
      <c r="G13" s="59"/>
      <c r="H13" s="57" t="str">
        <f>"See " &amp; D19</f>
        <v>See M1_Table_MN_j_m_T-2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  <c r="D14" s="57" t="str">
        <v>EF_mT2</v>
      </c>
      <c r="E14" s="58" t="str">
        <v>nitrous oxide emission factor for each MMS at treatment stage 2 : kg N2O-N/kg N</v>
      </c>
      <c r="F14" s="100"/>
      <c r="G14" s="59"/>
      <c r="H14" s="57"/>
      <c r="J14" s="1" t="s">
        <v>366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  <c r="D15" s="57" t="str">
        <v>FracGASM_mT2</v>
      </c>
      <c r="E15" s="58" t="str">
        <v>fraction of animal waste N volatilised in each MMS at treatment stage 2 : (kg NH3-N + NOx-N)/kg N</v>
      </c>
      <c r="F15" s="100"/>
      <c r="G15" s="59"/>
      <c r="H15" s="57"/>
      <c r="J15" s="1" t="s">
        <v>367</v>
      </c>
    </row>
    <row r="16" spans="1:21" ht="20.100000000000001" customHeight="1" x14ac:dyDescent="0.25">
      <c r="A16" s="67" t="s">
        <v>78</v>
      </c>
      <c r="D16" s="57" t="str">
        <v>MNLeach_jm5</v>
      </c>
      <c r="E16" s="58" t="str">
        <v>mass of N lost to leaching and runoff from drylot MMS : kg N</v>
      </c>
      <c r="F16" s="100"/>
      <c r="G16" s="59"/>
      <c r="H16" s="57"/>
    </row>
    <row r="17" spans="1:10" ht="20.100000000000001" customHeight="1" x14ac:dyDescent="0.25">
      <c r="A17" s="67" t="s">
        <v>74</v>
      </c>
      <c r="D17" s="57" t="str">
        <v>PF</v>
      </c>
      <c r="E17" s="58" t="str">
        <v>fraction of manure applied to soil within the piggery boundary : fraction</v>
      </c>
      <c r="F17" s="100"/>
      <c r="G17" s="59"/>
      <c r="H17" s="57"/>
    </row>
    <row r="18" spans="1:10" ht="20.100000000000001" customHeight="1" x14ac:dyDescent="0.25">
      <c r="A18" s="17" t="str">
        <f>HYPERLINK("#'Input - Other Farm Inputs'!A1", "Other farm inputs")</f>
        <v>Other farm inputs</v>
      </c>
    </row>
    <row r="19" spans="1:10" ht="20.100000000000001" customHeight="1" x14ac:dyDescent="0.25">
      <c r="A19" s="17" t="str">
        <f>HYPERLINK("#'Input - Data quality'!A1", "Data quality")</f>
        <v>Data quality</v>
      </c>
      <c r="D19" s="121" t="s">
        <v>323</v>
      </c>
    </row>
    <row r="20" spans="1:10" ht="20.100000000000001" customHeight="1" x14ac:dyDescent="0.25">
      <c r="D20" s="122" t="s">
        <v>324</v>
      </c>
    </row>
    <row r="21" spans="1:10" ht="20.100000000000001" customHeight="1" x14ac:dyDescent="0.25">
      <c r="A21" s="19" t="s">
        <v>76</v>
      </c>
      <c r="D21" s="51" t="s">
        <v>172</v>
      </c>
      <c r="E21" s="51" t="s">
        <v>209</v>
      </c>
      <c r="F21" s="51" t="s">
        <v>146</v>
      </c>
      <c r="G21" s="51" t="s">
        <v>147</v>
      </c>
      <c r="H21" s="51" t="s">
        <v>148</v>
      </c>
      <c r="I21" s="51" t="s">
        <v>266</v>
      </c>
    </row>
    <row r="22" spans="1:10" ht="20.100000000000001" customHeight="1" x14ac:dyDescent="0.25">
      <c r="A22" s="67" t="s">
        <v>1</v>
      </c>
      <c r="D22" s="57" t="str">
        <f>'Input - Swine'!$D$29</f>
        <v>Anaerobic lagoon</v>
      </c>
      <c r="E22" s="57" t="str">
        <f>'Input - Swine'!$D$48</f>
        <v>Drylot (feed pad)</v>
      </c>
      <c r="F22" s="52">
        <f>'4.5.1.3-4 Direct N20'!F214</f>
        <v>18.133199999999995</v>
      </c>
      <c r="G22" s="52">
        <f>'4.5.1.3-4 Direct N20'!G214</f>
        <v>24.144750000000002</v>
      </c>
      <c r="H22" s="52">
        <f>'4.5.1.3-4 Direct N20'!H214</f>
        <v>22.666499999999992</v>
      </c>
      <c r="I22" s="52">
        <f>'4.5.1.3-4 Direct N20'!I214</f>
        <v>15.373799999999996</v>
      </c>
      <c r="J22" s="2" t="str">
        <f>'4.5.1.3-4 Direct N20'!J207</f>
        <v>Fraction</v>
      </c>
    </row>
    <row r="23" spans="1:10" ht="20.100000000000001" customHeight="1" x14ac:dyDescent="0.25">
      <c r="A23" s="67" t="s">
        <v>75</v>
      </c>
      <c r="D23" s="57"/>
      <c r="E23" s="57" t="str">
        <f>'Input - Swine'!$D$49</f>
        <v>Digester / covered lagoons</v>
      </c>
      <c r="F23" s="52">
        <f>'4.5.1.3-4 Direct N20'!F215</f>
        <v>18.133199999999995</v>
      </c>
      <c r="G23" s="52">
        <f>'4.5.1.3-4 Direct N20'!G215</f>
        <v>24.144750000000002</v>
      </c>
      <c r="H23" s="52">
        <f>'4.5.1.3-4 Direct N20'!H215</f>
        <v>22.666499999999992</v>
      </c>
      <c r="I23" s="52">
        <f>'4.5.1.3-4 Direct N20'!I215</f>
        <v>15.373799999999996</v>
      </c>
      <c r="J23" s="2" t="str">
        <f>'4.5.1.3-4 Direct N20'!J208</f>
        <v>Fraction</v>
      </c>
    </row>
    <row r="24" spans="1:10" ht="20.100000000000001" customHeight="1" x14ac:dyDescent="0.25">
      <c r="A24" s="17" t="str">
        <f>HYPERLINK("#'Calcs - Fert Lime'!A1", "Fertiliser &amp; soil amendments")</f>
        <v>Fertiliser &amp; soil amendments</v>
      </c>
      <c r="D24" s="57"/>
      <c r="E24" s="57" t="str">
        <f>'Input - Swine'!$D$50</f>
        <v>Deep litter</v>
      </c>
      <c r="F24" s="52">
        <f>'4.5.1.3-4 Direct N20'!F216</f>
        <v>18.133199999999995</v>
      </c>
      <c r="G24" s="52">
        <f>'4.5.1.3-4 Direct N20'!G216</f>
        <v>24.144750000000002</v>
      </c>
      <c r="H24" s="52">
        <f>'4.5.1.3-4 Direct N20'!H216</f>
        <v>22.666499999999992</v>
      </c>
      <c r="I24" s="52">
        <f>'4.5.1.3-4 Direct N20'!I216</f>
        <v>15.373799999999996</v>
      </c>
      <c r="J24" s="2" t="str">
        <f>'4.5.1.3-4 Direct N20'!J209</f>
        <v>Fraction</v>
      </c>
    </row>
    <row r="25" spans="1:10" ht="20.100000000000001" customHeight="1" x14ac:dyDescent="0.25">
      <c r="A25" s="17" t="str">
        <f>HYPERLINK("#'Calcs - Residue mgmt - Crop'!A1", "Residue management - Crop")</f>
        <v>Residue management - Crop</v>
      </c>
      <c r="D25" s="57"/>
      <c r="E25" s="57" t="str">
        <f>'Input - Swine'!$D$51</f>
        <v>Pit storage</v>
      </c>
      <c r="F25" s="52">
        <f>'4.5.1.3-4 Direct N20'!F217</f>
        <v>18.133199999999995</v>
      </c>
      <c r="G25" s="52">
        <f>'4.5.1.3-4 Direct N20'!G217</f>
        <v>24.144750000000002</v>
      </c>
      <c r="H25" s="52">
        <f>'4.5.1.3-4 Direct N20'!H217</f>
        <v>22.666499999999992</v>
      </c>
      <c r="I25" s="52">
        <f>'4.5.1.3-4 Direct N20'!I217</f>
        <v>15.373799999999996</v>
      </c>
      <c r="J25" s="2">
        <f>'4.5.1.3-4 Direct N20'!J210</f>
        <v>0</v>
      </c>
    </row>
    <row r="26" spans="1:10" ht="20.100000000000001" customHeight="1" x14ac:dyDescent="0.25">
      <c r="A26" s="17" t="str">
        <f>HYPERLINK("#'Calcs - Residue mgmt - Pasture'!A1", "Residue management - Pasture")</f>
        <v>Residue management - Pasture</v>
      </c>
      <c r="D26" s="57" t="str">
        <f>'Input - Swine'!$D$30</f>
        <v>Drylot (feed pad)</v>
      </c>
      <c r="E26" s="57" t="str">
        <f>'Input - Swine'!$D$56</f>
        <v>Anaerobic lagoon</v>
      </c>
      <c r="F26" s="52">
        <f>'4.5.1.3-4 Direct N20'!F218</f>
        <v>27.401279999999993</v>
      </c>
      <c r="G26" s="52">
        <f>'4.5.1.3-4 Direct N20'!G218</f>
        <v>36.485400000000006</v>
      </c>
      <c r="H26" s="52">
        <f>'4.5.1.3-4 Direct N20'!H218</f>
        <v>34.251599999999989</v>
      </c>
      <c r="I26" s="52">
        <f>'4.5.1.3-4 Direct N20'!I218</f>
        <v>23.231519999999993</v>
      </c>
      <c r="J26" s="2">
        <f>'4.5.1.3-4 Direct N20'!J211</f>
        <v>0</v>
      </c>
    </row>
    <row r="27" spans="1:10" ht="20.100000000000001" customHeight="1" x14ac:dyDescent="0.25">
      <c r="A27" s="17" t="str">
        <f>HYPERLINK("#'Calcs - Field burning'!A1", "Field burning - Crop")</f>
        <v>Field burning - Crop</v>
      </c>
      <c r="D27" s="57"/>
      <c r="E27" s="57" t="str">
        <f>'Input - Swine'!$D$57</f>
        <v>Digester / covered lagoons</v>
      </c>
      <c r="F27" s="52">
        <f>'4.5.1.3-4 Direct N20'!F219</f>
        <v>27.401279999999993</v>
      </c>
      <c r="G27" s="52">
        <f>'4.5.1.3-4 Direct N20'!G219</f>
        <v>36.485400000000006</v>
      </c>
      <c r="H27" s="52">
        <f>'4.5.1.3-4 Direct N20'!H219</f>
        <v>34.251599999999989</v>
      </c>
      <c r="I27" s="52">
        <f>'4.5.1.3-4 Direct N20'!I219</f>
        <v>23.231519999999993</v>
      </c>
      <c r="J27" s="2">
        <f>'4.5.1.3-4 Direct N20'!J212</f>
        <v>0</v>
      </c>
    </row>
    <row r="28" spans="1:10" ht="20.100000000000001" customHeight="1" x14ac:dyDescent="0.25">
      <c r="A28" s="17" t="str">
        <f>HYPERLINK("#'Calcs - Fuel'!A1", "Fuel")</f>
        <v>Fuel</v>
      </c>
      <c r="D28" s="57"/>
      <c r="E28" s="57" t="str">
        <f>'Input - Swine'!$D$58</f>
        <v>Deep litter</v>
      </c>
      <c r="F28" s="52">
        <f>'4.5.1.3-4 Direct N20'!F220</f>
        <v>27.401279999999993</v>
      </c>
      <c r="G28" s="52">
        <f>'4.5.1.3-4 Direct N20'!G220</f>
        <v>36.485400000000006</v>
      </c>
      <c r="H28" s="52">
        <f>'4.5.1.3-4 Direct N20'!H220</f>
        <v>34.251599999999989</v>
      </c>
      <c r="I28" s="52">
        <f>'4.5.1.3-4 Direct N20'!I220</f>
        <v>23.231519999999993</v>
      </c>
      <c r="J28" s="2">
        <f>'4.5.1.3-4 Direct N20'!J213</f>
        <v>0</v>
      </c>
    </row>
    <row r="29" spans="1:10" ht="20.100000000000001" customHeight="1" x14ac:dyDescent="0.25">
      <c r="A29" s="17" t="str">
        <f>HYPERLINK("#'Calcs - Electricity'!A1", "Electricity")</f>
        <v>Electricity</v>
      </c>
      <c r="D29" s="57"/>
      <c r="E29" s="57" t="str">
        <f>'Input - Swine'!$D$59</f>
        <v>Pit storage</v>
      </c>
      <c r="F29" s="52">
        <f>'4.5.1.3-4 Direct N20'!F221</f>
        <v>27.401279999999993</v>
      </c>
      <c r="G29" s="52">
        <f>'4.5.1.3-4 Direct N20'!G221</f>
        <v>36.485400000000006</v>
      </c>
      <c r="H29" s="52">
        <f>'4.5.1.3-4 Direct N20'!H221</f>
        <v>34.251599999999989</v>
      </c>
      <c r="I29" s="52">
        <f>'4.5.1.3-4 Direct N20'!I221</f>
        <v>23.231519999999993</v>
      </c>
      <c r="J29" s="2" t="str">
        <f>'4.5.1.3-4 Direct N20'!J214</f>
        <v>kg N</v>
      </c>
    </row>
    <row r="30" spans="1:10" ht="20.100000000000001" customHeight="1" x14ac:dyDescent="0.25">
      <c r="A30" s="17" t="str">
        <f>HYPERLINK("#'Calcs - Refrigerants'!A1", "Refrigerants")</f>
        <v>Refrigerants</v>
      </c>
      <c r="D30" s="57" t="str">
        <f>'Input - Swine'!$D$31</f>
        <v>Digester / covered lagoons</v>
      </c>
      <c r="E30" s="57" t="str">
        <f>'Input - Swine'!$D$64</f>
        <v>Anaerobic lagoon</v>
      </c>
      <c r="F30" s="52">
        <f>'4.5.1.3-4 Direct N20'!F222</f>
        <v>40.295999999999992</v>
      </c>
      <c r="G30" s="52">
        <f>'4.5.1.3-4 Direct N20'!G222</f>
        <v>53.655000000000008</v>
      </c>
      <c r="H30" s="52">
        <f>'4.5.1.3-4 Direct N20'!H222</f>
        <v>50.36999999999999</v>
      </c>
      <c r="I30" s="52">
        <f>'4.5.1.3-4 Direct N20'!I222</f>
        <v>34.163999999999994</v>
      </c>
      <c r="J30" s="2" t="str">
        <f>'4.5.1.3-4 Direct N20'!J215</f>
        <v>kg N</v>
      </c>
    </row>
    <row r="31" spans="1:10" ht="20.100000000000001" customHeight="1" x14ac:dyDescent="0.25">
      <c r="A31" s="67" t="s">
        <v>78</v>
      </c>
      <c r="D31" s="57"/>
      <c r="E31" s="57" t="str">
        <f>'Input - Swine'!$D$65</f>
        <v>Drylot (feed pad)</v>
      </c>
      <c r="F31" s="52">
        <f>'4.5.1.3-4 Direct N20'!F223</f>
        <v>40.295999999999992</v>
      </c>
      <c r="G31" s="52">
        <f>'4.5.1.3-4 Direct N20'!G223</f>
        <v>53.655000000000008</v>
      </c>
      <c r="H31" s="52">
        <f>'4.5.1.3-4 Direct N20'!H223</f>
        <v>50.36999999999999</v>
      </c>
      <c r="I31" s="52">
        <f>'4.5.1.3-4 Direct N20'!I223</f>
        <v>34.163999999999994</v>
      </c>
      <c r="J31" s="2" t="str">
        <f>'4.5.1.3-4 Direct N20'!J216</f>
        <v>kg N</v>
      </c>
    </row>
    <row r="32" spans="1:10" ht="20.100000000000001" customHeight="1" x14ac:dyDescent="0.25">
      <c r="A32" s="67" t="s">
        <v>74</v>
      </c>
      <c r="D32" s="57"/>
      <c r="E32" s="57" t="str">
        <f>'Input - Swine'!$D$66</f>
        <v>Deep litter</v>
      </c>
      <c r="F32" s="52">
        <f>'4.5.1.3-4 Direct N20'!F224</f>
        <v>40.295999999999992</v>
      </c>
      <c r="G32" s="52">
        <f>'4.5.1.3-4 Direct N20'!G224</f>
        <v>53.655000000000008</v>
      </c>
      <c r="H32" s="52">
        <f>'4.5.1.3-4 Direct N20'!H224</f>
        <v>50.36999999999999</v>
      </c>
      <c r="I32" s="52">
        <f>'4.5.1.3-4 Direct N20'!I224</f>
        <v>34.163999999999994</v>
      </c>
      <c r="J32" s="2" t="str">
        <f>'4.5.1.3-4 Direct N20'!J217</f>
        <v>kg N</v>
      </c>
    </row>
    <row r="33" spans="1:10" ht="20.100000000000001" customHeight="1" x14ac:dyDescent="0.25">
      <c r="A33" s="17" t="str">
        <f>HYPERLINK("#'Calcs - Scope 3'!A1", "Purchased goods scope 3")</f>
        <v>Purchased goods scope 3</v>
      </c>
      <c r="D33" s="57"/>
      <c r="E33" s="57" t="str">
        <f>'Input - Swine'!$D$67</f>
        <v>Pit storage</v>
      </c>
      <c r="F33" s="52">
        <f>'4.5.1.3-4 Direct N20'!F225</f>
        <v>40.295999999999992</v>
      </c>
      <c r="G33" s="52">
        <f>'4.5.1.3-4 Direct N20'!G225</f>
        <v>53.655000000000008</v>
      </c>
      <c r="H33" s="52">
        <f>'4.5.1.3-4 Direct N20'!H225</f>
        <v>50.36999999999999</v>
      </c>
      <c r="I33" s="52">
        <f>'4.5.1.3-4 Direct N20'!I225</f>
        <v>34.163999999999994</v>
      </c>
      <c r="J33" s="2" t="str">
        <f>'4.5.1.3-4 Direct N20'!J218</f>
        <v>kg N</v>
      </c>
    </row>
    <row r="34" spans="1:10" ht="20.100000000000001" customHeight="1" x14ac:dyDescent="0.25">
      <c r="D34" s="57" t="str">
        <f>'Input - Swine'!$D$32</f>
        <v>Deep litter</v>
      </c>
      <c r="E34" s="57" t="str">
        <f>'Input - Swine'!$D$72</f>
        <v>Anaerobic lagoon</v>
      </c>
      <c r="F34" s="52">
        <f>'4.5.1.3-4 Direct N20'!F226</f>
        <v>34.856039999999993</v>
      </c>
      <c r="G34" s="52">
        <f>'4.5.1.3-4 Direct N20'!G226</f>
        <v>46.411575000000006</v>
      </c>
      <c r="H34" s="52">
        <f>'4.5.1.3-4 Direct N20'!H226</f>
        <v>43.570049999999988</v>
      </c>
      <c r="I34" s="52">
        <f>'4.5.1.3-4 Direct N20'!I226</f>
        <v>29.551859999999994</v>
      </c>
      <c r="J34" s="2" t="str">
        <f>'4.5.1.3-4 Direct N20'!J219</f>
        <v>kg N</v>
      </c>
    </row>
    <row r="35" spans="1:10" ht="20.100000000000001" customHeight="1" x14ac:dyDescent="0.25">
      <c r="A35" s="18" t="s">
        <v>4</v>
      </c>
      <c r="D35" s="57"/>
      <c r="E35" s="57" t="str">
        <f>'Input - Swine'!$D$73</f>
        <v>Drylot (feed pad)</v>
      </c>
      <c r="F35" s="52">
        <f>'4.5.1.3-4 Direct N20'!F227</f>
        <v>34.856039999999993</v>
      </c>
      <c r="G35" s="52">
        <f>'4.5.1.3-4 Direct N20'!G227</f>
        <v>46.411575000000006</v>
      </c>
      <c r="H35" s="52">
        <f>'4.5.1.3-4 Direct N20'!H227</f>
        <v>43.570049999999988</v>
      </c>
      <c r="I35" s="52">
        <f>'4.5.1.3-4 Direct N20'!I227</f>
        <v>29.551859999999994</v>
      </c>
      <c r="J35" s="2" t="str">
        <f>'4.5.1.3-4 Direct N20'!J220</f>
        <v>kg N</v>
      </c>
    </row>
    <row r="36" spans="1:10" ht="20.100000000000001" customHeight="1" x14ac:dyDescent="0.25">
      <c r="A36" s="17" t="str">
        <f>HYPERLINK("#'Constants - Common'!A1", "Constants - Common")</f>
        <v>Constants - Common</v>
      </c>
      <c r="D36" s="57"/>
      <c r="E36" s="57" t="str">
        <f>'Input - Swine'!$D$74</f>
        <v>Digester / covered lagoons</v>
      </c>
      <c r="F36" s="52">
        <f>'4.5.1.3-4 Direct N20'!F228</f>
        <v>34.856039999999993</v>
      </c>
      <c r="G36" s="52">
        <f>'4.5.1.3-4 Direct N20'!G228</f>
        <v>46.411575000000006</v>
      </c>
      <c r="H36" s="52">
        <f>'4.5.1.3-4 Direct N20'!H228</f>
        <v>43.570049999999988</v>
      </c>
      <c r="I36" s="52">
        <f>'4.5.1.3-4 Direct N20'!I228</f>
        <v>29.551859999999994</v>
      </c>
      <c r="J36" s="2" t="str">
        <f>'4.5.1.3-4 Direct N20'!J221</f>
        <v>kg N</v>
      </c>
    </row>
    <row r="37" spans="1:10" ht="20.100000000000001" customHeight="1" x14ac:dyDescent="0.25">
      <c r="A37" s="17" t="str">
        <f>HYPERLINK("#'Constants - Cropping'!A1", "Constants - Cropping")</f>
        <v>Constants - Cropping</v>
      </c>
      <c r="D37" s="57"/>
      <c r="E37" s="57" t="str">
        <f>'Input - Swine'!$D$75</f>
        <v>Pit storage</v>
      </c>
      <c r="F37" s="52">
        <f>'4.5.1.3-4 Direct N20'!F229</f>
        <v>34.856039999999993</v>
      </c>
      <c r="G37" s="52">
        <f>'4.5.1.3-4 Direct N20'!G229</f>
        <v>46.411575000000006</v>
      </c>
      <c r="H37" s="52">
        <f>'4.5.1.3-4 Direct N20'!H229</f>
        <v>43.570049999999988</v>
      </c>
      <c r="I37" s="52">
        <f>'4.5.1.3-4 Direct N20'!I229</f>
        <v>29.551859999999994</v>
      </c>
      <c r="J37" s="2" t="str">
        <f>'4.5.1.3-4 Direct N20'!J222</f>
        <v>kg N</v>
      </c>
    </row>
    <row r="38" spans="1:10" ht="20.100000000000001" customHeight="1" x14ac:dyDescent="0.25">
      <c r="A38" s="17" t="str">
        <f>HYPERLINK("#'Constants - Livestock'!A1", "Constants - Livestock")</f>
        <v>Constants - Livestock</v>
      </c>
      <c r="D38" s="57" t="str">
        <f>'Input - Swine'!$D$33</f>
        <v>Pit storage</v>
      </c>
      <c r="E38" s="57" t="str">
        <f>'Input - Swine'!$D$80</f>
        <v>Anaerobic lagoon</v>
      </c>
      <c r="F38" s="52">
        <f>'4.5.1.3-4 Direct N20'!F230</f>
        <v>30.141407999999998</v>
      </c>
      <c r="G38" s="52">
        <f>'4.5.1.3-4 Direct N20'!G230</f>
        <v>40.133940000000003</v>
      </c>
      <c r="H38" s="52">
        <f>'4.5.1.3-4 Direct N20'!H230</f>
        <v>37.676759999999994</v>
      </c>
      <c r="I38" s="52">
        <f>'4.5.1.3-4 Direct N20'!I230</f>
        <v>25.554671999999997</v>
      </c>
      <c r="J38" s="2" t="str">
        <f>'4.5.1.3-4 Direct N20'!J223</f>
        <v>kg N</v>
      </c>
    </row>
    <row r="39" spans="1:10" ht="20.100000000000001" customHeight="1" x14ac:dyDescent="0.25">
      <c r="A39" s="17" t="str">
        <f>HYPERLINK("#'Constants - Dairy'!A1", "Constants - Dairy")</f>
        <v>Constants - Dairy</v>
      </c>
      <c r="D39" s="57"/>
      <c r="E39" s="57" t="str">
        <f>'Input - Swine'!$D$81</f>
        <v>Drylot (feed pad)</v>
      </c>
      <c r="F39" s="52">
        <f>'4.5.1.3-4 Direct N20'!F231</f>
        <v>30.141407999999998</v>
      </c>
      <c r="G39" s="52">
        <f>'4.5.1.3-4 Direct N20'!G231</f>
        <v>40.133940000000003</v>
      </c>
      <c r="H39" s="52">
        <f>'4.5.1.3-4 Direct N20'!H231</f>
        <v>37.676759999999994</v>
      </c>
      <c r="I39" s="52">
        <f>'4.5.1.3-4 Direct N20'!I231</f>
        <v>25.554671999999997</v>
      </c>
      <c r="J39" s="2" t="str">
        <f>'4.5.1.3-4 Direct N20'!J224</f>
        <v>kg N</v>
      </c>
    </row>
    <row r="40" spans="1:10" ht="20.100000000000001" customHeight="1" x14ac:dyDescent="0.25">
      <c r="A40" s="67" t="s">
        <v>2</v>
      </c>
      <c r="D40" s="57"/>
      <c r="E40" s="57" t="str">
        <f>'Input - Swine'!$D$82</f>
        <v>Digester / covered lagoons</v>
      </c>
      <c r="F40" s="52">
        <f>'4.5.1.3-4 Direct N20'!F232</f>
        <v>30.141407999999998</v>
      </c>
      <c r="G40" s="52">
        <f>'4.5.1.3-4 Direct N20'!G232</f>
        <v>40.133940000000003</v>
      </c>
      <c r="H40" s="52">
        <f>'4.5.1.3-4 Direct N20'!H232</f>
        <v>37.676759999999994</v>
      </c>
      <c r="I40" s="52">
        <f>'4.5.1.3-4 Direct N20'!I232</f>
        <v>25.554671999999997</v>
      </c>
      <c r="J40" s="2" t="str">
        <f>'4.5.1.3-4 Direct N20'!J225</f>
        <v>kg N</v>
      </c>
    </row>
    <row r="41" spans="1:10" ht="20.100000000000001" customHeight="1" x14ac:dyDescent="0.25">
      <c r="A41" s="44"/>
      <c r="D41" s="57"/>
      <c r="E41" s="57" t="str">
        <f>'Input - Swine'!$D$83</f>
        <v>Deep litter</v>
      </c>
      <c r="F41" s="52">
        <f>'4.5.1.3-4 Direct N20'!F233</f>
        <v>30.141407999999998</v>
      </c>
      <c r="G41" s="52">
        <f>'4.5.1.3-4 Direct N20'!G233</f>
        <v>40.133940000000003</v>
      </c>
      <c r="H41" s="52">
        <f>'4.5.1.3-4 Direct N20'!H233</f>
        <v>37.676759999999994</v>
      </c>
      <c r="I41" s="52">
        <f>'4.5.1.3-4 Direct N20'!I233</f>
        <v>25.554671999999997</v>
      </c>
      <c r="J41" s="2" t="str">
        <f>'4.5.1.3-4 Direct N20'!J226</f>
        <v>kg N</v>
      </c>
    </row>
    <row r="42" spans="1:10" ht="20.100000000000001" customHeight="1" x14ac:dyDescent="0.25">
      <c r="D42" s="57" t="str">
        <f>'Input - Swine'!$D$34</f>
        <v>Solid storage</v>
      </c>
      <c r="E42" s="57" t="str">
        <f>'Input - Swine'!$D$88</f>
        <v>Anaerobic lagoon</v>
      </c>
      <c r="F42" s="52">
        <f>'4.5.1.3-4 Direct N20'!F234</f>
        <v>106.78440000000003</v>
      </c>
      <c r="G42" s="52">
        <f>'4.5.1.3-4 Direct N20'!G234</f>
        <v>113.74860000000007</v>
      </c>
      <c r="H42" s="52">
        <f>'4.5.1.3-4 Direct N20'!H234</f>
        <v>106.78440000000003</v>
      </c>
      <c r="I42" s="52">
        <f>'4.5.1.3-4 Direct N20'!I234</f>
        <v>72.427680000000038</v>
      </c>
      <c r="J42" s="2" t="str">
        <f>'4.5.1.3-4 Direct N20'!J227</f>
        <v>kg N</v>
      </c>
    </row>
    <row r="43" spans="1:10" ht="20.100000000000001" customHeight="1" x14ac:dyDescent="0.25">
      <c r="D43" s="57"/>
      <c r="E43" s="57" t="str">
        <f>'Input - Swine'!$D$89</f>
        <v>Drylot (feed pad)</v>
      </c>
      <c r="F43" s="52">
        <f>'4.5.1.3-4 Direct N20'!F235</f>
        <v>106.78440000000003</v>
      </c>
      <c r="G43" s="52">
        <f>'4.5.1.3-4 Direct N20'!G235</f>
        <v>113.74860000000007</v>
      </c>
      <c r="H43" s="52">
        <f>'4.5.1.3-4 Direct N20'!H235</f>
        <v>106.78440000000003</v>
      </c>
      <c r="I43" s="52">
        <f>'4.5.1.3-4 Direct N20'!I235</f>
        <v>72.427680000000038</v>
      </c>
      <c r="J43" s="2" t="str">
        <f>'4.5.1.3-4 Direct N20'!J228</f>
        <v>kg N</v>
      </c>
    </row>
    <row r="44" spans="1:10" ht="20.100000000000001" customHeight="1" x14ac:dyDescent="0.25">
      <c r="D44" s="57"/>
      <c r="E44" s="57" t="str">
        <f>'Input - Swine'!$D$90</f>
        <v>Digester / covered lagoons</v>
      </c>
      <c r="F44" s="52">
        <f>'4.5.1.3-4 Direct N20'!F236</f>
        <v>106.78440000000003</v>
      </c>
      <c r="G44" s="52">
        <f>'4.5.1.3-4 Direct N20'!G236</f>
        <v>113.74860000000007</v>
      </c>
      <c r="H44" s="52">
        <f>'4.5.1.3-4 Direct N20'!H236</f>
        <v>106.78440000000003</v>
      </c>
      <c r="I44" s="52">
        <f>'4.5.1.3-4 Direct N20'!I236</f>
        <v>72.427680000000038</v>
      </c>
      <c r="J44" s="2" t="str">
        <f>'4.5.1.3-4 Direct N20'!J229</f>
        <v>kg N</v>
      </c>
    </row>
    <row r="45" spans="1:10" ht="20.100000000000001" customHeight="1" x14ac:dyDescent="0.25">
      <c r="D45" s="57"/>
      <c r="E45" s="57" t="str">
        <f>'Input - Swine'!$D$91</f>
        <v>Deep litter</v>
      </c>
      <c r="F45" s="52">
        <f>'4.5.1.3-4 Direct N20'!F237</f>
        <v>106.78440000000003</v>
      </c>
      <c r="G45" s="52">
        <f>'4.5.1.3-4 Direct N20'!G237</f>
        <v>113.74860000000007</v>
      </c>
      <c r="H45" s="52">
        <f>'4.5.1.3-4 Direct N20'!H237</f>
        <v>106.78440000000003</v>
      </c>
      <c r="I45" s="52">
        <f>'4.5.1.3-4 Direct N20'!I237</f>
        <v>72.427680000000038</v>
      </c>
      <c r="J45" s="2" t="str">
        <f>'4.5.1.3-4 Direct N20'!J230</f>
        <v>kg N</v>
      </c>
    </row>
    <row r="46" spans="1:10" ht="20.100000000000001" customHeight="1" x14ac:dyDescent="0.25">
      <c r="D46" s="57"/>
      <c r="E46" s="57" t="str">
        <f>'Input - Swine'!$D$92</f>
        <v>Pit storage</v>
      </c>
      <c r="F46" s="52">
        <f>'4.5.1.3-4 Direct N20'!F238</f>
        <v>53.392200000000017</v>
      </c>
      <c r="G46" s="52">
        <f>'4.5.1.3-4 Direct N20'!G238</f>
        <v>56.874300000000034</v>
      </c>
      <c r="H46" s="52">
        <f>'4.5.1.3-4 Direct N20'!H238</f>
        <v>53.392200000000017</v>
      </c>
      <c r="I46" s="52">
        <f>'4.5.1.3-4 Direct N20'!I238</f>
        <v>36.213840000000019</v>
      </c>
      <c r="J46" s="2" t="str">
        <f>'4.5.1.3-4 Direct N20'!J231</f>
        <v>kg N</v>
      </c>
    </row>
    <row r="47" spans="1:10" ht="20.100000000000001" customHeight="1" x14ac:dyDescent="0.25"/>
    <row r="48" spans="1:10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452"/>
  <sheetViews>
    <sheetView showGridLines="0" zoomScale="85" zoomScaleNormal="85" workbookViewId="0">
      <selection activeCell="G17" sqref="G17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144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M5" s="1"/>
    </row>
    <row r="6" spans="1:21" ht="20.100000000000001" customHeight="1" x14ac:dyDescent="0.25">
      <c r="A6" s="20" t="s">
        <v>3</v>
      </c>
      <c r="D6" s="6" t="s">
        <v>329</v>
      </c>
      <c r="G6" s="6" t="s">
        <v>111</v>
      </c>
      <c r="M6" s="1"/>
    </row>
    <row r="7" spans="1:21" ht="20.100000000000001" customHeight="1" x14ac:dyDescent="0.25">
      <c r="A7" s="17" t="str">
        <f>HYPERLINK("#'Input - Site'!A1", "Site")</f>
        <v>Site</v>
      </c>
      <c r="M7" s="1"/>
    </row>
    <row r="8" spans="1:21" ht="20.100000000000001" customHeight="1" x14ac:dyDescent="0.25">
      <c r="A8" s="17" t="str">
        <f>HYPERLINK("#'Input - Swine'!A1", "Swine")</f>
        <v>Swine</v>
      </c>
      <c r="D8" s="37" t="s">
        <v>110</v>
      </c>
      <c r="G8" s="37" t="s">
        <v>109</v>
      </c>
      <c r="M8" s="1"/>
    </row>
    <row r="9" spans="1:21" ht="20.100000000000001" customHeight="1" x14ac:dyDescent="0.25">
      <c r="A9" s="17"/>
      <c r="D9" s="37" t="str">
        <f>'[2]Constants - Common'!$F$187</f>
        <v>Pasture</v>
      </c>
      <c r="G9" s="37" t="s">
        <v>112</v>
      </c>
      <c r="M9" s="1"/>
    </row>
    <row r="10" spans="1:21" ht="20.100000000000001" customHeight="1" x14ac:dyDescent="0.25">
      <c r="A10" s="19" t="s">
        <v>76</v>
      </c>
      <c r="D10" s="1" t="str">
        <f>'[2]Constants - Common'!$F$188</f>
        <v>Crop</v>
      </c>
      <c r="G10" s="37" t="s">
        <v>113</v>
      </c>
      <c r="M10" s="1"/>
    </row>
    <row r="11" spans="1:21" ht="20.100000000000001" customHeight="1" x14ac:dyDescent="0.25">
      <c r="A11" s="17" t="str">
        <f>HYPERLINK("#'4.2.1.1-2 Methane'!A1", "4.2.1.1-2 Methane")</f>
        <v>4.2.1.1-2 Methane</v>
      </c>
      <c r="G11" s="1" t="s">
        <v>114</v>
      </c>
      <c r="M11" s="1"/>
    </row>
    <row r="12" spans="1:21" ht="20.100000000000001" customHeight="1" x14ac:dyDescent="0.25">
      <c r="A12" s="17" t="str">
        <f>HYPERLINK("#'4.2.1.3-4 Soil direct N2O'!A1", "4.2.1.3-4 Soil direct N2O")</f>
        <v>4.2.1.3-4 Soil direct N2O</v>
      </c>
      <c r="G12" s="1" t="s">
        <v>115</v>
      </c>
      <c r="M12" s="1"/>
    </row>
    <row r="13" spans="1:21" ht="20.100000000000001" customHeight="1" x14ac:dyDescent="0.25">
      <c r="A13" s="17" t="str">
        <f>HYPERLINK("#'4.2.1.5-6 Soil Atmos Dep'!A1", "4.2.1.5-6 Soil atm. deposition")</f>
        <v>4.2.1.5-6 Soil atm. deposition</v>
      </c>
      <c r="G13" s="1" t="s">
        <v>116</v>
      </c>
      <c r="M13" s="1"/>
    </row>
    <row r="14" spans="1:21" ht="20.100000000000001" customHeight="1" x14ac:dyDescent="0.25">
      <c r="A14" s="17" t="str">
        <f>HYPERLINK("#'4.2.1.7-8 Soil leach runoff'!A1", "4.2.1.7-8 Soil leach &amp; runoff")</f>
        <v>4.2.1.7-8 Soil leach &amp; runoff</v>
      </c>
      <c r="D14" s="6" t="str" cm="1">
        <f t="array" ref="D14">SourceData_Swine.SourceData_Swine_FracLEACH_DrylotMMS_Title()</f>
        <v>Fraction of nitrogen lost through leaching and runoff for drylot MMS</v>
      </c>
      <c r="M14" s="1"/>
    </row>
    <row r="15" spans="1:21" ht="20.100000000000001" customHeight="1" x14ac:dyDescent="0.25">
      <c r="A15" s="17"/>
      <c r="D15" s="5" t="str" cm="1">
        <f t="array" ref="D15">SourceData_Swine.SourceData_Swine_FracLEACH_DrylotMMS_Source()</f>
        <v>VEERG 2026: 4.5.2.3 CONSTANT</v>
      </c>
      <c r="M15" s="1"/>
    </row>
    <row r="16" spans="1:21" ht="20.100000000000001" customHeight="1" x14ac:dyDescent="0.25">
      <c r="A16" s="18" t="s">
        <v>4</v>
      </c>
      <c r="D16" s="55" t="str" cm="1">
        <f t="array" ref="D16">SourceData_Swine.SourceData_Swine_FracLEACH_DrylotMMS_Variation()</f>
        <v>VARIATION ON SOURCE: Text refers to 'solid storage' MMS, but equation refers to 'drylot' MMS.</v>
      </c>
      <c r="M16" s="1"/>
    </row>
    <row r="17" spans="1:13" ht="20.100000000000001" customHeight="1" x14ac:dyDescent="0.25">
      <c r="A17" s="17" t="str">
        <f>HYPERLINK("#'Constants - Swine'!A1", "Constants - Swine")</f>
        <v>Constants - Swine</v>
      </c>
      <c r="D17" s="53" t="str" cm="1">
        <f t="array" ref="D17">SourceData_Swine.SourceData_Swine_FracLEACH_DrylotMMS_Variable()</f>
        <v>FracLEACH_MS</v>
      </c>
      <c r="E17" s="1" cm="1">
        <f t="array" ref="E17">SourceData_Swine.SourceData_Swine_FracLEACH_DrylotMMS_Data()</f>
        <v>0.02</v>
      </c>
      <c r="F17" s="54" t="str" cm="1">
        <f t="array" ref="F17">SourceData_Swine.SourceData_Swine_FracLEACH_DrylotMMS_Unit()</f>
        <v>fraction</v>
      </c>
      <c r="M17" s="1"/>
    </row>
    <row r="18" spans="1:13" ht="20.100000000000001" customHeight="1" x14ac:dyDescent="0.25">
      <c r="A18" s="17" t="str">
        <f>HYPERLINK("#'Constants - Livestock'!A1", "Constants - Livestock")</f>
        <v>Constants - Livestock</v>
      </c>
      <c r="M18" s="1"/>
    </row>
    <row r="19" spans="1:13" ht="20.100000000000001" customHeight="1" x14ac:dyDescent="0.25">
      <c r="A19" s="17" t="str">
        <f>HYPERLINK("#'Constants - Common'!A1", "Constants - Common")</f>
        <v>Constants - Common</v>
      </c>
      <c r="D19" s="6" t="str" cm="1">
        <f t="array" ref="D19">SourceData_Swine.SourceData_Swine_MethaneVolatileSolidsEmissionsPotential_Title()</f>
        <v>Emissions potential of methane per kilogram of volatile solids</v>
      </c>
      <c r="M19" s="1"/>
    </row>
    <row r="20" spans="1:13" ht="20.100000000000001" customHeight="1" x14ac:dyDescent="0.25">
      <c r="A20" s="17" t="str">
        <f>HYPERLINK("#'Acknowledgements'!A1", "Acknowledgements")</f>
        <v>Acknowledgements</v>
      </c>
      <c r="D20" s="5" t="str" cm="1">
        <f t="array" ref="D20">SourceData_Swine.SourceData_Swine_MethaneVolatileSolidsEmissionsPotential_Source()</f>
        <v>IPCC (2019), Chapter 10 [4]</v>
      </c>
      <c r="M20" s="1"/>
    </row>
    <row r="21" spans="1:13" ht="20.100000000000001" customHeight="1" x14ac:dyDescent="0.25">
      <c r="D21" s="53" t="str" cm="1">
        <f t="array" ref="D21">SourceData_Swine.SourceData_Swine_MethaneVolatileSolidsEmissionsPotential_Variable()</f>
        <v>B0</v>
      </c>
      <c r="E21" s="1" cm="1">
        <f t="array" ref="E21">SourceData_Swine.SourceData_Swine_MethaneVolatileSolidsEmissionsPotential_Data()</f>
        <v>0.19</v>
      </c>
      <c r="F21" s="54" t="str" cm="1">
        <f t="array" ref="F21">SourceData_Swine.SourceData_Swine_MethaneVolatileSolidsEmissionsPotential_Unit()</f>
        <v>m3 CH4 / kg VS</v>
      </c>
      <c r="M21" s="1"/>
    </row>
    <row r="22" spans="1:13" ht="20.100000000000001" customHeight="1" x14ac:dyDescent="0.25">
      <c r="A22" s="17"/>
      <c r="M22" s="1"/>
    </row>
    <row r="23" spans="1:13" ht="20.100000000000001" customHeight="1" x14ac:dyDescent="0.25">
      <c r="A23" s="17"/>
      <c r="M23" s="1"/>
    </row>
    <row r="24" spans="1:13" ht="20.100000000000001" customHeight="1" x14ac:dyDescent="0.25">
      <c r="A24" s="17"/>
      <c r="D24" s="6" t="str" cm="1">
        <f t="array" ref="D24">SourceData_Swine.SourceData_Swine_MMS_MCFs_Title()</f>
        <v>Methane conversion factor for temperature zone and manure management system.</v>
      </c>
      <c r="H24" s="107" t="s">
        <v>157</v>
      </c>
      <c r="M24" s="1"/>
    </row>
    <row r="25" spans="1:13" ht="20.100000000000001" customHeight="1" x14ac:dyDescent="0.25">
      <c r="D25" s="5" t="str" cm="1">
        <f t="array" ref="D25">SourceData_Swine.SourceData_Swine_MMS_MCFs_Source()</f>
        <v>VEERG 2026: Table A.1.6.4: Swine - MCFs (MCFim)</v>
      </c>
      <c r="H25" s="107" t="s">
        <v>158</v>
      </c>
      <c r="M25" s="1"/>
    </row>
    <row r="26" spans="1:13" ht="20.100000000000001" customHeight="1" x14ac:dyDescent="0.25">
      <c r="D26" s="55" t="str" cm="1">
        <f t="array" ref="D26">SourceData_Swine.SourceData_Swine_MMS_MCFs_Variation()</f>
        <v>VARIATION ON SOURCE DATA: Added columns for ACT, split QLD and NT. Added extra column with MMS names that match NIR definitions</v>
      </c>
      <c r="M26" s="1"/>
    </row>
    <row r="27" spans="1:13" ht="20.100000000000001" customHeight="1" x14ac:dyDescent="0.25">
      <c r="M27" s="1"/>
    </row>
    <row r="28" spans="1:13" ht="20.100000000000001" customHeight="1" x14ac:dyDescent="0.25">
      <c r="D28" s="37" t="s">
        <v>67</v>
      </c>
      <c r="E28" s="37" t="s">
        <v>83</v>
      </c>
      <c r="F28" s="37" t="s">
        <v>82</v>
      </c>
      <c r="G28" s="37" t="s">
        <v>85</v>
      </c>
      <c r="H28" s="37" t="s">
        <v>84</v>
      </c>
      <c r="I28" s="37" t="s">
        <v>86</v>
      </c>
      <c r="J28" s="37" t="s">
        <v>87</v>
      </c>
      <c r="K28" s="37" t="s">
        <v>88</v>
      </c>
      <c r="L28" s="37" t="s">
        <v>89</v>
      </c>
      <c r="M28" s="37" t="s">
        <v>159</v>
      </c>
    </row>
    <row r="29" spans="1:13" ht="20.100000000000001" customHeight="1" x14ac:dyDescent="0.25">
      <c r="D29" s="37" t="str" cm="1">
        <f t="array" ref="D29">Common_InputFunctions.Utility_DisplayArrayInTable(SourceData_Swine.SourceData_Swine_MMS_MCFs_Data(),Table_SourceData_Swine_MMSMCF[[#Headers],[MMS]],0)</f>
        <v>Outdoor (Dry lot)</v>
      </c>
      <c r="E29" s="37" cm="1">
        <f t="array" ref="E29">Common_InputFunctions.Utility_DisplayArrayInTable(SourceData_Swine.SourceData_Swine_MMS_MCFs_Data(),Table_SourceData_Swine_MMSMCF[[#Headers],[MMS]],0)</f>
        <v>0.01</v>
      </c>
      <c r="F29" s="37" cm="1">
        <f t="array" ref="F29">Common_InputFunctions.Utility_DisplayArrayInTable(SourceData_Swine.SourceData_Swine_MMS_MCFs_Data(),Table_SourceData_Swine_MMSMCF[[#Headers],[MMS]],0)</f>
        <v>0.01</v>
      </c>
      <c r="G29" s="37" cm="1">
        <f t="array" ref="G29">Common_InputFunctions.Utility_DisplayArrayInTable(SourceData_Swine.SourceData_Swine_MMS_MCFs_Data(),Table_SourceData_Swine_MMSMCF[[#Headers],[MMS]],0)</f>
        <v>0.03</v>
      </c>
      <c r="H29" s="37" cm="1">
        <f t="array" ref="H29">Common_InputFunctions.Utility_DisplayArrayInTable(SourceData_Swine.SourceData_Swine_MMS_MCFs_Data(),Table_SourceData_Swine_MMSMCF[[#Headers],[MMS]],0)</f>
        <v>0.03</v>
      </c>
      <c r="I29" s="37" cm="1">
        <f t="array" ref="I29">Common_InputFunctions.Utility_DisplayArrayInTable(SourceData_Swine.SourceData_Swine_MMS_MCFs_Data(),Table_SourceData_Swine_MMSMCF[[#Headers],[MMS]],0)</f>
        <v>0.01</v>
      </c>
      <c r="J29" s="37" cm="1">
        <f t="array" ref="J29">Common_InputFunctions.Utility_DisplayArrayInTable(SourceData_Swine.SourceData_Swine_MMS_MCFs_Data(),Table_SourceData_Swine_MMSMCF[[#Headers],[MMS]],0)</f>
        <v>0.01</v>
      </c>
      <c r="K29" s="37" cm="1">
        <f t="array" ref="K29">Common_InputFunctions.Utility_DisplayArrayInTable(SourceData_Swine.SourceData_Swine_MMS_MCFs_Data(),Table_SourceData_Swine_MMSMCF[[#Headers],[MMS]],0)</f>
        <v>0.01</v>
      </c>
      <c r="L29" s="37" cm="1">
        <f t="array" ref="L29">Common_InputFunctions.Utility_DisplayArrayInTable(SourceData_Swine.SourceData_Swine_MMS_MCFs_Data(),Table_SourceData_Swine_MMSMCF[[#Headers],[MMS]],0)</f>
        <v>0.01</v>
      </c>
      <c r="M29" s="37" t="str" cm="1">
        <f t="array" ref="M29">Common_InputFunctions.Utility_DisplayArrayInTable(SourceData_Swine.SourceData_Swine_MMS_MCFs_Data(),Table_SourceData_Swine_MMSMCF[[#Headers],[MMS]],0)</f>
        <v>Drylot (feed pad)</v>
      </c>
    </row>
    <row r="30" spans="1:13" ht="20.100000000000001" customHeight="1" x14ac:dyDescent="0.25">
      <c r="D30" s="1" t="str" cm="1">
        <f t="array" ref="D30">Common_InputFunctions.Utility_DisplayArrayInTable(SourceData_Swine.SourceData_Swine_MMS_MCFs_Data(),Table_SourceData_Swine_MMSMCF[[#Headers],[MMS]],0)</f>
        <v>Deep litter</v>
      </c>
      <c r="E30" s="37" cm="1">
        <f t="array" ref="E30">Common_InputFunctions.Utility_DisplayArrayInTable(SourceData_Swine.SourceData_Swine_MMS_MCFs_Data(),Table_SourceData_Swine_MMSMCF[[#Headers],[MMS]],0)</f>
        <v>0.04</v>
      </c>
      <c r="F30" s="37" cm="1">
        <f t="array" ref="F30">Common_InputFunctions.Utility_DisplayArrayInTable(SourceData_Swine.SourceData_Swine_MMS_MCFs_Data(),Table_SourceData_Swine_MMSMCF[[#Headers],[MMS]],0)</f>
        <v>0.04</v>
      </c>
      <c r="G30" s="37" cm="1">
        <f t="array" ref="G30">Common_InputFunctions.Utility_DisplayArrayInTable(SourceData_Swine.SourceData_Swine_MMS_MCFs_Data(),Table_SourceData_Swine_MMSMCF[[#Headers],[MMS]],0)</f>
        <v>0.04</v>
      </c>
      <c r="H30" s="37" cm="1">
        <f t="array" ref="H30">Common_InputFunctions.Utility_DisplayArrayInTable(SourceData_Swine.SourceData_Swine_MMS_MCFs_Data(),Table_SourceData_Swine_MMSMCF[[#Headers],[MMS]],0)</f>
        <v>0.04</v>
      </c>
      <c r="I30" s="37" cm="1">
        <f t="array" ref="I30">Common_InputFunctions.Utility_DisplayArrayInTable(SourceData_Swine.SourceData_Swine_MMS_MCFs_Data(),Table_SourceData_Swine_MMSMCF[[#Headers],[MMS]],0)</f>
        <v>0.04</v>
      </c>
      <c r="J30" s="37" cm="1">
        <f t="array" ref="J30">Common_InputFunctions.Utility_DisplayArrayInTable(SourceData_Swine.SourceData_Swine_MMS_MCFs_Data(),Table_SourceData_Swine_MMSMCF[[#Headers],[MMS]],0)</f>
        <v>0.04</v>
      </c>
      <c r="K30" s="37" cm="1">
        <f t="array" ref="K30">Common_InputFunctions.Utility_DisplayArrayInTable(SourceData_Swine.SourceData_Swine_MMS_MCFs_Data(),Table_SourceData_Swine_MMSMCF[[#Headers],[MMS]],0)</f>
        <v>0.04</v>
      </c>
      <c r="L30" s="37" cm="1">
        <f t="array" ref="L30">Common_InputFunctions.Utility_DisplayArrayInTable(SourceData_Swine.SourceData_Swine_MMS_MCFs_Data(),Table_SourceData_Swine_MMSMCF[[#Headers],[MMS]],0)</f>
        <v>0.04</v>
      </c>
      <c r="M30" s="37" t="str" cm="1">
        <f t="array" ref="M30">Common_InputFunctions.Utility_DisplayArrayInTable(SourceData_Swine.SourceData_Swine_MMS_MCFs_Data(),Table_SourceData_Swine_MMSMCF[[#Headers],[MMS]],0)</f>
        <v>Deep litter</v>
      </c>
    </row>
    <row r="31" spans="1:13" ht="20.100000000000001" customHeight="1" x14ac:dyDescent="0.25">
      <c r="D31" s="1" t="str" cm="1">
        <f t="array" ref="D31">Common_InputFunctions.Utility_DisplayArrayInTable(SourceData_Swine.SourceData_Swine_MMS_MCFs_Data(),Table_SourceData_Swine_MMSMCF[[#Headers],[MMS]],0)</f>
        <v>Stockpile (Solid storage)</v>
      </c>
      <c r="E31" s="37" cm="1">
        <f t="array" ref="E31">Common_InputFunctions.Utility_DisplayArrayInTable(SourceData_Swine.SourceData_Swine_MMS_MCFs_Data(),Table_SourceData_Swine_MMSMCF[[#Headers],[MMS]],0)</f>
        <v>0.02</v>
      </c>
      <c r="F31" s="37" cm="1">
        <f t="array" ref="F31">Common_InputFunctions.Utility_DisplayArrayInTable(SourceData_Swine.SourceData_Swine_MMS_MCFs_Data(),Table_SourceData_Swine_MMSMCF[[#Headers],[MMS]],0)</f>
        <v>0.02</v>
      </c>
      <c r="G31" s="37" cm="1">
        <f t="array" ref="G31">Common_InputFunctions.Utility_DisplayArrayInTable(SourceData_Swine.SourceData_Swine_MMS_MCFs_Data(),Table_SourceData_Swine_MMSMCF[[#Headers],[MMS]],0)</f>
        <v>0.02</v>
      </c>
      <c r="H31" s="37" cm="1">
        <f t="array" ref="H31">Common_InputFunctions.Utility_DisplayArrayInTable(SourceData_Swine.SourceData_Swine_MMS_MCFs_Data(),Table_SourceData_Swine_MMSMCF[[#Headers],[MMS]],0)</f>
        <v>0.02</v>
      </c>
      <c r="I31" s="37" cm="1">
        <f t="array" ref="I31">Common_InputFunctions.Utility_DisplayArrayInTable(SourceData_Swine.SourceData_Swine_MMS_MCFs_Data(),Table_SourceData_Swine_MMSMCF[[#Headers],[MMS]],0)</f>
        <v>0.02</v>
      </c>
      <c r="J31" s="37" cm="1">
        <f t="array" ref="J31">Common_InputFunctions.Utility_DisplayArrayInTable(SourceData_Swine.SourceData_Swine_MMS_MCFs_Data(),Table_SourceData_Swine_MMSMCF[[#Headers],[MMS]],0)</f>
        <v>0.02</v>
      </c>
      <c r="K31" s="37" cm="1">
        <f t="array" ref="K31">Common_InputFunctions.Utility_DisplayArrayInTable(SourceData_Swine.SourceData_Swine_MMS_MCFs_Data(),Table_SourceData_Swine_MMSMCF[[#Headers],[MMS]],0)</f>
        <v>0.02</v>
      </c>
      <c r="L31" s="37" cm="1">
        <f t="array" ref="L31">Common_InputFunctions.Utility_DisplayArrayInTable(SourceData_Swine.SourceData_Swine_MMS_MCFs_Data(),Table_SourceData_Swine_MMSMCF[[#Headers],[MMS]],0)</f>
        <v>0.02</v>
      </c>
      <c r="M31" s="37" t="str" cm="1">
        <f t="array" ref="M31">Common_InputFunctions.Utility_DisplayArrayInTable(SourceData_Swine.SourceData_Swine_MMS_MCFs_Data(),Table_SourceData_Swine_MMSMCF[[#Headers],[MMS]],0)</f>
        <v>Solid storage</v>
      </c>
    </row>
    <row r="32" spans="1:13" ht="20.100000000000001" customHeight="1" x14ac:dyDescent="0.25">
      <c r="D32" s="1" t="str" cm="1">
        <f t="array" ref="D32">Common_InputFunctions.Utility_DisplayArrayInTable(SourceData_Swine.SourceData_Swine_MMS_MCFs_Data(),Table_SourceData_Swine_MMSMCF[[#Headers],[MMS]],0)</f>
        <v>Effluent pond (Uncovered anaerobic lagoon)</v>
      </c>
      <c r="E32" s="37" cm="1">
        <f t="array" ref="E32">Common_InputFunctions.Utility_DisplayArrayInTable(SourceData_Swine.SourceData_Swine_MMS_MCFs_Data(),Table_SourceData_Swine_MMSMCF[[#Headers],[MMS]],0)</f>
        <v>0.75</v>
      </c>
      <c r="F32" s="37" cm="1">
        <f t="array" ref="F32">Common_InputFunctions.Utility_DisplayArrayInTable(SourceData_Swine.SourceData_Swine_MMS_MCFs_Data(),Table_SourceData_Swine_MMSMCF[[#Headers],[MMS]],0)</f>
        <v>0.75</v>
      </c>
      <c r="G32" s="37" cm="1">
        <f t="array" ref="G32">Common_InputFunctions.Utility_DisplayArrayInTable(SourceData_Swine.SourceData_Swine_MMS_MCFs_Data(),Table_SourceData_Swine_MMSMCF[[#Headers],[MMS]],0)</f>
        <v>0.78</v>
      </c>
      <c r="H32" s="37" cm="1">
        <f t="array" ref="H32">Common_InputFunctions.Utility_DisplayArrayInTable(SourceData_Swine.SourceData_Swine_MMS_MCFs_Data(),Table_SourceData_Swine_MMSMCF[[#Headers],[MMS]],0)</f>
        <v>0.78</v>
      </c>
      <c r="I32" s="37" cm="1">
        <f t="array" ref="I32">Common_InputFunctions.Utility_DisplayArrayInTable(SourceData_Swine.SourceData_Swine_MMS_MCFs_Data(),Table_SourceData_Swine_MMSMCF[[#Headers],[MMS]],0)</f>
        <v>0.75</v>
      </c>
      <c r="J32" s="37" cm="1">
        <f t="array" ref="J32">Common_InputFunctions.Utility_DisplayArrayInTable(SourceData_Swine.SourceData_Swine_MMS_MCFs_Data(),Table_SourceData_Swine_MMSMCF[[#Headers],[MMS]],0)</f>
        <v>0.7</v>
      </c>
      <c r="K32" s="37" cm="1">
        <f t="array" ref="K32">Common_InputFunctions.Utility_DisplayArrayInTable(SourceData_Swine.SourceData_Swine_MMS_MCFs_Data(),Table_SourceData_Swine_MMSMCF[[#Headers],[MMS]],0)</f>
        <v>0.74</v>
      </c>
      <c r="L32" s="37" cm="1">
        <f t="array" ref="L32">Common_InputFunctions.Utility_DisplayArrayInTable(SourceData_Swine.SourceData_Swine_MMS_MCFs_Data(),Table_SourceData_Swine_MMSMCF[[#Headers],[MMS]],0)</f>
        <v>0.76</v>
      </c>
      <c r="M32" s="37" t="str" cm="1">
        <f t="array" ref="M32">Common_InputFunctions.Utility_DisplayArrayInTable(SourceData_Swine.SourceData_Swine_MMS_MCFs_Data(),Table_SourceData_Swine_MMSMCF[[#Headers],[MMS]],0)</f>
        <v>Anaerobic lagoon</v>
      </c>
    </row>
    <row r="33" spans="4:13" ht="20.100000000000001" customHeight="1" x14ac:dyDescent="0.25">
      <c r="D33" s="1" t="str" cm="1">
        <f t="array" ref="D33">Common_InputFunctions.Utility_DisplayArrayInTable(SourceData_Swine.SourceData_Swine_MMS_MCFs_Data(),Table_SourceData_Swine_MMSMCF[[#Headers],[MMS]],0)</f>
        <v>Anaerobic digester / Covered lagoon</v>
      </c>
      <c r="E33" s="37" cm="1">
        <f t="array" ref="E33">Common_InputFunctions.Utility_DisplayArrayInTable(SourceData_Swine.SourceData_Swine_MMS_MCFs_Data(),Table_SourceData_Swine_MMSMCF[[#Headers],[MMS]],0)</f>
        <v>0.1</v>
      </c>
      <c r="F33" s="37" cm="1">
        <f t="array" ref="F33">Common_InputFunctions.Utility_DisplayArrayInTable(SourceData_Swine.SourceData_Swine_MMS_MCFs_Data(),Table_SourceData_Swine_MMSMCF[[#Headers],[MMS]],0)</f>
        <v>0.1</v>
      </c>
      <c r="G33" s="37" cm="1">
        <f t="array" ref="G33">Common_InputFunctions.Utility_DisplayArrayInTable(SourceData_Swine.SourceData_Swine_MMS_MCFs_Data(),Table_SourceData_Swine_MMSMCF[[#Headers],[MMS]],0)</f>
        <v>0.1</v>
      </c>
      <c r="H33" s="37" cm="1">
        <f t="array" ref="H33">Common_InputFunctions.Utility_DisplayArrayInTable(SourceData_Swine.SourceData_Swine_MMS_MCFs_Data(),Table_SourceData_Swine_MMSMCF[[#Headers],[MMS]],0)</f>
        <v>0.1</v>
      </c>
      <c r="I33" s="37" cm="1">
        <f t="array" ref="I33">Common_InputFunctions.Utility_DisplayArrayInTable(SourceData_Swine.SourceData_Swine_MMS_MCFs_Data(),Table_SourceData_Swine_MMSMCF[[#Headers],[MMS]],0)</f>
        <v>0.1</v>
      </c>
      <c r="J33" s="37" cm="1">
        <f t="array" ref="J33">Common_InputFunctions.Utility_DisplayArrayInTable(SourceData_Swine.SourceData_Swine_MMS_MCFs_Data(),Table_SourceData_Swine_MMSMCF[[#Headers],[MMS]],0)</f>
        <v>0.1</v>
      </c>
      <c r="K33" s="37" cm="1">
        <f t="array" ref="K33">Common_InputFunctions.Utility_DisplayArrayInTable(SourceData_Swine.SourceData_Swine_MMS_MCFs_Data(),Table_SourceData_Swine_MMSMCF[[#Headers],[MMS]],0)</f>
        <v>0.1</v>
      </c>
      <c r="L33" s="37" cm="1">
        <f t="array" ref="L33">Common_InputFunctions.Utility_DisplayArrayInTable(SourceData_Swine.SourceData_Swine_MMS_MCFs_Data(),Table_SourceData_Swine_MMSMCF[[#Headers],[MMS]],0)</f>
        <v>0.1</v>
      </c>
      <c r="M33" s="37" t="str" cm="1">
        <f t="array" ref="M33">Common_InputFunctions.Utility_DisplayArrayInTable(SourceData_Swine.SourceData_Swine_MMS_MCFs_Data(),Table_SourceData_Swine_MMSMCF[[#Headers],[MMS]],0)</f>
        <v>Digester / covered lagoons</v>
      </c>
    </row>
    <row r="34" spans="4:13" ht="20.100000000000001" customHeight="1" x14ac:dyDescent="0.25">
      <c r="D34" s="1" t="str" cm="1">
        <f t="array" ref="D34">Common_InputFunctions.Utility_DisplayArrayInTable(SourceData_Swine.SourceData_Swine_MMS_MCFs_Data(),Table_SourceData_Swine_MMSMCF[[#Headers],[MMS]],0)</f>
        <v>Short HRT tank storage &lt; 1 month (pit storage)</v>
      </c>
      <c r="E34" s="37" cm="1">
        <f t="array" ref="E34">Common_InputFunctions.Utility_DisplayArrayInTable(SourceData_Swine.SourceData_Swine_MMS_MCFs_Data(),Table_SourceData_Swine_MMSMCF[[#Headers],[MMS]],0)</f>
        <v>0.03</v>
      </c>
      <c r="F34" s="37" cm="1">
        <f t="array" ref="F34">Common_InputFunctions.Utility_DisplayArrayInTable(SourceData_Swine.SourceData_Swine_MMS_MCFs_Data(),Table_SourceData_Swine_MMSMCF[[#Headers],[MMS]],0)</f>
        <v>0.03</v>
      </c>
      <c r="G34" s="37" cm="1">
        <f t="array" ref="G34">Common_InputFunctions.Utility_DisplayArrayInTable(SourceData_Swine.SourceData_Swine_MMS_MCFs_Data(),Table_SourceData_Swine_MMSMCF[[#Headers],[MMS]],0)</f>
        <v>0.03</v>
      </c>
      <c r="H34" s="37" cm="1">
        <f t="array" ref="H34">Common_InputFunctions.Utility_DisplayArrayInTable(SourceData_Swine.SourceData_Swine_MMS_MCFs_Data(),Table_SourceData_Swine_MMSMCF[[#Headers],[MMS]],0)</f>
        <v>0.03</v>
      </c>
      <c r="I34" s="37" cm="1">
        <f t="array" ref="I34">Common_InputFunctions.Utility_DisplayArrayInTable(SourceData_Swine.SourceData_Swine_MMS_MCFs_Data(),Table_SourceData_Swine_MMSMCF[[#Headers],[MMS]],0)</f>
        <v>0.03</v>
      </c>
      <c r="J34" s="37" cm="1">
        <f t="array" ref="J34">Common_InputFunctions.Utility_DisplayArrayInTable(SourceData_Swine.SourceData_Swine_MMS_MCFs_Data(),Table_SourceData_Swine_MMSMCF[[#Headers],[MMS]],0)</f>
        <v>0.03</v>
      </c>
      <c r="K34" s="37" cm="1">
        <f t="array" ref="K34">Common_InputFunctions.Utility_DisplayArrayInTable(SourceData_Swine.SourceData_Swine_MMS_MCFs_Data(),Table_SourceData_Swine_MMSMCF[[#Headers],[MMS]],0)</f>
        <v>0.03</v>
      </c>
      <c r="L34" s="37" cm="1">
        <f t="array" ref="L34">Common_InputFunctions.Utility_DisplayArrayInTable(SourceData_Swine.SourceData_Swine_MMS_MCFs_Data(),Table_SourceData_Swine_MMSMCF[[#Headers],[MMS]],0)</f>
        <v>0.03</v>
      </c>
      <c r="M34" s="37" t="str" cm="1">
        <f t="array" ref="M34">Common_InputFunctions.Utility_DisplayArrayInTable(SourceData_Swine.SourceData_Swine_MMS_MCFs_Data(),Table_SourceData_Swine_MMSMCF[[#Headers],[MMS]],0)</f>
        <v>Pit storage</v>
      </c>
    </row>
    <row r="35" spans="4:13" ht="20.100000000000001" customHeight="1" x14ac:dyDescent="0.25">
      <c r="D35" s="1" t="str" cm="1">
        <f t="array" ref="D35">Common_InputFunctions.Utility_DisplayArrayInTable(SourceData_Swine.SourceData_Swine_MMS_MCFs_Data(),Table_SourceData_Swine_MMSMCF[[#Headers],[MMS]],0)</f>
        <v>Direct Application to soil</v>
      </c>
      <c r="E35" s="37" cm="1">
        <f t="array" ref="E35">Common_InputFunctions.Utility_DisplayArrayInTable(SourceData_Swine.SourceData_Swine_MMS_MCFs_Data(),Table_SourceData_Swine_MMSMCF[[#Headers],[MMS]],0)</f>
        <v>0</v>
      </c>
      <c r="F35" s="37" cm="1">
        <f t="array" ref="F35">Common_InputFunctions.Utility_DisplayArrayInTable(SourceData_Swine.SourceData_Swine_MMS_MCFs_Data(),Table_SourceData_Swine_MMSMCF[[#Headers],[MMS]],0)</f>
        <v>0</v>
      </c>
      <c r="G35" s="37" cm="1">
        <f t="array" ref="G35">Common_InputFunctions.Utility_DisplayArrayInTable(SourceData_Swine.SourceData_Swine_MMS_MCFs_Data(),Table_SourceData_Swine_MMSMCF[[#Headers],[MMS]],0)</f>
        <v>0</v>
      </c>
      <c r="H35" s="37" cm="1">
        <f t="array" ref="H35">Common_InputFunctions.Utility_DisplayArrayInTable(SourceData_Swine.SourceData_Swine_MMS_MCFs_Data(),Table_SourceData_Swine_MMSMCF[[#Headers],[MMS]],0)</f>
        <v>0</v>
      </c>
      <c r="I35" s="37" cm="1">
        <f t="array" ref="I35">Common_InputFunctions.Utility_DisplayArrayInTable(SourceData_Swine.SourceData_Swine_MMS_MCFs_Data(),Table_SourceData_Swine_MMSMCF[[#Headers],[MMS]],0)</f>
        <v>0</v>
      </c>
      <c r="J35" s="37" cm="1">
        <f t="array" ref="J35">Common_InputFunctions.Utility_DisplayArrayInTable(SourceData_Swine.SourceData_Swine_MMS_MCFs_Data(),Table_SourceData_Swine_MMSMCF[[#Headers],[MMS]],0)</f>
        <v>0</v>
      </c>
      <c r="K35" s="37" cm="1">
        <f t="array" ref="K35">Common_InputFunctions.Utility_DisplayArrayInTable(SourceData_Swine.SourceData_Swine_MMS_MCFs_Data(),Table_SourceData_Swine_MMSMCF[[#Headers],[MMS]],0)</f>
        <v>0</v>
      </c>
      <c r="L35" s="37" cm="1">
        <f t="array" ref="L35">Common_InputFunctions.Utility_DisplayArrayInTable(SourceData_Swine.SourceData_Swine_MMS_MCFs_Data(),Table_SourceData_Swine_MMSMCF[[#Headers],[MMS]],0)</f>
        <v>0</v>
      </c>
      <c r="M35" s="37" t="str" cm="1">
        <f t="array" ref="M35">Common_InputFunctions.Utility_DisplayArrayInTable(SourceData_Swine.SourceData_Swine_MMS_MCFs_Data(),Table_SourceData_Swine_MMSMCF[[#Headers],[MMS]],0)</f>
        <v>Direct application</v>
      </c>
    </row>
    <row r="36" spans="4:13" ht="20.100000000000001" customHeight="1" x14ac:dyDescent="0.25">
      <c r="M36" s="1"/>
    </row>
    <row r="37" spans="4:13" ht="20.100000000000001" customHeight="1" x14ac:dyDescent="0.25">
      <c r="M37" s="1"/>
    </row>
    <row r="38" spans="4:13" ht="20.100000000000001" customHeight="1" x14ac:dyDescent="0.25">
      <c r="D38" s="6" t="s">
        <v>160</v>
      </c>
      <c r="G38" s="6" t="s">
        <v>161</v>
      </c>
      <c r="K38" s="6" t="s">
        <v>162</v>
      </c>
      <c r="M38" s="1"/>
    </row>
    <row r="39" spans="4:13" ht="20.100000000000001" customHeight="1" x14ac:dyDescent="0.25">
      <c r="M39" s="1"/>
    </row>
    <row r="40" spans="4:13" ht="20.100000000000001" customHeight="1" x14ac:dyDescent="0.25">
      <c r="D40" s="120" t="s">
        <v>67</v>
      </c>
      <c r="E40" s="37" t="s">
        <v>81</v>
      </c>
      <c r="G40" s="120" t="s">
        <v>67</v>
      </c>
      <c r="H40" s="37" t="s">
        <v>81</v>
      </c>
      <c r="K40" s="120" t="s">
        <v>67</v>
      </c>
      <c r="L40" s="37" t="s">
        <v>81</v>
      </c>
      <c r="M40" s="1"/>
    </row>
    <row r="41" spans="4:13" ht="20.100000000000001" customHeight="1" x14ac:dyDescent="0.25">
      <c r="D41" s="37" t="str">
        <f>'Constants - Livestock'!$E$10</f>
        <v>Anaerobic lagoon</v>
      </c>
      <c r="E41" s="37" t="str">
        <f>'Constants - Livestock'!$F$10</f>
        <v>Anaerobic lagoon (m=1)</v>
      </c>
      <c r="G41" s="37" t="str">
        <f>'Constants - Livestock'!$E$10</f>
        <v>Anaerobic lagoon</v>
      </c>
      <c r="H41" s="37" t="str">
        <f>'Constants - Livestock'!$F$10</f>
        <v>Anaerobic lagoon (m=1)</v>
      </c>
      <c r="K41" s="37" t="str">
        <f>'Constants - Livestock'!$E$10</f>
        <v>Anaerobic lagoon</v>
      </c>
      <c r="L41" s="37" t="str">
        <f>'Constants - Livestock'!$F$10</f>
        <v>Anaerobic lagoon (m=1)</v>
      </c>
      <c r="M41" s="1"/>
    </row>
    <row r="42" spans="4:13" ht="20.100000000000001" customHeight="1" x14ac:dyDescent="0.25">
      <c r="D42" s="37" t="str">
        <f>'Constants - Livestock'!$E$15</f>
        <v>Solid storage</v>
      </c>
      <c r="E42" s="37" t="str">
        <f>'Constants - Livestock'!$F$15</f>
        <v>Solid storage (m=4)</v>
      </c>
      <c r="G42" s="37" t="str">
        <f>'Constants - Livestock'!$E$16</f>
        <v>Drylot (feed pad)</v>
      </c>
      <c r="H42" s="37" t="str">
        <f>'Constants - Livestock'!$F$16</f>
        <v>Drylot (feed pad) (m=5)</v>
      </c>
      <c r="K42" s="37" t="str">
        <f>'Constants - Livestock'!$E$15</f>
        <v>Solid storage</v>
      </c>
      <c r="L42" s="37" t="str">
        <f>'Constants - Livestock'!$F$15</f>
        <v>Solid storage (m=4)</v>
      </c>
      <c r="M42" s="1"/>
    </row>
    <row r="43" spans="4:13" ht="20.100000000000001" customHeight="1" x14ac:dyDescent="0.25">
      <c r="D43" s="37" t="str">
        <f>'Constants - Livestock'!$E$16</f>
        <v>Drylot (feed pad)</v>
      </c>
      <c r="E43" s="37" t="str">
        <f>'Constants - Livestock'!$F$16</f>
        <v>Drylot (feed pad) (m=5)</v>
      </c>
      <c r="G43" s="37" t="str">
        <f>'Constants - Livestock'!$E$18</f>
        <v>Digester / covered lagoons</v>
      </c>
      <c r="H43" s="37" t="str">
        <f>'Constants - Livestock'!$F$18</f>
        <v>Digester / covered lagoons (m=7)</v>
      </c>
      <c r="K43" s="37" t="str">
        <f>'Constants - Livestock'!$E$16</f>
        <v>Drylot (feed pad)</v>
      </c>
      <c r="L43" s="37" t="str">
        <f>'Constants - Livestock'!$F$16</f>
        <v>Drylot (feed pad) (m=5)</v>
      </c>
      <c r="M43" s="1"/>
    </row>
    <row r="44" spans="4:13" ht="20.100000000000001" customHeight="1" x14ac:dyDescent="0.25">
      <c r="D44" s="37" t="str">
        <f>'Constants - Livestock'!$E$18</f>
        <v>Digester / covered lagoons</v>
      </c>
      <c r="E44" s="37" t="str">
        <f>'Constants - Livestock'!$F$18</f>
        <v>Digester / covered lagoons (m=7)</v>
      </c>
      <c r="G44" s="37" t="str">
        <f>'Constants - Livestock'!$E$19</f>
        <v>Deep litter</v>
      </c>
      <c r="H44" s="37" t="str">
        <f>'Constants - Livestock'!$F$19</f>
        <v>Deep litter (m=8)</v>
      </c>
      <c r="K44" s="37" t="str">
        <f>'Constants - Livestock'!$E$18</f>
        <v>Digester / covered lagoons</v>
      </c>
      <c r="L44" s="37" t="str">
        <f>'Constants - Livestock'!$F$18</f>
        <v>Digester / covered lagoons (m=7)</v>
      </c>
      <c r="M44" s="1"/>
    </row>
    <row r="45" spans="4:13" ht="20.100000000000001" customHeight="1" x14ac:dyDescent="0.25">
      <c r="D45" s="37" t="str">
        <f>'Constants - Livestock'!$E$19</f>
        <v>Deep litter</v>
      </c>
      <c r="E45" s="37" t="str">
        <f>'Constants - Livestock'!$F$19</f>
        <v>Deep litter (m=8)</v>
      </c>
      <c r="G45" s="37" t="str">
        <f>'Constants - Livestock'!$E$20</f>
        <v>Pit storage</v>
      </c>
      <c r="H45" s="37" t="str">
        <f>'Constants - Livestock'!$F$20</f>
        <v>Pit storage (m=9)</v>
      </c>
      <c r="K45" s="37" t="str">
        <f>'Constants - Livestock'!$E$19</f>
        <v>Deep litter</v>
      </c>
      <c r="L45" s="37" t="str">
        <f>'Constants - Livestock'!$F$19</f>
        <v>Deep litter (m=8)</v>
      </c>
      <c r="M45" s="1"/>
    </row>
    <row r="46" spans="4:13" ht="20.100000000000001" customHeight="1" x14ac:dyDescent="0.25">
      <c r="D46" s="37" t="str">
        <f>'Constants - Livestock'!$E$20</f>
        <v>Pit storage</v>
      </c>
      <c r="E46" s="37" t="str">
        <f>'Constants - Livestock'!$F$20</f>
        <v>Pit storage (m=9)</v>
      </c>
      <c r="K46" s="37" t="str">
        <f>'Constants - Livestock'!$E$20</f>
        <v>Pit storage</v>
      </c>
      <c r="L46" s="37" t="str">
        <f>'Constants - Livestock'!$F$20</f>
        <v>Pit storage (m=9)</v>
      </c>
      <c r="M46" s="1"/>
    </row>
    <row r="47" spans="4:13" ht="20.100000000000001" customHeight="1" x14ac:dyDescent="0.25">
      <c r="D47" s="37" t="str">
        <f>'Constants - Livestock'!$E$26</f>
        <v>Direct application</v>
      </c>
      <c r="E47" s="37" t="str">
        <f>'Constants - Livestock'!$F$26</f>
        <v>Direct application (m=13)</v>
      </c>
      <c r="M47" s="1"/>
    </row>
    <row r="48" spans="4:13" ht="20.100000000000001" customHeight="1" x14ac:dyDescent="0.25">
      <c r="M48" s="1"/>
    </row>
    <row r="49" spans="4:13" ht="20.100000000000001" customHeight="1" x14ac:dyDescent="0.25">
      <c r="M49" s="1"/>
    </row>
    <row r="50" spans="4:13" ht="20.100000000000001" customHeight="1" x14ac:dyDescent="0.25">
      <c r="M50" s="1"/>
    </row>
    <row r="51" spans="4:13" ht="20.100000000000001" customHeight="1" x14ac:dyDescent="0.25">
      <c r="D51" s="6" t="s">
        <v>163</v>
      </c>
      <c r="G51" s="6" t="s">
        <v>164</v>
      </c>
      <c r="M51" s="1"/>
    </row>
    <row r="52" spans="4:13" ht="20.100000000000001" customHeight="1" x14ac:dyDescent="0.25">
      <c r="M52" s="1"/>
    </row>
    <row r="53" spans="4:13" ht="20.100000000000001" customHeight="1" x14ac:dyDescent="0.25">
      <c r="D53" s="120" t="s">
        <v>67</v>
      </c>
      <c r="E53" s="37" t="s">
        <v>165</v>
      </c>
      <c r="G53" s="37" t="s">
        <v>110</v>
      </c>
      <c r="M53" s="1"/>
    </row>
    <row r="54" spans="4:13" ht="20.100000000000001" customHeight="1" x14ac:dyDescent="0.25">
      <c r="D54" s="37" t="str">
        <f>'Constants - Livestock'!$E$10</f>
        <v>Anaerobic lagoon</v>
      </c>
      <c r="E54" s="37">
        <v>0</v>
      </c>
      <c r="G54" s="37" t="str" cm="1">
        <f t="array" ref="G54">Common_InputFunctions.Utility_DisplayArrayInTable(SourceData_Swine.SourceData_Swine_ProductionSystems_Data(), Table_SourceData_Swine_ProductionSystems[[#Headers],[Production system]], 0)</f>
        <v>Conventional housing</v>
      </c>
      <c r="M54" s="1"/>
    </row>
    <row r="55" spans="4:13" ht="20.100000000000001" customHeight="1" x14ac:dyDescent="0.25">
      <c r="D55" s="37" t="str">
        <f>'Constants - Livestock'!$E$15</f>
        <v>Solid storage</v>
      </c>
      <c r="E55" s="37">
        <v>0</v>
      </c>
      <c r="G55" s="37" t="str" cm="1">
        <f t="array" ref="G55">Common_InputFunctions.Utility_DisplayArrayInTable(SourceData_Swine.SourceData_Swine_ProductionSystems_Data(), Table_SourceData_Swine_ProductionSystems[[#Headers],[Production system]], 0)</f>
        <v>Deep litter housing</v>
      </c>
      <c r="M55" s="1"/>
    </row>
    <row r="56" spans="4:13" ht="20.100000000000001" customHeight="1" x14ac:dyDescent="0.25">
      <c r="D56" s="37" t="str">
        <f>'Constants - Livestock'!$E$16</f>
        <v>Drylot (feed pad)</v>
      </c>
      <c r="E56" s="37">
        <v>0</v>
      </c>
      <c r="G56" s="37" t="str" cm="1">
        <f t="array" ref="G56">Common_InputFunctions.Utility_DisplayArrayInTable(SourceData_Swine.SourceData_Swine_ProductionSystems_Data(), Table_SourceData_Swine_ProductionSystems[[#Headers],[Production system]], 0)</f>
        <v>Outdoor/free range</v>
      </c>
      <c r="M56" s="1"/>
    </row>
    <row r="57" spans="4:13" ht="20.100000000000001" customHeight="1" x14ac:dyDescent="0.25">
      <c r="D57" s="37" t="str">
        <f>'Constants - Livestock'!$E$18</f>
        <v>Digester / covered lagoons</v>
      </c>
      <c r="E57" s="37">
        <v>0.75</v>
      </c>
      <c r="M57" s="1"/>
    </row>
    <row r="58" spans="4:13" ht="20.100000000000001" customHeight="1" x14ac:dyDescent="0.25">
      <c r="D58" s="37" t="str">
        <f>'Constants - Livestock'!$E$19</f>
        <v>Deep litter</v>
      </c>
      <c r="E58" s="37">
        <v>0.05</v>
      </c>
      <c r="M58" s="1"/>
    </row>
    <row r="59" spans="4:13" ht="20.100000000000001" customHeight="1" x14ac:dyDescent="0.25">
      <c r="D59" s="37" t="str">
        <f>'Constants - Livestock'!$E$20</f>
        <v>Pit storage</v>
      </c>
      <c r="E59" s="37">
        <v>0</v>
      </c>
      <c r="M59" s="1"/>
    </row>
    <row r="60" spans="4:13" ht="20.100000000000001" customHeight="1" x14ac:dyDescent="0.25">
      <c r="D60" s="37" t="str">
        <f>'Constants - Livestock'!$E$26</f>
        <v>Direct application</v>
      </c>
      <c r="E60" s="37">
        <v>0</v>
      </c>
      <c r="M60" s="1"/>
    </row>
    <row r="61" spans="4:13" ht="20.100000000000001" customHeight="1" x14ac:dyDescent="0.25">
      <c r="M61" s="1"/>
    </row>
    <row r="62" spans="4:13" ht="20.100000000000001" customHeight="1" x14ac:dyDescent="0.25">
      <c r="M62" s="1"/>
    </row>
    <row r="63" spans="4:13" ht="20.100000000000001" customHeight="1" x14ac:dyDescent="0.25">
      <c r="D63" s="6" t="str" cm="1">
        <f t="array" ref="D63">SourceData_Swine.SourceData_Swine_VolatileSolids_Title()</f>
        <v>Swine - Volatile solids (VSj) - 2020 to 2024</v>
      </c>
      <c r="M63" s="1"/>
    </row>
    <row r="64" spans="4:13" ht="20.100000000000001" customHeight="1" x14ac:dyDescent="0.25">
      <c r="D64" s="5" t="str" cm="1">
        <f t="array" ref="D64">SourceData_Swine.SourceData_Swine_VolatileSolids_Source()</f>
        <v>VEERG 2026: Table A.1.6.1: Swine - Intake and manure characteristics derived from PigBal</v>
      </c>
      <c r="M64" s="1"/>
    </row>
    <row r="65" spans="4:22" ht="20.100000000000001" customHeight="1" x14ac:dyDescent="0.25">
      <c r="D65" s="55" t="str" cm="1">
        <f t="array" ref="D65">SourceData_Swine.SourceData_Swine_VolatileSolids_Variation()</f>
        <v>VARIATION ON SOURCE DATA: Only uses data for 2020-2024. Use 'Slaughter pigs' data for 'Other j=4' class.</v>
      </c>
      <c r="M65" s="1"/>
    </row>
    <row r="66" spans="4:22" ht="20.100000000000001" customHeight="1" x14ac:dyDescent="0.25">
      <c r="M66" s="1"/>
    </row>
    <row r="67" spans="4:22" ht="20.100000000000001" customHeight="1" x14ac:dyDescent="0.25">
      <c r="D67" s="37" t="s">
        <v>155</v>
      </c>
      <c r="E67" s="37" t="s">
        <v>156</v>
      </c>
      <c r="M67" s="1"/>
    </row>
    <row r="68" spans="4:22" ht="20.100000000000001" customHeight="1" x14ac:dyDescent="0.25">
      <c r="D68" s="37" t="str" cm="1">
        <f t="array" ref="D68">Common_InputFunctions.Utility_DisplayArrayInTable(SourceData_Swine.SourceData_Swine_VolatileSolids_Data(), Table_SourceData_Swine_VolatileSolids[[#Headers],[Class]], 0)</f>
        <v>Boars</v>
      </c>
      <c r="E68" s="37" cm="1">
        <f t="array" ref="E68">Common_InputFunctions.Utility_DisplayArrayInTable(SourceData_Swine.SourceData_Swine_VolatileSolids_Data(), Table_SourceData_Swine_VolatileSolids[[#Headers],[Class]], 0)</f>
        <v>0.4</v>
      </c>
      <c r="M68" s="1"/>
    </row>
    <row r="69" spans="4:22" ht="20.100000000000001" customHeight="1" x14ac:dyDescent="0.25">
      <c r="D69" s="1" t="str" cm="1">
        <f t="array" ref="D69">Common_InputFunctions.Utility_DisplayArrayInTable(SourceData_Swine.SourceData_Swine_VolatileSolids_Data(), Table_SourceData_Swine_VolatileSolids[[#Headers],[Class]], 0)</f>
        <v>Sows</v>
      </c>
      <c r="E69" s="37" cm="1">
        <f t="array" ref="E69">Common_InputFunctions.Utility_DisplayArrayInTable(SourceData_Swine.SourceData_Swine_VolatileSolids_Data(), Table_SourceData_Swine_VolatileSolids[[#Headers],[Class]], 0)</f>
        <v>0.46</v>
      </c>
      <c r="M69" s="1"/>
    </row>
    <row r="70" spans="4:22" ht="20.100000000000001" customHeight="1" x14ac:dyDescent="0.25">
      <c r="D70" s="1" t="str" cm="1">
        <f t="array" ref="D70">Common_InputFunctions.Utility_DisplayArrayInTable(SourceData_Swine.SourceData_Swine_VolatileSolids_Data(), Table_SourceData_Swine_VolatileSolids[[#Headers],[Class]], 0)</f>
        <v>Gilts</v>
      </c>
      <c r="E70" s="37" cm="1">
        <f t="array" ref="E70">Common_InputFunctions.Utility_DisplayArrayInTable(SourceData_Swine.SourceData_Swine_VolatileSolids_Data(), Table_SourceData_Swine_VolatileSolids[[#Headers],[Class]], 0)</f>
        <v>0.55000000000000004</v>
      </c>
      <c r="M70" s="1"/>
    </row>
    <row r="71" spans="4:22" ht="20.100000000000001" customHeight="1" x14ac:dyDescent="0.25">
      <c r="D71" s="1" t="str" cm="1">
        <f t="array" ref="D71">Common_InputFunctions.Utility_DisplayArrayInTable(SourceData_Swine.SourceData_Swine_VolatileSolids_Data(), Table_SourceData_Swine_VolatileSolids[[#Headers],[Class]], 0)</f>
        <v>Others</v>
      </c>
      <c r="E71" s="37" cm="1">
        <f t="array" ref="E71">Common_InputFunctions.Utility_DisplayArrayInTable(SourceData_Swine.SourceData_Swine_VolatileSolids_Data(), Table_SourceData_Swine_VolatileSolids[[#Headers],[Class]], 0)</f>
        <v>0.39</v>
      </c>
      <c r="M71" s="1"/>
      <c r="V71" s="1"/>
    </row>
    <row r="72" spans="4:22" ht="20.100000000000001" customHeight="1" x14ac:dyDescent="0.25">
      <c r="M72" s="1"/>
      <c r="V72" s="1"/>
    </row>
    <row r="73" spans="4:22" ht="20.100000000000001" customHeight="1" x14ac:dyDescent="0.25">
      <c r="M73" s="1"/>
      <c r="V73" s="1"/>
    </row>
    <row r="74" spans="4:22" ht="20.100000000000001" customHeight="1" x14ac:dyDescent="0.25">
      <c r="D74" s="6" t="str" cm="1">
        <f t="array" ref="D74">SourceData_Swine.SourceData_Swine_FeedIntake_Title()</f>
        <v>Swine - Feed intake - ingested as fed  (Ij) - 2020 to 2024</v>
      </c>
      <c r="M74" s="1"/>
      <c r="V74" s="1"/>
    </row>
    <row r="75" spans="4:22" ht="20.100000000000001" customHeight="1" x14ac:dyDescent="0.25">
      <c r="D75" s="5" t="str" cm="1">
        <f t="array" ref="D75">SourceData_Swine.SourceData_Swine_FeedIntake_Source()</f>
        <v>VEERG 2026: Table A.1.6.1: Swine - Intake and manure characteristics derived from PigBal</v>
      </c>
      <c r="M75" s="1"/>
      <c r="V75" s="1"/>
    </row>
    <row r="76" spans="4:22" ht="20.100000000000001" customHeight="1" x14ac:dyDescent="0.25">
      <c r="D76" s="55" t="str" cm="1">
        <f t="array" ref="D76">SourceData_Swine.SourceData_Swine_FeedIntake_Variation()</f>
        <v>VARIATION ON SOURCE DATA: Only uses data for 2020-2024. Use 'Slaughter pigs' data for 'Other j=4' class.</v>
      </c>
      <c r="M76" s="1"/>
      <c r="V76" s="1"/>
    </row>
    <row r="77" spans="4:22" ht="20.100000000000001" customHeight="1" x14ac:dyDescent="0.25">
      <c r="M77" s="1"/>
      <c r="V77" s="1"/>
    </row>
    <row r="78" spans="4:22" ht="20.100000000000001" customHeight="1" x14ac:dyDescent="0.25">
      <c r="D78" s="37" t="s">
        <v>155</v>
      </c>
      <c r="E78" s="37" t="s">
        <v>293</v>
      </c>
      <c r="M78" s="1"/>
      <c r="V78" s="1"/>
    </row>
    <row r="79" spans="4:22" ht="20.100000000000001" customHeight="1" x14ac:dyDescent="0.25">
      <c r="D79" s="37" t="str" cm="1">
        <f t="array" ref="D79">Common_InputFunctions.Utility_DisplayArrayInTable(SourceData_Swine.SourceData_Swine_FeedIntake_Data(), Table_SourceData_Swine_FeedIntake[[#Headers],[Class]], 0)</f>
        <v>Boars</v>
      </c>
      <c r="E79" s="37" cm="1">
        <f t="array" ref="E79">Common_InputFunctions.Utility_DisplayArrayInTable(SourceData_Swine.SourceData_Swine_FeedIntake_Data(), Table_SourceData_Swine_FeedIntake[[#Headers],[Class]], 0)</f>
        <v>2.62</v>
      </c>
      <c r="M79" s="1"/>
      <c r="V79" s="1"/>
    </row>
    <row r="80" spans="4:22" ht="20.100000000000001" customHeight="1" x14ac:dyDescent="0.25">
      <c r="D80" s="37" t="str" cm="1">
        <f t="array" ref="D80">Common_InputFunctions.Utility_DisplayArrayInTable(SourceData_Swine.SourceData_Swine_FeedIntake_Data(), Table_SourceData_Swine_FeedIntake[[#Headers],[Class]], 0)</f>
        <v>Sows</v>
      </c>
      <c r="E80" s="37" cm="1">
        <f t="array" ref="E80">Common_InputFunctions.Utility_DisplayArrayInTable(SourceData_Swine.SourceData_Swine_FeedIntake_Data(), Table_SourceData_Swine_FeedIntake[[#Headers],[Class]], 0)</f>
        <v>2.2999999999999998</v>
      </c>
      <c r="M80" s="1"/>
      <c r="V80" s="1"/>
    </row>
    <row r="81" spans="4:22" ht="20.100000000000001" customHeight="1" x14ac:dyDescent="0.25">
      <c r="D81" s="37" t="str" cm="1">
        <f t="array" ref="D81">Common_InputFunctions.Utility_DisplayArrayInTable(SourceData_Swine.SourceData_Swine_FeedIntake_Data(), Table_SourceData_Swine_FeedIntake[[#Headers],[Class]], 0)</f>
        <v>Gilts</v>
      </c>
      <c r="E81" s="37" cm="1">
        <f t="array" ref="E81">Common_InputFunctions.Utility_DisplayArrayInTable(SourceData_Swine.SourceData_Swine_FeedIntake_Data(), Table_SourceData_Swine_FeedIntake[[#Headers],[Class]], 0)</f>
        <v>2.5</v>
      </c>
      <c r="M81" s="1"/>
      <c r="V81" s="1"/>
    </row>
    <row r="82" spans="4:22" ht="20.100000000000001" customHeight="1" x14ac:dyDescent="0.25">
      <c r="D82" s="37" t="str" cm="1">
        <f t="array" ref="D82">Common_InputFunctions.Utility_DisplayArrayInTable(SourceData_Swine.SourceData_Swine_FeedIntake_Data(), Table_SourceData_Swine_FeedIntake[[#Headers],[Class]], 0)</f>
        <v>Others</v>
      </c>
      <c r="E82" s="37" cm="1">
        <f t="array" ref="E82">Common_InputFunctions.Utility_DisplayArrayInTable(SourceData_Swine.SourceData_Swine_FeedIntake_Data(), Table_SourceData_Swine_FeedIntake[[#Headers],[Class]], 0)</f>
        <v>1.71</v>
      </c>
      <c r="M82" s="1"/>
      <c r="V82" s="1"/>
    </row>
    <row r="83" spans="4:22" ht="20.100000000000001" customHeight="1" x14ac:dyDescent="0.25">
      <c r="M83" s="1"/>
    </row>
    <row r="84" spans="4:22" ht="20.100000000000001" customHeight="1" x14ac:dyDescent="0.25">
      <c r="M84" s="1"/>
    </row>
    <row r="85" spans="4:22" ht="20.100000000000001" customHeight="1" x14ac:dyDescent="0.25">
      <c r="D85" s="6" t="str" cm="1">
        <f t="array" ref="D85">SourceData_Swine.SourceData_Swine_NitrogenInWaste_Title()</f>
        <v>Swine - Nitrogen in waste (NWj) - 2020 to 2024</v>
      </c>
      <c r="M85" s="1"/>
      <c r="V85" s="1"/>
    </row>
    <row r="86" spans="4:22" ht="20.100000000000001" customHeight="1" x14ac:dyDescent="0.25">
      <c r="D86" s="5" t="str" cm="1">
        <f t="array" ref="D86">SourceData_Swine.SourceData_Swine_NitrogenInWaste_Source()</f>
        <v>VEERG 2026: Table A.1.6.1: Swine - Intake and manure characteristics derived from PigBal</v>
      </c>
      <c r="M86" s="1"/>
      <c r="V86" s="1"/>
    </row>
    <row r="87" spans="4:22" ht="20.100000000000001" customHeight="1" x14ac:dyDescent="0.25">
      <c r="D87" s="55" t="str" cm="1">
        <f t="array" ref="D87">SourceData_Swine.SourceData_Swine_NitrogenInWaste_Variation()</f>
        <v>VARIATION ON SOURCE DATA: Only uses data for 2020-2024. Use 'Slaughter pigs' data for 'Other j=4' class. Added 'NWj daily' column to provide daily value for Others class</v>
      </c>
      <c r="M87" s="1"/>
      <c r="V87" s="1"/>
    </row>
    <row r="88" spans="4:22" ht="20.100000000000001" customHeight="1" x14ac:dyDescent="0.25">
      <c r="M88" s="1"/>
      <c r="V88" s="1"/>
    </row>
    <row r="89" spans="4:22" ht="20.100000000000001" customHeight="1" x14ac:dyDescent="0.25">
      <c r="D89" s="37" t="s">
        <v>155</v>
      </c>
      <c r="E89" s="37" t="s">
        <v>291</v>
      </c>
      <c r="F89" s="37" t="s">
        <v>292</v>
      </c>
      <c r="M89" s="1"/>
      <c r="V89" s="1"/>
    </row>
    <row r="90" spans="4:22" ht="20.100000000000001" customHeight="1" x14ac:dyDescent="0.25">
      <c r="D90" s="37" t="str" cm="1">
        <f t="array" ref="D90">Common_InputFunctions.Utility_DisplayArrayInTable(SourceData_Swine.SourceData_Swine_NitrogenInWaste_Data(), Table_SourceData_Swine_NitrogenInWaste[[#Headers],[Class]], 0)</f>
        <v>Boars</v>
      </c>
      <c r="E90" s="37" cm="1">
        <f t="array" ref="E90">Common_InputFunctions.Utility_DisplayArrayInTable(SourceData_Swine.SourceData_Swine_NitrogenInWaste_Data(), Table_SourceData_Swine_NitrogenInWaste[[#Headers],[Class]], 0)</f>
        <v>4.5999999999999999E-2</v>
      </c>
      <c r="F90" s="37" cm="1">
        <f t="array" ref="F90">Common_InputFunctions.Utility_DisplayArrayInTable(SourceData_Swine.SourceData_Swine_NitrogenInWaste_Data(), Table_SourceData_Swine_NitrogenInWaste[[#Headers],[Class]], 0)</f>
        <v>4.5999999999999999E-2</v>
      </c>
      <c r="M90" s="1"/>
      <c r="V90" s="1"/>
    </row>
    <row r="91" spans="4:22" ht="20.100000000000001" customHeight="1" x14ac:dyDescent="0.25">
      <c r="D91" s="37" t="str" cm="1">
        <f t="array" ref="D91">Common_InputFunctions.Utility_DisplayArrayInTable(SourceData_Swine.SourceData_Swine_NitrogenInWaste_Data(), Table_SourceData_Swine_NitrogenInWaste[[#Headers],[Class]], 0)</f>
        <v>Sows</v>
      </c>
      <c r="E91" s="37" cm="1">
        <f t="array" ref="E91">Common_InputFunctions.Utility_DisplayArrayInTable(SourceData_Swine.SourceData_Swine_NitrogenInWaste_Data(), Table_SourceData_Swine_NitrogenInWaste[[#Headers],[Class]], 0)</f>
        <v>4.9000000000000002E-2</v>
      </c>
      <c r="F91" s="37" cm="1">
        <f t="array" ref="F91">Common_InputFunctions.Utility_DisplayArrayInTable(SourceData_Swine.SourceData_Swine_NitrogenInWaste_Data(), Table_SourceData_Swine_NitrogenInWaste[[#Headers],[Class]], 0)</f>
        <v>4.9000000000000002E-2</v>
      </c>
      <c r="M91" s="1"/>
    </row>
    <row r="92" spans="4:22" ht="20.100000000000001" customHeight="1" x14ac:dyDescent="0.25">
      <c r="D92" s="37" t="str" cm="1">
        <f t="array" ref="D92">Common_InputFunctions.Utility_DisplayArrayInTable(SourceData_Swine.SourceData_Swine_NitrogenInWaste_Data(), Table_SourceData_Swine_NitrogenInWaste[[#Headers],[Class]], 0)</f>
        <v>Gilts</v>
      </c>
      <c r="E92" s="37" cm="1">
        <f t="array" ref="E92">Common_InputFunctions.Utility_DisplayArrayInTable(SourceData_Swine.SourceData_Swine_NitrogenInWaste_Data(), Table_SourceData_Swine_NitrogenInWaste[[#Headers],[Class]], 0)</f>
        <v>4.5999999999999999E-2</v>
      </c>
      <c r="F92" s="37" cm="1">
        <f t="array" ref="F92">Common_InputFunctions.Utility_DisplayArrayInTable(SourceData_Swine.SourceData_Swine_NitrogenInWaste_Data(), Table_SourceData_Swine_NitrogenInWaste[[#Headers],[Class]], 0)</f>
        <v>4.5999999999999999E-2</v>
      </c>
      <c r="M92" s="1"/>
    </row>
    <row r="93" spans="4:22" ht="20.100000000000001" customHeight="1" x14ac:dyDescent="0.25">
      <c r="D93" s="37" t="str" cm="1">
        <f t="array" ref="D93">Common_InputFunctions.Utility_DisplayArrayInTable(SourceData_Swine.SourceData_Swine_NitrogenInWaste_Data(), Table_SourceData_Swine_NitrogenInWaste[[#Headers],[Class]], 0)</f>
        <v>Others (kg/head/year)</v>
      </c>
      <c r="E93" s="37" cm="1">
        <f t="array" ref="E93">Common_InputFunctions.Utility_DisplayArrayInTable(SourceData_Swine.SourceData_Swine_NitrogenInWaste_Data(), Table_SourceData_Swine_NitrogenInWaste[[#Headers],[Class]], 0)</f>
        <v>11.4</v>
      </c>
      <c r="F93" s="37" cm="1">
        <f t="array" ref="F93">Common_InputFunctions.Utility_DisplayArrayInTable(SourceData_Swine.SourceData_Swine_NitrogenInWaste_Data(), Table_SourceData_Swine_NitrogenInWaste[[#Headers],[Class]], 0)</f>
        <v>3.1199999999999999E-2</v>
      </c>
      <c r="M93" s="1"/>
    </row>
    <row r="94" spans="4:22" ht="20.100000000000001" customHeight="1" x14ac:dyDescent="0.25">
      <c r="M94" s="1"/>
    </row>
    <row r="95" spans="4:22" ht="20.100000000000001" customHeight="1" x14ac:dyDescent="0.25">
      <c r="M95" s="1"/>
    </row>
    <row r="96" spans="4:22" ht="20.100000000000001" customHeight="1" x14ac:dyDescent="0.25">
      <c r="D96" s="6" t="str" cm="1">
        <f t="array" ref="D96">SourceData_Swine.SourceData_Swine_FractionNVolatilised_Title()</f>
        <v>Swine - Fraction of nitrogen volatilised (FracGASMmT)</v>
      </c>
      <c r="M96" s="1"/>
    </row>
    <row r="97" spans="4:13" ht="20.100000000000001" customHeight="1" x14ac:dyDescent="0.25">
      <c r="D97" s="5" t="str" cm="1">
        <f t="array" ref="D97">SourceData_Swine.SourceData_Swine_FractionNVolatilised_Source()</f>
        <v>VEERG 2026: Table A.1.6.2: Swine - Fraction of N volatilised by MMS ((kg NH3-N + NOx-N)/kgN) (FracGASMmT)</v>
      </c>
      <c r="M97" s="1"/>
    </row>
    <row r="98" spans="4:13" ht="20.100000000000001" customHeight="1" x14ac:dyDescent="0.25">
      <c r="D98" s="55" t="str" cm="1">
        <f t="array" ref="D98">SourceData_Swine.SourceData_Swine_FractionNVolatilised_Variation()</f>
        <v>VARIATION ON SOURCE DATA: Added 'NIR reference column to aid lookup.</v>
      </c>
      <c r="M98" s="1"/>
    </row>
    <row r="99" spans="4:13" ht="20.100000000000001" customHeight="1" x14ac:dyDescent="0.25">
      <c r="D99" s="140" t="s">
        <v>294</v>
      </c>
      <c r="E99" s="140" t="s">
        <v>295</v>
      </c>
      <c r="F99" s="140" t="s">
        <v>296</v>
      </c>
      <c r="M99" s="1"/>
    </row>
    <row r="100" spans="4:13" ht="20.100000000000001" customHeight="1" x14ac:dyDescent="0.25">
      <c r="D100" s="140" t="str" cm="1">
        <f t="array" ref="D100">Common_InputFunctions.Utility_DisplayArrayInTable(SourceData_Swine.SourceData_Swine_FractionNVolatilised_Data(), Table_SourceData_Swine_FracGASM[[#Headers],[MMSm]],0)</f>
        <v>Outdoor (Dry lot)</v>
      </c>
      <c r="E100" s="140" cm="1">
        <f t="array" ref="E100">Common_InputFunctions.Utility_DisplayArrayInTable(SourceData_Swine.SourceData_Swine_FractionNVolatilised_Data(), Table_SourceData_Swine_FracGASM[[#Headers],[MMSm]],0)</f>
        <v>0.3</v>
      </c>
      <c r="F100" s="140" t="str" cm="1">
        <f t="array" ref="F100">Common_InputFunctions.Utility_DisplayArrayInTable(SourceData_Swine.SourceData_Swine_FractionNVolatilised_Data(), Table_SourceData_Swine_FracGASM[[#Headers],[MMSm]],0)</f>
        <v>Drylot (feed pad)</v>
      </c>
      <c r="M100" s="1"/>
    </row>
    <row r="101" spans="4:13" ht="20.100000000000001" customHeight="1" x14ac:dyDescent="0.25">
      <c r="D101" s="140" t="str" cm="1">
        <f t="array" ref="D101">Common_InputFunctions.Utility_DisplayArrayInTable(SourceData_Swine.SourceData_Swine_FractionNVolatilised_Data(), Table_SourceData_Swine_FracGASM[[#Headers],[MMSm]],0)</f>
        <v>Deep litter</v>
      </c>
      <c r="E101" s="140" cm="1">
        <f t="array" ref="E101">Common_InputFunctions.Utility_DisplayArrayInTable(SourceData_Swine.SourceData_Swine_FractionNVolatilised_Data(), Table_SourceData_Swine_FracGASM[[#Headers],[MMSm]],0)</f>
        <v>0.125</v>
      </c>
      <c r="F101" s="140" t="str" cm="1">
        <f t="array" ref="F101">Common_InputFunctions.Utility_DisplayArrayInTable(SourceData_Swine.SourceData_Swine_FractionNVolatilised_Data(), Table_SourceData_Swine_FracGASM[[#Headers],[MMSm]],0)</f>
        <v>Deep litter</v>
      </c>
      <c r="M101" s="1"/>
    </row>
    <row r="102" spans="4:13" ht="20.100000000000001" customHeight="1" x14ac:dyDescent="0.25">
      <c r="D102" s="140" t="str" cm="1">
        <f t="array" ref="D102">Common_InputFunctions.Utility_DisplayArrayInTable(SourceData_Swine.SourceData_Swine_FractionNVolatilised_Data(), Table_SourceData_Swine_FracGASM[[#Headers],[MMSm]],0)</f>
        <v>Stockpile (Solid storage)</v>
      </c>
      <c r="E102" s="140" cm="1">
        <f t="array" ref="E102">Common_InputFunctions.Utility_DisplayArrayInTable(SourceData_Swine.SourceData_Swine_FractionNVolatilised_Data(), Table_SourceData_Swine_FracGASM[[#Headers],[MMSm]],0)</f>
        <v>0.2</v>
      </c>
      <c r="F102" s="140" t="str" cm="1">
        <f t="array" ref="F102">Common_InputFunctions.Utility_DisplayArrayInTable(SourceData_Swine.SourceData_Swine_FractionNVolatilised_Data(), Table_SourceData_Swine_FracGASM[[#Headers],[MMSm]],0)</f>
        <v>Solid storage</v>
      </c>
      <c r="M102" s="1"/>
    </row>
    <row r="103" spans="4:13" ht="20.100000000000001" customHeight="1" x14ac:dyDescent="0.25">
      <c r="D103" s="140" t="str" cm="1">
        <f t="array" ref="D103">Common_InputFunctions.Utility_DisplayArrayInTable(SourceData_Swine.SourceData_Swine_FractionNVolatilised_Data(), Table_SourceData_Swine_FracGASM[[#Headers],[MMSm]],0)</f>
        <v>Effluent pond (Uncovered anaerobic lagoon)</v>
      </c>
      <c r="E103" s="140" cm="1">
        <f t="array" ref="E103">Common_InputFunctions.Utility_DisplayArrayInTable(SourceData_Swine.SourceData_Swine_FractionNVolatilised_Data(), Table_SourceData_Swine_FracGASM[[#Headers],[MMSm]],0)</f>
        <v>0.55000000000000004</v>
      </c>
      <c r="F103" s="140" t="str" cm="1">
        <f t="array" ref="F103">Common_InputFunctions.Utility_DisplayArrayInTable(SourceData_Swine.SourceData_Swine_FractionNVolatilised_Data(), Table_SourceData_Swine_FracGASM[[#Headers],[MMSm]],0)</f>
        <v>Anaerobic lagoon</v>
      </c>
      <c r="M103" s="1"/>
    </row>
    <row r="104" spans="4:13" ht="20.100000000000001" customHeight="1" x14ac:dyDescent="0.25">
      <c r="D104" s="140" t="str" cm="1">
        <f t="array" ref="D104">Common_InputFunctions.Utility_DisplayArrayInTable(SourceData_Swine.SourceData_Swine_FractionNVolatilised_Data(), Table_SourceData_Swine_FracGASM[[#Headers],[MMSm]],0)</f>
        <v>Anaerobic digester / Covered lagoon</v>
      </c>
      <c r="E104" s="140" cm="1">
        <f t="array" ref="E104">Common_InputFunctions.Utility_DisplayArrayInTable(SourceData_Swine.SourceData_Swine_FractionNVolatilised_Data(), Table_SourceData_Swine_FracGASM[[#Headers],[MMSm]],0)</f>
        <v>0</v>
      </c>
      <c r="F104" s="140" t="str" cm="1">
        <f t="array" ref="F104">Common_InputFunctions.Utility_DisplayArrayInTable(SourceData_Swine.SourceData_Swine_FractionNVolatilised_Data(), Table_SourceData_Swine_FracGASM[[#Headers],[MMSm]],0)</f>
        <v>Digester / covered lagoons</v>
      </c>
      <c r="M104" s="1"/>
    </row>
    <row r="105" spans="4:13" ht="20.100000000000001" customHeight="1" x14ac:dyDescent="0.25">
      <c r="D105" s="140" t="str" cm="1">
        <f t="array" ref="D105">Common_InputFunctions.Utility_DisplayArrayInTable(SourceData_Swine.SourceData_Swine_FractionNVolatilised_Data(), Table_SourceData_Swine_FracGASM[[#Headers],[MMSm]],0)</f>
        <v>Short HRT tank storage &lt; 1 month (pit storage)</v>
      </c>
      <c r="E105" s="140" cm="1">
        <f t="array" ref="E105">Common_InputFunctions.Utility_DisplayArrayInTable(SourceData_Swine.SourceData_Swine_FractionNVolatilised_Data(), Table_SourceData_Swine_FracGASM[[#Headers],[MMSm]],0)</f>
        <v>0.25</v>
      </c>
      <c r="F105" s="140" t="str" cm="1">
        <f t="array" ref="F105">Common_InputFunctions.Utility_DisplayArrayInTable(SourceData_Swine.SourceData_Swine_FractionNVolatilised_Data(), Table_SourceData_Swine_FracGASM[[#Headers],[MMSm]],0)</f>
        <v>Pit storage</v>
      </c>
      <c r="M105" s="1"/>
    </row>
    <row r="106" spans="4:13" ht="20.100000000000001" customHeight="1" x14ac:dyDescent="0.25">
      <c r="M106" s="1"/>
    </row>
    <row r="107" spans="4:13" ht="20.100000000000001" customHeight="1" x14ac:dyDescent="0.25">
      <c r="M107" s="1"/>
    </row>
    <row r="108" spans="4:13" ht="20.100000000000001" customHeight="1" x14ac:dyDescent="0.25">
      <c r="D108" s="6" t="str" cm="1">
        <f t="array" ref="D108">SourceData_Swine.SourceData_Swine_NitrousOxideEFs_Title()</f>
        <v>Swine - Nitrous oxide EFs by MMS (EFmT)</v>
      </c>
      <c r="M108" s="1"/>
    </row>
    <row r="109" spans="4:13" ht="20.100000000000001" customHeight="1" x14ac:dyDescent="0.25">
      <c r="D109" s="5" t="str" cm="1">
        <f t="array" ref="D109">SourceData_Swine.SourceData_Swine_NitrousOxideEFs_Source()</f>
        <v>VEERG 2026: Table A.1.6.3: Swine - Nitrous oxide EFs by MMS (kgN2O-N/kgN) (EFmT)</v>
      </c>
      <c r="M109" s="1"/>
    </row>
    <row r="110" spans="4:13" ht="20.100000000000001" customHeight="1" x14ac:dyDescent="0.25">
      <c r="D110" s="55" t="str" cm="1">
        <f t="array" ref="D110">SourceData_Swine.SourceData_Swine_NitrousOxideEFs_Variation()</f>
        <v>VARIATION ON SOURCE DATA: Added 'NIR reference column to aid lookup.</v>
      </c>
      <c r="M110" s="1"/>
    </row>
    <row r="111" spans="4:13" ht="20.100000000000001" customHeight="1" x14ac:dyDescent="0.25">
      <c r="D111" s="140" t="s">
        <v>294</v>
      </c>
      <c r="E111" s="140" t="s">
        <v>320</v>
      </c>
      <c r="F111" s="140" t="s">
        <v>296</v>
      </c>
      <c r="M111" s="1"/>
    </row>
    <row r="112" spans="4:13" ht="20.100000000000001" customHeight="1" x14ac:dyDescent="0.25">
      <c r="D112" s="140" t="str" cm="1">
        <f t="array" ref="D112">Common_InputFunctions.Utility_DisplayArrayInTable(SourceData_Swine.SourceData_Swine_NitrousOxideEFs_Data(), Table_SourceData_Swine_FracGASM28[[#Headers],[MMSm]],0)</f>
        <v>Outdoor (Dry lot)</v>
      </c>
      <c r="E112" s="140" cm="1">
        <f t="array" ref="E112">Common_InputFunctions.Utility_DisplayArrayInTable(SourceData_Swine.SourceData_Swine_NitrousOxideEFs_Data(), Table_SourceData_Swine_FracGASM28[[#Headers],[MMSm]],0)</f>
        <v>0.02</v>
      </c>
      <c r="F112" s="140" t="str" cm="1">
        <f t="array" ref="F112">Common_InputFunctions.Utility_DisplayArrayInTable(SourceData_Swine.SourceData_Swine_NitrousOxideEFs_Data(), Table_SourceData_Swine_FracGASM28[[#Headers],[MMSm]],0)</f>
        <v>Drylot (feed pad)</v>
      </c>
      <c r="M112" s="1"/>
    </row>
    <row r="113" spans="4:22" ht="20.100000000000001" customHeight="1" x14ac:dyDescent="0.25">
      <c r="D113" s="140" t="str" cm="1">
        <f t="array" ref="D113">Common_InputFunctions.Utility_DisplayArrayInTable(SourceData_Swine.SourceData_Swine_NitrousOxideEFs_Data(), Table_SourceData_Swine_FracGASM28[[#Headers],[MMSm]],0)</f>
        <v>Deep litter</v>
      </c>
      <c r="E113" s="140" cm="1">
        <f t="array" ref="E113">Common_InputFunctions.Utility_DisplayArrayInTable(SourceData_Swine.SourceData_Swine_NitrousOxideEFs_Data(), Table_SourceData_Swine_FracGASM28[[#Headers],[MMSm]],0)</f>
        <v>0.01</v>
      </c>
      <c r="F113" s="140" t="str" cm="1">
        <f t="array" ref="F113">Common_InputFunctions.Utility_DisplayArrayInTable(SourceData_Swine.SourceData_Swine_NitrousOxideEFs_Data(), Table_SourceData_Swine_FracGASM28[[#Headers],[MMSm]],0)</f>
        <v>Deep litter</v>
      </c>
      <c r="M113" s="1"/>
    </row>
    <row r="114" spans="4:22" ht="20.100000000000001" customHeight="1" x14ac:dyDescent="0.25">
      <c r="D114" s="140" t="str" cm="1">
        <f t="array" ref="D114">Common_InputFunctions.Utility_DisplayArrayInTable(SourceData_Swine.SourceData_Swine_NitrousOxideEFs_Data(), Table_SourceData_Swine_FracGASM28[[#Headers],[MMSm]],0)</f>
        <v>Stockpile (Solid storage)</v>
      </c>
      <c r="E114" s="140" cm="1">
        <f t="array" ref="E114">Common_InputFunctions.Utility_DisplayArrayInTable(SourceData_Swine.SourceData_Swine_NitrousOxideEFs_Data(), Table_SourceData_Swine_FracGASM28[[#Headers],[MMSm]],0)</f>
        <v>5.0000000000000001E-3</v>
      </c>
      <c r="F114" s="140" t="str" cm="1">
        <f t="array" ref="F114">Common_InputFunctions.Utility_DisplayArrayInTable(SourceData_Swine.SourceData_Swine_NitrousOxideEFs_Data(), Table_SourceData_Swine_FracGASM28[[#Headers],[MMSm]],0)</f>
        <v>Solid storage</v>
      </c>
      <c r="M114" s="1"/>
    </row>
    <row r="115" spans="4:22" ht="20.100000000000001" customHeight="1" x14ac:dyDescent="0.25">
      <c r="D115" s="140" t="str" cm="1">
        <f t="array" ref="D115">Common_InputFunctions.Utility_DisplayArrayInTable(SourceData_Swine.SourceData_Swine_NitrousOxideEFs_Data(), Table_SourceData_Swine_FracGASM28[[#Headers],[MMSm]],0)</f>
        <v>Effluent pond (Uncovered anaerobic lagoon)</v>
      </c>
      <c r="E115" s="140" cm="1">
        <f t="array" ref="E115">Common_InputFunctions.Utility_DisplayArrayInTable(SourceData_Swine.SourceData_Swine_NitrousOxideEFs_Data(), Table_SourceData_Swine_FracGASM28[[#Headers],[MMSm]],0)</f>
        <v>0</v>
      </c>
      <c r="F115" s="140" t="str" cm="1">
        <f t="array" ref="F115">Common_InputFunctions.Utility_DisplayArrayInTable(SourceData_Swine.SourceData_Swine_NitrousOxideEFs_Data(), Table_SourceData_Swine_FracGASM28[[#Headers],[MMSm]],0)</f>
        <v>Anaerobic lagoon</v>
      </c>
      <c r="M115" s="1"/>
      <c r="V115" s="1"/>
    </row>
    <row r="116" spans="4:22" ht="20.100000000000001" customHeight="1" x14ac:dyDescent="0.25">
      <c r="D116" s="140" t="str" cm="1">
        <f t="array" ref="D116">Common_InputFunctions.Utility_DisplayArrayInTable(SourceData_Swine.SourceData_Swine_NitrousOxideEFs_Data(), Table_SourceData_Swine_FracGASM28[[#Headers],[MMSm]],0)</f>
        <v>Anaerobic digestor / Covered lagoon</v>
      </c>
      <c r="E116" s="140" cm="1">
        <f t="array" ref="E116">Common_InputFunctions.Utility_DisplayArrayInTable(SourceData_Swine.SourceData_Swine_NitrousOxideEFs_Data(), Table_SourceData_Swine_FracGASM28[[#Headers],[MMSm]],0)</f>
        <v>0</v>
      </c>
      <c r="F116" s="140" t="str" cm="1">
        <f t="array" ref="F116">Common_InputFunctions.Utility_DisplayArrayInTable(SourceData_Swine.SourceData_Swine_NitrousOxideEFs_Data(), Table_SourceData_Swine_FracGASM28[[#Headers],[MMSm]],0)</f>
        <v>Digester / covered lagoons</v>
      </c>
      <c r="M116" s="1"/>
      <c r="V116" s="1"/>
    </row>
    <row r="117" spans="4:22" ht="20.100000000000001" customHeight="1" x14ac:dyDescent="0.25">
      <c r="D117" s="140" t="str" cm="1">
        <f t="array" ref="D117">Common_InputFunctions.Utility_DisplayArrayInTable(SourceData_Swine.SourceData_Swine_NitrousOxideEFs_Data(), Table_SourceData_Swine_FracGASM28[[#Headers],[MMSm]],0)</f>
        <v>Short HRT tank storage &lt; 1 month (pit storage)</v>
      </c>
      <c r="E117" s="140" cm="1">
        <f t="array" ref="E117">Common_InputFunctions.Utility_DisplayArrayInTable(SourceData_Swine.SourceData_Swine_NitrousOxideEFs_Data(), Table_SourceData_Swine_FracGASM28[[#Headers],[MMSm]],0)</f>
        <v>2E-3</v>
      </c>
      <c r="F117" s="140" t="str" cm="1">
        <f t="array" ref="F117">Common_InputFunctions.Utility_DisplayArrayInTable(SourceData_Swine.SourceData_Swine_NitrousOxideEFs_Data(), Table_SourceData_Swine_FracGASM28[[#Headers],[MMSm]],0)</f>
        <v>Pit storage</v>
      </c>
      <c r="M117" s="1"/>
      <c r="V117" s="1"/>
    </row>
    <row r="118" spans="4:22" ht="20.100000000000001" customHeight="1" x14ac:dyDescent="0.25">
      <c r="M118" s="1"/>
    </row>
    <row r="119" spans="4:22" ht="20.100000000000001" customHeight="1" x14ac:dyDescent="0.25">
      <c r="M119" s="1"/>
    </row>
    <row r="120" spans="4:22" ht="20.100000000000001" customHeight="1" x14ac:dyDescent="0.25">
      <c r="M120" s="1"/>
    </row>
    <row r="121" spans="4:22" ht="20.100000000000001" customHeight="1" x14ac:dyDescent="0.25">
      <c r="M121" s="1"/>
    </row>
    <row r="122" spans="4:22" ht="20.100000000000001" customHeight="1" x14ac:dyDescent="0.25">
      <c r="M122" s="1"/>
    </row>
    <row r="123" spans="4:22" ht="20.100000000000001" customHeight="1" x14ac:dyDescent="0.25">
      <c r="M123" s="1"/>
    </row>
    <row r="124" spans="4:22" ht="20.100000000000001" customHeight="1" x14ac:dyDescent="0.25">
      <c r="M124" s="1"/>
    </row>
    <row r="125" spans="4:22" ht="20.100000000000001" customHeight="1" x14ac:dyDescent="0.25">
      <c r="M125" s="1"/>
      <c r="V125" s="1"/>
    </row>
    <row r="126" spans="4:22" ht="20.100000000000001" customHeight="1" x14ac:dyDescent="0.25">
      <c r="M126" s="1"/>
      <c r="V126" s="1"/>
    </row>
    <row r="127" spans="4:22" ht="20.100000000000001" customHeight="1" x14ac:dyDescent="0.25">
      <c r="M127" s="1"/>
      <c r="V127" s="1"/>
    </row>
    <row r="128" spans="4:22" ht="20.100000000000001" customHeight="1" x14ac:dyDescent="0.25">
      <c r="M128" s="1"/>
      <c r="V128" s="1"/>
    </row>
    <row r="129" spans="13:22" ht="20.100000000000001" customHeight="1" x14ac:dyDescent="0.25">
      <c r="M129" s="1"/>
      <c r="V129" s="1"/>
    </row>
    <row r="130" spans="13:22" ht="20.100000000000001" customHeight="1" x14ac:dyDescent="0.25">
      <c r="M130" s="1"/>
      <c r="V130" s="1"/>
    </row>
    <row r="131" spans="13:22" ht="20.100000000000001" customHeight="1" x14ac:dyDescent="0.25">
      <c r="M131" s="1"/>
    </row>
    <row r="132" spans="13:22" ht="20.100000000000001" customHeight="1" x14ac:dyDescent="0.25">
      <c r="M132" s="1"/>
    </row>
    <row r="133" spans="13:22" ht="20.100000000000001" customHeight="1" x14ac:dyDescent="0.25">
      <c r="M133" s="1"/>
    </row>
    <row r="134" spans="13:22" ht="20.100000000000001" customHeight="1" x14ac:dyDescent="0.25">
      <c r="M134" s="1"/>
    </row>
    <row r="135" spans="13:22" ht="20.100000000000001" customHeight="1" x14ac:dyDescent="0.25">
      <c r="M135" s="1"/>
    </row>
    <row r="136" spans="13:22" ht="20.100000000000001" customHeight="1" x14ac:dyDescent="0.25">
      <c r="M136" s="1"/>
    </row>
    <row r="137" spans="13:22" ht="20.100000000000001" customHeight="1" x14ac:dyDescent="0.25">
      <c r="M137" s="1"/>
    </row>
    <row r="138" spans="13:22" ht="20.100000000000001" customHeight="1" x14ac:dyDescent="0.25">
      <c r="M138" s="1"/>
    </row>
    <row r="139" spans="13:22" ht="20.100000000000001" customHeight="1" x14ac:dyDescent="0.25">
      <c r="M139" s="1"/>
    </row>
    <row r="140" spans="13:22" ht="20.100000000000001" customHeight="1" x14ac:dyDescent="0.25">
      <c r="M140" s="1"/>
    </row>
    <row r="141" spans="13:22" ht="20.100000000000001" customHeight="1" x14ac:dyDescent="0.25">
      <c r="M141" s="1"/>
    </row>
    <row r="142" spans="13:22" ht="20.100000000000001" customHeight="1" x14ac:dyDescent="0.25">
      <c r="M142" s="1"/>
    </row>
    <row r="143" spans="13:22" ht="20.100000000000001" customHeight="1" x14ac:dyDescent="0.25">
      <c r="M143" s="1"/>
    </row>
    <row r="144" spans="13:22" ht="20.100000000000001" customHeight="1" x14ac:dyDescent="0.25">
      <c r="M144" s="1"/>
    </row>
    <row r="145" spans="13:13" ht="20.100000000000001" customHeight="1" x14ac:dyDescent="0.25">
      <c r="M145" s="1"/>
    </row>
    <row r="146" spans="13:13" ht="20.100000000000001" customHeight="1" x14ac:dyDescent="0.25">
      <c r="M146" s="1"/>
    </row>
    <row r="147" spans="13:13" ht="20.100000000000001" customHeight="1" x14ac:dyDescent="0.25">
      <c r="M147" s="1"/>
    </row>
    <row r="148" spans="13:13" ht="20.100000000000001" customHeight="1" x14ac:dyDescent="0.25">
      <c r="M148" s="1"/>
    </row>
    <row r="149" spans="13:13" ht="20.100000000000001" customHeight="1" x14ac:dyDescent="0.25">
      <c r="M149" s="1"/>
    </row>
    <row r="150" spans="13:13" ht="20.100000000000001" customHeight="1" x14ac:dyDescent="0.25">
      <c r="M150" s="1"/>
    </row>
    <row r="151" spans="13:13" ht="20.100000000000001" customHeight="1" x14ac:dyDescent="0.25">
      <c r="M151" s="1"/>
    </row>
    <row r="152" spans="13:13" ht="20.100000000000001" customHeight="1" x14ac:dyDescent="0.25">
      <c r="M152" s="1"/>
    </row>
    <row r="153" spans="13:13" ht="20.100000000000001" customHeight="1" x14ac:dyDescent="0.25">
      <c r="M153" s="1"/>
    </row>
    <row r="154" spans="13:13" ht="20.100000000000001" customHeight="1" x14ac:dyDescent="0.25">
      <c r="M154" s="1"/>
    </row>
    <row r="155" spans="13:13" ht="20.100000000000001" customHeight="1" x14ac:dyDescent="0.25">
      <c r="M155" s="1"/>
    </row>
    <row r="156" spans="13:13" ht="20.100000000000001" customHeight="1" x14ac:dyDescent="0.25">
      <c r="M156" s="1"/>
    </row>
    <row r="157" spans="13:13" ht="20.100000000000001" customHeight="1" x14ac:dyDescent="0.25">
      <c r="M157" s="1"/>
    </row>
    <row r="158" spans="13:13" ht="20.100000000000001" customHeight="1" x14ac:dyDescent="0.25">
      <c r="M158" s="1"/>
    </row>
    <row r="159" spans="13:13" ht="20.100000000000001" customHeight="1" x14ac:dyDescent="0.25">
      <c r="M159" s="1"/>
    </row>
    <row r="160" spans="13:13" ht="20.100000000000001" customHeight="1" x14ac:dyDescent="0.25">
      <c r="M160" s="1"/>
    </row>
    <row r="161" spans="13:13" ht="20.100000000000001" customHeight="1" x14ac:dyDescent="0.25">
      <c r="M161" s="1"/>
    </row>
    <row r="162" spans="13:13" ht="20.100000000000001" customHeight="1" x14ac:dyDescent="0.25">
      <c r="M162" s="1"/>
    </row>
    <row r="163" spans="13:13" ht="20.100000000000001" customHeight="1" x14ac:dyDescent="0.25">
      <c r="M163" s="1"/>
    </row>
    <row r="164" spans="13:13" ht="20.100000000000001" customHeight="1" x14ac:dyDescent="0.25">
      <c r="M164" s="1"/>
    </row>
    <row r="165" spans="13:13" ht="20.100000000000001" customHeight="1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topLeftCell="A137" zoomScale="85" zoomScaleNormal="85" workbookViewId="0">
      <selection activeCell="D224" sqref="D224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77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21</v>
      </c>
      <c r="E6" s="37" t="s">
        <v>22</v>
      </c>
      <c r="F6" s="37" t="s">
        <v>23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24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27</v>
      </c>
      <c r="E36" s="37" t="s">
        <v>28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27</v>
      </c>
      <c r="E47" s="37" t="s">
        <v>30</v>
      </c>
      <c r="F47" s="37" t="s">
        <v>31</v>
      </c>
      <c r="G47" s="37" t="s">
        <v>32</v>
      </c>
      <c r="H47" s="37" t="s">
        <v>33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48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36</v>
      </c>
      <c r="F89" s="37" t="s">
        <v>37</v>
      </c>
      <c r="G89" s="37" t="s">
        <v>38</v>
      </c>
      <c r="H89" s="37" t="s">
        <v>39</v>
      </c>
      <c r="I89" s="37" t="s">
        <v>40</v>
      </c>
      <c r="J89" s="37" t="s">
        <v>41</v>
      </c>
      <c r="K89" s="37" t="s">
        <v>42</v>
      </c>
      <c r="L89" s="37" t="s">
        <v>43</v>
      </c>
      <c r="M89" s="37" t="s">
        <v>44</v>
      </c>
      <c r="N89" s="37" t="s">
        <v>45</v>
      </c>
      <c r="O89" s="37" t="s">
        <v>49</v>
      </c>
      <c r="P89" s="37" t="s">
        <v>46</v>
      </c>
      <c r="Q89" s="37" t="s">
        <v>50</v>
      </c>
      <c r="R89" s="37" t="s">
        <v>47</v>
      </c>
      <c r="S89" s="37" t="s">
        <v>51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55</v>
      </c>
      <c r="E109" s="37" t="s">
        <v>36</v>
      </c>
      <c r="F109" s="37" t="s">
        <v>56</v>
      </c>
      <c r="G109" s="37" t="s">
        <v>57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58</v>
      </c>
      <c r="E119" s="37" t="s">
        <v>59</v>
      </c>
      <c r="F119" s="37" t="s">
        <v>43</v>
      </c>
      <c r="G119" s="37" t="s">
        <v>44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65</v>
      </c>
      <c r="E127" s="37" t="s">
        <v>66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93</v>
      </c>
      <c r="E134" t="s">
        <v>94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125</v>
      </c>
      <c r="E142" s="37" t="s">
        <v>94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68</v>
      </c>
      <c r="E153" s="37" t="s">
        <v>69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106</v>
      </c>
      <c r="E186" s="37" t="s">
        <v>107</v>
      </c>
      <c r="F186" s="37" t="s">
        <v>108</v>
      </c>
      <c r="G186" s="37" t="s">
        <v>109</v>
      </c>
      <c r="H186" s="37" t="s">
        <v>35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127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120</v>
      </c>
      <c r="E212" s="37" t="s">
        <v>133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24" sqref="A2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79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Swine'!A1", "Swine")</f>
        <v>Swine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80</v>
      </c>
      <c r="E9" s="37" t="s">
        <v>20</v>
      </c>
      <c r="F9" s="37" t="s">
        <v>81</v>
      </c>
      <c r="G9" s="3"/>
    </row>
    <row r="10" spans="1:13" ht="20.100000000000001" customHeight="1" x14ac:dyDescent="0.25">
      <c r="A10" s="19" t="s">
        <v>76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HYPERLINK("#'4.2.1.1-2 Methane'!A1", "4.2.1.1-2 Methane")</f>
        <v>4.2.1.1-2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HYPERLINK("#'4.2.1.3-4 Soil direct N2O'!A1", "4.2.1.3-4 Soil direct N2O")</f>
        <v>4.2.1.3-4 Soil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HYPERLINK("#'4.2.1.5-6 Soil Atmos Dep'!A1", "4.2.1.5-6 Soil atm. deposition")</f>
        <v>4.2.1.5-6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/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18" t="s">
        <v>4</v>
      </c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7" t="str">
        <f>HYPERLINK("#'Constants - Swine'!A1", "Constants - Swine")</f>
        <v>Constants - Swine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HYPERLINK("#'Constants - Livestock'!A1", "Constants - Livestock")</f>
        <v>Constants - Livestock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7" t="str">
        <f>HYPERLINK("#'Acknowledgements'!A1", "Acknowledgements")</f>
        <v>Acknowledgements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17"/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/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/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78</v>
      </c>
    </row>
    <row r="17" spans="1:1" ht="20.100000000000001" customHeight="1" x14ac:dyDescent="0.25">
      <c r="A17" s="67" t="s">
        <v>74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76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75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78</v>
      </c>
    </row>
    <row r="32" spans="1:1" ht="20.100000000000001" customHeight="1" x14ac:dyDescent="0.25">
      <c r="A32" s="67" t="s">
        <v>74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JwBTAGwAYQB1AGcAaAB0AGUAcgAgAHAAaQBnAHMAJwAgAGQAYQB0AGEAIABmAG8AcgAgACcATwB0AGgAZQByACAAagA9ADQAJwAgAGMAbABhAHMAcwAuAFwAIgApADsAXABuAFwAbgBTAG8AdQByAGMAZQBEAGEAdABhAF8AUwB3AGkAbgBlAF8AVgBvAGwAYQB0AGkAbABlAFMAbwBsAGkAZABzAF8ARABhAHQAYQBcAG4AIAAgAD0ATABBAE0AQgBEAEEAKABcAG4AIAAgACAAIABNAEEASwBFAEEAUgBSAEEAWQAoADUALAAgADIALAAgAFwAbgAgACAAIAAgACAAIABMAEEATQBCAEQAQQAoAHIALABjACwAIABcAG4AIAAgACAAIAAgACAAIAAgAEkATgBEAEUAWAAoAHsAXABuACAAIAAgACAAIAAgACAAIAAgACAAXAAiAEMAbABhAHMAcwBcACIALAAgAFwAIgBWAFMAagBcACIAOwBcAG4AIAAgACAAIAAgACAAIAAgACAAIABcACIAQgBvAGEAcgBzAFwAIgAsACAAMAAuADQAMAA7AFwAbgAgACAAIAAgACAAIAAgACAAIAAgAFwAIgBTAG8AdwBzAFwAIgAsACAAMAAuADQANgA7AFwAbgAgACAAIAAgACAAIAAgACAAIAAgAFwAIgBHAGkAbAB0AHMAXAAiACwAIAAwAC4ANQA1ADsAXABuACAAIAAgACAAIAAgACAAIAAgACAAXAAiAE8AdABoAGUAcgBzAFwAIgAsACAAMAAuADMAOQ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GUAZQBkAEkAbgB0AGEAawBlAFwAbgBJAGoAXABuAGsAZwAvAGgAZQBhAGQALwBkAGEAeQBcAG4ALQAtAC0ALQAtAC0ALQAtAC0ALQAtAC0ALQAtAC0ALQAtAC0ALQAtAC0ALQAtAC0ALQAtAC0ALQAtAC0ALQAtAC0ALQAtAC0ALQAtAFwAbgAqAC8AXABuAFwAbgBTAG8AdQByAGMAZQBEAGEAdABhAF8AUwB3AGkAbgBlAF8ARgBlAGUAZABJAG4AdABhAGsAZQBfAFQAaQB0AGwAZQBcAG4AIAAgAD0ATABBAE0AQgBEAEEAKABcACIAUwB3AGkAbgBlACAALQAgAEYAZQBlAGQAIABpAG4AdABhAGsAZQAgAC0AIABpAG4AZwBlAHMAdABlAGQAIABhAHMAIABmAGUAZAAgACAAKABJAGoAKQAgAC0AIAAyADAAMgAwACAAdABvACAAMgAwADIANABcACIAKQA7AFwAbgBcAG4AUwBvAHUAcgBjAGUARABhAHQAYQBfAFMAdwBpAG4AZQBfAEYAZQBlAGQASQBuAHQAYQBrAGUAXwBVAG4AaQB0AFwAbgAgACAAPQBMAEEATQBCAEQAQQAoAFwAIgBrAGcALwBoAGUAYQBkAC8AZABhAHkAXAAiACkAOwBcAG4AXABuAFMAbwB1AHIAYwBlAEQAYQB0AGEAXwBTAHcAaQBuAGUAXwBGAGUAZQBkAEkAbgB0AGEAaw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GAGUAZQBkAEkAbgB0AGEAawBlAF8AVgBhAHIAaQBhAHQAaQBvAG4AXABuACAAIAA9AEwAQQBNAEIARABBACgAXAAiAFYAQQBSAEkAQQBUAEkATwBOACAATwBOACAAUwBPAFUAUgBDAEUAIABEAEEAVABBADoAIABPAG4AbAB5ACAAdQBzAGUAcwAgAGQAYQB0AGEAIABmAG8AcgAgADIAMAAyADAALQAyADAAMgA0AC4AIABVAHMAZQAgACcAUwBsAGEAdQBnAGgAdABlAHIAIABwAGkAZwBzACcAIABkAGEAdABhACAAZgBvAHIAIAAnAE8AdABoAGUAcgAgAGoAPQA0AC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AnAFMAbABhAHUAZwBoAHQAZQByACAAcABpAGcAcwAnACAAZABhAHQAYQAgAGYAbwByACAAJwBPAHQAaABlAHIAIABqAD0ANAAnACAAYwBsAGEAcwBzAC4AIABBAGQAZABlAGQAIAAnAE4AVwBqACAAZABhAGkAbAB5ACcAIABjAG8AbAB1AG0AbgAgAHQAbwAgAHAAcgBvAHYAaQBkAGUAIABkAGEAaQBsAHkAIAB2AGEAbAB1AGUAIABmAG8AcgAgAE8AdABoAGUAcgBzACAAYwBsAGEAcwBzAFwAIgApADsAXABuAFwAbgBTAG8AdQByAGMAZQBEAGEAdABhAF8AUwB3AGkAbgBlAF8ATgBpAHQAcgBvAGcAZQBuAEkAbgBXAGEAcwB0AGUAXwBEAGEAdABhAFwAbgAgACAAPQBMAEEATQBCAEQAQQAoAFwAbgAgACAAIAAgAE0AQQBLAEUAQQBSAFIAQQBZACgANQAsACAAMwAsACAAXABuACAAIAAgACAAIAAgAEwAQQBNAEIARABBACgAcgAsAGMALAAgAFwAbgAgACAAIAAgACAAIAAgACAASQBOAEQARQBYACgAewBcAG4AIAAgACAAIAAgACAAIAAgACAAIABcACIAQwBsAGEAcwBzAFwAIgAsACAAXAAiAE4AVwBqAFwAIgAsACAAXAAiAE4AVwBqACAAZABhAGkAbAB5AFwAIgA7AFwAbgAgACAAIAAgACAAIAAgACAAIAAgAFwAIgBCAG8AYQByAHMAXAAiACwAIAAwAC4AMAA0ADYALAAgADAALgAwADQANgA7AFwAbgAgACAAIAAgACAAIAAgACAAIAAgAFwAIgBTAG8AdwBzAFwAIgAsADAALgAwADQAOQAsACAAMAAuADAANAA5ADsAXABuACAAIAAgACAAIAAgACAAIAAgACAAXAAiAEcAaQBsAHQAcwBcACIALAAgADAALgAwADQANgAsACAAMAAuADAANAA2ADsAXABuACAAIAAgACAAIAAgACAAIAAgACAAXAAiAE8AdABoAGUAcgBzACAAKABrAGcALwBoAGUAYQBkAC8AeQBlAGEAcgApAFwAIgAsACAAMQAxAC4ANAAsACAAMAAuADAAMwAxAD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0AGkAbwBuAE4AVgBvAGwAYQB0AGkAbABpAHMAZQBkAFwAbgBGAHIAYQBjAEcAQQBTAE0AbQBUAFwAbgAoAGsAZwAgAE4ASAAzAC0ATgAgACsAIABOAE8AeAAtAE4AKQAvAGsAZwBOAFwAbgAtAC0ALQAtAC0ALQAtAC0ALQAtAC0ALQAtAC0ALQAtAC0ALQAtAC0ALQAtAC0ALQAtAC0ALQAtAC0ALQAtAC0ALQAtAC0ALQAtAC0AXABuACoALwBcAG4AXABuAFMAbwB1AHIAYwBlAEQAYQB0AGEAXwBTAHcAaQBuAGUAXwBGAHIAYQBjAHQAaQBvAG4ATgBWAG8AbABhAHQAaQBsAGkAcwBlAGQAXwBUAGkAdABsAGUAXABuACAAIAA9AEwAQQBNAEIARABBACgAXAAiAFMAdwBpAG4AZQAgAC0AIABGAHIAYQBjAHQAaQBvAG4AIABvAGYAIABuAGkAdAByAG8AZwBlAG4AIAB2AG8AbABhAHQAaQBsAGkAcwBlAGQAIAAoAEYAcgBhAGMARwBBAFMATQBtAFQAKQBcACIAKQA7AFwAbgBcAG4AUwBvAHUAcgBjAGUARABhAHQAYQBfAFMAdwBpAG4AZQBfAEYAcgBhAGMAdABpAG8AbgBOAFYAbwBsAGEAdABpAGwAaQBzAGUAZABfAFUAbgBpAHQAXABuACAAIAA9AEwAQQBNAEIARABBACgAXAAiACgAawBnACAATgBIADMALQBOACAAKwAgAE4ATwB4AC0ATgApAC8AawBnAE4AXAAiACkAOwBcAG4AXABuAFMAbwB1AHIAYwBlAEQAYQB0AGEAXwBTAHcAaQBuAGUAXwBGAHIAYQBjAHQAaQBvAG4ATgBWAG8AbABhAHQAaQBsAGkAcwBlAGQAXwBTAG8AdQByAGMAZQBcAG4AIAAgAD0ATABBAE0AQgBEAEEAKABcACIAVgBFAEUAUgBHACAAMgAwADIANgA6ACAAVABhAGIAbABlACAAQQAuADEALgA2AC4AMgA6ACAAUwB3AGkAbgBlACAALQAgAEYAcgBhAGMAdABpAG8AbgAgAG8AZgAgAE4AIAB2AG8AbABhAHQAaQBsAGkAcwBlAGQAIABiAHkAIABNAE0AUwAgACgAKABrAGcAIABOAEgAMwAtAE4AIAArACAATgBPAHgALQBOACkALwBrAGcATgApACAAKABGAHIAYQBjAEcAQQBTAE0AbQBUACkAXAAiACkAOwBcAG4AXABuAFMAbwB1AHIAYwBlAEQAYQB0AGEAXwBTAHcAaQBuAGUAXwBGAHIAYQBjAHQAaQBvAG4ATgBWAG8AbABhAHQAaQBsAGkAcwBlAGQ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TgBpAHQAcgBvAHUAcwBPAHgAaQBkAGUARQBGAHMAXwBEAGEAdABhAFwAbgAgACAAPQBMAEEATQBCAEQAQQAoAFwAbgAgACAAIAAgAE0AQQBLAEUAQQBSAFIAQQBZACgANwAsACAAMwAsACAAXABuACAAIAAgACAAIAAgAEwAQQBNAEIARABBACgAcgAsAGMALAAgAFwAbgAgACAAIAAgACAAIAAgACAASQBOAEQARQBYACgAewBcAG4AIAAgACAAIAAgACAAIAAgACAAIABcACIATQBNAFMAbQBcACIALAAgAFwAIgBFAEYAbQBUAFwAIgAsACAAXAAiAE4ASQBSACAAcgBlAGYAZQByAGUAbgBjAGUAXAAiADsAXABuACAAIAAgACAAIAAgACAAIAAgACAAXAAiAE8AdQB0AGQAbwBvAHIAIAAoAEQAcgB5ACAAbABvAHQAKQBcACIALAAgADAALgAwADIALAAgAFwAIgBEAHIAeQBsAG8AdAAgACgAZgBlAGUAZAAgAHAAYQBkACkAXAAiADsAXABuACAAIAAgACAAIAAgACAAIAAgACAAXAAiAEQAZQBlAHAAIABsAGkAdAB0AGUAcgBcACIALAAgADAALgAwADEALAAgAFwAIgBEAGUAZQBwACAAbABpAHQAdABlAHIAXAAiADsAXABuACAAIAAgACAAIAAgACAAIAAgACAAXAAiAFMAdABvAGMAawBwAGkAbABlACAAKABTAG8AbABpAGQAIABzAHQAbwByAGEAZwBlACkAXAAiACwAIAAwAC4AMAAwADUALAAgAFwAIgBTAG8AbABpAGQAIABzAHQAbwByAGEAZwBlAFwAIgA7AFwAbgAgACAAIAAgACAAIAAgACAAIAAgAFwAIgBFAGYAZgBsAHUAZQBuAHQAIABwAG8AbgBkACAAKABVAG4AYwBvAHYAZQByAGUAZAAgAGEAbgBhAGUAcgBvAGIAaQBjACAAbABhAGcAbwBvAG4AKQBcACIALAAgADAALAAgAFwAIgBBAG4AYQBlAHIAbwBiAGkAYwAgAGwAYQBnAG8AbwBuAFwAIgA7AFwAbgAgACAAIAAgACAAIAAgACAAIAAgAFwAIgBBAG4AYQBlAHIAbwBiAGkAYwAgAGQAaQBnAGUAcwB0AG8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PA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AnAHMAbwBsAGkAZAAgAHMAdABvAHIAYQBnAGUAJwAgAE0ATQBTACwAIABiAHUAdAAgAGUAcQB1AGEAdABpAG8AbgAgAHIAZQBmAGUAcgBzACAAdABvACAAJwBkAHIAeQBsAG8AdAAnACAATQBNAFMALgBcACIAKQA7AFwAbgBcAG4AUwBvAHUAcgBjAGUARABhAHQAYQBfAFMAdwBpAG4AZQBfAEYAcgBhAGMATABFAEEAQwBIAF8ARAByAHkAbABvAHQATQBNAFMAXwBEAGEAdABhAFwAbgAgACAAPQBMAEEATQBCAEQAQQAoADAALgAwADIAKQA7AFwAbgBcAG4AIgB9ACwAewAiAHAAYQB0AGgAIgA6ACIALwBwAHIAbwBqAGUAYwB0AHMALwBFAG4AdABlAHIAaQBjAE0AZQB0AGgAYQBuAGUAXwBTAHcAaQBuAGUAXwBFAHEAdQBhAHQAaQBvAG4AcwAiACwAIgB0AGUAeAB0ACIAOgAi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agBcACIALABcACIAbABlAG4AZwB0AGgAIABvAGYAIABzAHQAYQB5ACAAbwBmACAAZQBhAGMAaAAgAGMAbABhAHMAcwAgAG8AZgAgAHMAdwBpAG4AZQAgADoAIABkAGEAeQBzAFwAIgA7AFwAbgAgACAAIAAgACAAIAAgACAAIAAgAFwAIgBNAG0AagBcACIALABcACIAbQBlAHQAaABhAG4AZQAgAHAAcgBvAGQAdQBjAHQAaQBvAG4AIABmAHIAbwBtACAAbQBhAG4AdQByAGUAIABpAG4AIABlAGEAYwBoACAAcwB3AGkAbgBlACAAYwBsAGEAcwBzACAAOgAgAGsAZwAgAEMASAA0AC8AaABlAGEAZAAvAGQAYQB5AFwAIgA7AFwAbgAgACAAIAAgACAAIAAgACAAIAAgAFwAIgBOAGoAXAAiACwAXAAiAG4AdQBtAGIAZQByAHMAIABvAGYAIABzAHcAaQBuAGUAIABpAG4AIABlAGEAYwBoACAAYwBsAGEAcwBz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MgBfAE0AZQB0AGgAYQBuAGUAUAByAG8AZAB1AGMAdABpAG8AbgBQAGUAcgBDAGwAYQBzAHMAXABuAE0AZQB0AGgAYQBuAGUAIABwAHIAbwBkAHUAYwB0AGkAbwBuACAAZgByAG8AbQAgAHQAaABlACAAbQBhAG4AdQByAGUAIABvAGYAIABlAGEAYwBoACAAYwBsAGEAcwBzACAAbwBmACAAcwB3AGkAbgBlAFwAbgBNAG0AagBcAG4AawBnACAAQwBIADQALwBoAGUAYQBkAC8AZABhAHkAXABuAE0AXwB7AG0AagB9AD0AXABcAHMAdQBtAF8AewBtAH0AXABcAHMAdQBtAF8AewBUAH0ATQBfAHsAagBtAFQAfQBcAG4ATQBqAG0AVAAgAD0AIABtAGUAdABoAGEAbgBlACAAcAByAG8AZAB1AGMAdABpAG8AbgAgAGYAcgBvAG0AIABtAGEAbgB1AHIAZQAgAHAAZQByACAAYwBsAGEAcwBzACwAIABNAE0AUwAsACAAYQBuAGQAIAB0AHIAZQBhAHQAbQBlAG4AdAAgAHMAdABhAGcAZQAgADoAIABrAGcAIABDAEgANAAvAGgAZQBhAGQALwBkAGEAeQBcAG4ALQAtAC0ALQAtAC0ALQAtAC0ALQAtAC0ALQAtAC0ALQAtAC0ALQAtAC0ALQAtAC0ALQAtAC0ALQAtAC0ALQAtAC0ALQAtAC0ALQAtAFwAbgAqAC8AXABuAFwAbgBWAEUARQBSAEcAXwA0AF8ANQBfADEAXwAxAF8AXwAyAF8ATQBlAHQAaABhAG4AZQBQAHIAbwBkAHUAYwB0AGkAbwBuAFAAZQByAEMAbABhAHMAcwBcAG4AIAAgAD0ATABBAE0AQgBEAEEAKABcAG4AIAAgACAAIABNAGoAbQBUACwAXABuACAAIAAgACAAUwBVAE0AKABNAGoAbQBUACkAXABuACAAIAApADsAXABuAFwAbgBWAEUARQBSAEcAXwA0AF8ANQBfADEAXwAxAF8AXwAyAF8ATQBlAHQAaABhAG4AZQBQAHIAbwBkAHUAYwB0AGkAbwBuAFAAZQByAEMAbABhAHMAcwBWAGEAcgBpAGEAdABpAG8AbgBcAG4AIAAgAD0ATABBAE0AQgBEAEEAKABcAG4AIAAgACAAIABNAGoAbQBUADEALAAgAE0AagBtAFQAMgAsAFwAbgAgACAAIAAgACAAUwBVAE0AKABNAGoAbQBUADEALAAgAE0AagBtAFQAMgApAFwAbgAgACAAKQA7AFwAbgBcAG4AVgBFAEUAUgBHAF8ANABfADUAXwAxAF8AMQBfAF8AMgBfAE0AZQB0AGgAYQBuAGUAUAByAG8AZAB1AGMAdABpAG8AbgBQAGUAcgBDAGwAYQBzAHMAXwBUAGkAdABsAGUAXABuACAAIAA9AEwAQQBNAEIARABBACgAXAAiAE0AZQB0AGgAYQBuAGUAIABwAHIAbwBkAHUAYwB0AGkAbwBuACAAZgByAG8AbQAgAHQAaABlACAAbQBhAG4AdQByAGUAIABvAGYAIABlAGEAYwBoACAAYwBsAGEAcwBzACAAbwBmACAAcwB3AGkAbgBlAFwAIgApADsAXABuAFwAbgBWAEUARQBSAEcAXwA0AF8ANQBfADEAXwAxAF8AXwAyAF8ATQBlAHQAaABhAG4AZQBQAHIAbwBkAHUAYwB0AGkAbwBuAFAAZQByAEMAbABhAHMAcwBfAFYAYQByAGkAYQBiAGwAZQBcAG4AIAAgAD0ATABBAE0AQgBEAEEAKABcACIATQBtAGoAXAAiACkAOwBcAG4AXABuAFYARQBFAFIARwBfADQAXwA1AF8AMQBfADEAXwBfADIAXwBNAGUAdABoAGEAbgBlAFAAcgBvAGQAdQBjAHQAaQBvAG4AUABlAHIAQwBsAGEAcwBzAF8AVQBuAGkAdABcAG4AIAAgAD0ATABBAE0AQgBEAEEAKABcACIAawBnACAAQwBIADQALwBoAGUAYQBkAC8AZABhAHkAXAAiACkAOwBcAG4AXABuAFYARQBFAFIARwBfADQAXwA1AF8AMQBfADEAXwBfADIAXwBNAGUAdABoAGEAbgBlAFAAcgBvAGQAdQBjAHQAaQBvAG4AUABlAHIAQwBsAGEAcwBzAF8AUwBvAHUAcgBjAGUAXABuACAAIAA9AEwAQQBNAEIARABBACgAXAAiAFYARQBFAFIARwAgADIAMAAyADYAOgAgADQALgA1AC4AMQAuADEALAAgAEUAcQB1AGEAdABpAG8AbgAgACgAMgApAFwAIgApADsAXABuAFwAbgBWAEUARQBSAEcAXwA0AF8ANQBfADEAXwAxAF8AXwAyAF8ATQBlAHQAaABhAG4AZQBQAHIAbwBkAHUAYwB0AGkAbwBuAFAAZQByAEMAbABhAHMAcwBfAE4ASQBSAFIAZQBmAGUAcgBlAG4AYwBlAFwAbgAgACAAPQBMAEEATQBCAEQAQQAoAFwAIgBcACIAKQA7AFwAbgBcAG4AVgBFAEUAUgBHAF8ANABfADUAXwAxAF8AMQBfAF8AMgBfAE0AZQB0AGgAYQBuAGUAUAByAG8AZAB1AGMAdABpAG8AbgBQAGUAcgBDAGwAYQBzAHMAXwBMAGEAdABlAHgARQBxAHUAYQB0AGkAbwBuAFwAbgAgACAAPQBMAEEATQBCAEQAQQAoAFwAIgBNAF8AewBtAGoAfQA9AFwAXABzAHUAbQBfAHsAbQB9AFwAXABzAHUAbQBfAHsAVAB9AE0AXwB7AGoAbQBUAH0AXAAiACkAOwBcAG4AXABuAFYARQBFAFIARwBfADQAXwA1AF8AMQBfADEAXwBfADIAXwBNAGUAdABoAGEAbgBlAFAAcgBvAGQAdQBjAHQAaQBvAG4AUABlAHIAQwBsAGEAcwBzAF8AQQByAGcAdQBtAGUAbgB0AHMAXABuACAAIAA9AEwAQQBNAEIARABBACgAXABuACAAIAAgACAATQBBAEsARQBBAFIAUgBBAFkAKAAxACwAIAAyACwAXABuACAAIAAgACAAIAAgAEwAQQBNAEIARABBACgAcgAsAGMALABcAG4AIAAgACAAIAAgACAAIAAgAEkATgBEAEUAWAAoAHsAXABuACAAIAAgACAAIAAgACAAIAAgACAAXAAiAE0AagBtAFQAXAAiACwAXAAiAG0AZQB0AGgAYQBuAGUAIABwAHIAbwBkAHUAYwB0AGkAbwBuACAAZgByAG8AbQAgAG0AYQBuAHUAcgBlACAAcABlAHIAIABjAGwAYQBzAHMALAAgAE0ATQBTACwAIABhAG4AZAAgAHQAcgBlAGEAdABtAGUAbgB0ACAAcwB0AGEAZwBlACAAOgAgAGsAZwAgAEMASAA0AC8AaABlAGEAZAAvAGQAYQB5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I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AgADoAIABrAGcALwBoAGUAYQBkAC8AZABhAHkAXAAiADsAXABuACAAIAAgACAAIAAgACAAIAAgACAAXAAiAEYAVgBTAGoAbQBUADEAXAAiACwAXAAiAGYAcgBhAGMAdABpAG8AbgAgAG8AZgAgAHYAbwBsAGEAdABpAGwAZQAgAHMAbwBsAGkAZABzACAAaQBuACAAZQBhAGMAaAAgAHAAcgBpAG0AYQByAHkAIABzAHkAcwB0AGUAbQAgADoAIABmAHIAYQBjAHQAaQBvAG4AXAAiADsAXABuACAAIAAgACAAIAAgACAAIAAgACAAXAAiAE0AQwBGAGkAbQBcACIALABcACIAbQBlAHQAaABhAG4AZQAgAGMAbwBuAHYAZQByAHMAaQBvAG4AIABmAGEAYwB0AG8AcgAgAGYAbwByACAAdABlAG0AcABlAHIAYQB0AGUAIAB6AG8AbgBlACAAYQBuAGQAIABzAHkAcwB0AGUAbQAgADoAIABmAHIAYQBjAHQAaQBvAG4AXAAiADsAXABuACAAIAAgACAAIAAgACAAIAAgACAAXAAiAEIATwBcACIALABcACIAZQBtAGkAcwBzAGkAbwBuAHMAIABwAG8AdABlAG4AdABpAGEAbAAgADoAIABtADMAIABDAEgANAAvAGsAZwAgAFYAUwBcACIAOwBcAG4AIAAgACAAIAAgACAAIAAgACAAIABcACIAcgBoAG8AXAAiACwAXAAiAGQAZQBuAHMAaQB0AHkAIABvAGYAIABtAGUAdABoAGEAbgBlACAAOgAgAGsAZwAvAG0AMw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y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IAA6ACAAZgByAGEAYwB0AGkAbwBuAFwAIgA7AFwAbgAgACAAIAAgACAAIAAgACAAIAAgAFwAIgBTAFMAbQBcACIALABcACIAZgByAGEAYwB0AGkAbwBuACAAbwBmACAAdgBvAGwAYQB0AGkAbABlACAAcwBvAGwAaQBkAHMAIABzAGUAcABhAHIAYQB0AGUAZAAgAHQAbwAgAHMAbwBsAGkAZAAgAHMAdABvAHIAYQBnAGUAIABmAG8AcgAgAGUAYQBjAGgAIABNAE0AUwAgADoAIABmAHIAYQBjAHQAaQBvAG4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I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IAA6ACAAZgByAGEAYwB0AGkAbwBuAFwAIgA7AFwAbgAgACAAIAAgACAAIAAgACAAIAAgAFwAIgBNAE0AUwBqAG0AMQA3ADkAVAAxAFwAIgAsAFwAIgBmAHIAYQBjAHQAaQBvAG4AIABvAGYAIABtAGEAbgB1AHIAZQAgAGkAbgAgAE0ATQBTACAAMQAsACAANwAsACAAYQBuAGQAIAA5ACAAaQBuACAAdAByAGUAYQB0AG0AZQBuAHQAIABzAHQAYQBnAGUAIAAxACAAOgAgAGYAcgBhAGMAdABpAG8AbgBcACIAOwBcAG4AIAAgACAAIAAgACAAIAAgACAAIABcACIAUwBTAG0AXAAiACwAXAAiAGYAcgBhAGMAdABpAG8AbgAgAG8AZgAgAHYAbwBsAGEAdABpAGwAZQAgAHMAbwBsAGkAZABzACAAcwBlAHAAYQByAGEAdABlAGQAIAB0AG8AIABzAG8AbABpAGQAIABzAHQAbwByAGEAZwBlACAAZgBvAHIAIABlAGEAYwBoACAATQBNAFMAIAA6ACAAZgByAGEAYwB0AGkAbwBu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I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AgADoAIABrAGcALwBoAGUAYQBkAC8AZABhAHkAXAAiADsAXABuACAAIAAgACAAIAAgACAAIAAgACAAXAAiAEIATwBcACIALABcACIAZQBtAGkAcwBzAGkAbwBuAHMAIABwAG8AdABlAG4AdABpAGEAbAAgADoAIABtADMAIABDAEgANAAvAGsAZwAgAFYAUwBcACIAOwBcAG4AIAAgACAAIAAgACAAIAAgACAAIABcACIATQBNAFMAagBtAFQAMgBcACIALABcACIAZgByAGEAYwB0AGkAbwBuACAAbwBmACAAbQBhAG4AdQByAGUAIABpAG4AIABlAGEAYwBoACAAcwBlAGMAbwBuAGQAYQByAHkAIABzAHkAcwB0AGUAbQAgADoAIABmAHIAYQBjAHQAaQBvAG4AXAAiADsAXABuACAAIAAgACAAIAAgACAAIAAgACAAXAAiAE0AQwBGAGkAbQBcACIALABcACIAbQBlAHQAaABhAG4AZQAgAGMAbwBuAHYAZQByAHMAaQBvAG4AIABmAGEAYwB0AG8AcgAgAGYAbwByACAAdABlAG0AcABlAHIAYQB0AGUAIAB6AG8AbgBlACAAYQBuAGQAIABzAHkAcwB0AGUAbQAgADoAIABmAHIAYQBjAHQAaQBvAG4AXAAiADsAXABuACAAIAAgACAAIAAgACAAIAAgACAAXAAiAHIAaABvAFwAIgAsAFwAIgBkAGUAbgBzAGkAdAB5ACAAbwBmACAAbQBlAHQAaABhAG4AZQAgADoAIABrAGcALwBtADMAXAAiADsAXABuACAAIAAgACAAIAAgACAAIAAgACAAXAAiAGkAXAAiACw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3AF8AVgBvAGwAYQB0AGkAbABlAFMAbwBsAGkAZABzAFQAcgBhAG4AcwBmAGUAcgByAGUAZABTAHQAYQBnAGUAMgBcAG4AVgBvAGwAYQB0AGkAbABlACAAcwBvAGwAaQBkAHMAIAB0AHIAYQBuAHMAZgBlAHIAcgBlAGQAIAB0AG8AIAB0AHIAZQBhAHQAbQBlAG4AdAAgAHMAdABhAGcAZQAgADIAIABNAE0AUwBcAG4AVgBTAFQAaQBqAG0AVAAyAFwAbgBrAGcAIABWAFMAXABuAFYAUwBUAF8AewBpAGoAbQAsAFQAPQAyAH0APQBWAFMAXwB7AGoAfQBcAFwAdABpAG0AZQBzACAARgBWAFMAXwB7AGoAbQAsAFQAPQAxAH0AXABcAHQAaQBtAGUAcwAoADEALQBWAFMATABfAHsAbQAsAFQAPQAxAH0AKQ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WAFMATA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UAXwAxAF8AMQBfAF8ANwBfAFYAbwBsAGEAdABpAGwAZQBTAG8AbABpAGQAcwBUAHIAYQBuAHMAZgBlAHIAcgBlAGQAUwB0AGEAZwBlADIAXABuACAAIAA9AEwAQQBNAEIARABBACgAXABuACAAIAAgACAAVgBTAGoALAAgAEYAVgBTAGoAbQBUADEALAAgAFYAUwBMAG0AVAAxACwAXABuACAAIAAgACAAVgBTAGoAIAAqACAARgBWAFMAagBtAFQAMQAgACoAIAAoADEAIAAtACAAVgBTAEwAbQBUADEAKQBcAG4AIAAgACkAOwBcAG4AXABuAFYARQBFAFIARwBfADQAXwA1AF8AMQBfADEAXwBfADcAXwBWAG8AbABhAHQAaQBsAGUAUwBvAGwAaQBkAHMAVAByAGEAbgBzAGYAZQByAHIAZQBkAFMAdABhAGcAZQAyAF8AVABpAHQAbABlAFwAbgAgACAAPQBMAEEATQBCAEQAQQAoAFwAIgBWAG8AbABhAHQAaQBsAGUAIABzAG8AbABpAGQAcwAgAHQAcgBhAG4AcwBmAGUAcgByAGUAZAAgAHQAbwAgAHQAcgBlAGEAdABtAGUAbgB0ACAAcwB0AGEAZwBlACAAMgAgAE0ATQBTAFwAIgApADsAXABuAFwAbgBWAEUARQBSAEcAXwA0AF8ANQBfADEAXwAxAF8AXwA3AF8AVgBvAGwAYQB0AGkAbABlAFMAbwBsAGkAZABzAFQAcgBhAG4AcwBmAGUAcgByAGUAZABTAHQAYQBnAGUAMgBfAFYAYQByAGkAYQBiAGwAZQBcAG4AIAAgAD0ATABBAE0AQgBEAEEAKABcACIAVgBTAFQAaQBqAG0AVAAyAFwAIgApADsAXABuAFwAbgBWAEUARQBSAEcAXwA0AF8ANQBfADEAXwAxAF8AXwA3AF8AVgBvAGwAYQB0AGkAbABlAFMAbwBsAGkAZABzAFQAcgBhAG4AcwBmAGUAcgByAGUAZABTAHQAYQBnAGUAMgBfAFUAbgBpAHQAXABuACAAIAA9AEwAQQBNAEIARABBACgAXAAiAGsAZwAgAFYAUwBcACIAKQA7AFwAbgBcAG4AVgBFAEUAUgBHAF8ANABfADUAXwAxAF8AMQBfAF8ANwBfAFYAbwBsAGEAdABpAGwAZQBTAG8AbABpAGQAcwBUAHIAYQBuAHMAZgBlAHIAcgBlAGQAUwB0AGEAZwBlADIAXwBTAG8AdQByAGMAZQBcAG4AIAAgAD0ATABBAE0AQgBEAEEAKABcACIAVgBFAEUAUgBHACAAMgAwADIANgA6ACAANAAuADUALgAxAC4AMQAsACAARQBxAHUAYQB0AGkAbwBuACAAKAA3ACkAXAAiACkAOwBcAG4AXABuAFYARQBFAFIARwBfADQAXwA1AF8AMQBfADEAXwBfADcAXwBWAG8AbABhAHQAaQBsAGUAUwBvAGwAaQBkAHMAVAByAGEAbgBzAGYAZQByAHIAZQBkAFMAdABhAGcAZQAyAF8ATgBJAFIAUgBlAGYAZQByAGUAbgBjAGUAXABuACAAIAA9AEwAQQBNAEIARABBACgAXAAiAFwAIgApADsAXABuAFwAbgBWAEUARQBSAEcAXwA0AF8ANQBfADEAXwAxAF8AXwA3AF8AVgBvAGwAYQB0AGkAbABlAFMAbwBsAGkAZABzAFQAcgBhAG4AcwBmAGUAcgByAGUAZABTAHQAYQBnAGUAMgBfAEwAYQB0AGUAeABFAHEAdQBhAHQAaQBvAG4AXABuACAAIAA9AEwAQQBNAEIARABBACgAXAAiAFYAUwBUAF8AewBpAGoAbQAsAFQAPQAyAH0APQBWAFMAXwB7AGoAfQBcAFwAdABpAG0AZQBzACAARgBWAFMAXwB7AGoAbQAsAFQAPQAxAH0AXABcAHQAaQBtAGUAcwAoADEALQBWAFMATABfAHsAbQAsAFQAPQAxAH0AKQBcACIAKQA7AFwAbgBcAG4AVgBFAEUAUgBHAF8ANABfADUAXwAxAF8AMQBfAF8ANwBfAFYAbwBsAGEAdABpAGwAZQBTAG8AbABpAGQAcwBUAHIAYQBuAHMAZgBlAHIAcgBlAGQAUwB0AGEAZwBlADIAXwBBAHIAZwB1AG0AZQBuAHQAcwBcAG4AIAAgAD0ATABBAE0AQgBEAEEAKABcAG4AIAAgACAAIABNAEEASwBFAEEAUgBSAEEAWQAoADMALAAgADI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AgADoAIABrAGcALwBoAGUAYQBkAC8AZABhAHkAXAAiADsAXABuACAAIAAgACAAIAAgACAAIAAgACAAXAAiAEYAVgBTAGoAbQBUADEAXAAiACwAXAAiAGYAcgBhAGMAdABpAG8AbgAgAG8AZgAgAHYAbwBsAGEAdABpAGwAZQAgAHMAbwBsAGkAZABzACAAaQBuACAAZQBhAGMAaAAgAHAAcgBpAG0AYQByAHkAIABzAHkAcwB0AGUAbQAgADoAIABmAHIAYQBjAHQAaQBvAG4AXAAiADsAXABuACAAIAAgACAAIAAgACAAIAAgACAAXAAiAFYAUwBMAG0AVAAxAFwAIgAsAFwAIgBmAHIAYQBjAHQAaQBvAG4AIABvAGYAIAB2AG8AbABhAHQAaQBsAGUAIABzAG8AbABpAGQAcwAgAGwAbwBzAHQAIABkAHUAcgBpAG4AZwAgAHMAdABvAHIAYQBnAGUAIABpAG4AIAB0AGgAZQAgAHAAcgBpAG0AYQByAHkAIABzAHkAcwB0AGUAbQAgADoAIABmAHIAYQBjAHQAaQBvAG4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y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IAAoAGsAZwAgAE4AKQBcACIAOwBcAG4AIAAgACAAIAAgACAAIAAgACAAIABcACIARQBGAF8AagBtAFwAIgAsACAAXAAiAG4AaQB0AHIAbwB1AHMAIABvAHgAaQBkAGUAIABlAG0AaQBzAHMAaQBvAG4AIABmAGEAYwB0AG8AcgAgAGYAbwByACAATQBNAFMAIAAoAGsAZwAgAE4AMgBPAC0ATgAvAGsAZwAgAE4AKQBcACIAOwBcAG4AIAAgACAAIAAgACAAIAAgACAAIABcACIAQwBfAE4AMgBPAFwAIgAsACAAXAAiAGYAYQBjAHQAbwByACAAdABvACAAYwBvAG4AdgBlAHIAdAAgAGUAbABlAG0AZQBuAHQAYQBsACAAbQBhAHMAcwAgAG8AZgAgAG4AaQB0AHIAbwB1AHMAIABvAHgAaQBkAGU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MgBfAFMAdABhAGcAZQAxAE4AaQB0AHIAbwBnAGUAbgBJAG4ATQBNAFMAXABuAE4AaQB0AHIAbwBnAGUAbgAgAGkAbgAgAHQAcgBlAGEAdABtAGUAbgB0ACAAcwB0AGEAZwBlACAAMQAgAE0ATQBTAFwAbgBNAE4AXwBqAG0AVAAxAFwAbgBrAGcAIABOAFwAbgBNAE4AXwB7AGoAbQAsAFQAPQAxAH0APQBBAEUAXwB7AGoAfQBcAFwAdABpAG0AZQBzACAARgBOAF8AewBqAG0ALABUAD0AMQB9AFwAbgBBAEUAXwBqACAAPQAgAHQAbwB0AGEAbAAgAG4AaQB0AHIAbwBnAGUAbgAgAGUAeABjAHIAZQB0AGUAZAAgAGIAeQAgAGUAYQBjAGgAIABzAHcAaQBuAGUAIABjAGwAYQBzAHMAIAAoAGsAZwAgAE4AKQBcAG4ARgBOAF8AagBtAFQAMQAgAD0AIABmAHIAYQBjAHQAaQBvAG4AIABvAGYAIABuAGkAdAByAG8AZwBlAG4AIABpAG4AIABlAGEAYwBoACAAcAByAGkAbQBhAHIAeQAgAE0ATQBTACAAcwB5AHMAdABlAG0AXABuAC0ALQAtAC0ALQAtAC0ALQAtAC0ALQAtAC0ALQAtAC0ALQAtAC0ALQAtAC0ALQAtAC0ALQAtAC0ALQAtAC0ALQAtAC0ALQAtAC0ALQBcAG4AKgAvAFwAbgBcAG4AVgBFAEUAUgBHAF8ANABfADUAXwAxAF8AMwBfAF8AMgBfAFMAdABhAGcAZQAxAE4AaQB0AHIAbwBnAGUAbgBJAG4ATQBNAFMAXABuACAAIAA9AEwAQQBNAEIARABBACgAXABuACAAIAAgACAAQQBFAF8AagAsACAARgBOAF8AagBtAFQAMQAsAFwAbgAgACAAIAAgAEEARQBfAGoAIAAqACAARgBOAF8AagBtAFQAMQBcAG4AIAAgACkAOwBcAG4AXABuAFYARQBFAFIARwBfADQAXwA1AF8AMQBfADMAXwBfADIAXwBTAHQAYQBnAGUAMQBOAGkAdAByAG8AZwBlAG4ASQBuAE0ATQBTAF8AVABpAHQAbABlAFwAbgAgACAAPQBMAEEATQBCAEQAQQAoAFwAIgBOAGkAdAByAG8AZwBlAG4AIABpAG4AIAB0AHIAZQBhAHQAbQBlAG4AdAAgAHMAdABhAGcAZQAgADEAIABNAE0AUwBcACIAKQA7AFwAbgBcAG4AVgBFAEUAUgBHAF8ANABfADUAXwAxAF8AMwBfAF8AMgBfAFMAdABhAGcAZQAxAE4AaQB0AHIAbwBnAGUAbgBJAG4ATQBNAFMAXwBWAGEAcgBpAGEAYgBsAGUAXABuACAAIAA9AEwAQQBNAEIARABBACgAXAAiAE0ATgBfAGoAbQBUADEAXAAiACkAOwBcAG4AXABuAFYARQBFAFIARwBfADQAXwA1AF8AMQBfADMAXwBfADIAXwBTAHQAYQBnAGUAMQBOAGkAdAByAG8AZwBlAG4ASQBuAE0ATQBTAF8AVQBuAGkAdABcAG4AIAAgAD0ATABBAE0AQgBEAEEAKABcACIAawBnACAATgBcACIAKQA7AFwAbgBcAG4AVgBFAEUAUgBHAF8ANABfADUAXwAxAF8AMwBfAF8AMgBfAFMAdABhAGcAZQAxAE4AaQB0AHIAbwBnAGUAbgBJAG4ATQBNAFMAXwBTAG8AdQByAGMAZQBcAG4AIAAgAD0ATABBAE0AQgBEAEEAKABcACIAVgBFAEUAUgBHACAAMgAwADIANgA6ACAANAAuADUALgAxAC4AMwAsACAARQBxAHUAYQB0AGkAbwBuACAAKAAyACkAXAAiACkAOwBcAG4AXABuAFYARQBFAFIARwBfADQAXwA1AF8AMQBfADMAXwBfADIAXwBTAHQAYQBnAGUAMQBOAGkAdAByAG8AZwBlAG4ASQBuAE0ATQBTAF8ATgBJAFIAUgBlAGYAZQByAGUAbgBjAGUAXABuACAAIAA9AEwAQQBNAEIARABBACgAXAAiAFwAIgApADsAXABuAFwAbgBWAEUARQBSAEcAXwA0AF8ANQBfADEAXwAzAF8AXwAyAF8AUwB0AGEAZwBlADEATgBpAHQAcgBvAGcAZQBuAEkAbgBNAE0AUwBfAEwAYQB0AGUAeABFAHEAdQBhAHQAaQBvAG4AXABuACAAIAA9AEwAQQBNAEIARABBACgAXAAiAE0ATgBfAHsAagBtACwAVAA9ADEAfQA9AEEARQBfAHsAagB9AFwAXAB0AGkAbQBlAHMAIABGAE4AXwB7AGoAbQAsAFQAPQAxAH0AXAAiACkAOwBcAG4AXABuAFYARQBFAFIARwBfADQAXwA1AF8AMQBfADMAXwBfADIAXwBTAHQAYQBnAGUAMQBOAGkAdAByAG8AZwBlAG4ASQBuAE0ATQBTAF8AQQByAGcAdQBtAGUAbgB0AHMAXABuACAAIAA9AEwAQQBNAEIARABBACgAXABuACAAIAAgACAATQBBAEsARQBBAFIAUgBBAFkAKAAyACwAIAAyACwAXABuACAAIAAgACAAIAAgAEwAQQBNAEIARABBACgAcgAsAGMALABcAG4AIAAgACAAIAAgACAAIAAgAEkATgBEAEUAWAAoAHsAXABuACAAIAAgACAAIAAgACAAIAAgACAAXAAiAEEARQBfAGoAXAAiACwAIABcACIAdABvAHQAYQBsACAAbgBpAHQAcgBvAGcAZQBuACAAZQB4AGMAcgBlAHQAZQBkACAAYgB5ACAAZQBhAGMAaAAgAHMAdwBpAG4AZQAgAGMAbABhAHMAcwAgACgAawBnACAATgApAFwAIgA7AFwAbgAgACAAIAAgACAAIAAgACAAIAAgAFwAIgBGAE4AXwBqAG0AVAAxAFwAIgAsACAAXAAiAGYAcgBhAGMAdABpAG8AbgAgAG8AZgAgAG4AaQB0AHIAbwBnAGUAbgAgAGkAbgAgAGUAYQBjAGgAIABwAHIAaQBtAGEAcgB5ACAATQBNAFMAIABzAHkAcwB0AGUAb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IALABcAG4AIAAgACAAIAAgACAATABBAE0AQgBEAEEAKAByACwAYwAsAFwAbgAgACAAIAAgACAAIAAgACAASQBOAEQARQBYACgAewBcAG4AIAAgACAAIAAgACAAIAAgACAAIABcACIATQBNAFMAXwBqAG0AVAAxAFwAIgAsACAAXAAiAGYAcgBhAGMAdABpAG8AbgAgAG8AZgAgAG0AYQBuAHUAcgBlACAAaQBuACAAcAByAGkAbQBhAHIAeQAgAE0ATQBTAFwAIgA7AFwAbgAgACAAIAAgACAAIAAgACAAIAAgAFwAIgBTAE4AXwBtAFwAIgAsACAAXAAiAGYAcgBhAGMAdABpAG8AbgAgAG8AZgAgAG4AaQB0AHIAbwBnAGUAbgAgAHMAZQBwAGEAcgBhAHQAZQBkACAAdABvACAAcwBvAGwAaQBkACAAcwB0AG8AcgBhAGcAZQAgAGYAbwByACAAZQBhAGMAaAAgAE0ATQBT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I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DsAXABuACAAIAAgACAAIAAgACAAIAAgACAAXAAiAE0ATQBTAF8AagBtADEANwA5AFQAMQBcACIALAAgAFwAIgBmAHIAYQBjAHQAaQBvAG4AIABvAGYAIABtAGEAbgB1AHIAZQAgAGkAbgAgAHAAcgBpAG0AYQByAHkAIABsAGkAcQB1AGkAZAAgAHMAeQBzAHQAZQBtAHMAIAAoAG0APQAxACwANwAsADkAKQBcACIAOwBcAG4AIAAgACAAIAAgACAAIAAgACAAIABcACIAUwBOAF8AbQBcACIALAAgAFwAIgBmAHIAYQBjAHQAaQBvAG4AIABvAGYAIABuAGkAdAByAG8AZwBlAG4AIABzAGUAcABhAHIAYQB0AGUAZAAgAHQAbwAgAHMAbwBsAGkAZAAgAHMAdABvAHIAYQBnAGUAIABmAG8AcgAgAGUAYQBjAGgAIABNAE0AUw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IALABcAG4AIAAgACAAIAAgACAATABBAE0AQgBEAEEAKAByACwAYwAsAFwAbgAgACAAIAAgACAAIAAgACAASQBOAEQARQBYACgAewBcAG4AIAAgACAAIAAgACAAIAAgACAAIABcACIATgBfAGoAXAAiACwAIABcACIAbgB1AG0AYgBlAHIAIABvAGYAIABzAHcAaQBuAGUAIABpAG4AIABlAGEAYwBoACAAZwByAG8AdQBwACAAKABoAGUAYQBkACkAXAAiADsAXABuACAAIAAgACAAIAAgACAAIAAgACAAXAAiAE4AVwBfAGoAXAAiACwAIABcACIAbgBpAHQAcgBvAGcAZQBuACAAcAByAG8AZAB1AGMAZQBkACAAaQBuACAAcwB3AGkAbgBlACAAbQBhAG4AdQByAGUAIABhAG4AZAAgAHcAYQBzAHQAZQAgAGYAZQBlAGQAIABpAG4AIABlAGEAYwBoACAAYwBsAGEAcwBzACAAKABrAGcAIABOAC8AaABlAGEAZAAvAGQAYQB5ACkAXAAiADsAXABuACAAIAAgACAAIAAgACAAIAAgACAAXAAiAEQAXwBqAFwAIgAsACAAXAAiAGQAdQByAGEAdABpAG8AbgAgAG8AZgAgAHMAdABhAHkAIABvAGYAIABzAHcAaQBuAGUAIABnAHIAbwB1AHA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I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IAAoAGsAZwAgAE4AKQBcACIAOwBcAG4AIAAgACAAIAAgACAAIAAgACAAIABcACIATQBNAFMAXwBqAG0AVAAyAFwAIgAsACAAXAAiAGYAcgBhAGMAdABpAG8AbgAgAG8AZgAgAG0AYQBuAHUAcgBlACAAaQBuACAAZQBhAGMAaAAgAHMAZQBjAG8AbgBkAGEAcgB5ACAAcwB5AHMAdABlAG0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I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CAAKABrAGcAIABOACkAXAAiADsAXABuACAAIAAgACAAIAAgACAAIAAgACAAXAAiAEYAcgBhAGMARwBBAFMATQBtAFQAMQBcACIALAAgAFwAIgBmAHIAYQBjAHQAaQBvAG4AIABvAGYAIABOACAAdgBvAGwAYQB0AGkAbABpAHMAZQBkACAAZgByAG8AbQAgAE0ATQBTACAAdAByAGUAYQB0AG0AZQBuAHQAIABhAHQAIABzAHQAYQBnAGUAIAAxAFwAIgA7AFwAbgAgACAAIAAgACAAIAAgACAAIAAgAFwAIgBFAEYAXwBtAFQAMQBcACIALAAgAFwAIgBuAGkAdAByAG8AdQBzACAAbwB4AGkAZABlACAAZQBtAGkAcwBzAGkAbwBuACAAZgBhAGMAdABvAHIAIABmAG8AcgAgAE0ATQBTACAAdAByAGUAYQB0AG0AZQBuAHQAIABhAHQAIABzAHQAYQBnAGUAIAAx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IALABcAG4AIAAgACAAIAAgACAATABBAE0AQgBEAEEAKAByACwAYwAsAFwAbgAgACAAIAAgACAAIAAgACAASQBOAEQARQBYACgAewBcAG4AIAAgACAAIAAgACAAIAAgACAAIABcACIATQBNAFMAXwBBAFQATQBPAFMAXAAiACwAIABcACIAbQBhAHMAcwAgAG8AZgAgAE4AIAB2AG8AbABhAHQAaQBsAGkAcwBlAGQAIABmAHIAbwBtACAATQBNAFM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UAXwAxAF8ANQBfAF8AMgBfAFQAbwB0AGEAbABOAGkAdAByAG8AZwBlAG4AVgBvAGwAYQB0AGkAbABpAHMAZQBkAEYAcgBvAG0ATQBNAFMAXABuAFQAbwB0AGEAbAAgAG4AaQB0AHIAbwBnAGUAbgAgAHYAbwBsAGEAdABpAGwAaQBzAGUAZAAgAGYAcgBvAG0AIABNAE0AUw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HAAZQByACAAcwB3AGkAbgBlACAAYwBsAGEAcwBzACwAIABNAE0AUwAgAGEAbgBkACAAdAByAGUAYQB0AG0AZQBuAHQAIABzAHQAYQBnAGUAIAAoAGsAZwAgAE4AKQBcAG4ARgByAGEAYwBHAEEAUwBNAG0AVAAgAD0AIABmAHIAYQBjAHQAaQBvAG4AIABvAGYAIABOACAAdgBvAGwAYQB0AGkAbABpAHMAZQBkACAAaQBuACAAZQBhAGMAaAAgAE0ATQBTACAAKAAoAGsAZwAgAE4ASAAzAC0ATgAgACsAIABOAE8AeAAtAE4AKQAvAGsAZwAgAE4AKQBcAG4ALQAtAC0ALQAtAC0ALQAtAC0ALQAtAC0ALQAtAC0ALQAtAC0ALQAtAC0ALQAtAC0ALQAtAC0ALQAtAC0ALQAtAC0ALQAtAC0ALQAtAFwAbgAqAC8AXABuAFwAbgBWAEUARQBSAEcAXwA0AF8ANQBfADEAXwA1AF8AXwAyAF8AVABvAHQAYQBsAE4AaQB0AHIAbwBnAGUAbgBWAG8AbABhAHQAaQBsAGkAcwBlAGQARgByAG8AbQBNAE0AUwBcAG4AIAAgAD0ATABBAE0AQgBEAEEAKABcAG4AIAAgACAAIABNAE4AXwBqAG0AVAAsACAARgByAGEAYwBHAEEAUwBNAG0AVAAsAFwAbgAgACAAIAAgAE0ATgBfAGoAbQBUACAAKgAgAEYAcgBhAGMARwBBAFMATQBtAFQAXABuACAAIAApADsAXABuAFwAbgBWAEUARQBSAEcAXwA0AF8ANQ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NQBfADEAXwA1AF8AXwAyAF8AVABvAHQAYQBsAE4AaQB0AHIAbwBnAGUAbgBWAG8AbABhAHQAaQBsAGkAcwBlAGQARgByAG8AbQBNAE0AUwBfAFYAYQByAGkAYQBiAGwAZQBcAG4AIAAgAD0ATABBAE0AQgBEAEEAKABcACIATQBNAFMAXwBBAFQATQBPAFMAXAAiACkAOwBcAG4AXABuAFYARQBFAFIARwBfADQAXwA1AF8AMQBfADUAXwBfADIAXwBUAG8AdABhAGwATgBpAHQAcgBvAGcAZQBuAFYAbwBsAGEAdABpAGwAaQBzAGUAZABGAHIAbwBtAE0ATQBTAF8AVQBuAGkAdABcAG4AIAAgAD0ATABBAE0AQgBEAEEAKABcACIAawBnACAATgBcACIAKQA7AFwAbgBcAG4AVgBFAEUAUgBHAF8ANABfADUAXwAxAF8ANQBfAF8AMgBfAFQAbwB0AGEAbABOAGkAdAByAG8AZwBlAG4AVgBvAGwAYQB0AGkAbABpAHMAZQBkAEYAcgBvAG0ATQBNAFMAXwBTAG8AdQByAGMAZQBcAG4AIAAgAD0ATABBAE0AQgBEAEEAKABcACIAVgBFAEUAUgBHACAAMgAwADIANgA6ACAANAAuADUALgAxAC4AMQAsACAARQBxAHUAYQB0AGkAbwBuACAAKAAyACkAXAAiACkAOwBcAG4AXABuAFYARQBFAFIARwBfADQAXwA1AF8AMQBfADUAXwBfADIAXwBUAG8AdABhAGwATgBpAHQAcgBvAGcAZQBuAFYAbwBsAGEAdABpAGwAaQBzAGUAZABGAHIAbwBtAE0ATQBTAF8ATgBJAFIAUgBlAGYAZQByAGUAbgBjAGUAXABuACAAIAA9AEwAQQBNAEIARABBACgAXAAiAFwAIgApADsAXABuAFwAbgBWAEUARQBSAEcAXwA0AF8ANQBfADEAXwA1AF8AXwAyAF8AVABvAHQAYQBsAE4AaQB0AHIAbwBnAGUAbgBWAG8AbABhAHQAaQBsAGkAcwBlAGQARgByAG8AbQBNAE0AUw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1AF8AMQBfADUAXwBfADIAXwBUAG8AdABhAGwATgBpAHQAcgBvAGcAZQBuAFYAbwBsAGEAdABpAGwAaQBzAGUAZABGAHIAbwBtAE0ATQBTAF8AQQByAGcAdQBtAGUAbgB0AHMAXABuACAAIAA9AEwAQQBNAEIARABBACgAXABuACAAIAAgACAATQBBAEsARQBBAFIAUgBBAFkAKAAyACwAIAAy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IAAoAGsAZwAgAE4AKQBcACIAOwBcAG4AIAAgACAAIAAgACAAIAAgACAAIABcACIARgByAGEAYwBHAEEAUwBNAG0AVABcACIALAAgAFwAIgBmAHIAYQBjAHQAaQBvAG4AIABvAGYAIABOACAAdgBvAGwAYQB0AGkAbABpAHMAZQBkACAAaQBuACAAZQBhAGMAaAAgAE0ATQBTACAAKAAoAGsAZwAgAE4ASAAzAC0ATgAgACsAIABOAE8AeAAtAE4AKQAvAGsAZwAgAE4AKQ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Mg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AgACgAawBnACAATgApAFwAIgA7AFwAbgAgACAAIAAgACAAIAAgACAAIAAgAFwAIgBFAEYAXwBsAGUAYQBjAGgAXAAiACwAIABcACIAZQBtAGkAcwBzAGkAbwBuACAAZgBhAGMAdABvAHIAIABmAG8AcgAgAGwAZQBhAGMAaABpAG4AZwAgAGEAbgBkACAAcgB1AG4AbwBmAGYAIAAoAGsAZwAgAE4AMgBPAC0ATgAvAGsAZwAgAE4AKQBcACIAOwBcAG4AIAAgACAAIAAgACAAIAAgACAAIABcACIAQwBfAE4AMgBPAFwAIgAsACAAXAAiAGYAYQBjAHQAbwByACAAdABvACAAYwBvAG4AdgBlAHIAdAAgAGUAbABlAG0AZQBuAHQAYQBsACAAbQBhAHMAcwAgAG8AZgAgAE4AMgBPACAAdABvACAAbQBvAGwAZQBjAHUAbABhAHIAIABtAGEAcwBzAFwAIgBcAG4AIAAgACAAIAAgACAAIAAgAH0ALAAgAHIALAAgAGMAKQBcAG4AIAAgACAAIAAgACAAKQBcAG4AIAAgACAAIAApAFwAbgAgACAAKQA7AFwAbgBcAG4ALwAqAFwAbgAtAC0ALQAtAC0ALQAtAC0ALQAtAC0ALQAtAC0ALQAtAC0ALQAtAC0ALQAtAC0ALQAtAC0ALQAtAC0ALQAtAC0ALQAtAC0ALQAtAC0AXABuAFYARQBFAFIARwBfADQAXwA1AF8AMQBfADcAXwBfADIAXwBNAGEAcwBzAE8AZgBOAGkAdAByAG8AZwBlAG4ATABvAHMAdABUAG8ATABlAGEAYwBoAGkAbgBnAEEAbgBkAFIAdQBuAG8AZgBmAEYAcgBvAG0ARAByAHkAbABvAHQATQBNAFMAXABuAE0AYQBzAHMAIABvAGYAIABuAGkAdAByAG8AZwBlAG4AIABsAG8AcwB0ACAAdABvACAAbABlAGEAYwBoAGkAbgBnACAAYQBuAGQAIAByAHUAbgBvAGYAZgAgAGYAcgBvAG0AIABkAHIAeQBsAG8AdAAgAE0ATQBTAFwAbgBNAE4ATABlAGEAYwBoAF8AagBtADUAXABuAGsAZwAgAE4AXABuAE0ATgBMAGUAYQBjAGgAXwB7AGoAbQA9ADUAfQA9AE0ATgBfAHsAagBtAD0ANQAsAFQAPQAxAH0AXABcAHQAaQBtAGUAcwAgAEYAcgBhAGMAVwBFAFQAXABcAHQAaQBtAGUAcwAgAEYAcgBhAGMATABFAEEAQwBIAF8AewBNAFMAfQBcAG4ATQBOAF8AagBtADUAVAAxACAAPQAgAG4AaQB0AHIAbwBnAGUAbgAgAGkAbgAgAHQAcgBlAGEAdABtAGUAbgB0ACAAcwB0AGEAZwBlACAAMQAgAGQAcgB5AGwAbwB0ACAATQBNAFMAIAAoAGsAZwAgAE4AKQBcAG4ARgByAGEAYwBXAEUAVA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UAXwAxAF8ANwBfAF8AMgBfAE0AYQBzAHMATwBmAE4AaQB0AHIAbwBnAGUAbgBMAG8AcwB0AFQAbwBMAGUAYQBjAGgAaQBuAGcAQQBuAGQAUgB1AG4AbwBmAGYARgByAG8AbQBEAHIAeQBsAG8AdABNAE0AUwBcAG4AIAAgAD0ATABBAE0AQgBEAEEAKABcAG4AIAAgACAAIABNAE4AXwBqAG0ANQBUADEALAAgAEYAcgBhAGMAVwBFAFQALAAgAEYAcgBhAGMATABFAEEAQwBIAF8ATQBTACwAXABuACAAIAAgACAATQBOAF8AagBtADUAVAAxACAAKgAgAEYAcgBhAGMAVwBFAFQAIAAqACAARgByAGEAYwBMAEUAQQBDAEgAXwBNAFMAXABuACAAIAApADsAXABuAFwAbgBWAEUARQBSAEcAXwA0AF8ANQBfADEAXwA3AF8AXwAyAF8ATQBhAHMAcwBPAGYATgBpAHQAcgBvAGcAZQBuAEwAbwBzAHQAVABvAEwAZQBhAGMAaABpAG4AZwBBAG4AZABSAHUAbgBvAGYAZgBGAHIAbwBtAEQAcgB5AGwAbwB0AE0ATQBTAF8AVABpAHQAbABlAFwAbgAgACAAPQBMAEEATQBCAEQAQQAoAFwAIgBNAGEAcwBzACAAbwBmACAAbgBpAHQAcgBvAGcAZQBuACAAbABvAHMAdAAgAHQAbwAgAGwAZQBhAGMAaABpAG4AZwAgAGEAbgBkACAAcgB1AG4AbwBmAGYAIABmAHIAbwBtACAAZAByAHkAbABvAHQAIABNAE0AUwBcACIAKQA7AFwAbgBcAG4AVgBFAEUAUgBHAF8ANABfADUAXwAxAF8ANwBfAF8AMgBfAE0AYQBzAHMATwBmAE4AaQB0AHIAbwBnAGUAbgBMAG8AcwB0AFQAbwBMAGUAYQBjAGgAaQBuAGcAQQBuAGQAUgB1AG4AbwBmAGYARgByAG8AbQBEAHIAeQBsAG8AdABNAE0AUwBfAFYAYQByAGkAYQBiAGwAZQBcAG4AIAAgAD0ATABBAE0AQgBEAEEAKABcACIATQBOAEwAZQBhAGMAaABfAGoAbQA1AFwAIgApADsAXABuAFwAbgBWAEUARQBSAEcAXwA0AF8ANQBfADEAXwA3AF8AXwAyAF8ATQBhAHMAcwBPAGYATgBpAHQAcgBvAGcAZQBuAEwAbwBzAHQAVABvAEwAZQBhAGMAaABpAG4AZwBBAG4AZABSAHUAbgBvAGYAZgBGAHIAbwBtAEQAcgB5AGwAbwB0AE0ATQBTAF8AVQBuAGkAdABcAG4AIAAgAD0ATABBAE0AQgBEAEEAKABcACIAawBnACAATgBcACIAKQA7AFwAbgBcAG4AVgBFAEUAUgBHAF8ANABfADUAXwAxAF8ANwBfAF8AMgBfAE0AYQBzAHMATwBmAE4AaQB0AHIAbwBnAGUAbgBMAG8AcwB0AFQAbwBMAGUAYQBjAGgAaQBuAGcAQQBuAGQAUgB1AG4AbwBmAGYARgByAG8AbQBEAHIAeQBsAG8AdABNAE0AUwBfAFMAbwB1AHIAYwBlAFwAbgAgACAAPQBMAEEATQBCAEQAQQAoAFwAIgBWAEUARQBSAEcAIAAyADAAMgA2ADoAIAA0AC4ANQAuADEALgA3ACwAIABFAHEAdQBhAHQAaQBvAG4AIAAoADIAKQBcACIAKQA7AFwAbgBcAG4AVgBFAEUAUgBHAF8ANABfADUAXwAxAF8ANwBfAF8AMgBfAE0AYQBzAHMATwBmAE4AaQB0AHIAbwBnAGUAbgBMAG8AcwB0AFQAbwBMAGUAYQBjAGgAaQBuAGcAQQBuAGQAUgB1AG4AbwBmAGYARgByAG8AbQBEAHIAeQBsAG8AdABNAE0AUwBfAE4ASQBSAFIAZQBmAGUAcgBlAG4AYwBlAFwAbgAgACAAPQBMAEEATQBCAEQAQQAoAFwAIgBcACIAKQA7AFwAbgBcAG4AVgBFAEUAUgBHAF8ANABfADUAXwAxAF8ANwBfAF8AMgBfAE0AYQBzAHMATwBmAE4AaQB0AHIAbwBnAGUAbgBMAG8AcwB0AFQAbwBMAGUAYQBjAGgAaQBuAGcAQQBuAGQAUgB1AG4AbwBmAGYARgByAG8AbQBEAHIAeQBsAG8AdABNAE0AUwBfAEwAYQB0AGUAeABFAHEAdQBhAHQAaQBvAG4AXABuACAAIAA9AEwAQQBNAEIARABBACgAXAAiAE0ATgBMAGUAYQBjAGgAXwB7AGoAbQA9ADUAfQA9AE0ATgBfAHsAagBtAD0ANQAsAFQAPQAxAH0AXABcAHQAaQBtAGUAcwAgAEYAcgBhAGMAVwBFAFQAXABcAHQAaQBtAGUAcwAgAEYAcgBhAGMATABFAEEAQwBIAF8AewBNAFMAfQBcACIAKQA7AFwAbgBcAG4AVgBFAEUAUgBHAF8ANABfADUAXwAxAF8ANwBfAF8AMgBfAE0AYQBzAHMATwBmAE4AaQB0AHIAbwBnAGUAbgBMAG8AcwB0AFQAbwBMAGUAYQBjAGgAaQBuAGcAQQBuAGQAUgB1AG4AbwBmAGYARgByAG8AbQBEAHIAeQBsAG8AdABNAE0AUwBfAEEAcgBnAHUAbQBlAG4AdABzAFwAbgAgACAAPQBMAEEATQBCAEQAQQAoAFwAbgAgACAAIAAgAE0AQQBLAEUAQQBSAFIAQQBZACgANgAsACAAMgAsAFwAbgAgACAAIAAgACAAIABMAEEATQBCAEQAQQAoAHIALABjACwAXABuACAAIAAgACAAIAAgACAAIABJAE4ARABFAFgAKAB7AFwAbgAgACAAIAAgACAAIAAgACAAIAAgAFwAIgBNAE4AXwBqAG0ANQBUADEAXAAiACwAIABcACIAbgBpAHQAcgBvAGcAZQBuACAAaQBuACAAdAByAGUAYQB0AG0AZQBuAHQAIABzAHQAYQBnAGUAIAAxACAAZAByAHkAbABvAHQAIABNAE0AUwAgACgAawBnACAATgApAFwAIgA7AFwAbgAgACAAIAAgACAAIAAgACAAIAAgAFwAIgBGAHIAYQBjAFcARQBUAFwAIgAsACAAXAAiAGYAcgBhAGMAdABpAG8AbgAgAG8AZgAgAE4AIABhAHYAYQBpAGwAYQBiAGwAZQAgAGYAbwByACAAbABlAGEAYwBoAGkAbgBnACAAYQBuAGQAIAByAHUAbgBvAGYAZgBcACIAOwBcAG4AIAAgACAAIAAgACAAIAAgACAAIABcACIARgByAGEAYwBMAEUAQQBDAEgAXwBNAFMAXAAiACwAIABcACIAZgByAGEAYwB0AGkAbwBuACAAbwBmACAATgAgAGwAbwBzAHQAIAB0AGgAcgBvAHUAZwBoACAAbABlAGEAYwBoAGkAbgBnACAAYQBuAGQAIAByAHUAbgBvAGYAZgBcACIAOwBcAG4AIAAgACAAIAAgACAAIAAgACAAIABcACIAegBcACIALAAgAFwAIgBsAG8AYwBhAHQAaQBvAG4AIABpAG4AIABsAGUAYQBjAGgAaQBuAGcAIAB6AG8AbgBlAFwAIgA7AFwAbgAgACAAIAAgACAAIAAgACAAIAAgAFwAIgBqAFwAIgAsACAAXAAiAHAAcgBvAGQAdQBjAHQAaQBvAG4AIABzAHkAcwB0AGUAbQBcACIAOwBcAG4AIAAgACAAIAAgACAAIAAgACAAIABcACIAaQByAFwAIgAsACAAXAAiAGkAcgByAGkAZwBhAHQAaQBvAG4AIABtAGUAdABoAG8AZ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IALABcAG4AIAAgACAAIAAgACAATABBAE0AQgBEAEEAKAByACwAYwAsAFwAbgAgACAAIAAgACAAIAAgACAASQBOAEQARQBYACgAewBcAG4AIAAgACAAIAAgACAAIAAgACAAIABcACIATQBOAF8AagBtAFQAMgBcACIALABcACIAbQBhAHMAcwAgAG8AZgAgAE4AIABpAG4AIABNAE0AUwAgAGEAdAAgAHQAcgBlAGEAdABtAGUAbgB0ACAAcwB0AGEAZwBlACAAMgAgADoAIABrAGcAIABOAFwAIgA7AFwAbgAgACAAIAAgACAAIAAgACAAIAAgAFwAIgBFAEYAXwBtAFQAMgBcACIALABcACIAbgBpAHQAcgBvAHUAcwAgAG8AeABpAGQAZQAgAGUAbQBpAHMAcwBpAG8AbgAgAGYAYQBjAHQAbwByACAAZgBvAHIAIABlAGEAYwBoACAATQBNAFMAIABhAHQAIAB0AHIAZQBhAHQAbQBlAG4AdAAgAHMAdABhAGcAZQAgADIAIAA6ACAAawBnACAATgAyAE8ALQBOAC8AawBnACAATg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AgADoAIAAoAGsAZwAgAE4ASAAzAC0ATgAgACsAIABOAE8AeAAtAE4AKQAvAGsAZwAgAE4AXAAiADsAXABuACAAIAAgACAAIAAgACAAIAAgACAAXAAiAE0ATgBMAGUAYQBjAGgAXwBqAG0ANQBcACIALABcACIAbQBhAHMAcwAgAG8AZgAgAE4AIABsAG8AcwB0ACAAdABvACAAbABlAGEAYwBoAGkAbgBnACAAYQBuAGQAIAByAHUAbgBvAGYAZgAgAGYAcgBvAG0AIABkAHIAeQBsAG8AdAAgAE0ATQBTACAAOgAgAGsAZwAgAE4AXAAiADsAXABuACAAIAAgACAAIAAgACAAIAAgACAAXAAiAFAARgBcACIALABcACIAZgByAGEAYwB0AGkAbwBuACAAbwBmACAAbQBhAG4AdQByAGUAIABhAHAAcABsAGkAZQBkACAAdABvACAAcwBvAGkAbAAgAHcAaQB0AGgAaQBuACAAdABoAGUAIABwAGkAZwBnAGUAcgB5ACAAYgBvAHUAbgBkAGEAcgB5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MgAsAFwAbgAgACAAIAAgACAAIABMAEEATQBCAEQAQQAoAHIALABjACwAXABuACAAIAAgACAAIAAgACAAIABJAE4ARABFAFgAKAB7AFwAbgAgACAAIAAgACAAIAAgACAAIAAgAFwAIgBNAE4AXwBqAG0AVAAyAFwAIgAsAFwAIgBtAGEAcwBzACAAbwBmACAATgAgAGkAbgAgAE0ATQBTACAAYQB0ACAAdAByAGUAYQB0AG0AZQBuAHQAIABzAHQAYQBnAGUAIAAyACAAOgAgAGsAZwAgAE4AXAAiADsAXABuACAAIAAgACAAIAAgACAAIAAgACAAXAAiAEUARgBfAG0AVAAyAFwAIgAsAFwAIgBuAGkAdAByAG8AdQBzACAAbwB4AGkAZABlACAAZQBtAGkAcwBzAGkAbwBuACAAZgBhAGMAdABvAHIAIABmAG8AcgAgAGUAYQBjAGgAIABNAE0AUwAgAGEAdAAgAHQAcgBlAGEAdABtAGUAbgB0ACAAcwB0AGEAZwBlACAAMgAgADoAIABrAGcAIABOADIATwAtAE4ALwBrAGcAIABO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CAAOgAgACgAawBnACAATgBIADMALQBOACAAKwAgAE4ATwB4AC0ATgApAC8AawBnACAATgBcACIAOwBcAG4AIAAgACAAIAAgACAAIAAgACAAIABcACIATQBOAEwAZQBhAGMAaABfAGoAbQA1AFwAIgAsAFwAIgBtAGEAcwBzACAAbwBmACAATgAgAGwAbwBzAHQAIAB0AG8AIABsAGUAYQBjAGgAaQBuAGcAIABhAG4AZAAgAHIAdQBuAG8AZgBmACAAZgByAG8AbQAgAGQAcgB5AGwAbwB0ACAATQBNAFMAIAA6ACAAawBnACAATgBcACIAOwBcAG4AIAAgACAAIAAgACAAIAAgACAAIABcACIAUABGAFwAIgAsAFwAIgBmAHIAYQBjAHQAaQBvAG4AIABvAGYAIABtAGEAbgB1AHIAZQAgAGEAcABwAGwAaQBlAGQAIAB0AG8AIABzAG8AaQBsACAAdwBpAHQAaABpAG4AIAB0AGgAZQAgAHAAaQBnAGcAZQByAHkAIABiAG8AdQBuAGQAYQByAHkAIAA6ACAAZgByAGEAYwB0AGkAbwBu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NAE0AUwBfAFMAdwBpAG4AZQBfAE0AZQB0AGgAYQBuAGUAXwBFAHEAdQBhAHQAaQBvAG4AcwAuAFYARQBFAFIARwBfADQAXwA1AF8AMQBfADEAXwBfADEAXwBUAG8AdABhAGwAQQBuAG4AdQBhAGwATQBlAHQAaABhAG4AZQBFAG0AaQBzAHMAaQBvAG4AcwAiACwAIgBNAE0AUwBfAFMAdwBpAG4AZQBfAE0AZQB0AGgAYQBuAGUAXwBFAHEAdQBhAHQAaQBvAG4AcwAuAFYARQBFAFIARwBfADQAXwA1AF8AMQBfADEAXwBfADEAXwBUAG8AdABhAGwAQQBuAG4AdQBhAGwATQBlAHQAaABhAG4AZQBFAG0AaQBzAHMAaQBvAG4AcwBfAFQAaQB0AGwAZQAiACwAIgBNAE0AUwBfAFMAdwBpAG4AZQBfAE0AZQB0AGgAYQBuAGUAXwBFAHEAdQBhAHQAaQBvAG4AcwAuAFYARQBFAFIARwBfADQAXwA1AF8AMQBfADEAXwBfADEAXwBUAG8AdABhAGwAQQBuAG4AdQBhAGwATQBlAHQAaABhAG4AZQBFAG0AaQBzAHMAaQBvAG4AcwBfAFYAYQByAGkAYQBiAGwAZQAiACwAIgBNAE0AUwBfAFMAdwBpAG4AZQBfAE0AZQB0AGgAYQBuAGUAXwBFAHEAdQBhAHQAaQBvAG4AcwAuAFYARQBFAFIARwBfADQAXwA1AF8AMQBfADEAXwBfADEAXwBUAG8AdABhAGwAQQBuAG4AdQBhAGwATQBlAHQAaABhAG4AZQBFAG0AaQBzAHMAaQBvAG4AcwBfAFUAbgBpAHQAIgAsACIATQBNAFMAXwBTAHcAaQBuAGUAXwBNAGUAdABoAGEAbgBlAF8ARQBxAHUAYQB0AGkAbwBuAHMALgBWAEUARQBSAEcAXwA0AF8ANQBfADEAXwAxAF8AXwAxAF8AVABvAHQAYQBsAEEAbgBuAHUAYQBsAE0AZQB0AGgAYQBuAGUARQBtAGkAcwBzAGkAbwBuAHMAXwBTAG8AdQByAGMAZQAiACwAIgBNAE0AUwBfAFMAdwBpAG4AZQBfAE0AZQB0AGgAYQBuAGUAXwBFAHEAdQBhAHQAaQBvAG4AcwAuAFYARQBFAFIARwBfADQAXwA1AF8AMQBfADEAXwBfADEAXwBUAG8AdABhAGwAQQBuAG4AdQBhAGwATQBlAHQAaABhAG4AZQBFAG0AaQBzAHMAaQBvAG4AcwBfAE4ASQBSAFIAZQBmAGUAcgBlAG4AYwBlACIALAAiAE0ATQBTAF8AUwB3AGkAbgBlAF8ATQBlAHQAaABhAG4AZQBfAEUAcQB1AGEAdABpAG8AbgBzAC4AVgBFAEUAUgBHAF8ANABfADUAXwAxAF8AMQBfAF8AMQBfAFQAbwB0AGEAbABBAG4AbgB1AGEAbABNAGUAdABoAGEAbgBlAEUAbQBpAHMAcwBpAG8AbgBzAF8ATABhAHQAZQB4AEUAcQB1AGEAdABpAG8AbgAiACwAIgBNAE0AUwBfAFMAdwBpAG4AZQBfAE0AZQB0AGgAYQBuAGUAXwBFAHEAdQBhAHQAaQBvAG4AcwAuAFYARQBFAFIARwBfADQAXwA1AF8AMQBfADEAXwBfADEAXwBUAG8AdABhAGwAQQBuAG4AdQBhAGwATQBlAHQAaABhAG4AZQBFAG0AaQBzAHMAaQBvAG4AcwBfAEEAcgBnAHUAbQBlAG4AdABzACIALAAiAE0ATQBTAF8AUwB3AGkAbgBlAF8ATQBlAHQAaABhAG4AZQBfAEUAcQB1AGEAdABpAG8AbgBzAC4AVgBFAEUAUgBHAF8ANABfADUAXwAxAF8AMQBfAF8AMgBfAE0AZQB0AGgAYQBuAGUAUAByAG8AZAB1AGMAdABpAG8AbgBQAGUAcgBDAGwAYQBzAHMAIgAsACIATQBNAFMAXwBTAHcAaQBuAGUAXwBNAGUAdABoAGEAbgBlAF8ARQBxAHUAYQB0AGkAbwBuAHMALgBWAEUARQBSAEcAXwA0AF8ANQBfADEAXwAxAF8AXwAyAF8ATQBlAHQAaABhAG4AZQBQAHIAbwBkAHUAYwB0AGkAbwBuAFAAZQByAEMAbABhAHMAcwBWAGEAcgBpAGEAdABpAG8AbgAiACwAIgBNAE0AUwBfAFMAdwBpAG4AZQBfAE0AZQB0AGgAYQBuAGUAXwBFAHEAdQBhAHQAaQBvAG4AcwAuAFYARQBFAFIARwBfADQAXwA1AF8AMQBfADEAXwBfADIAXwBNAGUAdABoAGEAbgBlAFAAcgBvAGQAdQBjAHQAaQBvAG4AUABlAHIAQwBsAGEAcwBzAF8AVABpAHQAbABlACIALAAiAE0ATQBTAF8AUwB3AGkAbgBlAF8ATQBlAHQAaABhAG4AZQBfAEUAcQB1AGEAdABpAG8AbgBzAC4AVgBFAEUAUgBHAF8ANABfADUAXwAxAF8AMQBfAF8AMgBfAE0AZQB0AGgAYQBuAGUAUAByAG8AZAB1AGMAdABpAG8AbgBQAGUAcgBDAGwAYQBzAHMAXwBWAGEAcgBpAGEAYgBsAGUAIgAsACIATQBNAFMAXwBTAHcAaQBuAGUAXwBNAGUAdABoAGEAbgBlAF8ARQBxAHUAYQB0AGkAbwBuAHMALgBWAEUARQBSAEcAXwA0AF8ANQBfADEAXwAxAF8AXwAyAF8ATQBlAHQAaABhAG4AZQBQAHIAbwBkAHUAYwB0AGkAbwBuAFAAZQByAEMAbABhAHMAcwBfAFUAbgBpAHQAIgAsACIATQBNAFMAXwBTAHcAaQBuAGUAXwBNAGUAdABoAGEAbgBlAF8ARQBxAHUAYQB0AGkAbwBuAHMALgBWAEUARQBSAEcAXwA0AF8ANQBfADEAXwAxAF8AXwAyAF8ATQBlAHQAaABhAG4AZQBQAHIAbwBkAHUAYwB0AGkAbwBuAFAAZQByAEMAbABhAHMAcwBfAFMAbwB1AHIAYwBlACIALAAiAE0ATQBTAF8AUwB3AGkAbgBlAF8ATQBlAHQAaABhAG4AZQBfAEUAcQB1AGEAdABpAG8AbgBzAC4AVgBFAEUAUgBHAF8ANABfADUAXwAxAF8AMQBfAF8AMgBfAE0AZQB0AGgAYQBuAGUAUAByAG8AZAB1AGMAdABpAG8AbgBQAGUAcgBDAGwAYQBzAHMAXwBOAEkAUgBSAGUAZgBlAHIAZQBuAGMAZQAiACwAIgBNAE0AUwBfAFMAdwBpAG4AZQBfAE0AZQB0AGgAYQBuAGUAXwBFAHEAdQBhAHQAaQBvAG4AcwAuAFYARQBFAFIARwBfADQAXwA1AF8AMQBfADEAXwBfADIAXwBNAGUAdABoAGEAbgBlAFAAcgBvAGQAdQBjAHQAaQBvAG4AUABlAHIAQwBsAGEAcwBzAF8ATABhAHQAZQB4AEUAcQB1AGEAdABpAG8AbgAiACwAIgBNAE0AUwBfAFMAdwBpAG4AZQBfAE0AZQB0AGgAYQBuAGUAXwBFAHEAdQBhAHQAaQBvAG4AcwAuAFYARQBFAFIARwBfADQAXwA1AF8AMQBfADEAXwBfADIAXwBNAGUAdABoAGEAbgBlAFAAcgBvAGQAdQBjAHQAaQBvAG4AUABlAHIAQwBsAGEAcwBzAF8AQQByAGcAdQBtAGUAbgB0AHMAIgAsACIATQBNAFMAXwBTAHcAaQBuAGUAXwBNAGUAdABoAGEAbgBlAF8ARQBxAHUAYQB0AGkAbwBuAHMALgBWAEUARQBSAEcAXwA0AF8ANQBfADEAXwAxAF8AXwAyAF8ATQBlAHQAaABhAG4AZQBQAHIAbwBkAHUAYwB0AGkAbwBuAFAAZQByAEMAbABhAHMAcwBfAFYAYQByAGkAYQB0AGkAbwBuACIALAAiAE0ATQBTAF8AUwB3AGkAbgBlAF8ATQBlAHQAaABhAG4AZQBfAEUAcQB1AGEAdABpAG8AbgBzAC4AVgBFAEUAUgBHAF8ANABfADUAXwAxAF8AMQBfAF8AMwBfAFMAdABhAGcAZQAxAE0AZQB0AGgAYQBuAGUAUAByAG8AZAB1AGMAdABpAG8AbgAiACwAIgBNAE0AUwBfAFMAdwBpAG4AZQBfAE0AZQB0AGgAYQBuAGUAXwBFAHEAdQBhAHQAaQBvAG4AcwAuAFYARQBFAFIARwBfADQAXwA1AF8AMQBfADEAXwBfADMAXwBTAHQAYQBnAGUAMQBNAGUAdABoAGEAbgBlAFAAcgBvAGQAdQBjAHQAaQBvAG4AXwBUAGkAdABsAGUAIgAsACIATQBNAFMAXwBTAHcAaQBuAGUAXwBNAGUAdABoAGEAbgBlAF8ARQBxAHUAYQB0AGkAbwBuAHMALgBWAEUARQBSAEcAXwA0AF8ANQBfADEAXwAxAF8AXwAzAF8AUwB0AGEAZwBlADEATQBlAHQAaABhAG4AZQBQAHIAbwBkAHUAYwB0AGkAbwBuAF8AVgBhAHIAaQBhAGIAbABlACIALAAiAE0ATQBTAF8AUwB3AGkAbgBlAF8ATQBlAHQAaABhAG4AZQBfAEUAcQB1AGEAdABpAG8AbgBzAC4AVgBFAEUAUgBHAF8ANABfADUAXwAxAF8AMQBfAF8AMwBfAFMAdABhAGcAZQAxAE0AZQB0AGgAYQBuAGUAUAByAG8AZAB1AGMAdABpAG8AbgBfAFUAbgBpAHQAIgAsACIATQBNAFMAXwBTAHcAaQBuAGUAXwBNAGUAdABoAGEAbgBlAF8ARQBxAHUAYQB0AGkAbwBuAHMALgBWAEUARQBSAEcAXwA0AF8ANQBfADEAXwAxAF8AXwAzAF8AUwB0AGEAZwBlADEATQBlAHQAaABhAG4AZQBQAHIAbwBkAHUAYwB0AGkAbwBuAF8AUwBvAHUAcgBjAGUAIgAsACIATQBNAFMAXwBTAHcAaQBuAGUAXwBNAGUAdABoAGEAbgBlAF8ARQBxAHUAYQB0AGkAbwBuAHMALgBWAEUARQBSAEcAXwA0AF8ANQBfADEAXwAxAF8AXwAzAF8AUwB0AGEAZwBlADEATQBlAHQAaABhAG4AZQBQAHIAbwBkAHUAYwB0AGkAbwBuAF8ATgBJAFIAUgBlAGYAZQByAGUAbgBjAGUAIgAsACIATQBNAFMAXwBTAHcAaQBuAGUAXwBNAGUAdABoAGEAbgBlAF8ARQBxAHUAYQB0AGkAbwBuAHMALgBWAEUARQBSAEcAXwA0AF8ANQBfADEAXwAxAF8AXwAzAF8AUwB0AGEAZwBlADEATQBlAHQAaABhAG4AZQBQAHIAbwBkAHUAYwB0AGkAbwBuAF8ATABhAHQAZQB4AEUAcQB1AGEAdABpAG8AbgAiACwAIgBNAE0AUwBfAFMAdwBpAG4AZQBfAE0AZQB0AGgAYQBuAGUAXwBFAHEAdQBhAHQAaQBvAG4AcwAuAFYARQBFAFIARwBfADQAXwA1AF8AMQBfADEAXwBfADMAXwBTAHQAYQBnAGUAMQBNAGUAdABoAGEAbgBlAFAAcgBvAGQAdQBjAHQAaQBvAG4AXwBBAHIAZwB1AG0AZQBuAHQAcwAiACwAIgBNAE0AUwBfAFMAdwBpAG4AZQBfAE0AZQB0AGgAYQBuAGUAXwBFAHEAdQBhAHQAaQBvAG4AcwAuAFYARQBFAFIARwBfADQAXwA1AF8AMQBfADEAXwBfADQAXwBGAHIAYQBjAHQAaQBvAG4AVgBvAGwAYQB0AGkAbABlAFMAbwBsAGkAZABzAFAAcgBpAG0AYQByAHkAUwB5AHMAdABlAG0AIgAsACIATQBNAFMAXwBTAHcAaQBuAGUAXwBNAGUAdABoAGEAbgBlAF8ARQBxAHUAYQB0AGkAbwBuAHMALgBWAEUARQBSAEcAXwA0AF8ANQBfADEAXwAxAF8AXwA0AF8ARgByAGEAYwB0AGkAbwBuAFYAbwBsAGEAdABpAGwAZQBTAG8AbABpAGQAcwBQAHIAaQBtAGEAcgB5AFMAeQBzAHQAZQBtAF8AVABpAHQAbABlACIALAAiAE0ATQBTAF8AUwB3AGkAbgBlAF8ATQBlAHQAaABhAG4AZQBfAEUAcQB1AGEAdABpAG8AbgBzAC4AVgBFAEUAUgBHAF8ANABfADUAXwAxAF8AMQBfAF8ANABfAEYAcgBhAGMAdABpAG8AbgBWAG8AbABhAHQAaQBsAGUAUwBvAGwAaQBkAHMAUAByAGkAbQBhAHIAeQBTAHkAcwB0AGUAbQBfAFYAYQByAGkAYQBiAGwAZQAiACwAIgBNAE0AUwBfAFMAdwBpAG4AZQBfAE0AZQB0AGgAYQBuAGUAXwBFAHEAdQBhAHQAaQBvAG4AcwAuAFYARQBFAFIARwBfADQAXwA1AF8AMQBfADEAXwBfADQAXwBGAHIAYQBjAHQAaQBvAG4AVgBvAGwAYQB0AGkAbABlAFMAbwBsAGkAZABzAFAAcgBpAG0AYQByAHkAUwB5AHMAdABlAG0AXwBVAG4AaQB0ACIALAAiAE0ATQBTAF8AUwB3AGkAbgBlAF8ATQBlAHQAaABhAG4AZQBfAEUAcQB1AGEAdABpAG8AbgBzAC4AVgBFAEUAUgBHAF8ANABfADUAXwAxAF8AMQBfAF8ANABfAEYAcgBhAGMAdABpAG8AbgBWAG8AbABhAHQAaQBsAGUAUwBvAGwAaQBkAHMAUAByAGkAbQBhAHIAeQBTAHkAcwB0AGUAbQBfAFMAbwB1AHIAYwBlACIALAAiAE0ATQBTAF8AUwB3AGkAbgBlAF8ATQBlAHQAaABhAG4AZQBfAEUAcQB1AGEAdABpAG8AbgBzAC4AVgBFAEUAUgBHAF8ANABfADUAXwAxAF8AMQBfAF8ANABfAEYAcgBhAGMAdABpAG8AbgBWAG8AbABhAHQAaQBsAGUAUwBvAGwAaQBkAHMAUAByAGkAbQBhAHIAeQBTAHkAcwB0AGUAbQBfAE4ASQBSAFIAZQBmAGUAcgBlAG4AYwBlACIALAAiAE0ATQBTAF8AUwB3AGkAbgBlAF8ATQBlAHQAaABhAG4AZQBfAEUAcQB1AGEAdABpAG8AbgBzAC4AVgBFAEUAUgBHAF8ANABfADUAXwAxAF8AMQBfAF8ANABfAEYAcgBhAGMAdABpAG8AbgBWAG8AbABhAHQAaQBsAGUAUwBvAGwAaQBkAHMAUAByAGkAbQBhAHIAeQBTAHkAcwB0AGUAbQBfAEwAYQB0AGUAeABFAHEAdQBhAHQAaQBvAG4AIgAsACIATQBNAFMAXwBTAHcAaQBuAGUAXwBNAGUAdABoAGEAbgBlAF8ARQBxAHUAYQB0AGkAbwBuAHMALgBWAEUARQBSAEcAXwA0AF8ANQBfADEAXwAxAF8AXwA0AF8ARgByAGEAYwB0AGkAbwBuAFYAbwBsAGEAdABpAGwAZQBTAG8AbABpAGQAcwBQAHIAaQBtAGEAcgB5AFMAeQBzAHQAZQBtAF8AQQByAGcAdQBtAGUAbgB0AHMAIgAsACIATQBNAFMAXwBTAHcAaQBuAGUAXwBNAGUAdABoAGEAbgBlAF8ARQBxAHUAYQB0AGkAbwBuAHMALgBWAEUARQBSAEcAXwA0AF8ANQBfADEAXwAxAF8AXwA0AF8ARgByAGEAYwB0AGkAbwBuAFYAbwBsAGEAdABpAGwAZQBTAG8AbABpAGQAcwBQAHIAaQBtAGEAcgB5AFMAeQBzAHQAZQBtAF8AVgBhAHIAaQBhAHQAaQBvAG4AIgAsACIATQBNAFMAXwBTAHcAaQBuAGUAXwBNAGUAdABoAGEAbgBlAF8ARQBxAHUAYQB0AGkAbwBuAHMALgBWAEUARQBSAEcAXwA0AF8ANQBfADEAXwAxAF8AXwA1AF8ARgByAGEAYwB0AGkAbwBuAFYAbwBsAGEAdABpAGwAZQBTAG8AbABpAGQAcwBTAG8AbABpAGQAUwB0AG8AcgBhAGcAZQAiACwAIgBNAE0AUwBfAFMAdwBpAG4AZQBfAE0AZQB0AGgAYQBuAGUAXwBFAHEAdQBhAHQAaQBvAG4AcwAuAFYARQBFAFIARwBfADQAXwA1AF8AMQBfADEAXwBfADUAXwBGAHIAYQBjAHQAaQBvAG4AVgBvAGwAYQB0AGkAbABlAFMAbwBsAGkAZABzAFMAbwBsAGkAZABTAHQAbwByAGEAZwBlAFYAYQByAGkAYQB0AGkAbwBuACIALAAiAE0ATQBTAF8AUwB3AGkAbgBlAF8ATQBlAHQAaABhAG4AZQBfAEUAcQB1AGEAdABpAG8AbgBzAC4AVgBFAEUAUgBHAF8ANABfADUAXwAxAF8AMQBfAF8ANQBfAEYAcgBhAGMAdABpAG8AbgBWAG8AbABhAHQAaQBsAGUAUwBvAGwAaQBkAHMAUwBvAGwAaQBkAFMAdABvAHIAYQBnAGUAXwBUAGkAdABsAGUAIgAsACIATQBNAFMAXwBTAHcAaQBuAGUAXwBNAGUAdABoAGEAbgBlAF8ARQBxAHUAYQB0AGkAbwBuAHMALgBWAEUARQBSAEcAXwA0AF8ANQBfADEAXwAxAF8AXwA1AF8ARgByAGEAYwB0AGkAbwBuAFYAbwBsAGEAdABpAGwAZQBTAG8AbABpAGQAcwBTAG8AbABpAGQAUwB0AG8AcgBhAGcAZQBfAFYAYQByAGkAYQBiAGwAZQAiACwAIgBNAE0AUwBfAFMAdwBpAG4AZQBfAE0AZQB0AGgAYQBuAGUAXwBFAHEAdQBhAHQAaQBvAG4AcwAuAFYARQBFAFIARwBfADQAXwA1AF8AMQBfADEAXwBfADUAXwBGAHIAYQBjAHQAaQBvAG4AVgBvAGwAYQB0AGkAbABlAFMAbwBsAGkAZABzAFMAbwBsAGkAZABTAHQAbwByAGEAZwBlAF8AVQBuAGkAdAAiACwAIgBNAE0AUwBfAFMAdwBpAG4AZQBfAE0AZQB0AGgAYQBuAGUAXwBFAHEAdQBhAHQAaQBvAG4AcwAuAFYARQBFAFIARwBfADQAXwA1AF8AMQBfADEAXwBfADUAXwBGAHIAYQBjAHQAaQBvAG4AVgBvAGwAYQB0AGkAbABlAFMAbwBsAGkAZABzAFMAbwBsAGkAZABTAHQAbwByAGEAZwBlAF8AUwBvAHUAcgBjAGUAIgAsACIATQBNAFMAXwBTAHcAaQBuAGUAXwBNAGUAdABoAGEAbgBlAF8ARQBxAHUAYQB0AGkAbwBuAHMALgBWAEUARQBSAEcAXwA0AF8ANQBfADEAXwAxAF8AXwA1AF8ARgByAGEAYwB0AGkAbwBuAFYAbwBsAGEAdABpAGwAZQBTAG8AbABpAGQAcwBTAG8AbABpAGQAUwB0AG8AcgBhAGcAZQBfAE4ASQBSAFIAZQBmAGUAcgBlAG4AYwBlACIALAAiAE0ATQBTAF8AUwB3AGkAbgBlAF8ATQBlAHQAaABhAG4AZQBfAEUAcQB1AGEAdABpAG8AbgBzAC4AVgBFAEUAUgBHAF8ANABfADUAXwAxAF8AMQBfAF8ANQBfAEYAcgBhAGMAdABpAG8AbgBWAG8AbABhAHQAaQBsAGUAUwBvAGwAaQBkAHMAUwBvAGwAaQBkAFMAdABvAHIAYQBnAGUAXwBMAGEAdABlAHgARQBxAHUAYQB0AGkAbwBuACIALAAiAE0ATQBTAF8AUwB3AGkAbgBlAF8ATQBlAHQAaABhAG4AZQBfAEUAcQB1AGEAdABpAG8AbgBzAC4AVgBFAEUAUgBHAF8ANABfADUAXwAxAF8AMQBfAF8ANQBfAEYAcgBhAGMAdABpAG8AbgBWAG8AbABhAHQAaQBsAGUAUwBvAGwAaQBkAHMAUwBvAGwAaQBkAFMAdABvAHIAYQBnAGUAXwBMAGEAdABlAHgARQBxAHUAYQB0AGkAbwBuAFYAYQByAGkAYQB0AGkAbwBuACIALAAiAE0ATQBTAF8AUwB3AGkAbgBlAF8ATQBlAHQAaABhAG4AZQBfAEUAcQB1AGEAdABpAG8AbgBzAC4AVgBFAEUAUgBHAF8ANABfADUAXwAxAF8AMQBfAF8ANQBfAEYAcgBhAGMAdABpAG8AbgBWAG8AbABhAHQAaQBsAGUAUwBvAGwAaQBkAHMAUwBvAGwAaQBkAFMAdABvAHIAYQBnAGUAXwBBAHIAZwB1AG0AZQBuAHQAcwAiACwAIgBNAE0AUwBfAFMAdwBpAG4AZQBfAE0AZQB0AGgAYQBuAGUAXwBFAHEAdQBhAHQAaQBvAG4AcwAuAFYARQBFAFIARwBfADQAXwA1AF8AMQBfADEAXwBfADUAXwBGAHIAYQBjAHQAaQBvAG4AVgBvAGwAYQB0AGkAbABlAFMAbwBsAGkAZABzAFMAbwBsAGkAZABTAHQAbwByAGEAZwBlAF8AVgBhAHIAaQBhAHQAaQBvAG4AIgAsACIATQBNAFMAXwBTAHcAaQBuAGUAXwBNAGUAdABoAGEAbgBlAF8ARQBxAHUAYQB0AGkAbwBuAHMALgBWAEUARQBSAEcAXwA0AF8ANQBfADEAXwAxAF8AXwA2AF8AUwB0AGEAZwBlADIATQBlAHQAaABhAG4AZQBQAHIAbwBkAHUAYwB0AGkAbwBuACIALAAiAE0ATQBTAF8AUwB3AGkAbgBlAF8ATQBlAHQAaABhAG4AZQBfAEUAcQB1AGEAdABpAG8AbgBzAC4AVgBFAEUAUgBHAF8ANABfADUAXwAxAF8AMQBfAF8ANgBfAFMAdABhAGcAZQAyAE0AZQB0AGgAYQBuAGUAUAByAG8AZAB1AGMAdABpAG8AbgBfAFQAaQB0AGwAZQAiACwAIgBNAE0AUwBfAFMAdwBpAG4AZQBfAE0AZQB0AGgAYQBuAGUAXwBFAHEAdQBhAHQAaQBvAG4AcwAuAFYARQBFAFIARwBfADQAXwA1AF8AMQBfADEAXwBfADYAXwBTAHQAYQBnAGUAMgBNAGUAdABoAGEAbgBlAFAAcgBvAGQAdQBjAHQAaQBvAG4AXwBWAGEAcgBpAGEAYgBsAGUAIgAsACIATQBNAFMAXwBTAHcAaQBuAGUAXwBNAGUAdABoAGEAbgBlAF8ARQBxAHUAYQB0AGkAbwBuAHMALgBWAEUARQBSAEcAXwA0AF8ANQBfADEAXwAxAF8AXwA2AF8AUwB0AGEAZwBlADIATQBlAHQAaABhAG4AZQBQAHIAbwBkAHUAYwB0AGkAbwBuAF8AVQBuAGkAdAAiACwAIgBNAE0AUwBfAFMAdwBpAG4AZQBfAE0AZQB0AGgAYQBuAGUAXwBFAHEAdQBhAHQAaQBvAG4AcwAuAFYARQBFAFIARwBfADQAXwA1AF8AMQBfADEAXwBfADYAXwBTAHQAYQBnAGUAMgBNAGUAdABoAGEAbgBlAFAAcgBvAGQAdQBjAHQAaQBvAG4AXwBTAG8AdQByAGMAZQAiACwAIgBNAE0AUwBfAFMAdwBpAG4AZQBfAE0AZQB0AGgAYQBuAGUAXwBFAHEAdQBhAHQAaQBvAG4AcwAuAFYARQBFAFIARwBfADQAXwA1AF8AMQBfADEAXwBfADYAXwBTAHQAYQBnAGUAMgBNAGUAdABoAGEAbgBlAFAAcgBvAGQAdQBjAHQAaQBvAG4AXwBOAEkAUgBSAGUAZgBlAHIAZQBuAGMAZQAiACwAIgBNAE0AUwBfAFMAdwBpAG4AZQBfAE0AZQB0AGgAYQBuAGUAXwBFAHEAdQBhAHQAaQBvAG4AcwAuAFYARQBFAFIARwBfADQAXwA1AF8AMQBfADEAXwBfADYAXwBTAHQAYQBnAGUAMgBNAGUAdABoAGEAbgBlAFAAcgBvAGQAdQBjAHQAaQBvAG4AXwBMAGEAdABlAHgARQBxAHUAYQB0AGkAbwBuACIALAAiAE0ATQBTAF8AUwB3AGkAbgBlAF8ATQBlAHQAaABhAG4AZQBfAEUAcQB1AGEAdABpAG8AbgBzAC4AVgBFAEUAUgBHAF8ANABfADUAXwAxAF8AMQBfAF8ANgBfAFMAdABhAGcAZQAyAE0AZQB0AGgAYQBuAGUAUAByAG8AZAB1AGMAdABpAG8AbgBfAEEAcgBnAHUAbQBlAG4AdABzACIALAAiAE0ATQBTAF8AUwB3AGkAbgBlAF8ATQBlAHQAaABhAG4AZQBfAEUAcQB1AGEAdABpAG8AbgBzAC4AVgBFAEUAUgBHAF8ANABfADUAXwAxAF8AMQBfAF8ANwBfAFYAbwBsAGEAdABpAGwAZQBTAG8AbABpAGQAcwBUAHIAYQBuAHMAZgBlAHIAcgBlAGQAUwB0AGEAZwBlADIAIgAsACIATQBNAFMAXwBTAHcAaQBuAGUAXwBNAGUAdABoAGEAbgBlAF8ARQBxAHUAYQB0AGkAbwBuAHMALgBWAEUARQBSAEcAXwA0AF8ANQBfADEAXwAxAF8AXwA3AF8AVgBvAGwAYQB0AGkAbABlAFMAbwBsAGkAZABzAFQAcgBhAG4AcwBmAGUAcgByAGUAZABTAHQAYQBnAGUAMgBfAFQAaQB0AGwAZQAiACwAIgBNAE0AUwBfAFMAdwBpAG4AZQBfAE0AZQB0AGgAYQBuAGUAXwBFAHEAdQBhAHQAaQBvAG4AcwAuAFYARQBFAFIARwBfADQAXwA1AF8AMQBfADEAXwBfADcAXwBWAG8AbABhAHQAaQBsAGUAUwBvAGwAaQBkAHMAVAByAGEAbgBzAGYAZQByAHIAZQBkAFMAdABhAGcAZQAyAF8AVgBhAHIAaQBhAGIAbABlACIALAAiAE0ATQBTAF8AUwB3AGkAbgBlAF8ATQBlAHQAaABhAG4AZQBfAEUAcQB1AGEAdABpAG8AbgBzAC4AVgBFAEUAUgBHAF8ANABfADUAXwAxAF8AMQBfAF8ANwBfAFYAbwBsAGEAdABpAGwAZQBTAG8AbABpAGQAcwBUAHIAYQBuAHMAZgBlAHIAcgBlAGQAUwB0AGEAZwBlADIAXwBVAG4AaQB0ACIALAAiAE0ATQBTAF8AUwB3AGkAbgBlAF8ATQBlAHQAaABhAG4AZQBfAEUAcQB1AGEAdABpAG8AbgBzAC4AVgBFAEUAUgBHAF8ANABfADUAXwAxAF8AMQBfAF8ANwBfAFYAbwBsAGEAdABpAGwAZQBTAG8AbABpAGQAcwBUAHIAYQBuAHMAZgBlAHIAcgBlAGQAUwB0AGEAZwBlADIAXwBTAG8AdQByAGMAZQAiACwAIgBNAE0AUwBfAFMAdwBpAG4AZQBfAE0AZQB0AGgAYQBuAGUAXwBFAHEAdQBhAHQAaQBvAG4AcwAuAFYARQBFAFIARwBfADQAXwA1AF8AMQBfADEAXwBfADcAXwBWAG8AbABhAHQAaQBsAGUAUwBvAGwAaQBkAHMAVAByAGEAbgBzAGYAZQByAHIAZQBkAFMAdABhAGcAZQAyAF8ATgBJAFIAUgBlAGYAZQByAGUAbgBjAGUAIgAsACIATQBNAFMAXwBTAHcAaQBuAGUAXwBNAGUAdABoAGEAbgBlAF8ARQBxAHUAYQB0AGkAbwBuAHMALgBWAEUARQBSAEcAXwA0AF8ANQBfADEAXwAxAF8AXwA3AF8AVgBvAGwAYQB0AGkAbABlAFMAbwBsAGkAZABzAFQAcgBhAG4AcwBmAGUAcgByAGUAZABTAHQAYQBnAGUAMgBfAEwAYQB0AGUAeABFAHEAdQBhAHQAaQBvAG4AIgAsACIATQBNAFMAXwBTAHcAaQBuAGUAXwBNAGUAdABoAGEAbgBlAF8ARQBxAHUAYQB0AGkAbwBuAHMALgBWAEUARQBSAEcAXwA0AF8ANQBfADEAXwAxAF8AXwA3AF8AVgBvAGwAYQB0AGkAbABlAFMAbwBsAGkAZABzAFQAcgBhAG4AcwBmAGUAcgByAGUAZABTAHQAYQBnAGUAMgBfAEEAcgBnAHUAbQBlAG4AdABzACIALAAiAE0ATQBTAF8AUwB3AGkAbgBlAF8ATgAyAE8ARABpAHIAZQBjAHQAXwBFAHEAdQBhAHQAaQBvAG4AcwAuAFYARQBFAFIARwBfADQAXwA1AF8AMQBfADMAXwBfADEAXwBUAG8AdABhAGwAQQBuAG4AdQBhAGwARABpAHIAZQBjAHQATgBpAHQAcgBvAHUAcwBPAHgAaQBkAGUARQBtAGkAcwBzAGkAbwBuAHMARgByAG8AbQBNAE0AUwAiACwAIgBNAE0AUwBfAFMAdwBpAG4AZQBfAE4AMgBPAEQAaQByAGUAYwB0AF8ARQBxAHUAYQB0AGkAbwBuAHMALgBWAEUARQBSAEcAXwA0AF8ANQBfADEAXwAzAF8AXwAxAF8AVABvAHQAYQBsAEEAbgBuAHUAYQBsAEQAaQByAGUAYwB0AE4AaQB0AHIAbwB1AHMATwB4AGkAZABlAEUAbQBpAHMAcwBpAG8AbgBzAEYAcgBvAG0ATQBNAFMAXwBUAGkAdABsAGUAIgAsACIATQBNAFMAXwBTAHcAaQBuAGUAXwBOADIATwBEAGkAcgBlAGMAdABfAEUAcQB1AGEAdABpAG8AbgBzAC4AVgBFAEUAUgBHAF8ANABfADUAXwAxAF8AMwBfAF8AMQBfAFQAbwB0AGEAbABBAG4AbgB1AGEAbABEAGkAcgBlAGMAdABOAGkAdAByAG8AdQBzAE8AeABpAGQAZQBFAG0AaQBzAHMAaQBvAG4AcwBGAHIAbwBtAE0ATQBTAF8AVgBhAHIAaQBhAGIAbABlACIALAAiAE0ATQBTAF8AUwB3AGkAbgBlAF8ATgAyAE8ARABpAHIAZQBjAHQAXwBFAHEAdQBhAHQAaQBvAG4AcwAuAFYARQBFAFIARwBfADQAXwA1AF8AMQBfADMAXwBfADEAXwBUAG8AdABhAGwAQQBuAG4AdQBhAGwARABpAHIAZQBjAHQATgBpAHQAcgBvAHUAcwBPAHgAaQBkAGUARQBtAGkAcwBzAGkAbwBuAHMARgByAG8AbQBNAE0AUwBfAFUAbgBpAHQAIgAsACIATQBNAFMAXwBTAHcAaQBuAGUAXwBOADIATwBEAGkAcgBlAGMAdABfAEUAcQB1AGEAdABpAG8AbgBzAC4AVgBFAEUAUgBHAF8ANABfADUAXwAxAF8AMwBfAF8AMQBfAFQAbwB0AGEAbABBAG4AbgB1AGEAbABEAGkAcgBlAGMAdABOAGkAdAByAG8AdQBzAE8AeABpAGQAZQBFAG0AaQBzAHMAaQBvAG4AcwBGAHIAbwBtAE0ATQBTAF8AUwBvAHUAcgBjAGUAIgAsACIATQBNAFMAXwBTAHcAaQBuAGUAXwBOADIATwBEAGkAcgBlAGMAdABfAEUAcQB1AGEAdABpAG8AbgBzAC4AVgBFAEUAUgBHAF8ANABfADUAXwAxAF8AMwBfAF8AMQBfAFQAbwB0AGEAbABBAG4AbgB1AGEAbABEAGkAcgBlAGMAdABOAGkAdAByAG8AdQBzAE8AeABpAGQAZQBFAG0AaQBzAHMAaQBvAG4AcwBGAHIAbwBtAE0ATQBTAF8ATgBJAFIAUgBlAGYAZQByAGUAbgBjAGUAIgAsACIATQBNAFMAXwBTAHcAaQBuAGUAXwBOADIATwBEAGkAcgBlAGMAdABfAEUAcQB1AGEAdABpAG8AbgBzAC4AVgBFAEUAUgBHAF8ANABfADUAXwAxAF8AMwBfAF8AMQBfAFQAbwB0AGEAbABBAG4AbgB1AGEAbABEAGkAcgBlAGMAdABOAGkAdAByAG8AdQBzAE8AeABpAGQAZQBFAG0AaQBzAHMAaQBvAG4AcwBGAHIAbwBtAE0ATQBTAF8ATABhAHQAZQB4AEUAcQB1AGEAdABpAG8AbgAiACwAIgBNAE0AUwBfAFMAdwBpAG4AZQBfAE4AMgBPAEQAaQByAGUAYwB0AF8ARQBxAHUAYQB0AGkAbwBuAHMALgBWAEUARQBSAEcAXwA0AF8ANQBfADEAXwAzAF8AXwAxAF8AVABvAHQAYQBsAEEAbgBuAHUAYQBsAEQAaQByAGUAYwB0AE4AaQB0AHIAbwB1AHMATwB4AGkAZABlAEUAbQBpAHMAcwBpAG8AbgBzAEYAcgBvAG0ATQBNAFMAXwBBAHIAZwB1AG0AZQBuAHQAcwAiACwAIgBNAE0AUwBfAFMAdwBpAG4AZQBfAE4AMgBPAEQAaQByAGUAYwB0AF8ARQBxAHUAYQB0AGkAbwBuAHMALgBWAEUARQBSAEcAXwA0AF8ANQBfADEAXwAzAF8AXwAyAF8AUwB0AGEAZwBlADEATgBpAHQAcgBvAGcAZQBuAEkAbgBNAE0AUwAiACwAIgBNAE0AUwBfAFMAdwBpAG4AZQBfAE4AMgBPAEQAaQByAGUAYwB0AF8ARQBxAHUAYQB0AGkAbwBuAHMALgBWAEUARQBSAEcAXwA0AF8ANQBfADEAXwAzAF8AXwAyAF8AUwB0AGEAZwBlADEATgBpAHQAcgBvAGcAZQBuAEkAbgBNAE0AUwBfAFQAaQB0AGwAZQAiACwAIgBNAE0AUwBfAFMAdwBpAG4AZQBfAE4AMgBPAEQAaQByAGUAYwB0AF8ARQBxAHUAYQB0AGkAbwBuAHMALgBWAEUARQBSAEcAXwA0AF8ANQBfADEAXwAzAF8AXwAyAF8AUwB0AGEAZwBlADEATgBpAHQAcgBvAGcAZQBuAEkAbgBNAE0AUwBfAFYAYQByAGkAYQBiAGwAZQAiACwAIgBNAE0AUwBfAFMAdwBpAG4AZQBfAE4AMgBPAEQAaQByAGUAYwB0AF8ARQBxAHUAYQB0AGkAbwBuAHMALgBWAEUARQBSAEcAXwA0AF8ANQBfADEAXwAzAF8AXwAyAF8AUwB0AGEAZwBlADEATgBpAHQAcgBvAGcAZQBuAEkAbgBNAE0AUwBfAFUAbgBpAHQAIgAsACIATQBNAFMAXwBTAHcAaQBuAGUAXwBOADIATwBEAGkAcgBlAGMAdABfAEUAcQB1AGEAdABpAG8AbgBzAC4AVgBFAEUAUgBHAF8ANABfADUAXwAxAF8AMwBfAF8AMgBfAFMAdABhAGcAZQAxAE4AaQB0AHIAbwBnAGUAbgBJAG4ATQBNAFMAXwBTAG8AdQByAGMAZQAiACwAIgBNAE0AUwBfAFMAdwBpAG4AZQBfAE4AMgBPAEQAaQByAGUAYwB0AF8ARQBxAHUAYQB0AGkAbwBuAHMALgBWAEUARQBSAEcAXwA0AF8ANQBfADEAXwAzAF8AXwAyAF8AUwB0AGEAZwBlADEATgBpAHQAcgBvAGcAZQBuAEkAbgBNAE0AUwBfAE4ASQBSAFIAZQBmAGUAcgBlAG4AYwBlACIALAAiAE0ATQBTAF8AUwB3AGkAbgBlAF8ATgAyAE8ARABpAHIAZQBjAHQAXwBFAHEAdQBhAHQAaQBvAG4AcwAuAFYARQBFAFIARwBfADQAXwA1AF8AMQBfADMAXwBfADIAXwBTAHQAYQBnAGUAMQBOAGkAdAByAG8AZwBlAG4ASQBuAE0ATQBTAF8ATABhAHQAZQB4AEUAcQB1AGEAdABpAG8AbgAiACwAIgBNAE0AUwBfAFMAdwBpAG4AZQBfAE4AMgBPAEQAaQByAGUAYwB0AF8ARQBxAHUAYQB0AGkAbwBuAHMALgBWAEUARQBSAEcAXwA0AF8ANQBfADEAXwAzAF8AXwAyAF8AUwB0AGEAZwBlADEATgBpAHQAcgBvAGcAZQBuAEkAbgBNAE0AUwBfAEEAcgBnAHUAbQBlAG4AdABzACIALAAiAE0ATQBTAF8AUwB3AGkAbgBlAF8ATgAyAE8ARABpAHIAZQBjAHQAXwBFAHEAdQBhAHQAaQBvAG4AcwAuAFYARQBFAFIARwBfADQAXwA1AF8AMQBfADMAXwBfADMAXwBGAHIAYQBjAHQAaQBvAG4ATwBmAE4AaQB0AHIAbwBnAGUAbgBJAG4AUAByAGkAbQBhAHIAeQBNAE0AUwAiACwAIgBNAE0AUwBfAFMAdwBpAG4AZQBfAE4AMgBPAEQAaQByAGUAYwB0AF8ARQBxAHUAYQB0AGkAbwBuAHMALgBWAEUARQBSAEcAXwA0AF8ANQBfADEAXwAzAF8AXwAzAF8ARgByAGEAYwB0AGkAbwBuAE8AZgBOAGkAdAByAG8AZwBlAG4ASQBuAFAAcgBpAG0AYQByAHkATQBNAFMAXwBUAGkAdABsAGUAIgAsACIATQBNAFMAXwBTAHcAaQBuAGUAXwBOADIATwBEAGkAcgBlAGMAdABfAEUAcQB1AGEAdABpAG8AbgBzAC4AVgBFAEUAUgBHAF8ANABfADUAXwAxAF8AMwBfAF8AMwBfAEYAcgBhAGMAdABpAG8AbgBPAGYATgBpAHQAcgBvAGcAZQBuAEkAbgBQAHIAaQBtAGEAcgB5AE0ATQBTAF8AVgBhAHIAaQBhAGIAbABlACIALAAiAE0ATQBTAF8AUwB3AGkAbgBlAF8ATgAyAE8ARABpAHIAZQBjAHQAXwBFAHEAdQBhAHQAaQBvAG4AcwAuAFYARQBFAFIARwBfADQAXwA1AF8AMQBfADMAXwBfADMAXwBGAHIAYQBjAHQAaQBvAG4ATwBmAE4AaQB0AHIAbwBnAGUAbgBJAG4AUAByAGkAbQBhAHIAeQBNAE0AUwBfAFUAbgBpAHQAIgAsACIATQBNAFMAXwBTAHcAaQBuAGUAXwBOADIATwBEAGkAcgBlAGMAdABfAEUAcQB1AGEAdABpAG8AbgBzAC4AVgBFAEUAUgBHAF8ANABfADUAXwAxAF8AMwBfAF8AMwBfAEYAcgBhAGMAdABpAG8AbgBPAGYATgBpAHQAcgBvAGcAZQBuAEkAbgBQAHIAaQBtAGEAcgB5AE0ATQBTAF8AUwBvAHUAcgBjAGUAIgAsACIATQBNAFMAXwBTAHcAaQBuAGUAXwBOADIATwBEAGkAcgBlAGMAdABfAEUAcQB1AGEAdABpAG8AbgBzAC4AVgBFAEUAUgBHAF8ANABfADUAXwAxAF8AMwBfAF8AMwBfAEYAcgBhAGMAdABpAG8AbgBPAGYATgBpAHQAcgBvAGcAZQBuAEkAbgBQAHIAaQBtAGEAcgB5AE0ATQBTAF8ATgBJAFIAUgBlAGYAZQByAGUAbgBjAGUAIgAsACIATQBNAFMAXwBTAHcAaQBuAGUAXwBOADIATwBEAGkAcgBlAGMAdABfAEUAcQB1AGEAdABpAG8AbgBzAC4AVgBFAEUAUgBHAF8ANABfADUAXwAxAF8AMwBfAF8AMwBfAEYAcgBhAGMAdABpAG8AbgBPAGYATgBpAHQAcgBvAGcAZQBuAEkAbgBQAHIAaQBtAGEAcgB5AE0ATQBTAF8ATABhAHQAZQB4AEUAcQB1AGEAdABpAG8AbgAiACwAIgBNAE0AUwBfAFMAdwBpAG4AZQBfAE4AMgBPAEQAaQByAGUAYwB0AF8ARQBxAHUAYQB0AGkAbwBuAHMALgBWAEUARQBSAEcAXwA0AF8ANQBfADEAXwAzAF8AXwAzAF8ARgByAGEAYwB0AGkAbwBuAE8AZgBOAGkAdAByAG8AZwBlAG4ASQBuAFAAcgBpAG0AYQByAHkATQBNAFMAXwBBAHIAZwB1AG0AZQBuAHQAcwAiACwAIgBNAE0AUwBfAFMAdwBpAG4AZQBfAE4AMgBPAEQAaQByAGUAYwB0AF8ARQBxAHUAYQB0AGkAbwBuAHMALgBWAEUARQBSAEcAXwA0AF8ANQBfADEAXwAzAF8AXwA0AF8ARgByAGEAYwB0AGkAbwBuAE8AZgBOAGkAdAByAG8AZwBlAG4ASQBuAFMAbwBsAGkAZABTAHQAbwByAGEAZwBlACIALAAiAE0ATQBTAF8AUwB3AGkAbgBlAF8ATgAyAE8ARABpAHIAZQBjAHQAXwBFAHEAdQBhAHQAaQBvAG4AcwAuAFYARQBFAFIARwBfADQAXwA1AF8AMQBfADMAXwBfADQAXwBGAHIAYQBjAHQAaQBvAG4ATwBmAE4AaQB0AHIAbwBnAGUAbgBJAG4AUwBvAGwAaQBkAFMAdABvAHIAYQBnAGUAVgBhAHIAaQBhAHQAaQBvAG4AIgAsACIATQBNAFMAXwBTAHcAaQBuAGUAXwBOADIATwBEAGkAcgBlAGMAdABfAEUAcQB1AGEAdABpAG8AbgBzAC4AVgBFAEUAUgBHAF8ANABfADUAXwAxAF8AMwBfAF8ANABfAEYAcgBhAGMAdABpAG8AbgBPAGYATgBpAHQAcgBvAGcAZQBuAEkAbgBTAG8AbABpAGQAUwB0AG8AcgBhAGcAZQBfAFQAaQB0AGwAZQAiACwAIgBNAE0AUwBfAFMAdwBpAG4AZQBfAE4AMgBPAEQAaQByAGUAYwB0AF8ARQBxAHUAYQB0AGkAbwBuAHMALgBWAEUARQBSAEcAXwA0AF8ANQBfADEAXwAzAF8AXwA0AF8ARgByAGEAYwB0AGkAbwBuAE8AZgBOAGkAdAByAG8AZwBlAG4ASQBuAFMAbwBsAGkAZABTAHQAbwByAGEAZwBlAF8AVgBhAHIAaQBhAGIAbABlACIALAAiAE0ATQBTAF8AUwB3AGkAbgBlAF8ATgAyAE8ARABpAHIAZQBjAHQAXwBFAHEAdQBhAHQAaQBvAG4AcwAuAFYARQBFAFIARwBfADQAXwA1AF8AMQBfADMAXwBfADQAXwBGAHIAYQBjAHQAaQBvAG4ATwBmAE4AaQB0AHIAbwBnAGUAbgBJAG4AUwBvAGwAaQBkAFMAdABvAHIAYQBnAGUAXwBVAG4AaQB0ACIALAAiAE0ATQBTAF8AUwB3AGkAbgBlAF8ATgAyAE8ARABpAHIAZQBjAHQAXwBFAHEAdQBhAHQAaQBvAG4AcwAuAFYARQBFAFIARwBfADQAXwA1AF8AMQBfADMAXwBfADQAXwBGAHIAYQBjAHQAaQBvAG4ATwBmAE4AaQB0AHIAbwBnAGUAbgBJAG4AUwBvAGwAaQBkAFMAdABvAHIAYQBnAGUAXwBTAG8AdQByAGMAZQAiACwAIgBNAE0AUwBfAFMAdwBpAG4AZQBfAE4AMgBPAEQAaQByAGUAYwB0AF8ARQBxAHUAYQB0AGkAbwBuAHMALgBWAEUARQBSAEcAXwA0AF8ANQBfADEAXwAzAF8AXwA0AF8ARgByAGEAYwB0AGkAbwBuAE8AZgBOAGkAdAByAG8AZwBlAG4ASQBuAFMAbwBsAGkAZABTAHQAbwByAGEAZwBlAF8ATgBJAFIAUgBlAGYAZQByAGUAbgBjAGUAIgAsACIATQBNAFMAXwBTAHcAaQBuAGUAXwBOADIATwBEAGkAcgBlAGMAdABfAEUAcQB1AGEAdABpAG8AbgBzAC4AVgBFAEUAUgBHAF8ANABfADUAXwAxAF8AMwBfAF8ANABfAEYAcgBhAGMAdABpAG8AbgBPAGYATgBpAHQAcgBvAGcAZQBuAEkAbgBTAG8AbABpAGQAUwB0AG8AcgBhAGcAZQBfAEwAYQB0AGUAeABFAHEAdQBhAHQAaQBvAG4AIgAsACIATQBNAFMAXwBTAHcAaQBuAGUAXwBOADIATwBEAGkAcgBlAGMAdABfAEUAcQB1AGEAdABpAG8AbgBzAC4AVgBFAEUAUgBHAF8ANABfADUAXwAxAF8AMwBfAF8ANABfAEYAcgBhAGMAdABpAG8AbgBPAGYATgBpAHQAcgBvAGcAZQBuAEkAbgBTAG8AbABpAGQAUwB0AG8AcgBhAGcAZQBfAEwAYQB0AGUAeABFAHEAdQBhAHQAaQBvAG4AVgBhAHIAaQBhAHQAaQBvAG4AIgAsACIATQBNAFMAXwBTAHcAaQBuAGUAXwBOADIATwBEAGkAcgBlAGMAdABfAEUAcQB1AGEAdABpAG8AbgBzAC4AVgBFAEUAUgBHAF8ANABfADUAXwAxAF8AMwBfAF8ANABfAEYAcgBhAGMAdABpAG8AbgBPAGYATgBpAHQAcgBvAGcAZQBuAEkAbgBTAG8AbABpAGQAUwB0AG8AcgBhAGcAZQBfAEEAcgBnAHUAbQBlAG4AdABzACIALAAiAE0ATQBTAF8AUwB3AGkAbgBlAF8ATgAyAE8ARABpAHIAZQBjAHQAXwBFAHEAdQBhAHQAaQBvAG4AcwAuAFYARQBFAFIARwBfADQAXwA1AF8AMQBfADMAXwBfADQAXwBGAHIAYQBjAHQAaQBvAG4ATwBmAE4AaQB0AHIAbwBnAGUAbgBJAG4AUwBvAGwAaQBkAFMAdABvAHIAYQBnAGUAXwBWAGEAcgBpAGEAdABpAG8AbgAiACwAIgBNAE0AUwBfAFMAdwBpAG4AZQBfAE4AMgBPAEQAaQByAGUAYwB0AF8ARQBxAHUAYQB0AGkAbwBuAHMALgBWAEUARQBSAEcAXwA0AF8ANQBfADEAXwAzAF8AXwA1AF8AQQBuAG4AdQBhAGwATgBpAHQAcgBvAGcAZQBuAEUAeABjAHIAZQB0AGkAbwBuACIALAAiAE0ATQBTAF8AUwB3AGkAbgBlAF8ATgAyAE8ARABpAHIAZQBjAHQAXwBFAHEAdQBhAHQAaQBvAG4AcwAuAFYARQBFAFIARwBfADQAXwA1AF8AMQBfADMAXwBfADUAXwBBAG4AbgB1AGEAbABOAGkAdAByAG8AZwBlAG4ARQB4AGMAcgBlAHQAaQBvAG4AXwBUAGkAdABsAGUAIgAsACIATQBNAFMAXwBTAHcAaQBuAGUAXwBOADIATwBEAGkAcgBlAGMAdABfAEUAcQB1AGEAdABpAG8AbgBzAC4AVgBFAEUAUgBHAF8ANABfADUAXwAxAF8AMwBfAF8ANQBfAEEAbgBuAHUAYQBsAE4AaQB0AHIAbwBnAGUAbgBFAHgAYwByAGUAdABpAG8AbgBfAFYAYQByAGkAYQBiAGwAZQAiACwAIgBNAE0AUwBfAFMAdwBpAG4AZQBfAE4AMgBPAEQAaQByAGUAYwB0AF8ARQBxAHUAYQB0AGkAbwBuAHMALgBWAEUARQBSAEcAXwA0AF8ANQBfADEAXwAzAF8AXwA1AF8AQQBuAG4AdQBhAGwATgBpAHQAcgBvAGcAZQBuAEUAeABjAHIAZQB0AGkAbwBuAF8AVQBuAGkAdAAiACwAIgBNAE0AUwBfAFMAdwBpAG4AZQBfAE4AMgBPAEQAaQByAGUAYwB0AF8ARQBxAHUAYQB0AGkAbwBuAHMALgBWAEUARQBSAEcAXwA0AF8ANQBfADEAXwAzAF8AXwA1AF8AQQBuAG4AdQBhAGwATgBpAHQAcgBvAGcAZQBuAEUAeABjAHIAZQB0AGkAbwBuAF8AUwBvAHUAcgBjAGUAIgAsACIATQBNAFMAXwBTAHcAaQBuAGUAXwBOADIATwBEAGkAcgBlAGMAdABfAEUAcQB1AGEAdABpAG8AbgBzAC4AVgBFAEUAUgBHAF8ANABfADUAXwAxAF8AMwBfAF8ANQBfAEEAbgBuAHUAYQBsAE4AaQB0AHIAbwBnAGUAbgBFAHgAYwByAGUAdABpAG8AbgBfAE4ASQBSAFIAZQBmAGUAcgBlAG4AYwBlACIALAAiAE0ATQBTAF8AUwB3AGkAbgBlAF8ATgAyAE8ARABpAHIAZQBjAHQAXwBFAHEAdQBhAHQAaQBvAG4AcwAuAFYARQBFAFIARwBfADQAXwA1AF8AMQBfADMAXwBfADUAXwBBAG4AbgB1AGEAbABOAGkAdAByAG8AZwBlAG4ARQB4AGMAcgBlAHQAaQBvAG4AXwBMAGEAdABlAHgARQBxAHUAYQB0AGkAbwBuACIALAAiAE0ATQBTAF8AUwB3AGkAbgBlAF8ATgAyAE8ARABpAHIAZQBjAHQAXwBFAHEAdQBhAHQAaQBvAG4AcwAuAFYARQBFAFIARwBfADQAXwA1AF8AMQBfADMAXwBfADUAXwBBAG4AbgB1AGEAbABOAGkAdAByAG8AZwBlAG4ARQB4AGMAcgBlAHQAaQBvAG4AXwBBAHIAZwB1AG0AZQBuAHQAcwAiACwAIgBNAE0AUwBfAFMAdwBpAG4AZQBfAE4AMgBPAEQAaQByAGUAYwB0AF8ARQBxAHUAYQB0AGkAbwBuAHMALgBWAEUARQBSAEcAXwA0AF8ANQBfADEAXwAzAF8AXwA2AF8AUwB0AGEAZwBlADIATgBpAHQAcgBvAGcAZQBuAEkAbgBNAE0AUwAiACwAIgBNAE0AUwBfAFMAdwBpAG4AZQBfAE4AMgBPAEQAaQByAGUAYwB0AF8ARQBxAHUAYQB0AGkAbwBuAHMALgBWAEUARQBSAEcAXwA0AF8ANQBfADEAXwAzAF8AXwA2AF8AUwB0AGEAZwBlADIATgBpAHQAcgBvAGcAZQBuAEkAbgBNAE0AUwBfAFQAaQB0AGwAZQAiACwAIgBNAE0AUwBfAFMAdwBpAG4AZQBfAE4AMgBPAEQAaQByAGUAYwB0AF8ARQBxAHUAYQB0AGkAbwBuAHMALgBWAEUARQBSAEcAXwA0AF8ANQBfADEAXwAzAF8AXwA2AF8AUwB0AGEAZwBlADIATgBpAHQAcgBvAGcAZQBuAEkAbgBNAE0AUwBfAFYAYQByAGkAYQBiAGwAZQAiACwAIgBNAE0AUwBfAFMAdwBpAG4AZQBfAE4AMgBPAEQAaQByAGUAYwB0AF8ARQBxAHUAYQB0AGkAbwBuAHMALgBWAEUARQBSAEcAXwA0AF8ANQBfADEAXwAzAF8AXwA2AF8AUwB0AGEAZwBlADIATgBpAHQAcgBvAGcAZQBuAEkAbgBNAE0AUwBfAFUAbgBpAHQAIgAsACIATQBNAFMAXwBTAHcAaQBuAGUAXwBOADIATwBEAGkAcgBlAGMAdABfAEUAcQB1AGEAdABpAG8AbgBzAC4AVgBFAEUAUgBHAF8ANABfADUAXwAxAF8AMwBfAF8ANgBfAFMAdABhAGcAZQAyAE4AaQB0AHIAbwBnAGUAbgBJAG4ATQBNAFMAXwBTAG8AdQByAGMAZQAiACwAIgBNAE0AUwBfAFMAdwBpAG4AZQBfAE4AMgBPAEQAaQByAGUAYwB0AF8ARQBxAHUAYQB0AGkAbwBuAHMALgBWAEUARQBSAEcAXwA0AF8ANQBfADEAXwAzAF8AXwA2AF8AUwB0AGEAZwBlADIATgBpAHQAcgBvAGcAZQBuAEkAbgBNAE0AUwBfAE4ASQBSAFIAZQBmAGUAcgBlAG4AYwBlACIALAAiAE0ATQBTAF8AUwB3AGkAbgBlAF8ATgAyAE8ARABpAHIAZQBjAHQAXwBFAHEAdQBhAHQAaQBvAG4AcwAuAFYARQBFAFIARwBfADQAXwA1AF8AMQBfADMAXwBfADYAXwBTAHQAYQBnAGUAMgBOAGkAdAByAG8AZwBlAG4ASQBuAE0ATQBTAF8ATABhAHQAZQB4AEUAcQB1AGEAdABpAG8AbgAiACwAIgBNAE0AUwBfAFMAdwBpAG4AZQBfAE4AMgBPAEQAaQByAGUAYwB0AF8ARQBxAHUAYQB0AGkAbwBuAHMALgBWAEUARQBSAEcAXwA0AF8ANQBfADEAXwAzAF8AXwA2AF8AUwB0AGEAZwBlADIATgBpAHQAcgBvAGcAZQBuAEkAbgBNAE0AUwBfAEEAcgBnAHUAbQBlAG4AdABzACIALAAiAE0ATQBTAF8AUwB3AGkAbgBlAF8ATgAyAE8ARABpAHIAZQBjAHQAXwBFAHEAdQBhAHQAaQBvAG4AcwAuAFYARQBFAFIARwBfADQAXwA1AF8AMQBfADMAXwBfADcAXwBOAGkAdAByAG8AZwBlAG4AVAByAGEAbgBzAGYAZQByAHIAZQBkAFQAbwBTAHQAYQBnAGUAMgBNAE0AUwAiACwAIgBNAE0AUwBfAFMAdwBpAG4AZQBfAE4AMgBPAEQAaQByAGUAYwB0AF8ARQBxAHUAYQB0AGkAbwBuAHMALgBWAEUARQBSAEcAXwA0AF8ANQBfADEAXwAzAF8AXwA3AF8ATgBpAHQAcgBvAGcAZQBuAFQAcgBhAG4AcwBmAGUAcgByAGUAZABUAG8AUwB0AGEAZwBlADIATQBNAFMAXwBUAGkAdABsAGUAIgAsACIATQBNAFMAXwBTAHcAaQBuAGUAXwBOADIATwBEAGkAcgBlAGMAdABfAEUAcQB1AGEAdABpAG8AbgBzAC4AVgBFAEUAUgBHAF8ANABfADUAXwAxAF8AMwBfAF8ANwBfAE4AaQB0AHIAbwBnAGUAbgBUAHIAYQBuAHMAZgBlAHIAcgBlAGQAVABvAFMAdABhAGcAZQAyAE0ATQBTAF8AVgBhAHIAaQBhAGIAbABlACIALAAiAE0ATQBTAF8AUwB3AGkAbgBlAF8ATgAyAE8ARABpAHIAZQBjAHQAXwBFAHEAdQBhAHQAaQBvAG4AcwAuAFYARQBFAFIARwBfADQAXwA1AF8AMQBfADMAXwBfADcAXwBOAGkAdAByAG8AZwBlAG4AVAByAGEAbgBzAGYAZQByAHIAZQBkAFQAbwBTAHQAYQBnAGUAMgBNAE0AUwBfAFUAbgBpAHQAIgAsACIATQBNAFMAXwBTAHcAaQBuAGUAXwBOADIATwBEAGkAcgBlAGMAdABfAEUAcQB1AGEAdABpAG8AbgBzAC4AVgBFAEUAUgBHAF8ANABfADUAXwAxAF8AMwBfAF8ANwBfAE4AaQB0AHIAbwBnAGUAbgBUAHIAYQBuAHMAZgBlAHIAcgBlAGQAVABvAFMAdABhAGcAZQAyAE0ATQBTAF8AUwBvAHUAcgBjAGUAIgAsACIATQBNAFMAXwBTAHcAaQBuAGUAXwBOADIATwBEAGkAcgBlAGMAdABfAEUAcQB1AGEAdABpAG8AbgBzAC4AVgBFAEUAUgBHAF8ANABfADUAXwAxAF8AMwBfAF8ANwBfAE4AaQB0AHIAbwBnAGUAbgBUAHIAYQBuAHMAZgBlAHIAcgBlAGQAVABvAFMAdABhAGcAZQAyAE0ATQBTAF8ATgBJAFIAUgBlAGYAZQByAGUAbgBjAGUAIgAsACIATQBNAFMAXwBTAHcAaQBuAGUAXwBOADIATwBEAGkAcgBlAGMAdABfAEUAcQB1AGEAdABpAG8AbgBzAC4AVgBFAEUAUgBHAF8ANABfADUAXwAxAF8AMwBfAF8ANwBfAE4AaQB0AHIAbwBnAGUAbgBUAHIAYQBuAHMAZgBlAHIAcgBlAGQAVABvAFMAdABhAGcAZQAyAE0ATQBTAF8ATABhAHQAZQB4AEUAcQB1AGEAdABpAG8AbgAiACwAIgBNAE0AUwBfAFMAdwBpAG4AZQBfAE4AMgBPAEQAaQByAGUAYwB0AF8ARQBxAHUAYQB0AGkAbwBuAHMALgBWAEUARQBSAEcAXwA0AF8ANQBfADEAXwAzAF8AXwA3AF8ATgBpAHQAcgBvAGcAZQBuAFQAcgBhAG4AcwBmAGUAcgByAGUAZABUAG8AUwB0AGEAZwBlADIATQBNAFMAXwBBAHIAZwB1AG0AZQBuAHQAc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QAaQB0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YAYQByAGkAYQBi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UAbgBpAHQ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TAG8AdQBy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4ASQBSAFIAZQBmAGUAcgBlAG4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ABhAHQAZQB4AEUAcQB1AGEAdABpAG8Abg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EAcgBnAHUAbQBlAG4AdABzACIALAAiAE0ATQBTAF8AUwB3AGkAbgBlAF8AQQB0AG0AbwBzAHAAaABlAHIAaQBjAEQAZQBwAG8AcwBpAHQAaQBvAG4AXwBFAHEAdQBhAHQAaQBvAG4AcwAuAFYARQBFAFIARwBfADQAXwA1AF8AMQBfADUAXwBfADIAXwBUAG8AdABhAGwATgBpAHQAcgBvAGcAZQBuAFYAbwBsAGEAdABpAGwAaQBzAGUAZABGAHIAbwBtAE0ATQBTACIALAAiAE0ATQBTAF8AUwB3AGkAbgBlAF8AQQB0AG0AbwBzAHAAaABlAHIAaQBjAEQAZQBwAG8AcwBpAHQAaQBvAG4AXwBFAHEAdQBhAHQAaQBvAG4AcwAuAFYARQBFAFIARwBfADQAXwA1AF8AMQBfADUAXwBfADIAXwBUAG8AdABhAGwATgBpAHQAcgBvAGcAZQBuAFYAbwBsAGEAdABpAGwAaQBzAGUAZABGAHIAbwBtAE0ATQBTAF8AVABpAHQAbABlACIALAAiAE0ATQBTAF8AUwB3AGkAbgBlAF8AQQB0AG0AbwBzAHAAaABlAHIAaQBjAEQAZQBwAG8AcwBpAHQAaQBvAG4AXwBFAHEAdQBhAHQAaQBvAG4AcwAuAFYARQBFAFIARwBfADQAXwA1AF8AMQBfADUAXwBfADIAXwBUAG8AdABhAGwATgBpAHQAcgBvAGcAZQBuAFYAbwBsAGEAdABpAGwAaQBzAGUAZABGAHIAbwBtAE0ATQBTAF8AVgBhAHIAaQBhAGIAbABlACIALAAiAE0ATQBTAF8AUwB3AGkAbgBlAF8AQQB0AG0AbwBzAHAAaABlAHIAaQBjAEQAZQBwAG8AcwBpAHQAaQBvAG4AXwBFAHEAdQBhAHQAaQBvAG4AcwAuAFYARQBFAFIARwBfADQAXwA1AF8AMQBfADUAXwBfADIAXwBUAG8AdABhAGwATgBpAHQAcgBvAGcAZQBuAFYAbwBsAGEAdABpAGwAaQBzAGUAZABGAHIAbwBtAE0ATQBTAF8AVQBuAGkAdAAiACwAIgBNAE0AUwBfAFMAdwBpAG4AZQBfAEEAdABtAG8AcwBwAGgAZQByAGkAYwBEAGUAcABvAHMAaQB0AGkAbwBuAF8ARQBxAHUAYQB0AGkAbwBuAHMALgBWAEUARQBSAEcAXwA0AF8ANQBfADEAXwA1AF8AXwAyAF8AVABvAHQAYQBsAE4AaQB0AHIAbwBnAGUAbgBWAG8AbABhAHQAaQBsAGkAcwBlAGQARgByAG8AbQBNAE0AUwBfAFMAbwB1AHIAYwBlACIALAAiAE0ATQBTAF8AUwB3AGkAbgBlAF8AQQB0AG0AbwBzAHAAaABlAHIAaQBjAEQAZQBwAG8AcwBpAHQAaQBvAG4AXwBFAHEAdQBhAHQAaQBvAG4AcwAuAFYARQBFAFIARwBfADQAXwA1AF8AMQBfADUAXwBfADIAXwBUAG8AdABhAGwATgBpAHQAcgBvAGcAZQBuAFYAbwBsAGEAdABpAGwAaQBzAGUAZABGAHIAbwBtAE0ATQBTAF8ATgBJAFIAUgBlAGYAZQByAGUAbgBjAGUAIgAsACIATQBNAFMAXwBTAHcAaQBuAGUAXwBBAHQAbQBvAHMAcABoAGUAcgBpAGMARABlAHAAbwBzAGkAdABpAG8AbgBfAEUAcQB1AGEAdABpAG8AbgBzAC4AVgBFAEUAUgBHAF8ANABfADUAXwAxAF8ANQBfAF8AMgBfAFQAbwB0AGEAbABOAGkAdAByAG8AZwBlAG4AVgBvAGwAYQB0AGkAbABpAHMAZQBkAEYAcgBvAG0ATQBNAFMAXwBMAGEAdABlAHgARQBxAHUAYQB0AGkAbwBuACIALAAiAE0ATQBTAF8AUwB3AGkAbgBlAF8AQQB0AG0AbwBzAHAAaABlAHIAaQBjAEQAZQBwAG8AcwBpAHQAaQBvAG4AXwBFAHEAdQBhAHQAaQBvAG4AcwAuAFYARQBFAFIARwBfADQAXwA1AF8AMQBfADUAXwBfADIAXwBUAG8AdABhAGwATgBpAHQAcgBvAGcAZQBuAFYAbwBsAGEAdABpAGwAaQBzAGUAZABGAHIAbwBtAE0ATQBTAF8AQQByAGcAdQBtAGUAbgB0AHMAIgAsACIATQBNAFMAXwBTAHcAaQBuAGUAXwBMAGUAYQBjAGgAaQBuAGcAQQBuAGQAUgB1AG4AbwBmAGYAXwBFAHEAdQBhAHQAaQBvAG4AcwAuAFYARQBFAFIARwBfADQAXwA1AF8AMQBfADcAXwBfADEAXwBBAG4AbgB1AGEAbABFAG0AaQBzAHMAaQBvAG4AcwBGAHIAbwBtAEwAZQBhAGMAaABpAG4AZwBBAG4AZABSAHUAbgBvAGYAZgBGAHIAbwBtAE0ATQBTACIALAAiAE0ATQBTAF8AUwB3AGkAbgBlAF8ATABlAGEAYwBoAGkAbgBnAEEAbgBkAFIAdQBuAG8AZgBmAF8ARQBxAHUAYQB0AGkAbwBuAHMALgBWAEUARQBSAEcAXwA0AF8ANQBfADEAXwA3AF8AXwAxAF8AQQBuAG4AdQBhAGwARQBtAGkAcwBzAGkAbwBuAHMARgByAG8AbQBMAGUAYQBjAGgAaQBuAGcAQQBuAGQAUgB1AG4AbwBmAGYARgByAG8AbQBNAE0AUwBfAFQAaQB0AGwAZQAiACwAIgBNAE0AUwBfAFMAdwBpAG4AZQBfAEwAZQBhAGMAaABpAG4AZwBBAG4AZABSAHUAbgBvAGYAZgBfAEUAcQB1AGEAdABpAG8AbgBzAC4AVgBFAEUAUgBHAF8ANABfADUAXwAxAF8ANwBfAF8AMQBfAEEAbgBuAHUAYQBsAEUAbQBpAHMAcwBpAG8AbgBzAEYAcgBvAG0ATABlAGEAYwBoAGkAbgBnAEEAbgBkAFIAdQBuAG8AZgBmAEYAcgBvAG0ATQBNAFMAXwBWAGEAcgBpAGEAYgBsAGUAIgAsACIATQBNAFMAXwBTAHcAaQBuAGUAXwBMAGUAYQBjAGgAaQBuAGcAQQBuAGQAUgB1AG4AbwBmAGYAXwBFAHEAdQBhAHQAaQBvAG4AcwAuAFYARQBFAFIARwBfADQAXwA1AF8AMQBfADcAXwBfADEAXwBBAG4AbgB1AGEAbABFAG0AaQBzAHMAaQBvAG4AcwBGAHIAbwBtAEwAZQBhAGMAaABpAG4AZwBBAG4AZABSAHUAbgBvAGYAZgBGAHIAbwBtAE0ATQBTAF8AVQBuAGkAdAAiACwAIgBNAE0AUwBfAFMAdwBpAG4AZQBfAEwAZQBhAGMAaABpAG4AZwBBAG4AZABSAHUAbgBvAGYAZgBfAEUAcQB1AGEAdABpAG8AbgBzAC4AVgBFAEUAUgBHAF8ANABfADUAXwAxAF8ANwBfAF8AMQBfAEEAbgBuAHUAYQBsAEUAbQBpAHMAcwBpAG8AbgBzAEYAcgBvAG0ATABlAGEAYwBoAGkAbgBnAEEAbgBkAFIAdQBuAG8AZgBmAEYAcgBvAG0ATQBNAFMAXwBTAG8AdQByAGMAZQAiACwAIgBNAE0AUwBfAFMAdwBpAG4AZQBfAEwAZQBhAGMAaABpAG4AZwBBAG4AZABSAHUAbgBvAGYAZgBfAEUAcQB1AGEAdABpAG8AbgBzAC4AVgBFAEUAUgBHAF8ANABfADUAXwAxAF8ANwBfAF8AMQBfAEEAbgBuAHUAYQBsAEUAbQBpAHMAcwBpAG8AbgBzAEYAcgBvAG0ATABlAGEAYwBoAGkAbgBnAEEAbgBkAFIAdQBuAG8AZgBmAEYAcgBvAG0ATQBNAFMAXwBOAEkAUgBSAGUAZgBlAHIAZQBuAGMAZQAiACwAIgBNAE0AUwBfAFMAdwBpAG4AZQBfAEwAZQBhAGMAaABpAG4AZwBBAG4AZABSAHUAbgBvAGYAZgBfAEUAcQB1AGEAdABpAG8AbgBzAC4AVgBFAEUAUgBHAF8ANABfADUAXwAxAF8ANwBfAF8AMQBfAEEAbgBuAHUAYQBsAEUAbQBpAHMAcwBpAG8AbgBzAEYAcgBvAG0ATABlAGEAYwBoAGkAbgBnAEEAbgBkAFIAdQBuAG8AZgBmAEYAcgBvAG0ATQBNAFMAXwBMAGEAdABlAHgARQBxAHUAYQB0AGkAbwBuACIALAAiAE0ATQBTAF8AUwB3AGkAbgBlAF8ATABlAGEAYwBoAGkAbgBnAEEAbgBkAFIAdQBuAG8AZgBmAF8ARQBxAHUAYQB0AGkAbwBuAHMALgBWAEUARQBSAEcAXwA0AF8ANQBfADEAXwA3AF8AXwAxAF8AQQBuAG4AdQBhAGwARQBtAGkAcwBzAGkAbwBuAHMARgByAG8AbQBMAGUAYQBjAGgAaQBuAGcAQQBuAGQAUgB1AG4AbwBmAGYARgByAG8AbQBNAE0AUwBfAEEAcgBnAHUAbQBlAG4AdABz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ABpAHQ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gBhAHIAaQBhAGI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QBuAGkAdA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MAbwB1AHI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gBJAFIAUgBlAGYAZQByAGUAb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MAGEAdABlAHgARQBxAHUAYQB0AGkAbwBu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QQByAGcAdQBtAGUAbgB0AHMAIgAsACIATQBNAFMAXwBTAHcAaQBuAGUAXwBNAGEAbgB1AHIAZQBBAHAAcABsAGkAZQBkAFQAbwBTAG8AaQBsAHMAXwBFAHEAdQBhAHQAaQBvAG4AcwAuAFYARQBFAFIARwBfADQAXwA1AF8AMQBfADkAXwBfADEAXwBNAGEAcwBzAE8AZgBOAGkAdAByAG8AZwBlAG4AQQBwAHAAbABpAGUAZABUAG8AUwBvAGkAbABzAFMAYwBvAHAAZQAxACIALAAiAE0ATQBTAF8AUwB3AGkAbgBlAF8ATQBhAG4AdQByAGUAQQBwAHAAbABpAGUAZABUAG8AUwBvAGkAbABzAF8ARQBxAHUAYQB0AGkAbwBuAHMALgBWAEUARQBSAEcAXwA0AF8ANQBfADEAXwA5AF8AXwAxAF8ATQBhAHMAcwBPAGYATgBpAHQAcgBvAGcAZQBuAEEAcABwAGwAaQBlAGQAVABvAFMAbwBpAGwAcwBTAGMAbwBwAGUAMQBfAFQAaQB0AGwAZQAiACwAIgBNAE0AUwBfAFMAdwBpAG4AZQBfAE0AYQBuAHUAcgBlAEEAcABwAGwAaQBlAGQAVABvAFMAbwBpAGwAcwBfAEUAcQB1AGEAdABpAG8AbgBzAC4AVgBFAEUAUgBHAF8ANABfADUAXwAxAF8AOQBfAF8AMQBfAE0AYQBzAHMATwBmAE4AaQB0AHIAbwBnAGUAbgBBAHAAcABsAGkAZQBkAFQAbwBTAG8AaQBsAHMAUwBjAG8AcABlADEAXwBWAGEAcgBpAGEAYgBsAGUAIgAsACIATQBNAFMAXwBTAHcAaQBuAGUAXwBNAGEAbgB1AHIAZQBBAHAAcABsAGkAZQBkAFQAbwBTAG8AaQBsAHMAXwBFAHEAdQBhAHQAaQBvAG4AcwAuAFYARQBFAFIARwBfADQAXwA1AF8AMQBfADkAXwBfADEAXwBNAGEAcwBzAE8AZgBOAGkAdAByAG8AZwBlAG4AQQBwAHAAbABpAGUAZABUAG8AUwBvAGkAbABzAFMAYwBvAHAAZQAxAF8AVQBuAGkAdAAiACwAIgBNAE0AUwBfAFMAdwBpAG4AZQBfAE0AYQBuAHUAcgBlAEEAcABwAGwAaQBlAGQAVABvAFMAbwBpAGwAcwBfAEUAcQB1AGEAdABpAG8AbgBzAC4AVgBFAEUAUgBHAF8ANABfADUAXwAxAF8AOQBfAF8AMQBfAE0AYQBzAHMATwBmAE4AaQB0AHIAbwBnAGUAbgBBAHAAcABsAGkAZQBkAFQAbwBTAG8AaQBsAHMAUwBjAG8AcABlADEAXwBTAG8AdQByAGMAZQAiACwAIgBNAE0AUwBfAFMAdwBpAG4AZQBfAE0AYQBuAHUAcgBlAEEAcABwAGwAaQBlAGQAVABvAFMAbwBpAGwAcwBfAEUAcQB1AGEAdABpAG8AbgBzAC4AVgBFAEUAUgBHAF8ANABfADUAXwAxAF8AOQBfAF8AMQBfAE0AYQBzAHMATwBmAE4AaQB0AHIAbwBnAGUAbgBBAHAAcABsAGkAZQBkAFQAbwBTAG8AaQBsAHMAUwBjAG8AcABlADEAXwBOAEkAUgBSAGUAZgBlAHIAZQBuAGMAZQAiACwAIgBNAE0AUwBfAFMAdwBpAG4AZQBfAE0AYQBuAHUAcgBlAEEAcABwAGwAaQBlAGQAVABvAFMAbwBpAGwAcwBfAEUAcQB1AGEAdABpAG8AbgBzAC4AVgBFAEUAUgBHAF8ANABfADUAXwAxAF8AOQBfAF8AMQBfAE0AYQBzAHMATwBmAE4AaQB0AHIAbwBnAGUAbgBBAHAAcABsAGkAZQBkAFQAbwBTAG8AaQBsAHMAUwBjAG8AcABlADEAXwBMAGEAdABlAHgARQBxAHUAYQB0AGkAbwBuACIALAAiAE0ATQBTAF8AUwB3AGkAbgBlAF8ATQBhAG4AdQByAGUAQQBwAHAAbABpAGUAZABUAG8AUwBvAGkAbABzAF8ARQBxAHUAYQB0AGkAbwBuAHMALgBWAEUARQBSAEcAXwA0AF8ANQBfADEAXwA5AF8AXwAxAF8ATQBhAHMAcwBPAGYATgBpAHQAcgBvAGcAZQBuAEEAcABwAGwAaQBlAGQAVABvAFMAbwBpAGwAcwBTAGMAbwBwAGUAMQBfAEEAcgBnAHUAbQBlAG4AdABzACIALAAiAE0ATQBTAF8AUwB3AGkAbgBlAF8ATQBhAG4AdQByAGUAQQBwAHAAbABpAGUAZABUAG8AUwBvAGkAbABzAF8ARQBxAHUAYQB0AGkAbwBuAHMALgBWAEUARQBSAEcAXwA0AF8ANQBfADEAXwA5AF8AXwAyAF8ATQBhAHMAcwBPAGYATgBpAHQAcgBvAGcAZQBuAEEAcABwAGwAaQBlAGQAVABvAFMAbwBpAGwAcwBTAGMAbwBwAGUAMwAiACwAIgBNAE0AUwBfAFMAdwBpAG4AZQBfAE0AYQBuAHUAcgBlAEEAcABwAGwAaQBlAGQAVABvAFMAbwBpAGwAcwBfAEUAcQB1AGEAdABpAG8AbgBzAC4AVgBFAEUAUgBHAF8ANABfADUAXwAxAF8AOQBfAF8AMgBfAE0AYQBzAHMATwBmAE4AaQB0AHIAbwBnAGUAbgBBAHAAcABsAGkAZQBkAFQAbwBTAG8AaQBsAHMAUwBjAG8AcABlADMAXwBUAGkAdABsAGUAIgAsACIATQBNAFMAXwBTAHcAaQBuAGUAXwBNAGEAbgB1AHIAZQBBAHAAcABsAGkAZQBkAFQAbwBTAG8AaQBsAHMAXwBFAHEAdQBhAHQAaQBvAG4AcwAuAFYARQBFAFIARwBfADQAXwA1AF8AMQBfADkAXwBfADIAXwBNAGEAcwBzAE8AZgBOAGkAdAByAG8AZwBlAG4AQQBwAHAAbABpAGUAZABUAG8AUwBvAGkAbABzAFMAYwBvAHAAZQAzAF8AVgBhAHIAaQBhAGIAbABlACIALAAiAE0ATQBTAF8AUwB3AGkAbgBlAF8ATQBhAG4AdQByAGUAQQBwAHAAbABpAGUAZABUAG8AUwBvAGkAbABzAF8ARQBxAHUAYQB0AGkAbwBuAHMALgBWAEUARQBSAEcAXwA0AF8ANQBfADEAXwA5AF8AXwAyAF8ATQBhAHMAcwBPAGYATgBpAHQAcgBvAGcAZQBuAEEAcABwAGwAaQBlAGQAVABvAFMAbwBpAGwAcwBTAGMAbwBwAGUAMwBfAFUAbgBpAHQAIgAsACIATQBNAFMAXwBTAHcAaQBuAGUAXwBNAGEAbgB1AHIAZQBBAHAAcABsAGkAZQBkAFQAbwBTAG8AaQBsAHMAXwBFAHEAdQBhAHQAaQBvAG4AcwAuAFYARQBFAFIARwBfADQAXwA1AF8AMQBfADkAXwBfADIAXwBNAGEAcwBzAE8AZgBOAGkAdAByAG8AZwBlAG4AQQBwAHAAbABpAGUAZABUAG8AUwBvAGkAbABzAFMAYwBvAHAAZQAzAF8AUwBvAHUAcgBjAGUAIgAsACIATQBNAFMAXwBTAHcAaQBuAGUAXwBNAGEAbgB1AHIAZQBBAHAAcABsAGkAZQBkAFQAbwBTAG8AaQBsAHMAXwBFAHEAdQBhAHQAaQBvAG4AcwAuAFYARQBFAFIARwBfADQAXwA1AF8AMQBfADkAXwBfADIAXwBNAGEAcwBzAE8AZgBOAGkAdAByAG8AZwBlAG4AQQBwAHAAbABpAGUAZABUAG8AUwBvAGkAbABzAFMAYwBvAHAAZQAzAF8ATgBJAFIAUgBlAGYAZQByAGUAbgBjAGUAIgAsACIATQBNAFMAXwBTAHcAaQBuAGUAXwBNAGEAbgB1AHIAZQBBAHAAcABsAGkAZQBkAFQAbwBTAG8AaQBsAHMAXwBFAHEAdQBhAHQAaQBvAG4AcwAuAFYARQBFAFIARwBfADQAXwA1AF8AMQBfADkAXwBfADIAXwBNAGEAcwBzAE8AZgBOAGkAdAByAG8AZwBlAG4AQQBwAHAAbABpAGUAZABUAG8AUwBvAGkAbABzAFMAYwBvAHAAZQAzAF8ATABhAHQAZQB4AEUAcQB1AGEAdABpAG8AbgAiACwAIgBNAE0AUwBfAFMAdwBpAG4AZQBfAE0AYQBuAHUAcgBlAEEAcABwAGwAaQBlAGQAVABvAFMAbwBpAGwAcwBfAEUAcQB1AGEAdABpAG8AbgBzAC4AVgBFAEUAUgBHAF8ANABfADUAXwAxAF8AOQBfAF8AMgBfAE0AYQBzAHMATwBmAE4AaQB0AHIAbwBnAGUAbgBBAHAAcABsAGkAZQBkAFQAbwBTAG8AaQBsAHMAUwBjAG8AcABlAD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Home</vt:lpstr>
      <vt:lpstr>Results</vt:lpstr>
      <vt:lpstr>Input - Site</vt:lpstr>
      <vt:lpstr>Input - Swine</vt:lpstr>
      <vt:lpstr>4.5.1.1-2 Methane</vt:lpstr>
      <vt:lpstr>4.5.1.3-4 Direct N20</vt:lpstr>
      <vt:lpstr>4.5.1.5-6 Atmos Dep</vt:lpstr>
      <vt:lpstr>4.5.1.7-8 Soil leach runoff</vt:lpstr>
      <vt:lpstr>4.5.1.9 Manure applied to soils</vt:lpstr>
      <vt:lpstr>Constants - Swine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2026-04-14T00:24:48Z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