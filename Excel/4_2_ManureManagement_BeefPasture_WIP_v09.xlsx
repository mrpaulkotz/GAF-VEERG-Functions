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8_{A555601C-99D7-4100-85C3-D42619A30F6E}" xr6:coauthVersionLast="47" xr6:coauthVersionMax="47" xr10:uidLastSave="{00000000-0000-0000-0000-000000000000}"/>
  <bookViews>
    <workbookView xWindow="1755" yWindow="1425" windowWidth="36255" windowHeight="19140" firstSheet="1"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8"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74" l="1"/>
  <c r="A23" i="74"/>
  <c r="A22" i="74"/>
  <c r="A21" i="74"/>
  <c r="A20" i="74"/>
  <c r="A16" i="74"/>
  <c r="A15" i="74"/>
  <c r="A14" i="74"/>
  <c r="A13" i="74"/>
  <c r="A9" i="74"/>
  <c r="A8" i="74"/>
  <c r="A4" i="74"/>
  <c r="A3" i="74"/>
  <c r="A24" i="72"/>
  <c r="A23" i="72"/>
  <c r="A22" i="72"/>
  <c r="A21" i="72"/>
  <c r="A20" i="72"/>
  <c r="A16" i="72"/>
  <c r="A15" i="72"/>
  <c r="A14" i="72"/>
  <c r="A13" i="72"/>
  <c r="A9" i="72"/>
  <c r="A8" i="72"/>
  <c r="A4" i="72"/>
  <c r="A3" i="72"/>
  <c r="A24" i="43"/>
  <c r="A23" i="43"/>
  <c r="A22" i="43"/>
  <c r="A21" i="43"/>
  <c r="A20" i="43"/>
  <c r="A16" i="43"/>
  <c r="A15" i="43"/>
  <c r="A14" i="43"/>
  <c r="A13" i="43"/>
  <c r="A9" i="43"/>
  <c r="A8" i="43"/>
  <c r="A4" i="43"/>
  <c r="A3" i="43"/>
  <c r="A24" i="108"/>
  <c r="A23" i="108"/>
  <c r="A22" i="108"/>
  <c r="A21" i="108"/>
  <c r="A20" i="108"/>
  <c r="A16" i="108"/>
  <c r="A15" i="108"/>
  <c r="A14" i="108"/>
  <c r="A13" i="108"/>
  <c r="A9" i="108"/>
  <c r="A8" i="108"/>
  <c r="A4" i="108"/>
  <c r="A3" i="108"/>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A24" i="71"/>
  <c r="A23" i="71"/>
  <c r="A22" i="71"/>
  <c r="A21" i="71"/>
  <c r="A20" i="71"/>
  <c r="A16" i="71"/>
  <c r="A15" i="71"/>
  <c r="A14" i="71"/>
  <c r="A13" i="71"/>
  <c r="A9" i="71"/>
  <c r="A8" i="71"/>
  <c r="A4" i="71"/>
  <c r="A3" i="71"/>
  <c r="D9" i="79"/>
  <c r="D8" i="79"/>
  <c r="I33" i="98"/>
  <c r="H225" i="76"/>
  <c r="E30" i="15"/>
  <c r="E33" i="15"/>
  <c r="E32" i="15"/>
  <c r="E31" i="15"/>
  <c r="I34" i="98"/>
  <c r="I30" i="97"/>
  <c r="H226" i="76"/>
  <c r="P39" i="98"/>
  <c r="G39" i="98"/>
  <c r="Q38" i="97"/>
  <c r="G38" i="97"/>
  <c r="X270" i="76"/>
  <c r="G232" i="76"/>
  <c r="Z279" i="69"/>
  <c r="G247" i="69"/>
  <c r="M28" i="76"/>
  <c r="L28" i="76"/>
  <c r="K28" i="76"/>
  <c r="J28" i="76"/>
  <c r="I28" i="76"/>
  <c r="H28" i="76"/>
  <c r="G28" i="76"/>
  <c r="F28" i="76"/>
  <c r="E28" i="76"/>
  <c r="D28" i="76"/>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c r="E175" i="108" a="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H53" i="108" l="1"/>
  <c r="H52" i="108"/>
  <c r="H50" i="108"/>
  <c r="H48" i="108"/>
  <c r="H51" i="108"/>
  <c r="H54" i="108"/>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72" i="70" l="1"/>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4" i="98" s="1"/>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I29" i="97" l="1"/>
  <c r="N98" i="70"/>
  <c r="K98" i="70"/>
  <c r="M98" i="70"/>
  <c r="L98" i="70"/>
  <c r="J98" i="70"/>
  <c r="I98" i="70"/>
  <c r="H98" i="70"/>
  <c r="G98" i="70"/>
  <c r="F98" i="70"/>
  <c r="E98" i="70"/>
  <c r="N99" i="70"/>
  <c r="M99" i="70"/>
  <c r="L99" i="70"/>
  <c r="K99" i="70"/>
  <c r="J99" i="70"/>
  <c r="I99" i="70"/>
  <c r="H99" i="70"/>
  <c r="G99" i="70"/>
  <c r="F99" i="70"/>
  <c r="E99" i="70"/>
  <c r="H100" i="70"/>
  <c r="G100" i="70"/>
  <c r="E100" i="70"/>
  <c r="F100" i="70"/>
  <c r="N100" i="70"/>
  <c r="M100" i="70"/>
  <c r="L100" i="70"/>
  <c r="K100" i="70"/>
  <c r="J100" i="70"/>
  <c r="I100" i="70"/>
  <c r="L77" i="70"/>
  <c r="I77" i="70"/>
  <c r="K77" i="70"/>
  <c r="J77" i="70"/>
  <c r="G77" i="70"/>
  <c r="F77" i="70"/>
  <c r="E77" i="70"/>
  <c r="H77" i="70"/>
  <c r="N77" i="70"/>
  <c r="M77" i="70"/>
  <c r="F172" i="70"/>
  <c r="L170" i="70"/>
  <c r="H169" i="70"/>
  <c r="N167" i="70"/>
  <c r="J166" i="70"/>
  <c r="F165" i="70"/>
  <c r="L163" i="70"/>
  <c r="H162" i="70"/>
  <c r="N150" i="70"/>
  <c r="J149" i="70"/>
  <c r="F148" i="70"/>
  <c r="L146" i="70"/>
  <c r="H145" i="70"/>
  <c r="N143" i="70"/>
  <c r="J142" i="70"/>
  <c r="F141" i="70"/>
  <c r="L139" i="70"/>
  <c r="N158" i="70"/>
  <c r="J157" i="70"/>
  <c r="F156" i="70"/>
  <c r="L136" i="70"/>
  <c r="H135" i="70"/>
  <c r="N133" i="70"/>
  <c r="J86" i="70"/>
  <c r="F85" i="70"/>
  <c r="L83" i="70"/>
  <c r="H64" i="70"/>
  <c r="N62" i="70"/>
  <c r="J61" i="70"/>
  <c r="I170" i="70"/>
  <c r="K167" i="70"/>
  <c r="I163" i="70"/>
  <c r="G149" i="70"/>
  <c r="I146" i="70"/>
  <c r="G142" i="70"/>
  <c r="I139" i="70"/>
  <c r="K133" i="70"/>
  <c r="I83" i="70"/>
  <c r="G61" i="70"/>
  <c r="H170" i="70"/>
  <c r="F166" i="70"/>
  <c r="H163" i="70"/>
  <c r="J150" i="70"/>
  <c r="J143" i="70"/>
  <c r="H139" i="70"/>
  <c r="F157" i="70"/>
  <c r="I167" i="70"/>
  <c r="G163" i="70"/>
  <c r="E149" i="70"/>
  <c r="M144" i="70"/>
  <c r="K140" i="70"/>
  <c r="I158" i="70"/>
  <c r="E172" i="70"/>
  <c r="K170" i="70"/>
  <c r="G169" i="70"/>
  <c r="M167" i="70"/>
  <c r="I166" i="70"/>
  <c r="E165" i="70"/>
  <c r="K163" i="70"/>
  <c r="G162" i="70"/>
  <c r="M150" i="70"/>
  <c r="I149" i="70"/>
  <c r="E148" i="70"/>
  <c r="K146" i="70"/>
  <c r="G145" i="70"/>
  <c r="M143" i="70"/>
  <c r="I142" i="70"/>
  <c r="E141" i="70"/>
  <c r="K139" i="70"/>
  <c r="M158" i="70"/>
  <c r="I157" i="70"/>
  <c r="E156" i="70"/>
  <c r="K136" i="70"/>
  <c r="G135" i="70"/>
  <c r="M133" i="70"/>
  <c r="I86" i="70"/>
  <c r="E85" i="70"/>
  <c r="K83" i="70"/>
  <c r="G64" i="70"/>
  <c r="M62" i="70"/>
  <c r="I61" i="70"/>
  <c r="E169" i="70"/>
  <c r="M164" i="70"/>
  <c r="K150" i="70"/>
  <c r="E145" i="70"/>
  <c r="G157" i="70"/>
  <c r="M155" i="70"/>
  <c r="E135" i="70"/>
  <c r="E64" i="70"/>
  <c r="N171" i="70"/>
  <c r="J170" i="70"/>
  <c r="F169" i="70"/>
  <c r="L167" i="70"/>
  <c r="H166" i="70"/>
  <c r="N164" i="70"/>
  <c r="J163" i="70"/>
  <c r="F162" i="70"/>
  <c r="L150" i="70"/>
  <c r="H149" i="70"/>
  <c r="N147" i="70"/>
  <c r="J146" i="70"/>
  <c r="F145" i="70"/>
  <c r="L143" i="70"/>
  <c r="H142" i="70"/>
  <c r="N140" i="70"/>
  <c r="J139" i="70"/>
  <c r="L158" i="70"/>
  <c r="H157" i="70"/>
  <c r="N155" i="70"/>
  <c r="J136" i="70"/>
  <c r="F135" i="70"/>
  <c r="L133" i="70"/>
  <c r="H86" i="70"/>
  <c r="N84" i="70"/>
  <c r="J83" i="70"/>
  <c r="F64" i="70"/>
  <c r="L62" i="70"/>
  <c r="H61" i="70"/>
  <c r="M171" i="70"/>
  <c r="G166" i="70"/>
  <c r="E162" i="70"/>
  <c r="M147" i="70"/>
  <c r="K143" i="70"/>
  <c r="M140" i="70"/>
  <c r="K158" i="70"/>
  <c r="I136" i="70"/>
  <c r="G86" i="70"/>
  <c r="M84" i="70"/>
  <c r="K62" i="70"/>
  <c r="L171" i="70"/>
  <c r="J167" i="70"/>
  <c r="N161" i="70"/>
  <c r="N144" i="70"/>
  <c r="J133" i="70"/>
  <c r="J62" i="70"/>
  <c r="F61" i="70"/>
  <c r="M168" i="70"/>
  <c r="M161" i="70"/>
  <c r="K147" i="70"/>
  <c r="G146" i="70"/>
  <c r="E142" i="70"/>
  <c r="G139" i="70"/>
  <c r="M134" i="70"/>
  <c r="G83" i="70"/>
  <c r="I62" i="70"/>
  <c r="H146" i="70"/>
  <c r="H136" i="70"/>
  <c r="E166" i="70"/>
  <c r="I150" i="70"/>
  <c r="I143" i="70"/>
  <c r="E157" i="70"/>
  <c r="K155" i="70"/>
  <c r="G136" i="70"/>
  <c r="E86" i="70"/>
  <c r="M63" i="70"/>
  <c r="N172" i="70"/>
  <c r="J171" i="70"/>
  <c r="F170" i="70"/>
  <c r="L168" i="70"/>
  <c r="H167" i="70"/>
  <c r="N165" i="70"/>
  <c r="J164" i="70"/>
  <c r="F163" i="70"/>
  <c r="L161" i="70"/>
  <c r="H150" i="70"/>
  <c r="N148" i="70"/>
  <c r="J147" i="70"/>
  <c r="F146" i="70"/>
  <c r="L144" i="70"/>
  <c r="H143" i="70"/>
  <c r="N141" i="70"/>
  <c r="J140" i="70"/>
  <c r="F139" i="70"/>
  <c r="H158" i="70"/>
  <c r="N156" i="70"/>
  <c r="J155" i="70"/>
  <c r="F136" i="70"/>
  <c r="L134" i="70"/>
  <c r="H133" i="70"/>
  <c r="N85" i="70"/>
  <c r="J84" i="70"/>
  <c r="F83" i="70"/>
  <c r="L63" i="70"/>
  <c r="H62" i="70"/>
  <c r="M172" i="70"/>
  <c r="I171" i="70"/>
  <c r="E170" i="70"/>
  <c r="K168" i="70"/>
  <c r="G167" i="70"/>
  <c r="M165" i="70"/>
  <c r="I164" i="70"/>
  <c r="E163" i="70"/>
  <c r="K161" i="70"/>
  <c r="G150" i="70"/>
  <c r="M148" i="70"/>
  <c r="I147" i="70"/>
  <c r="E146" i="70"/>
  <c r="K144" i="70"/>
  <c r="G143" i="70"/>
  <c r="M141" i="70"/>
  <c r="I140" i="70"/>
  <c r="E139" i="70"/>
  <c r="G133" i="70"/>
  <c r="M85" i="70"/>
  <c r="G155" i="70"/>
  <c r="I134" i="70"/>
  <c r="E133" i="70"/>
  <c r="I63" i="70"/>
  <c r="G158" i="70"/>
  <c r="M156" i="70"/>
  <c r="I155" i="70"/>
  <c r="E136" i="70"/>
  <c r="K134" i="70"/>
  <c r="I84" i="70"/>
  <c r="E83" i="70"/>
  <c r="K63" i="70"/>
  <c r="G62" i="70"/>
  <c r="K156" i="70"/>
  <c r="G84" i="70"/>
  <c r="E62" i="70"/>
  <c r="L172" i="70"/>
  <c r="H171" i="70"/>
  <c r="N169" i="70"/>
  <c r="J168" i="70"/>
  <c r="F167" i="70"/>
  <c r="L165" i="70"/>
  <c r="H164" i="70"/>
  <c r="N162" i="70"/>
  <c r="J161" i="70"/>
  <c r="F150" i="70"/>
  <c r="L148" i="70"/>
  <c r="H147" i="70"/>
  <c r="N145" i="70"/>
  <c r="J144" i="70"/>
  <c r="F143" i="70"/>
  <c r="L141" i="70"/>
  <c r="H140" i="70"/>
  <c r="F158" i="70"/>
  <c r="L156" i="70"/>
  <c r="H155" i="70"/>
  <c r="N135" i="70"/>
  <c r="J134" i="70"/>
  <c r="F133" i="70"/>
  <c r="L85" i="70"/>
  <c r="H84" i="70"/>
  <c r="N64" i="70"/>
  <c r="J63" i="70"/>
  <c r="F62" i="70"/>
  <c r="K172" i="70"/>
  <c r="G171" i="70"/>
  <c r="M169" i="70"/>
  <c r="I168" i="70"/>
  <c r="E167" i="70"/>
  <c r="K165" i="70"/>
  <c r="G164" i="70"/>
  <c r="M162" i="70"/>
  <c r="I161" i="70"/>
  <c r="E150" i="70"/>
  <c r="K148" i="70"/>
  <c r="G147" i="70"/>
  <c r="E143" i="70"/>
  <c r="K141" i="70"/>
  <c r="G140" i="70"/>
  <c r="E158" i="70"/>
  <c r="M135" i="70"/>
  <c r="K85" i="70"/>
  <c r="M64" i="70"/>
  <c r="M145" i="70"/>
  <c r="I144" i="70"/>
  <c r="J172" i="70"/>
  <c r="F171" i="70"/>
  <c r="L169" i="70"/>
  <c r="H168" i="70"/>
  <c r="N166" i="70"/>
  <c r="J165" i="70"/>
  <c r="F164" i="70"/>
  <c r="L162" i="70"/>
  <c r="H161" i="70"/>
  <c r="N149" i="70"/>
  <c r="J148" i="70"/>
  <c r="F147" i="70"/>
  <c r="L145" i="70"/>
  <c r="H144" i="70"/>
  <c r="N142" i="70"/>
  <c r="J141" i="70"/>
  <c r="F140" i="70"/>
  <c r="I172" i="70"/>
  <c r="E171" i="70"/>
  <c r="K169" i="70"/>
  <c r="G168" i="70"/>
  <c r="M166" i="70"/>
  <c r="I165" i="70"/>
  <c r="E164" i="70"/>
  <c r="K162" i="70"/>
  <c r="G161" i="70"/>
  <c r="M149" i="70"/>
  <c r="I148" i="70"/>
  <c r="E147" i="70"/>
  <c r="K145" i="70"/>
  <c r="G144" i="70"/>
  <c r="M142" i="70"/>
  <c r="I141" i="70"/>
  <c r="E140" i="70"/>
  <c r="M157" i="70"/>
  <c r="I156" i="70"/>
  <c r="E155" i="70"/>
  <c r="K135" i="70"/>
  <c r="G134" i="70"/>
  <c r="M86" i="70"/>
  <c r="I85" i="70"/>
  <c r="E84" i="70"/>
  <c r="K64" i="70"/>
  <c r="G63" i="70"/>
  <c r="M61" i="70"/>
  <c r="K142" i="70"/>
  <c r="G156" i="70"/>
  <c r="I135" i="70"/>
  <c r="G85" i="70"/>
  <c r="I64" i="70"/>
  <c r="K61" i="70"/>
  <c r="L164" i="70"/>
  <c r="F142" i="70"/>
  <c r="L155" i="70"/>
  <c r="F86" i="70"/>
  <c r="H83" i="70"/>
  <c r="K171" i="70"/>
  <c r="K164" i="70"/>
  <c r="H172" i="70"/>
  <c r="N170" i="70"/>
  <c r="J169" i="70"/>
  <c r="F168" i="70"/>
  <c r="L166" i="70"/>
  <c r="H165" i="70"/>
  <c r="N163" i="70"/>
  <c r="J162" i="70"/>
  <c r="F161" i="70"/>
  <c r="L149" i="70"/>
  <c r="H148" i="70"/>
  <c r="N146" i="70"/>
  <c r="J145" i="70"/>
  <c r="F144" i="70"/>
  <c r="L142" i="70"/>
  <c r="H141" i="70"/>
  <c r="N139" i="70"/>
  <c r="E181" i="70"/>
  <c r="L157" i="70"/>
  <c r="H156" i="70"/>
  <c r="N136" i="70"/>
  <c r="J135" i="70"/>
  <c r="F134" i="70"/>
  <c r="L86" i="70"/>
  <c r="H85" i="70"/>
  <c r="N83" i="70"/>
  <c r="J64" i="70"/>
  <c r="F63" i="70"/>
  <c r="L61" i="70"/>
  <c r="G141" i="70"/>
  <c r="E180" i="70"/>
  <c r="K157" i="70"/>
  <c r="M136" i="70"/>
  <c r="E134" i="70"/>
  <c r="K86" i="70"/>
  <c r="M83" i="70"/>
  <c r="E63" i="70"/>
  <c r="N168" i="70"/>
  <c r="L147" i="70"/>
  <c r="L140" i="70"/>
  <c r="J158" i="70"/>
  <c r="I133" i="70"/>
  <c r="K84" i="70"/>
  <c r="E61" i="70"/>
  <c r="G172" i="70"/>
  <c r="M170" i="70"/>
  <c r="I169" i="70"/>
  <c r="E168" i="70"/>
  <c r="K166" i="70"/>
  <c r="G165" i="70"/>
  <c r="M163" i="70"/>
  <c r="I162" i="70"/>
  <c r="E161" i="70"/>
  <c r="K149" i="70"/>
  <c r="G148" i="70"/>
  <c r="M146" i="70"/>
  <c r="I145" i="70"/>
  <c r="E144" i="70"/>
  <c r="M139" i="70"/>
  <c r="F149" i="70"/>
  <c r="N134" i="70"/>
  <c r="L84" i="70"/>
  <c r="N63" i="70"/>
  <c r="G170" i="70"/>
  <c r="F155" i="70"/>
  <c r="H134" i="70"/>
  <c r="F84" i="70"/>
  <c r="N157" i="70"/>
  <c r="J156" i="70"/>
  <c r="L64" i="70"/>
  <c r="N61" i="70"/>
  <c r="L135" i="70"/>
  <c r="N86" i="70"/>
  <c r="J85" i="70"/>
  <c r="H63" i="70"/>
  <c r="M75" i="70"/>
  <c r="L75" i="70"/>
  <c r="K75" i="70"/>
  <c r="J75" i="70"/>
  <c r="I75" i="70"/>
  <c r="G75" i="70"/>
  <c r="N75" i="70"/>
  <c r="F75" i="70"/>
  <c r="E75" i="70"/>
  <c r="H75" i="70"/>
  <c r="H76" i="70"/>
  <c r="G76" i="70"/>
  <c r="F76" i="70"/>
  <c r="E76" i="70"/>
  <c r="N76" i="70"/>
  <c r="M76" i="70"/>
  <c r="K76" i="70"/>
  <c r="I76" i="70"/>
  <c r="J76" i="70"/>
  <c r="L76" i="70"/>
  <c r="L78" i="70"/>
  <c r="K78" i="70"/>
  <c r="M78" i="70"/>
  <c r="N78" i="70"/>
  <c r="J78" i="70"/>
  <c r="I78" i="70"/>
  <c r="H78" i="70"/>
  <c r="G78" i="70"/>
  <c r="E78" i="70"/>
  <c r="F78" i="70"/>
  <c r="N74" i="70"/>
  <c r="M74" i="70"/>
  <c r="K74" i="70"/>
  <c r="L74" i="70"/>
  <c r="I74" i="70"/>
  <c r="H74" i="70"/>
  <c r="G74" i="70"/>
  <c r="F74" i="70"/>
  <c r="E74" i="70"/>
  <c r="J74" i="70"/>
  <c r="J90" i="70"/>
  <c r="I90" i="70"/>
  <c r="G90" i="70"/>
  <c r="H90" i="70"/>
  <c r="F90" i="70"/>
  <c r="E90" i="70"/>
  <c r="M90" i="70"/>
  <c r="L90" i="70"/>
  <c r="K90" i="70"/>
  <c r="N90" i="70"/>
  <c r="F89" i="70"/>
  <c r="E89" i="70"/>
  <c r="N89" i="70"/>
  <c r="M89" i="70"/>
  <c r="L89" i="70"/>
  <c r="K89" i="70"/>
  <c r="I89" i="70"/>
  <c r="G89" i="70"/>
  <c r="H89" i="70"/>
  <c r="J89" i="70"/>
  <c r="N67" i="70"/>
  <c r="K67" i="70"/>
  <c r="J67" i="70"/>
  <c r="M67" i="70"/>
  <c r="L67" i="70"/>
  <c r="H67" i="70"/>
  <c r="E67" i="70"/>
  <c r="G67" i="70"/>
  <c r="F67" i="70"/>
  <c r="I67" i="70"/>
  <c r="N91" i="70"/>
  <c r="M91" i="70"/>
  <c r="L91" i="70"/>
  <c r="K91" i="70"/>
  <c r="I91" i="70"/>
  <c r="H91" i="70"/>
  <c r="G91" i="70"/>
  <c r="F91" i="70"/>
  <c r="E91" i="70"/>
  <c r="J91" i="70"/>
  <c r="J73" i="70"/>
  <c r="G73" i="70"/>
  <c r="I73" i="70"/>
  <c r="H73" i="70"/>
  <c r="M73" i="70"/>
  <c r="K73" i="70"/>
  <c r="E73" i="70"/>
  <c r="L73" i="70"/>
  <c r="F73" i="70"/>
  <c r="N73" i="70"/>
  <c r="N68" i="70"/>
  <c r="L68" i="70"/>
  <c r="K68" i="70"/>
  <c r="J68" i="70"/>
  <c r="I68" i="70"/>
  <c r="G68" i="70"/>
  <c r="F68" i="70"/>
  <c r="E68" i="70"/>
  <c r="M68" i="70"/>
  <c r="H68" i="70"/>
  <c r="N92" i="70"/>
  <c r="M92" i="70"/>
  <c r="L92" i="70"/>
  <c r="K92" i="70"/>
  <c r="J92" i="70"/>
  <c r="I92" i="70"/>
  <c r="G92" i="70"/>
  <c r="F92" i="70"/>
  <c r="E92" i="70"/>
  <c r="H92" i="70"/>
  <c r="H69" i="70"/>
  <c r="G69" i="70"/>
  <c r="E69" i="70"/>
  <c r="F69" i="70"/>
  <c r="N69" i="70"/>
  <c r="M69" i="70"/>
  <c r="K69" i="70"/>
  <c r="J69" i="70"/>
  <c r="I69" i="70"/>
  <c r="L69" i="70"/>
  <c r="H93" i="70"/>
  <c r="G93" i="70"/>
  <c r="E93" i="70"/>
  <c r="F93" i="70"/>
  <c r="N93" i="70"/>
  <c r="M93" i="70"/>
  <c r="K93" i="70"/>
  <c r="I93" i="70"/>
  <c r="J93" i="70"/>
  <c r="L93" i="70"/>
  <c r="L70" i="70"/>
  <c r="I70" i="70"/>
  <c r="G70" i="70"/>
  <c r="K70" i="70"/>
  <c r="J70" i="70"/>
  <c r="F70" i="70"/>
  <c r="E70" i="70"/>
  <c r="M70" i="70"/>
  <c r="H70" i="70"/>
  <c r="N70" i="70"/>
  <c r="L94" i="70"/>
  <c r="G94" i="70"/>
  <c r="K94" i="70"/>
  <c r="J94" i="70"/>
  <c r="I94" i="70"/>
  <c r="F94" i="70"/>
  <c r="E94" i="70"/>
  <c r="N94" i="70"/>
  <c r="M94" i="70"/>
  <c r="H94" i="70"/>
  <c r="N71" i="70"/>
  <c r="M71" i="70"/>
  <c r="K71" i="70"/>
  <c r="L71" i="70"/>
  <c r="J71" i="70"/>
  <c r="I71" i="70"/>
  <c r="H71" i="70"/>
  <c r="G71" i="70"/>
  <c r="E71" i="70"/>
  <c r="F71" i="70"/>
  <c r="M95" i="70"/>
  <c r="N95" i="70"/>
  <c r="K95" i="70"/>
  <c r="J95" i="70"/>
  <c r="I95" i="70"/>
  <c r="H95" i="70"/>
  <c r="G95" i="70"/>
  <c r="E95" i="70"/>
  <c r="L95" i="70"/>
  <c r="F95" i="70"/>
  <c r="F72" i="70"/>
  <c r="E72" i="70"/>
  <c r="N72" i="70"/>
  <c r="M72" i="70"/>
  <c r="L72" i="70"/>
  <c r="K72" i="70"/>
  <c r="I72" i="70"/>
  <c r="H72" i="70"/>
  <c r="G72" i="70"/>
  <c r="J72" i="70"/>
  <c r="F96" i="70"/>
  <c r="E96" i="70"/>
  <c r="N96" i="70"/>
  <c r="M96" i="70"/>
  <c r="L96" i="70"/>
  <c r="K96" i="70"/>
  <c r="I96" i="70"/>
  <c r="H96" i="70"/>
  <c r="G96" i="70"/>
  <c r="J96" i="70"/>
  <c r="J97" i="70"/>
  <c r="E97" i="70"/>
  <c r="I97" i="70"/>
  <c r="G97" i="70"/>
  <c r="H97" i="70"/>
  <c r="N97" i="70"/>
  <c r="M97" i="70"/>
  <c r="K97" i="70"/>
  <c r="F97" i="70"/>
  <c r="L97" i="70"/>
  <c r="AB159" i="69"/>
  <c r="Z154" i="69" a="1"/>
  <c r="Z154" i="69" s="1"/>
  <c r="W154" i="69" a="1"/>
  <c r="W154" i="69" s="1"/>
  <c r="I160" i="69"/>
  <c r="I159" i="69"/>
  <c r="J16" i="69"/>
  <c r="E171" i="69" l="1"/>
  <c r="E172" i="69"/>
  <c r="I158" i="69"/>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21" i="70"/>
  <c r="L123" i="70"/>
  <c r="L122" i="70"/>
  <c r="M121" i="70"/>
  <c r="N121" i="70" s="1"/>
  <c r="L124" i="70"/>
  <c r="M124" i="70"/>
  <c r="M123" i="70"/>
  <c r="M122" i="70"/>
  <c r="W172" i="69"/>
  <c r="X172" i="69" s="1"/>
  <c r="W171" i="69"/>
  <c r="X171" i="69" s="1"/>
  <c r="O121" i="70" l="1"/>
  <c r="N124" i="70"/>
  <c r="O124" i="70" s="1"/>
  <c r="N122" i="70"/>
  <c r="O122" i="70" s="1"/>
  <c r="N123" i="70"/>
  <c r="O123" i="70" s="1"/>
  <c r="G87" i="76"/>
  <c r="F87" i="76"/>
  <c r="E87" i="76"/>
  <c r="D87" i="76"/>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26" i="98" a="1"/>
  <c r="E22" i="97" a="1"/>
  <c r="E7"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42" i="76" a="1"/>
  <c r="E104" i="76" a="1"/>
  <c r="E178" i="76" a="1"/>
  <c r="E136" i="76" a="1"/>
  <c r="E7" i="76" a="1"/>
  <c r="E148" i="69" a="1"/>
  <c r="E218" i="76" a="1"/>
  <c r="E101" i="69" a="1"/>
  <c r="E206" i="69" a="1"/>
  <c r="E39"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6" i="69" l="1"/>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<sst xmlns="http://schemas.openxmlformats.org/spreadsheetml/2006/main" count="1937" uniqueCount="388">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</sst>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29">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54" dataCellStyle="Content normal">
      <calculatedColumnFormula>D351</calculatedColumnFormula>
    </tableColumn>
    <tableColumn id="2" xr3:uid="{B172192B-EDB5-47A5-A010-C82516ED13B5}" name="Bulls &lt; 1 year" dataDxfId="53" dataCellStyle="Content normal">
      <calculatedColumnFormula>E351</calculatedColumnFormula>
    </tableColumn>
    <tableColumn id="3" xr3:uid="{F83B528D-B6D7-4E92-967F-018ED1475D9B}" name="Bulls &gt; 1 year" dataDxfId="52" dataCellStyle="Content normal">
      <calculatedColumnFormula>F351</calculatedColumnFormula>
    </tableColumn>
    <tableColumn id="4" xr3:uid="{E83019D4-F113-4C9E-ADA7-433997A968A1}" name="Cows &lt; 1 year" dataDxfId="51" dataCellStyle="Content normal">
      <calculatedColumnFormula>G351</calculatedColumnFormula>
    </tableColumn>
    <tableColumn id="5" xr3:uid="{B51413B2-710F-409C-8C3C-6B72C8E99B49}" name="Cows 1-2 years" dataDxfId="50" dataCellStyle="Content normal">
      <calculatedColumnFormula>H351</calculatedColumnFormula>
    </tableColumn>
    <tableColumn id="6" xr3:uid="{F7B12596-1E7F-417C-83F5-67964BA7AAAE}" name="Cows 2-3 years" dataDxfId="49" dataCellStyle="Content normal">
      <calculatedColumnFormula>I351</calculatedColumnFormula>
    </tableColumn>
    <tableColumn id="7" xr3:uid="{C1B8EAD9-BCCE-49FF-9E3D-15E99DEC329C}" name="Cows &gt; 3 years" dataDxfId="48" dataCellStyle="Content normal">
      <calculatedColumnFormula>I351</calculatedColumnFormula>
    </tableColumn>
    <tableColumn id="8" xr3:uid="{6AB556D2-AF6C-4E98-9AA1-A8C6DC5F5CA9}" name="Steers &lt; 1 year" dataDxfId="47" dataCellStyle="Content normal">
      <calculatedColumnFormula>J351</calculatedColumnFormula>
    </tableColumn>
    <tableColumn id="9" xr3:uid="{46DC3CBA-6FB0-4A95-A39E-B2179DC8CFE6}" name="Steers 1-2 years" dataDxfId="46" dataCellStyle="Content normal">
      <calculatedColumnFormula>K351</calculatedColumnFormula>
    </tableColumn>
    <tableColumn id="10" xr3:uid="{105CEA90-EFAD-4757-B82A-B19E9A3F2664}" name="Steers 2-3 years" dataDxfId="45" dataCellStyle="Content normal"/>
    <tableColumn id="11" xr3:uid="{5E2A59D6-56CA-4967-885E-8602CA905B74}" name="Steers &gt;3 years" dataDxfId="44" dataCellStyle="Content normal"/>
    <tableColumn id="12" xr3:uid="{1C306FC1-FFBA-4C23-8EAD-1C07A5BAAA50}" name="State abbreviation" dataDxfId="43"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31"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30"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29"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28"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27"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2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65F081C-C6F5-431A-A7CD-A034D8269F0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DF614A-57D2-41C6-9E64-964CA92028F5}" name="State/Territory">
      <calculatedColumnFormula array="1">Common_InputFunctions.Utility_DisplayArrayInTable(Common_SourceData.Common_SourceData_AustralianStatesTerritories_Data(),Table_AustralianStates[[#Headers],[State/Territory]],0)</calculatedColumnFormula>
    </tableColumn>
    <tableColumn id="2" xr3:uid="{F692CBF8-6796-47D4-B7D0-4C93CF5655A2}" name="Common Name">
      <calculatedColumnFormula array="1">Common_InputFunctions.Utility_DisplayArrayInTable(Common_SourceData.Common_SourceData_AustralianStatesTerritories_Data(),Table_AustralianStates[[#Headers],[State/Territory]],0)</calculatedColumnFormula>
    </tableColumn>
    <tableColumn id="3" xr3:uid="{4A9867C9-FE93-4222-AEBF-0529F41C21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E0FD4F-C516-422E-9475-A69EF9491B51}" name="Table_WASA4Areas" displayName="Table_WASA4Areas" ref="D20:D30" totalsRowShown="0">
  <autoFilter ref="D20:D30" xr:uid="{5FA81339-C6C8-4D36-BEEA-6C4AEDD9E676}">
    <filterColumn colId="0" hiddenButton="1"/>
  </autoFilter>
  <tableColumns count="1">
    <tableColumn id="1" xr3:uid="{8F5B330D-FAD7-40FC-AF57-1B76FC01D91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7436B2-B41B-42D9-9819-221A726E31DB}" name="Table_GWPData" displayName="Table_GWPData" ref="D36:E43" totalsRowShown="0">
  <autoFilter ref="D36:E43" xr:uid="{B8E87A66-3E41-4AD3-925D-01EE21B43D7A}">
    <filterColumn colId="0" hiddenButton="1"/>
    <filterColumn colId="1" hiddenButton="1"/>
  </autoFilter>
  <tableColumns count="2">
    <tableColumn id="1" xr3:uid="{A1DE5110-C2BB-4900-B550-64FEC93EED20}" name="Gas">
      <calculatedColumnFormula array="1">Common_InputFunctions.Utility_DisplayArrayInTable(Common_SourceData.Common_SourceData_GWP_Data(), Table_GWPData[[#Headers],[Gas]], 0)</calculatedColumnFormula>
    </tableColumn>
    <tableColumn id="2" xr3:uid="{89CB3979-9D7F-432B-A0FC-8BA6671882D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E71A54-CFE1-4A5B-828D-708F1C8DD9C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E44BC98-A7D9-40C0-9125-46C44F626884}" name="Gas">
      <calculatedColumnFormula array="1">Common_InputFunctions.Utility_DisplayArrayInTable(Common_SourceData.Common_SourceData_ConvertGasElementalToMolecular_Data(),Table_GasToMolecularConversionFactor[[#Headers],[Gas]], 0)</calculatedColumnFormula>
    </tableColumn>
    <tableColumn id="5" xr3:uid="{944E8E2C-C02D-4A0E-9EA5-C3C09AD0E689}" name="Conversion factor">
      <calculatedColumnFormula array="1">Common_InputFunctions.Utility_DisplayArrayInTable(Common_SourceData.Common_SourceData_ConvertGasElementalToMolecular_Data(),Table_GasToMolecularConversionFactor[[#Headers],[Gas]], 0)</calculatedColumnFormula>
    </tableColumn>
    <tableColumn id="2" xr3:uid="{62D6B421-8A7F-4357-9242-BD1A15BA265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F4D4F23-2DBA-4B01-A873-B6F84390EA9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52C23D2-C0AF-4F46-B64A-72A4FFD4A2D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4B9F33-6715-4D4F-A8F4-F0FDD89969C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0D2781-4A9E-4A88-A6AB-41306C0E96B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8C840A1-909D-48DB-9C8F-2F573AE18A12}" name="MA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3" xr3:uid="{C47B1E20-4CBA-4298-A435-AF1CD465238F}" name="MA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4" xr3:uid="{74BC0E69-8BCA-4306-90D9-C6B2F739E042}" name="Frost days per year"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5" xr3:uid="{59BB5D70-E1A5-479F-9256-5B4E2863C9B5}" name="Elevation"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6" xr3:uid="{C011E522-FEFE-4067-9A74-D13A88E7707C}" name="MAP:PET"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7" xr3:uid="{019C3CB4-BA1F-4612-AA0F-AC99EA4D076E}" name="Min temp"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8" xr3:uid="{311299AB-0F6F-4B40-A6B2-1C15AB3847F2}" name="Max temp"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9" xr3:uid="{BD597E0F-E424-4E56-B130-0A30CA6EFCEE}" name="Min rainfall"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0" xr3:uid="{A73660AD-4E38-408E-8D63-3A913E8B551B}" name="Max rainfall"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1" xr3:uid="{FDEB88F8-FFA4-4749-B294-5C9A0D3449DE}" name="Min frost days"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5" xr3:uid="{DF5B6A0A-7BDF-4BB5-83F7-9705AD6911DC}" name="Max frost days"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2" xr3:uid="{0CD1B3A4-8BD7-48F9-AA15-994EF4A6A9EB}" name="Min 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6" xr3:uid="{61A696CE-424C-44C9-9B36-B82928FC5FB5}" name="Max 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3" xr3:uid="{FAE30F93-78BF-4B0E-AAC0-5B8318695E08}" name="Min 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7" xr3:uid="{804C4F05-F838-434C-AA85-C0A77B2016D4}" name="Max MAP:PET" totalsRowDxfId="1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E07597F-0398-4B06-AE83-51136FE4C4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F7F64B7-CD38-4E1E-AE19-A6135FBF9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EAC134-2EDA-4495-A34D-706785758DD3}" name="Wet or Dry Zone" totalsRowDxfId="1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BF28A06-B32E-468E-83D8-5D13D1E83D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F8F53CB-59FB-4608-BDB1-A5E1D576261C}" name="Temperature Zone">
      <calculatedColumnFormula array="1">Common_InputFunctions.Utility_DisplayArrayInTable(Common_SourceData.Common_SourceData_TemperatureZones_Data(),Table_SourceData_TemperatureZones[[#Headers],[Temperature Zone]],0)</calculatedColumnFormula>
    </tableColumn>
    <tableColumn id="2" xr3:uid="{1E51637F-A5C6-4DDE-863D-FAC79A573A88}" name="MAT">
      <calculatedColumnFormula array="1">Common_InputFunctions.Utility_DisplayArrayInTable(Common_SourceData.Common_SourceData_TemperatureZones_Data(),Table_SourceData_TemperatureZones[[#Headers],[Temperature Zone]],0)</calculatedColumnFormula>
    </tableColumn>
    <tableColumn id="3" xr3:uid="{7268E9BB-B34C-4365-BF0C-CB8806EBE5D0}" name="Min MAT">
      <calculatedColumnFormula array="1">Common_InputFunctions.Utility_DisplayArrayInTable(Common_SourceData.Common_SourceData_TemperatureZones_Data(),Table_SourceData_TemperatureZones[[#Headers],[Temperature Zone]],0)</calculatedColumnFormula>
    </tableColumn>
    <tableColumn id="4" xr3:uid="{56834330-8DB2-4279-9506-A3C12E10FAD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82C44E4-23BB-401E-9A68-285BAECAB1F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8B2EA5-4F52-4CA4-B6F6-03551065C2A2}" name="Rainfall Zone">
      <calculatedColumnFormula array="1">Common_InputFunctions.Utility_DisplayArrayInTable(Common_SourceData.Common_SourceData_RainfallZones_Data(),Table_SourceData_RainfallZones[[#Headers],[Rainfall Zone]],0)</calculatedColumnFormula>
    </tableColumn>
    <tableColumn id="2" xr3:uid="{28A8E228-16DC-4F98-A275-362E65DF1463}" name="Annual rainfall">
      <calculatedColumnFormula array="1">Common_InputFunctions.Utility_DisplayArrayInTable(Common_SourceData.Common_SourceData_RainfallZones_Data(),Table_SourceData_RainfallZones[[#Headers],[Rainfall Zone]],0)</calculatedColumnFormula>
    </tableColumn>
    <tableColumn id="3" xr3:uid="{E90A3363-78AD-415D-AFC9-2E80BEB9881F}" name="Min rainfall">
      <calculatedColumnFormula array="1">Common_InputFunctions.Utility_DisplayArrayInTable(Common_SourceData.Common_SourceData_RainfallZones_Data(),Table_SourceData_RainfallZones[[#Headers],[Rainfall Zone]],0)</calculatedColumnFormula>
    </tableColumn>
    <tableColumn id="4" xr3:uid="{BA0CE54E-D974-4512-BD06-7EE424C657E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A5BB690-6C83-48E5-B7DA-831C9476ADC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350AF9B-9E31-432F-B299-C320304AE376}" name="Leaching Zone">
      <calculatedColumnFormula array="1">Common_InputFunctions.Utility_DisplayArrayInTable(Common_SourceData.Common_SourceData_LeachingZones_Data(), Table_SourceData_LeachingZones[[#Headers],[Leaching Zone]], 0)</calculatedColumnFormula>
    </tableColumn>
    <tableColumn id="2" xr3:uid="{F5B79EB2-74EA-4894-9BE3-A08BD37E409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3E78698-269C-4AEA-8887-1F3D096512D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90D8F04-859F-4301-8529-66B8FCC36476}" name="Data source">
      <calculatedColumnFormula array="1">Common_InputFunctions.Utility_DisplayArrayInTable(Common_SourceData.Common_SourceData_DataScores_Scope3_Data(), Table_SourceData_DataScores_Scope3[[#Headers],[Data source]], 0)</calculatedColumnFormula>
    </tableColumn>
    <tableColumn id="2" xr3:uid="{82602A33-55D3-4EE1-922F-6021846808B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9AD3B10-C9D8-400E-92F5-E671ACE17282}" name="Table_SourceData_FracWET" displayName="Table_SourceData_FracWET" ref="D134:E136" totalsRowShown="0">
  <autoFilter ref="D134:E136" xr:uid="{308E99BE-FE1F-47A4-B2CA-97217277C4E9}">
    <filterColumn colId="0" hiddenButton="1"/>
    <filterColumn colId="1" hiddenButton="1"/>
  </autoFilter>
  <tableColumns count="2">
    <tableColumn id="1" xr3:uid="{8D1358E5-520B-4F9A-86EF-D32A37717E85}" name="Is in leaching zone">
      <calculatedColumnFormula array="1">Common_InputFunctions.Utility_DisplayArrayInTable(Common_SourceData.Common_SourceData_FracWET_Data(),Table_SourceData_FracWET[[#Headers],[Is in leaching zone]],0)</calculatedColumnFormula>
    </tableColumn>
    <tableColumn id="2" xr3:uid="{C0D9EA1B-6DC0-4059-9E32-A791E1E292D6}" name="FracWET" dataDxfId="1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BAA056-3463-425E-A272-9F34200132A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A8DE9C5-D6F2-49AB-9D2B-7215870DF58C}" name="Production system j">
      <calculatedColumnFormula array="1">Common_InputFunctions.Utility_DisplayArrayInTable(Common_SourceData.Common_SourceData_EFN2O_Data(), Table_SourceData_Common_EFN2O[[#Headers],[Production system j]], 0)</calculatedColumnFormula>
    </tableColumn>
    <tableColumn id="2" xr3:uid="{7B847DBF-07BE-4F8C-9F57-605A82011712}" name="EFN2O">
      <calculatedColumnFormula array="1">Common_InputFunctions.Utility_DisplayArrayInTable(Common_SourceData.Common_SourceData_EFN2O_Data(), Table_SourceData_Common_EFN2O[[#Headers],[Production system j]], 0)</calculatedColumnFormula>
    </tableColumn>
    <tableColumn id="3" xr3:uid="{940DB998-4E56-4361-A5F5-9852AF57F3F2}" name="Production system only">
      <calculatedColumnFormula array="1">Common_InputFunctions.Utility_DisplayArrayInTable(Common_SourceData.Common_SourceData_EFN2O_Data(), Table_SourceData_Common_EFN2O[[#Headers],[Production system j]], 0)</calculatedColumnFormula>
    </tableColumn>
    <tableColumn id="4" xr3:uid="{FB4524BD-EFD3-4831-8A8D-0ABB405CA192}" name="Irrigation method">
      <calculatedColumnFormula array="1">Common_InputFunctions.Utility_DisplayArrayInTable(Common_SourceData.Common_SourceData_EFN2O_Data(), Table_SourceData_Common_EFN2O[[#Headers],[Production system j]], 0)</calculatedColumnFormula>
    </tableColumn>
    <tableColumn id="5" xr3:uid="{464C40C3-2CD1-4002-B1D7-09A2ECF5DFE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2A60F-0B0C-4C01-A64F-2137373D162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F47AB9-8B35-459F-B453-6774DFE24294}" name="Irrigation type i">
      <calculatedColumnFormula array="1">Common_InputFunctions.Utility_DisplayArrayInTable(Common_SourceData.Common_SourceData_FracWETIrrigation_Data(), Table_SourceData_FracWETIrrigation[[#Headers],[Irrigation type i]], 0)</calculatedColumnFormula>
    </tableColumn>
    <tableColumn id="2" xr3:uid="{981381FC-9CF5-4AAB-AB5B-1A32EF297D64}" name="FracWET" dataDxfId="1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7B4450-ECE8-458B-82D7-739CD75A4B0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A081E9F-0370-463D-8D52-0C7AA55CAA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263EEAD-A79C-4181-89F7-5BB82DDEDC95}" name="EFPRP" dataDxfId="1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F556663-6002-4B2E-AC21-12B90A3CA22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A6C95E4-D544-44AC-893E-2F0E054D2B36}" name="Month">
      <calculatedColumnFormula array="1">Common_InputFunctions.Utility_DisplayArrayInTable(Common_SourceData.Common_SourceData_MonthsToSeasons_Data(), Table_SourceData_Common_MonthToSeason[[#Headers],[Month]], 0)</calculatedColumnFormula>
    </tableColumn>
    <tableColumn id="2" xr3:uid="{40B3CDAA-06D2-40D0-8B0B-9C614DA6D2A3}" name="Season" dataDxfId="1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3C1E72B-89A1-4C34-807B-44CCD554FA1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01E2CC0-D59E-4559-A3ED-9D52B86804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8D340C-84B5-4A93-9C33-73FB4D01935D}" name="MAT (ºC)"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9B22DC-EDB9-4B9C-93B2-6E7C0F2F085C}" name="Anaerobic lagoon"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EF7CDBD-8CA7-420A-9C1B-0F30F82138ED}" name="Digester / covered lagoons"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823A77-2517-4B84-BBC5-03B30BCB8A98}" name="Liquid systems"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0952260-5A80-45E6-A59D-00352FC4CD64}" name="Daily spread"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805169D-6327-4F71-93EE-30D09610D3FA}" name="Composting (passive windrow)"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77A993A-8D4A-4F13-83C7-64A9EEC88A68}" name="Solid storage"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8017448-6906-4949-A62A-FFE81596EF70}" name="Pit storage"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BC53DC-642B-4954-BE32-E97FB413A35B}" name="Deep litter"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C029DCB-64B5-4F27-97F7-E7EC07ADCE31}" name="Poultry manure with bedding"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9B5E0FC-08F3-4B0F-9544-F5E082519E19}" name="Poultry manure without bedding"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2BE50F8-9F21-473C-AC1C-75774AC7566C}" name="Direct processing"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E4714B-C917-4E9F-A839-3AB254E70752}" name="Direct application"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ED3F5D-93D2-44E5-9C40-C92623B3FA87}" name="Pasture range and paddock"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049430B-AD1E-4D6F-A471-D7AF0AD635F8}" name="MAT ra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A14E5B5-B720-431C-A065-8F960CCD09D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602AF22-6828-4F14-9953-DBF646957C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D165307-C2C2-4D8B-B2DE-383452EB0B3E}" name="EFNi &amp; EFN2Oi" dataDxfId="1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7.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24"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7"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DATE(YEAR(E12)+1,MONTH(E12),DAY(E12))-1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E26/E27</f>
        <v>0.45324283559577677</v>
      </c>
      <c r="F29" s="2"/>
    </row>
    <row r="30" spans="1:25" ht="20.100000000000001" customHeight="1" x14ac:dyDescent="0.25">
      <c r="A30"/>
      <c r="D30" s="10" t="s">
        <v>33</v>
      </c>
      <c r="E30" s="50" t="str">
        <f>Common_InputFunctions.Utility_LookupItemFromMinMax(E26,Table_SourceData_RainfallZones[Min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Common_InputFunctions.Utility_LookupValueInTable($E$31,Table_SourceData_WetDryZones[Climate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Common_InputFunctions.Utility_LookupItemFromMinMax(E25,Table_SourceData_TemperatureZones[Min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abSelected="1" topLeftCell="A90" zoomScaleNormal="100" workbookViewId="0">
      <selection activeCell="D199" sqref="D19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223</v>
      </c>
      <c r="K103" s="2"/>
      <c r="L103" s="2"/>
      <c r="M103" s="2"/>
      <c r="N103" s="2"/>
      <c r="O103" s="2"/>
      <c r="T103" s="7"/>
    </row>
    <row r="104" spans="4:20" ht="20.100000000000001" customHeight="1" x14ac:dyDescent="0.25">
      <c r="D104" s="60" t="s">
        <v>130</v>
      </c>
      <c r="E104" s="60"/>
      <c r="F104" s="60"/>
      <c r="G104" s="60"/>
      <c r="T104" s="7"/>
    </row>
    <row r="105" spans="4:20" ht="20.100000000000001" customHeight="1" x14ac:dyDescent="0.25">
      <c r="D105" s="1" t="s">
        <v>240</v>
      </c>
      <c r="E105" s="38" t="s">
        <v>170</v>
      </c>
      <c r="F105" s="2" t="s">
        <v>8</v>
      </c>
      <c r="T105" s="7"/>
    </row>
    <row r="106" spans="4:20" ht="20.100000000000001" customHeight="1" x14ac:dyDescent="0.25">
      <c r="T106" s="7"/>
    </row>
    <row r="107" spans="4:20" ht="20.100000000000001" customHeight="1" x14ac:dyDescent="0.25"/>
    <row r="108" spans="4:20" ht="20.100000000000001" customHeight="1" x14ac:dyDescent="0.25">
      <c r="K108" s="1" t="s">
        <v>347</v>
      </c>
    </row>
    <row r="109" spans="4:20" ht="20.100000000000001" customHeight="1" x14ac:dyDescent="0.25"/>
    <row r="110" spans="4:20" ht="20.100000000000001" customHeight="1" x14ac:dyDescent="0.25">
      <c r="E110" s="60" t="s">
        <v>343</v>
      </c>
      <c r="F110" s="60" t="s">
        <v>160</v>
      </c>
      <c r="G110" s="60" t="s">
        <v>161</v>
      </c>
      <c r="H110" s="60" t="s">
        <v>162</v>
      </c>
      <c r="L110" s="1" t="s">
        <v>159</v>
      </c>
      <c r="M110" s="1" t="s">
        <v>163</v>
      </c>
      <c r="N110" s="2"/>
      <c r="O110" s="2"/>
    </row>
    <row r="111" spans="4:20" ht="20.100000000000001" customHeight="1" x14ac:dyDescent="0.25">
      <c r="D111" s="1" t="str">
        <f>"Proportion of cows &gt; 1 years in calf in " &amp; E105</f>
        <v>Proportion of cows &gt; 1 years in calf in Winter</v>
      </c>
      <c r="E111" s="38" t="s">
        <v>342</v>
      </c>
      <c r="F111" s="44">
        <v>0.7</v>
      </c>
      <c r="G111" s="44">
        <v>0.5</v>
      </c>
      <c r="H111" s="44">
        <v>0.5</v>
      </c>
      <c r="I111" s="2" t="s">
        <v>16</v>
      </c>
      <c r="L111" s="50">
        <f>MAX(0, G42-G41)</f>
        <v>0</v>
      </c>
      <c r="M111" s="50">
        <f>MAX(0,K42-K41)</f>
        <v>0</v>
      </c>
      <c r="N111" s="2"/>
      <c r="O111" s="2"/>
    </row>
    <row r="112" spans="4:20" ht="20.100000000000001" customHeight="1" x14ac:dyDescent="0.25">
      <c r="D112" s="1" t="s">
        <v>167</v>
      </c>
      <c r="E112" s="38" t="s">
        <v>342</v>
      </c>
      <c r="F112" s="44">
        <v>0.1</v>
      </c>
      <c r="G112" s="44">
        <v>0.4</v>
      </c>
      <c r="H112" s="44">
        <v>0.4</v>
      </c>
      <c r="I112" s="2" t="s">
        <v>16</v>
      </c>
      <c r="L112" s="50">
        <f>MAX(0, G39-G42)</f>
        <v>0</v>
      </c>
      <c r="M112" s="50">
        <f>MAX(0,K39-K42)</f>
        <v>0</v>
      </c>
    </row>
    <row r="113" spans="4:15" ht="20.100000000000001" customHeight="1" x14ac:dyDescent="0.25">
      <c r="D113" s="1" t="s">
        <v>168</v>
      </c>
      <c r="E113" s="38" t="s">
        <v>342</v>
      </c>
      <c r="F113" s="44">
        <v>0.1</v>
      </c>
      <c r="G113" s="44">
        <v>0</v>
      </c>
      <c r="H113" s="44">
        <v>0</v>
      </c>
      <c r="I113" s="2" t="s">
        <v>16</v>
      </c>
      <c r="L113" s="50">
        <f>MAX(0, G40-G39)</f>
        <v>0</v>
      </c>
      <c r="M113" s="50">
        <f>MAX(0,K40-K39)</f>
        <v>0</v>
      </c>
    </row>
    <row r="114" spans="4:15" ht="20.100000000000001" customHeight="1" x14ac:dyDescent="0.25">
      <c r="D114" s="1" t="s">
        <v>169</v>
      </c>
      <c r="E114" s="38" t="s">
        <v>133</v>
      </c>
      <c r="F114" s="44">
        <v>0</v>
      </c>
      <c r="G114" s="44">
        <v>0</v>
      </c>
      <c r="H114" s="44">
        <v>0</v>
      </c>
      <c r="I114" s="2" t="s">
        <v>16</v>
      </c>
      <c r="L114" s="50">
        <f>MAX(0,G41-G40)</f>
        <v>0</v>
      </c>
      <c r="M114" s="50">
        <f>MAX(0,K41-K40)</f>
        <v>0</v>
      </c>
    </row>
    <row r="115" spans="4:15" ht="20.100000000000001" customHeight="1" x14ac:dyDescent="0.25">
      <c r="J115" s="1" t="s">
        <v>348</v>
      </c>
    </row>
    <row r="116" spans="4:15" ht="20.100000000000001" customHeight="1" x14ac:dyDescent="0.25"/>
    <row r="117" spans="4:15" ht="20.100000000000001" customHeight="1" x14ac:dyDescent="0.25"/>
    <row r="118" spans="4:15" ht="20.100000000000001" customHeight="1" x14ac:dyDescent="0.25">
      <c r="D118" s="60" t="s">
        <v>131</v>
      </c>
      <c r="E118" s="60"/>
      <c r="F118" s="60"/>
      <c r="G118" s="60"/>
      <c r="L118" s="123" t="s">
        <v>353</v>
      </c>
    </row>
    <row r="119" spans="4:15" ht="20.100000000000001" customHeight="1" x14ac:dyDescent="0.25">
      <c r="D119" s="1" t="s">
        <v>339</v>
      </c>
      <c r="E119" s="38" t="s">
        <v>335</v>
      </c>
      <c r="F119" s="2" t="s">
        <v>8</v>
      </c>
      <c r="J119" s="51" t="s">
        <v>125</v>
      </c>
    </row>
    <row r="120" spans="4:15" ht="20.100000000000001" customHeight="1" x14ac:dyDescent="0.25">
      <c r="D120" s="1" t="s">
        <v>333</v>
      </c>
      <c r="E120" s="50" t="str">
        <f>TEXT(EDATE(E119,1), "mmmm yyyy")</f>
        <v>September 2024</v>
      </c>
      <c r="J120" s="1" t="s">
        <v>97</v>
      </c>
      <c r="K120" s="1" t="s">
        <v>351</v>
      </c>
      <c r="L120" s="1" t="s">
        <v>348</v>
      </c>
      <c r="M120" s="1" t="s">
        <v>349</v>
      </c>
      <c r="N120" s="1" t="s">
        <v>350</v>
      </c>
      <c r="O120" s="1" t="s">
        <v>352</v>
      </c>
    </row>
    <row r="121" spans="4:15" ht="20.100000000000001" customHeight="1" x14ac:dyDescent="0.25">
      <c r="D121" s="1" t="s">
        <v>334</v>
      </c>
      <c r="E121" s="50" t="str">
        <f>TEXT(EDATE(E119,2), "mmmm yyyy")</f>
        <v>October 2024</v>
      </c>
      <c r="J121" s="50">
        <f>E39</f>
        <v>100</v>
      </c>
      <c r="K121" s="50">
        <f>MAX(0, E39-E42)</f>
        <v>0</v>
      </c>
      <c r="L121" s="1">
        <f>K121/J121</f>
        <v>0</v>
      </c>
      <c r="M121" s="1">
        <f>K124/J121</f>
        <v>0</v>
      </c>
      <c r="N121" s="2">
        <f>1-(L121+M121)</f>
        <v>1</v>
      </c>
      <c r="O121" s="51">
        <f>(L121*6)+(M121*4)+(N121*0)</f>
        <v>0</v>
      </c>
    </row>
    <row r="122" spans="4:15" ht="20.100000000000001" customHeight="1" x14ac:dyDescent="0.25">
      <c r="J122" s="50">
        <f>E40</f>
        <v>100</v>
      </c>
      <c r="K122" s="50">
        <f>MAX(0, E40-E39)</f>
        <v>0</v>
      </c>
      <c r="L122" s="1">
        <f>K122/J122</f>
        <v>0</v>
      </c>
      <c r="M122" s="1">
        <f>K121/J122</f>
        <v>0</v>
      </c>
      <c r="N122" s="2">
        <f>1-(L122+M122)</f>
        <v>1</v>
      </c>
      <c r="O122" s="51">
        <f t="shared" ref="O122:O124" si="1">(L122*6)+(M122*4)+(N122*0)</f>
        <v>0</v>
      </c>
    </row>
    <row r="123" spans="4:15" ht="20.100000000000001" customHeight="1" x14ac:dyDescent="0.25">
      <c r="J123" s="50">
        <f>E41</f>
        <v>100</v>
      </c>
      <c r="K123" s="50">
        <f>MAX(0,E41-E40)</f>
        <v>0</v>
      </c>
      <c r="L123" s="1">
        <f>K123/J123</f>
        <v>0</v>
      </c>
      <c r="M123" s="1">
        <f>K122/J123</f>
        <v>0</v>
      </c>
      <c r="N123" s="2">
        <f>1-(L123+M123)</f>
        <v>1</v>
      </c>
      <c r="O123" s="51">
        <f t="shared" si="1"/>
        <v>0</v>
      </c>
    </row>
    <row r="124" spans="4:15" ht="20.100000000000001" customHeight="1" x14ac:dyDescent="0.25">
      <c r="E124" s="60" t="s">
        <v>160</v>
      </c>
      <c r="F124" s="60" t="s">
        <v>161</v>
      </c>
      <c r="G124" s="60" t="s">
        <v>162</v>
      </c>
      <c r="J124" s="50">
        <f>E42</f>
        <v>100</v>
      </c>
      <c r="K124" s="50">
        <f>MAX(0, E42-E41)</f>
        <v>0</v>
      </c>
      <c r="L124" s="1">
        <f>K124/J124</f>
        <v>0</v>
      </c>
      <c r="M124" s="2">
        <f>K123/J124</f>
        <v>0</v>
      </c>
      <c r="N124" s="2">
        <f>1-(L124+M124)</f>
        <v>1</v>
      </c>
      <c r="O124" s="51">
        <f t="shared" si="1"/>
        <v>0</v>
      </c>
    </row>
    <row r="125" spans="4:15" ht="20.100000000000001" customHeight="1" x14ac:dyDescent="0.25">
      <c r="D125" s="1" t="str">
        <f>E119</f>
        <v>August 2024</v>
      </c>
      <c r="E125" s="44">
        <v>0.25</v>
      </c>
      <c r="F125" s="44">
        <v>0.25</v>
      </c>
      <c r="G125" s="44">
        <v>0.25</v>
      </c>
      <c r="H125" s="2" t="s">
        <v>16</v>
      </c>
      <c r="L125" s="2"/>
      <c r="M125" s="2"/>
      <c r="N125" s="2"/>
      <c r="O125" s="2"/>
    </row>
    <row r="126" spans="4:15" ht="20.100000000000001" customHeight="1" x14ac:dyDescent="0.25">
      <c r="D126" s="1" t="str">
        <f>E120</f>
        <v>September 2024</v>
      </c>
      <c r="E126" s="44">
        <v>0.25</v>
      </c>
      <c r="F126" s="44">
        <v>0.25</v>
      </c>
      <c r="G126" s="44">
        <v>0.25</v>
      </c>
      <c r="H126" s="2" t="s">
        <v>16</v>
      </c>
    </row>
    <row r="127" spans="4:15" ht="20.100000000000001" customHeight="1" x14ac:dyDescent="0.25">
      <c r="D127" s="1" t="str">
        <f>E121</f>
        <v>October 2024</v>
      </c>
      <c r="E127" s="44">
        <v>0.25</v>
      </c>
      <c r="F127" s="44">
        <v>0.25</v>
      </c>
      <c r="G127" s="44">
        <v>0.25</v>
      </c>
      <c r="H127" s="2" t="s">
        <v>16</v>
      </c>
    </row>
    <row r="128" spans="4:15" ht="20.100000000000001" customHeight="1" x14ac:dyDescent="0.25">
      <c r="D128" s="1" t="str">
        <f>"Proportion of cows &gt; 1 years in calf in " &amp; D125 &amp; " to " &amp; D127</f>
        <v>Proportion of cows &gt; 1 years in calf in August 2024 to October 2024</v>
      </c>
      <c r="E128" s="92">
        <f>SUM(E125:E127)</f>
        <v>0.75</v>
      </c>
      <c r="F128" s="92">
        <f>SUM(F125:F127)</f>
        <v>0.75</v>
      </c>
      <c r="G128" s="92">
        <f>SUM(G125:G127)</f>
        <v>0.75</v>
      </c>
      <c r="H128" s="2" t="s">
        <v>16</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6" t="s">
        <v>15</v>
      </c>
      <c r="K131" s="2"/>
      <c r="L131" s="2"/>
      <c r="M131" s="2"/>
      <c r="N131" s="2"/>
      <c r="O131" s="2"/>
    </row>
    <row r="132" spans="4:15" ht="20.100000000000001" customHeight="1" x14ac:dyDescent="0.25">
      <c r="D132" s="60" t="s">
        <v>173</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
        <v>167</v>
      </c>
      <c r="E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135</v>
      </c>
    </row>
    <row r="134" spans="4:15" ht="20.100000000000001" customHeight="1" x14ac:dyDescent="0.25">
      <c r="D134" s="1" t="s">
        <v>168</v>
      </c>
      <c r="E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135</v>
      </c>
    </row>
    <row r="135" spans="4:15" ht="20.100000000000001" customHeight="1" x14ac:dyDescent="0.25">
      <c r="D135" s="1" t="s">
        <v>169</v>
      </c>
      <c r="E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135</v>
      </c>
    </row>
    <row r="136" spans="4:15" ht="20.100000000000001" customHeight="1" x14ac:dyDescent="0.25">
      <c r="D136" s="1" t="s">
        <v>170</v>
      </c>
      <c r="E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0">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135</v>
      </c>
    </row>
    <row r="137" spans="4:15" ht="20.100000000000001" customHeight="1" x14ac:dyDescent="0.25"/>
    <row r="138" spans="4:15" ht="20.100000000000001" customHeight="1" x14ac:dyDescent="0.25">
      <c r="D138" s="60" t="s">
        <v>174</v>
      </c>
      <c r="E138" s="60" t="s">
        <v>125</v>
      </c>
      <c r="F138" s="60" t="s">
        <v>124</v>
      </c>
      <c r="G138" s="60" t="s">
        <v>159</v>
      </c>
      <c r="H138" s="60" t="s">
        <v>160</v>
      </c>
      <c r="I138" s="60" t="s">
        <v>161</v>
      </c>
      <c r="J138" s="60" t="s">
        <v>162</v>
      </c>
      <c r="K138" s="60" t="s">
        <v>163</v>
      </c>
      <c r="L138" s="60" t="s">
        <v>164</v>
      </c>
      <c r="M138" s="60" t="s">
        <v>165</v>
      </c>
      <c r="N138" s="60" t="s">
        <v>166</v>
      </c>
    </row>
    <row r="139" spans="4:15" ht="20.100000000000001" customHeight="1" x14ac:dyDescent="0.25">
      <c r="D139" s="1" t="str">
        <f>TEXT(X_Cell_Site_StartDate, "mmmm yyyy")</f>
        <v>January 2024</v>
      </c>
      <c r="E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2">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135</v>
      </c>
    </row>
    <row r="140" spans="4:15" ht="20.100000000000001" customHeight="1" x14ac:dyDescent="0.25">
      <c r="D140" s="1" t="str">
        <f>TEXT(EDATE(X_Cell_Site_StartDate,1), "mmmm yyyy")</f>
        <v>February 2024</v>
      </c>
      <c r="E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2">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135</v>
      </c>
    </row>
    <row r="141" spans="4:15" ht="20.100000000000001" customHeight="1" x14ac:dyDescent="0.25">
      <c r="D141" s="1" t="str">
        <f>TEXT(EDATE(X_Cell_Site_StartDate,2), "mmmm yyyy")</f>
        <v>March 2024</v>
      </c>
      <c r="E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2">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135</v>
      </c>
    </row>
    <row r="142" spans="4:15" ht="20.100000000000001" customHeight="1" x14ac:dyDescent="0.25">
      <c r="D142" s="1" t="str">
        <f>TEXT(EDATE(X_Cell_Site_StartDate,3), "mmmm yyyy")</f>
        <v>April 2024</v>
      </c>
      <c r="E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2">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135</v>
      </c>
    </row>
    <row r="143" spans="4:15" ht="20.100000000000001" customHeight="1" x14ac:dyDescent="0.25">
      <c r="D143" s="1" t="str">
        <f>TEXT(EDATE(X_Cell_Site_StartDate,4), "mmmm yyyy")</f>
        <v>May 2024</v>
      </c>
      <c r="E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2">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135</v>
      </c>
    </row>
    <row r="144" spans="4:15" ht="20.100000000000001" customHeight="1" x14ac:dyDescent="0.25">
      <c r="D144" s="1" t="str">
        <f>TEXT(EDATE(X_Cell_Site_StartDate,5), "mmmm yyyy")</f>
        <v>June 2024</v>
      </c>
      <c r="E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2">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135</v>
      </c>
    </row>
    <row r="145" spans="4:15" ht="20.100000000000001" customHeight="1" x14ac:dyDescent="0.25">
      <c r="D145" s="1" t="str">
        <f>TEXT(EDATE(X_Cell_Site_StartDate,6), "mmmm yyyy")</f>
        <v>July 2024</v>
      </c>
      <c r="E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2">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135</v>
      </c>
    </row>
    <row r="146" spans="4:15" ht="20.100000000000001" customHeight="1" x14ac:dyDescent="0.25">
      <c r="D146" s="1" t="str">
        <f>TEXT(EDATE(X_Cell_Site_StartDate,7), "mmmm yyyy")</f>
        <v>August 2024</v>
      </c>
      <c r="E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2">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135</v>
      </c>
    </row>
    <row r="147" spans="4:15" ht="20.100000000000001" customHeight="1" x14ac:dyDescent="0.25">
      <c r="D147" s="1" t="str">
        <f>TEXT(EDATE(X_Cell_Site_StartDate,8), "mmmm yyyy")</f>
        <v>September 2024</v>
      </c>
      <c r="E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2">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135</v>
      </c>
    </row>
    <row r="148" spans="4:15" ht="20.100000000000001" customHeight="1" x14ac:dyDescent="0.25">
      <c r="D148" s="1" t="str">
        <f>TEXT(EDATE(X_Cell_Site_StartDate,9), "mmmm yyyy")</f>
        <v>October 2024</v>
      </c>
      <c r="E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2">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135</v>
      </c>
    </row>
    <row r="149" spans="4:15" ht="20.100000000000001" customHeight="1" x14ac:dyDescent="0.25">
      <c r="D149" s="1" t="str">
        <f>TEXT(EDATE(X_Cell_Site_StartDate,10), "mmmm yyyy")</f>
        <v>November 2024</v>
      </c>
      <c r="E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2">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135</v>
      </c>
    </row>
    <row r="150" spans="4:15" ht="20.100000000000001" customHeight="1" x14ac:dyDescent="0.25">
      <c r="D150" s="1" t="str">
        <f>TEXT(EDATE(X_Cell_Site_StartDate,11), "mmmm yyyy")</f>
        <v>December 2024</v>
      </c>
      <c r="E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2">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135</v>
      </c>
    </row>
    <row r="151" spans="4:15" ht="20.100000000000001" customHeight="1" x14ac:dyDescent="0.25"/>
    <row r="152" spans="4:15" ht="20.100000000000001" customHeight="1" x14ac:dyDescent="0.25"/>
    <row r="153" spans="4:15" ht="20.100000000000001" customHeight="1" x14ac:dyDescent="0.25">
      <c r="D153" s="46" t="s">
        <v>99</v>
      </c>
      <c r="K153" s="2"/>
      <c r="L153" s="2"/>
      <c r="M153" s="2"/>
      <c r="N153" s="2"/>
      <c r="O153" s="2"/>
    </row>
    <row r="154" spans="4:15" ht="20.100000000000001" customHeight="1" x14ac:dyDescent="0.25">
      <c r="D154" s="60" t="s">
        <v>173</v>
      </c>
      <c r="E154" s="60" t="s">
        <v>125</v>
      </c>
      <c r="F154" s="60" t="s">
        <v>124</v>
      </c>
      <c r="G154" s="60" t="s">
        <v>159</v>
      </c>
      <c r="H154" s="60" t="s">
        <v>160</v>
      </c>
      <c r="I154" s="60" t="s">
        <v>161</v>
      </c>
      <c r="J154" s="60" t="s">
        <v>162</v>
      </c>
      <c r="K154" s="60" t="s">
        <v>163</v>
      </c>
      <c r="L154" s="60" t="s">
        <v>164</v>
      </c>
      <c r="M154" s="60" t="s">
        <v>165</v>
      </c>
      <c r="N154" s="60" t="s">
        <v>166</v>
      </c>
    </row>
    <row r="155" spans="4:15" ht="20.100000000000001" customHeight="1" x14ac:dyDescent="0.25">
      <c r="D155" s="1" t="s">
        <v>167</v>
      </c>
      <c r="E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0">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135</v>
      </c>
    </row>
    <row r="156" spans="4:15" ht="20.100000000000001" customHeight="1" x14ac:dyDescent="0.25">
      <c r="D156" s="1" t="s">
        <v>168</v>
      </c>
      <c r="E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0">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135</v>
      </c>
    </row>
    <row r="157" spans="4:15" ht="20.100000000000001" customHeight="1" x14ac:dyDescent="0.25">
      <c r="D157" s="1" t="s">
        <v>169</v>
      </c>
      <c r="E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0">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135</v>
      </c>
    </row>
    <row r="158" spans="4:15" ht="20.100000000000001" customHeight="1" x14ac:dyDescent="0.25">
      <c r="D158" s="1" t="s">
        <v>170</v>
      </c>
      <c r="E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0">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135</v>
      </c>
    </row>
    <row r="159" spans="4:15" ht="20.100000000000001" customHeight="1" x14ac:dyDescent="0.25"/>
    <row r="160" spans="4:15" ht="20.100000000000001" customHeight="1" x14ac:dyDescent="0.25">
      <c r="D160" s="60" t="s">
        <v>174</v>
      </c>
      <c r="E160" s="60" t="s">
        <v>125</v>
      </c>
      <c r="F160" s="60" t="s">
        <v>124</v>
      </c>
      <c r="G160" s="60" t="s">
        <v>159</v>
      </c>
      <c r="H160" s="60" t="s">
        <v>160</v>
      </c>
      <c r="I160" s="60" t="s">
        <v>161</v>
      </c>
      <c r="J160" s="60" t="s">
        <v>162</v>
      </c>
      <c r="K160" s="60" t="s">
        <v>163</v>
      </c>
      <c r="L160" s="60" t="s">
        <v>164</v>
      </c>
      <c r="M160" s="60" t="s">
        <v>165</v>
      </c>
      <c r="N160" s="60" t="s">
        <v>166</v>
      </c>
    </row>
    <row r="161" spans="4:15" ht="20.100000000000001" customHeight="1" x14ac:dyDescent="0.25">
      <c r="D161" s="1" t="str">
        <f>TEXT(X_Cell_Site_StartDate, "mmmm yyyy")</f>
        <v>January 2024</v>
      </c>
      <c r="E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2">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135</v>
      </c>
    </row>
    <row r="162" spans="4:15" ht="20.100000000000001" customHeight="1" x14ac:dyDescent="0.25">
      <c r="D162" s="1" t="str">
        <f>TEXT(EDATE(X_Cell_Site_StartDate,1), "mmmm yyyy")</f>
        <v>February 2024</v>
      </c>
      <c r="E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2">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135</v>
      </c>
    </row>
    <row r="163" spans="4:15" ht="20.100000000000001" customHeight="1" x14ac:dyDescent="0.25">
      <c r="D163" s="1" t="str">
        <f>TEXT(EDATE(X_Cell_Site_StartDate,2), "mmmm yyyy")</f>
        <v>March 2024</v>
      </c>
      <c r="E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2">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135</v>
      </c>
    </row>
    <row r="164" spans="4:15" ht="20.100000000000001" customHeight="1" x14ac:dyDescent="0.25">
      <c r="D164" s="1" t="str">
        <f>TEXT(EDATE(X_Cell_Site_StartDate,3), "mmmm yyyy")</f>
        <v>April 2024</v>
      </c>
      <c r="E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2">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135</v>
      </c>
    </row>
    <row r="165" spans="4:15" ht="20.100000000000001" customHeight="1" x14ac:dyDescent="0.25">
      <c r="D165" s="1" t="str">
        <f>TEXT(EDATE(X_Cell_Site_StartDate,4), "mmmm yyyy")</f>
        <v>May 2024</v>
      </c>
      <c r="E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2">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135</v>
      </c>
    </row>
    <row r="166" spans="4:15" ht="20.100000000000001" customHeight="1" x14ac:dyDescent="0.25">
      <c r="D166" s="1" t="str">
        <f>TEXT(EDATE(X_Cell_Site_StartDate,5), "mmmm yyyy")</f>
        <v>June 2024</v>
      </c>
      <c r="E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2">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135</v>
      </c>
    </row>
    <row r="167" spans="4:15" ht="20.100000000000001" customHeight="1" x14ac:dyDescent="0.25">
      <c r="D167" s="1" t="str">
        <f>TEXT(EDATE(X_Cell_Site_StartDate,6), "mmmm yyyy")</f>
        <v>July 2024</v>
      </c>
      <c r="E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2">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135</v>
      </c>
    </row>
    <row r="168" spans="4:15" ht="20.100000000000001" customHeight="1" x14ac:dyDescent="0.25">
      <c r="D168" s="1" t="str">
        <f>TEXT(EDATE(X_Cell_Site_StartDate,7), "mmmm yyyy")</f>
        <v>August 2024</v>
      </c>
      <c r="E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2">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135</v>
      </c>
    </row>
    <row r="169" spans="4:15" ht="20.100000000000001" customHeight="1" x14ac:dyDescent="0.25">
      <c r="D169" s="1" t="str">
        <f>TEXT(EDATE(X_Cell_Site_StartDate,8), "mmmm yyyy")</f>
        <v>September 2024</v>
      </c>
      <c r="E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2">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135</v>
      </c>
    </row>
    <row r="170" spans="4:15" ht="20.100000000000001" customHeight="1" x14ac:dyDescent="0.25">
      <c r="D170" s="1" t="str">
        <f>TEXT(EDATE(X_Cell_Site_StartDate,9), "mmmm yyyy")</f>
        <v>October 2024</v>
      </c>
      <c r="E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2">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135</v>
      </c>
    </row>
    <row r="171" spans="4:15" ht="20.100000000000001" customHeight="1" x14ac:dyDescent="0.25">
      <c r="D171" s="1" t="str">
        <f>TEXT(EDATE(X_Cell_Site_StartDate,10), "mmmm yyyy")</f>
        <v>November 2024</v>
      </c>
      <c r="E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2">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135</v>
      </c>
    </row>
    <row r="172" spans="4:15" ht="20.100000000000001" customHeight="1" x14ac:dyDescent="0.25">
      <c r="D172" s="1" t="str">
        <f>TEXT(EDATE(X_Cell_Site_StartDate,11), "mmmm yyyy")</f>
        <v>December 2024</v>
      </c>
      <c r="E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2">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135</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6" t="s">
        <v>257</v>
      </c>
      <c r="L175" s="2"/>
      <c r="M175" s="2"/>
      <c r="N175" s="2"/>
      <c r="O175" s="2"/>
    </row>
    <row r="176" spans="4:15" ht="20.100000000000001" customHeight="1" x14ac:dyDescent="0.25"/>
    <row r="177" spans="4:15" ht="20.100000000000001" customHeight="1" x14ac:dyDescent="0.25">
      <c r="D177" s="1" t="s">
        <v>258</v>
      </c>
      <c r="E177" s="38" t="s">
        <v>133</v>
      </c>
      <c r="F177" s="2" t="s">
        <v>8</v>
      </c>
      <c r="L177" s="2"/>
      <c r="M177" s="2"/>
      <c r="N177" s="2"/>
      <c r="O177" s="2"/>
    </row>
    <row r="178" spans="4:15" ht="20.100000000000001" customHeight="1" x14ac:dyDescent="0.25"/>
    <row r="179" spans="4:15" ht="20.100000000000001" customHeight="1" x14ac:dyDescent="0.25">
      <c r="D179" s="60" t="s">
        <v>18</v>
      </c>
      <c r="E179" s="60" t="s">
        <v>259</v>
      </c>
      <c r="L179" s="2"/>
      <c r="M179" s="2"/>
      <c r="N179" s="2"/>
      <c r="O179" s="2"/>
    </row>
    <row r="180" spans="4:15" ht="20.100000000000001" customHeight="1" x14ac:dyDescent="0.25">
      <c r="D180" s="1" t="s">
        <v>132</v>
      </c>
      <c r="E180" s="113">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16</v>
      </c>
      <c r="L180" s="2"/>
      <c r="M180" s="2"/>
      <c r="N180" s="2"/>
      <c r="O180" s="2"/>
    </row>
    <row r="181" spans="4:15" ht="20.100000000000001" customHeight="1" x14ac:dyDescent="0.25">
      <c r="D181" s="1" t="s">
        <v>260</v>
      </c>
      <c r="E181" s="113">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16</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314</v>
      </c>
      <c r="E184" s="38" t="s">
        <v>318</v>
      </c>
      <c r="F184" s="2" t="s">
        <v>8</v>
      </c>
      <c r="L184" s="2"/>
      <c r="M184" s="2"/>
      <c r="N184" s="2"/>
      <c r="O184" s="2"/>
    </row>
    <row r="185" spans="4:15" ht="20.100000000000001" customHeight="1" x14ac:dyDescent="0.25">
      <c r="E185" s="38" t="s">
        <v>117</v>
      </c>
      <c r="F185" s="2" t="s">
        <v>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4:27" ht="20.100000000000001" customHeight="1" x14ac:dyDescent="0.25">
      <c r="D193" s="6"/>
    </row>
    <row r="194" spans="4:27" ht="20.100000000000001" customHeight="1" x14ac:dyDescent="0.25">
      <c r="D194" s="100"/>
    </row>
    <row r="195" spans="4:27" ht="20.100000000000001" customHeight="1" x14ac:dyDescent="0.25"/>
    <row r="196" spans="4:27" ht="20.100000000000001" customHeight="1" x14ac:dyDescent="0.25"/>
    <row r="197" spans="4:27" ht="20.100000000000001" customHeight="1" x14ac:dyDescent="0.25"/>
    <row r="198" spans="4:27" ht="20.100000000000001" customHeight="1" x14ac:dyDescent="0.25"/>
    <row r="199" spans="4:27" ht="20.100000000000001" customHeight="1" x14ac:dyDescent="0.25"/>
    <row r="200" spans="4:27" ht="20.100000000000001" customHeight="1" x14ac:dyDescent="0.25"/>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row r="205" spans="4:27" ht="20.100000000000001" customHeight="1" x14ac:dyDescent="0.25">
      <c r="Z205" s="54"/>
    </row>
    <row r="206" spans="4:27" ht="20.100000000000001" customHeight="1" x14ac:dyDescent="0.25">
      <c r="Z206" s="54"/>
      <c r="AA206" s="54"/>
    </row>
    <row r="207" spans="4:27" ht="20.100000000000001" customHeight="1" x14ac:dyDescent="0.25">
      <c r="Z207" s="54"/>
      <c r="AA207" s="54"/>
    </row>
    <row r="208" spans="4:27" ht="20.100000000000001" customHeight="1" x14ac:dyDescent="0.25">
      <c r="Z208" s="54"/>
      <c r="AA208" s="54"/>
    </row>
    <row r="209" spans="11:27" ht="20.100000000000001" customHeight="1" x14ac:dyDescent="0.25">
      <c r="Z209" s="54"/>
      <c r="AA209" s="54"/>
    </row>
    <row r="210" spans="11:27" ht="20.100000000000001" customHeight="1" x14ac:dyDescent="0.25">
      <c r="Z210" s="54"/>
      <c r="AA210" s="54"/>
    </row>
    <row r="211" spans="11:27" ht="20.100000000000001" customHeight="1" x14ac:dyDescent="0.25">
      <c r="Z211" s="54"/>
      <c r="AA211" s="54"/>
    </row>
    <row r="212" spans="11:27" ht="20.100000000000001" customHeight="1" x14ac:dyDescent="0.25">
      <c r="Z212" s="54"/>
      <c r="AA212" s="54"/>
    </row>
    <row r="213" spans="11:27" ht="20.100000000000001" customHeight="1" x14ac:dyDescent="0.25">
      <c r="Z213" s="54"/>
      <c r="AA213" s="54"/>
    </row>
    <row r="214" spans="11:27" ht="20.100000000000001" customHeight="1" x14ac:dyDescent="0.25">
      <c r="Z214" s="54"/>
      <c r="AA214" s="54"/>
    </row>
    <row r="215" spans="11:27" ht="20.100000000000001" customHeight="1" x14ac:dyDescent="0.25">
      <c r="Z215" s="54"/>
      <c r="AA215" s="54"/>
    </row>
    <row r="216" spans="11:27" ht="20.100000000000001" customHeight="1" x14ac:dyDescent="0.25">
      <c r="Z216" s="5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12" priority="36" operator="lessThan">
      <formula>0</formula>
    </cfRule>
  </conditionalFormatting>
  <conditionalFormatting sqref="F217:F218">
    <cfRule type="cellIs" dxfId="11" priority="27" operator="lessThan">
      <formula>0</formula>
    </cfRule>
  </conditionalFormatting>
  <conditionalFormatting sqref="F222:F223">
    <cfRule type="cellIs" dxfId="10" priority="26" operator="lessThan">
      <formula>0</formula>
    </cfRule>
  </conditionalFormatting>
  <conditionalFormatting sqref="F227:F228">
    <cfRule type="cellIs" dxfId="9" priority="25" operator="lessThan">
      <formula>0</formula>
    </cfRule>
  </conditionalFormatting>
  <conditionalFormatting sqref="F251:F252">
    <cfRule type="cellIs" dxfId="8" priority="19" operator="lessThan">
      <formula>0</formula>
    </cfRule>
  </conditionalFormatting>
  <conditionalFormatting sqref="F256:F257">
    <cfRule type="cellIs" dxfId="7" priority="18" operator="lessThan">
      <formula>0</formula>
    </cfRule>
  </conditionalFormatting>
  <conditionalFormatting sqref="F261:F262">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216 E221 E226 E260 E255 E250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Beef'!$E112</f>
        <v>Yes</v>
      </c>
      <c r="F22" s="50">
        <f>'Input - Pasture Beef'!$F112</f>
        <v>0.1</v>
      </c>
      <c r="G22" s="50">
        <f>'Input - Pasture Beef'!$G112</f>
        <v>0.4</v>
      </c>
      <c r="H22" s="50">
        <f>'Input - Pasture Beef'!$H112</f>
        <v>0.4</v>
      </c>
      <c r="I22" s="2" t="s">
        <v>94</v>
      </c>
      <c r="W22" s="50" t="str">
        <f>TEXT(EDATE('Input - Pasture Beef'!$D$125,0), "mmmm") &amp; ", " &amp; TEXT(EDATE('Input - Pasture Beef'!$D$126,0), "mmmm") &amp; ", " &amp; TEXT(EDATE('Input - Pasture Beef'!$D$127,0), "mmmm")</f>
        <v>August, September, October</v>
      </c>
      <c r="X22" s="50">
        <f>'Input - Pasture Beef'!$E$128</f>
        <v>0.75</v>
      </c>
      <c r="Y22" s="50">
        <f>'Input - Pasture Beef'!$F$128</f>
        <v>0.75</v>
      </c>
      <c r="Z22" s="50">
        <f>'Input - Pasture Beef'!$G$128</f>
        <v>0.75</v>
      </c>
      <c r="AA22" s="2" t="s">
        <v>94</v>
      </c>
    </row>
    <row r="23" spans="1:36" ht="20.100000000000001" customHeight="1" x14ac:dyDescent="0.25">
      <c r="A23" s="17" t="str">
        <f>HYPERLINK("#'Acknowledgements'!A1", "Acknowledgements")</f>
        <v>Acknowledgements</v>
      </c>
      <c r="D23" s="50" t="s">
        <v>168</v>
      </c>
      <c r="E23" s="50" t="str">
        <f>'Input - Pasture Beef'!$E113</f>
        <v>Yes</v>
      </c>
      <c r="F23" s="50">
        <f>'Input - Pasture Beef'!$F113</f>
        <v>0.1</v>
      </c>
      <c r="G23" s="50">
        <f>'Input - Pasture Beef'!$G113</f>
        <v>0</v>
      </c>
      <c r="H23" s="50">
        <f>'Input - Pasture Beef'!$H113</f>
        <v>0</v>
      </c>
      <c r="W23" s="50" t="str">
        <f>TEXT(EDATE('Input - Pasture Beef'!$D$127,1), "mmmm") &amp; ", " &amp; TEXT(EDATE('Input - Pasture Beef'!$D$127,2), "mmmm") &amp; ", " &amp; TEXT(EDATE('Input - Pasture Beef'!$D$127,3), "mmmm")</f>
        <v>November, December, January</v>
      </c>
      <c r="AA23" s="2"/>
    </row>
    <row r="24" spans="1:36" ht="20.100000000000001" customHeight="1" x14ac:dyDescent="0.25">
      <c r="A24" s="17" t="str">
        <f>HYPERLINK("#'Tab template'!A1", "Tab template")</f>
        <v>Tab template</v>
      </c>
      <c r="D24" s="50" t="s">
        <v>169</v>
      </c>
      <c r="E24" s="50" t="str">
        <f>'Input - Pasture Beef'!$E114</f>
        <v>No</v>
      </c>
      <c r="F24" s="50">
        <f>'Input - Pasture Beef'!$F114</f>
        <v>0</v>
      </c>
      <c r="G24" s="50">
        <f>'Input - Pasture Beef'!$G114</f>
        <v>0</v>
      </c>
      <c r="H24" s="50">
        <f>'Input - Pasture Beef'!$H114</f>
        <v>0</v>
      </c>
      <c r="AA24" s="2"/>
    </row>
    <row r="25" spans="1:36" ht="20.100000000000001" customHeight="1" x14ac:dyDescent="0.25">
      <c r="D25" s="50" t="s">
        <v>170</v>
      </c>
      <c r="E25" s="50" t="str">
        <f>'Input - Pasture Beef'!$E112</f>
        <v>Yes</v>
      </c>
      <c r="F25" s="50">
        <f>'Input - Pasture Beef'!$F$111</f>
        <v>0.7</v>
      </c>
      <c r="G25" s="50">
        <f>'Input - Pasture Beef'!$G$111</f>
        <v>0.5</v>
      </c>
      <c r="H25" s="50">
        <f>'Input - Pasture Beef'!$H$111</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Beef'!E112="Yes", "Calving season", "")</f>
        <v>Calving season</v>
      </c>
      <c r="F30" s="50" t="str">
        <f>IF('Input - Pasture Beef'!E111="Yes",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Beef'!E113="Yes", "Calving season", "")</f>
        <v>Calving season</v>
      </c>
      <c r="F31" s="50" t="str">
        <f>IF('Input - Pasture Beef'!E112="Yes",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Beef'!E114="Yes", "Calving season", "")</f>
        <v/>
      </c>
      <c r="F32" s="50" t="str">
        <f>IF('Input - Pasture Beef'!E113="Yes",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Beef'!E111="Yes", "Calving season", "")</f>
        <v>Calving season</v>
      </c>
      <c r="F33" s="50" t="str">
        <f>IF('Input - Pasture Beef'!E114="Yes",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Beef'!$D$180</f>
        <v>Pasture range and paddock</v>
      </c>
      <c r="E165" s="50">
        <f>X_Cell_PastureBeef_CalculatedMMSPastureRangeAndPaddock</f>
        <v>0.99621999999999999</v>
      </c>
      <c r="F165" s="2" t="s">
        <v>135</v>
      </c>
    </row>
    <row r="166" spans="4:34" ht="20.100000000000001" customHeight="1" x14ac:dyDescent="0.25">
      <c r="D166" s="50" t="str">
        <f>'Input - Pasture Beef'!$D$181</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Beef'!$D$180</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Beef'!$D$180</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Beef'!$D$181</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Beef'!$D$181</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Beef'!$D$180</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Beef'!$D$180</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Beef'!$D$180</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Beef'!$D$180</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Beef'!$D$180</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Beef'!$D$180</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Beef'!$D$180</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Beef'!$D$180</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Beef'!$D$181</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Beef'!$D$180</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Beef'!$D$181</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Beef'!$D$180</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Beef'!$D$181</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Beef'!$D$180</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Beef'!$D$181</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Beef'!$D$180</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Beef'!$D$180</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Beef'!$D$180</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Beef'!$D$180</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Beef'!$D$180</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Beef'!$D$181</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Beef'!$D$181</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Beef'!$D$181</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Beef'!$D$181</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Beef'!$D$181</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Beef'!$D$181</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Beef'!$D$181</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Beef'!$D$181</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Beef'!$D$181</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Beef'!$D$181</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Beef'!$D$181</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Beef'!$D$181</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Beef'!$D$180</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Beef'!$D$180</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Beef'!$D$180</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Beef'!$D$180</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Beef'!$D$181</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Beef'!$D$181</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Beef'!$D$181</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Beef'!$D$181</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E244</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Beef'!$D$180</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Beef'!$D$180</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Beef'!$D$180</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Beef'!$D$180</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Beef'!$D$180</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Beef'!$D$180</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Beef'!$D$180</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Beef'!$D$180</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Beef'!$D$180</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Beef'!$D$180</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Beef'!$D$180</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Beef'!$D$180</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Beef'!$D$181</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Beef'!$D$181</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Beef'!$D$181</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Beef'!$D$181</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Beef'!$D$181</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Beef'!$D$181</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Beef'!$D$181</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Beef'!$D$181</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Beef'!$D$181</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Beef'!$D$181</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Beef'!$D$181</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Beef'!$D$181</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X276</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Beef'!$E$105</f>
        <v>Winter</v>
      </c>
      <c r="E87" s="50">
        <f>'Input - Pasture Beef'!$F$111</f>
        <v>0.7</v>
      </c>
      <c r="F87" s="50">
        <f>'Input - Pasture Beef'!$G$111</f>
        <v>0.5</v>
      </c>
      <c r="G87" s="50">
        <f>'Input - Pasture Beef'!$H$111</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Beef'!$D$125,0), "mmmm") &amp; ", " &amp; TEXT(EDATE('Input - Pasture Beef'!$D$126,0), "mmmm") &amp; ", " &amp; TEXT(EDATE('Input - Pasture Beef'!$D$127,0), "mmmm")</f>
        <v>August, September, October</v>
      </c>
      <c r="V92" s="50">
        <f>'Input - Pasture Beef'!$E$128</f>
        <v>0.75</v>
      </c>
      <c r="W92" s="50">
        <f>'Input - Pasture Beef'!$F$128</f>
        <v>0.75</v>
      </c>
      <c r="X92" s="50">
        <f>'Input - Pasture Beef'!$G$128</f>
        <v>0.75</v>
      </c>
      <c r="Y92" s="2" t="s">
        <v>94</v>
      </c>
    </row>
    <row r="93" spans="4:35" ht="20.100000000000001" customHeight="1" x14ac:dyDescent="0.25">
      <c r="D93" s="93" t="s">
        <v>129</v>
      </c>
      <c r="U93" s="50" t="str">
        <f>TEXT(EDATE('Input - Pasture Beef'!$D$127,1), "mmmm") &amp; ", " &amp; TEXT(EDATE('Input - Pasture Beef'!$D$127,2), "mmmm") &amp; ", " &amp; TEXT(EDATE('Input - Pasture Beef'!$D$127,3),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Beef'!$E$105</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cm="1">
        <f t="array" aca="1" ref="E218" ca="1">Common_InputFunctions.Utility_DisplayFunctionName(E229)</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cm="1">
        <f t="array" aca="1" ref="E229" ca="1">MMS_PastureBeef_Soil_N2ODirect_Equations.VEERG_4_2_1_3__1_DirectNitrousOxideEmissionsOnPasture($E$212,$H$225,$H$226)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E229</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cm="1">
        <f t="array" aca="1" ref="V267" ca="1">MMS_PastureBeef_Soil_N2ODirect_Equations.VEERG_4_2_1_3__1_DirectNitrousOxideEmissionsOnPasture($V$261,$H$225,$H$226)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V267</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E35</f>
        <v>0.11777471024747345</v>
      </c>
      <c r="N37" s="55" t="str" cm="1">
        <f t="array" ref="N37:O38">Common_Equations.Common_ConvertN2OToCO2e_Arguments()</f>
        <v>EN2O</v>
      </c>
      <c r="O37" s="56" t="str">
        <v>Nitrous oxide emissions (t N2O)</v>
      </c>
      <c r="P37" s="98"/>
      <c r="Q37" s="50">
        <f ca="1">O35</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Common_InputFunctions.CommonCropping_GetFracWET(I16,I18,#REF!,#REF!,Table_SourceData_FracWETIrrigation[Irrigation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E36</f>
        <v>0.2509485351520015</v>
      </c>
      <c r="M38" s="55" t="str" cm="1">
        <f t="array" ref="M38:N39">Common_Equations.Common_ConvertN2OToCO2e_Arguments()</f>
        <v>EN2O</v>
      </c>
      <c r="N38" s="56" t="str">
        <v>Nitrous oxide emissions (t N2O)</v>
      </c>
      <c r="O38" s="98"/>
      <c r="P38" s="50">
        <f ca="1">N36</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6F72-2E24-4B34-869E-0EB047D8E7BE}">
  <dimension ref="A1:BY259"/>
  <sheetViews>
    <sheetView showGridLines="0" topLeftCell="A86"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19</v>
      </c>
      <c r="E6" s="36" t="s">
        <v>20</v>
      </c>
      <c r="F6" s="36" t="s">
        <v>21</v>
      </c>
    </row>
    <row r="7" spans="1:65" ht="20.100000000000001" customHeight="1" x14ac:dyDescent="0.25">
      <c r="A7" s="19" t="s">
        <v>0</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72</v>
      </c>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HYPERLINK("#'4.2.1.1-2 Methane'!A1", "4.2.1.1-2 Methane")</f>
        <v>4.2.1.1-2 Methane</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HYPERLINK("#'4.2.1.3-4 Soil direct N20'!A1", "4.2.1.3-4 Soil direct N20")</f>
        <v>4.2.1.3-4 Soil direct N20</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HYPERLINK("#'4.2.1.5-6 Soil Atmos Dep'!A1", "4.2.1.5-6 Soil Atmos Dep")</f>
        <v>4.2.1.5-6 Soil Atmos Dep</v>
      </c>
    </row>
    <row r="16" spans="1:65" ht="20.100000000000001" customHeight="1" x14ac:dyDescent="0.25">
      <c r="A16" s="17" t="str">
        <f>HYPERLINK("#'4.2.1.7-8 Soil leach runoff'!A1", "4.2.1.7-8 Soil leach runoff")</f>
        <v>4.2.1.7-8 Soil leach runoff</v>
      </c>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s="125" t="s">
        <v>1</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Pasture Beef'!A1", "Constants - Pasture Beef")</f>
        <v>Constants - Pasture Beef</v>
      </c>
      <c r="D20" s="36" t="s">
        <v>22</v>
      </c>
    </row>
    <row r="21" spans="1:4" ht="20.100000000000001" customHeight="1" x14ac:dyDescent="0.25">
      <c r="A21" s="128" t="str">
        <f>HYPERLINK("#'Constants - Common'!A1", "Constants - Common")</f>
        <v>Constants - Common</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Common Livestock'!A1", "Constants - Common Livestock")</f>
        <v>Constants - Common Livestock</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HYPERLINK("#'Acknowledgements'!A1", "Acknowledgements")</f>
        <v>Acknowledgements</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HYPERLINK("#'Tab template'!A1", "Tab template")</f>
        <v>Tab template</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355</v>
      </c>
      <c r="E257" s="36" t="s">
        <v>356</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28"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2026-07-31T00:32:27Z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