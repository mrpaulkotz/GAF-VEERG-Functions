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1A1EAF4-C5C2-41CF-829B-2D8D67A18BFC}" xr6:coauthVersionLast="47" xr6:coauthVersionMax="47" xr10:uidLastSave="{00000000-0000-0000-0000-000000000000}"/>
  <bookViews>
    <workbookView xWindow="1755" yWindow="1020" windowWidth="36255" windowHeight="19140" firstSheet="2" activeTab="4"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5"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70" l="1"/>
  <c r="E29" i="70"/>
  <c r="E16" i="70"/>
  <c r="E6" i="70"/>
  <c r="J37" i="69"/>
  <c r="J33" i="69"/>
  <c r="J32" i="69"/>
  <c r="J31" i="69"/>
  <c r="I16" i="69"/>
  <c r="I14" i="69"/>
  <c r="E259" i="125"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c r="D19" i="125" a="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D24" i="69" a="1"/>
  <c r="D24" i="69" s="1"/>
  <c r="H53" i="125" l="1"/>
  <c r="H48" i="125"/>
  <c r="H49" i="125"/>
  <c r="H50" i="125"/>
  <c r="H52" i="125"/>
  <c r="H51" i="125"/>
  <c r="H54" i="125"/>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E25" i="69" a="1"/>
  <c r="E25" i="69" l="1"/>
  <c r="I48" i="70"/>
  <c r="I39" i="70"/>
  <c r="I38" i="70"/>
  <c r="I46"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13" i="121"/>
  <c r="E8" i="69" a="1"/>
  <c r="E41" i="70" l="1"/>
  <c r="J34" i="69" s="1"/>
  <c r="E50" i="70"/>
  <c r="J35" i="69" s="1"/>
  <c r="I15" i="69" a="1"/>
  <c r="I15" i="69" s="1"/>
  <c r="E18" i="69" s="1" a="1"/>
  <c r="E18" i="69" s="1"/>
  <c r="E9" i="13" s="1"/>
  <c r="E8" i="69"/>
  <c r="A15" i="69"/>
  <c r="A5" i="69"/>
  <c r="A4" i="69"/>
  <c r="A3" i="69"/>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<sst xmlns="http://schemas.openxmlformats.org/spreadsheetml/2006/main" count="201" uniqueCount="157">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</sst>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45D258-076A-4B5A-AA6B-C49DFA191D5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5177ED-1EBA-43C6-9498-92077FE04B20}" name="State/Territory">
      <calculatedColumnFormula array="1">Common_InputFunctions.Utility_DisplayArrayInTable(Common_SourceData.Common_SourceData_AustralianStatesTerritories_Data(),Table_AustralianStates[[#Headers],[State/Territory]],0)</calculatedColumnFormula>
    </tableColumn>
    <tableColumn id="2" xr3:uid="{E6772BFB-AA6A-41FC-BD6C-C9E793BB4773}" name="Common Name">
      <calculatedColumnFormula array="1">Common_InputFunctions.Utility_DisplayArrayInTable(Common_SourceData.Common_SourceData_AustralianStatesTerritories_Data(),Table_AustralianStates[[#Headers],[State/Territory]],0)</calculatedColumnFormula>
    </tableColumn>
    <tableColumn id="3" xr3:uid="{F56D49FB-4059-499C-A541-DB617EE84BC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F5C838-87E8-4D7B-A7BB-621E19D72D16}" name="Table_WASA4Areas" displayName="Table_WASA4Areas" ref="D20:D30" totalsRowShown="0">
  <autoFilter ref="D20:D30" xr:uid="{5FA81339-C6C8-4D36-BEEA-6C4AEDD9E676}">
    <filterColumn colId="0" hiddenButton="1"/>
  </autoFilter>
  <tableColumns count="1">
    <tableColumn id="1" xr3:uid="{D87A9820-7D5C-4E3B-9FDA-0760A54909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EA0DB-3426-4FC4-9C05-FC16BB4DB114}" name="Table_GWPData" displayName="Table_GWPData" ref="D36:E43" totalsRowShown="0">
  <autoFilter ref="D36:E43" xr:uid="{B8E87A66-3E41-4AD3-925D-01EE21B43D7A}">
    <filterColumn colId="0" hiddenButton="1"/>
    <filterColumn colId="1" hiddenButton="1"/>
  </autoFilter>
  <tableColumns count="2">
    <tableColumn id="1" xr3:uid="{449CE4B5-C92A-4D75-AD48-7B18A369707C}" name="Gas">
      <calculatedColumnFormula array="1">Common_InputFunctions.Utility_DisplayArrayInTable(Common_SourceData.Common_SourceData_GWP_Data(), Table_GWPData[[#Headers],[Gas]], 0)</calculatedColumnFormula>
    </tableColumn>
    <tableColumn id="2" xr3:uid="{6207AA7D-D9A5-4D47-B8E9-BAB69025D4F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15A35-8E09-4760-B0A3-618AB4069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2D27CF-AD7B-42B7-B36E-CFB70CF6CB19}" name="Gas">
      <calculatedColumnFormula array="1">Common_InputFunctions.Utility_DisplayArrayInTable(Common_SourceData.Common_SourceData_ConvertGasElementalToMolecular_Data(),Table_GasToMolecularConversionFactor[[#Headers],[Gas]], 0)</calculatedColumnFormula>
    </tableColumn>
    <tableColumn id="5" xr3:uid="{303926E1-9540-448E-BD4A-87D980C3A4AC}" name="Conversion factor">
      <calculatedColumnFormula array="1">Common_InputFunctions.Utility_DisplayArrayInTable(Common_SourceData.Common_SourceData_ConvertGasElementalToMolecular_Data(),Table_GasToMolecularConversionFactor[[#Headers],[Gas]], 0)</calculatedColumnFormula>
    </tableColumn>
    <tableColumn id="2" xr3:uid="{6B00D6B4-3A7A-40A7-8FDE-B4C76D5AE8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2935796-0188-45BB-81D5-45675D22D8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29806A-705C-4D9D-807B-FDF830B070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DC25208-F11F-41FC-A971-293EC942CE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0C65BBD-65EB-401C-841C-2F90C27F122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F52095-F2E8-4CFF-BC02-735327398AE7}"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293C01F0-58C5-4225-B1BF-0AF76DD11236}"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589D5993-98E6-4F10-8BEF-F4D3384D2A1A}"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406FCB98-F580-476B-8094-37A732C5209C}"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7AA1A242-2BD3-4A2A-9FF2-041A49F70FC5}"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FD90A26C-F6B4-4CA9-BFD9-37F32B561D34}"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F2BE60C6-21D0-4D92-962B-F8714AA7095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483392B-977A-4443-87CA-3F71C94B91EE}"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66A31397-B101-451A-AFF2-657EEC54BB8A}"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76E99937-B5E0-46CF-8F37-854ABC92A2CE}"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79453B92-681F-4F2C-A55A-6A70BFA2A296}"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241623C7-2535-40B3-98B6-CB4E146DC870}"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01C0BA39-A5B7-4660-87AF-2141015EE60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3B44E29E-E339-424C-9EF8-8294D5D9D33A}"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76D0424-4DC1-4C50-81D5-DF1A20DAAAAB}"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B1895C-9E8C-4AF2-9E00-D6B27B0AC47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803246-E4E7-4C12-9CED-FFEFC9C0B6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807759-03A6-4EA9-A3A8-2AE252F48040}"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1B8BA5-AF9B-4E90-8B77-F474961E535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F12359-4A77-42FA-90A4-CD462B7A32D5}" name="Temperature Zone">
      <calculatedColumnFormula array="1">Common_InputFunctions.Utility_DisplayArrayInTable(Common_SourceData.Common_SourceData_TemperatureZones_Data(),Table_SourceData_TemperatureZones[[#Headers],[Temperature Zone]],0)</calculatedColumnFormula>
    </tableColumn>
    <tableColumn id="2" xr3:uid="{05821D49-3078-4C26-8CEF-1FF0B81C6838}" name="MAT">
      <calculatedColumnFormula array="1">Common_InputFunctions.Utility_DisplayArrayInTable(Common_SourceData.Common_SourceData_TemperatureZones_Data(),Table_SourceData_TemperatureZones[[#Headers],[Temperature Zone]],0)</calculatedColumnFormula>
    </tableColumn>
    <tableColumn id="3" xr3:uid="{85F0EB47-3E26-4081-A01B-790F8F5CC68D}" name="Min MAT">
      <calculatedColumnFormula array="1">Common_InputFunctions.Utility_DisplayArrayInTable(Common_SourceData.Common_SourceData_TemperatureZones_Data(),Table_SourceData_TemperatureZones[[#Headers],[Temperature Zone]],0)</calculatedColumnFormula>
    </tableColumn>
    <tableColumn id="4" xr3:uid="{A23E9FF0-621A-46DB-AF37-618721632CE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F9DBA8C-B8CD-451B-B149-E05E843AADC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40E371A-E30C-4D44-9493-C4F0EC94E5A2}" name="Rainfall Zone">
      <calculatedColumnFormula array="1">Common_InputFunctions.Utility_DisplayArrayInTable(Common_SourceData.Common_SourceData_RainfallZones_Data(),Table_SourceData_RainfallZones[[#Headers],[Rainfall Zone]],0)</calculatedColumnFormula>
    </tableColumn>
    <tableColumn id="2" xr3:uid="{779E8154-16A3-4D17-86C3-715AC14DE8F0}" name="Annual rainfall">
      <calculatedColumnFormula array="1">Common_InputFunctions.Utility_DisplayArrayInTable(Common_SourceData.Common_SourceData_RainfallZones_Data(),Table_SourceData_RainfallZones[[#Headers],[Rainfall Zone]],0)</calculatedColumnFormula>
    </tableColumn>
    <tableColumn id="3" xr3:uid="{27F5D161-20D8-4A2C-B622-9C1ED7C8161C}" name="Min rainfall">
      <calculatedColumnFormula array="1">Common_InputFunctions.Utility_DisplayArrayInTable(Common_SourceData.Common_SourceData_RainfallZones_Data(),Table_SourceData_RainfallZones[[#Headers],[Rainfall Zone]],0)</calculatedColumnFormula>
    </tableColumn>
    <tableColumn id="4" xr3:uid="{B7EF2610-84CC-454C-ADE9-87A434852E6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B4BE869-BD2D-4CB6-8F94-4C6FDFB0181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792D08-4CD9-4957-866D-CD24AC220047}" name="Leaching Zone">
      <calculatedColumnFormula array="1">Common_InputFunctions.Utility_DisplayArrayInTable(Common_SourceData.Common_SourceData_LeachingZones_Data(), Table_SourceData_LeachingZones[[#Headers],[Leaching Zone]], 0)</calculatedColumnFormula>
    </tableColumn>
    <tableColumn id="2" xr3:uid="{4D8A101F-2F9D-48F4-9D0A-52C7A788BF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B5BA89-C80A-47F2-A8B6-ED4B582A1C9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F4FC8BB-B5E7-4221-86E1-4FA411077C77}" name="Data source">
      <calculatedColumnFormula array="1">Common_InputFunctions.Utility_DisplayArrayInTable(Common_SourceData.Common_SourceData_DataScores_Scope3_Data(), Table_SourceData_DataScores_Scope3[[#Headers],[Data source]], 0)</calculatedColumnFormula>
    </tableColumn>
    <tableColumn id="2" xr3:uid="{1CB283B2-6604-49C4-AD0B-13E9602B042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AEE2770-646A-43B3-B7B5-D9446C498E1F}" name="Table_SourceData_FracWET" displayName="Table_SourceData_FracWET" ref="D134:E136" totalsRowShown="0">
  <autoFilter ref="D134:E136" xr:uid="{308E99BE-FE1F-47A4-B2CA-97217277C4E9}">
    <filterColumn colId="0" hiddenButton="1"/>
    <filterColumn colId="1" hiddenButton="1"/>
  </autoFilter>
  <tableColumns count="2">
    <tableColumn id="1" xr3:uid="{F906496D-A444-4250-8922-433A11D3B881}" name="Is in leaching zone">
      <calculatedColumnFormula array="1">Common_InputFunctions.Utility_DisplayArrayInTable(Common_SourceData.Common_SourceData_FracWET_Data(),Table_SourceData_FracWET[[#Headers],[Is in leaching zone]],0)</calculatedColumnFormula>
    </tableColumn>
    <tableColumn id="2" xr3:uid="{878DA8B7-C630-4AB9-8C95-90F444A5D738}"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CF032-D7F2-4844-ACBE-EFAB422E543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D0807DD-6AA3-4428-AB95-96AA52AB5C1D}" name="Production system j">
      <calculatedColumnFormula array="1">Common_InputFunctions.Utility_DisplayArrayInTable(Common_SourceData.Common_SourceData_EFN2O_Data(), Table_SourceData_Common_EFN2O[[#Headers],[Production system j]], 0)</calculatedColumnFormula>
    </tableColumn>
    <tableColumn id="2" xr3:uid="{8FCA39AD-469E-4CD3-80A6-3C5099BC6238}" name="EFN2O">
      <calculatedColumnFormula array="1">Common_InputFunctions.Utility_DisplayArrayInTable(Common_SourceData.Common_SourceData_EFN2O_Data(), Table_SourceData_Common_EFN2O[[#Headers],[Production system j]], 0)</calculatedColumnFormula>
    </tableColumn>
    <tableColumn id="3" xr3:uid="{7F5F1FED-030A-4162-A69C-E39984CC7BDC}" name="Production system only">
      <calculatedColumnFormula array="1">Common_InputFunctions.Utility_DisplayArrayInTable(Common_SourceData.Common_SourceData_EFN2O_Data(), Table_SourceData_Common_EFN2O[[#Headers],[Production system j]], 0)</calculatedColumnFormula>
    </tableColumn>
    <tableColumn id="4" xr3:uid="{AAB52485-33EF-46FC-9F4B-36BDA871301C}" name="Irrigation method">
      <calculatedColumnFormula array="1">Common_InputFunctions.Utility_DisplayArrayInTable(Common_SourceData.Common_SourceData_EFN2O_Data(), Table_SourceData_Common_EFN2O[[#Headers],[Production system j]], 0)</calculatedColumnFormula>
    </tableColumn>
    <tableColumn id="5" xr3:uid="{FF942727-9CF7-4E83-B62C-E3D00A8D55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E5E6E-359C-40E3-A8D2-658EDE7A0FA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14AD1A-7016-44E0-9C99-03FF83468F83}" name="Irrigation type i">
      <calculatedColumnFormula array="1">Common_InputFunctions.Utility_DisplayArrayInTable(Common_SourceData.Common_SourceData_FracWETIrrigation_Data(), Table_SourceData_FracWETIrrigation[[#Headers],[Irrigation type i]], 0)</calculatedColumnFormula>
    </tableColumn>
    <tableColumn id="2" xr3:uid="{AFA1116F-C725-4B55-9B70-E01F18D7D64D}"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5B896D3-D18E-4B82-B16D-832D4CAA199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E8A000-CB3A-4589-A633-510CB794A02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1A37728-9D03-42EE-883F-34C68FDE0991}"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600146-C8D5-41EF-B31F-A7FCF6202E5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3729FE-B0B8-43E5-88AE-8D20F76416C4}" name="Month">
      <calculatedColumnFormula array="1">Common_InputFunctions.Utility_DisplayArrayInTable(Common_SourceData.Common_SourceData_MonthsToSeasons_Data(), Table_SourceData_Common_MonthToSeason[[#Headers],[Month]], 0)</calculatedColumnFormula>
    </tableColumn>
    <tableColumn id="2" xr3:uid="{C4C2B80B-A079-4091-9A9A-9B58521D39CA}"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D97BDBB-20B1-4018-B059-7F2FC8F608C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67277F-0CDC-427E-9644-E5596A7F449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5D33B11-136F-44DC-920F-653DE287B84F}"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8AD67B-4603-44F8-AA5D-4C3A9CDD0A6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83BDDD-1635-4862-BADC-97F1690AFE48}"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809273A-73C8-40D4-9C50-F2D5C93DEE56}"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449008-A3E7-4114-B413-65EB97C892A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58521E-4AF2-4F97-9BD8-45186E981572}"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A95670-DDCD-45AC-9636-5330B17C393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69F9D4-6A52-406A-879A-DB1CBD98D2A6}"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31A76B-25CC-4D1D-ACF4-DE2010E0B5D0}"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570B9BE-F6E9-4755-A835-3AEDA6FE5D89}"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90F1253-0E30-47CF-986A-587171B375E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4AB0FB4-EB82-415D-9571-BA6462BBB4A8}"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3CFDE98-4294-455E-B95C-7948165A6283}"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7C2B6B-A9ED-4CEF-A0D5-977191F456F7}"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B0D34FB-6534-4647-9CA2-FF689189ADC8}"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777A1D9-9AB6-4A99-9843-98D8910F386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0353079-6C94-4374-B3F7-E6CEFC89A25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DF64D2-D979-40F8-9AB6-D16FDA4EAAA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VEERG_14_1_1__1_LocationBasedScopeElectricityEmissions_Result_Method1</f>
        <v>16.8</v>
      </c>
      <c r="F9" s="55">
        <f>E9</f>
        <v>16.8</v>
      </c>
      <c r="G9" s="31" t="s">
        <v>58</v>
      </c>
      <c r="H9" s="19"/>
    </row>
    <row r="10" spans="1:8" ht="20.100000000000001" customHeight="1" x14ac:dyDescent="0.25">
      <c r="A10" s="16" t="s">
        <v>45</v>
      </c>
      <c r="C10" s="19"/>
      <c r="D10" s="1" t="s">
        <v>149</v>
      </c>
      <c r="E10" s="55">
        <f>VEERG_14_1_2__1_MarketBasedScopeElectricityEmissionsVariation_Result_Method1</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abSelected="1" topLeftCell="A24"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155</v>
      </c>
      <c r="E5" s="28" t="s">
        <v>156</v>
      </c>
      <c r="F5" s="2" t="s">
        <v>94</v>
      </c>
    </row>
    <row r="6" spans="1:10" ht="20.100000000000001" customHeight="1" x14ac:dyDescent="0.25">
      <c r="A6" s="13"/>
      <c r="E6" s="4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7" t="s">
        <v>1</v>
      </c>
    </row>
    <row r="8" spans="1:10" ht="20.100000000000001" customHeight="1" x14ac:dyDescent="0.25">
      <c r="A8" s="44" t="str">
        <f>HYPERLINK("#'Input - Electricity'!A1", "Electricity")</f>
        <v>Electricity</v>
      </c>
      <c r="C8" s="109"/>
      <c r="D8" s="109"/>
      <c r="E8" s="109"/>
      <c r="F8" s="109"/>
      <c r="G8" s="109"/>
      <c r="H8" s="109"/>
      <c r="I8" s="109"/>
      <c r="J8" s="109"/>
    </row>
    <row r="9" spans="1:10" ht="20.100000000000001" customHeight="1" x14ac:dyDescent="0.25">
      <c r="A9" s="14"/>
      <c r="D9" s="6" t="s">
        <v>135</v>
      </c>
    </row>
    <row r="10" spans="1:10" ht="20.100000000000001" customHeight="1" x14ac:dyDescent="0.25">
      <c r="A10" s="16" t="s">
        <v>45</v>
      </c>
    </row>
    <row r="11" spans="1:10" ht="20.100000000000001" customHeight="1" x14ac:dyDescent="0.25">
      <c r="A11" s="14" t="str">
        <f>HYPERLINK("#'14.1.1-2 Purchased electricity'!A1", "14.1.1-2 Purchased electricity")</f>
        <v>14.1.1-2 Purchased electricity</v>
      </c>
      <c r="D11" s="63" t="s">
        <v>87</v>
      </c>
    </row>
    <row r="12" spans="1:10" ht="20.100000000000001" customHeight="1" x14ac:dyDescent="0.25">
      <c r="A12" s="14"/>
    </row>
    <row r="13" spans="1:10" ht="20.100000000000001" customHeight="1" x14ac:dyDescent="0.25">
      <c r="A13" s="15" t="s">
        <v>2</v>
      </c>
      <c r="D13" s="64" t="s">
        <v>88</v>
      </c>
      <c r="E13" s="65"/>
      <c r="F13" s="19"/>
    </row>
    <row r="14" spans="1:10" ht="20.100000000000001" customHeight="1" x14ac:dyDescent="0.25">
      <c r="A14" s="14" t="str">
        <f>HYPERLINK("#'Constants - Electricity'!A1", "Constants - Electricity")</f>
        <v>Constants - Electricity</v>
      </c>
      <c r="D14" s="19"/>
      <c r="E14" s="19"/>
      <c r="F14" s="19"/>
    </row>
    <row r="15" spans="1:10" ht="20.100000000000001" customHeight="1" x14ac:dyDescent="0.25">
      <c r="A15" s="14" t="str">
        <f>HYPERLINK("#'Constants - Common'!A1", "Constants - Common")</f>
        <v>Constants - Common</v>
      </c>
      <c r="D15" s="1" t="s">
        <v>89</v>
      </c>
      <c r="E15" s="66">
        <v>30000</v>
      </c>
      <c r="F15" s="2" t="s">
        <v>90</v>
      </c>
    </row>
    <row r="16" spans="1:10" ht="20.100000000000001" customHeight="1" x14ac:dyDescent="0.25">
      <c r="D16" s="1" t="s">
        <v>91</v>
      </c>
      <c r="E16" s="29" t="str">
        <f>IF(X_Cell_Site_State="Western Australia", X_Cell_Site_Region, X_Cell_Site_State)</f>
        <v>Western Australia - Outback (South)</v>
      </c>
      <c r="F16" s="19"/>
    </row>
    <row r="17" spans="1:11" ht="20.100000000000001" customHeight="1" x14ac:dyDescent="0.25">
      <c r="D17" s="1" t="s">
        <v>92</v>
      </c>
      <c r="E17" s="28" t="s">
        <v>93</v>
      </c>
      <c r="F17" s="2" t="s">
        <v>94</v>
      </c>
    </row>
    <row r="18" spans="1:11" ht="20.100000000000001" customHeight="1" x14ac:dyDescent="0.25"/>
    <row r="19" spans="1:11" ht="20.100000000000001" customHeight="1" x14ac:dyDescent="0.25"/>
    <row r="20" spans="1:11" ht="20.100000000000001" customHeight="1" x14ac:dyDescent="0.25">
      <c r="A20" s="14"/>
      <c r="C20" s="109"/>
      <c r="D20" s="109"/>
      <c r="E20" s="109"/>
      <c r="F20" s="109"/>
      <c r="G20" s="109"/>
      <c r="H20" s="109"/>
      <c r="I20" s="109"/>
      <c r="J20" s="109"/>
    </row>
    <row r="21" spans="1:11" ht="20.100000000000001" customHeight="1" x14ac:dyDescent="0.25">
      <c r="A21" s="14"/>
      <c r="D21" s="6" t="s">
        <v>136</v>
      </c>
    </row>
    <row r="22" spans="1:11" ht="20.100000000000001" customHeight="1" x14ac:dyDescent="0.25">
      <c r="E22" s="40" t="str">
        <f>IF(E16="ACT", "", "ALERT: Your farm is not in the ACT, so the JRPP is not applicable")</f>
        <v>ALERT: Your farm is not in the ACT, so the JRPP is not applicable</v>
      </c>
    </row>
    <row r="23" spans="1:11" ht="20.100000000000001" customHeight="1" x14ac:dyDescent="0.25">
      <c r="A23" s="14"/>
      <c r="D23" s="1" t="s">
        <v>129</v>
      </c>
      <c r="E23" s="66">
        <v>30000</v>
      </c>
      <c r="F23" s="2" t="s">
        <v>90</v>
      </c>
    </row>
    <row r="24" spans="1:11" ht="20.100000000000001" customHeight="1" x14ac:dyDescent="0.25">
      <c r="D24" s="1" t="s">
        <v>119</v>
      </c>
      <c r="E24" s="112">
        <v>0.1</v>
      </c>
      <c r="F24" s="2" t="s">
        <v>120</v>
      </c>
    </row>
    <row r="25" spans="1:11" ht="20.100000000000001" customHeight="1" x14ac:dyDescent="0.25">
      <c r="D25" s="1" t="s">
        <v>121</v>
      </c>
      <c r="E25" s="112">
        <v>0.1</v>
      </c>
      <c r="F25" s="2" t="s">
        <v>120</v>
      </c>
    </row>
    <row r="26" spans="1:11" ht="20.100000000000001" customHeight="1" x14ac:dyDescent="0.25"/>
    <row r="27" spans="1:11" ht="20.100000000000001" customHeight="1" x14ac:dyDescent="0.25">
      <c r="D27" s="1" t="s">
        <v>128</v>
      </c>
      <c r="E27" s="66">
        <v>10000</v>
      </c>
      <c r="F27" s="2" t="s">
        <v>90</v>
      </c>
    </row>
    <row r="28" spans="1:11" ht="20.100000000000001" customHeight="1" x14ac:dyDescent="0.25"/>
    <row r="29" spans="1:11" ht="20.100000000000001" customHeight="1" x14ac:dyDescent="0.25">
      <c r="A29" s="14"/>
      <c r="D29" s="1" t="s">
        <v>142</v>
      </c>
      <c r="E29" s="116" t="str">
        <f>TEXT('Input - Site'!E12, "dd mmm yyyy")</f>
        <v>01 Jan 2024</v>
      </c>
      <c r="K29" s="49"/>
    </row>
    <row r="30" spans="1:11" ht="20.100000000000001" customHeight="1" x14ac:dyDescent="0.25">
      <c r="A30" s="14"/>
      <c r="D30" s="1" t="s">
        <v>127</v>
      </c>
      <c r="E30" s="116" t="str">
        <f>TEXT('Input - Site'!E13, "dd mmm yyyy")</f>
        <v>31 Dec 2024</v>
      </c>
      <c r="K30" s="49"/>
    </row>
    <row r="31" spans="1:11" ht="20.100000000000001" customHeight="1" x14ac:dyDescent="0.25">
      <c r="A31" s="33"/>
      <c r="K31" s="49"/>
    </row>
    <row r="32" spans="1:11" ht="20.100000000000001" customHeight="1" x14ac:dyDescent="0.25">
      <c r="A32" s="33"/>
      <c r="D32" s="63" t="s">
        <v>126</v>
      </c>
      <c r="K32" s="49"/>
    </row>
    <row r="33" spans="1:12" ht="20.100000000000001" customHeight="1" x14ac:dyDescent="0.25">
      <c r="A33" s="14"/>
      <c r="K33" s="49"/>
    </row>
    <row r="34" spans="1:12" ht="20.100000000000001" customHeight="1" x14ac:dyDescent="0.25">
      <c r="D34" s="64" t="s">
        <v>150</v>
      </c>
      <c r="E34" s="65"/>
      <c r="K34" s="49"/>
    </row>
    <row r="35" spans="1:12" ht="20.100000000000001" customHeight="1" x14ac:dyDescent="0.25"/>
    <row r="36" spans="1:12" ht="20.100000000000001" customHeight="1" x14ac:dyDescent="0.25">
      <c r="D36" s="114" t="s">
        <v>123</v>
      </c>
      <c r="E36" s="114" t="s">
        <v>132</v>
      </c>
      <c r="F36" s="114" t="s">
        <v>124</v>
      </c>
      <c r="G36" s="114" t="s">
        <v>125</v>
      </c>
      <c r="H36" s="114" t="s">
        <v>122</v>
      </c>
      <c r="I36" s="114" t="s">
        <v>143</v>
      </c>
      <c r="L36" s="49"/>
    </row>
    <row r="37" spans="1:12" ht="20.100000000000001" customHeight="1" x14ac:dyDescent="0.25">
      <c r="D37" s="27" t="s">
        <v>154</v>
      </c>
      <c r="E37" s="28" t="s">
        <v>133</v>
      </c>
      <c r="F37" s="115">
        <v>44185</v>
      </c>
      <c r="G37" s="27">
        <v>12</v>
      </c>
      <c r="H37" s="29">
        <f>Table_Input_RECSurrendered[[#This Row],[Number of certificates]]</f>
        <v>12</v>
      </c>
      <c r="I37" s="29" t="str">
        <f>IF(DATEDIF(Table_Input_RECSurrendered[[#This Row],[Generation date]],DATEVALUE($E$30),"M")&gt;36,"Ineligible - older than 36 months","Elegible")</f>
        <v>Ineligible - older than 36 months</v>
      </c>
      <c r="L37" s="49"/>
    </row>
    <row r="38" spans="1:12" ht="20.100000000000001" customHeight="1" x14ac:dyDescent="0.25">
      <c r="D38" s="27" t="s">
        <v>151</v>
      </c>
      <c r="E38" s="28" t="s">
        <v>134</v>
      </c>
      <c r="F38" s="115">
        <v>44575</v>
      </c>
      <c r="G38" s="27">
        <v>5</v>
      </c>
      <c r="H38" s="29">
        <f>Table_Input_RECSurrendered[[#This Row],[Number of certificates]]</f>
        <v>5</v>
      </c>
      <c r="I38" s="29" t="str">
        <f>IF(DATEDIF(Table_Input_RECSurrendered[[#This Row],[Generation date]],DATEVALUE($E$30),"M")&gt;36,"Ineligible - older than 36 months","Elegible")</f>
        <v>Elegible</v>
      </c>
    </row>
    <row r="39" spans="1:12" ht="20.100000000000001" customHeight="1" x14ac:dyDescent="0.25">
      <c r="A39" s="14"/>
      <c r="D39" s="27" t="s">
        <v>152</v>
      </c>
      <c r="E39" s="28" t="s">
        <v>133</v>
      </c>
      <c r="F39" s="115">
        <v>45438</v>
      </c>
      <c r="G39" s="27">
        <v>5</v>
      </c>
      <c r="H39" s="29">
        <f>Table_Input_RECSurrendered[[#This Row],[Number of certificates]]</f>
        <v>5</v>
      </c>
      <c r="I39" s="29" t="str">
        <f>IF(DATEDIF(Table_Input_RECSurrendered[[#This Row],[Generation date]],DATEVALUE($E$30),"M")&gt;36,"Ineligible - older than 36 months","Elegible")</f>
        <v>Elegible</v>
      </c>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 t="s">
        <v>144</v>
      </c>
      <c r="E41" s="29">
        <f>SUMIF(Table_Input_RECSurrendered[Elegibility], "Elegible", Table_Input_RECSurrendered[MWh])</f>
        <v>10</v>
      </c>
      <c r="F41" s="2" t="s">
        <v>122</v>
      </c>
      <c r="G41" s="1"/>
      <c r="H41" s="1"/>
      <c r="I41" s="1"/>
      <c r="J41" s="1"/>
      <c r="L41" s="49" t="s">
        <v>85</v>
      </c>
    </row>
    <row r="42" spans="1:12" ht="20.100000000000001" customHeight="1" x14ac:dyDescent="0.25">
      <c r="C42" s="48"/>
    </row>
    <row r="43" spans="1:12" ht="20.100000000000001" customHeight="1" x14ac:dyDescent="0.25">
      <c r="C43" s="48"/>
      <c r="D43" s="63" t="s">
        <v>130</v>
      </c>
      <c r="J43" s="48"/>
    </row>
    <row r="44" spans="1:12" ht="20.100000000000001" customHeight="1" x14ac:dyDescent="0.25">
      <c r="A44" s="54"/>
    </row>
    <row r="45" spans="1:12" ht="20.100000000000001" customHeight="1" x14ac:dyDescent="0.25">
      <c r="D45" s="114" t="s">
        <v>123</v>
      </c>
      <c r="E45" s="114" t="s">
        <v>131</v>
      </c>
      <c r="F45" s="114" t="s">
        <v>124</v>
      </c>
      <c r="G45" s="114" t="s">
        <v>125</v>
      </c>
      <c r="H45" s="114" t="s">
        <v>122</v>
      </c>
      <c r="I45" s="114" t="s">
        <v>143</v>
      </c>
    </row>
    <row r="46" spans="1:12" ht="20.100000000000001" customHeight="1" x14ac:dyDescent="0.25">
      <c r="D46" s="27" t="s">
        <v>141</v>
      </c>
      <c r="E46" s="117" t="str">
        <f>"Issued for generated electricity"</f>
        <v>Issued for generated electricity</v>
      </c>
      <c r="F46" s="115">
        <v>44697</v>
      </c>
      <c r="G46" s="27">
        <v>10</v>
      </c>
      <c r="H46" s="29">
        <f>Table_Input_RECConsumedByEntity[[#This Row],[Number of certificates]]</f>
        <v>10</v>
      </c>
      <c r="I46" s="2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7" t="s">
        <v>153</v>
      </c>
      <c r="E47" s="117" t="str">
        <f>"Issued for generated electricity"</f>
        <v>Issued for generated electricity</v>
      </c>
      <c r="F47" s="115">
        <v>45483</v>
      </c>
      <c r="G47" s="27">
        <v>4</v>
      </c>
      <c r="H47" s="29">
        <f>Table_Input_RECConsumedByEntity[[#This Row],[Number of certificates]]</f>
        <v>4</v>
      </c>
      <c r="I47" s="2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22">
        <v>45597</v>
      </c>
      <c r="E48" s="117" t="str">
        <f>"Issued for generated electricity"</f>
        <v>Issued for generated electricity</v>
      </c>
      <c r="F48" s="115">
        <v>45607</v>
      </c>
      <c r="G48" s="27">
        <v>7</v>
      </c>
      <c r="H48" s="29">
        <f>Table_Input_RECConsumedByEntity[[#This Row],[Number of certificates]]</f>
        <v>7</v>
      </c>
      <c r="I48" s="29"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145</v>
      </c>
      <c r="E50" s="29">
        <f>SUMIF(Table_Input_RECConsumedByEntity[Elegibility], "Elegible", Table_Input_RECConsumedByEntity[Number of certificates])</f>
        <v>11</v>
      </c>
      <c r="F50" s="2" t="s">
        <v>122</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13"/>
    </row>
    <row r="56" spans="4:6" ht="20.100000000000001" customHeight="1" x14ac:dyDescent="0.25">
      <c r="D56" s="11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79" operator="lessThan">
      <formula>0</formula>
    </cfRule>
  </conditionalFormatting>
  <conditionalFormatting sqref="J39 I40 J41 I43">
    <cfRule type="cellIs" dxfId="0"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91DA-4C9F-4E69-8908-19D0D65BC2E4}">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Overview</vt:lpstr>
      <vt:lpstr>Results</vt:lpstr>
      <vt:lpstr>Input - Site</vt:lpstr>
      <vt:lpstr>Input - Electricity</vt:lpstr>
      <vt:lpstr>14.1.1-2 Purchased electricity</vt:lpstr>
      <vt:lpstr>Constants - Electricity</vt:lpstr>
      <vt:lpstr>Constants - Common</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2026-07-22T04:59:51Z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