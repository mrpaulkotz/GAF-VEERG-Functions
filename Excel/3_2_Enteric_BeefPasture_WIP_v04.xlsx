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BB0BC9C-7394-4AF6-A9EF-EFF2E9C63873}" xr6:coauthVersionLast="47" xr6:coauthVersionMax="47" xr10:uidLastSave="{00000000-0000-0000-0000-000000000000}"/>
  <bookViews>
    <workbookView xWindow="1350" yWindow="360" windowWidth="36255" windowHeight="19140" firstSheet="2"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8"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X164" i="69"/>
  <c r="G13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c r="D168" i="108" a="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H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J198" i="70" a="1"/>
  <c r="J198" i="70" s="1"/>
  <c r="J200" i="70" a="1"/>
  <c r="J200" i="70" s="1"/>
  <c r="J197" i="70" a="1"/>
  <c r="J197" i="70"/>
  <c r="J196" i="70" a="1"/>
  <c r="J196" i="70"/>
  <c r="J195" i="70" a="1"/>
  <c r="J195" i="70" s="1"/>
  <c r="J199" i="70" a="1"/>
  <c r="J199" i="70" s="1"/>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M34" i="70"/>
  <c r="H34" i="70"/>
  <c r="G34" i="70"/>
  <c r="F34" i="70"/>
  <c r="E34" i="70"/>
  <c r="D34" i="70"/>
  <c r="N34" i="70" s="1"/>
  <c r="D33" i="70"/>
  <c r="L33" i="70" s="1"/>
  <c r="M32" i="70"/>
  <c r="D32" i="70"/>
  <c r="K32" i="70" s="1"/>
  <c r="M31" i="70"/>
  <c r="L31" i="70"/>
  <c r="D31" i="70"/>
  <c r="F31" i="70" s="1"/>
  <c r="D30" i="70"/>
  <c r="H30" i="70" s="1"/>
  <c r="D29" i="70"/>
  <c r="F29" i="70" s="1"/>
  <c r="M28" i="70"/>
  <c r="L28" i="70"/>
  <c r="D28" i="70"/>
  <c r="N28" i="70" s="1"/>
  <c r="N27" i="70"/>
  <c r="I27" i="70"/>
  <c r="H27" i="70"/>
  <c r="F27" i="70"/>
  <c r="D27" i="70"/>
  <c r="I26" i="70"/>
  <c r="D26" i="70"/>
  <c r="N25" i="70"/>
  <c r="I25" i="70"/>
  <c r="H25" i="70"/>
  <c r="G25" i="70"/>
  <c r="F25" i="70"/>
  <c r="E25" i="70"/>
  <c r="D25" i="70"/>
  <c r="D24" i="70"/>
  <c r="K24" i="70" s="1"/>
  <c r="H23" i="70"/>
  <c r="D23" i="70"/>
  <c r="A20" i="70"/>
  <c r="A19" i="70"/>
  <c r="A18" i="70"/>
  <c r="A17" i="70"/>
  <c r="A14" i="70"/>
  <c r="A13" i="70"/>
  <c r="A12" i="70"/>
  <c r="A11" i="70"/>
  <c r="A8" i="70"/>
  <c r="E7" i="70"/>
  <c r="A7" i="70"/>
  <c r="A4" i="70"/>
  <c r="A3" i="70"/>
  <c r="H52" i="108" l="1"/>
  <c r="H49" i="108"/>
  <c r="H54" i="108"/>
  <c r="H26" i="70"/>
  <c r="G26" i="70"/>
  <c r="E26" i="70"/>
  <c r="F26" i="70"/>
  <c r="N26" i="70"/>
  <c r="M26" i="70"/>
  <c r="L26" i="70"/>
  <c r="J26" i="70"/>
  <c r="K26" i="70"/>
  <c r="H53" i="108"/>
  <c r="I23" i="70"/>
  <c r="N23" i="70"/>
  <c r="K23" i="70"/>
  <c r="M23" i="70"/>
  <c r="L23" i="70"/>
  <c r="J23" i="70"/>
  <c r="E32" i="70"/>
  <c r="H50" i="108"/>
  <c r="J32" i="70"/>
  <c r="G32" i="70"/>
  <c r="I32" i="70"/>
  <c r="K28" i="70"/>
  <c r="G29" i="70"/>
  <c r="L29" i="70"/>
  <c r="H32" i="70"/>
  <c r="N32" i="70"/>
  <c r="L32" i="70"/>
  <c r="H48" i="108"/>
  <c r="G27" i="70"/>
  <c r="M27" i="70"/>
  <c r="J27" i="70"/>
  <c r="L27" i="70"/>
  <c r="K27" i="70"/>
  <c r="H31" i="70"/>
  <c r="I31" i="70"/>
  <c r="J31" i="70"/>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c r="D53" i="43" a="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A17" i="43" l="1"/>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s="1"/>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J150" i="70" l="1"/>
  <c r="F149" i="70"/>
  <c r="L147" i="70"/>
  <c r="H146" i="70"/>
  <c r="N144" i="70"/>
  <c r="J143" i="70"/>
  <c r="F142" i="70"/>
  <c r="L140" i="70"/>
  <c r="H139" i="70"/>
  <c r="H136" i="70"/>
  <c r="N134" i="70"/>
  <c r="J133" i="70"/>
  <c r="J147" i="70"/>
  <c r="L144" i="70"/>
  <c r="I150" i="70"/>
  <c r="E149" i="70"/>
  <c r="K147" i="70"/>
  <c r="G146" i="70"/>
  <c r="M144" i="70"/>
  <c r="I143" i="70"/>
  <c r="E142" i="70"/>
  <c r="K140" i="70"/>
  <c r="G139" i="70"/>
  <c r="G136" i="70"/>
  <c r="M134" i="70"/>
  <c r="I133" i="70"/>
  <c r="N148" i="70"/>
  <c r="F146" i="70"/>
  <c r="N141" i="70"/>
  <c r="J134" i="70"/>
  <c r="H150" i="70"/>
  <c r="G150" i="70"/>
  <c r="M148" i="70"/>
  <c r="I147" i="70"/>
  <c r="E146" i="70"/>
  <c r="K144" i="70"/>
  <c r="G143" i="70"/>
  <c r="M141" i="70"/>
  <c r="I140" i="70"/>
  <c r="E139" i="70"/>
  <c r="E136" i="70"/>
  <c r="K134" i="70"/>
  <c r="G133" i="70"/>
  <c r="F143" i="70"/>
  <c r="L141" i="70"/>
  <c r="H140" i="70"/>
  <c r="F150" i="70"/>
  <c r="L148" i="70"/>
  <c r="H147" i="70"/>
  <c r="N145" i="70"/>
  <c r="J144" i="70"/>
  <c r="E150" i="70"/>
  <c r="K148" i="70"/>
  <c r="G147" i="70"/>
  <c r="M145" i="70"/>
  <c r="I144" i="70"/>
  <c r="E143" i="70"/>
  <c r="K141" i="70"/>
  <c r="G140" i="70"/>
  <c r="M135" i="70"/>
  <c r="I134" i="70"/>
  <c r="E133" i="70"/>
  <c r="N149" i="70"/>
  <c r="J148" i="70"/>
  <c r="F147" i="70"/>
  <c r="L145" i="70"/>
  <c r="H144" i="70"/>
  <c r="N142" i="70"/>
  <c r="J141" i="70"/>
  <c r="F140" i="70"/>
  <c r="L135" i="70"/>
  <c r="H134" i="70"/>
  <c r="E134" i="70"/>
  <c r="M149" i="70"/>
  <c r="I148" i="70"/>
  <c r="E147" i="70"/>
  <c r="K145" i="70"/>
  <c r="G144" i="70"/>
  <c r="M142" i="70"/>
  <c r="I141" i="70"/>
  <c r="E140" i="70"/>
  <c r="K135" i="70"/>
  <c r="G134" i="70"/>
  <c r="L149" i="70"/>
  <c r="H148" i="70"/>
  <c r="N146" i="70"/>
  <c r="J145" i="70"/>
  <c r="F144" i="70"/>
  <c r="L142" i="70"/>
  <c r="H141" i="70"/>
  <c r="N139" i="70"/>
  <c r="N136" i="70"/>
  <c r="J135" i="70"/>
  <c r="F134" i="70"/>
  <c r="M139" i="70"/>
  <c r="M136" i="70"/>
  <c r="I135" i="70"/>
  <c r="K149" i="70"/>
  <c r="G148" i="70"/>
  <c r="M146" i="70"/>
  <c r="I145" i="70"/>
  <c r="E144" i="70"/>
  <c r="K142" i="70"/>
  <c r="G141" i="70"/>
  <c r="N150" i="70"/>
  <c r="J149" i="70"/>
  <c r="F148" i="70"/>
  <c r="L146" i="70"/>
  <c r="H145" i="70"/>
  <c r="N143" i="70"/>
  <c r="J142" i="70"/>
  <c r="F141" i="70"/>
  <c r="L139" i="70"/>
  <c r="L136" i="70"/>
  <c r="H135" i="70"/>
  <c r="N133" i="70"/>
  <c r="H143" i="70"/>
  <c r="L134" i="70"/>
  <c r="M150" i="70"/>
  <c r="I149" i="70"/>
  <c r="E148" i="70"/>
  <c r="K146" i="70"/>
  <c r="G145" i="70"/>
  <c r="M143" i="70"/>
  <c r="I142" i="70"/>
  <c r="E141" i="70"/>
  <c r="K139" i="70"/>
  <c r="K136" i="70"/>
  <c r="G135" i="70"/>
  <c r="M133" i="70"/>
  <c r="F136" i="70"/>
  <c r="H133" i="70"/>
  <c r="L150" i="70"/>
  <c r="H149" i="70"/>
  <c r="N147" i="70"/>
  <c r="J146" i="70"/>
  <c r="F145" i="70"/>
  <c r="L143" i="70"/>
  <c r="H142" i="70"/>
  <c r="N140" i="70"/>
  <c r="J139" i="70"/>
  <c r="J136" i="70"/>
  <c r="F135" i="70"/>
  <c r="L133" i="70"/>
  <c r="F139" i="70"/>
  <c r="N135" i="70"/>
  <c r="F133" i="70"/>
  <c r="K150" i="70"/>
  <c r="G149" i="70"/>
  <c r="M147" i="70"/>
  <c r="I146" i="70"/>
  <c r="E145" i="70"/>
  <c r="K143" i="70"/>
  <c r="G142" i="70"/>
  <c r="M140" i="70"/>
  <c r="I139" i="70"/>
  <c r="I136" i="70"/>
  <c r="E135" i="70"/>
  <c r="K133" i="70"/>
  <c r="J140" i="70"/>
  <c r="AH39" i="69"/>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N99" i="70" l="1"/>
  <c r="J98" i="70"/>
  <c r="F97" i="70"/>
  <c r="L95" i="70"/>
  <c r="H94" i="70"/>
  <c r="N92" i="70"/>
  <c r="J91" i="70"/>
  <c r="F90" i="70"/>
  <c r="F86" i="70"/>
  <c r="L84" i="70"/>
  <c r="H83" i="70"/>
  <c r="G83" i="70"/>
  <c r="N96" i="70"/>
  <c r="H91" i="70"/>
  <c r="F83" i="70"/>
  <c r="L89" i="70"/>
  <c r="M83" i="70"/>
  <c r="M99" i="70"/>
  <c r="I98" i="70"/>
  <c r="E97" i="70"/>
  <c r="K95" i="70"/>
  <c r="G94" i="70"/>
  <c r="M92" i="70"/>
  <c r="I91" i="70"/>
  <c r="E90" i="70"/>
  <c r="E86" i="70"/>
  <c r="K84" i="70"/>
  <c r="H98" i="70"/>
  <c r="N89" i="70"/>
  <c r="L96" i="70"/>
  <c r="K99" i="70"/>
  <c r="G98" i="70"/>
  <c r="M96" i="70"/>
  <c r="I95" i="70"/>
  <c r="E94" i="70"/>
  <c r="K92" i="70"/>
  <c r="G91" i="70"/>
  <c r="M89" i="70"/>
  <c r="M85" i="70"/>
  <c r="I84" i="70"/>
  <c r="E83" i="70"/>
  <c r="N100" i="70"/>
  <c r="J99" i="70"/>
  <c r="F98" i="70"/>
  <c r="F91" i="70"/>
  <c r="L85" i="70"/>
  <c r="M100" i="70"/>
  <c r="I99" i="70"/>
  <c r="E98" i="70"/>
  <c r="K96" i="70"/>
  <c r="G95" i="70"/>
  <c r="M93" i="70"/>
  <c r="I92" i="70"/>
  <c r="E91" i="70"/>
  <c r="K89" i="70"/>
  <c r="K85" i="70"/>
  <c r="G84" i="70"/>
  <c r="I85" i="70"/>
  <c r="M94" i="70"/>
  <c r="G89" i="70"/>
  <c r="K86" i="70"/>
  <c r="L100" i="70"/>
  <c r="H99" i="70"/>
  <c r="N97" i="70"/>
  <c r="J96" i="70"/>
  <c r="F95" i="70"/>
  <c r="L93" i="70"/>
  <c r="H92" i="70"/>
  <c r="N90" i="70"/>
  <c r="J89" i="70"/>
  <c r="N86" i="70"/>
  <c r="J85" i="70"/>
  <c r="F84" i="70"/>
  <c r="E84" i="70"/>
  <c r="G96" i="70"/>
  <c r="K90" i="70"/>
  <c r="K100" i="70"/>
  <c r="G99" i="70"/>
  <c r="M97" i="70"/>
  <c r="I96" i="70"/>
  <c r="E95" i="70"/>
  <c r="K93" i="70"/>
  <c r="G92" i="70"/>
  <c r="M90" i="70"/>
  <c r="I89" i="70"/>
  <c r="M86" i="70"/>
  <c r="E99" i="70"/>
  <c r="E92" i="70"/>
  <c r="J100" i="70"/>
  <c r="F99" i="70"/>
  <c r="L97" i="70"/>
  <c r="H96" i="70"/>
  <c r="N94" i="70"/>
  <c r="J93" i="70"/>
  <c r="F92" i="70"/>
  <c r="L90" i="70"/>
  <c r="H89" i="70"/>
  <c r="L86" i="70"/>
  <c r="H85" i="70"/>
  <c r="N83" i="70"/>
  <c r="I100" i="70"/>
  <c r="K97" i="70"/>
  <c r="I93" i="70"/>
  <c r="H100" i="70"/>
  <c r="N98" i="70"/>
  <c r="J97" i="70"/>
  <c r="F96" i="70"/>
  <c r="L94" i="70"/>
  <c r="H93" i="70"/>
  <c r="N91" i="70"/>
  <c r="J90" i="70"/>
  <c r="F89" i="70"/>
  <c r="J86" i="70"/>
  <c r="F85" i="70"/>
  <c r="L83" i="70"/>
  <c r="K83" i="70"/>
  <c r="J95" i="70"/>
  <c r="N85" i="70"/>
  <c r="J92" i="70"/>
  <c r="G85" i="70"/>
  <c r="G100" i="70"/>
  <c r="M98" i="70"/>
  <c r="I97" i="70"/>
  <c r="E96" i="70"/>
  <c r="K94" i="70"/>
  <c r="G93" i="70"/>
  <c r="M91" i="70"/>
  <c r="I90" i="70"/>
  <c r="E89" i="70"/>
  <c r="I86" i="70"/>
  <c r="E85" i="70"/>
  <c r="J83" i="70"/>
  <c r="L99" i="70"/>
  <c r="N93" i="70"/>
  <c r="F100" i="70"/>
  <c r="L98" i="70"/>
  <c r="H97" i="70"/>
  <c r="N95" i="70"/>
  <c r="J94" i="70"/>
  <c r="F93" i="70"/>
  <c r="L91" i="70"/>
  <c r="H90" i="70"/>
  <c r="H86" i="70"/>
  <c r="N84" i="70"/>
  <c r="F94" i="70"/>
  <c r="J84" i="70"/>
  <c r="E100" i="70"/>
  <c r="K98" i="70"/>
  <c r="G97" i="70"/>
  <c r="M95" i="70"/>
  <c r="I94" i="70"/>
  <c r="E93" i="70"/>
  <c r="K91" i="70"/>
  <c r="G90" i="70"/>
  <c r="G86" i="70"/>
  <c r="M84" i="70"/>
  <c r="I83" i="70"/>
  <c r="L92" i="70"/>
  <c r="H95" i="70"/>
  <c r="H84" i="70"/>
  <c r="J191" i="70"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<sst xmlns="http://schemas.openxmlformats.org/spreadsheetml/2006/main" count="1192" uniqueCount="323">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</sst>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3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2"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23"/>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22" dataCellStyle="Input select"/>
    <tableColumn id="2" xr3:uid="{4A67C945-12D3-415F-A1EE-3BDD0F8CF7AE}" name="Purchase class (select)" dataDxfId="121" dataCellStyle="Input select"/>
    <tableColumn id="6" xr3:uid="{5D779678-C4CF-422D-AA9D-2D15A1B27090}" name="Source region (Select)" dataDxfId="120"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4BA0C4A-BCEC-48D4-90F5-981EA470E12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39D8CB8-53DF-42DE-B5AB-0A51CC506F89}" name="State/Territory">
      <calculatedColumnFormula array="1">Common_InputFunctions.Utility_DisplayArrayInTable(Common_SourceData.Common_SourceData_AustralianStatesTerritories_Data(),Table_AustralianStates[[#Headers],[State/Territory]],0)</calculatedColumnFormula>
    </tableColumn>
    <tableColumn id="2" xr3:uid="{BDAE55BE-E2EC-4425-A4B1-8A65BAA38FE2}" name="Common Name">
      <calculatedColumnFormula array="1">Common_InputFunctions.Utility_DisplayArrayInTable(Common_SourceData.Common_SourceData_AustralianStatesTerritories_Data(),Table_AustralianStates[[#Headers],[State/Territory]],0)</calculatedColumnFormula>
    </tableColumn>
    <tableColumn id="3" xr3:uid="{78B5D7F1-B604-452E-8B32-4B35C8FF663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2FAB5B6-D03E-4FBF-B4CC-329CD534B5D8}" name="Table_WASA4Areas" displayName="Table_WASA4Areas" ref="D20:D30" totalsRowShown="0">
  <autoFilter ref="D20:D30" xr:uid="{5FA81339-C6C8-4D36-BEEA-6C4AEDD9E676}">
    <filterColumn colId="0" hiddenButton="1"/>
  </autoFilter>
  <tableColumns count="1">
    <tableColumn id="1" xr3:uid="{D1B56D10-FE20-4902-9700-1C352AB5F3C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9C84E54-CEC3-416D-BAB2-C66E9CF401CB}" name="Table_GWPData" displayName="Table_GWPData" ref="D36:E43" totalsRowShown="0">
  <autoFilter ref="D36:E43" xr:uid="{B8E87A66-3E41-4AD3-925D-01EE21B43D7A}">
    <filterColumn colId="0" hiddenButton="1"/>
    <filterColumn colId="1" hiddenButton="1"/>
  </autoFilter>
  <tableColumns count="2">
    <tableColumn id="1" xr3:uid="{94162D3C-064F-4CD6-8B2F-64E13FCC879A}" name="Gas">
      <calculatedColumnFormula array="1">Common_InputFunctions.Utility_DisplayArrayInTable(Common_SourceData.Common_SourceData_GWP_Data(), Table_GWPData[[#Headers],[Gas]], 0)</calculatedColumnFormula>
    </tableColumn>
    <tableColumn id="2" xr3:uid="{F4B8D874-1FCD-45B3-BBCE-ACBBCD95DE3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8480314-30C8-493F-AFBC-F6DF4CED8F8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7BCF9A1-EDAE-49B3-8315-25BCEF6C6884}" name="Gas">
      <calculatedColumnFormula array="1">Common_InputFunctions.Utility_DisplayArrayInTable(Common_SourceData.Common_SourceData_ConvertGasElementalToMolecular_Data(),Table_GasToMolecularConversionFactor[[#Headers],[Gas]], 0)</calculatedColumnFormula>
    </tableColumn>
    <tableColumn id="5" xr3:uid="{AEE026A6-78BA-434B-9137-E254E78B3320}" name="Conversion factor">
      <calculatedColumnFormula array="1">Common_InputFunctions.Utility_DisplayArrayInTable(Common_SourceData.Common_SourceData_ConvertGasElementalToMolecular_Data(),Table_GasToMolecularConversionFactor[[#Headers],[Gas]], 0)</calculatedColumnFormula>
    </tableColumn>
    <tableColumn id="2" xr3:uid="{FA02F8E3-793C-4F17-A1E0-9DE5EEBADE6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245BC88-180A-493D-A8D4-46CB9F2A91F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29653B7-231F-4BA9-8F3A-30E62B9A940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30967D8-E835-4E4A-B68D-457BAE2FCAD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E57A989-7144-4732-AB69-B32F0A5AC5C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02A1163-FF14-49CA-AEE6-3F813DBD714C}"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EF22C651-EA66-42B5-B048-B5DD76549A1C}"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472B6051-8294-4283-A677-5E9552E26601}"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2CD50363-53F0-4143-B105-FCDB184806DD}"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E8035D5A-D9A2-41D8-B1DF-1CA75E166D47}"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73A7FEAC-0871-407A-8393-77B2F0342B7A}"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442230AD-8796-4820-B2AB-8E06341E36AE}"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898DC6F-1181-4483-A370-6E016FB529B4}"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B140634D-4263-446B-AC39-D5ACA1612DE7}"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315CD684-CF96-49CC-92BD-C2A152DD525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E2F5809D-F261-4EC8-9668-7558F8B1B3D7}"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4E703F34-E9D3-4A9C-B362-9D2B64554021}"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E0D64EF0-1916-47C2-98E0-787DBF43FE67}"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0C312345-76AF-4C4C-83C7-7E1F5B83FF3F}"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84A7FC4B-DB71-4FC6-91A7-FDCB504237DD}"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D8DC410-E2EC-49F0-8C8D-21172AF9AA7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B76C42E-3968-4911-AEED-00060CBA13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80349-2B06-495D-95F2-C11407B41B2A}"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9237FF-61CB-41E2-BBFB-6189A9A92AB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4C2EEFB-E6CA-4998-8977-5DEA08E70176}" name="Temperature Zone">
      <calculatedColumnFormula array="1">Common_InputFunctions.Utility_DisplayArrayInTable(Common_SourceData.Common_SourceData_TemperatureZones_Data(),Table_SourceData_TemperatureZones[[#Headers],[Temperature Zone]],0)</calculatedColumnFormula>
    </tableColumn>
    <tableColumn id="2" xr3:uid="{89F2B8F3-F84A-45C0-8801-1B951C2136EE}" name="MAT">
      <calculatedColumnFormula array="1">Common_InputFunctions.Utility_DisplayArrayInTable(Common_SourceData.Common_SourceData_TemperatureZones_Data(),Table_SourceData_TemperatureZones[[#Headers],[Temperature Zone]],0)</calculatedColumnFormula>
    </tableColumn>
    <tableColumn id="3" xr3:uid="{202087A2-A029-4F82-BFA6-3819C675D7C9}" name="Min MAT">
      <calculatedColumnFormula array="1">Common_InputFunctions.Utility_DisplayArrayInTable(Common_SourceData.Common_SourceData_TemperatureZones_Data(),Table_SourceData_TemperatureZones[[#Headers],[Temperature Zone]],0)</calculatedColumnFormula>
    </tableColumn>
    <tableColumn id="4" xr3:uid="{5ABAB111-E616-49B8-9D65-39F488A8FC6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8E617DC-ED7E-465E-9431-A9DA0F88AC8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E360366-9C49-42BD-BE2B-FA6F09787751}" name="Rainfall Zone">
      <calculatedColumnFormula array="1">Common_InputFunctions.Utility_DisplayArrayInTable(Common_SourceData.Common_SourceData_RainfallZones_Data(),Table_SourceData_RainfallZones[[#Headers],[Rainfall Zone]],0)</calculatedColumnFormula>
    </tableColumn>
    <tableColumn id="2" xr3:uid="{C4573557-3EA1-4125-A630-8A6D77FD7493}" name="Annual rainfall">
      <calculatedColumnFormula array="1">Common_InputFunctions.Utility_DisplayArrayInTable(Common_SourceData.Common_SourceData_RainfallZones_Data(),Table_SourceData_RainfallZones[[#Headers],[Rainfall Zone]],0)</calculatedColumnFormula>
    </tableColumn>
    <tableColumn id="3" xr3:uid="{069762D3-2CFF-4467-A2CE-5E5BE3519F9C}" name="Min rainfall">
      <calculatedColumnFormula array="1">Common_InputFunctions.Utility_DisplayArrayInTable(Common_SourceData.Common_SourceData_RainfallZones_Data(),Table_SourceData_RainfallZones[[#Headers],[Rainfall Zone]],0)</calculatedColumnFormula>
    </tableColumn>
    <tableColumn id="4" xr3:uid="{A1554E55-D442-4E5B-8D9F-555722313D2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5C24F48-F29F-4E0F-B6E8-9BACCBFC41B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84E2B0D-302F-408E-9A38-C00E7510D7FF}" name="Leaching Zone">
      <calculatedColumnFormula array="1">Common_InputFunctions.Utility_DisplayArrayInTable(Common_SourceData.Common_SourceData_LeachingZones_Data(), Table_SourceData_LeachingZones[[#Headers],[Leaching Zone]], 0)</calculatedColumnFormula>
    </tableColumn>
    <tableColumn id="2" xr3:uid="{E03ADD16-E6CC-4FC6-A022-5E72682E8B4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9D6FCDD-77D3-402C-A825-3671860E7F1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AF4B2B9-9BED-43CD-AB45-E90A26E5EC01}" name="Data source">
      <calculatedColumnFormula array="1">Common_InputFunctions.Utility_DisplayArrayInTable(Common_SourceData.Common_SourceData_DataScores_Scope3_Data(), Table_SourceData_DataScores_Scope3[[#Headers],[Data source]], 0)</calculatedColumnFormula>
    </tableColumn>
    <tableColumn id="2" xr3:uid="{86216973-2C86-4183-AD93-A12C0B9B08A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680CF86-4626-4C08-8B7E-9432467D9F7B}" name="Table_SourceData_FracWET" displayName="Table_SourceData_FracWET" ref="D134:E136" totalsRowShown="0">
  <autoFilter ref="D134:E136" xr:uid="{308E99BE-FE1F-47A4-B2CA-97217277C4E9}">
    <filterColumn colId="0" hiddenButton="1"/>
    <filterColumn colId="1" hiddenButton="1"/>
  </autoFilter>
  <tableColumns count="2">
    <tableColumn id="1" xr3:uid="{E0DDD683-BC77-47AF-8B68-29E935EFC7B2}" name="Is in leaching zone">
      <calculatedColumnFormula array="1">Common_InputFunctions.Utility_DisplayArrayInTable(Common_SourceData.Common_SourceData_FracWET_Data(),Table_SourceData_FracWET[[#Headers],[Is in leaching zone]],0)</calculatedColumnFormula>
    </tableColumn>
    <tableColumn id="2" xr3:uid="{949A78F9-83DF-4588-A895-C852B0D117AB}"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8650CC6-2EDD-4FF1-ABB8-72925E3276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BD66DF8-5185-418E-B359-D002941B08D0}" name="Production system j">
      <calculatedColumnFormula array="1">Common_InputFunctions.Utility_DisplayArrayInTable(Common_SourceData.Common_SourceData_EFN2O_Data(), Table_SourceData_Common_EFN2O[[#Headers],[Production system j]], 0)</calculatedColumnFormula>
    </tableColumn>
    <tableColumn id="2" xr3:uid="{1BC4909C-6D0E-4A26-B75C-8F14CB4C9FAF}" name="EFN2O">
      <calculatedColumnFormula array="1">Common_InputFunctions.Utility_DisplayArrayInTable(Common_SourceData.Common_SourceData_EFN2O_Data(), Table_SourceData_Common_EFN2O[[#Headers],[Production system j]], 0)</calculatedColumnFormula>
    </tableColumn>
    <tableColumn id="3" xr3:uid="{A8E7BC54-CBD8-426D-86FA-A43C9107CF6A}" name="Production system only">
      <calculatedColumnFormula array="1">Common_InputFunctions.Utility_DisplayArrayInTable(Common_SourceData.Common_SourceData_EFN2O_Data(), Table_SourceData_Common_EFN2O[[#Headers],[Production system j]], 0)</calculatedColumnFormula>
    </tableColumn>
    <tableColumn id="4" xr3:uid="{452AF680-8BE2-4041-A66E-229B649007E0}" name="Irrigation method">
      <calculatedColumnFormula array="1">Common_InputFunctions.Utility_DisplayArrayInTable(Common_SourceData.Common_SourceData_EFN2O_Data(), Table_SourceData_Common_EFN2O[[#Headers],[Production system j]], 0)</calculatedColumnFormula>
    </tableColumn>
    <tableColumn id="5" xr3:uid="{7D252AE7-EE93-4812-9029-DADFB50029B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B4641130-4B62-4C16-AAC5-17A42B7CB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1CC6D0B-3161-4D91-AB90-8A387B8BB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84D957E5-8BCC-42CA-9915-9391862547FE}"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9F1E4ED1-55DB-4127-8A40-DA03A839DB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89EC604-3CBE-4411-81E9-F2310D6C462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92DDA43-A162-45BA-8628-14A3D93B0F90}"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25CF67FC-F11A-4DE2-9EEA-AD2A165106C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0DC5463-46D7-4AB2-8083-15E338B10D60}" name="Month">
      <calculatedColumnFormula array="1">Common_InputFunctions.Utility_DisplayArrayInTable(Common_SourceData.Common_SourceData_MonthsToSeasons_Data(), Table_SourceData_Common_MonthToSeason[[#Headers],[Month]], 0)</calculatedColumnFormula>
    </tableColumn>
    <tableColumn id="2" xr3:uid="{2AA3724E-CCEB-489E-BF2F-145828A831F1}"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70B345C5-A874-4651-84E6-63F12B962D3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5B828CF-BB90-403B-83FA-D139342C08C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CC026F6-A78D-4521-AA08-0C5292CDC5EA}"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A065B18-7D05-43C1-99EF-CAB8C1DA793B}"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1727BB8-D149-4D61-9A96-85628196D8A9}"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CE4EC7A-ED69-4FD9-9E89-BCD8AD5FB9F5}"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370D229-D32E-474D-BD49-845CED8BB611}"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9271736-7C85-4DFC-8CB2-CEF079869CEF}"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081FA4C-370D-49ED-AE4D-41760E0D1BB4}"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68E8796-EDB6-4682-B875-2B0E53DC0552}"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BBFA949-83D5-4445-8766-A2E64220E34A}"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E7623746-D3F5-409F-8496-4D3DD0CC742C}"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B54E569-F4E9-47CC-89E4-DECD10EC9DAF}"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30B1AC91-D6F2-4815-A79F-46A55E28BE67}"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CFC695A-C032-4F98-BD7C-FFF80558DA05}"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193709C-750D-40A3-BF58-B5DEA2EDB2AC}"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A923D30-3DAF-4FFC-AC1E-6676A12E31CA}"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948BBA55-ADA3-41FE-B7C4-E19D130ACAF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770F7CC-693A-4B0C-B8B4-3A39E2B572E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F40A694-DF08-4A97-BBB0-12071FF16008}"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54.699181903674365</v>
      </c>
      <c r="G7" s="53" t="s">
        <v>117</v>
      </c>
      <c r="H7" s="105">
        <f ca="1">'3.2.1.1-2 Enteric Methane'!E133</f>
        <v>1528.6811521013833</v>
      </c>
      <c r="I7" s="105">
        <f ca="1">'3.2.1.1-2 Enteric Methane'!V166</f>
        <v>1531.5770933028823</v>
      </c>
      <c r="J7" s="53" t="s">
        <v>120</v>
      </c>
      <c r="K7" s="22"/>
    </row>
    <row r="8" spans="1:11" ht="20.100000000000001" customHeight="1" x14ac:dyDescent="0.3">
      <c r="A8" s="17" t="str">
        <f>HYPERLINK("#'Input - Pasture Beef'!A1", "Pasture Beef")</f>
        <v>Pasture Beef</v>
      </c>
      <c r="C8" s="22"/>
      <c r="D8" s="29" t="s">
        <v>99</v>
      </c>
      <c r="E8" s="23"/>
      <c r="F8" s="23"/>
      <c r="G8" s="29"/>
      <c r="H8" s="106">
        <f ca="1">SUM(H7:H7)</f>
        <v>1528.6811521013833</v>
      </c>
      <c r="I8" s="106">
        <f ca="1">SUM(I7:I7)</f>
        <v>1531.5770933028823</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85" zoomScaleNormal="85" workbookViewId="0">
      <selection activeCell="E195" sqref="E19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7"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1" t="s">
        <v>143</v>
      </c>
      <c r="E13" s="92"/>
      <c r="F13" s="92"/>
      <c r="G13" s="86"/>
      <c r="T13" s="37"/>
    </row>
    <row r="14" spans="1:25" ht="20.100000000000001" customHeight="1" x14ac:dyDescent="0.25">
      <c r="A14" s="17" t="str">
        <f>HYPERLINK("#'4.2.1.7-8 Soil leach runoff'!A1", "4.2.1.7-8 Soil leach &amp; runoff")</f>
        <v>4.2.1.7-8 Soil leach &amp; runoff</v>
      </c>
      <c r="T14" s="37"/>
    </row>
    <row r="15" spans="1:25" ht="20.100000000000001" customHeight="1" x14ac:dyDescent="0.25">
      <c r="A15" s="17"/>
      <c r="D15" s="47" t="s">
        <v>140</v>
      </c>
      <c r="T15" s="37"/>
    </row>
    <row r="16" spans="1:25" ht="20.100000000000001" customHeight="1" x14ac:dyDescent="0.25">
      <c r="A16" s="18" t="s">
        <v>2</v>
      </c>
      <c r="D16" s="61" t="s">
        <v>141</v>
      </c>
      <c r="E16" s="61" t="s">
        <v>104</v>
      </c>
      <c r="F16" s="61" t="s">
        <v>103</v>
      </c>
      <c r="G16" s="61" t="s">
        <v>127</v>
      </c>
      <c r="H16" s="61" t="s">
        <v>128</v>
      </c>
      <c r="I16" s="61" t="s">
        <v>129</v>
      </c>
      <c r="J16" s="61" t="s">
        <v>130</v>
      </c>
      <c r="K16" s="61" t="s">
        <v>131</v>
      </c>
      <c r="L16" s="61" t="s">
        <v>132</v>
      </c>
      <c r="M16" s="61" t="s">
        <v>133</v>
      </c>
      <c r="N16" s="61" t="s">
        <v>134</v>
      </c>
      <c r="T16" s="37"/>
    </row>
    <row r="17" spans="1:20" ht="20.100000000000001" customHeight="1" x14ac:dyDescent="0.25">
      <c r="A17" s="17" t="str">
        <f>HYPERLINK("#'Constants - Pasture Beef'!A1", "Constants - Pasture Beef")</f>
        <v>Constants - Pasture Beef</v>
      </c>
      <c r="D17" s="1" t="s">
        <v>135</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A18" s="17" t="str">
        <f>HYPERLINK("#'Constants - Livestock'!A1", "Constants - Livestock")</f>
        <v>Constants - Livestock</v>
      </c>
      <c r="D18" s="1" t="s">
        <v>136</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t="str">
        <f>HYPERLINK("#'Constants - Common'!A1", "Constants - Common")</f>
        <v>Constants - Common</v>
      </c>
      <c r="D19" s="1" t="s">
        <v>137</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t="str">
        <f>HYPERLINK("#'Acknowledgements'!A1", "Acknowledgements")</f>
        <v>Acknowledgements</v>
      </c>
      <c r="D20" s="1" t="s">
        <v>138</v>
      </c>
      <c r="E20" s="51">
        <v>91.25</v>
      </c>
      <c r="F20" s="51">
        <v>91.25</v>
      </c>
      <c r="G20" s="51">
        <v>91.25</v>
      </c>
      <c r="H20" s="51">
        <v>91.25</v>
      </c>
      <c r="I20" s="51">
        <v>91.25</v>
      </c>
      <c r="J20" s="51">
        <v>91.25</v>
      </c>
      <c r="K20" s="51">
        <v>91.25</v>
      </c>
      <c r="L20" s="51">
        <v>91.25</v>
      </c>
      <c r="M20" s="51">
        <v>91.25</v>
      </c>
      <c r="N20" s="51">
        <v>91.25</v>
      </c>
      <c r="O20" s="2" t="s">
        <v>47</v>
      </c>
      <c r="T20" s="7"/>
    </row>
    <row r="21" spans="1:20" ht="20.100000000000001" customHeight="1" x14ac:dyDescent="0.25">
      <c r="T21" s="7"/>
    </row>
    <row r="22" spans="1:20" ht="20.100000000000001" customHeight="1" x14ac:dyDescent="0.25">
      <c r="A22" s="17"/>
      <c r="D22" s="61" t="s">
        <v>142</v>
      </c>
      <c r="E22" s="61" t="s">
        <v>104</v>
      </c>
      <c r="F22" s="61" t="s">
        <v>103</v>
      </c>
      <c r="G22" s="61" t="s">
        <v>127</v>
      </c>
      <c r="H22" s="61" t="s">
        <v>128</v>
      </c>
      <c r="I22" s="61" t="s">
        <v>129</v>
      </c>
      <c r="J22" s="61" t="s">
        <v>130</v>
      </c>
      <c r="K22" s="61" t="s">
        <v>131</v>
      </c>
      <c r="L22" s="61" t="s">
        <v>132</v>
      </c>
      <c r="M22" s="61" t="s">
        <v>133</v>
      </c>
      <c r="N22" s="61" t="s">
        <v>134</v>
      </c>
      <c r="T22" s="7"/>
    </row>
    <row r="23" spans="1:20" ht="20.100000000000001" customHeight="1" x14ac:dyDescent="0.25">
      <c r="A23" s="17"/>
      <c r="D23" s="1" t="str">
        <f>TEXT(X_Cell_Site_StartDate, "mmmm yyyy")</f>
        <v>January 2024</v>
      </c>
      <c r="E23" s="64">
        <f t="shared" ref="E23:N34" si="0">DAY(EOMONTH($D23,0))</f>
        <v>31</v>
      </c>
      <c r="F23" s="64">
        <f t="shared" si="0"/>
        <v>31</v>
      </c>
      <c r="G23" s="64">
        <f t="shared" si="0"/>
        <v>31</v>
      </c>
      <c r="H23" s="64">
        <f t="shared" si="0"/>
        <v>31</v>
      </c>
      <c r="I23" s="64">
        <f t="shared" si="0"/>
        <v>31</v>
      </c>
      <c r="J23" s="64">
        <f t="shared" si="0"/>
        <v>31</v>
      </c>
      <c r="K23" s="64">
        <f t="shared" si="0"/>
        <v>31</v>
      </c>
      <c r="L23" s="64">
        <f t="shared" si="0"/>
        <v>31</v>
      </c>
      <c r="M23" s="64">
        <f t="shared" si="0"/>
        <v>31</v>
      </c>
      <c r="N23" s="64">
        <f t="shared" si="0"/>
        <v>31</v>
      </c>
      <c r="O23" s="2" t="s">
        <v>47</v>
      </c>
      <c r="T23" s="7"/>
    </row>
    <row r="24" spans="1:20" ht="20.100000000000001" customHeight="1" x14ac:dyDescent="0.25">
      <c r="A24" s="17"/>
      <c r="D24" s="1" t="str">
        <f>TEXT(EDATE(X_Cell_Site_StartDate,1), "mmmm yyyy")</f>
        <v>February 2024</v>
      </c>
      <c r="E24" s="64">
        <f t="shared" si="0"/>
        <v>29</v>
      </c>
      <c r="F24" s="64">
        <f t="shared" si="0"/>
        <v>29</v>
      </c>
      <c r="G24" s="64">
        <f t="shared" si="0"/>
        <v>29</v>
      </c>
      <c r="H24" s="64">
        <f t="shared" si="0"/>
        <v>29</v>
      </c>
      <c r="I24" s="64">
        <f t="shared" si="0"/>
        <v>29</v>
      </c>
      <c r="J24" s="64">
        <f t="shared" si="0"/>
        <v>29</v>
      </c>
      <c r="K24" s="64">
        <f t="shared" si="0"/>
        <v>29</v>
      </c>
      <c r="L24" s="64">
        <f t="shared" si="0"/>
        <v>29</v>
      </c>
      <c r="M24" s="64">
        <f t="shared" si="0"/>
        <v>29</v>
      </c>
      <c r="N24" s="64">
        <f t="shared" si="0"/>
        <v>29</v>
      </c>
      <c r="O24" s="2" t="s">
        <v>47</v>
      </c>
      <c r="T24" s="7"/>
    </row>
    <row r="25" spans="1:20" ht="20.100000000000001" customHeight="1" x14ac:dyDescent="0.25">
      <c r="D25" s="1" t="str">
        <f>TEXT(EDATE(X_Cell_Site_StartDate,2), "mmmm yyyy")</f>
        <v>March 2024</v>
      </c>
      <c r="E25" s="64">
        <f t="shared" si="0"/>
        <v>31</v>
      </c>
      <c r="F25" s="64">
        <f t="shared" si="0"/>
        <v>31</v>
      </c>
      <c r="G25" s="64">
        <f t="shared" si="0"/>
        <v>31</v>
      </c>
      <c r="H25" s="64">
        <f t="shared" si="0"/>
        <v>31</v>
      </c>
      <c r="I25" s="64">
        <f t="shared" si="0"/>
        <v>31</v>
      </c>
      <c r="J25" s="64">
        <f t="shared" si="0"/>
        <v>31</v>
      </c>
      <c r="K25" s="64">
        <f t="shared" si="0"/>
        <v>31</v>
      </c>
      <c r="L25" s="64">
        <f t="shared" si="0"/>
        <v>31</v>
      </c>
      <c r="M25" s="64">
        <f t="shared" si="0"/>
        <v>31</v>
      </c>
      <c r="N25" s="64">
        <f t="shared" si="0"/>
        <v>31</v>
      </c>
      <c r="O25" s="2" t="s">
        <v>47</v>
      </c>
      <c r="T25" s="7"/>
    </row>
    <row r="26" spans="1:20" ht="20.100000000000001" customHeight="1" x14ac:dyDescent="0.25">
      <c r="A26" s="17"/>
      <c r="D26" s="1" t="str">
        <f>TEXT(EDATE(X_Cell_Site_StartDate,3), "mmmm yyyy")</f>
        <v>April 2024</v>
      </c>
      <c r="E26" s="64">
        <f t="shared" si="0"/>
        <v>30</v>
      </c>
      <c r="F26" s="64">
        <f t="shared" si="0"/>
        <v>30</v>
      </c>
      <c r="G26" s="64">
        <f t="shared" si="0"/>
        <v>30</v>
      </c>
      <c r="H26" s="64">
        <f t="shared" si="0"/>
        <v>30</v>
      </c>
      <c r="I26" s="64">
        <f t="shared" si="0"/>
        <v>30</v>
      </c>
      <c r="J26" s="64">
        <f t="shared" si="0"/>
        <v>30</v>
      </c>
      <c r="K26" s="64">
        <f t="shared" si="0"/>
        <v>30</v>
      </c>
      <c r="L26" s="64">
        <f t="shared" si="0"/>
        <v>30</v>
      </c>
      <c r="M26" s="64">
        <f t="shared" si="0"/>
        <v>30</v>
      </c>
      <c r="N26" s="64">
        <f t="shared" si="0"/>
        <v>30</v>
      </c>
      <c r="O26" s="2" t="s">
        <v>47</v>
      </c>
      <c r="T26" s="7"/>
    </row>
    <row r="27" spans="1:20" ht="20.100000000000001" customHeight="1" x14ac:dyDescent="0.25">
      <c r="A27" s="17"/>
      <c r="D27" s="1" t="str">
        <f>TEXT(EDATE(X_Cell_Site_StartDate,4), "mmmm yyyy")</f>
        <v>May 2024</v>
      </c>
      <c r="E27" s="64">
        <f t="shared" si="0"/>
        <v>31</v>
      </c>
      <c r="F27" s="64">
        <f t="shared" si="0"/>
        <v>31</v>
      </c>
      <c r="G27" s="64">
        <f t="shared" si="0"/>
        <v>31</v>
      </c>
      <c r="H27" s="64">
        <f t="shared" si="0"/>
        <v>31</v>
      </c>
      <c r="I27" s="64">
        <f t="shared" si="0"/>
        <v>31</v>
      </c>
      <c r="J27" s="64">
        <f t="shared" si="0"/>
        <v>31</v>
      </c>
      <c r="K27" s="64">
        <f t="shared" si="0"/>
        <v>31</v>
      </c>
      <c r="L27" s="64">
        <f t="shared" si="0"/>
        <v>31</v>
      </c>
      <c r="M27" s="64">
        <f t="shared" si="0"/>
        <v>31</v>
      </c>
      <c r="N27" s="64">
        <f t="shared" si="0"/>
        <v>31</v>
      </c>
      <c r="O27" s="2" t="s">
        <v>47</v>
      </c>
      <c r="T27" s="7"/>
    </row>
    <row r="28" spans="1:20" ht="20.100000000000001" customHeight="1" x14ac:dyDescent="0.25">
      <c r="A28" s="17"/>
      <c r="D28" s="1" t="str">
        <f>TEXT(EDATE(X_Cell_Site_StartDate,5), "mmmm yyyy")</f>
        <v>June 2024</v>
      </c>
      <c r="E28" s="64">
        <f t="shared" si="0"/>
        <v>30</v>
      </c>
      <c r="F28" s="64">
        <f t="shared" si="0"/>
        <v>30</v>
      </c>
      <c r="G28" s="64">
        <f t="shared" si="0"/>
        <v>30</v>
      </c>
      <c r="H28" s="64">
        <f t="shared" si="0"/>
        <v>30</v>
      </c>
      <c r="I28" s="64">
        <f t="shared" si="0"/>
        <v>30</v>
      </c>
      <c r="J28" s="64">
        <f t="shared" si="0"/>
        <v>30</v>
      </c>
      <c r="K28" s="64">
        <f t="shared" si="0"/>
        <v>30</v>
      </c>
      <c r="L28" s="64">
        <f t="shared" si="0"/>
        <v>30</v>
      </c>
      <c r="M28" s="64">
        <f t="shared" si="0"/>
        <v>30</v>
      </c>
      <c r="N28" s="64">
        <f t="shared" si="0"/>
        <v>30</v>
      </c>
      <c r="O28" s="2" t="s">
        <v>47</v>
      </c>
      <c r="T28" s="7"/>
    </row>
    <row r="29" spans="1:20" ht="20.100000000000001" customHeight="1" x14ac:dyDescent="0.25">
      <c r="A29" s="17"/>
      <c r="D29" s="1" t="str">
        <f>TEXT(EDATE(X_Cell_Site_StartDate,6), "mmmm yyyy")</f>
        <v>July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TEXT(EDATE(X_Cell_Site_StartDate,7), "mmmm yyyy")</f>
        <v>August 2024</v>
      </c>
      <c r="E30" s="64">
        <f t="shared" si="0"/>
        <v>31</v>
      </c>
      <c r="F30" s="64">
        <f t="shared" si="0"/>
        <v>31</v>
      </c>
      <c r="G30" s="64">
        <f t="shared" si="0"/>
        <v>31</v>
      </c>
      <c r="H30" s="64">
        <f t="shared" si="0"/>
        <v>31</v>
      </c>
      <c r="I30" s="64">
        <f t="shared" si="0"/>
        <v>31</v>
      </c>
      <c r="J30" s="64">
        <f t="shared" si="0"/>
        <v>31</v>
      </c>
      <c r="K30" s="64">
        <f t="shared" si="0"/>
        <v>31</v>
      </c>
      <c r="L30" s="64">
        <f t="shared" si="0"/>
        <v>31</v>
      </c>
      <c r="M30" s="64">
        <f t="shared" si="0"/>
        <v>31</v>
      </c>
      <c r="N30" s="64">
        <f t="shared" si="0"/>
        <v>31</v>
      </c>
      <c r="O30" s="2" t="s">
        <v>47</v>
      </c>
      <c r="T30" s="7"/>
    </row>
    <row r="31" spans="1:20" ht="20.100000000000001" customHeight="1" x14ac:dyDescent="0.25">
      <c r="A31" s="65"/>
      <c r="D31" s="1" t="str">
        <f>TEXT(EDATE(X_Cell_Site_StartDate,8), "mmmm yyyy")</f>
        <v>September 2024</v>
      </c>
      <c r="E31" s="64">
        <f t="shared" si="0"/>
        <v>30</v>
      </c>
      <c r="F31" s="64">
        <f t="shared" si="0"/>
        <v>30</v>
      </c>
      <c r="G31" s="64">
        <f t="shared" si="0"/>
        <v>30</v>
      </c>
      <c r="H31" s="64">
        <f t="shared" si="0"/>
        <v>30</v>
      </c>
      <c r="I31" s="64">
        <f t="shared" si="0"/>
        <v>30</v>
      </c>
      <c r="J31" s="64">
        <f t="shared" si="0"/>
        <v>30</v>
      </c>
      <c r="K31" s="64">
        <f t="shared" si="0"/>
        <v>30</v>
      </c>
      <c r="L31" s="64">
        <f t="shared" si="0"/>
        <v>30</v>
      </c>
      <c r="M31" s="64">
        <f t="shared" si="0"/>
        <v>30</v>
      </c>
      <c r="N31" s="64">
        <f t="shared" si="0"/>
        <v>30</v>
      </c>
      <c r="O31" s="2" t="s">
        <v>47</v>
      </c>
      <c r="T31" s="7"/>
    </row>
    <row r="32" spans="1:20" ht="20.100000000000001" customHeight="1" x14ac:dyDescent="0.25">
      <c r="A32" s="65"/>
      <c r="D32" s="1" t="str">
        <f>TEXT(EDATE(X_Cell_Site_StartDate,9), "mmmm yyyy")</f>
        <v>October 2024</v>
      </c>
      <c r="E32" s="64">
        <f t="shared" si="0"/>
        <v>31</v>
      </c>
      <c r="F32" s="64">
        <f t="shared" si="0"/>
        <v>31</v>
      </c>
      <c r="G32" s="64">
        <f t="shared" si="0"/>
        <v>31</v>
      </c>
      <c r="H32" s="64">
        <f t="shared" si="0"/>
        <v>31</v>
      </c>
      <c r="I32" s="64">
        <f t="shared" si="0"/>
        <v>31</v>
      </c>
      <c r="J32" s="64">
        <f t="shared" si="0"/>
        <v>31</v>
      </c>
      <c r="K32" s="64">
        <f t="shared" si="0"/>
        <v>31</v>
      </c>
      <c r="L32" s="64">
        <f t="shared" si="0"/>
        <v>31</v>
      </c>
      <c r="M32" s="64">
        <f t="shared" si="0"/>
        <v>31</v>
      </c>
      <c r="N32" s="64">
        <f t="shared" si="0"/>
        <v>31</v>
      </c>
      <c r="O32" s="2" t="s">
        <v>47</v>
      </c>
      <c r="T32" s="7"/>
    </row>
    <row r="33" spans="1:20" ht="20.100000000000001" customHeight="1" x14ac:dyDescent="0.25">
      <c r="A33" s="17"/>
      <c r="D33" s="1" t="str">
        <f>TEXT(EDATE(X_Cell_Site_StartDate,10), "mmmm yyyy")</f>
        <v>November 2024</v>
      </c>
      <c r="E33" s="64">
        <f t="shared" si="0"/>
        <v>30</v>
      </c>
      <c r="F33" s="64">
        <f t="shared" si="0"/>
        <v>30</v>
      </c>
      <c r="G33" s="64">
        <f t="shared" si="0"/>
        <v>30</v>
      </c>
      <c r="H33" s="64">
        <f t="shared" si="0"/>
        <v>30</v>
      </c>
      <c r="I33" s="64">
        <f t="shared" si="0"/>
        <v>30</v>
      </c>
      <c r="J33" s="64">
        <f t="shared" si="0"/>
        <v>30</v>
      </c>
      <c r="K33" s="64">
        <f t="shared" si="0"/>
        <v>30</v>
      </c>
      <c r="L33" s="64">
        <f t="shared" si="0"/>
        <v>30</v>
      </c>
      <c r="M33" s="64">
        <f t="shared" si="0"/>
        <v>30</v>
      </c>
      <c r="N33" s="64">
        <f t="shared" si="0"/>
        <v>30</v>
      </c>
      <c r="O33" s="2" t="s">
        <v>47</v>
      </c>
      <c r="T33" s="7"/>
    </row>
    <row r="34" spans="1:20" ht="20.100000000000001" customHeight="1" x14ac:dyDescent="0.25">
      <c r="D34" s="1" t="str">
        <f>TEXT(EDATE(X_Cell_Site_StartDate,11), "mmmm yyyy")</f>
        <v>December 2024</v>
      </c>
      <c r="E34" s="64">
        <f t="shared" si="0"/>
        <v>31</v>
      </c>
      <c r="F34" s="64">
        <f t="shared" si="0"/>
        <v>31</v>
      </c>
      <c r="G34" s="64">
        <f t="shared" si="0"/>
        <v>31</v>
      </c>
      <c r="H34" s="64">
        <f t="shared" si="0"/>
        <v>31</v>
      </c>
      <c r="I34" s="64">
        <f t="shared" si="0"/>
        <v>31</v>
      </c>
      <c r="J34" s="64">
        <f t="shared" si="0"/>
        <v>31</v>
      </c>
      <c r="K34" s="64">
        <f t="shared" si="0"/>
        <v>31</v>
      </c>
      <c r="L34" s="64">
        <f t="shared" si="0"/>
        <v>31</v>
      </c>
      <c r="M34" s="64">
        <f t="shared" si="0"/>
        <v>31</v>
      </c>
      <c r="N34" s="64">
        <f t="shared" si="0"/>
        <v>31</v>
      </c>
      <c r="O34" s="2" t="s">
        <v>47</v>
      </c>
      <c r="T34" s="7"/>
    </row>
    <row r="35" spans="1:20" ht="20.100000000000001" customHeight="1" x14ac:dyDescent="0.25">
      <c r="T35" s="7"/>
    </row>
    <row r="36" spans="1:20" ht="20.100000000000001" customHeight="1" x14ac:dyDescent="0.25">
      <c r="T36" s="7"/>
    </row>
    <row r="37" spans="1:20" ht="20.100000000000001" customHeight="1" x14ac:dyDescent="0.25">
      <c r="D37" s="47" t="s">
        <v>82</v>
      </c>
      <c r="T37" s="7"/>
    </row>
    <row r="38" spans="1:20" ht="20.100000000000001" customHeight="1" x14ac:dyDescent="0.25">
      <c r="D38" s="61" t="s">
        <v>108</v>
      </c>
      <c r="E38" s="61" t="s">
        <v>104</v>
      </c>
      <c r="F38" s="61" t="s">
        <v>103</v>
      </c>
      <c r="G38" s="61" t="s">
        <v>127</v>
      </c>
      <c r="H38" s="61" t="s">
        <v>128</v>
      </c>
      <c r="I38" s="61" t="s">
        <v>129</v>
      </c>
      <c r="J38" s="61" t="s">
        <v>130</v>
      </c>
      <c r="K38" s="61" t="s">
        <v>131</v>
      </c>
      <c r="L38" s="61" t="s">
        <v>132</v>
      </c>
      <c r="M38" s="61" t="s">
        <v>133</v>
      </c>
      <c r="N38" s="61" t="s">
        <v>134</v>
      </c>
      <c r="T38" s="7"/>
    </row>
    <row r="39" spans="1:20" ht="20.100000000000001" customHeight="1" x14ac:dyDescent="0.25">
      <c r="A39" s="17"/>
      <c r="D39" s="1" t="s">
        <v>135</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136</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137</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D42" s="1" t="s">
        <v>138</v>
      </c>
      <c r="E42" s="64">
        <v>100</v>
      </c>
      <c r="F42" s="64">
        <v>100</v>
      </c>
      <c r="G42" s="64">
        <v>100</v>
      </c>
      <c r="H42" s="64">
        <v>100</v>
      </c>
      <c r="I42" s="64">
        <v>100</v>
      </c>
      <c r="J42" s="64">
        <v>100</v>
      </c>
      <c r="K42" s="64">
        <v>100</v>
      </c>
      <c r="L42" s="64">
        <v>100</v>
      </c>
      <c r="M42" s="64">
        <v>100</v>
      </c>
      <c r="N42" s="64">
        <v>100</v>
      </c>
      <c r="O42" s="2" t="s">
        <v>82</v>
      </c>
      <c r="T42" s="7"/>
    </row>
    <row r="43" spans="1:20" ht="20.100000000000001" customHeight="1" x14ac:dyDescent="0.25">
      <c r="O43" s="2"/>
      <c r="T43" s="7"/>
    </row>
    <row r="44" spans="1:20" ht="20.100000000000001" customHeight="1" x14ac:dyDescent="0.25">
      <c r="D44" s="61" t="s">
        <v>109</v>
      </c>
      <c r="E44" s="61" t="s">
        <v>104</v>
      </c>
      <c r="F44" s="61" t="s">
        <v>103</v>
      </c>
      <c r="G44" s="61" t="s">
        <v>127</v>
      </c>
      <c r="H44" s="61" t="s">
        <v>128</v>
      </c>
      <c r="I44" s="61" t="s">
        <v>129</v>
      </c>
      <c r="J44" s="61" t="s">
        <v>130</v>
      </c>
      <c r="K44" s="61" t="s">
        <v>131</v>
      </c>
      <c r="L44" s="61" t="s">
        <v>132</v>
      </c>
      <c r="M44" s="61" t="s">
        <v>133</v>
      </c>
      <c r="N44" s="61" t="s">
        <v>134</v>
      </c>
      <c r="O44" s="2"/>
      <c r="T44" s="7"/>
    </row>
    <row r="45" spans="1:20" ht="20.100000000000001" customHeight="1" x14ac:dyDescent="0.25">
      <c r="D45" s="1" t="str">
        <f>TEXT(X_Cell_Site_StartDate, "mmmm yyyy")</f>
        <v>January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TEXT(EDATE(X_Cell_Site_StartDate,1), "mmmm yyyy")</f>
        <v>February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TEXT(EDATE(X_Cell_Site_StartDate,2), "mmmm yyyy")</f>
        <v>March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TEXT(EDATE(X_Cell_Site_StartDate,3), "mmmm yyyy")</f>
        <v>April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TEXT(EDATE(X_Cell_Site_StartDate,4), "mmmm yyyy")</f>
        <v>May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TEXT(EDATE(X_Cell_Site_StartDate,5), "mmmm yyyy")</f>
        <v>June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TEXT(EDATE(X_Cell_Site_StartDate,6), "mmmm yyyy")</f>
        <v>July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TEXT(EDATE(X_Cell_Site_StartDate,7), "mmmm yyyy")</f>
        <v>August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TEXT(EDATE(X_Cell_Site_StartDate,8), "mmmm yyyy")</f>
        <v>September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TEXT(EDATE(X_Cell_Site_StartDate,9), "mmmm yyyy")</f>
        <v>October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TEXT(EDATE(X_Cell_Site_StartDate,10), "mmmm yyyy")</f>
        <v>November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D56" s="1" t="str">
        <f>TEXT(EDATE(X_Cell_Site_StartDate,11), "mmmm yyyy")</f>
        <v>December 2024</v>
      </c>
      <c r="E56" s="64">
        <v>100</v>
      </c>
      <c r="F56" s="64">
        <v>100</v>
      </c>
      <c r="G56" s="64">
        <v>100</v>
      </c>
      <c r="H56" s="64">
        <v>100</v>
      </c>
      <c r="I56" s="64">
        <v>100</v>
      </c>
      <c r="J56" s="64">
        <v>100</v>
      </c>
      <c r="K56" s="64">
        <v>100</v>
      </c>
      <c r="L56" s="64">
        <v>100</v>
      </c>
      <c r="M56" s="64">
        <v>100</v>
      </c>
      <c r="N56" s="64">
        <v>100</v>
      </c>
      <c r="O56" s="2" t="s">
        <v>82</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7" t="s">
        <v>112</v>
      </c>
      <c r="P59" s="3"/>
      <c r="T59" s="7"/>
    </row>
    <row r="60" spans="4:20" ht="20.100000000000001" customHeight="1" x14ac:dyDescent="0.25">
      <c r="D60" s="61" t="s">
        <v>141</v>
      </c>
      <c r="E60" s="61" t="s">
        <v>104</v>
      </c>
      <c r="F60" s="61" t="s">
        <v>103</v>
      </c>
      <c r="G60" s="61" t="s">
        <v>127</v>
      </c>
      <c r="H60" s="61" t="s">
        <v>128</v>
      </c>
      <c r="I60" s="61" t="s">
        <v>129</v>
      </c>
      <c r="J60" s="61" t="s">
        <v>130</v>
      </c>
      <c r="K60" s="61" t="s">
        <v>131</v>
      </c>
      <c r="L60" s="61" t="s">
        <v>132</v>
      </c>
      <c r="M60" s="61" t="s">
        <v>133</v>
      </c>
      <c r="N60" s="61" t="s">
        <v>134</v>
      </c>
      <c r="P60" s="3"/>
      <c r="T60" s="7"/>
    </row>
    <row r="61" spans="4:20" ht="20.100000000000001" customHeight="1" x14ac:dyDescent="0.25">
      <c r="D61" s="1" t="s">
        <v>135</v>
      </c>
      <c r="E61" s="51">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1">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1">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1">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1">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1">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1">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1">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1">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1">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106</v>
      </c>
      <c r="P61" s="3"/>
      <c r="T61" s="7"/>
    </row>
    <row r="62" spans="4:20" ht="20.100000000000001" customHeight="1" x14ac:dyDescent="0.25">
      <c r="D62" s="1" t="s">
        <v>136</v>
      </c>
      <c r="E62" s="51">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1">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1">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1">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1">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1">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1">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1">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1">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1">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106</v>
      </c>
      <c r="P62" s="3"/>
      <c r="T62" s="7"/>
    </row>
    <row r="63" spans="4:20" ht="20.100000000000001" customHeight="1" x14ac:dyDescent="0.25">
      <c r="D63" s="1" t="s">
        <v>137</v>
      </c>
      <c r="E63" s="51">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1">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1">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1">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1">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1">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1">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1">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1">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1">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106</v>
      </c>
      <c r="P63" s="3"/>
      <c r="T63" s="7"/>
    </row>
    <row r="64" spans="4:20" ht="20.100000000000001" customHeight="1" x14ac:dyDescent="0.25">
      <c r="D64" s="1" t="s">
        <v>138</v>
      </c>
      <c r="E64" s="51">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1">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1">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1">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1">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1">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1">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1">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1">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1">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106</v>
      </c>
      <c r="P64" s="3"/>
      <c r="T64" s="7"/>
    </row>
    <row r="65" spans="4:20" ht="20.100000000000001" customHeight="1" x14ac:dyDescent="0.25">
      <c r="O65" s="2"/>
      <c r="P65" s="3"/>
      <c r="T65" s="7"/>
    </row>
    <row r="66" spans="4:20" ht="20.100000000000001" customHeight="1" x14ac:dyDescent="0.25">
      <c r="D66" s="61" t="s">
        <v>142</v>
      </c>
      <c r="E66" s="61" t="s">
        <v>104</v>
      </c>
      <c r="F66" s="61" t="s">
        <v>103</v>
      </c>
      <c r="G66" s="61" t="s">
        <v>127</v>
      </c>
      <c r="H66" s="61" t="s">
        <v>128</v>
      </c>
      <c r="I66" s="61" t="s">
        <v>129</v>
      </c>
      <c r="J66" s="61" t="s">
        <v>130</v>
      </c>
      <c r="K66" s="61" t="s">
        <v>131</v>
      </c>
      <c r="L66" s="61" t="s">
        <v>132</v>
      </c>
      <c r="M66" s="61" t="s">
        <v>133</v>
      </c>
      <c r="N66" s="61" t="s">
        <v>134</v>
      </c>
      <c r="O66" s="2"/>
      <c r="P66" s="3"/>
      <c r="T66" s="7"/>
    </row>
    <row r="67" spans="4:20" ht="20.100000000000001" customHeight="1" x14ac:dyDescent="0.25">
      <c r="D67" s="1" t="str">
        <f>TEXT(X_Cell_Site_StartDate, "mmmm yyyy")</f>
        <v>January 2024</v>
      </c>
      <c r="E67" s="64">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TEXT(EDATE(X_Cell_Site_StartDate,1), "mmmm yyyy")</f>
        <v>February 2024</v>
      </c>
      <c r="E68" s="64">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4">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4">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4">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4">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4">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4">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4">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4">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4">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106</v>
      </c>
      <c r="P68" s="3"/>
      <c r="T68" s="7"/>
    </row>
    <row r="69" spans="4:20" ht="20.100000000000001" customHeight="1" x14ac:dyDescent="0.25">
      <c r="D69" s="1" t="str">
        <f>TEXT(EDATE(X_Cell_Site_StartDate,2), "mmmm yyyy")</f>
        <v>March 2024</v>
      </c>
      <c r="E69" s="64">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TEXT(EDATE(X_Cell_Site_StartDate,3), "mmmm yyyy")</f>
        <v>April 2024</v>
      </c>
      <c r="E70" s="64">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TEXT(EDATE(X_Cell_Site_StartDate,4), "mmmm yyyy")</f>
        <v>May 2024</v>
      </c>
      <c r="E71" s="64">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4">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4">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4">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4">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4">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4">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4">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4">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4">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106</v>
      </c>
      <c r="P71" s="3"/>
      <c r="T71" s="7"/>
    </row>
    <row r="72" spans="4:20" ht="20.100000000000001" customHeight="1" x14ac:dyDescent="0.25">
      <c r="D72" s="1" t="str">
        <f>TEXT(EDATE(X_Cell_Site_StartDate,5), "mmmm yyyy")</f>
        <v>June 2024</v>
      </c>
      <c r="E72" s="64">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TEXT(EDATE(X_Cell_Site_StartDate,6), "mmmm yyyy")</f>
        <v>July 2024</v>
      </c>
      <c r="E73" s="64">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TEXT(EDATE(X_Cell_Site_StartDate,7), "mmmm yyyy")</f>
        <v>August 2024</v>
      </c>
      <c r="E74" s="64">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4">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4">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4">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4">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4">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4">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4">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4">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4">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106</v>
      </c>
      <c r="T74" s="7"/>
    </row>
    <row r="75" spans="4:20" ht="20.100000000000001" customHeight="1" x14ac:dyDescent="0.25">
      <c r="D75" s="1" t="str">
        <f>TEXT(EDATE(X_Cell_Site_StartDate,8), "mmmm yyyy")</f>
        <v>September 2024</v>
      </c>
      <c r="E75" s="64">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TEXT(EDATE(X_Cell_Site_StartDate,9), "mmmm yyyy")</f>
        <v>October 2024</v>
      </c>
      <c r="E76" s="64">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TEXT(EDATE(X_Cell_Site_StartDate,10), "mmmm yyyy")</f>
        <v>November 2024</v>
      </c>
      <c r="E77" s="64">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4">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4">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4">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4">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4">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4">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4">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4">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4">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106</v>
      </c>
      <c r="T77" s="7"/>
    </row>
    <row r="78" spans="4:20" ht="20.100000000000001" customHeight="1" x14ac:dyDescent="0.25">
      <c r="D78" s="1" t="str">
        <f>TEXT(EDATE(X_Cell_Site_StartDate,11), "mmmm yyyy")</f>
        <v>December 2024</v>
      </c>
      <c r="E78" s="64">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4">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4">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4">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4">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4">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4">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4">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4">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4">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106</v>
      </c>
      <c r="T78" s="7"/>
    </row>
    <row r="79" spans="4:20" ht="20.100000000000001" customHeight="1" x14ac:dyDescent="0.25">
      <c r="T79" s="7"/>
    </row>
    <row r="80" spans="4:20" ht="20.100000000000001" customHeight="1" x14ac:dyDescent="0.25">
      <c r="T80" s="7"/>
    </row>
    <row r="81" spans="4:20" ht="20.100000000000001" customHeight="1" x14ac:dyDescent="0.25">
      <c r="D81" s="47" t="s">
        <v>139</v>
      </c>
      <c r="T81" s="7"/>
    </row>
    <row r="82" spans="4:20" ht="20.100000000000001" customHeight="1" x14ac:dyDescent="0.25">
      <c r="D82" s="61" t="s">
        <v>141</v>
      </c>
      <c r="E82" s="61" t="s">
        <v>104</v>
      </c>
      <c r="F82" s="61" t="s">
        <v>103</v>
      </c>
      <c r="G82" s="61" t="s">
        <v>127</v>
      </c>
      <c r="H82" s="61" t="s">
        <v>128</v>
      </c>
      <c r="I82" s="61" t="s">
        <v>129</v>
      </c>
      <c r="J82" s="61" t="s">
        <v>130</v>
      </c>
      <c r="K82" s="61" t="s">
        <v>131</v>
      </c>
      <c r="L82" s="61" t="s">
        <v>132</v>
      </c>
      <c r="M82" s="61" t="s">
        <v>133</v>
      </c>
      <c r="N82" s="61" t="s">
        <v>134</v>
      </c>
      <c r="T82" s="7"/>
    </row>
    <row r="83" spans="4:20" ht="20.100000000000001" customHeight="1" x14ac:dyDescent="0.25">
      <c r="D83" s="1" t="s">
        <v>135</v>
      </c>
      <c r="E83" s="51">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1">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1">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1">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1">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1">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1">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1">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1">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1">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107</v>
      </c>
      <c r="T83" s="7"/>
    </row>
    <row r="84" spans="4:20" ht="20.100000000000001" customHeight="1" x14ac:dyDescent="0.25">
      <c r="D84" s="1" t="s">
        <v>136</v>
      </c>
      <c r="E84" s="51">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1">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1">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1">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1">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1">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1">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1">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1">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1">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107</v>
      </c>
      <c r="T84" s="7"/>
    </row>
    <row r="85" spans="4:20" ht="20.100000000000001" customHeight="1" x14ac:dyDescent="0.25">
      <c r="D85" s="1" t="s">
        <v>137</v>
      </c>
      <c r="E85" s="51">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1">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1">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1">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1">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1">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1">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1">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1">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1">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107</v>
      </c>
      <c r="T85" s="7"/>
    </row>
    <row r="86" spans="4:20" ht="20.100000000000001" customHeight="1" x14ac:dyDescent="0.25">
      <c r="D86" s="1" t="s">
        <v>138</v>
      </c>
      <c r="E86" s="51">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1">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1">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1">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1">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1">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1">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1">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1">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1">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107</v>
      </c>
      <c r="T86" s="7"/>
    </row>
    <row r="87" spans="4:20" ht="20.100000000000001" customHeight="1" x14ac:dyDescent="0.25">
      <c r="O87" s="2"/>
      <c r="T87" s="7"/>
    </row>
    <row r="88" spans="4:20" ht="20.100000000000001" customHeight="1" x14ac:dyDescent="0.25">
      <c r="D88" s="61" t="s">
        <v>142</v>
      </c>
      <c r="E88" s="61" t="s">
        <v>104</v>
      </c>
      <c r="F88" s="61" t="s">
        <v>103</v>
      </c>
      <c r="G88" s="61" t="s">
        <v>127</v>
      </c>
      <c r="H88" s="61" t="s">
        <v>128</v>
      </c>
      <c r="I88" s="61" t="s">
        <v>129</v>
      </c>
      <c r="J88" s="61" t="s">
        <v>130</v>
      </c>
      <c r="K88" s="61" t="s">
        <v>131</v>
      </c>
      <c r="L88" s="61" t="s">
        <v>132</v>
      </c>
      <c r="M88" s="61" t="s">
        <v>133</v>
      </c>
      <c r="N88" s="61" t="s">
        <v>134</v>
      </c>
      <c r="O88" s="2"/>
      <c r="T88" s="7"/>
    </row>
    <row r="89" spans="4:20" ht="20.100000000000001" customHeight="1" x14ac:dyDescent="0.25">
      <c r="D89" s="1" t="str">
        <f>TEXT(X_Cell_Site_StartDate, "mmmm yyyy")</f>
        <v>January 2024</v>
      </c>
      <c r="E89" s="64">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TEXT(EDATE(X_Cell_Site_StartDate,1), "mmmm yyyy")</f>
        <v>February 2024</v>
      </c>
      <c r="E90" s="64">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4">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4">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4">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4">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4">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4">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4">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4">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4">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107</v>
      </c>
      <c r="T90" s="7"/>
    </row>
    <row r="91" spans="4:20" ht="20.100000000000001" customHeight="1" x14ac:dyDescent="0.25">
      <c r="D91" s="1" t="str">
        <f>TEXT(EDATE(X_Cell_Site_StartDate,2), "mmmm yyyy")</f>
        <v>March 2024</v>
      </c>
      <c r="E91" s="64">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TEXT(EDATE(X_Cell_Site_StartDate,3), "mmmm yyyy")</f>
        <v>April 2024</v>
      </c>
      <c r="E92" s="64">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TEXT(EDATE(X_Cell_Site_StartDate,4), "mmmm yyyy")</f>
        <v>May 2024</v>
      </c>
      <c r="E93" s="64">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4">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4">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4">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4">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4">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4">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4">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4">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4">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107</v>
      </c>
      <c r="T93" s="7"/>
    </row>
    <row r="94" spans="4:20" ht="20.100000000000001" customHeight="1" x14ac:dyDescent="0.25">
      <c r="D94" s="1" t="str">
        <f>TEXT(EDATE(X_Cell_Site_StartDate,5), "mmmm yyyy")</f>
        <v>June 2024</v>
      </c>
      <c r="E94" s="64">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TEXT(EDATE(X_Cell_Site_StartDate,6), "mmmm yyyy")</f>
        <v>July 2024</v>
      </c>
      <c r="E95" s="64">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TEXT(EDATE(X_Cell_Site_StartDate,7), "mmmm yyyy")</f>
        <v>August 2024</v>
      </c>
      <c r="E96" s="64">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4">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4">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4">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4">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4">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4">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4">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4">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4">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107</v>
      </c>
      <c r="T96" s="7"/>
    </row>
    <row r="97" spans="4:20" ht="20.100000000000001" customHeight="1" x14ac:dyDescent="0.25">
      <c r="D97" s="1" t="str">
        <f>TEXT(EDATE(X_Cell_Site_StartDate,8), "mmmm yyyy")</f>
        <v>September 2024</v>
      </c>
      <c r="E97" s="64">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TEXT(EDATE(X_Cell_Site_StartDate,9), "mmmm yyyy")</f>
        <v>October 2024</v>
      </c>
      <c r="E98" s="64">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TEXT(EDATE(X_Cell_Site_StartDate,10), "mmmm yyyy")</f>
        <v>November 2024</v>
      </c>
      <c r="E99" s="64">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4">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4">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4">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4">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4">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4">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4">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4">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4">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107</v>
      </c>
      <c r="T99" s="7"/>
    </row>
    <row r="100" spans="4:20" ht="20.100000000000001" customHeight="1" x14ac:dyDescent="0.25">
      <c r="D100" s="1" t="str">
        <f>TEXT(EDATE(X_Cell_Site_StartDate,11), "mmmm yyyy")</f>
        <v>December 2024</v>
      </c>
      <c r="E100" s="64">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4">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4">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4">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4">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4">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4">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4">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4">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4">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107</v>
      </c>
      <c r="T100" s="7"/>
    </row>
    <row r="101" spans="4:20" ht="20.100000000000001" customHeight="1" x14ac:dyDescent="0.25">
      <c r="T101" s="7"/>
    </row>
    <row r="102" spans="4:20" ht="20.100000000000001" customHeight="1" x14ac:dyDescent="0.25">
      <c r="T102" s="7"/>
    </row>
    <row r="103" spans="4:20" ht="20.100000000000001" customHeight="1" x14ac:dyDescent="0.25">
      <c r="D103" s="47" t="s">
        <v>191</v>
      </c>
      <c r="K103" s="2"/>
      <c r="L103" s="2"/>
      <c r="M103" s="2"/>
      <c r="N103" s="2"/>
      <c r="O103" s="2"/>
      <c r="T103" s="7"/>
    </row>
    <row r="104" spans="4:20" ht="20.100000000000001" customHeight="1" x14ac:dyDescent="0.25">
      <c r="D104" s="61" t="s">
        <v>108</v>
      </c>
      <c r="E104" s="61"/>
      <c r="F104" s="61"/>
      <c r="G104" s="61"/>
      <c r="T104" s="7"/>
    </row>
    <row r="105" spans="4:20" ht="20.100000000000001" customHeight="1" x14ac:dyDescent="0.25">
      <c r="D105" s="1" t="s">
        <v>208</v>
      </c>
      <c r="E105" s="38" t="s">
        <v>138</v>
      </c>
      <c r="F105" s="2" t="s">
        <v>8</v>
      </c>
      <c r="T105" s="7"/>
    </row>
    <row r="106" spans="4:20" ht="20.100000000000001" customHeight="1" x14ac:dyDescent="0.25">
      <c r="T106" s="7"/>
    </row>
    <row r="107" spans="4:20" ht="20.100000000000001" customHeight="1" x14ac:dyDescent="0.25"/>
    <row r="108" spans="4:20" ht="20.100000000000001" customHeight="1" x14ac:dyDescent="0.25">
      <c r="K108" s="1" t="s">
        <v>297</v>
      </c>
    </row>
    <row r="109" spans="4:20" ht="20.100000000000001" customHeight="1" x14ac:dyDescent="0.25"/>
    <row r="110" spans="4:20" ht="20.100000000000001" customHeight="1" x14ac:dyDescent="0.25">
      <c r="E110" s="61" t="s">
        <v>298</v>
      </c>
      <c r="F110" s="61" t="s">
        <v>128</v>
      </c>
      <c r="G110" s="61" t="s">
        <v>129</v>
      </c>
      <c r="H110" s="61" t="s">
        <v>130</v>
      </c>
      <c r="L110" s="1" t="s">
        <v>127</v>
      </c>
      <c r="M110" s="1" t="s">
        <v>131</v>
      </c>
      <c r="N110" s="2"/>
      <c r="O110" s="2"/>
    </row>
    <row r="111" spans="4:20" ht="20.100000000000001" customHeight="1" x14ac:dyDescent="0.25">
      <c r="D111" s="1" t="str">
        <f>"Proportion of cows &gt; 1 years in calf in " &amp; E105</f>
        <v>Proportion of cows &gt; 1 years in calf in Winter</v>
      </c>
      <c r="E111" s="38" t="s">
        <v>299</v>
      </c>
      <c r="F111" s="45">
        <v>0.7</v>
      </c>
      <c r="G111" s="45">
        <v>0.5</v>
      </c>
      <c r="H111" s="45">
        <v>0.5</v>
      </c>
      <c r="I111" s="2" t="s">
        <v>14</v>
      </c>
      <c r="L111" s="51">
        <f>MAX(0, G42-G41)</f>
        <v>0</v>
      </c>
      <c r="M111" s="51">
        <f>MAX(0,K42-K41)</f>
        <v>0</v>
      </c>
      <c r="N111" s="2"/>
      <c r="O111" s="2"/>
    </row>
    <row r="112" spans="4:20" ht="20.100000000000001" customHeight="1" x14ac:dyDescent="0.25">
      <c r="D112" s="1" t="s">
        <v>135</v>
      </c>
      <c r="E112" s="38" t="s">
        <v>299</v>
      </c>
      <c r="F112" s="45">
        <v>0.1</v>
      </c>
      <c r="G112" s="45">
        <v>0.4</v>
      </c>
      <c r="H112" s="45">
        <v>0.4</v>
      </c>
      <c r="I112" s="2" t="s">
        <v>14</v>
      </c>
      <c r="L112" s="51">
        <f>MAX(0, G39-G42)</f>
        <v>0</v>
      </c>
      <c r="M112" s="51">
        <f>MAX(0,K39-K42)</f>
        <v>0</v>
      </c>
    </row>
    <row r="113" spans="4:15" ht="20.100000000000001" customHeight="1" x14ac:dyDescent="0.25">
      <c r="D113" s="1" t="s">
        <v>136</v>
      </c>
      <c r="E113" s="38" t="s">
        <v>299</v>
      </c>
      <c r="F113" s="45">
        <v>0.1</v>
      </c>
      <c r="G113" s="45">
        <v>0</v>
      </c>
      <c r="H113" s="45">
        <v>0</v>
      </c>
      <c r="I113" s="2" t="s">
        <v>14</v>
      </c>
      <c r="L113" s="51">
        <f>MAX(0, G40-G39)</f>
        <v>0</v>
      </c>
      <c r="M113" s="51">
        <f>MAX(0,K40-K39)</f>
        <v>0</v>
      </c>
    </row>
    <row r="114" spans="4:15" ht="20.100000000000001" customHeight="1" x14ac:dyDescent="0.25">
      <c r="D114" s="1" t="s">
        <v>137</v>
      </c>
      <c r="E114" s="38" t="s">
        <v>111</v>
      </c>
      <c r="F114" s="45">
        <v>0</v>
      </c>
      <c r="G114" s="45">
        <v>0</v>
      </c>
      <c r="H114" s="45">
        <v>0</v>
      </c>
      <c r="I114" s="2" t="s">
        <v>14</v>
      </c>
      <c r="L114" s="51">
        <f>MAX(0,G41-G40)</f>
        <v>0</v>
      </c>
      <c r="M114" s="51">
        <f>MAX(0,K41-K40)</f>
        <v>0</v>
      </c>
    </row>
    <row r="115" spans="4:15" ht="20.100000000000001" customHeight="1" x14ac:dyDescent="0.25">
      <c r="J115" s="1" t="s">
        <v>300</v>
      </c>
    </row>
    <row r="116" spans="4:15" ht="20.100000000000001" customHeight="1" x14ac:dyDescent="0.25"/>
    <row r="117" spans="4:15" ht="20.100000000000001" customHeight="1" x14ac:dyDescent="0.25"/>
    <row r="118" spans="4:15" ht="20.100000000000001" customHeight="1" x14ac:dyDescent="0.25">
      <c r="D118" s="61" t="s">
        <v>109</v>
      </c>
      <c r="E118" s="61"/>
      <c r="F118" s="61"/>
      <c r="G118" s="61"/>
      <c r="L118" s="123" t="s">
        <v>301</v>
      </c>
    </row>
    <row r="119" spans="4:15" ht="20.100000000000001" customHeight="1" x14ac:dyDescent="0.25">
      <c r="D119" s="1" t="s">
        <v>255</v>
      </c>
      <c r="E119" s="38" t="s">
        <v>253</v>
      </c>
      <c r="F119" s="2" t="s">
        <v>8</v>
      </c>
      <c r="J119" s="52" t="s">
        <v>104</v>
      </c>
    </row>
    <row r="120" spans="4:15" ht="20.100000000000001" customHeight="1" x14ac:dyDescent="0.25">
      <c r="D120" s="1" t="s">
        <v>251</v>
      </c>
      <c r="E120" s="51" t="str">
        <f>TEXT(EDATE(E119,1), "mmmm yyyy")</f>
        <v>September 2024</v>
      </c>
      <c r="J120" s="1" t="s">
        <v>82</v>
      </c>
      <c r="K120" s="1" t="s">
        <v>302</v>
      </c>
      <c r="L120" s="1" t="s">
        <v>300</v>
      </c>
      <c r="M120" s="1" t="s">
        <v>303</v>
      </c>
      <c r="N120" s="1" t="s">
        <v>304</v>
      </c>
      <c r="O120" s="1" t="s">
        <v>305</v>
      </c>
    </row>
    <row r="121" spans="4:15" ht="20.100000000000001" customHeight="1" x14ac:dyDescent="0.25">
      <c r="D121" s="1" t="s">
        <v>252</v>
      </c>
      <c r="E121" s="51" t="str">
        <f>TEXT(EDATE(E119,2), "mmmm yyyy")</f>
        <v>October 2024</v>
      </c>
      <c r="J121" s="51">
        <f>E39</f>
        <v>100</v>
      </c>
      <c r="K121" s="51">
        <f>MAX(0, E39-E42)</f>
        <v>0</v>
      </c>
      <c r="L121" s="1">
        <f>K121/J121</f>
        <v>0</v>
      </c>
      <c r="M121" s="1">
        <f>K124/J121</f>
        <v>0</v>
      </c>
      <c r="N121" s="2">
        <f>1-(L121+M121)</f>
        <v>1</v>
      </c>
      <c r="O121" s="52">
        <f>(L121*6)+(M121*4)+(N121*0)</f>
        <v>0</v>
      </c>
    </row>
    <row r="122" spans="4:15" ht="20.100000000000001" customHeight="1" x14ac:dyDescent="0.25">
      <c r="J122" s="51">
        <f>E40</f>
        <v>100</v>
      </c>
      <c r="K122" s="51">
        <f>MAX(0, E40-E39)</f>
        <v>0</v>
      </c>
      <c r="L122" s="1">
        <f>K122/J122</f>
        <v>0</v>
      </c>
      <c r="M122" s="1">
        <f>K121/J122</f>
        <v>0</v>
      </c>
      <c r="N122" s="2">
        <f>1-(L122+M122)</f>
        <v>1</v>
      </c>
      <c r="O122" s="52">
        <f t="shared" ref="O122:O124" si="1">(L122*6)+(M122*4)+(N122*0)</f>
        <v>0</v>
      </c>
    </row>
    <row r="123" spans="4:15" ht="20.100000000000001" customHeight="1" x14ac:dyDescent="0.25">
      <c r="J123" s="51">
        <f>E41</f>
        <v>100</v>
      </c>
      <c r="K123" s="51">
        <f>MAX(0,E41-E40)</f>
        <v>0</v>
      </c>
      <c r="L123" s="1">
        <f>K123/J123</f>
        <v>0</v>
      </c>
      <c r="M123" s="1">
        <f>K122/J123</f>
        <v>0</v>
      </c>
      <c r="N123" s="2">
        <f>1-(L123+M123)</f>
        <v>1</v>
      </c>
      <c r="O123" s="52">
        <f t="shared" si="1"/>
        <v>0</v>
      </c>
    </row>
    <row r="124" spans="4:15" ht="20.100000000000001" customHeight="1" x14ac:dyDescent="0.25">
      <c r="E124" s="61" t="s">
        <v>128</v>
      </c>
      <c r="F124" s="61" t="s">
        <v>129</v>
      </c>
      <c r="G124" s="61" t="s">
        <v>130</v>
      </c>
      <c r="J124" s="51">
        <f>E42</f>
        <v>100</v>
      </c>
      <c r="K124" s="51">
        <f>MAX(0, E42-E41)</f>
        <v>0</v>
      </c>
      <c r="L124" s="1">
        <f>K124/J124</f>
        <v>0</v>
      </c>
      <c r="M124" s="2">
        <f>K123/J124</f>
        <v>0</v>
      </c>
      <c r="N124" s="2">
        <f>1-(L124+M124)</f>
        <v>1</v>
      </c>
      <c r="O124" s="52">
        <f t="shared" si="1"/>
        <v>0</v>
      </c>
    </row>
    <row r="125" spans="4:15" ht="20.100000000000001" customHeight="1" x14ac:dyDescent="0.25">
      <c r="D125" s="1" t="str">
        <f>E119</f>
        <v>August 2024</v>
      </c>
      <c r="E125" s="45">
        <v>0.25</v>
      </c>
      <c r="F125" s="45">
        <v>0.25</v>
      </c>
      <c r="G125" s="45">
        <v>0.25</v>
      </c>
      <c r="H125" s="2" t="s">
        <v>14</v>
      </c>
      <c r="L125" s="2"/>
      <c r="M125" s="2"/>
      <c r="N125" s="2"/>
      <c r="O125" s="2"/>
    </row>
    <row r="126" spans="4:15" ht="20.100000000000001" customHeight="1" x14ac:dyDescent="0.25">
      <c r="D126" s="1" t="str">
        <f>E120</f>
        <v>September 2024</v>
      </c>
      <c r="E126" s="45">
        <v>0.25</v>
      </c>
      <c r="F126" s="45">
        <v>0.25</v>
      </c>
      <c r="G126" s="45">
        <v>0.25</v>
      </c>
      <c r="H126" s="2" t="s">
        <v>14</v>
      </c>
    </row>
    <row r="127" spans="4:15" ht="20.100000000000001" customHeight="1" x14ac:dyDescent="0.25">
      <c r="D127" s="1" t="str">
        <f>E121</f>
        <v>October 2024</v>
      </c>
      <c r="E127" s="45">
        <v>0.25</v>
      </c>
      <c r="F127" s="45">
        <v>0.25</v>
      </c>
      <c r="G127" s="45">
        <v>0.25</v>
      </c>
      <c r="H127" s="2" t="s">
        <v>14</v>
      </c>
    </row>
    <row r="128" spans="4:15" ht="20.100000000000001" customHeight="1" x14ac:dyDescent="0.25">
      <c r="D128" s="1" t="str">
        <f>"Proportion of cows &gt; 1 years in calf in " &amp; D125 &amp; " to " &amp; D127</f>
        <v>Proportion of cows &gt; 1 years in calf in August 2024 to October 2024</v>
      </c>
      <c r="E128" s="94">
        <f>SUM(E125:E127)</f>
        <v>0.75</v>
      </c>
      <c r="F128" s="94">
        <f>SUM(F125:F127)</f>
        <v>0.75</v>
      </c>
      <c r="G128" s="94">
        <f>SUM(G125:G127)</f>
        <v>0.75</v>
      </c>
      <c r="H128" s="2" t="s">
        <v>14</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7" t="s">
        <v>13</v>
      </c>
      <c r="K131" s="2"/>
      <c r="L131" s="2"/>
      <c r="M131" s="2"/>
      <c r="N131" s="2"/>
      <c r="O131" s="2"/>
    </row>
    <row r="132" spans="4:15" ht="20.100000000000001" customHeight="1" x14ac:dyDescent="0.25">
      <c r="D132" s="61" t="s">
        <v>141</v>
      </c>
      <c r="E132" s="61" t="s">
        <v>104</v>
      </c>
      <c r="F132" s="61" t="s">
        <v>103</v>
      </c>
      <c r="G132" s="61" t="s">
        <v>127</v>
      </c>
      <c r="H132" s="61" t="s">
        <v>128</v>
      </c>
      <c r="I132" s="61" t="s">
        <v>129</v>
      </c>
      <c r="J132" s="61" t="s">
        <v>130</v>
      </c>
      <c r="K132" s="61" t="s">
        <v>131</v>
      </c>
      <c r="L132" s="61" t="s">
        <v>132</v>
      </c>
      <c r="M132" s="61" t="s">
        <v>133</v>
      </c>
      <c r="N132" s="61" t="s">
        <v>134</v>
      </c>
    </row>
    <row r="133" spans="4:15" ht="20.100000000000001" customHeight="1" x14ac:dyDescent="0.25">
      <c r="D133" s="1" t="s">
        <v>135</v>
      </c>
      <c r="E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113</v>
      </c>
    </row>
    <row r="134" spans="4:15" ht="20.100000000000001" customHeight="1" x14ac:dyDescent="0.25">
      <c r="D134" s="1" t="s">
        <v>136</v>
      </c>
      <c r="E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113</v>
      </c>
    </row>
    <row r="135" spans="4:15" ht="20.100000000000001" customHeight="1" x14ac:dyDescent="0.25">
      <c r="D135" s="1" t="s">
        <v>137</v>
      </c>
      <c r="E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113</v>
      </c>
    </row>
    <row r="136" spans="4:15" ht="20.100000000000001" customHeight="1" x14ac:dyDescent="0.25">
      <c r="D136" s="1" t="s">
        <v>138</v>
      </c>
      <c r="E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113</v>
      </c>
    </row>
    <row r="137" spans="4:15" ht="20.100000000000001" customHeight="1" x14ac:dyDescent="0.25"/>
    <row r="138" spans="4:15" ht="20.100000000000001" customHeight="1" x14ac:dyDescent="0.25">
      <c r="D138" s="61" t="s">
        <v>142</v>
      </c>
      <c r="E138" s="61" t="s">
        <v>104</v>
      </c>
      <c r="F138" s="61" t="s">
        <v>103</v>
      </c>
      <c r="G138" s="61" t="s">
        <v>127</v>
      </c>
      <c r="H138" s="61" t="s">
        <v>128</v>
      </c>
      <c r="I138" s="61" t="s">
        <v>129</v>
      </c>
      <c r="J138" s="61" t="s">
        <v>130</v>
      </c>
      <c r="K138" s="61" t="s">
        <v>131</v>
      </c>
      <c r="L138" s="61" t="s">
        <v>132</v>
      </c>
      <c r="M138" s="61" t="s">
        <v>133</v>
      </c>
      <c r="N138" s="61" t="s">
        <v>134</v>
      </c>
    </row>
    <row r="139" spans="4:15" ht="20.100000000000001" customHeight="1" x14ac:dyDescent="0.25">
      <c r="D139" s="1" t="str">
        <f>TEXT(X_Cell_Site_StartDate, "mmmm yyyy")</f>
        <v>January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113</v>
      </c>
    </row>
    <row r="140" spans="4:15" ht="20.100000000000001" customHeight="1" x14ac:dyDescent="0.25">
      <c r="D140" s="1" t="str">
        <f>TEXT(EDATE(X_Cell_Site_StartDate,1), "mmmm yyyy")</f>
        <v>February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113</v>
      </c>
    </row>
    <row r="141" spans="4:15" ht="20.100000000000001" customHeight="1" x14ac:dyDescent="0.25">
      <c r="D141" s="1" t="str">
        <f>TEXT(EDATE(X_Cell_Site_StartDate,2), "mmmm yyyy")</f>
        <v>March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113</v>
      </c>
    </row>
    <row r="142" spans="4:15" ht="20.100000000000001" customHeight="1" x14ac:dyDescent="0.25">
      <c r="D142" s="1" t="str">
        <f>TEXT(EDATE(X_Cell_Site_StartDate,3), "mmmm yyyy")</f>
        <v>April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113</v>
      </c>
    </row>
    <row r="143" spans="4:15" ht="20.100000000000001" customHeight="1" x14ac:dyDescent="0.25">
      <c r="D143" s="1" t="str">
        <f>TEXT(EDATE(X_Cell_Site_StartDate,4), "mmmm yyyy")</f>
        <v>May 2024</v>
      </c>
      <c r="E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113</v>
      </c>
    </row>
    <row r="144" spans="4:15" ht="20.100000000000001" customHeight="1" x14ac:dyDescent="0.25">
      <c r="D144" s="1" t="str">
        <f>TEXT(EDATE(X_Cell_Site_StartDate,5), "mmmm yyyy")</f>
        <v>June 2024</v>
      </c>
      <c r="E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113</v>
      </c>
    </row>
    <row r="145" spans="4:15" ht="20.100000000000001" customHeight="1" x14ac:dyDescent="0.25">
      <c r="D145" s="1" t="str">
        <f>TEXT(EDATE(X_Cell_Site_StartDate,6), "mmmm yyyy")</f>
        <v>July 2024</v>
      </c>
      <c r="E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113</v>
      </c>
    </row>
    <row r="146" spans="4:15" ht="20.100000000000001" customHeight="1" x14ac:dyDescent="0.25">
      <c r="D146" s="1" t="str">
        <f>TEXT(EDATE(X_Cell_Site_StartDate,7), "mmmm yyyy")</f>
        <v>August 2024</v>
      </c>
      <c r="E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113</v>
      </c>
    </row>
    <row r="147" spans="4:15" ht="20.100000000000001" customHeight="1" x14ac:dyDescent="0.25">
      <c r="D147" s="1" t="str">
        <f>TEXT(EDATE(X_Cell_Site_StartDate,8), "mmmm yyyy")</f>
        <v>September 2024</v>
      </c>
      <c r="E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113</v>
      </c>
    </row>
    <row r="148" spans="4:15" ht="20.100000000000001" customHeight="1" x14ac:dyDescent="0.25">
      <c r="D148" s="1" t="str">
        <f>TEXT(EDATE(X_Cell_Site_StartDate,9), "mmmm yyyy")</f>
        <v>October 2024</v>
      </c>
      <c r="E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113</v>
      </c>
    </row>
    <row r="149" spans="4:15" ht="20.100000000000001" customHeight="1" x14ac:dyDescent="0.25">
      <c r="D149" s="1" t="str">
        <f>TEXT(EDATE(X_Cell_Site_StartDate,10), "mmmm yyyy")</f>
        <v>November 2024</v>
      </c>
      <c r="E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113</v>
      </c>
    </row>
    <row r="150" spans="4:15" ht="20.100000000000001" customHeight="1" x14ac:dyDescent="0.25">
      <c r="D150" s="1" t="str">
        <f>TEXT(EDATE(X_Cell_Site_StartDate,11), "mmmm yyyy")</f>
        <v>December 2024</v>
      </c>
      <c r="E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113</v>
      </c>
    </row>
    <row r="151" spans="4:15" ht="20.100000000000001" customHeight="1" x14ac:dyDescent="0.25"/>
    <row r="152" spans="4:15" ht="20.100000000000001" customHeight="1" x14ac:dyDescent="0.25"/>
    <row r="153" spans="4:15" ht="20.100000000000001" customHeight="1" x14ac:dyDescent="0.25">
      <c r="D153" s="47" t="s">
        <v>84</v>
      </c>
      <c r="K153" s="2"/>
      <c r="L153" s="2"/>
      <c r="M153" s="2"/>
      <c r="N153" s="2"/>
      <c r="O153" s="2"/>
    </row>
    <row r="154" spans="4:15" ht="20.100000000000001" customHeight="1" x14ac:dyDescent="0.25">
      <c r="D154" s="61" t="s">
        <v>141</v>
      </c>
      <c r="E154" s="61" t="s">
        <v>104</v>
      </c>
      <c r="F154" s="61" t="s">
        <v>103</v>
      </c>
      <c r="G154" s="61" t="s">
        <v>127</v>
      </c>
      <c r="H154" s="61" t="s">
        <v>128</v>
      </c>
      <c r="I154" s="61" t="s">
        <v>129</v>
      </c>
      <c r="J154" s="61" t="s">
        <v>130</v>
      </c>
      <c r="K154" s="61" t="s">
        <v>131</v>
      </c>
      <c r="L154" s="61" t="s">
        <v>132</v>
      </c>
      <c r="M154" s="61" t="s">
        <v>133</v>
      </c>
      <c r="N154" s="61" t="s">
        <v>134</v>
      </c>
    </row>
    <row r="155" spans="4:15" ht="20.100000000000001" customHeight="1" x14ac:dyDescent="0.25">
      <c r="D155" s="1" t="s">
        <v>135</v>
      </c>
      <c r="E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113</v>
      </c>
    </row>
    <row r="156" spans="4:15" ht="20.100000000000001" customHeight="1" x14ac:dyDescent="0.25">
      <c r="D156" s="1" t="s">
        <v>136</v>
      </c>
      <c r="E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113</v>
      </c>
    </row>
    <row r="157" spans="4:15" ht="20.100000000000001" customHeight="1" x14ac:dyDescent="0.25">
      <c r="D157" s="1" t="s">
        <v>137</v>
      </c>
      <c r="E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113</v>
      </c>
    </row>
    <row r="158" spans="4:15" ht="20.100000000000001" customHeight="1" x14ac:dyDescent="0.25">
      <c r="D158" s="1" t="s">
        <v>138</v>
      </c>
      <c r="E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113</v>
      </c>
    </row>
    <row r="159" spans="4:15" ht="20.100000000000001" customHeight="1" x14ac:dyDescent="0.25"/>
    <row r="160" spans="4:15" ht="20.100000000000001" customHeight="1" x14ac:dyDescent="0.25">
      <c r="D160" s="61" t="s">
        <v>142</v>
      </c>
      <c r="E160" s="61" t="s">
        <v>104</v>
      </c>
      <c r="F160" s="61" t="s">
        <v>103</v>
      </c>
      <c r="G160" s="61" t="s">
        <v>127</v>
      </c>
      <c r="H160" s="61" t="s">
        <v>128</v>
      </c>
      <c r="I160" s="61" t="s">
        <v>129</v>
      </c>
      <c r="J160" s="61" t="s">
        <v>130</v>
      </c>
      <c r="K160" s="61" t="s">
        <v>131</v>
      </c>
      <c r="L160" s="61" t="s">
        <v>132</v>
      </c>
      <c r="M160" s="61" t="s">
        <v>133</v>
      </c>
      <c r="N160" s="61" t="s">
        <v>134</v>
      </c>
    </row>
    <row r="161" spans="4:15" ht="20.100000000000001" customHeight="1" x14ac:dyDescent="0.25">
      <c r="D161" s="1" t="str">
        <f>TEXT(X_Cell_Site_StartDate, "mmmm yyyy")</f>
        <v>January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113</v>
      </c>
    </row>
    <row r="162" spans="4:15" ht="20.100000000000001" customHeight="1" x14ac:dyDescent="0.25">
      <c r="D162" s="1" t="str">
        <f>TEXT(EDATE(X_Cell_Site_StartDate,1), "mmmm yyyy")</f>
        <v>February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113</v>
      </c>
    </row>
    <row r="163" spans="4:15" ht="20.100000000000001" customHeight="1" x14ac:dyDescent="0.25">
      <c r="D163" s="1" t="str">
        <f>TEXT(EDATE(X_Cell_Site_StartDate,2), "mmmm yyyy")</f>
        <v>March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113</v>
      </c>
    </row>
    <row r="164" spans="4:15" ht="20.100000000000001" customHeight="1" x14ac:dyDescent="0.25">
      <c r="D164" s="1" t="str">
        <f>TEXT(EDATE(X_Cell_Site_StartDate,3), "mmmm yyyy")</f>
        <v>April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113</v>
      </c>
    </row>
    <row r="165" spans="4:15" ht="20.100000000000001" customHeight="1" x14ac:dyDescent="0.25">
      <c r="D165" s="1" t="str">
        <f>TEXT(EDATE(X_Cell_Site_StartDate,4), "mmmm yyyy")</f>
        <v>May 2024</v>
      </c>
      <c r="E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113</v>
      </c>
    </row>
    <row r="166" spans="4:15" ht="20.100000000000001" customHeight="1" x14ac:dyDescent="0.25">
      <c r="D166" s="1" t="str">
        <f>TEXT(EDATE(X_Cell_Site_StartDate,5), "mmmm yyyy")</f>
        <v>June 2024</v>
      </c>
      <c r="E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113</v>
      </c>
    </row>
    <row r="167" spans="4:15" ht="20.100000000000001" customHeight="1" x14ac:dyDescent="0.25">
      <c r="D167" s="1" t="str">
        <f>TEXT(EDATE(X_Cell_Site_StartDate,6), "mmmm yyyy")</f>
        <v>July 2024</v>
      </c>
      <c r="E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113</v>
      </c>
    </row>
    <row r="168" spans="4:15" ht="20.100000000000001" customHeight="1" x14ac:dyDescent="0.25">
      <c r="D168" s="1" t="str">
        <f>TEXT(EDATE(X_Cell_Site_StartDate,7), "mmmm yyyy")</f>
        <v>August 2024</v>
      </c>
      <c r="E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113</v>
      </c>
    </row>
    <row r="169" spans="4:15" ht="20.100000000000001" customHeight="1" x14ac:dyDescent="0.25">
      <c r="D169" s="1" t="str">
        <f>TEXT(EDATE(X_Cell_Site_StartDate,8), "mmmm yyyy")</f>
        <v>September 2024</v>
      </c>
      <c r="E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113</v>
      </c>
    </row>
    <row r="170" spans="4:15" ht="20.100000000000001" customHeight="1" x14ac:dyDescent="0.25">
      <c r="D170" s="1" t="str">
        <f>TEXT(EDATE(X_Cell_Site_StartDate,9), "mmmm yyyy")</f>
        <v>October 2024</v>
      </c>
      <c r="E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113</v>
      </c>
    </row>
    <row r="171" spans="4:15" ht="20.100000000000001" customHeight="1" x14ac:dyDescent="0.25">
      <c r="D171" s="1" t="str">
        <f>TEXT(EDATE(X_Cell_Site_StartDate,10), "mmmm yyyy")</f>
        <v>November 2024</v>
      </c>
      <c r="E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113</v>
      </c>
    </row>
    <row r="172" spans="4:15" ht="20.100000000000001" customHeight="1" x14ac:dyDescent="0.25">
      <c r="D172" s="1" t="str">
        <f>TEXT(EDATE(X_Cell_Site_StartDate,11), "mmmm yyyy")</f>
        <v>December 2024</v>
      </c>
      <c r="E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113</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7" t="s">
        <v>220</v>
      </c>
      <c r="L175" s="2"/>
      <c r="M175" s="2"/>
      <c r="N175" s="2"/>
      <c r="O175" s="2"/>
    </row>
    <row r="176" spans="4:15" ht="20.100000000000001" customHeight="1" x14ac:dyDescent="0.25"/>
    <row r="177" spans="4:15" ht="20.100000000000001" customHeight="1" x14ac:dyDescent="0.25">
      <c r="D177" s="1" t="s">
        <v>221</v>
      </c>
      <c r="E177" s="38" t="s">
        <v>111</v>
      </c>
      <c r="F177" s="2" t="s">
        <v>8</v>
      </c>
      <c r="L177" s="2"/>
      <c r="M177" s="2"/>
      <c r="N177" s="2"/>
      <c r="O177" s="2"/>
    </row>
    <row r="178" spans="4:15" ht="20.100000000000001" customHeight="1" x14ac:dyDescent="0.25"/>
    <row r="179" spans="4:15" ht="20.100000000000001" customHeight="1" x14ac:dyDescent="0.25">
      <c r="D179" s="61" t="s">
        <v>16</v>
      </c>
      <c r="E179" s="61" t="s">
        <v>222</v>
      </c>
      <c r="L179" s="2"/>
      <c r="M179" s="2"/>
      <c r="N179" s="2"/>
      <c r="O179" s="2"/>
    </row>
    <row r="180" spans="4:15" ht="20.100000000000001" customHeight="1" x14ac:dyDescent="0.25">
      <c r="D180" s="1" t="s">
        <v>110</v>
      </c>
      <c r="E180" s="110">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14</v>
      </c>
      <c r="L180" s="2"/>
      <c r="M180" s="2"/>
      <c r="N180" s="2"/>
      <c r="O180" s="2"/>
    </row>
    <row r="181" spans="4:15" ht="20.100000000000001" customHeight="1" x14ac:dyDescent="0.25">
      <c r="D181" s="1" t="s">
        <v>223</v>
      </c>
      <c r="E181" s="110">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14</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233</v>
      </c>
      <c r="E184" s="38" t="s">
        <v>236</v>
      </c>
      <c r="F184" s="2" t="s">
        <v>8</v>
      </c>
      <c r="L184" s="2"/>
      <c r="M184" s="2"/>
      <c r="N184" s="2"/>
      <c r="O184" s="2"/>
    </row>
    <row r="185" spans="4:15" ht="20.100000000000001" customHeight="1" x14ac:dyDescent="0.25">
      <c r="E185" s="38" t="s">
        <v>96</v>
      </c>
      <c r="F185" s="2" t="s">
        <v>8</v>
      </c>
    </row>
    <row r="186" spans="4:15" ht="20.100000000000001" customHeight="1" x14ac:dyDescent="0.25"/>
    <row r="187" spans="4:15" ht="20.100000000000001" customHeight="1" x14ac:dyDescent="0.25"/>
    <row r="188" spans="4:15" ht="20.100000000000001" customHeight="1" x14ac:dyDescent="0.25">
      <c r="D188" s="6" t="s">
        <v>306</v>
      </c>
    </row>
    <row r="189" spans="4:15" ht="20.100000000000001" customHeight="1" x14ac:dyDescent="0.25">
      <c r="D189" s="102" t="s">
        <v>307</v>
      </c>
    </row>
    <row r="190" spans="4:15" ht="20.100000000000001" customHeight="1" x14ac:dyDescent="0.25">
      <c r="D190" s="36" t="s">
        <v>308</v>
      </c>
      <c r="E190" s="36" t="s">
        <v>309</v>
      </c>
      <c r="F190" s="36" t="s">
        <v>310</v>
      </c>
      <c r="G190" s="36" t="s">
        <v>311</v>
      </c>
      <c r="H190" s="36" t="s">
        <v>312</v>
      </c>
      <c r="I190" s="36" t="s">
        <v>313</v>
      </c>
      <c r="J190" s="124" t="s">
        <v>314</v>
      </c>
      <c r="K190" s="124" t="s">
        <v>315</v>
      </c>
    </row>
    <row r="191" spans="4:15" ht="20.100000000000001" customHeight="1" x14ac:dyDescent="0.25">
      <c r="D191" s="32" t="s">
        <v>316</v>
      </c>
      <c r="E191" s="125">
        <v>45547</v>
      </c>
      <c r="F191" s="38" t="s">
        <v>131</v>
      </c>
      <c r="G191" s="126" t="s">
        <v>317</v>
      </c>
      <c r="H191" s="38" t="s">
        <v>277</v>
      </c>
      <c r="I191" s="64">
        <v>100</v>
      </c>
      <c r="J191" s="51"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4">
        <v>205</v>
      </c>
    </row>
    <row r="192" spans="4:15" ht="20.100000000000001" customHeight="1" x14ac:dyDescent="0.25">
      <c r="D192" s="32"/>
      <c r="E192" s="32"/>
      <c r="F192" s="127"/>
      <c r="G192" s="126"/>
      <c r="H192" s="38"/>
      <c r="I192" s="64"/>
      <c r="J192" s="51"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4"/>
    </row>
    <row r="193" spans="4:27" ht="20.100000000000001" customHeight="1" x14ac:dyDescent="0.25">
      <c r="D193" s="32"/>
      <c r="E193" s="32"/>
      <c r="F193" s="127"/>
      <c r="G193" s="126"/>
      <c r="H193" s="38"/>
      <c r="I193" s="64"/>
      <c r="J193" s="51"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4"/>
    </row>
    <row r="194" spans="4:27" ht="20.100000000000001" customHeight="1" x14ac:dyDescent="0.25">
      <c r="D194" s="32"/>
      <c r="E194" s="32"/>
      <c r="F194" s="127"/>
      <c r="G194" s="126"/>
      <c r="H194" s="38"/>
      <c r="I194" s="64"/>
      <c r="J194" s="51"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4"/>
    </row>
    <row r="195" spans="4:27" ht="20.100000000000001" customHeight="1" x14ac:dyDescent="0.25">
      <c r="D195" s="32"/>
      <c r="E195" s="32"/>
      <c r="F195" s="127"/>
      <c r="G195" s="126"/>
      <c r="H195" s="38"/>
      <c r="I195" s="64"/>
      <c r="J195" s="51"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4"/>
    </row>
    <row r="196" spans="4:27" ht="20.100000000000001" customHeight="1" x14ac:dyDescent="0.25">
      <c r="D196" s="32"/>
      <c r="E196" s="32"/>
      <c r="F196" s="127"/>
      <c r="G196" s="126"/>
      <c r="H196" s="38"/>
      <c r="I196" s="64"/>
      <c r="J196" s="51"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4"/>
    </row>
    <row r="197" spans="4:27" ht="20.100000000000001" customHeight="1" x14ac:dyDescent="0.25">
      <c r="D197" s="32"/>
      <c r="E197" s="32"/>
      <c r="F197" s="127"/>
      <c r="G197" s="126"/>
      <c r="H197" s="38"/>
      <c r="I197" s="64"/>
      <c r="J197" s="51"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4"/>
    </row>
    <row r="198" spans="4:27" ht="20.100000000000001" customHeight="1" x14ac:dyDescent="0.25">
      <c r="D198" s="32"/>
      <c r="E198" s="32"/>
      <c r="F198" s="127"/>
      <c r="G198" s="126"/>
      <c r="H198" s="38"/>
      <c r="I198" s="64"/>
      <c r="J198" s="51"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4"/>
    </row>
    <row r="199" spans="4:27" ht="20.100000000000001" customHeight="1" x14ac:dyDescent="0.25">
      <c r="D199" s="32"/>
      <c r="E199" s="32"/>
      <c r="F199" s="127"/>
      <c r="G199" s="126"/>
      <c r="H199" s="38"/>
      <c r="I199" s="64"/>
      <c r="J199" s="51"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4"/>
    </row>
    <row r="200" spans="4:27" ht="20.100000000000001" customHeight="1" x14ac:dyDescent="0.25">
      <c r="D200" s="128"/>
      <c r="E200" s="128"/>
      <c r="F200" s="127"/>
      <c r="G200" s="129"/>
      <c r="H200" s="127"/>
      <c r="I200" s="130"/>
      <c r="J200" s="51"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0"/>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318</v>
      </c>
    </row>
    <row r="205" spans="4:27" ht="20.100000000000001" customHeight="1" x14ac:dyDescent="0.25">
      <c r="D205" s="102" t="s">
        <v>307</v>
      </c>
      <c r="Q205" s="1"/>
      <c r="Z205" s="55"/>
    </row>
    <row r="206" spans="4:27" ht="20.100000000000001" customHeight="1" x14ac:dyDescent="0.25">
      <c r="D206" s="36" t="s">
        <v>308</v>
      </c>
      <c r="E206" s="36" t="s">
        <v>310</v>
      </c>
      <c r="F206" s="36" t="s">
        <v>319</v>
      </c>
      <c r="G206" s="36" t="s">
        <v>320</v>
      </c>
      <c r="H206" s="36" t="s">
        <v>321</v>
      </c>
      <c r="I206" s="36" t="s">
        <v>322</v>
      </c>
      <c r="Q206" s="1"/>
      <c r="R206" s="1"/>
      <c r="Z206" s="55"/>
      <c r="AA206" s="55"/>
    </row>
    <row r="207" spans="4:27" ht="20.100000000000001" customHeight="1" x14ac:dyDescent="0.25">
      <c r="D207" s="32"/>
      <c r="E207" s="38" t="s">
        <v>103</v>
      </c>
      <c r="F207" s="131">
        <v>45566</v>
      </c>
      <c r="G207" s="36">
        <v>10</v>
      </c>
      <c r="H207" s="36">
        <v>500</v>
      </c>
      <c r="I207" s="51">
        <f t="shared" ref="I207:I216" si="2">G207*H207</f>
        <v>5000</v>
      </c>
      <c r="Q207" s="1"/>
      <c r="R207" s="1"/>
      <c r="Z207" s="55"/>
      <c r="AA207" s="55"/>
    </row>
    <row r="208" spans="4:27" ht="20.100000000000001" customHeight="1" x14ac:dyDescent="0.25">
      <c r="D208" s="32"/>
      <c r="E208" s="38"/>
      <c r="F208" s="131"/>
      <c r="G208" s="36"/>
      <c r="H208" s="36"/>
      <c r="I208" s="51">
        <f t="shared" si="2"/>
        <v>0</v>
      </c>
      <c r="Q208" s="1"/>
      <c r="R208" s="1"/>
      <c r="Z208" s="55"/>
      <c r="AA208" s="55"/>
    </row>
    <row r="209" spans="4:27" ht="20.100000000000001" customHeight="1" x14ac:dyDescent="0.25">
      <c r="D209" s="32"/>
      <c r="E209" s="38"/>
      <c r="F209" s="131"/>
      <c r="G209" s="36"/>
      <c r="H209" s="36"/>
      <c r="I209" s="51">
        <f t="shared" si="2"/>
        <v>0</v>
      </c>
      <c r="Q209" s="1"/>
      <c r="R209" s="1"/>
      <c r="Z209" s="55"/>
      <c r="AA209" s="55"/>
    </row>
    <row r="210" spans="4:27" ht="20.100000000000001" customHeight="1" x14ac:dyDescent="0.25">
      <c r="D210" s="32"/>
      <c r="E210" s="38"/>
      <c r="F210" s="131"/>
      <c r="G210" s="36"/>
      <c r="H210" s="36"/>
      <c r="I210" s="51">
        <f t="shared" si="2"/>
        <v>0</v>
      </c>
      <c r="Q210" s="1"/>
      <c r="R210" s="1"/>
      <c r="Z210" s="55"/>
      <c r="AA210" s="55"/>
    </row>
    <row r="211" spans="4:27" ht="20.100000000000001" customHeight="1" x14ac:dyDescent="0.25">
      <c r="D211" s="32"/>
      <c r="E211" s="38"/>
      <c r="F211" s="131"/>
      <c r="G211" s="36"/>
      <c r="H211" s="36"/>
      <c r="I211" s="51">
        <f t="shared" si="2"/>
        <v>0</v>
      </c>
      <c r="Q211" s="1"/>
      <c r="R211" s="1"/>
      <c r="Z211" s="55"/>
      <c r="AA211" s="55"/>
    </row>
    <row r="212" spans="4:27" ht="20.100000000000001" customHeight="1" x14ac:dyDescent="0.25">
      <c r="D212" s="32"/>
      <c r="E212" s="38"/>
      <c r="F212" s="131"/>
      <c r="G212" s="36"/>
      <c r="H212" s="36"/>
      <c r="I212" s="51">
        <f t="shared" si="2"/>
        <v>0</v>
      </c>
      <c r="Q212" s="1"/>
      <c r="R212" s="1"/>
      <c r="Z212" s="55"/>
      <c r="AA212" s="55"/>
    </row>
    <row r="213" spans="4:27" ht="20.100000000000001" customHeight="1" x14ac:dyDescent="0.25">
      <c r="D213" s="32"/>
      <c r="E213" s="38"/>
      <c r="F213" s="131"/>
      <c r="G213" s="36"/>
      <c r="H213" s="36"/>
      <c r="I213" s="51">
        <f t="shared" si="2"/>
        <v>0</v>
      </c>
      <c r="Q213" s="1"/>
      <c r="R213" s="1"/>
      <c r="Z213" s="55"/>
      <c r="AA213" s="55"/>
    </row>
    <row r="214" spans="4:27" ht="20.100000000000001" customHeight="1" x14ac:dyDescent="0.25">
      <c r="D214" s="32"/>
      <c r="E214" s="38"/>
      <c r="F214" s="131"/>
      <c r="G214" s="36"/>
      <c r="H214" s="36"/>
      <c r="I214" s="51">
        <f t="shared" si="2"/>
        <v>0</v>
      </c>
      <c r="Q214" s="1"/>
      <c r="R214" s="1"/>
      <c r="Z214" s="55"/>
      <c r="AA214" s="55"/>
    </row>
    <row r="215" spans="4:27" ht="20.100000000000001" customHeight="1" x14ac:dyDescent="0.25">
      <c r="D215" s="32"/>
      <c r="E215" s="38"/>
      <c r="F215" s="131"/>
      <c r="G215" s="36"/>
      <c r="H215" s="36"/>
      <c r="I215" s="51">
        <f t="shared" si="2"/>
        <v>0</v>
      </c>
      <c r="Q215" s="1"/>
      <c r="R215" s="1"/>
      <c r="Z215" s="55"/>
      <c r="AA215" s="55"/>
    </row>
    <row r="216" spans="4:27" ht="20.100000000000001" customHeight="1" x14ac:dyDescent="0.25">
      <c r="D216" s="32"/>
      <c r="E216" s="38"/>
      <c r="F216" s="131"/>
      <c r="G216" s="36"/>
      <c r="H216" s="36"/>
      <c r="I216" s="51">
        <f t="shared" si="2"/>
        <v>0</v>
      </c>
      <c r="Q216" s="1"/>
      <c r="Z216" s="55"/>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2"/>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12" operator="lessThan">
      <formula>0</formula>
    </cfRule>
  </conditionalFormatting>
  <conditionalFormatting sqref="F239:F240">
    <cfRule type="cellIs" dxfId="11" priority="11" operator="lessThan">
      <formula>0</formula>
    </cfRule>
  </conditionalFormatting>
  <conditionalFormatting sqref="F244:F245">
    <cfRule type="cellIs" dxfId="10" priority="10" operator="lessThan">
      <formula>0</formula>
    </cfRule>
  </conditionalFormatting>
  <conditionalFormatting sqref="F249:F250">
    <cfRule type="cellIs" dxfId="9" priority="9" operator="lessThan">
      <formula>0</formula>
    </cfRule>
  </conditionalFormatting>
  <conditionalFormatting sqref="F273:F274">
    <cfRule type="cellIs" dxfId="8" priority="8" operator="lessThan">
      <formula>0</formula>
    </cfRule>
  </conditionalFormatting>
  <conditionalFormatting sqref="F278:F279">
    <cfRule type="cellIs" dxfId="7" priority="7" operator="lessThan">
      <formula>0</formula>
    </cfRule>
  </conditionalFormatting>
  <conditionalFormatting sqref="F283:F284">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J133" zoomScale="85" zoomScaleNormal="85" workbookViewId="0">
      <selection activeCell="U149" sqref="U149"/>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f>'Input - Pasture Beef'!$E$104</f>
        <v>0</v>
      </c>
      <c r="E21" s="51">
        <f>'Input - Pasture Beef'!$E$107</f>
        <v>0</v>
      </c>
      <c r="F21" s="51">
        <f>'Input - Pasture Beef'!$F$107</f>
        <v>0</v>
      </c>
      <c r="G21" s="51">
        <f>'Input - Pasture Beef'!$G$107</f>
        <v>0</v>
      </c>
      <c r="H21" s="2" t="s">
        <v>80</v>
      </c>
      <c r="U21" s="50" t="s">
        <v>105</v>
      </c>
      <c r="V21" s="115" t="s">
        <v>128</v>
      </c>
      <c r="W21" s="115" t="s">
        <v>129</v>
      </c>
      <c r="X21" s="115" t="s">
        <v>130</v>
      </c>
    </row>
    <row r="22" spans="1:34" ht="20.100000000000001" customHeight="1" x14ac:dyDescent="0.25">
      <c r="A22" s="17"/>
      <c r="U22" s="51" t="e">
        <f>TEXT(EDATE('Input - Pasture Beef'!$D$117,0), "mmmm") &amp; ", " &amp; TEXT(EDATE('Input - Pasture Beef'!$D$118,0), "mmmm") &amp; ", " &amp; TEXT(EDATE('Input - Pasture Beef'!$D$119,0), "mmmm")</f>
        <v>#VALUE!</v>
      </c>
      <c r="V22" s="51" t="str">
        <f>'Input - Pasture Beef'!$E$120</f>
        <v>September 2024</v>
      </c>
      <c r="W22" s="51">
        <f>'Input - Pasture Beef'!$F$120</f>
        <v>0</v>
      </c>
      <c r="X22" s="51">
        <f>'Input - Pasture Beef'!$G$120</f>
        <v>0</v>
      </c>
      <c r="Y22" s="2" t="s">
        <v>80</v>
      </c>
    </row>
    <row r="23" spans="1:34" ht="20.100000000000001" customHeight="1" x14ac:dyDescent="0.25">
      <c r="A23" s="17"/>
      <c r="D23" s="96" t="s">
        <v>202</v>
      </c>
      <c r="U23" s="51" t="e">
        <f>TEXT(EDATE('Input - Pasture Beef'!$D$119,1), "mmmm") &amp; ", " &amp; TEXT(EDATE('Input - Pasture Beef'!$D$119,2), "mmmm") &amp; ", " &amp; TEXT(EDATE('Input - Pasture Beef'!$D$119,3), "mmmm")</f>
        <v>#VALUE!</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e" cm="1">
        <f t="array" ref="E26">_xlfn.IFS(D21=D26, "Calving season", D21=D29, "Season after calving", D21=D27, "", D21=D28, "")</f>
        <v>#N/A</v>
      </c>
      <c r="F26" s="51" t="e" cm="1">
        <f t="array" ref="F26">_xlfn.IFS(E26="Calving season", $J$14, E26="Season after calving", $J$15, E26="", "")</f>
        <v>#N/A</v>
      </c>
      <c r="G26" s="51">
        <v>1</v>
      </c>
      <c r="H26" s="51">
        <v>1</v>
      </c>
      <c r="I26" s="51">
        <v>1</v>
      </c>
      <c r="J26" s="51" cm="1">
        <f t="array" ref="J26">IFERROR(EntericMethane_PastureBeef_Equations.VEERG_3_2_1_1__4_AdditionalIntakeForMilkProduction(E$21,$F26), 1)</f>
        <v>1</v>
      </c>
      <c r="K26" s="51" cm="1">
        <f t="array" ref="K26">IFERROR(EntericMethane_PastureBeef_Equations.VEERG_3_2_1_1__4_AdditionalIntakeForMilkProduction(F$21,$F26), 1)</f>
        <v>1</v>
      </c>
      <c r="L26" s="51" cm="1">
        <f t="array" ref="L26">IFERROR(EntericMethane_PastureBeef_Equations.VEERG_3_2_1_1__4_AdditionalIntakeForMilkProduction(G$21,$F26), 1)</f>
        <v>1</v>
      </c>
      <c r="M26" s="51">
        <v>1</v>
      </c>
      <c r="N26" s="51">
        <v>1</v>
      </c>
      <c r="O26" s="51">
        <v>1</v>
      </c>
      <c r="P26" s="51">
        <v>1</v>
      </c>
      <c r="Q26" s="2" t="str">
        <f>$E$11</f>
        <v>fraction</v>
      </c>
      <c r="U26" s="95" t="s">
        <v>214</v>
      </c>
    </row>
    <row r="27" spans="1:34" ht="20.100000000000001" customHeight="1" x14ac:dyDescent="0.25">
      <c r="D27" s="51" t="s">
        <v>136</v>
      </c>
      <c r="E27" s="51" t="e" cm="1">
        <f t="array" ref="E27">_xlfn.IFS(D21=D27, "Calving season", D21=D26, "Season after calving", D21=D28, "", D21=D29, "")</f>
        <v>#N/A</v>
      </c>
      <c r="F27" s="51" t="e" cm="1">
        <f t="array" ref="F27">_xlfn.IFS(E27="Calving season", $J$14, E27="Season after calving", $J$15, E27="", "")</f>
        <v>#N/A</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e" cm="1">
        <f t="array" ref="E28">_xlfn.IFS(D21=D28, "Calving season", D21=D27, "Season after calving", D21=D29, "", D21=D26, "")</f>
        <v>#N/A</v>
      </c>
      <c r="F28" s="51" t="e" cm="1">
        <f t="array" ref="F28">_xlfn.IFS(E28="Calving season", $J$14, E28="Season after calving", $J$15, E28="", "")</f>
        <v>#N/A</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TEXT(X_Cell_Site_StartDate,"mmmm")</f>
        <v>January</v>
      </c>
      <c r="V28" s="51" t="str" cm="1">
        <f t="array" ref="V28">IFERROR(_xlfn.IFS(SUMPRODUCT(ISNUMBER(SEARCH(TRIM(_xlfn.TEXTSPLIT($U$22,",")),U28))*1)&gt;0,"Calving season",SUMPRODUCT(ISNUMBER(SEARCH(TRIM(_xlfn.TEXTSPLIT($U$23,",")),U28))*1)&gt;0,"Season after calving"), "")</f>
        <v/>
      </c>
      <c r="W28" s="51" t="str" cm="1">
        <f t="array" ref="W28">_xlfn.IFS(V28="Calving season", $J$14, V28="Season after calving", $J$15, V28="", "")</f>
        <v/>
      </c>
      <c r="X28" s="51">
        <v>1</v>
      </c>
      <c r="Y28" s="51">
        <v>1</v>
      </c>
      <c r="Z28" s="51">
        <v>1</v>
      </c>
      <c r="AA28" s="51" cm="1">
        <f t="array" ref="AA28">IFERROR(EntericMethane_PastureBeef_Equations.VEERG_3_2_1_1__4_AdditionalIntakeForMilkProduction(V$22,$W28), 1)</f>
        <v>1</v>
      </c>
      <c r="AB28" s="51" cm="1">
        <f t="array" ref="AB28">IFERROR(EntericMethane_PastureBeef_Equations.VEERG_3_2_1_1__4_AdditionalIntakeForMilkProduction(W$22,$W28), 1)</f>
        <v>1</v>
      </c>
      <c r="AC28" s="51" cm="1">
        <f t="array" ref="AC28">IFERROR(EntericMethane_PastureBeef_Equations.VEERG_3_2_1_1__4_AdditionalIntakeForMilkProduction(X$22,$W28), 1)</f>
        <v>1</v>
      </c>
      <c r="AD28" s="51">
        <v>1</v>
      </c>
      <c r="AE28" s="51">
        <v>1</v>
      </c>
      <c r="AF28" s="51">
        <v>1</v>
      </c>
      <c r="AG28" s="51">
        <v>1</v>
      </c>
      <c r="AH28" s="2" t="str">
        <f>$E$11</f>
        <v>fraction</v>
      </c>
    </row>
    <row r="29" spans="1:34" ht="20.100000000000001" customHeight="1" x14ac:dyDescent="0.25">
      <c r="D29" s="51" t="s">
        <v>138</v>
      </c>
      <c r="E29" s="51" t="e" cm="1">
        <f t="array" ref="E29">_xlfn.IFS(D21=D29, "Calving season", D21=D28, "Season after calving", D21=D26, "", D21=D27, "")</f>
        <v>#N/A</v>
      </c>
      <c r="F29" s="51" t="e" cm="1">
        <f t="array" ref="F29">_xlfn.IFS(E29="Calving season", $J$14, E29="Season after calving", $J$15, E29="", "")</f>
        <v>#N/A</v>
      </c>
      <c r="G29" s="51">
        <v>1</v>
      </c>
      <c r="H29" s="51">
        <v>1</v>
      </c>
      <c r="I29" s="51">
        <v>1</v>
      </c>
      <c r="J29" s="51" cm="1">
        <f t="array" ref="J29">IFERROR(EntericMethane_PastureBeef_Equations.VEERG_3_2_1_1__4_AdditionalIntakeForMilkProduction(E$21,$F29), 1)</f>
        <v>1</v>
      </c>
      <c r="K29" s="51" cm="1">
        <f t="array" ref="K29">IFERROR(EntericMethane_PastureBeef_Equations.VEERG_3_2_1_1__4_AdditionalIntakeForMilkProduction(F$21,$F29), 1)</f>
        <v>1</v>
      </c>
      <c r="L29" s="51" cm="1">
        <f t="array" ref="L29">IFERROR(EntericMethane_PastureBeef_Equations.VEERG_3_2_1_1__4_AdditionalIntakeForMilkProduction(G$21,$F29), 1)</f>
        <v>1</v>
      </c>
      <c r="M29" s="51">
        <v>1</v>
      </c>
      <c r="N29" s="51">
        <v>1</v>
      </c>
      <c r="O29" s="51">
        <v>1</v>
      </c>
      <c r="P29" s="51">
        <v>1</v>
      </c>
      <c r="Q29" s="2" t="str">
        <f t="shared" si="0"/>
        <v>fraction</v>
      </c>
      <c r="U29" s="51" t="str">
        <f>TEXT(EDATE(X_Cell_Site_StartDate,1),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TEXT(EDATE(X_Cell_Site_StartDate,2),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TEXT(EDATE(X_Cell_Site_StartDate,3),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TEXT(EDATE(X_Cell_Site_StartDate,4),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TEXT(EDATE(X_Cell_Site_StartDate,5),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TEXT(EDATE(X_Cell_Site_StartDate,6),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TEXT(EDATE(X_Cell_Site_StartDate,7), "mmmm")</f>
        <v>August</v>
      </c>
      <c r="V35" s="51" t="str" cm="1">
        <f t="array" ref="V35">IFERROR(_xlfn.IFS(SUMPRODUCT(ISNUMBER(SEARCH(TRIM(_xlfn.TEXTSPLIT($U$22,",")),U35))*1)&gt;0,"Calving season",SUMPRODUCT(ISNUMBER(SEARCH(TRIM(_xlfn.TEXTSPLIT($U$23,",")),U35))*1)&gt;0,"Season after calving"), "")</f>
        <v/>
      </c>
      <c r="W35" s="51" t="str" cm="1">
        <f t="array" ref="W35">_xlfn.IFS(V35="Calving season", $J$14, V35="Season after calving", $J$15, V35="", "")</f>
        <v/>
      </c>
      <c r="X35" s="51">
        <v>1</v>
      </c>
      <c r="Y35" s="51">
        <v>1</v>
      </c>
      <c r="Z35" s="51">
        <v>1</v>
      </c>
      <c r="AA35" s="51" cm="1">
        <f t="array" ref="AA35">IFERROR(EntericMethane_PastureBeef_Equations.VEERG_3_2_1_1__4_AdditionalIntakeForMilkProduction(V$22,$W35), 1)</f>
        <v>1</v>
      </c>
      <c r="AB35" s="51" cm="1">
        <f t="array" ref="AB35">IFERROR(EntericMethane_PastureBeef_Equations.VEERG_3_2_1_1__4_AdditionalIntakeForMilkProduction(W$22,$W35), 1)</f>
        <v>1</v>
      </c>
      <c r="AC35" s="51" cm="1">
        <f t="array" ref="AC35">IFERROR(EntericMethane_PastureBeef_Equations.VEERG_3_2_1_1__4_AdditionalIntakeForMilkProduction(X$22,$W35), 1)</f>
        <v>1</v>
      </c>
      <c r="AD35" s="51">
        <v>1</v>
      </c>
      <c r="AE35" s="51">
        <v>1</v>
      </c>
      <c r="AF35" s="51">
        <v>1</v>
      </c>
      <c r="AG35" s="51">
        <v>1</v>
      </c>
      <c r="AH35" s="2" t="str">
        <f t="shared" si="1"/>
        <v>fraction</v>
      </c>
    </row>
    <row r="36" spans="4:34" ht="20.100000000000001" customHeight="1" x14ac:dyDescent="0.25">
      <c r="U36" s="51" t="str">
        <f>TEXT(EDATE(X_Cell_Site_StartDate,8), "mmmm")</f>
        <v>September</v>
      </c>
      <c r="V36" s="51" t="str" cm="1">
        <f t="array" ref="V36">IFERROR(_xlfn.IFS(SUMPRODUCT(ISNUMBER(SEARCH(TRIM(_xlfn.TEXTSPLIT($U$22,",")),U36))*1)&gt;0,"Calving season",SUMPRODUCT(ISNUMBER(SEARCH(TRIM(_xlfn.TEXTSPLIT($U$23,",")),U36))*1)&gt;0,"Season after calving"), "")</f>
        <v/>
      </c>
      <c r="W36" s="51" t="str" cm="1">
        <f t="array" ref="W36">_xlfn.IFS(V36="Calving season", $J$14, V36="Season after calving", $J$15, V36="", "")</f>
        <v/>
      </c>
      <c r="X36" s="51">
        <v>1</v>
      </c>
      <c r="Y36" s="51">
        <v>1</v>
      </c>
      <c r="Z36" s="51">
        <v>1</v>
      </c>
      <c r="AA36" s="51" cm="1">
        <f t="array" ref="AA36">IFERROR(EntericMethane_PastureBeef_Equations.VEERG_3_2_1_1__4_AdditionalIntakeForMilkProduction(V$22,$W36), 1)</f>
        <v>1</v>
      </c>
      <c r="AB36" s="51" cm="1">
        <f t="array" ref="AB36">IFERROR(EntericMethane_PastureBeef_Equations.VEERG_3_2_1_1__4_AdditionalIntakeForMilkProduction(W$22,$W36), 1)</f>
        <v>1</v>
      </c>
      <c r="AC36" s="51" cm="1">
        <f t="array" ref="AC36">IFERROR(EntericMethane_PastureBeef_Equations.VEERG_3_2_1_1__4_AdditionalIntakeForMilkProduction(X$22,$W36), 1)</f>
        <v>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TEXT(EDATE(X_Cell_Site_StartDate,9), "mmmm")</f>
        <v>October</v>
      </c>
      <c r="V37" s="51" t="str" cm="1">
        <f t="array" ref="V37">IFERROR(_xlfn.IFS(SUMPRODUCT(ISNUMBER(SEARCH(TRIM(_xlfn.TEXTSPLIT($U$22,",")),U37))*1)&gt;0,"Calving season",SUMPRODUCT(ISNUMBER(SEARCH(TRIM(_xlfn.TEXTSPLIT($U$23,",")),U37))*1)&gt;0,"Season after calving"), "")</f>
        <v/>
      </c>
      <c r="W37" s="51" t="str" cm="1">
        <f t="array" ref="W37">_xlfn.IFS(V37="Calving season", $J$14, V37="Season after calving", $J$15, V37="", "")</f>
        <v/>
      </c>
      <c r="X37" s="51">
        <v>1</v>
      </c>
      <c r="Y37" s="51">
        <v>1</v>
      </c>
      <c r="Z37" s="51">
        <v>1</v>
      </c>
      <c r="AA37" s="51" cm="1">
        <f t="array" ref="AA37">IFERROR(EntericMethane_PastureBeef_Equations.VEERG_3_2_1_1__4_AdditionalIntakeForMilkProduction(V$22,$W37), 1)</f>
        <v>1</v>
      </c>
      <c r="AB37" s="51" cm="1">
        <f t="array" ref="AB37">IFERROR(EntericMethane_PastureBeef_Equations.VEERG_3_2_1_1__4_AdditionalIntakeForMilkProduction(W$22,$W37), 1)</f>
        <v>1</v>
      </c>
      <c r="AC37" s="51" cm="1">
        <f t="array" ref="AC37">IFERROR(EntericMethane_PastureBeef_Equations.VEERG_3_2_1_1__4_AdditionalIntakeForMilkProduction(X$22,$W37), 1)</f>
        <v>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TEXT(EDATE(X_Cell_Site_StartDate,10), "mmmm")</f>
        <v>November</v>
      </c>
      <c r="V38" s="51" t="str" cm="1">
        <f t="array" ref="V38">IFERROR(_xlfn.IFS(SUMPRODUCT(ISNUMBER(SEARCH(TRIM(_xlfn.TEXTSPLIT($U$22,",")),U38))*1)&gt;0,"Calving season",SUMPRODUCT(ISNUMBER(SEARCH(TRIM(_xlfn.TEXTSPLIT($U$23,",")),U38))*1)&gt;0,"Season after calving"), "")</f>
        <v/>
      </c>
      <c r="W38" s="51" t="str" cm="1">
        <f t="array" ref="W38">_xlfn.IFS(V38="Calving season", $J$14, V38="Season after calving", $J$15, V38="", "")</f>
        <v/>
      </c>
      <c r="X38" s="51">
        <v>1</v>
      </c>
      <c r="Y38" s="51">
        <v>1</v>
      </c>
      <c r="Z38" s="51">
        <v>1</v>
      </c>
      <c r="AA38" s="51" cm="1">
        <f t="array" ref="AA38">IFERROR(EntericMethane_PastureBeef_Equations.VEERG_3_2_1_1__4_AdditionalIntakeForMilkProduction(V$22,$W38), 1)</f>
        <v>1</v>
      </c>
      <c r="AB38" s="51" cm="1">
        <f t="array" ref="AB38">IFERROR(EntericMethane_PastureBeef_Equations.VEERG_3_2_1_1__4_AdditionalIntakeForMilkProduction(W$22,$W38), 1)</f>
        <v>1</v>
      </c>
      <c r="AC38" s="51" cm="1">
        <f t="array" ref="AC38">IFERROR(EntericMethane_PastureBeef_Equations.VEERG_3_2_1_1__4_AdditionalIntakeForMilkProduction(X$22,$W38), 1)</f>
        <v>1</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TEXT(EDATE(X_Cell_Site_StartDate,11), "mmmm")</f>
        <v>December</v>
      </c>
      <c r="V39" s="51" t="str" cm="1">
        <f t="array" ref="V39">IFERROR(_xlfn.IFS(SUMPRODUCT(ISNUMBER(SEARCH(TRIM(_xlfn.TEXTSPLIT($U$22,",")),U39))*1)&gt;0,"Calving season",SUMPRODUCT(ISNUMBER(SEARCH(TRIM(_xlfn.TEXTSPLIT($U$23,",")),U39))*1)&gt;0,"Season after calving"), "")</f>
        <v/>
      </c>
      <c r="W39" s="51" t="str" cm="1">
        <f t="array" ref="W39">_xlfn.IFS(V39="Calving season", $J$14, V39="Season after calving", $J$15, V39="", "")</f>
        <v/>
      </c>
      <c r="X39" s="51">
        <v>1</v>
      </c>
      <c r="Y39" s="51">
        <v>1</v>
      </c>
      <c r="Z39" s="51">
        <v>1</v>
      </c>
      <c r="AA39" s="51" cm="1">
        <f t="array" ref="AA39">IFERROR(EntericMethane_PastureBeef_Equations.VEERG_3_2_1_1__4_AdditionalIntakeForMilkProduction(V$22,$W39), 1)</f>
        <v>1</v>
      </c>
      <c r="AB39" s="51" cm="1">
        <f t="array" ref="AB39">IFERROR(EntericMethane_PastureBeef_Equations.VEERG_3_2_1_1__4_AdditionalIntakeForMilkProduction(W$22,$W39), 1)</f>
        <v>1</v>
      </c>
      <c r="AC39" s="51" cm="1">
        <f t="array" ref="AC39">IFERROR(EntericMethane_PastureBeef_Equations.VEERG_3_2_1_1__4_AdditionalIntakeForMilkProduction(X$22,$W39), 1)</f>
        <v>1</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TEXT(X_Cell_Site_StartDate,"mmmm")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TEXT(EDATE(X_Cell_Site_StartDate,1),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TEXT(EDATE(X_Cell_Site_StartDate,2),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TEXT(EDATE(X_Cell_Site_StartDate,3),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TEXT(EDATE(X_Cell_Site_StartDate,4),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TEXT(EDATE(X_Cell_Site_StartDate,5),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TEXT(EDATE(X_Cell_Site_StartDate,6),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TEXT(EDATE(X_Cell_Site_StartDate,7),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TEXT(EDATE(X_Cell_Site_StartDate,8),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TEXT(EDATE(X_Cell_Site_StartDate,9),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TEXT(EDATE(X_Cell_Site_StartDate,10),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TEXT(EDATE(X_Cell_Site_StartDate,11),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TEXT(X_Cell_Site_StartDate,"mmmm")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TEXT(EDATE(X_Cell_Site_StartDate,1),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TEXT(EDATE(X_Cell_Site_StartDate,2),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TEXT(EDATE(X_Cell_Site_StartDate,3),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8.6730839001000017</v>
      </c>
      <c r="I64" s="51" cm="1">
        <f t="array" aca="1" ref="I64" ca="1">EntericMethane_PastureBeef_Equations.VEERG_3_2_1_1__3_FeedIntakeForGrazingBeef(I48,I56,K26)</f>
        <v>9.6310915600000016</v>
      </c>
      <c r="J64" s="51" cm="1">
        <f t="array" aca="1" ref="J64" ca="1">EntericMethane_PastureBeef_Equations.VEERG_3_2_1_1__3_FeedIntakeForGrazingBeef(J48,J56,L26)</f>
        <v>9.6310915600000016</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TEXT(EDATE(X_Cell_Site_StartDate,4),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TEXT(EDATE(X_Cell_Site_StartDate,5),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TEXT(EDATE(X_Cell_Site_StartDate,6),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5.9278127841000021</v>
      </c>
      <c r="I67" s="51" cm="1">
        <f t="array" aca="1" ref="I67" ca="1">EntericMethane_PastureBeef_Equations.VEERG_3_2_1_1__3_FeedIntakeForGrazingBeef(I51,I59,K29)</f>
        <v>7.952343600099999</v>
      </c>
      <c r="J67" s="51" cm="1">
        <f t="array" aca="1" ref="J67" ca="1">EntericMethane_PastureBeef_Equations.VEERG_3_2_1_1__3_FeedIntakeForGrazingBeef(J51,J59,L29)</f>
        <v>7.952343600099999</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TEXT(EDATE(X_Cell_Site_StartDate,7),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TEXT(EDATE(X_Cell_Site_StartDate,8),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TEXT(EDATE(X_Cell_Site_StartDate,9),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TEXT(EDATE(X_Cell_Site_StartDate,10),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TEXT(EDATE(X_Cell_Site_StartDate,11),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TEXT(X_Cell_Site_StartDate,"mmmm")</f>
        <v>January</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7.8705497025</v>
      </c>
      <c r="Z76" s="51" cm="1">
        <f t="array" aca="1" ref="Z76" ca="1">EntericMethane_PastureBeef_Equations.VEERG_3_2_1_1__3_FeedIntakeForGrazingBeef(Z44,Z60,AB28)</f>
        <v>7.7928072335999978</v>
      </c>
      <c r="AA76" s="51" cm="1">
        <f t="array" aca="1" ref="AA76" ca="1">EntericMethane_PastureBeef_Equations.VEERG_3_2_1_1__3_FeedIntakeForGrazingBeef(AA44,AA60,AC28)</f>
        <v>7.7928072335999978</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TEXT(EDATE(X_Cell_Site_StartDate,1), "mmmm")</f>
        <v>February</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TEXT(EDATE(X_Cell_Site_StartDate,2), "mmmm")</f>
        <v>March</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TEXT(EDATE(X_Cell_Site_StartDate,3), "mmmm")</f>
        <v>April</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TEXT(EDATE(X_Cell_Site_StartDate,4), "mmmm")</f>
        <v>May</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TEXT(EDATE(X_Cell_Site_StartDate,5), "mmmm")</f>
        <v>June</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TEXT(EDATE(X_Cell_Site_StartDate,6), "mmmm")</f>
        <v>July</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TEXT(EDATE(X_Cell_Site_StartDate,7), "mmmm")</f>
        <v>August</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5.9278127841000021</v>
      </c>
      <c r="Z83" s="51" cm="1">
        <f t="array" aca="1" ref="Z83" ca="1">EntericMethane_PastureBeef_Equations.VEERG_3_2_1_1__3_FeedIntakeForGrazingBeef(Z51,Z67,AB35)</f>
        <v>7.952343600099999</v>
      </c>
      <c r="AA83" s="51" cm="1">
        <f t="array" aca="1" ref="AA83" ca="1">EntericMethane_PastureBeef_Equations.VEERG_3_2_1_1__3_FeedIntakeForGrazingBeef(AA51,AA67,AC35)</f>
        <v>7.952343600099999</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TEXT(EDATE(X_Cell_Site_StartDate,8), "mmmm")</f>
        <v>September</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8.6730839001000017</v>
      </c>
      <c r="Z84" s="51" cm="1">
        <f t="array" aca="1" ref="Z84" ca="1">EntericMethane_PastureBeef_Equations.VEERG_3_2_1_1__3_FeedIntakeForGrazingBeef(Z52,Z68,AB36)</f>
        <v>9.6310915600000016</v>
      </c>
      <c r="AA84" s="51" cm="1">
        <f t="array" aca="1" ref="AA84" ca="1">EntericMethane_PastureBeef_Equations.VEERG_3_2_1_1__3_FeedIntakeForGrazingBeef(AA52,AA68,AC36)</f>
        <v>9.6310915600000016</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0.17953283673207002</v>
      </c>
      <c r="I85" s="51" cm="1">
        <f t="array" aca="1" ref="I85" ca="1">EntericMethane_PastureBeef_Equations.VEERG_3_2_1_1__2_DailyEntericMethaneProduction(I64)</f>
        <v>0.19936359529200001</v>
      </c>
      <c r="J85" s="51" cm="1">
        <f t="array" aca="1" ref="J85" ca="1">EntericMethane_PastureBeef_Equations.VEERG_3_2_1_1__2_DailyEntericMethaneProduction(J64)</f>
        <v>0.19936359529200001</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TEXT(EDATE(X_Cell_Site_StartDate,9), "mmmm")</f>
        <v>October</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8.6730839001000017</v>
      </c>
      <c r="Z85" s="51" cm="1">
        <f t="array" aca="1" ref="Z85" ca="1">EntericMethane_PastureBeef_Equations.VEERG_3_2_1_1__3_FeedIntakeForGrazingBeef(Z53,Z69,AB37)</f>
        <v>9.6310915600000016</v>
      </c>
      <c r="AA85" s="51" cm="1">
        <f t="array" aca="1" ref="AA85" ca="1">EntericMethane_PastureBeef_Equations.VEERG_3_2_1_1__3_FeedIntakeForGrazingBeef(AA53,AA69,AC37)</f>
        <v>9.6310915600000016</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TEXT(EDATE(X_Cell_Site_StartDate,10), "mmmm")</f>
        <v>November</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8.6730839001000017</v>
      </c>
      <c r="Z86" s="51" cm="1">
        <f t="array" aca="1" ref="Z86" ca="1">EntericMethane_PastureBeef_Equations.VEERG_3_2_1_1__3_FeedIntakeForGrazingBeef(Z54,Z70,AB38)</f>
        <v>9.6310915600000016</v>
      </c>
      <c r="AA86" s="51" cm="1">
        <f t="array" aca="1" ref="AA86" ca="1">EntericMethane_PastureBeef_Equations.VEERG_3_2_1_1__3_FeedIntakeForGrazingBeef(AA54,AA70,AC38)</f>
        <v>9.6310915600000016</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TEXT(EDATE(X_Cell_Site_StartDate,11), "mmmm")</f>
        <v>December</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7.8705497025</v>
      </c>
      <c r="Z87" s="51" cm="1">
        <f t="array" aca="1" ref="Z87" ca="1">EntericMethane_PastureBeef_Equations.VEERG_3_2_1_1__3_FeedIntakeForGrazingBeef(Z55,Z71,AB39)</f>
        <v>7.7928072335999978</v>
      </c>
      <c r="AA87" s="51" cm="1">
        <f t="array" aca="1" ref="AA87" ca="1">EntericMethane_PastureBeef_Equations.VEERG_3_2_1_1__3_FeedIntakeForGrazingBeef(AA55,AA71,AC39)</f>
        <v>7.7928072335999978</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0.12270572463087004</v>
      </c>
      <c r="I88" s="51" cm="1">
        <f t="array" aca="1" ref="I88" ca="1">EntericMethane_PastureBeef_Equations.VEERG_3_2_1_1__2_DailyEntericMethaneProduction(I67)</f>
        <v>0.16461351252206999</v>
      </c>
      <c r="J88" s="51" cm="1">
        <f t="array" aca="1" ref="J88" ca="1">EntericMethane_PastureBeef_Equations.VEERG_3_2_1_1__2_DailyEntericMethaneProduction(J67)</f>
        <v>0.16461351252206999</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TEXT(X_Cell_Site_StartDate,"mmmm")</f>
        <v>January</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0.16292037884175001</v>
      </c>
      <c r="Z97" s="51" cm="1">
        <f t="array" aca="1" ref="Z97" ca="1">EntericMethane_PastureBeef_Equations.VEERG_3_2_1_1__2_DailyEntericMethaneProduction(Z76)</f>
        <v>0.16131110973551996</v>
      </c>
      <c r="AA97" s="51" cm="1">
        <f t="array" aca="1" ref="AA97" ca="1">EntericMethane_PastureBeef_Equations.VEERG_3_2_1_1__2_DailyEntericMethaneProduction(AA76)</f>
        <v>0.16131110973551996</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TEXT(EDATE(X_Cell_Site_StartDate,1), "mmmm")</f>
        <v>February</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TEXT(EDATE(X_Cell_Site_StartDate,2), "mmmm")</f>
        <v>March</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TEXT(EDATE(X_Cell_Site_StartDate,3), "mmmm")</f>
        <v>April</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TEXT(EDATE(X_Cell_Site_StartDate,4), "mmmm")</f>
        <v>May</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TEXT(EDATE(X_Cell_Site_StartDate,5), "mmmm")</f>
        <v>June</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TEXT(EDATE(X_Cell_Site_StartDate,6), "mmmm")</f>
        <v>July</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TEXT(EDATE(X_Cell_Site_StartDate,7), "mmmm")</f>
        <v>August</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0.12270572463087004</v>
      </c>
      <c r="Z104" s="51" cm="1">
        <f t="array" aca="1" ref="Z104" ca="1">EntericMethane_PastureBeef_Equations.VEERG_3_2_1_1__2_DailyEntericMethaneProduction(Z83)</f>
        <v>0.16461351252206999</v>
      </c>
      <c r="AA104" s="51" cm="1">
        <f t="array" aca="1" ref="AA104" ca="1">EntericMethane_PastureBeef_Equations.VEERG_3_2_1_1__2_DailyEntericMethaneProduction(AA83)</f>
        <v>0.16461351252206999</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TEXT(EDATE(X_Cell_Site_StartDate,8), "mmmm")</f>
        <v>September</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0.17953283673207002</v>
      </c>
      <c r="Z105" s="51" cm="1">
        <f t="array" aca="1" ref="Z105" ca="1">EntericMethane_PastureBeef_Equations.VEERG_3_2_1_1__2_DailyEntericMethaneProduction(Z84)</f>
        <v>0.19936359529200001</v>
      </c>
      <c r="AA105" s="51" cm="1">
        <f t="array" aca="1" ref="AA105" ca="1">EntericMethane_PastureBeef_Equations.VEERG_3_2_1_1__2_DailyEntericMethaneProduction(AA84)</f>
        <v>0.19936359529200001</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TEXT(EDATE(X_Cell_Site_StartDate,9), "mmmm")</f>
        <v>October</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0.17953283673207002</v>
      </c>
      <c r="Z106" s="51" cm="1">
        <f t="array" aca="1" ref="Z106" ca="1">EntericMethane_PastureBeef_Equations.VEERG_3_2_1_1__2_DailyEntericMethaneProduction(Z85)</f>
        <v>0.19936359529200001</v>
      </c>
      <c r="AA106" s="51" cm="1">
        <f t="array" aca="1" ref="AA106" ca="1">EntericMethane_PastureBeef_Equations.VEERG_3_2_1_1__2_DailyEntericMethaneProduction(AA85)</f>
        <v>0.19936359529200001</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TEXT(EDATE(X_Cell_Site_StartDate,10), "mmmm")</f>
        <v>November</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0.17953283673207002</v>
      </c>
      <c r="Z107" s="51" cm="1">
        <f t="array" aca="1" ref="Z107" ca="1">EntericMethane_PastureBeef_Equations.VEERG_3_2_1_1__2_DailyEntericMethaneProduction(Z86)</f>
        <v>0.19936359529200001</v>
      </c>
      <c r="AA107" s="51" cm="1">
        <f t="array" aca="1" ref="AA107" ca="1">EntericMethane_PastureBeef_Equations.VEERG_3_2_1_1__2_DailyEntericMethaneProduction(AA86)</f>
        <v>0.19936359529200001</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TEXT(EDATE(X_Cell_Site_StartDate,11), "mmmm")</f>
        <v>December</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0.16292037884175001</v>
      </c>
      <c r="Z108" s="51" cm="1">
        <f t="array" aca="1" ref="Z108" ca="1">EntericMethane_PastureBeef_Equations.VEERG_3_2_1_1__2_DailyEntericMethaneProduction(Z87)</f>
        <v>0.16131110973551996</v>
      </c>
      <c r="AA108" s="51" cm="1">
        <f t="array" aca="1" ref="AA108" ca="1">EntericMethane_PastureBeef_Equations.VEERG_3_2_1_1__2_DailyEntericMethaneProduction(AA87)</f>
        <v>0.16131110973551996</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TEXT(X_Cell_Site_StartDate,"mmmm")</f>
        <v>January</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TEXT(EDATE(X_Cell_Site_StartDate,1), "mmmm")</f>
        <v>February</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TEXT(EDATE(X_Cell_Site_StartDate,2), "mmmm")</f>
        <v>March</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TEXT(EDATE(X_Cell_Site_StartDate,3), "mmmm")</f>
        <v>April</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TEXT(EDATE(X_Cell_Site_StartDate,4), "mmmm")</f>
        <v>May</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TEXT(EDATE(X_Cell_Site_StartDate,5), "mmmm")</f>
        <v>June</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1.638237135180139</v>
      </c>
      <c r="I123" s="51" cm="1">
        <f t="array" aca="1" ref="I123" ca="1">EntericMethane_PastureBeef_Equations.VEERG_3_2_1_1__1_TotalAnnualMethaneFromEntericFermentation(I115,I85,I107)</f>
        <v>1.8191928070395003</v>
      </c>
      <c r="J123" s="51" cm="1">
        <f t="array" aca="1" ref="J123" ca="1">EntericMethane_PastureBeef_Equations.VEERG_3_2_1_1__1_TotalAnnualMethaneFromEntericFermentation(J115,J85,J107)</f>
        <v>1.8191928070395003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TEXT(EDATE(X_Cell_Site_StartDate,6), "mmmm")</f>
        <v>July</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TEXT(EDATE(X_Cell_Site_StartDate,7), "mmmm")</f>
        <v>August</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TEXT(EDATE(X_Cell_Site_StartDate,8), "mmmm")</f>
        <v>September</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1.1196897372566892</v>
      </c>
      <c r="I126" s="51" cm="1">
        <f t="array" aca="1" ref="I126" ca="1">EntericMethane_PastureBeef_Equations.VEERG_3_2_1_1__1_TotalAnnualMethaneFromEntericFermentation(I118,I88,I110)</f>
        <v>1.5020983017638887</v>
      </c>
      <c r="J126" s="51" cm="1">
        <f t="array" aca="1" ref="J126" ca="1">EntericMethane_PastureBeef_Equations.VEERG_3_2_1_1__1_TotalAnnualMethaneFromEntericFermentation(J118,J88,J110)</f>
        <v>1.5020983017638887</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TEXT(EDATE(X_Cell_Site_StartDate,9), "mmmm")</f>
        <v>October</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TEXT(EDATE(X_Cell_Site_StartDate,10), "mmmm")</f>
        <v>November</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54.595755432192263</v>
      </c>
      <c r="F128" s="99" t="str">
        <f>$E$98</f>
        <v>t CH4</v>
      </c>
      <c r="Q128" s="2"/>
      <c r="U128" s="51" t="str">
        <f>TEXT(EDATE(X_Cell_Site_StartDate,11), "mmmm")</f>
        <v>December</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54.595755432192263</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1528.6811521013833</v>
      </c>
      <c r="F133" s="101" t="str" cm="1">
        <f t="array" ref="F133">Common_Equations.Common_ConvertN2OToCO2e_Unit()</f>
        <v>t CO2e</v>
      </c>
      <c r="U133" s="51" t="str">
        <f>TEXT(X_Cell_Site_StartDate,"mmmm")</f>
        <v>January</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TEXT(EDATE(X_Cell_Site_StartDate,1), "mmmm")</f>
        <v>February</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TEXT(EDATE(X_Cell_Site_StartDate,2), "mmmm")</f>
        <v>March</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TEXT(EDATE(X_Cell_Site_StartDate,3), "mmmm")</f>
        <v>April</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TEXT(EDATE(X_Cell_Site_StartDate,4), "mmmm")</f>
        <v>May</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TEXT(EDATE(X_Cell_Site_StartDate,5), "mmmm")</f>
        <v>June</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TEXT(EDATE(X_Cell_Site_StartDate,6), "mmmm")</f>
        <v>July</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TEXT(EDATE(X_Cell_Site_StartDate,7), "mmmm")</f>
        <v>August</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TEXT(EDATE(X_Cell_Site_StartDate,8), "mmmm")</f>
        <v>September</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TEXT(EDATE(X_Cell_Site_StartDate,9), "mmmm")</f>
        <v>October</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TEXT(EDATE(X_Cell_Site_StartDate,10), "mmmm")</f>
        <v>November</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TEXT(EDATE(X_Cell_Site_StartDate,11), "mmmm")</f>
        <v>December</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0.5050531744094251</v>
      </c>
      <c r="Z149" s="51" cm="1">
        <f t="array" aca="1" ref="Z149" ca="1">EntericMethane_PastureBeef_Equations.VEERG_3_2_1_1__1_TotalAnnualMethaneFromEntericFermentation(Z133,Z97,Z117)</f>
        <v>0.50006444018011187</v>
      </c>
      <c r="AA149" s="51" cm="1">
        <f t="array" aca="1" ref="AA149" ca="1">EntericMethane_PastureBeef_Equations.VEERG_3_2_1_1__1_TotalAnnualMethaneFromEntericFermentation(AA133,AA97,AA117)</f>
        <v>0.50006444018011187</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0.38038774635569711</v>
      </c>
      <c r="Z156" s="51" cm="1">
        <f t="array" aca="1" ref="Z156" ca="1">EntericMethane_PastureBeef_Equations.VEERG_3_2_1_1__1_TotalAnnualMethaneFromEntericFermentation(Z140,Z104,Z124)</f>
        <v>0.51030188881841698</v>
      </c>
      <c r="AA156" s="51" cm="1">
        <f t="array" aca="1" ref="AA156" ca="1">EntericMethane_PastureBeef_Equations.VEERG_3_2_1_1__1_TotalAnnualMethaneFromEntericFermentation(AA140,AA104,AA124)</f>
        <v>0.51030188881841698</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0.53859851019621008</v>
      </c>
      <c r="Z157" s="51" cm="1">
        <f t="array" aca="1" ref="Z157" ca="1">EntericMethane_PastureBeef_Equations.VEERG_3_2_1_1__1_TotalAnnualMethaneFromEntericFermentation(Z141,Z105,Z125)</f>
        <v>0.59809078587600006</v>
      </c>
      <c r="AA157" s="51" cm="1">
        <f t="array" aca="1" ref="AA157" ca="1">EntericMethane_PastureBeef_Equations.VEERG_3_2_1_1__1_TotalAnnualMethaneFromEntericFermentation(AA141,AA105,AA125)</f>
        <v>0.59809078587600006</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0.556551793869417</v>
      </c>
      <c r="Z158" s="51" cm="1">
        <f t="array" aca="1" ref="Z158" ca="1">EntericMethane_PastureBeef_Equations.VEERG_3_2_1_1__1_TotalAnnualMethaneFromEntericFermentation(Z142,Z106,Z126)</f>
        <v>0.6180271454052001</v>
      </c>
      <c r="AA158" s="51" cm="1">
        <f t="array" aca="1" ref="AA158" ca="1">EntericMethane_PastureBeef_Equations.VEERG_3_2_1_1__1_TotalAnnualMethaneFromEntericFermentation(AA142,AA106,AA126)</f>
        <v>0.6180271454052001</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0.53859851019621008</v>
      </c>
      <c r="Z159" s="51" cm="1">
        <f t="array" aca="1" ref="Z159" ca="1">EntericMethane_PastureBeef_Equations.VEERG_3_2_1_1__1_TotalAnnualMethaneFromEntericFermentation(Z143,Z107,Z127)</f>
        <v>0.59809078587600006</v>
      </c>
      <c r="AA159" s="51" cm="1">
        <f t="array" aca="1" ref="AA159" ca="1">EntericMethane_PastureBeef_Equations.VEERG_3_2_1_1__1_TotalAnnualMethaneFromEntericFermentation(AA143,AA107,AA127)</f>
        <v>0.59809078587600006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0.5050531744094251</v>
      </c>
      <c r="Z160" s="51" cm="1">
        <f t="array" aca="1" ref="Z160" ca="1">EntericMethane_PastureBeef_Equations.VEERG_3_2_1_1__1_TotalAnnualMethaneFromEntericFermentation(Z144,Z108,Z128)</f>
        <v>0.50006444018011187</v>
      </c>
      <c r="AA160" s="51" cm="1">
        <f t="array" aca="1" ref="AA160" ca="1">EntericMethane_PastureBeef_Equations.VEERG_3_2_1_1__1_TotalAnnualMethaneFromEntericFermentation(AA144,AA108,AA128)</f>
        <v>0.50006444018011187</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54.699181903674365</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54.699181903674365</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1531.5770933028823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85" zoomScaleNormal="85" workbookViewId="0">
      <selection activeCell="O29" sqref="O2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O17" s="1" t="s">
        <v>271</v>
      </c>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O18" s="36" t="s">
        <v>272</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s="36" t="str">
        <f>Table_SourceData_PastureBeef_LiveweightAllStates[[#Headers],[Bulls &lt; 1 year]]</f>
        <v>Bulls &lt; 1 year</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s="36" t="str">
        <f>Table_SourceData_PastureBeef_LiveweightAllStates[[#Headers],[Bulls &gt; 1 year]]</f>
        <v>Bulls &gt; 1 year</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s="36" t="str">
        <f>Table_SourceData_PastureBeef_LiveweightAllStates[[#Headers],[Cows &lt; 1 year]]</f>
        <v>Cows &lt; 1 year</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s="36" t="str">
        <f>Table_SourceData_PastureBeef_LiveweightAllStates[[#Headers],[Cows 1-2 years]]</f>
        <v>Cows 1-2 years</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s="36" t="str">
        <f>Table_SourceData_PastureBeef_LiveweightAllStates[[#Headers],[Cows 2-3 years]]</f>
        <v>Cows 2-3 years</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s="36"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s="36" t="str">
        <f>Table_SourceData_PastureBeef_LiveweightAllStates[[#Headers],[Steers &lt; 1 year]]</f>
        <v>Steers &lt; 1 year</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s="36"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s="36" t="str">
        <f>Table_SourceData_PastureBeef_LiveweightAllStates[[#Headers],[Steers 2-3 years]]</f>
        <v>Steers 2-3 years</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s="36" t="str">
        <f>Table_SourceData_PastureBeef_LiveweightAllStates[[#Headers],[Steers &gt;3 years]]</f>
        <v>Steers &gt;3 years</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273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145</v>
      </c>
      <c r="P32" s="36" t="s">
        <v>274</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66</v>
      </c>
      <c r="P33" s="36" t="s">
        <v>67</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67</v>
      </c>
      <c r="P34" s="36" t="s">
        <v>67</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70</v>
      </c>
      <c r="P35" s="36" t="s">
        <v>70</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71</v>
      </c>
      <c r="P36" s="36" t="s">
        <v>71</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72</v>
      </c>
      <c r="P37" s="36" t="s">
        <v>72</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275</v>
      </c>
      <c r="P38" s="36" t="s">
        <v>73</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276</v>
      </c>
      <c r="P39" s="36" t="s">
        <v>73</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277</v>
      </c>
      <c r="P40" s="36" t="s">
        <v>73</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278</v>
      </c>
      <c r="P41" s="36" t="s">
        <v>68</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279</v>
      </c>
      <c r="P42" s="36" t="s">
        <v>68</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280</v>
      </c>
      <c r="P43" s="36" t="s">
        <v>68</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281</v>
      </c>
      <c r="P44" s="36" t="s">
        <v>69</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282</v>
      </c>
      <c r="P45" s="36" t="s">
        <v>69</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283</v>
      </c>
      <c r="P46" s="36" t="s">
        <v>69</v>
      </c>
    </row>
    <row r="47" spans="4:16" ht="20.100000000000001" customHeight="1" x14ac:dyDescent="0.25">
      <c r="M47" s="1"/>
      <c r="O47" s="36" t="s">
        <v>284</v>
      </c>
      <c r="P47" s="36" t="s">
        <v>69</v>
      </c>
    </row>
    <row r="48" spans="4:16" ht="20.100000000000001" customHeight="1" x14ac:dyDescent="0.25">
      <c r="M48" s="1"/>
      <c r="O48" s="1" t="s">
        <v>268</v>
      </c>
      <c r="P48" s="1" t="s">
        <v>268</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D442" s="36" t="s">
        <v>285</v>
      </c>
      <c r="E442" s="36" t="s">
        <v>286</v>
      </c>
      <c r="F442" s="36" t="s">
        <v>287</v>
      </c>
      <c r="G442" s="36" t="s">
        <v>288</v>
      </c>
      <c r="H442" s="36" t="s">
        <v>289</v>
      </c>
      <c r="I442" s="36" t="s">
        <v>290</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B43F-2391-4739-831E-F7473A7AE7E2}">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286</v>
      </c>
      <c r="E31" s="36" t="s">
        <v>291</v>
      </c>
      <c r="F31" s="1" t="s">
        <v>292</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286</v>
      </c>
      <c r="E43" s="36" t="s">
        <v>291</v>
      </c>
      <c r="F43" s="1" t="s">
        <v>293</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286</v>
      </c>
      <c r="E54" s="36" t="s">
        <v>291</v>
      </c>
      <c r="F54" s="1" t="s">
        <v>294</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286</v>
      </c>
      <c r="E59" s="36" t="s">
        <v>291</v>
      </c>
      <c r="F59" s="1" t="s">
        <v>295</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286</v>
      </c>
      <c r="E64" s="36" t="s">
        <v>291</v>
      </c>
      <c r="F64" s="1" t="s">
        <v>296</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46</vt:i4>
      </vt:variant>
    </vt:vector>
  </HeadingPairs>
  <TitlesOfParts>
    <vt:vector size="55"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