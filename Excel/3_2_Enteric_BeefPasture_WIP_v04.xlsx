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7D56E08-D5A1-4B42-9465-032D668881E8}" xr6:coauthVersionLast="47" xr6:coauthVersionMax="47" xr10:uidLastSave="{00000000-0000-0000-0000-000000000000}"/>
  <bookViews>
    <workbookView xWindow="1020" yWindow="1470" windowWidth="26895" windowHeight="14085" activeTab="3"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Common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Range_LivestockStartingValues">#REF!</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1" i="69" l="1"/>
  <c r="D50" i="69"/>
  <c r="D49" i="69"/>
  <c r="D48" i="69"/>
  <c r="E48" i="69" a="1"/>
  <c r="E48" i="69" s="1"/>
  <c r="J191" i="70" a="1"/>
  <c r="J191" i="70" s="1"/>
  <c r="J198" i="70" a="1"/>
  <c r="J198" i="70" s="1"/>
  <c r="J200" i="70" a="1"/>
  <c r="J200" i="70" s="1"/>
  <c r="J197" i="70" a="1"/>
  <c r="J197" i="70"/>
  <c r="J196" i="70" a="1"/>
  <c r="J196" i="70"/>
  <c r="J195" i="70" a="1"/>
  <c r="J195" i="70" s="1"/>
  <c r="J199" i="70" a="1"/>
  <c r="J199" i="70"/>
  <c r="J194" i="70" a="1"/>
  <c r="J194" i="70" s="1"/>
  <c r="J192" i="70" a="1"/>
  <c r="J192" i="70" s="1"/>
  <c r="J193" i="70" a="1"/>
  <c r="J193" i="70" s="1"/>
  <c r="E181" i="70"/>
  <c r="E180" i="70"/>
  <c r="N172" i="70"/>
  <c r="M172" i="70"/>
  <c r="L172" i="70"/>
  <c r="K172" i="70"/>
  <c r="J172" i="70"/>
  <c r="I172" i="70"/>
  <c r="H172" i="70"/>
  <c r="G172" i="70"/>
  <c r="F172" i="70"/>
  <c r="E172" i="70"/>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46" i="70"/>
  <c r="M146" i="70"/>
  <c r="L146" i="70"/>
  <c r="K146" i="70"/>
  <c r="J146" i="70"/>
  <c r="I146" i="70"/>
  <c r="H146" i="70"/>
  <c r="G146" i="70"/>
  <c r="F146" i="70"/>
  <c r="E146" i="70"/>
  <c r="N145" i="70"/>
  <c r="M145" i="70"/>
  <c r="L145" i="70"/>
  <c r="K145" i="70"/>
  <c r="J145" i="70"/>
  <c r="I145" i="70"/>
  <c r="H145" i="70"/>
  <c r="G145" i="70"/>
  <c r="F145" i="70"/>
  <c r="E145"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I216" i="70"/>
  <c r="I215" i="70"/>
  <c r="I214" i="70"/>
  <c r="I213" i="70"/>
  <c r="I212" i="70"/>
  <c r="I211" i="70"/>
  <c r="I210" i="70"/>
  <c r="I209" i="70"/>
  <c r="I208" i="70"/>
  <c r="I207" i="70"/>
  <c r="D172" i="70"/>
  <c r="D171" i="70"/>
  <c r="D170" i="70"/>
  <c r="D169" i="70"/>
  <c r="D168" i="70"/>
  <c r="D167" i="70"/>
  <c r="D166" i="70"/>
  <c r="D165" i="70"/>
  <c r="D164" i="70"/>
  <c r="D163" i="70"/>
  <c r="D162" i="70"/>
  <c r="D161" i="70"/>
  <c r="D150" i="70"/>
  <c r="D149" i="70"/>
  <c r="D148" i="70"/>
  <c r="D147" i="70"/>
  <c r="D146" i="70"/>
  <c r="D145" i="70"/>
  <c r="D144" i="70"/>
  <c r="D143" i="70"/>
  <c r="D142" i="70"/>
  <c r="D141" i="70"/>
  <c r="D140" i="70"/>
  <c r="D139" i="70"/>
  <c r="G128" i="70"/>
  <c r="F128" i="70"/>
  <c r="E128" i="70"/>
  <c r="D127" i="70"/>
  <c r="D128" i="70" s="1"/>
  <c r="D125" i="70"/>
  <c r="K124" i="70"/>
  <c r="J124" i="70"/>
  <c r="M124" i="70" s="1"/>
  <c r="N123" i="70"/>
  <c r="M123" i="70"/>
  <c r="K123" i="70"/>
  <c r="L123" i="70" s="1"/>
  <c r="J123" i="70"/>
  <c r="K122" i="70"/>
  <c r="L122" i="70" s="1"/>
  <c r="J122" i="70"/>
  <c r="M121" i="70"/>
  <c r="K121" i="70"/>
  <c r="M122" i="70" s="1"/>
  <c r="J121" i="70"/>
  <c r="E121" i="70"/>
  <c r="E120" i="70"/>
  <c r="D126" i="70" s="1"/>
  <c r="M114" i="70"/>
  <c r="L114" i="70"/>
  <c r="M113" i="70"/>
  <c r="L113" i="70"/>
  <c r="M112" i="70"/>
  <c r="L112" i="70"/>
  <c r="M111" i="70"/>
  <c r="L111"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M34" i="70"/>
  <c r="H34" i="70"/>
  <c r="G34" i="70"/>
  <c r="F34" i="70"/>
  <c r="E34" i="70"/>
  <c r="D34" i="70"/>
  <c r="N34" i="70" s="1"/>
  <c r="L33" i="70"/>
  <c r="D33" i="70"/>
  <c r="N32" i="70"/>
  <c r="M32" i="70"/>
  <c r="L32" i="70"/>
  <c r="K32" i="70"/>
  <c r="J32" i="70"/>
  <c r="I32" i="70"/>
  <c r="G32" i="70"/>
  <c r="E32" i="70"/>
  <c r="D32" i="70"/>
  <c r="H32" i="70" s="1"/>
  <c r="M31" i="70"/>
  <c r="L31" i="70"/>
  <c r="J31" i="70"/>
  <c r="I31" i="70"/>
  <c r="H31" i="70"/>
  <c r="D31" i="70"/>
  <c r="F31" i="70" s="1"/>
  <c r="D30" i="70"/>
  <c r="H30" i="70" s="1"/>
  <c r="L29" i="70"/>
  <c r="G29" i="70"/>
  <c r="F29" i="70"/>
  <c r="D29" i="70"/>
  <c r="M28" i="70"/>
  <c r="L28" i="70"/>
  <c r="K28" i="70"/>
  <c r="D28" i="70"/>
  <c r="N28" i="70" s="1"/>
  <c r="N27" i="70"/>
  <c r="M27" i="70"/>
  <c r="L27" i="70"/>
  <c r="K27" i="70"/>
  <c r="J27" i="70"/>
  <c r="I27" i="70"/>
  <c r="H27" i="70"/>
  <c r="F27" i="70"/>
  <c r="D27" i="70"/>
  <c r="G27" i="70" s="1"/>
  <c r="N26" i="70"/>
  <c r="M26" i="70"/>
  <c r="L26" i="70"/>
  <c r="K26" i="70"/>
  <c r="J26" i="70"/>
  <c r="I26" i="70"/>
  <c r="H26" i="70"/>
  <c r="G26" i="70"/>
  <c r="F26" i="70"/>
  <c r="E26" i="70"/>
  <c r="D26" i="70"/>
  <c r="N25" i="70"/>
  <c r="I25" i="70"/>
  <c r="H25" i="70"/>
  <c r="G25" i="70"/>
  <c r="F25" i="70"/>
  <c r="E25" i="70"/>
  <c r="D25" i="70"/>
  <c r="K24" i="70"/>
  <c r="D24" i="70"/>
  <c r="N23" i="70"/>
  <c r="M23" i="70"/>
  <c r="L23" i="70"/>
  <c r="K23" i="70"/>
  <c r="J23" i="70"/>
  <c r="H23" i="70"/>
  <c r="D23" i="70"/>
  <c r="I23" i="70" s="1"/>
  <c r="A20" i="70"/>
  <c r="A19" i="70"/>
  <c r="A18" i="70"/>
  <c r="A17" i="70"/>
  <c r="A14" i="70"/>
  <c r="A13" i="70"/>
  <c r="A12" i="70"/>
  <c r="A11" i="70"/>
  <c r="A8" i="70"/>
  <c r="E7" i="70"/>
  <c r="A7" i="70"/>
  <c r="A4" i="70"/>
  <c r="A3" i="70"/>
  <c r="I30" i="70" l="1"/>
  <c r="J30" i="70"/>
  <c r="L121" i="70"/>
  <c r="M29" i="70"/>
  <c r="K29" i="70"/>
  <c r="J29" i="70"/>
  <c r="I29" i="70"/>
  <c r="H29" i="70"/>
  <c r="E31" i="70"/>
  <c r="N31" i="70"/>
  <c r="E29" i="70"/>
  <c r="G31" i="70"/>
  <c r="O122" i="70"/>
  <c r="N122" i="70"/>
  <c r="L24" i="70"/>
  <c r="J24" i="70"/>
  <c r="I24" i="70"/>
  <c r="H24" i="70"/>
  <c r="G24" i="70"/>
  <c r="N30" i="70"/>
  <c r="M30" i="70"/>
  <c r="L30" i="70"/>
  <c r="K30" i="70"/>
  <c r="K33" i="70"/>
  <c r="I33" i="70"/>
  <c r="H33" i="70"/>
  <c r="G33" i="70"/>
  <c r="F33" i="70"/>
  <c r="E24" i="70"/>
  <c r="E33" i="70"/>
  <c r="O123" i="70"/>
  <c r="F24" i="70"/>
  <c r="N29" i="70"/>
  <c r="K31" i="70"/>
  <c r="J33" i="70"/>
  <c r="M24" i="70"/>
  <c r="L124"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24" i="70" l="1"/>
  <c r="O124" i="70" s="1"/>
  <c r="N121" i="70"/>
  <c r="O121" i="70" s="1"/>
  <c r="O28" i="79" l="1"/>
  <c r="O27" i="79"/>
  <c r="O26" i="79"/>
  <c r="O25" i="79"/>
  <c r="O24" i="79"/>
  <c r="O23" i="79"/>
  <c r="O22" i="79"/>
  <c r="O21" i="79"/>
  <c r="O20" i="79"/>
  <c r="O19" i="79"/>
  <c r="E65" i="43" a="1"/>
  <c r="E65" i="43" s="1"/>
  <c r="D65" i="43" a="1"/>
  <c r="D65" i="43" s="1"/>
  <c r="D63" i="43" a="1"/>
  <c r="D63" i="43" s="1"/>
  <c r="D62" i="43"/>
  <c r="D62" i="43" a="1"/>
  <c r="E60" i="43"/>
  <c r="E60" i="43" a="1"/>
  <c r="D60" i="43"/>
  <c r="D60" i="43" a="1"/>
  <c r="D58" i="43" a="1"/>
  <c r="D58" i="43" s="1"/>
  <c r="D57" i="43" a="1"/>
  <c r="D57" i="43" s="1"/>
  <c r="E55" i="43" a="1"/>
  <c r="E55" i="43" s="1"/>
  <c r="D55" i="43" a="1"/>
  <c r="D55" i="43" s="1"/>
  <c r="D53" i="43"/>
  <c r="D53" i="43" a="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c r="D483" i="79" a="1"/>
  <c r="I482" i="79" a="1"/>
  <c r="I482" i="79" s="1"/>
  <c r="H482" i="79" a="1"/>
  <c r="H482" i="79" s="1"/>
  <c r="G482" i="79" a="1"/>
  <c r="G482" i="79" s="1"/>
  <c r="F482" i="79" a="1"/>
  <c r="F482" i="79" s="1"/>
  <c r="E482" i="79" a="1"/>
  <c r="E482" i="79" s="1"/>
  <c r="D482" i="79" a="1"/>
  <c r="D482" i="79" s="1"/>
  <c r="I481" i="79"/>
  <c r="I481" i="79" a="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U71" i="69"/>
  <c r="U70" i="69"/>
  <c r="U69" i="69"/>
  <c r="U68" i="69"/>
  <c r="U67" i="69"/>
  <c r="U66" i="69"/>
  <c r="U65" i="69"/>
  <c r="U64" i="69"/>
  <c r="U63" i="69"/>
  <c r="U62" i="69"/>
  <c r="U61" i="69"/>
  <c r="U60" i="69"/>
  <c r="U55" i="69"/>
  <c r="U54" i="69"/>
  <c r="U53" i="69"/>
  <c r="U52" i="69"/>
  <c r="U51" i="69"/>
  <c r="U50" i="69"/>
  <c r="U49" i="69"/>
  <c r="U48" i="69"/>
  <c r="U47" i="69"/>
  <c r="U46" i="69"/>
  <c r="U45" i="69"/>
  <c r="U44" i="69"/>
  <c r="E115" i="69" a="1"/>
  <c r="E115" i="69" s="1"/>
  <c r="E107" i="69" a="1"/>
  <c r="E107" i="69" s="1"/>
  <c r="J16" i="69"/>
  <c r="U108" i="69" l="1"/>
  <c r="U107" i="69"/>
  <c r="U106" i="69"/>
  <c r="U105" i="69"/>
  <c r="U104" i="69"/>
  <c r="U103" i="69"/>
  <c r="U102" i="69"/>
  <c r="U101" i="69"/>
  <c r="U100" i="69"/>
  <c r="U99" i="69"/>
  <c r="U98" i="69"/>
  <c r="U97" i="69"/>
  <c r="G37" i="69" a="1"/>
  <c r="G37" i="69"/>
  <c r="D9" i="79" l="1"/>
  <c r="D8" i="79"/>
  <c r="X164" i="69"/>
  <c r="G131" i="69"/>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13"/>
  <c r="A16" i="13"/>
  <c r="A15" i="13"/>
  <c r="A14" i="13"/>
  <c r="A11" i="13"/>
  <c r="A8" i="13"/>
  <c r="A7" i="13"/>
  <c r="A4" i="13"/>
  <c r="A3" i="13"/>
  <c r="A11" i="15"/>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73" i="69" a="1"/>
  <c r="E94" i="69" a="1"/>
  <c r="V60" i="69" l="1" a="1"/>
  <c r="V60" i="69" s="1"/>
  <c r="V44" i="69" a="1"/>
  <c r="V44" i="69" s="1"/>
  <c r="E56" i="69" a="1"/>
  <c r="E56" i="69" s="1"/>
  <c r="H53" i="107"/>
  <c r="H54" i="107"/>
  <c r="H50" i="107"/>
  <c r="H48" i="107"/>
  <c r="H51" i="107"/>
  <c r="H49" i="107"/>
  <c r="H52" i="107"/>
  <c r="O115" i="69"/>
  <c r="O107" i="69"/>
  <c r="F128" i="69"/>
  <c r="AF117" i="69"/>
  <c r="AF149" i="69"/>
  <c r="O85" i="69"/>
  <c r="E94" i="69"/>
  <c r="E73" i="69"/>
  <c r="V76" i="69" l="1" a="1"/>
  <c r="V76" i="69" s="1"/>
  <c r="D21" i="69"/>
  <c r="E29" i="69" s="1" a="1"/>
  <c r="E29" i="69" s="1"/>
  <c r="U23" i="69"/>
  <c r="U22" i="69"/>
  <c r="U39" i="69"/>
  <c r="U38" i="69"/>
  <c r="U37" i="69"/>
  <c r="U36" i="69"/>
  <c r="U35" i="69"/>
  <c r="U34" i="69"/>
  <c r="U33" i="69"/>
  <c r="U32" i="69"/>
  <c r="U31" i="69"/>
  <c r="U30" i="69"/>
  <c r="U29" i="69"/>
  <c r="U28" i="69"/>
  <c r="W22" i="69"/>
  <c r="V22" i="69"/>
  <c r="X22" i="69"/>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U128" i="69"/>
  <c r="U127" i="69"/>
  <c r="U126" i="69"/>
  <c r="U125" i="69"/>
  <c r="U124" i="69"/>
  <c r="U123" i="69"/>
  <c r="U122" i="69"/>
  <c r="U121" i="69"/>
  <c r="U120" i="69"/>
  <c r="U119" i="69"/>
  <c r="U118" i="69"/>
  <c r="U117"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U87" i="69"/>
  <c r="U86" i="69"/>
  <c r="U85" i="69"/>
  <c r="U84" i="69"/>
  <c r="U83" i="69"/>
  <c r="U82" i="69"/>
  <c r="U81" i="69"/>
  <c r="U80" i="69"/>
  <c r="U79" i="69"/>
  <c r="U78" i="69"/>
  <c r="U77" i="69"/>
  <c r="U76" i="69"/>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W30" i="69" l="1"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AC29" i="69" l="1" a="1"/>
  <c r="AC29" i="69" s="1"/>
  <c r="AB29" i="69" a="1"/>
  <c r="AB29" i="69" s="1"/>
  <c r="AA29" i="69" a="1"/>
  <c r="AA29" i="69" s="1"/>
  <c r="AC30" i="69" a="1"/>
  <c r="AC30" i="69" s="1"/>
  <c r="AB30" i="69" a="1"/>
  <c r="AB30" i="69" s="1"/>
  <c r="AA30" i="69" a="1"/>
  <c r="AA30" i="69" s="1"/>
  <c r="W161" i="69"/>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AE83" i="69" l="1"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F7" i="13" s="1"/>
  <c r="G130" i="69"/>
  <c r="E133" i="69" s="1" a="1"/>
  <c r="E133" i="69" s="1"/>
  <c r="H7" i="13" s="1"/>
  <c r="X163" i="69" l="1"/>
  <c r="V166" i="69" s="1" a="1"/>
  <c r="V166" i="69" s="1"/>
  <c r="I7" i="13" s="1"/>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<sst xmlns="http://schemas.openxmlformats.org/spreadsheetml/2006/main" count="1192" uniqueCount="323">
  <si>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</si>
  <si>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</si>
  <si>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</si>
  <si>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</si>
  <si>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</si>
  <si>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</si>
  <si>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</si>
  <si>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</si>
  <si>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</si>
  <si>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</si>
  <si>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</si>
  <si>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</si>
  <si>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</si>
  <si>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</si>
  <si>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</si>
  <si>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</si>
  <si>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</si>
  <si>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</si>
  <si>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</si>
  <si>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</si>
  <si>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</si>
  <si>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</si>
  <si>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</si>
  <si>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</si>
  <si>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</si>
  <si>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</si>
  <si>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</si>
  <si>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</si>
  <si>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</si>
  <si>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</si>
  <si>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</si>
  <si>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</si>
  <si>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</si>
  <si>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</si>
  <si>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</si>
  <si>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</si>
  <si>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</si>
  <si>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</si>
  <si>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</si>
  <si>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</si>
  <si>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</si>
  <si>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</si>
  <si>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</si>
  <si>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</si>
  <si>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</si>
  <si>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</si>
  <si>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</si>
  <si>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</si>
  <si>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</si>
  <si>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</si>
  <si>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</si>
  <si>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</si>
  <si>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</si>
  <si>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</si>
  <si>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</si>
  <si>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</si>
  <si>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</si>
  <si>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</si>
  <si>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</si>
  <si>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</si>
  <si>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</si>
  <si>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</si>
  <si>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</si>
  <si>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</si>
  <si>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</si>
  <si>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</si>
  <si>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</si>
  <si>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</si>
  <si>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</si>
  <si>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</si>
  <si>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</si>
  <si>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</si>
  <si>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</si>
  <si>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</si>
  <si>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</si>
  <si>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</si>
  <si>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</si>
  <si>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</si>
  <si>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</si>
  <si>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</si>
  <si>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</si>
  <si>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</si>
  <si>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</si>
  <si>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</si>
  <si>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</si>
  <si>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</si>
  <si>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</si>
  <si>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</si>
  <si>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</si>
  <si>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</si>
  <si>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</si>
  <si>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</si>
  <si>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</si>
  <si>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</si>
  <si>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</si>
  <si>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</si>
  <si>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</si>
  <si>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</si>
  <si>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</si>
  <si>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</si>
  <si>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</si>
  <si>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</si>
  <si>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</si>
  <si>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</si>
  <si>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</si>
  <si>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</si>
  <si>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</si>
  <si>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</si>
  <si>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</si>
  <si>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</si>
  <si>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</si>
  <si>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</si>
  <si>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</si>
  <si>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</si>
  <si>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</si>
  <si>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</si>
  <si>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</si>
  <si>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</si>
  <si>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</si>
  <si>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</si>
  <si>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</si>
  <si>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</si>
  <si>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</si>
  <si>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</si>
  <si>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</si>
  <si>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</si>
  <si>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</si>
  <si>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</si>
  <si>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</si>
  <si>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</si>
  <si>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</si>
  <si>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</si>
  <si>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</si>
  <si>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</si>
  <si>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</si>
  <si>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</si>
  <si>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</si>
  <si>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</si>
  <si>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</si>
  <si>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</si>
  <si>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</si>
  <si>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</si>
  <si>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</si>
  <si>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</si>
  <si>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</si>
  <si>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</si>
  <si>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</si>
  <si>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</si>
  <si>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</si>
  <si>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</si>
  <si>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</si>
  <si>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</si>
  <si>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</si>
  <si>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</si>
  <si>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</si>
  <si>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</si>
  <si>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</si>
  <si>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</si>
  <si>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</si>
  <si>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</si>
  <si>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</si>
  <si>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</si>
  <si>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</si>
  <si>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</si>
  <si>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</si>
  <si>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</si>
  <si>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</si>
  <si>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</si>
  <si>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</si>
  <si>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</si>
  <si>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</si>
  <si>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</si>
  <si>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</si>
  <si>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</si>
  <si>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</si>
  <si>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</si>
  <si>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</si>
  <si>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</si>
  <si>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</si>
  <si>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</si>
  <si>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</si>
  <si>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</si>
  <si>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</si>
  <si>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</si>
  <si>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</si>
  <si>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</si>
  <si>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</si>
  <si>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</si>
  <si>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</si>
  <si>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</si>
  <si>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</si>
  <si>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</si>
  <si>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</si>
  <si>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</si>
  <si>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</si>
  <si>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</si>
  <si>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</si>
  <si>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</si>
  <si>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</si>
  <si>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</si>
  <si>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</si>
  <si>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</si>
  <si>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</si>
  <si>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</si>
  <si>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</si>
  <si>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</si>
  <si>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</si>
  <si>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</si>
  <si>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</si>
  <si>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</si>
  <si>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</si>
  <si>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</si>
  <si>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</si>
  <si>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</si>
  <si>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</si>
  <si>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</si>
  <si>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</si>
  <si>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</si>
  <si>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</si>
  <si>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</si>
  <si>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</si>
  <si>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</si>
  <si>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</si>
  <si>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</si>
  <si>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</si>
  <si>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</si>
  <si>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</si>
  <si>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</si>
  <si>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</si>
  <si>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</si>
  <si>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</si>
  <si>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</si>
  <si>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</si>
  <si>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</si>
  <si>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</si>
  <si>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</si>
  <si>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</si>
  <si>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</si>
  <si>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</si>
  <si>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</si>
  <si>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</si>
  <si>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</si>
  <si>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</si>
  <si>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</si>
  <si>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</si>
  <si>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</si>
  <si>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</si>
  <si>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</si>
  <si>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</si>
  <si>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</si>
  <si>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</si>
  <si>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</si>
  <si>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</si>
  <si>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</si>
  <si>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</si>
  <si>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</si>
  <si>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</si>
  <si>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</si>
  <si>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</si>
  <si>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</si>
  <si>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</si>
  <si>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</si>
  <si>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</si>
  <si>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</si>
  <si>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</si>
  <si>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</si>
  <si>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</si>
  <si>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</si>
  <si>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</si>
  <si>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</si>
  <si>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</si>
  <si>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</si>
  <si>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</si>
  <si>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</si>
  <si>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</si>
  <si>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</si>
  <si>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</si>
  <si>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</si>
  <si>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</si>
  <si>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</si>
  <si>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</si>
  <si>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</si>
  <si>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</si>
  <si>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</si>
  <si>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</si>
  <si>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</si>
  <si>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</si>
  <si>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</si>
  <si>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</si>
  <si>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</si>
  <si>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</si>
  <si>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</si>
  <si>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</si>
  <si>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</si>
  <si>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</si>
  <si>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</si>
  <si>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</si>
  <si>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</si>
  <si>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</si>
  <si>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</si>
  <si>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</si>
  <si>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</si>
  <si>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</si>
  <si>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</si>
  <si>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</si>
  <si>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</si>
  <si>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</si>
  <si>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</si>
  <si>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</si>
  <si>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</si>
  <si>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</si>
  <si>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</si>
  <si>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</si>
  <si>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</si>
  <si>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</si>
  <si>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</si>
  <si>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</si>
  <si>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</si>
  <si>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Livestock sales</t>
  </si>
  <si>
    <t>Sale date</t>
  </si>
  <si>
    <t>Head sold</t>
  </si>
  <si>
    <t>Average weight per head (kg)</t>
  </si>
  <si>
    <t>Total liveweight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</si>
</sst>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3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2" fillId="4" borderId="0" xfId="8" applyFont="1">
      <alignment horizontal="left" vertical="center"/>
    </xf>
    <xf numFmtId="0" fontId="0" fillId="0" borderId="0" xfId="8" applyFont="1" applyFill="1" applyAlignment="1">
      <alignment horizontal="left" vertical="center" wrapText="1"/>
    </xf>
    <xf numFmtId="15" fontId="2" fillId="0" borderId="2" xfId="15" applyNumberFormat="1">
      <alignment horizontal="center" vertical="center"/>
    </xf>
    <xf numFmtId="0" fontId="3" fillId="12" borderId="2" xfId="16" applyAlignment="1">
      <alignment horizontal="center" vertical="center" wrapText="1"/>
    </xf>
    <xf numFmtId="0" fontId="3" fillId="12" borderId="20" xfId="16" applyBorder="1">
      <alignment horizontal="center" vertical="center"/>
    </xf>
    <xf numFmtId="0" fontId="2" fillId="0" borderId="20" xfId="15" applyBorder="1">
      <alignment horizontal="center" vertical="center"/>
    </xf>
    <xf numFmtId="0" fontId="3" fillId="12" borderId="20" xfId="16" applyBorder="1" applyAlignment="1">
      <alignment horizontal="center" vertical="center" wrapText="1"/>
    </xf>
    <xf numFmtId="0" fontId="2" fillId="0" borderId="20" xfId="59" applyBorder="1">
      <alignment horizontal="center" vertical="center"/>
    </xf>
    <xf numFmtId="171" fontId="0" fillId="0" borderId="0" xfId="8" applyNumberFormat="1" applyFont="1" applyFill="1">
      <alignment horizontal="left"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84622CD-CCF3-4BB9-AAA9-4F75EF631CF3}" name="Table_Input_LivestockSales" displayName="Table_Input_LivestockSales" ref="D206:I216" totalsRowShown="0">
  <autoFilter ref="D206:I216" xr:uid="{484622CD-CCF3-4BB9-AAA9-4F75EF631CF3}"/>
  <tableColumns count="6">
    <tableColumn id="6" xr3:uid="{CDF84216-F7B9-40D1-AFD9-FE7E96D516CD}" name="Transaction name" dataCellStyle="Input text"/>
    <tableColumn id="1" xr3:uid="{C3EE20E5-16CC-4D42-BB24-8ED3BA173150}" name="Class (select)" dataCellStyle="Input select"/>
    <tableColumn id="2" xr3:uid="{2319C54C-6BCC-4688-AF90-D7B3E007A56A}" name="Sale date" dataDxfId="159"/>
    <tableColumn id="3" xr3:uid="{FFF87D22-C444-400F-A9E3-B63C23903C22}" name="Head sold"/>
    <tableColumn id="4" xr3:uid="{982592FC-38BE-4790-8221-A7B450A87F12}" name="Average weight per head (kg)"/>
    <tableColumn id="5" xr3:uid="{4D9005EC-85A8-4B62-864C-7560018F5AE8}"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AB6424C-3730-40E0-8F0E-53BDFDC2DDBB}" name="Table_Input_LivestockPurchases_Beefcattle" displayName="Table_Input_LivestockPurchases_Beefcattle" ref="D190:K200" totalsRowShown="0">
  <autoFilter ref="D190:K200" xr:uid="{AAB6424C-3730-40E0-8F0E-53BDFDC2DDBB}"/>
  <tableColumns count="8">
    <tableColumn id="9" xr3:uid="{E413D398-059C-46F8-959D-F752EC623685}" name="Transaction name" dataCellStyle="Input text"/>
    <tableColumn id="13" xr3:uid="{95075BFA-3616-4C2A-88F3-1897B1E37A7B}" name="Purchase date" dataCellStyle="Input text"/>
    <tableColumn id="11" xr3:uid="{DF2FFE07-9B1A-4D5B-A8B1-F7E6AEBB6A62}" name="Class (select)" dataDxfId="158" dataCellStyle="Input select"/>
    <tableColumn id="2" xr3:uid="{4A67C945-12D3-415F-A1EE-3BDD0F8CF7AE}" name="Purchase class (select)" dataDxfId="157" dataCellStyle="Input select"/>
    <tableColumn id="6" xr3:uid="{5D779678-C4CF-422D-AA9D-2D15A1B27090}" name="Source region (Select)" dataDxfId="156" dataCellStyle="Input select"/>
    <tableColumn id="3" xr3:uid="{9210F4BA-44CB-4DF4-B75A-C059B7B26A6D}" name="Quantity (head)" dataCellStyle="Input number general"/>
    <tableColumn id="12" xr3:uid="{96622F60-FA87-4184-BE9C-1FFED6D305AF}"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E49A5DEE-F088-4823-B1E0-3155C3135E84}"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67"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66"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24" dataCellStyle="Content normal">
  <autoFilter ref="D43:E50" xr:uid="{F711E95C-01C8-48A7-BB52-9F827483965C}"/>
  <tableColumns count="2">
    <tableColumn id="1" xr3:uid="{08B90907-6C3E-412D-8433-9F6039F4029A}"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21" dataCellStyle="Content normal">
  <autoFilter ref="D54:E55" xr:uid="{2A75A840-CA11-4C7B-8899-C3A821D14E27}"/>
  <tableColumns count="2">
    <tableColumn id="1" xr3:uid="{F170FD6C-DD1B-4B8F-AF9E-3B62B67338A0}"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18" dataCellStyle="Content normal">
  <autoFilter ref="D59:E60" xr:uid="{2D888E1E-7753-4DC0-B298-BEAC22F6BD88}"/>
  <tableColumns count="2">
    <tableColumn id="1" xr3:uid="{C9C3D59B-D677-4AA1-B0C2-2067DFB471D5}"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15" dataCellStyle="Content normal">
  <autoFilter ref="D64:E65" xr:uid="{4DB6C08B-3AF7-4AD1-AB80-46559AA7950B}"/>
  <tableColumns count="2">
    <tableColumn id="1" xr3:uid="{89BE89CD-FE25-4013-84CD-7E8828148DA3}"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26" Type="http://schemas.openxmlformats.org/officeDocument/2006/relationships/table" Target="../tables/table27.xml"/><Relationship Id="rId3" Type="http://schemas.openxmlformats.org/officeDocument/2006/relationships/table" Target="../tables/table4.xml"/><Relationship Id="rId21" Type="http://schemas.openxmlformats.org/officeDocument/2006/relationships/table" Target="../tables/table22.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5" Type="http://schemas.openxmlformats.org/officeDocument/2006/relationships/table" Target="../tables/table26.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7.xml"/><Relationship Id="rId11" Type="http://schemas.openxmlformats.org/officeDocument/2006/relationships/table" Target="../tables/table12.xml"/><Relationship Id="rId24" Type="http://schemas.openxmlformats.org/officeDocument/2006/relationships/table" Target="../tables/table25.xml"/><Relationship Id="rId5" Type="http://schemas.openxmlformats.org/officeDocument/2006/relationships/table" Target="../tables/table6.xml"/><Relationship Id="rId15" Type="http://schemas.openxmlformats.org/officeDocument/2006/relationships/table" Target="../tables/table16.xml"/><Relationship Id="rId23" Type="http://schemas.openxmlformats.org/officeDocument/2006/relationships/table" Target="../tables/table24.xml"/><Relationship Id="rId28" Type="http://schemas.openxmlformats.org/officeDocument/2006/relationships/table" Target="../tables/table29.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openxmlformats.org/officeDocument/2006/relationships/table" Target="../tables/table23.xml"/><Relationship Id="rId27" Type="http://schemas.openxmlformats.org/officeDocument/2006/relationships/table" Target="../tables/table2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4.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t="e">
        <f>VEERG_3_2_1_1__1_TotalAnnualMethaneFromEntericFermentation_Result</f>
        <v>#NAME?</v>
      </c>
      <c r="F7" s="105">
        <f ca="1">VEERG_3_2_1_1__1_TotalAnnualMethaneFromEntericFermentation_Result_Method2</f>
        <v>54.699181903674365</v>
      </c>
      <c r="G7" s="53" t="s">
        <v>117</v>
      </c>
      <c r="H7" s="105">
        <f ca="1">'3.2.1.1-2 Enteric Methane'!E133</f>
        <v>1528.6811521013833</v>
      </c>
      <c r="I7" s="105">
        <f ca="1">'3.2.1.1-2 Enteric Methane'!V166</f>
        <v>1531.5770933028823</v>
      </c>
      <c r="J7" s="53" t="s">
        <v>120</v>
      </c>
      <c r="K7" s="22"/>
    </row>
    <row r="8" spans="1:11" ht="20.100000000000001" customHeight="1" x14ac:dyDescent="0.3">
      <c r="A8" s="17" t="str">
        <f>HYPERLINK("#'Input - Pasture Beef'!A1", "Pasture Beef")</f>
        <v>Pasture Beef</v>
      </c>
      <c r="C8" s="22"/>
      <c r="D8" s="29" t="s">
        <v>99</v>
      </c>
      <c r="E8" s="23"/>
      <c r="F8" s="23"/>
      <c r="G8" s="29"/>
      <c r="H8" s="106">
        <f ca="1">SUM(H7:H7)</f>
        <v>1528.6811521013833</v>
      </c>
      <c r="I8" s="106">
        <f ca="1">SUM(I7:I7)</f>
        <v>1531.5770933028823</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abSelected="1" topLeftCell="D184" zoomScale="85" zoomScaleNormal="85" workbookViewId="0">
      <selection activeCell="E195" sqref="E195"/>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X_Cell_Site_State</f>
        <v>Western Australia</v>
      </c>
      <c r="P7" s="3"/>
      <c r="T7" s="7"/>
    </row>
    <row r="8" spans="1:25" ht="20.100000000000001" customHeight="1" x14ac:dyDescent="0.25">
      <c r="A8" s="17"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1" t="s">
        <v>143</v>
      </c>
      <c r="E13" s="92"/>
      <c r="F13" s="92"/>
      <c r="G13" s="86"/>
      <c r="T13" s="37"/>
    </row>
    <row r="14" spans="1:25" ht="20.100000000000001" customHeight="1" x14ac:dyDescent="0.25">
      <c r="A14" s="17" t="str">
        <f>HYPERLINK("#'4.2.1.7-8 Soil leach runoff'!A1", "4.2.1.7-8 Soil leach &amp; runoff")</f>
        <v>4.2.1.7-8 Soil leach &amp; runoff</v>
      </c>
      <c r="T14" s="37"/>
    </row>
    <row r="15" spans="1:25" ht="20.100000000000001" customHeight="1" x14ac:dyDescent="0.25">
      <c r="A15" s="17"/>
      <c r="D15" s="47" t="s">
        <v>140</v>
      </c>
      <c r="T15" s="37"/>
    </row>
    <row r="16" spans="1:25" ht="20.100000000000001" customHeight="1" x14ac:dyDescent="0.25">
      <c r="A16" s="18" t="s">
        <v>2</v>
      </c>
      <c r="D16" s="61" t="s">
        <v>141</v>
      </c>
      <c r="E16" s="61" t="s">
        <v>104</v>
      </c>
      <c r="F16" s="61" t="s">
        <v>103</v>
      </c>
      <c r="G16" s="61" t="s">
        <v>127</v>
      </c>
      <c r="H16" s="61" t="s">
        <v>128</v>
      </c>
      <c r="I16" s="61" t="s">
        <v>129</v>
      </c>
      <c r="J16" s="61" t="s">
        <v>130</v>
      </c>
      <c r="K16" s="61" t="s">
        <v>131</v>
      </c>
      <c r="L16" s="61" t="s">
        <v>132</v>
      </c>
      <c r="M16" s="61" t="s">
        <v>133</v>
      </c>
      <c r="N16" s="61" t="s">
        <v>134</v>
      </c>
      <c r="T16" s="37"/>
    </row>
    <row r="17" spans="1:20" ht="20.100000000000001" customHeight="1" x14ac:dyDescent="0.25">
      <c r="A17" s="17" t="str">
        <f>HYPERLINK("#'Constants - Pasture Beef'!A1", "Constants - Pasture Beef")</f>
        <v>Constants - Pasture Beef</v>
      </c>
      <c r="D17" s="1" t="s">
        <v>135</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A18" s="17" t="str">
        <f>HYPERLINK("#'Constants - Livestock'!A1", "Constants - Livestock")</f>
        <v>Constants - Livestock</v>
      </c>
      <c r="D18" s="1" t="s">
        <v>136</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t="str">
        <f>HYPERLINK("#'Constants - Common'!A1", "Constants - Common")</f>
        <v>Constants - Common</v>
      </c>
      <c r="D19" s="1" t="s">
        <v>137</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t="str">
        <f>HYPERLINK("#'Acknowledgements'!A1", "Acknowledgements")</f>
        <v>Acknowledgements</v>
      </c>
      <c r="D20" s="1" t="s">
        <v>138</v>
      </c>
      <c r="E20" s="51">
        <v>91.25</v>
      </c>
      <c r="F20" s="51">
        <v>91.25</v>
      </c>
      <c r="G20" s="51">
        <v>91.25</v>
      </c>
      <c r="H20" s="51">
        <v>91.25</v>
      </c>
      <c r="I20" s="51">
        <v>91.25</v>
      </c>
      <c r="J20" s="51">
        <v>91.25</v>
      </c>
      <c r="K20" s="51">
        <v>91.25</v>
      </c>
      <c r="L20" s="51">
        <v>91.25</v>
      </c>
      <c r="M20" s="51">
        <v>91.25</v>
      </c>
      <c r="N20" s="51">
        <v>91.25</v>
      </c>
      <c r="O20" s="2" t="s">
        <v>47</v>
      </c>
      <c r="T20" s="7"/>
    </row>
    <row r="21" spans="1:20" ht="20.100000000000001" customHeight="1" x14ac:dyDescent="0.25">
      <c r="T21" s="7"/>
    </row>
    <row r="22" spans="1:20" ht="20.100000000000001" customHeight="1" x14ac:dyDescent="0.25">
      <c r="A22" s="17"/>
      <c r="D22" s="61" t="s">
        <v>142</v>
      </c>
      <c r="E22" s="61" t="s">
        <v>104</v>
      </c>
      <c r="F22" s="61" t="s">
        <v>103</v>
      </c>
      <c r="G22" s="61" t="s">
        <v>127</v>
      </c>
      <c r="H22" s="61" t="s">
        <v>128</v>
      </c>
      <c r="I22" s="61" t="s">
        <v>129</v>
      </c>
      <c r="J22" s="61" t="s">
        <v>130</v>
      </c>
      <c r="K22" s="61" t="s">
        <v>131</v>
      </c>
      <c r="L22" s="61" t="s">
        <v>132</v>
      </c>
      <c r="M22" s="61" t="s">
        <v>133</v>
      </c>
      <c r="N22" s="61" t="s">
        <v>134</v>
      </c>
      <c r="T22" s="7"/>
    </row>
    <row r="23" spans="1:20" ht="20.100000000000001" customHeight="1" x14ac:dyDescent="0.25">
      <c r="A23" s="17"/>
      <c r="D23" s="1" t="str">
        <f>TEXT(X_Cell_Site_StartDate, "mmmm yyyy")</f>
        <v>January 2024</v>
      </c>
      <c r="E23" s="64">
        <f t="shared" ref="E23:N34" si="0">DAY(EOMONTH($D23,0))</f>
        <v>31</v>
      </c>
      <c r="F23" s="64">
        <f t="shared" si="0"/>
        <v>31</v>
      </c>
      <c r="G23" s="64">
        <f t="shared" si="0"/>
        <v>31</v>
      </c>
      <c r="H23" s="64">
        <f t="shared" si="0"/>
        <v>31</v>
      </c>
      <c r="I23" s="64">
        <f t="shared" si="0"/>
        <v>31</v>
      </c>
      <c r="J23" s="64">
        <f t="shared" si="0"/>
        <v>31</v>
      </c>
      <c r="K23" s="64">
        <f t="shared" si="0"/>
        <v>31</v>
      </c>
      <c r="L23" s="64">
        <f t="shared" si="0"/>
        <v>31</v>
      </c>
      <c r="M23" s="64">
        <f t="shared" si="0"/>
        <v>31</v>
      </c>
      <c r="N23" s="64">
        <f t="shared" si="0"/>
        <v>31</v>
      </c>
      <c r="O23" s="2" t="s">
        <v>47</v>
      </c>
      <c r="T23" s="7"/>
    </row>
    <row r="24" spans="1:20" ht="20.100000000000001" customHeight="1" x14ac:dyDescent="0.25">
      <c r="A24" s="17"/>
      <c r="D24" s="1" t="str">
        <f>TEXT(EDATE(X_Cell_Site_StartDate,1), "mmmm yyyy")</f>
        <v>February 2024</v>
      </c>
      <c r="E24" s="64">
        <f t="shared" si="0"/>
        <v>29</v>
      </c>
      <c r="F24" s="64">
        <f t="shared" si="0"/>
        <v>29</v>
      </c>
      <c r="G24" s="64">
        <f t="shared" si="0"/>
        <v>29</v>
      </c>
      <c r="H24" s="64">
        <f t="shared" si="0"/>
        <v>29</v>
      </c>
      <c r="I24" s="64">
        <f t="shared" si="0"/>
        <v>29</v>
      </c>
      <c r="J24" s="64">
        <f t="shared" si="0"/>
        <v>29</v>
      </c>
      <c r="K24" s="64">
        <f t="shared" si="0"/>
        <v>29</v>
      </c>
      <c r="L24" s="64">
        <f t="shared" si="0"/>
        <v>29</v>
      </c>
      <c r="M24" s="64">
        <f t="shared" si="0"/>
        <v>29</v>
      </c>
      <c r="N24" s="64">
        <f t="shared" si="0"/>
        <v>29</v>
      </c>
      <c r="O24" s="2" t="s">
        <v>47</v>
      </c>
      <c r="T24" s="7"/>
    </row>
    <row r="25" spans="1:20" ht="20.100000000000001" customHeight="1" x14ac:dyDescent="0.25">
      <c r="D25" s="1" t="str">
        <f>TEXT(EDATE(X_Cell_Site_StartDate,2), "mmmm yyyy")</f>
        <v>March 2024</v>
      </c>
      <c r="E25" s="64">
        <f t="shared" si="0"/>
        <v>31</v>
      </c>
      <c r="F25" s="64">
        <f t="shared" si="0"/>
        <v>31</v>
      </c>
      <c r="G25" s="64">
        <f t="shared" si="0"/>
        <v>31</v>
      </c>
      <c r="H25" s="64">
        <f t="shared" si="0"/>
        <v>31</v>
      </c>
      <c r="I25" s="64">
        <f t="shared" si="0"/>
        <v>31</v>
      </c>
      <c r="J25" s="64">
        <f t="shared" si="0"/>
        <v>31</v>
      </c>
      <c r="K25" s="64">
        <f t="shared" si="0"/>
        <v>31</v>
      </c>
      <c r="L25" s="64">
        <f t="shared" si="0"/>
        <v>31</v>
      </c>
      <c r="M25" s="64">
        <f t="shared" si="0"/>
        <v>31</v>
      </c>
      <c r="N25" s="64">
        <f t="shared" si="0"/>
        <v>31</v>
      </c>
      <c r="O25" s="2" t="s">
        <v>47</v>
      </c>
      <c r="T25" s="7"/>
    </row>
    <row r="26" spans="1:20" ht="20.100000000000001" customHeight="1" x14ac:dyDescent="0.25">
      <c r="A26" s="17"/>
      <c r="D26" s="1" t="str">
        <f>TEXT(EDATE(X_Cell_Site_StartDate,3), "mmmm yyyy")</f>
        <v>April 2024</v>
      </c>
      <c r="E26" s="64">
        <f t="shared" si="0"/>
        <v>30</v>
      </c>
      <c r="F26" s="64">
        <f t="shared" si="0"/>
        <v>30</v>
      </c>
      <c r="G26" s="64">
        <f t="shared" si="0"/>
        <v>30</v>
      </c>
      <c r="H26" s="64">
        <f t="shared" si="0"/>
        <v>30</v>
      </c>
      <c r="I26" s="64">
        <f t="shared" si="0"/>
        <v>30</v>
      </c>
      <c r="J26" s="64">
        <f t="shared" si="0"/>
        <v>30</v>
      </c>
      <c r="K26" s="64">
        <f t="shared" si="0"/>
        <v>30</v>
      </c>
      <c r="L26" s="64">
        <f t="shared" si="0"/>
        <v>30</v>
      </c>
      <c r="M26" s="64">
        <f t="shared" si="0"/>
        <v>30</v>
      </c>
      <c r="N26" s="64">
        <f t="shared" si="0"/>
        <v>30</v>
      </c>
      <c r="O26" s="2" t="s">
        <v>47</v>
      </c>
      <c r="T26" s="7"/>
    </row>
    <row r="27" spans="1:20" ht="20.100000000000001" customHeight="1" x14ac:dyDescent="0.25">
      <c r="A27" s="17"/>
      <c r="D27" s="1" t="str">
        <f>TEXT(EDATE(X_Cell_Site_StartDate,4), "mmmm yyyy")</f>
        <v>May 2024</v>
      </c>
      <c r="E27" s="64">
        <f t="shared" si="0"/>
        <v>31</v>
      </c>
      <c r="F27" s="64">
        <f t="shared" si="0"/>
        <v>31</v>
      </c>
      <c r="G27" s="64">
        <f t="shared" si="0"/>
        <v>31</v>
      </c>
      <c r="H27" s="64">
        <f t="shared" si="0"/>
        <v>31</v>
      </c>
      <c r="I27" s="64">
        <f t="shared" si="0"/>
        <v>31</v>
      </c>
      <c r="J27" s="64">
        <f t="shared" si="0"/>
        <v>31</v>
      </c>
      <c r="K27" s="64">
        <f t="shared" si="0"/>
        <v>31</v>
      </c>
      <c r="L27" s="64">
        <f t="shared" si="0"/>
        <v>31</v>
      </c>
      <c r="M27" s="64">
        <f t="shared" si="0"/>
        <v>31</v>
      </c>
      <c r="N27" s="64">
        <f t="shared" si="0"/>
        <v>31</v>
      </c>
      <c r="O27" s="2" t="s">
        <v>47</v>
      </c>
      <c r="T27" s="7"/>
    </row>
    <row r="28" spans="1:20" ht="20.100000000000001" customHeight="1" x14ac:dyDescent="0.25">
      <c r="A28" s="17"/>
      <c r="D28" s="1" t="str">
        <f>TEXT(EDATE(X_Cell_Site_StartDate,5), "mmmm yyyy")</f>
        <v>June 2024</v>
      </c>
      <c r="E28" s="64">
        <f t="shared" si="0"/>
        <v>30</v>
      </c>
      <c r="F28" s="64">
        <f t="shared" si="0"/>
        <v>30</v>
      </c>
      <c r="G28" s="64">
        <f t="shared" si="0"/>
        <v>30</v>
      </c>
      <c r="H28" s="64">
        <f t="shared" si="0"/>
        <v>30</v>
      </c>
      <c r="I28" s="64">
        <f t="shared" si="0"/>
        <v>30</v>
      </c>
      <c r="J28" s="64">
        <f t="shared" si="0"/>
        <v>30</v>
      </c>
      <c r="K28" s="64">
        <f t="shared" si="0"/>
        <v>30</v>
      </c>
      <c r="L28" s="64">
        <f t="shared" si="0"/>
        <v>30</v>
      </c>
      <c r="M28" s="64">
        <f t="shared" si="0"/>
        <v>30</v>
      </c>
      <c r="N28" s="64">
        <f t="shared" si="0"/>
        <v>30</v>
      </c>
      <c r="O28" s="2" t="s">
        <v>47</v>
      </c>
      <c r="T28" s="7"/>
    </row>
    <row r="29" spans="1:20" ht="20.100000000000001" customHeight="1" x14ac:dyDescent="0.25">
      <c r="A29" s="17"/>
      <c r="D29" s="1" t="str">
        <f>TEXT(EDATE(X_Cell_Site_StartDate,6), "mmmm yyyy")</f>
        <v>July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TEXT(EDATE(X_Cell_Site_StartDate,7), "mmmm yyyy")</f>
        <v>August 2024</v>
      </c>
      <c r="E30" s="64">
        <f t="shared" si="0"/>
        <v>31</v>
      </c>
      <c r="F30" s="64">
        <f t="shared" si="0"/>
        <v>31</v>
      </c>
      <c r="G30" s="64">
        <f t="shared" si="0"/>
        <v>31</v>
      </c>
      <c r="H30" s="64">
        <f t="shared" si="0"/>
        <v>31</v>
      </c>
      <c r="I30" s="64">
        <f t="shared" si="0"/>
        <v>31</v>
      </c>
      <c r="J30" s="64">
        <f t="shared" si="0"/>
        <v>31</v>
      </c>
      <c r="K30" s="64">
        <f t="shared" si="0"/>
        <v>31</v>
      </c>
      <c r="L30" s="64">
        <f t="shared" si="0"/>
        <v>31</v>
      </c>
      <c r="M30" s="64">
        <f t="shared" si="0"/>
        <v>31</v>
      </c>
      <c r="N30" s="64">
        <f t="shared" si="0"/>
        <v>31</v>
      </c>
      <c r="O30" s="2" t="s">
        <v>47</v>
      </c>
      <c r="T30" s="7"/>
    </row>
    <row r="31" spans="1:20" ht="20.100000000000001" customHeight="1" x14ac:dyDescent="0.25">
      <c r="A31" s="65"/>
      <c r="D31" s="1" t="str">
        <f>TEXT(EDATE(X_Cell_Site_StartDate,8), "mmmm yyyy")</f>
        <v>September 2024</v>
      </c>
      <c r="E31" s="64">
        <f t="shared" si="0"/>
        <v>30</v>
      </c>
      <c r="F31" s="64">
        <f t="shared" si="0"/>
        <v>30</v>
      </c>
      <c r="G31" s="64">
        <f t="shared" si="0"/>
        <v>30</v>
      </c>
      <c r="H31" s="64">
        <f t="shared" si="0"/>
        <v>30</v>
      </c>
      <c r="I31" s="64">
        <f t="shared" si="0"/>
        <v>30</v>
      </c>
      <c r="J31" s="64">
        <f t="shared" si="0"/>
        <v>30</v>
      </c>
      <c r="K31" s="64">
        <f t="shared" si="0"/>
        <v>30</v>
      </c>
      <c r="L31" s="64">
        <f t="shared" si="0"/>
        <v>30</v>
      </c>
      <c r="M31" s="64">
        <f t="shared" si="0"/>
        <v>30</v>
      </c>
      <c r="N31" s="64">
        <f t="shared" si="0"/>
        <v>30</v>
      </c>
      <c r="O31" s="2" t="s">
        <v>47</v>
      </c>
      <c r="T31" s="7"/>
    </row>
    <row r="32" spans="1:20" ht="20.100000000000001" customHeight="1" x14ac:dyDescent="0.25">
      <c r="A32" s="65"/>
      <c r="D32" s="1" t="str">
        <f>TEXT(EDATE(X_Cell_Site_StartDate,9), "mmmm yyyy")</f>
        <v>October 2024</v>
      </c>
      <c r="E32" s="64">
        <f t="shared" si="0"/>
        <v>31</v>
      </c>
      <c r="F32" s="64">
        <f t="shared" si="0"/>
        <v>31</v>
      </c>
      <c r="G32" s="64">
        <f t="shared" si="0"/>
        <v>31</v>
      </c>
      <c r="H32" s="64">
        <f t="shared" si="0"/>
        <v>31</v>
      </c>
      <c r="I32" s="64">
        <f t="shared" si="0"/>
        <v>31</v>
      </c>
      <c r="J32" s="64">
        <f t="shared" si="0"/>
        <v>31</v>
      </c>
      <c r="K32" s="64">
        <f t="shared" si="0"/>
        <v>31</v>
      </c>
      <c r="L32" s="64">
        <f t="shared" si="0"/>
        <v>31</v>
      </c>
      <c r="M32" s="64">
        <f t="shared" si="0"/>
        <v>31</v>
      </c>
      <c r="N32" s="64">
        <f t="shared" si="0"/>
        <v>31</v>
      </c>
      <c r="O32" s="2" t="s">
        <v>47</v>
      </c>
      <c r="T32" s="7"/>
    </row>
    <row r="33" spans="1:20" ht="20.100000000000001" customHeight="1" x14ac:dyDescent="0.25">
      <c r="A33" s="17"/>
      <c r="D33" s="1" t="str">
        <f>TEXT(EDATE(X_Cell_Site_StartDate,10), "mmmm yyyy")</f>
        <v>November 2024</v>
      </c>
      <c r="E33" s="64">
        <f t="shared" si="0"/>
        <v>30</v>
      </c>
      <c r="F33" s="64">
        <f t="shared" si="0"/>
        <v>30</v>
      </c>
      <c r="G33" s="64">
        <f t="shared" si="0"/>
        <v>30</v>
      </c>
      <c r="H33" s="64">
        <f t="shared" si="0"/>
        <v>30</v>
      </c>
      <c r="I33" s="64">
        <f t="shared" si="0"/>
        <v>30</v>
      </c>
      <c r="J33" s="64">
        <f t="shared" si="0"/>
        <v>30</v>
      </c>
      <c r="K33" s="64">
        <f t="shared" si="0"/>
        <v>30</v>
      </c>
      <c r="L33" s="64">
        <f t="shared" si="0"/>
        <v>30</v>
      </c>
      <c r="M33" s="64">
        <f t="shared" si="0"/>
        <v>30</v>
      </c>
      <c r="N33" s="64">
        <f t="shared" si="0"/>
        <v>30</v>
      </c>
      <c r="O33" s="2" t="s">
        <v>47</v>
      </c>
      <c r="T33" s="7"/>
    </row>
    <row r="34" spans="1:20" ht="20.100000000000001" customHeight="1" x14ac:dyDescent="0.25">
      <c r="D34" s="1" t="str">
        <f>TEXT(EDATE(X_Cell_Site_StartDate,11), "mmmm yyyy")</f>
        <v>December 2024</v>
      </c>
      <c r="E34" s="64">
        <f t="shared" si="0"/>
        <v>31</v>
      </c>
      <c r="F34" s="64">
        <f t="shared" si="0"/>
        <v>31</v>
      </c>
      <c r="G34" s="64">
        <f t="shared" si="0"/>
        <v>31</v>
      </c>
      <c r="H34" s="64">
        <f t="shared" si="0"/>
        <v>31</v>
      </c>
      <c r="I34" s="64">
        <f t="shared" si="0"/>
        <v>31</v>
      </c>
      <c r="J34" s="64">
        <f t="shared" si="0"/>
        <v>31</v>
      </c>
      <c r="K34" s="64">
        <f t="shared" si="0"/>
        <v>31</v>
      </c>
      <c r="L34" s="64">
        <f t="shared" si="0"/>
        <v>31</v>
      </c>
      <c r="M34" s="64">
        <f t="shared" si="0"/>
        <v>31</v>
      </c>
      <c r="N34" s="64">
        <f t="shared" si="0"/>
        <v>31</v>
      </c>
      <c r="O34" s="2" t="s">
        <v>47</v>
      </c>
      <c r="T34" s="7"/>
    </row>
    <row r="35" spans="1:20" ht="20.100000000000001" customHeight="1" x14ac:dyDescent="0.25">
      <c r="T35" s="7"/>
    </row>
    <row r="36" spans="1:20" ht="20.100000000000001" customHeight="1" x14ac:dyDescent="0.25">
      <c r="T36" s="7"/>
    </row>
    <row r="37" spans="1:20" ht="20.100000000000001" customHeight="1" x14ac:dyDescent="0.25">
      <c r="D37" s="47" t="s">
        <v>82</v>
      </c>
      <c r="T37" s="7"/>
    </row>
    <row r="38" spans="1:20" ht="20.100000000000001" customHeight="1" x14ac:dyDescent="0.25">
      <c r="D38" s="61" t="s">
        <v>108</v>
      </c>
      <c r="E38" s="61" t="s">
        <v>104</v>
      </c>
      <c r="F38" s="61" t="s">
        <v>103</v>
      </c>
      <c r="G38" s="61" t="s">
        <v>127</v>
      </c>
      <c r="H38" s="61" t="s">
        <v>128</v>
      </c>
      <c r="I38" s="61" t="s">
        <v>129</v>
      </c>
      <c r="J38" s="61" t="s">
        <v>130</v>
      </c>
      <c r="K38" s="61" t="s">
        <v>131</v>
      </c>
      <c r="L38" s="61" t="s">
        <v>132</v>
      </c>
      <c r="M38" s="61" t="s">
        <v>133</v>
      </c>
      <c r="N38" s="61" t="s">
        <v>134</v>
      </c>
      <c r="T38" s="7"/>
    </row>
    <row r="39" spans="1:20" ht="20.100000000000001" customHeight="1" x14ac:dyDescent="0.25">
      <c r="A39" s="17"/>
      <c r="D39" s="1" t="s">
        <v>135</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136</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137</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D42" s="1" t="s">
        <v>138</v>
      </c>
      <c r="E42" s="64">
        <v>100</v>
      </c>
      <c r="F42" s="64">
        <v>100</v>
      </c>
      <c r="G42" s="64">
        <v>100</v>
      </c>
      <c r="H42" s="64">
        <v>100</v>
      </c>
      <c r="I42" s="64">
        <v>100</v>
      </c>
      <c r="J42" s="64">
        <v>100</v>
      </c>
      <c r="K42" s="64">
        <v>100</v>
      </c>
      <c r="L42" s="64">
        <v>100</v>
      </c>
      <c r="M42" s="64">
        <v>100</v>
      </c>
      <c r="N42" s="64">
        <v>100</v>
      </c>
      <c r="O42" s="2" t="s">
        <v>82</v>
      </c>
      <c r="T42" s="7"/>
    </row>
    <row r="43" spans="1:20" ht="20.100000000000001" customHeight="1" x14ac:dyDescent="0.25">
      <c r="O43" s="2"/>
      <c r="T43" s="7"/>
    </row>
    <row r="44" spans="1:20" ht="20.100000000000001" customHeight="1" x14ac:dyDescent="0.25">
      <c r="D44" s="61" t="s">
        <v>109</v>
      </c>
      <c r="E44" s="61" t="s">
        <v>104</v>
      </c>
      <c r="F44" s="61" t="s">
        <v>103</v>
      </c>
      <c r="G44" s="61" t="s">
        <v>127</v>
      </c>
      <c r="H44" s="61" t="s">
        <v>128</v>
      </c>
      <c r="I44" s="61" t="s">
        <v>129</v>
      </c>
      <c r="J44" s="61" t="s">
        <v>130</v>
      </c>
      <c r="K44" s="61" t="s">
        <v>131</v>
      </c>
      <c r="L44" s="61" t="s">
        <v>132</v>
      </c>
      <c r="M44" s="61" t="s">
        <v>133</v>
      </c>
      <c r="N44" s="61" t="s">
        <v>134</v>
      </c>
      <c r="O44" s="2"/>
      <c r="T44" s="7"/>
    </row>
    <row r="45" spans="1:20" ht="20.100000000000001" customHeight="1" x14ac:dyDescent="0.25">
      <c r="D45" s="1" t="str">
        <f>TEXT(X_Cell_Site_StartDate, "mmmm yyyy")</f>
        <v>January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TEXT(EDATE(X_Cell_Site_StartDate,1), "mmmm yyyy")</f>
        <v>February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TEXT(EDATE(X_Cell_Site_StartDate,2), "mmmm yyyy")</f>
        <v>March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TEXT(EDATE(X_Cell_Site_StartDate,3), "mmmm yyyy")</f>
        <v>April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TEXT(EDATE(X_Cell_Site_StartDate,4), "mmmm yyyy")</f>
        <v>May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TEXT(EDATE(X_Cell_Site_StartDate,5), "mmmm yyyy")</f>
        <v>June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TEXT(EDATE(X_Cell_Site_StartDate,6), "mmmm yyyy")</f>
        <v>July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TEXT(EDATE(X_Cell_Site_StartDate,7), "mmmm yyyy")</f>
        <v>August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TEXT(EDATE(X_Cell_Site_StartDate,8), "mmmm yyyy")</f>
        <v>September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TEXT(EDATE(X_Cell_Site_StartDate,9), "mmmm yyyy")</f>
        <v>October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TEXT(EDATE(X_Cell_Site_StartDate,10), "mmmm yyyy")</f>
        <v>November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D56" s="1" t="str">
        <f>TEXT(EDATE(X_Cell_Site_StartDate,11), "mmmm yyyy")</f>
        <v>December 2024</v>
      </c>
      <c r="E56" s="64">
        <v>100</v>
      </c>
      <c r="F56" s="64">
        <v>100</v>
      </c>
      <c r="G56" s="64">
        <v>100</v>
      </c>
      <c r="H56" s="64">
        <v>100</v>
      </c>
      <c r="I56" s="64">
        <v>100</v>
      </c>
      <c r="J56" s="64">
        <v>100</v>
      </c>
      <c r="K56" s="64">
        <v>100</v>
      </c>
      <c r="L56" s="64">
        <v>100</v>
      </c>
      <c r="M56" s="64">
        <v>100</v>
      </c>
      <c r="N56" s="64">
        <v>100</v>
      </c>
      <c r="O56" s="2" t="s">
        <v>82</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7" t="s">
        <v>112</v>
      </c>
      <c r="P59" s="3"/>
      <c r="T59" s="7"/>
    </row>
    <row r="60" spans="4:20" ht="20.100000000000001" customHeight="1" x14ac:dyDescent="0.25">
      <c r="D60" s="61" t="s">
        <v>141</v>
      </c>
      <c r="E60" s="61" t="s">
        <v>104</v>
      </c>
      <c r="F60" s="61" t="s">
        <v>103</v>
      </c>
      <c r="G60" s="61" t="s">
        <v>127</v>
      </c>
      <c r="H60" s="61" t="s">
        <v>128</v>
      </c>
      <c r="I60" s="61" t="s">
        <v>129</v>
      </c>
      <c r="J60" s="61" t="s">
        <v>130</v>
      </c>
      <c r="K60" s="61" t="s">
        <v>131</v>
      </c>
      <c r="L60" s="61" t="s">
        <v>132</v>
      </c>
      <c r="M60" s="61" t="s">
        <v>133</v>
      </c>
      <c r="N60" s="61" t="s">
        <v>134</v>
      </c>
      <c r="P60" s="3"/>
      <c r="T60" s="7"/>
    </row>
    <row r="61" spans="4:20" ht="20.100000000000001" customHeight="1" x14ac:dyDescent="0.25">
      <c r="D61" s="1" t="s">
        <v>135</v>
      </c>
      <c r="E61" s="51">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1">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1">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1">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1">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1">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1">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1">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1">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1">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106</v>
      </c>
      <c r="P61" s="3"/>
      <c r="T61" s="7"/>
    </row>
    <row r="62" spans="4:20" ht="20.100000000000001" customHeight="1" x14ac:dyDescent="0.25">
      <c r="D62" s="1" t="s">
        <v>136</v>
      </c>
      <c r="E62" s="51">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1">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1">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1">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1">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1">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1">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1">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1">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1">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106</v>
      </c>
      <c r="P62" s="3"/>
      <c r="T62" s="7"/>
    </row>
    <row r="63" spans="4:20" ht="20.100000000000001" customHeight="1" x14ac:dyDescent="0.25">
      <c r="D63" s="1" t="s">
        <v>137</v>
      </c>
      <c r="E63" s="51">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1">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1">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1">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1">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1">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1">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1">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1">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1">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106</v>
      </c>
      <c r="P63" s="3"/>
      <c r="T63" s="7"/>
    </row>
    <row r="64" spans="4:20" ht="20.100000000000001" customHeight="1" x14ac:dyDescent="0.25">
      <c r="D64" s="1" t="s">
        <v>138</v>
      </c>
      <c r="E64" s="51">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1">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1">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1">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1">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1">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1">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1">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1">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1">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106</v>
      </c>
      <c r="P64" s="3"/>
      <c r="T64" s="7"/>
    </row>
    <row r="65" spans="4:20" ht="20.100000000000001" customHeight="1" x14ac:dyDescent="0.25">
      <c r="O65" s="2"/>
      <c r="P65" s="3"/>
      <c r="T65" s="7"/>
    </row>
    <row r="66" spans="4:20" ht="20.100000000000001" customHeight="1" x14ac:dyDescent="0.25">
      <c r="D66" s="61" t="s">
        <v>142</v>
      </c>
      <c r="E66" s="61" t="s">
        <v>104</v>
      </c>
      <c r="F66" s="61" t="s">
        <v>103</v>
      </c>
      <c r="G66" s="61" t="s">
        <v>127</v>
      </c>
      <c r="H66" s="61" t="s">
        <v>128</v>
      </c>
      <c r="I66" s="61" t="s">
        <v>129</v>
      </c>
      <c r="J66" s="61" t="s">
        <v>130</v>
      </c>
      <c r="K66" s="61" t="s">
        <v>131</v>
      </c>
      <c r="L66" s="61" t="s">
        <v>132</v>
      </c>
      <c r="M66" s="61" t="s">
        <v>133</v>
      </c>
      <c r="N66" s="61" t="s">
        <v>134</v>
      </c>
      <c r="O66" s="2"/>
      <c r="P66" s="3"/>
      <c r="T66" s="7"/>
    </row>
    <row r="67" spans="4:20" ht="20.100000000000001" customHeight="1" x14ac:dyDescent="0.25">
      <c r="D67" s="1" t="str">
        <f>TEXT(X_Cell_Site_StartDate, "mmmm yyyy")</f>
        <v>January 2024</v>
      </c>
      <c r="E67" s="64">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TEXT(EDATE(X_Cell_Site_StartDate,1), "mmmm yyyy")</f>
        <v>February 2024</v>
      </c>
      <c r="E68" s="64">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4">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4">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4">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4">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4">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4">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4">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4">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4">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106</v>
      </c>
      <c r="P68" s="3"/>
      <c r="T68" s="7"/>
    </row>
    <row r="69" spans="4:20" ht="20.100000000000001" customHeight="1" x14ac:dyDescent="0.25">
      <c r="D69" s="1" t="str">
        <f>TEXT(EDATE(X_Cell_Site_StartDate,2), "mmmm yyyy")</f>
        <v>March 2024</v>
      </c>
      <c r="E69" s="64">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TEXT(EDATE(X_Cell_Site_StartDate,3), "mmmm yyyy")</f>
        <v>April 2024</v>
      </c>
      <c r="E70" s="64">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TEXT(EDATE(X_Cell_Site_StartDate,4), "mmmm yyyy")</f>
        <v>May 2024</v>
      </c>
      <c r="E71" s="64">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4">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4">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4">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4">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4">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4">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4">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4">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4">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106</v>
      </c>
      <c r="P71" s="3"/>
      <c r="T71" s="7"/>
    </row>
    <row r="72" spans="4:20" ht="20.100000000000001" customHeight="1" x14ac:dyDescent="0.25">
      <c r="D72" s="1" t="str">
        <f>TEXT(EDATE(X_Cell_Site_StartDate,5), "mmmm yyyy")</f>
        <v>June 2024</v>
      </c>
      <c r="E72" s="64">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TEXT(EDATE(X_Cell_Site_StartDate,6), "mmmm yyyy")</f>
        <v>July 2024</v>
      </c>
      <c r="E73" s="64">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TEXT(EDATE(X_Cell_Site_StartDate,7), "mmmm yyyy")</f>
        <v>August 2024</v>
      </c>
      <c r="E74" s="64">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4">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4">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4">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4">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4">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4">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4">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4">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4">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106</v>
      </c>
      <c r="T74" s="7"/>
    </row>
    <row r="75" spans="4:20" ht="20.100000000000001" customHeight="1" x14ac:dyDescent="0.25">
      <c r="D75" s="1" t="str">
        <f>TEXT(EDATE(X_Cell_Site_StartDate,8), "mmmm yyyy")</f>
        <v>September 2024</v>
      </c>
      <c r="E75" s="64">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TEXT(EDATE(X_Cell_Site_StartDate,9), "mmmm yyyy")</f>
        <v>October 2024</v>
      </c>
      <c r="E76" s="64">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TEXT(EDATE(X_Cell_Site_StartDate,10), "mmmm yyyy")</f>
        <v>November 2024</v>
      </c>
      <c r="E77" s="64">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4">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4">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4">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4">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4">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4">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4">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4">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4">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106</v>
      </c>
      <c r="T77" s="7"/>
    </row>
    <row r="78" spans="4:20" ht="20.100000000000001" customHeight="1" x14ac:dyDescent="0.25">
      <c r="D78" s="1" t="str">
        <f>TEXT(EDATE(X_Cell_Site_StartDate,11), "mmmm yyyy")</f>
        <v>December 2024</v>
      </c>
      <c r="E78" s="64">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4">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4">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4">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4">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4">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4">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4">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4">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4">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106</v>
      </c>
      <c r="T78" s="7"/>
    </row>
    <row r="79" spans="4:20" ht="20.100000000000001" customHeight="1" x14ac:dyDescent="0.25">
      <c r="T79" s="7"/>
    </row>
    <row r="80" spans="4:20" ht="20.100000000000001" customHeight="1" x14ac:dyDescent="0.25">
      <c r="T80" s="7"/>
    </row>
    <row r="81" spans="4:20" ht="20.100000000000001" customHeight="1" x14ac:dyDescent="0.25">
      <c r="D81" s="47" t="s">
        <v>139</v>
      </c>
      <c r="T81" s="7"/>
    </row>
    <row r="82" spans="4:20" ht="20.100000000000001" customHeight="1" x14ac:dyDescent="0.25">
      <c r="D82" s="61" t="s">
        <v>141</v>
      </c>
      <c r="E82" s="61" t="s">
        <v>104</v>
      </c>
      <c r="F82" s="61" t="s">
        <v>103</v>
      </c>
      <c r="G82" s="61" t="s">
        <v>127</v>
      </c>
      <c r="H82" s="61" t="s">
        <v>128</v>
      </c>
      <c r="I82" s="61" t="s">
        <v>129</v>
      </c>
      <c r="J82" s="61" t="s">
        <v>130</v>
      </c>
      <c r="K82" s="61" t="s">
        <v>131</v>
      </c>
      <c r="L82" s="61" t="s">
        <v>132</v>
      </c>
      <c r="M82" s="61" t="s">
        <v>133</v>
      </c>
      <c r="N82" s="61" t="s">
        <v>134</v>
      </c>
      <c r="T82" s="7"/>
    </row>
    <row r="83" spans="4:20" ht="20.100000000000001" customHeight="1" x14ac:dyDescent="0.25">
      <c r="D83" s="1" t="s">
        <v>135</v>
      </c>
      <c r="E83" s="51">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1">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1">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1">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1">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1">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1">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1">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1">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1">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107</v>
      </c>
      <c r="T83" s="7"/>
    </row>
    <row r="84" spans="4:20" ht="20.100000000000001" customHeight="1" x14ac:dyDescent="0.25">
      <c r="D84" s="1" t="s">
        <v>136</v>
      </c>
      <c r="E84" s="51">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1">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1">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1">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1">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1">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1">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1">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1">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1">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107</v>
      </c>
      <c r="T84" s="7"/>
    </row>
    <row r="85" spans="4:20" ht="20.100000000000001" customHeight="1" x14ac:dyDescent="0.25">
      <c r="D85" s="1" t="s">
        <v>137</v>
      </c>
      <c r="E85" s="51">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1">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1">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1">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1">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1">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1">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1">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1">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1">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107</v>
      </c>
      <c r="T85" s="7"/>
    </row>
    <row r="86" spans="4:20" ht="20.100000000000001" customHeight="1" x14ac:dyDescent="0.25">
      <c r="D86" s="1" t="s">
        <v>138</v>
      </c>
      <c r="E86" s="51">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1">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1">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1">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1">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1">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1">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1">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1">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1">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107</v>
      </c>
      <c r="T86" s="7"/>
    </row>
    <row r="87" spans="4:20" ht="20.100000000000001" customHeight="1" x14ac:dyDescent="0.25">
      <c r="O87" s="2"/>
      <c r="T87" s="7"/>
    </row>
    <row r="88" spans="4:20" ht="20.100000000000001" customHeight="1" x14ac:dyDescent="0.25">
      <c r="D88" s="61" t="s">
        <v>142</v>
      </c>
      <c r="E88" s="61" t="s">
        <v>104</v>
      </c>
      <c r="F88" s="61" t="s">
        <v>103</v>
      </c>
      <c r="G88" s="61" t="s">
        <v>127</v>
      </c>
      <c r="H88" s="61" t="s">
        <v>128</v>
      </c>
      <c r="I88" s="61" t="s">
        <v>129</v>
      </c>
      <c r="J88" s="61" t="s">
        <v>130</v>
      </c>
      <c r="K88" s="61" t="s">
        <v>131</v>
      </c>
      <c r="L88" s="61" t="s">
        <v>132</v>
      </c>
      <c r="M88" s="61" t="s">
        <v>133</v>
      </c>
      <c r="N88" s="61" t="s">
        <v>134</v>
      </c>
      <c r="O88" s="2"/>
      <c r="T88" s="7"/>
    </row>
    <row r="89" spans="4:20" ht="20.100000000000001" customHeight="1" x14ac:dyDescent="0.25">
      <c r="D89" s="1" t="str">
        <f>TEXT(X_Cell_Site_StartDate, "mmmm yyyy")</f>
        <v>January 2024</v>
      </c>
      <c r="E89" s="64">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TEXT(EDATE(X_Cell_Site_StartDate,1), "mmmm yyyy")</f>
        <v>February 2024</v>
      </c>
      <c r="E90" s="64">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4">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4">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4">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4">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4">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4">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4">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4">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4">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107</v>
      </c>
      <c r="T90" s="7"/>
    </row>
    <row r="91" spans="4:20" ht="20.100000000000001" customHeight="1" x14ac:dyDescent="0.25">
      <c r="D91" s="1" t="str">
        <f>TEXT(EDATE(X_Cell_Site_StartDate,2), "mmmm yyyy")</f>
        <v>March 2024</v>
      </c>
      <c r="E91" s="64">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TEXT(EDATE(X_Cell_Site_StartDate,3), "mmmm yyyy")</f>
        <v>April 2024</v>
      </c>
      <c r="E92" s="64">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TEXT(EDATE(X_Cell_Site_StartDate,4), "mmmm yyyy")</f>
        <v>May 2024</v>
      </c>
      <c r="E93" s="64">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4">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4">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4">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4">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4">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4">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4">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4">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4">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107</v>
      </c>
      <c r="T93" s="7"/>
    </row>
    <row r="94" spans="4:20" ht="20.100000000000001" customHeight="1" x14ac:dyDescent="0.25">
      <c r="D94" s="1" t="str">
        <f>TEXT(EDATE(X_Cell_Site_StartDate,5), "mmmm yyyy")</f>
        <v>June 2024</v>
      </c>
      <c r="E94" s="64">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TEXT(EDATE(X_Cell_Site_StartDate,6), "mmmm yyyy")</f>
        <v>July 2024</v>
      </c>
      <c r="E95" s="64">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TEXT(EDATE(X_Cell_Site_StartDate,7), "mmmm yyyy")</f>
        <v>August 2024</v>
      </c>
      <c r="E96" s="64">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4">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4">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4">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4">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4">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4">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4">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4">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4">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107</v>
      </c>
      <c r="T96" s="7"/>
    </row>
    <row r="97" spans="4:20" ht="20.100000000000001" customHeight="1" x14ac:dyDescent="0.25">
      <c r="D97" s="1" t="str">
        <f>TEXT(EDATE(X_Cell_Site_StartDate,8), "mmmm yyyy")</f>
        <v>September 2024</v>
      </c>
      <c r="E97" s="64">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TEXT(EDATE(X_Cell_Site_StartDate,9), "mmmm yyyy")</f>
        <v>October 2024</v>
      </c>
      <c r="E98" s="64">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TEXT(EDATE(X_Cell_Site_StartDate,10), "mmmm yyyy")</f>
        <v>November 2024</v>
      </c>
      <c r="E99" s="64">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4">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4">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4">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4">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4">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4">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4">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4">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4">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107</v>
      </c>
      <c r="T99" s="7"/>
    </row>
    <row r="100" spans="4:20" ht="20.100000000000001" customHeight="1" x14ac:dyDescent="0.25">
      <c r="D100" s="1" t="str">
        <f>TEXT(EDATE(X_Cell_Site_StartDate,11), "mmmm yyyy")</f>
        <v>December 2024</v>
      </c>
      <c r="E100" s="64">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4">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4">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4">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4">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4">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4">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4">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4">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4">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107</v>
      </c>
      <c r="T100" s="7"/>
    </row>
    <row r="101" spans="4:20" ht="20.100000000000001" customHeight="1" x14ac:dyDescent="0.25">
      <c r="T101" s="7"/>
    </row>
    <row r="102" spans="4:20" ht="20.100000000000001" customHeight="1" x14ac:dyDescent="0.25">
      <c r="T102" s="7"/>
    </row>
    <row r="103" spans="4:20" ht="20.100000000000001" customHeight="1" x14ac:dyDescent="0.25">
      <c r="D103" s="47" t="s">
        <v>191</v>
      </c>
      <c r="K103" s="2"/>
      <c r="L103" s="2"/>
      <c r="M103" s="2"/>
      <c r="N103" s="2"/>
      <c r="O103" s="2"/>
      <c r="T103" s="7"/>
    </row>
    <row r="104" spans="4:20" ht="20.100000000000001" customHeight="1" x14ac:dyDescent="0.25">
      <c r="D104" s="61" t="s">
        <v>108</v>
      </c>
      <c r="E104" s="61"/>
      <c r="F104" s="61"/>
      <c r="G104" s="61"/>
      <c r="T104" s="7"/>
    </row>
    <row r="105" spans="4:20" ht="20.100000000000001" customHeight="1" x14ac:dyDescent="0.25">
      <c r="D105" s="1" t="s">
        <v>208</v>
      </c>
      <c r="E105" s="38" t="s">
        <v>138</v>
      </c>
      <c r="F105" s="2" t="s">
        <v>8</v>
      </c>
      <c r="T105" s="7"/>
    </row>
    <row r="106" spans="4:20" ht="20.100000000000001" customHeight="1" x14ac:dyDescent="0.25">
      <c r="T106" s="7"/>
    </row>
    <row r="107" spans="4:20" ht="20.100000000000001" customHeight="1" x14ac:dyDescent="0.25"/>
    <row r="108" spans="4:20" ht="20.100000000000001" customHeight="1" x14ac:dyDescent="0.25">
      <c r="K108" s="1" t="s">
        <v>297</v>
      </c>
    </row>
    <row r="109" spans="4:20" ht="20.100000000000001" customHeight="1" x14ac:dyDescent="0.25"/>
    <row r="110" spans="4:20" ht="20.100000000000001" customHeight="1" x14ac:dyDescent="0.25">
      <c r="E110" s="61" t="s">
        <v>298</v>
      </c>
      <c r="F110" s="61" t="s">
        <v>128</v>
      </c>
      <c r="G110" s="61" t="s">
        <v>129</v>
      </c>
      <c r="H110" s="61" t="s">
        <v>130</v>
      </c>
      <c r="L110" s="1" t="s">
        <v>127</v>
      </c>
      <c r="M110" s="1" t="s">
        <v>131</v>
      </c>
      <c r="N110" s="2"/>
      <c r="O110" s="2"/>
    </row>
    <row r="111" spans="4:20" ht="20.100000000000001" customHeight="1" x14ac:dyDescent="0.25">
      <c r="D111" s="1" t="str">
        <f>"Proportion of cows &gt; 1 years in calf in " &amp; E105</f>
        <v>Proportion of cows &gt; 1 years in calf in Winter</v>
      </c>
      <c r="E111" s="38" t="s">
        <v>299</v>
      </c>
      <c r="F111" s="45">
        <v>0.7</v>
      </c>
      <c r="G111" s="45">
        <v>0.5</v>
      </c>
      <c r="H111" s="45">
        <v>0.5</v>
      </c>
      <c r="I111" s="2" t="s">
        <v>14</v>
      </c>
      <c r="L111" s="51">
        <f>MAX(0, G42-G41)</f>
        <v>0</v>
      </c>
      <c r="M111" s="51">
        <f>MAX(0,K42-K41)</f>
        <v>0</v>
      </c>
      <c r="N111" s="2"/>
      <c r="O111" s="2"/>
    </row>
    <row r="112" spans="4:20" ht="20.100000000000001" customHeight="1" x14ac:dyDescent="0.25">
      <c r="D112" s="1" t="s">
        <v>135</v>
      </c>
      <c r="E112" s="38" t="s">
        <v>299</v>
      </c>
      <c r="F112" s="45">
        <v>0.1</v>
      </c>
      <c r="G112" s="45">
        <v>0.4</v>
      </c>
      <c r="H112" s="45">
        <v>0.4</v>
      </c>
      <c r="I112" s="2" t="s">
        <v>14</v>
      </c>
      <c r="L112" s="51">
        <f>MAX(0, G39-G42)</f>
        <v>0</v>
      </c>
      <c r="M112" s="51">
        <f>MAX(0,K39-K42)</f>
        <v>0</v>
      </c>
    </row>
    <row r="113" spans="4:15" ht="20.100000000000001" customHeight="1" x14ac:dyDescent="0.25">
      <c r="D113" s="1" t="s">
        <v>136</v>
      </c>
      <c r="E113" s="38" t="s">
        <v>299</v>
      </c>
      <c r="F113" s="45">
        <v>0.1</v>
      </c>
      <c r="G113" s="45">
        <v>0</v>
      </c>
      <c r="H113" s="45">
        <v>0</v>
      </c>
      <c r="I113" s="2" t="s">
        <v>14</v>
      </c>
      <c r="L113" s="51">
        <f>MAX(0, G40-G39)</f>
        <v>0</v>
      </c>
      <c r="M113" s="51">
        <f>MAX(0,K40-K39)</f>
        <v>0</v>
      </c>
    </row>
    <row r="114" spans="4:15" ht="20.100000000000001" customHeight="1" x14ac:dyDescent="0.25">
      <c r="D114" s="1" t="s">
        <v>137</v>
      </c>
      <c r="E114" s="38" t="s">
        <v>111</v>
      </c>
      <c r="F114" s="45">
        <v>0</v>
      </c>
      <c r="G114" s="45">
        <v>0</v>
      </c>
      <c r="H114" s="45">
        <v>0</v>
      </c>
      <c r="I114" s="2" t="s">
        <v>14</v>
      </c>
      <c r="L114" s="51">
        <f>MAX(0,G41-G40)</f>
        <v>0</v>
      </c>
      <c r="M114" s="51">
        <f>MAX(0,K41-K40)</f>
        <v>0</v>
      </c>
    </row>
    <row r="115" spans="4:15" ht="20.100000000000001" customHeight="1" x14ac:dyDescent="0.25">
      <c r="J115" s="1" t="s">
        <v>300</v>
      </c>
    </row>
    <row r="116" spans="4:15" ht="20.100000000000001" customHeight="1" x14ac:dyDescent="0.25"/>
    <row r="117" spans="4:15" ht="20.100000000000001" customHeight="1" x14ac:dyDescent="0.25"/>
    <row r="118" spans="4:15" ht="20.100000000000001" customHeight="1" x14ac:dyDescent="0.25">
      <c r="D118" s="61" t="s">
        <v>109</v>
      </c>
      <c r="E118" s="61"/>
      <c r="F118" s="61"/>
      <c r="G118" s="61"/>
      <c r="L118" s="123" t="s">
        <v>301</v>
      </c>
    </row>
    <row r="119" spans="4:15" ht="20.100000000000001" customHeight="1" x14ac:dyDescent="0.25">
      <c r="D119" s="1" t="s">
        <v>255</v>
      </c>
      <c r="E119" s="38" t="s">
        <v>253</v>
      </c>
      <c r="F119" s="2" t="s">
        <v>8</v>
      </c>
      <c r="J119" s="52" t="s">
        <v>104</v>
      </c>
    </row>
    <row r="120" spans="4:15" ht="20.100000000000001" customHeight="1" x14ac:dyDescent="0.25">
      <c r="D120" s="1" t="s">
        <v>251</v>
      </c>
      <c r="E120" s="51" t="str">
        <f>TEXT(EDATE(E119,1), "mmmm yyyy")</f>
        <v>September 2024</v>
      </c>
      <c r="J120" s="1" t="s">
        <v>82</v>
      </c>
      <c r="K120" s="1" t="s">
        <v>302</v>
      </c>
      <c r="L120" s="1" t="s">
        <v>300</v>
      </c>
      <c r="M120" s="1" t="s">
        <v>303</v>
      </c>
      <c r="N120" s="1" t="s">
        <v>304</v>
      </c>
      <c r="O120" s="1" t="s">
        <v>305</v>
      </c>
    </row>
    <row r="121" spans="4:15" ht="20.100000000000001" customHeight="1" x14ac:dyDescent="0.25">
      <c r="D121" s="1" t="s">
        <v>252</v>
      </c>
      <c r="E121" s="51" t="str">
        <f>TEXT(EDATE(E119,2), "mmmm yyyy")</f>
        <v>October 2024</v>
      </c>
      <c r="J121" s="51">
        <f>E39</f>
        <v>100</v>
      </c>
      <c r="K121" s="51">
        <f>MAX(0, E39-E42)</f>
        <v>0</v>
      </c>
      <c r="L121" s="1">
        <f>K121/J121</f>
        <v>0</v>
      </c>
      <c r="M121" s="1">
        <f>K124/J121</f>
        <v>0</v>
      </c>
      <c r="N121" s="2">
        <f>1-(L121+M121)</f>
        <v>1</v>
      </c>
      <c r="O121" s="52">
        <f>(L121*6)+(M121*4)+(N121*0)</f>
        <v>0</v>
      </c>
    </row>
    <row r="122" spans="4:15" ht="20.100000000000001" customHeight="1" x14ac:dyDescent="0.25">
      <c r="J122" s="51">
        <f>E40</f>
        <v>100</v>
      </c>
      <c r="K122" s="51">
        <f>MAX(0, E40-E39)</f>
        <v>0</v>
      </c>
      <c r="L122" s="1">
        <f>K122/J122</f>
        <v>0</v>
      </c>
      <c r="M122" s="1">
        <f>K121/J122</f>
        <v>0</v>
      </c>
      <c r="N122" s="2">
        <f>1-(L122+M122)</f>
        <v>1</v>
      </c>
      <c r="O122" s="52">
        <f t="shared" ref="O122:O124" si="1">(L122*6)+(M122*4)+(N122*0)</f>
        <v>0</v>
      </c>
    </row>
    <row r="123" spans="4:15" ht="20.100000000000001" customHeight="1" x14ac:dyDescent="0.25">
      <c r="J123" s="51">
        <f>E41</f>
        <v>100</v>
      </c>
      <c r="K123" s="51">
        <f>MAX(0,E41-E40)</f>
        <v>0</v>
      </c>
      <c r="L123" s="1">
        <f>K123/J123</f>
        <v>0</v>
      </c>
      <c r="M123" s="1">
        <f>K122/J123</f>
        <v>0</v>
      </c>
      <c r="N123" s="2">
        <f>1-(L123+M123)</f>
        <v>1</v>
      </c>
      <c r="O123" s="52">
        <f t="shared" si="1"/>
        <v>0</v>
      </c>
    </row>
    <row r="124" spans="4:15" ht="20.100000000000001" customHeight="1" x14ac:dyDescent="0.25">
      <c r="E124" s="61" t="s">
        <v>128</v>
      </c>
      <c r="F124" s="61" t="s">
        <v>129</v>
      </c>
      <c r="G124" s="61" t="s">
        <v>130</v>
      </c>
      <c r="J124" s="51">
        <f>E42</f>
        <v>100</v>
      </c>
      <c r="K124" s="51">
        <f>MAX(0, E42-E41)</f>
        <v>0</v>
      </c>
      <c r="L124" s="1">
        <f>K124/J124</f>
        <v>0</v>
      </c>
      <c r="M124" s="2">
        <f>K123/J124</f>
        <v>0</v>
      </c>
      <c r="N124" s="2">
        <f>1-(L124+M124)</f>
        <v>1</v>
      </c>
      <c r="O124" s="52">
        <f t="shared" si="1"/>
        <v>0</v>
      </c>
    </row>
    <row r="125" spans="4:15" ht="20.100000000000001" customHeight="1" x14ac:dyDescent="0.25">
      <c r="D125" s="1" t="str">
        <f>E119</f>
        <v>August 2024</v>
      </c>
      <c r="E125" s="45">
        <v>0.25</v>
      </c>
      <c r="F125" s="45">
        <v>0.25</v>
      </c>
      <c r="G125" s="45">
        <v>0.25</v>
      </c>
      <c r="H125" s="2" t="s">
        <v>14</v>
      </c>
      <c r="L125" s="2"/>
      <c r="M125" s="2"/>
      <c r="N125" s="2"/>
      <c r="O125" s="2"/>
    </row>
    <row r="126" spans="4:15" ht="20.100000000000001" customHeight="1" x14ac:dyDescent="0.25">
      <c r="D126" s="1" t="str">
        <f>E120</f>
        <v>September 2024</v>
      </c>
      <c r="E126" s="45">
        <v>0.25</v>
      </c>
      <c r="F126" s="45">
        <v>0.25</v>
      </c>
      <c r="G126" s="45">
        <v>0.25</v>
      </c>
      <c r="H126" s="2" t="s">
        <v>14</v>
      </c>
    </row>
    <row r="127" spans="4:15" ht="20.100000000000001" customHeight="1" x14ac:dyDescent="0.25">
      <c r="D127" s="1" t="str">
        <f>E121</f>
        <v>October 2024</v>
      </c>
      <c r="E127" s="45">
        <v>0.25</v>
      </c>
      <c r="F127" s="45">
        <v>0.25</v>
      </c>
      <c r="G127" s="45">
        <v>0.25</v>
      </c>
      <c r="H127" s="2" t="s">
        <v>14</v>
      </c>
    </row>
    <row r="128" spans="4:15" ht="20.100000000000001" customHeight="1" x14ac:dyDescent="0.25">
      <c r="D128" s="1" t="str">
        <f>"Proportion of cows &gt; 1 years in calf in " &amp; D125 &amp; " to " &amp; D127</f>
        <v>Proportion of cows &gt; 1 years in calf in August 2024 to October 2024</v>
      </c>
      <c r="E128" s="94">
        <f>SUM(E125:E127)</f>
        <v>0.75</v>
      </c>
      <c r="F128" s="94">
        <f>SUM(F125:F127)</f>
        <v>0.75</v>
      </c>
      <c r="G128" s="94">
        <f>SUM(G125:G127)</f>
        <v>0.75</v>
      </c>
      <c r="H128" s="2" t="s">
        <v>14</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7" t="s">
        <v>13</v>
      </c>
      <c r="K131" s="2"/>
      <c r="L131" s="2"/>
      <c r="M131" s="2"/>
      <c r="N131" s="2"/>
      <c r="O131" s="2"/>
    </row>
    <row r="132" spans="4:15" ht="20.100000000000001" customHeight="1" x14ac:dyDescent="0.25">
      <c r="D132" s="61" t="s">
        <v>141</v>
      </c>
      <c r="E132" s="61" t="s">
        <v>104</v>
      </c>
      <c r="F132" s="61" t="s">
        <v>103</v>
      </c>
      <c r="G132" s="61" t="s">
        <v>127</v>
      </c>
      <c r="H132" s="61" t="s">
        <v>128</v>
      </c>
      <c r="I132" s="61" t="s">
        <v>129</v>
      </c>
      <c r="J132" s="61" t="s">
        <v>130</v>
      </c>
      <c r="K132" s="61" t="s">
        <v>131</v>
      </c>
      <c r="L132" s="61" t="s">
        <v>132</v>
      </c>
      <c r="M132" s="61" t="s">
        <v>133</v>
      </c>
      <c r="N132" s="61" t="s">
        <v>134</v>
      </c>
    </row>
    <row r="133" spans="4:15" ht="20.100000000000001" customHeight="1" x14ac:dyDescent="0.25">
      <c r="D133" s="1" t="s">
        <v>135</v>
      </c>
      <c r="E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113</v>
      </c>
    </row>
    <row r="134" spans="4:15" ht="20.100000000000001" customHeight="1" x14ac:dyDescent="0.25">
      <c r="D134" s="1" t="s">
        <v>136</v>
      </c>
      <c r="E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113</v>
      </c>
    </row>
    <row r="135" spans="4:15" ht="20.100000000000001" customHeight="1" x14ac:dyDescent="0.25">
      <c r="D135" s="1" t="s">
        <v>137</v>
      </c>
      <c r="E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113</v>
      </c>
    </row>
    <row r="136" spans="4:15" ht="20.100000000000001" customHeight="1" x14ac:dyDescent="0.25">
      <c r="D136" s="1" t="s">
        <v>138</v>
      </c>
      <c r="E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113</v>
      </c>
    </row>
    <row r="137" spans="4:15" ht="20.100000000000001" customHeight="1" x14ac:dyDescent="0.25"/>
    <row r="138" spans="4:15" ht="20.100000000000001" customHeight="1" x14ac:dyDescent="0.25">
      <c r="D138" s="61" t="s">
        <v>142</v>
      </c>
      <c r="E138" s="61" t="s">
        <v>104</v>
      </c>
      <c r="F138" s="61" t="s">
        <v>103</v>
      </c>
      <c r="G138" s="61" t="s">
        <v>127</v>
      </c>
      <c r="H138" s="61" t="s">
        <v>128</v>
      </c>
      <c r="I138" s="61" t="s">
        <v>129</v>
      </c>
      <c r="J138" s="61" t="s">
        <v>130</v>
      </c>
      <c r="K138" s="61" t="s">
        <v>131</v>
      </c>
      <c r="L138" s="61" t="s">
        <v>132</v>
      </c>
      <c r="M138" s="61" t="s">
        <v>133</v>
      </c>
      <c r="N138" s="61" t="s">
        <v>134</v>
      </c>
    </row>
    <row r="139" spans="4:15" ht="20.100000000000001" customHeight="1" x14ac:dyDescent="0.25">
      <c r="D139" s="1" t="str">
        <f>TEXT(X_Cell_Site_StartDate, "mmmm yyyy")</f>
        <v>January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113</v>
      </c>
    </row>
    <row r="140" spans="4:15" ht="20.100000000000001" customHeight="1" x14ac:dyDescent="0.25">
      <c r="D140" s="1" t="str">
        <f>TEXT(EDATE(X_Cell_Site_StartDate,1), "mmmm yyyy")</f>
        <v>February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113</v>
      </c>
    </row>
    <row r="141" spans="4:15" ht="20.100000000000001" customHeight="1" x14ac:dyDescent="0.25">
      <c r="D141" s="1" t="str">
        <f>TEXT(EDATE(X_Cell_Site_StartDate,2), "mmmm yyyy")</f>
        <v>March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113</v>
      </c>
    </row>
    <row r="142" spans="4:15" ht="20.100000000000001" customHeight="1" x14ac:dyDescent="0.25">
      <c r="D142" s="1" t="str">
        <f>TEXT(EDATE(X_Cell_Site_StartDate,3), "mmmm yyyy")</f>
        <v>April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113</v>
      </c>
    </row>
    <row r="143" spans="4:15" ht="20.100000000000001" customHeight="1" x14ac:dyDescent="0.25">
      <c r="D143" s="1" t="str">
        <f>TEXT(EDATE(X_Cell_Site_StartDate,4), "mmmm yyyy")</f>
        <v>May 2024</v>
      </c>
      <c r="E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113</v>
      </c>
    </row>
    <row r="144" spans="4:15" ht="20.100000000000001" customHeight="1" x14ac:dyDescent="0.25">
      <c r="D144" s="1" t="str">
        <f>TEXT(EDATE(X_Cell_Site_StartDate,5), "mmmm yyyy")</f>
        <v>June 2024</v>
      </c>
      <c r="E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113</v>
      </c>
    </row>
    <row r="145" spans="4:15" ht="20.100000000000001" customHeight="1" x14ac:dyDescent="0.25">
      <c r="D145" s="1" t="str">
        <f>TEXT(EDATE(X_Cell_Site_StartDate,6), "mmmm yyyy")</f>
        <v>July 2024</v>
      </c>
      <c r="E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113</v>
      </c>
    </row>
    <row r="146" spans="4:15" ht="20.100000000000001" customHeight="1" x14ac:dyDescent="0.25">
      <c r="D146" s="1" t="str">
        <f>TEXT(EDATE(X_Cell_Site_StartDate,7), "mmmm yyyy")</f>
        <v>August 2024</v>
      </c>
      <c r="E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113</v>
      </c>
    </row>
    <row r="147" spans="4:15" ht="20.100000000000001" customHeight="1" x14ac:dyDescent="0.25">
      <c r="D147" s="1" t="str">
        <f>TEXT(EDATE(X_Cell_Site_StartDate,8), "mmmm yyyy")</f>
        <v>September 2024</v>
      </c>
      <c r="E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113</v>
      </c>
    </row>
    <row r="148" spans="4:15" ht="20.100000000000001" customHeight="1" x14ac:dyDescent="0.25">
      <c r="D148" s="1" t="str">
        <f>TEXT(EDATE(X_Cell_Site_StartDate,9), "mmmm yyyy")</f>
        <v>October 2024</v>
      </c>
      <c r="E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113</v>
      </c>
    </row>
    <row r="149" spans="4:15" ht="20.100000000000001" customHeight="1" x14ac:dyDescent="0.25">
      <c r="D149" s="1" t="str">
        <f>TEXT(EDATE(X_Cell_Site_StartDate,10), "mmmm yyyy")</f>
        <v>November 2024</v>
      </c>
      <c r="E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113</v>
      </c>
    </row>
    <row r="150" spans="4:15" ht="20.100000000000001" customHeight="1" x14ac:dyDescent="0.25">
      <c r="D150" s="1" t="str">
        <f>TEXT(EDATE(X_Cell_Site_StartDate,11), "mmmm yyyy")</f>
        <v>December 2024</v>
      </c>
      <c r="E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113</v>
      </c>
    </row>
    <row r="151" spans="4:15" ht="20.100000000000001" customHeight="1" x14ac:dyDescent="0.25"/>
    <row r="152" spans="4:15" ht="20.100000000000001" customHeight="1" x14ac:dyDescent="0.25"/>
    <row r="153" spans="4:15" ht="20.100000000000001" customHeight="1" x14ac:dyDescent="0.25">
      <c r="D153" s="47" t="s">
        <v>84</v>
      </c>
      <c r="K153" s="2"/>
      <c r="L153" s="2"/>
      <c r="M153" s="2"/>
      <c r="N153" s="2"/>
      <c r="O153" s="2"/>
    </row>
    <row r="154" spans="4:15" ht="20.100000000000001" customHeight="1" x14ac:dyDescent="0.25">
      <c r="D154" s="61" t="s">
        <v>141</v>
      </c>
      <c r="E154" s="61" t="s">
        <v>104</v>
      </c>
      <c r="F154" s="61" t="s">
        <v>103</v>
      </c>
      <c r="G154" s="61" t="s">
        <v>127</v>
      </c>
      <c r="H154" s="61" t="s">
        <v>128</v>
      </c>
      <c r="I154" s="61" t="s">
        <v>129</v>
      </c>
      <c r="J154" s="61" t="s">
        <v>130</v>
      </c>
      <c r="K154" s="61" t="s">
        <v>131</v>
      </c>
      <c r="L154" s="61" t="s">
        <v>132</v>
      </c>
      <c r="M154" s="61" t="s">
        <v>133</v>
      </c>
      <c r="N154" s="61" t="s">
        <v>134</v>
      </c>
    </row>
    <row r="155" spans="4:15" ht="20.100000000000001" customHeight="1" x14ac:dyDescent="0.25">
      <c r="D155" s="1" t="s">
        <v>135</v>
      </c>
      <c r="E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113</v>
      </c>
    </row>
    <row r="156" spans="4:15" ht="20.100000000000001" customHeight="1" x14ac:dyDescent="0.25">
      <c r="D156" s="1" t="s">
        <v>136</v>
      </c>
      <c r="E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113</v>
      </c>
    </row>
    <row r="157" spans="4:15" ht="20.100000000000001" customHeight="1" x14ac:dyDescent="0.25">
      <c r="D157" s="1" t="s">
        <v>137</v>
      </c>
      <c r="E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113</v>
      </c>
    </row>
    <row r="158" spans="4:15" ht="20.100000000000001" customHeight="1" x14ac:dyDescent="0.25">
      <c r="D158" s="1" t="s">
        <v>138</v>
      </c>
      <c r="E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113</v>
      </c>
    </row>
    <row r="159" spans="4:15" ht="20.100000000000001" customHeight="1" x14ac:dyDescent="0.25"/>
    <row r="160" spans="4:15" ht="20.100000000000001" customHeight="1" x14ac:dyDescent="0.25">
      <c r="D160" s="61" t="s">
        <v>142</v>
      </c>
      <c r="E160" s="61" t="s">
        <v>104</v>
      </c>
      <c r="F160" s="61" t="s">
        <v>103</v>
      </c>
      <c r="G160" s="61" t="s">
        <v>127</v>
      </c>
      <c r="H160" s="61" t="s">
        <v>128</v>
      </c>
      <c r="I160" s="61" t="s">
        <v>129</v>
      </c>
      <c r="J160" s="61" t="s">
        <v>130</v>
      </c>
      <c r="K160" s="61" t="s">
        <v>131</v>
      </c>
      <c r="L160" s="61" t="s">
        <v>132</v>
      </c>
      <c r="M160" s="61" t="s">
        <v>133</v>
      </c>
      <c r="N160" s="61" t="s">
        <v>134</v>
      </c>
    </row>
    <row r="161" spans="4:15" ht="20.100000000000001" customHeight="1" x14ac:dyDescent="0.25">
      <c r="D161" s="1" t="str">
        <f>TEXT(X_Cell_Site_StartDate, "mmmm yyyy")</f>
        <v>January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113</v>
      </c>
    </row>
    <row r="162" spans="4:15" ht="20.100000000000001" customHeight="1" x14ac:dyDescent="0.25">
      <c r="D162" s="1" t="str">
        <f>TEXT(EDATE(X_Cell_Site_StartDate,1), "mmmm yyyy")</f>
        <v>February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113</v>
      </c>
    </row>
    <row r="163" spans="4:15" ht="20.100000000000001" customHeight="1" x14ac:dyDescent="0.25">
      <c r="D163" s="1" t="str">
        <f>TEXT(EDATE(X_Cell_Site_StartDate,2), "mmmm yyyy")</f>
        <v>March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113</v>
      </c>
    </row>
    <row r="164" spans="4:15" ht="20.100000000000001" customHeight="1" x14ac:dyDescent="0.25">
      <c r="D164" s="1" t="str">
        <f>TEXT(EDATE(X_Cell_Site_StartDate,3), "mmmm yyyy")</f>
        <v>April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113</v>
      </c>
    </row>
    <row r="165" spans="4:15" ht="20.100000000000001" customHeight="1" x14ac:dyDescent="0.25">
      <c r="D165" s="1" t="str">
        <f>TEXT(EDATE(X_Cell_Site_StartDate,4), "mmmm yyyy")</f>
        <v>May 2024</v>
      </c>
      <c r="E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113</v>
      </c>
    </row>
    <row r="166" spans="4:15" ht="20.100000000000001" customHeight="1" x14ac:dyDescent="0.25">
      <c r="D166" s="1" t="str">
        <f>TEXT(EDATE(X_Cell_Site_StartDate,5), "mmmm yyyy")</f>
        <v>June 2024</v>
      </c>
      <c r="E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113</v>
      </c>
    </row>
    <row r="167" spans="4:15" ht="20.100000000000001" customHeight="1" x14ac:dyDescent="0.25">
      <c r="D167" s="1" t="str">
        <f>TEXT(EDATE(X_Cell_Site_StartDate,6), "mmmm yyyy")</f>
        <v>July 2024</v>
      </c>
      <c r="E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113</v>
      </c>
    </row>
    <row r="168" spans="4:15" ht="20.100000000000001" customHeight="1" x14ac:dyDescent="0.25">
      <c r="D168" s="1" t="str">
        <f>TEXT(EDATE(X_Cell_Site_StartDate,7), "mmmm yyyy")</f>
        <v>August 2024</v>
      </c>
      <c r="E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113</v>
      </c>
    </row>
    <row r="169" spans="4:15" ht="20.100000000000001" customHeight="1" x14ac:dyDescent="0.25">
      <c r="D169" s="1" t="str">
        <f>TEXT(EDATE(X_Cell_Site_StartDate,8), "mmmm yyyy")</f>
        <v>September 2024</v>
      </c>
      <c r="E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113</v>
      </c>
    </row>
    <row r="170" spans="4:15" ht="20.100000000000001" customHeight="1" x14ac:dyDescent="0.25">
      <c r="D170" s="1" t="str">
        <f>TEXT(EDATE(X_Cell_Site_StartDate,9), "mmmm yyyy")</f>
        <v>October 2024</v>
      </c>
      <c r="E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113</v>
      </c>
    </row>
    <row r="171" spans="4:15" ht="20.100000000000001" customHeight="1" x14ac:dyDescent="0.25">
      <c r="D171" s="1" t="str">
        <f>TEXT(EDATE(X_Cell_Site_StartDate,10), "mmmm yyyy")</f>
        <v>November 2024</v>
      </c>
      <c r="E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113</v>
      </c>
    </row>
    <row r="172" spans="4:15" ht="20.100000000000001" customHeight="1" x14ac:dyDescent="0.25">
      <c r="D172" s="1" t="str">
        <f>TEXT(EDATE(X_Cell_Site_StartDate,11), "mmmm yyyy")</f>
        <v>December 2024</v>
      </c>
      <c r="E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113</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7" t="s">
        <v>220</v>
      </c>
      <c r="L175" s="2"/>
      <c r="M175" s="2"/>
      <c r="N175" s="2"/>
      <c r="O175" s="2"/>
    </row>
    <row r="176" spans="4:15" ht="20.100000000000001" customHeight="1" x14ac:dyDescent="0.25"/>
    <row r="177" spans="4:15" ht="20.100000000000001" customHeight="1" x14ac:dyDescent="0.25">
      <c r="D177" s="1" t="s">
        <v>221</v>
      </c>
      <c r="E177" s="38" t="s">
        <v>111</v>
      </c>
      <c r="F177" s="2" t="s">
        <v>8</v>
      </c>
      <c r="L177" s="2"/>
      <c r="M177" s="2"/>
      <c r="N177" s="2"/>
      <c r="O177" s="2"/>
    </row>
    <row r="178" spans="4:15" ht="20.100000000000001" customHeight="1" x14ac:dyDescent="0.25"/>
    <row r="179" spans="4:15" ht="20.100000000000001" customHeight="1" x14ac:dyDescent="0.25">
      <c r="D179" s="61" t="s">
        <v>16</v>
      </c>
      <c r="E179" s="61" t="s">
        <v>222</v>
      </c>
      <c r="L179" s="2"/>
      <c r="M179" s="2"/>
      <c r="N179" s="2"/>
      <c r="O179" s="2"/>
    </row>
    <row r="180" spans="4:15" ht="20.100000000000001" customHeight="1" x14ac:dyDescent="0.25">
      <c r="D180" s="1" t="s">
        <v>110</v>
      </c>
      <c r="E180" s="110">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14</v>
      </c>
      <c r="L180" s="2"/>
      <c r="M180" s="2"/>
      <c r="N180" s="2"/>
      <c r="O180" s="2"/>
    </row>
    <row r="181" spans="4:15" ht="20.100000000000001" customHeight="1" x14ac:dyDescent="0.25">
      <c r="D181" s="1" t="s">
        <v>223</v>
      </c>
      <c r="E181" s="110">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14</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233</v>
      </c>
      <c r="E184" s="38" t="s">
        <v>236</v>
      </c>
      <c r="F184" s="2" t="s">
        <v>8</v>
      </c>
      <c r="L184" s="2"/>
      <c r="M184" s="2"/>
      <c r="N184" s="2"/>
      <c r="O184" s="2"/>
    </row>
    <row r="185" spans="4:15" ht="20.100000000000001" customHeight="1" x14ac:dyDescent="0.25">
      <c r="E185" s="38" t="s">
        <v>96</v>
      </c>
      <c r="F185" s="2" t="s">
        <v>8</v>
      </c>
    </row>
    <row r="186" spans="4:15" ht="20.100000000000001" customHeight="1" x14ac:dyDescent="0.25"/>
    <row r="187" spans="4:15" ht="20.100000000000001" customHeight="1" x14ac:dyDescent="0.25"/>
    <row r="188" spans="4:15" ht="20.100000000000001" customHeight="1" x14ac:dyDescent="0.25">
      <c r="D188" s="6" t="s">
        <v>306</v>
      </c>
    </row>
    <row r="189" spans="4:15" ht="20.100000000000001" customHeight="1" x14ac:dyDescent="0.25">
      <c r="D189" s="102" t="s">
        <v>307</v>
      </c>
    </row>
    <row r="190" spans="4:15" ht="20.100000000000001" customHeight="1" x14ac:dyDescent="0.25">
      <c r="D190" s="36" t="s">
        <v>308</v>
      </c>
      <c r="E190" s="36" t="s">
        <v>309</v>
      </c>
      <c r="F190" s="36" t="s">
        <v>310</v>
      </c>
      <c r="G190" s="36" t="s">
        <v>311</v>
      </c>
      <c r="H190" s="36" t="s">
        <v>312</v>
      </c>
      <c r="I190" s="36" t="s">
        <v>313</v>
      </c>
      <c r="J190" s="124" t="s">
        <v>314</v>
      </c>
      <c r="K190" s="124" t="s">
        <v>315</v>
      </c>
    </row>
    <row r="191" spans="4:15" ht="20.100000000000001" customHeight="1" x14ac:dyDescent="0.25">
      <c r="D191" s="32" t="s">
        <v>316</v>
      </c>
      <c r="E191" s="125">
        <v>45547</v>
      </c>
      <c r="F191" s="38" t="s">
        <v>131</v>
      </c>
      <c r="G191" s="126" t="s">
        <v>317</v>
      </c>
      <c r="H191" s="38" t="s">
        <v>277</v>
      </c>
      <c r="I191" s="64">
        <v>100</v>
      </c>
      <c r="J191" s="51"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4">
        <v>205</v>
      </c>
    </row>
    <row r="192" spans="4:15" ht="20.100000000000001" customHeight="1" x14ac:dyDescent="0.25">
      <c r="D192" s="32"/>
      <c r="E192" s="32"/>
      <c r="F192" s="127"/>
      <c r="G192" s="126"/>
      <c r="H192" s="38"/>
      <c r="I192" s="64"/>
      <c r="J192" s="51"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4"/>
    </row>
    <row r="193" spans="4:27" ht="20.100000000000001" customHeight="1" x14ac:dyDescent="0.25">
      <c r="D193" s="32"/>
      <c r="E193" s="32"/>
      <c r="F193" s="127"/>
      <c r="G193" s="126"/>
      <c r="H193" s="38"/>
      <c r="I193" s="64"/>
      <c r="J193" s="51"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4"/>
    </row>
    <row r="194" spans="4:27" ht="20.100000000000001" customHeight="1" x14ac:dyDescent="0.25">
      <c r="D194" s="32"/>
      <c r="E194" s="32"/>
      <c r="F194" s="127"/>
      <c r="G194" s="126"/>
      <c r="H194" s="38"/>
      <c r="I194" s="64"/>
      <c r="J194" s="51"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4"/>
    </row>
    <row r="195" spans="4:27" ht="20.100000000000001" customHeight="1" x14ac:dyDescent="0.25">
      <c r="D195" s="32"/>
      <c r="E195" s="32"/>
      <c r="F195" s="127"/>
      <c r="G195" s="126"/>
      <c r="H195" s="38"/>
      <c r="I195" s="64"/>
      <c r="J195" s="51"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4"/>
    </row>
    <row r="196" spans="4:27" ht="20.100000000000001" customHeight="1" x14ac:dyDescent="0.25">
      <c r="D196" s="32"/>
      <c r="E196" s="32"/>
      <c r="F196" s="127"/>
      <c r="G196" s="126"/>
      <c r="H196" s="38"/>
      <c r="I196" s="64"/>
      <c r="J196" s="51"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4"/>
    </row>
    <row r="197" spans="4:27" ht="20.100000000000001" customHeight="1" x14ac:dyDescent="0.25">
      <c r="D197" s="32"/>
      <c r="E197" s="32"/>
      <c r="F197" s="127"/>
      <c r="G197" s="126"/>
      <c r="H197" s="38"/>
      <c r="I197" s="64"/>
      <c r="J197" s="51"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4"/>
    </row>
    <row r="198" spans="4:27" ht="20.100000000000001" customHeight="1" x14ac:dyDescent="0.25">
      <c r="D198" s="32"/>
      <c r="E198" s="32"/>
      <c r="F198" s="127"/>
      <c r="G198" s="126"/>
      <c r="H198" s="38"/>
      <c r="I198" s="64"/>
      <c r="J198" s="51"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4"/>
    </row>
    <row r="199" spans="4:27" ht="20.100000000000001" customHeight="1" x14ac:dyDescent="0.25">
      <c r="D199" s="32"/>
      <c r="E199" s="32"/>
      <c r="F199" s="127"/>
      <c r="G199" s="126"/>
      <c r="H199" s="38"/>
      <c r="I199" s="64"/>
      <c r="J199" s="51"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4"/>
    </row>
    <row r="200" spans="4:27" ht="20.100000000000001" customHeight="1" x14ac:dyDescent="0.25">
      <c r="D200" s="128"/>
      <c r="E200" s="128"/>
      <c r="F200" s="127"/>
      <c r="G200" s="129"/>
      <c r="H200" s="127"/>
      <c r="I200" s="130"/>
      <c r="J200" s="51"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0"/>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318</v>
      </c>
    </row>
    <row r="205" spans="4:27" ht="20.100000000000001" customHeight="1" x14ac:dyDescent="0.25">
      <c r="D205" s="102" t="s">
        <v>307</v>
      </c>
      <c r="Q205" s="1"/>
      <c r="Z205" s="55"/>
    </row>
    <row r="206" spans="4:27" ht="20.100000000000001" customHeight="1" x14ac:dyDescent="0.25">
      <c r="D206" s="36" t="s">
        <v>308</v>
      </c>
      <c r="E206" s="36" t="s">
        <v>310</v>
      </c>
      <c r="F206" s="36" t="s">
        <v>319</v>
      </c>
      <c r="G206" s="36" t="s">
        <v>320</v>
      </c>
      <c r="H206" s="36" t="s">
        <v>321</v>
      </c>
      <c r="I206" s="36" t="s">
        <v>322</v>
      </c>
      <c r="Q206" s="1"/>
      <c r="R206" s="1"/>
      <c r="Z206" s="55"/>
      <c r="AA206" s="55"/>
    </row>
    <row r="207" spans="4:27" ht="20.100000000000001" customHeight="1" x14ac:dyDescent="0.25">
      <c r="D207" s="32"/>
      <c r="E207" s="38" t="s">
        <v>103</v>
      </c>
      <c r="F207" s="131">
        <v>45566</v>
      </c>
      <c r="G207" s="36">
        <v>10</v>
      </c>
      <c r="H207" s="36">
        <v>500</v>
      </c>
      <c r="I207" s="51">
        <f t="shared" ref="I207:I216" si="2">G207*H207</f>
        <v>5000</v>
      </c>
      <c r="Q207" s="1"/>
      <c r="R207" s="1"/>
      <c r="Z207" s="55"/>
      <c r="AA207" s="55"/>
    </row>
    <row r="208" spans="4:27" ht="20.100000000000001" customHeight="1" x14ac:dyDescent="0.25">
      <c r="D208" s="32"/>
      <c r="E208" s="38"/>
      <c r="F208" s="131"/>
      <c r="G208" s="36"/>
      <c r="H208" s="36"/>
      <c r="I208" s="51">
        <f t="shared" si="2"/>
        <v>0</v>
      </c>
      <c r="Q208" s="1"/>
      <c r="R208" s="1"/>
      <c r="Z208" s="55"/>
      <c r="AA208" s="55"/>
    </row>
    <row r="209" spans="4:27" ht="20.100000000000001" customHeight="1" x14ac:dyDescent="0.25">
      <c r="D209" s="32"/>
      <c r="E209" s="38"/>
      <c r="F209" s="131"/>
      <c r="G209" s="36"/>
      <c r="H209" s="36"/>
      <c r="I209" s="51">
        <f t="shared" si="2"/>
        <v>0</v>
      </c>
      <c r="Q209" s="1"/>
      <c r="R209" s="1"/>
      <c r="Z209" s="55"/>
      <c r="AA209" s="55"/>
    </row>
    <row r="210" spans="4:27" ht="20.100000000000001" customHeight="1" x14ac:dyDescent="0.25">
      <c r="D210" s="32"/>
      <c r="E210" s="38"/>
      <c r="F210" s="131"/>
      <c r="G210" s="36"/>
      <c r="H210" s="36"/>
      <c r="I210" s="51">
        <f t="shared" si="2"/>
        <v>0</v>
      </c>
      <c r="Q210" s="1"/>
      <c r="R210" s="1"/>
      <c r="Z210" s="55"/>
      <c r="AA210" s="55"/>
    </row>
    <row r="211" spans="4:27" ht="20.100000000000001" customHeight="1" x14ac:dyDescent="0.25">
      <c r="D211" s="32"/>
      <c r="E211" s="38"/>
      <c r="F211" s="131"/>
      <c r="G211" s="36"/>
      <c r="H211" s="36"/>
      <c r="I211" s="51">
        <f t="shared" si="2"/>
        <v>0</v>
      </c>
      <c r="Q211" s="1"/>
      <c r="R211" s="1"/>
      <c r="Z211" s="55"/>
      <c r="AA211" s="55"/>
    </row>
    <row r="212" spans="4:27" ht="20.100000000000001" customHeight="1" x14ac:dyDescent="0.25">
      <c r="D212" s="32"/>
      <c r="E212" s="38"/>
      <c r="F212" s="131"/>
      <c r="G212" s="36"/>
      <c r="H212" s="36"/>
      <c r="I212" s="51">
        <f t="shared" si="2"/>
        <v>0</v>
      </c>
      <c r="Q212" s="1"/>
      <c r="R212" s="1"/>
      <c r="Z212" s="55"/>
      <c r="AA212" s="55"/>
    </row>
    <row r="213" spans="4:27" ht="20.100000000000001" customHeight="1" x14ac:dyDescent="0.25">
      <c r="D213" s="32"/>
      <c r="E213" s="38"/>
      <c r="F213" s="131"/>
      <c r="G213" s="36"/>
      <c r="H213" s="36"/>
      <c r="I213" s="51">
        <f t="shared" si="2"/>
        <v>0</v>
      </c>
      <c r="Q213" s="1"/>
      <c r="R213" s="1"/>
      <c r="Z213" s="55"/>
      <c r="AA213" s="55"/>
    </row>
    <row r="214" spans="4:27" ht="20.100000000000001" customHeight="1" x14ac:dyDescent="0.25">
      <c r="D214" s="32"/>
      <c r="E214" s="38"/>
      <c r="F214" s="131"/>
      <c r="G214" s="36"/>
      <c r="H214" s="36"/>
      <c r="I214" s="51">
        <f t="shared" si="2"/>
        <v>0</v>
      </c>
      <c r="Q214" s="1"/>
      <c r="R214" s="1"/>
      <c r="Z214" s="55"/>
      <c r="AA214" s="55"/>
    </row>
    <row r="215" spans="4:27" ht="20.100000000000001" customHeight="1" x14ac:dyDescent="0.25">
      <c r="D215" s="32"/>
      <c r="E215" s="38"/>
      <c r="F215" s="131"/>
      <c r="G215" s="36"/>
      <c r="H215" s="36"/>
      <c r="I215" s="51">
        <f t="shared" si="2"/>
        <v>0</v>
      </c>
      <c r="Q215" s="1"/>
      <c r="R215" s="1"/>
      <c r="Z215" s="55"/>
      <c r="AA215" s="55"/>
    </row>
    <row r="216" spans="4:27" ht="20.100000000000001" customHeight="1" x14ac:dyDescent="0.25">
      <c r="D216" s="32"/>
      <c r="E216" s="38"/>
      <c r="F216" s="131"/>
      <c r="G216" s="36"/>
      <c r="H216" s="36"/>
      <c r="I216" s="51">
        <f t="shared" si="2"/>
        <v>0</v>
      </c>
      <c r="Q216" s="1"/>
      <c r="Z216" s="55"/>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2"/>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2" priority="12" operator="lessThan">
      <formula>0</formula>
    </cfRule>
  </conditionalFormatting>
  <conditionalFormatting sqref="F239:F240">
    <cfRule type="cellIs" dxfId="11" priority="11" operator="lessThan">
      <formula>0</formula>
    </cfRule>
  </conditionalFormatting>
  <conditionalFormatting sqref="F244:F245">
    <cfRule type="cellIs" dxfId="10" priority="10" operator="lessThan">
      <formula>0</formula>
    </cfRule>
  </conditionalFormatting>
  <conditionalFormatting sqref="F249:F250">
    <cfRule type="cellIs" dxfId="9" priority="9" operator="lessThan">
      <formula>0</formula>
    </cfRule>
  </conditionalFormatting>
  <conditionalFormatting sqref="F273:F274">
    <cfRule type="cellIs" dxfId="8" priority="8" operator="lessThan">
      <formula>0</formula>
    </cfRule>
  </conditionalFormatting>
  <conditionalFormatting sqref="F278:F279">
    <cfRule type="cellIs" dxfId="7" priority="7" operator="lessThan">
      <formula>0</formula>
    </cfRule>
  </conditionalFormatting>
  <conditionalFormatting sqref="F283:F284">
    <cfRule type="cellIs" dxfId="6" priority="6" operator="lessThan">
      <formula>0</formula>
    </cfRule>
  </conditionalFormatting>
  <conditionalFormatting sqref="H124:K124">
    <cfRule type="cellIs" dxfId="5" priority="4" operator="lessThan">
      <formula>0</formula>
    </cfRule>
  </conditionalFormatting>
  <conditionalFormatting sqref="I130:O131">
    <cfRule type="cellIs" dxfId="4" priority="5" operator="lessThan">
      <formula>0</formula>
    </cfRule>
  </conditionalFormatting>
  <conditionalFormatting sqref="I153:O153">
    <cfRule type="cellIs" dxfId="3" priority="3" operator="lessThan">
      <formula>0</formula>
    </cfRule>
  </conditionalFormatting>
  <conditionalFormatting sqref="K123:K124">
    <cfRule type="cellIs" dxfId="2" priority="2" operator="lessThan">
      <formula>0</formula>
    </cfRule>
  </conditionalFormatting>
  <conditionalFormatting sqref="N121:N123">
    <cfRule type="cellIs" dxfId="1" priority="1" operator="lessThan">
      <formula>0</formula>
    </cfRule>
  </conditionalFormatting>
  <conditionalFormatting sqref="P43:R43">
    <cfRule type="cellIs" dxfId="0" priority="13" operator="lessThan">
      <formula>0</formula>
    </cfRule>
  </conditionalFormatting>
  <dataValidations count="12">
    <dataValidation type="list" allowBlank="1" showInputMessage="1" showErrorMessage="1" sqref="D266" xr:uid="{CF22A2DF-3AD7-48F2-A254-52E4DBFABE5D}">
      <formula1>INDIRECT("Table_SourceData_PoultryMMSStage1[MMS]")</formula1>
    </dataValidation>
    <dataValidation type="list" allowBlank="1" showInputMessage="1" showErrorMessage="1" sqref="E238 E243 E248 E282 E277 E272 E177"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85" xr:uid="{D6935CAF-CAA8-4362-9192-56F01D97F0AB}">
      <formula1>INDIRECT("Table_SourceData_PastureBeef_IrrigationMethods[Irrigation method]")</formula1>
    </dataValidation>
    <dataValidation type="list" allowBlank="1" showInputMessage="1" showErrorMessage="1" sqref="E184" xr:uid="{632BA6BA-B408-4F6F-8243-A59FC8B93ABC}">
      <formula1>INDIRECT("Table_SourceData_PastureBeef_CropProdSystems[Production system]")</formula1>
    </dataValidation>
    <dataValidation type="list" allowBlank="1" showInputMessage="1" showErrorMessage="1" sqref="E105" xr:uid="{9B2EE8FF-3BDF-438F-B28E-8412387560DB}">
      <formula1>"Spring, Summer, Autumn, Winter"</formula1>
    </dataValidation>
    <dataValidation type="list" allowBlank="1" showInputMessage="1" showErrorMessage="1" sqref="H191:H200" xr:uid="{CA225E8D-99C9-4FEB-9BD6-A5329A5E4770}">
      <formula1>INDIRECT("Table_ProductRegions_Beefcattle[Region]")</formula1>
    </dataValidation>
    <dataValidation type="list" allowBlank="1" showInputMessage="1" showErrorMessage="1" sqref="G191:G200" xr:uid="{F2C23C41-5832-452F-8B6B-AB3B57439A2B}">
      <formula1>INDIRECT(TRIM("Table_SourceData_LivestockProduct_Beefcattle[Product]"))</formula1>
    </dataValidation>
    <dataValidation type="list" allowBlank="1" showInputMessage="1" showErrorMessage="1" sqref="F191:F200 E207:E216" xr:uid="{ED1D42F0-95BB-41C2-9A69-21EC70D6A70A}">
      <formula1>INDIRECT("Table_LivestockClasses_Beefcattle[Livestock class]")</formula1>
    </dataValidation>
    <dataValidation type="list" allowBlank="1" showInputMessage="1" showErrorMessage="1" sqref="E119" xr:uid="{56EF6073-9A79-4B5D-B735-E866E98237E5}">
      <formula1>$D$23:$D$34</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A50" zoomScale="85" zoomScaleNormal="85" workbookViewId="0">
      <selection activeCell="D52" sqref="D52"/>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X_Cell_PastureBeef_Breed</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f>'Input - Pasture Beef'!$E$104</f>
        <v>0</v>
      </c>
      <c r="E21" s="51">
        <f>'Input - Pasture Beef'!$E$107</f>
        <v>0</v>
      </c>
      <c r="F21" s="51">
        <f>'Input - Pasture Beef'!$F$107</f>
        <v>0</v>
      </c>
      <c r="G21" s="51">
        <f>'Input - Pasture Beef'!$G$107</f>
        <v>0</v>
      </c>
      <c r="H21" s="2" t="s">
        <v>80</v>
      </c>
      <c r="U21" s="50" t="s">
        <v>105</v>
      </c>
      <c r="V21" s="115" t="s">
        <v>128</v>
      </c>
      <c r="W21" s="115" t="s">
        <v>129</v>
      </c>
      <c r="X21" s="115" t="s">
        <v>130</v>
      </c>
    </row>
    <row r="22" spans="1:34" ht="20.100000000000001" customHeight="1" x14ac:dyDescent="0.25">
      <c r="A22" s="17"/>
      <c r="U22" s="51" t="e">
        <f>TEXT(EDATE('Input - Pasture Beef'!$D$117,0), "mmmm") &amp; ", " &amp; TEXT(EDATE('Input - Pasture Beef'!$D$118,0), "mmmm") &amp; ", " &amp; TEXT(EDATE('Input - Pasture Beef'!$D$119,0), "mmmm")</f>
        <v>#VALUE!</v>
      </c>
      <c r="V22" s="51" t="str">
        <f>'Input - Pasture Beef'!$E$120</f>
        <v>September 2024</v>
      </c>
      <c r="W22" s="51">
        <f>'Input - Pasture Beef'!$F$120</f>
        <v>0</v>
      </c>
      <c r="X22" s="51">
        <f>'Input - Pasture Beef'!$G$120</f>
        <v>0</v>
      </c>
      <c r="Y22" s="2" t="s">
        <v>80</v>
      </c>
    </row>
    <row r="23" spans="1:34" ht="20.100000000000001" customHeight="1" x14ac:dyDescent="0.25">
      <c r="A23" s="17"/>
      <c r="D23" s="96" t="s">
        <v>202</v>
      </c>
      <c r="U23" s="51" t="e">
        <f>TEXT(EDATE('Input - Pasture Beef'!$D$119,1), "mmmm") &amp; ", " &amp; TEXT(EDATE('Input - Pasture Beef'!$D$119,2), "mmmm") &amp; ", " &amp; TEXT(EDATE('Input - Pasture Beef'!$D$119,3), "mmmm")</f>
        <v>#VALUE!</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e" cm="1">
        <f t="array" ref="E26">_xlfn.IFS(D21=D26, "Calving season", D21=D29, "Season after calving", D21=D27, "", D21=D28, "")</f>
        <v>#N/A</v>
      </c>
      <c r="F26" s="51" t="e" cm="1">
        <f t="array" ref="F26">_xlfn.IFS(E26="Calving season", $J$14, E26="Season after calving", $J$15, E26="", "")</f>
        <v>#N/A</v>
      </c>
      <c r="G26" s="51">
        <v>1</v>
      </c>
      <c r="H26" s="51">
        <v>1</v>
      </c>
      <c r="I26" s="51">
        <v>1</v>
      </c>
      <c r="J26" s="51" cm="1">
        <f t="array" ref="J26">IFERROR(EntericMethane_PastureBeef_Equations.VEERG_3_2_1_1__4_AdditionalIntakeForMilkProduction(E$21,$F26), 1)</f>
        <v>1</v>
      </c>
      <c r="K26" s="51" cm="1">
        <f t="array" ref="K26">IFERROR(EntericMethane_PastureBeef_Equations.VEERG_3_2_1_1__4_AdditionalIntakeForMilkProduction(F$21,$F26), 1)</f>
        <v>1</v>
      </c>
      <c r="L26" s="51" cm="1">
        <f t="array" ref="L26">IFERROR(EntericMethane_PastureBeef_Equations.VEERG_3_2_1_1__4_AdditionalIntakeForMilkProduction(G$21,$F26), 1)</f>
        <v>1</v>
      </c>
      <c r="M26" s="51">
        <v>1</v>
      </c>
      <c r="N26" s="51">
        <v>1</v>
      </c>
      <c r="O26" s="51">
        <v>1</v>
      </c>
      <c r="P26" s="51">
        <v>1</v>
      </c>
      <c r="Q26" s="2" t="str">
        <f>$E$11</f>
        <v>fraction</v>
      </c>
      <c r="U26" s="95" t="s">
        <v>214</v>
      </c>
    </row>
    <row r="27" spans="1:34" ht="20.100000000000001" customHeight="1" x14ac:dyDescent="0.25">
      <c r="D27" s="51" t="s">
        <v>136</v>
      </c>
      <c r="E27" s="51" t="e" cm="1">
        <f t="array" ref="E27">_xlfn.IFS(D21=D27, "Calving season", D21=D26, "Season after calving", D21=D28, "", D21=D29, "")</f>
        <v>#N/A</v>
      </c>
      <c r="F27" s="51" t="e" cm="1">
        <f t="array" ref="F27">_xlfn.IFS(E27="Calving season", $J$14, E27="Season after calving", $J$15, E27="", "")</f>
        <v>#N/A</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e" cm="1">
        <f t="array" ref="E28">_xlfn.IFS(D21=D28, "Calving season", D21=D27, "Season after calving", D21=D29, "", D21=D26, "")</f>
        <v>#N/A</v>
      </c>
      <c r="F28" s="51" t="e" cm="1">
        <f t="array" ref="F28">_xlfn.IFS(E28="Calving season", $J$14, E28="Season after calving", $J$15, E28="", "")</f>
        <v>#N/A</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
      </c>
      <c r="W28" s="51" t="str" cm="1">
        <f t="array" ref="W28">_xlfn.IFS(V28="Calving season", $J$14, V28="Season after calving", $J$15, V28="", "")</f>
        <v/>
      </c>
      <c r="X28" s="51">
        <v>1</v>
      </c>
      <c r="Y28" s="51">
        <v>1</v>
      </c>
      <c r="Z28" s="51">
        <v>1</v>
      </c>
      <c r="AA28" s="51" cm="1">
        <f t="array" ref="AA28">IFERROR(EntericMethane_PastureBeef_Equations.VEERG_3_2_1_1__4_AdditionalIntakeForMilkProduction(V$22,$W28), 1)</f>
        <v>1</v>
      </c>
      <c r="AB28" s="51" cm="1">
        <f t="array" ref="AB28">IFERROR(EntericMethane_PastureBeef_Equations.VEERG_3_2_1_1__4_AdditionalIntakeForMilkProduction(W$22,$W28), 1)</f>
        <v>1</v>
      </c>
      <c r="AC28" s="51" cm="1">
        <f t="array" ref="AC28">IFERROR(EntericMethane_PastureBeef_Equations.VEERG_3_2_1_1__4_AdditionalIntakeForMilkProduction(X$22,$W28), 1)</f>
        <v>1</v>
      </c>
      <c r="AD28" s="51">
        <v>1</v>
      </c>
      <c r="AE28" s="51">
        <v>1</v>
      </c>
      <c r="AF28" s="51">
        <v>1</v>
      </c>
      <c r="AG28" s="51">
        <v>1</v>
      </c>
      <c r="AH28" s="2" t="str">
        <f>$E$11</f>
        <v>fraction</v>
      </c>
    </row>
    <row r="29" spans="1:34" ht="20.100000000000001" customHeight="1" x14ac:dyDescent="0.25">
      <c r="D29" s="51" t="s">
        <v>138</v>
      </c>
      <c r="E29" s="51" t="e" cm="1">
        <f t="array" ref="E29">_xlfn.IFS(D21=D29, "Calving season", D21=D28, "Season after calving", D21=D26, "", D21=D27, "")</f>
        <v>#N/A</v>
      </c>
      <c r="F29" s="51" t="e" cm="1">
        <f t="array" ref="F29">_xlfn.IFS(E29="Calving season", $J$14, E29="Season after calving", $J$15, E29="", "")</f>
        <v>#N/A</v>
      </c>
      <c r="G29" s="51">
        <v>1</v>
      </c>
      <c r="H29" s="51">
        <v>1</v>
      </c>
      <c r="I29" s="51">
        <v>1</v>
      </c>
      <c r="J29" s="51" cm="1">
        <f t="array" ref="J29">IFERROR(EntericMethane_PastureBeef_Equations.VEERG_3_2_1_1__4_AdditionalIntakeForMilkProduction(E$21,$F29), 1)</f>
        <v>1</v>
      </c>
      <c r="K29" s="51" cm="1">
        <f t="array" ref="K29">IFERROR(EntericMethane_PastureBeef_Equations.VEERG_3_2_1_1__4_AdditionalIntakeForMilkProduction(F$21,$F29), 1)</f>
        <v>1</v>
      </c>
      <c r="L29" s="51" cm="1">
        <f t="array" ref="L29">IFERROR(EntericMethane_PastureBeef_Equations.VEERG_3_2_1_1__4_AdditionalIntakeForMilkProduction(G$21,$F29), 1)</f>
        <v>1</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
      </c>
      <c r="W35" s="51" t="str" cm="1">
        <f t="array" ref="W35">_xlfn.IFS(V35="Calving season", $J$14, V35="Season after calving", $J$15, V35="", "")</f>
        <v/>
      </c>
      <c r="X35" s="51">
        <v>1</v>
      </c>
      <c r="Y35" s="51">
        <v>1</v>
      </c>
      <c r="Z35" s="51">
        <v>1</v>
      </c>
      <c r="AA35" s="51" cm="1">
        <f t="array" ref="AA35">IFERROR(EntericMethane_PastureBeef_Equations.VEERG_3_2_1_1__4_AdditionalIntakeForMilkProduction(V$22,$W35), 1)</f>
        <v>1</v>
      </c>
      <c r="AB35" s="51" cm="1">
        <f t="array" ref="AB35">IFERROR(EntericMethane_PastureBeef_Equations.VEERG_3_2_1_1__4_AdditionalIntakeForMilkProduction(W$22,$W35), 1)</f>
        <v>1</v>
      </c>
      <c r="AC35" s="51" cm="1">
        <f t="array" ref="AC35">IFERROR(EntericMethane_PastureBeef_Equations.VEERG_3_2_1_1__4_AdditionalIntakeForMilkProduction(X$22,$W35), 1)</f>
        <v>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
      </c>
      <c r="W36" s="51" t="str" cm="1">
        <f t="array" ref="W36">_xlfn.IFS(V36="Calving season", $J$14, V36="Season after calving", $J$15, V36="", "")</f>
        <v/>
      </c>
      <c r="X36" s="51">
        <v>1</v>
      </c>
      <c r="Y36" s="51">
        <v>1</v>
      </c>
      <c r="Z36" s="51">
        <v>1</v>
      </c>
      <c r="AA36" s="51" cm="1">
        <f t="array" ref="AA36">IFERROR(EntericMethane_PastureBeef_Equations.VEERG_3_2_1_1__4_AdditionalIntakeForMilkProduction(V$22,$W36), 1)</f>
        <v>1</v>
      </c>
      <c r="AB36" s="51" cm="1">
        <f t="array" ref="AB36">IFERROR(EntericMethane_PastureBeef_Equations.VEERG_3_2_1_1__4_AdditionalIntakeForMilkProduction(W$22,$W36), 1)</f>
        <v>1</v>
      </c>
      <c r="AC36" s="51" cm="1">
        <f t="array" ref="AC36">IFERROR(EntericMethane_PastureBeef_Equations.VEERG_3_2_1_1__4_AdditionalIntakeForMilkProduction(X$22,$W36), 1)</f>
        <v>1</v>
      </c>
      <c r="AD36" s="51">
        <v>1</v>
      </c>
      <c r="AE36" s="51">
        <v>1</v>
      </c>
      <c r="AF36" s="51">
        <v>1</v>
      </c>
      <c r="AG36" s="51">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51" t="str">
        <f>TEXT(EDATE('Input - Site'!$E$12,9), "mmmm")</f>
        <v>October</v>
      </c>
      <c r="V37" s="51" t="str" cm="1">
        <f t="array" ref="V37">IFERROR(_xlfn.IFS(SUMPRODUCT(ISNUMBER(SEARCH(TRIM(_xlfn.TEXTSPLIT($U$22,",")),U37))*1)&gt;0,"Calving season",SUMPRODUCT(ISNUMBER(SEARCH(TRIM(_xlfn.TEXTSPLIT($U$23,",")),U37))*1)&gt;0,"Season after calving"), "")</f>
        <v/>
      </c>
      <c r="W37" s="51" t="str" cm="1">
        <f t="array" ref="W37">_xlfn.IFS(V37="Calving season", $J$14, V37="Season after calving", $J$15, V37="", "")</f>
        <v/>
      </c>
      <c r="X37" s="51">
        <v>1</v>
      </c>
      <c r="Y37" s="51">
        <v>1</v>
      </c>
      <c r="Z37" s="51">
        <v>1</v>
      </c>
      <c r="AA37" s="51" cm="1">
        <f t="array" ref="AA37">IFERROR(EntericMethane_PastureBeef_Equations.VEERG_3_2_1_1__4_AdditionalIntakeForMilkProduction(V$22,$W37), 1)</f>
        <v>1</v>
      </c>
      <c r="AB37" s="51" cm="1">
        <f t="array" ref="AB37">IFERROR(EntericMethane_PastureBeef_Equations.VEERG_3_2_1_1__4_AdditionalIntakeForMilkProduction(W$22,$W37), 1)</f>
        <v>1</v>
      </c>
      <c r="AC37" s="51" cm="1">
        <f t="array" ref="AC37">IFERROR(EntericMethane_PastureBeef_Equations.VEERG_3_2_1_1__4_AdditionalIntakeForMilkProduction(X$22,$W37), 1)</f>
        <v>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
      </c>
      <c r="W38" s="51" t="str" cm="1">
        <f t="array" ref="W38">_xlfn.IFS(V38="Calving season", $J$14, V38="Season after calving", $J$15, V38="", "")</f>
        <v/>
      </c>
      <c r="X38" s="51">
        <v>1</v>
      </c>
      <c r="Y38" s="51">
        <v>1</v>
      </c>
      <c r="Z38" s="51">
        <v>1</v>
      </c>
      <c r="AA38" s="51" cm="1">
        <f t="array" ref="AA38">IFERROR(EntericMethane_PastureBeef_Equations.VEERG_3_2_1_1__4_AdditionalIntakeForMilkProduction(V$22,$W38), 1)</f>
        <v>1</v>
      </c>
      <c r="AB38" s="51" cm="1">
        <f t="array" ref="AB38">IFERROR(EntericMethane_PastureBeef_Equations.VEERG_3_2_1_1__4_AdditionalIntakeForMilkProduction(W$22,$W38), 1)</f>
        <v>1</v>
      </c>
      <c r="AC38" s="51" cm="1">
        <f t="array" ref="AC38">IFERROR(EntericMethane_PastureBeef_Equations.VEERG_3_2_1_1__4_AdditionalIntakeForMilkProduction(X$22,$W38), 1)</f>
        <v>1</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
      </c>
      <c r="W39" s="51" t="str" cm="1">
        <f t="array" ref="W39">_xlfn.IFS(V39="Calving season", $J$14, V39="Season after calving", $J$15, V39="", "")</f>
        <v/>
      </c>
      <c r="X39" s="51">
        <v>1</v>
      </c>
      <c r="Y39" s="51">
        <v>1</v>
      </c>
      <c r="Z39" s="51">
        <v>1</v>
      </c>
      <c r="AA39" s="51" cm="1">
        <f t="array" ref="AA39">IFERROR(EntericMethane_PastureBeef_Equations.VEERG_3_2_1_1__4_AdditionalIntakeForMilkProduction(V$22,$W39), 1)</f>
        <v>1</v>
      </c>
      <c r="AB39" s="51" cm="1">
        <f t="array" ref="AB39">IFERROR(EntericMethane_PastureBeef_Equations.VEERG_3_2_1_1__4_AdditionalIntakeForMilkProduction(W$22,$W39), 1)</f>
        <v>1</v>
      </c>
      <c r="AC39" s="51" cm="1">
        <f t="array" ref="AC39">IFERROR(EntericMethane_PastureBeef_Equations.VEERG_3_2_1_1__4_AdditionalIntakeForMilkProduction(X$22,$W39), 1)</f>
        <v>1</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TEXT('Input - Site'!$E$12,"mmmm")</f>
        <v>January</v>
      </c>
      <c r="V44" s="51" cm="1">
        <f t="array" aca="1" ref="V44:AE55" ca="1">OFFSET(X_Table_PastureBeef_Liveweight_Method2,1,1,12,10)</f>
        <v>380</v>
      </c>
      <c r="W44" s="51">
        <f ca="1"/>
        <v>780</v>
      </c>
      <c r="X44" s="51">
        <f ca="1"/>
        <v>300</v>
      </c>
      <c r="Y44" s="51">
        <f ca="1"/>
        <v>450</v>
      </c>
      <c r="Z44" s="51">
        <f ca="1"/>
        <v>530</v>
      </c>
      <c r="AA44" s="51">
        <f ca="1"/>
        <v>530</v>
      </c>
      <c r="AB44" s="51">
        <f ca="1"/>
        <v>340</v>
      </c>
      <c r="AC44" s="51">
        <f ca="1"/>
        <v>470</v>
      </c>
      <c r="AD44" s="51">
        <f ca="1"/>
        <v>470</v>
      </c>
      <c r="AE44" s="51">
        <f ca="1"/>
        <v>470</v>
      </c>
      <c r="AF44" s="2" t="s">
        <v>106</v>
      </c>
    </row>
    <row r="45" spans="4:34" ht="20.100000000000001" customHeight="1" x14ac:dyDescent="0.25">
      <c r="D45" s="96" t="s">
        <v>231</v>
      </c>
      <c r="U45" s="51" t="str">
        <f>TEXT(EDATE('Input - Site'!$E$12,1), "mmmm")</f>
        <v>February</v>
      </c>
      <c r="V45" s="51">
        <f ca="1"/>
        <v>380</v>
      </c>
      <c r="W45" s="51">
        <f ca="1"/>
        <v>780</v>
      </c>
      <c r="X45" s="51">
        <f ca="1"/>
        <v>300</v>
      </c>
      <c r="Y45" s="51">
        <f ca="1"/>
        <v>450</v>
      </c>
      <c r="Z45" s="51">
        <f ca="1"/>
        <v>530</v>
      </c>
      <c r="AA45" s="51">
        <f ca="1"/>
        <v>530</v>
      </c>
      <c r="AB45" s="51">
        <f ca="1"/>
        <v>340</v>
      </c>
      <c r="AC45" s="51">
        <f ca="1"/>
        <v>470</v>
      </c>
      <c r="AD45" s="51">
        <f ca="1"/>
        <v>470</v>
      </c>
      <c r="AE45" s="51">
        <f ca="1"/>
        <v>470</v>
      </c>
      <c r="AF45" s="2" t="s">
        <v>106</v>
      </c>
    </row>
    <row r="46" spans="4:34" ht="20.100000000000001" customHeight="1" x14ac:dyDescent="0.25">
      <c r="D46" s="95" t="s">
        <v>206</v>
      </c>
      <c r="U46" s="51" t="str">
        <f>TEXT(EDATE('Input - Site'!$E$12,2), "mmmm")</f>
        <v>March</v>
      </c>
      <c r="V46" s="51">
        <f ca="1"/>
        <v>100</v>
      </c>
      <c r="W46" s="51">
        <f ca="1"/>
        <v>680</v>
      </c>
      <c r="X46" s="51">
        <f ca="1"/>
        <v>80</v>
      </c>
      <c r="Y46" s="51">
        <f ca="1"/>
        <v>320</v>
      </c>
      <c r="Z46" s="51">
        <f ca="1"/>
        <v>480</v>
      </c>
      <c r="AA46" s="51">
        <f ca="1"/>
        <v>480</v>
      </c>
      <c r="AB46" s="51">
        <f ca="1"/>
        <v>100</v>
      </c>
      <c r="AC46" s="51">
        <f ca="1"/>
        <v>340</v>
      </c>
      <c r="AD46" s="51">
        <f ca="1"/>
        <v>340</v>
      </c>
      <c r="AE46" s="51">
        <f ca="1"/>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TEXT(EDATE('Input - Site'!$E$12,3), "mmmm")</f>
        <v>April</v>
      </c>
      <c r="V47" s="51">
        <f ca="1"/>
        <v>100</v>
      </c>
      <c r="W47" s="51">
        <f ca="1"/>
        <v>680</v>
      </c>
      <c r="X47" s="51">
        <f ca="1"/>
        <v>80</v>
      </c>
      <c r="Y47" s="51">
        <f ca="1"/>
        <v>320</v>
      </c>
      <c r="Z47" s="51">
        <f ca="1"/>
        <v>480</v>
      </c>
      <c r="AA47" s="51">
        <f ca="1"/>
        <v>480</v>
      </c>
      <c r="AB47" s="51">
        <f ca="1"/>
        <v>100</v>
      </c>
      <c r="AC47" s="51">
        <f ca="1"/>
        <v>340</v>
      </c>
      <c r="AD47" s="51">
        <f ca="1"/>
        <v>340</v>
      </c>
      <c r="AE47" s="51">
        <f ca="1"/>
        <v>340</v>
      </c>
      <c r="AF47" s="2" t="s">
        <v>106</v>
      </c>
    </row>
    <row r="48" spans="4:34" ht="20.100000000000001" customHeight="1" x14ac:dyDescent="0.25">
      <c r="D48" s="51" t="str">
        <f>INDEX(X_Table_PastureBeef_Liveweight_Method1,2,1)</f>
        <v>Spring</v>
      </c>
      <c r="E48" s="51" cm="1">
        <f t="array" aca="1" ref="E48:N51" ca="1">OFFSET(X_Table_PastureBeef_Liveweight_Method1, 1,1, 4,10)</f>
        <v>340</v>
      </c>
      <c r="F48" s="51">
        <f ca="1"/>
        <v>800</v>
      </c>
      <c r="G48" s="51">
        <f ca="1"/>
        <v>260</v>
      </c>
      <c r="H48" s="51">
        <f ca="1"/>
        <v>420</v>
      </c>
      <c r="I48" s="51">
        <f ca="1"/>
        <v>550</v>
      </c>
      <c r="J48" s="51">
        <f ca="1"/>
        <v>550</v>
      </c>
      <c r="K48" s="51">
        <f ca="1"/>
        <v>300</v>
      </c>
      <c r="L48" s="51">
        <f ca="1"/>
        <v>480</v>
      </c>
      <c r="M48" s="51">
        <f ca="1"/>
        <v>480</v>
      </c>
      <c r="N48" s="51">
        <f ca="1"/>
        <v>480</v>
      </c>
      <c r="O48" s="2" t="s">
        <v>106</v>
      </c>
      <c r="P48" s="2"/>
      <c r="Q48" s="2"/>
      <c r="U48" s="51" t="str">
        <f>TEXT(EDATE('Input - Site'!$E$12,4), "mmmm")</f>
        <v>May</v>
      </c>
      <c r="V48" s="51">
        <f ca="1"/>
        <v>100</v>
      </c>
      <c r="W48" s="51">
        <f ca="1"/>
        <v>680</v>
      </c>
      <c r="X48" s="51">
        <f ca="1"/>
        <v>80</v>
      </c>
      <c r="Y48" s="51">
        <f ca="1"/>
        <v>320</v>
      </c>
      <c r="Z48" s="51">
        <f ca="1"/>
        <v>480</v>
      </c>
      <c r="AA48" s="51">
        <f ca="1"/>
        <v>480</v>
      </c>
      <c r="AB48" s="51">
        <f ca="1"/>
        <v>100</v>
      </c>
      <c r="AC48" s="51">
        <f ca="1"/>
        <v>340</v>
      </c>
      <c r="AD48" s="51">
        <f ca="1"/>
        <v>340</v>
      </c>
      <c r="AE48" s="51">
        <f ca="1"/>
        <v>340</v>
      </c>
      <c r="AF48" s="2" t="s">
        <v>106</v>
      </c>
    </row>
    <row r="49" spans="4:34" ht="20.100000000000001" customHeight="1" x14ac:dyDescent="0.25">
      <c r="D49" s="51" t="str">
        <f>INDEX(X_Table_PastureBeef_Liveweight_Method1,3,1)</f>
        <v>Summer</v>
      </c>
      <c r="E49" s="51">
        <f ca="1"/>
        <v>380</v>
      </c>
      <c r="F49" s="51">
        <f ca="1"/>
        <v>780</v>
      </c>
      <c r="G49" s="51">
        <f ca="1"/>
        <v>300</v>
      </c>
      <c r="H49" s="51">
        <f ca="1"/>
        <v>450</v>
      </c>
      <c r="I49" s="51">
        <f ca="1"/>
        <v>530</v>
      </c>
      <c r="J49" s="51">
        <f ca="1"/>
        <v>530</v>
      </c>
      <c r="K49" s="51">
        <f ca="1"/>
        <v>340</v>
      </c>
      <c r="L49" s="51">
        <f ca="1"/>
        <v>470</v>
      </c>
      <c r="M49" s="51">
        <f ca="1"/>
        <v>470</v>
      </c>
      <c r="N49" s="51">
        <f ca="1"/>
        <v>470</v>
      </c>
      <c r="O49" s="2" t="s">
        <v>106</v>
      </c>
      <c r="P49" s="2"/>
      <c r="Q49" s="2"/>
      <c r="U49" s="51" t="str">
        <f>TEXT(EDATE('Input - Site'!$E$12,5), "mmmm")</f>
        <v>June</v>
      </c>
      <c r="V49" s="51">
        <f ca="1"/>
        <v>190</v>
      </c>
      <c r="W49" s="51">
        <f ca="1"/>
        <v>700</v>
      </c>
      <c r="X49" s="51">
        <f ca="1"/>
        <v>150</v>
      </c>
      <c r="Y49" s="51">
        <f ca="1"/>
        <v>330</v>
      </c>
      <c r="Z49" s="51">
        <f ca="1"/>
        <v>490</v>
      </c>
      <c r="AA49" s="51">
        <f ca="1"/>
        <v>490</v>
      </c>
      <c r="AB49" s="51">
        <f ca="1"/>
        <v>170</v>
      </c>
      <c r="AC49" s="51">
        <f ca="1"/>
        <v>360</v>
      </c>
      <c r="AD49" s="51">
        <f ca="1"/>
        <v>360</v>
      </c>
      <c r="AE49" s="51">
        <f ca="1"/>
        <v>360</v>
      </c>
      <c r="AF49" s="2" t="s">
        <v>106</v>
      </c>
    </row>
    <row r="50" spans="4:34" ht="20.100000000000001" customHeight="1" x14ac:dyDescent="0.25">
      <c r="D50" s="51" t="str">
        <f>INDEX(X_Table_PastureBeef_Liveweight_Method1,4,1)</f>
        <v>Autumn</v>
      </c>
      <c r="E50" s="51">
        <f ca="1"/>
        <v>100</v>
      </c>
      <c r="F50" s="51">
        <f ca="1"/>
        <v>680</v>
      </c>
      <c r="G50" s="51">
        <f ca="1"/>
        <v>80</v>
      </c>
      <c r="H50" s="51">
        <f ca="1"/>
        <v>320</v>
      </c>
      <c r="I50" s="51">
        <f ca="1"/>
        <v>480</v>
      </c>
      <c r="J50" s="51">
        <f ca="1"/>
        <v>480</v>
      </c>
      <c r="K50" s="51">
        <f ca="1"/>
        <v>100</v>
      </c>
      <c r="L50" s="51">
        <f ca="1"/>
        <v>340</v>
      </c>
      <c r="M50" s="51">
        <f ca="1"/>
        <v>340</v>
      </c>
      <c r="N50" s="51">
        <f ca="1"/>
        <v>340</v>
      </c>
      <c r="O50" s="2" t="s">
        <v>106</v>
      </c>
      <c r="P50" s="2"/>
      <c r="Q50" s="2"/>
      <c r="U50" s="51" t="str">
        <f>TEXT(EDATE('Input - Site'!$E$12,6), "mmmm")</f>
        <v>July</v>
      </c>
      <c r="V50" s="51">
        <f ca="1"/>
        <v>190</v>
      </c>
      <c r="W50" s="51">
        <f ca="1"/>
        <v>700</v>
      </c>
      <c r="X50" s="51">
        <f ca="1"/>
        <v>150</v>
      </c>
      <c r="Y50" s="51">
        <f ca="1"/>
        <v>330</v>
      </c>
      <c r="Z50" s="51">
        <f ca="1"/>
        <v>490</v>
      </c>
      <c r="AA50" s="51">
        <f ca="1"/>
        <v>490</v>
      </c>
      <c r="AB50" s="51">
        <f ca="1"/>
        <v>170</v>
      </c>
      <c r="AC50" s="51">
        <f ca="1"/>
        <v>360</v>
      </c>
      <c r="AD50" s="51">
        <f ca="1"/>
        <v>360</v>
      </c>
      <c r="AE50" s="51">
        <f ca="1"/>
        <v>360</v>
      </c>
      <c r="AF50" s="2" t="s">
        <v>106</v>
      </c>
    </row>
    <row r="51" spans="4:34" ht="20.100000000000001" customHeight="1" x14ac:dyDescent="0.25">
      <c r="D51" s="51" t="str">
        <f>INDEX(X_Table_PastureBeef_Liveweight_Method1,5,1)</f>
        <v>Winter</v>
      </c>
      <c r="E51" s="51">
        <f ca="1"/>
        <v>190</v>
      </c>
      <c r="F51" s="51">
        <f ca="1"/>
        <v>700</v>
      </c>
      <c r="G51" s="51">
        <f ca="1"/>
        <v>150</v>
      </c>
      <c r="H51" s="51">
        <f ca="1"/>
        <v>330</v>
      </c>
      <c r="I51" s="51">
        <f ca="1"/>
        <v>490</v>
      </c>
      <c r="J51" s="51">
        <f ca="1"/>
        <v>490</v>
      </c>
      <c r="K51" s="51">
        <f ca="1"/>
        <v>170</v>
      </c>
      <c r="L51" s="51">
        <f ca="1"/>
        <v>360</v>
      </c>
      <c r="M51" s="51">
        <f ca="1"/>
        <v>360</v>
      </c>
      <c r="N51" s="51">
        <f ca="1"/>
        <v>360</v>
      </c>
      <c r="O51" s="2" t="s">
        <v>106</v>
      </c>
      <c r="P51" s="2"/>
      <c r="Q51" s="2"/>
      <c r="U51" s="51" t="str">
        <f>TEXT(EDATE('Input - Site'!$E$12,7), "mmmm")</f>
        <v>August</v>
      </c>
      <c r="V51" s="51">
        <f ca="1"/>
        <v>190</v>
      </c>
      <c r="W51" s="51">
        <f ca="1"/>
        <v>700</v>
      </c>
      <c r="X51" s="51">
        <f ca="1"/>
        <v>150</v>
      </c>
      <c r="Y51" s="51">
        <f ca="1"/>
        <v>330</v>
      </c>
      <c r="Z51" s="51">
        <f ca="1"/>
        <v>490</v>
      </c>
      <c r="AA51" s="51">
        <f ca="1"/>
        <v>490</v>
      </c>
      <c r="AB51" s="51">
        <f ca="1"/>
        <v>170</v>
      </c>
      <c r="AC51" s="51">
        <f ca="1"/>
        <v>360</v>
      </c>
      <c r="AD51" s="51">
        <f ca="1"/>
        <v>360</v>
      </c>
      <c r="AE51" s="51">
        <f ca="1"/>
        <v>360</v>
      </c>
      <c r="AF51" s="2" t="s">
        <v>106</v>
      </c>
      <c r="AG51" s="2"/>
      <c r="AH51" s="2"/>
    </row>
    <row r="52" spans="4:34" ht="20.100000000000001" customHeight="1" x14ac:dyDescent="0.25">
      <c r="U52" s="51" t="str">
        <f>TEXT(EDATE('Input - Site'!$E$12,8), "mmmm")</f>
        <v>September</v>
      </c>
      <c r="V52" s="51">
        <f ca="1"/>
        <v>340</v>
      </c>
      <c r="W52" s="51">
        <f ca="1"/>
        <v>800</v>
      </c>
      <c r="X52" s="51">
        <f ca="1"/>
        <v>260</v>
      </c>
      <c r="Y52" s="51">
        <f ca="1"/>
        <v>420</v>
      </c>
      <c r="Z52" s="51">
        <f ca="1"/>
        <v>550</v>
      </c>
      <c r="AA52" s="51">
        <f ca="1"/>
        <v>550</v>
      </c>
      <c r="AB52" s="51">
        <f ca="1"/>
        <v>300</v>
      </c>
      <c r="AC52" s="51">
        <f ca="1"/>
        <v>480</v>
      </c>
      <c r="AD52" s="51">
        <f ca="1"/>
        <v>480</v>
      </c>
      <c r="AE52" s="51">
        <f ca="1"/>
        <v>480</v>
      </c>
      <c r="AF52" s="2" t="s">
        <v>106</v>
      </c>
      <c r="AG52" s="2"/>
      <c r="AH52" s="2"/>
    </row>
    <row r="53" spans="4:34" ht="20.100000000000001" customHeight="1" x14ac:dyDescent="0.25">
      <c r="D53" s="96" t="s">
        <v>204</v>
      </c>
      <c r="U53" s="51" t="str">
        <f>TEXT(EDATE('Input - Site'!$E$12,9), "mmmm")</f>
        <v>October</v>
      </c>
      <c r="V53" s="51">
        <f ca="1"/>
        <v>340</v>
      </c>
      <c r="W53" s="51">
        <f ca="1"/>
        <v>800</v>
      </c>
      <c r="X53" s="51">
        <f ca="1"/>
        <v>260</v>
      </c>
      <c r="Y53" s="51">
        <f ca="1"/>
        <v>420</v>
      </c>
      <c r="Z53" s="51">
        <f ca="1"/>
        <v>550</v>
      </c>
      <c r="AA53" s="51">
        <f ca="1"/>
        <v>550</v>
      </c>
      <c r="AB53" s="51">
        <f ca="1"/>
        <v>300</v>
      </c>
      <c r="AC53" s="51">
        <f ca="1"/>
        <v>480</v>
      </c>
      <c r="AD53" s="51">
        <f ca="1"/>
        <v>480</v>
      </c>
      <c r="AE53" s="51">
        <f ca="1"/>
        <v>480</v>
      </c>
      <c r="AF53" s="2" t="s">
        <v>106</v>
      </c>
      <c r="AG53" s="2"/>
      <c r="AH53" s="2"/>
    </row>
    <row r="54" spans="4:34" ht="20.100000000000001" customHeight="1" x14ac:dyDescent="0.25">
      <c r="D54" s="95" t="s">
        <v>205</v>
      </c>
      <c r="U54" s="51" t="str">
        <f>TEXT(EDATE('Input - Site'!$E$12,10), "mmmm")</f>
        <v>November</v>
      </c>
      <c r="V54" s="51">
        <f ca="1"/>
        <v>340</v>
      </c>
      <c r="W54" s="51">
        <f ca="1"/>
        <v>800</v>
      </c>
      <c r="X54" s="51">
        <f ca="1"/>
        <v>260</v>
      </c>
      <c r="Y54" s="51">
        <f ca="1"/>
        <v>420</v>
      </c>
      <c r="Z54" s="51">
        <f ca="1"/>
        <v>550</v>
      </c>
      <c r="AA54" s="51">
        <f ca="1"/>
        <v>550</v>
      </c>
      <c r="AB54" s="51">
        <f ca="1"/>
        <v>300</v>
      </c>
      <c r="AC54" s="51">
        <f ca="1"/>
        <v>480</v>
      </c>
      <c r="AD54" s="51">
        <f ca="1"/>
        <v>480</v>
      </c>
      <c r="AE54" s="51">
        <f ca="1"/>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TEXT(EDATE('Input - Site'!$E$12,11), "mmmm")</f>
        <v>December</v>
      </c>
      <c r="V55" s="51">
        <f ca="1"/>
        <v>380</v>
      </c>
      <c r="W55" s="51">
        <f ca="1"/>
        <v>780</v>
      </c>
      <c r="X55" s="51">
        <f ca="1"/>
        <v>300</v>
      </c>
      <c r="Y55" s="51">
        <f ca="1"/>
        <v>450</v>
      </c>
      <c r="Z55" s="51">
        <f ca="1"/>
        <v>530</v>
      </c>
      <c r="AA55" s="51">
        <f ca="1"/>
        <v>530</v>
      </c>
      <c r="AB55" s="51">
        <f ca="1"/>
        <v>340</v>
      </c>
      <c r="AC55" s="51">
        <f ca="1"/>
        <v>470</v>
      </c>
      <c r="AD55" s="51">
        <f ca="1"/>
        <v>470</v>
      </c>
      <c r="AE55" s="51">
        <f ca="1"/>
        <v>470</v>
      </c>
      <c r="AF55" s="2" t="s">
        <v>106</v>
      </c>
      <c r="AG55" s="2"/>
      <c r="AH55" s="2"/>
    </row>
    <row r="56" spans="4:34" ht="20.100000000000001" customHeight="1" x14ac:dyDescent="0.25">
      <c r="D56" s="51" t="str">
        <f>INDEX(X_Table_PastureBeef_LiveweightGain_Method1,2,1)</f>
        <v>Spring</v>
      </c>
      <c r="E56" s="51" cm="1">
        <f t="array" aca="1" ref="E56:N59" ca="1">OFFSET(X_Table_PastureBeef_LiveweightGain_Method1, 1,1, 4,10)</f>
        <v>1.64</v>
      </c>
      <c r="F56" s="51">
        <f ca="1"/>
        <v>1.1000000000000001</v>
      </c>
      <c r="G56" s="51">
        <f ca="1"/>
        <v>1.21</v>
      </c>
      <c r="H56" s="51">
        <f ca="1"/>
        <v>0.99</v>
      </c>
      <c r="I56" s="51">
        <f ca="1"/>
        <v>0.66</v>
      </c>
      <c r="J56" s="51">
        <f ca="1"/>
        <v>0.66</v>
      </c>
      <c r="K56" s="51">
        <f ca="1"/>
        <v>1.42</v>
      </c>
      <c r="L56" s="51">
        <f ca="1"/>
        <v>1.1000000000000001</v>
      </c>
      <c r="M56" s="51">
        <f ca="1"/>
        <v>1.1000000000000001</v>
      </c>
      <c r="N56" s="51">
        <f ca="1"/>
        <v>1.1000000000000001</v>
      </c>
      <c r="O56" s="2" t="s">
        <v>106</v>
      </c>
      <c r="P56" s="2"/>
      <c r="Q56" s="2"/>
      <c r="AG56" s="2"/>
      <c r="AH56" s="2"/>
    </row>
    <row r="57" spans="4:34" ht="20.100000000000001" customHeight="1" x14ac:dyDescent="0.25">
      <c r="D57" s="51" t="str">
        <f>INDEX(X_Table_PastureBeef_LiveweightGain_Method1,3,1)</f>
        <v>Summer</v>
      </c>
      <c r="E57" s="51">
        <f ca="1"/>
        <v>0.44</v>
      </c>
      <c r="F57" s="51">
        <f ca="1"/>
        <v>-0.22</v>
      </c>
      <c r="G57" s="51">
        <f ca="1"/>
        <v>0.44</v>
      </c>
      <c r="H57" s="51">
        <f ca="1"/>
        <v>0.33</v>
      </c>
      <c r="I57" s="51">
        <f ca="1"/>
        <v>-0.22</v>
      </c>
      <c r="J57" s="51">
        <f ca="1"/>
        <v>-0.22</v>
      </c>
      <c r="K57" s="51">
        <f ca="1"/>
        <v>0.44</v>
      </c>
      <c r="L57" s="51">
        <f ca="1"/>
        <v>-0.11</v>
      </c>
      <c r="M57" s="51">
        <f ca="1"/>
        <v>-0.11</v>
      </c>
      <c r="N57" s="51">
        <f ca="1"/>
        <v>-0.11</v>
      </c>
      <c r="O57" s="2" t="s">
        <v>106</v>
      </c>
      <c r="P57" s="2"/>
      <c r="Q57" s="2"/>
      <c r="U57" s="96" t="s">
        <v>217</v>
      </c>
      <c r="AG57" s="2"/>
      <c r="AH57" s="2"/>
    </row>
    <row r="58" spans="4:34" ht="20.100000000000001" customHeight="1" x14ac:dyDescent="0.25">
      <c r="D58" s="51" t="str">
        <f>INDEX(X_Table_PastureBeef_LiveweightGain_Method1,4,1)</f>
        <v>Autumn</v>
      </c>
      <c r="E58" s="51">
        <f ca="1"/>
        <v>0.6</v>
      </c>
      <c r="F58" s="51">
        <f ca="1"/>
        <v>0</v>
      </c>
      <c r="G58" s="51">
        <f ca="1"/>
        <v>0.6</v>
      </c>
      <c r="H58" s="51">
        <f ca="1"/>
        <v>0.22</v>
      </c>
      <c r="I58" s="51">
        <f ca="1"/>
        <v>-0.55000000000000004</v>
      </c>
      <c r="J58" s="51">
        <f ca="1"/>
        <v>-0.55000000000000004</v>
      </c>
      <c r="K58" s="51">
        <f ca="1"/>
        <v>0.6</v>
      </c>
      <c r="L58" s="51">
        <f ca="1"/>
        <v>0</v>
      </c>
      <c r="M58" s="51">
        <f ca="1"/>
        <v>0</v>
      </c>
      <c r="N58" s="51">
        <f ca="1"/>
        <v>0</v>
      </c>
      <c r="O58" s="2" t="s">
        <v>106</v>
      </c>
      <c r="P58" s="2"/>
      <c r="Q58" s="2"/>
      <c r="U58" s="95" t="s">
        <v>218</v>
      </c>
      <c r="AG58" s="2"/>
      <c r="AH58" s="2"/>
    </row>
    <row r="59" spans="4:34" ht="20.100000000000001" customHeight="1" x14ac:dyDescent="0.25">
      <c r="D59" s="51" t="str">
        <f>INDEX(X_Table_PastureBeef_LiveweightGain_Method1,5,1)</f>
        <v>Winter</v>
      </c>
      <c r="E59" s="51">
        <f ca="1"/>
        <v>0.99</v>
      </c>
      <c r="F59" s="51">
        <f ca="1"/>
        <v>0.22</v>
      </c>
      <c r="G59" s="51">
        <f ca="1"/>
        <v>0.77</v>
      </c>
      <c r="H59" s="51">
        <f ca="1"/>
        <v>0.11</v>
      </c>
      <c r="I59" s="51">
        <f ca="1"/>
        <v>0.11</v>
      </c>
      <c r="J59" s="51">
        <f ca="1"/>
        <v>0.11</v>
      </c>
      <c r="K59" s="51">
        <f ca="1"/>
        <v>0.77</v>
      </c>
      <c r="L59" s="51">
        <f ca="1"/>
        <v>0.44</v>
      </c>
      <c r="M59" s="51">
        <f ca="1"/>
        <v>0.44</v>
      </c>
      <c r="N59" s="51">
        <f ca="1"/>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TEXT('Input - Site'!$E$12,"mmmm")</f>
        <v>January</v>
      </c>
      <c r="V60" s="51" cm="1">
        <f t="array" aca="1" ref="V60:AE71" ca="1">OFFSET(X_Table_PastureBeef_LiveweightGain_Method2,1,1,12,10)</f>
        <v>0.44</v>
      </c>
      <c r="W60" s="51">
        <f ca="1"/>
        <v>-0.22</v>
      </c>
      <c r="X60" s="51">
        <f ca="1"/>
        <v>0.44</v>
      </c>
      <c r="Y60" s="51">
        <f ca="1"/>
        <v>0.33</v>
      </c>
      <c r="Z60" s="51">
        <f ca="1"/>
        <v>-0.22</v>
      </c>
      <c r="AA60" s="51">
        <f ca="1"/>
        <v>-0.22</v>
      </c>
      <c r="AB60" s="51">
        <f ca="1"/>
        <v>0.44</v>
      </c>
      <c r="AC60" s="51">
        <f ca="1"/>
        <v>-0.11</v>
      </c>
      <c r="AD60" s="51">
        <f ca="1"/>
        <v>-0.11</v>
      </c>
      <c r="AE60" s="51">
        <f ca="1"/>
        <v>-0.11</v>
      </c>
      <c r="AF60" s="2" t="s">
        <v>107</v>
      </c>
      <c r="AG60" s="2"/>
      <c r="AH60" s="2"/>
    </row>
    <row r="61" spans="4:34" ht="20.100000000000001" customHeight="1" x14ac:dyDescent="0.25">
      <c r="D61" s="96" t="s">
        <v>207</v>
      </c>
      <c r="U61" s="51" t="str">
        <f>TEXT(EDATE('Input - Site'!$E$12,1), "mmmm")</f>
        <v>February</v>
      </c>
      <c r="V61" s="51">
        <f ca="1"/>
        <v>0.44</v>
      </c>
      <c r="W61" s="51">
        <f ca="1"/>
        <v>-0.22</v>
      </c>
      <c r="X61" s="51">
        <f ca="1"/>
        <v>0.44</v>
      </c>
      <c r="Y61" s="51">
        <f ca="1"/>
        <v>0.33</v>
      </c>
      <c r="Z61" s="51">
        <f ca="1"/>
        <v>-0.22</v>
      </c>
      <c r="AA61" s="51">
        <f ca="1"/>
        <v>-0.22</v>
      </c>
      <c r="AB61" s="51">
        <f ca="1"/>
        <v>0.44</v>
      </c>
      <c r="AC61" s="51">
        <f ca="1"/>
        <v>-0.11</v>
      </c>
      <c r="AD61" s="51">
        <f ca="1"/>
        <v>-0.11</v>
      </c>
      <c r="AE61" s="51">
        <f ca="1"/>
        <v>-0.11</v>
      </c>
      <c r="AF61" s="2" t="s">
        <v>107</v>
      </c>
      <c r="AG61" s="2"/>
      <c r="AH61" s="2"/>
    </row>
    <row r="62" spans="4:34" ht="20.100000000000001" customHeight="1" x14ac:dyDescent="0.25">
      <c r="D62" s="95" t="s">
        <v>115</v>
      </c>
      <c r="U62" s="51" t="str">
        <f>TEXT(EDATE('Input - Site'!$E$12,2), "mmmm")</f>
        <v>March</v>
      </c>
      <c r="V62" s="51">
        <f ca="1"/>
        <v>0.6</v>
      </c>
      <c r="W62" s="51">
        <f ca="1"/>
        <v>0</v>
      </c>
      <c r="X62" s="51">
        <f ca="1"/>
        <v>0.6</v>
      </c>
      <c r="Y62" s="51">
        <f ca="1"/>
        <v>0.22</v>
      </c>
      <c r="Z62" s="51">
        <f ca="1"/>
        <v>-0.55000000000000004</v>
      </c>
      <c r="AA62" s="51">
        <f ca="1"/>
        <v>-0.55000000000000004</v>
      </c>
      <c r="AB62" s="51">
        <f ca="1"/>
        <v>0.6</v>
      </c>
      <c r="AC62" s="51">
        <f ca="1"/>
        <v>0</v>
      </c>
      <c r="AD62" s="51">
        <f ca="1"/>
        <v>0</v>
      </c>
      <c r="AE62" s="51">
        <f ca="1"/>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TEXT(EDATE('Input - Site'!$E$12,3), "mmmm")</f>
        <v>April</v>
      </c>
      <c r="V63" s="51">
        <f ca="1"/>
        <v>0.6</v>
      </c>
      <c r="W63" s="51">
        <f ca="1"/>
        <v>0</v>
      </c>
      <c r="X63" s="51">
        <f ca="1"/>
        <v>0.6</v>
      </c>
      <c r="Y63" s="51">
        <f ca="1"/>
        <v>0.22</v>
      </c>
      <c r="Z63" s="51">
        <f ca="1"/>
        <v>-0.55000000000000004</v>
      </c>
      <c r="AA63" s="51">
        <f ca="1"/>
        <v>-0.55000000000000004</v>
      </c>
      <c r="AB63" s="51">
        <f ca="1"/>
        <v>0.6</v>
      </c>
      <c r="AC63" s="51">
        <f ca="1"/>
        <v>0</v>
      </c>
      <c r="AD63" s="51">
        <f ca="1"/>
        <v>0</v>
      </c>
      <c r="AE63" s="51">
        <f ca="1"/>
        <v>0</v>
      </c>
      <c r="AF63" s="2" t="s">
        <v>107</v>
      </c>
      <c r="AG63" s="2"/>
      <c r="AH63" s="2"/>
    </row>
    <row r="64" spans="4:34" ht="20.100000000000001" customHeight="1" x14ac:dyDescent="0.25">
      <c r="D64" s="51" t="s">
        <v>135</v>
      </c>
      <c r="E64" s="51" cm="1">
        <f t="array" aca="1" ref="E64" ca="1">EntericMethane_PastureBeef_Equations.VEERG_3_2_1_1__3_FeedIntakeForGrazingBeef(E48,E56,G26)</f>
        <v>8.6709047296000001</v>
      </c>
      <c r="F64" s="51" cm="1">
        <f t="array" aca="1" ref="F64" ca="1">EntericMethane_PastureBeef_Equations.VEERG_3_2_1_1__3_FeedIntakeForGrazingBeef(F48,F56,H26)</f>
        <v>12.246500250000002</v>
      </c>
      <c r="G64" s="51" cm="1">
        <f t="array" aca="1" ref="G64" ca="1">EntericMethane_PastureBeef_Equations.VEERG_3_2_1_1__3_FeedIntakeForGrazingBeef(G48,G56,I26)</f>
        <v>6.6089612241000006</v>
      </c>
      <c r="H64" s="51" cm="1">
        <f t="array" aca="1" ref="H64" ca="1">EntericMethane_PastureBeef_Equations.VEERG_3_2_1_1__3_FeedIntakeForGrazingBeef(H48,H56,J26)</f>
        <v>8.6730839001000017</v>
      </c>
      <c r="I64" s="51" cm="1">
        <f t="array" aca="1" ref="I64" ca="1">EntericMethane_PastureBeef_Equations.VEERG_3_2_1_1__3_FeedIntakeForGrazingBeef(I48,I56,K26)</f>
        <v>9.6310915600000016</v>
      </c>
      <c r="J64" s="51" cm="1">
        <f t="array" aca="1" ref="J64" ca="1">EntericMethane_PastureBeef_Equations.VEERG_3_2_1_1__3_FeedIntakeForGrazingBeef(J48,J56,L26)</f>
        <v>9.6310915600000016</v>
      </c>
      <c r="K64" s="51" cm="1">
        <f t="array" aca="1" ref="K64" ca="1">EntericMethane_PastureBeef_Equations.VEERG_3_2_1_1__3_FeedIntakeForGrazingBeef(K48,K56,M26)</f>
        <v>7.6192560899999977</v>
      </c>
      <c r="L64" s="51" cm="1">
        <f t="array" aca="1" ref="L64" ca="1">EntericMethane_PastureBeef_Equations.VEERG_3_2_1_1__3_FeedIntakeForGrazingBeef(L48,L56,N26)</f>
        <v>9.6824279555999979</v>
      </c>
      <c r="M64" s="51" cm="1">
        <f t="array" aca="1" ref="M64" ca="1">EntericMethane_PastureBeef_Equations.VEERG_3_2_1_1__3_FeedIntakeForGrazingBeef(M48,M56,O26)</f>
        <v>9.6824279555999979</v>
      </c>
      <c r="N64" s="51" cm="1">
        <f t="array" aca="1" ref="N64" ca="1">EntericMethane_PastureBeef_Equations.VEERG_3_2_1_1__3_FeedIntakeForGrazingBeef(N48,N56,P26)</f>
        <v>9.6824279555999979</v>
      </c>
      <c r="O64" s="2" t="str">
        <f>$E$39</f>
        <v>kg DM/head/day</v>
      </c>
      <c r="P64" s="2"/>
      <c r="Q64" s="2"/>
      <c r="U64" s="51" t="str">
        <f>TEXT(EDATE('Input - Site'!$E$12,4), "mmmm")</f>
        <v>May</v>
      </c>
      <c r="V64" s="51">
        <f ca="1"/>
        <v>0.6</v>
      </c>
      <c r="W64" s="51">
        <f ca="1"/>
        <v>0</v>
      </c>
      <c r="X64" s="51">
        <f ca="1"/>
        <v>0.6</v>
      </c>
      <c r="Y64" s="51">
        <f ca="1"/>
        <v>0.22</v>
      </c>
      <c r="Z64" s="51">
        <f ca="1"/>
        <v>-0.55000000000000004</v>
      </c>
      <c r="AA64" s="51">
        <f ca="1"/>
        <v>-0.55000000000000004</v>
      </c>
      <c r="AB64" s="51">
        <f ca="1"/>
        <v>0.6</v>
      </c>
      <c r="AC64" s="51">
        <f ca="1"/>
        <v>0</v>
      </c>
      <c r="AD64" s="51">
        <f ca="1"/>
        <v>0</v>
      </c>
      <c r="AE64" s="51">
        <f ca="1"/>
        <v>0</v>
      </c>
      <c r="AF64" s="2" t="s">
        <v>107</v>
      </c>
    </row>
    <row r="65" spans="3:34" ht="20.100000000000001" customHeight="1" x14ac:dyDescent="0.25">
      <c r="D65" s="51" t="s">
        <v>136</v>
      </c>
      <c r="E65" s="51" cm="1">
        <f t="array" aca="1" ref="E65" ca="1">EntericMethane_PastureBeef_Equations.VEERG_3_2_1_1__3_FeedIntakeForGrazingBeef(E49,E57,G27)</f>
        <v>7.1468536895999959</v>
      </c>
      <c r="F65" s="51" cm="1">
        <f t="array" aca="1" ref="F65" ca="1">EntericMethane_PastureBeef_Equations.VEERG_3_2_1_1__3_FeedIntakeForGrazingBeef(F49,F57,H27)</f>
        <v>9.4559940036000008</v>
      </c>
      <c r="G65" s="51" cm="1">
        <f t="array" aca="1" ref="G65" ca="1">EntericMethane_PastureBeef_Equations.VEERG_3_2_1_1__3_FeedIntakeForGrazingBeef(G49,G57,I27)</f>
        <v>6.010342559999998</v>
      </c>
      <c r="H65" s="51" cm="1">
        <f t="array" aca="1" ref="H65" ca="1">EntericMethane_PastureBeef_Equations.VEERG_3_2_1_1__3_FeedIntakeForGrazingBeef(H49,H57,J27)</f>
        <v>7.8705497025</v>
      </c>
      <c r="I65" s="51" cm="1">
        <f t="array" aca="1" ref="I65" ca="1">EntericMethane_PastureBeef_Equations.VEERG_3_2_1_1__3_FeedIntakeForGrazingBeef(I49,I57,K27)</f>
        <v>7.7928072335999978</v>
      </c>
      <c r="J65" s="51" cm="1">
        <f t="array" aca="1" ref="J65" ca="1">EntericMethane_PastureBeef_Equations.VEERG_3_2_1_1__3_FeedIntakeForGrazingBeef(J49,J57,L27)</f>
        <v>7.7928072335999978</v>
      </c>
      <c r="K65" s="51" cm="1">
        <f t="array" aca="1" ref="K65" ca="1">EntericMethane_PastureBeef_Equations.VEERG_3_2_1_1__3_FeedIntakeForGrazingBeef(K49,K57,M27)</f>
        <v>6.5876408896000003</v>
      </c>
      <c r="L65" s="51" cm="1">
        <f t="array" aca="1" ref="L65" ca="1">EntericMethane_PastureBeef_Equations.VEERG_3_2_1_1__3_FeedIntakeForGrazingBeef(L49,L57,N27)</f>
        <v>7.3430702361</v>
      </c>
      <c r="M65" s="51" cm="1">
        <f t="array" aca="1" ref="M65" ca="1">EntericMethane_PastureBeef_Equations.VEERG_3_2_1_1__3_FeedIntakeForGrazingBeef(M49,M57,O27)</f>
        <v>7.3430702361</v>
      </c>
      <c r="N65" s="51" cm="1">
        <f t="array" aca="1" ref="N65" ca="1">EntericMethane_PastureBeef_Equations.VEERG_3_2_1_1__3_FeedIntakeForGrazingBeef(N49,N57,P27)</f>
        <v>7.3430702361</v>
      </c>
      <c r="O65" s="2" t="str">
        <f>$E$39</f>
        <v>kg DM/head/day</v>
      </c>
      <c r="P65" s="2"/>
      <c r="Q65" s="2"/>
      <c r="U65" s="51" t="str">
        <f>TEXT(EDATE('Input - Site'!$E$12,5), "mmmm")</f>
        <v>June</v>
      </c>
      <c r="V65" s="51">
        <f ca="1"/>
        <v>0.99</v>
      </c>
      <c r="W65" s="51">
        <f ca="1"/>
        <v>0.22</v>
      </c>
      <c r="X65" s="51">
        <f ca="1"/>
        <v>0.77</v>
      </c>
      <c r="Y65" s="51">
        <f ca="1"/>
        <v>0.11</v>
      </c>
      <c r="Z65" s="51">
        <f ca="1"/>
        <v>0.11</v>
      </c>
      <c r="AA65" s="51">
        <f ca="1"/>
        <v>0.11</v>
      </c>
      <c r="AB65" s="51">
        <f ca="1"/>
        <v>0.77</v>
      </c>
      <c r="AC65" s="51">
        <f ca="1"/>
        <v>0.44</v>
      </c>
      <c r="AD65" s="51">
        <f ca="1"/>
        <v>0.44</v>
      </c>
      <c r="AE65" s="51">
        <f ca="1"/>
        <v>0.44</v>
      </c>
      <c r="AF65" s="2" t="s">
        <v>107</v>
      </c>
    </row>
    <row r="66" spans="3:34" ht="20.100000000000001" customHeight="1" x14ac:dyDescent="0.25">
      <c r="D66" s="51" t="s">
        <v>137</v>
      </c>
      <c r="E66" s="51" cm="1">
        <f t="array" aca="1" ref="E66" ca="1">EntericMethane_PastureBeef_Equations.VEERG_3_2_1_1__3_FeedIntakeForGrazingBeef(E50,E58,G28)</f>
        <v>3.247204</v>
      </c>
      <c r="F66" s="51" cm="1">
        <f t="array" aca="1" ref="F66" ca="1">EntericMethane_PastureBeef_Equations.VEERG_3_2_1_1__3_FeedIntakeForGrazingBeef(F50,F58,H28)</f>
        <v>9.4246544015999998</v>
      </c>
      <c r="G66" s="51" cm="1">
        <f t="array" aca="1" ref="G66" ca="1">EntericMethane_PastureBeef_Equations.VEERG_3_2_1_1__3_FeedIntakeForGrazingBeef(G50,G58,I28)</f>
        <v>2.9603267136000002</v>
      </c>
      <c r="H66" s="51" cm="1">
        <f t="array" aca="1" ref="H66" ca="1">EntericMethane_PastureBeef_Equations.VEERG_3_2_1_1__3_FeedIntakeForGrazingBeef(H50,H58,J28)</f>
        <v>5.9577975395999987</v>
      </c>
      <c r="I66" s="51" cm="1">
        <f t="array" aca="1" ref="I66" ca="1">EntericMethane_PastureBeef_Equations.VEERG_3_2_1_1__3_FeedIntakeForGrazingBeef(I50,I58,K28)</f>
        <v>6.7179974480999993</v>
      </c>
      <c r="J66" s="51" cm="1">
        <f t="array" aca="1" ref="J66" ca="1">EntericMethane_PastureBeef_Equations.VEERG_3_2_1_1__3_FeedIntakeForGrazingBeef(J50,J58,L28)</f>
        <v>6.7179974480999993</v>
      </c>
      <c r="K66" s="51" cm="1">
        <f t="array" aca="1" ref="K66" ca="1">EntericMethane_PastureBeef_Equations.VEERG_3_2_1_1__3_FeedIntakeForGrazingBeef(K50,K58,M28)</f>
        <v>3.247204</v>
      </c>
      <c r="L66" s="51" cm="1">
        <f t="array" aca="1" ref="L66" ca="1">EntericMethane_PastureBeef_Equations.VEERG_3_2_1_1__3_FeedIntakeForGrazingBeef(L50,L58,N28)</f>
        <v>5.8953782416000013</v>
      </c>
      <c r="M66" s="51" cm="1">
        <f t="array" aca="1" ref="M66" ca="1">EntericMethane_PastureBeef_Equations.VEERG_3_2_1_1__3_FeedIntakeForGrazingBeef(M50,M58,O28)</f>
        <v>5.8953782416000013</v>
      </c>
      <c r="N66" s="51" cm="1">
        <f t="array" aca="1" ref="N66" ca="1">EntericMethane_PastureBeef_Equations.VEERG_3_2_1_1__3_FeedIntakeForGrazingBeef(N50,N58,P28)</f>
        <v>5.8953782416000013</v>
      </c>
      <c r="O66" s="2" t="str">
        <f>$E$39</f>
        <v>kg DM/head/day</v>
      </c>
      <c r="P66" s="2"/>
      <c r="Q66" s="2"/>
      <c r="U66" s="51" t="str">
        <f>TEXT(EDATE('Input - Site'!$E$12,6), "mmmm")</f>
        <v>July</v>
      </c>
      <c r="V66" s="51">
        <f ca="1"/>
        <v>0.99</v>
      </c>
      <c r="W66" s="51">
        <f ca="1"/>
        <v>0.22</v>
      </c>
      <c r="X66" s="51">
        <f ca="1"/>
        <v>0.77</v>
      </c>
      <c r="Y66" s="51">
        <f ca="1"/>
        <v>0.11</v>
      </c>
      <c r="Z66" s="51">
        <f ca="1"/>
        <v>0.11</v>
      </c>
      <c r="AA66" s="51">
        <f ca="1"/>
        <v>0.11</v>
      </c>
      <c r="AB66" s="51">
        <f ca="1"/>
        <v>0.77</v>
      </c>
      <c r="AC66" s="51">
        <f ca="1"/>
        <v>0.44</v>
      </c>
      <c r="AD66" s="51">
        <f ca="1"/>
        <v>0.44</v>
      </c>
      <c r="AE66" s="51">
        <f ca="1"/>
        <v>0.44</v>
      </c>
      <c r="AF66" s="2" t="s">
        <v>107</v>
      </c>
    </row>
    <row r="67" spans="3:34" ht="20.100000000000001" customHeight="1" x14ac:dyDescent="0.25">
      <c r="D67" s="51" t="s">
        <v>138</v>
      </c>
      <c r="E67" s="51" cm="1">
        <f t="array" aca="1" ref="E67" ca="1">EntericMethane_PastureBeef_Equations.VEERG_3_2_1_1__3_FeedIntakeForGrazingBeef(E51,E59,G29)</f>
        <v>5.1328980481000004</v>
      </c>
      <c r="F67" s="51" cm="1">
        <f t="array" aca="1" ref="F67" ca="1">EntericMethane_PastureBeef_Equations.VEERG_3_2_1_1__3_FeedIntakeForGrazingBeef(F51,F59,H29)</f>
        <v>9.9748588899999984</v>
      </c>
      <c r="G67" s="51" cm="1">
        <f t="array" aca="1" ref="G67" ca="1">EntericMethane_PastureBeef_Equations.VEERG_3_2_1_1__3_FeedIntakeForGrazingBeef(G51,G59,I29)</f>
        <v>4.202705002500001</v>
      </c>
      <c r="H67" s="51" cm="1">
        <f t="array" aca="1" ref="H67" ca="1">EntericMethane_PastureBeef_Equations.VEERG_3_2_1_1__3_FeedIntakeForGrazingBeef(H51,H59,J29)</f>
        <v>5.9278127841000021</v>
      </c>
      <c r="I67" s="51" cm="1">
        <f t="array" aca="1" ref="I67" ca="1">EntericMethane_PastureBeef_Equations.VEERG_3_2_1_1__3_FeedIntakeForGrazingBeef(I51,I59,K29)</f>
        <v>7.952343600099999</v>
      </c>
      <c r="J67" s="51" cm="1">
        <f t="array" aca="1" ref="J67" ca="1">EntericMethane_PastureBeef_Equations.VEERG_3_2_1_1__3_FeedIntakeForGrazingBeef(J51,J59,L29)</f>
        <v>7.952343600099999</v>
      </c>
      <c r="K67" s="51" cm="1">
        <f t="array" aca="1" ref="K67" ca="1">EntericMethane_PastureBeef_Equations.VEERG_3_2_1_1__3_FeedIntakeForGrazingBeef(K51,K59,M29)</f>
        <v>4.5122681240999984</v>
      </c>
      <c r="L67" s="51" cm="1">
        <f t="array" aca="1" ref="L67" ca="1">EntericMethane_PastureBeef_Equations.VEERG_3_2_1_1__3_FeedIntakeForGrazingBeef(L51,L59,N29)</f>
        <v>6.8698506815999991</v>
      </c>
      <c r="M67" s="51" cm="1">
        <f t="array" aca="1" ref="M67" ca="1">EntericMethane_PastureBeef_Equations.VEERG_3_2_1_1__3_FeedIntakeForGrazingBeef(M51,M59,O29)</f>
        <v>6.8698506815999991</v>
      </c>
      <c r="N67" s="51" cm="1">
        <f t="array" aca="1" ref="N67" ca="1">EntericMethane_PastureBeef_Equations.VEERG_3_2_1_1__3_FeedIntakeForGrazingBeef(N51,N59,P29)</f>
        <v>6.8698506815999991</v>
      </c>
      <c r="O67" s="2" t="str">
        <f>$E$39</f>
        <v>kg DM/head/day</v>
      </c>
      <c r="P67" s="2"/>
      <c r="Q67" s="2"/>
      <c r="U67" s="51" t="str">
        <f>TEXT(EDATE('Input - Site'!$E$12,7), "mmmm")</f>
        <v>August</v>
      </c>
      <c r="V67" s="51">
        <f ca="1"/>
        <v>0.99</v>
      </c>
      <c r="W67" s="51">
        <f ca="1"/>
        <v>0.22</v>
      </c>
      <c r="X67" s="51">
        <f ca="1"/>
        <v>0.77</v>
      </c>
      <c r="Y67" s="51">
        <f ca="1"/>
        <v>0.11</v>
      </c>
      <c r="Z67" s="51">
        <f ca="1"/>
        <v>0.11</v>
      </c>
      <c r="AA67" s="51">
        <f ca="1"/>
        <v>0.11</v>
      </c>
      <c r="AB67" s="51">
        <f ca="1"/>
        <v>0.77</v>
      </c>
      <c r="AC67" s="51">
        <f ca="1"/>
        <v>0.44</v>
      </c>
      <c r="AD67" s="51">
        <f ca="1"/>
        <v>0.44</v>
      </c>
      <c r="AE67" s="51">
        <f ca="1"/>
        <v>0.44</v>
      </c>
      <c r="AF67" s="2" t="s">
        <v>107</v>
      </c>
    </row>
    <row r="68" spans="3:34" ht="20.100000000000001" customHeight="1" x14ac:dyDescent="0.25">
      <c r="U68" s="51" t="str">
        <f>TEXT(EDATE('Input - Site'!$E$12,8), "mmmm")</f>
        <v>September</v>
      </c>
      <c r="V68" s="51">
        <f ca="1"/>
        <v>1.64</v>
      </c>
      <c r="W68" s="51">
        <f ca="1"/>
        <v>1.1000000000000001</v>
      </c>
      <c r="X68" s="51">
        <f ca="1"/>
        <v>1.21</v>
      </c>
      <c r="Y68" s="51">
        <f ca="1"/>
        <v>0.99</v>
      </c>
      <c r="Z68" s="51">
        <f ca="1"/>
        <v>0.66</v>
      </c>
      <c r="AA68" s="51">
        <f ca="1"/>
        <v>0.66</v>
      </c>
      <c r="AB68" s="51">
        <f ca="1"/>
        <v>1.42</v>
      </c>
      <c r="AC68" s="51">
        <f ca="1"/>
        <v>1.1000000000000001</v>
      </c>
      <c r="AD68" s="51">
        <f ca="1"/>
        <v>1.1000000000000001</v>
      </c>
      <c r="AE68" s="51">
        <f ca="1"/>
        <v>1.1000000000000001</v>
      </c>
      <c r="AF68" s="2" t="s">
        <v>107</v>
      </c>
      <c r="AG68" s="2"/>
      <c r="AH68" s="2"/>
    </row>
    <row r="69" spans="3:34" ht="20.100000000000001" customHeight="1" x14ac:dyDescent="0.25">
      <c r="U69" s="51" t="str">
        <f>TEXT(EDATE('Input - Site'!$E$12,9), "mmmm")</f>
        <v>October</v>
      </c>
      <c r="V69" s="51">
        <f ca="1"/>
        <v>1.64</v>
      </c>
      <c r="W69" s="51">
        <f ca="1"/>
        <v>1.1000000000000001</v>
      </c>
      <c r="X69" s="51">
        <f ca="1"/>
        <v>1.21</v>
      </c>
      <c r="Y69" s="51">
        <f ca="1"/>
        <v>0.99</v>
      </c>
      <c r="Z69" s="51">
        <f ca="1"/>
        <v>0.66</v>
      </c>
      <c r="AA69" s="51">
        <f ca="1"/>
        <v>0.66</v>
      </c>
      <c r="AB69" s="51">
        <f ca="1"/>
        <v>1.42</v>
      </c>
      <c r="AC69" s="51">
        <f ca="1"/>
        <v>1.1000000000000001</v>
      </c>
      <c r="AD69" s="51">
        <f ca="1"/>
        <v>1.1000000000000001</v>
      </c>
      <c r="AE69" s="51">
        <f ca="1"/>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TEXT(EDATE('Input - Site'!$E$12,10), "mmmm")</f>
        <v>November</v>
      </c>
      <c r="V70" s="51">
        <f ca="1"/>
        <v>1.64</v>
      </c>
      <c r="W70" s="51">
        <f ca="1"/>
        <v>1.1000000000000001</v>
      </c>
      <c r="X70" s="51">
        <f ca="1"/>
        <v>1.21</v>
      </c>
      <c r="Y70" s="51">
        <f ca="1"/>
        <v>0.99</v>
      </c>
      <c r="Z70" s="51">
        <f ca="1"/>
        <v>0.66</v>
      </c>
      <c r="AA70" s="51">
        <f ca="1"/>
        <v>0.66</v>
      </c>
      <c r="AB70" s="51">
        <f ca="1"/>
        <v>1.42</v>
      </c>
      <c r="AC70" s="51">
        <f ca="1"/>
        <v>1.1000000000000001</v>
      </c>
      <c r="AD70" s="51">
        <f ca="1"/>
        <v>1.1000000000000001</v>
      </c>
      <c r="AE70" s="51">
        <f ca="1"/>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TEXT(EDATE('Input - Site'!$E$12,11), "mmmm")</f>
        <v>December</v>
      </c>
      <c r="V71" s="51">
        <f ca="1"/>
        <v>0.44</v>
      </c>
      <c r="W71" s="51">
        <f ca="1"/>
        <v>-0.22</v>
      </c>
      <c r="X71" s="51">
        <f ca="1"/>
        <v>0.44</v>
      </c>
      <c r="Y71" s="51">
        <f ca="1"/>
        <v>0.33</v>
      </c>
      <c r="Z71" s="51">
        <f ca="1"/>
        <v>-0.22</v>
      </c>
      <c r="AA71" s="51">
        <f ca="1"/>
        <v>-0.22</v>
      </c>
      <c r="AB71" s="51">
        <f ca="1"/>
        <v>0.44</v>
      </c>
      <c r="AC71" s="51">
        <f ca="1"/>
        <v>-0.11</v>
      </c>
      <c r="AD71" s="51">
        <f ca="1"/>
        <v>-0.11</v>
      </c>
      <c r="AE71" s="51">
        <f ca="1"/>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aca="1" ref="V76" ca="1">EntericMethane_PastureBeef_Equations.VEERG_3_2_1_1__3_FeedIntakeForGrazingBeef(V44,V60,X28)</f>
        <v>7.1468536895999959</v>
      </c>
      <c r="W76" s="51" cm="1">
        <f t="array" aca="1" ref="W76" ca="1">EntericMethane_PastureBeef_Equations.VEERG_3_2_1_1__3_FeedIntakeForGrazingBeef(W44,W60,Y28)</f>
        <v>9.4559940036000008</v>
      </c>
      <c r="X76" s="51" cm="1">
        <f t="array" aca="1" ref="X76" ca="1">EntericMethane_PastureBeef_Equations.VEERG_3_2_1_1__3_FeedIntakeForGrazingBeef(X44,X60,Z28)</f>
        <v>6.010342559999998</v>
      </c>
      <c r="Y76" s="51" cm="1">
        <f t="array" aca="1" ref="Y76" ca="1">EntericMethane_PastureBeef_Equations.VEERG_3_2_1_1__3_FeedIntakeForGrazingBeef(Y44,Y60,AA28)</f>
        <v>7.8705497025</v>
      </c>
      <c r="Z76" s="51" cm="1">
        <f t="array" aca="1" ref="Z76" ca="1">EntericMethane_PastureBeef_Equations.VEERG_3_2_1_1__3_FeedIntakeForGrazingBeef(Z44,Z60,AB28)</f>
        <v>7.7928072335999978</v>
      </c>
      <c r="AA76" s="51" cm="1">
        <f t="array" aca="1" ref="AA76" ca="1">EntericMethane_PastureBeef_Equations.VEERG_3_2_1_1__3_FeedIntakeForGrazingBeef(AA44,AA60,AC28)</f>
        <v>7.7928072335999978</v>
      </c>
      <c r="AB76" s="51" cm="1">
        <f t="array" aca="1" ref="AB76" ca="1">EntericMethane_PastureBeef_Equations.VEERG_3_2_1_1__3_FeedIntakeForGrazingBeef(AB44,AB60,AD28)</f>
        <v>6.5876408896000003</v>
      </c>
      <c r="AC76" s="51" cm="1">
        <f t="array" aca="1" ref="AC76" ca="1">EntericMethane_PastureBeef_Equations.VEERG_3_2_1_1__3_FeedIntakeForGrazingBeef(AC44,AC60,AE28)</f>
        <v>7.3430702361</v>
      </c>
      <c r="AD76" s="51" cm="1">
        <f t="array" aca="1" ref="AD76" ca="1">EntericMethane_PastureBeef_Equations.VEERG_3_2_1_1__3_FeedIntakeForGrazingBeef(AD44,AD60,AF28)</f>
        <v>7.3430702361</v>
      </c>
      <c r="AE76" s="51"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aca="1" ref="V77" ca="1">EntericMethane_PastureBeef_Equations.VEERG_3_2_1_1__3_FeedIntakeForGrazingBeef(V45,V61,X29)</f>
        <v>7.1468536895999959</v>
      </c>
      <c r="W77" s="51" cm="1">
        <f t="array" aca="1" ref="W77" ca="1">EntericMethane_PastureBeef_Equations.VEERG_3_2_1_1__3_FeedIntakeForGrazingBeef(W45,W61,Y29)</f>
        <v>9.4559940036000008</v>
      </c>
      <c r="X77" s="51" cm="1">
        <f t="array" aca="1" ref="X77" ca="1">EntericMethane_PastureBeef_Equations.VEERG_3_2_1_1__3_FeedIntakeForGrazingBeef(X45,X61,Z29)</f>
        <v>6.010342559999998</v>
      </c>
      <c r="Y77" s="51" cm="1">
        <f t="array" aca="1" ref="Y77" ca="1">EntericMethane_PastureBeef_Equations.VEERG_3_2_1_1__3_FeedIntakeForGrazingBeef(Y45,Y61,AA29)</f>
        <v>7.8705497025</v>
      </c>
      <c r="Z77" s="51" cm="1">
        <f t="array" aca="1" ref="Z77" ca="1">EntericMethane_PastureBeef_Equations.VEERG_3_2_1_1__3_FeedIntakeForGrazingBeef(Z45,Z61,AB29)</f>
        <v>7.7928072335999978</v>
      </c>
      <c r="AA77" s="51" cm="1">
        <f t="array" aca="1" ref="AA77" ca="1">EntericMethane_PastureBeef_Equations.VEERG_3_2_1_1__3_FeedIntakeForGrazingBeef(AA45,AA61,AC29)</f>
        <v>7.7928072335999978</v>
      </c>
      <c r="AB77" s="51" cm="1">
        <f t="array" aca="1" ref="AB77" ca="1">EntericMethane_PastureBeef_Equations.VEERG_3_2_1_1__3_FeedIntakeForGrazingBeef(AB45,AB61,AD29)</f>
        <v>6.5876408896000003</v>
      </c>
      <c r="AC77" s="51" cm="1">
        <f t="array" aca="1" ref="AC77" ca="1">EntericMethane_PastureBeef_Equations.VEERG_3_2_1_1__3_FeedIntakeForGrazingBeef(AC45,AC61,AE29)</f>
        <v>7.3430702361</v>
      </c>
      <c r="AD77" s="51" cm="1">
        <f t="array" aca="1" ref="AD77" ca="1">EntericMethane_PastureBeef_Equations.VEERG_3_2_1_1__3_FeedIntakeForGrazingBeef(AD45,AD61,AF29)</f>
        <v>7.3430702361</v>
      </c>
      <c r="AE77" s="51"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aca="1" ref="V78" ca="1">EntericMethane_PastureBeef_Equations.VEERG_3_2_1_1__3_FeedIntakeForGrazingBeef(V46,V62,X30)</f>
        <v>3.247204</v>
      </c>
      <c r="W78" s="51" cm="1">
        <f t="array" aca="1" ref="W78" ca="1">EntericMethane_PastureBeef_Equations.VEERG_3_2_1_1__3_FeedIntakeForGrazingBeef(W46,W62,Y30)</f>
        <v>9.4246544015999998</v>
      </c>
      <c r="X78" s="51" cm="1">
        <f t="array" aca="1" ref="X78" ca="1">EntericMethane_PastureBeef_Equations.VEERG_3_2_1_1__3_FeedIntakeForGrazingBeef(X46,X62,Z30)</f>
        <v>2.9603267136000002</v>
      </c>
      <c r="Y78" s="51" cm="1">
        <f t="array" aca="1" ref="Y78" ca="1">EntericMethane_PastureBeef_Equations.VEERG_3_2_1_1__3_FeedIntakeForGrazingBeef(Y46,Y62,AA30)</f>
        <v>5.9577975395999987</v>
      </c>
      <c r="Z78" s="51" cm="1">
        <f t="array" aca="1" ref="Z78" ca="1">EntericMethane_PastureBeef_Equations.VEERG_3_2_1_1__3_FeedIntakeForGrazingBeef(Z46,Z62,AB30)</f>
        <v>6.7179974480999993</v>
      </c>
      <c r="AA78" s="51" cm="1">
        <f t="array" aca="1" ref="AA78" ca="1">EntericMethane_PastureBeef_Equations.VEERG_3_2_1_1__3_FeedIntakeForGrazingBeef(AA46,AA62,AC30)</f>
        <v>6.7179974480999993</v>
      </c>
      <c r="AB78" s="51" cm="1">
        <f t="array" aca="1" ref="AB78" ca="1">EntericMethane_PastureBeef_Equations.VEERG_3_2_1_1__3_FeedIntakeForGrazingBeef(AB46,AB62,AD30)</f>
        <v>3.247204</v>
      </c>
      <c r="AC78" s="51" cm="1">
        <f t="array" aca="1" ref="AC78" ca="1">EntericMethane_PastureBeef_Equations.VEERG_3_2_1_1__3_FeedIntakeForGrazingBeef(AC46,AC62,AE30)</f>
        <v>5.8953782416000013</v>
      </c>
      <c r="AD78" s="51" cm="1">
        <f t="array" aca="1" ref="AD78" ca="1">EntericMethane_PastureBeef_Equations.VEERG_3_2_1_1__3_FeedIntakeForGrazingBeef(AD46,AD62,AF30)</f>
        <v>5.8953782416000013</v>
      </c>
      <c r="AE78" s="51"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TEXT(EDATE('Input - Site'!$E$12,3), "mmmm yyyy")</f>
        <v>April 2024</v>
      </c>
      <c r="V79" s="51" cm="1">
        <f t="array" aca="1" ref="V79" ca="1">EntericMethane_PastureBeef_Equations.VEERG_3_2_1_1__3_FeedIntakeForGrazingBeef(V47,V63,X31)</f>
        <v>3.247204</v>
      </c>
      <c r="W79" s="51" cm="1">
        <f t="array" aca="1" ref="W79" ca="1">EntericMethane_PastureBeef_Equations.VEERG_3_2_1_1__3_FeedIntakeForGrazingBeef(W47,W63,Y31)</f>
        <v>9.4246544015999998</v>
      </c>
      <c r="X79" s="51" cm="1">
        <f t="array" aca="1" ref="X79" ca="1">EntericMethane_PastureBeef_Equations.VEERG_3_2_1_1__3_FeedIntakeForGrazingBeef(X47,X63,Z31)</f>
        <v>2.9603267136000002</v>
      </c>
      <c r="Y79" s="51" cm="1">
        <f t="array" aca="1" ref="Y79" ca="1">EntericMethane_PastureBeef_Equations.VEERG_3_2_1_1__3_FeedIntakeForGrazingBeef(Y47,Y63,AA31)</f>
        <v>5.9577975395999987</v>
      </c>
      <c r="Z79" s="51" cm="1">
        <f t="array" aca="1" ref="Z79" ca="1">EntericMethane_PastureBeef_Equations.VEERG_3_2_1_1__3_FeedIntakeForGrazingBeef(Z47,Z63,AB31)</f>
        <v>6.7179974480999993</v>
      </c>
      <c r="AA79" s="51" cm="1">
        <f t="array" aca="1" ref="AA79" ca="1">EntericMethane_PastureBeef_Equations.VEERG_3_2_1_1__3_FeedIntakeForGrazingBeef(AA47,AA63,AC31)</f>
        <v>6.7179974480999993</v>
      </c>
      <c r="AB79" s="51" cm="1">
        <f t="array" aca="1" ref="AB79" ca="1">EntericMethane_PastureBeef_Equations.VEERG_3_2_1_1__3_FeedIntakeForGrazingBeef(AB47,AB63,AD31)</f>
        <v>3.247204</v>
      </c>
      <c r="AC79" s="51" cm="1">
        <f t="array" aca="1" ref="AC79" ca="1">EntericMethane_PastureBeef_Equations.VEERG_3_2_1_1__3_FeedIntakeForGrazingBeef(AC47,AC63,AE31)</f>
        <v>5.8953782416000013</v>
      </c>
      <c r="AD79" s="51" cm="1">
        <f t="array" aca="1" ref="AD79" ca="1">EntericMethane_PastureBeef_Equations.VEERG_3_2_1_1__3_FeedIntakeForGrazingBeef(AD47,AD63,AF31)</f>
        <v>5.8953782416000013</v>
      </c>
      <c r="AE79" s="51"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aca="1" ref="V80" ca="1">EntericMethane_PastureBeef_Equations.VEERG_3_2_1_1__3_FeedIntakeForGrazingBeef(V48,V64,X32)</f>
        <v>3.247204</v>
      </c>
      <c r="W80" s="51" cm="1">
        <f t="array" aca="1" ref="W80" ca="1">EntericMethane_PastureBeef_Equations.VEERG_3_2_1_1__3_FeedIntakeForGrazingBeef(W48,W64,Y32)</f>
        <v>9.4246544015999998</v>
      </c>
      <c r="X80" s="51" cm="1">
        <f t="array" aca="1" ref="X80" ca="1">EntericMethane_PastureBeef_Equations.VEERG_3_2_1_1__3_FeedIntakeForGrazingBeef(X48,X64,Z32)</f>
        <v>2.9603267136000002</v>
      </c>
      <c r="Y80" s="51" cm="1">
        <f t="array" aca="1" ref="Y80" ca="1">EntericMethane_PastureBeef_Equations.VEERG_3_2_1_1__3_FeedIntakeForGrazingBeef(Y48,Y64,AA32)</f>
        <v>5.9577975395999987</v>
      </c>
      <c r="Z80" s="51" cm="1">
        <f t="array" aca="1" ref="Z80" ca="1">EntericMethane_PastureBeef_Equations.VEERG_3_2_1_1__3_FeedIntakeForGrazingBeef(Z48,Z64,AB32)</f>
        <v>6.7179974480999993</v>
      </c>
      <c r="AA80" s="51" cm="1">
        <f t="array" aca="1" ref="AA80" ca="1">EntericMethane_PastureBeef_Equations.VEERG_3_2_1_1__3_FeedIntakeForGrazingBeef(AA48,AA64,AC32)</f>
        <v>6.7179974480999993</v>
      </c>
      <c r="AB80" s="51" cm="1">
        <f t="array" aca="1" ref="AB80" ca="1">EntericMethane_PastureBeef_Equations.VEERG_3_2_1_1__3_FeedIntakeForGrazingBeef(AB48,AB64,AD32)</f>
        <v>3.247204</v>
      </c>
      <c r="AC80" s="51" cm="1">
        <f t="array" aca="1" ref="AC80" ca="1">EntericMethane_PastureBeef_Equations.VEERG_3_2_1_1__3_FeedIntakeForGrazingBeef(AC48,AC64,AE32)</f>
        <v>5.8953782416000013</v>
      </c>
      <c r="AD80" s="51" cm="1">
        <f t="array" aca="1" ref="AD80" ca="1">EntericMethane_PastureBeef_Equations.VEERG_3_2_1_1__3_FeedIntakeForGrazingBeef(AD48,AD64,AF32)</f>
        <v>5.8953782416000013</v>
      </c>
      <c r="AE80" s="51" cm="1">
        <f t="array" aca="1" ref="AE80" ca="1">EntericMethane_PastureBeef_Equations.VEERG_3_2_1_1__3_FeedIntakeForGrazingBeef(AE48,AE64,AG32)</f>
        <v>5.8953782416000013</v>
      </c>
      <c r="AF80" s="2" t="str">
        <f t="shared" si="2"/>
        <v>kg DM/head/day</v>
      </c>
    </row>
    <row r="81" spans="3:35" ht="20.100000000000001" customHeight="1" x14ac:dyDescent="0.25">
      <c r="U81" s="51" t="str">
        <f>TEXT(EDATE('Input - Site'!$E$12,5), "mmmm yyyy")</f>
        <v>June 2024</v>
      </c>
      <c r="V81" s="51" cm="1">
        <f t="array" aca="1" ref="V81" ca="1">EntericMethane_PastureBeef_Equations.VEERG_3_2_1_1__3_FeedIntakeForGrazingBeef(V49,V65,X33)</f>
        <v>5.1328980481000004</v>
      </c>
      <c r="W81" s="51" cm="1">
        <f t="array" aca="1" ref="W81" ca="1">EntericMethane_PastureBeef_Equations.VEERG_3_2_1_1__3_FeedIntakeForGrazingBeef(W49,W65,Y33)</f>
        <v>9.9748588899999984</v>
      </c>
      <c r="X81" s="51" cm="1">
        <f t="array" aca="1" ref="X81" ca="1">EntericMethane_PastureBeef_Equations.VEERG_3_2_1_1__3_FeedIntakeForGrazingBeef(X49,X65,Z33)</f>
        <v>4.202705002500001</v>
      </c>
      <c r="Y81" s="51" cm="1">
        <f t="array" aca="1" ref="Y81" ca="1">EntericMethane_PastureBeef_Equations.VEERG_3_2_1_1__3_FeedIntakeForGrazingBeef(Y49,Y65,AA33)</f>
        <v>5.9278127841000021</v>
      </c>
      <c r="Z81" s="51" cm="1">
        <f t="array" aca="1" ref="Z81" ca="1">EntericMethane_PastureBeef_Equations.VEERG_3_2_1_1__3_FeedIntakeForGrazingBeef(Z49,Z65,AB33)</f>
        <v>7.952343600099999</v>
      </c>
      <c r="AA81" s="51" cm="1">
        <f t="array" aca="1" ref="AA81" ca="1">EntericMethane_PastureBeef_Equations.VEERG_3_2_1_1__3_FeedIntakeForGrazingBeef(AA49,AA65,AC33)</f>
        <v>7.952343600099999</v>
      </c>
      <c r="AB81" s="51" cm="1">
        <f t="array" aca="1" ref="AB81" ca="1">EntericMethane_PastureBeef_Equations.VEERG_3_2_1_1__3_FeedIntakeForGrazingBeef(AB49,AB65,AD33)</f>
        <v>4.5122681240999984</v>
      </c>
      <c r="AC81" s="51" cm="1">
        <f t="array" aca="1" ref="AC81" ca="1">EntericMethane_PastureBeef_Equations.VEERG_3_2_1_1__3_FeedIntakeForGrazingBeef(AC49,AC65,AE33)</f>
        <v>6.8698506815999991</v>
      </c>
      <c r="AD81" s="51" cm="1">
        <f t="array" aca="1" ref="AD81" ca="1">EntericMethane_PastureBeef_Equations.VEERG_3_2_1_1__3_FeedIntakeForGrazingBeef(AD49,AD65,AF33)</f>
        <v>6.8698506815999991</v>
      </c>
      <c r="AE81" s="51" cm="1">
        <f t="array" aca="1" ref="AE81" ca="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TEXT(EDATE('Input - Site'!$E$12,6), "mmmm yyyy")</f>
        <v>July 2024</v>
      </c>
      <c r="V82" s="51" cm="1">
        <f t="array" aca="1" ref="V82" ca="1">EntericMethane_PastureBeef_Equations.VEERG_3_2_1_1__3_FeedIntakeForGrazingBeef(V50,V66,X34)</f>
        <v>5.1328980481000004</v>
      </c>
      <c r="W82" s="51" cm="1">
        <f t="array" aca="1" ref="W82" ca="1">EntericMethane_PastureBeef_Equations.VEERG_3_2_1_1__3_FeedIntakeForGrazingBeef(W50,W66,Y34)</f>
        <v>9.9748588899999984</v>
      </c>
      <c r="X82" s="51" cm="1">
        <f t="array" aca="1" ref="X82" ca="1">EntericMethane_PastureBeef_Equations.VEERG_3_2_1_1__3_FeedIntakeForGrazingBeef(X50,X66,Z34)</f>
        <v>4.202705002500001</v>
      </c>
      <c r="Y82" s="51" cm="1">
        <f t="array" aca="1" ref="Y82" ca="1">EntericMethane_PastureBeef_Equations.VEERG_3_2_1_1__3_FeedIntakeForGrazingBeef(Y50,Y66,AA34)</f>
        <v>5.9278127841000021</v>
      </c>
      <c r="Z82" s="51" cm="1">
        <f t="array" aca="1" ref="Z82" ca="1">EntericMethane_PastureBeef_Equations.VEERG_3_2_1_1__3_FeedIntakeForGrazingBeef(Z50,Z66,AB34)</f>
        <v>7.952343600099999</v>
      </c>
      <c r="AA82" s="51" cm="1">
        <f t="array" aca="1" ref="AA82" ca="1">EntericMethane_PastureBeef_Equations.VEERG_3_2_1_1__3_FeedIntakeForGrazingBeef(AA50,AA66,AC34)</f>
        <v>7.952343600099999</v>
      </c>
      <c r="AB82" s="51" cm="1">
        <f t="array" aca="1" ref="AB82" ca="1">EntericMethane_PastureBeef_Equations.VEERG_3_2_1_1__3_FeedIntakeForGrazingBeef(AB50,AB66,AD34)</f>
        <v>4.5122681240999984</v>
      </c>
      <c r="AC82" s="51" cm="1">
        <f t="array" aca="1" ref="AC82" ca="1">EntericMethane_PastureBeef_Equations.VEERG_3_2_1_1__3_FeedIntakeForGrazingBeef(AC50,AC66,AE34)</f>
        <v>6.8698506815999991</v>
      </c>
      <c r="AD82" s="51" cm="1">
        <f t="array" aca="1" ref="AD82" ca="1">EntericMethane_PastureBeef_Equations.VEERG_3_2_1_1__3_FeedIntakeForGrazingBeef(AD50,AD66,AF34)</f>
        <v>6.8698506815999991</v>
      </c>
      <c r="AE82" s="51" cm="1">
        <f t="array" aca="1" ref="AE82" ca="1">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TEXT(EDATE('Input - Site'!$E$12,7), "mmmm yyyy")</f>
        <v>August 2024</v>
      </c>
      <c r="V83" s="51" cm="1">
        <f t="array" aca="1" ref="V83" ca="1">EntericMethane_PastureBeef_Equations.VEERG_3_2_1_1__3_FeedIntakeForGrazingBeef(V51,V67,X35)</f>
        <v>5.1328980481000004</v>
      </c>
      <c r="W83" s="51" cm="1">
        <f t="array" aca="1" ref="W83" ca="1">EntericMethane_PastureBeef_Equations.VEERG_3_2_1_1__3_FeedIntakeForGrazingBeef(W51,W67,Y35)</f>
        <v>9.9748588899999984</v>
      </c>
      <c r="X83" s="51" cm="1">
        <f t="array" aca="1" ref="X83" ca="1">EntericMethane_PastureBeef_Equations.VEERG_3_2_1_1__3_FeedIntakeForGrazingBeef(X51,X67,Z35)</f>
        <v>4.202705002500001</v>
      </c>
      <c r="Y83" s="51" cm="1">
        <f t="array" aca="1" ref="Y83" ca="1">EntericMethane_PastureBeef_Equations.VEERG_3_2_1_1__3_FeedIntakeForGrazingBeef(Y51,Y67,AA35)</f>
        <v>5.9278127841000021</v>
      </c>
      <c r="Z83" s="51" cm="1">
        <f t="array" aca="1" ref="Z83" ca="1">EntericMethane_PastureBeef_Equations.VEERG_3_2_1_1__3_FeedIntakeForGrazingBeef(Z51,Z67,AB35)</f>
        <v>7.952343600099999</v>
      </c>
      <c r="AA83" s="51" cm="1">
        <f t="array" aca="1" ref="AA83" ca="1">EntericMethane_PastureBeef_Equations.VEERG_3_2_1_1__3_FeedIntakeForGrazingBeef(AA51,AA67,AC35)</f>
        <v>7.952343600099999</v>
      </c>
      <c r="AB83" s="51" cm="1">
        <f t="array" aca="1" ref="AB83" ca="1">EntericMethane_PastureBeef_Equations.VEERG_3_2_1_1__3_FeedIntakeForGrazingBeef(AB51,AB67,AD35)</f>
        <v>4.5122681240999984</v>
      </c>
      <c r="AC83" s="51" cm="1">
        <f t="array" aca="1" ref="AC83" ca="1">EntericMethane_PastureBeef_Equations.VEERG_3_2_1_1__3_FeedIntakeForGrazingBeef(AC51,AC67,AE35)</f>
        <v>6.8698506815999991</v>
      </c>
      <c r="AD83" s="51" cm="1">
        <f t="array" aca="1" ref="AD83" ca="1">EntericMethane_PastureBeef_Equations.VEERG_3_2_1_1__3_FeedIntakeForGrazingBeef(AD51,AD67,AF35)</f>
        <v>6.8698506815999991</v>
      </c>
      <c r="AE83" s="51" cm="1">
        <f t="array" aca="1" ref="AE83" ca="1">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aca="1" ref="V84" ca="1">EntericMethane_PastureBeef_Equations.VEERG_3_2_1_1__3_FeedIntakeForGrazingBeef(V52,V68,X36)</f>
        <v>8.6709047296000001</v>
      </c>
      <c r="W84" s="51" cm="1">
        <f t="array" aca="1" ref="W84" ca="1">EntericMethane_PastureBeef_Equations.VEERG_3_2_1_1__3_FeedIntakeForGrazingBeef(W52,W68,Y36)</f>
        <v>12.246500250000002</v>
      </c>
      <c r="X84" s="51" cm="1">
        <f t="array" aca="1" ref="X84" ca="1">EntericMethane_PastureBeef_Equations.VEERG_3_2_1_1__3_FeedIntakeForGrazingBeef(X52,X68,Z36)</f>
        <v>6.6089612241000006</v>
      </c>
      <c r="Y84" s="51" cm="1">
        <f t="array" aca="1" ref="Y84" ca="1">EntericMethane_PastureBeef_Equations.VEERG_3_2_1_1__3_FeedIntakeForGrazingBeef(Y52,Y68,AA36)</f>
        <v>8.6730839001000017</v>
      </c>
      <c r="Z84" s="51" cm="1">
        <f t="array" aca="1" ref="Z84" ca="1">EntericMethane_PastureBeef_Equations.VEERG_3_2_1_1__3_FeedIntakeForGrazingBeef(Z52,Z68,AB36)</f>
        <v>9.6310915600000016</v>
      </c>
      <c r="AA84" s="51" cm="1">
        <f t="array" aca="1" ref="AA84" ca="1">EntericMethane_PastureBeef_Equations.VEERG_3_2_1_1__3_FeedIntakeForGrazingBeef(AA52,AA68,AC36)</f>
        <v>9.6310915600000016</v>
      </c>
      <c r="AB84" s="51" cm="1">
        <f t="array" aca="1" ref="AB84" ca="1">EntericMethane_PastureBeef_Equations.VEERG_3_2_1_1__3_FeedIntakeForGrazingBeef(AB52,AB68,AD36)</f>
        <v>7.6192560899999977</v>
      </c>
      <c r="AC84" s="51" cm="1">
        <f t="array" aca="1" ref="AC84" ca="1">EntericMethane_PastureBeef_Equations.VEERG_3_2_1_1__3_FeedIntakeForGrazingBeef(AC52,AC68,AE36)</f>
        <v>9.6824279555999979</v>
      </c>
      <c r="AD84" s="51" cm="1">
        <f t="array" aca="1" ref="AD84" ca="1">EntericMethane_PastureBeef_Equations.VEERG_3_2_1_1__3_FeedIntakeForGrazingBeef(AD52,AD68,AF36)</f>
        <v>9.6824279555999979</v>
      </c>
      <c r="AE84" s="51"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aca="1" ref="E85" ca="1">EntericMethane_PastureBeef_Equations.VEERG_3_2_1_1__2_DailyEntericMethaneProduction(E64)</f>
        <v>0.17948772790272</v>
      </c>
      <c r="F85" s="51" cm="1">
        <f t="array" aca="1" ref="F85" ca="1">EntericMethane_PastureBeef_Equations.VEERG_3_2_1_1__2_DailyEntericMethaneProduction(F64)</f>
        <v>0.25350255517500003</v>
      </c>
      <c r="G85" s="51" cm="1">
        <f t="array" aca="1" ref="G85" ca="1">EntericMethane_PastureBeef_Equations.VEERG_3_2_1_1__2_DailyEntericMethaneProduction(G64)</f>
        <v>0.13680549733887001</v>
      </c>
      <c r="H85" s="51" cm="1">
        <f t="array" aca="1" ref="H85" ca="1">EntericMethane_PastureBeef_Equations.VEERG_3_2_1_1__2_DailyEntericMethaneProduction(H64)</f>
        <v>0.17953283673207002</v>
      </c>
      <c r="I85" s="51" cm="1">
        <f t="array" aca="1" ref="I85" ca="1">EntericMethane_PastureBeef_Equations.VEERG_3_2_1_1__2_DailyEntericMethaneProduction(I64)</f>
        <v>0.19936359529200001</v>
      </c>
      <c r="J85" s="51" cm="1">
        <f t="array" aca="1" ref="J85" ca="1">EntericMethane_PastureBeef_Equations.VEERG_3_2_1_1__2_DailyEntericMethaneProduction(J64)</f>
        <v>0.19936359529200001</v>
      </c>
      <c r="K85" s="51" cm="1">
        <f t="array" aca="1" ref="K85" ca="1">EntericMethane_PastureBeef_Equations.VEERG_3_2_1_1__2_DailyEntericMethaneProduction(K64)</f>
        <v>0.15771860106299995</v>
      </c>
      <c r="L85" s="51" cm="1">
        <f t="array" aca="1" ref="L85" ca="1">EntericMethane_PastureBeef_Equations.VEERG_3_2_1_1__2_DailyEntericMethaneProduction(L64)</f>
        <v>0.20042625868091996</v>
      </c>
      <c r="M85" s="51" cm="1">
        <f t="array" aca="1" ref="M85" ca="1">EntericMethane_PastureBeef_Equations.VEERG_3_2_1_1__2_DailyEntericMethaneProduction(M64)</f>
        <v>0.20042625868091996</v>
      </c>
      <c r="N85" s="51" cm="1">
        <f t="array" aca="1" ref="N85" ca="1">EntericMethane_PastureBeef_Equations.VEERG_3_2_1_1__2_DailyEntericMethaneProduction(N64)</f>
        <v>0.20042625868091996</v>
      </c>
      <c r="O85" s="2" t="str">
        <f>G80</f>
        <v>kg DM/head/day</v>
      </c>
      <c r="P85" s="2"/>
      <c r="Q85" s="2"/>
      <c r="U85" s="51" t="str">
        <f>TEXT(EDATE('Input - Site'!$E$12,9), "mmmm yyyy")</f>
        <v>October 2024</v>
      </c>
      <c r="V85" s="51" cm="1">
        <f t="array" aca="1" ref="V85" ca="1">EntericMethane_PastureBeef_Equations.VEERG_3_2_1_1__3_FeedIntakeForGrazingBeef(V53,V69,X37)</f>
        <v>8.6709047296000001</v>
      </c>
      <c r="W85" s="51" cm="1">
        <f t="array" aca="1" ref="W85" ca="1">EntericMethane_PastureBeef_Equations.VEERG_3_2_1_1__3_FeedIntakeForGrazingBeef(W53,W69,Y37)</f>
        <v>12.246500250000002</v>
      </c>
      <c r="X85" s="51" cm="1">
        <f t="array" aca="1" ref="X85" ca="1">EntericMethane_PastureBeef_Equations.VEERG_3_2_1_1__3_FeedIntakeForGrazingBeef(X53,X69,Z37)</f>
        <v>6.6089612241000006</v>
      </c>
      <c r="Y85" s="51" cm="1">
        <f t="array" aca="1" ref="Y85" ca="1">EntericMethane_PastureBeef_Equations.VEERG_3_2_1_1__3_FeedIntakeForGrazingBeef(Y53,Y69,AA37)</f>
        <v>8.6730839001000017</v>
      </c>
      <c r="Z85" s="51" cm="1">
        <f t="array" aca="1" ref="Z85" ca="1">EntericMethane_PastureBeef_Equations.VEERG_3_2_1_1__3_FeedIntakeForGrazingBeef(Z53,Z69,AB37)</f>
        <v>9.6310915600000016</v>
      </c>
      <c r="AA85" s="51" cm="1">
        <f t="array" aca="1" ref="AA85" ca="1">EntericMethane_PastureBeef_Equations.VEERG_3_2_1_1__3_FeedIntakeForGrazingBeef(AA53,AA69,AC37)</f>
        <v>9.6310915600000016</v>
      </c>
      <c r="AB85" s="51" cm="1">
        <f t="array" aca="1" ref="AB85" ca="1">EntericMethane_PastureBeef_Equations.VEERG_3_2_1_1__3_FeedIntakeForGrazingBeef(AB53,AB69,AD37)</f>
        <v>7.6192560899999977</v>
      </c>
      <c r="AC85" s="51" cm="1">
        <f t="array" aca="1" ref="AC85" ca="1">EntericMethane_PastureBeef_Equations.VEERG_3_2_1_1__3_FeedIntakeForGrazingBeef(AC53,AC69,AE37)</f>
        <v>9.6824279555999979</v>
      </c>
      <c r="AD85" s="51" cm="1">
        <f t="array" aca="1" ref="AD85" ca="1">EntericMethane_PastureBeef_Equations.VEERG_3_2_1_1__3_FeedIntakeForGrazingBeef(AD53,AD69,AF37)</f>
        <v>9.6824279555999979</v>
      </c>
      <c r="AE85" s="51"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aca="1" ref="E86" ca="1">EntericMethane_PastureBeef_Equations.VEERG_3_2_1_1__2_DailyEntericMethaneProduction(E65)</f>
        <v>0.14793987137471989</v>
      </c>
      <c r="F86" s="51" cm="1">
        <f t="array" aca="1" ref="F86" ca="1">EntericMethane_PastureBeef_Equations.VEERG_3_2_1_1__2_DailyEntericMethaneProduction(F65)</f>
        <v>0.19573907587452002</v>
      </c>
      <c r="G86" s="51" cm="1">
        <f t="array" aca="1" ref="G86" ca="1">EntericMethane_PastureBeef_Equations.VEERG_3_2_1_1__2_DailyEntericMethaneProduction(G65)</f>
        <v>0.12441409099199996</v>
      </c>
      <c r="H86" s="51" cm="1">
        <f t="array" aca="1" ref="H86" ca="1">EntericMethane_PastureBeef_Equations.VEERG_3_2_1_1__2_DailyEntericMethaneProduction(H65)</f>
        <v>0.16292037884175001</v>
      </c>
      <c r="I86" s="51" cm="1">
        <f t="array" aca="1" ref="I86" ca="1">EntericMethane_PastureBeef_Equations.VEERG_3_2_1_1__2_DailyEntericMethaneProduction(I65)</f>
        <v>0.16131110973551996</v>
      </c>
      <c r="J86" s="51" cm="1">
        <f t="array" aca="1" ref="J86" ca="1">EntericMethane_PastureBeef_Equations.VEERG_3_2_1_1__2_DailyEntericMethaneProduction(J65)</f>
        <v>0.16131110973551996</v>
      </c>
      <c r="K86" s="51" cm="1">
        <f t="array" aca="1" ref="K86" ca="1">EntericMethane_PastureBeef_Equations.VEERG_3_2_1_1__2_DailyEntericMethaneProduction(K65)</f>
        <v>0.13636416641471999</v>
      </c>
      <c r="L86" s="51" cm="1">
        <f t="array" aca="1" ref="L86" ca="1">EntericMethane_PastureBeef_Equations.VEERG_3_2_1_1__2_DailyEntericMethaneProduction(L65)</f>
        <v>0.15200155388727002</v>
      </c>
      <c r="M86" s="51" cm="1">
        <f t="array" aca="1" ref="M86" ca="1">EntericMethane_PastureBeef_Equations.VEERG_3_2_1_1__2_DailyEntericMethaneProduction(M65)</f>
        <v>0.15200155388727002</v>
      </c>
      <c r="N86" s="51" cm="1">
        <f t="array" aca="1" ref="N86" ca="1">EntericMethane_PastureBeef_Equations.VEERG_3_2_1_1__2_DailyEntericMethaneProduction(N65)</f>
        <v>0.15200155388727002</v>
      </c>
      <c r="O86" s="2"/>
      <c r="P86" s="2"/>
      <c r="Q86" s="2"/>
      <c r="U86" s="51" t="str">
        <f>TEXT(EDATE('Input - Site'!$E$12,10), "mmmm yyyy")</f>
        <v>November 2024</v>
      </c>
      <c r="V86" s="51" cm="1">
        <f t="array" aca="1" ref="V86" ca="1">EntericMethane_PastureBeef_Equations.VEERG_3_2_1_1__3_FeedIntakeForGrazingBeef(V54,V70,X38)</f>
        <v>8.6709047296000001</v>
      </c>
      <c r="W86" s="51" cm="1">
        <f t="array" aca="1" ref="W86" ca="1">EntericMethane_PastureBeef_Equations.VEERG_3_2_1_1__3_FeedIntakeForGrazingBeef(W54,W70,Y38)</f>
        <v>12.246500250000002</v>
      </c>
      <c r="X86" s="51" cm="1">
        <f t="array" aca="1" ref="X86" ca="1">EntericMethane_PastureBeef_Equations.VEERG_3_2_1_1__3_FeedIntakeForGrazingBeef(X54,X70,Z38)</f>
        <v>6.6089612241000006</v>
      </c>
      <c r="Y86" s="51" cm="1">
        <f t="array" aca="1" ref="Y86" ca="1">EntericMethane_PastureBeef_Equations.VEERG_3_2_1_1__3_FeedIntakeForGrazingBeef(Y54,Y70,AA38)</f>
        <v>8.6730839001000017</v>
      </c>
      <c r="Z86" s="51" cm="1">
        <f t="array" aca="1" ref="Z86" ca="1">EntericMethane_PastureBeef_Equations.VEERG_3_2_1_1__3_FeedIntakeForGrazingBeef(Z54,Z70,AB38)</f>
        <v>9.6310915600000016</v>
      </c>
      <c r="AA86" s="51" cm="1">
        <f t="array" aca="1" ref="AA86" ca="1">EntericMethane_PastureBeef_Equations.VEERG_3_2_1_1__3_FeedIntakeForGrazingBeef(AA54,AA70,AC38)</f>
        <v>9.6310915600000016</v>
      </c>
      <c r="AB86" s="51" cm="1">
        <f t="array" aca="1" ref="AB86" ca="1">EntericMethane_PastureBeef_Equations.VEERG_3_2_1_1__3_FeedIntakeForGrazingBeef(AB54,AB70,AD38)</f>
        <v>7.6192560899999977</v>
      </c>
      <c r="AC86" s="51" cm="1">
        <f t="array" aca="1" ref="AC86" ca="1">EntericMethane_PastureBeef_Equations.VEERG_3_2_1_1__3_FeedIntakeForGrazingBeef(AC54,AC70,AE38)</f>
        <v>9.6824279555999979</v>
      </c>
      <c r="AD86" s="51" cm="1">
        <f t="array" aca="1" ref="AD86" ca="1">EntericMethane_PastureBeef_Equations.VEERG_3_2_1_1__3_FeedIntakeForGrazingBeef(AD54,AD70,AF38)</f>
        <v>9.6824279555999979</v>
      </c>
      <c r="AE86" s="51"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aca="1" ref="E87" ca="1">EntericMethane_PastureBeef_Equations.VEERG_3_2_1_1__2_DailyEntericMethaneProduction(E66)</f>
        <v>6.7217122800000001E-2</v>
      </c>
      <c r="F87" s="51" cm="1">
        <f t="array" aca="1" ref="F87" ca="1">EntericMethane_PastureBeef_Equations.VEERG_3_2_1_1__2_DailyEntericMethaneProduction(F66)</f>
        <v>0.19509034611311998</v>
      </c>
      <c r="G87" s="51" cm="1">
        <f t="array" aca="1" ref="G87" ca="1">EntericMethane_PastureBeef_Equations.VEERG_3_2_1_1__2_DailyEntericMethaneProduction(G66)</f>
        <v>6.1278762971520004E-2</v>
      </c>
      <c r="H87" s="51" cm="1">
        <f t="array" aca="1" ref="H87" ca="1">EntericMethane_PastureBeef_Equations.VEERG_3_2_1_1__2_DailyEntericMethaneProduction(H66)</f>
        <v>0.12332640906971998</v>
      </c>
      <c r="I87" s="51" cm="1">
        <f t="array" aca="1" ref="I87" ca="1">EntericMethane_PastureBeef_Equations.VEERG_3_2_1_1__2_DailyEntericMethaneProduction(I66)</f>
        <v>0.13906254717566999</v>
      </c>
      <c r="J87" s="51" cm="1">
        <f t="array" aca="1" ref="J87" ca="1">EntericMethane_PastureBeef_Equations.VEERG_3_2_1_1__2_DailyEntericMethaneProduction(J66)</f>
        <v>0.13906254717566999</v>
      </c>
      <c r="K87" s="51" cm="1">
        <f t="array" aca="1" ref="K87" ca="1">EntericMethane_PastureBeef_Equations.VEERG_3_2_1_1__2_DailyEntericMethaneProduction(K66)</f>
        <v>6.7217122800000001E-2</v>
      </c>
      <c r="L87" s="51" cm="1">
        <f t="array" aca="1" ref="L87" ca="1">EntericMethane_PastureBeef_Equations.VEERG_3_2_1_1__2_DailyEntericMethaneProduction(L66)</f>
        <v>0.12203432960112003</v>
      </c>
      <c r="M87" s="51" cm="1">
        <f t="array" aca="1" ref="M87" ca="1">EntericMethane_PastureBeef_Equations.VEERG_3_2_1_1__2_DailyEntericMethaneProduction(M66)</f>
        <v>0.12203432960112003</v>
      </c>
      <c r="N87" s="51" cm="1">
        <f t="array" aca="1" ref="N87" ca="1">EntericMethane_PastureBeef_Equations.VEERG_3_2_1_1__2_DailyEntericMethaneProduction(N66)</f>
        <v>0.12203432960112003</v>
      </c>
      <c r="O87" s="2"/>
      <c r="P87" s="2"/>
      <c r="Q87" s="2"/>
      <c r="U87" s="51" t="str">
        <f>TEXT(EDATE('Input - Site'!$E$12,11), "mmmm yyyy")</f>
        <v>December 2024</v>
      </c>
      <c r="V87" s="51" cm="1">
        <f t="array" aca="1" ref="V87" ca="1">EntericMethane_PastureBeef_Equations.VEERG_3_2_1_1__3_FeedIntakeForGrazingBeef(V55,V71,X39)</f>
        <v>7.1468536895999959</v>
      </c>
      <c r="W87" s="51" cm="1">
        <f t="array" aca="1" ref="W87" ca="1">EntericMethane_PastureBeef_Equations.VEERG_3_2_1_1__3_FeedIntakeForGrazingBeef(W55,W71,Y39)</f>
        <v>9.4559940036000008</v>
      </c>
      <c r="X87" s="51" cm="1">
        <f t="array" aca="1" ref="X87" ca="1">EntericMethane_PastureBeef_Equations.VEERG_3_2_1_1__3_FeedIntakeForGrazingBeef(X55,X71,Z39)</f>
        <v>6.010342559999998</v>
      </c>
      <c r="Y87" s="51" cm="1">
        <f t="array" aca="1" ref="Y87" ca="1">EntericMethane_PastureBeef_Equations.VEERG_3_2_1_1__3_FeedIntakeForGrazingBeef(Y55,Y71,AA39)</f>
        <v>7.8705497025</v>
      </c>
      <c r="Z87" s="51" cm="1">
        <f t="array" aca="1" ref="Z87" ca="1">EntericMethane_PastureBeef_Equations.VEERG_3_2_1_1__3_FeedIntakeForGrazingBeef(Z55,Z71,AB39)</f>
        <v>7.7928072335999978</v>
      </c>
      <c r="AA87" s="51" cm="1">
        <f t="array" aca="1" ref="AA87" ca="1">EntericMethane_PastureBeef_Equations.VEERG_3_2_1_1__3_FeedIntakeForGrazingBeef(AA55,AA71,AC39)</f>
        <v>7.7928072335999978</v>
      </c>
      <c r="AB87" s="51" cm="1">
        <f t="array" aca="1" ref="AB87" ca="1">EntericMethane_PastureBeef_Equations.VEERG_3_2_1_1__3_FeedIntakeForGrazingBeef(AB55,AB71,AD39)</f>
        <v>6.5876408896000003</v>
      </c>
      <c r="AC87" s="51" cm="1">
        <f t="array" aca="1" ref="AC87" ca="1">EntericMethane_PastureBeef_Equations.VEERG_3_2_1_1__3_FeedIntakeForGrazingBeef(AC55,AC71,AE39)</f>
        <v>7.3430702361</v>
      </c>
      <c r="AD87" s="51" cm="1">
        <f t="array" aca="1" ref="AD87" ca="1">EntericMethane_PastureBeef_Equations.VEERG_3_2_1_1__3_FeedIntakeForGrazingBeef(AD55,AD71,AF39)</f>
        <v>7.3430702361</v>
      </c>
      <c r="AE87" s="51"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aca="1" ref="E88" ca="1">EntericMethane_PastureBeef_Equations.VEERG_3_2_1_1__2_DailyEntericMethaneProduction(E67)</f>
        <v>0.10625098959567</v>
      </c>
      <c r="F88" s="51" cm="1">
        <f t="array" aca="1" ref="F88" ca="1">EntericMethane_PastureBeef_Equations.VEERG_3_2_1_1__2_DailyEntericMethaneProduction(F67)</f>
        <v>0.20647957902299996</v>
      </c>
      <c r="G88" s="51" cm="1">
        <f t="array" aca="1" ref="G88" ca="1">EntericMethane_PastureBeef_Equations.VEERG_3_2_1_1__2_DailyEntericMethaneProduction(G67)</f>
        <v>8.6995993551750014E-2</v>
      </c>
      <c r="H88" s="51" cm="1">
        <f t="array" aca="1" ref="H88" ca="1">EntericMethane_PastureBeef_Equations.VEERG_3_2_1_1__2_DailyEntericMethaneProduction(H67)</f>
        <v>0.12270572463087004</v>
      </c>
      <c r="I88" s="51" cm="1">
        <f t="array" aca="1" ref="I88" ca="1">EntericMethane_PastureBeef_Equations.VEERG_3_2_1_1__2_DailyEntericMethaneProduction(I67)</f>
        <v>0.16461351252206999</v>
      </c>
      <c r="J88" s="51" cm="1">
        <f t="array" aca="1" ref="J88" ca="1">EntericMethane_PastureBeef_Equations.VEERG_3_2_1_1__2_DailyEntericMethaneProduction(J67)</f>
        <v>0.16461351252206999</v>
      </c>
      <c r="K88" s="51" cm="1">
        <f t="array" aca="1" ref="K88" ca="1">EntericMethane_PastureBeef_Equations.VEERG_3_2_1_1__2_DailyEntericMethaneProduction(K67)</f>
        <v>9.3403950168869973E-2</v>
      </c>
      <c r="L88" s="51" cm="1">
        <f t="array" aca="1" ref="L88" ca="1">EntericMethane_PastureBeef_Equations.VEERG_3_2_1_1__2_DailyEntericMethaneProduction(L67)</f>
        <v>0.14220590910911998</v>
      </c>
      <c r="M88" s="51" cm="1">
        <f t="array" aca="1" ref="M88" ca="1">EntericMethane_PastureBeef_Equations.VEERG_3_2_1_1__2_DailyEntericMethaneProduction(M67)</f>
        <v>0.14220590910911998</v>
      </c>
      <c r="N88" s="51"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aca="1" ref="V97" ca="1">EntericMethane_PastureBeef_Equations.VEERG_3_2_1_1__2_DailyEntericMethaneProduction(V76)</f>
        <v>0.14793987137471989</v>
      </c>
      <c r="W97" s="51" cm="1">
        <f t="array" aca="1" ref="W97" ca="1">EntericMethane_PastureBeef_Equations.VEERG_3_2_1_1__2_DailyEntericMethaneProduction(W76)</f>
        <v>0.19573907587452002</v>
      </c>
      <c r="X97" s="51" cm="1">
        <f t="array" aca="1" ref="X97" ca="1">EntericMethane_PastureBeef_Equations.VEERG_3_2_1_1__2_DailyEntericMethaneProduction(X76)</f>
        <v>0.12441409099199996</v>
      </c>
      <c r="Y97" s="51" cm="1">
        <f t="array" aca="1" ref="Y97" ca="1">EntericMethane_PastureBeef_Equations.VEERG_3_2_1_1__2_DailyEntericMethaneProduction(Y76)</f>
        <v>0.16292037884175001</v>
      </c>
      <c r="Z97" s="51" cm="1">
        <f t="array" aca="1" ref="Z97" ca="1">EntericMethane_PastureBeef_Equations.VEERG_3_2_1_1__2_DailyEntericMethaneProduction(Z76)</f>
        <v>0.16131110973551996</v>
      </c>
      <c r="AA97" s="51" cm="1">
        <f t="array" aca="1" ref="AA97" ca="1">EntericMethane_PastureBeef_Equations.VEERG_3_2_1_1__2_DailyEntericMethaneProduction(AA76)</f>
        <v>0.16131110973551996</v>
      </c>
      <c r="AB97" s="51" cm="1">
        <f t="array" aca="1" ref="AB97" ca="1">EntericMethane_PastureBeef_Equations.VEERG_3_2_1_1__2_DailyEntericMethaneProduction(AB76)</f>
        <v>0.13636416641471999</v>
      </c>
      <c r="AC97" s="51" cm="1">
        <f t="array" aca="1" ref="AC97" ca="1">EntericMethane_PastureBeef_Equations.VEERG_3_2_1_1__2_DailyEntericMethaneProduction(AC76)</f>
        <v>0.15200155388727002</v>
      </c>
      <c r="AD97" s="51" cm="1">
        <f t="array" aca="1" ref="AD97" ca="1">EntericMethane_PastureBeef_Equations.VEERG_3_2_1_1__2_DailyEntericMethaneProduction(AD76)</f>
        <v>0.15200155388727002</v>
      </c>
      <c r="AE97" s="51" cm="1">
        <f t="array" aca="1" ref="AE97" ca="1">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TEXT(EDATE('Input - Site'!$E$12,1), "mmmm yyyy")</f>
        <v>February 2024</v>
      </c>
      <c r="V98" s="51" cm="1">
        <f t="array" aca="1" ref="V98" ca="1">EntericMethane_PastureBeef_Equations.VEERG_3_2_1_1__2_DailyEntericMethaneProduction(V77)</f>
        <v>0.14793987137471989</v>
      </c>
      <c r="W98" s="51" cm="1">
        <f t="array" aca="1" ref="W98" ca="1">EntericMethane_PastureBeef_Equations.VEERG_3_2_1_1__2_DailyEntericMethaneProduction(W77)</f>
        <v>0.19573907587452002</v>
      </c>
      <c r="X98" s="51" cm="1">
        <f t="array" aca="1" ref="X98" ca="1">EntericMethane_PastureBeef_Equations.VEERG_3_2_1_1__2_DailyEntericMethaneProduction(X77)</f>
        <v>0.12441409099199996</v>
      </c>
      <c r="Y98" s="51" cm="1">
        <f t="array" aca="1" ref="Y98" ca="1">EntericMethane_PastureBeef_Equations.VEERG_3_2_1_1__2_DailyEntericMethaneProduction(Y77)</f>
        <v>0.16292037884175001</v>
      </c>
      <c r="Z98" s="51" cm="1">
        <f t="array" aca="1" ref="Z98" ca="1">EntericMethane_PastureBeef_Equations.VEERG_3_2_1_1__2_DailyEntericMethaneProduction(Z77)</f>
        <v>0.16131110973551996</v>
      </c>
      <c r="AA98" s="51" cm="1">
        <f t="array" aca="1" ref="AA98" ca="1">EntericMethane_PastureBeef_Equations.VEERG_3_2_1_1__2_DailyEntericMethaneProduction(AA77)</f>
        <v>0.16131110973551996</v>
      </c>
      <c r="AB98" s="51" cm="1">
        <f t="array" aca="1" ref="AB98" ca="1">EntericMethane_PastureBeef_Equations.VEERG_3_2_1_1__2_DailyEntericMethaneProduction(AB77)</f>
        <v>0.13636416641471999</v>
      </c>
      <c r="AC98" s="51" cm="1">
        <f t="array" aca="1" ref="AC98" ca="1">EntericMethane_PastureBeef_Equations.VEERG_3_2_1_1__2_DailyEntericMethaneProduction(AC77)</f>
        <v>0.15200155388727002</v>
      </c>
      <c r="AD98" s="51" cm="1">
        <f t="array" aca="1" ref="AD98" ca="1">EntericMethane_PastureBeef_Equations.VEERG_3_2_1_1__2_DailyEntericMethaneProduction(AD77)</f>
        <v>0.15200155388727002</v>
      </c>
      <c r="AE98" s="51" cm="1">
        <f t="array" aca="1" ref="AE98" ca="1">EntericMethane_PastureBeef_Equations.VEERG_3_2_1_1__2_DailyEntericMethaneProduction(AE77)</f>
        <v>0.15200155388727002</v>
      </c>
      <c r="AF98" s="2"/>
    </row>
    <row r="99" spans="4:35" ht="20.100000000000001" customHeight="1" x14ac:dyDescent="0.25">
      <c r="U99" s="51" t="str">
        <f>TEXT(EDATE('Input - Site'!$E$12,2), "mmmm yyyy")</f>
        <v>March 2024</v>
      </c>
      <c r="V99" s="51" cm="1">
        <f t="array" aca="1" ref="V99" ca="1">EntericMethane_PastureBeef_Equations.VEERG_3_2_1_1__2_DailyEntericMethaneProduction(V78)</f>
        <v>6.7217122800000001E-2</v>
      </c>
      <c r="W99" s="51" cm="1">
        <f t="array" aca="1" ref="W99" ca="1">EntericMethane_PastureBeef_Equations.VEERG_3_2_1_1__2_DailyEntericMethaneProduction(W78)</f>
        <v>0.19509034611311998</v>
      </c>
      <c r="X99" s="51" cm="1">
        <f t="array" aca="1" ref="X99" ca="1">EntericMethane_PastureBeef_Equations.VEERG_3_2_1_1__2_DailyEntericMethaneProduction(X78)</f>
        <v>6.1278762971520004E-2</v>
      </c>
      <c r="Y99" s="51" cm="1">
        <f t="array" aca="1" ref="Y99" ca="1">EntericMethane_PastureBeef_Equations.VEERG_3_2_1_1__2_DailyEntericMethaneProduction(Y78)</f>
        <v>0.12332640906971998</v>
      </c>
      <c r="Z99" s="51" cm="1">
        <f t="array" aca="1" ref="Z99" ca="1">EntericMethane_PastureBeef_Equations.VEERG_3_2_1_1__2_DailyEntericMethaneProduction(Z78)</f>
        <v>0.13906254717566999</v>
      </c>
      <c r="AA99" s="51" cm="1">
        <f t="array" aca="1" ref="AA99" ca="1">EntericMethane_PastureBeef_Equations.VEERG_3_2_1_1__2_DailyEntericMethaneProduction(AA78)</f>
        <v>0.13906254717566999</v>
      </c>
      <c r="AB99" s="51" cm="1">
        <f t="array" aca="1" ref="AB99" ca="1">EntericMethane_PastureBeef_Equations.VEERG_3_2_1_1__2_DailyEntericMethaneProduction(AB78)</f>
        <v>6.7217122800000001E-2</v>
      </c>
      <c r="AC99" s="51" cm="1">
        <f t="array" aca="1" ref="AC99" ca="1">EntericMethane_PastureBeef_Equations.VEERG_3_2_1_1__2_DailyEntericMethaneProduction(AC78)</f>
        <v>0.12203432960112003</v>
      </c>
      <c r="AD99" s="51" cm="1">
        <f t="array" aca="1" ref="AD99" ca="1">EntericMethane_PastureBeef_Equations.VEERG_3_2_1_1__2_DailyEntericMethaneProduction(AD78)</f>
        <v>0.12203432960112003</v>
      </c>
      <c r="AE99" s="51" cm="1">
        <f t="array" aca="1" ref="AE99" ca="1">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TEXT(EDATE('Input - Site'!$E$12,3), "mmmm yyyy")</f>
        <v>April 2024</v>
      </c>
      <c r="V100" s="51" cm="1">
        <f t="array" aca="1" ref="V100" ca="1">EntericMethane_PastureBeef_Equations.VEERG_3_2_1_1__2_DailyEntericMethaneProduction(V79)</f>
        <v>6.7217122800000001E-2</v>
      </c>
      <c r="W100" s="51" cm="1">
        <f t="array" aca="1" ref="W100" ca="1">EntericMethane_PastureBeef_Equations.VEERG_3_2_1_1__2_DailyEntericMethaneProduction(W79)</f>
        <v>0.19509034611311998</v>
      </c>
      <c r="X100" s="51" cm="1">
        <f t="array" aca="1" ref="X100" ca="1">EntericMethane_PastureBeef_Equations.VEERG_3_2_1_1__2_DailyEntericMethaneProduction(X79)</f>
        <v>6.1278762971520004E-2</v>
      </c>
      <c r="Y100" s="51" cm="1">
        <f t="array" aca="1" ref="Y100" ca="1">EntericMethane_PastureBeef_Equations.VEERG_3_2_1_1__2_DailyEntericMethaneProduction(Y79)</f>
        <v>0.12332640906971998</v>
      </c>
      <c r="Z100" s="51" cm="1">
        <f t="array" aca="1" ref="Z100" ca="1">EntericMethane_PastureBeef_Equations.VEERG_3_2_1_1__2_DailyEntericMethaneProduction(Z79)</f>
        <v>0.13906254717566999</v>
      </c>
      <c r="AA100" s="51" cm="1">
        <f t="array" aca="1" ref="AA100" ca="1">EntericMethane_PastureBeef_Equations.VEERG_3_2_1_1__2_DailyEntericMethaneProduction(AA79)</f>
        <v>0.13906254717566999</v>
      </c>
      <c r="AB100" s="51" cm="1">
        <f t="array" aca="1" ref="AB100" ca="1">EntericMethane_PastureBeef_Equations.VEERG_3_2_1_1__2_DailyEntericMethaneProduction(AB79)</f>
        <v>6.7217122800000001E-2</v>
      </c>
      <c r="AC100" s="51" cm="1">
        <f t="array" aca="1" ref="AC100" ca="1">EntericMethane_PastureBeef_Equations.VEERG_3_2_1_1__2_DailyEntericMethaneProduction(AC79)</f>
        <v>0.12203432960112003</v>
      </c>
      <c r="AD100" s="51" cm="1">
        <f t="array" aca="1" ref="AD100" ca="1">EntericMethane_PastureBeef_Equations.VEERG_3_2_1_1__2_DailyEntericMethaneProduction(AD79)</f>
        <v>0.12203432960112003</v>
      </c>
      <c r="AE100" s="51" cm="1">
        <f t="array" aca="1" ref="AE100" ca="1">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TEXT(EDATE('Input - Site'!$E$12,4), "mmmm yyyy")</f>
        <v>May 2024</v>
      </c>
      <c r="V101" s="51" cm="1">
        <f t="array" aca="1" ref="V101" ca="1">EntericMethane_PastureBeef_Equations.VEERG_3_2_1_1__2_DailyEntericMethaneProduction(V80)</f>
        <v>6.7217122800000001E-2</v>
      </c>
      <c r="W101" s="51" cm="1">
        <f t="array" aca="1" ref="W101" ca="1">EntericMethane_PastureBeef_Equations.VEERG_3_2_1_1__2_DailyEntericMethaneProduction(W80)</f>
        <v>0.19509034611311998</v>
      </c>
      <c r="X101" s="51" cm="1">
        <f t="array" aca="1" ref="X101" ca="1">EntericMethane_PastureBeef_Equations.VEERG_3_2_1_1__2_DailyEntericMethaneProduction(X80)</f>
        <v>6.1278762971520004E-2</v>
      </c>
      <c r="Y101" s="51" cm="1">
        <f t="array" aca="1" ref="Y101" ca="1">EntericMethane_PastureBeef_Equations.VEERG_3_2_1_1__2_DailyEntericMethaneProduction(Y80)</f>
        <v>0.12332640906971998</v>
      </c>
      <c r="Z101" s="51" cm="1">
        <f t="array" aca="1" ref="Z101" ca="1">EntericMethane_PastureBeef_Equations.VEERG_3_2_1_1__2_DailyEntericMethaneProduction(Z80)</f>
        <v>0.13906254717566999</v>
      </c>
      <c r="AA101" s="51" cm="1">
        <f t="array" aca="1" ref="AA101" ca="1">EntericMethane_PastureBeef_Equations.VEERG_3_2_1_1__2_DailyEntericMethaneProduction(AA80)</f>
        <v>0.13906254717566999</v>
      </c>
      <c r="AB101" s="51" cm="1">
        <f t="array" aca="1" ref="AB101" ca="1">EntericMethane_PastureBeef_Equations.VEERG_3_2_1_1__2_DailyEntericMethaneProduction(AB80)</f>
        <v>6.7217122800000001E-2</v>
      </c>
      <c r="AC101" s="51" cm="1">
        <f t="array" aca="1" ref="AC101" ca="1">EntericMethane_PastureBeef_Equations.VEERG_3_2_1_1__2_DailyEntericMethaneProduction(AC80)</f>
        <v>0.12203432960112003</v>
      </c>
      <c r="AD101" s="51" cm="1">
        <f t="array" aca="1" ref="AD101" ca="1">EntericMethane_PastureBeef_Equations.VEERG_3_2_1_1__2_DailyEntericMethaneProduction(AD80)</f>
        <v>0.12203432960112003</v>
      </c>
      <c r="AE101" s="51" cm="1">
        <f t="array" aca="1" ref="AE101" ca="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TEXT(EDATE('Input - Site'!$E$12,5), "mmmm yyyy")</f>
        <v>June 2024</v>
      </c>
      <c r="V102" s="51" cm="1">
        <f t="array" aca="1" ref="V102" ca="1">EntericMethane_PastureBeef_Equations.VEERG_3_2_1_1__2_DailyEntericMethaneProduction(V81)</f>
        <v>0.10625098959567</v>
      </c>
      <c r="W102" s="51" cm="1">
        <f t="array" aca="1" ref="W102" ca="1">EntericMethane_PastureBeef_Equations.VEERG_3_2_1_1__2_DailyEntericMethaneProduction(W81)</f>
        <v>0.20647957902299996</v>
      </c>
      <c r="X102" s="51" cm="1">
        <f t="array" aca="1" ref="X102" ca="1">EntericMethane_PastureBeef_Equations.VEERG_3_2_1_1__2_DailyEntericMethaneProduction(X81)</f>
        <v>8.6995993551750014E-2</v>
      </c>
      <c r="Y102" s="51" cm="1">
        <f t="array" aca="1" ref="Y102" ca="1">EntericMethane_PastureBeef_Equations.VEERG_3_2_1_1__2_DailyEntericMethaneProduction(Y81)</f>
        <v>0.12270572463087004</v>
      </c>
      <c r="Z102" s="51" cm="1">
        <f t="array" aca="1" ref="Z102" ca="1">EntericMethane_PastureBeef_Equations.VEERG_3_2_1_1__2_DailyEntericMethaneProduction(Z81)</f>
        <v>0.16461351252206999</v>
      </c>
      <c r="AA102" s="51" cm="1">
        <f t="array" aca="1" ref="AA102" ca="1">EntericMethane_PastureBeef_Equations.VEERG_3_2_1_1__2_DailyEntericMethaneProduction(AA81)</f>
        <v>0.16461351252206999</v>
      </c>
      <c r="AB102" s="51" cm="1">
        <f t="array" aca="1" ref="AB102" ca="1">EntericMethane_PastureBeef_Equations.VEERG_3_2_1_1__2_DailyEntericMethaneProduction(AB81)</f>
        <v>9.3403950168869973E-2</v>
      </c>
      <c r="AC102" s="51" cm="1">
        <f t="array" aca="1" ref="AC102" ca="1">EntericMethane_PastureBeef_Equations.VEERG_3_2_1_1__2_DailyEntericMethaneProduction(AC81)</f>
        <v>0.14220590910911998</v>
      </c>
      <c r="AD102" s="51" cm="1">
        <f t="array" aca="1" ref="AD102" ca="1">EntericMethane_PastureBeef_Equations.VEERG_3_2_1_1__2_DailyEntericMethaneProduction(AD81)</f>
        <v>0.14220590910911998</v>
      </c>
      <c r="AE102" s="51" cm="1">
        <f t="array" aca="1" ref="AE102" ca="1">EntericMethane_PastureBeef_Equations.VEERG_3_2_1_1__2_DailyEntericMethaneProduction(AE81)</f>
        <v>0.14220590910911998</v>
      </c>
      <c r="AF102" s="2"/>
    </row>
    <row r="103" spans="4:35" ht="20.100000000000001" customHeight="1" x14ac:dyDescent="0.25">
      <c r="U103" s="51" t="str">
        <f>TEXT(EDATE('Input - Site'!$E$12,6), "mmmm yyyy")</f>
        <v>July 2024</v>
      </c>
      <c r="V103" s="51" cm="1">
        <f t="array" aca="1" ref="V103" ca="1">EntericMethane_PastureBeef_Equations.VEERG_3_2_1_1__2_DailyEntericMethaneProduction(V82)</f>
        <v>0.10625098959567</v>
      </c>
      <c r="W103" s="51" cm="1">
        <f t="array" aca="1" ref="W103" ca="1">EntericMethane_PastureBeef_Equations.VEERG_3_2_1_1__2_DailyEntericMethaneProduction(W82)</f>
        <v>0.20647957902299996</v>
      </c>
      <c r="X103" s="51" cm="1">
        <f t="array" aca="1" ref="X103" ca="1">EntericMethane_PastureBeef_Equations.VEERG_3_2_1_1__2_DailyEntericMethaneProduction(X82)</f>
        <v>8.6995993551750014E-2</v>
      </c>
      <c r="Y103" s="51" cm="1">
        <f t="array" aca="1" ref="Y103" ca="1">EntericMethane_PastureBeef_Equations.VEERG_3_2_1_1__2_DailyEntericMethaneProduction(Y82)</f>
        <v>0.12270572463087004</v>
      </c>
      <c r="Z103" s="51" cm="1">
        <f t="array" aca="1" ref="Z103" ca="1">EntericMethane_PastureBeef_Equations.VEERG_3_2_1_1__2_DailyEntericMethaneProduction(Z82)</f>
        <v>0.16461351252206999</v>
      </c>
      <c r="AA103" s="51" cm="1">
        <f t="array" aca="1" ref="AA103" ca="1">EntericMethane_PastureBeef_Equations.VEERG_3_2_1_1__2_DailyEntericMethaneProduction(AA82)</f>
        <v>0.16461351252206999</v>
      </c>
      <c r="AB103" s="51" cm="1">
        <f t="array" aca="1" ref="AB103" ca="1">EntericMethane_PastureBeef_Equations.VEERG_3_2_1_1__2_DailyEntericMethaneProduction(AB82)</f>
        <v>9.3403950168869973E-2</v>
      </c>
      <c r="AC103" s="51" cm="1">
        <f t="array" aca="1" ref="AC103" ca="1">EntericMethane_PastureBeef_Equations.VEERG_3_2_1_1__2_DailyEntericMethaneProduction(AC82)</f>
        <v>0.14220590910911998</v>
      </c>
      <c r="AD103" s="51" cm="1">
        <f t="array" aca="1" ref="AD103" ca="1">EntericMethane_PastureBeef_Equations.VEERG_3_2_1_1__2_DailyEntericMethaneProduction(AD82)</f>
        <v>0.14220590910911998</v>
      </c>
      <c r="AE103" s="51" cm="1">
        <f t="array" aca="1" ref="AE103" ca="1">EntericMethane_PastureBeef_Equations.VEERG_3_2_1_1__2_DailyEntericMethaneProduction(AE82)</f>
        <v>0.14220590910911998</v>
      </c>
      <c r="AF103" s="2"/>
    </row>
    <row r="104" spans="4:35" ht="20.100000000000001" customHeight="1" x14ac:dyDescent="0.25">
      <c r="D104" s="96" t="s">
        <v>225</v>
      </c>
      <c r="U104" s="51" t="str">
        <f>TEXT(EDATE('Input - Site'!$E$12,7), "mmmm yyyy")</f>
        <v>August 2024</v>
      </c>
      <c r="V104" s="51" cm="1">
        <f t="array" aca="1" ref="V104" ca="1">EntericMethane_PastureBeef_Equations.VEERG_3_2_1_1__2_DailyEntericMethaneProduction(V83)</f>
        <v>0.10625098959567</v>
      </c>
      <c r="W104" s="51" cm="1">
        <f t="array" aca="1" ref="W104" ca="1">EntericMethane_PastureBeef_Equations.VEERG_3_2_1_1__2_DailyEntericMethaneProduction(W83)</f>
        <v>0.20647957902299996</v>
      </c>
      <c r="X104" s="51" cm="1">
        <f t="array" aca="1" ref="X104" ca="1">EntericMethane_PastureBeef_Equations.VEERG_3_2_1_1__2_DailyEntericMethaneProduction(X83)</f>
        <v>8.6995993551750014E-2</v>
      </c>
      <c r="Y104" s="51" cm="1">
        <f t="array" aca="1" ref="Y104" ca="1">EntericMethane_PastureBeef_Equations.VEERG_3_2_1_1__2_DailyEntericMethaneProduction(Y83)</f>
        <v>0.12270572463087004</v>
      </c>
      <c r="Z104" s="51" cm="1">
        <f t="array" aca="1" ref="Z104" ca="1">EntericMethane_PastureBeef_Equations.VEERG_3_2_1_1__2_DailyEntericMethaneProduction(Z83)</f>
        <v>0.16461351252206999</v>
      </c>
      <c r="AA104" s="51" cm="1">
        <f t="array" aca="1" ref="AA104" ca="1">EntericMethane_PastureBeef_Equations.VEERG_3_2_1_1__2_DailyEntericMethaneProduction(AA83)</f>
        <v>0.16461351252206999</v>
      </c>
      <c r="AB104" s="51" cm="1">
        <f t="array" aca="1" ref="AB104" ca="1">EntericMethane_PastureBeef_Equations.VEERG_3_2_1_1__2_DailyEntericMethaneProduction(AB83)</f>
        <v>9.3403950168869973E-2</v>
      </c>
      <c r="AC104" s="51" cm="1">
        <f t="array" aca="1" ref="AC104" ca="1">EntericMethane_PastureBeef_Equations.VEERG_3_2_1_1__2_DailyEntericMethaneProduction(AC83)</f>
        <v>0.14220590910911998</v>
      </c>
      <c r="AD104" s="51" cm="1">
        <f t="array" aca="1" ref="AD104" ca="1">EntericMethane_PastureBeef_Equations.VEERG_3_2_1_1__2_DailyEntericMethaneProduction(AD83)</f>
        <v>0.14220590910911998</v>
      </c>
      <c r="AE104" s="51" cm="1">
        <f t="array" aca="1" ref="AE104" ca="1">EntericMethane_PastureBeef_Equations.VEERG_3_2_1_1__2_DailyEntericMethaneProduction(AE83)</f>
        <v>0.14220590910911998</v>
      </c>
      <c r="AF104" s="2"/>
    </row>
    <row r="105" spans="4:35" ht="20.100000000000001" customHeight="1" x14ac:dyDescent="0.25">
      <c r="D105" s="95" t="s">
        <v>226</v>
      </c>
      <c r="U105" s="51" t="str">
        <f>TEXT(EDATE('Input - Site'!$E$12,8), "mmmm yyyy")</f>
        <v>September 2024</v>
      </c>
      <c r="V105" s="51" cm="1">
        <f t="array" aca="1" ref="V105" ca="1">EntericMethane_PastureBeef_Equations.VEERG_3_2_1_1__2_DailyEntericMethaneProduction(V84)</f>
        <v>0.17948772790272</v>
      </c>
      <c r="W105" s="51" cm="1">
        <f t="array" aca="1" ref="W105" ca="1">EntericMethane_PastureBeef_Equations.VEERG_3_2_1_1__2_DailyEntericMethaneProduction(W84)</f>
        <v>0.25350255517500003</v>
      </c>
      <c r="X105" s="51" cm="1">
        <f t="array" aca="1" ref="X105" ca="1">EntericMethane_PastureBeef_Equations.VEERG_3_2_1_1__2_DailyEntericMethaneProduction(X84)</f>
        <v>0.13680549733887001</v>
      </c>
      <c r="Y105" s="51" cm="1">
        <f t="array" aca="1" ref="Y105" ca="1">EntericMethane_PastureBeef_Equations.VEERG_3_2_1_1__2_DailyEntericMethaneProduction(Y84)</f>
        <v>0.17953283673207002</v>
      </c>
      <c r="Z105" s="51" cm="1">
        <f t="array" aca="1" ref="Z105" ca="1">EntericMethane_PastureBeef_Equations.VEERG_3_2_1_1__2_DailyEntericMethaneProduction(Z84)</f>
        <v>0.19936359529200001</v>
      </c>
      <c r="AA105" s="51" cm="1">
        <f t="array" aca="1" ref="AA105" ca="1">EntericMethane_PastureBeef_Equations.VEERG_3_2_1_1__2_DailyEntericMethaneProduction(AA84)</f>
        <v>0.19936359529200001</v>
      </c>
      <c r="AB105" s="51" cm="1">
        <f t="array" aca="1" ref="AB105" ca="1">EntericMethane_PastureBeef_Equations.VEERG_3_2_1_1__2_DailyEntericMethaneProduction(AB84)</f>
        <v>0.15771860106299995</v>
      </c>
      <c r="AC105" s="51" cm="1">
        <f t="array" aca="1" ref="AC105" ca="1">EntericMethane_PastureBeef_Equations.VEERG_3_2_1_1__2_DailyEntericMethaneProduction(AC84)</f>
        <v>0.20042625868091996</v>
      </c>
      <c r="AD105" s="51" cm="1">
        <f t="array" aca="1" ref="AD105" ca="1">EntericMethane_PastureBeef_Equations.VEERG_3_2_1_1__2_DailyEntericMethaneProduction(AD84)</f>
        <v>0.20042625868091996</v>
      </c>
      <c r="AE105" s="51" cm="1">
        <f t="array" aca="1" ref="AE105" ca="1">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TEXT(EDATE('Input - Site'!$E$12,9), "mmmm yyyy")</f>
        <v>October 2024</v>
      </c>
      <c r="V106" s="51" cm="1">
        <f t="array" aca="1" ref="V106" ca="1">EntericMethane_PastureBeef_Equations.VEERG_3_2_1_1__2_DailyEntericMethaneProduction(V85)</f>
        <v>0.17948772790272</v>
      </c>
      <c r="W106" s="51" cm="1">
        <f t="array" aca="1" ref="W106" ca="1">EntericMethane_PastureBeef_Equations.VEERG_3_2_1_1__2_DailyEntericMethaneProduction(W85)</f>
        <v>0.25350255517500003</v>
      </c>
      <c r="X106" s="51" cm="1">
        <f t="array" aca="1" ref="X106" ca="1">EntericMethane_PastureBeef_Equations.VEERG_3_2_1_1__2_DailyEntericMethaneProduction(X85)</f>
        <v>0.13680549733887001</v>
      </c>
      <c r="Y106" s="51" cm="1">
        <f t="array" aca="1" ref="Y106" ca="1">EntericMethane_PastureBeef_Equations.VEERG_3_2_1_1__2_DailyEntericMethaneProduction(Y85)</f>
        <v>0.17953283673207002</v>
      </c>
      <c r="Z106" s="51" cm="1">
        <f t="array" aca="1" ref="Z106" ca="1">EntericMethane_PastureBeef_Equations.VEERG_3_2_1_1__2_DailyEntericMethaneProduction(Z85)</f>
        <v>0.19936359529200001</v>
      </c>
      <c r="AA106" s="51" cm="1">
        <f t="array" aca="1" ref="AA106" ca="1">EntericMethane_PastureBeef_Equations.VEERG_3_2_1_1__2_DailyEntericMethaneProduction(AA85)</f>
        <v>0.19936359529200001</v>
      </c>
      <c r="AB106" s="51" cm="1">
        <f t="array" aca="1" ref="AB106" ca="1">EntericMethane_PastureBeef_Equations.VEERG_3_2_1_1__2_DailyEntericMethaneProduction(AB85)</f>
        <v>0.15771860106299995</v>
      </c>
      <c r="AC106" s="51" cm="1">
        <f t="array" aca="1" ref="AC106" ca="1">EntericMethane_PastureBeef_Equations.VEERG_3_2_1_1__2_DailyEntericMethaneProduction(AC85)</f>
        <v>0.20042625868091996</v>
      </c>
      <c r="AD106" s="51" cm="1">
        <f t="array" aca="1" ref="AD106" ca="1">EntericMethane_PastureBeef_Equations.VEERG_3_2_1_1__2_DailyEntericMethaneProduction(AD85)</f>
        <v>0.20042625868091996</v>
      </c>
      <c r="AE106" s="51" cm="1">
        <f t="array" aca="1" ref="AE106" ca="1">EntericMethane_PastureBeef_Equations.VEERG_3_2_1_1__2_DailyEntericMethaneProduction(AE85)</f>
        <v>0.20042625868091996</v>
      </c>
      <c r="AF106" s="2"/>
    </row>
    <row r="107" spans="4:35" ht="20.100000000000001" customHeight="1" x14ac:dyDescent="0.25">
      <c r="D107" s="51" t="s">
        <v>135</v>
      </c>
      <c r="E107" s="51" cm="1">
        <f t="array" aca="1" ref="E107:N110" ca="1">OFFSET(X_Table_PastureBeef_Head_Method1,1,1,4,10)</f>
        <v>100</v>
      </c>
      <c r="F107" s="51">
        <f ca="1"/>
        <v>100</v>
      </c>
      <c r="G107" s="51">
        <f ca="1"/>
        <v>100</v>
      </c>
      <c r="H107" s="51">
        <f ca="1"/>
        <v>100</v>
      </c>
      <c r="I107" s="51">
        <f ca="1"/>
        <v>100</v>
      </c>
      <c r="J107" s="51">
        <f ca="1"/>
        <v>100</v>
      </c>
      <c r="K107" s="51">
        <f ca="1"/>
        <v>100</v>
      </c>
      <c r="L107" s="51">
        <f ca="1"/>
        <v>100</v>
      </c>
      <c r="M107" s="51">
        <f ca="1"/>
        <v>100</v>
      </c>
      <c r="N107" s="51">
        <f ca="1"/>
        <v>100</v>
      </c>
      <c r="O107" s="2" t="str">
        <f>G102</f>
        <v>head</v>
      </c>
      <c r="U107" s="51" t="str">
        <f>TEXT(EDATE('Input - Site'!$E$12,10), "mmmm yyyy")</f>
        <v>November 2024</v>
      </c>
      <c r="V107" s="51" cm="1">
        <f t="array" aca="1" ref="V107" ca="1">EntericMethane_PastureBeef_Equations.VEERG_3_2_1_1__2_DailyEntericMethaneProduction(V86)</f>
        <v>0.17948772790272</v>
      </c>
      <c r="W107" s="51" cm="1">
        <f t="array" aca="1" ref="W107" ca="1">EntericMethane_PastureBeef_Equations.VEERG_3_2_1_1__2_DailyEntericMethaneProduction(W86)</f>
        <v>0.25350255517500003</v>
      </c>
      <c r="X107" s="51" cm="1">
        <f t="array" aca="1" ref="X107" ca="1">EntericMethane_PastureBeef_Equations.VEERG_3_2_1_1__2_DailyEntericMethaneProduction(X86)</f>
        <v>0.13680549733887001</v>
      </c>
      <c r="Y107" s="51" cm="1">
        <f t="array" aca="1" ref="Y107" ca="1">EntericMethane_PastureBeef_Equations.VEERG_3_2_1_1__2_DailyEntericMethaneProduction(Y86)</f>
        <v>0.17953283673207002</v>
      </c>
      <c r="Z107" s="51" cm="1">
        <f t="array" aca="1" ref="Z107" ca="1">EntericMethane_PastureBeef_Equations.VEERG_3_2_1_1__2_DailyEntericMethaneProduction(Z86)</f>
        <v>0.19936359529200001</v>
      </c>
      <c r="AA107" s="51" cm="1">
        <f t="array" aca="1" ref="AA107" ca="1">EntericMethane_PastureBeef_Equations.VEERG_3_2_1_1__2_DailyEntericMethaneProduction(AA86)</f>
        <v>0.19936359529200001</v>
      </c>
      <c r="AB107" s="51" cm="1">
        <f t="array" aca="1" ref="AB107" ca="1">EntericMethane_PastureBeef_Equations.VEERG_3_2_1_1__2_DailyEntericMethaneProduction(AB86)</f>
        <v>0.15771860106299995</v>
      </c>
      <c r="AC107" s="51" cm="1">
        <f t="array" aca="1" ref="AC107" ca="1">EntericMethane_PastureBeef_Equations.VEERG_3_2_1_1__2_DailyEntericMethaneProduction(AC86)</f>
        <v>0.20042625868091996</v>
      </c>
      <c r="AD107" s="51" cm="1">
        <f t="array" aca="1" ref="AD107" ca="1">EntericMethane_PastureBeef_Equations.VEERG_3_2_1_1__2_DailyEntericMethaneProduction(AD86)</f>
        <v>0.20042625868091996</v>
      </c>
      <c r="AE107" s="51" cm="1">
        <f t="array" aca="1" ref="AE107" ca="1">EntericMethane_PastureBeef_Equations.VEERG_3_2_1_1__2_DailyEntericMethaneProduction(AE86)</f>
        <v>0.20042625868091996</v>
      </c>
      <c r="AF107" s="2"/>
    </row>
    <row r="108" spans="4:35" ht="20.100000000000001" customHeight="1" x14ac:dyDescent="0.25">
      <c r="D108" s="51" t="s">
        <v>136</v>
      </c>
      <c r="E108" s="51">
        <f ca="1"/>
        <v>100</v>
      </c>
      <c r="F108" s="51">
        <f ca="1"/>
        <v>100</v>
      </c>
      <c r="G108" s="51">
        <f ca="1"/>
        <v>100</v>
      </c>
      <c r="H108" s="51">
        <f ca="1"/>
        <v>100</v>
      </c>
      <c r="I108" s="51">
        <f ca="1"/>
        <v>100</v>
      </c>
      <c r="J108" s="51">
        <f ca="1"/>
        <v>100</v>
      </c>
      <c r="K108" s="51">
        <f ca="1"/>
        <v>100</v>
      </c>
      <c r="L108" s="51">
        <f ca="1"/>
        <v>100</v>
      </c>
      <c r="M108" s="51">
        <f ca="1"/>
        <v>100</v>
      </c>
      <c r="N108" s="51">
        <f ca="1"/>
        <v>100</v>
      </c>
      <c r="O108" s="2"/>
      <c r="U108" s="51" t="str">
        <f>TEXT(EDATE('Input - Site'!$E$12,11), "mmmm yyyy")</f>
        <v>December 2024</v>
      </c>
      <c r="V108" s="51" cm="1">
        <f t="array" aca="1" ref="V108" ca="1">EntericMethane_PastureBeef_Equations.VEERG_3_2_1_1__2_DailyEntericMethaneProduction(V87)</f>
        <v>0.14793987137471989</v>
      </c>
      <c r="W108" s="51" cm="1">
        <f t="array" aca="1" ref="W108" ca="1">EntericMethane_PastureBeef_Equations.VEERG_3_2_1_1__2_DailyEntericMethaneProduction(W87)</f>
        <v>0.19573907587452002</v>
      </c>
      <c r="X108" s="51" cm="1">
        <f t="array" aca="1" ref="X108" ca="1">EntericMethane_PastureBeef_Equations.VEERG_3_2_1_1__2_DailyEntericMethaneProduction(X87)</f>
        <v>0.12441409099199996</v>
      </c>
      <c r="Y108" s="51" cm="1">
        <f t="array" aca="1" ref="Y108" ca="1">EntericMethane_PastureBeef_Equations.VEERG_3_2_1_1__2_DailyEntericMethaneProduction(Y87)</f>
        <v>0.16292037884175001</v>
      </c>
      <c r="Z108" s="51" cm="1">
        <f t="array" aca="1" ref="Z108" ca="1">EntericMethane_PastureBeef_Equations.VEERG_3_2_1_1__2_DailyEntericMethaneProduction(Z87)</f>
        <v>0.16131110973551996</v>
      </c>
      <c r="AA108" s="51" cm="1">
        <f t="array" aca="1" ref="AA108" ca="1">EntericMethane_PastureBeef_Equations.VEERG_3_2_1_1__2_DailyEntericMethaneProduction(AA87)</f>
        <v>0.16131110973551996</v>
      </c>
      <c r="AB108" s="51" cm="1">
        <f t="array" aca="1" ref="AB108" ca="1">EntericMethane_PastureBeef_Equations.VEERG_3_2_1_1__2_DailyEntericMethaneProduction(AB87)</f>
        <v>0.13636416641471999</v>
      </c>
      <c r="AC108" s="51" cm="1">
        <f t="array" aca="1" ref="AC108" ca="1">EntericMethane_PastureBeef_Equations.VEERG_3_2_1_1__2_DailyEntericMethaneProduction(AC87)</f>
        <v>0.15200155388727002</v>
      </c>
      <c r="AD108" s="51" cm="1">
        <f t="array" aca="1" ref="AD108" ca="1">EntericMethane_PastureBeef_Equations.VEERG_3_2_1_1__2_DailyEntericMethaneProduction(AD87)</f>
        <v>0.15200155388727002</v>
      </c>
      <c r="AE108" s="51" cm="1">
        <f t="array" aca="1" ref="AE108" ca="1">EntericMethane_PastureBeef_Equations.VEERG_3_2_1_1__2_DailyEntericMethaneProduction(AE87)</f>
        <v>0.15200155388727002</v>
      </c>
      <c r="AF108" s="2"/>
    </row>
    <row r="109" spans="4:35" ht="20.100000000000001" customHeight="1" x14ac:dyDescent="0.25">
      <c r="D109" s="51" t="s">
        <v>137</v>
      </c>
      <c r="E109" s="51">
        <f ca="1"/>
        <v>100</v>
      </c>
      <c r="F109" s="51">
        <f ca="1"/>
        <v>100</v>
      </c>
      <c r="G109" s="51">
        <f ca="1"/>
        <v>100</v>
      </c>
      <c r="H109" s="51">
        <f ca="1"/>
        <v>100</v>
      </c>
      <c r="I109" s="51">
        <f ca="1"/>
        <v>100</v>
      </c>
      <c r="J109" s="51">
        <f ca="1"/>
        <v>100</v>
      </c>
      <c r="K109" s="51">
        <f ca="1"/>
        <v>100</v>
      </c>
      <c r="L109" s="51">
        <f ca="1"/>
        <v>100</v>
      </c>
      <c r="M109" s="51">
        <f ca="1"/>
        <v>100</v>
      </c>
      <c r="N109" s="51">
        <f ca="1"/>
        <v>100</v>
      </c>
      <c r="O109" s="2"/>
    </row>
    <row r="110" spans="4:35" ht="20.100000000000001" customHeight="1" x14ac:dyDescent="0.25">
      <c r="D110" s="51" t="s">
        <v>138</v>
      </c>
      <c r="E110" s="51">
        <f ca="1"/>
        <v>100</v>
      </c>
      <c r="F110" s="51">
        <f ca="1"/>
        <v>100</v>
      </c>
      <c r="G110" s="51">
        <f ca="1"/>
        <v>100</v>
      </c>
      <c r="H110" s="51">
        <f ca="1"/>
        <v>100</v>
      </c>
      <c r="I110" s="51">
        <f ca="1"/>
        <v>100</v>
      </c>
      <c r="J110" s="51">
        <f ca="1"/>
        <v>100</v>
      </c>
      <c r="K110" s="51">
        <f ca="1"/>
        <v>100</v>
      </c>
      <c r="L110" s="51">
        <f ca="1"/>
        <v>100</v>
      </c>
      <c r="M110" s="51">
        <f ca="1"/>
        <v>100</v>
      </c>
      <c r="N110" s="51">
        <f ca="1"/>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cm="1">
        <f t="array" aca="1" ref="E115:N118" ca="1">OFFSET(X_Table_PastureBeef_Duration_Method1,1,1,4,10)</f>
        <v>91.25</v>
      </c>
      <c r="F115" s="51">
        <f ca="1"/>
        <v>91.25</v>
      </c>
      <c r="G115" s="51">
        <f ca="1"/>
        <v>91.25</v>
      </c>
      <c r="H115" s="51">
        <f ca="1"/>
        <v>91.25</v>
      </c>
      <c r="I115" s="51">
        <f ca="1"/>
        <v>91.25</v>
      </c>
      <c r="J115" s="51">
        <f ca="1"/>
        <v>91.25</v>
      </c>
      <c r="K115" s="51">
        <f ca="1"/>
        <v>91.25</v>
      </c>
      <c r="L115" s="51">
        <f ca="1"/>
        <v>91.25</v>
      </c>
      <c r="M115" s="51">
        <f ca="1"/>
        <v>91.25</v>
      </c>
      <c r="N115" s="51">
        <f ca="1"/>
        <v>91.25</v>
      </c>
      <c r="O115" s="2" t="str">
        <f>G100</f>
        <v>days</v>
      </c>
      <c r="U115" s="95" t="s">
        <v>229</v>
      </c>
      <c r="AH115" s="2"/>
    </row>
    <row r="116" spans="4:34" ht="20.100000000000001" customHeight="1" x14ac:dyDescent="0.25">
      <c r="D116" s="51" t="s">
        <v>136</v>
      </c>
      <c r="E116" s="51">
        <f ca="1"/>
        <v>91.25</v>
      </c>
      <c r="F116" s="51">
        <f ca="1"/>
        <v>91.25</v>
      </c>
      <c r="G116" s="51">
        <f ca="1"/>
        <v>91.25</v>
      </c>
      <c r="H116" s="51">
        <f ca="1"/>
        <v>91.25</v>
      </c>
      <c r="I116" s="51">
        <f ca="1"/>
        <v>91.25</v>
      </c>
      <c r="J116" s="51">
        <f ca="1"/>
        <v>91.25</v>
      </c>
      <c r="K116" s="51">
        <f ca="1"/>
        <v>91.25</v>
      </c>
      <c r="L116" s="51">
        <f ca="1"/>
        <v>91.25</v>
      </c>
      <c r="M116" s="51">
        <f ca="1"/>
        <v>91.25</v>
      </c>
      <c r="N116" s="51">
        <f ca="1"/>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 ca="1"/>
        <v>91.25</v>
      </c>
      <c r="F117" s="51">
        <f ca="1"/>
        <v>91.25</v>
      </c>
      <c r="G117" s="51">
        <f ca="1"/>
        <v>91.25</v>
      </c>
      <c r="H117" s="51">
        <f ca="1"/>
        <v>91.25</v>
      </c>
      <c r="I117" s="51">
        <f ca="1"/>
        <v>91.25</v>
      </c>
      <c r="J117" s="51">
        <f ca="1"/>
        <v>91.25</v>
      </c>
      <c r="K117" s="51">
        <f ca="1"/>
        <v>91.25</v>
      </c>
      <c r="L117" s="51">
        <f ca="1"/>
        <v>91.25</v>
      </c>
      <c r="M117" s="51">
        <f ca="1"/>
        <v>91.25</v>
      </c>
      <c r="N117" s="51">
        <f ca="1"/>
        <v>91.25</v>
      </c>
      <c r="O117" s="2"/>
      <c r="U117" s="51" t="str">
        <f>TEXT('Input - Site'!$E$12, "mmmm yyyy")</f>
        <v>January 2024</v>
      </c>
      <c r="V117" s="51" cm="1">
        <f t="array" aca="1" ref="V117:AE128" ca="1">OFFSET(X_Table_PastureBeef_Head_Method2,1,1,12,10)</f>
        <v>100</v>
      </c>
      <c r="W117" s="51">
        <f ca="1"/>
        <v>100</v>
      </c>
      <c r="X117" s="51">
        <f ca="1"/>
        <v>100</v>
      </c>
      <c r="Y117" s="51">
        <f ca="1"/>
        <v>100</v>
      </c>
      <c r="Z117" s="51">
        <f ca="1"/>
        <v>100</v>
      </c>
      <c r="AA117" s="51">
        <f ca="1"/>
        <v>100</v>
      </c>
      <c r="AB117" s="51">
        <f ca="1"/>
        <v>100</v>
      </c>
      <c r="AC117" s="51">
        <f ca="1"/>
        <v>100</v>
      </c>
      <c r="AD117" s="51">
        <f ca="1"/>
        <v>100</v>
      </c>
      <c r="AE117" s="51">
        <f ca="1"/>
        <v>100</v>
      </c>
      <c r="AF117" s="2" t="str">
        <f>$G$102</f>
        <v>head</v>
      </c>
      <c r="AH117" s="2"/>
    </row>
    <row r="118" spans="4:34" ht="20.100000000000001" customHeight="1" x14ac:dyDescent="0.25">
      <c r="D118" s="51" t="s">
        <v>138</v>
      </c>
      <c r="E118" s="51">
        <f ca="1"/>
        <v>91.25</v>
      </c>
      <c r="F118" s="51">
        <f ca="1"/>
        <v>91.25</v>
      </c>
      <c r="G118" s="51">
        <f ca="1"/>
        <v>91.25</v>
      </c>
      <c r="H118" s="51">
        <f ca="1"/>
        <v>91.25</v>
      </c>
      <c r="I118" s="51">
        <f ca="1"/>
        <v>91.25</v>
      </c>
      <c r="J118" s="51">
        <f ca="1"/>
        <v>91.25</v>
      </c>
      <c r="K118" s="51">
        <f ca="1"/>
        <v>91.25</v>
      </c>
      <c r="L118" s="51">
        <f ca="1"/>
        <v>91.25</v>
      </c>
      <c r="M118" s="51">
        <f ca="1"/>
        <v>91.25</v>
      </c>
      <c r="N118" s="51">
        <f ca="1"/>
        <v>91.25</v>
      </c>
      <c r="O118" s="2"/>
      <c r="U118" s="51" t="str">
        <f>TEXT(EDATE('Input - Site'!$E$12,1), "mmmm yyyy")</f>
        <v>February 2024</v>
      </c>
      <c r="V118" s="51">
        <f ca="1"/>
        <v>100</v>
      </c>
      <c r="W118" s="51">
        <f ca="1"/>
        <v>100</v>
      </c>
      <c r="X118" s="51">
        <f ca="1"/>
        <v>100</v>
      </c>
      <c r="Y118" s="51">
        <f ca="1"/>
        <v>100</v>
      </c>
      <c r="Z118" s="51">
        <f ca="1"/>
        <v>100</v>
      </c>
      <c r="AA118" s="51">
        <f ca="1"/>
        <v>100</v>
      </c>
      <c r="AB118" s="51">
        <f ca="1"/>
        <v>100</v>
      </c>
      <c r="AC118" s="51">
        <f ca="1"/>
        <v>100</v>
      </c>
      <c r="AD118" s="51">
        <f ca="1"/>
        <v>100</v>
      </c>
      <c r="AE118" s="51">
        <f ca="1"/>
        <v>100</v>
      </c>
      <c r="AF118" s="2"/>
      <c r="AH118" s="2"/>
    </row>
    <row r="119" spans="4:34" ht="20.100000000000001" customHeight="1" x14ac:dyDescent="0.25">
      <c r="U119" s="51" t="str">
        <f>TEXT(EDATE('Input - Site'!$E$12,2), "mmmm yyyy")</f>
        <v>March 2024</v>
      </c>
      <c r="V119" s="51">
        <f ca="1"/>
        <v>100</v>
      </c>
      <c r="W119" s="51">
        <f ca="1"/>
        <v>100</v>
      </c>
      <c r="X119" s="51">
        <f ca="1"/>
        <v>100</v>
      </c>
      <c r="Y119" s="51">
        <f ca="1"/>
        <v>100</v>
      </c>
      <c r="Z119" s="51">
        <f ca="1"/>
        <v>100</v>
      </c>
      <c r="AA119" s="51">
        <f ca="1"/>
        <v>100</v>
      </c>
      <c r="AB119" s="51">
        <f ca="1"/>
        <v>100</v>
      </c>
      <c r="AC119" s="51">
        <f ca="1"/>
        <v>100</v>
      </c>
      <c r="AD119" s="51">
        <f ca="1"/>
        <v>100</v>
      </c>
      <c r="AE119" s="51">
        <f ca="1"/>
        <v>100</v>
      </c>
      <c r="AF119" s="2"/>
      <c r="AH119" s="2"/>
    </row>
    <row r="120" spans="4:34" ht="20.100000000000001" customHeight="1" x14ac:dyDescent="0.25">
      <c r="D120" s="96" t="s">
        <v>260</v>
      </c>
      <c r="U120" s="51" t="str">
        <f>TEXT(EDATE('Input - Site'!$E$12,3), "mmmm yyyy")</f>
        <v>April 2024</v>
      </c>
      <c r="V120" s="51">
        <f ca="1"/>
        <v>100</v>
      </c>
      <c r="W120" s="51">
        <f ca="1"/>
        <v>100</v>
      </c>
      <c r="X120" s="51">
        <f ca="1"/>
        <v>100</v>
      </c>
      <c r="Y120" s="51">
        <f ca="1"/>
        <v>100</v>
      </c>
      <c r="Z120" s="51">
        <f ca="1"/>
        <v>100</v>
      </c>
      <c r="AA120" s="51">
        <f ca="1"/>
        <v>100</v>
      </c>
      <c r="AB120" s="51">
        <f ca="1"/>
        <v>100</v>
      </c>
      <c r="AC120" s="51">
        <f ca="1"/>
        <v>100</v>
      </c>
      <c r="AD120" s="51">
        <f ca="1"/>
        <v>100</v>
      </c>
      <c r="AE120" s="51">
        <f ca="1"/>
        <v>100</v>
      </c>
      <c r="AF120" s="2"/>
      <c r="AH120" s="2"/>
    </row>
    <row r="121" spans="4:34" ht="20.100000000000001" customHeight="1" x14ac:dyDescent="0.25">
      <c r="D121" s="95" t="s">
        <v>261</v>
      </c>
      <c r="U121" s="51" t="str">
        <f>TEXT(EDATE('Input - Site'!$E$12,4), "mmmm yyyy")</f>
        <v>May 2024</v>
      </c>
      <c r="V121" s="51">
        <f ca="1"/>
        <v>100</v>
      </c>
      <c r="W121" s="51">
        <f ca="1"/>
        <v>100</v>
      </c>
      <c r="X121" s="51">
        <f ca="1"/>
        <v>100</v>
      </c>
      <c r="Y121" s="51">
        <f ca="1"/>
        <v>100</v>
      </c>
      <c r="Z121" s="51">
        <f ca="1"/>
        <v>100</v>
      </c>
      <c r="AA121" s="51">
        <f ca="1"/>
        <v>100</v>
      </c>
      <c r="AB121" s="51">
        <f ca="1"/>
        <v>100</v>
      </c>
      <c r="AC121" s="51">
        <f ca="1"/>
        <v>100</v>
      </c>
      <c r="AD121" s="51">
        <f ca="1"/>
        <v>100</v>
      </c>
      <c r="AE121" s="51">
        <f ca="1"/>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 ca="1"/>
        <v>100</v>
      </c>
      <c r="W122" s="51">
        <f ca="1"/>
        <v>100</v>
      </c>
      <c r="X122" s="51">
        <f ca="1"/>
        <v>100</v>
      </c>
      <c r="Y122" s="51">
        <f ca="1"/>
        <v>100</v>
      </c>
      <c r="Z122" s="51">
        <f ca="1"/>
        <v>100</v>
      </c>
      <c r="AA122" s="51">
        <f ca="1"/>
        <v>100</v>
      </c>
      <c r="AB122" s="51">
        <f ca="1"/>
        <v>100</v>
      </c>
      <c r="AC122" s="51">
        <f ca="1"/>
        <v>100</v>
      </c>
      <c r="AD122" s="51">
        <f ca="1"/>
        <v>100</v>
      </c>
      <c r="AE122" s="51">
        <f ca="1"/>
        <v>100</v>
      </c>
      <c r="AF122" s="2"/>
      <c r="AH122" s="2"/>
    </row>
    <row r="123" spans="4:34" ht="20.100000000000001" customHeight="1" x14ac:dyDescent="0.25">
      <c r="D123" s="51" t="s">
        <v>135</v>
      </c>
      <c r="E123" s="51" cm="1">
        <f t="array" aca="1" ref="E123" ca="1">EntericMethane_PastureBeef_Equations.VEERG_3_2_1_1__1_TotalAnnualMethaneFromEntericFermentation(E115,E85,E107)</f>
        <v>1.6378255171123202</v>
      </c>
      <c r="F123" s="51" cm="1">
        <f t="array" aca="1" ref="F123" ca="1">EntericMethane_PastureBeef_Equations.VEERG_3_2_1_1__1_TotalAnnualMethaneFromEntericFermentation(F115,F85,F107)</f>
        <v>2.3132108159718756</v>
      </c>
      <c r="G123" s="51" cm="1">
        <f t="array" aca="1" ref="G123" ca="1">EntericMethane_PastureBeef_Equations.VEERG_3_2_1_1__1_TotalAnnualMethaneFromEntericFermentation(G115,G85,G107)</f>
        <v>1.2483501632171887</v>
      </c>
      <c r="H123" s="51" cm="1">
        <f t="array" aca="1" ref="H123" ca="1">EntericMethane_PastureBeef_Equations.VEERG_3_2_1_1__1_TotalAnnualMethaneFromEntericFermentation(H115,H85,H107)</f>
        <v>1.638237135180139</v>
      </c>
      <c r="I123" s="51" cm="1">
        <f t="array" aca="1" ref="I123" ca="1">EntericMethane_PastureBeef_Equations.VEERG_3_2_1_1__1_TotalAnnualMethaneFromEntericFermentation(I115,I85,I107)</f>
        <v>1.8191928070395003</v>
      </c>
      <c r="J123" s="51" cm="1">
        <f t="array" aca="1" ref="J123" ca="1">EntericMethane_PastureBeef_Equations.VEERG_3_2_1_1__1_TotalAnnualMethaneFromEntericFermentation(J115,J85,J107)</f>
        <v>1.8191928070395003</v>
      </c>
      <c r="K123" s="51" cm="1">
        <f t="array" aca="1" ref="K123" ca="1">EntericMethane_PastureBeef_Equations.VEERG_3_2_1_1__1_TotalAnnualMethaneFromEntericFermentation(K115,K85,K107)</f>
        <v>1.4391822346998746</v>
      </c>
      <c r="L123" s="51" cm="1">
        <f t="array" aca="1" ref="L123" ca="1">EntericMethane_PastureBeef_Equations.VEERG_3_2_1_1__1_TotalAnnualMethaneFromEntericFermentation(L115,L85,L107)</f>
        <v>1.8288896104633945</v>
      </c>
      <c r="M123" s="51" cm="1">
        <f t="array" aca="1" ref="M123" ca="1">EntericMethane_PastureBeef_Equations.VEERG_3_2_1_1__1_TotalAnnualMethaneFromEntericFermentation(M115,M85,M107)</f>
        <v>1.8288896104633945</v>
      </c>
      <c r="N123" s="51" cm="1">
        <f t="array" aca="1" ref="N123" ca="1">EntericMethane_PastureBeef_Equations.VEERG_3_2_1_1__1_TotalAnnualMethaneFromEntericFermentation(N115,N85,N107)</f>
        <v>1.8288896104633945</v>
      </c>
      <c r="O123" s="2" t="str">
        <f>E98</f>
        <v>t CH4</v>
      </c>
      <c r="Q123" s="2"/>
      <c r="U123" s="51" t="str">
        <f>TEXT(EDATE('Input - Site'!$E$12,6), "mmmm yyyy")</f>
        <v>July 2024</v>
      </c>
      <c r="V123" s="51">
        <f ca="1"/>
        <v>100</v>
      </c>
      <c r="W123" s="51">
        <f ca="1"/>
        <v>100</v>
      </c>
      <c r="X123" s="51">
        <f ca="1"/>
        <v>100</v>
      </c>
      <c r="Y123" s="51">
        <f ca="1"/>
        <v>100</v>
      </c>
      <c r="Z123" s="51">
        <f ca="1"/>
        <v>100</v>
      </c>
      <c r="AA123" s="51">
        <f ca="1"/>
        <v>100</v>
      </c>
      <c r="AB123" s="51">
        <f ca="1"/>
        <v>100</v>
      </c>
      <c r="AC123" s="51">
        <f ca="1"/>
        <v>100</v>
      </c>
      <c r="AD123" s="51">
        <f ca="1"/>
        <v>100</v>
      </c>
      <c r="AE123" s="51">
        <f ca="1"/>
        <v>100</v>
      </c>
      <c r="AF123" s="2"/>
      <c r="AH123" s="2"/>
    </row>
    <row r="124" spans="4:34" ht="20.100000000000001" customHeight="1" x14ac:dyDescent="0.25">
      <c r="D124" s="51" t="s">
        <v>136</v>
      </c>
      <c r="E124" s="51" cm="1">
        <f t="array" aca="1" ref="E124" ca="1">EntericMethane_PastureBeef_Equations.VEERG_3_2_1_1__1_TotalAnnualMethaneFromEntericFermentation(E116,E86,E108)</f>
        <v>1.3499513262943192</v>
      </c>
      <c r="F124" s="51" cm="1">
        <f t="array" aca="1" ref="F124" ca="1">EntericMethane_PastureBeef_Equations.VEERG_3_2_1_1__1_TotalAnnualMethaneFromEntericFermentation(F116,F86,F108)</f>
        <v>1.7861190673549951</v>
      </c>
      <c r="G124" s="51" cm="1">
        <f t="array" aca="1" ref="G124" ca="1">EntericMethane_PastureBeef_Equations.VEERG_3_2_1_1__1_TotalAnnualMethaneFromEntericFermentation(G116,G86,G108)</f>
        <v>1.1352785803019998</v>
      </c>
      <c r="H124" s="51" cm="1">
        <f t="array" aca="1" ref="H124" ca="1">EntericMethane_PastureBeef_Equations.VEERG_3_2_1_1__1_TotalAnnualMethaneFromEntericFermentation(H116,H86,H108)</f>
        <v>1.486648456930969</v>
      </c>
      <c r="I124" s="51" cm="1">
        <f t="array" aca="1" ref="I124" ca="1">EntericMethane_PastureBeef_Equations.VEERG_3_2_1_1__1_TotalAnnualMethaneFromEntericFermentation(I116,I86,I108)</f>
        <v>1.4719638763366196</v>
      </c>
      <c r="J124" s="51" cm="1">
        <f t="array" aca="1" ref="J124" ca="1">EntericMethane_PastureBeef_Equations.VEERG_3_2_1_1__1_TotalAnnualMethaneFromEntericFermentation(J116,J86,J108)</f>
        <v>1.4719638763366196</v>
      </c>
      <c r="K124" s="51" cm="1">
        <f t="array" aca="1" ref="K124" ca="1">EntericMethane_PastureBeef_Equations.VEERG_3_2_1_1__1_TotalAnnualMethaneFromEntericFermentation(K116,K86,K108)</f>
        <v>1.2443230185343197</v>
      </c>
      <c r="L124" s="51" cm="1">
        <f t="array" aca="1" ref="L124" ca="1">EntericMethane_PastureBeef_Equations.VEERG_3_2_1_1__1_TotalAnnualMethaneFromEntericFermentation(L116,L86,L108)</f>
        <v>1.3870141792213391</v>
      </c>
      <c r="M124" s="51" cm="1">
        <f t="array" aca="1" ref="M124" ca="1">EntericMethane_PastureBeef_Equations.VEERG_3_2_1_1__1_TotalAnnualMethaneFromEntericFermentation(M116,M86,M108)</f>
        <v>1.3870141792213391</v>
      </c>
      <c r="N124" s="51" cm="1">
        <f t="array" aca="1" ref="N124" ca="1">EntericMethane_PastureBeef_Equations.VEERG_3_2_1_1__1_TotalAnnualMethaneFromEntericFermentation(N116,N86,N108)</f>
        <v>1.3870141792213391</v>
      </c>
      <c r="O124" s="2"/>
      <c r="Q124" s="2"/>
      <c r="U124" s="51" t="str">
        <f>TEXT(EDATE('Input - Site'!$E$12,7), "mmmm yyyy")</f>
        <v>August 2024</v>
      </c>
      <c r="V124" s="51">
        <f ca="1"/>
        <v>100</v>
      </c>
      <c r="W124" s="51">
        <f ca="1"/>
        <v>100</v>
      </c>
      <c r="X124" s="51">
        <f ca="1"/>
        <v>100</v>
      </c>
      <c r="Y124" s="51">
        <f ca="1"/>
        <v>100</v>
      </c>
      <c r="Z124" s="51">
        <f ca="1"/>
        <v>100</v>
      </c>
      <c r="AA124" s="51">
        <f ca="1"/>
        <v>100</v>
      </c>
      <c r="AB124" s="51">
        <f ca="1"/>
        <v>100</v>
      </c>
      <c r="AC124" s="51">
        <f ca="1"/>
        <v>100</v>
      </c>
      <c r="AD124" s="51">
        <f ca="1"/>
        <v>100</v>
      </c>
      <c r="AE124" s="51">
        <f ca="1"/>
        <v>100</v>
      </c>
      <c r="AF124" s="2"/>
      <c r="AH124" s="2"/>
    </row>
    <row r="125" spans="4:34" ht="20.100000000000001" customHeight="1" x14ac:dyDescent="0.25">
      <c r="D125" s="51" t="s">
        <v>137</v>
      </c>
      <c r="E125" s="51" cm="1">
        <f t="array" aca="1" ref="E125" ca="1">EntericMethane_PastureBeef_Equations.VEERG_3_2_1_1__1_TotalAnnualMethaneFromEntericFermentation(E117,E87,E109)</f>
        <v>0.61335624555000001</v>
      </c>
      <c r="F125" s="51" cm="1">
        <f t="array" aca="1" ref="F125" ca="1">EntericMethane_PastureBeef_Equations.VEERG_3_2_1_1__1_TotalAnnualMethaneFromEntericFermentation(F117,F87,F109)</f>
        <v>1.7801994082822199</v>
      </c>
      <c r="G125" s="51" cm="1">
        <f t="array" aca="1" ref="G125" ca="1">EntericMethane_PastureBeef_Equations.VEERG_3_2_1_1__1_TotalAnnualMethaneFromEntericFermentation(G117,G87,G109)</f>
        <v>0.55916871211511998</v>
      </c>
      <c r="H125" s="51" cm="1">
        <f t="array" aca="1" ref="H125" ca="1">EntericMethane_PastureBeef_Equations.VEERG_3_2_1_1__1_TotalAnnualMethaneFromEntericFermentation(H117,H87,H109)</f>
        <v>1.1253534827611948</v>
      </c>
      <c r="I125" s="51" cm="1">
        <f t="array" aca="1" ref="I125" ca="1">EntericMethane_PastureBeef_Equations.VEERG_3_2_1_1__1_TotalAnnualMethaneFromEntericFermentation(I117,I87,I109)</f>
        <v>1.2689457429779887</v>
      </c>
      <c r="J125" s="51" cm="1">
        <f t="array" aca="1" ref="J125" ca="1">EntericMethane_PastureBeef_Equations.VEERG_3_2_1_1__1_TotalAnnualMethaneFromEntericFermentation(J117,J87,J109)</f>
        <v>1.2689457429779887</v>
      </c>
      <c r="K125" s="51" cm="1">
        <f t="array" aca="1" ref="K125" ca="1">EntericMethane_PastureBeef_Equations.VEERG_3_2_1_1__1_TotalAnnualMethaneFromEntericFermentation(K117,K87,K109)</f>
        <v>0.61335624555000001</v>
      </c>
      <c r="L125" s="51" cm="1">
        <f t="array" aca="1" ref="L125" ca="1">EntericMethane_PastureBeef_Equations.VEERG_3_2_1_1__1_TotalAnnualMethaneFromEntericFermentation(L117,L87,L109)</f>
        <v>1.1135632576102203</v>
      </c>
      <c r="M125" s="51" cm="1">
        <f t="array" aca="1" ref="M125" ca="1">EntericMethane_PastureBeef_Equations.VEERG_3_2_1_1__1_TotalAnnualMethaneFromEntericFermentation(M117,M87,M109)</f>
        <v>1.1135632576102203</v>
      </c>
      <c r="N125" s="51" cm="1">
        <f t="array" aca="1" ref="N125" ca="1">EntericMethane_PastureBeef_Equations.VEERG_3_2_1_1__1_TotalAnnualMethaneFromEntericFermentation(N117,N87,N109)</f>
        <v>1.1135632576102203</v>
      </c>
      <c r="O125" s="2"/>
      <c r="Q125" s="2"/>
      <c r="U125" s="51" t="str">
        <f>TEXT(EDATE('Input - Site'!$E$12,8), "mmmm yyyy")</f>
        <v>September 2024</v>
      </c>
      <c r="V125" s="51">
        <f ca="1"/>
        <v>100</v>
      </c>
      <c r="W125" s="51">
        <f ca="1"/>
        <v>100</v>
      </c>
      <c r="X125" s="51">
        <f ca="1"/>
        <v>100</v>
      </c>
      <c r="Y125" s="51">
        <f ca="1"/>
        <v>100</v>
      </c>
      <c r="Z125" s="51">
        <f ca="1"/>
        <v>100</v>
      </c>
      <c r="AA125" s="51">
        <f ca="1"/>
        <v>100</v>
      </c>
      <c r="AB125" s="51">
        <f ca="1"/>
        <v>100</v>
      </c>
      <c r="AC125" s="51">
        <f ca="1"/>
        <v>100</v>
      </c>
      <c r="AD125" s="51">
        <f ca="1"/>
        <v>100</v>
      </c>
      <c r="AE125" s="51">
        <f ca="1"/>
        <v>100</v>
      </c>
      <c r="AF125" s="2"/>
      <c r="AH125" s="2"/>
    </row>
    <row r="126" spans="4:34" ht="20.100000000000001" customHeight="1" x14ac:dyDescent="0.25">
      <c r="D126" s="51" t="s">
        <v>138</v>
      </c>
      <c r="E126" s="51" cm="1">
        <f t="array" aca="1" ref="E126" ca="1">EntericMethane_PastureBeef_Equations.VEERG_3_2_1_1__1_TotalAnnualMethaneFromEntericFermentation(E118,E88,E110)</f>
        <v>0.96954028006048887</v>
      </c>
      <c r="F126" s="51" cm="1">
        <f t="array" aca="1" ref="F126" ca="1">EntericMethane_PastureBeef_Equations.VEERG_3_2_1_1__1_TotalAnnualMethaneFromEntericFermentation(F118,F88,F110)</f>
        <v>1.8841261585848745</v>
      </c>
      <c r="G126" s="51" cm="1">
        <f t="array" aca="1" ref="G126" ca="1">EntericMethane_PastureBeef_Equations.VEERG_3_2_1_1__1_TotalAnnualMethaneFromEntericFermentation(G118,G88,G110)</f>
        <v>0.79383844115971891</v>
      </c>
      <c r="H126" s="51" cm="1">
        <f t="array" aca="1" ref="H126" ca="1">EntericMethane_PastureBeef_Equations.VEERG_3_2_1_1__1_TotalAnnualMethaneFromEntericFermentation(H118,H88,H110)</f>
        <v>1.1196897372566892</v>
      </c>
      <c r="I126" s="51" cm="1">
        <f t="array" aca="1" ref="I126" ca="1">EntericMethane_PastureBeef_Equations.VEERG_3_2_1_1__1_TotalAnnualMethaneFromEntericFermentation(I118,I88,I110)</f>
        <v>1.5020983017638887</v>
      </c>
      <c r="J126" s="51" cm="1">
        <f t="array" aca="1" ref="J126" ca="1">EntericMethane_PastureBeef_Equations.VEERG_3_2_1_1__1_TotalAnnualMethaneFromEntericFermentation(J118,J88,J110)</f>
        <v>1.5020983017638887</v>
      </c>
      <c r="K126" s="51" cm="1">
        <f t="array" aca="1" ref="K126" ca="1">EntericMethane_PastureBeef_Equations.VEERG_3_2_1_1__1_TotalAnnualMethaneFromEntericFermentation(K118,K88,K110)</f>
        <v>0.8523110452909386</v>
      </c>
      <c r="L126" s="51" cm="1">
        <f t="array" aca="1" ref="L126" ca="1">EntericMethane_PastureBeef_Equations.VEERG_3_2_1_1__1_TotalAnnualMethaneFromEntericFermentation(L118,L88,L110)</f>
        <v>1.2976289206207199</v>
      </c>
      <c r="M126" s="51" cm="1">
        <f t="array" aca="1" ref="M126" ca="1">EntericMethane_PastureBeef_Equations.VEERG_3_2_1_1__1_TotalAnnualMethaneFromEntericFermentation(M118,M88,M110)</f>
        <v>1.2976289206207199</v>
      </c>
      <c r="N126" s="51" cm="1">
        <f t="array" aca="1" ref="N126" ca="1">EntericMethane_PastureBeef_Equations.VEERG_3_2_1_1__1_TotalAnnualMethaneFromEntericFermentation(N118,N88,N110)</f>
        <v>1.2976289206207199</v>
      </c>
      <c r="O126" s="2"/>
      <c r="Q126" s="2"/>
      <c r="U126" s="51" t="str">
        <f>TEXT(EDATE('Input - Site'!$E$12,9), "mmmm yyyy")</f>
        <v>October 2024</v>
      </c>
      <c r="V126" s="51">
        <f ca="1"/>
        <v>100</v>
      </c>
      <c r="W126" s="51">
        <f ca="1"/>
        <v>100</v>
      </c>
      <c r="X126" s="51">
        <f ca="1"/>
        <v>100</v>
      </c>
      <c r="Y126" s="51">
        <f ca="1"/>
        <v>100</v>
      </c>
      <c r="Z126" s="51">
        <f ca="1"/>
        <v>100</v>
      </c>
      <c r="AA126" s="51">
        <f ca="1"/>
        <v>100</v>
      </c>
      <c r="AB126" s="51">
        <f ca="1"/>
        <v>100</v>
      </c>
      <c r="AC126" s="51">
        <f ca="1"/>
        <v>100</v>
      </c>
      <c r="AD126" s="51">
        <f ca="1"/>
        <v>100</v>
      </c>
      <c r="AE126" s="51">
        <f ca="1"/>
        <v>100</v>
      </c>
      <c r="AF126" s="2"/>
      <c r="AH126" s="2"/>
    </row>
    <row r="127" spans="4:34" ht="20.100000000000001" customHeight="1" x14ac:dyDescent="0.25">
      <c r="Q127" s="2"/>
      <c r="U127" s="51" t="str">
        <f>TEXT(EDATE('Input - Site'!$E$12,10), "mmmm yyyy")</f>
        <v>November 2024</v>
      </c>
      <c r="V127" s="51">
        <f ca="1"/>
        <v>100</v>
      </c>
      <c r="W127" s="51">
        <f ca="1"/>
        <v>100</v>
      </c>
      <c r="X127" s="51">
        <f ca="1"/>
        <v>100</v>
      </c>
      <c r="Y127" s="51">
        <f ca="1"/>
        <v>100</v>
      </c>
      <c r="Z127" s="51">
        <f ca="1"/>
        <v>100</v>
      </c>
      <c r="AA127" s="51">
        <f ca="1"/>
        <v>100</v>
      </c>
      <c r="AB127" s="51">
        <f ca="1"/>
        <v>100</v>
      </c>
      <c r="AC127" s="51">
        <f ca="1"/>
        <v>100</v>
      </c>
      <c r="AD127" s="51">
        <f ca="1"/>
        <v>100</v>
      </c>
      <c r="AE127" s="51">
        <f ca="1"/>
        <v>100</v>
      </c>
      <c r="AF127" s="2"/>
    </row>
    <row r="128" spans="4:34" ht="20.100000000000001" customHeight="1" x14ac:dyDescent="0.25">
      <c r="D128" s="97" t="s">
        <v>232</v>
      </c>
      <c r="E128" s="98">
        <f ca="1">SUM(E123:N126)</f>
        <v>54.595755432192263</v>
      </c>
      <c r="F128" s="99" t="str">
        <f>$E$98</f>
        <v>t CH4</v>
      </c>
      <c r="Q128" s="2"/>
      <c r="U128" s="51" t="str">
        <f>TEXT(EDATE('Input - Site'!$E$12,11), "mmmm yyyy")</f>
        <v>December 2024</v>
      </c>
      <c r="V128" s="51">
        <f ca="1"/>
        <v>100</v>
      </c>
      <c r="W128" s="51">
        <f ca="1"/>
        <v>100</v>
      </c>
      <c r="X128" s="51">
        <f ca="1"/>
        <v>100</v>
      </c>
      <c r="Y128" s="51">
        <f ca="1"/>
        <v>100</v>
      </c>
      <c r="Z128" s="51">
        <f ca="1"/>
        <v>100</v>
      </c>
      <c r="AA128" s="51">
        <f ca="1"/>
        <v>100</v>
      </c>
      <c r="AB128" s="51">
        <f ca="1"/>
        <v>100</v>
      </c>
      <c r="AC128" s="51">
        <f ca="1"/>
        <v>100</v>
      </c>
      <c r="AD128" s="51">
        <f ca="1"/>
        <v>100</v>
      </c>
      <c r="AE128" s="51">
        <f ca="1"/>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 ca="1">E128</f>
        <v>54.595755432192263</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aca="1" ref="E133" ca="1">Common_Equations.Common_ConvertN2OToCO2e(G130,G131)</f>
        <v>1528.6811521013833</v>
      </c>
      <c r="F133" s="101" t="str" cm="1">
        <f t="array" ref="F133">Common_Equations.Common_ConvertN2OToCO2e_Unit()</f>
        <v>t CO2e</v>
      </c>
      <c r="U133" s="51" t="str">
        <f>TEXT('Input - Site'!$E$12, "mmmm yyyy")</f>
        <v>January 2024</v>
      </c>
      <c r="V133" s="51" cm="1">
        <f t="array" aca="1" ref="V133:AE144" ca="1">OFFSET(X_Table_PastureBeef_Duration_Method2,1,1,12,10)</f>
        <v>31</v>
      </c>
      <c r="W133" s="51">
        <f ca="1"/>
        <v>31</v>
      </c>
      <c r="X133" s="51">
        <f ca="1"/>
        <v>31</v>
      </c>
      <c r="Y133" s="51">
        <f ca="1"/>
        <v>31</v>
      </c>
      <c r="Z133" s="51">
        <f ca="1"/>
        <v>31</v>
      </c>
      <c r="AA133" s="51">
        <f ca="1"/>
        <v>31</v>
      </c>
      <c r="AB133" s="51">
        <f ca="1"/>
        <v>31</v>
      </c>
      <c r="AC133" s="51">
        <f ca="1"/>
        <v>31</v>
      </c>
      <c r="AD133" s="51">
        <f ca="1"/>
        <v>31</v>
      </c>
      <c r="AE133" s="51">
        <f ca="1"/>
        <v>31</v>
      </c>
      <c r="AF133" s="2" t="str">
        <f>$G$100</f>
        <v>days</v>
      </c>
      <c r="AH133" s="2"/>
    </row>
    <row r="134" spans="4:34" ht="20.100000000000001" customHeight="1" x14ac:dyDescent="0.25">
      <c r="U134" s="51" t="str">
        <f>TEXT(EDATE('Input - Site'!$E$12,1), "mmmm yyyy")</f>
        <v>February 2024</v>
      </c>
      <c r="V134" s="51">
        <f ca="1"/>
        <v>29</v>
      </c>
      <c r="W134" s="51">
        <f ca="1"/>
        <v>29</v>
      </c>
      <c r="X134" s="51">
        <f ca="1"/>
        <v>29</v>
      </c>
      <c r="Y134" s="51">
        <f ca="1"/>
        <v>29</v>
      </c>
      <c r="Z134" s="51">
        <f ca="1"/>
        <v>29</v>
      </c>
      <c r="AA134" s="51">
        <f ca="1"/>
        <v>29</v>
      </c>
      <c r="AB134" s="51">
        <f ca="1"/>
        <v>29</v>
      </c>
      <c r="AC134" s="51">
        <f ca="1"/>
        <v>29</v>
      </c>
      <c r="AD134" s="51">
        <f ca="1"/>
        <v>29</v>
      </c>
      <c r="AE134" s="51">
        <f ca="1"/>
        <v>29</v>
      </c>
      <c r="AF134" s="2"/>
      <c r="AH134" s="2"/>
    </row>
    <row r="135" spans="4:34" ht="20.100000000000001" customHeight="1" x14ac:dyDescent="0.25">
      <c r="U135" s="51" t="str">
        <f>TEXT(EDATE('Input - Site'!$E$12,2), "mmmm yyyy")</f>
        <v>March 2024</v>
      </c>
      <c r="V135" s="51">
        <f ca="1"/>
        <v>31</v>
      </c>
      <c r="W135" s="51">
        <f ca="1"/>
        <v>31</v>
      </c>
      <c r="X135" s="51">
        <f ca="1"/>
        <v>31</v>
      </c>
      <c r="Y135" s="51">
        <f ca="1"/>
        <v>31</v>
      </c>
      <c r="Z135" s="51">
        <f ca="1"/>
        <v>31</v>
      </c>
      <c r="AA135" s="51">
        <f ca="1"/>
        <v>31</v>
      </c>
      <c r="AB135" s="51">
        <f ca="1"/>
        <v>31</v>
      </c>
      <c r="AC135" s="51">
        <f ca="1"/>
        <v>31</v>
      </c>
      <c r="AD135" s="51">
        <f ca="1"/>
        <v>31</v>
      </c>
      <c r="AE135" s="51">
        <f ca="1"/>
        <v>31</v>
      </c>
      <c r="AF135" s="2"/>
      <c r="AH135" s="2"/>
    </row>
    <row r="136" spans="4:34" ht="20.100000000000001" customHeight="1" x14ac:dyDescent="0.25">
      <c r="U136" s="51" t="str">
        <f>TEXT(EDATE('Input - Site'!$E$12,3), "mmmm yyyy")</f>
        <v>April 2024</v>
      </c>
      <c r="V136" s="51">
        <f ca="1"/>
        <v>30</v>
      </c>
      <c r="W136" s="51">
        <f ca="1"/>
        <v>30</v>
      </c>
      <c r="X136" s="51">
        <f ca="1"/>
        <v>30</v>
      </c>
      <c r="Y136" s="51">
        <f ca="1"/>
        <v>30</v>
      </c>
      <c r="Z136" s="51">
        <f ca="1"/>
        <v>30</v>
      </c>
      <c r="AA136" s="51">
        <f ca="1"/>
        <v>30</v>
      </c>
      <c r="AB136" s="51">
        <f ca="1"/>
        <v>30</v>
      </c>
      <c r="AC136" s="51">
        <f ca="1"/>
        <v>30</v>
      </c>
      <c r="AD136" s="51">
        <f ca="1"/>
        <v>30</v>
      </c>
      <c r="AE136" s="51">
        <f ca="1"/>
        <v>30</v>
      </c>
      <c r="AF136" s="2"/>
      <c r="AH136" s="2"/>
    </row>
    <row r="137" spans="4:34" ht="20.100000000000001" customHeight="1" x14ac:dyDescent="0.25">
      <c r="U137" s="51" t="str">
        <f>TEXT(EDATE('Input - Site'!$E$12,4), "mmmm yyyy")</f>
        <v>May 2024</v>
      </c>
      <c r="V137" s="51">
        <f ca="1"/>
        <v>31</v>
      </c>
      <c r="W137" s="51">
        <f ca="1"/>
        <v>31</v>
      </c>
      <c r="X137" s="51">
        <f ca="1"/>
        <v>31</v>
      </c>
      <c r="Y137" s="51">
        <f ca="1"/>
        <v>31</v>
      </c>
      <c r="Z137" s="51">
        <f ca="1"/>
        <v>31</v>
      </c>
      <c r="AA137" s="51">
        <f ca="1"/>
        <v>31</v>
      </c>
      <c r="AB137" s="51">
        <f ca="1"/>
        <v>31</v>
      </c>
      <c r="AC137" s="51">
        <f ca="1"/>
        <v>31</v>
      </c>
      <c r="AD137" s="51">
        <f ca="1"/>
        <v>31</v>
      </c>
      <c r="AE137" s="51">
        <f ca="1"/>
        <v>31</v>
      </c>
      <c r="AF137" s="2"/>
      <c r="AH137" s="2"/>
    </row>
    <row r="138" spans="4:34" ht="20.100000000000001" customHeight="1" x14ac:dyDescent="0.25">
      <c r="U138" s="51" t="str">
        <f>TEXT(EDATE('Input - Site'!$E$12,5), "mmmm yyyy")</f>
        <v>June 2024</v>
      </c>
      <c r="V138" s="51">
        <f ca="1"/>
        <v>30</v>
      </c>
      <c r="W138" s="51">
        <f ca="1"/>
        <v>30</v>
      </c>
      <c r="X138" s="51">
        <f ca="1"/>
        <v>30</v>
      </c>
      <c r="Y138" s="51">
        <f ca="1"/>
        <v>30</v>
      </c>
      <c r="Z138" s="51">
        <f ca="1"/>
        <v>30</v>
      </c>
      <c r="AA138" s="51">
        <f ca="1"/>
        <v>30</v>
      </c>
      <c r="AB138" s="51">
        <f ca="1"/>
        <v>30</v>
      </c>
      <c r="AC138" s="51">
        <f ca="1"/>
        <v>30</v>
      </c>
      <c r="AD138" s="51">
        <f ca="1"/>
        <v>30</v>
      </c>
      <c r="AE138" s="51">
        <f ca="1"/>
        <v>30</v>
      </c>
      <c r="AF138" s="2"/>
      <c r="AH138" s="2"/>
    </row>
    <row r="139" spans="4:34" ht="20.100000000000001" customHeight="1" x14ac:dyDescent="0.25">
      <c r="U139" s="51" t="str">
        <f>TEXT(EDATE('Input - Site'!$E$12,6), "mmmm yyyy")</f>
        <v>July 2024</v>
      </c>
      <c r="V139" s="51">
        <f ca="1"/>
        <v>31</v>
      </c>
      <c r="W139" s="51">
        <f ca="1"/>
        <v>31</v>
      </c>
      <c r="X139" s="51">
        <f ca="1"/>
        <v>31</v>
      </c>
      <c r="Y139" s="51">
        <f ca="1"/>
        <v>31</v>
      </c>
      <c r="Z139" s="51">
        <f ca="1"/>
        <v>31</v>
      </c>
      <c r="AA139" s="51">
        <f ca="1"/>
        <v>31</v>
      </c>
      <c r="AB139" s="51">
        <f ca="1"/>
        <v>31</v>
      </c>
      <c r="AC139" s="51">
        <f ca="1"/>
        <v>31</v>
      </c>
      <c r="AD139" s="51">
        <f ca="1"/>
        <v>31</v>
      </c>
      <c r="AE139" s="51">
        <f ca="1"/>
        <v>31</v>
      </c>
      <c r="AF139" s="2"/>
      <c r="AH139" s="2"/>
    </row>
    <row r="140" spans="4:34" ht="20.100000000000001" customHeight="1" x14ac:dyDescent="0.25">
      <c r="U140" s="51" t="str">
        <f>TEXT(EDATE('Input - Site'!$E$12,7), "mmmm yyyy")</f>
        <v>August 2024</v>
      </c>
      <c r="V140" s="51">
        <f ca="1"/>
        <v>31</v>
      </c>
      <c r="W140" s="51">
        <f ca="1"/>
        <v>31</v>
      </c>
      <c r="X140" s="51">
        <f ca="1"/>
        <v>31</v>
      </c>
      <c r="Y140" s="51">
        <f ca="1"/>
        <v>31</v>
      </c>
      <c r="Z140" s="51">
        <f ca="1"/>
        <v>31</v>
      </c>
      <c r="AA140" s="51">
        <f ca="1"/>
        <v>31</v>
      </c>
      <c r="AB140" s="51">
        <f ca="1"/>
        <v>31</v>
      </c>
      <c r="AC140" s="51">
        <f ca="1"/>
        <v>31</v>
      </c>
      <c r="AD140" s="51">
        <f ca="1"/>
        <v>31</v>
      </c>
      <c r="AE140" s="51">
        <f ca="1"/>
        <v>31</v>
      </c>
      <c r="AF140" s="2"/>
      <c r="AH140" s="2"/>
    </row>
    <row r="141" spans="4:34" ht="20.100000000000001" customHeight="1" x14ac:dyDescent="0.25">
      <c r="U141" s="51" t="str">
        <f>TEXT(EDATE('Input - Site'!$E$12,8), "mmmm yyyy")</f>
        <v>September 2024</v>
      </c>
      <c r="V141" s="51">
        <f ca="1"/>
        <v>30</v>
      </c>
      <c r="W141" s="51">
        <f ca="1"/>
        <v>30</v>
      </c>
      <c r="X141" s="51">
        <f ca="1"/>
        <v>30</v>
      </c>
      <c r="Y141" s="51">
        <f ca="1"/>
        <v>30</v>
      </c>
      <c r="Z141" s="51">
        <f ca="1"/>
        <v>30</v>
      </c>
      <c r="AA141" s="51">
        <f ca="1"/>
        <v>30</v>
      </c>
      <c r="AB141" s="51">
        <f ca="1"/>
        <v>30</v>
      </c>
      <c r="AC141" s="51">
        <f ca="1"/>
        <v>30</v>
      </c>
      <c r="AD141" s="51">
        <f ca="1"/>
        <v>30</v>
      </c>
      <c r="AE141" s="51">
        <f ca="1"/>
        <v>30</v>
      </c>
      <c r="AF141" s="2"/>
      <c r="AH141" s="2"/>
    </row>
    <row r="142" spans="4:34" ht="20.100000000000001" customHeight="1" x14ac:dyDescent="0.25">
      <c r="U142" s="51" t="str">
        <f>TEXT(EDATE('Input - Site'!$E$12,9), "mmmm yyyy")</f>
        <v>October 2024</v>
      </c>
      <c r="V142" s="51">
        <f ca="1"/>
        <v>31</v>
      </c>
      <c r="W142" s="51">
        <f ca="1"/>
        <v>31</v>
      </c>
      <c r="X142" s="51">
        <f ca="1"/>
        <v>31</v>
      </c>
      <c r="Y142" s="51">
        <f ca="1"/>
        <v>31</v>
      </c>
      <c r="Z142" s="51">
        <f ca="1"/>
        <v>31</v>
      </c>
      <c r="AA142" s="51">
        <f ca="1"/>
        <v>31</v>
      </c>
      <c r="AB142" s="51">
        <f ca="1"/>
        <v>31</v>
      </c>
      <c r="AC142" s="51">
        <f ca="1"/>
        <v>31</v>
      </c>
      <c r="AD142" s="51">
        <f ca="1"/>
        <v>31</v>
      </c>
      <c r="AE142" s="51">
        <f ca="1"/>
        <v>31</v>
      </c>
      <c r="AF142" s="2"/>
      <c r="AH142" s="2"/>
    </row>
    <row r="143" spans="4:34" ht="20.100000000000001" customHeight="1" x14ac:dyDescent="0.25">
      <c r="U143" s="51" t="str">
        <f>TEXT(EDATE('Input - Site'!$E$12,10), "mmmm yyyy")</f>
        <v>November 2024</v>
      </c>
      <c r="V143" s="51">
        <f ca="1"/>
        <v>30</v>
      </c>
      <c r="W143" s="51">
        <f ca="1"/>
        <v>30</v>
      </c>
      <c r="X143" s="51">
        <f ca="1"/>
        <v>30</v>
      </c>
      <c r="Y143" s="51">
        <f ca="1"/>
        <v>30</v>
      </c>
      <c r="Z143" s="51">
        <f ca="1"/>
        <v>30</v>
      </c>
      <c r="AA143" s="51">
        <f ca="1"/>
        <v>30</v>
      </c>
      <c r="AB143" s="51">
        <f ca="1"/>
        <v>30</v>
      </c>
      <c r="AC143" s="51">
        <f ca="1"/>
        <v>30</v>
      </c>
      <c r="AD143" s="51">
        <f ca="1"/>
        <v>30</v>
      </c>
      <c r="AE143" s="51">
        <f ca="1"/>
        <v>30</v>
      </c>
      <c r="AF143" s="2"/>
    </row>
    <row r="144" spans="4:34" ht="20.100000000000001" customHeight="1" x14ac:dyDescent="0.25">
      <c r="U144" s="51" t="str">
        <f>TEXT(EDATE('Input - Site'!$E$12,11), "mmmm yyyy")</f>
        <v>December 2024</v>
      </c>
      <c r="V144" s="51">
        <f ca="1"/>
        <v>31</v>
      </c>
      <c r="W144" s="51">
        <f ca="1"/>
        <v>31</v>
      </c>
      <c r="X144" s="51">
        <f ca="1"/>
        <v>31</v>
      </c>
      <c r="Y144" s="51">
        <f ca="1"/>
        <v>31</v>
      </c>
      <c r="Z144" s="51">
        <f ca="1"/>
        <v>31</v>
      </c>
      <c r="AA144" s="51">
        <f ca="1"/>
        <v>31</v>
      </c>
      <c r="AB144" s="51">
        <f ca="1"/>
        <v>31</v>
      </c>
      <c r="AC144" s="51">
        <f ca="1"/>
        <v>31</v>
      </c>
      <c r="AD144" s="51">
        <f ca="1"/>
        <v>31</v>
      </c>
      <c r="AE144" s="51">
        <f ca="1"/>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 2024</v>
      </c>
      <c r="V149" s="51" cm="1">
        <f t="array" aca="1" ref="V149" ca="1">EntericMethane_PastureBeef_Equations.VEERG_3_2_1_1__1_TotalAnnualMethaneFromEntericFermentation(V133,V97,V117)</f>
        <v>0.4586136012616317</v>
      </c>
      <c r="W149" s="51" cm="1">
        <f t="array" aca="1" ref="W149" ca="1">EntericMethane_PastureBeef_Equations.VEERG_3_2_1_1__1_TotalAnnualMethaneFromEntericFermentation(W133,W97,W117)</f>
        <v>0.60679113521101213</v>
      </c>
      <c r="X149" s="51" cm="1">
        <f t="array" aca="1" ref="X149" ca="1">EntericMethane_PastureBeef_Equations.VEERG_3_2_1_1__1_TotalAnnualMethaneFromEntericFermentation(X133,X97,X117)</f>
        <v>0.38568368207519993</v>
      </c>
      <c r="Y149" s="51" cm="1">
        <f t="array" aca="1" ref="Y149" ca="1">EntericMethane_PastureBeef_Equations.VEERG_3_2_1_1__1_TotalAnnualMethaneFromEntericFermentation(Y133,Y97,Y117)</f>
        <v>0.5050531744094251</v>
      </c>
      <c r="Z149" s="51" cm="1">
        <f t="array" aca="1" ref="Z149" ca="1">EntericMethane_PastureBeef_Equations.VEERG_3_2_1_1__1_TotalAnnualMethaneFromEntericFermentation(Z133,Z97,Z117)</f>
        <v>0.50006444018011187</v>
      </c>
      <c r="AA149" s="51" cm="1">
        <f t="array" aca="1" ref="AA149" ca="1">EntericMethane_PastureBeef_Equations.VEERG_3_2_1_1__1_TotalAnnualMethaneFromEntericFermentation(AA133,AA97,AA117)</f>
        <v>0.50006444018011187</v>
      </c>
      <c r="AB149" s="51" cm="1">
        <f t="array" aca="1" ref="AB149" ca="1">EntericMethane_PastureBeef_Equations.VEERG_3_2_1_1__1_TotalAnnualMethaneFromEntericFermentation(AB133,AB97,AB117)</f>
        <v>0.422728915885632</v>
      </c>
      <c r="AC149" s="51" cm="1">
        <f t="array" aca="1" ref="AC149" ca="1">EntericMethane_PastureBeef_Equations.VEERG_3_2_1_1__1_TotalAnnualMethaneFromEntericFermentation(AC133,AC97,AC117)</f>
        <v>0.47120481705053707</v>
      </c>
      <c r="AD149" s="51" cm="1">
        <f t="array" aca="1" ref="AD149" ca="1">EntericMethane_PastureBeef_Equations.VEERG_3_2_1_1__1_TotalAnnualMethaneFromEntericFermentation(AD133,AD97,AD117)</f>
        <v>0.47120481705053707</v>
      </c>
      <c r="AE149" s="51"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 2024</v>
      </c>
      <c r="V150" s="51" cm="1">
        <f t="array" aca="1" ref="V150" ca="1">EntericMethane_PastureBeef_Equations.VEERG_3_2_1_1__1_TotalAnnualMethaneFromEntericFermentation(V134,V98,V118)</f>
        <v>0.42902562698668767</v>
      </c>
      <c r="W150" s="51" cm="1">
        <f t="array" aca="1" ref="W150" ca="1">EntericMethane_PastureBeef_Equations.VEERG_3_2_1_1__1_TotalAnnualMethaneFromEntericFermentation(W134,W98,W118)</f>
        <v>0.56764332003610807</v>
      </c>
      <c r="X150" s="51" cm="1">
        <f t="array" aca="1" ref="X150" ca="1">EntericMethane_PastureBeef_Equations.VEERG_3_2_1_1__1_TotalAnnualMethaneFromEntericFermentation(X134,X98,X118)</f>
        <v>0.36080086387679988</v>
      </c>
      <c r="Y150" s="51" cm="1">
        <f t="array" aca="1" ref="Y150" ca="1">EntericMethane_PastureBeef_Equations.VEERG_3_2_1_1__1_TotalAnnualMethaneFromEntericFermentation(Y134,Y98,Y118)</f>
        <v>0.47246909864107506</v>
      </c>
      <c r="Z150" s="51" cm="1">
        <f t="array" aca="1" ref="Z150" ca="1">EntericMethane_PastureBeef_Equations.VEERG_3_2_1_1__1_TotalAnnualMethaneFromEntericFermentation(Z134,Z98,Z118)</f>
        <v>0.46780221823300788</v>
      </c>
      <c r="AA150" s="51" cm="1">
        <f t="array" aca="1" ref="AA150" ca="1">EntericMethane_PastureBeef_Equations.VEERG_3_2_1_1__1_TotalAnnualMethaneFromEntericFermentation(AA134,AA98,AA118)</f>
        <v>0.46780221823300788</v>
      </c>
      <c r="AB150" s="51" cm="1">
        <f t="array" aca="1" ref="AB150" ca="1">EntericMethane_PastureBeef_Equations.VEERG_3_2_1_1__1_TotalAnnualMethaneFromEntericFermentation(AB134,AB98,AB118)</f>
        <v>0.39545608260268794</v>
      </c>
      <c r="AC150" s="51" cm="1">
        <f t="array" aca="1" ref="AC150" ca="1">EntericMethane_PastureBeef_Equations.VEERG_3_2_1_1__1_TotalAnnualMethaneFromEntericFermentation(AC134,AC98,AC118)</f>
        <v>0.4408045062730831</v>
      </c>
      <c r="AD150" s="51" cm="1">
        <f t="array" aca="1" ref="AD150" ca="1">EntericMethane_PastureBeef_Equations.VEERG_3_2_1_1__1_TotalAnnualMethaneFromEntericFermentation(AD134,AD98,AD118)</f>
        <v>0.4408045062730831</v>
      </c>
      <c r="AE150" s="51" cm="1">
        <f t="array" aca="1" ref="AE150" ca="1">EntericMethane_PastureBeef_Equations.VEERG_3_2_1_1__1_TotalAnnualMethaneFromEntericFermentation(AE134,AE98,AE118)</f>
        <v>0.4408045062730831</v>
      </c>
      <c r="AF150" s="2"/>
    </row>
    <row r="151" spans="21:32" ht="20.100000000000001" customHeight="1" x14ac:dyDescent="0.25">
      <c r="U151" s="51" t="str">
        <f t="shared" si="3"/>
        <v>March 2024</v>
      </c>
      <c r="V151" s="51" cm="1">
        <f t="array" aca="1" ref="V151" ca="1">EntericMethane_PastureBeef_Equations.VEERG_3_2_1_1__1_TotalAnnualMethaneFromEntericFermentation(V135,V99,V119)</f>
        <v>0.20837308068000002</v>
      </c>
      <c r="W151" s="51" cm="1">
        <f t="array" aca="1" ref="W151" ca="1">EntericMethane_PastureBeef_Equations.VEERG_3_2_1_1__1_TotalAnnualMethaneFromEntericFermentation(W135,W99,W119)</f>
        <v>0.60478007295067204</v>
      </c>
      <c r="X151" s="51" cm="1">
        <f t="array" aca="1" ref="X151" ca="1">EntericMethane_PastureBeef_Equations.VEERG_3_2_1_1__1_TotalAnnualMethaneFromEntericFermentation(X135,X99,X119)</f>
        <v>0.18996416521171203</v>
      </c>
      <c r="Y151" s="51" cm="1">
        <f t="array" aca="1" ref="Y151" ca="1">EntericMethane_PastureBeef_Equations.VEERG_3_2_1_1__1_TotalAnnualMethaneFromEntericFermentation(Y135,Y99,Y119)</f>
        <v>0.38231186811613199</v>
      </c>
      <c r="Z151" s="51" cm="1">
        <f t="array" aca="1" ref="Z151" ca="1">EntericMethane_PastureBeef_Equations.VEERG_3_2_1_1__1_TotalAnnualMethaneFromEntericFermentation(Z135,Z99,Z119)</f>
        <v>0.431093896244577</v>
      </c>
      <c r="AA151" s="51" cm="1">
        <f t="array" aca="1" ref="AA151" ca="1">EntericMethane_PastureBeef_Equations.VEERG_3_2_1_1__1_TotalAnnualMethaneFromEntericFermentation(AA135,AA99,AA119)</f>
        <v>0.431093896244577</v>
      </c>
      <c r="AB151" s="51" cm="1">
        <f t="array" aca="1" ref="AB151" ca="1">EntericMethane_PastureBeef_Equations.VEERG_3_2_1_1__1_TotalAnnualMethaneFromEntericFermentation(AB135,AB99,AB119)</f>
        <v>0.20837308068000002</v>
      </c>
      <c r="AC151" s="51" cm="1">
        <f t="array" aca="1" ref="AC151" ca="1">EntericMethane_PastureBeef_Equations.VEERG_3_2_1_1__1_TotalAnnualMethaneFromEntericFermentation(AC135,AC99,AC119)</f>
        <v>0.37830642176347212</v>
      </c>
      <c r="AD151" s="51" cm="1">
        <f t="array" aca="1" ref="AD151" ca="1">EntericMethane_PastureBeef_Equations.VEERG_3_2_1_1__1_TotalAnnualMethaneFromEntericFermentation(AD135,AD99,AD119)</f>
        <v>0.37830642176347212</v>
      </c>
      <c r="AE151" s="51" cm="1">
        <f t="array" aca="1" ref="AE151" ca="1">EntericMethane_PastureBeef_Equations.VEERG_3_2_1_1__1_TotalAnnualMethaneFromEntericFermentation(AE135,AE99,AE119)</f>
        <v>0.37830642176347212</v>
      </c>
      <c r="AF151" s="2"/>
    </row>
    <row r="152" spans="21:32" ht="20.100000000000001" customHeight="1" x14ac:dyDescent="0.25">
      <c r="U152" s="51" t="str">
        <f t="shared" si="3"/>
        <v>April 2024</v>
      </c>
      <c r="V152" s="51" cm="1">
        <f t="array" aca="1" ref="V152" ca="1">EntericMethane_PastureBeef_Equations.VEERG_3_2_1_1__1_TotalAnnualMethaneFromEntericFermentation(V136,V100,V120)</f>
        <v>0.2016513684</v>
      </c>
      <c r="W152" s="51" cm="1">
        <f t="array" aca="1" ref="W152" ca="1">EntericMethane_PastureBeef_Equations.VEERG_3_2_1_1__1_TotalAnnualMethaneFromEntericFermentation(W136,W100,W120)</f>
        <v>0.58527103833936001</v>
      </c>
      <c r="X152" s="51" cm="1">
        <f t="array" aca="1" ref="X152" ca="1">EntericMethane_PastureBeef_Equations.VEERG_3_2_1_1__1_TotalAnnualMethaneFromEntericFermentation(X136,X100,X120)</f>
        <v>0.18383628891456003</v>
      </c>
      <c r="Y152" s="51" cm="1">
        <f t="array" aca="1" ref="Y152" ca="1">EntericMethane_PastureBeef_Equations.VEERG_3_2_1_1__1_TotalAnnualMethaneFromEntericFermentation(Y136,Y100,Y120)</f>
        <v>0.36997922720915993</v>
      </c>
      <c r="Z152" s="51" cm="1">
        <f t="array" aca="1" ref="Z152" ca="1">EntericMethane_PastureBeef_Equations.VEERG_3_2_1_1__1_TotalAnnualMethaneFromEntericFermentation(Z136,Z100,Z120)</f>
        <v>0.41718764152700993</v>
      </c>
      <c r="AA152" s="51" cm="1">
        <f t="array" aca="1" ref="AA152" ca="1">EntericMethane_PastureBeef_Equations.VEERG_3_2_1_1__1_TotalAnnualMethaneFromEntericFermentation(AA136,AA100,AA120)</f>
        <v>0.41718764152700993</v>
      </c>
      <c r="AB152" s="51" cm="1">
        <f t="array" aca="1" ref="AB152" ca="1">EntericMethane_PastureBeef_Equations.VEERG_3_2_1_1__1_TotalAnnualMethaneFromEntericFermentation(AB136,AB100,AB120)</f>
        <v>0.2016513684</v>
      </c>
      <c r="AC152" s="51" cm="1">
        <f t="array" aca="1" ref="AC152" ca="1">EntericMethane_PastureBeef_Equations.VEERG_3_2_1_1__1_TotalAnnualMethaneFromEntericFermentation(AC136,AC100,AC120)</f>
        <v>0.36610298880336012</v>
      </c>
      <c r="AD152" s="51" cm="1">
        <f t="array" aca="1" ref="AD152" ca="1">EntericMethane_PastureBeef_Equations.VEERG_3_2_1_1__1_TotalAnnualMethaneFromEntericFermentation(AD136,AD100,AD120)</f>
        <v>0.36610298880336012</v>
      </c>
      <c r="AE152" s="51" cm="1">
        <f t="array" aca="1" ref="AE152" ca="1">EntericMethane_PastureBeef_Equations.VEERG_3_2_1_1__1_TotalAnnualMethaneFromEntericFermentation(AE136,AE100,AE120)</f>
        <v>0.36610298880336012</v>
      </c>
      <c r="AF152" s="2"/>
    </row>
    <row r="153" spans="21:32" ht="20.100000000000001" customHeight="1" x14ac:dyDescent="0.25">
      <c r="U153" s="51" t="str">
        <f t="shared" si="3"/>
        <v>May 2024</v>
      </c>
      <c r="V153" s="51" cm="1">
        <f t="array" aca="1" ref="V153" ca="1">EntericMethane_PastureBeef_Equations.VEERG_3_2_1_1__1_TotalAnnualMethaneFromEntericFermentation(V137,V101,V121)</f>
        <v>0.20837308068000002</v>
      </c>
      <c r="W153" s="51" cm="1">
        <f t="array" aca="1" ref="W153" ca="1">EntericMethane_PastureBeef_Equations.VEERG_3_2_1_1__1_TotalAnnualMethaneFromEntericFermentation(W137,W101,W121)</f>
        <v>0.60478007295067204</v>
      </c>
      <c r="X153" s="51" cm="1">
        <f t="array" aca="1" ref="X153" ca="1">EntericMethane_PastureBeef_Equations.VEERG_3_2_1_1__1_TotalAnnualMethaneFromEntericFermentation(X137,X101,X121)</f>
        <v>0.18996416521171203</v>
      </c>
      <c r="Y153" s="51" cm="1">
        <f t="array" aca="1" ref="Y153" ca="1">EntericMethane_PastureBeef_Equations.VEERG_3_2_1_1__1_TotalAnnualMethaneFromEntericFermentation(Y137,Y101,Y121)</f>
        <v>0.38231186811613199</v>
      </c>
      <c r="Z153" s="51" cm="1">
        <f t="array" aca="1" ref="Z153" ca="1">EntericMethane_PastureBeef_Equations.VEERG_3_2_1_1__1_TotalAnnualMethaneFromEntericFermentation(Z137,Z101,Z121)</f>
        <v>0.431093896244577</v>
      </c>
      <c r="AA153" s="51" cm="1">
        <f t="array" aca="1" ref="AA153" ca="1">EntericMethane_PastureBeef_Equations.VEERG_3_2_1_1__1_TotalAnnualMethaneFromEntericFermentation(AA137,AA101,AA121)</f>
        <v>0.431093896244577</v>
      </c>
      <c r="AB153" s="51" cm="1">
        <f t="array" aca="1" ref="AB153" ca="1">EntericMethane_PastureBeef_Equations.VEERG_3_2_1_1__1_TotalAnnualMethaneFromEntericFermentation(AB137,AB101,AB121)</f>
        <v>0.20837308068000002</v>
      </c>
      <c r="AC153" s="51" cm="1">
        <f t="array" aca="1" ref="AC153" ca="1">EntericMethane_PastureBeef_Equations.VEERG_3_2_1_1__1_TotalAnnualMethaneFromEntericFermentation(AC137,AC101,AC121)</f>
        <v>0.37830642176347212</v>
      </c>
      <c r="AD153" s="51" cm="1">
        <f t="array" aca="1" ref="AD153" ca="1">EntericMethane_PastureBeef_Equations.VEERG_3_2_1_1__1_TotalAnnualMethaneFromEntericFermentation(AD137,AD101,AD121)</f>
        <v>0.37830642176347212</v>
      </c>
      <c r="AE153" s="51" cm="1">
        <f t="array" aca="1" ref="AE153" ca="1">EntericMethane_PastureBeef_Equations.VEERG_3_2_1_1__1_TotalAnnualMethaneFromEntericFermentation(AE137,AE101,AE121)</f>
        <v>0.37830642176347212</v>
      </c>
      <c r="AF153" s="2"/>
    </row>
    <row r="154" spans="21:32" ht="20.100000000000001" customHeight="1" x14ac:dyDescent="0.25">
      <c r="U154" s="51" t="str">
        <f t="shared" si="3"/>
        <v>June 2024</v>
      </c>
      <c r="V154" s="51" cm="1">
        <f t="array" aca="1" ref="V154" ca="1">EntericMethane_PastureBeef_Equations.VEERG_3_2_1_1__1_TotalAnnualMethaneFromEntericFermentation(V138,V102,V122)</f>
        <v>0.31875296878700998</v>
      </c>
      <c r="W154" s="51" cm="1">
        <f t="array" aca="1" ref="W154" ca="1">EntericMethane_PastureBeef_Equations.VEERG_3_2_1_1__1_TotalAnnualMethaneFromEntericFermentation(W138,W102,W122)</f>
        <v>0.61943873706899988</v>
      </c>
      <c r="X154" s="51" cm="1">
        <f t="array" aca="1" ref="X154" ca="1">EntericMethane_PastureBeef_Equations.VEERG_3_2_1_1__1_TotalAnnualMethaneFromEntericFermentation(X138,X102,X122)</f>
        <v>0.26098798065525008</v>
      </c>
      <c r="Y154" s="51" cm="1">
        <f t="array" aca="1" ref="Y154" ca="1">EntericMethane_PastureBeef_Equations.VEERG_3_2_1_1__1_TotalAnnualMethaneFromEntericFermentation(Y138,Y102,Y122)</f>
        <v>0.36811717389261017</v>
      </c>
      <c r="Z154" s="51" cm="1">
        <f t="array" aca="1" ref="Z154" ca="1">EntericMethane_PastureBeef_Equations.VEERG_3_2_1_1__1_TotalAnnualMethaneFromEntericFermentation(Z138,Z102,Z122)</f>
        <v>0.49384053756620999</v>
      </c>
      <c r="AA154" s="51" cm="1">
        <f t="array" aca="1" ref="AA154" ca="1">EntericMethane_PastureBeef_Equations.VEERG_3_2_1_1__1_TotalAnnualMethaneFromEntericFermentation(AA138,AA102,AA122)</f>
        <v>0.49384053756620999</v>
      </c>
      <c r="AB154" s="51" cm="1">
        <f t="array" aca="1" ref="AB154" ca="1">EntericMethane_PastureBeef_Equations.VEERG_3_2_1_1__1_TotalAnnualMethaneFromEntericFermentation(AB138,AB102,AB122)</f>
        <v>0.28021185050660996</v>
      </c>
      <c r="AC154" s="51" cm="1">
        <f t="array" aca="1" ref="AC154" ca="1">EntericMethane_PastureBeef_Equations.VEERG_3_2_1_1__1_TotalAnnualMethaneFromEntericFermentation(AC138,AC102,AC122)</f>
        <v>0.42661772732735997</v>
      </c>
      <c r="AD154" s="51" cm="1">
        <f t="array" aca="1" ref="AD154" ca="1">EntericMethane_PastureBeef_Equations.VEERG_3_2_1_1__1_TotalAnnualMethaneFromEntericFermentation(AD138,AD102,AD122)</f>
        <v>0.42661772732735997</v>
      </c>
      <c r="AE154" s="51" cm="1">
        <f t="array" aca="1" ref="AE154" ca="1">EntericMethane_PastureBeef_Equations.VEERG_3_2_1_1__1_TotalAnnualMethaneFromEntericFermentation(AE138,AE102,AE122)</f>
        <v>0.42661772732735997</v>
      </c>
      <c r="AF154" s="2"/>
    </row>
    <row r="155" spans="21:32" ht="20.100000000000001" customHeight="1" x14ac:dyDescent="0.25">
      <c r="U155" s="51" t="str">
        <f t="shared" si="3"/>
        <v>July 2024</v>
      </c>
      <c r="V155" s="51" cm="1">
        <f t="array" aca="1" ref="V155" ca="1">EntericMethane_PastureBeef_Equations.VEERG_3_2_1_1__1_TotalAnnualMethaneFromEntericFermentation(V139,V103,V123)</f>
        <v>0.32937806774657702</v>
      </c>
      <c r="W155" s="51" cm="1">
        <f t="array" aca="1" ref="W155" ca="1">EntericMethane_PastureBeef_Equations.VEERG_3_2_1_1__1_TotalAnnualMethaneFromEntericFermentation(W139,W103,W123)</f>
        <v>0.64008669497129989</v>
      </c>
      <c r="X155" s="51" cm="1">
        <f t="array" aca="1" ref="X155" ca="1">EntericMethane_PastureBeef_Equations.VEERG_3_2_1_1__1_TotalAnnualMethaneFromEntericFermentation(X139,X103,X123)</f>
        <v>0.26968758001042503</v>
      </c>
      <c r="Y155" s="51" cm="1">
        <f t="array" aca="1" ref="Y155" ca="1">EntericMethane_PastureBeef_Equations.VEERG_3_2_1_1__1_TotalAnnualMethaneFromEntericFermentation(Y139,Y103,Y123)</f>
        <v>0.38038774635569711</v>
      </c>
      <c r="Z155" s="51" cm="1">
        <f t="array" aca="1" ref="Z155" ca="1">EntericMethane_PastureBeef_Equations.VEERG_3_2_1_1__1_TotalAnnualMethaneFromEntericFermentation(Z139,Z103,Z123)</f>
        <v>0.51030188881841698</v>
      </c>
      <c r="AA155" s="51" cm="1">
        <f t="array" aca="1" ref="AA155" ca="1">EntericMethane_PastureBeef_Equations.VEERG_3_2_1_1__1_TotalAnnualMethaneFromEntericFermentation(AA139,AA103,AA123)</f>
        <v>0.51030188881841698</v>
      </c>
      <c r="AB155" s="51" cm="1">
        <f t="array" aca="1" ref="AB155" ca="1">EntericMethane_PastureBeef_Equations.VEERG_3_2_1_1__1_TotalAnnualMethaneFromEntericFermentation(AB139,AB103,AB123)</f>
        <v>0.2895522455234969</v>
      </c>
      <c r="AC155" s="51" cm="1">
        <f t="array" aca="1" ref="AC155" ca="1">EntericMethane_PastureBeef_Equations.VEERG_3_2_1_1__1_TotalAnnualMethaneFromEntericFermentation(AC139,AC103,AC123)</f>
        <v>0.44083831823827196</v>
      </c>
      <c r="AD155" s="51" cm="1">
        <f t="array" aca="1" ref="AD155" ca="1">EntericMethane_PastureBeef_Equations.VEERG_3_2_1_1__1_TotalAnnualMethaneFromEntericFermentation(AD139,AD103,AD123)</f>
        <v>0.44083831823827196</v>
      </c>
      <c r="AE155" s="51" cm="1">
        <f t="array" aca="1" ref="AE155" ca="1">EntericMethane_PastureBeef_Equations.VEERG_3_2_1_1__1_TotalAnnualMethaneFromEntericFermentation(AE139,AE103,AE123)</f>
        <v>0.44083831823827196</v>
      </c>
      <c r="AF155" s="2"/>
    </row>
    <row r="156" spans="21:32" ht="20.100000000000001" customHeight="1" x14ac:dyDescent="0.25">
      <c r="U156" s="51" t="str">
        <f t="shared" si="3"/>
        <v>August 2024</v>
      </c>
      <c r="V156" s="51" cm="1">
        <f t="array" aca="1" ref="V156" ca="1">EntericMethane_PastureBeef_Equations.VEERG_3_2_1_1__1_TotalAnnualMethaneFromEntericFermentation(V140,V104,V124)</f>
        <v>0.32937806774657702</v>
      </c>
      <c r="W156" s="51" cm="1">
        <f t="array" aca="1" ref="W156" ca="1">EntericMethane_PastureBeef_Equations.VEERG_3_2_1_1__1_TotalAnnualMethaneFromEntericFermentation(W140,W104,W124)</f>
        <v>0.64008669497129989</v>
      </c>
      <c r="X156" s="51" cm="1">
        <f t="array" aca="1" ref="X156" ca="1">EntericMethane_PastureBeef_Equations.VEERG_3_2_1_1__1_TotalAnnualMethaneFromEntericFermentation(X140,X104,X124)</f>
        <v>0.26968758001042503</v>
      </c>
      <c r="Y156" s="51" cm="1">
        <f t="array" aca="1" ref="Y156" ca="1">EntericMethane_PastureBeef_Equations.VEERG_3_2_1_1__1_TotalAnnualMethaneFromEntericFermentation(Y140,Y104,Y124)</f>
        <v>0.38038774635569711</v>
      </c>
      <c r="Z156" s="51" cm="1">
        <f t="array" aca="1" ref="Z156" ca="1">EntericMethane_PastureBeef_Equations.VEERG_3_2_1_1__1_TotalAnnualMethaneFromEntericFermentation(Z140,Z104,Z124)</f>
        <v>0.51030188881841698</v>
      </c>
      <c r="AA156" s="51" cm="1">
        <f t="array" aca="1" ref="AA156" ca="1">EntericMethane_PastureBeef_Equations.VEERG_3_2_1_1__1_TotalAnnualMethaneFromEntericFermentation(AA140,AA104,AA124)</f>
        <v>0.51030188881841698</v>
      </c>
      <c r="AB156" s="51" cm="1">
        <f t="array" aca="1" ref="AB156" ca="1">EntericMethane_PastureBeef_Equations.VEERG_3_2_1_1__1_TotalAnnualMethaneFromEntericFermentation(AB140,AB104,AB124)</f>
        <v>0.2895522455234969</v>
      </c>
      <c r="AC156" s="51" cm="1">
        <f t="array" aca="1" ref="AC156" ca="1">EntericMethane_PastureBeef_Equations.VEERG_3_2_1_1__1_TotalAnnualMethaneFromEntericFermentation(AC140,AC104,AC124)</f>
        <v>0.44083831823827196</v>
      </c>
      <c r="AD156" s="51" cm="1">
        <f t="array" aca="1" ref="AD156" ca="1">EntericMethane_PastureBeef_Equations.VEERG_3_2_1_1__1_TotalAnnualMethaneFromEntericFermentation(AD140,AD104,AD124)</f>
        <v>0.44083831823827196</v>
      </c>
      <c r="AE156" s="51" cm="1">
        <f t="array" aca="1" ref="AE156" ca="1">EntericMethane_PastureBeef_Equations.VEERG_3_2_1_1__1_TotalAnnualMethaneFromEntericFermentation(AE140,AE104,AE124)</f>
        <v>0.44083831823827196</v>
      </c>
      <c r="AF156" s="2"/>
    </row>
    <row r="157" spans="21:32" ht="20.100000000000001" customHeight="1" x14ac:dyDescent="0.25">
      <c r="U157" s="51" t="str">
        <f t="shared" si="3"/>
        <v>September 2024</v>
      </c>
      <c r="V157" s="51" cm="1">
        <f t="array" aca="1" ref="V157" ca="1">EntericMethane_PastureBeef_Equations.VEERG_3_2_1_1__1_TotalAnnualMethaneFromEntericFermentation(V141,V105,V125)</f>
        <v>0.53846318370816004</v>
      </c>
      <c r="W157" s="51" cm="1">
        <f t="array" aca="1" ref="W157" ca="1">EntericMethane_PastureBeef_Equations.VEERG_3_2_1_1__1_TotalAnnualMethaneFromEntericFermentation(W141,W105,W125)</f>
        <v>0.76050766552500015</v>
      </c>
      <c r="X157" s="51" cm="1">
        <f t="array" aca="1" ref="X157" ca="1">EntericMethane_PastureBeef_Equations.VEERG_3_2_1_1__1_TotalAnnualMethaneFromEntericFermentation(X141,X105,X125)</f>
        <v>0.41041649201661007</v>
      </c>
      <c r="Y157" s="51" cm="1">
        <f t="array" aca="1" ref="Y157" ca="1">EntericMethane_PastureBeef_Equations.VEERG_3_2_1_1__1_TotalAnnualMethaneFromEntericFermentation(Y141,Y105,Y125)</f>
        <v>0.53859851019621008</v>
      </c>
      <c r="Z157" s="51" cm="1">
        <f t="array" aca="1" ref="Z157" ca="1">EntericMethane_PastureBeef_Equations.VEERG_3_2_1_1__1_TotalAnnualMethaneFromEntericFermentation(Z141,Z105,Z125)</f>
        <v>0.59809078587600006</v>
      </c>
      <c r="AA157" s="51" cm="1">
        <f t="array" aca="1" ref="AA157" ca="1">EntericMethane_PastureBeef_Equations.VEERG_3_2_1_1__1_TotalAnnualMethaneFromEntericFermentation(AA141,AA105,AA125)</f>
        <v>0.59809078587600006</v>
      </c>
      <c r="AB157" s="51" cm="1">
        <f t="array" aca="1" ref="AB157" ca="1">EntericMethane_PastureBeef_Equations.VEERG_3_2_1_1__1_TotalAnnualMethaneFromEntericFermentation(AB141,AB105,AB125)</f>
        <v>0.47315580318899986</v>
      </c>
      <c r="AC157" s="51" cm="1">
        <f t="array" aca="1" ref="AC157" ca="1">EntericMethane_PastureBeef_Equations.VEERG_3_2_1_1__1_TotalAnnualMethaneFromEntericFermentation(AC141,AC105,AC125)</f>
        <v>0.60127877604275992</v>
      </c>
      <c r="AD157" s="51" cm="1">
        <f t="array" aca="1" ref="AD157" ca="1">EntericMethane_PastureBeef_Equations.VEERG_3_2_1_1__1_TotalAnnualMethaneFromEntericFermentation(AD141,AD105,AD125)</f>
        <v>0.60127877604275992</v>
      </c>
      <c r="AE157" s="51" cm="1">
        <f t="array" aca="1" ref="AE157" ca="1">EntericMethane_PastureBeef_Equations.VEERG_3_2_1_1__1_TotalAnnualMethaneFromEntericFermentation(AE141,AE105,AE125)</f>
        <v>0.60127877604275992</v>
      </c>
      <c r="AF157" s="2"/>
    </row>
    <row r="158" spans="21:32" ht="20.100000000000001" customHeight="1" x14ac:dyDescent="0.25">
      <c r="U158" s="51" t="str">
        <f t="shared" si="3"/>
        <v>October 2024</v>
      </c>
      <c r="V158" s="51" cm="1">
        <f t="array" aca="1" ref="V158" ca="1">EntericMethane_PastureBeef_Equations.VEERG_3_2_1_1__1_TotalAnnualMethaneFromEntericFermentation(V142,V106,V126)</f>
        <v>0.556411956498432</v>
      </c>
      <c r="W158" s="51" cm="1">
        <f t="array" aca="1" ref="W158" ca="1">EntericMethane_PastureBeef_Equations.VEERG_3_2_1_1__1_TotalAnnualMethaneFromEntericFermentation(W142,W106,W126)</f>
        <v>0.78585792104250007</v>
      </c>
      <c r="X158" s="51" cm="1">
        <f t="array" aca="1" ref="X158" ca="1">EntericMethane_PastureBeef_Equations.VEERG_3_2_1_1__1_TotalAnnualMethaneFromEntericFermentation(X142,X106,X126)</f>
        <v>0.42409704175049701</v>
      </c>
      <c r="Y158" s="51" cm="1">
        <f t="array" aca="1" ref="Y158" ca="1">EntericMethane_PastureBeef_Equations.VEERG_3_2_1_1__1_TotalAnnualMethaneFromEntericFermentation(Y142,Y106,Y126)</f>
        <v>0.556551793869417</v>
      </c>
      <c r="Z158" s="51" cm="1">
        <f t="array" aca="1" ref="Z158" ca="1">EntericMethane_PastureBeef_Equations.VEERG_3_2_1_1__1_TotalAnnualMethaneFromEntericFermentation(Z142,Z106,Z126)</f>
        <v>0.6180271454052001</v>
      </c>
      <c r="AA158" s="51" cm="1">
        <f t="array" aca="1" ref="AA158" ca="1">EntericMethane_PastureBeef_Equations.VEERG_3_2_1_1__1_TotalAnnualMethaneFromEntericFermentation(AA142,AA106,AA126)</f>
        <v>0.6180271454052001</v>
      </c>
      <c r="AB158" s="51" cm="1">
        <f t="array" aca="1" ref="AB158" ca="1">EntericMethane_PastureBeef_Equations.VEERG_3_2_1_1__1_TotalAnnualMethaneFromEntericFermentation(AB142,AB106,AB126)</f>
        <v>0.4889276632952998</v>
      </c>
      <c r="AC158" s="51" cm="1">
        <f t="array" aca="1" ref="AC158" ca="1">EntericMethane_PastureBeef_Equations.VEERG_3_2_1_1__1_TotalAnnualMethaneFromEntericFermentation(AC142,AC106,AC126)</f>
        <v>0.62132140191085194</v>
      </c>
      <c r="AD158" s="51" cm="1">
        <f t="array" aca="1" ref="AD158" ca="1">EntericMethane_PastureBeef_Equations.VEERG_3_2_1_1__1_TotalAnnualMethaneFromEntericFermentation(AD142,AD106,AD126)</f>
        <v>0.62132140191085194</v>
      </c>
      <c r="AE158" s="51" cm="1">
        <f t="array" aca="1" ref="AE158" ca="1">EntericMethane_PastureBeef_Equations.VEERG_3_2_1_1__1_TotalAnnualMethaneFromEntericFermentation(AE142,AE106,AE126)</f>
        <v>0.62132140191085194</v>
      </c>
      <c r="AF158" s="2"/>
    </row>
    <row r="159" spans="21:32" ht="20.100000000000001" customHeight="1" x14ac:dyDescent="0.25">
      <c r="U159" s="51" t="str">
        <f t="shared" si="3"/>
        <v>November 2024</v>
      </c>
      <c r="V159" s="51" cm="1">
        <f t="array" aca="1" ref="V159" ca="1">EntericMethane_PastureBeef_Equations.VEERG_3_2_1_1__1_TotalAnnualMethaneFromEntericFermentation(V143,V107,V127)</f>
        <v>0.53846318370816004</v>
      </c>
      <c r="W159" s="51" cm="1">
        <f t="array" aca="1" ref="W159" ca="1">EntericMethane_PastureBeef_Equations.VEERG_3_2_1_1__1_TotalAnnualMethaneFromEntericFermentation(W143,W107,W127)</f>
        <v>0.76050766552500015</v>
      </c>
      <c r="X159" s="51" cm="1">
        <f t="array" aca="1" ref="X159" ca="1">EntericMethane_PastureBeef_Equations.VEERG_3_2_1_1__1_TotalAnnualMethaneFromEntericFermentation(X143,X107,X127)</f>
        <v>0.41041649201661007</v>
      </c>
      <c r="Y159" s="51" cm="1">
        <f t="array" aca="1" ref="Y159" ca="1">EntericMethane_PastureBeef_Equations.VEERG_3_2_1_1__1_TotalAnnualMethaneFromEntericFermentation(Y143,Y107,Y127)</f>
        <v>0.53859851019621008</v>
      </c>
      <c r="Z159" s="51" cm="1">
        <f t="array" aca="1" ref="Z159" ca="1">EntericMethane_PastureBeef_Equations.VEERG_3_2_1_1__1_TotalAnnualMethaneFromEntericFermentation(Z143,Z107,Z127)</f>
        <v>0.59809078587600006</v>
      </c>
      <c r="AA159" s="51" cm="1">
        <f t="array" aca="1" ref="AA159" ca="1">EntericMethane_PastureBeef_Equations.VEERG_3_2_1_1__1_TotalAnnualMethaneFromEntericFermentation(AA143,AA107,AA127)</f>
        <v>0.59809078587600006</v>
      </c>
      <c r="AB159" s="51" cm="1">
        <f t="array" aca="1" ref="AB159" ca="1">EntericMethane_PastureBeef_Equations.VEERG_3_2_1_1__1_TotalAnnualMethaneFromEntericFermentation(AB143,AB107,AB127)</f>
        <v>0.47315580318899986</v>
      </c>
      <c r="AC159" s="51" cm="1">
        <f t="array" aca="1" ref="AC159" ca="1">EntericMethane_PastureBeef_Equations.VEERG_3_2_1_1__1_TotalAnnualMethaneFromEntericFermentation(AC143,AC107,AC127)</f>
        <v>0.60127877604275992</v>
      </c>
      <c r="AD159" s="51" cm="1">
        <f t="array" aca="1" ref="AD159" ca="1">EntericMethane_PastureBeef_Equations.VEERG_3_2_1_1__1_TotalAnnualMethaneFromEntericFermentation(AD143,AD107,AD127)</f>
        <v>0.60127877604275992</v>
      </c>
      <c r="AE159" s="51" cm="1">
        <f t="array" aca="1" ref="AE159" ca="1">EntericMethane_PastureBeef_Equations.VEERG_3_2_1_1__1_TotalAnnualMethaneFromEntericFermentation(AE143,AE107,AE127)</f>
        <v>0.60127877604275992</v>
      </c>
      <c r="AF159" s="2"/>
    </row>
    <row r="160" spans="21:32" ht="20.100000000000001" customHeight="1" x14ac:dyDescent="0.25">
      <c r="U160" s="51" t="str">
        <f t="shared" si="3"/>
        <v>December 2024</v>
      </c>
      <c r="V160" s="51" cm="1">
        <f t="array" aca="1" ref="V160" ca="1">EntericMethane_PastureBeef_Equations.VEERG_3_2_1_1__1_TotalAnnualMethaneFromEntericFermentation(V144,V108,V128)</f>
        <v>0.4586136012616317</v>
      </c>
      <c r="W160" s="51" cm="1">
        <f t="array" aca="1" ref="W160" ca="1">EntericMethane_PastureBeef_Equations.VEERG_3_2_1_1__1_TotalAnnualMethaneFromEntericFermentation(W144,W108,W128)</f>
        <v>0.60679113521101213</v>
      </c>
      <c r="X160" s="51" cm="1">
        <f t="array" aca="1" ref="X160" ca="1">EntericMethane_PastureBeef_Equations.VEERG_3_2_1_1__1_TotalAnnualMethaneFromEntericFermentation(X144,X108,X128)</f>
        <v>0.38568368207519993</v>
      </c>
      <c r="Y160" s="51" cm="1">
        <f t="array" aca="1" ref="Y160" ca="1">EntericMethane_PastureBeef_Equations.VEERG_3_2_1_1__1_TotalAnnualMethaneFromEntericFermentation(Y144,Y108,Y128)</f>
        <v>0.5050531744094251</v>
      </c>
      <c r="Z160" s="51" cm="1">
        <f t="array" aca="1" ref="Z160" ca="1">EntericMethane_PastureBeef_Equations.VEERG_3_2_1_1__1_TotalAnnualMethaneFromEntericFermentation(Z144,Z108,Z128)</f>
        <v>0.50006444018011187</v>
      </c>
      <c r="AA160" s="51" cm="1">
        <f t="array" aca="1" ref="AA160" ca="1">EntericMethane_PastureBeef_Equations.VEERG_3_2_1_1__1_TotalAnnualMethaneFromEntericFermentation(AA144,AA108,AA128)</f>
        <v>0.50006444018011187</v>
      </c>
      <c r="AB160" s="51" cm="1">
        <f t="array" aca="1" ref="AB160" ca="1">EntericMethane_PastureBeef_Equations.VEERG_3_2_1_1__1_TotalAnnualMethaneFromEntericFermentation(AB144,AB108,AB128)</f>
        <v>0.422728915885632</v>
      </c>
      <c r="AC160" s="51" cm="1">
        <f t="array" aca="1" ref="AC160" ca="1">EntericMethane_PastureBeef_Equations.VEERG_3_2_1_1__1_TotalAnnualMethaneFromEntericFermentation(AC144,AC108,AC128)</f>
        <v>0.47120481705053707</v>
      </c>
      <c r="AD160" s="51" cm="1">
        <f t="array" aca="1" ref="AD160" ca="1">EntericMethane_PastureBeef_Equations.VEERG_3_2_1_1__1_TotalAnnualMethaneFromEntericFermentation(AD144,AD108,AD128)</f>
        <v>0.47120481705053707</v>
      </c>
      <c r="AE160" s="51" cm="1">
        <f t="array" aca="1" ref="AE160" ca="1">EntericMethane_PastureBeef_Equations.VEERG_3_2_1_1__1_TotalAnnualMethaneFromEntericFermentation(AE144,AE108,AE128)</f>
        <v>0.47120481705053707</v>
      </c>
      <c r="AF160" s="2"/>
    </row>
    <row r="161" spans="21:24" ht="20.100000000000001" customHeight="1" x14ac:dyDescent="0.25">
      <c r="U161" s="97" t="s">
        <v>232</v>
      </c>
      <c r="V161" s="98">
        <f ca="1">SUM(V149:AE160)</f>
        <v>54.699181903674365</v>
      </c>
      <c r="W161" s="99">
        <f ca="1">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 ca="1">V161</f>
        <v>54.699181903674365</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aca="1" ref="V166" ca="1">Common_Equations.Common_ConvertN2OToCO2e(X163,X164)</f>
        <v>1531.5770933028823</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J2" zoomScale="85" zoomScaleNormal="85" workbookViewId="0">
      <selection activeCell="O29" sqref="O2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O17" s="1" t="s">
        <v>271</v>
      </c>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O18" s="36" t="s">
        <v>272</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s="36" t="str">
        <f>Table_SourceData_PastureBeef_LiveweightAllStates[[#Headers],[Bulls &lt; 1 year]]</f>
        <v>Bulls &lt; 1 year</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s="36" t="str">
        <f>Table_SourceData_PastureBeef_LiveweightAllStates[[#Headers],[Bulls &gt; 1 year]]</f>
        <v>Bulls &gt; 1 year</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s="36" t="str">
        <f>Table_SourceData_PastureBeef_LiveweightAllStates[[#Headers],[Cows &lt; 1 year]]</f>
        <v>Cows &lt; 1 year</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s="36" t="str">
        <f>Table_SourceData_PastureBeef_LiveweightAllStates[[#Headers],[Cows 1-2 years]]</f>
        <v>Cows 1-2 years</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s="36" t="str">
        <f>Table_SourceData_PastureBeef_LiveweightAllStates[[#Headers],[Cows 2-3 years]]</f>
        <v>Cows 2-3 years</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s="36"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s="36" t="str">
        <f>Table_SourceData_PastureBeef_LiveweightAllStates[[#Headers],[Steers &lt; 1 year]]</f>
        <v>Steers &lt; 1 year</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s="36"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s="36" t="str">
        <f>Table_SourceData_PastureBeef_LiveweightAllStates[[#Headers],[Steers 2-3 years]]</f>
        <v>Steers 2-3 years</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s="36" t="str">
        <f>Table_SourceData_PastureBeef_LiveweightAllStates[[#Headers],[Steers &gt;3 years]]</f>
        <v>Steers &gt;3 years</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273</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145</v>
      </c>
      <c r="P32" s="36" t="s">
        <v>274</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66</v>
      </c>
      <c r="P33" s="36" t="s">
        <v>67</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67</v>
      </c>
      <c r="P34" s="36" t="s">
        <v>67</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70</v>
      </c>
      <c r="P35" s="36" t="s">
        <v>70</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71</v>
      </c>
      <c r="P36" s="36" t="s">
        <v>71</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72</v>
      </c>
      <c r="P37" s="36" t="s">
        <v>72</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275</v>
      </c>
      <c r="P38" s="36" t="s">
        <v>73</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276</v>
      </c>
      <c r="P39" s="36" t="s">
        <v>73</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277</v>
      </c>
      <c r="P40" s="36" t="s">
        <v>73</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278</v>
      </c>
      <c r="P41" s="36" t="s">
        <v>68</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279</v>
      </c>
      <c r="P42" s="36" t="s">
        <v>68</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280</v>
      </c>
      <c r="P43" s="36" t="s">
        <v>68</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281</v>
      </c>
      <c r="P44" s="36" t="s">
        <v>69</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282</v>
      </c>
      <c r="P45" s="36" t="s">
        <v>69</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283</v>
      </c>
      <c r="P46" s="36" t="s">
        <v>69</v>
      </c>
    </row>
    <row r="47" spans="4:16" ht="20.100000000000001" customHeight="1" x14ac:dyDescent="0.25">
      <c r="M47" s="1"/>
      <c r="O47" s="36" t="s">
        <v>284</v>
      </c>
      <c r="P47" s="36" t="s">
        <v>69</v>
      </c>
    </row>
    <row r="48" spans="4:16" ht="20.100000000000001" customHeight="1" x14ac:dyDescent="0.25">
      <c r="M48" s="1"/>
      <c r="O48" s="1" t="s">
        <v>268</v>
      </c>
      <c r="P48" s="1" t="s">
        <v>268</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D442" s="36" t="s">
        <v>285</v>
      </c>
      <c r="E442" s="36" t="s">
        <v>286</v>
      </c>
      <c r="F442" s="36" t="s">
        <v>287</v>
      </c>
      <c r="G442" s="36" t="s">
        <v>288</v>
      </c>
      <c r="H442" s="36" t="s">
        <v>289</v>
      </c>
      <c r="I442" s="36" t="s">
        <v>290</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zoomScale="85" zoomScaleNormal="85" workbookViewId="0">
      <selection activeCell="E7" sqref="E7:E1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286</v>
      </c>
      <c r="E31" s="36" t="s">
        <v>291</v>
      </c>
      <c r="F31" s="1" t="s">
        <v>292</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286</v>
      </c>
      <c r="E43" s="36" t="s">
        <v>291</v>
      </c>
      <c r="F43" s="1" t="s">
        <v>293</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286</v>
      </c>
      <c r="E54" s="36" t="s">
        <v>291</v>
      </c>
      <c r="F54" s="1" t="s">
        <v>294</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286</v>
      </c>
      <c r="E59" s="36" t="s">
        <v>291</v>
      </c>
      <c r="F59" s="1" t="s">
        <v>295</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286</v>
      </c>
      <c r="E64" s="36" t="s">
        <v>291</v>
      </c>
      <c r="F64" s="1" t="s">
        <v>296</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A8AD0AIAAyACwAIAAgAFwAIgBTAHUAbQBtAGUAcgBcACIALABcAG4AIAAgACAAIAAgACAATQBPAE4AVABIACgAUAB1AHIAYwBoAGEAcwBlAEQAYQB0AGUAKQAgADwAPQAgADUALAAgACAAXAAiAEEAdQB0AHUAbQBuAFwAIgAsAFwAbgAgACAAIAAgACAAIABNAE8ATgBUAEgAKABQAHUAcgBjAGgAYQBzAGUARABhAHQAZQApACAAPAA9ACAAOAAsACAAIABcACIAVwBpAG4AdABlAHIAXAAiACwAXABuACAAIAAgACAAIAAgAE0ATwBOAFQASAAoAFAAdQByAGMAaABhAHMAZQBEAGEAdABlACkAIAA8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UwBjAG8AcABlADMAXwBJAG4AcAB1AHQARgB1AG4AYwB0AGkAbwBuAHMALgBHAGUAdABMAGkAdgBlAHcAZQBpAGcAaAB0AF8AUABhAHMAdAB1AHIAZQBCAGUAZQBm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41</vt:i4>
      </vt:variant>
    </vt:vector>
  </HeadingPairs>
  <TitlesOfParts>
    <vt:vector size="50"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2026-07-17T02:36:39Z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