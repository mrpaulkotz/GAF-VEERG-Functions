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9925B9F-9C43-433D-8BAA-E482AD562CB5}" xr6:coauthVersionLast="47" xr6:coauthVersionMax="47" xr10:uidLastSave="{00000000-0000-0000-0000-000000000000}"/>
  <bookViews>
    <workbookView xWindow="-105" yWindow="105" windowWidth="29010" windowHeight="17280" activeTab="5"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0"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3" i="105" l="1" a="1"/>
  <c r="F103" i="105" s="1"/>
  <c r="F99" i="105" a="1"/>
  <c r="F99" i="105" s="1"/>
  <c r="F95" i="105" a="1"/>
  <c r="F95" i="105" s="1"/>
  <c r="F91" i="105" a="1"/>
  <c r="F91" i="105" s="1"/>
  <c r="F86" i="105" a="1"/>
  <c r="F86" i="105" s="1"/>
  <c r="F82" i="105" a="1"/>
  <c r="F82" i="105" s="1"/>
  <c r="I18" i="98"/>
  <c r="I17" i="98"/>
  <c r="I16" i="98"/>
  <c r="I123" i="97"/>
  <c r="I122" i="97" l="1"/>
  <c r="I121" i="97"/>
  <c r="E208" i="76" a="1"/>
  <c r="E208" i="76" s="1"/>
  <c r="E204" i="76" a="1"/>
  <c r="E204" i="76" s="1"/>
  <c r="E200" i="76" a="1"/>
  <c r="E200" i="76" s="1"/>
  <c r="E196" i="76" a="1"/>
  <c r="E196" i="76" s="1"/>
  <c r="E191" i="76" a="1"/>
  <c r="E191" i="76" s="1"/>
  <c r="E187" i="76" a="1"/>
  <c r="E187" i="76" s="1"/>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25" i="76" a="1"/>
  <c r="D25" i="76" s="1"/>
  <c r="N25" i="76" a="1"/>
  <c r="N25" i="76" s="1"/>
  <c r="D30" i="76" a="1"/>
  <c r="D30" i="76" s="1"/>
  <c r="D20" i="76" a="1"/>
  <c r="D20" i="76" s="1"/>
  <c r="D254" i="69" a="1"/>
  <c r="D254" i="69" s="1"/>
  <c r="D249" i="69" a="1"/>
  <c r="D249" i="69" s="1"/>
  <c r="E147" i="69" a="1"/>
  <c r="E147" i="69" s="1"/>
  <c r="E144" i="69" a="1"/>
  <c r="E144" i="69" s="1"/>
  <c r="E141" i="69" a="1"/>
  <c r="E141" i="69" s="1"/>
  <c r="E138" i="69" a="1"/>
  <c r="E138" i="69" s="1"/>
  <c r="E134" i="69" a="1"/>
  <c r="E134" i="69" s="1"/>
  <c r="E131" i="69" a="1"/>
  <c r="E131" i="69" s="1"/>
  <c r="N88" i="69" a="1"/>
  <c r="N88" i="69" s="1"/>
  <c r="D88" i="69" a="1"/>
  <c r="D88"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D102" i="70"/>
  <c r="H60" i="70"/>
  <c r="G60" i="70"/>
  <c r="F60" i="70"/>
  <c r="E60" i="70"/>
  <c r="H59" i="70"/>
  <c r="G59" i="70"/>
  <c r="F59" i="70"/>
  <c r="E59" i="70"/>
  <c r="D58" i="70"/>
  <c r="D35" i="76" l="1" a="1"/>
  <c r="D35" i="76" s="1"/>
  <c r="F35" i="76" a="1"/>
  <c r="F35" i="76" s="1"/>
  <c r="E35" i="76" a="1"/>
  <c r="E35" i="76" s="1"/>
  <c r="G35" i="76" a="1"/>
  <c r="G35" i="76" s="1"/>
  <c r="I41" i="98" l="1"/>
  <c r="I201" i="69"/>
  <c r="I125" i="69"/>
  <c r="E30" i="15"/>
  <c r="E33" i="15"/>
  <c r="E32" i="15"/>
  <c r="E31" i="15"/>
  <c r="I42" i="98"/>
  <c r="I120" i="97"/>
  <c r="I256" i="76"/>
  <c r="P52" i="98"/>
  <c r="G52" i="98"/>
  <c r="Q128" i="97"/>
  <c r="G128" i="97"/>
  <c r="Q300" i="76"/>
  <c r="G300" i="76"/>
  <c r="Q264" i="69"/>
  <c r="G264"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H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H49" i="110" l="1"/>
  <c r="H53" i="110"/>
  <c r="H50" i="110"/>
  <c r="H51" i="110"/>
  <c r="H48" i="110"/>
  <c r="H52" i="110"/>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S12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F246" i="105"/>
  <c r="F241" i="105"/>
  <c r="F237" i="105"/>
  <c r="F233" i="105"/>
  <c r="F229" i="105"/>
  <c r="F224" i="105"/>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F245" i="105"/>
  <c r="F244" i="105"/>
  <c r="F243" i="105"/>
  <c r="F242" i="105"/>
  <c r="F240" i="105"/>
  <c r="F239" i="105"/>
  <c r="F238" i="105"/>
  <c r="F236" i="105"/>
  <c r="F235" i="105"/>
  <c r="F234" i="105"/>
  <c r="F232" i="105"/>
  <c r="F231" i="105"/>
  <c r="F230" i="105"/>
  <c r="F228" i="105"/>
  <c r="F227" i="105"/>
  <c r="F226" i="105"/>
  <c r="F225" i="105"/>
  <c r="F223" i="105"/>
  <c r="F222" i="105"/>
  <c r="F221" i="105"/>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4"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I119" i="97"/>
  <c r="F302" i="76" a="1"/>
  <c r="F302" i="76" s="1"/>
  <c r="D299" i="76" a="1"/>
  <c r="D299" i="76" s="1"/>
  <c r="O112" i="97" a="1"/>
  <c r="E7" i="97" a="1"/>
  <c r="E248" i="76" a="1"/>
  <c r="E112" i="97" a="1"/>
  <c r="E34" i="98" a="1"/>
  <c r="E7" i="105" a="1"/>
  <c r="E7"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41" i="76" a="1"/>
  <c r="E7" i="76" a="1"/>
  <c r="E129" i="76" a="1"/>
  <c r="E82" i="76" a="1"/>
  <c r="E71" i="76" l="1" a="1"/>
  <c r="E71" i="76" s="1"/>
  <c r="H35" i="76"/>
  <c r="R35" i="76"/>
  <c r="G21" i="70" a="1"/>
  <c r="G21" i="70" s="1"/>
  <c r="P35" i="76" s="1" a="1"/>
  <c r="P35" i="76" s="1"/>
  <c r="G17" i="70" a="1"/>
  <c r="G17" i="70" s="1"/>
  <c r="H17" i="70" a="1"/>
  <c r="H17" i="70" s="1"/>
  <c r="H21" i="70" a="1"/>
  <c r="H21" i="70" s="1"/>
  <c r="Q35" i="76" s="1" a="1"/>
  <c r="Q35" i="76" s="1"/>
  <c r="E21" i="70" a="1"/>
  <c r="E21" i="70" s="1"/>
  <c r="N35" i="76" s="1" a="1"/>
  <c r="N35" i="76" s="1"/>
  <c r="E17" i="70" a="1"/>
  <c r="E17" i="70" s="1"/>
  <c r="F17" i="70" a="1"/>
  <c r="F17" i="70" s="1"/>
  <c r="F21" i="70" a="1"/>
  <c r="F21" i="70"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I126" i="69"/>
  <c r="H70" i="70"/>
  <c r="G70" i="70"/>
  <c r="F70" i="70"/>
  <c r="H99" i="70"/>
  <c r="G99" i="70"/>
  <c r="F99" i="70"/>
  <c r="H92" i="70"/>
  <c r="G92" i="70"/>
  <c r="F92" i="70"/>
  <c r="H85" i="70"/>
  <c r="G85" i="70"/>
  <c r="F85" i="70"/>
  <c r="H78" i="70"/>
  <c r="G78" i="70"/>
  <c r="F78" i="70"/>
  <c r="D48" i="69" a="1"/>
  <c r="D48" i="69" s="1"/>
  <c r="E47" i="69" a="1"/>
  <c r="E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R68" i="69" a="1"/>
  <c r="R68" i="69" s="1"/>
  <c r="E120" i="76" a="1"/>
  <c r="E120" i="76" s="1"/>
  <c r="E24" i="97" s="1"/>
  <c r="O68" i="69" a="1"/>
  <c r="O68" i="69" s="1"/>
  <c r="E68" i="69" a="1"/>
  <c r="E68" i="69" s="1"/>
  <c r="P68" i="69" a="1"/>
  <c r="P68"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99" i="70" l="1"/>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S122" i="6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235" i="69" a="1"/>
  <c r="E218" i="69" a="1"/>
  <c r="E190" i="69" a="1"/>
  <c r="I68" i="69" l="1"/>
  <c r="S68" i="69"/>
  <c r="T165" i="69"/>
  <c r="S37" i="69"/>
  <c r="S103" i="69"/>
  <c r="P261" i="69"/>
  <c r="F261" i="69"/>
  <c r="R259" i="69"/>
  <c r="S206" i="69"/>
  <c r="I200" i="69"/>
  <c r="I122"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H28" i="98" l="1" a="1"/>
  <c r="H28" i="98" s="1"/>
  <c r="G28" i="98" a="1"/>
  <c r="G28" i="98" s="1"/>
  <c r="E28" i="98" a="1"/>
  <c r="E28" i="98" s="1"/>
  <c r="F28" i="98" a="1"/>
  <c r="F28" i="98" s="1"/>
  <c r="O28" i="98" a="1"/>
  <c r="O28" i="98" s="1"/>
  <c r="P28" i="98" a="1"/>
  <c r="P28" i="98" s="1"/>
  <c r="N28" i="98" a="1"/>
  <c r="N28" i="98" s="1"/>
  <c r="Q28" i="98" a="1"/>
  <c r="Q28" i="98" s="1"/>
  <c r="Q56" i="105" l="1"/>
  <c r="Q59" i="105"/>
  <c r="Q58" i="105"/>
  <c r="Q57" i="105"/>
  <c r="P56" i="105"/>
  <c r="P59" i="105"/>
  <c r="P58" i="105"/>
  <c r="P57" i="105"/>
  <c r="F58" i="105"/>
  <c r="F57" i="105"/>
  <c r="F56" i="105"/>
  <c r="F59" i="105"/>
  <c r="H57" i="105"/>
  <c r="H56" i="105"/>
  <c r="H58" i="105"/>
  <c r="H59" i="105"/>
  <c r="S59" i="105"/>
  <c r="S58" i="105"/>
  <c r="S57" i="105"/>
  <c r="S56" i="105"/>
  <c r="R56" i="105"/>
  <c r="R59" i="105"/>
  <c r="R58" i="105"/>
  <c r="R57" i="105"/>
  <c r="G58" i="105"/>
  <c r="G57" i="105"/>
  <c r="G56" i="105"/>
  <c r="G59" i="105"/>
  <c r="I58" i="105"/>
  <c r="I57" i="105"/>
  <c r="I56" i="105"/>
  <c r="I59"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O160" i="69" s="1"/>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N156" i="69" l="1"/>
  <c r="O156" i="69" s="1"/>
  <c r="D38" i="70"/>
  <c r="D36" i="70"/>
  <c r="D37" i="70"/>
  <c r="N157" i="69"/>
  <c r="O157" i="69" s="1"/>
  <c r="D43" i="70"/>
  <c r="D42" i="70"/>
  <c r="D44" i="70"/>
  <c r="N159" i="69"/>
  <c r="O159" i="69" s="1"/>
  <c r="D56" i="70"/>
  <c r="D54" i="70"/>
  <c r="D55" i="70"/>
  <c r="D33" i="70"/>
  <c r="D32" i="70"/>
  <c r="N158" i="69"/>
  <c r="O158" i="69" s="1"/>
  <c r="D49" i="70"/>
  <c r="D50" i="70"/>
  <c r="D48" i="70"/>
  <c r="N155" i="69"/>
  <c r="O155" i="69" s="1"/>
  <c r="D31" i="70"/>
  <c r="D264" i="105"/>
  <c r="N195" i="105"/>
  <c r="N76" i="97"/>
  <c r="D45" i="97"/>
  <c r="D234" i="105"/>
  <c r="D147" i="105"/>
  <c r="N147" i="105"/>
  <c r="D195" i="105"/>
  <c r="N45" i="97"/>
  <c r="D92" i="97"/>
  <c r="N264" i="105"/>
  <c r="N35" i="105"/>
  <c r="D95" i="105"/>
  <c r="N65" i="105"/>
  <c r="N92" i="97"/>
  <c r="D65" i="105"/>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N151" i="105"/>
  <c r="D199" i="105"/>
  <c r="N77" i="97"/>
  <c r="N49" i="97"/>
  <c r="D268" i="105"/>
  <c r="D96" i="97"/>
  <c r="N268" i="105"/>
  <c r="D99" i="105"/>
  <c r="D69" i="105"/>
  <c r="N39" i="105"/>
  <c r="N69" i="105"/>
  <c r="N96" i="97"/>
  <c r="N199" i="105"/>
  <c r="D49" i="97"/>
  <c r="D238" i="105"/>
  <c r="D151" i="105"/>
  <c r="D88" i="97"/>
  <c r="N260" i="105"/>
  <c r="D91" i="105"/>
  <c r="D61" i="105"/>
  <c r="N31" i="105"/>
  <c r="D230" i="105"/>
  <c r="N61" i="105"/>
  <c r="N88" i="97"/>
  <c r="N75" i="97"/>
  <c r="D260" i="105"/>
  <c r="D41" i="97"/>
  <c r="N191" i="105"/>
  <c r="N143" i="105"/>
  <c r="N41" i="97"/>
  <c r="D191" i="105"/>
  <c r="D143" i="105"/>
  <c r="D36" i="97"/>
  <c r="D225" i="105"/>
  <c r="D138" i="105"/>
  <c r="N138" i="105"/>
  <c r="D186" i="105"/>
  <c r="N83" i="97"/>
  <c r="N36" i="97"/>
  <c r="N74" i="97"/>
  <c r="D83" i="97"/>
  <c r="N255" i="105"/>
  <c r="D86" i="105"/>
  <c r="D56" i="105"/>
  <c r="N26" i="105"/>
  <c r="N56" i="105"/>
  <c r="N186" i="105"/>
  <c r="D255" i="105"/>
  <c r="N79" i="97"/>
  <c r="D251" i="105"/>
  <c r="N182" i="105"/>
  <c r="N73" i="97"/>
  <c r="D32" i="97"/>
  <c r="D221" i="105"/>
  <c r="D134" i="105"/>
  <c r="N134" i="105"/>
  <c r="D182" i="105"/>
  <c r="N52" i="105"/>
  <c r="D82" i="105"/>
  <c r="N32" i="97"/>
  <c r="N251" i="105"/>
  <c r="D52" i="105"/>
  <c r="N22" i="105"/>
  <c r="D79" i="97"/>
  <c r="E128" i="105" a="1"/>
  <c r="E128" i="105" s="1"/>
  <c r="E117" i="105" a="1"/>
  <c r="E117" i="105" s="1"/>
  <c r="E67" i="97" a="1"/>
  <c r="E67" i="97" s="1"/>
  <c r="E147" i="76" a="1"/>
  <c r="E147" i="76" s="1"/>
  <c r="D95" i="76"/>
  <c r="E158" i="76" a="1"/>
  <c r="E158" i="76" s="1"/>
  <c r="E160" i="69"/>
  <c r="D63" i="69"/>
  <c r="D98" i="69"/>
  <c r="E98" i="69" s="1" a="1"/>
  <c r="E98" i="69" s="1"/>
  <c r="N165" i="69"/>
  <c r="D165" i="69"/>
  <c r="D131" i="69"/>
  <c r="D66" i="70"/>
  <c r="D81" i="70"/>
  <c r="D73" i="70"/>
  <c r="D95" i="70"/>
  <c r="D88" i="70"/>
  <c r="D31" i="105"/>
  <c r="D125" i="105"/>
  <c r="E125" i="105" s="1" a="1"/>
  <c r="E125" i="105" s="1"/>
  <c r="D114" i="105"/>
  <c r="E114" i="105" s="1" a="1"/>
  <c r="E114" i="105" s="1"/>
  <c r="N270" i="76"/>
  <c r="N217" i="76"/>
  <c r="D270" i="76"/>
  <c r="D123" i="105"/>
  <c r="D217" i="76"/>
  <c r="D187" i="76"/>
  <c r="D22" i="105"/>
  <c r="D112" i="105"/>
  <c r="E112" i="105" s="1" a="1"/>
  <c r="E112" i="105" s="1"/>
  <c r="D26" i="105"/>
  <c r="D124" i="105"/>
  <c r="E124" i="105" s="1" a="1"/>
  <c r="E124" i="105" s="1"/>
  <c r="D113" i="105"/>
  <c r="E113" i="105" s="1" a="1"/>
  <c r="E113" i="105" s="1"/>
  <c r="D39" i="105"/>
  <c r="D127" i="105"/>
  <c r="E127" i="105" s="1" a="1"/>
  <c r="E127" i="105" s="1"/>
  <c r="D116" i="105"/>
  <c r="E116" i="105" s="1" a="1"/>
  <c r="E116" i="105" s="1"/>
  <c r="D35" i="105"/>
  <c r="D126" i="105"/>
  <c r="E126" i="105" s="1" a="1"/>
  <c r="E126" i="105" s="1"/>
  <c r="D115" i="105"/>
  <c r="E115" i="105" s="1" a="1"/>
  <c r="E115" i="105" s="1"/>
  <c r="N24" i="97"/>
  <c r="N226" i="76"/>
  <c r="D208" i="69"/>
  <c r="N64" i="76"/>
  <c r="D120" i="76"/>
  <c r="D95" i="69"/>
  <c r="E95" i="69" s="1" a="1"/>
  <c r="E95" i="69" s="1"/>
  <c r="D104" i="70"/>
  <c r="D67" i="70"/>
  <c r="N279" i="76"/>
  <c r="N166" i="76"/>
  <c r="D105" i="69"/>
  <c r="N266" i="76"/>
  <c r="D64" i="97"/>
  <c r="E64" i="97" s="1" a="1"/>
  <c r="E64" i="97" s="1"/>
  <c r="D75" i="97"/>
  <c r="N39" i="69"/>
  <c r="D138" i="69"/>
  <c r="N120" i="76"/>
  <c r="D266" i="76"/>
  <c r="D39" i="69"/>
  <c r="N30" i="69"/>
  <c r="D155" i="76"/>
  <c r="E155" i="76" s="1" a="1"/>
  <c r="E155" i="76" s="1"/>
  <c r="N172" i="69"/>
  <c r="D172" i="69"/>
  <c r="D24" i="97"/>
  <c r="N73" i="76"/>
  <c r="D226" i="76"/>
  <c r="D21" i="69"/>
  <c r="D144" i="76"/>
  <c r="E144" i="76" s="1" a="1"/>
  <c r="E144" i="76" s="1"/>
  <c r="D55" i="76"/>
  <c r="D75" i="70"/>
  <c r="D97" i="70"/>
  <c r="D166" i="76"/>
  <c r="N208" i="69"/>
  <c r="D90" i="70"/>
  <c r="D279" i="76"/>
  <c r="D73" i="76"/>
  <c r="N105" i="69"/>
  <c r="D196" i="76"/>
  <c r="D157" i="69"/>
  <c r="E157" i="69" s="1"/>
  <c r="D64" i="76"/>
  <c r="D30" i="69"/>
  <c r="N71" i="76"/>
  <c r="D103" i="70"/>
  <c r="D89" i="70"/>
  <c r="D82" i="70"/>
  <c r="N28" i="69"/>
  <c r="D28" i="69"/>
  <c r="N164" i="76"/>
  <c r="D96" i="70"/>
  <c r="D93" i="69"/>
  <c r="E93" i="69" s="1" a="1"/>
  <c r="E93" i="69" s="1"/>
  <c r="N264" i="76"/>
  <c r="D62" i="97"/>
  <c r="N103" i="69"/>
  <c r="D73" i="97"/>
  <c r="N118" i="76"/>
  <c r="D264" i="76"/>
  <c r="N37" i="69"/>
  <c r="D103" i="69"/>
  <c r="D206" i="69"/>
  <c r="D155" i="69"/>
  <c r="E155" i="69" s="1"/>
  <c r="D71" i="76"/>
  <c r="D118" i="76"/>
  <c r="N22" i="97"/>
  <c r="D164" i="76"/>
  <c r="N62" i="76"/>
  <c r="D142" i="76"/>
  <c r="E142" i="76" s="1" a="1"/>
  <c r="E142" i="76" s="1"/>
  <c r="D74" i="70"/>
  <c r="N206" i="69"/>
  <c r="D153" i="76"/>
  <c r="D37" i="69"/>
  <c r="D62" i="76"/>
  <c r="D22" i="97"/>
  <c r="D19" i="69"/>
  <c r="D53" i="76"/>
  <c r="D47" i="98"/>
  <c r="M28" i="98"/>
  <c r="D28" i="98"/>
  <c r="M47" i="98"/>
  <c r="N221" i="76"/>
  <c r="M23" i="98"/>
  <c r="D119" i="76"/>
  <c r="N207" i="69"/>
  <c r="N29" i="69"/>
  <c r="D207" i="69"/>
  <c r="D191" i="76"/>
  <c r="N265" i="76"/>
  <c r="N165" i="76"/>
  <c r="D156" i="69"/>
  <c r="E156" i="69" s="1"/>
  <c r="N23" i="97"/>
  <c r="D63" i="97"/>
  <c r="E63" i="97" s="1" a="1"/>
  <c r="E63" i="97" s="1"/>
  <c r="N63" i="76"/>
  <c r="D168" i="69"/>
  <c r="N119" i="76"/>
  <c r="D265" i="76"/>
  <c r="D38" i="69"/>
  <c r="N168" i="69"/>
  <c r="N38" i="69"/>
  <c r="D23" i="98"/>
  <c r="D54" i="76"/>
  <c r="D154" i="76"/>
  <c r="E154" i="76" s="1" a="1"/>
  <c r="E154" i="76" s="1"/>
  <c r="D94" i="69"/>
  <c r="E94" i="69" s="1" a="1"/>
  <c r="E94" i="69" s="1"/>
  <c r="N274" i="76"/>
  <c r="D165" i="76"/>
  <c r="D29" i="69"/>
  <c r="D63" i="76"/>
  <c r="D134" i="69"/>
  <c r="D20" i="69"/>
  <c r="N104" i="69"/>
  <c r="D274" i="76"/>
  <c r="D104" i="69"/>
  <c r="D74" i="97"/>
  <c r="D143" i="76"/>
  <c r="E143" i="76" s="1" a="1"/>
  <c r="E143" i="76" s="1"/>
  <c r="N72" i="76"/>
  <c r="D72" i="76"/>
  <c r="D23" i="97"/>
  <c r="D221" i="76"/>
  <c r="N25" i="97"/>
  <c r="N175" i="69"/>
  <c r="D68" i="70"/>
  <c r="D40" i="69"/>
  <c r="N31" i="69"/>
  <c r="D267" i="76"/>
  <c r="D167" i="76"/>
  <c r="N121" i="76"/>
  <c r="D25" i="97"/>
  <c r="N209" i="69"/>
  <c r="D76" i="70"/>
  <c r="D121" i="76"/>
  <c r="D83" i="70"/>
  <c r="D156" i="76"/>
  <c r="E156" i="76" s="1" a="1"/>
  <c r="E156" i="76" s="1"/>
  <c r="D65" i="97"/>
  <c r="E65" i="97" s="1" a="1"/>
  <c r="E65" i="97" s="1"/>
  <c r="D96" i="69"/>
  <c r="E96" i="69" s="1" a="1"/>
  <c r="E96" i="69" s="1"/>
  <c r="D230" i="76"/>
  <c r="D76" i="97"/>
  <c r="D106" i="69"/>
  <c r="D175" i="69"/>
  <c r="D31" i="69"/>
  <c r="D145" i="76"/>
  <c r="E145" i="76" s="1" a="1"/>
  <c r="E145" i="76" s="1"/>
  <c r="N283" i="76"/>
  <c r="N230" i="76"/>
  <c r="D283" i="76"/>
  <c r="D74" i="76"/>
  <c r="N267" i="76"/>
  <c r="N65" i="76"/>
  <c r="D56" i="76"/>
  <c r="D98" i="70"/>
  <c r="N40" i="69"/>
  <c r="D141" i="69"/>
  <c r="D209" i="69"/>
  <c r="D200" i="76"/>
  <c r="D105" i="70"/>
  <c r="N106" i="69"/>
  <c r="D22" i="69"/>
  <c r="D158" i="69"/>
  <c r="E158" i="69" s="1"/>
  <c r="N74" i="76"/>
  <c r="D65" i="76"/>
  <c r="N167" i="76"/>
  <c r="N26" i="97"/>
  <c r="D144" i="69"/>
  <c r="D32" i="69"/>
  <c r="D210" i="69"/>
  <c r="D84" i="70"/>
  <c r="D168" i="76"/>
  <c r="D69" i="70"/>
  <c r="D178" i="69"/>
  <c r="D77" i="97"/>
  <c r="D26" i="97"/>
  <c r="N107" i="69"/>
  <c r="D23" i="69"/>
  <c r="D77" i="70"/>
  <c r="D41" i="69"/>
  <c r="N66" i="76"/>
  <c r="D106" i="70"/>
  <c r="N32" i="69"/>
  <c r="D107" i="69"/>
  <c r="N268" i="76"/>
  <c r="N210" i="69"/>
  <c r="N41" i="69"/>
  <c r="D97" i="69"/>
  <c r="E97" i="69" s="1" a="1"/>
  <c r="E97" i="69" s="1"/>
  <c r="D91" i="70"/>
  <c r="D159" i="69"/>
  <c r="E159" i="69" s="1"/>
  <c r="D204" i="76"/>
  <c r="N122" i="76"/>
  <c r="D66" i="76"/>
  <c r="N287" i="76"/>
  <c r="D234" i="76"/>
  <c r="N178" i="69"/>
  <c r="D146" i="76"/>
  <c r="E146" i="76" s="1" a="1"/>
  <c r="E146" i="76" s="1"/>
  <c r="D287" i="76"/>
  <c r="D57" i="76"/>
  <c r="N75" i="76"/>
  <c r="D157" i="76"/>
  <c r="E157" i="76" s="1" a="1"/>
  <c r="E157" i="76" s="1"/>
  <c r="D268" i="76"/>
  <c r="N234" i="76"/>
  <c r="N168" i="76"/>
  <c r="D75" i="76"/>
  <c r="D66" i="97"/>
  <c r="E66" i="97" s="1" a="1"/>
  <c r="E66" i="97" s="1"/>
  <c r="D122" i="76"/>
  <c r="E13" i="15"/>
  <c r="R209" i="69" l="1"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252" i="105"/>
  <c r="O183" i="105"/>
  <c r="E33" i="97"/>
  <c r="E222" i="105"/>
  <c r="E135" i="105"/>
  <c r="O135" i="105"/>
  <c r="E80" i="97"/>
  <c r="E183" i="105"/>
  <c r="O33" i="97"/>
  <c r="E83" i="105"/>
  <c r="O80" i="97"/>
  <c r="O23" i="105"/>
  <c r="O252" i="105"/>
  <c r="E53" i="105"/>
  <c r="O53" i="105"/>
  <c r="E263" i="105"/>
  <c r="O194" i="105"/>
  <c r="O229" i="76"/>
  <c r="E229" i="76"/>
  <c r="E44" i="97"/>
  <c r="E233" i="105"/>
  <c r="E146" i="105"/>
  <c r="O146" i="105"/>
  <c r="E194" i="105"/>
  <c r="O44" i="97"/>
  <c r="E64" i="105"/>
  <c r="O263" i="105"/>
  <c r="O282" i="76"/>
  <c r="E94" i="105"/>
  <c r="O64" i="105"/>
  <c r="O34" i="105"/>
  <c r="E282" i="76"/>
  <c r="E91" i="97"/>
  <c r="E34" i="105"/>
  <c r="O91" i="97"/>
  <c r="E251" i="105"/>
  <c r="O32" i="97"/>
  <c r="O182" i="105"/>
  <c r="E32" i="97"/>
  <c r="E221" i="105"/>
  <c r="E134" i="105"/>
  <c r="O134" i="105"/>
  <c r="E182" i="105"/>
  <c r="O52" i="105"/>
  <c r="E82" i="105"/>
  <c r="O251" i="105"/>
  <c r="O79" i="97"/>
  <c r="O22" i="105"/>
  <c r="E52" i="105"/>
  <c r="E79" i="97"/>
  <c r="E169" i="76" a="1"/>
  <c r="E169" i="76" s="1"/>
  <c r="Q169" i="76" a="1"/>
  <c r="Q169" i="76" s="1"/>
  <c r="R169" i="76" a="1"/>
  <c r="R169" i="76" s="1"/>
  <c r="H169" i="76" a="1"/>
  <c r="H169" i="76" s="1"/>
  <c r="G169" i="76" a="1"/>
  <c r="G169" i="76" s="1"/>
  <c r="F169" i="76" a="1"/>
  <c r="F169" i="76" s="1"/>
  <c r="P169" i="76" a="1"/>
  <c r="P169" i="76" s="1"/>
  <c r="O169" i="76" a="1"/>
  <c r="O169" i="76" s="1"/>
  <c r="E233" i="76"/>
  <c r="E48" i="97"/>
  <c r="E237" i="105"/>
  <c r="E150" i="105"/>
  <c r="O150" i="105"/>
  <c r="E198" i="105"/>
  <c r="O233" i="76"/>
  <c r="O48" i="97"/>
  <c r="E95" i="97"/>
  <c r="O286" i="76"/>
  <c r="O267" i="105"/>
  <c r="E98" i="105"/>
  <c r="E68" i="105"/>
  <c r="O38" i="105"/>
  <c r="O68" i="105"/>
  <c r="O95" i="97"/>
  <c r="O198" i="105"/>
  <c r="E38" i="105"/>
  <c r="E267" i="105"/>
  <c r="E286" i="76"/>
  <c r="E99" i="97"/>
  <c r="O271" i="105"/>
  <c r="E102" i="105"/>
  <c r="E72" i="105"/>
  <c r="O42" i="105"/>
  <c r="O72" i="105"/>
  <c r="O237" i="76"/>
  <c r="O99" i="97"/>
  <c r="E271" i="105"/>
  <c r="O202" i="105"/>
  <c r="O290" i="76"/>
  <c r="E52" i="97"/>
  <c r="E241" i="105"/>
  <c r="E202" i="105"/>
  <c r="O52" i="97"/>
  <c r="E237" i="76"/>
  <c r="O154" i="105"/>
  <c r="E42" i="105"/>
  <c r="E154" i="105"/>
  <c r="E290" i="76"/>
  <c r="O196" i="105"/>
  <c r="E46" i="97"/>
  <c r="E235" i="105"/>
  <c r="E148" i="105"/>
  <c r="O148" i="105"/>
  <c r="E196" i="105"/>
  <c r="O46" i="97"/>
  <c r="E93" i="97"/>
  <c r="O265" i="105"/>
  <c r="E96" i="105"/>
  <c r="E66" i="105"/>
  <c r="O36" i="105"/>
  <c r="O93" i="97"/>
  <c r="O66" i="105"/>
  <c r="E265" i="105"/>
  <c r="E295" i="76"/>
  <c r="O207" i="105"/>
  <c r="E57" i="97"/>
  <c r="E246" i="105"/>
  <c r="E159" i="105"/>
  <c r="O159" i="105"/>
  <c r="E207" i="105"/>
  <c r="O295" i="76"/>
  <c r="O57" i="97"/>
  <c r="E104" i="97"/>
  <c r="O276" i="105"/>
  <c r="O77" i="105"/>
  <c r="E47" i="105"/>
  <c r="E107" i="105"/>
  <c r="O104" i="97"/>
  <c r="E276" i="105"/>
  <c r="E77" i="105"/>
  <c r="O47" i="105"/>
  <c r="O242" i="76"/>
  <c r="E242" i="76"/>
  <c r="O62" i="105"/>
  <c r="O89" i="97"/>
  <c r="E261" i="105"/>
  <c r="O192" i="105"/>
  <c r="E42" i="97"/>
  <c r="E231" i="105"/>
  <c r="E144" i="105"/>
  <c r="O144" i="105"/>
  <c r="E62" i="105"/>
  <c r="O42" i="97"/>
  <c r="O261" i="105"/>
  <c r="E192" i="105"/>
  <c r="E89" i="97"/>
  <c r="O32" i="105"/>
  <c r="E92" i="105"/>
  <c r="O101" i="97"/>
  <c r="E273" i="105"/>
  <c r="O204" i="105"/>
  <c r="E54" i="97"/>
  <c r="E243" i="105"/>
  <c r="E156" i="105"/>
  <c r="O156" i="105"/>
  <c r="E204" i="105"/>
  <c r="O44" i="105"/>
  <c r="E101" i="97"/>
  <c r="E74" i="105"/>
  <c r="O74" i="105"/>
  <c r="E104" i="105"/>
  <c r="O54" i="97"/>
  <c r="O273" i="105"/>
  <c r="O39" i="97"/>
  <c r="E86" i="97"/>
  <c r="O258" i="105"/>
  <c r="E89" i="105"/>
  <c r="E59" i="105"/>
  <c r="O29" i="105"/>
  <c r="O59" i="105"/>
  <c r="O86" i="97"/>
  <c r="O189" i="105"/>
  <c r="E258" i="105"/>
  <c r="O141" i="105"/>
  <c r="E141" i="105"/>
  <c r="E39" i="97"/>
  <c r="E228" i="105"/>
  <c r="E189" i="105"/>
  <c r="O185" i="105"/>
  <c r="E25" i="105"/>
  <c r="E273" i="76"/>
  <c r="E35" i="97"/>
  <c r="E224" i="105"/>
  <c r="E137" i="105"/>
  <c r="O137" i="105"/>
  <c r="E185" i="105"/>
  <c r="O35" i="97"/>
  <c r="O220" i="76"/>
  <c r="E82" i="97"/>
  <c r="O254" i="105"/>
  <c r="E85" i="105"/>
  <c r="E55" i="105"/>
  <c r="O25" i="105"/>
  <c r="O82" i="97"/>
  <c r="E254" i="105"/>
  <c r="E220" i="76"/>
  <c r="O273" i="76"/>
  <c r="O55" i="105"/>
  <c r="O51" i="97"/>
  <c r="E98" i="97"/>
  <c r="O270" i="105"/>
  <c r="E101" i="105"/>
  <c r="E71" i="105"/>
  <c r="O41" i="105"/>
  <c r="O71" i="105"/>
  <c r="O98" i="97"/>
  <c r="E270" i="105"/>
  <c r="O201" i="105"/>
  <c r="E51" i="97"/>
  <c r="E201" i="105"/>
  <c r="E240" i="105"/>
  <c r="O153" i="105"/>
  <c r="E153" i="105"/>
  <c r="E275" i="105"/>
  <c r="O206" i="105"/>
  <c r="E56" i="97"/>
  <c r="E245" i="105"/>
  <c r="E158" i="105"/>
  <c r="O158" i="105"/>
  <c r="E206" i="105"/>
  <c r="E103" i="97"/>
  <c r="O56" i="97"/>
  <c r="O46" i="105"/>
  <c r="O275" i="105"/>
  <c r="E106" i="105"/>
  <c r="O76" i="105"/>
  <c r="O103" i="97"/>
  <c r="E76" i="105"/>
  <c r="E199" i="105"/>
  <c r="O49" i="97"/>
  <c r="E96" i="97"/>
  <c r="O268" i="105"/>
  <c r="E99" i="105"/>
  <c r="E69" i="105"/>
  <c r="O39" i="105"/>
  <c r="O69" i="105"/>
  <c r="O96" i="97"/>
  <c r="E268" i="105"/>
  <c r="E49" i="97"/>
  <c r="E151" i="105"/>
  <c r="E238" i="105"/>
  <c r="O199" i="105"/>
  <c r="O151" i="105"/>
  <c r="E188" i="105"/>
  <c r="O38" i="97"/>
  <c r="E85" i="97"/>
  <c r="O257" i="105"/>
  <c r="E88" i="105"/>
  <c r="E58" i="105"/>
  <c r="O28" i="105"/>
  <c r="O58" i="105"/>
  <c r="O85" i="97"/>
  <c r="E257" i="105"/>
  <c r="E140" i="105"/>
  <c r="E38" i="97"/>
  <c r="E227" i="105"/>
  <c r="O188" i="105"/>
  <c r="O140" i="105"/>
  <c r="O260" i="105"/>
  <c r="E91" i="105"/>
  <c r="E61" i="105"/>
  <c r="O31" i="105"/>
  <c r="O61" i="105"/>
  <c r="O88" i="97"/>
  <c r="E260" i="105"/>
  <c r="O191" i="105"/>
  <c r="E41" i="97"/>
  <c r="E230" i="105"/>
  <c r="E143" i="105"/>
  <c r="O41" i="97"/>
  <c r="E191" i="105"/>
  <c r="O143" i="105"/>
  <c r="E88" i="97"/>
  <c r="S266" i="76" a="1"/>
  <c r="S266" i="76" s="1"/>
  <c r="R266" i="76" a="1"/>
  <c r="R266" i="76" s="1"/>
  <c r="Q266" i="76" a="1"/>
  <c r="Q266" i="76" s="1"/>
  <c r="P266" i="76" a="1"/>
  <c r="P266" i="76" s="1"/>
  <c r="H266" i="76" a="1"/>
  <c r="H266" i="76" s="1"/>
  <c r="G266" i="76" a="1"/>
  <c r="G266" i="76" s="1"/>
  <c r="F266" i="76" a="1"/>
  <c r="F266" i="76" s="1"/>
  <c r="I266" i="76" a="1"/>
  <c r="I266" i="76" s="1"/>
  <c r="O40" i="97"/>
  <c r="E87" i="97"/>
  <c r="O259" i="105"/>
  <c r="E90" i="105"/>
  <c r="E60" i="105"/>
  <c r="O30" i="105"/>
  <c r="O60" i="105"/>
  <c r="O87" i="97"/>
  <c r="O225" i="76"/>
  <c r="E259" i="105"/>
  <c r="E225" i="76"/>
  <c r="O190" i="105"/>
  <c r="E142" i="105"/>
  <c r="E278" i="76"/>
  <c r="O278" i="76"/>
  <c r="E40" i="97"/>
  <c r="O142" i="105"/>
  <c r="E229" i="105"/>
  <c r="E190" i="105"/>
  <c r="E30" i="105"/>
  <c r="O195" i="105"/>
  <c r="E45" i="97"/>
  <c r="E234" i="105"/>
  <c r="E147" i="105"/>
  <c r="O147" i="105"/>
  <c r="E195" i="105"/>
  <c r="O264" i="105"/>
  <c r="O45" i="97"/>
  <c r="E92" i="97"/>
  <c r="O92" i="97"/>
  <c r="O35" i="105"/>
  <c r="E264" i="105"/>
  <c r="E95" i="105"/>
  <c r="O65" i="105"/>
  <c r="E65" i="105"/>
  <c r="O50" i="97"/>
  <c r="E97" i="97"/>
  <c r="O269" i="105"/>
  <c r="E100" i="105"/>
  <c r="E70" i="105"/>
  <c r="O40" i="105"/>
  <c r="O70" i="105"/>
  <c r="O97" i="97"/>
  <c r="E269" i="105"/>
  <c r="O200" i="105"/>
  <c r="E50" i="97"/>
  <c r="E200" i="105"/>
  <c r="E152" i="105"/>
  <c r="E239" i="105"/>
  <c r="O152" i="105"/>
  <c r="G208" i="69" a="1"/>
  <c r="G208" i="69" s="1"/>
  <c r="H208" i="69" a="1"/>
  <c r="H208" i="69" s="1"/>
  <c r="E208" i="69" a="1"/>
  <c r="E208" i="69" s="1"/>
  <c r="F208" i="69" a="1"/>
  <c r="F208" i="69" s="1"/>
  <c r="E274" i="105"/>
  <c r="O205" i="105"/>
  <c r="E55" i="97"/>
  <c r="E244" i="105"/>
  <c r="E157" i="105"/>
  <c r="O157" i="105"/>
  <c r="E205" i="105"/>
  <c r="O55" i="97"/>
  <c r="O45" i="105"/>
  <c r="E75" i="105"/>
  <c r="O274" i="105"/>
  <c r="E102" i="97"/>
  <c r="O75" i="105"/>
  <c r="E105" i="105"/>
  <c r="O102" i="97"/>
  <c r="P268" i="76" a="1"/>
  <c r="P268" i="76" s="1"/>
  <c r="I268" i="76" a="1"/>
  <c r="I268" i="76" s="1"/>
  <c r="H268" i="76" a="1"/>
  <c r="H268" i="76" s="1"/>
  <c r="G268" i="76" a="1"/>
  <c r="G268" i="76" s="1"/>
  <c r="F268" i="76" a="1"/>
  <c r="F268" i="76" s="1"/>
  <c r="S268" i="76" a="1"/>
  <c r="S268" i="76" s="1"/>
  <c r="R268" i="76" a="1"/>
  <c r="R268" i="76" s="1"/>
  <c r="Q268" i="76" a="1"/>
  <c r="Q268" i="76" s="1"/>
  <c r="E47" i="97"/>
  <c r="E236" i="105"/>
  <c r="E149" i="105"/>
  <c r="O149" i="105"/>
  <c r="E197" i="105"/>
  <c r="O47" i="97"/>
  <c r="E94" i="97"/>
  <c r="O266" i="105"/>
  <c r="E97" i="105"/>
  <c r="E67" i="105"/>
  <c r="O37" i="105"/>
  <c r="O67" i="105"/>
  <c r="O94" i="97"/>
  <c r="E266" i="105"/>
  <c r="O197" i="105"/>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O73" i="105"/>
  <c r="O100" i="97"/>
  <c r="E272" i="105"/>
  <c r="O203" i="105"/>
  <c r="E53" i="97"/>
  <c r="E242" i="105"/>
  <c r="E155" i="105"/>
  <c r="O155" i="105"/>
  <c r="O43" i="105"/>
  <c r="E73" i="105"/>
  <c r="E100" i="97"/>
  <c r="E103" i="105"/>
  <c r="E203" i="105"/>
  <c r="O53" i="97"/>
  <c r="O272" i="105"/>
  <c r="O184" i="105"/>
  <c r="E34" i="97"/>
  <c r="E223" i="105"/>
  <c r="E136" i="105"/>
  <c r="O136" i="105"/>
  <c r="E184" i="105"/>
  <c r="O253" i="105"/>
  <c r="O34" i="97"/>
  <c r="E81" i="97"/>
  <c r="E84" i="105"/>
  <c r="O81" i="97"/>
  <c r="E253" i="105"/>
  <c r="E54" i="105"/>
  <c r="O24" i="105"/>
  <c r="O54" i="105"/>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O139" i="105"/>
  <c r="E187" i="105"/>
  <c r="E256" i="105"/>
  <c r="O37" i="97"/>
  <c r="E84" i="97"/>
  <c r="O256" i="105"/>
  <c r="E87" i="105"/>
  <c r="E57" i="105"/>
  <c r="O27" i="105"/>
  <c r="O57" i="105"/>
  <c r="O84" i="97"/>
  <c r="E139" i="105"/>
  <c r="E226" i="105"/>
  <c r="O187" i="105"/>
  <c r="E37" i="97"/>
  <c r="S267" i="76" a="1"/>
  <c r="S267" i="76" s="1"/>
  <c r="R267" i="76" a="1"/>
  <c r="R267" i="76" s="1"/>
  <c r="Q267" i="76" a="1"/>
  <c r="Q267" i="76" s="1"/>
  <c r="P267" i="76" a="1"/>
  <c r="P267" i="76" s="1"/>
  <c r="H267" i="76" a="1"/>
  <c r="H267" i="76" s="1"/>
  <c r="I267" i="76" a="1"/>
  <c r="I267" i="76" s="1"/>
  <c r="G267" i="76" a="1"/>
  <c r="G267" i="76" s="1"/>
  <c r="F267" i="76" a="1"/>
  <c r="F267" i="76" s="1"/>
  <c r="E36" i="97"/>
  <c r="E225" i="105"/>
  <c r="E138" i="105"/>
  <c r="O138" i="105"/>
  <c r="E186" i="105"/>
  <c r="O36" i="97"/>
  <c r="E83" i="97"/>
  <c r="O255" i="105"/>
  <c r="E86" i="105"/>
  <c r="E56" i="105"/>
  <c r="O26" i="105"/>
  <c r="O56" i="105"/>
  <c r="O83" i="97"/>
  <c r="O186" i="105"/>
  <c r="E255" i="105"/>
  <c r="O90" i="97"/>
  <c r="E262" i="105"/>
  <c r="O193" i="105"/>
  <c r="E43" i="97"/>
  <c r="E232" i="105"/>
  <c r="E145" i="105"/>
  <c r="O145" i="105"/>
  <c r="E193" i="105"/>
  <c r="E63" i="105"/>
  <c r="O43" i="97"/>
  <c r="O262" i="105"/>
  <c r="O63" i="105"/>
  <c r="E90" i="97"/>
  <c r="O33" i="105"/>
  <c r="E93" i="105"/>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28" i="105"/>
  <c r="E37" i="105"/>
  <c r="E39" i="105"/>
  <c r="E32" i="105"/>
  <c r="E23" i="105"/>
  <c r="E24" i="105"/>
  <c r="E36" i="105"/>
  <c r="E26" i="105"/>
  <c r="E31" i="105"/>
  <c r="E35" i="105"/>
  <c r="E22" i="105"/>
  <c r="E43" i="105"/>
  <c r="E44" i="105"/>
  <c r="E40" i="105"/>
  <c r="E46" i="105"/>
  <c r="E27" i="105"/>
  <c r="E45" i="105"/>
  <c r="E33" i="105"/>
  <c r="E29" i="105"/>
  <c r="E41" i="105"/>
  <c r="O175" i="69"/>
  <c r="O230" i="76"/>
  <c r="O283" i="76"/>
  <c r="E230" i="76"/>
  <c r="E175" i="69"/>
  <c r="E283" i="76"/>
  <c r="O238" i="76"/>
  <c r="E291" i="76"/>
  <c r="O291" i="76"/>
  <c r="E238" i="76"/>
  <c r="E181" i="69"/>
  <c r="O181" i="69"/>
  <c r="O270" i="76"/>
  <c r="E165" i="69"/>
  <c r="E270" i="76"/>
  <c r="E217" i="76"/>
  <c r="O165" i="69"/>
  <c r="O217" i="76"/>
  <c r="O183" i="69"/>
  <c r="E240" i="76"/>
  <c r="O240" i="76"/>
  <c r="E293" i="76"/>
  <c r="O293" i="76"/>
  <c r="E183" i="69"/>
  <c r="O174" i="69"/>
  <c r="O228" i="76"/>
  <c r="E281" i="76"/>
  <c r="O281" i="76"/>
  <c r="E174" i="69"/>
  <c r="E228" i="76"/>
  <c r="E62" i="97" a="1"/>
  <c r="E62" i="97" s="1"/>
  <c r="E182" i="69"/>
  <c r="O239" i="76"/>
  <c r="E292" i="76"/>
  <c r="O292" i="76"/>
  <c r="O182" i="69"/>
  <c r="E239" i="76"/>
  <c r="E184" i="69"/>
  <c r="O241" i="76"/>
  <c r="O294" i="76"/>
  <c r="E294" i="76"/>
  <c r="E241" i="76"/>
  <c r="O184" i="69"/>
  <c r="E170" i="69"/>
  <c r="E276" i="76"/>
  <c r="O223" i="76"/>
  <c r="O170" i="69"/>
  <c r="E223" i="76"/>
  <c r="O276" i="76"/>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E235" i="76"/>
  <c r="E288" i="76"/>
  <c r="O179" i="69"/>
  <c r="E179" i="69"/>
  <c r="O288" i="76"/>
  <c r="O235" i="76"/>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78" i="69"/>
  <c r="E287" i="76"/>
  <c r="O287" i="76"/>
  <c r="O234" i="76"/>
  <c r="E234" i="76"/>
  <c r="O178" i="69"/>
  <c r="E169" i="69"/>
  <c r="O169" i="69"/>
  <c r="E275" i="76"/>
  <c r="O275" i="76"/>
  <c r="O222" i="76"/>
  <c r="E222" i="76"/>
  <c r="E176" i="69"/>
  <c r="O176" i="69"/>
  <c r="O231" i="76"/>
  <c r="O284" i="76"/>
  <c r="E284" i="76"/>
  <c r="E231" i="76"/>
  <c r="E289" i="76"/>
  <c r="E236" i="76"/>
  <c r="O236" i="76"/>
  <c r="E180" i="69"/>
  <c r="O180" i="69"/>
  <c r="O289" i="76"/>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O171" i="69"/>
  <c r="O277" i="76"/>
  <c r="E277" i="76"/>
  <c r="O224" i="76"/>
  <c r="E224" i="76"/>
  <c r="E171" i="69"/>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E285" i="76"/>
  <c r="E232" i="76"/>
  <c r="O285" i="76"/>
  <c r="E177" i="69"/>
  <c r="O177" i="69"/>
  <c r="O232" i="76"/>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O280" i="76"/>
  <c r="E280" i="76"/>
  <c r="E173" i="69"/>
  <c r="E227" i="76"/>
  <c r="O173" i="69"/>
  <c r="O227" i="76"/>
  <c r="O167" i="69"/>
  <c r="O219" i="76"/>
  <c r="O272" i="76"/>
  <c r="E272" i="76"/>
  <c r="E219" i="76"/>
  <c r="E167" i="69"/>
  <c r="E279" i="76"/>
  <c r="O172" i="69"/>
  <c r="E172" i="69"/>
  <c r="E226" i="76"/>
  <c r="O226" i="76"/>
  <c r="O279" i="76"/>
  <c r="F107" i="69" a="1"/>
  <c r="F107" i="69" s="1"/>
  <c r="G107" i="69" a="1"/>
  <c r="G107" i="69" s="1"/>
  <c r="P107" i="69" a="1"/>
  <c r="P107" i="69" s="1"/>
  <c r="E107" i="69" a="1"/>
  <c r="E107" i="69" s="1"/>
  <c r="R107" i="69" a="1"/>
  <c r="R107" i="69" s="1"/>
  <c r="H107" i="69" a="1"/>
  <c r="H107" i="69" s="1"/>
  <c r="O107" i="69" a="1"/>
  <c r="O107" i="69" s="1"/>
  <c r="Q107" i="69" a="1"/>
  <c r="Q107" i="69" s="1"/>
  <c r="O221" i="76"/>
  <c r="E168" i="69"/>
  <c r="E274" i="76"/>
  <c r="E221" i="76"/>
  <c r="O274" i="76"/>
  <c r="O168" i="69"/>
  <c r="E166" i="69"/>
  <c r="O218" i="76"/>
  <c r="O166" i="69"/>
  <c r="E271" i="76"/>
  <c r="O271" i="76"/>
  <c r="E218" i="76"/>
  <c r="P108" i="69" a="1"/>
  <c r="P108" i="69" s="1"/>
  <c r="F108" i="69" a="1"/>
  <c r="F108" i="69" s="1"/>
  <c r="H108" i="69" a="1"/>
  <c r="H108" i="69" s="1"/>
  <c r="G108" i="69" a="1"/>
  <c r="G108" i="69" s="1"/>
  <c r="Q108" i="69" a="1"/>
  <c r="Q108" i="69" s="1"/>
  <c r="R108" i="69" a="1"/>
  <c r="R108" i="69" s="1"/>
  <c r="O108" i="69" a="1"/>
  <c r="O108" i="69" s="1"/>
  <c r="E108" i="69" a="1"/>
  <c r="E108" i="69" s="1"/>
  <c r="R176" i="69" l="1"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71" i="76" a="1"/>
  <c r="G271" i="76" s="1"/>
  <c r="G24" i="105"/>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G135" i="105" a="1"/>
  <c r="G135" i="105" s="1"/>
  <c r="G252" i="105" a="1"/>
  <c r="G252" i="105" s="1"/>
  <c r="G183" i="105" a="1"/>
  <c r="G183"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184" i="105" a="1"/>
  <c r="G184" i="105" s="1"/>
  <c r="G253" i="105" a="1"/>
  <c r="G253" i="105" s="1"/>
  <c r="G136" i="105" a="1"/>
  <c r="G136"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H134" i="105" l="1"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F7" i="13"/>
  <c r="G263" i="69"/>
  <c r="E266" i="69" s="1" a="1"/>
  <c r="E266" i="69" s="1"/>
  <c r="H7" i="13" s="1"/>
  <c r="E7" i="13"/>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<sst xmlns="http://schemas.openxmlformats.org/spreadsheetml/2006/main" count="1170" uniqueCount="369">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</sst>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5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xf numFmtId="0" fontId="41" fillId="4" borderId="0" xfId="8" applyFont="1" applyAlignment="1">
      <alignment horizontal="left" vertical="center"/>
    </xf>
    <xf numFmtId="0" fontId="39" fillId="4" borderId="0" xfId="8" applyAlignment="1">
      <alignment horizontal="left" vertical="center"/>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9"/>
      <tableStyleElement type="headerRow" dxfId="98"/>
      <tableStyleElement type="totalRow" dxfId="97"/>
      <tableStyleElement type="firstColumn" dxfId="96"/>
      <tableStyleElement type="firstRowStripe" dxfId="95"/>
      <tableStyleElement type="secondRowStripe" dxfId="94"/>
    </tableStyle>
    <tableStyle name="Equation table" pivot="0" count="6" xr9:uid="{B247698E-E41D-4CCD-AA0A-C14817E9DE65}">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5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50"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9"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8"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47"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46"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45"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44"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43"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4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41"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40"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9"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8"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37"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36" dataCellStyle="Content normal">
  <autoFilter ref="D78:E82" xr:uid="{E34928EB-73E5-43B2-830B-089F30DA4EF0}">
    <filterColumn colId="0" hiddenButton="1"/>
    <filterColumn colId="1" hiddenButton="1"/>
  </autoFilter>
  <tableColumns count="2">
    <tableColumn id="1" xr3:uid="{CAC8EB28-568F-4E9F-8E36-EBDFF74A58D3}" name="Class" dataDxfId="35"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34"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33"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32"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31"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30"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30D395-B2AF-4F88-B97C-DE95B99F926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EB22F7-C267-4CE1-8DE3-D501D8FD9769}" name="State/Territory">
      <calculatedColumnFormula array="1">Common_InputFunctions.Utility_DisplayArrayInTable(Common_SourceData.Common_SourceData_AustralianStatesTerritories_Data(),Table_AustralianStates[[#Headers],[State/Territory]],0)</calculatedColumnFormula>
    </tableColumn>
    <tableColumn id="2" xr3:uid="{3E7E6B4F-0FF7-4ACC-BF65-96978D31B143}" name="Common Name">
      <calculatedColumnFormula array="1">Common_InputFunctions.Utility_DisplayArrayInTable(Common_SourceData.Common_SourceData_AustralianStatesTerritories_Data(),Table_AustralianStates[[#Headers],[State/Territory]],0)</calculatedColumnFormula>
    </tableColumn>
    <tableColumn id="3" xr3:uid="{B2EE3B45-C241-459F-9566-445355EBC8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639CB1-BD3D-4DA3-BAE7-DFC84F0C4B48}" name="Table_WASA4Areas" displayName="Table_WASA4Areas" ref="D20:D30" totalsRowShown="0">
  <autoFilter ref="D20:D30" xr:uid="{5FA81339-C6C8-4D36-BEEA-6C4AEDD9E676}">
    <filterColumn colId="0" hiddenButton="1"/>
  </autoFilter>
  <tableColumns count="1">
    <tableColumn id="1" xr3:uid="{E8AFCB9C-A30F-4FE6-A4A7-41E397F970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AC7A87D-1930-45BF-ABE9-94783253DD74}" name="Table_GWPData" displayName="Table_GWPData" ref="D36:E43" totalsRowShown="0">
  <autoFilter ref="D36:E43" xr:uid="{B8E87A66-3E41-4AD3-925D-01EE21B43D7A}">
    <filterColumn colId="0" hiddenButton="1"/>
    <filterColumn colId="1" hiddenButton="1"/>
  </autoFilter>
  <tableColumns count="2">
    <tableColumn id="1" xr3:uid="{668A866D-48C4-4A71-8A0F-3EA241654C7B}" name="Gas">
      <calculatedColumnFormula array="1">Common_InputFunctions.Utility_DisplayArrayInTable(Common_SourceData.Common_SourceData_GWP_Data(), Table_GWPData[[#Headers],[Gas]], 0)</calculatedColumnFormula>
    </tableColumn>
    <tableColumn id="2" xr3:uid="{B0ECE209-008B-40CC-87BB-D49DA377350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0054BE-B8BA-41CA-8EE5-85F1DB653FA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376ED06-CC16-4820-B05D-EF9B4331D65C}" name="Gas">
      <calculatedColumnFormula array="1">Common_InputFunctions.Utility_DisplayArrayInTable(Common_SourceData.Common_SourceData_ConvertGasElementalToMolecular_Data(),Table_GasToMolecularConversionFactor[[#Headers],[Gas]], 0)</calculatedColumnFormula>
    </tableColumn>
    <tableColumn id="5" xr3:uid="{5C57698D-5C76-4367-AE49-06EFAB758B66}" name="Conversion factor">
      <calculatedColumnFormula array="1">Common_InputFunctions.Utility_DisplayArrayInTable(Common_SourceData.Common_SourceData_ConvertGasElementalToMolecular_Data(),Table_GasToMolecularConversionFactor[[#Headers],[Gas]], 0)</calculatedColumnFormula>
    </tableColumn>
    <tableColumn id="2" xr3:uid="{52146489-DBA8-4D82-A0A8-84D6A1BCB07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1BC42A-59D7-41F1-B4BF-5A86980C6B6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BA59B1-6BE6-4293-AAA6-06B39DCCBA7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1D4FA69-2B57-46EA-B734-556FCF8F73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24CD4-7C55-484E-8ED0-6AC590F0CE4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9C95CB0-B820-44C9-9D2E-EB985EA9A9BF}" name="MA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3" xr3:uid="{CA4BC1FB-208A-4F03-9A09-CEC1804DA51A}" name="MA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4" xr3:uid="{37B11CA7-1F1B-4440-99B3-424435740A5F}" name="Frost days per year"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5" xr3:uid="{5CE4B34E-3E57-4552-BD2C-77FE796D1F64}" name="Elevation"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6" xr3:uid="{A06FB17F-1BAC-4019-BB7C-55DD6224C6E4}" name="MAP:PET"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7" xr3:uid="{75315DA5-91BC-4D1E-A4AC-0B572850A48D}" name="Min temp"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8" xr3:uid="{BF2B7FD0-871C-4007-BE48-3835CED06964}" name="Max temp"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9" xr3:uid="{648EBBD9-D81D-4B7D-81E5-DACD53C5DA1A}" name="Min rainfall"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0" xr3:uid="{6EBCB1A4-B6AE-4E4F-AB11-013FE2E8547F}" name="Max rainfall"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1" xr3:uid="{90D940B0-7078-4A37-BAD8-7B36C7EBB23E}" name="Min frost days"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5" xr3:uid="{E76CC294-5E52-4D79-BB8E-709561028862}" name="Max frost days"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2" xr3:uid="{78084DEC-682B-4761-8E3F-C6E12D503219}" name="Min 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6" xr3:uid="{E46207CB-40CE-4781-B410-440974811038}" name="Max elevation"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3" xr3:uid="{6B19ECEE-2AF1-4D90-BC74-7957F9D4923B}" name="Min MAP:PET"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7" xr3:uid="{2FD96195-2523-457A-8A39-B0A0701D062F}" name="Max MAP:PET" totalsRowDxfId="7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85B1C-1DC8-4AD6-9F6F-D57A6C6297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3A3EFDB-3061-4C12-B73F-421CDFFEB9C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C425BC-BFDE-4235-B04C-2B822AFEA2B9}" name="Wet or Dry Zone" totalsRowDxfId="7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F553CF-7AB5-4CD3-8222-EBD257B39F0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78FB152-378D-4C66-B3A0-82E008436147}" name="Temperature Zone">
      <calculatedColumnFormula array="1">Common_InputFunctions.Utility_DisplayArrayInTable(Common_SourceData.Common_SourceData_TemperatureZones_Data(),Table_SourceData_TemperatureZones[[#Headers],[Temperature Zone]],0)</calculatedColumnFormula>
    </tableColumn>
    <tableColumn id="2" xr3:uid="{1D2379BA-E383-493D-BD88-1DC6EF3AE486}" name="MAT">
      <calculatedColumnFormula array="1">Common_InputFunctions.Utility_DisplayArrayInTable(Common_SourceData.Common_SourceData_TemperatureZones_Data(),Table_SourceData_TemperatureZones[[#Headers],[Temperature Zone]],0)</calculatedColumnFormula>
    </tableColumn>
    <tableColumn id="3" xr3:uid="{0BABA005-DDFA-4580-8243-57F554035F49}" name="Min MAT">
      <calculatedColumnFormula array="1">Common_InputFunctions.Utility_DisplayArrayInTable(Common_SourceData.Common_SourceData_TemperatureZones_Data(),Table_SourceData_TemperatureZones[[#Headers],[Temperature Zone]],0)</calculatedColumnFormula>
    </tableColumn>
    <tableColumn id="4" xr3:uid="{E934D62D-D647-4838-A88C-7609BD91ACD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F9B3CE-6F62-4BF1-A3EC-9034EDC5C6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FA514A2-1A27-4F58-8C75-8E0436FCD5D9}" name="Rainfall Zone">
      <calculatedColumnFormula array="1">Common_InputFunctions.Utility_DisplayArrayInTable(Common_SourceData.Common_SourceData_RainfallZones_Data(),Table_SourceData_RainfallZones[[#Headers],[Rainfall Zone]],0)</calculatedColumnFormula>
    </tableColumn>
    <tableColumn id="2" xr3:uid="{1367A51C-968F-4CD8-8DAA-991FF44968D8}" name="Annual rainfall">
      <calculatedColumnFormula array="1">Common_InputFunctions.Utility_DisplayArrayInTable(Common_SourceData.Common_SourceData_RainfallZones_Data(),Table_SourceData_RainfallZones[[#Headers],[Rainfall Zone]],0)</calculatedColumnFormula>
    </tableColumn>
    <tableColumn id="3" xr3:uid="{D512A07E-A1AB-424D-899C-63339AAB4513}" name="Min rainfall">
      <calculatedColumnFormula array="1">Common_InputFunctions.Utility_DisplayArrayInTable(Common_SourceData.Common_SourceData_RainfallZones_Data(),Table_SourceData_RainfallZones[[#Headers],[Rainfall Zone]],0)</calculatedColumnFormula>
    </tableColumn>
    <tableColumn id="4" xr3:uid="{C6D3D852-7B51-4E30-814E-A8A851ED93F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F5FAAFC-790B-4C2E-9AF2-89DAAE9083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8D4E716-32D9-4EE5-BBC4-EA46071795D2}" name="Leaching Zone">
      <calculatedColumnFormula array="1">Common_InputFunctions.Utility_DisplayArrayInTable(Common_SourceData.Common_SourceData_LeachingZones_Data(), Table_SourceData_LeachingZones[[#Headers],[Leaching Zone]], 0)</calculatedColumnFormula>
    </tableColumn>
    <tableColumn id="2" xr3:uid="{28E3CE54-1ED9-4FF1-8814-D5109F29FB8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B473B6-BD4F-43BE-BF13-78CDF9AFBF1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5DE2724-9CC3-4046-B515-757503AF0CB0}" name="Data source">
      <calculatedColumnFormula array="1">Common_InputFunctions.Utility_DisplayArrayInTable(Common_SourceData.Common_SourceData_DataScores_Scope3_Data(), Table_SourceData_DataScores_Scope3[[#Headers],[Data source]], 0)</calculatedColumnFormula>
    </tableColumn>
    <tableColumn id="2" xr3:uid="{53E63F49-BD85-4E0B-811D-B9BDFCCE30B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06DF60B-FC47-444A-B1F9-1BBDAE23DC6F}" name="Table_SourceData_FracWET" displayName="Table_SourceData_FracWET" ref="D134:E136" totalsRowShown="0">
  <autoFilter ref="D134:E136" xr:uid="{308E99BE-FE1F-47A4-B2CA-97217277C4E9}">
    <filterColumn colId="0" hiddenButton="1"/>
    <filterColumn colId="1" hiddenButton="1"/>
  </autoFilter>
  <tableColumns count="2">
    <tableColumn id="1" xr3:uid="{CF6B2669-8404-4388-9293-7D0291A0DD6A}" name="Is in leaching zone">
      <calculatedColumnFormula array="1">Common_InputFunctions.Utility_DisplayArrayInTable(Common_SourceData.Common_SourceData_FracWET_Data(),Table_SourceData_FracWET[[#Headers],[Is in leaching zone]],0)</calculatedColumnFormula>
    </tableColumn>
    <tableColumn id="2" xr3:uid="{49867A12-51AB-4CC7-99D6-95691E209A46}" name="FracWET" dataDxfId="7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84E775-B358-4E29-BE86-40AC038B294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408224-3AC6-4D7D-BB39-1D0AE05E12B2}" name="Production system j">
      <calculatedColumnFormula array="1">Common_InputFunctions.Utility_DisplayArrayInTable(Common_SourceData.Common_SourceData_EFN2O_Data(), Table_SourceData_Common_EFN2O[[#Headers],[Production system j]], 0)</calculatedColumnFormula>
    </tableColumn>
    <tableColumn id="2" xr3:uid="{E104A901-CDB6-468E-AB22-54C84DA218BC}" name="EFN2O">
      <calculatedColumnFormula array="1">Common_InputFunctions.Utility_DisplayArrayInTable(Common_SourceData.Common_SourceData_EFN2O_Data(), Table_SourceData_Common_EFN2O[[#Headers],[Production system j]], 0)</calculatedColumnFormula>
    </tableColumn>
    <tableColumn id="3" xr3:uid="{B85AE3D0-5E2B-4EC4-812C-EC71E6ED59FD}" name="Production system only">
      <calculatedColumnFormula array="1">Common_InputFunctions.Utility_DisplayArrayInTable(Common_SourceData.Common_SourceData_EFN2O_Data(), Table_SourceData_Common_EFN2O[[#Headers],[Production system j]], 0)</calculatedColumnFormula>
    </tableColumn>
    <tableColumn id="4" xr3:uid="{1A41612F-A097-4E6C-AB36-84E8A4FE771D}" name="Irrigation method">
      <calculatedColumnFormula array="1">Common_InputFunctions.Utility_DisplayArrayInTable(Common_SourceData.Common_SourceData_EFN2O_Data(), Table_SourceData_Common_EFN2O[[#Headers],[Production system j]], 0)</calculatedColumnFormula>
    </tableColumn>
    <tableColumn id="5" xr3:uid="{377C279A-05A6-4045-BD6F-88A560712D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08900C-5559-4FA4-981B-9504F865D6F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08A5CB5-7931-4C51-B38B-81E7962B027C}" name="Irrigation type i">
      <calculatedColumnFormula array="1">Common_InputFunctions.Utility_DisplayArrayInTable(Common_SourceData.Common_SourceData_FracWETIrrigation_Data(), Table_SourceData_FracWETIrrigation[[#Headers],[Irrigation type i]], 0)</calculatedColumnFormula>
    </tableColumn>
    <tableColumn id="2" xr3:uid="{1183318D-D123-4EF0-86BF-C1D9AA2F44DC}" name="FracWET" dataDxfId="7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20A30F-2942-44B9-B4A1-57A1407BA8A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86FB67E-0732-4B31-8666-0591756DF29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7C84F3-C1CD-4167-86E3-826096092554}" name="EFPRP" dataDxfId="6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1EC3521-D08C-4D2F-9AC0-C34420E7A9A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7628CC-91F5-42BD-9188-01AE9CC257FF}" name="Month">
      <calculatedColumnFormula array="1">Common_InputFunctions.Utility_DisplayArrayInTable(Common_SourceData.Common_SourceData_MonthsToSeasons_Data(), Table_SourceData_Common_MonthToSeason[[#Headers],[Month]], 0)</calculatedColumnFormula>
    </tableColumn>
    <tableColumn id="2" xr3:uid="{ABC66CBF-4321-410B-8837-8EBC7D907268}" name="Season" dataDxfId="6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A097B6-C362-4FFC-A596-9FBC14786B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8E0F5A-CC29-4978-A0CD-8BC942B5E4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1A40AC-A76F-4E91-92C6-C6386FAF0ED9}" name="MAT (ºC)"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BE44D81-4D89-4009-8F5D-65BB21C6D832}" name="Anaerobic lago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D5DCE5-016E-42A0-8F7B-01C77FF04386}" name="Digester / covered lagoons"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4747835-16CA-4C8F-B8FB-45948A8B406F}" name="Liquid systems"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8314FD9-9336-4EB3-91B2-78F134E4B937}" name="Daily spread"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834CF-EC48-4F27-A6D3-4D3D5A1627C2}" name="Composting (passive windrow)"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E925E3-E2A8-4700-A501-52C99CF4DDAC}" name="Solid storage"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2EB70D-F4F2-40D7-A804-81BFE3624ED4}" name="Pit storage"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31AEEE7-9C87-4642-8AA9-391CB01CD689}" name="Deep litter"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7A9418-A1D2-424A-88C7-FB3D7DDB6F6B}" name="Poultry manure with bedding"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84D5837-60A0-43EF-A0F2-E2BBF84179CD}" name="Poultry manure without bedding"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3543341-CAF2-4CD2-988D-EAE4E6F8E1C5}" name="Direct processing"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EE569D0-00DE-4987-B8F9-4C6A4721715D}" name="Direct application"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D26E186-89FA-430E-AE27-97AC63CCAF8D}" name="Pasture range and paddock"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4E26EF-500F-4850-B2C6-0BD36864135A}" name="MAT raw"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70F7D3D-DC80-48CF-9121-E9CEA526149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9D4CD8B-1BC2-4EC1-A9DB-641880C980C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6D75CE-6678-4017-8FAB-FBA05C133E62}" name="EFNi &amp; EFN2Oi" dataDxfId="5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'4.5.1.1-2 Methane'!E261</f>
        <v>2.3840372404992007</v>
      </c>
      <c r="F7" s="134">
        <f ca="1">'4.5.1.1-2 Methane'!O261</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47" zoomScale="85" zoomScaleNormal="85" workbookViewId="0">
      <selection activeCell="J66" sqref="J66:M7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149"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149"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149"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149"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149"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149"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50"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50"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50"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E205:G205 I30:J30 I35:J35 I41:J41 I47:J47 I53:J53 I58:J58 E43 E37">
    <cfRule type="cellIs" dxfId="29" priority="79" operator="lessThan">
      <formula>0</formula>
    </cfRule>
  </conditionalFormatting>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74:J78">
    <cfRule type="cellIs" dxfId="16" priority="6" operator="lessThan">
      <formula>0</formula>
    </cfRule>
  </conditionalFormatting>
  <conditionalFormatting sqref="I82:J85">
    <cfRule type="cellIs" dxfId="15" priority="5" operator="lessThan">
      <formula>0</formula>
    </cfRule>
  </conditionalFormatting>
  <conditionalFormatting sqref="I89:J92">
    <cfRule type="cellIs" dxfId="14" priority="4" operator="lessThan">
      <formula>0</formula>
    </cfRule>
  </conditionalFormatting>
  <conditionalFormatting sqref="I96:J99">
    <cfRule type="cellIs" dxfId="13" priority="3" operator="lessThan">
      <formula>0</formula>
    </cfRule>
  </conditionalFormatting>
  <conditionalFormatting sqref="I103:J107">
    <cfRule type="cellIs" dxfId="12" priority="1" operator="lessThan">
      <formula>0</formula>
    </cfRule>
  </conditionalFormatting>
  <conditionalFormatting sqref="K147">
    <cfRule type="cellIs" dxfId="11" priority="24" operator="lessThan">
      <formula>0</formula>
    </cfRule>
  </conditionalFormatting>
  <conditionalFormatting sqref="M119">
    <cfRule type="cellIs" dxfId="10"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abSelected="1"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'Input - Swine'!$D$30</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'Input - Swine'!$D$35</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'Input - Swine'!$D$41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'Input - Swine'!$D$47</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'Input - Swine'!$D$53</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'Input - Swine'!$D$30</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'Input - Swine'!$D$30</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'Input - Swine'!$D$35</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'Input - Swine'!$D$35</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'Input - Swine'!$D$41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'Input - Swine'!$D$41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'Input - Swine'!$D$47</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'Input - Swine'!$D$47</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'Input - Swine'!$D$53</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'Input - Swine'!$D$53</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'Input - Swine'!$D$30</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'Input - Swine'!$D$30</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'Input - Swine'!$D$35</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'Input - Swine'!$D$35</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'Input - Swine'!$D$41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'Input - Swine'!$D$41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'Input - Swine'!$D$47</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'Input - Swine'!$D$47</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'Input - Swine'!$D$53</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'Input - Swine'!$D$53</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'Input - Swine'!$D$58</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'Input - Swine'!$D$30</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'Input - Swine'!$D$35</f>
        <v>Drylot (feed pad)</v>
      </c>
      <c r="E94" s="52" cm="1">
        <f t="array" ref="E94">Common_InputFunctions.Utility_LookupValueInTableNumber(D94,Table_SourceData_SwineVSL[MMS],Table_SourceData_SwineVSL[VSL])</f>
        <v>0</v>
      </c>
      <c r="F94" s="2"/>
    </row>
    <row r="95" spans="4:18" ht="20.100000000000001" customHeight="1" x14ac:dyDescent="0.25">
      <c r="D95" s="57" t="str">
        <f>'Input - Swine'!$D$41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'Input - Swine'!$D$47</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'Input - Swine'!$D$53</f>
        <v>Pit storage</v>
      </c>
      <c r="E97" s="52" cm="1">
        <f t="array" ref="E97">Common_InputFunctions.Utility_LookupValueInTableNumber(D97,Table_SourceData_SwineVSL[MMS],Table_SourceData_SwineVSL[VSL])</f>
        <v>0</v>
      </c>
      <c r="F97" s="2"/>
    </row>
    <row r="98" spans="1:21" ht="20.100000000000001" customHeight="1" x14ac:dyDescent="0.25">
      <c r="D98" s="57" t="str">
        <f>'Input - Swine'!$D$58</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'Input - Swine'!$D$30</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'Input - Swine'!$D$30</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'Input - Swine'!$D$35</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'Input - Swine'!$D$35</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'Input - Swine'!$D$41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'Input - Swine'!$D$41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'Input - Swine'!$D$47</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'Input - Swine'!$D$47</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'Input - Swine'!$D$53</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'Input - Swine'!$D$53</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'Constants - Swine'!$E$21</f>
        <v>0.19</v>
      </c>
      <c r="N122" s="57" t="str">
        <v>BO</v>
      </c>
      <c r="O122" s="58" t="str">
        <v>emissions potential</v>
      </c>
      <c r="P122" s="59"/>
      <c r="Q122" s="57" t="str">
        <v>m3 CH4/kg VS</v>
      </c>
      <c r="R122" s="135" t="str">
        <v>Constant</v>
      </c>
      <c r="S122" s="57">
        <f>'Constants - Swine'!$E$21</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'Constants - Common'!$D$175</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'Input - Site'!$E$21</f>
        <v>Western Australia</v>
      </c>
      <c r="N126" s="57" t="str">
        <v>MAT</v>
      </c>
      <c r="O126" s="58" t="str">
        <v>Mean annual temperature</v>
      </c>
      <c r="P126" s="59"/>
      <c r="Q126" s="57" t="str">
        <v>°C</v>
      </c>
      <c r="R126" s="136" t="str">
        <v>Input</v>
      </c>
      <c r="S126" s="57">
        <f>'Input - Site'!$E$25</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'Input - Swine'!$D$30</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'Input - Swine'!$D$35</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'Input - Swine'!$D$41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'Input - Swine'!$D$47</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'Input - Swine'!$D$53</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'Input - Swine'!$D$30</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'Input - Swine'!$D$30</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'Input - Swine'!$D$35</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'Input - Swine'!$D$35</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'Input - Swine'!$D$41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'Input - Swine'!$D$41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'Input - Swine'!$D$47</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'Input - Swine'!$D$47</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'Input - Swine'!$D$53</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'Input - Swine'!$D$53</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'Input - Swine'!$D$30</f>
        <v>Anaerobic lagoon</v>
      </c>
      <c r="E165" s="57" t="str">
        <f>'Input - Swine'!$D$67</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'Input - Swine'!$D$30</f>
        <v>Anaerobic lagoon</v>
      </c>
      <c r="O165" s="57" t="str">
        <f>'Input - Swine'!$D$67</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'Input - Swine'!$D$68</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'Input - Swine'!$D$68</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'Input - Swine'!$D$69</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'Input - Swine'!$D$69</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'Input - Swine'!$D$35</f>
        <v>Drylot (feed pad)</v>
      </c>
      <c r="E168" s="57" t="str">
        <f>'Input - Swine'!$D$74</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'Input - Swine'!$D$35</f>
        <v>Drylot (feed pad)</v>
      </c>
      <c r="O168" s="57" t="str">
        <f>'Input - Swine'!$D$74</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'Input - Swine'!$D$75</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'Input - Swine'!$D$75</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'Input - Swine'!$D$76</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'Input - Swine'!$D$76</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'Input - Swine'!$D$77</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'Input - Swine'!$D$77</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'Input - Swine'!$D$41</f>
        <v>Digester / covered lagoons</v>
      </c>
      <c r="E172" s="57" t="str">
        <f>'Input - Swine'!$D$82</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'Input - Swine'!$D$41</f>
        <v>Digester / covered lagoons</v>
      </c>
      <c r="O172" s="57" t="str">
        <f>'Input - Swine'!$D$82</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'Input - Swine'!$D$83</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'Input - Swine'!$D$83</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'Input - Swine'!$D$84</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'Input - Swine'!$D$84</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'Input - Swine'!$D$47</f>
        <v>Deep litter</v>
      </c>
      <c r="E175" s="57" t="str">
        <f>'Input - Swine'!$D$89</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'Input - Swine'!$D$47</f>
        <v>Deep litter</v>
      </c>
      <c r="O175" s="57" t="str">
        <f>'Input - Swine'!$D$89</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'Input - Swine'!$D$90</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'Input - Swine'!$D$90</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'Input - Swine'!$D$91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'Input - Swine'!$D$91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'Input - Swine'!$D$53</f>
        <v>Pit storage</v>
      </c>
      <c r="E178" s="57" t="str">
        <f>'Input - Swine'!$D$96</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'Input - Swine'!$D$53</f>
        <v>Pit storage</v>
      </c>
      <c r="O178" s="57" t="str">
        <f>'Input - Swine'!$D$96</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'Input - Swine'!$D$97</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'Input - Swine'!$D$97</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'Input - Swine'!$D$98</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'Input - Swine'!$D$98</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'Input - Swine'!$D$103</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'Input - Swine'!$D$103</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'Input - Swine'!$D$104</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'Input - Swine'!$D$104</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'Input - Swine'!$D$105</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'Input - Swine'!$D$105</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'Input - Swine'!$D$106</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'Input - Swine'!$D$106</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'Constants - Swine'!$E$21</f>
        <v>0.19</v>
      </c>
      <c r="J200" s="59"/>
    </row>
    <row r="201" spans="4:19" ht="20.100000000000001" customHeight="1" x14ac:dyDescent="0.25">
      <c r="D201" s="140" t="str">
        <v>rho</v>
      </c>
      <c r="E201" s="142" t="str">
        <v>density of methane</v>
      </c>
      <c r="F201" s="141"/>
      <c r="G201" s="140" t="str">
        <v>kg/m3</v>
      </c>
      <c r="H201" s="135" t="str">
        <v>Constant</v>
      </c>
      <c r="I201" s="140">
        <f>'Constants - Common'!$D$175</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'Input - Swine'!$D$30</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'Input - Swine'!$D$30</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'Input - Swine'!$D$35</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'Input - Swine'!$D$35</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'Input - Swine'!$D$41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'Input - Swine'!$D$41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'Input - Swine'!$D$47</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'Input - Swine'!$D$47</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'Input - Swine'!$D$53</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'Input - Swine'!$D$53</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'Input - Swine'!$D$30</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'Input - Swine'!$D$35</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'Input - Swine'!$D$41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'Input - Swine'!$D$47</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'Input - Swine'!$D$53</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'Input - Swine'!$D$30</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'Input - Swine'!$D$30</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'Input - Swine'!$D$35</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'Input - Swine'!$D$35</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'Input - Swine'!$D$41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'Input - Swine'!$D$41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'Input - Swine'!$D$47</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'Input - Swine'!$D$47</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'Input - Swine'!$D$53</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'Input - Swine'!$D$53</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'Input - Swine'!$D$30</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'Input - Swine'!$D$30</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'Input - Swine'!$D$35</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'Input - Swine'!$D$35</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'Input - Swine'!$D$41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'Input - Swine'!$D$41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'Input - Swine'!$D$47</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'Input - Swine'!$D$47</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'Input - Swine'!$D$53</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'Input - Swine'!$D$53</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'Input - Swine'!$D$58</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'Input - Swine'!$D$30</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'Input - Swine'!$D$30</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'Input - Swine'!$D$35</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'Input - Swine'!$D$35</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'Input - Swine'!$D$41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'Input - Swine'!$D$41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'Input - Swine'!$D$47</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'Input - Swine'!$D$47</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'Input - Swine'!$D$53</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'Input - Swine'!$D$53</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'Input - Swine'!$D$30</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'Input - Swine'!$D$35</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'Input - Swine'!$D$41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'Input - Swine'!$D$47</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'Input - Swine'!$D$53</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'Input - Swine'!$D$30</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'Input - Swine'!$D$35</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'Input - Swine'!$D$41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'Input - Swine'!$D$47</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'Input - Swine'!$D$53</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'Input - Swine'!$D$30</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'Input - Swine'!$D$30</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'Input - Swine'!$D$35</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'Input - Swine'!$D$35</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'Input - Swine'!$D$41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'Input - Swine'!$D$41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'Input - Swine'!$D$47</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'Input - Swine'!$D$47</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'Input - Swine'!$D$53</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'Input - Swine'!$D$53</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'Input - Swine'!$D$30</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'Input - Swine'!$D$35</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'Input - Swine'!$D$41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'Input - Swine'!$D$47</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'Input - Swine'!$D$53</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'Input - Swine'!$D$30</f>
        <v>Anaerobic lagoon</v>
      </c>
      <c r="E217" s="57" t="str">
        <f>'Input - Swine'!$D$67</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'Input - Swine'!$D$30</f>
        <v>Anaerobic lagoon</v>
      </c>
      <c r="O217" s="57" t="str">
        <f>'Input - Swine'!$D$67</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'Input - Swine'!$D$68</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'Input - Swine'!$D$68</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'Input - Swine'!$D$69</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'Input - Swine'!$D$69</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'Input - Swine'!$D$70</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'Input - Swine'!$D$70</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'Input - Swine'!$D$35</f>
        <v>Drylot (feed pad)</v>
      </c>
      <c r="E221" s="57" t="str">
        <f>'Input - Swine'!$D$74</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'Input - Swine'!$D$35</f>
        <v>Drylot (feed pad)</v>
      </c>
      <c r="O221" s="57" t="str">
        <f>'Input - Swine'!$D$74</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'Input - Swine'!$D$75</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'Input - Swine'!$D$75</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'Input - Swine'!$D$76</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'Input - Swine'!$D$76</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'Input - Swine'!$D$77</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'Input - Swine'!$D$77</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'Input - Swine'!$D$78</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'Input - Swine'!$D$78</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'Input - Swine'!$D$41</f>
        <v>Digester / covered lagoons</v>
      </c>
      <c r="E226" s="57" t="str">
        <f>'Input - Swine'!$D$82</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'Input - Swine'!$D$41</f>
        <v>Digester / covered lagoons</v>
      </c>
      <c r="O226" s="57" t="str">
        <f>'Input - Swine'!$D$82</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'Input - Swine'!$D$83</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'Input - Swine'!$D$83</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'Input - Swine'!$D$84</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'Input - Swine'!$D$84</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'Input - Swine'!$D$85</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'Input - Swine'!$D$85</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'Input - Swine'!$D$47</f>
        <v>Deep litter</v>
      </c>
      <c r="E230" s="57" t="str">
        <f>'Input - Swine'!$D$89</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'Input - Swine'!$D$47</f>
        <v>Deep litter</v>
      </c>
      <c r="O230" s="57" t="str">
        <f>'Input - Swine'!$D$89</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'Input - Swine'!$D$90</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'Input - Swine'!$D$90</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'Input - Swine'!$D$91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'Input - Swine'!$D$91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'Input - Swine'!$D$92</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'Input - Swine'!$D$92</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'Input - Swine'!$D$53</f>
        <v>Pit storage</v>
      </c>
      <c r="E234" s="57" t="str">
        <f>'Input - Swine'!$D$96</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'Input - Swine'!$D$53</f>
        <v>Pit storage</v>
      </c>
      <c r="O234" s="57" t="str">
        <f>'Input - Swine'!$D$96</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'Input - Swine'!$D$97</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'Input - Swine'!$D$97</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'Input - Swine'!$D$98</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'Input - Swine'!$D$98</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'Input - Swine'!$D$99</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'Input - Swine'!$D$99</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'Input - Swine'!$D$103</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'Input - Swine'!$D$103</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'Input - Swine'!$D$104</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'Input - Swine'!$D$104</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'Input - Swine'!$D$105</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'Input - Swine'!$D$105</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'Input - Swine'!$D$106</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'Input - Swine'!$D$106</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'Input - Swine'!$D$107</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'Input - Swine'!$D$107</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'Input - Swine'!$D$30</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'Input - Swine'!$D$30</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'Input - Swine'!$D$35</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'Input - Swine'!$D$35</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'Input - Swine'!$D$41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'Input - Swine'!$D$41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'Input - Swine'!$D$47</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'Input - Swine'!$D$47</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'Input - Swine'!$D$53</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'Input - Swine'!$D$53</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'Input - Swine'!$D$30</f>
        <v>Anaerobic lagoon</v>
      </c>
      <c r="E270" s="57" t="str">
        <f>'Input - Swine'!$D$67</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'Input - Swine'!$D$30</f>
        <v>Anaerobic lagoon</v>
      </c>
      <c r="O270" s="57" t="str">
        <f>'Input - Swine'!$D$67</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'Input - Swine'!$D$68</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'Input - Swine'!$D$68</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'Input - Swine'!$D$69</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'Input - Swine'!$D$69</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'Input - Swine'!$D$70</f>
        <v>Direct application</v>
      </c>
      <c r="F273" s="52" t="s">
        <v>172</v>
      </c>
      <c r="G273" s="52" t="s">
        <v>172</v>
      </c>
      <c r="H273" s="52" t="s">
        <v>172</v>
      </c>
      <c r="I273" s="52" t="s">
        <v>172</v>
      </c>
      <c r="J273" s="2"/>
      <c r="N273" s="57"/>
      <c r="O273" s="57" t="str">
        <f>'Input - Swine'!$D$70</f>
        <v>Direct application</v>
      </c>
      <c r="P273" s="52" t="s">
        <v>172</v>
      </c>
      <c r="Q273" s="52" t="s">
        <v>172</v>
      </c>
      <c r="R273" s="52" t="s">
        <v>172</v>
      </c>
      <c r="S273" s="52" t="s">
        <v>172</v>
      </c>
      <c r="T273" s="2"/>
    </row>
    <row r="274" spans="4:20" ht="20.100000000000001" customHeight="1" x14ac:dyDescent="0.25">
      <c r="D274" s="57" t="str">
        <f>'Input - Swine'!$D$35</f>
        <v>Drylot (feed pad)</v>
      </c>
      <c r="E274" s="57" t="str">
        <f>'Input - Swine'!$D$74</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'Input - Swine'!$D$35</f>
        <v>Drylot (feed pad)</v>
      </c>
      <c r="O274" s="57" t="str">
        <f>'Input - Swine'!$D$74</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'Input - Swine'!$D$75</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'Input - Swine'!$D$75</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'Input - Swine'!$D$76</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'Input - Swine'!$D$76</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'Input - Swine'!$D$77</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'Input - Swine'!$D$77</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'Input - Swine'!$D$78</f>
        <v>Direct application</v>
      </c>
      <c r="F278" s="52" t="s">
        <v>172</v>
      </c>
      <c r="G278" s="52" t="s">
        <v>172</v>
      </c>
      <c r="H278" s="52" t="s">
        <v>172</v>
      </c>
      <c r="I278" s="52" t="s">
        <v>172</v>
      </c>
      <c r="J278" s="2"/>
      <c r="N278" s="57"/>
      <c r="O278" s="57" t="str">
        <f>'Input - Swine'!$D$78</f>
        <v>Direct application</v>
      </c>
      <c r="P278" s="52" t="s">
        <v>172</v>
      </c>
      <c r="Q278" s="52" t="s">
        <v>172</v>
      </c>
      <c r="R278" s="52" t="s">
        <v>172</v>
      </c>
      <c r="S278" s="52" t="s">
        <v>172</v>
      </c>
      <c r="T278" s="2"/>
    </row>
    <row r="279" spans="4:20" ht="20.100000000000001" customHeight="1" x14ac:dyDescent="0.25">
      <c r="D279" s="57" t="str">
        <f>'Input - Swine'!$D$41</f>
        <v>Digester / covered lagoons</v>
      </c>
      <c r="E279" s="57" t="str">
        <f>'Input - Swine'!$D$82</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'Input - Swine'!$D$41</f>
        <v>Digester / covered lagoons</v>
      </c>
      <c r="O279" s="57" t="str">
        <f>'Input - Swine'!$D$82</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'Input - Swine'!$D$83</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'Input - Swine'!$D$83</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'Input - Swine'!$D$84</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'Input - Swine'!$D$84</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'Input - Swine'!$D$85</f>
        <v>Direct application</v>
      </c>
      <c r="F282" s="52" t="s">
        <v>172</v>
      </c>
      <c r="G282" s="52" t="s">
        <v>172</v>
      </c>
      <c r="H282" s="52" t="s">
        <v>172</v>
      </c>
      <c r="I282" s="52" t="s">
        <v>172</v>
      </c>
      <c r="J282" s="2"/>
      <c r="N282" s="57"/>
      <c r="O282" s="57" t="str">
        <f>'Input - Swine'!$D$85</f>
        <v>Direct application</v>
      </c>
      <c r="P282" s="52" t="s">
        <v>172</v>
      </c>
      <c r="Q282" s="52" t="s">
        <v>172</v>
      </c>
      <c r="R282" s="52" t="s">
        <v>172</v>
      </c>
      <c r="S282" s="52" t="s">
        <v>172</v>
      </c>
      <c r="T282" s="2"/>
    </row>
    <row r="283" spans="4:20" ht="20.100000000000001" customHeight="1" x14ac:dyDescent="0.25">
      <c r="D283" s="57" t="str">
        <f>'Input - Swine'!$D$47</f>
        <v>Deep litter</v>
      </c>
      <c r="E283" s="57" t="str">
        <f>'Input - Swine'!$D$89</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'Input - Swine'!$D$47</f>
        <v>Deep litter</v>
      </c>
      <c r="O283" s="57" t="str">
        <f>'Input - Swine'!$D$89</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'Input - Swine'!$D$90</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'Input - Swine'!$D$90</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'Input - Swine'!$D$91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'Input - Swine'!$D$91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'Input - Swine'!$D$92</f>
        <v>Direct application</v>
      </c>
      <c r="F286" s="52" t="s">
        <v>172</v>
      </c>
      <c r="G286" s="52" t="s">
        <v>172</v>
      </c>
      <c r="H286" s="52" t="s">
        <v>172</v>
      </c>
      <c r="I286" s="52" t="s">
        <v>172</v>
      </c>
      <c r="J286" s="2"/>
      <c r="N286" s="57"/>
      <c r="O286" s="57" t="str">
        <f>'Input - Swine'!$D$92</f>
        <v>Direct application</v>
      </c>
      <c r="P286" s="52" t="s">
        <v>172</v>
      </c>
      <c r="Q286" s="52" t="s">
        <v>172</v>
      </c>
      <c r="R286" s="52" t="s">
        <v>172</v>
      </c>
      <c r="S286" s="52" t="s">
        <v>172</v>
      </c>
      <c r="T286" s="2"/>
    </row>
    <row r="287" spans="4:20" ht="20.100000000000001" customHeight="1" x14ac:dyDescent="0.25">
      <c r="D287" s="57" t="str">
        <f>'Input - Swine'!$D$53</f>
        <v>Pit storage</v>
      </c>
      <c r="E287" s="57" t="str">
        <f>'Input - Swine'!$D$96</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'Input - Swine'!$D$53</f>
        <v>Pit storage</v>
      </c>
      <c r="O287" s="57" t="str">
        <f>'Input - Swine'!$D$96</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'Input - Swine'!$D$97</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'Input - Swine'!$D$97</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'Input - Swine'!$D$98</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'Input - Swine'!$D$98</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'Input - Swine'!$D$99</f>
        <v>Direct application</v>
      </c>
      <c r="F290" s="52" t="s">
        <v>172</v>
      </c>
      <c r="G290" s="52" t="s">
        <v>172</v>
      </c>
      <c r="H290" s="52" t="s">
        <v>172</v>
      </c>
      <c r="I290" s="52" t="s">
        <v>172</v>
      </c>
      <c r="J290" s="2"/>
      <c r="N290" s="57"/>
      <c r="O290" s="57" t="str">
        <f>'Input - Swine'!$D$99</f>
        <v>Direct application</v>
      </c>
      <c r="P290" s="52" t="s">
        <v>172</v>
      </c>
      <c r="Q290" s="52" t="s">
        <v>172</v>
      </c>
      <c r="R290" s="52" t="s">
        <v>172</v>
      </c>
      <c r="S290" s="52" t="s">
        <v>172</v>
      </c>
      <c r="T290" s="2"/>
    </row>
    <row r="291" spans="1:20" ht="20.100000000000001" customHeight="1" x14ac:dyDescent="0.25">
      <c r="D291" s="57" t="s">
        <v>353</v>
      </c>
      <c r="E291" s="57" t="str">
        <f>'Input - Swine'!$D$103</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'Input - Swine'!$D$103</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'Input - Swine'!$D$104</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'Input - Swine'!$D$104</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'Input - Swine'!$D$105</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'Input - Swine'!$D$105</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'Input - Swine'!$D$106</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'Input - Swine'!$D$106</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'Input - Swine'!$D$107</f>
        <v>Direct application</v>
      </c>
      <c r="F295" s="52" t="s">
        <v>172</v>
      </c>
      <c r="G295" s="52" t="s">
        <v>172</v>
      </c>
      <c r="H295" s="52" t="s">
        <v>172</v>
      </c>
      <c r="I295" s="52" t="s">
        <v>172</v>
      </c>
      <c r="J295" s="2"/>
      <c r="N295" s="57"/>
      <c r="O295" s="57" t="str">
        <f>'Input - Swine'!$D$107</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'Input - Swine'!$D$30</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'Input - Swine'!$D$30</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'Input - Swine'!$D$35</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'Input - Swine'!$D$35</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'Input - Swine'!$D$41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'Input - Swine'!$D$41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'Input - Swine'!$D$47</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'Input - Swine'!$D$47</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'Input - Swine'!$D$53</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'Input - Swine'!$D$53</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'Input - Swine'!$D$30</f>
        <v>Anaerobic lagoon</v>
      </c>
      <c r="E32" s="57" t="str">
        <f>'Input - Swine'!$D$67</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'Input - Swine'!$D$30</f>
        <v>Anaerobic lagoon</v>
      </c>
      <c r="O32" s="57" t="str">
        <f>'Input - Swine'!$D$67</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'Input - Swine'!$D$68</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'Input - Swine'!$D$68</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'Input - Swine'!$D$69</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'Input - Swine'!$D$69</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'Input - Swine'!$D$70</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'Input - Swine'!$D$70</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'Input - Swine'!$D$35</f>
        <v>Drylot (feed pad)</v>
      </c>
      <c r="E36" s="57" t="str">
        <f>'Input - Swine'!$D$74</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'Input - Swine'!$D$35</f>
        <v>Drylot (feed pad)</v>
      </c>
      <c r="O36" s="57" t="str">
        <f>'Input - Swine'!$D$74</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'Input - Swine'!$D$75</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'Input - Swine'!$D$75</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'Input - Swine'!$D$76</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'Input - Swine'!$D$76</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'Input - Swine'!$D$77</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'Input - Swine'!$D$77</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'Input - Swine'!$D$78</f>
        <v>Direct application</v>
      </c>
      <c r="F40" s="52">
        <f ca="1">'4.5.1.3-4 Direct N2O'!F225</f>
        <v>27.401279999999986</v>
      </c>
      <c r="G40" s="52">
        <f ca="1">'4.5.1.3-4 Direct N2O'!G225</f>
        <v>0</v>
      </c>
      <c r="H40" s="52">
        <f ca="1">'4.5.1.3-4 Direct N2O'!H225</f>
        <v>0</v>
      </c>
      <c r="I40" s="52">
        <f ca="1">'4.5.1.3-4 Direct N2O'!I225</f>
        <v>0</v>
      </c>
      <c r="J40" s="2"/>
      <c r="N40" s="57"/>
      <c r="O40" s="57" t="str">
        <f>'Input - Swine'!$D$78</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'Input - Swine'!$D$41</f>
        <v>Digester / covered lagoons</v>
      </c>
      <c r="E41" s="57" t="str">
        <f>'Input - Swine'!$D$82</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'Input - Swine'!$D$41</f>
        <v>Digester / covered lagoons</v>
      </c>
      <c r="O41" s="57" t="str">
        <f>'Input - Swine'!$D$82</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'Input - Swine'!$D$83</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'Input - Swine'!$D$83</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'Input - Swine'!$D$84</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'Input - Swine'!$D$84</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'Input - Swine'!$D$85</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'Input - Swine'!$D$85</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'Input - Swine'!$D$47</f>
        <v>Deep litter</v>
      </c>
      <c r="E45" s="57" t="str">
        <f>'Input - Swine'!$D$89</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'Input - Swine'!$D$47</f>
        <v>Deep litter</v>
      </c>
      <c r="O45" s="57" t="str">
        <f>'Input - Swine'!$D$89</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'Input - Swine'!$D$90</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'Input - Swine'!$D$90</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'Input - Swine'!$D$91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'Input - Swine'!$D$91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'Input - Swine'!$D$92</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'Input - Swine'!$D$92</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'Input - Swine'!$D$53</f>
        <v>Pit storage</v>
      </c>
      <c r="E49" s="57" t="str">
        <f>'Input - Swine'!$D$96</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'Input - Swine'!$D$53</f>
        <v>Pit storage</v>
      </c>
      <c r="O49" s="57" t="str">
        <f>'Input - Swine'!$D$96</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'Input - Swine'!$D$97</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'Input - Swine'!$D$97</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'Input - Swine'!$D$98</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'Input - Swine'!$D$98</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'Input - Swine'!$D$99</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'Input - Swine'!$D$99</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'Input - Swine'!$D$103</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'Input - Swine'!$D$103</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'Input - Swine'!$D$104</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'Input - Swine'!$D$104</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'Input - Swine'!$D$105</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'Input - Swine'!$D$105</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'Input - Swine'!$D$106</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'Input - Swine'!$D$106</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'Input - Swine'!$D$107</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'Input - Swine'!$D$107</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'Input - Swine'!$D$30</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'Input - Swine'!$D$35</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'Input - Swine'!$D$41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'Input - Swine'!$D$47</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'Input - Swine'!$D$53</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'Input - Swine'!$D$30</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'Input - Swine'!$D$30</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'Input - Swine'!$D$35</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'Input - Swine'!$D$35</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'Input - Swine'!$D$41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'Input - Swine'!$D$41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'Input - Swine'!$D$47</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'Input - Swine'!$D$47</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'Input - Swine'!$D$53</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'Input - Swine'!$D$53</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'Input - Swine'!$D$30</f>
        <v>Anaerobic lagoon</v>
      </c>
      <c r="E79" s="57" t="str">
        <f>'Input - Swine'!$D$67</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'Input - Swine'!$D$30</f>
        <v>Anaerobic lagoon</v>
      </c>
      <c r="O79" s="57" t="str">
        <f>'Input - Swine'!$D$67</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'Input - Swine'!$D$68</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'Input - Swine'!$D$68</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'Input - Swine'!$D$69</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'Input - Swine'!$D$69</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'Input - Swine'!$D$70</f>
        <v>Direct application</v>
      </c>
      <c r="F82" s="52" t="s">
        <v>172</v>
      </c>
      <c r="G82" s="52" t="s">
        <v>172</v>
      </c>
      <c r="H82" s="52" t="s">
        <v>172</v>
      </c>
      <c r="I82" s="52" t="s">
        <v>172</v>
      </c>
      <c r="N82" s="57"/>
      <c r="O82" s="57" t="str">
        <f>'Input - Swine'!$D$70</f>
        <v>Direct application</v>
      </c>
      <c r="P82" s="52" t="s">
        <v>172</v>
      </c>
      <c r="Q82" s="52" t="s">
        <v>172</v>
      </c>
      <c r="R82" s="52" t="s">
        <v>172</v>
      </c>
      <c r="S82" s="52" t="s">
        <v>172</v>
      </c>
      <c r="T82" s="2"/>
    </row>
    <row r="83" spans="4:20" ht="20.100000000000001" customHeight="1" x14ac:dyDescent="0.25">
      <c r="D83" s="57" t="str">
        <f>'Input - Swine'!$D$35</f>
        <v>Drylot (feed pad)</v>
      </c>
      <c r="E83" s="57" t="str">
        <f>'Input - Swine'!$D$74</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'Input - Swine'!$D$35</f>
        <v>Drylot (feed pad)</v>
      </c>
      <c r="O83" s="57" t="str">
        <f>'Input - Swine'!$D$74</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'Input - Swine'!$D$75</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'Input - Swine'!$D$75</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'Input - Swine'!$D$76</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'Input - Swine'!$D$76</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'Input - Swine'!$D$77</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'Input - Swine'!$D$77</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'Input - Swine'!$D$78</f>
        <v>Direct application</v>
      </c>
      <c r="F87" s="52" t="s">
        <v>172</v>
      </c>
      <c r="G87" s="52" t="s">
        <v>172</v>
      </c>
      <c r="H87" s="52" t="s">
        <v>172</v>
      </c>
      <c r="I87" s="52" t="s">
        <v>172</v>
      </c>
      <c r="N87" s="57"/>
      <c r="O87" s="57" t="str">
        <f>'Input - Swine'!$D$78</f>
        <v>Direct application</v>
      </c>
      <c r="P87" s="52" t="s">
        <v>172</v>
      </c>
      <c r="Q87" s="52" t="s">
        <v>172</v>
      </c>
      <c r="R87" s="52" t="s">
        <v>172</v>
      </c>
      <c r="S87" s="52" t="s">
        <v>172</v>
      </c>
      <c r="T87" s="2"/>
    </row>
    <row r="88" spans="4:20" ht="20.100000000000001" customHeight="1" x14ac:dyDescent="0.25">
      <c r="D88" s="57" t="str">
        <f>'Input - Swine'!$D$41</f>
        <v>Digester / covered lagoons</v>
      </c>
      <c r="E88" s="57" t="str">
        <f>'Input - Swine'!$D$82</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'Input - Swine'!$D$41</f>
        <v>Digester / covered lagoons</v>
      </c>
      <c r="O88" s="57" t="str">
        <f>'Input - Swine'!$D$82</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'Input - Swine'!$D$83</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'Input - Swine'!$D$83</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'Input - Swine'!$D$84</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'Input - Swine'!$D$84</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'Input - Swine'!$D$85</f>
        <v>Direct application</v>
      </c>
      <c r="F91" s="52" t="s">
        <v>172</v>
      </c>
      <c r="G91" s="52" t="s">
        <v>172</v>
      </c>
      <c r="H91" s="52" t="s">
        <v>172</v>
      </c>
      <c r="I91" s="52" t="s">
        <v>172</v>
      </c>
      <c r="N91" s="57"/>
      <c r="O91" s="57" t="str">
        <f>'Input - Swine'!$D$85</f>
        <v>Direct application</v>
      </c>
      <c r="P91" s="52" t="s">
        <v>172</v>
      </c>
      <c r="Q91" s="52" t="s">
        <v>172</v>
      </c>
      <c r="R91" s="52" t="s">
        <v>172</v>
      </c>
      <c r="S91" s="52" t="s">
        <v>172</v>
      </c>
      <c r="T91" s="2"/>
    </row>
    <row r="92" spans="4:20" ht="20.100000000000001" customHeight="1" x14ac:dyDescent="0.25">
      <c r="D92" s="57" t="str">
        <f>'Input - Swine'!$D$47</f>
        <v>Deep litter</v>
      </c>
      <c r="E92" s="57" t="str">
        <f>'Input - Swine'!$D$89</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'Input - Swine'!$D$47</f>
        <v>Deep litter</v>
      </c>
      <c r="O92" s="57" t="str">
        <f>'Input - Swine'!$D$89</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'Input - Swine'!$D$90</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'Input - Swine'!$D$90</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'Input - Swine'!$D$91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'Input - Swine'!$D$91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'Input - Swine'!$D$92</f>
        <v>Direct application</v>
      </c>
      <c r="F95" s="52" t="s">
        <v>172</v>
      </c>
      <c r="G95" s="52" t="s">
        <v>172</v>
      </c>
      <c r="H95" s="52" t="s">
        <v>172</v>
      </c>
      <c r="I95" s="52" t="s">
        <v>172</v>
      </c>
      <c r="N95" s="57"/>
      <c r="O95" s="57" t="str">
        <f>'Input - Swine'!$D$92</f>
        <v>Direct application</v>
      </c>
      <c r="P95" s="52" t="s">
        <v>172</v>
      </c>
      <c r="Q95" s="52" t="s">
        <v>172</v>
      </c>
      <c r="R95" s="52" t="s">
        <v>172</v>
      </c>
      <c r="S95" s="52" t="s">
        <v>172</v>
      </c>
      <c r="T95" s="2"/>
    </row>
    <row r="96" spans="4:20" ht="20.100000000000001" customHeight="1" x14ac:dyDescent="0.25">
      <c r="D96" s="57" t="str">
        <f>'Input - Swine'!$D$53</f>
        <v>Pit storage</v>
      </c>
      <c r="E96" s="57" t="str">
        <f>'Input - Swine'!$D$96</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'Input - Swine'!$D$53</f>
        <v>Pit storage</v>
      </c>
      <c r="O96" s="57" t="str">
        <f>'Input - Swine'!$D$96</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'Input - Swine'!$D$97</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'Input - Swine'!$D$97</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'Input - Swine'!$D$98</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'Input - Swine'!$D$98</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'Input - Swine'!$D$99</f>
        <v>Direct application</v>
      </c>
      <c r="F99" s="52" t="s">
        <v>172</v>
      </c>
      <c r="G99" s="52" t="s">
        <v>172</v>
      </c>
      <c r="H99" s="52" t="s">
        <v>172</v>
      </c>
      <c r="I99" s="52" t="s">
        <v>172</v>
      </c>
      <c r="N99" s="57"/>
      <c r="O99" s="57" t="str">
        <f>'Input - Swine'!$D$99</f>
        <v>Direct application</v>
      </c>
      <c r="P99" s="52" t="s">
        <v>172</v>
      </c>
      <c r="Q99" s="52" t="s">
        <v>172</v>
      </c>
      <c r="R99" s="52" t="s">
        <v>172</v>
      </c>
      <c r="S99" s="52" t="s">
        <v>172</v>
      </c>
      <c r="T99" s="2"/>
    </row>
    <row r="100" spans="1:21" ht="20.100000000000001" customHeight="1" x14ac:dyDescent="0.25">
      <c r="D100" s="57" t="s">
        <v>353</v>
      </c>
      <c r="E100" s="57" t="str">
        <f>'Input - Swine'!$D$103</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'Input - Swine'!$D$103</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'Input - Swine'!$D$104</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'Input - Swine'!$D$104</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'Input - Swine'!$D$105</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'Input - Swine'!$D$105</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'Input - Swine'!$D$106</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'Input - Swine'!$D$106</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'Input - Swine'!$D$107</f>
        <v>Direct application</v>
      </c>
      <c r="F104" s="52" t="s">
        <v>172</v>
      </c>
      <c r="G104" s="52" t="s">
        <v>172</v>
      </c>
      <c r="H104" s="52" t="s">
        <v>172</v>
      </c>
      <c r="I104" s="52" t="s">
        <v>172</v>
      </c>
      <c r="N104" s="57"/>
      <c r="O104" s="57" t="str">
        <f>'Input - Swine'!$D$107</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'Constants - Swine'!$E$17</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'Input - Swine'!$D$35</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'Input - Swine'!$D$35</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'Input - Swine'!$D$35</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'Input - Swine'!$D$35</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'Input - Swine'!$D$35</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'Input - Swine'!$D$35</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'Input - Swine'!$D$30</f>
        <v>Anaerobic lagoon</v>
      </c>
      <c r="E22" s="57" t="str">
        <f>'Input - Swine'!$D$67</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'Input - Swine'!$D$30</f>
        <v>Anaerobic lagoon</v>
      </c>
      <c r="O22" s="57" t="str">
        <f>'Input - Swine'!$D$67</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'Input - Swine'!$D$68</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'Input - Swine'!$D$68</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'Input - Swine'!$D$69</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'Input - Swine'!$D$69</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'Input - Swine'!$D$70</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'Input - Swine'!$D$70</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'Input - Swine'!$D$35</f>
        <v>Drylot (feed pad)</v>
      </c>
      <c r="E26" s="57" t="str">
        <f>'Input - Swine'!$D$74</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'Input - Swine'!$D$35</f>
        <v>Drylot (feed pad)</v>
      </c>
      <c r="O26" s="57" t="str">
        <f>'Input - Swine'!$D$74</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'Input - Swine'!$D$75</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'Input - Swine'!$D$75</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'Input - Swine'!$D$76</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'Input - Swine'!$D$76</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'Input - Swine'!$D$77</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'Input - Swine'!$D$77</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'Input - Swine'!$D$78</f>
        <v>Direct application</v>
      </c>
      <c r="F30" s="52">
        <f ca="1">'4.5.1.3-4 Direct N2O'!F225</f>
        <v>27.401279999999986</v>
      </c>
      <c r="G30" s="52">
        <f ca="1">'4.5.1.3-4 Direct N2O'!G225</f>
        <v>0</v>
      </c>
      <c r="H30" s="52">
        <f ca="1">'4.5.1.3-4 Direct N2O'!H225</f>
        <v>0</v>
      </c>
      <c r="I30" s="52">
        <f ca="1">'4.5.1.3-4 Direct N2O'!I225</f>
        <v>0</v>
      </c>
      <c r="J30" s="2"/>
      <c r="N30" s="57"/>
      <c r="O30" s="57" t="str">
        <f>'Input - Swine'!$D$78</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'Input - Swine'!$D$41</f>
        <v>Digester / covered lagoons</v>
      </c>
      <c r="E31" s="57" t="str">
        <f>'Input - Swine'!$D$82</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'Input - Swine'!$D$41</f>
        <v>Digester / covered lagoons</v>
      </c>
      <c r="O31" s="57" t="str">
        <f>'Input - Swine'!$D$82</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'Input - Swine'!$D$83</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'Input - Swine'!$D$83</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'Input - Swine'!$D$84</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'Input - Swine'!$D$84</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'Input - Swine'!$D$85</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'Input - Swine'!$D$85</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'Input - Swine'!$D$47</f>
        <v>Deep litter</v>
      </c>
      <c r="E35" s="57" t="str">
        <f>'Input - Swine'!$D$89</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'Input - Swine'!$D$47</f>
        <v>Deep litter</v>
      </c>
      <c r="O35" s="57" t="str">
        <f>'Input - Swine'!$D$89</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'Input - Swine'!$D$90</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'Input - Swine'!$D$90</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'Input - Swine'!$D$91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'Input - Swine'!$D$91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'Input - Swine'!$D$92</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'Input - Swine'!$D$92</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'Input - Swine'!$D$53</f>
        <v>Pit storage</v>
      </c>
      <c r="E39" s="57" t="str">
        <f>'Input - Swine'!$D$96</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'Input - Swine'!$D$53</f>
        <v>Pit storage</v>
      </c>
      <c r="O39" s="57" t="str">
        <f>'Input - Swine'!$D$96</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'Input - Swine'!$D$97</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'Input - Swine'!$D$97</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'Input - Swine'!$D$98</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'Input - Swine'!$D$98</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'Input - Swine'!$D$99</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'Input - Swine'!$D$99</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'Input - Swine'!$D$103</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'Input - Swine'!$D$103</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'Input - Swine'!$D$104</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'Input - Swine'!$D$104</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'Input - Swine'!$D$105</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'Input - Swine'!$D$105</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'Input - Swine'!$D$106</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'Input - Swine'!$D$106</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'Input - Swine'!$D$107</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'Input - Swine'!$D$107</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'Input - Swine'!$D$30</f>
        <v>Anaerobic lagoon</v>
      </c>
      <c r="E52" s="57" t="str">
        <f>'Input - Swine'!$D$67</f>
        <v>Digester / covered lagoons</v>
      </c>
      <c r="F52" s="52">
        <v>0</v>
      </c>
      <c r="G52" s="52">
        <v>0</v>
      </c>
      <c r="H52" s="52">
        <v>0</v>
      </c>
      <c r="I52" s="52">
        <v>0</v>
      </c>
      <c r="J52" s="2" t="str">
        <f>$G$16</f>
        <v>kg N</v>
      </c>
      <c r="N52" s="57" t="str">
        <f>'Input - Swine'!$D$30</f>
        <v>Anaerobic lagoon</v>
      </c>
      <c r="O52" s="57" t="str">
        <f>'Input - Swine'!$D$67</f>
        <v>Digester / covered lagoons</v>
      </c>
      <c r="P52" s="52">
        <v>0</v>
      </c>
      <c r="Q52" s="52">
        <v>0</v>
      </c>
      <c r="R52" s="52">
        <v>0</v>
      </c>
      <c r="S52" s="52">
        <v>0</v>
      </c>
      <c r="T52" s="2" t="str">
        <f>$G$16</f>
        <v>kg N</v>
      </c>
    </row>
    <row r="53" spans="1:20" ht="20.100000000000001" customHeight="1" x14ac:dyDescent="0.25">
      <c r="D53" s="57"/>
      <c r="E53" s="57" t="str">
        <f>'Input - Swine'!$D$68</f>
        <v>Deep litter</v>
      </c>
      <c r="F53" s="52">
        <v>0</v>
      </c>
      <c r="G53" s="52">
        <v>0</v>
      </c>
      <c r="H53" s="52">
        <v>0</v>
      </c>
      <c r="I53" s="52">
        <v>0</v>
      </c>
      <c r="J53" s="2"/>
      <c r="N53" s="57"/>
      <c r="O53" s="57" t="str">
        <f>'Input - Swine'!$D$68</f>
        <v>Deep litter</v>
      </c>
      <c r="P53" s="52">
        <v>0</v>
      </c>
      <c r="Q53" s="52">
        <v>0</v>
      </c>
      <c r="R53" s="52">
        <v>0</v>
      </c>
      <c r="S53" s="52">
        <v>0</v>
      </c>
      <c r="T53" s="2"/>
    </row>
    <row r="54" spans="1:20" ht="20.100000000000001" customHeight="1" x14ac:dyDescent="0.25">
      <c r="D54" s="57"/>
      <c r="E54" s="57" t="str">
        <f>'Input - Swine'!$D$69</f>
        <v>Pit storage</v>
      </c>
      <c r="F54" s="52">
        <v>0</v>
      </c>
      <c r="G54" s="52">
        <v>0</v>
      </c>
      <c r="H54" s="52">
        <v>0</v>
      </c>
      <c r="I54" s="52">
        <v>0</v>
      </c>
      <c r="J54" s="2"/>
      <c r="N54" s="57"/>
      <c r="O54" s="57" t="str">
        <f>'Input - Swine'!$D$69</f>
        <v>Pit storage</v>
      </c>
      <c r="P54" s="52">
        <v>0</v>
      </c>
      <c r="Q54" s="52">
        <v>0</v>
      </c>
      <c r="R54" s="52">
        <v>0</v>
      </c>
      <c r="S54" s="52">
        <v>0</v>
      </c>
      <c r="T54" s="2"/>
    </row>
    <row r="55" spans="1:20" ht="20.100000000000001" customHeight="1" x14ac:dyDescent="0.25">
      <c r="D55" s="57"/>
      <c r="E55" s="57" t="str">
        <f>'Input - Swine'!$D$70</f>
        <v>Direct application</v>
      </c>
      <c r="F55" s="52">
        <v>0</v>
      </c>
      <c r="G55" s="52">
        <v>0</v>
      </c>
      <c r="H55" s="52">
        <v>0</v>
      </c>
      <c r="I55" s="52">
        <v>0</v>
      </c>
      <c r="J55" s="2"/>
      <c r="N55" s="57"/>
      <c r="O55" s="57" t="str">
        <f>'Input - Swine'!$D$70</f>
        <v>Direct application</v>
      </c>
      <c r="P55" s="52">
        <v>0</v>
      </c>
      <c r="Q55" s="52">
        <v>0</v>
      </c>
      <c r="R55" s="52">
        <v>0</v>
      </c>
      <c r="S55" s="52">
        <v>0</v>
      </c>
      <c r="T55" s="2"/>
    </row>
    <row r="56" spans="1:20" ht="20.100000000000001" customHeight="1" x14ac:dyDescent="0.25">
      <c r="D56" s="57" t="str">
        <f>'Input - Swine'!$D$35</f>
        <v>Drylot (feed pad)</v>
      </c>
      <c r="E56" s="57" t="str">
        <f>'Input - Swine'!$D$74</f>
        <v>Anaerobic lagoon</v>
      </c>
      <c r="F56" s="52">
        <f ca="1">'4.5.1.7-8 Leaching and runoff'!E$28</f>
        <v>4.0295999999999994</v>
      </c>
      <c r="G56" s="52">
        <f ca="1">'4.5.1.7-8 Leaching and runoff'!F$28</f>
        <v>4.2924000000000007</v>
      </c>
      <c r="H56" s="52">
        <f ca="1">'4.5.1.7-8 Leaching and runoff'!G$28</f>
        <v>4.0295999999999994</v>
      </c>
      <c r="I56" s="52">
        <f ca="1">'4.5.1.7-8 Leaching and runoff'!H$28</f>
        <v>2.7331199999999995</v>
      </c>
      <c r="J56" s="2"/>
      <c r="N56" s="57" t="str">
        <f>'Input - Swine'!$D$35</f>
        <v>Drylot (feed pad)</v>
      </c>
      <c r="O56" s="57" t="str">
        <f>'Input - Swine'!$D$74</f>
        <v>Anaerobic lagoon</v>
      </c>
      <c r="P56" s="52">
        <f ca="1">'4.5.1.7-8 Leaching and runoff'!N$28</f>
        <v>4.0295999999999994</v>
      </c>
      <c r="Q56" s="52">
        <f ca="1">'4.5.1.7-8 Leaching and runoff'!O$28</f>
        <v>4.2924000000000007</v>
      </c>
      <c r="R56" s="52">
        <f ca="1">'4.5.1.7-8 Leaching and runoff'!P$28</f>
        <v>4.0295999999999994</v>
      </c>
      <c r="S56" s="52">
        <f ca="1">'4.5.1.7-8 Leaching and runoff'!Q$28</f>
        <v>2.7331199999999995</v>
      </c>
      <c r="T56" s="2"/>
    </row>
    <row r="57" spans="1:20" ht="20.100000000000001" customHeight="1" x14ac:dyDescent="0.25">
      <c r="D57" s="57"/>
      <c r="E57" s="57" t="str">
        <f>'Input - Swine'!$D$75</f>
        <v>Digester / covered lagoons</v>
      </c>
      <c r="F57" s="52">
        <f ca="1">'4.5.1.7-8 Leaching and runoff'!E$28</f>
        <v>4.0295999999999994</v>
      </c>
      <c r="G57" s="52">
        <f ca="1">'4.5.1.7-8 Leaching and runoff'!F$28</f>
        <v>4.2924000000000007</v>
      </c>
      <c r="H57" s="52">
        <f ca="1">'4.5.1.7-8 Leaching and runoff'!G$28</f>
        <v>4.0295999999999994</v>
      </c>
      <c r="I57" s="52">
        <f ca="1">'4.5.1.7-8 Leaching and runoff'!H$28</f>
        <v>2.7331199999999995</v>
      </c>
      <c r="J57" s="2"/>
      <c r="N57" s="57"/>
      <c r="O57" s="57" t="str">
        <f>'Input - Swine'!$D$75</f>
        <v>Digester / covered lagoons</v>
      </c>
      <c r="P57" s="52">
        <f ca="1">'4.5.1.7-8 Leaching and runoff'!N$28</f>
        <v>4.0295999999999994</v>
      </c>
      <c r="Q57" s="52">
        <f ca="1">'4.5.1.7-8 Leaching and runoff'!O$28</f>
        <v>4.2924000000000007</v>
      </c>
      <c r="R57" s="52">
        <f ca="1">'4.5.1.7-8 Leaching and runoff'!P$28</f>
        <v>4.0295999999999994</v>
      </c>
      <c r="S57" s="52">
        <f ca="1">'4.5.1.7-8 Leaching and runoff'!Q$28</f>
        <v>2.7331199999999995</v>
      </c>
      <c r="T57" s="2"/>
    </row>
    <row r="58" spans="1:20" ht="20.100000000000001" customHeight="1" x14ac:dyDescent="0.25">
      <c r="D58" s="57"/>
      <c r="E58" s="57" t="str">
        <f>'Input - Swine'!$D$76</f>
        <v>Deep litter</v>
      </c>
      <c r="F58" s="52">
        <f ca="1">'4.5.1.7-8 Leaching and runoff'!E$28</f>
        <v>4.0295999999999994</v>
      </c>
      <c r="G58" s="52">
        <f ca="1">'4.5.1.7-8 Leaching and runoff'!F$28</f>
        <v>4.2924000000000007</v>
      </c>
      <c r="H58" s="52">
        <f ca="1">'4.5.1.7-8 Leaching and runoff'!G$28</f>
        <v>4.0295999999999994</v>
      </c>
      <c r="I58" s="52">
        <f ca="1">'4.5.1.7-8 Leaching and runoff'!H$28</f>
        <v>2.7331199999999995</v>
      </c>
      <c r="J58" s="2"/>
      <c r="N58" s="57"/>
      <c r="O58" s="57" t="str">
        <f>'Input - Swine'!$D$76</f>
        <v>Deep litter</v>
      </c>
      <c r="P58" s="52">
        <f ca="1">'4.5.1.7-8 Leaching and runoff'!N$28</f>
        <v>4.0295999999999994</v>
      </c>
      <c r="Q58" s="52">
        <f ca="1">'4.5.1.7-8 Leaching and runoff'!O$28</f>
        <v>4.2924000000000007</v>
      </c>
      <c r="R58" s="52">
        <f ca="1">'4.5.1.7-8 Leaching and runoff'!P$28</f>
        <v>4.0295999999999994</v>
      </c>
      <c r="S58" s="52">
        <f ca="1">'4.5.1.7-8 Leaching and runoff'!Q$28</f>
        <v>2.7331199999999995</v>
      </c>
      <c r="T58" s="2"/>
    </row>
    <row r="59" spans="1:20" ht="20.100000000000001" customHeight="1" x14ac:dyDescent="0.25">
      <c r="D59" s="57"/>
      <c r="E59" s="57" t="str">
        <f>'Input - Swine'!$D$77</f>
        <v>Pit storage</v>
      </c>
      <c r="F59" s="52">
        <f ca="1">'4.5.1.7-8 Leaching and runoff'!E$28</f>
        <v>4.0295999999999994</v>
      </c>
      <c r="G59" s="52">
        <f ca="1">'4.5.1.7-8 Leaching and runoff'!F$28</f>
        <v>4.2924000000000007</v>
      </c>
      <c r="H59" s="52">
        <f ca="1">'4.5.1.7-8 Leaching and runoff'!G$28</f>
        <v>4.0295999999999994</v>
      </c>
      <c r="I59" s="52">
        <f ca="1">'4.5.1.7-8 Leaching and runoff'!H$28</f>
        <v>2.7331199999999995</v>
      </c>
      <c r="J59" s="2"/>
      <c r="N59" s="57"/>
      <c r="O59" s="57" t="str">
        <f>'Input - Swine'!$D$77</f>
        <v>Pit storage</v>
      </c>
      <c r="P59" s="52">
        <f ca="1">'4.5.1.7-8 Leaching and runoff'!N$28</f>
        <v>4.0295999999999994</v>
      </c>
      <c r="Q59" s="52">
        <f ca="1">'4.5.1.7-8 Leaching and runoff'!O$28</f>
        <v>4.2924000000000007</v>
      </c>
      <c r="R59" s="52">
        <f ca="1">'4.5.1.7-8 Leaching and runoff'!P$28</f>
        <v>4.0295999999999994</v>
      </c>
      <c r="S59" s="52">
        <f ca="1">'4.5.1.7-8 Leaching and runoff'!Q$28</f>
        <v>2.7331199999999995</v>
      </c>
      <c r="T59" s="2"/>
    </row>
    <row r="60" spans="1:20" ht="20.100000000000001" customHeight="1" x14ac:dyDescent="0.25">
      <c r="D60" s="57"/>
      <c r="E60" s="57" t="str">
        <f>'Input - Swine'!$D$78</f>
        <v>Direct application</v>
      </c>
      <c r="F60" s="52">
        <v>0</v>
      </c>
      <c r="G60" s="52">
        <v>0</v>
      </c>
      <c r="H60" s="52">
        <v>0</v>
      </c>
      <c r="I60" s="52">
        <v>0</v>
      </c>
      <c r="J60" s="2"/>
      <c r="N60" s="57"/>
      <c r="O60" s="57" t="str">
        <f>'Input - Swine'!$D$78</f>
        <v>Direct application</v>
      </c>
      <c r="P60" s="52">
        <v>0</v>
      </c>
      <c r="Q60" s="52">
        <v>0</v>
      </c>
      <c r="R60" s="52">
        <v>0</v>
      </c>
      <c r="S60" s="52">
        <v>0</v>
      </c>
      <c r="T60" s="2"/>
    </row>
    <row r="61" spans="1:20" ht="20.100000000000001" customHeight="1" x14ac:dyDescent="0.25">
      <c r="D61" s="57" t="str">
        <f>'Input - Swine'!$D$41</f>
        <v>Digester / covered lagoons</v>
      </c>
      <c r="E61" s="57" t="str">
        <f>'Input - Swine'!$D$82</f>
        <v>Anaerobic lagoon</v>
      </c>
      <c r="F61" s="52">
        <v>0</v>
      </c>
      <c r="G61" s="52">
        <v>0</v>
      </c>
      <c r="H61" s="52">
        <v>0</v>
      </c>
      <c r="I61" s="52">
        <v>0</v>
      </c>
      <c r="J61" s="2"/>
      <c r="N61" s="57" t="str">
        <f>'Input - Swine'!$D$41</f>
        <v>Digester / covered lagoons</v>
      </c>
      <c r="O61" s="57" t="str">
        <f>'Input - Swine'!$D$82</f>
        <v>Anaerobic lagoon</v>
      </c>
      <c r="P61" s="52">
        <v>0</v>
      </c>
      <c r="Q61" s="52">
        <v>0</v>
      </c>
      <c r="R61" s="52">
        <v>0</v>
      </c>
      <c r="S61" s="52">
        <v>0</v>
      </c>
      <c r="T61" s="2"/>
    </row>
    <row r="62" spans="1:20" ht="20.100000000000001" customHeight="1" x14ac:dyDescent="0.25">
      <c r="D62" s="57"/>
      <c r="E62" s="57" t="str">
        <f>'Input - Swine'!$D$83</f>
        <v>Deep litter</v>
      </c>
      <c r="F62" s="52">
        <v>0</v>
      </c>
      <c r="G62" s="52">
        <v>0</v>
      </c>
      <c r="H62" s="52">
        <v>0</v>
      </c>
      <c r="I62" s="52">
        <v>0</v>
      </c>
      <c r="J62" s="2"/>
      <c r="N62" s="57"/>
      <c r="O62" s="57" t="str">
        <f>'Input - Swine'!$D$83</f>
        <v>Deep litter</v>
      </c>
      <c r="P62" s="52">
        <v>0</v>
      </c>
      <c r="Q62" s="52">
        <v>0</v>
      </c>
      <c r="R62" s="52">
        <v>0</v>
      </c>
      <c r="S62" s="52">
        <v>0</v>
      </c>
      <c r="T62" s="2"/>
    </row>
    <row r="63" spans="1:20" ht="20.100000000000001" customHeight="1" x14ac:dyDescent="0.25">
      <c r="A63" s="146" t="str">
        <f>HYPERLINK("#A1", "▲ Back to top")</f>
        <v>▲ Back to top</v>
      </c>
      <c r="D63" s="57"/>
      <c r="E63" s="57" t="str">
        <f>'Input - Swine'!$D$84</f>
        <v>Pit storage</v>
      </c>
      <c r="F63" s="52">
        <v>0</v>
      </c>
      <c r="G63" s="52">
        <v>0</v>
      </c>
      <c r="H63" s="52">
        <v>0</v>
      </c>
      <c r="I63" s="52">
        <v>0</v>
      </c>
      <c r="J63" s="2"/>
      <c r="N63" s="57"/>
      <c r="O63" s="57" t="str">
        <f>'Input - Swine'!$D$84</f>
        <v>Pit storage</v>
      </c>
      <c r="P63" s="52">
        <v>0</v>
      </c>
      <c r="Q63" s="52">
        <v>0</v>
      </c>
      <c r="R63" s="52">
        <v>0</v>
      </c>
      <c r="S63" s="52">
        <v>0</v>
      </c>
      <c r="T63" s="2"/>
    </row>
    <row r="64" spans="1:20" ht="20.100000000000001" customHeight="1" x14ac:dyDescent="0.25">
      <c r="D64" s="57"/>
      <c r="E64" s="57" t="str">
        <f>'Input - Swine'!$D$85</f>
        <v>Direct application</v>
      </c>
      <c r="F64" s="52">
        <v>0</v>
      </c>
      <c r="G64" s="52">
        <v>0</v>
      </c>
      <c r="H64" s="52">
        <v>0</v>
      </c>
      <c r="I64" s="52">
        <v>0</v>
      </c>
      <c r="J64" s="2"/>
      <c r="N64" s="57"/>
      <c r="O64" s="57" t="str">
        <f>'Input - Swine'!$D$85</f>
        <v>Direct application</v>
      </c>
      <c r="P64" s="52">
        <v>0</v>
      </c>
      <c r="Q64" s="52">
        <v>0</v>
      </c>
      <c r="R64" s="52">
        <v>0</v>
      </c>
      <c r="S64" s="52">
        <v>0</v>
      </c>
      <c r="T64" s="2"/>
    </row>
    <row r="65" spans="4:20" ht="20.100000000000001" customHeight="1" x14ac:dyDescent="0.25">
      <c r="D65" s="57" t="str">
        <f>'Input - Swine'!$D$47</f>
        <v>Deep litter</v>
      </c>
      <c r="E65" s="57" t="str">
        <f>'Input - Swine'!$D$89</f>
        <v>Anaerobic lagoon</v>
      </c>
      <c r="F65" s="52">
        <v>0</v>
      </c>
      <c r="G65" s="52">
        <v>0</v>
      </c>
      <c r="H65" s="52">
        <v>0</v>
      </c>
      <c r="I65" s="52">
        <v>0</v>
      </c>
      <c r="J65" s="2"/>
      <c r="N65" s="57" t="str">
        <f>'Input - Swine'!$D$47</f>
        <v>Deep litter</v>
      </c>
      <c r="O65" s="57" t="str">
        <f>'Input - Swine'!$D$89</f>
        <v>Anaerobic lagoon</v>
      </c>
      <c r="P65" s="52">
        <v>0</v>
      </c>
      <c r="Q65" s="52">
        <v>0</v>
      </c>
      <c r="R65" s="52">
        <v>0</v>
      </c>
      <c r="S65" s="52">
        <v>0</v>
      </c>
      <c r="T65" s="2"/>
    </row>
    <row r="66" spans="4:20" ht="20.100000000000001" customHeight="1" x14ac:dyDescent="0.25">
      <c r="D66" s="57"/>
      <c r="E66" s="57" t="str">
        <f>'Input - Swine'!$D$90</f>
        <v>Digester / covered lagoons</v>
      </c>
      <c r="F66" s="52">
        <v>0</v>
      </c>
      <c r="G66" s="52">
        <v>0</v>
      </c>
      <c r="H66" s="52">
        <v>0</v>
      </c>
      <c r="I66" s="52">
        <v>0</v>
      </c>
      <c r="J66" s="2"/>
      <c r="N66" s="57"/>
      <c r="O66" s="57" t="str">
        <f>'Input - Swine'!$D$90</f>
        <v>Digester / covered lagoons</v>
      </c>
      <c r="P66" s="52">
        <v>0</v>
      </c>
      <c r="Q66" s="52">
        <v>0</v>
      </c>
      <c r="R66" s="52">
        <v>0</v>
      </c>
      <c r="S66" s="52">
        <v>0</v>
      </c>
      <c r="T66" s="2"/>
    </row>
    <row r="67" spans="4:20" ht="20.100000000000001" customHeight="1" x14ac:dyDescent="0.25">
      <c r="D67" s="57"/>
      <c r="E67" s="57" t="str">
        <f>'Input - Swine'!$D$91</f>
        <v>Pit storage</v>
      </c>
      <c r="F67" s="52">
        <v>0</v>
      </c>
      <c r="G67" s="52">
        <v>0</v>
      </c>
      <c r="H67" s="52">
        <v>0</v>
      </c>
      <c r="I67" s="52">
        <v>0</v>
      </c>
      <c r="J67" s="2"/>
      <c r="N67" s="57"/>
      <c r="O67" s="57" t="str">
        <f>'Input - Swine'!$D$91</f>
        <v>Pit storage</v>
      </c>
      <c r="P67" s="52">
        <v>0</v>
      </c>
      <c r="Q67" s="52">
        <v>0</v>
      </c>
      <c r="R67" s="52">
        <v>0</v>
      </c>
      <c r="S67" s="52">
        <v>0</v>
      </c>
      <c r="T67" s="2"/>
    </row>
    <row r="68" spans="4:20" ht="20.100000000000001" customHeight="1" x14ac:dyDescent="0.25">
      <c r="D68" s="57"/>
      <c r="E68" s="57" t="str">
        <f>'Input - Swine'!$D$92</f>
        <v>Direct application</v>
      </c>
      <c r="F68" s="52">
        <v>0</v>
      </c>
      <c r="G68" s="52">
        <v>0</v>
      </c>
      <c r="H68" s="52">
        <v>0</v>
      </c>
      <c r="I68" s="52">
        <v>0</v>
      </c>
      <c r="J68" s="2"/>
      <c r="N68" s="57"/>
      <c r="O68" s="57" t="str">
        <f>'Input - Swine'!$D$92</f>
        <v>Direct application</v>
      </c>
      <c r="P68" s="52">
        <v>0</v>
      </c>
      <c r="Q68" s="52">
        <v>0</v>
      </c>
      <c r="R68" s="52">
        <v>0</v>
      </c>
      <c r="S68" s="52">
        <v>0</v>
      </c>
      <c r="T68" s="2"/>
    </row>
    <row r="69" spans="4:20" ht="20.100000000000001" customHeight="1" x14ac:dyDescent="0.25">
      <c r="D69" s="57" t="str">
        <f>'Input - Swine'!$D$53</f>
        <v>Pit storage</v>
      </c>
      <c r="E69" s="57" t="str">
        <f>'Input - Swine'!$D$96</f>
        <v>Anaerobic lagoon</v>
      </c>
      <c r="F69" s="52">
        <v>0</v>
      </c>
      <c r="G69" s="52">
        <v>0</v>
      </c>
      <c r="H69" s="52">
        <v>0</v>
      </c>
      <c r="I69" s="52">
        <v>0</v>
      </c>
      <c r="J69" s="2"/>
      <c r="N69" s="57" t="str">
        <f>'Input - Swine'!$D$53</f>
        <v>Pit storage</v>
      </c>
      <c r="O69" s="57" t="str">
        <f>'Input - Swine'!$D$96</f>
        <v>Anaerobic lagoon</v>
      </c>
      <c r="P69" s="52">
        <v>0</v>
      </c>
      <c r="Q69" s="52">
        <v>0</v>
      </c>
      <c r="R69" s="52">
        <v>0</v>
      </c>
      <c r="S69" s="52">
        <v>0</v>
      </c>
      <c r="T69" s="2"/>
    </row>
    <row r="70" spans="4:20" ht="20.100000000000001" customHeight="1" x14ac:dyDescent="0.25">
      <c r="D70" s="57"/>
      <c r="E70" s="57" t="str">
        <f>'Input - Swine'!$D$97</f>
        <v>Digester / covered lagoons</v>
      </c>
      <c r="F70" s="52">
        <v>0</v>
      </c>
      <c r="G70" s="52">
        <v>0</v>
      </c>
      <c r="H70" s="52">
        <v>0</v>
      </c>
      <c r="I70" s="52">
        <v>0</v>
      </c>
      <c r="J70" s="2"/>
      <c r="N70" s="57"/>
      <c r="O70" s="57" t="str">
        <f>'Input - Swine'!$D$97</f>
        <v>Digester / covered lagoons</v>
      </c>
      <c r="P70" s="52">
        <v>0</v>
      </c>
      <c r="Q70" s="52">
        <v>0</v>
      </c>
      <c r="R70" s="52">
        <v>0</v>
      </c>
      <c r="S70" s="52">
        <v>0</v>
      </c>
      <c r="T70" s="2"/>
    </row>
    <row r="71" spans="4:20" ht="20.100000000000001" customHeight="1" x14ac:dyDescent="0.25">
      <c r="D71" s="57"/>
      <c r="E71" s="57" t="str">
        <f>'Input - Swine'!$D$98</f>
        <v>Deep litter</v>
      </c>
      <c r="F71" s="52">
        <v>0</v>
      </c>
      <c r="G71" s="52">
        <v>0</v>
      </c>
      <c r="H71" s="52">
        <v>0</v>
      </c>
      <c r="I71" s="52">
        <v>0</v>
      </c>
      <c r="J71" s="2"/>
      <c r="N71" s="57"/>
      <c r="O71" s="57" t="str">
        <f>'Input - Swine'!$D$98</f>
        <v>Deep litter</v>
      </c>
      <c r="P71" s="52">
        <v>0</v>
      </c>
      <c r="Q71" s="52">
        <v>0</v>
      </c>
      <c r="R71" s="52">
        <v>0</v>
      </c>
      <c r="S71" s="52">
        <v>0</v>
      </c>
      <c r="T71" s="2"/>
    </row>
    <row r="72" spans="4:20" ht="20.100000000000001" customHeight="1" x14ac:dyDescent="0.25">
      <c r="D72" s="57"/>
      <c r="E72" s="57" t="str">
        <f>'Input - Swine'!$D$99</f>
        <v>Direct application</v>
      </c>
      <c r="F72" s="52">
        <v>0</v>
      </c>
      <c r="G72" s="52">
        <v>0</v>
      </c>
      <c r="H72" s="52">
        <v>0</v>
      </c>
      <c r="I72" s="52">
        <v>0</v>
      </c>
      <c r="J72" s="2"/>
      <c r="N72" s="57"/>
      <c r="O72" s="57" t="str">
        <f>'Input - Swine'!$D$99</f>
        <v>Direct application</v>
      </c>
      <c r="P72" s="52">
        <v>0</v>
      </c>
      <c r="Q72" s="52">
        <v>0</v>
      </c>
      <c r="R72" s="52">
        <v>0</v>
      </c>
      <c r="S72" s="52">
        <v>0</v>
      </c>
      <c r="T72" s="2"/>
    </row>
    <row r="73" spans="4:20" ht="20.100000000000001" customHeight="1" x14ac:dyDescent="0.25">
      <c r="D73" s="57" t="s">
        <v>353</v>
      </c>
      <c r="E73" s="57" t="str">
        <f>'Input - Swine'!$D$103</f>
        <v>Anaerobic lagoon</v>
      </c>
      <c r="F73" s="52">
        <v>0</v>
      </c>
      <c r="G73" s="52">
        <v>0</v>
      </c>
      <c r="H73" s="52">
        <v>0</v>
      </c>
      <c r="I73" s="52">
        <v>0</v>
      </c>
      <c r="J73" s="2"/>
      <c r="N73" s="57" t="s">
        <v>353</v>
      </c>
      <c r="O73" s="57" t="str">
        <f>'Input - Swine'!$D$103</f>
        <v>Anaerobic lagoon</v>
      </c>
      <c r="P73" s="52">
        <v>0</v>
      </c>
      <c r="Q73" s="52">
        <v>0</v>
      </c>
      <c r="R73" s="52">
        <v>0</v>
      </c>
      <c r="S73" s="52">
        <v>0</v>
      </c>
      <c r="T73" s="2"/>
    </row>
    <row r="74" spans="4:20" ht="20.100000000000001" customHeight="1" x14ac:dyDescent="0.25">
      <c r="D74" s="57"/>
      <c r="E74" s="57" t="str">
        <f>'Input - Swine'!$D$104</f>
        <v>Digester / covered lagoons</v>
      </c>
      <c r="F74" s="52">
        <v>0</v>
      </c>
      <c r="G74" s="52">
        <v>0</v>
      </c>
      <c r="H74" s="52">
        <v>0</v>
      </c>
      <c r="I74" s="52">
        <v>0</v>
      </c>
      <c r="J74" s="2"/>
      <c r="N74" s="57"/>
      <c r="O74" s="57" t="str">
        <f>'Input - Swine'!$D$104</f>
        <v>Digester / covered lagoons</v>
      </c>
      <c r="P74" s="52">
        <v>0</v>
      </c>
      <c r="Q74" s="52">
        <v>0</v>
      </c>
      <c r="R74" s="52">
        <v>0</v>
      </c>
      <c r="S74" s="52">
        <v>0</v>
      </c>
      <c r="T74" s="2"/>
    </row>
    <row r="75" spans="4:20" ht="20.100000000000001" customHeight="1" x14ac:dyDescent="0.25">
      <c r="D75" s="57"/>
      <c r="E75" s="57" t="str">
        <f>'Input - Swine'!$D$105</f>
        <v>Deep litter</v>
      </c>
      <c r="F75" s="52">
        <v>0</v>
      </c>
      <c r="G75" s="52">
        <v>0</v>
      </c>
      <c r="H75" s="52">
        <v>0</v>
      </c>
      <c r="I75" s="52">
        <v>0</v>
      </c>
      <c r="J75" s="2"/>
      <c r="N75" s="57"/>
      <c r="O75" s="57" t="str">
        <f>'Input - Swine'!$D$105</f>
        <v>Deep litter</v>
      </c>
      <c r="P75" s="52">
        <v>0</v>
      </c>
      <c r="Q75" s="52">
        <v>0</v>
      </c>
      <c r="R75" s="52">
        <v>0</v>
      </c>
      <c r="S75" s="52">
        <v>0</v>
      </c>
      <c r="T75" s="2"/>
    </row>
    <row r="76" spans="4:20" ht="20.100000000000001" customHeight="1" x14ac:dyDescent="0.25">
      <c r="D76" s="57"/>
      <c r="E76" s="57" t="str">
        <f>'Input - Swine'!$D$106</f>
        <v>Pit storage</v>
      </c>
      <c r="F76" s="52">
        <v>0</v>
      </c>
      <c r="G76" s="52">
        <v>0</v>
      </c>
      <c r="H76" s="52">
        <v>0</v>
      </c>
      <c r="I76" s="52">
        <v>0</v>
      </c>
      <c r="J76" s="2"/>
      <c r="N76" s="57"/>
      <c r="O76" s="57" t="str">
        <f>'Input - Swine'!$D$106</f>
        <v>Pit storage</v>
      </c>
      <c r="P76" s="52">
        <v>0</v>
      </c>
      <c r="Q76" s="52">
        <v>0</v>
      </c>
      <c r="R76" s="52">
        <v>0</v>
      </c>
      <c r="S76" s="52">
        <v>0</v>
      </c>
      <c r="T76" s="2"/>
    </row>
    <row r="77" spans="4:20" ht="20.100000000000001" customHeight="1" x14ac:dyDescent="0.25">
      <c r="D77" s="57"/>
      <c r="E77" s="57" t="str">
        <f>'Input - Swine'!$D$107</f>
        <v>Direct application</v>
      </c>
      <c r="F77" s="52">
        <v>0</v>
      </c>
      <c r="G77" s="52">
        <v>0</v>
      </c>
      <c r="H77" s="52">
        <v>0</v>
      </c>
      <c r="I77" s="52">
        <v>0</v>
      </c>
      <c r="J77" s="2"/>
      <c r="N77" s="57"/>
      <c r="O77" s="57" t="str">
        <f>'Input - Swine'!$D$107</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'Input - Swine'!$D$30</f>
        <v>Anaerobic lagoon</v>
      </c>
      <c r="E82" s="57" t="str">
        <f>'Input - Swine'!$D$67</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'Input - Swine'!$D$68</f>
        <v>Deep litter</v>
      </c>
      <c r="F83" s="52">
        <f ca="1"/>
        <v>0.75</v>
      </c>
      <c r="G83" s="2"/>
    </row>
    <row r="84" spans="4:7" ht="20.100000000000001" customHeight="1" x14ac:dyDescent="0.25">
      <c r="D84" s="57"/>
      <c r="E84" s="57" t="str">
        <f>'Input - Swine'!$D$69</f>
        <v>Pit storage</v>
      </c>
      <c r="F84" s="52">
        <f ca="1"/>
        <v>0.75</v>
      </c>
      <c r="G84" s="2"/>
    </row>
    <row r="85" spans="4:7" ht="20.100000000000001" customHeight="1" x14ac:dyDescent="0.25">
      <c r="D85" s="57"/>
      <c r="E85" s="57" t="str">
        <f>'Input - Swine'!$D$70</f>
        <v>Direct application</v>
      </c>
      <c r="F85" s="52">
        <f ca="1"/>
        <v>1</v>
      </c>
    </row>
    <row r="86" spans="4:7" ht="20.100000000000001" customHeight="1" x14ac:dyDescent="0.25">
      <c r="D86" s="57" t="str">
        <f>'Input - Swine'!$D$35</f>
        <v>Drylot (feed pad)</v>
      </c>
      <c r="E86" s="57" t="str">
        <f>'Input - Swine'!$D$74</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'Input - Swine'!$D$75</f>
        <v>Digester / covered lagoons</v>
      </c>
      <c r="F87" s="52">
        <f ca="1"/>
        <v>0.75</v>
      </c>
      <c r="G87" s="2"/>
    </row>
    <row r="88" spans="4:7" ht="20.100000000000001" customHeight="1" x14ac:dyDescent="0.25">
      <c r="D88" s="57"/>
      <c r="E88" s="57" t="str">
        <f>'Input - Swine'!$D$76</f>
        <v>Deep litter</v>
      </c>
      <c r="F88" s="52">
        <f ca="1"/>
        <v>0.75</v>
      </c>
      <c r="G88" s="2"/>
    </row>
    <row r="89" spans="4:7" ht="20.100000000000001" customHeight="1" x14ac:dyDescent="0.25">
      <c r="D89" s="57"/>
      <c r="E89" s="57" t="str">
        <f>'Input - Swine'!$D$77</f>
        <v>Pit storage</v>
      </c>
      <c r="F89" s="52">
        <f ca="1"/>
        <v>0.75</v>
      </c>
      <c r="G89" s="2"/>
    </row>
    <row r="90" spans="4:7" ht="20.100000000000001" customHeight="1" x14ac:dyDescent="0.25">
      <c r="D90" s="57"/>
      <c r="E90" s="57" t="str">
        <f>'Input - Swine'!$D$78</f>
        <v>Direct application</v>
      </c>
      <c r="F90" s="52">
        <f ca="1"/>
        <v>1</v>
      </c>
    </row>
    <row r="91" spans="4:7" ht="20.100000000000001" customHeight="1" x14ac:dyDescent="0.25">
      <c r="D91" s="57" t="str">
        <f>'Input - Swine'!$D$41</f>
        <v>Digester / covered lagoons</v>
      </c>
      <c r="E91" s="57" t="str">
        <f>'Input - Swine'!$D$82</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'Input - Swine'!$D$83</f>
        <v>Deep litter</v>
      </c>
      <c r="F92" s="52">
        <f ca="1"/>
        <v>0.75</v>
      </c>
      <c r="G92" s="2"/>
    </row>
    <row r="93" spans="4:7" ht="20.100000000000001" customHeight="1" x14ac:dyDescent="0.25">
      <c r="D93" s="57"/>
      <c r="E93" s="57" t="str">
        <f>'Input - Swine'!$D$84</f>
        <v>Pit storage</v>
      </c>
      <c r="F93" s="52">
        <f ca="1"/>
        <v>0.75</v>
      </c>
      <c r="G93" s="2"/>
    </row>
    <row r="94" spans="4:7" ht="20.100000000000001" customHeight="1" x14ac:dyDescent="0.25">
      <c r="D94" s="57"/>
      <c r="E94" s="57" t="str">
        <f>'Input - Swine'!$D$85</f>
        <v>Direct application</v>
      </c>
      <c r="F94" s="52">
        <f ca="1"/>
        <v>1</v>
      </c>
    </row>
    <row r="95" spans="4:7" ht="20.100000000000001" customHeight="1" x14ac:dyDescent="0.25">
      <c r="D95" s="57" t="str">
        <f>'Input - Swine'!$D$47</f>
        <v>Deep litter</v>
      </c>
      <c r="E95" s="57" t="str">
        <f>'Input - Swine'!$D$89</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'Input - Swine'!$D$90</f>
        <v>Digester / covered lagoons</v>
      </c>
      <c r="F96" s="52">
        <f ca="1"/>
        <v>0.75</v>
      </c>
      <c r="G96" s="2"/>
    </row>
    <row r="97" spans="4:7" ht="20.100000000000001" customHeight="1" x14ac:dyDescent="0.25">
      <c r="D97" s="57"/>
      <c r="E97" s="57" t="str">
        <f>'Input - Swine'!$D$91</f>
        <v>Pit storage</v>
      </c>
      <c r="F97" s="52">
        <f ca="1"/>
        <v>0.75</v>
      </c>
      <c r="G97" s="2"/>
    </row>
    <row r="98" spans="4:7" ht="20.100000000000001" customHeight="1" x14ac:dyDescent="0.25">
      <c r="D98" s="57"/>
      <c r="E98" s="57" t="str">
        <f>'Input - Swine'!$D$92</f>
        <v>Direct application</v>
      </c>
      <c r="F98" s="52">
        <f ca="1"/>
        <v>1</v>
      </c>
    </row>
    <row r="99" spans="4:7" ht="20.100000000000001" customHeight="1" x14ac:dyDescent="0.25">
      <c r="D99" s="57" t="str">
        <f>'Input - Swine'!$D$53</f>
        <v>Pit storage</v>
      </c>
      <c r="E99" s="57" t="str">
        <f>'Input - Swine'!$D$96</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'Input - Swine'!$D$97</f>
        <v>Digester / covered lagoons</v>
      </c>
      <c r="F100" s="52">
        <f ca="1"/>
        <v>0.75</v>
      </c>
      <c r="G100" s="2"/>
    </row>
    <row r="101" spans="4:7" ht="20.100000000000001" customHeight="1" x14ac:dyDescent="0.25">
      <c r="D101" s="57"/>
      <c r="E101" s="57" t="str">
        <f>'Input - Swine'!$D$98</f>
        <v>Deep litter</v>
      </c>
      <c r="F101" s="52">
        <f ca="1"/>
        <v>0.75</v>
      </c>
      <c r="G101" s="2"/>
    </row>
    <row r="102" spans="4:7" ht="20.100000000000001" customHeight="1" x14ac:dyDescent="0.25">
      <c r="D102" s="57"/>
      <c r="E102" s="57" t="str">
        <f>'Input - Swine'!$D$99</f>
        <v>Direct application</v>
      </c>
      <c r="F102" s="52">
        <f ca="1"/>
        <v>1</v>
      </c>
    </row>
    <row r="103" spans="4:7" ht="20.100000000000001" customHeight="1" x14ac:dyDescent="0.25">
      <c r="D103" s="57" t="s">
        <v>353</v>
      </c>
      <c r="E103" s="57" t="str">
        <f>'Input - Swine'!$D$103</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'Input - Swine'!$D$104</f>
        <v>Digester / covered lagoons</v>
      </c>
      <c r="F104" s="52">
        <f ca="1"/>
        <v>0.75</v>
      </c>
      <c r="G104" s="2"/>
    </row>
    <row r="105" spans="4:7" ht="20.100000000000001" customHeight="1" x14ac:dyDescent="0.25">
      <c r="D105" s="57"/>
      <c r="E105" s="57" t="str">
        <f>'Input - Swine'!$D$105</f>
        <v>Deep litter</v>
      </c>
      <c r="F105" s="52">
        <f ca="1"/>
        <v>0.75</v>
      </c>
      <c r="G105" s="2"/>
    </row>
    <row r="106" spans="4:7" ht="20.100000000000001" customHeight="1" x14ac:dyDescent="0.25">
      <c r="D106" s="57"/>
      <c r="E106" s="57" t="str">
        <f>'Input - Swine'!$D$106</f>
        <v>Pit storage</v>
      </c>
      <c r="F106" s="52">
        <f ca="1"/>
        <v>0.75</v>
      </c>
      <c r="G106" s="2"/>
    </row>
    <row r="107" spans="4:7" ht="20.100000000000001" customHeight="1" x14ac:dyDescent="0.25">
      <c r="D107" s="57"/>
      <c r="E107" s="57" t="str">
        <f>'Input - Swine'!$D$107</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'Input - Swine'!$D$30</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'Input - Swine'!$D$35</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'Input - Swine'!$D$41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'Input - Swine'!$D$47</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'Input - Swine'!$D$53</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'Input - Swine'!$D$30</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'Input - Swine'!$D$35</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'Input - Swine'!$D$41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'Input - Swine'!$D$47</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'Input - Swine'!$D$53</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'Input - Swine'!$D$30</f>
        <v>Anaerobic lagoon</v>
      </c>
      <c r="E134" s="57" t="str">
        <f>'Input - Swine'!$D$67</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'Input - Swine'!$D$30</f>
        <v>Anaerobic lagoon</v>
      </c>
      <c r="O134" s="57" t="str">
        <f>'Input - Swine'!$D$67</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'Input - Swine'!$D$68</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'Input - Swine'!$D$68</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'Input - Swine'!$D$69</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'Input - Swine'!$D$69</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'Input - Swine'!$D$70</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'Input - Swine'!$D$70</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'Input - Swine'!$D$35</f>
        <v>Drylot (feed pad)</v>
      </c>
      <c r="E138" s="57" t="str">
        <f>'Input - Swine'!$D$74</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'Input - Swine'!$D$35</f>
        <v>Drylot (feed pad)</v>
      </c>
      <c r="O138" s="57" t="str">
        <f>'Input - Swine'!$D$74</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'Input - Swine'!$D$75</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'Input - Swine'!$D$75</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'Input - Swine'!$D$76</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'Input - Swine'!$D$76</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'Input - Swine'!$D$77</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'Input - Swine'!$D$77</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'Input - Swine'!$D$78</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'Input - Swine'!$D$78</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'Input - Swine'!$D$41</f>
        <v>Digester / covered lagoons</v>
      </c>
      <c r="E143" s="57" t="str">
        <f>'Input - Swine'!$D$82</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'Input - Swine'!$D$41</f>
        <v>Digester / covered lagoons</v>
      </c>
      <c r="O143" s="57" t="str">
        <f>'Input - Swine'!$D$82</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'Input - Swine'!$D$83</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'Input - Swine'!$D$83</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'Input - Swine'!$D$84</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'Input - Swine'!$D$84</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'Input - Swine'!$D$85</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'Input - Swine'!$D$85</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'Input - Swine'!$D$47</f>
        <v>Deep litter</v>
      </c>
      <c r="E147" s="57" t="str">
        <f>'Input - Swine'!$D$89</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'Input - Swine'!$D$47</f>
        <v>Deep litter</v>
      </c>
      <c r="O147" s="57" t="str">
        <f>'Input - Swine'!$D$89</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'Input - Swine'!$D$90</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'Input - Swine'!$D$90</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'Input - Swine'!$D$91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'Input - Swine'!$D$91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'Input - Swine'!$D$92</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'Input - Swine'!$D$92</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'Input - Swine'!$D$53</f>
        <v>Pit storage</v>
      </c>
      <c r="E151" s="57" t="str">
        <f>'Input - Swine'!$D$96</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'Input - Swine'!$D$53</f>
        <v>Pit storage</v>
      </c>
      <c r="O151" s="57" t="str">
        <f>'Input - Swine'!$D$96</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'Input - Swine'!$D$97</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'Input - Swine'!$D$97</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'Input - Swine'!$D$98</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'Input - Swine'!$D$98</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'Input - Swine'!$D$99</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'Input - Swine'!$D$99</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'Input - Swine'!$D$103</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'Input - Swine'!$D$103</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'Input - Swine'!$D$104</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'Input - Swine'!$D$104</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'Input - Swine'!$D$105</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'Input - Swine'!$D$105</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'Input - Swine'!$D$106</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'Input - Swine'!$D$106</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'Input - Swine'!$D$107</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'Input - Swine'!$D$107</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'Input - Swine'!$D$30</f>
        <v>Anaerobic lagoon</v>
      </c>
      <c r="E182" s="57" t="str">
        <f>'Input - Swine'!$D$67</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'Input - Swine'!$D$30</f>
        <v>Anaerobic lagoon</v>
      </c>
      <c r="O182" s="57" t="str">
        <f>'Input - Swine'!$D$67</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'Input - Swine'!$D$68</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'Input - Swine'!$D$68</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'Input - Swine'!$D$69</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'Input - Swine'!$D$69</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'Input - Swine'!$D$70</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'Input - Swine'!$D$70</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'Input - Swine'!$D$35</f>
        <v>Drylot (feed pad)</v>
      </c>
      <c r="E186" s="57" t="str">
        <f>'Input - Swine'!$D$74</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'Input - Swine'!$D$35</f>
        <v>Drylot (feed pad)</v>
      </c>
      <c r="O186" s="57" t="str">
        <f>'Input - Swine'!$D$74</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'Input - Swine'!$D$75</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'Input - Swine'!$D$75</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'Input - Swine'!$D$76</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'Input - Swine'!$D$76</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'Input - Swine'!$D$77</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'Input - Swine'!$D$77</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'Input - Swine'!$D$78</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'Input - Swine'!$D$78</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'Input - Swine'!$D$41</f>
        <v>Digester / covered lagoons</v>
      </c>
      <c r="E191" s="57" t="str">
        <f>'Input - Swine'!$D$82</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'Input - Swine'!$D$41</f>
        <v>Digester / covered lagoons</v>
      </c>
      <c r="O191" s="57" t="str">
        <f>'Input - Swine'!$D$82</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'Input - Swine'!$D$83</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'Input - Swine'!$D$83</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'Input - Swine'!$D$84</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'Input - Swine'!$D$84</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'Input - Swine'!$D$85</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'Input - Swine'!$D$85</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'Input - Swine'!$D$47</f>
        <v>Deep litter</v>
      </c>
      <c r="E195" s="57" t="str">
        <f>'Input - Swine'!$D$89</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'Input - Swine'!$D$47</f>
        <v>Deep litter</v>
      </c>
      <c r="O195" s="57" t="str">
        <f>'Input - Swine'!$D$89</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'Input - Swine'!$D$90</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'Input - Swine'!$D$90</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'Input - Swine'!$D$91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'Input - Swine'!$D$91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'Input - Swine'!$D$92</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'Input - Swine'!$D$92</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'Input - Swine'!$D$53</f>
        <v>Pit storage</v>
      </c>
      <c r="E199" s="57" t="str">
        <f>'Input - Swine'!$D$96</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'Input - Swine'!$D$53</f>
        <v>Pit storage</v>
      </c>
      <c r="O199" s="57" t="str">
        <f>'Input - Swine'!$D$96</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'Input - Swine'!$D$97</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'Input - Swine'!$D$97</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'Input - Swine'!$D$98</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'Input - Swine'!$D$98</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'Input - Swine'!$D$99</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'Input - Swine'!$D$99</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'Input - Swine'!$D$103</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'Input - Swine'!$D$103</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'Input - Swine'!$D$104</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'Input - Swine'!$D$104</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'Input - Swine'!$D$105</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'Input - Swine'!$D$105</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'Input - Swine'!$D$106</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'Input - Swine'!$D$106</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'Input - Swine'!$D$107</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'Input - Swine'!$D$107</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'Input - Swine'!$D$30</f>
        <v>Anaerobic lagoon</v>
      </c>
      <c r="E221" s="57" t="str">
        <f>'Input - Swine'!$D$67</f>
        <v>Digester / covered lagoons</v>
      </c>
      <c r="F221" s="52">
        <f>'Input - Swine'!L67</f>
        <v>0.25</v>
      </c>
      <c r="G221" s="2" t="s">
        <v>121</v>
      </c>
    </row>
    <row r="222" spans="1:21" ht="20.100000000000001" customHeight="1" x14ac:dyDescent="0.25">
      <c r="D222" s="57"/>
      <c r="E222" s="57" t="str">
        <f>'Input - Swine'!$D$68</f>
        <v>Deep litter</v>
      </c>
      <c r="F222" s="52">
        <f>'Input - Swine'!L68</f>
        <v>0.25</v>
      </c>
      <c r="G222" s="2"/>
    </row>
    <row r="223" spans="1:21" ht="20.100000000000001" customHeight="1" x14ac:dyDescent="0.25">
      <c r="D223" s="57"/>
      <c r="E223" s="57" t="str">
        <f>'Input - Swine'!$D$69</f>
        <v>Pit storage</v>
      </c>
      <c r="F223" s="52">
        <f>'Input - Swine'!L69</f>
        <v>0.25</v>
      </c>
      <c r="G223" s="2"/>
    </row>
    <row r="224" spans="1:21" ht="20.100000000000001" customHeight="1" x14ac:dyDescent="0.25">
      <c r="D224" s="57"/>
      <c r="E224" s="57" t="str">
        <f>'Input - Swine'!$D$70</f>
        <v>Direct application</v>
      </c>
      <c r="F224" s="52">
        <f>'Input - Swine'!L70</f>
        <v>0</v>
      </c>
      <c r="G224" s="2"/>
    </row>
    <row r="225" spans="4:7" ht="20.100000000000001" customHeight="1" x14ac:dyDescent="0.25">
      <c r="D225" s="57" t="str">
        <f>'Input - Swine'!$D$35</f>
        <v>Drylot (feed pad)</v>
      </c>
      <c r="E225" s="57" t="str">
        <f>'Input - Swine'!$D$74</f>
        <v>Anaerobic lagoon</v>
      </c>
      <c r="F225" s="52">
        <f>'Input - Swine'!L74</f>
        <v>0.25</v>
      </c>
      <c r="G225" s="2"/>
    </row>
    <row r="226" spans="4:7" ht="20.100000000000001" customHeight="1" x14ac:dyDescent="0.25">
      <c r="D226" s="57"/>
      <c r="E226" s="57" t="str">
        <f>'Input - Swine'!$D$75</f>
        <v>Digester / covered lagoons</v>
      </c>
      <c r="F226" s="52">
        <f>'Input - Swine'!L75</f>
        <v>0.25</v>
      </c>
      <c r="G226" s="2"/>
    </row>
    <row r="227" spans="4:7" ht="20.100000000000001" customHeight="1" x14ac:dyDescent="0.25">
      <c r="D227" s="57"/>
      <c r="E227" s="57" t="str">
        <f>'Input - Swine'!$D$76</f>
        <v>Deep litter</v>
      </c>
      <c r="F227" s="52">
        <f>'Input - Swine'!L76</f>
        <v>0.25</v>
      </c>
      <c r="G227" s="2"/>
    </row>
    <row r="228" spans="4:7" ht="20.100000000000001" customHeight="1" x14ac:dyDescent="0.25">
      <c r="D228" s="57"/>
      <c r="E228" s="57" t="str">
        <f>'Input - Swine'!$D$77</f>
        <v>Pit storage</v>
      </c>
      <c r="F228" s="52">
        <f>'Input - Swine'!L77</f>
        <v>0.25</v>
      </c>
      <c r="G228" s="2"/>
    </row>
    <row r="229" spans="4:7" ht="20.100000000000001" customHeight="1" x14ac:dyDescent="0.25">
      <c r="D229" s="57"/>
      <c r="E229" s="57" t="str">
        <f>'Input - Swine'!$D$78</f>
        <v>Direct application</v>
      </c>
      <c r="F229" s="52">
        <f>'Input - Swine'!L78</f>
        <v>0</v>
      </c>
      <c r="G229" s="2"/>
    </row>
    <row r="230" spans="4:7" ht="20.100000000000001" customHeight="1" x14ac:dyDescent="0.25">
      <c r="D230" s="57" t="str">
        <f>'Input - Swine'!$D$41</f>
        <v>Digester / covered lagoons</v>
      </c>
      <c r="E230" s="57" t="str">
        <f>'Input - Swine'!$D$82</f>
        <v>Anaerobic lagoon</v>
      </c>
      <c r="F230" s="52">
        <f>'Input - Swine'!L82</f>
        <v>0.25</v>
      </c>
      <c r="G230" s="2"/>
    </row>
    <row r="231" spans="4:7" ht="20.100000000000001" customHeight="1" x14ac:dyDescent="0.25">
      <c r="D231" s="57"/>
      <c r="E231" s="57" t="str">
        <f>'Input - Swine'!$D$83</f>
        <v>Deep litter</v>
      </c>
      <c r="F231" s="52">
        <f>'Input - Swine'!L83</f>
        <v>0.25</v>
      </c>
      <c r="G231" s="2"/>
    </row>
    <row r="232" spans="4:7" ht="20.100000000000001" customHeight="1" x14ac:dyDescent="0.25">
      <c r="D232" s="57"/>
      <c r="E232" s="57" t="str">
        <f>'Input - Swine'!$D$84</f>
        <v>Pit storage</v>
      </c>
      <c r="F232" s="52">
        <f>'Input - Swine'!L84</f>
        <v>0.25</v>
      </c>
      <c r="G232" s="2"/>
    </row>
    <row r="233" spans="4:7" ht="20.100000000000001" customHeight="1" x14ac:dyDescent="0.25">
      <c r="D233" s="57"/>
      <c r="E233" s="57" t="str">
        <f>'Input - Swine'!$D$85</f>
        <v>Direct application</v>
      </c>
      <c r="F233" s="52">
        <f>'Input - Swine'!L85</f>
        <v>0</v>
      </c>
      <c r="G233" s="2"/>
    </row>
    <row r="234" spans="4:7" ht="20.100000000000001" customHeight="1" x14ac:dyDescent="0.25">
      <c r="D234" s="57" t="str">
        <f>'Input - Swine'!$D$47</f>
        <v>Deep litter</v>
      </c>
      <c r="E234" s="57" t="str">
        <f>'Input - Swine'!$D$89</f>
        <v>Anaerobic lagoon</v>
      </c>
      <c r="F234" s="52">
        <f>'Input - Swine'!L89</f>
        <v>0.25</v>
      </c>
      <c r="G234" s="2"/>
    </row>
    <row r="235" spans="4:7" ht="20.100000000000001" customHeight="1" x14ac:dyDescent="0.25">
      <c r="D235" s="57"/>
      <c r="E235" s="57" t="str">
        <f>'Input - Swine'!$D$90</f>
        <v>Digester / covered lagoons</v>
      </c>
      <c r="F235" s="52">
        <f>'Input - Swine'!L90</f>
        <v>0.25</v>
      </c>
      <c r="G235" s="2"/>
    </row>
    <row r="236" spans="4:7" ht="20.100000000000001" customHeight="1" x14ac:dyDescent="0.25">
      <c r="D236" s="57"/>
      <c r="E236" s="57" t="str">
        <f>'Input - Swine'!$D$91</f>
        <v>Pit storage</v>
      </c>
      <c r="F236" s="52">
        <f>'Input - Swine'!L91</f>
        <v>0.25</v>
      </c>
      <c r="G236" s="2"/>
    </row>
    <row r="237" spans="4:7" ht="20.100000000000001" customHeight="1" x14ac:dyDescent="0.25">
      <c r="D237" s="57"/>
      <c r="E237" s="57" t="str">
        <f>'Input - Swine'!$D$92</f>
        <v>Direct application</v>
      </c>
      <c r="F237" s="52">
        <f>'Input - Swine'!L92</f>
        <v>0</v>
      </c>
      <c r="G237" s="2"/>
    </row>
    <row r="238" spans="4:7" ht="20.100000000000001" customHeight="1" x14ac:dyDescent="0.25">
      <c r="D238" s="57" t="str">
        <f>'Input - Swine'!$D$53</f>
        <v>Pit storage</v>
      </c>
      <c r="E238" s="57" t="str">
        <f>'Input - Swine'!$D$96</f>
        <v>Anaerobic lagoon</v>
      </c>
      <c r="F238" s="52">
        <f>'Input - Swine'!L96</f>
        <v>0.25</v>
      </c>
      <c r="G238" s="2"/>
    </row>
    <row r="239" spans="4:7" ht="20.100000000000001" customHeight="1" x14ac:dyDescent="0.25">
      <c r="D239" s="57"/>
      <c r="E239" s="57" t="str">
        <f>'Input - Swine'!$D$97</f>
        <v>Digester / covered lagoons</v>
      </c>
      <c r="F239" s="52">
        <f>'Input - Swine'!L97</f>
        <v>0.25</v>
      </c>
      <c r="G239" s="2"/>
    </row>
    <row r="240" spans="4:7" ht="20.100000000000001" customHeight="1" x14ac:dyDescent="0.25">
      <c r="D240" s="57"/>
      <c r="E240" s="57" t="str">
        <f>'Input - Swine'!$D$98</f>
        <v>Deep litter</v>
      </c>
      <c r="F240" s="52">
        <f>'Input - Swine'!L98</f>
        <v>0.25</v>
      </c>
      <c r="G240" s="2"/>
    </row>
    <row r="241" spans="1:20" ht="20.100000000000001" customHeight="1" x14ac:dyDescent="0.25">
      <c r="D241" s="57"/>
      <c r="E241" s="57" t="str">
        <f>'Input - Swine'!$D$99</f>
        <v>Direct application</v>
      </c>
      <c r="F241" s="52">
        <f>'Input - Swine'!L99</f>
        <v>0</v>
      </c>
      <c r="G241" s="2"/>
    </row>
    <row r="242" spans="1:20" ht="20.100000000000001" customHeight="1" x14ac:dyDescent="0.25">
      <c r="D242" s="57" t="s">
        <v>353</v>
      </c>
      <c r="E242" s="57" t="str">
        <f>'Input - Swine'!$D$103</f>
        <v>Anaerobic lagoon</v>
      </c>
      <c r="F242" s="52">
        <f>'Input - Swine'!L103</f>
        <v>0.25</v>
      </c>
      <c r="G242" s="2"/>
    </row>
    <row r="243" spans="1:20" ht="20.100000000000001" customHeight="1" x14ac:dyDescent="0.25">
      <c r="D243" s="57"/>
      <c r="E243" s="57" t="str">
        <f>'Input - Swine'!$D$104</f>
        <v>Digester / covered lagoons</v>
      </c>
      <c r="F243" s="52">
        <f>'Input - Swine'!L104</f>
        <v>0.25</v>
      </c>
      <c r="G243" s="2"/>
    </row>
    <row r="244" spans="1:20" ht="20.100000000000001" customHeight="1" x14ac:dyDescent="0.25">
      <c r="D244" s="57"/>
      <c r="E244" s="57" t="str">
        <f>'Input - Swine'!$D$105</f>
        <v>Deep litter</v>
      </c>
      <c r="F244" s="52">
        <f>'Input - Swine'!L105</f>
        <v>0.25</v>
      </c>
      <c r="G244" s="2"/>
    </row>
    <row r="245" spans="1:20" ht="20.100000000000001" customHeight="1" x14ac:dyDescent="0.25">
      <c r="D245" s="57"/>
      <c r="E245" s="57" t="str">
        <f>'Input - Swine'!$D$106</f>
        <v>Pit storage</v>
      </c>
      <c r="F245" s="52">
        <f>'Input - Swine'!L106</f>
        <v>0.25</v>
      </c>
      <c r="G245" s="2"/>
    </row>
    <row r="246" spans="1:20" ht="20.100000000000001" customHeight="1" x14ac:dyDescent="0.25">
      <c r="D246" s="57"/>
      <c r="E246" s="57" t="str">
        <f>'Input - Swine'!$D$107</f>
        <v>Direct application</v>
      </c>
      <c r="F246" s="52">
        <f>'Input - Swine'!L107</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'Input - Swine'!$D$30</f>
        <v>Anaerobic lagoon</v>
      </c>
      <c r="E251" s="57" t="str">
        <f>'Input - Swine'!$D$67</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'Input - Swine'!$D$30</f>
        <v>Anaerobic lagoon</v>
      </c>
      <c r="O251" s="57" t="str">
        <f>'Input - Swine'!$D$67</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'Input - Swine'!$D$68</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'Input - Swine'!$D$68</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'Input - Swine'!$D$69</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'Input - Swine'!$D$69</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'Input - Swine'!$D$70</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'Input - Swine'!$D$70</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'Input - Swine'!$D$35</f>
        <v>Drylot (feed pad)</v>
      </c>
      <c r="E255" s="57" t="str">
        <f>'Input - Swine'!$D$74</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'Input - Swine'!$D$35</f>
        <v>Drylot (feed pad)</v>
      </c>
      <c r="O255" s="57" t="str">
        <f>'Input - Swine'!$D$74</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'Input - Swine'!$D$75</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'Input - Swine'!$D$75</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'Input - Swine'!$D$76</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'Input - Swine'!$D$76</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'Input - Swine'!$D$77</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'Input - Swine'!$D$77</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'Input - Swine'!$D$78</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'Input - Swine'!$D$78</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'Input - Swine'!$D$41</f>
        <v>Digester / covered lagoons</v>
      </c>
      <c r="E260" s="57" t="str">
        <f>'Input - Swine'!$D$82</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'Input - Swine'!$D$41</f>
        <v>Digester / covered lagoons</v>
      </c>
      <c r="O260" s="57" t="str">
        <f>'Input - Swine'!$D$82</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'Input - Swine'!$D$83</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'Input - Swine'!$D$83</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'Input - Swine'!$D$84</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'Input - Swine'!$D$84</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'Input - Swine'!$D$85</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'Input - Swine'!$D$85</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'Input - Swine'!$D$47</f>
        <v>Deep litter</v>
      </c>
      <c r="E264" s="57" t="str">
        <f>'Input - Swine'!$D$89</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'Input - Swine'!$D$47</f>
        <v>Deep litter</v>
      </c>
      <c r="O264" s="57" t="str">
        <f>'Input - Swine'!$D$89</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'Input - Swine'!$D$90</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'Input - Swine'!$D$90</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'Input - Swine'!$D$91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'Input - Swine'!$D$91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'Input - Swine'!$D$92</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'Input - Swine'!$D$92</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'Input - Swine'!$D$53</f>
        <v>Pit storage</v>
      </c>
      <c r="E268" s="57" t="str">
        <f>'Input - Swine'!$D$96</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'Input - Swine'!$D$53</f>
        <v>Pit storage</v>
      </c>
      <c r="O268" s="57" t="str">
        <f>'Input - Swine'!$D$96</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'Input - Swine'!$D$97</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'Input - Swine'!$D$97</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'Input - Swine'!$D$98</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'Input - Swine'!$D$98</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'Input - Swine'!$D$99</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'Input - Swine'!$D$99</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'Input - Swine'!$D$103</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'Input - Swine'!$D$103</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'Input - Swine'!$D$104</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'Input - Swine'!$D$104</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'Input - Swine'!$D$105</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'Input - Swine'!$D$105</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'Input - Swine'!$D$106</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'Input - Swine'!$D$106</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'Input - Swine'!$D$107</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'Input - Swine'!$D$107</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805BE-9E5D-49D4-9BBA-DBD224531AD0}">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57</vt:i4>
      </vt:variant>
    </vt:vector>
  </HeadingPairs>
  <TitlesOfParts>
    <vt:vector size="72"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2026-07-07T22:57:02Z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