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6B36E1D-A4AF-48D3-8E61-2F168A7B5094}" xr6:coauthVersionLast="47" xr6:coauthVersionMax="47" xr10:uidLastSave="{00000000-0000-0000-0000-000000000000}"/>
  <bookViews>
    <workbookView xWindow="585" yWindow="495" windowWidth="37785" windowHeight="19140" activeTab="3"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4"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70" l="1"/>
  <c r="D10" i="70"/>
  <c r="A8" i="72"/>
  <c r="A7" i="72"/>
  <c r="A3" i="72"/>
  <c r="I41" i="98"/>
  <c r="P52" i="98"/>
  <c r="G52" i="98"/>
  <c r="I42" i="98"/>
  <c r="I14" i="98"/>
  <c r="Q128" i="97"/>
  <c r="G128" i="97"/>
  <c r="I120" i="97"/>
  <c r="I119" i="97"/>
  <c r="Q300" i="76"/>
  <c r="G300" i="76"/>
  <c r="I256" i="76"/>
  <c r="Q264" i="69"/>
  <c r="G264" i="69"/>
  <c r="O160" i="69"/>
  <c r="O159" i="69"/>
  <c r="O158" i="69"/>
  <c r="O157" i="69"/>
  <c r="O156" i="69"/>
  <c r="O155" i="69"/>
  <c r="E160" i="69"/>
  <c r="E159" i="69"/>
  <c r="E158" i="69"/>
  <c r="E157" i="69"/>
  <c r="E156" i="69"/>
  <c r="E155" i="69"/>
  <c r="E33" i="15"/>
  <c r="E32" i="15"/>
  <c r="E31" i="15"/>
  <c r="E30" i="15"/>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c r="E54" i="114" a="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c r="D46" i="114" a="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c r="D19" i="114" a="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A8" i="114"/>
  <c r="F7" i="114" a="1"/>
  <c r="F7" i="114" s="1"/>
  <c r="E7" i="114" a="1"/>
  <c r="E7" i="114" s="1"/>
  <c r="D7" i="114" a="1"/>
  <c r="D7" i="114" s="1"/>
  <c r="A7" i="114"/>
  <c r="D5" i="114"/>
  <c r="D5" i="114" a="1"/>
  <c r="A3" i="114"/>
  <c r="A8" i="71"/>
  <c r="A7" i="71"/>
  <c r="A3" i="71"/>
  <c r="E95" i="70"/>
  <c r="E88" i="70"/>
  <c r="E81" i="70"/>
  <c r="E73" i="70"/>
  <c r="E66" i="70"/>
  <c r="E132" i="79" a="1"/>
  <c r="E132" i="79" s="1"/>
  <c r="D132" i="79" a="1"/>
  <c r="D132" i="79" s="1"/>
  <c r="E131" i="79" a="1"/>
  <c r="E131" i="79" s="1"/>
  <c r="D131" i="79" a="1"/>
  <c r="D131" i="79" s="1"/>
  <c r="E130" i="79" a="1"/>
  <c r="E130" i="79" s="1"/>
  <c r="D130" i="79" a="1"/>
  <c r="D130" i="79" s="1"/>
  <c r="E129" i="79" a="1"/>
  <c r="E129" i="79" s="1"/>
  <c r="D129" i="79" a="1"/>
  <c r="D129" i="79" s="1"/>
  <c r="E128" i="79" a="1"/>
  <c r="E128" i="79" s="1"/>
  <c r="D128" i="79" a="1"/>
  <c r="D128" i="79" s="1"/>
  <c r="D126" i="79" a="1"/>
  <c r="D126" i="79" s="1"/>
  <c r="D125" i="79" a="1"/>
  <c r="D125" i="79" s="1"/>
  <c r="F122" i="79" a="1"/>
  <c r="F122" i="79" s="1"/>
  <c r="E122" i="79" a="1"/>
  <c r="E122" i="79" s="1"/>
  <c r="D122" i="79" a="1"/>
  <c r="D122" i="79" s="1"/>
  <c r="D121" i="79" a="1"/>
  <c r="D121" i="79" s="1"/>
  <c r="D120" i="79" a="1"/>
  <c r="D120" i="79" s="1"/>
  <c r="H60" i="70"/>
  <c r="G60" i="70"/>
  <c r="F60" i="70"/>
  <c r="E60" i="70"/>
  <c r="H59" i="70"/>
  <c r="G59" i="70"/>
  <c r="F59" i="70"/>
  <c r="E59" i="70"/>
  <c r="E102" i="70" s="1"/>
  <c r="E27" i="70"/>
  <c r="E29" i="15"/>
  <c r="E13" i="15"/>
  <c r="A26" i="74"/>
  <c r="A25" i="74"/>
  <c r="A24" i="74"/>
  <c r="A23" i="74"/>
  <c r="A22" i="74"/>
  <c r="A18" i="74"/>
  <c r="A17" i="74"/>
  <c r="A16" i="74"/>
  <c r="A15" i="74"/>
  <c r="A14" i="74"/>
  <c r="A10" i="74"/>
  <c r="A9" i="74"/>
  <c r="A5" i="74"/>
  <c r="A4" i="74"/>
  <c r="A3" i="74"/>
  <c r="A26" i="43"/>
  <c r="A25" i="43"/>
  <c r="A24" i="43"/>
  <c r="A23" i="43"/>
  <c r="A22" i="43"/>
  <c r="A18" i="43"/>
  <c r="A17" i="43"/>
  <c r="A16" i="43"/>
  <c r="A15" i="43"/>
  <c r="A14" i="43"/>
  <c r="A10" i="43"/>
  <c r="A9" i="43"/>
  <c r="A5" i="43"/>
  <c r="A4" i="43"/>
  <c r="A3" i="43"/>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0" i="114" l="1"/>
  <c r="H52" i="114"/>
  <c r="H54" i="114"/>
  <c r="H48" i="114"/>
  <c r="H49" i="114"/>
  <c r="H51" i="114"/>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98" a="1"/>
  <c r="E248" i="76" a="1"/>
  <c r="E7" i="105" a="1"/>
  <c r="E7" i="97" a="1"/>
  <c r="E112" i="97" a="1"/>
  <c r="O112" i="97" a="1"/>
  <c r="E34" i="98"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29" i="76" a="1"/>
  <c r="E106" i="76" a="1"/>
  <c r="E7" i="76" a="1"/>
  <c r="E41" i="76" a="1"/>
  <c r="E82"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7" i="69" a="1"/>
  <c r="E4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74" i="69" a="1"/>
  <c r="E218" i="69" a="1"/>
  <c r="E190"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E63" i="97" s="1" a="1"/>
  <c r="E63" i="97" s="1"/>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E154" i="76" s="1" a="1"/>
  <c r="E154" i="76" s="1"/>
  <c r="N207" i="69"/>
  <c r="N186" i="105"/>
  <c r="N26" i="105"/>
  <c r="D138" i="105"/>
  <c r="D56" i="105"/>
  <c r="M47" i="98"/>
  <c r="D94" i="69"/>
  <c r="E94" i="69" s="1" a="1"/>
  <c r="E94" i="69" s="1"/>
  <c r="D47" i="98"/>
  <c r="N29" i="69"/>
  <c r="D26" i="105"/>
  <c r="D186" i="105"/>
  <c r="N63" i="76"/>
  <c r="N138" i="105"/>
  <c r="D143" i="76"/>
  <c r="E143" i="76" s="1" a="1"/>
  <c r="E143" i="76" s="1"/>
  <c r="D29" i="69"/>
  <c r="D113" i="105"/>
  <c r="E113" i="105" s="1" a="1"/>
  <c r="E113" i="105" s="1"/>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6" i="105" a="1"/>
  <c r="E116" i="105" s="1"/>
  <c r="D104" i="70"/>
  <c r="D67" i="70"/>
  <c r="E64" i="97" a="1"/>
  <c r="E64" i="97" s="1"/>
  <c r="E155" i="76" a="1"/>
  <c r="E155" i="76" s="1"/>
  <c r="E144" i="76" a="1"/>
  <c r="E144" i="76" s="1"/>
  <c r="D75" i="70"/>
  <c r="D97" i="70"/>
  <c r="D90" i="70"/>
  <c r="D103" i="70"/>
  <c r="D89" i="70"/>
  <c r="D82" i="70"/>
  <c r="D96" i="70"/>
  <c r="E142" i="76" a="1"/>
  <c r="E142" i="76" s="1"/>
  <c r="D74" i="70"/>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H108" i="69" s="1" a="1"/>
  <c r="H10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F108" i="69" a="1"/>
  <c r="F108" i="69" s="1"/>
  <c r="R108" i="69" a="1"/>
  <c r="R108" i="69" s="1"/>
  <c r="O108" i="69" a="1"/>
  <c r="O108" i="69" s="1"/>
  <c r="E108" i="69" l="1" a="1"/>
  <c r="E108" i="69" s="1"/>
  <c r="F184" i="69" s="1" a="1"/>
  <c r="F184" i="69" s="1"/>
  <c r="P108" i="69" a="1"/>
  <c r="P108" i="69" s="1"/>
  <c r="Q181" i="69" s="1" a="1"/>
  <c r="Q181" i="69" s="1"/>
  <c r="Q108" i="69" a="1"/>
  <c r="Q108" i="69" s="1"/>
  <c r="R184" i="69" s="1" a="1"/>
  <c r="R184" i="69" s="1"/>
  <c r="G108" i="69" a="1"/>
  <c r="G108" i="69" s="1"/>
  <c r="H183" i="69" s="1" a="1"/>
  <c r="H183" i="69" s="1"/>
  <c r="H233" i="76"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G184" i="69" a="1"/>
  <c r="G184" i="69" s="1"/>
  <c r="Q264" i="76" a="1"/>
  <c r="Q264" i="76" s="1"/>
  <c r="R264" i="76" a="1"/>
  <c r="R264" i="76" s="1"/>
  <c r="H206" i="69" a="1"/>
  <c r="H206" i="69" s="1"/>
  <c r="F206" i="69" a="1"/>
  <c r="F206" i="69" s="1"/>
  <c r="I183" i="69" a="1"/>
  <c r="I183" i="69" s="1"/>
  <c r="G183" i="69" a="1"/>
  <c r="G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I182" i="69" a="1"/>
  <c r="I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G181" i="69" a="1"/>
  <c r="G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F181" i="69" l="1" a="1"/>
  <c r="F181" i="69" s="1"/>
  <c r="F183" i="69" a="1"/>
  <c r="F183" i="69" s="1"/>
  <c r="F182" i="69" a="1"/>
  <c r="F182" i="69" s="1"/>
  <c r="Q183" i="69" a="1"/>
  <c r="Q183" i="69" s="1"/>
  <c r="Q184" i="69" a="1"/>
  <c r="Q184" i="69" s="1"/>
  <c r="R182" i="69" a="1"/>
  <c r="R182" i="69" s="1"/>
  <c r="Q182" i="69" a="1"/>
  <c r="Q182" i="69" s="1"/>
  <c r="R183" i="69" a="1"/>
  <c r="R183" i="69" s="1"/>
  <c r="R181" i="69" a="1"/>
  <c r="R181" i="69" s="1"/>
  <c r="H182" i="69" a="1"/>
  <c r="H182" i="69" s="1"/>
  <c r="H181" i="69" a="1"/>
  <c r="H181" i="69" s="1"/>
  <c r="H184" i="69" a="1"/>
  <c r="H184" i="69" s="1"/>
  <c r="H38" i="105"/>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G229" i="69" a="1"/>
  <c r="G229" i="69" s="1"/>
  <c r="G259" i="69" s="1" a="1"/>
  <c r="G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D229" i="69" l="1" a="1"/>
  <c r="D229" i="69" s="1"/>
  <c r="D259" i="69" s="1" a="1"/>
  <c r="D259" i="69" s="1"/>
  <c r="O229" i="69" a="1"/>
  <c r="O229" i="69" s="1"/>
  <c r="O259" i="69" s="1" a="1"/>
  <c r="O259" i="69" s="1"/>
  <c r="P229" i="69" a="1"/>
  <c r="P229" i="69" s="1"/>
  <c r="P259" i="69" s="1" a="1"/>
  <c r="P259" i="69" s="1"/>
  <c r="F229" i="69" a="1"/>
  <c r="F229" i="69" s="1"/>
  <c r="F259" i="69" s="1" a="1"/>
  <c r="F259" i="69" s="1"/>
  <c r="H150" i="105"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E261" i="69" l="1"/>
  <c r="E7" i="13" s="1"/>
  <c r="O261" i="69"/>
  <c r="F7" i="13" s="1"/>
  <c r="O297" i="76"/>
  <c r="E297" i="76"/>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G263" i="69" l="1"/>
  <c r="E266" i="69" s="1" a="1"/>
  <c r="E266" i="69" s="1"/>
  <c r="H7" i="13" s="1"/>
  <c r="Q263" i="69"/>
  <c r="O266" i="69" s="1" a="1"/>
  <c r="O266" i="69" s="1"/>
  <c r="I7" i="13" s="1"/>
  <c r="O209" i="105"/>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<sst xmlns="http://schemas.openxmlformats.org/spreadsheetml/2006/main" count="1227" uniqueCount="414">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</sst>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50">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7"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9"/>
      <tableStyleElement type="headerRow" dxfId="98"/>
      <tableStyleElement type="totalRow" dxfId="97"/>
      <tableStyleElement type="firstColumn" dxfId="96"/>
      <tableStyleElement type="firstRowStripe" dxfId="95"/>
      <tableStyleElement type="secondRowStripe" dxfId="94"/>
    </tableStyle>
    <tableStyle name="Equation table" pivot="0" count="6" xr9:uid="{B247698E-E41D-4CCD-AA0A-C14817E9DE65}">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7"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6"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5"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4"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3"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2"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1"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0"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9"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8"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7"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6"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5"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4"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3"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2" dataCellStyle="Content normal">
  <autoFilter ref="D78:E82" xr:uid="{E34928EB-73E5-43B2-830B-089F30DA4EF0}">
    <filterColumn colId="0" hiddenButton="1"/>
    <filterColumn colId="1" hiddenButton="1"/>
  </autoFilter>
  <tableColumns count="2">
    <tableColumn id="1" xr3:uid="{CAC8EB28-568F-4E9F-8E36-EBDFF74A58D3}" name="Class" dataDxfId="71"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0"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9"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8"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7"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6"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5"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01096E-99A2-4146-AC44-88858A50B9F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C4EA083-BFD4-4695-B7CC-7A998070026F}" name="State/Territory">
      <calculatedColumnFormula array="1">Common_InputFunctions.Utility_DisplayArrayInTable(Common_SourceData.Common_SourceData_AustralianStatesTerritories_Data(),Table_AustralianStates[[#Headers],[State/Territory]],0)</calculatedColumnFormula>
    </tableColumn>
    <tableColumn id="2" xr3:uid="{EB92EBE5-C6A0-4E0E-858C-6494C3063999}" name="Common Name">
      <calculatedColumnFormula array="1">Common_InputFunctions.Utility_DisplayArrayInTable(Common_SourceData.Common_SourceData_AustralianStatesTerritories_Data(),Table_AustralianStates[[#Headers],[State/Territory]],0)</calculatedColumnFormula>
    </tableColumn>
    <tableColumn id="3" xr3:uid="{4221FD88-8BE6-4DCF-9089-B6CD2911BE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38A6856-B227-4D0F-B37A-B48921F7454C}" name="Table_WASA4Areas" displayName="Table_WASA4Areas" ref="D20:D30" totalsRowShown="0">
  <autoFilter ref="D20:D30" xr:uid="{5FA81339-C6C8-4D36-BEEA-6C4AEDD9E676}">
    <filterColumn colId="0" hiddenButton="1"/>
  </autoFilter>
  <tableColumns count="1">
    <tableColumn id="1" xr3:uid="{1A6F81F4-D9B6-460B-B6E3-2B5AC507FDE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16197CA-0BD7-462D-B86B-2B5F4D31F40F}" name="Table_GWPData" displayName="Table_GWPData" ref="D36:E43" totalsRowShown="0">
  <autoFilter ref="D36:E43" xr:uid="{B8E87A66-3E41-4AD3-925D-01EE21B43D7A}">
    <filterColumn colId="0" hiddenButton="1"/>
    <filterColumn colId="1" hiddenButton="1"/>
  </autoFilter>
  <tableColumns count="2">
    <tableColumn id="1" xr3:uid="{2F024C54-3E21-44E9-A982-14840A5DDA28}" name="Gas">
      <calculatedColumnFormula array="1">Common_InputFunctions.Utility_DisplayArrayInTable(Common_SourceData.Common_SourceData_GWP_Data(), Table_GWPData[[#Headers],[Gas]], 0)</calculatedColumnFormula>
    </tableColumn>
    <tableColumn id="2" xr3:uid="{0CD7FCC0-904D-468B-A16D-D75D4465E09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EE54BB-BAC2-4380-B8B3-F4658FD4080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DEB724-D063-44D3-AE22-6708EE9EE3C0}" name="Gas">
      <calculatedColumnFormula array="1">Common_InputFunctions.Utility_DisplayArrayInTable(Common_SourceData.Common_SourceData_ConvertGasElementalToMolecular_Data(),Table_GasToMolecularConversionFactor[[#Headers],[Gas]], 0)</calculatedColumnFormula>
    </tableColumn>
    <tableColumn id="5" xr3:uid="{0CC2F75F-F17A-461E-9738-770F6749DAFD}" name="Conversion factor">
      <calculatedColumnFormula array="1">Common_InputFunctions.Utility_DisplayArrayInTable(Common_SourceData.Common_SourceData_ConvertGasElementalToMolecular_Data(),Table_GasToMolecularConversionFactor[[#Headers],[Gas]], 0)</calculatedColumnFormula>
    </tableColumn>
    <tableColumn id="2" xr3:uid="{D73C9402-3418-46F6-968F-BE3C3E9CDF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5291CFE-768B-481D-A716-2BD027CEC4A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6A37C60-6075-4ECE-9E05-9ED95ED022D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CAFE06-7FD1-4B29-A6DB-655629817A3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F613D2-D8A8-45A5-93CD-064251DCD2D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9878F40-269B-4DAC-A6D2-415FFE4D629F}" name="MAT"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3" xr3:uid="{F6DCCB7A-48B2-43AE-B3BA-AAEEC02BF40D}" name="MAP"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4" xr3:uid="{18C0B670-3990-4842-BE4C-AB190A5ECFA7}" name="Frost days per year"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5" xr3:uid="{0F0458B4-79D8-4E84-A55F-AE8E9FBFDF5F}" name="Elevation"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6" xr3:uid="{7EDB9159-17B8-4D1C-BC76-9BCCB0FE283E}" name="MAP:PE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7" xr3:uid="{E41F554B-2698-4225-8233-E0B32D03588F}" name="Min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8" xr3:uid="{1EE95BBB-4CCA-4CAD-BE77-2B221A752B2B}" name="Max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9" xr3:uid="{7AB05A7D-BE53-4228-B24D-7D8A16297DEE}" name="Min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0" xr3:uid="{E644564A-56FB-485E-AF54-2A612933924E}" name="Max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1" xr3:uid="{8E4042DC-E819-4E2C-A56C-FAB0C5C5684E}" name="Min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5" xr3:uid="{F777F060-DB54-494F-8D7D-EDBD6D348187}" name="Max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2" xr3:uid="{D789D45B-3342-40CA-9DC1-7023974584FE}" name="Min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6" xr3:uid="{E4AA8218-5C2A-4C32-B1B1-8C0F86BB962B}" name="Max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3" xr3:uid="{FFD001CF-5F65-4D10-9EED-9DDDF295F903}" name="Min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7" xr3:uid="{46383F2A-4CA7-4288-9404-8B2B6B2F3F33}" name="Max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30E9B0-274B-43A2-8E8F-A6B1F832C01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2CA3987-C754-4440-95B6-BF8014E91B0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62C9C6A-7090-4355-A081-EA2D93D7A870}" name="Wet or Dry Zone" totalsRowDxfId="4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637251-D7D1-4A58-96CC-5599310411A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C42C69B-BEAA-4AE3-BC6E-14B1A4925183}" name="Temperature Zone">
      <calculatedColumnFormula array="1">Common_InputFunctions.Utility_DisplayArrayInTable(Common_SourceData.Common_SourceData_TemperatureZones_Data(),Table_SourceData_TemperatureZones[[#Headers],[Temperature Zone]],0)</calculatedColumnFormula>
    </tableColumn>
    <tableColumn id="2" xr3:uid="{EC665EB0-D01B-4683-8853-6872A431CA58}" name="MAT">
      <calculatedColumnFormula array="1">Common_InputFunctions.Utility_DisplayArrayInTable(Common_SourceData.Common_SourceData_TemperatureZones_Data(),Table_SourceData_TemperatureZones[[#Headers],[Temperature Zone]],0)</calculatedColumnFormula>
    </tableColumn>
    <tableColumn id="3" xr3:uid="{A56CFB9C-8D2E-4291-8F6B-AD6FB570E7C9}" name="Min MAT">
      <calculatedColumnFormula array="1">Common_InputFunctions.Utility_DisplayArrayInTable(Common_SourceData.Common_SourceData_TemperatureZones_Data(),Table_SourceData_TemperatureZones[[#Headers],[Temperature Zone]],0)</calculatedColumnFormula>
    </tableColumn>
    <tableColumn id="4" xr3:uid="{5BF6A887-264D-4D07-9EE0-51413F89831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73C2DE-E4AA-4956-9E19-ED6AC0D2057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83B16FC-40C8-4071-BA79-82548874272A}" name="Rainfall Zone">
      <calculatedColumnFormula array="1">Common_InputFunctions.Utility_DisplayArrayInTable(Common_SourceData.Common_SourceData_RainfallZones_Data(),Table_SourceData_RainfallZones[[#Headers],[Rainfall Zone]],0)</calculatedColumnFormula>
    </tableColumn>
    <tableColumn id="2" xr3:uid="{1E4D6B40-226A-4A10-8E99-7ED5D810A5ED}" name="Annual rainfall">
      <calculatedColumnFormula array="1">Common_InputFunctions.Utility_DisplayArrayInTable(Common_SourceData.Common_SourceData_RainfallZones_Data(),Table_SourceData_RainfallZones[[#Headers],[Rainfall Zone]],0)</calculatedColumnFormula>
    </tableColumn>
    <tableColumn id="3" xr3:uid="{A96B69CA-6B2D-4CB3-8DF8-B6F9B2E546BE}" name="Min rainfall">
      <calculatedColumnFormula array="1">Common_InputFunctions.Utility_DisplayArrayInTable(Common_SourceData.Common_SourceData_RainfallZones_Data(),Table_SourceData_RainfallZones[[#Headers],[Rainfall Zone]],0)</calculatedColumnFormula>
    </tableColumn>
    <tableColumn id="4" xr3:uid="{547FF238-BFB2-4C73-93CC-79A1229CFC8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217059-2D7D-4795-B438-41404EF195B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E9A28F-ECAE-42B9-A68F-789D617974D5}" name="Leaching Zone">
      <calculatedColumnFormula array="1">Common_InputFunctions.Utility_DisplayArrayInTable(Common_SourceData.Common_SourceData_LeachingZones_Data(), Table_SourceData_LeachingZones[[#Headers],[Leaching Zone]], 0)</calculatedColumnFormula>
    </tableColumn>
    <tableColumn id="2" xr3:uid="{60134C7B-D14E-4373-ACE2-ECF28746D3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2C858F-E682-45A6-94A9-14DC40E662E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5229F5-6B56-4CC8-9C07-7499A856A215}" name="Data source">
      <calculatedColumnFormula array="1">Common_InputFunctions.Utility_DisplayArrayInTable(Common_SourceData.Common_SourceData_DataScores_Scope3_Data(), Table_SourceData_DataScores_Scope3[[#Headers],[Data source]], 0)</calculatedColumnFormula>
    </tableColumn>
    <tableColumn id="2" xr3:uid="{1EE66D37-CE50-4EAD-9BD8-CE06184D967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D0B85E1-6FF4-403F-B320-BD0D7AF4935D}" name="Table_SourceData_FracWET" displayName="Table_SourceData_FracWET" ref="D134:E136" totalsRowShown="0">
  <autoFilter ref="D134:E136" xr:uid="{308E99BE-FE1F-47A4-B2CA-97217277C4E9}">
    <filterColumn colId="0" hiddenButton="1"/>
    <filterColumn colId="1" hiddenButton="1"/>
  </autoFilter>
  <tableColumns count="2">
    <tableColumn id="1" xr3:uid="{54D258CE-B4A4-4803-8241-9B636DDF2389}" name="Is in leaching zone">
      <calculatedColumnFormula array="1">Common_InputFunctions.Utility_DisplayArrayInTable(Common_SourceData.Common_SourceData_FracWET_Data(),Table_SourceData_FracWET[[#Headers],[Is in leaching zone]],0)</calculatedColumnFormula>
    </tableColumn>
    <tableColumn id="2" xr3:uid="{D8708E43-EBE8-48B8-BB9F-AFC84AC40FE7}" name="FracWET" dataDxfId="4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2FD37B6-B943-40DE-8AE3-9D0A185B8FB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65D3A3-A381-4A5D-89B7-BB6437C3D447}" name="Production system j">
      <calculatedColumnFormula array="1">Common_InputFunctions.Utility_DisplayArrayInTable(Common_SourceData.Common_SourceData_EFN2O_Data(), Table_SourceData_Common_EFN2O[[#Headers],[Production system j]], 0)</calculatedColumnFormula>
    </tableColumn>
    <tableColumn id="2" xr3:uid="{D3BB0652-38D4-4D5B-B1B7-B475DB6530E9}" name="EFN2O">
      <calculatedColumnFormula array="1">Common_InputFunctions.Utility_DisplayArrayInTable(Common_SourceData.Common_SourceData_EFN2O_Data(), Table_SourceData_Common_EFN2O[[#Headers],[Production system j]], 0)</calculatedColumnFormula>
    </tableColumn>
    <tableColumn id="3" xr3:uid="{2514AC7C-E226-4F00-9F8D-C6011D95CB5C}" name="Production system only">
      <calculatedColumnFormula array="1">Common_InputFunctions.Utility_DisplayArrayInTable(Common_SourceData.Common_SourceData_EFN2O_Data(), Table_SourceData_Common_EFN2O[[#Headers],[Production system j]], 0)</calculatedColumnFormula>
    </tableColumn>
    <tableColumn id="4" xr3:uid="{B551FAB0-9F38-488A-82F1-70CDC6236A53}" name="Irrigation method">
      <calculatedColumnFormula array="1">Common_InputFunctions.Utility_DisplayArrayInTable(Common_SourceData.Common_SourceData_EFN2O_Data(), Table_SourceData_Common_EFN2O[[#Headers],[Production system j]], 0)</calculatedColumnFormula>
    </tableColumn>
    <tableColumn id="5" xr3:uid="{07E4D250-A672-4098-90AA-A3E16EE9B90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F2A6219-274B-4314-8EA6-1DC614E86C8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EB7345B-6141-430A-A941-52985CA5EAA4}" name="Irrigation type i">
      <calculatedColumnFormula array="1">Common_InputFunctions.Utility_DisplayArrayInTable(Common_SourceData.Common_SourceData_FracWETIrrigation_Data(), Table_SourceData_FracWETIrrigation[[#Headers],[Irrigation type i]], 0)</calculatedColumnFormula>
    </tableColumn>
    <tableColumn id="2" xr3:uid="{EF7E44A6-D30A-4869-ADA1-3E08CF63A7DE}" name="FracWET" dataDxfId="4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A6C734-C418-4324-80DB-52FF2C39B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898AE92-12EF-48ED-ADAF-19D67519BDF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256D221-4F15-40E6-ACF4-8EC179F5C7A8}" name="EFPRP" dataDxfId="4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F5ACE4-7CBC-45E9-9888-07B19AEAA5C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73F77BA-685B-4194-BD56-E50FCF13B4FF}" name="Month">
      <calculatedColumnFormula array="1">Common_InputFunctions.Utility_DisplayArrayInTable(Common_SourceData.Common_SourceData_MonthsToSeasons_Data(), Table_SourceData_Common_MonthToSeason[[#Headers],[Month]], 0)</calculatedColumnFormula>
    </tableColumn>
    <tableColumn id="2" xr3:uid="{95A984B7-7198-4C2D-9205-49325842E2A0}" name="Season" dataDxfId="4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ECA3341-2C7F-4738-B94B-D8F9ACDADB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D4B56A-13A4-4DD1-A7DA-6E39EC80CE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BB4F5F1-9940-49A4-A84F-03D02E9A3C16}" name="MAT (ºC)"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91D415-1C13-4465-B7BD-E0EFD5F1E3C2}" name="Anaerobic lagoon"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FD5E43-DBF8-4E7F-9B11-60CEEEA1AD5A}" name="Digester / covered lagoon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494E2B-2BDA-40E8-8F06-2C65BE679EBF}" name="Liquid system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8DC92F4-EEA3-4B4C-9F3B-40CE374CF3E2}" name="Daily spread"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C9825-22A9-4F52-AFE2-FD344A99B501}" name="Composting (passive windrow)"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CA6E17B-9681-4E19-9B0F-7F002C20FF04}" name="Solid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B8BBF7-67D7-4F4A-81FC-126EE1705387}" name="Pit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4FA310C-0E53-4CDC-8F9E-F91F3CF5EAE3}" name="Deep litter"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2B8AD91-3DAF-4273-9166-07670BB55ADF}" name="Poultry manure with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14CBC30-FA8D-4B9C-9110-5C610F50A30A}" name="Poultry manure without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BD3185-8883-40C8-9656-B5BCA61BDD44}" name="Direct process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B58E4D-50EA-41B6-856D-E543882720E6}" name="Direct applicati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FCDB17A-F853-4577-B465-1F7C67E3012C}" name="Pasture range and paddock"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D2033CC-B4B6-4321-AE00-659E24A7B480}" name="MAT ra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BA5B631-E142-490F-87C1-5C3B4D19C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910914-598D-4DDD-8346-46880EF5F30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B3D9B4A-369A-46C0-B9E3-60A3BDEBCA04}" name="EFNi &amp; EFN2Oi" dataDxfId="2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334E7BB-2DD9-4D93-ABC8-AB0E3B8F920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207AC0D-B5DD-493A-9CDE-9C48152FFC06}" name="Description" dataDxfId="28" dataCellStyle="Content normal"/>
    <tableColumn id="1" xr3:uid="{A9450AE6-6563-43ED-B0A3-83F3FF3D40F2}" name="ID"/>
    <tableColumn id="3" xr3:uid="{9DF97174-8BB1-46C8-890F-745E307526DF}"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BCDF31D-1DA3-4089-88E9-6A40C17858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3213F9-5FC6-4FC3-B9C6-2D1E0A19ED0F}" name="Description"/>
    <tableColumn id="2" xr3:uid="{F8107467-4252-42B7-9B0B-12315E2B7D8C}" name="ID"/>
    <tableColumn id="3" xr3:uid="{CCE0999E-920D-4F3C-869B-0433DBE791C3}"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592C623-1616-4FCE-904D-DE4820195A7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9F79B1-2853-4B0B-92FC-61405887ABA0}" name="Description"/>
    <tableColumn id="2" xr3:uid="{89C902CE-5237-4133-ACDB-3D830D88D88E}" name="ID"/>
    <tableColumn id="3" xr3:uid="{6EDDF7C1-A920-4D0E-ADA2-0168B906D3AF}"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9D6EA8E-40D1-4279-AF37-42CFE4717AF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DF2C95E-1AFE-47A0-A87D-52934615A581}" name="Description"/>
    <tableColumn id="2" xr3:uid="{CED05DBE-44E8-4BB2-A136-7C09BEA9860F}" name="ID"/>
    <tableColumn id="3" xr3:uid="{7514C76B-0E5C-4217-A6EB-A71BA6EA479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I32" sqref="I32"/>
    </sheetView>
  </sheetViews>
  <sheetFormatPr defaultRowHeight="15" x14ac:dyDescent="0.25"/>
  <sheetData>
    <row r="1" spans="1:1" x14ac:dyDescent="0.25">
      <c r="A1" t="s">
        <v>364</v>
      </c>
    </row>
    <row r="3" spans="1:1" x14ac:dyDescent="0.25">
      <c r="A3" s="149"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W356"/>
  <sheetViews>
    <sheetView showGridLines="0" topLeftCell="A77" zoomScaleNormal="100" workbookViewId="0">
      <selection activeCell="E103" sqref="E10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TEXT(X_Cell_Site_EndDate,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TEXT(X_Cell_Site_EndDate,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IF(SUM(E30:H30)&gt;0,"Manure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IF(SUM(E35:H35)&gt;0,"Manure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IF(SUM(E41:H41)&gt;0,"Manure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IF(SUM(E47:H47)&gt;0,"Manure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IF(SUM(E53:H53)&gt;0,"Manure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IF(OR(SUM(E58:H58)&gt;0,COUNTIF(E30:E62,"Yes")&gt;0),"Manure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304"/>
  <sheetViews>
    <sheetView showGridLines="0" topLeftCell="G265" zoomScaleNormal="100" workbookViewId="0">
      <selection activeCell="O298" sqref="O29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SUM(F264:I295)</f>
        <v>7.4343140661428567E-2</v>
      </c>
      <c r="F297" s="99" t="str">
        <f>$E$252</f>
        <v>t N2O</v>
      </c>
      <c r="N297" s="97" t="s">
        <v>97</v>
      </c>
      <c r="O297" s="98">
        <f ca="1">SUM(P264:S295)</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BC820-F7C6-43FF-A3F3-C9A915D1F37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6" t="s">
        <v>18</v>
      </c>
      <c r="E6" s="36" t="s">
        <v>19</v>
      </c>
      <c r="F6" s="36" t="s">
        <v>20</v>
      </c>
    </row>
    <row r="7" spans="1:65" ht="20.100000000000001" customHeight="1" x14ac:dyDescent="0.25">
      <c r="A7" s="14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358</v>
      </c>
      <c r="E257" s="36" t="s">
        <v>359</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365</v>
      </c>
    </row>
    <row r="264" spans="4:6" x14ac:dyDescent="0.25">
      <c r="D264" s="1" t="s">
        <v>366</v>
      </c>
    </row>
    <row r="265" spans="4:6" x14ac:dyDescent="0.25">
      <c r="D265" s="36" t="s">
        <v>367</v>
      </c>
      <c r="E265" s="36" t="s">
        <v>368</v>
      </c>
      <c r="F265" s="36" t="s">
        <v>369</v>
      </c>
    </row>
    <row r="266" spans="4:6" x14ac:dyDescent="0.25">
      <c r="D266" s="36" t="s">
        <v>370</v>
      </c>
      <c r="E266" s="36" t="s">
        <v>371</v>
      </c>
      <c r="F266" s="36">
        <v>5</v>
      </c>
    </row>
    <row r="267" spans="4:6" x14ac:dyDescent="0.25">
      <c r="D267" s="36" t="s">
        <v>372</v>
      </c>
      <c r="E267" s="36" t="s">
        <v>373</v>
      </c>
      <c r="F267" s="36">
        <v>4</v>
      </c>
    </row>
    <row r="268" spans="4:6" x14ac:dyDescent="0.25">
      <c r="D268" s="36" t="s">
        <v>374</v>
      </c>
      <c r="E268" s="36" t="s">
        <v>375</v>
      </c>
      <c r="F268" s="36">
        <v>3</v>
      </c>
    </row>
    <row r="269" spans="4:6" x14ac:dyDescent="0.25">
      <c r="D269" s="36" t="s">
        <v>376</v>
      </c>
      <c r="E269" s="36" t="s">
        <v>377</v>
      </c>
      <c r="F269" s="36">
        <v>2</v>
      </c>
    </row>
    <row r="270" spans="4:6" x14ac:dyDescent="0.25">
      <c r="D270" s="36" t="s">
        <v>378</v>
      </c>
      <c r="E270" s="36" t="s">
        <v>379</v>
      </c>
      <c r="F270" s="36">
        <v>1</v>
      </c>
    </row>
    <row r="273" spans="4:6" x14ac:dyDescent="0.25">
      <c r="D273" s="1" t="s">
        <v>380</v>
      </c>
    </row>
    <row r="274" spans="4:6" x14ac:dyDescent="0.25">
      <c r="D274" s="36" t="s">
        <v>367</v>
      </c>
      <c r="E274" s="36" t="s">
        <v>368</v>
      </c>
      <c r="F274" s="36" t="s">
        <v>369</v>
      </c>
    </row>
    <row r="275" spans="4:6" x14ac:dyDescent="0.25">
      <c r="D275" s="36" t="s">
        <v>381</v>
      </c>
      <c r="E275" s="36" t="s">
        <v>382</v>
      </c>
      <c r="F275" s="36">
        <v>5</v>
      </c>
    </row>
    <row r="276" spans="4:6" x14ac:dyDescent="0.25">
      <c r="D276" s="36" t="s">
        <v>383</v>
      </c>
      <c r="E276" s="36" t="s">
        <v>384</v>
      </c>
      <c r="F276" s="36">
        <v>4</v>
      </c>
    </row>
    <row r="277" spans="4:6" x14ac:dyDescent="0.25">
      <c r="D277" s="36" t="s">
        <v>385</v>
      </c>
      <c r="E277" s="36" t="s">
        <v>386</v>
      </c>
      <c r="F277" s="36">
        <v>3</v>
      </c>
    </row>
    <row r="278" spans="4:6" x14ac:dyDescent="0.25">
      <c r="D278" s="36" t="s">
        <v>387</v>
      </c>
      <c r="E278" s="36" t="s">
        <v>388</v>
      </c>
      <c r="F278" s="36">
        <v>2</v>
      </c>
    </row>
    <row r="279" spans="4:6" x14ac:dyDescent="0.25">
      <c r="D279" s="36" t="s">
        <v>389</v>
      </c>
      <c r="E279" s="36" t="s">
        <v>390</v>
      </c>
      <c r="F279" s="36">
        <v>1</v>
      </c>
    </row>
    <row r="282" spans="4:6" x14ac:dyDescent="0.25">
      <c r="D282" s="1" t="s">
        <v>391</v>
      </c>
    </row>
    <row r="283" spans="4:6" x14ac:dyDescent="0.25">
      <c r="D283" s="36" t="s">
        <v>367</v>
      </c>
      <c r="E283" s="36" t="s">
        <v>368</v>
      </c>
      <c r="F283" s="36" t="s">
        <v>369</v>
      </c>
    </row>
    <row r="284" spans="4:6" x14ac:dyDescent="0.25">
      <c r="D284" s="36" t="s">
        <v>392</v>
      </c>
      <c r="E284" s="36" t="s">
        <v>393</v>
      </c>
      <c r="F284" s="36">
        <v>5</v>
      </c>
    </row>
    <row r="285" spans="4:6" x14ac:dyDescent="0.25">
      <c r="D285" s="36" t="s">
        <v>394</v>
      </c>
      <c r="E285" s="36" t="s">
        <v>395</v>
      </c>
      <c r="F285" s="36">
        <v>4</v>
      </c>
    </row>
    <row r="286" spans="4:6" x14ac:dyDescent="0.25">
      <c r="D286" s="36" t="s">
        <v>396</v>
      </c>
      <c r="E286" s="36" t="s">
        <v>397</v>
      </c>
      <c r="F286" s="36">
        <v>3</v>
      </c>
    </row>
    <row r="287" spans="4:6" x14ac:dyDescent="0.25">
      <c r="D287" s="36" t="s">
        <v>398</v>
      </c>
      <c r="E287" s="36" t="s">
        <v>399</v>
      </c>
      <c r="F287" s="36">
        <v>2</v>
      </c>
    </row>
    <row r="288" spans="4:6" x14ac:dyDescent="0.25">
      <c r="D288" s="36" t="s">
        <v>400</v>
      </c>
      <c r="E288" s="36" t="s">
        <v>401</v>
      </c>
      <c r="F288" s="36">
        <v>1</v>
      </c>
    </row>
    <row r="291" spans="4:6" x14ac:dyDescent="0.25">
      <c r="D291" s="1" t="s">
        <v>402</v>
      </c>
    </row>
    <row r="292" spans="4:6" x14ac:dyDescent="0.25">
      <c r="D292" s="36" t="s">
        <v>367</v>
      </c>
      <c r="E292" s="36" t="s">
        <v>368</v>
      </c>
      <c r="F292" s="36" t="s">
        <v>369</v>
      </c>
    </row>
    <row r="293" spans="4:6" x14ac:dyDescent="0.25">
      <c r="D293" s="36" t="s">
        <v>403</v>
      </c>
      <c r="E293" s="36" t="s">
        <v>404</v>
      </c>
      <c r="F293" s="36">
        <v>5</v>
      </c>
    </row>
    <row r="294" spans="4:6" x14ac:dyDescent="0.25">
      <c r="D294" s="36" t="s">
        <v>405</v>
      </c>
      <c r="E294" s="36" t="s">
        <v>406</v>
      </c>
      <c r="F294" s="36">
        <v>4</v>
      </c>
    </row>
    <row r="295" spans="4:6" x14ac:dyDescent="0.25">
      <c r="D295" s="36" t="s">
        <v>407</v>
      </c>
      <c r="E295" s="36" t="s">
        <v>408</v>
      </c>
      <c r="F295" s="36">
        <v>3</v>
      </c>
    </row>
    <row r="296" spans="4:6" x14ac:dyDescent="0.25">
      <c r="D296" s="36" t="s">
        <v>409</v>
      </c>
      <c r="E296" s="36" t="s">
        <v>410</v>
      </c>
      <c r="F296" s="36">
        <v>2</v>
      </c>
    </row>
    <row r="297" spans="4:6" x14ac:dyDescent="0.25">
      <c r="D297" s="36" t="s">
        <v>411</v>
      </c>
      <c r="E297" s="36" t="s">
        <v>412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6" sqref="A26"/>
    </sheetView>
  </sheetViews>
  <sheetFormatPr defaultRowHeight="15" x14ac:dyDescent="0.25"/>
  <sheetData>
    <row r="1" spans="1:1" x14ac:dyDescent="0.25">
      <c r="A1" t="s">
        <v>413</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148" t="str">
        <f>HYPERLINK("#'Acknowledgements'!A1", "Acknowledgements")</f>
        <v>Acknowledgements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67</vt:i4>
      </vt:variant>
    </vt:vector>
  </HeadingPairs>
  <TitlesOfParts>
    <vt:vector size="82"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2026-08-14T03:31:34Z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