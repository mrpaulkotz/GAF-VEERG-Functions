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4647677-0BC0-4859-8DA7-08AB0498C4FA}" xr6:coauthVersionLast="47" xr6:coauthVersionMax="47" xr10:uidLastSave="{00000000-0000-0000-0000-000000000000}"/>
  <bookViews>
    <workbookView xWindow="615" yWindow="780" windowWidth="37785" windowHeight="19140" firstSheet="4" activeTab="6"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2"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2" i="70" l="1"/>
  <c r="E95" i="70"/>
  <c r="E88" i="70"/>
  <c r="E81" i="70"/>
  <c r="E73" i="70"/>
  <c r="E66" i="70"/>
  <c r="I14" i="98"/>
  <c r="E132" i="79" a="1"/>
  <c r="E132" i="79" s="1"/>
  <c r="D132" i="79" a="1"/>
  <c r="D132" i="79" s="1"/>
  <c r="E131" i="79" a="1"/>
  <c r="E131" i="79" s="1"/>
  <c r="D131" i="79" a="1"/>
  <c r="D131" i="79" s="1"/>
  <c r="E130" i="79" a="1"/>
  <c r="E130" i="79" s="1"/>
  <c r="D130" i="79"/>
  <c r="D130" i="79" a="1"/>
  <c r="E129" i="79" a="1"/>
  <c r="E129" i="79" s="1"/>
  <c r="D129" i="79" a="1"/>
  <c r="D129" i="79" s="1"/>
  <c r="E128" i="79" a="1"/>
  <c r="E128" i="79" s="1"/>
  <c r="D128" i="79" a="1"/>
  <c r="D128" i="79" s="1"/>
  <c r="D126" i="79" a="1"/>
  <c r="D126" i="79" s="1"/>
  <c r="D125" i="79" a="1"/>
  <c r="D125" i="79" s="1"/>
  <c r="F122" i="79"/>
  <c r="F122" i="79" a="1"/>
  <c r="E122" i="79" a="1"/>
  <c r="E122" i="79" s="1"/>
  <c r="D122" i="79" a="1"/>
  <c r="D122" i="79" s="1"/>
  <c r="D121" i="79" a="1"/>
  <c r="D121" i="79" s="1"/>
  <c r="D120" i="79" a="1"/>
  <c r="D120" i="79" s="1"/>
  <c r="H60" i="70"/>
  <c r="G60" i="70"/>
  <c r="F60" i="70"/>
  <c r="E60" i="70"/>
  <c r="H59" i="70"/>
  <c r="G59" i="70"/>
  <c r="F59" i="70"/>
  <c r="E59" i="70"/>
  <c r="E27" i="70"/>
  <c r="D11" i="70"/>
  <c r="D10" i="70"/>
  <c r="E33" i="15"/>
  <c r="E32" i="15"/>
  <c r="E31" i="15"/>
  <c r="E30" i="15"/>
  <c r="E29" i="15"/>
  <c r="E13" i="15"/>
  <c r="A26" i="74"/>
  <c r="A25" i="74"/>
  <c r="A24" i="74"/>
  <c r="A23" i="74"/>
  <c r="A22" i="74"/>
  <c r="A18" i="74"/>
  <c r="A17" i="74"/>
  <c r="A16" i="74"/>
  <c r="A15" i="74"/>
  <c r="A14" i="74"/>
  <c r="A10" i="74"/>
  <c r="A9" i="74"/>
  <c r="A5" i="74"/>
  <c r="A4" i="74"/>
  <c r="A3" i="74"/>
  <c r="A26" i="72"/>
  <c r="A25" i="72"/>
  <c r="A24" i="72"/>
  <c r="A23" i="72"/>
  <c r="A22" i="72"/>
  <c r="A18" i="72"/>
  <c r="A17" i="72"/>
  <c r="A16" i="72"/>
  <c r="A15" i="72"/>
  <c r="A14" i="72"/>
  <c r="A10" i="72"/>
  <c r="A9" i="72"/>
  <c r="A5" i="72"/>
  <c r="A4" i="72"/>
  <c r="A3" i="72"/>
  <c r="A26" i="43"/>
  <c r="A25" i="43"/>
  <c r="A24" i="43"/>
  <c r="A23" i="43"/>
  <c r="A22" i="43"/>
  <c r="A18" i="43"/>
  <c r="A17" i="43"/>
  <c r="A16" i="43"/>
  <c r="A15" i="43"/>
  <c r="A14" i="43"/>
  <c r="A10" i="43"/>
  <c r="A9" i="43"/>
  <c r="A5" i="43"/>
  <c r="A4" i="43"/>
  <c r="A3" i="43"/>
  <c r="A26" i="112"/>
  <c r="A25" i="112"/>
  <c r="A24" i="112"/>
  <c r="A23" i="112"/>
  <c r="A22" i="112"/>
  <c r="A18" i="112"/>
  <c r="A17" i="112"/>
  <c r="A16" i="112"/>
  <c r="A15" i="112"/>
  <c r="A14" i="112"/>
  <c r="A10" i="112"/>
  <c r="A9" i="112"/>
  <c r="A5" i="112"/>
  <c r="A4" i="112"/>
  <c r="A3" i="112"/>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A26" i="71"/>
  <c r="A25" i="71"/>
  <c r="A24" i="71"/>
  <c r="A23" i="71"/>
  <c r="A22" i="71"/>
  <c r="A18" i="71"/>
  <c r="A17" i="71"/>
  <c r="A16" i="71"/>
  <c r="A15" i="71"/>
  <c r="A14" i="71"/>
  <c r="A10" i="71"/>
  <c r="A9" i="71"/>
  <c r="A5" i="71"/>
  <c r="A4" i="71"/>
  <c r="A3" i="71"/>
  <c r="I41" i="98"/>
  <c r="O160" i="69"/>
  <c r="O159" i="69"/>
  <c r="O158" i="69"/>
  <c r="O157" i="69"/>
  <c r="O155" i="69"/>
  <c r="I119" i="97"/>
  <c r="I42" i="98"/>
  <c r="I120" i="97"/>
  <c r="I256" i="76"/>
  <c r="P52" i="98"/>
  <c r="G52" i="98"/>
  <c r="Q128" i="97"/>
  <c r="G128" i="97"/>
  <c r="Q300" i="76"/>
  <c r="G300" i="76"/>
  <c r="Q264" i="69"/>
  <c r="G264" i="69"/>
  <c r="O156" i="69"/>
  <c r="E160" i="69"/>
  <c r="E159" i="69"/>
  <c r="E158" i="69"/>
  <c r="E157" i="69"/>
  <c r="E156" i="69"/>
  <c r="E155"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c r="D228" i="112" a="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2" i="112" l="1"/>
  <c r="H51" i="112"/>
  <c r="H48" i="112"/>
  <c r="H53" i="112"/>
  <c r="H54" i="112"/>
  <c r="H50" i="112"/>
  <c r="H49" i="112"/>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E7" i="97" a="1"/>
  <c r="E34" i="98" a="1"/>
  <c r="E7" i="98" a="1"/>
  <c r="E248" i="76" a="1"/>
  <c r="E7" i="105" a="1"/>
  <c r="O112" i="97" a="1"/>
  <c r="E112" i="97"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106" i="76" a="1"/>
  <c r="E82" i="76" a="1"/>
  <c r="E129" i="76" a="1"/>
  <c r="E7" i="76" a="1"/>
  <c r="E41"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74" i="69" a="1"/>
  <c r="E190" i="69" a="1"/>
  <c r="E235" i="69" a="1"/>
  <c r="E218"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63" i="97" a="1"/>
  <c r="E63" i="97" s="1"/>
  <c r="E154" i="76" a="1"/>
  <c r="E154" i="76" s="1"/>
  <c r="E143" i="76" a="1"/>
  <c r="E143" i="76" s="1"/>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H233" i="76" l="1"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R264" i="76" a="1"/>
  <c r="R264" i="76" s="1"/>
  <c r="H206" i="69" a="1"/>
  <c r="H206" i="69" s="1"/>
  <c r="F206" i="69" a="1"/>
  <c r="F206" i="69" s="1"/>
  <c r="I183" i="69" a="1"/>
  <c r="I183" i="69" s="1"/>
  <c r="H183" i="69" a="1"/>
  <c r="H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H38" i="105" l="1"/>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H150" i="105" l="1"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O297" i="76" l="1"/>
  <c r="E297" i="76"/>
  <c r="F7" i="13"/>
  <c r="Q263" i="69"/>
  <c r="E7" i="13"/>
  <c r="G263" i="69"/>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O266" i="69" a="1"/>
  <c r="O266" i="69" s="1"/>
  <c r="I7" i="13" s="1"/>
  <c r="E266" i="69" a="1"/>
  <c r="E266" i="69" s="1"/>
  <c r="H7" i="13" s="1"/>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<sst xmlns="http://schemas.openxmlformats.org/spreadsheetml/2006/main" count="1174" uniqueCount="364">
  <si>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</si>
  <si>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</si>
  <si>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</si>
  <si>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</si>
  <si>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</si>
  <si>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</si>
  <si>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</si>
  <si>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</si>
  <si>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</si>
  <si>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</si>
  <si>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</si>
  <si>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</si>
  <si>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</si>
  <si>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</si>
  <si>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</si>
  <si>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</si>
  <si>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</si>
  <si>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</si>
  <si>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</si>
  <si>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</si>
  <si>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</si>
  <si>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</si>
  <si>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</si>
  <si>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</si>
  <si>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</si>
  <si>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</si>
  <si>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</si>
  <si>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</si>
  <si>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</si>
  <si>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</si>
  <si>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</si>
  <si>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</si>
  <si>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</si>
  <si>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</si>
  <si>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</si>
  <si>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</si>
  <si>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</si>
  <si>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</si>
  <si>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</si>
  <si>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</si>
  <si>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</si>
  <si>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</si>
  <si>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</si>
  <si>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</si>
  <si>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</si>
  <si>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</si>
  <si>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</si>
  <si>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</si>
  <si>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</si>
  <si>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</si>
  <si>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</si>
  <si>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</si>
  <si>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</si>
  <si>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</si>
  <si>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</si>
  <si>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</si>
  <si>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</si>
  <si>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</si>
  <si>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</si>
  <si>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</si>
  <si>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</si>
  <si>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</si>
  <si>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</si>
  <si>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</si>
  <si>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</si>
  <si>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</si>
  <si>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</si>
  <si>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</si>
  <si>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</si>
  <si>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</si>
  <si>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</si>
  <si>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</si>
  <si>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</si>
  <si>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</si>
  <si>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</si>
  <si>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</si>
  <si>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</si>
  <si>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</si>
  <si>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</si>
  <si>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</si>
  <si>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</si>
  <si>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</si>
  <si>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</si>
  <si>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</si>
  <si>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</si>
  <si>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</si>
  <si>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</si>
  <si>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</si>
  <si>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</si>
  <si>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</si>
  <si>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</si>
  <si>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</si>
  <si>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</si>
  <si>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</si>
  <si>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</si>
  <si>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</si>
  <si>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</si>
  <si>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</si>
  <si>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</si>
  <si>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</si>
  <si>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</si>
  <si>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</si>
  <si>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</si>
  <si>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</si>
  <si>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</si>
  <si>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</si>
  <si>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</si>
  <si>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</si>
  <si>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</si>
  <si>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</si>
  <si>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</si>
  <si>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</si>
  <si>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</si>
  <si>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</si>
  <si>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</si>
  <si>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</si>
  <si>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</si>
  <si>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</si>
  <si>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</si>
  <si>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</si>
  <si>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</si>
  <si>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</si>
  <si>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</si>
  <si>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</si>
  <si>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</si>
  <si>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</si>
  <si>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</si>
  <si>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</si>
  <si>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</si>
  <si>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</si>
  <si>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</si>
  <si>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</si>
  <si>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</si>
  <si>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</si>
  <si>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</si>
  <si>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</si>
  <si>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</si>
  <si>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</si>
  <si>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</si>
  <si>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</si>
  <si>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</si>
  <si>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</si>
  <si>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</si>
  <si>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</si>
  <si>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</si>
  <si>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</si>
  <si>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</si>
  <si>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</si>
  <si>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</si>
  <si>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</si>
  <si>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</si>
  <si>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</si>
  <si>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</si>
  <si>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</si>
  <si>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</si>
  <si>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</si>
  <si>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</si>
  <si>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</si>
  <si>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</si>
  <si>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</si>
  <si>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</si>
  <si>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</si>
  <si>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</si>
  <si>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</si>
  <si>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</si>
  <si>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</si>
  <si>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</si>
  <si>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</si>
  <si>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</si>
  <si>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</si>
  <si>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</si>
  <si>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</si>
  <si>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</si>
  <si>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</si>
  <si>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</si>
  <si>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</si>
  <si>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</si>
  <si>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</si>
  <si>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</si>
  <si>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</si>
  <si>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</si>
  <si>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</si>
  <si>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</si>
  <si>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</si>
  <si>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</si>
  <si>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</si>
  <si>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</si>
  <si>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</si>
  <si>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</si>
  <si>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</si>
  <si>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</si>
  <si>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</si>
  <si>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</si>
  <si>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</si>
  <si>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</si>
  <si>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</si>
  <si>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</si>
  <si>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</si>
  <si>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</si>
  <si>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</si>
  <si>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</si>
  <si>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</si>
  <si>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</si>
  <si>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</si>
  <si>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</si>
  <si>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</si>
  <si>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</si>
  <si>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</si>
  <si>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</si>
  <si>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</si>
  <si>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</si>
  <si>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</si>
  <si>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</si>
  <si>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</si>
  <si>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</si>
  <si>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</si>
  <si>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</si>
  <si>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</si>
  <si>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</si>
  <si>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</si>
  <si>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</si>
  <si>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</si>
  <si>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</si>
  <si>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</si>
  <si>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</si>
  <si>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</si>
  <si>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</si>
  <si>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</si>
  <si>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</si>
  <si>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</si>
  <si>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</si>
  <si>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</si>
  <si>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</si>
  <si>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</si>
  <si>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</si>
  <si>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</si>
  <si>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</si>
  <si>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</si>
  <si>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</si>
  <si>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</si>
  <si>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</si>
  <si>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</si>
  <si>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</si>
  <si>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</si>
  <si>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</si>
  <si>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</si>
  <si>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</si>
  <si>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</si>
  <si>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</si>
  <si>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</si>
  <si>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</si>
  <si>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</si>
  <si>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</si>
  <si>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</si>
  <si>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</si>
  <si>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</si>
  <si>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</si>
  <si>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</si>
  <si>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</si>
  <si>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</si>
  <si>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</si>
  <si>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</si>
  <si>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</si>
  <si>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</si>
  <si>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</si>
  <si>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</si>
  <si>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</si>
  <si>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</si>
  <si>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</si>
  <si>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</si>
  <si>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</si>
  <si>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</si>
  <si>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</si>
  <si>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</si>
  <si>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</si>
  <si>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</si>
  <si>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</si>
  <si>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</si>
  <si>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</si>
  <si>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</si>
  <si>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</si>
  <si>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</si>
  <si>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</si>
  <si>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</si>
  <si>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</si>
  <si>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</si>
  <si>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</si>
  <si>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</si>
  <si>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</si>
  <si>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</si>
  <si>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</si>
  <si>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</si>
  <si>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</si>
  <si>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</si>
  <si>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</si>
  <si>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</si>
  <si>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</si>
  <si>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</si>
  <si>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</si>
  <si>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</si>
  <si>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</si>
  <si>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</si>
  <si>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</si>
  <si>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</si>
  <si>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</si>
  <si>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</si>
  <si>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</si>
  <si>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</si>
  <si>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</si>
  <si>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</si>
  <si>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</si>
  <si>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</si>
  <si>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</si>
  <si>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</si>
  <si>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</si>
  <si>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</si>
  <si>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</si>
  <si>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</si>
  <si>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</si>
  <si>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</si>
  <si>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</si>
  <si>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</si>
  <si>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</si>
  <si>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</si>
  <si>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</si>
  <si>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</si>
  <si>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</si>
  <si>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</si>
  <si>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</si>
  <si>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</si>
  <si>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</si>
  <si>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</si>
  <si>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</si>
  <si>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</si>
  <si>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</si>
  <si>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</si>
  <si>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</si>
  <si>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</si>
  <si>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</si>
  <si>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</si>
  <si>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</si>
  <si>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</si>
  <si>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</si>
  <si>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</si>
  <si>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</si>
  <si>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</si>
  <si>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</si>
  <si>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</si>
  <si>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</si>
  <si>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</si>
  <si>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</si>
  <si>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</si>
  <si>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</si>
  <si>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</si>
  <si>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</si>
  <si>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</si>
  <si>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</si>
  <si>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</si>
  <si>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</si>
  <si>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</si>
  <si>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</si>
  <si>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</si>
  <si>
    <t>Livestock type j</t>
  </si>
  <si>
    <t>Average liveweight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</si>
</sst>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49">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8"/>
      <tableStyleElement type="headerRow" dxfId="97"/>
      <tableStyleElement type="totalRow" dxfId="96"/>
      <tableStyleElement type="firstColumn" dxfId="95"/>
      <tableStyleElement type="firstRowStripe" dxfId="94"/>
      <tableStyleElement type="secondRowStripe" dxfId="93"/>
    </tableStyle>
    <tableStyle name="Equation table" pivot="0" count="6" xr9:uid="{B247698E-E41D-4CCD-AA0A-C14817E9DE65}">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5"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4"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3"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2"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1"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0"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9"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8"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6"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5"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4"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3"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2"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1" dataCellStyle="Content normal">
  <autoFilter ref="D78:E82" xr:uid="{E34928EB-73E5-43B2-830B-089F30DA4EF0}">
    <filterColumn colId="0" hiddenButton="1"/>
    <filterColumn colId="1" hiddenButton="1"/>
  </autoFilter>
  <tableColumns count="2">
    <tableColumn id="1" xr3:uid="{CAC8EB28-568F-4E9F-8E36-EBDFF74A58D3}" name="Class" dataDxfId="70"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9"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8"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7"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6"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5"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A254605-4CDB-415A-A190-7F77AFC9D7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969FF8AE-5D3E-433B-A365-F49AE6130585}" name="Livestock type j">
      <calculatedColumnFormula array="1">Common_InputFunctions.Utility_DisplayArrayInTable(SourceData_Swine.SourceData_Swine_AverageLiveweight_Data(),Table_SourceData_Swine_Liveweight[[#Headers],[Livestock type j]],0)</calculatedColumnFormula>
    </tableColumn>
    <tableColumn id="2" xr3:uid="{9C7E1D4D-8B61-4284-8391-BB58A293649F}" name="Average liveweight (kg)" dataDxfId="64"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A5586D-E51C-4328-A67E-153B8466445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04020A7-5AD4-4E97-B6B6-6605D5F65FA2}" name="State/Territory">
      <calculatedColumnFormula array="1">Common_InputFunctions.Utility_DisplayArrayInTable(Common_SourceData.Common_SourceData_AustralianStatesTerritories_Data(),Table_AustralianStates[[#Headers],[State/Territory]],0)</calculatedColumnFormula>
    </tableColumn>
    <tableColumn id="2" xr3:uid="{8D12D2EC-4175-42DA-87FA-D8BAE8DAD327}" name="Common Name">
      <calculatedColumnFormula array="1">Common_InputFunctions.Utility_DisplayArrayInTable(Common_SourceData.Common_SourceData_AustralianStatesTerritories_Data(),Table_AustralianStates[[#Headers],[State/Territory]],0)</calculatedColumnFormula>
    </tableColumn>
    <tableColumn id="3" xr3:uid="{135F1B69-1DEA-4335-B6F4-CF069FC2BFB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C98574-55F8-4793-A9A7-F9F07F4AE4AF}" name="Table_WASA4Areas" displayName="Table_WASA4Areas" ref="D20:D30" totalsRowShown="0">
  <autoFilter ref="D20:D30" xr:uid="{5FA81339-C6C8-4D36-BEEA-6C4AEDD9E676}">
    <filterColumn colId="0" hiddenButton="1"/>
  </autoFilter>
  <tableColumns count="1">
    <tableColumn id="1" xr3:uid="{1F669238-5FB3-49BC-B0C4-4220652CDD0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04B6EA2-F954-4823-BDD4-0539002C76CC}" name="Table_GWPData" displayName="Table_GWPData" ref="D36:E43" totalsRowShown="0">
  <autoFilter ref="D36:E43" xr:uid="{B8E87A66-3E41-4AD3-925D-01EE21B43D7A}">
    <filterColumn colId="0" hiddenButton="1"/>
    <filterColumn colId="1" hiddenButton="1"/>
  </autoFilter>
  <tableColumns count="2">
    <tableColumn id="1" xr3:uid="{787A976F-CCA8-439B-8727-344C1ED3B9D4}" name="Gas">
      <calculatedColumnFormula array="1">Common_InputFunctions.Utility_DisplayArrayInTable(Common_SourceData.Common_SourceData_GWP_Data(), Table_GWPData[[#Headers],[Gas]], 0)</calculatedColumnFormula>
    </tableColumn>
    <tableColumn id="2" xr3:uid="{13A4C0C2-93B4-45CB-9360-60B4829D288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90C8D08-80B6-48FD-A035-396EE8FF80B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978C610-8D0E-411F-8325-B48ABFB325B9}" name="Gas">
      <calculatedColumnFormula array="1">Common_InputFunctions.Utility_DisplayArrayInTable(Common_SourceData.Common_SourceData_ConvertGasElementalToMolecular_Data(),Table_GasToMolecularConversionFactor[[#Headers],[Gas]], 0)</calculatedColumnFormula>
    </tableColumn>
    <tableColumn id="5" xr3:uid="{EE7B26D0-2B71-47AE-AC62-39B7FBFBB4F6}" name="Conversion factor">
      <calculatedColumnFormula array="1">Common_InputFunctions.Utility_DisplayArrayInTable(Common_SourceData.Common_SourceData_ConvertGasElementalToMolecular_Data(),Table_GasToMolecularConversionFactor[[#Headers],[Gas]], 0)</calculatedColumnFormula>
    </tableColumn>
    <tableColumn id="2" xr3:uid="{97DE05D7-63A2-444C-8D4C-DD8F811C259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F53AC99-9E38-4907-86C3-8D6E4467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03835AC-6106-4409-9EE3-9EA6064625D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5DF380-A0B5-4374-A584-DEAAC96911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8E19CE-DF3A-4AE1-B390-BCC648B964E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995DA0B-5393-4617-B836-2D819DEB85CF}"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1C283975-CA07-49BA-B59E-43579AFA120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17AA4E74-03F1-487A-8F2A-33945A070392}"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25C62D53-D6A6-4418-93D9-330D91BF5473}"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EAB43067-DE79-46EE-BCF2-C191F6D3627D}"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340FC9C5-0522-4524-BE52-008B700887ED}"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51D822B2-560D-4A75-B135-0D148B452652}"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E5BBE6C2-BAB2-4A19-B351-46720B644003}"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3830186D-24BC-42F9-80AD-8938B2F37E33}"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D74765D9-E2D3-47F2-97BC-7979D0235679}"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88CF3591-6267-4488-8E57-A0AA99BAD73F}"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AA572D50-BB7F-469F-8402-CCB7C16584AF}"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32A2F222-6BC9-479B-B1DA-6DBA2633D2D4}"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60074C12-5819-4961-9266-41C3F06BB812}"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197BDE81-34E4-4DC6-B1B8-ACC8CD2FA417}"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50D16E-70F1-4C07-94EE-D7BAAE3DF6F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57363D-6C20-46EE-97D0-956E93EACB3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B9BA6A8-216D-4CA5-B6F7-33D522EEA67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4FB1311-DBE0-438C-AA86-72FE705DFD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631D77-4E29-408C-AD4E-8B984976CE0A}" name="Temperature Zone">
      <calculatedColumnFormula array="1">Common_InputFunctions.Utility_DisplayArrayInTable(Common_SourceData.Common_SourceData_TemperatureZones_Data(),Table_SourceData_TemperatureZones[[#Headers],[Temperature Zone]],0)</calculatedColumnFormula>
    </tableColumn>
    <tableColumn id="2" xr3:uid="{D9F5261A-444B-4A82-AF49-8DC1294A71F8}" name="MAT">
      <calculatedColumnFormula array="1">Common_InputFunctions.Utility_DisplayArrayInTable(Common_SourceData.Common_SourceData_TemperatureZones_Data(),Table_SourceData_TemperatureZones[[#Headers],[Temperature Zone]],0)</calculatedColumnFormula>
    </tableColumn>
    <tableColumn id="3" xr3:uid="{3800F1FA-05F9-497F-B4E6-F944B083BC3C}" name="Min MAT">
      <calculatedColumnFormula array="1">Common_InputFunctions.Utility_DisplayArrayInTable(Common_SourceData.Common_SourceData_TemperatureZones_Data(),Table_SourceData_TemperatureZones[[#Headers],[Temperature Zone]],0)</calculatedColumnFormula>
    </tableColumn>
    <tableColumn id="4" xr3:uid="{25533CD5-E69B-4675-B3E5-7598C98C621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5B8EFA6-2293-4C22-A95B-FD835CD5AB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9E9E420-F771-4FBA-878F-1C43A141E54D}" name="Rainfall Zone">
      <calculatedColumnFormula array="1">Common_InputFunctions.Utility_DisplayArrayInTable(Common_SourceData.Common_SourceData_RainfallZones_Data(),Table_SourceData_RainfallZones[[#Headers],[Rainfall Zone]],0)</calculatedColumnFormula>
    </tableColumn>
    <tableColumn id="2" xr3:uid="{FA55E8EC-46D5-49F5-A8AF-9BC33100330D}" name="Annual rainfall">
      <calculatedColumnFormula array="1">Common_InputFunctions.Utility_DisplayArrayInTable(Common_SourceData.Common_SourceData_RainfallZones_Data(),Table_SourceData_RainfallZones[[#Headers],[Rainfall Zone]],0)</calculatedColumnFormula>
    </tableColumn>
    <tableColumn id="3" xr3:uid="{DB82C5C4-5A5F-485F-95DF-DCF87C8CD29A}" name="Min rainfall">
      <calculatedColumnFormula array="1">Common_InputFunctions.Utility_DisplayArrayInTable(Common_SourceData.Common_SourceData_RainfallZones_Data(),Table_SourceData_RainfallZones[[#Headers],[Rainfall Zone]],0)</calculatedColumnFormula>
    </tableColumn>
    <tableColumn id="4" xr3:uid="{F2A2C68F-1233-453A-BA03-9A284190076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795D7DE-34EB-4924-9541-BEDBC58740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02EFF49-53DF-471B-9322-E17D4F07C4FD}" name="Leaching Zone">
      <calculatedColumnFormula array="1">Common_InputFunctions.Utility_DisplayArrayInTable(Common_SourceData.Common_SourceData_LeachingZones_Data(), Table_SourceData_LeachingZones[[#Headers],[Leaching Zone]], 0)</calculatedColumnFormula>
    </tableColumn>
    <tableColumn id="2" xr3:uid="{6AC07416-C58B-4289-9718-634899C1182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CBF81AD-0F44-4A1C-BF03-E276EBFFBB6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41A0A0A-CEAC-4560-A674-70927BC78133}" name="Data source">
      <calculatedColumnFormula array="1">Common_InputFunctions.Utility_DisplayArrayInTable(Common_SourceData.Common_SourceData_DataScores_Scope3_Data(), Table_SourceData_DataScores_Scope3[[#Headers],[Data source]], 0)</calculatedColumnFormula>
    </tableColumn>
    <tableColumn id="2" xr3:uid="{EA598D6B-14BC-43E9-B58F-EF261659C51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C76D2F7-DF46-4353-9103-95688EC61C24}" name="Table_SourceData_FracWET" displayName="Table_SourceData_FracWET" ref="D134:E136" totalsRowShown="0">
  <autoFilter ref="D134:E136" xr:uid="{308E99BE-FE1F-47A4-B2CA-97217277C4E9}">
    <filterColumn colId="0" hiddenButton="1"/>
    <filterColumn colId="1" hiddenButton="1"/>
  </autoFilter>
  <tableColumns count="2">
    <tableColumn id="1" xr3:uid="{926BC31C-5186-4059-A01D-C7FE1928F287}" name="Is in leaching zone">
      <calculatedColumnFormula array="1">Common_InputFunctions.Utility_DisplayArrayInTable(Common_SourceData.Common_SourceData_FracWET_Data(),Table_SourceData_FracWET[[#Headers],[Is in leaching zone]],0)</calculatedColumnFormula>
    </tableColumn>
    <tableColumn id="2" xr3:uid="{911FF7E5-0549-4542-8430-63A6C682751B}"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91BFDA8-28F2-4F72-81FD-B1085E33EB7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D9133BE-81D4-402D-B6F9-FA55F27589CD}" name="Production system j">
      <calculatedColumnFormula array="1">Common_InputFunctions.Utility_DisplayArrayInTable(Common_SourceData.Common_SourceData_EFN2O_Data(), Table_SourceData_Common_EFN2O[[#Headers],[Production system j]], 0)</calculatedColumnFormula>
    </tableColumn>
    <tableColumn id="2" xr3:uid="{9856750D-5822-45C0-837D-950404030A2F}" name="EFN2O">
      <calculatedColumnFormula array="1">Common_InputFunctions.Utility_DisplayArrayInTable(Common_SourceData.Common_SourceData_EFN2O_Data(), Table_SourceData_Common_EFN2O[[#Headers],[Production system j]], 0)</calculatedColumnFormula>
    </tableColumn>
    <tableColumn id="3" xr3:uid="{B08FAB1E-C129-457A-AB98-5FB4F20CCA3F}" name="Production system only">
      <calculatedColumnFormula array="1">Common_InputFunctions.Utility_DisplayArrayInTable(Common_SourceData.Common_SourceData_EFN2O_Data(), Table_SourceData_Common_EFN2O[[#Headers],[Production system j]], 0)</calculatedColumnFormula>
    </tableColumn>
    <tableColumn id="4" xr3:uid="{998A9B87-C7AB-4BCE-A146-5C1AD11978DD}" name="Irrigation method">
      <calculatedColumnFormula array="1">Common_InputFunctions.Utility_DisplayArrayInTable(Common_SourceData.Common_SourceData_EFN2O_Data(), Table_SourceData_Common_EFN2O[[#Headers],[Production system j]], 0)</calculatedColumnFormula>
    </tableColumn>
    <tableColumn id="5" xr3:uid="{49AC6C97-0FE5-4CCF-811C-6D6D1D83C58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DFAF2DA-66BB-4EED-B4A9-4EB8126372E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8843795-1C27-4199-A1F8-C0C588739CBF}" name="Irrigation type i">
      <calculatedColumnFormula array="1">Common_InputFunctions.Utility_DisplayArrayInTable(Common_SourceData.Common_SourceData_FracWETIrrigation_Data(), Table_SourceData_FracWETIrrigation[[#Headers],[Irrigation type i]], 0)</calculatedColumnFormula>
    </tableColumn>
    <tableColumn id="2" xr3:uid="{449E3B51-5658-4E23-AE72-2D657BCA73BB}"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2B63BB-D34D-4B5A-B5A7-7143AE3634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C7A306B-3E8A-4FD1-B77B-C2C41C53423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F1DEE39-6328-4317-A9E4-78D58052A025}"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341F05-F55D-4D5E-8F59-BD0834BE4F5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E037CCA-4EE6-47F5-B9F9-A6287F882B37}" name="Month">
      <calculatedColumnFormula array="1">Common_InputFunctions.Utility_DisplayArrayInTable(Common_SourceData.Common_SourceData_MonthsToSeasons_Data(), Table_SourceData_Common_MonthToSeason[[#Headers],[Month]], 0)</calculatedColumnFormula>
    </tableColumn>
    <tableColumn id="2" xr3:uid="{087FA837-AE26-40F2-BAA4-32D90C16453B}"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2CC2C84-7756-4B84-89A1-93962CD928A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F78A4A4-8D7F-4DB4-A786-85AC80A776C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5A70701-7D3E-425A-9F50-69B6D1E90BF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E872BA7-38B0-4982-8E6D-02B24A9DD7A2}"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68389D-E9E7-4F59-9EA4-74BD5FD794F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3FBB278-D8DB-449B-9531-278065F421B9}"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C717805-FFE8-4A83-9F36-1F3AB0E0416F}"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036372B-BAE4-47D0-A685-E799EE9A4202}"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852F0B1-7058-43FC-B1EB-816C3808E4FF}"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8890138-D852-4D47-A0F2-17C0302E337E}"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6843169-FED0-4CF1-83FC-448F632568D8}"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87C8D5-8498-47DA-91A6-40439AC6DEDD}"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CBC44A9-B6E7-48A2-8F79-1A77CE8E377F}"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F3982AC-39C7-4C8D-BBF9-26987D3434AC}"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0D560E-EB9A-4D84-83F5-AE3032261950}"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944AF2-DC14-43D5-B9C6-8C16D5A33621}"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965EB64-94D0-461C-A394-83DBC8C1B7E8}"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EF9FB97-697E-42C5-9D2B-708D57742F5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96DD14-08EE-4D33-B3E8-C0A5FE511A6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6625809-F927-47B3-9BE0-615C9703377E}"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5.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44"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6" sqref="A26"/>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77" zoomScaleNormal="100" workbookViewId="0">
      <selection activeCell="E103" sqref="E103"/>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IF(SUM(E30:H30)&gt;0,"Manure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IF(SUM(E35:H35)&gt;0,"Manure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IF(SUM(E41:H41)&gt;0,"Manure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IF(SUM(E47:H47)&gt;0,"Manure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IF(SUM(E53:H53)&gt;0,"Manure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IF(OR(SUM(E58:H58)&gt;0,COUNTIF(E30:E62,"Yes")&gt;0),"Manure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abSelected="1" topLeftCell="G265" zoomScaleNormal="100" workbookViewId="0">
      <selection activeCell="O298" sqref="O29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SUM(F264:I295)</f>
        <v>7.4343140661428567E-2</v>
      </c>
      <c r="F297" s="99" t="str">
        <f>$E$252</f>
        <v>t N2O</v>
      </c>
      <c r="N297" s="97" t="s">
        <v>97</v>
      </c>
      <c r="O297" s="98">
        <f ca="1">SUM(P264:S295)</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1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2" zoomScaleNormal="100" workbookViewId="0">
      <selection activeCell="G121" sqref="G12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D120" s="6" t="str" cm="1">
        <f t="array" ref="D120">SourceData_Swine.SourceData_Swine_MegajoulesPerKilogramMethane_Title()</f>
        <v>Megajoules per kilogram of methane</v>
      </c>
      <c r="M120" s="1"/>
    </row>
    <row r="121" spans="4:22" ht="20.100000000000001" customHeight="1" x14ac:dyDescent="0.25">
      <c r="D121" s="5" t="str" cm="1">
        <f t="array" ref="D121">SourceData_Swine.SourceData_Swine_MegajoulesPerKilogramMethane_Source()</f>
        <v>VEERG 2026: 3.5.2.3 CONSTANT</v>
      </c>
      <c r="M121" s="1"/>
    </row>
    <row r="122" spans="4:22" ht="20.100000000000001" customHeight="1" x14ac:dyDescent="0.25">
      <c r="D122" s="51" t="str" cm="1">
        <f t="array" ref="D122">SourceData_Swine.SourceData_Swine_MegajoulesPerKilogramMethane_Variable()</f>
        <v>F</v>
      </c>
      <c r="E122" s="1" cm="1">
        <f t="array" ref="E122">SourceData_Swine.SourceData_Swine_MegajoulesPerKilogramMethane_Data()</f>
        <v>55.22</v>
      </c>
      <c r="F122" s="52" t="str" cm="1">
        <f t="array" ref="F122">SourceData_Swine.SourceData_Swine_MegajoulesPerKilogramMethane_Unit()</f>
        <v>MJ / kg CH4</v>
      </c>
      <c r="M122" s="1"/>
    </row>
    <row r="123" spans="4:22" ht="20.100000000000001" customHeight="1" x14ac:dyDescent="0.25">
      <c r="M123" s="1"/>
    </row>
    <row r="124" spans="4:22" ht="20.100000000000001" customHeight="1" x14ac:dyDescent="0.25">
      <c r="M124" s="1"/>
    </row>
    <row r="125" spans="4:22" ht="20.100000000000001" customHeight="1" x14ac:dyDescent="0.25">
      <c r="D125" s="6" t="str" cm="1">
        <f t="array" ref="D125">SourceData_Swine.SourceData_Swine_AverageLiveweight_Title()</f>
        <v>Swine - Average liveweight (inventory defaults) (kg) (Wco)</v>
      </c>
      <c r="M125" s="1"/>
      <c r="V125" s="1"/>
    </row>
    <row r="126" spans="4:22" ht="20.100000000000001" customHeight="1" x14ac:dyDescent="0.25">
      <c r="D126" s="5" t="str" cm="1">
        <f t="array" ref="D126">SourceData_Swine.SourceData_Swine_AverageLiveweight_Source()</f>
        <v>VEERG 2026: Table A.1.6.5: Swine - Average liveweight (inventory defaults) (kg) (Wco)</v>
      </c>
      <c r="M126" s="1"/>
      <c r="V126" s="1"/>
    </row>
    <row r="127" spans="4:22" ht="20.100000000000001" customHeight="1" x14ac:dyDescent="0.25">
      <c r="D127" s="36" t="s">
        <v>362</v>
      </c>
      <c r="E127" s="36" t="s">
        <v>363</v>
      </c>
      <c r="M127" s="1"/>
      <c r="V127" s="1"/>
    </row>
    <row r="128" spans="4:22" ht="20.100000000000001" customHeight="1" x14ac:dyDescent="0.25">
      <c r="D128" s="36" t="str" cm="1">
        <f t="array" ref="D128">Common_InputFunctions.Utility_DisplayArrayInTable(SourceData_Swine.SourceData_Swine_AverageLiveweight_Data(),Table_SourceData_Swine_Liveweight[[#Headers],[Livestock type j]],0)</f>
        <v>Sows</v>
      </c>
      <c r="E128" s="36"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6"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6"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6"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6"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D7760-F9B8-47AA-A0AC-8DE77A54E70C}">
  <dimension ref="A1:BY259"/>
  <sheetViews>
    <sheetView showGridLines="0" topLeftCell="A86" zoomScaleNormal="100" workbookViewId="0">
      <selection activeCell="A25" sqref="A25"/>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4"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Swine'!A1", "Swine")</f>
        <v>Swine</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HYPERLINK("#'4.5.1.1-2 Methane'!A1", "4.5.1.1-2 Methane")</f>
        <v>4.5.1.1-2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HYPERLINK("#'4.5.1.3-4 Direct N2O'!A1", "4.5.1.3-4 Direct N2O")</f>
        <v>4.5.1.3-4 Direct N2O</v>
      </c>
    </row>
    <row r="16" spans="1:65" ht="20.100000000000001" customHeight="1" x14ac:dyDescent="0.25">
      <c r="A16" s="17" t="str">
        <f>HYPERLINK("#'4.5.1.5-6 Atmos Dep'!A1", "4.5.1.5-6 Atmos Dep")</f>
        <v>4.5.1.5-6 Atmos Dep</v>
      </c>
    </row>
    <row r="17" spans="1:4" ht="20.100000000000001" customHeight="1" x14ac:dyDescent="0.25">
      <c r="A17" s="17" t="str">
        <f>HYPERLINK("#'4.5.1.7-8 Leaching and runoff'!A1", "4.5.1.7-8 Leaching and runoff")</f>
        <v>4.5.1.7-8 Leaching and runoff</v>
      </c>
    </row>
    <row r="18" spans="1:4" ht="20.100000000000001" customHeight="1" x14ac:dyDescent="0.25">
      <c r="A18" s="17" t="str">
        <f>HYPERLINK("#'4.5.1.9 Manure applied to soils'!A1", "4.5.1.9 Manure applied to soils")</f>
        <v>4.5.1.9 Manure applied to soils</v>
      </c>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s="145" t="s">
        <v>1</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Swine'!A1", "Constants - Swine")</f>
        <v>Constants - Swine</v>
      </c>
      <c r="D22" s="36" t="str" cm="1">
        <f t="array" ref="D22">Common_InputFunctions.Utility_DisplayArrayInTable(Common_SourceData.Common_SourceData_WASA4Areas_Data(), Table_WASA4Areas[[#Headers],[SA 4 Name]], 0)</f>
        <v>Mandurah</v>
      </c>
    </row>
    <row r="23" spans="1:4" ht="20.100000000000001" customHeight="1" x14ac:dyDescent="0.25">
      <c r="A23" s="148" t="str">
        <f>HYPERLINK("#'Constants - Common'!A1", "Constants - Common")</f>
        <v>Constants - Common</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Livestock'!A1", "Constants - Livestock")</f>
        <v>Constants - Livestock</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HYPERLINK("#'Acknowledgements'!A1", "Acknowledgements")</f>
        <v>Acknowledgements</v>
      </c>
      <c r="D25" s="36" t="str" cm="1">
        <f t="array" ref="D25">Common_InputFunctions.Utility_DisplayArrayInTable(Common_SourceData.Common_SourceData_WASA4Areas_Data(), Table_WASA4Areas[[#Headers],[SA 4 Name]], 0)</f>
        <v>Perth - North West</v>
      </c>
    </row>
    <row r="26" spans="1:4" ht="20.100000000000001" customHeight="1" x14ac:dyDescent="0.25">
      <c r="A26" s="17" t="str">
        <f>HYPERLINK("#'Tab template'!A1", "Tab template")</f>
        <v>Tab template</v>
      </c>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358</v>
      </c>
      <c r="E257" s="36" t="s">
        <v>359</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48"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2026-08-06T07:24:51Z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