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E231DDD3-7777-4BA8-90E7-9A757EB66293}" xr6:coauthVersionLast="47" xr6:coauthVersionMax="47" xr10:uidLastSave="{00000000-0000-0000-0000-000000000000}"/>
  <bookViews>
    <workbookView xWindow="930" yWindow="435" windowWidth="37170" windowHeight="19920" activeTab="3" xr2:uid="{992023F3-CAB7-4E5B-A348-08D563A0EF40}"/>
  </bookViews>
  <sheets>
    <sheet name="Home" sheetId="71" r:id="rId1"/>
    <sheet name="Overview" sheetId="109" r:id="rId2"/>
    <sheet name="Results" sheetId="13" r:id="rId3"/>
    <sheet name="Input - Site" sheetId="15" r:id="rId4"/>
    <sheet name="Input - Swine" sheetId="70" r:id="rId5"/>
    <sheet name="4.5.1.1-2 Methane" sheetId="69" r:id="rId6"/>
    <sheet name="4.5.1.3-4 Direct N2O" sheetId="76" r:id="rId7"/>
    <sheet name="4.5.1.5-6 Atmos Dep" sheetId="97" r:id="rId8"/>
    <sheet name="4.5.1.7-8 Leaching and runoff" sheetId="98" r:id="rId9"/>
    <sheet name="4.5.1.9 Manure applied to soils" sheetId="105" r:id="rId10"/>
    <sheet name="Constants - Swine" sheetId="79" r:id="rId11"/>
    <sheet name="Constants - Common" sheetId="114" r:id="rId12"/>
    <sheet name="Constants - Livestock" sheetId="43" r:id="rId13"/>
    <sheet name="Acknowledgements" sheetId="72" r:id="rId14"/>
    <sheet name="Tab template" sheetId="74" r:id="rId15"/>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Swine_Equations.VEERG_3_5_1_1__1_TotalAnnualMethaneFromEntericFermentation">_xlfn.LAMBDA(_xlpm.N_j,_xlpm.M_j,_xlpm.D_j,
    (_xlpm.N_j * _xlpm.M_j * _xlpm.D_j) * 10 ^ -3
  )</definedName>
    <definedName name="EntericMethane_Swine_Equations.VEERG_3_5_1_1__1_TotalAnnualMethaneFromEntericFermentation_Arguments">_xlfn.LAMBDA(
    _xlfn.MAKEARRAY(3, 4,
      _xlfn.LAMBDA(_xlpm.r,_xlpm.c,
        INDEX({"N_j","numbers of swine of each class","head","Input";"M_j","methane production","kg CH4/head/day","Calculated from 3.5.1.1, (2)";"D_j","the average number of days on farm for each swine class","days","Input"}, _xlpm.r, _xlpm.c)
      )
    )
  )</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
  )</definedName>
    <definedName name="EntericMethane_Swine_Equations.VEERG_3_5_1_1__2_DailyEntericMethaneProduction_Arguments">_xlfn.LAMBDA(
    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
      )
    )
  )</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N2O_leach">'4.5.1.7-8 Leaching and runoff'!$D$46:$H$47</definedName>
    <definedName name="M1_Table_MN_j_m5_T1">'4.5.1.7-8 Leaching and runoff'!$D$22:$H$23</definedName>
    <definedName name="M1_Table_MN_leach_j_m5">'4.5.1.7-8 Leaching and runoff'!$M$27:$Q$28</definedName>
    <definedName name="M1_Table_MN_leach_j_m5_Consumer_1">'4.5.1.7-8 Leaching and runoff'!$D$27:$H$28</definedName>
    <definedName name="M2_Table_E_N2O_leach">'4.5.1.7-8 Leaching and runoff'!$M$46:$Q$47</definedName>
    <definedName name="M2_Table_MN_j_m5_T1">'4.5.1.7-8 Leaching and runoff'!$M$22:$Q$23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thaneVolatileSolidsEmissionsPotential_Data">'Constants - Swine'!$E$21</definedName>
    <definedName name="VEERG_4_5_1_1__1_TotalAnnualMethaneEmissions_Result_Method1">'4.5.1.1-2 Methane'!$E$261</definedName>
    <definedName name="VEERG_4_5_1_1__1_TotalAnnualMethaneEmissions_Result_Method2">'4.5.1.1-2 Methane'!$O$261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Swine_ManureAppliedIrrigationMethod">'Input - Swine'!$E$111</definedName>
    <definedName name="X_Cell_Swine_ManureAppliedProductionSystem">'Input - Swine'!$E$110</definedName>
    <definedName name="X_Cell_Swine_ProductionSystem">'Input - Swine'!$E$26</definedName>
    <definedName name="X_Cell_Swine_Stage1MMS_AnaerobicLagoon_AmountSeparated_Method1">'Input - Swine'!$E$32</definedName>
    <definedName name="X_Cell_Swine_Stage1MMS_AnaerobicLagoon_AmountSeparated_Method2">'Input - Swine'!$E$33</definedName>
    <definedName name="X_Cell_Swine_Stage1MMS_AnaerobicLagoon_SolidsSeparated">'Input - Swine'!$E$31</definedName>
    <definedName name="X_Cell_Swine_Stage1MMS_DeepLitter_AmountSeparated_Method1">'Input - Swine'!$E$49</definedName>
    <definedName name="X_Cell_Swine_Stage1MMS_DeepLitter_AmountSeparated_Method2">'Input - Swine'!$E$50</definedName>
    <definedName name="X_Cell_Swine_Stage1MMS_DeepLitter_SolidsSeparated">'Input - Swine'!$E$48</definedName>
    <definedName name="X_Cell_Swine_Stage1MMS_DigesterCoveredLagoons_AmountSeparated_Method1">'Input - Swine'!$E$43</definedName>
    <definedName name="X_Cell_Swine_Stage1MMS_DigesterCoveredLagoons_AmountSeparated_Method2">'Input - Swine'!$E$44</definedName>
    <definedName name="X_Cell_Swine_Stage1MMS_DigesterCoveredLagoons_SolidsSeparated">'Input - Swine'!$E$42</definedName>
    <definedName name="X_Cell_Swine_Stage1MMS_Drylot_AmountSeparated_Method1">'Input - Swine'!$E$37</definedName>
    <definedName name="X_Cell_Swine_Stage1MMS_Drylot_AmountSeparated_Method2">'Input - Swine'!$E$38</definedName>
    <definedName name="X_Cell_Swine_Stage1MMS_Drylot_SolidsSeparated">'Input - Swine'!$E$36</definedName>
    <definedName name="X_Cell_Swine_Stage1MMS_PitStorage_AmountSeparated_Method1">'Input - Swine'!$E$55</definedName>
    <definedName name="X_Cell_Swine_Stage1MMS_PitStorage_AmountSeparated_Method2">'Input - Swine'!$E$56</definedName>
    <definedName name="X_Cell_Swine_Stage1MMS_PitStorage_SolidsSeparated">'Input - Swine'!$E$54</definedName>
    <definedName name="X_Table_Swine_HerdMovement">'Input - Swine'!$D$9:$H$11</definedName>
    <definedName name="X_Table_Swine_ManureProduction_Method1">'Input - Swine'!$D$15:$H$17</definedName>
    <definedName name="X_Table_Swine_ManureProduction_Method2">'Input - Swine'!$D$19:$H$21</definedName>
    <definedName name="X_Table_Swine_Stage1MMS_AnaerobicLagoon">'Input - Swine'!$D$29:$H$30</definedName>
    <definedName name="X_Table_Swine_Stage1MMS_DeepLitter">'Input - Swine'!$D$46:$H$47</definedName>
    <definedName name="X_Table_Swine_Stage1MMS_DigesterCoveredLagoons">'Input - Swine'!$D$40:$H$41</definedName>
    <definedName name="X_Table_Swine_Stage1MMS_Drylot">'Input - Swine'!$D$34:$H$35</definedName>
    <definedName name="X_Table_Swine_Stage1MMS_PitStorage">'Input - Swine'!$D$52:$H$53</definedName>
    <definedName name="X_Table_Swine_Stage1MMS_SolidStorage">'Input - Swine'!$D$57:$H$58</definedName>
    <definedName name="X_Table_Swine_Stage2MMS_From_AnaerobicLagoon">'Input - Swine'!$D$66:$H$70</definedName>
    <definedName name="X_Table_Swine_Stage2MMS_From_AnaerobicLagoon_Destinations">'Input - Swine'!$J$66:$M$70</definedName>
    <definedName name="X_Table_Swine_Stage2MMS_From_DeepLitter">'Input - Swine'!$D$88:$H$92</definedName>
    <definedName name="X_Table_Swine_Stage2MMS_From_DeepLitter_Destinations">'Input - Swine'!$J$88:$M$92</definedName>
    <definedName name="X_Table_Swine_Stage2MMS_From_DigesterCoveredLagoons">'Input - Swine'!$D$81:$H$85</definedName>
    <definedName name="X_Table_Swine_Stage2MMS_From_DigesterCoveredLagoons_Destinations">'Input - Swine'!$J$81:$M$85</definedName>
    <definedName name="X_Table_Swine_Stage2MMS_From_Drylot">'Input - Swine'!$D$73:$H$78</definedName>
    <definedName name="X_Table_Swine_Stage2MMS_From_Drylot_Destinations">'Input - Swine'!$J$73:$M$78</definedName>
    <definedName name="X_Table_Swine_Stage2MMS_From_PitStorage">'Input - Swine'!$D$95:$H$99</definedName>
    <definedName name="X_Table_Swine_Stage2MMS_From_PitStorage_Destinations">'Input - Swine'!$J$95:$M$99</definedName>
    <definedName name="X_Table_Swine_Stage2MMS_From_SolidStorage">'Input - Swine'!$D$102:$H$107</definedName>
    <definedName name="X_Table_Swine_Stage2MMS_From_SolidStorage_Destinations">'Input - Swine'!$J$102:$M$107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I41" i="98"/>
  <c r="P52" i="98"/>
  <c r="G52" i="98"/>
  <c r="I42" i="98"/>
  <c r="I14" i="98"/>
  <c r="Q128" i="97"/>
  <c r="G128" i="97"/>
  <c r="I120" i="97"/>
  <c r="I119" i="97"/>
  <c r="Q300" i="76"/>
  <c r="G300" i="76"/>
  <c r="I256" i="76"/>
  <c r="Q264" i="69"/>
  <c r="G264" i="69"/>
  <c r="O160" i="69"/>
  <c r="O159" i="69"/>
  <c r="O158" i="69"/>
  <c r="O157" i="69"/>
  <c r="O156" i="69"/>
  <c r="O155" i="69"/>
  <c r="E160" i="69"/>
  <c r="E159" i="69"/>
  <c r="E158" i="69"/>
  <c r="E157" i="69"/>
  <c r="E156" i="69"/>
  <c r="E155" i="69"/>
  <c r="E33" i="15"/>
  <c r="E32" i="15"/>
  <c r="E31" i="15"/>
  <c r="E30" i="15"/>
  <c r="E259" i="114" a="1"/>
  <c r="E259" i="114" s="1"/>
  <c r="D259" i="114" a="1"/>
  <c r="D259" i="114" s="1"/>
  <c r="E258" i="114" a="1"/>
  <c r="E258" i="114" s="1"/>
  <c r="D258" i="114" a="1"/>
  <c r="D258" i="114" s="1"/>
  <c r="D256" i="114" a="1"/>
  <c r="D256" i="114" s="1"/>
  <c r="D255" i="114" a="1"/>
  <c r="D255" i="114" s="1"/>
  <c r="D254" i="114" a="1"/>
  <c r="D254" i="114" s="1"/>
  <c r="D253" i="114" a="1"/>
  <c r="D253" i="114" s="1"/>
  <c r="S250" i="114" a="1"/>
  <c r="S250" i="114" s="1"/>
  <c r="R250" i="114" a="1"/>
  <c r="R250" i="114" s="1"/>
  <c r="Q250" i="114" a="1"/>
  <c r="Q250" i="114" s="1"/>
  <c r="P250" i="114" a="1"/>
  <c r="P250" i="114" s="1"/>
  <c r="O250" i="114" a="1"/>
  <c r="O250" i="114" s="1"/>
  <c r="N250" i="114" a="1"/>
  <c r="N250" i="114" s="1"/>
  <c r="M250" i="114" a="1"/>
  <c r="M250" i="114" s="1"/>
  <c r="L250" i="114" a="1"/>
  <c r="L250" i="114" s="1"/>
  <c r="K250" i="114" a="1"/>
  <c r="K250" i="114" s="1"/>
  <c r="J250" i="114" a="1"/>
  <c r="J250" i="114" s="1"/>
  <c r="I250" i="114" a="1"/>
  <c r="I250" i="114" s="1"/>
  <c r="H250" i="114" a="1"/>
  <c r="H250" i="114" s="1"/>
  <c r="G250" i="114" a="1"/>
  <c r="G250" i="114" s="1"/>
  <c r="F250" i="114" a="1"/>
  <c r="F250" i="114" s="1"/>
  <c r="E250" i="114" a="1"/>
  <c r="E250" i="114" s="1"/>
  <c r="D250" i="114" a="1"/>
  <c r="D250" i="114" s="1"/>
  <c r="S249" i="114" a="1"/>
  <c r="S249" i="114" s="1"/>
  <c r="R249" i="114" a="1"/>
  <c r="R249" i="114" s="1"/>
  <c r="Q249" i="114" a="1"/>
  <c r="Q249" i="114" s="1"/>
  <c r="P249" i="114" a="1"/>
  <c r="P249" i="114" s="1"/>
  <c r="O249" i="114" a="1"/>
  <c r="O249" i="114" s="1"/>
  <c r="N249" i="114" a="1"/>
  <c r="N249" i="114" s="1"/>
  <c r="M249" i="114" a="1"/>
  <c r="M249" i="114" s="1"/>
  <c r="L249" i="114" a="1"/>
  <c r="L249" i="114" s="1"/>
  <c r="K249" i="114" a="1"/>
  <c r="K249" i="114" s="1"/>
  <c r="J249" i="114" a="1"/>
  <c r="J249" i="114" s="1"/>
  <c r="I249" i="114" a="1"/>
  <c r="I249" i="114" s="1"/>
  <c r="H249" i="114" a="1"/>
  <c r="H249" i="114" s="1"/>
  <c r="G249" i="114" a="1"/>
  <c r="G249" i="114" s="1"/>
  <c r="F249" i="114" a="1"/>
  <c r="F249" i="114" s="1"/>
  <c r="E249" i="114" a="1"/>
  <c r="E249" i="114" s="1"/>
  <c r="D249" i="114" a="1"/>
  <c r="D249" i="114" s="1"/>
  <c r="S248" i="114" a="1"/>
  <c r="S248" i="114" s="1"/>
  <c r="R248" i="114" a="1"/>
  <c r="R248" i="114" s="1"/>
  <c r="Q248" i="114" a="1"/>
  <c r="Q248" i="114" s="1"/>
  <c r="P248" i="114" a="1"/>
  <c r="P248" i="114" s="1"/>
  <c r="O248" i="114" a="1"/>
  <c r="O248" i="114" s="1"/>
  <c r="N248" i="114" a="1"/>
  <c r="N248" i="114" s="1"/>
  <c r="M248" i="114" a="1"/>
  <c r="M248" i="114" s="1"/>
  <c r="L248" i="114" a="1"/>
  <c r="L248" i="114" s="1"/>
  <c r="K248" i="114" a="1"/>
  <c r="K248" i="114" s="1"/>
  <c r="J248" i="114" a="1"/>
  <c r="J248" i="114" s="1"/>
  <c r="I248" i="114" a="1"/>
  <c r="I248" i="114" s="1"/>
  <c r="H248" i="114" a="1"/>
  <c r="H248" i="114" s="1"/>
  <c r="G248" i="114" a="1"/>
  <c r="G248" i="114" s="1"/>
  <c r="F248" i="114" a="1"/>
  <c r="F248" i="114" s="1"/>
  <c r="E248" i="114" a="1"/>
  <c r="E248" i="114" s="1"/>
  <c r="D248" i="114" a="1"/>
  <c r="D248" i="114" s="1"/>
  <c r="S247" i="114" a="1"/>
  <c r="S247" i="114" s="1"/>
  <c r="R247" i="114" a="1"/>
  <c r="R247" i="114" s="1"/>
  <c r="Q247" i="114" a="1"/>
  <c r="Q247" i="114" s="1"/>
  <c r="P247" i="114" a="1"/>
  <c r="P247" i="114" s="1"/>
  <c r="O247" i="114" a="1"/>
  <c r="O247" i="114" s="1"/>
  <c r="N247" i="114" a="1"/>
  <c r="N247" i="114" s="1"/>
  <c r="M247" i="114" a="1"/>
  <c r="M247" i="114" s="1"/>
  <c r="L247" i="114" a="1"/>
  <c r="L247" i="114" s="1"/>
  <c r="K247" i="114" a="1"/>
  <c r="K247" i="114" s="1"/>
  <c r="J247" i="114" a="1"/>
  <c r="J247" i="114" s="1"/>
  <c r="I247" i="114" a="1"/>
  <c r="I247" i="114" s="1"/>
  <c r="H247" i="114" a="1"/>
  <c r="H247" i="114" s="1"/>
  <c r="G247" i="114" a="1"/>
  <c r="G247" i="114" s="1"/>
  <c r="F247" i="114" a="1"/>
  <c r="F247" i="114" s="1"/>
  <c r="E247" i="114" a="1"/>
  <c r="E247" i="114" s="1"/>
  <c r="D247" i="114" a="1"/>
  <c r="D247" i="114" s="1"/>
  <c r="S246" i="114" a="1"/>
  <c r="S246" i="114" s="1"/>
  <c r="R246" i="114" a="1"/>
  <c r="R246" i="114" s="1"/>
  <c r="Q246" i="114" a="1"/>
  <c r="Q246" i="114" s="1"/>
  <c r="P246" i="114" a="1"/>
  <c r="P246" i="114" s="1"/>
  <c r="O246" i="114" a="1"/>
  <c r="O246" i="114" s="1"/>
  <c r="N246" i="114" a="1"/>
  <c r="N246" i="114" s="1"/>
  <c r="M246" i="114" a="1"/>
  <c r="M246" i="114" s="1"/>
  <c r="L246" i="114" a="1"/>
  <c r="L246" i="114" s="1"/>
  <c r="K246" i="114" a="1"/>
  <c r="K246" i="114" s="1"/>
  <c r="J246" i="114" a="1"/>
  <c r="J246" i="114" s="1"/>
  <c r="I246" i="114" a="1"/>
  <c r="I246" i="114" s="1"/>
  <c r="H246" i="114" a="1"/>
  <c r="H246" i="114" s="1"/>
  <c r="G246" i="114" a="1"/>
  <c r="G246" i="114" s="1"/>
  <c r="F246" i="114" a="1"/>
  <c r="F246" i="114" s="1"/>
  <c r="E246" i="114" a="1"/>
  <c r="E246" i="114" s="1"/>
  <c r="D246" i="114" a="1"/>
  <c r="D246" i="114" s="1"/>
  <c r="S245" i="114" a="1"/>
  <c r="S245" i="114" s="1"/>
  <c r="R245" i="114" a="1"/>
  <c r="R245" i="114" s="1"/>
  <c r="Q245" i="114" a="1"/>
  <c r="Q245" i="114" s="1"/>
  <c r="P245" i="114" a="1"/>
  <c r="P245" i="114" s="1"/>
  <c r="O245" i="114" a="1"/>
  <c r="O245" i="114" s="1"/>
  <c r="N245" i="114" a="1"/>
  <c r="N245" i="114" s="1"/>
  <c r="M245" i="114" a="1"/>
  <c r="M245" i="114" s="1"/>
  <c r="L245" i="114" a="1"/>
  <c r="L245" i="114" s="1"/>
  <c r="K245" i="114" a="1"/>
  <c r="K245" i="114" s="1"/>
  <c r="J245" i="114" a="1"/>
  <c r="J245" i="114" s="1"/>
  <c r="I245" i="114" a="1"/>
  <c r="I245" i="114" s="1"/>
  <c r="H245" i="114" a="1"/>
  <c r="H245" i="114" s="1"/>
  <c r="G245" i="114" a="1"/>
  <c r="G245" i="114" s="1"/>
  <c r="F245" i="114" a="1"/>
  <c r="F245" i="114" s="1"/>
  <c r="E245" i="114" a="1"/>
  <c r="E245" i="114" s="1"/>
  <c r="D245" i="114" a="1"/>
  <c r="D245" i="114" s="1"/>
  <c r="S244" i="114" a="1"/>
  <c r="S244" i="114" s="1"/>
  <c r="R244" i="114" a="1"/>
  <c r="R244" i="114" s="1"/>
  <c r="Q244" i="114" a="1"/>
  <c r="Q244" i="114" s="1"/>
  <c r="P244" i="114" a="1"/>
  <c r="P244" i="114" s="1"/>
  <c r="O244" i="114" a="1"/>
  <c r="O244" i="114" s="1"/>
  <c r="N244" i="114" a="1"/>
  <c r="N244" i="114" s="1"/>
  <c r="M244" i="114" a="1"/>
  <c r="M244" i="114" s="1"/>
  <c r="L244" i="114" a="1"/>
  <c r="L244" i="114" s="1"/>
  <c r="K244" i="114" a="1"/>
  <c r="K244" i="114" s="1"/>
  <c r="J244" i="114" a="1"/>
  <c r="J244" i="114" s="1"/>
  <c r="I244" i="114" a="1"/>
  <c r="I244" i="114" s="1"/>
  <c r="H244" i="114" a="1"/>
  <c r="H244" i="114" s="1"/>
  <c r="G244" i="114" a="1"/>
  <c r="G244" i="114" s="1"/>
  <c r="F244" i="114" a="1"/>
  <c r="F244" i="114" s="1"/>
  <c r="E244" i="114" a="1"/>
  <c r="E244" i="114" s="1"/>
  <c r="D244" i="114" a="1"/>
  <c r="D244" i="114" s="1"/>
  <c r="S243" i="114" a="1"/>
  <c r="S243" i="114" s="1"/>
  <c r="R243" i="114" a="1"/>
  <c r="R243" i="114" s="1"/>
  <c r="Q243" i="114" a="1"/>
  <c r="Q243" i="114" s="1"/>
  <c r="P243" i="114" a="1"/>
  <c r="P243" i="114" s="1"/>
  <c r="O243" i="114" a="1"/>
  <c r="O243" i="114" s="1"/>
  <c r="N243" i="114" a="1"/>
  <c r="N243" i="114" s="1"/>
  <c r="M243" i="114" a="1"/>
  <c r="M243" i="114" s="1"/>
  <c r="L243" i="114" a="1"/>
  <c r="L243" i="114" s="1"/>
  <c r="K243" i="114" a="1"/>
  <c r="K243" i="114" s="1"/>
  <c r="J243" i="114" a="1"/>
  <c r="J243" i="114" s="1"/>
  <c r="I243" i="114" a="1"/>
  <c r="I243" i="114" s="1"/>
  <c r="H243" i="114" a="1"/>
  <c r="H243" i="114" s="1"/>
  <c r="G243" i="114" a="1"/>
  <c r="G243" i="114" s="1"/>
  <c r="F243" i="114" a="1"/>
  <c r="F243" i="114" s="1"/>
  <c r="E243" i="114" a="1"/>
  <c r="E243" i="114" s="1"/>
  <c r="D243" i="114" a="1"/>
  <c r="D243" i="114" s="1"/>
  <c r="S242" i="114" a="1"/>
  <c r="S242" i="114" s="1"/>
  <c r="R242" i="114" a="1"/>
  <c r="R242" i="114" s="1"/>
  <c r="Q242" i="114" a="1"/>
  <c r="Q242" i="114" s="1"/>
  <c r="P242" i="114" a="1"/>
  <c r="P242" i="114" s="1"/>
  <c r="O242" i="114" a="1"/>
  <c r="O242" i="114" s="1"/>
  <c r="N242" i="114" a="1"/>
  <c r="N242" i="114" s="1"/>
  <c r="M242" i="114" a="1"/>
  <c r="M242" i="114" s="1"/>
  <c r="L242" i="114" a="1"/>
  <c r="L242" i="114" s="1"/>
  <c r="K242" i="114" a="1"/>
  <c r="K242" i="114" s="1"/>
  <c r="J242" i="114" a="1"/>
  <c r="J242" i="114" s="1"/>
  <c r="I242" i="114" a="1"/>
  <c r="I242" i="114" s="1"/>
  <c r="H242" i="114" a="1"/>
  <c r="H242" i="114" s="1"/>
  <c r="G242" i="114" a="1"/>
  <c r="G242" i="114" s="1"/>
  <c r="F242" i="114" a="1"/>
  <c r="F242" i="114" s="1"/>
  <c r="E242" i="114" a="1"/>
  <c r="E242" i="114" s="1"/>
  <c r="D242" i="114" a="1"/>
  <c r="D242" i="114" s="1"/>
  <c r="S241" i="114" a="1"/>
  <c r="S241" i="114" s="1"/>
  <c r="R241" i="114" a="1"/>
  <c r="R241" i="114" s="1"/>
  <c r="Q241" i="114" a="1"/>
  <c r="Q241" i="114" s="1"/>
  <c r="P241" i="114" a="1"/>
  <c r="P241" i="114" s="1"/>
  <c r="O241" i="114" a="1"/>
  <c r="O241" i="114" s="1"/>
  <c r="N241" i="114" a="1"/>
  <c r="N241" i="114" s="1"/>
  <c r="M241" i="114" a="1"/>
  <c r="M241" i="114" s="1"/>
  <c r="L241" i="114" a="1"/>
  <c r="L241" i="114" s="1"/>
  <c r="K241" i="114" a="1"/>
  <c r="K241" i="114" s="1"/>
  <c r="J241" i="114" a="1"/>
  <c r="J241" i="114" s="1"/>
  <c r="I241" i="114" a="1"/>
  <c r="I241" i="114" s="1"/>
  <c r="H241" i="114" a="1"/>
  <c r="H241" i="114" s="1"/>
  <c r="G241" i="114" a="1"/>
  <c r="G241" i="114" s="1"/>
  <c r="F241" i="114" a="1"/>
  <c r="F241" i="114" s="1"/>
  <c r="E241" i="114" a="1"/>
  <c r="E241" i="114" s="1"/>
  <c r="D241" i="114" a="1"/>
  <c r="D241" i="114" s="1"/>
  <c r="S240" i="114" a="1"/>
  <c r="S240" i="114" s="1"/>
  <c r="R240" i="114" a="1"/>
  <c r="R240" i="114" s="1"/>
  <c r="Q240" i="114" a="1"/>
  <c r="Q240" i="114" s="1"/>
  <c r="P240" i="114" a="1"/>
  <c r="P240" i="114" s="1"/>
  <c r="O240" i="114" a="1"/>
  <c r="O240" i="114" s="1"/>
  <c r="N240" i="114" a="1"/>
  <c r="N240" i="114" s="1"/>
  <c r="M240" i="114" a="1"/>
  <c r="M240" i="114" s="1"/>
  <c r="L240" i="114" a="1"/>
  <c r="L240" i="114" s="1"/>
  <c r="K240" i="114" a="1"/>
  <c r="K240" i="114" s="1"/>
  <c r="J240" i="114" a="1"/>
  <c r="J240" i="114" s="1"/>
  <c r="I240" i="114" a="1"/>
  <c r="I240" i="114" s="1"/>
  <c r="H240" i="114" a="1"/>
  <c r="H240" i="114" s="1"/>
  <c r="G240" i="114" a="1"/>
  <c r="G240" i="114" s="1"/>
  <c r="F240" i="114" a="1"/>
  <c r="F240" i="114" s="1"/>
  <c r="E240" i="114" a="1"/>
  <c r="E240" i="114" s="1"/>
  <c r="D240" i="114" a="1"/>
  <c r="D240" i="114" s="1"/>
  <c r="S239" i="114" a="1"/>
  <c r="S239" i="114" s="1"/>
  <c r="R239" i="114" a="1"/>
  <c r="R239" i="114" s="1"/>
  <c r="Q239" i="114" a="1"/>
  <c r="Q239" i="114" s="1"/>
  <c r="P239" i="114" a="1"/>
  <c r="P239" i="114" s="1"/>
  <c r="O239" i="114" a="1"/>
  <c r="O239" i="114" s="1"/>
  <c r="N239" i="114" a="1"/>
  <c r="N239" i="114" s="1"/>
  <c r="M239" i="114" a="1"/>
  <c r="M239" i="114" s="1"/>
  <c r="L239" i="114" a="1"/>
  <c r="L239" i="114" s="1"/>
  <c r="K239" i="114" a="1"/>
  <c r="K239" i="114" s="1"/>
  <c r="J239" i="114" a="1"/>
  <c r="J239" i="114" s="1"/>
  <c r="I239" i="114" a="1"/>
  <c r="I239" i="114" s="1"/>
  <c r="H239" i="114" a="1"/>
  <c r="H239" i="114" s="1"/>
  <c r="G239" i="114" a="1"/>
  <c r="G239" i="114" s="1"/>
  <c r="F239" i="114" a="1"/>
  <c r="F239" i="114" s="1"/>
  <c r="E239" i="114" a="1"/>
  <c r="E239" i="114" s="1"/>
  <c r="D239" i="114" a="1"/>
  <c r="D239" i="114" s="1"/>
  <c r="S238" i="114" a="1"/>
  <c r="S238" i="114" s="1"/>
  <c r="R238" i="114" a="1"/>
  <c r="R238" i="114" s="1"/>
  <c r="Q238" i="114" a="1"/>
  <c r="Q238" i="114" s="1"/>
  <c r="P238" i="114" a="1"/>
  <c r="P238" i="114" s="1"/>
  <c r="O238" i="114" a="1"/>
  <c r="O238" i="114" s="1"/>
  <c r="N238" i="114" a="1"/>
  <c r="N238" i="114" s="1"/>
  <c r="M238" i="114" a="1"/>
  <c r="M238" i="114" s="1"/>
  <c r="L238" i="114" a="1"/>
  <c r="L238" i="114" s="1"/>
  <c r="K238" i="114" a="1"/>
  <c r="K238" i="114" s="1"/>
  <c r="J238" i="114" a="1"/>
  <c r="J238" i="114" s="1"/>
  <c r="I238" i="114" a="1"/>
  <c r="I238" i="114" s="1"/>
  <c r="H238" i="114" a="1"/>
  <c r="H238" i="114" s="1"/>
  <c r="G238" i="114" a="1"/>
  <c r="G238" i="114" s="1"/>
  <c r="F238" i="114" a="1"/>
  <c r="F238" i="114" s="1"/>
  <c r="E238" i="114" a="1"/>
  <c r="E238" i="114" s="1"/>
  <c r="D238" i="114" a="1"/>
  <c r="D238" i="114" s="1"/>
  <c r="S237" i="114" a="1"/>
  <c r="S237" i="114" s="1"/>
  <c r="R237" i="114" a="1"/>
  <c r="R237" i="114" s="1"/>
  <c r="Q237" i="114" a="1"/>
  <c r="Q237" i="114" s="1"/>
  <c r="P237" i="114" a="1"/>
  <c r="P237" i="114" s="1"/>
  <c r="O237" i="114" a="1"/>
  <c r="O237" i="114" s="1"/>
  <c r="N237" i="114" a="1"/>
  <c r="N237" i="114" s="1"/>
  <c r="M237" i="114" a="1"/>
  <c r="M237" i="114" s="1"/>
  <c r="L237" i="114" a="1"/>
  <c r="L237" i="114" s="1"/>
  <c r="K237" i="114" a="1"/>
  <c r="K237" i="114" s="1"/>
  <c r="J237" i="114" a="1"/>
  <c r="J237" i="114" s="1"/>
  <c r="I237" i="114" a="1"/>
  <c r="I237" i="114" s="1"/>
  <c r="H237" i="114" a="1"/>
  <c r="H237" i="114" s="1"/>
  <c r="G237" i="114" a="1"/>
  <c r="G237" i="114" s="1"/>
  <c r="F237" i="114" a="1"/>
  <c r="F237" i="114" s="1"/>
  <c r="E237" i="114" a="1"/>
  <c r="E237" i="114" s="1"/>
  <c r="D237" i="114" a="1"/>
  <c r="D237" i="114" s="1"/>
  <c r="S236" i="114" a="1"/>
  <c r="S236" i="114" s="1"/>
  <c r="R236" i="114" a="1"/>
  <c r="R236" i="114" s="1"/>
  <c r="Q236" i="114" a="1"/>
  <c r="Q236" i="114" s="1"/>
  <c r="P236" i="114" a="1"/>
  <c r="P236" i="114" s="1"/>
  <c r="O236" i="114" a="1"/>
  <c r="O236" i="114" s="1"/>
  <c r="N236" i="114" a="1"/>
  <c r="N236" i="114" s="1"/>
  <c r="M236" i="114" a="1"/>
  <c r="M236" i="114" s="1"/>
  <c r="L236" i="114" a="1"/>
  <c r="L236" i="114" s="1"/>
  <c r="K236" i="114" a="1"/>
  <c r="K236" i="114" s="1"/>
  <c r="J236" i="114" a="1"/>
  <c r="J236" i="114" s="1"/>
  <c r="I236" i="114" a="1"/>
  <c r="I236" i="114" s="1"/>
  <c r="H236" i="114" a="1"/>
  <c r="H236" i="114" s="1"/>
  <c r="G236" i="114" a="1"/>
  <c r="G236" i="114" s="1"/>
  <c r="F236" i="114" a="1"/>
  <c r="F236" i="114" s="1"/>
  <c r="E236" i="114" a="1"/>
  <c r="E236" i="114" s="1"/>
  <c r="D236" i="114" a="1"/>
  <c r="D236" i="114" s="1"/>
  <c r="S235" i="114" a="1"/>
  <c r="S235" i="114" s="1"/>
  <c r="R235" i="114" a="1"/>
  <c r="R235" i="114" s="1"/>
  <c r="Q235" i="114" a="1"/>
  <c r="Q235" i="114" s="1"/>
  <c r="P235" i="114" a="1"/>
  <c r="P235" i="114" s="1"/>
  <c r="O235" i="114" a="1"/>
  <c r="O235" i="114" s="1"/>
  <c r="N235" i="114" a="1"/>
  <c r="N235" i="114" s="1"/>
  <c r="M235" i="114" a="1"/>
  <c r="M235" i="114" s="1"/>
  <c r="L235" i="114" a="1"/>
  <c r="L235" i="114" s="1"/>
  <c r="K235" i="114" a="1"/>
  <c r="K235" i="114" s="1"/>
  <c r="J235" i="114" a="1"/>
  <c r="J235" i="114" s="1"/>
  <c r="I235" i="114" a="1"/>
  <c r="I235" i="114" s="1"/>
  <c r="H235" i="114" a="1"/>
  <c r="H235" i="114" s="1"/>
  <c r="G235" i="114" a="1"/>
  <c r="G235" i="114" s="1"/>
  <c r="F235" i="114" a="1"/>
  <c r="F235" i="114" s="1"/>
  <c r="E235" i="114" a="1"/>
  <c r="E235" i="114" s="1"/>
  <c r="D235" i="114" a="1"/>
  <c r="D235" i="114" s="1"/>
  <c r="S234" i="114" a="1"/>
  <c r="S234" i="114" s="1"/>
  <c r="R234" i="114" a="1"/>
  <c r="R234" i="114" s="1"/>
  <c r="Q234" i="114" a="1"/>
  <c r="Q234" i="114" s="1"/>
  <c r="P234" i="114" a="1"/>
  <c r="P234" i="114" s="1"/>
  <c r="O234" i="114" a="1"/>
  <c r="O234" i="114" s="1"/>
  <c r="N234" i="114" a="1"/>
  <c r="N234" i="114" s="1"/>
  <c r="M234" i="114" a="1"/>
  <c r="M234" i="114" s="1"/>
  <c r="L234" i="114" a="1"/>
  <c r="L234" i="114" s="1"/>
  <c r="K234" i="114" a="1"/>
  <c r="K234" i="114" s="1"/>
  <c r="J234" i="114" a="1"/>
  <c r="J234" i="114" s="1"/>
  <c r="I234" i="114" a="1"/>
  <c r="I234" i="114" s="1"/>
  <c r="H234" i="114" a="1"/>
  <c r="H234" i="114" s="1"/>
  <c r="G234" i="114" a="1"/>
  <c r="G234" i="114" s="1"/>
  <c r="F234" i="114" a="1"/>
  <c r="F234" i="114" s="1"/>
  <c r="E234" i="114" a="1"/>
  <c r="E234" i="114" s="1"/>
  <c r="D234" i="114" a="1"/>
  <c r="D234" i="114" s="1"/>
  <c r="S233" i="114" a="1"/>
  <c r="S233" i="114" s="1"/>
  <c r="R233" i="114" a="1"/>
  <c r="R233" i="114" s="1"/>
  <c r="Q233" i="114" a="1"/>
  <c r="Q233" i="114" s="1"/>
  <c r="P233" i="114" a="1"/>
  <c r="P233" i="114" s="1"/>
  <c r="O233" i="114" a="1"/>
  <c r="O233" i="114" s="1"/>
  <c r="N233" i="114" a="1"/>
  <c r="N233" i="114" s="1"/>
  <c r="M233" i="114" a="1"/>
  <c r="M233" i="114" s="1"/>
  <c r="L233" i="114" a="1"/>
  <c r="L233" i="114" s="1"/>
  <c r="K233" i="114" a="1"/>
  <c r="K233" i="114" s="1"/>
  <c r="J233" i="114" a="1"/>
  <c r="J233" i="114" s="1"/>
  <c r="I233" i="114" a="1"/>
  <c r="I233" i="114" s="1"/>
  <c r="H233" i="114" a="1"/>
  <c r="H233" i="114" s="1"/>
  <c r="G233" i="114" a="1"/>
  <c r="G233" i="114" s="1"/>
  <c r="F233" i="114" a="1"/>
  <c r="F233" i="114" s="1"/>
  <c r="E233" i="114" a="1"/>
  <c r="E233" i="114" s="1"/>
  <c r="D233" i="114" a="1"/>
  <c r="D233" i="114" s="1"/>
  <c r="S232" i="114" a="1"/>
  <c r="S232" i="114" s="1"/>
  <c r="R232" i="114" a="1"/>
  <c r="R232" i="114" s="1"/>
  <c r="Q232" i="114" a="1"/>
  <c r="Q232" i="114" s="1"/>
  <c r="P232" i="114" a="1"/>
  <c r="P232" i="114" s="1"/>
  <c r="O232" i="114" a="1"/>
  <c r="O232" i="114" s="1"/>
  <c r="N232" i="114" a="1"/>
  <c r="N232" i="114" s="1"/>
  <c r="M232" i="114" a="1"/>
  <c r="M232" i="114" s="1"/>
  <c r="L232" i="114" a="1"/>
  <c r="L232" i="114" s="1"/>
  <c r="K232" i="114" a="1"/>
  <c r="K232" i="114" s="1"/>
  <c r="J232" i="114" a="1"/>
  <c r="J232" i="114" s="1"/>
  <c r="I232" i="114" a="1"/>
  <c r="I232" i="114" s="1"/>
  <c r="H232" i="114" a="1"/>
  <c r="H232" i="114" s="1"/>
  <c r="G232" i="114" a="1"/>
  <c r="G232" i="114" s="1"/>
  <c r="F232" i="114" a="1"/>
  <c r="F232" i="114" s="1"/>
  <c r="E232" i="114" a="1"/>
  <c r="E232" i="114" s="1"/>
  <c r="D232" i="114" a="1"/>
  <c r="D232" i="114" s="1"/>
  <c r="D229" i="114" a="1"/>
  <c r="D229" i="114" s="1"/>
  <c r="D228" i="114" a="1"/>
  <c r="D228" i="114" s="1"/>
  <c r="D227" i="114" a="1"/>
  <c r="D227" i="114" s="1"/>
  <c r="E224" i="114" a="1"/>
  <c r="E224" i="114" s="1"/>
  <c r="D224" i="114" a="1"/>
  <c r="D224" i="114" s="1"/>
  <c r="E223" i="114" a="1"/>
  <c r="E223" i="114" s="1"/>
  <c r="D223" i="114" a="1"/>
  <c r="D223" i="114" s="1"/>
  <c r="E222" i="114" a="1"/>
  <c r="E222" i="114" s="1"/>
  <c r="D222" i="114" a="1"/>
  <c r="D222" i="114" s="1"/>
  <c r="E221" i="114" a="1"/>
  <c r="E221" i="114" s="1"/>
  <c r="D221" i="114" a="1"/>
  <c r="D221" i="114" s="1"/>
  <c r="E220" i="114" a="1"/>
  <c r="E220" i="114" s="1"/>
  <c r="D220" i="114" a="1"/>
  <c r="D220" i="114" s="1"/>
  <c r="E219" i="114" a="1"/>
  <c r="E219" i="114" s="1"/>
  <c r="D219" i="114" a="1"/>
  <c r="D219" i="114" s="1"/>
  <c r="E218" i="114" a="1"/>
  <c r="E218" i="114" s="1"/>
  <c r="D218" i="114" a="1"/>
  <c r="D218" i="114" s="1"/>
  <c r="E217" i="114" a="1"/>
  <c r="E217" i="114" s="1"/>
  <c r="D217" i="114" a="1"/>
  <c r="D217" i="114" s="1"/>
  <c r="E216" i="114" a="1"/>
  <c r="E216" i="114" s="1"/>
  <c r="D216" i="114" a="1"/>
  <c r="D216" i="114" s="1"/>
  <c r="E215" i="114" a="1"/>
  <c r="E215" i="114" s="1"/>
  <c r="D215" i="114" a="1"/>
  <c r="D215" i="114" s="1"/>
  <c r="E214" i="114" a="1"/>
  <c r="E214" i="114" s="1"/>
  <c r="D214" i="114" a="1"/>
  <c r="D214" i="114" s="1"/>
  <c r="E213" i="114" a="1"/>
  <c r="E213" i="114" s="1"/>
  <c r="D213" i="114" a="1"/>
  <c r="D213" i="114" s="1"/>
  <c r="D211" i="114" a="1"/>
  <c r="D211" i="114" s="1"/>
  <c r="E208" i="114" a="1"/>
  <c r="E208" i="114" s="1"/>
  <c r="D208" i="114" a="1"/>
  <c r="D208" i="114" s="1"/>
  <c r="E207" i="114" a="1"/>
  <c r="E207" i="114" s="1"/>
  <c r="D207" i="114" a="1"/>
  <c r="D207" i="114" s="1"/>
  <c r="D205" i="114" a="1"/>
  <c r="D205" i="114" s="1"/>
  <c r="D204" i="114" a="1"/>
  <c r="D204" i="114" s="1"/>
  <c r="D203" i="114" a="1"/>
  <c r="D203" i="114" s="1"/>
  <c r="D202" i="114" a="1"/>
  <c r="D202" i="114" s="1"/>
  <c r="H199" i="114" a="1"/>
  <c r="H199" i="114" s="1"/>
  <c r="G199" i="114" a="1"/>
  <c r="G199" i="114" s="1"/>
  <c r="F199" i="114" a="1"/>
  <c r="F199" i="114" s="1"/>
  <c r="E199" i="114" a="1"/>
  <c r="E199" i="114" s="1"/>
  <c r="D199" i="114" a="1"/>
  <c r="D199" i="114" s="1"/>
  <c r="H198" i="114" a="1"/>
  <c r="H198" i="114" s="1"/>
  <c r="G198" i="114" a="1"/>
  <c r="G198" i="114" s="1"/>
  <c r="F198" i="114" a="1"/>
  <c r="F198" i="114" s="1"/>
  <c r="E198" i="114" a="1"/>
  <c r="E198" i="114" s="1"/>
  <c r="D198" i="114" a="1"/>
  <c r="D198" i="114" s="1"/>
  <c r="H197" i="114" a="1"/>
  <c r="H197" i="114" s="1"/>
  <c r="G197" i="114" a="1"/>
  <c r="G197" i="114" s="1"/>
  <c r="F197" i="114" a="1"/>
  <c r="F197" i="114" s="1"/>
  <c r="E197" i="114" a="1"/>
  <c r="E197" i="114" s="1"/>
  <c r="D197" i="114" a="1"/>
  <c r="D197" i="114" s="1"/>
  <c r="H196" i="114" a="1"/>
  <c r="H196" i="114" s="1"/>
  <c r="G196" i="114" a="1"/>
  <c r="G196" i="114" s="1"/>
  <c r="F196" i="114" a="1"/>
  <c r="F196" i="114" s="1"/>
  <c r="E196" i="114" a="1"/>
  <c r="E196" i="114" s="1"/>
  <c r="D196" i="114" a="1"/>
  <c r="D196" i="114" s="1"/>
  <c r="H195" i="114" a="1"/>
  <c r="H195" i="114" s="1"/>
  <c r="G195" i="114" a="1"/>
  <c r="G195" i="114" s="1"/>
  <c r="F195" i="114" a="1"/>
  <c r="F195" i="114" s="1"/>
  <c r="E195" i="114" a="1"/>
  <c r="E195" i="114" s="1"/>
  <c r="D195" i="114" a="1"/>
  <c r="D195" i="114" s="1"/>
  <c r="H194" i="114" a="1"/>
  <c r="H194" i="114" s="1"/>
  <c r="G194" i="114" a="1"/>
  <c r="G194" i="114" s="1"/>
  <c r="F194" i="114" a="1"/>
  <c r="F194" i="114" s="1"/>
  <c r="E194" i="114" a="1"/>
  <c r="E194" i="114" s="1"/>
  <c r="D194" i="114" a="1"/>
  <c r="D194" i="114" s="1"/>
  <c r="H193" i="114" a="1"/>
  <c r="H193" i="114" s="1"/>
  <c r="G193" i="114" a="1"/>
  <c r="G193" i="114" s="1"/>
  <c r="F193" i="114" a="1"/>
  <c r="F193" i="114" s="1"/>
  <c r="E193" i="114" a="1"/>
  <c r="E193" i="114" s="1"/>
  <c r="D193" i="114" a="1"/>
  <c r="D193" i="114" s="1"/>
  <c r="H192" i="114" a="1"/>
  <c r="H192" i="114" s="1"/>
  <c r="G192" i="114" a="1"/>
  <c r="G192" i="114" s="1"/>
  <c r="F192" i="114" a="1"/>
  <c r="F192" i="114" s="1"/>
  <c r="E192" i="114" a="1"/>
  <c r="E192" i="114" s="1"/>
  <c r="D192" i="114" a="1"/>
  <c r="D192" i="114" s="1"/>
  <c r="H191" i="114" a="1"/>
  <c r="H191" i="114" s="1"/>
  <c r="G191" i="114" a="1"/>
  <c r="G191" i="114" s="1"/>
  <c r="F191" i="114" a="1"/>
  <c r="F191" i="114" s="1"/>
  <c r="E191" i="114" a="1"/>
  <c r="E191" i="114" s="1"/>
  <c r="D191" i="114" a="1"/>
  <c r="D191" i="114" s="1"/>
  <c r="H190" i="114" a="1"/>
  <c r="H190" i="114" s="1"/>
  <c r="G190" i="114" a="1"/>
  <c r="G190" i="114" s="1"/>
  <c r="F190" i="114" a="1"/>
  <c r="F190" i="114" s="1"/>
  <c r="E190" i="114" a="1"/>
  <c r="E190" i="114" s="1"/>
  <c r="D190" i="114" a="1"/>
  <c r="D190" i="114" s="1"/>
  <c r="H189" i="114" a="1"/>
  <c r="H189" i="114" s="1"/>
  <c r="G189" i="114" a="1"/>
  <c r="G189" i="114" s="1"/>
  <c r="F189" i="114" a="1"/>
  <c r="F189" i="114" s="1"/>
  <c r="E189" i="114" a="1"/>
  <c r="E189" i="114" s="1"/>
  <c r="D189" i="114" a="1"/>
  <c r="D189" i="114" s="1"/>
  <c r="H188" i="114" a="1"/>
  <c r="H188" i="114" s="1"/>
  <c r="G188" i="114" a="1"/>
  <c r="G188" i="114" s="1"/>
  <c r="F188" i="114" a="1"/>
  <c r="F188" i="114" s="1"/>
  <c r="E188" i="114" a="1"/>
  <c r="E188" i="114" s="1"/>
  <c r="D188" i="114" a="1"/>
  <c r="D188" i="114" s="1"/>
  <c r="H187" i="114" a="1"/>
  <c r="H187" i="114" s="1"/>
  <c r="G187" i="114" a="1"/>
  <c r="G187" i="114" s="1"/>
  <c r="F187" i="114" a="1"/>
  <c r="F187" i="114" s="1"/>
  <c r="E187" i="114" a="1"/>
  <c r="E187" i="114" s="1"/>
  <c r="D187" i="114" a="1"/>
  <c r="D187" i="114" s="1"/>
  <c r="D181" i="114" a="1"/>
  <c r="D181" i="114" s="1"/>
  <c r="D180" i="114" a="1"/>
  <c r="D180" i="114" s="1"/>
  <c r="D179" i="114" a="1"/>
  <c r="D179" i="114" s="1"/>
  <c r="D178" i="114" a="1"/>
  <c r="D178" i="114" s="1"/>
  <c r="E175" i="114" a="1"/>
  <c r="E175" i="114" s="1"/>
  <c r="D175" i="114" a="1"/>
  <c r="D175" i="114" s="1"/>
  <c r="D174" i="114" a="1"/>
  <c r="D174" i="114" s="1"/>
  <c r="D173" i="114" a="1"/>
  <c r="D173" i="114" s="1"/>
  <c r="D170" i="114" a="1"/>
  <c r="D170" i="114" s="1"/>
  <c r="D169" i="114" a="1"/>
  <c r="D169" i="114" s="1"/>
  <c r="D168" i="114" a="1"/>
  <c r="D168" i="114" s="1"/>
  <c r="D167" i="114" a="1"/>
  <c r="D167" i="114" s="1"/>
  <c r="D164" i="114" a="1"/>
  <c r="D164" i="114" s="1"/>
  <c r="D163" i="114" a="1"/>
  <c r="D163" i="114" s="1"/>
  <c r="D162" i="114" a="1"/>
  <c r="D162" i="114" s="1"/>
  <c r="D161" i="114" a="1"/>
  <c r="D161" i="114" s="1"/>
  <c r="E158" i="114" a="1"/>
  <c r="E158" i="114" s="1"/>
  <c r="D158" i="114" a="1"/>
  <c r="D158" i="114" s="1"/>
  <c r="E157" i="114" a="1"/>
  <c r="E157" i="114" s="1"/>
  <c r="D157" i="114" a="1"/>
  <c r="D157" i="114" s="1"/>
  <c r="E156" i="114" a="1"/>
  <c r="E156" i="114" s="1"/>
  <c r="D156" i="114" a="1"/>
  <c r="D156" i="114" s="1"/>
  <c r="E155" i="114" a="1"/>
  <c r="E155" i="114" s="1"/>
  <c r="D155" i="114" a="1"/>
  <c r="D155" i="114" s="1"/>
  <c r="E154" i="114" a="1"/>
  <c r="E154" i="114" s="1"/>
  <c r="D154" i="114" a="1"/>
  <c r="D154" i="114" s="1"/>
  <c r="D151" i="114" a="1"/>
  <c r="D151" i="114" s="1"/>
  <c r="D150" i="114" a="1"/>
  <c r="D150" i="114" s="1"/>
  <c r="E147" i="114" a="1"/>
  <c r="E147" i="114" s="1"/>
  <c r="D147" i="114" a="1"/>
  <c r="D147" i="114" s="1"/>
  <c r="E146" i="114" a="1"/>
  <c r="E146" i="114" s="1"/>
  <c r="D146" i="114" a="1"/>
  <c r="D146" i="114" s="1"/>
  <c r="E145" i="114" a="1"/>
  <c r="E145" i="114" s="1"/>
  <c r="D145" i="114" a="1"/>
  <c r="D145" i="114" s="1"/>
  <c r="E144" i="114" a="1"/>
  <c r="E144" i="114" s="1"/>
  <c r="D144" i="114" a="1"/>
  <c r="D144" i="114" s="1"/>
  <c r="E143" i="114" a="1"/>
  <c r="E143" i="114" s="1"/>
  <c r="D143" i="114" a="1"/>
  <c r="D143" i="114" s="1"/>
  <c r="D141" i="114" a="1"/>
  <c r="D141" i="114" s="1"/>
  <c r="D140" i="114" a="1"/>
  <c r="D140" i="114" s="1"/>
  <c r="D139" i="114" a="1"/>
  <c r="D139" i="114" s="1"/>
  <c r="E136" i="114" a="1"/>
  <c r="E136" i="114" s="1"/>
  <c r="D136" i="114" a="1"/>
  <c r="D136" i="114" s="1"/>
  <c r="E135" i="114" a="1"/>
  <c r="E135" i="114" s="1"/>
  <c r="D135" i="114" a="1"/>
  <c r="D135" i="114" s="1"/>
  <c r="D133" i="114" a="1"/>
  <c r="D133" i="114" s="1"/>
  <c r="D132" i="114" a="1"/>
  <c r="D132" i="114" s="1"/>
  <c r="E129" i="114" a="1"/>
  <c r="E129" i="114" s="1"/>
  <c r="D129" i="114" a="1"/>
  <c r="D129" i="114" s="1"/>
  <c r="E128" i="114" a="1"/>
  <c r="E128" i="114" s="1"/>
  <c r="D128" i="114" a="1"/>
  <c r="D128" i="114" s="1"/>
  <c r="D125" i="114" a="1"/>
  <c r="D125" i="114" s="1"/>
  <c r="D124" i="114" a="1"/>
  <c r="D124" i="114" s="1"/>
  <c r="G121" i="114" a="1"/>
  <c r="G121" i="114" s="1"/>
  <c r="F121" i="114" a="1"/>
  <c r="F121" i="114" s="1"/>
  <c r="E121" i="114" a="1"/>
  <c r="E121" i="114" s="1"/>
  <c r="D121" i="114" a="1"/>
  <c r="D121" i="114" s="1"/>
  <c r="G120" i="114" a="1"/>
  <c r="G120" i="114" s="1"/>
  <c r="F120" i="114" a="1"/>
  <c r="F120" i="114" s="1"/>
  <c r="E120" i="114" a="1"/>
  <c r="E120" i="114" s="1"/>
  <c r="D120" i="114" a="1"/>
  <c r="D120" i="114" s="1"/>
  <c r="D117" i="114" a="1"/>
  <c r="D117" i="114" s="1"/>
  <c r="D116" i="114" a="1"/>
  <c r="D116" i="114" s="1"/>
  <c r="D115" i="114" a="1"/>
  <c r="D115" i="114" s="1"/>
  <c r="G112" i="114" a="1"/>
  <c r="G112" i="114" s="1"/>
  <c r="F112" i="114" a="1"/>
  <c r="F112" i="114" s="1"/>
  <c r="E112" i="114" a="1"/>
  <c r="E112" i="114" s="1"/>
  <c r="D112" i="114" a="1"/>
  <c r="D112" i="114" s="1"/>
  <c r="G111" i="114" a="1"/>
  <c r="G111" i="114" s="1"/>
  <c r="F111" i="114" a="1"/>
  <c r="F111" i="114" s="1"/>
  <c r="E111" i="114" a="1"/>
  <c r="E111" i="114" s="1"/>
  <c r="D111" i="114" a="1"/>
  <c r="D111" i="114" s="1"/>
  <c r="G110" i="114" a="1"/>
  <c r="G110" i="114" s="1"/>
  <c r="F110" i="114" a="1"/>
  <c r="F110" i="114" s="1"/>
  <c r="E110" i="114" a="1"/>
  <c r="E110" i="114" s="1"/>
  <c r="D110" i="114" a="1"/>
  <c r="D110" i="114" s="1"/>
  <c r="D107" i="114" a="1"/>
  <c r="D107" i="114" s="1"/>
  <c r="D106" i="114" a="1"/>
  <c r="D106" i="114" s="1"/>
  <c r="D105" i="114" a="1"/>
  <c r="D105" i="114" s="1"/>
  <c r="D99" i="114" a="1"/>
  <c r="D99" i="114" s="1"/>
  <c r="S97" i="114" a="1"/>
  <c r="S97" i="114" s="1"/>
  <c r="R97" i="114" a="1"/>
  <c r="R97" i="114" s="1"/>
  <c r="Q97" i="114" a="1"/>
  <c r="Q97" i="114" s="1"/>
  <c r="P97" i="114" a="1"/>
  <c r="P97" i="114" s="1"/>
  <c r="O97" i="114" a="1"/>
  <c r="O97" i="114" s="1"/>
  <c r="N97" i="114" a="1"/>
  <c r="N97" i="114" s="1"/>
  <c r="M97" i="114" a="1"/>
  <c r="M97" i="114" s="1"/>
  <c r="L97" i="114" a="1"/>
  <c r="L97" i="114" s="1"/>
  <c r="K97" i="114" a="1"/>
  <c r="K97" i="114" s="1"/>
  <c r="J97" i="114" a="1"/>
  <c r="J97" i="114" s="1"/>
  <c r="I97" i="114" a="1"/>
  <c r="I97" i="114" s="1"/>
  <c r="H97" i="114" a="1"/>
  <c r="H97" i="114" s="1"/>
  <c r="G97" i="114" a="1"/>
  <c r="G97" i="114" s="1"/>
  <c r="F97" i="114" a="1"/>
  <c r="F97" i="114" s="1"/>
  <c r="E97" i="114" a="1"/>
  <c r="E97" i="114" s="1"/>
  <c r="D97" i="114" a="1"/>
  <c r="D97" i="114" s="1"/>
  <c r="S96" i="114" a="1"/>
  <c r="S96" i="114" s="1"/>
  <c r="R96" i="114" a="1"/>
  <c r="R96" i="114" s="1"/>
  <c r="Q96" i="114" a="1"/>
  <c r="Q96" i="114" s="1"/>
  <c r="P96" i="114" a="1"/>
  <c r="P96" i="114" s="1"/>
  <c r="O96" i="114" a="1"/>
  <c r="O96" i="114" s="1"/>
  <c r="N96" i="114" a="1"/>
  <c r="N96" i="114" s="1"/>
  <c r="M96" i="114" a="1"/>
  <c r="M96" i="114" s="1"/>
  <c r="L96" i="114" a="1"/>
  <c r="L96" i="114" s="1"/>
  <c r="K96" i="114" a="1"/>
  <c r="K96" i="114" s="1"/>
  <c r="J96" i="114" a="1"/>
  <c r="J96" i="114" s="1"/>
  <c r="I96" i="114" a="1"/>
  <c r="I96" i="114" s="1"/>
  <c r="H96" i="114" a="1"/>
  <c r="H96" i="114" s="1"/>
  <c r="G96" i="114" a="1"/>
  <c r="G96" i="114" s="1"/>
  <c r="F96" i="114" a="1"/>
  <c r="F96" i="114" s="1"/>
  <c r="E96" i="114" a="1"/>
  <c r="E96" i="114" s="1"/>
  <c r="D96" i="114" a="1"/>
  <c r="D96" i="114" s="1"/>
  <c r="S95" i="114" a="1"/>
  <c r="S95" i="114" s="1"/>
  <c r="R95" i="114" a="1"/>
  <c r="R95" i="114" s="1"/>
  <c r="Q95" i="114" a="1"/>
  <c r="Q95" i="114" s="1"/>
  <c r="P95" i="114" a="1"/>
  <c r="P95" i="114" s="1"/>
  <c r="O95" i="114" a="1"/>
  <c r="O95" i="114" s="1"/>
  <c r="N95" i="114" a="1"/>
  <c r="N95" i="114" s="1"/>
  <c r="M95" i="114" a="1"/>
  <c r="M95" i="114" s="1"/>
  <c r="L95" i="114" a="1"/>
  <c r="L95" i="114" s="1"/>
  <c r="K95" i="114" a="1"/>
  <c r="K95" i="114" s="1"/>
  <c r="J95" i="114" a="1"/>
  <c r="J95" i="114" s="1"/>
  <c r="I95" i="114" a="1"/>
  <c r="I95" i="114" s="1"/>
  <c r="H95" i="114" a="1"/>
  <c r="H95" i="114" s="1"/>
  <c r="G95" i="114" a="1"/>
  <c r="G95" i="114" s="1"/>
  <c r="F95" i="114" a="1"/>
  <c r="F95" i="114" s="1"/>
  <c r="E95" i="114" a="1"/>
  <c r="E95" i="114" s="1"/>
  <c r="D95" i="114" a="1"/>
  <c r="D95" i="114" s="1"/>
  <c r="S94" i="114" a="1"/>
  <c r="S94" i="114" s="1"/>
  <c r="R94" i="114" a="1"/>
  <c r="R94" i="114" s="1"/>
  <c r="Q94" i="114" a="1"/>
  <c r="Q94" i="114" s="1"/>
  <c r="P94" i="114" a="1"/>
  <c r="P94" i="114" s="1"/>
  <c r="O94" i="114" a="1"/>
  <c r="O94" i="114" s="1"/>
  <c r="N94" i="114" a="1"/>
  <c r="N94" i="114" s="1"/>
  <c r="M94" i="114" a="1"/>
  <c r="M94" i="114" s="1"/>
  <c r="L94" i="114" a="1"/>
  <c r="L94" i="114" s="1"/>
  <c r="K94" i="114" a="1"/>
  <c r="K94" i="114" s="1"/>
  <c r="J94" i="114" a="1"/>
  <c r="J94" i="114" s="1"/>
  <c r="I94" i="114" a="1"/>
  <c r="I94" i="114" s="1"/>
  <c r="H94" i="114" a="1"/>
  <c r="H94" i="114" s="1"/>
  <c r="G94" i="114" a="1"/>
  <c r="G94" i="114" s="1"/>
  <c r="F94" i="114" a="1"/>
  <c r="F94" i="114" s="1"/>
  <c r="E94" i="114" a="1"/>
  <c r="E94" i="114" s="1"/>
  <c r="D94" i="114" a="1"/>
  <c r="D94" i="114" s="1"/>
  <c r="S93" i="114" a="1"/>
  <c r="S93" i="114" s="1"/>
  <c r="R93" i="114" a="1"/>
  <c r="R93" i="114" s="1"/>
  <c r="Q93" i="114" a="1"/>
  <c r="Q93" i="114" s="1"/>
  <c r="P93" i="114" a="1"/>
  <c r="P93" i="114" s="1"/>
  <c r="O93" i="114" a="1"/>
  <c r="O93" i="114" s="1"/>
  <c r="N93" i="114" a="1"/>
  <c r="N93" i="114" s="1"/>
  <c r="M93" i="114" a="1"/>
  <c r="M93" i="114" s="1"/>
  <c r="L93" i="114" a="1"/>
  <c r="L93" i="114" s="1"/>
  <c r="K93" i="114" a="1"/>
  <c r="K93" i="114" s="1"/>
  <c r="J93" i="114" a="1"/>
  <c r="J93" i="114" s="1"/>
  <c r="I93" i="114" a="1"/>
  <c r="I93" i="114" s="1"/>
  <c r="H93" i="114" a="1"/>
  <c r="H93" i="114" s="1"/>
  <c r="G93" i="114" a="1"/>
  <c r="G93" i="114" s="1"/>
  <c r="F93" i="114" a="1"/>
  <c r="F93" i="114" s="1"/>
  <c r="E93" i="114" a="1"/>
  <c r="E93" i="114" s="1"/>
  <c r="D93" i="114" a="1"/>
  <c r="D93" i="114" s="1"/>
  <c r="S92" i="114" a="1"/>
  <c r="S92" i="114" s="1"/>
  <c r="R92" i="114" a="1"/>
  <c r="R92" i="114" s="1"/>
  <c r="Q92" i="114" a="1"/>
  <c r="Q92" i="114" s="1"/>
  <c r="P92" i="114" a="1"/>
  <c r="P92" i="114" s="1"/>
  <c r="O92" i="114" a="1"/>
  <c r="O92" i="114" s="1"/>
  <c r="N92" i="114" a="1"/>
  <c r="N92" i="114" s="1"/>
  <c r="M92" i="114" a="1"/>
  <c r="M92" i="114" s="1"/>
  <c r="L92" i="114" a="1"/>
  <c r="L92" i="114" s="1"/>
  <c r="K92" i="114" a="1"/>
  <c r="K92" i="114" s="1"/>
  <c r="J92" i="114" a="1"/>
  <c r="J92" i="114" s="1"/>
  <c r="I92" i="114" a="1"/>
  <c r="I92" i="114" s="1"/>
  <c r="H92" i="114" a="1"/>
  <c r="H92" i="114" s="1"/>
  <c r="G92" i="114" a="1"/>
  <c r="G92" i="114" s="1"/>
  <c r="F92" i="114" a="1"/>
  <c r="F92" i="114" s="1"/>
  <c r="E92" i="114" a="1"/>
  <c r="E92" i="114" s="1"/>
  <c r="D92" i="114" a="1"/>
  <c r="D92" i="114" s="1"/>
  <c r="S91" i="114" a="1"/>
  <c r="S91" i="114" s="1"/>
  <c r="R91" i="114" a="1"/>
  <c r="R91" i="114" s="1"/>
  <c r="Q91" i="114" a="1"/>
  <c r="Q91" i="114" s="1"/>
  <c r="P91" i="114" a="1"/>
  <c r="P91" i="114" s="1"/>
  <c r="O91" i="114" a="1"/>
  <c r="O91" i="114" s="1"/>
  <c r="N91" i="114" a="1"/>
  <c r="N91" i="114" s="1"/>
  <c r="M91" i="114" a="1"/>
  <c r="M91" i="114" s="1"/>
  <c r="L91" i="114" a="1"/>
  <c r="L91" i="114" s="1"/>
  <c r="K91" i="114" a="1"/>
  <c r="K91" i="114" s="1"/>
  <c r="J91" i="114" a="1"/>
  <c r="J91" i="114" s="1"/>
  <c r="I91" i="114" a="1"/>
  <c r="I91" i="114" s="1"/>
  <c r="H91" i="114" a="1"/>
  <c r="H91" i="114" s="1"/>
  <c r="G91" i="114" a="1"/>
  <c r="G91" i="114" s="1"/>
  <c r="F91" i="114" a="1"/>
  <c r="F91" i="114" s="1"/>
  <c r="E91" i="114" a="1"/>
  <c r="E91" i="114" s="1"/>
  <c r="D91" i="114" a="1"/>
  <c r="D91" i="114" s="1"/>
  <c r="S90" i="114" a="1"/>
  <c r="S90" i="114" s="1"/>
  <c r="R90" i="114" a="1"/>
  <c r="R90" i="114" s="1"/>
  <c r="Q90" i="114" a="1"/>
  <c r="Q90" i="114" s="1"/>
  <c r="P90" i="114" a="1"/>
  <c r="P90" i="114" s="1"/>
  <c r="O90" i="114" a="1"/>
  <c r="O90" i="114" s="1"/>
  <c r="N90" i="114" a="1"/>
  <c r="N90" i="114" s="1"/>
  <c r="M90" i="114" a="1"/>
  <c r="M90" i="114" s="1"/>
  <c r="L90" i="114" a="1"/>
  <c r="L90" i="114" s="1"/>
  <c r="K90" i="114" a="1"/>
  <c r="K90" i="114" s="1"/>
  <c r="J90" i="114" a="1"/>
  <c r="J90" i="114" s="1"/>
  <c r="I90" i="114" a="1"/>
  <c r="I90" i="114" s="1"/>
  <c r="H90" i="114" a="1"/>
  <c r="H90" i="114" s="1"/>
  <c r="G90" i="114" a="1"/>
  <c r="G90" i="114" s="1"/>
  <c r="F90" i="114" a="1"/>
  <c r="F90" i="114" s="1"/>
  <c r="E90" i="114" a="1"/>
  <c r="E90" i="114" s="1"/>
  <c r="D90" i="114" a="1"/>
  <c r="D90" i="114" s="1"/>
  <c r="D83" i="114" a="1"/>
  <c r="D83" i="114" s="1"/>
  <c r="D82" i="114" a="1"/>
  <c r="D82" i="114" s="1"/>
  <c r="D81" i="114" a="1"/>
  <c r="D81" i="114" s="1"/>
  <c r="E77" i="114" a="1"/>
  <c r="E77" i="114" s="1"/>
  <c r="D77" i="114" a="1"/>
  <c r="D77" i="114" s="1"/>
  <c r="E76" i="114" a="1"/>
  <c r="E76" i="114" s="1"/>
  <c r="D76" i="114" a="1"/>
  <c r="D76" i="114" s="1"/>
  <c r="E75" i="114" a="1"/>
  <c r="E75" i="114" s="1"/>
  <c r="D75" i="114" a="1"/>
  <c r="D75" i="114" s="1"/>
  <c r="E74" i="114" a="1"/>
  <c r="E74" i="114" s="1"/>
  <c r="D74" i="114" a="1"/>
  <c r="D74" i="114" s="1"/>
  <c r="E73" i="114" a="1"/>
  <c r="E73" i="114" s="1"/>
  <c r="D73" i="114" a="1"/>
  <c r="D73" i="114" s="1"/>
  <c r="E72" i="114" a="1"/>
  <c r="E72" i="114" s="1"/>
  <c r="D72" i="114" a="1"/>
  <c r="D72" i="114" s="1"/>
  <c r="E71" i="114" a="1"/>
  <c r="E71" i="114" s="1"/>
  <c r="D71" i="114" a="1"/>
  <c r="D71" i="114" s="1"/>
  <c r="E70" i="114" a="1"/>
  <c r="E70" i="114" s="1"/>
  <c r="D70" i="114" a="1"/>
  <c r="D70" i="114" s="1"/>
  <c r="E69" i="114" a="1"/>
  <c r="E69" i="114" s="1"/>
  <c r="D69" i="114" a="1"/>
  <c r="D69" i="114" s="1"/>
  <c r="E68" i="114" a="1"/>
  <c r="E68" i="114" s="1"/>
  <c r="D68" i="114" a="1"/>
  <c r="D68" i="114" s="1"/>
  <c r="E67" i="114" a="1"/>
  <c r="E67" i="114" s="1"/>
  <c r="D67" i="114" a="1"/>
  <c r="D67" i="114" s="1"/>
  <c r="E66" i="114" a="1"/>
  <c r="E66" i="114" s="1"/>
  <c r="D66" i="114" a="1"/>
  <c r="D66" i="114" s="1"/>
  <c r="E65" i="114" a="1"/>
  <c r="E65" i="114" s="1"/>
  <c r="D65" i="114" a="1"/>
  <c r="D65" i="114" s="1"/>
  <c r="E64" i="114" a="1"/>
  <c r="E64" i="114" s="1"/>
  <c r="D64" i="114" a="1"/>
  <c r="D64" i="114" s="1"/>
  <c r="D59" i="114" a="1"/>
  <c r="D59" i="114" s="1"/>
  <c r="D58" i="114" a="1"/>
  <c r="D58" i="114" s="1"/>
  <c r="D57" i="114" a="1"/>
  <c r="D57" i="114" s="1"/>
  <c r="G54" i="114" a="1"/>
  <c r="G54" i="114" s="1"/>
  <c r="F54" i="114" a="1"/>
  <c r="F54" i="114" s="1"/>
  <c r="E54" i="114"/>
  <c r="E54" i="114" a="1"/>
  <c r="D54" i="114" a="1"/>
  <c r="D54" i="114" s="1"/>
  <c r="G53" i="114" a="1"/>
  <c r="G53" i="114" s="1"/>
  <c r="F53" i="114" a="1"/>
  <c r="F53" i="114" s="1"/>
  <c r="H53" i="114" s="1"/>
  <c r="E53" i="114" a="1"/>
  <c r="E53" i="114" s="1"/>
  <c r="D53" i="114" a="1"/>
  <c r="D53" i="114" s="1"/>
  <c r="G52" i="114" a="1"/>
  <c r="G52" i="114" s="1"/>
  <c r="F52" i="114" a="1"/>
  <c r="F52" i="114" s="1"/>
  <c r="E52" i="114" a="1"/>
  <c r="E52" i="114" s="1"/>
  <c r="D52" i="114" a="1"/>
  <c r="D52" i="114" s="1"/>
  <c r="G51" i="114" a="1"/>
  <c r="G51" i="114" s="1"/>
  <c r="F51" i="114" a="1"/>
  <c r="F51" i="114" s="1"/>
  <c r="E51" i="114" a="1"/>
  <c r="E51" i="114" s="1"/>
  <c r="D51" i="114" a="1"/>
  <c r="D51" i="114" s="1"/>
  <c r="G50" i="114" a="1"/>
  <c r="G50" i="114" s="1"/>
  <c r="F50" i="114" a="1"/>
  <c r="F50" i="114" s="1"/>
  <c r="E50" i="114" a="1"/>
  <c r="E50" i="114" s="1"/>
  <c r="D50" i="114" a="1"/>
  <c r="D50" i="114" s="1"/>
  <c r="G49" i="114" a="1"/>
  <c r="G49" i="114" s="1"/>
  <c r="F49" i="114" a="1"/>
  <c r="F49" i="114" s="1"/>
  <c r="E49" i="114" a="1"/>
  <c r="E49" i="114" s="1"/>
  <c r="D49" i="114" a="1"/>
  <c r="D49" i="114" s="1"/>
  <c r="G48" i="114" a="1"/>
  <c r="G48" i="114" s="1"/>
  <c r="F48" i="114" a="1"/>
  <c r="F48" i="114" s="1"/>
  <c r="E48" i="114" a="1"/>
  <c r="E48" i="114" s="1"/>
  <c r="D48" i="114" a="1"/>
  <c r="D48" i="114" s="1"/>
  <c r="D46" i="114"/>
  <c r="D46" i="114" a="1"/>
  <c r="D45" i="114"/>
  <c r="D45" i="114" a="1"/>
  <c r="E43" i="114" a="1"/>
  <c r="E43" i="114" s="1"/>
  <c r="D43" i="114" a="1"/>
  <c r="D43" i="114" s="1"/>
  <c r="E42" i="114" a="1"/>
  <c r="E42" i="114" s="1"/>
  <c r="D42" i="114" a="1"/>
  <c r="D42" i="114" s="1"/>
  <c r="E41" i="114" a="1"/>
  <c r="E41" i="114" s="1"/>
  <c r="D41" i="114" a="1"/>
  <c r="D41" i="114" s="1"/>
  <c r="E40" i="114" a="1"/>
  <c r="E40" i="114" s="1"/>
  <c r="D40" i="114" a="1"/>
  <c r="D40" i="114" s="1"/>
  <c r="E39" i="114" a="1"/>
  <c r="E39" i="114" s="1"/>
  <c r="D39" i="114" a="1"/>
  <c r="D39" i="114" s="1"/>
  <c r="E38" i="114" a="1"/>
  <c r="E38" i="114" s="1"/>
  <c r="D38" i="114" a="1"/>
  <c r="D38" i="114" s="1"/>
  <c r="E37" i="114" a="1"/>
  <c r="E37" i="114" s="1"/>
  <c r="D37" i="114" a="1"/>
  <c r="D37" i="114" s="1"/>
  <c r="D35" i="114" a="1"/>
  <c r="D35" i="114" s="1"/>
  <c r="D34" i="114" a="1"/>
  <c r="D34" i="114" s="1"/>
  <c r="D30" i="114" a="1"/>
  <c r="D30" i="114" s="1"/>
  <c r="D29" i="114" a="1"/>
  <c r="D29" i="114" s="1"/>
  <c r="D28" i="114" a="1"/>
  <c r="D28" i="114" s="1"/>
  <c r="D27" i="114" a="1"/>
  <c r="D27" i="114" s="1"/>
  <c r="D26" i="114" a="1"/>
  <c r="D26" i="114" s="1"/>
  <c r="D25" i="114" a="1"/>
  <c r="D25" i="114" s="1"/>
  <c r="D24" i="114" a="1"/>
  <c r="D24" i="114" s="1"/>
  <c r="D23" i="114" a="1"/>
  <c r="D23" i="114" s="1"/>
  <c r="D22" i="114" a="1"/>
  <c r="D22" i="114" s="1"/>
  <c r="D21" i="114" a="1"/>
  <c r="D21" i="114" s="1"/>
  <c r="D19" i="114"/>
  <c r="D19" i="114" a="1"/>
  <c r="D18" i="114" a="1"/>
  <c r="D18" i="114" s="1"/>
  <c r="F14" i="114" a="1"/>
  <c r="F14" i="114" s="1"/>
  <c r="E14" i="114" a="1"/>
  <c r="E14" i="114" s="1"/>
  <c r="D14" i="114" a="1"/>
  <c r="D14" i="114" s="1"/>
  <c r="F13" i="114" a="1"/>
  <c r="F13" i="114" s="1"/>
  <c r="E13" i="114" a="1"/>
  <c r="E13" i="114" s="1"/>
  <c r="D13" i="114" a="1"/>
  <c r="D13" i="114" s="1"/>
  <c r="F12" i="114" a="1"/>
  <c r="F12" i="114" s="1"/>
  <c r="E12" i="114" a="1"/>
  <c r="E12" i="114" s="1"/>
  <c r="D12" i="114" a="1"/>
  <c r="D12" i="114" s="1"/>
  <c r="F11" i="114" a="1"/>
  <c r="F11" i="114" s="1"/>
  <c r="E11" i="114" a="1"/>
  <c r="E11" i="114" s="1"/>
  <c r="D11" i="114" a="1"/>
  <c r="D11" i="114" s="1"/>
  <c r="F10" i="114" a="1"/>
  <c r="F10" i="114" s="1"/>
  <c r="E10" i="114" a="1"/>
  <c r="E10" i="114" s="1"/>
  <c r="D10" i="114" a="1"/>
  <c r="D10" i="114" s="1"/>
  <c r="F9" i="114" a="1"/>
  <c r="F9" i="114" s="1"/>
  <c r="E9" i="114" a="1"/>
  <c r="E9" i="114" s="1"/>
  <c r="D9" i="114" a="1"/>
  <c r="D9" i="114" s="1"/>
  <c r="F8" i="114" a="1"/>
  <c r="F8" i="114" s="1"/>
  <c r="E8" i="114" a="1"/>
  <c r="E8" i="114" s="1"/>
  <c r="D8" i="114" a="1"/>
  <c r="D8" i="114" s="1"/>
  <c r="A8" i="114"/>
  <c r="F7" i="114" a="1"/>
  <c r="F7" i="114" s="1"/>
  <c r="E7" i="114" a="1"/>
  <c r="E7" i="114" s="1"/>
  <c r="D7" i="114" a="1"/>
  <c r="D7" i="114" s="1"/>
  <c r="A7" i="114"/>
  <c r="D5" i="114"/>
  <c r="D5" i="114" a="1"/>
  <c r="A3" i="114"/>
  <c r="A8" i="71"/>
  <c r="A7" i="71"/>
  <c r="A3" i="71"/>
  <c r="E95" i="70"/>
  <c r="E88" i="70"/>
  <c r="E81" i="70"/>
  <c r="E73" i="70"/>
  <c r="E66" i="70"/>
  <c r="E132" i="79" a="1"/>
  <c r="E132" i="79" s="1"/>
  <c r="D132" i="79" a="1"/>
  <c r="D132" i="79" s="1"/>
  <c r="E131" i="79" a="1"/>
  <c r="E131" i="79" s="1"/>
  <c r="D131" i="79" a="1"/>
  <c r="D131" i="79" s="1"/>
  <c r="E130" i="79" a="1"/>
  <c r="E130" i="79" s="1"/>
  <c r="D130" i="79" a="1"/>
  <c r="D130" i="79" s="1"/>
  <c r="E129" i="79" a="1"/>
  <c r="E129" i="79" s="1"/>
  <c r="D129" i="79" a="1"/>
  <c r="D129" i="79" s="1"/>
  <c r="E128" i="79" a="1"/>
  <c r="E128" i="79" s="1"/>
  <c r="D128" i="79" a="1"/>
  <c r="D128" i="79" s="1"/>
  <c r="D126" i="79" a="1"/>
  <c r="D126" i="79" s="1"/>
  <c r="D125" i="79" a="1"/>
  <c r="D125" i="79" s="1"/>
  <c r="F122" i="79" a="1"/>
  <c r="F122" i="79" s="1"/>
  <c r="E122" i="79" a="1"/>
  <c r="E122" i="79" s="1"/>
  <c r="D122" i="79" a="1"/>
  <c r="D122" i="79" s="1"/>
  <c r="D121" i="79" a="1"/>
  <c r="D121" i="79" s="1"/>
  <c r="D120" i="79" a="1"/>
  <c r="D120" i="79" s="1"/>
  <c r="H60" i="70"/>
  <c r="G60" i="70"/>
  <c r="F60" i="70"/>
  <c r="E60" i="70"/>
  <c r="H59" i="70"/>
  <c r="G59" i="70"/>
  <c r="F59" i="70"/>
  <c r="E59" i="70"/>
  <c r="E102" i="70" s="1"/>
  <c r="E27" i="70"/>
  <c r="E29" i="15"/>
  <c r="E13" i="15"/>
  <c r="D11" i="70" s="1"/>
  <c r="A26" i="74"/>
  <c r="A25" i="74"/>
  <c r="A24" i="74"/>
  <c r="A23" i="74"/>
  <c r="A22" i="74"/>
  <c r="A18" i="74"/>
  <c r="A17" i="74"/>
  <c r="A16" i="74"/>
  <c r="A15" i="74"/>
  <c r="A14" i="74"/>
  <c r="A10" i="74"/>
  <c r="A9" i="74"/>
  <c r="A5" i="74"/>
  <c r="A4" i="74"/>
  <c r="A3" i="74"/>
  <c r="A26" i="43"/>
  <c r="A25" i="43"/>
  <c r="A24" i="43"/>
  <c r="A23" i="43"/>
  <c r="A22" i="43"/>
  <c r="A18" i="43"/>
  <c r="A17" i="43"/>
  <c r="A16" i="43"/>
  <c r="A15" i="43"/>
  <c r="A14" i="43"/>
  <c r="A10" i="43"/>
  <c r="A9" i="43"/>
  <c r="A5" i="43"/>
  <c r="A4" i="43"/>
  <c r="A3" i="43"/>
  <c r="A26" i="79"/>
  <c r="A25" i="79"/>
  <c r="A24" i="79"/>
  <c r="A23" i="79"/>
  <c r="A22" i="79"/>
  <c r="A18" i="79"/>
  <c r="A17" i="79"/>
  <c r="A16" i="79"/>
  <c r="A15" i="79"/>
  <c r="A14" i="79"/>
  <c r="A10" i="79"/>
  <c r="A9" i="79"/>
  <c r="A5" i="79"/>
  <c r="A4" i="79"/>
  <c r="A3" i="79"/>
  <c r="A26" i="105"/>
  <c r="A25" i="105"/>
  <c r="A24" i="105"/>
  <c r="A23" i="105"/>
  <c r="A22" i="105"/>
  <c r="A18" i="105"/>
  <c r="A17" i="105"/>
  <c r="A16" i="105"/>
  <c r="A15" i="105"/>
  <c r="A14" i="105"/>
  <c r="A10" i="105"/>
  <c r="A9" i="105"/>
  <c r="A5" i="105"/>
  <c r="A4" i="105"/>
  <c r="A3" i="105"/>
  <c r="A26" i="98"/>
  <c r="A25" i="98"/>
  <c r="A24" i="98"/>
  <c r="A23" i="98"/>
  <c r="A22" i="98"/>
  <c r="A18" i="98"/>
  <c r="A17" i="98"/>
  <c r="A16" i="98"/>
  <c r="A15" i="98"/>
  <c r="A14" i="98"/>
  <c r="A10" i="98"/>
  <c r="A9" i="98"/>
  <c r="A5" i="98"/>
  <c r="A4" i="98"/>
  <c r="A3" i="98"/>
  <c r="A26" i="97"/>
  <c r="A25" i="97"/>
  <c r="A24" i="97"/>
  <c r="A23" i="97"/>
  <c r="A22" i="97"/>
  <c r="A18" i="97"/>
  <c r="A17" i="97"/>
  <c r="A16" i="97"/>
  <c r="A15" i="97"/>
  <c r="A14" i="97"/>
  <c r="A10" i="97"/>
  <c r="A9" i="97"/>
  <c r="A5" i="97"/>
  <c r="A4" i="97"/>
  <c r="A3" i="97"/>
  <c r="A26" i="76"/>
  <c r="A25" i="76"/>
  <c r="A24" i="76"/>
  <c r="A23" i="76"/>
  <c r="A22" i="76"/>
  <c r="A18" i="76"/>
  <c r="A17" i="76"/>
  <c r="A16" i="76"/>
  <c r="A15" i="76"/>
  <c r="A14" i="76"/>
  <c r="A10" i="76"/>
  <c r="A9" i="76"/>
  <c r="A5" i="76"/>
  <c r="A4" i="76"/>
  <c r="A3" i="76"/>
  <c r="A26" i="69"/>
  <c r="A25" i="69"/>
  <c r="A24" i="69"/>
  <c r="A23" i="69"/>
  <c r="A22" i="69"/>
  <c r="A18" i="69"/>
  <c r="A17" i="69"/>
  <c r="A16" i="69"/>
  <c r="A15" i="69"/>
  <c r="A14" i="69"/>
  <c r="A10" i="69"/>
  <c r="A9" i="69"/>
  <c r="A5" i="69"/>
  <c r="A4" i="69"/>
  <c r="A3" i="69"/>
  <c r="A26" i="70"/>
  <c r="A25" i="70"/>
  <c r="A24" i="70"/>
  <c r="A23" i="70"/>
  <c r="A22" i="70"/>
  <c r="A18" i="70"/>
  <c r="A17" i="70"/>
  <c r="A16" i="70"/>
  <c r="A15" i="70"/>
  <c r="A14" i="70"/>
  <c r="A10" i="70"/>
  <c r="A9" i="70"/>
  <c r="A5" i="70"/>
  <c r="A4" i="70"/>
  <c r="A3" i="70"/>
  <c r="A26" i="15"/>
  <c r="A25" i="15"/>
  <c r="A24" i="15"/>
  <c r="A23" i="15"/>
  <c r="A22" i="15"/>
  <c r="A18" i="15"/>
  <c r="A17" i="15"/>
  <c r="A16" i="15"/>
  <c r="A15" i="15"/>
  <c r="A14" i="15"/>
  <c r="A10" i="15"/>
  <c r="A9" i="15"/>
  <c r="A5" i="15"/>
  <c r="A4" i="15"/>
  <c r="A3" i="15"/>
  <c r="A26" i="13"/>
  <c r="A25" i="13"/>
  <c r="A24" i="13"/>
  <c r="A23" i="13"/>
  <c r="A22" i="13"/>
  <c r="A18" i="13"/>
  <c r="A17" i="13"/>
  <c r="A16" i="13"/>
  <c r="A15" i="13"/>
  <c r="A14" i="13"/>
  <c r="A10" i="13"/>
  <c r="A9" i="13"/>
  <c r="A5" i="13"/>
  <c r="A4" i="13"/>
  <c r="A3" i="13"/>
  <c r="A26" i="109"/>
  <c r="A25" i="109"/>
  <c r="A24" i="109"/>
  <c r="A23" i="109"/>
  <c r="A22" i="109"/>
  <c r="A18" i="109"/>
  <c r="A17" i="109"/>
  <c r="A16" i="109"/>
  <c r="A15" i="109"/>
  <c r="A14" i="109"/>
  <c r="A10" i="109"/>
  <c r="A9" i="109"/>
  <c r="A5" i="109"/>
  <c r="A4" i="109"/>
  <c r="A3" i="109"/>
  <c r="F246" i="105"/>
  <c r="F245" i="105"/>
  <c r="F244" i="105"/>
  <c r="F243" i="105"/>
  <c r="F242" i="105"/>
  <c r="F241" i="105"/>
  <c r="F240" i="105"/>
  <c r="F239" i="105"/>
  <c r="F238" i="105"/>
  <c r="F237" i="105"/>
  <c r="F236" i="105"/>
  <c r="F235" i="105"/>
  <c r="F234" i="105"/>
  <c r="F233" i="105"/>
  <c r="F232" i="105"/>
  <c r="F231" i="105"/>
  <c r="F230" i="105"/>
  <c r="F229" i="105"/>
  <c r="F228" i="105"/>
  <c r="F227" i="105"/>
  <c r="F226" i="105"/>
  <c r="F225" i="105"/>
  <c r="F224" i="105"/>
  <c r="F223" i="105"/>
  <c r="F222" i="105"/>
  <c r="F221" i="105"/>
  <c r="S126" i="69"/>
  <c r="I126" i="69"/>
  <c r="F103" i="105" a="1"/>
  <c r="F103" i="105" s="1"/>
  <c r="F99" i="105" a="1"/>
  <c r="F99" i="105" s="1"/>
  <c r="F95" i="105" a="1"/>
  <c r="F95" i="105" s="1"/>
  <c r="F91" i="105" a="1"/>
  <c r="F91" i="105" s="1"/>
  <c r="F86" i="105" a="1"/>
  <c r="F86" i="105" s="1"/>
  <c r="F82" i="105" a="1"/>
  <c r="F82" i="105" s="1"/>
  <c r="I18" i="98"/>
  <c r="I17" i="98"/>
  <c r="I16" i="98"/>
  <c r="H50" i="114" l="1"/>
  <c r="H52" i="114"/>
  <c r="H54" i="114"/>
  <c r="H48" i="114"/>
  <c r="H49" i="114"/>
  <c r="H51" i="114"/>
  <c r="D10" i="70"/>
  <c r="I122" i="97"/>
  <c r="I121" i="97"/>
  <c r="E95" i="76" a="1"/>
  <c r="E95" i="76" s="1"/>
  <c r="R66" i="76"/>
  <c r="Q66" i="76"/>
  <c r="P66" i="76"/>
  <c r="O66" i="76"/>
  <c r="R65" i="76"/>
  <c r="Q65" i="76"/>
  <c r="P65" i="76"/>
  <c r="O65" i="76"/>
  <c r="R64" i="76"/>
  <c r="Q64" i="76"/>
  <c r="P64" i="76"/>
  <c r="O64" i="76"/>
  <c r="R63" i="76"/>
  <c r="Q63" i="76"/>
  <c r="P63" i="76"/>
  <c r="O63" i="76"/>
  <c r="R62" i="76"/>
  <c r="Q62" i="76"/>
  <c r="P62" i="76"/>
  <c r="O62" i="76"/>
  <c r="H66" i="76"/>
  <c r="G66" i="76"/>
  <c r="F66" i="76"/>
  <c r="E66" i="76"/>
  <c r="H65" i="76"/>
  <c r="G65" i="76"/>
  <c r="F65" i="76"/>
  <c r="E65" i="76"/>
  <c r="H64" i="76"/>
  <c r="G64" i="76"/>
  <c r="F64" i="76"/>
  <c r="E64" i="76"/>
  <c r="H63" i="76"/>
  <c r="G63" i="76"/>
  <c r="F63" i="76"/>
  <c r="E63" i="76"/>
  <c r="H62" i="76"/>
  <c r="G62" i="76"/>
  <c r="F62" i="76"/>
  <c r="E62" i="76"/>
  <c r="E57" i="76" a="1"/>
  <c r="E57" i="76" s="1"/>
  <c r="E56" i="76" a="1"/>
  <c r="E56" i="76" s="1"/>
  <c r="E55" i="76" a="1"/>
  <c r="E55" i="76" s="1"/>
  <c r="E54" i="76" a="1"/>
  <c r="E54" i="76" s="1"/>
  <c r="E53" i="76" a="1"/>
  <c r="E53" i="76" s="1"/>
  <c r="D30" i="76" a="1"/>
  <c r="D30" i="76" s="1"/>
  <c r="D20" i="76" a="1"/>
  <c r="D20" i="76" s="1"/>
  <c r="D254" i="69" a="1"/>
  <c r="D254" i="69" s="1"/>
  <c r="D249" i="69" a="1"/>
  <c r="D249" i="69" s="1"/>
  <c r="E63" i="69" a="1"/>
  <c r="E63" i="69" s="1"/>
  <c r="R32" i="69"/>
  <c r="Q32" i="69"/>
  <c r="P32" i="69"/>
  <c r="R31" i="69"/>
  <c r="Q31" i="69"/>
  <c r="P31" i="69"/>
  <c r="R30" i="69"/>
  <c r="Q30" i="69"/>
  <c r="P30" i="69"/>
  <c r="R29" i="69"/>
  <c r="Q29" i="69"/>
  <c r="P29" i="69"/>
  <c r="R28" i="69"/>
  <c r="Q28" i="69"/>
  <c r="P28" i="69"/>
  <c r="O32" i="69"/>
  <c r="O31" i="69"/>
  <c r="O30" i="69"/>
  <c r="O29" i="69"/>
  <c r="O28" i="69"/>
  <c r="H32" i="69"/>
  <c r="G32" i="69"/>
  <c r="F32" i="69"/>
  <c r="E32" i="69"/>
  <c r="H31" i="69"/>
  <c r="G31" i="69"/>
  <c r="F31" i="69"/>
  <c r="E31" i="69"/>
  <c r="H30" i="69"/>
  <c r="G30" i="69"/>
  <c r="F30" i="69"/>
  <c r="E30" i="69"/>
  <c r="H29" i="69"/>
  <c r="G29" i="69"/>
  <c r="F29" i="69"/>
  <c r="E29" i="69"/>
  <c r="H28" i="69"/>
  <c r="G28" i="69"/>
  <c r="F28" i="69"/>
  <c r="E28" i="69"/>
  <c r="E23" i="69" a="1"/>
  <c r="E23" i="69" s="1"/>
  <c r="E22" i="69" a="1"/>
  <c r="E22" i="69" s="1"/>
  <c r="E21" i="69" a="1"/>
  <c r="E21" i="69" s="1"/>
  <c r="E20" i="69" a="1"/>
  <c r="E20" i="69" s="1"/>
  <c r="E19" i="69" a="1"/>
  <c r="E19" i="69" s="1"/>
  <c r="I123" i="97" l="1"/>
  <c r="I125" i="69"/>
  <c r="I201" i="69"/>
  <c r="A278" i="105" l="1"/>
  <c r="A247" i="105"/>
  <c r="A211" i="105"/>
  <c r="A163" i="105"/>
  <c r="A302" i="76"/>
  <c r="A244" i="76"/>
  <c r="A171" i="76"/>
  <c r="A266" i="69"/>
  <c r="A231" i="69"/>
  <c r="A213" i="69"/>
  <c r="A186" i="69"/>
  <c r="Q121" i="69" a="1"/>
  <c r="Q121" i="69" s="1"/>
  <c r="N121" i="69" a="1"/>
  <c r="N121" i="69" s="1"/>
  <c r="I123" i="69" a="1"/>
  <c r="I123" i="69" s="1"/>
  <c r="I121" i="69" a="1"/>
  <c r="I121" i="69" s="1"/>
  <c r="G13" i="105" a="1"/>
  <c r="G13" i="105" s="1"/>
  <c r="T22" i="105" s="1"/>
  <c r="D13" i="105" a="1"/>
  <c r="D13" i="105" s="1"/>
  <c r="I173" i="105" a="1"/>
  <c r="I173" i="105" s="1"/>
  <c r="I174" i="105" a="1"/>
  <c r="I174" i="105" s="1"/>
  <c r="I175" i="105" a="1"/>
  <c r="I175" i="105" s="1"/>
  <c r="I176" i="105" a="1"/>
  <c r="I176" i="105" s="1"/>
  <c r="I177" i="105" a="1"/>
  <c r="I177" i="105" s="1"/>
  <c r="G173" i="105" a="1"/>
  <c r="G173" i="105" s="1"/>
  <c r="D173" i="105" a="1"/>
  <c r="D173" i="105" s="1"/>
  <c r="I40" i="98" a="1"/>
  <c r="I40" i="98" s="1"/>
  <c r="G40" i="98" a="1"/>
  <c r="G40" i="98" s="1"/>
  <c r="D40" i="98" a="1"/>
  <c r="D40" i="98" s="1"/>
  <c r="I13" i="98" a="1"/>
  <c r="I13" i="98" s="1"/>
  <c r="G13" i="98" a="1"/>
  <c r="G13" i="98" s="1"/>
  <c r="R23" i="98" s="1"/>
  <c r="D13" i="98" a="1"/>
  <c r="D13" i="98" s="1"/>
  <c r="Q118" i="97" a="1"/>
  <c r="Q118" i="97" s="1"/>
  <c r="N118" i="97" a="1"/>
  <c r="N118" i="97" s="1"/>
  <c r="G118" i="97" a="1"/>
  <c r="G118" i="97" s="1"/>
  <c r="D118" i="97" a="1"/>
  <c r="D118" i="97" s="1"/>
  <c r="J13" i="97" a="1"/>
  <c r="J13" i="97" s="1"/>
  <c r="I13" i="97" a="1"/>
  <c r="I13" i="97" s="1"/>
  <c r="I14" i="97" a="1"/>
  <c r="I14" i="97" s="1"/>
  <c r="G13" i="97" a="1"/>
  <c r="G13" i="97" s="1"/>
  <c r="T32" i="97" s="1"/>
  <c r="D13" i="97" a="1"/>
  <c r="D13" i="97" s="1"/>
  <c r="I15" i="76" a="1"/>
  <c r="I15" i="76" s="1"/>
  <c r="I14" i="76" a="1"/>
  <c r="I14" i="76" s="1"/>
  <c r="I13" i="76" a="1"/>
  <c r="I13" i="76" s="1"/>
  <c r="G13" i="76" a="1"/>
  <c r="G13" i="76" s="1"/>
  <c r="H20" i="76" s="1"/>
  <c r="D13" i="76" a="1"/>
  <c r="D13" i="76" s="1"/>
  <c r="I48" i="76" a="1"/>
  <c r="I48" i="76" s="1"/>
  <c r="I47" i="76" a="1"/>
  <c r="I47" i="76" s="1"/>
  <c r="G47" i="76" a="1"/>
  <c r="G47" i="76" s="1"/>
  <c r="I53" i="76" s="1"/>
  <c r="D47" i="76" a="1"/>
  <c r="D47" i="76" s="1"/>
  <c r="I88" i="76" a="1"/>
  <c r="I88" i="76" s="1"/>
  <c r="I89" i="76" a="1"/>
  <c r="I89" i="76" s="1"/>
  <c r="I90" i="76" a="1"/>
  <c r="I90" i="76" s="1"/>
  <c r="G88" i="76" a="1"/>
  <c r="G88" i="76" s="1"/>
  <c r="D88" i="76" a="1"/>
  <c r="D88" i="76" s="1"/>
  <c r="J113" i="76" a="1"/>
  <c r="J113" i="76" s="1"/>
  <c r="I113" i="76" a="1"/>
  <c r="I113" i="76" s="1"/>
  <c r="I112" i="76" a="1"/>
  <c r="I112" i="76" s="1"/>
  <c r="G112" i="76" a="1"/>
  <c r="G112" i="76" s="1"/>
  <c r="D112" i="76" a="1"/>
  <c r="D112" i="76" s="1"/>
  <c r="I135" i="76" a="1"/>
  <c r="I135" i="76" s="1"/>
  <c r="I136" i="76" a="1"/>
  <c r="I136" i="76" s="1"/>
  <c r="I137" i="76" a="1"/>
  <c r="I137" i="76" s="1"/>
  <c r="G135" i="76" a="1"/>
  <c r="G135" i="76" s="1"/>
  <c r="D135" i="76" a="1"/>
  <c r="D135" i="76" s="1"/>
  <c r="I182" i="76" a="1"/>
  <c r="I182" i="76" s="1"/>
  <c r="I181" i="76" a="1"/>
  <c r="I181" i="76" s="1"/>
  <c r="G181" i="76" a="1"/>
  <c r="G181" i="76" s="1"/>
  <c r="D181" i="76" a="1"/>
  <c r="D181" i="76" s="1"/>
  <c r="J254" i="76" a="1"/>
  <c r="J254" i="76" s="1"/>
  <c r="I254" i="76" a="1"/>
  <c r="I254" i="76" s="1"/>
  <c r="I255" i="76" a="1"/>
  <c r="I255" i="76" s="1"/>
  <c r="G254" i="76" a="1"/>
  <c r="G254" i="76" s="1"/>
  <c r="D254" i="76" a="1"/>
  <c r="D254" i="76" s="1"/>
  <c r="I14" i="69" a="1"/>
  <c r="I14" i="69" s="1"/>
  <c r="I13" i="69" a="1"/>
  <c r="I13" i="69" s="1"/>
  <c r="I58" i="69" a="1"/>
  <c r="I58" i="69" s="1"/>
  <c r="I57" i="69" a="1"/>
  <c r="I57" i="69" s="1"/>
  <c r="I56" i="69" a="1"/>
  <c r="I56" i="69" s="1"/>
  <c r="I81" i="69" a="1"/>
  <c r="I81" i="69" s="1"/>
  <c r="J82" i="69" a="1"/>
  <c r="J82" i="69" s="1"/>
  <c r="I82" i="69" a="1"/>
  <c r="I82" i="69" s="1"/>
  <c r="I83" i="69" a="1"/>
  <c r="I83" i="69" s="1"/>
  <c r="I124" i="69" a="1"/>
  <c r="I124" i="69" s="1"/>
  <c r="I197" i="69" a="1"/>
  <c r="I197" i="69" s="1"/>
  <c r="J198" i="69" a="1"/>
  <c r="J198" i="69" s="1"/>
  <c r="I198" i="69" a="1"/>
  <c r="I198" i="69" s="1"/>
  <c r="I199" i="69" a="1"/>
  <c r="I199" i="69" s="1"/>
  <c r="J224" i="69" a="1"/>
  <c r="J224" i="69" s="1"/>
  <c r="I224" i="69" a="1"/>
  <c r="I224" i="69" s="1"/>
  <c r="I242" i="69" a="1"/>
  <c r="I242" i="69" s="1"/>
  <c r="I243" i="69" a="1"/>
  <c r="I243" i="69" s="1"/>
  <c r="I244" i="69" a="1"/>
  <c r="I244" i="69" s="1"/>
  <c r="G13" i="69" a="1"/>
  <c r="G13" i="69" s="1"/>
  <c r="I19" i="69" s="1"/>
  <c r="D13" i="69" a="1"/>
  <c r="D13" i="69" s="1"/>
  <c r="G56" i="69" a="1"/>
  <c r="G56" i="69" s="1"/>
  <c r="I63" i="69" s="1"/>
  <c r="D56" i="69" a="1"/>
  <c r="D56" i="69" s="1"/>
  <c r="G81" i="69" a="1"/>
  <c r="G81" i="69" s="1"/>
  <c r="R88" i="69" s="1"/>
  <c r="D81" i="69" a="1"/>
  <c r="D81" i="69" s="1"/>
  <c r="G121" i="69" a="1"/>
  <c r="G121" i="69" s="1"/>
  <c r="D121" i="69" a="1"/>
  <c r="D121" i="69" s="1"/>
  <c r="G197" i="69" a="1"/>
  <c r="G197" i="69" s="1"/>
  <c r="D197" i="69" a="1"/>
  <c r="D197" i="69" s="1"/>
  <c r="G224" i="69" a="1"/>
  <c r="G224" i="69" s="1"/>
  <c r="D224" i="69" a="1"/>
  <c r="D224" i="69" s="1"/>
  <c r="G242" i="69" a="1"/>
  <c r="G242" i="69" s="1"/>
  <c r="H249" i="69" s="1"/>
  <c r="D242" i="69" a="1"/>
  <c r="D242" i="69" s="1"/>
  <c r="E240" i="69" a="1"/>
  <c r="E240" i="69" s="1"/>
  <c r="E239" i="69" a="1"/>
  <c r="E239" i="69" s="1"/>
  <c r="D234" i="69" a="1"/>
  <c r="D234" i="69" s="1"/>
  <c r="D233" i="69" a="1"/>
  <c r="D233" i="69" s="1"/>
  <c r="E222" i="69" a="1"/>
  <c r="E222" i="69" s="1"/>
  <c r="R229" i="69" s="1"/>
  <c r="E221" i="69" a="1"/>
  <c r="E221" i="69" s="1"/>
  <c r="D217" i="69" a="1"/>
  <c r="D217" i="69" s="1"/>
  <c r="D216" i="69" a="1"/>
  <c r="D216" i="69" s="1"/>
  <c r="D215" i="69" a="1"/>
  <c r="D215" i="69" s="1"/>
  <c r="E195" i="69" a="1"/>
  <c r="E195" i="69" s="1"/>
  <c r="E194" i="69" a="1"/>
  <c r="E194" i="69" s="1"/>
  <c r="D189" i="69" a="1"/>
  <c r="D189" i="69" s="1"/>
  <c r="D188" i="69" a="1"/>
  <c r="D188" i="69" s="1"/>
  <c r="E119" i="69" a="1"/>
  <c r="E119" i="69" s="1"/>
  <c r="E118" i="69" a="1"/>
  <c r="E118" i="69" s="1"/>
  <c r="D113" i="69" a="1"/>
  <c r="D113" i="69" s="1"/>
  <c r="D112" i="69" a="1"/>
  <c r="D112" i="69" s="1"/>
  <c r="E79" i="69" a="1"/>
  <c r="E79" i="69" s="1"/>
  <c r="E78" i="69" a="1"/>
  <c r="E78" i="69" s="1"/>
  <c r="D73" i="69" a="1"/>
  <c r="D73" i="69" s="1"/>
  <c r="D72" i="69" a="1"/>
  <c r="D72" i="69" s="1"/>
  <c r="E54" i="69" a="1"/>
  <c r="E54" i="69" s="1"/>
  <c r="E53" i="69" a="1"/>
  <c r="E53" i="69" s="1"/>
  <c r="D46" i="69" a="1"/>
  <c r="D46" i="69" s="1"/>
  <c r="D45" i="69" a="1"/>
  <c r="D45" i="69" s="1"/>
  <c r="E11" i="69" a="1"/>
  <c r="E11" i="69" s="1"/>
  <c r="E10" i="69" a="1"/>
  <c r="E10" i="69" s="1"/>
  <c r="D6" i="69" a="1"/>
  <c r="D6" i="69" s="1"/>
  <c r="D5" i="69" a="1"/>
  <c r="D5" i="69" s="1"/>
  <c r="M70" i="70"/>
  <c r="M78" i="70"/>
  <c r="M85" i="70"/>
  <c r="M92" i="70"/>
  <c r="M99" i="70"/>
  <c r="M107" i="70"/>
  <c r="E114" i="69" a="1"/>
  <c r="H229" i="69" l="1"/>
  <c r="P155" i="69"/>
  <c r="F62" i="97"/>
  <c r="I23" i="98"/>
  <c r="F112" i="105"/>
  <c r="I22" i="97"/>
  <c r="J22" i="105"/>
  <c r="J32" i="97"/>
  <c r="J52" i="105"/>
  <c r="S22" i="97"/>
  <c r="T52" i="105"/>
  <c r="H88" i="69"/>
  <c r="J131" i="69"/>
  <c r="F155" i="69"/>
  <c r="G82" i="105"/>
  <c r="F123" i="105"/>
  <c r="R25" i="76"/>
  <c r="F142" i="76"/>
  <c r="I62" i="76"/>
  <c r="S62" i="76"/>
  <c r="H30" i="76"/>
  <c r="H25" i="76"/>
  <c r="F153" i="76"/>
  <c r="J187" i="76"/>
  <c r="I28" i="69"/>
  <c r="S28" i="69"/>
  <c r="F93" i="69"/>
  <c r="H254" i="69"/>
  <c r="E114" i="69"/>
  <c r="I17" i="105" l="1" a="1"/>
  <c r="I17" i="105" s="1"/>
  <c r="I16" i="105" a="1"/>
  <c r="I16" i="105" s="1"/>
  <c r="I15" i="105" a="1"/>
  <c r="I15" i="105" s="1"/>
  <c r="I14" i="105" a="1"/>
  <c r="I14" i="105" s="1"/>
  <c r="I13" i="105" a="1"/>
  <c r="I13" i="105" s="1"/>
  <c r="E175" i="76" a="1"/>
  <c r="E175" i="76" l="1"/>
  <c r="D213" i="105" l="1"/>
  <c r="E171" i="105" a="1"/>
  <c r="E171" i="105" s="1"/>
  <c r="E170" i="105" a="1"/>
  <c r="E170" i="105" s="1"/>
  <c r="D166" i="105" a="1"/>
  <c r="D166" i="105" s="1"/>
  <c r="D165" i="105" a="1"/>
  <c r="D165" i="105" s="1"/>
  <c r="E167" i="105" a="1"/>
  <c r="J182" i="105" l="1"/>
  <c r="T182" i="105"/>
  <c r="E167" i="105"/>
  <c r="D5" i="105" l="1" a="1"/>
  <c r="D5" i="105" s="1"/>
  <c r="G93" i="79" a="1"/>
  <c r="G93" i="79" s="1"/>
  <c r="G92" i="79" a="1"/>
  <c r="G92" i="79" s="1"/>
  <c r="G91" i="79" a="1"/>
  <c r="G91" i="79" s="1"/>
  <c r="G90" i="79" a="1"/>
  <c r="G90" i="79" s="1"/>
  <c r="D93" i="79" a="1"/>
  <c r="D93" i="79" s="1"/>
  <c r="E11" i="105" a="1"/>
  <c r="E11" i="105" s="1"/>
  <c r="E10" i="105" a="1"/>
  <c r="E10" i="105" s="1"/>
  <c r="D6" i="105" a="1"/>
  <c r="D6" i="105" s="1"/>
  <c r="O54" i="98" a="1"/>
  <c r="O54" i="98" s="1"/>
  <c r="M51" i="98" a="1"/>
  <c r="M51" i="98" s="1"/>
  <c r="F54" i="98" a="1"/>
  <c r="F54" i="98" s="1"/>
  <c r="D51" i="98" a="1"/>
  <c r="D51" i="98" s="1"/>
  <c r="E38" i="98" a="1"/>
  <c r="E38" i="98" s="1"/>
  <c r="R47" i="98" s="1"/>
  <c r="E37" i="98" a="1"/>
  <c r="E37" i="98" s="1"/>
  <c r="D33" i="98" a="1"/>
  <c r="D33" i="98" s="1"/>
  <c r="D32" i="98" a="1"/>
  <c r="D32" i="98" s="1"/>
  <c r="D16" i="79" a="1"/>
  <c r="D16" i="79" s="1"/>
  <c r="F17" i="79" a="1"/>
  <c r="F17" i="79" s="1"/>
  <c r="E17" i="79" a="1"/>
  <c r="E17" i="79" s="1"/>
  <c r="I15" i="98" s="1"/>
  <c r="D17" i="79" a="1"/>
  <c r="D17" i="79" s="1"/>
  <c r="D15" i="79" a="1"/>
  <c r="D15" i="79" s="1"/>
  <c r="D14" i="79" a="1"/>
  <c r="D14" i="79" s="1"/>
  <c r="E11" i="98" a="1"/>
  <c r="E11" i="98" s="1"/>
  <c r="R28" i="98" s="1"/>
  <c r="E10" i="98" a="1"/>
  <c r="E10" i="98" s="1"/>
  <c r="D6" i="98" a="1"/>
  <c r="D6" i="98" s="1"/>
  <c r="D5" i="98" a="1"/>
  <c r="D5" i="98" s="1"/>
  <c r="O116" i="97" a="1"/>
  <c r="O116" i="97" s="1"/>
  <c r="P125" i="97" s="1"/>
  <c r="E116" i="97" a="1"/>
  <c r="E116" i="97" s="1"/>
  <c r="F125" i="97" s="1"/>
  <c r="O115" i="97" a="1"/>
  <c r="O115" i="97" s="1"/>
  <c r="E115" i="97" a="1"/>
  <c r="E115" i="97" s="1"/>
  <c r="N111" i="97" a="1"/>
  <c r="N111" i="97" s="1"/>
  <c r="D111" i="97" a="1"/>
  <c r="D111" i="97" s="1"/>
  <c r="N110" i="97" a="1"/>
  <c r="N110" i="97" s="1"/>
  <c r="D110" i="97" a="1"/>
  <c r="D110" i="97" s="1"/>
  <c r="E11" i="97" a="1"/>
  <c r="E11" i="97" s="1"/>
  <c r="E10" i="97" a="1"/>
  <c r="E10" i="97" s="1"/>
  <c r="D6" i="97" a="1"/>
  <c r="D6" i="97" s="1"/>
  <c r="D5" i="97" a="1"/>
  <c r="D5" i="97" s="1"/>
  <c r="P130" i="97" a="1"/>
  <c r="P130" i="97" s="1"/>
  <c r="N127" i="97" a="1"/>
  <c r="N127" i="97" s="1"/>
  <c r="P302" i="76" a="1"/>
  <c r="P302" i="76" s="1"/>
  <c r="N299" i="76" a="1"/>
  <c r="N299" i="76" s="1"/>
  <c r="F130" i="97" a="1"/>
  <c r="F130" i="97" s="1"/>
  <c r="D127" i="97" a="1"/>
  <c r="D127" i="97" s="1"/>
  <c r="F302" i="76" a="1"/>
  <c r="F302" i="76" s="1"/>
  <c r="D299" i="76" a="1"/>
  <c r="D299" i="76" s="1"/>
  <c r="E7" i="105" a="1"/>
  <c r="E7" i="98" a="1"/>
  <c r="E248" i="76" a="1"/>
  <c r="O112" i="97" a="1"/>
  <c r="E7" i="97" a="1"/>
  <c r="E34" i="98" a="1"/>
  <c r="E112" i="97" a="1"/>
  <c r="O49" i="98" l="1"/>
  <c r="J251" i="105"/>
  <c r="T134" i="105"/>
  <c r="I47" i="98"/>
  <c r="P106" i="97"/>
  <c r="T251" i="105"/>
  <c r="F278" i="105"/>
  <c r="F18" i="13" s="1"/>
  <c r="F209" i="105"/>
  <c r="F19" i="13" s="1"/>
  <c r="P209" i="105"/>
  <c r="P278" i="105"/>
  <c r="P161" i="105"/>
  <c r="F161" i="105"/>
  <c r="F17" i="13" s="1"/>
  <c r="J134" i="105"/>
  <c r="E7" i="105"/>
  <c r="I28" i="98"/>
  <c r="F49" i="98"/>
  <c r="E34" i="98"/>
  <c r="E7" i="98"/>
  <c r="J73" i="97"/>
  <c r="T73" i="97"/>
  <c r="F106" i="97"/>
  <c r="O112" i="97"/>
  <c r="E112" i="97"/>
  <c r="E7" i="97"/>
  <c r="E248" i="76"/>
  <c r="E252" i="76" l="1" a="1"/>
  <c r="E252" i="76" s="1"/>
  <c r="T264" i="76" s="1"/>
  <c r="E251" i="76" a="1"/>
  <c r="E251" i="76" s="1"/>
  <c r="D247" i="76" a="1"/>
  <c r="D247" i="76" s="1"/>
  <c r="D246" i="76" a="1"/>
  <c r="D246" i="76" s="1"/>
  <c r="E179" i="76" a="1"/>
  <c r="E179" i="76" s="1"/>
  <c r="E178" i="76" a="1"/>
  <c r="E178" i="76" s="1"/>
  <c r="D174" i="76" a="1"/>
  <c r="D174" i="76" s="1"/>
  <c r="D173" i="76" a="1"/>
  <c r="D173" i="76" s="1"/>
  <c r="E133" i="76" a="1"/>
  <c r="E133" i="76" s="1"/>
  <c r="E132" i="76" a="1"/>
  <c r="E132" i="76" s="1"/>
  <c r="D128" i="76" a="1"/>
  <c r="D128" i="76" s="1"/>
  <c r="D127" i="76" a="1"/>
  <c r="D127" i="76" s="1"/>
  <c r="D81" i="76" a="1"/>
  <c r="D81" i="76" s="1"/>
  <c r="E86" i="76" a="1"/>
  <c r="E86" i="76" s="1"/>
  <c r="S100" i="76" s="1"/>
  <c r="E85" i="76" a="1"/>
  <c r="E85" i="76" s="1"/>
  <c r="D80" i="76" a="1"/>
  <c r="D80" i="76" s="1"/>
  <c r="D79" i="76" a="1"/>
  <c r="D79" i="76" s="1"/>
  <c r="D104" i="76" a="1"/>
  <c r="D104" i="76" s="1"/>
  <c r="D105" i="76" a="1"/>
  <c r="D105" i="76" s="1"/>
  <c r="Q75" i="76" a="1"/>
  <c r="Q75" i="76" s="1"/>
  <c r="P75" i="76" a="1"/>
  <c r="P75" i="76" s="1"/>
  <c r="R74" i="76" a="1"/>
  <c r="R74" i="76" s="1"/>
  <c r="Q74" i="76" a="1"/>
  <c r="Q74" i="76" s="1"/>
  <c r="P74" i="76" a="1"/>
  <c r="P74" i="76" s="1"/>
  <c r="Q73" i="76" a="1"/>
  <c r="Q73" i="76" s="1"/>
  <c r="P73" i="76" a="1"/>
  <c r="P73" i="76" s="1"/>
  <c r="O73" i="76" a="1"/>
  <c r="O73" i="76" s="1"/>
  <c r="R72" i="76" a="1"/>
  <c r="R72" i="76" s="1"/>
  <c r="Q72" i="76" a="1"/>
  <c r="Q72" i="76" s="1"/>
  <c r="R71" i="76" a="1"/>
  <c r="R71" i="76" s="1"/>
  <c r="Q71" i="76" a="1"/>
  <c r="Q71" i="76" s="1"/>
  <c r="P71" i="76" a="1"/>
  <c r="P71" i="76" s="1"/>
  <c r="O71" i="76" a="1"/>
  <c r="O71" i="76" s="1"/>
  <c r="E45" i="76" a="1"/>
  <c r="E45" i="76" s="1"/>
  <c r="E44" i="76" a="1"/>
  <c r="E44" i="76" s="1"/>
  <c r="D40" i="76" a="1"/>
  <c r="D40" i="76" s="1"/>
  <c r="D39" i="76" a="1"/>
  <c r="D39" i="76" s="1"/>
  <c r="F117" i="79"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E11" i="76" a="1"/>
  <c r="E11" i="76" s="1"/>
  <c r="E10" i="76" a="1"/>
  <c r="E10" i="76" s="1"/>
  <c r="D6" i="76" a="1"/>
  <c r="D6" i="76" s="1"/>
  <c r="D5" i="76" a="1"/>
  <c r="D5" i="76" s="1"/>
  <c r="E110" i="76" a="1"/>
  <c r="E110" i="76" s="1"/>
  <c r="E109" i="76" a="1"/>
  <c r="E109" i="76" s="1"/>
  <c r="P266" i="69" a="1"/>
  <c r="P266" i="69" s="1"/>
  <c r="N263" i="69" a="1"/>
  <c r="N263" i="69" s="1"/>
  <c r="E82" i="76" a="1"/>
  <c r="E41" i="76" a="1"/>
  <c r="E106" i="76" a="1"/>
  <c r="E7" i="76" a="1"/>
  <c r="E129" i="76" a="1"/>
  <c r="E71" i="76" l="1" a="1"/>
  <c r="E71" i="76" s="1"/>
  <c r="H35" i="76"/>
  <c r="R35" i="76"/>
  <c r="G21" i="70" a="1"/>
  <c r="G21" i="70" s="1"/>
  <c r="G17" i="70" a="1"/>
  <c r="G17" i="70" s="1"/>
  <c r="H17" i="70" a="1"/>
  <c r="H17" i="70" s="1"/>
  <c r="H21" i="70" a="1"/>
  <c r="H21" i="70" s="1"/>
  <c r="E21" i="70" a="1"/>
  <c r="E21" i="70" s="1"/>
  <c r="E17" i="70" a="1"/>
  <c r="E17" i="70" s="1"/>
  <c r="F17" i="70" a="1"/>
  <c r="F17" i="70" s="1"/>
  <c r="F21" i="70" a="1"/>
  <c r="F21" i="70" s="1"/>
  <c r="H72" i="76" a="1"/>
  <c r="H72" i="76" s="1"/>
  <c r="O100" i="76" a="1"/>
  <c r="O100" i="76" s="1"/>
  <c r="H75" i="76" a="1"/>
  <c r="H75" i="76" s="1"/>
  <c r="R75" i="76" a="1"/>
  <c r="R75" i="76" s="1"/>
  <c r="P100" i="76" a="1"/>
  <c r="P100" i="76" s="1"/>
  <c r="S118" i="76"/>
  <c r="S164" i="76"/>
  <c r="T217" i="76"/>
  <c r="P297" i="76"/>
  <c r="E74" i="76" a="1"/>
  <c r="E74" i="76" s="1"/>
  <c r="O74" i="76" a="1"/>
  <c r="O74" i="76" s="1"/>
  <c r="I100" i="76"/>
  <c r="E75" i="76" a="1"/>
  <c r="E75" i="76" s="1"/>
  <c r="O75" i="76" a="1"/>
  <c r="O75" i="76" s="1"/>
  <c r="R100" i="76" a="1"/>
  <c r="R100" i="76" s="1"/>
  <c r="H73" i="76" a="1"/>
  <c r="H73" i="76" s="1"/>
  <c r="R73" i="76" a="1"/>
  <c r="R73" i="76" s="1"/>
  <c r="E72" i="76" a="1"/>
  <c r="E72" i="76" s="1"/>
  <c r="O72" i="76" a="1"/>
  <c r="O72" i="76" s="1"/>
  <c r="F72" i="76" a="1"/>
  <c r="F72" i="76" s="1"/>
  <c r="P72" i="76" a="1"/>
  <c r="P72" i="76" s="1"/>
  <c r="S71" i="76"/>
  <c r="Q100" i="76" a="1"/>
  <c r="Q100" i="76" s="1"/>
  <c r="G100" i="76" a="1"/>
  <c r="G100" i="76" s="1"/>
  <c r="I118" i="76"/>
  <c r="G75" i="76" a="1"/>
  <c r="G75" i="76" s="1"/>
  <c r="G73" i="76" a="1"/>
  <c r="G73" i="76" s="1"/>
  <c r="F297" i="76"/>
  <c r="J264" i="76"/>
  <c r="E73" i="76" a="1"/>
  <c r="E73" i="76" s="1"/>
  <c r="F74" i="76" a="1"/>
  <c r="F74" i="76" s="1"/>
  <c r="E100" i="76" a="1"/>
  <c r="E100" i="76" s="1"/>
  <c r="G74" i="76" a="1"/>
  <c r="G74" i="76" s="1"/>
  <c r="F100" i="76" a="1"/>
  <c r="F100" i="76" s="1"/>
  <c r="I164" i="76"/>
  <c r="F71" i="76" a="1"/>
  <c r="F71" i="76" s="1"/>
  <c r="H74" i="76" a="1"/>
  <c r="H74" i="76" s="1"/>
  <c r="G71" i="76" a="1"/>
  <c r="G71" i="76" s="1"/>
  <c r="H71" i="76" a="1"/>
  <c r="H71" i="76" s="1"/>
  <c r="F75" i="76" a="1"/>
  <c r="F75" i="76" s="1"/>
  <c r="H100" i="76" a="1"/>
  <c r="H100" i="76" s="1"/>
  <c r="J217" i="76"/>
  <c r="F73" i="76" a="1"/>
  <c r="F73" i="76" s="1"/>
  <c r="G72" i="76" a="1"/>
  <c r="G72" i="76" s="1"/>
  <c r="E129" i="76"/>
  <c r="E106" i="76"/>
  <c r="I71" i="76"/>
  <c r="E82" i="76"/>
  <c r="E41" i="76"/>
  <c r="E7" i="76"/>
  <c r="H70" i="70"/>
  <c r="G70" i="70"/>
  <c r="F70" i="70"/>
  <c r="H99" i="70"/>
  <c r="G99" i="70"/>
  <c r="F99" i="70"/>
  <c r="H92" i="70"/>
  <c r="G92" i="70"/>
  <c r="F92" i="70"/>
  <c r="H85" i="70"/>
  <c r="G85" i="70"/>
  <c r="F85" i="70"/>
  <c r="H78" i="70"/>
  <c r="G78" i="70"/>
  <c r="F78" i="70"/>
  <c r="D48" i="69" a="1"/>
  <c r="D48" i="69" s="1"/>
  <c r="E7" i="69" a="1"/>
  <c r="E47" i="69" a="1"/>
  <c r="D25" i="76" l="1" a="1"/>
  <c r="N25" i="76" a="1"/>
  <c r="N25" i="76" s="1"/>
  <c r="N35" i="76" s="1" a="1"/>
  <c r="N35" i="76" s="1"/>
  <c r="E40" i="69" a="1"/>
  <c r="E40" i="69" s="1"/>
  <c r="O40" i="69" a="1"/>
  <c r="O40" i="69" s="1"/>
  <c r="P40" i="69" a="1"/>
  <c r="P40" i="69" s="1"/>
  <c r="F40" i="69" a="1"/>
  <c r="F40" i="69" s="1"/>
  <c r="P37" i="69" a="1"/>
  <c r="P37" i="69" s="1"/>
  <c r="F37" i="69" a="1"/>
  <c r="F37" i="69" s="1"/>
  <c r="H40" i="69" a="1"/>
  <c r="H40" i="69" s="1"/>
  <c r="R40" i="69" a="1"/>
  <c r="R40" i="69" s="1"/>
  <c r="P39" i="69" a="1"/>
  <c r="P39" i="69" s="1"/>
  <c r="F39" i="69" a="1"/>
  <c r="F39" i="69" s="1"/>
  <c r="Q39" i="69" a="1"/>
  <c r="Q39" i="69" s="1"/>
  <c r="G39" i="69" a="1"/>
  <c r="G39" i="69" s="1"/>
  <c r="G40" i="69" a="1"/>
  <c r="G40" i="69" s="1"/>
  <c r="Q40" i="69" a="1"/>
  <c r="Q40" i="69" s="1"/>
  <c r="Q37" i="69" a="1"/>
  <c r="Q37" i="69" s="1"/>
  <c r="G37" i="69" a="1"/>
  <c r="G37" i="69" s="1"/>
  <c r="O41" i="69" a="1"/>
  <c r="O41" i="69" s="1"/>
  <c r="E41" i="69" a="1"/>
  <c r="E41" i="69" s="1"/>
  <c r="R37" i="69" a="1"/>
  <c r="R37" i="69" s="1"/>
  <c r="H37" i="69" a="1"/>
  <c r="H37" i="69" s="1"/>
  <c r="F41" i="69" a="1"/>
  <c r="F41" i="69" s="1"/>
  <c r="P41" i="69" a="1"/>
  <c r="P41" i="69" s="1"/>
  <c r="E38" i="69" a="1"/>
  <c r="E38" i="69" s="1"/>
  <c r="O38" i="69" a="1"/>
  <c r="O38" i="69" s="1"/>
  <c r="Q41" i="69" a="1"/>
  <c r="Q41" i="69" s="1"/>
  <c r="G41" i="69" a="1"/>
  <c r="G41" i="69" s="1"/>
  <c r="O37" i="69" a="1"/>
  <c r="O37" i="69" s="1"/>
  <c r="E37" i="69" a="1"/>
  <c r="E37" i="69" s="1"/>
  <c r="R41" i="69" a="1"/>
  <c r="R41" i="69" s="1"/>
  <c r="H41" i="69" a="1"/>
  <c r="H41" i="69" s="1"/>
  <c r="H38" i="69" a="1"/>
  <c r="H38" i="69" s="1"/>
  <c r="R38" i="69" a="1"/>
  <c r="R38" i="69" s="1"/>
  <c r="R39" i="69" a="1"/>
  <c r="R39" i="69" s="1"/>
  <c r="H39" i="69" a="1"/>
  <c r="H39" i="69" s="1"/>
  <c r="P38" i="69" a="1"/>
  <c r="P38" i="69" s="1"/>
  <c r="F38" i="69" a="1"/>
  <c r="F38" i="69" s="1"/>
  <c r="G38" i="69" a="1"/>
  <c r="G38" i="69" s="1"/>
  <c r="Q38" i="69" a="1"/>
  <c r="Q38" i="69" s="1"/>
  <c r="O39" i="69" a="1"/>
  <c r="O39" i="69" s="1"/>
  <c r="E39" i="69" a="1"/>
  <c r="E39" i="69" s="1"/>
  <c r="Q68" i="69" a="1"/>
  <c r="Q68" i="69" s="1"/>
  <c r="R68" i="69" a="1"/>
  <c r="R68" i="69" s="1"/>
  <c r="O68" i="69" a="1"/>
  <c r="O68" i="69" s="1"/>
  <c r="E68" i="69" a="1"/>
  <c r="E68" i="69" s="1"/>
  <c r="P68" i="69" a="1"/>
  <c r="P68" i="69" s="1"/>
  <c r="G68" i="69" a="1"/>
  <c r="G68" i="69" s="1"/>
  <c r="F68" i="69" a="1"/>
  <c r="F68" i="69" s="1"/>
  <c r="H68" i="69" a="1"/>
  <c r="H68" i="69" s="1"/>
  <c r="E47" i="69"/>
  <c r="E7" i="69"/>
  <c r="Q35" i="76" l="1" a="1"/>
  <c r="Q35" i="76" s="1"/>
  <c r="P35" i="76" a="1"/>
  <c r="P35" i="76" s="1"/>
  <c r="O119" i="76" a="1"/>
  <c r="O119" i="76" s="1"/>
  <c r="N23" i="98" s="1"/>
  <c r="O118" i="76" a="1"/>
  <c r="O118" i="76" s="1"/>
  <c r="O22" i="97" s="1"/>
  <c r="O120" i="76" a="1"/>
  <c r="O120" i="76" s="1"/>
  <c r="O24" i="97" s="1"/>
  <c r="O123" i="76" a="1"/>
  <c r="O123" i="76" s="1"/>
  <c r="O27" i="97" s="1"/>
  <c r="O122" i="76" a="1"/>
  <c r="O122" i="76" s="1"/>
  <c r="O26" i="97" s="1"/>
  <c r="O121" i="76" a="1"/>
  <c r="O121" i="76" s="1"/>
  <c r="O25" i="97" s="1"/>
  <c r="D25" i="76"/>
  <c r="D35" i="76" s="1" a="1"/>
  <c r="D35" i="76" s="1"/>
  <c r="F35" i="76" a="1"/>
  <c r="F35" i="76" s="1"/>
  <c r="E35" i="76" a="1"/>
  <c r="E35" i="76" s="1"/>
  <c r="G35" i="76" a="1"/>
  <c r="G35" i="76" s="1"/>
  <c r="O35" i="76" a="1"/>
  <c r="O35" i="76" s="1"/>
  <c r="O23" i="97" l="1"/>
  <c r="Q123" i="76" a="1"/>
  <c r="Q123" i="76" s="1"/>
  <c r="Q27" i="97" s="1"/>
  <c r="Q122" i="76" a="1"/>
  <c r="Q122" i="76" s="1"/>
  <c r="Q26" i="97" s="1"/>
  <c r="Q121" i="76" a="1"/>
  <c r="Q121" i="76" s="1"/>
  <c r="Q25" i="97" s="1"/>
  <c r="Q120" i="76" a="1"/>
  <c r="Q120" i="76" s="1"/>
  <c r="Q24" i="97" s="1"/>
  <c r="Q119" i="76" a="1"/>
  <c r="Q119" i="76" s="1"/>
  <c r="Q118" i="76" a="1"/>
  <c r="Q118" i="76" s="1"/>
  <c r="Q22" i="97" s="1"/>
  <c r="R122" i="76" a="1"/>
  <c r="R122" i="76" s="1"/>
  <c r="R26" i="97" s="1"/>
  <c r="R120" i="76" a="1"/>
  <c r="R120" i="76" s="1"/>
  <c r="R24" i="97" s="1"/>
  <c r="R119" i="76" a="1"/>
  <c r="R119" i="76" s="1"/>
  <c r="R118" i="76" a="1"/>
  <c r="R118" i="76" s="1"/>
  <c r="R22" i="97" s="1"/>
  <c r="R121" i="76" a="1"/>
  <c r="R121" i="76" s="1"/>
  <c r="R25" i="97" s="1"/>
  <c r="R123" i="76" a="1"/>
  <c r="R123" i="76" s="1"/>
  <c r="R27" i="97" s="1"/>
  <c r="E120" i="76" a="1"/>
  <c r="E120" i="76" s="1"/>
  <c r="E24" i="97" s="1"/>
  <c r="E118" i="76" a="1"/>
  <c r="E118" i="76" s="1"/>
  <c r="E22" i="97" s="1"/>
  <c r="E121" i="76" a="1"/>
  <c r="E121" i="76" s="1"/>
  <c r="E25" i="97" s="1"/>
  <c r="E122" i="76" a="1"/>
  <c r="E122" i="76" s="1"/>
  <c r="E26" i="97" s="1"/>
  <c r="E119" i="76" a="1"/>
  <c r="E119" i="76" s="1"/>
  <c r="E123" i="76" a="1"/>
  <c r="E123" i="76" s="1"/>
  <c r="E27" i="97" s="1"/>
  <c r="P121" i="76" a="1"/>
  <c r="P121" i="76" s="1"/>
  <c r="P25" i="97" s="1"/>
  <c r="P122" i="76" a="1"/>
  <c r="P122" i="76" s="1"/>
  <c r="P26" i="97" s="1"/>
  <c r="P118" i="76" a="1"/>
  <c r="P118" i="76" s="1"/>
  <c r="P22" i="97" s="1"/>
  <c r="P119" i="76" a="1"/>
  <c r="P119" i="76" s="1"/>
  <c r="P120" i="76" a="1"/>
  <c r="P120" i="76" s="1"/>
  <c r="P24" i="97" s="1"/>
  <c r="P123" i="76" a="1"/>
  <c r="P123" i="76" s="1"/>
  <c r="P27" i="97" s="1"/>
  <c r="H119" i="76" a="1"/>
  <c r="H119" i="76" s="1"/>
  <c r="H118" i="76" a="1"/>
  <c r="H118" i="76" s="1"/>
  <c r="H22" i="97" s="1"/>
  <c r="H122" i="76" a="1"/>
  <c r="H122" i="76" s="1"/>
  <c r="H26" i="97" s="1"/>
  <c r="H120" i="76" a="1"/>
  <c r="H120" i="76" s="1"/>
  <c r="H24" i="97" s="1"/>
  <c r="H121" i="76" a="1"/>
  <c r="H121" i="76" s="1"/>
  <c r="H25" i="97" s="1"/>
  <c r="H123" i="76" a="1"/>
  <c r="H123" i="76" s="1"/>
  <c r="H27" i="97" s="1"/>
  <c r="G121" i="76" a="1"/>
  <c r="G121" i="76" s="1"/>
  <c r="G25" i="97" s="1"/>
  <c r="G119" i="76" a="1"/>
  <c r="G119" i="76" s="1"/>
  <c r="G123" i="76" a="1"/>
  <c r="G123" i="76" s="1"/>
  <c r="G27" i="97" s="1"/>
  <c r="G120" i="76" a="1"/>
  <c r="G120" i="76" s="1"/>
  <c r="G24" i="97" s="1"/>
  <c r="G118" i="76" a="1"/>
  <c r="G118" i="76" s="1"/>
  <c r="G22" i="97" s="1"/>
  <c r="G122" i="76" a="1"/>
  <c r="G122" i="76" s="1"/>
  <c r="G26" i="97" s="1"/>
  <c r="F122" i="76" a="1"/>
  <c r="F122" i="76" s="1"/>
  <c r="F26" i="97" s="1"/>
  <c r="F118" i="76" a="1"/>
  <c r="F118" i="76" s="1"/>
  <c r="F22" i="97" s="1"/>
  <c r="F120" i="76" a="1"/>
  <c r="F120" i="76" s="1"/>
  <c r="F24" i="97" s="1"/>
  <c r="F121" i="76" a="1"/>
  <c r="F121" i="76" s="1"/>
  <c r="F25" i="97" s="1"/>
  <c r="F123" i="76" a="1"/>
  <c r="F123" i="76" s="1"/>
  <c r="F27" i="97" s="1"/>
  <c r="F119" i="76" a="1"/>
  <c r="F119" i="76" s="1"/>
  <c r="E99" i="70"/>
  <c r="E92" i="70"/>
  <c r="E85" i="70"/>
  <c r="E78" i="70"/>
  <c r="E70" i="70"/>
  <c r="H107" i="70"/>
  <c r="G107" i="70"/>
  <c r="F107" i="70"/>
  <c r="E107" i="70"/>
  <c r="M69" i="70"/>
  <c r="M68" i="70"/>
  <c r="M67" i="70"/>
  <c r="M77" i="70"/>
  <c r="M76" i="70"/>
  <c r="M75" i="70"/>
  <c r="M74" i="70"/>
  <c r="M84" i="70"/>
  <c r="M83" i="70"/>
  <c r="M82" i="70"/>
  <c r="M91" i="70"/>
  <c r="M90" i="70"/>
  <c r="M89" i="70"/>
  <c r="M98" i="70"/>
  <c r="M97" i="70"/>
  <c r="M96" i="70"/>
  <c r="M106" i="70"/>
  <c r="M105" i="70"/>
  <c r="M104" i="70"/>
  <c r="M103" i="70"/>
  <c r="H62" i="70"/>
  <c r="G62" i="70"/>
  <c r="F62" i="70"/>
  <c r="E62" i="70"/>
  <c r="P23" i="98" l="1"/>
  <c r="Q23" i="97"/>
  <c r="Q23" i="98"/>
  <c r="R23" i="97"/>
  <c r="P23" i="97"/>
  <c r="O23" i="98"/>
  <c r="G23" i="98"/>
  <c r="G23" i="97"/>
  <c r="E23" i="98"/>
  <c r="E23" i="97"/>
  <c r="H23" i="98"/>
  <c r="H23" i="97"/>
  <c r="F23" i="98"/>
  <c r="F23" i="97"/>
  <c r="F266" i="69" a="1"/>
  <c r="F266" i="69" s="1"/>
  <c r="D263" i="69" a="1"/>
  <c r="D263"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74" i="69" a="1"/>
  <c r="E235" i="69" a="1"/>
  <c r="E218" i="69" a="1"/>
  <c r="E190" i="69" a="1"/>
  <c r="S122" i="69" l="1"/>
  <c r="I122" i="69"/>
  <c r="I200" i="69"/>
  <c r="I68" i="69"/>
  <c r="S68" i="69"/>
  <c r="T165" i="69"/>
  <c r="S37" i="69"/>
  <c r="S103" i="69"/>
  <c r="P261" i="69"/>
  <c r="F261" i="69"/>
  <c r="R259" i="69"/>
  <c r="S206" i="69"/>
  <c r="H20" i="70" a="1"/>
  <c r="H20" i="70" s="1"/>
  <c r="G20" i="70" a="1"/>
  <c r="G20" i="70" s="1"/>
  <c r="F20" i="70" a="1"/>
  <c r="F20" i="70" s="1"/>
  <c r="E20" i="70" a="1"/>
  <c r="E20" i="70" s="1"/>
  <c r="G16" i="70" a="1"/>
  <c r="G16" i="70" s="1"/>
  <c r="H16" i="70" a="1"/>
  <c r="H16" i="70" s="1"/>
  <c r="F16" i="70" a="1"/>
  <c r="F16" i="70" s="1"/>
  <c r="E16" i="70" a="1"/>
  <c r="E16" i="70" s="1"/>
  <c r="I37" i="69"/>
  <c r="E235" i="69"/>
  <c r="E218" i="69"/>
  <c r="E74" i="69"/>
  <c r="E190" i="69"/>
  <c r="I206" i="69"/>
  <c r="J165" i="69"/>
  <c r="I103" i="69"/>
  <c r="H259" i="69"/>
  <c r="D88" i="69" l="1" a="1"/>
  <c r="D88" i="69" s="1"/>
  <c r="N88" i="69" a="1"/>
  <c r="N88" i="69" s="1"/>
  <c r="H28" i="98" a="1"/>
  <c r="H28" i="98" s="1"/>
  <c r="G28" i="98" a="1"/>
  <c r="G28" i="98" s="1"/>
  <c r="E28" i="98" a="1"/>
  <c r="E28" i="98" s="1"/>
  <c r="F28" i="98" a="1"/>
  <c r="F28" i="98" s="1"/>
  <c r="O28" i="98" a="1"/>
  <c r="O28" i="98" s="1"/>
  <c r="P28" i="98" a="1"/>
  <c r="P28" i="98" s="1"/>
  <c r="N28" i="98" a="1"/>
  <c r="N28" i="98" s="1"/>
  <c r="Q28" i="98" a="1"/>
  <c r="Q28" i="98" s="1"/>
  <c r="S58" i="105" l="1"/>
  <c r="S59" i="105"/>
  <c r="R58" i="105"/>
  <c r="R59" i="105"/>
  <c r="Q58" i="105"/>
  <c r="Q59" i="105"/>
  <c r="P58" i="105"/>
  <c r="P59" i="105"/>
  <c r="I58" i="105"/>
  <c r="I59" i="105"/>
  <c r="H58" i="105"/>
  <c r="H59" i="105"/>
  <c r="G58" i="105"/>
  <c r="G59" i="105"/>
  <c r="F58" i="105"/>
  <c r="F59" i="105"/>
  <c r="S56" i="105"/>
  <c r="S57" i="105"/>
  <c r="R56" i="105"/>
  <c r="R57" i="105"/>
  <c r="Q56" i="105"/>
  <c r="Q57" i="105"/>
  <c r="P56" i="105"/>
  <c r="P57" i="105"/>
  <c r="I56" i="105"/>
  <c r="I57" i="105"/>
  <c r="H56" i="105"/>
  <c r="H57" i="105"/>
  <c r="G56" i="105"/>
  <c r="G57" i="105"/>
  <c r="F56" i="105"/>
  <c r="F57" i="105"/>
  <c r="Q47" i="98" a="1"/>
  <c r="Q47" i="98" s="1"/>
  <c r="N47" i="98" a="1"/>
  <c r="N47" i="98" s="1"/>
  <c r="P47" i="98" a="1"/>
  <c r="P47" i="98" s="1"/>
  <c r="O47" i="98" a="1"/>
  <c r="O47" i="98" s="1"/>
  <c r="F47" i="98" a="1"/>
  <c r="F47" i="98" s="1"/>
  <c r="E47" i="98" a="1"/>
  <c r="E47" i="98" s="1"/>
  <c r="G47" i="98" a="1"/>
  <c r="G47" i="98" s="1"/>
  <c r="H47" i="98" a="1"/>
  <c r="H47" i="98" s="1"/>
  <c r="N49" i="98" l="1"/>
  <c r="E49" i="98"/>
  <c r="G51" i="98" l="1"/>
  <c r="E54" i="98" s="1" a="1"/>
  <c r="E54" i="98" s="1"/>
  <c r="H10" i="13" s="1"/>
  <c r="E10" i="13"/>
  <c r="P51" i="98"/>
  <c r="N54" i="98" s="1" a="1"/>
  <c r="N54" i="98" s="1"/>
  <c r="I10" i="13" s="1"/>
  <c r="F10" i="13"/>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44" i="79" l="1"/>
  <c r="H43" i="79"/>
  <c r="L44" i="79"/>
  <c r="D45" i="79"/>
  <c r="K45" i="79"/>
  <c r="G44" i="79"/>
  <c r="D47" i="70" s="1"/>
  <c r="D58" i="79"/>
  <c r="K41" i="79"/>
  <c r="G41" i="79"/>
  <c r="D30" i="70" s="1"/>
  <c r="D41" i="79"/>
  <c r="D54" i="79"/>
  <c r="E45" i="79"/>
  <c r="L45" i="79"/>
  <c r="H44" i="79"/>
  <c r="D42" i="79"/>
  <c r="K42" i="79"/>
  <c r="D55" i="79"/>
  <c r="E42" i="79"/>
  <c r="L42" i="79"/>
  <c r="G45" i="79"/>
  <c r="D53" i="70" s="1"/>
  <c r="K46" i="79"/>
  <c r="D46" i="79"/>
  <c r="D59" i="79"/>
  <c r="G43" i="79"/>
  <c r="D41" i="70" s="1"/>
  <c r="K44" i="79"/>
  <c r="D57" i="79"/>
  <c r="D44" i="79"/>
  <c r="L41" i="79"/>
  <c r="H41" i="79"/>
  <c r="E41" i="79"/>
  <c r="E46" i="79"/>
  <c r="H45" i="79"/>
  <c r="L46" i="79"/>
  <c r="D43" i="79"/>
  <c r="G42" i="79"/>
  <c r="D35" i="70" s="1"/>
  <c r="D56" i="79"/>
  <c r="K43" i="79"/>
  <c r="L43" i="79"/>
  <c r="H42" i="79"/>
  <c r="E43" i="79"/>
  <c r="D60" i="79"/>
  <c r="D47" i="79"/>
  <c r="D114" i="105" l="1"/>
  <c r="D64" i="97"/>
  <c r="D41" i="97"/>
  <c r="D24" i="97"/>
  <c r="N279" i="76"/>
  <c r="N120" i="76"/>
  <c r="N30" i="69"/>
  <c r="N88" i="97"/>
  <c r="D75" i="97"/>
  <c r="D279" i="76"/>
  <c r="D166" i="76"/>
  <c r="N73" i="76"/>
  <c r="N24" i="97"/>
  <c r="D73" i="76"/>
  <c r="D172" i="69"/>
  <c r="D21" i="69"/>
  <c r="D230" i="105"/>
  <c r="D88" i="97"/>
  <c r="D196" i="76"/>
  <c r="N105" i="69"/>
  <c r="N39" i="69"/>
  <c r="N191" i="105"/>
  <c r="D125" i="105"/>
  <c r="E125" i="105" s="1" a="1"/>
  <c r="E125" i="105" s="1"/>
  <c r="D31" i="105"/>
  <c r="N31" i="105"/>
  <c r="N266" i="76"/>
  <c r="N157" i="69"/>
  <c r="D105" i="69"/>
  <c r="D39" i="69"/>
  <c r="D55" i="76"/>
  <c r="D157" i="69"/>
  <c r="D266" i="76"/>
  <c r="D144" i="76"/>
  <c r="D191" i="105"/>
  <c r="D138" i="69"/>
  <c r="N61" i="105"/>
  <c r="N208" i="69"/>
  <c r="D260" i="105"/>
  <c r="N166" i="76"/>
  <c r="N143" i="105"/>
  <c r="D61" i="105"/>
  <c r="D143" i="105"/>
  <c r="D91" i="105"/>
  <c r="D155" i="76"/>
  <c r="D208" i="69"/>
  <c r="D226" i="76"/>
  <c r="N64" i="76"/>
  <c r="N172" i="69"/>
  <c r="D95" i="69"/>
  <c r="E95" i="69" s="1" a="1"/>
  <c r="E95" i="69" s="1"/>
  <c r="D120" i="76"/>
  <c r="D64" i="76"/>
  <c r="N260" i="105"/>
  <c r="N226" i="76"/>
  <c r="N75" i="97"/>
  <c r="N41" i="97"/>
  <c r="D30" i="69"/>
  <c r="D182" i="105"/>
  <c r="N134" i="105"/>
  <c r="D52" i="105"/>
  <c r="D62" i="76"/>
  <c r="D206" i="69"/>
  <c r="N103" i="69"/>
  <c r="D22" i="105"/>
  <c r="N264" i="76"/>
  <c r="D103" i="69"/>
  <c r="D134" i="105"/>
  <c r="D153" i="76"/>
  <c r="D22" i="97"/>
  <c r="N62" i="76"/>
  <c r="D19" i="69"/>
  <c r="N37" i="69"/>
  <c r="D62" i="97"/>
  <c r="N22" i="97"/>
  <c r="D187" i="76"/>
  <c r="N79" i="97"/>
  <c r="D37" i="69"/>
  <c r="D264" i="76"/>
  <c r="D53" i="76"/>
  <c r="D73" i="97"/>
  <c r="D118" i="76"/>
  <c r="D131" i="69"/>
  <c r="D123" i="105"/>
  <c r="N71" i="76"/>
  <c r="N73" i="97"/>
  <c r="N118" i="76"/>
  <c r="D164" i="76"/>
  <c r="N164" i="76"/>
  <c r="N52" i="105"/>
  <c r="D71" i="76"/>
  <c r="N165" i="69"/>
  <c r="D251" i="105"/>
  <c r="N182" i="105"/>
  <c r="N22" i="105"/>
  <c r="D270" i="76"/>
  <c r="N28" i="69"/>
  <c r="D82" i="105"/>
  <c r="D32" i="97"/>
  <c r="N155" i="69"/>
  <c r="D28" i="69"/>
  <c r="N270" i="76"/>
  <c r="D142" i="76"/>
  <c r="N251" i="105"/>
  <c r="D79" i="97"/>
  <c r="N32" i="97"/>
  <c r="D165" i="69"/>
  <c r="N206" i="69"/>
  <c r="D221" i="105"/>
  <c r="D112" i="105"/>
  <c r="E112" i="105" s="1" a="1"/>
  <c r="E112" i="105" s="1"/>
  <c r="D217" i="76"/>
  <c r="D155" i="69"/>
  <c r="N217" i="76"/>
  <c r="D93" i="69"/>
  <c r="E93" i="69" s="1" a="1"/>
  <c r="E93" i="69" s="1"/>
  <c r="D58" i="70"/>
  <c r="N147" i="105"/>
  <c r="D267" i="76"/>
  <c r="D200" i="76"/>
  <c r="D56" i="76"/>
  <c r="D106" i="69"/>
  <c r="N264" i="105"/>
  <c r="D147" i="105"/>
  <c r="D35" i="105"/>
  <c r="D25" i="97"/>
  <c r="N230" i="76"/>
  <c r="D22" i="69"/>
  <c r="D141" i="69"/>
  <c r="N65" i="105"/>
  <c r="D65" i="97"/>
  <c r="N267" i="76"/>
  <c r="D230" i="76"/>
  <c r="D158" i="69"/>
  <c r="D74" i="76"/>
  <c r="D145" i="76"/>
  <c r="E145" i="76" s="1" a="1"/>
  <c r="E145" i="76" s="1"/>
  <c r="N175" i="69"/>
  <c r="D264" i="105"/>
  <c r="D126" i="105"/>
  <c r="E126" i="105" s="1" a="1"/>
  <c r="E126" i="105" s="1"/>
  <c r="D65" i="105"/>
  <c r="N74" i="76"/>
  <c r="D167" i="76"/>
  <c r="N40" i="69"/>
  <c r="D92" i="97"/>
  <c r="N283" i="76"/>
  <c r="D156" i="76"/>
  <c r="N25" i="97"/>
  <c r="D234" i="105"/>
  <c r="D209" i="69"/>
  <c r="D95" i="105"/>
  <c r="N92" i="97"/>
  <c r="N209" i="69"/>
  <c r="D40" i="69"/>
  <c r="D115" i="105"/>
  <c r="E115" i="105" s="1" a="1"/>
  <c r="E115" i="105" s="1"/>
  <c r="D283" i="76"/>
  <c r="N106" i="69"/>
  <c r="D31" i="69"/>
  <c r="N45" i="97"/>
  <c r="D175" i="69"/>
  <c r="N31" i="69"/>
  <c r="N195" i="105"/>
  <c r="N76" i="97"/>
  <c r="D121" i="76"/>
  <c r="N158" i="69"/>
  <c r="D76" i="97"/>
  <c r="D195" i="105"/>
  <c r="N167" i="76"/>
  <c r="D65" i="76"/>
  <c r="N121" i="76"/>
  <c r="N35" i="105"/>
  <c r="D45" i="97"/>
  <c r="D96" i="69"/>
  <c r="E96" i="69" s="1" a="1"/>
  <c r="E96" i="69" s="1"/>
  <c r="N65" i="76"/>
  <c r="D86" i="105"/>
  <c r="D274" i="76"/>
  <c r="N221" i="76"/>
  <c r="D72" i="76"/>
  <c r="N156" i="69"/>
  <c r="D265" i="76"/>
  <c r="N38" i="69"/>
  <c r="N74" i="97"/>
  <c r="D36" i="97"/>
  <c r="N165" i="76"/>
  <c r="D38" i="69"/>
  <c r="N255" i="105"/>
  <c r="N23" i="97"/>
  <c r="D63" i="76"/>
  <c r="D20" i="69"/>
  <c r="N56" i="105"/>
  <c r="N265" i="76"/>
  <c r="N168" i="69"/>
  <c r="D104" i="69"/>
  <c r="D63" i="97"/>
  <c r="E63" i="97" s="1" a="1"/>
  <c r="E63" i="97" s="1"/>
  <c r="N36" i="97"/>
  <c r="D23" i="97"/>
  <c r="D191" i="76"/>
  <c r="N274" i="76"/>
  <c r="D255" i="105"/>
  <c r="N104" i="69"/>
  <c r="D54" i="76"/>
  <c r="D156" i="69"/>
  <c r="M28" i="98"/>
  <c r="D74" i="97"/>
  <c r="D119" i="76"/>
  <c r="M23" i="98"/>
  <c r="D221" i="76"/>
  <c r="D165" i="76"/>
  <c r="D83" i="97"/>
  <c r="D28" i="98"/>
  <c r="D134" i="69"/>
  <c r="D225" i="105"/>
  <c r="D124" i="105"/>
  <c r="E124" i="105" s="1" a="1"/>
  <c r="E124" i="105" s="1"/>
  <c r="N72" i="76"/>
  <c r="D23" i="98"/>
  <c r="N83" i="97"/>
  <c r="D168" i="69"/>
  <c r="D154" i="76"/>
  <c r="E154" i="76" s="1" a="1"/>
  <c r="E154" i="76" s="1"/>
  <c r="N207" i="69"/>
  <c r="N186" i="105"/>
  <c r="N26" i="105"/>
  <c r="D138" i="105"/>
  <c r="D56" i="105"/>
  <c r="M47" i="98"/>
  <c r="D94" i="69"/>
  <c r="E94" i="69" s="1" a="1"/>
  <c r="E94" i="69" s="1"/>
  <c r="D47" i="98"/>
  <c r="N29" i="69"/>
  <c r="D26" i="105"/>
  <c r="D186" i="105"/>
  <c r="N63" i="76"/>
  <c r="N138" i="105"/>
  <c r="D143" i="76"/>
  <c r="E143" i="76" s="1" a="1"/>
  <c r="E143" i="76" s="1"/>
  <c r="D29" i="69"/>
  <c r="D113" i="105"/>
  <c r="E113" i="105" s="1" a="1"/>
  <c r="E113" i="105" s="1"/>
  <c r="N119" i="76"/>
  <c r="D207" i="69"/>
  <c r="D199" i="105"/>
  <c r="D157" i="76"/>
  <c r="E157" i="76" s="1" a="1"/>
  <c r="E157" i="76" s="1"/>
  <c r="N41" i="69"/>
  <c r="N122" i="76"/>
  <c r="D178" i="69"/>
  <c r="D144" i="69"/>
  <c r="N199" i="105"/>
  <c r="N69" i="105"/>
  <c r="D122" i="76"/>
  <c r="D57" i="76"/>
  <c r="D39" i="105"/>
  <c r="N75" i="76"/>
  <c r="D99" i="105"/>
  <c r="N168" i="76"/>
  <c r="D127" i="105"/>
  <c r="E127" i="105" s="1" a="1"/>
  <c r="E127" i="105" s="1"/>
  <c r="D146" i="76"/>
  <c r="E146" i="76" s="1" a="1"/>
  <c r="E146" i="76" s="1"/>
  <c r="D75" i="76"/>
  <c r="N49" i="97"/>
  <c r="N96" i="97"/>
  <c r="D26" i="97"/>
  <c r="D287" i="76"/>
  <c r="N39" i="105"/>
  <c r="D210" i="69"/>
  <c r="D268" i="105"/>
  <c r="N107" i="69"/>
  <c r="D32" i="69"/>
  <c r="D96" i="97"/>
  <c r="D49" i="97"/>
  <c r="N210" i="69"/>
  <c r="D41" i="69"/>
  <c r="N32" i="69"/>
  <c r="N268" i="105"/>
  <c r="D66" i="97"/>
  <c r="E66" i="97" s="1" a="1"/>
  <c r="E66" i="97" s="1"/>
  <c r="N178" i="69"/>
  <c r="N66" i="76"/>
  <c r="N151" i="105"/>
  <c r="D116" i="105"/>
  <c r="D107" i="69"/>
  <c r="N234" i="76"/>
  <c r="D204" i="76"/>
  <c r="D238" i="105"/>
  <c r="N287" i="76"/>
  <c r="N268" i="76"/>
  <c r="D168" i="76"/>
  <c r="D23" i="69"/>
  <c r="D268" i="76"/>
  <c r="D69" i="105"/>
  <c r="D97" i="69"/>
  <c r="E97" i="69" s="1" a="1"/>
  <c r="E97" i="69" s="1"/>
  <c r="N77" i="97"/>
  <c r="N159" i="69"/>
  <c r="D151" i="105"/>
  <c r="N26" i="97"/>
  <c r="D77" i="97"/>
  <c r="D66" i="76"/>
  <c r="D159" i="69"/>
  <c r="D234" i="76"/>
  <c r="D38" i="70"/>
  <c r="D36" i="70"/>
  <c r="D37" i="70"/>
  <c r="D43" i="70"/>
  <c r="D42" i="70"/>
  <c r="D44" i="70"/>
  <c r="D56" i="70"/>
  <c r="D54" i="70"/>
  <c r="D55" i="70"/>
  <c r="D33" i="70"/>
  <c r="D32" i="70"/>
  <c r="D49" i="70"/>
  <c r="D50" i="70"/>
  <c r="D48" i="70"/>
  <c r="D31" i="70"/>
  <c r="D159" i="76"/>
  <c r="E159" i="76" s="1" a="1"/>
  <c r="E159" i="76" s="1"/>
  <c r="D148" i="76"/>
  <c r="E148" i="76" s="1" a="1"/>
  <c r="E148" i="76" s="1"/>
  <c r="D68" i="97"/>
  <c r="E68" i="97" s="1" a="1"/>
  <c r="E68" i="97" s="1"/>
  <c r="D129" i="105"/>
  <c r="E129" i="105" s="1" a="1"/>
  <c r="E129" i="105" s="1"/>
  <c r="D118" i="105"/>
  <c r="E118" i="105" s="1" a="1"/>
  <c r="E118" i="105" s="1"/>
  <c r="D78" i="70"/>
  <c r="D70" i="70"/>
  <c r="D107" i="70"/>
  <c r="D99" i="70"/>
  <c r="D92" i="70"/>
  <c r="D85" i="70"/>
  <c r="E128" i="105" a="1"/>
  <c r="E128" i="105" s="1"/>
  <c r="E117" i="105" a="1"/>
  <c r="E117" i="105" s="1"/>
  <c r="E67" i="97" a="1"/>
  <c r="E67" i="97" s="1"/>
  <c r="E147" i="76" a="1"/>
  <c r="E147" i="76" s="1"/>
  <c r="E158" i="76" a="1"/>
  <c r="E158" i="76" s="1"/>
  <c r="D66" i="70"/>
  <c r="D81" i="70"/>
  <c r="D73" i="70"/>
  <c r="D95" i="70"/>
  <c r="D88" i="70"/>
  <c r="E114" i="105" a="1"/>
  <c r="E114" i="105" s="1"/>
  <c r="E116" i="105" a="1"/>
  <c r="E116" i="105" s="1"/>
  <c r="D104" i="70"/>
  <c r="D67" i="70"/>
  <c r="E64" i="97" a="1"/>
  <c r="E64" i="97" s="1"/>
  <c r="E155" i="76" a="1"/>
  <c r="E155" i="76" s="1"/>
  <c r="E144" i="76" a="1"/>
  <c r="E144" i="76" s="1"/>
  <c r="D75" i="70"/>
  <c r="D97" i="70"/>
  <c r="D90" i="70"/>
  <c r="D103" i="70"/>
  <c r="D89" i="70"/>
  <c r="D82" i="70"/>
  <c r="D96" i="70"/>
  <c r="E142" i="76" a="1"/>
  <c r="E142" i="76" s="1"/>
  <c r="D74" i="70"/>
  <c r="D68" i="70"/>
  <c r="D76" i="70"/>
  <c r="D83" i="70"/>
  <c r="E156" i="76" a="1"/>
  <c r="E156" i="76" s="1"/>
  <c r="E65" i="97" a="1"/>
  <c r="E65" i="97" s="1"/>
  <c r="D98" i="70"/>
  <c r="D105" i="70"/>
  <c r="D84" i="70"/>
  <c r="D69" i="70"/>
  <c r="D77" i="70"/>
  <c r="D106" i="70"/>
  <c r="D91" i="70"/>
  <c r="O224" i="76" l="1"/>
  <c r="E224" i="76"/>
  <c r="O141" i="105"/>
  <c r="O86" i="97"/>
  <c r="E141" i="105"/>
  <c r="E228" i="105"/>
  <c r="O39" i="97"/>
  <c r="E277" i="76"/>
  <c r="O258" i="105"/>
  <c r="O29" i="105"/>
  <c r="E39" i="97"/>
  <c r="E189" i="105"/>
  <c r="E258" i="105"/>
  <c r="O189" i="105"/>
  <c r="E29" i="105"/>
  <c r="E59" i="105"/>
  <c r="E86" i="97"/>
  <c r="O171" i="69"/>
  <c r="O59" i="105"/>
  <c r="E171" i="69"/>
  <c r="E89" i="105"/>
  <c r="O277" i="76"/>
  <c r="O269" i="105"/>
  <c r="E200" i="105"/>
  <c r="O152" i="105"/>
  <c r="O40" i="105"/>
  <c r="E269" i="105"/>
  <c r="E239" i="105"/>
  <c r="E152" i="105"/>
  <c r="E40" i="105"/>
  <c r="O50" i="97"/>
  <c r="E100" i="105"/>
  <c r="E50" i="97"/>
  <c r="O288" i="76"/>
  <c r="E288" i="76"/>
  <c r="O235" i="76"/>
  <c r="O200" i="105"/>
  <c r="E235" i="76"/>
  <c r="O179" i="69"/>
  <c r="E179" i="69"/>
  <c r="E70" i="105"/>
  <c r="O70" i="105"/>
  <c r="O97" i="97"/>
  <c r="E97" i="97"/>
  <c r="O46" i="105"/>
  <c r="O184" i="69"/>
  <c r="O76" i="105"/>
  <c r="E184" i="69"/>
  <c r="O206" i="105"/>
  <c r="O103" i="97"/>
  <c r="E46" i="105"/>
  <c r="E103" i="97"/>
  <c r="E245" i="105"/>
  <c r="E158" i="105"/>
  <c r="E76" i="105"/>
  <c r="O56" i="97"/>
  <c r="E294" i="76"/>
  <c r="O294" i="76"/>
  <c r="E241" i="76"/>
  <c r="O241" i="76"/>
  <c r="E56" i="97"/>
  <c r="E206" i="105"/>
  <c r="E106" i="105"/>
  <c r="O275" i="105"/>
  <c r="E275" i="105"/>
  <c r="O158" i="105"/>
  <c r="O253" i="105"/>
  <c r="E136" i="105"/>
  <c r="O167" i="69"/>
  <c r="E253" i="105"/>
  <c r="O272" i="76"/>
  <c r="E272" i="76"/>
  <c r="E223" i="105"/>
  <c r="E184" i="105"/>
  <c r="E84" i="105"/>
  <c r="O24" i="105"/>
  <c r="E24" i="105"/>
  <c r="O184" i="105"/>
  <c r="O34" i="97"/>
  <c r="O136" i="105"/>
  <c r="E54" i="105"/>
  <c r="O219" i="76"/>
  <c r="O54" i="105"/>
  <c r="E167" i="69"/>
  <c r="E81" i="97"/>
  <c r="O81" i="97"/>
  <c r="E34" i="97"/>
  <c r="E219" i="76"/>
  <c r="E187" i="105"/>
  <c r="O84" i="97"/>
  <c r="O256" i="105"/>
  <c r="O57" i="105"/>
  <c r="E256" i="105"/>
  <c r="E226" i="105"/>
  <c r="O187" i="105"/>
  <c r="E57" i="105"/>
  <c r="O27" i="105"/>
  <c r="E87" i="105"/>
  <c r="E275" i="76"/>
  <c r="O222" i="76"/>
  <c r="O169" i="69"/>
  <c r="E139" i="105"/>
  <c r="E222" i="76"/>
  <c r="E169" i="69"/>
  <c r="O139" i="105"/>
  <c r="E37" i="97"/>
  <c r="E84" i="97"/>
  <c r="E27" i="105"/>
  <c r="O37" i="97"/>
  <c r="O275" i="76"/>
  <c r="O34" i="105"/>
  <c r="O263" i="105"/>
  <c r="E233" i="105"/>
  <c r="O194" i="105"/>
  <c r="E64" i="105"/>
  <c r="E263" i="105"/>
  <c r="E194" i="105"/>
  <c r="O146" i="105"/>
  <c r="E34" i="105"/>
  <c r="E44" i="97"/>
  <c r="O282" i="76"/>
  <c r="E146" i="105"/>
  <c r="E282" i="76"/>
  <c r="O229" i="76"/>
  <c r="E229" i="76"/>
  <c r="O64" i="105"/>
  <c r="E94" i="105"/>
  <c r="E91" i="97"/>
  <c r="O91" i="97"/>
  <c r="O44" i="97"/>
  <c r="E97" i="105"/>
  <c r="O67" i="105"/>
  <c r="E285" i="76"/>
  <c r="O94" i="97"/>
  <c r="E94" i="97"/>
  <c r="O177" i="69"/>
  <c r="O37" i="105"/>
  <c r="E236" i="105"/>
  <c r="O47" i="97"/>
  <c r="E232" i="76"/>
  <c r="O232" i="76"/>
  <c r="E37" i="105"/>
  <c r="E177" i="69"/>
  <c r="E47" i="97"/>
  <c r="O285" i="76"/>
  <c r="E197" i="105"/>
  <c r="O197" i="105"/>
  <c r="O149" i="105"/>
  <c r="E149" i="105"/>
  <c r="E67" i="105"/>
  <c r="O266" i="105"/>
  <c r="E266" i="105"/>
  <c r="O28" i="105"/>
  <c r="E188" i="105"/>
  <c r="O140" i="105"/>
  <c r="E28" i="105"/>
  <c r="E140" i="105"/>
  <c r="O58" i="105"/>
  <c r="E58" i="105"/>
  <c r="E227" i="105"/>
  <c r="E85" i="97"/>
  <c r="O223" i="76"/>
  <c r="O170" i="69"/>
  <c r="O38" i="97"/>
  <c r="E276" i="76"/>
  <c r="E257" i="105"/>
  <c r="O188" i="105"/>
  <c r="O276" i="76"/>
  <c r="E223" i="76"/>
  <c r="E170" i="69"/>
  <c r="O257" i="105"/>
  <c r="E38" i="97"/>
  <c r="O85" i="97"/>
  <c r="E88" i="105"/>
  <c r="O73" i="105"/>
  <c r="E291" i="76"/>
  <c r="O291" i="76"/>
  <c r="O100" i="97"/>
  <c r="E272" i="105"/>
  <c r="O155" i="105"/>
  <c r="E155" i="105"/>
  <c r="O272" i="105"/>
  <c r="E203" i="105"/>
  <c r="E73" i="105"/>
  <c r="O203" i="105"/>
  <c r="E242" i="105"/>
  <c r="E100" i="97"/>
  <c r="E43" i="105"/>
  <c r="E181" i="69"/>
  <c r="E103" i="105"/>
  <c r="O53" i="97"/>
  <c r="O181" i="69"/>
  <c r="O43" i="105"/>
  <c r="O238" i="76"/>
  <c r="E238" i="76"/>
  <c r="E53" i="97"/>
  <c r="E147" i="69" a="1"/>
  <c r="E147" i="69" s="1"/>
  <c r="E208" i="76" a="1"/>
  <c r="E208" i="76" s="1"/>
  <c r="E218" i="76"/>
  <c r="E166" i="69"/>
  <c r="O80" i="97"/>
  <c r="E80" i="97"/>
  <c r="E222" i="105"/>
  <c r="O23" i="105"/>
  <c r="O183" i="105"/>
  <c r="E135" i="105"/>
  <c r="O166" i="69"/>
  <c r="O135" i="105"/>
  <c r="E53" i="105"/>
  <c r="O53" i="105"/>
  <c r="E252" i="105"/>
  <c r="O33" i="97"/>
  <c r="E271" i="76"/>
  <c r="O218" i="76"/>
  <c r="O252" i="105"/>
  <c r="O271" i="76"/>
  <c r="E83" i="105"/>
  <c r="E33" i="97"/>
  <c r="E183" i="105"/>
  <c r="E23" i="105"/>
  <c r="E193" i="105"/>
  <c r="O90" i="97"/>
  <c r="O63" i="105"/>
  <c r="O262" i="105"/>
  <c r="E232" i="105"/>
  <c r="O193" i="105"/>
  <c r="E262" i="105"/>
  <c r="E281" i="76"/>
  <c r="O228" i="76"/>
  <c r="O43" i="97"/>
  <c r="E43" i="97"/>
  <c r="O281" i="76"/>
  <c r="E145" i="105"/>
  <c r="E63" i="105"/>
  <c r="E93" i="105"/>
  <c r="O174" i="69"/>
  <c r="E228" i="76"/>
  <c r="E33" i="105"/>
  <c r="O145" i="105"/>
  <c r="E174" i="69"/>
  <c r="O33" i="105"/>
  <c r="E90" i="97"/>
  <c r="E52" i="97"/>
  <c r="O290" i="76"/>
  <c r="O72" i="105"/>
  <c r="O237" i="76"/>
  <c r="O154" i="105"/>
  <c r="E154" i="105"/>
  <c r="E72" i="105"/>
  <c r="E237" i="76"/>
  <c r="O271" i="105"/>
  <c r="E271" i="105"/>
  <c r="E202" i="105"/>
  <c r="O202" i="105"/>
  <c r="O99" i="97"/>
  <c r="E241" i="105"/>
  <c r="O52" i="97"/>
  <c r="O42" i="105"/>
  <c r="E102" i="105"/>
  <c r="E42" i="105"/>
  <c r="E290" i="76"/>
  <c r="E99" i="97"/>
  <c r="E205" i="105"/>
  <c r="O102" i="97"/>
  <c r="E105" i="105"/>
  <c r="E55" i="97"/>
  <c r="O183" i="69"/>
  <c r="E45" i="105"/>
  <c r="E244" i="105"/>
  <c r="E183" i="69"/>
  <c r="O45" i="105"/>
  <c r="E102" i="97"/>
  <c r="O274" i="105"/>
  <c r="E157" i="105"/>
  <c r="E75" i="105"/>
  <c r="O240" i="76"/>
  <c r="E274" i="105"/>
  <c r="O157" i="105"/>
  <c r="O75" i="105"/>
  <c r="O55" i="97"/>
  <c r="E293" i="76"/>
  <c r="O293" i="76"/>
  <c r="E240" i="76"/>
  <c r="O205" i="105"/>
  <c r="E56" i="105"/>
  <c r="E36" i="97"/>
  <c r="O255" i="105"/>
  <c r="O186" i="105"/>
  <c r="O36" i="97"/>
  <c r="E255" i="105"/>
  <c r="E86" i="105"/>
  <c r="O274" i="76"/>
  <c r="O56" i="105"/>
  <c r="O221" i="76"/>
  <c r="O168" i="69"/>
  <c r="E274" i="76"/>
  <c r="E221" i="76"/>
  <c r="O83" i="97"/>
  <c r="E168" i="69"/>
  <c r="O26" i="105"/>
  <c r="E83" i="97"/>
  <c r="E225" i="105"/>
  <c r="E186" i="105"/>
  <c r="E26" i="105"/>
  <c r="O138" i="105"/>
  <c r="E138" i="105"/>
  <c r="E191" i="76" a="1"/>
  <c r="E191" i="76" s="1"/>
  <c r="E134" i="69" a="1"/>
  <c r="E134" i="69" s="1"/>
  <c r="O207" i="105"/>
  <c r="E77" i="105"/>
  <c r="E246" i="105"/>
  <c r="E207" i="105"/>
  <c r="O159" i="105"/>
  <c r="O47" i="105"/>
  <c r="O276" i="105"/>
  <c r="E47" i="105"/>
  <c r="O57" i="97"/>
  <c r="O295" i="76"/>
  <c r="E242" i="76"/>
  <c r="E104" i="97"/>
  <c r="O242" i="76"/>
  <c r="O104" i="97"/>
  <c r="E57" i="97"/>
  <c r="E295" i="76"/>
  <c r="E276" i="105"/>
  <c r="E159" i="105"/>
  <c r="O77" i="105"/>
  <c r="E107" i="105"/>
  <c r="O270" i="105"/>
  <c r="E153" i="105"/>
  <c r="E270" i="105"/>
  <c r="O236" i="76"/>
  <c r="E236" i="76"/>
  <c r="O201" i="105"/>
  <c r="E101" i="105"/>
  <c r="E289" i="76"/>
  <c r="E71" i="105"/>
  <c r="E201" i="105"/>
  <c r="O71" i="105"/>
  <c r="O41" i="105"/>
  <c r="E41" i="105"/>
  <c r="O153" i="105"/>
  <c r="O289" i="76"/>
  <c r="O51" i="97"/>
  <c r="O180" i="69"/>
  <c r="E240" i="105"/>
  <c r="O98" i="97"/>
  <c r="E51" i="97"/>
  <c r="E180" i="69"/>
  <c r="E98" i="97"/>
  <c r="O61" i="105"/>
  <c r="O172" i="69"/>
  <c r="E172" i="69"/>
  <c r="E91" i="105"/>
  <c r="E88" i="97"/>
  <c r="O41" i="97"/>
  <c r="O31" i="105"/>
  <c r="E191" i="105"/>
  <c r="O191" i="105"/>
  <c r="E31" i="105"/>
  <c r="E260" i="105"/>
  <c r="E143" i="105"/>
  <c r="O143" i="105"/>
  <c r="E61" i="105"/>
  <c r="O88" i="97"/>
  <c r="E41" i="97"/>
  <c r="E279" i="76"/>
  <c r="O260" i="105"/>
  <c r="E230" i="105"/>
  <c r="O226" i="76"/>
  <c r="O279" i="76"/>
  <c r="E226" i="76"/>
  <c r="E138" i="69" a="1"/>
  <c r="E138" i="69" s="1"/>
  <c r="E196" i="76" a="1"/>
  <c r="E196" i="76" s="1"/>
  <c r="E46" i="97"/>
  <c r="O284" i="76"/>
  <c r="E284" i="76"/>
  <c r="E265" i="105"/>
  <c r="O148" i="105"/>
  <c r="E176" i="69"/>
  <c r="E235" i="105"/>
  <c r="E148" i="105"/>
  <c r="O93" i="97"/>
  <c r="E93" i="97"/>
  <c r="E66" i="105"/>
  <c r="O36" i="105"/>
  <c r="O176" i="69"/>
  <c r="E96" i="105"/>
  <c r="O46" i="97"/>
  <c r="E231" i="76"/>
  <c r="O231" i="76"/>
  <c r="E36" i="105"/>
  <c r="O66" i="105"/>
  <c r="O265" i="105"/>
  <c r="O196" i="105"/>
  <c r="E196" i="105"/>
  <c r="E237" i="105"/>
  <c r="E233" i="76"/>
  <c r="O48" i="97"/>
  <c r="E48" i="97"/>
  <c r="O95" i="97"/>
  <c r="O38" i="105"/>
  <c r="E95" i="97"/>
  <c r="E38" i="105"/>
  <c r="O198" i="105"/>
  <c r="E98" i="105"/>
  <c r="O233" i="76"/>
  <c r="E286" i="76"/>
  <c r="E198" i="105"/>
  <c r="O286" i="76"/>
  <c r="E267" i="105"/>
  <c r="O267" i="105"/>
  <c r="E68" i="105"/>
  <c r="O150" i="105"/>
  <c r="O68" i="105"/>
  <c r="E150" i="105"/>
  <c r="O22" i="105"/>
  <c r="E79" i="97"/>
  <c r="E182" i="105"/>
  <c r="E22" i="105"/>
  <c r="E134" i="105"/>
  <c r="O217" i="76"/>
  <c r="O165" i="69"/>
  <c r="O79" i="97"/>
  <c r="E221" i="105"/>
  <c r="O52" i="105"/>
  <c r="O134" i="105"/>
  <c r="E52" i="105"/>
  <c r="E165" i="69"/>
  <c r="E82" i="105"/>
  <c r="E32" i="97"/>
  <c r="E217" i="76"/>
  <c r="O251" i="105"/>
  <c r="O32" i="97"/>
  <c r="E270" i="76"/>
  <c r="E251" i="105"/>
  <c r="O182" i="105"/>
  <c r="O270" i="76"/>
  <c r="E187" i="76" a="1"/>
  <c r="E187" i="76" s="1"/>
  <c r="E131" i="69" a="1"/>
  <c r="E131" i="69" s="1"/>
  <c r="E35" i="97"/>
  <c r="O82" i="97"/>
  <c r="E82" i="97"/>
  <c r="O185" i="105"/>
  <c r="E25" i="105"/>
  <c r="O254" i="105"/>
  <c r="E185" i="105"/>
  <c r="O35" i="97"/>
  <c r="E85" i="105"/>
  <c r="E254" i="105"/>
  <c r="E55" i="105"/>
  <c r="E273" i="76"/>
  <c r="O273" i="76"/>
  <c r="E220" i="76"/>
  <c r="O220" i="76"/>
  <c r="E224" i="105"/>
  <c r="O137" i="105"/>
  <c r="E137" i="105"/>
  <c r="O55" i="105"/>
  <c r="O25" i="105"/>
  <c r="E239" i="76"/>
  <c r="E101" i="97"/>
  <c r="E104" i="105"/>
  <c r="O54" i="97"/>
  <c r="O273" i="105"/>
  <c r="E156" i="105"/>
  <c r="E243" i="105"/>
  <c r="O101" i="97"/>
  <c r="E182" i="69"/>
  <c r="E273" i="105"/>
  <c r="O182" i="69"/>
  <c r="E204" i="105"/>
  <c r="E74" i="105"/>
  <c r="O156" i="105"/>
  <c r="O74" i="105"/>
  <c r="O239" i="76"/>
  <c r="O204" i="105"/>
  <c r="E54" i="97"/>
  <c r="O44" i="105"/>
  <c r="E44" i="105"/>
  <c r="O292" i="76"/>
  <c r="E292" i="76"/>
  <c r="O259" i="105"/>
  <c r="E142" i="105"/>
  <c r="E259" i="105"/>
  <c r="O278" i="76"/>
  <c r="O87" i="97"/>
  <c r="E229" i="105"/>
  <c r="E87" i="97"/>
  <c r="O30" i="105"/>
  <c r="E190" i="105"/>
  <c r="O190" i="105"/>
  <c r="E30" i="105"/>
  <c r="O142" i="105"/>
  <c r="E90" i="105"/>
  <c r="O40" i="97"/>
  <c r="E278" i="76"/>
  <c r="O225" i="76"/>
  <c r="E40" i="97"/>
  <c r="E225" i="76"/>
  <c r="E60" i="105"/>
  <c r="O60" i="105"/>
  <c r="O39" i="105"/>
  <c r="E96" i="97"/>
  <c r="E178" i="69"/>
  <c r="O69" i="105"/>
  <c r="O199" i="105"/>
  <c r="O268" i="105"/>
  <c r="E199" i="105"/>
  <c r="E99" i="105"/>
  <c r="O49" i="97"/>
  <c r="O287" i="76"/>
  <c r="E49" i="97"/>
  <c r="O178" i="69"/>
  <c r="O151" i="105"/>
  <c r="E268" i="105"/>
  <c r="E39" i="105"/>
  <c r="E151" i="105"/>
  <c r="E238" i="105"/>
  <c r="E234" i="76"/>
  <c r="O96" i="97"/>
  <c r="E287" i="76"/>
  <c r="E69" i="105"/>
  <c r="O234" i="76"/>
  <c r="E144" i="69" a="1"/>
  <c r="E144" i="69" s="1"/>
  <c r="E204" i="76" a="1"/>
  <c r="E204" i="76" s="1"/>
  <c r="E227" i="76"/>
  <c r="E92" i="105"/>
  <c r="E42" i="97"/>
  <c r="O192" i="105"/>
  <c r="O42" i="97"/>
  <c r="E192" i="105"/>
  <c r="O261" i="105"/>
  <c r="E144" i="105"/>
  <c r="O144" i="105"/>
  <c r="E62" i="105"/>
  <c r="O62" i="105"/>
  <c r="O227" i="76"/>
  <c r="E261" i="105"/>
  <c r="O32" i="105"/>
  <c r="E32" i="105"/>
  <c r="O89" i="97"/>
  <c r="O173" i="69"/>
  <c r="E89" i="97"/>
  <c r="E173" i="69"/>
  <c r="O280" i="76"/>
  <c r="E231" i="105"/>
  <c r="E280" i="76"/>
  <c r="O264" i="105"/>
  <c r="E230" i="76"/>
  <c r="E147" i="105"/>
  <c r="E264" i="105"/>
  <c r="E65" i="105"/>
  <c r="O175" i="69"/>
  <c r="O147" i="105"/>
  <c r="E175" i="69"/>
  <c r="E95" i="105"/>
  <c r="O92" i="97"/>
  <c r="O45" i="97"/>
  <c r="O230" i="76"/>
  <c r="O65" i="105"/>
  <c r="E92" i="97"/>
  <c r="O283" i="76"/>
  <c r="E234" i="105"/>
  <c r="O35" i="105"/>
  <c r="E45" i="97"/>
  <c r="E283" i="76"/>
  <c r="E195" i="105"/>
  <c r="O195" i="105"/>
  <c r="E35" i="105"/>
  <c r="E141" i="69" a="1"/>
  <c r="E141" i="69" s="1"/>
  <c r="E200" i="76" a="1"/>
  <c r="E200" i="76" s="1"/>
  <c r="D63" i="69"/>
  <c r="D95" i="76"/>
  <c r="D98" i="69"/>
  <c r="E98" i="69" s="1" a="1"/>
  <c r="E98" i="69" s="1"/>
  <c r="H108" i="69" s="1" a="1"/>
  <c r="H108" i="69" s="1"/>
  <c r="D102" i="70"/>
  <c r="R209" i="69" a="1"/>
  <c r="R209" i="69" s="1"/>
  <c r="Q209" i="69" a="1"/>
  <c r="Q209" i="69" s="1"/>
  <c r="P209" i="69" a="1"/>
  <c r="P209" i="69" s="1"/>
  <c r="O209" i="69" a="1"/>
  <c r="O209" i="69" s="1"/>
  <c r="P211" i="69" a="1"/>
  <c r="P211" i="69" s="1"/>
  <c r="O211" i="69" a="1"/>
  <c r="O211" i="69" s="1"/>
  <c r="Q211" i="69" a="1"/>
  <c r="Q211" i="69" s="1"/>
  <c r="R211" i="69" a="1"/>
  <c r="R211" i="69" s="1"/>
  <c r="Q207" i="69" a="1"/>
  <c r="Q207" i="69" s="1"/>
  <c r="P207" i="69" a="1"/>
  <c r="P207" i="69" s="1"/>
  <c r="O207" i="69" a="1"/>
  <c r="O207" i="69" s="1"/>
  <c r="R207" i="69" a="1"/>
  <c r="R207" i="69" s="1"/>
  <c r="R206" i="69" a="1"/>
  <c r="R206" i="69" s="1"/>
  <c r="Q206" i="69" a="1"/>
  <c r="Q206" i="69" s="1"/>
  <c r="P206" i="69" a="1"/>
  <c r="P206" i="69" s="1"/>
  <c r="O206" i="69" a="1"/>
  <c r="O206" i="69" s="1"/>
  <c r="P210" i="69" a="1"/>
  <c r="P210" i="69" s="1"/>
  <c r="O210" i="69" a="1"/>
  <c r="O210" i="69" s="1"/>
  <c r="R210" i="69" a="1"/>
  <c r="R210" i="69" s="1"/>
  <c r="Q210" i="69" a="1"/>
  <c r="Q210" i="69" s="1"/>
  <c r="R208" i="69" a="1"/>
  <c r="R208" i="69" s="1"/>
  <c r="Q208" i="69" a="1"/>
  <c r="Q208" i="69" s="1"/>
  <c r="P208" i="69" a="1"/>
  <c r="P208" i="69" s="1"/>
  <c r="O208" i="69" a="1"/>
  <c r="O208" i="69" s="1"/>
  <c r="E169" i="76" a="1"/>
  <c r="E169" i="76" s="1"/>
  <c r="Q169" i="76" a="1"/>
  <c r="Q169" i="76" s="1"/>
  <c r="R169" i="76" a="1"/>
  <c r="R169" i="76" s="1"/>
  <c r="H169" i="76" a="1"/>
  <c r="H169" i="76" s="1"/>
  <c r="G169" i="76" a="1"/>
  <c r="G169" i="76" s="1"/>
  <c r="F169" i="76" a="1"/>
  <c r="F169" i="76" s="1"/>
  <c r="P169" i="76" a="1"/>
  <c r="P169" i="76" s="1"/>
  <c r="O169" i="76" a="1"/>
  <c r="O169" i="76" s="1"/>
  <c r="S266" i="76" a="1"/>
  <c r="S266" i="76" s="1"/>
  <c r="R266" i="76" a="1"/>
  <c r="R266" i="76" s="1"/>
  <c r="Q266" i="76" a="1"/>
  <c r="Q266" i="76" s="1"/>
  <c r="P266" i="76" a="1"/>
  <c r="P266" i="76" s="1"/>
  <c r="H266" i="76" a="1"/>
  <c r="H266" i="76" s="1"/>
  <c r="G266" i="76" a="1"/>
  <c r="G266" i="76" s="1"/>
  <c r="F266" i="76" a="1"/>
  <c r="F266" i="76" s="1"/>
  <c r="I266" i="76" a="1"/>
  <c r="I266" i="76" s="1"/>
  <c r="G208" i="69" a="1"/>
  <c r="G208" i="69" s="1"/>
  <c r="H208" i="69" a="1"/>
  <c r="H208" i="69" s="1"/>
  <c r="E208" i="69" a="1"/>
  <c r="E208" i="69" s="1"/>
  <c r="F208" i="69" a="1"/>
  <c r="F208" i="69" s="1"/>
  <c r="P268" i="76" a="1"/>
  <c r="P268" i="76" s="1"/>
  <c r="I268" i="76" a="1"/>
  <c r="I268" i="76" s="1"/>
  <c r="H268" i="76" a="1"/>
  <c r="H268" i="76" s="1"/>
  <c r="G268" i="76" a="1"/>
  <c r="G268" i="76" s="1"/>
  <c r="F268" i="76" a="1"/>
  <c r="F268" i="76" s="1"/>
  <c r="S268" i="76" a="1"/>
  <c r="S268" i="76" s="1"/>
  <c r="R268" i="76" a="1"/>
  <c r="R268" i="76" s="1"/>
  <c r="Q268" i="76" a="1"/>
  <c r="Q268" i="76" s="1"/>
  <c r="E207" i="69" a="1"/>
  <c r="E207" i="69" s="1"/>
  <c r="F207" i="69" a="1"/>
  <c r="F207" i="69" s="1"/>
  <c r="G207" i="69" a="1"/>
  <c r="G207" i="69" s="1"/>
  <c r="H207" i="69" a="1"/>
  <c r="H207" i="69" s="1"/>
  <c r="E211" i="69" a="1"/>
  <c r="E211" i="69" s="1"/>
  <c r="H211" i="69" a="1"/>
  <c r="H211" i="69" s="1"/>
  <c r="G211" i="69" a="1"/>
  <c r="G211" i="69" s="1"/>
  <c r="F211" i="69" a="1"/>
  <c r="F211" i="69" s="1"/>
  <c r="G269" i="76" a="1"/>
  <c r="G269" i="76" s="1"/>
  <c r="F269" i="76" a="1"/>
  <c r="F269" i="76" s="1"/>
  <c r="S269" i="76" a="1"/>
  <c r="S269" i="76" s="1"/>
  <c r="R269" i="76" a="1"/>
  <c r="R269" i="76" s="1"/>
  <c r="I269" i="76" a="1"/>
  <c r="I269" i="76" s="1"/>
  <c r="Q269" i="76" a="1"/>
  <c r="Q269" i="76" s="1"/>
  <c r="P269" i="76" a="1"/>
  <c r="P269" i="76" s="1"/>
  <c r="H269" i="76" a="1"/>
  <c r="H269" i="76" s="1"/>
  <c r="H209" i="69" a="1"/>
  <c r="H209" i="69" s="1"/>
  <c r="G209" i="69" a="1"/>
  <c r="G209" i="69" s="1"/>
  <c r="F209" i="69" a="1"/>
  <c r="F209" i="69" s="1"/>
  <c r="E209" i="69" a="1"/>
  <c r="E209" i="69" s="1"/>
  <c r="I265" i="76" a="1"/>
  <c r="I265" i="76" s="1"/>
  <c r="H265" i="76" a="1"/>
  <c r="H265" i="76" s="1"/>
  <c r="G265" i="76" a="1"/>
  <c r="G265" i="76" s="1"/>
  <c r="F265" i="76" a="1"/>
  <c r="F265" i="76" s="1"/>
  <c r="S265" i="76" a="1"/>
  <c r="S265" i="76" s="1"/>
  <c r="R265" i="76" a="1"/>
  <c r="R265" i="76" s="1"/>
  <c r="Q265" i="76" a="1"/>
  <c r="Q265" i="76" s="1"/>
  <c r="P265" i="76" a="1"/>
  <c r="P265" i="76" s="1"/>
  <c r="S267" i="76" a="1"/>
  <c r="S267" i="76" s="1"/>
  <c r="R267" i="76" a="1"/>
  <c r="R267" i="76" s="1"/>
  <c r="Q267" i="76" a="1"/>
  <c r="Q267" i="76" s="1"/>
  <c r="P267" i="76" a="1"/>
  <c r="P267" i="76" s="1"/>
  <c r="H267" i="76" a="1"/>
  <c r="H267" i="76" s="1"/>
  <c r="I267" i="76" a="1"/>
  <c r="I267" i="76" s="1"/>
  <c r="G267" i="76" a="1"/>
  <c r="G267" i="76" s="1"/>
  <c r="F267" i="76" a="1"/>
  <c r="F267" i="76" s="1"/>
  <c r="E210" i="69" a="1"/>
  <c r="E210" i="69" s="1"/>
  <c r="G210" i="69" a="1"/>
  <c r="G210" i="69" s="1"/>
  <c r="F210" i="69" a="1"/>
  <c r="F210" i="69" s="1"/>
  <c r="H210" i="69" a="1"/>
  <c r="H210" i="69" s="1"/>
  <c r="E123" i="105" a="1"/>
  <c r="E123" i="105" s="1"/>
  <c r="S74" i="97" a="1"/>
  <c r="S74" i="97" s="1"/>
  <c r="R75" i="97" a="1"/>
  <c r="R75" i="97" s="1"/>
  <c r="S75" i="97" a="1"/>
  <c r="S75" i="97" s="1"/>
  <c r="S78" i="97" a="1"/>
  <c r="S78" i="97" s="1"/>
  <c r="Q78" i="97" a="1"/>
  <c r="Q78" i="97" s="1"/>
  <c r="P75" i="97" a="1"/>
  <c r="P75" i="97" s="1"/>
  <c r="R77" i="97" a="1"/>
  <c r="R77" i="97" s="1"/>
  <c r="Q76" i="97" a="1"/>
  <c r="Q76" i="97" s="1"/>
  <c r="S77" i="97" a="1"/>
  <c r="S77" i="97" s="1"/>
  <c r="R78" i="97" a="1"/>
  <c r="R78" i="97" s="1"/>
  <c r="P74" i="97" a="1"/>
  <c r="P74" i="97" s="1"/>
  <c r="R76" i="97" a="1"/>
  <c r="R76" i="97" s="1"/>
  <c r="Q74" i="97" a="1"/>
  <c r="Q74" i="97" s="1"/>
  <c r="P77" i="97" a="1"/>
  <c r="P77" i="97" s="1"/>
  <c r="Q75" i="97" a="1"/>
  <c r="Q75" i="97" s="1"/>
  <c r="P78" i="97" a="1"/>
  <c r="P78" i="97" s="1"/>
  <c r="Q77" i="97" a="1"/>
  <c r="Q77" i="97" s="1"/>
  <c r="R74" i="97" a="1"/>
  <c r="R74" i="97" s="1"/>
  <c r="P76" i="97" a="1"/>
  <c r="P76" i="97" s="1"/>
  <c r="S76" i="97" a="1"/>
  <c r="S76" i="97" s="1"/>
  <c r="H78" i="97" a="1"/>
  <c r="H78" i="97" s="1"/>
  <c r="G78" i="97" a="1"/>
  <c r="G78" i="97" s="1"/>
  <c r="F78" i="97" a="1"/>
  <c r="F78" i="97" s="1"/>
  <c r="I78" i="97" a="1"/>
  <c r="I78" i="97" s="1"/>
  <c r="I74" i="97" a="1"/>
  <c r="I74" i="97" s="1"/>
  <c r="H74" i="97" a="1"/>
  <c r="H74" i="97" s="1"/>
  <c r="G74" i="97" a="1"/>
  <c r="G74" i="97" s="1"/>
  <c r="F74" i="97" a="1"/>
  <c r="F74" i="97" s="1"/>
  <c r="H76" i="97" a="1"/>
  <c r="H76" i="97" s="1"/>
  <c r="G76" i="97" a="1"/>
  <c r="G76" i="97" s="1"/>
  <c r="I76" i="97" a="1"/>
  <c r="I76" i="97" s="1"/>
  <c r="F76" i="97" a="1"/>
  <c r="F76" i="97" s="1"/>
  <c r="I77" i="97" a="1"/>
  <c r="I77" i="97" s="1"/>
  <c r="H77" i="97" a="1"/>
  <c r="H77" i="97" s="1"/>
  <c r="G77" i="97" a="1"/>
  <c r="G77" i="97" s="1"/>
  <c r="F77" i="97" a="1"/>
  <c r="F77" i="97" s="1"/>
  <c r="H75" i="97" a="1"/>
  <c r="H75" i="97" s="1"/>
  <c r="G75" i="97" a="1"/>
  <c r="G75" i="97" s="1"/>
  <c r="F75" i="97" a="1"/>
  <c r="F75" i="97" s="1"/>
  <c r="I75" i="97" a="1"/>
  <c r="I75" i="97" s="1"/>
  <c r="E62" i="97" a="1"/>
  <c r="E62" i="97" s="1"/>
  <c r="E105" i="69" a="1"/>
  <c r="E105" i="69" s="1"/>
  <c r="Q105" i="69" a="1"/>
  <c r="Q105" i="69" s="1"/>
  <c r="G105" i="69" a="1"/>
  <c r="G105" i="69" s="1"/>
  <c r="F105" i="69" a="1"/>
  <c r="F105" i="69" s="1"/>
  <c r="P105" i="69" a="1"/>
  <c r="P105" i="69" s="1"/>
  <c r="R105" i="69" a="1"/>
  <c r="R105" i="69" s="1"/>
  <c r="H105" i="69" a="1"/>
  <c r="H105" i="69" s="1"/>
  <c r="O105" i="69" a="1"/>
  <c r="O105" i="69" s="1"/>
  <c r="H103" i="69" a="1"/>
  <c r="H103" i="69" s="1"/>
  <c r="E103" i="69" a="1"/>
  <c r="E103" i="69" s="1"/>
  <c r="R103" i="69" a="1"/>
  <c r="R103" i="69" s="1"/>
  <c r="G103" i="69" a="1"/>
  <c r="G103" i="69" s="1"/>
  <c r="F103" i="69" a="1"/>
  <c r="F103" i="69" s="1"/>
  <c r="Q103" i="69" a="1"/>
  <c r="Q103" i="69" s="1"/>
  <c r="P103" i="69" a="1"/>
  <c r="P103" i="69" s="1"/>
  <c r="O103" i="69" a="1"/>
  <c r="O103" i="69" s="1"/>
  <c r="G167" i="76" a="1"/>
  <c r="G167" i="76" s="1"/>
  <c r="O167" i="76" a="1"/>
  <c r="O167" i="76" s="1"/>
  <c r="R167" i="76" a="1"/>
  <c r="R167" i="76" s="1"/>
  <c r="P167" i="76" a="1"/>
  <c r="P167" i="76" s="1"/>
  <c r="E167" i="76" a="1"/>
  <c r="E167" i="76" s="1"/>
  <c r="H167" i="76" a="1"/>
  <c r="H167" i="76" s="1"/>
  <c r="Q167" i="76" a="1"/>
  <c r="Q167" i="76" s="1"/>
  <c r="F167" i="76" a="1"/>
  <c r="F167" i="76" s="1"/>
  <c r="F104" i="69" a="1"/>
  <c r="F104" i="69" s="1"/>
  <c r="E104" i="69" a="1"/>
  <c r="E104" i="69" s="1"/>
  <c r="H104" i="69" a="1"/>
  <c r="H104" i="69" s="1"/>
  <c r="G104" i="69" a="1"/>
  <c r="G104" i="69" s="1"/>
  <c r="P104" i="69" a="1"/>
  <c r="P104" i="69" s="1"/>
  <c r="R104" i="69" a="1"/>
  <c r="R104" i="69" s="1"/>
  <c r="O104" i="69" a="1"/>
  <c r="O104" i="69" s="1"/>
  <c r="Q104" i="69" a="1"/>
  <c r="Q104" i="69" s="1"/>
  <c r="E165" i="76" a="1"/>
  <c r="E165" i="76" s="1"/>
  <c r="P165" i="76" a="1"/>
  <c r="P165" i="76" s="1"/>
  <c r="H165" i="76" a="1"/>
  <c r="H165" i="76" s="1"/>
  <c r="G165" i="76" a="1"/>
  <c r="G165" i="76" s="1"/>
  <c r="Q165" i="76" a="1"/>
  <c r="Q165" i="76" s="1"/>
  <c r="F165" i="76" a="1"/>
  <c r="F165" i="76" s="1"/>
  <c r="O165" i="76" a="1"/>
  <c r="O165" i="76" s="1"/>
  <c r="R165" i="76" a="1"/>
  <c r="R165" i="76" s="1"/>
  <c r="E153" i="76" a="1"/>
  <c r="E153" i="76" s="1"/>
  <c r="P164" i="76" s="1" a="1"/>
  <c r="P164" i="76" s="1"/>
  <c r="F168" i="76" a="1"/>
  <c r="F168" i="76" s="1"/>
  <c r="R168" i="76" a="1"/>
  <c r="R168" i="76" s="1"/>
  <c r="O168" i="76" a="1"/>
  <c r="O168" i="76" s="1"/>
  <c r="Q168" i="76" a="1"/>
  <c r="Q168" i="76" s="1"/>
  <c r="P168" i="76" a="1"/>
  <c r="P168" i="76" s="1"/>
  <c r="H168" i="76" a="1"/>
  <c r="H168" i="76" s="1"/>
  <c r="G168" i="76" a="1"/>
  <c r="G168" i="76" s="1"/>
  <c r="E168" i="76" a="1"/>
  <c r="E168" i="76" s="1"/>
  <c r="R106" i="69" a="1"/>
  <c r="R106" i="69" s="1"/>
  <c r="G106" i="69" a="1"/>
  <c r="G106" i="69" s="1"/>
  <c r="P106" i="69" a="1"/>
  <c r="P106" i="69" s="1"/>
  <c r="F106" i="69" a="1"/>
  <c r="F106" i="69" s="1"/>
  <c r="H106" i="69" a="1"/>
  <c r="H106" i="69" s="1"/>
  <c r="Q106" i="69" a="1"/>
  <c r="Q106" i="69" s="1"/>
  <c r="E106" i="69" a="1"/>
  <c r="E106" i="69" s="1"/>
  <c r="O106" i="69" a="1"/>
  <c r="O106" i="69" s="1"/>
  <c r="O166" i="76" a="1"/>
  <c r="O166" i="76" s="1"/>
  <c r="H166" i="76" a="1"/>
  <c r="H166" i="76" s="1"/>
  <c r="F166" i="76" a="1"/>
  <c r="F166" i="76" s="1"/>
  <c r="Q166" i="76" a="1"/>
  <c r="Q166" i="76" s="1"/>
  <c r="E166" i="76" a="1"/>
  <c r="E166" i="76" s="1"/>
  <c r="P166" i="76" a="1"/>
  <c r="P166" i="76" s="1"/>
  <c r="G166" i="76" a="1"/>
  <c r="G166" i="76" s="1"/>
  <c r="R166" i="76" a="1"/>
  <c r="R166" i="76" s="1"/>
  <c r="F107" i="69" a="1"/>
  <c r="F107" i="69" s="1"/>
  <c r="G107" i="69" a="1"/>
  <c r="G107" i="69" s="1"/>
  <c r="P107" i="69" a="1"/>
  <c r="P107" i="69" s="1"/>
  <c r="E107" i="69" a="1"/>
  <c r="E107" i="69" s="1"/>
  <c r="R107" i="69" a="1"/>
  <c r="R107" i="69" s="1"/>
  <c r="H107" i="69" a="1"/>
  <c r="H107" i="69" s="1"/>
  <c r="O107" i="69" a="1"/>
  <c r="O107" i="69" s="1"/>
  <c r="Q107" i="69" a="1"/>
  <c r="Q107" i="69" s="1"/>
  <c r="F108" i="69" a="1"/>
  <c r="F108" i="69" s="1"/>
  <c r="R108" i="69" a="1"/>
  <c r="R108" i="69" s="1"/>
  <c r="O108" i="69" a="1"/>
  <c r="O108" i="69" s="1"/>
  <c r="E108" i="69" l="1" a="1"/>
  <c r="E108" i="69" s="1"/>
  <c r="F184" i="69" s="1" a="1"/>
  <c r="F184" i="69" s="1"/>
  <c r="P108" i="69" a="1"/>
  <c r="P108" i="69" s="1"/>
  <c r="Q181" i="69" s="1" a="1"/>
  <c r="Q181" i="69" s="1"/>
  <c r="Q108" i="69" a="1"/>
  <c r="Q108" i="69" s="1"/>
  <c r="R184" i="69" s="1" a="1"/>
  <c r="R184" i="69" s="1"/>
  <c r="G108" i="69" a="1"/>
  <c r="G108" i="69" s="1"/>
  <c r="H183" i="69" s="1" a="1"/>
  <c r="H183" i="69" s="1"/>
  <c r="H233" i="76" a="1"/>
  <c r="H233" i="76" s="1"/>
  <c r="H48" i="97" s="1"/>
  <c r="Q220" i="76" a="1"/>
  <c r="Q220" i="76" s="1"/>
  <c r="Q35" i="97" s="1"/>
  <c r="S237" i="76" a="1"/>
  <c r="S237" i="76" s="1"/>
  <c r="S52" i="97" s="1"/>
  <c r="G237" i="76" a="1"/>
  <c r="G237" i="76" s="1"/>
  <c r="G42" i="105" s="1"/>
  <c r="Q237" i="76" a="1"/>
  <c r="Q237" i="76" s="1"/>
  <c r="Q42" i="105" s="1"/>
  <c r="P233" i="76" a="1"/>
  <c r="P233" i="76" s="1"/>
  <c r="P38" i="105" s="1"/>
  <c r="G229" i="76" a="1"/>
  <c r="G229" i="76" s="1"/>
  <c r="G44" i="97" s="1"/>
  <c r="R237" i="76" a="1"/>
  <c r="R237" i="76" s="1"/>
  <c r="R42" i="105" s="1"/>
  <c r="R233" i="76" a="1"/>
  <c r="R233" i="76" s="1"/>
  <c r="R48" i="97" s="1"/>
  <c r="I233" i="76" a="1"/>
  <c r="I233" i="76" s="1"/>
  <c r="I38" i="105" s="1"/>
  <c r="G233" i="76" a="1"/>
  <c r="G233" i="76" s="1"/>
  <c r="G48" i="97" s="1"/>
  <c r="F233" i="76" a="1"/>
  <c r="F233" i="76" s="1"/>
  <c r="F48" i="97" s="1"/>
  <c r="Q233" i="76" a="1"/>
  <c r="Q233" i="76" s="1"/>
  <c r="Q38" i="105" s="1"/>
  <c r="S225" i="76" a="1"/>
  <c r="S225" i="76" s="1"/>
  <c r="S30" i="105" s="1"/>
  <c r="P225" i="76" a="1"/>
  <c r="P225" i="76" s="1"/>
  <c r="P30" i="105" s="1"/>
  <c r="S233" i="76" a="1"/>
  <c r="S233" i="76" s="1"/>
  <c r="S38" i="105" s="1"/>
  <c r="I229" i="76" a="1"/>
  <c r="I229" i="76" s="1"/>
  <c r="I44" i="97" s="1"/>
  <c r="P229" i="76" a="1"/>
  <c r="P229" i="76" s="1"/>
  <c r="P34" i="105" s="1"/>
  <c r="P237" i="76" a="1"/>
  <c r="P237" i="76" s="1"/>
  <c r="P52" i="97" s="1"/>
  <c r="G225" i="76" a="1"/>
  <c r="G225" i="76" s="1"/>
  <c r="G40" i="97" s="1"/>
  <c r="S229" i="76" a="1"/>
  <c r="S229" i="76" s="1"/>
  <c r="S44" i="97" s="1"/>
  <c r="R225" i="76" a="1"/>
  <c r="R225" i="76" s="1"/>
  <c r="R40" i="97" s="1"/>
  <c r="H229" i="76" a="1"/>
  <c r="H229" i="76" s="1"/>
  <c r="H34" i="105" s="1"/>
  <c r="H225" i="76" a="1"/>
  <c r="H225" i="76" s="1"/>
  <c r="H30" i="105" s="1"/>
  <c r="F237" i="76" a="1"/>
  <c r="F237" i="76" s="1"/>
  <c r="F52" i="97" s="1"/>
  <c r="I225" i="76" a="1"/>
  <c r="I225" i="76" s="1"/>
  <c r="I30" i="105" s="1"/>
  <c r="Q229" i="76" a="1"/>
  <c r="Q229" i="76" s="1"/>
  <c r="Q34" i="105" s="1"/>
  <c r="F229" i="76" a="1"/>
  <c r="F229" i="76" s="1"/>
  <c r="F44" i="97" s="1"/>
  <c r="H237" i="76" a="1"/>
  <c r="H237" i="76" s="1"/>
  <c r="H42" i="105" s="1"/>
  <c r="Q225" i="76" a="1"/>
  <c r="Q225" i="76" s="1"/>
  <c r="Q40" i="97" s="1"/>
  <c r="R229" i="76" a="1"/>
  <c r="R229" i="76" s="1"/>
  <c r="R44" i="97" s="1"/>
  <c r="I237" i="76" a="1"/>
  <c r="I237" i="76" s="1"/>
  <c r="I42" i="105" s="1"/>
  <c r="F225" i="76" a="1"/>
  <c r="F225" i="76" s="1"/>
  <c r="F40" i="97" s="1"/>
  <c r="R176" i="69" a="1"/>
  <c r="R176" i="69" s="1"/>
  <c r="Q176" i="69" a="1"/>
  <c r="Q176" i="69" s="1"/>
  <c r="P176" i="69" a="1"/>
  <c r="P176" i="69" s="1"/>
  <c r="S176" i="69" a="1"/>
  <c r="S176" i="69" s="1"/>
  <c r="S166" i="69" a="1"/>
  <c r="S166" i="69" s="1"/>
  <c r="R166" i="69" a="1"/>
  <c r="R166" i="69" s="1"/>
  <c r="Q166" i="69" a="1"/>
  <c r="Q166" i="69" s="1"/>
  <c r="P166" i="69" a="1"/>
  <c r="P166" i="69" s="1"/>
  <c r="S171" i="69" a="1"/>
  <c r="S171" i="69" s="1"/>
  <c r="R171" i="69" a="1"/>
  <c r="R171" i="69" s="1"/>
  <c r="Q171" i="69" a="1"/>
  <c r="Q171" i="69" s="1"/>
  <c r="P171" i="69" a="1"/>
  <c r="P171" i="69" s="1"/>
  <c r="S174" i="69" a="1"/>
  <c r="S174" i="69" s="1"/>
  <c r="R174" i="69" a="1"/>
  <c r="R174" i="69" s="1"/>
  <c r="Q174" i="69" a="1"/>
  <c r="Q174" i="69" s="1"/>
  <c r="P174" i="69" a="1"/>
  <c r="P174" i="69" s="1"/>
  <c r="P165" i="69" a="1"/>
  <c r="P165" i="69" s="1"/>
  <c r="S165" i="69" a="1"/>
  <c r="S165" i="69" s="1"/>
  <c r="R165" i="69" a="1"/>
  <c r="R165" i="69" s="1"/>
  <c r="Q165" i="69" a="1"/>
  <c r="Q165" i="69" s="1"/>
  <c r="S172" i="69" a="1"/>
  <c r="S172" i="69" s="1"/>
  <c r="R172" i="69" a="1"/>
  <c r="R172" i="69" s="1"/>
  <c r="Q172" i="69" a="1"/>
  <c r="Q172" i="69" s="1"/>
  <c r="P172" i="69" a="1"/>
  <c r="P172" i="69" s="1"/>
  <c r="S169" i="69" a="1"/>
  <c r="S169" i="69" s="1"/>
  <c r="R169" i="69" a="1"/>
  <c r="R169" i="69" s="1"/>
  <c r="Q169" i="69" a="1"/>
  <c r="Q169" i="69" s="1"/>
  <c r="P169" i="69" a="1"/>
  <c r="P169" i="69" s="1"/>
  <c r="S167" i="69" a="1"/>
  <c r="S167" i="69" s="1"/>
  <c r="R167" i="69" a="1"/>
  <c r="R167" i="69" s="1"/>
  <c r="Q167" i="69" a="1"/>
  <c r="Q167" i="69" s="1"/>
  <c r="P167" i="69" a="1"/>
  <c r="P167" i="69" s="1"/>
  <c r="S170" i="69" a="1"/>
  <c r="S170" i="69" s="1"/>
  <c r="R170" i="69" a="1"/>
  <c r="R170" i="69" s="1"/>
  <c r="Q170" i="69" a="1"/>
  <c r="Q170" i="69" s="1"/>
  <c r="P170" i="69" a="1"/>
  <c r="P170" i="69" s="1"/>
  <c r="Q168" i="69" a="1"/>
  <c r="Q168" i="69" s="1"/>
  <c r="P168" i="69" a="1"/>
  <c r="P168" i="69" s="1"/>
  <c r="S168" i="69" a="1"/>
  <c r="S168" i="69" s="1"/>
  <c r="R168" i="69" a="1"/>
  <c r="R168" i="69" s="1"/>
  <c r="S177" i="69" a="1"/>
  <c r="S177" i="69" s="1"/>
  <c r="R177" i="69" a="1"/>
  <c r="R177" i="69" s="1"/>
  <c r="Q177" i="69" a="1"/>
  <c r="Q177" i="69" s="1"/>
  <c r="P177" i="69" a="1"/>
  <c r="P177" i="69" s="1"/>
  <c r="S178" i="69" a="1"/>
  <c r="S178" i="69" s="1"/>
  <c r="R178" i="69" a="1"/>
  <c r="R178" i="69" s="1"/>
  <c r="Q178" i="69" a="1"/>
  <c r="Q178" i="69" s="1"/>
  <c r="P178" i="69" a="1"/>
  <c r="P178" i="69" s="1"/>
  <c r="R179" i="69" a="1"/>
  <c r="R179" i="69" s="1"/>
  <c r="Q179" i="69" a="1"/>
  <c r="Q179" i="69" s="1"/>
  <c r="P179" i="69" a="1"/>
  <c r="P179" i="69" s="1"/>
  <c r="S179" i="69" a="1"/>
  <c r="S179" i="69" s="1"/>
  <c r="S175" i="69" a="1"/>
  <c r="S175" i="69" s="1"/>
  <c r="R175" i="69" a="1"/>
  <c r="R175" i="69" s="1"/>
  <c r="Q175" i="69" a="1"/>
  <c r="Q175" i="69" s="1"/>
  <c r="P175" i="69" a="1"/>
  <c r="P175" i="69" s="1"/>
  <c r="R173" i="69" a="1"/>
  <c r="R173" i="69" s="1"/>
  <c r="Q173" i="69" a="1"/>
  <c r="Q173" i="69" s="1"/>
  <c r="P173" i="69" a="1"/>
  <c r="P173" i="69" s="1"/>
  <c r="S173" i="69" a="1"/>
  <c r="S173" i="69" s="1"/>
  <c r="Q180" i="69" a="1"/>
  <c r="Q180" i="69" s="1"/>
  <c r="S180" i="69" a="1"/>
  <c r="S180" i="69" s="1"/>
  <c r="R180" i="69" a="1"/>
  <c r="R180" i="69" s="1"/>
  <c r="P180" i="69" a="1"/>
  <c r="P180" i="69" s="1"/>
  <c r="S183" i="69" a="1"/>
  <c r="S183" i="69" s="1"/>
  <c r="S184" i="69" a="1"/>
  <c r="S184" i="69" s="1"/>
  <c r="S182" i="69" a="1"/>
  <c r="S182" i="69" s="1"/>
  <c r="S181" i="69" a="1"/>
  <c r="S181" i="69" s="1"/>
  <c r="P182" i="69" a="1"/>
  <c r="P182" i="69" s="1"/>
  <c r="P184" i="69" a="1"/>
  <c r="P184" i="69" s="1"/>
  <c r="P181" i="69" a="1"/>
  <c r="P181" i="69" s="1"/>
  <c r="P183" i="69" a="1"/>
  <c r="P183" i="69" s="1"/>
  <c r="P264" i="76" a="1"/>
  <c r="P264" i="76" s="1"/>
  <c r="I264" i="76" a="1"/>
  <c r="I264" i="76" s="1"/>
  <c r="F264" i="76" a="1"/>
  <c r="F264" i="76" s="1"/>
  <c r="H241" i="76" a="1"/>
  <c r="H241" i="76" s="1"/>
  <c r="H294" i="76" s="1" a="1"/>
  <c r="H294" i="76" s="1"/>
  <c r="H239" i="76" a="1"/>
  <c r="H239" i="76" s="1"/>
  <c r="H292" i="76" s="1" a="1"/>
  <c r="H292" i="76" s="1"/>
  <c r="H242" i="76" a="1"/>
  <c r="H242" i="76" s="1"/>
  <c r="H240" i="76" a="1"/>
  <c r="H240" i="76" s="1"/>
  <c r="H293" i="76" s="1" a="1"/>
  <c r="H293" i="76" s="1"/>
  <c r="H238" i="76" a="1"/>
  <c r="H238" i="76" s="1"/>
  <c r="H291" i="76" s="1" a="1"/>
  <c r="H291" i="76" s="1"/>
  <c r="G264" i="76" a="1"/>
  <c r="G264" i="76" s="1"/>
  <c r="I242" i="76" a="1"/>
  <c r="I242" i="76" s="1"/>
  <c r="I239" i="76" a="1"/>
  <c r="I239" i="76" s="1"/>
  <c r="I292" i="76" s="1" a="1"/>
  <c r="I292" i="76" s="1"/>
  <c r="I238" i="76" a="1"/>
  <c r="I238" i="76" s="1"/>
  <c r="I240" i="76" a="1"/>
  <c r="I240" i="76" s="1"/>
  <c r="I293" i="76" s="1" a="1"/>
  <c r="I293" i="76" s="1"/>
  <c r="I241" i="76" a="1"/>
  <c r="I241" i="76" s="1"/>
  <c r="I294" i="76" s="1" a="1"/>
  <c r="I294" i="76" s="1"/>
  <c r="H264" i="76" a="1"/>
  <c r="H264" i="76" s="1"/>
  <c r="S242" i="76" a="1"/>
  <c r="S242" i="76" s="1"/>
  <c r="S238" i="76" a="1"/>
  <c r="S238" i="76" s="1"/>
  <c r="S291" i="76" s="1" a="1"/>
  <c r="S291" i="76" s="1"/>
  <c r="S239" i="76" a="1"/>
  <c r="S239" i="76" s="1"/>
  <c r="S292" i="76" s="1" a="1"/>
  <c r="S292" i="76" s="1"/>
  <c r="S241" i="76" a="1"/>
  <c r="S241" i="76" s="1"/>
  <c r="S240" i="76" a="1"/>
  <c r="S240" i="76" s="1"/>
  <c r="S293" i="76" s="1" a="1"/>
  <c r="S293" i="76" s="1"/>
  <c r="R242" i="76" a="1"/>
  <c r="R242" i="76" s="1"/>
  <c r="R238" i="76" a="1"/>
  <c r="R238" i="76" s="1"/>
  <c r="R240" i="76" a="1"/>
  <c r="R240" i="76" s="1"/>
  <c r="R293" i="76" s="1" a="1"/>
  <c r="R293" i="76" s="1"/>
  <c r="R241" i="76" a="1"/>
  <c r="R241" i="76" s="1"/>
  <c r="R294" i="76" s="1" a="1"/>
  <c r="R294" i="76" s="1"/>
  <c r="R239" i="76" a="1"/>
  <c r="R239" i="76" s="1"/>
  <c r="R292" i="76" s="1" a="1"/>
  <c r="R292" i="76" s="1"/>
  <c r="F242" i="76" a="1"/>
  <c r="F242" i="76" s="1"/>
  <c r="F241" i="76" a="1"/>
  <c r="F241" i="76" s="1"/>
  <c r="F238" i="76" a="1"/>
  <c r="F238" i="76" s="1"/>
  <c r="F240" i="76" a="1"/>
  <c r="F240" i="76" s="1"/>
  <c r="F293" i="76" s="1" a="1"/>
  <c r="F293" i="76" s="1"/>
  <c r="F239" i="76" a="1"/>
  <c r="F239" i="76" s="1"/>
  <c r="F292" i="76" s="1" a="1"/>
  <c r="F292" i="76" s="1"/>
  <c r="I184" i="69" a="1"/>
  <c r="I184" i="69" s="1"/>
  <c r="G184" i="69" a="1"/>
  <c r="G184" i="69" s="1"/>
  <c r="Q264" i="76" a="1"/>
  <c r="Q264" i="76" s="1"/>
  <c r="R264" i="76" a="1"/>
  <c r="R264" i="76" s="1"/>
  <c r="H206" i="69" a="1"/>
  <c r="H206" i="69" s="1"/>
  <c r="F206" i="69" a="1"/>
  <c r="F206" i="69" s="1"/>
  <c r="I183" i="69" a="1"/>
  <c r="I183" i="69" s="1"/>
  <c r="G183" i="69" a="1"/>
  <c r="G183" i="69" s="1"/>
  <c r="E206" i="69" a="1"/>
  <c r="E206" i="69" s="1"/>
  <c r="P242" i="76" a="1"/>
  <c r="P242" i="76" s="1"/>
  <c r="P238" i="76" a="1"/>
  <c r="P238" i="76" s="1"/>
  <c r="P241" i="76" a="1"/>
  <c r="P241" i="76" s="1"/>
  <c r="P294" i="76" s="1" a="1"/>
  <c r="P294" i="76" s="1"/>
  <c r="P239" i="76" a="1"/>
  <c r="P239" i="76" s="1"/>
  <c r="P292" i="76" s="1" a="1"/>
  <c r="P292" i="76" s="1"/>
  <c r="P240" i="76" a="1"/>
  <c r="P240" i="76" s="1"/>
  <c r="P293" i="76" s="1" a="1"/>
  <c r="P293" i="76" s="1"/>
  <c r="I182" i="69" a="1"/>
  <c r="I182" i="69" s="1"/>
  <c r="G182" i="69" a="1"/>
  <c r="G182" i="69" s="1"/>
  <c r="G206" i="69" a="1"/>
  <c r="G206" i="69" s="1"/>
  <c r="Q242" i="76" a="1"/>
  <c r="Q242" i="76" s="1"/>
  <c r="Q240" i="76" a="1"/>
  <c r="Q240" i="76" s="1"/>
  <c r="Q293" i="76" s="1" a="1"/>
  <c r="Q293" i="76" s="1"/>
  <c r="Q238" i="76" a="1"/>
  <c r="Q238" i="76" s="1"/>
  <c r="Q291" i="76" s="1" a="1"/>
  <c r="Q291" i="76" s="1"/>
  <c r="Q241" i="76" a="1"/>
  <c r="Q241" i="76" s="1"/>
  <c r="Q294" i="76" s="1" a="1"/>
  <c r="Q294" i="76" s="1"/>
  <c r="Q239" i="76" a="1"/>
  <c r="Q239" i="76" s="1"/>
  <c r="Q292" i="76" s="1" a="1"/>
  <c r="Q292" i="76" s="1"/>
  <c r="I181" i="69" a="1"/>
  <c r="I181" i="69" s="1"/>
  <c r="G181" i="69" a="1"/>
  <c r="G181" i="69" s="1"/>
  <c r="S264" i="76" a="1"/>
  <c r="S264" i="76" s="1"/>
  <c r="G239" i="76" a="1"/>
  <c r="G239" i="76" s="1"/>
  <c r="G292" i="76" s="1" a="1"/>
  <c r="G292" i="76" s="1"/>
  <c r="G238" i="76" a="1"/>
  <c r="G238" i="76" s="1"/>
  <c r="G242" i="76" a="1"/>
  <c r="G242" i="76" s="1"/>
  <c r="G241" i="76" a="1"/>
  <c r="G241" i="76" s="1"/>
  <c r="G240" i="76" a="1"/>
  <c r="G240" i="76" s="1"/>
  <c r="F175" i="69" a="1"/>
  <c r="F175" i="69" s="1"/>
  <c r="F177" i="69" a="1"/>
  <c r="F177" i="69" s="1"/>
  <c r="F176" i="69" a="1"/>
  <c r="F176" i="69" s="1"/>
  <c r="F172" i="69" a="1"/>
  <c r="F172" i="69" s="1"/>
  <c r="F174" i="69" a="1"/>
  <c r="F174" i="69" s="1"/>
  <c r="F173" i="69" a="1"/>
  <c r="F173" i="69" s="1"/>
  <c r="G167" i="69" a="1"/>
  <c r="G167" i="69" s="1"/>
  <c r="G165" i="69" a="1"/>
  <c r="G165" i="69" s="1"/>
  <c r="G166" i="69" a="1"/>
  <c r="G166" i="69" s="1"/>
  <c r="F180" i="69" a="1"/>
  <c r="F180" i="69" s="1"/>
  <c r="F178" i="69" a="1"/>
  <c r="F178" i="69" s="1"/>
  <c r="F179" i="69" a="1"/>
  <c r="F179" i="69" s="1"/>
  <c r="I165" i="69" a="1"/>
  <c r="I165" i="69" s="1"/>
  <c r="I167" i="69" a="1"/>
  <c r="I167" i="69" s="1"/>
  <c r="I166" i="69" a="1"/>
  <c r="I166" i="69" s="1"/>
  <c r="G177" i="69" a="1"/>
  <c r="G177" i="69" s="1"/>
  <c r="G176" i="69" a="1"/>
  <c r="G176" i="69" s="1"/>
  <c r="G175" i="69" a="1"/>
  <c r="G175" i="69" s="1"/>
  <c r="H180" i="69" a="1"/>
  <c r="H180" i="69" s="1"/>
  <c r="H179" i="69" a="1"/>
  <c r="H179" i="69" s="1"/>
  <c r="H178" i="69" a="1"/>
  <c r="H178" i="69" s="1"/>
  <c r="H171" i="69" a="1"/>
  <c r="H171" i="69" s="1"/>
  <c r="H170" i="69" a="1"/>
  <c r="H170" i="69" s="1"/>
  <c r="H169" i="69" a="1"/>
  <c r="H169" i="69" s="1"/>
  <c r="H168" i="69" a="1"/>
  <c r="H168" i="69" s="1"/>
  <c r="H166" i="69" a="1"/>
  <c r="H166" i="69" s="1"/>
  <c r="H165" i="69" a="1"/>
  <c r="H165" i="69" s="1"/>
  <c r="H167" i="69" a="1"/>
  <c r="H167" i="69" s="1"/>
  <c r="G180" i="69" a="1"/>
  <c r="G180" i="69" s="1"/>
  <c r="G179" i="69" a="1"/>
  <c r="G179" i="69" s="1"/>
  <c r="G178" i="69" a="1"/>
  <c r="G178" i="69" s="1"/>
  <c r="I171" i="69" a="1"/>
  <c r="I171" i="69" s="1"/>
  <c r="I170" i="69" a="1"/>
  <c r="I170" i="69" s="1"/>
  <c r="I169" i="69" a="1"/>
  <c r="I169" i="69" s="1"/>
  <c r="I168" i="69" a="1"/>
  <c r="I168" i="69" s="1"/>
  <c r="I172" i="69" a="1"/>
  <c r="I172" i="69" s="1"/>
  <c r="I174" i="69" a="1"/>
  <c r="I174" i="69" s="1"/>
  <c r="I173" i="69" a="1"/>
  <c r="I173" i="69" s="1"/>
  <c r="I177" i="69" a="1"/>
  <c r="I177" i="69" s="1"/>
  <c r="I175" i="69" a="1"/>
  <c r="I175" i="69" s="1"/>
  <c r="I176" i="69" a="1"/>
  <c r="I176" i="69" s="1"/>
  <c r="F168" i="69" a="1"/>
  <c r="F168" i="69" s="1"/>
  <c r="F171" i="69" a="1"/>
  <c r="F171" i="69" s="1"/>
  <c r="F170" i="69" a="1"/>
  <c r="F170" i="69" s="1"/>
  <c r="F169" i="69" a="1"/>
  <c r="F169" i="69" s="1"/>
  <c r="I179" i="69" a="1"/>
  <c r="I179" i="69" s="1"/>
  <c r="I178" i="69" a="1"/>
  <c r="I178" i="69" s="1"/>
  <c r="I180" i="69" a="1"/>
  <c r="I180" i="69" s="1"/>
  <c r="H177" i="69" a="1"/>
  <c r="H177" i="69" s="1"/>
  <c r="H176" i="69" a="1"/>
  <c r="H176" i="69" s="1"/>
  <c r="H175" i="69" a="1"/>
  <c r="H175" i="69" s="1"/>
  <c r="G171" i="69" a="1"/>
  <c r="G171" i="69" s="1"/>
  <c r="G170" i="69" a="1"/>
  <c r="G170" i="69" s="1"/>
  <c r="G169" i="69" a="1"/>
  <c r="G169" i="69" s="1"/>
  <c r="G168" i="69" a="1"/>
  <c r="G168" i="69" s="1"/>
  <c r="G174" i="69" a="1"/>
  <c r="G174" i="69" s="1"/>
  <c r="G173" i="69" a="1"/>
  <c r="G173" i="69" s="1"/>
  <c r="G172" i="69" a="1"/>
  <c r="G172" i="69" s="1"/>
  <c r="F167" i="69" a="1"/>
  <c r="F167" i="69" s="1"/>
  <c r="F165" i="69" a="1"/>
  <c r="F165" i="69" s="1"/>
  <c r="F166" i="69" a="1"/>
  <c r="F166" i="69" s="1"/>
  <c r="H173" i="69" a="1"/>
  <c r="H173" i="69" s="1"/>
  <c r="H172" i="69" a="1"/>
  <c r="H172" i="69" s="1"/>
  <c r="H174" i="69" a="1"/>
  <c r="H174" i="69" s="1"/>
  <c r="I73" i="97" a="1"/>
  <c r="I73" i="97" s="1"/>
  <c r="R73" i="97" a="1"/>
  <c r="R73" i="97" s="1"/>
  <c r="G73" i="97" a="1"/>
  <c r="G73" i="97" s="1"/>
  <c r="P73" i="97" a="1"/>
  <c r="P73" i="97" s="1"/>
  <c r="F73" i="97" a="1"/>
  <c r="F73" i="97" s="1"/>
  <c r="H73" i="97" a="1"/>
  <c r="H73" i="97" s="1"/>
  <c r="Q73" i="97" a="1"/>
  <c r="Q73" i="97" s="1"/>
  <c r="S73" i="97" a="1"/>
  <c r="S73" i="97" s="1"/>
  <c r="G164" i="76" a="1"/>
  <c r="G164" i="76" s="1"/>
  <c r="H220" i="76" s="1" a="1"/>
  <c r="H220" i="76" s="1"/>
  <c r="G231" i="76" a="1"/>
  <c r="G231" i="76" s="1"/>
  <c r="G284" i="76" s="1" a="1"/>
  <c r="G284" i="76" s="1"/>
  <c r="G232" i="76" a="1"/>
  <c r="G232" i="76" s="1"/>
  <c r="G285" i="76" s="1" a="1"/>
  <c r="G285" i="76" s="1"/>
  <c r="G230" i="76" a="1"/>
  <c r="G230" i="76" s="1"/>
  <c r="G283" i="76" s="1" a="1"/>
  <c r="G283" i="76" s="1"/>
  <c r="H164" i="76" a="1"/>
  <c r="H164" i="76" s="1"/>
  <c r="I220" i="76" s="1" a="1"/>
  <c r="I220" i="76" s="1"/>
  <c r="I234" i="76" a="1"/>
  <c r="I234" i="76" s="1"/>
  <c r="I287" i="76" s="1" a="1"/>
  <c r="I287" i="76" s="1"/>
  <c r="I236" i="76" a="1"/>
  <c r="I236" i="76" s="1"/>
  <c r="I289" i="76" s="1" a="1"/>
  <c r="I289" i="76" s="1"/>
  <c r="I235" i="76" a="1"/>
  <c r="I235" i="76" s="1"/>
  <c r="I288" i="76" s="1" a="1"/>
  <c r="I288" i="76" s="1"/>
  <c r="Q234" i="76" a="1"/>
  <c r="Q234" i="76" s="1"/>
  <c r="Q287" i="76" s="1" a="1"/>
  <c r="Q287" i="76" s="1"/>
  <c r="Q235" i="76" a="1"/>
  <c r="Q235" i="76" s="1"/>
  <c r="Q288" i="76" s="1" a="1"/>
  <c r="Q288" i="76" s="1"/>
  <c r="Q236" i="76" a="1"/>
  <c r="Q236" i="76" s="1"/>
  <c r="Q289" i="76" s="1" a="1"/>
  <c r="Q289" i="76" s="1"/>
  <c r="R235" i="76" a="1"/>
  <c r="R235" i="76" s="1"/>
  <c r="R288" i="76" s="1" a="1"/>
  <c r="R288" i="76" s="1"/>
  <c r="R236" i="76" a="1"/>
  <c r="R236" i="76" s="1"/>
  <c r="R289" i="76" s="1" a="1"/>
  <c r="R289" i="76" s="1"/>
  <c r="R234" i="76" a="1"/>
  <c r="R234" i="76" s="1"/>
  <c r="R287" i="76" s="1" a="1"/>
  <c r="R287" i="76" s="1"/>
  <c r="R232" i="76" a="1"/>
  <c r="R232" i="76" s="1"/>
  <c r="R285" i="76" s="1" a="1"/>
  <c r="R285" i="76" s="1"/>
  <c r="R231" i="76" a="1"/>
  <c r="R231" i="76" s="1"/>
  <c r="R284" i="76" s="1" a="1"/>
  <c r="R284" i="76" s="1"/>
  <c r="R230" i="76" a="1"/>
  <c r="R230" i="76" s="1"/>
  <c r="R283" i="76" s="1" a="1"/>
  <c r="R283" i="76" s="1"/>
  <c r="Q164" i="76" a="1"/>
  <c r="Q164" i="76" s="1"/>
  <c r="R220" i="76" s="1" a="1"/>
  <c r="R220" i="76" s="1"/>
  <c r="S226" i="76" a="1"/>
  <c r="S226" i="76" s="1"/>
  <c r="S279" i="76" s="1" a="1"/>
  <c r="S279" i="76" s="1"/>
  <c r="S227" i="76" a="1"/>
  <c r="S227" i="76" s="1"/>
  <c r="S280" i="76" s="1" a="1"/>
  <c r="S280" i="76" s="1"/>
  <c r="S228" i="76" a="1"/>
  <c r="S228" i="76" s="1"/>
  <c r="S281" i="76" s="1" a="1"/>
  <c r="S281" i="76" s="1"/>
  <c r="H226" i="76" a="1"/>
  <c r="H226" i="76" s="1"/>
  <c r="H279" i="76" s="1" a="1"/>
  <c r="H279" i="76" s="1"/>
  <c r="H227" i="76" a="1"/>
  <c r="H227" i="76" s="1"/>
  <c r="H280" i="76" s="1" a="1"/>
  <c r="H280" i="76" s="1"/>
  <c r="H228" i="76" a="1"/>
  <c r="H228" i="76" s="1"/>
  <c r="H281" i="76" s="1" a="1"/>
  <c r="H281" i="76" s="1"/>
  <c r="P235" i="76" a="1"/>
  <c r="P235" i="76" s="1"/>
  <c r="P288" i="76" s="1" a="1"/>
  <c r="P288" i="76" s="1"/>
  <c r="P234" i="76" a="1"/>
  <c r="P234" i="76" s="1"/>
  <c r="P287" i="76" s="1" a="1"/>
  <c r="P287" i="76" s="1"/>
  <c r="P236" i="76" a="1"/>
  <c r="P236" i="76" s="1"/>
  <c r="P289" i="76" s="1" a="1"/>
  <c r="P289" i="76" s="1"/>
  <c r="Q218" i="76" a="1"/>
  <c r="Q218" i="76" s="1"/>
  <c r="Q271" i="76" s="1" a="1"/>
  <c r="Q271" i="76" s="1"/>
  <c r="Q217" i="76" a="1"/>
  <c r="Q217" i="76" s="1"/>
  <c r="Q270" i="76" s="1" a="1"/>
  <c r="Q270" i="76" s="1"/>
  <c r="Q219" i="76" a="1"/>
  <c r="Q219" i="76" s="1"/>
  <c r="Q272" i="76" s="1" a="1"/>
  <c r="Q272" i="76" s="1"/>
  <c r="I231" i="76" a="1"/>
  <c r="I231" i="76" s="1"/>
  <c r="I284" i="76" s="1" a="1"/>
  <c r="I284" i="76" s="1"/>
  <c r="I230" i="76" a="1"/>
  <c r="I230" i="76" s="1"/>
  <c r="I283" i="76" s="1" a="1"/>
  <c r="I283" i="76" s="1"/>
  <c r="I232" i="76" a="1"/>
  <c r="I232" i="76" s="1"/>
  <c r="I285" i="76" s="1" a="1"/>
  <c r="I285" i="76" s="1"/>
  <c r="F164" i="76" a="1"/>
  <c r="F164" i="76" s="1"/>
  <c r="G220" i="76" s="1" a="1"/>
  <c r="G220" i="76" s="1"/>
  <c r="I222" i="76" a="1"/>
  <c r="I222" i="76" s="1"/>
  <c r="I275" i="76" s="1" a="1"/>
  <c r="I275" i="76" s="1"/>
  <c r="I221" i="76" a="1"/>
  <c r="I221" i="76" s="1"/>
  <c r="I274" i="76" s="1" a="1"/>
  <c r="I274" i="76" s="1"/>
  <c r="I224" i="76" a="1"/>
  <c r="I224" i="76" s="1"/>
  <c r="I277" i="76" s="1" a="1"/>
  <c r="I277" i="76" s="1"/>
  <c r="I223" i="76" a="1"/>
  <c r="I223" i="76" s="1"/>
  <c r="I276" i="76" s="1" a="1"/>
  <c r="I276" i="76" s="1"/>
  <c r="Q228" i="76" a="1"/>
  <c r="Q228" i="76" s="1"/>
  <c r="Q281" i="76" s="1" a="1"/>
  <c r="Q281" i="76" s="1"/>
  <c r="Q227" i="76" a="1"/>
  <c r="Q227" i="76" s="1"/>
  <c r="Q280" i="76" s="1" a="1"/>
  <c r="Q280" i="76" s="1"/>
  <c r="Q226" i="76" a="1"/>
  <c r="Q226" i="76" s="1"/>
  <c r="Q279" i="76" s="1" a="1"/>
  <c r="Q279" i="76" s="1"/>
  <c r="S234" i="76" a="1"/>
  <c r="S234" i="76" s="1"/>
  <c r="S287" i="76" s="1" a="1"/>
  <c r="S287" i="76" s="1"/>
  <c r="S236" i="76" a="1"/>
  <c r="S236" i="76" s="1"/>
  <c r="S289" i="76" s="1" a="1"/>
  <c r="S289" i="76" s="1"/>
  <c r="S235" i="76" a="1"/>
  <c r="S235" i="76" s="1"/>
  <c r="S288" i="76" s="1" a="1"/>
  <c r="S288" i="76" s="1"/>
  <c r="F231" i="76" a="1"/>
  <c r="F231" i="76" s="1"/>
  <c r="F284" i="76" s="1" a="1"/>
  <c r="F284" i="76" s="1"/>
  <c r="F230" i="76" a="1"/>
  <c r="F230" i="76" s="1"/>
  <c r="F283" i="76" s="1" a="1"/>
  <c r="F283" i="76" s="1"/>
  <c r="F232" i="76" a="1"/>
  <c r="F232" i="76" s="1"/>
  <c r="F285" i="76" s="1" a="1"/>
  <c r="F285" i="76" s="1"/>
  <c r="R164" i="76" a="1"/>
  <c r="R164" i="76" s="1"/>
  <c r="S220" i="76" s="1" a="1"/>
  <c r="S220" i="76" s="1"/>
  <c r="S221" i="76" a="1"/>
  <c r="S221" i="76" s="1"/>
  <c r="S274" i="76" s="1" a="1"/>
  <c r="S274" i="76" s="1"/>
  <c r="S222" i="76" a="1"/>
  <c r="S222" i="76" s="1"/>
  <c r="S275" i="76" s="1" a="1"/>
  <c r="S275" i="76" s="1"/>
  <c r="S223" i="76" a="1"/>
  <c r="S223" i="76" s="1"/>
  <c r="S276" i="76" s="1" a="1"/>
  <c r="S276" i="76" s="1"/>
  <c r="S224" i="76" a="1"/>
  <c r="S224" i="76" s="1"/>
  <c r="S277" i="76" s="1" a="1"/>
  <c r="S277" i="76" s="1"/>
  <c r="Q232" i="76" a="1"/>
  <c r="Q232" i="76" s="1"/>
  <c r="Q285" i="76" s="1" a="1"/>
  <c r="Q285" i="76" s="1"/>
  <c r="Q230" i="76" a="1"/>
  <c r="Q230" i="76" s="1"/>
  <c r="Q283" i="76" s="1" a="1"/>
  <c r="Q283" i="76" s="1"/>
  <c r="Q231" i="76" a="1"/>
  <c r="Q231" i="76" s="1"/>
  <c r="Q284" i="76" s="1" a="1"/>
  <c r="Q284" i="76" s="1"/>
  <c r="O164" i="76" a="1"/>
  <c r="O164" i="76" s="1"/>
  <c r="P220" i="76" s="1" a="1"/>
  <c r="P220" i="76" s="1"/>
  <c r="R226" i="76" a="1"/>
  <c r="R226" i="76" s="1"/>
  <c r="R279" i="76" s="1" a="1"/>
  <c r="R279" i="76" s="1"/>
  <c r="R227" i="76" a="1"/>
  <c r="R227" i="76" s="1"/>
  <c r="R280" i="76" s="1" a="1"/>
  <c r="R280" i="76" s="1"/>
  <c r="R228" i="76" a="1"/>
  <c r="R228" i="76" s="1"/>
  <c r="R281" i="76" s="1" a="1"/>
  <c r="R281" i="76" s="1"/>
  <c r="S230" i="76" a="1"/>
  <c r="S230" i="76" s="1"/>
  <c r="S283" i="76" s="1" a="1"/>
  <c r="S283" i="76" s="1"/>
  <c r="S232" i="76" a="1"/>
  <c r="S232" i="76" s="1"/>
  <c r="S285" i="76" s="1" a="1"/>
  <c r="S285" i="76" s="1"/>
  <c r="S231" i="76" a="1"/>
  <c r="S231" i="76" s="1"/>
  <c r="S284" i="76" s="1" a="1"/>
  <c r="S284" i="76" s="1"/>
  <c r="P223" i="76" a="1"/>
  <c r="P223" i="76" s="1"/>
  <c r="P276" i="76" s="1" a="1"/>
  <c r="P276" i="76" s="1"/>
  <c r="P221" i="76" a="1"/>
  <c r="P221" i="76" s="1"/>
  <c r="P274" i="76" s="1" a="1"/>
  <c r="P274" i="76" s="1"/>
  <c r="P222" i="76" a="1"/>
  <c r="P222" i="76" s="1"/>
  <c r="P275" i="76" s="1" a="1"/>
  <c r="P275" i="76" s="1"/>
  <c r="P224" i="76" a="1"/>
  <c r="P224" i="76" s="1"/>
  <c r="P277" i="76" s="1" a="1"/>
  <c r="P277" i="76" s="1"/>
  <c r="G228" i="76" a="1"/>
  <c r="G228" i="76" s="1"/>
  <c r="G281" i="76" s="1" a="1"/>
  <c r="G281" i="76" s="1"/>
  <c r="G226" i="76" a="1"/>
  <c r="G226" i="76" s="1"/>
  <c r="G279" i="76" s="1" a="1"/>
  <c r="G279" i="76" s="1"/>
  <c r="G227" i="76" a="1"/>
  <c r="G227" i="76" s="1"/>
  <c r="G280" i="76" s="1" a="1"/>
  <c r="G280" i="76" s="1"/>
  <c r="G224" i="76" a="1"/>
  <c r="G224" i="76" s="1"/>
  <c r="G277" i="76" s="1" a="1"/>
  <c r="G277" i="76" s="1"/>
  <c r="G221" i="76" a="1"/>
  <c r="G221" i="76" s="1"/>
  <c r="G274" i="76" s="1" a="1"/>
  <c r="G274" i="76" s="1"/>
  <c r="G223" i="76" a="1"/>
  <c r="G223" i="76" s="1"/>
  <c r="G276" i="76" s="1" a="1"/>
  <c r="G276" i="76" s="1"/>
  <c r="G222" i="76" a="1"/>
  <c r="G222" i="76" s="1"/>
  <c r="G275" i="76" s="1" a="1"/>
  <c r="G275" i="76" s="1"/>
  <c r="P231" i="76" a="1"/>
  <c r="P231" i="76" s="1"/>
  <c r="P284" i="76" s="1" a="1"/>
  <c r="P284" i="76" s="1"/>
  <c r="P232" i="76" a="1"/>
  <c r="P232" i="76" s="1"/>
  <c r="P285" i="76" s="1" a="1"/>
  <c r="P285" i="76" s="1"/>
  <c r="P230" i="76" a="1"/>
  <c r="P230" i="76" s="1"/>
  <c r="P283" i="76" s="1" a="1"/>
  <c r="P283" i="76" s="1"/>
  <c r="G234" i="76" a="1"/>
  <c r="G234" i="76" s="1"/>
  <c r="G287" i="76" s="1" a="1"/>
  <c r="G287" i="76" s="1"/>
  <c r="G236" i="76" a="1"/>
  <c r="G236" i="76" s="1"/>
  <c r="G289" i="76" s="1" a="1"/>
  <c r="G289" i="76" s="1"/>
  <c r="G235" i="76" a="1"/>
  <c r="G235" i="76" s="1"/>
  <c r="G288" i="76" s="1" a="1"/>
  <c r="G288" i="76" s="1"/>
  <c r="I226" i="76" a="1"/>
  <c r="I226" i="76" s="1"/>
  <c r="I279" i="76" s="1" a="1"/>
  <c r="I279" i="76" s="1"/>
  <c r="I228" i="76" a="1"/>
  <c r="I228" i="76" s="1"/>
  <c r="I281" i="76" s="1" a="1"/>
  <c r="I281" i="76" s="1"/>
  <c r="I227" i="76" a="1"/>
  <c r="I227" i="76" s="1"/>
  <c r="I280" i="76" s="1" a="1"/>
  <c r="I280" i="76" s="1"/>
  <c r="R222" i="76" a="1"/>
  <c r="R222" i="76" s="1"/>
  <c r="R275" i="76" s="1" a="1"/>
  <c r="R275" i="76" s="1"/>
  <c r="R224" i="76" a="1"/>
  <c r="R224" i="76" s="1"/>
  <c r="R277" i="76" s="1" a="1"/>
  <c r="R277" i="76" s="1"/>
  <c r="R221" i="76" a="1"/>
  <c r="R221" i="76" s="1"/>
  <c r="R274" i="76" s="1" a="1"/>
  <c r="R274" i="76" s="1"/>
  <c r="R223" i="76" a="1"/>
  <c r="R223" i="76" s="1"/>
  <c r="R276" i="76" s="1" a="1"/>
  <c r="R276" i="76" s="1"/>
  <c r="H230" i="76" a="1"/>
  <c r="H230" i="76" s="1"/>
  <c r="H283" i="76" s="1" a="1"/>
  <c r="H283" i="76" s="1"/>
  <c r="H231" i="76" a="1"/>
  <c r="H231" i="76" s="1"/>
  <c r="H284" i="76" s="1" a="1"/>
  <c r="H284" i="76" s="1"/>
  <c r="H232" i="76" a="1"/>
  <c r="H232" i="76" s="1"/>
  <c r="H285" i="76" s="1" a="1"/>
  <c r="H285" i="76" s="1"/>
  <c r="F227" i="76" a="1"/>
  <c r="F227" i="76" s="1"/>
  <c r="F280" i="76" s="1" a="1"/>
  <c r="F280" i="76" s="1"/>
  <c r="F228" i="76" a="1"/>
  <c r="F228" i="76" s="1"/>
  <c r="F281" i="76" s="1" a="1"/>
  <c r="F281" i="76" s="1"/>
  <c r="F226" i="76" a="1"/>
  <c r="F226" i="76" s="1"/>
  <c r="F279" i="76" s="1" a="1"/>
  <c r="F279" i="76" s="1"/>
  <c r="P226" i="76" a="1"/>
  <c r="P226" i="76" s="1"/>
  <c r="P279" i="76" s="1" a="1"/>
  <c r="P279" i="76" s="1"/>
  <c r="P228" i="76" a="1"/>
  <c r="P228" i="76" s="1"/>
  <c r="P281" i="76" s="1" a="1"/>
  <c r="P281" i="76" s="1"/>
  <c r="P227" i="76" a="1"/>
  <c r="P227" i="76" s="1"/>
  <c r="P280" i="76" s="1" a="1"/>
  <c r="P280" i="76" s="1"/>
  <c r="H223" i="76" a="1"/>
  <c r="H223" i="76" s="1"/>
  <c r="H276" i="76" s="1" a="1"/>
  <c r="H276" i="76" s="1"/>
  <c r="H222" i="76" a="1"/>
  <c r="H222" i="76" s="1"/>
  <c r="H275" i="76" s="1" a="1"/>
  <c r="H275" i="76" s="1"/>
  <c r="H224" i="76" a="1"/>
  <c r="H224" i="76" s="1"/>
  <c r="H277" i="76" s="1" a="1"/>
  <c r="H277" i="76" s="1"/>
  <c r="H221" i="76" a="1"/>
  <c r="H221" i="76" s="1"/>
  <c r="H274" i="76" s="1" a="1"/>
  <c r="H274" i="76" s="1"/>
  <c r="Q222" i="76" a="1"/>
  <c r="Q222" i="76" s="1"/>
  <c r="Q275" i="76" s="1" a="1"/>
  <c r="Q275" i="76" s="1"/>
  <c r="Q224" i="76" a="1"/>
  <c r="Q224" i="76" s="1"/>
  <c r="Q277" i="76" s="1" a="1"/>
  <c r="Q277" i="76" s="1"/>
  <c r="Q221" i="76" a="1"/>
  <c r="Q221" i="76" s="1"/>
  <c r="Q274" i="76" s="1" a="1"/>
  <c r="Q274" i="76" s="1"/>
  <c r="Q223" i="76" a="1"/>
  <c r="Q223" i="76" s="1"/>
  <c r="Q276" i="76" s="1" a="1"/>
  <c r="Q276" i="76" s="1"/>
  <c r="F234" i="76" a="1"/>
  <c r="F234" i="76" s="1"/>
  <c r="F287" i="76" s="1" a="1"/>
  <c r="F287" i="76" s="1"/>
  <c r="F236" i="76" a="1"/>
  <c r="F236" i="76" s="1"/>
  <c r="F289" i="76" s="1" a="1"/>
  <c r="F289" i="76" s="1"/>
  <c r="F235" i="76" a="1"/>
  <c r="F235" i="76" s="1"/>
  <c r="F288" i="76" s="1" a="1"/>
  <c r="F288" i="76" s="1"/>
  <c r="F223" i="76" a="1"/>
  <c r="F223" i="76" s="1"/>
  <c r="F276" i="76" s="1" a="1"/>
  <c r="F276" i="76" s="1"/>
  <c r="F224" i="76" a="1"/>
  <c r="F224" i="76" s="1"/>
  <c r="F277" i="76" s="1" a="1"/>
  <c r="F277" i="76" s="1"/>
  <c r="F222" i="76" a="1"/>
  <c r="F222" i="76" s="1"/>
  <c r="F275" i="76" s="1" a="1"/>
  <c r="F275" i="76" s="1"/>
  <c r="F221" i="76" a="1"/>
  <c r="F221" i="76" s="1"/>
  <c r="F274" i="76" s="1" a="1"/>
  <c r="F274" i="76" s="1"/>
  <c r="H236" i="76" a="1"/>
  <c r="H236" i="76" s="1"/>
  <c r="H289" i="76" s="1" a="1"/>
  <c r="H289" i="76" s="1"/>
  <c r="H235" i="76" a="1"/>
  <c r="H235" i="76" s="1"/>
  <c r="H288" i="76" s="1" a="1"/>
  <c r="H288" i="76" s="1"/>
  <c r="H234" i="76" a="1"/>
  <c r="H234" i="76" s="1"/>
  <c r="H287" i="76" s="1" a="1"/>
  <c r="H287" i="76" s="1"/>
  <c r="E164" i="76" a="1"/>
  <c r="E164" i="76" s="1"/>
  <c r="F220" i="76" s="1" a="1"/>
  <c r="F220" i="76" s="1"/>
  <c r="F181" i="69" l="1" a="1"/>
  <c r="F181" i="69" s="1"/>
  <c r="F183" i="69" a="1"/>
  <c r="F183" i="69" s="1"/>
  <c r="F182" i="69" a="1"/>
  <c r="F182" i="69" s="1"/>
  <c r="Q183" i="69" a="1"/>
  <c r="Q183" i="69" s="1"/>
  <c r="Q184" i="69" a="1"/>
  <c r="Q184" i="69" s="1"/>
  <c r="R182" i="69" a="1"/>
  <c r="R182" i="69" s="1"/>
  <c r="Q182" i="69" a="1"/>
  <c r="Q182" i="69" s="1"/>
  <c r="R183" i="69" a="1"/>
  <c r="R183" i="69" s="1"/>
  <c r="R181" i="69" a="1"/>
  <c r="R181" i="69" s="1"/>
  <c r="H182" i="69" a="1"/>
  <c r="H182" i="69" s="1"/>
  <c r="H181" i="69" a="1"/>
  <c r="H181" i="69" s="1"/>
  <c r="H184" i="69" a="1"/>
  <c r="H184" i="69" s="1"/>
  <c r="H38" i="105"/>
  <c r="H267" i="105" s="1" a="1"/>
  <c r="H267" i="105" s="1"/>
  <c r="Q25" i="105"/>
  <c r="Q137" i="105" s="1" a="1"/>
  <c r="Q137" i="105" s="1"/>
  <c r="S42" i="105"/>
  <c r="S202" i="105" s="1" a="1"/>
  <c r="S202" i="105" s="1"/>
  <c r="Q52" i="97"/>
  <c r="G52" i="97"/>
  <c r="P48" i="97"/>
  <c r="R52" i="97"/>
  <c r="G38" i="105"/>
  <c r="G198" i="105" s="1" a="1"/>
  <c r="G198" i="105" s="1"/>
  <c r="G34" i="105"/>
  <c r="G194" i="105" s="1" a="1"/>
  <c r="G194" i="105" s="1"/>
  <c r="I48" i="97"/>
  <c r="R38" i="105"/>
  <c r="R150" i="105" s="1" a="1"/>
  <c r="R150" i="105" s="1"/>
  <c r="F34" i="105"/>
  <c r="F263" i="105" s="1" a="1"/>
  <c r="F263" i="105" s="1"/>
  <c r="H44" i="97"/>
  <c r="F38" i="105"/>
  <c r="F150" i="105" s="1" a="1"/>
  <c r="F150" i="105" s="1"/>
  <c r="Q30" i="105"/>
  <c r="Q259" i="105" s="1" a="1"/>
  <c r="Q259" i="105" s="1"/>
  <c r="S40" i="97"/>
  <c r="Q48" i="97"/>
  <c r="I34" i="105"/>
  <c r="I263" i="105" s="1" a="1"/>
  <c r="I263" i="105" s="1"/>
  <c r="S48" i="97"/>
  <c r="P44" i="97"/>
  <c r="F30" i="105"/>
  <c r="F259" i="105" s="1" a="1"/>
  <c r="F259" i="105" s="1"/>
  <c r="I52" i="97"/>
  <c r="H52" i="97"/>
  <c r="G30" i="105"/>
  <c r="G142" i="105" s="1" a="1"/>
  <c r="G142" i="105" s="1"/>
  <c r="R34" i="105"/>
  <c r="R146" i="105" s="1" a="1"/>
  <c r="R146" i="105" s="1"/>
  <c r="P40" i="97"/>
  <c r="P42" i="105"/>
  <c r="P271" i="105" s="1" a="1"/>
  <c r="P271" i="105" s="1"/>
  <c r="Q44" i="97"/>
  <c r="F42" i="105"/>
  <c r="F154" i="105" s="1" a="1"/>
  <c r="F154" i="105" s="1"/>
  <c r="I40" i="97"/>
  <c r="H40" i="97"/>
  <c r="R30" i="105"/>
  <c r="R259" i="105" s="1" a="1"/>
  <c r="R259" i="105" s="1"/>
  <c r="S34" i="105"/>
  <c r="S146" i="105" s="1" a="1"/>
  <c r="S146" i="105" s="1"/>
  <c r="P35" i="97"/>
  <c r="P25" i="105"/>
  <c r="G154" i="105" a="1"/>
  <c r="G154" i="105" s="1"/>
  <c r="G271" i="105" a="1"/>
  <c r="G271" i="105" s="1"/>
  <c r="G202" i="105" a="1"/>
  <c r="G202" i="105" s="1"/>
  <c r="Q45" i="105"/>
  <c r="Q55" i="97"/>
  <c r="Q102" i="97" s="1" a="1"/>
  <c r="Q102" i="97" s="1"/>
  <c r="P43" i="105"/>
  <c r="P53" i="97"/>
  <c r="P100" i="97" s="1" a="1"/>
  <c r="P100" i="97" s="1"/>
  <c r="H271" i="105" a="1"/>
  <c r="H271" i="105" s="1"/>
  <c r="H154" i="105" a="1"/>
  <c r="H154" i="105" s="1"/>
  <c r="H202" i="105" a="1"/>
  <c r="H202" i="105" s="1"/>
  <c r="F43" i="105"/>
  <c r="F53" i="97"/>
  <c r="F100" i="97" s="1" a="1"/>
  <c r="F100" i="97" s="1"/>
  <c r="R43" i="105"/>
  <c r="R53" i="97"/>
  <c r="R100" i="97" s="1" a="1"/>
  <c r="R100" i="97" s="1"/>
  <c r="I57" i="97"/>
  <c r="I47" i="105"/>
  <c r="Q47" i="105"/>
  <c r="Q57" i="97"/>
  <c r="P57" i="97"/>
  <c r="P47" i="105"/>
  <c r="P198" i="105" a="1"/>
  <c r="P198" i="105" s="1"/>
  <c r="P267" i="105" a="1"/>
  <c r="P267" i="105" s="1"/>
  <c r="P150" i="105" a="1"/>
  <c r="P150" i="105" s="1"/>
  <c r="F46" i="105"/>
  <c r="F56" i="97"/>
  <c r="F103" i="97" s="1" a="1"/>
  <c r="F103" i="97" s="1"/>
  <c r="R47" i="105"/>
  <c r="R57" i="97"/>
  <c r="H142" i="105" a="1"/>
  <c r="H142" i="105" s="1"/>
  <c r="H190" i="105" a="1"/>
  <c r="H190" i="105" s="1"/>
  <c r="H259" i="105" a="1"/>
  <c r="H259" i="105" s="1"/>
  <c r="S259" i="105" a="1"/>
  <c r="S259" i="105" s="1"/>
  <c r="S142" i="105" a="1"/>
  <c r="S142" i="105" s="1"/>
  <c r="S190" i="105" a="1"/>
  <c r="S190" i="105" s="1"/>
  <c r="R291" i="76" a="1"/>
  <c r="R291" i="76" s="1"/>
  <c r="F47" i="105"/>
  <c r="F57" i="97"/>
  <c r="S45" i="105"/>
  <c r="S55" i="97"/>
  <c r="S102" i="97" s="1" a="1"/>
  <c r="S102" i="97" s="1"/>
  <c r="P146" i="105" a="1"/>
  <c r="P146" i="105" s="1"/>
  <c r="P263" i="105" a="1"/>
  <c r="P263" i="105" s="1"/>
  <c r="P194" i="105" a="1"/>
  <c r="P194" i="105" s="1"/>
  <c r="G45" i="105"/>
  <c r="G55" i="97"/>
  <c r="G102" i="97" s="1" a="1"/>
  <c r="G102" i="97" s="1"/>
  <c r="R271" i="105" a="1"/>
  <c r="R271" i="105" s="1"/>
  <c r="R154" i="105" a="1"/>
  <c r="R154" i="105" s="1"/>
  <c r="R202" i="105" a="1"/>
  <c r="R202" i="105" s="1"/>
  <c r="S46" i="105"/>
  <c r="S56" i="97"/>
  <c r="S103" i="97" s="1" a="1"/>
  <c r="S103" i="97" s="1"/>
  <c r="G46" i="105"/>
  <c r="G56" i="97"/>
  <c r="G103" i="97" s="1" a="1"/>
  <c r="G103" i="97" s="1"/>
  <c r="S44" i="105"/>
  <c r="S54" i="97"/>
  <c r="S101" i="97" s="1" a="1"/>
  <c r="S101" i="97" s="1"/>
  <c r="G47" i="105"/>
  <c r="G57" i="97"/>
  <c r="S43" i="105"/>
  <c r="S53" i="97"/>
  <c r="S100" i="97" s="1" a="1"/>
  <c r="S100" i="97" s="1"/>
  <c r="S57" i="97"/>
  <c r="S47" i="105"/>
  <c r="S294" i="76" a="1"/>
  <c r="S294" i="76" s="1"/>
  <c r="G44" i="105"/>
  <c r="G54" i="97"/>
  <c r="G101" i="97" s="1" a="1"/>
  <c r="G101" i="97" s="1"/>
  <c r="G293" i="76" a="1"/>
  <c r="G293" i="76" s="1"/>
  <c r="Q150" i="105" a="1"/>
  <c r="Q150" i="105" s="1"/>
  <c r="Q198" i="105" a="1"/>
  <c r="Q198" i="105" s="1"/>
  <c r="Q267" i="105" a="1"/>
  <c r="Q267" i="105" s="1"/>
  <c r="S150" i="105" a="1"/>
  <c r="S150" i="105" s="1"/>
  <c r="S198" i="105" a="1"/>
  <c r="S198" i="105" s="1"/>
  <c r="S267" i="105" a="1"/>
  <c r="S267" i="105" s="1"/>
  <c r="G53" i="97"/>
  <c r="G100" i="97" s="1" a="1"/>
  <c r="G100" i="97" s="1"/>
  <c r="G43" i="105"/>
  <c r="S35" i="97"/>
  <c r="S25" i="105"/>
  <c r="G35" i="97"/>
  <c r="G25" i="105"/>
  <c r="I267" i="105" a="1"/>
  <c r="I267" i="105" s="1"/>
  <c r="I150" i="105" a="1"/>
  <c r="I150" i="105" s="1"/>
  <c r="I198" i="105" a="1"/>
  <c r="I198" i="105" s="1"/>
  <c r="F294" i="76" a="1"/>
  <c r="F294" i="76" s="1"/>
  <c r="I25" i="105"/>
  <c r="I35" i="97"/>
  <c r="Q263" i="105" a="1"/>
  <c r="Q263" i="105" s="1"/>
  <c r="Q194" i="105" a="1"/>
  <c r="Q194" i="105" s="1"/>
  <c r="Q146" i="105" a="1"/>
  <c r="Q146" i="105" s="1"/>
  <c r="P259" i="105" a="1"/>
  <c r="P259" i="105" s="1"/>
  <c r="P190" i="105" a="1"/>
  <c r="P190" i="105" s="1"/>
  <c r="P142" i="105" a="1"/>
  <c r="P142" i="105" s="1"/>
  <c r="Q202" i="105" a="1"/>
  <c r="Q202" i="105" s="1"/>
  <c r="Q154" i="105" a="1"/>
  <c r="Q154" i="105" s="1"/>
  <c r="Q271" i="105" a="1"/>
  <c r="Q271" i="105" s="1"/>
  <c r="P291" i="76" a="1"/>
  <c r="P291" i="76" s="1"/>
  <c r="G294" i="76" a="1"/>
  <c r="G294" i="76" s="1"/>
  <c r="H43" i="105"/>
  <c r="H53" i="97"/>
  <c r="H100" i="97" s="1" a="1"/>
  <c r="H100" i="97" s="1"/>
  <c r="F291" i="76" a="1"/>
  <c r="F291" i="76" s="1"/>
  <c r="I56" i="97"/>
  <c r="I103" i="97" s="1" a="1"/>
  <c r="I103" i="97" s="1"/>
  <c r="I46" i="105"/>
  <c r="H45" i="105"/>
  <c r="H55" i="97"/>
  <c r="H102" i="97" s="1" a="1"/>
  <c r="H102" i="97" s="1"/>
  <c r="R35" i="97"/>
  <c r="R25" i="105"/>
  <c r="Q44" i="105"/>
  <c r="Q54" i="97"/>
  <c r="Q101" i="97" s="1" a="1"/>
  <c r="Q101" i="97" s="1"/>
  <c r="P45" i="105"/>
  <c r="P55" i="97"/>
  <c r="P102" i="97" s="1" a="1"/>
  <c r="P102" i="97" s="1"/>
  <c r="G291" i="76" a="1"/>
  <c r="G291" i="76" s="1"/>
  <c r="R44" i="105"/>
  <c r="R54" i="97"/>
  <c r="R101" i="97" s="1" a="1"/>
  <c r="R101" i="97" s="1"/>
  <c r="I45" i="105"/>
  <c r="I55" i="97"/>
  <c r="I102" i="97" s="1" a="1"/>
  <c r="I102" i="97" s="1"/>
  <c r="H47" i="105"/>
  <c r="H57" i="97"/>
  <c r="F35" i="97"/>
  <c r="F25" i="105"/>
  <c r="I259" i="105" a="1"/>
  <c r="I259" i="105" s="1"/>
  <c r="I142" i="105" a="1"/>
  <c r="I142" i="105" s="1"/>
  <c r="I190" i="105" a="1"/>
  <c r="I190" i="105" s="1"/>
  <c r="Q46" i="105"/>
  <c r="Q56" i="97"/>
  <c r="Q103" i="97" s="1" a="1"/>
  <c r="Q103" i="97" s="1"/>
  <c r="P44" i="105"/>
  <c r="P54" i="97"/>
  <c r="P101" i="97" s="1" a="1"/>
  <c r="P101" i="97" s="1"/>
  <c r="I271" i="105" a="1"/>
  <c r="I271" i="105" s="1"/>
  <c r="I202" i="105" a="1"/>
  <c r="I202" i="105" s="1"/>
  <c r="I154" i="105" a="1"/>
  <c r="I154" i="105" s="1"/>
  <c r="F54" i="97"/>
  <c r="F101" i="97" s="1" a="1"/>
  <c r="F101" i="97" s="1"/>
  <c r="F44" i="105"/>
  <c r="R46" i="105"/>
  <c r="R56" i="97"/>
  <c r="R103" i="97" s="1" a="1"/>
  <c r="R103" i="97" s="1"/>
  <c r="I43" i="105"/>
  <c r="I53" i="97"/>
  <c r="I100" i="97" s="1" a="1"/>
  <c r="I100" i="97" s="1"/>
  <c r="H44" i="105"/>
  <c r="H54" i="97"/>
  <c r="H101" i="97" s="1" a="1"/>
  <c r="H101" i="97" s="1"/>
  <c r="H35" i="97"/>
  <c r="H25" i="105"/>
  <c r="Q43" i="105"/>
  <c r="Q53" i="97"/>
  <c r="Q100" i="97" s="1" a="1"/>
  <c r="Q100" i="97" s="1"/>
  <c r="P46" i="105"/>
  <c r="P56" i="97"/>
  <c r="P103" i="97" s="1" a="1"/>
  <c r="P103" i="97" s="1"/>
  <c r="H194" i="105" a="1"/>
  <c r="H194" i="105" s="1"/>
  <c r="H263" i="105" a="1"/>
  <c r="H263" i="105" s="1"/>
  <c r="H146" i="105" a="1"/>
  <c r="H146" i="105" s="1"/>
  <c r="I291" i="76" a="1"/>
  <c r="I291" i="76" s="1"/>
  <c r="F45" i="105"/>
  <c r="F55" i="97"/>
  <c r="F102" i="97" s="1" a="1"/>
  <c r="F102" i="97" s="1"/>
  <c r="R45" i="105"/>
  <c r="R55" i="97"/>
  <c r="R102" i="97" s="1" a="1"/>
  <c r="R102" i="97" s="1"/>
  <c r="I44" i="105"/>
  <c r="I54" i="97"/>
  <c r="I101" i="97" s="1" a="1"/>
  <c r="I101" i="97" s="1"/>
  <c r="H46" i="105"/>
  <c r="H56" i="97"/>
  <c r="H103" i="97" s="1" a="1"/>
  <c r="H103" i="97" s="1"/>
  <c r="E229" i="69" a="1"/>
  <c r="E229" i="69" s="1"/>
  <c r="E259" i="69" s="1" a="1"/>
  <c r="E259" i="69" s="1"/>
  <c r="Q229" i="69" a="1"/>
  <c r="Q229" i="69" s="1"/>
  <c r="Q259" i="69" s="1" a="1"/>
  <c r="Q259" i="69" s="1"/>
  <c r="G229" i="69" a="1"/>
  <c r="G229" i="69" s="1"/>
  <c r="G259" i="69" s="1" a="1"/>
  <c r="G259" i="69" s="1"/>
  <c r="N229" i="69" a="1"/>
  <c r="N229" i="69" s="1"/>
  <c r="N259" i="69" s="1" a="1"/>
  <c r="N259" i="69" s="1"/>
  <c r="R36" i="97"/>
  <c r="R83" i="97" s="1" a="1"/>
  <c r="R83" i="97" s="1"/>
  <c r="R26" i="105"/>
  <c r="P45" i="97"/>
  <c r="P92" i="97" s="1" a="1"/>
  <c r="P92" i="97" s="1"/>
  <c r="P35" i="105"/>
  <c r="P37" i="97"/>
  <c r="P84" i="97" s="1" a="1"/>
  <c r="P84" i="97" s="1"/>
  <c r="P27" i="105"/>
  <c r="R42" i="97"/>
  <c r="R89" i="97" s="1" a="1"/>
  <c r="R89" i="97" s="1"/>
  <c r="R32" i="105"/>
  <c r="S50" i="97"/>
  <c r="S97" i="97" s="1" a="1"/>
  <c r="S97" i="97" s="1"/>
  <c r="S40" i="105"/>
  <c r="P51" i="97"/>
  <c r="P98" i="97" s="1" a="1"/>
  <c r="P98" i="97" s="1"/>
  <c r="P41" i="105"/>
  <c r="Q37" i="97"/>
  <c r="Q84" i="97" s="1" a="1"/>
  <c r="Q84" i="97" s="1"/>
  <c r="Q27" i="105"/>
  <c r="P39" i="97"/>
  <c r="P86" i="97" s="1" a="1"/>
  <c r="P86" i="97" s="1"/>
  <c r="P29" i="105"/>
  <c r="S51" i="97"/>
  <c r="S98" i="97" s="1" a="1"/>
  <c r="S98" i="97" s="1"/>
  <c r="S41" i="105"/>
  <c r="P49" i="97"/>
  <c r="P96" i="97" s="1" a="1"/>
  <c r="P96" i="97" s="1"/>
  <c r="P39" i="105"/>
  <c r="R37" i="97"/>
  <c r="R84" i="97" s="1" a="1"/>
  <c r="R84" i="97" s="1"/>
  <c r="R27" i="105"/>
  <c r="P46" i="97"/>
  <c r="P93" i="97" s="1" a="1"/>
  <c r="P93" i="97" s="1"/>
  <c r="P36" i="105"/>
  <c r="P38" i="97"/>
  <c r="P85" i="97" s="1" a="1"/>
  <c r="P85" i="97" s="1"/>
  <c r="P28" i="105"/>
  <c r="S49" i="97"/>
  <c r="S96" i="97" s="1" a="1"/>
  <c r="S96" i="97" s="1"/>
  <c r="S39" i="105"/>
  <c r="P50" i="97"/>
  <c r="P97" i="97" s="1" a="1"/>
  <c r="P97" i="97" s="1"/>
  <c r="P40" i="105"/>
  <c r="S46" i="97"/>
  <c r="S93" i="97" s="1" a="1"/>
  <c r="S93" i="97" s="1"/>
  <c r="S36" i="105"/>
  <c r="R49" i="97"/>
  <c r="R96" i="97" s="1" a="1"/>
  <c r="R96" i="97" s="1"/>
  <c r="R39" i="105"/>
  <c r="P36" i="97"/>
  <c r="P83" i="97" s="1" a="1"/>
  <c r="P83" i="97" s="1"/>
  <c r="P26" i="105"/>
  <c r="S45" i="97"/>
  <c r="S92" i="97" s="1" a="1"/>
  <c r="S92" i="97" s="1"/>
  <c r="S35" i="105"/>
  <c r="Q42" i="97"/>
  <c r="Q89" i="97" s="1" a="1"/>
  <c r="Q89" i="97" s="1"/>
  <c r="Q32" i="105"/>
  <c r="Q34" i="97"/>
  <c r="Q81" i="97" s="1" a="1"/>
  <c r="Q81" i="97" s="1"/>
  <c r="Q24" i="105"/>
  <c r="R51" i="97"/>
  <c r="R98" i="97" s="1" a="1"/>
  <c r="R98" i="97" s="1"/>
  <c r="R41" i="105"/>
  <c r="Q50" i="97"/>
  <c r="Q97" i="97" s="1" a="1"/>
  <c r="Q97" i="97" s="1"/>
  <c r="Q40" i="105"/>
  <c r="R38" i="97"/>
  <c r="R85" i="97" s="1" a="1"/>
  <c r="R85" i="97" s="1"/>
  <c r="R28" i="105"/>
  <c r="R43" i="97"/>
  <c r="R90" i="97" s="1" a="1"/>
  <c r="R90" i="97" s="1"/>
  <c r="R33" i="105"/>
  <c r="R39" i="97"/>
  <c r="R86" i="97" s="1" a="1"/>
  <c r="R86" i="97" s="1"/>
  <c r="R29" i="105"/>
  <c r="P47" i="97"/>
  <c r="P94" i="97" s="1" a="1"/>
  <c r="P94" i="97" s="1"/>
  <c r="P37" i="105"/>
  <c r="S47" i="97"/>
  <c r="S94" i="97" s="1" a="1"/>
  <c r="S94" i="97" s="1"/>
  <c r="S37" i="105"/>
  <c r="Q41" i="97"/>
  <c r="Q88" i="97" s="1" a="1"/>
  <c r="Q88" i="97" s="1"/>
  <c r="Q31" i="105"/>
  <c r="Q46" i="97"/>
  <c r="Q93" i="97" s="1" a="1"/>
  <c r="Q93" i="97" s="1"/>
  <c r="Q36" i="105"/>
  <c r="Q43" i="97"/>
  <c r="Q90" i="97" s="1" a="1"/>
  <c r="Q90" i="97" s="1"/>
  <c r="Q33" i="105"/>
  <c r="Q32" i="97"/>
  <c r="Q79" i="97" s="1" a="1"/>
  <c r="Q79" i="97" s="1"/>
  <c r="Q22" i="105"/>
  <c r="R50" i="97"/>
  <c r="R97" i="97" s="1" a="1"/>
  <c r="R97" i="97" s="1"/>
  <c r="R40" i="105"/>
  <c r="P42" i="97"/>
  <c r="P89" i="97" s="1" a="1"/>
  <c r="P89" i="97" s="1"/>
  <c r="P32" i="105"/>
  <c r="Q47" i="97"/>
  <c r="Q94" i="97" s="1" a="1"/>
  <c r="Q94" i="97" s="1"/>
  <c r="Q37" i="105"/>
  <c r="R41" i="97"/>
  <c r="R88" i="97" s="1" a="1"/>
  <c r="R88" i="97" s="1"/>
  <c r="R31" i="105"/>
  <c r="Q45" i="97"/>
  <c r="Q92" i="97" s="1" a="1"/>
  <c r="Q92" i="97" s="1"/>
  <c r="Q35" i="105"/>
  <c r="Q33" i="97"/>
  <c r="Q80" i="97" s="1" a="1"/>
  <c r="Q80" i="97" s="1"/>
  <c r="Q23" i="105"/>
  <c r="Q51" i="97"/>
  <c r="Q98" i="97" s="1" a="1"/>
  <c r="Q98" i="97" s="1"/>
  <c r="Q41" i="105"/>
  <c r="P43" i="97"/>
  <c r="P90" i="97" s="1" a="1"/>
  <c r="P90" i="97" s="1"/>
  <c r="P33" i="105"/>
  <c r="S43" i="97"/>
  <c r="S90" i="97" s="1" a="1"/>
  <c r="S90" i="97" s="1"/>
  <c r="S33" i="105"/>
  <c r="Q49" i="97"/>
  <c r="Q96" i="97" s="1" a="1"/>
  <c r="Q96" i="97" s="1"/>
  <c r="Q39" i="105"/>
  <c r="P41" i="97"/>
  <c r="P88" i="97" s="1" a="1"/>
  <c r="P88" i="97" s="1"/>
  <c r="P31" i="105"/>
  <c r="S38" i="97"/>
  <c r="S85" i="97" s="1" a="1"/>
  <c r="S85" i="97" s="1"/>
  <c r="S28" i="105"/>
  <c r="R45" i="97"/>
  <c r="R92" i="97" s="1" a="1"/>
  <c r="R92" i="97" s="1"/>
  <c r="R35" i="105"/>
  <c r="Q38" i="97"/>
  <c r="Q85" i="97" s="1" a="1"/>
  <c r="Q85" i="97" s="1"/>
  <c r="Q28" i="105"/>
  <c r="S37" i="97"/>
  <c r="S84" i="97" s="1" a="1"/>
  <c r="S84" i="97" s="1"/>
  <c r="S27" i="105"/>
  <c r="S41" i="97"/>
  <c r="S88" i="97" s="1" a="1"/>
  <c r="S88" i="97" s="1"/>
  <c r="S31" i="105"/>
  <c r="R46" i="97"/>
  <c r="R93" i="97" s="1" a="1"/>
  <c r="R93" i="97" s="1"/>
  <c r="R36" i="105"/>
  <c r="S39" i="97"/>
  <c r="S86" i="97" s="1" a="1"/>
  <c r="S86" i="97" s="1"/>
  <c r="S29" i="105"/>
  <c r="S42" i="97"/>
  <c r="S89" i="97" s="1" a="1"/>
  <c r="S89" i="97" s="1"/>
  <c r="S32" i="105"/>
  <c r="Q36" i="97"/>
  <c r="Q83" i="97" s="1" a="1"/>
  <c r="Q83" i="97" s="1"/>
  <c r="Q26" i="105"/>
  <c r="Q39" i="97"/>
  <c r="Q86" i="97" s="1" a="1"/>
  <c r="Q86" i="97" s="1"/>
  <c r="Q29" i="105"/>
  <c r="S36" i="97"/>
  <c r="S83" i="97" s="1" a="1"/>
  <c r="S83" i="97" s="1"/>
  <c r="S26" i="105"/>
  <c r="R47" i="97"/>
  <c r="R94" i="97" s="1" a="1"/>
  <c r="R94" i="97" s="1"/>
  <c r="R37" i="105"/>
  <c r="G37" i="97"/>
  <c r="G84" i="97" s="1" a="1"/>
  <c r="G84" i="97" s="1"/>
  <c r="G27" i="105"/>
  <c r="F47" i="97"/>
  <c r="F94" i="97" s="1" a="1"/>
  <c r="F94" i="97" s="1"/>
  <c r="F37" i="105"/>
  <c r="F37" i="97"/>
  <c r="F84" i="97" s="1" a="1"/>
  <c r="F84" i="97" s="1"/>
  <c r="F27" i="105"/>
  <c r="G38" i="97"/>
  <c r="G85" i="97" s="1" a="1"/>
  <c r="G85" i="97" s="1"/>
  <c r="G28" i="105"/>
  <c r="H43" i="97"/>
  <c r="H90" i="97" s="1" a="1"/>
  <c r="H90" i="97" s="1"/>
  <c r="H33" i="105"/>
  <c r="I37" i="97"/>
  <c r="I84" i="97" s="1" a="1"/>
  <c r="I84" i="97" s="1"/>
  <c r="I27" i="105"/>
  <c r="F36" i="97"/>
  <c r="F83" i="97" s="1" a="1"/>
  <c r="F83" i="97" s="1"/>
  <c r="F26" i="105"/>
  <c r="H49" i="97"/>
  <c r="H96" i="97" s="1" a="1"/>
  <c r="H96" i="97" s="1"/>
  <c r="H39" i="105"/>
  <c r="F39" i="97"/>
  <c r="F86" i="97" s="1" a="1"/>
  <c r="F86" i="97" s="1"/>
  <c r="F29" i="105"/>
  <c r="H36" i="97"/>
  <c r="H83" i="97" s="1" a="1"/>
  <c r="H83" i="97" s="1"/>
  <c r="H26" i="105"/>
  <c r="G36" i="97"/>
  <c r="G83" i="97" s="1" a="1"/>
  <c r="G83" i="97" s="1"/>
  <c r="G26" i="105"/>
  <c r="F45" i="97"/>
  <c r="F92" i="97" s="1" a="1"/>
  <c r="F92" i="97" s="1"/>
  <c r="F35" i="105"/>
  <c r="H42" i="97"/>
  <c r="H89" i="97" s="1" a="1"/>
  <c r="H89" i="97" s="1"/>
  <c r="H32" i="105"/>
  <c r="F38" i="97"/>
  <c r="F85" i="97" s="1" a="1"/>
  <c r="F85" i="97" s="1"/>
  <c r="F28" i="105"/>
  <c r="H39" i="97"/>
  <c r="H86" i="97" s="1" a="1"/>
  <c r="H86" i="97" s="1"/>
  <c r="H29" i="105"/>
  <c r="G39" i="97"/>
  <c r="G86" i="97" s="1" a="1"/>
  <c r="G86" i="97" s="1"/>
  <c r="G29" i="105"/>
  <c r="F46" i="97"/>
  <c r="F93" i="97" s="1" a="1"/>
  <c r="F93" i="97" s="1"/>
  <c r="F36" i="105"/>
  <c r="H41" i="97"/>
  <c r="H88" i="97" s="1" a="1"/>
  <c r="H88" i="97" s="1"/>
  <c r="H31" i="105"/>
  <c r="H50" i="97"/>
  <c r="H97" i="97" s="1" a="1"/>
  <c r="H97" i="97" s="1"/>
  <c r="H40" i="105"/>
  <c r="F50" i="97"/>
  <c r="F97" i="97" s="1" a="1"/>
  <c r="F97" i="97" s="1"/>
  <c r="F40" i="105"/>
  <c r="H37" i="97"/>
  <c r="H84" i="97" s="1" a="1"/>
  <c r="H84" i="97" s="1"/>
  <c r="H27" i="105"/>
  <c r="G50" i="97"/>
  <c r="G97" i="97" s="1" a="1"/>
  <c r="G97" i="97" s="1"/>
  <c r="G40" i="105"/>
  <c r="G45" i="97"/>
  <c r="G92" i="97" s="1" a="1"/>
  <c r="G92" i="97" s="1"/>
  <c r="G35" i="105"/>
  <c r="G51" i="97"/>
  <c r="G98" i="97" s="1" a="1"/>
  <c r="G98" i="97" s="1"/>
  <c r="G41" i="105"/>
  <c r="G42" i="97"/>
  <c r="G89" i="97" s="1" a="1"/>
  <c r="G89" i="97" s="1"/>
  <c r="G32" i="105"/>
  <c r="F51" i="97"/>
  <c r="F98" i="97" s="1" a="1"/>
  <c r="F98" i="97" s="1"/>
  <c r="F41" i="105"/>
  <c r="F41" i="97"/>
  <c r="F88" i="97" s="1" a="1"/>
  <c r="F88" i="97" s="1"/>
  <c r="F31" i="105"/>
  <c r="H46" i="97"/>
  <c r="H93" i="97" s="1" a="1"/>
  <c r="H93" i="97" s="1"/>
  <c r="H36" i="105"/>
  <c r="I42" i="97"/>
  <c r="I89" i="97" s="1" a="1"/>
  <c r="I89" i="97" s="1"/>
  <c r="I32" i="105"/>
  <c r="G41" i="97"/>
  <c r="G88" i="97" s="1" a="1"/>
  <c r="G88" i="97" s="1"/>
  <c r="G31" i="105"/>
  <c r="I47" i="97"/>
  <c r="I94" i="97" s="1" a="1"/>
  <c r="I94" i="97" s="1"/>
  <c r="I37" i="105"/>
  <c r="G47" i="97"/>
  <c r="G94" i="97" s="1" a="1"/>
  <c r="G94" i="97" s="1"/>
  <c r="G37" i="105"/>
  <c r="H51" i="97"/>
  <c r="H98" i="97" s="1" a="1"/>
  <c r="H98" i="97" s="1"/>
  <c r="H41" i="105"/>
  <c r="F49" i="97"/>
  <c r="F96" i="97" s="1" a="1"/>
  <c r="F96" i="97" s="1"/>
  <c r="F39" i="105"/>
  <c r="G46" i="97"/>
  <c r="G93" i="97" s="1" a="1"/>
  <c r="G93" i="97" s="1"/>
  <c r="G36" i="105"/>
  <c r="I38" i="97"/>
  <c r="I85" i="97" s="1" a="1"/>
  <c r="I85" i="97" s="1"/>
  <c r="I28" i="105"/>
  <c r="F42" i="97"/>
  <c r="F89" i="97" s="1" a="1"/>
  <c r="F89" i="97" s="1"/>
  <c r="F32" i="105"/>
  <c r="G43" i="97"/>
  <c r="G90" i="97" s="1" a="1"/>
  <c r="G90" i="97" s="1"/>
  <c r="G33" i="105"/>
  <c r="I39" i="97"/>
  <c r="I86" i="97" s="1" a="1"/>
  <c r="I86" i="97" s="1"/>
  <c r="I29" i="105"/>
  <c r="I46" i="97"/>
  <c r="I93" i="97" s="1" a="1"/>
  <c r="I93" i="97" s="1"/>
  <c r="I36" i="105"/>
  <c r="H38" i="97"/>
  <c r="H85" i="97" s="1" a="1"/>
  <c r="H85" i="97" s="1"/>
  <c r="H28" i="105"/>
  <c r="H47" i="97"/>
  <c r="H94" i="97" s="1" a="1"/>
  <c r="H94" i="97" s="1"/>
  <c r="H37" i="105"/>
  <c r="F43" i="97"/>
  <c r="F90" i="97" s="1" a="1"/>
  <c r="F90" i="97" s="1"/>
  <c r="F33" i="105"/>
  <c r="H45" i="97"/>
  <c r="H92" i="97" s="1" a="1"/>
  <c r="H92" i="97" s="1"/>
  <c r="H35" i="105"/>
  <c r="I43" i="97"/>
  <c r="I90" i="97" s="1" a="1"/>
  <c r="I90" i="97" s="1"/>
  <c r="I33" i="105"/>
  <c r="G49" i="97"/>
  <c r="G96" i="97" s="1" a="1"/>
  <c r="G96" i="97" s="1"/>
  <c r="G39" i="105"/>
  <c r="I45" i="97"/>
  <c r="I92" i="97" s="1" a="1"/>
  <c r="I92" i="97" s="1"/>
  <c r="I35" i="105"/>
  <c r="I41" i="97"/>
  <c r="I88" i="97" s="1" a="1"/>
  <c r="I88" i="97" s="1"/>
  <c r="I31" i="105"/>
  <c r="I36" i="97"/>
  <c r="I83" i="97" s="1" a="1"/>
  <c r="I83" i="97" s="1"/>
  <c r="I26" i="105"/>
  <c r="I50" i="97"/>
  <c r="I97" i="97" s="1" a="1"/>
  <c r="I97" i="97" s="1"/>
  <c r="I40" i="105"/>
  <c r="I51" i="97"/>
  <c r="I98" i="97" s="1" a="1"/>
  <c r="I98" i="97" s="1"/>
  <c r="I41" i="105"/>
  <c r="I49" i="97"/>
  <c r="I96" i="97" s="1" a="1"/>
  <c r="I96" i="97" s="1"/>
  <c r="I39" i="105"/>
  <c r="F217" i="76" a="1"/>
  <c r="F217" i="76" s="1"/>
  <c r="F219" i="76" a="1"/>
  <c r="F219" i="76" s="1"/>
  <c r="F218" i="76" a="1"/>
  <c r="F218" i="76" s="1"/>
  <c r="S217" i="76" a="1"/>
  <c r="S217" i="76" s="1"/>
  <c r="S218" i="76" a="1"/>
  <c r="S218" i="76" s="1"/>
  <c r="S219" i="76" a="1"/>
  <c r="S219" i="76" s="1"/>
  <c r="P217" i="76" a="1"/>
  <c r="P217" i="76" s="1"/>
  <c r="P218" i="76" a="1"/>
  <c r="P218" i="76" s="1"/>
  <c r="P219" i="76" a="1"/>
  <c r="P219" i="76" s="1"/>
  <c r="G219" i="76" a="1"/>
  <c r="G219" i="76" s="1"/>
  <c r="G218" i="76" a="1"/>
  <c r="G218" i="76" s="1"/>
  <c r="G217" i="76" a="1"/>
  <c r="G217" i="76" s="1"/>
  <c r="I217" i="76" a="1"/>
  <c r="I217" i="76" s="1"/>
  <c r="I218" i="76" a="1"/>
  <c r="I218" i="76" s="1"/>
  <c r="I219" i="76" a="1"/>
  <c r="I219" i="76" s="1"/>
  <c r="R218" i="76" a="1"/>
  <c r="R218" i="76" s="1"/>
  <c r="R219" i="76" a="1"/>
  <c r="R219" i="76" s="1"/>
  <c r="R217" i="76" a="1"/>
  <c r="R217" i="76" s="1"/>
  <c r="H219" i="76" a="1"/>
  <c r="H219" i="76" s="1"/>
  <c r="H217" i="76" a="1"/>
  <c r="H217" i="76" s="1"/>
  <c r="H218" i="76" a="1"/>
  <c r="H218" i="76" s="1"/>
  <c r="D229" i="69" l="1" a="1"/>
  <c r="D229" i="69" s="1"/>
  <c r="D259" i="69" s="1" a="1"/>
  <c r="D259" i="69" s="1"/>
  <c r="O229" i="69" a="1"/>
  <c r="O229" i="69" s="1"/>
  <c r="O259" i="69" s="1" a="1"/>
  <c r="O259" i="69" s="1"/>
  <c r="P229" i="69" a="1"/>
  <c r="P229" i="69" s="1"/>
  <c r="P259" i="69" s="1" a="1"/>
  <c r="P259" i="69" s="1"/>
  <c r="F229" i="69" a="1"/>
  <c r="F229" i="69" s="1"/>
  <c r="F259" i="69" s="1" a="1"/>
  <c r="F259" i="69" s="1"/>
  <c r="H150" i="105" a="1"/>
  <c r="H150" i="105" s="1"/>
  <c r="H198" i="105" a="1"/>
  <c r="H198" i="105" s="1"/>
  <c r="S154" i="105" a="1"/>
  <c r="S154" i="105" s="1"/>
  <c r="S271" i="105" a="1"/>
  <c r="S271" i="105" s="1"/>
  <c r="Q185" i="105" a="1"/>
  <c r="Q185" i="105" s="1"/>
  <c r="Q254" i="105" a="1"/>
  <c r="Q254" i="105" s="1"/>
  <c r="R198" i="105" a="1"/>
  <c r="R198" i="105" s="1"/>
  <c r="R267" i="105" a="1"/>
  <c r="R267" i="105" s="1"/>
  <c r="G146" i="105" a="1"/>
  <c r="G146" i="105" s="1"/>
  <c r="I146" i="105" a="1"/>
  <c r="I146" i="105" s="1"/>
  <c r="G263" i="105" a="1"/>
  <c r="G263" i="105" s="1"/>
  <c r="G267" i="105" a="1"/>
  <c r="G267" i="105" s="1"/>
  <c r="G150" i="105" a="1"/>
  <c r="G150" i="105" s="1"/>
  <c r="Q190" i="105" a="1"/>
  <c r="Q190" i="105" s="1"/>
  <c r="Q142" i="105" a="1"/>
  <c r="Q142" i="105" s="1"/>
  <c r="F146" i="105" a="1"/>
  <c r="F146" i="105" s="1"/>
  <c r="F194" i="105" a="1"/>
  <c r="F194" i="105" s="1"/>
  <c r="F267" i="105" a="1"/>
  <c r="F267" i="105" s="1"/>
  <c r="R263" i="105" a="1"/>
  <c r="R263" i="105" s="1"/>
  <c r="I194" i="105" a="1"/>
  <c r="I194" i="105" s="1"/>
  <c r="S194" i="105" a="1"/>
  <c r="S194" i="105" s="1"/>
  <c r="F190" i="105" a="1"/>
  <c r="F190" i="105" s="1"/>
  <c r="F142" i="105" a="1"/>
  <c r="F142" i="105" s="1"/>
  <c r="F198" i="105" a="1"/>
  <c r="F198" i="105" s="1"/>
  <c r="R194" i="105" a="1"/>
  <c r="R194" i="105" s="1"/>
  <c r="G190" i="105" a="1"/>
  <c r="G190" i="105" s="1"/>
  <c r="G259" i="105" a="1"/>
  <c r="G259" i="105" s="1"/>
  <c r="S263" i="105" a="1"/>
  <c r="S263" i="105" s="1"/>
  <c r="F202" i="105" a="1"/>
  <c r="F202" i="105" s="1"/>
  <c r="F271" i="105" a="1"/>
  <c r="F271" i="105" s="1"/>
  <c r="P202" i="105" a="1"/>
  <c r="P202" i="105" s="1"/>
  <c r="P154" i="105" a="1"/>
  <c r="P154" i="105" s="1"/>
  <c r="R190" i="105" a="1"/>
  <c r="R190" i="105" s="1"/>
  <c r="R142" i="105" a="1"/>
  <c r="R142" i="105" s="1"/>
  <c r="G23" i="105"/>
  <c r="G252" i="105" s="1" a="1"/>
  <c r="G252" i="105" s="1"/>
  <c r="G271" i="76" a="1"/>
  <c r="G271" i="76" s="1"/>
  <c r="G24" i="105"/>
  <c r="G184" i="105" s="1" a="1"/>
  <c r="G184" i="105" s="1"/>
  <c r="G272" i="76" a="1"/>
  <c r="G272" i="76" s="1"/>
  <c r="F157" i="105" a="1"/>
  <c r="F157" i="105" s="1"/>
  <c r="F274" i="105" a="1"/>
  <c r="F274" i="105" s="1"/>
  <c r="F205" i="105" a="1"/>
  <c r="F205" i="105" s="1"/>
  <c r="P159" i="105" a="1"/>
  <c r="P159" i="105" s="1"/>
  <c r="P276" i="105" a="1"/>
  <c r="P276" i="105" s="1"/>
  <c r="P207" i="105" a="1"/>
  <c r="P207" i="105" s="1"/>
  <c r="P24" i="105"/>
  <c r="P253" i="105" s="1" a="1"/>
  <c r="P253" i="105" s="1"/>
  <c r="P272" i="76" a="1"/>
  <c r="P272" i="76" s="1"/>
  <c r="H156" i="105" a="1"/>
  <c r="H156" i="105" s="1"/>
  <c r="H273" i="105" a="1"/>
  <c r="H273" i="105" s="1"/>
  <c r="H204" i="105" a="1"/>
  <c r="H204" i="105" s="1"/>
  <c r="P156" i="105" a="1"/>
  <c r="P156" i="105" s="1"/>
  <c r="P273" i="105" a="1"/>
  <c r="P273" i="105" s="1"/>
  <c r="P204" i="105" a="1"/>
  <c r="P204" i="105" s="1"/>
  <c r="I274" i="105" a="1"/>
  <c r="I274" i="105" s="1"/>
  <c r="I157" i="105" a="1"/>
  <c r="I157" i="105" s="1"/>
  <c r="I205" i="105" a="1"/>
  <c r="I205" i="105" s="1"/>
  <c r="H205" i="105" a="1"/>
  <c r="H205" i="105" s="1"/>
  <c r="H157" i="105" a="1"/>
  <c r="H157" i="105" s="1"/>
  <c r="H274" i="105" a="1"/>
  <c r="H274" i="105" s="1"/>
  <c r="S137" i="105" a="1"/>
  <c r="S137" i="105" s="1"/>
  <c r="S254" i="105" a="1"/>
  <c r="S254" i="105" s="1"/>
  <c r="S185" i="105" a="1"/>
  <c r="S185" i="105" s="1"/>
  <c r="F203" i="105" a="1"/>
  <c r="F203" i="105" s="1"/>
  <c r="F272" i="105" a="1"/>
  <c r="F272" i="105" s="1"/>
  <c r="F155" i="105" a="1"/>
  <c r="F155" i="105" s="1"/>
  <c r="F204" i="105" a="1"/>
  <c r="F204" i="105" s="1"/>
  <c r="F156" i="105" a="1"/>
  <c r="F156" i="105" s="1"/>
  <c r="F273" i="105" a="1"/>
  <c r="F273" i="105" s="1"/>
  <c r="P274" i="105" a="1"/>
  <c r="P274" i="105" s="1"/>
  <c r="P205" i="105" a="1"/>
  <c r="P205" i="105" s="1"/>
  <c r="P157" i="105" a="1"/>
  <c r="P157" i="105" s="1"/>
  <c r="S276" i="105" a="1"/>
  <c r="S276" i="105" s="1"/>
  <c r="S159" i="105" a="1"/>
  <c r="S159" i="105" s="1"/>
  <c r="S207" i="105" a="1"/>
  <c r="S207" i="105" s="1"/>
  <c r="P23" i="105"/>
  <c r="P252" i="105" s="1" a="1"/>
  <c r="P252" i="105" s="1"/>
  <c r="P271" i="76" a="1"/>
  <c r="P271" i="76" s="1"/>
  <c r="I206" i="105" a="1"/>
  <c r="I206" i="105" s="1"/>
  <c r="I158" i="105" a="1"/>
  <c r="I158" i="105" s="1"/>
  <c r="I275" i="105" a="1"/>
  <c r="I275" i="105" s="1"/>
  <c r="S273" i="105" a="1"/>
  <c r="S273" i="105" s="1"/>
  <c r="S204" i="105" a="1"/>
  <c r="S204" i="105" s="1"/>
  <c r="S156" i="105" a="1"/>
  <c r="S156" i="105" s="1"/>
  <c r="Q206" i="105" a="1"/>
  <c r="Q206" i="105" s="1"/>
  <c r="Q158" i="105" a="1"/>
  <c r="Q158" i="105" s="1"/>
  <c r="Q275" i="105" a="1"/>
  <c r="Q275" i="105" s="1"/>
  <c r="R273" i="105" a="1"/>
  <c r="R273" i="105" s="1"/>
  <c r="R204" i="105" a="1"/>
  <c r="R204" i="105" s="1"/>
  <c r="R156" i="105" a="1"/>
  <c r="R156" i="105" s="1"/>
  <c r="G203" i="105" a="1"/>
  <c r="G203" i="105" s="1"/>
  <c r="G272" i="105" a="1"/>
  <c r="G272" i="105" s="1"/>
  <c r="G155" i="105" a="1"/>
  <c r="G155" i="105" s="1"/>
  <c r="H22" i="105"/>
  <c r="H251" i="105" s="1" a="1"/>
  <c r="H251" i="105" s="1"/>
  <c r="H270" i="76" a="1"/>
  <c r="H270" i="76" s="1"/>
  <c r="S24" i="105"/>
  <c r="S184" i="105" s="1" a="1"/>
  <c r="S184" i="105" s="1"/>
  <c r="S272" i="76" a="1"/>
  <c r="S272" i="76" s="1"/>
  <c r="S23" i="105"/>
  <c r="S135" i="105" s="1" a="1"/>
  <c r="S135" i="105" s="1"/>
  <c r="S271" i="76" a="1"/>
  <c r="S271" i="76" s="1"/>
  <c r="S272" i="105" a="1"/>
  <c r="S272" i="105" s="1"/>
  <c r="S203" i="105" a="1"/>
  <c r="S203" i="105" s="1"/>
  <c r="S155" i="105" a="1"/>
  <c r="S155" i="105" s="1"/>
  <c r="F22" i="105"/>
  <c r="F182" i="105" s="1" a="1"/>
  <c r="F182" i="105" s="1"/>
  <c r="F270" i="76" a="1"/>
  <c r="F270" i="76" s="1"/>
  <c r="R22" i="105"/>
  <c r="R134" i="105" s="1" a="1"/>
  <c r="R134" i="105" s="1"/>
  <c r="R270" i="76" a="1"/>
  <c r="R270" i="76" s="1"/>
  <c r="P275" i="105" a="1"/>
  <c r="P275" i="105" s="1"/>
  <c r="P158" i="105" a="1"/>
  <c r="P158" i="105" s="1"/>
  <c r="P206" i="105" a="1"/>
  <c r="P206" i="105" s="1"/>
  <c r="I155" i="105" a="1"/>
  <c r="I155" i="105" s="1"/>
  <c r="I203" i="105" a="1"/>
  <c r="I203" i="105" s="1"/>
  <c r="I272" i="105" a="1"/>
  <c r="I272" i="105" s="1"/>
  <c r="H203" i="105" a="1"/>
  <c r="H203" i="105" s="1"/>
  <c r="H272" i="105" a="1"/>
  <c r="H272" i="105" s="1"/>
  <c r="H155" i="105" a="1"/>
  <c r="H155" i="105" s="1"/>
  <c r="G274" i="105" a="1"/>
  <c r="G274" i="105" s="1"/>
  <c r="G157" i="105" a="1"/>
  <c r="G157" i="105" s="1"/>
  <c r="G205" i="105" a="1"/>
  <c r="G205" i="105" s="1"/>
  <c r="Q276" i="105" a="1"/>
  <c r="Q276" i="105" s="1"/>
  <c r="Q207" i="105" a="1"/>
  <c r="Q207" i="105" s="1"/>
  <c r="Q159" i="105" a="1"/>
  <c r="Q159" i="105" s="1"/>
  <c r="P203" i="105" a="1"/>
  <c r="P203" i="105" s="1"/>
  <c r="P272" i="105" a="1"/>
  <c r="P272" i="105" s="1"/>
  <c r="P155" i="105" a="1"/>
  <c r="P155" i="105" s="1"/>
  <c r="P22" i="105"/>
  <c r="P182" i="105" s="1" a="1"/>
  <c r="P182" i="105" s="1"/>
  <c r="P270" i="76" a="1"/>
  <c r="P270" i="76" s="1"/>
  <c r="H24" i="105"/>
  <c r="H253" i="105" s="1" a="1"/>
  <c r="H253" i="105" s="1"/>
  <c r="H272" i="76" a="1"/>
  <c r="H272" i="76" s="1"/>
  <c r="S22" i="105"/>
  <c r="S134" i="105" s="1" a="1"/>
  <c r="S134" i="105" s="1"/>
  <c r="S270" i="76" a="1"/>
  <c r="S270" i="76" s="1"/>
  <c r="R24" i="105"/>
  <c r="R136" i="105" s="1" a="1"/>
  <c r="R136" i="105" s="1"/>
  <c r="R272" i="76" a="1"/>
  <c r="R272" i="76" s="1"/>
  <c r="F23" i="105"/>
  <c r="F183" i="105" s="1" a="1"/>
  <c r="F183" i="105" s="1"/>
  <c r="F271" i="76" a="1"/>
  <c r="F271" i="76" s="1"/>
  <c r="F254" i="105" a="1"/>
  <c r="F254" i="105" s="1"/>
  <c r="F137" i="105" a="1"/>
  <c r="F137" i="105" s="1"/>
  <c r="F185" i="105" a="1"/>
  <c r="F185" i="105" s="1"/>
  <c r="G275" i="105" a="1"/>
  <c r="G275" i="105" s="1"/>
  <c r="G206" i="105" a="1"/>
  <c r="G206" i="105" s="1"/>
  <c r="G158" i="105" a="1"/>
  <c r="G158" i="105" s="1"/>
  <c r="I24" i="105"/>
  <c r="I136" i="105" s="1" a="1"/>
  <c r="I136" i="105" s="1"/>
  <c r="I272" i="76" a="1"/>
  <c r="I272" i="76" s="1"/>
  <c r="H23" i="105"/>
  <c r="H252" i="105" s="1" a="1"/>
  <c r="H252" i="105" s="1"/>
  <c r="H271" i="76" a="1"/>
  <c r="H271" i="76" s="1"/>
  <c r="R23" i="105"/>
  <c r="R252" i="105" s="1" a="1"/>
  <c r="R252" i="105" s="1"/>
  <c r="R271" i="76" a="1"/>
  <c r="R271" i="76" s="1"/>
  <c r="F24" i="105"/>
  <c r="F136" i="105" s="1" a="1"/>
  <c r="F136" i="105" s="1"/>
  <c r="F272" i="76" a="1"/>
  <c r="F272" i="76" s="1"/>
  <c r="H275" i="105" a="1"/>
  <c r="H275" i="105" s="1"/>
  <c r="H158" i="105" a="1"/>
  <c r="H158" i="105" s="1"/>
  <c r="H206" i="105" a="1"/>
  <c r="H206" i="105" s="1"/>
  <c r="Q203" i="105" a="1"/>
  <c r="Q203" i="105" s="1"/>
  <c r="Q272" i="105" a="1"/>
  <c r="Q272" i="105" s="1"/>
  <c r="Q155" i="105" a="1"/>
  <c r="Q155" i="105" s="1"/>
  <c r="R275" i="105" a="1"/>
  <c r="R275" i="105" s="1"/>
  <c r="R206" i="105" a="1"/>
  <c r="R206" i="105" s="1"/>
  <c r="R158" i="105" a="1"/>
  <c r="R158" i="105" s="1"/>
  <c r="I137" i="105" a="1"/>
  <c r="I137" i="105" s="1"/>
  <c r="I185" i="105" a="1"/>
  <c r="I185" i="105" s="1"/>
  <c r="I254" i="105" a="1"/>
  <c r="I254" i="105" s="1"/>
  <c r="G156" i="105" a="1"/>
  <c r="G156" i="105" s="1"/>
  <c r="G204" i="105" a="1"/>
  <c r="G204" i="105" s="1"/>
  <c r="G273" i="105" a="1"/>
  <c r="G273" i="105" s="1"/>
  <c r="R276" i="105" a="1"/>
  <c r="R276" i="105" s="1"/>
  <c r="R159" i="105" a="1"/>
  <c r="R159" i="105" s="1"/>
  <c r="R207" i="105" a="1"/>
  <c r="R207" i="105" s="1"/>
  <c r="Q205" i="105" a="1"/>
  <c r="Q205" i="105" s="1"/>
  <c r="Q274" i="105" a="1"/>
  <c r="Q274" i="105" s="1"/>
  <c r="Q157" i="105" a="1"/>
  <c r="Q157" i="105" s="1"/>
  <c r="H159" i="105" a="1"/>
  <c r="H159" i="105" s="1"/>
  <c r="H207" i="105" a="1"/>
  <c r="H207" i="105" s="1"/>
  <c r="H276" i="105" a="1"/>
  <c r="H276" i="105" s="1"/>
  <c r="F275" i="105" a="1"/>
  <c r="F275" i="105" s="1"/>
  <c r="F206" i="105" a="1"/>
  <c r="F206" i="105" s="1"/>
  <c r="F158" i="105" a="1"/>
  <c r="F158" i="105" s="1"/>
  <c r="I207" i="105" a="1"/>
  <c r="I207" i="105" s="1"/>
  <c r="I276" i="105" a="1"/>
  <c r="I276" i="105" s="1"/>
  <c r="I159" i="105" a="1"/>
  <c r="I159" i="105" s="1"/>
  <c r="Q204" i="105" a="1"/>
  <c r="Q204" i="105" s="1"/>
  <c r="Q156" i="105" a="1"/>
  <c r="Q156" i="105" s="1"/>
  <c r="Q273" i="105" a="1"/>
  <c r="Q273" i="105" s="1"/>
  <c r="S157" i="105" a="1"/>
  <c r="S157" i="105" s="1"/>
  <c r="S205" i="105" a="1"/>
  <c r="S205" i="105" s="1"/>
  <c r="S274" i="105" a="1"/>
  <c r="S274" i="105" s="1"/>
  <c r="G22" i="105"/>
  <c r="G251" i="105" s="1" a="1"/>
  <c r="G251" i="105" s="1"/>
  <c r="G270" i="76" a="1"/>
  <c r="G270" i="76" s="1"/>
  <c r="R205" i="105" a="1"/>
  <c r="R205" i="105" s="1"/>
  <c r="R157" i="105" a="1"/>
  <c r="R157" i="105" s="1"/>
  <c r="R274" i="105" a="1"/>
  <c r="R274" i="105" s="1"/>
  <c r="H185" i="105" a="1"/>
  <c r="H185" i="105" s="1"/>
  <c r="H254" i="105" a="1"/>
  <c r="H254" i="105" s="1"/>
  <c r="H137" i="105" a="1"/>
  <c r="H137" i="105" s="1"/>
  <c r="R185" i="105" a="1"/>
  <c r="R185" i="105" s="1"/>
  <c r="R137" i="105" a="1"/>
  <c r="R137" i="105" s="1"/>
  <c r="R254" i="105" a="1"/>
  <c r="R254" i="105" s="1"/>
  <c r="S206" i="105" a="1"/>
  <c r="S206" i="105" s="1"/>
  <c r="S275" i="105" a="1"/>
  <c r="S275" i="105" s="1"/>
  <c r="S158" i="105" a="1"/>
  <c r="S158" i="105" s="1"/>
  <c r="P137" i="105" a="1"/>
  <c r="P137" i="105" s="1"/>
  <c r="P254" i="105" a="1"/>
  <c r="P254" i="105" s="1"/>
  <c r="P185" i="105" a="1"/>
  <c r="P185" i="105" s="1"/>
  <c r="I23" i="105"/>
  <c r="I135" i="105" s="1" a="1"/>
  <c r="I135" i="105" s="1"/>
  <c r="I271" i="76" a="1"/>
  <c r="I271" i="76" s="1"/>
  <c r="I156" i="105" a="1"/>
  <c r="I156" i="105" s="1"/>
  <c r="I273" i="105" a="1"/>
  <c r="I273" i="105" s="1"/>
  <c r="I204" i="105" a="1"/>
  <c r="I204" i="105" s="1"/>
  <c r="I22" i="105"/>
  <c r="I251" i="105" s="1" a="1"/>
  <c r="I251" i="105" s="1"/>
  <c r="I270" i="76" a="1"/>
  <c r="I270" i="76" s="1"/>
  <c r="G254" i="105" a="1"/>
  <c r="G254" i="105" s="1"/>
  <c r="G185" i="105" a="1"/>
  <c r="G185" i="105" s="1"/>
  <c r="G137" i="105" a="1"/>
  <c r="G137" i="105" s="1"/>
  <c r="G159" i="105" a="1"/>
  <c r="G159" i="105" s="1"/>
  <c r="G276" i="105" a="1"/>
  <c r="G276" i="105" s="1"/>
  <c r="G207" i="105" a="1"/>
  <c r="G207" i="105" s="1"/>
  <c r="F276" i="105" a="1"/>
  <c r="F276" i="105" s="1"/>
  <c r="F207" i="105" a="1"/>
  <c r="F207" i="105" s="1"/>
  <c r="F159" i="105" a="1"/>
  <c r="F159" i="105" s="1"/>
  <c r="R203" i="105" a="1"/>
  <c r="R203" i="105" s="1"/>
  <c r="R272" i="105" a="1"/>
  <c r="R272" i="105" s="1"/>
  <c r="R155" i="105" a="1"/>
  <c r="R155" i="105" s="1"/>
  <c r="I269" i="105" a="1"/>
  <c r="I269" i="105" s="1"/>
  <c r="I152" i="105" a="1"/>
  <c r="I152" i="105" s="1"/>
  <c r="I200" i="105" a="1"/>
  <c r="I200" i="105" s="1"/>
  <c r="F193" i="105" a="1"/>
  <c r="F193" i="105" s="1"/>
  <c r="F262" i="105" a="1"/>
  <c r="F262" i="105" s="1"/>
  <c r="F145" i="105" a="1"/>
  <c r="F145" i="105" s="1"/>
  <c r="I188" i="105" a="1"/>
  <c r="I188" i="105" s="1"/>
  <c r="I140" i="105" a="1"/>
  <c r="I140" i="105" s="1"/>
  <c r="I257" i="105" a="1"/>
  <c r="I257" i="105" s="1"/>
  <c r="I192" i="105" a="1"/>
  <c r="I192" i="105" s="1"/>
  <c r="I261" i="105" a="1"/>
  <c r="I261" i="105" s="1"/>
  <c r="I144" i="105" a="1"/>
  <c r="I144" i="105" s="1"/>
  <c r="G269" i="105" a="1"/>
  <c r="G269" i="105" s="1"/>
  <c r="G152" i="105" a="1"/>
  <c r="G152" i="105" s="1"/>
  <c r="G200" i="105" a="1"/>
  <c r="G200" i="105" s="1"/>
  <c r="H258" i="105" a="1"/>
  <c r="H258" i="105" s="1"/>
  <c r="H189" i="105" a="1"/>
  <c r="H189" i="105" s="1"/>
  <c r="H141" i="105" a="1"/>
  <c r="H141" i="105" s="1"/>
  <c r="H268" i="105" a="1"/>
  <c r="H268" i="105" s="1"/>
  <c r="H151" i="105" a="1"/>
  <c r="H151" i="105" s="1"/>
  <c r="H199" i="105" a="1"/>
  <c r="H199" i="105" s="1"/>
  <c r="G139" i="105" a="1"/>
  <c r="G139" i="105" s="1"/>
  <c r="G187" i="105" a="1"/>
  <c r="G187" i="105" s="1"/>
  <c r="G256" i="105" a="1"/>
  <c r="G256" i="105" s="1"/>
  <c r="R196" i="105" a="1"/>
  <c r="R196" i="105" s="1"/>
  <c r="R265" i="105" a="1"/>
  <c r="R265" i="105" s="1"/>
  <c r="R148" i="105" a="1"/>
  <c r="R148" i="105" s="1"/>
  <c r="Q268" i="105" a="1"/>
  <c r="Q268" i="105" s="1"/>
  <c r="Q199" i="105" a="1"/>
  <c r="Q199" i="105" s="1"/>
  <c r="Q151" i="105" a="1"/>
  <c r="Q151" i="105" s="1"/>
  <c r="Q197" i="105" a="1"/>
  <c r="Q197" i="105" s="1"/>
  <c r="Q266" i="105" a="1"/>
  <c r="Q266" i="105" s="1"/>
  <c r="Q149" i="105" a="1"/>
  <c r="Q149" i="105" s="1"/>
  <c r="S197" i="105" a="1"/>
  <c r="S197" i="105" s="1"/>
  <c r="S149" i="105" a="1"/>
  <c r="S149" i="105" s="1"/>
  <c r="S266" i="105" a="1"/>
  <c r="S266" i="105" s="1"/>
  <c r="Q184" i="105" a="1"/>
  <c r="Q184" i="105" s="1"/>
  <c r="Q136" i="105" a="1"/>
  <c r="Q136" i="105" s="1"/>
  <c r="Q253" i="105" a="1"/>
  <c r="Q253" i="105" s="1"/>
  <c r="S268" i="105" a="1"/>
  <c r="S268" i="105" s="1"/>
  <c r="S151" i="105" a="1"/>
  <c r="S151" i="105" s="1"/>
  <c r="S199" i="105" a="1"/>
  <c r="S199" i="105" s="1"/>
  <c r="Q139" i="105" a="1"/>
  <c r="Q139" i="105" s="1"/>
  <c r="Q187" i="105" a="1"/>
  <c r="Q187" i="105" s="1"/>
  <c r="Q256" i="105" a="1"/>
  <c r="Q256" i="105" s="1"/>
  <c r="I186" i="105" a="1"/>
  <c r="I186" i="105" s="1"/>
  <c r="I138" i="105" a="1"/>
  <c r="I138" i="105" s="1"/>
  <c r="I255" i="105" a="1"/>
  <c r="I255" i="105" s="1"/>
  <c r="H149" i="105" a="1"/>
  <c r="H149" i="105" s="1"/>
  <c r="H266" i="105" a="1"/>
  <c r="H266" i="105" s="1"/>
  <c r="H197" i="105" a="1"/>
  <c r="H197" i="105" s="1"/>
  <c r="G148" i="105" a="1"/>
  <c r="G148" i="105" s="1"/>
  <c r="G265" i="105" a="1"/>
  <c r="G265" i="105" s="1"/>
  <c r="G196" i="105" a="1"/>
  <c r="G196" i="105" s="1"/>
  <c r="H148" i="105" a="1"/>
  <c r="H148" i="105" s="1"/>
  <c r="H196" i="105" a="1"/>
  <c r="H196" i="105" s="1"/>
  <c r="H265" i="105" a="1"/>
  <c r="H265" i="105" s="1"/>
  <c r="H187" i="105" a="1"/>
  <c r="H187" i="105" s="1"/>
  <c r="H139" i="105" a="1"/>
  <c r="H139" i="105" s="1"/>
  <c r="H256" i="105" a="1"/>
  <c r="H256" i="105" s="1"/>
  <c r="F188" i="105" a="1"/>
  <c r="F188" i="105" s="1"/>
  <c r="F140" i="105" a="1"/>
  <c r="F140" i="105" s="1"/>
  <c r="F257" i="105" a="1"/>
  <c r="F257" i="105" s="1"/>
  <c r="F186" i="105" a="1"/>
  <c r="F186" i="105" s="1"/>
  <c r="F255" i="105" a="1"/>
  <c r="F255" i="105" s="1"/>
  <c r="F138" i="105" a="1"/>
  <c r="F138" i="105" s="1"/>
  <c r="R266" i="105" a="1"/>
  <c r="R266" i="105" s="1"/>
  <c r="R149" i="105" a="1"/>
  <c r="R149" i="105" s="1"/>
  <c r="R197" i="105" a="1"/>
  <c r="R197" i="105" s="1"/>
  <c r="S260" i="105" a="1"/>
  <c r="S260" i="105" s="1"/>
  <c r="S143" i="105" a="1"/>
  <c r="S143" i="105" s="1"/>
  <c r="S191" i="105" a="1"/>
  <c r="S191" i="105" s="1"/>
  <c r="S262" i="105" a="1"/>
  <c r="S262" i="105" s="1"/>
  <c r="S193" i="105" a="1"/>
  <c r="S193" i="105" s="1"/>
  <c r="S145" i="105" a="1"/>
  <c r="S145" i="105" s="1"/>
  <c r="P144" i="105" a="1"/>
  <c r="P144" i="105" s="1"/>
  <c r="P261" i="105" a="1"/>
  <c r="P261" i="105" s="1"/>
  <c r="P192" i="105" a="1"/>
  <c r="P192" i="105" s="1"/>
  <c r="P266" i="105" a="1"/>
  <c r="P266" i="105" s="1"/>
  <c r="P197" i="105" a="1"/>
  <c r="P197" i="105" s="1"/>
  <c r="P149" i="105" a="1"/>
  <c r="P149" i="105" s="1"/>
  <c r="Q144" i="105" a="1"/>
  <c r="Q144" i="105" s="1"/>
  <c r="Q192" i="105" a="1"/>
  <c r="Q192" i="105" s="1"/>
  <c r="Q261" i="105" a="1"/>
  <c r="Q261" i="105" s="1"/>
  <c r="P188" i="105" a="1"/>
  <c r="P188" i="105" s="1"/>
  <c r="P257" i="105" a="1"/>
  <c r="P257" i="105" s="1"/>
  <c r="P140" i="105" a="1"/>
  <c r="P140" i="105" s="1"/>
  <c r="P153" i="105" a="1"/>
  <c r="P153" i="105" s="1"/>
  <c r="P201" i="105" a="1"/>
  <c r="P201" i="105" s="1"/>
  <c r="P270" i="105" a="1"/>
  <c r="P270" i="105" s="1"/>
  <c r="I143" i="105" a="1"/>
  <c r="I143" i="105" s="1"/>
  <c r="I260" i="105" a="1"/>
  <c r="I260" i="105" s="1"/>
  <c r="I191" i="105" a="1"/>
  <c r="I191" i="105" s="1"/>
  <c r="H188" i="105" a="1"/>
  <c r="H188" i="105" s="1"/>
  <c r="H257" i="105" a="1"/>
  <c r="H257" i="105" s="1"/>
  <c r="H140" i="105" a="1"/>
  <c r="H140" i="105" s="1"/>
  <c r="F268" i="105" a="1"/>
  <c r="F268" i="105" s="1"/>
  <c r="F151" i="105" a="1"/>
  <c r="F151" i="105" s="1"/>
  <c r="F199" i="105" a="1"/>
  <c r="F199" i="105" s="1"/>
  <c r="F260" i="105" a="1"/>
  <c r="F260" i="105" s="1"/>
  <c r="F191" i="105" a="1"/>
  <c r="F191" i="105" s="1"/>
  <c r="F143" i="105" a="1"/>
  <c r="F143" i="105" s="1"/>
  <c r="F200" i="105" a="1"/>
  <c r="F200" i="105" s="1"/>
  <c r="F269" i="105" a="1"/>
  <c r="F269" i="105" s="1"/>
  <c r="F152" i="105" a="1"/>
  <c r="F152" i="105" s="1"/>
  <c r="H144" i="105" a="1"/>
  <c r="H144" i="105" s="1"/>
  <c r="H192" i="105" a="1"/>
  <c r="H192" i="105" s="1"/>
  <c r="H261" i="105" a="1"/>
  <c r="H261" i="105" s="1"/>
  <c r="I139" i="105" a="1"/>
  <c r="I139" i="105" s="1"/>
  <c r="I256" i="105" a="1"/>
  <c r="I256" i="105" s="1"/>
  <c r="I187" i="105" a="1"/>
  <c r="I187" i="105" s="1"/>
  <c r="S186" i="105" a="1"/>
  <c r="S186" i="105" s="1"/>
  <c r="S138" i="105" a="1"/>
  <c r="S138" i="105" s="1"/>
  <c r="S255" i="105" a="1"/>
  <c r="S255" i="105" s="1"/>
  <c r="S187" i="105" a="1"/>
  <c r="S187" i="105" s="1"/>
  <c r="S256" i="105" a="1"/>
  <c r="S256" i="105" s="1"/>
  <c r="S139" i="105" a="1"/>
  <c r="S139" i="105" s="1"/>
  <c r="P262" i="105" a="1"/>
  <c r="P262" i="105" s="1"/>
  <c r="P145" i="105" a="1"/>
  <c r="P145" i="105" s="1"/>
  <c r="P193" i="105" a="1"/>
  <c r="P193" i="105" s="1"/>
  <c r="R269" i="105" a="1"/>
  <c r="R269" i="105" s="1"/>
  <c r="R200" i="105" a="1"/>
  <c r="R200" i="105" s="1"/>
  <c r="R152" i="105" a="1"/>
  <c r="R152" i="105" s="1"/>
  <c r="R258" i="105" a="1"/>
  <c r="R258" i="105" s="1"/>
  <c r="R141" i="105" a="1"/>
  <c r="R141" i="105" s="1"/>
  <c r="R189" i="105" a="1"/>
  <c r="R189" i="105" s="1"/>
  <c r="S264" i="105" a="1"/>
  <c r="S264" i="105" s="1"/>
  <c r="S195" i="105" a="1"/>
  <c r="S195" i="105" s="1"/>
  <c r="S147" i="105" a="1"/>
  <c r="S147" i="105" s="1"/>
  <c r="P148" i="105" a="1"/>
  <c r="P148" i="105" s="1"/>
  <c r="P196" i="105" a="1"/>
  <c r="P196" i="105" s="1"/>
  <c r="P265" i="105" a="1"/>
  <c r="P265" i="105" s="1"/>
  <c r="S200" i="105" a="1"/>
  <c r="S200" i="105" s="1"/>
  <c r="S152" i="105" a="1"/>
  <c r="S152" i="105" s="1"/>
  <c r="S269" i="105" a="1"/>
  <c r="S269" i="105" s="1"/>
  <c r="I195" i="105" a="1"/>
  <c r="I195" i="105" s="1"/>
  <c r="I147" i="105" a="1"/>
  <c r="I147" i="105" s="1"/>
  <c r="I264" i="105" a="1"/>
  <c r="I264" i="105" s="1"/>
  <c r="I265" i="105" a="1"/>
  <c r="I265" i="105" s="1"/>
  <c r="I148" i="105" a="1"/>
  <c r="I148" i="105" s="1"/>
  <c r="I196" i="105" a="1"/>
  <c r="I196" i="105" s="1"/>
  <c r="H201" i="105" a="1"/>
  <c r="H201" i="105" s="1"/>
  <c r="H270" i="105" a="1"/>
  <c r="H270" i="105" s="1"/>
  <c r="H153" i="105" a="1"/>
  <c r="H153" i="105" s="1"/>
  <c r="F201" i="105" a="1"/>
  <c r="F201" i="105" s="1"/>
  <c r="F270" i="105" a="1"/>
  <c r="F270" i="105" s="1"/>
  <c r="F153" i="105" a="1"/>
  <c r="F153" i="105" s="1"/>
  <c r="H152" i="105" a="1"/>
  <c r="H152" i="105" s="1"/>
  <c r="H200" i="105" a="1"/>
  <c r="H200" i="105" s="1"/>
  <c r="H269" i="105" a="1"/>
  <c r="H269" i="105" s="1"/>
  <c r="F195" i="105" a="1"/>
  <c r="F195" i="105" s="1"/>
  <c r="F147" i="105" a="1"/>
  <c r="F147" i="105" s="1"/>
  <c r="F264" i="105" a="1"/>
  <c r="F264" i="105" s="1"/>
  <c r="H262" i="105" a="1"/>
  <c r="H262" i="105" s="1"/>
  <c r="H193" i="105" a="1"/>
  <c r="H193" i="105" s="1"/>
  <c r="H145" i="105" a="1"/>
  <c r="H145" i="105" s="1"/>
  <c r="Q189" i="105" a="1"/>
  <c r="Q189" i="105" s="1"/>
  <c r="Q258" i="105" a="1"/>
  <c r="Q258" i="105" s="1"/>
  <c r="Q141" i="105" a="1"/>
  <c r="Q141" i="105" s="1"/>
  <c r="Q188" i="105" a="1"/>
  <c r="Q188" i="105" s="1"/>
  <c r="Q257" i="105" a="1"/>
  <c r="Q257" i="105" s="1"/>
  <c r="Q140" i="105" a="1"/>
  <c r="Q140" i="105" s="1"/>
  <c r="Q270" i="105" a="1"/>
  <c r="Q270" i="105" s="1"/>
  <c r="Q153" i="105" a="1"/>
  <c r="Q153" i="105" s="1"/>
  <c r="Q201" i="105" a="1"/>
  <c r="Q201" i="105" s="1"/>
  <c r="Q182" i="105" a="1"/>
  <c r="Q182" i="105" s="1"/>
  <c r="Q251" i="105" a="1"/>
  <c r="Q251" i="105" s="1"/>
  <c r="Q134" i="105" a="1"/>
  <c r="Q134" i="105" s="1"/>
  <c r="R145" i="105" a="1"/>
  <c r="R145" i="105" s="1"/>
  <c r="R262" i="105" a="1"/>
  <c r="R262" i="105" s="1"/>
  <c r="R193" i="105" a="1"/>
  <c r="R193" i="105" s="1"/>
  <c r="P186" i="105" a="1"/>
  <c r="P186" i="105" s="1"/>
  <c r="P138" i="105" a="1"/>
  <c r="P138" i="105" s="1"/>
  <c r="P255" i="105" a="1"/>
  <c r="P255" i="105" s="1"/>
  <c r="R256" i="105" a="1"/>
  <c r="R256" i="105" s="1"/>
  <c r="R187" i="105" a="1"/>
  <c r="R187" i="105" s="1"/>
  <c r="R139" i="105" a="1"/>
  <c r="R139" i="105" s="1"/>
  <c r="R261" i="105" a="1"/>
  <c r="R261" i="105" s="1"/>
  <c r="R192" i="105" a="1"/>
  <c r="R192" i="105" s="1"/>
  <c r="R144" i="105" a="1"/>
  <c r="R144" i="105" s="1"/>
  <c r="G151" i="105" a="1"/>
  <c r="G151" i="105" s="1"/>
  <c r="G268" i="105" a="1"/>
  <c r="G268" i="105" s="1"/>
  <c r="G199" i="105" a="1"/>
  <c r="G199" i="105" s="1"/>
  <c r="I258" i="105" a="1"/>
  <c r="I258" i="105" s="1"/>
  <c r="I189" i="105" a="1"/>
  <c r="I189" i="105" s="1"/>
  <c r="I141" i="105" a="1"/>
  <c r="I141" i="105" s="1"/>
  <c r="G197" i="105" a="1"/>
  <c r="G197" i="105" s="1"/>
  <c r="G149" i="105" a="1"/>
  <c r="G149" i="105" s="1"/>
  <c r="G266" i="105" a="1"/>
  <c r="G266" i="105" s="1"/>
  <c r="G144" i="105" a="1"/>
  <c r="G144" i="105" s="1"/>
  <c r="G261" i="105" a="1"/>
  <c r="G261" i="105" s="1"/>
  <c r="G192" i="105" a="1"/>
  <c r="G192" i="105" s="1"/>
  <c r="H260" i="105" a="1"/>
  <c r="H260" i="105" s="1"/>
  <c r="H143" i="105" a="1"/>
  <c r="H143" i="105" s="1"/>
  <c r="H191" i="105" a="1"/>
  <c r="H191" i="105" s="1"/>
  <c r="G255" i="105" a="1"/>
  <c r="G255" i="105" s="1"/>
  <c r="G186" i="105" a="1"/>
  <c r="G186" i="105" s="1"/>
  <c r="G138" i="105" a="1"/>
  <c r="G138" i="105" s="1"/>
  <c r="G140" i="105" a="1"/>
  <c r="G140" i="105" s="1"/>
  <c r="G188" i="105" a="1"/>
  <c r="G188" i="105" s="1"/>
  <c r="G257" i="105" a="1"/>
  <c r="G257" i="105" s="1"/>
  <c r="Q186" i="105" a="1"/>
  <c r="Q186" i="105" s="1"/>
  <c r="Q138" i="105" a="1"/>
  <c r="Q138" i="105" s="1"/>
  <c r="Q255" i="105" a="1"/>
  <c r="Q255" i="105" s="1"/>
  <c r="R264" i="105" a="1"/>
  <c r="R264" i="105" s="1"/>
  <c r="R147" i="105" a="1"/>
  <c r="R147" i="105" s="1"/>
  <c r="R195" i="105" a="1"/>
  <c r="R195" i="105" s="1"/>
  <c r="Q252" i="105" a="1"/>
  <c r="Q252" i="105" s="1"/>
  <c r="Q183" i="105" a="1"/>
  <c r="Q183" i="105" s="1"/>
  <c r="Q135" i="105" a="1"/>
  <c r="Q135" i="105" s="1"/>
  <c r="Q262" i="105" a="1"/>
  <c r="Q262" i="105" s="1"/>
  <c r="Q145" i="105" a="1"/>
  <c r="Q145" i="105" s="1"/>
  <c r="Q193" i="105" a="1"/>
  <c r="Q193" i="105" s="1"/>
  <c r="R140" i="105" a="1"/>
  <c r="R140" i="105" s="1"/>
  <c r="R257" i="105" a="1"/>
  <c r="R257" i="105" s="1"/>
  <c r="R188" i="105" a="1"/>
  <c r="R188" i="105" s="1"/>
  <c r="R151" i="105" a="1"/>
  <c r="R151" i="105" s="1"/>
  <c r="R199" i="105" a="1"/>
  <c r="R199" i="105" s="1"/>
  <c r="R268" i="105" a="1"/>
  <c r="R268" i="105" s="1"/>
  <c r="P199" i="105" a="1"/>
  <c r="P199" i="105" s="1"/>
  <c r="P151" i="105" a="1"/>
  <c r="P151" i="105" s="1"/>
  <c r="P268" i="105" a="1"/>
  <c r="P268" i="105" s="1"/>
  <c r="P139" i="105" a="1"/>
  <c r="P139" i="105" s="1"/>
  <c r="P256" i="105" a="1"/>
  <c r="P256" i="105" s="1"/>
  <c r="P187" i="105" a="1"/>
  <c r="P187" i="105" s="1"/>
  <c r="I199" i="105" a="1"/>
  <c r="I199" i="105" s="1"/>
  <c r="I151" i="105" a="1"/>
  <c r="I151" i="105" s="1"/>
  <c r="I268" i="105" a="1"/>
  <c r="I268" i="105" s="1"/>
  <c r="I262" i="105" a="1"/>
  <c r="I262" i="105" s="1"/>
  <c r="I145" i="105" a="1"/>
  <c r="I145" i="105" s="1"/>
  <c r="I193" i="105" a="1"/>
  <c r="I193" i="105" s="1"/>
  <c r="G262" i="105" a="1"/>
  <c r="G262" i="105" s="1"/>
  <c r="G145" i="105" a="1"/>
  <c r="G145" i="105" s="1"/>
  <c r="G193" i="105" a="1"/>
  <c r="G193" i="105" s="1"/>
  <c r="I197" i="105" a="1"/>
  <c r="I197" i="105" s="1"/>
  <c r="I266" i="105" a="1"/>
  <c r="I266" i="105" s="1"/>
  <c r="I149" i="105" a="1"/>
  <c r="I149" i="105" s="1"/>
  <c r="G153" i="105" a="1"/>
  <c r="G153" i="105" s="1"/>
  <c r="G270" i="105" a="1"/>
  <c r="G270" i="105" s="1"/>
  <c r="G201" i="105" a="1"/>
  <c r="G201" i="105" s="1"/>
  <c r="F196" i="105" a="1"/>
  <c r="F196" i="105" s="1"/>
  <c r="F265" i="105" a="1"/>
  <c r="F265" i="105" s="1"/>
  <c r="F148" i="105" a="1"/>
  <c r="F148" i="105" s="1"/>
  <c r="H255" i="105" a="1"/>
  <c r="H255" i="105" s="1"/>
  <c r="H138" i="105" a="1"/>
  <c r="H138" i="105" s="1"/>
  <c r="H186" i="105" a="1"/>
  <c r="H186" i="105" s="1"/>
  <c r="F187" i="105" a="1"/>
  <c r="F187" i="105" s="1"/>
  <c r="F256" i="105" a="1"/>
  <c r="F256" i="105" s="1"/>
  <c r="F139" i="105" a="1"/>
  <c r="F139" i="105" s="1"/>
  <c r="S192" i="105" a="1"/>
  <c r="S192" i="105" s="1"/>
  <c r="S261" i="105" a="1"/>
  <c r="S261" i="105" s="1"/>
  <c r="S144" i="105" a="1"/>
  <c r="S144" i="105" s="1"/>
  <c r="S257" i="105" a="1"/>
  <c r="S257" i="105" s="1"/>
  <c r="S188" i="105" a="1"/>
  <c r="S188" i="105" s="1"/>
  <c r="S140" i="105" a="1"/>
  <c r="S140" i="105" s="1"/>
  <c r="Q195" i="105" a="1"/>
  <c r="Q195" i="105" s="1"/>
  <c r="Q147" i="105" a="1"/>
  <c r="Q147" i="105" s="1"/>
  <c r="Q264" i="105" a="1"/>
  <c r="Q264" i="105" s="1"/>
  <c r="Q148" i="105" a="1"/>
  <c r="Q148" i="105" s="1"/>
  <c r="Q265" i="105" a="1"/>
  <c r="Q265" i="105" s="1"/>
  <c r="Q196" i="105" a="1"/>
  <c r="Q196" i="105" s="1"/>
  <c r="Q269" i="105" a="1"/>
  <c r="Q269" i="105" s="1"/>
  <c r="Q152" i="105" a="1"/>
  <c r="Q152" i="105" s="1"/>
  <c r="Q200" i="105" a="1"/>
  <c r="Q200" i="105" s="1"/>
  <c r="S196" i="105" a="1"/>
  <c r="S196" i="105" s="1"/>
  <c r="S148" i="105" a="1"/>
  <c r="S148" i="105" s="1"/>
  <c r="S265" i="105" a="1"/>
  <c r="S265" i="105" s="1"/>
  <c r="S201" i="105" a="1"/>
  <c r="S201" i="105" s="1"/>
  <c r="S270" i="105" a="1"/>
  <c r="S270" i="105" s="1"/>
  <c r="S153" i="105" a="1"/>
  <c r="S153" i="105" s="1"/>
  <c r="P195" i="105" a="1"/>
  <c r="P195" i="105" s="1"/>
  <c r="P147" i="105" a="1"/>
  <c r="P147" i="105" s="1"/>
  <c r="P264" i="105" a="1"/>
  <c r="P264" i="105" s="1"/>
  <c r="I270" i="105" a="1"/>
  <c r="I270" i="105" s="1"/>
  <c r="I153" i="105" a="1"/>
  <c r="I153" i="105" s="1"/>
  <c r="I201" i="105" a="1"/>
  <c r="I201" i="105" s="1"/>
  <c r="H264" i="105" a="1"/>
  <c r="H264" i="105" s="1"/>
  <c r="H195" i="105" a="1"/>
  <c r="H195" i="105" s="1"/>
  <c r="H147" i="105" a="1"/>
  <c r="H147" i="105" s="1"/>
  <c r="F144" i="105" a="1"/>
  <c r="F144" i="105" s="1"/>
  <c r="F261" i="105" a="1"/>
  <c r="F261" i="105" s="1"/>
  <c r="F192" i="105" a="1"/>
  <c r="F192" i="105" s="1"/>
  <c r="G191" i="105" a="1"/>
  <c r="G191" i="105" s="1"/>
  <c r="G143" i="105" a="1"/>
  <c r="G143" i="105" s="1"/>
  <c r="G260" i="105" a="1"/>
  <c r="G260" i="105" s="1"/>
  <c r="G195" i="105" a="1"/>
  <c r="G195" i="105" s="1"/>
  <c r="G264" i="105" a="1"/>
  <c r="G264" i="105" s="1"/>
  <c r="G147" i="105" a="1"/>
  <c r="G147" i="105" s="1"/>
  <c r="G189" i="105" a="1"/>
  <c r="G189" i="105" s="1"/>
  <c r="G258" i="105" a="1"/>
  <c r="G258" i="105" s="1"/>
  <c r="G141" i="105" a="1"/>
  <c r="G141" i="105" s="1"/>
  <c r="F141" i="105" a="1"/>
  <c r="F141" i="105" s="1"/>
  <c r="F258" i="105" a="1"/>
  <c r="F258" i="105" s="1"/>
  <c r="F189" i="105" a="1"/>
  <c r="F189" i="105" s="1"/>
  <c r="F266" i="105" a="1"/>
  <c r="F266" i="105" s="1"/>
  <c r="F149" i="105" a="1"/>
  <c r="F149" i="105" s="1"/>
  <c r="F197" i="105" a="1"/>
  <c r="F197" i="105" s="1"/>
  <c r="S258" i="105" a="1"/>
  <c r="S258" i="105" s="1"/>
  <c r="S189" i="105" a="1"/>
  <c r="S189" i="105" s="1"/>
  <c r="S141" i="105" a="1"/>
  <c r="S141" i="105" s="1"/>
  <c r="P143" i="105" a="1"/>
  <c r="P143" i="105" s="1"/>
  <c r="P260" i="105" a="1"/>
  <c r="P260" i="105" s="1"/>
  <c r="P191" i="105" a="1"/>
  <c r="P191" i="105" s="1"/>
  <c r="R143" i="105" a="1"/>
  <c r="R143" i="105" s="1"/>
  <c r="R191" i="105" a="1"/>
  <c r="R191" i="105" s="1"/>
  <c r="R260" i="105" a="1"/>
  <c r="R260" i="105" s="1"/>
  <c r="Q260" i="105" a="1"/>
  <c r="Q260" i="105" s="1"/>
  <c r="Q191" i="105" a="1"/>
  <c r="Q191" i="105" s="1"/>
  <c r="Q143" i="105" a="1"/>
  <c r="Q143" i="105" s="1"/>
  <c r="R270" i="105" a="1"/>
  <c r="R270" i="105" s="1"/>
  <c r="R153" i="105" a="1"/>
  <c r="R153" i="105" s="1"/>
  <c r="R201" i="105" a="1"/>
  <c r="R201" i="105" s="1"/>
  <c r="P152" i="105" a="1"/>
  <c r="P152" i="105" s="1"/>
  <c r="P200" i="105" a="1"/>
  <c r="P200" i="105" s="1"/>
  <c r="P269" i="105" a="1"/>
  <c r="P269" i="105" s="1"/>
  <c r="P258" i="105" a="1"/>
  <c r="P258" i="105" s="1"/>
  <c r="P189" i="105" a="1"/>
  <c r="P189" i="105" s="1"/>
  <c r="P141" i="105" a="1"/>
  <c r="P141" i="105" s="1"/>
  <c r="R255" i="105" a="1"/>
  <c r="R255" i="105" s="1"/>
  <c r="R186" i="105" a="1"/>
  <c r="R186" i="105" s="1"/>
  <c r="R138" i="105" a="1"/>
  <c r="R138" i="105" s="1"/>
  <c r="G33" i="97"/>
  <c r="G80" i="97" s="1" a="1"/>
  <c r="G80" i="97" s="1"/>
  <c r="S33" i="97"/>
  <c r="S80" i="97" s="1" a="1"/>
  <c r="S80" i="97" s="1"/>
  <c r="R33" i="97"/>
  <c r="R80" i="97" s="1" a="1"/>
  <c r="R80" i="97" s="1"/>
  <c r="S32" i="97"/>
  <c r="S79" i="97" s="1" a="1"/>
  <c r="S79" i="97" s="1"/>
  <c r="G34" i="97"/>
  <c r="G81" i="97" s="1" a="1"/>
  <c r="G81" i="97" s="1"/>
  <c r="I34" i="97"/>
  <c r="I81" i="97" s="1" a="1"/>
  <c r="I81" i="97" s="1"/>
  <c r="P34" i="97"/>
  <c r="P81" i="97" s="1" a="1"/>
  <c r="P81" i="97" s="1"/>
  <c r="P33" i="97"/>
  <c r="P80" i="97" s="1" a="1"/>
  <c r="P80" i="97" s="1"/>
  <c r="I33" i="97"/>
  <c r="I80" i="97" s="1" a="1"/>
  <c r="I80" i="97" s="1"/>
  <c r="P32" i="97"/>
  <c r="P79" i="97" s="1" a="1"/>
  <c r="P79" i="97" s="1"/>
  <c r="H33" i="97"/>
  <c r="H80" i="97" s="1" a="1"/>
  <c r="H80" i="97" s="1"/>
  <c r="H32" i="97"/>
  <c r="H79" i="97" s="1" a="1"/>
  <c r="H79" i="97" s="1"/>
  <c r="I32" i="97"/>
  <c r="I79" i="97" s="1" a="1"/>
  <c r="I79" i="97" s="1"/>
  <c r="H34" i="97"/>
  <c r="H81" i="97" s="1" a="1"/>
  <c r="H81" i="97" s="1"/>
  <c r="F33" i="97"/>
  <c r="F80" i="97" s="1" a="1"/>
  <c r="F80" i="97" s="1"/>
  <c r="F34" i="97"/>
  <c r="F81" i="97" s="1" a="1"/>
  <c r="F81" i="97" s="1"/>
  <c r="R32" i="97"/>
  <c r="R79" i="97" s="1" a="1"/>
  <c r="R79" i="97" s="1"/>
  <c r="R34" i="97"/>
  <c r="R81" i="97" s="1" a="1"/>
  <c r="R81" i="97" s="1"/>
  <c r="G32" i="97"/>
  <c r="G79" i="97" s="1" a="1"/>
  <c r="G79" i="97" s="1"/>
  <c r="S34" i="97"/>
  <c r="S81" i="97" s="1" a="1"/>
  <c r="S81" i="97" s="1"/>
  <c r="F32" i="97"/>
  <c r="F79" i="97" s="1" a="1"/>
  <c r="F79" i="97" s="1"/>
  <c r="E261" i="69" l="1"/>
  <c r="E7" i="13" s="1"/>
  <c r="O261" i="69"/>
  <c r="F7" i="13" s="1"/>
  <c r="O297" i="76"/>
  <c r="E297" i="76"/>
  <c r="G135" i="105" a="1"/>
  <c r="G135" i="105" s="1"/>
  <c r="G183" i="105" a="1"/>
  <c r="G183" i="105" s="1"/>
  <c r="G253" i="105" a="1"/>
  <c r="G253" i="105" s="1"/>
  <c r="G136" i="105" a="1"/>
  <c r="G136" i="105" s="1"/>
  <c r="H134" i="105" a="1"/>
  <c r="H134" i="105" s="1"/>
  <c r="H182" i="105" a="1"/>
  <c r="H182" i="105" s="1"/>
  <c r="I182" i="105" a="1"/>
  <c r="I182" i="105" s="1"/>
  <c r="I134" i="105" a="1"/>
  <c r="I134" i="105" s="1"/>
  <c r="S253" i="105" a="1"/>
  <c r="S253" i="105" s="1"/>
  <c r="S183" i="105" a="1"/>
  <c r="S183" i="105" s="1"/>
  <c r="P251" i="105" a="1"/>
  <c r="P251" i="105" s="1"/>
  <c r="P134" i="105" a="1"/>
  <c r="P134" i="105" s="1"/>
  <c r="F251" i="105" a="1"/>
  <c r="F251" i="105" s="1"/>
  <c r="R251" i="105" a="1"/>
  <c r="R251" i="105" s="1"/>
  <c r="R182" i="105" a="1"/>
  <c r="R182" i="105" s="1"/>
  <c r="F252" i="105" a="1"/>
  <c r="F252" i="105" s="1"/>
  <c r="P183" i="105" a="1"/>
  <c r="P183" i="105" s="1"/>
  <c r="P135" i="105" a="1"/>
  <c r="P135" i="105" s="1"/>
  <c r="F135" i="105" a="1"/>
  <c r="F135" i="105" s="1"/>
  <c r="F253" i="105" a="1"/>
  <c r="F253" i="105" s="1"/>
  <c r="S136" i="105" a="1"/>
  <c r="S136" i="105" s="1"/>
  <c r="F184" i="105" a="1"/>
  <c r="F184" i="105" s="1"/>
  <c r="E106" i="97"/>
  <c r="S252" i="105" a="1"/>
  <c r="S252" i="105" s="1"/>
  <c r="O106" i="97"/>
  <c r="F134" i="105" a="1"/>
  <c r="F134" i="105" s="1"/>
  <c r="R183" i="105" a="1"/>
  <c r="R183" i="105" s="1"/>
  <c r="R135" i="105" a="1"/>
  <c r="R135" i="105" s="1"/>
  <c r="P136" i="105" a="1"/>
  <c r="P136" i="105" s="1"/>
  <c r="G134" i="105" a="1"/>
  <c r="G134" i="105" s="1"/>
  <c r="H183" i="105" a="1"/>
  <c r="H183" i="105" s="1"/>
  <c r="S182" i="105" a="1"/>
  <c r="S182" i="105" s="1"/>
  <c r="R184" i="105" a="1"/>
  <c r="R184" i="105" s="1"/>
  <c r="I183" i="105" a="1"/>
  <c r="I183" i="105" s="1"/>
  <c r="H135" i="105" a="1"/>
  <c r="H135" i="105" s="1"/>
  <c r="S251" i="105" a="1"/>
  <c r="S251" i="105" s="1"/>
  <c r="P184" i="105" a="1"/>
  <c r="P184" i="105" s="1"/>
  <c r="H184" i="105" a="1"/>
  <c r="H184" i="105" s="1"/>
  <c r="I252" i="105" a="1"/>
  <c r="I252" i="105" s="1"/>
  <c r="H136" i="105" a="1"/>
  <c r="H136" i="105" s="1"/>
  <c r="I253" i="105" a="1"/>
  <c r="I253" i="105" s="1"/>
  <c r="G182" i="105" a="1"/>
  <c r="G182" i="105" s="1"/>
  <c r="I184" i="105" a="1"/>
  <c r="I184" i="105" s="1"/>
  <c r="R253" i="105" a="1"/>
  <c r="R253" i="105" s="1"/>
  <c r="G263" i="69" l="1"/>
  <c r="E266" i="69" s="1" a="1"/>
  <c r="E266" i="69" s="1"/>
  <c r="H7" i="13" s="1"/>
  <c r="Q263" i="69"/>
  <c r="O266" i="69" s="1" a="1"/>
  <c r="O266" i="69" s="1"/>
  <c r="I7" i="13" s="1"/>
  <c r="O209" i="105"/>
  <c r="O161" i="105"/>
  <c r="E278" i="105"/>
  <c r="E18" i="13" s="1"/>
  <c r="E161" i="105"/>
  <c r="E17" i="13" s="1"/>
  <c r="E209" i="105"/>
  <c r="E19" i="13" s="1"/>
  <c r="O278" i="105"/>
  <c r="Q299" i="76"/>
  <c r="O302" i="76" s="1" a="1"/>
  <c r="O302" i="76" s="1"/>
  <c r="I8" i="13" s="1"/>
  <c r="F8" i="13"/>
  <c r="G299" i="76"/>
  <c r="E302" i="76" s="1" a="1"/>
  <c r="E302" i="76" s="1"/>
  <c r="H8" i="13" s="1"/>
  <c r="E8" i="13"/>
  <c r="I118" i="97"/>
  <c r="E125" i="97" s="1" a="1"/>
  <c r="E125" i="97" s="1"/>
  <c r="S118" i="97"/>
  <c r="O125" i="97" s="1" a="1"/>
  <c r="O125" i="97" s="1"/>
  <c r="Q127" i="97" l="1"/>
  <c r="O130" i="97" s="1" a="1"/>
  <c r="O130" i="97" s="1"/>
  <c r="I9" i="13" s="1"/>
  <c r="I11" i="13" s="1"/>
  <c r="F9" i="13"/>
  <c r="G127" i="97"/>
  <c r="E130" i="97" s="1" a="1"/>
  <c r="E130" i="97" s="1"/>
  <c r="H9" i="13" s="1"/>
  <c r="H11" i="13" s="1"/>
  <c r="E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<sst xmlns="http://schemas.openxmlformats.org/spreadsheetml/2006/main" count="1227" uniqueCount="414">
  <si>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</si>
  <si>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</si>
  <si>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</si>
  <si>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</si>
  <si>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</si>
  <si>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</si>
  <si>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</si>
  <si>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</si>
  <si>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</si>
  <si>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</si>
  <si>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</si>
  <si>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</si>
  <si>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</si>
  <si>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</si>
  <si>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</si>
  <si>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</si>
  <si>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</si>
  <si>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</si>
  <si>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</si>
  <si>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</si>
  <si>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</si>
  <si>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</si>
  <si>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</si>
  <si>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</si>
  <si>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</si>
  <si>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</si>
  <si>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</si>
  <si>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</si>
  <si>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</si>
  <si>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</si>
  <si>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</si>
  <si>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</si>
  <si>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</si>
  <si>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</si>
  <si>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</si>
  <si>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</si>
  <si>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</si>
  <si>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</si>
  <si>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</si>
  <si>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</si>
  <si>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</si>
  <si>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</si>
  <si>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</si>
  <si>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</si>
  <si>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</si>
  <si>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</si>
  <si>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</si>
  <si>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</si>
  <si>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</si>
  <si>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</si>
  <si>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</si>
  <si>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</si>
  <si>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</si>
  <si>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</si>
  <si>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</si>
  <si>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</si>
  <si>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</si>
  <si>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</si>
  <si>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</si>
  <si>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</si>
  <si>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</si>
  <si>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</si>
  <si>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</si>
  <si>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</si>
  <si>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</si>
  <si>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</si>
  <si>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</si>
  <si>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</si>
  <si>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</si>
  <si>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</si>
  <si>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</si>
  <si>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</si>
  <si>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</si>
  <si>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</si>
  <si>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</si>
  <si>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</si>
  <si>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</si>
  <si>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</si>
  <si>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</si>
  <si>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</si>
  <si>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</si>
  <si>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</si>
  <si>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</si>
  <si>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</si>
  <si>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</si>
  <si>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</si>
  <si>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</si>
  <si>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</si>
  <si>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</si>
  <si>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</si>
  <si>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</si>
  <si>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</si>
  <si>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</si>
  <si>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</si>
  <si>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</si>
  <si>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</si>
  <si>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</si>
  <si>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</si>
  <si>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</si>
  <si>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</si>
  <si>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</si>
  <si>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</si>
  <si>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</si>
  <si>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</si>
  <si>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</si>
  <si>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</si>
  <si>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</si>
  <si>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</si>
  <si>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</si>
  <si>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</si>
  <si>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</si>
  <si>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</si>
  <si>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</si>
  <si>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</si>
  <si>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</si>
  <si>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fraction</t>
  </si>
  <si>
    <t>M1_Table_MCF_i_m</t>
  </si>
  <si>
    <t>M1_Table_E_CH4</t>
  </si>
  <si>
    <t>t CH4</t>
  </si>
  <si>
    <t>Irrigation type i</t>
  </si>
  <si>
    <t>t CO2e</t>
  </si>
  <si>
    <t>EFPRP</t>
  </si>
  <si>
    <t>GHG emissions method 1</t>
  </si>
  <si>
    <t>GHG emissions method 2</t>
  </si>
  <si>
    <t>CO2-e emissions method 1</t>
  </si>
  <si>
    <t>CO2-e emissions method 2</t>
  </si>
  <si>
    <t>Season</t>
  </si>
  <si>
    <t>Western Australia</t>
  </si>
  <si>
    <t>M2_Table_E_CH4</t>
  </si>
  <si>
    <t>t N2O</t>
  </si>
  <si>
    <t>Crop</t>
  </si>
  <si>
    <t>4.5 Manure management: Swine: Results</t>
  </si>
  <si>
    <t>Input -Swine</t>
  </si>
  <si>
    <t>Constants - Swine</t>
  </si>
  <si>
    <t>Manure production</t>
  </si>
  <si>
    <t>Boars</t>
  </si>
  <si>
    <t>Sows</t>
  </si>
  <si>
    <t>Gilts</t>
  </si>
  <si>
    <t>Volatile solids produced per head per day</t>
  </si>
  <si>
    <t>Nitrogen produced in swine waste per head per day</t>
  </si>
  <si>
    <t>kg N/head/day</t>
  </si>
  <si>
    <t>Yes</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</si>
  <si>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</si>
  <si>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</si>
  <si>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</si>
  <si>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</si>
  <si>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</si>
  <si>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</si>
  <si>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</si>
  <si>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</si>
  <si>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</si>
  <si>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</si>
  <si>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</si>
  <si>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4.5.1.1-2 Manure Methane</t>
  </si>
  <si>
    <t>Table_MMS_j_m-1-7-9-8_T-1</t>
  </si>
  <si>
    <t>Fraction VS sent to MMS other than solid storage in stage 1</t>
  </si>
  <si>
    <t>Stage 1 management</t>
  </si>
  <si>
    <t>Table_MMS_j_m-4_T-1</t>
  </si>
  <si>
    <t>Fraction primary system solid storage</t>
  </si>
  <si>
    <t>Table_VSL_m_T-1</t>
  </si>
  <si>
    <r>
      <t>VSL</t>
    </r>
    <r>
      <rPr>
        <b/>
        <vertAlign val="subscript"/>
        <sz val="11"/>
        <color rgb="FF183C1B"/>
        <rFont val="Times New Roman"/>
        <family val="1"/>
      </rPr>
      <t>m,T=1</t>
    </r>
  </si>
  <si>
    <t>create source data in sourcedata file</t>
  </si>
  <si>
    <t>Table_MMS_j_m_T-2</t>
  </si>
  <si>
    <t>Fraction of manure in each secondary system</t>
  </si>
  <si>
    <t>Stage 2 management</t>
  </si>
  <si>
    <t>N/A</t>
  </si>
  <si>
    <t>Table_D_j</t>
  </si>
  <si>
    <t>Duration of stay of each class of swine</t>
  </si>
  <si>
    <t>Table_N_j</t>
  </si>
  <si>
    <t>Number of head for each swine class</t>
  </si>
  <si>
    <t>ECH4</t>
  </si>
  <si>
    <t>Manure management systems</t>
  </si>
  <si>
    <t>Stage 1 MMS</t>
  </si>
  <si>
    <t>Total sent to all MMS (Must equal 100%)</t>
  </si>
  <si>
    <t>Stage 2 MMS</t>
  </si>
  <si>
    <t>This tool demostrates inputs for one production system.</t>
  </si>
  <si>
    <t>Because the type of production system is not relevant in emissions calculations, you can select any kind.</t>
  </si>
  <si>
    <t>Destination after stage 2 MMS (Percent)</t>
  </si>
  <si>
    <t>Sold</t>
  </si>
  <si>
    <t>Fert for own farm (eg crop)</t>
  </si>
  <si>
    <t>Direct application to soil</t>
  </si>
  <si>
    <t>▼</t>
  </si>
  <si>
    <t>►</t>
  </si>
  <si>
    <t>Fraction separated solids sent from MMS other than solid storage to solid storage in stage 1 (Method 1)</t>
  </si>
  <si>
    <t>Fraction VS in MMS other than solid storage in stage 1 (Method 1)</t>
  </si>
  <si>
    <t>M1_Table_FVS_j_m-4_T-1</t>
  </si>
  <si>
    <t>Fraction VS in stage 1 solid storage (Method 1)</t>
  </si>
  <si>
    <t>Methane conversion factor for state (Method 1)</t>
  </si>
  <si>
    <t>M1_Table_M_i_j_m_T-2</t>
  </si>
  <si>
    <t>Production of methane for each MMS in stage 2 (Method 1)</t>
  </si>
  <si>
    <t>M1 Table_VST_j_m_T-2</t>
  </si>
  <si>
    <t>Volatile solids transferred from stage 1 to stage 2 (Method 1)</t>
  </si>
  <si>
    <t>Method 1 default values (Do not edit)</t>
  </si>
  <si>
    <t>Method 2 custom values (Edit if known)</t>
  </si>
  <si>
    <t>Methane emissions from manure management (Method 1)</t>
  </si>
  <si>
    <t>Others</t>
  </si>
  <si>
    <t>M2_Table_SS_m-1-7-9</t>
  </si>
  <si>
    <t>Fraction separated solids sent from MMS other than solid storage to solid storage in stage 1 (Method 2)</t>
  </si>
  <si>
    <t>Fraction VS in MMS other than solid storage in stage 1 (Method 2)</t>
  </si>
  <si>
    <t>M2_Table_FVS_j_m-4_T-1</t>
  </si>
  <si>
    <t>Fraction VS in stage 1 solid storage (Method 2)</t>
  </si>
  <si>
    <t>M1_Table_VS_j</t>
  </si>
  <si>
    <t>Daily volatile solid production (Method 1)</t>
  </si>
  <si>
    <t>M2_Table_VS_j</t>
  </si>
  <si>
    <t>Daily volatile solid production (Method 2)</t>
  </si>
  <si>
    <t>M2 Table_VST_j_m_T-2</t>
  </si>
  <si>
    <t>Volatile solids transferred from stage 1 to stage 2 (Method 2)</t>
  </si>
  <si>
    <t>M2_Table_M_i_j_m_T-2</t>
  </si>
  <si>
    <t>Production of methane for each MMS in stage 2 (Method 2)</t>
  </si>
  <si>
    <t>M2_Table_M_i_j_m_T-1</t>
  </si>
  <si>
    <t>Production of methane for each MMS in stage 1 (Method 2)</t>
  </si>
  <si>
    <t>M1_Table_M_i_j_m_T-1</t>
  </si>
  <si>
    <t>Production of methane for each MMS in stage 1 (Method 1)</t>
  </si>
  <si>
    <t>M1_Table_M_m_j</t>
  </si>
  <si>
    <t>Production of methane for all MMS in stages 1 and 2 (Method 1)</t>
  </si>
  <si>
    <t>M2_Table_M_m_j</t>
  </si>
  <si>
    <t>Production of methane for all MMS in stages 1 and 2 (Method 2)</t>
  </si>
  <si>
    <t>Methane emissions from manure management (Method 2)</t>
  </si>
  <si>
    <t>4.5.1.3-4 Manure Direct N2O</t>
  </si>
  <si>
    <t>NWj</t>
  </si>
  <si>
    <t>NWj Daily</t>
  </si>
  <si>
    <t>Ij</t>
  </si>
  <si>
    <t>MMSm</t>
  </si>
  <si>
    <t>FracGASMmT</t>
  </si>
  <si>
    <t>NIR reference</t>
  </si>
  <si>
    <t>M1_Table_NW_j</t>
  </si>
  <si>
    <t>Duration of stay for each swine class</t>
  </si>
  <si>
    <t>Fraction N sent to MMS other than solid storage in stage 1</t>
  </si>
  <si>
    <t>M1_Table_SN_m-1-7-9</t>
  </si>
  <si>
    <t>Fraction of nitrogen separated to solid storage (Method 1)</t>
  </si>
  <si>
    <t>M1_Table_FN_j_m_T-1</t>
  </si>
  <si>
    <t>M1_Table_FVS_j_m_T-1</t>
  </si>
  <si>
    <t>M2_Table_FVS_j_m_T-1</t>
  </si>
  <si>
    <t>Table_MMS_j_m_T-1</t>
  </si>
  <si>
    <t>M1_Table_SS_m</t>
  </si>
  <si>
    <t>Fraction N in each primary MMS (Method 1)</t>
  </si>
  <si>
    <t>M1_Table_MN_j_m_T-1</t>
  </si>
  <si>
    <t>Nitrogen in treatment stage 1 MMS (Method 1)</t>
  </si>
  <si>
    <t>Table_FracGASM_m_t-1</t>
  </si>
  <si>
    <t>Fraction of N volatilised from stage 1 MMS</t>
  </si>
  <si>
    <t>FracGASMm</t>
  </si>
  <si>
    <t>Table_EF_m_t-1</t>
  </si>
  <si>
    <t>Nitrous oxide emissions factor for stage 1 MMS</t>
  </si>
  <si>
    <t>EF</t>
  </si>
  <si>
    <t>EFmT</t>
  </si>
  <si>
    <t>M1_Table_NT_j_m_T-2</t>
  </si>
  <si>
    <t>Nitrogen transferred to treatment stage 2 (Method 1)</t>
  </si>
  <si>
    <t>M1_Table_MN_j_m_T-2</t>
  </si>
  <si>
    <t>Nitrogen in stage 2 MMS (Method 1)</t>
  </si>
  <si>
    <t>M1_Table_E_N2O_dir</t>
  </si>
  <si>
    <t>Total direct nitrous oxide emissions from MMS (Method 1)</t>
  </si>
  <si>
    <r>
      <t>MMS</t>
    </r>
    <r>
      <rPr>
        <b/>
        <vertAlign val="subscript"/>
        <sz val="16"/>
        <color theme="1" tint="0.24994659260841701"/>
        <rFont val="Times New Roman"/>
        <family val="1"/>
      </rPr>
      <t>ATMOS</t>
    </r>
  </si>
  <si>
    <t>Where manure was deposited on farm soils, what is the closest match?</t>
  </si>
  <si>
    <t>Swine crop or pasture production systems</t>
  </si>
  <si>
    <r>
      <t>MMS</t>
    </r>
    <r>
      <rPr>
        <b/>
        <vertAlign val="subscript"/>
        <sz val="12"/>
        <color theme="1" tint="0.24994659260841701"/>
        <rFont val="Times New Roman"/>
        <family val="1"/>
      </rPr>
      <t>ATMOS</t>
    </r>
  </si>
  <si>
    <t>M2_Table_SN_m-1-7-9</t>
  </si>
  <si>
    <t>Fraction of nitrogen separated to solid storage (Method 2)</t>
  </si>
  <si>
    <t>M2_Table_MN_j_m_T-1</t>
  </si>
  <si>
    <t>Nitrogen in treatment stage 1 MMS (Method 2)</t>
  </si>
  <si>
    <t>M2_Table_NT_j_m_T-2</t>
  </si>
  <si>
    <t>Nitrogen transferred to treatment stage 2 (Method 2)</t>
  </si>
  <si>
    <t>M2_Table_FN_j_m_T-1</t>
  </si>
  <si>
    <t>Fraction N in each primary MMS (Method 2)</t>
  </si>
  <si>
    <t>M2_Table_E_N2O_dir</t>
  </si>
  <si>
    <t>Total direct nitrous oxide emissions from MMS (Method 2)</t>
  </si>
  <si>
    <t>4.2.1.7-8 Leaching and runoff</t>
  </si>
  <si>
    <r>
      <t xml:space="preserve">This infers that drylot is </t>
    </r>
    <r>
      <rPr>
        <b/>
        <sz val="12"/>
        <color theme="1" tint="0.24994659260841701"/>
        <rFont val="Times New Roman"/>
        <family val="1"/>
      </rPr>
      <t>not</t>
    </r>
    <r>
      <rPr>
        <sz val="12"/>
        <color theme="1" tint="0.24994659260841701"/>
        <rFont val="Times New Roman"/>
        <family val="1"/>
      </rPr>
      <t xml:space="preserve"> a stage 2 MMS option</t>
    </r>
  </si>
  <si>
    <t>M1_Table_MN_j_m-5_T-1</t>
  </si>
  <si>
    <t>Nitrogen in stage 1 drylot (Method 1)</t>
  </si>
  <si>
    <t>M2_Table_MN_j_m-5_T-1</t>
  </si>
  <si>
    <t>Nitrogen in stage 1 drylot (Method 2)</t>
  </si>
  <si>
    <t>Doc has typo - refers to 'solid storage'</t>
  </si>
  <si>
    <t>M1_Table_MN_leach_j_m-5</t>
  </si>
  <si>
    <t>Mass of nitrogen lost to leaching (Method 1)</t>
  </si>
  <si>
    <t>M1_Table_E_N2O_leach</t>
  </si>
  <si>
    <t>Annual emissions from leaching and runoff (Method 1)</t>
  </si>
  <si>
    <r>
      <t>E</t>
    </r>
    <r>
      <rPr>
        <b/>
        <vertAlign val="subscript"/>
        <sz val="16"/>
        <color theme="1" tint="0.24994659260841701"/>
        <rFont val="Times New Roman"/>
        <family val="1"/>
      </rPr>
      <t>N2O,leach</t>
    </r>
  </si>
  <si>
    <t>M2_Table_E_N2O_leach</t>
  </si>
  <si>
    <t>Annual emissions from leaching and runoff (Method 2)</t>
  </si>
  <si>
    <t>4.5.1.7-8 Leaching and runoff</t>
  </si>
  <si>
    <t>4.5.1.5-6 Atmospheric deposition N2O</t>
  </si>
  <si>
    <t>4.5.1.9 Manure applied to soils</t>
  </si>
  <si>
    <t xml:space="preserve"> but 4.5.1.7, Equation (2) says MNleachjm=5 only comes from stage 1 MMS</t>
  </si>
  <si>
    <t>MNleachjm=5 infers stage 1 and 2 drylot MMS</t>
  </si>
  <si>
    <t>Class name</t>
  </si>
  <si>
    <t>Nitrogen produced per class (Method 1)</t>
  </si>
  <si>
    <t>M2_Table_NW_j</t>
  </si>
  <si>
    <t>Nitrogen produced per class (Method 2)</t>
  </si>
  <si>
    <t>M1_Table_AE_j</t>
  </si>
  <si>
    <t>Annual nitrogen excretion (Method 1)</t>
  </si>
  <si>
    <t>M2_Table_AE_j</t>
  </si>
  <si>
    <t>Annual nitrogen excretion (Method 2)</t>
  </si>
  <si>
    <t>N lost through leaching and runoff from stage 1 drylot MMS</t>
  </si>
  <si>
    <t>M1_Table_PF</t>
  </si>
  <si>
    <t>Fraction of manure applied to soil (Method 1)</t>
  </si>
  <si>
    <t>PF</t>
  </si>
  <si>
    <t>Table_FracGASM_m_t</t>
  </si>
  <si>
    <t>Fraction of N volatilised from MMS</t>
  </si>
  <si>
    <t>Table_EF_m_T</t>
  </si>
  <si>
    <t>Nitrous oxide emissions factor for MMS</t>
  </si>
  <si>
    <t>M1_Table_MNSoil_scope1</t>
  </si>
  <si>
    <t>Mass of nitrogen applied to soils for scope 1 emissions</t>
  </si>
  <si>
    <r>
      <t>MNSoil</t>
    </r>
    <r>
      <rPr>
        <b/>
        <vertAlign val="subscript"/>
        <sz val="16"/>
        <color theme="1" tint="0.24994659260841701"/>
        <rFont val="Times New Roman"/>
        <family val="1"/>
      </rPr>
      <t>scope1</t>
    </r>
  </si>
  <si>
    <t>M2_Table_MN_j_m_T-2</t>
  </si>
  <si>
    <t>Nitrogen in stage 2 MMS (Method 2)</t>
  </si>
  <si>
    <t>M1_Table_MNSoil_scope3</t>
  </si>
  <si>
    <t>Mass of nitrogen applied to soils for scope 3 emissions</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</si>
  <si>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</si>
  <si>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</si>
  <si>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</si>
  <si>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</si>
  <si>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</si>
  <si>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r>
      <t>PF</t>
    </r>
    <r>
      <rPr>
        <b/>
        <vertAlign val="subscript"/>
        <sz val="11"/>
        <color rgb="FF183C1B"/>
        <rFont val="Times New Roman"/>
        <family val="1"/>
      </rPr>
      <t>fert</t>
    </r>
  </si>
  <si>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</si>
  <si>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</si>
  <si>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</si>
  <si>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</si>
  <si>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</si>
  <si>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</si>
  <si>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</si>
  <si>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</si>
  <si>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Amount of N in manure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</si>
  <si>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</si>
  <si>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</si>
  <si>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</si>
  <si>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</si>
  <si>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</si>
  <si>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</si>
  <si>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</si>
  <si>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</si>
  <si>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</si>
  <si>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Scope 1 - This piggery</t>
  </si>
  <si>
    <t>4.5.1.1-2 Manure methane</t>
  </si>
  <si>
    <t>4.5.1.3-4 Direct N2O</t>
  </si>
  <si>
    <t>4.5.1.5-6 Atmospheric deposition</t>
  </si>
  <si>
    <t>Pasture</t>
  </si>
  <si>
    <t>Outdoor/free range</t>
  </si>
  <si>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</si>
  <si>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</si>
  <si>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</si>
  <si>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</si>
  <si>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</si>
  <si>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</si>
  <si>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</si>
  <si>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</si>
  <si>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</si>
  <si>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</si>
  <si>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</si>
  <si>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</si>
  <si>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</si>
  <si>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</si>
  <si>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</si>
  <si>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</si>
  <si>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</si>
  <si>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</si>
  <si>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Methane conversion factor for temperature zone (Method 2)</t>
  </si>
  <si>
    <t>NOTE: Drylot MCF is state-based rather than temperature-based.</t>
  </si>
  <si>
    <t xml:space="preserve">    </t>
  </si>
  <si>
    <t>Climate Zone</t>
  </si>
  <si>
    <t>EFNi &amp; EFN2Oi</t>
  </si>
  <si>
    <t>Solid storage (after solid separation) - Method 1</t>
  </si>
  <si>
    <t>Solid storage (after solid separation) - Method 2</t>
  </si>
  <si>
    <t>Livestock type j</t>
  </si>
  <si>
    <t>Average liveweight (kg)</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</si>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</sst>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2"/>
      <color rgb="FF0070C0"/>
      <name val="Times New Roman"/>
      <family val="1"/>
    </font>
    <font>
      <u/>
      <sz val="10"/>
      <color rgb="FF008000"/>
      <name val="Times New Roman"/>
      <family val="2"/>
      <scheme val="minor"/>
    </font>
    <font>
      <i/>
      <sz val="10"/>
      <color theme="1" tint="0.14999847407452621"/>
      <name val="Times New Roman"/>
      <family val="1"/>
      <scheme val="minor"/>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2"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7"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2" fillId="4" borderId="0">
      <alignment horizontal="left" vertical="center"/>
    </xf>
    <xf numFmtId="0" fontId="37"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1" fillId="11" borderId="0">
      <alignment horizontal="left" vertical="center" indent="1"/>
    </xf>
    <xf numFmtId="0" fontId="63" fillId="15" borderId="2">
      <alignment horizontal="center" vertical="center"/>
    </xf>
    <xf numFmtId="0" fontId="64" fillId="16" borderId="2">
      <alignment horizontal="center" vertical="center"/>
    </xf>
    <xf numFmtId="0" fontId="67" fillId="0" borderId="0" applyNumberFormat="0" applyFill="0" applyBorder="0" applyAlignment="0" applyProtection="0"/>
    <xf numFmtId="0" fontId="65" fillId="4" borderId="2">
      <alignment horizontal="left" vertical="center"/>
    </xf>
    <xf numFmtId="0" fontId="34" fillId="4" borderId="2">
      <alignment horizontal="left" vertical="center"/>
    </xf>
    <xf numFmtId="0" fontId="68" fillId="0" borderId="0"/>
  </cellStyleXfs>
  <cellXfs count="150">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43" fillId="13" borderId="8" xfId="41">
      <alignment horizontal="left" vertical="center"/>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8"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6" fillId="0" borderId="0" xfId="5" applyFill="1">
      <alignment horizontal="left" vertical="center"/>
    </xf>
    <xf numFmtId="0" fontId="42"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8" fillId="4" borderId="1" xfId="8" applyBorder="1">
      <alignment horizontal="left" vertical="center"/>
    </xf>
    <xf numFmtId="9" fontId="2" fillId="0" borderId="2" xfId="17">
      <alignment horizontal="center" vertical="center"/>
    </xf>
    <xf numFmtId="4" fontId="25" fillId="0" borderId="0" xfId="18" applyFont="1" applyBorder="1">
      <alignment horizontal="center" vertical="center"/>
    </xf>
    <xf numFmtId="0" fontId="52"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4" fillId="4" borderId="2" xfId="43" applyNumberFormat="1">
      <alignment horizontal="center" vertical="center"/>
    </xf>
    <xf numFmtId="164" fontId="8" fillId="4" borderId="0" xfId="27" applyBorder="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7"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9" fontId="34" fillId="4" borderId="2" xfId="14" applyFont="1" applyFill="1" applyBorder="1" applyAlignment="1">
      <alignment horizontal="center" vertical="center"/>
    </xf>
    <xf numFmtId="0" fontId="47" fillId="4" borderId="0" xfId="61">
      <alignment horizontal="left" vertical="center"/>
    </xf>
    <xf numFmtId="0" fontId="46" fillId="4" borderId="0" xfId="60">
      <alignment horizontal="left" vertical="center"/>
    </xf>
    <xf numFmtId="0" fontId="34" fillId="4" borderId="19" xfId="55" applyBorder="1" applyAlignment="1">
      <alignment horizontal="left"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0" fontId="38" fillId="14" borderId="0" xfId="8" applyFill="1">
      <alignment horizontal="left" vertical="center"/>
    </xf>
    <xf numFmtId="0" fontId="34" fillId="4" borderId="2" xfId="55" applyAlignment="1">
      <alignment vertical="center"/>
    </xf>
    <xf numFmtId="0" fontId="34" fillId="4" borderId="6" xfId="55" applyBorder="1" applyAlignment="1">
      <alignment vertical="center"/>
    </xf>
    <xf numFmtId="0" fontId="34"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0" fillId="4" borderId="1" xfId="8" applyFont="1" applyBorder="1">
      <alignment horizontal="left" vertical="center"/>
    </xf>
    <xf numFmtId="2" fontId="31" fillId="4" borderId="1" xfId="0" applyNumberFormat="1" applyFont="1" applyFill="1" applyBorder="1" applyAlignment="1">
      <alignment horizontal="center"/>
    </xf>
    <xf numFmtId="0" fontId="45" fillId="11" borderId="0" xfId="63">
      <alignment horizontal="center" vertical="center"/>
    </xf>
    <xf numFmtId="0" fontId="56" fillId="0" borderId="0" xfId="2" applyFont="1"/>
    <xf numFmtId="0" fontId="43" fillId="13" borderId="20" xfId="41" applyBorder="1">
      <alignment horizontal="left" vertical="center"/>
    </xf>
    <xf numFmtId="0" fontId="57"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8" fillId="4" borderId="0" xfId="8" applyFont="1">
      <alignment horizontal="left" vertical="center"/>
    </xf>
    <xf numFmtId="0" fontId="59" fillId="4" borderId="0" xfId="8" applyFont="1">
      <alignment horizontal="left" vertical="center"/>
    </xf>
    <xf numFmtId="3" fontId="34" fillId="4" borderId="2" xfId="55" applyNumberFormat="1">
      <alignment horizontal="center" vertical="center"/>
    </xf>
    <xf numFmtId="0" fontId="38" fillId="4" borderId="0" xfId="8" applyAlignment="1">
      <alignment horizontal="left" vertical="center" indent="3"/>
    </xf>
    <xf numFmtId="0" fontId="40" fillId="4" borderId="0" xfId="8" applyFont="1" applyAlignment="1">
      <alignment horizontal="left" vertical="center" indent="3"/>
    </xf>
    <xf numFmtId="0" fontId="38" fillId="4" borderId="0" xfId="8" applyAlignment="1">
      <alignment horizontal="left" vertical="center" indent="6"/>
    </xf>
    <xf numFmtId="0" fontId="13" fillId="6" borderId="0" xfId="29" applyAlignment="1">
      <alignment horizontal="left" vertical="center" indent="3"/>
    </xf>
    <xf numFmtId="0" fontId="57" fillId="6" borderId="0" xfId="30" applyFont="1" applyAlignment="1" applyProtection="1">
      <alignment horizontal="left" vertical="center"/>
    </xf>
    <xf numFmtId="0" fontId="38" fillId="4" borderId="0" xfId="8" applyAlignment="1">
      <alignment horizontal="center" vertical="center"/>
    </xf>
    <xf numFmtId="0" fontId="61" fillId="4" borderId="0" xfId="62" applyFont="1" applyAlignment="1">
      <alignment horizontal="left" vertical="center" indent="2"/>
    </xf>
    <xf numFmtId="0" fontId="61" fillId="4" borderId="0" xfId="62" applyFont="1">
      <alignment horizontal="left" vertical="center"/>
    </xf>
    <xf numFmtId="0" fontId="43" fillId="13" borderId="9" xfId="41" applyBorder="1">
      <alignment horizontal="left" vertical="center"/>
    </xf>
    <xf numFmtId="0" fontId="62" fillId="4" borderId="0" xfId="62" applyFont="1">
      <alignment horizontal="left" vertical="center"/>
    </xf>
    <xf numFmtId="170" fontId="8" fillId="4" borderId="0" xfId="10" applyNumberFormat="1">
      <alignment horizontal="center" vertical="center"/>
    </xf>
    <xf numFmtId="0" fontId="63" fillId="15" borderId="2" xfId="65">
      <alignment horizontal="center" vertical="center"/>
    </xf>
    <xf numFmtId="0" fontId="64" fillId="16" borderId="2" xfId="66">
      <alignment horizontal="center" vertical="center"/>
    </xf>
    <xf numFmtId="0" fontId="65" fillId="4" borderId="2" xfId="55" applyFont="1" applyAlignment="1">
      <alignment horizontal="left" vertical="center"/>
    </xf>
    <xf numFmtId="0" fontId="64" fillId="16" borderId="6" xfId="66" applyBorder="1">
      <alignment horizontal="center" vertical="center"/>
    </xf>
    <xf numFmtId="0" fontId="65"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5" fillId="4" borderId="6" xfId="68" applyBorder="1">
      <alignment horizontal="left" vertical="center"/>
    </xf>
    <xf numFmtId="0" fontId="65" fillId="4" borderId="7" xfId="68" applyBorder="1">
      <alignment horizontal="left" vertical="center"/>
    </xf>
    <xf numFmtId="0" fontId="68" fillId="0" borderId="0" xfId="70"/>
    <xf numFmtId="0" fontId="0" fillId="0" borderId="21" xfId="0" applyBorder="1"/>
    <xf numFmtId="0" fontId="0" fillId="4" borderId="21" xfId="0" applyFill="1" applyBorder="1"/>
    <xf numFmtId="0" fontId="21" fillId="11" borderId="0" xfId="64">
      <alignment horizontal="left" vertical="center" indent="1"/>
    </xf>
    <xf numFmtId="0" fontId="69" fillId="9" borderId="5" xfId="36" applyFont="1">
      <alignment horizontal="left" vertical="center" indent="1"/>
    </xf>
    <xf numFmtId="0" fontId="21" fillId="5" borderId="0" xfId="38">
      <alignment horizontal="left" vertical="center" indent="1"/>
    </xf>
    <xf numFmtId="0" fontId="21" fillId="8" borderId="0" xfId="39">
      <alignment horizontal="left" vertical="center" indent="1"/>
    </xf>
    <xf numFmtId="0" fontId="21" fillId="10" borderId="0" xfId="37">
      <alignment horizontal="left" vertical="center" indent="1"/>
    </xf>
    <xf numFmtId="0" fontId="67" fillId="0" borderId="0" xfId="34"/>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10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9"/>
      <tableStyleElement type="headerRow" dxfId="98"/>
      <tableStyleElement type="totalRow" dxfId="97"/>
      <tableStyleElement type="firstColumn" dxfId="96"/>
      <tableStyleElement type="firstRowStripe" dxfId="95"/>
      <tableStyleElement type="secondRowStripe" dxfId="94"/>
    </tableStyle>
    <tableStyle name="Equation table" pivot="0" count="6" xr9:uid="{B247698E-E41D-4CCD-AA0A-C14817E9DE65}">
      <tableStyleElement type="wholeTable" dxfId="93"/>
      <tableStyleElement type="headerRow" dxfId="92"/>
      <tableStyleElement type="totalRow" dxfId="91"/>
      <tableStyleElement type="firstColumn" dxfId="90"/>
      <tableStyleElement type="firstRowStripe" dxfId="89"/>
      <tableStyleElement type="secondRowStripe" dxfId="88"/>
    </tableStyle>
    <tableStyle name="Table Style 1" pivot="0" count="0" xr9:uid="{97B370DB-5463-4A31-9160-5A96BD6A559D}"/>
  </tableStyles>
  <colors>
    <mruColors>
      <color rgb="FF0C769E"/>
      <color rgb="FF008000"/>
      <color rgb="FF4F4789"/>
      <color rgb="FFE9F2FB"/>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5.1.3-4 Direct N20'!D5"/><Relationship Id="rId13" Type="http://schemas.openxmlformats.org/officeDocument/2006/relationships/hyperlink" Target="#'4.5.1.3-4 Direct N20'!D173"/><Relationship Id="rId18" Type="http://schemas.openxmlformats.org/officeDocument/2006/relationships/hyperlink" Target="#'4.5.1.7-8 Leaching and runoff'!D32"/><Relationship Id="rId3" Type="http://schemas.openxmlformats.org/officeDocument/2006/relationships/hyperlink" Target="#'4.5.1.1-2 Methane'!D72"/><Relationship Id="rId7" Type="http://schemas.openxmlformats.org/officeDocument/2006/relationships/hyperlink" Target="#'4.5.1.1-2 Methane'!D233"/><Relationship Id="rId12" Type="http://schemas.openxmlformats.org/officeDocument/2006/relationships/hyperlink" Target="#'4.5.1.3-4 Direct N20'!D127"/><Relationship Id="rId17" Type="http://schemas.openxmlformats.org/officeDocument/2006/relationships/hyperlink" Target="#'4.5.1.7-8 Leaching and runoff'!D5"/><Relationship Id="rId2" Type="http://schemas.openxmlformats.org/officeDocument/2006/relationships/hyperlink" Target="#'4.5.1.1-2 Methane'!D45"/><Relationship Id="rId16" Type="http://schemas.openxmlformats.org/officeDocument/2006/relationships/hyperlink" Target="#'4.5.1.9 Manure applied to soils'!D165"/><Relationship Id="rId20" Type="http://schemas.openxmlformats.org/officeDocument/2006/relationships/hyperlink" Target="#'4.5.1.5-6 Atmos Dep'!D110"/><Relationship Id="rId1" Type="http://schemas.openxmlformats.org/officeDocument/2006/relationships/hyperlink" Target="#'4.5.1.1-2 Methane'!D5"/><Relationship Id="rId6" Type="http://schemas.openxmlformats.org/officeDocument/2006/relationships/hyperlink" Target="#'4.5.1.1-2 Methane'!D215"/><Relationship Id="rId11" Type="http://schemas.openxmlformats.org/officeDocument/2006/relationships/hyperlink" Target="#'4.5.1.3-4 Direct N20'!D104"/><Relationship Id="rId5" Type="http://schemas.openxmlformats.org/officeDocument/2006/relationships/hyperlink" Target="#'4.5.1.1-2 Methane'!D188"/><Relationship Id="rId15" Type="http://schemas.openxmlformats.org/officeDocument/2006/relationships/hyperlink" Target="#'4.5.1.9 Manure applied to soils'!D5"/><Relationship Id="rId10" Type="http://schemas.openxmlformats.org/officeDocument/2006/relationships/hyperlink" Target="#'4.5.1.3-4 Direct N20'!D79"/><Relationship Id="rId19" Type="http://schemas.openxmlformats.org/officeDocument/2006/relationships/hyperlink" Target="#'4.5.1.5-6 Atmos Dep'!D5"/><Relationship Id="rId4" Type="http://schemas.openxmlformats.org/officeDocument/2006/relationships/hyperlink" Target="#'4.5.1.1-2 Methane'!D112"/><Relationship Id="rId9" Type="http://schemas.openxmlformats.org/officeDocument/2006/relationships/hyperlink" Target="#'4.5.1.3-4 Direct N20'!D39"/><Relationship Id="rId14" Type="http://schemas.openxmlformats.org/officeDocument/2006/relationships/hyperlink" Target="#'4.5.1.3-4 Direct N20'!D246"/></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533151</xdr:colOff>
      <xdr:row>15</xdr:row>
      <xdr:rowOff>161925</xdr:rowOff>
    </xdr:from>
    <xdr:to>
      <xdr:col>9</xdr:col>
      <xdr:colOff>379392</xdr:colOff>
      <xdr:row>19</xdr:row>
      <xdr:rowOff>66675</xdr:rowOff>
    </xdr:to>
    <xdr:sp macro="" textlink="">
      <xdr:nvSpPr>
        <xdr:cNvPr id="3" name="Rectangle 2">
          <a:extLst>
            <a:ext uri="{FF2B5EF4-FFF2-40B4-BE49-F238E27FC236}">
              <a16:creationId xmlns:a16="http://schemas.microsoft.com/office/drawing/2014/main" id="{9D90D7ED-2BDB-4AE7-A6A7-5B86E8F4B004}"/>
            </a:ext>
          </a:extLst>
        </xdr:cNvPr>
        <xdr:cNvSpPr/>
      </xdr:nvSpPr>
      <xdr:spPr>
        <a:xfrm>
          <a:off x="4169969" y="3019425"/>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Drylot</a:t>
          </a:r>
        </a:p>
      </xdr:txBody>
    </xdr:sp>
    <xdr:clientData/>
  </xdr:twoCellAnchor>
  <xdr:twoCellAnchor>
    <xdr:from>
      <xdr:col>14</xdr:col>
      <xdr:colOff>195852</xdr:colOff>
      <xdr:row>22</xdr:row>
      <xdr:rowOff>76200</xdr:rowOff>
    </xdr:from>
    <xdr:to>
      <xdr:col>17</xdr:col>
      <xdr:colOff>41073</xdr:colOff>
      <xdr:row>25</xdr:row>
      <xdr:rowOff>171450</xdr:rowOff>
    </xdr:to>
    <xdr:sp macro="" textlink="">
      <xdr:nvSpPr>
        <xdr:cNvPr id="4" name="Rectangle 3">
          <a:extLst>
            <a:ext uri="{FF2B5EF4-FFF2-40B4-BE49-F238E27FC236}">
              <a16:creationId xmlns:a16="http://schemas.microsoft.com/office/drawing/2014/main" id="{E9A97019-1B6A-41EF-9BF0-3FEAF5567595}"/>
            </a:ext>
          </a:extLst>
        </xdr:cNvPr>
        <xdr:cNvSpPr/>
      </xdr:nvSpPr>
      <xdr:spPr>
        <a:xfrm>
          <a:off x="8681761" y="4267200"/>
          <a:ext cx="1663630"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19</xdr:col>
      <xdr:colOff>459831</xdr:colOff>
      <xdr:row>22</xdr:row>
      <xdr:rowOff>95250</xdr:rowOff>
    </xdr:from>
    <xdr:to>
      <xdr:col>22</xdr:col>
      <xdr:colOff>306069</xdr:colOff>
      <xdr:row>26</xdr:row>
      <xdr:rowOff>0</xdr:rowOff>
    </xdr:to>
    <xdr:sp macro="" textlink="">
      <xdr:nvSpPr>
        <xdr:cNvPr id="5" name="Rectangle 4">
          <a:extLst>
            <a:ext uri="{FF2B5EF4-FFF2-40B4-BE49-F238E27FC236}">
              <a16:creationId xmlns:a16="http://schemas.microsoft.com/office/drawing/2014/main" id="{AD1A547A-5445-460C-A565-E3249F11AC1F}"/>
            </a:ext>
          </a:extLst>
        </xdr:cNvPr>
        <xdr:cNvSpPr/>
      </xdr:nvSpPr>
      <xdr:spPr>
        <a:xfrm>
          <a:off x="11976422" y="4286250"/>
          <a:ext cx="1664647"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16</xdr:col>
      <xdr:colOff>490047</xdr:colOff>
      <xdr:row>15</xdr:row>
      <xdr:rowOff>180975</xdr:rowOff>
    </xdr:from>
    <xdr:to>
      <xdr:col>19</xdr:col>
      <xdr:colOff>340769</xdr:colOff>
      <xdr:row>19</xdr:row>
      <xdr:rowOff>85725</xdr:rowOff>
    </xdr:to>
    <xdr:sp macro="" textlink="">
      <xdr:nvSpPr>
        <xdr:cNvPr id="7" name="Rectangle 6">
          <a:extLst>
            <a:ext uri="{FF2B5EF4-FFF2-40B4-BE49-F238E27FC236}">
              <a16:creationId xmlns:a16="http://schemas.microsoft.com/office/drawing/2014/main" id="{D214A28D-C479-4D28-BA0F-3CEF965889FD}"/>
            </a:ext>
          </a:extLst>
        </xdr:cNvPr>
        <xdr:cNvSpPr/>
      </xdr:nvSpPr>
      <xdr:spPr>
        <a:xfrm>
          <a:off x="10188229" y="303847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Solid storage</a:t>
          </a:r>
        </a:p>
      </xdr:txBody>
    </xdr:sp>
    <xdr:clientData/>
  </xdr:twoCellAnchor>
  <xdr:twoCellAnchor>
    <xdr:from>
      <xdr:col>16</xdr:col>
      <xdr:colOff>490047</xdr:colOff>
      <xdr:row>30</xdr:row>
      <xdr:rowOff>47625</xdr:rowOff>
    </xdr:from>
    <xdr:to>
      <xdr:col>19</xdr:col>
      <xdr:colOff>340769</xdr:colOff>
      <xdr:row>33</xdr:row>
      <xdr:rowOff>142875</xdr:rowOff>
    </xdr:to>
    <xdr:sp macro="" textlink="">
      <xdr:nvSpPr>
        <xdr:cNvPr id="9" name="Rectangle 8">
          <a:extLst>
            <a:ext uri="{FF2B5EF4-FFF2-40B4-BE49-F238E27FC236}">
              <a16:creationId xmlns:a16="http://schemas.microsoft.com/office/drawing/2014/main" id="{76DC797A-47DC-4B66-B29F-4B98F5EF29F2}"/>
            </a:ext>
          </a:extLst>
        </xdr:cNvPr>
        <xdr:cNvSpPr/>
      </xdr:nvSpPr>
      <xdr:spPr>
        <a:xfrm>
          <a:off x="10188229" y="576262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34</xdr:col>
      <xdr:colOff>169163</xdr:colOff>
      <xdr:row>17</xdr:row>
      <xdr:rowOff>105335</xdr:rowOff>
    </xdr:from>
    <xdr:to>
      <xdr:col>37</xdr:col>
      <xdr:colOff>424978</xdr:colOff>
      <xdr:row>19</xdr:row>
      <xdr:rowOff>162485</xdr:rowOff>
    </xdr:to>
    <xdr:sp macro="" textlink="'4.5.1.1-2 Methane'!D5">
      <xdr:nvSpPr>
        <xdr:cNvPr id="11" name="TextBox 10">
          <a:hlinkClick xmlns:r="http://schemas.openxmlformats.org/officeDocument/2006/relationships" r:id="rId1"/>
          <a:extLst>
            <a:ext uri="{FF2B5EF4-FFF2-40B4-BE49-F238E27FC236}">
              <a16:creationId xmlns:a16="http://schemas.microsoft.com/office/drawing/2014/main" id="{4D3FDF02-08C8-4E57-BF26-A32020DBC947}"/>
            </a:ext>
          </a:extLst>
        </xdr:cNvPr>
        <xdr:cNvSpPr txBox="1"/>
      </xdr:nvSpPr>
      <xdr:spPr>
        <a:xfrm>
          <a:off x="20777799" y="3343835"/>
          <a:ext cx="2074224"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634CD5F-1564-469D-8423-F72FE4D80743}" type="TxLink">
            <a:rPr lang="en-US" sz="900" b="0" i="0" u="none" strike="noStrike">
              <a:solidFill>
                <a:srgbClr val="0C769E"/>
              </a:solidFill>
              <a:latin typeface="Times New Roman"/>
              <a:cs typeface="Times New Roman"/>
            </a:rPr>
            <a:pPr algn="ctr"/>
            <a:t>Fraction of volatile solids in each primary system other than solid storage</a:t>
          </a:fld>
          <a:endParaRPr lang="en-AU" sz="900">
            <a:solidFill>
              <a:srgbClr val="0C769E"/>
            </a:solidFill>
          </a:endParaRPr>
        </a:p>
      </xdr:txBody>
    </xdr:sp>
    <xdr:clientData/>
  </xdr:twoCellAnchor>
  <xdr:twoCellAnchor>
    <xdr:from>
      <xdr:col>30</xdr:col>
      <xdr:colOff>482128</xdr:colOff>
      <xdr:row>17</xdr:row>
      <xdr:rowOff>114860</xdr:rowOff>
    </xdr:from>
    <xdr:to>
      <xdr:col>34</xdr:col>
      <xdr:colOff>125000</xdr:colOff>
      <xdr:row>19</xdr:row>
      <xdr:rowOff>172010</xdr:rowOff>
    </xdr:to>
    <xdr:sp macro="" textlink="'4.5.1.1-2 Methane'!D45">
      <xdr:nvSpPr>
        <xdr:cNvPr id="12" name="TextBox 11">
          <a:hlinkClick xmlns:r="http://schemas.openxmlformats.org/officeDocument/2006/relationships" r:id="rId2"/>
          <a:extLst>
            <a:ext uri="{FF2B5EF4-FFF2-40B4-BE49-F238E27FC236}">
              <a16:creationId xmlns:a16="http://schemas.microsoft.com/office/drawing/2014/main" id="{778C95C7-9E3A-4214-A48D-0B1AAEE4BAC1}"/>
            </a:ext>
          </a:extLst>
        </xdr:cNvPr>
        <xdr:cNvSpPr txBox="1"/>
      </xdr:nvSpPr>
      <xdr:spPr>
        <a:xfrm>
          <a:off x="18666219" y="3353360"/>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098B37F-FECF-4259-BC82-6993AB3D1880}" type="TxLink">
            <a:rPr lang="en-US" sz="900" b="0" i="0" u="none" strike="noStrike">
              <a:solidFill>
                <a:srgbClr val="0C769E"/>
              </a:solidFill>
              <a:latin typeface="Times New Roman"/>
              <a:cs typeface="Times New Roman"/>
            </a:rPr>
            <a:pPr algn="ctr"/>
            <a:t>Fraction of volatile solids in solid storage</a:t>
          </a:fld>
          <a:endParaRPr lang="en-AU" sz="900">
            <a:solidFill>
              <a:srgbClr val="0C769E"/>
            </a:solidFill>
          </a:endParaRPr>
        </a:p>
      </xdr:txBody>
    </xdr:sp>
    <xdr:clientData/>
  </xdr:twoCellAnchor>
  <xdr:twoCellAnchor>
    <xdr:from>
      <xdr:col>34</xdr:col>
      <xdr:colOff>458314</xdr:colOff>
      <xdr:row>37</xdr:row>
      <xdr:rowOff>156482</xdr:rowOff>
    </xdr:from>
    <xdr:to>
      <xdr:col>38</xdr:col>
      <xdr:colOff>95745</xdr:colOff>
      <xdr:row>40</xdr:row>
      <xdr:rowOff>23132</xdr:rowOff>
    </xdr:to>
    <xdr:sp macro="" textlink="'4.5.1.1-2 Methane'!D72">
      <xdr:nvSpPr>
        <xdr:cNvPr id="13" name="TextBox 12">
          <a:hlinkClick xmlns:r="http://schemas.openxmlformats.org/officeDocument/2006/relationships" r:id="rId3"/>
          <a:extLst>
            <a:ext uri="{FF2B5EF4-FFF2-40B4-BE49-F238E27FC236}">
              <a16:creationId xmlns:a16="http://schemas.microsoft.com/office/drawing/2014/main" id="{0E258D31-0E18-4E99-9B93-6A796CE49647}"/>
            </a:ext>
          </a:extLst>
        </xdr:cNvPr>
        <xdr:cNvSpPr txBox="1"/>
      </xdr:nvSpPr>
      <xdr:spPr>
        <a:xfrm>
          <a:off x="21184714" y="7204982"/>
          <a:ext cx="2075831"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B3284DC-4B5D-452B-B038-DE4784039477}" type="TxLink">
            <a:rPr lang="en-US" sz="900" b="0" i="0" u="none" strike="noStrike">
              <a:solidFill>
                <a:srgbClr val="0C769E"/>
              </a:solidFill>
              <a:latin typeface="Times New Roman"/>
              <a:cs typeface="Times New Roman"/>
            </a:rPr>
            <a:pPr algn="ctr"/>
            <a:t>Volatile solids transferred to treatment stage 2 MMS</a:t>
          </a:fld>
          <a:endParaRPr lang="en-AU" sz="900">
            <a:solidFill>
              <a:srgbClr val="0C769E"/>
            </a:solidFill>
          </a:endParaRPr>
        </a:p>
      </xdr:txBody>
    </xdr:sp>
    <xdr:clientData/>
  </xdr:twoCellAnchor>
  <xdr:twoCellAnchor>
    <xdr:from>
      <xdr:col>34</xdr:col>
      <xdr:colOff>447428</xdr:colOff>
      <xdr:row>43</xdr:row>
      <xdr:rowOff>137432</xdr:rowOff>
    </xdr:from>
    <xdr:to>
      <xdr:col>38</xdr:col>
      <xdr:colOff>87581</xdr:colOff>
      <xdr:row>46</xdr:row>
      <xdr:rowOff>4082</xdr:rowOff>
    </xdr:to>
    <xdr:sp macro="" textlink="'4.5.1.1-2 Methane'!D112">
      <xdr:nvSpPr>
        <xdr:cNvPr id="14" name="TextBox 13">
          <a:hlinkClick xmlns:r="http://schemas.openxmlformats.org/officeDocument/2006/relationships" r:id="rId4"/>
          <a:extLst>
            <a:ext uri="{FF2B5EF4-FFF2-40B4-BE49-F238E27FC236}">
              <a16:creationId xmlns:a16="http://schemas.microsoft.com/office/drawing/2014/main" id="{E70EB3CE-701A-4735-BD82-63C07FB75E40}"/>
            </a:ext>
          </a:extLst>
        </xdr:cNvPr>
        <xdr:cNvSpPr txBox="1"/>
      </xdr:nvSpPr>
      <xdr:spPr>
        <a:xfrm>
          <a:off x="21173828" y="8328932"/>
          <a:ext cx="2078553"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BB38A4E-CC3B-4E5B-B911-A08093806AB9}" type="TxLink">
            <a:rPr lang="en-US" sz="900" b="0" i="0" u="none" strike="noStrike">
              <a:solidFill>
                <a:srgbClr val="0C769E"/>
              </a:solidFill>
              <a:latin typeface="Times New Roman"/>
              <a:cs typeface="Times New Roman"/>
            </a:rPr>
            <a:pPr algn="ctr"/>
            <a:t>Production of methane in each treatment stage 2 MMS</a:t>
          </a:fld>
          <a:endParaRPr lang="en-AU" sz="900">
            <a:solidFill>
              <a:srgbClr val="0C769E"/>
            </a:solidFill>
          </a:endParaRPr>
        </a:p>
      </xdr:txBody>
    </xdr:sp>
    <xdr:clientData/>
  </xdr:twoCellAnchor>
  <xdr:twoCellAnchor>
    <xdr:from>
      <xdr:col>32</xdr:col>
      <xdr:colOff>436544</xdr:colOff>
      <xdr:row>32</xdr:row>
      <xdr:rowOff>118382</xdr:rowOff>
    </xdr:from>
    <xdr:to>
      <xdr:col>36</xdr:col>
      <xdr:colOff>79416</xdr:colOff>
      <xdr:row>34</xdr:row>
      <xdr:rowOff>175532</xdr:rowOff>
    </xdr:to>
    <xdr:sp macro="" textlink="'4.5.1.1-2 Methane'!D188">
      <xdr:nvSpPr>
        <xdr:cNvPr id="15" name="TextBox 14">
          <a:hlinkClick xmlns:r="http://schemas.openxmlformats.org/officeDocument/2006/relationships" r:id="rId5"/>
          <a:extLst>
            <a:ext uri="{FF2B5EF4-FFF2-40B4-BE49-F238E27FC236}">
              <a16:creationId xmlns:a16="http://schemas.microsoft.com/office/drawing/2014/main" id="{855DBBB7-F811-4981-BC84-B10829931EFA}"/>
            </a:ext>
          </a:extLst>
        </xdr:cNvPr>
        <xdr:cNvSpPr txBox="1"/>
      </xdr:nvSpPr>
      <xdr:spPr>
        <a:xfrm>
          <a:off x="19832908" y="6214382"/>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B3E19D-0F3B-4F5C-8499-6FA1BB821B2F}" type="TxLink">
            <a:rPr lang="en-US" sz="900" b="0" i="0" u="none" strike="noStrike">
              <a:solidFill>
                <a:srgbClr val="0C769E"/>
              </a:solidFill>
              <a:latin typeface="Times New Roman"/>
              <a:cs typeface="Times New Roman"/>
            </a:rPr>
            <a:pPr algn="ctr"/>
            <a:t>Production of methane in treatment stage 1 MMS</a:t>
          </a:fld>
          <a:endParaRPr lang="en-AU" sz="900">
            <a:solidFill>
              <a:srgbClr val="0C769E"/>
            </a:solidFill>
          </a:endParaRPr>
        </a:p>
      </xdr:txBody>
    </xdr:sp>
    <xdr:clientData/>
  </xdr:twoCellAnchor>
  <xdr:twoCellAnchor>
    <xdr:from>
      <xdr:col>32</xdr:col>
      <xdr:colOff>435182</xdr:colOff>
      <xdr:row>50</xdr:row>
      <xdr:rowOff>32657</xdr:rowOff>
    </xdr:from>
    <xdr:to>
      <xdr:col>36</xdr:col>
      <xdr:colOff>80777</xdr:colOff>
      <xdr:row>52</xdr:row>
      <xdr:rowOff>89807</xdr:rowOff>
    </xdr:to>
    <xdr:sp macro="" textlink="'4.5.1.1-2 Methane'!D215">
      <xdr:nvSpPr>
        <xdr:cNvPr id="16" name="TextBox 15">
          <a:hlinkClick xmlns:r="http://schemas.openxmlformats.org/officeDocument/2006/relationships" r:id="rId6"/>
          <a:extLst>
            <a:ext uri="{FF2B5EF4-FFF2-40B4-BE49-F238E27FC236}">
              <a16:creationId xmlns:a16="http://schemas.microsoft.com/office/drawing/2014/main" id="{7E4D739E-F18A-45D6-AA2A-A371E42E3D64}"/>
            </a:ext>
          </a:extLst>
        </xdr:cNvPr>
        <xdr:cNvSpPr txBox="1"/>
      </xdr:nvSpPr>
      <xdr:spPr>
        <a:xfrm>
          <a:off x="19831546" y="9557657"/>
          <a:ext cx="2070140"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6A2D8-F1B2-4E31-BD6E-62193AA865AD}" type="TxLink">
            <a:rPr lang="en-US" sz="900" b="0" i="0" u="none" strike="noStrike">
              <a:solidFill>
                <a:srgbClr val="0C769E"/>
              </a:solidFill>
              <a:latin typeface="Times New Roman"/>
              <a:cs typeface="Times New Roman"/>
            </a:rPr>
            <a:pPr algn="ctr"/>
            <a:t>Methane production from the manure of each class of swine</a:t>
          </a:fld>
          <a:endParaRPr lang="en-AU" sz="900">
            <a:solidFill>
              <a:srgbClr val="0C769E"/>
            </a:solidFill>
          </a:endParaRPr>
        </a:p>
      </xdr:txBody>
    </xdr:sp>
    <xdr:clientData/>
  </xdr:twoCellAnchor>
  <xdr:twoCellAnchor>
    <xdr:from>
      <xdr:col>32</xdr:col>
      <xdr:colOff>435182</xdr:colOff>
      <xdr:row>53</xdr:row>
      <xdr:rowOff>179614</xdr:rowOff>
    </xdr:from>
    <xdr:to>
      <xdr:col>36</xdr:col>
      <xdr:colOff>80777</xdr:colOff>
      <xdr:row>56</xdr:row>
      <xdr:rowOff>46264</xdr:rowOff>
    </xdr:to>
    <xdr:sp macro="" textlink="'4.5.1.1-2 Methane'!D233">
      <xdr:nvSpPr>
        <xdr:cNvPr id="17" name="TextBox 16">
          <a:hlinkClick xmlns:r="http://schemas.openxmlformats.org/officeDocument/2006/relationships" r:id="rId7"/>
          <a:extLst>
            <a:ext uri="{FF2B5EF4-FFF2-40B4-BE49-F238E27FC236}">
              <a16:creationId xmlns:a16="http://schemas.microsoft.com/office/drawing/2014/main" id="{0C4CABAF-34DC-4CC5-8DAE-12CADFE98204}"/>
            </a:ext>
          </a:extLst>
        </xdr:cNvPr>
        <xdr:cNvSpPr txBox="1"/>
      </xdr:nvSpPr>
      <xdr:spPr>
        <a:xfrm>
          <a:off x="19942382" y="10276114"/>
          <a:ext cx="2083995"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DDF589A-F32D-4306-BF11-21BAFB2E3E50}" type="TxLink">
            <a:rPr lang="en-US" sz="900" b="1" i="0" u="none" strike="noStrike">
              <a:solidFill>
                <a:srgbClr val="0C769E"/>
              </a:solidFill>
              <a:latin typeface="Times New Roman"/>
              <a:cs typeface="Times New Roman"/>
            </a:rPr>
            <a:pPr algn="ctr"/>
            <a:t>Total annual methane emissions from manure management</a:t>
          </a:fld>
          <a:endParaRPr lang="en-AU" sz="900" b="1">
            <a:solidFill>
              <a:srgbClr val="0C769E"/>
            </a:solidFill>
          </a:endParaRPr>
        </a:p>
      </xdr:txBody>
    </xdr:sp>
    <xdr:clientData/>
  </xdr:twoCellAnchor>
  <xdr:twoCellAnchor>
    <xdr:from>
      <xdr:col>16</xdr:col>
      <xdr:colOff>273455</xdr:colOff>
      <xdr:row>2</xdr:row>
      <xdr:rowOff>162486</xdr:rowOff>
    </xdr:from>
    <xdr:to>
      <xdr:col>19</xdr:col>
      <xdr:colOff>349241</xdr:colOff>
      <xdr:row>7</xdr:row>
      <xdr:rowOff>73097</xdr:rowOff>
    </xdr:to>
    <xdr:grpSp>
      <xdr:nvGrpSpPr>
        <xdr:cNvPr id="210" name="Group 209">
          <a:extLst>
            <a:ext uri="{FF2B5EF4-FFF2-40B4-BE49-F238E27FC236}">
              <a16:creationId xmlns:a16="http://schemas.microsoft.com/office/drawing/2014/main" id="{D7F3A8B8-4F23-AFF2-4271-1EEFA21B931F}"/>
            </a:ext>
          </a:extLst>
        </xdr:cNvPr>
        <xdr:cNvGrpSpPr/>
      </xdr:nvGrpSpPr>
      <xdr:grpSpPr>
        <a:xfrm>
          <a:off x="10027055" y="676836"/>
          <a:ext cx="1904586" cy="891686"/>
          <a:chOff x="13483359" y="543486"/>
          <a:chExt cx="1904586" cy="863111"/>
        </a:xfrm>
      </xdr:grpSpPr>
      <xdr:sp macro="" textlink="">
        <xdr:nvSpPr>
          <xdr:cNvPr id="2" name="Rectangle 1">
            <a:extLst>
              <a:ext uri="{FF2B5EF4-FFF2-40B4-BE49-F238E27FC236}">
                <a16:creationId xmlns:a16="http://schemas.microsoft.com/office/drawing/2014/main" id="{E5B2314C-C435-498B-A5E2-77D8F591B36D}"/>
              </a:ext>
            </a:extLst>
          </xdr:cNvPr>
          <xdr:cNvSpPr/>
        </xdr:nvSpPr>
        <xdr:spPr>
          <a:xfrm>
            <a:off x="13483359" y="543486"/>
            <a:ext cx="1670556"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39" name="Rectangle 38">
            <a:extLst>
              <a:ext uri="{FF2B5EF4-FFF2-40B4-BE49-F238E27FC236}">
                <a16:creationId xmlns:a16="http://schemas.microsoft.com/office/drawing/2014/main" id="{D4CD0816-E313-4EB9-848A-1F8FE126DB32}"/>
              </a:ext>
            </a:extLst>
          </xdr:cNvPr>
          <xdr:cNvSpPr/>
        </xdr:nvSpPr>
        <xdr:spPr>
          <a:xfrm>
            <a:off x="13592831" y="638736"/>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40" name="Rectangle 39">
            <a:extLst>
              <a:ext uri="{FF2B5EF4-FFF2-40B4-BE49-F238E27FC236}">
                <a16:creationId xmlns:a16="http://schemas.microsoft.com/office/drawing/2014/main" id="{C3F9A3FA-8936-418B-B4D4-E924FBC84DEC}"/>
              </a:ext>
            </a:extLst>
          </xdr:cNvPr>
          <xdr:cNvSpPr/>
        </xdr:nvSpPr>
        <xdr:spPr>
          <a:xfrm>
            <a:off x="13715923" y="739847"/>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grpSp>
    <xdr:clientData/>
  </xdr:twoCellAnchor>
  <xdr:twoCellAnchor>
    <xdr:from>
      <xdr:col>26</xdr:col>
      <xdr:colOff>221368</xdr:colOff>
      <xdr:row>15</xdr:row>
      <xdr:rowOff>171450</xdr:rowOff>
    </xdr:from>
    <xdr:to>
      <xdr:col>29</xdr:col>
      <xdr:colOff>248581</xdr:colOff>
      <xdr:row>20</xdr:row>
      <xdr:rowOff>66675</xdr:rowOff>
    </xdr:to>
    <xdr:grpSp>
      <xdr:nvGrpSpPr>
        <xdr:cNvPr id="205" name="Group 204">
          <a:extLst>
            <a:ext uri="{FF2B5EF4-FFF2-40B4-BE49-F238E27FC236}">
              <a16:creationId xmlns:a16="http://schemas.microsoft.com/office/drawing/2014/main" id="{C932CEF1-B9C9-D9C7-6E6B-A5F19C1B3CAE}"/>
            </a:ext>
          </a:extLst>
        </xdr:cNvPr>
        <xdr:cNvGrpSpPr/>
      </xdr:nvGrpSpPr>
      <xdr:grpSpPr>
        <a:xfrm>
          <a:off x="16070968" y="3228975"/>
          <a:ext cx="1856013" cy="876300"/>
          <a:chOff x="16967752" y="3028950"/>
          <a:chExt cx="1865953" cy="847725"/>
        </a:xfrm>
      </xdr:grpSpPr>
      <xdr:sp macro="" textlink="">
        <xdr:nvSpPr>
          <xdr:cNvPr id="8" name="Rectangle 7">
            <a:extLst>
              <a:ext uri="{FF2B5EF4-FFF2-40B4-BE49-F238E27FC236}">
                <a16:creationId xmlns:a16="http://schemas.microsoft.com/office/drawing/2014/main" id="{31EAF2DA-C2A1-42D6-A061-CDFCAD363C65}"/>
              </a:ext>
            </a:extLst>
          </xdr:cNvPr>
          <xdr:cNvSpPr/>
        </xdr:nvSpPr>
        <xdr:spPr>
          <a:xfrm>
            <a:off x="17148727" y="32099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3" name="Rectangle 42">
            <a:extLst>
              <a:ext uri="{FF2B5EF4-FFF2-40B4-BE49-F238E27FC236}">
                <a16:creationId xmlns:a16="http://schemas.microsoft.com/office/drawing/2014/main" id="{F6416AC0-4158-439E-86E8-561D50C4DE7A}"/>
              </a:ext>
            </a:extLst>
          </xdr:cNvPr>
          <xdr:cNvSpPr/>
        </xdr:nvSpPr>
        <xdr:spPr>
          <a:xfrm>
            <a:off x="17063002" y="311467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4" name="Rectangle 43">
            <a:extLst>
              <a:ext uri="{FF2B5EF4-FFF2-40B4-BE49-F238E27FC236}">
                <a16:creationId xmlns:a16="http://schemas.microsoft.com/office/drawing/2014/main" id="{A4B834D6-9D7B-4F04-8D77-C0AEC1BC58E3}"/>
              </a:ext>
            </a:extLst>
          </xdr:cNvPr>
          <xdr:cNvSpPr/>
        </xdr:nvSpPr>
        <xdr:spPr>
          <a:xfrm>
            <a:off x="16967752" y="30289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grpSp>
    <xdr:clientData/>
  </xdr:twoCellAnchor>
  <xdr:twoCellAnchor>
    <xdr:from>
      <xdr:col>6</xdr:col>
      <xdr:colOff>538594</xdr:colOff>
      <xdr:row>30</xdr:row>
      <xdr:rowOff>57150</xdr:rowOff>
    </xdr:from>
    <xdr:to>
      <xdr:col>9</xdr:col>
      <xdr:colOff>384835</xdr:colOff>
      <xdr:row>33</xdr:row>
      <xdr:rowOff>152400</xdr:rowOff>
    </xdr:to>
    <xdr:sp macro="" textlink="">
      <xdr:nvSpPr>
        <xdr:cNvPr id="57" name="Rectangle 56">
          <a:extLst>
            <a:ext uri="{FF2B5EF4-FFF2-40B4-BE49-F238E27FC236}">
              <a16:creationId xmlns:a16="http://schemas.microsoft.com/office/drawing/2014/main" id="{36337693-4392-450C-888C-E40DAE087991}"/>
            </a:ext>
          </a:extLst>
        </xdr:cNvPr>
        <xdr:cNvSpPr/>
      </xdr:nvSpPr>
      <xdr:spPr>
        <a:xfrm>
          <a:off x="4175412" y="5772150"/>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drylot</a:t>
          </a:r>
        </a:p>
      </xdr:txBody>
    </xdr:sp>
    <xdr:clientData/>
  </xdr:twoCellAnchor>
  <xdr:twoCellAnchor>
    <xdr:from>
      <xdr:col>26</xdr:col>
      <xdr:colOff>211701</xdr:colOff>
      <xdr:row>30</xdr:row>
      <xdr:rowOff>38100</xdr:rowOff>
    </xdr:from>
    <xdr:to>
      <xdr:col>29</xdr:col>
      <xdr:colOff>238913</xdr:colOff>
      <xdr:row>34</xdr:row>
      <xdr:rowOff>123825</xdr:rowOff>
    </xdr:to>
    <xdr:grpSp>
      <xdr:nvGrpSpPr>
        <xdr:cNvPr id="159" name="Group 158">
          <a:extLst>
            <a:ext uri="{FF2B5EF4-FFF2-40B4-BE49-F238E27FC236}">
              <a16:creationId xmlns:a16="http://schemas.microsoft.com/office/drawing/2014/main" id="{E5DB7BE0-1781-E4C9-FD87-CB6C3A7E7F94}"/>
            </a:ext>
          </a:extLst>
        </xdr:cNvPr>
        <xdr:cNvGrpSpPr/>
      </xdr:nvGrpSpPr>
      <xdr:grpSpPr>
        <a:xfrm>
          <a:off x="16061301" y="6029325"/>
          <a:ext cx="1856012" cy="847725"/>
          <a:chOff x="17053477" y="5753100"/>
          <a:chExt cx="1865953" cy="847725"/>
        </a:xfrm>
      </xdr:grpSpPr>
      <xdr:sp macro="" textlink="">
        <xdr:nvSpPr>
          <xdr:cNvPr id="58" name="Rectangle 57">
            <a:extLst>
              <a:ext uri="{FF2B5EF4-FFF2-40B4-BE49-F238E27FC236}">
                <a16:creationId xmlns:a16="http://schemas.microsoft.com/office/drawing/2014/main" id="{037B1CC1-902C-40E8-A8C5-06863B476905}"/>
              </a:ext>
            </a:extLst>
          </xdr:cNvPr>
          <xdr:cNvSpPr/>
        </xdr:nvSpPr>
        <xdr:spPr>
          <a:xfrm>
            <a:off x="17237765" y="59340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59" name="Rectangle 58">
            <a:extLst>
              <a:ext uri="{FF2B5EF4-FFF2-40B4-BE49-F238E27FC236}">
                <a16:creationId xmlns:a16="http://schemas.microsoft.com/office/drawing/2014/main" id="{D800CB26-4CB1-4FC2-8F77-C06407EFA6D5}"/>
              </a:ext>
            </a:extLst>
          </xdr:cNvPr>
          <xdr:cNvSpPr/>
        </xdr:nvSpPr>
        <xdr:spPr>
          <a:xfrm>
            <a:off x="17148727" y="58388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0" name="Rectangle 59">
            <a:extLst>
              <a:ext uri="{FF2B5EF4-FFF2-40B4-BE49-F238E27FC236}">
                <a16:creationId xmlns:a16="http://schemas.microsoft.com/office/drawing/2014/main" id="{9F93D83E-862A-4FC0-9FB1-820C82248210}"/>
              </a:ext>
            </a:extLst>
          </xdr:cNvPr>
          <xdr:cNvSpPr/>
        </xdr:nvSpPr>
        <xdr:spPr>
          <a:xfrm>
            <a:off x="17053477" y="575310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Post-separation MMS other than drylot, solid storage and direct application</a:t>
            </a:r>
          </a:p>
        </xdr:txBody>
      </xdr:sp>
    </xdr:grpSp>
    <xdr:clientData/>
  </xdr:twoCellAnchor>
  <xdr:twoCellAnchor>
    <xdr:from>
      <xdr:col>5</xdr:col>
      <xdr:colOff>322241</xdr:colOff>
      <xdr:row>42</xdr:row>
      <xdr:rowOff>87085</xdr:rowOff>
    </xdr:from>
    <xdr:to>
      <xdr:col>8</xdr:col>
      <xdr:colOff>168481</xdr:colOff>
      <xdr:row>45</xdr:row>
      <xdr:rowOff>182335</xdr:rowOff>
    </xdr:to>
    <xdr:sp macro="" textlink="">
      <xdr:nvSpPr>
        <xdr:cNvPr id="66" name="Rectangle 65">
          <a:extLst>
            <a:ext uri="{FF2B5EF4-FFF2-40B4-BE49-F238E27FC236}">
              <a16:creationId xmlns:a16="http://schemas.microsoft.com/office/drawing/2014/main" id="{63804E4D-FBA5-4C0F-B139-B4B57958331B}"/>
            </a:ext>
          </a:extLst>
        </xdr:cNvPr>
        <xdr:cNvSpPr/>
      </xdr:nvSpPr>
      <xdr:spPr>
        <a:xfrm>
          <a:off x="3352923" y="808808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8</xdr:col>
      <xdr:colOff>515463</xdr:colOff>
      <xdr:row>42</xdr:row>
      <xdr:rowOff>96610</xdr:rowOff>
    </xdr:from>
    <xdr:to>
      <xdr:col>11</xdr:col>
      <xdr:colOff>542677</xdr:colOff>
      <xdr:row>46</xdr:row>
      <xdr:rowOff>182335</xdr:rowOff>
    </xdr:to>
    <xdr:grpSp>
      <xdr:nvGrpSpPr>
        <xdr:cNvPr id="82" name="Group 81">
          <a:extLst>
            <a:ext uri="{FF2B5EF4-FFF2-40B4-BE49-F238E27FC236}">
              <a16:creationId xmlns:a16="http://schemas.microsoft.com/office/drawing/2014/main" id="{0CABBD72-BDDD-48EA-D8EE-BBFF17B392CF}"/>
            </a:ext>
          </a:extLst>
        </xdr:cNvPr>
        <xdr:cNvGrpSpPr/>
      </xdr:nvGrpSpPr>
      <xdr:grpSpPr>
        <a:xfrm>
          <a:off x="5392263" y="8373835"/>
          <a:ext cx="1856014" cy="847725"/>
          <a:chOff x="10429047" y="6886575"/>
          <a:chExt cx="1865953" cy="847725"/>
        </a:xfrm>
      </xdr:grpSpPr>
      <xdr:sp macro="" textlink="">
        <xdr:nvSpPr>
          <xdr:cNvPr id="67" name="Rectangle 66">
            <a:extLst>
              <a:ext uri="{FF2B5EF4-FFF2-40B4-BE49-F238E27FC236}">
                <a16:creationId xmlns:a16="http://schemas.microsoft.com/office/drawing/2014/main" id="{19458877-B5DA-4515-AA9A-5BE49E2DAB55}"/>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8" name="Rectangle 67">
            <a:extLst>
              <a:ext uri="{FF2B5EF4-FFF2-40B4-BE49-F238E27FC236}">
                <a16:creationId xmlns:a16="http://schemas.microsoft.com/office/drawing/2014/main" id="{3145BB3D-BCE8-4F50-A24A-459D8E697C50}"/>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9" name="Rectangle 68">
            <a:extLst>
              <a:ext uri="{FF2B5EF4-FFF2-40B4-BE49-F238E27FC236}">
                <a16:creationId xmlns:a16="http://schemas.microsoft.com/office/drawing/2014/main" id="{7E869BB8-971A-4CF3-B1D0-A39727193385}"/>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4</xdr:col>
      <xdr:colOff>77094</xdr:colOff>
      <xdr:row>64</xdr:row>
      <xdr:rowOff>106135</xdr:rowOff>
    </xdr:from>
    <xdr:to>
      <xdr:col>6</xdr:col>
      <xdr:colOff>529470</xdr:colOff>
      <xdr:row>68</xdr:row>
      <xdr:rowOff>10885</xdr:rowOff>
    </xdr:to>
    <xdr:sp macro="" textlink="">
      <xdr:nvSpPr>
        <xdr:cNvPr id="70" name="Rectangle 69">
          <a:extLst>
            <a:ext uri="{FF2B5EF4-FFF2-40B4-BE49-F238E27FC236}">
              <a16:creationId xmlns:a16="http://schemas.microsoft.com/office/drawing/2014/main" id="{CF653FE6-1D1B-4ECD-B5C6-8A9159BF714B}"/>
            </a:ext>
          </a:extLst>
        </xdr:cNvPr>
        <xdr:cNvSpPr/>
      </xdr:nvSpPr>
      <xdr:spPr>
        <a:xfrm>
          <a:off x="2501639" y="1229813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6</xdr:col>
      <xdr:colOff>564848</xdr:colOff>
      <xdr:row>64</xdr:row>
      <xdr:rowOff>106135</xdr:rowOff>
    </xdr:from>
    <xdr:to>
      <xdr:col>9</xdr:col>
      <xdr:colOff>418292</xdr:colOff>
      <xdr:row>68</xdr:row>
      <xdr:rowOff>10885</xdr:rowOff>
    </xdr:to>
    <xdr:sp macro="" textlink="">
      <xdr:nvSpPr>
        <xdr:cNvPr id="71" name="Rectangle 70">
          <a:extLst>
            <a:ext uri="{FF2B5EF4-FFF2-40B4-BE49-F238E27FC236}">
              <a16:creationId xmlns:a16="http://schemas.microsoft.com/office/drawing/2014/main" id="{31E1DBE6-6D3A-4F4D-9DD4-1700696F407A}"/>
            </a:ext>
          </a:extLst>
        </xdr:cNvPr>
        <xdr:cNvSpPr/>
      </xdr:nvSpPr>
      <xdr:spPr>
        <a:xfrm>
          <a:off x="420166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10</xdr:col>
      <xdr:colOff>18582</xdr:colOff>
      <xdr:row>64</xdr:row>
      <xdr:rowOff>106135</xdr:rowOff>
    </xdr:from>
    <xdr:to>
      <xdr:col>12</xdr:col>
      <xdr:colOff>478163</xdr:colOff>
      <xdr:row>68</xdr:row>
      <xdr:rowOff>10885</xdr:rowOff>
    </xdr:to>
    <xdr:sp macro="" textlink="">
      <xdr:nvSpPr>
        <xdr:cNvPr id="72" name="Rectangle 71">
          <a:extLst>
            <a:ext uri="{FF2B5EF4-FFF2-40B4-BE49-F238E27FC236}">
              <a16:creationId xmlns:a16="http://schemas.microsoft.com/office/drawing/2014/main" id="{8B6119E0-5DD6-4C66-8735-C440CB3D5AFC}"/>
            </a:ext>
          </a:extLst>
        </xdr:cNvPr>
        <xdr:cNvSpPr/>
      </xdr:nvSpPr>
      <xdr:spPr>
        <a:xfrm>
          <a:off x="607994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14</xdr:col>
      <xdr:colOff>605105</xdr:colOff>
      <xdr:row>42</xdr:row>
      <xdr:rowOff>89807</xdr:rowOff>
    </xdr:from>
    <xdr:to>
      <xdr:col>17</xdr:col>
      <xdr:colOff>451344</xdr:colOff>
      <xdr:row>45</xdr:row>
      <xdr:rowOff>185057</xdr:rowOff>
    </xdr:to>
    <xdr:sp macro="" textlink="">
      <xdr:nvSpPr>
        <xdr:cNvPr id="100" name="Rectangle 99">
          <a:extLst>
            <a:ext uri="{FF2B5EF4-FFF2-40B4-BE49-F238E27FC236}">
              <a16:creationId xmlns:a16="http://schemas.microsoft.com/office/drawing/2014/main" id="{FFF7FD84-ECE9-4ADF-9B93-29F3EBE7E5A6}"/>
            </a:ext>
          </a:extLst>
        </xdr:cNvPr>
        <xdr:cNvSpPr/>
      </xdr:nvSpPr>
      <xdr:spPr>
        <a:xfrm>
          <a:off x="9091014"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18</xdr:col>
      <xdr:colOff>193209</xdr:colOff>
      <xdr:row>42</xdr:row>
      <xdr:rowOff>99332</xdr:rowOff>
    </xdr:from>
    <xdr:to>
      <xdr:col>21</xdr:col>
      <xdr:colOff>220424</xdr:colOff>
      <xdr:row>46</xdr:row>
      <xdr:rowOff>185057</xdr:rowOff>
    </xdr:to>
    <xdr:grpSp>
      <xdr:nvGrpSpPr>
        <xdr:cNvPr id="101" name="Group 100">
          <a:extLst>
            <a:ext uri="{FF2B5EF4-FFF2-40B4-BE49-F238E27FC236}">
              <a16:creationId xmlns:a16="http://schemas.microsoft.com/office/drawing/2014/main" id="{C583650B-B881-4834-9E40-BA7D76C26868}"/>
            </a:ext>
          </a:extLst>
        </xdr:cNvPr>
        <xdr:cNvGrpSpPr/>
      </xdr:nvGrpSpPr>
      <xdr:grpSpPr>
        <a:xfrm>
          <a:off x="11166009" y="8376557"/>
          <a:ext cx="1856015" cy="847725"/>
          <a:chOff x="10429047" y="6886575"/>
          <a:chExt cx="1865953" cy="847725"/>
        </a:xfrm>
      </xdr:grpSpPr>
      <xdr:sp macro="" textlink="">
        <xdr:nvSpPr>
          <xdr:cNvPr id="102" name="Rectangle 101">
            <a:extLst>
              <a:ext uri="{FF2B5EF4-FFF2-40B4-BE49-F238E27FC236}">
                <a16:creationId xmlns:a16="http://schemas.microsoft.com/office/drawing/2014/main" id="{9137B0D6-D26F-5161-AC48-AB285B53DDC1}"/>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3" name="Rectangle 102">
            <a:extLst>
              <a:ext uri="{FF2B5EF4-FFF2-40B4-BE49-F238E27FC236}">
                <a16:creationId xmlns:a16="http://schemas.microsoft.com/office/drawing/2014/main" id="{21B7C412-2083-A72A-7099-55637C0683E6}"/>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4" name="Rectangle 103">
            <a:extLst>
              <a:ext uri="{FF2B5EF4-FFF2-40B4-BE49-F238E27FC236}">
                <a16:creationId xmlns:a16="http://schemas.microsoft.com/office/drawing/2014/main" id="{8CE3C159-7D8E-153A-2366-76A529D5F5B9}"/>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13</xdr:col>
      <xdr:colOff>517859</xdr:colOff>
      <xdr:row>64</xdr:row>
      <xdr:rowOff>108857</xdr:rowOff>
    </xdr:from>
    <xdr:to>
      <xdr:col>16</xdr:col>
      <xdr:colOff>364098</xdr:colOff>
      <xdr:row>68</xdr:row>
      <xdr:rowOff>13607</xdr:rowOff>
    </xdr:to>
    <xdr:sp macro="" textlink="">
      <xdr:nvSpPr>
        <xdr:cNvPr id="105" name="Rectangle 104">
          <a:extLst>
            <a:ext uri="{FF2B5EF4-FFF2-40B4-BE49-F238E27FC236}">
              <a16:creationId xmlns:a16="http://schemas.microsoft.com/office/drawing/2014/main" id="{35BEAF70-5431-447E-9585-3F4B44165081}"/>
            </a:ext>
          </a:extLst>
        </xdr:cNvPr>
        <xdr:cNvSpPr/>
      </xdr:nvSpPr>
      <xdr:spPr>
        <a:xfrm>
          <a:off x="8397632"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16</xdr:col>
      <xdr:colOff>413083</xdr:colOff>
      <xdr:row>64</xdr:row>
      <xdr:rowOff>108857</xdr:rowOff>
    </xdr:from>
    <xdr:to>
      <xdr:col>19</xdr:col>
      <xdr:colOff>259323</xdr:colOff>
      <xdr:row>68</xdr:row>
      <xdr:rowOff>13607</xdr:rowOff>
    </xdr:to>
    <xdr:sp macro="" textlink="">
      <xdr:nvSpPr>
        <xdr:cNvPr id="106" name="Rectangle 105">
          <a:extLst>
            <a:ext uri="{FF2B5EF4-FFF2-40B4-BE49-F238E27FC236}">
              <a16:creationId xmlns:a16="http://schemas.microsoft.com/office/drawing/2014/main" id="{5BACED58-080C-4B5B-A151-4A9D9D17A559}"/>
            </a:ext>
          </a:extLst>
        </xdr:cNvPr>
        <xdr:cNvSpPr/>
      </xdr:nvSpPr>
      <xdr:spPr>
        <a:xfrm>
          <a:off x="10111265"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19</xdr:col>
      <xdr:colOff>336883</xdr:colOff>
      <xdr:row>64</xdr:row>
      <xdr:rowOff>108857</xdr:rowOff>
    </xdr:from>
    <xdr:to>
      <xdr:col>22</xdr:col>
      <xdr:colOff>183124</xdr:colOff>
      <xdr:row>68</xdr:row>
      <xdr:rowOff>13607</xdr:rowOff>
    </xdr:to>
    <xdr:sp macro="" textlink="">
      <xdr:nvSpPr>
        <xdr:cNvPr id="107" name="Rectangle 106">
          <a:extLst>
            <a:ext uri="{FF2B5EF4-FFF2-40B4-BE49-F238E27FC236}">
              <a16:creationId xmlns:a16="http://schemas.microsoft.com/office/drawing/2014/main" id="{0145B2BA-B9AF-4871-9681-01FF187F95D4}"/>
            </a:ext>
          </a:extLst>
        </xdr:cNvPr>
        <xdr:cNvSpPr/>
      </xdr:nvSpPr>
      <xdr:spPr>
        <a:xfrm>
          <a:off x="11853474" y="12300857"/>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5</xdr:col>
      <xdr:colOff>303792</xdr:colOff>
      <xdr:row>46</xdr:row>
      <xdr:rowOff>1359</xdr:rowOff>
    </xdr:from>
    <xdr:to>
      <xdr:col>10</xdr:col>
      <xdr:colOff>134506</xdr:colOff>
      <xdr:row>64</xdr:row>
      <xdr:rowOff>106134</xdr:rowOff>
    </xdr:to>
    <xdr:cxnSp macro="">
      <xdr:nvCxnSpPr>
        <xdr:cNvPr id="136" name="Connector: Curved 135">
          <a:extLst>
            <a:ext uri="{FF2B5EF4-FFF2-40B4-BE49-F238E27FC236}">
              <a16:creationId xmlns:a16="http://schemas.microsoft.com/office/drawing/2014/main" id="{DF10D54D-93AC-B2F6-9969-5DD863C44575}"/>
            </a:ext>
          </a:extLst>
        </xdr:cNvPr>
        <xdr:cNvCxnSpPr>
          <a:stCxn id="69" idx="2"/>
          <a:endCxn id="70" idx="0"/>
        </xdr:cNvCxnSpPr>
      </xdr:nvCxnSpPr>
      <xdr:spPr>
        <a:xfrm rot="5400000">
          <a:off x="2998284" y="9100549"/>
          <a:ext cx="3533775" cy="286139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189011</xdr:colOff>
      <xdr:row>46</xdr:row>
      <xdr:rowOff>1359</xdr:rowOff>
    </xdr:from>
    <xdr:to>
      <xdr:col>10</xdr:col>
      <xdr:colOff>134506</xdr:colOff>
      <xdr:row>64</xdr:row>
      <xdr:rowOff>106134</xdr:rowOff>
    </xdr:to>
    <xdr:cxnSp macro="">
      <xdr:nvCxnSpPr>
        <xdr:cNvPr id="138" name="Connector: Curved 137">
          <a:extLst>
            <a:ext uri="{FF2B5EF4-FFF2-40B4-BE49-F238E27FC236}">
              <a16:creationId xmlns:a16="http://schemas.microsoft.com/office/drawing/2014/main" id="{A22E335A-AA27-6AD6-1D46-A0EEF2EC9603}"/>
            </a:ext>
          </a:extLst>
        </xdr:cNvPr>
        <xdr:cNvCxnSpPr>
          <a:stCxn id="69" idx="2"/>
          <a:endCxn id="71" idx="0"/>
        </xdr:cNvCxnSpPr>
      </xdr:nvCxnSpPr>
      <xdr:spPr>
        <a:xfrm rot="5400000">
          <a:off x="3850098" y="9952363"/>
          <a:ext cx="3533775" cy="115776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134506</xdr:colOff>
      <xdr:row>46</xdr:row>
      <xdr:rowOff>1359</xdr:rowOff>
    </xdr:from>
    <xdr:to>
      <xdr:col>11</xdr:col>
      <xdr:colOff>248882</xdr:colOff>
      <xdr:row>64</xdr:row>
      <xdr:rowOff>106134</xdr:rowOff>
    </xdr:to>
    <xdr:cxnSp macro="">
      <xdr:nvCxnSpPr>
        <xdr:cNvPr id="140" name="Connector: Curved 139">
          <a:extLst>
            <a:ext uri="{FF2B5EF4-FFF2-40B4-BE49-F238E27FC236}">
              <a16:creationId xmlns:a16="http://schemas.microsoft.com/office/drawing/2014/main" id="{E02680C8-40F9-16F3-27E3-0FCFE30F080A}"/>
            </a:ext>
          </a:extLst>
        </xdr:cNvPr>
        <xdr:cNvCxnSpPr>
          <a:stCxn id="69" idx="2"/>
          <a:endCxn id="72" idx="0"/>
        </xdr:cNvCxnSpPr>
      </xdr:nvCxnSpPr>
      <xdr:spPr>
        <a:xfrm rot="16200000" flipH="1">
          <a:off x="4789238" y="10170991"/>
          <a:ext cx="3533775" cy="72051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303791</xdr:colOff>
      <xdr:row>45</xdr:row>
      <xdr:rowOff>182336</xdr:rowOff>
    </xdr:from>
    <xdr:to>
      <xdr:col>6</xdr:col>
      <xdr:colOff>547921</xdr:colOff>
      <xdr:row>64</xdr:row>
      <xdr:rowOff>106136</xdr:rowOff>
    </xdr:to>
    <xdr:cxnSp macro="">
      <xdr:nvCxnSpPr>
        <xdr:cNvPr id="142" name="Connector: Curved 141">
          <a:extLst>
            <a:ext uri="{FF2B5EF4-FFF2-40B4-BE49-F238E27FC236}">
              <a16:creationId xmlns:a16="http://schemas.microsoft.com/office/drawing/2014/main" id="{85CDB803-8436-6016-41D7-72B6DDDA84CB}"/>
            </a:ext>
          </a:extLst>
        </xdr:cNvPr>
        <xdr:cNvCxnSpPr>
          <a:stCxn id="66" idx="2"/>
          <a:endCxn id="70" idx="0"/>
        </xdr:cNvCxnSpPr>
      </xdr:nvCxnSpPr>
      <xdr:spPr>
        <a:xfrm rot="5400000">
          <a:off x="1987956" y="10101353"/>
          <a:ext cx="3543300" cy="8502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551819</xdr:colOff>
      <xdr:row>33</xdr:row>
      <xdr:rowOff>152399</xdr:rowOff>
    </xdr:from>
    <xdr:to>
      <xdr:col>8</xdr:col>
      <xdr:colOff>155259</xdr:colOff>
      <xdr:row>42</xdr:row>
      <xdr:rowOff>87084</xdr:rowOff>
    </xdr:to>
    <xdr:cxnSp macro="">
      <xdr:nvCxnSpPr>
        <xdr:cNvPr id="144" name="Connector: Curved 143">
          <a:extLst>
            <a:ext uri="{FF2B5EF4-FFF2-40B4-BE49-F238E27FC236}">
              <a16:creationId xmlns:a16="http://schemas.microsoft.com/office/drawing/2014/main" id="{B01147C2-D518-0F13-B065-BD220289A6B8}"/>
            </a:ext>
          </a:extLst>
        </xdr:cNvPr>
        <xdr:cNvCxnSpPr>
          <a:stCxn id="57" idx="2"/>
          <a:endCxn id="66" idx="0"/>
        </xdr:cNvCxnSpPr>
      </xdr:nvCxnSpPr>
      <xdr:spPr>
        <a:xfrm rot="5400000">
          <a:off x="3771901" y="6855635"/>
          <a:ext cx="1649185" cy="81571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155258</xdr:colOff>
      <xdr:row>33</xdr:row>
      <xdr:rowOff>152400</xdr:rowOff>
    </xdr:from>
    <xdr:to>
      <xdr:col>10</xdr:col>
      <xdr:colOff>137247</xdr:colOff>
      <xdr:row>42</xdr:row>
      <xdr:rowOff>96610</xdr:rowOff>
    </xdr:to>
    <xdr:cxnSp macro="">
      <xdr:nvCxnSpPr>
        <xdr:cNvPr id="146" name="Connector: Curved 145">
          <a:extLst>
            <a:ext uri="{FF2B5EF4-FFF2-40B4-BE49-F238E27FC236}">
              <a16:creationId xmlns:a16="http://schemas.microsoft.com/office/drawing/2014/main" id="{BDBBAD41-C511-4A2E-6FD3-A1267FE06F99}"/>
            </a:ext>
          </a:extLst>
        </xdr:cNvPr>
        <xdr:cNvCxnSpPr>
          <a:stCxn id="57" idx="2"/>
          <a:endCxn id="69" idx="0"/>
        </xdr:cNvCxnSpPr>
      </xdr:nvCxnSpPr>
      <xdr:spPr>
        <a:xfrm rot="16200000" flipH="1">
          <a:off x="4772125" y="6671124"/>
          <a:ext cx="1658710" cy="119426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225666</xdr:colOff>
      <xdr:row>33</xdr:row>
      <xdr:rowOff>142876</xdr:rowOff>
    </xdr:from>
    <xdr:to>
      <xdr:col>18</xdr:col>
      <xdr:colOff>111830</xdr:colOff>
      <xdr:row>42</xdr:row>
      <xdr:rowOff>89808</xdr:rowOff>
    </xdr:to>
    <xdr:cxnSp macro="">
      <xdr:nvCxnSpPr>
        <xdr:cNvPr id="148" name="Connector: Curved 147">
          <a:extLst>
            <a:ext uri="{FF2B5EF4-FFF2-40B4-BE49-F238E27FC236}">
              <a16:creationId xmlns:a16="http://schemas.microsoft.com/office/drawing/2014/main" id="{70B585E8-1B3E-1C5E-CF9F-17B461FC5295}"/>
            </a:ext>
          </a:extLst>
        </xdr:cNvPr>
        <xdr:cNvCxnSpPr>
          <a:stCxn id="9" idx="2"/>
          <a:endCxn id="100" idx="0"/>
        </xdr:cNvCxnSpPr>
      </xdr:nvCxnSpPr>
      <xdr:spPr>
        <a:xfrm rot="5400000">
          <a:off x="9642351" y="6710873"/>
          <a:ext cx="1661432" cy="109843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33</xdr:row>
      <xdr:rowOff>142874</xdr:rowOff>
    </xdr:from>
    <xdr:to>
      <xdr:col>19</xdr:col>
      <xdr:colOff>418387</xdr:colOff>
      <xdr:row>42</xdr:row>
      <xdr:rowOff>99331</xdr:rowOff>
    </xdr:to>
    <xdr:cxnSp macro="">
      <xdr:nvCxnSpPr>
        <xdr:cNvPr id="150" name="Connector: Curved 149">
          <a:extLst>
            <a:ext uri="{FF2B5EF4-FFF2-40B4-BE49-F238E27FC236}">
              <a16:creationId xmlns:a16="http://schemas.microsoft.com/office/drawing/2014/main" id="{FFB16431-CAEF-A99D-B71C-36E7540367B2}"/>
            </a:ext>
          </a:extLst>
        </xdr:cNvPr>
        <xdr:cNvCxnSpPr>
          <a:stCxn id="9" idx="2"/>
          <a:endCxn id="104" idx="0"/>
        </xdr:cNvCxnSpPr>
      </xdr:nvCxnSpPr>
      <xdr:spPr>
        <a:xfrm rot="16200000" flipH="1">
          <a:off x="10643153" y="6808507"/>
          <a:ext cx="1670957" cy="91269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137401</xdr:colOff>
      <xdr:row>45</xdr:row>
      <xdr:rowOff>185057</xdr:rowOff>
    </xdr:from>
    <xdr:to>
      <xdr:col>16</xdr:col>
      <xdr:colOff>225666</xdr:colOff>
      <xdr:row>64</xdr:row>
      <xdr:rowOff>108857</xdr:rowOff>
    </xdr:to>
    <xdr:cxnSp macro="">
      <xdr:nvCxnSpPr>
        <xdr:cNvPr id="152" name="Connector: Curved 151">
          <a:extLst>
            <a:ext uri="{FF2B5EF4-FFF2-40B4-BE49-F238E27FC236}">
              <a16:creationId xmlns:a16="http://schemas.microsoft.com/office/drawing/2014/main" id="{FC73A1D7-A0BE-59F8-2288-3BCD19BEA8E2}"/>
            </a:ext>
          </a:extLst>
        </xdr:cNvPr>
        <xdr:cNvCxnSpPr>
          <a:stCxn id="100" idx="2"/>
          <a:endCxn id="105" idx="0"/>
        </xdr:cNvCxnSpPr>
      </xdr:nvCxnSpPr>
      <xdr:spPr>
        <a:xfrm rot="5400000">
          <a:off x="7804997" y="10182006"/>
          <a:ext cx="3543300" cy="69440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137402</xdr:colOff>
      <xdr:row>46</xdr:row>
      <xdr:rowOff>4082</xdr:rowOff>
    </xdr:from>
    <xdr:to>
      <xdr:col>19</xdr:col>
      <xdr:colOff>418387</xdr:colOff>
      <xdr:row>64</xdr:row>
      <xdr:rowOff>108857</xdr:rowOff>
    </xdr:to>
    <xdr:cxnSp macro="">
      <xdr:nvCxnSpPr>
        <xdr:cNvPr id="154" name="Connector: Curved 153">
          <a:extLst>
            <a:ext uri="{FF2B5EF4-FFF2-40B4-BE49-F238E27FC236}">
              <a16:creationId xmlns:a16="http://schemas.microsoft.com/office/drawing/2014/main" id="{B0CB104D-FA41-BE93-58A0-E901C5774354}"/>
            </a:ext>
          </a:extLst>
        </xdr:cNvPr>
        <xdr:cNvCxnSpPr>
          <a:stCxn id="104" idx="2"/>
          <a:endCxn id="105" idx="0"/>
        </xdr:cNvCxnSpPr>
      </xdr:nvCxnSpPr>
      <xdr:spPr>
        <a:xfrm rot="5400000">
          <a:off x="8815325" y="9181204"/>
          <a:ext cx="3533775" cy="270553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32626</xdr:colOff>
      <xdr:row>46</xdr:row>
      <xdr:rowOff>4082</xdr:rowOff>
    </xdr:from>
    <xdr:to>
      <xdr:col>19</xdr:col>
      <xdr:colOff>418387</xdr:colOff>
      <xdr:row>64</xdr:row>
      <xdr:rowOff>108857</xdr:rowOff>
    </xdr:to>
    <xdr:cxnSp macro="">
      <xdr:nvCxnSpPr>
        <xdr:cNvPr id="156" name="Connector: Curved 155">
          <a:extLst>
            <a:ext uri="{FF2B5EF4-FFF2-40B4-BE49-F238E27FC236}">
              <a16:creationId xmlns:a16="http://schemas.microsoft.com/office/drawing/2014/main" id="{08BD7B56-FA9D-317E-6C79-5849F06A2CBB}"/>
            </a:ext>
          </a:extLst>
        </xdr:cNvPr>
        <xdr:cNvCxnSpPr>
          <a:stCxn id="104" idx="2"/>
          <a:endCxn id="106" idx="0"/>
        </xdr:cNvCxnSpPr>
      </xdr:nvCxnSpPr>
      <xdr:spPr>
        <a:xfrm rot="5400000">
          <a:off x="9672142" y="10038021"/>
          <a:ext cx="3533775" cy="99189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418387</xdr:colOff>
      <xdr:row>46</xdr:row>
      <xdr:rowOff>4081</xdr:rowOff>
    </xdr:from>
    <xdr:to>
      <xdr:col>20</xdr:col>
      <xdr:colOff>562565</xdr:colOff>
      <xdr:row>64</xdr:row>
      <xdr:rowOff>108856</xdr:rowOff>
    </xdr:to>
    <xdr:cxnSp macro="">
      <xdr:nvCxnSpPr>
        <xdr:cNvPr id="158" name="Connector: Curved 157">
          <a:extLst>
            <a:ext uri="{FF2B5EF4-FFF2-40B4-BE49-F238E27FC236}">
              <a16:creationId xmlns:a16="http://schemas.microsoft.com/office/drawing/2014/main" id="{C9B99A15-F40E-1443-4CA5-A51146E9F750}"/>
            </a:ext>
          </a:extLst>
        </xdr:cNvPr>
        <xdr:cNvCxnSpPr>
          <a:stCxn id="104" idx="2"/>
          <a:endCxn id="107" idx="0"/>
        </xdr:cNvCxnSpPr>
      </xdr:nvCxnSpPr>
      <xdr:spPr>
        <a:xfrm rot="16200000" flipH="1">
          <a:off x="10543247" y="10158812"/>
          <a:ext cx="3533775" cy="75031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418644</xdr:colOff>
      <xdr:row>42</xdr:row>
      <xdr:rowOff>89807</xdr:rowOff>
    </xdr:from>
    <xdr:to>
      <xdr:col>27</xdr:col>
      <xdr:colOff>264883</xdr:colOff>
      <xdr:row>45</xdr:row>
      <xdr:rowOff>185057</xdr:rowOff>
    </xdr:to>
    <xdr:sp macro="" textlink="">
      <xdr:nvSpPr>
        <xdr:cNvPr id="160" name="Rectangle 159">
          <a:extLst>
            <a:ext uri="{FF2B5EF4-FFF2-40B4-BE49-F238E27FC236}">
              <a16:creationId xmlns:a16="http://schemas.microsoft.com/office/drawing/2014/main" id="{6D7FFEB1-2A2C-4531-A003-C3AF5311D0FB}"/>
            </a:ext>
          </a:extLst>
        </xdr:cNvPr>
        <xdr:cNvSpPr/>
      </xdr:nvSpPr>
      <xdr:spPr>
        <a:xfrm>
          <a:off x="14965917"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28</xdr:col>
      <xdr:colOff>5729</xdr:colOff>
      <xdr:row>42</xdr:row>
      <xdr:rowOff>99332</xdr:rowOff>
    </xdr:from>
    <xdr:to>
      <xdr:col>31</xdr:col>
      <xdr:colOff>32943</xdr:colOff>
      <xdr:row>46</xdr:row>
      <xdr:rowOff>185057</xdr:rowOff>
    </xdr:to>
    <xdr:grpSp>
      <xdr:nvGrpSpPr>
        <xdr:cNvPr id="161" name="Group 160">
          <a:extLst>
            <a:ext uri="{FF2B5EF4-FFF2-40B4-BE49-F238E27FC236}">
              <a16:creationId xmlns:a16="http://schemas.microsoft.com/office/drawing/2014/main" id="{C3310F98-1B80-4337-AF03-9F2E9A78E0E4}"/>
            </a:ext>
          </a:extLst>
        </xdr:cNvPr>
        <xdr:cNvGrpSpPr/>
      </xdr:nvGrpSpPr>
      <xdr:grpSpPr>
        <a:xfrm>
          <a:off x="17074529" y="8376557"/>
          <a:ext cx="1856014" cy="847725"/>
          <a:chOff x="10429047" y="6886575"/>
          <a:chExt cx="1865953" cy="847725"/>
        </a:xfrm>
      </xdr:grpSpPr>
      <xdr:sp macro="" textlink="">
        <xdr:nvSpPr>
          <xdr:cNvPr id="162" name="Rectangle 161">
            <a:extLst>
              <a:ext uri="{FF2B5EF4-FFF2-40B4-BE49-F238E27FC236}">
                <a16:creationId xmlns:a16="http://schemas.microsoft.com/office/drawing/2014/main" id="{F6B07250-D667-369E-CF47-58BAB48008C6}"/>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3" name="Rectangle 162">
            <a:extLst>
              <a:ext uri="{FF2B5EF4-FFF2-40B4-BE49-F238E27FC236}">
                <a16:creationId xmlns:a16="http://schemas.microsoft.com/office/drawing/2014/main" id="{D29BFAAC-4B4A-351F-804F-BA9A5365542D}"/>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4" name="Rectangle 163">
            <a:extLst>
              <a:ext uri="{FF2B5EF4-FFF2-40B4-BE49-F238E27FC236}">
                <a16:creationId xmlns:a16="http://schemas.microsoft.com/office/drawing/2014/main" id="{C456E7FE-3DE5-43D9-C602-8B068ECD0D7B}"/>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26</xdr:col>
      <xdr:colOff>38187</xdr:colOff>
      <xdr:row>33</xdr:row>
      <xdr:rowOff>133350</xdr:rowOff>
    </xdr:from>
    <xdr:to>
      <xdr:col>27</xdr:col>
      <xdr:colOff>438513</xdr:colOff>
      <xdr:row>42</xdr:row>
      <xdr:rowOff>89807</xdr:rowOff>
    </xdr:to>
    <xdr:cxnSp macro="">
      <xdr:nvCxnSpPr>
        <xdr:cNvPr id="166" name="Connector: Curved 165">
          <a:extLst>
            <a:ext uri="{FF2B5EF4-FFF2-40B4-BE49-F238E27FC236}">
              <a16:creationId xmlns:a16="http://schemas.microsoft.com/office/drawing/2014/main" id="{24B2C90B-04CD-A5F7-03C6-C1D792689163}"/>
            </a:ext>
          </a:extLst>
        </xdr:cNvPr>
        <xdr:cNvCxnSpPr>
          <a:stCxn id="60" idx="2"/>
          <a:endCxn id="160" idx="0"/>
        </xdr:cNvCxnSpPr>
      </xdr:nvCxnSpPr>
      <xdr:spPr>
        <a:xfrm rot="5400000">
          <a:off x="15465485" y="6752097"/>
          <a:ext cx="1670957" cy="10064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33</xdr:row>
      <xdr:rowOff>133350</xdr:rowOff>
    </xdr:from>
    <xdr:to>
      <xdr:col>29</xdr:col>
      <xdr:colOff>231925</xdr:colOff>
      <xdr:row>42</xdr:row>
      <xdr:rowOff>99332</xdr:rowOff>
    </xdr:to>
    <xdr:cxnSp macro="">
      <xdr:nvCxnSpPr>
        <xdr:cNvPr id="168" name="Connector: Curved 167">
          <a:extLst>
            <a:ext uri="{FF2B5EF4-FFF2-40B4-BE49-F238E27FC236}">
              <a16:creationId xmlns:a16="http://schemas.microsoft.com/office/drawing/2014/main" id="{5C17948D-8AA2-6143-80C4-C7DACC5B257B}"/>
            </a:ext>
          </a:extLst>
        </xdr:cNvPr>
        <xdr:cNvCxnSpPr>
          <a:stCxn id="60" idx="2"/>
          <a:endCxn id="164" idx="0"/>
        </xdr:cNvCxnSpPr>
      </xdr:nvCxnSpPr>
      <xdr:spPr>
        <a:xfrm rot="16200000" flipH="1">
          <a:off x="16466796" y="6757248"/>
          <a:ext cx="1680482" cy="1005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407405</xdr:colOff>
      <xdr:row>64</xdr:row>
      <xdr:rowOff>108857</xdr:rowOff>
    </xdr:from>
    <xdr:to>
      <xdr:col>26</xdr:col>
      <xdr:colOff>253644</xdr:colOff>
      <xdr:row>68</xdr:row>
      <xdr:rowOff>13607</xdr:rowOff>
    </xdr:to>
    <xdr:sp macro="" textlink="">
      <xdr:nvSpPr>
        <xdr:cNvPr id="171" name="Rectangle 170">
          <a:extLst>
            <a:ext uri="{FF2B5EF4-FFF2-40B4-BE49-F238E27FC236}">
              <a16:creationId xmlns:a16="http://schemas.microsoft.com/office/drawing/2014/main" id="{FFD8D024-7C6D-43D1-9FCC-205470DF3E77}"/>
            </a:ext>
          </a:extLst>
        </xdr:cNvPr>
        <xdr:cNvSpPr/>
      </xdr:nvSpPr>
      <xdr:spPr>
        <a:xfrm>
          <a:off x="14348541"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26</xdr:col>
      <xdr:colOff>302629</xdr:colOff>
      <xdr:row>64</xdr:row>
      <xdr:rowOff>108857</xdr:rowOff>
    </xdr:from>
    <xdr:to>
      <xdr:col>29</xdr:col>
      <xdr:colOff>148868</xdr:colOff>
      <xdr:row>68</xdr:row>
      <xdr:rowOff>13607</xdr:rowOff>
    </xdr:to>
    <xdr:sp macro="" textlink="">
      <xdr:nvSpPr>
        <xdr:cNvPr id="172" name="Rectangle 171">
          <a:extLst>
            <a:ext uri="{FF2B5EF4-FFF2-40B4-BE49-F238E27FC236}">
              <a16:creationId xmlns:a16="http://schemas.microsoft.com/office/drawing/2014/main" id="{97805077-F399-47B7-883E-DB4F1DABA297}"/>
            </a:ext>
          </a:extLst>
        </xdr:cNvPr>
        <xdr:cNvSpPr/>
      </xdr:nvSpPr>
      <xdr:spPr>
        <a:xfrm>
          <a:off x="16062174"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29</xdr:col>
      <xdr:colOff>226428</xdr:colOff>
      <xdr:row>64</xdr:row>
      <xdr:rowOff>108857</xdr:rowOff>
    </xdr:from>
    <xdr:to>
      <xdr:col>32</xdr:col>
      <xdr:colOff>71650</xdr:colOff>
      <xdr:row>68</xdr:row>
      <xdr:rowOff>13607</xdr:rowOff>
    </xdr:to>
    <xdr:sp macro="" textlink="">
      <xdr:nvSpPr>
        <xdr:cNvPr id="173" name="Rectangle 172">
          <a:extLst>
            <a:ext uri="{FF2B5EF4-FFF2-40B4-BE49-F238E27FC236}">
              <a16:creationId xmlns:a16="http://schemas.microsoft.com/office/drawing/2014/main" id="{BE49D3FE-F521-48D2-A39F-2EF67F6E845C}"/>
            </a:ext>
          </a:extLst>
        </xdr:cNvPr>
        <xdr:cNvSpPr/>
      </xdr:nvSpPr>
      <xdr:spPr>
        <a:xfrm>
          <a:off x="17804383" y="12300857"/>
          <a:ext cx="16636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25</xdr:col>
      <xdr:colOff>26946</xdr:colOff>
      <xdr:row>45</xdr:row>
      <xdr:rowOff>185057</xdr:rowOff>
    </xdr:from>
    <xdr:to>
      <xdr:col>26</xdr:col>
      <xdr:colOff>38186</xdr:colOff>
      <xdr:row>64</xdr:row>
      <xdr:rowOff>108857</xdr:rowOff>
    </xdr:to>
    <xdr:cxnSp macro="">
      <xdr:nvCxnSpPr>
        <xdr:cNvPr id="175" name="Connector: Curved 174">
          <a:extLst>
            <a:ext uri="{FF2B5EF4-FFF2-40B4-BE49-F238E27FC236}">
              <a16:creationId xmlns:a16="http://schemas.microsoft.com/office/drawing/2014/main" id="{846BD5C4-1855-CFCE-7DC0-3934C4ACB587}"/>
            </a:ext>
          </a:extLst>
        </xdr:cNvPr>
        <xdr:cNvCxnSpPr>
          <a:stCxn id="160" idx="2"/>
          <a:endCxn id="171" idx="0"/>
        </xdr:cNvCxnSpPr>
      </xdr:nvCxnSpPr>
      <xdr:spPr>
        <a:xfrm rot="5400000">
          <a:off x="13717393" y="10220519"/>
          <a:ext cx="3543300" cy="6173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26947</xdr:colOff>
      <xdr:row>46</xdr:row>
      <xdr:rowOff>4082</xdr:rowOff>
    </xdr:from>
    <xdr:to>
      <xdr:col>29</xdr:col>
      <xdr:colOff>231926</xdr:colOff>
      <xdr:row>64</xdr:row>
      <xdr:rowOff>108857</xdr:rowOff>
    </xdr:to>
    <xdr:cxnSp macro="">
      <xdr:nvCxnSpPr>
        <xdr:cNvPr id="177" name="Connector: Curved 176">
          <a:extLst>
            <a:ext uri="{FF2B5EF4-FFF2-40B4-BE49-F238E27FC236}">
              <a16:creationId xmlns:a16="http://schemas.microsoft.com/office/drawing/2014/main" id="{8D8AAA03-FD79-B77D-C528-0AC63263A3F6}"/>
            </a:ext>
          </a:extLst>
        </xdr:cNvPr>
        <xdr:cNvCxnSpPr>
          <a:stCxn id="164" idx="2"/>
          <a:endCxn id="171" idx="0"/>
        </xdr:cNvCxnSpPr>
      </xdr:nvCxnSpPr>
      <xdr:spPr>
        <a:xfrm rot="5400000">
          <a:off x="14728231" y="9219207"/>
          <a:ext cx="3533775" cy="262952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528308</xdr:colOff>
      <xdr:row>46</xdr:row>
      <xdr:rowOff>4082</xdr:rowOff>
    </xdr:from>
    <xdr:to>
      <xdr:col>29</xdr:col>
      <xdr:colOff>231926</xdr:colOff>
      <xdr:row>64</xdr:row>
      <xdr:rowOff>108857</xdr:rowOff>
    </xdr:to>
    <xdr:cxnSp macro="">
      <xdr:nvCxnSpPr>
        <xdr:cNvPr id="179" name="Connector: Curved 178">
          <a:extLst>
            <a:ext uri="{FF2B5EF4-FFF2-40B4-BE49-F238E27FC236}">
              <a16:creationId xmlns:a16="http://schemas.microsoft.com/office/drawing/2014/main" id="{E326E2BE-9D0F-6FB3-43A9-0C8DDA7952EA}"/>
            </a:ext>
          </a:extLst>
        </xdr:cNvPr>
        <xdr:cNvCxnSpPr>
          <a:stCxn id="164" idx="2"/>
          <a:endCxn id="172" idx="0"/>
        </xdr:cNvCxnSpPr>
      </xdr:nvCxnSpPr>
      <xdr:spPr>
        <a:xfrm rot="5400000">
          <a:off x="15585048" y="10076024"/>
          <a:ext cx="3533775" cy="9158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29</xdr:col>
      <xdr:colOff>231926</xdr:colOff>
      <xdr:row>46</xdr:row>
      <xdr:rowOff>4081</xdr:rowOff>
    </xdr:from>
    <xdr:to>
      <xdr:col>30</xdr:col>
      <xdr:colOff>452108</xdr:colOff>
      <xdr:row>64</xdr:row>
      <xdr:rowOff>108856</xdr:rowOff>
    </xdr:to>
    <xdr:cxnSp macro="">
      <xdr:nvCxnSpPr>
        <xdr:cNvPr id="181" name="Connector: Curved 180">
          <a:extLst>
            <a:ext uri="{FF2B5EF4-FFF2-40B4-BE49-F238E27FC236}">
              <a16:creationId xmlns:a16="http://schemas.microsoft.com/office/drawing/2014/main" id="{8409A171-DECC-A5AC-A92C-EB0B66B1E896}"/>
            </a:ext>
          </a:extLst>
        </xdr:cNvPr>
        <xdr:cNvCxnSpPr>
          <a:stCxn id="164" idx="2"/>
          <a:endCxn id="173" idx="0"/>
        </xdr:cNvCxnSpPr>
      </xdr:nvCxnSpPr>
      <xdr:spPr>
        <a:xfrm rot="16200000" flipH="1">
          <a:off x="16456152" y="10120810"/>
          <a:ext cx="3533775" cy="82631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19</xdr:row>
      <xdr:rowOff>66674</xdr:rowOff>
    </xdr:from>
    <xdr:to>
      <xdr:col>8</xdr:col>
      <xdr:colOff>159155</xdr:colOff>
      <xdr:row>30</xdr:row>
      <xdr:rowOff>57149</xdr:rowOff>
    </xdr:to>
    <xdr:cxnSp macro="">
      <xdr:nvCxnSpPr>
        <xdr:cNvPr id="196" name="Connector: Curved 195">
          <a:extLst>
            <a:ext uri="{FF2B5EF4-FFF2-40B4-BE49-F238E27FC236}">
              <a16:creationId xmlns:a16="http://schemas.microsoft.com/office/drawing/2014/main" id="{28C5758B-795B-69BB-7F88-C7BD4D099A36}"/>
            </a:ext>
          </a:extLst>
        </xdr:cNvPr>
        <xdr:cNvCxnSpPr>
          <a:stCxn id="3" idx="2"/>
          <a:endCxn id="57" idx="0"/>
        </xdr:cNvCxnSpPr>
      </xdr:nvCxnSpPr>
      <xdr:spPr>
        <a:xfrm rot="16200000" flipH="1">
          <a:off x="3962537" y="4726440"/>
          <a:ext cx="2085975" cy="544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153713</xdr:colOff>
      <xdr:row>19</xdr:row>
      <xdr:rowOff>66674</xdr:rowOff>
    </xdr:from>
    <xdr:to>
      <xdr:col>15</xdr:col>
      <xdr:colOff>421533</xdr:colOff>
      <xdr:row>22</xdr:row>
      <xdr:rowOff>76199</xdr:rowOff>
    </xdr:to>
    <xdr:cxnSp macro="">
      <xdr:nvCxnSpPr>
        <xdr:cNvPr id="198" name="Connector: Curved 197">
          <a:extLst>
            <a:ext uri="{FF2B5EF4-FFF2-40B4-BE49-F238E27FC236}">
              <a16:creationId xmlns:a16="http://schemas.microsoft.com/office/drawing/2014/main" id="{6C7F3DED-56B1-CCDC-BA33-4F9264D790B0}"/>
            </a:ext>
          </a:extLst>
        </xdr:cNvPr>
        <xdr:cNvCxnSpPr>
          <a:stCxn id="3" idx="2"/>
          <a:endCxn id="4" idx="0"/>
        </xdr:cNvCxnSpPr>
      </xdr:nvCxnSpPr>
      <xdr:spPr>
        <a:xfrm rot="16200000" flipH="1">
          <a:off x="6967678" y="1721300"/>
          <a:ext cx="581025" cy="451077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421533</xdr:colOff>
      <xdr:row>25</xdr:row>
      <xdr:rowOff>171449</xdr:rowOff>
    </xdr:from>
    <xdr:to>
      <xdr:col>18</xdr:col>
      <xdr:colOff>111831</xdr:colOff>
      <xdr:row>30</xdr:row>
      <xdr:rowOff>47624</xdr:rowOff>
    </xdr:to>
    <xdr:cxnSp macro="">
      <xdr:nvCxnSpPr>
        <xdr:cNvPr id="200" name="Connector: Curved 199">
          <a:extLst>
            <a:ext uri="{FF2B5EF4-FFF2-40B4-BE49-F238E27FC236}">
              <a16:creationId xmlns:a16="http://schemas.microsoft.com/office/drawing/2014/main" id="{38017C66-46DB-5CFE-29AA-D7AA42591724}"/>
            </a:ext>
          </a:extLst>
        </xdr:cNvPr>
        <xdr:cNvCxnSpPr>
          <a:stCxn id="4" idx="2"/>
          <a:endCxn id="9" idx="0"/>
        </xdr:cNvCxnSpPr>
      </xdr:nvCxnSpPr>
      <xdr:spPr>
        <a:xfrm rot="16200000" flipH="1">
          <a:off x="9853594" y="4593933"/>
          <a:ext cx="828675" cy="15087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105480</xdr:colOff>
      <xdr:row>19</xdr:row>
      <xdr:rowOff>92075</xdr:rowOff>
    </xdr:from>
    <xdr:to>
      <xdr:col>18</xdr:col>
      <xdr:colOff>118180</xdr:colOff>
      <xdr:row>30</xdr:row>
      <xdr:rowOff>53975</xdr:rowOff>
    </xdr:to>
    <xdr:cxnSp macro="">
      <xdr:nvCxnSpPr>
        <xdr:cNvPr id="202" name="Connector: Curved 201">
          <a:extLst>
            <a:ext uri="{FF2B5EF4-FFF2-40B4-BE49-F238E27FC236}">
              <a16:creationId xmlns:a16="http://schemas.microsoft.com/office/drawing/2014/main" id="{782D4CD8-017D-21DF-50C4-D30B7100FAFD}"/>
            </a:ext>
          </a:extLst>
        </xdr:cNvPr>
        <xdr:cNvCxnSpPr>
          <a:stCxn id="7" idx="2"/>
          <a:endCxn id="9" idx="0"/>
        </xdr:cNvCxnSpPr>
      </xdr:nvCxnSpPr>
      <xdr:spPr>
        <a:xfrm rot="5400000">
          <a:off x="9993585" y="4733925"/>
          <a:ext cx="205740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26</xdr:row>
      <xdr:rowOff>0</xdr:rowOff>
    </xdr:from>
    <xdr:to>
      <xdr:col>21</xdr:col>
      <xdr:colOff>79375</xdr:colOff>
      <xdr:row>30</xdr:row>
      <xdr:rowOff>47625</xdr:rowOff>
    </xdr:to>
    <xdr:cxnSp macro="">
      <xdr:nvCxnSpPr>
        <xdr:cNvPr id="204" name="Connector: Curved 203">
          <a:extLst>
            <a:ext uri="{FF2B5EF4-FFF2-40B4-BE49-F238E27FC236}">
              <a16:creationId xmlns:a16="http://schemas.microsoft.com/office/drawing/2014/main" id="{9B4D4287-AD42-9AC6-B9E5-6362D68BA757}"/>
            </a:ext>
          </a:extLst>
        </xdr:cNvPr>
        <xdr:cNvCxnSpPr>
          <a:stCxn id="5" idx="2"/>
          <a:endCxn id="9" idx="0"/>
        </xdr:cNvCxnSpPr>
      </xdr:nvCxnSpPr>
      <xdr:spPr>
        <a:xfrm rot="5400000">
          <a:off x="11510450" y="4464836"/>
          <a:ext cx="809625" cy="17859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79374</xdr:colOff>
      <xdr:row>19</xdr:row>
      <xdr:rowOff>76201</xdr:rowOff>
    </xdr:from>
    <xdr:to>
      <xdr:col>27</xdr:col>
      <xdr:colOff>448179</xdr:colOff>
      <xdr:row>22</xdr:row>
      <xdr:rowOff>95251</xdr:rowOff>
    </xdr:to>
    <xdr:cxnSp macro="">
      <xdr:nvCxnSpPr>
        <xdr:cNvPr id="207" name="Connector: Curved 206">
          <a:extLst>
            <a:ext uri="{FF2B5EF4-FFF2-40B4-BE49-F238E27FC236}">
              <a16:creationId xmlns:a16="http://schemas.microsoft.com/office/drawing/2014/main" id="{8AB9732C-F90F-460D-FC53-5E3CBA0E05FF}"/>
            </a:ext>
          </a:extLst>
        </xdr:cNvPr>
        <xdr:cNvCxnSpPr>
          <a:stCxn id="44" idx="2"/>
          <a:endCxn id="5" idx="0"/>
        </xdr:cNvCxnSpPr>
      </xdr:nvCxnSpPr>
      <xdr:spPr>
        <a:xfrm rot="5400000">
          <a:off x="14515775" y="1988164"/>
          <a:ext cx="590550" cy="400562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19</xdr:row>
      <xdr:rowOff>76201</xdr:rowOff>
    </xdr:from>
    <xdr:to>
      <xdr:col>27</xdr:col>
      <xdr:colOff>448179</xdr:colOff>
      <xdr:row>30</xdr:row>
      <xdr:rowOff>38101</xdr:rowOff>
    </xdr:to>
    <xdr:cxnSp macro="">
      <xdr:nvCxnSpPr>
        <xdr:cNvPr id="209" name="Connector: Curved 208">
          <a:extLst>
            <a:ext uri="{FF2B5EF4-FFF2-40B4-BE49-F238E27FC236}">
              <a16:creationId xmlns:a16="http://schemas.microsoft.com/office/drawing/2014/main" id="{49A07377-AF8C-D1FE-C40F-015F2A2BA102}"/>
            </a:ext>
          </a:extLst>
        </xdr:cNvPr>
        <xdr:cNvCxnSpPr>
          <a:stCxn id="44" idx="2"/>
          <a:endCxn id="60" idx="0"/>
        </xdr:cNvCxnSpPr>
      </xdr:nvCxnSpPr>
      <xdr:spPr>
        <a:xfrm rot="5400000">
          <a:off x="15780328" y="4719567"/>
          <a:ext cx="2057400" cy="966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7</xdr:row>
      <xdr:rowOff>73098</xdr:rowOff>
    </xdr:from>
    <xdr:to>
      <xdr:col>18</xdr:col>
      <xdr:colOff>123231</xdr:colOff>
      <xdr:row>15</xdr:row>
      <xdr:rowOff>161926</xdr:rowOff>
    </xdr:to>
    <xdr:cxnSp macro="">
      <xdr:nvCxnSpPr>
        <xdr:cNvPr id="212" name="Connector: Curved 211">
          <a:extLst>
            <a:ext uri="{FF2B5EF4-FFF2-40B4-BE49-F238E27FC236}">
              <a16:creationId xmlns:a16="http://schemas.microsoft.com/office/drawing/2014/main" id="{65D98483-C688-2940-4FFD-B3C36A2EE02D}"/>
            </a:ext>
          </a:extLst>
        </xdr:cNvPr>
        <xdr:cNvCxnSpPr>
          <a:stCxn id="40" idx="2"/>
          <a:endCxn id="3" idx="0"/>
        </xdr:cNvCxnSpPr>
      </xdr:nvCxnSpPr>
      <xdr:spPr>
        <a:xfrm rot="5400000">
          <a:off x="7211831" y="-802430"/>
          <a:ext cx="1612828" cy="603088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111830</xdr:colOff>
      <xdr:row>7</xdr:row>
      <xdr:rowOff>73098</xdr:rowOff>
    </xdr:from>
    <xdr:to>
      <xdr:col>18</xdr:col>
      <xdr:colOff>123231</xdr:colOff>
      <xdr:row>15</xdr:row>
      <xdr:rowOff>180976</xdr:rowOff>
    </xdr:to>
    <xdr:cxnSp macro="">
      <xdr:nvCxnSpPr>
        <xdr:cNvPr id="214" name="Connector: Curved 213">
          <a:extLst>
            <a:ext uri="{FF2B5EF4-FFF2-40B4-BE49-F238E27FC236}">
              <a16:creationId xmlns:a16="http://schemas.microsoft.com/office/drawing/2014/main" id="{D58AF59E-2BD2-73D4-6B7F-0DCEEF278C25}"/>
            </a:ext>
          </a:extLst>
        </xdr:cNvPr>
        <xdr:cNvCxnSpPr>
          <a:stCxn id="40" idx="2"/>
          <a:endCxn id="7" idx="0"/>
        </xdr:cNvCxnSpPr>
      </xdr:nvCxnSpPr>
      <xdr:spPr>
        <a:xfrm rot="5400000">
          <a:off x="10212047" y="2216836"/>
          <a:ext cx="1631878" cy="114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123231</xdr:colOff>
      <xdr:row>7</xdr:row>
      <xdr:rowOff>73096</xdr:rowOff>
    </xdr:from>
    <xdr:to>
      <xdr:col>27</xdr:col>
      <xdr:colOff>448179</xdr:colOff>
      <xdr:row>15</xdr:row>
      <xdr:rowOff>171449</xdr:rowOff>
    </xdr:to>
    <xdr:cxnSp macro="">
      <xdr:nvCxnSpPr>
        <xdr:cNvPr id="216" name="Connector: Curved 215">
          <a:extLst>
            <a:ext uri="{FF2B5EF4-FFF2-40B4-BE49-F238E27FC236}">
              <a16:creationId xmlns:a16="http://schemas.microsoft.com/office/drawing/2014/main" id="{E1BE3292-D792-B413-066F-EE5E02FCF6FD}"/>
            </a:ext>
          </a:extLst>
        </xdr:cNvPr>
        <xdr:cNvCxnSpPr>
          <a:stCxn id="40" idx="2"/>
          <a:endCxn id="44" idx="0"/>
        </xdr:cNvCxnSpPr>
      </xdr:nvCxnSpPr>
      <xdr:spPr>
        <a:xfrm rot="16200000" flipH="1">
          <a:off x="13112597" y="-672315"/>
          <a:ext cx="1622353" cy="57801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33</xdr:col>
      <xdr:colOff>60104</xdr:colOff>
      <xdr:row>4</xdr:row>
      <xdr:rowOff>1</xdr:rowOff>
    </xdr:from>
    <xdr:ext cx="1364348" cy="800091"/>
    <xdr:sp macro="" textlink="">
      <xdr:nvSpPr>
        <xdr:cNvPr id="217" name="TextBox 216">
          <a:extLst>
            <a:ext uri="{FF2B5EF4-FFF2-40B4-BE49-F238E27FC236}">
              <a16:creationId xmlns:a16="http://schemas.microsoft.com/office/drawing/2014/main" id="{B75048E5-2C3E-1D19-3C95-1843BF999F7A}"/>
            </a:ext>
          </a:extLst>
        </xdr:cNvPr>
        <xdr:cNvSpPr txBox="1"/>
      </xdr:nvSpPr>
      <xdr:spPr>
        <a:xfrm>
          <a:off x="20266711" y="762001"/>
          <a:ext cx="1364348"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en-AU" sz="2400" b="0">
              <a:solidFill>
                <a:srgbClr val="0C769E"/>
              </a:solidFill>
            </a:rPr>
            <a:t>4.5.1.1-2</a:t>
          </a:r>
          <a:r>
            <a:rPr lang="en-AU" sz="2400" b="0" baseline="0">
              <a:solidFill>
                <a:srgbClr val="0C769E"/>
              </a:solidFill>
            </a:rPr>
            <a:t> </a:t>
          </a:r>
          <a:br>
            <a:rPr lang="en-AU" sz="2400" b="0" baseline="0">
              <a:solidFill>
                <a:srgbClr val="0C769E"/>
              </a:solidFill>
            </a:rPr>
          </a:br>
          <a:r>
            <a:rPr lang="en-AU" sz="2400" b="0">
              <a:solidFill>
                <a:srgbClr val="0C769E"/>
              </a:solidFill>
            </a:rPr>
            <a:t>Methane</a:t>
          </a:r>
        </a:p>
      </xdr:txBody>
    </xdr:sp>
    <xdr:clientData/>
  </xdr:oneCellAnchor>
  <xdr:oneCellAnchor>
    <xdr:from>
      <xdr:col>47</xdr:col>
      <xdr:colOff>532163</xdr:colOff>
      <xdr:row>3</xdr:row>
      <xdr:rowOff>152401</xdr:rowOff>
    </xdr:from>
    <xdr:ext cx="2220190" cy="1153970"/>
    <xdr:sp macro="" textlink="">
      <xdr:nvSpPr>
        <xdr:cNvPr id="218" name="TextBox 217">
          <a:extLst>
            <a:ext uri="{FF2B5EF4-FFF2-40B4-BE49-F238E27FC236}">
              <a16:creationId xmlns:a16="http://schemas.microsoft.com/office/drawing/2014/main" id="{E49135D6-1028-404B-8FE4-9D2F9D5D0A14}"/>
            </a:ext>
          </a:extLst>
        </xdr:cNvPr>
        <xdr:cNvSpPr txBox="1"/>
      </xdr:nvSpPr>
      <xdr:spPr>
        <a:xfrm>
          <a:off x="29311270" y="723901"/>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002060"/>
              </a:solidFill>
            </a:rPr>
            <a:t>4.5.1.5-6 Atmospheric deposition</a:t>
          </a:r>
        </a:p>
      </xdr:txBody>
    </xdr:sp>
    <xdr:clientData/>
  </xdr:oneCellAnchor>
  <xdr:twoCellAnchor>
    <xdr:from>
      <xdr:col>32</xdr:col>
      <xdr:colOff>297070</xdr:colOff>
      <xdr:row>19</xdr:row>
      <xdr:rowOff>172010</xdr:rowOff>
    </xdr:from>
    <xdr:to>
      <xdr:col>34</xdr:col>
      <xdr:colOff>251487</xdr:colOff>
      <xdr:row>32</xdr:row>
      <xdr:rowOff>118382</xdr:rowOff>
    </xdr:to>
    <xdr:cxnSp macro="">
      <xdr:nvCxnSpPr>
        <xdr:cNvPr id="220" name="Connector: Curved 219">
          <a:extLst>
            <a:ext uri="{FF2B5EF4-FFF2-40B4-BE49-F238E27FC236}">
              <a16:creationId xmlns:a16="http://schemas.microsoft.com/office/drawing/2014/main" id="{E9B4A04A-A5EA-DFAF-CD0D-883CBA1A36EB}"/>
            </a:ext>
          </a:extLst>
        </xdr:cNvPr>
        <xdr:cNvCxnSpPr>
          <a:stCxn id="12" idx="2"/>
          <a:endCxn id="15" idx="0"/>
        </xdr:cNvCxnSpPr>
      </xdr:nvCxnSpPr>
      <xdr:spPr>
        <a:xfrm rot="16200000" flipH="1">
          <a:off x="19065343" y="4419601"/>
          <a:ext cx="2422872" cy="1166689"/>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251488</xdr:colOff>
      <xdr:row>19</xdr:row>
      <xdr:rowOff>162485</xdr:rowOff>
    </xdr:from>
    <xdr:to>
      <xdr:col>36</xdr:col>
      <xdr:colOff>497</xdr:colOff>
      <xdr:row>32</xdr:row>
      <xdr:rowOff>118382</xdr:rowOff>
    </xdr:to>
    <xdr:cxnSp macro="">
      <xdr:nvCxnSpPr>
        <xdr:cNvPr id="222" name="Connector: Curved 221">
          <a:extLst>
            <a:ext uri="{FF2B5EF4-FFF2-40B4-BE49-F238E27FC236}">
              <a16:creationId xmlns:a16="http://schemas.microsoft.com/office/drawing/2014/main" id="{63EE57D1-0C20-C251-C38E-D597E58B663A}"/>
            </a:ext>
          </a:extLst>
        </xdr:cNvPr>
        <xdr:cNvCxnSpPr>
          <a:stCxn id="11" idx="2"/>
          <a:endCxn id="15" idx="0"/>
        </xdr:cNvCxnSpPr>
      </xdr:nvCxnSpPr>
      <xdr:spPr>
        <a:xfrm rot="5400000">
          <a:off x="20124566" y="4517543"/>
          <a:ext cx="2432397" cy="961282"/>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257980</xdr:colOff>
      <xdr:row>34</xdr:row>
      <xdr:rowOff>175532</xdr:rowOff>
    </xdr:from>
    <xdr:to>
      <xdr:col>36</xdr:col>
      <xdr:colOff>277030</xdr:colOff>
      <xdr:row>37</xdr:row>
      <xdr:rowOff>156482</xdr:rowOff>
    </xdr:to>
    <xdr:cxnSp macro="">
      <xdr:nvCxnSpPr>
        <xdr:cNvPr id="224" name="Connector: Curved 223">
          <a:extLst>
            <a:ext uri="{FF2B5EF4-FFF2-40B4-BE49-F238E27FC236}">
              <a16:creationId xmlns:a16="http://schemas.microsoft.com/office/drawing/2014/main" id="{61018780-DE14-95E4-2D1A-573951BDB69E}"/>
            </a:ext>
          </a:extLst>
        </xdr:cNvPr>
        <xdr:cNvCxnSpPr>
          <a:stCxn id="15" idx="2"/>
          <a:endCxn id="13" idx="0"/>
        </xdr:cNvCxnSpPr>
      </xdr:nvCxnSpPr>
      <xdr:spPr>
        <a:xfrm rot="16200000" flipH="1">
          <a:off x="21327280" y="6309632"/>
          <a:ext cx="552450" cy="12382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267505</xdr:colOff>
      <xdr:row>40</xdr:row>
      <xdr:rowOff>23133</xdr:rowOff>
    </xdr:from>
    <xdr:to>
      <xdr:col>36</xdr:col>
      <xdr:colOff>277030</xdr:colOff>
      <xdr:row>43</xdr:row>
      <xdr:rowOff>137433</xdr:rowOff>
    </xdr:to>
    <xdr:cxnSp macro="">
      <xdr:nvCxnSpPr>
        <xdr:cNvPr id="226" name="Connector: Curved 225">
          <a:extLst>
            <a:ext uri="{FF2B5EF4-FFF2-40B4-BE49-F238E27FC236}">
              <a16:creationId xmlns:a16="http://schemas.microsoft.com/office/drawing/2014/main" id="{3074E4DB-E93A-8B67-C5A5-E5F0AD2A6907}"/>
            </a:ext>
          </a:extLst>
        </xdr:cNvPr>
        <xdr:cNvCxnSpPr>
          <a:stCxn id="13" idx="2"/>
          <a:endCxn id="14" idx="0"/>
        </xdr:cNvCxnSpPr>
      </xdr:nvCxnSpPr>
      <xdr:spPr>
        <a:xfrm rot="5400000">
          <a:off x="21874968" y="7981270"/>
          <a:ext cx="685800"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257981</xdr:colOff>
      <xdr:row>46</xdr:row>
      <xdr:rowOff>4082</xdr:rowOff>
    </xdr:from>
    <xdr:to>
      <xdr:col>36</xdr:col>
      <xdr:colOff>267506</xdr:colOff>
      <xdr:row>50</xdr:row>
      <xdr:rowOff>32657</xdr:rowOff>
    </xdr:to>
    <xdr:cxnSp macro="">
      <xdr:nvCxnSpPr>
        <xdr:cNvPr id="228" name="Connector: Curved 227">
          <a:extLst>
            <a:ext uri="{FF2B5EF4-FFF2-40B4-BE49-F238E27FC236}">
              <a16:creationId xmlns:a16="http://schemas.microsoft.com/office/drawing/2014/main" id="{CCB7EB9B-6BD4-3DF8-CBFD-D7B4669D2D07}"/>
            </a:ext>
          </a:extLst>
        </xdr:cNvPr>
        <xdr:cNvCxnSpPr>
          <a:stCxn id="14" idx="2"/>
          <a:endCxn id="16" idx="0"/>
        </xdr:cNvCxnSpPr>
      </xdr:nvCxnSpPr>
      <xdr:spPr>
        <a:xfrm rot="5400000">
          <a:off x="21203456" y="8548007"/>
          <a:ext cx="790575" cy="12287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245137</xdr:colOff>
      <xdr:row>52</xdr:row>
      <xdr:rowOff>96156</xdr:rowOff>
    </xdr:from>
    <xdr:to>
      <xdr:col>34</xdr:col>
      <xdr:colOff>257837</xdr:colOff>
      <xdr:row>53</xdr:row>
      <xdr:rowOff>185963</xdr:rowOff>
    </xdr:to>
    <xdr:cxnSp macro="">
      <xdr:nvCxnSpPr>
        <xdr:cNvPr id="230" name="Connector: Curved 229">
          <a:extLst>
            <a:ext uri="{FF2B5EF4-FFF2-40B4-BE49-F238E27FC236}">
              <a16:creationId xmlns:a16="http://schemas.microsoft.com/office/drawing/2014/main" id="{5E95508F-4E86-8B1E-A3E2-2E0CED43F1B8}"/>
            </a:ext>
          </a:extLst>
        </xdr:cNvPr>
        <xdr:cNvCxnSpPr>
          <a:stCxn id="16" idx="2"/>
          <a:endCxn id="17" idx="0"/>
        </xdr:cNvCxnSpPr>
      </xdr:nvCxnSpPr>
      <xdr:spPr>
        <a:xfrm rot="5400000">
          <a:off x="20719969" y="10135960"/>
          <a:ext cx="28030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40</xdr:col>
      <xdr:colOff>575459</xdr:colOff>
      <xdr:row>3</xdr:row>
      <xdr:rowOff>179615</xdr:rowOff>
    </xdr:from>
    <xdr:ext cx="1628907" cy="800091"/>
    <xdr:sp macro="" textlink="">
      <xdr:nvSpPr>
        <xdr:cNvPr id="231" name="TextBox 230">
          <a:extLst>
            <a:ext uri="{FF2B5EF4-FFF2-40B4-BE49-F238E27FC236}">
              <a16:creationId xmlns:a16="http://schemas.microsoft.com/office/drawing/2014/main" id="{CC3DE186-03A2-44F2-977A-7EE359B3D08C}"/>
            </a:ext>
          </a:extLst>
        </xdr:cNvPr>
        <xdr:cNvSpPr txBox="1"/>
      </xdr:nvSpPr>
      <xdr:spPr>
        <a:xfrm>
          <a:off x="25068316" y="751115"/>
          <a:ext cx="1628907"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AU" sz="2400" b="0">
              <a:solidFill>
                <a:srgbClr val="4F4789"/>
              </a:solidFill>
            </a:rPr>
            <a:t>4.5.1.3-4 </a:t>
          </a:r>
          <a:br>
            <a:rPr lang="en-AU" sz="2400" b="0">
              <a:solidFill>
                <a:srgbClr val="4F4789"/>
              </a:solidFill>
            </a:rPr>
          </a:br>
          <a:r>
            <a:rPr lang="en-AU" sz="2400" b="0">
              <a:solidFill>
                <a:srgbClr val="4F4789"/>
              </a:solidFill>
            </a:rPr>
            <a:t>N2O Direct</a:t>
          </a:r>
        </a:p>
      </xdr:txBody>
    </xdr:sp>
    <xdr:clientData/>
  </xdr:oneCellAnchor>
  <xdr:twoCellAnchor>
    <xdr:from>
      <xdr:col>40</xdr:col>
      <xdr:colOff>301831</xdr:colOff>
      <xdr:row>9</xdr:row>
      <xdr:rowOff>72118</xdr:rowOff>
    </xdr:from>
    <xdr:to>
      <xdr:col>43</xdr:col>
      <xdr:colOff>548119</xdr:colOff>
      <xdr:row>11</xdr:row>
      <xdr:rowOff>129268</xdr:rowOff>
    </xdr:to>
    <xdr:sp macro="" textlink="'4.5.1.3-4 Direct N2O'!D5">
      <xdr:nvSpPr>
        <xdr:cNvPr id="232" name="TextBox 231">
          <a:hlinkClick xmlns:r="http://schemas.openxmlformats.org/officeDocument/2006/relationships" r:id="rId8"/>
          <a:extLst>
            <a:ext uri="{FF2B5EF4-FFF2-40B4-BE49-F238E27FC236}">
              <a16:creationId xmlns:a16="http://schemas.microsoft.com/office/drawing/2014/main" id="{6776787B-384F-48AE-9CFE-16D9F978BF16}"/>
            </a:ext>
          </a:extLst>
        </xdr:cNvPr>
        <xdr:cNvSpPr txBox="1"/>
      </xdr:nvSpPr>
      <xdr:spPr>
        <a:xfrm>
          <a:off x="24547286" y="178661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25FB8C3-43AF-4ED8-9EC1-2C49A7129994}" type="TxLink">
            <a:rPr lang="en-US" sz="900" b="0" i="0" u="none" strike="noStrike">
              <a:solidFill>
                <a:srgbClr val="4F4789"/>
              </a:solidFill>
              <a:latin typeface="Times New Roman"/>
              <a:cs typeface="Times New Roman"/>
            </a:rPr>
            <a:pPr algn="ctr"/>
            <a:t>Annual nitrogen excretion from each swine group</a:t>
          </a:fld>
          <a:endParaRPr lang="en-AU" sz="900">
            <a:solidFill>
              <a:srgbClr val="4F4789"/>
            </a:solidFill>
          </a:endParaRPr>
        </a:p>
      </xdr:txBody>
    </xdr:sp>
    <xdr:clientData/>
  </xdr:twoCellAnchor>
  <xdr:twoCellAnchor>
    <xdr:from>
      <xdr:col>38</xdr:col>
      <xdr:colOff>358981</xdr:colOff>
      <xdr:row>17</xdr:row>
      <xdr:rowOff>53628</xdr:rowOff>
    </xdr:from>
    <xdr:to>
      <xdr:col>41</xdr:col>
      <xdr:colOff>605269</xdr:colOff>
      <xdr:row>19</xdr:row>
      <xdr:rowOff>110778</xdr:rowOff>
    </xdr:to>
    <xdr:sp macro="" textlink="'4.5.1.3-4 Direct N2O'!D39">
      <xdr:nvSpPr>
        <xdr:cNvPr id="233" name="TextBox 232">
          <a:hlinkClick xmlns:r="http://schemas.openxmlformats.org/officeDocument/2006/relationships" r:id="rId9"/>
          <a:extLst>
            <a:ext uri="{FF2B5EF4-FFF2-40B4-BE49-F238E27FC236}">
              <a16:creationId xmlns:a16="http://schemas.microsoft.com/office/drawing/2014/main" id="{B9D3E5FC-FBB9-4F21-BA28-0D6313CF0FEC}"/>
            </a:ext>
          </a:extLst>
        </xdr:cNvPr>
        <xdr:cNvSpPr txBox="1"/>
      </xdr:nvSpPr>
      <xdr:spPr>
        <a:xfrm>
          <a:off x="23392163" y="329212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7270BB-9349-4604-9004-9A9014548B36}" type="TxLink">
            <a:rPr lang="en-US" sz="900" b="0" i="0" u="none" strike="noStrike">
              <a:solidFill>
                <a:srgbClr val="4F4789"/>
              </a:solidFill>
              <a:latin typeface="Times New Roman"/>
              <a:cs typeface="Times New Roman"/>
            </a:rPr>
            <a:pPr algn="ctr"/>
            <a:t>Fraction of nitrogen in each primary MMS (excluding solid storage)</a:t>
          </a:fld>
          <a:endParaRPr lang="en-AU" sz="900">
            <a:solidFill>
              <a:srgbClr val="4F4789"/>
            </a:solidFill>
          </a:endParaRPr>
        </a:p>
      </xdr:txBody>
    </xdr:sp>
    <xdr:clientData/>
  </xdr:twoCellAnchor>
  <xdr:twoCellAnchor>
    <xdr:from>
      <xdr:col>42</xdr:col>
      <xdr:colOff>176646</xdr:colOff>
      <xdr:row>17</xdr:row>
      <xdr:rowOff>53628</xdr:rowOff>
    </xdr:from>
    <xdr:to>
      <xdr:col>45</xdr:col>
      <xdr:colOff>425656</xdr:colOff>
      <xdr:row>19</xdr:row>
      <xdr:rowOff>110778</xdr:rowOff>
    </xdr:to>
    <xdr:sp macro="" textlink="'4.5.1.3-4 Direct N2O'!D79">
      <xdr:nvSpPr>
        <xdr:cNvPr id="234" name="TextBox 233">
          <a:hlinkClick xmlns:r="http://schemas.openxmlformats.org/officeDocument/2006/relationships" r:id="rId10"/>
          <a:extLst>
            <a:ext uri="{FF2B5EF4-FFF2-40B4-BE49-F238E27FC236}">
              <a16:creationId xmlns:a16="http://schemas.microsoft.com/office/drawing/2014/main" id="{BA468583-3239-42C4-ABAF-8A0E0785B126}"/>
            </a:ext>
          </a:extLst>
        </xdr:cNvPr>
        <xdr:cNvSpPr txBox="1"/>
      </xdr:nvSpPr>
      <xdr:spPr>
        <a:xfrm>
          <a:off x="25634373" y="3292128"/>
          <a:ext cx="2067419"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24C035-8173-4CE1-9343-D00CDFBB1661}" type="TxLink">
            <a:rPr lang="en-US" sz="900" b="0" i="0" u="none" strike="noStrike">
              <a:solidFill>
                <a:srgbClr val="4F4789"/>
              </a:solidFill>
              <a:latin typeface="Times New Roman"/>
              <a:cs typeface="Times New Roman"/>
            </a:rPr>
            <a:pPr algn="ctr"/>
            <a:t>Fraction of nitrogen in solid storage</a:t>
          </a:fld>
          <a:endParaRPr lang="en-AU" sz="900">
            <a:solidFill>
              <a:srgbClr val="4F4789"/>
            </a:solidFill>
          </a:endParaRPr>
        </a:p>
      </xdr:txBody>
    </xdr:sp>
    <xdr:clientData/>
  </xdr:twoCellAnchor>
  <xdr:twoCellAnchor>
    <xdr:from>
      <xdr:col>40</xdr:col>
      <xdr:colOff>179567</xdr:colOff>
      <xdr:row>11</xdr:row>
      <xdr:rowOff>129269</xdr:rowOff>
    </xdr:from>
    <xdr:to>
      <xdr:col>42</xdr:col>
      <xdr:colOff>121398</xdr:colOff>
      <xdr:row>17</xdr:row>
      <xdr:rowOff>53629</xdr:rowOff>
    </xdr:to>
    <xdr:cxnSp macro="">
      <xdr:nvCxnSpPr>
        <xdr:cNvPr id="248" name="Connector: Curved 247">
          <a:extLst>
            <a:ext uri="{FF2B5EF4-FFF2-40B4-BE49-F238E27FC236}">
              <a16:creationId xmlns:a16="http://schemas.microsoft.com/office/drawing/2014/main" id="{440DB073-6D28-1CB4-1865-56715A26F1CF}"/>
            </a:ext>
          </a:extLst>
        </xdr:cNvPr>
        <xdr:cNvCxnSpPr>
          <a:stCxn id="232" idx="2"/>
          <a:endCxn id="233" idx="0"/>
        </xdr:cNvCxnSpPr>
      </xdr:nvCxnSpPr>
      <xdr:spPr>
        <a:xfrm rot="5400000">
          <a:off x="24468394" y="2181397"/>
          <a:ext cx="1067360" cy="11541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121397</xdr:colOff>
      <xdr:row>11</xdr:row>
      <xdr:rowOff>129268</xdr:rowOff>
    </xdr:from>
    <xdr:to>
      <xdr:col>43</xdr:col>
      <xdr:colOff>603709</xdr:colOff>
      <xdr:row>17</xdr:row>
      <xdr:rowOff>53628</xdr:rowOff>
    </xdr:to>
    <xdr:cxnSp macro="">
      <xdr:nvCxnSpPr>
        <xdr:cNvPr id="250" name="Connector: Curved 249">
          <a:extLst>
            <a:ext uri="{FF2B5EF4-FFF2-40B4-BE49-F238E27FC236}">
              <a16:creationId xmlns:a16="http://schemas.microsoft.com/office/drawing/2014/main" id="{0EA263FF-D79B-F1C6-E4F7-573857B054CD}"/>
            </a:ext>
          </a:extLst>
        </xdr:cNvPr>
        <xdr:cNvCxnSpPr>
          <a:stCxn id="232" idx="2"/>
          <a:endCxn id="234" idx="0"/>
        </xdr:cNvCxnSpPr>
      </xdr:nvCxnSpPr>
      <xdr:spPr>
        <a:xfrm rot="16200000" flipH="1">
          <a:off x="25589669" y="2214223"/>
          <a:ext cx="1067360" cy="10884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133644</xdr:colOff>
      <xdr:row>19</xdr:row>
      <xdr:rowOff>110779</xdr:rowOff>
    </xdr:from>
    <xdr:to>
      <xdr:col>43</xdr:col>
      <xdr:colOff>603710</xdr:colOff>
      <xdr:row>32</xdr:row>
      <xdr:rowOff>72119</xdr:rowOff>
    </xdr:to>
    <xdr:cxnSp macro="">
      <xdr:nvCxnSpPr>
        <xdr:cNvPr id="252" name="Connector: Curved 251">
          <a:extLst>
            <a:ext uri="{FF2B5EF4-FFF2-40B4-BE49-F238E27FC236}">
              <a16:creationId xmlns:a16="http://schemas.microsoft.com/office/drawing/2014/main" id="{11A19362-0D39-A5CD-9111-CDA37D940CBA}"/>
            </a:ext>
          </a:extLst>
        </xdr:cNvPr>
        <xdr:cNvCxnSpPr>
          <a:stCxn id="234" idx="2"/>
          <a:endCxn id="235" idx="0"/>
        </xdr:cNvCxnSpPr>
      </xdr:nvCxnSpPr>
      <xdr:spPr>
        <a:xfrm rot="5400000">
          <a:off x="24910553" y="4411097"/>
          <a:ext cx="2437840" cy="10762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40</xdr:col>
      <xdr:colOff>179566</xdr:colOff>
      <xdr:row>19</xdr:row>
      <xdr:rowOff>110778</xdr:rowOff>
    </xdr:from>
    <xdr:to>
      <xdr:col>42</xdr:col>
      <xdr:colOff>133643</xdr:colOff>
      <xdr:row>32</xdr:row>
      <xdr:rowOff>72118</xdr:rowOff>
    </xdr:to>
    <xdr:cxnSp macro="">
      <xdr:nvCxnSpPr>
        <xdr:cNvPr id="254" name="Connector: Curved 253">
          <a:extLst>
            <a:ext uri="{FF2B5EF4-FFF2-40B4-BE49-F238E27FC236}">
              <a16:creationId xmlns:a16="http://schemas.microsoft.com/office/drawing/2014/main" id="{8FF88138-8B69-A068-35F3-D9FB298079B0}"/>
            </a:ext>
          </a:extLst>
        </xdr:cNvPr>
        <xdr:cNvCxnSpPr>
          <a:stCxn id="233" idx="2"/>
          <a:endCxn id="235" idx="0"/>
        </xdr:cNvCxnSpPr>
      </xdr:nvCxnSpPr>
      <xdr:spPr>
        <a:xfrm rot="16200000" flipH="1">
          <a:off x="23789276" y="4366023"/>
          <a:ext cx="2437840" cy="11663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34</xdr:row>
      <xdr:rowOff>129267</xdr:rowOff>
    </xdr:from>
    <xdr:to>
      <xdr:col>42</xdr:col>
      <xdr:colOff>135887</xdr:colOff>
      <xdr:row>53</xdr:row>
      <xdr:rowOff>180974</xdr:rowOff>
    </xdr:to>
    <xdr:cxnSp macro="">
      <xdr:nvCxnSpPr>
        <xdr:cNvPr id="259" name="Connector: Curved 258">
          <a:extLst>
            <a:ext uri="{FF2B5EF4-FFF2-40B4-BE49-F238E27FC236}">
              <a16:creationId xmlns:a16="http://schemas.microsoft.com/office/drawing/2014/main" id="{26BDC37B-0216-13E3-0BA6-56EEFCB45F28}"/>
            </a:ext>
          </a:extLst>
        </xdr:cNvPr>
        <xdr:cNvCxnSpPr>
          <a:stCxn id="235" idx="2"/>
          <a:endCxn id="257" idx="0"/>
        </xdr:cNvCxnSpPr>
      </xdr:nvCxnSpPr>
      <xdr:spPr>
        <a:xfrm rot="5400000">
          <a:off x="23741681" y="8425542"/>
          <a:ext cx="3671207" cy="3265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135885</xdr:colOff>
      <xdr:row>34</xdr:row>
      <xdr:rowOff>129268</xdr:rowOff>
    </xdr:from>
    <xdr:to>
      <xdr:col>44</xdr:col>
      <xdr:colOff>264410</xdr:colOff>
      <xdr:row>38</xdr:row>
      <xdr:rowOff>95250</xdr:rowOff>
    </xdr:to>
    <xdr:cxnSp macro="">
      <xdr:nvCxnSpPr>
        <xdr:cNvPr id="261" name="Connector: Curved 260">
          <a:extLst>
            <a:ext uri="{FF2B5EF4-FFF2-40B4-BE49-F238E27FC236}">
              <a16:creationId xmlns:a16="http://schemas.microsoft.com/office/drawing/2014/main" id="{11A97F5D-DF2D-1342-A519-7AFDC23AD2B9}"/>
            </a:ext>
          </a:extLst>
        </xdr:cNvPr>
        <xdr:cNvCxnSpPr>
          <a:stCxn id="235" idx="2"/>
          <a:endCxn id="255" idx="0"/>
        </xdr:cNvCxnSpPr>
      </xdr:nvCxnSpPr>
      <xdr:spPr>
        <a:xfrm rot="16200000" flipH="1">
          <a:off x="25900020" y="6299860"/>
          <a:ext cx="727982" cy="134079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264410</xdr:colOff>
      <xdr:row>40</xdr:row>
      <xdr:rowOff>152400</xdr:rowOff>
    </xdr:from>
    <xdr:to>
      <xdr:col>44</xdr:col>
      <xdr:colOff>273935</xdr:colOff>
      <xdr:row>43</xdr:row>
      <xdr:rowOff>114300</xdr:rowOff>
    </xdr:to>
    <xdr:cxnSp macro="">
      <xdr:nvCxnSpPr>
        <xdr:cNvPr id="263" name="Connector: Curved 262">
          <a:extLst>
            <a:ext uri="{FF2B5EF4-FFF2-40B4-BE49-F238E27FC236}">
              <a16:creationId xmlns:a16="http://schemas.microsoft.com/office/drawing/2014/main" id="{44CDCA80-1F8D-E4C9-EAFF-7729F12C44A9}"/>
            </a:ext>
          </a:extLst>
        </xdr:cNvPr>
        <xdr:cNvCxnSpPr>
          <a:stCxn id="255" idx="2"/>
          <a:endCxn id="256" idx="0"/>
        </xdr:cNvCxnSpPr>
      </xdr:nvCxnSpPr>
      <xdr:spPr>
        <a:xfrm rot="16200000" flipH="1">
          <a:off x="26672473" y="8034337"/>
          <a:ext cx="533400" cy="9525"/>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45</xdr:row>
      <xdr:rowOff>171449</xdr:rowOff>
    </xdr:from>
    <xdr:to>
      <xdr:col>44</xdr:col>
      <xdr:colOff>273937</xdr:colOff>
      <xdr:row>53</xdr:row>
      <xdr:rowOff>180974</xdr:rowOff>
    </xdr:to>
    <xdr:cxnSp macro="">
      <xdr:nvCxnSpPr>
        <xdr:cNvPr id="265" name="Connector: Curved 264">
          <a:extLst>
            <a:ext uri="{FF2B5EF4-FFF2-40B4-BE49-F238E27FC236}">
              <a16:creationId xmlns:a16="http://schemas.microsoft.com/office/drawing/2014/main" id="{81CB6478-C2BB-37EC-EEFC-3771415D4559}"/>
            </a:ext>
          </a:extLst>
        </xdr:cNvPr>
        <xdr:cNvCxnSpPr>
          <a:stCxn id="256" idx="2"/>
          <a:endCxn id="257" idx="0"/>
        </xdr:cNvCxnSpPr>
      </xdr:nvCxnSpPr>
      <xdr:spPr>
        <a:xfrm rot="5400000">
          <a:off x="25485684" y="8819221"/>
          <a:ext cx="1533525" cy="1382981"/>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276178</xdr:colOff>
      <xdr:row>45</xdr:row>
      <xdr:rowOff>171449</xdr:rowOff>
    </xdr:from>
    <xdr:to>
      <xdr:col>49</xdr:col>
      <xdr:colOff>406342</xdr:colOff>
      <xdr:row>54</xdr:row>
      <xdr:rowOff>8148</xdr:rowOff>
    </xdr:to>
    <xdr:cxnSp macro="">
      <xdr:nvCxnSpPr>
        <xdr:cNvPr id="288" name="Connector: Curved 287">
          <a:extLst>
            <a:ext uri="{FF2B5EF4-FFF2-40B4-BE49-F238E27FC236}">
              <a16:creationId xmlns:a16="http://schemas.microsoft.com/office/drawing/2014/main" id="{5E544446-BC3C-0BC7-8BDB-63C6BD330262}"/>
            </a:ext>
          </a:extLst>
        </xdr:cNvPr>
        <xdr:cNvCxnSpPr>
          <a:stCxn id="256" idx="2"/>
          <a:endCxn id="279" idx="0"/>
        </xdr:cNvCxnSpPr>
      </xdr:nvCxnSpPr>
      <xdr:spPr>
        <a:xfrm rot="16200000" flipH="1">
          <a:off x="27751001" y="7939126"/>
          <a:ext cx="1551199" cy="316084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133645</xdr:colOff>
      <xdr:row>34</xdr:row>
      <xdr:rowOff>129267</xdr:rowOff>
    </xdr:from>
    <xdr:to>
      <xdr:col>49</xdr:col>
      <xdr:colOff>406342</xdr:colOff>
      <xdr:row>54</xdr:row>
      <xdr:rowOff>8148</xdr:rowOff>
    </xdr:to>
    <xdr:cxnSp macro="">
      <xdr:nvCxnSpPr>
        <xdr:cNvPr id="290" name="Connector: Curved 289">
          <a:extLst>
            <a:ext uri="{FF2B5EF4-FFF2-40B4-BE49-F238E27FC236}">
              <a16:creationId xmlns:a16="http://schemas.microsoft.com/office/drawing/2014/main" id="{F546E446-B796-300B-A228-36C3EEBE0A6A}"/>
            </a:ext>
          </a:extLst>
        </xdr:cNvPr>
        <xdr:cNvCxnSpPr>
          <a:stCxn id="235" idx="2"/>
          <a:endCxn id="279" idx="0"/>
        </xdr:cNvCxnSpPr>
      </xdr:nvCxnSpPr>
      <xdr:spPr>
        <a:xfrm rot="16200000" flipH="1">
          <a:off x="26004757" y="6192882"/>
          <a:ext cx="3688881" cy="451565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406341</xdr:colOff>
      <xdr:row>56</xdr:row>
      <xdr:rowOff>65299</xdr:rowOff>
    </xdr:from>
    <xdr:to>
      <xdr:col>49</xdr:col>
      <xdr:colOff>409435</xdr:colOff>
      <xdr:row>59</xdr:row>
      <xdr:rowOff>52573</xdr:rowOff>
    </xdr:to>
    <xdr:cxnSp macro="">
      <xdr:nvCxnSpPr>
        <xdr:cNvPr id="292" name="Connector: Curved 291">
          <a:extLst>
            <a:ext uri="{FF2B5EF4-FFF2-40B4-BE49-F238E27FC236}">
              <a16:creationId xmlns:a16="http://schemas.microsoft.com/office/drawing/2014/main" id="{8BA70488-FEC3-3236-737F-2C7D56BF78ED}"/>
            </a:ext>
          </a:extLst>
        </xdr:cNvPr>
        <xdr:cNvCxnSpPr>
          <a:stCxn id="279" idx="2"/>
          <a:endCxn id="280" idx="0"/>
        </xdr:cNvCxnSpPr>
      </xdr:nvCxnSpPr>
      <xdr:spPr>
        <a:xfrm rot="16200000" flipH="1">
          <a:off x="29829183" y="11011139"/>
          <a:ext cx="558774" cy="309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52</xdr:col>
      <xdr:colOff>382732</xdr:colOff>
      <xdr:row>3</xdr:row>
      <xdr:rowOff>148938</xdr:rowOff>
    </xdr:from>
    <xdr:ext cx="2220190" cy="1153970"/>
    <xdr:sp macro="" textlink="">
      <xdr:nvSpPr>
        <xdr:cNvPr id="293" name="TextBox 292">
          <a:extLst>
            <a:ext uri="{FF2B5EF4-FFF2-40B4-BE49-F238E27FC236}">
              <a16:creationId xmlns:a16="http://schemas.microsoft.com/office/drawing/2014/main" id="{AC4F6D30-A14B-4EC8-91D6-8ADDF178B88C}"/>
            </a:ext>
          </a:extLst>
        </xdr:cNvPr>
        <xdr:cNvSpPr txBox="1"/>
      </xdr:nvSpPr>
      <xdr:spPr>
        <a:xfrm>
          <a:off x="32223446" y="720438"/>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chemeClr val="accent6">
                  <a:lumMod val="50000"/>
                </a:schemeClr>
              </a:solidFill>
            </a:rPr>
            <a:t>4.5.1.7-8 Leaching</a:t>
          </a:r>
          <a:r>
            <a:rPr lang="en-AU" sz="2400" b="0" baseline="0">
              <a:solidFill>
                <a:schemeClr val="accent6">
                  <a:lumMod val="50000"/>
                </a:schemeClr>
              </a:solidFill>
            </a:rPr>
            <a:t> and runoff</a:t>
          </a:r>
          <a:endParaRPr lang="en-AU" sz="2400" b="0">
            <a:solidFill>
              <a:schemeClr val="accent6">
                <a:lumMod val="50000"/>
              </a:schemeClr>
            </a:solidFill>
          </a:endParaRPr>
        </a:p>
      </xdr:txBody>
    </xdr:sp>
    <xdr:clientData/>
  </xdr:oneCellAnchor>
  <xdr:twoCellAnchor>
    <xdr:from>
      <xdr:col>43</xdr:col>
      <xdr:colOff>561726</xdr:colOff>
      <xdr:row>33</xdr:row>
      <xdr:rowOff>100693</xdr:rowOff>
    </xdr:from>
    <xdr:to>
      <xdr:col>52</xdr:col>
      <xdr:colOff>116338</xdr:colOff>
      <xdr:row>33</xdr:row>
      <xdr:rowOff>103909</xdr:rowOff>
    </xdr:to>
    <xdr:cxnSp macro="">
      <xdr:nvCxnSpPr>
        <xdr:cNvPr id="295" name="Connector: Curved 294">
          <a:extLst>
            <a:ext uri="{FF2B5EF4-FFF2-40B4-BE49-F238E27FC236}">
              <a16:creationId xmlns:a16="http://schemas.microsoft.com/office/drawing/2014/main" id="{8B95E993-71D7-CD8B-1D99-B74FB777643C}"/>
            </a:ext>
          </a:extLst>
        </xdr:cNvPr>
        <xdr:cNvCxnSpPr>
          <a:stCxn id="235" idx="3"/>
          <a:endCxn id="277" idx="1"/>
        </xdr:cNvCxnSpPr>
      </xdr:nvCxnSpPr>
      <xdr:spPr>
        <a:xfrm>
          <a:off x="26625590" y="6387193"/>
          <a:ext cx="5009839" cy="3216"/>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534469</xdr:colOff>
      <xdr:row>34</xdr:row>
      <xdr:rowOff>138834</xdr:rowOff>
    </xdr:from>
    <xdr:to>
      <xdr:col>53</xdr:col>
      <xdr:colOff>547169</xdr:colOff>
      <xdr:row>59</xdr:row>
      <xdr:rowOff>60138</xdr:rowOff>
    </xdr:to>
    <xdr:cxnSp macro="">
      <xdr:nvCxnSpPr>
        <xdr:cNvPr id="298" name="Connector: Curved 297">
          <a:extLst>
            <a:ext uri="{FF2B5EF4-FFF2-40B4-BE49-F238E27FC236}">
              <a16:creationId xmlns:a16="http://schemas.microsoft.com/office/drawing/2014/main" id="{E9BD5199-A463-6DB9-DAF3-12AE0A5D1787}"/>
            </a:ext>
          </a:extLst>
        </xdr:cNvPr>
        <xdr:cNvCxnSpPr>
          <a:stCxn id="277" idx="2"/>
          <a:endCxn id="278" idx="0"/>
        </xdr:cNvCxnSpPr>
      </xdr:nvCxnSpPr>
      <xdr:spPr>
        <a:xfrm rot="5400000">
          <a:off x="30324144" y="8951386"/>
          <a:ext cx="4683804" cy="1270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58</xdr:col>
      <xdr:colOff>276348</xdr:colOff>
      <xdr:row>3</xdr:row>
      <xdr:rowOff>148938</xdr:rowOff>
    </xdr:from>
    <xdr:ext cx="2220190" cy="800091"/>
    <xdr:sp macro="" textlink="">
      <xdr:nvSpPr>
        <xdr:cNvPr id="299" name="TextBox 298">
          <a:extLst>
            <a:ext uri="{FF2B5EF4-FFF2-40B4-BE49-F238E27FC236}">
              <a16:creationId xmlns:a16="http://schemas.microsoft.com/office/drawing/2014/main" id="{5EC3BC2F-CCD9-403B-9EFF-3FAC899F6445}"/>
            </a:ext>
          </a:extLst>
        </xdr:cNvPr>
        <xdr:cNvSpPr txBox="1"/>
      </xdr:nvSpPr>
      <xdr:spPr>
        <a:xfrm>
          <a:off x="35790991" y="720438"/>
          <a:ext cx="2220190"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C00000"/>
              </a:solidFill>
            </a:rPr>
            <a:t>4.5.1.9 </a:t>
          </a:r>
          <a:r>
            <a:rPr lang="en-AU" sz="2400" b="0" baseline="0">
              <a:solidFill>
                <a:srgbClr val="C00000"/>
              </a:solidFill>
            </a:rPr>
            <a:t>Manure applied to soils</a:t>
          </a:r>
          <a:endParaRPr lang="en-AU" sz="2400" b="0">
            <a:solidFill>
              <a:srgbClr val="C00000"/>
            </a:solidFill>
          </a:endParaRPr>
        </a:p>
      </xdr:txBody>
    </xdr:sp>
    <xdr:clientData/>
  </xdr:oneCellAnchor>
  <xdr:twoCellAnchor>
    <xdr:from>
      <xdr:col>42</xdr:col>
      <xdr:colOff>137246</xdr:colOff>
      <xdr:row>34</xdr:row>
      <xdr:rowOff>129267</xdr:rowOff>
    </xdr:from>
    <xdr:to>
      <xdr:col>58</xdr:col>
      <xdr:colOff>524061</xdr:colOff>
      <xdr:row>63</xdr:row>
      <xdr:rowOff>161924</xdr:rowOff>
    </xdr:to>
    <xdr:cxnSp macro="">
      <xdr:nvCxnSpPr>
        <xdr:cNvPr id="301" name="Connector: Curved 300">
          <a:extLst>
            <a:ext uri="{FF2B5EF4-FFF2-40B4-BE49-F238E27FC236}">
              <a16:creationId xmlns:a16="http://schemas.microsoft.com/office/drawing/2014/main" id="{09ACC859-B1AA-C1BF-F328-EB411F9FB0F1}"/>
            </a:ext>
          </a:extLst>
        </xdr:cNvPr>
        <xdr:cNvCxnSpPr>
          <a:stCxn id="235" idx="2"/>
          <a:endCxn id="275" idx="0"/>
        </xdr:cNvCxnSpPr>
      </xdr:nvCxnSpPr>
      <xdr:spPr>
        <a:xfrm rot="16200000" flipH="1">
          <a:off x="27858893" y="4342347"/>
          <a:ext cx="5557157" cy="10084997"/>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137247</xdr:colOff>
      <xdr:row>34</xdr:row>
      <xdr:rowOff>129267</xdr:rowOff>
    </xdr:from>
    <xdr:to>
      <xdr:col>62</xdr:col>
      <xdr:colOff>260083</xdr:colOff>
      <xdr:row>63</xdr:row>
      <xdr:rowOff>157842</xdr:rowOff>
    </xdr:to>
    <xdr:cxnSp macro="">
      <xdr:nvCxnSpPr>
        <xdr:cNvPr id="303" name="Connector: Curved 302">
          <a:extLst>
            <a:ext uri="{FF2B5EF4-FFF2-40B4-BE49-F238E27FC236}">
              <a16:creationId xmlns:a16="http://schemas.microsoft.com/office/drawing/2014/main" id="{0AD122E7-7CB0-9572-AB16-A89C9E60E890}"/>
            </a:ext>
          </a:extLst>
        </xdr:cNvPr>
        <xdr:cNvCxnSpPr>
          <a:stCxn id="235" idx="2"/>
          <a:endCxn id="276" idx="0"/>
        </xdr:cNvCxnSpPr>
      </xdr:nvCxnSpPr>
      <xdr:spPr>
        <a:xfrm rot="16200000" flipH="1">
          <a:off x="28941218" y="3260023"/>
          <a:ext cx="5553075" cy="1224556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540820</xdr:colOff>
      <xdr:row>34</xdr:row>
      <xdr:rowOff>132483</xdr:rowOff>
    </xdr:from>
    <xdr:to>
      <xdr:col>58</xdr:col>
      <xdr:colOff>524062</xdr:colOff>
      <xdr:row>63</xdr:row>
      <xdr:rowOff>161924</xdr:rowOff>
    </xdr:to>
    <xdr:cxnSp macro="">
      <xdr:nvCxnSpPr>
        <xdr:cNvPr id="305" name="Connector: Curved 304">
          <a:extLst>
            <a:ext uri="{FF2B5EF4-FFF2-40B4-BE49-F238E27FC236}">
              <a16:creationId xmlns:a16="http://schemas.microsoft.com/office/drawing/2014/main" id="{55F2D1C0-32C1-5DC6-7DE4-510D6A8A0089}"/>
            </a:ext>
          </a:extLst>
        </xdr:cNvPr>
        <xdr:cNvCxnSpPr>
          <a:stCxn id="277" idx="2"/>
          <a:endCxn id="275" idx="0"/>
        </xdr:cNvCxnSpPr>
      </xdr:nvCxnSpPr>
      <xdr:spPr>
        <a:xfrm rot="16200000" flipH="1">
          <a:off x="31396038" y="7879492"/>
          <a:ext cx="5553941" cy="301392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540819</xdr:colOff>
      <xdr:row>34</xdr:row>
      <xdr:rowOff>132483</xdr:rowOff>
    </xdr:from>
    <xdr:to>
      <xdr:col>62</xdr:col>
      <xdr:colOff>260082</xdr:colOff>
      <xdr:row>63</xdr:row>
      <xdr:rowOff>157842</xdr:rowOff>
    </xdr:to>
    <xdr:cxnSp macro="">
      <xdr:nvCxnSpPr>
        <xdr:cNvPr id="307" name="Connector: Curved 306">
          <a:extLst>
            <a:ext uri="{FF2B5EF4-FFF2-40B4-BE49-F238E27FC236}">
              <a16:creationId xmlns:a16="http://schemas.microsoft.com/office/drawing/2014/main" id="{47B946AA-5E92-5183-9C94-20602F2FDA25}"/>
            </a:ext>
          </a:extLst>
        </xdr:cNvPr>
        <xdr:cNvCxnSpPr>
          <a:stCxn id="277" idx="2"/>
          <a:endCxn id="276" idx="0"/>
        </xdr:cNvCxnSpPr>
      </xdr:nvCxnSpPr>
      <xdr:spPr>
        <a:xfrm rot="16200000" flipH="1">
          <a:off x="32478362" y="6797167"/>
          <a:ext cx="5549859" cy="517449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272576</xdr:colOff>
      <xdr:row>45</xdr:row>
      <xdr:rowOff>171449</xdr:rowOff>
    </xdr:from>
    <xdr:to>
      <xdr:col>58</xdr:col>
      <xdr:colOff>524062</xdr:colOff>
      <xdr:row>63</xdr:row>
      <xdr:rowOff>161924</xdr:rowOff>
    </xdr:to>
    <xdr:cxnSp macro="">
      <xdr:nvCxnSpPr>
        <xdr:cNvPr id="309" name="Connector: Curved 308">
          <a:extLst>
            <a:ext uri="{FF2B5EF4-FFF2-40B4-BE49-F238E27FC236}">
              <a16:creationId xmlns:a16="http://schemas.microsoft.com/office/drawing/2014/main" id="{B2C1E2D5-0A2E-B1AD-04E0-66F4E9549D77}"/>
            </a:ext>
          </a:extLst>
        </xdr:cNvPr>
        <xdr:cNvCxnSpPr>
          <a:stCxn id="256" idx="2"/>
          <a:endCxn id="275" idx="0"/>
        </xdr:cNvCxnSpPr>
      </xdr:nvCxnSpPr>
      <xdr:spPr>
        <a:xfrm rot="16200000" flipH="1">
          <a:off x="29601536" y="6084989"/>
          <a:ext cx="3419475" cy="8737395"/>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272575</xdr:colOff>
      <xdr:row>45</xdr:row>
      <xdr:rowOff>171449</xdr:rowOff>
    </xdr:from>
    <xdr:to>
      <xdr:col>62</xdr:col>
      <xdr:colOff>260082</xdr:colOff>
      <xdr:row>63</xdr:row>
      <xdr:rowOff>157842</xdr:rowOff>
    </xdr:to>
    <xdr:cxnSp macro="">
      <xdr:nvCxnSpPr>
        <xdr:cNvPr id="311" name="Connector: Curved 310">
          <a:extLst>
            <a:ext uri="{FF2B5EF4-FFF2-40B4-BE49-F238E27FC236}">
              <a16:creationId xmlns:a16="http://schemas.microsoft.com/office/drawing/2014/main" id="{12B4B419-5155-4BB4-6C45-C8CE7BFC6469}"/>
            </a:ext>
          </a:extLst>
        </xdr:cNvPr>
        <xdr:cNvCxnSpPr>
          <a:stCxn id="256" idx="2"/>
          <a:endCxn id="276" idx="0"/>
        </xdr:cNvCxnSpPr>
      </xdr:nvCxnSpPr>
      <xdr:spPr>
        <a:xfrm rot="16200000" flipH="1">
          <a:off x="30683859" y="5002665"/>
          <a:ext cx="3415393" cy="1089796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312717</xdr:colOff>
      <xdr:row>32</xdr:row>
      <xdr:rowOff>72118</xdr:rowOff>
    </xdr:from>
    <xdr:to>
      <xdr:col>43</xdr:col>
      <xdr:colOff>561726</xdr:colOff>
      <xdr:row>34</xdr:row>
      <xdr:rowOff>129268</xdr:rowOff>
    </xdr:to>
    <xdr:sp macro="" textlink="'4.5.1.3-4 Direct N2O'!D104">
      <xdr:nvSpPr>
        <xdr:cNvPr id="235" name="TextBox 234">
          <a:hlinkClick xmlns:r="http://schemas.openxmlformats.org/officeDocument/2006/relationships" r:id="rId11"/>
          <a:extLst>
            <a:ext uri="{FF2B5EF4-FFF2-40B4-BE49-F238E27FC236}">
              <a16:creationId xmlns:a16="http://schemas.microsoft.com/office/drawing/2014/main" id="{23B76BC1-7684-4971-98DD-273E9404D924}"/>
            </a:ext>
          </a:extLst>
        </xdr:cNvPr>
        <xdr:cNvSpPr txBox="1"/>
      </xdr:nvSpPr>
      <xdr:spPr>
        <a:xfrm>
          <a:off x="24558172" y="6168118"/>
          <a:ext cx="206741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1A0593-9A00-4647-809D-D63ABCBF3D6B}" type="TxLink">
            <a:rPr lang="en-US" sz="900" b="0" i="0" u="none" strike="noStrike">
              <a:solidFill>
                <a:srgbClr val="4F4789"/>
              </a:solidFill>
              <a:latin typeface="Times New Roman"/>
              <a:cs typeface="Times New Roman"/>
            </a:rPr>
            <a:pPr algn="ctr"/>
            <a:t>Nitrogen in treatment stage 1 MMS</a:t>
          </a:fld>
          <a:endParaRPr lang="en-AU" sz="900">
            <a:solidFill>
              <a:srgbClr val="4F4789"/>
            </a:solidFill>
          </a:endParaRPr>
        </a:p>
      </xdr:txBody>
    </xdr:sp>
    <xdr:clientData/>
  </xdr:twoCellAnchor>
  <xdr:twoCellAnchor>
    <xdr:from>
      <xdr:col>42</xdr:col>
      <xdr:colOff>446067</xdr:colOff>
      <xdr:row>38</xdr:row>
      <xdr:rowOff>95250</xdr:rowOff>
    </xdr:from>
    <xdr:to>
      <xdr:col>46</xdr:col>
      <xdr:colOff>86219</xdr:colOff>
      <xdr:row>40</xdr:row>
      <xdr:rowOff>152400</xdr:rowOff>
    </xdr:to>
    <xdr:sp macro="" textlink="'4.5.1.3-4 Direct N2O'!D127">
      <xdr:nvSpPr>
        <xdr:cNvPr id="255" name="TextBox 254">
          <a:hlinkClick xmlns:r="http://schemas.openxmlformats.org/officeDocument/2006/relationships" r:id="rId12"/>
          <a:extLst>
            <a:ext uri="{FF2B5EF4-FFF2-40B4-BE49-F238E27FC236}">
              <a16:creationId xmlns:a16="http://schemas.microsoft.com/office/drawing/2014/main" id="{8C140567-2D1E-4BB8-B4F1-730266545509}"/>
            </a:ext>
          </a:extLst>
        </xdr:cNvPr>
        <xdr:cNvSpPr txBox="1"/>
      </xdr:nvSpPr>
      <xdr:spPr>
        <a:xfrm>
          <a:off x="25903794" y="733425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A09607B-5B29-403E-B6A5-BFF51374C096}" type="TxLink">
            <a:rPr lang="en-US" sz="900" b="0" i="0" u="none" strike="noStrike">
              <a:solidFill>
                <a:srgbClr val="4F4789"/>
              </a:solidFill>
              <a:latin typeface="Times New Roman"/>
              <a:cs typeface="Times New Roman"/>
            </a:rPr>
            <a:pPr algn="ctr"/>
            <a:t>Nitrogen transferred to treatment stage 2 MMS</a:t>
          </a:fld>
          <a:endParaRPr lang="en-AU" sz="900">
            <a:solidFill>
              <a:srgbClr val="4F4789"/>
            </a:solidFill>
          </a:endParaRPr>
        </a:p>
      </xdr:txBody>
    </xdr:sp>
    <xdr:clientData/>
  </xdr:twoCellAnchor>
  <xdr:twoCellAnchor>
    <xdr:from>
      <xdr:col>42</xdr:col>
      <xdr:colOff>455592</xdr:colOff>
      <xdr:row>43</xdr:row>
      <xdr:rowOff>114300</xdr:rowOff>
    </xdr:from>
    <xdr:to>
      <xdr:col>46</xdr:col>
      <xdr:colOff>95744</xdr:colOff>
      <xdr:row>45</xdr:row>
      <xdr:rowOff>171450</xdr:rowOff>
    </xdr:to>
    <xdr:sp macro="" textlink="'4.5.1.3-4 Direct N2O'!D173">
      <xdr:nvSpPr>
        <xdr:cNvPr id="256" name="TextBox 255">
          <a:hlinkClick xmlns:r="http://schemas.openxmlformats.org/officeDocument/2006/relationships" r:id="rId13"/>
          <a:extLst>
            <a:ext uri="{FF2B5EF4-FFF2-40B4-BE49-F238E27FC236}">
              <a16:creationId xmlns:a16="http://schemas.microsoft.com/office/drawing/2014/main" id="{D9485037-16B1-44EA-AF8A-00FD0A04D21C}"/>
            </a:ext>
          </a:extLst>
        </xdr:cNvPr>
        <xdr:cNvSpPr txBox="1"/>
      </xdr:nvSpPr>
      <xdr:spPr>
        <a:xfrm>
          <a:off x="25913319" y="830580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C59ACA-9BA7-4C24-815D-5FECDD3E2086}" type="TxLink">
            <a:rPr lang="en-US" sz="900" b="0" i="0" u="none" strike="noStrike">
              <a:solidFill>
                <a:srgbClr val="4F4789"/>
              </a:solidFill>
              <a:latin typeface="Times New Roman"/>
              <a:cs typeface="Times New Roman"/>
            </a:rPr>
            <a:pPr algn="ctr"/>
            <a:t>Nitrogen in treatment stage 2 MMS</a:t>
          </a:fld>
          <a:endParaRPr lang="en-AU" sz="900">
            <a:solidFill>
              <a:srgbClr val="4F4789"/>
            </a:solidFill>
          </a:endParaRPr>
        </a:p>
      </xdr:txBody>
    </xdr:sp>
    <xdr:clientData/>
  </xdr:twoCellAnchor>
  <xdr:twoCellAnchor>
    <xdr:from>
      <xdr:col>40</xdr:col>
      <xdr:colOff>281420</xdr:colOff>
      <xdr:row>53</xdr:row>
      <xdr:rowOff>180975</xdr:rowOff>
    </xdr:from>
    <xdr:to>
      <xdr:col>43</xdr:col>
      <xdr:colOff>527707</xdr:colOff>
      <xdr:row>56</xdr:row>
      <xdr:rowOff>47625</xdr:rowOff>
    </xdr:to>
    <xdr:sp macro="" textlink="'4.5.1.3-4 Direct N2O'!D246">
      <xdr:nvSpPr>
        <xdr:cNvPr id="257" name="TextBox 256">
          <a:hlinkClick xmlns:r="http://schemas.openxmlformats.org/officeDocument/2006/relationships" r:id="rId14"/>
          <a:extLst>
            <a:ext uri="{FF2B5EF4-FFF2-40B4-BE49-F238E27FC236}">
              <a16:creationId xmlns:a16="http://schemas.microsoft.com/office/drawing/2014/main" id="{921E971A-01BC-419B-A6E6-6A153FA8E237}"/>
            </a:ext>
          </a:extLst>
        </xdr:cNvPr>
        <xdr:cNvSpPr txBox="1"/>
      </xdr:nvSpPr>
      <xdr:spPr>
        <a:xfrm>
          <a:off x="24526875" y="10277475"/>
          <a:ext cx="2064696"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CB0501C-18BA-4313-BC11-511EC47B3A2E}" type="TxLink">
            <a:rPr lang="en-US" sz="900" b="1" i="0" u="none" strike="noStrike">
              <a:solidFill>
                <a:srgbClr val="4F4789"/>
              </a:solidFill>
              <a:latin typeface="Times New Roman"/>
              <a:cs typeface="Times New Roman"/>
            </a:rPr>
            <a:pPr algn="ctr"/>
            <a:t>Total annual direct nitrous oxide emissions from manure management systems</a:t>
          </a:fld>
          <a:endParaRPr lang="en-AU" sz="900" b="1">
            <a:solidFill>
              <a:srgbClr val="4F4789"/>
            </a:solidFill>
          </a:endParaRPr>
        </a:p>
      </xdr:txBody>
    </xdr:sp>
    <xdr:clientData/>
  </xdr:twoCellAnchor>
  <xdr:twoCellAnchor>
    <xdr:from>
      <xdr:col>57</xdr:col>
      <xdr:colOff>99579</xdr:colOff>
      <xdr:row>63</xdr:row>
      <xdr:rowOff>161925</xdr:rowOff>
    </xdr:from>
    <xdr:to>
      <xdr:col>60</xdr:col>
      <xdr:colOff>342406</xdr:colOff>
      <xdr:row>66</xdr:row>
      <xdr:rowOff>28575</xdr:rowOff>
    </xdr:to>
    <xdr:sp macro="" textlink="'4.5.1.9 Manure applied to soils'!D5">
      <xdr:nvSpPr>
        <xdr:cNvPr id="275" name="TextBox 274">
          <a:hlinkClick xmlns:r="http://schemas.openxmlformats.org/officeDocument/2006/relationships" r:id="rId15"/>
          <a:extLst>
            <a:ext uri="{FF2B5EF4-FFF2-40B4-BE49-F238E27FC236}">
              <a16:creationId xmlns:a16="http://schemas.microsoft.com/office/drawing/2014/main" id="{798CA728-8E7E-4158-8AEC-FFC54E1EE966}"/>
            </a:ext>
          </a:extLst>
        </xdr:cNvPr>
        <xdr:cNvSpPr txBox="1"/>
      </xdr:nvSpPr>
      <xdr:spPr>
        <a:xfrm>
          <a:off x="34649352" y="12163425"/>
          <a:ext cx="2061236"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E4C52C-E43A-40D9-95DE-AB44171BD55E}" type="TxLink">
            <a:rPr lang="en-US" sz="900" b="1" i="0" u="none" strike="noStrike">
              <a:solidFill>
                <a:schemeClr val="accent4">
                  <a:lumMod val="75000"/>
                </a:schemeClr>
              </a:solidFill>
              <a:latin typeface="Times New Roman"/>
              <a:cs typeface="Times New Roman"/>
            </a:rPr>
            <a:pPr algn="ctr"/>
            <a:t>Mass of nitrogen applied to soils for scope 1 emissions</a:t>
          </a:fld>
          <a:endParaRPr lang="en-AU" sz="900" b="1">
            <a:solidFill>
              <a:schemeClr val="accent4">
                <a:lumMod val="75000"/>
              </a:schemeClr>
            </a:solidFill>
          </a:endParaRPr>
        </a:p>
      </xdr:txBody>
    </xdr:sp>
    <xdr:clientData/>
  </xdr:twoCellAnchor>
  <xdr:twoCellAnchor>
    <xdr:from>
      <xdr:col>60</xdr:col>
      <xdr:colOff>443098</xdr:colOff>
      <xdr:row>63</xdr:row>
      <xdr:rowOff>157843</xdr:rowOff>
    </xdr:from>
    <xdr:to>
      <xdr:col>64</xdr:col>
      <xdr:colOff>83252</xdr:colOff>
      <xdr:row>66</xdr:row>
      <xdr:rowOff>24493</xdr:rowOff>
    </xdr:to>
    <xdr:sp macro="" textlink="'4.5.1.9 Manure applied to soils'!D165">
      <xdr:nvSpPr>
        <xdr:cNvPr id="276" name="TextBox 275">
          <a:hlinkClick xmlns:r="http://schemas.openxmlformats.org/officeDocument/2006/relationships" r:id="rId16"/>
          <a:extLst>
            <a:ext uri="{FF2B5EF4-FFF2-40B4-BE49-F238E27FC236}">
              <a16:creationId xmlns:a16="http://schemas.microsoft.com/office/drawing/2014/main" id="{352040DD-EBF2-48F6-81F0-2A943B35EBD8}"/>
            </a:ext>
          </a:extLst>
        </xdr:cNvPr>
        <xdr:cNvSpPr txBox="1"/>
      </xdr:nvSpPr>
      <xdr:spPr>
        <a:xfrm>
          <a:off x="36811280" y="12159343"/>
          <a:ext cx="2064699"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86F65A-42C5-47E3-957A-D2FA29D414DC}" type="TxLink">
            <a:rPr lang="en-US" sz="900" b="1" i="0" u="none" strike="noStrike">
              <a:solidFill>
                <a:schemeClr val="accent4">
                  <a:lumMod val="75000"/>
                </a:schemeClr>
              </a:solidFill>
              <a:latin typeface="Times New Roman"/>
              <a:cs typeface="Times New Roman"/>
            </a:rPr>
            <a:pPr algn="ctr"/>
            <a:t>Mass of nitrogen applied to soils for scope 3 emissions</a:t>
          </a:fld>
          <a:endParaRPr lang="en-AU" sz="900" b="1">
            <a:solidFill>
              <a:schemeClr val="accent4">
                <a:lumMod val="75000"/>
              </a:schemeClr>
            </a:solidFill>
          </a:endParaRPr>
        </a:p>
      </xdr:txBody>
    </xdr:sp>
    <xdr:clientData/>
  </xdr:twoCellAnchor>
  <xdr:twoCellAnchor>
    <xdr:from>
      <xdr:col>52</xdr:col>
      <xdr:colOff>116338</xdr:colOff>
      <xdr:row>32</xdr:row>
      <xdr:rowOff>75334</xdr:rowOff>
    </xdr:from>
    <xdr:to>
      <xdr:col>55</xdr:col>
      <xdr:colOff>359161</xdr:colOff>
      <xdr:row>34</xdr:row>
      <xdr:rowOff>132484</xdr:rowOff>
    </xdr:to>
    <xdr:sp macro="" textlink="'4.5.1.7-8 Leaching and runoff'!D5">
      <xdr:nvSpPr>
        <xdr:cNvPr id="277" name="TextBox 276">
          <a:hlinkClick xmlns:r="http://schemas.openxmlformats.org/officeDocument/2006/relationships" r:id="rId17"/>
          <a:extLst>
            <a:ext uri="{FF2B5EF4-FFF2-40B4-BE49-F238E27FC236}">
              <a16:creationId xmlns:a16="http://schemas.microsoft.com/office/drawing/2014/main" id="{9BFA1328-88E0-48A8-A12A-77FCD85D6BD4}"/>
            </a:ext>
          </a:extLst>
        </xdr:cNvPr>
        <xdr:cNvSpPr txBox="1"/>
      </xdr:nvSpPr>
      <xdr:spPr>
        <a:xfrm>
          <a:off x="31635429" y="6171334"/>
          <a:ext cx="206123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3598A9-E566-482B-A184-A420107698AC}" type="TxLink">
            <a:rPr lang="en-US" sz="900" b="0" i="0" u="none" strike="noStrike">
              <a:solidFill>
                <a:schemeClr val="accent6">
                  <a:lumMod val="50000"/>
                </a:schemeClr>
              </a:solidFill>
              <a:latin typeface="Times New Roman"/>
              <a:cs typeface="Times New Roman"/>
            </a:rPr>
            <a:pPr algn="ctr"/>
            <a:t>Mass of nitrogen lost to leaching and runoff from drylot MMS</a:t>
          </a:fld>
          <a:endParaRPr lang="en-AU" sz="900">
            <a:solidFill>
              <a:schemeClr val="accent6">
                <a:lumMod val="50000"/>
              </a:schemeClr>
            </a:solidFill>
          </a:endParaRPr>
        </a:p>
      </xdr:txBody>
    </xdr:sp>
    <xdr:clientData/>
  </xdr:twoCellAnchor>
  <xdr:twoCellAnchor>
    <xdr:from>
      <xdr:col>52</xdr:col>
      <xdr:colOff>118208</xdr:colOff>
      <xdr:row>59</xdr:row>
      <xdr:rowOff>53788</xdr:rowOff>
    </xdr:from>
    <xdr:to>
      <xdr:col>55</xdr:col>
      <xdr:colOff>357291</xdr:colOff>
      <xdr:row>61</xdr:row>
      <xdr:rowOff>110938</xdr:rowOff>
    </xdr:to>
    <xdr:sp macro="" textlink="'4.5.1.7-8 Leaching and runoff'!D32">
      <xdr:nvSpPr>
        <xdr:cNvPr id="278" name="TextBox 277">
          <a:hlinkClick xmlns:r="http://schemas.openxmlformats.org/officeDocument/2006/relationships" r:id="rId18"/>
          <a:extLst>
            <a:ext uri="{FF2B5EF4-FFF2-40B4-BE49-F238E27FC236}">
              <a16:creationId xmlns:a16="http://schemas.microsoft.com/office/drawing/2014/main" id="{BA1D8FB1-0619-489A-A113-56E810B8CD15}"/>
            </a:ext>
          </a:extLst>
        </xdr:cNvPr>
        <xdr:cNvSpPr txBox="1"/>
      </xdr:nvSpPr>
      <xdr:spPr>
        <a:xfrm>
          <a:off x="31637299" y="11293288"/>
          <a:ext cx="205749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4CA00E2-BF52-416C-9BDF-AB87B236AE9A}" type="TxLink">
            <a:rPr lang="en-US" sz="900" b="1" i="0" u="none" strike="noStrike">
              <a:solidFill>
                <a:schemeClr val="accent6">
                  <a:lumMod val="50000"/>
                </a:schemeClr>
              </a:solidFill>
              <a:latin typeface="Times New Roman"/>
              <a:cs typeface="Times New Roman"/>
            </a:rPr>
            <a:pPr algn="ctr"/>
            <a:t>Annual emissions from leaching and runoff from each MMS</a:t>
          </a:fld>
          <a:endParaRPr lang="en-AU" sz="900" b="1">
            <a:solidFill>
              <a:schemeClr val="accent6">
                <a:lumMod val="50000"/>
              </a:schemeClr>
            </a:solidFill>
          </a:endParaRPr>
        </a:p>
      </xdr:txBody>
    </xdr:sp>
    <xdr:clientData/>
  </xdr:twoCellAnchor>
  <xdr:twoCellAnchor>
    <xdr:from>
      <xdr:col>47</xdr:col>
      <xdr:colOff>586636</xdr:colOff>
      <xdr:row>54</xdr:row>
      <xdr:rowOff>8149</xdr:rowOff>
    </xdr:from>
    <xdr:to>
      <xdr:col>51</xdr:col>
      <xdr:colOff>226045</xdr:colOff>
      <xdr:row>56</xdr:row>
      <xdr:rowOff>65299</xdr:rowOff>
    </xdr:to>
    <xdr:sp macro="" textlink="'4.5.1.5-6 Atmos Dep'!D5">
      <xdr:nvSpPr>
        <xdr:cNvPr id="279" name="TextBox 278">
          <a:hlinkClick xmlns:r="http://schemas.openxmlformats.org/officeDocument/2006/relationships" r:id="rId19"/>
          <a:extLst>
            <a:ext uri="{FF2B5EF4-FFF2-40B4-BE49-F238E27FC236}">
              <a16:creationId xmlns:a16="http://schemas.microsoft.com/office/drawing/2014/main" id="{030AD5CC-B912-4D07-9CFA-BC11605A43EB}"/>
            </a:ext>
          </a:extLst>
        </xdr:cNvPr>
        <xdr:cNvSpPr txBox="1"/>
      </xdr:nvSpPr>
      <xdr:spPr>
        <a:xfrm>
          <a:off x="29075045" y="10295149"/>
          <a:ext cx="2063955"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E83AF03-08B6-4E9E-9F0F-32986A4D7D75}" type="TxLink">
            <a:rPr lang="en-US" sz="900" b="0" i="0" u="none" strike="noStrike">
              <a:solidFill>
                <a:srgbClr val="002060"/>
              </a:solidFill>
              <a:latin typeface="Times New Roman"/>
              <a:cs typeface="Times New Roman"/>
            </a:rPr>
            <a:pPr algn="ctr"/>
            <a:t>Total nitrogen volatilised from MMS</a:t>
          </a:fld>
          <a:endParaRPr lang="en-AU" sz="900">
            <a:solidFill>
              <a:srgbClr val="002060"/>
            </a:solidFill>
          </a:endParaRPr>
        </a:p>
      </xdr:txBody>
    </xdr:sp>
    <xdr:clientData/>
  </xdr:twoCellAnchor>
  <xdr:twoCellAnchor>
    <xdr:from>
      <xdr:col>47</xdr:col>
      <xdr:colOff>586636</xdr:colOff>
      <xdr:row>59</xdr:row>
      <xdr:rowOff>52573</xdr:rowOff>
    </xdr:from>
    <xdr:to>
      <xdr:col>51</xdr:col>
      <xdr:colOff>232232</xdr:colOff>
      <xdr:row>61</xdr:row>
      <xdr:rowOff>109723</xdr:rowOff>
    </xdr:to>
    <xdr:sp macro="" textlink="'4.5.1.5-6 Atmos Dep'!D110">
      <xdr:nvSpPr>
        <xdr:cNvPr id="280" name="TextBox 279">
          <a:hlinkClick xmlns:r="http://schemas.openxmlformats.org/officeDocument/2006/relationships" r:id="rId20"/>
          <a:extLst>
            <a:ext uri="{FF2B5EF4-FFF2-40B4-BE49-F238E27FC236}">
              <a16:creationId xmlns:a16="http://schemas.microsoft.com/office/drawing/2014/main" id="{D2184A06-67B0-47FA-8E33-9511E451F384}"/>
            </a:ext>
          </a:extLst>
        </xdr:cNvPr>
        <xdr:cNvSpPr txBox="1"/>
      </xdr:nvSpPr>
      <xdr:spPr>
        <a:xfrm>
          <a:off x="29075045" y="11292073"/>
          <a:ext cx="2070142"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96C5386-5B2E-4C7F-9E57-6335A5DDFBBE}" type="TxLink">
            <a:rPr lang="en-US" sz="900" b="1" i="0" u="none" strike="noStrike">
              <a:solidFill>
                <a:srgbClr val="002060"/>
              </a:solidFill>
              <a:latin typeface="Times New Roman"/>
              <a:cs typeface="Times New Roman"/>
            </a:rPr>
            <a:pPr algn="ctr"/>
            <a:t>Annual atmospheric deposition emissions from MMS</a:t>
          </a:fld>
          <a:endParaRPr lang="en-AU" sz="900" b="1">
            <a:solidFill>
              <a:srgbClr val="002060"/>
            </a:solidFill>
          </a:endParaRPr>
        </a:p>
      </xdr:txBody>
    </xdr:sp>
    <xdr:clientData/>
  </xdr:twoCellAnchor>
  <xdr:oneCellAnchor>
    <xdr:from>
      <xdr:col>0</xdr:col>
      <xdr:colOff>248886</xdr:colOff>
      <xdr:row>14</xdr:row>
      <xdr:rowOff>135083</xdr:rowOff>
    </xdr:from>
    <xdr:ext cx="1518173" cy="357790"/>
    <xdr:sp macro="" textlink="">
      <xdr:nvSpPr>
        <xdr:cNvPr id="319" name="TextBox 318">
          <a:extLst>
            <a:ext uri="{FF2B5EF4-FFF2-40B4-BE49-F238E27FC236}">
              <a16:creationId xmlns:a16="http://schemas.microsoft.com/office/drawing/2014/main" id="{674F5377-984B-4673-BB82-96F93E217D60}"/>
            </a:ext>
          </a:extLst>
        </xdr:cNvPr>
        <xdr:cNvSpPr txBox="1"/>
      </xdr:nvSpPr>
      <xdr:spPr>
        <a:xfrm>
          <a:off x="248886" y="2802083"/>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0</xdr:col>
      <xdr:colOff>106877</xdr:colOff>
      <xdr:row>38</xdr:row>
      <xdr:rowOff>62347</xdr:rowOff>
    </xdr:from>
    <xdr:ext cx="1518173" cy="357790"/>
    <xdr:sp macro="" textlink="">
      <xdr:nvSpPr>
        <xdr:cNvPr id="320" name="TextBox 319">
          <a:extLst>
            <a:ext uri="{FF2B5EF4-FFF2-40B4-BE49-F238E27FC236}">
              <a16:creationId xmlns:a16="http://schemas.microsoft.com/office/drawing/2014/main" id="{1CB20959-D8EB-4C58-9CA9-C1B9B12D5702}"/>
            </a:ext>
          </a:extLst>
        </xdr:cNvPr>
        <xdr:cNvSpPr txBox="1"/>
      </xdr:nvSpPr>
      <xdr:spPr>
        <a:xfrm>
          <a:off x="106877" y="7301347"/>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0</xdr:col>
      <xdr:colOff>190004</xdr:colOff>
      <xdr:row>64</xdr:row>
      <xdr:rowOff>40327</xdr:rowOff>
    </xdr:from>
    <xdr:ext cx="1338700" cy="357790"/>
    <xdr:sp macro="" textlink="">
      <xdr:nvSpPr>
        <xdr:cNvPr id="321" name="TextBox 320">
          <a:extLst>
            <a:ext uri="{FF2B5EF4-FFF2-40B4-BE49-F238E27FC236}">
              <a16:creationId xmlns:a16="http://schemas.microsoft.com/office/drawing/2014/main" id="{2D743358-267B-4B10-A517-483EB311E502}"/>
            </a:ext>
          </a:extLst>
        </xdr:cNvPr>
        <xdr:cNvSpPr txBox="1"/>
      </xdr:nvSpPr>
      <xdr:spPr>
        <a:xfrm>
          <a:off x="190004" y="1223232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oneCellAnchor>
    <xdr:from>
      <xdr:col>65</xdr:col>
      <xdr:colOff>490933</xdr:colOff>
      <xdr:row>14</xdr:row>
      <xdr:rowOff>119395</xdr:rowOff>
    </xdr:from>
    <xdr:ext cx="1518173" cy="357790"/>
    <xdr:sp macro="" textlink="">
      <xdr:nvSpPr>
        <xdr:cNvPr id="326" name="TextBox 325">
          <a:extLst>
            <a:ext uri="{FF2B5EF4-FFF2-40B4-BE49-F238E27FC236}">
              <a16:creationId xmlns:a16="http://schemas.microsoft.com/office/drawing/2014/main" id="{D394F789-B82B-4159-9F28-698E960C7F10}"/>
            </a:ext>
          </a:extLst>
        </xdr:cNvPr>
        <xdr:cNvSpPr txBox="1"/>
      </xdr:nvSpPr>
      <xdr:spPr>
        <a:xfrm>
          <a:off x="40291826" y="2786395"/>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65</xdr:col>
      <xdr:colOff>348924</xdr:colOff>
      <xdr:row>38</xdr:row>
      <xdr:rowOff>46659</xdr:rowOff>
    </xdr:from>
    <xdr:ext cx="1518173" cy="357790"/>
    <xdr:sp macro="" textlink="">
      <xdr:nvSpPr>
        <xdr:cNvPr id="327" name="TextBox 326">
          <a:extLst>
            <a:ext uri="{FF2B5EF4-FFF2-40B4-BE49-F238E27FC236}">
              <a16:creationId xmlns:a16="http://schemas.microsoft.com/office/drawing/2014/main" id="{24220A2E-37D7-42E1-A215-7CCB05286494}"/>
            </a:ext>
          </a:extLst>
        </xdr:cNvPr>
        <xdr:cNvSpPr txBox="1"/>
      </xdr:nvSpPr>
      <xdr:spPr>
        <a:xfrm>
          <a:off x="40149817" y="7285659"/>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65</xdr:col>
      <xdr:colOff>432051</xdr:colOff>
      <xdr:row>63</xdr:row>
      <xdr:rowOff>133497</xdr:rowOff>
    </xdr:from>
    <xdr:ext cx="1338700" cy="357790"/>
    <xdr:sp macro="" textlink="">
      <xdr:nvSpPr>
        <xdr:cNvPr id="328" name="TextBox 327">
          <a:extLst>
            <a:ext uri="{FF2B5EF4-FFF2-40B4-BE49-F238E27FC236}">
              <a16:creationId xmlns:a16="http://schemas.microsoft.com/office/drawing/2014/main" id="{DEB05956-3F44-47A5-B1C9-71EBF749611F}"/>
            </a:ext>
          </a:extLst>
        </xdr:cNvPr>
        <xdr:cNvSpPr txBox="1"/>
      </xdr:nvSpPr>
      <xdr:spPr>
        <a:xfrm>
          <a:off x="40232944" y="1213499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twoCellAnchor>
    <xdr:from>
      <xdr:col>0</xdr:col>
      <xdr:colOff>285749</xdr:colOff>
      <xdr:row>1</xdr:row>
      <xdr:rowOff>40821</xdr:rowOff>
    </xdr:from>
    <xdr:to>
      <xdr:col>12</xdr:col>
      <xdr:colOff>421821</xdr:colOff>
      <xdr:row>3</xdr:row>
      <xdr:rowOff>81643</xdr:rowOff>
    </xdr:to>
    <xdr:sp macro="" textlink="">
      <xdr:nvSpPr>
        <xdr:cNvPr id="329" name="TextBox 328">
          <a:extLst>
            <a:ext uri="{FF2B5EF4-FFF2-40B4-BE49-F238E27FC236}">
              <a16:creationId xmlns:a16="http://schemas.microsoft.com/office/drawing/2014/main" id="{37B62A68-A125-9BAF-9517-335484155950}"/>
            </a:ext>
          </a:extLst>
        </xdr:cNvPr>
        <xdr:cNvSpPr txBox="1"/>
      </xdr:nvSpPr>
      <xdr:spPr>
        <a:xfrm>
          <a:off x="285749" y="231321"/>
          <a:ext cx="7483929" cy="42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800"/>
            <a:t>4.5 Manure Management: Swine: Overview</a:t>
          </a:r>
        </a:p>
      </xdr:txBody>
    </xdr:sp>
    <xdr:clientData/>
  </xdr:twoCellAnchor>
  <xdr:twoCellAnchor>
    <xdr:from>
      <xdr:col>0</xdr:col>
      <xdr:colOff>261257</xdr:colOff>
      <xdr:row>4</xdr:row>
      <xdr:rowOff>16328</xdr:rowOff>
    </xdr:from>
    <xdr:to>
      <xdr:col>15</xdr:col>
      <xdr:colOff>326571</xdr:colOff>
      <xdr:row>9</xdr:row>
      <xdr:rowOff>68036</xdr:rowOff>
    </xdr:to>
    <xdr:sp macro="" textlink="">
      <xdr:nvSpPr>
        <xdr:cNvPr id="330" name="TextBox 329">
          <a:extLst>
            <a:ext uri="{FF2B5EF4-FFF2-40B4-BE49-F238E27FC236}">
              <a16:creationId xmlns:a16="http://schemas.microsoft.com/office/drawing/2014/main" id="{0C38B041-E4EF-4BEB-B9AF-17228FB0AB58}"/>
            </a:ext>
          </a:extLst>
        </xdr:cNvPr>
        <xdr:cNvSpPr txBox="1"/>
      </xdr:nvSpPr>
      <xdr:spPr>
        <a:xfrm>
          <a:off x="261257" y="778328"/>
          <a:ext cx="9250135" cy="10042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solidFill>
                <a:schemeClr val="tx1">
                  <a:lumMod val="65000"/>
                  <a:lumOff val="35000"/>
                </a:schemeClr>
              </a:solidFill>
            </a:rPr>
            <a:t>This sheet shows the flow of</a:t>
          </a:r>
          <a:r>
            <a:rPr lang="en-AU" sz="1800" baseline="0">
              <a:solidFill>
                <a:schemeClr val="tx1">
                  <a:lumMod val="65000"/>
                  <a:lumOff val="35000"/>
                </a:schemeClr>
              </a:solidFill>
            </a:rPr>
            <a:t> manure through various swine manure management systems, where the related equations occur in the process and how the equations interact with each other.</a:t>
          </a:r>
          <a:br>
            <a:rPr lang="en-AU" sz="1800" baseline="0">
              <a:solidFill>
                <a:schemeClr val="tx1">
                  <a:lumMod val="65000"/>
                  <a:lumOff val="35000"/>
                </a:schemeClr>
              </a:solidFill>
            </a:rPr>
          </a:br>
          <a:r>
            <a:rPr lang="en-AU" sz="1800" b="1" baseline="0">
              <a:solidFill>
                <a:schemeClr val="tx1">
                  <a:lumMod val="65000"/>
                  <a:lumOff val="35000"/>
                </a:schemeClr>
              </a:solidFill>
            </a:rPr>
            <a:t>Click on an equation to view it in detail.</a:t>
          </a:r>
          <a:endParaRPr lang="en-AU" sz="1800" b="1">
            <a:solidFill>
              <a:schemeClr val="tx1">
                <a:lumMod val="65000"/>
                <a:lumOff val="35000"/>
              </a:schemeClr>
            </a:solidFill>
          </a:endParaRPr>
        </a:p>
      </xdr:txBody>
    </xdr:sp>
    <xdr:clientData/>
  </xdr:twoCellAnchor>
  <xdr:twoCellAnchor>
    <xdr:from>
      <xdr:col>34</xdr:col>
      <xdr:colOff>251631</xdr:colOff>
      <xdr:row>34</xdr:row>
      <xdr:rowOff>181881</xdr:rowOff>
    </xdr:from>
    <xdr:to>
      <xdr:col>34</xdr:col>
      <xdr:colOff>264331</xdr:colOff>
      <xdr:row>50</xdr:row>
      <xdr:rowOff>39006</xdr:rowOff>
    </xdr:to>
    <xdr:cxnSp macro="">
      <xdr:nvCxnSpPr>
        <xdr:cNvPr id="337" name="Connector: Curved 336">
          <a:extLst>
            <a:ext uri="{FF2B5EF4-FFF2-40B4-BE49-F238E27FC236}">
              <a16:creationId xmlns:a16="http://schemas.microsoft.com/office/drawing/2014/main" id="{92451534-5C88-FBC9-BD46-6431E3DD0122}"/>
            </a:ext>
          </a:extLst>
        </xdr:cNvPr>
        <xdr:cNvCxnSpPr>
          <a:stCxn id="15" idx="2"/>
          <a:endCxn id="16" idx="0"/>
        </xdr:cNvCxnSpPr>
      </xdr:nvCxnSpPr>
      <xdr:spPr>
        <a:xfrm rot="5400000">
          <a:off x="19531818" y="8105094"/>
          <a:ext cx="290512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9525</xdr:colOff>
      <xdr:row>74</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𝑉𝑆𝑇_(𝑖𝑗𝑚,𝑇=2)=𝑉𝑆_𝑗×𝐹𝑉𝑆_(𝑗𝑚,𝑇=1)×(1−𝑉𝑆𝐿_(𝑚,𝑇=1) )</a:t>
              </a:r>
              <a:endParaRPr lang="en-AU" sz="1100"/>
            </a:p>
          </xdr:txBody>
        </xdr:sp>
      </mc:Fallback>
    </mc:AlternateContent>
    <xdr:clientData/>
  </xdr:oneCellAnchor>
  <xdr:oneCellAnchor>
    <xdr:from>
      <xdr:col>2</xdr:col>
      <xdr:colOff>290512</xdr:colOff>
      <xdr:row>115</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𝑀_(𝑖𝑗𝑚,𝑇=2)=𝑉𝑆𝑇_(𝑗𝑚,𝑇=2)×𝐵𝑂×𝑀𝑀𝑆_(𝑗𝑚,𝑇=2)×𝑀𝐶𝐹_𝑖𝑚×𝜌</a:t>
              </a:r>
              <a:endParaRPr lang="en-AU" sz="1100"/>
            </a:p>
          </xdr:txBody>
        </xdr:sp>
      </mc:Fallback>
    </mc:AlternateContent>
    <xdr:clientData/>
  </xdr:oneCellAnchor>
  <xdr:oneCellAnchor>
    <xdr:from>
      <xdr:col>3</xdr:col>
      <xdr:colOff>27174</xdr:colOff>
      <xdr:row>7</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𝐹𝑉𝑆_(𝑗𝑚,𝑇=1)=𝑀𝑀𝑆_(𝑗𝑚,𝑇=1)×(1−𝑆𝑆_𝑚 )</a:t>
              </a:r>
              <a:endParaRPr lang="en-AU" sz="1100"/>
            </a:p>
          </xdr:txBody>
        </xdr:sp>
      </mc:Fallback>
    </mc:AlternateContent>
    <xdr:clientData/>
  </xdr:oneCellAnchor>
  <xdr:oneCellAnchor>
    <xdr:from>
      <xdr:col>7</xdr:col>
      <xdr:colOff>355139</xdr:colOff>
      <xdr:row>49</xdr:row>
      <xdr:rowOff>162460</xdr:rowOff>
    </xdr:from>
    <xdr:ext cx="4196405"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solidFill>
                  <a:srgbClr val="C00000"/>
                </a:solidFill>
              </a:endParaRPr>
            </a:p>
          </xdr:txBody>
        </xdr:sp>
      </mc:Choice>
      <mc:Fallback xmlns="">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𝐹𝑉𝑆_(𝑗,𝑚=4,𝑇=1)=𝑀𝑀𝑆_(𝑗,𝑚=4,𝑇=1)+(𝑀𝑀𝑆_(𝑗,𝑚=1,7,9,𝑇=1)×𝑆𝑆_𝑚 )</a:t>
              </a:r>
              <a:endParaRPr lang="en-AU" sz="1100">
                <a:solidFill>
                  <a:srgbClr val="C00000"/>
                </a:solidFill>
              </a:endParaRPr>
            </a:p>
          </xdr:txBody>
        </xdr:sp>
      </mc:Fallback>
    </mc:AlternateContent>
    <xdr:clientData/>
  </xdr:oneCellAnchor>
  <xdr:oneCellAnchor>
    <xdr:from>
      <xdr:col>3</xdr:col>
      <xdr:colOff>33337</xdr:colOff>
      <xdr:row>191</xdr:row>
      <xdr:rowOff>0</xdr:rowOff>
    </xdr:from>
    <xdr:ext cx="2904193"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𝑀_(𝑖𝑗𝑚,𝑇=1)=𝑉𝑆_𝑗×𝐹𝑉𝑆_(𝑗𝑚,𝑇=1)×𝑀𝐶𝐹_𝑖𝑚×𝐵𝑂×𝜌</a:t>
              </a:r>
              <a:endParaRPr lang="en-AU" sz="1100"/>
            </a:p>
          </xdr:txBody>
        </xdr:sp>
      </mc:Fallback>
    </mc:AlternateContent>
    <xdr:clientData/>
  </xdr:oneCellAnchor>
  <xdr:oneCellAnchor>
    <xdr:from>
      <xdr:col>2</xdr:col>
      <xdr:colOff>285908</xdr:colOff>
      <xdr:row>218</xdr:row>
      <xdr:rowOff>18270</xdr:rowOff>
    </xdr:from>
    <xdr:ext cx="1253035"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e>
                        </m:nary>
                        <m:r>
                          <a:rPr lang="en-AU" sz="1100" b="0" i="1">
                            <a:latin typeface="Cambria Math" panose="02040503050406030204" pitchFamily="18" charset="0"/>
                          </a:rPr>
                          <m:t> </m:t>
                        </m:r>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𝑀_𝑚𝑗=∑_𝑚</a:t>
              </a:r>
              <a:r>
                <a:rPr lang="en-AU" sz="1100" b="0" i="0">
                  <a:latin typeface="Cambria Math" panose="02040503050406030204" pitchFamily="18" charset="0"/>
                </a:rPr>
                <a:t>▒〖∑_</a:t>
              </a:r>
              <a:r>
                <a:rPr lang="en-AU" sz="1100" i="0">
                  <a:latin typeface="Cambria Math" panose="02040503050406030204" pitchFamily="18" charset="0"/>
                </a:rPr>
                <a:t>𝑇▒𝑀_𝑗𝑚𝑇 </a:t>
              </a:r>
              <a:r>
                <a:rPr lang="en-AU" sz="1100" b="0" i="0">
                  <a:latin typeface="Cambria Math" panose="02040503050406030204" pitchFamily="18" charset="0"/>
                </a:rPr>
                <a:t>  〗</a:t>
              </a:r>
              <a:endParaRPr lang="en-AU" sz="1100"/>
            </a:p>
          </xdr:txBody>
        </xdr:sp>
      </mc:Fallback>
    </mc:AlternateContent>
    <xdr:clientData/>
  </xdr:oneCellAnchor>
  <xdr:oneCellAnchor>
    <xdr:from>
      <xdr:col>2</xdr:col>
      <xdr:colOff>271462</xdr:colOff>
      <xdr:row>235</xdr:row>
      <xdr:rowOff>142875</xdr:rowOff>
    </xdr:from>
    <xdr:ext cx="2142701"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𝐸_𝐶𝐻4=∑_𝑗▒(𝐷_𝑗×𝑀_𝑚𝑗×𝑁_𝑗 ) ×10^(−3)</a:t>
              </a:r>
              <a:endParaRPr lang="en-AU" sz="1100"/>
            </a:p>
          </xdr:txBody>
        </xdr:sp>
      </mc:Fallback>
    </mc:AlternateContent>
    <xdr:clientData/>
  </xdr:oneCellAnchor>
  <xdr:oneCellAnchor>
    <xdr:from>
      <xdr:col>3</xdr:col>
      <xdr:colOff>13446</xdr:colOff>
      <xdr:row>49</xdr:row>
      <xdr:rowOff>164726</xdr:rowOff>
    </xdr:from>
    <xdr:ext cx="7504747"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47063</xdr:colOff>
      <xdr:row>106</xdr:row>
      <xdr:rowOff>114300</xdr:rowOff>
    </xdr:from>
    <xdr:ext cx="172040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𝑀𝑁_(𝑗𝑚,𝑇=1)=𝐴𝐸_𝑗×𝐹𝑁_(𝑗𝑚,𝑇=1)</a:t>
              </a:r>
              <a:endParaRPr lang="en-AU" sz="1100"/>
            </a:p>
          </xdr:txBody>
        </xdr:sp>
      </mc:Fallback>
    </mc:AlternateContent>
    <xdr:clientData/>
  </xdr:oneCellAnchor>
  <xdr:oneCellAnchor>
    <xdr:from>
      <xdr:col>3</xdr:col>
      <xdr:colOff>13447</xdr:colOff>
      <xdr:row>7</xdr:row>
      <xdr:rowOff>125506</xdr:rowOff>
    </xdr:from>
    <xdr:ext cx="130099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𝐴𝐸_𝑗=𝑁_𝑗×𝑁𝑊_𝑗×𝐷_𝑗</a:t>
              </a:r>
              <a:endParaRPr lang="en-AU" sz="1100"/>
            </a:p>
          </xdr:txBody>
        </xdr:sp>
      </mc:Fallback>
    </mc:AlternateContent>
    <xdr:clientData/>
  </xdr:oneCellAnchor>
  <xdr:oneCellAnchor>
    <xdr:from>
      <xdr:col>3</xdr:col>
      <xdr:colOff>35857</xdr:colOff>
      <xdr:row>41</xdr:row>
      <xdr:rowOff>136712</xdr:rowOff>
    </xdr:from>
    <xdr:ext cx="2237023"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𝐹𝑁_(𝑗𝑚,𝑇=1)=𝑀𝑀𝑆_(𝑗𝑚,𝑇=1)×(1−𝑆𝑁_𝑚 )</a:t>
              </a:r>
              <a:endParaRPr lang="en-AU" sz="1100"/>
            </a:p>
          </xdr:txBody>
        </xdr:sp>
      </mc:Fallback>
    </mc:AlternateContent>
    <xdr:clientData/>
  </xdr:oneCellAnchor>
  <xdr:oneCellAnchor>
    <xdr:from>
      <xdr:col>7</xdr:col>
      <xdr:colOff>136710</xdr:colOff>
      <xdr:row>82</xdr:row>
      <xdr:rowOff>136712</xdr:rowOff>
    </xdr:from>
    <xdr:ext cx="412491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14:m>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a14:m>
              <a:endParaRPr lang="en-AU" sz="1100"/>
            </a:p>
          </xdr:txBody>
        </xdr:sp>
      </mc:Choice>
      <mc:Fallback xmlns="">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r>
                <a:rPr lang="en-AU" sz="1100" i="0">
                  <a:latin typeface="Cambria Math" panose="02040503050406030204" pitchFamily="18" charset="0"/>
                </a:rPr>
                <a:t>𝐹𝑁_(𝑗𝑚=4,𝑇=1)=𝑀𝑀𝑆_(𝑗𝑚=4,𝑇=1)+(𝑀𝑀𝑆_(𝑗𝑚=1,7,9,𝑇=1)×𝑆𝑁_𝑚 )</a:t>
              </a:r>
              <a:endParaRPr lang="en-AU" sz="1100"/>
            </a:p>
          </xdr:txBody>
        </xdr:sp>
      </mc:Fallback>
    </mc:AlternateContent>
    <xdr:clientData/>
  </xdr:oneCellAnchor>
  <xdr:oneCellAnchor>
    <xdr:from>
      <xdr:col>2</xdr:col>
      <xdr:colOff>304799</xdr:colOff>
      <xdr:row>82</xdr:row>
      <xdr:rowOff>136712</xdr:rowOff>
    </xdr:from>
    <xdr:ext cx="7391447"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oneCellAnchor>
    <xdr:from>
      <xdr:col>2</xdr:col>
      <xdr:colOff>282388</xdr:colOff>
      <xdr:row>129</xdr:row>
      <xdr:rowOff>136711</xdr:rowOff>
    </xdr:from>
    <xdr:ext cx="3517245"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𝑁𝑇_(𝑗𝑚,𝑇=2)=𝑀𝑁_(𝑗𝑚,𝑇=1)×(1−𝐹𝑟𝑎𝑐𝐺𝐴𝑆𝑀_(𝑚,𝑇=1)−𝐸𝐹_(𝑚,𝑇=1) )</a:t>
              </a:r>
              <a:endParaRPr lang="en-AU" sz="1100"/>
            </a:p>
          </xdr:txBody>
        </xdr:sp>
      </mc:Fallback>
    </mc:AlternateContent>
    <xdr:clientData/>
  </xdr:oneCellAnchor>
  <xdr:oneCellAnchor>
    <xdr:from>
      <xdr:col>2</xdr:col>
      <xdr:colOff>282388</xdr:colOff>
      <xdr:row>175</xdr:row>
      <xdr:rowOff>125506</xdr:rowOff>
    </xdr:from>
    <xdr:ext cx="216982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3</xdr:col>
      <xdr:colOff>2240</xdr:colOff>
      <xdr:row>248</xdr:row>
      <xdr:rowOff>69476</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57150</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oneCellAnchor>
    <xdr:from>
      <xdr:col>13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171450</xdr:rowOff>
    </xdr:from>
    <xdr:ext cx="362105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𝑀𝑁𝐿𝑒𝑎𝑐ℎ_(𝑗𝑚=5)=𝑀𝑁_(𝑗𝑚=5,𝑇=1)×𝐹𝑟𝑎𝑐𝑊𝐸𝑇×𝐹𝑟𝑎𝑐𝐿𝐸𝐴𝐶𝐻_𝑀𝑆</a:t>
              </a:r>
              <a:endParaRPr lang="en-AU" sz="1100"/>
            </a:p>
          </xdr:txBody>
        </xdr:sp>
      </mc:Fallback>
    </mc:AlternateContent>
    <xdr:clientData/>
  </xdr:oneCellAnchor>
  <xdr:oneCellAnchor>
    <xdr:from>
      <xdr:col>2</xdr:col>
      <xdr:colOff>309562</xdr:colOff>
      <xdr:row>34</xdr:row>
      <xdr:rowOff>123825</xdr:rowOff>
    </xdr:from>
    <xdr:ext cx="3207865"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𝐸_(𝑁2𝑂,𝑙𝑒𝑎𝑐ℎ)=𝑀𝑁𝐿𝑒𝑎𝑐ℎ_(𝑗𝑚=5)×𝐸𝐹_𝑙𝑒𝑎𝑐ℎ×𝐶_𝑁2𝑂×10^(−3)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14287</xdr:colOff>
      <xdr:row>7</xdr:row>
      <xdr:rowOff>47625</xdr:rowOff>
    </xdr:from>
    <xdr:ext cx="562121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)−𝑀𝑁𝐿𝑒𝑎𝑐ℎ_(𝑗𝑚=5) ) ×𝑃𝐹</a:t>
              </a:r>
              <a:endParaRPr lang="en-AU" sz="1100"/>
            </a:p>
          </xdr:txBody>
        </xdr:sp>
      </mc:Fallback>
    </mc:AlternateContent>
    <xdr:clientData/>
  </xdr:oneCellAnchor>
  <xdr:oneCellAnchor>
    <xdr:from>
      <xdr:col>2</xdr:col>
      <xdr:colOff>300037</xdr:colOff>
      <xdr:row>167</xdr:row>
      <xdr:rowOff>19050</xdr:rowOff>
    </xdr:from>
    <xdr:ext cx="5984522"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)−𝑀𝑁𝐿𝑒𝑎𝑐ℎ_(𝑗𝑚=5)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50"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49"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48"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47"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46"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45"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44"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43"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42"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41"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40"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39"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38"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37"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36"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35" dataCellStyle="Content normal">
  <autoFilter ref="D78:E82" xr:uid="{E34928EB-73E5-43B2-830B-089F30DA4EF0}">
    <filterColumn colId="0" hiddenButton="1"/>
    <filterColumn colId="1" hiddenButton="1"/>
  </autoFilter>
  <tableColumns count="2">
    <tableColumn id="1" xr3:uid="{CAC8EB28-568F-4E9F-8E36-EBDFF74A58D3}" name="Class" dataDxfId="34"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33"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32"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31"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30"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29"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A254605-4CDB-415A-A190-7F77AFC9D73A}" name="Table_SourceData_Swine_Liveweight" displayName="Table_SourceData_Swine_Liveweight" ref="D127:E132" totalsRowShown="0">
  <autoFilter ref="D127:E132" xr:uid="{3A254605-4CDB-415A-A190-7F77AFC9D73A}">
    <filterColumn colId="0" hiddenButton="1"/>
    <filterColumn colId="1" hiddenButton="1"/>
  </autoFilter>
  <tableColumns count="2">
    <tableColumn id="1" xr3:uid="{969FF8AE-5D3E-433B-A365-F49AE6130585}" name="Livestock type j">
      <calculatedColumnFormula array="1">Common_InputFunctions.Utility_DisplayArrayInTable(SourceData_Swine.SourceData_Swine_AverageLiveweight_Data(),Table_SourceData_Swine_Liveweight[[#Headers],[Livestock type j]],0)</calculatedColumnFormula>
    </tableColumn>
    <tableColumn id="2" xr3:uid="{9C7E1D4D-8B61-4284-8391-BB58A293649F}" name="Average liveweight (kg)" dataDxfId="28"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A01096E-99A2-4146-AC44-88858A50B9F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3C4EA083-BFD4-4695-B7CC-7A998070026F}" name="State/Territory">
      <calculatedColumnFormula array="1">Common_InputFunctions.Utility_DisplayArrayInTable(Common_SourceData.Common_SourceData_AustralianStatesTerritories_Data(),Table_AustralianStates[[#Headers],[State/Territory]],0)</calculatedColumnFormula>
    </tableColumn>
    <tableColumn id="2" xr3:uid="{EB92EBE5-C6A0-4E0E-858C-6494C3063999}" name="Common Name">
      <calculatedColumnFormula array="1">Common_InputFunctions.Utility_DisplayArrayInTable(Common_SourceData.Common_SourceData_AustralianStatesTerritories_Data(),Table_AustralianStates[[#Headers],[State/Territory]],0)</calculatedColumnFormula>
    </tableColumn>
    <tableColumn id="3" xr3:uid="{4221FD88-8BE6-4DCF-9089-B6CD2911BE1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38A6856-B227-4D0F-B37A-B48921F7454C}" name="Table_WASA4Areas" displayName="Table_WASA4Areas" ref="D20:D30" totalsRowShown="0">
  <autoFilter ref="D20:D30" xr:uid="{5FA81339-C6C8-4D36-BEEA-6C4AEDD9E676}">
    <filterColumn colId="0" hiddenButton="1"/>
  </autoFilter>
  <tableColumns count="1">
    <tableColumn id="1" xr3:uid="{1A6F81F4-D9B6-460B-B6E3-2B5AC507FDE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16197CA-0BD7-462D-B86B-2B5F4D31F40F}" name="Table_GWPData" displayName="Table_GWPData" ref="D36:E43" totalsRowShown="0">
  <autoFilter ref="D36:E43" xr:uid="{B8E87A66-3E41-4AD3-925D-01EE21B43D7A}">
    <filterColumn colId="0" hiddenButton="1"/>
    <filterColumn colId="1" hiddenButton="1"/>
  </autoFilter>
  <tableColumns count="2">
    <tableColumn id="1" xr3:uid="{2F024C54-3E21-44E9-A982-14840A5DDA28}" name="Gas">
      <calculatedColumnFormula array="1">Common_InputFunctions.Utility_DisplayArrayInTable(Common_SourceData.Common_SourceData_GWP_Data(), Table_GWPData[[#Headers],[Gas]], 0)</calculatedColumnFormula>
    </tableColumn>
    <tableColumn id="2" xr3:uid="{0CD7FCC0-904D-468B-A16D-D75D4465E095}"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CEE54BB-BAC2-4380-B8B3-F4658FD4080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5DEB724-D063-44D3-AE22-6708EE9EE3C0}" name="Gas">
      <calculatedColumnFormula array="1">Common_InputFunctions.Utility_DisplayArrayInTable(Common_SourceData.Common_SourceData_ConvertGasElementalToMolecular_Data(),Table_GasToMolecularConversionFactor[[#Headers],[Gas]], 0)</calculatedColumnFormula>
    </tableColumn>
    <tableColumn id="5" xr3:uid="{0CC2F75F-F17A-461E-9738-770F6749DAFD}" name="Conversion factor">
      <calculatedColumnFormula array="1">Common_InputFunctions.Utility_DisplayArrayInTable(Common_SourceData.Common_SourceData_ConvertGasElementalToMolecular_Data(),Table_GasToMolecularConversionFactor[[#Headers],[Gas]], 0)</calculatedColumnFormula>
    </tableColumn>
    <tableColumn id="2" xr3:uid="{D73C9402-3418-46F6-968F-BE3C3E9CDFD7}" name="Conversion factor 1">
      <calculatedColumnFormula array="1">Common_InputFunctions.Utility_DisplayArrayInTable(Common_SourceData.Common_SourceData_ConvertGasElementalToMolecular_Data(),Table_GasToMolecularConversionFactor[[#Headers],[Gas]], 0)</calculatedColumnFormula>
    </tableColumn>
    <tableColumn id="3" xr3:uid="{65291CFE-768B-481D-A716-2BD027CEC4A5}"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6A37C60-6075-4ECE-9E05-9ED95ED022D2}"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BCAFE06-7FD1-4B29-A6DB-655629817A3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1F613D2-D8A8-45A5-93CD-064251DCD2D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59878F40-269B-4DAC-A6D2-415FFE4D629F}" name="MAT" totalsRowDxfId="87" totalsRowCellStyle="Content bold">
      <calculatedColumnFormula array="1">Common_InputFunctions.Utility_DisplayArrayInTable(Common_SourceData.Common_SourceData_ClimateZones_Data(), Table_SourceData_ClimateZones[[#Headers],[Climate zone]], 0)</calculatedColumnFormula>
    </tableColumn>
    <tableColumn id="3" xr3:uid="{F6DCCB7A-48B2-43AE-B3BA-AAEEC02BF40D}" name="MAP" totalsRowDxfId="86" totalsRowCellStyle="Content bold">
      <calculatedColumnFormula array="1">Common_InputFunctions.Utility_DisplayArrayInTable(Common_SourceData.Common_SourceData_ClimateZones_Data(), Table_SourceData_ClimateZones[[#Headers],[Climate zone]], 0)</calculatedColumnFormula>
    </tableColumn>
    <tableColumn id="4" xr3:uid="{18C0B670-3990-4842-BE4C-AB190A5ECFA7}" name="Frost days per year" totalsRowDxfId="85" totalsRowCellStyle="Content bold">
      <calculatedColumnFormula array="1">Common_InputFunctions.Utility_DisplayArrayInTable(Common_SourceData.Common_SourceData_ClimateZones_Data(), Table_SourceData_ClimateZones[[#Headers],[Climate zone]], 0)</calculatedColumnFormula>
    </tableColumn>
    <tableColumn id="5" xr3:uid="{0F0458B4-79D8-4E84-A55F-AE8E9FBFDF5F}" name="Elevation" totalsRowDxfId="84" totalsRowCellStyle="Content bold">
      <calculatedColumnFormula array="1">Common_InputFunctions.Utility_DisplayArrayInTable(Common_SourceData.Common_SourceData_ClimateZones_Data(), Table_SourceData_ClimateZones[[#Headers],[Climate zone]], 0)</calculatedColumnFormula>
    </tableColumn>
    <tableColumn id="6" xr3:uid="{7EDB9159-17B8-4D1C-BC76-9BCCB0FE283E}" name="MAP:PET" totalsRowDxfId="83" totalsRowCellStyle="Content bold">
      <calculatedColumnFormula array="1">Common_InputFunctions.Utility_DisplayArrayInTable(Common_SourceData.Common_SourceData_ClimateZones_Data(), Table_SourceData_ClimateZones[[#Headers],[Climate zone]], 0)</calculatedColumnFormula>
    </tableColumn>
    <tableColumn id="7" xr3:uid="{E41F554B-2698-4225-8233-E0B32D03588F}" name="Min temp" totalsRowDxfId="82" totalsRowCellStyle="Content bold">
      <calculatedColumnFormula array="1">Common_InputFunctions.Utility_DisplayArrayInTable(Common_SourceData.Common_SourceData_ClimateZones_Data(), Table_SourceData_ClimateZones[[#Headers],[Climate zone]], 0)</calculatedColumnFormula>
    </tableColumn>
    <tableColumn id="8" xr3:uid="{1EE95BBB-4CCA-4CAD-BE77-2B221A752B2B}" name="Max temp" totalsRowDxfId="81" totalsRowCellStyle="Content bold">
      <calculatedColumnFormula array="1">Common_InputFunctions.Utility_DisplayArrayInTable(Common_SourceData.Common_SourceData_ClimateZones_Data(), Table_SourceData_ClimateZones[[#Headers],[Climate zone]], 0)</calculatedColumnFormula>
    </tableColumn>
    <tableColumn id="9" xr3:uid="{7AB05A7D-BE53-4228-B24D-7D8A16297DEE}" name="Min rainfall"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10" xr3:uid="{E644564A-56FB-485E-AF54-2A612933924E}" name="Max rainfall"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11" xr3:uid="{8E4042DC-E819-4E2C-A56C-FAB0C5C5684E}" name="Min frost days"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15" xr3:uid="{F777F060-DB54-494F-8D7D-EDBD6D348187}" name="Max frost days"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12" xr3:uid="{D789D45B-3342-40CA-9DC1-7023974584FE}" name="Min elevation"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16" xr3:uid="{E4AA8218-5C2A-4C32-B1B1-8C0F86BB962B}" name="Max elevation"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13" xr3:uid="{FFD001CF-5F65-4D10-9EED-9DDDF295F903}" name="Min MAP:PET"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17" xr3:uid="{46383F2A-4CA7-4288-9404-8B2B6B2F3F33}" name="Max MAP:PET" totalsRowDxfId="7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530E9B0-274B-43A2-8E8F-A6B1F832C01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2CA3987-C754-4440-95B6-BF8014E91B0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562C9C6A-7090-4355-A081-EA2D93D7A870}" name="Wet or Dry Zone" totalsRowDxfId="7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C637251-D7D1-4A58-96CC-5599310411A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C42C69B-BEAA-4AE3-BC6E-14B1A4925183}" name="Temperature Zone">
      <calculatedColumnFormula array="1">Common_InputFunctions.Utility_DisplayArrayInTable(Common_SourceData.Common_SourceData_TemperatureZones_Data(),Table_SourceData_TemperatureZones[[#Headers],[Temperature Zone]],0)</calculatedColumnFormula>
    </tableColumn>
    <tableColumn id="2" xr3:uid="{EC665EB0-D01B-4683-8853-6872A431CA58}" name="MAT">
      <calculatedColumnFormula array="1">Common_InputFunctions.Utility_DisplayArrayInTable(Common_SourceData.Common_SourceData_TemperatureZones_Data(),Table_SourceData_TemperatureZones[[#Headers],[Temperature Zone]],0)</calculatedColumnFormula>
    </tableColumn>
    <tableColumn id="3" xr3:uid="{A56CFB9C-8D2E-4291-8F6B-AD6FB570E7C9}" name="Min MAT">
      <calculatedColumnFormula array="1">Common_InputFunctions.Utility_DisplayArrayInTable(Common_SourceData.Common_SourceData_TemperatureZones_Data(),Table_SourceData_TemperatureZones[[#Headers],[Temperature Zone]],0)</calculatedColumnFormula>
    </tableColumn>
    <tableColumn id="4" xr3:uid="{5BF6A887-264D-4D07-9EE0-51413F898314}"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C73C2DE-E4AA-4956-9E19-ED6AC0D2057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83B16FC-40C8-4071-BA79-82548874272A}" name="Rainfall Zone">
      <calculatedColumnFormula array="1">Common_InputFunctions.Utility_DisplayArrayInTable(Common_SourceData.Common_SourceData_RainfallZones_Data(),Table_SourceData_RainfallZones[[#Headers],[Rainfall Zone]],0)</calculatedColumnFormula>
    </tableColumn>
    <tableColumn id="2" xr3:uid="{1E4D6B40-226A-4A10-8E99-7ED5D810A5ED}" name="Annual rainfall">
      <calculatedColumnFormula array="1">Common_InputFunctions.Utility_DisplayArrayInTable(Common_SourceData.Common_SourceData_RainfallZones_Data(),Table_SourceData_RainfallZones[[#Headers],[Rainfall Zone]],0)</calculatedColumnFormula>
    </tableColumn>
    <tableColumn id="3" xr3:uid="{A96B69CA-6B2D-4CB3-8DF8-B6F9B2E546BE}" name="Min rainfall">
      <calculatedColumnFormula array="1">Common_InputFunctions.Utility_DisplayArrayInTable(Common_SourceData.Common_SourceData_RainfallZones_Data(),Table_SourceData_RainfallZones[[#Headers],[Rainfall Zone]],0)</calculatedColumnFormula>
    </tableColumn>
    <tableColumn id="4" xr3:uid="{547FF238-BFB2-4C73-93CC-79A1229CFC8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F217059-2D7D-4795-B438-41404EF195B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49E9A28F-ECAE-42B9-A68F-789D617974D5}" name="Leaching Zone">
      <calculatedColumnFormula array="1">Common_InputFunctions.Utility_DisplayArrayInTable(Common_SourceData.Common_SourceData_LeachingZones_Data(), Table_SourceData_LeachingZones[[#Headers],[Leaching Zone]], 0)</calculatedColumnFormula>
    </tableColumn>
    <tableColumn id="2" xr3:uid="{60134C7B-D14E-4373-ACE2-ECF28746D31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62C858F-E682-45A6-94A9-14DC40E662E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D5229F5-6B56-4CC8-9C07-7499A856A215}" name="Data source">
      <calculatedColumnFormula array="1">Common_InputFunctions.Utility_DisplayArrayInTable(Common_SourceData.Common_SourceData_DataScores_Scope3_Data(), Table_SourceData_DataScores_Scope3[[#Headers],[Data source]], 0)</calculatedColumnFormula>
    </tableColumn>
    <tableColumn id="2" xr3:uid="{1EE66D37-CE50-4EAD-9BD8-CE06184D967E}"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D0B85E1-6FF4-403F-B320-BD0D7AF4935D}" name="Table_SourceData_FracWET" displayName="Table_SourceData_FracWET" ref="D134:E136" totalsRowShown="0">
  <autoFilter ref="D134:E136" xr:uid="{308E99BE-FE1F-47A4-B2CA-97217277C4E9}">
    <filterColumn colId="0" hiddenButton="1"/>
    <filterColumn colId="1" hiddenButton="1"/>
  </autoFilter>
  <tableColumns count="2">
    <tableColumn id="1" xr3:uid="{54D258CE-B4A4-4803-8241-9B636DDF2389}" name="Is in leaching zone">
      <calculatedColumnFormula array="1">Common_InputFunctions.Utility_DisplayArrayInTable(Common_SourceData.Common_SourceData_FracWET_Data(),Table_SourceData_FracWET[[#Headers],[Is in leaching zone]],0)</calculatedColumnFormula>
    </tableColumn>
    <tableColumn id="2" xr3:uid="{D8708E43-EBE8-48B8-BB9F-AFC84AC40FE7}" name="FracWET" dataDxfId="7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2FD37B6-B943-40DE-8AE3-9D0A185B8FB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565D3A3-A381-4A5D-89B7-BB6437C3D447}" name="Production system j">
      <calculatedColumnFormula array="1">Common_InputFunctions.Utility_DisplayArrayInTable(Common_SourceData.Common_SourceData_EFN2O_Data(), Table_SourceData_Common_EFN2O[[#Headers],[Production system j]], 0)</calculatedColumnFormula>
    </tableColumn>
    <tableColumn id="2" xr3:uid="{D3BB0652-38D4-4D5B-B1B7-B475DB6530E9}" name="EFN2O">
      <calculatedColumnFormula array="1">Common_InputFunctions.Utility_DisplayArrayInTable(Common_SourceData.Common_SourceData_EFN2O_Data(), Table_SourceData_Common_EFN2O[[#Headers],[Production system j]], 0)</calculatedColumnFormula>
    </tableColumn>
    <tableColumn id="3" xr3:uid="{2514AC7C-E226-4F00-9F8D-C6011D95CB5C}" name="Production system only">
      <calculatedColumnFormula array="1">Common_InputFunctions.Utility_DisplayArrayInTable(Common_SourceData.Common_SourceData_EFN2O_Data(), Table_SourceData_Common_EFN2O[[#Headers],[Production system j]], 0)</calculatedColumnFormula>
    </tableColumn>
    <tableColumn id="4" xr3:uid="{B551FAB0-9F38-488A-82F1-70CDC6236A53}" name="Irrigation method">
      <calculatedColumnFormula array="1">Common_InputFunctions.Utility_DisplayArrayInTable(Common_SourceData.Common_SourceData_EFN2O_Data(), Table_SourceData_Common_EFN2O[[#Headers],[Production system j]], 0)</calculatedColumnFormula>
    </tableColumn>
    <tableColumn id="5" xr3:uid="{07E4D250-A672-4098-90AA-A3E16EE9B909}"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4F2A6219-274B-4314-8EA6-1DC614E86C8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EB7345B-6141-430A-A941-52985CA5EAA4}" name="Irrigation type i">
      <calculatedColumnFormula array="1">Common_InputFunctions.Utility_DisplayArrayInTable(Common_SourceData.Common_SourceData_FracWETIrrigation_Data(), Table_SourceData_FracWETIrrigation[[#Headers],[Irrigation type i]], 0)</calculatedColumnFormula>
    </tableColumn>
    <tableColumn id="2" xr3:uid="{EF7E44A6-D30A-4869-ADA1-3E08CF63A7DE}" name="FracWET" dataDxfId="7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1A6C734-C418-4324-80DB-52FF2C39B0F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898AE92-12EF-48ED-ADAF-19D67519BDF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256D221-4F15-40E6-ACF4-8EC179F5C7A8}" name="EFPRP" dataDxfId="6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0F5ACE4-7CBC-45E9-9888-07B19AEAA5CC}"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73F77BA-685B-4194-BD56-E50FCF13B4FF}" name="Month">
      <calculatedColumnFormula array="1">Common_InputFunctions.Utility_DisplayArrayInTable(Common_SourceData.Common_SourceData_MonthsToSeasons_Data(), Table_SourceData_Common_MonthToSeason[[#Headers],[Month]], 0)</calculatedColumnFormula>
    </tableColumn>
    <tableColumn id="2" xr3:uid="{95A984B7-7198-4C2D-9205-49325842E2A0}" name="Season" dataDxfId="6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ECA3341-2C7F-4738-B94B-D8F9ACDADB1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2D4B56A-13A4-4DD1-A7DA-6E39EC80CEB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BB4F5F1-9940-49A4-A84F-03D02E9A3C16}" name="MAT (ºC)"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891D415-1C13-4465-B7BD-E0EFD5F1E3C2}" name="Anaerobic lagoon" dataDxfId="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AFD5E43-DBF8-4E7F-9B11-60CEEEA1AD5A}" name="Digester / covered lagoons" dataDxfId="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F494E2B-2BDA-40E8-8F06-2C65BE679EBF}" name="Liquid systems" dataDxfId="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B8DC92F4-EEA3-4B4C-9F3B-40CE374CF3E2}" name="Daily spread" dataDxfId="6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FDC9825-22A9-4F52-AFE2-FD344A99B501}" name="Composting (passive windrow)" dataDxfId="6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CA6E17B-9681-4E19-9B0F-7F002C20FF04}" name="Solid storage" dataDxfId="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BB8BBF7-67D7-4F4A-81FC-126EE1705387}" name="Pit storage"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4FA310C-0E53-4CDC-8F9E-F91F3CF5EAE3}" name="Deep litter"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2B8AD91-3DAF-4273-9166-07670BB55ADF}" name="Poultry manure with bedding"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14CBC30-FA8D-4B9C-9110-5C610F50A30A}" name="Poultry manure without bedding"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1BD3185-8883-40C8-9656-B5BCA61BDD44}" name="Direct processing"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FB58E4D-50EA-41B6-856D-E543882720E6}" name="Direct application"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8FCDB17A-F853-4577-B465-1F7C67E3012C}" name="Pasture range and paddock"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D2033CC-B4B6-4321-AE00-659E24A7B480}" name="MAT raw"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9BA5B631-E142-490F-87C1-5C3B4D19CBB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0910914-598D-4DDD-8346-46880EF5F30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B3D9B4A-369A-46C0-B9E3-60A3BDEBCA04}" name="EFNi &amp; EFN2Oi" dataDxfId="5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A334E7BB-2DD9-4D93-ABC8-AB0E3B8F9200}"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F207AC0D-B5DD-493A-9CDE-9C48152FFC06}" name="Description" dataDxfId="51" dataCellStyle="Content normal"/>
    <tableColumn id="1" xr3:uid="{A9450AE6-6563-43ED-B0A3-83F3FF3D40F2}" name="ID"/>
    <tableColumn id="3" xr3:uid="{9DF97174-8BB1-46C8-890F-745E307526DF}" name="Score"/>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EBCDF31D-1DA3-4089-88E9-6A40C1785802}"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1E3213F9-5FC6-4FC3-B9C6-2D1E0A19ED0F}" name="Description"/>
    <tableColumn id="2" xr3:uid="{F8107467-4252-42B7-9B0B-12315E2B7D8C}" name="ID"/>
    <tableColumn id="3" xr3:uid="{CCE0999E-920D-4F3C-869B-0433DBE791C3}" name="Score"/>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7592C623-1616-4FCE-904D-DE4820195A7D}"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BF9F79B1-2853-4B0B-92FC-61405887ABA0}" name="Description"/>
    <tableColumn id="2" xr3:uid="{89C902CE-5237-4133-ACDB-3D830D88D88E}" name="ID"/>
    <tableColumn id="3" xr3:uid="{6EDDF7C1-A920-4D0E-ADA2-0168B906D3AF}"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D9D6EA8E-40D1-4279-AF37-42CFE4717AF2}"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FDF2C95E-1AFE-47A0-A87D-52934615A581}" name="Description"/>
    <tableColumn id="2" xr3:uid="{CED05DBE-44E8-4BB2-A136-7C09BEA9860F}" name="ID"/>
    <tableColumn id="3" xr3:uid="{7514C76B-0E5C-4217-A6EB-A71BA6EA4792}"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21.xml"/><Relationship Id="rId13" Type="http://schemas.openxmlformats.org/officeDocument/2006/relationships/table" Target="../tables/table26.xml"/><Relationship Id="rId18" Type="http://schemas.openxmlformats.org/officeDocument/2006/relationships/table" Target="../tables/table31.xml"/><Relationship Id="rId3" Type="http://schemas.openxmlformats.org/officeDocument/2006/relationships/table" Target="../tables/table16.xml"/><Relationship Id="rId21" Type="http://schemas.openxmlformats.org/officeDocument/2006/relationships/table" Target="../tables/table34.xml"/><Relationship Id="rId7" Type="http://schemas.openxmlformats.org/officeDocument/2006/relationships/table" Target="../tables/table20.xml"/><Relationship Id="rId12" Type="http://schemas.openxmlformats.org/officeDocument/2006/relationships/table" Target="../tables/table25.xml"/><Relationship Id="rId17" Type="http://schemas.openxmlformats.org/officeDocument/2006/relationships/table" Target="../tables/table30.xml"/><Relationship Id="rId2" Type="http://schemas.openxmlformats.org/officeDocument/2006/relationships/table" Target="../tables/table15.xml"/><Relationship Id="rId16" Type="http://schemas.openxmlformats.org/officeDocument/2006/relationships/table" Target="../tables/table29.xml"/><Relationship Id="rId20" Type="http://schemas.openxmlformats.org/officeDocument/2006/relationships/table" Target="../tables/table33.xml"/><Relationship Id="rId1" Type="http://schemas.openxmlformats.org/officeDocument/2006/relationships/printerSettings" Target="../printerSettings/printerSettings5.bin"/><Relationship Id="rId6" Type="http://schemas.openxmlformats.org/officeDocument/2006/relationships/table" Target="../tables/table19.xml"/><Relationship Id="rId11" Type="http://schemas.openxmlformats.org/officeDocument/2006/relationships/table" Target="../tables/table24.xml"/><Relationship Id="rId5" Type="http://schemas.openxmlformats.org/officeDocument/2006/relationships/table" Target="../tables/table18.xml"/><Relationship Id="rId15" Type="http://schemas.openxmlformats.org/officeDocument/2006/relationships/table" Target="../tables/table28.xml"/><Relationship Id="rId10" Type="http://schemas.openxmlformats.org/officeDocument/2006/relationships/table" Target="../tables/table23.xml"/><Relationship Id="rId19" Type="http://schemas.openxmlformats.org/officeDocument/2006/relationships/table" Target="../tables/table32.xml"/><Relationship Id="rId4" Type="http://schemas.openxmlformats.org/officeDocument/2006/relationships/table" Target="../tables/table17.xml"/><Relationship Id="rId9" Type="http://schemas.openxmlformats.org/officeDocument/2006/relationships/table" Target="../tables/table22.xml"/><Relationship Id="rId14" Type="http://schemas.openxmlformats.org/officeDocument/2006/relationships/table" Target="../tables/table27.xml"/><Relationship Id="rId22" Type="http://schemas.openxmlformats.org/officeDocument/2006/relationships/table" Target="../tables/table35.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3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I32" sqref="I32"/>
    </sheetView>
  </sheetViews>
  <sheetFormatPr defaultRowHeight="15" x14ac:dyDescent="0.25"/>
  <sheetData>
    <row r="1" spans="1:1" x14ac:dyDescent="0.25">
      <c r="A1" t="s">
        <v>364</v>
      </c>
    </row>
    <row r="3" spans="1:1" x14ac:dyDescent="0.25">
      <c r="A3" s="149" t="str">
        <f>HYPERLINK("#'Home'!A1", "Home")</f>
        <v>Home</v>
      </c>
    </row>
    <row r="6" spans="1:1" x14ac:dyDescent="0.25">
      <c r="A6" s="145"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sheetPr>
    <tabColor rgb="FF0C769E"/>
  </sheetPr>
  <dimension ref="A1:BV64"/>
  <sheetViews>
    <sheetView showGridLines="0" zoomScaleNormal="100" workbookViewId="0">
      <selection activeCell="A26" sqref="A26"/>
    </sheetView>
  </sheetViews>
  <sheetFormatPr defaultRowHeight="15" x14ac:dyDescent="0.25"/>
  <sheetData>
    <row r="1" spans="1:1" s="21" customFormat="1" ht="25.5" x14ac:dyDescent="0.35">
      <c r="A1" s="64" t="e" vm="1">
        <v>#VALUE!</v>
      </c>
    </row>
    <row r="2" spans="1:1" s="21" customFormat="1" x14ac:dyDescent="0.25">
      <c r="A2"/>
    </row>
    <row r="3" spans="1:1" s="21" customFormat="1" ht="15.75" x14ac:dyDescent="0.25">
      <c r="A3" s="17" t="str">
        <f>HYPERLINK("#'Home'!A1", "Home")</f>
        <v>Home</v>
      </c>
    </row>
    <row r="4" spans="1:1" s="21" customFormat="1" ht="15.75" x14ac:dyDescent="0.25">
      <c r="A4" s="144" t="str">
        <f>HYPERLINK("#'Overview'!A1", "Overview")</f>
        <v>Overview</v>
      </c>
    </row>
    <row r="5" spans="1:1" s="21" customFormat="1" ht="15.75" x14ac:dyDescent="0.25">
      <c r="A5" s="17" t="str">
        <f>HYPERLINK("#'Results'!A1", "Results")</f>
        <v>Results</v>
      </c>
    </row>
    <row r="6" spans="1:1" s="21" customFormat="1" x14ac:dyDescent="0.25">
      <c r="A6"/>
    </row>
    <row r="7" spans="1:1" s="21" customFormat="1" x14ac:dyDescent="0.25">
      <c r="A7"/>
    </row>
    <row r="8" spans="1:1" s="21" customFormat="1" x14ac:dyDescent="0.25">
      <c r="A8" s="19" t="s">
        <v>0</v>
      </c>
    </row>
    <row r="9" spans="1:1" s="21" customFormat="1" ht="15.75" x14ac:dyDescent="0.25">
      <c r="A9" s="17" t="str">
        <f>HYPERLINK("#'Input - Site'!A1", "Site")</f>
        <v>Site</v>
      </c>
    </row>
    <row r="10" spans="1:1" s="21" customFormat="1" ht="15.75" x14ac:dyDescent="0.25">
      <c r="A10" s="17" t="str">
        <f>HYPERLINK("#'Input - Swine'!A1", "Swine")</f>
        <v>Swine</v>
      </c>
    </row>
    <row r="11" spans="1:1" s="21" customFormat="1" x14ac:dyDescent="0.25">
      <c r="A11"/>
    </row>
    <row r="12" spans="1:1" s="21" customFormat="1" x14ac:dyDescent="0.25">
      <c r="A12"/>
    </row>
    <row r="13" spans="1:1" s="21" customFormat="1" x14ac:dyDescent="0.25">
      <c r="A13" s="18" t="s">
        <v>71</v>
      </c>
    </row>
    <row r="14" spans="1:1" s="142" customFormat="1" ht="15.75" x14ac:dyDescent="0.25">
      <c r="A14" s="17" t="str">
        <f>HYPERLINK("#'4.5.1.1-2 Methane'!A1", "4.5.1.1-2 Methane")</f>
        <v>4.5.1.1-2 Methane</v>
      </c>
    </row>
    <row r="15" spans="1:1" ht="15.75" x14ac:dyDescent="0.25">
      <c r="A15" s="17" t="str">
        <f>HYPERLINK("#'4.5.1.3-4 Direct N2O'!A1", "4.5.1.3-4 Direct N2O")</f>
        <v>4.5.1.3-4 Direct N2O</v>
      </c>
    </row>
    <row r="16" spans="1:1" ht="15.75" x14ac:dyDescent="0.25">
      <c r="A16" s="17" t="str">
        <f>HYPERLINK("#'4.5.1.5-6 Atmos Dep'!A1", "4.5.1.5-6 Atmos Dep")</f>
        <v>4.5.1.5-6 Atmos Dep</v>
      </c>
    </row>
    <row r="17" spans="1:1" ht="15.75" x14ac:dyDescent="0.25">
      <c r="A17" s="17" t="str">
        <f>HYPERLINK("#'4.5.1.7-8 Leaching and runoff'!A1", "4.5.1.7-8 Leaching and runoff")</f>
        <v>4.5.1.7-8 Leaching and runoff</v>
      </c>
    </row>
    <row r="18" spans="1:1" ht="15.75" x14ac:dyDescent="0.25">
      <c r="A18" s="17" t="str">
        <f>HYPERLINK("#'4.5.1.9 Manure applied to soils'!A1", "4.5.1.9 Manure applied to soils")</f>
        <v>4.5.1.9 Manure applied to soils</v>
      </c>
    </row>
    <row r="21" spans="1:1" x14ac:dyDescent="0.25">
      <c r="A21" s="145" t="s">
        <v>1</v>
      </c>
    </row>
    <row r="22" spans="1:1" ht="15.75" x14ac:dyDescent="0.25">
      <c r="A22" s="17" t="str">
        <f>HYPERLINK("#'Constants - Swine'!A1", "Constants - Swine")</f>
        <v>Constants - Swine</v>
      </c>
    </row>
    <row r="23" spans="1:1" ht="15.75" x14ac:dyDescent="0.25">
      <c r="A23" s="17" t="str">
        <f>HYPERLINK("#'Constants - Common'!A1", "Constants - Common")</f>
        <v>Constants - Common</v>
      </c>
    </row>
    <row r="24" spans="1:1" ht="15.75" x14ac:dyDescent="0.25">
      <c r="A24" s="17" t="str">
        <f>HYPERLINK("#'Constants - Livestock'!A1", "Constants - Livestock")</f>
        <v>Constants - Livestock</v>
      </c>
    </row>
    <row r="25" spans="1:1" ht="15.75" x14ac:dyDescent="0.25">
      <c r="A25" s="17" t="str">
        <f>HYPERLINK("#'Acknowledgements'!A1", "Acknowledgements")</f>
        <v>Acknowledgements</v>
      </c>
    </row>
    <row r="26" spans="1:1" ht="15.75" x14ac:dyDescent="0.25">
      <c r="A26" s="17" t="str">
        <f>HYPERLINK("#'Tab template'!A1", "Tab template")</f>
        <v>Tab template</v>
      </c>
    </row>
    <row r="34" spans="1:74" x14ac:dyDescent="0.25">
      <c r="BV34" t="s">
        <v>357</v>
      </c>
    </row>
    <row r="37" spans="1:74" s="143" customFormat="1" x14ac:dyDescent="0.25">
      <c r="A37"/>
    </row>
    <row r="38" spans="1:74" s="21" customFormat="1" x14ac:dyDescent="0.25">
      <c r="A38"/>
    </row>
    <row r="39" spans="1:74" s="21" customFormat="1" x14ac:dyDescent="0.25">
      <c r="A39"/>
    </row>
    <row r="40" spans="1:74" s="21" customFormat="1" x14ac:dyDescent="0.25">
      <c r="A40"/>
    </row>
    <row r="41" spans="1:74" s="21" customFormat="1" x14ac:dyDescent="0.25">
      <c r="A41"/>
    </row>
    <row r="42" spans="1:74" s="21" customFormat="1" x14ac:dyDescent="0.25">
      <c r="A42"/>
    </row>
    <row r="43" spans="1:74" s="21" customFormat="1" x14ac:dyDescent="0.25">
      <c r="A43"/>
    </row>
    <row r="44" spans="1:74" s="21" customFormat="1" x14ac:dyDescent="0.25">
      <c r="A44"/>
    </row>
    <row r="45" spans="1:74" s="21" customFormat="1" x14ac:dyDescent="0.25">
      <c r="A45"/>
    </row>
    <row r="46" spans="1:74" s="21" customFormat="1" x14ac:dyDescent="0.25">
      <c r="A46"/>
    </row>
    <row r="47" spans="1:74" s="21" customFormat="1" x14ac:dyDescent="0.25">
      <c r="A47"/>
    </row>
    <row r="48" spans="1:74" s="21" customFormat="1" x14ac:dyDescent="0.25">
      <c r="A48"/>
    </row>
    <row r="49" spans="1:1" s="21" customFormat="1" x14ac:dyDescent="0.25">
      <c r="A49"/>
    </row>
    <row r="50" spans="1:1" s="21" customFormat="1" x14ac:dyDescent="0.25">
      <c r="A50"/>
    </row>
    <row r="51" spans="1:1" s="21" customFormat="1" x14ac:dyDescent="0.25">
      <c r="A51"/>
    </row>
    <row r="52" spans="1:1" s="21" customFormat="1" x14ac:dyDescent="0.25">
      <c r="A52"/>
    </row>
    <row r="53" spans="1:1" s="21" customFormat="1" x14ac:dyDescent="0.25">
      <c r="A53"/>
    </row>
    <row r="54" spans="1:1" s="21" customFormat="1" x14ac:dyDescent="0.25">
      <c r="A54"/>
    </row>
    <row r="55" spans="1:1" s="21" customFormat="1" x14ac:dyDescent="0.25">
      <c r="A55"/>
    </row>
    <row r="56" spans="1:1" s="21" customFormat="1" x14ac:dyDescent="0.25">
      <c r="A56"/>
    </row>
    <row r="57" spans="1:1" s="21" customFormat="1" x14ac:dyDescent="0.25">
      <c r="A57"/>
    </row>
    <row r="58" spans="1:1" s="21" customFormat="1" x14ac:dyDescent="0.25">
      <c r="A58"/>
    </row>
    <row r="59" spans="1:1" s="21" customFormat="1" x14ac:dyDescent="0.25">
      <c r="A59"/>
    </row>
    <row r="60" spans="1:1" s="21" customFormat="1" x14ac:dyDescent="0.25">
      <c r="A60"/>
    </row>
    <row r="61" spans="1:1" s="21" customFormat="1" x14ac:dyDescent="0.25">
      <c r="A61"/>
    </row>
    <row r="62" spans="1:1" s="21" customFormat="1" x14ac:dyDescent="0.25">
      <c r="A62"/>
    </row>
    <row r="63" spans="1:1" s="21" customFormat="1" x14ac:dyDescent="0.25">
      <c r="A63"/>
    </row>
    <row r="64" spans="1:1" s="142" customFormat="1" x14ac:dyDescent="0.25">
      <c r="A6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26" sqref="A26"/>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4" t="e" vm="1">
        <v>#VALUE!</v>
      </c>
      <c r="C1" s="112" t="s">
        <v>131</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44" t="str">
        <f>HYPERLINK("#'Results'!A1", "Results")</f>
        <v>Results</v>
      </c>
      <c r="C5" s="21"/>
      <c r="D5" s="25"/>
      <c r="E5" s="26"/>
      <c r="F5" s="26"/>
      <c r="G5" s="26"/>
      <c r="H5" s="23"/>
      <c r="I5" s="21"/>
      <c r="J5" s="21"/>
      <c r="K5" s="21"/>
    </row>
    <row r="6" spans="1:11" ht="20.100000000000001" customHeight="1" x14ac:dyDescent="0.25">
      <c r="C6" s="21"/>
      <c r="D6" s="111" t="s">
        <v>98</v>
      </c>
      <c r="E6" s="111" t="s">
        <v>122</v>
      </c>
      <c r="F6" s="111" t="s">
        <v>123</v>
      </c>
      <c r="G6" s="111" t="s">
        <v>111</v>
      </c>
      <c r="H6" s="111" t="s">
        <v>124</v>
      </c>
      <c r="I6" s="111" t="s">
        <v>125</v>
      </c>
      <c r="J6" s="111" t="s">
        <v>112</v>
      </c>
      <c r="K6" s="21"/>
    </row>
    <row r="7" spans="1:11" ht="20.100000000000001" customHeight="1" x14ac:dyDescent="0.25">
      <c r="C7" s="21"/>
      <c r="D7" s="1" t="s">
        <v>332</v>
      </c>
      <c r="E7" s="130">
        <f ca="1">VEERG_4_5_1_1__1_TotalAnnualMethaneEmissions_Result_Method1</f>
        <v>2.3840372404992007</v>
      </c>
      <c r="F7" s="130">
        <f ca="1">VEERG_4_5_1_1__1_TotalAnnualMethaneEmissions_Result_Method2</f>
        <v>2.4087425821440007</v>
      </c>
      <c r="G7" s="52" t="s">
        <v>118</v>
      </c>
      <c r="H7" s="108">
        <f ca="1">'4.5.1.1-2 Methane'!E266</f>
        <v>66.753042733977622</v>
      </c>
      <c r="I7" s="108">
        <f ca="1">'4.5.1.1-2 Methane'!O266</f>
        <v>67.44479230003202</v>
      </c>
      <c r="J7" s="52" t="s">
        <v>120</v>
      </c>
      <c r="K7" s="21"/>
    </row>
    <row r="8" spans="1:11" ht="20.100000000000001" customHeight="1" x14ac:dyDescent="0.25">
      <c r="A8" s="19" t="s">
        <v>0</v>
      </c>
      <c r="C8" s="21"/>
      <c r="D8" s="1" t="s">
        <v>333</v>
      </c>
      <c r="E8" s="130">
        <f ca="1">'4.5.1.3-4 Direct N2O'!E297</f>
        <v>7.4343140661428567E-2</v>
      </c>
      <c r="F8" s="130">
        <f ca="1">'4.5.1.3-4 Direct N2O'!O297</f>
        <v>7.4343140661428567E-2</v>
      </c>
      <c r="G8" s="52" t="s">
        <v>129</v>
      </c>
      <c r="H8" s="108">
        <f ca="1">'4.5.1.3-4 Direct N2O'!E302</f>
        <v>19.700932275278571</v>
      </c>
      <c r="I8" s="108">
        <f ca="1">'4.5.1.3-4 Direct N2O'!O302</f>
        <v>19.700932275278571</v>
      </c>
      <c r="J8" s="52" t="s">
        <v>120</v>
      </c>
      <c r="K8" s="21"/>
    </row>
    <row r="9" spans="1:11" ht="20.100000000000001" customHeight="1" x14ac:dyDescent="0.25">
      <c r="A9" s="17" t="str">
        <f>HYPERLINK("#'Input - Site'!A1", "Site")</f>
        <v>Site</v>
      </c>
      <c r="C9" s="21"/>
      <c r="D9" s="1" t="s">
        <v>334</v>
      </c>
      <c r="E9" s="130">
        <f ca="1">'4.5.1.5-6 Atmos Dep'!E125</f>
        <v>2.4944401836750004E-2</v>
      </c>
      <c r="F9" s="130">
        <f ca="1">'4.5.1.5-6 Atmos Dep'!O125</f>
        <v>2.4944401836750004E-2</v>
      </c>
      <c r="G9" s="52" t="s">
        <v>129</v>
      </c>
      <c r="H9" s="108">
        <f ca="1">'4.5.1.5-6 Atmos Dep'!E130</f>
        <v>6.6102664867387508</v>
      </c>
      <c r="I9" s="108">
        <f ca="1">'4.5.1.5-6 Atmos Dep'!O130</f>
        <v>6.6102664867387508</v>
      </c>
      <c r="J9" s="52" t="s">
        <v>120</v>
      </c>
      <c r="K9" s="21"/>
    </row>
    <row r="10" spans="1:11" ht="20.100000000000001" customHeight="1" x14ac:dyDescent="0.25">
      <c r="A10" s="17" t="str">
        <f>HYPERLINK("#'Input - Swine'!A1", "Swine")</f>
        <v>Swine</v>
      </c>
      <c r="C10" s="21"/>
      <c r="D10" s="1" t="s">
        <v>265</v>
      </c>
      <c r="E10" s="130">
        <f ca="1">'4.5.1.7-8 Leaching and runoff'!E49</f>
        <v>2.6075015999999998E-4</v>
      </c>
      <c r="F10" s="130">
        <f ca="1">'4.5.1.7-8 Leaching and runoff'!N49</f>
        <v>2.6075015999999998E-4</v>
      </c>
      <c r="G10" s="52" t="s">
        <v>129</v>
      </c>
      <c r="H10" s="108">
        <f ca="1">'4.5.1.7-8 Leaching and runoff'!E54</f>
        <v>6.9098792399999998E-2</v>
      </c>
      <c r="I10" s="108">
        <f ca="1">'4.5.1.7-8 Leaching and runoff'!N54</f>
        <v>6.9098792399999998E-2</v>
      </c>
      <c r="J10" s="52" t="s">
        <v>120</v>
      </c>
      <c r="K10" s="21"/>
    </row>
    <row r="11" spans="1:11" ht="20.100000000000001" customHeight="1" x14ac:dyDescent="0.3">
      <c r="C11" s="21"/>
      <c r="D11" s="28" t="s">
        <v>110</v>
      </c>
      <c r="E11" s="22"/>
      <c r="F11" s="22"/>
      <c r="G11" s="28"/>
      <c r="H11" s="110">
        <f ca="1">SUM(H7:H10)</f>
        <v>93.133340288394947</v>
      </c>
      <c r="I11" s="110">
        <f ca="1">SUM(I7:I10)</f>
        <v>93.825089854449345</v>
      </c>
      <c r="J11" s="101" t="s">
        <v>120</v>
      </c>
      <c r="K11" s="21"/>
    </row>
    <row r="12" spans="1:11" ht="20.100000000000001" customHeight="1" x14ac:dyDescent="0.25">
      <c r="C12" s="21"/>
      <c r="D12" s="1"/>
      <c r="E12" s="1"/>
      <c r="F12" s="1"/>
      <c r="G12" s="23"/>
      <c r="H12" s="21"/>
      <c r="I12" s="1"/>
      <c r="J12" s="1"/>
      <c r="K12" s="21"/>
    </row>
    <row r="13" spans="1:11" ht="20.100000000000001" customHeight="1" x14ac:dyDescent="0.25">
      <c r="A13" s="18" t="s">
        <v>71</v>
      </c>
      <c r="C13" s="21"/>
      <c r="D13" s="46" t="s">
        <v>281</v>
      </c>
      <c r="E13" s="1"/>
      <c r="F13" s="1"/>
      <c r="G13" s="1"/>
      <c r="H13" s="23"/>
      <c r="I13" s="1"/>
      <c r="J13" s="21"/>
      <c r="K13" s="21"/>
    </row>
    <row r="14" spans="1:11" ht="20.100000000000001" customHeight="1" x14ac:dyDescent="0.25">
      <c r="A14" s="17" t="str">
        <f>HYPERLINK("#'4.5.1.1-2 Methane'!A1", "4.5.1.1-2 Methane")</f>
        <v>4.5.1.1-2 Methane</v>
      </c>
      <c r="C14" s="21"/>
      <c r="D14" s="102" t="s">
        <v>318</v>
      </c>
      <c r="E14" s="1"/>
      <c r="F14" s="1"/>
      <c r="G14" s="1"/>
      <c r="H14" s="1"/>
      <c r="I14" s="1"/>
      <c r="J14" s="21"/>
      <c r="K14" s="21"/>
    </row>
    <row r="15" spans="1:11" ht="20.100000000000001" customHeight="1" x14ac:dyDescent="0.25">
      <c r="A15" s="17" t="str">
        <f>HYPERLINK("#'4.5.1.3-4 Direct N2O'!A1", "4.5.1.3-4 Direct N2O")</f>
        <v>4.5.1.3-4 Direct N2O</v>
      </c>
      <c r="C15" s="21"/>
      <c r="D15" s="129" t="s">
        <v>319</v>
      </c>
      <c r="E15" s="1"/>
      <c r="F15" s="1"/>
      <c r="G15" s="1"/>
      <c r="H15" s="1"/>
      <c r="I15" s="1"/>
      <c r="J15" s="21"/>
      <c r="K15" s="21"/>
    </row>
    <row r="16" spans="1:11" ht="20.100000000000001" customHeight="1" x14ac:dyDescent="0.25">
      <c r="A16" s="17" t="str">
        <f>HYPERLINK("#'4.5.1.5-6 Atmos Dep'!A1", "4.5.1.5-6 Atmos Dep")</f>
        <v>4.5.1.5-6 Atmos Dep</v>
      </c>
      <c r="C16" s="21"/>
      <c r="D16" s="111" t="s">
        <v>320</v>
      </c>
      <c r="E16" s="111" t="s">
        <v>321</v>
      </c>
      <c r="F16" s="111" t="s">
        <v>322</v>
      </c>
      <c r="G16" s="111" t="s">
        <v>323</v>
      </c>
      <c r="H16" s="111" t="s">
        <v>324</v>
      </c>
      <c r="I16" s="1"/>
      <c r="J16" s="21"/>
      <c r="K16" s="21"/>
    </row>
    <row r="17" spans="1:11" ht="20.100000000000001" customHeight="1" x14ac:dyDescent="0.25">
      <c r="A17" s="17" t="str">
        <f>HYPERLINK("#'4.5.1.7-8 Leaching and runoff'!A1", "4.5.1.7-8 Leaching and runoff")</f>
        <v>4.5.1.7-8 Leaching and runoff</v>
      </c>
      <c r="C17" s="21"/>
      <c r="D17" s="1" t="s">
        <v>325</v>
      </c>
      <c r="E17" s="125">
        <f ca="1">'4.5.1.9 Manure applied to soils'!E161</f>
        <v>3256.7704915650011</v>
      </c>
      <c r="F17" s="52" t="str">
        <f>'4.5.1.9 Manure applied to soils'!F161</f>
        <v>kg N</v>
      </c>
      <c r="G17" s="1" t="s">
        <v>331</v>
      </c>
      <c r="H17" s="1" t="s">
        <v>326</v>
      </c>
      <c r="I17" s="1"/>
      <c r="J17" s="21"/>
      <c r="K17" s="21"/>
    </row>
    <row r="18" spans="1:11" ht="20.100000000000001" customHeight="1" x14ac:dyDescent="0.25">
      <c r="A18" s="17" t="str">
        <f>HYPERLINK("#'4.5.1.9 Manure applied to soils'!A1", "4.5.1.9 Manure applied to soils")</f>
        <v>4.5.1.9 Manure applied to soils</v>
      </c>
      <c r="C18" s="21"/>
      <c r="D18" s="1" t="s">
        <v>327</v>
      </c>
      <c r="E18" s="125">
        <f ca="1">'4.5.1.9 Manure applied to soils'!E278</f>
        <v>653.20846285499988</v>
      </c>
      <c r="F18" s="52" t="str">
        <f>'4.5.1.9 Manure applied to soils'!F278</f>
        <v>kg N</v>
      </c>
      <c r="G18" s="1" t="s">
        <v>331</v>
      </c>
      <c r="H18" s="1" t="s">
        <v>326</v>
      </c>
      <c r="I18" s="21"/>
      <c r="J18" s="21"/>
      <c r="K18" s="21"/>
    </row>
    <row r="19" spans="1:11" ht="20.100000000000001" customHeight="1" x14ac:dyDescent="0.25">
      <c r="C19" s="21"/>
      <c r="D19" s="1" t="s">
        <v>328</v>
      </c>
      <c r="E19" s="125">
        <f ca="1">'4.5.1.9 Manure applied to soils'!E209</f>
        <v>653.20846285499988</v>
      </c>
      <c r="F19" s="52" t="str">
        <f>'4.5.1.9 Manure applied to soils'!F209</f>
        <v>kg N</v>
      </c>
      <c r="G19" s="1" t="s">
        <v>329</v>
      </c>
      <c r="H19" s="1" t="s">
        <v>330</v>
      </c>
      <c r="I19" s="21"/>
      <c r="J19" s="21"/>
      <c r="K19" s="21"/>
    </row>
    <row r="20" spans="1:11" ht="20.100000000000001" customHeight="1" x14ac:dyDescent="0.3">
      <c r="C20" s="21"/>
      <c r="D20" s="1"/>
      <c r="E20" s="1"/>
      <c r="F20" s="1"/>
      <c r="G20" s="1"/>
      <c r="H20" s="26"/>
      <c r="I20" s="21"/>
      <c r="J20" s="21"/>
      <c r="K20" s="21"/>
    </row>
    <row r="21" spans="1:11" ht="20.100000000000001" customHeight="1" x14ac:dyDescent="0.3">
      <c r="A21" s="145" t="s">
        <v>1</v>
      </c>
      <c r="C21" s="21"/>
      <c r="D21" s="1"/>
      <c r="E21" s="1"/>
      <c r="F21" s="1"/>
      <c r="G21" s="1"/>
      <c r="H21" s="26"/>
      <c r="I21" s="21"/>
      <c r="J21" s="21"/>
      <c r="K21" s="21"/>
    </row>
    <row r="22" spans="1:11" ht="20.100000000000001" customHeight="1" x14ac:dyDescent="0.3">
      <c r="A22" s="17" t="str">
        <f>HYPERLINK("#'Constants - Swine'!A1", "Constants - Swine")</f>
        <v>Constants - Swine</v>
      </c>
      <c r="C22" s="21"/>
      <c r="D22" s="1"/>
      <c r="E22" s="1"/>
      <c r="F22" s="1"/>
      <c r="G22" s="1"/>
      <c r="H22" s="26"/>
      <c r="I22" s="21"/>
      <c r="J22" s="21"/>
      <c r="K22" s="21"/>
    </row>
    <row r="23" spans="1:11" ht="20.100000000000001" customHeight="1" x14ac:dyDescent="0.3">
      <c r="A23" s="17" t="str">
        <f>HYPERLINK("#'Constants - Common'!A1", "Constants - Common")</f>
        <v>Constants - Common</v>
      </c>
      <c r="C23" s="21"/>
      <c r="D23" s="1"/>
      <c r="E23" s="1"/>
      <c r="F23" s="1"/>
      <c r="G23" s="1"/>
      <c r="H23" s="26"/>
      <c r="I23" s="21"/>
      <c r="J23" s="21"/>
      <c r="K23" s="21"/>
    </row>
    <row r="24" spans="1:11" ht="20.100000000000001" customHeight="1" x14ac:dyDescent="0.3">
      <c r="A24" s="17" t="str">
        <f>HYPERLINK("#'Constants - Livestock'!A1", "Constants - Livestock")</f>
        <v>Constants - Livestock</v>
      </c>
      <c r="C24" s="21"/>
      <c r="D24" s="1"/>
      <c r="E24" s="1"/>
      <c r="F24" s="1"/>
      <c r="G24" s="1"/>
      <c r="H24" s="26"/>
      <c r="I24" s="21"/>
      <c r="J24" s="21"/>
      <c r="K24" s="21"/>
    </row>
    <row r="25" spans="1:11" ht="20.100000000000001" customHeight="1" x14ac:dyDescent="0.3">
      <c r="A25" s="17" t="str">
        <f>HYPERLINK("#'Acknowledgements'!A1", "Acknowledgements")</f>
        <v>Acknowledgements</v>
      </c>
      <c r="C25" s="21"/>
      <c r="D25" s="1"/>
      <c r="E25" s="1"/>
      <c r="F25" s="1"/>
      <c r="G25" s="1"/>
      <c r="H25" s="26"/>
      <c r="I25" s="21"/>
      <c r="J25" s="21"/>
      <c r="K25" s="21"/>
    </row>
    <row r="26" spans="1:11" ht="20.100000000000001" customHeight="1" x14ac:dyDescent="0.3">
      <c r="A26" s="17" t="str">
        <f>HYPERLINK("#'Tab template'!A1", "Tab template")</f>
        <v>Tab template</v>
      </c>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7"/>
      <c r="J38" s="107"/>
      <c r="K38" s="21"/>
    </row>
    <row r="39" spans="3:11" ht="20.100000000000001" customHeight="1" x14ac:dyDescent="0.25">
      <c r="C39" s="21"/>
      <c r="D39" s="1"/>
      <c r="E39" s="1"/>
      <c r="F39" s="1"/>
      <c r="G39" s="1"/>
      <c r="H39" s="1"/>
      <c r="I39" s="107"/>
      <c r="J39" s="107"/>
      <c r="K39" s="21"/>
    </row>
    <row r="40" spans="3:11" ht="20.100000000000001" customHeight="1" x14ac:dyDescent="0.25">
      <c r="C40" s="21"/>
      <c r="D40" s="1"/>
      <c r="E40" s="1"/>
      <c r="F40" s="1"/>
      <c r="G40" s="1"/>
      <c r="H40" s="1"/>
      <c r="I40" s="107"/>
      <c r="J40" s="107"/>
      <c r="K40" s="21"/>
    </row>
    <row r="41" spans="3:11" ht="20.100000000000001" customHeight="1" x14ac:dyDescent="0.25">
      <c r="C41" s="21"/>
      <c r="D41" s="1"/>
      <c r="E41" s="1"/>
      <c r="F41" s="1"/>
      <c r="G41" s="1"/>
      <c r="H41" s="1"/>
      <c r="I41" s="107"/>
      <c r="J41" s="107"/>
      <c r="K41" s="21"/>
    </row>
    <row r="42" spans="3:11" ht="20.100000000000001" customHeight="1" x14ac:dyDescent="0.25">
      <c r="C42" s="21"/>
      <c r="D42" s="1"/>
      <c r="E42" s="1"/>
      <c r="F42" s="1"/>
      <c r="G42" s="1"/>
      <c r="H42" s="1"/>
      <c r="I42" s="107"/>
      <c r="J42" s="107"/>
      <c r="K42" s="21"/>
    </row>
    <row r="43" spans="3:11" ht="20.100000000000001" customHeight="1" x14ac:dyDescent="0.25">
      <c r="C43" s="21"/>
      <c r="D43" s="1"/>
      <c r="E43" s="1"/>
      <c r="F43" s="1"/>
      <c r="G43" s="1"/>
      <c r="H43" s="1"/>
      <c r="I43" s="107"/>
      <c r="J43" s="107"/>
      <c r="K43" s="21"/>
    </row>
    <row r="44" spans="3:11" ht="20.100000000000001" customHeight="1" x14ac:dyDescent="0.25">
      <c r="C44" s="21"/>
      <c r="D44" s="1"/>
      <c r="E44" s="1"/>
      <c r="F44" s="1"/>
      <c r="G44" s="1"/>
      <c r="H44" s="1"/>
      <c r="I44" s="107"/>
      <c r="J44" s="107"/>
      <c r="K44" s="21"/>
    </row>
    <row r="45" spans="3:11" ht="20.100000000000001" customHeight="1" x14ac:dyDescent="0.25">
      <c r="C45" s="21"/>
      <c r="D45" s="1"/>
      <c r="E45" s="1"/>
      <c r="F45" s="1"/>
      <c r="G45" s="1"/>
      <c r="H45" s="1"/>
      <c r="I45" s="107"/>
      <c r="J45" s="107"/>
      <c r="K45" s="21"/>
    </row>
    <row r="46" spans="3:11" ht="20.100000000000001" customHeight="1" x14ac:dyDescent="0.25">
      <c r="C46" s="21"/>
      <c r="D46" s="1"/>
      <c r="E46" s="1"/>
      <c r="F46" s="1"/>
      <c r="G46" s="1"/>
      <c r="H46" s="1"/>
      <c r="I46" s="107"/>
      <c r="J46" s="107"/>
      <c r="K46" s="21"/>
    </row>
    <row r="47" spans="3:11" ht="20.100000000000001" customHeight="1" x14ac:dyDescent="0.25">
      <c r="C47" s="21"/>
      <c r="D47" s="1"/>
      <c r="E47" s="1"/>
      <c r="F47" s="1"/>
      <c r="G47" s="1"/>
      <c r="H47" s="1"/>
      <c r="I47" s="107"/>
      <c r="J47" s="107"/>
      <c r="K47" s="21"/>
    </row>
    <row r="48" spans="3:11" ht="20.100000000000001" customHeight="1" x14ac:dyDescent="0.25">
      <c r="C48" s="21"/>
      <c r="D48" s="1"/>
      <c r="E48" s="1"/>
      <c r="F48" s="1"/>
      <c r="G48" s="1"/>
      <c r="H48" s="1"/>
      <c r="I48" s="107"/>
      <c r="J48" s="107"/>
      <c r="K48" s="21"/>
    </row>
    <row r="49" spans="3:11" ht="20.100000000000001" customHeight="1" x14ac:dyDescent="0.25">
      <c r="C49" s="21"/>
      <c r="D49" s="1"/>
      <c r="E49" s="1"/>
      <c r="F49" s="1"/>
      <c r="G49" s="1"/>
      <c r="H49" s="107"/>
      <c r="I49" s="107"/>
      <c r="J49" s="107"/>
      <c r="K49" s="21"/>
    </row>
    <row r="50" spans="3:11" ht="20.100000000000001" customHeight="1" x14ac:dyDescent="0.25">
      <c r="C50" s="21"/>
      <c r="D50" s="1"/>
      <c r="E50" s="1"/>
      <c r="F50" s="1"/>
      <c r="G50" s="1"/>
      <c r="H50" s="107"/>
      <c r="I50" s="107"/>
      <c r="J50" s="107"/>
      <c r="K50" s="21"/>
    </row>
    <row r="51" spans="3:11" ht="20.100000000000001" customHeight="1" x14ac:dyDescent="0.25">
      <c r="C51" s="21"/>
      <c r="D51" s="1"/>
      <c r="E51" s="1"/>
      <c r="F51" s="1"/>
      <c r="G51" s="1"/>
      <c r="H51" s="107"/>
      <c r="I51" s="107"/>
      <c r="J51" s="107"/>
      <c r="K51" s="21"/>
    </row>
    <row r="52" spans="3:11" ht="20.100000000000001" customHeight="1" x14ac:dyDescent="0.25">
      <c r="C52" s="21"/>
      <c r="D52" s="1"/>
      <c r="E52" s="1"/>
      <c r="F52" s="1"/>
      <c r="G52" s="1"/>
      <c r="H52" s="107"/>
      <c r="I52" s="107"/>
      <c r="J52" s="107"/>
      <c r="K52" s="21"/>
    </row>
    <row r="53" spans="3:11" ht="20.100000000000001" customHeight="1" x14ac:dyDescent="0.25">
      <c r="C53" s="21"/>
      <c r="D53" s="1"/>
      <c r="E53" s="1"/>
      <c r="F53" s="1"/>
      <c r="G53" s="1"/>
      <c r="H53" s="107"/>
      <c r="I53" s="107"/>
      <c r="J53" s="107"/>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tabSelected="1"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4"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69</v>
      </c>
      <c r="E8" s="32" t="s">
        <v>70</v>
      </c>
    </row>
    <row r="9" spans="1:24" ht="20.100000000000001" customHeight="1" x14ac:dyDescent="0.25">
      <c r="A9" s="146" t="str">
        <f>HYPERLINK("#'Input - Site'!A1", "Site")</f>
        <v>Site</v>
      </c>
      <c r="N9" s="41"/>
    </row>
    <row r="10" spans="1:24" ht="20.100000000000001" customHeight="1" x14ac:dyDescent="0.25">
      <c r="A10" s="17" t="str">
        <f>HYPERLINK("#'Input - Swine'!A1", "Swine")</f>
        <v>Swine</v>
      </c>
      <c r="D10" s="90" t="s">
        <v>84</v>
      </c>
      <c r="E10" s="88"/>
      <c r="F10" s="91"/>
      <c r="G10" s="85"/>
      <c r="N10" s="41"/>
    </row>
    <row r="11" spans="1:24" ht="20.100000000000001" customHeight="1" x14ac:dyDescent="0.25">
      <c r="A11"/>
      <c r="N11" s="42"/>
    </row>
    <row r="12" spans="1:24" ht="20.100000000000001" customHeight="1" x14ac:dyDescent="0.25">
      <c r="A12"/>
      <c r="D12" s="10" t="s">
        <v>90</v>
      </c>
      <c r="E12" s="62">
        <v>45292</v>
      </c>
      <c r="F12" s="2" t="s">
        <v>67</v>
      </c>
    </row>
    <row r="13" spans="1:24" ht="20.100000000000001" customHeight="1" x14ac:dyDescent="0.25">
      <c r="A13" s="18" t="s">
        <v>71</v>
      </c>
      <c r="D13" s="10" t="s">
        <v>91</v>
      </c>
      <c r="E13" s="66">
        <f>DATE(YEAR(X_Cell_Site_StartDate)+1,MONTH(X_Cell_Site_StartDate),DAY(X_Cell_Site_StartDate))-1</f>
        <v>45657</v>
      </c>
      <c r="F13" s="2" t="s">
        <v>14</v>
      </c>
      <c r="N13" s="37"/>
      <c r="O13" s="37"/>
    </row>
    <row r="14" spans="1:24" ht="20.100000000000001" customHeight="1" x14ac:dyDescent="0.25">
      <c r="A14" s="17" t="str">
        <f>HYPERLINK("#'4.5.1.1-2 Methane'!A1", "4.5.1.1-2 Methane")</f>
        <v>4.5.1.1-2 Methane</v>
      </c>
      <c r="N14" s="37"/>
      <c r="O14" s="37"/>
    </row>
    <row r="15" spans="1:24" ht="20.100000000000001" customHeight="1" x14ac:dyDescent="0.25">
      <c r="A15" s="17" t="str">
        <f>HYPERLINK("#'4.5.1.3-4 Direct N2O'!A1", "4.5.1.3-4 Direct N2O")</f>
        <v>4.5.1.3-4 Direct N2O</v>
      </c>
      <c r="N15" s="37"/>
      <c r="O15" s="37"/>
    </row>
    <row r="16" spans="1:24" ht="20.100000000000001" customHeight="1" x14ac:dyDescent="0.25">
      <c r="A16" s="17" t="str">
        <f>HYPERLINK("#'4.5.1.5-6 Atmos Dep'!A1", "4.5.1.5-6 Atmos Dep")</f>
        <v>4.5.1.5-6 Atmos Dep</v>
      </c>
      <c r="D16" s="6" t="s">
        <v>11</v>
      </c>
      <c r="N16" s="37"/>
      <c r="O16" s="37"/>
    </row>
    <row r="17" spans="1:25" ht="20.100000000000001" customHeight="1" x14ac:dyDescent="0.25">
      <c r="A17" s="17" t="str">
        <f>HYPERLINK("#'4.5.1.7-8 Leaching and runoff'!A1", "4.5.1.7-8 Leaching and runoff")</f>
        <v>4.5.1.7-8 Leaching and runoff</v>
      </c>
    </row>
    <row r="18" spans="1:25" ht="20.100000000000001" customHeight="1" x14ac:dyDescent="0.25">
      <c r="A18" s="17" t="str">
        <f>HYPERLINK("#'4.5.1.9 Manure applied to soils'!A1", "4.5.1.9 Manure applied to soils")</f>
        <v>4.5.1.9 Manure applied to soils</v>
      </c>
      <c r="D18" s="92" t="s">
        <v>13</v>
      </c>
      <c r="E18" s="87"/>
      <c r="F18" s="87"/>
      <c r="G18" s="83"/>
    </row>
    <row r="19" spans="1:25" ht="20.100000000000001" customHeight="1" x14ac:dyDescent="0.25">
      <c r="A19"/>
      <c r="D19" s="89" t="s">
        <v>68</v>
      </c>
      <c r="E19" s="86"/>
      <c r="F19" s="86"/>
      <c r="G19" s="84"/>
      <c r="N19" s="39"/>
    </row>
    <row r="20" spans="1:25" ht="20.100000000000001" customHeight="1" x14ac:dyDescent="0.25">
      <c r="A20"/>
      <c r="D20" s="1"/>
      <c r="E20" s="30"/>
      <c r="F20" s="2"/>
      <c r="N20" s="40"/>
    </row>
    <row r="21" spans="1:25" ht="20.100000000000001" customHeight="1" x14ac:dyDescent="0.25">
      <c r="A21" s="145" t="s">
        <v>1</v>
      </c>
      <c r="D21" s="1" t="s">
        <v>5</v>
      </c>
      <c r="E21" s="38" t="s">
        <v>127</v>
      </c>
      <c r="F21" s="2" t="s">
        <v>8</v>
      </c>
    </row>
    <row r="22" spans="1:25" ht="20.100000000000001" customHeight="1" x14ac:dyDescent="0.25">
      <c r="A22" s="17" t="str">
        <f>HYPERLINK("#'Constants - Swine'!A1", "Constants - Swine")</f>
        <v>Constants - Swine</v>
      </c>
      <c r="D22" s="1" t="s">
        <v>22</v>
      </c>
      <c r="E22" s="38" t="s">
        <v>31</v>
      </c>
      <c r="F22" s="2" t="s">
        <v>8</v>
      </c>
      <c r="G22" s="1"/>
    </row>
    <row r="23" spans="1:25" ht="20.100000000000001" customHeight="1" x14ac:dyDescent="0.25">
      <c r="A23" s="17" t="str">
        <f>HYPERLINK("#'Constants - Common'!A1", "Constants - Common")</f>
        <v>Constants - Common</v>
      </c>
      <c r="D23" s="1" t="s">
        <v>6</v>
      </c>
      <c r="E23" s="38" t="s">
        <v>89</v>
      </c>
      <c r="F23" s="2" t="s">
        <v>8</v>
      </c>
    </row>
    <row r="24" spans="1:25" ht="20.100000000000001" customHeight="1" x14ac:dyDescent="0.25">
      <c r="A24" s="17" t="str">
        <f>HYPERLINK("#'Constants - Livestock'!A1", "Constants - Livestock")</f>
        <v>Constants - Livestock</v>
      </c>
      <c r="D24" s="1" t="s">
        <v>36</v>
      </c>
      <c r="E24" s="32">
        <v>307.7</v>
      </c>
      <c r="F24" s="2" t="s">
        <v>50</v>
      </c>
    </row>
    <row r="25" spans="1:25" ht="20.100000000000001" customHeight="1" x14ac:dyDescent="0.25">
      <c r="A25" s="17" t="str">
        <f>HYPERLINK("#'Acknowledgements'!A1", "Acknowledgements")</f>
        <v>Acknowledgements</v>
      </c>
      <c r="D25" s="1" t="s">
        <v>58</v>
      </c>
      <c r="E25" s="32">
        <v>18</v>
      </c>
      <c r="F25" s="2" t="s">
        <v>9</v>
      </c>
      <c r="N25" s="40"/>
    </row>
    <row r="26" spans="1:25" ht="20.100000000000001" customHeight="1" x14ac:dyDescent="0.25">
      <c r="A26" s="17" t="str">
        <f>HYPERLINK("#'Tab template'!A1", "Tab template")</f>
        <v>Tab template</v>
      </c>
      <c r="D26" s="1" t="s">
        <v>59</v>
      </c>
      <c r="E26" s="32">
        <v>601</v>
      </c>
      <c r="F26" s="2" t="s">
        <v>10</v>
      </c>
    </row>
    <row r="27" spans="1:25" ht="20.100000000000001" customHeight="1" x14ac:dyDescent="0.25">
      <c r="A27"/>
      <c r="D27" s="10" t="s">
        <v>60</v>
      </c>
      <c r="E27" s="32">
        <v>1326</v>
      </c>
      <c r="F27" s="2" t="s">
        <v>10</v>
      </c>
    </row>
    <row r="28" spans="1:25" ht="20.100000000000001" customHeight="1" x14ac:dyDescent="0.25">
      <c r="A28"/>
      <c r="D28" s="1" t="s">
        <v>61</v>
      </c>
      <c r="E28" s="32">
        <v>7</v>
      </c>
      <c r="F28" s="2" t="s">
        <v>51</v>
      </c>
    </row>
    <row r="29" spans="1:25" ht="20.100000000000001" customHeight="1" x14ac:dyDescent="0.25">
      <c r="A29"/>
      <c r="D29" s="10" t="s">
        <v>57</v>
      </c>
      <c r="E29" s="50">
        <f>X_Cell_Site_TotalRainfall/X_Cell_Site_PotentialEvapotranspiration</f>
        <v>0.45324283559577677</v>
      </c>
      <c r="F29" s="2"/>
    </row>
    <row r="30" spans="1:25" ht="20.100000000000001" customHeight="1" x14ac:dyDescent="0.25">
      <c r="A30"/>
      <c r="D30" s="10" t="s">
        <v>32</v>
      </c>
      <c r="E30" s="50" t="str">
        <f>Common_InputFunctions.Utility_LookupItemFromMinMax(X_Cell_Site_TotalRainfall,Table_SourceData_RainfallZones[Min rainfall],Table_SourceData_RainfallZones[Max rainfall],Table_SourceData_RainfallZones[Rainfall Zone])</f>
        <v>High rainfall</v>
      </c>
      <c r="G30" s="31"/>
      <c r="L30" s="47"/>
      <c r="M30" s="47"/>
      <c r="N30" s="47"/>
      <c r="O30" s="47"/>
      <c r="P30" s="47"/>
      <c r="Q30" s="47"/>
      <c r="R30" s="47"/>
      <c r="S30" s="47"/>
      <c r="T30" s="47"/>
      <c r="U30" s="47"/>
      <c r="V30" s="47"/>
      <c r="W30" s="47"/>
      <c r="X30" s="47"/>
      <c r="Y30" s="47"/>
    </row>
    <row r="31" spans="1:25" ht="20.100000000000001" customHeight="1" x14ac:dyDescent="0.25">
      <c r="A31"/>
      <c r="D31" s="1" t="s">
        <v>7</v>
      </c>
      <c r="E31" s="50"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5"/>
      <c r="M31" s="45"/>
      <c r="N31" s="45"/>
      <c r="O31" s="45"/>
      <c r="P31" s="45"/>
      <c r="Q31" s="45"/>
      <c r="R31" s="45"/>
      <c r="S31" s="45"/>
      <c r="T31" s="45"/>
      <c r="U31" s="45"/>
      <c r="V31" s="45"/>
      <c r="W31" s="45"/>
      <c r="X31" s="45"/>
      <c r="Y31" s="45"/>
    </row>
    <row r="32" spans="1:25" ht="20.100000000000001" customHeight="1" x14ac:dyDescent="0.25">
      <c r="A32"/>
      <c r="D32" s="1" t="s">
        <v>86</v>
      </c>
      <c r="E32" s="50" t="str">
        <f>Common_InputFunctions.Utility_LookupValueInTable(X_Cell_Site_ClimateZone,Table_SourceData_WetDryZones[Climate zone],Table_SourceData_WetDryZones[Wet or Dry Zone])</f>
        <v>Dry climate zone</v>
      </c>
      <c r="F32" s="1"/>
      <c r="G32" s="30"/>
      <c r="L32" s="45"/>
      <c r="M32" s="45"/>
      <c r="N32" s="45"/>
      <c r="O32" s="45"/>
      <c r="P32" s="45"/>
      <c r="Q32" s="45"/>
      <c r="R32" s="45"/>
      <c r="S32" s="45"/>
      <c r="T32" s="45"/>
      <c r="U32" s="45"/>
      <c r="V32" s="45"/>
      <c r="W32" s="45"/>
      <c r="X32" s="45"/>
      <c r="Y32" s="45"/>
    </row>
    <row r="33" spans="1:25" ht="20.100000000000001" customHeight="1" x14ac:dyDescent="0.25">
      <c r="A33"/>
      <c r="D33" s="1" t="s">
        <v>49</v>
      </c>
      <c r="E33" s="50" t="str">
        <f>Common_InputFunctions.Utility_LookupItemFromMinMax(X_Cell_Site_AverageTemperature,Table_SourceData_TemperatureZones[Min MAT],Table_SourceData_TemperatureZones[Max MAT],Table_SourceData_TemperatureZones[Temperature Zone])</f>
        <v>Temperate</v>
      </c>
      <c r="G33" s="67"/>
      <c r="L33" s="45"/>
      <c r="M33" s="45"/>
      <c r="N33" s="45"/>
      <c r="O33" s="45"/>
      <c r="P33" s="45"/>
      <c r="Q33" s="45"/>
      <c r="R33" s="45"/>
      <c r="S33" s="45"/>
      <c r="T33" s="45"/>
      <c r="U33" s="45"/>
      <c r="V33" s="45"/>
      <c r="W33" s="45"/>
      <c r="X33" s="45"/>
      <c r="Y33" s="45"/>
    </row>
    <row r="34" spans="1:25" ht="20.100000000000001" customHeight="1" x14ac:dyDescent="0.25">
      <c r="A34"/>
      <c r="J34" s="59"/>
      <c r="K34" s="70"/>
      <c r="L34" s="45"/>
      <c r="M34" s="45"/>
      <c r="N34" s="45"/>
      <c r="O34" s="45"/>
      <c r="P34" s="45"/>
      <c r="Q34" s="45"/>
      <c r="R34" s="45"/>
      <c r="S34" s="45"/>
      <c r="T34" s="45"/>
      <c r="U34" s="45"/>
      <c r="V34" s="45"/>
      <c r="W34" s="45"/>
      <c r="X34" s="45"/>
      <c r="Y34" s="45"/>
    </row>
    <row r="35" spans="1:25" ht="20.100000000000001" customHeight="1" x14ac:dyDescent="0.25">
      <c r="A35"/>
      <c r="J35" s="59"/>
      <c r="K35" s="70"/>
      <c r="L35" s="45"/>
      <c r="M35" s="45"/>
      <c r="N35" s="45"/>
      <c r="O35" s="45"/>
      <c r="P35" s="45"/>
      <c r="Q35" s="45"/>
      <c r="R35" s="45"/>
      <c r="S35" s="45"/>
      <c r="T35" s="45"/>
      <c r="U35" s="45"/>
      <c r="V35" s="45"/>
      <c r="W35" s="45"/>
      <c r="X35" s="45"/>
      <c r="Y35" s="45"/>
    </row>
    <row r="36" spans="1:25" ht="20.100000000000001" customHeight="1" x14ac:dyDescent="0.25">
      <c r="A36"/>
      <c r="D36" s="68"/>
      <c r="E36" s="68"/>
      <c r="F36" s="69"/>
      <c r="G36" s="59"/>
      <c r="H36" s="59"/>
      <c r="I36" s="60"/>
      <c r="J36" s="59"/>
      <c r="K36" s="70"/>
      <c r="L36" s="45"/>
      <c r="M36" s="45"/>
      <c r="N36" s="45"/>
      <c r="O36" s="45"/>
      <c r="P36" s="45"/>
      <c r="Q36" s="45"/>
      <c r="R36" s="45"/>
      <c r="S36" s="45"/>
      <c r="T36" s="45"/>
      <c r="U36" s="45"/>
      <c r="V36" s="45"/>
      <c r="W36" s="45"/>
      <c r="X36" s="45"/>
      <c r="Y36" s="45"/>
    </row>
    <row r="37" spans="1:25" ht="20.100000000000001" customHeight="1" x14ac:dyDescent="0.25">
      <c r="A37"/>
      <c r="D37" s="68"/>
      <c r="E37" s="68"/>
      <c r="F37" s="69"/>
      <c r="G37" s="59"/>
      <c r="H37" s="59"/>
      <c r="I37" s="60"/>
      <c r="J37" s="59"/>
      <c r="K37" s="70"/>
      <c r="L37" s="45"/>
      <c r="M37" s="45"/>
      <c r="N37" s="45"/>
      <c r="O37" s="45"/>
      <c r="P37" s="45"/>
      <c r="Q37" s="45"/>
      <c r="R37" s="45"/>
      <c r="S37" s="45"/>
      <c r="T37" s="45"/>
      <c r="U37" s="45"/>
      <c r="V37" s="45"/>
      <c r="W37" s="45"/>
      <c r="X37" s="45"/>
      <c r="Y37" s="45"/>
    </row>
    <row r="38" spans="1:25" ht="20.100000000000001" customHeight="1" x14ac:dyDescent="0.25">
      <c r="A38"/>
      <c r="D38" s="68"/>
      <c r="E38" s="68"/>
      <c r="F38" s="69"/>
      <c r="G38" s="59"/>
      <c r="H38" s="59"/>
      <c r="I38" s="60"/>
      <c r="J38" s="59"/>
      <c r="K38" s="70"/>
      <c r="L38" s="45"/>
      <c r="M38" s="45"/>
      <c r="N38" s="45"/>
      <c r="O38" s="45"/>
      <c r="P38" s="45"/>
      <c r="Q38" s="45"/>
      <c r="R38" s="45"/>
      <c r="S38" s="45"/>
      <c r="T38" s="45"/>
      <c r="U38" s="45"/>
      <c r="V38" s="45"/>
      <c r="W38" s="45"/>
      <c r="X38" s="45"/>
      <c r="Y38" s="45"/>
    </row>
    <row r="39" spans="1:25" ht="20.100000000000001" customHeight="1" x14ac:dyDescent="0.25">
      <c r="A39"/>
      <c r="D39" s="68"/>
      <c r="E39" s="68"/>
      <c r="F39" s="69"/>
      <c r="G39" s="59"/>
      <c r="H39" s="59"/>
      <c r="I39" s="60"/>
      <c r="J39" s="59"/>
      <c r="K39" s="70"/>
      <c r="L39" s="45"/>
      <c r="M39" s="45"/>
      <c r="N39" s="45"/>
      <c r="O39" s="45"/>
      <c r="P39" s="45"/>
      <c r="Q39" s="45"/>
      <c r="R39" s="45"/>
      <c r="S39" s="45"/>
      <c r="T39" s="45"/>
      <c r="U39" s="45"/>
      <c r="V39" s="45"/>
      <c r="W39" s="45"/>
      <c r="X39" s="45"/>
      <c r="Y39" s="45"/>
    </row>
    <row r="40" spans="1:25" ht="20.100000000000001" customHeight="1" x14ac:dyDescent="0.25">
      <c r="A40"/>
      <c r="D40" s="71"/>
      <c r="E40" s="71"/>
      <c r="F40" s="71"/>
      <c r="G40" s="72"/>
      <c r="H40" s="73"/>
      <c r="I40" s="73"/>
      <c r="J40" s="73"/>
      <c r="K40" s="73"/>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4"/>
      <c r="E47" s="74"/>
      <c r="F47" s="74"/>
      <c r="G47" s="74"/>
      <c r="H47" s="74"/>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5"/>
      <c r="E51" s="76"/>
      <c r="F51" s="76"/>
      <c r="G51" s="76"/>
      <c r="H51" s="77"/>
    </row>
    <row r="52" spans="1:8" ht="20.100000000000001" customHeight="1" x14ac:dyDescent="0.25">
      <c r="A52"/>
    </row>
    <row r="53" spans="1:8" ht="20.100000000000001" customHeight="1" x14ac:dyDescent="0.25">
      <c r="A53"/>
    </row>
    <row r="54" spans="1:8" ht="20.100000000000001" customHeight="1" x14ac:dyDescent="0.25">
      <c r="A54"/>
      <c r="D54" s="80"/>
      <c r="G54" s="78"/>
    </row>
    <row r="55" spans="1:8" ht="20.100000000000001" customHeight="1" x14ac:dyDescent="0.25">
      <c r="A55"/>
      <c r="D55" s="80"/>
    </row>
    <row r="56" spans="1:8" ht="20.100000000000001" customHeight="1" x14ac:dyDescent="0.25">
      <c r="A56"/>
      <c r="D56" s="80"/>
    </row>
    <row r="57" spans="1:8" ht="20.100000000000001" customHeight="1" x14ac:dyDescent="0.25">
      <c r="A57"/>
      <c r="D57" s="80"/>
      <c r="F57" s="79"/>
    </row>
    <row r="58" spans="1:8" ht="20.100000000000001" customHeight="1" x14ac:dyDescent="0.25">
      <c r="A58"/>
      <c r="D58" s="80"/>
      <c r="E58" s="80"/>
    </row>
    <row r="59" spans="1:8" ht="20.100000000000001" customHeight="1" x14ac:dyDescent="0.25">
      <c r="A59"/>
      <c r="D59" s="80"/>
      <c r="E59" s="80"/>
    </row>
    <row r="60" spans="1:8" ht="20.100000000000001" customHeight="1" x14ac:dyDescent="0.25">
      <c r="A60"/>
      <c r="D60" s="80"/>
      <c r="E60" s="81"/>
    </row>
    <row r="61" spans="1:8" ht="20.100000000000001" customHeight="1" x14ac:dyDescent="0.25">
      <c r="A61"/>
      <c r="D61" s="80"/>
    </row>
    <row r="62" spans="1:8" ht="20.100000000000001" customHeight="1" x14ac:dyDescent="0.25">
      <c r="A62"/>
      <c r="D62" s="80"/>
    </row>
    <row r="63" spans="1:8" ht="20.100000000000001" customHeight="1" x14ac:dyDescent="0.25">
      <c r="A63"/>
      <c r="D63" s="80"/>
    </row>
    <row r="64" spans="1:8" ht="20.100000000000001" customHeight="1" x14ac:dyDescent="0.25">
      <c r="A64"/>
      <c r="D64" s="80"/>
      <c r="E64" s="80"/>
    </row>
    <row r="65" spans="1:9" ht="20.100000000000001" customHeight="1" x14ac:dyDescent="0.25">
      <c r="A65"/>
      <c r="D65" s="80"/>
      <c r="E65" s="80"/>
    </row>
    <row r="66" spans="1:9" ht="20.100000000000001" customHeight="1" x14ac:dyDescent="0.25">
      <c r="A66"/>
      <c r="D66" s="80"/>
      <c r="E66" s="81"/>
    </row>
    <row r="67" spans="1:9" ht="20.100000000000001" customHeight="1" x14ac:dyDescent="0.25">
      <c r="A67"/>
    </row>
    <row r="68" spans="1:9" ht="20.100000000000001" customHeight="1" x14ac:dyDescent="0.25">
      <c r="A68"/>
    </row>
    <row r="69" spans="1:9" ht="20.100000000000001" customHeight="1" x14ac:dyDescent="0.25">
      <c r="A69"/>
      <c r="D69" s="58"/>
      <c r="E69" s="58"/>
      <c r="F69" s="58"/>
      <c r="G69" s="58"/>
      <c r="H69" s="58"/>
      <c r="I69" s="58"/>
    </row>
    <row r="70" spans="1:9" ht="20.100000000000001" customHeight="1" x14ac:dyDescent="0.25">
      <c r="A70"/>
      <c r="D70" s="58"/>
      <c r="E70" s="58"/>
      <c r="F70" s="58"/>
      <c r="G70" s="58"/>
      <c r="H70" s="58"/>
      <c r="I70" s="58"/>
    </row>
    <row r="71" spans="1:9" ht="20.100000000000001" customHeight="1" x14ac:dyDescent="0.25">
      <c r="A71"/>
      <c r="D71" s="58"/>
      <c r="E71" s="58"/>
      <c r="F71" s="58"/>
      <c r="G71" s="58"/>
      <c r="H71" s="58"/>
      <c r="I71" s="58"/>
    </row>
    <row r="72" spans="1:9" ht="20.100000000000001" customHeight="1" x14ac:dyDescent="0.25">
      <c r="A72"/>
      <c r="D72" s="58"/>
      <c r="E72" s="58"/>
      <c r="F72" s="58"/>
      <c r="G72" s="58"/>
      <c r="H72" s="58"/>
      <c r="I72" s="58"/>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2"/>
    </row>
    <row r="79" spans="1:9" ht="20.100000000000001" customHeight="1" x14ac:dyDescent="0.25">
      <c r="A79"/>
      <c r="D79" s="82"/>
    </row>
    <row r="80" spans="1:9" ht="20.100000000000001" customHeight="1" x14ac:dyDescent="0.25">
      <c r="A80"/>
      <c r="D80" s="82"/>
    </row>
    <row r="81" spans="1:4" ht="20.100000000000001" customHeight="1" x14ac:dyDescent="0.25">
      <c r="A81"/>
      <c r="D81" s="82"/>
    </row>
    <row r="82" spans="1:4" ht="20.100000000000001" customHeight="1" x14ac:dyDescent="0.25">
      <c r="A82"/>
      <c r="D82" s="8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W356"/>
  <sheetViews>
    <sheetView showGridLines="0" topLeftCell="A77" zoomScaleNormal="100" workbookViewId="0">
      <selection activeCell="E103" sqref="E103"/>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6.28515625" style="1" customWidth="1"/>
    <col min="11" max="12" width="30.7109375" style="1" customWidth="1"/>
    <col min="13" max="13" width="27.140625" style="1" customWidth="1"/>
    <col min="14" max="14" width="4.7109375" style="1" customWidth="1"/>
    <col min="15" max="16" width="4.7109375" style="54" customWidth="1"/>
    <col min="17" max="22" width="30.7109375" style="54" customWidth="1"/>
    <col min="23" max="23" width="4.7109375" style="54" customWidth="1"/>
  </cols>
  <sheetData>
    <row r="1" spans="1:23" s="64" customFormat="1" ht="30" customHeight="1" x14ac:dyDescent="0.35">
      <c r="A1" s="64" t="e" vm="1">
        <v>#VALUE!</v>
      </c>
      <c r="C1" s="64" t="s">
        <v>132</v>
      </c>
      <c r="O1" s="54"/>
      <c r="P1" s="54"/>
      <c r="Q1" s="54"/>
      <c r="R1" s="54"/>
      <c r="S1" s="54"/>
      <c r="T1" s="54"/>
      <c r="U1" s="54"/>
      <c r="V1" s="54"/>
      <c r="W1" s="54"/>
    </row>
    <row r="2" spans="1:23" s="9" customFormat="1" ht="20.100000000000001" customHeight="1" x14ac:dyDescent="0.25">
      <c r="A2"/>
      <c r="O2" s="54"/>
      <c r="P2" s="54"/>
      <c r="Q2" s="54"/>
      <c r="R2" s="54"/>
      <c r="S2" s="54"/>
      <c r="T2" s="54"/>
      <c r="U2" s="54"/>
      <c r="V2" s="54"/>
      <c r="W2" s="54"/>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2" t="s">
        <v>175</v>
      </c>
      <c r="E5" s="87"/>
      <c r="F5" s="87"/>
      <c r="G5" s="87"/>
      <c r="H5" s="83"/>
      <c r="N5" s="3"/>
      <c r="R5" s="7"/>
    </row>
    <row r="6" spans="1:23" ht="20.100000000000001" customHeight="1" x14ac:dyDescent="0.25">
      <c r="D6" s="89" t="s">
        <v>176</v>
      </c>
      <c r="E6" s="86"/>
      <c r="F6" s="86"/>
      <c r="G6" s="84"/>
      <c r="H6" s="113"/>
      <c r="N6" s="3"/>
      <c r="R6" s="7"/>
    </row>
    <row r="7" spans="1:23" ht="20.100000000000001" customHeight="1" x14ac:dyDescent="0.25">
      <c r="N7" s="3"/>
      <c r="R7" s="7"/>
    </row>
    <row r="8" spans="1:23" ht="20.100000000000001" customHeight="1" x14ac:dyDescent="0.25">
      <c r="A8" s="19" t="s">
        <v>0</v>
      </c>
      <c r="N8" s="3"/>
      <c r="R8" s="7"/>
    </row>
    <row r="9" spans="1:23" ht="20.100000000000001" customHeight="1" x14ac:dyDescent="0.25">
      <c r="A9" s="17" t="str">
        <f>HYPERLINK("#'Input - Site'!A1", "Site")</f>
        <v>Site</v>
      </c>
      <c r="E9" s="114" t="s">
        <v>135</v>
      </c>
      <c r="F9" s="114" t="s">
        <v>136</v>
      </c>
      <c r="G9" s="114" t="s">
        <v>137</v>
      </c>
      <c r="H9" s="114" t="s">
        <v>195</v>
      </c>
      <c r="R9" s="7"/>
    </row>
    <row r="10" spans="1:23" ht="20.100000000000001" customHeight="1" x14ac:dyDescent="0.25">
      <c r="A10" s="146" t="str">
        <f>HYPERLINK("#'Input - Swine'!A1", "Swine")</f>
        <v>Swine</v>
      </c>
      <c r="D10" s="46" t="str">
        <f>"Average duration of stay between " &amp; TEXT(X_Cell_Site_StartDate, "dd mmm yy") &amp; " and " &amp; TEXT('Input - Site'!$E$13, "dd mmm yy")</f>
        <v>Average duration of stay between 01 Jan 24 and 31 Dec 24</v>
      </c>
      <c r="E10" s="63">
        <v>365</v>
      </c>
      <c r="F10" s="63">
        <v>365</v>
      </c>
      <c r="G10" s="63">
        <v>365</v>
      </c>
      <c r="H10" s="63">
        <v>365</v>
      </c>
      <c r="I10" s="2" t="s">
        <v>51</v>
      </c>
      <c r="J10" s="2"/>
      <c r="R10" s="7"/>
    </row>
    <row r="11" spans="1:23" ht="20.100000000000001" customHeight="1" x14ac:dyDescent="0.25">
      <c r="D11" s="46" t="str">
        <f>"Average number of head between " &amp; TEXT(X_Cell_Site_StartDate, "dd mmm yy") &amp; " and " &amp; TEXT('Input - Site'!$E$13, "dd mmm yy")</f>
        <v>Average number of head between 01 Jan 24 and 31 Dec 24</v>
      </c>
      <c r="E11" s="63">
        <v>100</v>
      </c>
      <c r="F11" s="63">
        <v>100</v>
      </c>
      <c r="G11" s="63">
        <v>100</v>
      </c>
      <c r="H11" s="63">
        <v>100</v>
      </c>
      <c r="I11" s="2" t="s">
        <v>93</v>
      </c>
      <c r="J11" s="2"/>
      <c r="R11" s="7"/>
    </row>
    <row r="12" spans="1:23" ht="20.100000000000001" customHeight="1" x14ac:dyDescent="0.25">
      <c r="R12" s="7"/>
    </row>
    <row r="13" spans="1:23" ht="20.100000000000001" customHeight="1" x14ac:dyDescent="0.25">
      <c r="A13" s="18" t="s">
        <v>71</v>
      </c>
      <c r="D13" s="6" t="s">
        <v>134</v>
      </c>
      <c r="R13" s="37"/>
    </row>
    <row r="14" spans="1:23" ht="20.100000000000001" customHeight="1" x14ac:dyDescent="0.25">
      <c r="A14" s="17" t="str">
        <f>HYPERLINK("#'4.5.1.1-2 Methane'!A1", "4.5.1.1-2 Methane")</f>
        <v>4.5.1.1-2 Methane</v>
      </c>
      <c r="R14" s="37"/>
    </row>
    <row r="15" spans="1:23" ht="20.100000000000001" customHeight="1" x14ac:dyDescent="0.25">
      <c r="A15" s="17" t="str">
        <f>HYPERLINK("#'4.5.1.3-4 Direct N2O'!A1", "4.5.1.3-4 Direct N2O")</f>
        <v>4.5.1.3-4 Direct N2O</v>
      </c>
      <c r="D15" s="61" t="s">
        <v>192</v>
      </c>
      <c r="E15" s="114" t="s">
        <v>135</v>
      </c>
      <c r="F15" s="114" t="s">
        <v>136</v>
      </c>
      <c r="G15" s="114" t="s">
        <v>137</v>
      </c>
      <c r="H15" s="114" t="s">
        <v>195</v>
      </c>
      <c r="R15" s="37"/>
    </row>
    <row r="16" spans="1:23" ht="20.100000000000001" customHeight="1" x14ac:dyDescent="0.25">
      <c r="A16" s="17" t="str">
        <f>HYPERLINK("#'4.5.1.5-6 Atmos Dep'!A1", "4.5.1.5-6 Atmos Dep")</f>
        <v>4.5.1.5-6 Atmos Dep</v>
      </c>
      <c r="D16" s="1" t="s">
        <v>138</v>
      </c>
      <c r="E16" s="50" cm="1">
        <f t="array" ref="E16">Common_InputFunctions.Utility_LookupValueInTableNumber(E15, Table_SourceData_Swine_VolatileSolids[Class], Table_SourceData_Swine_VolatileSolids[VSj])</f>
        <v>0.4</v>
      </c>
      <c r="F16" s="50" cm="1">
        <f t="array" ref="F16">Common_InputFunctions.Utility_LookupValueInTableNumber(F15, Table_SourceData_Swine_VolatileSolids[Class], Table_SourceData_Swine_VolatileSolids[VSj])</f>
        <v>0.46</v>
      </c>
      <c r="G16" s="50" cm="1">
        <f t="array" ref="G16">Common_InputFunctions.Utility_LookupValueInTableNumber(G15, Table_SourceData_Swine_VolatileSolids[Class], Table_SourceData_Swine_VolatileSolids[VSj])</f>
        <v>0.55000000000000004</v>
      </c>
      <c r="H16" s="50" cm="1">
        <f t="array" ref="H16">Common_InputFunctions.Utility_LookupValueInTableNumber(H15, Table_SourceData_Swine_VolatileSolids[Class], Table_SourceData_Swine_VolatileSolids[VSj])</f>
        <v>0.39</v>
      </c>
      <c r="I16" s="2" t="s">
        <v>114</v>
      </c>
      <c r="J16" s="2"/>
      <c r="R16" s="37"/>
    </row>
    <row r="17" spans="1:18" ht="20.100000000000001" customHeight="1" x14ac:dyDescent="0.25">
      <c r="A17" s="17" t="str">
        <f>HYPERLINK("#'4.5.1.7-8 Leaching and runoff'!A1", "4.5.1.7-8 Leaching and runoff")</f>
        <v>4.5.1.7-8 Leaching and runoff</v>
      </c>
      <c r="D17" s="1" t="s">
        <v>139</v>
      </c>
      <c r="E17" s="50" cm="1">
        <f t="array" ref="E17">Common_InputFunctions.Utility_LookupValueInTableNumber(E15, Table_SourceData_Swine_NitrogenInWaste[Class name], Table_SourceData_Swine_NitrogenInWaste[NWj Daily])</f>
        <v>4.5999999999999999E-2</v>
      </c>
      <c r="F17" s="50" cm="1">
        <f t="array" ref="F17">Common_InputFunctions.Utility_LookupValueInTableNumber(F15, Table_SourceData_Swine_NitrogenInWaste[Class name], Table_SourceData_Swine_NitrogenInWaste[NWj Daily])</f>
        <v>4.9000000000000002E-2</v>
      </c>
      <c r="G17" s="50" cm="1">
        <f t="array" ref="G17">Common_InputFunctions.Utility_LookupValueInTableNumber(G15, Table_SourceData_Swine_NitrogenInWaste[Class name], Table_SourceData_Swine_NitrogenInWaste[NWj Daily])</f>
        <v>4.5999999999999999E-2</v>
      </c>
      <c r="H17" s="50" cm="1">
        <f t="array" ref="H17">Common_InputFunctions.Utility_LookupValueInTableNumber(H15, Table_SourceData_Swine_NitrogenInWaste[Class name], Table_SourceData_Swine_NitrogenInWaste[NWj Daily])</f>
        <v>3.1199999999999999E-2</v>
      </c>
      <c r="I17" s="2" t="s">
        <v>140</v>
      </c>
      <c r="J17" s="2"/>
      <c r="R17" s="7"/>
    </row>
    <row r="18" spans="1:18" ht="20.100000000000001" customHeight="1" x14ac:dyDescent="0.25">
      <c r="A18" s="17" t="str">
        <f>HYPERLINK("#'4.5.1.9 Manure applied to soils'!A1", "4.5.1.9 Manure applied to soils")</f>
        <v>4.5.1.9 Manure applied to soils</v>
      </c>
      <c r="K18" s="2"/>
      <c r="R18" s="7"/>
    </row>
    <row r="19" spans="1:18" ht="20.100000000000001" customHeight="1" x14ac:dyDescent="0.25">
      <c r="D19" s="61" t="s">
        <v>193</v>
      </c>
      <c r="E19" s="114" t="s">
        <v>135</v>
      </c>
      <c r="F19" s="114" t="s">
        <v>136</v>
      </c>
      <c r="G19" s="114" t="s">
        <v>137</v>
      </c>
      <c r="H19" s="114" t="s">
        <v>195</v>
      </c>
      <c r="R19" s="7"/>
    </row>
    <row r="20" spans="1:18" ht="20.100000000000001" customHeight="1" x14ac:dyDescent="0.25">
      <c r="D20" s="1" t="s">
        <v>138</v>
      </c>
      <c r="E20" s="63" cm="1">
        <f t="array" ref="E20">Common_InputFunctions.Utility_LookupValueInTableNumber(E19, Table_SourceData_Swine_VolatileSolids[Class], Table_SourceData_Swine_VolatileSolids[VSj])</f>
        <v>0.4</v>
      </c>
      <c r="F20" s="63" cm="1">
        <f t="array" ref="F20">Common_InputFunctions.Utility_LookupValueInTableNumber(F19, Table_SourceData_Swine_VolatileSolids[Class], Table_SourceData_Swine_VolatileSolids[VSj])</f>
        <v>0.46</v>
      </c>
      <c r="G20" s="63" cm="1">
        <f t="array" ref="G20">Common_InputFunctions.Utility_LookupValueInTableNumber(G19, Table_SourceData_Swine_VolatileSolids[Class], Table_SourceData_Swine_VolatileSolids[VSj])</f>
        <v>0.55000000000000004</v>
      </c>
      <c r="H20" s="63" cm="1">
        <f t="array" ref="H20">Common_InputFunctions.Utility_LookupValueInTableNumber(H19, Table_SourceData_Swine_VolatileSolids[Class], Table_SourceData_Swine_VolatileSolids[VSj])</f>
        <v>0.39</v>
      </c>
      <c r="I20" s="2" t="s">
        <v>114</v>
      </c>
      <c r="J20" s="2"/>
      <c r="R20" s="7"/>
    </row>
    <row r="21" spans="1:18" ht="20.100000000000001" customHeight="1" x14ac:dyDescent="0.25">
      <c r="A21" s="145" t="s">
        <v>1</v>
      </c>
      <c r="D21" s="1" t="s">
        <v>139</v>
      </c>
      <c r="E21" s="63" cm="1">
        <f t="array" ref="E21">Common_InputFunctions.Utility_LookupValueInTableNumber(E19, Table_SourceData_Swine_NitrogenInWaste[Class name], Table_SourceData_Swine_NitrogenInWaste[NWj Daily])</f>
        <v>4.5999999999999999E-2</v>
      </c>
      <c r="F21" s="63" cm="1">
        <f t="array" ref="F21">Common_InputFunctions.Utility_LookupValueInTableNumber(F19, Table_SourceData_Swine_NitrogenInWaste[Class name], Table_SourceData_Swine_NitrogenInWaste[NWj Daily])</f>
        <v>4.9000000000000002E-2</v>
      </c>
      <c r="G21" s="63" cm="1">
        <f t="array" ref="G21">Common_InputFunctions.Utility_LookupValueInTableNumber(G19, Table_SourceData_Swine_NitrogenInWaste[Class name], Table_SourceData_Swine_NitrogenInWaste[NWj Daily])</f>
        <v>4.5999999999999999E-2</v>
      </c>
      <c r="H21" s="63" cm="1">
        <f t="array" ref="H21">Common_InputFunctions.Utility_LookupValueInTableNumber(H19, Table_SourceData_Swine_NitrogenInWaste[Class name], Table_SourceData_Swine_NitrogenInWaste[NWj Daily])</f>
        <v>3.1199999999999999E-2</v>
      </c>
      <c r="I21" s="2" t="s">
        <v>140</v>
      </c>
      <c r="J21" s="2"/>
      <c r="R21" s="7"/>
    </row>
    <row r="22" spans="1:18" ht="20.100000000000001" customHeight="1" x14ac:dyDescent="0.25">
      <c r="A22" s="17" t="str">
        <f>HYPERLINK("#'Constants - Swine'!A1", "Constants - Swine")</f>
        <v>Constants - Swine</v>
      </c>
      <c r="R22" s="7"/>
    </row>
    <row r="23" spans="1:18" ht="20.100000000000001" customHeight="1" x14ac:dyDescent="0.25">
      <c r="A23" s="17" t="str">
        <f>HYPERLINK("#'Constants - Common'!A1", "Constants - Common")</f>
        <v>Constants - Common</v>
      </c>
      <c r="R23" s="7"/>
    </row>
    <row r="24" spans="1:18" ht="20.100000000000001" customHeight="1" x14ac:dyDescent="0.25">
      <c r="A24" s="17" t="str">
        <f>HYPERLINK("#'Constants - Livestock'!A1", "Constants - Livestock")</f>
        <v>Constants - Livestock</v>
      </c>
      <c r="D24" s="6" t="s">
        <v>171</v>
      </c>
      <c r="R24" s="7"/>
    </row>
    <row r="25" spans="1:18" ht="20.100000000000001" customHeight="1" x14ac:dyDescent="0.25">
      <c r="A25" s="17" t="str">
        <f>HYPERLINK("#'Acknowledgements'!A1", "Acknowledgements")</f>
        <v>Acknowledgements</v>
      </c>
      <c r="R25" s="7"/>
    </row>
    <row r="26" spans="1:18" ht="20.100000000000001" customHeight="1" x14ac:dyDescent="0.25">
      <c r="A26" s="17" t="str">
        <f>HYPERLINK("#'Tab template'!A1", "Tab template")</f>
        <v>Tab template</v>
      </c>
      <c r="D26" s="1" t="s">
        <v>103</v>
      </c>
      <c r="E26" s="38" t="s">
        <v>336</v>
      </c>
      <c r="F26" s="2" t="s">
        <v>8</v>
      </c>
      <c r="R26" s="7"/>
    </row>
    <row r="27" spans="1:18" ht="20.100000000000001" customHeight="1" x14ac:dyDescent="0.25">
      <c r="E27" s="102" t="str">
        <f>IF(X_Cell_Swine_ProductionSystem="Outdoor/free range", "In an outdoor/free range system the only likely stage 1 MMS is 'Drylot (feed pad)'", "")</f>
        <v>In an outdoor/free range system the only likely stage 1 MMS is 'Drylot (feed pad)'</v>
      </c>
      <c r="R27" s="7"/>
    </row>
    <row r="28" spans="1:18" ht="20.100000000000001" customHeight="1" x14ac:dyDescent="0.25">
      <c r="D28" s="61" t="s">
        <v>172</v>
      </c>
      <c r="E28" s="114" t="s">
        <v>135</v>
      </c>
      <c r="F28" s="114" t="s">
        <v>136</v>
      </c>
      <c r="G28" s="114" t="s">
        <v>137</v>
      </c>
      <c r="H28" s="114" t="s">
        <v>195</v>
      </c>
      <c r="R28" s="7"/>
    </row>
    <row r="29" spans="1:18" ht="20.100000000000001" customHeight="1" x14ac:dyDescent="0.25">
      <c r="R29" s="7"/>
    </row>
    <row r="30" spans="1:18" ht="20.100000000000001" customHeight="1" x14ac:dyDescent="0.25">
      <c r="D30" s="51" t="str">
        <f>'Constants - Swine'!$G$41</f>
        <v>Anaerobic lagoon</v>
      </c>
      <c r="E30" s="44">
        <v>0.15</v>
      </c>
      <c r="F30" s="44">
        <v>0.15</v>
      </c>
      <c r="G30" s="44">
        <v>0.15</v>
      </c>
      <c r="H30" s="44">
        <v>0.15</v>
      </c>
      <c r="I30" s="2" t="s">
        <v>15</v>
      </c>
      <c r="J30" s="2"/>
      <c r="R30" s="7"/>
    </row>
    <row r="31" spans="1:18" ht="20.100000000000001" customHeight="1" x14ac:dyDescent="0.25">
      <c r="D31" s="120" t="str">
        <f>"Were solids separated from " &amp; $D$30 &amp; "?"</f>
        <v>Were solids separated from Anaerobic lagoon?</v>
      </c>
      <c r="E31" s="38" t="s">
        <v>141</v>
      </c>
      <c r="R31" s="7"/>
    </row>
    <row r="32" spans="1:18" ht="20.100000000000001" customHeight="1" x14ac:dyDescent="0.25">
      <c r="D32" s="120" t="str">
        <f>"Percent solids separated from " &amp; D30 &amp; " (Method 1)"</f>
        <v>Percent solids separated from Anaerobic lagoon (Method 1)</v>
      </c>
      <c r="E32" s="93">
        <v>0.2</v>
      </c>
      <c r="R32" s="7"/>
    </row>
    <row r="33" spans="4:18" ht="20.100000000000001" customHeight="1" x14ac:dyDescent="0.25">
      <c r="D33" s="120" t="str">
        <f>"Percent solids separated from " &amp; D30 &amp; " (Method 2)"</f>
        <v>Percent solids separated from Anaerobic lagoon (Method 2)</v>
      </c>
      <c r="E33" s="44">
        <v>0.2</v>
      </c>
      <c r="R33" s="7"/>
    </row>
    <row r="34" spans="4:18" ht="20.100000000000001" customHeight="1" x14ac:dyDescent="0.25">
      <c r="R34" s="7"/>
    </row>
    <row r="35" spans="4:18" ht="20.100000000000001" customHeight="1" x14ac:dyDescent="0.25">
      <c r="D35" s="51" t="str">
        <f>'Constants - Swine'!$G$42</f>
        <v>Drylot (feed pad)</v>
      </c>
      <c r="E35" s="44">
        <v>0.15</v>
      </c>
      <c r="F35" s="44">
        <v>0.15</v>
      </c>
      <c r="G35" s="44">
        <v>0.15</v>
      </c>
      <c r="H35" s="44">
        <v>0.15</v>
      </c>
      <c r="I35" s="2" t="s">
        <v>15</v>
      </c>
      <c r="J35" s="2"/>
      <c r="R35" s="7"/>
    </row>
    <row r="36" spans="4:18" ht="20.100000000000001" customHeight="1" x14ac:dyDescent="0.25">
      <c r="D36" s="120" t="str">
        <f>"Were solids separated from " &amp; $D$35 &amp; "?"</f>
        <v>Were solids separated from Drylot (feed pad)?</v>
      </c>
      <c r="E36" s="38" t="s">
        <v>141</v>
      </c>
      <c r="R36" s="7"/>
    </row>
    <row r="37" spans="4:18" ht="20.100000000000001" customHeight="1" x14ac:dyDescent="0.25">
      <c r="D37" s="120" t="str">
        <f>"Percent solids separated from " &amp; D35 &amp; " (Method 1)"</f>
        <v>Percent solids separated from Drylot (feed pad) (Method 1)</v>
      </c>
      <c r="E37" s="93">
        <v>0.2</v>
      </c>
      <c r="R37" s="7"/>
    </row>
    <row r="38" spans="4:18" ht="20.100000000000001" customHeight="1" x14ac:dyDescent="0.25">
      <c r="D38" s="120" t="str">
        <f>"Percent solids separated from " &amp; D35 &amp; " (Method 2)"</f>
        <v>Percent solids separated from Drylot (feed pad) (Method 2)</v>
      </c>
      <c r="E38" s="44">
        <v>0.2</v>
      </c>
      <c r="R38" s="7"/>
    </row>
    <row r="39" spans="4:18" ht="20.100000000000001" customHeight="1" x14ac:dyDescent="0.25">
      <c r="R39" s="7"/>
    </row>
    <row r="40" spans="4:18" ht="20.100000000000001" customHeight="1" x14ac:dyDescent="0.25">
      <c r="R40" s="7"/>
    </row>
    <row r="41" spans="4:18" ht="20.100000000000001" customHeight="1" x14ac:dyDescent="0.25">
      <c r="D41" s="51" t="str">
        <f>'Constants - Swine'!$G$43</f>
        <v>Digester / covered lagoons</v>
      </c>
      <c r="E41" s="44">
        <v>0.15</v>
      </c>
      <c r="F41" s="44">
        <v>0.15</v>
      </c>
      <c r="G41" s="44">
        <v>0.15</v>
      </c>
      <c r="H41" s="44">
        <v>0.15</v>
      </c>
      <c r="I41" s="2" t="s">
        <v>15</v>
      </c>
      <c r="J41" s="2"/>
      <c r="R41" s="7"/>
    </row>
    <row r="42" spans="4:18" ht="20.100000000000001" customHeight="1" x14ac:dyDescent="0.25">
      <c r="D42" s="120" t="str">
        <f>"Were solids separated from " &amp; $D$41 &amp; "?"</f>
        <v>Were solids separated from Digester / covered lagoons?</v>
      </c>
      <c r="E42" s="38" t="s">
        <v>141</v>
      </c>
      <c r="R42" s="7"/>
    </row>
    <row r="43" spans="4:18" ht="20.100000000000001" customHeight="1" x14ac:dyDescent="0.25">
      <c r="D43" s="120" t="str">
        <f>"Percent solids separated from " &amp; D41 &amp; " (Method 1)"</f>
        <v>Percent solids separated from Digester / covered lagoons (Method 1)</v>
      </c>
      <c r="E43" s="93">
        <v>0.2</v>
      </c>
      <c r="R43" s="7"/>
    </row>
    <row r="44" spans="4:18" ht="20.100000000000001" customHeight="1" x14ac:dyDescent="0.25">
      <c r="D44" s="120" t="str">
        <f>"Percent solids separated from " &amp; D41 &amp; " (Method 2)"</f>
        <v>Percent solids separated from Digester / covered lagoons (Method 2)</v>
      </c>
      <c r="E44" s="44">
        <v>0.2</v>
      </c>
      <c r="R44" s="7"/>
    </row>
    <row r="45" spans="4:18" ht="20.100000000000001" customHeight="1" x14ac:dyDescent="0.25">
      <c r="R45" s="7"/>
    </row>
    <row r="46" spans="4:18" ht="20.100000000000001" customHeight="1" x14ac:dyDescent="0.25">
      <c r="R46" s="7"/>
    </row>
    <row r="47" spans="4:18" ht="20.100000000000001" customHeight="1" x14ac:dyDescent="0.25">
      <c r="D47" s="51" t="str">
        <f>'Constants - Swine'!$G$44</f>
        <v>Deep litter</v>
      </c>
      <c r="E47" s="44">
        <v>0.15</v>
      </c>
      <c r="F47" s="44">
        <v>0.15</v>
      </c>
      <c r="G47" s="44">
        <v>0.15</v>
      </c>
      <c r="H47" s="44">
        <v>0.15</v>
      </c>
      <c r="I47" s="2" t="s">
        <v>15</v>
      </c>
      <c r="J47" s="2"/>
      <c r="R47" s="7"/>
    </row>
    <row r="48" spans="4:18" ht="20.100000000000001" customHeight="1" x14ac:dyDescent="0.25">
      <c r="D48" s="120" t="str">
        <f>"Were solids separated from " &amp; $D$47 &amp; "?"</f>
        <v>Were solids separated from Deep litter?</v>
      </c>
      <c r="E48" s="38" t="s">
        <v>141</v>
      </c>
      <c r="R48" s="7"/>
    </row>
    <row r="49" spans="4:18" ht="20.100000000000001" customHeight="1" x14ac:dyDescent="0.25">
      <c r="D49" s="120" t="str">
        <f>"Percent solids separated from " &amp; D47 &amp; " (Method 1)"</f>
        <v>Percent solids separated from Deep litter (Method 1)</v>
      </c>
      <c r="E49" s="93">
        <v>0.2</v>
      </c>
      <c r="R49" s="7"/>
    </row>
    <row r="50" spans="4:18" ht="20.100000000000001" customHeight="1" x14ac:dyDescent="0.25">
      <c r="D50" s="120" t="str">
        <f>"Percent solids separated from " &amp; D47 &amp; " (Method 2)"</f>
        <v>Percent solids separated from Deep litter (Method 2)</v>
      </c>
      <c r="E50" s="44">
        <v>0.2</v>
      </c>
      <c r="R50" s="7"/>
    </row>
    <row r="51" spans="4:18" ht="20.100000000000001" customHeight="1" x14ac:dyDescent="0.25">
      <c r="R51" s="7"/>
    </row>
    <row r="52" spans="4:18" ht="20.100000000000001" customHeight="1" x14ac:dyDescent="0.25">
      <c r="R52" s="7"/>
    </row>
    <row r="53" spans="4:18" ht="20.100000000000001" customHeight="1" x14ac:dyDescent="0.25">
      <c r="D53" s="51" t="str">
        <f>'Constants - Swine'!$G$45</f>
        <v>Pit storage</v>
      </c>
      <c r="E53" s="44">
        <v>0.15</v>
      </c>
      <c r="F53" s="44">
        <v>0.15</v>
      </c>
      <c r="G53" s="44">
        <v>0.15</v>
      </c>
      <c r="H53" s="44">
        <v>0.15</v>
      </c>
      <c r="I53" s="2" t="s">
        <v>15</v>
      </c>
      <c r="J53" s="2"/>
      <c r="R53" s="7"/>
    </row>
    <row r="54" spans="4:18" ht="20.100000000000001" customHeight="1" x14ac:dyDescent="0.25">
      <c r="D54" s="120" t="str">
        <f>"Were solids separated from " &amp; $D$53 &amp; "?"</f>
        <v>Were solids separated from Pit storage?</v>
      </c>
      <c r="E54" s="38" t="s">
        <v>141</v>
      </c>
      <c r="R54" s="7"/>
    </row>
    <row r="55" spans="4:18" ht="20.100000000000001" customHeight="1" x14ac:dyDescent="0.25">
      <c r="D55" s="120" t="str">
        <f>"Percent solids separated from " &amp; D53 &amp; " (Method 1)"</f>
        <v>Percent solids separated from Pit storage (Method 1)</v>
      </c>
      <c r="E55" s="93">
        <v>0.2</v>
      </c>
      <c r="R55" s="7"/>
    </row>
    <row r="56" spans="4:18" ht="20.100000000000001" customHeight="1" x14ac:dyDescent="0.25">
      <c r="D56" s="120" t="str">
        <f>"Percent solids separated from " &amp; D53 &amp; " (Method 2)"</f>
        <v>Percent solids separated from Pit storage (Method 2)</v>
      </c>
      <c r="E56" s="44">
        <v>0.2</v>
      </c>
      <c r="R56" s="7"/>
    </row>
    <row r="57" spans="4:18" ht="20.100000000000001" customHeight="1" x14ac:dyDescent="0.25">
      <c r="R57" s="7"/>
    </row>
    <row r="58" spans="4:18" ht="20.100000000000001" customHeight="1" x14ac:dyDescent="0.25">
      <c r="D58" s="51" t="str">
        <f>'Constants - Swine'!$D$42 &amp; " (before solid separation)"</f>
        <v>Solid storage (before solid separation)</v>
      </c>
      <c r="E58" s="44">
        <v>0.25</v>
      </c>
      <c r="F58" s="44">
        <v>0.25</v>
      </c>
      <c r="G58" s="44">
        <v>0.25</v>
      </c>
      <c r="H58" s="44">
        <v>0.25</v>
      </c>
      <c r="I58" s="2" t="s">
        <v>15</v>
      </c>
      <c r="J58" s="2"/>
      <c r="R58" s="7"/>
    </row>
    <row r="59" spans="4:18" ht="20.100000000000001" customHeight="1" x14ac:dyDescent="0.25">
      <c r="D59" s="1" t="s">
        <v>360</v>
      </c>
      <c r="E59" s="93">
        <f>E58+(E30*X_Cell_Swine_Stage1MMS_AnaerobicLagoon_AmountSeparated_Method1)+(E35*X_Cell_Swine_Stage1MMS_Drylot_AmountSeparated_Method1)+(E41*X_Cell_Swine_Stage1MMS_DigesterCoveredLagoons_AmountSeparated_Method1)+(E47*X_Cell_Swine_Stage1MMS_DeepLitter_AmountSeparated_Method1)+(E53*X_Cell_Swine_Stage1MMS_PitStorage_AmountSeparated_Method1)</f>
        <v>0.40000000000000013</v>
      </c>
      <c r="F59" s="93">
        <f>F58+(F30*X_Cell_Swine_Stage1MMS_AnaerobicLagoon_AmountSeparated_Method1)+(F35*X_Cell_Swine_Stage1MMS_Drylot_AmountSeparated_Method1)+(F41*X_Cell_Swine_Stage1MMS_DigesterCoveredLagoons_AmountSeparated_Method1)+(F47*X_Cell_Swine_Stage1MMS_DeepLitter_AmountSeparated_Method1)+(F53*X_Cell_Swine_Stage1MMS_PitStorage_AmountSeparated_Method1)</f>
        <v>0.40000000000000013</v>
      </c>
      <c r="G59" s="93">
        <f>G58+(G30*X_Cell_Swine_Stage1MMS_AnaerobicLagoon_AmountSeparated_Method1)+(G35*X_Cell_Swine_Stage1MMS_Drylot_AmountSeparated_Method1)+(G41*X_Cell_Swine_Stage1MMS_DigesterCoveredLagoons_AmountSeparated_Method1)+(G47*X_Cell_Swine_Stage1MMS_DeepLitter_AmountSeparated_Method1)+(G53*X_Cell_Swine_Stage1MMS_PitStorage_AmountSeparated_Method1)</f>
        <v>0.40000000000000013</v>
      </c>
      <c r="H59" s="93">
        <f>H58+(H30*X_Cell_Swine_Stage1MMS_AnaerobicLagoon_AmountSeparated_Method1)+(H35*X_Cell_Swine_Stage1MMS_Drylot_AmountSeparated_Method1)+(H41*X_Cell_Swine_Stage1MMS_DigesterCoveredLagoons_AmountSeparated_Method1)+(H47*X_Cell_Swine_Stage1MMS_DeepLitter_AmountSeparated_Method1)+(H53*X_Cell_Swine_Stage1MMS_PitStorage_AmountSeparated_Method1)</f>
        <v>0.40000000000000013</v>
      </c>
      <c r="R59" s="7"/>
    </row>
    <row r="60" spans="4:18" ht="20.100000000000001" customHeight="1" x14ac:dyDescent="0.25">
      <c r="D60" s="1" t="s">
        <v>361</v>
      </c>
      <c r="E60" s="93">
        <f>E58+(E30*X_Cell_Swine_Stage1MMS_AnaerobicLagoon_AmountSeparated_Method2)+(E35*X_Cell_Swine_Stage1MMS_Drylot_AmountSeparated_Method2)+(E41*X_Cell_Swine_Stage1MMS_DigesterCoveredLagoons_AmountSeparated_Method2)+(E47*X_Cell_Swine_Stage1MMS_DeepLitter_AmountSeparated_Method2)+(E53*X_Cell_Swine_Stage1MMS_PitStorage_AmountSeparated_Method2)</f>
        <v>0.40000000000000013</v>
      </c>
      <c r="F60" s="93">
        <f>F58+(F30*X_Cell_Swine_Stage1MMS_AnaerobicLagoon_AmountSeparated_Method2)+(F35*X_Cell_Swine_Stage1MMS_Drylot_AmountSeparated_Method2)+(F41*X_Cell_Swine_Stage1MMS_DigesterCoveredLagoons_AmountSeparated_Method2)+(F47*X_Cell_Swine_Stage1MMS_DeepLitter_AmountSeparated_Method2)+(F53*X_Cell_Swine_Stage1MMS_PitStorage_AmountSeparated_Method2)</f>
        <v>0.40000000000000013</v>
      </c>
      <c r="G60" s="93">
        <f>G58+(G30*X_Cell_Swine_Stage1MMS_AnaerobicLagoon_AmountSeparated_Method2)+(G35*X_Cell_Swine_Stage1MMS_Drylot_AmountSeparated_Method2)+(G41*X_Cell_Swine_Stage1MMS_DigesterCoveredLagoons_AmountSeparated_Method2)+(G47*X_Cell_Swine_Stage1MMS_DeepLitter_AmountSeparated_Method2)+(G53*X_Cell_Swine_Stage1MMS_PitStorage_AmountSeparated_Method2)</f>
        <v>0.40000000000000013</v>
      </c>
      <c r="H60" s="93">
        <f>H58+(H30*X_Cell_Swine_Stage1MMS_AnaerobicLagoon_AmountSeparated_Method2)+(H35*X_Cell_Swine_Stage1MMS_Drylot_AmountSeparated_Method2)+(H41*X_Cell_Swine_Stage1MMS_DigesterCoveredLagoons_AmountSeparated_Method2)+(H47*X_Cell_Swine_Stage1MMS_DeepLitter_AmountSeparated_Method2)+(H53*X_Cell_Swine_Stage1MMS_PitStorage_AmountSeparated_Method2)</f>
        <v>0.40000000000000013</v>
      </c>
      <c r="R60" s="7"/>
    </row>
    <row r="61" spans="4:18" ht="20.100000000000001" customHeight="1" x14ac:dyDescent="0.25">
      <c r="R61" s="7"/>
    </row>
    <row r="62" spans="4:18" ht="20.100000000000001" customHeight="1" x14ac:dyDescent="0.25">
      <c r="D62" s="1" t="s">
        <v>173</v>
      </c>
      <c r="E62" s="93">
        <f>SUM(E30,E35,E41,E47,E53,E58)</f>
        <v>1</v>
      </c>
      <c r="F62" s="93">
        <f>SUM(F30,F35,F41,F47,F53,F58)</f>
        <v>1</v>
      </c>
      <c r="G62" s="93">
        <f>SUM(G30,G35,G41,G47,G53,G58)</f>
        <v>1</v>
      </c>
      <c r="H62" s="93">
        <f>SUM(H30,H35,H41,H47,H53,H58)</f>
        <v>1</v>
      </c>
      <c r="R62" s="7"/>
    </row>
    <row r="63" spans="4:18" ht="20.100000000000001" customHeight="1" x14ac:dyDescent="0.25">
      <c r="R63" s="7"/>
    </row>
    <row r="64" spans="4:18" ht="20.100000000000001" customHeight="1" x14ac:dyDescent="0.25">
      <c r="D64" s="126" t="s">
        <v>181</v>
      </c>
      <c r="R64" s="7"/>
    </row>
    <row r="65" spans="4:18" ht="20.100000000000001" customHeight="1" x14ac:dyDescent="0.25">
      <c r="D65" s="123" t="s">
        <v>174</v>
      </c>
      <c r="E65" s="124" t="s">
        <v>135</v>
      </c>
      <c r="F65" s="124" t="s">
        <v>136</v>
      </c>
      <c r="G65" s="124" t="s">
        <v>137</v>
      </c>
      <c r="H65" s="124" t="s">
        <v>195</v>
      </c>
      <c r="I65" s="127" t="s">
        <v>182</v>
      </c>
      <c r="J65" s="127"/>
      <c r="K65" s="61" t="s">
        <v>177</v>
      </c>
      <c r="L65" s="61"/>
      <c r="M65" s="115"/>
      <c r="R65" s="7"/>
    </row>
    <row r="66" spans="4:18" ht="20.100000000000001" customHeight="1" x14ac:dyDescent="0.25">
      <c r="D66" s="121" t="str">
        <f>"From stage 1: " &amp; $D$30</f>
        <v>From stage 1: Anaerobic lagoon</v>
      </c>
      <c r="E66" s="102" t="str">
        <f>IF(SUM(E30:H30)&gt;0,"Manure was sent to this MMS, please complete this section.","NO manure was sent to this MMS. Leave this section blank.")</f>
        <v>Manure was sent to this MMS, please complete this section.</v>
      </c>
      <c r="K66" s="125" t="s">
        <v>178</v>
      </c>
      <c r="L66" s="125" t="s">
        <v>179</v>
      </c>
      <c r="M66" s="125" t="s">
        <v>180</v>
      </c>
      <c r="R66" s="7"/>
    </row>
    <row r="67" spans="4:18" ht="20.100000000000001" customHeight="1" x14ac:dyDescent="0.25">
      <c r="D67" s="122" t="str">
        <f>$D$41</f>
        <v>Digester / covered lagoons</v>
      </c>
      <c r="E67" s="44">
        <v>0.2</v>
      </c>
      <c r="F67" s="44">
        <v>0.25</v>
      </c>
      <c r="G67" s="44">
        <v>0.25</v>
      </c>
      <c r="H67" s="44">
        <v>0.25</v>
      </c>
      <c r="I67" s="2" t="s">
        <v>15</v>
      </c>
      <c r="J67" s="2"/>
      <c r="K67" s="44">
        <v>0.25</v>
      </c>
      <c r="L67" s="44">
        <v>0.25</v>
      </c>
      <c r="M67" s="93">
        <f t="shared" ref="M67:M69" si="0">1-SUM(K67:L67)</f>
        <v>0.5</v>
      </c>
      <c r="R67" s="7"/>
    </row>
    <row r="68" spans="4:18" ht="20.100000000000001" customHeight="1" x14ac:dyDescent="0.25">
      <c r="D68" s="122" t="str">
        <f>$D$47</f>
        <v>Deep litter</v>
      </c>
      <c r="E68" s="44">
        <v>0.2</v>
      </c>
      <c r="F68" s="44">
        <v>0.25</v>
      </c>
      <c r="G68" s="44">
        <v>0.25</v>
      </c>
      <c r="H68" s="44">
        <v>0.25</v>
      </c>
      <c r="I68" s="2" t="s">
        <v>15</v>
      </c>
      <c r="J68" s="2"/>
      <c r="K68" s="44">
        <v>0.25</v>
      </c>
      <c r="L68" s="44">
        <v>0.25</v>
      </c>
      <c r="M68" s="93">
        <f t="shared" si="0"/>
        <v>0.5</v>
      </c>
      <c r="R68" s="7"/>
    </row>
    <row r="69" spans="4:18" ht="20.100000000000001" customHeight="1" x14ac:dyDescent="0.25">
      <c r="D69" s="122" t="str">
        <f>$D$53</f>
        <v>Pit storage</v>
      </c>
      <c r="E69" s="44">
        <v>0.2</v>
      </c>
      <c r="F69" s="44">
        <v>0.25</v>
      </c>
      <c r="G69" s="44">
        <v>0.25</v>
      </c>
      <c r="H69" s="44">
        <v>0.25</v>
      </c>
      <c r="I69" s="2" t="s">
        <v>15</v>
      </c>
      <c r="J69" s="2"/>
      <c r="K69" s="44">
        <v>0.25</v>
      </c>
      <c r="L69" s="44">
        <v>0.25</v>
      </c>
      <c r="M69" s="93">
        <f t="shared" si="0"/>
        <v>0.5</v>
      </c>
      <c r="R69" s="7"/>
    </row>
    <row r="70" spans="4:18" ht="20.100000000000001" customHeight="1" x14ac:dyDescent="0.25">
      <c r="D70" s="122" t="str">
        <f>'Constants - Swine'!$D$47</f>
        <v>Direct application</v>
      </c>
      <c r="E70" s="93">
        <f>1-SUM(E67:E69)</f>
        <v>0.39999999999999991</v>
      </c>
      <c r="F70" s="93">
        <f>1-SUM(F67:F69)</f>
        <v>0.25</v>
      </c>
      <c r="G70" s="93">
        <f>1-SUM(G67:G69)</f>
        <v>0.25</v>
      </c>
      <c r="H70" s="93">
        <f>1-SUM(H67:H69)</f>
        <v>0.25</v>
      </c>
      <c r="I70" s="2" t="s">
        <v>15</v>
      </c>
      <c r="J70" s="2"/>
      <c r="K70" s="93">
        <v>0</v>
      </c>
      <c r="L70" s="93">
        <v>0</v>
      </c>
      <c r="M70" s="93">
        <f>1-SUM(K70:L70)</f>
        <v>1</v>
      </c>
      <c r="R70" s="7"/>
    </row>
    <row r="71" spans="4:18" ht="20.100000000000001" customHeight="1" x14ac:dyDescent="0.25">
      <c r="R71" s="7"/>
    </row>
    <row r="72" spans="4:18" ht="20.100000000000001" customHeight="1" x14ac:dyDescent="0.25">
      <c r="D72" s="122"/>
      <c r="F72" s="2"/>
      <c r="R72" s="7"/>
    </row>
    <row r="73" spans="4:18" ht="20.100000000000001" customHeight="1" x14ac:dyDescent="0.25">
      <c r="D73" s="121" t="str">
        <f>"From stage 1: " &amp; $D$35</f>
        <v>From stage 1: Drylot (feed pad)</v>
      </c>
      <c r="E73" s="102" t="str">
        <f>IF(SUM(E35:H35)&gt;0,"Manure was sent to this MMS, please complete this section.","NO manure was sent to this MMS. Leave this section blank.")</f>
        <v>Manure was sent to this MMS, please complete this section.</v>
      </c>
      <c r="K73" s="125" t="s">
        <v>178</v>
      </c>
      <c r="L73" s="125" t="s">
        <v>179</v>
      </c>
      <c r="M73" s="125" t="s">
        <v>180</v>
      </c>
      <c r="R73" s="7"/>
    </row>
    <row r="74" spans="4:18" ht="20.100000000000001" customHeight="1" x14ac:dyDescent="0.25">
      <c r="D74" s="122" t="str">
        <f>$D$30</f>
        <v>Anaerobic lagoon</v>
      </c>
      <c r="E74" s="44">
        <v>0.2</v>
      </c>
      <c r="F74" s="44">
        <v>0.25</v>
      </c>
      <c r="G74" s="44">
        <v>0.25</v>
      </c>
      <c r="H74" s="44">
        <v>0.25</v>
      </c>
      <c r="I74" s="2" t="s">
        <v>15</v>
      </c>
      <c r="J74" s="2"/>
      <c r="K74" s="44">
        <v>0.25</v>
      </c>
      <c r="L74" s="44">
        <v>0.25</v>
      </c>
      <c r="M74" s="93">
        <f>1-SUM(K74:L74)</f>
        <v>0.5</v>
      </c>
      <c r="R74" s="7"/>
    </row>
    <row r="75" spans="4:18" ht="20.100000000000001" customHeight="1" x14ac:dyDescent="0.25">
      <c r="D75" s="122" t="str">
        <f>$D$41</f>
        <v>Digester / covered lagoons</v>
      </c>
      <c r="E75" s="44">
        <v>0.2</v>
      </c>
      <c r="F75" s="44">
        <v>0.25</v>
      </c>
      <c r="G75" s="44">
        <v>0.25</v>
      </c>
      <c r="H75" s="44">
        <v>0.25</v>
      </c>
      <c r="I75" s="2" t="s">
        <v>15</v>
      </c>
      <c r="J75" s="2"/>
      <c r="K75" s="44">
        <v>0.25</v>
      </c>
      <c r="L75" s="44">
        <v>0.25</v>
      </c>
      <c r="M75" s="93">
        <f t="shared" ref="M75:M77" si="1">1-SUM(K75:L75)</f>
        <v>0.5</v>
      </c>
      <c r="R75" s="7"/>
    </row>
    <row r="76" spans="4:18" ht="20.100000000000001" customHeight="1" x14ac:dyDescent="0.25">
      <c r="D76" s="122" t="str">
        <f>$D$47</f>
        <v>Deep litter</v>
      </c>
      <c r="E76" s="44">
        <v>0.2</v>
      </c>
      <c r="F76" s="44">
        <v>0.25</v>
      </c>
      <c r="G76" s="44">
        <v>0.25</v>
      </c>
      <c r="H76" s="44">
        <v>0.25</v>
      </c>
      <c r="I76" s="2" t="s">
        <v>15</v>
      </c>
      <c r="J76" s="2"/>
      <c r="K76" s="44">
        <v>0.25</v>
      </c>
      <c r="L76" s="44">
        <v>0.25</v>
      </c>
      <c r="M76" s="93">
        <f t="shared" si="1"/>
        <v>0.5</v>
      </c>
      <c r="R76" s="7"/>
    </row>
    <row r="77" spans="4:18" ht="20.100000000000001" customHeight="1" x14ac:dyDescent="0.25">
      <c r="D77" s="122" t="str">
        <f>$D$53</f>
        <v>Pit storage</v>
      </c>
      <c r="E77" s="44">
        <v>0.2</v>
      </c>
      <c r="F77" s="44">
        <v>0.25</v>
      </c>
      <c r="G77" s="44">
        <v>0.25</v>
      </c>
      <c r="H77" s="44">
        <v>0.25</v>
      </c>
      <c r="I77" s="2" t="s">
        <v>15</v>
      </c>
      <c r="J77" s="2"/>
      <c r="K77" s="44">
        <v>0.25</v>
      </c>
      <c r="L77" s="44">
        <v>0.25</v>
      </c>
      <c r="M77" s="93">
        <f t="shared" si="1"/>
        <v>0.5</v>
      </c>
      <c r="R77" s="7"/>
    </row>
    <row r="78" spans="4:18" ht="20.100000000000001" customHeight="1" x14ac:dyDescent="0.25">
      <c r="D78" s="122" t="str">
        <f>'Constants - Swine'!$D$47</f>
        <v>Direct application</v>
      </c>
      <c r="E78" s="93">
        <f>1-SUM(E74:E77)</f>
        <v>0.19999999999999996</v>
      </c>
      <c r="F78" s="93">
        <f t="shared" ref="F78:H78" si="2">1-SUM(F74:F77)</f>
        <v>0</v>
      </c>
      <c r="G78" s="93">
        <f t="shared" si="2"/>
        <v>0</v>
      </c>
      <c r="H78" s="93">
        <f t="shared" si="2"/>
        <v>0</v>
      </c>
      <c r="K78" s="93">
        <v>0</v>
      </c>
      <c r="L78" s="93">
        <v>0</v>
      </c>
      <c r="M78" s="93">
        <f>1-SUM(K78:L78)</f>
        <v>1</v>
      </c>
      <c r="R78" s="7"/>
    </row>
    <row r="79" spans="4:18" ht="20.100000000000001" customHeight="1" x14ac:dyDescent="0.25">
      <c r="R79" s="7"/>
    </row>
    <row r="80" spans="4:18" ht="20.100000000000001" customHeight="1" x14ac:dyDescent="0.25">
      <c r="R80" s="7"/>
    </row>
    <row r="81" spans="4:18" ht="20.100000000000001" customHeight="1" x14ac:dyDescent="0.25">
      <c r="D81" s="121" t="str">
        <f>"From stage 1: " &amp; $D$41</f>
        <v>From stage 1: Digester / covered lagoons</v>
      </c>
      <c r="E81" s="102" t="str">
        <f>IF(SUM(E41:H41)&gt;0,"Manure was sent to this MMS, please complete this section.","NO manure was sent to this MMS. Leave this section blank.")</f>
        <v>Manure was sent to this MMS, please complete this section.</v>
      </c>
      <c r="K81" s="125" t="s">
        <v>178</v>
      </c>
      <c r="L81" s="125" t="s">
        <v>179</v>
      </c>
      <c r="M81" s="125" t="s">
        <v>180</v>
      </c>
      <c r="R81" s="7"/>
    </row>
    <row r="82" spans="4:18" ht="20.100000000000001" customHeight="1" x14ac:dyDescent="0.25">
      <c r="D82" s="122" t="str">
        <f>$D$30</f>
        <v>Anaerobic lagoon</v>
      </c>
      <c r="E82" s="44">
        <v>0.2</v>
      </c>
      <c r="F82" s="44">
        <v>0.25</v>
      </c>
      <c r="G82" s="44">
        <v>0.25</v>
      </c>
      <c r="H82" s="44">
        <v>0.25</v>
      </c>
      <c r="I82" s="2" t="s">
        <v>15</v>
      </c>
      <c r="J82" s="2"/>
      <c r="K82" s="44">
        <v>0.25</v>
      </c>
      <c r="L82" s="44">
        <v>0.25</v>
      </c>
      <c r="M82" s="93">
        <f>1-SUM(K82:L82)</f>
        <v>0.5</v>
      </c>
      <c r="R82" s="7"/>
    </row>
    <row r="83" spans="4:18" ht="20.100000000000001" customHeight="1" x14ac:dyDescent="0.25">
      <c r="D83" s="122" t="str">
        <f>$D$47</f>
        <v>Deep litter</v>
      </c>
      <c r="E83" s="44">
        <v>0.2</v>
      </c>
      <c r="F83" s="44">
        <v>0.25</v>
      </c>
      <c r="G83" s="44">
        <v>0.25</v>
      </c>
      <c r="H83" s="44">
        <v>0.25</v>
      </c>
      <c r="I83" s="2" t="s">
        <v>15</v>
      </c>
      <c r="J83" s="2"/>
      <c r="K83" s="44">
        <v>0.25</v>
      </c>
      <c r="L83" s="44">
        <v>0.25</v>
      </c>
      <c r="M83" s="93">
        <f>1-SUM(K83:L83)</f>
        <v>0.5</v>
      </c>
      <c r="R83" s="7"/>
    </row>
    <row r="84" spans="4:18" ht="20.100000000000001" customHeight="1" x14ac:dyDescent="0.25">
      <c r="D84" s="122" t="str">
        <f>$D$53</f>
        <v>Pit storage</v>
      </c>
      <c r="E84" s="44">
        <v>0.2</v>
      </c>
      <c r="F84" s="44">
        <v>0.25</v>
      </c>
      <c r="G84" s="44">
        <v>0.25</v>
      </c>
      <c r="H84" s="44">
        <v>0.25</v>
      </c>
      <c r="I84" s="2" t="s">
        <v>15</v>
      </c>
      <c r="J84" s="2"/>
      <c r="K84" s="44">
        <v>0.25</v>
      </c>
      <c r="L84" s="44">
        <v>0.25</v>
      </c>
      <c r="M84" s="93">
        <f>1-SUM(K84:L84)</f>
        <v>0.5</v>
      </c>
      <c r="R84" s="7"/>
    </row>
    <row r="85" spans="4:18" ht="20.100000000000001" customHeight="1" x14ac:dyDescent="0.25">
      <c r="D85" s="122" t="str">
        <f>'Constants - Swine'!$D$47</f>
        <v>Direct application</v>
      </c>
      <c r="E85" s="93">
        <f>1-SUM(E82:E84)</f>
        <v>0.39999999999999991</v>
      </c>
      <c r="F85" s="93">
        <f>1-SUM(F82:F84)</f>
        <v>0.25</v>
      </c>
      <c r="G85" s="93">
        <f>1-SUM(G82:G84)</f>
        <v>0.25</v>
      </c>
      <c r="H85" s="93">
        <f>1-SUM(H82:H84)</f>
        <v>0.25</v>
      </c>
      <c r="I85" s="2" t="s">
        <v>15</v>
      </c>
      <c r="J85" s="2"/>
      <c r="K85" s="93">
        <v>0</v>
      </c>
      <c r="L85" s="93">
        <v>0</v>
      </c>
      <c r="M85" s="93">
        <f>1-SUM(K85:L85)</f>
        <v>1</v>
      </c>
      <c r="R85" s="7"/>
    </row>
    <row r="86" spans="4:18" ht="20.100000000000001" customHeight="1" x14ac:dyDescent="0.25">
      <c r="R86" s="7"/>
    </row>
    <row r="87" spans="4:18" ht="20.100000000000001" customHeight="1" x14ac:dyDescent="0.25">
      <c r="D87" s="120"/>
      <c r="R87" s="7"/>
    </row>
    <row r="88" spans="4:18" ht="20.100000000000001" customHeight="1" x14ac:dyDescent="0.25">
      <c r="D88" s="121" t="str">
        <f>"From stage 1: " &amp; $D$47</f>
        <v>From stage 1: Deep litter</v>
      </c>
      <c r="E88" s="102" t="str">
        <f>IF(SUM(E47:H47)&gt;0,"Manure was sent to this MMS, please complete this section.","NO manure was sent to this MMS. Leave this section blank.")</f>
        <v>Manure was sent to this MMS, please complete this section.</v>
      </c>
      <c r="K88" s="125" t="s">
        <v>178</v>
      </c>
      <c r="L88" s="125" t="s">
        <v>179</v>
      </c>
      <c r="M88" s="125" t="s">
        <v>180</v>
      </c>
      <c r="R88" s="7"/>
    </row>
    <row r="89" spans="4:18" ht="20.100000000000001" customHeight="1" x14ac:dyDescent="0.25">
      <c r="D89" s="122" t="str">
        <f>$D$30</f>
        <v>Anaerobic lagoon</v>
      </c>
      <c r="E89" s="44">
        <v>0.2</v>
      </c>
      <c r="F89" s="44">
        <v>0.25</v>
      </c>
      <c r="G89" s="44">
        <v>0.25</v>
      </c>
      <c r="H89" s="44">
        <v>0.25</v>
      </c>
      <c r="I89" s="2" t="s">
        <v>15</v>
      </c>
      <c r="J89" s="2"/>
      <c r="K89" s="44">
        <v>0.25</v>
      </c>
      <c r="L89" s="44">
        <v>0.25</v>
      </c>
      <c r="M89" s="93">
        <f>1-SUM(K89:L89)</f>
        <v>0.5</v>
      </c>
      <c r="R89" s="7"/>
    </row>
    <row r="90" spans="4:18" ht="20.100000000000001" customHeight="1" x14ac:dyDescent="0.25">
      <c r="D90" s="122" t="str">
        <f>$D$41</f>
        <v>Digester / covered lagoons</v>
      </c>
      <c r="E90" s="44">
        <v>0.2</v>
      </c>
      <c r="F90" s="44">
        <v>0.25</v>
      </c>
      <c r="G90" s="44">
        <v>0.25</v>
      </c>
      <c r="H90" s="44">
        <v>0.25</v>
      </c>
      <c r="I90" s="2" t="s">
        <v>15</v>
      </c>
      <c r="J90" s="2"/>
      <c r="K90" s="44">
        <v>0.25</v>
      </c>
      <c r="L90" s="44">
        <v>0.25</v>
      </c>
      <c r="M90" s="93">
        <f>1-SUM(K90:L90)</f>
        <v>0.5</v>
      </c>
      <c r="R90" s="7"/>
    </row>
    <row r="91" spans="4:18" ht="20.100000000000001" customHeight="1" x14ac:dyDescent="0.25">
      <c r="D91" s="122" t="str">
        <f>$D$53</f>
        <v>Pit storage</v>
      </c>
      <c r="E91" s="44">
        <v>0.2</v>
      </c>
      <c r="F91" s="44">
        <v>0.25</v>
      </c>
      <c r="G91" s="44">
        <v>0.25</v>
      </c>
      <c r="H91" s="44">
        <v>0.25</v>
      </c>
      <c r="I91" s="2" t="s">
        <v>15</v>
      </c>
      <c r="J91" s="2"/>
      <c r="K91" s="44">
        <v>0.25</v>
      </c>
      <c r="L91" s="44">
        <v>0.25</v>
      </c>
      <c r="M91" s="93">
        <f>1-SUM(K91:L91)</f>
        <v>0.5</v>
      </c>
      <c r="R91" s="7"/>
    </row>
    <row r="92" spans="4:18" ht="20.100000000000001" customHeight="1" x14ac:dyDescent="0.25">
      <c r="D92" s="122" t="str">
        <f>'Constants - Swine'!$D$47</f>
        <v>Direct application</v>
      </c>
      <c r="E92" s="93">
        <f>1-SUM(E89:E91)</f>
        <v>0.39999999999999991</v>
      </c>
      <c r="F92" s="93">
        <f>1-SUM(F89:F91)</f>
        <v>0.25</v>
      </c>
      <c r="G92" s="93">
        <f>1-SUM(G89:G91)</f>
        <v>0.25</v>
      </c>
      <c r="H92" s="93">
        <f>1-SUM(H89:H91)</f>
        <v>0.25</v>
      </c>
      <c r="I92" s="2" t="s">
        <v>15</v>
      </c>
      <c r="J92" s="2"/>
      <c r="K92" s="93">
        <v>0</v>
      </c>
      <c r="L92" s="93">
        <v>0</v>
      </c>
      <c r="M92" s="93">
        <f>1-SUM(K92:L92)</f>
        <v>1</v>
      </c>
      <c r="R92" s="7"/>
    </row>
    <row r="93" spans="4:18" ht="20.100000000000001" customHeight="1" x14ac:dyDescent="0.25">
      <c r="R93" s="7"/>
    </row>
    <row r="94" spans="4:18" ht="20.100000000000001" customHeight="1" x14ac:dyDescent="0.25">
      <c r="R94" s="7"/>
    </row>
    <row r="95" spans="4:18" ht="20.100000000000001" customHeight="1" x14ac:dyDescent="0.25">
      <c r="D95" s="121" t="str">
        <f>"From stage 1: " &amp; $D$53</f>
        <v>From stage 1: Pit storage</v>
      </c>
      <c r="E95" s="102" t="str">
        <f>IF(SUM(E53:H53)&gt;0,"Manure was sent to this MMS, please complete this section.","NO manure was sent to this MMS. Leave this section blank.")</f>
        <v>Manure was sent to this MMS, please complete this section.</v>
      </c>
      <c r="K95" s="125" t="s">
        <v>178</v>
      </c>
      <c r="L95" s="125" t="s">
        <v>179</v>
      </c>
      <c r="M95" s="125" t="s">
        <v>180</v>
      </c>
      <c r="R95" s="7"/>
    </row>
    <row r="96" spans="4:18" ht="20.100000000000001" customHeight="1" x14ac:dyDescent="0.25">
      <c r="D96" s="122" t="str">
        <f>$D$30</f>
        <v>Anaerobic lagoon</v>
      </c>
      <c r="E96" s="44">
        <v>0.2</v>
      </c>
      <c r="F96" s="44">
        <v>0.25</v>
      </c>
      <c r="G96" s="44">
        <v>0.25</v>
      </c>
      <c r="H96" s="44">
        <v>0.25</v>
      </c>
      <c r="I96" s="2" t="s">
        <v>15</v>
      </c>
      <c r="J96" s="2"/>
      <c r="K96" s="44">
        <v>0.25</v>
      </c>
      <c r="L96" s="44">
        <v>0.25</v>
      </c>
      <c r="M96" s="93">
        <f>1-SUM(K96:L96)</f>
        <v>0.5</v>
      </c>
      <c r="R96" s="7"/>
    </row>
    <row r="97" spans="4:18" ht="20.100000000000001" customHeight="1" x14ac:dyDescent="0.25">
      <c r="D97" s="122" t="str">
        <f>$D$41</f>
        <v>Digester / covered lagoons</v>
      </c>
      <c r="E97" s="44">
        <v>0.2</v>
      </c>
      <c r="F97" s="44">
        <v>0.25</v>
      </c>
      <c r="G97" s="44">
        <v>0.25</v>
      </c>
      <c r="H97" s="44">
        <v>0.25</v>
      </c>
      <c r="I97" s="2" t="s">
        <v>15</v>
      </c>
      <c r="J97" s="2"/>
      <c r="K97" s="44">
        <v>0.25</v>
      </c>
      <c r="L97" s="44">
        <v>0.25</v>
      </c>
      <c r="M97" s="93">
        <f>1-SUM(K97:L97)</f>
        <v>0.5</v>
      </c>
      <c r="R97" s="7"/>
    </row>
    <row r="98" spans="4:18" ht="20.100000000000001" customHeight="1" x14ac:dyDescent="0.25">
      <c r="D98" s="122" t="str">
        <f>$D$47</f>
        <v>Deep litter</v>
      </c>
      <c r="E98" s="44">
        <v>0.2</v>
      </c>
      <c r="F98" s="44">
        <v>0.25</v>
      </c>
      <c r="G98" s="44">
        <v>0.25</v>
      </c>
      <c r="H98" s="44">
        <v>0.25</v>
      </c>
      <c r="I98" s="2" t="s">
        <v>15</v>
      </c>
      <c r="J98" s="2"/>
      <c r="K98" s="44">
        <v>0.25</v>
      </c>
      <c r="L98" s="44">
        <v>0.25</v>
      </c>
      <c r="M98" s="93">
        <f>1-SUM(K98:L98)</f>
        <v>0.5</v>
      </c>
      <c r="R98" s="7"/>
    </row>
    <row r="99" spans="4:18" ht="20.100000000000001" customHeight="1" x14ac:dyDescent="0.25">
      <c r="D99" s="122" t="str">
        <f>'Constants - Swine'!$D$47</f>
        <v>Direct application</v>
      </c>
      <c r="E99" s="93">
        <f>1-SUM(E96:E98)</f>
        <v>0.39999999999999991</v>
      </c>
      <c r="F99" s="93">
        <f>1-SUM(F96:F98)</f>
        <v>0.25</v>
      </c>
      <c r="G99" s="93">
        <f>1-SUM(G96:G98)</f>
        <v>0.25</v>
      </c>
      <c r="H99" s="93">
        <f>1-SUM(H96:H98)</f>
        <v>0.25</v>
      </c>
      <c r="I99" s="2" t="s">
        <v>15</v>
      </c>
      <c r="J99" s="2"/>
      <c r="K99" s="93">
        <v>0</v>
      </c>
      <c r="L99" s="93">
        <v>0</v>
      </c>
      <c r="M99" s="93">
        <f>1-SUM(K99:L99)</f>
        <v>1</v>
      </c>
      <c r="R99" s="7"/>
    </row>
    <row r="100" spans="4:18" ht="20.100000000000001" customHeight="1" x14ac:dyDescent="0.25">
      <c r="R100" s="7"/>
    </row>
    <row r="101" spans="4:18" ht="20.100000000000001" customHeight="1" x14ac:dyDescent="0.25">
      <c r="R101" s="7"/>
    </row>
    <row r="102" spans="4:18" ht="20.100000000000001" customHeight="1" x14ac:dyDescent="0.25">
      <c r="D102" s="121" t="str">
        <f>"From stage 1: " &amp; SUBSTITUTE($D$58, " (before solid separation)", "")</f>
        <v>From stage 1: Solid storage</v>
      </c>
      <c r="E102" s="102" t="str">
        <f>IF(OR(SUM(E58:H58)&gt;0,COUNTIF(E30:E62,"Yes")&gt;0),"Manure was sent to this MMS, please complete this section.","NO manure was sent to this MMS. Leave this section blank.")</f>
        <v>Manure was sent to this MMS, please complete this section.</v>
      </c>
      <c r="K102" s="125" t="s">
        <v>178</v>
      </c>
      <c r="L102" s="125" t="s">
        <v>179</v>
      </c>
      <c r="M102" s="125" t="s">
        <v>180</v>
      </c>
      <c r="R102" s="7"/>
    </row>
    <row r="103" spans="4:18" ht="20.100000000000001" customHeight="1" x14ac:dyDescent="0.25">
      <c r="D103" s="122" t="str">
        <f>$D$30</f>
        <v>Anaerobic lagoon</v>
      </c>
      <c r="E103" s="44">
        <v>0.2</v>
      </c>
      <c r="F103" s="44">
        <v>0.2</v>
      </c>
      <c r="G103" s="44">
        <v>0.2</v>
      </c>
      <c r="H103" s="44">
        <v>0.2</v>
      </c>
      <c r="I103" s="2" t="s">
        <v>15</v>
      </c>
      <c r="J103" s="2"/>
      <c r="K103" s="44">
        <v>0.25</v>
      </c>
      <c r="L103" s="44">
        <v>0.25</v>
      </c>
      <c r="M103" s="93">
        <f>1-SUM(K103:L103)</f>
        <v>0.5</v>
      </c>
      <c r="R103" s="7"/>
    </row>
    <row r="104" spans="4:18" ht="20.100000000000001" customHeight="1" x14ac:dyDescent="0.25">
      <c r="D104" s="122" t="str">
        <f>$D$41</f>
        <v>Digester / covered lagoons</v>
      </c>
      <c r="E104" s="44">
        <v>0.2</v>
      </c>
      <c r="F104" s="44">
        <v>0.2</v>
      </c>
      <c r="G104" s="44">
        <v>0.2</v>
      </c>
      <c r="H104" s="44">
        <v>0.2</v>
      </c>
      <c r="I104" s="2" t="s">
        <v>15</v>
      </c>
      <c r="J104" s="2"/>
      <c r="K104" s="44">
        <v>0.25</v>
      </c>
      <c r="L104" s="44">
        <v>0.25</v>
      </c>
      <c r="M104" s="93">
        <f>1-SUM(K104:L104)</f>
        <v>0.5</v>
      </c>
      <c r="R104" s="7"/>
    </row>
    <row r="105" spans="4:18" ht="20.100000000000001" customHeight="1" x14ac:dyDescent="0.25">
      <c r="D105" s="122" t="str">
        <f>$D$47</f>
        <v>Deep litter</v>
      </c>
      <c r="E105" s="44">
        <v>0.2</v>
      </c>
      <c r="F105" s="44">
        <v>0.2</v>
      </c>
      <c r="G105" s="44">
        <v>0.2</v>
      </c>
      <c r="H105" s="44">
        <v>0.2</v>
      </c>
      <c r="I105" s="2" t="s">
        <v>15</v>
      </c>
      <c r="J105" s="2"/>
      <c r="K105" s="44">
        <v>0.25</v>
      </c>
      <c r="L105" s="44">
        <v>0.25</v>
      </c>
      <c r="M105" s="93">
        <f>1-SUM(K105:L105)</f>
        <v>0.5</v>
      </c>
      <c r="R105" s="7"/>
    </row>
    <row r="106" spans="4:18" ht="20.100000000000001" customHeight="1" x14ac:dyDescent="0.25">
      <c r="D106" s="122" t="str">
        <f>$D$53</f>
        <v>Pit storage</v>
      </c>
      <c r="E106" s="44">
        <v>0.1</v>
      </c>
      <c r="F106" s="44">
        <v>0.1</v>
      </c>
      <c r="G106" s="44">
        <v>0.1</v>
      </c>
      <c r="H106" s="44">
        <v>0.1</v>
      </c>
      <c r="I106" s="2" t="s">
        <v>15</v>
      </c>
      <c r="J106" s="2"/>
      <c r="K106" s="44">
        <v>0.25</v>
      </c>
      <c r="L106" s="44">
        <v>0.25</v>
      </c>
      <c r="M106" s="93">
        <f>1-SUM(K106:L106)</f>
        <v>0.5</v>
      </c>
      <c r="R106" s="7"/>
    </row>
    <row r="107" spans="4:18" ht="20.100000000000001" customHeight="1" x14ac:dyDescent="0.25">
      <c r="D107" s="122" t="str">
        <f>'Constants - Swine'!$D$47</f>
        <v>Direct application</v>
      </c>
      <c r="E107" s="93">
        <f>1-SUM(E103:E106)</f>
        <v>0.29999999999999993</v>
      </c>
      <c r="F107" s="93">
        <f>1-SUM(F103:F106)</f>
        <v>0.29999999999999993</v>
      </c>
      <c r="G107" s="93">
        <f>1-SUM(G103:G106)</f>
        <v>0.29999999999999993</v>
      </c>
      <c r="H107" s="93">
        <f>1-SUM(H103:H106)</f>
        <v>0.29999999999999993</v>
      </c>
      <c r="I107" s="2" t="s">
        <v>15</v>
      </c>
      <c r="J107" s="2"/>
      <c r="K107" s="93">
        <v>0</v>
      </c>
      <c r="L107" s="93">
        <v>0</v>
      </c>
      <c r="M107" s="93">
        <f>1-SUM(K107:L107)</f>
        <v>1</v>
      </c>
    </row>
    <row r="108" spans="4:18" ht="20.100000000000001" customHeight="1" x14ac:dyDescent="0.25">
      <c r="N108" s="3"/>
    </row>
    <row r="109" spans="4:18" ht="20.100000000000001" customHeight="1" x14ac:dyDescent="0.25">
      <c r="N109" s="3"/>
    </row>
    <row r="110" spans="4:18" ht="20.100000000000001" customHeight="1" x14ac:dyDescent="0.25">
      <c r="D110" s="1" t="s">
        <v>252</v>
      </c>
      <c r="E110" s="38" t="s">
        <v>130</v>
      </c>
      <c r="F110" s="2" t="s">
        <v>8</v>
      </c>
      <c r="N110" s="3"/>
    </row>
    <row r="111" spans="4:18" ht="20.100000000000001" customHeight="1" x14ac:dyDescent="0.25">
      <c r="D111" s="1" t="s">
        <v>102</v>
      </c>
      <c r="E111" s="38" t="s">
        <v>107</v>
      </c>
      <c r="F111" s="2" t="s">
        <v>8</v>
      </c>
      <c r="N111" s="3"/>
    </row>
    <row r="112" spans="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2"/>
    </row>
  </sheetData>
  <conditionalFormatting sqref="F72">
    <cfRule type="cellIs" dxfId="27" priority="62" operator="lessThan">
      <formula>0</formula>
    </cfRule>
  </conditionalFormatting>
  <conditionalFormatting sqref="F121:F122">
    <cfRule type="cellIs" dxfId="26" priority="21" operator="lessThan">
      <formula>0</formula>
    </cfRule>
  </conditionalFormatting>
  <conditionalFormatting sqref="F133:F134">
    <cfRule type="cellIs" dxfId="25" priority="20" operator="lessThan">
      <formula>0</formula>
    </cfRule>
  </conditionalFormatting>
  <conditionalFormatting sqref="F145:F146">
    <cfRule type="cellIs" dxfId="24" priority="19" operator="lessThan">
      <formula>0</formula>
    </cfRule>
  </conditionalFormatting>
  <conditionalFormatting sqref="F157:F158">
    <cfRule type="cellIs" dxfId="23" priority="18" operator="lessThan">
      <formula>0</formula>
    </cfRule>
  </conditionalFormatting>
  <conditionalFormatting sqref="F245:F246">
    <cfRule type="cellIs" dxfId="22" priority="93" operator="lessThan">
      <formula>0</formula>
    </cfRule>
  </conditionalFormatting>
  <conditionalFormatting sqref="F250:F251">
    <cfRule type="cellIs" dxfId="21" priority="92" operator="lessThan">
      <formula>0</formula>
    </cfRule>
  </conditionalFormatting>
  <conditionalFormatting sqref="F255:F256">
    <cfRule type="cellIs" dxfId="20" priority="91" operator="lessThan">
      <formula>0</formula>
    </cfRule>
  </conditionalFormatting>
  <conditionalFormatting sqref="F279:F280">
    <cfRule type="cellIs" dxfId="19" priority="85" operator="lessThan">
      <formula>0</formula>
    </cfRule>
  </conditionalFormatting>
  <conditionalFormatting sqref="F284:F285">
    <cfRule type="cellIs" dxfId="18" priority="84" operator="lessThan">
      <formula>0</formula>
    </cfRule>
  </conditionalFormatting>
  <conditionalFormatting sqref="F289:F290">
    <cfRule type="cellIs" dxfId="17" priority="83" operator="lessThan">
      <formula>0</formula>
    </cfRule>
  </conditionalFormatting>
  <conditionalFormatting sqref="I30:J30 I35:J35 E37 I41:J41 E43 I47:J47 I53:J53 I58:J58 E205:G205">
    <cfRule type="cellIs" dxfId="16" priority="79" operator="lessThan">
      <formula>0</formula>
    </cfRule>
  </conditionalFormatting>
  <conditionalFormatting sqref="I74:J78">
    <cfRule type="cellIs" dxfId="15" priority="6" operator="lessThan">
      <formula>0</formula>
    </cfRule>
  </conditionalFormatting>
  <conditionalFormatting sqref="I82:J85">
    <cfRule type="cellIs" dxfId="14" priority="5" operator="lessThan">
      <formula>0</formula>
    </cfRule>
  </conditionalFormatting>
  <conditionalFormatting sqref="I89:J92">
    <cfRule type="cellIs" dxfId="13" priority="4" operator="lessThan">
      <formula>0</formula>
    </cfRule>
  </conditionalFormatting>
  <conditionalFormatting sqref="I96:J99">
    <cfRule type="cellIs" dxfId="12" priority="3" operator="lessThan">
      <formula>0</formula>
    </cfRule>
  </conditionalFormatting>
  <conditionalFormatting sqref="I103:J107">
    <cfRule type="cellIs" dxfId="11" priority="1" operator="lessThan">
      <formula>0</formula>
    </cfRule>
  </conditionalFormatting>
  <conditionalFormatting sqref="K147">
    <cfRule type="cellIs" dxfId="10" priority="24" operator="lessThan">
      <formula>0</formula>
    </cfRule>
  </conditionalFormatting>
  <conditionalFormatting sqref="M119">
    <cfRule type="cellIs" dxfId="9" priority="11" operator="lessThan">
      <formula>0</formula>
    </cfRule>
  </conditionalFormatting>
  <conditionalFormatting sqref="M125:M128">
    <cfRule type="cellIs" dxfId="8" priority="10" operator="lessThan">
      <formula>0</formula>
    </cfRule>
  </conditionalFormatting>
  <conditionalFormatting sqref="M131">
    <cfRule type="cellIs" dxfId="7" priority="16" operator="lessThan">
      <formula>0</formula>
    </cfRule>
  </conditionalFormatting>
  <conditionalFormatting sqref="M137:M140">
    <cfRule type="cellIs" dxfId="6" priority="9" operator="lessThan">
      <formula>0</formula>
    </cfRule>
  </conditionalFormatting>
  <conditionalFormatting sqref="M143">
    <cfRule type="cellIs" dxfId="5" priority="15" operator="lessThan">
      <formula>0</formula>
    </cfRule>
  </conditionalFormatting>
  <conditionalFormatting sqref="M149:M152">
    <cfRule type="cellIs" dxfId="4" priority="8" operator="lessThan">
      <formula>0</formula>
    </cfRule>
  </conditionalFormatting>
  <conditionalFormatting sqref="M155">
    <cfRule type="cellIs" dxfId="3" priority="14" operator="lessThan">
      <formula>0</formula>
    </cfRule>
  </conditionalFormatting>
  <conditionalFormatting sqref="M159:M160">
    <cfRule type="cellIs" dxfId="2"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1" priority="102" operator="lessThan">
      <formula>0</formula>
    </cfRule>
  </conditionalFormatting>
  <conditionalFormatting sqref="O43:P43 I67:J70 N101 L180:M180 L184:M185 L188:M189 L194:M195 L198:M198 I199:M199 I205:M205">
    <cfRule type="cellIs" dxfId="0" priority="74"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1 E36 E42 E48 E54"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111" xr:uid="{DBA884B0-B52E-420E-8FD2-21B082EB75E2}">
      <formula1>INDIRECT("Table_SourceData_Swine_IrrigationMethods[Irrigation method]")</formula1>
    </dataValidation>
    <dataValidation type="list" allowBlank="1" showInputMessage="1" showErrorMessage="1" sqref="E110"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U342"/>
  <sheetViews>
    <sheetView showGridLines="0" topLeftCell="A241"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153</v>
      </c>
    </row>
    <row r="2" spans="1:21" s="9" customFormat="1" ht="20.100000000000001" customHeight="1" x14ac:dyDescent="0.25">
      <c r="A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MMS_Swine_Methane_Equations.VEERG_4_5_1_1__4_FractionVolatileSolidsPrimarySystem_Title()</f>
        <v>Fraction of volatile solids in each primary system other than solid storage</v>
      </c>
    </row>
    <row r="6" spans="1:21" ht="20.100000000000001" customHeight="1" x14ac:dyDescent="0.25">
      <c r="D6" s="5" t="str" cm="1">
        <f t="array" ref="D6">MMS_Swine_Methane_Equations.VEERG_4_5_1_1__4_FractionVolatileSolidsPrimarySystem_Source()</f>
        <v>VEERG 2026: 4.5.1.1, Equation (4)</v>
      </c>
    </row>
    <row r="7" spans="1:21" ht="20.100000000000001" customHeight="1" x14ac:dyDescent="0.25">
      <c r="D7" s="13" t="s">
        <v>23</v>
      </c>
      <c r="E7" s="13" t="str" cm="1">
        <f t="array" aca="1" ref="E7" ca="1">Common_InputFunctions.Utility_DisplayFunctionName($E$37)</f>
        <v>=MMS_Swine_Methane_Equations.VEERG_4_5_1_1__4_FractionVolatileSolidsPrimarySystem</v>
      </c>
    </row>
    <row r="8" spans="1:21" ht="20.100000000000001" customHeight="1" x14ac:dyDescent="0.25">
      <c r="A8" s="19" t="s">
        <v>0</v>
      </c>
      <c r="D8" s="53"/>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MMS_Swine_Methane_Equations.VEERG_4_5_1_1__4_FractionVolatileSolidsPrimarySystem_Variable()</f>
        <v>FVSjmT1</v>
      </c>
    </row>
    <row r="11" spans="1:21" ht="20.100000000000001" customHeight="1" x14ac:dyDescent="0.25">
      <c r="D11" s="51" t="s">
        <v>16</v>
      </c>
      <c r="E11" s="52" t="str" cm="1">
        <f t="array" ref="E11">MMS_Swine_Methane_Equations.VEERG_4_5_1_1__4_FractionVolatileSolidsPrimarySystem_Unit()</f>
        <v>fraction</v>
      </c>
    </row>
    <row r="12" spans="1:21" ht="20.100000000000001" customHeight="1" x14ac:dyDescent="0.25"/>
    <row r="13" spans="1:21" ht="20.100000000000001" customHeight="1" x14ac:dyDescent="0.25">
      <c r="A13" s="18" t="s">
        <v>71</v>
      </c>
      <c r="D13" s="55" t="str" cm="1">
        <f t="array" ref="D13:E14">Common_InputFunctions.Utility_DisplayArguments_1_2(MMS_Swine_Methane_Equations.VEERG_4_5_1_1__4_FractionVolatileSolidsPrimarySystem_Arguments())</f>
        <v>MMSjmT1</v>
      </c>
      <c r="E13" s="56" t="str">
        <v>fraction of manure to each primary MMS for each class prior to solid separation</v>
      </c>
      <c r="F13" s="96"/>
      <c r="G13" s="55" t="str" cm="1">
        <f t="array" ref="G13:H14">Common_InputFunctions.Utility_DisplayArguments_3_4(MMS_Swine_Methane_Equations.VEERG_4_5_1_1__4_FractionVolatileSolidsPrimarySystem_Arguments())</f>
        <v>fraction</v>
      </c>
      <c r="H13" s="134" t="str">
        <v>Input</v>
      </c>
      <c r="I13" s="135" t="str" cm="1">
        <f t="array" aca="1" ref="I13" ca="1">HYPERLINK(Common_InputFunctions.Utility_SourceHyperlink($D$16), $D$16)</f>
        <v>Table_MMS_j_m_T-1</v>
      </c>
    </row>
    <row r="14" spans="1:21" ht="20.100000000000001" customHeight="1" x14ac:dyDescent="0.25">
      <c r="A14" s="147" t="str">
        <f>HYPERLINK("#'4.5.1.1-2 Methane'!A1", "4.5.1.1-2 Methane")</f>
        <v>4.5.1.1-2 Methane</v>
      </c>
      <c r="D14" s="55" t="str">
        <v>SSm</v>
      </c>
      <c r="E14" s="56" t="str">
        <v>fraction of volatile solids separated to solid storage for each MMS</v>
      </c>
      <c r="F14" s="96"/>
      <c r="G14" s="55" t="str">
        <v>fraction</v>
      </c>
      <c r="H14" s="134" t="str">
        <v>Input</v>
      </c>
      <c r="I14" s="135" t="str" cm="1">
        <f t="array" aca="1" ref="I14" ca="1">HYPERLINK(Common_InputFunctions.Utility_SourceHyperlink($D$25), $D$25)</f>
        <v>M1_Table_SS_m</v>
      </c>
    </row>
    <row r="15" spans="1:21" ht="20.100000000000001" customHeight="1" x14ac:dyDescent="0.25">
      <c r="A15" s="17" t="str">
        <f>HYPERLINK("#'4.5.1.3-4 Direct N2O'!A1", "4.5.1.3-4 Direct N2O")</f>
        <v>4.5.1.3-4 Direct N2O</v>
      </c>
    </row>
    <row r="16" spans="1:21" ht="20.100000000000001" customHeight="1" x14ac:dyDescent="0.25">
      <c r="A16" s="17" t="str">
        <f>HYPERLINK("#'4.5.1.5-6 Atmos Dep'!A1", "4.5.1.5-6 Atmos Dep")</f>
        <v>4.5.1.5-6 Atmos Dep</v>
      </c>
      <c r="D16" s="117" t="s">
        <v>233</v>
      </c>
    </row>
    <row r="17" spans="1:19" ht="20.100000000000001" customHeight="1" x14ac:dyDescent="0.25">
      <c r="A17" s="17" t="str">
        <f>HYPERLINK("#'4.5.1.7-8 Leaching and runoff'!A1", "4.5.1.7-8 Leaching and runoff")</f>
        <v>4.5.1.7-8 Leaching and runoff</v>
      </c>
      <c r="D17" s="118" t="s">
        <v>155</v>
      </c>
    </row>
    <row r="18" spans="1:19" ht="20.100000000000001" customHeight="1" x14ac:dyDescent="0.25">
      <c r="A18" s="17" t="str">
        <f>HYPERLINK("#'4.5.1.9 Manure applied to soils'!A1", "4.5.1.9 Manure applied to soils")</f>
        <v>4.5.1.9 Manure applied to soils</v>
      </c>
      <c r="D18" s="115" t="s">
        <v>156</v>
      </c>
      <c r="E18" s="115" t="s">
        <v>135</v>
      </c>
      <c r="F18" s="115" t="s">
        <v>136</v>
      </c>
      <c r="G18" s="115" t="s">
        <v>137</v>
      </c>
      <c r="H18" s="115" t="s">
        <v>195</v>
      </c>
    </row>
    <row r="19" spans="1:19" ht="20.100000000000001" customHeight="1" x14ac:dyDescent="0.25">
      <c r="D19" s="55" t="str">
        <f>INDEX(X_Table_Swine_Stage1MMS_AnaerobicLagoon,2,1)</f>
        <v>Anaerobic lagoon</v>
      </c>
      <c r="E19" s="50" cm="1">
        <f t="array" aca="1" ref="E19:H19" ca="1">OFFSET(X_Table_Swine_Stage1MMS_AnaerobicLagoon,1,1,1,4)</f>
        <v>0.15</v>
      </c>
      <c r="F19" s="50">
        <f ca="1"/>
        <v>0.15</v>
      </c>
      <c r="G19" s="50">
        <f ca="1"/>
        <v>0.15</v>
      </c>
      <c r="H19" s="50">
        <f ca="1"/>
        <v>0.15</v>
      </c>
      <c r="I19" s="2" t="str">
        <f>G13</f>
        <v>fraction</v>
      </c>
    </row>
    <row r="20" spans="1:19" ht="20.100000000000001" customHeight="1" x14ac:dyDescent="0.25">
      <c r="D20" s="55" t="str">
        <f>INDEX(X_Table_Swine_Stage1MMS_Drylot,2,1)</f>
        <v>Drylot (feed pad)</v>
      </c>
      <c r="E20" s="50" cm="1">
        <f t="array" aca="1" ref="E20:H20" ca="1">OFFSET(X_Table_Swine_Stage1MMS_Drylot,1,1,1,4)</f>
        <v>0.15</v>
      </c>
      <c r="F20" s="50">
        <f ca="1"/>
        <v>0.15</v>
      </c>
      <c r="G20" s="50">
        <f ca="1"/>
        <v>0.15</v>
      </c>
      <c r="H20" s="50">
        <f ca="1"/>
        <v>0.15</v>
      </c>
      <c r="I20" s="2"/>
    </row>
    <row r="21" spans="1:19" ht="20.100000000000001" customHeight="1" x14ac:dyDescent="0.25">
      <c r="A21" s="145" t="s">
        <v>1</v>
      </c>
      <c r="D21" s="55" t="str">
        <f>INDEX(X_Table_Swine_Stage1MMS_DigesterCoveredLagoons,2,1)</f>
        <v>Digester / covered lagoons</v>
      </c>
      <c r="E21" s="50" cm="1">
        <f t="array" aca="1" ref="E21:H21" ca="1">OFFSET(X_Table_Swine_Stage1MMS_DigesterCoveredLagoons,1,1,1,4)</f>
        <v>0.15</v>
      </c>
      <c r="F21" s="50">
        <f ca="1"/>
        <v>0.15</v>
      </c>
      <c r="G21" s="50">
        <f ca="1"/>
        <v>0.15</v>
      </c>
      <c r="H21" s="50">
        <f ca="1"/>
        <v>0.15</v>
      </c>
      <c r="I21" s="2"/>
    </row>
    <row r="22" spans="1:19" ht="20.100000000000001" customHeight="1" x14ac:dyDescent="0.25">
      <c r="A22" s="17" t="str">
        <f>HYPERLINK("#'Constants - Swine'!A1", "Constants - Swine")</f>
        <v>Constants - Swine</v>
      </c>
      <c r="D22" s="55" t="str">
        <f>INDEX(X_Table_Swine_Stage1MMS_DeepLitter,2,1)</f>
        <v>Deep litter</v>
      </c>
      <c r="E22" s="50" cm="1">
        <f t="array" aca="1" ref="E22:H22" ca="1">OFFSET(X_Table_Swine_Stage1MMS_DeepLitter,1,1,1,4)</f>
        <v>0.15</v>
      </c>
      <c r="F22" s="50">
        <f ca="1"/>
        <v>0.15</v>
      </c>
      <c r="G22" s="50">
        <f ca="1"/>
        <v>0.15</v>
      </c>
      <c r="H22" s="50">
        <f ca="1"/>
        <v>0.15</v>
      </c>
      <c r="I22" s="2"/>
    </row>
    <row r="23" spans="1:19" ht="20.100000000000001" customHeight="1" x14ac:dyDescent="0.25">
      <c r="A23" s="17" t="str">
        <f>HYPERLINK("#'Constants - Common'!A1", "Constants - Common")</f>
        <v>Constants - Common</v>
      </c>
      <c r="D23" s="55" t="str">
        <f>INDEX(X_Table_Swine_Stage1MMS_PitStorage,2,1)</f>
        <v>Pit storage</v>
      </c>
      <c r="E23" s="50" cm="1">
        <f t="array" aca="1" ref="E23:H23" ca="1">OFFSET(X_Table_Swine_Stage1MMS_PitStorage,1,1,1,4)</f>
        <v>0.15</v>
      </c>
      <c r="F23" s="50">
        <f ca="1"/>
        <v>0.15</v>
      </c>
      <c r="G23" s="50">
        <f ca="1"/>
        <v>0.15</v>
      </c>
      <c r="H23" s="50">
        <f ca="1"/>
        <v>0.15</v>
      </c>
      <c r="I23" s="2"/>
    </row>
    <row r="24" spans="1:19" ht="20.100000000000001" customHeight="1" x14ac:dyDescent="0.25">
      <c r="A24" s="17" t="str">
        <f>HYPERLINK("#'Constants - Livestock'!A1", "Constants - Livestock")</f>
        <v>Constants - Livestock</v>
      </c>
    </row>
    <row r="25" spans="1:19" ht="20.100000000000001" customHeight="1" x14ac:dyDescent="0.25">
      <c r="A25" s="17" t="str">
        <f>HYPERLINK("#'Acknowledgements'!A1", "Acknowledgements")</f>
        <v>Acknowledgements</v>
      </c>
      <c r="D25" s="117" t="s">
        <v>234</v>
      </c>
      <c r="N25" s="117" t="s">
        <v>196</v>
      </c>
    </row>
    <row r="26" spans="1:19" ht="20.100000000000001" customHeight="1" x14ac:dyDescent="0.25">
      <c r="A26" s="17" t="str">
        <f>HYPERLINK("#'Tab template'!A1", "Tab template")</f>
        <v>Tab template</v>
      </c>
      <c r="D26" s="118" t="s">
        <v>183</v>
      </c>
      <c r="N26" s="118" t="s">
        <v>197</v>
      </c>
    </row>
    <row r="27" spans="1:19" ht="20.100000000000001" customHeight="1" x14ac:dyDescent="0.25">
      <c r="D27" s="115" t="s">
        <v>156</v>
      </c>
      <c r="E27" s="115" t="s">
        <v>135</v>
      </c>
      <c r="F27" s="115" t="s">
        <v>136</v>
      </c>
      <c r="G27" s="115" t="s">
        <v>137</v>
      </c>
      <c r="H27" s="115" t="s">
        <v>195</v>
      </c>
      <c r="N27" s="115" t="s">
        <v>156</v>
      </c>
      <c r="O27" s="115" t="s">
        <v>135</v>
      </c>
      <c r="P27" s="115" t="s">
        <v>136</v>
      </c>
      <c r="Q27" s="115" t="s">
        <v>137</v>
      </c>
      <c r="R27" s="115" t="s">
        <v>195</v>
      </c>
    </row>
    <row r="28" spans="1:19" ht="20.100000000000001" customHeight="1" x14ac:dyDescent="0.25">
      <c r="D28" s="55" t="str">
        <f>INDEX(X_Table_Swine_Stage1MMS_AnaerobicLagoon,2,1)</f>
        <v>Anaerobic lagoon</v>
      </c>
      <c r="E28" s="50">
        <f>X_Cell_Swine_Stage1MMS_AnaerobicLagoon_AmountSeparated_Method1</f>
        <v>0.2</v>
      </c>
      <c r="F28" s="50">
        <f>X_Cell_Swine_Stage1MMS_AnaerobicLagoon_AmountSeparated_Method1</f>
        <v>0.2</v>
      </c>
      <c r="G28" s="50">
        <f>X_Cell_Swine_Stage1MMS_AnaerobicLagoon_AmountSeparated_Method1</f>
        <v>0.2</v>
      </c>
      <c r="H28" s="50">
        <f>X_Cell_Swine_Stage1MMS_AnaerobicLagoon_AmountSeparated_Method1</f>
        <v>0.2</v>
      </c>
      <c r="I28" s="2" t="str">
        <f>G14</f>
        <v>fraction</v>
      </c>
      <c r="N28" s="55" t="str">
        <f>INDEX(X_Table_Swine_Stage1MMS_AnaerobicLagoon,2,1)</f>
        <v>Anaerobic lagoon</v>
      </c>
      <c r="O28" s="50">
        <f>X_Cell_Swine_Stage1MMS_AnaerobicLagoon_AmountSeparated_Method2</f>
        <v>0.2</v>
      </c>
      <c r="P28" s="50">
        <f>X_Cell_Swine_Stage1MMS_AnaerobicLagoon_AmountSeparated_Method2</f>
        <v>0.2</v>
      </c>
      <c r="Q28" s="50">
        <f>X_Cell_Swine_Stage1MMS_AnaerobicLagoon_AmountSeparated_Method2</f>
        <v>0.2</v>
      </c>
      <c r="R28" s="50">
        <f>X_Cell_Swine_Stage1MMS_AnaerobicLagoon_AmountSeparated_Method2</f>
        <v>0.2</v>
      </c>
      <c r="S28" s="2" t="str">
        <f>G14</f>
        <v>fraction</v>
      </c>
    </row>
    <row r="29" spans="1:19" ht="20.100000000000001" customHeight="1" x14ac:dyDescent="0.25">
      <c r="D29" s="55" t="str">
        <f>INDEX(X_Table_Swine_Stage1MMS_Drylot,2,1)</f>
        <v>Drylot (feed pad)</v>
      </c>
      <c r="E29" s="50">
        <f>X_Cell_Swine_Stage1MMS_Drylot_AmountSeparated_Method1</f>
        <v>0.2</v>
      </c>
      <c r="F29" s="50">
        <f>X_Cell_Swine_Stage1MMS_Drylot_AmountSeparated_Method1</f>
        <v>0.2</v>
      </c>
      <c r="G29" s="50">
        <f>X_Cell_Swine_Stage1MMS_Drylot_AmountSeparated_Method1</f>
        <v>0.2</v>
      </c>
      <c r="H29" s="50">
        <f>X_Cell_Swine_Stage1MMS_Drylot_AmountSeparated_Method1</f>
        <v>0.2</v>
      </c>
      <c r="I29" s="2"/>
      <c r="N29" s="55" t="str">
        <f>INDEX(X_Table_Swine_Stage1MMS_Drylot,2,1)</f>
        <v>Drylot (feed pad)</v>
      </c>
      <c r="O29" s="50">
        <f>X_Cell_Swine_Stage1MMS_Drylot_AmountSeparated_Method2</f>
        <v>0.2</v>
      </c>
      <c r="P29" s="50">
        <f>X_Cell_Swine_Stage1MMS_Drylot_AmountSeparated_Method2</f>
        <v>0.2</v>
      </c>
      <c r="Q29" s="50">
        <f>X_Cell_Swine_Stage1MMS_Drylot_AmountSeparated_Method2</f>
        <v>0.2</v>
      </c>
      <c r="R29" s="50">
        <f>X_Cell_Swine_Stage1MMS_Drylot_AmountSeparated_Method2</f>
        <v>0.2</v>
      </c>
      <c r="S29" s="2"/>
    </row>
    <row r="30" spans="1:19" ht="20.100000000000001" customHeight="1" x14ac:dyDescent="0.25">
      <c r="D30" s="55" t="str">
        <f>INDEX(X_Table_Swine_Stage1MMS_DigesterCoveredLagoons,2,1)</f>
        <v>Digester / covered lagoons</v>
      </c>
      <c r="E30" s="50">
        <f>X_Cell_Swine_Stage1MMS_DigesterCoveredLagoons_AmountSeparated_Method1</f>
        <v>0.2</v>
      </c>
      <c r="F30" s="50">
        <f>X_Cell_Swine_Stage1MMS_DigesterCoveredLagoons_AmountSeparated_Method1</f>
        <v>0.2</v>
      </c>
      <c r="G30" s="50">
        <f>X_Cell_Swine_Stage1MMS_DigesterCoveredLagoons_AmountSeparated_Method1</f>
        <v>0.2</v>
      </c>
      <c r="H30" s="50">
        <f>X_Cell_Swine_Stage1MMS_DigesterCoveredLagoons_AmountSeparated_Method1</f>
        <v>0.2</v>
      </c>
      <c r="I30" s="2"/>
      <c r="N30" s="55" t="str">
        <f>INDEX(X_Table_Swine_Stage1MMS_DigesterCoveredLagoons,2,1)</f>
        <v>Digester / covered lagoons</v>
      </c>
      <c r="O30" s="50">
        <f>X_Cell_Swine_Stage1MMS_DigesterCoveredLagoons_AmountSeparated_Method2</f>
        <v>0.2</v>
      </c>
      <c r="P30" s="50">
        <f>X_Cell_Swine_Stage1MMS_DigesterCoveredLagoons_AmountSeparated_Method2</f>
        <v>0.2</v>
      </c>
      <c r="Q30" s="50">
        <f>X_Cell_Swine_Stage1MMS_DigesterCoveredLagoons_AmountSeparated_Method2</f>
        <v>0.2</v>
      </c>
      <c r="R30" s="50">
        <f>X_Cell_Swine_Stage1MMS_DigesterCoveredLagoons_AmountSeparated_Method2</f>
        <v>0.2</v>
      </c>
      <c r="S30" s="2"/>
    </row>
    <row r="31" spans="1:19" ht="20.100000000000001" customHeight="1" x14ac:dyDescent="0.25">
      <c r="D31" s="55" t="str">
        <f>INDEX(X_Table_Swine_Stage1MMS_DeepLitter,2,1)</f>
        <v>Deep litter</v>
      </c>
      <c r="E31" s="50">
        <f>X_Cell_Swine_Stage1MMS_DeepLitter_AmountSeparated_Method1</f>
        <v>0.2</v>
      </c>
      <c r="F31" s="50">
        <f>X_Cell_Swine_Stage1MMS_DeepLitter_AmountSeparated_Method1</f>
        <v>0.2</v>
      </c>
      <c r="G31" s="50">
        <f>X_Cell_Swine_Stage1MMS_DeepLitter_AmountSeparated_Method1</f>
        <v>0.2</v>
      </c>
      <c r="H31" s="50">
        <f>X_Cell_Swine_Stage1MMS_DeepLitter_AmountSeparated_Method1</f>
        <v>0.2</v>
      </c>
      <c r="I31" s="2"/>
      <c r="N31" s="55" t="str">
        <f>INDEX(X_Table_Swine_Stage1MMS_DeepLitter,2,1)</f>
        <v>Deep litter</v>
      </c>
      <c r="O31" s="50">
        <f>X_Cell_Swine_Stage1MMS_DeepLitter_AmountSeparated_Method2</f>
        <v>0.2</v>
      </c>
      <c r="P31" s="50">
        <f>X_Cell_Swine_Stage1MMS_DeepLitter_AmountSeparated_Method2</f>
        <v>0.2</v>
      </c>
      <c r="Q31" s="50">
        <f>X_Cell_Swine_Stage1MMS_DeepLitter_AmountSeparated_Method2</f>
        <v>0.2</v>
      </c>
      <c r="R31" s="50">
        <f>X_Cell_Swine_Stage1MMS_DeepLitter_AmountSeparated_Method2</f>
        <v>0.2</v>
      </c>
      <c r="S31" s="2"/>
    </row>
    <row r="32" spans="1:19" ht="20.100000000000001" customHeight="1" x14ac:dyDescent="0.25">
      <c r="D32" s="55" t="str">
        <f>INDEX(X_Table_Swine_Stage1MMS_PitStorage,2,1)</f>
        <v>Pit storage</v>
      </c>
      <c r="E32" s="50">
        <f>X_Cell_Swine_Stage1MMS_PitStorage_AmountSeparated_Method1</f>
        <v>0.2</v>
      </c>
      <c r="F32" s="50">
        <f>X_Cell_Swine_Stage1MMS_PitStorage_AmountSeparated_Method1</f>
        <v>0.2</v>
      </c>
      <c r="G32" s="50">
        <f>X_Cell_Swine_Stage1MMS_PitStorage_AmountSeparated_Method1</f>
        <v>0.2</v>
      </c>
      <c r="H32" s="50">
        <f>X_Cell_Swine_Stage1MMS_PitStorage_AmountSeparated_Method1</f>
        <v>0.2</v>
      </c>
      <c r="I32" s="2"/>
      <c r="N32" s="55" t="str">
        <f>INDEX(X_Table_Swine_Stage1MMS_PitStorage,2,1)</f>
        <v>Pit storage</v>
      </c>
      <c r="O32" s="50">
        <f>X_Cell_Swine_Stage1MMS_PitStorage_AmountSeparated_Method2</f>
        <v>0.2</v>
      </c>
      <c r="P32" s="50">
        <f>X_Cell_Swine_Stage1MMS_PitStorage_AmountSeparated_Method2</f>
        <v>0.2</v>
      </c>
      <c r="Q32" s="50">
        <f>X_Cell_Swine_Stage1MMS_PitStorage_AmountSeparated_Method2</f>
        <v>0.2</v>
      </c>
      <c r="R32" s="50">
        <f>X_Cell_Swine_Stage1MMS_PitStorage_AmountSeparated_Method2</f>
        <v>0.2</v>
      </c>
      <c r="S32" s="2"/>
    </row>
    <row r="33" spans="3:21" ht="20.100000000000001" customHeight="1" x14ac:dyDescent="0.25"/>
    <row r="34" spans="3:21" ht="20.100000000000001" customHeight="1" x14ac:dyDescent="0.25">
      <c r="D34" s="117" t="s">
        <v>231</v>
      </c>
      <c r="N34" s="117" t="s">
        <v>232</v>
      </c>
    </row>
    <row r="35" spans="3:21" ht="20.100000000000001" customHeight="1" x14ac:dyDescent="0.25">
      <c r="D35" s="118" t="s">
        <v>184</v>
      </c>
      <c r="N35" s="118" t="s">
        <v>198</v>
      </c>
    </row>
    <row r="36" spans="3:21" ht="20.100000000000001" customHeight="1" x14ac:dyDescent="0.25">
      <c r="D36" s="49" t="s">
        <v>156</v>
      </c>
      <c r="E36" s="49" t="s">
        <v>135</v>
      </c>
      <c r="F36" s="49" t="s">
        <v>136</v>
      </c>
      <c r="G36" s="49" t="s">
        <v>137</v>
      </c>
      <c r="H36" s="49" t="s">
        <v>195</v>
      </c>
      <c r="N36" s="49" t="s">
        <v>156</v>
      </c>
      <c r="O36" s="49" t="s">
        <v>135</v>
      </c>
      <c r="P36" s="49" t="s">
        <v>136</v>
      </c>
      <c r="Q36" s="49" t="s">
        <v>137</v>
      </c>
      <c r="R36" s="49" t="s">
        <v>195</v>
      </c>
    </row>
    <row r="37" spans="3:21" ht="20.100000000000001" customHeight="1" x14ac:dyDescent="0.25">
      <c r="D37" s="55" t="str">
        <f>INDEX(X_Table_Swine_Stage1MMS_AnaerobicLagoon,2,1)</f>
        <v>Anaerobic lagoon</v>
      </c>
      <c r="E37" s="50" cm="1">
        <f t="array" aca="1" ref="E37" ca="1">MMS_Swine_Methane_Equations.VEERG_4_5_1_1__4_FractionVolatileSolidsPrimarySystem(E19,E28)</f>
        <v>0.12</v>
      </c>
      <c r="F37" s="50" cm="1">
        <f t="array" aca="1" ref="F37" ca="1">MMS_Swine_Methane_Equations.VEERG_4_5_1_1__4_FractionVolatileSolidsPrimarySystem(F19,F28)</f>
        <v>0.12</v>
      </c>
      <c r="G37" s="50" cm="1">
        <f t="array" aca="1" ref="G37" ca="1">MMS_Swine_Methane_Equations.VEERG_4_5_1_1__4_FractionVolatileSolidsPrimarySystem(G19,G28)</f>
        <v>0.12</v>
      </c>
      <c r="H37" s="50" cm="1">
        <f t="array" aca="1" ref="H37" ca="1">MMS_Swine_Methane_Equations.VEERG_4_5_1_1__4_FractionVolatileSolidsPrimarySystem(H19,H28)</f>
        <v>0.12</v>
      </c>
      <c r="I37" s="2" t="str">
        <f>$E$11</f>
        <v>fraction</v>
      </c>
      <c r="N37" s="55" t="str">
        <f>INDEX(X_Table_Swine_Stage1MMS_AnaerobicLagoon,2,1)</f>
        <v>Anaerobic lagoon</v>
      </c>
      <c r="O37" s="50" cm="1">
        <f t="array" aca="1" ref="O37" ca="1">MMS_Swine_Methane_Equations.VEERG_4_5_1_1__4_FractionVolatileSolidsPrimarySystem(E19,O28)</f>
        <v>0.12</v>
      </c>
      <c r="P37" s="50" cm="1">
        <f t="array" aca="1" ref="P37" ca="1">MMS_Swine_Methane_Equations.VEERG_4_5_1_1__4_FractionVolatileSolidsPrimarySystem(F19,P28)</f>
        <v>0.12</v>
      </c>
      <c r="Q37" s="50" cm="1">
        <f t="array" aca="1" ref="Q37" ca="1">MMS_Swine_Methane_Equations.VEERG_4_5_1_1__4_FractionVolatileSolidsPrimarySystem(G19,Q28)</f>
        <v>0.12</v>
      </c>
      <c r="R37" s="50" cm="1">
        <f t="array" aca="1" ref="R37" ca="1">MMS_Swine_Methane_Equations.VEERG_4_5_1_1__4_FractionVolatileSolidsPrimarySystem(H19,R28)</f>
        <v>0.12</v>
      </c>
      <c r="S37" s="2" t="str">
        <f>$E$11</f>
        <v>fraction</v>
      </c>
    </row>
    <row r="38" spans="3:21" ht="20.100000000000001" customHeight="1" x14ac:dyDescent="0.25">
      <c r="D38" s="55" t="str">
        <f>INDEX(X_Table_Swine_Stage1MMS_Drylot,2,1)</f>
        <v>Drylot (feed pad)</v>
      </c>
      <c r="E38" s="50" cm="1">
        <f t="array" aca="1" ref="E38" ca="1">MMS_Swine_Methane_Equations.VEERG_4_5_1_1__4_FractionVolatileSolidsPrimarySystem(E20,E29)</f>
        <v>0.12</v>
      </c>
      <c r="F38" s="50" cm="1">
        <f t="array" aca="1" ref="F38" ca="1">MMS_Swine_Methane_Equations.VEERG_4_5_1_1__4_FractionVolatileSolidsPrimarySystem(F20,F29)</f>
        <v>0.12</v>
      </c>
      <c r="G38" s="50" cm="1">
        <f t="array" aca="1" ref="G38" ca="1">MMS_Swine_Methane_Equations.VEERG_4_5_1_1__4_FractionVolatileSolidsPrimarySystem(G20,G29)</f>
        <v>0.12</v>
      </c>
      <c r="H38" s="50" cm="1">
        <f t="array" aca="1" ref="H38" ca="1">MMS_Swine_Methane_Equations.VEERG_4_5_1_1__4_FractionVolatileSolidsPrimarySystem(H20,H29)</f>
        <v>0.12</v>
      </c>
      <c r="I38" s="2"/>
      <c r="N38" s="55" t="str">
        <f>INDEX(X_Table_Swine_Stage1MMS_Drylot,2,1)</f>
        <v>Drylot (feed pad)</v>
      </c>
      <c r="O38" s="50" cm="1">
        <f t="array" aca="1" ref="O38" ca="1">MMS_Swine_Methane_Equations.VEERG_4_5_1_1__4_FractionVolatileSolidsPrimarySystem(E20,O29)</f>
        <v>0.12</v>
      </c>
      <c r="P38" s="50" cm="1">
        <f t="array" aca="1" ref="P38" ca="1">MMS_Swine_Methane_Equations.VEERG_4_5_1_1__4_FractionVolatileSolidsPrimarySystem(F20,P29)</f>
        <v>0.12</v>
      </c>
      <c r="Q38" s="50" cm="1">
        <f t="array" aca="1" ref="Q38" ca="1">MMS_Swine_Methane_Equations.VEERG_4_5_1_1__4_FractionVolatileSolidsPrimarySystem(G20,Q29)</f>
        <v>0.12</v>
      </c>
      <c r="R38" s="50" cm="1">
        <f t="array" aca="1" ref="R38" ca="1">MMS_Swine_Methane_Equations.VEERG_4_5_1_1__4_FractionVolatileSolidsPrimarySystem(H20,R29)</f>
        <v>0.12</v>
      </c>
      <c r="S38" s="2"/>
    </row>
    <row r="39" spans="3:21" ht="20.100000000000001" customHeight="1" x14ac:dyDescent="0.25">
      <c r="D39" s="55" t="str">
        <f>INDEX(X_Table_Swine_Stage1MMS_DigesterCoveredLagoons,2,1)</f>
        <v>Digester / covered lagoons</v>
      </c>
      <c r="E39" s="50" cm="1">
        <f t="array" aca="1" ref="E39" ca="1">MMS_Swine_Methane_Equations.VEERG_4_5_1_1__4_FractionVolatileSolidsPrimarySystem(E21,E30)</f>
        <v>0.12</v>
      </c>
      <c r="F39" s="50" cm="1">
        <f t="array" aca="1" ref="F39" ca="1">MMS_Swine_Methane_Equations.VEERG_4_5_1_1__4_FractionVolatileSolidsPrimarySystem(F21,F30)</f>
        <v>0.12</v>
      </c>
      <c r="G39" s="50" cm="1">
        <f t="array" aca="1" ref="G39" ca="1">MMS_Swine_Methane_Equations.VEERG_4_5_1_1__4_FractionVolatileSolidsPrimarySystem(G21,G30)</f>
        <v>0.12</v>
      </c>
      <c r="H39" s="50" cm="1">
        <f t="array" aca="1" ref="H39" ca="1">MMS_Swine_Methane_Equations.VEERG_4_5_1_1__4_FractionVolatileSolidsPrimarySystem(H21,H30)</f>
        <v>0.12</v>
      </c>
      <c r="I39" s="2"/>
      <c r="N39" s="55" t="str">
        <f>INDEX(X_Table_Swine_Stage1MMS_DigesterCoveredLagoons,2,1)</f>
        <v>Digester / covered lagoons</v>
      </c>
      <c r="O39" s="50" cm="1">
        <f t="array" aca="1" ref="O39" ca="1">MMS_Swine_Methane_Equations.VEERG_4_5_1_1__4_FractionVolatileSolidsPrimarySystem(E21,O30)</f>
        <v>0.12</v>
      </c>
      <c r="P39" s="50" cm="1">
        <f t="array" aca="1" ref="P39" ca="1">MMS_Swine_Methane_Equations.VEERG_4_5_1_1__4_FractionVolatileSolidsPrimarySystem(F21,P30)</f>
        <v>0.12</v>
      </c>
      <c r="Q39" s="50" cm="1">
        <f t="array" aca="1" ref="Q39" ca="1">MMS_Swine_Methane_Equations.VEERG_4_5_1_1__4_FractionVolatileSolidsPrimarySystem(G21,Q30)</f>
        <v>0.12</v>
      </c>
      <c r="R39" s="50" cm="1">
        <f t="array" aca="1" ref="R39" ca="1">MMS_Swine_Methane_Equations.VEERG_4_5_1_1__4_FractionVolatileSolidsPrimarySystem(H21,R30)</f>
        <v>0.12</v>
      </c>
      <c r="S39" s="2"/>
    </row>
    <row r="40" spans="3:21" ht="20.100000000000001" customHeight="1" x14ac:dyDescent="0.25">
      <c r="D40" s="55" t="str">
        <f>INDEX(X_Table_Swine_Stage1MMS_DeepLitter,2,1)</f>
        <v>Deep litter</v>
      </c>
      <c r="E40" s="50" cm="1">
        <f t="array" aca="1" ref="E40" ca="1">MMS_Swine_Methane_Equations.VEERG_4_5_1_1__4_FractionVolatileSolidsPrimarySystem(E22,E31)</f>
        <v>0.12</v>
      </c>
      <c r="F40" s="50" cm="1">
        <f t="array" aca="1" ref="F40" ca="1">MMS_Swine_Methane_Equations.VEERG_4_5_1_1__4_FractionVolatileSolidsPrimarySystem(F22,F31)</f>
        <v>0.12</v>
      </c>
      <c r="G40" s="50" cm="1">
        <f t="array" aca="1" ref="G40" ca="1">MMS_Swine_Methane_Equations.VEERG_4_5_1_1__4_FractionVolatileSolidsPrimarySystem(G22,G31)</f>
        <v>0.12</v>
      </c>
      <c r="H40" s="50" cm="1">
        <f t="array" aca="1" ref="H40" ca="1">MMS_Swine_Methane_Equations.VEERG_4_5_1_1__4_FractionVolatileSolidsPrimarySystem(H22,H31)</f>
        <v>0.12</v>
      </c>
      <c r="I40" s="2"/>
      <c r="N40" s="55" t="str">
        <f>INDEX(X_Table_Swine_Stage1MMS_DeepLitter,2,1)</f>
        <v>Deep litter</v>
      </c>
      <c r="O40" s="50" cm="1">
        <f t="array" aca="1" ref="O40" ca="1">MMS_Swine_Methane_Equations.VEERG_4_5_1_1__4_FractionVolatileSolidsPrimarySystem(E22,O31)</f>
        <v>0.12</v>
      </c>
      <c r="P40" s="50" cm="1">
        <f t="array" aca="1" ref="P40" ca="1">MMS_Swine_Methane_Equations.VEERG_4_5_1_1__4_FractionVolatileSolidsPrimarySystem(F22,P31)</f>
        <v>0.12</v>
      </c>
      <c r="Q40" s="50" cm="1">
        <f t="array" aca="1" ref="Q40" ca="1">MMS_Swine_Methane_Equations.VEERG_4_5_1_1__4_FractionVolatileSolidsPrimarySystem(G22,Q31)</f>
        <v>0.12</v>
      </c>
      <c r="R40" s="50" cm="1">
        <f t="array" aca="1" ref="R40" ca="1">MMS_Swine_Methane_Equations.VEERG_4_5_1_1__4_FractionVolatileSolidsPrimarySystem(H22,R31)</f>
        <v>0.12</v>
      </c>
      <c r="S40" s="2"/>
    </row>
    <row r="41" spans="3:21" ht="20.100000000000001" customHeight="1" x14ac:dyDescent="0.25">
      <c r="D41" s="55" t="str">
        <f>INDEX(X_Table_Swine_Stage1MMS_PitStorage,2,1)</f>
        <v>Pit storage</v>
      </c>
      <c r="E41" s="50" cm="1">
        <f t="array" aca="1" ref="E41" ca="1">MMS_Swine_Methane_Equations.VEERG_4_5_1_1__4_FractionVolatileSolidsPrimarySystem(E23,E32)</f>
        <v>0.12</v>
      </c>
      <c r="F41" s="50" cm="1">
        <f t="array" aca="1" ref="F41" ca="1">MMS_Swine_Methane_Equations.VEERG_4_5_1_1__4_FractionVolatileSolidsPrimarySystem(F23,F32)</f>
        <v>0.12</v>
      </c>
      <c r="G41" s="50" cm="1">
        <f t="array" aca="1" ref="G41" ca="1">MMS_Swine_Methane_Equations.VEERG_4_5_1_1__4_FractionVolatileSolidsPrimarySystem(G23,G32)</f>
        <v>0.12</v>
      </c>
      <c r="H41" s="50" cm="1">
        <f t="array" aca="1" ref="H41" ca="1">MMS_Swine_Methane_Equations.VEERG_4_5_1_1__4_FractionVolatileSolidsPrimarySystem(H23,H32)</f>
        <v>0.12</v>
      </c>
      <c r="I41" s="2"/>
      <c r="N41" s="55" t="str">
        <f>INDEX(X_Table_Swine_Stage1MMS_PitStorage,2,1)</f>
        <v>Pit storage</v>
      </c>
      <c r="O41" s="50" cm="1">
        <f t="array" aca="1" ref="O41" ca="1">MMS_Swine_Methane_Equations.VEERG_4_5_1_1__4_FractionVolatileSolidsPrimarySystem(E23,O32)</f>
        <v>0.12</v>
      </c>
      <c r="P41" s="50" cm="1">
        <f t="array" aca="1" ref="P41" ca="1">MMS_Swine_Methane_Equations.VEERG_4_5_1_1__4_FractionVolatileSolidsPrimarySystem(F23,P32)</f>
        <v>0.12</v>
      </c>
      <c r="Q41" s="50" cm="1">
        <f t="array" aca="1" ref="Q41" ca="1">MMS_Swine_Methane_Equations.VEERG_4_5_1_1__4_FractionVolatileSolidsPrimarySystem(G23,Q32)</f>
        <v>0.12</v>
      </c>
      <c r="R41" s="50" cm="1">
        <f t="array" aca="1" ref="R41" ca="1">MMS_Swine_Methane_Equations.VEERG_4_5_1_1__4_FractionVolatileSolidsPrimarySystem(H23,R32)</f>
        <v>0.12</v>
      </c>
      <c r="S41" s="2"/>
    </row>
    <row r="42" spans="3:21" ht="20.100000000000001" customHeight="1" x14ac:dyDescent="0.25"/>
    <row r="43" spans="3:21" ht="20.100000000000001" customHeight="1" x14ac:dyDescent="0.25"/>
    <row r="44" spans="3:21" ht="20.100000000000001" customHeight="1" x14ac:dyDescent="0.25">
      <c r="C44" s="43"/>
      <c r="D44" s="43"/>
      <c r="E44" s="43"/>
      <c r="F44" s="43"/>
      <c r="G44" s="43"/>
      <c r="H44" s="43"/>
      <c r="I44" s="43"/>
      <c r="J44" s="43"/>
      <c r="K44" s="43"/>
      <c r="M44" s="43"/>
      <c r="N44" s="43"/>
      <c r="O44" s="43"/>
      <c r="P44" s="43"/>
      <c r="Q44" s="43"/>
      <c r="R44" s="43"/>
      <c r="S44" s="43"/>
      <c r="T44" s="43"/>
      <c r="U44" s="43"/>
    </row>
    <row r="45" spans="3:21" ht="20.100000000000001" customHeight="1" x14ac:dyDescent="0.25">
      <c r="D45" s="6" t="str" cm="1">
        <f t="array" ref="D45">MMS_Swine_Methane_Equations.VEERG_4_5_1_1__5_FractionVolatileSolidsSolidStorage_Title()</f>
        <v>Fraction of volatile solids in solid storage</v>
      </c>
    </row>
    <row r="46" spans="3:21" ht="20.100000000000001" customHeight="1" x14ac:dyDescent="0.25">
      <c r="D46" s="5" t="str" cm="1">
        <f t="array" ref="D46">MMS_Swine_Methane_Equations.VEERG_4_5_1_1__5_FractionVolatileSolidsSolidStorage_Source()</f>
        <v>VEERG 2026: 4.5.1.1, Equation (5)</v>
      </c>
    </row>
    <row r="47" spans="3:21" ht="20.100000000000001" customHeight="1" x14ac:dyDescent="0.25">
      <c r="D47" s="13" t="s">
        <v>23</v>
      </c>
      <c r="E47" s="13" t="str" cm="1">
        <f t="array" aca="1" ref="E47" ca="1">Common_InputFunctions.Utility_DisplayFunctionName($E$68)</f>
        <v>=MMS_Swine_Methane_Equations.VEERG_4_5_1_1__5_FractionVolatileSolidsSolidStorageVariation</v>
      </c>
    </row>
    <row r="48" spans="3:21" ht="20.100000000000001" customHeight="1" x14ac:dyDescent="0.25">
      <c r="D48" s="53" t="str" cm="1">
        <f t="array" ref="D48">MMS_Swine_Methane_Equations.VEERG_4_5_1_1__5_FractionVolatileSolidsSolidStorage_Variation()</f>
        <v>VARIATION ON SOURCE: Split equation for MMSm=1,7,9 into separate items to allow for calculation</v>
      </c>
    </row>
    <row r="49" spans="4:9" ht="20.100000000000001" customHeight="1" x14ac:dyDescent="0.25"/>
    <row r="50" spans="4:9" ht="20.100000000000001" customHeight="1" x14ac:dyDescent="0.25"/>
    <row r="51" spans="4:9" ht="20.100000000000001" customHeight="1" x14ac:dyDescent="0.25">
      <c r="D51" s="6"/>
      <c r="H51" s="53"/>
    </row>
    <row r="52" spans="4:9" ht="20.100000000000001" customHeight="1" x14ac:dyDescent="0.25"/>
    <row r="53" spans="4:9" ht="20.100000000000001" customHeight="1" x14ac:dyDescent="0.25">
      <c r="D53" s="51" t="s">
        <v>26</v>
      </c>
      <c r="E53" s="1" t="str" cm="1">
        <f t="array" ref="E53">MMS_Swine_Methane_Equations.VEERG_4_5_1_1__5_FractionVolatileSolidsSolidStorage_Variable()</f>
        <v>FVSjm4T1</v>
      </c>
    </row>
    <row r="54" spans="4:9" ht="20.100000000000001" customHeight="1" x14ac:dyDescent="0.25">
      <c r="D54" s="51" t="s">
        <v>16</v>
      </c>
      <c r="E54" s="52" t="str" cm="1">
        <f t="array" ref="E54">MMS_Swine_Methane_Equations.VEERG_4_5_1_1__5_FractionVolatileSolidsSolidStorage_Unit()</f>
        <v>fraction</v>
      </c>
    </row>
    <row r="55" spans="4:9" ht="20.100000000000001" customHeight="1" x14ac:dyDescent="0.25"/>
    <row r="56" spans="4:9" ht="20.100000000000001" customHeight="1" x14ac:dyDescent="0.25">
      <c r="D56" s="104" t="str" cm="1">
        <f t="array" ref="D56:E58">Common_InputFunctions.Utility_DisplayArguments_1_2(MMS_Swine_Methane_Equations.VEERG_4_5_1_1__5_FractionVolatileSolidsSolidStorage_Arguments())</f>
        <v>MMSjm4T1</v>
      </c>
      <c r="E56" s="106" t="str">
        <v>fraction of manure in solid storage primary system</v>
      </c>
      <c r="F56" s="105"/>
      <c r="G56" s="104" t="str" cm="1">
        <f t="array" ref="G56:H58">Common_InputFunctions.Utility_DisplayArguments_3_4(MMS_Swine_Methane_Equations.VEERG_4_5_1_1__5_FractionVolatileSolidsSolidStorage_Arguments())</f>
        <v>fraction</v>
      </c>
      <c r="H56" s="132" t="str">
        <v>Input</v>
      </c>
      <c r="I56" s="135" t="str" cm="1">
        <f t="array" aca="1" ref="I56" ca="1">HYPERLINK(Common_InputFunctions.Utility_SourceHyperlink($D$60), $D$60)</f>
        <v>Table_MMS_j_m-4_T-1</v>
      </c>
    </row>
    <row r="57" spans="4:9" ht="20.100000000000001" customHeight="1" x14ac:dyDescent="0.25">
      <c r="D57" s="104" t="str">
        <v>MMSjm179T1</v>
      </c>
      <c r="E57" s="106" t="str">
        <v>fraction of manure in MMS 1, 7, and 9 in treatment stage 1</v>
      </c>
      <c r="F57" s="105"/>
      <c r="G57" s="104" t="str">
        <v>fraction</v>
      </c>
      <c r="H57" s="132" t="str">
        <v>Input</v>
      </c>
      <c r="I57" s="135" t="str" cm="1">
        <f t="array" aca="1" ref="I57" ca="1">HYPERLINK(Common_InputFunctions.Utility_SourceHyperlink($D$16), $D$16)</f>
        <v>Table_MMS_j_m_T-1</v>
      </c>
    </row>
    <row r="58" spans="4:9" ht="20.100000000000001" customHeight="1" x14ac:dyDescent="0.25">
      <c r="D58" s="104" t="str">
        <v>SSm</v>
      </c>
      <c r="E58" s="106" t="str">
        <v>fraction of volatile solids separated to solid storage for each MMS</v>
      </c>
      <c r="F58" s="105"/>
      <c r="G58" s="104" t="str">
        <v>fraction</v>
      </c>
      <c r="H58" s="132" t="str">
        <v>Input</v>
      </c>
      <c r="I58" s="135" t="str" cm="1">
        <f t="array" aca="1" ref="I58" ca="1">HYPERLINK(Common_InputFunctions.Utility_SourceHyperlink($D$25), $D$25)</f>
        <v>M1_Table_SS_m</v>
      </c>
    </row>
    <row r="59" spans="4:9" ht="20.100000000000001" customHeight="1" x14ac:dyDescent="0.25"/>
    <row r="60" spans="4:9" ht="20.100000000000001" customHeight="1" x14ac:dyDescent="0.25">
      <c r="D60" s="117" t="s">
        <v>157</v>
      </c>
    </row>
    <row r="61" spans="4:9" ht="20.100000000000001" customHeight="1" x14ac:dyDescent="0.25">
      <c r="D61" s="118" t="s">
        <v>158</v>
      </c>
    </row>
    <row r="62" spans="4:9" ht="20.100000000000001" customHeight="1" x14ac:dyDescent="0.25">
      <c r="D62" s="115" t="s">
        <v>156</v>
      </c>
      <c r="E62" s="115" t="s">
        <v>135</v>
      </c>
      <c r="F62" s="115" t="s">
        <v>136</v>
      </c>
      <c r="G62" s="115" t="s">
        <v>137</v>
      </c>
      <c r="H62" s="115" t="s">
        <v>195</v>
      </c>
    </row>
    <row r="63" spans="4:9" ht="20.100000000000001" customHeight="1" x14ac:dyDescent="0.25">
      <c r="D63" s="55" t="str">
        <f>INDEX(X_Table_Swine_Stage1MMS_SolidStorage,2,1)</f>
        <v>Solid storage (before solid separation)</v>
      </c>
      <c r="E63" s="50" cm="1">
        <f t="array" aca="1" ref="E63:H63" ca="1">OFFSET(X_Table_Swine_Stage1MMS_SolidStorage,1,1,1,4)</f>
        <v>0.25</v>
      </c>
      <c r="F63" s="50">
        <f ca="1"/>
        <v>0.25</v>
      </c>
      <c r="G63" s="50">
        <f ca="1"/>
        <v>0.25</v>
      </c>
      <c r="H63" s="50">
        <f ca="1"/>
        <v>0.25</v>
      </c>
      <c r="I63" s="2" t="str">
        <f>$G$56</f>
        <v>fraction</v>
      </c>
    </row>
    <row r="64" spans="4:9" ht="20.100000000000001" customHeight="1" x14ac:dyDescent="0.25"/>
    <row r="65" spans="3:21" ht="20.100000000000001" customHeight="1" x14ac:dyDescent="0.25">
      <c r="D65" s="117" t="s">
        <v>185</v>
      </c>
      <c r="N65" s="117" t="s">
        <v>199</v>
      </c>
    </row>
    <row r="66" spans="3:21" ht="20.100000000000001" customHeight="1" x14ac:dyDescent="0.25">
      <c r="D66" s="118" t="s">
        <v>186</v>
      </c>
      <c r="N66" s="118" t="s">
        <v>200</v>
      </c>
    </row>
    <row r="67" spans="3:21" ht="20.100000000000001" customHeight="1" x14ac:dyDescent="0.25">
      <c r="D67" s="49" t="s">
        <v>156</v>
      </c>
      <c r="E67" s="49" t="s">
        <v>135</v>
      </c>
      <c r="F67" s="49" t="s">
        <v>136</v>
      </c>
      <c r="G67" s="49" t="s">
        <v>137</v>
      </c>
      <c r="H67" s="49" t="s">
        <v>195</v>
      </c>
      <c r="N67" s="49" t="s">
        <v>156</v>
      </c>
      <c r="O67" s="49" t="s">
        <v>135</v>
      </c>
      <c r="P67" s="49" t="s">
        <v>136</v>
      </c>
      <c r="Q67" s="49" t="s">
        <v>137</v>
      </c>
      <c r="R67" s="49" t="s">
        <v>195</v>
      </c>
    </row>
    <row r="68" spans="3:21" ht="20.100000000000001" customHeight="1" x14ac:dyDescent="0.25">
      <c r="D68" s="55" t="s">
        <v>346</v>
      </c>
      <c r="E68" s="50" cm="1">
        <f t="array" aca="1" ref="E68" ca="1">MMS_Swine_Methane_Equations.VEERG_4_5_1_1__5_FractionVolatileSolidsSolidStorageVariation(E63,E19,E20,E21,E22,E23,E28,E29,E30,E31,E32)</f>
        <v>0.40000000000000013</v>
      </c>
      <c r="F68" s="50" cm="1">
        <f t="array" aca="1" ref="F68" ca="1">MMS_Swine_Methane_Equations.VEERG_4_5_1_1__5_FractionVolatileSolidsSolidStorageVariation(F63,F19,F20,F21,F22,F23,F28,F29,F30,F31,F32)</f>
        <v>0.40000000000000013</v>
      </c>
      <c r="G68" s="50" cm="1">
        <f t="array" aca="1" ref="G68" ca="1">MMS_Swine_Methane_Equations.VEERG_4_5_1_1__5_FractionVolatileSolidsSolidStorageVariation(G63,G19,G20,G21,G22,G23,G28,G29,G30,G31,G32)</f>
        <v>0.40000000000000013</v>
      </c>
      <c r="H68" s="50" cm="1">
        <f t="array" aca="1" ref="H68" ca="1">MMS_Swine_Methane_Equations.VEERG_4_5_1_1__5_FractionVolatileSolidsSolidStorageVariation(H63,H19,H20,H21,H22,H23,H28,H29,H30,H31,H32)</f>
        <v>0.40000000000000013</v>
      </c>
      <c r="I68" s="2" t="str">
        <f>$E$54</f>
        <v>fraction</v>
      </c>
      <c r="N68" s="55" t="s">
        <v>346</v>
      </c>
      <c r="O68" s="50" cm="1">
        <f t="array" aca="1" ref="O68" ca="1">MMS_Swine_Methane_Equations.VEERG_4_5_1_1__5_FractionVolatileSolidsSolidStorageVariation(E63,E19,E20,E21,E22,E23,O28,O29,O30,O31,O32)</f>
        <v>0.40000000000000013</v>
      </c>
      <c r="P68" s="50" cm="1">
        <f t="array" aca="1" ref="P68" ca="1">MMS_Swine_Methane_Equations.VEERG_4_5_1_1__5_FractionVolatileSolidsSolidStorageVariation(F63,F19,F20,F21,F22,F23,P28,P29,P30,P31,P32)</f>
        <v>0.40000000000000013</v>
      </c>
      <c r="Q68" s="50" cm="1">
        <f t="array" aca="1" ref="Q68" ca="1">MMS_Swine_Methane_Equations.VEERG_4_5_1_1__5_FractionVolatileSolidsSolidStorageVariation(G63,G19,G20,G21,G22,G23,Q28,Q29,Q30,Q31,Q32)</f>
        <v>0.40000000000000013</v>
      </c>
      <c r="R68" s="50" cm="1">
        <f t="array" aca="1" ref="R68" ca="1">MMS_Swine_Methane_Equations.VEERG_4_5_1_1__5_FractionVolatileSolidsSolidStorageVariation(H63,H19,H20,H21,H22,H23,R28,R29,R30,R31,R32)</f>
        <v>0.40000000000000013</v>
      </c>
      <c r="S68" s="2" t="str">
        <f>$E$54</f>
        <v>fraction</v>
      </c>
    </row>
    <row r="69" spans="3:21" ht="20.100000000000001" customHeight="1" x14ac:dyDescent="0.25"/>
    <row r="70" spans="3:21" ht="20.100000000000001" customHeight="1" x14ac:dyDescent="0.25"/>
    <row r="71" spans="3:21" ht="20.100000000000001" customHeight="1" x14ac:dyDescent="0.25">
      <c r="C71" s="43"/>
      <c r="D71" s="43"/>
      <c r="E71" s="43"/>
      <c r="F71" s="43"/>
      <c r="G71" s="43"/>
      <c r="H71" s="43"/>
      <c r="I71" s="43"/>
      <c r="J71" s="43"/>
      <c r="K71" s="43"/>
      <c r="M71" s="43"/>
      <c r="N71" s="43"/>
      <c r="O71" s="43"/>
      <c r="P71" s="43"/>
      <c r="Q71" s="43"/>
      <c r="R71" s="43"/>
      <c r="S71" s="43"/>
      <c r="T71" s="43"/>
      <c r="U71" s="43"/>
    </row>
    <row r="72" spans="3:21" ht="20.100000000000001" customHeight="1" x14ac:dyDescent="0.25">
      <c r="D72" s="6" t="str" cm="1">
        <f t="array" ref="D72">MMS_Swine_Methane_Equations.VEERG_4_5_1_1__7_VolatileSolidsTransferredStage2_Title()</f>
        <v>Volatile solids transferred to treatment stage 2 MMS</v>
      </c>
    </row>
    <row r="73" spans="3:21" ht="20.100000000000001" customHeight="1" x14ac:dyDescent="0.25">
      <c r="D73" s="5" t="str" cm="1">
        <f t="array" ref="D73">MMS_Swine_Methane_Equations.VEERG_4_5_1_1__7_VolatileSolidsTransferredStage2_Source()</f>
        <v>VEERG 2026: 4.5.1.1, Equation (7)</v>
      </c>
    </row>
    <row r="74" spans="3:21" ht="20.100000000000001" customHeight="1" x14ac:dyDescent="0.25">
      <c r="D74" s="13" t="s">
        <v>23</v>
      </c>
      <c r="E74" s="13" t="str" cm="1">
        <f t="array" aca="1" ref="E74" ca="1">Common_InputFunctions.Utility_DisplayFunctionName(E103)</f>
        <v>=MMS_Swine_Methane_Equations.VEERG_4_5_1_1__7_VolatileSolidsTransferredStage2</v>
      </c>
    </row>
    <row r="75" spans="3:21" ht="20.100000000000001" customHeight="1" x14ac:dyDescent="0.25"/>
    <row r="76" spans="3:21" ht="20.100000000000001" customHeight="1" x14ac:dyDescent="0.25"/>
    <row r="77" spans="3:21" ht="20.100000000000001" customHeight="1" x14ac:dyDescent="0.25"/>
    <row r="78" spans="3:21" ht="20.100000000000001" customHeight="1" x14ac:dyDescent="0.25">
      <c r="D78" s="51" t="s">
        <v>26</v>
      </c>
      <c r="E78" s="1" t="str" cm="1">
        <f t="array" ref="E78">MMS_Swine_Methane_Equations.VEERG_4_5_1_1__7_VolatileSolidsTransferredStage2_Variable()</f>
        <v>VSTijmT2</v>
      </c>
    </row>
    <row r="79" spans="3:21" ht="20.100000000000001" customHeight="1" x14ac:dyDescent="0.25">
      <c r="D79" s="51" t="s">
        <v>16</v>
      </c>
      <c r="E79" s="52" t="str" cm="1">
        <f t="array" ref="E79">MMS_Swine_Methane_Equations.VEERG_4_5_1_1__7_VolatileSolidsTransferredStage2_Unit()</f>
        <v>kg VS</v>
      </c>
    </row>
    <row r="80" spans="3:21" ht="20.100000000000001" customHeight="1" x14ac:dyDescent="0.25"/>
    <row r="81" spans="4:18" ht="20.100000000000001" customHeight="1" x14ac:dyDescent="0.25">
      <c r="D81" s="55" t="str" cm="1">
        <f t="array" ref="D81:E83">Common_InputFunctions.Utility_DisplayArguments_1_2(MMS_Swine_Methane_Equations.VEERG_4_5_1_1__7_VolatileSolidsTransferredStage2_Arguments())</f>
        <v>VSj</v>
      </c>
      <c r="E81" s="56" t="str">
        <v>volatile solid production from swine in each class</v>
      </c>
      <c r="F81" s="57"/>
      <c r="G81" s="55" t="str" cm="1">
        <f t="array" ref="G81:H83">Common_InputFunctions.Utility_DisplayArguments_3_4(MMS_Swine_Methane_Equations.VEERG_4_5_1_1__7_VolatileSolidsTransferredStage2_Arguments())</f>
        <v>kg/head/day</v>
      </c>
      <c r="H81" s="132" t="str">
        <v>Input</v>
      </c>
      <c r="I81" s="135" t="str" cm="1">
        <f t="array" aca="1" ref="I81" ca="1">HYPERLINK(Common_InputFunctions.Utility_SourceHyperlink(D85), D85)</f>
        <v>M1_Table_VS_j</v>
      </c>
      <c r="J81" s="135"/>
    </row>
    <row r="82" spans="4:18" ht="20.100000000000001" customHeight="1" x14ac:dyDescent="0.25">
      <c r="D82" s="55" t="str">
        <v>FVSjmT1</v>
      </c>
      <c r="E82" s="56" t="str">
        <v>fraction of volatile solids in each primary system</v>
      </c>
      <c r="F82" s="57"/>
      <c r="G82" s="55" t="str">
        <v>fraction</v>
      </c>
      <c r="H82" s="131" t="str">
        <v>Calculated from 4.5.1.1 (4)(5)</v>
      </c>
      <c r="I82" s="135" t="str" cm="1">
        <f t="array" aca="1" ref="I82" ca="1">HYPERLINK(Common_InputFunctions.Utility_SourceHyperlink($D$34), $D$34)</f>
        <v>M1_Table_FVS_j_m_T-1</v>
      </c>
      <c r="J82" s="135" t="str" cm="1">
        <f t="array" aca="1" ref="J82" ca="1">HYPERLINK(Common_InputFunctions.Utility_SourceHyperlink($D$65), $D$65)</f>
        <v>M1_Table_FVS_j_m-4_T-1</v>
      </c>
    </row>
    <row r="83" spans="4:18" ht="20.100000000000001" customHeight="1" x14ac:dyDescent="0.25">
      <c r="D83" s="55" t="str">
        <v>VSLmT1</v>
      </c>
      <c r="E83" s="56" t="str">
        <v>fraction of volatile solids lost during storage in the primary system</v>
      </c>
      <c r="F83" s="57"/>
      <c r="G83" s="55" t="str">
        <v>fraction</v>
      </c>
      <c r="H83" s="131" t="str">
        <v>Lookup</v>
      </c>
      <c r="I83" s="135" t="str" cm="1">
        <f t="array" aca="1" ref="I83" ca="1">HYPERLINK(Common_InputFunctions.Utility_SourceHyperlink($D$90), $D$90)</f>
        <v>Table_VSL_m_T-1</v>
      </c>
      <c r="J83" s="135"/>
    </row>
    <row r="84" spans="4:18" ht="20.100000000000001" customHeight="1" x14ac:dyDescent="0.25"/>
    <row r="85" spans="4:18" ht="20.100000000000001" customHeight="1" x14ac:dyDescent="0.25">
      <c r="D85" s="117" t="s">
        <v>201</v>
      </c>
      <c r="N85" s="117" t="s">
        <v>203</v>
      </c>
    </row>
    <row r="86" spans="4:18" ht="20.100000000000001" customHeight="1" x14ac:dyDescent="0.25">
      <c r="D86" s="118" t="s">
        <v>202</v>
      </c>
      <c r="N86" s="118" t="s">
        <v>204</v>
      </c>
    </row>
    <row r="87" spans="4:18" ht="20.100000000000001" customHeight="1" x14ac:dyDescent="0.25">
      <c r="D87" s="115" t="s">
        <v>135</v>
      </c>
      <c r="E87" s="115" t="s">
        <v>136</v>
      </c>
      <c r="F87" s="115" t="s">
        <v>137</v>
      </c>
      <c r="G87" s="115" t="s">
        <v>195</v>
      </c>
      <c r="I87" s="2"/>
      <c r="J87" s="2"/>
      <c r="N87" s="115" t="s">
        <v>135</v>
      </c>
      <c r="O87" s="115" t="s">
        <v>136</v>
      </c>
      <c r="P87" s="115" t="s">
        <v>137</v>
      </c>
      <c r="Q87" s="115" t="s">
        <v>195</v>
      </c>
    </row>
    <row r="88" spans="4:18" ht="20.100000000000001" customHeight="1" x14ac:dyDescent="0.25">
      <c r="D88" s="50" cm="1">
        <f t="array" aca="1" ref="D88:G88" ca="1">OFFSET(X_Table_Swine_ManureProduction_Method1,1,1,1,4)</f>
        <v>0.4</v>
      </c>
      <c r="E88" s="50">
        <f ca="1"/>
        <v>0.46</v>
      </c>
      <c r="F88" s="50">
        <f ca="1"/>
        <v>0.55000000000000004</v>
      </c>
      <c r="G88" s="50">
        <f ca="1"/>
        <v>0.39</v>
      </c>
      <c r="H88" s="2" t="str">
        <f>$G$81</f>
        <v>kg/head/day</v>
      </c>
      <c r="N88" s="50" cm="1">
        <f t="array" aca="1" ref="N88:Q88" ca="1">OFFSET(X_Table_Swine_ManureProduction_Method2,1,1,1,4)</f>
        <v>0.4</v>
      </c>
      <c r="O88" s="50">
        <f ca="1"/>
        <v>0.46</v>
      </c>
      <c r="P88" s="50">
        <f ca="1"/>
        <v>0.55000000000000004</v>
      </c>
      <c r="Q88" s="50">
        <f ca="1"/>
        <v>0.39</v>
      </c>
      <c r="R88" s="2" t="str">
        <f>$G$81</f>
        <v>kg/head/day</v>
      </c>
    </row>
    <row r="89" spans="4:18" ht="20.100000000000001" customHeight="1" x14ac:dyDescent="0.25"/>
    <row r="90" spans="4:18" ht="20.100000000000001" customHeight="1" x14ac:dyDescent="0.25">
      <c r="D90" s="117" t="s">
        <v>159</v>
      </c>
    </row>
    <row r="91" spans="4:18" ht="20.100000000000001" customHeight="1" x14ac:dyDescent="0.25">
      <c r="D91" s="118" t="s">
        <v>150</v>
      </c>
    </row>
    <row r="92" spans="4:18" ht="20.100000000000001" customHeight="1" x14ac:dyDescent="0.25">
      <c r="D92" s="49" t="s">
        <v>156</v>
      </c>
      <c r="E92" s="49" t="s">
        <v>160</v>
      </c>
    </row>
    <row r="93" spans="4:18" ht="20.100000000000001" customHeight="1" x14ac:dyDescent="0.25">
      <c r="D93" s="55" t="str">
        <f>INDEX(X_Table_Swine_Stage1MMS_AnaerobicLagoon,2,1)</f>
        <v>Anaerobic lagoon</v>
      </c>
      <c r="E93" s="50" cm="1">
        <f t="array" ref="E93">Common_InputFunctions.Utility_LookupValueInTableNumber(D93,Table_SourceData_SwineVSL[MMS],Table_SourceData_SwineVSL[VSL])</f>
        <v>0</v>
      </c>
      <c r="F93" s="2" t="str">
        <f>G83</f>
        <v>fraction</v>
      </c>
    </row>
    <row r="94" spans="4:18" ht="20.100000000000001" customHeight="1" x14ac:dyDescent="0.25">
      <c r="D94" s="55" t="str">
        <f>INDEX(X_Table_Swine_Stage1MMS_Drylot,2,1)</f>
        <v>Drylot (feed pad)</v>
      </c>
      <c r="E94" s="50" cm="1">
        <f t="array" ref="E94">Common_InputFunctions.Utility_LookupValueInTableNumber(D94,Table_SourceData_SwineVSL[MMS],Table_SourceData_SwineVSL[VSL])</f>
        <v>0</v>
      </c>
      <c r="F94" s="2"/>
    </row>
    <row r="95" spans="4:18" ht="20.100000000000001" customHeight="1" x14ac:dyDescent="0.25">
      <c r="D95" s="55" t="str">
        <f>INDEX(X_Table_Swine_Stage1MMS_DigesterCoveredLagoons,2,1)</f>
        <v>Digester / covered lagoons</v>
      </c>
      <c r="E95" s="50" cm="1">
        <f t="array" ref="E95">Common_InputFunctions.Utility_LookupValueInTableNumber(D95,Table_SourceData_SwineVSL[MMS],Table_SourceData_SwineVSL[VSL])</f>
        <v>0.75</v>
      </c>
      <c r="F95" s="2"/>
    </row>
    <row r="96" spans="4:18" ht="20.100000000000001" customHeight="1" x14ac:dyDescent="0.25">
      <c r="D96" s="55" t="str">
        <f>INDEX(X_Table_Swine_Stage1MMS_DeepLitter,2,1)</f>
        <v>Deep litter</v>
      </c>
      <c r="E96" s="50" cm="1">
        <f t="array" ref="E96">Common_InputFunctions.Utility_LookupValueInTableNumber(D96,Table_SourceData_SwineVSL[MMS],Table_SourceData_SwineVSL[VSL])</f>
        <v>0.05</v>
      </c>
      <c r="F96" s="2"/>
      <c r="G96" s="103" t="s">
        <v>161</v>
      </c>
    </row>
    <row r="97" spans="3:21" ht="20.100000000000001" customHeight="1" x14ac:dyDescent="0.25">
      <c r="D97" s="55" t="str">
        <f>INDEX(X_Table_Swine_Stage1MMS_PitStorage,2,1)</f>
        <v>Pit storage</v>
      </c>
      <c r="E97" s="50" cm="1">
        <f t="array" ref="E97">Common_InputFunctions.Utility_LookupValueInTableNumber(D97,Table_SourceData_SwineVSL[MMS],Table_SourceData_SwineVSL[VSL])</f>
        <v>0</v>
      </c>
      <c r="F97" s="2"/>
    </row>
    <row r="98" spans="3:21" ht="20.100000000000001" customHeight="1" x14ac:dyDescent="0.25">
      <c r="D98" s="55" t="str">
        <f>INDEX(X_Table_Swine_Stage1MMS_SolidStorage,2,1)</f>
        <v>Solid storage (before solid separation)</v>
      </c>
      <c r="E98" s="50" cm="1">
        <f t="array" ref="E98">Common_InputFunctions.Utility_LookupValueInTableNumber(D98,Table_SourceData_SwineVSL[MMS],Table_SourceData_SwineVSL[VSL])</f>
        <v>0</v>
      </c>
      <c r="F98" s="2"/>
    </row>
    <row r="99" spans="3:21" ht="20.100000000000001" customHeight="1" x14ac:dyDescent="0.25"/>
    <row r="100" spans="3:21" ht="20.100000000000001" customHeight="1" x14ac:dyDescent="0.25">
      <c r="D100" s="117" t="s">
        <v>190</v>
      </c>
      <c r="N100" s="117" t="s">
        <v>205</v>
      </c>
    </row>
    <row r="101" spans="3:21" ht="20.100000000000001" customHeight="1" x14ac:dyDescent="0.25">
      <c r="D101" s="118" t="s">
        <v>191</v>
      </c>
      <c r="N101" s="118" t="s">
        <v>206</v>
      </c>
    </row>
    <row r="102" spans="3:21" ht="20.100000000000001" customHeight="1" x14ac:dyDescent="0.25">
      <c r="D102" s="49" t="s">
        <v>156</v>
      </c>
      <c r="E102" s="49" t="s">
        <v>135</v>
      </c>
      <c r="F102" s="49" t="s">
        <v>136</v>
      </c>
      <c r="G102" s="49" t="s">
        <v>137</v>
      </c>
      <c r="H102" s="49" t="s">
        <v>195</v>
      </c>
      <c r="N102" s="49" t="s">
        <v>156</v>
      </c>
      <c r="O102" s="49" t="s">
        <v>135</v>
      </c>
      <c r="P102" s="49" t="s">
        <v>136</v>
      </c>
      <c r="Q102" s="49" t="s">
        <v>137</v>
      </c>
      <c r="R102" s="49" t="s">
        <v>195</v>
      </c>
    </row>
    <row r="103" spans="3:21" ht="20.100000000000001" customHeight="1" x14ac:dyDescent="0.25">
      <c r="D103" s="55" t="str">
        <f>INDEX(X_Table_Swine_Stage1MMS_AnaerobicLagoon,2,1)</f>
        <v>Anaerobic lagoon</v>
      </c>
      <c r="E103" s="50" cm="1">
        <f t="array" aca="1" ref="E103" ca="1">MMS_Swine_Methane_Equations.VEERG_4_5_1_1__7_VolatileSolidsTransferredStage2(D$88,E37,$E93)</f>
        <v>4.8000000000000001E-2</v>
      </c>
      <c r="F103" s="50" cm="1">
        <f t="array" aca="1" ref="F103" ca="1">MMS_Swine_Methane_Equations.VEERG_4_5_1_1__7_VolatileSolidsTransferredStage2(E$88,F37,$E93)</f>
        <v>5.5199999999999999E-2</v>
      </c>
      <c r="G103" s="50" cm="1">
        <f t="array" aca="1" ref="G103" ca="1">MMS_Swine_Methane_Equations.VEERG_4_5_1_1__7_VolatileSolidsTransferredStage2(F$88,G37,$E93)</f>
        <v>6.6000000000000003E-2</v>
      </c>
      <c r="H103" s="50" cm="1">
        <f t="array" aca="1" ref="H103" ca="1">MMS_Swine_Methane_Equations.VEERG_4_5_1_1__7_VolatileSolidsTransferredStage2(G$88,H37,$E93)</f>
        <v>4.6800000000000001E-2</v>
      </c>
      <c r="I103" s="2" t="str">
        <f>$E$79</f>
        <v>kg VS</v>
      </c>
      <c r="N103" s="55" t="str">
        <f>INDEX(X_Table_Swine_Stage1MMS_AnaerobicLagoon,2,1)</f>
        <v>Anaerobic lagoon</v>
      </c>
      <c r="O103" s="50" cm="1">
        <f t="array" aca="1" ref="O103" ca="1">MMS_Swine_Methane_Equations.VEERG_4_5_1_1__7_VolatileSolidsTransferredStage2(N$88,O37,$E93)</f>
        <v>4.8000000000000001E-2</v>
      </c>
      <c r="P103" s="50" cm="1">
        <f t="array" aca="1" ref="P103" ca="1">MMS_Swine_Methane_Equations.VEERG_4_5_1_1__7_VolatileSolidsTransferredStage2(O$88,P37,$E93)</f>
        <v>5.5199999999999999E-2</v>
      </c>
      <c r="Q103" s="50" cm="1">
        <f t="array" aca="1" ref="Q103" ca="1">MMS_Swine_Methane_Equations.VEERG_4_5_1_1__7_VolatileSolidsTransferredStage2(P$88,Q37,$E93)</f>
        <v>6.6000000000000003E-2</v>
      </c>
      <c r="R103" s="50" cm="1">
        <f t="array" aca="1" ref="R103" ca="1">MMS_Swine_Methane_Equations.VEERG_4_5_1_1__7_VolatileSolidsTransferredStage2(Q$88,R37,$E93)</f>
        <v>4.6800000000000001E-2</v>
      </c>
      <c r="S103" s="2" t="str">
        <f t="shared" ref="S103" si="0">$E$79</f>
        <v>kg VS</v>
      </c>
    </row>
    <row r="104" spans="3:21" ht="20.100000000000001" customHeight="1" x14ac:dyDescent="0.25">
      <c r="D104" s="55" t="str">
        <f>INDEX(X_Table_Swine_Stage1MMS_Drylot,2,1)</f>
        <v>Drylot (feed pad)</v>
      </c>
      <c r="E104" s="50" cm="1">
        <f t="array" aca="1" ref="E104" ca="1">MMS_Swine_Methane_Equations.VEERG_4_5_1_1__7_VolatileSolidsTransferredStage2(D$88,E38,$E94)</f>
        <v>4.8000000000000001E-2</v>
      </c>
      <c r="F104" s="50" cm="1">
        <f t="array" aca="1" ref="F104" ca="1">MMS_Swine_Methane_Equations.VEERG_4_5_1_1__7_VolatileSolidsTransferredStage2(E$88,F38,$E94)</f>
        <v>5.5199999999999999E-2</v>
      </c>
      <c r="G104" s="50" cm="1">
        <f t="array" aca="1" ref="G104" ca="1">MMS_Swine_Methane_Equations.VEERG_4_5_1_1__7_VolatileSolidsTransferredStage2(F$88,G38,$E94)</f>
        <v>6.6000000000000003E-2</v>
      </c>
      <c r="H104" s="50" cm="1">
        <f t="array" aca="1" ref="H104" ca="1">MMS_Swine_Methane_Equations.VEERG_4_5_1_1__7_VolatileSolidsTransferredStage2(G$88,H38,$E94)</f>
        <v>4.6800000000000001E-2</v>
      </c>
      <c r="I104" s="2"/>
      <c r="N104" s="55" t="str">
        <f>INDEX(X_Table_Swine_Stage1MMS_Drylot,2,1)</f>
        <v>Drylot (feed pad)</v>
      </c>
      <c r="O104" s="50" cm="1">
        <f t="array" aca="1" ref="O104" ca="1">MMS_Swine_Methane_Equations.VEERG_4_5_1_1__7_VolatileSolidsTransferredStage2(N$88,O38,$E94)</f>
        <v>4.8000000000000001E-2</v>
      </c>
      <c r="P104" s="50" cm="1">
        <f t="array" aca="1" ref="P104" ca="1">MMS_Swine_Methane_Equations.VEERG_4_5_1_1__7_VolatileSolidsTransferredStage2(O$88,P38,$E94)</f>
        <v>5.5199999999999999E-2</v>
      </c>
      <c r="Q104" s="50" cm="1">
        <f t="array" aca="1" ref="Q104" ca="1">MMS_Swine_Methane_Equations.VEERG_4_5_1_1__7_VolatileSolidsTransferredStage2(P$88,Q38,$E94)</f>
        <v>6.6000000000000003E-2</v>
      </c>
      <c r="R104" s="50" cm="1">
        <f t="array" aca="1" ref="R104" ca="1">MMS_Swine_Methane_Equations.VEERG_4_5_1_1__7_VolatileSolidsTransferredStage2(Q$88,R38,$E94)</f>
        <v>4.6800000000000001E-2</v>
      </c>
      <c r="S104" s="2"/>
    </row>
    <row r="105" spans="3:21" ht="20.100000000000001" customHeight="1" x14ac:dyDescent="0.25">
      <c r="D105" s="55" t="str">
        <f>INDEX(X_Table_Swine_Stage1MMS_DigesterCoveredLagoons,2,1)</f>
        <v>Digester / covered lagoons</v>
      </c>
      <c r="E105" s="50" cm="1">
        <f t="array" aca="1" ref="E105" ca="1">MMS_Swine_Methane_Equations.VEERG_4_5_1_1__7_VolatileSolidsTransferredStage2(D$88,E39,$E95)</f>
        <v>1.2E-2</v>
      </c>
      <c r="F105" s="50" cm="1">
        <f t="array" aca="1" ref="F105" ca="1">MMS_Swine_Methane_Equations.VEERG_4_5_1_1__7_VolatileSolidsTransferredStage2(E$88,F39,$E95)</f>
        <v>1.38E-2</v>
      </c>
      <c r="G105" s="50" cm="1">
        <f t="array" aca="1" ref="G105" ca="1">MMS_Swine_Methane_Equations.VEERG_4_5_1_1__7_VolatileSolidsTransferredStage2(F$88,G39,$E95)</f>
        <v>1.6500000000000001E-2</v>
      </c>
      <c r="H105" s="50" cm="1">
        <f t="array" aca="1" ref="H105" ca="1">MMS_Swine_Methane_Equations.VEERG_4_5_1_1__7_VolatileSolidsTransferredStage2(G$88,H39,$E95)</f>
        <v>1.17E-2</v>
      </c>
      <c r="I105" s="2"/>
      <c r="N105" s="55" t="str">
        <f>INDEX(X_Table_Swine_Stage1MMS_DigesterCoveredLagoons,2,1)</f>
        <v>Digester / covered lagoons</v>
      </c>
      <c r="O105" s="50" cm="1">
        <f t="array" aca="1" ref="O105" ca="1">MMS_Swine_Methane_Equations.VEERG_4_5_1_1__7_VolatileSolidsTransferredStage2(N$88,O39,$E95)</f>
        <v>1.2E-2</v>
      </c>
      <c r="P105" s="50" cm="1">
        <f t="array" aca="1" ref="P105" ca="1">MMS_Swine_Methane_Equations.VEERG_4_5_1_1__7_VolatileSolidsTransferredStage2(O$88,P39,$E95)</f>
        <v>1.38E-2</v>
      </c>
      <c r="Q105" s="50" cm="1">
        <f t="array" aca="1" ref="Q105" ca="1">MMS_Swine_Methane_Equations.VEERG_4_5_1_1__7_VolatileSolidsTransferredStage2(P$88,Q39,$E95)</f>
        <v>1.6500000000000001E-2</v>
      </c>
      <c r="R105" s="50" cm="1">
        <f t="array" aca="1" ref="R105" ca="1">MMS_Swine_Methane_Equations.VEERG_4_5_1_1__7_VolatileSolidsTransferredStage2(Q$88,R39,$E95)</f>
        <v>1.17E-2</v>
      </c>
      <c r="S105" s="2"/>
    </row>
    <row r="106" spans="3:21" ht="20.100000000000001" customHeight="1" x14ac:dyDescent="0.25">
      <c r="D106" s="55" t="str">
        <f>INDEX(X_Table_Swine_Stage1MMS_DeepLitter,2,1)</f>
        <v>Deep litter</v>
      </c>
      <c r="E106" s="50" cm="1">
        <f t="array" aca="1" ref="E106" ca="1">MMS_Swine_Methane_Equations.VEERG_4_5_1_1__7_VolatileSolidsTransferredStage2(D$88,E40,$E96)</f>
        <v>4.5600000000000002E-2</v>
      </c>
      <c r="F106" s="50" cm="1">
        <f t="array" aca="1" ref="F106" ca="1">MMS_Swine_Methane_Equations.VEERG_4_5_1_1__7_VolatileSolidsTransferredStage2(E$88,F40,$E96)</f>
        <v>5.2439999999999994E-2</v>
      </c>
      <c r="G106" s="50" cm="1">
        <f t="array" aca="1" ref="G106" ca="1">MMS_Swine_Methane_Equations.VEERG_4_5_1_1__7_VolatileSolidsTransferredStage2(F$88,G40,$E96)</f>
        <v>6.2700000000000006E-2</v>
      </c>
      <c r="H106" s="50" cm="1">
        <f t="array" aca="1" ref="H106" ca="1">MMS_Swine_Methane_Equations.VEERG_4_5_1_1__7_VolatileSolidsTransferredStage2(G$88,H40,$E96)</f>
        <v>4.446E-2</v>
      </c>
      <c r="I106" s="2"/>
      <c r="N106" s="55" t="str">
        <f>INDEX(X_Table_Swine_Stage1MMS_DeepLitter,2,1)</f>
        <v>Deep litter</v>
      </c>
      <c r="O106" s="50" cm="1">
        <f t="array" aca="1" ref="O106" ca="1">MMS_Swine_Methane_Equations.VEERG_4_5_1_1__7_VolatileSolidsTransferredStage2(N$88,O40,$E96)</f>
        <v>4.5600000000000002E-2</v>
      </c>
      <c r="P106" s="50" cm="1">
        <f t="array" aca="1" ref="P106" ca="1">MMS_Swine_Methane_Equations.VEERG_4_5_1_1__7_VolatileSolidsTransferredStage2(O$88,P40,$E96)</f>
        <v>5.2439999999999994E-2</v>
      </c>
      <c r="Q106" s="50" cm="1">
        <f t="array" aca="1" ref="Q106" ca="1">MMS_Swine_Methane_Equations.VEERG_4_5_1_1__7_VolatileSolidsTransferredStage2(P$88,Q40,$E96)</f>
        <v>6.2700000000000006E-2</v>
      </c>
      <c r="R106" s="50" cm="1">
        <f t="array" aca="1" ref="R106" ca="1">MMS_Swine_Methane_Equations.VEERG_4_5_1_1__7_VolatileSolidsTransferredStage2(Q$88,R40,$E96)</f>
        <v>4.446E-2</v>
      </c>
      <c r="S106" s="2"/>
    </row>
    <row r="107" spans="3:21" ht="20.100000000000001" customHeight="1" x14ac:dyDescent="0.25">
      <c r="D107" s="55" t="str">
        <f>INDEX(X_Table_Swine_Stage1MMS_PitStorage,2,1)</f>
        <v>Pit storage</v>
      </c>
      <c r="E107" s="50" cm="1">
        <f t="array" aca="1" ref="E107" ca="1">MMS_Swine_Methane_Equations.VEERG_4_5_1_1__7_VolatileSolidsTransferredStage2(D$88,E41,$E97)</f>
        <v>4.8000000000000001E-2</v>
      </c>
      <c r="F107" s="50" cm="1">
        <f t="array" aca="1" ref="F107" ca="1">MMS_Swine_Methane_Equations.VEERG_4_5_1_1__7_VolatileSolidsTransferredStage2(E$88,F41,$E97)</f>
        <v>5.5199999999999999E-2</v>
      </c>
      <c r="G107" s="50" cm="1">
        <f t="array" aca="1" ref="G107" ca="1">MMS_Swine_Methane_Equations.VEERG_4_5_1_1__7_VolatileSolidsTransferredStage2(F$88,G41,$E97)</f>
        <v>6.6000000000000003E-2</v>
      </c>
      <c r="H107" s="50" cm="1">
        <f t="array" aca="1" ref="H107" ca="1">MMS_Swine_Methane_Equations.VEERG_4_5_1_1__7_VolatileSolidsTransferredStage2(G$88,H41,$E97)</f>
        <v>4.6800000000000001E-2</v>
      </c>
      <c r="I107" s="2"/>
      <c r="N107" s="55" t="str">
        <f>INDEX(X_Table_Swine_Stage1MMS_PitStorage,2,1)</f>
        <v>Pit storage</v>
      </c>
      <c r="O107" s="50" cm="1">
        <f t="array" aca="1" ref="O107" ca="1">MMS_Swine_Methane_Equations.VEERG_4_5_1_1__7_VolatileSolidsTransferredStage2(N$88,O41,$E97)</f>
        <v>4.8000000000000001E-2</v>
      </c>
      <c r="P107" s="50" cm="1">
        <f t="array" aca="1" ref="P107" ca="1">MMS_Swine_Methane_Equations.VEERG_4_5_1_1__7_VolatileSolidsTransferredStage2(O$88,P41,$E97)</f>
        <v>5.5199999999999999E-2</v>
      </c>
      <c r="Q107" s="50" cm="1">
        <f t="array" aca="1" ref="Q107" ca="1">MMS_Swine_Methane_Equations.VEERG_4_5_1_1__7_VolatileSolidsTransferredStage2(P$88,Q41,$E97)</f>
        <v>6.6000000000000003E-2</v>
      </c>
      <c r="R107" s="50" cm="1">
        <f t="array" aca="1" ref="R107" ca="1">MMS_Swine_Methane_Equations.VEERG_4_5_1_1__7_VolatileSolidsTransferredStage2(Q$88,R41,$E97)</f>
        <v>4.6800000000000001E-2</v>
      </c>
      <c r="S107" s="2"/>
    </row>
    <row r="108" spans="3:21" ht="20.100000000000001" customHeight="1" x14ac:dyDescent="0.25">
      <c r="D108" s="55" t="s">
        <v>346</v>
      </c>
      <c r="E108" s="50" cm="1">
        <f t="array" aca="1" ref="E108" ca="1">MMS_Swine_Methane_Equations.VEERG_4_5_1_1__7_VolatileSolidsTransferredStage2(D$88,E68,$E98)</f>
        <v>0.16000000000000006</v>
      </c>
      <c r="F108" s="50" cm="1">
        <f t="array" aca="1" ref="F108" ca="1">MMS_Swine_Methane_Equations.VEERG_4_5_1_1__7_VolatileSolidsTransferredStage2(E$88,F68,$E98)</f>
        <v>0.18400000000000008</v>
      </c>
      <c r="G108" s="50" cm="1">
        <f t="array" aca="1" ref="G108" ca="1">MMS_Swine_Methane_Equations.VEERG_4_5_1_1__7_VolatileSolidsTransferredStage2(F$88,G68,$E98)</f>
        <v>0.22000000000000008</v>
      </c>
      <c r="H108" s="50" cm="1">
        <f t="array" aca="1" ref="H108" ca="1">MMS_Swine_Methane_Equations.VEERG_4_5_1_1__7_VolatileSolidsTransferredStage2(G$88,H68,$E98)</f>
        <v>0.15600000000000006</v>
      </c>
      <c r="I108" s="2"/>
      <c r="N108" s="55" t="s">
        <v>346</v>
      </c>
      <c r="O108" s="50" cm="1">
        <f t="array" aca="1" ref="O108" ca="1">MMS_Swine_Methane_Equations.VEERG_4_5_1_1__7_VolatileSolidsTransferredStage2(N$88,O68,$E98)</f>
        <v>0.16000000000000006</v>
      </c>
      <c r="P108" s="50" cm="1">
        <f t="array" aca="1" ref="P108" ca="1">MMS_Swine_Methane_Equations.VEERG_4_5_1_1__7_VolatileSolidsTransferredStage2(O$88,P68,$E98)</f>
        <v>0.18400000000000008</v>
      </c>
      <c r="Q108" s="50" cm="1">
        <f t="array" aca="1" ref="Q108" ca="1">MMS_Swine_Methane_Equations.VEERG_4_5_1_1__7_VolatileSolidsTransferredStage2(P$88,Q68,$E98)</f>
        <v>0.22000000000000008</v>
      </c>
      <c r="R108" s="50" cm="1">
        <f t="array" aca="1" ref="R108" ca="1">MMS_Swine_Methane_Equations.VEERG_4_5_1_1__7_VolatileSolidsTransferredStage2(Q$88,R68,$E98)</f>
        <v>0.15600000000000006</v>
      </c>
      <c r="S108" s="2"/>
    </row>
    <row r="109" spans="3:21" ht="20.100000000000001" customHeight="1" x14ac:dyDescent="0.25"/>
    <row r="110" spans="3:21" ht="20.100000000000001" customHeight="1" x14ac:dyDescent="0.25"/>
    <row r="111" spans="3:21" ht="20.100000000000001" customHeight="1" x14ac:dyDescent="0.25">
      <c r="C111" s="43"/>
      <c r="D111" s="43"/>
      <c r="E111" s="43"/>
      <c r="F111" s="43"/>
      <c r="G111" s="43"/>
      <c r="H111" s="43"/>
      <c r="I111" s="43"/>
      <c r="J111" s="43"/>
      <c r="K111" s="43"/>
      <c r="M111" s="43"/>
      <c r="N111" s="43"/>
      <c r="O111" s="43"/>
      <c r="P111" s="43"/>
      <c r="Q111" s="43"/>
      <c r="R111" s="43"/>
      <c r="S111" s="43"/>
      <c r="T111" s="43"/>
      <c r="U111" s="43"/>
    </row>
    <row r="112" spans="3:21" ht="20.100000000000001" customHeight="1" x14ac:dyDescent="0.25">
      <c r="D112" s="6" t="str" cm="1">
        <f t="array" ref="D112">MMS_Swine_Methane_Equations.VEERG_4_5_1_1__6_Stage2MethaneProduction_Title()</f>
        <v>Production of methane in each treatment stage 2 MMS</v>
      </c>
    </row>
    <row r="113" spans="4:19" ht="20.100000000000001" customHeight="1" x14ac:dyDescent="0.25">
      <c r="D113" s="5" t="str" cm="1">
        <f t="array" ref="D113">MMS_Swine_Methane_Equations.VEERG_4_5_1_1__6_Stage2MethaneProduction_Source()</f>
        <v>VEERG 2026: 4.5.1.1, Equation (6)</v>
      </c>
    </row>
    <row r="114" spans="4:19" ht="20.100000000000001" customHeight="1" x14ac:dyDescent="0.25">
      <c r="D114" s="13" t="s">
        <v>23</v>
      </c>
      <c r="E114" s="13" t="str" cm="1">
        <f t="array" aca="1" ref="E114" ca="1">Common_InputFunctions.Utility_DisplayFunctionName(F165)</f>
        <v>=MMS_Swine_Methane_Equations.VEERG_4_5_1_1__6_Stage2MethaneProduction</v>
      </c>
    </row>
    <row r="115" spans="4:19" ht="20.100000000000001" customHeight="1" x14ac:dyDescent="0.25"/>
    <row r="116" spans="4:19" ht="20.100000000000001" customHeight="1" x14ac:dyDescent="0.25"/>
    <row r="117" spans="4:19" ht="20.100000000000001" customHeight="1" x14ac:dyDescent="0.25"/>
    <row r="118" spans="4:19" ht="20.100000000000001" customHeight="1" x14ac:dyDescent="0.25">
      <c r="D118" s="51" t="s">
        <v>26</v>
      </c>
      <c r="E118" s="1" t="str" cm="1">
        <f t="array" ref="E118">MMS_Swine_Methane_Equations.VEERG_4_5_1_1__6_Stage2MethaneProduction_Variable()</f>
        <v>MijmT2</v>
      </c>
    </row>
    <row r="119" spans="4:19" ht="20.100000000000001" customHeight="1" x14ac:dyDescent="0.25">
      <c r="D119" s="51" t="s">
        <v>16</v>
      </c>
      <c r="E119" s="52" t="str" cm="1">
        <f t="array" ref="E119">MMS_Swine_Methane_Equations.VEERG_4_5_1_1__6_Stage2MethaneProduction_Unit()</f>
        <v>kg CH4/head/day</v>
      </c>
    </row>
    <row r="120" spans="4:19" ht="20.100000000000001" customHeight="1" x14ac:dyDescent="0.25"/>
    <row r="121" spans="4:19" ht="20.100000000000001" customHeight="1" x14ac:dyDescent="0.25">
      <c r="D121" s="136" t="str" cm="1">
        <f t="array" ref="D121:E126">Common_InputFunctions.Utility_DisplayArguments_1_2(MMS_Swine_Methane_Equations.VEERG_4_5_1_1__6_Stage2MethaneProduction_Arguments())</f>
        <v>VSTjmT2</v>
      </c>
      <c r="E121" s="138" t="str">
        <v>volatile solids transferred to treatment stage 2 MMS</v>
      </c>
      <c r="F121" s="137"/>
      <c r="G121" s="136" t="str" cm="1">
        <f t="array" ref="G121:H126">Common_InputFunctions.Utility_DisplayArguments_3_4(MMS_Swine_Methane_Equations.VEERG_4_5_1_1__6_Stage2MethaneProduction_Arguments())</f>
        <v>kg/head/day</v>
      </c>
      <c r="H121" s="131" t="str">
        <v>Calculated from 4.5.1.1 (7)</v>
      </c>
      <c r="I121" s="135" t="str" cm="1">
        <f t="array" aca="1" ref="I121" ca="1">HYPERLINK(Common_InputFunctions.Utility_SourceHyperlink($D$100), $D$100)</f>
        <v>M1 Table_VST_j_m_T-2</v>
      </c>
      <c r="N121" s="55" t="str" cm="1">
        <f t="array" ref="N121:O126">Common_InputFunctions.Utility_DisplayArguments_1_2(MMS_Swine_Methane_Equations.VEERG_4_5_1_1__6_Stage2MethaneProduction_Arguments_Method2())</f>
        <v>VSTjmT2</v>
      </c>
      <c r="O121" s="56" t="str">
        <v>volatile solids transferred to treatment stage 2 MMS</v>
      </c>
      <c r="P121" s="57"/>
      <c r="Q121" s="55" t="str" cm="1">
        <f t="array" ref="Q121:R126">Common_InputFunctions.Utility_DisplayArguments_3_4(MMS_Swine_Methane_Equations.VEERG_4_5_1_1__6_Stage2MethaneProduction_Arguments_Method2())</f>
        <v>kg/head/day</v>
      </c>
      <c r="R121" s="131" t="str">
        <v>Calculated from 4.5.1.1 (7)</v>
      </c>
      <c r="S121" s="135"/>
    </row>
    <row r="122" spans="4:19" ht="20.100000000000001" customHeight="1" x14ac:dyDescent="0.25">
      <c r="D122" s="136" t="str">
        <v>BO</v>
      </c>
      <c r="E122" s="138" t="str">
        <v>emissions potential</v>
      </c>
      <c r="F122" s="137"/>
      <c r="G122" s="136" t="str">
        <v>m3 CH4/kg VS</v>
      </c>
      <c r="H122" s="131" t="str">
        <v>Constant</v>
      </c>
      <c r="I122" s="136">
        <f>SourceData_Swine_MethaneVolatileSolidsEmissionsPotential_Data</f>
        <v>0.19</v>
      </c>
      <c r="N122" s="55" t="str">
        <v>BO</v>
      </c>
      <c r="O122" s="56" t="str">
        <v>emissions potential</v>
      </c>
      <c r="P122" s="57"/>
      <c r="Q122" s="55" t="str">
        <v>m3 CH4/kg VS</v>
      </c>
      <c r="R122" s="131" t="str">
        <v>Constant</v>
      </c>
      <c r="S122" s="55">
        <f>SourceData_Swine_MethaneVolatileSolidsEmissionsPotential_Data</f>
        <v>0.19</v>
      </c>
    </row>
    <row r="123" spans="4:19" ht="20.100000000000001" customHeight="1" x14ac:dyDescent="0.25">
      <c r="D123" s="136" t="str">
        <v>MMSjmT2</v>
      </c>
      <c r="E123" s="138" t="str">
        <v>fraction of manure in each secondary system</v>
      </c>
      <c r="F123" s="137"/>
      <c r="G123" s="136" t="str">
        <v>fraction</v>
      </c>
      <c r="H123" s="132" t="str">
        <v>Input</v>
      </c>
      <c r="I123" s="135" t="str" cm="1">
        <f t="array" aca="1" ref="I123" ca="1">HYPERLINK(Common_InputFunctions.Utility_SourceHyperlink($D$128), $D$128)</f>
        <v>Table_MMS_j_m_T-2</v>
      </c>
      <c r="N123" s="55" t="str">
        <v>MMSjmT2</v>
      </c>
      <c r="O123" s="56" t="str">
        <v>fraction of manure in each secondary system</v>
      </c>
      <c r="P123" s="57"/>
      <c r="Q123" s="55" t="str">
        <v>fraction</v>
      </c>
      <c r="R123" s="132" t="str">
        <v>Input</v>
      </c>
      <c r="S123" s="135"/>
    </row>
    <row r="124" spans="4:19" ht="20.100000000000001" customHeight="1" x14ac:dyDescent="0.25">
      <c r="D124" s="136" t="str">
        <v>MCFim</v>
      </c>
      <c r="E124" s="138" t="str">
        <v>methane conversion factor for temperate zone and system</v>
      </c>
      <c r="F124" s="137"/>
      <c r="G124" s="136" t="str">
        <v>fraction</v>
      </c>
      <c r="H124" s="131" t="str">
        <v>Constant</v>
      </c>
      <c r="I124" s="135" t="str" cm="1">
        <f t="array" aca="1" ref="I124" ca="1">HYPERLINK(Common_InputFunctions.Utility_SourceHyperlink($D$152), $D$152)</f>
        <v>M1_Table_MCF_i_m</v>
      </c>
      <c r="N124" s="55" t="str">
        <v>MCFim</v>
      </c>
      <c r="O124" s="56" t="str">
        <v>methane conversion factor for temperate zone and system</v>
      </c>
      <c r="P124" s="57"/>
      <c r="Q124" s="55" t="str">
        <v>fraction</v>
      </c>
      <c r="R124" s="131" t="str">
        <v>Constant</v>
      </c>
      <c r="S124" s="135"/>
    </row>
    <row r="125" spans="4:19" ht="20.100000000000001" customHeight="1" x14ac:dyDescent="0.25">
      <c r="D125" s="136" t="str">
        <v>rho</v>
      </c>
      <c r="E125" s="138" t="str">
        <v>density of methane</v>
      </c>
      <c r="F125" s="137"/>
      <c r="G125" s="136" t="str">
        <v>kg/m3</v>
      </c>
      <c r="H125" s="131" t="str">
        <v>Constant</v>
      </c>
      <c r="I125" s="136">
        <f>Common_SourceData_DensityOfMethane_Data</f>
        <v>0.6784</v>
      </c>
      <c r="N125" s="55" t="str">
        <v>rho</v>
      </c>
      <c r="O125" s="56" t="str">
        <v>density of methane</v>
      </c>
      <c r="P125" s="57"/>
      <c r="Q125" s="55" t="str">
        <v>kg/m3</v>
      </c>
      <c r="R125" s="131" t="str">
        <v>Constant</v>
      </c>
      <c r="S125" s="55"/>
    </row>
    <row r="126" spans="4:19" ht="20.100000000000001" customHeight="1" x14ac:dyDescent="0.25">
      <c r="D126" s="136" t="str">
        <v>i</v>
      </c>
      <c r="E126" s="138" t="str">
        <v>state</v>
      </c>
      <c r="F126" s="137"/>
      <c r="G126" s="136" t="str">
        <v/>
      </c>
      <c r="H126" s="132" t="str">
        <v>Input</v>
      </c>
      <c r="I126" s="136" t="str">
        <f>X_Cell_Site_State</f>
        <v>Western Australia</v>
      </c>
      <c r="N126" s="55" t="str">
        <v>MAT</v>
      </c>
      <c r="O126" s="56" t="str">
        <v>Mean annual temperature</v>
      </c>
      <c r="P126" s="57"/>
      <c r="Q126" s="55" t="str">
        <v>°C</v>
      </c>
      <c r="R126" s="132" t="str">
        <v>Input</v>
      </c>
      <c r="S126" s="55">
        <f>X_Cell_Site_AverageTemperature</f>
        <v>18</v>
      </c>
    </row>
    <row r="127" spans="4:19" ht="20.100000000000001" customHeight="1" x14ac:dyDescent="0.25"/>
    <row r="128" spans="4:19" ht="20.100000000000001" customHeight="1" x14ac:dyDescent="0.25">
      <c r="D128" s="117" t="s">
        <v>162</v>
      </c>
    </row>
    <row r="129" spans="4:10" ht="20.100000000000001" customHeight="1" x14ac:dyDescent="0.25">
      <c r="D129" s="118" t="s">
        <v>163</v>
      </c>
    </row>
    <row r="130" spans="4:10" ht="20.100000000000001" customHeight="1" x14ac:dyDescent="0.25">
      <c r="D130" s="115" t="s">
        <v>156</v>
      </c>
      <c r="E130" s="115" t="s">
        <v>164</v>
      </c>
      <c r="F130" s="115" t="s">
        <v>135</v>
      </c>
      <c r="G130" s="115" t="s">
        <v>136</v>
      </c>
      <c r="H130" s="115" t="s">
        <v>137</v>
      </c>
      <c r="I130" s="115" t="s">
        <v>195</v>
      </c>
    </row>
    <row r="131" spans="4:10" ht="20.100000000000001" customHeight="1" x14ac:dyDescent="0.25">
      <c r="D131" s="55" t="str">
        <f>INDEX(X_Table_Swine_Stage1MMS_AnaerobicLagoon,2,1)</f>
        <v>Anaerobic lagoon</v>
      </c>
      <c r="E131" s="104" t="str" cm="1">
        <f t="array" aca="1" ref="E131:I133" ca="1">OFFSET(X_Table_Swine_Stage2MMS_From_AnaerobicLagoon,1,0,3,5)</f>
        <v>Digester / covered lagoons</v>
      </c>
      <c r="F131" s="50">
        <f ca="1"/>
        <v>0.2</v>
      </c>
      <c r="G131" s="50">
        <f ca="1"/>
        <v>0.25</v>
      </c>
      <c r="H131" s="50">
        <f ca="1"/>
        <v>0.25</v>
      </c>
      <c r="I131" s="50">
        <f ca="1"/>
        <v>0.25</v>
      </c>
      <c r="J131" s="2" t="str">
        <f>$G$123</f>
        <v>fraction</v>
      </c>
    </row>
    <row r="132" spans="4:10" ht="20.100000000000001" customHeight="1" x14ac:dyDescent="0.25">
      <c r="D132" s="55"/>
      <c r="E132" s="104" t="str">
        <f ca="1"/>
        <v>Deep litter</v>
      </c>
      <c r="F132" s="50">
        <f ca="1"/>
        <v>0.2</v>
      </c>
      <c r="G132" s="50">
        <f ca="1"/>
        <v>0.25</v>
      </c>
      <c r="H132" s="50">
        <f ca="1"/>
        <v>0.25</v>
      </c>
      <c r="I132" s="50">
        <f ca="1"/>
        <v>0.25</v>
      </c>
      <c r="J132" s="2"/>
    </row>
    <row r="133" spans="4:10" ht="20.100000000000001" customHeight="1" x14ac:dyDescent="0.25">
      <c r="D133" s="55"/>
      <c r="E133" s="104" t="str">
        <f ca="1"/>
        <v>Pit storage</v>
      </c>
      <c r="F133" s="50">
        <f ca="1"/>
        <v>0.2</v>
      </c>
      <c r="G133" s="50">
        <f ca="1"/>
        <v>0.25</v>
      </c>
      <c r="H133" s="50">
        <f ca="1"/>
        <v>0.25</v>
      </c>
      <c r="I133" s="50">
        <f ca="1"/>
        <v>0.25</v>
      </c>
      <c r="J133" s="2"/>
    </row>
    <row r="134" spans="4:10" ht="20.100000000000001" customHeight="1" x14ac:dyDescent="0.25">
      <c r="D134" s="55" t="str">
        <f>INDEX(X_Table_Swine_Stage1MMS_Drylot,2,1)</f>
        <v>Drylot (feed pad)</v>
      </c>
      <c r="E134" s="104" t="str" cm="1">
        <f t="array" aca="1" ref="E134:I137" ca="1">OFFSET(X_Table_Swine_Stage2MMS_From_Drylot,1,0,4,5)</f>
        <v>Anaerobic lagoon</v>
      </c>
      <c r="F134" s="50">
        <f ca="1"/>
        <v>0.2</v>
      </c>
      <c r="G134" s="50">
        <f ca="1"/>
        <v>0.25</v>
      </c>
      <c r="H134" s="50">
        <f ca="1"/>
        <v>0.25</v>
      </c>
      <c r="I134" s="50">
        <f ca="1"/>
        <v>0.25</v>
      </c>
      <c r="J134" s="2"/>
    </row>
    <row r="135" spans="4:10" ht="20.100000000000001" customHeight="1" x14ac:dyDescent="0.25">
      <c r="D135" s="55"/>
      <c r="E135" s="104" t="str">
        <f ca="1"/>
        <v>Digester / covered lagoons</v>
      </c>
      <c r="F135" s="50">
        <f ca="1"/>
        <v>0.2</v>
      </c>
      <c r="G135" s="50">
        <f ca="1"/>
        <v>0.25</v>
      </c>
      <c r="H135" s="50">
        <f ca="1"/>
        <v>0.25</v>
      </c>
      <c r="I135" s="50">
        <f ca="1"/>
        <v>0.25</v>
      </c>
      <c r="J135" s="2"/>
    </row>
    <row r="136" spans="4:10" ht="20.100000000000001" customHeight="1" x14ac:dyDescent="0.25">
      <c r="D136" s="55"/>
      <c r="E136" s="104" t="str">
        <f ca="1"/>
        <v>Deep litter</v>
      </c>
      <c r="F136" s="50">
        <f ca="1"/>
        <v>0.2</v>
      </c>
      <c r="G136" s="50">
        <f ca="1"/>
        <v>0.25</v>
      </c>
      <c r="H136" s="50">
        <f ca="1"/>
        <v>0.25</v>
      </c>
      <c r="I136" s="50">
        <f ca="1"/>
        <v>0.25</v>
      </c>
      <c r="J136" s="2"/>
    </row>
    <row r="137" spans="4:10" ht="20.100000000000001" customHeight="1" x14ac:dyDescent="0.25">
      <c r="D137" s="55"/>
      <c r="E137" s="104" t="str">
        <f ca="1"/>
        <v>Pit storage</v>
      </c>
      <c r="F137" s="50">
        <f ca="1"/>
        <v>0.2</v>
      </c>
      <c r="G137" s="50">
        <f ca="1"/>
        <v>0.25</v>
      </c>
      <c r="H137" s="50">
        <f ca="1"/>
        <v>0.25</v>
      </c>
      <c r="I137" s="50">
        <f ca="1"/>
        <v>0.25</v>
      </c>
      <c r="J137" s="2"/>
    </row>
    <row r="138" spans="4:10" ht="20.100000000000001" customHeight="1" x14ac:dyDescent="0.25">
      <c r="D138" s="55" t="str">
        <f>INDEX(X_Table_Swine_Stage1MMS_DigesterCoveredLagoons,2,1)</f>
        <v>Digester / covered lagoons</v>
      </c>
      <c r="E138" s="104" t="str" cm="1">
        <f t="array" aca="1" ref="E138:I140" ca="1">OFFSET(X_Table_Swine_Stage2MMS_From_DigesterCoveredLagoons,1,0,3,5)</f>
        <v>Anaerobic lagoon</v>
      </c>
      <c r="F138" s="50">
        <f ca="1"/>
        <v>0.2</v>
      </c>
      <c r="G138" s="50">
        <f ca="1"/>
        <v>0.25</v>
      </c>
      <c r="H138" s="50">
        <f ca="1"/>
        <v>0.25</v>
      </c>
      <c r="I138" s="50">
        <f ca="1"/>
        <v>0.25</v>
      </c>
      <c r="J138" s="2"/>
    </row>
    <row r="139" spans="4:10" ht="20.100000000000001" customHeight="1" x14ac:dyDescent="0.25">
      <c r="D139" s="55"/>
      <c r="E139" s="104" t="str">
        <f ca="1"/>
        <v>Deep litter</v>
      </c>
      <c r="F139" s="50">
        <f ca="1"/>
        <v>0.2</v>
      </c>
      <c r="G139" s="50">
        <f ca="1"/>
        <v>0.25</v>
      </c>
      <c r="H139" s="50">
        <f ca="1"/>
        <v>0.25</v>
      </c>
      <c r="I139" s="50">
        <f ca="1"/>
        <v>0.25</v>
      </c>
      <c r="J139" s="2"/>
    </row>
    <row r="140" spans="4:10" ht="20.100000000000001" customHeight="1" x14ac:dyDescent="0.25">
      <c r="D140" s="55"/>
      <c r="E140" s="104" t="str">
        <f ca="1"/>
        <v>Pit storage</v>
      </c>
      <c r="F140" s="50">
        <f ca="1"/>
        <v>0.2</v>
      </c>
      <c r="G140" s="50">
        <f ca="1"/>
        <v>0.25</v>
      </c>
      <c r="H140" s="50">
        <f ca="1"/>
        <v>0.25</v>
      </c>
      <c r="I140" s="50">
        <f ca="1"/>
        <v>0.25</v>
      </c>
      <c r="J140" s="2"/>
    </row>
    <row r="141" spans="4:10" ht="20.100000000000001" customHeight="1" x14ac:dyDescent="0.25">
      <c r="D141" s="55" t="str">
        <f>INDEX(X_Table_Swine_Stage1MMS_DeepLitter,2,1)</f>
        <v>Deep litter</v>
      </c>
      <c r="E141" s="104" t="str" cm="1">
        <f t="array" aca="1" ref="E141:I143" ca="1">OFFSET(X_Table_Swine_Stage2MMS_From_DeepLitter,1,0,3,5)</f>
        <v>Anaerobic lagoon</v>
      </c>
      <c r="F141" s="50">
        <f ca="1"/>
        <v>0.2</v>
      </c>
      <c r="G141" s="50">
        <f ca="1"/>
        <v>0.25</v>
      </c>
      <c r="H141" s="50">
        <f ca="1"/>
        <v>0.25</v>
      </c>
      <c r="I141" s="50">
        <f ca="1"/>
        <v>0.25</v>
      </c>
      <c r="J141" s="2"/>
    </row>
    <row r="142" spans="4:10" ht="20.100000000000001" customHeight="1" x14ac:dyDescent="0.25">
      <c r="D142" s="55"/>
      <c r="E142" s="104" t="str">
        <f ca="1"/>
        <v>Digester / covered lagoons</v>
      </c>
      <c r="F142" s="50">
        <f ca="1"/>
        <v>0.2</v>
      </c>
      <c r="G142" s="50">
        <f ca="1"/>
        <v>0.25</v>
      </c>
      <c r="H142" s="50">
        <f ca="1"/>
        <v>0.25</v>
      </c>
      <c r="I142" s="50">
        <f ca="1"/>
        <v>0.25</v>
      </c>
      <c r="J142" s="2"/>
    </row>
    <row r="143" spans="4:10" ht="20.100000000000001" customHeight="1" x14ac:dyDescent="0.25">
      <c r="D143" s="55"/>
      <c r="E143" s="104" t="str">
        <f ca="1"/>
        <v>Pit storage</v>
      </c>
      <c r="F143" s="50">
        <f ca="1"/>
        <v>0.2</v>
      </c>
      <c r="G143" s="50">
        <f ca="1"/>
        <v>0.25</v>
      </c>
      <c r="H143" s="50">
        <f ca="1"/>
        <v>0.25</v>
      </c>
      <c r="I143" s="50">
        <f ca="1"/>
        <v>0.25</v>
      </c>
      <c r="J143" s="2"/>
    </row>
    <row r="144" spans="4:10" ht="20.100000000000001" customHeight="1" x14ac:dyDescent="0.25">
      <c r="D144" s="55" t="str">
        <f>INDEX(X_Table_Swine_Stage1MMS_PitStorage,2,1)</f>
        <v>Pit storage</v>
      </c>
      <c r="E144" s="104" t="str" cm="1">
        <f t="array" aca="1" ref="E144:I146" ca="1">OFFSET(X_Table_Swine_Stage2MMS_From_PitStorage,1,0,3,5)</f>
        <v>Anaerobic lagoon</v>
      </c>
      <c r="F144" s="50">
        <f ca="1"/>
        <v>0.2</v>
      </c>
      <c r="G144" s="50">
        <f ca="1"/>
        <v>0.25</v>
      </c>
      <c r="H144" s="50">
        <f ca="1"/>
        <v>0.25</v>
      </c>
      <c r="I144" s="50">
        <f ca="1"/>
        <v>0.25</v>
      </c>
      <c r="J144" s="2"/>
    </row>
    <row r="145" spans="4:16" ht="20.100000000000001" customHeight="1" x14ac:dyDescent="0.25">
      <c r="D145" s="55"/>
      <c r="E145" s="104" t="str">
        <f ca="1"/>
        <v>Digester / covered lagoons</v>
      </c>
      <c r="F145" s="50">
        <f ca="1"/>
        <v>0.2</v>
      </c>
      <c r="G145" s="50">
        <f ca="1"/>
        <v>0.25</v>
      </c>
      <c r="H145" s="50">
        <f ca="1"/>
        <v>0.25</v>
      </c>
      <c r="I145" s="50">
        <f ca="1"/>
        <v>0.25</v>
      </c>
      <c r="J145" s="2"/>
    </row>
    <row r="146" spans="4:16" ht="20.100000000000001" customHeight="1" x14ac:dyDescent="0.25">
      <c r="D146" s="55"/>
      <c r="E146" s="104" t="str">
        <f ca="1"/>
        <v>Deep litter</v>
      </c>
      <c r="F146" s="50">
        <f ca="1"/>
        <v>0.2</v>
      </c>
      <c r="G146" s="50">
        <f ca="1"/>
        <v>0.25</v>
      </c>
      <c r="H146" s="50">
        <f ca="1"/>
        <v>0.25</v>
      </c>
      <c r="I146" s="50">
        <f ca="1"/>
        <v>0.25</v>
      </c>
      <c r="J146" s="2"/>
    </row>
    <row r="147" spans="4:16" ht="20.100000000000001" customHeight="1" x14ac:dyDescent="0.25">
      <c r="D147" s="55" t="s">
        <v>346</v>
      </c>
      <c r="E147" s="104" t="str" cm="1">
        <f t="array" aca="1" ref="E147:I150" ca="1">OFFSET(X_Table_Swine_Stage2MMS_From_SolidStorage,1,0,4,5)</f>
        <v>Anaerobic lagoon</v>
      </c>
      <c r="F147" s="50">
        <f ca="1"/>
        <v>0.2</v>
      </c>
      <c r="G147" s="50">
        <f ca="1"/>
        <v>0.2</v>
      </c>
      <c r="H147" s="50">
        <f ca="1"/>
        <v>0.2</v>
      </c>
      <c r="I147" s="50">
        <f ca="1"/>
        <v>0.2</v>
      </c>
      <c r="J147" s="2"/>
    </row>
    <row r="148" spans="4:16" ht="20.100000000000001" customHeight="1" x14ac:dyDescent="0.25">
      <c r="D148" s="55"/>
      <c r="E148" s="104" t="str">
        <f ca="1"/>
        <v>Digester / covered lagoons</v>
      </c>
      <c r="F148" s="50">
        <f ca="1"/>
        <v>0.2</v>
      </c>
      <c r="G148" s="50">
        <f ca="1"/>
        <v>0.2</v>
      </c>
      <c r="H148" s="50">
        <f ca="1"/>
        <v>0.2</v>
      </c>
      <c r="I148" s="50">
        <f ca="1"/>
        <v>0.2</v>
      </c>
      <c r="J148" s="2"/>
    </row>
    <row r="149" spans="4:16" ht="20.100000000000001" customHeight="1" x14ac:dyDescent="0.25">
      <c r="D149" s="55"/>
      <c r="E149" s="104" t="str">
        <f ca="1"/>
        <v>Deep litter</v>
      </c>
      <c r="F149" s="50">
        <f ca="1"/>
        <v>0.2</v>
      </c>
      <c r="G149" s="50">
        <f ca="1"/>
        <v>0.2</v>
      </c>
      <c r="H149" s="50">
        <f ca="1"/>
        <v>0.2</v>
      </c>
      <c r="I149" s="50">
        <f ca="1"/>
        <v>0.2</v>
      </c>
      <c r="J149" s="2"/>
    </row>
    <row r="150" spans="4:16" ht="20.100000000000001" customHeight="1" x14ac:dyDescent="0.25">
      <c r="D150" s="55"/>
      <c r="E150" s="104" t="str">
        <f ca="1"/>
        <v>Pit storage</v>
      </c>
      <c r="F150" s="50">
        <f ca="1"/>
        <v>0.1</v>
      </c>
      <c r="G150" s="50">
        <f ca="1"/>
        <v>0.1</v>
      </c>
      <c r="H150" s="50">
        <f ca="1"/>
        <v>0.1</v>
      </c>
      <c r="I150" s="50">
        <f ca="1"/>
        <v>0.1</v>
      </c>
      <c r="J150" s="2"/>
      <c r="N150" s="20" t="s">
        <v>356</v>
      </c>
      <c r="O150" s="20"/>
      <c r="P150" s="20"/>
    </row>
    <row r="151" spans="4:16" ht="20.100000000000001" customHeight="1" x14ac:dyDescent="0.25"/>
    <row r="152" spans="4:16" ht="20.100000000000001" customHeight="1" x14ac:dyDescent="0.25">
      <c r="D152" s="117" t="s">
        <v>116</v>
      </c>
      <c r="N152" s="117" t="s">
        <v>116</v>
      </c>
    </row>
    <row r="153" spans="4:16" ht="20.100000000000001" customHeight="1" x14ac:dyDescent="0.25">
      <c r="D153" s="118" t="s">
        <v>187</v>
      </c>
      <c r="N153" s="118" t="s">
        <v>355</v>
      </c>
    </row>
    <row r="154" spans="4:16" ht="20.100000000000001" customHeight="1" x14ac:dyDescent="0.25">
      <c r="D154" s="49" t="s">
        <v>64</v>
      </c>
      <c r="E154" s="49" t="s">
        <v>92</v>
      </c>
      <c r="N154" s="49" t="s">
        <v>64</v>
      </c>
      <c r="O154" s="49" t="s">
        <v>92</v>
      </c>
    </row>
    <row r="155" spans="4:16" ht="20.100000000000001" customHeight="1" x14ac:dyDescent="0.25">
      <c r="D155" s="55" t="str">
        <f>INDEX(X_Table_Swine_Stage1MMS_AnaerobicLagoon,2,1)</f>
        <v>Anaerobic lagoon</v>
      </c>
      <c r="E155" s="50">
        <f>CommonLivestock_InputFunctions.Livestock_LookupMCFState(D155,Table_SourceData_Swine_MMSMCF[NIR definition],Common_InputFunctions.Utility_ConvertStateCommonNameToAbbreviation($I$126,Table_AustralianStates[Common Name],Table_AustralianStates[Abbreviation]),Table_SourceData_Swine_MMSMCF[#Headers],Table_SourceData_Swine_MMSMCF[#Data])</f>
        <v>0.76</v>
      </c>
      <c r="F155" s="2" t="str">
        <f>$G$124</f>
        <v>fraction</v>
      </c>
      <c r="N155" s="55" t="str">
        <f>INDEX(X_Table_Swine_Stage1MMS_AnaerobicLagoon,2,1)</f>
        <v>Anaerobic lagoon</v>
      </c>
      <c r="O155" s="50">
        <f>Common_InputFunctions.Common_GetMCFTemperatureZone($S$126, N155,Table_SourceData_Common_MCFTemperatureZone[MAT raw],Table_SourceData_Common_MCFTemperatureZone[#Headers],Table_SourceData_Common_MCFTemperatureZone[])</f>
        <v>0.77</v>
      </c>
      <c r="P155" s="2" t="str">
        <f>$G$124</f>
        <v>fraction</v>
      </c>
    </row>
    <row r="156" spans="4:16" ht="20.100000000000001" customHeight="1" x14ac:dyDescent="0.25">
      <c r="D156" s="55" t="str">
        <f>INDEX(X_Table_Swine_Stage1MMS_Drylot,2,1)</f>
        <v>Drylot (feed pad)</v>
      </c>
      <c r="E156" s="50">
        <f>CommonLivestock_InputFunctions.Livestock_LookupMCFState(D156,Table_SourceData_Swine_MMSMCF[NIR definition],Common_InputFunctions.Utility_ConvertStateCommonNameToAbbreviation($I$126,Table_AustralianStates[Common Name],Table_AustralianStates[Abbreviation]),Table_SourceData_Swine_MMSMCF[#Headers],Table_SourceData_Swine_MMSMCF[#Data])</f>
        <v>0.01</v>
      </c>
      <c r="N156" s="55" t="str">
        <f>INDEX(X_Table_Swine_Stage1MMS_Drylot,2,1)</f>
        <v>Drylot (feed pad)</v>
      </c>
      <c r="O156" s="50">
        <f>CommonLivestock_InputFunctions.Livestock_LookupMCFState(N156,Table_SourceData_Swine_MMSMCF[NIR definition],Common_InputFunctions.Utility_ConvertStateCommonNameToAbbreviation($I$126,Table_AustralianStates[Common Name],Table_AustralianStates[Abbreviation]),Table_SourceData_Swine_MMSMCF[#Headers],Table_SourceData_Swine_MMSMCF[#Data])</f>
        <v>0.01</v>
      </c>
    </row>
    <row r="157" spans="4:16" ht="20.100000000000001" customHeight="1" x14ac:dyDescent="0.25">
      <c r="D157" s="55" t="str">
        <f>INDEX(X_Table_Swine_Stage1MMS_DigesterCoveredLagoons,2,1)</f>
        <v>Digester / covered lagoons</v>
      </c>
      <c r="E157" s="50">
        <f>CommonLivestock_InputFunctions.Livestock_LookupMCFState(D157,Table_SourceData_Swine_MMSMCF[NIR definition],Common_InputFunctions.Utility_ConvertStateCommonNameToAbbreviation($I$126,Table_AustralianStates[Common Name],Table_AustralianStates[Abbreviation]),Table_SourceData_Swine_MMSMCF[#Headers],Table_SourceData_Swine_MMSMCF[#Data])</f>
        <v>0.1</v>
      </c>
      <c r="N157" s="55" t="str">
        <f>INDEX(X_Table_Swine_Stage1MMS_DigesterCoveredLagoons,2,1)</f>
        <v>Digester / covered lagoons</v>
      </c>
      <c r="O157" s="50">
        <f>Common_InputFunctions.Common_GetMCFTemperatureZone($S$126, N157,Table_SourceData_Common_MCFTemperatureZone[MAT raw],Table_SourceData_Common_MCFTemperatureZone[#Headers],Table_SourceData_Common_MCFTemperatureZone[])</f>
        <v>0.1</v>
      </c>
    </row>
    <row r="158" spans="4:16" ht="20.100000000000001" customHeight="1" x14ac:dyDescent="0.25">
      <c r="D158" s="55" t="str">
        <f>INDEX(X_Table_Swine_Stage1MMS_DeepLitter,2,1)</f>
        <v>Deep litter</v>
      </c>
      <c r="E158" s="50">
        <f>CommonLivestock_InputFunctions.Livestock_LookupMCFState(D158,Table_SourceData_Swine_MMSMCF[NIR definition],Common_InputFunctions.Utility_ConvertStateCommonNameToAbbreviation($I$126,Table_AustralianStates[Common Name],Table_AustralianStates[Abbreviation]),Table_SourceData_Swine_MMSMCF[#Headers],Table_SourceData_Swine_MMSMCF[#Data])</f>
        <v>0.04</v>
      </c>
      <c r="N158" s="55" t="str">
        <f>INDEX(X_Table_Swine_Stage1MMS_DeepLitter,2,1)</f>
        <v>Deep litter</v>
      </c>
      <c r="O158" s="50">
        <f>Common_InputFunctions.Common_GetMCFTemperatureZone($S$126, N158,Table_SourceData_Common_MCFTemperatureZone[MAT raw],Table_SourceData_Common_MCFTemperatureZone[#Headers],Table_SourceData_Common_MCFTemperatureZone[])</f>
        <v>0.04</v>
      </c>
    </row>
    <row r="159" spans="4:16" ht="20.100000000000001" customHeight="1" x14ac:dyDescent="0.25">
      <c r="D159" s="55" t="str">
        <f>INDEX(X_Table_Swine_Stage1MMS_PitStorage,2,1)</f>
        <v>Pit storage</v>
      </c>
      <c r="E159" s="50">
        <f>CommonLivestock_InputFunctions.Livestock_LookupMCFState(D159,Table_SourceData_Swine_MMSMCF[NIR definition],Common_InputFunctions.Utility_ConvertStateCommonNameToAbbreviation($I$126,Table_AustralianStates[Common Name],Table_AustralianStates[Abbreviation]),Table_SourceData_Swine_MMSMCF[#Headers],Table_SourceData_Swine_MMSMCF[#Data])</f>
        <v>0.03</v>
      </c>
      <c r="N159" s="55" t="str">
        <f>INDEX(X_Table_Swine_Stage1MMS_PitStorage,2,1)</f>
        <v>Pit storage</v>
      </c>
      <c r="O159" s="50">
        <f>Common_InputFunctions.Common_GetMCFTemperatureZone($S$126, N159,Table_SourceData_Common_MCFTemperatureZone[MAT raw],Table_SourceData_Common_MCFTemperatureZone[#Headers],Table_SourceData_Common_MCFTemperatureZone[])</f>
        <v>0.03</v>
      </c>
    </row>
    <row r="160" spans="4:16" ht="20.100000000000001" customHeight="1" x14ac:dyDescent="0.25">
      <c r="D160" s="55" t="s">
        <v>346</v>
      </c>
      <c r="E160" s="50">
        <f>CommonLivestock_InputFunctions.Livestock_LookupMCFState(D160,Table_SourceData_Swine_MMSMCF[NIR definition],Common_InputFunctions.Utility_ConvertStateCommonNameToAbbreviation($I$126,Table_AustralianStates[Common Name],Table_AustralianStates[Abbreviation]),Table_SourceData_Swine_MMSMCF[#Headers],Table_SourceData_Swine_MMSMCF[#Data])</f>
        <v>0.02</v>
      </c>
      <c r="N160" s="55" t="s">
        <v>346</v>
      </c>
      <c r="O160" s="50">
        <f>Common_InputFunctions.Common_GetMCFTemperatureZone($S$126, N160,Table_SourceData_Common_MCFTemperatureZone[MAT raw],Table_SourceData_Common_MCFTemperatureZone[#Headers],Table_SourceData_Common_MCFTemperatureZone[])</f>
        <v>0.02</v>
      </c>
    </row>
    <row r="161" spans="4:20" ht="20.100000000000001" customHeight="1" x14ac:dyDescent="0.25"/>
    <row r="162" spans="4:20" ht="20.100000000000001" customHeight="1" x14ac:dyDescent="0.25">
      <c r="D162" s="117" t="s">
        <v>188</v>
      </c>
      <c r="N162" s="117" t="s">
        <v>207</v>
      </c>
    </row>
    <row r="163" spans="4:20" ht="20.100000000000001" customHeight="1" x14ac:dyDescent="0.25">
      <c r="D163" s="118" t="s">
        <v>189</v>
      </c>
      <c r="N163" s="118" t="s">
        <v>208</v>
      </c>
    </row>
    <row r="164" spans="4:20" ht="20.100000000000001" customHeight="1" x14ac:dyDescent="0.25">
      <c r="D164" s="49" t="s">
        <v>156</v>
      </c>
      <c r="E164" s="49" t="s">
        <v>164</v>
      </c>
      <c r="F164" s="49" t="s">
        <v>135</v>
      </c>
      <c r="G164" s="49" t="s">
        <v>136</v>
      </c>
      <c r="H164" s="49" t="s">
        <v>137</v>
      </c>
      <c r="I164" s="49" t="s">
        <v>195</v>
      </c>
      <c r="N164" s="49" t="s">
        <v>156</v>
      </c>
      <c r="O164" s="49" t="s">
        <v>164</v>
      </c>
      <c r="P164" s="49" t="s">
        <v>135</v>
      </c>
      <c r="Q164" s="49" t="s">
        <v>136</v>
      </c>
      <c r="R164" s="49" t="s">
        <v>137</v>
      </c>
      <c r="S164" s="49" t="s">
        <v>195</v>
      </c>
    </row>
    <row r="165" spans="4:20" ht="20.100000000000001" customHeight="1" x14ac:dyDescent="0.25">
      <c r="D165" s="55" t="str">
        <f>INDEX(X_Table_Swine_Stage1MMS_AnaerobicLagoon,2,1)</f>
        <v>Anaerobic lagoon</v>
      </c>
      <c r="E165" s="55" t="str">
        <f>INDEX(X_Table_Swine_Stage2MMS_From_AnaerobicLagoon,2,1)</f>
        <v>Digester / covered lagoons</v>
      </c>
      <c r="F165" s="50" cm="1">
        <f t="array" aca="1" ref="F165" ca="1">MMS_Swine_Methane_Equations.VEERG_4_5_1_1__6_Stage2MethaneProduction(E$103,$I$122,F131,VLOOKUP($E165,$D$155:$E$160,2, FALSE),$I$125)</f>
        <v>1.2374016000000002E-4</v>
      </c>
      <c r="G165" s="50" cm="1">
        <f t="array" aca="1" ref="G165" ca="1">MMS_Swine_Methane_Equations.VEERG_4_5_1_1__6_Stage2MethaneProduction(F$103,$I$122,G131,VLOOKUP($E165,$D$155:$E$160,2, FALSE),$I$125)</f>
        <v>1.7787648000000002E-4</v>
      </c>
      <c r="H165" s="50" cm="1">
        <f t="array" aca="1" ref="H165" ca="1">MMS_Swine_Methane_Equations.VEERG_4_5_1_1__6_Stage2MethaneProduction(G$103,$I$122,H131,VLOOKUP($E165,$D$155:$E$160,2, FALSE),$I$125)</f>
        <v>2.1267840000000003E-4</v>
      </c>
      <c r="I165" s="50" cm="1">
        <f t="array" aca="1" ref="I165" ca="1">MMS_Swine_Methane_Equations.VEERG_4_5_1_1__6_Stage2MethaneProduction(H$103,$I$122,I131,VLOOKUP($E165,$D$155:$E$160,2, FALSE),$I$125)</f>
        <v>1.5080832000000002E-4</v>
      </c>
      <c r="J165" s="2" t="str">
        <f>$E$119</f>
        <v>kg CH4/head/day</v>
      </c>
      <c r="N165" s="55" t="str">
        <f>INDEX(X_Table_Swine_Stage1MMS_AnaerobicLagoon,2,1)</f>
        <v>Anaerobic lagoon</v>
      </c>
      <c r="O165" s="55" t="str">
        <f>INDEX(X_Table_Swine_Stage2MMS_From_AnaerobicLagoon,2,1)</f>
        <v>Digester / covered lagoons</v>
      </c>
      <c r="P165" s="50" cm="1">
        <f t="array" aca="1" ref="P165" ca="1">MMS_Swine_Methane_Equations.VEERG_4_5_1_1__6_Stage2MethaneProduction(O$103,$I$122,F131,VLOOKUP($O165,$N$155:$O$160,2, FALSE),$I$125)</f>
        <v>1.2374016000000002E-4</v>
      </c>
      <c r="Q165" s="50" cm="1">
        <f t="array" aca="1" ref="Q165" ca="1">MMS_Swine_Methane_Equations.VEERG_4_5_1_1__6_Stage2MethaneProduction(P$103,$I$122,G131,VLOOKUP($O165,$N$155:$O$160,2, FALSE),$I$125)</f>
        <v>1.7787648000000002E-4</v>
      </c>
      <c r="R165" s="50" cm="1">
        <f t="array" aca="1" ref="R165" ca="1">MMS_Swine_Methane_Equations.VEERG_4_5_1_1__6_Stage2MethaneProduction(Q$103,$I$122,H131,VLOOKUP($O165,$N$155:$O$160,2, FALSE),$I$125)</f>
        <v>2.1267840000000003E-4</v>
      </c>
      <c r="S165" s="50" cm="1">
        <f t="array" aca="1" ref="S165" ca="1">MMS_Swine_Methane_Equations.VEERG_4_5_1_1__6_Stage2MethaneProduction(R$103,$I$122,I131,VLOOKUP($O165,$N$155:$O$160,2, FALSE),$I$125)</f>
        <v>1.5080832000000002E-4</v>
      </c>
      <c r="T165" s="2" t="str">
        <f t="shared" ref="T165" si="1">$E$119</f>
        <v>kg CH4/head/day</v>
      </c>
    </row>
    <row r="166" spans="4:20" ht="20.100000000000001" customHeight="1" x14ac:dyDescent="0.25">
      <c r="D166" s="55"/>
      <c r="E166" s="55" t="str">
        <f>INDEX(X_Table_Swine_Stage2MMS_From_AnaerobicLagoon,3,1)</f>
        <v>Deep litter</v>
      </c>
      <c r="F166" s="50" cm="1">
        <f t="array" aca="1" ref="F166" ca="1">MMS_Swine_Methane_Equations.VEERG_4_5_1_1__6_Stage2MethaneProduction(E$103,$I$122,F132,VLOOKUP($E166,$D$155:$E$160,2, FALSE),$I$125)</f>
        <v>4.9496064000000004E-5</v>
      </c>
      <c r="G166" s="50" cm="1">
        <f t="array" aca="1" ref="G166" ca="1">MMS_Swine_Methane_Equations.VEERG_4_5_1_1__6_Stage2MethaneProduction(F$103,$I$122,G132,VLOOKUP($E166,$D$155:$E$160,2, FALSE),$I$125)</f>
        <v>7.1150592000000014E-5</v>
      </c>
      <c r="H166" s="50" cm="1">
        <f t="array" aca="1" ref="H166" ca="1">MMS_Swine_Methane_Equations.VEERG_4_5_1_1__6_Stage2MethaneProduction(G$103,$I$122,H132,VLOOKUP($E166,$D$155:$E$160,2, FALSE),$I$125)</f>
        <v>8.5071360000000011E-5</v>
      </c>
      <c r="I166" s="50" cm="1">
        <f t="array" aca="1" ref="I166" ca="1">MMS_Swine_Methane_Equations.VEERG_4_5_1_1__6_Stage2MethaneProduction(H$103,$I$122,I132,VLOOKUP($E166,$D$155:$E$160,2, FALSE),$I$125)</f>
        <v>6.0323328000000009E-5</v>
      </c>
      <c r="J166" s="2"/>
      <c r="N166" s="55"/>
      <c r="O166" s="55" t="str">
        <f>INDEX(X_Table_Swine_Stage2MMS_From_AnaerobicLagoon,3,1)</f>
        <v>Deep litter</v>
      </c>
      <c r="P166" s="50" cm="1">
        <f t="array" aca="1" ref="P166" ca="1">MMS_Swine_Methane_Equations.VEERG_4_5_1_1__6_Stage2MethaneProduction(O$103,$I$122,F132,VLOOKUP($O166,$N$155:$O$160,2, FALSE),$I$125)</f>
        <v>4.9496064000000004E-5</v>
      </c>
      <c r="Q166" s="50" cm="1">
        <f t="array" aca="1" ref="Q166" ca="1">MMS_Swine_Methane_Equations.VEERG_4_5_1_1__6_Stage2MethaneProduction(P$103,$I$122,G132,VLOOKUP($O166,$N$155:$O$160,2, FALSE),$I$125)</f>
        <v>7.1150592000000014E-5</v>
      </c>
      <c r="R166" s="50" cm="1">
        <f t="array" aca="1" ref="R166" ca="1">MMS_Swine_Methane_Equations.VEERG_4_5_1_1__6_Stage2MethaneProduction(Q$103,$I$122,H132,VLOOKUP($O166,$N$155:$O$160,2, FALSE),$I$125)</f>
        <v>8.5071360000000011E-5</v>
      </c>
      <c r="S166" s="50" cm="1">
        <f t="array" aca="1" ref="S166" ca="1">MMS_Swine_Methane_Equations.VEERG_4_5_1_1__6_Stage2MethaneProduction(R$103,$I$122,I132,VLOOKUP($O166,$N$155:$O$160,2, FALSE),$I$125)</f>
        <v>6.0323328000000009E-5</v>
      </c>
      <c r="T166" s="2"/>
    </row>
    <row r="167" spans="4:20" ht="20.100000000000001" customHeight="1" x14ac:dyDescent="0.25">
      <c r="D167" s="55"/>
      <c r="E167" s="55" t="str">
        <f>INDEX(X_Table_Swine_Stage2MMS_From_AnaerobicLagoon,4,1)</f>
        <v>Pit storage</v>
      </c>
      <c r="F167" s="50" cm="1">
        <f t="array" aca="1" ref="F167" ca="1">MMS_Swine_Methane_Equations.VEERG_4_5_1_1__6_Stage2MethaneProduction(E$103,$I$122,F133,VLOOKUP($E167,$D$155:$E$160,2, FALSE),$I$125)</f>
        <v>3.7122047999999999E-5</v>
      </c>
      <c r="G167" s="50" cm="1">
        <f t="array" aca="1" ref="G167" ca="1">MMS_Swine_Methane_Equations.VEERG_4_5_1_1__6_Stage2MethaneProduction(F$103,$I$122,G133,VLOOKUP($E167,$D$155:$E$160,2, FALSE),$I$125)</f>
        <v>5.3362944000000004E-5</v>
      </c>
      <c r="H167" s="50" cm="1">
        <f t="array" aca="1" ref="H167" ca="1">MMS_Swine_Methane_Equations.VEERG_4_5_1_1__6_Stage2MethaneProduction(G$103,$I$122,H133,VLOOKUP($E167,$D$155:$E$160,2, FALSE),$I$125)</f>
        <v>6.3803520000000008E-5</v>
      </c>
      <c r="I167" s="50" cm="1">
        <f t="array" aca="1" ref="I167" ca="1">MMS_Swine_Methane_Equations.VEERG_4_5_1_1__6_Stage2MethaneProduction(H$103,$I$122,I133,VLOOKUP($E167,$D$155:$E$160,2, FALSE),$I$125)</f>
        <v>4.5242496000000002E-5</v>
      </c>
      <c r="J167" s="2"/>
      <c r="N167" s="55"/>
      <c r="O167" s="55" t="str">
        <f>INDEX(X_Table_Swine_Stage2MMS_From_AnaerobicLagoon,4,1)</f>
        <v>Pit storage</v>
      </c>
      <c r="P167" s="50" cm="1">
        <f t="array" aca="1" ref="P167" ca="1">MMS_Swine_Methane_Equations.VEERG_4_5_1_1__6_Stage2MethaneProduction(O$103,$I$122,F133,VLOOKUP($O167,$N$155:$O$160,2, FALSE),$I$125)</f>
        <v>3.7122047999999999E-5</v>
      </c>
      <c r="Q167" s="50" cm="1">
        <f t="array" aca="1" ref="Q167" ca="1">MMS_Swine_Methane_Equations.VEERG_4_5_1_1__6_Stage2MethaneProduction(P$103,$I$122,G133,VLOOKUP($O167,$N$155:$O$160,2, FALSE),$I$125)</f>
        <v>5.3362944000000004E-5</v>
      </c>
      <c r="R167" s="50" cm="1">
        <f t="array" aca="1" ref="R167" ca="1">MMS_Swine_Methane_Equations.VEERG_4_5_1_1__6_Stage2MethaneProduction(Q$103,$I$122,H133,VLOOKUP($O167,$N$155:$O$160,2, FALSE),$I$125)</f>
        <v>6.3803520000000008E-5</v>
      </c>
      <c r="S167" s="50" cm="1">
        <f t="array" aca="1" ref="S167" ca="1">MMS_Swine_Methane_Equations.VEERG_4_5_1_1__6_Stage2MethaneProduction(R$103,$I$122,I133,VLOOKUP($O167,$N$155:$O$160,2, FALSE),$I$125)</f>
        <v>4.5242496000000002E-5</v>
      </c>
      <c r="T167" s="2"/>
    </row>
    <row r="168" spans="4:20" ht="20.100000000000001" customHeight="1" x14ac:dyDescent="0.25">
      <c r="D168" s="55" t="str">
        <f>INDEX(X_Table_Swine_Stage1MMS_Drylot,2,1)</f>
        <v>Drylot (feed pad)</v>
      </c>
      <c r="E168" s="55" t="str">
        <f>INDEX(X_Table_Swine_Stage2MMS_From_Drylot,2,1)</f>
        <v>Anaerobic lagoon</v>
      </c>
      <c r="F168" s="50" cm="1">
        <f t="array" aca="1" ref="F168" ca="1">MMS_Swine_Methane_Equations.VEERG_4_5_1_1__6_Stage2MethaneProduction(E$104,$I$122,F134,VLOOKUP($E168,$D$155:$E$160,2, FALSE),$I$125)</f>
        <v>9.4042521600000016E-4</v>
      </c>
      <c r="G168" s="50" cm="1">
        <f t="array" aca="1" ref="G168" ca="1">MMS_Swine_Methane_Equations.VEERG_4_5_1_1__6_Stage2MethaneProduction(F$104,$I$122,G134,VLOOKUP($E168,$D$155:$E$160,2, FALSE),$I$125)</f>
        <v>1.3518612480000003E-3</v>
      </c>
      <c r="H168" s="50" cm="1">
        <f t="array" aca="1" ref="H168" ca="1">MMS_Swine_Methane_Equations.VEERG_4_5_1_1__6_Stage2MethaneProduction(G$104,$I$122,H134,VLOOKUP($E168,$D$155:$E$160,2, FALSE),$I$125)</f>
        <v>1.6163558400000002E-3</v>
      </c>
      <c r="I168" s="50" cm="1">
        <f t="array" aca="1" ref="I168" ca="1">MMS_Swine_Methane_Equations.VEERG_4_5_1_1__6_Stage2MethaneProduction(H$104,$I$122,I134,VLOOKUP($E168,$D$155:$E$160,2, FALSE),$I$125)</f>
        <v>1.146143232E-3</v>
      </c>
      <c r="J168" s="2"/>
      <c r="N168" s="55" t="str">
        <f>INDEX(X_Table_Swine_Stage1MMS_Drylot,2,1)</f>
        <v>Drylot (feed pad)</v>
      </c>
      <c r="O168" s="55" t="str">
        <f>INDEX(X_Table_Swine_Stage2MMS_From_Drylot,2,1)</f>
        <v>Anaerobic lagoon</v>
      </c>
      <c r="P168" s="50" cm="1">
        <f t="array" aca="1" ref="P168" ca="1">MMS_Swine_Methane_Equations.VEERG_4_5_1_1__6_Stage2MethaneProduction(O$104,$I$122,F134,VLOOKUP($O168,$N$155:$O$160,2, FALSE),$I$125)</f>
        <v>9.5279923199999999E-4</v>
      </c>
      <c r="Q168" s="50" cm="1">
        <f t="array" aca="1" ref="Q168" ca="1">MMS_Swine_Methane_Equations.VEERG_4_5_1_1__6_Stage2MethaneProduction(P$104,$I$122,G134,VLOOKUP($O168,$N$155:$O$160,2, FALSE),$I$125)</f>
        <v>1.3696488960000003E-3</v>
      </c>
      <c r="R168" s="50" cm="1">
        <f t="array" aca="1" ref="R168" ca="1">MMS_Swine_Methane_Equations.VEERG_4_5_1_1__6_Stage2MethaneProduction(Q$104,$I$122,H134,VLOOKUP($O168,$N$155:$O$160,2, FALSE),$I$125)</f>
        <v>1.63762368E-3</v>
      </c>
      <c r="S168" s="50" cm="1">
        <f t="array" aca="1" ref="S168" ca="1">MMS_Swine_Methane_Equations.VEERG_4_5_1_1__6_Stage2MethaneProduction(R$104,$I$122,I134,VLOOKUP($O168,$N$155:$O$160,2, FALSE),$I$125)</f>
        <v>1.1612240640000002E-3</v>
      </c>
      <c r="T168" s="2"/>
    </row>
    <row r="169" spans="4:20" ht="20.100000000000001" customHeight="1" x14ac:dyDescent="0.25">
      <c r="D169" s="55"/>
      <c r="E169" s="55" t="str">
        <f>INDEX(X_Table_Swine_Stage2MMS_From_Drylot,3,1)</f>
        <v>Digester / covered lagoons</v>
      </c>
      <c r="F169" s="50" cm="1">
        <f t="array" aca="1" ref="F169" ca="1">MMS_Swine_Methane_Equations.VEERG_4_5_1_1__6_Stage2MethaneProduction(E$104,$I$122,F135,VLOOKUP($E169,$D$155:$E$160,2, FALSE),$I$125)</f>
        <v>1.2374016000000002E-4</v>
      </c>
      <c r="G169" s="50" cm="1">
        <f t="array" aca="1" ref="G169" ca="1">MMS_Swine_Methane_Equations.VEERG_4_5_1_1__6_Stage2MethaneProduction(F$104,$I$122,G135,VLOOKUP($E169,$D$155:$E$160,2, FALSE),$I$125)</f>
        <v>1.7787648000000002E-4</v>
      </c>
      <c r="H169" s="50" cm="1">
        <f t="array" aca="1" ref="H169" ca="1">MMS_Swine_Methane_Equations.VEERG_4_5_1_1__6_Stage2MethaneProduction(G$104,$I$122,H135,VLOOKUP($E169,$D$155:$E$160,2, FALSE),$I$125)</f>
        <v>2.1267840000000003E-4</v>
      </c>
      <c r="I169" s="50" cm="1">
        <f t="array" aca="1" ref="I169" ca="1">MMS_Swine_Methane_Equations.VEERG_4_5_1_1__6_Stage2MethaneProduction(H$104,$I$122,I135,VLOOKUP($E169,$D$155:$E$160,2, FALSE),$I$125)</f>
        <v>1.5080832000000002E-4</v>
      </c>
      <c r="J169" s="2"/>
      <c r="N169" s="55"/>
      <c r="O169" s="55" t="str">
        <f>INDEX(X_Table_Swine_Stage2MMS_From_Drylot,3,1)</f>
        <v>Digester / covered lagoons</v>
      </c>
      <c r="P169" s="50" cm="1">
        <f t="array" aca="1" ref="P169" ca="1">MMS_Swine_Methane_Equations.VEERG_4_5_1_1__6_Stage2MethaneProduction(O$104,$I$122,F135,VLOOKUP($O169,$N$155:$O$160,2, FALSE),$I$125)</f>
        <v>1.2374016000000002E-4</v>
      </c>
      <c r="Q169" s="50" cm="1">
        <f t="array" aca="1" ref="Q169" ca="1">MMS_Swine_Methane_Equations.VEERG_4_5_1_1__6_Stage2MethaneProduction(P$104,$I$122,G135,VLOOKUP($O169,$N$155:$O$160,2, FALSE),$I$125)</f>
        <v>1.7787648000000002E-4</v>
      </c>
      <c r="R169" s="50" cm="1">
        <f t="array" aca="1" ref="R169" ca="1">MMS_Swine_Methane_Equations.VEERG_4_5_1_1__6_Stage2MethaneProduction(Q$104,$I$122,H135,VLOOKUP($O169,$N$155:$O$160,2, FALSE),$I$125)</f>
        <v>2.1267840000000003E-4</v>
      </c>
      <c r="S169" s="50" cm="1">
        <f t="array" aca="1" ref="S169" ca="1">MMS_Swine_Methane_Equations.VEERG_4_5_1_1__6_Stage2MethaneProduction(R$104,$I$122,I135,VLOOKUP($O169,$N$155:$O$160,2, FALSE),$I$125)</f>
        <v>1.5080832000000002E-4</v>
      </c>
      <c r="T169" s="2"/>
    </row>
    <row r="170" spans="4:20" ht="20.100000000000001" customHeight="1" x14ac:dyDescent="0.25">
      <c r="D170" s="55"/>
      <c r="E170" s="55" t="str">
        <f>INDEX(X_Table_Swine_Stage2MMS_From_Drylot,4,1)</f>
        <v>Deep litter</v>
      </c>
      <c r="F170" s="50" cm="1">
        <f t="array" aca="1" ref="F170" ca="1">MMS_Swine_Methane_Equations.VEERG_4_5_1_1__6_Stage2MethaneProduction(E$104,$I$122,F136,VLOOKUP($E170,$D$155:$E$160,2, FALSE),$I$125)</f>
        <v>4.9496064000000004E-5</v>
      </c>
      <c r="G170" s="50" cm="1">
        <f t="array" aca="1" ref="G170" ca="1">MMS_Swine_Methane_Equations.VEERG_4_5_1_1__6_Stage2MethaneProduction(F$104,$I$122,G136,VLOOKUP($E170,$D$155:$E$160,2, FALSE),$I$125)</f>
        <v>7.1150592000000014E-5</v>
      </c>
      <c r="H170" s="50" cm="1">
        <f t="array" aca="1" ref="H170" ca="1">MMS_Swine_Methane_Equations.VEERG_4_5_1_1__6_Stage2MethaneProduction(G$104,$I$122,H136,VLOOKUP($E170,$D$155:$E$160,2, FALSE),$I$125)</f>
        <v>8.5071360000000011E-5</v>
      </c>
      <c r="I170" s="50" cm="1">
        <f t="array" aca="1" ref="I170" ca="1">MMS_Swine_Methane_Equations.VEERG_4_5_1_1__6_Stage2MethaneProduction(H$104,$I$122,I136,VLOOKUP($E170,$D$155:$E$160,2, FALSE),$I$125)</f>
        <v>6.0323328000000009E-5</v>
      </c>
      <c r="J170" s="2"/>
      <c r="N170" s="55"/>
      <c r="O170" s="55" t="str">
        <f>INDEX(X_Table_Swine_Stage2MMS_From_Drylot,4,1)</f>
        <v>Deep litter</v>
      </c>
      <c r="P170" s="50" cm="1">
        <f t="array" aca="1" ref="P170" ca="1">MMS_Swine_Methane_Equations.VEERG_4_5_1_1__6_Stage2MethaneProduction(O$104,$I$122,F136,VLOOKUP($O170,$N$155:$O$160,2, FALSE),$I$125)</f>
        <v>4.9496064000000004E-5</v>
      </c>
      <c r="Q170" s="50" cm="1">
        <f t="array" aca="1" ref="Q170" ca="1">MMS_Swine_Methane_Equations.VEERG_4_5_1_1__6_Stage2MethaneProduction(P$104,$I$122,G136,VLOOKUP($O170,$N$155:$O$160,2, FALSE),$I$125)</f>
        <v>7.1150592000000014E-5</v>
      </c>
      <c r="R170" s="50" cm="1">
        <f t="array" aca="1" ref="R170" ca="1">MMS_Swine_Methane_Equations.VEERG_4_5_1_1__6_Stage2MethaneProduction(Q$104,$I$122,H136,VLOOKUP($O170,$N$155:$O$160,2, FALSE),$I$125)</f>
        <v>8.5071360000000011E-5</v>
      </c>
      <c r="S170" s="50" cm="1">
        <f t="array" aca="1" ref="S170" ca="1">MMS_Swine_Methane_Equations.VEERG_4_5_1_1__6_Stage2MethaneProduction(R$104,$I$122,I136,VLOOKUP($O170,$N$155:$O$160,2, FALSE),$I$125)</f>
        <v>6.0323328000000009E-5</v>
      </c>
      <c r="T170" s="2"/>
    </row>
    <row r="171" spans="4:20" ht="20.100000000000001" customHeight="1" x14ac:dyDescent="0.25">
      <c r="D171" s="55"/>
      <c r="E171" s="55" t="str">
        <f>INDEX(X_Table_Swine_Stage2MMS_From_Drylot,5,1)</f>
        <v>Pit storage</v>
      </c>
      <c r="F171" s="50" cm="1">
        <f t="array" aca="1" ref="F171" ca="1">MMS_Swine_Methane_Equations.VEERG_4_5_1_1__6_Stage2MethaneProduction(E$104,$I$122,F137,VLOOKUP($E171,$D$155:$E$160,2, FALSE),$I$125)</f>
        <v>3.7122047999999999E-5</v>
      </c>
      <c r="G171" s="50" cm="1">
        <f t="array" aca="1" ref="G171" ca="1">MMS_Swine_Methane_Equations.VEERG_4_5_1_1__6_Stage2MethaneProduction(F$104,$I$122,G137,VLOOKUP($E171,$D$155:$E$160,2, FALSE),$I$125)</f>
        <v>5.3362944000000004E-5</v>
      </c>
      <c r="H171" s="50" cm="1">
        <f t="array" aca="1" ref="H171" ca="1">MMS_Swine_Methane_Equations.VEERG_4_5_1_1__6_Stage2MethaneProduction(G$104,$I$122,H137,VLOOKUP($E171,$D$155:$E$160,2, FALSE),$I$125)</f>
        <v>6.3803520000000008E-5</v>
      </c>
      <c r="I171" s="50" cm="1">
        <f t="array" aca="1" ref="I171" ca="1">MMS_Swine_Methane_Equations.VEERG_4_5_1_1__6_Stage2MethaneProduction(H$104,$I$122,I137,VLOOKUP($E171,$D$155:$E$160,2, FALSE),$I$125)</f>
        <v>4.5242496000000002E-5</v>
      </c>
      <c r="J171" s="2"/>
      <c r="N171" s="55"/>
      <c r="O171" s="55" t="str">
        <f>INDEX(X_Table_Swine_Stage2MMS_From_Drylot,5,1)</f>
        <v>Pit storage</v>
      </c>
      <c r="P171" s="50" cm="1">
        <f t="array" aca="1" ref="P171" ca="1">MMS_Swine_Methane_Equations.VEERG_4_5_1_1__6_Stage2MethaneProduction(O$104,$I$122,F137,VLOOKUP($O171,$N$155:$O$160,2, FALSE),$I$125)</f>
        <v>3.7122047999999999E-5</v>
      </c>
      <c r="Q171" s="50" cm="1">
        <f t="array" aca="1" ref="Q171" ca="1">MMS_Swine_Methane_Equations.VEERG_4_5_1_1__6_Stage2MethaneProduction(P$104,$I$122,G137,VLOOKUP($O171,$N$155:$O$160,2, FALSE),$I$125)</f>
        <v>5.3362944000000004E-5</v>
      </c>
      <c r="R171" s="50" cm="1">
        <f t="array" aca="1" ref="R171" ca="1">MMS_Swine_Methane_Equations.VEERG_4_5_1_1__6_Stage2MethaneProduction(Q$104,$I$122,H137,VLOOKUP($O171,$N$155:$O$160,2, FALSE),$I$125)</f>
        <v>6.3803520000000008E-5</v>
      </c>
      <c r="S171" s="50" cm="1">
        <f t="array" aca="1" ref="S171" ca="1">MMS_Swine_Methane_Equations.VEERG_4_5_1_1__6_Stage2MethaneProduction(R$104,$I$122,I137,VLOOKUP($O171,$N$155:$O$160,2, FALSE),$I$125)</f>
        <v>4.5242496000000002E-5</v>
      </c>
      <c r="T171" s="2"/>
    </row>
    <row r="172" spans="4:20" ht="20.100000000000001" customHeight="1" x14ac:dyDescent="0.25">
      <c r="D172" s="55" t="str">
        <f>INDEX(X_Table_Swine_Stage1MMS_DigesterCoveredLagoons,2,1)</f>
        <v>Digester / covered lagoons</v>
      </c>
      <c r="E172" s="55" t="str">
        <f>INDEX(X_Table_Swine_Stage2MMS_From_DigesterCoveredLagoons,2,1)</f>
        <v>Anaerobic lagoon</v>
      </c>
      <c r="F172" s="50" cm="1">
        <f t="array" aca="1" ref="F172" ca="1">MMS_Swine_Methane_Equations.VEERG_4_5_1_1__6_Stage2MethaneProduction(E$105,$I$122,F138,VLOOKUP($E172,$D$155:$E$160,2, FALSE),$I$125)</f>
        <v>2.3510630400000004E-4</v>
      </c>
      <c r="G172" s="50" cm="1">
        <f t="array" aca="1" ref="G172" ca="1">MMS_Swine_Methane_Equations.VEERG_4_5_1_1__6_Stage2MethaneProduction(F$105,$I$122,G138,VLOOKUP($E172,$D$155:$E$160,2, FALSE),$I$125)</f>
        <v>3.3796531200000008E-4</v>
      </c>
      <c r="H172" s="50" cm="1">
        <f t="array" aca="1" ref="H172" ca="1">MMS_Swine_Methane_Equations.VEERG_4_5_1_1__6_Stage2MethaneProduction(G$105,$I$122,H138,VLOOKUP($E172,$D$155:$E$160,2, FALSE),$I$125)</f>
        <v>4.0408896000000005E-4</v>
      </c>
      <c r="I172" s="50" cm="1">
        <f t="array" aca="1" ref="I172" ca="1">MMS_Swine_Methane_Equations.VEERG_4_5_1_1__6_Stage2MethaneProduction(H$105,$I$122,I138,VLOOKUP($E172,$D$155:$E$160,2, FALSE),$I$125)</f>
        <v>2.86535808E-4</v>
      </c>
      <c r="J172" s="2"/>
      <c r="N172" s="55" t="str">
        <f>INDEX(X_Table_Swine_Stage1MMS_DigesterCoveredLagoons,2,1)</f>
        <v>Digester / covered lagoons</v>
      </c>
      <c r="O172" s="55" t="str">
        <f>INDEX(X_Table_Swine_Stage2MMS_From_DigesterCoveredLagoons,2,1)</f>
        <v>Anaerobic lagoon</v>
      </c>
      <c r="P172" s="50" cm="1">
        <f t="array" aca="1" ref="P172" ca="1">MMS_Swine_Methane_Equations.VEERG_4_5_1_1__6_Stage2MethaneProduction(O$105,$I$122,F138,VLOOKUP($O172,$N$155:$O$160,2, FALSE),$I$125)</f>
        <v>2.38199808E-4</v>
      </c>
      <c r="Q172" s="50" cm="1">
        <f t="array" aca="1" ref="Q172" ca="1">MMS_Swine_Methane_Equations.VEERG_4_5_1_1__6_Stage2MethaneProduction(P$105,$I$122,G138,VLOOKUP($O172,$N$155:$O$160,2, FALSE),$I$125)</f>
        <v>3.4241222400000008E-4</v>
      </c>
      <c r="R172" s="50" cm="1">
        <f t="array" aca="1" ref="R172" ca="1">MMS_Swine_Methane_Equations.VEERG_4_5_1_1__6_Stage2MethaneProduction(Q$105,$I$122,H138,VLOOKUP($O172,$N$155:$O$160,2, FALSE),$I$125)</f>
        <v>4.0940592000000001E-4</v>
      </c>
      <c r="S172" s="50" cm="1">
        <f t="array" aca="1" ref="S172" ca="1">MMS_Swine_Methane_Equations.VEERG_4_5_1_1__6_Stage2MethaneProduction(R$105,$I$122,I138,VLOOKUP($O172,$N$155:$O$160,2, FALSE),$I$125)</f>
        <v>2.9030601600000004E-4</v>
      </c>
      <c r="T172" s="2"/>
    </row>
    <row r="173" spans="4:20" ht="20.100000000000001" customHeight="1" x14ac:dyDescent="0.25">
      <c r="D173" s="55"/>
      <c r="E173" s="55" t="str">
        <f>INDEX(X_Table_Swine_Stage2MMS_From_DigesterCoveredLagoons,3,1)</f>
        <v>Deep litter</v>
      </c>
      <c r="F173" s="50" cm="1">
        <f t="array" aca="1" ref="F173" ca="1">MMS_Swine_Methane_Equations.VEERG_4_5_1_1__6_Stage2MethaneProduction(E$105,$I$122,F139,VLOOKUP($E173,$D$155:$E$160,2, FALSE),$I$125)</f>
        <v>1.2374016000000001E-5</v>
      </c>
      <c r="G173" s="50" cm="1">
        <f t="array" aca="1" ref="G173" ca="1">MMS_Swine_Methane_Equations.VEERG_4_5_1_1__6_Stage2MethaneProduction(F$105,$I$122,G139,VLOOKUP($E173,$D$155:$E$160,2, FALSE),$I$125)</f>
        <v>1.7787648000000004E-5</v>
      </c>
      <c r="H173" s="50" cm="1">
        <f t="array" aca="1" ref="H173" ca="1">MMS_Swine_Methane_Equations.VEERG_4_5_1_1__6_Stage2MethaneProduction(G$105,$I$122,H139,VLOOKUP($E173,$D$155:$E$160,2, FALSE),$I$125)</f>
        <v>2.1267840000000003E-5</v>
      </c>
      <c r="I173" s="50" cm="1">
        <f t="array" aca="1" ref="I173" ca="1">MMS_Swine_Methane_Equations.VEERG_4_5_1_1__6_Stage2MethaneProduction(H$105,$I$122,I139,VLOOKUP($E173,$D$155:$E$160,2, FALSE),$I$125)</f>
        <v>1.5080832000000002E-5</v>
      </c>
      <c r="J173" s="2"/>
      <c r="N173" s="55"/>
      <c r="O173" s="55" t="str">
        <f>INDEX(X_Table_Swine_Stage2MMS_From_DigesterCoveredLagoons,3,1)</f>
        <v>Deep litter</v>
      </c>
      <c r="P173" s="50" cm="1">
        <f t="array" aca="1" ref="P173" ca="1">MMS_Swine_Methane_Equations.VEERG_4_5_1_1__6_Stage2MethaneProduction(O$105,$I$122,F139,VLOOKUP($O173,$N$155:$O$160,2, FALSE),$I$125)</f>
        <v>1.2374016000000001E-5</v>
      </c>
      <c r="Q173" s="50" cm="1">
        <f t="array" aca="1" ref="Q173" ca="1">MMS_Swine_Methane_Equations.VEERG_4_5_1_1__6_Stage2MethaneProduction(P$105,$I$122,G139,VLOOKUP($O173,$N$155:$O$160,2, FALSE),$I$125)</f>
        <v>1.7787648000000004E-5</v>
      </c>
      <c r="R173" s="50" cm="1">
        <f t="array" aca="1" ref="R173" ca="1">MMS_Swine_Methane_Equations.VEERG_4_5_1_1__6_Stage2MethaneProduction(Q$105,$I$122,H139,VLOOKUP($O173,$N$155:$O$160,2, FALSE),$I$125)</f>
        <v>2.1267840000000003E-5</v>
      </c>
      <c r="S173" s="50" cm="1">
        <f t="array" aca="1" ref="S173" ca="1">MMS_Swine_Methane_Equations.VEERG_4_5_1_1__6_Stage2MethaneProduction(R$105,$I$122,I139,VLOOKUP($O173,$N$155:$O$160,2, FALSE),$I$125)</f>
        <v>1.5080832000000002E-5</v>
      </c>
      <c r="T173" s="2"/>
    </row>
    <row r="174" spans="4:20" ht="20.100000000000001" customHeight="1" x14ac:dyDescent="0.25">
      <c r="D174" s="55"/>
      <c r="E174" s="55" t="str">
        <f>INDEX(X_Table_Swine_Stage2MMS_From_DigesterCoveredLagoons,4,1)</f>
        <v>Pit storage</v>
      </c>
      <c r="F174" s="50" cm="1">
        <f t="array" aca="1" ref="F174" ca="1">MMS_Swine_Methane_Equations.VEERG_4_5_1_1__6_Stage2MethaneProduction(E$105,$I$122,F140,VLOOKUP($E174,$D$155:$E$160,2, FALSE),$I$125)</f>
        <v>9.2805119999999998E-6</v>
      </c>
      <c r="G174" s="50" cm="1">
        <f t="array" aca="1" ref="G174" ca="1">MMS_Swine_Methane_Equations.VEERG_4_5_1_1__6_Stage2MethaneProduction(F$105,$I$122,G140,VLOOKUP($E174,$D$155:$E$160,2, FALSE),$I$125)</f>
        <v>1.3340736000000001E-5</v>
      </c>
      <c r="H174" s="50" cm="1">
        <f t="array" aca="1" ref="H174" ca="1">MMS_Swine_Methane_Equations.VEERG_4_5_1_1__6_Stage2MethaneProduction(G$105,$I$122,H140,VLOOKUP($E174,$D$155:$E$160,2, FALSE),$I$125)</f>
        <v>1.5950880000000002E-5</v>
      </c>
      <c r="I174" s="50" cm="1">
        <f t="array" aca="1" ref="I174" ca="1">MMS_Swine_Methane_Equations.VEERG_4_5_1_1__6_Stage2MethaneProduction(H$105,$I$122,I140,VLOOKUP($E174,$D$155:$E$160,2, FALSE),$I$125)</f>
        <v>1.1310624E-5</v>
      </c>
      <c r="J174" s="2"/>
      <c r="N174" s="55"/>
      <c r="O174" s="55" t="str">
        <f>INDEX(X_Table_Swine_Stage2MMS_From_DigesterCoveredLagoons,4,1)</f>
        <v>Pit storage</v>
      </c>
      <c r="P174" s="50" cm="1">
        <f t="array" aca="1" ref="P174" ca="1">MMS_Swine_Methane_Equations.VEERG_4_5_1_1__6_Stage2MethaneProduction(O$105,$I$122,F140,VLOOKUP($O174,$N$155:$O$160,2, FALSE),$I$125)</f>
        <v>9.2805119999999998E-6</v>
      </c>
      <c r="Q174" s="50" cm="1">
        <f t="array" aca="1" ref="Q174" ca="1">MMS_Swine_Methane_Equations.VEERG_4_5_1_1__6_Stage2MethaneProduction(P$105,$I$122,G140,VLOOKUP($O174,$N$155:$O$160,2, FALSE),$I$125)</f>
        <v>1.3340736000000001E-5</v>
      </c>
      <c r="R174" s="50" cm="1">
        <f t="array" aca="1" ref="R174" ca="1">MMS_Swine_Methane_Equations.VEERG_4_5_1_1__6_Stage2MethaneProduction(Q$105,$I$122,H140,VLOOKUP($O174,$N$155:$O$160,2, FALSE),$I$125)</f>
        <v>1.5950880000000002E-5</v>
      </c>
      <c r="S174" s="50" cm="1">
        <f t="array" aca="1" ref="S174" ca="1">MMS_Swine_Methane_Equations.VEERG_4_5_1_1__6_Stage2MethaneProduction(R$105,$I$122,I140,VLOOKUP($O174,$N$155:$O$160,2, FALSE),$I$125)</f>
        <v>1.1310624E-5</v>
      </c>
      <c r="T174" s="2"/>
    </row>
    <row r="175" spans="4:20" ht="20.100000000000001" customHeight="1" x14ac:dyDescent="0.25">
      <c r="D175" s="55" t="str">
        <f>INDEX(X_Table_Swine_Stage1MMS_DeepLitter,2,1)</f>
        <v>Deep litter</v>
      </c>
      <c r="E175" s="55" t="str">
        <f>INDEX(X_Table_Swine_Stage2MMS_From_DeepLitter,2,1)</f>
        <v>Anaerobic lagoon</v>
      </c>
      <c r="F175" s="50" cm="1">
        <f t="array" aca="1" ref="F175" ca="1">MMS_Swine_Methane_Equations.VEERG_4_5_1_1__6_Stage2MethaneProduction(E$106,$I$122,F141,VLOOKUP($E175,$D$155:$E$160,2, FALSE),$I$125)</f>
        <v>8.9340395520000001E-4</v>
      </c>
      <c r="G175" s="50" cm="1">
        <f t="array" aca="1" ref="G175" ca="1">MMS_Swine_Methane_Equations.VEERG_4_5_1_1__6_Stage2MethaneProduction(F$106,$I$122,G141,VLOOKUP($E175,$D$155:$E$160,2, FALSE),$I$125)</f>
        <v>1.2842681856000001E-3</v>
      </c>
      <c r="H175" s="50" cm="1">
        <f t="array" aca="1" ref="H175" ca="1">MMS_Swine_Methane_Equations.VEERG_4_5_1_1__6_Stage2MethaneProduction(G$106,$I$122,H141,VLOOKUP($E175,$D$155:$E$160,2, FALSE),$I$125)</f>
        <v>1.5355380480000004E-3</v>
      </c>
      <c r="I175" s="50" cm="1">
        <f t="array" aca="1" ref="I175" ca="1">MMS_Swine_Methane_Equations.VEERG_4_5_1_1__6_Stage2MethaneProduction(H$106,$I$122,I141,VLOOKUP($E175,$D$155:$E$160,2, FALSE),$I$125)</f>
        <v>1.0888360704000002E-3</v>
      </c>
      <c r="J175" s="2"/>
      <c r="N175" s="55" t="str">
        <f>INDEX(X_Table_Swine_Stage1MMS_DeepLitter,2,1)</f>
        <v>Deep litter</v>
      </c>
      <c r="O175" s="55" t="str">
        <f>INDEX(X_Table_Swine_Stage2MMS_From_DeepLitter,2,1)</f>
        <v>Anaerobic lagoon</v>
      </c>
      <c r="P175" s="50" cm="1">
        <f t="array" aca="1" ref="P175" ca="1">MMS_Swine_Methane_Equations.VEERG_4_5_1_1__6_Stage2MethaneProduction(O$106,$I$122,F141,VLOOKUP($O175,$N$155:$O$160,2, FALSE),$I$125)</f>
        <v>9.0515927040000002E-4</v>
      </c>
      <c r="Q175" s="50" cm="1">
        <f t="array" aca="1" ref="Q175" ca="1">MMS_Swine_Methane_Equations.VEERG_4_5_1_1__6_Stage2MethaneProduction(P$106,$I$122,G141,VLOOKUP($O175,$N$155:$O$160,2, FALSE),$I$125)</f>
        <v>1.3011664512E-3</v>
      </c>
      <c r="R175" s="50" cm="1">
        <f t="array" aca="1" ref="R175" ca="1">MMS_Swine_Methane_Equations.VEERG_4_5_1_1__6_Stage2MethaneProduction(Q$106,$I$122,H141,VLOOKUP($O175,$N$155:$O$160,2, FALSE),$I$125)</f>
        <v>1.5557424960000003E-3</v>
      </c>
      <c r="S175" s="50" cm="1">
        <f t="array" aca="1" ref="S175" ca="1">MMS_Swine_Methane_Equations.VEERG_4_5_1_1__6_Stage2MethaneProduction(R$106,$I$122,I141,VLOOKUP($O175,$N$155:$O$160,2, FALSE),$I$125)</f>
        <v>1.1031628608000001E-3</v>
      </c>
      <c r="T175" s="2"/>
    </row>
    <row r="176" spans="4:20" ht="20.100000000000001" customHeight="1" x14ac:dyDescent="0.25">
      <c r="D176" s="55"/>
      <c r="E176" s="55" t="str">
        <f>INDEX(X_Table_Swine_Stage2MMS_From_DeepLitter,3,1)</f>
        <v>Digester / covered lagoons</v>
      </c>
      <c r="F176" s="50" cm="1">
        <f t="array" aca="1" ref="F176" ca="1">MMS_Swine_Methane_Equations.VEERG_4_5_1_1__6_Stage2MethaneProduction(E$106,$I$122,F142,VLOOKUP($E176,$D$155:$E$160,2, FALSE),$I$125)</f>
        <v>1.1755315200000002E-4</v>
      </c>
      <c r="G176" s="50" cm="1">
        <f t="array" aca="1" ref="G176" ca="1">MMS_Swine_Methane_Equations.VEERG_4_5_1_1__6_Stage2MethaneProduction(F$106,$I$122,G142,VLOOKUP($E176,$D$155:$E$160,2, FALSE),$I$125)</f>
        <v>1.6898265599999998E-4</v>
      </c>
      <c r="H176" s="50" cm="1">
        <f t="array" aca="1" ref="H176" ca="1">MMS_Swine_Methane_Equations.VEERG_4_5_1_1__6_Stage2MethaneProduction(G$106,$I$122,H142,VLOOKUP($E176,$D$155:$E$160,2, FALSE),$I$125)</f>
        <v>2.0204448000000003E-4</v>
      </c>
      <c r="I176" s="50" cm="1">
        <f t="array" aca="1" ref="I176" ca="1">MMS_Swine_Methane_Equations.VEERG_4_5_1_1__6_Stage2MethaneProduction(H$106,$I$122,I142,VLOOKUP($E176,$D$155:$E$160,2, FALSE),$I$125)</f>
        <v>1.43267904E-4</v>
      </c>
      <c r="J176" s="2"/>
      <c r="N176" s="55"/>
      <c r="O176" s="55" t="str">
        <f>INDEX(X_Table_Swine_Stage2MMS_From_DeepLitter,3,1)</f>
        <v>Digester / covered lagoons</v>
      </c>
      <c r="P176" s="50" cm="1">
        <f t="array" aca="1" ref="P176" ca="1">MMS_Swine_Methane_Equations.VEERG_4_5_1_1__6_Stage2MethaneProduction(O$106,$I$122,F142,VLOOKUP($O176,$N$155:$O$160,2, FALSE),$I$125)</f>
        <v>1.1755315200000002E-4</v>
      </c>
      <c r="Q176" s="50" cm="1">
        <f t="array" aca="1" ref="Q176" ca="1">MMS_Swine_Methane_Equations.VEERG_4_5_1_1__6_Stage2MethaneProduction(P$106,$I$122,G142,VLOOKUP($O176,$N$155:$O$160,2, FALSE),$I$125)</f>
        <v>1.6898265599999998E-4</v>
      </c>
      <c r="R176" s="50" cm="1">
        <f t="array" aca="1" ref="R176" ca="1">MMS_Swine_Methane_Equations.VEERG_4_5_1_1__6_Stage2MethaneProduction(Q$106,$I$122,H142,VLOOKUP($O176,$N$155:$O$160,2, FALSE),$I$125)</f>
        <v>2.0204448000000003E-4</v>
      </c>
      <c r="S176" s="50" cm="1">
        <f t="array" aca="1" ref="S176" ca="1">MMS_Swine_Methane_Equations.VEERG_4_5_1_1__6_Stage2MethaneProduction(R$106,$I$122,I142,VLOOKUP($O176,$N$155:$O$160,2, FALSE),$I$125)</f>
        <v>1.43267904E-4</v>
      </c>
      <c r="T176" s="2"/>
    </row>
    <row r="177" spans="1:21" ht="20.100000000000001" customHeight="1" x14ac:dyDescent="0.25">
      <c r="D177" s="55"/>
      <c r="E177" s="55" t="str">
        <f>INDEX(X_Table_Swine_Stage2MMS_From_DeepLitter,4,1)</f>
        <v>Pit storage</v>
      </c>
      <c r="F177" s="50" cm="1">
        <f t="array" aca="1" ref="F177" ca="1">MMS_Swine_Methane_Equations.VEERG_4_5_1_1__6_Stage2MethaneProduction(E$106,$I$122,F143,VLOOKUP($E177,$D$155:$E$160,2, FALSE),$I$125)</f>
        <v>3.5265945600000003E-5</v>
      </c>
      <c r="G177" s="50" cm="1">
        <f t="array" aca="1" ref="G177" ca="1">MMS_Swine_Methane_Equations.VEERG_4_5_1_1__6_Stage2MethaneProduction(F$106,$I$122,G143,VLOOKUP($E177,$D$155:$E$160,2, FALSE),$I$125)</f>
        <v>5.0694796799999996E-5</v>
      </c>
      <c r="H177" s="50" cm="1">
        <f t="array" aca="1" ref="H177" ca="1">MMS_Swine_Methane_Equations.VEERG_4_5_1_1__6_Stage2MethaneProduction(G$106,$I$122,H143,VLOOKUP($E177,$D$155:$E$160,2, FALSE),$I$125)</f>
        <v>6.0613344000000005E-5</v>
      </c>
      <c r="I177" s="50" cm="1">
        <f t="array" aca="1" ref="I177" ca="1">MMS_Swine_Methane_Equations.VEERG_4_5_1_1__6_Stage2MethaneProduction(H$106,$I$122,I143,VLOOKUP($E177,$D$155:$E$160,2, FALSE),$I$125)</f>
        <v>4.2980371200000003E-5</v>
      </c>
      <c r="J177" s="2"/>
      <c r="N177" s="55"/>
      <c r="O177" s="55" t="str">
        <f>INDEX(X_Table_Swine_Stage2MMS_From_DeepLitter,4,1)</f>
        <v>Pit storage</v>
      </c>
      <c r="P177" s="50" cm="1">
        <f t="array" aca="1" ref="P177" ca="1">MMS_Swine_Methane_Equations.VEERG_4_5_1_1__6_Stage2MethaneProduction(O$106,$I$122,F143,VLOOKUP($O177,$N$155:$O$160,2, FALSE),$I$125)</f>
        <v>3.5265945600000003E-5</v>
      </c>
      <c r="Q177" s="50" cm="1">
        <f t="array" aca="1" ref="Q177" ca="1">MMS_Swine_Methane_Equations.VEERG_4_5_1_1__6_Stage2MethaneProduction(P$106,$I$122,G143,VLOOKUP($O177,$N$155:$O$160,2, FALSE),$I$125)</f>
        <v>5.0694796799999996E-5</v>
      </c>
      <c r="R177" s="50" cm="1">
        <f t="array" aca="1" ref="R177" ca="1">MMS_Swine_Methane_Equations.VEERG_4_5_1_1__6_Stage2MethaneProduction(Q$106,$I$122,H143,VLOOKUP($O177,$N$155:$O$160,2, FALSE),$I$125)</f>
        <v>6.0613344000000005E-5</v>
      </c>
      <c r="S177" s="50" cm="1">
        <f t="array" aca="1" ref="S177" ca="1">MMS_Swine_Methane_Equations.VEERG_4_5_1_1__6_Stage2MethaneProduction(R$106,$I$122,I143,VLOOKUP($O177,$N$155:$O$160,2, FALSE),$I$125)</f>
        <v>4.2980371200000003E-5</v>
      </c>
      <c r="T177" s="2"/>
    </row>
    <row r="178" spans="1:21" ht="20.100000000000001" customHeight="1" x14ac:dyDescent="0.25">
      <c r="D178" s="55" t="str">
        <f>INDEX(X_Table_Swine_Stage1MMS_PitStorage,2,1)</f>
        <v>Pit storage</v>
      </c>
      <c r="E178" s="55" t="str">
        <f>INDEX(X_Table_Swine_Stage2MMS_From_PitStorage,2,1)</f>
        <v>Anaerobic lagoon</v>
      </c>
      <c r="F178" s="50" cm="1">
        <f t="array" aca="1" ref="F178" ca="1">MMS_Swine_Methane_Equations.VEERG_4_5_1_1__6_Stage2MethaneProduction(E$107,$I$122,F144,VLOOKUP($E178,$D$155:$E$160,2, FALSE),$I$125)</f>
        <v>9.4042521600000016E-4</v>
      </c>
      <c r="G178" s="50" cm="1">
        <f t="array" aca="1" ref="G178" ca="1">MMS_Swine_Methane_Equations.VEERG_4_5_1_1__6_Stage2MethaneProduction(F$107,$I$122,G144,VLOOKUP($E178,$D$155:$E$160,2, FALSE),$I$125)</f>
        <v>1.3518612480000003E-3</v>
      </c>
      <c r="H178" s="50" cm="1">
        <f t="array" aca="1" ref="H178" ca="1">MMS_Swine_Methane_Equations.VEERG_4_5_1_1__6_Stage2MethaneProduction(G$107,$I$122,H144,VLOOKUP($E178,$D$155:$E$160,2, FALSE),$I$125)</f>
        <v>1.6163558400000002E-3</v>
      </c>
      <c r="I178" s="50" cm="1">
        <f t="array" aca="1" ref="I178" ca="1">MMS_Swine_Methane_Equations.VEERG_4_5_1_1__6_Stage2MethaneProduction(H$107,$I$122,I144,VLOOKUP($E178,$D$155:$E$160,2, FALSE),$I$125)</f>
        <v>1.146143232E-3</v>
      </c>
      <c r="J178" s="2"/>
      <c r="N178" s="55" t="str">
        <f>INDEX(X_Table_Swine_Stage1MMS_PitStorage,2,1)</f>
        <v>Pit storage</v>
      </c>
      <c r="O178" s="55" t="str">
        <f>INDEX(X_Table_Swine_Stage2MMS_From_PitStorage,2,1)</f>
        <v>Anaerobic lagoon</v>
      </c>
      <c r="P178" s="50" cm="1">
        <f t="array" aca="1" ref="P178" ca="1">MMS_Swine_Methane_Equations.VEERG_4_5_1_1__6_Stage2MethaneProduction(O$107,$I$122,F144,VLOOKUP($O178,$N$155:$O$160,2, FALSE),$I$125)</f>
        <v>9.5279923199999999E-4</v>
      </c>
      <c r="Q178" s="50" cm="1">
        <f t="array" aca="1" ref="Q178" ca="1">MMS_Swine_Methane_Equations.VEERG_4_5_1_1__6_Stage2MethaneProduction(P$107,$I$122,G144,VLOOKUP($O178,$N$155:$O$160,2, FALSE),$I$125)</f>
        <v>1.3696488960000003E-3</v>
      </c>
      <c r="R178" s="50" cm="1">
        <f t="array" aca="1" ref="R178" ca="1">MMS_Swine_Methane_Equations.VEERG_4_5_1_1__6_Stage2MethaneProduction(Q$107,$I$122,H144,VLOOKUP($O178,$N$155:$O$160,2, FALSE),$I$125)</f>
        <v>1.63762368E-3</v>
      </c>
      <c r="S178" s="50" cm="1">
        <f t="array" aca="1" ref="S178" ca="1">MMS_Swine_Methane_Equations.VEERG_4_5_1_1__6_Stage2MethaneProduction(R$107,$I$122,I144,VLOOKUP($O178,$N$155:$O$160,2, FALSE),$I$125)</f>
        <v>1.1612240640000002E-3</v>
      </c>
      <c r="T178" s="2"/>
    </row>
    <row r="179" spans="1:21" ht="20.100000000000001" customHeight="1" x14ac:dyDescent="0.25">
      <c r="D179" s="55"/>
      <c r="E179" s="55" t="str">
        <f>INDEX(X_Table_Swine_Stage2MMS_From_PitStorage,3,1)</f>
        <v>Digester / covered lagoons</v>
      </c>
      <c r="F179" s="50" cm="1">
        <f t="array" aca="1" ref="F179" ca="1">MMS_Swine_Methane_Equations.VEERG_4_5_1_1__6_Stage2MethaneProduction(E$107,$I$122,F145,VLOOKUP($E179,$D$155:$E$160,2, FALSE),$I$125)</f>
        <v>1.2374016000000002E-4</v>
      </c>
      <c r="G179" s="50" cm="1">
        <f t="array" aca="1" ref="G179" ca="1">MMS_Swine_Methane_Equations.VEERG_4_5_1_1__6_Stage2MethaneProduction(F$107,$I$122,G145,VLOOKUP($E179,$D$155:$E$160,2, FALSE),$I$125)</f>
        <v>1.7787648000000002E-4</v>
      </c>
      <c r="H179" s="50" cm="1">
        <f t="array" aca="1" ref="H179" ca="1">MMS_Swine_Methane_Equations.VEERG_4_5_1_1__6_Stage2MethaneProduction(G$107,$I$122,H145,VLOOKUP($E179,$D$155:$E$160,2, FALSE),$I$125)</f>
        <v>2.1267840000000003E-4</v>
      </c>
      <c r="I179" s="50" cm="1">
        <f t="array" aca="1" ref="I179" ca="1">MMS_Swine_Methane_Equations.VEERG_4_5_1_1__6_Stage2MethaneProduction(H$107,$I$122,I145,VLOOKUP($E179,$D$155:$E$160,2, FALSE),$I$125)</f>
        <v>1.5080832000000002E-4</v>
      </c>
      <c r="J179" s="2"/>
      <c r="N179" s="55"/>
      <c r="O179" s="55" t="str">
        <f>INDEX(X_Table_Swine_Stage2MMS_From_PitStorage,3,1)</f>
        <v>Digester / covered lagoons</v>
      </c>
      <c r="P179" s="50" cm="1">
        <f t="array" aca="1" ref="P179" ca="1">MMS_Swine_Methane_Equations.VEERG_4_5_1_1__6_Stage2MethaneProduction(O$107,$I$122,F145,VLOOKUP($O179,$N$155:$O$160,2, FALSE),$I$125)</f>
        <v>1.2374016000000002E-4</v>
      </c>
      <c r="Q179" s="50" cm="1">
        <f t="array" aca="1" ref="Q179" ca="1">MMS_Swine_Methane_Equations.VEERG_4_5_1_1__6_Stage2MethaneProduction(P$107,$I$122,G145,VLOOKUP($O179,$N$155:$O$160,2, FALSE),$I$125)</f>
        <v>1.7787648000000002E-4</v>
      </c>
      <c r="R179" s="50" cm="1">
        <f t="array" aca="1" ref="R179" ca="1">MMS_Swine_Methane_Equations.VEERG_4_5_1_1__6_Stage2MethaneProduction(Q$107,$I$122,H145,VLOOKUP($O179,$N$155:$O$160,2, FALSE),$I$125)</f>
        <v>2.1267840000000003E-4</v>
      </c>
      <c r="S179" s="50" cm="1">
        <f t="array" aca="1" ref="S179" ca="1">MMS_Swine_Methane_Equations.VEERG_4_5_1_1__6_Stage2MethaneProduction(R$107,$I$122,I145,VLOOKUP($O179,$N$155:$O$160,2, FALSE),$I$125)</f>
        <v>1.5080832000000002E-4</v>
      </c>
      <c r="T179" s="2"/>
    </row>
    <row r="180" spans="1:21" ht="20.100000000000001" customHeight="1" x14ac:dyDescent="0.25">
      <c r="D180" s="55"/>
      <c r="E180" s="55" t="str">
        <f>INDEX(X_Table_Swine_Stage2MMS_From_PitStorage,4,1)</f>
        <v>Deep litter</v>
      </c>
      <c r="F180" s="50" cm="1">
        <f t="array" aca="1" ref="F180" ca="1">MMS_Swine_Methane_Equations.VEERG_4_5_1_1__6_Stage2MethaneProduction(E$107,$I$122,F146,VLOOKUP($E180,$D$155:$E$160,2, FALSE),$I$125)</f>
        <v>4.9496064000000004E-5</v>
      </c>
      <c r="G180" s="50" cm="1">
        <f t="array" aca="1" ref="G180" ca="1">MMS_Swine_Methane_Equations.VEERG_4_5_1_1__6_Stage2MethaneProduction(F$107,$I$122,G146,VLOOKUP($E180,$D$155:$E$160,2, FALSE),$I$125)</f>
        <v>7.1150592000000014E-5</v>
      </c>
      <c r="H180" s="50" cm="1">
        <f t="array" aca="1" ref="H180" ca="1">MMS_Swine_Methane_Equations.VEERG_4_5_1_1__6_Stage2MethaneProduction(G$107,$I$122,H146,VLOOKUP($E180,$D$155:$E$160,2, FALSE),$I$125)</f>
        <v>8.5071360000000011E-5</v>
      </c>
      <c r="I180" s="50" cm="1">
        <f t="array" aca="1" ref="I180" ca="1">MMS_Swine_Methane_Equations.VEERG_4_5_1_1__6_Stage2MethaneProduction(H$107,$I$122,I146,VLOOKUP($E180,$D$155:$E$160,2, FALSE),$I$125)</f>
        <v>6.0323328000000009E-5</v>
      </c>
      <c r="J180" s="2"/>
      <c r="N180" s="55"/>
      <c r="O180" s="55" t="str">
        <f>INDEX(X_Table_Swine_Stage2MMS_From_PitStorage,4,1)</f>
        <v>Deep litter</v>
      </c>
      <c r="P180" s="50" cm="1">
        <f t="array" aca="1" ref="P180" ca="1">MMS_Swine_Methane_Equations.VEERG_4_5_1_1__6_Stage2MethaneProduction(O$107,$I$122,F146,VLOOKUP($O180,$N$155:$O$160,2, FALSE),$I$125)</f>
        <v>4.9496064000000004E-5</v>
      </c>
      <c r="Q180" s="50" cm="1">
        <f t="array" aca="1" ref="Q180" ca="1">MMS_Swine_Methane_Equations.VEERG_4_5_1_1__6_Stage2MethaneProduction(P$107,$I$122,G146,VLOOKUP($O180,$N$155:$O$160,2, FALSE),$I$125)</f>
        <v>7.1150592000000014E-5</v>
      </c>
      <c r="R180" s="50" cm="1">
        <f t="array" aca="1" ref="R180" ca="1">MMS_Swine_Methane_Equations.VEERG_4_5_1_1__6_Stage2MethaneProduction(Q$107,$I$122,H146,VLOOKUP($O180,$N$155:$O$160,2, FALSE),$I$125)</f>
        <v>8.5071360000000011E-5</v>
      </c>
      <c r="S180" s="50" cm="1">
        <f t="array" aca="1" ref="S180" ca="1">MMS_Swine_Methane_Equations.VEERG_4_5_1_1__6_Stage2MethaneProduction(R$107,$I$122,I146,VLOOKUP($O180,$N$155:$O$160,2, FALSE),$I$125)</f>
        <v>6.0323328000000009E-5</v>
      </c>
      <c r="T180" s="2"/>
    </row>
    <row r="181" spans="1:21" ht="20.100000000000001" customHeight="1" x14ac:dyDescent="0.25">
      <c r="D181" s="55" t="s">
        <v>346</v>
      </c>
      <c r="E181" s="55" t="str">
        <f>INDEX(X_Table_Swine_Stage2MMS_From_SolidStorage,2,1)</f>
        <v>Anaerobic lagoon</v>
      </c>
      <c r="F181" s="50" cm="1">
        <f t="array" aca="1" ref="F181" ca="1">MMS_Swine_Methane_Equations.VEERG_4_5_1_1__6_Stage2MethaneProduction(E$108,$I$122,F147,VLOOKUP($E181,$D$155:$E$160,2, FALSE),$I$125)</f>
        <v>3.134750720000001E-3</v>
      </c>
      <c r="G181" s="50" cm="1">
        <f t="array" aca="1" ref="G181" ca="1">MMS_Swine_Methane_Equations.VEERG_4_5_1_1__6_Stage2MethaneProduction(F$108,$I$122,G147,VLOOKUP($E181,$D$155:$E$160,2, FALSE),$I$125)</f>
        <v>3.6049633280000022E-3</v>
      </c>
      <c r="H181" s="50" cm="1">
        <f t="array" aca="1" ref="H181" ca="1">MMS_Swine_Methane_Equations.VEERG_4_5_1_1__6_Stage2MethaneProduction(G$108,$I$122,H147,VLOOKUP($E181,$D$155:$E$160,2, FALSE),$I$125)</f>
        <v>4.310282240000002E-3</v>
      </c>
      <c r="I181" s="50" cm="1">
        <f t="array" aca="1" ref="I181" ca="1">MMS_Swine_Methane_Equations.VEERG_4_5_1_1__6_Stage2MethaneProduction(H$108,$I$122,I147,VLOOKUP($E181,$D$155:$E$160,2, FALSE),$I$125)</f>
        <v>3.0563819520000013E-3</v>
      </c>
      <c r="J181" s="2"/>
      <c r="N181" s="55" t="s">
        <v>346</v>
      </c>
      <c r="O181" s="55" t="str">
        <f>INDEX(X_Table_Swine_Stage2MMS_From_SolidStorage,2,1)</f>
        <v>Anaerobic lagoon</v>
      </c>
      <c r="P181" s="50" cm="1">
        <f t="array" aca="1" ref="P181" ca="1">MMS_Swine_Methane_Equations.VEERG_4_5_1_1__6_Stage2MethaneProduction(O$108,$I$122,F147,VLOOKUP($O181,$N$155:$O$160,2, FALSE),$I$125)</f>
        <v>3.1759974400000011E-3</v>
      </c>
      <c r="Q181" s="50" cm="1">
        <f t="array" aca="1" ref="Q181" ca="1">MMS_Swine_Methane_Equations.VEERG_4_5_1_1__6_Stage2MethaneProduction(P$108,$I$122,G147,VLOOKUP($O181,$N$155:$O$160,2, FALSE),$I$125)</f>
        <v>3.6523970560000023E-3</v>
      </c>
      <c r="R181" s="50" cm="1">
        <f t="array" aca="1" ref="R181" ca="1">MMS_Swine_Methane_Equations.VEERG_4_5_1_1__6_Stage2MethaneProduction(Q$108,$I$122,H147,VLOOKUP($O181,$N$155:$O$160,2, FALSE),$I$125)</f>
        <v>4.366996480000003E-3</v>
      </c>
      <c r="S181" s="50" cm="1">
        <f t="array" aca="1" ref="S181" ca="1">MMS_Swine_Methane_Equations.VEERG_4_5_1_1__6_Stage2MethaneProduction(R$108,$I$122,I147,VLOOKUP($O181,$N$155:$O$160,2, FALSE),$I$125)</f>
        <v>3.0965975040000014E-3</v>
      </c>
      <c r="T181" s="2"/>
    </row>
    <row r="182" spans="1:21" ht="20.100000000000001" customHeight="1" x14ac:dyDescent="0.25">
      <c r="D182" s="55"/>
      <c r="E182" s="55" t="str">
        <f>INDEX(X_Table_Swine_Stage2MMS_From_SolidStorage,3,1)</f>
        <v>Digester / covered lagoons</v>
      </c>
      <c r="F182" s="50" cm="1">
        <f t="array" aca="1" ref="F182" ca="1">MMS_Swine_Methane_Equations.VEERG_4_5_1_1__6_Stage2MethaneProduction(E$108,$I$122,F148,VLOOKUP($E182,$D$155:$E$160,2, FALSE),$I$125)</f>
        <v>4.124672000000002E-4</v>
      </c>
      <c r="G182" s="50" cm="1">
        <f t="array" aca="1" ref="G182" ca="1">MMS_Swine_Methane_Equations.VEERG_4_5_1_1__6_Stage2MethaneProduction(F$108,$I$122,G148,VLOOKUP($E182,$D$155:$E$160,2, FALSE),$I$125)</f>
        <v>4.7433728000000037E-4</v>
      </c>
      <c r="H182" s="50" cm="1">
        <f t="array" aca="1" ref="H182" ca="1">MMS_Swine_Methane_Equations.VEERG_4_5_1_1__6_Stage2MethaneProduction(G$108,$I$122,H148,VLOOKUP($E182,$D$155:$E$160,2, FALSE),$I$125)</f>
        <v>5.6714240000000032E-4</v>
      </c>
      <c r="I182" s="50" cm="1">
        <f t="array" aca="1" ref="I182" ca="1">MMS_Swine_Methane_Equations.VEERG_4_5_1_1__6_Stage2MethaneProduction(H$108,$I$122,I148,VLOOKUP($E182,$D$155:$E$160,2, FALSE),$I$125)</f>
        <v>4.0215552000000021E-4</v>
      </c>
      <c r="J182" s="2"/>
      <c r="N182" s="55"/>
      <c r="O182" s="55" t="str">
        <f>INDEX(X_Table_Swine_Stage2MMS_From_SolidStorage,3,1)</f>
        <v>Digester / covered lagoons</v>
      </c>
      <c r="P182" s="50" cm="1">
        <f t="array" aca="1" ref="P182" ca="1">MMS_Swine_Methane_Equations.VEERG_4_5_1_1__6_Stage2MethaneProduction(O$108,$I$122,F148,VLOOKUP($O182,$N$155:$O$160,2, FALSE),$I$125)</f>
        <v>4.124672000000002E-4</v>
      </c>
      <c r="Q182" s="50" cm="1">
        <f t="array" aca="1" ref="Q182" ca="1">MMS_Swine_Methane_Equations.VEERG_4_5_1_1__6_Stage2MethaneProduction(P$108,$I$122,G148,VLOOKUP($O182,$N$155:$O$160,2, FALSE),$I$125)</f>
        <v>4.7433728000000037E-4</v>
      </c>
      <c r="R182" s="50" cm="1">
        <f t="array" aca="1" ref="R182" ca="1">MMS_Swine_Methane_Equations.VEERG_4_5_1_1__6_Stage2MethaneProduction(Q$108,$I$122,H148,VLOOKUP($O182,$N$155:$O$160,2, FALSE),$I$125)</f>
        <v>5.6714240000000032E-4</v>
      </c>
      <c r="S182" s="50" cm="1">
        <f t="array" aca="1" ref="S182" ca="1">MMS_Swine_Methane_Equations.VEERG_4_5_1_1__6_Stage2MethaneProduction(R$108,$I$122,I148,VLOOKUP($O182,$N$155:$O$160,2, FALSE),$I$125)</f>
        <v>4.0215552000000021E-4</v>
      </c>
      <c r="T182" s="2"/>
    </row>
    <row r="183" spans="1:21" ht="20.100000000000001" customHeight="1" x14ac:dyDescent="0.25">
      <c r="D183" s="55"/>
      <c r="E183" s="55" t="str">
        <f>INDEX(X_Table_Swine_Stage2MMS_From_SolidStorage,4,1)</f>
        <v>Deep litter</v>
      </c>
      <c r="F183" s="50" cm="1">
        <f t="array" aca="1" ref="F183" ca="1">MMS_Swine_Methane_Equations.VEERG_4_5_1_1__6_Stage2MethaneProduction(E$108,$I$122,F149,VLOOKUP($E183,$D$155:$E$160,2, FALSE),$I$125)</f>
        <v>1.6498688000000006E-4</v>
      </c>
      <c r="G183" s="50" cm="1">
        <f t="array" aca="1" ref="G183" ca="1">MMS_Swine_Methane_Equations.VEERG_4_5_1_1__6_Stage2MethaneProduction(F$108,$I$122,G149,VLOOKUP($E183,$D$155:$E$160,2, FALSE),$I$125)</f>
        <v>1.8973491200000015E-4</v>
      </c>
      <c r="H183" s="50" cm="1">
        <f t="array" aca="1" ref="H183" ca="1">MMS_Swine_Methane_Equations.VEERG_4_5_1_1__6_Stage2MethaneProduction(G$108,$I$122,H149,VLOOKUP($E183,$D$155:$E$160,2, FALSE),$I$125)</f>
        <v>2.2685696000000015E-4</v>
      </c>
      <c r="I183" s="50" cm="1">
        <f t="array" aca="1" ref="I183" ca="1">MMS_Swine_Methane_Equations.VEERG_4_5_1_1__6_Stage2MethaneProduction(H$108,$I$122,I149,VLOOKUP($E183,$D$155:$E$160,2, FALSE),$I$125)</f>
        <v>1.6086220800000007E-4</v>
      </c>
      <c r="J183" s="2"/>
      <c r="N183" s="55"/>
      <c r="O183" s="55" t="str">
        <f>INDEX(X_Table_Swine_Stage2MMS_From_SolidStorage,4,1)</f>
        <v>Deep litter</v>
      </c>
      <c r="P183" s="50" cm="1">
        <f t="array" aca="1" ref="P183" ca="1">MMS_Swine_Methane_Equations.VEERG_4_5_1_1__6_Stage2MethaneProduction(O$108,$I$122,F149,VLOOKUP($O183,$N$155:$O$160,2, FALSE),$I$125)</f>
        <v>1.6498688000000006E-4</v>
      </c>
      <c r="Q183" s="50" cm="1">
        <f t="array" aca="1" ref="Q183" ca="1">MMS_Swine_Methane_Equations.VEERG_4_5_1_1__6_Stage2MethaneProduction(P$108,$I$122,G149,VLOOKUP($O183,$N$155:$O$160,2, FALSE),$I$125)</f>
        <v>1.8973491200000015E-4</v>
      </c>
      <c r="R183" s="50" cm="1">
        <f t="array" aca="1" ref="R183" ca="1">MMS_Swine_Methane_Equations.VEERG_4_5_1_1__6_Stage2MethaneProduction(Q$108,$I$122,H149,VLOOKUP($O183,$N$155:$O$160,2, FALSE),$I$125)</f>
        <v>2.2685696000000015E-4</v>
      </c>
      <c r="S183" s="50" cm="1">
        <f t="array" aca="1" ref="S183" ca="1">MMS_Swine_Methane_Equations.VEERG_4_5_1_1__6_Stage2MethaneProduction(R$108,$I$122,I149,VLOOKUP($O183,$N$155:$O$160,2, FALSE),$I$125)</f>
        <v>1.6086220800000007E-4</v>
      </c>
      <c r="T183" s="2"/>
    </row>
    <row r="184" spans="1:21" ht="20.100000000000001" customHeight="1" x14ac:dyDescent="0.25">
      <c r="D184" s="55"/>
      <c r="E184" s="55" t="str">
        <f>INDEX(X_Table_Swine_Stage2MMS_From_SolidStorage,5,1)</f>
        <v>Pit storage</v>
      </c>
      <c r="F184" s="50" cm="1">
        <f t="array" aca="1" ref="F184" ca="1">MMS_Swine_Methane_Equations.VEERG_4_5_1_1__6_Stage2MethaneProduction(E$108,$I$122,F150,VLOOKUP($E184,$D$155:$E$160,2, FALSE),$I$125)</f>
        <v>6.1870080000000021E-5</v>
      </c>
      <c r="G184" s="50" cm="1">
        <f t="array" aca="1" ref="G184" ca="1">MMS_Swine_Methane_Equations.VEERG_4_5_1_1__6_Stage2MethaneProduction(F$108,$I$122,G150,VLOOKUP($E184,$D$155:$E$160,2, FALSE),$I$125)</f>
        <v>7.1150592000000042E-5</v>
      </c>
      <c r="H184" s="50" cm="1">
        <f t="array" aca="1" ref="H184" ca="1">MMS_Swine_Methane_Equations.VEERG_4_5_1_1__6_Stage2MethaneProduction(G$108,$I$122,H150,VLOOKUP($E184,$D$155:$E$160,2, FALSE),$I$125)</f>
        <v>8.5071360000000051E-5</v>
      </c>
      <c r="I184" s="50" cm="1">
        <f t="array" aca="1" ref="I184" ca="1">MMS_Swine_Methane_Equations.VEERG_4_5_1_1__6_Stage2MethaneProduction(H$108,$I$122,I150,VLOOKUP($E184,$D$155:$E$160,2, FALSE),$I$125)</f>
        <v>6.0323328000000023E-5</v>
      </c>
      <c r="J184" s="2"/>
      <c r="N184" s="55"/>
      <c r="O184" s="55" t="str">
        <f>INDEX(X_Table_Swine_Stage2MMS_From_SolidStorage,5,1)</f>
        <v>Pit storage</v>
      </c>
      <c r="P184" s="50" cm="1">
        <f t="array" aca="1" ref="P184" ca="1">MMS_Swine_Methane_Equations.VEERG_4_5_1_1__6_Stage2MethaneProduction(O$108,$I$122,F150,VLOOKUP($O184,$N$155:$O$160,2, FALSE),$I$125)</f>
        <v>6.1870080000000021E-5</v>
      </c>
      <c r="Q184" s="50" cm="1">
        <f t="array" aca="1" ref="Q184" ca="1">MMS_Swine_Methane_Equations.VEERG_4_5_1_1__6_Stage2MethaneProduction(P$108,$I$122,G150,VLOOKUP($O184,$N$155:$O$160,2, FALSE),$I$125)</f>
        <v>7.1150592000000042E-5</v>
      </c>
      <c r="R184" s="50" cm="1">
        <f t="array" aca="1" ref="R184" ca="1">MMS_Swine_Methane_Equations.VEERG_4_5_1_1__6_Stage2MethaneProduction(Q$108,$I$122,H150,VLOOKUP($O184,$N$155:$O$160,2, FALSE),$I$125)</f>
        <v>8.5071360000000051E-5</v>
      </c>
      <c r="S184" s="50" cm="1">
        <f t="array" aca="1" ref="S184" ca="1">MMS_Swine_Methane_Equations.VEERG_4_5_1_1__6_Stage2MethaneProduction(R$108,$I$122,I150,VLOOKUP($O184,$N$155:$O$160,2, FALSE),$I$125)</f>
        <v>6.0323328000000023E-5</v>
      </c>
      <c r="T184" s="2"/>
    </row>
    <row r="185" spans="1:21" ht="20.100000000000001" customHeight="1" x14ac:dyDescent="0.25"/>
    <row r="186" spans="1:21" ht="20.100000000000001" customHeight="1" x14ac:dyDescent="0.25">
      <c r="A186" s="141" t="str">
        <f>HYPERLINK("#A1", "▲ Back to top")</f>
        <v>▲ Back to top</v>
      </c>
    </row>
    <row r="187" spans="1:21" ht="20.100000000000001" customHeight="1" x14ac:dyDescent="0.25">
      <c r="C187" s="43"/>
      <c r="D187" s="43"/>
      <c r="E187" s="43"/>
      <c r="F187" s="43"/>
      <c r="G187" s="43"/>
      <c r="H187" s="43"/>
      <c r="I187" s="43"/>
      <c r="J187" s="43"/>
      <c r="K187" s="43"/>
      <c r="M187" s="43"/>
      <c r="N187" s="43"/>
      <c r="O187" s="43"/>
      <c r="P187" s="43"/>
      <c r="Q187" s="43"/>
      <c r="R187" s="43"/>
      <c r="S187" s="43"/>
      <c r="T187" s="43"/>
      <c r="U187" s="43"/>
    </row>
    <row r="188" spans="1:21" ht="20.100000000000001" customHeight="1" x14ac:dyDescent="0.25">
      <c r="D188" s="6" t="str" cm="1">
        <f t="array" ref="D188">MMS_Swine_Methane_Equations.VEERG_4_5_1_1__3_Stage1MethaneProduction_Title()</f>
        <v>Production of methane in treatment stage 1 MMS</v>
      </c>
    </row>
    <row r="189" spans="1:21" ht="20.100000000000001" customHeight="1" x14ac:dyDescent="0.25">
      <c r="D189" s="5" t="str" cm="1">
        <f t="array" ref="D189">MMS_Swine_Methane_Equations.VEERG_4_5_1_1__3_Stage1MethaneProduction_Source()</f>
        <v>VEERG 2026: 4.5.1.1, Equation (3)</v>
      </c>
    </row>
    <row r="190" spans="1:21" ht="20.100000000000001" customHeight="1" x14ac:dyDescent="0.25">
      <c r="D190" s="13" t="s">
        <v>23</v>
      </c>
      <c r="E190" s="13" t="str" cm="1">
        <f t="array" aca="1" ref="E190" ca="1">Common_InputFunctions.Utility_DisplayFunctionName(E206)</f>
        <v>=MMS_Swine_Methane_Equations.VEERG_4_5_1_1__3_Stage1MethaneProduction</v>
      </c>
    </row>
    <row r="191" spans="1:21" ht="20.100000000000001" customHeight="1" x14ac:dyDescent="0.25"/>
    <row r="192" spans="1:21" ht="20.100000000000001" customHeight="1" x14ac:dyDescent="0.25">
      <c r="D192" s="6"/>
    </row>
    <row r="193" spans="4:19" ht="20.100000000000001" customHeight="1" x14ac:dyDescent="0.25"/>
    <row r="194" spans="4:19" ht="20.100000000000001" customHeight="1" x14ac:dyDescent="0.25">
      <c r="D194" s="51" t="s">
        <v>26</v>
      </c>
      <c r="E194" s="1" t="str" cm="1">
        <f t="array" ref="E194">MMS_Swine_Methane_Equations.VEERG_4_5_1_1__3_Stage1MethaneProduction_Variable()</f>
        <v>MijmT1</v>
      </c>
    </row>
    <row r="195" spans="4:19" ht="20.100000000000001" customHeight="1" x14ac:dyDescent="0.25">
      <c r="D195" s="51" t="s">
        <v>16</v>
      </c>
      <c r="E195" s="52" t="str" cm="1">
        <f t="array" ref="E195">MMS_Swine_Methane_Equations.VEERG_4_5_1_1__3_Stage1MethaneProduction_Unit()</f>
        <v>kg CH4/head/day</v>
      </c>
    </row>
    <row r="196" spans="4:19" ht="20.100000000000001" customHeight="1" x14ac:dyDescent="0.25"/>
    <row r="197" spans="4:19" ht="20.100000000000001" customHeight="1" x14ac:dyDescent="0.25">
      <c r="D197" s="136" t="str" cm="1">
        <f t="array" ref="D197:E201">Common_InputFunctions.Utility_DisplayArguments_1_2(MMS_Swine_Methane_Equations.VEERG_4_5_1_1__3_Stage1MethaneProduction_Arguments())</f>
        <v>VSj</v>
      </c>
      <c r="E197" s="138" t="str">
        <v>volatile solid production from swine in each class</v>
      </c>
      <c r="F197" s="137"/>
      <c r="G197" s="136" t="str" cm="1">
        <f t="array" ref="G197:H201">Common_InputFunctions.Utility_DisplayArguments_3_4(MMS_Swine_Methane_Equations.VEERG_4_5_1_1__3_Stage1MethaneProduction_Arguments())</f>
        <v>kg/head/day</v>
      </c>
      <c r="H197" s="132" t="str">
        <v>Input</v>
      </c>
      <c r="I197" s="135" t="str" cm="1">
        <f t="array" aca="1" ref="I197" ca="1">HYPERLINK(Common_InputFunctions.Utility_SourceHyperlink($D$85), $D$85)</f>
        <v>M1_Table_VS_j</v>
      </c>
      <c r="J197" s="135"/>
    </row>
    <row r="198" spans="4:19" ht="20.100000000000001" customHeight="1" x14ac:dyDescent="0.25">
      <c r="D198" s="136" t="str">
        <v>FVSjmT1</v>
      </c>
      <c r="E198" s="138" t="str">
        <v>fraction of volatile solids in each primary system</v>
      </c>
      <c r="F198" s="137"/>
      <c r="G198" s="136" t="str">
        <v>fraction</v>
      </c>
      <c r="H198" s="131" t="str">
        <v>Calculated from 4.5.1.1 (4)(5)</v>
      </c>
      <c r="I198" s="135" t="str" cm="1">
        <f t="array" aca="1" ref="I198" ca="1">HYPERLINK(Common_InputFunctions.Utility_SourceHyperlink($D$34), $D$34)</f>
        <v>M1_Table_FVS_j_m_T-1</v>
      </c>
      <c r="J198" s="135" t="str" cm="1">
        <f t="array" aca="1" ref="J198" ca="1">HYPERLINK(Common_InputFunctions.Utility_SourceHyperlink($D$65), $D$65)</f>
        <v>M1_Table_FVS_j_m-4_T-1</v>
      </c>
    </row>
    <row r="199" spans="4:19" ht="20.100000000000001" customHeight="1" x14ac:dyDescent="0.25">
      <c r="D199" s="136" t="str">
        <v>MCFim</v>
      </c>
      <c r="E199" s="138" t="str">
        <v>methane conversion factor for temperate zone and system</v>
      </c>
      <c r="F199" s="137"/>
      <c r="G199" s="136" t="str">
        <v>fraction</v>
      </c>
      <c r="H199" s="131" t="str">
        <v>Constant</v>
      </c>
      <c r="I199" s="135" t="str" cm="1">
        <f t="array" aca="1" ref="I199" ca="1">HYPERLINK(Common_InputFunctions.Utility_SourceHyperlink($D$152), $D$152)</f>
        <v>M1_Table_MCF_i_m</v>
      </c>
      <c r="J199" s="135"/>
    </row>
    <row r="200" spans="4:19" ht="20.100000000000001" customHeight="1" x14ac:dyDescent="0.25">
      <c r="D200" s="136" t="str">
        <v>BO</v>
      </c>
      <c r="E200" s="138" t="str">
        <v>emissions potential</v>
      </c>
      <c r="F200" s="137"/>
      <c r="G200" s="136" t="str">
        <v>m3 CH4/kg VS</v>
      </c>
      <c r="H200" s="131" t="str">
        <v>Constant</v>
      </c>
      <c r="I200" s="136">
        <f>SourceData_Swine_MethaneVolatileSolidsEmissionsPotential_Data</f>
        <v>0.19</v>
      </c>
      <c r="J200" s="57"/>
    </row>
    <row r="201" spans="4:19" ht="20.100000000000001" customHeight="1" x14ac:dyDescent="0.25">
      <c r="D201" s="136" t="str">
        <v>rho</v>
      </c>
      <c r="E201" s="138" t="str">
        <v>density of methane</v>
      </c>
      <c r="F201" s="137"/>
      <c r="G201" s="136" t="str">
        <v>kg/m3</v>
      </c>
      <c r="H201" s="131" t="str">
        <v>Constant</v>
      </c>
      <c r="I201" s="136">
        <f>Common_SourceData_DensityOfMethane_Data</f>
        <v>0.6784</v>
      </c>
      <c r="J201" s="57"/>
    </row>
    <row r="202" spans="4:19" ht="20.100000000000001" customHeight="1" x14ac:dyDescent="0.25"/>
    <row r="203" spans="4:19" ht="20.100000000000001" customHeight="1" x14ac:dyDescent="0.25">
      <c r="D203" s="117" t="s">
        <v>211</v>
      </c>
      <c r="N203" s="117" t="s">
        <v>209</v>
      </c>
    </row>
    <row r="204" spans="4:19" ht="20.100000000000001" customHeight="1" x14ac:dyDescent="0.25">
      <c r="D204" s="118" t="s">
        <v>212</v>
      </c>
      <c r="N204" s="118" t="s">
        <v>210</v>
      </c>
    </row>
    <row r="205" spans="4:19" ht="20.100000000000001" customHeight="1" x14ac:dyDescent="0.25">
      <c r="D205" s="49" t="s">
        <v>156</v>
      </c>
      <c r="E205" s="49" t="s">
        <v>135</v>
      </c>
      <c r="F205" s="49" t="s">
        <v>136</v>
      </c>
      <c r="G205" s="49" t="s">
        <v>137</v>
      </c>
      <c r="H205" s="49" t="s">
        <v>195</v>
      </c>
      <c r="N205" s="49" t="s">
        <v>156</v>
      </c>
      <c r="O205" s="49" t="s">
        <v>135</v>
      </c>
      <c r="P205" s="49" t="s">
        <v>136</v>
      </c>
      <c r="Q205" s="49" t="s">
        <v>137</v>
      </c>
      <c r="R205" s="49" t="s">
        <v>195</v>
      </c>
    </row>
    <row r="206" spans="4:19" ht="20.100000000000001" customHeight="1" x14ac:dyDescent="0.25">
      <c r="D206" s="55" t="str">
        <f>INDEX(X_Table_Swine_Stage1MMS_AnaerobicLagoon,2,1)</f>
        <v>Anaerobic lagoon</v>
      </c>
      <c r="E206" s="50" cm="1">
        <f t="array" aca="1" ref="E206" ca="1">MMS_Swine_Methane_Equations.VEERG_4_5_1_1__3_Stage1MethaneProduction(D$88,E37,VLOOKUP($D206, $D$155:$E$160, 2, FALSE),$I$200,$I$201)</f>
        <v>4.7021260799999997E-3</v>
      </c>
      <c r="F206" s="50" cm="1">
        <f t="array" aca="1" ref="F206" ca="1">MMS_Swine_Methane_Equations.VEERG_4_5_1_1__3_Stage1MethaneProduction(E$88,F37,VLOOKUP($D206, $D$155:$E$160, 2, FALSE),$I$200,$I$201)</f>
        <v>5.4074449920000012E-3</v>
      </c>
      <c r="G206" s="50" cm="1">
        <f t="array" aca="1" ref="G206" ca="1">MMS_Swine_Methane_Equations.VEERG_4_5_1_1__3_Stage1MethaneProduction(F$88,G37,VLOOKUP($D206, $D$155:$E$160, 2, FALSE),$I$200,$I$201)</f>
        <v>6.4654233600000008E-3</v>
      </c>
      <c r="H206" s="50" cm="1">
        <f t="array" aca="1" ref="H206" ca="1">MMS_Swine_Methane_Equations.VEERG_4_5_1_1__3_Stage1MethaneProduction(G$88,H37,VLOOKUP($D206, $D$155:$E$160, 2, FALSE),$I$200,$I$201)</f>
        <v>4.5845729280000001E-3</v>
      </c>
      <c r="I206" s="2" t="str">
        <f>$E$195</f>
        <v>kg CH4/head/day</v>
      </c>
      <c r="N206" s="55" t="str">
        <f>INDEX(X_Table_Swine_Stage1MMS_AnaerobicLagoon,2,1)</f>
        <v>Anaerobic lagoon</v>
      </c>
      <c r="O206" s="50" cm="1">
        <f t="array" aca="1" ref="O206" ca="1">MMS_Swine_Methane_Equations.VEERG_4_5_1_1__3_Stage1MethaneProduction(N$88,O37,VLOOKUP($N206, $N$155:$O$160, 2, FALSE),$I$200,$I$201)</f>
        <v>4.7639961599999997E-3</v>
      </c>
      <c r="P206" s="50" cm="1">
        <f t="array" aca="1" ref="P206" ca="1">MMS_Swine_Methane_Equations.VEERG_4_5_1_1__3_Stage1MethaneProduction(O$88,P37,VLOOKUP($N206, $N$155:$O$160, 2, FALSE),$I$200,$I$201)</f>
        <v>5.4785955839999996E-3</v>
      </c>
      <c r="Q206" s="50" cm="1">
        <f t="array" aca="1" ref="Q206" ca="1">MMS_Swine_Methane_Equations.VEERG_4_5_1_1__3_Stage1MethaneProduction(P$88,Q37,VLOOKUP($N206, $N$155:$O$160, 2, FALSE),$I$200,$I$201)</f>
        <v>6.5504947200000002E-3</v>
      </c>
      <c r="R206" s="50" cm="1">
        <f t="array" aca="1" ref="R206" ca="1">MMS_Swine_Methane_Equations.VEERG_4_5_1_1__3_Stage1MethaneProduction(Q$88,R37,VLOOKUP($N206, $N$155:$O$160, 2, FALSE),$I$200,$I$201)</f>
        <v>4.6448962559999998E-3</v>
      </c>
      <c r="S206" s="2" t="str">
        <f t="shared" ref="S206" si="2">$E$195</f>
        <v>kg CH4/head/day</v>
      </c>
    </row>
    <row r="207" spans="4:19" ht="20.100000000000001" customHeight="1" x14ac:dyDescent="0.25">
      <c r="D207" s="55" t="str">
        <f>INDEX(X_Table_Swine_Stage1MMS_Drylot,2,1)</f>
        <v>Drylot (feed pad)</v>
      </c>
      <c r="E207" s="50" cm="1">
        <f t="array" aca="1" ref="E207" ca="1">MMS_Swine_Methane_Equations.VEERG_4_5_1_1__3_Stage1MethaneProduction(D$88,E38,VLOOKUP($D207, $D$155:$E$160, 2, FALSE),$I$200,$I$201)</f>
        <v>6.1870080000000008E-5</v>
      </c>
      <c r="F207" s="50" cm="1">
        <f t="array" aca="1" ref="F207" ca="1">MMS_Swine_Methane_Equations.VEERG_4_5_1_1__3_Stage1MethaneProduction(E$88,F38,VLOOKUP($D207, $D$155:$E$160, 2, FALSE),$I$200,$I$201)</f>
        <v>7.1150592000000001E-5</v>
      </c>
      <c r="G207" s="50" cm="1">
        <f t="array" aca="1" ref="G207" ca="1">MMS_Swine_Methane_Equations.VEERG_4_5_1_1__3_Stage1MethaneProduction(F$88,G38,VLOOKUP($D207, $D$155:$E$160, 2, FALSE),$I$200,$I$201)</f>
        <v>8.5071360000000011E-5</v>
      </c>
      <c r="H207" s="50" cm="1">
        <f t="array" aca="1" ref="H207" ca="1">MMS_Swine_Methane_Equations.VEERG_4_5_1_1__3_Stage1MethaneProduction(G$88,H38,VLOOKUP($D207, $D$155:$E$160, 2, FALSE),$I$200,$I$201)</f>
        <v>6.0323328000000009E-5</v>
      </c>
      <c r="I207" s="2"/>
      <c r="N207" s="55" t="str">
        <f>INDEX(X_Table_Swine_Stage1MMS_Drylot,2,1)</f>
        <v>Drylot (feed pad)</v>
      </c>
      <c r="O207" s="50" cm="1">
        <f t="array" aca="1" ref="O207" ca="1">MMS_Swine_Methane_Equations.VEERG_4_5_1_1__3_Stage1MethaneProduction(N$88,O38,VLOOKUP($N207, $N$155:$O$160, 2, FALSE),$I$200,$I$201)</f>
        <v>6.1870080000000008E-5</v>
      </c>
      <c r="P207" s="50" cm="1">
        <f t="array" aca="1" ref="P207" ca="1">MMS_Swine_Methane_Equations.VEERG_4_5_1_1__3_Stage1MethaneProduction(O$88,P38,VLOOKUP($N207, $N$155:$O$160, 2, FALSE),$I$200,$I$201)</f>
        <v>7.1150592000000001E-5</v>
      </c>
      <c r="Q207" s="50" cm="1">
        <f t="array" aca="1" ref="Q207" ca="1">MMS_Swine_Methane_Equations.VEERG_4_5_1_1__3_Stage1MethaneProduction(P$88,Q38,VLOOKUP($N207, $N$155:$O$160, 2, FALSE),$I$200,$I$201)</f>
        <v>8.5071360000000011E-5</v>
      </c>
      <c r="R207" s="50" cm="1">
        <f t="array" aca="1" ref="R207" ca="1">MMS_Swine_Methane_Equations.VEERG_4_5_1_1__3_Stage1MethaneProduction(Q$88,R38,VLOOKUP($N207, $N$155:$O$160, 2, FALSE),$I$200,$I$201)</f>
        <v>6.0323328000000009E-5</v>
      </c>
      <c r="S207" s="2"/>
    </row>
    <row r="208" spans="4:19" ht="20.100000000000001" customHeight="1" x14ac:dyDescent="0.25">
      <c r="D208" s="55" t="str">
        <f>INDEX(X_Table_Swine_Stage1MMS_DigesterCoveredLagoons,2,1)</f>
        <v>Digester / covered lagoons</v>
      </c>
      <c r="E208" s="50" cm="1">
        <f t="array" aca="1" ref="E208" ca="1">MMS_Swine_Methane_Equations.VEERG_4_5_1_1__3_Stage1MethaneProduction(D$88,E39,VLOOKUP($D208, $D$155:$E$160, 2, FALSE),$I$200,$I$201)</f>
        <v>6.1870080000000008E-4</v>
      </c>
      <c r="F208" s="50" cm="1">
        <f t="array" aca="1" ref="F208" ca="1">MMS_Swine_Methane_Equations.VEERG_4_5_1_1__3_Stage1MethaneProduction(E$88,F39,VLOOKUP($D208, $D$155:$E$160, 2, FALSE),$I$200,$I$201)</f>
        <v>7.1150592000000009E-4</v>
      </c>
      <c r="G208" s="50" cm="1">
        <f t="array" aca="1" ref="G208" ca="1">MMS_Swine_Methane_Equations.VEERG_4_5_1_1__3_Stage1MethaneProduction(F$88,G39,VLOOKUP($D208, $D$155:$E$160, 2, FALSE),$I$200,$I$201)</f>
        <v>8.5071360000000011E-4</v>
      </c>
      <c r="H208" s="50" cm="1">
        <f t="array" aca="1" ref="H208" ca="1">MMS_Swine_Methane_Equations.VEERG_4_5_1_1__3_Stage1MethaneProduction(G$88,H39,VLOOKUP($D208, $D$155:$E$160, 2, FALSE),$I$200,$I$201)</f>
        <v>6.0323328000000008E-4</v>
      </c>
      <c r="I208" s="2"/>
      <c r="N208" s="55" t="str">
        <f>INDEX(X_Table_Swine_Stage1MMS_DigesterCoveredLagoons,2,1)</f>
        <v>Digester / covered lagoons</v>
      </c>
      <c r="O208" s="50" cm="1">
        <f t="array" aca="1" ref="O208" ca="1">MMS_Swine_Methane_Equations.VEERG_4_5_1_1__3_Stage1MethaneProduction(N$88,O39,VLOOKUP($N208, $N$155:$O$160, 2, FALSE),$I$200,$I$201)</f>
        <v>6.1870080000000008E-4</v>
      </c>
      <c r="P208" s="50" cm="1">
        <f t="array" aca="1" ref="P208" ca="1">MMS_Swine_Methane_Equations.VEERG_4_5_1_1__3_Stage1MethaneProduction(O$88,P39,VLOOKUP($N208, $N$155:$O$160, 2, FALSE),$I$200,$I$201)</f>
        <v>7.1150592000000009E-4</v>
      </c>
      <c r="Q208" s="50" cm="1">
        <f t="array" aca="1" ref="Q208" ca="1">MMS_Swine_Methane_Equations.VEERG_4_5_1_1__3_Stage1MethaneProduction(P$88,Q39,VLOOKUP($N208, $N$155:$O$160, 2, FALSE),$I$200,$I$201)</f>
        <v>8.5071360000000011E-4</v>
      </c>
      <c r="R208" s="50" cm="1">
        <f t="array" aca="1" ref="R208" ca="1">MMS_Swine_Methane_Equations.VEERG_4_5_1_1__3_Stage1MethaneProduction(Q$88,R39,VLOOKUP($N208, $N$155:$O$160, 2, FALSE),$I$200,$I$201)</f>
        <v>6.0323328000000008E-4</v>
      </c>
      <c r="S208" s="2"/>
    </row>
    <row r="209" spans="1:21" ht="20.100000000000001" customHeight="1" x14ac:dyDescent="0.25">
      <c r="D209" s="55" t="str">
        <f>INDEX(X_Table_Swine_Stage1MMS_DeepLitter,2,1)</f>
        <v>Deep litter</v>
      </c>
      <c r="E209" s="50" cm="1">
        <f t="array" aca="1" ref="E209" ca="1">MMS_Swine_Methane_Equations.VEERG_4_5_1_1__3_Stage1MethaneProduction(D$88,E40,VLOOKUP($D209, $D$155:$E$160, 2, FALSE),$I$200,$I$201)</f>
        <v>2.4748032000000003E-4</v>
      </c>
      <c r="F209" s="50" cm="1">
        <f t="array" aca="1" ref="F209" ca="1">MMS_Swine_Methane_Equations.VEERG_4_5_1_1__3_Stage1MethaneProduction(E$88,F40,VLOOKUP($D209, $D$155:$E$160, 2, FALSE),$I$200,$I$201)</f>
        <v>2.84602368E-4</v>
      </c>
      <c r="G209" s="50" cm="1">
        <f t="array" aca="1" ref="G209" ca="1">MMS_Swine_Methane_Equations.VEERG_4_5_1_1__3_Stage1MethaneProduction(F$88,G40,VLOOKUP($D209, $D$155:$E$160, 2, FALSE),$I$200,$I$201)</f>
        <v>3.4028544000000004E-4</v>
      </c>
      <c r="H209" s="50" cm="1">
        <f t="array" aca="1" ref="H209" ca="1">MMS_Swine_Methane_Equations.VEERG_4_5_1_1__3_Stage1MethaneProduction(G$88,H40,VLOOKUP($D209, $D$155:$E$160, 2, FALSE),$I$200,$I$201)</f>
        <v>2.4129331200000004E-4</v>
      </c>
      <c r="I209" s="2"/>
      <c r="N209" s="55" t="str">
        <f>INDEX(X_Table_Swine_Stage1MMS_DeepLitter,2,1)</f>
        <v>Deep litter</v>
      </c>
      <c r="O209" s="50" cm="1">
        <f t="array" aca="1" ref="O209" ca="1">MMS_Swine_Methane_Equations.VEERG_4_5_1_1__3_Stage1MethaneProduction(N$88,O40,VLOOKUP($N209, $N$155:$O$160, 2, FALSE),$I$200,$I$201)</f>
        <v>2.4748032000000003E-4</v>
      </c>
      <c r="P209" s="50" cm="1">
        <f t="array" aca="1" ref="P209" ca="1">MMS_Swine_Methane_Equations.VEERG_4_5_1_1__3_Stage1MethaneProduction(O$88,P40,VLOOKUP($N209, $N$155:$O$160, 2, FALSE),$I$200,$I$201)</f>
        <v>2.84602368E-4</v>
      </c>
      <c r="Q209" s="50" cm="1">
        <f t="array" aca="1" ref="Q209" ca="1">MMS_Swine_Methane_Equations.VEERG_4_5_1_1__3_Stage1MethaneProduction(P$88,Q40,VLOOKUP($N209, $N$155:$O$160, 2, FALSE),$I$200,$I$201)</f>
        <v>3.4028544000000004E-4</v>
      </c>
      <c r="R209" s="50" cm="1">
        <f t="array" aca="1" ref="R209" ca="1">MMS_Swine_Methane_Equations.VEERG_4_5_1_1__3_Stage1MethaneProduction(Q$88,R40,VLOOKUP($N209, $N$155:$O$160, 2, FALSE),$I$200,$I$201)</f>
        <v>2.4129331200000004E-4</v>
      </c>
      <c r="S209" s="2"/>
    </row>
    <row r="210" spans="1:21" ht="20.100000000000001" customHeight="1" x14ac:dyDescent="0.25">
      <c r="D210" s="55" t="str">
        <f>INDEX(X_Table_Swine_Stage1MMS_PitStorage,2,1)</f>
        <v>Pit storage</v>
      </c>
      <c r="E210" s="50" cm="1">
        <f t="array" aca="1" ref="E210" ca="1">MMS_Swine_Methane_Equations.VEERG_4_5_1_1__3_Stage1MethaneProduction(D$88,E41,VLOOKUP($D210, $D$155:$E$160, 2, FALSE),$I$200,$I$201)</f>
        <v>1.8561024E-4</v>
      </c>
      <c r="F210" s="50" cm="1">
        <f t="array" aca="1" ref="F210" ca="1">MMS_Swine_Methane_Equations.VEERG_4_5_1_1__3_Stage1MethaneProduction(E$88,F41,VLOOKUP($D210, $D$155:$E$160, 2, FALSE),$I$200,$I$201)</f>
        <v>2.1345177599999999E-4</v>
      </c>
      <c r="G210" s="50" cm="1">
        <f t="array" aca="1" ref="G210" ca="1">MMS_Swine_Methane_Equations.VEERG_4_5_1_1__3_Stage1MethaneProduction(F$88,G41,VLOOKUP($D210, $D$155:$E$160, 2, FALSE),$I$200,$I$201)</f>
        <v>2.5521407999999998E-4</v>
      </c>
      <c r="H210" s="50" cm="1">
        <f t="array" aca="1" ref="H210" ca="1">MMS_Swine_Methane_Equations.VEERG_4_5_1_1__3_Stage1MethaneProduction(G$88,H41,VLOOKUP($D210, $D$155:$E$160, 2, FALSE),$I$200,$I$201)</f>
        <v>1.8096998400000001E-4</v>
      </c>
      <c r="I210" s="2"/>
      <c r="N210" s="55" t="str">
        <f>INDEX(X_Table_Swine_Stage1MMS_PitStorage,2,1)</f>
        <v>Pit storage</v>
      </c>
      <c r="O210" s="50" cm="1">
        <f t="array" aca="1" ref="O210" ca="1">MMS_Swine_Methane_Equations.VEERG_4_5_1_1__3_Stage1MethaneProduction(N$88,O41,VLOOKUP($N210, $N$155:$O$160, 2, FALSE),$I$200,$I$201)</f>
        <v>1.8561024E-4</v>
      </c>
      <c r="P210" s="50" cm="1">
        <f t="array" aca="1" ref="P210" ca="1">MMS_Swine_Methane_Equations.VEERG_4_5_1_1__3_Stage1MethaneProduction(O$88,P41,VLOOKUP($N210, $N$155:$O$160, 2, FALSE),$I$200,$I$201)</f>
        <v>2.1345177599999999E-4</v>
      </c>
      <c r="Q210" s="50" cm="1">
        <f t="array" aca="1" ref="Q210" ca="1">MMS_Swine_Methane_Equations.VEERG_4_5_1_1__3_Stage1MethaneProduction(P$88,Q41,VLOOKUP($N210, $N$155:$O$160, 2, FALSE),$I$200,$I$201)</f>
        <v>2.5521407999999998E-4</v>
      </c>
      <c r="R210" s="50" cm="1">
        <f t="array" aca="1" ref="R210" ca="1">MMS_Swine_Methane_Equations.VEERG_4_5_1_1__3_Stage1MethaneProduction(Q$88,R41,VLOOKUP($N210, $N$155:$O$160, 2, FALSE),$I$200,$I$201)</f>
        <v>1.8096998400000001E-4</v>
      </c>
      <c r="S210" s="2"/>
    </row>
    <row r="211" spans="1:21" ht="20.100000000000001" customHeight="1" x14ac:dyDescent="0.25">
      <c r="D211" s="55" t="s">
        <v>346</v>
      </c>
      <c r="E211" s="50" cm="1">
        <f t="array" aca="1" ref="E211" ca="1">MMS_Swine_Methane_Equations.VEERG_4_5_1_1__3_Stage1MethaneProduction(D$88,E68,VLOOKUP($D211, $D$155:$E$160, 2, FALSE),$I$200,$I$201)</f>
        <v>4.124672000000002E-4</v>
      </c>
      <c r="F211" s="50" cm="1">
        <f t="array" aca="1" ref="F211" ca="1">MMS_Swine_Methane_Equations.VEERG_4_5_1_1__3_Stage1MethaneProduction(E$88,F68,VLOOKUP($D211, $D$155:$E$160, 2, FALSE),$I$200,$I$201)</f>
        <v>4.7433728000000026E-4</v>
      </c>
      <c r="G211" s="50" cm="1">
        <f t="array" aca="1" ref="G211" ca="1">MMS_Swine_Methane_Equations.VEERG_4_5_1_1__3_Stage1MethaneProduction(F$88,G68,VLOOKUP($D211, $D$155:$E$160, 2, FALSE),$I$200,$I$201)</f>
        <v>5.6714240000000022E-4</v>
      </c>
      <c r="H211" s="50" cm="1">
        <f t="array" aca="1" ref="H211" ca="1">MMS_Swine_Methane_Equations.VEERG_4_5_1_1__3_Stage1MethaneProduction(G$88,H68,VLOOKUP($D211, $D$155:$E$160, 2, FALSE),$I$200,$I$201)</f>
        <v>4.0215552000000016E-4</v>
      </c>
      <c r="I211" s="2"/>
      <c r="N211" s="55" t="s">
        <v>346</v>
      </c>
      <c r="O211" s="50" cm="1">
        <f t="array" aca="1" ref="O211" ca="1">MMS_Swine_Methane_Equations.VEERG_4_5_1_1__3_Stage1MethaneProduction(N$88,O68,VLOOKUP($N211, $N$155:$O$160, 2, FALSE),$I$200,$I$201)</f>
        <v>4.124672000000002E-4</v>
      </c>
      <c r="P211" s="50" cm="1">
        <f t="array" aca="1" ref="P211" ca="1">MMS_Swine_Methane_Equations.VEERG_4_5_1_1__3_Stage1MethaneProduction(O$88,P68,VLOOKUP($N211, $N$155:$O$160, 2, FALSE),$I$200,$I$201)</f>
        <v>4.7433728000000026E-4</v>
      </c>
      <c r="Q211" s="50" cm="1">
        <f t="array" aca="1" ref="Q211" ca="1">MMS_Swine_Methane_Equations.VEERG_4_5_1_1__3_Stage1MethaneProduction(P$88,Q68,VLOOKUP($N211, $N$155:$O$160, 2, FALSE),$I$200,$I$201)</f>
        <v>5.6714240000000022E-4</v>
      </c>
      <c r="R211" s="50" cm="1">
        <f t="array" aca="1" ref="R211" ca="1">MMS_Swine_Methane_Equations.VEERG_4_5_1_1__3_Stage1MethaneProduction(Q$88,R68,VLOOKUP($N211, $N$155:$O$160, 2, FALSE),$I$200,$I$201)</f>
        <v>4.0215552000000016E-4</v>
      </c>
      <c r="S211" s="2"/>
    </row>
    <row r="212" spans="1:21" ht="20.100000000000001" customHeight="1" x14ac:dyDescent="0.25"/>
    <row r="213" spans="1:21" ht="20.100000000000001" customHeight="1" x14ac:dyDescent="0.25">
      <c r="A213" s="141" t="str">
        <f>HYPERLINK("#A1", "▲ Back to top")</f>
        <v>▲ Back to top</v>
      </c>
    </row>
    <row r="214" spans="1:21" ht="20.100000000000001" customHeight="1" x14ac:dyDescent="0.25">
      <c r="C214" s="43"/>
      <c r="D214" s="43"/>
      <c r="E214" s="43"/>
      <c r="F214" s="43"/>
      <c r="G214" s="43"/>
      <c r="H214" s="43"/>
      <c r="I214" s="43"/>
      <c r="J214" s="43"/>
      <c r="K214" s="43"/>
      <c r="M214" s="43"/>
      <c r="N214" s="43"/>
      <c r="O214" s="43"/>
      <c r="P214" s="43"/>
      <c r="Q214" s="43"/>
      <c r="R214" s="43"/>
      <c r="S214" s="43"/>
      <c r="T214" s="43"/>
      <c r="U214" s="43"/>
    </row>
    <row r="215" spans="1:21" ht="20.100000000000001" customHeight="1" x14ac:dyDescent="0.25">
      <c r="D215" s="6" t="str" cm="1">
        <f t="array" ref="D215">MMS_Swine_Methane_Equations.VEERG_4_5_1_1__2_MethaneProductionPerClass_Title()</f>
        <v>Methane production from the manure of each class of swine</v>
      </c>
    </row>
    <row r="216" spans="1:21" ht="20.100000000000001" customHeight="1" x14ac:dyDescent="0.25">
      <c r="D216" s="5" t="str" cm="1">
        <f t="array" ref="D216">MMS_Swine_Methane_Equations.VEERG_4_5_1_1__2_MethaneProductionPerClass_Source()</f>
        <v>VEERG 2026: 4.5.1.1, Equation (2)</v>
      </c>
    </row>
    <row r="217" spans="1:21" ht="20.100000000000001" customHeight="1" x14ac:dyDescent="0.25">
      <c r="D217" s="53" t="str" cm="1">
        <f t="array" ref="D217">MMS_Swine_Methane_Equations.VEERG_4_5_1_1__2_MethaneProductionPerClass_Variation()</f>
        <v>VARIATION ON SOURCE: Split variable Mjm into MjmT1 and MjmT2 for stage 1 and 2 MMS.</v>
      </c>
    </row>
    <row r="218" spans="1:21" ht="20.100000000000001" customHeight="1" x14ac:dyDescent="0.25">
      <c r="D218" s="13" t="s">
        <v>23</v>
      </c>
      <c r="E218" s="13" t="str" cm="1">
        <f t="array" aca="1" ref="E218" ca="1">Common_InputFunctions.Utility_DisplayFunctionName(D229)</f>
        <v>=MMS_Swine_Methane_Equations.VEERG_4_5_1_1__2_MethaneProductionPerClassVariation</v>
      </c>
    </row>
    <row r="219" spans="1:21" ht="20.100000000000001" customHeight="1" x14ac:dyDescent="0.25"/>
    <row r="220" spans="1:21" ht="20.100000000000001" customHeight="1" x14ac:dyDescent="0.25">
      <c r="E220" s="13"/>
    </row>
    <row r="221" spans="1:21" ht="20.100000000000001" customHeight="1" x14ac:dyDescent="0.25">
      <c r="D221" s="51" t="s">
        <v>26</v>
      </c>
      <c r="E221" s="1" t="str" cm="1">
        <f t="array" ref="E221">MMS_Swine_Methane_Equations.VEERG_4_5_1_1__2_MethaneProductionPerClass_Variable()</f>
        <v>Mmj</v>
      </c>
    </row>
    <row r="222" spans="1:21" ht="20.100000000000001" customHeight="1" x14ac:dyDescent="0.25">
      <c r="D222" s="51" t="s">
        <v>16</v>
      </c>
      <c r="E222" s="52" t="str" cm="1">
        <f t="array" ref="E222">MMS_Swine_Methane_Equations.VEERG_4_5_1_1__2_MethaneProductionPerClass_Unit()</f>
        <v>kg CH4/head/day</v>
      </c>
    </row>
    <row r="223" spans="1:21" ht="20.100000000000001" customHeight="1" x14ac:dyDescent="0.25"/>
    <row r="224" spans="1:21" ht="20.100000000000001" customHeight="1" x14ac:dyDescent="0.25">
      <c r="D224" s="55" t="str" cm="1">
        <f t="array" ref="D224:E224">_xlfn.CHOOSECOLS(MMS_Swine_Methane_Equations.VEERG_4_5_1_1__2_MethaneProductionPerClass_Arguments(), 1, 2)</f>
        <v>MjmT</v>
      </c>
      <c r="E224" s="56" t="str">
        <v>methane production from manure per class, MMS, and treatment stage</v>
      </c>
      <c r="F224" s="96"/>
      <c r="G224" s="55" t="str" cm="1">
        <f t="array" ref="G224:H224">_xlfn.CHOOSECOLS(MMS_Swine_Methane_Equations.VEERG_4_5_1_1__2_MethaneProductionPerClass_Arguments(), 3,4)</f>
        <v>kg CH4/head/day</v>
      </c>
      <c r="H224" s="131" t="str">
        <v>Calculated from 4.5.1.1 (3) and (6)</v>
      </c>
      <c r="I224" s="135" t="str" cm="1">
        <f t="array" aca="1" ref="I224" ca="1">HYPERLINK(Common_InputFunctions.Utility_SourceHyperlink(D203), D203)</f>
        <v>M1_Table_M_i_j_m_T-1</v>
      </c>
      <c r="J224" s="135" t="str" cm="1">
        <f t="array" aca="1" ref="J224" ca="1">HYPERLINK(Common_InputFunctions.Utility_SourceHyperlink(D162), D162)</f>
        <v>M1_Table_M_i_j_m_T-2</v>
      </c>
    </row>
    <row r="225" spans="1:21" ht="20.100000000000001" customHeight="1" x14ac:dyDescent="0.25"/>
    <row r="226" spans="1:21" ht="20.100000000000001" customHeight="1" x14ac:dyDescent="0.25">
      <c r="D226" s="117" t="s">
        <v>213</v>
      </c>
      <c r="N226" s="117" t="s">
        <v>215</v>
      </c>
    </row>
    <row r="227" spans="1:21" ht="20.100000000000001" customHeight="1" x14ac:dyDescent="0.25">
      <c r="D227" s="118" t="s">
        <v>214</v>
      </c>
      <c r="N227" s="118" t="s">
        <v>216</v>
      </c>
    </row>
    <row r="228" spans="1:21" ht="20.100000000000001" customHeight="1" x14ac:dyDescent="0.25">
      <c r="D228" s="49" t="s">
        <v>135</v>
      </c>
      <c r="E228" s="49" t="s">
        <v>136</v>
      </c>
      <c r="F228" s="49" t="s">
        <v>137</v>
      </c>
      <c r="G228" s="49" t="s">
        <v>195</v>
      </c>
      <c r="N228" s="49" t="s">
        <v>135</v>
      </c>
      <c r="O228" s="49" t="s">
        <v>136</v>
      </c>
      <c r="P228" s="49" t="s">
        <v>137</v>
      </c>
      <c r="Q228" s="49" t="s">
        <v>195</v>
      </c>
    </row>
    <row r="229" spans="1:21" ht="20.100000000000001" customHeight="1" x14ac:dyDescent="0.25">
      <c r="D229" s="50" cm="1">
        <f t="array" aca="1" ref="D229" ca="1">MMS_Swine_Methane_Equations.VEERG_4_5_1_1__2_MethaneProductionPerClassVariation(E206:E211,F165:F184)</f>
        <v>1.3780116684800005E-2</v>
      </c>
      <c r="E229" s="50" cm="1">
        <f t="array" aca="1" ref="E229" ca="1">MMS_Swine_Methane_Equations.VEERG_4_5_1_1__2_MethaneProductionPerClassVariation(F206:F211,G165:G184)</f>
        <v>1.6933247974400007E-2</v>
      </c>
      <c r="F229" s="50" cm="1">
        <f t="array" aca="1" ref="F229" ca="1">MMS_Swine_Methane_Equations.VEERG_4_5_1_1__2_MethaneProductionPerClassVariation(G206:G211,H165:H184)</f>
        <v>2.0246274752000006E-2</v>
      </c>
      <c r="G229" s="50" cm="1">
        <f t="array" aca="1" ref="G229" ca="1">MMS_Swine_Methane_Equations.VEERG_4_5_1_1__2_MethaneProductionPerClassVariation(H206:H211,I165:I184)</f>
        <v>1.4356449369600002E-2</v>
      </c>
      <c r="H229" s="2" t="str">
        <f>$E$222</f>
        <v>kg CH4/head/day</v>
      </c>
      <c r="N229" s="50" cm="1">
        <f t="array" aca="1" ref="N229" ca="1">MMS_Swine_Methane_Equations.VEERG_4_5_1_1__2_MethaneProductionPerClassVariation(O206:O211,P165:P184)</f>
        <v>1.3922830336000004E-2</v>
      </c>
      <c r="O229" s="50" cm="1">
        <f t="array" aca="1" ref="O229" ca="1">MMS_Swine_Methane_Equations.VEERG_4_5_1_1__2_MethaneProductionPerClassVariation(P206:P211,Q165:Q184)</f>
        <v>1.7108752768000005E-2</v>
      </c>
      <c r="P229" s="50" cm="1">
        <f t="array" aca="1" ref="P229" ca="1">MMS_Swine_Methane_Equations.VEERG_4_5_1_1__2_MethaneProductionPerClassVariation(Q206:Q211,R165:R184)</f>
        <v>2.0456117440000005E-2</v>
      </c>
      <c r="Q229" s="50" cm="1">
        <f t="array" aca="1" ref="Q229" ca="1">MMS_Swine_Methane_Equations.VEERG_4_5_1_1__2_MethaneProductionPerClassVariation(R206:R211,S165:S184)</f>
        <v>1.4505246912000001E-2</v>
      </c>
      <c r="R229" s="2" t="str">
        <f>$E$222</f>
        <v>kg CH4/head/day</v>
      </c>
    </row>
    <row r="230" spans="1:21" ht="20.100000000000001" customHeight="1" x14ac:dyDescent="0.25"/>
    <row r="231" spans="1:21" ht="20.100000000000001" customHeight="1" x14ac:dyDescent="0.25">
      <c r="A231" s="141" t="str">
        <f>HYPERLINK("#A1", "▲ Back to top")</f>
        <v>▲ Back to top</v>
      </c>
    </row>
    <row r="232" spans="1:21" ht="20.100000000000001" customHeight="1" x14ac:dyDescent="0.25">
      <c r="C232" s="43"/>
      <c r="D232" s="43"/>
      <c r="E232" s="43"/>
      <c r="F232" s="43"/>
      <c r="G232" s="43"/>
      <c r="H232" s="43"/>
      <c r="I232" s="43"/>
      <c r="J232" s="43"/>
      <c r="K232" s="43"/>
      <c r="M232" s="43"/>
      <c r="N232" s="43"/>
      <c r="O232" s="43"/>
      <c r="P232" s="43"/>
      <c r="Q232" s="43"/>
      <c r="R232" s="43"/>
      <c r="S232" s="43"/>
      <c r="T232" s="43"/>
      <c r="U232" s="43"/>
    </row>
    <row r="233" spans="1:21" ht="20.100000000000001" customHeight="1" x14ac:dyDescent="0.25">
      <c r="D233" s="6" t="str" cm="1">
        <f t="array" ref="D233">MMS_Swine_Methane_Equations.VEERG_4_5_1_1__1_TotalAnnualMethaneEmissions_Title()</f>
        <v>Total annual methane emissions from manure management</v>
      </c>
    </row>
    <row r="234" spans="1:21" ht="20.100000000000001" customHeight="1" x14ac:dyDescent="0.25">
      <c r="D234" s="5" t="str" cm="1">
        <f t="array" ref="D234">MMS_Swine_Methane_Equations.VEERG_4_5_1_1__1_TotalAnnualMethaneEmissions_Source()</f>
        <v>VEERG 2026: 4.5.1.1, Equation (1)</v>
      </c>
    </row>
    <row r="235" spans="1:21" ht="20.100000000000001" customHeight="1" x14ac:dyDescent="0.25">
      <c r="D235" s="13" t="s">
        <v>23</v>
      </c>
      <c r="E235" s="13" t="str" cm="1">
        <f t="array" aca="1" ref="E235" ca="1">Common_InputFunctions.Utility_DisplayFunctionName(D259)</f>
        <v>=MMS_Swine_Methane_Equations.VEERG_4_5_1_1__1_TotalAnnualMethaneEmissions</v>
      </c>
    </row>
    <row r="236" spans="1:21" ht="20.100000000000001" customHeight="1" x14ac:dyDescent="0.25"/>
    <row r="237" spans="1:21" ht="20.100000000000001" customHeight="1" x14ac:dyDescent="0.25">
      <c r="D237" s="6"/>
    </row>
    <row r="238" spans="1:21" ht="20.100000000000001" customHeight="1" x14ac:dyDescent="0.25"/>
    <row r="239" spans="1:21" ht="20.100000000000001" customHeight="1" x14ac:dyDescent="0.25">
      <c r="D239" s="51" t="s">
        <v>26</v>
      </c>
      <c r="E239" s="1" t="str" cm="1">
        <f t="array" ref="E239">MMS_Swine_Methane_Equations.VEERG_4_5_1_1__1_TotalAnnualMethaneEmissions_Variable()</f>
        <v>ECH4</v>
      </c>
    </row>
    <row r="240" spans="1:21" ht="20.100000000000001" customHeight="1" x14ac:dyDescent="0.25">
      <c r="D240" s="51" t="s">
        <v>16</v>
      </c>
      <c r="E240" s="52" t="str" cm="1">
        <f t="array" ref="E240">MMS_Swine_Methane_Equations.VEERG_4_5_1_1__1_TotalAnnualMethaneEmissions_Unit()</f>
        <v>t CH4</v>
      </c>
    </row>
    <row r="241" spans="4:14" ht="20.100000000000001" customHeight="1" x14ac:dyDescent="0.25"/>
    <row r="242" spans="4:14" ht="20.100000000000001" customHeight="1" x14ac:dyDescent="0.25">
      <c r="D242" s="55" t="str" cm="1">
        <f t="array" ref="D242:E244">_xlfn.CHOOSECOLS(MMS_Swine_Methane_Equations.VEERG_4_5_1_1__1_TotalAnnualMethaneEmissions_Arguments(), 1, 2)</f>
        <v>Dj</v>
      </c>
      <c r="E242" s="56" t="str">
        <v>length of stay of each class of swine</v>
      </c>
      <c r="F242" s="57"/>
      <c r="G242" s="55" t="str" cm="1">
        <f t="array" ref="G242:H244">_xlfn.CHOOSECOLS(MMS_Swine_Methane_Equations.VEERG_4_5_1_1__1_TotalAnnualMethaneEmissions_Arguments(), 3,4)</f>
        <v>days</v>
      </c>
      <c r="H242" s="132" t="str">
        <v>Input</v>
      </c>
      <c r="I242" s="135" t="str" cm="1">
        <f t="array" aca="1" ref="I242" ca="1">HYPERLINK(Common_InputFunctions.Utility_SourceHyperlink(D246), D246)</f>
        <v>Table_D_j</v>
      </c>
    </row>
    <row r="243" spans="4:14" ht="20.100000000000001" customHeight="1" x14ac:dyDescent="0.25">
      <c r="D243" s="55" t="str">
        <v>Mmj</v>
      </c>
      <c r="E243" s="56" t="str">
        <v>methane production from manure in each swine class</v>
      </c>
      <c r="F243" s="57"/>
      <c r="G243" s="55" t="str">
        <v>kg CH4/head/day</v>
      </c>
      <c r="H243" s="131" t="str">
        <v>Calculated from 4.5.1.1 (2)</v>
      </c>
      <c r="I243" s="135" t="str" cm="1">
        <f t="array" aca="1" ref="I243" ca="1">HYPERLINK(Common_InputFunctions.Utility_SourceHyperlink(D226), D226)</f>
        <v>M1_Table_M_m_j</v>
      </c>
    </row>
    <row r="244" spans="4:14" ht="20.100000000000001" customHeight="1" x14ac:dyDescent="0.25">
      <c r="D244" s="55" t="str">
        <v>Nj</v>
      </c>
      <c r="E244" s="56" t="str">
        <v>numbers of swine in each class</v>
      </c>
      <c r="F244" s="57"/>
      <c r="G244" s="55" t="str">
        <v>head</v>
      </c>
      <c r="H244" s="132" t="str">
        <v>Input</v>
      </c>
      <c r="I244" s="135" t="str" cm="1">
        <f t="array" aca="1" ref="I244" ca="1">HYPERLINK(Common_InputFunctions.Utility_SourceHyperlink(D226), D226)</f>
        <v>M1_Table_M_m_j</v>
      </c>
    </row>
    <row r="245" spans="4:14" ht="20.100000000000001" customHeight="1" x14ac:dyDescent="0.25"/>
    <row r="246" spans="4:14" ht="20.100000000000001" customHeight="1" x14ac:dyDescent="0.25">
      <c r="D246" s="117" t="s">
        <v>166</v>
      </c>
    </row>
    <row r="247" spans="4:14" ht="20.100000000000001" customHeight="1" x14ac:dyDescent="0.25">
      <c r="D247" s="118" t="s">
        <v>167</v>
      </c>
    </row>
    <row r="248" spans="4:14" ht="20.100000000000001" customHeight="1" x14ac:dyDescent="0.25">
      <c r="D248" s="115" t="s">
        <v>135</v>
      </c>
      <c r="E248" s="115" t="s">
        <v>136</v>
      </c>
      <c r="F248" s="115" t="s">
        <v>137</v>
      </c>
      <c r="G248" s="115" t="s">
        <v>195</v>
      </c>
    </row>
    <row r="249" spans="4:14" ht="20.100000000000001" customHeight="1" x14ac:dyDescent="0.25">
      <c r="D249" s="50" cm="1">
        <f t="array" aca="1" ref="D249:G249" ca="1">OFFSET(X_Table_Swine_HerdMovement,1,1,1,4)</f>
        <v>365</v>
      </c>
      <c r="E249" s="119">
        <f ca="1"/>
        <v>365</v>
      </c>
      <c r="F249" s="119">
        <f ca="1"/>
        <v>365</v>
      </c>
      <c r="G249" s="119">
        <f ca="1"/>
        <v>365</v>
      </c>
      <c r="H249" s="2" t="str">
        <f>G242</f>
        <v>days</v>
      </c>
    </row>
    <row r="250" spans="4:14" ht="20.100000000000001" customHeight="1" x14ac:dyDescent="0.25"/>
    <row r="251" spans="4:14" ht="20.100000000000001" customHeight="1" x14ac:dyDescent="0.25">
      <c r="D251" s="117" t="s">
        <v>168</v>
      </c>
    </row>
    <row r="252" spans="4:14" ht="20.100000000000001" customHeight="1" x14ac:dyDescent="0.25">
      <c r="D252" s="118" t="s">
        <v>169</v>
      </c>
    </row>
    <row r="253" spans="4:14" ht="20.100000000000001" customHeight="1" x14ac:dyDescent="0.25">
      <c r="D253" s="115" t="s">
        <v>135</v>
      </c>
      <c r="E253" s="115" t="s">
        <v>136</v>
      </c>
      <c r="F253" s="115" t="s">
        <v>137</v>
      </c>
      <c r="G253" s="115" t="s">
        <v>195</v>
      </c>
    </row>
    <row r="254" spans="4:14" ht="20.100000000000001" customHeight="1" x14ac:dyDescent="0.25">
      <c r="D254" s="50" cm="1">
        <f t="array" aca="1" ref="D254:G254" ca="1">OFFSET(X_Table_Swine_HerdMovement,2,1,1,4)</f>
        <v>100</v>
      </c>
      <c r="E254" s="119">
        <f ca="1"/>
        <v>100</v>
      </c>
      <c r="F254" s="119">
        <f ca="1"/>
        <v>100</v>
      </c>
      <c r="G254" s="119">
        <f ca="1"/>
        <v>100</v>
      </c>
      <c r="H254" s="2" t="str">
        <f>G244</f>
        <v>head</v>
      </c>
    </row>
    <row r="255" spans="4:14" ht="20.100000000000001" customHeight="1" x14ac:dyDescent="0.25"/>
    <row r="256" spans="4:14" ht="20.100000000000001" customHeight="1" x14ac:dyDescent="0.25">
      <c r="D256" s="117" t="s">
        <v>117</v>
      </c>
      <c r="N256" s="117" t="s">
        <v>128</v>
      </c>
    </row>
    <row r="257" spans="1:18" ht="20.100000000000001" customHeight="1" x14ac:dyDescent="0.25">
      <c r="D257" s="118" t="s">
        <v>194</v>
      </c>
      <c r="N257" s="118" t="s">
        <v>217</v>
      </c>
    </row>
    <row r="258" spans="1:18" ht="20.100000000000001" customHeight="1" x14ac:dyDescent="0.25">
      <c r="D258" s="49" t="s">
        <v>135</v>
      </c>
      <c r="E258" s="49" t="s">
        <v>136</v>
      </c>
      <c r="F258" s="49" t="s">
        <v>137</v>
      </c>
      <c r="G258" s="49" t="s">
        <v>195</v>
      </c>
      <c r="N258" s="49" t="s">
        <v>135</v>
      </c>
      <c r="O258" s="49" t="s">
        <v>136</v>
      </c>
      <c r="P258" s="49" t="s">
        <v>137</v>
      </c>
      <c r="Q258" s="49" t="s">
        <v>195</v>
      </c>
    </row>
    <row r="259" spans="1:18" ht="20.100000000000001" customHeight="1" x14ac:dyDescent="0.25">
      <c r="D259" s="50" cm="1">
        <f t="array" aca="1" ref="D259" ca="1">MMS_Swine_Methane_Equations.VEERG_4_5_1_1__1_TotalAnnualMethaneEmissions(D249,D$229,D254)</f>
        <v>0.50297425899520021</v>
      </c>
      <c r="E259" s="50" cm="1">
        <f t="array" aca="1" ref="E259" ca="1">MMS_Swine_Methane_Equations.VEERG_4_5_1_1__1_TotalAnnualMethaneEmissions(E249,E$229,E254)</f>
        <v>0.61806355106560018</v>
      </c>
      <c r="F259" s="50" cm="1">
        <f t="array" aca="1" ref="F259" ca="1">MMS_Swine_Methane_Equations.VEERG_4_5_1_1__1_TotalAnnualMethaneEmissions(F249,F$229,F254)</f>
        <v>0.73898902844800007</v>
      </c>
      <c r="G259" s="50" cm="1">
        <f t="array" aca="1" ref="G259" ca="1">MMS_Swine_Methane_Equations.VEERG_4_5_1_1__1_TotalAnnualMethaneEmissions(G249,G$229,G254)</f>
        <v>0.52401040199040005</v>
      </c>
      <c r="H259" s="2" t="str">
        <f>$E$240</f>
        <v>t CH4</v>
      </c>
      <c r="N259" s="50" cm="1">
        <f t="array" aca="1" ref="N259" ca="1">MMS_Swine_Methane_Equations.VEERG_4_5_1_1__1_TotalAnnualMethaneEmissions(D249,N$229,D254)</f>
        <v>0.50818330726400018</v>
      </c>
      <c r="O259" s="50" cm="1">
        <f t="array" aca="1" ref="O259" ca="1">MMS_Swine_Methane_Equations.VEERG_4_5_1_1__1_TotalAnnualMethaneEmissions(E249,O$229,E254)</f>
        <v>0.62446947603200009</v>
      </c>
      <c r="P259" s="50" cm="1">
        <f t="array" aca="1" ref="P259" ca="1">MMS_Swine_Methane_Equations.VEERG_4_5_1_1__1_TotalAnnualMethaneEmissions(F249,P$229,F254)</f>
        <v>0.74664828656000026</v>
      </c>
      <c r="Q259" s="50" cm="1">
        <f t="array" aca="1" ref="Q259" ca="1">MMS_Swine_Methane_Equations.VEERG_4_5_1_1__1_TotalAnnualMethaneEmissions(G249,Q$229,G254)</f>
        <v>0.52944151228800007</v>
      </c>
      <c r="R259" s="2" t="str">
        <f>$E$240</f>
        <v>t CH4</v>
      </c>
    </row>
    <row r="260" spans="1:18" ht="20.100000000000001" customHeight="1" x14ac:dyDescent="0.25"/>
    <row r="261" spans="1:18" ht="20.100000000000001" customHeight="1" x14ac:dyDescent="0.25">
      <c r="D261" s="97" t="s">
        <v>170</v>
      </c>
      <c r="E261" s="98">
        <f ca="1">SUM(D259:G259)</f>
        <v>2.3840372404992007</v>
      </c>
      <c r="F261" s="99" t="str">
        <f>$E$240</f>
        <v>t CH4</v>
      </c>
      <c r="N261" s="97" t="s">
        <v>170</v>
      </c>
      <c r="O261" s="98">
        <f ca="1">SUM(N259:Q259)</f>
        <v>2.4087425821440007</v>
      </c>
      <c r="P261" s="99" t="str">
        <f>$E$240</f>
        <v>t CH4</v>
      </c>
    </row>
    <row r="262" spans="1:18" ht="20.100000000000001" customHeight="1" x14ac:dyDescent="0.25"/>
    <row r="263" spans="1:18" ht="20.100000000000001" customHeight="1" x14ac:dyDescent="0.25">
      <c r="D263" s="55" t="str" cm="1">
        <f t="array" ref="D263:E264">Common_Equations.Common_ConvertCH4ToCO2e_Arguments()</f>
        <v>ECH4</v>
      </c>
      <c r="E263" s="56" t="str">
        <v>Methane emissions (t CH4)</v>
      </c>
      <c r="F263" s="100"/>
      <c r="G263" s="50">
        <f ca="1">VEERG_4_5_1_1__1_TotalAnnualMethaneEmissions_Result_Method1</f>
        <v>2.3840372404992007</v>
      </c>
      <c r="N263" s="55" t="str" cm="1">
        <f t="array" ref="N263:O264">Common_Equations.Common_ConvertCH4ToCO2e_Arguments()</f>
        <v>ECH4</v>
      </c>
      <c r="O263" s="56" t="str">
        <v>Methane emissions (t CH4)</v>
      </c>
      <c r="P263" s="100"/>
      <c r="Q263" s="50">
        <f ca="1">VEERG_4_5_1_1__1_TotalAnnualMethaneEmissions_Result_Method2</f>
        <v>2.4087425821440007</v>
      </c>
    </row>
    <row r="264" spans="1:18" ht="20.100000000000001" customHeight="1" x14ac:dyDescent="0.25">
      <c r="D264" s="55" t="str">
        <v>GWPCH4</v>
      </c>
      <c r="E264" s="56" t="str">
        <v>Global warming potential for methane (t CO2-e / t CH4)</v>
      </c>
      <c r="F264" s="100"/>
      <c r="G264" s="50">
        <f>Common_InputFunctions.Utility_LookupValueInTableNumber("CH4",Table_GWPData[Gas],Table_GWPData[CO2-e factor])</f>
        <v>28</v>
      </c>
      <c r="N264" s="55" t="str">
        <v>GWPCH4</v>
      </c>
      <c r="O264" s="56" t="str">
        <v>Global warming potential for methane (t CO2-e / t CH4)</v>
      </c>
      <c r="P264" s="100"/>
      <c r="Q264" s="50">
        <f>Common_InputFunctions.Utility_LookupValueInTableNumber("CH4",Table_GWPData[Gas],Table_GWPData[CO2-e factor])</f>
        <v>28</v>
      </c>
    </row>
    <row r="265" spans="1:18" ht="20.100000000000001" customHeight="1" x14ac:dyDescent="0.25"/>
    <row r="266" spans="1:18" ht="20.100000000000001" customHeight="1" x14ac:dyDescent="0.25">
      <c r="A266" s="141" t="str">
        <f>HYPERLINK("#A1", "▲ Back to top")</f>
        <v>▲ Back to top</v>
      </c>
      <c r="D266" s="43" t="s">
        <v>94</v>
      </c>
      <c r="E266" s="43" cm="1">
        <f t="array" aca="1" ref="E266" ca="1">Common_Equations.Common_ConvertCH4ToCO2e(G263,G264)</f>
        <v>66.753042733977622</v>
      </c>
      <c r="F266" s="101" t="str" cm="1">
        <f t="array" ref="F266">Common_Equations.Common_ConvertN2OToCO2e_Unit()</f>
        <v>t CO2e</v>
      </c>
      <c r="N266" s="43" t="s">
        <v>94</v>
      </c>
      <c r="O266" s="43" cm="1">
        <f t="array" aca="1" ref="O266" ca="1">Common_Equations.Common_ConvertCH4ToCO2e(Q263,Q264)</f>
        <v>67.44479230003202</v>
      </c>
      <c r="P266" s="101" t="str" cm="1">
        <f t="array" ref="P266">Common_Equations.Common_ConvertN2OToCO2e_Unit()</f>
        <v>t CO2e</v>
      </c>
    </row>
    <row r="267" spans="1:18" ht="20.100000000000001" customHeight="1" x14ac:dyDescent="0.25"/>
    <row r="268" spans="1:18" ht="20.100000000000001" customHeight="1" x14ac:dyDescent="0.25"/>
    <row r="269" spans="1:18" ht="20.100000000000001" customHeight="1" x14ac:dyDescent="0.25"/>
    <row r="270" spans="1:18" ht="20.100000000000001" customHeight="1" x14ac:dyDescent="0.25"/>
    <row r="271" spans="1:18"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O161:T161 E119:J119 I200 E252 P133:T134 E214 H121:J124 F138:I140 F120:J120 F121:F124 Q155:T156 R121:S124 P121:P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U304"/>
  <sheetViews>
    <sheetView showGridLines="0" topLeftCell="G265" zoomScaleNormal="100" workbookViewId="0">
      <selection activeCell="O298" sqref="O29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218</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MMS_Swine_N2ODirect_Equations.VEERG_4_5_1_3__5_AnnualNitrogenExcretion_Title()</f>
        <v>Annual nitrogen excretion from each swine group</v>
      </c>
    </row>
    <row r="6" spans="1:21" ht="20.100000000000001" customHeight="1" x14ac:dyDescent="0.25">
      <c r="D6" s="5" t="str" cm="1">
        <f t="array" ref="D6">MMS_Swine_N2ODirect_Equations.VEERG_4_5_1_3__5_AnnualNitrogenExcretion_Source()</f>
        <v>VEERG 2026: 4.5.1.3, Equation (5)</v>
      </c>
    </row>
    <row r="7" spans="1:21" ht="20.100000000000001" customHeight="1" x14ac:dyDescent="0.25">
      <c r="D7" s="13" t="s">
        <v>23</v>
      </c>
      <c r="E7" s="13" t="str" cm="1">
        <f t="array" aca="1" ref="E7" ca="1">Common_InputFunctions.Utility_DisplayFunctionName($E$35)</f>
        <v>=MMS_Swine_N2ODirect_Equations.VEERG_4_5_1_3__5_AnnualNitrogenExcretion</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MMS_Swine_N2ODirect_Equations.VEERG_4_5_1_3__5_AnnualNitrogenExcretion_Variable()</f>
        <v>AE_j</v>
      </c>
    </row>
    <row r="11" spans="1:21" ht="20.100000000000001" customHeight="1" x14ac:dyDescent="0.25">
      <c r="D11" s="51" t="s">
        <v>16</v>
      </c>
      <c r="E11" s="52" t="str" cm="1">
        <f t="array" ref="E11">MMS_Swine_N2ODirect_Equations.VEERG_4_5_1_3__5_AnnualNitrogenExcretion_Unit()</f>
        <v>kg N</v>
      </c>
    </row>
    <row r="12" spans="1:21" ht="20.100000000000001" customHeight="1" x14ac:dyDescent="0.25"/>
    <row r="13" spans="1:21" ht="20.100000000000001" customHeight="1" x14ac:dyDescent="0.25">
      <c r="A13" s="18" t="s">
        <v>71</v>
      </c>
      <c r="D13" s="136" t="str" cm="1">
        <f t="array" ref="D13:E15">Common_InputFunctions.Utility_DisplayArguments_1_2(MMS_Swine_N2ODirect_Equations.VEERG_4_5_1_3__5_AnnualNitrogenExcretion_Arguments())</f>
        <v>N_j</v>
      </c>
      <c r="E13" s="138" t="str">
        <v>number of swine in each group</v>
      </c>
      <c r="F13" s="137"/>
      <c r="G13" s="136" t="str" cm="1">
        <f t="array" ref="G13:H15">Common_InputFunctions.Utility_DisplayArguments_3_4(MMS_Swine_N2ODirect_Equations.VEERG_4_5_1_3__5_AnnualNitrogenExcretion_Arguments())</f>
        <v>head</v>
      </c>
      <c r="H13" s="132" t="str">
        <v>Input</v>
      </c>
      <c r="I13" s="135" t="str" cm="1">
        <f t="array" aca="1" ref="I13" ca="1">HYPERLINK(Common_InputFunctions.Utility_SourceHyperlink(D17), D17)</f>
        <v>Table_N_j</v>
      </c>
    </row>
    <row r="14" spans="1:21" ht="20.100000000000001" customHeight="1" x14ac:dyDescent="0.25">
      <c r="A14" s="17" t="str">
        <f>HYPERLINK("#'4.5.1.1-2 Methane'!A1", "4.5.1.1-2 Methane")</f>
        <v>4.5.1.1-2 Methane</v>
      </c>
      <c r="D14" s="136" t="str">
        <v>NW_j</v>
      </c>
      <c r="E14" s="136" t="str">
        <v>nitrogen produced in swine manure and waste feed in each class</v>
      </c>
      <c r="F14" s="136"/>
      <c r="G14" s="136" t="str">
        <v>kg N/head/day</v>
      </c>
      <c r="H14" s="132" t="str">
        <v>Input</v>
      </c>
      <c r="I14" s="135" t="str" cm="1">
        <f t="array" aca="1" ref="I14" ca="1">HYPERLINK(Common_InputFunctions.Utility_SourceHyperlink(D22), D22)</f>
        <v>M1_Table_NW_j</v>
      </c>
    </row>
    <row r="15" spans="1:21" ht="20.100000000000001" customHeight="1" x14ac:dyDescent="0.25">
      <c r="A15" s="147" t="str">
        <f>HYPERLINK("#'4.5.1.3-4 Direct N2O'!A1", "4.5.1.3-4 Direct N2O")</f>
        <v>4.5.1.3-4 Direct N2O</v>
      </c>
      <c r="D15" s="136" t="str">
        <v>D_j</v>
      </c>
      <c r="E15" s="138" t="str">
        <v>duration of stay of swine group</v>
      </c>
      <c r="F15" s="137"/>
      <c r="G15" s="136" t="str">
        <v>days</v>
      </c>
      <c r="H15" s="132" t="str">
        <v>Input</v>
      </c>
      <c r="I15" s="135" t="str" cm="1">
        <f t="array" aca="1" ref="I15" ca="1">HYPERLINK(Common_InputFunctions.Utility_SourceHyperlink(D27), D27)</f>
        <v>Table_D_j</v>
      </c>
    </row>
    <row r="16" spans="1:21" ht="20.100000000000001" customHeight="1" x14ac:dyDescent="0.25">
      <c r="A16" s="17" t="str">
        <f>HYPERLINK("#'4.5.1.5-6 Atmos Dep'!A1", "4.5.1.5-6 Atmos Dep")</f>
        <v>4.5.1.5-6 Atmos Dep</v>
      </c>
    </row>
    <row r="17" spans="1:18" ht="20.100000000000001" customHeight="1" x14ac:dyDescent="0.25">
      <c r="A17" s="17" t="str">
        <f>HYPERLINK("#'4.5.1.7-8 Leaching and runoff'!A1", "4.5.1.7-8 Leaching and runoff")</f>
        <v>4.5.1.7-8 Leaching and runoff</v>
      </c>
      <c r="D17" s="117" t="s">
        <v>168</v>
      </c>
    </row>
    <row r="18" spans="1:18" ht="20.100000000000001" customHeight="1" x14ac:dyDescent="0.25">
      <c r="A18" s="17" t="str">
        <f>HYPERLINK("#'4.5.1.9 Manure applied to soils'!A1", "4.5.1.9 Manure applied to soils")</f>
        <v>4.5.1.9 Manure applied to soils</v>
      </c>
      <c r="D18" s="118" t="s">
        <v>169</v>
      </c>
    </row>
    <row r="19" spans="1:18" ht="20.100000000000001" customHeight="1" x14ac:dyDescent="0.25">
      <c r="D19" s="115" t="s">
        <v>135</v>
      </c>
      <c r="E19" s="115" t="s">
        <v>136</v>
      </c>
      <c r="F19" s="115" t="s">
        <v>137</v>
      </c>
      <c r="G19" s="115" t="s">
        <v>195</v>
      </c>
    </row>
    <row r="20" spans="1:18" ht="20.100000000000001" customHeight="1" x14ac:dyDescent="0.25">
      <c r="D20" s="50" cm="1">
        <f t="array" aca="1" ref="D20:G20" ca="1">OFFSET(X_Table_Swine_HerdMovement,2,1,1,4)</f>
        <v>100</v>
      </c>
      <c r="E20" s="119">
        <f ca="1"/>
        <v>100</v>
      </c>
      <c r="F20" s="119">
        <f ca="1"/>
        <v>100</v>
      </c>
      <c r="G20" s="119">
        <f ca="1"/>
        <v>100</v>
      </c>
      <c r="H20" s="2" t="str">
        <f>G13</f>
        <v>head</v>
      </c>
    </row>
    <row r="21" spans="1:18" ht="20.100000000000001" customHeight="1" x14ac:dyDescent="0.25">
      <c r="A21" s="145" t="s">
        <v>1</v>
      </c>
    </row>
    <row r="22" spans="1:18" ht="20.100000000000001" customHeight="1" x14ac:dyDescent="0.25">
      <c r="A22" s="17" t="str">
        <f>HYPERLINK("#'Constants - Swine'!A1", "Constants - Swine")</f>
        <v>Constants - Swine</v>
      </c>
      <c r="D22" s="117" t="s">
        <v>225</v>
      </c>
      <c r="N22" s="117" t="s">
        <v>286</v>
      </c>
    </row>
    <row r="23" spans="1:18" ht="20.100000000000001" customHeight="1" x14ac:dyDescent="0.25">
      <c r="A23" s="17" t="str">
        <f>HYPERLINK("#'Constants - Common'!A1", "Constants - Common")</f>
        <v>Constants - Common</v>
      </c>
      <c r="D23" s="118" t="s">
        <v>285</v>
      </c>
      <c r="N23" s="118" t="s">
        <v>287</v>
      </c>
    </row>
    <row r="24" spans="1:18" ht="20.100000000000001" customHeight="1" x14ac:dyDescent="0.25">
      <c r="A24" s="17" t="str">
        <f>HYPERLINK("#'Constants - Livestock'!A1", "Constants - Livestock")</f>
        <v>Constants - Livestock</v>
      </c>
      <c r="D24" s="115" t="s">
        <v>135</v>
      </c>
      <c r="E24" s="115" t="s">
        <v>136</v>
      </c>
      <c r="F24" s="115" t="s">
        <v>137</v>
      </c>
      <c r="G24" s="115" t="s">
        <v>195</v>
      </c>
      <c r="N24" s="115" t="s">
        <v>135</v>
      </c>
      <c r="O24" s="115" t="s">
        <v>136</v>
      </c>
      <c r="P24" s="115" t="s">
        <v>137</v>
      </c>
      <c r="Q24" s="115" t="s">
        <v>195</v>
      </c>
    </row>
    <row r="25" spans="1:18" ht="20.100000000000001" customHeight="1" x14ac:dyDescent="0.25">
      <c r="A25" s="17" t="str">
        <f>HYPERLINK("#'Acknowledgements'!A1", "Acknowledgements")</f>
        <v>Acknowledgements</v>
      </c>
      <c r="D25" s="50" cm="1">
        <f t="array" aca="1" ref="D25:G25" ca="1">OFFSET(X_Table_Swine_ManureProduction_Method1,2,1,1,4)</f>
        <v>4.5999999999999999E-2</v>
      </c>
      <c r="E25" s="50">
        <f ca="1"/>
        <v>4.9000000000000002E-2</v>
      </c>
      <c r="F25" s="50">
        <f ca="1"/>
        <v>4.5999999999999999E-2</v>
      </c>
      <c r="G25" s="50">
        <f ca="1"/>
        <v>3.1199999999999999E-2</v>
      </c>
      <c r="H25" s="2" t="str">
        <f>G14</f>
        <v>kg N/head/day</v>
      </c>
      <c r="N25" s="50" cm="1">
        <f t="array" aca="1" ref="N25:Q25" ca="1">OFFSET(X_Table_Swine_ManureProduction_Method2,2,1,1,4)</f>
        <v>4.5999999999999999E-2</v>
      </c>
      <c r="O25" s="50">
        <f ca="1"/>
        <v>4.9000000000000002E-2</v>
      </c>
      <c r="P25" s="50">
        <f ca="1"/>
        <v>4.5999999999999999E-2</v>
      </c>
      <c r="Q25" s="50">
        <f ca="1"/>
        <v>3.1199999999999999E-2</v>
      </c>
      <c r="R25" s="2" t="str">
        <f>G14</f>
        <v>kg N/head/day</v>
      </c>
    </row>
    <row r="26" spans="1:18" ht="20.100000000000001" customHeight="1" x14ac:dyDescent="0.25">
      <c r="A26" s="17" t="str">
        <f>HYPERLINK("#'Tab template'!A1", "Tab template")</f>
        <v>Tab template</v>
      </c>
    </row>
    <row r="27" spans="1:18" ht="20.100000000000001" customHeight="1" x14ac:dyDescent="0.25">
      <c r="D27" s="117" t="s">
        <v>166</v>
      </c>
    </row>
    <row r="28" spans="1:18" ht="20.100000000000001" customHeight="1" x14ac:dyDescent="0.25">
      <c r="D28" s="118" t="s">
        <v>226</v>
      </c>
    </row>
    <row r="29" spans="1:18" ht="20.100000000000001" customHeight="1" x14ac:dyDescent="0.25">
      <c r="D29" s="115" t="s">
        <v>135</v>
      </c>
      <c r="E29" s="115" t="s">
        <v>136</v>
      </c>
      <c r="F29" s="115" t="s">
        <v>137</v>
      </c>
      <c r="G29" s="115" t="s">
        <v>195</v>
      </c>
    </row>
    <row r="30" spans="1:18" ht="20.100000000000001" customHeight="1" x14ac:dyDescent="0.25">
      <c r="D30" s="50" cm="1">
        <f t="array" aca="1" ref="D30:G30" ca="1">OFFSET(X_Table_Swine_HerdMovement,1,1,1,4)</f>
        <v>365</v>
      </c>
      <c r="E30" s="119">
        <f ca="1"/>
        <v>365</v>
      </c>
      <c r="F30" s="119">
        <f ca="1"/>
        <v>365</v>
      </c>
      <c r="G30" s="119">
        <f ca="1"/>
        <v>365</v>
      </c>
      <c r="H30" s="2" t="str">
        <f>G15</f>
        <v>days</v>
      </c>
    </row>
    <row r="31" spans="1:18" ht="20.100000000000001" customHeight="1" x14ac:dyDescent="0.25"/>
    <row r="32" spans="1:18" ht="20.100000000000001" customHeight="1" x14ac:dyDescent="0.25">
      <c r="D32" s="117" t="s">
        <v>288</v>
      </c>
      <c r="N32" s="117" t="s">
        <v>290</v>
      </c>
    </row>
    <row r="33" spans="3:18" ht="20.100000000000001" customHeight="1" x14ac:dyDescent="0.25">
      <c r="D33" s="118" t="s">
        <v>289</v>
      </c>
      <c r="N33" s="118" t="s">
        <v>291</v>
      </c>
    </row>
    <row r="34" spans="3:18" ht="20.100000000000001" customHeight="1" x14ac:dyDescent="0.25">
      <c r="D34" s="49" t="s">
        <v>135</v>
      </c>
      <c r="E34" s="49" t="s">
        <v>136</v>
      </c>
      <c r="F34" s="49" t="s">
        <v>137</v>
      </c>
      <c r="G34" s="49" t="s">
        <v>195</v>
      </c>
      <c r="N34" s="49" t="s">
        <v>135</v>
      </c>
      <c r="O34" s="49" t="s">
        <v>136</v>
      </c>
      <c r="P34" s="49" t="s">
        <v>137</v>
      </c>
      <c r="Q34" s="49" t="s">
        <v>195</v>
      </c>
    </row>
    <row r="35" spans="3:18" ht="20.100000000000001" customHeight="1" x14ac:dyDescent="0.25">
      <c r="D35" s="119" cm="1">
        <f t="array" aca="1" ref="D35" ca="1">MMS_Swine_N2ODirect_Equations.VEERG_4_5_1_3__5_AnnualNitrogenExcretion(D20,D25,D30)</f>
        <v>1678.9999999999998</v>
      </c>
      <c r="E35" s="119" cm="1">
        <f t="array" aca="1" ref="E35" ca="1">MMS_Swine_N2ODirect_Equations.VEERG_4_5_1_3__5_AnnualNitrogenExcretion(E20,E25,E30)</f>
        <v>1788.5000000000002</v>
      </c>
      <c r="F35" s="119" cm="1">
        <f t="array" aca="1" ref="F35" ca="1">MMS_Swine_N2ODirect_Equations.VEERG_4_5_1_3__5_AnnualNitrogenExcretion(F20,F25,F30)</f>
        <v>1678.9999999999998</v>
      </c>
      <c r="G35" s="119" cm="1">
        <f t="array" aca="1" ref="G35" ca="1">MMS_Swine_N2ODirect_Equations.VEERG_4_5_1_3__5_AnnualNitrogenExcretion(G20,G25,G30)</f>
        <v>1138.8</v>
      </c>
      <c r="H35" s="2" t="str">
        <f>$E$11</f>
        <v>kg N</v>
      </c>
      <c r="N35" s="119" cm="1">
        <f t="array" aca="1" ref="N35" ca="1">MMS_Swine_N2ODirect_Equations.VEERG_4_5_1_3__5_AnnualNitrogenExcretion(D20,N25,D30)</f>
        <v>1678.9999999999998</v>
      </c>
      <c r="O35" s="119" cm="1">
        <f t="array" aca="1" ref="O35" ca="1">MMS_Swine_N2ODirect_Equations.VEERG_4_5_1_3__5_AnnualNitrogenExcretion(E20,O25,E30)</f>
        <v>1788.5000000000002</v>
      </c>
      <c r="P35" s="119" cm="1">
        <f t="array" aca="1" ref="P35" ca="1">MMS_Swine_N2ODirect_Equations.VEERG_4_5_1_3__5_AnnualNitrogenExcretion(F20,P25,F30)</f>
        <v>1678.9999999999998</v>
      </c>
      <c r="Q35" s="119" cm="1">
        <f t="array" aca="1" ref="Q35" ca="1">MMS_Swine_N2ODirect_Equations.VEERG_4_5_1_3__5_AnnualNitrogenExcretion(G20,Q25,G30)</f>
        <v>1138.8</v>
      </c>
      <c r="R35" s="2" t="str">
        <f>$E$11</f>
        <v>kg N</v>
      </c>
    </row>
    <row r="36" spans="3:18" ht="20.100000000000001" customHeight="1" x14ac:dyDescent="0.25"/>
    <row r="37" spans="3:18" ht="20.100000000000001" customHeight="1" x14ac:dyDescent="0.25"/>
    <row r="38" spans="3:18" ht="20.100000000000001" customHeight="1" x14ac:dyDescent="0.25">
      <c r="C38" s="43"/>
      <c r="D38" s="43"/>
      <c r="E38" s="43"/>
      <c r="F38" s="43"/>
      <c r="G38" s="43"/>
      <c r="H38" s="43"/>
      <c r="I38" s="43"/>
      <c r="J38" s="43"/>
    </row>
    <row r="39" spans="3:18" ht="20.100000000000001" customHeight="1" x14ac:dyDescent="0.25">
      <c r="D39" s="6" t="str" cm="1">
        <f t="array" ref="D39">MMS_Swine_N2ODirect_Equations.VEERG_4_5_1_3__3_FractionOfNitrogenInPrimaryMMS_Title()</f>
        <v>Fraction of nitrogen in each primary MMS (excluding solid storage)</v>
      </c>
    </row>
    <row r="40" spans="3:18" ht="20.100000000000001" customHeight="1" x14ac:dyDescent="0.25">
      <c r="D40" s="5" t="str" cm="1">
        <f t="array" ref="D40">MMS_Swine_N2ODirect_Equations.VEERG_4_5_1_3__3_FractionOfNitrogenInPrimaryMMS_Source()</f>
        <v>VEERG 2026: 4.5.1.3, Equation (3)</v>
      </c>
    </row>
    <row r="41" spans="3:18" ht="20.100000000000001" customHeight="1" x14ac:dyDescent="0.25">
      <c r="D41" s="13" t="s">
        <v>23</v>
      </c>
      <c r="E41" s="13" t="str" cm="1">
        <f t="array" aca="1" ref="E41" ca="1">Common_InputFunctions.Utility_DisplayFunctionName($E$71)</f>
        <v>=MMS_Swine_N2ODirect_Equations.VEERG_4_5_1_3__3_FractionOfNitrogenInPrimaryMMS</v>
      </c>
    </row>
    <row r="42" spans="3:18" ht="20.100000000000001" customHeight="1" x14ac:dyDescent="0.25"/>
    <row r="43" spans="3:18" ht="20.100000000000001" customHeight="1" x14ac:dyDescent="0.25"/>
    <row r="44" spans="3:18" ht="20.100000000000001" customHeight="1" x14ac:dyDescent="0.25">
      <c r="D44" s="51" t="s">
        <v>26</v>
      </c>
      <c r="E44" s="1" t="str" cm="1">
        <f t="array" ref="E44">MMS_Swine_N2ODirect_Equations.VEERG_4_5_1_3__3_FractionOfNitrogenInPrimaryMMS_Variable()</f>
        <v>FN_jmT1</v>
      </c>
    </row>
    <row r="45" spans="3:18" ht="20.100000000000001" customHeight="1" x14ac:dyDescent="0.25">
      <c r="D45" s="51" t="s">
        <v>16</v>
      </c>
      <c r="E45" s="1" t="str" cm="1">
        <f t="array" ref="E45">MMS_Swine_N2ODirect_Equations.VEERG_4_5_1_3__3_FractionOfNitrogenInPrimaryMMS_Unit()</f>
        <v>fraction</v>
      </c>
    </row>
    <row r="46" spans="3:18" ht="20.100000000000001" customHeight="1" x14ac:dyDescent="0.25"/>
    <row r="47" spans="3:18" ht="20.100000000000001" customHeight="1" x14ac:dyDescent="0.25">
      <c r="D47" s="55" t="str" cm="1">
        <f t="array" ref="D47:E48">Common_InputFunctions.Utility_DisplayArguments_1_2(MMS_Swine_N2ODirect_Equations.VEERG_4_5_1_3__3_FractionOfNitrogenInPrimaryMMS_Arguments())</f>
        <v>MMS_jmT1</v>
      </c>
      <c r="E47" s="56" t="str">
        <v>fraction of manure in primary MMS</v>
      </c>
      <c r="F47" s="57"/>
      <c r="G47" s="136" t="str" cm="1">
        <f t="array" ref="G47:H48">Common_InputFunctions.Utility_DisplayArguments_3_4(MMS_Swine_N2ODirect_Equations.VEERG_4_5_1_3__3_FractionOfNitrogenInPrimaryMMS_Arguments())</f>
        <v>fraction</v>
      </c>
      <c r="H47" s="132" t="str">
        <v>Input</v>
      </c>
      <c r="I47" s="135" t="str" cm="1">
        <f t="array" aca="1" ref="I47" ca="1">HYPERLINK(Common_InputFunctions.Utility_SourceHyperlink(D50), D50)</f>
        <v>Table_MMS_j_m-1-7-9-8_T-1</v>
      </c>
    </row>
    <row r="48" spans="3:18" ht="20.100000000000001" customHeight="1" x14ac:dyDescent="0.25">
      <c r="D48" s="55" t="str">
        <v>SN_m</v>
      </c>
      <c r="E48" s="56" t="str">
        <v>fraction of nitrogen separated to solid storage for each MMS</v>
      </c>
      <c r="F48" s="57"/>
      <c r="G48" s="136" t="str">
        <v>fraction</v>
      </c>
      <c r="H48" s="132" t="str">
        <v>Input</v>
      </c>
      <c r="I48" s="135" t="str" cm="1">
        <f t="array" aca="1" ref="I48" ca="1">HYPERLINK(Common_InputFunctions.Utility_SourceHyperlink(D59), D59)</f>
        <v>M1_Table_SN_m-1-7-9</v>
      </c>
    </row>
    <row r="49" spans="4:19" ht="20.100000000000001" customHeight="1" x14ac:dyDescent="0.25"/>
    <row r="50" spans="4:19" ht="20.100000000000001" customHeight="1" x14ac:dyDescent="0.25">
      <c r="D50" s="117" t="s">
        <v>154</v>
      </c>
    </row>
    <row r="51" spans="4:19" ht="20.100000000000001" customHeight="1" x14ac:dyDescent="0.25">
      <c r="D51" s="118" t="s">
        <v>227</v>
      </c>
    </row>
    <row r="52" spans="4:19" ht="20.100000000000001" customHeight="1" x14ac:dyDescent="0.25">
      <c r="D52" s="115" t="s">
        <v>156</v>
      </c>
      <c r="E52" s="115" t="s">
        <v>135</v>
      </c>
      <c r="F52" s="115" t="s">
        <v>136</v>
      </c>
      <c r="G52" s="115" t="s">
        <v>137</v>
      </c>
      <c r="H52" s="115" t="s">
        <v>195</v>
      </c>
    </row>
    <row r="53" spans="4:19" ht="20.100000000000001" customHeight="1" x14ac:dyDescent="0.25">
      <c r="D53" s="55" t="str">
        <f>INDEX(X_Table_Swine_Stage1MMS_AnaerobicLagoon,2,1)</f>
        <v>Anaerobic lagoon</v>
      </c>
      <c r="E53" s="50" cm="1">
        <f t="array" aca="1" ref="E53:H53" ca="1">OFFSET(X_Table_Swine_Stage1MMS_AnaerobicLagoon,1,1,1,4)</f>
        <v>0.15</v>
      </c>
      <c r="F53" s="50">
        <f ca="1"/>
        <v>0.15</v>
      </c>
      <c r="G53" s="50">
        <f ca="1"/>
        <v>0.15</v>
      </c>
      <c r="H53" s="50">
        <f ca="1"/>
        <v>0.15</v>
      </c>
      <c r="I53" s="2" t="str">
        <f>G47</f>
        <v>fraction</v>
      </c>
    </row>
    <row r="54" spans="4:19" ht="20.100000000000001" customHeight="1" x14ac:dyDescent="0.25">
      <c r="D54" s="55" t="str">
        <f>INDEX(X_Table_Swine_Stage1MMS_Drylot,2,1)</f>
        <v>Drylot (feed pad)</v>
      </c>
      <c r="E54" s="50" cm="1">
        <f t="array" aca="1" ref="E54:H54" ca="1">OFFSET(X_Table_Swine_Stage1MMS_Drylot,1,1,1,4)</f>
        <v>0.15</v>
      </c>
      <c r="F54" s="50">
        <f ca="1"/>
        <v>0.15</v>
      </c>
      <c r="G54" s="50">
        <f ca="1"/>
        <v>0.15</v>
      </c>
      <c r="H54" s="50">
        <f ca="1"/>
        <v>0.15</v>
      </c>
      <c r="I54" s="2"/>
    </row>
    <row r="55" spans="4:19" ht="20.100000000000001" customHeight="1" x14ac:dyDescent="0.25">
      <c r="D55" s="55" t="str">
        <f>INDEX(X_Table_Swine_Stage1MMS_DigesterCoveredLagoons,2,1)</f>
        <v>Digester / covered lagoons</v>
      </c>
      <c r="E55" s="50" cm="1">
        <f t="array" aca="1" ref="E55:H55" ca="1">OFFSET(X_Table_Swine_Stage1MMS_DigesterCoveredLagoons,1,1,1,4)</f>
        <v>0.15</v>
      </c>
      <c r="F55" s="50">
        <f ca="1"/>
        <v>0.15</v>
      </c>
      <c r="G55" s="50">
        <f ca="1"/>
        <v>0.15</v>
      </c>
      <c r="H55" s="50">
        <f ca="1"/>
        <v>0.15</v>
      </c>
      <c r="I55" s="2"/>
    </row>
    <row r="56" spans="4:19" ht="20.100000000000001" customHeight="1" x14ac:dyDescent="0.25">
      <c r="D56" s="55" t="str">
        <f>INDEX(X_Table_Swine_Stage1MMS_DeepLitter,2,1)</f>
        <v>Deep litter</v>
      </c>
      <c r="E56" s="50" cm="1">
        <f t="array" aca="1" ref="E56:H56" ca="1">OFFSET(X_Table_Swine_Stage1MMS_DeepLitter,1,1,1,4)</f>
        <v>0.15</v>
      </c>
      <c r="F56" s="50">
        <f ca="1"/>
        <v>0.15</v>
      </c>
      <c r="G56" s="50">
        <f ca="1"/>
        <v>0.15</v>
      </c>
      <c r="H56" s="50">
        <f ca="1"/>
        <v>0.15</v>
      </c>
      <c r="I56" s="2"/>
    </row>
    <row r="57" spans="4:19" ht="20.100000000000001" customHeight="1" x14ac:dyDescent="0.25">
      <c r="D57" s="55" t="str">
        <f>INDEX(X_Table_Swine_Stage1MMS_PitStorage,2,1)</f>
        <v>Pit storage</v>
      </c>
      <c r="E57" s="50" cm="1">
        <f t="array" aca="1" ref="E57:H57" ca="1">OFFSET(X_Table_Swine_Stage1MMS_PitStorage,1,1,1,4)</f>
        <v>0.15</v>
      </c>
      <c r="F57" s="50">
        <f ca="1"/>
        <v>0.15</v>
      </c>
      <c r="G57" s="50">
        <f ca="1"/>
        <v>0.15</v>
      </c>
      <c r="H57" s="50">
        <f ca="1"/>
        <v>0.15</v>
      </c>
      <c r="I57" s="2"/>
    </row>
    <row r="58" spans="4:19" ht="20.100000000000001" customHeight="1" x14ac:dyDescent="0.25"/>
    <row r="59" spans="4:19" ht="20.100000000000001" customHeight="1" x14ac:dyDescent="0.25">
      <c r="D59" s="117" t="s">
        <v>228</v>
      </c>
      <c r="N59" s="117" t="s">
        <v>255</v>
      </c>
    </row>
    <row r="60" spans="4:19" ht="20.100000000000001" customHeight="1" x14ac:dyDescent="0.25">
      <c r="D60" s="118" t="s">
        <v>229</v>
      </c>
      <c r="N60" s="118" t="s">
        <v>256</v>
      </c>
    </row>
    <row r="61" spans="4:19" ht="20.100000000000001" customHeight="1" x14ac:dyDescent="0.25">
      <c r="D61" s="115" t="s">
        <v>156</v>
      </c>
      <c r="E61" s="115" t="s">
        <v>135</v>
      </c>
      <c r="F61" s="115" t="s">
        <v>136</v>
      </c>
      <c r="G61" s="115" t="s">
        <v>137</v>
      </c>
      <c r="H61" s="115" t="s">
        <v>195</v>
      </c>
      <c r="N61" s="115" t="s">
        <v>156</v>
      </c>
      <c r="O61" s="115" t="s">
        <v>135</v>
      </c>
      <c r="P61" s="115" t="s">
        <v>136</v>
      </c>
      <c r="Q61" s="115" t="s">
        <v>137</v>
      </c>
      <c r="R61" s="115" t="s">
        <v>195</v>
      </c>
    </row>
    <row r="62" spans="4:19" ht="20.100000000000001" customHeight="1" x14ac:dyDescent="0.25">
      <c r="D62" s="55" t="str">
        <f>INDEX(X_Table_Swine_Stage1MMS_AnaerobicLagoon,2,1)</f>
        <v>Anaerobic lagoon</v>
      </c>
      <c r="E62" s="50">
        <f>X_Cell_Swine_Stage1MMS_AnaerobicLagoon_AmountSeparated_Method1</f>
        <v>0.2</v>
      </c>
      <c r="F62" s="50">
        <f>X_Cell_Swine_Stage1MMS_AnaerobicLagoon_AmountSeparated_Method1</f>
        <v>0.2</v>
      </c>
      <c r="G62" s="50">
        <f>X_Cell_Swine_Stage1MMS_AnaerobicLagoon_AmountSeparated_Method1</f>
        <v>0.2</v>
      </c>
      <c r="H62" s="50">
        <f>X_Cell_Swine_Stage1MMS_AnaerobicLagoon_AmountSeparated_Method1</f>
        <v>0.2</v>
      </c>
      <c r="I62" s="2" t="str">
        <f>G48</f>
        <v>fraction</v>
      </c>
      <c r="N62" s="55" t="str">
        <f>INDEX(X_Table_Swine_Stage1MMS_AnaerobicLagoon,2,1)</f>
        <v>Anaerobic lagoon</v>
      </c>
      <c r="O62" s="50">
        <f>X_Cell_Swine_Stage1MMS_AnaerobicLagoon_AmountSeparated_Method2</f>
        <v>0.2</v>
      </c>
      <c r="P62" s="50">
        <f>X_Cell_Swine_Stage1MMS_AnaerobicLagoon_AmountSeparated_Method2</f>
        <v>0.2</v>
      </c>
      <c r="Q62" s="50">
        <f>X_Cell_Swine_Stage1MMS_AnaerobicLagoon_AmountSeparated_Method2</f>
        <v>0.2</v>
      </c>
      <c r="R62" s="50">
        <f>X_Cell_Swine_Stage1MMS_AnaerobicLagoon_AmountSeparated_Method2</f>
        <v>0.2</v>
      </c>
      <c r="S62" s="2" t="str">
        <f>G48</f>
        <v>fraction</v>
      </c>
    </row>
    <row r="63" spans="4:19" ht="20.100000000000001" customHeight="1" x14ac:dyDescent="0.25">
      <c r="D63" s="55" t="str">
        <f>INDEX(X_Table_Swine_Stage1MMS_Drylot,2,1)</f>
        <v>Drylot (feed pad)</v>
      </c>
      <c r="E63" s="50">
        <f>X_Cell_Swine_Stage1MMS_Drylot_AmountSeparated_Method1</f>
        <v>0.2</v>
      </c>
      <c r="F63" s="50">
        <f>X_Cell_Swine_Stage1MMS_Drylot_AmountSeparated_Method1</f>
        <v>0.2</v>
      </c>
      <c r="G63" s="50">
        <f>X_Cell_Swine_Stage1MMS_Drylot_AmountSeparated_Method1</f>
        <v>0.2</v>
      </c>
      <c r="H63" s="50">
        <f>X_Cell_Swine_Stage1MMS_Drylot_AmountSeparated_Method1</f>
        <v>0.2</v>
      </c>
      <c r="I63" s="2"/>
      <c r="N63" s="55" t="str">
        <f>INDEX(X_Table_Swine_Stage1MMS_Drylot,2,1)</f>
        <v>Drylot (feed pad)</v>
      </c>
      <c r="O63" s="50">
        <f>X_Cell_Swine_Stage1MMS_Drylot_AmountSeparated_Method2</f>
        <v>0.2</v>
      </c>
      <c r="P63" s="50">
        <f>X_Cell_Swine_Stage1MMS_Drylot_AmountSeparated_Method2</f>
        <v>0.2</v>
      </c>
      <c r="Q63" s="50">
        <f>X_Cell_Swine_Stage1MMS_Drylot_AmountSeparated_Method2</f>
        <v>0.2</v>
      </c>
      <c r="R63" s="50">
        <f>X_Cell_Swine_Stage1MMS_Drylot_AmountSeparated_Method2</f>
        <v>0.2</v>
      </c>
      <c r="S63" s="2"/>
    </row>
    <row r="64" spans="4:19" ht="20.100000000000001" customHeight="1" x14ac:dyDescent="0.25">
      <c r="D64" s="55" t="str">
        <f>INDEX(X_Table_Swine_Stage1MMS_DigesterCoveredLagoons,2,1)</f>
        <v>Digester / covered lagoons</v>
      </c>
      <c r="E64" s="50">
        <f>X_Cell_Swine_Stage1MMS_DigesterCoveredLagoons_AmountSeparated_Method1</f>
        <v>0.2</v>
      </c>
      <c r="F64" s="50">
        <f>X_Cell_Swine_Stage1MMS_DigesterCoveredLagoons_AmountSeparated_Method1</f>
        <v>0.2</v>
      </c>
      <c r="G64" s="50">
        <f>X_Cell_Swine_Stage1MMS_DigesterCoveredLagoons_AmountSeparated_Method1</f>
        <v>0.2</v>
      </c>
      <c r="H64" s="50">
        <f>X_Cell_Swine_Stage1MMS_DigesterCoveredLagoons_AmountSeparated_Method1</f>
        <v>0.2</v>
      </c>
      <c r="I64" s="2"/>
      <c r="N64" s="55" t="str">
        <f>INDEX(X_Table_Swine_Stage1MMS_DigesterCoveredLagoons,2,1)</f>
        <v>Digester / covered lagoons</v>
      </c>
      <c r="O64" s="50">
        <f>X_Cell_Swine_Stage1MMS_DigesterCoveredLagoons_AmountSeparated_Method2</f>
        <v>0.2</v>
      </c>
      <c r="P64" s="50">
        <f>X_Cell_Swine_Stage1MMS_DigesterCoveredLagoons_AmountSeparated_Method2</f>
        <v>0.2</v>
      </c>
      <c r="Q64" s="50">
        <f>X_Cell_Swine_Stage1MMS_DigesterCoveredLagoons_AmountSeparated_Method2</f>
        <v>0.2</v>
      </c>
      <c r="R64" s="50">
        <f>X_Cell_Swine_Stage1MMS_DigesterCoveredLagoons_AmountSeparated_Method2</f>
        <v>0.2</v>
      </c>
      <c r="S64" s="2"/>
    </row>
    <row r="65" spans="3:21" ht="20.100000000000001" customHeight="1" x14ac:dyDescent="0.25">
      <c r="D65" s="55" t="str">
        <f>INDEX(X_Table_Swine_Stage1MMS_DeepLitter,2,1)</f>
        <v>Deep litter</v>
      </c>
      <c r="E65" s="50">
        <f>X_Cell_Swine_Stage1MMS_DeepLitter_AmountSeparated_Method1</f>
        <v>0.2</v>
      </c>
      <c r="F65" s="50">
        <f>X_Cell_Swine_Stage1MMS_DeepLitter_AmountSeparated_Method1</f>
        <v>0.2</v>
      </c>
      <c r="G65" s="50">
        <f>X_Cell_Swine_Stage1MMS_DeepLitter_AmountSeparated_Method1</f>
        <v>0.2</v>
      </c>
      <c r="H65" s="50">
        <f>X_Cell_Swine_Stage1MMS_DeepLitter_AmountSeparated_Method1</f>
        <v>0.2</v>
      </c>
      <c r="I65" s="2"/>
      <c r="N65" s="55" t="str">
        <f>INDEX(X_Table_Swine_Stage1MMS_DeepLitter,2,1)</f>
        <v>Deep litter</v>
      </c>
      <c r="O65" s="50">
        <f>X_Cell_Swine_Stage1MMS_DeepLitter_AmountSeparated_Method2</f>
        <v>0.2</v>
      </c>
      <c r="P65" s="50">
        <f>X_Cell_Swine_Stage1MMS_DeepLitter_AmountSeparated_Method2</f>
        <v>0.2</v>
      </c>
      <c r="Q65" s="50">
        <f>X_Cell_Swine_Stage1MMS_DeepLitter_AmountSeparated_Method2</f>
        <v>0.2</v>
      </c>
      <c r="R65" s="50">
        <f>X_Cell_Swine_Stage1MMS_DeepLitter_AmountSeparated_Method2</f>
        <v>0.2</v>
      </c>
      <c r="S65" s="2"/>
    </row>
    <row r="66" spans="3:21" ht="20.100000000000001" customHeight="1" x14ac:dyDescent="0.25">
      <c r="D66" s="55" t="str">
        <f>INDEX(X_Table_Swine_Stage1MMS_PitStorage,2,1)</f>
        <v>Pit storage</v>
      </c>
      <c r="E66" s="50">
        <f>X_Cell_Swine_Stage1MMS_PitStorage_AmountSeparated_Method1</f>
        <v>0.2</v>
      </c>
      <c r="F66" s="50">
        <f>X_Cell_Swine_Stage1MMS_PitStorage_AmountSeparated_Method1</f>
        <v>0.2</v>
      </c>
      <c r="G66" s="50">
        <f>X_Cell_Swine_Stage1MMS_PitStorage_AmountSeparated_Method1</f>
        <v>0.2</v>
      </c>
      <c r="H66" s="50">
        <f>X_Cell_Swine_Stage1MMS_PitStorage_AmountSeparated_Method1</f>
        <v>0.2</v>
      </c>
      <c r="I66" s="2"/>
      <c r="N66" s="55" t="str">
        <f>INDEX(X_Table_Swine_Stage1MMS_PitStorage,2,1)</f>
        <v>Pit storage</v>
      </c>
      <c r="O66" s="50">
        <f>X_Cell_Swine_Stage1MMS_PitStorage_AmountSeparated_Method2</f>
        <v>0.2</v>
      </c>
      <c r="P66" s="50">
        <f>X_Cell_Swine_Stage1MMS_PitStorage_AmountSeparated_Method2</f>
        <v>0.2</v>
      </c>
      <c r="Q66" s="50">
        <f>X_Cell_Swine_Stage1MMS_PitStorage_AmountSeparated_Method2</f>
        <v>0.2</v>
      </c>
      <c r="R66" s="50">
        <f>X_Cell_Swine_Stage1MMS_PitStorage_AmountSeparated_Method2</f>
        <v>0.2</v>
      </c>
      <c r="S66" s="2"/>
    </row>
    <row r="67" spans="3:21" ht="20.100000000000001" customHeight="1" x14ac:dyDescent="0.25"/>
    <row r="68" spans="3:21" ht="20.100000000000001" customHeight="1" x14ac:dyDescent="0.25">
      <c r="D68" s="117" t="s">
        <v>230</v>
      </c>
      <c r="N68" s="117" t="s">
        <v>261</v>
      </c>
    </row>
    <row r="69" spans="3:21" ht="20.100000000000001" customHeight="1" x14ac:dyDescent="0.25">
      <c r="D69" s="118" t="s">
        <v>235</v>
      </c>
      <c r="N69" s="118" t="s">
        <v>262</v>
      </c>
    </row>
    <row r="70" spans="3:21" ht="20.100000000000001" customHeight="1" x14ac:dyDescent="0.25">
      <c r="D70" s="49" t="s">
        <v>156</v>
      </c>
      <c r="E70" s="49" t="s">
        <v>135</v>
      </c>
      <c r="F70" s="49" t="s">
        <v>136</v>
      </c>
      <c r="G70" s="49" t="s">
        <v>137</v>
      </c>
      <c r="H70" s="49" t="s">
        <v>195</v>
      </c>
      <c r="N70" s="49" t="s">
        <v>156</v>
      </c>
      <c r="O70" s="49" t="s">
        <v>135</v>
      </c>
      <c r="P70" s="49" t="s">
        <v>136</v>
      </c>
      <c r="Q70" s="49" t="s">
        <v>137</v>
      </c>
      <c r="R70" s="49" t="s">
        <v>195</v>
      </c>
    </row>
    <row r="71" spans="3:21" ht="20.100000000000001" customHeight="1" x14ac:dyDescent="0.25">
      <c r="D71" s="55" t="str">
        <f>INDEX(X_Table_Swine_Stage1MMS_AnaerobicLagoon,2,1)</f>
        <v>Anaerobic lagoon</v>
      </c>
      <c r="E71" s="50" cm="1">
        <f t="array" aca="1" ref="E71" ca="1">MMS_Swine_N2ODirect_Equations.VEERG_4_5_1_3__3_FractionOfNitrogenInPrimaryMMS(E53,E62)</f>
        <v>0.12</v>
      </c>
      <c r="F71" s="50" cm="1">
        <f t="array" aca="1" ref="F71" ca="1">MMS_Swine_N2ODirect_Equations.VEERG_4_5_1_3__3_FractionOfNitrogenInPrimaryMMS(F53,F62)</f>
        <v>0.12</v>
      </c>
      <c r="G71" s="50" cm="1">
        <f t="array" aca="1" ref="G71" ca="1">MMS_Swine_N2ODirect_Equations.VEERG_4_5_1_3__3_FractionOfNitrogenInPrimaryMMS(G53,G62)</f>
        <v>0.12</v>
      </c>
      <c r="H71" s="50" cm="1">
        <f t="array" aca="1" ref="H71" ca="1">MMS_Swine_N2ODirect_Equations.VEERG_4_5_1_3__3_FractionOfNitrogenInPrimaryMMS(H53,H62)</f>
        <v>0.12</v>
      </c>
      <c r="I71" s="2" t="str">
        <f>$E$45</f>
        <v>fraction</v>
      </c>
      <c r="N71" s="55" t="str">
        <f>INDEX(X_Table_Swine_Stage1MMS_AnaerobicLagoon,2,1)</f>
        <v>Anaerobic lagoon</v>
      </c>
      <c r="O71" s="50" cm="1">
        <f t="array" aca="1" ref="O71" ca="1">MMS_Swine_N2ODirect_Equations.VEERG_4_5_1_3__3_FractionOfNitrogenInPrimaryMMS(E53,O62)</f>
        <v>0.12</v>
      </c>
      <c r="P71" s="50" cm="1">
        <f t="array" aca="1" ref="P71" ca="1">MMS_Swine_N2ODirect_Equations.VEERG_4_5_1_3__3_FractionOfNitrogenInPrimaryMMS(F53,P62)</f>
        <v>0.12</v>
      </c>
      <c r="Q71" s="50" cm="1">
        <f t="array" aca="1" ref="Q71" ca="1">MMS_Swine_N2ODirect_Equations.VEERG_4_5_1_3__3_FractionOfNitrogenInPrimaryMMS(G53,Q62)</f>
        <v>0.12</v>
      </c>
      <c r="R71" s="50" cm="1">
        <f t="array" aca="1" ref="R71" ca="1">MMS_Swine_N2ODirect_Equations.VEERG_4_5_1_3__3_FractionOfNitrogenInPrimaryMMS(H53,R62)</f>
        <v>0.12</v>
      </c>
      <c r="S71" s="2" t="str">
        <f>$E$45</f>
        <v>fraction</v>
      </c>
    </row>
    <row r="72" spans="3:21" ht="20.100000000000001" customHeight="1" x14ac:dyDescent="0.25">
      <c r="D72" s="55" t="str">
        <f>INDEX(X_Table_Swine_Stage1MMS_Drylot,2,1)</f>
        <v>Drylot (feed pad)</v>
      </c>
      <c r="E72" s="50" cm="1">
        <f t="array" aca="1" ref="E72" ca="1">MMS_Swine_N2ODirect_Equations.VEERG_4_5_1_3__3_FractionOfNitrogenInPrimaryMMS(E54,E63)</f>
        <v>0.12</v>
      </c>
      <c r="F72" s="50" cm="1">
        <f t="array" aca="1" ref="F72" ca="1">MMS_Swine_N2ODirect_Equations.VEERG_4_5_1_3__3_FractionOfNitrogenInPrimaryMMS(F54,F63)</f>
        <v>0.12</v>
      </c>
      <c r="G72" s="50" cm="1">
        <f t="array" aca="1" ref="G72" ca="1">MMS_Swine_N2ODirect_Equations.VEERG_4_5_1_3__3_FractionOfNitrogenInPrimaryMMS(G54,G63)</f>
        <v>0.12</v>
      </c>
      <c r="H72" s="50" cm="1">
        <f t="array" aca="1" ref="H72" ca="1">MMS_Swine_N2ODirect_Equations.VEERG_4_5_1_3__3_FractionOfNitrogenInPrimaryMMS(H54,H63)</f>
        <v>0.12</v>
      </c>
      <c r="I72" s="2"/>
      <c r="N72" s="55" t="str">
        <f>INDEX(X_Table_Swine_Stage1MMS_Drylot,2,1)</f>
        <v>Drylot (feed pad)</v>
      </c>
      <c r="O72" s="50" cm="1">
        <f t="array" aca="1" ref="O72" ca="1">MMS_Swine_N2ODirect_Equations.VEERG_4_5_1_3__3_FractionOfNitrogenInPrimaryMMS(E54,O63)</f>
        <v>0.12</v>
      </c>
      <c r="P72" s="50" cm="1">
        <f t="array" aca="1" ref="P72" ca="1">MMS_Swine_N2ODirect_Equations.VEERG_4_5_1_3__3_FractionOfNitrogenInPrimaryMMS(F54,P63)</f>
        <v>0.12</v>
      </c>
      <c r="Q72" s="50" cm="1">
        <f t="array" aca="1" ref="Q72" ca="1">MMS_Swine_N2ODirect_Equations.VEERG_4_5_1_3__3_FractionOfNitrogenInPrimaryMMS(G54,Q63)</f>
        <v>0.12</v>
      </c>
      <c r="R72" s="50" cm="1">
        <f t="array" aca="1" ref="R72" ca="1">MMS_Swine_N2ODirect_Equations.VEERG_4_5_1_3__3_FractionOfNitrogenInPrimaryMMS(H54,R63)</f>
        <v>0.12</v>
      </c>
      <c r="S72" s="2"/>
    </row>
    <row r="73" spans="3:21" ht="20.100000000000001" customHeight="1" x14ac:dyDescent="0.25">
      <c r="D73" s="55" t="str">
        <f>INDEX(X_Table_Swine_Stage1MMS_DigesterCoveredLagoons,2,1)</f>
        <v>Digester / covered lagoons</v>
      </c>
      <c r="E73" s="50" cm="1">
        <f t="array" aca="1" ref="E73" ca="1">MMS_Swine_N2ODirect_Equations.VEERG_4_5_1_3__3_FractionOfNitrogenInPrimaryMMS(E55,E64)</f>
        <v>0.12</v>
      </c>
      <c r="F73" s="50" cm="1">
        <f t="array" aca="1" ref="F73" ca="1">MMS_Swine_N2ODirect_Equations.VEERG_4_5_1_3__3_FractionOfNitrogenInPrimaryMMS(F55,F64)</f>
        <v>0.12</v>
      </c>
      <c r="G73" s="50" cm="1">
        <f t="array" aca="1" ref="G73" ca="1">MMS_Swine_N2ODirect_Equations.VEERG_4_5_1_3__3_FractionOfNitrogenInPrimaryMMS(G55,G64)</f>
        <v>0.12</v>
      </c>
      <c r="H73" s="50" cm="1">
        <f t="array" aca="1" ref="H73" ca="1">MMS_Swine_N2ODirect_Equations.VEERG_4_5_1_3__3_FractionOfNitrogenInPrimaryMMS(H55,H64)</f>
        <v>0.12</v>
      </c>
      <c r="I73" s="2"/>
      <c r="N73" s="55" t="str">
        <f>INDEX(X_Table_Swine_Stage1MMS_DigesterCoveredLagoons,2,1)</f>
        <v>Digester / covered lagoons</v>
      </c>
      <c r="O73" s="50" cm="1">
        <f t="array" aca="1" ref="O73" ca="1">MMS_Swine_N2ODirect_Equations.VEERG_4_5_1_3__3_FractionOfNitrogenInPrimaryMMS(E55,O64)</f>
        <v>0.12</v>
      </c>
      <c r="P73" s="50" cm="1">
        <f t="array" aca="1" ref="P73" ca="1">MMS_Swine_N2ODirect_Equations.VEERG_4_5_1_3__3_FractionOfNitrogenInPrimaryMMS(F55,P64)</f>
        <v>0.12</v>
      </c>
      <c r="Q73" s="50" cm="1">
        <f t="array" aca="1" ref="Q73" ca="1">MMS_Swine_N2ODirect_Equations.VEERG_4_5_1_3__3_FractionOfNitrogenInPrimaryMMS(G55,Q64)</f>
        <v>0.12</v>
      </c>
      <c r="R73" s="50" cm="1">
        <f t="array" aca="1" ref="R73" ca="1">MMS_Swine_N2ODirect_Equations.VEERG_4_5_1_3__3_FractionOfNitrogenInPrimaryMMS(H55,R64)</f>
        <v>0.12</v>
      </c>
      <c r="S73" s="2"/>
    </row>
    <row r="74" spans="3:21" ht="20.100000000000001" customHeight="1" x14ac:dyDescent="0.25">
      <c r="D74" s="55" t="str">
        <f>INDEX(X_Table_Swine_Stage1MMS_DeepLitter,2,1)</f>
        <v>Deep litter</v>
      </c>
      <c r="E74" s="50" cm="1">
        <f t="array" aca="1" ref="E74" ca="1">MMS_Swine_N2ODirect_Equations.VEERG_4_5_1_3__3_FractionOfNitrogenInPrimaryMMS(E56,E65)</f>
        <v>0.12</v>
      </c>
      <c r="F74" s="50" cm="1">
        <f t="array" aca="1" ref="F74" ca="1">MMS_Swine_N2ODirect_Equations.VEERG_4_5_1_3__3_FractionOfNitrogenInPrimaryMMS(F56,F65)</f>
        <v>0.12</v>
      </c>
      <c r="G74" s="50" cm="1">
        <f t="array" aca="1" ref="G74" ca="1">MMS_Swine_N2ODirect_Equations.VEERG_4_5_1_3__3_FractionOfNitrogenInPrimaryMMS(G56,G65)</f>
        <v>0.12</v>
      </c>
      <c r="H74" s="50" cm="1">
        <f t="array" aca="1" ref="H74" ca="1">MMS_Swine_N2ODirect_Equations.VEERG_4_5_1_3__3_FractionOfNitrogenInPrimaryMMS(H56,H65)</f>
        <v>0.12</v>
      </c>
      <c r="I74" s="2"/>
      <c r="N74" s="55" t="str">
        <f>INDEX(X_Table_Swine_Stage1MMS_DeepLitter,2,1)</f>
        <v>Deep litter</v>
      </c>
      <c r="O74" s="50" cm="1">
        <f t="array" aca="1" ref="O74" ca="1">MMS_Swine_N2ODirect_Equations.VEERG_4_5_1_3__3_FractionOfNitrogenInPrimaryMMS(E56,O65)</f>
        <v>0.12</v>
      </c>
      <c r="P74" s="50" cm="1">
        <f t="array" aca="1" ref="P74" ca="1">MMS_Swine_N2ODirect_Equations.VEERG_4_5_1_3__3_FractionOfNitrogenInPrimaryMMS(F56,P65)</f>
        <v>0.12</v>
      </c>
      <c r="Q74" s="50" cm="1">
        <f t="array" aca="1" ref="Q74" ca="1">MMS_Swine_N2ODirect_Equations.VEERG_4_5_1_3__3_FractionOfNitrogenInPrimaryMMS(G56,Q65)</f>
        <v>0.12</v>
      </c>
      <c r="R74" s="50" cm="1">
        <f t="array" aca="1" ref="R74" ca="1">MMS_Swine_N2ODirect_Equations.VEERG_4_5_1_3__3_FractionOfNitrogenInPrimaryMMS(H56,R65)</f>
        <v>0.12</v>
      </c>
      <c r="S74" s="2"/>
    </row>
    <row r="75" spans="3:21" ht="20.100000000000001" customHeight="1" x14ac:dyDescent="0.25">
      <c r="D75" s="55" t="str">
        <f>INDEX(X_Table_Swine_Stage1MMS_PitStorage,2,1)</f>
        <v>Pit storage</v>
      </c>
      <c r="E75" s="50" cm="1">
        <f t="array" aca="1" ref="E75" ca="1">MMS_Swine_N2ODirect_Equations.VEERG_4_5_1_3__3_FractionOfNitrogenInPrimaryMMS(E57,E66)</f>
        <v>0.12</v>
      </c>
      <c r="F75" s="50" cm="1">
        <f t="array" aca="1" ref="F75" ca="1">MMS_Swine_N2ODirect_Equations.VEERG_4_5_1_3__3_FractionOfNitrogenInPrimaryMMS(F57,F66)</f>
        <v>0.12</v>
      </c>
      <c r="G75" s="50" cm="1">
        <f t="array" aca="1" ref="G75" ca="1">MMS_Swine_N2ODirect_Equations.VEERG_4_5_1_3__3_FractionOfNitrogenInPrimaryMMS(G57,G66)</f>
        <v>0.12</v>
      </c>
      <c r="H75" s="50" cm="1">
        <f t="array" aca="1" ref="H75" ca="1">MMS_Swine_N2ODirect_Equations.VEERG_4_5_1_3__3_FractionOfNitrogenInPrimaryMMS(H57,H66)</f>
        <v>0.12</v>
      </c>
      <c r="I75" s="2"/>
      <c r="N75" s="55" t="str">
        <f>INDEX(X_Table_Swine_Stage1MMS_PitStorage,2,1)</f>
        <v>Pit storage</v>
      </c>
      <c r="O75" s="50" cm="1">
        <f t="array" aca="1" ref="O75" ca="1">MMS_Swine_N2ODirect_Equations.VEERG_4_5_1_3__3_FractionOfNitrogenInPrimaryMMS(E57,O66)</f>
        <v>0.12</v>
      </c>
      <c r="P75" s="50" cm="1">
        <f t="array" aca="1" ref="P75" ca="1">MMS_Swine_N2ODirect_Equations.VEERG_4_5_1_3__3_FractionOfNitrogenInPrimaryMMS(F57,P66)</f>
        <v>0.12</v>
      </c>
      <c r="Q75" s="50" cm="1">
        <f t="array" aca="1" ref="Q75" ca="1">MMS_Swine_N2ODirect_Equations.VEERG_4_5_1_3__3_FractionOfNitrogenInPrimaryMMS(G57,Q66)</f>
        <v>0.12</v>
      </c>
      <c r="R75" s="50" cm="1">
        <f t="array" aca="1" ref="R75" ca="1">MMS_Swine_N2ODirect_Equations.VEERG_4_5_1_3__3_FractionOfNitrogenInPrimaryMMS(H57,R66)</f>
        <v>0.12</v>
      </c>
      <c r="S75" s="2"/>
    </row>
    <row r="76" spans="3:21" ht="20.100000000000001" customHeight="1" x14ac:dyDescent="0.25"/>
    <row r="77" spans="3:21" ht="20.100000000000001" customHeight="1" x14ac:dyDescent="0.25"/>
    <row r="78" spans="3:21" ht="20.100000000000001" customHeight="1" x14ac:dyDescent="0.25">
      <c r="C78" s="43"/>
      <c r="D78" s="43"/>
      <c r="E78" s="43"/>
      <c r="F78" s="43"/>
      <c r="G78" s="43"/>
      <c r="H78" s="43"/>
      <c r="I78" s="43"/>
      <c r="J78" s="43"/>
      <c r="K78" s="43"/>
      <c r="M78" s="43"/>
      <c r="N78" s="43"/>
      <c r="O78" s="43"/>
      <c r="P78" s="43"/>
      <c r="Q78" s="43"/>
      <c r="R78" s="43"/>
      <c r="S78" s="43"/>
      <c r="T78" s="43"/>
      <c r="U78" s="43"/>
    </row>
    <row r="79" spans="3:21" ht="20.100000000000001" customHeight="1" x14ac:dyDescent="0.25">
      <c r="D79" s="6" t="str" cm="1">
        <f t="array" ref="D79">MMS_Swine_N2ODirect_Equations.VEERG_4_5_1_3__4_FractionOfNitrogenInSolidStorage_Title()</f>
        <v>Fraction of nitrogen in solid storage</v>
      </c>
    </row>
    <row r="80" spans="3:21" ht="20.100000000000001" customHeight="1" x14ac:dyDescent="0.25">
      <c r="D80" s="5" t="str" cm="1">
        <f t="array" ref="D80">MMS_Swine_N2ODirect_Equations.VEERG_4_5_1_3__4_FractionOfNitrogenInSolidStorage_Source()</f>
        <v>VEERG 2026: 4.5.1.3, Equation (4)</v>
      </c>
    </row>
    <row r="81" spans="4:9" ht="20.100000000000001" customHeight="1" x14ac:dyDescent="0.25">
      <c r="D81" s="53" t="str" cm="1">
        <f t="array" ref="D81">MMS_Swine_N2ODirect_Equations.VEERG_4_5_1_3__4_FractionOfNitrogenInSolidStorage_Variation()</f>
        <v>VARIATION ON SOURCE: Split equation for MMSm=1,7,9 into separate items to allow for calculation</v>
      </c>
    </row>
    <row r="82" spans="4:9" ht="20.100000000000001" customHeight="1" x14ac:dyDescent="0.25">
      <c r="D82" s="13" t="s">
        <v>23</v>
      </c>
      <c r="E82" s="13" t="str" cm="1">
        <f t="array" aca="1" ref="E82" ca="1">Common_InputFunctions.Utility_DisplayFunctionName($E$100)</f>
        <v>=MMS_Swine_N2ODirect_Equations.VEERG_4_5_1_3__4_FractionOfNitrogenInSolidStorageVariation</v>
      </c>
    </row>
    <row r="83" spans="4:9" ht="20.100000000000001" customHeight="1" x14ac:dyDescent="0.25">
      <c r="D83" s="53"/>
    </row>
    <row r="84" spans="4:9" ht="20.100000000000001" customHeight="1" x14ac:dyDescent="0.25"/>
    <row r="85" spans="4:9" ht="20.100000000000001" customHeight="1" x14ac:dyDescent="0.25">
      <c r="D85" s="51" t="s">
        <v>26</v>
      </c>
      <c r="E85" s="1" t="str" cm="1">
        <f t="array" ref="E85">MMS_Swine_N2ODirect_Equations.VEERG_4_5_1_3__4_FractionOfNitrogenInSolidStorage_Variable()</f>
        <v>FN_jm4T1</v>
      </c>
    </row>
    <row r="86" spans="4:9" ht="20.100000000000001" customHeight="1" x14ac:dyDescent="0.25">
      <c r="D86" s="51" t="s">
        <v>16</v>
      </c>
      <c r="E86" s="52" t="str" cm="1">
        <f t="array" ref="E86">MMS_Swine_N2ODirect_Equations.VEERG_4_5_1_3__4_FractionOfNitrogenInSolidStorage_Unit()</f>
        <v>fraction</v>
      </c>
    </row>
    <row r="87" spans="4:9" ht="20.100000000000001" customHeight="1" x14ac:dyDescent="0.25"/>
    <row r="88" spans="4:9" ht="20.100000000000001" customHeight="1" x14ac:dyDescent="0.25">
      <c r="D88" s="136" t="str" cm="1">
        <f t="array" ref="D88:E90">Common_InputFunctions.Utility_DisplayArguments_1_2(MMS_Swine_N2ODirect_Equations.VEERG_4_5_1_3__4_FractionOfNitrogenInSolidStorage_Arguments())</f>
        <v>MMS_jm4T1</v>
      </c>
      <c r="E88" s="136" t="str">
        <v>fraction of manure in solid storage MMS</v>
      </c>
      <c r="F88" s="136"/>
      <c r="G88" s="136" t="str" cm="1">
        <f t="array" ref="G88:H90">Common_InputFunctions.Utility_DisplayArguments_3_4(MMS_Swine_N2ODirect_Equations.VEERG_4_5_1_3__4_FractionOfNitrogenInSolidStorage_Arguments())</f>
        <v>fraction</v>
      </c>
      <c r="H88" s="132" t="str">
        <v>Input</v>
      </c>
      <c r="I88" s="135" t="str" cm="1">
        <f t="array" aca="1" ref="I88" ca="1">HYPERLINK(Common_InputFunctions.Utility_SourceHyperlink($D$92), $D$92)</f>
        <v>Table_MMS_j_m-4_T-1</v>
      </c>
    </row>
    <row r="89" spans="4:9" ht="20.100000000000001" customHeight="1" x14ac:dyDescent="0.25">
      <c r="D89" s="136" t="str">
        <v>MMS_jm179T1</v>
      </c>
      <c r="E89" s="136" t="str">
        <v>fraction of manure in primary liquid systems (m=1,7,9)</v>
      </c>
      <c r="F89" s="136"/>
      <c r="G89" s="136" t="str">
        <v>fraction</v>
      </c>
      <c r="H89" s="132" t="str">
        <v>Input</v>
      </c>
      <c r="I89" s="135" t="str" cm="1">
        <f t="array" aca="1" ref="I89" ca="1">HYPERLINK(Common_InputFunctions.Utility_SourceHyperlink($D$50), $D$50)</f>
        <v>Table_MMS_j_m-1-7-9-8_T-1</v>
      </c>
    </row>
    <row r="90" spans="4:9" ht="20.100000000000001" customHeight="1" x14ac:dyDescent="0.25">
      <c r="D90" s="136" t="str">
        <v>SN_m</v>
      </c>
      <c r="E90" s="136" t="str">
        <v>fraction of nitrogen separated to solid storage for each MMS</v>
      </c>
      <c r="F90" s="136"/>
      <c r="G90" s="136" t="str">
        <v>fraction</v>
      </c>
      <c r="H90" s="132" t="str">
        <v>Input</v>
      </c>
      <c r="I90" s="135" t="str" cm="1">
        <f t="array" aca="1" ref="I90" ca="1">HYPERLINK(Common_InputFunctions.Utility_SourceHyperlink($D$59), $D$59)</f>
        <v>M1_Table_SN_m-1-7-9</v>
      </c>
    </row>
    <row r="91" spans="4:9" ht="20.100000000000001" customHeight="1" x14ac:dyDescent="0.25"/>
    <row r="92" spans="4:9" ht="20.100000000000001" customHeight="1" x14ac:dyDescent="0.25">
      <c r="D92" s="117" t="s">
        <v>157</v>
      </c>
    </row>
    <row r="93" spans="4:9" ht="20.100000000000001" customHeight="1" x14ac:dyDescent="0.25">
      <c r="D93" s="118" t="s">
        <v>158</v>
      </c>
    </row>
    <row r="94" spans="4:9" ht="20.100000000000001" customHeight="1" x14ac:dyDescent="0.25">
      <c r="D94" s="115" t="s">
        <v>156</v>
      </c>
      <c r="E94" s="115" t="s">
        <v>135</v>
      </c>
      <c r="F94" s="115" t="s">
        <v>136</v>
      </c>
      <c r="G94" s="115" t="s">
        <v>137</v>
      </c>
      <c r="H94" s="115" t="s">
        <v>195</v>
      </c>
    </row>
    <row r="95" spans="4:9" ht="20.100000000000001" customHeight="1" x14ac:dyDescent="0.25">
      <c r="D95" s="55" t="str">
        <f>INDEX(X_Table_Swine_Stage1MMS_SolidStorage,2,1)</f>
        <v>Solid storage (before solid separation)</v>
      </c>
      <c r="E95" s="50" cm="1">
        <f t="array" aca="1" ref="E95:H95" ca="1">OFFSET(X_Table_Swine_Stage1MMS_SolidStorage,1,1,1,4)</f>
        <v>0.25</v>
      </c>
      <c r="F95" s="50">
        <f ca="1"/>
        <v>0.25</v>
      </c>
      <c r="G95" s="50">
        <f ca="1"/>
        <v>0.25</v>
      </c>
      <c r="H95" s="50">
        <f ca="1"/>
        <v>0.25</v>
      </c>
      <c r="I95" s="2" t="s">
        <v>115</v>
      </c>
    </row>
    <row r="96" spans="4:9" ht="20.100000000000001" customHeight="1" x14ac:dyDescent="0.25"/>
    <row r="97" spans="3:21" ht="20.100000000000001" customHeight="1" x14ac:dyDescent="0.25">
      <c r="D97" s="117" t="s">
        <v>185</v>
      </c>
      <c r="N97" s="117" t="s">
        <v>199</v>
      </c>
    </row>
    <row r="98" spans="3:21" ht="20.100000000000001" customHeight="1" x14ac:dyDescent="0.25">
      <c r="D98" s="118" t="s">
        <v>186</v>
      </c>
      <c r="N98" s="118" t="s">
        <v>200</v>
      </c>
    </row>
    <row r="99" spans="3:21" ht="20.100000000000001" customHeight="1" x14ac:dyDescent="0.25">
      <c r="D99" s="49" t="s">
        <v>156</v>
      </c>
      <c r="E99" s="49" t="s">
        <v>135</v>
      </c>
      <c r="F99" s="49" t="s">
        <v>136</v>
      </c>
      <c r="G99" s="49" t="s">
        <v>137</v>
      </c>
      <c r="H99" s="49" t="s">
        <v>195</v>
      </c>
      <c r="N99" s="49" t="s">
        <v>156</v>
      </c>
      <c r="O99" s="49" t="s">
        <v>135</v>
      </c>
      <c r="P99" s="49" t="s">
        <v>136</v>
      </c>
      <c r="Q99" s="49" t="s">
        <v>137</v>
      </c>
      <c r="R99" s="49" t="s">
        <v>195</v>
      </c>
    </row>
    <row r="100" spans="3:21" ht="20.100000000000001" customHeight="1" x14ac:dyDescent="0.25">
      <c r="D100" s="55" t="s">
        <v>346</v>
      </c>
      <c r="E100" s="50" cm="1">
        <f t="array" aca="1" ref="E100" ca="1">MMS_Swine_N2ODirect_Equations.VEERG_4_5_1_3__4_FractionOfNitrogenInSolidStorageVariation(E95,E53,E54,E55,E56,E57,E62,E63,E64,E65,E66)</f>
        <v>0.40000000000000013</v>
      </c>
      <c r="F100" s="50" cm="1">
        <f t="array" aca="1" ref="F100" ca="1">MMS_Swine_N2ODirect_Equations.VEERG_4_5_1_3__4_FractionOfNitrogenInSolidStorageVariation(F95,F53,F54,F55,F56,F57,F62,F63,F64,F65,F66)</f>
        <v>0.40000000000000013</v>
      </c>
      <c r="G100" s="50" cm="1">
        <f t="array" aca="1" ref="G100" ca="1">MMS_Swine_N2ODirect_Equations.VEERG_4_5_1_3__4_FractionOfNitrogenInSolidStorageVariation(G95,G53,G54,G55,G56,G57,G62,G63,G64,G65,G66)</f>
        <v>0.40000000000000013</v>
      </c>
      <c r="H100" s="50" cm="1">
        <f t="array" aca="1" ref="H100" ca="1">MMS_Swine_N2ODirect_Equations.VEERG_4_5_1_3__4_FractionOfNitrogenInSolidStorageVariation(H95,H53,H54,H55,H56,H57,H62,H63,H64,H65,H66)</f>
        <v>0.40000000000000013</v>
      </c>
      <c r="I100" s="2" t="str">
        <f>$E$86</f>
        <v>fraction</v>
      </c>
      <c r="N100" s="55" t="s">
        <v>346</v>
      </c>
      <c r="O100" s="50" cm="1">
        <f t="array" aca="1" ref="O100" ca="1">MMS_Swine_N2ODirect_Equations.VEERG_4_5_1_3__4_FractionOfNitrogenInSolidStorageVariation(E95,E53,E54,E55,E56,E57,O62,O63,O64,O65,O66)</f>
        <v>0.40000000000000013</v>
      </c>
      <c r="P100" s="50" cm="1">
        <f t="array" aca="1" ref="P100" ca="1">MMS_Swine_N2ODirect_Equations.VEERG_4_5_1_3__4_FractionOfNitrogenInSolidStorageVariation(F95,F53,F54,F55,F56,F57,P62,P63,P64,P65,P66)</f>
        <v>0.40000000000000013</v>
      </c>
      <c r="Q100" s="50" cm="1">
        <f t="array" aca="1" ref="Q100" ca="1">MMS_Swine_N2ODirect_Equations.VEERG_4_5_1_3__4_FractionOfNitrogenInSolidStorageVariation(G95,G53,G54,G55,G56,G57,Q62,Q63,Q64,Q65,Q66)</f>
        <v>0.40000000000000013</v>
      </c>
      <c r="R100" s="50" cm="1">
        <f t="array" aca="1" ref="R100" ca="1">MMS_Swine_N2ODirect_Equations.VEERG_4_5_1_3__4_FractionOfNitrogenInSolidStorageVariation(H95,H53,H54,H55,H56,H57,R62,R63,R64,R65,R66)</f>
        <v>0.40000000000000013</v>
      </c>
      <c r="S100" s="2" t="str">
        <f>$E$86</f>
        <v>fraction</v>
      </c>
    </row>
    <row r="101" spans="3:21" ht="20.100000000000001" customHeight="1" x14ac:dyDescent="0.25"/>
    <row r="102" spans="3:21" ht="20.100000000000001" customHeight="1" x14ac:dyDescent="0.25"/>
    <row r="103" spans="3:21" ht="20.100000000000001" customHeight="1" x14ac:dyDescent="0.25">
      <c r="C103" s="43"/>
      <c r="D103" s="43"/>
      <c r="E103" s="43"/>
      <c r="F103" s="43"/>
      <c r="G103" s="43"/>
      <c r="H103" s="43"/>
      <c r="I103" s="43"/>
      <c r="J103" s="43"/>
      <c r="K103" s="43"/>
      <c r="M103" s="43"/>
      <c r="N103" s="43"/>
      <c r="O103" s="43"/>
      <c r="P103" s="43"/>
      <c r="Q103" s="43"/>
      <c r="R103" s="43"/>
      <c r="S103" s="43"/>
      <c r="T103" s="43"/>
      <c r="U103" s="43"/>
    </row>
    <row r="104" spans="3:21" ht="20.100000000000001" customHeight="1" x14ac:dyDescent="0.25">
      <c r="D104" s="6" t="str" cm="1">
        <f t="array" ref="D104">MMS_Swine_N2ODirect_Equations.VEERG_4_5_1_3__2_Stage1NitrogenInMMS_Title()</f>
        <v>Nitrogen in treatment stage 1 MMS</v>
      </c>
    </row>
    <row r="105" spans="3:21" ht="20.100000000000001" customHeight="1" x14ac:dyDescent="0.25">
      <c r="D105" s="5" t="str" cm="1">
        <f t="array" ref="D105">MMS_Swine_N2ODirect_Equations.VEERG_4_5_1_3__2_Stage1NitrogenInMMS_Source()</f>
        <v>VEERG 2026: 4.5.1.3, Equation (2)</v>
      </c>
    </row>
    <row r="106" spans="3:21" ht="20.100000000000001" customHeight="1" x14ac:dyDescent="0.25">
      <c r="D106" s="13" t="s">
        <v>23</v>
      </c>
      <c r="E106" s="13" t="str" cm="1">
        <f t="array" aca="1" ref="E106" ca="1">Common_InputFunctions.Utility_DisplayFunctionName(E118)</f>
        <v>=MMS_Swine_N2ODirect_Equations.VEERG_4_5_1_3__2_Stage1NitrogenInMMS</v>
      </c>
    </row>
    <row r="107" spans="3:21" ht="20.100000000000001" customHeight="1" x14ac:dyDescent="0.25"/>
    <row r="108" spans="3:21" ht="20.100000000000001" customHeight="1" x14ac:dyDescent="0.25"/>
    <row r="109" spans="3:21" ht="20.100000000000001" customHeight="1" x14ac:dyDescent="0.25">
      <c r="D109" s="51" t="s">
        <v>26</v>
      </c>
      <c r="E109" s="1" t="str" cm="1">
        <f t="array" ref="E109">MMS_Swine_N2ODirect_Equations.VEERG_4_5_1_3__2_Stage1NitrogenInMMS_Variable()</f>
        <v>MN_jmT1</v>
      </c>
    </row>
    <row r="110" spans="3:21" ht="20.100000000000001" customHeight="1" x14ac:dyDescent="0.25">
      <c r="D110" s="51" t="s">
        <v>16</v>
      </c>
      <c r="E110" s="52" t="str" cm="1">
        <f t="array" ref="E110">MMS_Swine_N2ODirect_Equations.VEERG_4_5_1_3__2_Stage1NitrogenInMMS_Unit()</f>
        <v>kg N</v>
      </c>
    </row>
    <row r="111" spans="3:21" ht="20.100000000000001" customHeight="1" x14ac:dyDescent="0.25"/>
    <row r="112" spans="3:21" ht="20.100000000000001" customHeight="1" x14ac:dyDescent="0.25">
      <c r="D112" s="55" t="str" cm="1">
        <f t="array" ref="D112:E113">Common_InputFunctions.Utility_DisplayArguments_1_2(MMS_Swine_N2ODirect_Equations.VEERG_4_5_1_3__2_Stage1NitrogenInMMS_Arguments())</f>
        <v>AE_j</v>
      </c>
      <c r="E112" s="56" t="str">
        <v>total nitrogen excreted by each swine class</v>
      </c>
      <c r="F112" s="57"/>
      <c r="G112" s="136" t="str" cm="1">
        <f t="array" ref="G112:H113">Common_InputFunctions.Utility_DisplayArguments_3_4(MMS_Swine_N2ODirect_Equations.VEERG_4_5_1_3__2_Stage1NitrogenInMMS_Arguments())</f>
        <v>kg N</v>
      </c>
      <c r="H112" s="131" t="str">
        <v>Calculated from 4.5.1.3 (5)</v>
      </c>
      <c r="I112" s="135" t="str" cm="1">
        <f t="array" aca="1" ref="I112" ca="1">HYPERLINK(Common_InputFunctions.Utility_SourceHyperlink(D32), D32)</f>
        <v>M1_Table_AE_j</v>
      </c>
      <c r="J112" s="135"/>
    </row>
    <row r="113" spans="3:21" ht="20.100000000000001" customHeight="1" x14ac:dyDescent="0.25">
      <c r="D113" s="55" t="str">
        <v>FN_jmT1</v>
      </c>
      <c r="E113" s="56" t="str">
        <v>fraction of nitrogen in each primary MMS system</v>
      </c>
      <c r="F113" s="57"/>
      <c r="G113" s="136" t="str">
        <v>fraction</v>
      </c>
      <c r="H113" s="131" t="str">
        <v>Calculated from 4.5.1.3 (3)(4)</v>
      </c>
      <c r="I113" s="135" t="str" cm="1">
        <f t="array" aca="1" ref="I113" ca="1">HYPERLINK(Common_InputFunctions.Utility_SourceHyperlink(D68), D68)</f>
        <v>M1_Table_FN_j_m_T-1</v>
      </c>
      <c r="J113" s="135" t="str" cm="1">
        <f t="array" aca="1" ref="J113" ca="1">HYPERLINK(Common_InputFunctions.Utility_SourceHyperlink(D97), D97)</f>
        <v>M1_Table_FVS_j_m-4_T-1</v>
      </c>
    </row>
    <row r="114" spans="3:21" ht="20.100000000000001" customHeight="1" x14ac:dyDescent="0.25"/>
    <row r="115" spans="3:21" ht="20.100000000000001" customHeight="1" x14ac:dyDescent="0.25">
      <c r="D115" s="117" t="s">
        <v>236</v>
      </c>
      <c r="N115" s="117" t="s">
        <v>257</v>
      </c>
    </row>
    <row r="116" spans="3:21" ht="20.100000000000001" customHeight="1" x14ac:dyDescent="0.25">
      <c r="D116" s="118" t="s">
        <v>237</v>
      </c>
      <c r="N116" s="118" t="s">
        <v>258</v>
      </c>
    </row>
    <row r="117" spans="3:21" ht="20.100000000000001" customHeight="1" x14ac:dyDescent="0.25">
      <c r="D117" s="49" t="s">
        <v>156</v>
      </c>
      <c r="E117" s="49" t="s">
        <v>135</v>
      </c>
      <c r="F117" s="49" t="s">
        <v>136</v>
      </c>
      <c r="G117" s="49" t="s">
        <v>137</v>
      </c>
      <c r="H117" s="49" t="s">
        <v>195</v>
      </c>
      <c r="N117" s="49" t="s">
        <v>156</v>
      </c>
      <c r="O117" s="49" t="s">
        <v>135</v>
      </c>
      <c r="P117" s="49" t="s">
        <v>136</v>
      </c>
      <c r="Q117" s="49" t="s">
        <v>137</v>
      </c>
      <c r="R117" s="49" t="s">
        <v>195</v>
      </c>
    </row>
    <row r="118" spans="3:21" ht="20.100000000000001" customHeight="1" x14ac:dyDescent="0.25">
      <c r="D118" s="55" t="str">
        <f>INDEX(X_Table_Swine_Stage1MMS_AnaerobicLagoon,2,1)</f>
        <v>Anaerobic lagoon</v>
      </c>
      <c r="E118" s="50" cm="1">
        <f t="array" aca="1" ref="E118" ca="1">MMS_Swine_N2ODirect_Equations.VEERG_4_5_1_3__2_Stage1NitrogenInMMS(D$35,E71)</f>
        <v>201.47999999999996</v>
      </c>
      <c r="F118" s="50" cm="1">
        <f t="array" aca="1" ref="F118" ca="1">MMS_Swine_N2ODirect_Equations.VEERG_4_5_1_3__2_Stage1NitrogenInMMS(E$35,F71)</f>
        <v>214.62000000000003</v>
      </c>
      <c r="G118" s="50" cm="1">
        <f t="array" aca="1" ref="G118" ca="1">MMS_Swine_N2ODirect_Equations.VEERG_4_5_1_3__2_Stage1NitrogenInMMS(F$35,G71)</f>
        <v>201.47999999999996</v>
      </c>
      <c r="H118" s="50" cm="1">
        <f t="array" aca="1" ref="H118" ca="1">MMS_Swine_N2ODirect_Equations.VEERG_4_5_1_3__2_Stage1NitrogenInMMS(G$35,H71)</f>
        <v>136.65599999999998</v>
      </c>
      <c r="I118" s="2" t="str">
        <f t="shared" ref="I118" si="0">$E$110</f>
        <v>kg N</v>
      </c>
      <c r="N118" s="55" t="str">
        <f>INDEX(X_Table_Swine_Stage1MMS_AnaerobicLagoon,2,1)</f>
        <v>Anaerobic lagoon</v>
      </c>
      <c r="O118" s="50" cm="1">
        <f t="array" aca="1" ref="O118" ca="1">MMS_Swine_N2ODirect_Equations.VEERG_4_5_1_3__2_Stage1NitrogenInMMS(N$35,O71)</f>
        <v>201.47999999999996</v>
      </c>
      <c r="P118" s="50" cm="1">
        <f t="array" aca="1" ref="P118" ca="1">MMS_Swine_N2ODirect_Equations.VEERG_4_5_1_3__2_Stage1NitrogenInMMS(O$35,P71)</f>
        <v>214.62000000000003</v>
      </c>
      <c r="Q118" s="50" cm="1">
        <f t="array" aca="1" ref="Q118" ca="1">MMS_Swine_N2ODirect_Equations.VEERG_4_5_1_3__2_Stage1NitrogenInMMS(P$35,Q71)</f>
        <v>201.47999999999996</v>
      </c>
      <c r="R118" s="50" cm="1">
        <f t="array" aca="1" ref="R118" ca="1">MMS_Swine_N2ODirect_Equations.VEERG_4_5_1_3__2_Stage1NitrogenInMMS(Q$35,R71)</f>
        <v>136.65599999999998</v>
      </c>
      <c r="S118" s="2" t="str">
        <f t="shared" ref="S118" si="1">$E$110</f>
        <v>kg N</v>
      </c>
    </row>
    <row r="119" spans="3:21" ht="20.100000000000001" customHeight="1" x14ac:dyDescent="0.25">
      <c r="D119" s="55" t="str">
        <f>INDEX(X_Table_Swine_Stage1MMS_Drylot,2,1)</f>
        <v>Drylot (feed pad)</v>
      </c>
      <c r="E119" s="50" cm="1">
        <f t="array" aca="1" ref="E119" ca="1">MMS_Swine_N2ODirect_Equations.VEERG_4_5_1_3__2_Stage1NitrogenInMMS(D$35,E72)</f>
        <v>201.47999999999996</v>
      </c>
      <c r="F119" s="50" cm="1">
        <f t="array" aca="1" ref="F119" ca="1">MMS_Swine_N2ODirect_Equations.VEERG_4_5_1_3__2_Stage1NitrogenInMMS(E$35,F72)</f>
        <v>214.62000000000003</v>
      </c>
      <c r="G119" s="50" cm="1">
        <f t="array" aca="1" ref="G119" ca="1">MMS_Swine_N2ODirect_Equations.VEERG_4_5_1_3__2_Stage1NitrogenInMMS(F$35,G72)</f>
        <v>201.47999999999996</v>
      </c>
      <c r="H119" s="50" cm="1">
        <f t="array" aca="1" ref="H119" ca="1">MMS_Swine_N2ODirect_Equations.VEERG_4_5_1_3__2_Stage1NitrogenInMMS(G$35,H72)</f>
        <v>136.65599999999998</v>
      </c>
      <c r="I119" s="2"/>
      <c r="N119" s="55" t="str">
        <f>INDEX(X_Table_Swine_Stage1MMS_Drylot,2,1)</f>
        <v>Drylot (feed pad)</v>
      </c>
      <c r="O119" s="50" cm="1">
        <f t="array" aca="1" ref="O119" ca="1">MMS_Swine_N2ODirect_Equations.VEERG_4_5_1_3__2_Stage1NitrogenInMMS(N$35,O72)</f>
        <v>201.47999999999996</v>
      </c>
      <c r="P119" s="50" cm="1">
        <f t="array" aca="1" ref="P119" ca="1">MMS_Swine_N2ODirect_Equations.VEERG_4_5_1_3__2_Stage1NitrogenInMMS(O$35,P72)</f>
        <v>214.62000000000003</v>
      </c>
      <c r="Q119" s="50" cm="1">
        <f t="array" aca="1" ref="Q119" ca="1">MMS_Swine_N2ODirect_Equations.VEERG_4_5_1_3__2_Stage1NitrogenInMMS(P$35,Q72)</f>
        <v>201.47999999999996</v>
      </c>
      <c r="R119" s="50" cm="1">
        <f t="array" aca="1" ref="R119" ca="1">MMS_Swine_N2ODirect_Equations.VEERG_4_5_1_3__2_Stage1NitrogenInMMS(Q$35,R72)</f>
        <v>136.65599999999998</v>
      </c>
      <c r="S119" s="2"/>
    </row>
    <row r="120" spans="3:21" ht="20.100000000000001" customHeight="1" x14ac:dyDescent="0.25">
      <c r="D120" s="55" t="str">
        <f>INDEX(X_Table_Swine_Stage1MMS_DigesterCoveredLagoons,2,1)</f>
        <v>Digester / covered lagoons</v>
      </c>
      <c r="E120" s="50" cm="1">
        <f t="array" aca="1" ref="E120" ca="1">MMS_Swine_N2ODirect_Equations.VEERG_4_5_1_3__2_Stage1NitrogenInMMS(D$35,E73)</f>
        <v>201.47999999999996</v>
      </c>
      <c r="F120" s="50" cm="1">
        <f t="array" aca="1" ref="F120" ca="1">MMS_Swine_N2ODirect_Equations.VEERG_4_5_1_3__2_Stage1NitrogenInMMS(E$35,F73)</f>
        <v>214.62000000000003</v>
      </c>
      <c r="G120" s="50" cm="1">
        <f t="array" aca="1" ref="G120" ca="1">MMS_Swine_N2ODirect_Equations.VEERG_4_5_1_3__2_Stage1NitrogenInMMS(F$35,G73)</f>
        <v>201.47999999999996</v>
      </c>
      <c r="H120" s="50" cm="1">
        <f t="array" aca="1" ref="H120" ca="1">MMS_Swine_N2ODirect_Equations.VEERG_4_5_1_3__2_Stage1NitrogenInMMS(G$35,H73)</f>
        <v>136.65599999999998</v>
      </c>
      <c r="I120" s="2"/>
      <c r="N120" s="55" t="str">
        <f>INDEX(X_Table_Swine_Stage1MMS_DigesterCoveredLagoons,2,1)</f>
        <v>Digester / covered lagoons</v>
      </c>
      <c r="O120" s="50" cm="1">
        <f t="array" aca="1" ref="O120" ca="1">MMS_Swine_N2ODirect_Equations.VEERG_4_5_1_3__2_Stage1NitrogenInMMS(N$35,O73)</f>
        <v>201.47999999999996</v>
      </c>
      <c r="P120" s="50" cm="1">
        <f t="array" aca="1" ref="P120" ca="1">MMS_Swine_N2ODirect_Equations.VEERG_4_5_1_3__2_Stage1NitrogenInMMS(O$35,P73)</f>
        <v>214.62000000000003</v>
      </c>
      <c r="Q120" s="50" cm="1">
        <f t="array" aca="1" ref="Q120" ca="1">MMS_Swine_N2ODirect_Equations.VEERG_4_5_1_3__2_Stage1NitrogenInMMS(P$35,Q73)</f>
        <v>201.47999999999996</v>
      </c>
      <c r="R120" s="50" cm="1">
        <f t="array" aca="1" ref="R120" ca="1">MMS_Swine_N2ODirect_Equations.VEERG_4_5_1_3__2_Stage1NitrogenInMMS(Q$35,R73)</f>
        <v>136.65599999999998</v>
      </c>
      <c r="S120" s="2"/>
    </row>
    <row r="121" spans="3:21" ht="20.100000000000001" customHeight="1" x14ac:dyDescent="0.25">
      <c r="D121" s="55" t="str">
        <f>INDEX(X_Table_Swine_Stage1MMS_DeepLitter,2,1)</f>
        <v>Deep litter</v>
      </c>
      <c r="E121" s="50" cm="1">
        <f t="array" aca="1" ref="E121" ca="1">MMS_Swine_N2ODirect_Equations.VEERG_4_5_1_3__2_Stage1NitrogenInMMS(D$35,E74)</f>
        <v>201.47999999999996</v>
      </c>
      <c r="F121" s="50" cm="1">
        <f t="array" aca="1" ref="F121" ca="1">MMS_Swine_N2ODirect_Equations.VEERG_4_5_1_3__2_Stage1NitrogenInMMS(E$35,F74)</f>
        <v>214.62000000000003</v>
      </c>
      <c r="G121" s="50" cm="1">
        <f t="array" aca="1" ref="G121" ca="1">MMS_Swine_N2ODirect_Equations.VEERG_4_5_1_3__2_Stage1NitrogenInMMS(F$35,G74)</f>
        <v>201.47999999999996</v>
      </c>
      <c r="H121" s="50" cm="1">
        <f t="array" aca="1" ref="H121" ca="1">MMS_Swine_N2ODirect_Equations.VEERG_4_5_1_3__2_Stage1NitrogenInMMS(G$35,H74)</f>
        <v>136.65599999999998</v>
      </c>
      <c r="I121" s="2"/>
      <c r="N121" s="55" t="str">
        <f>INDEX(X_Table_Swine_Stage1MMS_DeepLitter,2,1)</f>
        <v>Deep litter</v>
      </c>
      <c r="O121" s="50" cm="1">
        <f t="array" aca="1" ref="O121" ca="1">MMS_Swine_N2ODirect_Equations.VEERG_4_5_1_3__2_Stage1NitrogenInMMS(N$35,O74)</f>
        <v>201.47999999999996</v>
      </c>
      <c r="P121" s="50" cm="1">
        <f t="array" aca="1" ref="P121" ca="1">MMS_Swine_N2ODirect_Equations.VEERG_4_5_1_3__2_Stage1NitrogenInMMS(O$35,P74)</f>
        <v>214.62000000000003</v>
      </c>
      <c r="Q121" s="50" cm="1">
        <f t="array" aca="1" ref="Q121" ca="1">MMS_Swine_N2ODirect_Equations.VEERG_4_5_1_3__2_Stage1NitrogenInMMS(P$35,Q74)</f>
        <v>201.47999999999996</v>
      </c>
      <c r="R121" s="50" cm="1">
        <f t="array" aca="1" ref="R121" ca="1">MMS_Swine_N2ODirect_Equations.VEERG_4_5_1_3__2_Stage1NitrogenInMMS(Q$35,R74)</f>
        <v>136.65599999999998</v>
      </c>
      <c r="S121" s="2"/>
    </row>
    <row r="122" spans="3:21" ht="20.100000000000001" customHeight="1" x14ac:dyDescent="0.25">
      <c r="D122" s="55" t="str">
        <f>INDEX(X_Table_Swine_Stage1MMS_PitStorage,2,1)</f>
        <v>Pit storage</v>
      </c>
      <c r="E122" s="50" cm="1">
        <f t="array" aca="1" ref="E122" ca="1">MMS_Swine_N2ODirect_Equations.VEERG_4_5_1_3__2_Stage1NitrogenInMMS(D$35,E75)</f>
        <v>201.47999999999996</v>
      </c>
      <c r="F122" s="50" cm="1">
        <f t="array" aca="1" ref="F122" ca="1">MMS_Swine_N2ODirect_Equations.VEERG_4_5_1_3__2_Stage1NitrogenInMMS(E$35,F75)</f>
        <v>214.62000000000003</v>
      </c>
      <c r="G122" s="50" cm="1">
        <f t="array" aca="1" ref="G122" ca="1">MMS_Swine_N2ODirect_Equations.VEERG_4_5_1_3__2_Stage1NitrogenInMMS(F$35,G75)</f>
        <v>201.47999999999996</v>
      </c>
      <c r="H122" s="50" cm="1">
        <f t="array" aca="1" ref="H122" ca="1">MMS_Swine_N2ODirect_Equations.VEERG_4_5_1_3__2_Stage1NitrogenInMMS(G$35,H75)</f>
        <v>136.65599999999998</v>
      </c>
      <c r="I122" s="2"/>
      <c r="N122" s="55" t="str">
        <f>INDEX(X_Table_Swine_Stage1MMS_PitStorage,2,1)</f>
        <v>Pit storage</v>
      </c>
      <c r="O122" s="50" cm="1">
        <f t="array" aca="1" ref="O122" ca="1">MMS_Swine_N2ODirect_Equations.VEERG_4_5_1_3__2_Stage1NitrogenInMMS(N$35,O75)</f>
        <v>201.47999999999996</v>
      </c>
      <c r="P122" s="50" cm="1">
        <f t="array" aca="1" ref="P122" ca="1">MMS_Swine_N2ODirect_Equations.VEERG_4_5_1_3__2_Stage1NitrogenInMMS(O$35,P75)</f>
        <v>214.62000000000003</v>
      </c>
      <c r="Q122" s="50" cm="1">
        <f t="array" aca="1" ref="Q122" ca="1">MMS_Swine_N2ODirect_Equations.VEERG_4_5_1_3__2_Stage1NitrogenInMMS(P$35,Q75)</f>
        <v>201.47999999999996</v>
      </c>
      <c r="R122" s="50" cm="1">
        <f t="array" aca="1" ref="R122" ca="1">MMS_Swine_N2ODirect_Equations.VEERG_4_5_1_3__2_Stage1NitrogenInMMS(Q$35,R75)</f>
        <v>136.65599999999998</v>
      </c>
      <c r="S122" s="2"/>
    </row>
    <row r="123" spans="3:21" ht="20.100000000000001" customHeight="1" x14ac:dyDescent="0.25">
      <c r="D123" s="55" t="s">
        <v>346</v>
      </c>
      <c r="E123" s="50" cm="1">
        <f t="array" aca="1" ref="E123" ca="1">MMS_Swine_N2ODirect_Equations.VEERG_4_5_1_3__2_Stage1NitrogenInMMS(D$35,E100)</f>
        <v>671.60000000000014</v>
      </c>
      <c r="F123" s="50" cm="1">
        <f t="array" aca="1" ref="F123" ca="1">MMS_Swine_N2ODirect_Equations.VEERG_4_5_1_3__2_Stage1NitrogenInMMS(E$35,F100)</f>
        <v>715.40000000000032</v>
      </c>
      <c r="G123" s="50" cm="1">
        <f t="array" aca="1" ref="G123" ca="1">MMS_Swine_N2ODirect_Equations.VEERG_4_5_1_3__2_Stage1NitrogenInMMS(F$35,G100)</f>
        <v>671.60000000000014</v>
      </c>
      <c r="H123" s="50" cm="1">
        <f t="array" aca="1" ref="H123" ca="1">MMS_Swine_N2ODirect_Equations.VEERG_4_5_1_3__2_Stage1NitrogenInMMS(G$35,H100)</f>
        <v>455.52000000000015</v>
      </c>
      <c r="I123" s="2"/>
      <c r="N123" s="55" t="s">
        <v>346</v>
      </c>
      <c r="O123" s="50" cm="1">
        <f t="array" aca="1" ref="O123" ca="1">MMS_Swine_N2ODirect_Equations.VEERG_4_5_1_3__2_Stage1NitrogenInMMS(N$35,O100)</f>
        <v>671.60000000000014</v>
      </c>
      <c r="P123" s="50" cm="1">
        <f t="array" aca="1" ref="P123" ca="1">MMS_Swine_N2ODirect_Equations.VEERG_4_5_1_3__2_Stage1NitrogenInMMS(O$35,P100)</f>
        <v>715.40000000000032</v>
      </c>
      <c r="Q123" s="50" cm="1">
        <f t="array" aca="1" ref="Q123" ca="1">MMS_Swine_N2ODirect_Equations.VEERG_4_5_1_3__2_Stage1NitrogenInMMS(P$35,Q100)</f>
        <v>671.60000000000014</v>
      </c>
      <c r="R123" s="50" cm="1">
        <f t="array" aca="1" ref="R123" ca="1">MMS_Swine_N2ODirect_Equations.VEERG_4_5_1_3__2_Stage1NitrogenInMMS(Q$35,R100)</f>
        <v>455.52000000000015</v>
      </c>
      <c r="S123" s="2"/>
    </row>
    <row r="124" spans="3:21" ht="20.100000000000001" customHeight="1" x14ac:dyDescent="0.25"/>
    <row r="125" spans="3:21" ht="20.100000000000001" customHeight="1" x14ac:dyDescent="0.25"/>
    <row r="126" spans="3:21" ht="20.100000000000001" customHeight="1" x14ac:dyDescent="0.25">
      <c r="C126" s="43"/>
      <c r="D126" s="43"/>
      <c r="E126" s="43"/>
      <c r="F126" s="43"/>
      <c r="G126" s="43"/>
      <c r="H126" s="43"/>
      <c r="I126" s="43"/>
      <c r="J126" s="43"/>
      <c r="K126" s="43"/>
      <c r="M126" s="43"/>
      <c r="N126" s="43"/>
      <c r="O126" s="43"/>
      <c r="P126" s="43"/>
      <c r="Q126" s="43"/>
      <c r="R126" s="43"/>
      <c r="S126" s="43"/>
      <c r="T126" s="43"/>
      <c r="U126" s="43"/>
    </row>
    <row r="127" spans="3:21" ht="20.100000000000001" customHeight="1" x14ac:dyDescent="0.25">
      <c r="D127" s="6" t="str" cm="1">
        <f t="array" ref="D127">MMS_Swine_N2ODirect_Equations.VEERG_4_5_1_3__7_NitrogenTransferredToStage2MMS_Title()</f>
        <v>Nitrogen transferred to treatment stage 2 MMS</v>
      </c>
    </row>
    <row r="128" spans="3:21" ht="20.100000000000001" customHeight="1" x14ac:dyDescent="0.25">
      <c r="D128" s="5" t="str" cm="1">
        <f t="array" ref="D128">MMS_Swine_N2ODirect_Equations.VEERG_4_5_1_3__7_NitrogenTransferredToStage2MMS_Source()</f>
        <v>VEERG 2026: 4.5.1.3, Equation (7)</v>
      </c>
    </row>
    <row r="129" spans="4:9" ht="20.100000000000001" customHeight="1" x14ac:dyDescent="0.25">
      <c r="D129" s="13" t="s">
        <v>23</v>
      </c>
      <c r="E129" s="13" t="str" cm="1">
        <f t="array" aca="1" ref="E129" ca="1">Common_InputFunctions.Utility_DisplayFunctionName(E164)</f>
        <v>=MMS_Swine_N2ODirect_Equations.VEERG_4_5_1_3__7_NitrogenTransferredToStage2MMS</v>
      </c>
    </row>
    <row r="130" spans="4:9" ht="20.100000000000001" customHeight="1" x14ac:dyDescent="0.25"/>
    <row r="131" spans="4:9" ht="20.100000000000001" customHeight="1" x14ac:dyDescent="0.25"/>
    <row r="132" spans="4:9" ht="20.100000000000001" customHeight="1" x14ac:dyDescent="0.25">
      <c r="D132" s="51" t="s">
        <v>26</v>
      </c>
      <c r="E132" s="1" t="str" cm="1">
        <f t="array" ref="E132">MMS_Swine_N2ODirect_Equations.VEERG_4_5_1_3__7_NitrogenTransferredToStage2MMS_Variable()</f>
        <v>NT_jmT2</v>
      </c>
    </row>
    <row r="133" spans="4:9" ht="20.100000000000001" customHeight="1" x14ac:dyDescent="0.25">
      <c r="D133" s="51" t="s">
        <v>16</v>
      </c>
      <c r="E133" s="52" t="str" cm="1">
        <f t="array" ref="E133">MMS_Swine_N2ODirect_Equations.VEERG_4_5_1_3__7_NitrogenTransferredToStage2MMS_Unit()</f>
        <v>kg N</v>
      </c>
    </row>
    <row r="134" spans="4:9" ht="20.100000000000001" customHeight="1" x14ac:dyDescent="0.25"/>
    <row r="135" spans="4:9" ht="20.100000000000001" customHeight="1" x14ac:dyDescent="0.25">
      <c r="D135" s="55" t="str" cm="1">
        <f t="array" ref="D135:E137">Common_InputFunctions.Utility_DisplayArguments_1_2(MMS_Swine_N2ODirect_Equations.VEERG_4_5_1_3__7_NitrogenTransferredToStage2MMS_Arguments())</f>
        <v>MN_jmT1</v>
      </c>
      <c r="E135" s="55" t="str">
        <v>nitrogen per swine class in treatment stage 1 MMS</v>
      </c>
      <c r="F135" s="55"/>
      <c r="G135" s="136" t="str" cm="1">
        <f t="array" ref="G135:H137">Common_InputFunctions.Utility_DisplayArguments_3_4(MMS_Swine_N2ODirect_Equations.VEERG_4_5_1_3__7_NitrogenTransferredToStage2MMS_Arguments())</f>
        <v>kg N</v>
      </c>
      <c r="H135" s="131" t="str">
        <v>Calculated from 4.5.1.3 (2)(6)</v>
      </c>
      <c r="I135" s="135" t="str" cm="1">
        <f t="array" aca="1" ref="I135" ca="1">HYPERLINK(Common_InputFunctions.Utility_SourceHyperlink(D115), D115)</f>
        <v>M1_Table_MN_j_m_T-1</v>
      </c>
    </row>
    <row r="136" spans="4:9" ht="20.100000000000001" customHeight="1" x14ac:dyDescent="0.25">
      <c r="D136" s="55" t="str">
        <v>FracGASMmT1</v>
      </c>
      <c r="E136" s="55" t="str">
        <v>fraction of N volatilised from MMS treatment at stage 1</v>
      </c>
      <c r="F136" s="55"/>
      <c r="G136" s="136" t="str">
        <v>fraction</v>
      </c>
      <c r="H136" s="131" t="str">
        <v>Lookup</v>
      </c>
      <c r="I136" s="135" t="str" cm="1">
        <f t="array" aca="1" ref="I136" ca="1">HYPERLINK(Common_InputFunctions.Utility_SourceHyperlink(D139), D139)</f>
        <v>Table_FracGASM_m_t-1</v>
      </c>
    </row>
    <row r="137" spans="4:9" ht="20.100000000000001" customHeight="1" x14ac:dyDescent="0.25">
      <c r="D137" s="55" t="str">
        <v>EF_mT1</v>
      </c>
      <c r="E137" s="55" t="str">
        <v>nitrous oxide emission factor for MMS treatment at stage 1</v>
      </c>
      <c r="F137" s="55"/>
      <c r="G137" s="136" t="str">
        <v>kg N2O-N/kg N</v>
      </c>
      <c r="H137" s="131" t="str">
        <v>Lookup</v>
      </c>
      <c r="I137" s="135" t="str" cm="1">
        <f t="array" aca="1" ref="I137" ca="1">HYPERLINK(Common_InputFunctions.Utility_SourceHyperlink(D150), D150)</f>
        <v>Table_EF_m_t-1</v>
      </c>
    </row>
    <row r="138" spans="4:9" ht="20.100000000000001" customHeight="1" x14ac:dyDescent="0.25"/>
    <row r="139" spans="4:9" ht="20.100000000000001" customHeight="1" x14ac:dyDescent="0.25">
      <c r="D139" s="117" t="s">
        <v>238</v>
      </c>
    </row>
    <row r="140" spans="4:9" ht="20.100000000000001" customHeight="1" x14ac:dyDescent="0.25">
      <c r="D140" s="118" t="s">
        <v>239</v>
      </c>
    </row>
    <row r="141" spans="4:9" ht="20.100000000000001" customHeight="1" x14ac:dyDescent="0.25">
      <c r="D141" s="49" t="s">
        <v>64</v>
      </c>
      <c r="E141" s="49" t="s">
        <v>240</v>
      </c>
    </row>
    <row r="142" spans="4:9" ht="20.100000000000001" customHeight="1" x14ac:dyDescent="0.25">
      <c r="D142" s="55" t="str">
        <f>INDEX(X_Table_Swine_Stage1MMS_AnaerobicLagoon,2,1)</f>
        <v>Anaerobic lagoon</v>
      </c>
      <c r="E142" s="50" cm="1">
        <f t="array" ref="E142">Common_InputFunctions.Utility_LookupValueInTableNumber(D142, Table_SourceData_Swine_FracGASM[NIR reference],Table_SourceData_Swine_FracGASM[FracGASMmT])</f>
        <v>0.55000000000000004</v>
      </c>
      <c r="F142" s="2" t="str">
        <f>G136</f>
        <v>fraction</v>
      </c>
    </row>
    <row r="143" spans="4:9" ht="20.100000000000001" customHeight="1" x14ac:dyDescent="0.25">
      <c r="D143" s="55" t="str">
        <f>INDEX(X_Table_Swine_Stage1MMS_Drylot,2,1)</f>
        <v>Drylot (feed pad)</v>
      </c>
      <c r="E143" s="50" cm="1">
        <f t="array" ref="E143">Common_InputFunctions.Utility_LookupValueInTableNumber(D143, Table_SourceData_Swine_FracGASM[NIR reference],Table_SourceData_Swine_FracGASM[FracGASMmT])</f>
        <v>0.3</v>
      </c>
    </row>
    <row r="144" spans="4:9" ht="20.100000000000001" customHeight="1" x14ac:dyDescent="0.25">
      <c r="D144" s="55" t="str">
        <f>INDEX(X_Table_Swine_Stage1MMS_DigesterCoveredLagoons,2,1)</f>
        <v>Digester / covered lagoons</v>
      </c>
      <c r="E144" s="50" cm="1">
        <f t="array" ref="E144">Common_InputFunctions.Utility_LookupValueInTableNumber(D144, Table_SourceData_Swine_FracGASM[NIR reference],Table_SourceData_Swine_FracGASM[FracGASMmT])</f>
        <v>0</v>
      </c>
    </row>
    <row r="145" spans="4:6" ht="20.100000000000001" customHeight="1" x14ac:dyDescent="0.25">
      <c r="D145" s="55" t="str">
        <f>INDEX(X_Table_Swine_Stage1MMS_DeepLitter,2,1)</f>
        <v>Deep litter</v>
      </c>
      <c r="E145" s="50" cm="1">
        <f t="array" ref="E145">Common_InputFunctions.Utility_LookupValueInTableNumber(D145, Table_SourceData_Swine_FracGASM[NIR reference],Table_SourceData_Swine_FracGASM[FracGASMmT])</f>
        <v>0.125</v>
      </c>
    </row>
    <row r="146" spans="4:6" ht="20.100000000000001" customHeight="1" x14ac:dyDescent="0.25">
      <c r="D146" s="55" t="str">
        <f>INDEX(X_Table_Swine_Stage1MMS_PitStorage,2,1)</f>
        <v>Pit storage</v>
      </c>
      <c r="E146" s="50" cm="1">
        <f t="array" ref="E146">Common_InputFunctions.Utility_LookupValueInTableNumber(D146, Table_SourceData_Swine_FracGASM[NIR reference],Table_SourceData_Swine_FracGASM[FracGASMmT])</f>
        <v>0.25</v>
      </c>
    </row>
    <row r="147" spans="4:6" ht="20.100000000000001" customHeight="1" x14ac:dyDescent="0.25">
      <c r="D147" s="55" t="s">
        <v>346</v>
      </c>
      <c r="E147" s="50" cm="1">
        <f t="array" ref="E147">Common_InputFunctions.Utility_LookupValueInTableNumber(D147, Table_SourceData_Swine_FracGASM[NIR reference],Table_SourceData_Swine_FracGASM[FracGASMmT])</f>
        <v>0.2</v>
      </c>
    </row>
    <row r="148" spans="4:6" ht="20.100000000000001" customHeight="1" x14ac:dyDescent="0.25">
      <c r="D148" s="55" t="str">
        <f>'Constants - Swine'!$D$47</f>
        <v>Direct application</v>
      </c>
      <c r="E148" s="50" cm="1">
        <f t="array" ref="E148">Common_InputFunctions.Utility_LookupValueInTableNumber(D148, Table_SourceData_Swine_FracGASM[NIR reference],Table_SourceData_Swine_FracGASM[FracGASMmT])</f>
        <v>0</v>
      </c>
    </row>
    <row r="149" spans="4:6" ht="20.100000000000001" customHeight="1" x14ac:dyDescent="0.25"/>
    <row r="150" spans="4:6" ht="20.100000000000001" customHeight="1" x14ac:dyDescent="0.25">
      <c r="D150" s="117" t="s">
        <v>241</v>
      </c>
    </row>
    <row r="151" spans="4:6" ht="20.100000000000001" customHeight="1" x14ac:dyDescent="0.25">
      <c r="D151" s="118" t="s">
        <v>242</v>
      </c>
    </row>
    <row r="152" spans="4:6" ht="20.100000000000001" customHeight="1" x14ac:dyDescent="0.25">
      <c r="D152" s="49" t="s">
        <v>64</v>
      </c>
      <c r="E152" s="49" t="s">
        <v>243</v>
      </c>
    </row>
    <row r="153" spans="4:6" ht="20.100000000000001" customHeight="1" x14ac:dyDescent="0.25">
      <c r="D153" s="55" t="str">
        <f>INDEX(X_Table_Swine_Stage1MMS_AnaerobicLagoon,2,1)</f>
        <v>Anaerobic lagoon</v>
      </c>
      <c r="E153" s="50" cm="1">
        <f t="array" ref="E153">Common_InputFunctions.Utility_LookupValueInTableNumber(D153, Table_SourceData_Swine_FracGASM28[NIR reference],Table_SourceData_Swine_FracGASM28[EFmT])</f>
        <v>0</v>
      </c>
      <c r="F153" s="2" t="str">
        <f>G137</f>
        <v>kg N2O-N/kg N</v>
      </c>
    </row>
    <row r="154" spans="4:6" ht="20.100000000000001" customHeight="1" x14ac:dyDescent="0.25">
      <c r="D154" s="55" t="str">
        <f>INDEX(X_Table_Swine_Stage1MMS_Drylot,2,1)</f>
        <v>Drylot (feed pad)</v>
      </c>
      <c r="E154" s="50" cm="1">
        <f t="array" ref="E154">Common_InputFunctions.Utility_LookupValueInTableNumber(D154, Table_SourceData_Swine_FracGASM28[NIR reference],Table_SourceData_Swine_FracGASM28[EFmT])</f>
        <v>0.02</v>
      </c>
    </row>
    <row r="155" spans="4:6" ht="20.100000000000001" customHeight="1" x14ac:dyDescent="0.25">
      <c r="D155" s="55" t="str">
        <f>INDEX(X_Table_Swine_Stage1MMS_DigesterCoveredLagoons,2,1)</f>
        <v>Digester / covered lagoons</v>
      </c>
      <c r="E155" s="50" cm="1">
        <f t="array" ref="E155">Common_InputFunctions.Utility_LookupValueInTableNumber(D155, Table_SourceData_Swine_FracGASM28[NIR reference],Table_SourceData_Swine_FracGASM28[EFmT])</f>
        <v>0</v>
      </c>
    </row>
    <row r="156" spans="4:6" ht="20.100000000000001" customHeight="1" x14ac:dyDescent="0.25">
      <c r="D156" s="55" t="str">
        <f>INDEX(X_Table_Swine_Stage1MMS_DeepLitter,2,1)</f>
        <v>Deep litter</v>
      </c>
      <c r="E156" s="50" cm="1">
        <f t="array" ref="E156">Common_InputFunctions.Utility_LookupValueInTableNumber(D156, Table_SourceData_Swine_FracGASM28[NIR reference],Table_SourceData_Swine_FracGASM28[EFmT])</f>
        <v>0.01</v>
      </c>
    </row>
    <row r="157" spans="4:6" ht="20.100000000000001" customHeight="1" x14ac:dyDescent="0.25">
      <c r="D157" s="55" t="str">
        <f>INDEX(X_Table_Swine_Stage1MMS_PitStorage,2,1)</f>
        <v>Pit storage</v>
      </c>
      <c r="E157" s="50" cm="1">
        <f t="array" ref="E157">Common_InputFunctions.Utility_LookupValueInTableNumber(D157, Table_SourceData_Swine_FracGASM28[NIR reference],Table_SourceData_Swine_FracGASM28[EFmT])</f>
        <v>2E-3</v>
      </c>
    </row>
    <row r="158" spans="4:6" ht="20.100000000000001" customHeight="1" x14ac:dyDescent="0.25">
      <c r="D158" s="55" t="s">
        <v>346</v>
      </c>
      <c r="E158" s="50" cm="1">
        <f t="array" ref="E158">Common_InputFunctions.Utility_LookupValueInTableNumber(D158, Table_SourceData_Swine_FracGASM28[NIR reference],Table_SourceData_Swine_FracGASM28[EFmT])</f>
        <v>5.0000000000000001E-3</v>
      </c>
    </row>
    <row r="159" spans="4:6" ht="20.100000000000001" customHeight="1" x14ac:dyDescent="0.25">
      <c r="D159" s="55" t="str">
        <f>'Constants - Swine'!$D$47</f>
        <v>Direct application</v>
      </c>
      <c r="E159" s="50" cm="1">
        <f t="array" ref="E159">Common_InputFunctions.Utility_LookupValueInTableNumber(D159, Table_SourceData_Swine_FracGASM28[NIR reference],Table_SourceData_Swine_FracGASM28[EFmT])</f>
        <v>0</v>
      </c>
    </row>
    <row r="160" spans="4:6" ht="20.100000000000001" customHeight="1" x14ac:dyDescent="0.25"/>
    <row r="161" spans="1:21" ht="20.100000000000001" customHeight="1" x14ac:dyDescent="0.25">
      <c r="D161" s="117" t="s">
        <v>245</v>
      </c>
      <c r="N161" s="117" t="s">
        <v>259</v>
      </c>
    </row>
    <row r="162" spans="1:21" ht="20.100000000000001" customHeight="1" x14ac:dyDescent="0.25">
      <c r="D162" s="118" t="s">
        <v>246</v>
      </c>
      <c r="N162" s="118" t="s">
        <v>260</v>
      </c>
    </row>
    <row r="163" spans="1:21" ht="20.100000000000001" customHeight="1" x14ac:dyDescent="0.25">
      <c r="D163" s="49" t="s">
        <v>156</v>
      </c>
      <c r="E163" s="49" t="s">
        <v>135</v>
      </c>
      <c r="F163" s="49" t="s">
        <v>136</v>
      </c>
      <c r="G163" s="49" t="s">
        <v>137</v>
      </c>
      <c r="H163" s="49" t="s">
        <v>195</v>
      </c>
      <c r="N163" s="49" t="s">
        <v>156</v>
      </c>
      <c r="O163" s="49" t="s">
        <v>135</v>
      </c>
      <c r="P163" s="49" t="s">
        <v>136</v>
      </c>
      <c r="Q163" s="49" t="s">
        <v>137</v>
      </c>
      <c r="R163" s="49" t="s">
        <v>195</v>
      </c>
    </row>
    <row r="164" spans="1:21" ht="20.100000000000001" customHeight="1" x14ac:dyDescent="0.25">
      <c r="D164" s="55" t="str">
        <f>INDEX(X_Table_Swine_Stage1MMS_AnaerobicLagoon,2,1)</f>
        <v>Anaerobic lagoon</v>
      </c>
      <c r="E164" s="50" cm="1">
        <f t="array" aca="1" ref="E164" ca="1">MMS_Swine_N2ODirect_Equations.VEERG_4_5_1_3__7_NitrogenTransferredToStage2MMS(E118,$E142,$E153)</f>
        <v>90.665999999999968</v>
      </c>
      <c r="F164" s="50" cm="1">
        <f t="array" aca="1" ref="F164" ca="1">MMS_Swine_N2ODirect_Equations.VEERG_4_5_1_3__7_NitrogenTransferredToStage2MMS(F118,$E142,$E153)</f>
        <v>96.579000000000008</v>
      </c>
      <c r="G164" s="50" cm="1">
        <f t="array" aca="1" ref="G164" ca="1">MMS_Swine_N2ODirect_Equations.VEERG_4_5_1_3__7_NitrogenTransferredToStage2MMS(G118,$E142,$E153)</f>
        <v>90.665999999999968</v>
      </c>
      <c r="H164" s="50" cm="1">
        <f t="array" aca="1" ref="H164" ca="1">MMS_Swine_N2ODirect_Equations.VEERG_4_5_1_3__7_NitrogenTransferredToStage2MMS(H118,$E142,$E153)</f>
        <v>61.495199999999983</v>
      </c>
      <c r="I164" s="2" t="str">
        <f>$E$133</f>
        <v>kg N</v>
      </c>
      <c r="N164" s="55" t="str">
        <f>INDEX(X_Table_Swine_Stage1MMS_AnaerobicLagoon,2,1)</f>
        <v>Anaerobic lagoon</v>
      </c>
      <c r="O164" s="50" cm="1">
        <f t="array" aca="1" ref="O164" ca="1">MMS_Swine_N2ODirect_Equations.VEERG_4_5_1_3__7_NitrogenTransferredToStage2MMS(O118,$E142,$E153)</f>
        <v>90.665999999999968</v>
      </c>
      <c r="P164" s="50" cm="1">
        <f t="array" aca="1" ref="P164" ca="1">MMS_Swine_N2ODirect_Equations.VEERG_4_5_1_3__7_NitrogenTransferredToStage2MMS(P118,$E142,$E153)</f>
        <v>96.579000000000008</v>
      </c>
      <c r="Q164" s="50" cm="1">
        <f t="array" aca="1" ref="Q164" ca="1">MMS_Swine_N2ODirect_Equations.VEERG_4_5_1_3__7_NitrogenTransferredToStage2MMS(Q118,$E142,$E153)</f>
        <v>90.665999999999968</v>
      </c>
      <c r="R164" s="50" cm="1">
        <f t="array" aca="1" ref="R164" ca="1">MMS_Swine_N2ODirect_Equations.VEERG_4_5_1_3__7_NitrogenTransferredToStage2MMS(R118,$E142,$E153)</f>
        <v>61.495199999999983</v>
      </c>
      <c r="S164" s="2" t="str">
        <f>$E$133</f>
        <v>kg N</v>
      </c>
    </row>
    <row r="165" spans="1:21" ht="20.100000000000001" customHeight="1" x14ac:dyDescent="0.25">
      <c r="D165" s="55" t="str">
        <f>INDEX(X_Table_Swine_Stage1MMS_Drylot,2,1)</f>
        <v>Drylot (feed pad)</v>
      </c>
      <c r="E165" s="50" cm="1">
        <f t="array" aca="1" ref="E165" ca="1">MMS_Swine_N2ODirect_Equations.VEERG_4_5_1_3__7_NitrogenTransferredToStage2MMS(E119,$E143,$E154)</f>
        <v>137.00639999999996</v>
      </c>
      <c r="F165" s="50" cm="1">
        <f t="array" aca="1" ref="F165" ca="1">MMS_Swine_N2ODirect_Equations.VEERG_4_5_1_3__7_NitrogenTransferredToStage2MMS(F119,$E143,$E154)</f>
        <v>145.94160000000002</v>
      </c>
      <c r="G165" s="50" cm="1">
        <f t="array" aca="1" ref="G165" ca="1">MMS_Swine_N2ODirect_Equations.VEERG_4_5_1_3__7_NitrogenTransferredToStage2MMS(G119,$E143,$E154)</f>
        <v>137.00639999999996</v>
      </c>
      <c r="H165" s="50" cm="1">
        <f t="array" aca="1" ref="H165" ca="1">MMS_Swine_N2ODirect_Equations.VEERG_4_5_1_3__7_NitrogenTransferredToStage2MMS(H119,$E143,$E154)</f>
        <v>92.92607999999997</v>
      </c>
      <c r="I165" s="2"/>
      <c r="N165" s="55" t="str">
        <f>INDEX(X_Table_Swine_Stage1MMS_Drylot,2,1)</f>
        <v>Drylot (feed pad)</v>
      </c>
      <c r="O165" s="50" cm="1">
        <f t="array" aca="1" ref="O165" ca="1">MMS_Swine_N2ODirect_Equations.VEERG_4_5_1_3__7_NitrogenTransferredToStage2MMS(O119,$E143,$E154)</f>
        <v>137.00639999999996</v>
      </c>
      <c r="P165" s="50" cm="1">
        <f t="array" aca="1" ref="P165" ca="1">MMS_Swine_N2ODirect_Equations.VEERG_4_5_1_3__7_NitrogenTransferredToStage2MMS(P119,$E143,$E154)</f>
        <v>145.94160000000002</v>
      </c>
      <c r="Q165" s="50" cm="1">
        <f t="array" aca="1" ref="Q165" ca="1">MMS_Swine_N2ODirect_Equations.VEERG_4_5_1_3__7_NitrogenTransferredToStage2MMS(Q119,$E143,$E154)</f>
        <v>137.00639999999996</v>
      </c>
      <c r="R165" s="50" cm="1">
        <f t="array" aca="1" ref="R165" ca="1">MMS_Swine_N2ODirect_Equations.VEERG_4_5_1_3__7_NitrogenTransferredToStage2MMS(R119,$E143,$E154)</f>
        <v>92.92607999999997</v>
      </c>
      <c r="S165" s="2"/>
    </row>
    <row r="166" spans="1:21" ht="20.100000000000001" customHeight="1" x14ac:dyDescent="0.25">
      <c r="D166" s="55" t="str">
        <f>INDEX(X_Table_Swine_Stage1MMS_DigesterCoveredLagoons,2,1)</f>
        <v>Digester / covered lagoons</v>
      </c>
      <c r="E166" s="50" cm="1">
        <f t="array" aca="1" ref="E166" ca="1">MMS_Swine_N2ODirect_Equations.VEERG_4_5_1_3__7_NitrogenTransferredToStage2MMS(E120,$E144,$E155)</f>
        <v>201.47999999999996</v>
      </c>
      <c r="F166" s="50" cm="1">
        <f t="array" aca="1" ref="F166" ca="1">MMS_Swine_N2ODirect_Equations.VEERG_4_5_1_3__7_NitrogenTransferredToStage2MMS(F120,$E144,$E155)</f>
        <v>214.62000000000003</v>
      </c>
      <c r="G166" s="50" cm="1">
        <f t="array" aca="1" ref="G166" ca="1">MMS_Swine_N2ODirect_Equations.VEERG_4_5_1_3__7_NitrogenTransferredToStage2MMS(G120,$E144,$E155)</f>
        <v>201.47999999999996</v>
      </c>
      <c r="H166" s="50" cm="1">
        <f t="array" aca="1" ref="H166" ca="1">MMS_Swine_N2ODirect_Equations.VEERG_4_5_1_3__7_NitrogenTransferredToStage2MMS(H120,$E144,$E155)</f>
        <v>136.65599999999998</v>
      </c>
      <c r="I166" s="2"/>
      <c r="N166" s="55" t="str">
        <f>INDEX(X_Table_Swine_Stage1MMS_DigesterCoveredLagoons,2,1)</f>
        <v>Digester / covered lagoons</v>
      </c>
      <c r="O166" s="50" cm="1">
        <f t="array" aca="1" ref="O166" ca="1">MMS_Swine_N2ODirect_Equations.VEERG_4_5_1_3__7_NitrogenTransferredToStage2MMS(O120,$E144,$E155)</f>
        <v>201.47999999999996</v>
      </c>
      <c r="P166" s="50" cm="1">
        <f t="array" aca="1" ref="P166" ca="1">MMS_Swine_N2ODirect_Equations.VEERG_4_5_1_3__7_NitrogenTransferredToStage2MMS(P120,$E144,$E155)</f>
        <v>214.62000000000003</v>
      </c>
      <c r="Q166" s="50" cm="1">
        <f t="array" aca="1" ref="Q166" ca="1">MMS_Swine_N2ODirect_Equations.VEERG_4_5_1_3__7_NitrogenTransferredToStage2MMS(Q120,$E144,$E155)</f>
        <v>201.47999999999996</v>
      </c>
      <c r="R166" s="50" cm="1">
        <f t="array" aca="1" ref="R166" ca="1">MMS_Swine_N2ODirect_Equations.VEERG_4_5_1_3__7_NitrogenTransferredToStage2MMS(R120,$E144,$E155)</f>
        <v>136.65599999999998</v>
      </c>
      <c r="S166" s="2"/>
    </row>
    <row r="167" spans="1:21" ht="20.100000000000001" customHeight="1" x14ac:dyDescent="0.25">
      <c r="D167" s="55" t="str">
        <f>INDEX(X_Table_Swine_Stage1MMS_DeepLitter,2,1)</f>
        <v>Deep litter</v>
      </c>
      <c r="E167" s="50" cm="1">
        <f t="array" aca="1" ref="E167" ca="1">MMS_Swine_N2ODirect_Equations.VEERG_4_5_1_3__7_NitrogenTransferredToStage2MMS(E121,$E145,$E156)</f>
        <v>174.28019999999995</v>
      </c>
      <c r="F167" s="50" cm="1">
        <f t="array" aca="1" ref="F167" ca="1">MMS_Swine_N2ODirect_Equations.VEERG_4_5_1_3__7_NitrogenTransferredToStage2MMS(F121,$E145,$E156)</f>
        <v>185.64630000000002</v>
      </c>
      <c r="G167" s="50" cm="1">
        <f t="array" aca="1" ref="G167" ca="1">MMS_Swine_N2ODirect_Equations.VEERG_4_5_1_3__7_NitrogenTransferredToStage2MMS(G121,$E145,$E156)</f>
        <v>174.28019999999995</v>
      </c>
      <c r="H167" s="50" cm="1">
        <f t="array" aca="1" ref="H167" ca="1">MMS_Swine_N2ODirect_Equations.VEERG_4_5_1_3__7_NitrogenTransferredToStage2MMS(H121,$E145,$E156)</f>
        <v>118.20743999999998</v>
      </c>
      <c r="I167" s="2"/>
      <c r="N167" s="55" t="str">
        <f>INDEX(X_Table_Swine_Stage1MMS_DeepLitter,2,1)</f>
        <v>Deep litter</v>
      </c>
      <c r="O167" s="50" cm="1">
        <f t="array" aca="1" ref="O167" ca="1">MMS_Swine_N2ODirect_Equations.VEERG_4_5_1_3__7_NitrogenTransferredToStage2MMS(O121,$E145,$E156)</f>
        <v>174.28019999999995</v>
      </c>
      <c r="P167" s="50" cm="1">
        <f t="array" aca="1" ref="P167" ca="1">MMS_Swine_N2ODirect_Equations.VEERG_4_5_1_3__7_NitrogenTransferredToStage2MMS(P121,$E145,$E156)</f>
        <v>185.64630000000002</v>
      </c>
      <c r="Q167" s="50" cm="1">
        <f t="array" aca="1" ref="Q167" ca="1">MMS_Swine_N2ODirect_Equations.VEERG_4_5_1_3__7_NitrogenTransferredToStage2MMS(Q121,$E145,$E156)</f>
        <v>174.28019999999995</v>
      </c>
      <c r="R167" s="50" cm="1">
        <f t="array" aca="1" ref="R167" ca="1">MMS_Swine_N2ODirect_Equations.VEERG_4_5_1_3__7_NitrogenTransferredToStage2MMS(R121,$E145,$E156)</f>
        <v>118.20743999999998</v>
      </c>
      <c r="S167" s="2"/>
    </row>
    <row r="168" spans="1:21" ht="20.100000000000001" customHeight="1" x14ac:dyDescent="0.25">
      <c r="D168" s="55" t="str">
        <f>INDEX(X_Table_Swine_Stage1MMS_PitStorage,2,1)</f>
        <v>Pit storage</v>
      </c>
      <c r="E168" s="50" cm="1">
        <f t="array" aca="1" ref="E168" ca="1">MMS_Swine_N2ODirect_Equations.VEERG_4_5_1_3__7_NitrogenTransferredToStage2MMS(E122,$E146,$E157)</f>
        <v>150.70703999999998</v>
      </c>
      <c r="F168" s="50" cm="1">
        <f t="array" aca="1" ref="F168" ca="1">MMS_Swine_N2ODirect_Equations.VEERG_4_5_1_3__7_NitrogenTransferredToStage2MMS(F122,$E146,$E157)</f>
        <v>160.53576000000001</v>
      </c>
      <c r="G168" s="50" cm="1">
        <f t="array" aca="1" ref="G168" ca="1">MMS_Swine_N2ODirect_Equations.VEERG_4_5_1_3__7_NitrogenTransferredToStage2MMS(G122,$E146,$E157)</f>
        <v>150.70703999999998</v>
      </c>
      <c r="H168" s="50" cm="1">
        <f t="array" aca="1" ref="H168" ca="1">MMS_Swine_N2ODirect_Equations.VEERG_4_5_1_3__7_NitrogenTransferredToStage2MMS(H122,$E146,$E157)</f>
        <v>102.21868799999999</v>
      </c>
      <c r="I168" s="2"/>
      <c r="N168" s="55" t="str">
        <f>INDEX(X_Table_Swine_Stage1MMS_PitStorage,2,1)</f>
        <v>Pit storage</v>
      </c>
      <c r="O168" s="50" cm="1">
        <f t="array" aca="1" ref="O168" ca="1">MMS_Swine_N2ODirect_Equations.VEERG_4_5_1_3__7_NitrogenTransferredToStage2MMS(O122,$E146,$E157)</f>
        <v>150.70703999999998</v>
      </c>
      <c r="P168" s="50" cm="1">
        <f t="array" aca="1" ref="P168" ca="1">MMS_Swine_N2ODirect_Equations.VEERG_4_5_1_3__7_NitrogenTransferredToStage2MMS(P122,$E146,$E157)</f>
        <v>160.53576000000001</v>
      </c>
      <c r="Q168" s="50" cm="1">
        <f t="array" aca="1" ref="Q168" ca="1">MMS_Swine_N2ODirect_Equations.VEERG_4_5_1_3__7_NitrogenTransferredToStage2MMS(Q122,$E146,$E157)</f>
        <v>150.70703999999998</v>
      </c>
      <c r="R168" s="50" cm="1">
        <f t="array" aca="1" ref="R168" ca="1">MMS_Swine_N2ODirect_Equations.VEERG_4_5_1_3__7_NitrogenTransferredToStage2MMS(R122,$E146,$E157)</f>
        <v>102.21868799999999</v>
      </c>
      <c r="S168" s="2"/>
    </row>
    <row r="169" spans="1:21" ht="20.100000000000001" customHeight="1" x14ac:dyDescent="0.25">
      <c r="D169" s="55" t="s">
        <v>346</v>
      </c>
      <c r="E169" s="50" cm="1">
        <f t="array" aca="1" ref="E169" ca="1">MMS_Swine_N2ODirect_Equations.VEERG_4_5_1_3__7_NitrogenTransferredToStage2MMS(E123,$E147,$E158)</f>
        <v>533.92200000000014</v>
      </c>
      <c r="F169" s="50" cm="1">
        <f t="array" aca="1" ref="F169" ca="1">MMS_Swine_N2ODirect_Equations.VEERG_4_5_1_3__7_NitrogenTransferredToStage2MMS(F123,$E147,$E158)</f>
        <v>568.74300000000028</v>
      </c>
      <c r="G169" s="50" cm="1">
        <f t="array" aca="1" ref="G169" ca="1">MMS_Swine_N2ODirect_Equations.VEERG_4_5_1_3__7_NitrogenTransferredToStage2MMS(G123,$E147,$E158)</f>
        <v>533.92200000000014</v>
      </c>
      <c r="H169" s="50" cm="1">
        <f t="array" aca="1" ref="H169" ca="1">MMS_Swine_N2ODirect_Equations.VEERG_4_5_1_3__7_NitrogenTransferredToStage2MMS(H123,$E147,$E158)</f>
        <v>362.13840000000016</v>
      </c>
      <c r="I169" s="2"/>
      <c r="N169" s="55" t="s">
        <v>346</v>
      </c>
      <c r="O169" s="50" cm="1">
        <f t="array" aca="1" ref="O169" ca="1">MMS_Swine_N2ODirect_Equations.VEERG_4_5_1_3__7_NitrogenTransferredToStage2MMS(O123,$E147,$E158)</f>
        <v>533.92200000000014</v>
      </c>
      <c r="P169" s="50" cm="1">
        <f t="array" aca="1" ref="P169" ca="1">MMS_Swine_N2ODirect_Equations.VEERG_4_5_1_3__7_NitrogenTransferredToStage2MMS(P123,$E147,$E158)</f>
        <v>568.74300000000028</v>
      </c>
      <c r="Q169" s="50" cm="1">
        <f t="array" aca="1" ref="Q169" ca="1">MMS_Swine_N2ODirect_Equations.VEERG_4_5_1_3__7_NitrogenTransferredToStage2MMS(Q123,$E147,$E158)</f>
        <v>533.92200000000014</v>
      </c>
      <c r="R169" s="50" cm="1">
        <f t="array" aca="1" ref="R169" ca="1">MMS_Swine_N2ODirect_Equations.VEERG_4_5_1_3__7_NitrogenTransferredToStage2MMS(R123,$E147,$E158)</f>
        <v>362.13840000000016</v>
      </c>
      <c r="S169" s="2"/>
    </row>
    <row r="170" spans="1:21" ht="20.100000000000001" customHeight="1" x14ac:dyDescent="0.25"/>
    <row r="171" spans="1:21" ht="20.100000000000001" customHeight="1" x14ac:dyDescent="0.25">
      <c r="A171" s="141" t="str">
        <f>HYPERLINK("#A1", "▲ Back to top")</f>
        <v>▲ Back to top</v>
      </c>
    </row>
    <row r="172" spans="1:21" ht="20.100000000000001" customHeight="1" x14ac:dyDescent="0.25">
      <c r="C172" s="43"/>
      <c r="D172" s="43"/>
      <c r="E172" s="43"/>
      <c r="F172" s="43"/>
      <c r="G172" s="43"/>
      <c r="H172" s="43"/>
      <c r="I172" s="43"/>
      <c r="J172" s="43"/>
      <c r="K172" s="43"/>
      <c r="M172" s="43"/>
      <c r="N172" s="43"/>
      <c r="O172" s="43"/>
      <c r="P172" s="43"/>
      <c r="Q172" s="43"/>
      <c r="R172" s="43"/>
      <c r="S172" s="43"/>
      <c r="T172" s="43"/>
      <c r="U172" s="43"/>
    </row>
    <row r="173" spans="1:21" ht="20.100000000000001" customHeight="1" x14ac:dyDescent="0.25">
      <c r="D173" s="6" t="str" cm="1">
        <f t="array" ref="D173">MMS_Swine_N2ODirect_Equations.VEERG_4_5_1_3__6_Stage2NitrogenInMMS_Title()</f>
        <v>Nitrogen in treatment stage 2 MMS</v>
      </c>
    </row>
    <row r="174" spans="1:21" ht="20.100000000000001" customHeight="1" x14ac:dyDescent="0.25">
      <c r="D174" s="5" t="str" cm="1">
        <f t="array" ref="D174">MMS_Swine_N2ODirect_Equations.VEERG_4_5_1_3__6_Stage2NitrogenInMMS_Source()</f>
        <v>VEERG 2026: 4.5.1.3, Equation (6)</v>
      </c>
    </row>
    <row r="175" spans="1:21" ht="20.100000000000001" customHeight="1" x14ac:dyDescent="0.25">
      <c r="D175" s="13" t="s">
        <v>23</v>
      </c>
      <c r="E175" s="13" t="str" cm="1">
        <f t="array" aca="1" ref="E175" ca="1">Common_InputFunctions.Utility_DisplayFunctionName(F217)</f>
        <v>=MMS_Swine_N2ODirect_Equations.VEERG_4_5_1_3__6_Stage2NitrogenInMMS</v>
      </c>
    </row>
    <row r="176" spans="1:21" ht="20.100000000000001" customHeight="1" x14ac:dyDescent="0.25"/>
    <row r="177" spans="4:10" ht="20.100000000000001" customHeight="1" x14ac:dyDescent="0.25"/>
    <row r="178" spans="4:10" ht="20.100000000000001" customHeight="1" x14ac:dyDescent="0.25">
      <c r="D178" s="51" t="s">
        <v>26</v>
      </c>
      <c r="E178" s="1" t="str" cm="1">
        <f t="array" ref="E178">MMS_Swine_N2ODirect_Equations.VEERG_4_5_1_3__6_Stage2NitrogenInMMS_Variable()</f>
        <v>MN_jmT2</v>
      </c>
    </row>
    <row r="179" spans="4:10" ht="20.100000000000001" customHeight="1" x14ac:dyDescent="0.25">
      <c r="D179" s="51" t="s">
        <v>16</v>
      </c>
      <c r="E179" s="52" t="str" cm="1">
        <f t="array" ref="E179">MMS_Swine_N2ODirect_Equations.VEERG_4_5_1_3__6_Stage2NitrogenInMMS_Unit()</f>
        <v>kg N</v>
      </c>
    </row>
    <row r="180" spans="4:10" ht="20.100000000000001" customHeight="1" x14ac:dyDescent="0.25"/>
    <row r="181" spans="4:10" ht="20.100000000000001" customHeight="1" x14ac:dyDescent="0.25">
      <c r="D181" s="104" t="str" cm="1">
        <f t="array" ref="D181:E182">Common_InputFunctions.Utility_DisplayArguments_1_2(MMS_Swine_N2ODirect_Equations.VEERG_4_5_1_3__6_Stage2NitrogenInMMS_Arguments())</f>
        <v>NT_jmT2</v>
      </c>
      <c r="E181" s="106" t="str">
        <v>nitrogen transferred to secondary treatment MMS</v>
      </c>
      <c r="F181" s="105"/>
      <c r="G181" s="136" t="str" cm="1">
        <f t="array" ref="G181:H182">Common_InputFunctions.Utility_DisplayArguments_3_4(MMS_Swine_N2ODirect_Equations.VEERG_4_5_1_3__6_Stage2NitrogenInMMS_Arguments())</f>
        <v>kg N</v>
      </c>
      <c r="H181" s="131" t="str">
        <v>Calculated from 4.5.1.3 (7)</v>
      </c>
      <c r="I181" s="135" t="str" cm="1">
        <f t="array" aca="1" ref="I181" ca="1">HYPERLINK(Common_InputFunctions.Utility_SourceHyperlink(D161), D161)</f>
        <v>M1_Table_NT_j_m_T-2</v>
      </c>
    </row>
    <row r="182" spans="4:10" ht="20.100000000000001" customHeight="1" x14ac:dyDescent="0.25">
      <c r="D182" s="104" t="str">
        <v>MMS_jmT2</v>
      </c>
      <c r="E182" s="106" t="str">
        <v>fraction of manure in each secondary system</v>
      </c>
      <c r="F182" s="105"/>
      <c r="G182" s="136" t="str">
        <v>fraction</v>
      </c>
      <c r="H182" s="132" t="str">
        <v>Input</v>
      </c>
      <c r="I182" s="135" t="str" cm="1">
        <f t="array" aca="1" ref="I182" ca="1">HYPERLINK(Common_InputFunctions.Utility_SourceHyperlink(D184), D184)</f>
        <v>Table_MMS_j_m_T-2</v>
      </c>
    </row>
    <row r="183" spans="4:10" ht="20.100000000000001" customHeight="1" x14ac:dyDescent="0.25"/>
    <row r="184" spans="4:10" ht="20.100000000000001" customHeight="1" x14ac:dyDescent="0.25">
      <c r="D184" s="117" t="s">
        <v>162</v>
      </c>
    </row>
    <row r="185" spans="4:10" ht="20.100000000000001" customHeight="1" x14ac:dyDescent="0.25">
      <c r="D185" s="118" t="s">
        <v>163</v>
      </c>
    </row>
    <row r="186" spans="4:10" ht="20.100000000000001" customHeight="1" x14ac:dyDescent="0.25">
      <c r="D186" s="115" t="s">
        <v>156</v>
      </c>
      <c r="E186" s="115" t="s">
        <v>164</v>
      </c>
      <c r="F186" s="115" t="s">
        <v>135</v>
      </c>
      <c r="G186" s="115" t="s">
        <v>136</v>
      </c>
      <c r="H186" s="115" t="s">
        <v>137</v>
      </c>
      <c r="I186" s="115" t="s">
        <v>195</v>
      </c>
    </row>
    <row r="187" spans="4:10" ht="20.100000000000001" customHeight="1" x14ac:dyDescent="0.25">
      <c r="D187" s="55" t="str">
        <f>INDEX(X_Table_Swine_Stage1MMS_AnaerobicLagoon,2,1)</f>
        <v>Anaerobic lagoon</v>
      </c>
      <c r="E187" s="104" t="str" cm="1">
        <f t="array" aca="1" ref="E187:I190" ca="1">OFFSET(X_Table_Swine_Stage2MMS_From_AnaerobicLagoon,1,0,4,5)</f>
        <v>Digester / covered lagoons</v>
      </c>
      <c r="F187" s="50">
        <f ca="1"/>
        <v>0.2</v>
      </c>
      <c r="G187" s="50">
        <f ca="1"/>
        <v>0.25</v>
      </c>
      <c r="H187" s="50">
        <f ca="1"/>
        <v>0.25</v>
      </c>
      <c r="I187" s="50">
        <f ca="1"/>
        <v>0.25</v>
      </c>
      <c r="J187" s="2" t="str">
        <f>G182</f>
        <v>fraction</v>
      </c>
    </row>
    <row r="188" spans="4:10" ht="20.100000000000001" customHeight="1" x14ac:dyDescent="0.25">
      <c r="D188" s="55"/>
      <c r="E188" s="104" t="str">
        <f ca="1"/>
        <v>Deep litter</v>
      </c>
      <c r="F188" s="50">
        <f ca="1"/>
        <v>0.2</v>
      </c>
      <c r="G188" s="50">
        <f ca="1"/>
        <v>0.25</v>
      </c>
      <c r="H188" s="50">
        <f ca="1"/>
        <v>0.25</v>
      </c>
      <c r="I188" s="50">
        <f ca="1"/>
        <v>0.25</v>
      </c>
      <c r="J188" s="2"/>
    </row>
    <row r="189" spans="4:10" ht="20.100000000000001" customHeight="1" x14ac:dyDescent="0.25">
      <c r="D189" s="55"/>
      <c r="E189" s="104" t="str">
        <f ca="1"/>
        <v>Pit storage</v>
      </c>
      <c r="F189" s="50">
        <f ca="1"/>
        <v>0.2</v>
      </c>
      <c r="G189" s="50">
        <f ca="1"/>
        <v>0.25</v>
      </c>
      <c r="H189" s="50">
        <f ca="1"/>
        <v>0.25</v>
      </c>
      <c r="I189" s="50">
        <f ca="1"/>
        <v>0.25</v>
      </c>
      <c r="J189" s="2"/>
    </row>
    <row r="190" spans="4:10" ht="20.100000000000001" customHeight="1" x14ac:dyDescent="0.25">
      <c r="D190" s="55"/>
      <c r="E190" s="55" t="str">
        <f ca="1"/>
        <v>Direct application</v>
      </c>
      <c r="F190" s="50">
        <f ca="1"/>
        <v>0.39999999999999991</v>
      </c>
      <c r="G190" s="50">
        <f ca="1"/>
        <v>0.25</v>
      </c>
      <c r="H190" s="50">
        <f ca="1"/>
        <v>0.25</v>
      </c>
      <c r="I190" s="50">
        <f ca="1"/>
        <v>0.25</v>
      </c>
      <c r="J190" s="2"/>
    </row>
    <row r="191" spans="4:10" ht="20.100000000000001" customHeight="1" x14ac:dyDescent="0.25">
      <c r="D191" s="55" t="str">
        <f>INDEX(X_Table_Swine_Stage1MMS_Drylot,2,1)</f>
        <v>Drylot (feed pad)</v>
      </c>
      <c r="E191" s="104" t="str" cm="1">
        <f t="array" aca="1" ref="E191:I195" ca="1">OFFSET(X_Table_Swine_Stage2MMS_From_Drylot,1,0,5,5)</f>
        <v>Anaerobic lagoon</v>
      </c>
      <c r="F191" s="50">
        <f ca="1"/>
        <v>0.2</v>
      </c>
      <c r="G191" s="50">
        <f ca="1"/>
        <v>0.25</v>
      </c>
      <c r="H191" s="50">
        <f ca="1"/>
        <v>0.25</v>
      </c>
      <c r="I191" s="50">
        <f ca="1"/>
        <v>0.25</v>
      </c>
      <c r="J191" s="2"/>
    </row>
    <row r="192" spans="4:10" ht="20.100000000000001" customHeight="1" x14ac:dyDescent="0.25">
      <c r="D192" s="55"/>
      <c r="E192" s="104" t="str">
        <f ca="1"/>
        <v>Digester / covered lagoons</v>
      </c>
      <c r="F192" s="50">
        <f ca="1"/>
        <v>0.2</v>
      </c>
      <c r="G192" s="50">
        <f ca="1"/>
        <v>0.25</v>
      </c>
      <c r="H192" s="50">
        <f ca="1"/>
        <v>0.25</v>
      </c>
      <c r="I192" s="50">
        <f ca="1"/>
        <v>0.25</v>
      </c>
      <c r="J192" s="2"/>
    </row>
    <row r="193" spans="4:10" ht="20.100000000000001" customHeight="1" x14ac:dyDescent="0.25">
      <c r="D193" s="55"/>
      <c r="E193" s="104" t="str">
        <f ca="1"/>
        <v>Deep litter</v>
      </c>
      <c r="F193" s="50">
        <f ca="1"/>
        <v>0.2</v>
      </c>
      <c r="G193" s="50">
        <f ca="1"/>
        <v>0.25</v>
      </c>
      <c r="H193" s="50">
        <f ca="1"/>
        <v>0.25</v>
      </c>
      <c r="I193" s="50">
        <f ca="1"/>
        <v>0.25</v>
      </c>
      <c r="J193" s="2"/>
    </row>
    <row r="194" spans="4:10" ht="20.100000000000001" customHeight="1" x14ac:dyDescent="0.25">
      <c r="D194" s="55"/>
      <c r="E194" s="104" t="str">
        <f ca="1"/>
        <v>Pit storage</v>
      </c>
      <c r="F194" s="50">
        <f ca="1"/>
        <v>0.2</v>
      </c>
      <c r="G194" s="50">
        <f ca="1"/>
        <v>0.25</v>
      </c>
      <c r="H194" s="50">
        <f ca="1"/>
        <v>0.25</v>
      </c>
      <c r="I194" s="50">
        <f ca="1"/>
        <v>0.25</v>
      </c>
      <c r="J194" s="2"/>
    </row>
    <row r="195" spans="4:10" ht="20.100000000000001" customHeight="1" x14ac:dyDescent="0.25">
      <c r="D195" s="55"/>
      <c r="E195" s="55" t="str">
        <f ca="1"/>
        <v>Direct application</v>
      </c>
      <c r="F195" s="50">
        <f ca="1"/>
        <v>0.19999999999999996</v>
      </c>
      <c r="G195" s="50">
        <f ca="1"/>
        <v>0</v>
      </c>
      <c r="H195" s="50">
        <f ca="1"/>
        <v>0</v>
      </c>
      <c r="I195" s="50">
        <f ca="1"/>
        <v>0</v>
      </c>
      <c r="J195" s="2"/>
    </row>
    <row r="196" spans="4:10" ht="20.100000000000001" customHeight="1" x14ac:dyDescent="0.25">
      <c r="D196" s="55" t="str">
        <f>INDEX(X_Table_Swine_Stage1MMS_DigesterCoveredLagoons,2,1)</f>
        <v>Digester / covered lagoons</v>
      </c>
      <c r="E196" s="104" t="str" cm="1">
        <f t="array" aca="1" ref="E196:I199" ca="1">OFFSET(X_Table_Swine_Stage2MMS_From_DigesterCoveredLagoons,1,0,4,5)</f>
        <v>Anaerobic lagoon</v>
      </c>
      <c r="F196" s="50">
        <f ca="1"/>
        <v>0.2</v>
      </c>
      <c r="G196" s="50">
        <f ca="1"/>
        <v>0.25</v>
      </c>
      <c r="H196" s="50">
        <f ca="1"/>
        <v>0.25</v>
      </c>
      <c r="I196" s="50">
        <f ca="1"/>
        <v>0.25</v>
      </c>
      <c r="J196" s="2"/>
    </row>
    <row r="197" spans="4:10" ht="20.100000000000001" customHeight="1" x14ac:dyDescent="0.25">
      <c r="D197" s="55"/>
      <c r="E197" s="104" t="str">
        <f ca="1"/>
        <v>Deep litter</v>
      </c>
      <c r="F197" s="50">
        <f ca="1"/>
        <v>0.2</v>
      </c>
      <c r="G197" s="50">
        <f ca="1"/>
        <v>0.25</v>
      </c>
      <c r="H197" s="50">
        <f ca="1"/>
        <v>0.25</v>
      </c>
      <c r="I197" s="50">
        <f ca="1"/>
        <v>0.25</v>
      </c>
      <c r="J197" s="2"/>
    </row>
    <row r="198" spans="4:10" ht="20.100000000000001" customHeight="1" x14ac:dyDescent="0.25">
      <c r="D198" s="55"/>
      <c r="E198" s="104" t="str">
        <f ca="1"/>
        <v>Pit storage</v>
      </c>
      <c r="F198" s="50">
        <f ca="1"/>
        <v>0.2</v>
      </c>
      <c r="G198" s="50">
        <f ca="1"/>
        <v>0.25</v>
      </c>
      <c r="H198" s="50">
        <f ca="1"/>
        <v>0.25</v>
      </c>
      <c r="I198" s="50">
        <f ca="1"/>
        <v>0.25</v>
      </c>
      <c r="J198" s="2"/>
    </row>
    <row r="199" spans="4:10" ht="20.100000000000001" customHeight="1" x14ac:dyDescent="0.25">
      <c r="D199" s="55"/>
      <c r="E199" s="55" t="str">
        <f ca="1"/>
        <v>Direct application</v>
      </c>
      <c r="F199" s="50">
        <f ca="1"/>
        <v>0.39999999999999991</v>
      </c>
      <c r="G199" s="50">
        <f ca="1"/>
        <v>0.25</v>
      </c>
      <c r="H199" s="50">
        <f ca="1"/>
        <v>0.25</v>
      </c>
      <c r="I199" s="50">
        <f ca="1"/>
        <v>0.25</v>
      </c>
      <c r="J199" s="2"/>
    </row>
    <row r="200" spans="4:10" ht="20.100000000000001" customHeight="1" x14ac:dyDescent="0.25">
      <c r="D200" s="55" t="str">
        <f>INDEX(X_Table_Swine_Stage1MMS_DeepLitter,2,1)</f>
        <v>Deep litter</v>
      </c>
      <c r="E200" s="104" t="str" cm="1">
        <f t="array" aca="1" ref="E200:I203" ca="1">OFFSET(X_Table_Swine_Stage2MMS_From_DeepLitter,1,0,4,5)</f>
        <v>Anaerobic lagoon</v>
      </c>
      <c r="F200" s="50">
        <f ca="1"/>
        <v>0.2</v>
      </c>
      <c r="G200" s="50">
        <f ca="1"/>
        <v>0.25</v>
      </c>
      <c r="H200" s="50">
        <f ca="1"/>
        <v>0.25</v>
      </c>
      <c r="I200" s="50">
        <f ca="1"/>
        <v>0.25</v>
      </c>
      <c r="J200" s="2"/>
    </row>
    <row r="201" spans="4:10" ht="20.100000000000001" customHeight="1" x14ac:dyDescent="0.25">
      <c r="D201" s="55"/>
      <c r="E201" s="104" t="str">
        <f ca="1"/>
        <v>Digester / covered lagoons</v>
      </c>
      <c r="F201" s="50">
        <f ca="1"/>
        <v>0.2</v>
      </c>
      <c r="G201" s="50">
        <f ca="1"/>
        <v>0.25</v>
      </c>
      <c r="H201" s="50">
        <f ca="1"/>
        <v>0.25</v>
      </c>
      <c r="I201" s="50">
        <f ca="1"/>
        <v>0.25</v>
      </c>
      <c r="J201" s="2"/>
    </row>
    <row r="202" spans="4:10" ht="20.100000000000001" customHeight="1" x14ac:dyDescent="0.25">
      <c r="D202" s="55"/>
      <c r="E202" s="104" t="str">
        <f ca="1"/>
        <v>Pit storage</v>
      </c>
      <c r="F202" s="50">
        <f ca="1"/>
        <v>0.2</v>
      </c>
      <c r="G202" s="50">
        <f ca="1"/>
        <v>0.25</v>
      </c>
      <c r="H202" s="50">
        <f ca="1"/>
        <v>0.25</v>
      </c>
      <c r="I202" s="50">
        <f ca="1"/>
        <v>0.25</v>
      </c>
      <c r="J202" s="2"/>
    </row>
    <row r="203" spans="4:10" ht="20.100000000000001" customHeight="1" x14ac:dyDescent="0.25">
      <c r="D203" s="55"/>
      <c r="E203" s="55" t="str">
        <f ca="1"/>
        <v>Direct application</v>
      </c>
      <c r="F203" s="50">
        <f ca="1"/>
        <v>0.39999999999999991</v>
      </c>
      <c r="G203" s="50">
        <f ca="1"/>
        <v>0.25</v>
      </c>
      <c r="H203" s="50">
        <f ca="1"/>
        <v>0.25</v>
      </c>
      <c r="I203" s="50">
        <f ca="1"/>
        <v>0.25</v>
      </c>
      <c r="J203" s="2"/>
    </row>
    <row r="204" spans="4:10" ht="20.100000000000001" customHeight="1" x14ac:dyDescent="0.25">
      <c r="D204" s="55" t="str">
        <f>INDEX(X_Table_Swine_Stage1MMS_PitStorage,2,1)</f>
        <v>Pit storage</v>
      </c>
      <c r="E204" s="104" t="str" cm="1">
        <f t="array" aca="1" ref="E204:I207" ca="1">OFFSET(X_Table_Swine_Stage2MMS_From_PitStorage,1,0,4,5)</f>
        <v>Anaerobic lagoon</v>
      </c>
      <c r="F204" s="50">
        <f ca="1"/>
        <v>0.2</v>
      </c>
      <c r="G204" s="50">
        <f ca="1"/>
        <v>0.25</v>
      </c>
      <c r="H204" s="50">
        <f ca="1"/>
        <v>0.25</v>
      </c>
      <c r="I204" s="50">
        <f ca="1"/>
        <v>0.25</v>
      </c>
      <c r="J204" s="2"/>
    </row>
    <row r="205" spans="4:10" ht="20.100000000000001" customHeight="1" x14ac:dyDescent="0.25">
      <c r="D205" s="55"/>
      <c r="E205" s="104" t="str">
        <f ca="1"/>
        <v>Digester / covered lagoons</v>
      </c>
      <c r="F205" s="50">
        <f ca="1"/>
        <v>0.2</v>
      </c>
      <c r="G205" s="50">
        <f ca="1"/>
        <v>0.25</v>
      </c>
      <c r="H205" s="50">
        <f ca="1"/>
        <v>0.25</v>
      </c>
      <c r="I205" s="50">
        <f ca="1"/>
        <v>0.25</v>
      </c>
      <c r="J205" s="2"/>
    </row>
    <row r="206" spans="4:10" ht="20.100000000000001" customHeight="1" x14ac:dyDescent="0.25">
      <c r="D206" s="55"/>
      <c r="E206" s="104" t="str">
        <f ca="1"/>
        <v>Deep litter</v>
      </c>
      <c r="F206" s="50">
        <f ca="1"/>
        <v>0.2</v>
      </c>
      <c r="G206" s="50">
        <f ca="1"/>
        <v>0.25</v>
      </c>
      <c r="H206" s="50">
        <f ca="1"/>
        <v>0.25</v>
      </c>
      <c r="I206" s="50">
        <f ca="1"/>
        <v>0.25</v>
      </c>
      <c r="J206" s="2"/>
    </row>
    <row r="207" spans="4:10" ht="20.100000000000001" customHeight="1" x14ac:dyDescent="0.25">
      <c r="D207" s="55"/>
      <c r="E207" s="55" t="str">
        <f ca="1"/>
        <v>Direct application</v>
      </c>
      <c r="F207" s="50">
        <f ca="1"/>
        <v>0.39999999999999991</v>
      </c>
      <c r="G207" s="50">
        <f ca="1"/>
        <v>0.25</v>
      </c>
      <c r="H207" s="50">
        <f ca="1"/>
        <v>0.25</v>
      </c>
      <c r="I207" s="50">
        <f ca="1"/>
        <v>0.25</v>
      </c>
      <c r="J207" s="2"/>
    </row>
    <row r="208" spans="4:10" ht="20.100000000000001" customHeight="1" x14ac:dyDescent="0.25">
      <c r="D208" s="55" t="s">
        <v>346</v>
      </c>
      <c r="E208" s="104" t="str" cm="1">
        <f t="array" aca="1" ref="E208:I212" ca="1">OFFSET(X_Table_Swine_Stage2MMS_From_SolidStorage,1,0,5,5)</f>
        <v>Anaerobic lagoon</v>
      </c>
      <c r="F208" s="50">
        <f ca="1"/>
        <v>0.2</v>
      </c>
      <c r="G208" s="50">
        <f ca="1"/>
        <v>0.2</v>
      </c>
      <c r="H208" s="50">
        <f ca="1"/>
        <v>0.2</v>
      </c>
      <c r="I208" s="50">
        <f ca="1"/>
        <v>0.2</v>
      </c>
      <c r="J208" s="2"/>
    </row>
    <row r="209" spans="4:20" ht="20.100000000000001" customHeight="1" x14ac:dyDescent="0.25">
      <c r="D209" s="55"/>
      <c r="E209" s="104" t="str">
        <f ca="1"/>
        <v>Digester / covered lagoons</v>
      </c>
      <c r="F209" s="50">
        <f ca="1"/>
        <v>0.2</v>
      </c>
      <c r="G209" s="50">
        <f ca="1"/>
        <v>0.2</v>
      </c>
      <c r="H209" s="50">
        <f ca="1"/>
        <v>0.2</v>
      </c>
      <c r="I209" s="50">
        <f ca="1"/>
        <v>0.2</v>
      </c>
      <c r="J209" s="2"/>
    </row>
    <row r="210" spans="4:20" ht="20.100000000000001" customHeight="1" x14ac:dyDescent="0.25">
      <c r="D210" s="55"/>
      <c r="E210" s="104" t="str">
        <f ca="1"/>
        <v>Deep litter</v>
      </c>
      <c r="F210" s="50">
        <f ca="1"/>
        <v>0.2</v>
      </c>
      <c r="G210" s="50">
        <f ca="1"/>
        <v>0.2</v>
      </c>
      <c r="H210" s="50">
        <f ca="1"/>
        <v>0.2</v>
      </c>
      <c r="I210" s="50">
        <f ca="1"/>
        <v>0.2</v>
      </c>
      <c r="J210" s="2"/>
    </row>
    <row r="211" spans="4:20" ht="20.100000000000001" customHeight="1" x14ac:dyDescent="0.25">
      <c r="D211" s="55"/>
      <c r="E211" s="104" t="str">
        <f ca="1"/>
        <v>Pit storage</v>
      </c>
      <c r="F211" s="50">
        <f ca="1"/>
        <v>0.1</v>
      </c>
      <c r="G211" s="50">
        <f ca="1"/>
        <v>0.1</v>
      </c>
      <c r="H211" s="50">
        <f ca="1"/>
        <v>0.1</v>
      </c>
      <c r="I211" s="50">
        <f ca="1"/>
        <v>0.1</v>
      </c>
      <c r="J211" s="2"/>
    </row>
    <row r="212" spans="4:20" ht="20.100000000000001" customHeight="1" x14ac:dyDescent="0.25">
      <c r="D212" s="55"/>
      <c r="E212" s="55" t="str">
        <f ca="1"/>
        <v>Direct application</v>
      </c>
      <c r="F212" s="50">
        <f ca="1"/>
        <v>0.29999999999999993</v>
      </c>
      <c r="G212" s="50">
        <f ca="1"/>
        <v>0.29999999999999993</v>
      </c>
      <c r="H212" s="50">
        <f ca="1"/>
        <v>0.29999999999999993</v>
      </c>
      <c r="I212" s="50">
        <f ca="1"/>
        <v>0.29999999999999993</v>
      </c>
      <c r="J212" s="2"/>
    </row>
    <row r="213" spans="4:20" ht="20.100000000000001" customHeight="1" x14ac:dyDescent="0.25"/>
    <row r="214" spans="4:20" ht="20.100000000000001" customHeight="1" x14ac:dyDescent="0.25">
      <c r="D214" s="117" t="s">
        <v>247</v>
      </c>
      <c r="N214" s="117" t="s">
        <v>303</v>
      </c>
    </row>
    <row r="215" spans="4:20" ht="20.100000000000001" customHeight="1" x14ac:dyDescent="0.25">
      <c r="D215" s="118" t="s">
        <v>248</v>
      </c>
      <c r="N215" s="118" t="s">
        <v>304</v>
      </c>
    </row>
    <row r="216" spans="4:20" ht="20.100000000000001" customHeight="1" x14ac:dyDescent="0.25">
      <c r="D216" s="49" t="s">
        <v>156</v>
      </c>
      <c r="E216" s="49" t="s">
        <v>164</v>
      </c>
      <c r="F216" s="49" t="s">
        <v>135</v>
      </c>
      <c r="G216" s="49" t="s">
        <v>136</v>
      </c>
      <c r="H216" s="49" t="s">
        <v>137</v>
      </c>
      <c r="I216" s="49" t="s">
        <v>195</v>
      </c>
      <c r="N216" s="49" t="s">
        <v>156</v>
      </c>
      <c r="O216" s="49" t="s">
        <v>164</v>
      </c>
      <c r="P216" s="49" t="s">
        <v>135</v>
      </c>
      <c r="Q216" s="49" t="s">
        <v>136</v>
      </c>
      <c r="R216" s="49" t="s">
        <v>137</v>
      </c>
      <c r="S216" s="49" t="s">
        <v>195</v>
      </c>
    </row>
    <row r="217" spans="4:20" ht="20.100000000000001" customHeight="1" x14ac:dyDescent="0.25">
      <c r="D217" s="55" t="str">
        <f>INDEX(X_Table_Swine_Stage1MMS_AnaerobicLagoon,2,1)</f>
        <v>Anaerobic lagoon</v>
      </c>
      <c r="E217" s="55" t="str">
        <f>INDEX(X_Table_Swine_Stage2MMS_From_AnaerobicLagoon,2,1)</f>
        <v>Digester / covered lagoons</v>
      </c>
      <c r="F217" s="50" cm="1">
        <f t="array" aca="1" ref="F217" ca="1">MMS_Swine_N2ODirect_Equations.VEERG_4_5_1_3__6_Stage2NitrogenInMMS(E$164,F187)</f>
        <v>18.133199999999995</v>
      </c>
      <c r="G217" s="50" cm="1">
        <f t="array" aca="1" ref="G217" ca="1">MMS_Swine_N2ODirect_Equations.VEERG_4_5_1_3__6_Stage2NitrogenInMMS(F$164,G187)</f>
        <v>24.144750000000002</v>
      </c>
      <c r="H217" s="50" cm="1">
        <f t="array" aca="1" ref="H217" ca="1">MMS_Swine_N2ODirect_Equations.VEERG_4_5_1_3__6_Stage2NitrogenInMMS(G$164,H187)</f>
        <v>22.666499999999992</v>
      </c>
      <c r="I217" s="50" cm="1">
        <f t="array" aca="1" ref="I217" ca="1">MMS_Swine_N2ODirect_Equations.VEERG_4_5_1_3__6_Stage2NitrogenInMMS(H$164,I187)</f>
        <v>15.373799999999996</v>
      </c>
      <c r="J217" s="2" t="str">
        <f>$E$179</f>
        <v>kg N</v>
      </c>
      <c r="N217" s="55" t="str">
        <f>INDEX(X_Table_Swine_Stage1MMS_AnaerobicLagoon,2,1)</f>
        <v>Anaerobic lagoon</v>
      </c>
      <c r="O217" s="55" t="str">
        <f>INDEX(X_Table_Swine_Stage2MMS_From_AnaerobicLagoon,2,1)</f>
        <v>Digester / covered lagoons</v>
      </c>
      <c r="P217" s="50" cm="1">
        <f t="array" aca="1" ref="P217" ca="1">MMS_Swine_N2ODirect_Equations.VEERG_4_5_1_3__6_Stage2NitrogenInMMS(O$164,F187)</f>
        <v>18.133199999999995</v>
      </c>
      <c r="Q217" s="50" cm="1">
        <f t="array" aca="1" ref="Q217" ca="1">MMS_Swine_N2ODirect_Equations.VEERG_4_5_1_3__6_Stage2NitrogenInMMS(P$164,G187)</f>
        <v>24.144750000000002</v>
      </c>
      <c r="R217" s="50" cm="1">
        <f t="array" aca="1" ref="R217" ca="1">MMS_Swine_N2ODirect_Equations.VEERG_4_5_1_3__6_Stage2NitrogenInMMS(Q$164,H187)</f>
        <v>22.666499999999992</v>
      </c>
      <c r="S217" s="50" cm="1">
        <f t="array" aca="1" ref="S217" ca="1">MMS_Swine_N2ODirect_Equations.VEERG_4_5_1_3__6_Stage2NitrogenInMMS(R$164,I187)</f>
        <v>15.373799999999996</v>
      </c>
      <c r="T217" s="2" t="str">
        <f>$E$179</f>
        <v>kg N</v>
      </c>
    </row>
    <row r="218" spans="4:20" ht="20.100000000000001" customHeight="1" x14ac:dyDescent="0.25">
      <c r="D218" s="55"/>
      <c r="E218" s="55" t="str">
        <f>INDEX(X_Table_Swine_Stage2MMS_From_AnaerobicLagoon,3,1)</f>
        <v>Deep litter</v>
      </c>
      <c r="F218" s="50" cm="1">
        <f t="array" aca="1" ref="F218" ca="1">MMS_Swine_N2ODirect_Equations.VEERG_4_5_1_3__6_Stage2NitrogenInMMS(E$164,F188)</f>
        <v>18.133199999999995</v>
      </c>
      <c r="G218" s="50" cm="1">
        <f t="array" aca="1" ref="G218" ca="1">MMS_Swine_N2ODirect_Equations.VEERG_4_5_1_3__6_Stage2NitrogenInMMS(F$164,G188)</f>
        <v>24.144750000000002</v>
      </c>
      <c r="H218" s="50" cm="1">
        <f t="array" aca="1" ref="H218" ca="1">MMS_Swine_N2ODirect_Equations.VEERG_4_5_1_3__6_Stage2NitrogenInMMS(G$164,H188)</f>
        <v>22.666499999999992</v>
      </c>
      <c r="I218" s="50" cm="1">
        <f t="array" aca="1" ref="I218" ca="1">MMS_Swine_N2ODirect_Equations.VEERG_4_5_1_3__6_Stage2NitrogenInMMS(H$164,I188)</f>
        <v>15.373799999999996</v>
      </c>
      <c r="J218" s="2"/>
      <c r="N218" s="55"/>
      <c r="O218" s="55" t="str">
        <f>INDEX(X_Table_Swine_Stage2MMS_From_AnaerobicLagoon,3,1)</f>
        <v>Deep litter</v>
      </c>
      <c r="P218" s="50" cm="1">
        <f t="array" aca="1" ref="P218" ca="1">MMS_Swine_N2ODirect_Equations.VEERG_4_5_1_3__6_Stage2NitrogenInMMS(O$164,F188)</f>
        <v>18.133199999999995</v>
      </c>
      <c r="Q218" s="50" cm="1">
        <f t="array" aca="1" ref="Q218" ca="1">MMS_Swine_N2ODirect_Equations.VEERG_4_5_1_3__6_Stage2NitrogenInMMS(P$164,G188)</f>
        <v>24.144750000000002</v>
      </c>
      <c r="R218" s="50" cm="1">
        <f t="array" aca="1" ref="R218" ca="1">MMS_Swine_N2ODirect_Equations.VEERG_4_5_1_3__6_Stage2NitrogenInMMS(Q$164,H188)</f>
        <v>22.666499999999992</v>
      </c>
      <c r="S218" s="50" cm="1">
        <f t="array" aca="1" ref="S218" ca="1">MMS_Swine_N2ODirect_Equations.VEERG_4_5_1_3__6_Stage2NitrogenInMMS(R$164,I188)</f>
        <v>15.373799999999996</v>
      </c>
      <c r="T218" s="2"/>
    </row>
    <row r="219" spans="4:20" ht="20.100000000000001" customHeight="1" x14ac:dyDescent="0.25">
      <c r="D219" s="55"/>
      <c r="E219" s="55" t="str">
        <f>INDEX(X_Table_Swine_Stage2MMS_From_AnaerobicLagoon,4,1)</f>
        <v>Pit storage</v>
      </c>
      <c r="F219" s="50" cm="1">
        <f t="array" aca="1" ref="F219" ca="1">MMS_Swine_N2ODirect_Equations.VEERG_4_5_1_3__6_Stage2NitrogenInMMS(E$164,F189)</f>
        <v>18.133199999999995</v>
      </c>
      <c r="G219" s="50" cm="1">
        <f t="array" aca="1" ref="G219" ca="1">MMS_Swine_N2ODirect_Equations.VEERG_4_5_1_3__6_Stage2NitrogenInMMS(F$164,G189)</f>
        <v>24.144750000000002</v>
      </c>
      <c r="H219" s="50" cm="1">
        <f t="array" aca="1" ref="H219" ca="1">MMS_Swine_N2ODirect_Equations.VEERG_4_5_1_3__6_Stage2NitrogenInMMS(G$164,H189)</f>
        <v>22.666499999999992</v>
      </c>
      <c r="I219" s="50" cm="1">
        <f t="array" aca="1" ref="I219" ca="1">MMS_Swine_N2ODirect_Equations.VEERG_4_5_1_3__6_Stage2NitrogenInMMS(H$164,I189)</f>
        <v>15.373799999999996</v>
      </c>
      <c r="J219" s="2"/>
      <c r="N219" s="55"/>
      <c r="O219" s="55" t="str">
        <f>INDEX(X_Table_Swine_Stage2MMS_From_AnaerobicLagoon,4,1)</f>
        <v>Pit storage</v>
      </c>
      <c r="P219" s="50" cm="1">
        <f t="array" aca="1" ref="P219" ca="1">MMS_Swine_N2ODirect_Equations.VEERG_4_5_1_3__6_Stage2NitrogenInMMS(O$164,F189)</f>
        <v>18.133199999999995</v>
      </c>
      <c r="Q219" s="50" cm="1">
        <f t="array" aca="1" ref="Q219" ca="1">MMS_Swine_N2ODirect_Equations.VEERG_4_5_1_3__6_Stage2NitrogenInMMS(P$164,G189)</f>
        <v>24.144750000000002</v>
      </c>
      <c r="R219" s="50" cm="1">
        <f t="array" aca="1" ref="R219" ca="1">MMS_Swine_N2ODirect_Equations.VEERG_4_5_1_3__6_Stage2NitrogenInMMS(Q$164,H189)</f>
        <v>22.666499999999992</v>
      </c>
      <c r="S219" s="50" cm="1">
        <f t="array" aca="1" ref="S219" ca="1">MMS_Swine_N2ODirect_Equations.VEERG_4_5_1_3__6_Stage2NitrogenInMMS(R$164,I189)</f>
        <v>15.373799999999996</v>
      </c>
      <c r="T219" s="2"/>
    </row>
    <row r="220" spans="4:20" ht="20.100000000000001" customHeight="1" x14ac:dyDescent="0.25">
      <c r="D220" s="55"/>
      <c r="E220" s="55" t="str">
        <f>INDEX(X_Table_Swine_Stage2MMS_From_AnaerobicLagoon,5,1)</f>
        <v>Direct application</v>
      </c>
      <c r="F220" s="50" cm="1">
        <f t="array" aca="1" ref="F220" ca="1">MMS_Swine_N2ODirect_Equations.VEERG_4_5_1_3__6_Stage2NitrogenInMMS(E$164,F190)</f>
        <v>36.266399999999976</v>
      </c>
      <c r="G220" s="50" cm="1">
        <f t="array" aca="1" ref="G220" ca="1">MMS_Swine_N2ODirect_Equations.VEERG_4_5_1_3__6_Stage2NitrogenInMMS(F$164,G190)</f>
        <v>24.144750000000002</v>
      </c>
      <c r="H220" s="50" cm="1">
        <f t="array" aca="1" ref="H220" ca="1">MMS_Swine_N2ODirect_Equations.VEERG_4_5_1_3__6_Stage2NitrogenInMMS(G$164,H190)</f>
        <v>22.666499999999992</v>
      </c>
      <c r="I220" s="50" cm="1">
        <f t="array" aca="1" ref="I220" ca="1">MMS_Swine_N2ODirect_Equations.VEERG_4_5_1_3__6_Stage2NitrogenInMMS(H$164,I190)</f>
        <v>15.373799999999996</v>
      </c>
      <c r="J220" s="2"/>
      <c r="N220" s="55"/>
      <c r="O220" s="55" t="str">
        <f>INDEX(X_Table_Swine_Stage2MMS_From_AnaerobicLagoon,5,1)</f>
        <v>Direct application</v>
      </c>
      <c r="P220" s="50" cm="1">
        <f t="array" aca="1" ref="P220" ca="1">MMS_Swine_N2ODirect_Equations.VEERG_4_5_1_3__6_Stage2NitrogenInMMS(O$164,F190)</f>
        <v>36.266399999999976</v>
      </c>
      <c r="Q220" s="50" cm="1">
        <f t="array" aca="1" ref="Q220" ca="1">MMS_Swine_N2ODirect_Equations.VEERG_4_5_1_3__6_Stage2NitrogenInMMS(P$164,G190)</f>
        <v>24.144750000000002</v>
      </c>
      <c r="R220" s="50" cm="1">
        <f t="array" aca="1" ref="R220" ca="1">MMS_Swine_N2ODirect_Equations.VEERG_4_5_1_3__6_Stage2NitrogenInMMS(Q$164,H190)</f>
        <v>22.666499999999992</v>
      </c>
      <c r="S220" s="50" cm="1">
        <f t="array" aca="1" ref="S220" ca="1">MMS_Swine_N2ODirect_Equations.VEERG_4_5_1_3__6_Stage2NitrogenInMMS(R$164,I190)</f>
        <v>15.373799999999996</v>
      </c>
      <c r="T220" s="2"/>
    </row>
    <row r="221" spans="4:20" ht="20.100000000000001" customHeight="1" x14ac:dyDescent="0.25">
      <c r="D221" s="55" t="str">
        <f>INDEX(X_Table_Swine_Stage1MMS_Drylot,2,1)</f>
        <v>Drylot (feed pad)</v>
      </c>
      <c r="E221" s="55" t="str">
        <f>INDEX(X_Table_Swine_Stage2MMS_From_Drylot,2,1)</f>
        <v>Anaerobic lagoon</v>
      </c>
      <c r="F221" s="50" cm="1">
        <f t="array" aca="1" ref="F221" ca="1">MMS_Swine_N2ODirect_Equations.VEERG_4_5_1_3__6_Stage2NitrogenInMMS(E$165,F191)</f>
        <v>27.401279999999993</v>
      </c>
      <c r="G221" s="50" cm="1">
        <f t="array" aca="1" ref="G221" ca="1">MMS_Swine_N2ODirect_Equations.VEERG_4_5_1_3__6_Stage2NitrogenInMMS(F$165,G191)</f>
        <v>36.485400000000006</v>
      </c>
      <c r="H221" s="50" cm="1">
        <f t="array" aca="1" ref="H221" ca="1">MMS_Swine_N2ODirect_Equations.VEERG_4_5_1_3__6_Stage2NitrogenInMMS(G$165,H191)</f>
        <v>34.251599999999989</v>
      </c>
      <c r="I221" s="50" cm="1">
        <f t="array" aca="1" ref="I221" ca="1">MMS_Swine_N2ODirect_Equations.VEERG_4_5_1_3__6_Stage2NitrogenInMMS(H$165,I191)</f>
        <v>23.231519999999993</v>
      </c>
      <c r="J221" s="2"/>
      <c r="N221" s="55" t="str">
        <f>INDEX(X_Table_Swine_Stage1MMS_Drylot,2,1)</f>
        <v>Drylot (feed pad)</v>
      </c>
      <c r="O221" s="55" t="str">
        <f>INDEX(X_Table_Swine_Stage2MMS_From_Drylot,2,1)</f>
        <v>Anaerobic lagoon</v>
      </c>
      <c r="P221" s="50" cm="1">
        <f t="array" aca="1" ref="P221" ca="1">MMS_Swine_N2ODirect_Equations.VEERG_4_5_1_3__6_Stage2NitrogenInMMS(O$165,F191)</f>
        <v>27.401279999999993</v>
      </c>
      <c r="Q221" s="50" cm="1">
        <f t="array" aca="1" ref="Q221" ca="1">MMS_Swine_N2ODirect_Equations.VEERG_4_5_1_3__6_Stage2NitrogenInMMS(P$165,G191)</f>
        <v>36.485400000000006</v>
      </c>
      <c r="R221" s="50" cm="1">
        <f t="array" aca="1" ref="R221" ca="1">MMS_Swine_N2ODirect_Equations.VEERG_4_5_1_3__6_Stage2NitrogenInMMS(Q$165,H191)</f>
        <v>34.251599999999989</v>
      </c>
      <c r="S221" s="50" cm="1">
        <f t="array" aca="1" ref="S221" ca="1">MMS_Swine_N2ODirect_Equations.VEERG_4_5_1_3__6_Stage2NitrogenInMMS(R$165,I191)</f>
        <v>23.231519999999993</v>
      </c>
      <c r="T221" s="2"/>
    </row>
    <row r="222" spans="4:20" ht="20.100000000000001" customHeight="1" x14ac:dyDescent="0.25">
      <c r="D222" s="55"/>
      <c r="E222" s="55" t="str">
        <f>INDEX(X_Table_Swine_Stage2MMS_From_Drylot,3,1)</f>
        <v>Digester / covered lagoons</v>
      </c>
      <c r="F222" s="50" cm="1">
        <f t="array" aca="1" ref="F222" ca="1">MMS_Swine_N2ODirect_Equations.VEERG_4_5_1_3__6_Stage2NitrogenInMMS(E$165,F192)</f>
        <v>27.401279999999993</v>
      </c>
      <c r="G222" s="50" cm="1">
        <f t="array" aca="1" ref="G222" ca="1">MMS_Swine_N2ODirect_Equations.VEERG_4_5_1_3__6_Stage2NitrogenInMMS(F$165,G192)</f>
        <v>36.485400000000006</v>
      </c>
      <c r="H222" s="50" cm="1">
        <f t="array" aca="1" ref="H222" ca="1">MMS_Swine_N2ODirect_Equations.VEERG_4_5_1_3__6_Stage2NitrogenInMMS(G$165,H192)</f>
        <v>34.251599999999989</v>
      </c>
      <c r="I222" s="50" cm="1">
        <f t="array" aca="1" ref="I222" ca="1">MMS_Swine_N2ODirect_Equations.VEERG_4_5_1_3__6_Stage2NitrogenInMMS(H$165,I192)</f>
        <v>23.231519999999993</v>
      </c>
      <c r="J222" s="2"/>
      <c r="N222" s="55"/>
      <c r="O222" s="55" t="str">
        <f>INDEX(X_Table_Swine_Stage2MMS_From_Drylot,3,1)</f>
        <v>Digester / covered lagoons</v>
      </c>
      <c r="P222" s="50" cm="1">
        <f t="array" aca="1" ref="P222" ca="1">MMS_Swine_N2ODirect_Equations.VEERG_4_5_1_3__6_Stage2NitrogenInMMS(O$165,F192)</f>
        <v>27.401279999999993</v>
      </c>
      <c r="Q222" s="50" cm="1">
        <f t="array" aca="1" ref="Q222" ca="1">MMS_Swine_N2ODirect_Equations.VEERG_4_5_1_3__6_Stage2NitrogenInMMS(P$165,G192)</f>
        <v>36.485400000000006</v>
      </c>
      <c r="R222" s="50" cm="1">
        <f t="array" aca="1" ref="R222" ca="1">MMS_Swine_N2ODirect_Equations.VEERG_4_5_1_3__6_Stage2NitrogenInMMS(Q$165,H192)</f>
        <v>34.251599999999989</v>
      </c>
      <c r="S222" s="50" cm="1">
        <f t="array" aca="1" ref="S222" ca="1">MMS_Swine_N2ODirect_Equations.VEERG_4_5_1_3__6_Stage2NitrogenInMMS(R$165,I192)</f>
        <v>23.231519999999993</v>
      </c>
      <c r="T222" s="2"/>
    </row>
    <row r="223" spans="4:20" ht="20.100000000000001" customHeight="1" x14ac:dyDescent="0.25">
      <c r="D223" s="55"/>
      <c r="E223" s="55" t="str">
        <f>INDEX(X_Table_Swine_Stage2MMS_From_Drylot,4,1)</f>
        <v>Deep litter</v>
      </c>
      <c r="F223" s="50" cm="1">
        <f t="array" aca="1" ref="F223" ca="1">MMS_Swine_N2ODirect_Equations.VEERG_4_5_1_3__6_Stage2NitrogenInMMS(E$165,F193)</f>
        <v>27.401279999999993</v>
      </c>
      <c r="G223" s="50" cm="1">
        <f t="array" aca="1" ref="G223" ca="1">MMS_Swine_N2ODirect_Equations.VEERG_4_5_1_3__6_Stage2NitrogenInMMS(F$165,G193)</f>
        <v>36.485400000000006</v>
      </c>
      <c r="H223" s="50" cm="1">
        <f t="array" aca="1" ref="H223" ca="1">MMS_Swine_N2ODirect_Equations.VEERG_4_5_1_3__6_Stage2NitrogenInMMS(G$165,H193)</f>
        <v>34.251599999999989</v>
      </c>
      <c r="I223" s="50" cm="1">
        <f t="array" aca="1" ref="I223" ca="1">MMS_Swine_N2ODirect_Equations.VEERG_4_5_1_3__6_Stage2NitrogenInMMS(H$165,I193)</f>
        <v>23.231519999999993</v>
      </c>
      <c r="J223" s="2"/>
      <c r="N223" s="55"/>
      <c r="O223" s="55" t="str">
        <f>INDEX(X_Table_Swine_Stage2MMS_From_Drylot,4,1)</f>
        <v>Deep litter</v>
      </c>
      <c r="P223" s="50" cm="1">
        <f t="array" aca="1" ref="P223" ca="1">MMS_Swine_N2ODirect_Equations.VEERG_4_5_1_3__6_Stage2NitrogenInMMS(O$165,F193)</f>
        <v>27.401279999999993</v>
      </c>
      <c r="Q223" s="50" cm="1">
        <f t="array" aca="1" ref="Q223" ca="1">MMS_Swine_N2ODirect_Equations.VEERG_4_5_1_3__6_Stage2NitrogenInMMS(P$165,G193)</f>
        <v>36.485400000000006</v>
      </c>
      <c r="R223" s="50" cm="1">
        <f t="array" aca="1" ref="R223" ca="1">MMS_Swine_N2ODirect_Equations.VEERG_4_5_1_3__6_Stage2NitrogenInMMS(Q$165,H193)</f>
        <v>34.251599999999989</v>
      </c>
      <c r="S223" s="50" cm="1">
        <f t="array" aca="1" ref="S223" ca="1">MMS_Swine_N2ODirect_Equations.VEERG_4_5_1_3__6_Stage2NitrogenInMMS(R$165,I193)</f>
        <v>23.231519999999993</v>
      </c>
      <c r="T223" s="2"/>
    </row>
    <row r="224" spans="4:20" ht="20.100000000000001" customHeight="1" x14ac:dyDescent="0.25">
      <c r="D224" s="55"/>
      <c r="E224" s="55" t="str">
        <f>INDEX(X_Table_Swine_Stage2MMS_From_Drylot,5,1)</f>
        <v>Pit storage</v>
      </c>
      <c r="F224" s="50" cm="1">
        <f t="array" aca="1" ref="F224" ca="1">MMS_Swine_N2ODirect_Equations.VEERG_4_5_1_3__6_Stage2NitrogenInMMS(E$165,F194)</f>
        <v>27.401279999999993</v>
      </c>
      <c r="G224" s="50" cm="1">
        <f t="array" aca="1" ref="G224" ca="1">MMS_Swine_N2ODirect_Equations.VEERG_4_5_1_3__6_Stage2NitrogenInMMS(F$165,G194)</f>
        <v>36.485400000000006</v>
      </c>
      <c r="H224" s="50" cm="1">
        <f t="array" aca="1" ref="H224" ca="1">MMS_Swine_N2ODirect_Equations.VEERG_4_5_1_3__6_Stage2NitrogenInMMS(G$165,H194)</f>
        <v>34.251599999999989</v>
      </c>
      <c r="I224" s="50" cm="1">
        <f t="array" aca="1" ref="I224" ca="1">MMS_Swine_N2ODirect_Equations.VEERG_4_5_1_3__6_Stage2NitrogenInMMS(H$165,I194)</f>
        <v>23.231519999999993</v>
      </c>
      <c r="J224" s="2"/>
      <c r="N224" s="55"/>
      <c r="O224" s="55" t="str">
        <f>INDEX(X_Table_Swine_Stage2MMS_From_Drylot,5,1)</f>
        <v>Pit storage</v>
      </c>
      <c r="P224" s="50" cm="1">
        <f t="array" aca="1" ref="P224" ca="1">MMS_Swine_N2ODirect_Equations.VEERG_4_5_1_3__6_Stage2NitrogenInMMS(O$165,F194)</f>
        <v>27.401279999999993</v>
      </c>
      <c r="Q224" s="50" cm="1">
        <f t="array" aca="1" ref="Q224" ca="1">MMS_Swine_N2ODirect_Equations.VEERG_4_5_1_3__6_Stage2NitrogenInMMS(P$165,G194)</f>
        <v>36.485400000000006</v>
      </c>
      <c r="R224" s="50" cm="1">
        <f t="array" aca="1" ref="R224" ca="1">MMS_Swine_N2ODirect_Equations.VEERG_4_5_1_3__6_Stage2NitrogenInMMS(Q$165,H194)</f>
        <v>34.251599999999989</v>
      </c>
      <c r="S224" s="50" cm="1">
        <f t="array" aca="1" ref="S224" ca="1">MMS_Swine_N2ODirect_Equations.VEERG_4_5_1_3__6_Stage2NitrogenInMMS(R$165,I194)</f>
        <v>23.231519999999993</v>
      </c>
      <c r="T224" s="2"/>
    </row>
    <row r="225" spans="4:20" ht="20.100000000000001" customHeight="1" x14ac:dyDescent="0.25">
      <c r="D225" s="55"/>
      <c r="E225" s="55" t="str">
        <f>INDEX(X_Table_Swine_Stage2MMS_From_Drylot,6,1)</f>
        <v>Direct application</v>
      </c>
      <c r="F225" s="50" cm="1">
        <f t="array" aca="1" ref="F225" ca="1">MMS_Swine_N2ODirect_Equations.VEERG_4_5_1_3__6_Stage2NitrogenInMMS(E$165,F195)</f>
        <v>27.401279999999986</v>
      </c>
      <c r="G225" s="50" cm="1">
        <f t="array" aca="1" ref="G225" ca="1">MMS_Swine_N2ODirect_Equations.VEERG_4_5_1_3__6_Stage2NitrogenInMMS(F$165,G195)</f>
        <v>0</v>
      </c>
      <c r="H225" s="50" cm="1">
        <f t="array" aca="1" ref="H225" ca="1">MMS_Swine_N2ODirect_Equations.VEERG_4_5_1_3__6_Stage2NitrogenInMMS(G$165,H195)</f>
        <v>0</v>
      </c>
      <c r="I225" s="50" cm="1">
        <f t="array" aca="1" ref="I225" ca="1">MMS_Swine_N2ODirect_Equations.VEERG_4_5_1_3__6_Stage2NitrogenInMMS(H$165,I195)</f>
        <v>0</v>
      </c>
      <c r="J225" s="2"/>
      <c r="N225" s="55"/>
      <c r="O225" s="55" t="str">
        <f>INDEX(X_Table_Swine_Stage2MMS_From_Drylot,6,1)</f>
        <v>Direct application</v>
      </c>
      <c r="P225" s="50" cm="1">
        <f t="array" aca="1" ref="P225" ca="1">MMS_Swine_N2ODirect_Equations.VEERG_4_5_1_3__6_Stage2NitrogenInMMS(O$165,F195)</f>
        <v>27.401279999999986</v>
      </c>
      <c r="Q225" s="50" cm="1">
        <f t="array" aca="1" ref="Q225" ca="1">MMS_Swine_N2ODirect_Equations.VEERG_4_5_1_3__6_Stage2NitrogenInMMS(P$165,G195)</f>
        <v>0</v>
      </c>
      <c r="R225" s="50" cm="1">
        <f t="array" aca="1" ref="R225" ca="1">MMS_Swine_N2ODirect_Equations.VEERG_4_5_1_3__6_Stage2NitrogenInMMS(Q$165,H195)</f>
        <v>0</v>
      </c>
      <c r="S225" s="50" cm="1">
        <f t="array" aca="1" ref="S225" ca="1">MMS_Swine_N2ODirect_Equations.VEERG_4_5_1_3__6_Stage2NitrogenInMMS(R$165,I195)</f>
        <v>0</v>
      </c>
      <c r="T225" s="2"/>
    </row>
    <row r="226" spans="4:20" ht="20.100000000000001" customHeight="1" x14ac:dyDescent="0.25">
      <c r="D226" s="55" t="str">
        <f>INDEX(X_Table_Swine_Stage1MMS_DigesterCoveredLagoons,2,1)</f>
        <v>Digester / covered lagoons</v>
      </c>
      <c r="E226" s="55" t="str">
        <f>INDEX(X_Table_Swine_Stage2MMS_From_DigesterCoveredLagoons,2,1)</f>
        <v>Anaerobic lagoon</v>
      </c>
      <c r="F226" s="50" cm="1">
        <f t="array" aca="1" ref="F226" ca="1">MMS_Swine_N2ODirect_Equations.VEERG_4_5_1_3__6_Stage2NitrogenInMMS(E$166,F196)</f>
        <v>40.295999999999992</v>
      </c>
      <c r="G226" s="50" cm="1">
        <f t="array" aca="1" ref="G226" ca="1">MMS_Swine_N2ODirect_Equations.VEERG_4_5_1_3__6_Stage2NitrogenInMMS(F$166,G196)</f>
        <v>53.655000000000008</v>
      </c>
      <c r="H226" s="50" cm="1">
        <f t="array" aca="1" ref="H226" ca="1">MMS_Swine_N2ODirect_Equations.VEERG_4_5_1_3__6_Stage2NitrogenInMMS(G$166,H196)</f>
        <v>50.36999999999999</v>
      </c>
      <c r="I226" s="50" cm="1">
        <f t="array" aca="1" ref="I226" ca="1">MMS_Swine_N2ODirect_Equations.VEERG_4_5_1_3__6_Stage2NitrogenInMMS(H$166,I196)</f>
        <v>34.163999999999994</v>
      </c>
      <c r="J226" s="2"/>
      <c r="N226" s="55" t="str">
        <f>INDEX(X_Table_Swine_Stage1MMS_DigesterCoveredLagoons,2,1)</f>
        <v>Digester / covered lagoons</v>
      </c>
      <c r="O226" s="55" t="str">
        <f>INDEX(X_Table_Swine_Stage2MMS_From_DigesterCoveredLagoons,2,1)</f>
        <v>Anaerobic lagoon</v>
      </c>
      <c r="P226" s="50" cm="1">
        <f t="array" aca="1" ref="P226" ca="1">MMS_Swine_N2ODirect_Equations.VEERG_4_5_1_3__6_Stage2NitrogenInMMS(O$166,F196)</f>
        <v>40.295999999999992</v>
      </c>
      <c r="Q226" s="50" cm="1">
        <f t="array" aca="1" ref="Q226" ca="1">MMS_Swine_N2ODirect_Equations.VEERG_4_5_1_3__6_Stage2NitrogenInMMS(P$166,G196)</f>
        <v>53.655000000000008</v>
      </c>
      <c r="R226" s="50" cm="1">
        <f t="array" aca="1" ref="R226" ca="1">MMS_Swine_N2ODirect_Equations.VEERG_4_5_1_3__6_Stage2NitrogenInMMS(Q$166,H196)</f>
        <v>50.36999999999999</v>
      </c>
      <c r="S226" s="50" cm="1">
        <f t="array" aca="1" ref="S226" ca="1">MMS_Swine_N2ODirect_Equations.VEERG_4_5_1_3__6_Stage2NitrogenInMMS(R$166,I196)</f>
        <v>34.163999999999994</v>
      </c>
      <c r="T226" s="2"/>
    </row>
    <row r="227" spans="4:20" ht="20.100000000000001" customHeight="1" x14ac:dyDescent="0.25">
      <c r="D227" s="55"/>
      <c r="E227" s="55" t="str">
        <f>INDEX(X_Table_Swine_Stage2MMS_From_DigesterCoveredLagoons,3,1)</f>
        <v>Deep litter</v>
      </c>
      <c r="F227" s="50" cm="1">
        <f t="array" aca="1" ref="F227" ca="1">MMS_Swine_N2ODirect_Equations.VEERG_4_5_1_3__6_Stage2NitrogenInMMS(E$166,F197)</f>
        <v>40.295999999999992</v>
      </c>
      <c r="G227" s="50" cm="1">
        <f t="array" aca="1" ref="G227" ca="1">MMS_Swine_N2ODirect_Equations.VEERG_4_5_1_3__6_Stage2NitrogenInMMS(F$166,G197)</f>
        <v>53.655000000000008</v>
      </c>
      <c r="H227" s="50" cm="1">
        <f t="array" aca="1" ref="H227" ca="1">MMS_Swine_N2ODirect_Equations.VEERG_4_5_1_3__6_Stage2NitrogenInMMS(G$166,H197)</f>
        <v>50.36999999999999</v>
      </c>
      <c r="I227" s="50" cm="1">
        <f t="array" aca="1" ref="I227" ca="1">MMS_Swine_N2ODirect_Equations.VEERG_4_5_1_3__6_Stage2NitrogenInMMS(H$166,I197)</f>
        <v>34.163999999999994</v>
      </c>
      <c r="J227" s="2"/>
      <c r="N227" s="55"/>
      <c r="O227" s="55" t="str">
        <f>INDEX(X_Table_Swine_Stage2MMS_From_DigesterCoveredLagoons,3,1)</f>
        <v>Deep litter</v>
      </c>
      <c r="P227" s="50" cm="1">
        <f t="array" aca="1" ref="P227" ca="1">MMS_Swine_N2ODirect_Equations.VEERG_4_5_1_3__6_Stage2NitrogenInMMS(O$166,F197)</f>
        <v>40.295999999999992</v>
      </c>
      <c r="Q227" s="50" cm="1">
        <f t="array" aca="1" ref="Q227" ca="1">MMS_Swine_N2ODirect_Equations.VEERG_4_5_1_3__6_Stage2NitrogenInMMS(P$166,G197)</f>
        <v>53.655000000000008</v>
      </c>
      <c r="R227" s="50" cm="1">
        <f t="array" aca="1" ref="R227" ca="1">MMS_Swine_N2ODirect_Equations.VEERG_4_5_1_3__6_Stage2NitrogenInMMS(Q$166,H197)</f>
        <v>50.36999999999999</v>
      </c>
      <c r="S227" s="50" cm="1">
        <f t="array" aca="1" ref="S227" ca="1">MMS_Swine_N2ODirect_Equations.VEERG_4_5_1_3__6_Stage2NitrogenInMMS(R$166,I197)</f>
        <v>34.163999999999994</v>
      </c>
      <c r="T227" s="2"/>
    </row>
    <row r="228" spans="4:20" ht="20.100000000000001" customHeight="1" x14ac:dyDescent="0.25">
      <c r="D228" s="55"/>
      <c r="E228" s="55" t="str">
        <f>INDEX(X_Table_Swine_Stage2MMS_From_DigesterCoveredLagoons,4,1)</f>
        <v>Pit storage</v>
      </c>
      <c r="F228" s="50" cm="1">
        <f t="array" aca="1" ref="F228" ca="1">MMS_Swine_N2ODirect_Equations.VEERG_4_5_1_3__6_Stage2NitrogenInMMS(E$166,F198)</f>
        <v>40.295999999999992</v>
      </c>
      <c r="G228" s="50" cm="1">
        <f t="array" aca="1" ref="G228" ca="1">MMS_Swine_N2ODirect_Equations.VEERG_4_5_1_3__6_Stage2NitrogenInMMS(F$166,G198)</f>
        <v>53.655000000000008</v>
      </c>
      <c r="H228" s="50" cm="1">
        <f t="array" aca="1" ref="H228" ca="1">MMS_Swine_N2ODirect_Equations.VEERG_4_5_1_3__6_Stage2NitrogenInMMS(G$166,H198)</f>
        <v>50.36999999999999</v>
      </c>
      <c r="I228" s="50" cm="1">
        <f t="array" aca="1" ref="I228" ca="1">MMS_Swine_N2ODirect_Equations.VEERG_4_5_1_3__6_Stage2NitrogenInMMS(H$166,I198)</f>
        <v>34.163999999999994</v>
      </c>
      <c r="J228" s="2"/>
      <c r="N228" s="55"/>
      <c r="O228" s="55" t="str">
        <f>INDEX(X_Table_Swine_Stage2MMS_From_DigesterCoveredLagoons,4,1)</f>
        <v>Pit storage</v>
      </c>
      <c r="P228" s="50" cm="1">
        <f t="array" aca="1" ref="P228" ca="1">MMS_Swine_N2ODirect_Equations.VEERG_4_5_1_3__6_Stage2NitrogenInMMS(O$166,F198)</f>
        <v>40.295999999999992</v>
      </c>
      <c r="Q228" s="50" cm="1">
        <f t="array" aca="1" ref="Q228" ca="1">MMS_Swine_N2ODirect_Equations.VEERG_4_5_1_3__6_Stage2NitrogenInMMS(P$166,G198)</f>
        <v>53.655000000000008</v>
      </c>
      <c r="R228" s="50" cm="1">
        <f t="array" aca="1" ref="R228" ca="1">MMS_Swine_N2ODirect_Equations.VEERG_4_5_1_3__6_Stage2NitrogenInMMS(Q$166,H198)</f>
        <v>50.36999999999999</v>
      </c>
      <c r="S228" s="50" cm="1">
        <f t="array" aca="1" ref="S228" ca="1">MMS_Swine_N2ODirect_Equations.VEERG_4_5_1_3__6_Stage2NitrogenInMMS(R$166,I198)</f>
        <v>34.163999999999994</v>
      </c>
      <c r="T228" s="2"/>
    </row>
    <row r="229" spans="4:20" ht="20.100000000000001" customHeight="1" x14ac:dyDescent="0.25">
      <c r="D229" s="55"/>
      <c r="E229" s="55" t="str">
        <f>INDEX(X_Table_Swine_Stage2MMS_From_DigesterCoveredLagoons,5,1)</f>
        <v>Direct application</v>
      </c>
      <c r="F229" s="50" cm="1">
        <f t="array" aca="1" ref="F229" ca="1">MMS_Swine_N2ODirect_Equations.VEERG_4_5_1_3__6_Stage2NitrogenInMMS(E$166,F199)</f>
        <v>80.59199999999997</v>
      </c>
      <c r="G229" s="50" cm="1">
        <f t="array" aca="1" ref="G229" ca="1">MMS_Swine_N2ODirect_Equations.VEERG_4_5_1_3__6_Stage2NitrogenInMMS(F$166,G199)</f>
        <v>53.655000000000008</v>
      </c>
      <c r="H229" s="50" cm="1">
        <f t="array" aca="1" ref="H229" ca="1">MMS_Swine_N2ODirect_Equations.VEERG_4_5_1_3__6_Stage2NitrogenInMMS(G$166,H199)</f>
        <v>50.36999999999999</v>
      </c>
      <c r="I229" s="50" cm="1">
        <f t="array" aca="1" ref="I229" ca="1">MMS_Swine_N2ODirect_Equations.VEERG_4_5_1_3__6_Stage2NitrogenInMMS(H$166,I199)</f>
        <v>34.163999999999994</v>
      </c>
      <c r="J229" s="2"/>
      <c r="N229" s="55"/>
      <c r="O229" s="55" t="str">
        <f>INDEX(X_Table_Swine_Stage2MMS_From_DigesterCoveredLagoons,5,1)</f>
        <v>Direct application</v>
      </c>
      <c r="P229" s="50" cm="1">
        <f t="array" aca="1" ref="P229" ca="1">MMS_Swine_N2ODirect_Equations.VEERG_4_5_1_3__6_Stage2NitrogenInMMS(O$166,F199)</f>
        <v>80.59199999999997</v>
      </c>
      <c r="Q229" s="50" cm="1">
        <f t="array" aca="1" ref="Q229" ca="1">MMS_Swine_N2ODirect_Equations.VEERG_4_5_1_3__6_Stage2NitrogenInMMS(P$166,G199)</f>
        <v>53.655000000000008</v>
      </c>
      <c r="R229" s="50" cm="1">
        <f t="array" aca="1" ref="R229" ca="1">MMS_Swine_N2ODirect_Equations.VEERG_4_5_1_3__6_Stage2NitrogenInMMS(Q$166,H199)</f>
        <v>50.36999999999999</v>
      </c>
      <c r="S229" s="50" cm="1">
        <f t="array" aca="1" ref="S229" ca="1">MMS_Swine_N2ODirect_Equations.VEERG_4_5_1_3__6_Stage2NitrogenInMMS(R$166,I199)</f>
        <v>34.163999999999994</v>
      </c>
      <c r="T229" s="2"/>
    </row>
    <row r="230" spans="4:20" ht="20.100000000000001" customHeight="1" x14ac:dyDescent="0.25">
      <c r="D230" s="55" t="str">
        <f>INDEX(X_Table_Swine_Stage1MMS_DeepLitter,2,1)</f>
        <v>Deep litter</v>
      </c>
      <c r="E230" s="55" t="str">
        <f>INDEX(X_Table_Swine_Stage2MMS_From_DeepLitter,2,1)</f>
        <v>Anaerobic lagoon</v>
      </c>
      <c r="F230" s="50" cm="1">
        <f t="array" aca="1" ref="F230" ca="1">MMS_Swine_N2ODirect_Equations.VEERG_4_5_1_3__6_Stage2NitrogenInMMS(E$167,F200)</f>
        <v>34.856039999999993</v>
      </c>
      <c r="G230" s="50" cm="1">
        <f t="array" aca="1" ref="G230" ca="1">MMS_Swine_N2ODirect_Equations.VEERG_4_5_1_3__6_Stage2NitrogenInMMS(F$167,G200)</f>
        <v>46.411575000000006</v>
      </c>
      <c r="H230" s="50" cm="1">
        <f t="array" aca="1" ref="H230" ca="1">MMS_Swine_N2ODirect_Equations.VEERG_4_5_1_3__6_Stage2NitrogenInMMS(G$167,H200)</f>
        <v>43.570049999999988</v>
      </c>
      <c r="I230" s="50" cm="1">
        <f t="array" aca="1" ref="I230" ca="1">MMS_Swine_N2ODirect_Equations.VEERG_4_5_1_3__6_Stage2NitrogenInMMS(H$167,I200)</f>
        <v>29.551859999999994</v>
      </c>
      <c r="J230" s="2"/>
      <c r="N230" s="55" t="str">
        <f>INDEX(X_Table_Swine_Stage1MMS_DeepLitter,2,1)</f>
        <v>Deep litter</v>
      </c>
      <c r="O230" s="55" t="str">
        <f>INDEX(X_Table_Swine_Stage2MMS_From_DeepLitter,2,1)</f>
        <v>Anaerobic lagoon</v>
      </c>
      <c r="P230" s="50" cm="1">
        <f t="array" aca="1" ref="P230" ca="1">MMS_Swine_N2ODirect_Equations.VEERG_4_5_1_3__6_Stage2NitrogenInMMS(O$167,F200)</f>
        <v>34.856039999999993</v>
      </c>
      <c r="Q230" s="50" cm="1">
        <f t="array" aca="1" ref="Q230" ca="1">MMS_Swine_N2ODirect_Equations.VEERG_4_5_1_3__6_Stage2NitrogenInMMS(P$167,G200)</f>
        <v>46.411575000000006</v>
      </c>
      <c r="R230" s="50" cm="1">
        <f t="array" aca="1" ref="R230" ca="1">MMS_Swine_N2ODirect_Equations.VEERG_4_5_1_3__6_Stage2NitrogenInMMS(Q$167,H200)</f>
        <v>43.570049999999988</v>
      </c>
      <c r="S230" s="50" cm="1">
        <f t="array" aca="1" ref="S230" ca="1">MMS_Swine_N2ODirect_Equations.VEERG_4_5_1_3__6_Stage2NitrogenInMMS(R$167,I200)</f>
        <v>29.551859999999994</v>
      </c>
      <c r="T230" s="2"/>
    </row>
    <row r="231" spans="4:20" ht="20.100000000000001" customHeight="1" x14ac:dyDescent="0.25">
      <c r="D231" s="55"/>
      <c r="E231" s="55" t="str">
        <f>INDEX(X_Table_Swine_Stage2MMS_From_DeepLitter,3,1)</f>
        <v>Digester / covered lagoons</v>
      </c>
      <c r="F231" s="50" cm="1">
        <f t="array" aca="1" ref="F231" ca="1">MMS_Swine_N2ODirect_Equations.VEERG_4_5_1_3__6_Stage2NitrogenInMMS(E$167,F201)</f>
        <v>34.856039999999993</v>
      </c>
      <c r="G231" s="50" cm="1">
        <f t="array" aca="1" ref="G231" ca="1">MMS_Swine_N2ODirect_Equations.VEERG_4_5_1_3__6_Stage2NitrogenInMMS(F$167,G201)</f>
        <v>46.411575000000006</v>
      </c>
      <c r="H231" s="50" cm="1">
        <f t="array" aca="1" ref="H231" ca="1">MMS_Swine_N2ODirect_Equations.VEERG_4_5_1_3__6_Stage2NitrogenInMMS(G$167,H201)</f>
        <v>43.570049999999988</v>
      </c>
      <c r="I231" s="50" cm="1">
        <f t="array" aca="1" ref="I231" ca="1">MMS_Swine_N2ODirect_Equations.VEERG_4_5_1_3__6_Stage2NitrogenInMMS(H$167,I201)</f>
        <v>29.551859999999994</v>
      </c>
      <c r="J231" s="2"/>
      <c r="N231" s="55"/>
      <c r="O231" s="55" t="str">
        <f>INDEX(X_Table_Swine_Stage2MMS_From_DeepLitter,3,1)</f>
        <v>Digester / covered lagoons</v>
      </c>
      <c r="P231" s="50" cm="1">
        <f t="array" aca="1" ref="P231" ca="1">MMS_Swine_N2ODirect_Equations.VEERG_4_5_1_3__6_Stage2NitrogenInMMS(O$167,F201)</f>
        <v>34.856039999999993</v>
      </c>
      <c r="Q231" s="50" cm="1">
        <f t="array" aca="1" ref="Q231" ca="1">MMS_Swine_N2ODirect_Equations.VEERG_4_5_1_3__6_Stage2NitrogenInMMS(P$167,G201)</f>
        <v>46.411575000000006</v>
      </c>
      <c r="R231" s="50" cm="1">
        <f t="array" aca="1" ref="R231" ca="1">MMS_Swine_N2ODirect_Equations.VEERG_4_5_1_3__6_Stage2NitrogenInMMS(Q$167,H201)</f>
        <v>43.570049999999988</v>
      </c>
      <c r="S231" s="50" cm="1">
        <f t="array" aca="1" ref="S231" ca="1">MMS_Swine_N2ODirect_Equations.VEERG_4_5_1_3__6_Stage2NitrogenInMMS(R$167,I201)</f>
        <v>29.551859999999994</v>
      </c>
      <c r="T231" s="2"/>
    </row>
    <row r="232" spans="4:20" ht="20.100000000000001" customHeight="1" x14ac:dyDescent="0.25">
      <c r="D232" s="55"/>
      <c r="E232" s="55" t="str">
        <f>INDEX(X_Table_Swine_Stage2MMS_From_DeepLitter,4,1)</f>
        <v>Pit storage</v>
      </c>
      <c r="F232" s="50" cm="1">
        <f t="array" aca="1" ref="F232" ca="1">MMS_Swine_N2ODirect_Equations.VEERG_4_5_1_3__6_Stage2NitrogenInMMS(E$167,F202)</f>
        <v>34.856039999999993</v>
      </c>
      <c r="G232" s="50" cm="1">
        <f t="array" aca="1" ref="G232" ca="1">MMS_Swine_N2ODirect_Equations.VEERG_4_5_1_3__6_Stage2NitrogenInMMS(F$167,G202)</f>
        <v>46.411575000000006</v>
      </c>
      <c r="H232" s="50" cm="1">
        <f t="array" aca="1" ref="H232" ca="1">MMS_Swine_N2ODirect_Equations.VEERG_4_5_1_3__6_Stage2NitrogenInMMS(G$167,H202)</f>
        <v>43.570049999999988</v>
      </c>
      <c r="I232" s="50" cm="1">
        <f t="array" aca="1" ref="I232" ca="1">MMS_Swine_N2ODirect_Equations.VEERG_4_5_1_3__6_Stage2NitrogenInMMS(H$167,I202)</f>
        <v>29.551859999999994</v>
      </c>
      <c r="J232" s="2"/>
      <c r="N232" s="55"/>
      <c r="O232" s="55" t="str">
        <f>INDEX(X_Table_Swine_Stage2MMS_From_DeepLitter,4,1)</f>
        <v>Pit storage</v>
      </c>
      <c r="P232" s="50" cm="1">
        <f t="array" aca="1" ref="P232" ca="1">MMS_Swine_N2ODirect_Equations.VEERG_4_5_1_3__6_Stage2NitrogenInMMS(O$167,F202)</f>
        <v>34.856039999999993</v>
      </c>
      <c r="Q232" s="50" cm="1">
        <f t="array" aca="1" ref="Q232" ca="1">MMS_Swine_N2ODirect_Equations.VEERG_4_5_1_3__6_Stage2NitrogenInMMS(P$167,G202)</f>
        <v>46.411575000000006</v>
      </c>
      <c r="R232" s="50" cm="1">
        <f t="array" aca="1" ref="R232" ca="1">MMS_Swine_N2ODirect_Equations.VEERG_4_5_1_3__6_Stage2NitrogenInMMS(Q$167,H202)</f>
        <v>43.570049999999988</v>
      </c>
      <c r="S232" s="50" cm="1">
        <f t="array" aca="1" ref="S232" ca="1">MMS_Swine_N2ODirect_Equations.VEERG_4_5_1_3__6_Stage2NitrogenInMMS(R$167,I202)</f>
        <v>29.551859999999994</v>
      </c>
      <c r="T232" s="2"/>
    </row>
    <row r="233" spans="4:20" ht="20.100000000000001" customHeight="1" x14ac:dyDescent="0.25">
      <c r="D233" s="55"/>
      <c r="E233" s="55" t="str">
        <f>INDEX(X_Table_Swine_Stage2MMS_From_DeepLitter,5,1)</f>
        <v>Direct application</v>
      </c>
      <c r="F233" s="50" cm="1">
        <f t="array" aca="1" ref="F233" ca="1">MMS_Swine_N2ODirect_Equations.VEERG_4_5_1_3__6_Stage2NitrogenInMMS(E$167,F203)</f>
        <v>69.712079999999972</v>
      </c>
      <c r="G233" s="50" cm="1">
        <f t="array" aca="1" ref="G233" ca="1">MMS_Swine_N2ODirect_Equations.VEERG_4_5_1_3__6_Stage2NitrogenInMMS(F$167,G203)</f>
        <v>46.411575000000006</v>
      </c>
      <c r="H233" s="50" cm="1">
        <f t="array" aca="1" ref="H233" ca="1">MMS_Swine_N2ODirect_Equations.VEERG_4_5_1_3__6_Stage2NitrogenInMMS(G$167,H203)</f>
        <v>43.570049999999988</v>
      </c>
      <c r="I233" s="50" cm="1">
        <f t="array" aca="1" ref="I233" ca="1">MMS_Swine_N2ODirect_Equations.VEERG_4_5_1_3__6_Stage2NitrogenInMMS(H$167,I203)</f>
        <v>29.551859999999994</v>
      </c>
      <c r="J233" s="2"/>
      <c r="N233" s="55"/>
      <c r="O233" s="55" t="str">
        <f>INDEX(X_Table_Swine_Stage2MMS_From_DeepLitter,5,1)</f>
        <v>Direct application</v>
      </c>
      <c r="P233" s="50" cm="1">
        <f t="array" aca="1" ref="P233" ca="1">MMS_Swine_N2ODirect_Equations.VEERG_4_5_1_3__6_Stage2NitrogenInMMS(O$167,F203)</f>
        <v>69.712079999999972</v>
      </c>
      <c r="Q233" s="50" cm="1">
        <f t="array" aca="1" ref="Q233" ca="1">MMS_Swine_N2ODirect_Equations.VEERG_4_5_1_3__6_Stage2NitrogenInMMS(P$167,G203)</f>
        <v>46.411575000000006</v>
      </c>
      <c r="R233" s="50" cm="1">
        <f t="array" aca="1" ref="R233" ca="1">MMS_Swine_N2ODirect_Equations.VEERG_4_5_1_3__6_Stage2NitrogenInMMS(Q$167,H203)</f>
        <v>43.570049999999988</v>
      </c>
      <c r="S233" s="50" cm="1">
        <f t="array" aca="1" ref="S233" ca="1">MMS_Swine_N2ODirect_Equations.VEERG_4_5_1_3__6_Stage2NitrogenInMMS(R$167,I203)</f>
        <v>29.551859999999994</v>
      </c>
      <c r="T233" s="2"/>
    </row>
    <row r="234" spans="4:20" ht="20.100000000000001" customHeight="1" x14ac:dyDescent="0.25">
      <c r="D234" s="55" t="str">
        <f>INDEX(X_Table_Swine_Stage1MMS_PitStorage,2,1)</f>
        <v>Pit storage</v>
      </c>
      <c r="E234" s="55" t="str">
        <f>INDEX(X_Table_Swine_Stage2MMS_From_PitStorage,2,1)</f>
        <v>Anaerobic lagoon</v>
      </c>
      <c r="F234" s="50" cm="1">
        <f t="array" aca="1" ref="F234" ca="1">MMS_Swine_N2ODirect_Equations.VEERG_4_5_1_3__6_Stage2NitrogenInMMS(E$168,F204)</f>
        <v>30.141407999999998</v>
      </c>
      <c r="G234" s="50" cm="1">
        <f t="array" aca="1" ref="G234" ca="1">MMS_Swine_N2ODirect_Equations.VEERG_4_5_1_3__6_Stage2NitrogenInMMS(F$168,G204)</f>
        <v>40.133940000000003</v>
      </c>
      <c r="H234" s="50" cm="1">
        <f t="array" aca="1" ref="H234" ca="1">MMS_Swine_N2ODirect_Equations.VEERG_4_5_1_3__6_Stage2NitrogenInMMS(G$168,H204)</f>
        <v>37.676759999999994</v>
      </c>
      <c r="I234" s="50" cm="1">
        <f t="array" aca="1" ref="I234" ca="1">MMS_Swine_N2ODirect_Equations.VEERG_4_5_1_3__6_Stage2NitrogenInMMS(H$168,I204)</f>
        <v>25.554671999999997</v>
      </c>
      <c r="J234" s="2"/>
      <c r="N234" s="55" t="str">
        <f>INDEX(X_Table_Swine_Stage1MMS_PitStorage,2,1)</f>
        <v>Pit storage</v>
      </c>
      <c r="O234" s="55" t="str">
        <f>INDEX(X_Table_Swine_Stage2MMS_From_PitStorage,2,1)</f>
        <v>Anaerobic lagoon</v>
      </c>
      <c r="P234" s="50" cm="1">
        <f t="array" aca="1" ref="P234" ca="1">MMS_Swine_N2ODirect_Equations.VEERG_4_5_1_3__6_Stage2NitrogenInMMS(O$168,F204)</f>
        <v>30.141407999999998</v>
      </c>
      <c r="Q234" s="50" cm="1">
        <f t="array" aca="1" ref="Q234" ca="1">MMS_Swine_N2ODirect_Equations.VEERG_4_5_1_3__6_Stage2NitrogenInMMS(P$168,G204)</f>
        <v>40.133940000000003</v>
      </c>
      <c r="R234" s="50" cm="1">
        <f t="array" aca="1" ref="R234" ca="1">MMS_Swine_N2ODirect_Equations.VEERG_4_5_1_3__6_Stage2NitrogenInMMS(Q$168,H204)</f>
        <v>37.676759999999994</v>
      </c>
      <c r="S234" s="50" cm="1">
        <f t="array" aca="1" ref="S234" ca="1">MMS_Swine_N2ODirect_Equations.VEERG_4_5_1_3__6_Stage2NitrogenInMMS(R$168,I204)</f>
        <v>25.554671999999997</v>
      </c>
      <c r="T234" s="2"/>
    </row>
    <row r="235" spans="4:20" ht="20.100000000000001" customHeight="1" x14ac:dyDescent="0.25">
      <c r="D235" s="55"/>
      <c r="E235" s="55" t="str">
        <f>INDEX(X_Table_Swine_Stage2MMS_From_PitStorage,3,1)</f>
        <v>Digester / covered lagoons</v>
      </c>
      <c r="F235" s="50" cm="1">
        <f t="array" aca="1" ref="F235" ca="1">MMS_Swine_N2ODirect_Equations.VEERG_4_5_1_3__6_Stage2NitrogenInMMS(E$168,F205)</f>
        <v>30.141407999999998</v>
      </c>
      <c r="G235" s="50" cm="1">
        <f t="array" aca="1" ref="G235" ca="1">MMS_Swine_N2ODirect_Equations.VEERG_4_5_1_3__6_Stage2NitrogenInMMS(F$168,G205)</f>
        <v>40.133940000000003</v>
      </c>
      <c r="H235" s="50" cm="1">
        <f t="array" aca="1" ref="H235" ca="1">MMS_Swine_N2ODirect_Equations.VEERG_4_5_1_3__6_Stage2NitrogenInMMS(G$168,H205)</f>
        <v>37.676759999999994</v>
      </c>
      <c r="I235" s="50" cm="1">
        <f t="array" aca="1" ref="I235" ca="1">MMS_Swine_N2ODirect_Equations.VEERG_4_5_1_3__6_Stage2NitrogenInMMS(H$168,I205)</f>
        <v>25.554671999999997</v>
      </c>
      <c r="J235" s="2"/>
      <c r="N235" s="55"/>
      <c r="O235" s="55" t="str">
        <f>INDEX(X_Table_Swine_Stage2MMS_From_PitStorage,3,1)</f>
        <v>Digester / covered lagoons</v>
      </c>
      <c r="P235" s="50" cm="1">
        <f t="array" aca="1" ref="P235" ca="1">MMS_Swine_N2ODirect_Equations.VEERG_4_5_1_3__6_Stage2NitrogenInMMS(O$168,F205)</f>
        <v>30.141407999999998</v>
      </c>
      <c r="Q235" s="50" cm="1">
        <f t="array" aca="1" ref="Q235" ca="1">MMS_Swine_N2ODirect_Equations.VEERG_4_5_1_3__6_Stage2NitrogenInMMS(P$168,G205)</f>
        <v>40.133940000000003</v>
      </c>
      <c r="R235" s="50" cm="1">
        <f t="array" aca="1" ref="R235" ca="1">MMS_Swine_N2ODirect_Equations.VEERG_4_5_1_3__6_Stage2NitrogenInMMS(Q$168,H205)</f>
        <v>37.676759999999994</v>
      </c>
      <c r="S235" s="50" cm="1">
        <f t="array" aca="1" ref="S235" ca="1">MMS_Swine_N2ODirect_Equations.VEERG_4_5_1_3__6_Stage2NitrogenInMMS(R$168,I205)</f>
        <v>25.554671999999997</v>
      </c>
      <c r="T235" s="2"/>
    </row>
    <row r="236" spans="4:20" ht="20.100000000000001" customHeight="1" x14ac:dyDescent="0.25">
      <c r="D236" s="55"/>
      <c r="E236" s="55" t="str">
        <f>INDEX(X_Table_Swine_Stage2MMS_From_PitStorage,4,1)</f>
        <v>Deep litter</v>
      </c>
      <c r="F236" s="50" cm="1">
        <f t="array" aca="1" ref="F236" ca="1">MMS_Swine_N2ODirect_Equations.VEERG_4_5_1_3__6_Stage2NitrogenInMMS(E$168,F206)</f>
        <v>30.141407999999998</v>
      </c>
      <c r="G236" s="50" cm="1">
        <f t="array" aca="1" ref="G236" ca="1">MMS_Swine_N2ODirect_Equations.VEERG_4_5_1_3__6_Stage2NitrogenInMMS(F$168,G206)</f>
        <v>40.133940000000003</v>
      </c>
      <c r="H236" s="50" cm="1">
        <f t="array" aca="1" ref="H236" ca="1">MMS_Swine_N2ODirect_Equations.VEERG_4_5_1_3__6_Stage2NitrogenInMMS(G$168,H206)</f>
        <v>37.676759999999994</v>
      </c>
      <c r="I236" s="50" cm="1">
        <f t="array" aca="1" ref="I236" ca="1">MMS_Swine_N2ODirect_Equations.VEERG_4_5_1_3__6_Stage2NitrogenInMMS(H$168,I206)</f>
        <v>25.554671999999997</v>
      </c>
      <c r="J236" s="2"/>
      <c r="N236" s="55"/>
      <c r="O236" s="55" t="str">
        <f>INDEX(X_Table_Swine_Stage2MMS_From_PitStorage,4,1)</f>
        <v>Deep litter</v>
      </c>
      <c r="P236" s="50" cm="1">
        <f t="array" aca="1" ref="P236" ca="1">MMS_Swine_N2ODirect_Equations.VEERG_4_5_1_3__6_Stage2NitrogenInMMS(O$168,F206)</f>
        <v>30.141407999999998</v>
      </c>
      <c r="Q236" s="50" cm="1">
        <f t="array" aca="1" ref="Q236" ca="1">MMS_Swine_N2ODirect_Equations.VEERG_4_5_1_3__6_Stage2NitrogenInMMS(P$168,G206)</f>
        <v>40.133940000000003</v>
      </c>
      <c r="R236" s="50" cm="1">
        <f t="array" aca="1" ref="R236" ca="1">MMS_Swine_N2ODirect_Equations.VEERG_4_5_1_3__6_Stage2NitrogenInMMS(Q$168,H206)</f>
        <v>37.676759999999994</v>
      </c>
      <c r="S236" s="50" cm="1">
        <f t="array" aca="1" ref="S236" ca="1">MMS_Swine_N2ODirect_Equations.VEERG_4_5_1_3__6_Stage2NitrogenInMMS(R$168,I206)</f>
        <v>25.554671999999997</v>
      </c>
      <c r="T236" s="2"/>
    </row>
    <row r="237" spans="4:20" ht="20.100000000000001" customHeight="1" x14ac:dyDescent="0.25">
      <c r="D237" s="55"/>
      <c r="E237" s="55" t="str">
        <f>INDEX(X_Table_Swine_Stage2MMS_From_PitStorage,5,1)</f>
        <v>Direct application</v>
      </c>
      <c r="F237" s="50" cm="1">
        <f t="array" aca="1" ref="F237" ca="1">MMS_Swine_N2ODirect_Equations.VEERG_4_5_1_3__6_Stage2NitrogenInMMS(E$168,F207)</f>
        <v>60.282815999999976</v>
      </c>
      <c r="G237" s="50" cm="1">
        <f t="array" aca="1" ref="G237" ca="1">MMS_Swine_N2ODirect_Equations.VEERG_4_5_1_3__6_Stage2NitrogenInMMS(F$168,G207)</f>
        <v>40.133940000000003</v>
      </c>
      <c r="H237" s="50" cm="1">
        <f t="array" aca="1" ref="H237" ca="1">MMS_Swine_N2ODirect_Equations.VEERG_4_5_1_3__6_Stage2NitrogenInMMS(G$168,H207)</f>
        <v>37.676759999999994</v>
      </c>
      <c r="I237" s="50" cm="1">
        <f t="array" aca="1" ref="I237" ca="1">MMS_Swine_N2ODirect_Equations.VEERG_4_5_1_3__6_Stage2NitrogenInMMS(H$168,I207)</f>
        <v>25.554671999999997</v>
      </c>
      <c r="J237" s="2"/>
      <c r="N237" s="55"/>
      <c r="O237" s="55" t="str">
        <f>INDEX(X_Table_Swine_Stage2MMS_From_PitStorage,5,1)</f>
        <v>Direct application</v>
      </c>
      <c r="P237" s="50" cm="1">
        <f t="array" aca="1" ref="P237" ca="1">MMS_Swine_N2ODirect_Equations.VEERG_4_5_1_3__6_Stage2NitrogenInMMS(O$168,F207)</f>
        <v>60.282815999999976</v>
      </c>
      <c r="Q237" s="50" cm="1">
        <f t="array" aca="1" ref="Q237" ca="1">MMS_Swine_N2ODirect_Equations.VEERG_4_5_1_3__6_Stage2NitrogenInMMS(P$168,G207)</f>
        <v>40.133940000000003</v>
      </c>
      <c r="R237" s="50" cm="1">
        <f t="array" aca="1" ref="R237" ca="1">MMS_Swine_N2ODirect_Equations.VEERG_4_5_1_3__6_Stage2NitrogenInMMS(Q$168,H207)</f>
        <v>37.676759999999994</v>
      </c>
      <c r="S237" s="50" cm="1">
        <f t="array" aca="1" ref="S237" ca="1">MMS_Swine_N2ODirect_Equations.VEERG_4_5_1_3__6_Stage2NitrogenInMMS(R$168,I207)</f>
        <v>25.554671999999997</v>
      </c>
      <c r="T237" s="2"/>
    </row>
    <row r="238" spans="4:20" ht="20.100000000000001" customHeight="1" x14ac:dyDescent="0.25">
      <c r="D238" s="55" t="s">
        <v>346</v>
      </c>
      <c r="E238" s="55" t="str">
        <f>INDEX(X_Table_Swine_Stage2MMS_From_SolidStorage,2,1)</f>
        <v>Anaerobic lagoon</v>
      </c>
      <c r="F238" s="50" cm="1">
        <f t="array" aca="1" ref="F238" ca="1">MMS_Swine_N2ODirect_Equations.VEERG_4_5_1_3__6_Stage2NitrogenInMMS(E$169,F208)</f>
        <v>106.78440000000003</v>
      </c>
      <c r="G238" s="50" cm="1">
        <f t="array" aca="1" ref="G238" ca="1">MMS_Swine_N2ODirect_Equations.VEERG_4_5_1_3__6_Stage2NitrogenInMMS(F$169,G208)</f>
        <v>113.74860000000007</v>
      </c>
      <c r="H238" s="50" cm="1">
        <f t="array" aca="1" ref="H238" ca="1">MMS_Swine_N2ODirect_Equations.VEERG_4_5_1_3__6_Stage2NitrogenInMMS(G$169,H208)</f>
        <v>106.78440000000003</v>
      </c>
      <c r="I238" s="50" cm="1">
        <f t="array" aca="1" ref="I238" ca="1">MMS_Swine_N2ODirect_Equations.VEERG_4_5_1_3__6_Stage2NitrogenInMMS(H$169,I208)</f>
        <v>72.427680000000038</v>
      </c>
      <c r="J238" s="2"/>
      <c r="N238" s="55" t="s">
        <v>346</v>
      </c>
      <c r="O238" s="55" t="str">
        <f>INDEX(X_Table_Swine_Stage2MMS_From_SolidStorage,2,1)</f>
        <v>Anaerobic lagoon</v>
      </c>
      <c r="P238" s="50" cm="1">
        <f t="array" aca="1" ref="P238" ca="1">MMS_Swine_N2ODirect_Equations.VEERG_4_5_1_3__6_Stage2NitrogenInMMS(O$169,F208)</f>
        <v>106.78440000000003</v>
      </c>
      <c r="Q238" s="50" cm="1">
        <f t="array" aca="1" ref="Q238" ca="1">MMS_Swine_N2ODirect_Equations.VEERG_4_5_1_3__6_Stage2NitrogenInMMS(P$169,G208)</f>
        <v>113.74860000000007</v>
      </c>
      <c r="R238" s="50" cm="1">
        <f t="array" aca="1" ref="R238" ca="1">MMS_Swine_N2ODirect_Equations.VEERG_4_5_1_3__6_Stage2NitrogenInMMS(Q$169,H208)</f>
        <v>106.78440000000003</v>
      </c>
      <c r="S238" s="50" cm="1">
        <f t="array" aca="1" ref="S238" ca="1">MMS_Swine_N2ODirect_Equations.VEERG_4_5_1_3__6_Stage2NitrogenInMMS(R$169,I208)</f>
        <v>72.427680000000038</v>
      </c>
      <c r="T238" s="2"/>
    </row>
    <row r="239" spans="4:20" ht="20.100000000000001" customHeight="1" x14ac:dyDescent="0.25">
      <c r="D239" s="55"/>
      <c r="E239" s="55" t="str">
        <f>INDEX(X_Table_Swine_Stage2MMS_From_SolidStorage,3,1)</f>
        <v>Digester / covered lagoons</v>
      </c>
      <c r="F239" s="50" cm="1">
        <f t="array" aca="1" ref="F239" ca="1">MMS_Swine_N2ODirect_Equations.VEERG_4_5_1_3__6_Stage2NitrogenInMMS(E$169,F209)</f>
        <v>106.78440000000003</v>
      </c>
      <c r="G239" s="50" cm="1">
        <f t="array" aca="1" ref="G239" ca="1">MMS_Swine_N2ODirect_Equations.VEERG_4_5_1_3__6_Stage2NitrogenInMMS(F$169,G209)</f>
        <v>113.74860000000007</v>
      </c>
      <c r="H239" s="50" cm="1">
        <f t="array" aca="1" ref="H239" ca="1">MMS_Swine_N2ODirect_Equations.VEERG_4_5_1_3__6_Stage2NitrogenInMMS(G$169,H209)</f>
        <v>106.78440000000003</v>
      </c>
      <c r="I239" s="50" cm="1">
        <f t="array" aca="1" ref="I239" ca="1">MMS_Swine_N2ODirect_Equations.VEERG_4_5_1_3__6_Stage2NitrogenInMMS(H$169,I209)</f>
        <v>72.427680000000038</v>
      </c>
      <c r="J239" s="2"/>
      <c r="N239" s="55"/>
      <c r="O239" s="55" t="str">
        <f>INDEX(X_Table_Swine_Stage2MMS_From_SolidStorage,3,1)</f>
        <v>Digester / covered lagoons</v>
      </c>
      <c r="P239" s="50" cm="1">
        <f t="array" aca="1" ref="P239" ca="1">MMS_Swine_N2ODirect_Equations.VEERG_4_5_1_3__6_Stage2NitrogenInMMS(O$169,F209)</f>
        <v>106.78440000000003</v>
      </c>
      <c r="Q239" s="50" cm="1">
        <f t="array" aca="1" ref="Q239" ca="1">MMS_Swine_N2ODirect_Equations.VEERG_4_5_1_3__6_Stage2NitrogenInMMS(P$169,G209)</f>
        <v>113.74860000000007</v>
      </c>
      <c r="R239" s="50" cm="1">
        <f t="array" aca="1" ref="R239" ca="1">MMS_Swine_N2ODirect_Equations.VEERG_4_5_1_3__6_Stage2NitrogenInMMS(Q$169,H209)</f>
        <v>106.78440000000003</v>
      </c>
      <c r="S239" s="50" cm="1">
        <f t="array" aca="1" ref="S239" ca="1">MMS_Swine_N2ODirect_Equations.VEERG_4_5_1_3__6_Stage2NitrogenInMMS(R$169,I209)</f>
        <v>72.427680000000038</v>
      </c>
      <c r="T239" s="2"/>
    </row>
    <row r="240" spans="4:20" ht="20.100000000000001" customHeight="1" x14ac:dyDescent="0.25">
      <c r="D240" s="55"/>
      <c r="E240" s="55" t="str">
        <f>INDEX(X_Table_Swine_Stage2MMS_From_SolidStorage,4,1)</f>
        <v>Deep litter</v>
      </c>
      <c r="F240" s="50" cm="1">
        <f t="array" aca="1" ref="F240" ca="1">MMS_Swine_N2ODirect_Equations.VEERG_4_5_1_3__6_Stage2NitrogenInMMS(E$169,F210)</f>
        <v>106.78440000000003</v>
      </c>
      <c r="G240" s="50" cm="1">
        <f t="array" aca="1" ref="G240" ca="1">MMS_Swine_N2ODirect_Equations.VEERG_4_5_1_3__6_Stage2NitrogenInMMS(F$169,G210)</f>
        <v>113.74860000000007</v>
      </c>
      <c r="H240" s="50" cm="1">
        <f t="array" aca="1" ref="H240" ca="1">MMS_Swine_N2ODirect_Equations.VEERG_4_5_1_3__6_Stage2NitrogenInMMS(G$169,H210)</f>
        <v>106.78440000000003</v>
      </c>
      <c r="I240" s="50" cm="1">
        <f t="array" aca="1" ref="I240" ca="1">MMS_Swine_N2ODirect_Equations.VEERG_4_5_1_3__6_Stage2NitrogenInMMS(H$169,I210)</f>
        <v>72.427680000000038</v>
      </c>
      <c r="J240" s="2"/>
      <c r="N240" s="55"/>
      <c r="O240" s="55" t="str">
        <f>INDEX(X_Table_Swine_Stage2MMS_From_SolidStorage,4,1)</f>
        <v>Deep litter</v>
      </c>
      <c r="P240" s="50" cm="1">
        <f t="array" aca="1" ref="P240" ca="1">MMS_Swine_N2ODirect_Equations.VEERG_4_5_1_3__6_Stage2NitrogenInMMS(O$169,F210)</f>
        <v>106.78440000000003</v>
      </c>
      <c r="Q240" s="50" cm="1">
        <f t="array" aca="1" ref="Q240" ca="1">MMS_Swine_N2ODirect_Equations.VEERG_4_5_1_3__6_Stage2NitrogenInMMS(P$169,G210)</f>
        <v>113.74860000000007</v>
      </c>
      <c r="R240" s="50" cm="1">
        <f t="array" aca="1" ref="R240" ca="1">MMS_Swine_N2ODirect_Equations.VEERG_4_5_1_3__6_Stage2NitrogenInMMS(Q$169,H210)</f>
        <v>106.78440000000003</v>
      </c>
      <c r="S240" s="50" cm="1">
        <f t="array" aca="1" ref="S240" ca="1">MMS_Swine_N2ODirect_Equations.VEERG_4_5_1_3__6_Stage2NitrogenInMMS(R$169,I210)</f>
        <v>72.427680000000038</v>
      </c>
      <c r="T240" s="2"/>
    </row>
    <row r="241" spans="1:21" ht="20.100000000000001" customHeight="1" x14ac:dyDescent="0.25">
      <c r="D241" s="55"/>
      <c r="E241" s="55" t="str">
        <f>INDEX(X_Table_Swine_Stage2MMS_From_SolidStorage,5,1)</f>
        <v>Pit storage</v>
      </c>
      <c r="F241" s="50" cm="1">
        <f t="array" aca="1" ref="F241" ca="1">MMS_Swine_N2ODirect_Equations.VEERG_4_5_1_3__6_Stage2NitrogenInMMS(E$169,F211)</f>
        <v>53.392200000000017</v>
      </c>
      <c r="G241" s="50" cm="1">
        <f t="array" aca="1" ref="G241" ca="1">MMS_Swine_N2ODirect_Equations.VEERG_4_5_1_3__6_Stage2NitrogenInMMS(F$169,G211)</f>
        <v>56.874300000000034</v>
      </c>
      <c r="H241" s="50" cm="1">
        <f t="array" aca="1" ref="H241" ca="1">MMS_Swine_N2ODirect_Equations.VEERG_4_5_1_3__6_Stage2NitrogenInMMS(G$169,H211)</f>
        <v>53.392200000000017</v>
      </c>
      <c r="I241" s="50" cm="1">
        <f t="array" aca="1" ref="I241" ca="1">MMS_Swine_N2ODirect_Equations.VEERG_4_5_1_3__6_Stage2NitrogenInMMS(H$169,I211)</f>
        <v>36.213840000000019</v>
      </c>
      <c r="J241" s="2"/>
      <c r="N241" s="55"/>
      <c r="O241" s="55" t="str">
        <f>INDEX(X_Table_Swine_Stage2MMS_From_SolidStorage,5,1)</f>
        <v>Pit storage</v>
      </c>
      <c r="P241" s="50" cm="1">
        <f t="array" aca="1" ref="P241" ca="1">MMS_Swine_N2ODirect_Equations.VEERG_4_5_1_3__6_Stage2NitrogenInMMS(O$169,F211)</f>
        <v>53.392200000000017</v>
      </c>
      <c r="Q241" s="50" cm="1">
        <f t="array" aca="1" ref="Q241" ca="1">MMS_Swine_N2ODirect_Equations.VEERG_4_5_1_3__6_Stage2NitrogenInMMS(P$169,G211)</f>
        <v>56.874300000000034</v>
      </c>
      <c r="R241" s="50" cm="1">
        <f t="array" aca="1" ref="R241" ca="1">MMS_Swine_N2ODirect_Equations.VEERG_4_5_1_3__6_Stage2NitrogenInMMS(Q$169,H211)</f>
        <v>53.392200000000017</v>
      </c>
      <c r="S241" s="50" cm="1">
        <f t="array" aca="1" ref="S241" ca="1">MMS_Swine_N2ODirect_Equations.VEERG_4_5_1_3__6_Stage2NitrogenInMMS(R$169,I211)</f>
        <v>36.213840000000019</v>
      </c>
      <c r="T241" s="2"/>
    </row>
    <row r="242" spans="1:21" ht="20.100000000000001" customHeight="1" x14ac:dyDescent="0.25">
      <c r="D242" s="55"/>
      <c r="E242" s="55" t="str">
        <f>INDEX(X_Table_Swine_Stage2MMS_From_SolidStorage,6,1)</f>
        <v>Direct application</v>
      </c>
      <c r="F242" s="50" cm="1">
        <f t="array" aca="1" ref="F242" ca="1">MMS_Swine_N2ODirect_Equations.VEERG_4_5_1_3__6_Stage2NitrogenInMMS(E$169,F212)</f>
        <v>160.17660000000001</v>
      </c>
      <c r="G242" s="50" cm="1">
        <f t="array" aca="1" ref="G242" ca="1">MMS_Swine_N2ODirect_Equations.VEERG_4_5_1_3__6_Stage2NitrogenInMMS(F$169,G212)</f>
        <v>170.62290000000004</v>
      </c>
      <c r="H242" s="50" cm="1">
        <f t="array" aca="1" ref="H242" ca="1">MMS_Swine_N2ODirect_Equations.VEERG_4_5_1_3__6_Stage2NitrogenInMMS(G$169,H212)</f>
        <v>160.17660000000001</v>
      </c>
      <c r="I242" s="50" cm="1">
        <f t="array" aca="1" ref="I242" ca="1">MMS_Swine_N2ODirect_Equations.VEERG_4_5_1_3__6_Stage2NitrogenInMMS(H$169,I212)</f>
        <v>108.64152000000003</v>
      </c>
      <c r="J242" s="2"/>
      <c r="N242" s="55"/>
      <c r="O242" s="55" t="str">
        <f>INDEX(X_Table_Swine_Stage2MMS_From_SolidStorage,6,1)</f>
        <v>Direct application</v>
      </c>
      <c r="P242" s="50" cm="1">
        <f t="array" aca="1" ref="P242" ca="1">MMS_Swine_N2ODirect_Equations.VEERG_4_5_1_3__6_Stage2NitrogenInMMS(O$169,F212)</f>
        <v>160.17660000000001</v>
      </c>
      <c r="Q242" s="50" cm="1">
        <f t="array" aca="1" ref="Q242" ca="1">MMS_Swine_N2ODirect_Equations.VEERG_4_5_1_3__6_Stage2NitrogenInMMS(P$169,G212)</f>
        <v>170.62290000000004</v>
      </c>
      <c r="R242" s="50" cm="1">
        <f t="array" aca="1" ref="R242" ca="1">MMS_Swine_N2ODirect_Equations.VEERG_4_5_1_3__6_Stage2NitrogenInMMS(Q$169,H212)</f>
        <v>160.17660000000001</v>
      </c>
      <c r="S242" s="50" cm="1">
        <f t="array" aca="1" ref="S242" ca="1">MMS_Swine_N2ODirect_Equations.VEERG_4_5_1_3__6_Stage2NitrogenInMMS(R$169,I212)</f>
        <v>108.64152000000003</v>
      </c>
      <c r="T242" s="2"/>
    </row>
    <row r="243" spans="1:21" ht="20.100000000000001" customHeight="1" x14ac:dyDescent="0.25"/>
    <row r="244" spans="1:21" ht="20.100000000000001" customHeight="1" x14ac:dyDescent="0.25">
      <c r="A244" s="141" t="str">
        <f>HYPERLINK("#A1", "▲ Back to top")</f>
        <v>▲ Back to top</v>
      </c>
    </row>
    <row r="245" spans="1:21" ht="20.100000000000001" customHeight="1" x14ac:dyDescent="0.25">
      <c r="C245" s="43"/>
      <c r="D245" s="43"/>
      <c r="E245" s="43"/>
      <c r="F245" s="43"/>
      <c r="G245" s="43"/>
      <c r="H245" s="43"/>
      <c r="I245" s="43"/>
      <c r="J245" s="43"/>
      <c r="K245" s="43"/>
      <c r="M245" s="43"/>
      <c r="N245" s="43"/>
      <c r="O245" s="43"/>
      <c r="P245" s="43"/>
      <c r="Q245" s="43"/>
      <c r="R245" s="43"/>
      <c r="S245" s="43"/>
      <c r="T245" s="43"/>
      <c r="U245" s="43"/>
    </row>
    <row r="246" spans="1:21" ht="20.100000000000001" customHeight="1" x14ac:dyDescent="0.25">
      <c r="D246" s="6" t="str" cm="1">
        <f t="array" ref="D246">MMS_Swine_N2ODirect_Equations.VEERG_4_5_1_3__1_TotalAnnualDirectNitrousOxideEmissionsFromMMS_Title()</f>
        <v>Total annual direct nitrous oxide emissions from manure management systems</v>
      </c>
    </row>
    <row r="247" spans="1:21" ht="20.100000000000001" customHeight="1" x14ac:dyDescent="0.25">
      <c r="D247" s="5" t="str" cm="1">
        <f t="array" ref="D247">MMS_Swine_N2ODirect_Equations.VEERG_4_5_1_3__1_TotalAnnualDirectNitrousOxideEmissionsFromMMS_Source()</f>
        <v>VEERG 2026: 4.5.1.3, Equation (1)</v>
      </c>
    </row>
    <row r="248" spans="1:21" ht="20.100000000000001" customHeight="1" x14ac:dyDescent="0.25">
      <c r="D248" s="13" t="s">
        <v>23</v>
      </c>
      <c r="E248" s="13" t="str" cm="1">
        <f t="array" aca="1" ref="E248" ca="1">Common_InputFunctions.Utility_DisplayFunctionName(F264)</f>
        <v>=MMS_Swine_N2ODirect_Equations.VEERG_4_5_1_3__1_TotalAnnualDirectNitrousOxideEmissionsFromMMS</v>
      </c>
    </row>
    <row r="249" spans="1:21" ht="20.100000000000001" customHeight="1" x14ac:dyDescent="0.25"/>
    <row r="250" spans="1:21" ht="20.100000000000001" customHeight="1" x14ac:dyDescent="0.25"/>
    <row r="251" spans="1:21" ht="20.100000000000001" customHeight="1" x14ac:dyDescent="0.25">
      <c r="D251" s="51" t="s">
        <v>26</v>
      </c>
      <c r="E251" s="1" t="str" cm="1">
        <f t="array" ref="E251">MMS_Swine_N2ODirect_Equations.VEERG_4_5_1_3__1_TotalAnnualDirectNitrousOxideEmissionsFromMMS_Variable()</f>
        <v>E_N2Odir</v>
      </c>
    </row>
    <row r="252" spans="1:21" ht="20.100000000000001" customHeight="1" x14ac:dyDescent="0.25">
      <c r="D252" s="51" t="s">
        <v>16</v>
      </c>
      <c r="E252" s="52" t="str" cm="1">
        <f t="array" ref="E252">MMS_Swine_N2ODirect_Equations.VEERG_4_5_1_3__1_TotalAnnualDirectNitrousOxideEmissionsFromMMS_Unit()</f>
        <v>t N2O</v>
      </c>
    </row>
    <row r="253" spans="1:21" ht="20.100000000000001" customHeight="1" x14ac:dyDescent="0.25"/>
    <row r="254" spans="1:21" ht="20.100000000000001" customHeight="1" x14ac:dyDescent="0.25">
      <c r="D254" s="104" t="str" cm="1">
        <f t="array" ref="D254:E256">Common_InputFunctions.Utility_DisplayArguments_1_2(MMS_Swine_N2ODirect_Equations.VEERG_4_5_1_3__1_TotalAnnualDirectNitrousOxideEmissionsFromMMS_Arguments())</f>
        <v>MN_jmT</v>
      </c>
      <c r="E254" s="106" t="str">
        <v>nitrogen per swine class, MMS and treatment stage</v>
      </c>
      <c r="F254" s="105"/>
      <c r="G254" s="136" t="str" cm="1">
        <f t="array" ref="G254:H256">Common_InputFunctions.Utility_DisplayArguments_3_4(MMS_Swine_N2ODirect_Equations.VEERG_4_5_1_3__1_TotalAnnualDirectNitrousOxideEmissionsFromMMS_Arguments())</f>
        <v>kg N</v>
      </c>
      <c r="H254" s="131" t="str">
        <v>Calculated from 4.5.1.3 (2)(6)</v>
      </c>
      <c r="I254" s="135" t="str" cm="1">
        <f t="array" aca="1" ref="I254" ca="1">HYPERLINK(Common_InputFunctions.Utility_SourceHyperlink(D115), D115)</f>
        <v>M1_Table_MN_j_m_T-1</v>
      </c>
      <c r="J254" s="135" t="str" cm="1">
        <f t="array" aca="1" ref="J254" ca="1">HYPERLINK(Common_InputFunctions.Utility_SourceHyperlink(D214), D214)</f>
        <v>M1_Table_MN_j_m_T-2</v>
      </c>
    </row>
    <row r="255" spans="1:21" ht="20.100000000000001" customHeight="1" x14ac:dyDescent="0.25">
      <c r="D255" s="104" t="str">
        <v>EF_jm</v>
      </c>
      <c r="E255" s="106" t="str">
        <v>nitrous oxide emission factor for MMS</v>
      </c>
      <c r="F255" s="105"/>
      <c r="G255" s="136" t="str">
        <v>kg N2O-N/kg N</v>
      </c>
      <c r="H255" s="131" t="str">
        <v>Constant</v>
      </c>
      <c r="I255" s="140" t="str" cm="1">
        <f t="array" aca="1" ref="I255" ca="1">HYPERLINK(Common_InputFunctions.Utility_SourceHyperlink(D150), D150)</f>
        <v>Table_EF_m_t-1</v>
      </c>
      <c r="J255" s="139"/>
    </row>
    <row r="256" spans="1:21" ht="20.100000000000001" customHeight="1" x14ac:dyDescent="0.25">
      <c r="D256" s="104" t="str">
        <v>C_N2O</v>
      </c>
      <c r="E256" s="106" t="str">
        <v>factor to convert elemental mass of nitrous oxide to molecular mass</v>
      </c>
      <c r="F256" s="105"/>
      <c r="G256" s="136" t="str">
        <v/>
      </c>
      <c r="H256" s="131" t="str">
        <v>Constant</v>
      </c>
      <c r="I256" s="56">
        <f>Common_InputFunctions.Utility_LookupValueInTableNumber("N2O",Table_GasToMolecularConversionFactor[Gas],Table_GasToMolecularConversionFactor[Conversion factor combined])</f>
        <v>1.5714285714285714</v>
      </c>
      <c r="J256" s="105"/>
    </row>
    <row r="257" spans="4:20" ht="20.100000000000001" customHeight="1" x14ac:dyDescent="0.25"/>
    <row r="258" spans="4:20" ht="20.100000000000001" customHeight="1" x14ac:dyDescent="0.25">
      <c r="D258" s="128" t="s">
        <v>339</v>
      </c>
      <c r="E258" s="87"/>
      <c r="F258" s="87"/>
      <c r="G258" s="83"/>
    </row>
    <row r="259" spans="4:20" ht="20.100000000000001" customHeight="1" x14ac:dyDescent="0.25">
      <c r="D259" s="89" t="s">
        <v>337</v>
      </c>
      <c r="E259" s="86"/>
      <c r="F259" s="86"/>
      <c r="G259" s="84"/>
    </row>
    <row r="260" spans="4:20" ht="20.100000000000001" customHeight="1" x14ac:dyDescent="0.25"/>
    <row r="261" spans="4:20" ht="20.100000000000001" customHeight="1" x14ac:dyDescent="0.25">
      <c r="D261" s="117" t="s">
        <v>249</v>
      </c>
      <c r="N261" s="117" t="s">
        <v>263</v>
      </c>
    </row>
    <row r="262" spans="4:20" ht="20.100000000000001" customHeight="1" x14ac:dyDescent="0.25">
      <c r="D262" s="118" t="s">
        <v>250</v>
      </c>
      <c r="N262" s="118" t="s">
        <v>264</v>
      </c>
    </row>
    <row r="263" spans="4:20" ht="20.100000000000001" customHeight="1" x14ac:dyDescent="0.25">
      <c r="D263" s="49" t="s">
        <v>156</v>
      </c>
      <c r="E263" s="49" t="s">
        <v>164</v>
      </c>
      <c r="F263" s="49" t="s">
        <v>135</v>
      </c>
      <c r="G263" s="49" t="s">
        <v>136</v>
      </c>
      <c r="H263" s="49" t="s">
        <v>137</v>
      </c>
      <c r="I263" s="49" t="s">
        <v>195</v>
      </c>
      <c r="N263" s="49" t="s">
        <v>156</v>
      </c>
      <c r="O263" s="49" t="s">
        <v>164</v>
      </c>
      <c r="P263" s="49" t="s">
        <v>135</v>
      </c>
      <c r="Q263" s="49" t="s">
        <v>136</v>
      </c>
      <c r="R263" s="49" t="s">
        <v>137</v>
      </c>
      <c r="S263" s="49" t="s">
        <v>195</v>
      </c>
    </row>
    <row r="264" spans="4:20" ht="20.100000000000001" customHeight="1" x14ac:dyDescent="0.25">
      <c r="D264" s="55" t="str">
        <f>INDEX(X_Table_Swine_Stage1MMS_AnaerobicLagoon,2,1)</f>
        <v>Anaerobic lagoon</v>
      </c>
      <c r="E264" s="55" t="s">
        <v>165</v>
      </c>
      <c r="F264" s="50" cm="1">
        <f t="array" aca="1" ref="F264" ca="1">MMS_Swine_N2ODirect_Equations.VEERG_4_5_1_3__1_TotalAnnualDirectNitrousOxideEmissionsFromMMS(E118, _xlfn.XLOOKUP($D264, $D$153:$D$159, $E$153:$E$159), $I$256)</f>
        <v>0</v>
      </c>
      <c r="G264" s="50" cm="1">
        <f t="array" aca="1" ref="G264" ca="1">MMS_Swine_N2ODirect_Equations.VEERG_4_5_1_3__1_TotalAnnualDirectNitrousOxideEmissionsFromMMS(F118, _xlfn.XLOOKUP($D264, $D$153:$D$159, $E$153:$E$159), $I$256)</f>
        <v>0</v>
      </c>
      <c r="H264" s="50" cm="1">
        <f t="array" aca="1" ref="H264" ca="1">MMS_Swine_N2ODirect_Equations.VEERG_4_5_1_3__1_TotalAnnualDirectNitrousOxideEmissionsFromMMS(G118, _xlfn.XLOOKUP($D264, $D$153:$D$159, $E$153:$E$159), $I$256)</f>
        <v>0</v>
      </c>
      <c r="I264" s="50" cm="1">
        <f t="array" aca="1" ref="I264" ca="1">MMS_Swine_N2ODirect_Equations.VEERG_4_5_1_3__1_TotalAnnualDirectNitrousOxideEmissionsFromMMS(H118, _xlfn.XLOOKUP($D264, $D$153:$D$159, $E$153:$E$159), $I$256)</f>
        <v>0</v>
      </c>
      <c r="J264" s="2" t="str">
        <f>$E$252</f>
        <v>t N2O</v>
      </c>
      <c r="N264" s="55" t="str">
        <f>INDEX(X_Table_Swine_Stage1MMS_AnaerobicLagoon,2,1)</f>
        <v>Anaerobic lagoon</v>
      </c>
      <c r="O264" s="55" t="s">
        <v>165</v>
      </c>
      <c r="P264" s="50" cm="1">
        <f t="array" aca="1" ref="P264" ca="1">MMS_Swine_N2ODirect_Equations.VEERG_4_5_1_3__1_TotalAnnualDirectNitrousOxideEmissionsFromMMS(O118, _xlfn.XLOOKUP($D264, $D$153:$D$159, $E$153:$E$159), $I$256)</f>
        <v>0</v>
      </c>
      <c r="Q264" s="50" cm="1">
        <f t="array" aca="1" ref="Q264" ca="1">MMS_Swine_N2ODirect_Equations.VEERG_4_5_1_3__1_TotalAnnualDirectNitrousOxideEmissionsFromMMS(P118, _xlfn.XLOOKUP($D264, $D$153:$D$159, $E$153:$E$159), $I$256)</f>
        <v>0</v>
      </c>
      <c r="R264" s="50" cm="1">
        <f t="array" aca="1" ref="R264" ca="1">MMS_Swine_N2ODirect_Equations.VEERG_4_5_1_3__1_TotalAnnualDirectNitrousOxideEmissionsFromMMS(Q118, _xlfn.XLOOKUP($D264, $D$153:$D$159, $E$153:$E$159), $I$256)</f>
        <v>0</v>
      </c>
      <c r="S264" s="50" cm="1">
        <f t="array" aca="1" ref="S264" ca="1">MMS_Swine_N2ODirect_Equations.VEERG_4_5_1_3__1_TotalAnnualDirectNitrousOxideEmissionsFromMMS(R118, _xlfn.XLOOKUP($D264, $D$153:$D$159, $E$153:$E$159), $I$256)</f>
        <v>0</v>
      </c>
      <c r="T264" s="2" t="str">
        <f t="shared" ref="T264" si="2">$E$252</f>
        <v>t N2O</v>
      </c>
    </row>
    <row r="265" spans="4:20" ht="20.100000000000001" customHeight="1" x14ac:dyDescent="0.25">
      <c r="D265" s="55" t="str">
        <f>INDEX(X_Table_Swine_Stage1MMS_Drylot,2,1)</f>
        <v>Drylot (feed pad)</v>
      </c>
      <c r="E265" s="55" t="s">
        <v>165</v>
      </c>
      <c r="F265" s="50" cm="1">
        <f t="array" aca="1" ref="F265" ca="1">MMS_Swine_N2ODirect_Equations.VEERG_4_5_1_3__1_TotalAnnualDirectNitrousOxideEmissionsFromMMS(E119, _xlfn.XLOOKUP($D265, $D$153:$D$159, $E$153:$E$159), $I$256)</f>
        <v>6.3322285714285699E-3</v>
      </c>
      <c r="G265" s="50" cm="1">
        <f t="array" aca="1" ref="G265" ca="1">MMS_Swine_N2ODirect_Equations.VEERG_4_5_1_3__1_TotalAnnualDirectNitrousOxideEmissionsFromMMS(F119, _xlfn.XLOOKUP($D265, $D$153:$D$159, $E$153:$E$159), $I$256)</f>
        <v>6.7452000000000007E-3</v>
      </c>
      <c r="H265" s="50" cm="1">
        <f t="array" aca="1" ref="H265" ca="1">MMS_Swine_N2ODirect_Equations.VEERG_4_5_1_3__1_TotalAnnualDirectNitrousOxideEmissionsFromMMS(G119, _xlfn.XLOOKUP($D265, $D$153:$D$159, $E$153:$E$159), $I$256)</f>
        <v>6.3322285714285699E-3</v>
      </c>
      <c r="I265" s="50" cm="1">
        <f t="array" aca="1" ref="I265" ca="1">MMS_Swine_N2ODirect_Equations.VEERG_4_5_1_3__1_TotalAnnualDirectNitrousOxideEmissionsFromMMS(H119, _xlfn.XLOOKUP($D265, $D$153:$D$159, $E$153:$E$159), $I$256)</f>
        <v>4.2949028571428564E-3</v>
      </c>
      <c r="J265" s="2"/>
      <c r="N265" s="55" t="str">
        <f>INDEX(X_Table_Swine_Stage1MMS_Drylot,2,1)</f>
        <v>Drylot (feed pad)</v>
      </c>
      <c r="O265" s="55" t="s">
        <v>165</v>
      </c>
      <c r="P265" s="50" cm="1">
        <f t="array" aca="1" ref="P265" ca="1">MMS_Swine_N2ODirect_Equations.VEERG_4_5_1_3__1_TotalAnnualDirectNitrousOxideEmissionsFromMMS(O119, _xlfn.XLOOKUP($D265, $D$153:$D$159, $E$153:$E$159), $I$256)</f>
        <v>6.3322285714285699E-3</v>
      </c>
      <c r="Q265" s="50" cm="1">
        <f t="array" aca="1" ref="Q265" ca="1">MMS_Swine_N2ODirect_Equations.VEERG_4_5_1_3__1_TotalAnnualDirectNitrousOxideEmissionsFromMMS(P119, _xlfn.XLOOKUP($D265, $D$153:$D$159, $E$153:$E$159), $I$256)</f>
        <v>6.7452000000000007E-3</v>
      </c>
      <c r="R265" s="50" cm="1">
        <f t="array" aca="1" ref="R265" ca="1">MMS_Swine_N2ODirect_Equations.VEERG_4_5_1_3__1_TotalAnnualDirectNitrousOxideEmissionsFromMMS(Q119, _xlfn.XLOOKUP($D265, $D$153:$D$159, $E$153:$E$159), $I$256)</f>
        <v>6.3322285714285699E-3</v>
      </c>
      <c r="S265" s="50" cm="1">
        <f t="array" aca="1" ref="S265" ca="1">MMS_Swine_N2ODirect_Equations.VEERG_4_5_1_3__1_TotalAnnualDirectNitrousOxideEmissionsFromMMS(R119, _xlfn.XLOOKUP($D265, $D$153:$D$159, $E$153:$E$159), $I$256)</f>
        <v>4.2949028571428564E-3</v>
      </c>
      <c r="T265" s="2"/>
    </row>
    <row r="266" spans="4:20" ht="20.100000000000001" customHeight="1" x14ac:dyDescent="0.25">
      <c r="D266" s="55" t="str">
        <f>INDEX(X_Table_Swine_Stage1MMS_DigesterCoveredLagoons,2,1)</f>
        <v>Digester / covered lagoons</v>
      </c>
      <c r="E266" s="55" t="s">
        <v>165</v>
      </c>
      <c r="F266" s="50" cm="1">
        <f t="array" aca="1" ref="F266" ca="1">MMS_Swine_N2ODirect_Equations.VEERG_4_5_1_3__1_TotalAnnualDirectNitrousOxideEmissionsFromMMS(E120, _xlfn.XLOOKUP($D266, $D$153:$D$159, $E$153:$E$159), $I$256)</f>
        <v>0</v>
      </c>
      <c r="G266" s="50" cm="1">
        <f t="array" aca="1" ref="G266" ca="1">MMS_Swine_N2ODirect_Equations.VEERG_4_5_1_3__1_TotalAnnualDirectNitrousOxideEmissionsFromMMS(F120, _xlfn.XLOOKUP($D266, $D$153:$D$159, $E$153:$E$159), $I$256)</f>
        <v>0</v>
      </c>
      <c r="H266" s="50" cm="1">
        <f t="array" aca="1" ref="H266" ca="1">MMS_Swine_N2ODirect_Equations.VEERG_4_5_1_3__1_TotalAnnualDirectNitrousOxideEmissionsFromMMS(G120, _xlfn.XLOOKUP($D266, $D$153:$D$159, $E$153:$E$159), $I$256)</f>
        <v>0</v>
      </c>
      <c r="I266" s="50" cm="1">
        <f t="array" aca="1" ref="I266" ca="1">MMS_Swine_N2ODirect_Equations.VEERG_4_5_1_3__1_TotalAnnualDirectNitrousOxideEmissionsFromMMS(H120, _xlfn.XLOOKUP($D266, $D$153:$D$159, $E$153:$E$159), $I$256)</f>
        <v>0</v>
      </c>
      <c r="J266" s="2"/>
      <c r="N266" s="55" t="str">
        <f>INDEX(X_Table_Swine_Stage1MMS_DigesterCoveredLagoons,2,1)</f>
        <v>Digester / covered lagoons</v>
      </c>
      <c r="O266" s="55" t="s">
        <v>165</v>
      </c>
      <c r="P266" s="50" cm="1">
        <f t="array" aca="1" ref="P266" ca="1">MMS_Swine_N2ODirect_Equations.VEERG_4_5_1_3__1_TotalAnnualDirectNitrousOxideEmissionsFromMMS(O120, _xlfn.XLOOKUP($D266, $D$153:$D$159, $E$153:$E$159), $I$256)</f>
        <v>0</v>
      </c>
      <c r="Q266" s="50" cm="1">
        <f t="array" aca="1" ref="Q266" ca="1">MMS_Swine_N2ODirect_Equations.VEERG_4_5_1_3__1_TotalAnnualDirectNitrousOxideEmissionsFromMMS(P120, _xlfn.XLOOKUP($D266, $D$153:$D$159, $E$153:$E$159), $I$256)</f>
        <v>0</v>
      </c>
      <c r="R266" s="50" cm="1">
        <f t="array" aca="1" ref="R266" ca="1">MMS_Swine_N2ODirect_Equations.VEERG_4_5_1_3__1_TotalAnnualDirectNitrousOxideEmissionsFromMMS(Q120, _xlfn.XLOOKUP($D266, $D$153:$D$159, $E$153:$E$159), $I$256)</f>
        <v>0</v>
      </c>
      <c r="S266" s="50" cm="1">
        <f t="array" aca="1" ref="S266" ca="1">MMS_Swine_N2ODirect_Equations.VEERG_4_5_1_3__1_TotalAnnualDirectNitrousOxideEmissionsFromMMS(R120, _xlfn.XLOOKUP($D266, $D$153:$D$159, $E$153:$E$159), $I$256)</f>
        <v>0</v>
      </c>
      <c r="T266" s="2"/>
    </row>
    <row r="267" spans="4:20" ht="20.100000000000001" customHeight="1" x14ac:dyDescent="0.25">
      <c r="D267" s="55" t="str">
        <f>INDEX(X_Table_Swine_Stage1MMS_DeepLitter,2,1)</f>
        <v>Deep litter</v>
      </c>
      <c r="E267" s="55" t="s">
        <v>165</v>
      </c>
      <c r="F267" s="50" cm="1">
        <f t="array" aca="1" ref="F267" ca="1">MMS_Swine_N2ODirect_Equations.VEERG_4_5_1_3__1_TotalAnnualDirectNitrousOxideEmissionsFromMMS(E121, _xlfn.XLOOKUP($D267, $D$153:$D$159, $E$153:$E$159), $I$256)</f>
        <v>3.166114285714285E-3</v>
      </c>
      <c r="G267" s="50" cm="1">
        <f t="array" aca="1" ref="G267" ca="1">MMS_Swine_N2ODirect_Equations.VEERG_4_5_1_3__1_TotalAnnualDirectNitrousOxideEmissionsFromMMS(F121, _xlfn.XLOOKUP($D267, $D$153:$D$159, $E$153:$E$159), $I$256)</f>
        <v>3.3726000000000003E-3</v>
      </c>
      <c r="H267" s="50" cm="1">
        <f t="array" aca="1" ref="H267" ca="1">MMS_Swine_N2ODirect_Equations.VEERG_4_5_1_3__1_TotalAnnualDirectNitrousOxideEmissionsFromMMS(G121, _xlfn.XLOOKUP($D267, $D$153:$D$159, $E$153:$E$159), $I$256)</f>
        <v>3.166114285714285E-3</v>
      </c>
      <c r="I267" s="50" cm="1">
        <f t="array" aca="1" ref="I267" ca="1">MMS_Swine_N2ODirect_Equations.VEERG_4_5_1_3__1_TotalAnnualDirectNitrousOxideEmissionsFromMMS(H121, _xlfn.XLOOKUP($D267, $D$153:$D$159, $E$153:$E$159), $I$256)</f>
        <v>2.1474514285714282E-3</v>
      </c>
      <c r="J267" s="2"/>
      <c r="N267" s="55" t="str">
        <f>INDEX(X_Table_Swine_Stage1MMS_DeepLitter,2,1)</f>
        <v>Deep litter</v>
      </c>
      <c r="O267" s="55" t="s">
        <v>165</v>
      </c>
      <c r="P267" s="50" cm="1">
        <f t="array" aca="1" ref="P267" ca="1">MMS_Swine_N2ODirect_Equations.VEERG_4_5_1_3__1_TotalAnnualDirectNitrousOxideEmissionsFromMMS(O121, _xlfn.XLOOKUP($D267, $D$153:$D$159, $E$153:$E$159), $I$256)</f>
        <v>3.166114285714285E-3</v>
      </c>
      <c r="Q267" s="50" cm="1">
        <f t="array" aca="1" ref="Q267" ca="1">MMS_Swine_N2ODirect_Equations.VEERG_4_5_1_3__1_TotalAnnualDirectNitrousOxideEmissionsFromMMS(P121, _xlfn.XLOOKUP($D267, $D$153:$D$159, $E$153:$E$159), $I$256)</f>
        <v>3.3726000000000003E-3</v>
      </c>
      <c r="R267" s="50" cm="1">
        <f t="array" aca="1" ref="R267" ca="1">MMS_Swine_N2ODirect_Equations.VEERG_4_5_1_3__1_TotalAnnualDirectNitrousOxideEmissionsFromMMS(Q121, _xlfn.XLOOKUP($D267, $D$153:$D$159, $E$153:$E$159), $I$256)</f>
        <v>3.166114285714285E-3</v>
      </c>
      <c r="S267" s="50" cm="1">
        <f t="array" aca="1" ref="S267" ca="1">MMS_Swine_N2ODirect_Equations.VEERG_4_5_1_3__1_TotalAnnualDirectNitrousOxideEmissionsFromMMS(R121, _xlfn.XLOOKUP($D267, $D$153:$D$159, $E$153:$E$159), $I$256)</f>
        <v>2.1474514285714282E-3</v>
      </c>
      <c r="T267" s="2"/>
    </row>
    <row r="268" spans="4:20" ht="20.100000000000001" customHeight="1" x14ac:dyDescent="0.25">
      <c r="D268" s="55" t="str">
        <f>INDEX(X_Table_Swine_Stage1MMS_PitStorage,2,1)</f>
        <v>Pit storage</v>
      </c>
      <c r="E268" s="55" t="s">
        <v>165</v>
      </c>
      <c r="F268" s="50" cm="1">
        <f t="array" aca="1" ref="F268" ca="1">MMS_Swine_N2ODirect_Equations.VEERG_4_5_1_3__1_TotalAnnualDirectNitrousOxideEmissionsFromMMS(E122, _xlfn.XLOOKUP($D268, $D$153:$D$159, $E$153:$E$159), $I$256)</f>
        <v>6.3322285714285703E-4</v>
      </c>
      <c r="G268" s="50" cm="1">
        <f t="array" aca="1" ref="G268" ca="1">MMS_Swine_N2ODirect_Equations.VEERG_4_5_1_3__1_TotalAnnualDirectNitrousOxideEmissionsFromMMS(F122, _xlfn.XLOOKUP($D268, $D$153:$D$159, $E$153:$E$159), $I$256)</f>
        <v>6.7452000000000018E-4</v>
      </c>
      <c r="H268" s="50" cm="1">
        <f t="array" aca="1" ref="H268" ca="1">MMS_Swine_N2ODirect_Equations.VEERG_4_5_1_3__1_TotalAnnualDirectNitrousOxideEmissionsFromMMS(G122, _xlfn.XLOOKUP($D268, $D$153:$D$159, $E$153:$E$159), $I$256)</f>
        <v>6.3322285714285703E-4</v>
      </c>
      <c r="I268" s="50" cm="1">
        <f t="array" aca="1" ref="I268" ca="1">MMS_Swine_N2ODirect_Equations.VEERG_4_5_1_3__1_TotalAnnualDirectNitrousOxideEmissionsFromMMS(H122, _xlfn.XLOOKUP($D268, $D$153:$D$159, $E$153:$E$159), $I$256)</f>
        <v>4.294902857142856E-4</v>
      </c>
      <c r="J268" s="2"/>
      <c r="N268" s="55" t="str">
        <f>INDEX(X_Table_Swine_Stage1MMS_PitStorage,2,1)</f>
        <v>Pit storage</v>
      </c>
      <c r="O268" s="55" t="s">
        <v>165</v>
      </c>
      <c r="P268" s="50" cm="1">
        <f t="array" aca="1" ref="P268" ca="1">MMS_Swine_N2ODirect_Equations.VEERG_4_5_1_3__1_TotalAnnualDirectNitrousOxideEmissionsFromMMS(O122, _xlfn.XLOOKUP($D268, $D$153:$D$159, $E$153:$E$159), $I$256)</f>
        <v>6.3322285714285703E-4</v>
      </c>
      <c r="Q268" s="50" cm="1">
        <f t="array" aca="1" ref="Q268" ca="1">MMS_Swine_N2ODirect_Equations.VEERG_4_5_1_3__1_TotalAnnualDirectNitrousOxideEmissionsFromMMS(P122, _xlfn.XLOOKUP($D268, $D$153:$D$159, $E$153:$E$159), $I$256)</f>
        <v>6.7452000000000018E-4</v>
      </c>
      <c r="R268" s="50" cm="1">
        <f t="array" aca="1" ref="R268" ca="1">MMS_Swine_N2ODirect_Equations.VEERG_4_5_1_3__1_TotalAnnualDirectNitrousOxideEmissionsFromMMS(Q122, _xlfn.XLOOKUP($D268, $D$153:$D$159, $E$153:$E$159), $I$256)</f>
        <v>6.3322285714285703E-4</v>
      </c>
      <c r="S268" s="50" cm="1">
        <f t="array" aca="1" ref="S268" ca="1">MMS_Swine_N2ODirect_Equations.VEERG_4_5_1_3__1_TotalAnnualDirectNitrousOxideEmissionsFromMMS(R122, _xlfn.XLOOKUP($D268, $D$153:$D$159, $E$153:$E$159), $I$256)</f>
        <v>4.294902857142856E-4</v>
      </c>
      <c r="T268" s="2"/>
    </row>
    <row r="269" spans="4:20" ht="20.100000000000001" customHeight="1" x14ac:dyDescent="0.25">
      <c r="D269" s="55" t="s">
        <v>346</v>
      </c>
      <c r="E269" s="55" t="s">
        <v>165</v>
      </c>
      <c r="F269" s="50" cm="1">
        <f t="array" aca="1" ref="F269" ca="1">MMS_Swine_N2ODirect_Equations.VEERG_4_5_1_3__1_TotalAnnualDirectNitrousOxideEmissionsFromMMS(E123, _xlfn.XLOOKUP($D269, $D$153:$D$159, $E$153:$E$159), $I$256)</f>
        <v>5.2768571428571439E-3</v>
      </c>
      <c r="G269" s="50" cm="1">
        <f t="array" aca="1" ref="G269" ca="1">MMS_Swine_N2ODirect_Equations.VEERG_4_5_1_3__1_TotalAnnualDirectNitrousOxideEmissionsFromMMS(F123, _xlfn.XLOOKUP($D269, $D$153:$D$159, $E$153:$E$159), $I$256)</f>
        <v>5.6210000000000027E-3</v>
      </c>
      <c r="H269" s="50" cm="1">
        <f t="array" aca="1" ref="H269" ca="1">MMS_Swine_N2ODirect_Equations.VEERG_4_5_1_3__1_TotalAnnualDirectNitrousOxideEmissionsFromMMS(G123, _xlfn.XLOOKUP($D269, $D$153:$D$159, $E$153:$E$159), $I$256)</f>
        <v>5.2768571428571439E-3</v>
      </c>
      <c r="I269" s="50" cm="1">
        <f t="array" aca="1" ref="I269" ca="1">MMS_Swine_N2ODirect_Equations.VEERG_4_5_1_3__1_TotalAnnualDirectNitrousOxideEmissionsFromMMS(H123, _xlfn.XLOOKUP($D269, $D$153:$D$159, $E$153:$E$159), $I$256)</f>
        <v>3.5790857142857157E-3</v>
      </c>
      <c r="J269" s="2"/>
      <c r="N269" s="55" t="s">
        <v>346</v>
      </c>
      <c r="O269" s="55" t="s">
        <v>165</v>
      </c>
      <c r="P269" s="50" cm="1">
        <f t="array" aca="1" ref="P269" ca="1">MMS_Swine_N2ODirect_Equations.VEERG_4_5_1_3__1_TotalAnnualDirectNitrousOxideEmissionsFromMMS(O123, _xlfn.XLOOKUP($D269, $D$153:$D$159, $E$153:$E$159), $I$256)</f>
        <v>5.2768571428571439E-3</v>
      </c>
      <c r="Q269" s="50" cm="1">
        <f t="array" aca="1" ref="Q269" ca="1">MMS_Swine_N2ODirect_Equations.VEERG_4_5_1_3__1_TotalAnnualDirectNitrousOxideEmissionsFromMMS(P123, _xlfn.XLOOKUP($D269, $D$153:$D$159, $E$153:$E$159), $I$256)</f>
        <v>5.6210000000000027E-3</v>
      </c>
      <c r="R269" s="50" cm="1">
        <f t="array" aca="1" ref="R269" ca="1">MMS_Swine_N2ODirect_Equations.VEERG_4_5_1_3__1_TotalAnnualDirectNitrousOxideEmissionsFromMMS(Q123, _xlfn.XLOOKUP($D269, $D$153:$D$159, $E$153:$E$159), $I$256)</f>
        <v>5.2768571428571439E-3</v>
      </c>
      <c r="S269" s="50" cm="1">
        <f t="array" aca="1" ref="S269" ca="1">MMS_Swine_N2ODirect_Equations.VEERG_4_5_1_3__1_TotalAnnualDirectNitrousOxideEmissionsFromMMS(R123, _xlfn.XLOOKUP($D269, $D$153:$D$159, $E$153:$E$159), $I$256)</f>
        <v>3.5790857142857157E-3</v>
      </c>
      <c r="T269" s="2"/>
    </row>
    <row r="270" spans="4:20" ht="20.100000000000001" customHeight="1" x14ac:dyDescent="0.25">
      <c r="D270" s="55" t="str">
        <f>INDEX(X_Table_Swine_Stage1MMS_AnaerobicLagoon,2,1)</f>
        <v>Anaerobic lagoon</v>
      </c>
      <c r="E270" s="55" t="str">
        <f>INDEX(X_Table_Swine_Stage2MMS_From_AnaerobicLagoon,2,1)</f>
        <v>Digester / covered lagoons</v>
      </c>
      <c r="F270" s="50" cm="1">
        <f t="array" aca="1" ref="F270" ca="1">MMS_Swine_N2ODirect_Equations.VEERG_4_5_1_3__1_TotalAnnualDirectNitrousOxideEmissionsFromMMS(F217, _xlfn.XLOOKUP($E270, $D$153:$D$159, $E$153:$E$159), $I$256)</f>
        <v>0</v>
      </c>
      <c r="G270" s="50" cm="1">
        <f t="array" aca="1" ref="G270" ca="1">MMS_Swine_N2ODirect_Equations.VEERG_4_5_1_3__1_TotalAnnualDirectNitrousOxideEmissionsFromMMS(G217, _xlfn.XLOOKUP($E270, $D$153:$D$159, $E$153:$E$159), $I$256)</f>
        <v>0</v>
      </c>
      <c r="H270" s="50" cm="1">
        <f t="array" aca="1" ref="H270" ca="1">MMS_Swine_N2ODirect_Equations.VEERG_4_5_1_3__1_TotalAnnualDirectNitrousOxideEmissionsFromMMS(H217, _xlfn.XLOOKUP($E270, $D$153:$D$159, $E$153:$E$159), $I$256)</f>
        <v>0</v>
      </c>
      <c r="I270" s="50" cm="1">
        <f t="array" aca="1" ref="I270" ca="1">MMS_Swine_N2ODirect_Equations.VEERG_4_5_1_3__1_TotalAnnualDirectNitrousOxideEmissionsFromMMS(I217, _xlfn.XLOOKUP($E270, $D$153:$D$159, $E$153:$E$159), $I$256)</f>
        <v>0</v>
      </c>
      <c r="J270" s="2"/>
      <c r="N270" s="55" t="str">
        <f>INDEX(X_Table_Swine_Stage1MMS_AnaerobicLagoon,2,1)</f>
        <v>Anaerobic lagoon</v>
      </c>
      <c r="O270" s="55" t="str">
        <f>INDEX(X_Table_Swine_Stage2MMS_From_AnaerobicLagoon,2,1)</f>
        <v>Digester / covered lagoons</v>
      </c>
      <c r="P270" s="50" cm="1">
        <f t="array" aca="1" ref="P270" ca="1">MMS_Swine_N2ODirect_Equations.VEERG_4_5_1_3__1_TotalAnnualDirectNitrousOxideEmissionsFromMMS(P217, _xlfn.XLOOKUP($E270, $D$153:$D$159, $E$153:$E$159), $I$256)</f>
        <v>0</v>
      </c>
      <c r="Q270" s="50" cm="1">
        <f t="array" aca="1" ref="Q270" ca="1">MMS_Swine_N2ODirect_Equations.VEERG_4_5_1_3__1_TotalAnnualDirectNitrousOxideEmissionsFromMMS(Q217, _xlfn.XLOOKUP($E270, $D$153:$D$159, $E$153:$E$159), $I$256)</f>
        <v>0</v>
      </c>
      <c r="R270" s="50" cm="1">
        <f t="array" aca="1" ref="R270" ca="1">MMS_Swine_N2ODirect_Equations.VEERG_4_5_1_3__1_TotalAnnualDirectNitrousOxideEmissionsFromMMS(R217, _xlfn.XLOOKUP($E270, $D$153:$D$159, $E$153:$E$159), $I$256)</f>
        <v>0</v>
      </c>
      <c r="S270" s="50" cm="1">
        <f t="array" aca="1" ref="S270" ca="1">MMS_Swine_N2ODirect_Equations.VEERG_4_5_1_3__1_TotalAnnualDirectNitrousOxideEmissionsFromMMS(S217, _xlfn.XLOOKUP($E270, $D$153:$D$159, $E$153:$E$159), $I$256)</f>
        <v>0</v>
      </c>
      <c r="T270" s="2"/>
    </row>
    <row r="271" spans="4:20" ht="20.100000000000001" customHeight="1" x14ac:dyDescent="0.25">
      <c r="D271" s="55"/>
      <c r="E271" s="55" t="str">
        <f>INDEX(X_Table_Swine_Stage2MMS_From_AnaerobicLagoon,3,1)</f>
        <v>Deep litter</v>
      </c>
      <c r="F271" s="50" cm="1">
        <f t="array" aca="1" ref="F271" ca="1">MMS_Swine_N2ODirect_Equations.VEERG_4_5_1_3__1_TotalAnnualDirectNitrousOxideEmissionsFromMMS(F218, _xlfn.XLOOKUP($E271, $D$153:$D$159, $E$153:$E$159), $I$256)</f>
        <v>2.8495028571428569E-4</v>
      </c>
      <c r="G271" s="50" cm="1">
        <f t="array" aca="1" ref="G271" ca="1">MMS_Swine_N2ODirect_Equations.VEERG_4_5_1_3__1_TotalAnnualDirectNitrousOxideEmissionsFromMMS(G218, _xlfn.XLOOKUP($E271, $D$153:$D$159, $E$153:$E$159), $I$256)</f>
        <v>3.7941750000000007E-4</v>
      </c>
      <c r="H271" s="50" cm="1">
        <f t="array" aca="1" ref="H271" ca="1">MMS_Swine_N2ODirect_Equations.VEERG_4_5_1_3__1_TotalAnnualDirectNitrousOxideEmissionsFromMMS(H218, _xlfn.XLOOKUP($E271, $D$153:$D$159, $E$153:$E$159), $I$256)</f>
        <v>3.5618785714285701E-4</v>
      </c>
      <c r="I271" s="50" cm="1">
        <f t="array" aca="1" ref="I271" ca="1">MMS_Swine_N2ODirect_Equations.VEERG_4_5_1_3__1_TotalAnnualDirectNitrousOxideEmissionsFromMMS(I218, _xlfn.XLOOKUP($E271, $D$153:$D$159, $E$153:$E$159), $I$256)</f>
        <v>2.4158828571428564E-4</v>
      </c>
      <c r="J271" s="2"/>
      <c r="N271" s="55"/>
      <c r="O271" s="55" t="str">
        <f>INDEX(X_Table_Swine_Stage2MMS_From_AnaerobicLagoon,3,1)</f>
        <v>Deep litter</v>
      </c>
      <c r="P271" s="50" cm="1">
        <f t="array" aca="1" ref="P271" ca="1">MMS_Swine_N2ODirect_Equations.VEERG_4_5_1_3__1_TotalAnnualDirectNitrousOxideEmissionsFromMMS(P218, _xlfn.XLOOKUP($E271, $D$153:$D$159, $E$153:$E$159), $I$256)</f>
        <v>2.8495028571428569E-4</v>
      </c>
      <c r="Q271" s="50" cm="1">
        <f t="array" aca="1" ref="Q271" ca="1">MMS_Swine_N2ODirect_Equations.VEERG_4_5_1_3__1_TotalAnnualDirectNitrousOxideEmissionsFromMMS(Q218, _xlfn.XLOOKUP($E271, $D$153:$D$159, $E$153:$E$159), $I$256)</f>
        <v>3.7941750000000007E-4</v>
      </c>
      <c r="R271" s="50" cm="1">
        <f t="array" aca="1" ref="R271" ca="1">MMS_Swine_N2ODirect_Equations.VEERG_4_5_1_3__1_TotalAnnualDirectNitrousOxideEmissionsFromMMS(R218, _xlfn.XLOOKUP($E271, $D$153:$D$159, $E$153:$E$159), $I$256)</f>
        <v>3.5618785714285701E-4</v>
      </c>
      <c r="S271" s="50" cm="1">
        <f t="array" aca="1" ref="S271" ca="1">MMS_Swine_N2ODirect_Equations.VEERG_4_5_1_3__1_TotalAnnualDirectNitrousOxideEmissionsFromMMS(S218, _xlfn.XLOOKUP($E271, $D$153:$D$159, $E$153:$E$159), $I$256)</f>
        <v>2.4158828571428564E-4</v>
      </c>
      <c r="T271" s="2"/>
    </row>
    <row r="272" spans="4:20" ht="20.100000000000001" customHeight="1" x14ac:dyDescent="0.25">
      <c r="D272" s="55"/>
      <c r="E272" s="55" t="str">
        <f>INDEX(X_Table_Swine_Stage2MMS_From_AnaerobicLagoon,4,1)</f>
        <v>Pit storage</v>
      </c>
      <c r="F272" s="50" cm="1">
        <f t="array" aca="1" ref="F272" ca="1">MMS_Swine_N2ODirect_Equations.VEERG_4_5_1_3__1_TotalAnnualDirectNitrousOxideEmissionsFromMMS(F219, _xlfn.XLOOKUP($E272, $D$153:$D$159, $E$153:$E$159), $I$256)</f>
        <v>5.6990057142857125E-5</v>
      </c>
      <c r="G272" s="50" cm="1">
        <f t="array" aca="1" ref="G272" ca="1">MMS_Swine_N2ODirect_Equations.VEERG_4_5_1_3__1_TotalAnnualDirectNitrousOxideEmissionsFromMMS(G219, _xlfn.XLOOKUP($E272, $D$153:$D$159, $E$153:$E$159), $I$256)</f>
        <v>7.5883500000000013E-5</v>
      </c>
      <c r="H272" s="50" cm="1">
        <f t="array" aca="1" ref="H272" ca="1">MMS_Swine_N2ODirect_Equations.VEERG_4_5_1_3__1_TotalAnnualDirectNitrousOxideEmissionsFromMMS(H219, _xlfn.XLOOKUP($E272, $D$153:$D$159, $E$153:$E$159), $I$256)</f>
        <v>7.1237571428571408E-5</v>
      </c>
      <c r="I272" s="50" cm="1">
        <f t="array" aca="1" ref="I272" ca="1">MMS_Swine_N2ODirect_Equations.VEERG_4_5_1_3__1_TotalAnnualDirectNitrousOxideEmissionsFromMMS(I219, _xlfn.XLOOKUP($E272, $D$153:$D$159, $E$153:$E$159), $I$256)</f>
        <v>4.831765714285713E-5</v>
      </c>
      <c r="J272" s="2"/>
      <c r="N272" s="55"/>
      <c r="O272" s="55" t="str">
        <f>INDEX(X_Table_Swine_Stage2MMS_From_AnaerobicLagoon,4,1)</f>
        <v>Pit storage</v>
      </c>
      <c r="P272" s="50" cm="1">
        <f t="array" aca="1" ref="P272" ca="1">MMS_Swine_N2ODirect_Equations.VEERG_4_5_1_3__1_TotalAnnualDirectNitrousOxideEmissionsFromMMS(P219, _xlfn.XLOOKUP($E272, $D$153:$D$159, $E$153:$E$159), $I$256)</f>
        <v>5.6990057142857125E-5</v>
      </c>
      <c r="Q272" s="50" cm="1">
        <f t="array" aca="1" ref="Q272" ca="1">MMS_Swine_N2ODirect_Equations.VEERG_4_5_1_3__1_TotalAnnualDirectNitrousOxideEmissionsFromMMS(Q219, _xlfn.XLOOKUP($E272, $D$153:$D$159, $E$153:$E$159), $I$256)</f>
        <v>7.5883500000000013E-5</v>
      </c>
      <c r="R272" s="50" cm="1">
        <f t="array" aca="1" ref="R272" ca="1">MMS_Swine_N2ODirect_Equations.VEERG_4_5_1_3__1_TotalAnnualDirectNitrousOxideEmissionsFromMMS(R219, _xlfn.XLOOKUP($E272, $D$153:$D$159, $E$153:$E$159), $I$256)</f>
        <v>7.1237571428571408E-5</v>
      </c>
      <c r="S272" s="50" cm="1">
        <f t="array" aca="1" ref="S272" ca="1">MMS_Swine_N2ODirect_Equations.VEERG_4_5_1_3__1_TotalAnnualDirectNitrousOxideEmissionsFromMMS(S219, _xlfn.XLOOKUP($E272, $D$153:$D$159, $E$153:$E$159), $I$256)</f>
        <v>4.831765714285713E-5</v>
      </c>
      <c r="T272" s="2"/>
    </row>
    <row r="273" spans="4:20" ht="20.100000000000001" customHeight="1" x14ac:dyDescent="0.25">
      <c r="D273" s="55"/>
      <c r="E273" s="55" t="str">
        <f>INDEX(X_Table_Swine_Stage2MMS_From_AnaerobicLagoon,5,1)</f>
        <v>Direct application</v>
      </c>
      <c r="F273" s="50" t="s">
        <v>165</v>
      </c>
      <c r="G273" s="50" t="s">
        <v>165</v>
      </c>
      <c r="H273" s="50" t="s">
        <v>165</v>
      </c>
      <c r="I273" s="50" t="s">
        <v>165</v>
      </c>
      <c r="J273" s="2"/>
      <c r="N273" s="55"/>
      <c r="O273" s="55" t="str">
        <f>INDEX(X_Table_Swine_Stage2MMS_From_AnaerobicLagoon,5,1)</f>
        <v>Direct application</v>
      </c>
      <c r="P273" s="50" t="s">
        <v>165</v>
      </c>
      <c r="Q273" s="50" t="s">
        <v>165</v>
      </c>
      <c r="R273" s="50" t="s">
        <v>165</v>
      </c>
      <c r="S273" s="50" t="s">
        <v>165</v>
      </c>
      <c r="T273" s="2"/>
    </row>
    <row r="274" spans="4:20" ht="20.100000000000001" customHeight="1" x14ac:dyDescent="0.25">
      <c r="D274" s="55" t="str">
        <f>INDEX(X_Table_Swine_Stage1MMS_Drylot,2,1)</f>
        <v>Drylot (feed pad)</v>
      </c>
      <c r="E274" s="55" t="str">
        <f>INDEX(X_Table_Swine_Stage2MMS_From_Drylot,2,1)</f>
        <v>Anaerobic lagoon</v>
      </c>
      <c r="F274" s="50" cm="1">
        <f t="array" aca="1" ref="F274" ca="1">MMS_Swine_N2ODirect_Equations.VEERG_4_5_1_3__1_TotalAnnualDirectNitrousOxideEmissionsFromMMS(F221, _xlfn.XLOOKUP($E274, $D$153:$D$159, $E$153:$E$159), $I$256)</f>
        <v>0</v>
      </c>
      <c r="G274" s="50" cm="1">
        <f t="array" aca="1" ref="G274" ca="1">MMS_Swine_N2ODirect_Equations.VEERG_4_5_1_3__1_TotalAnnualDirectNitrousOxideEmissionsFromMMS(G221, _xlfn.XLOOKUP($E274, $D$153:$D$159, $E$153:$E$159), $I$256)</f>
        <v>0</v>
      </c>
      <c r="H274" s="50" cm="1">
        <f t="array" aca="1" ref="H274" ca="1">MMS_Swine_N2ODirect_Equations.VEERG_4_5_1_3__1_TotalAnnualDirectNitrousOxideEmissionsFromMMS(H221, _xlfn.XLOOKUP($E274, $D$153:$D$159, $E$153:$E$159), $I$256)</f>
        <v>0</v>
      </c>
      <c r="I274" s="50" cm="1">
        <f t="array" aca="1" ref="I274" ca="1">MMS_Swine_N2ODirect_Equations.VEERG_4_5_1_3__1_TotalAnnualDirectNitrousOxideEmissionsFromMMS(I221, _xlfn.XLOOKUP($E274, $D$153:$D$159, $E$153:$E$159), $I$256)</f>
        <v>0</v>
      </c>
      <c r="J274" s="2"/>
      <c r="N274" s="55" t="str">
        <f>INDEX(X_Table_Swine_Stage1MMS_Drylot,2,1)</f>
        <v>Drylot (feed pad)</v>
      </c>
      <c r="O274" s="55" t="str">
        <f>INDEX(X_Table_Swine_Stage2MMS_From_Drylot,2,1)</f>
        <v>Anaerobic lagoon</v>
      </c>
      <c r="P274" s="50" cm="1">
        <f t="array" aca="1" ref="P274" ca="1">MMS_Swine_N2ODirect_Equations.VEERG_4_5_1_3__1_TotalAnnualDirectNitrousOxideEmissionsFromMMS(P221, _xlfn.XLOOKUP($E274, $D$153:$D$159, $E$153:$E$159), $I$256)</f>
        <v>0</v>
      </c>
      <c r="Q274" s="50" cm="1">
        <f t="array" aca="1" ref="Q274" ca="1">MMS_Swine_N2ODirect_Equations.VEERG_4_5_1_3__1_TotalAnnualDirectNitrousOxideEmissionsFromMMS(Q221, _xlfn.XLOOKUP($E274, $D$153:$D$159, $E$153:$E$159), $I$256)</f>
        <v>0</v>
      </c>
      <c r="R274" s="50" cm="1">
        <f t="array" aca="1" ref="R274" ca="1">MMS_Swine_N2ODirect_Equations.VEERG_4_5_1_3__1_TotalAnnualDirectNitrousOxideEmissionsFromMMS(R221, _xlfn.XLOOKUP($E274, $D$153:$D$159, $E$153:$E$159), $I$256)</f>
        <v>0</v>
      </c>
      <c r="S274" s="50" cm="1">
        <f t="array" aca="1" ref="S274" ca="1">MMS_Swine_N2ODirect_Equations.VEERG_4_5_1_3__1_TotalAnnualDirectNitrousOxideEmissionsFromMMS(S221, _xlfn.XLOOKUP($E274, $D$153:$D$159, $E$153:$E$159), $I$256)</f>
        <v>0</v>
      </c>
      <c r="T274" s="2"/>
    </row>
    <row r="275" spans="4:20" ht="20.100000000000001" customHeight="1" x14ac:dyDescent="0.25">
      <c r="D275" s="55"/>
      <c r="E275" s="55" t="str">
        <f>INDEX(X_Table_Swine_Stage2MMS_From_Drylot,3,1)</f>
        <v>Digester / covered lagoons</v>
      </c>
      <c r="F275" s="50" cm="1">
        <f t="array" aca="1" ref="F275" ca="1">MMS_Swine_N2ODirect_Equations.VEERG_4_5_1_3__1_TotalAnnualDirectNitrousOxideEmissionsFromMMS(F222, _xlfn.XLOOKUP($E275, $D$153:$D$159, $E$153:$E$159), $I$256)</f>
        <v>0</v>
      </c>
      <c r="G275" s="50" cm="1">
        <f t="array" aca="1" ref="G275" ca="1">MMS_Swine_N2ODirect_Equations.VEERG_4_5_1_3__1_TotalAnnualDirectNitrousOxideEmissionsFromMMS(G222, _xlfn.XLOOKUP($E275, $D$153:$D$159, $E$153:$E$159), $I$256)</f>
        <v>0</v>
      </c>
      <c r="H275" s="50" cm="1">
        <f t="array" aca="1" ref="H275" ca="1">MMS_Swine_N2ODirect_Equations.VEERG_4_5_1_3__1_TotalAnnualDirectNitrousOxideEmissionsFromMMS(H222, _xlfn.XLOOKUP($E275, $D$153:$D$159, $E$153:$E$159), $I$256)</f>
        <v>0</v>
      </c>
      <c r="I275" s="50" cm="1">
        <f t="array" aca="1" ref="I275" ca="1">MMS_Swine_N2ODirect_Equations.VEERG_4_5_1_3__1_TotalAnnualDirectNitrousOxideEmissionsFromMMS(I222, _xlfn.XLOOKUP($E275, $D$153:$D$159, $E$153:$E$159), $I$256)</f>
        <v>0</v>
      </c>
      <c r="J275" s="2"/>
      <c r="N275" s="55"/>
      <c r="O275" s="55" t="str">
        <f>INDEX(X_Table_Swine_Stage2MMS_From_Drylot,3,1)</f>
        <v>Digester / covered lagoons</v>
      </c>
      <c r="P275" s="50" cm="1">
        <f t="array" aca="1" ref="P275" ca="1">MMS_Swine_N2ODirect_Equations.VEERG_4_5_1_3__1_TotalAnnualDirectNitrousOxideEmissionsFromMMS(P222, _xlfn.XLOOKUP($E275, $D$153:$D$159, $E$153:$E$159), $I$256)</f>
        <v>0</v>
      </c>
      <c r="Q275" s="50" cm="1">
        <f t="array" aca="1" ref="Q275" ca="1">MMS_Swine_N2ODirect_Equations.VEERG_4_5_1_3__1_TotalAnnualDirectNitrousOxideEmissionsFromMMS(Q222, _xlfn.XLOOKUP($E275, $D$153:$D$159, $E$153:$E$159), $I$256)</f>
        <v>0</v>
      </c>
      <c r="R275" s="50" cm="1">
        <f t="array" aca="1" ref="R275" ca="1">MMS_Swine_N2ODirect_Equations.VEERG_4_5_1_3__1_TotalAnnualDirectNitrousOxideEmissionsFromMMS(R222, _xlfn.XLOOKUP($E275, $D$153:$D$159, $E$153:$E$159), $I$256)</f>
        <v>0</v>
      </c>
      <c r="S275" s="50" cm="1">
        <f t="array" aca="1" ref="S275" ca="1">MMS_Swine_N2ODirect_Equations.VEERG_4_5_1_3__1_TotalAnnualDirectNitrousOxideEmissionsFromMMS(S222, _xlfn.XLOOKUP($E275, $D$153:$D$159, $E$153:$E$159), $I$256)</f>
        <v>0</v>
      </c>
      <c r="T275" s="2"/>
    </row>
    <row r="276" spans="4:20" ht="20.100000000000001" customHeight="1" x14ac:dyDescent="0.25">
      <c r="D276" s="55"/>
      <c r="E276" s="55" t="str">
        <f>INDEX(X_Table_Swine_Stage2MMS_From_Drylot,4,1)</f>
        <v>Deep litter</v>
      </c>
      <c r="F276" s="50" cm="1">
        <f t="array" aca="1" ref="F276" ca="1">MMS_Swine_N2ODirect_Equations.VEERG_4_5_1_3__1_TotalAnnualDirectNitrousOxideEmissionsFromMMS(F223, _xlfn.XLOOKUP($E276, $D$153:$D$159, $E$153:$E$159), $I$256)</f>
        <v>4.3059154285714273E-4</v>
      </c>
      <c r="G276" s="50" cm="1">
        <f t="array" aca="1" ref="G276" ca="1">MMS_Swine_N2ODirect_Equations.VEERG_4_5_1_3__1_TotalAnnualDirectNitrousOxideEmissionsFromMMS(G223, _xlfn.XLOOKUP($E276, $D$153:$D$159, $E$153:$E$159), $I$256)</f>
        <v>5.7334200000000012E-4</v>
      </c>
      <c r="H276" s="50" cm="1">
        <f t="array" aca="1" ref="H276" ca="1">MMS_Swine_N2ODirect_Equations.VEERG_4_5_1_3__1_TotalAnnualDirectNitrousOxideEmissionsFromMMS(H223, _xlfn.XLOOKUP($E276, $D$153:$D$159, $E$153:$E$159), $I$256)</f>
        <v>5.3823942857142838E-4</v>
      </c>
      <c r="I276" s="50" cm="1">
        <f t="array" aca="1" ref="I276" ca="1">MMS_Swine_N2ODirect_Equations.VEERG_4_5_1_3__1_TotalAnnualDirectNitrousOxideEmissionsFromMMS(I223, _xlfn.XLOOKUP($E276, $D$153:$D$159, $E$153:$E$159), $I$256)</f>
        <v>3.6506674285714276E-4</v>
      </c>
      <c r="J276" s="2"/>
      <c r="N276" s="55"/>
      <c r="O276" s="55" t="str">
        <f>INDEX(X_Table_Swine_Stage2MMS_From_Drylot,4,1)</f>
        <v>Deep litter</v>
      </c>
      <c r="P276" s="50" cm="1">
        <f t="array" aca="1" ref="P276" ca="1">MMS_Swine_N2ODirect_Equations.VEERG_4_5_1_3__1_TotalAnnualDirectNitrousOxideEmissionsFromMMS(P223, _xlfn.XLOOKUP($E276, $D$153:$D$159, $E$153:$E$159), $I$256)</f>
        <v>4.3059154285714273E-4</v>
      </c>
      <c r="Q276" s="50" cm="1">
        <f t="array" aca="1" ref="Q276" ca="1">MMS_Swine_N2ODirect_Equations.VEERG_4_5_1_3__1_TotalAnnualDirectNitrousOxideEmissionsFromMMS(Q223, _xlfn.XLOOKUP($E276, $D$153:$D$159, $E$153:$E$159), $I$256)</f>
        <v>5.7334200000000012E-4</v>
      </c>
      <c r="R276" s="50" cm="1">
        <f t="array" aca="1" ref="R276" ca="1">MMS_Swine_N2ODirect_Equations.VEERG_4_5_1_3__1_TotalAnnualDirectNitrousOxideEmissionsFromMMS(R223, _xlfn.XLOOKUP($E276, $D$153:$D$159, $E$153:$E$159), $I$256)</f>
        <v>5.3823942857142838E-4</v>
      </c>
      <c r="S276" s="50" cm="1">
        <f t="array" aca="1" ref="S276" ca="1">MMS_Swine_N2ODirect_Equations.VEERG_4_5_1_3__1_TotalAnnualDirectNitrousOxideEmissionsFromMMS(S223, _xlfn.XLOOKUP($E276, $D$153:$D$159, $E$153:$E$159), $I$256)</f>
        <v>3.6506674285714276E-4</v>
      </c>
      <c r="T276" s="2"/>
    </row>
    <row r="277" spans="4:20" ht="20.100000000000001" customHeight="1" x14ac:dyDescent="0.25">
      <c r="D277" s="55"/>
      <c r="E277" s="55" t="str">
        <f>INDEX(X_Table_Swine_Stage2MMS_From_Drylot,5,1)</f>
        <v>Pit storage</v>
      </c>
      <c r="F277" s="50" cm="1">
        <f t="array" aca="1" ref="F277" ca="1">MMS_Swine_N2ODirect_Equations.VEERG_4_5_1_3__1_TotalAnnualDirectNitrousOxideEmissionsFromMMS(F224, _xlfn.XLOOKUP($E277, $D$153:$D$159, $E$153:$E$159), $I$256)</f>
        <v>8.6118308571428545E-5</v>
      </c>
      <c r="G277" s="50" cm="1">
        <f t="array" aca="1" ref="G277" ca="1">MMS_Swine_N2ODirect_Equations.VEERG_4_5_1_3__1_TotalAnnualDirectNitrousOxideEmissionsFromMMS(G224, _xlfn.XLOOKUP($E277, $D$153:$D$159, $E$153:$E$159), $I$256)</f>
        <v>1.1466840000000002E-4</v>
      </c>
      <c r="H277" s="50" cm="1">
        <f t="array" aca="1" ref="H277" ca="1">MMS_Swine_N2ODirect_Equations.VEERG_4_5_1_3__1_TotalAnnualDirectNitrousOxideEmissionsFromMMS(H224, _xlfn.XLOOKUP($E277, $D$153:$D$159, $E$153:$E$159), $I$256)</f>
        <v>1.0764788571428568E-4</v>
      </c>
      <c r="I277" s="50" cm="1">
        <f t="array" aca="1" ref="I277" ca="1">MMS_Swine_N2ODirect_Equations.VEERG_4_5_1_3__1_TotalAnnualDirectNitrousOxideEmissionsFromMMS(I224, _xlfn.XLOOKUP($E277, $D$153:$D$159, $E$153:$E$159), $I$256)</f>
        <v>7.3013348571428544E-5</v>
      </c>
      <c r="J277" s="2"/>
      <c r="N277" s="55"/>
      <c r="O277" s="55" t="str">
        <f>INDEX(X_Table_Swine_Stage2MMS_From_Drylot,5,1)</f>
        <v>Pit storage</v>
      </c>
      <c r="P277" s="50" cm="1">
        <f t="array" aca="1" ref="P277" ca="1">MMS_Swine_N2ODirect_Equations.VEERG_4_5_1_3__1_TotalAnnualDirectNitrousOxideEmissionsFromMMS(P224, _xlfn.XLOOKUP($E277, $D$153:$D$159, $E$153:$E$159), $I$256)</f>
        <v>8.6118308571428545E-5</v>
      </c>
      <c r="Q277" s="50" cm="1">
        <f t="array" aca="1" ref="Q277" ca="1">MMS_Swine_N2ODirect_Equations.VEERG_4_5_1_3__1_TotalAnnualDirectNitrousOxideEmissionsFromMMS(Q224, _xlfn.XLOOKUP($E277, $D$153:$D$159, $E$153:$E$159), $I$256)</f>
        <v>1.1466840000000002E-4</v>
      </c>
      <c r="R277" s="50" cm="1">
        <f t="array" aca="1" ref="R277" ca="1">MMS_Swine_N2ODirect_Equations.VEERG_4_5_1_3__1_TotalAnnualDirectNitrousOxideEmissionsFromMMS(R224, _xlfn.XLOOKUP($E277, $D$153:$D$159, $E$153:$E$159), $I$256)</f>
        <v>1.0764788571428568E-4</v>
      </c>
      <c r="S277" s="50" cm="1">
        <f t="array" aca="1" ref="S277" ca="1">MMS_Swine_N2ODirect_Equations.VEERG_4_5_1_3__1_TotalAnnualDirectNitrousOxideEmissionsFromMMS(S224, _xlfn.XLOOKUP($E277, $D$153:$D$159, $E$153:$E$159), $I$256)</f>
        <v>7.3013348571428544E-5</v>
      </c>
      <c r="T277" s="2"/>
    </row>
    <row r="278" spans="4:20" ht="20.100000000000001" customHeight="1" x14ac:dyDescent="0.25">
      <c r="D278" s="55"/>
      <c r="E278" s="55" t="str">
        <f>INDEX(X_Table_Swine_Stage2MMS_From_Drylot,6,1)</f>
        <v>Direct application</v>
      </c>
      <c r="F278" s="50" t="s">
        <v>165</v>
      </c>
      <c r="G278" s="50" t="s">
        <v>165</v>
      </c>
      <c r="H278" s="50" t="s">
        <v>165</v>
      </c>
      <c r="I278" s="50" t="s">
        <v>165</v>
      </c>
      <c r="J278" s="2"/>
      <c r="N278" s="55"/>
      <c r="O278" s="55" t="str">
        <f>INDEX(X_Table_Swine_Stage2MMS_From_Drylot,6,1)</f>
        <v>Direct application</v>
      </c>
      <c r="P278" s="50" t="s">
        <v>165</v>
      </c>
      <c r="Q278" s="50" t="s">
        <v>165</v>
      </c>
      <c r="R278" s="50" t="s">
        <v>165</v>
      </c>
      <c r="S278" s="50" t="s">
        <v>165</v>
      </c>
      <c r="T278" s="2"/>
    </row>
    <row r="279" spans="4:20" ht="20.100000000000001" customHeight="1" x14ac:dyDescent="0.25">
      <c r="D279" s="55" t="str">
        <f>INDEX(X_Table_Swine_Stage1MMS_DigesterCoveredLagoons,2,1)</f>
        <v>Digester / covered lagoons</v>
      </c>
      <c r="E279" s="55" t="str">
        <f>INDEX(X_Table_Swine_Stage2MMS_From_DigesterCoveredLagoons,2,1)</f>
        <v>Anaerobic lagoon</v>
      </c>
      <c r="F279" s="50" cm="1">
        <f t="array" aca="1" ref="F279" ca="1">MMS_Swine_N2ODirect_Equations.VEERG_4_5_1_3__1_TotalAnnualDirectNitrousOxideEmissionsFromMMS(F226, _xlfn.XLOOKUP($E279, $D$153:$D$159, $E$153:$E$159), $I$256)</f>
        <v>0</v>
      </c>
      <c r="G279" s="50" cm="1">
        <f t="array" aca="1" ref="G279" ca="1">MMS_Swine_N2ODirect_Equations.VEERG_4_5_1_3__1_TotalAnnualDirectNitrousOxideEmissionsFromMMS(G226, _xlfn.XLOOKUP($E279, $D$153:$D$159, $E$153:$E$159), $I$256)</f>
        <v>0</v>
      </c>
      <c r="H279" s="50" cm="1">
        <f t="array" aca="1" ref="H279" ca="1">MMS_Swine_N2ODirect_Equations.VEERG_4_5_1_3__1_TotalAnnualDirectNitrousOxideEmissionsFromMMS(H226, _xlfn.XLOOKUP($E279, $D$153:$D$159, $E$153:$E$159), $I$256)</f>
        <v>0</v>
      </c>
      <c r="I279" s="50" cm="1">
        <f t="array" aca="1" ref="I279" ca="1">MMS_Swine_N2ODirect_Equations.VEERG_4_5_1_3__1_TotalAnnualDirectNitrousOxideEmissionsFromMMS(I226, _xlfn.XLOOKUP($E279, $D$153:$D$159, $E$153:$E$159), $I$256)</f>
        <v>0</v>
      </c>
      <c r="J279" s="2"/>
      <c r="N279" s="55" t="str">
        <f>INDEX(X_Table_Swine_Stage1MMS_DigesterCoveredLagoons,2,1)</f>
        <v>Digester / covered lagoons</v>
      </c>
      <c r="O279" s="55" t="str">
        <f>INDEX(X_Table_Swine_Stage2MMS_From_DigesterCoveredLagoons,2,1)</f>
        <v>Anaerobic lagoon</v>
      </c>
      <c r="P279" s="50" cm="1">
        <f t="array" aca="1" ref="P279" ca="1">MMS_Swine_N2ODirect_Equations.VEERG_4_5_1_3__1_TotalAnnualDirectNitrousOxideEmissionsFromMMS(P226, _xlfn.XLOOKUP($E279, $D$153:$D$159, $E$153:$E$159), $I$256)</f>
        <v>0</v>
      </c>
      <c r="Q279" s="50" cm="1">
        <f t="array" aca="1" ref="Q279" ca="1">MMS_Swine_N2ODirect_Equations.VEERG_4_5_1_3__1_TotalAnnualDirectNitrousOxideEmissionsFromMMS(Q226, _xlfn.XLOOKUP($E279, $D$153:$D$159, $E$153:$E$159), $I$256)</f>
        <v>0</v>
      </c>
      <c r="R279" s="50" cm="1">
        <f t="array" aca="1" ref="R279" ca="1">MMS_Swine_N2ODirect_Equations.VEERG_4_5_1_3__1_TotalAnnualDirectNitrousOxideEmissionsFromMMS(R226, _xlfn.XLOOKUP($E279, $D$153:$D$159, $E$153:$E$159), $I$256)</f>
        <v>0</v>
      </c>
      <c r="S279" s="50" cm="1">
        <f t="array" aca="1" ref="S279" ca="1">MMS_Swine_N2ODirect_Equations.VEERG_4_5_1_3__1_TotalAnnualDirectNitrousOxideEmissionsFromMMS(S226, _xlfn.XLOOKUP($E279, $D$153:$D$159, $E$153:$E$159), $I$256)</f>
        <v>0</v>
      </c>
      <c r="T279" s="2"/>
    </row>
    <row r="280" spans="4:20" ht="20.100000000000001" customHeight="1" x14ac:dyDescent="0.25">
      <c r="D280" s="55"/>
      <c r="E280" s="55" t="str">
        <f>INDEX(X_Table_Swine_Stage2MMS_From_DigesterCoveredLagoons,3,1)</f>
        <v>Deep litter</v>
      </c>
      <c r="F280" s="50" cm="1">
        <f t="array" aca="1" ref="F280" ca="1">MMS_Swine_N2ODirect_Equations.VEERG_4_5_1_3__1_TotalAnnualDirectNitrousOxideEmissionsFromMMS(F227, _xlfn.XLOOKUP($E280, $D$153:$D$159, $E$153:$E$159), $I$256)</f>
        <v>6.3322285714285703E-4</v>
      </c>
      <c r="G280" s="50" cm="1">
        <f t="array" aca="1" ref="G280" ca="1">MMS_Swine_N2ODirect_Equations.VEERG_4_5_1_3__1_TotalAnnualDirectNitrousOxideEmissionsFromMMS(G227, _xlfn.XLOOKUP($E280, $D$153:$D$159, $E$153:$E$159), $I$256)</f>
        <v>8.4315000000000008E-4</v>
      </c>
      <c r="H280" s="50" cm="1">
        <f t="array" aca="1" ref="H280" ca="1">MMS_Swine_N2ODirect_Equations.VEERG_4_5_1_3__1_TotalAnnualDirectNitrousOxideEmissionsFromMMS(H227, _xlfn.XLOOKUP($E280, $D$153:$D$159, $E$153:$E$159), $I$256)</f>
        <v>7.9152857142857124E-4</v>
      </c>
      <c r="I280" s="50" cm="1">
        <f t="array" aca="1" ref="I280" ca="1">MMS_Swine_N2ODirect_Equations.VEERG_4_5_1_3__1_TotalAnnualDirectNitrousOxideEmissionsFromMMS(I227, _xlfn.XLOOKUP($E280, $D$153:$D$159, $E$153:$E$159), $I$256)</f>
        <v>5.3686285714285705E-4</v>
      </c>
      <c r="J280" s="2"/>
      <c r="N280" s="55"/>
      <c r="O280" s="55" t="str">
        <f>INDEX(X_Table_Swine_Stage2MMS_From_DigesterCoveredLagoons,3,1)</f>
        <v>Deep litter</v>
      </c>
      <c r="P280" s="50" cm="1">
        <f t="array" aca="1" ref="P280" ca="1">MMS_Swine_N2ODirect_Equations.VEERG_4_5_1_3__1_TotalAnnualDirectNitrousOxideEmissionsFromMMS(P227, _xlfn.XLOOKUP($E280, $D$153:$D$159, $E$153:$E$159), $I$256)</f>
        <v>6.3322285714285703E-4</v>
      </c>
      <c r="Q280" s="50" cm="1">
        <f t="array" aca="1" ref="Q280" ca="1">MMS_Swine_N2ODirect_Equations.VEERG_4_5_1_3__1_TotalAnnualDirectNitrousOxideEmissionsFromMMS(Q227, _xlfn.XLOOKUP($E280, $D$153:$D$159, $E$153:$E$159), $I$256)</f>
        <v>8.4315000000000008E-4</v>
      </c>
      <c r="R280" s="50" cm="1">
        <f t="array" aca="1" ref="R280" ca="1">MMS_Swine_N2ODirect_Equations.VEERG_4_5_1_3__1_TotalAnnualDirectNitrousOxideEmissionsFromMMS(R227, _xlfn.XLOOKUP($E280, $D$153:$D$159, $E$153:$E$159), $I$256)</f>
        <v>7.9152857142857124E-4</v>
      </c>
      <c r="S280" s="50" cm="1">
        <f t="array" aca="1" ref="S280" ca="1">MMS_Swine_N2ODirect_Equations.VEERG_4_5_1_3__1_TotalAnnualDirectNitrousOxideEmissionsFromMMS(S227, _xlfn.XLOOKUP($E280, $D$153:$D$159, $E$153:$E$159), $I$256)</f>
        <v>5.3686285714285705E-4</v>
      </c>
      <c r="T280" s="2"/>
    </row>
    <row r="281" spans="4:20" ht="20.100000000000001" customHeight="1" x14ac:dyDescent="0.25">
      <c r="D281" s="55"/>
      <c r="E281" s="55" t="str">
        <f>INDEX(X_Table_Swine_Stage2MMS_From_DigesterCoveredLagoons,4,1)</f>
        <v>Pit storage</v>
      </c>
      <c r="F281" s="50" cm="1">
        <f t="array" aca="1" ref="F281" ca="1">MMS_Swine_N2ODirect_Equations.VEERG_4_5_1_3__1_TotalAnnualDirectNitrousOxideEmissionsFromMMS(F228, _xlfn.XLOOKUP($E281, $D$153:$D$159, $E$153:$E$159), $I$256)</f>
        <v>1.266445714285714E-4</v>
      </c>
      <c r="G281" s="50" cm="1">
        <f t="array" aca="1" ref="G281" ca="1">MMS_Swine_N2ODirect_Equations.VEERG_4_5_1_3__1_TotalAnnualDirectNitrousOxideEmissionsFromMMS(G228, _xlfn.XLOOKUP($E281, $D$153:$D$159, $E$153:$E$159), $I$256)</f>
        <v>1.6863000000000004E-4</v>
      </c>
      <c r="H281" s="50" cm="1">
        <f t="array" aca="1" ref="H281" ca="1">MMS_Swine_N2ODirect_Equations.VEERG_4_5_1_3__1_TotalAnnualDirectNitrousOxideEmissionsFromMMS(H228, _xlfn.XLOOKUP($E281, $D$153:$D$159, $E$153:$E$159), $I$256)</f>
        <v>1.5830571428571426E-4</v>
      </c>
      <c r="I281" s="50" cm="1">
        <f t="array" aca="1" ref="I281" ca="1">MMS_Swine_N2ODirect_Equations.VEERG_4_5_1_3__1_TotalAnnualDirectNitrousOxideEmissionsFromMMS(I228, _xlfn.XLOOKUP($E281, $D$153:$D$159, $E$153:$E$159), $I$256)</f>
        <v>1.073725714285714E-4</v>
      </c>
      <c r="J281" s="2"/>
      <c r="N281" s="55"/>
      <c r="O281" s="55" t="str">
        <f>INDEX(X_Table_Swine_Stage2MMS_From_DigesterCoveredLagoons,4,1)</f>
        <v>Pit storage</v>
      </c>
      <c r="P281" s="50" cm="1">
        <f t="array" aca="1" ref="P281" ca="1">MMS_Swine_N2ODirect_Equations.VEERG_4_5_1_3__1_TotalAnnualDirectNitrousOxideEmissionsFromMMS(P228, _xlfn.XLOOKUP($E281, $D$153:$D$159, $E$153:$E$159), $I$256)</f>
        <v>1.266445714285714E-4</v>
      </c>
      <c r="Q281" s="50" cm="1">
        <f t="array" aca="1" ref="Q281" ca="1">MMS_Swine_N2ODirect_Equations.VEERG_4_5_1_3__1_TotalAnnualDirectNitrousOxideEmissionsFromMMS(Q228, _xlfn.XLOOKUP($E281, $D$153:$D$159, $E$153:$E$159), $I$256)</f>
        <v>1.6863000000000004E-4</v>
      </c>
      <c r="R281" s="50" cm="1">
        <f t="array" aca="1" ref="R281" ca="1">MMS_Swine_N2ODirect_Equations.VEERG_4_5_1_3__1_TotalAnnualDirectNitrousOxideEmissionsFromMMS(R228, _xlfn.XLOOKUP($E281, $D$153:$D$159, $E$153:$E$159), $I$256)</f>
        <v>1.5830571428571426E-4</v>
      </c>
      <c r="S281" s="50" cm="1">
        <f t="array" aca="1" ref="S281" ca="1">MMS_Swine_N2ODirect_Equations.VEERG_4_5_1_3__1_TotalAnnualDirectNitrousOxideEmissionsFromMMS(S228, _xlfn.XLOOKUP($E281, $D$153:$D$159, $E$153:$E$159), $I$256)</f>
        <v>1.073725714285714E-4</v>
      </c>
      <c r="T281" s="2"/>
    </row>
    <row r="282" spans="4:20" ht="20.100000000000001" customHeight="1" x14ac:dyDescent="0.25">
      <c r="D282" s="55"/>
      <c r="E282" s="55" t="str">
        <f>INDEX(X_Table_Swine_Stage2MMS_From_DigesterCoveredLagoons,5,1)</f>
        <v>Direct application</v>
      </c>
      <c r="F282" s="50" t="s">
        <v>165</v>
      </c>
      <c r="G282" s="50" t="s">
        <v>165</v>
      </c>
      <c r="H282" s="50" t="s">
        <v>165</v>
      </c>
      <c r="I282" s="50" t="s">
        <v>165</v>
      </c>
      <c r="J282" s="2"/>
      <c r="N282" s="55"/>
      <c r="O282" s="55" t="str">
        <f>INDEX(X_Table_Swine_Stage2MMS_From_DigesterCoveredLagoons,5,1)</f>
        <v>Direct application</v>
      </c>
      <c r="P282" s="50" t="s">
        <v>165</v>
      </c>
      <c r="Q282" s="50" t="s">
        <v>165</v>
      </c>
      <c r="R282" s="50" t="s">
        <v>165</v>
      </c>
      <c r="S282" s="50" t="s">
        <v>165</v>
      </c>
      <c r="T282" s="2"/>
    </row>
    <row r="283" spans="4:20" ht="20.100000000000001" customHeight="1" x14ac:dyDescent="0.25">
      <c r="D283" s="55" t="str">
        <f>INDEX(X_Table_Swine_Stage1MMS_DeepLitter,2,1)</f>
        <v>Deep litter</v>
      </c>
      <c r="E283" s="55" t="str">
        <f>INDEX(X_Table_Swine_Stage2MMS_From_DeepLitter,2,1)</f>
        <v>Anaerobic lagoon</v>
      </c>
      <c r="F283" s="50" cm="1">
        <f t="array" aca="1" ref="F283" ca="1">MMS_Swine_N2ODirect_Equations.VEERG_4_5_1_3__1_TotalAnnualDirectNitrousOxideEmissionsFromMMS(F230, _xlfn.XLOOKUP($E283, $D$153:$D$159, $E$153:$E$159), $I$256)</f>
        <v>0</v>
      </c>
      <c r="G283" s="50" cm="1">
        <f t="array" aca="1" ref="G283" ca="1">MMS_Swine_N2ODirect_Equations.VEERG_4_5_1_3__1_TotalAnnualDirectNitrousOxideEmissionsFromMMS(G230, _xlfn.XLOOKUP($E283, $D$153:$D$159, $E$153:$E$159), $I$256)</f>
        <v>0</v>
      </c>
      <c r="H283" s="50" cm="1">
        <f t="array" aca="1" ref="H283" ca="1">MMS_Swine_N2ODirect_Equations.VEERG_4_5_1_3__1_TotalAnnualDirectNitrousOxideEmissionsFromMMS(H230, _xlfn.XLOOKUP($E283, $D$153:$D$159, $E$153:$E$159), $I$256)</f>
        <v>0</v>
      </c>
      <c r="I283" s="50" cm="1">
        <f t="array" aca="1" ref="I283" ca="1">MMS_Swine_N2ODirect_Equations.VEERG_4_5_1_3__1_TotalAnnualDirectNitrousOxideEmissionsFromMMS(I230, _xlfn.XLOOKUP($E283, $D$153:$D$159, $E$153:$E$159), $I$256)</f>
        <v>0</v>
      </c>
      <c r="J283" s="2"/>
      <c r="N283" s="55" t="str">
        <f>INDEX(X_Table_Swine_Stage1MMS_DeepLitter,2,1)</f>
        <v>Deep litter</v>
      </c>
      <c r="O283" s="55" t="str">
        <f>INDEX(X_Table_Swine_Stage2MMS_From_DeepLitter,2,1)</f>
        <v>Anaerobic lagoon</v>
      </c>
      <c r="P283" s="50" cm="1">
        <f t="array" aca="1" ref="P283" ca="1">MMS_Swine_N2ODirect_Equations.VEERG_4_5_1_3__1_TotalAnnualDirectNitrousOxideEmissionsFromMMS(P230, _xlfn.XLOOKUP($E283, $D$153:$D$159, $E$153:$E$159), $I$256)</f>
        <v>0</v>
      </c>
      <c r="Q283" s="50" cm="1">
        <f t="array" aca="1" ref="Q283" ca="1">MMS_Swine_N2ODirect_Equations.VEERG_4_5_1_3__1_TotalAnnualDirectNitrousOxideEmissionsFromMMS(Q230, _xlfn.XLOOKUP($E283, $D$153:$D$159, $E$153:$E$159), $I$256)</f>
        <v>0</v>
      </c>
      <c r="R283" s="50" cm="1">
        <f t="array" aca="1" ref="R283" ca="1">MMS_Swine_N2ODirect_Equations.VEERG_4_5_1_3__1_TotalAnnualDirectNitrousOxideEmissionsFromMMS(R230, _xlfn.XLOOKUP($E283, $D$153:$D$159, $E$153:$E$159), $I$256)</f>
        <v>0</v>
      </c>
      <c r="S283" s="50" cm="1">
        <f t="array" aca="1" ref="S283" ca="1">MMS_Swine_N2ODirect_Equations.VEERG_4_5_1_3__1_TotalAnnualDirectNitrousOxideEmissionsFromMMS(S230, _xlfn.XLOOKUP($E283, $D$153:$D$159, $E$153:$E$159), $I$256)</f>
        <v>0</v>
      </c>
      <c r="T283" s="2"/>
    </row>
    <row r="284" spans="4:20" ht="20.100000000000001" customHeight="1" x14ac:dyDescent="0.25">
      <c r="D284" s="55"/>
      <c r="E284" s="55" t="str">
        <f>INDEX(X_Table_Swine_Stage2MMS_From_DeepLitter,3,1)</f>
        <v>Digester / covered lagoons</v>
      </c>
      <c r="F284" s="50" cm="1">
        <f t="array" aca="1" ref="F284" ca="1">MMS_Swine_N2ODirect_Equations.VEERG_4_5_1_3__1_TotalAnnualDirectNitrousOxideEmissionsFromMMS(F231, _xlfn.XLOOKUP($E284, $D$153:$D$159, $E$153:$E$159), $I$256)</f>
        <v>0</v>
      </c>
      <c r="G284" s="50" cm="1">
        <f t="array" aca="1" ref="G284" ca="1">MMS_Swine_N2ODirect_Equations.VEERG_4_5_1_3__1_TotalAnnualDirectNitrousOxideEmissionsFromMMS(G231, _xlfn.XLOOKUP($E284, $D$153:$D$159, $E$153:$E$159), $I$256)</f>
        <v>0</v>
      </c>
      <c r="H284" s="50" cm="1">
        <f t="array" aca="1" ref="H284" ca="1">MMS_Swine_N2ODirect_Equations.VEERG_4_5_1_3__1_TotalAnnualDirectNitrousOxideEmissionsFromMMS(H231, _xlfn.XLOOKUP($E284, $D$153:$D$159, $E$153:$E$159), $I$256)</f>
        <v>0</v>
      </c>
      <c r="I284" s="50" cm="1">
        <f t="array" aca="1" ref="I284" ca="1">MMS_Swine_N2ODirect_Equations.VEERG_4_5_1_3__1_TotalAnnualDirectNitrousOxideEmissionsFromMMS(I231, _xlfn.XLOOKUP($E284, $D$153:$D$159, $E$153:$E$159), $I$256)</f>
        <v>0</v>
      </c>
      <c r="J284" s="2"/>
      <c r="N284" s="55"/>
      <c r="O284" s="55" t="str">
        <f>INDEX(X_Table_Swine_Stage2MMS_From_DeepLitter,3,1)</f>
        <v>Digester / covered lagoons</v>
      </c>
      <c r="P284" s="50" cm="1">
        <f t="array" aca="1" ref="P284" ca="1">MMS_Swine_N2ODirect_Equations.VEERG_4_5_1_3__1_TotalAnnualDirectNitrousOxideEmissionsFromMMS(P231, _xlfn.XLOOKUP($E284, $D$153:$D$159, $E$153:$E$159), $I$256)</f>
        <v>0</v>
      </c>
      <c r="Q284" s="50" cm="1">
        <f t="array" aca="1" ref="Q284" ca="1">MMS_Swine_N2ODirect_Equations.VEERG_4_5_1_3__1_TotalAnnualDirectNitrousOxideEmissionsFromMMS(Q231, _xlfn.XLOOKUP($E284, $D$153:$D$159, $E$153:$E$159), $I$256)</f>
        <v>0</v>
      </c>
      <c r="R284" s="50" cm="1">
        <f t="array" aca="1" ref="R284" ca="1">MMS_Swine_N2ODirect_Equations.VEERG_4_5_1_3__1_TotalAnnualDirectNitrousOxideEmissionsFromMMS(R231, _xlfn.XLOOKUP($E284, $D$153:$D$159, $E$153:$E$159), $I$256)</f>
        <v>0</v>
      </c>
      <c r="S284" s="50" cm="1">
        <f t="array" aca="1" ref="S284" ca="1">MMS_Swine_N2ODirect_Equations.VEERG_4_5_1_3__1_TotalAnnualDirectNitrousOxideEmissionsFromMMS(S231, _xlfn.XLOOKUP($E284, $D$153:$D$159, $E$153:$E$159), $I$256)</f>
        <v>0</v>
      </c>
      <c r="T284" s="2"/>
    </row>
    <row r="285" spans="4:20" ht="20.100000000000001" customHeight="1" x14ac:dyDescent="0.25">
      <c r="D285" s="55"/>
      <c r="E285" s="55" t="str">
        <f>INDEX(X_Table_Swine_Stage2MMS_From_DeepLitter,4,1)</f>
        <v>Pit storage</v>
      </c>
      <c r="F285" s="50" cm="1">
        <f t="array" aca="1" ref="F285" ca="1">MMS_Swine_N2ODirect_Equations.VEERG_4_5_1_3__1_TotalAnnualDirectNitrousOxideEmissionsFromMMS(F232, _xlfn.XLOOKUP($E285, $D$153:$D$159, $E$153:$E$159), $I$256)</f>
        <v>1.0954755428571425E-4</v>
      </c>
      <c r="G285" s="50" cm="1">
        <f t="array" aca="1" ref="G285" ca="1">MMS_Swine_N2ODirect_Equations.VEERG_4_5_1_3__1_TotalAnnualDirectNitrousOxideEmissionsFromMMS(G232, _xlfn.XLOOKUP($E285, $D$153:$D$159, $E$153:$E$159), $I$256)</f>
        <v>1.4586495000000002E-4</v>
      </c>
      <c r="H285" s="50" cm="1">
        <f t="array" aca="1" ref="H285" ca="1">MMS_Swine_N2ODirect_Equations.VEERG_4_5_1_3__1_TotalAnnualDirectNitrousOxideEmissionsFromMMS(H232, _xlfn.XLOOKUP($E285, $D$153:$D$159, $E$153:$E$159), $I$256)</f>
        <v>1.3693444285714282E-4</v>
      </c>
      <c r="I285" s="50" cm="1">
        <f t="array" aca="1" ref="I285" ca="1">MMS_Swine_N2ODirect_Equations.VEERG_4_5_1_3__1_TotalAnnualDirectNitrousOxideEmissionsFromMMS(I232, _xlfn.XLOOKUP($E285, $D$153:$D$159, $E$153:$E$159), $I$256)</f>
        <v>9.2877274285714271E-5</v>
      </c>
      <c r="J285" s="2"/>
      <c r="N285" s="55"/>
      <c r="O285" s="55" t="str">
        <f>INDEX(X_Table_Swine_Stage2MMS_From_DeepLitter,4,1)</f>
        <v>Pit storage</v>
      </c>
      <c r="P285" s="50" cm="1">
        <f t="array" aca="1" ref="P285" ca="1">MMS_Swine_N2ODirect_Equations.VEERG_4_5_1_3__1_TotalAnnualDirectNitrousOxideEmissionsFromMMS(P232, _xlfn.XLOOKUP($E285, $D$153:$D$159, $E$153:$E$159), $I$256)</f>
        <v>1.0954755428571425E-4</v>
      </c>
      <c r="Q285" s="50" cm="1">
        <f t="array" aca="1" ref="Q285" ca="1">MMS_Swine_N2ODirect_Equations.VEERG_4_5_1_3__1_TotalAnnualDirectNitrousOxideEmissionsFromMMS(Q232, _xlfn.XLOOKUP($E285, $D$153:$D$159, $E$153:$E$159), $I$256)</f>
        <v>1.4586495000000002E-4</v>
      </c>
      <c r="R285" s="50" cm="1">
        <f t="array" aca="1" ref="R285" ca="1">MMS_Swine_N2ODirect_Equations.VEERG_4_5_1_3__1_TotalAnnualDirectNitrousOxideEmissionsFromMMS(R232, _xlfn.XLOOKUP($E285, $D$153:$D$159, $E$153:$E$159), $I$256)</f>
        <v>1.3693444285714282E-4</v>
      </c>
      <c r="S285" s="50" cm="1">
        <f t="array" aca="1" ref="S285" ca="1">MMS_Swine_N2ODirect_Equations.VEERG_4_5_1_3__1_TotalAnnualDirectNitrousOxideEmissionsFromMMS(S232, _xlfn.XLOOKUP($E285, $D$153:$D$159, $E$153:$E$159), $I$256)</f>
        <v>9.2877274285714271E-5</v>
      </c>
      <c r="T285" s="2"/>
    </row>
    <row r="286" spans="4:20" ht="20.100000000000001" customHeight="1" x14ac:dyDescent="0.25">
      <c r="D286" s="55"/>
      <c r="E286" s="55" t="str">
        <f>INDEX(X_Table_Swine_Stage2MMS_From_DeepLitter,5,1)</f>
        <v>Direct application</v>
      </c>
      <c r="F286" s="50" t="s">
        <v>165</v>
      </c>
      <c r="G286" s="50" t="s">
        <v>165</v>
      </c>
      <c r="H286" s="50" t="s">
        <v>165</v>
      </c>
      <c r="I286" s="50" t="s">
        <v>165</v>
      </c>
      <c r="J286" s="2"/>
      <c r="N286" s="55"/>
      <c r="O286" s="55" t="str">
        <f>INDEX(X_Table_Swine_Stage2MMS_From_DeepLitter,5,1)</f>
        <v>Direct application</v>
      </c>
      <c r="P286" s="50" t="s">
        <v>165</v>
      </c>
      <c r="Q286" s="50" t="s">
        <v>165</v>
      </c>
      <c r="R286" s="50" t="s">
        <v>165</v>
      </c>
      <c r="S286" s="50" t="s">
        <v>165</v>
      </c>
      <c r="T286" s="2"/>
    </row>
    <row r="287" spans="4:20" ht="20.100000000000001" customHeight="1" x14ac:dyDescent="0.25">
      <c r="D287" s="55" t="str">
        <f>INDEX(X_Table_Swine_Stage1MMS_PitStorage,2,1)</f>
        <v>Pit storage</v>
      </c>
      <c r="E287" s="55" t="str">
        <f>INDEX(X_Table_Swine_Stage2MMS_From_PitStorage,2,1)</f>
        <v>Anaerobic lagoon</v>
      </c>
      <c r="F287" s="50" cm="1">
        <f t="array" aca="1" ref="F287" ca="1">MMS_Swine_N2ODirect_Equations.VEERG_4_5_1_3__1_TotalAnnualDirectNitrousOxideEmissionsFromMMS(F234, _xlfn.XLOOKUP($E287, $D$153:$D$159, $E$153:$E$159), $I$256)</f>
        <v>0</v>
      </c>
      <c r="G287" s="50" cm="1">
        <f t="array" aca="1" ref="G287" ca="1">MMS_Swine_N2ODirect_Equations.VEERG_4_5_1_3__1_TotalAnnualDirectNitrousOxideEmissionsFromMMS(G234, _xlfn.XLOOKUP($E287, $D$153:$D$159, $E$153:$E$159), $I$256)</f>
        <v>0</v>
      </c>
      <c r="H287" s="50" cm="1">
        <f t="array" aca="1" ref="H287" ca="1">MMS_Swine_N2ODirect_Equations.VEERG_4_5_1_3__1_TotalAnnualDirectNitrousOxideEmissionsFromMMS(H234, _xlfn.XLOOKUP($E287, $D$153:$D$159, $E$153:$E$159), $I$256)</f>
        <v>0</v>
      </c>
      <c r="I287" s="50" cm="1">
        <f t="array" aca="1" ref="I287" ca="1">MMS_Swine_N2ODirect_Equations.VEERG_4_5_1_3__1_TotalAnnualDirectNitrousOxideEmissionsFromMMS(I234, _xlfn.XLOOKUP($E287, $D$153:$D$159, $E$153:$E$159), $I$256)</f>
        <v>0</v>
      </c>
      <c r="J287" s="2"/>
      <c r="N287" s="55" t="str">
        <f>INDEX(X_Table_Swine_Stage1MMS_PitStorage,2,1)</f>
        <v>Pit storage</v>
      </c>
      <c r="O287" s="55" t="str">
        <f>INDEX(X_Table_Swine_Stage2MMS_From_PitStorage,2,1)</f>
        <v>Anaerobic lagoon</v>
      </c>
      <c r="P287" s="50" cm="1">
        <f t="array" aca="1" ref="P287" ca="1">MMS_Swine_N2ODirect_Equations.VEERG_4_5_1_3__1_TotalAnnualDirectNitrousOxideEmissionsFromMMS(P234, _xlfn.XLOOKUP($E287, $D$153:$D$159, $E$153:$E$159), $I$256)</f>
        <v>0</v>
      </c>
      <c r="Q287" s="50" cm="1">
        <f t="array" aca="1" ref="Q287" ca="1">MMS_Swine_N2ODirect_Equations.VEERG_4_5_1_3__1_TotalAnnualDirectNitrousOxideEmissionsFromMMS(Q234, _xlfn.XLOOKUP($E287, $D$153:$D$159, $E$153:$E$159), $I$256)</f>
        <v>0</v>
      </c>
      <c r="R287" s="50" cm="1">
        <f t="array" aca="1" ref="R287" ca="1">MMS_Swine_N2ODirect_Equations.VEERG_4_5_1_3__1_TotalAnnualDirectNitrousOxideEmissionsFromMMS(R234, _xlfn.XLOOKUP($E287, $D$153:$D$159, $E$153:$E$159), $I$256)</f>
        <v>0</v>
      </c>
      <c r="S287" s="50" cm="1">
        <f t="array" aca="1" ref="S287" ca="1">MMS_Swine_N2ODirect_Equations.VEERG_4_5_1_3__1_TotalAnnualDirectNitrousOxideEmissionsFromMMS(S234, _xlfn.XLOOKUP($E287, $D$153:$D$159, $E$153:$E$159), $I$256)</f>
        <v>0</v>
      </c>
      <c r="T287" s="2"/>
    </row>
    <row r="288" spans="4:20" ht="20.100000000000001" customHeight="1" x14ac:dyDescent="0.25">
      <c r="D288" s="55"/>
      <c r="E288" s="55" t="str">
        <f>INDEX(X_Table_Swine_Stage2MMS_From_PitStorage,3,1)</f>
        <v>Digester / covered lagoons</v>
      </c>
      <c r="F288" s="50" cm="1">
        <f t="array" aca="1" ref="F288" ca="1">MMS_Swine_N2ODirect_Equations.VEERG_4_5_1_3__1_TotalAnnualDirectNitrousOxideEmissionsFromMMS(F235, _xlfn.XLOOKUP($E288, $D$153:$D$159, $E$153:$E$159), $I$256)</f>
        <v>0</v>
      </c>
      <c r="G288" s="50" cm="1">
        <f t="array" aca="1" ref="G288" ca="1">MMS_Swine_N2ODirect_Equations.VEERG_4_5_1_3__1_TotalAnnualDirectNitrousOxideEmissionsFromMMS(G235, _xlfn.XLOOKUP($E288, $D$153:$D$159, $E$153:$E$159), $I$256)</f>
        <v>0</v>
      </c>
      <c r="H288" s="50" cm="1">
        <f t="array" aca="1" ref="H288" ca="1">MMS_Swine_N2ODirect_Equations.VEERG_4_5_1_3__1_TotalAnnualDirectNitrousOxideEmissionsFromMMS(H235, _xlfn.XLOOKUP($E288, $D$153:$D$159, $E$153:$E$159), $I$256)</f>
        <v>0</v>
      </c>
      <c r="I288" s="50" cm="1">
        <f t="array" aca="1" ref="I288" ca="1">MMS_Swine_N2ODirect_Equations.VEERG_4_5_1_3__1_TotalAnnualDirectNitrousOxideEmissionsFromMMS(I235, _xlfn.XLOOKUP($E288, $D$153:$D$159, $E$153:$E$159), $I$256)</f>
        <v>0</v>
      </c>
      <c r="J288" s="2"/>
      <c r="N288" s="55"/>
      <c r="O288" s="55" t="str">
        <f>INDEX(X_Table_Swine_Stage2MMS_From_PitStorage,3,1)</f>
        <v>Digester / covered lagoons</v>
      </c>
      <c r="P288" s="50" cm="1">
        <f t="array" aca="1" ref="P288" ca="1">MMS_Swine_N2ODirect_Equations.VEERG_4_5_1_3__1_TotalAnnualDirectNitrousOxideEmissionsFromMMS(P235, _xlfn.XLOOKUP($E288, $D$153:$D$159, $E$153:$E$159), $I$256)</f>
        <v>0</v>
      </c>
      <c r="Q288" s="50" cm="1">
        <f t="array" aca="1" ref="Q288" ca="1">MMS_Swine_N2ODirect_Equations.VEERG_4_5_1_3__1_TotalAnnualDirectNitrousOxideEmissionsFromMMS(Q235, _xlfn.XLOOKUP($E288, $D$153:$D$159, $E$153:$E$159), $I$256)</f>
        <v>0</v>
      </c>
      <c r="R288" s="50" cm="1">
        <f t="array" aca="1" ref="R288" ca="1">MMS_Swine_N2ODirect_Equations.VEERG_4_5_1_3__1_TotalAnnualDirectNitrousOxideEmissionsFromMMS(R235, _xlfn.XLOOKUP($E288, $D$153:$D$159, $E$153:$E$159), $I$256)</f>
        <v>0</v>
      </c>
      <c r="S288" s="50" cm="1">
        <f t="array" aca="1" ref="S288" ca="1">MMS_Swine_N2ODirect_Equations.VEERG_4_5_1_3__1_TotalAnnualDirectNitrousOxideEmissionsFromMMS(S235, _xlfn.XLOOKUP($E288, $D$153:$D$159, $E$153:$E$159), $I$256)</f>
        <v>0</v>
      </c>
      <c r="T288" s="2"/>
    </row>
    <row r="289" spans="1:20" ht="20.100000000000001" customHeight="1" x14ac:dyDescent="0.25">
      <c r="D289" s="55"/>
      <c r="E289" s="55" t="str">
        <f>INDEX(X_Table_Swine_Stage2MMS_From_PitStorage,4,1)</f>
        <v>Deep litter</v>
      </c>
      <c r="F289" s="50" cm="1">
        <f t="array" aca="1" ref="F289" ca="1">MMS_Swine_N2ODirect_Equations.VEERG_4_5_1_3__1_TotalAnnualDirectNitrousOxideEmissionsFromMMS(F236, _xlfn.XLOOKUP($E289, $D$153:$D$159, $E$153:$E$159), $I$256)</f>
        <v>4.7365069714285705E-4</v>
      </c>
      <c r="G289" s="50" cm="1">
        <f t="array" aca="1" ref="G289" ca="1">MMS_Swine_N2ODirect_Equations.VEERG_4_5_1_3__1_TotalAnnualDirectNitrousOxideEmissionsFromMMS(G236, _xlfn.XLOOKUP($E289, $D$153:$D$159, $E$153:$E$159), $I$256)</f>
        <v>6.306762E-4</v>
      </c>
      <c r="H289" s="50" cm="1">
        <f t="array" aca="1" ref="H289" ca="1">MMS_Swine_N2ODirect_Equations.VEERG_4_5_1_3__1_TotalAnnualDirectNitrousOxideEmissionsFromMMS(H236, _xlfn.XLOOKUP($E289, $D$153:$D$159, $E$153:$E$159), $I$256)</f>
        <v>5.9206337142857137E-4</v>
      </c>
      <c r="I289" s="50" cm="1">
        <f t="array" aca="1" ref="I289" ca="1">MMS_Swine_N2ODirect_Equations.VEERG_4_5_1_3__1_TotalAnnualDirectNitrousOxideEmissionsFromMMS(I236, _xlfn.XLOOKUP($E289, $D$153:$D$159, $E$153:$E$159), $I$256)</f>
        <v>4.0157341714285705E-4</v>
      </c>
      <c r="J289" s="2"/>
      <c r="N289" s="55"/>
      <c r="O289" s="55" t="str">
        <f>INDEX(X_Table_Swine_Stage2MMS_From_PitStorage,4,1)</f>
        <v>Deep litter</v>
      </c>
      <c r="P289" s="50" cm="1">
        <f t="array" aca="1" ref="P289" ca="1">MMS_Swine_N2ODirect_Equations.VEERG_4_5_1_3__1_TotalAnnualDirectNitrousOxideEmissionsFromMMS(P236, _xlfn.XLOOKUP($E289, $D$153:$D$159, $E$153:$E$159), $I$256)</f>
        <v>4.7365069714285705E-4</v>
      </c>
      <c r="Q289" s="50" cm="1">
        <f t="array" aca="1" ref="Q289" ca="1">MMS_Swine_N2ODirect_Equations.VEERG_4_5_1_3__1_TotalAnnualDirectNitrousOxideEmissionsFromMMS(Q236, _xlfn.XLOOKUP($E289, $D$153:$D$159, $E$153:$E$159), $I$256)</f>
        <v>6.306762E-4</v>
      </c>
      <c r="R289" s="50" cm="1">
        <f t="array" aca="1" ref="R289" ca="1">MMS_Swine_N2ODirect_Equations.VEERG_4_5_1_3__1_TotalAnnualDirectNitrousOxideEmissionsFromMMS(R236, _xlfn.XLOOKUP($E289, $D$153:$D$159, $E$153:$E$159), $I$256)</f>
        <v>5.9206337142857137E-4</v>
      </c>
      <c r="S289" s="50" cm="1">
        <f t="array" aca="1" ref="S289" ca="1">MMS_Swine_N2ODirect_Equations.VEERG_4_5_1_3__1_TotalAnnualDirectNitrousOxideEmissionsFromMMS(S236, _xlfn.XLOOKUP($E289, $D$153:$D$159, $E$153:$E$159), $I$256)</f>
        <v>4.0157341714285705E-4</v>
      </c>
      <c r="T289" s="2"/>
    </row>
    <row r="290" spans="1:20" ht="20.100000000000001" customHeight="1" x14ac:dyDescent="0.25">
      <c r="D290" s="55"/>
      <c r="E290" s="55" t="str">
        <f>INDEX(X_Table_Swine_Stage2MMS_From_PitStorage,5,1)</f>
        <v>Direct application</v>
      </c>
      <c r="F290" s="50" t="s">
        <v>165</v>
      </c>
      <c r="G290" s="50" t="s">
        <v>165</v>
      </c>
      <c r="H290" s="50" t="s">
        <v>165</v>
      </c>
      <c r="I290" s="50" t="s">
        <v>165</v>
      </c>
      <c r="J290" s="2"/>
      <c r="N290" s="55"/>
      <c r="O290" s="55" t="str">
        <f>INDEX(X_Table_Swine_Stage2MMS_From_PitStorage,5,1)</f>
        <v>Direct application</v>
      </c>
      <c r="P290" s="50" t="s">
        <v>165</v>
      </c>
      <c r="Q290" s="50" t="s">
        <v>165</v>
      </c>
      <c r="R290" s="50" t="s">
        <v>165</v>
      </c>
      <c r="S290" s="50" t="s">
        <v>165</v>
      </c>
      <c r="T290" s="2"/>
    </row>
    <row r="291" spans="1:20" ht="20.100000000000001" customHeight="1" x14ac:dyDescent="0.25">
      <c r="D291" s="55" t="s">
        <v>346</v>
      </c>
      <c r="E291" s="55" t="str">
        <f>INDEX(X_Table_Swine_Stage2MMS_From_SolidStorage,2,1)</f>
        <v>Anaerobic lagoon</v>
      </c>
      <c r="F291" s="50" cm="1">
        <f t="array" aca="1" ref="F291" ca="1">MMS_Swine_N2ODirect_Equations.VEERG_4_5_1_3__1_TotalAnnualDirectNitrousOxideEmissionsFromMMS(F238, _xlfn.XLOOKUP($E291, $D$153:$D$159, $E$153:$E$159), $I$256)</f>
        <v>0</v>
      </c>
      <c r="G291" s="50" cm="1">
        <f t="array" aca="1" ref="G291" ca="1">MMS_Swine_N2ODirect_Equations.VEERG_4_5_1_3__1_TotalAnnualDirectNitrousOxideEmissionsFromMMS(G238, _xlfn.XLOOKUP($E291, $D$153:$D$159, $E$153:$E$159), $I$256)</f>
        <v>0</v>
      </c>
      <c r="H291" s="50" cm="1">
        <f t="array" aca="1" ref="H291" ca="1">MMS_Swine_N2ODirect_Equations.VEERG_4_5_1_3__1_TotalAnnualDirectNitrousOxideEmissionsFromMMS(H238, _xlfn.XLOOKUP($E291, $D$153:$D$159, $E$153:$E$159), $I$256)</f>
        <v>0</v>
      </c>
      <c r="I291" s="50" cm="1">
        <f t="array" aca="1" ref="I291" ca="1">MMS_Swine_N2ODirect_Equations.VEERG_4_5_1_3__1_TotalAnnualDirectNitrousOxideEmissionsFromMMS(I238, _xlfn.XLOOKUP($E291, $D$153:$D$159, $E$153:$E$159), $I$256)</f>
        <v>0</v>
      </c>
      <c r="J291" s="2"/>
      <c r="N291" s="55" t="s">
        <v>346</v>
      </c>
      <c r="O291" s="55" t="str">
        <f>INDEX(X_Table_Swine_Stage2MMS_From_SolidStorage,2,1)</f>
        <v>Anaerobic lagoon</v>
      </c>
      <c r="P291" s="50" cm="1">
        <f t="array" aca="1" ref="P291" ca="1">MMS_Swine_N2ODirect_Equations.VEERG_4_5_1_3__1_TotalAnnualDirectNitrousOxideEmissionsFromMMS(P238, _xlfn.XLOOKUP($E291, $D$153:$D$159, $E$153:$E$159), $I$256)</f>
        <v>0</v>
      </c>
      <c r="Q291" s="50" cm="1">
        <f t="array" aca="1" ref="Q291" ca="1">MMS_Swine_N2ODirect_Equations.VEERG_4_5_1_3__1_TotalAnnualDirectNitrousOxideEmissionsFromMMS(Q238, _xlfn.XLOOKUP($E291, $D$153:$D$159, $E$153:$E$159), $I$256)</f>
        <v>0</v>
      </c>
      <c r="R291" s="50" cm="1">
        <f t="array" aca="1" ref="R291" ca="1">MMS_Swine_N2ODirect_Equations.VEERG_4_5_1_3__1_TotalAnnualDirectNitrousOxideEmissionsFromMMS(R238, _xlfn.XLOOKUP($E291, $D$153:$D$159, $E$153:$E$159), $I$256)</f>
        <v>0</v>
      </c>
      <c r="S291" s="50" cm="1">
        <f t="array" aca="1" ref="S291" ca="1">MMS_Swine_N2ODirect_Equations.VEERG_4_5_1_3__1_TotalAnnualDirectNitrousOxideEmissionsFromMMS(S238, _xlfn.XLOOKUP($E291, $D$153:$D$159, $E$153:$E$159), $I$256)</f>
        <v>0</v>
      </c>
      <c r="T291" s="2"/>
    </row>
    <row r="292" spans="1:20" ht="20.100000000000001" customHeight="1" x14ac:dyDescent="0.25">
      <c r="D292" s="55"/>
      <c r="E292" s="55" t="str">
        <f>INDEX(X_Table_Swine_Stage2MMS_From_SolidStorage,3,1)</f>
        <v>Digester / covered lagoons</v>
      </c>
      <c r="F292" s="50" cm="1">
        <f t="array" aca="1" ref="F292" ca="1">MMS_Swine_N2ODirect_Equations.VEERG_4_5_1_3__1_TotalAnnualDirectNitrousOxideEmissionsFromMMS(F239, _xlfn.XLOOKUP($E292, $D$153:$D$159, $E$153:$E$159), $I$256)</f>
        <v>0</v>
      </c>
      <c r="G292" s="50" cm="1">
        <f t="array" aca="1" ref="G292" ca="1">MMS_Swine_N2ODirect_Equations.VEERG_4_5_1_3__1_TotalAnnualDirectNitrousOxideEmissionsFromMMS(G239, _xlfn.XLOOKUP($E292, $D$153:$D$159, $E$153:$E$159), $I$256)</f>
        <v>0</v>
      </c>
      <c r="H292" s="50" cm="1">
        <f t="array" aca="1" ref="H292" ca="1">MMS_Swine_N2ODirect_Equations.VEERG_4_5_1_3__1_TotalAnnualDirectNitrousOxideEmissionsFromMMS(H239, _xlfn.XLOOKUP($E292, $D$153:$D$159, $E$153:$E$159), $I$256)</f>
        <v>0</v>
      </c>
      <c r="I292" s="50" cm="1">
        <f t="array" aca="1" ref="I292" ca="1">MMS_Swine_N2ODirect_Equations.VEERG_4_5_1_3__1_TotalAnnualDirectNitrousOxideEmissionsFromMMS(I239, _xlfn.XLOOKUP($E292, $D$153:$D$159, $E$153:$E$159), $I$256)</f>
        <v>0</v>
      </c>
      <c r="J292" s="2"/>
      <c r="N292" s="55"/>
      <c r="O292" s="55" t="str">
        <f>INDEX(X_Table_Swine_Stage2MMS_From_SolidStorage,3,1)</f>
        <v>Digester / covered lagoons</v>
      </c>
      <c r="P292" s="50" cm="1">
        <f t="array" aca="1" ref="P292" ca="1">MMS_Swine_N2ODirect_Equations.VEERG_4_5_1_3__1_TotalAnnualDirectNitrousOxideEmissionsFromMMS(P239, _xlfn.XLOOKUP($E292, $D$153:$D$159, $E$153:$E$159), $I$256)</f>
        <v>0</v>
      </c>
      <c r="Q292" s="50" cm="1">
        <f t="array" aca="1" ref="Q292" ca="1">MMS_Swine_N2ODirect_Equations.VEERG_4_5_1_3__1_TotalAnnualDirectNitrousOxideEmissionsFromMMS(Q239, _xlfn.XLOOKUP($E292, $D$153:$D$159, $E$153:$E$159), $I$256)</f>
        <v>0</v>
      </c>
      <c r="R292" s="50" cm="1">
        <f t="array" aca="1" ref="R292" ca="1">MMS_Swine_N2ODirect_Equations.VEERG_4_5_1_3__1_TotalAnnualDirectNitrousOxideEmissionsFromMMS(R239, _xlfn.XLOOKUP($E292, $D$153:$D$159, $E$153:$E$159), $I$256)</f>
        <v>0</v>
      </c>
      <c r="S292" s="50" cm="1">
        <f t="array" aca="1" ref="S292" ca="1">MMS_Swine_N2ODirect_Equations.VEERG_4_5_1_3__1_TotalAnnualDirectNitrousOxideEmissionsFromMMS(S239, _xlfn.XLOOKUP($E292, $D$153:$D$159, $E$153:$E$159), $I$256)</f>
        <v>0</v>
      </c>
      <c r="T292" s="2"/>
    </row>
    <row r="293" spans="1:20" ht="20.100000000000001" customHeight="1" x14ac:dyDescent="0.25">
      <c r="D293" s="55"/>
      <c r="E293" s="55" t="str">
        <f>INDEX(X_Table_Swine_Stage2MMS_From_SolidStorage,4,1)</f>
        <v>Deep litter</v>
      </c>
      <c r="F293" s="50" cm="1">
        <f t="array" aca="1" ref="F293" ca="1">MMS_Swine_N2ODirect_Equations.VEERG_4_5_1_3__1_TotalAnnualDirectNitrousOxideEmissionsFromMMS(F240, _xlfn.XLOOKUP($E293, $D$153:$D$159, $E$153:$E$159), $I$256)</f>
        <v>1.6780405714285722E-3</v>
      </c>
      <c r="G293" s="50" cm="1">
        <f t="array" aca="1" ref="G293" ca="1">MMS_Swine_N2ODirect_Equations.VEERG_4_5_1_3__1_TotalAnnualDirectNitrousOxideEmissionsFromMMS(G240, _xlfn.XLOOKUP($E293, $D$153:$D$159, $E$153:$E$159), $I$256)</f>
        <v>1.787478000000001E-3</v>
      </c>
      <c r="H293" s="50" cm="1">
        <f t="array" aca="1" ref="H293" ca="1">MMS_Swine_N2ODirect_Equations.VEERG_4_5_1_3__1_TotalAnnualDirectNitrousOxideEmissionsFromMMS(H240, _xlfn.XLOOKUP($E293, $D$153:$D$159, $E$153:$E$159), $I$256)</f>
        <v>1.6780405714285722E-3</v>
      </c>
      <c r="I293" s="50" cm="1">
        <f t="array" aca="1" ref="I293" ca="1">MMS_Swine_N2ODirect_Equations.VEERG_4_5_1_3__1_TotalAnnualDirectNitrousOxideEmissionsFromMMS(I240, _xlfn.XLOOKUP($E293, $D$153:$D$159, $E$153:$E$159), $I$256)</f>
        <v>1.1381492571428578E-3</v>
      </c>
      <c r="J293" s="2"/>
      <c r="N293" s="55"/>
      <c r="O293" s="55" t="str">
        <f>INDEX(X_Table_Swine_Stage2MMS_From_SolidStorage,4,1)</f>
        <v>Deep litter</v>
      </c>
      <c r="P293" s="50" cm="1">
        <f t="array" aca="1" ref="P293" ca="1">MMS_Swine_N2ODirect_Equations.VEERG_4_5_1_3__1_TotalAnnualDirectNitrousOxideEmissionsFromMMS(P240, _xlfn.XLOOKUP($E293, $D$153:$D$159, $E$153:$E$159), $I$256)</f>
        <v>1.6780405714285722E-3</v>
      </c>
      <c r="Q293" s="50" cm="1">
        <f t="array" aca="1" ref="Q293" ca="1">MMS_Swine_N2ODirect_Equations.VEERG_4_5_1_3__1_TotalAnnualDirectNitrousOxideEmissionsFromMMS(Q240, _xlfn.XLOOKUP($E293, $D$153:$D$159, $E$153:$E$159), $I$256)</f>
        <v>1.787478000000001E-3</v>
      </c>
      <c r="R293" s="50" cm="1">
        <f t="array" aca="1" ref="R293" ca="1">MMS_Swine_N2ODirect_Equations.VEERG_4_5_1_3__1_TotalAnnualDirectNitrousOxideEmissionsFromMMS(R240, _xlfn.XLOOKUP($E293, $D$153:$D$159, $E$153:$E$159), $I$256)</f>
        <v>1.6780405714285722E-3</v>
      </c>
      <c r="S293" s="50" cm="1">
        <f t="array" aca="1" ref="S293" ca="1">MMS_Swine_N2ODirect_Equations.VEERG_4_5_1_3__1_TotalAnnualDirectNitrousOxideEmissionsFromMMS(S240, _xlfn.XLOOKUP($E293, $D$153:$D$159, $E$153:$E$159), $I$256)</f>
        <v>1.1381492571428578E-3</v>
      </c>
      <c r="T293" s="2"/>
    </row>
    <row r="294" spans="1:20" ht="20.100000000000001" customHeight="1" x14ac:dyDescent="0.25">
      <c r="D294" s="55"/>
      <c r="E294" s="55" t="str">
        <f>INDEX(X_Table_Swine_Stage2MMS_From_SolidStorage,5,1)</f>
        <v>Pit storage</v>
      </c>
      <c r="F294" s="50" cm="1">
        <f t="array" aca="1" ref="F294" ca="1">MMS_Swine_N2ODirect_Equations.VEERG_4_5_1_3__1_TotalAnnualDirectNitrousOxideEmissionsFromMMS(F241, _xlfn.XLOOKUP($E294, $D$153:$D$159, $E$153:$E$159), $I$256)</f>
        <v>1.6780405714285717E-4</v>
      </c>
      <c r="G294" s="50" cm="1">
        <f t="array" aca="1" ref="G294" ca="1">MMS_Swine_N2ODirect_Equations.VEERG_4_5_1_3__1_TotalAnnualDirectNitrousOxideEmissionsFromMMS(G241, _xlfn.XLOOKUP($E294, $D$153:$D$159, $E$153:$E$159), $I$256)</f>
        <v>1.7874780000000013E-4</v>
      </c>
      <c r="H294" s="50" cm="1">
        <f t="array" aca="1" ref="H294" ca="1">MMS_Swine_N2ODirect_Equations.VEERG_4_5_1_3__1_TotalAnnualDirectNitrousOxideEmissionsFromMMS(H241, _xlfn.XLOOKUP($E294, $D$153:$D$159, $E$153:$E$159), $I$256)</f>
        <v>1.6780405714285717E-4</v>
      </c>
      <c r="I294" s="50" cm="1">
        <f t="array" aca="1" ref="I294" ca="1">MMS_Swine_N2ODirect_Equations.VEERG_4_5_1_3__1_TotalAnnualDirectNitrousOxideEmissionsFromMMS(I241, _xlfn.XLOOKUP($E294, $D$153:$D$159, $E$153:$E$159), $I$256)</f>
        <v>1.1381492571428576E-4</v>
      </c>
      <c r="J294" s="2"/>
      <c r="N294" s="55"/>
      <c r="O294" s="55" t="str">
        <f>INDEX(X_Table_Swine_Stage2MMS_From_SolidStorage,5,1)</f>
        <v>Pit storage</v>
      </c>
      <c r="P294" s="50" cm="1">
        <f t="array" aca="1" ref="P294" ca="1">MMS_Swine_N2ODirect_Equations.VEERG_4_5_1_3__1_TotalAnnualDirectNitrousOxideEmissionsFromMMS(P241, _xlfn.XLOOKUP($E294, $D$153:$D$159, $E$153:$E$159), $I$256)</f>
        <v>1.6780405714285717E-4</v>
      </c>
      <c r="Q294" s="50" cm="1">
        <f t="array" aca="1" ref="Q294" ca="1">MMS_Swine_N2ODirect_Equations.VEERG_4_5_1_3__1_TotalAnnualDirectNitrousOxideEmissionsFromMMS(Q241, _xlfn.XLOOKUP($E294, $D$153:$D$159, $E$153:$E$159), $I$256)</f>
        <v>1.7874780000000013E-4</v>
      </c>
      <c r="R294" s="50" cm="1">
        <f t="array" aca="1" ref="R294" ca="1">MMS_Swine_N2ODirect_Equations.VEERG_4_5_1_3__1_TotalAnnualDirectNitrousOxideEmissionsFromMMS(R241, _xlfn.XLOOKUP($E294, $D$153:$D$159, $E$153:$E$159), $I$256)</f>
        <v>1.6780405714285717E-4</v>
      </c>
      <c r="S294" s="50" cm="1">
        <f t="array" aca="1" ref="S294" ca="1">MMS_Swine_N2ODirect_Equations.VEERG_4_5_1_3__1_TotalAnnualDirectNitrousOxideEmissionsFromMMS(S241, _xlfn.XLOOKUP($E294, $D$153:$D$159, $E$153:$E$159), $I$256)</f>
        <v>1.1381492571428576E-4</v>
      </c>
      <c r="T294" s="2"/>
    </row>
    <row r="295" spans="1:20" ht="20.100000000000001" customHeight="1" x14ac:dyDescent="0.25">
      <c r="D295" s="55"/>
      <c r="E295" s="55" t="str">
        <f>INDEX(X_Table_Swine_Stage2MMS_From_SolidStorage,6,1)</f>
        <v>Direct application</v>
      </c>
      <c r="F295" s="50" t="s">
        <v>165</v>
      </c>
      <c r="G295" s="50" t="s">
        <v>165</v>
      </c>
      <c r="H295" s="50" t="s">
        <v>165</v>
      </c>
      <c r="I295" s="50" t="s">
        <v>165</v>
      </c>
      <c r="J295" s="2"/>
      <c r="N295" s="55"/>
      <c r="O295" s="55" t="str">
        <f>INDEX(X_Table_Swine_Stage2MMS_From_SolidStorage,6,1)</f>
        <v>Direct application</v>
      </c>
      <c r="P295" s="50" t="s">
        <v>165</v>
      </c>
      <c r="Q295" s="50" t="s">
        <v>165</v>
      </c>
      <c r="R295" s="50" t="s">
        <v>165</v>
      </c>
      <c r="S295" s="50" t="s">
        <v>165</v>
      </c>
      <c r="T295" s="2"/>
    </row>
    <row r="296" spans="1:20" ht="20.100000000000001" customHeight="1" x14ac:dyDescent="0.25"/>
    <row r="297" spans="1:20" ht="20.100000000000001" customHeight="1" x14ac:dyDescent="0.25">
      <c r="D297" s="97" t="s">
        <v>97</v>
      </c>
      <c r="E297" s="98">
        <f ca="1">SUM(F264:I295)</f>
        <v>7.4343140661428567E-2</v>
      </c>
      <c r="F297" s="99" t="str">
        <f>$E$252</f>
        <v>t N2O</v>
      </c>
      <c r="N297" s="97" t="s">
        <v>97</v>
      </c>
      <c r="O297" s="98">
        <f ca="1">SUM(P264:S295)</f>
        <v>7.4343140661428567E-2</v>
      </c>
      <c r="P297" s="99" t="str">
        <f>$E$252</f>
        <v>t N2O</v>
      </c>
    </row>
    <row r="298" spans="1:20" ht="20.100000000000001" customHeight="1" x14ac:dyDescent="0.25"/>
    <row r="299" spans="1:20" ht="20.100000000000001" customHeight="1" x14ac:dyDescent="0.25">
      <c r="D299" s="55" t="str" cm="1">
        <f t="array" ref="D299:E300">Common_Equations.Common_ConvertN2OToCO2e_Arguments()</f>
        <v>EN2O</v>
      </c>
      <c r="E299" s="56" t="str">
        <v>Nitrous oxide emissions (t N2O)</v>
      </c>
      <c r="F299" s="100"/>
      <c r="G299" s="50">
        <f ca="1">E297</f>
        <v>7.4343140661428567E-2</v>
      </c>
      <c r="N299" s="55" t="str" cm="1">
        <f t="array" ref="N299:O300">Common_Equations.Common_ConvertN2OToCO2e_Arguments()</f>
        <v>EN2O</v>
      </c>
      <c r="O299" s="56" t="str">
        <v>Nitrous oxide emissions (t N2O)</v>
      </c>
      <c r="P299" s="100"/>
      <c r="Q299" s="50">
        <f ca="1">O297</f>
        <v>7.4343140661428567E-2</v>
      </c>
    </row>
    <row r="300" spans="1:20" ht="20.100000000000001" customHeight="1" x14ac:dyDescent="0.25">
      <c r="D300" s="55" t="str">
        <v>GWPN2O</v>
      </c>
      <c r="E300" s="56" t="str">
        <v>Global warming potential for nitrous oxide (t CO2-e / t N2O)</v>
      </c>
      <c r="F300" s="100"/>
      <c r="G300" s="50">
        <f>Common_InputFunctions.Utility_LookupValueInTableNumber("N2O",Table_GWPData[Gas],Table_GWPData[CO2-e factor])</f>
        <v>265</v>
      </c>
      <c r="N300" s="55" t="str">
        <v>GWPN2O</v>
      </c>
      <c r="O300" s="56" t="str">
        <v>Global warming potential for nitrous oxide (t CO2-e / t N2O)</v>
      </c>
      <c r="P300" s="100"/>
      <c r="Q300" s="50">
        <f>Common_InputFunctions.Utility_LookupValueInTableNumber("N2O",Table_GWPData[Gas],Table_GWPData[CO2-e factor])</f>
        <v>265</v>
      </c>
    </row>
    <row r="301" spans="1:20" ht="20.100000000000001" customHeight="1" x14ac:dyDescent="0.25"/>
    <row r="302" spans="1:20" ht="20.100000000000001" customHeight="1" x14ac:dyDescent="0.25">
      <c r="A302" s="141" t="str">
        <f>HYPERLINK("#A1", "▲ Back to top")</f>
        <v>▲ Back to top</v>
      </c>
      <c r="D302" s="43" t="s">
        <v>94</v>
      </c>
      <c r="E302" s="43" cm="1">
        <f t="array" aca="1" ref="E302" ca="1">Common_Equations.Common_ConvertN2OToCO2e(G299,G300)</f>
        <v>19.700932275278571</v>
      </c>
      <c r="F302" s="101" t="str" cm="1">
        <f t="array" ref="F302">Common_Equations.Common_ConvertN2OToCO2e_Unit()</f>
        <v>t CO2e</v>
      </c>
      <c r="N302" s="43" t="s">
        <v>94</v>
      </c>
      <c r="O302" s="43" cm="1">
        <f t="array" aca="1" ref="O302" ca="1">Common_Equations.Common_ConvertN2OToCO2e(Q299,Q300)</f>
        <v>19.700932275278571</v>
      </c>
      <c r="P302" s="101" t="str" cm="1">
        <f t="array" ref="P302">Common_Equations.Common_ConvertN2OToCO2e_Unit()</f>
        <v>t CO2e</v>
      </c>
    </row>
    <row r="303" spans="1:20" ht="20.100000000000001" customHeight="1" x14ac:dyDescent="0.25"/>
    <row r="304" spans="1:20" ht="20.100000000000001" customHeight="1" x14ac:dyDescent="0.25"/>
  </sheetData>
  <dataValidations count="1">
    <dataValidation operator="equal" allowBlank="1" showInputMessage="1" showErrorMessage="1" sqref="E18 E28 E33 J101 J106 E23 U126 O114:T114 U103 O23 O33 F196:I199"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sheetPr>
    <tabColor rgb="FF008000"/>
  </sheetPr>
  <dimension ref="A1:U165"/>
  <sheetViews>
    <sheetView showGridLines="0" topLeftCell="A108"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280</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MMS_Swine_AtmosphericDeposition_Equations.VEERG_4_5_1_5__2_TotalNitrogenVolatilisedFromMMS_Title()</f>
        <v>Total nitrogen volatilised from MMS</v>
      </c>
    </row>
    <row r="6" spans="1:21" ht="20.100000000000001" customHeight="1" x14ac:dyDescent="0.25">
      <c r="D6" s="5" t="str" cm="1">
        <f t="array" ref="D6">MMS_Swine_AtmosphericDeposition_Equations.VEERG_4_5_1_5__2_TotalNitrogenVolatilisedFromMMS_Source()</f>
        <v>VEERG 2026: 4.5.1.1, Equation (2)</v>
      </c>
    </row>
    <row r="7" spans="1:21" ht="20.100000000000001" customHeight="1" x14ac:dyDescent="0.25">
      <c r="D7" s="13" t="s">
        <v>23</v>
      </c>
      <c r="E7" s="13" t="str" cm="1">
        <f t="array" aca="1" ref="E7" ca="1">Common_InputFunctions.Utility_DisplayFunctionName(F73)</f>
        <v>=MMS_Swine_AtmosphericDeposition_Equations.VEERG_4_5_1_5__2_TotalNitrogenVolatilisedFromMMS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MMS_Swine_AtmosphericDeposition_Equations.VEERG_4_5_1_5__2_TotalNitrogenVolatilisedFromMMS_Variable()</f>
        <v>MMS_ATMOS</v>
      </c>
    </row>
    <row r="11" spans="1:21" ht="20.100000000000001" customHeight="1" x14ac:dyDescent="0.25">
      <c r="D11" s="51" t="s">
        <v>16</v>
      </c>
      <c r="E11" s="52" t="str" cm="1">
        <f t="array" ref="E11">MMS_Swine_AtmosphericDeposition_Equations.VEERG_4_5_1_5__2_TotalNitrogenVolatilisedFromMMS_Unit()</f>
        <v>kg N</v>
      </c>
    </row>
    <row r="12" spans="1:21" ht="20.100000000000001" customHeight="1" x14ac:dyDescent="0.25"/>
    <row r="13" spans="1:21" ht="20.100000000000001" customHeight="1" x14ac:dyDescent="0.25">
      <c r="A13" s="18" t="s">
        <v>71</v>
      </c>
      <c r="D13" s="55" t="str" cm="1">
        <f t="array" ref="D13:E14">Common_InputFunctions.Utility_DisplayArguments_1_2(MMS_Swine_AtmosphericDeposition_Equations.VEERG_4_5_1_5__2_TotalNitrogenVolatilisedFromMMS_Arguments())</f>
        <v>MN_jmT</v>
      </c>
      <c r="E13" s="56" t="str">
        <v>nitrogen per swine class, MMS and treatment stage</v>
      </c>
      <c r="F13" s="57"/>
      <c r="G13" s="136" t="str" cm="1">
        <f t="array" ref="G13:H14">Common_InputFunctions.Utility_DisplayArguments_3_4(MMS_Swine_AtmosphericDeposition_Equations.VEERG_4_5_1_5__2_TotalNitrogenVolatilisedFromMMS_Arguments())</f>
        <v>kg N</v>
      </c>
      <c r="H13" s="131" t="str">
        <v>Calculated from 4.5.1.3 (2)(6)</v>
      </c>
      <c r="I13" s="135" t="str" cm="1">
        <f t="array" aca="1" ref="I13" ca="1">HYPERLINK(Common_InputFunctions.Utility_SourceHyperlink(D19), D19)</f>
        <v>M1_Table_MN_j_m_T-1</v>
      </c>
      <c r="J13" s="135" t="str" cm="1">
        <f t="array" aca="1" ref="J13" ca="1">HYPERLINK(Common_InputFunctions.Utility_SourceHyperlink(D29), D29)</f>
        <v>M1_Table_MN_j_m_T-2</v>
      </c>
    </row>
    <row r="14" spans="1:21" ht="20.100000000000001" customHeight="1" x14ac:dyDescent="0.25">
      <c r="A14" s="17" t="str">
        <f>HYPERLINK("#'4.5.1.1-2 Methane'!A1", "4.5.1.1-2 Methane")</f>
        <v>4.5.1.1-2 Methane</v>
      </c>
      <c r="D14" s="55" t="str">
        <v>FracGASMmT</v>
      </c>
      <c r="E14" s="56" t="str">
        <v>fraction of N volatilised in each MMS</v>
      </c>
      <c r="F14" s="57"/>
      <c r="G14" s="136" t="str">
        <v>(kg NH3-N + NOx-N)/kg N</v>
      </c>
      <c r="H14" s="131" t="str">
        <v>Constant</v>
      </c>
      <c r="I14" s="140" t="str" cm="1">
        <f t="array" aca="1" ref="I14" ca="1">HYPERLINK(Common_InputFunctions.Utility_SourceHyperlink(D59), D59)</f>
        <v>Table_FracGASM_m_t</v>
      </c>
      <c r="J14" s="139"/>
    </row>
    <row r="15" spans="1:21" ht="20.100000000000001" customHeight="1" x14ac:dyDescent="0.25">
      <c r="A15" s="17" t="str">
        <f>HYPERLINK("#'4.5.1.3-4 Direct N2O'!A1", "4.5.1.3-4 Direct N2O")</f>
        <v>4.5.1.3-4 Direct N2O</v>
      </c>
    </row>
    <row r="16" spans="1:21" ht="20.100000000000001" customHeight="1" x14ac:dyDescent="0.25">
      <c r="A16" s="147" t="str">
        <f>HYPERLINK("#'4.5.1.5-6 Atmos Dep'!A1", "4.5.1.5-6 Atmos Dep")</f>
        <v>4.5.1.5-6 Atmos Dep</v>
      </c>
      <c r="D16" s="128" t="s">
        <v>338</v>
      </c>
      <c r="E16" s="87"/>
      <c r="F16" s="87"/>
      <c r="G16" s="83"/>
    </row>
    <row r="17" spans="1:20" ht="20.100000000000001" customHeight="1" x14ac:dyDescent="0.25">
      <c r="A17" s="17" t="str">
        <f>HYPERLINK("#'4.5.1.7-8 Leaching and runoff'!A1", "4.5.1.7-8 Leaching and runoff")</f>
        <v>4.5.1.7-8 Leaching and runoff</v>
      </c>
      <c r="D17" s="89" t="s">
        <v>337</v>
      </c>
      <c r="E17" s="86"/>
      <c r="F17" s="86"/>
      <c r="G17" s="84"/>
    </row>
    <row r="18" spans="1:20" ht="20.100000000000001" customHeight="1" x14ac:dyDescent="0.25">
      <c r="A18" s="17" t="str">
        <f>HYPERLINK("#'4.5.1.9 Manure applied to soils'!A1", "4.5.1.9 Manure applied to soils")</f>
        <v>4.5.1.9 Manure applied to soils</v>
      </c>
    </row>
    <row r="19" spans="1:20" ht="20.100000000000001" customHeight="1" x14ac:dyDescent="0.25">
      <c r="D19" s="117" t="s">
        <v>236</v>
      </c>
      <c r="N19" s="117" t="s">
        <v>236</v>
      </c>
    </row>
    <row r="20" spans="1:20" ht="20.100000000000001" customHeight="1" x14ac:dyDescent="0.25">
      <c r="D20" s="118" t="s">
        <v>237</v>
      </c>
      <c r="N20" s="118" t="s">
        <v>237</v>
      </c>
    </row>
    <row r="21" spans="1:20" ht="20.100000000000001" customHeight="1" x14ac:dyDescent="0.25">
      <c r="A21" s="145" t="s">
        <v>1</v>
      </c>
      <c r="D21" s="49" t="s">
        <v>156</v>
      </c>
      <c r="E21" s="49" t="s">
        <v>135</v>
      </c>
      <c r="F21" s="49" t="s">
        <v>136</v>
      </c>
      <c r="G21" s="49" t="s">
        <v>137</v>
      </c>
      <c r="H21" s="49" t="s">
        <v>195</v>
      </c>
      <c r="N21" s="49" t="s">
        <v>156</v>
      </c>
      <c r="O21" s="49" t="s">
        <v>135</v>
      </c>
      <c r="P21" s="49" t="s">
        <v>136</v>
      </c>
      <c r="Q21" s="49" t="s">
        <v>137</v>
      </c>
      <c r="R21" s="49" t="s">
        <v>195</v>
      </c>
    </row>
    <row r="22" spans="1:20" ht="20.100000000000001" customHeight="1" x14ac:dyDescent="0.25">
      <c r="A22" s="17" t="str">
        <f>HYPERLINK("#'Constants - Swine'!A1", "Constants - Swine")</f>
        <v>Constants - Swine</v>
      </c>
      <c r="D22" s="55" t="str">
        <f>INDEX(X_Table_Swine_Stage1MMS_AnaerobicLagoon,2,1)</f>
        <v>Anaerobic lagoon</v>
      </c>
      <c r="E22" s="50">
        <f ca="1">'4.5.1.3-4 Direct N2O'!E118</f>
        <v>201.47999999999996</v>
      </c>
      <c r="F22" s="50">
        <f ca="1">'4.5.1.3-4 Direct N2O'!F118</f>
        <v>214.62000000000003</v>
      </c>
      <c r="G22" s="50">
        <f ca="1">'4.5.1.3-4 Direct N2O'!G118</f>
        <v>201.47999999999996</v>
      </c>
      <c r="H22" s="50">
        <f ca="1">'4.5.1.3-4 Direct N2O'!H118</f>
        <v>136.65599999999998</v>
      </c>
      <c r="I22" s="2" t="str">
        <f>$G$13</f>
        <v>kg N</v>
      </c>
      <c r="N22" s="55" t="str">
        <f>INDEX(X_Table_Swine_Stage1MMS_AnaerobicLagoon,2,1)</f>
        <v>Anaerobic lagoon</v>
      </c>
      <c r="O22" s="50">
        <f ca="1">'4.5.1.3-4 Direct N2O'!O118</f>
        <v>201.47999999999996</v>
      </c>
      <c r="P22" s="50">
        <f ca="1">'4.5.1.3-4 Direct N2O'!P118</f>
        <v>214.62000000000003</v>
      </c>
      <c r="Q22" s="50">
        <f ca="1">'4.5.1.3-4 Direct N2O'!Q118</f>
        <v>201.47999999999996</v>
      </c>
      <c r="R22" s="50">
        <f ca="1">'4.5.1.3-4 Direct N2O'!R118</f>
        <v>136.65599999999998</v>
      </c>
      <c r="S22" s="2" t="str">
        <f>$G$13</f>
        <v>kg N</v>
      </c>
    </row>
    <row r="23" spans="1:20" ht="20.100000000000001" customHeight="1" x14ac:dyDescent="0.25">
      <c r="A23" s="17" t="str">
        <f>HYPERLINK("#'Constants - Common'!A1", "Constants - Common")</f>
        <v>Constants - Common</v>
      </c>
      <c r="D23" s="55" t="str">
        <f>INDEX(X_Table_Swine_Stage1MMS_Drylot,2,1)</f>
        <v>Drylot (feed pad)</v>
      </c>
      <c r="E23" s="50">
        <f ca="1">'4.5.1.3-4 Direct N2O'!E119</f>
        <v>201.47999999999996</v>
      </c>
      <c r="F23" s="50">
        <f ca="1">'4.5.1.3-4 Direct N2O'!F119</f>
        <v>214.62000000000003</v>
      </c>
      <c r="G23" s="50">
        <f ca="1">'4.5.1.3-4 Direct N2O'!G119</f>
        <v>201.47999999999996</v>
      </c>
      <c r="H23" s="50">
        <f ca="1">'4.5.1.3-4 Direct N2O'!H119</f>
        <v>136.65599999999998</v>
      </c>
      <c r="I23" s="2"/>
      <c r="N23" s="55" t="str">
        <f>INDEX(X_Table_Swine_Stage1MMS_Drylot,2,1)</f>
        <v>Drylot (feed pad)</v>
      </c>
      <c r="O23" s="50">
        <f ca="1">'4.5.1.3-4 Direct N2O'!O119</f>
        <v>201.47999999999996</v>
      </c>
      <c r="P23" s="50">
        <f ca="1">'4.5.1.3-4 Direct N2O'!P119</f>
        <v>214.62000000000003</v>
      </c>
      <c r="Q23" s="50">
        <f ca="1">'4.5.1.3-4 Direct N2O'!Q119</f>
        <v>201.47999999999996</v>
      </c>
      <c r="R23" s="50">
        <f ca="1">'4.5.1.3-4 Direct N2O'!R119</f>
        <v>136.65599999999998</v>
      </c>
      <c r="S23" s="2"/>
    </row>
    <row r="24" spans="1:20" ht="20.100000000000001" customHeight="1" x14ac:dyDescent="0.25">
      <c r="A24" s="17" t="str">
        <f>HYPERLINK("#'Constants - Livestock'!A1", "Constants - Livestock")</f>
        <v>Constants - Livestock</v>
      </c>
      <c r="D24" s="55" t="str">
        <f>INDEX(X_Table_Swine_Stage1MMS_DigesterCoveredLagoons,2,1)</f>
        <v>Digester / covered lagoons</v>
      </c>
      <c r="E24" s="50">
        <f ca="1">'4.5.1.3-4 Direct N2O'!E120</f>
        <v>201.47999999999996</v>
      </c>
      <c r="F24" s="50">
        <f ca="1">'4.5.1.3-4 Direct N2O'!F120</f>
        <v>214.62000000000003</v>
      </c>
      <c r="G24" s="50">
        <f ca="1">'4.5.1.3-4 Direct N2O'!G120</f>
        <v>201.47999999999996</v>
      </c>
      <c r="H24" s="50">
        <f ca="1">'4.5.1.3-4 Direct N2O'!H120</f>
        <v>136.65599999999998</v>
      </c>
      <c r="I24" s="2"/>
      <c r="N24" s="55" t="str">
        <f>INDEX(X_Table_Swine_Stage1MMS_DigesterCoveredLagoons,2,1)</f>
        <v>Digester / covered lagoons</v>
      </c>
      <c r="O24" s="50">
        <f ca="1">'4.5.1.3-4 Direct N2O'!O120</f>
        <v>201.47999999999996</v>
      </c>
      <c r="P24" s="50">
        <f ca="1">'4.5.1.3-4 Direct N2O'!P120</f>
        <v>214.62000000000003</v>
      </c>
      <c r="Q24" s="50">
        <f ca="1">'4.5.1.3-4 Direct N2O'!Q120</f>
        <v>201.47999999999996</v>
      </c>
      <c r="R24" s="50">
        <f ca="1">'4.5.1.3-4 Direct N2O'!R120</f>
        <v>136.65599999999998</v>
      </c>
      <c r="S24" s="2"/>
    </row>
    <row r="25" spans="1:20" ht="20.100000000000001" customHeight="1" x14ac:dyDescent="0.25">
      <c r="A25" s="17" t="str">
        <f>HYPERLINK("#'Acknowledgements'!A1", "Acknowledgements")</f>
        <v>Acknowledgements</v>
      </c>
      <c r="D25" s="55" t="str">
        <f>INDEX(X_Table_Swine_Stage1MMS_DeepLitter,2,1)</f>
        <v>Deep litter</v>
      </c>
      <c r="E25" s="50">
        <f ca="1">'4.5.1.3-4 Direct N2O'!E121</f>
        <v>201.47999999999996</v>
      </c>
      <c r="F25" s="50">
        <f ca="1">'4.5.1.3-4 Direct N2O'!F121</f>
        <v>214.62000000000003</v>
      </c>
      <c r="G25" s="50">
        <f ca="1">'4.5.1.3-4 Direct N2O'!G121</f>
        <v>201.47999999999996</v>
      </c>
      <c r="H25" s="50">
        <f ca="1">'4.5.1.3-4 Direct N2O'!H121</f>
        <v>136.65599999999998</v>
      </c>
      <c r="I25" s="2"/>
      <c r="N25" s="55" t="str">
        <f>INDEX(X_Table_Swine_Stage1MMS_DeepLitter,2,1)</f>
        <v>Deep litter</v>
      </c>
      <c r="O25" s="50">
        <f ca="1">'4.5.1.3-4 Direct N2O'!O121</f>
        <v>201.47999999999996</v>
      </c>
      <c r="P25" s="50">
        <f ca="1">'4.5.1.3-4 Direct N2O'!P121</f>
        <v>214.62000000000003</v>
      </c>
      <c r="Q25" s="50">
        <f ca="1">'4.5.1.3-4 Direct N2O'!Q121</f>
        <v>201.47999999999996</v>
      </c>
      <c r="R25" s="50">
        <f ca="1">'4.5.1.3-4 Direct N2O'!R121</f>
        <v>136.65599999999998</v>
      </c>
      <c r="S25" s="2"/>
    </row>
    <row r="26" spans="1:20" ht="20.100000000000001" customHeight="1" x14ac:dyDescent="0.25">
      <c r="A26" s="17" t="str">
        <f>HYPERLINK("#'Tab template'!A1", "Tab template")</f>
        <v>Tab template</v>
      </c>
      <c r="D26" s="55" t="str">
        <f>INDEX(X_Table_Swine_Stage1MMS_PitStorage,2,1)</f>
        <v>Pit storage</v>
      </c>
      <c r="E26" s="50">
        <f ca="1">'4.5.1.3-4 Direct N2O'!E122</f>
        <v>201.47999999999996</v>
      </c>
      <c r="F26" s="50">
        <f ca="1">'4.5.1.3-4 Direct N2O'!F122</f>
        <v>214.62000000000003</v>
      </c>
      <c r="G26" s="50">
        <f ca="1">'4.5.1.3-4 Direct N2O'!G122</f>
        <v>201.47999999999996</v>
      </c>
      <c r="H26" s="50">
        <f ca="1">'4.5.1.3-4 Direct N2O'!H122</f>
        <v>136.65599999999998</v>
      </c>
      <c r="I26" s="2"/>
      <c r="N26" s="55" t="str">
        <f>INDEX(X_Table_Swine_Stage1MMS_PitStorage,2,1)</f>
        <v>Pit storage</v>
      </c>
      <c r="O26" s="50">
        <f ca="1">'4.5.1.3-4 Direct N2O'!O122</f>
        <v>201.47999999999996</v>
      </c>
      <c r="P26" s="50">
        <f ca="1">'4.5.1.3-4 Direct N2O'!P122</f>
        <v>214.62000000000003</v>
      </c>
      <c r="Q26" s="50">
        <f ca="1">'4.5.1.3-4 Direct N2O'!Q122</f>
        <v>201.47999999999996</v>
      </c>
      <c r="R26" s="50">
        <f ca="1">'4.5.1.3-4 Direct N2O'!R122</f>
        <v>136.65599999999998</v>
      </c>
      <c r="S26" s="2"/>
    </row>
    <row r="27" spans="1:20" ht="20.100000000000001" customHeight="1" x14ac:dyDescent="0.25">
      <c r="D27" s="55" t="s">
        <v>346</v>
      </c>
      <c r="E27" s="50">
        <f ca="1">'4.5.1.3-4 Direct N2O'!E123</f>
        <v>671.60000000000014</v>
      </c>
      <c r="F27" s="50">
        <f ca="1">'4.5.1.3-4 Direct N2O'!F123</f>
        <v>715.40000000000032</v>
      </c>
      <c r="G27" s="50">
        <f ca="1">'4.5.1.3-4 Direct N2O'!G123</f>
        <v>671.60000000000014</v>
      </c>
      <c r="H27" s="50">
        <f ca="1">'4.5.1.3-4 Direct N2O'!H123</f>
        <v>455.52000000000015</v>
      </c>
      <c r="I27" s="2"/>
      <c r="N27" s="55" t="s">
        <v>346</v>
      </c>
      <c r="O27" s="50">
        <f ca="1">'4.5.1.3-4 Direct N2O'!O123</f>
        <v>671.60000000000014</v>
      </c>
      <c r="P27" s="50">
        <f ca="1">'4.5.1.3-4 Direct N2O'!P123</f>
        <v>715.40000000000032</v>
      </c>
      <c r="Q27" s="50">
        <f ca="1">'4.5.1.3-4 Direct N2O'!Q123</f>
        <v>671.60000000000014</v>
      </c>
      <c r="R27" s="50">
        <f ca="1">'4.5.1.3-4 Direct N2O'!R123</f>
        <v>455.52000000000015</v>
      </c>
      <c r="S27" s="2"/>
    </row>
    <row r="28" spans="1:20" ht="20.100000000000001" customHeight="1" x14ac:dyDescent="0.25"/>
    <row r="29" spans="1:20" ht="20.100000000000001" customHeight="1" x14ac:dyDescent="0.25">
      <c r="D29" s="117" t="s">
        <v>247</v>
      </c>
      <c r="N29" s="117" t="s">
        <v>247</v>
      </c>
    </row>
    <row r="30" spans="1:20" ht="20.100000000000001" customHeight="1" x14ac:dyDescent="0.25">
      <c r="D30" s="118" t="s">
        <v>248</v>
      </c>
      <c r="N30" s="118" t="s">
        <v>248</v>
      </c>
    </row>
    <row r="31" spans="1:20" ht="20.100000000000001" customHeight="1" x14ac:dyDescent="0.25">
      <c r="D31" s="49" t="s">
        <v>156</v>
      </c>
      <c r="E31" s="49" t="s">
        <v>164</v>
      </c>
      <c r="F31" s="49" t="s">
        <v>135</v>
      </c>
      <c r="G31" s="49" t="s">
        <v>136</v>
      </c>
      <c r="H31" s="49" t="s">
        <v>137</v>
      </c>
      <c r="I31" s="49" t="s">
        <v>195</v>
      </c>
      <c r="N31" s="49" t="s">
        <v>156</v>
      </c>
      <c r="O31" s="49" t="s">
        <v>164</v>
      </c>
      <c r="P31" s="49" t="s">
        <v>135</v>
      </c>
      <c r="Q31" s="49" t="s">
        <v>136</v>
      </c>
      <c r="R31" s="49" t="s">
        <v>137</v>
      </c>
      <c r="S31" s="49" t="s">
        <v>195</v>
      </c>
    </row>
    <row r="32" spans="1:20" ht="20.100000000000001" customHeight="1" x14ac:dyDescent="0.25">
      <c r="D32" s="55" t="str">
        <f>INDEX(X_Table_Swine_Stage1MMS_AnaerobicLagoon,2,1)</f>
        <v>Anaerobic lagoon</v>
      </c>
      <c r="E32" s="55" t="str">
        <f>INDEX(X_Table_Swine_Stage2MMS_From_AnaerobicLagoon,2,1)</f>
        <v>Digester / covered lagoons</v>
      </c>
      <c r="F32" s="50">
        <f ca="1">'4.5.1.3-4 Direct N2O'!F217</f>
        <v>18.133199999999995</v>
      </c>
      <c r="G32" s="50">
        <f ca="1">'4.5.1.3-4 Direct N2O'!G217</f>
        <v>24.144750000000002</v>
      </c>
      <c r="H32" s="50">
        <f ca="1">'4.5.1.3-4 Direct N2O'!H217</f>
        <v>22.666499999999992</v>
      </c>
      <c r="I32" s="50">
        <f ca="1">'4.5.1.3-4 Direct N2O'!I217</f>
        <v>15.373799999999996</v>
      </c>
      <c r="J32" s="2" t="str">
        <f>$G$13</f>
        <v>kg N</v>
      </c>
      <c r="N32" s="55" t="str">
        <f>INDEX(X_Table_Swine_Stage1MMS_AnaerobicLagoon,2,1)</f>
        <v>Anaerobic lagoon</v>
      </c>
      <c r="O32" s="55" t="str">
        <f>INDEX(X_Table_Swine_Stage2MMS_From_AnaerobicLagoon,2,1)</f>
        <v>Digester / covered lagoons</v>
      </c>
      <c r="P32" s="50">
        <f ca="1">'4.5.1.3-4 Direct N2O'!P217</f>
        <v>18.133199999999995</v>
      </c>
      <c r="Q32" s="50">
        <f ca="1">'4.5.1.3-4 Direct N2O'!Q217</f>
        <v>24.144750000000002</v>
      </c>
      <c r="R32" s="50">
        <f ca="1">'4.5.1.3-4 Direct N2O'!R217</f>
        <v>22.666499999999992</v>
      </c>
      <c r="S32" s="50">
        <f ca="1">'4.5.1.3-4 Direct N2O'!S217</f>
        <v>15.373799999999996</v>
      </c>
      <c r="T32" s="2" t="str">
        <f>$G$13</f>
        <v>kg N</v>
      </c>
    </row>
    <row r="33" spans="4:20" ht="20.100000000000001" customHeight="1" x14ac:dyDescent="0.25">
      <c r="D33" s="55"/>
      <c r="E33" s="55" t="str">
        <f>INDEX(X_Table_Swine_Stage2MMS_From_AnaerobicLagoon,3,1)</f>
        <v>Deep litter</v>
      </c>
      <c r="F33" s="50">
        <f ca="1">'4.5.1.3-4 Direct N2O'!F218</f>
        <v>18.133199999999995</v>
      </c>
      <c r="G33" s="50">
        <f ca="1">'4.5.1.3-4 Direct N2O'!G218</f>
        <v>24.144750000000002</v>
      </c>
      <c r="H33" s="50">
        <f ca="1">'4.5.1.3-4 Direct N2O'!H218</f>
        <v>22.666499999999992</v>
      </c>
      <c r="I33" s="50">
        <f ca="1">'4.5.1.3-4 Direct N2O'!I218</f>
        <v>15.373799999999996</v>
      </c>
      <c r="J33" s="2"/>
      <c r="N33" s="55"/>
      <c r="O33" s="55" t="str">
        <f>INDEX(X_Table_Swine_Stage2MMS_From_AnaerobicLagoon,3,1)</f>
        <v>Deep litter</v>
      </c>
      <c r="P33" s="50">
        <f ca="1">'4.5.1.3-4 Direct N2O'!P218</f>
        <v>18.133199999999995</v>
      </c>
      <c r="Q33" s="50">
        <f ca="1">'4.5.1.3-4 Direct N2O'!Q218</f>
        <v>24.144750000000002</v>
      </c>
      <c r="R33" s="50">
        <f ca="1">'4.5.1.3-4 Direct N2O'!R218</f>
        <v>22.666499999999992</v>
      </c>
      <c r="S33" s="50">
        <f ca="1">'4.5.1.3-4 Direct N2O'!S218</f>
        <v>15.373799999999996</v>
      </c>
      <c r="T33" s="2"/>
    </row>
    <row r="34" spans="4:20" ht="20.100000000000001" customHeight="1" x14ac:dyDescent="0.25">
      <c r="D34" s="55"/>
      <c r="E34" s="55" t="str">
        <f>INDEX(X_Table_Swine_Stage2MMS_From_AnaerobicLagoon,4,1)</f>
        <v>Pit storage</v>
      </c>
      <c r="F34" s="50">
        <f ca="1">'4.5.1.3-4 Direct N2O'!F219</f>
        <v>18.133199999999995</v>
      </c>
      <c r="G34" s="50">
        <f ca="1">'4.5.1.3-4 Direct N2O'!G219</f>
        <v>24.144750000000002</v>
      </c>
      <c r="H34" s="50">
        <f ca="1">'4.5.1.3-4 Direct N2O'!H219</f>
        <v>22.666499999999992</v>
      </c>
      <c r="I34" s="50">
        <f ca="1">'4.5.1.3-4 Direct N2O'!I219</f>
        <v>15.373799999999996</v>
      </c>
      <c r="J34" s="2"/>
      <c r="N34" s="55"/>
      <c r="O34" s="55" t="str">
        <f>INDEX(X_Table_Swine_Stage2MMS_From_AnaerobicLagoon,4,1)</f>
        <v>Pit storage</v>
      </c>
      <c r="P34" s="50">
        <f ca="1">'4.5.1.3-4 Direct N2O'!P219</f>
        <v>18.133199999999995</v>
      </c>
      <c r="Q34" s="50">
        <f ca="1">'4.5.1.3-4 Direct N2O'!Q219</f>
        <v>24.144750000000002</v>
      </c>
      <c r="R34" s="50">
        <f ca="1">'4.5.1.3-4 Direct N2O'!R219</f>
        <v>22.666499999999992</v>
      </c>
      <c r="S34" s="50">
        <f ca="1">'4.5.1.3-4 Direct N2O'!S219</f>
        <v>15.373799999999996</v>
      </c>
      <c r="T34" s="2"/>
    </row>
    <row r="35" spans="4:20" ht="20.100000000000001" customHeight="1" x14ac:dyDescent="0.25">
      <c r="D35" s="55"/>
      <c r="E35" s="55" t="str">
        <f>INDEX(X_Table_Swine_Stage2MMS_From_AnaerobicLagoon,5,1)</f>
        <v>Direct application</v>
      </c>
      <c r="F35" s="50">
        <f ca="1">'4.5.1.3-4 Direct N2O'!F220</f>
        <v>36.266399999999976</v>
      </c>
      <c r="G35" s="50">
        <f ca="1">'4.5.1.3-4 Direct N2O'!G220</f>
        <v>24.144750000000002</v>
      </c>
      <c r="H35" s="50">
        <f ca="1">'4.5.1.3-4 Direct N2O'!H220</f>
        <v>22.666499999999992</v>
      </c>
      <c r="I35" s="50">
        <f ca="1">'4.5.1.3-4 Direct N2O'!I220</f>
        <v>15.373799999999996</v>
      </c>
      <c r="J35" s="2"/>
      <c r="N35" s="55"/>
      <c r="O35" s="55" t="str">
        <f>INDEX(X_Table_Swine_Stage2MMS_From_AnaerobicLagoon,5,1)</f>
        <v>Direct application</v>
      </c>
      <c r="P35" s="50">
        <f ca="1">'4.5.1.3-4 Direct N2O'!P220</f>
        <v>36.266399999999976</v>
      </c>
      <c r="Q35" s="50">
        <f ca="1">'4.5.1.3-4 Direct N2O'!Q220</f>
        <v>24.144750000000002</v>
      </c>
      <c r="R35" s="50">
        <f ca="1">'4.5.1.3-4 Direct N2O'!R220</f>
        <v>22.666499999999992</v>
      </c>
      <c r="S35" s="50">
        <f ca="1">'4.5.1.3-4 Direct N2O'!S220</f>
        <v>15.373799999999996</v>
      </c>
      <c r="T35" s="2"/>
    </row>
    <row r="36" spans="4:20" ht="20.100000000000001" customHeight="1" x14ac:dyDescent="0.25">
      <c r="D36" s="55" t="str">
        <f>INDEX(X_Table_Swine_Stage1MMS_Drylot,2,1)</f>
        <v>Drylot (feed pad)</v>
      </c>
      <c r="E36" s="55" t="str">
        <f>INDEX(X_Table_Swine_Stage2MMS_From_Drylot,2,1)</f>
        <v>Anaerobic lagoon</v>
      </c>
      <c r="F36" s="50">
        <f ca="1">'4.5.1.3-4 Direct N2O'!F221</f>
        <v>27.401279999999993</v>
      </c>
      <c r="G36" s="50">
        <f ca="1">'4.5.1.3-4 Direct N2O'!G221</f>
        <v>36.485400000000006</v>
      </c>
      <c r="H36" s="50">
        <f ca="1">'4.5.1.3-4 Direct N2O'!H221</f>
        <v>34.251599999999989</v>
      </c>
      <c r="I36" s="50">
        <f ca="1">'4.5.1.3-4 Direct N2O'!I221</f>
        <v>23.231519999999993</v>
      </c>
      <c r="J36" s="2"/>
      <c r="N36" s="55" t="str">
        <f>INDEX(X_Table_Swine_Stage1MMS_Drylot,2,1)</f>
        <v>Drylot (feed pad)</v>
      </c>
      <c r="O36" s="55" t="str">
        <f>INDEX(X_Table_Swine_Stage2MMS_From_Drylot,2,1)</f>
        <v>Anaerobic lagoon</v>
      </c>
      <c r="P36" s="50">
        <f ca="1">'4.5.1.3-4 Direct N2O'!P221</f>
        <v>27.401279999999993</v>
      </c>
      <c r="Q36" s="50">
        <f ca="1">'4.5.1.3-4 Direct N2O'!Q221</f>
        <v>36.485400000000006</v>
      </c>
      <c r="R36" s="50">
        <f ca="1">'4.5.1.3-4 Direct N2O'!R221</f>
        <v>34.251599999999989</v>
      </c>
      <c r="S36" s="50">
        <f ca="1">'4.5.1.3-4 Direct N2O'!S221</f>
        <v>23.231519999999993</v>
      </c>
      <c r="T36" s="2"/>
    </row>
    <row r="37" spans="4:20" ht="20.100000000000001" customHeight="1" x14ac:dyDescent="0.25">
      <c r="D37" s="55"/>
      <c r="E37" s="55" t="str">
        <f>INDEX(X_Table_Swine_Stage2MMS_From_Drylot,3,1)</f>
        <v>Digester / covered lagoons</v>
      </c>
      <c r="F37" s="50">
        <f ca="1">'4.5.1.3-4 Direct N2O'!F222</f>
        <v>27.401279999999993</v>
      </c>
      <c r="G37" s="50">
        <f ca="1">'4.5.1.3-4 Direct N2O'!G222</f>
        <v>36.485400000000006</v>
      </c>
      <c r="H37" s="50">
        <f ca="1">'4.5.1.3-4 Direct N2O'!H222</f>
        <v>34.251599999999989</v>
      </c>
      <c r="I37" s="50">
        <f ca="1">'4.5.1.3-4 Direct N2O'!I222</f>
        <v>23.231519999999993</v>
      </c>
      <c r="J37" s="2"/>
      <c r="N37" s="55"/>
      <c r="O37" s="55" t="str">
        <f>INDEX(X_Table_Swine_Stage2MMS_From_Drylot,3,1)</f>
        <v>Digester / covered lagoons</v>
      </c>
      <c r="P37" s="50">
        <f ca="1">'4.5.1.3-4 Direct N2O'!P222</f>
        <v>27.401279999999993</v>
      </c>
      <c r="Q37" s="50">
        <f ca="1">'4.5.1.3-4 Direct N2O'!Q222</f>
        <v>36.485400000000006</v>
      </c>
      <c r="R37" s="50">
        <f ca="1">'4.5.1.3-4 Direct N2O'!R222</f>
        <v>34.251599999999989</v>
      </c>
      <c r="S37" s="50">
        <f ca="1">'4.5.1.3-4 Direct N2O'!S222</f>
        <v>23.231519999999993</v>
      </c>
      <c r="T37" s="2"/>
    </row>
    <row r="38" spans="4:20" ht="20.100000000000001" customHeight="1" x14ac:dyDescent="0.25">
      <c r="D38" s="55"/>
      <c r="E38" s="55" t="str">
        <f>INDEX(X_Table_Swine_Stage2MMS_From_Drylot,4,1)</f>
        <v>Deep litter</v>
      </c>
      <c r="F38" s="50">
        <f ca="1">'4.5.1.3-4 Direct N2O'!F223</f>
        <v>27.401279999999993</v>
      </c>
      <c r="G38" s="50">
        <f ca="1">'4.5.1.3-4 Direct N2O'!G223</f>
        <v>36.485400000000006</v>
      </c>
      <c r="H38" s="50">
        <f ca="1">'4.5.1.3-4 Direct N2O'!H223</f>
        <v>34.251599999999989</v>
      </c>
      <c r="I38" s="50">
        <f ca="1">'4.5.1.3-4 Direct N2O'!I223</f>
        <v>23.231519999999993</v>
      </c>
      <c r="J38" s="2"/>
      <c r="N38" s="55"/>
      <c r="O38" s="55" t="str">
        <f>INDEX(X_Table_Swine_Stage2MMS_From_Drylot,4,1)</f>
        <v>Deep litter</v>
      </c>
      <c r="P38" s="50">
        <f ca="1">'4.5.1.3-4 Direct N2O'!P223</f>
        <v>27.401279999999993</v>
      </c>
      <c r="Q38" s="50">
        <f ca="1">'4.5.1.3-4 Direct N2O'!Q223</f>
        <v>36.485400000000006</v>
      </c>
      <c r="R38" s="50">
        <f ca="1">'4.5.1.3-4 Direct N2O'!R223</f>
        <v>34.251599999999989</v>
      </c>
      <c r="S38" s="50">
        <f ca="1">'4.5.1.3-4 Direct N2O'!S223</f>
        <v>23.231519999999993</v>
      </c>
      <c r="T38" s="2"/>
    </row>
    <row r="39" spans="4:20" ht="20.100000000000001" customHeight="1" x14ac:dyDescent="0.25">
      <c r="D39" s="55"/>
      <c r="E39" s="55" t="str">
        <f>INDEX(X_Table_Swine_Stage2MMS_From_Drylot,5,1)</f>
        <v>Pit storage</v>
      </c>
      <c r="F39" s="50">
        <f ca="1">'4.5.1.3-4 Direct N2O'!F224</f>
        <v>27.401279999999993</v>
      </c>
      <c r="G39" s="50">
        <f ca="1">'4.5.1.3-4 Direct N2O'!G224</f>
        <v>36.485400000000006</v>
      </c>
      <c r="H39" s="50">
        <f ca="1">'4.5.1.3-4 Direct N2O'!H224</f>
        <v>34.251599999999989</v>
      </c>
      <c r="I39" s="50">
        <f ca="1">'4.5.1.3-4 Direct N2O'!I224</f>
        <v>23.231519999999993</v>
      </c>
      <c r="J39" s="2"/>
      <c r="N39" s="55"/>
      <c r="O39" s="55" t="str">
        <f>INDEX(X_Table_Swine_Stage2MMS_From_Drylot,5,1)</f>
        <v>Pit storage</v>
      </c>
      <c r="P39" s="50">
        <f ca="1">'4.5.1.3-4 Direct N2O'!P224</f>
        <v>27.401279999999993</v>
      </c>
      <c r="Q39" s="50">
        <f ca="1">'4.5.1.3-4 Direct N2O'!Q224</f>
        <v>36.485400000000006</v>
      </c>
      <c r="R39" s="50">
        <f ca="1">'4.5.1.3-4 Direct N2O'!R224</f>
        <v>34.251599999999989</v>
      </c>
      <c r="S39" s="50">
        <f ca="1">'4.5.1.3-4 Direct N2O'!S224</f>
        <v>23.231519999999993</v>
      </c>
      <c r="T39" s="2"/>
    </row>
    <row r="40" spans="4:20" ht="20.100000000000001" customHeight="1" x14ac:dyDescent="0.25">
      <c r="D40" s="55"/>
      <c r="E40" s="55" t="str">
        <f>INDEX(X_Table_Swine_Stage2MMS_From_Drylot,6,1)</f>
        <v>Direct application</v>
      </c>
      <c r="F40" s="50">
        <f ca="1">'4.5.1.3-4 Direct N2O'!F225</f>
        <v>27.401279999999986</v>
      </c>
      <c r="G40" s="50">
        <f ca="1">'4.5.1.3-4 Direct N2O'!G225</f>
        <v>0</v>
      </c>
      <c r="H40" s="50">
        <f ca="1">'4.5.1.3-4 Direct N2O'!H225</f>
        <v>0</v>
      </c>
      <c r="I40" s="50">
        <f ca="1">'4.5.1.3-4 Direct N2O'!I225</f>
        <v>0</v>
      </c>
      <c r="J40" s="2"/>
      <c r="N40" s="55"/>
      <c r="O40" s="55" t="str">
        <f>INDEX(X_Table_Swine_Stage2MMS_From_Drylot,6,1)</f>
        <v>Direct application</v>
      </c>
      <c r="P40" s="50">
        <f ca="1">'4.5.1.3-4 Direct N2O'!P225</f>
        <v>27.401279999999986</v>
      </c>
      <c r="Q40" s="50">
        <f ca="1">'4.5.1.3-4 Direct N2O'!Q225</f>
        <v>0</v>
      </c>
      <c r="R40" s="50">
        <f ca="1">'4.5.1.3-4 Direct N2O'!R225</f>
        <v>0</v>
      </c>
      <c r="S40" s="50">
        <f ca="1">'4.5.1.3-4 Direct N2O'!S225</f>
        <v>0</v>
      </c>
      <c r="T40" s="2"/>
    </row>
    <row r="41" spans="4:20" ht="20.100000000000001" customHeight="1" x14ac:dyDescent="0.25">
      <c r="D41" s="55" t="str">
        <f>INDEX(X_Table_Swine_Stage1MMS_DigesterCoveredLagoons,2,1)</f>
        <v>Digester / covered lagoons</v>
      </c>
      <c r="E41" s="55" t="str">
        <f>INDEX(X_Table_Swine_Stage2MMS_From_DigesterCoveredLagoons,2,1)</f>
        <v>Anaerobic lagoon</v>
      </c>
      <c r="F41" s="50">
        <f ca="1">'4.5.1.3-4 Direct N2O'!F226</f>
        <v>40.295999999999992</v>
      </c>
      <c r="G41" s="50">
        <f ca="1">'4.5.1.3-4 Direct N2O'!G226</f>
        <v>53.655000000000008</v>
      </c>
      <c r="H41" s="50">
        <f ca="1">'4.5.1.3-4 Direct N2O'!H226</f>
        <v>50.36999999999999</v>
      </c>
      <c r="I41" s="50">
        <f ca="1">'4.5.1.3-4 Direct N2O'!I226</f>
        <v>34.163999999999994</v>
      </c>
      <c r="J41" s="2"/>
      <c r="N41" s="55" t="str">
        <f>INDEX(X_Table_Swine_Stage1MMS_DigesterCoveredLagoons,2,1)</f>
        <v>Digester / covered lagoons</v>
      </c>
      <c r="O41" s="55" t="str">
        <f>INDEX(X_Table_Swine_Stage2MMS_From_DigesterCoveredLagoons,2,1)</f>
        <v>Anaerobic lagoon</v>
      </c>
      <c r="P41" s="50">
        <f ca="1">'4.5.1.3-4 Direct N2O'!P226</f>
        <v>40.295999999999992</v>
      </c>
      <c r="Q41" s="50">
        <f ca="1">'4.5.1.3-4 Direct N2O'!Q226</f>
        <v>53.655000000000008</v>
      </c>
      <c r="R41" s="50">
        <f ca="1">'4.5.1.3-4 Direct N2O'!R226</f>
        <v>50.36999999999999</v>
      </c>
      <c r="S41" s="50">
        <f ca="1">'4.5.1.3-4 Direct N2O'!S226</f>
        <v>34.163999999999994</v>
      </c>
      <c r="T41" s="2"/>
    </row>
    <row r="42" spans="4:20" ht="20.100000000000001" customHeight="1" x14ac:dyDescent="0.25">
      <c r="D42" s="55"/>
      <c r="E42" s="55" t="str">
        <f>INDEX(X_Table_Swine_Stage2MMS_From_DigesterCoveredLagoons,3,1)</f>
        <v>Deep litter</v>
      </c>
      <c r="F42" s="50">
        <f ca="1">'4.5.1.3-4 Direct N2O'!F227</f>
        <v>40.295999999999992</v>
      </c>
      <c r="G42" s="50">
        <f ca="1">'4.5.1.3-4 Direct N2O'!G227</f>
        <v>53.655000000000008</v>
      </c>
      <c r="H42" s="50">
        <f ca="1">'4.5.1.3-4 Direct N2O'!H227</f>
        <v>50.36999999999999</v>
      </c>
      <c r="I42" s="50">
        <f ca="1">'4.5.1.3-4 Direct N2O'!I227</f>
        <v>34.163999999999994</v>
      </c>
      <c r="J42" s="2"/>
      <c r="N42" s="55"/>
      <c r="O42" s="55" t="str">
        <f>INDEX(X_Table_Swine_Stage2MMS_From_DigesterCoveredLagoons,3,1)</f>
        <v>Deep litter</v>
      </c>
      <c r="P42" s="50">
        <f ca="1">'4.5.1.3-4 Direct N2O'!P227</f>
        <v>40.295999999999992</v>
      </c>
      <c r="Q42" s="50">
        <f ca="1">'4.5.1.3-4 Direct N2O'!Q227</f>
        <v>53.655000000000008</v>
      </c>
      <c r="R42" s="50">
        <f ca="1">'4.5.1.3-4 Direct N2O'!R227</f>
        <v>50.36999999999999</v>
      </c>
      <c r="S42" s="50">
        <f ca="1">'4.5.1.3-4 Direct N2O'!S227</f>
        <v>34.163999999999994</v>
      </c>
      <c r="T42" s="2"/>
    </row>
    <row r="43" spans="4:20" ht="20.100000000000001" customHeight="1" x14ac:dyDescent="0.25">
      <c r="D43" s="55"/>
      <c r="E43" s="55" t="str">
        <f>INDEX(X_Table_Swine_Stage2MMS_From_DigesterCoveredLagoons,4,1)</f>
        <v>Pit storage</v>
      </c>
      <c r="F43" s="50">
        <f ca="1">'4.5.1.3-4 Direct N2O'!F228</f>
        <v>40.295999999999992</v>
      </c>
      <c r="G43" s="50">
        <f ca="1">'4.5.1.3-4 Direct N2O'!G228</f>
        <v>53.655000000000008</v>
      </c>
      <c r="H43" s="50">
        <f ca="1">'4.5.1.3-4 Direct N2O'!H228</f>
        <v>50.36999999999999</v>
      </c>
      <c r="I43" s="50">
        <f ca="1">'4.5.1.3-4 Direct N2O'!I228</f>
        <v>34.163999999999994</v>
      </c>
      <c r="J43" s="2"/>
      <c r="N43" s="55"/>
      <c r="O43" s="55" t="str">
        <f>INDEX(X_Table_Swine_Stage2MMS_From_DigesterCoveredLagoons,4,1)</f>
        <v>Pit storage</v>
      </c>
      <c r="P43" s="50">
        <f ca="1">'4.5.1.3-4 Direct N2O'!P228</f>
        <v>40.295999999999992</v>
      </c>
      <c r="Q43" s="50">
        <f ca="1">'4.5.1.3-4 Direct N2O'!Q228</f>
        <v>53.655000000000008</v>
      </c>
      <c r="R43" s="50">
        <f ca="1">'4.5.1.3-4 Direct N2O'!R228</f>
        <v>50.36999999999999</v>
      </c>
      <c r="S43" s="50">
        <f ca="1">'4.5.1.3-4 Direct N2O'!S228</f>
        <v>34.163999999999994</v>
      </c>
      <c r="T43" s="2"/>
    </row>
    <row r="44" spans="4:20" ht="20.100000000000001" customHeight="1" x14ac:dyDescent="0.25">
      <c r="D44" s="55"/>
      <c r="E44" s="55" t="str">
        <f>INDEX(X_Table_Swine_Stage2MMS_From_DigesterCoveredLagoons,5,1)</f>
        <v>Direct application</v>
      </c>
      <c r="F44" s="50">
        <f ca="1">'4.5.1.3-4 Direct N2O'!F229</f>
        <v>80.59199999999997</v>
      </c>
      <c r="G44" s="50">
        <f ca="1">'4.5.1.3-4 Direct N2O'!G229</f>
        <v>53.655000000000008</v>
      </c>
      <c r="H44" s="50">
        <f ca="1">'4.5.1.3-4 Direct N2O'!H229</f>
        <v>50.36999999999999</v>
      </c>
      <c r="I44" s="50">
        <f ca="1">'4.5.1.3-4 Direct N2O'!I229</f>
        <v>34.163999999999994</v>
      </c>
      <c r="J44" s="2"/>
      <c r="N44" s="55"/>
      <c r="O44" s="55" t="str">
        <f>INDEX(X_Table_Swine_Stage2MMS_From_DigesterCoveredLagoons,5,1)</f>
        <v>Direct application</v>
      </c>
      <c r="P44" s="50">
        <f ca="1">'4.5.1.3-4 Direct N2O'!P229</f>
        <v>80.59199999999997</v>
      </c>
      <c r="Q44" s="50">
        <f ca="1">'4.5.1.3-4 Direct N2O'!Q229</f>
        <v>53.655000000000008</v>
      </c>
      <c r="R44" s="50">
        <f ca="1">'4.5.1.3-4 Direct N2O'!R229</f>
        <v>50.36999999999999</v>
      </c>
      <c r="S44" s="50">
        <f ca="1">'4.5.1.3-4 Direct N2O'!S229</f>
        <v>34.163999999999994</v>
      </c>
      <c r="T44" s="2"/>
    </row>
    <row r="45" spans="4:20" ht="20.100000000000001" customHeight="1" x14ac:dyDescent="0.25">
      <c r="D45" s="55" t="str">
        <f>INDEX(X_Table_Swine_Stage1MMS_DeepLitter,2,1)</f>
        <v>Deep litter</v>
      </c>
      <c r="E45" s="55" t="str">
        <f>INDEX(X_Table_Swine_Stage2MMS_From_DeepLitter,2,1)</f>
        <v>Anaerobic lagoon</v>
      </c>
      <c r="F45" s="50">
        <f ca="1">'4.5.1.3-4 Direct N2O'!F230</f>
        <v>34.856039999999993</v>
      </c>
      <c r="G45" s="50">
        <f ca="1">'4.5.1.3-4 Direct N2O'!G230</f>
        <v>46.411575000000006</v>
      </c>
      <c r="H45" s="50">
        <f ca="1">'4.5.1.3-4 Direct N2O'!H230</f>
        <v>43.570049999999988</v>
      </c>
      <c r="I45" s="50">
        <f ca="1">'4.5.1.3-4 Direct N2O'!I230</f>
        <v>29.551859999999994</v>
      </c>
      <c r="J45" s="2"/>
      <c r="N45" s="55" t="str">
        <f>INDEX(X_Table_Swine_Stage1MMS_DeepLitter,2,1)</f>
        <v>Deep litter</v>
      </c>
      <c r="O45" s="55" t="str">
        <f>INDEX(X_Table_Swine_Stage2MMS_From_DeepLitter,2,1)</f>
        <v>Anaerobic lagoon</v>
      </c>
      <c r="P45" s="50">
        <f ca="1">'4.5.1.3-4 Direct N2O'!P230</f>
        <v>34.856039999999993</v>
      </c>
      <c r="Q45" s="50">
        <f ca="1">'4.5.1.3-4 Direct N2O'!Q230</f>
        <v>46.411575000000006</v>
      </c>
      <c r="R45" s="50">
        <f ca="1">'4.5.1.3-4 Direct N2O'!R230</f>
        <v>43.570049999999988</v>
      </c>
      <c r="S45" s="50">
        <f ca="1">'4.5.1.3-4 Direct N2O'!S230</f>
        <v>29.551859999999994</v>
      </c>
      <c r="T45" s="2"/>
    </row>
    <row r="46" spans="4:20" ht="20.100000000000001" customHeight="1" x14ac:dyDescent="0.25">
      <c r="D46" s="55"/>
      <c r="E46" s="55" t="str">
        <f>INDEX(X_Table_Swine_Stage2MMS_From_DeepLitter,3,1)</f>
        <v>Digester / covered lagoons</v>
      </c>
      <c r="F46" s="50">
        <f ca="1">'4.5.1.3-4 Direct N2O'!F231</f>
        <v>34.856039999999993</v>
      </c>
      <c r="G46" s="50">
        <f ca="1">'4.5.1.3-4 Direct N2O'!G231</f>
        <v>46.411575000000006</v>
      </c>
      <c r="H46" s="50">
        <f ca="1">'4.5.1.3-4 Direct N2O'!H231</f>
        <v>43.570049999999988</v>
      </c>
      <c r="I46" s="50">
        <f ca="1">'4.5.1.3-4 Direct N2O'!I231</f>
        <v>29.551859999999994</v>
      </c>
      <c r="J46" s="2"/>
      <c r="N46" s="55"/>
      <c r="O46" s="55" t="str">
        <f>INDEX(X_Table_Swine_Stage2MMS_From_DeepLitter,3,1)</f>
        <v>Digester / covered lagoons</v>
      </c>
      <c r="P46" s="50">
        <f ca="1">'4.5.1.3-4 Direct N2O'!P231</f>
        <v>34.856039999999993</v>
      </c>
      <c r="Q46" s="50">
        <f ca="1">'4.5.1.3-4 Direct N2O'!Q231</f>
        <v>46.411575000000006</v>
      </c>
      <c r="R46" s="50">
        <f ca="1">'4.5.1.3-4 Direct N2O'!R231</f>
        <v>43.570049999999988</v>
      </c>
      <c r="S46" s="50">
        <f ca="1">'4.5.1.3-4 Direct N2O'!S231</f>
        <v>29.551859999999994</v>
      </c>
      <c r="T46" s="2"/>
    </row>
    <row r="47" spans="4:20" ht="20.100000000000001" customHeight="1" x14ac:dyDescent="0.25">
      <c r="D47" s="55"/>
      <c r="E47" s="55" t="str">
        <f>INDEX(X_Table_Swine_Stage2MMS_From_DeepLitter,4,1)</f>
        <v>Pit storage</v>
      </c>
      <c r="F47" s="50">
        <f ca="1">'4.5.1.3-4 Direct N2O'!F232</f>
        <v>34.856039999999993</v>
      </c>
      <c r="G47" s="50">
        <f ca="1">'4.5.1.3-4 Direct N2O'!G232</f>
        <v>46.411575000000006</v>
      </c>
      <c r="H47" s="50">
        <f ca="1">'4.5.1.3-4 Direct N2O'!H232</f>
        <v>43.570049999999988</v>
      </c>
      <c r="I47" s="50">
        <f ca="1">'4.5.1.3-4 Direct N2O'!I232</f>
        <v>29.551859999999994</v>
      </c>
      <c r="J47" s="2"/>
      <c r="N47" s="55"/>
      <c r="O47" s="55" t="str">
        <f>INDEX(X_Table_Swine_Stage2MMS_From_DeepLitter,4,1)</f>
        <v>Pit storage</v>
      </c>
      <c r="P47" s="50">
        <f ca="1">'4.5.1.3-4 Direct N2O'!P232</f>
        <v>34.856039999999993</v>
      </c>
      <c r="Q47" s="50">
        <f ca="1">'4.5.1.3-4 Direct N2O'!Q232</f>
        <v>46.411575000000006</v>
      </c>
      <c r="R47" s="50">
        <f ca="1">'4.5.1.3-4 Direct N2O'!R232</f>
        <v>43.570049999999988</v>
      </c>
      <c r="S47" s="50">
        <f ca="1">'4.5.1.3-4 Direct N2O'!S232</f>
        <v>29.551859999999994</v>
      </c>
      <c r="T47" s="2"/>
    </row>
    <row r="48" spans="4:20" ht="20.100000000000001" customHeight="1" x14ac:dyDescent="0.25">
      <c r="D48" s="55"/>
      <c r="E48" s="55" t="str">
        <f>INDEX(X_Table_Swine_Stage2MMS_From_DeepLitter,5,1)</f>
        <v>Direct application</v>
      </c>
      <c r="F48" s="50">
        <f ca="1">'4.5.1.3-4 Direct N2O'!F233</f>
        <v>69.712079999999972</v>
      </c>
      <c r="G48" s="50">
        <f ca="1">'4.5.1.3-4 Direct N2O'!G233</f>
        <v>46.411575000000006</v>
      </c>
      <c r="H48" s="50">
        <f ca="1">'4.5.1.3-4 Direct N2O'!H233</f>
        <v>43.570049999999988</v>
      </c>
      <c r="I48" s="50">
        <f ca="1">'4.5.1.3-4 Direct N2O'!I233</f>
        <v>29.551859999999994</v>
      </c>
      <c r="J48" s="2"/>
      <c r="N48" s="55"/>
      <c r="O48" s="55" t="str">
        <f>INDEX(X_Table_Swine_Stage2MMS_From_DeepLitter,5,1)</f>
        <v>Direct application</v>
      </c>
      <c r="P48" s="50">
        <f ca="1">'4.5.1.3-4 Direct N2O'!P233</f>
        <v>69.712079999999972</v>
      </c>
      <c r="Q48" s="50">
        <f ca="1">'4.5.1.3-4 Direct N2O'!Q233</f>
        <v>46.411575000000006</v>
      </c>
      <c r="R48" s="50">
        <f ca="1">'4.5.1.3-4 Direct N2O'!R233</f>
        <v>43.570049999999988</v>
      </c>
      <c r="S48" s="50">
        <f ca="1">'4.5.1.3-4 Direct N2O'!S233</f>
        <v>29.551859999999994</v>
      </c>
      <c r="T48" s="2"/>
    </row>
    <row r="49" spans="4:20" ht="20.100000000000001" customHeight="1" x14ac:dyDescent="0.25">
      <c r="D49" s="55" t="str">
        <f>INDEX(X_Table_Swine_Stage1MMS_PitStorage,2,1)</f>
        <v>Pit storage</v>
      </c>
      <c r="E49" s="55" t="str">
        <f>INDEX(X_Table_Swine_Stage2MMS_From_PitStorage,2,1)</f>
        <v>Anaerobic lagoon</v>
      </c>
      <c r="F49" s="50">
        <f ca="1">'4.5.1.3-4 Direct N2O'!F234</f>
        <v>30.141407999999998</v>
      </c>
      <c r="G49" s="50">
        <f ca="1">'4.5.1.3-4 Direct N2O'!G234</f>
        <v>40.133940000000003</v>
      </c>
      <c r="H49" s="50">
        <f ca="1">'4.5.1.3-4 Direct N2O'!H234</f>
        <v>37.676759999999994</v>
      </c>
      <c r="I49" s="50">
        <f ca="1">'4.5.1.3-4 Direct N2O'!I234</f>
        <v>25.554671999999997</v>
      </c>
      <c r="J49" s="2"/>
      <c r="N49" s="55" t="str">
        <f>INDEX(X_Table_Swine_Stage1MMS_PitStorage,2,1)</f>
        <v>Pit storage</v>
      </c>
      <c r="O49" s="55" t="str">
        <f>INDEX(X_Table_Swine_Stage2MMS_From_PitStorage,2,1)</f>
        <v>Anaerobic lagoon</v>
      </c>
      <c r="P49" s="50">
        <f ca="1">'4.5.1.3-4 Direct N2O'!P234</f>
        <v>30.141407999999998</v>
      </c>
      <c r="Q49" s="50">
        <f ca="1">'4.5.1.3-4 Direct N2O'!Q234</f>
        <v>40.133940000000003</v>
      </c>
      <c r="R49" s="50">
        <f ca="1">'4.5.1.3-4 Direct N2O'!R234</f>
        <v>37.676759999999994</v>
      </c>
      <c r="S49" s="50">
        <f ca="1">'4.5.1.3-4 Direct N2O'!S234</f>
        <v>25.554671999999997</v>
      </c>
      <c r="T49" s="2"/>
    </row>
    <row r="50" spans="4:20" ht="20.100000000000001" customHeight="1" x14ac:dyDescent="0.25">
      <c r="D50" s="55"/>
      <c r="E50" s="55" t="str">
        <f>INDEX(X_Table_Swine_Stage2MMS_From_PitStorage,3,1)</f>
        <v>Digester / covered lagoons</v>
      </c>
      <c r="F50" s="50">
        <f ca="1">'4.5.1.3-4 Direct N2O'!F235</f>
        <v>30.141407999999998</v>
      </c>
      <c r="G50" s="50">
        <f ca="1">'4.5.1.3-4 Direct N2O'!G235</f>
        <v>40.133940000000003</v>
      </c>
      <c r="H50" s="50">
        <f ca="1">'4.5.1.3-4 Direct N2O'!H235</f>
        <v>37.676759999999994</v>
      </c>
      <c r="I50" s="50">
        <f ca="1">'4.5.1.3-4 Direct N2O'!I235</f>
        <v>25.554671999999997</v>
      </c>
      <c r="J50" s="2"/>
      <c r="N50" s="55"/>
      <c r="O50" s="55" t="str">
        <f>INDEX(X_Table_Swine_Stage2MMS_From_PitStorage,3,1)</f>
        <v>Digester / covered lagoons</v>
      </c>
      <c r="P50" s="50">
        <f ca="1">'4.5.1.3-4 Direct N2O'!P235</f>
        <v>30.141407999999998</v>
      </c>
      <c r="Q50" s="50">
        <f ca="1">'4.5.1.3-4 Direct N2O'!Q235</f>
        <v>40.133940000000003</v>
      </c>
      <c r="R50" s="50">
        <f ca="1">'4.5.1.3-4 Direct N2O'!R235</f>
        <v>37.676759999999994</v>
      </c>
      <c r="S50" s="50">
        <f ca="1">'4.5.1.3-4 Direct N2O'!S235</f>
        <v>25.554671999999997</v>
      </c>
      <c r="T50" s="2"/>
    </row>
    <row r="51" spans="4:20" ht="20.100000000000001" customHeight="1" x14ac:dyDescent="0.25">
      <c r="D51" s="55"/>
      <c r="E51" s="55" t="str">
        <f>INDEX(X_Table_Swine_Stage2MMS_From_PitStorage,4,1)</f>
        <v>Deep litter</v>
      </c>
      <c r="F51" s="50">
        <f ca="1">'4.5.1.3-4 Direct N2O'!F236</f>
        <v>30.141407999999998</v>
      </c>
      <c r="G51" s="50">
        <f ca="1">'4.5.1.3-4 Direct N2O'!G236</f>
        <v>40.133940000000003</v>
      </c>
      <c r="H51" s="50">
        <f ca="1">'4.5.1.3-4 Direct N2O'!H236</f>
        <v>37.676759999999994</v>
      </c>
      <c r="I51" s="50">
        <f ca="1">'4.5.1.3-4 Direct N2O'!I236</f>
        <v>25.554671999999997</v>
      </c>
      <c r="J51" s="2"/>
      <c r="N51" s="55"/>
      <c r="O51" s="55" t="str">
        <f>INDEX(X_Table_Swine_Stage2MMS_From_PitStorage,4,1)</f>
        <v>Deep litter</v>
      </c>
      <c r="P51" s="50">
        <f ca="1">'4.5.1.3-4 Direct N2O'!P236</f>
        <v>30.141407999999998</v>
      </c>
      <c r="Q51" s="50">
        <f ca="1">'4.5.1.3-4 Direct N2O'!Q236</f>
        <v>40.133940000000003</v>
      </c>
      <c r="R51" s="50">
        <f ca="1">'4.5.1.3-4 Direct N2O'!R236</f>
        <v>37.676759999999994</v>
      </c>
      <c r="S51" s="50">
        <f ca="1">'4.5.1.3-4 Direct N2O'!S236</f>
        <v>25.554671999999997</v>
      </c>
      <c r="T51" s="2"/>
    </row>
    <row r="52" spans="4:20" ht="20.100000000000001" customHeight="1" x14ac:dyDescent="0.25">
      <c r="D52" s="55"/>
      <c r="E52" s="55" t="str">
        <f>INDEX(X_Table_Swine_Stage2MMS_From_PitStorage,5,1)</f>
        <v>Direct application</v>
      </c>
      <c r="F52" s="50">
        <f ca="1">'4.5.1.3-4 Direct N2O'!F237</f>
        <v>60.282815999999976</v>
      </c>
      <c r="G52" s="50">
        <f ca="1">'4.5.1.3-4 Direct N2O'!G237</f>
        <v>40.133940000000003</v>
      </c>
      <c r="H52" s="50">
        <f ca="1">'4.5.1.3-4 Direct N2O'!H237</f>
        <v>37.676759999999994</v>
      </c>
      <c r="I52" s="50">
        <f ca="1">'4.5.1.3-4 Direct N2O'!I237</f>
        <v>25.554671999999997</v>
      </c>
      <c r="J52" s="2"/>
      <c r="N52" s="55"/>
      <c r="O52" s="55" t="str">
        <f>INDEX(X_Table_Swine_Stage2MMS_From_PitStorage,5,1)</f>
        <v>Direct application</v>
      </c>
      <c r="P52" s="50">
        <f ca="1">'4.5.1.3-4 Direct N2O'!P237</f>
        <v>60.282815999999976</v>
      </c>
      <c r="Q52" s="50">
        <f ca="1">'4.5.1.3-4 Direct N2O'!Q237</f>
        <v>40.133940000000003</v>
      </c>
      <c r="R52" s="50">
        <f ca="1">'4.5.1.3-4 Direct N2O'!R237</f>
        <v>37.676759999999994</v>
      </c>
      <c r="S52" s="50">
        <f ca="1">'4.5.1.3-4 Direct N2O'!S237</f>
        <v>25.554671999999997</v>
      </c>
      <c r="T52" s="2"/>
    </row>
    <row r="53" spans="4:20" ht="20.100000000000001" customHeight="1" x14ac:dyDescent="0.25">
      <c r="D53" s="55" t="s">
        <v>346</v>
      </c>
      <c r="E53" s="55" t="str">
        <f>INDEX(X_Table_Swine_Stage2MMS_From_SolidStorage,2,1)</f>
        <v>Anaerobic lagoon</v>
      </c>
      <c r="F53" s="50">
        <f ca="1">'4.5.1.3-4 Direct N2O'!F238</f>
        <v>106.78440000000003</v>
      </c>
      <c r="G53" s="50">
        <f ca="1">'4.5.1.3-4 Direct N2O'!G238</f>
        <v>113.74860000000007</v>
      </c>
      <c r="H53" s="50">
        <f ca="1">'4.5.1.3-4 Direct N2O'!H238</f>
        <v>106.78440000000003</v>
      </c>
      <c r="I53" s="50">
        <f ca="1">'4.5.1.3-4 Direct N2O'!I238</f>
        <v>72.427680000000038</v>
      </c>
      <c r="J53" s="2"/>
      <c r="N53" s="55" t="s">
        <v>346</v>
      </c>
      <c r="O53" s="55" t="str">
        <f>INDEX(X_Table_Swine_Stage2MMS_From_SolidStorage,2,1)</f>
        <v>Anaerobic lagoon</v>
      </c>
      <c r="P53" s="50">
        <f ca="1">'4.5.1.3-4 Direct N2O'!P238</f>
        <v>106.78440000000003</v>
      </c>
      <c r="Q53" s="50">
        <f ca="1">'4.5.1.3-4 Direct N2O'!Q238</f>
        <v>113.74860000000007</v>
      </c>
      <c r="R53" s="50">
        <f ca="1">'4.5.1.3-4 Direct N2O'!R238</f>
        <v>106.78440000000003</v>
      </c>
      <c r="S53" s="50">
        <f ca="1">'4.5.1.3-4 Direct N2O'!S238</f>
        <v>72.427680000000038</v>
      </c>
      <c r="T53" s="2"/>
    </row>
    <row r="54" spans="4:20" ht="20.100000000000001" customHeight="1" x14ac:dyDescent="0.25">
      <c r="D54" s="55"/>
      <c r="E54" s="55" t="str">
        <f>INDEX(X_Table_Swine_Stage2MMS_From_SolidStorage,3,1)</f>
        <v>Digester / covered lagoons</v>
      </c>
      <c r="F54" s="50">
        <f ca="1">'4.5.1.3-4 Direct N2O'!F239</f>
        <v>106.78440000000003</v>
      </c>
      <c r="G54" s="50">
        <f ca="1">'4.5.1.3-4 Direct N2O'!G239</f>
        <v>113.74860000000007</v>
      </c>
      <c r="H54" s="50">
        <f ca="1">'4.5.1.3-4 Direct N2O'!H239</f>
        <v>106.78440000000003</v>
      </c>
      <c r="I54" s="50">
        <f ca="1">'4.5.1.3-4 Direct N2O'!I239</f>
        <v>72.427680000000038</v>
      </c>
      <c r="J54" s="2"/>
      <c r="N54" s="55"/>
      <c r="O54" s="55" t="str">
        <f>INDEX(X_Table_Swine_Stage2MMS_From_SolidStorage,3,1)</f>
        <v>Digester / covered lagoons</v>
      </c>
      <c r="P54" s="50">
        <f ca="1">'4.5.1.3-4 Direct N2O'!P239</f>
        <v>106.78440000000003</v>
      </c>
      <c r="Q54" s="50">
        <f ca="1">'4.5.1.3-4 Direct N2O'!Q239</f>
        <v>113.74860000000007</v>
      </c>
      <c r="R54" s="50">
        <f ca="1">'4.5.1.3-4 Direct N2O'!R239</f>
        <v>106.78440000000003</v>
      </c>
      <c r="S54" s="50">
        <f ca="1">'4.5.1.3-4 Direct N2O'!S239</f>
        <v>72.427680000000038</v>
      </c>
      <c r="T54" s="2"/>
    </row>
    <row r="55" spans="4:20" ht="20.100000000000001" customHeight="1" x14ac:dyDescent="0.25">
      <c r="D55" s="55"/>
      <c r="E55" s="55" t="str">
        <f>INDEX(X_Table_Swine_Stage2MMS_From_SolidStorage,4,1)</f>
        <v>Deep litter</v>
      </c>
      <c r="F55" s="50">
        <f ca="1">'4.5.1.3-4 Direct N2O'!F240</f>
        <v>106.78440000000003</v>
      </c>
      <c r="G55" s="50">
        <f ca="1">'4.5.1.3-4 Direct N2O'!G240</f>
        <v>113.74860000000007</v>
      </c>
      <c r="H55" s="50">
        <f ca="1">'4.5.1.3-4 Direct N2O'!H240</f>
        <v>106.78440000000003</v>
      </c>
      <c r="I55" s="50">
        <f ca="1">'4.5.1.3-4 Direct N2O'!I240</f>
        <v>72.427680000000038</v>
      </c>
      <c r="J55" s="2"/>
      <c r="N55" s="55"/>
      <c r="O55" s="55" t="str">
        <f>INDEX(X_Table_Swine_Stage2MMS_From_SolidStorage,4,1)</f>
        <v>Deep litter</v>
      </c>
      <c r="P55" s="50">
        <f ca="1">'4.5.1.3-4 Direct N2O'!P240</f>
        <v>106.78440000000003</v>
      </c>
      <c r="Q55" s="50">
        <f ca="1">'4.5.1.3-4 Direct N2O'!Q240</f>
        <v>113.74860000000007</v>
      </c>
      <c r="R55" s="50">
        <f ca="1">'4.5.1.3-4 Direct N2O'!R240</f>
        <v>106.78440000000003</v>
      </c>
      <c r="S55" s="50">
        <f ca="1">'4.5.1.3-4 Direct N2O'!S240</f>
        <v>72.427680000000038</v>
      </c>
      <c r="T55" s="2"/>
    </row>
    <row r="56" spans="4:20" ht="20.100000000000001" customHeight="1" x14ac:dyDescent="0.25">
      <c r="D56" s="55"/>
      <c r="E56" s="55" t="str">
        <f>INDEX(X_Table_Swine_Stage2MMS_From_SolidStorage,5,1)</f>
        <v>Pit storage</v>
      </c>
      <c r="F56" s="50">
        <f ca="1">'4.5.1.3-4 Direct N2O'!F241</f>
        <v>53.392200000000017</v>
      </c>
      <c r="G56" s="50">
        <f ca="1">'4.5.1.3-4 Direct N2O'!G241</f>
        <v>56.874300000000034</v>
      </c>
      <c r="H56" s="50">
        <f ca="1">'4.5.1.3-4 Direct N2O'!H241</f>
        <v>53.392200000000017</v>
      </c>
      <c r="I56" s="50">
        <f ca="1">'4.5.1.3-4 Direct N2O'!I241</f>
        <v>36.213840000000019</v>
      </c>
      <c r="J56" s="2"/>
      <c r="N56" s="55"/>
      <c r="O56" s="55" t="str">
        <f>INDEX(X_Table_Swine_Stage2MMS_From_SolidStorage,5,1)</f>
        <v>Pit storage</v>
      </c>
      <c r="P56" s="50">
        <f ca="1">'4.5.1.3-4 Direct N2O'!P241</f>
        <v>53.392200000000017</v>
      </c>
      <c r="Q56" s="50">
        <f ca="1">'4.5.1.3-4 Direct N2O'!Q241</f>
        <v>56.874300000000034</v>
      </c>
      <c r="R56" s="50">
        <f ca="1">'4.5.1.3-4 Direct N2O'!R241</f>
        <v>53.392200000000017</v>
      </c>
      <c r="S56" s="50">
        <f ca="1">'4.5.1.3-4 Direct N2O'!S241</f>
        <v>36.213840000000019</v>
      </c>
      <c r="T56" s="2"/>
    </row>
    <row r="57" spans="4:20" ht="20.100000000000001" customHeight="1" x14ac:dyDescent="0.25">
      <c r="D57" s="55"/>
      <c r="E57" s="55" t="str">
        <f>INDEX(X_Table_Swine_Stage2MMS_From_SolidStorage,6,1)</f>
        <v>Direct application</v>
      </c>
      <c r="F57" s="50">
        <f ca="1">'4.5.1.3-4 Direct N2O'!F242</f>
        <v>160.17660000000001</v>
      </c>
      <c r="G57" s="50">
        <f ca="1">'4.5.1.3-4 Direct N2O'!G242</f>
        <v>170.62290000000004</v>
      </c>
      <c r="H57" s="50">
        <f ca="1">'4.5.1.3-4 Direct N2O'!H242</f>
        <v>160.17660000000001</v>
      </c>
      <c r="I57" s="50">
        <f ca="1">'4.5.1.3-4 Direct N2O'!I242</f>
        <v>108.64152000000003</v>
      </c>
      <c r="J57" s="2"/>
      <c r="N57" s="55"/>
      <c r="O57" s="55" t="str">
        <f>INDEX(X_Table_Swine_Stage2MMS_From_SolidStorage,6,1)</f>
        <v>Direct application</v>
      </c>
      <c r="P57" s="50">
        <f ca="1">'4.5.1.3-4 Direct N2O'!P242</f>
        <v>160.17660000000001</v>
      </c>
      <c r="Q57" s="50">
        <f ca="1">'4.5.1.3-4 Direct N2O'!Q242</f>
        <v>170.62290000000004</v>
      </c>
      <c r="R57" s="50">
        <f ca="1">'4.5.1.3-4 Direct N2O'!R242</f>
        <v>160.17660000000001</v>
      </c>
      <c r="S57" s="50">
        <f ca="1">'4.5.1.3-4 Direct N2O'!S242</f>
        <v>108.64152000000003</v>
      </c>
      <c r="T57" s="2"/>
    </row>
    <row r="58" spans="4:20" ht="20.100000000000001" customHeight="1" x14ac:dyDescent="0.25"/>
    <row r="59" spans="4:20" ht="20.100000000000001" customHeight="1" x14ac:dyDescent="0.25">
      <c r="D59" s="117" t="s">
        <v>296</v>
      </c>
    </row>
    <row r="60" spans="4:20" ht="20.100000000000001" customHeight="1" x14ac:dyDescent="0.25">
      <c r="D60" s="118" t="s">
        <v>297</v>
      </c>
    </row>
    <row r="61" spans="4:20" ht="20.100000000000001" customHeight="1" x14ac:dyDescent="0.25">
      <c r="D61" s="49" t="s">
        <v>156</v>
      </c>
      <c r="E61" s="49" t="s">
        <v>240</v>
      </c>
    </row>
    <row r="62" spans="4:20" ht="20.100000000000001" customHeight="1" x14ac:dyDescent="0.25">
      <c r="D62" s="55" t="str">
        <f>INDEX(X_Table_Swine_Stage1MMS_AnaerobicLagoon,2,1)</f>
        <v>Anaerobic lagoon</v>
      </c>
      <c r="E62" s="50" cm="1">
        <f t="array" ref="E62">Common_InputFunctions.Utility_LookupValueInTableNumber(D62, Table_SourceData_Swine_FracGASM[NIR reference],Table_SourceData_Swine_FracGASM[FracGASMmT])</f>
        <v>0.55000000000000004</v>
      </c>
      <c r="F62" s="2" t="str">
        <f>G14</f>
        <v>(kg NH3-N + NOx-N)/kg N</v>
      </c>
    </row>
    <row r="63" spans="4:20" ht="20.100000000000001" customHeight="1" x14ac:dyDescent="0.25">
      <c r="D63" s="55" t="str">
        <f>INDEX(X_Table_Swine_Stage1MMS_Drylot,2,1)</f>
        <v>Drylot (feed pad)</v>
      </c>
      <c r="E63" s="50" cm="1">
        <f t="array" ref="E63">Common_InputFunctions.Utility_LookupValueInTableNumber(D63, Table_SourceData_Swine_FracGASM[NIR reference],Table_SourceData_Swine_FracGASM[FracGASMmT])</f>
        <v>0.3</v>
      </c>
    </row>
    <row r="64" spans="4:20" ht="20.100000000000001" customHeight="1" x14ac:dyDescent="0.25">
      <c r="D64" s="55" t="str">
        <f>INDEX(X_Table_Swine_Stage1MMS_DigesterCoveredLagoons,2,1)</f>
        <v>Digester / covered lagoons</v>
      </c>
      <c r="E64" s="50" cm="1">
        <f t="array" ref="E64">Common_InputFunctions.Utility_LookupValueInTableNumber(D64, Table_SourceData_Swine_FracGASM[NIR reference],Table_SourceData_Swine_FracGASM[FracGASMmT])</f>
        <v>0</v>
      </c>
    </row>
    <row r="65" spans="4:20" ht="20.100000000000001" customHeight="1" x14ac:dyDescent="0.25">
      <c r="D65" s="55" t="str">
        <f>INDEX(X_Table_Swine_Stage1MMS_DeepLitter,2,1)</f>
        <v>Deep litter</v>
      </c>
      <c r="E65" s="50" cm="1">
        <f t="array" ref="E65">Common_InputFunctions.Utility_LookupValueInTableNumber(D65, Table_SourceData_Swine_FracGASM[NIR reference],Table_SourceData_Swine_FracGASM[FracGASMmT])</f>
        <v>0.125</v>
      </c>
    </row>
    <row r="66" spans="4:20" ht="20.100000000000001" customHeight="1" x14ac:dyDescent="0.25">
      <c r="D66" s="55" t="str">
        <f>INDEX(X_Table_Swine_Stage1MMS_PitStorage,2,1)</f>
        <v>Pit storage</v>
      </c>
      <c r="E66" s="50" cm="1">
        <f t="array" ref="E66">Common_InputFunctions.Utility_LookupValueInTableNumber(D66, Table_SourceData_Swine_FracGASM[NIR reference],Table_SourceData_Swine_FracGASM[FracGASMmT])</f>
        <v>0.25</v>
      </c>
    </row>
    <row r="67" spans="4:20" ht="20.100000000000001" customHeight="1" x14ac:dyDescent="0.25">
      <c r="D67" s="55" t="s">
        <v>346</v>
      </c>
      <c r="E67" s="50" cm="1">
        <f t="array" ref="E67">Common_InputFunctions.Utility_LookupValueInTableNumber(D67, Table_SourceData_Swine_FracGASM[NIR reference],Table_SourceData_Swine_FracGASM[FracGASMmT])</f>
        <v>0.2</v>
      </c>
    </row>
    <row r="68" spans="4:20" ht="20.100000000000001" customHeight="1" x14ac:dyDescent="0.25">
      <c r="D68" s="55" t="str">
        <f>'Constants - Swine'!D47</f>
        <v>Direct application</v>
      </c>
      <c r="E68" s="50" cm="1">
        <f t="array" ref="E68">Common_InputFunctions.Utility_LookupValueInTableNumber(D68, Table_SourceData_Swine_FracGASM[NIR reference],Table_SourceData_Swine_FracGASM[FracGASMmT])</f>
        <v>0</v>
      </c>
    </row>
    <row r="69" spans="4:20" ht="20.100000000000001" customHeight="1" x14ac:dyDescent="0.25"/>
    <row r="70" spans="4:20" ht="20.100000000000001" customHeight="1" x14ac:dyDescent="0.25">
      <c r="D70" s="117" t="s">
        <v>249</v>
      </c>
      <c r="N70" s="117" t="s">
        <v>249</v>
      </c>
    </row>
    <row r="71" spans="4:20" ht="20.100000000000001" customHeight="1" x14ac:dyDescent="0.25">
      <c r="D71" s="118" t="s">
        <v>250</v>
      </c>
      <c r="N71" s="118" t="s">
        <v>250</v>
      </c>
    </row>
    <row r="72" spans="4:20" ht="20.100000000000001" customHeight="1" x14ac:dyDescent="0.25">
      <c r="D72" s="49" t="s">
        <v>156</v>
      </c>
      <c r="E72" s="49" t="s">
        <v>164</v>
      </c>
      <c r="F72" s="49" t="s">
        <v>135</v>
      </c>
      <c r="G72" s="49" t="s">
        <v>136</v>
      </c>
      <c r="H72" s="49" t="s">
        <v>137</v>
      </c>
      <c r="I72" s="49" t="s">
        <v>195</v>
      </c>
      <c r="N72" s="49" t="s">
        <v>156</v>
      </c>
      <c r="O72" s="49" t="s">
        <v>164</v>
      </c>
      <c r="P72" s="49" t="s">
        <v>135</v>
      </c>
      <c r="Q72" s="49" t="s">
        <v>136</v>
      </c>
      <c r="R72" s="49" t="s">
        <v>137</v>
      </c>
      <c r="S72" s="49" t="s">
        <v>195</v>
      </c>
    </row>
    <row r="73" spans="4:20" ht="20.100000000000001" customHeight="1" x14ac:dyDescent="0.25">
      <c r="D73" s="55" t="str">
        <f>INDEX(X_Table_Swine_Stage1MMS_AnaerobicLagoon,2,1)</f>
        <v>Anaerobic lagoon</v>
      </c>
      <c r="E73" s="55" t="s">
        <v>165</v>
      </c>
      <c r="F73" s="50" cm="1">
        <f t="array" aca="1" ref="F73" ca="1">MMS_Swine_AtmosphericDeposition_Equations.VEERG_4_5_1_5__2_TotalNitrogenVolatilisedFromMMS(E22,_xlfn.XLOOKUP($D73,$D$62:$D$68,$E$62:$E$68))</f>
        <v>110.81399999999999</v>
      </c>
      <c r="G73" s="50" cm="1">
        <f t="array" aca="1" ref="G73" ca="1">MMS_Swine_AtmosphericDeposition_Equations.VEERG_4_5_1_5__2_TotalNitrogenVolatilisedFromMMS(F22,_xlfn.XLOOKUP($D73,$D$62:$D$68,$E$62:$E$68))</f>
        <v>118.04100000000003</v>
      </c>
      <c r="H73" s="50" cm="1">
        <f t="array" aca="1" ref="H73" ca="1">MMS_Swine_AtmosphericDeposition_Equations.VEERG_4_5_1_5__2_TotalNitrogenVolatilisedFromMMS(G22,_xlfn.XLOOKUP($D73,$D$62:$D$68,$E$62:$E$68))</f>
        <v>110.81399999999999</v>
      </c>
      <c r="I73" s="50" cm="1">
        <f t="array" aca="1" ref="I73" ca="1">MMS_Swine_AtmosphericDeposition_Equations.VEERG_4_5_1_5__2_TotalNitrogenVolatilisedFromMMS(H22,_xlfn.XLOOKUP($D73,$D$62:$D$68,$E$62:$E$68))</f>
        <v>75.160799999999995</v>
      </c>
      <c r="J73" s="2" t="str">
        <f>$E$11</f>
        <v>kg N</v>
      </c>
      <c r="N73" s="55" t="str">
        <f>INDEX(X_Table_Swine_Stage1MMS_AnaerobicLagoon,2,1)</f>
        <v>Anaerobic lagoon</v>
      </c>
      <c r="O73" s="55" t="s">
        <v>165</v>
      </c>
      <c r="P73" s="50" cm="1">
        <f t="array" aca="1" ref="P73" ca="1">MMS_Swine_AtmosphericDeposition_Equations.VEERG_4_5_1_5__2_TotalNitrogenVolatilisedFromMMS(O22,_xlfn.XLOOKUP($N73,$D$62:$D$68,$E$62:$E$68))</f>
        <v>110.81399999999999</v>
      </c>
      <c r="Q73" s="50" cm="1">
        <f t="array" aca="1" ref="Q73" ca="1">MMS_Swine_AtmosphericDeposition_Equations.VEERG_4_5_1_5__2_TotalNitrogenVolatilisedFromMMS(P22,_xlfn.XLOOKUP($N73,$D$62:$D$68,$E$62:$E$68))</f>
        <v>118.04100000000003</v>
      </c>
      <c r="R73" s="50" cm="1">
        <f t="array" aca="1" ref="R73" ca="1">MMS_Swine_AtmosphericDeposition_Equations.VEERG_4_5_1_5__2_TotalNitrogenVolatilisedFromMMS(Q22,_xlfn.XLOOKUP($N73,$D$62:$D$68,$E$62:$E$68))</f>
        <v>110.81399999999999</v>
      </c>
      <c r="S73" s="50" cm="1">
        <f t="array" aca="1" ref="S73" ca="1">MMS_Swine_AtmosphericDeposition_Equations.VEERG_4_5_1_5__2_TotalNitrogenVolatilisedFromMMS(R22,_xlfn.XLOOKUP($N73,$D$62:$D$68,$E$62:$E$68))</f>
        <v>75.160799999999995</v>
      </c>
      <c r="T73" s="2" t="str">
        <f>$E$11</f>
        <v>kg N</v>
      </c>
    </row>
    <row r="74" spans="4:20" ht="20.100000000000001" customHeight="1" x14ac:dyDescent="0.25">
      <c r="D74" s="55" t="str">
        <f>INDEX(X_Table_Swine_Stage1MMS_Drylot,2,1)</f>
        <v>Drylot (feed pad)</v>
      </c>
      <c r="E74" s="55" t="s">
        <v>165</v>
      </c>
      <c r="F74" s="50" cm="1">
        <f t="array" aca="1" ref="F74" ca="1">MMS_Swine_AtmosphericDeposition_Equations.VEERG_4_5_1_5__2_TotalNitrogenVolatilisedFromMMS(E23,_xlfn.XLOOKUP($D74,$D$62:$D$68,$E$62:$E$68))</f>
        <v>60.443999999999988</v>
      </c>
      <c r="G74" s="50" cm="1">
        <f t="array" aca="1" ref="G74" ca="1">MMS_Swine_AtmosphericDeposition_Equations.VEERG_4_5_1_5__2_TotalNitrogenVolatilisedFromMMS(F23,_xlfn.XLOOKUP($D74,$D$62:$D$68,$E$62:$E$68))</f>
        <v>64.38600000000001</v>
      </c>
      <c r="H74" s="50" cm="1">
        <f t="array" aca="1" ref="H74" ca="1">MMS_Swine_AtmosphericDeposition_Equations.VEERG_4_5_1_5__2_TotalNitrogenVolatilisedFromMMS(G23,_xlfn.XLOOKUP($D74,$D$62:$D$68,$E$62:$E$68))</f>
        <v>60.443999999999988</v>
      </c>
      <c r="I74" s="50" cm="1">
        <f t="array" aca="1" ref="I74" ca="1">MMS_Swine_AtmosphericDeposition_Equations.VEERG_4_5_1_5__2_TotalNitrogenVolatilisedFromMMS(H23,_xlfn.XLOOKUP($D74,$D$62:$D$68,$E$62:$E$68))</f>
        <v>40.996799999999993</v>
      </c>
      <c r="J74" s="2"/>
      <c r="N74" s="55" t="str">
        <f>INDEX(X_Table_Swine_Stage1MMS_Drylot,2,1)</f>
        <v>Drylot (feed pad)</v>
      </c>
      <c r="O74" s="55" t="s">
        <v>165</v>
      </c>
      <c r="P74" s="50" cm="1">
        <f t="array" aca="1" ref="P74" ca="1">MMS_Swine_AtmosphericDeposition_Equations.VEERG_4_5_1_5__2_TotalNitrogenVolatilisedFromMMS(O23,_xlfn.XLOOKUP($N74,$D$62:$D$68,$E$62:$E$68))</f>
        <v>60.443999999999988</v>
      </c>
      <c r="Q74" s="50" cm="1">
        <f t="array" aca="1" ref="Q74" ca="1">MMS_Swine_AtmosphericDeposition_Equations.VEERG_4_5_1_5__2_TotalNitrogenVolatilisedFromMMS(P23,_xlfn.XLOOKUP($N74,$D$62:$D$68,$E$62:$E$68))</f>
        <v>64.38600000000001</v>
      </c>
      <c r="R74" s="50" cm="1">
        <f t="array" aca="1" ref="R74" ca="1">MMS_Swine_AtmosphericDeposition_Equations.VEERG_4_5_1_5__2_TotalNitrogenVolatilisedFromMMS(Q23,_xlfn.XLOOKUP($N74,$D$62:$D$68,$E$62:$E$68))</f>
        <v>60.443999999999988</v>
      </c>
      <c r="S74" s="50" cm="1">
        <f t="array" aca="1" ref="S74" ca="1">MMS_Swine_AtmosphericDeposition_Equations.VEERG_4_5_1_5__2_TotalNitrogenVolatilisedFromMMS(R23,_xlfn.XLOOKUP($N74,$D$62:$D$68,$E$62:$E$68))</f>
        <v>40.996799999999993</v>
      </c>
      <c r="T74" s="2"/>
    </row>
    <row r="75" spans="4:20" ht="20.100000000000001" customHeight="1" x14ac:dyDescent="0.25">
      <c r="D75" s="55" t="str">
        <f>INDEX(X_Table_Swine_Stage1MMS_DigesterCoveredLagoons,2,1)</f>
        <v>Digester / covered lagoons</v>
      </c>
      <c r="E75" s="55" t="s">
        <v>165</v>
      </c>
      <c r="F75" s="50" cm="1">
        <f t="array" aca="1" ref="F75" ca="1">MMS_Swine_AtmosphericDeposition_Equations.VEERG_4_5_1_5__2_TotalNitrogenVolatilisedFromMMS(E24,_xlfn.XLOOKUP($D75,$D$62:$D$68,$E$62:$E$68))</f>
        <v>0</v>
      </c>
      <c r="G75" s="50" cm="1">
        <f t="array" aca="1" ref="G75" ca="1">MMS_Swine_AtmosphericDeposition_Equations.VEERG_4_5_1_5__2_TotalNitrogenVolatilisedFromMMS(F24,_xlfn.XLOOKUP($D75,$D$62:$D$68,$E$62:$E$68))</f>
        <v>0</v>
      </c>
      <c r="H75" s="50" cm="1">
        <f t="array" aca="1" ref="H75" ca="1">MMS_Swine_AtmosphericDeposition_Equations.VEERG_4_5_1_5__2_TotalNitrogenVolatilisedFromMMS(G24,_xlfn.XLOOKUP($D75,$D$62:$D$68,$E$62:$E$68))</f>
        <v>0</v>
      </c>
      <c r="I75" s="50" cm="1">
        <f t="array" aca="1" ref="I75" ca="1">MMS_Swine_AtmosphericDeposition_Equations.VEERG_4_5_1_5__2_TotalNitrogenVolatilisedFromMMS(H24,_xlfn.XLOOKUP($D75,$D$62:$D$68,$E$62:$E$68))</f>
        <v>0</v>
      </c>
      <c r="J75" s="2"/>
      <c r="N75" s="55" t="str">
        <f>INDEX(X_Table_Swine_Stage1MMS_DigesterCoveredLagoons,2,1)</f>
        <v>Digester / covered lagoons</v>
      </c>
      <c r="O75" s="55" t="s">
        <v>165</v>
      </c>
      <c r="P75" s="50" cm="1">
        <f t="array" aca="1" ref="P75" ca="1">MMS_Swine_AtmosphericDeposition_Equations.VEERG_4_5_1_5__2_TotalNitrogenVolatilisedFromMMS(O24,_xlfn.XLOOKUP($N75,$D$62:$D$68,$E$62:$E$68))</f>
        <v>0</v>
      </c>
      <c r="Q75" s="50" cm="1">
        <f t="array" aca="1" ref="Q75" ca="1">MMS_Swine_AtmosphericDeposition_Equations.VEERG_4_5_1_5__2_TotalNitrogenVolatilisedFromMMS(P24,_xlfn.XLOOKUP($N75,$D$62:$D$68,$E$62:$E$68))</f>
        <v>0</v>
      </c>
      <c r="R75" s="50" cm="1">
        <f t="array" aca="1" ref="R75" ca="1">MMS_Swine_AtmosphericDeposition_Equations.VEERG_4_5_1_5__2_TotalNitrogenVolatilisedFromMMS(Q24,_xlfn.XLOOKUP($N75,$D$62:$D$68,$E$62:$E$68))</f>
        <v>0</v>
      </c>
      <c r="S75" s="50" cm="1">
        <f t="array" aca="1" ref="S75" ca="1">MMS_Swine_AtmosphericDeposition_Equations.VEERG_4_5_1_5__2_TotalNitrogenVolatilisedFromMMS(R24,_xlfn.XLOOKUP($N75,$D$62:$D$68,$E$62:$E$68))</f>
        <v>0</v>
      </c>
      <c r="T75" s="2"/>
    </row>
    <row r="76" spans="4:20" ht="20.100000000000001" customHeight="1" x14ac:dyDescent="0.25">
      <c r="D76" s="55" t="str">
        <f>INDEX(X_Table_Swine_Stage1MMS_DeepLitter,2,1)</f>
        <v>Deep litter</v>
      </c>
      <c r="E76" s="55" t="s">
        <v>165</v>
      </c>
      <c r="F76" s="50" cm="1">
        <f t="array" aca="1" ref="F76" ca="1">MMS_Swine_AtmosphericDeposition_Equations.VEERG_4_5_1_5__2_TotalNitrogenVolatilisedFromMMS(E25,_xlfn.XLOOKUP($D76,$D$62:$D$68,$E$62:$E$68))</f>
        <v>25.184999999999995</v>
      </c>
      <c r="G76" s="50" cm="1">
        <f t="array" aca="1" ref="G76" ca="1">MMS_Swine_AtmosphericDeposition_Equations.VEERG_4_5_1_5__2_TotalNitrogenVolatilisedFromMMS(F25,_xlfn.XLOOKUP($D76,$D$62:$D$68,$E$62:$E$68))</f>
        <v>26.827500000000004</v>
      </c>
      <c r="H76" s="50" cm="1">
        <f t="array" aca="1" ref="H76" ca="1">MMS_Swine_AtmosphericDeposition_Equations.VEERG_4_5_1_5__2_TotalNitrogenVolatilisedFromMMS(G25,_xlfn.XLOOKUP($D76,$D$62:$D$68,$E$62:$E$68))</f>
        <v>25.184999999999995</v>
      </c>
      <c r="I76" s="50" cm="1">
        <f t="array" aca="1" ref="I76" ca="1">MMS_Swine_AtmosphericDeposition_Equations.VEERG_4_5_1_5__2_TotalNitrogenVolatilisedFromMMS(H25,_xlfn.XLOOKUP($D76,$D$62:$D$68,$E$62:$E$68))</f>
        <v>17.081999999999997</v>
      </c>
      <c r="J76" s="2"/>
      <c r="N76" s="55" t="str">
        <f>INDEX(X_Table_Swine_Stage1MMS_DeepLitter,2,1)</f>
        <v>Deep litter</v>
      </c>
      <c r="O76" s="55" t="s">
        <v>165</v>
      </c>
      <c r="P76" s="50" cm="1">
        <f t="array" aca="1" ref="P76" ca="1">MMS_Swine_AtmosphericDeposition_Equations.VEERG_4_5_1_5__2_TotalNitrogenVolatilisedFromMMS(O25,_xlfn.XLOOKUP($N76,$D$62:$D$68,$E$62:$E$68))</f>
        <v>25.184999999999995</v>
      </c>
      <c r="Q76" s="50" cm="1">
        <f t="array" aca="1" ref="Q76" ca="1">MMS_Swine_AtmosphericDeposition_Equations.VEERG_4_5_1_5__2_TotalNitrogenVolatilisedFromMMS(P25,_xlfn.XLOOKUP($N76,$D$62:$D$68,$E$62:$E$68))</f>
        <v>26.827500000000004</v>
      </c>
      <c r="R76" s="50" cm="1">
        <f t="array" aca="1" ref="R76" ca="1">MMS_Swine_AtmosphericDeposition_Equations.VEERG_4_5_1_5__2_TotalNitrogenVolatilisedFromMMS(Q25,_xlfn.XLOOKUP($N76,$D$62:$D$68,$E$62:$E$68))</f>
        <v>25.184999999999995</v>
      </c>
      <c r="S76" s="50" cm="1">
        <f t="array" aca="1" ref="S76" ca="1">MMS_Swine_AtmosphericDeposition_Equations.VEERG_4_5_1_5__2_TotalNitrogenVolatilisedFromMMS(R25,_xlfn.XLOOKUP($N76,$D$62:$D$68,$E$62:$E$68))</f>
        <v>17.081999999999997</v>
      </c>
      <c r="T76" s="2"/>
    </row>
    <row r="77" spans="4:20" ht="20.100000000000001" customHeight="1" x14ac:dyDescent="0.25">
      <c r="D77" s="55" t="str">
        <f>INDEX(X_Table_Swine_Stage1MMS_PitStorage,2,1)</f>
        <v>Pit storage</v>
      </c>
      <c r="E77" s="55" t="s">
        <v>165</v>
      </c>
      <c r="F77" s="50" cm="1">
        <f t="array" aca="1" ref="F77" ca="1">MMS_Swine_AtmosphericDeposition_Equations.VEERG_4_5_1_5__2_TotalNitrogenVolatilisedFromMMS(E26,_xlfn.XLOOKUP($D77,$D$62:$D$68,$E$62:$E$68))</f>
        <v>50.36999999999999</v>
      </c>
      <c r="G77" s="50" cm="1">
        <f t="array" aca="1" ref="G77" ca="1">MMS_Swine_AtmosphericDeposition_Equations.VEERG_4_5_1_5__2_TotalNitrogenVolatilisedFromMMS(F26,_xlfn.XLOOKUP($D77,$D$62:$D$68,$E$62:$E$68))</f>
        <v>53.655000000000008</v>
      </c>
      <c r="H77" s="50" cm="1">
        <f t="array" aca="1" ref="H77" ca="1">MMS_Swine_AtmosphericDeposition_Equations.VEERG_4_5_1_5__2_TotalNitrogenVolatilisedFromMMS(G26,_xlfn.XLOOKUP($D77,$D$62:$D$68,$E$62:$E$68))</f>
        <v>50.36999999999999</v>
      </c>
      <c r="I77" s="50" cm="1">
        <f t="array" aca="1" ref="I77" ca="1">MMS_Swine_AtmosphericDeposition_Equations.VEERG_4_5_1_5__2_TotalNitrogenVolatilisedFromMMS(H26,_xlfn.XLOOKUP($D77,$D$62:$D$68,$E$62:$E$68))</f>
        <v>34.163999999999994</v>
      </c>
      <c r="J77" s="2"/>
      <c r="N77" s="55" t="str">
        <f>INDEX(X_Table_Swine_Stage1MMS_PitStorage,2,1)</f>
        <v>Pit storage</v>
      </c>
      <c r="O77" s="55" t="s">
        <v>165</v>
      </c>
      <c r="P77" s="50" cm="1">
        <f t="array" aca="1" ref="P77" ca="1">MMS_Swine_AtmosphericDeposition_Equations.VEERG_4_5_1_5__2_TotalNitrogenVolatilisedFromMMS(O26,_xlfn.XLOOKUP($N77,$D$62:$D$68,$E$62:$E$68))</f>
        <v>50.36999999999999</v>
      </c>
      <c r="Q77" s="50" cm="1">
        <f t="array" aca="1" ref="Q77" ca="1">MMS_Swine_AtmosphericDeposition_Equations.VEERG_4_5_1_5__2_TotalNitrogenVolatilisedFromMMS(P26,_xlfn.XLOOKUP($N77,$D$62:$D$68,$E$62:$E$68))</f>
        <v>53.655000000000008</v>
      </c>
      <c r="R77" s="50" cm="1">
        <f t="array" aca="1" ref="R77" ca="1">MMS_Swine_AtmosphericDeposition_Equations.VEERG_4_5_1_5__2_TotalNitrogenVolatilisedFromMMS(Q26,_xlfn.XLOOKUP($N77,$D$62:$D$68,$E$62:$E$68))</f>
        <v>50.36999999999999</v>
      </c>
      <c r="S77" s="50" cm="1">
        <f t="array" aca="1" ref="S77" ca="1">MMS_Swine_AtmosphericDeposition_Equations.VEERG_4_5_1_5__2_TotalNitrogenVolatilisedFromMMS(R26,_xlfn.XLOOKUP($N77,$D$62:$D$68,$E$62:$E$68))</f>
        <v>34.163999999999994</v>
      </c>
      <c r="T77" s="2"/>
    </row>
    <row r="78" spans="4:20" ht="20.100000000000001" customHeight="1" x14ac:dyDescent="0.25">
      <c r="D78" s="55" t="s">
        <v>346</v>
      </c>
      <c r="E78" s="55" t="s">
        <v>165</v>
      </c>
      <c r="F78" s="50" cm="1">
        <f t="array" aca="1" ref="F78" ca="1">MMS_Swine_AtmosphericDeposition_Equations.VEERG_4_5_1_5__2_TotalNitrogenVolatilisedFromMMS(E27,_xlfn.XLOOKUP($D78,$D$62:$D$68,$E$62:$E$68))</f>
        <v>134.32000000000002</v>
      </c>
      <c r="G78" s="50" cm="1">
        <f t="array" aca="1" ref="G78" ca="1">MMS_Swine_AtmosphericDeposition_Equations.VEERG_4_5_1_5__2_TotalNitrogenVolatilisedFromMMS(F27,_xlfn.XLOOKUP($D78,$D$62:$D$68,$E$62:$E$68))</f>
        <v>143.08000000000007</v>
      </c>
      <c r="H78" s="50" cm="1">
        <f t="array" aca="1" ref="H78" ca="1">MMS_Swine_AtmosphericDeposition_Equations.VEERG_4_5_1_5__2_TotalNitrogenVolatilisedFromMMS(G27,_xlfn.XLOOKUP($D78,$D$62:$D$68,$E$62:$E$68))</f>
        <v>134.32000000000002</v>
      </c>
      <c r="I78" s="50" cm="1">
        <f t="array" aca="1" ref="I78" ca="1">MMS_Swine_AtmosphericDeposition_Equations.VEERG_4_5_1_5__2_TotalNitrogenVolatilisedFromMMS(H27,_xlfn.XLOOKUP($D78,$D$62:$D$68,$E$62:$E$68))</f>
        <v>91.104000000000042</v>
      </c>
      <c r="J78" s="2"/>
      <c r="N78" s="55" t="s">
        <v>346</v>
      </c>
      <c r="O78" s="55" t="s">
        <v>165</v>
      </c>
      <c r="P78" s="50" cm="1">
        <f t="array" aca="1" ref="P78" ca="1">MMS_Swine_AtmosphericDeposition_Equations.VEERG_4_5_1_5__2_TotalNitrogenVolatilisedFromMMS(O27,_xlfn.XLOOKUP($N78,$D$62:$D$68,$E$62:$E$68))</f>
        <v>134.32000000000002</v>
      </c>
      <c r="Q78" s="50" cm="1">
        <f t="array" aca="1" ref="Q78" ca="1">MMS_Swine_AtmosphericDeposition_Equations.VEERG_4_5_1_5__2_TotalNitrogenVolatilisedFromMMS(P27,_xlfn.XLOOKUP($N78,$D$62:$D$68,$E$62:$E$68))</f>
        <v>143.08000000000007</v>
      </c>
      <c r="R78" s="50" cm="1">
        <f t="array" aca="1" ref="R78" ca="1">MMS_Swine_AtmosphericDeposition_Equations.VEERG_4_5_1_5__2_TotalNitrogenVolatilisedFromMMS(Q27,_xlfn.XLOOKUP($N78,$D$62:$D$68,$E$62:$E$68))</f>
        <v>134.32000000000002</v>
      </c>
      <c r="S78" s="50" cm="1">
        <f t="array" aca="1" ref="S78" ca="1">MMS_Swine_AtmosphericDeposition_Equations.VEERG_4_5_1_5__2_TotalNitrogenVolatilisedFromMMS(R27,_xlfn.XLOOKUP($N78,$D$62:$D$68,$E$62:$E$68))</f>
        <v>91.104000000000042</v>
      </c>
      <c r="T78" s="2"/>
    </row>
    <row r="79" spans="4:20" ht="20.100000000000001" customHeight="1" x14ac:dyDescent="0.25">
      <c r="D79" s="55" t="str">
        <f>INDEX(X_Table_Swine_Stage1MMS_AnaerobicLagoon,2,1)</f>
        <v>Anaerobic lagoon</v>
      </c>
      <c r="E79" s="55" t="str">
        <f>INDEX(X_Table_Swine_Stage2MMS_From_AnaerobicLagoon,2,1)</f>
        <v>Digester / covered lagoons</v>
      </c>
      <c r="F79" s="50" cm="1">
        <f t="array" aca="1" ref="F79" ca="1">MMS_Swine_AtmosphericDeposition_Equations.VEERG_4_5_1_5__2_TotalNitrogenVolatilisedFromMMS(F32,_xlfn.XLOOKUP($E79,$D$62:$D$68,$E$62:$E$68))</f>
        <v>0</v>
      </c>
      <c r="G79" s="50" cm="1">
        <f t="array" aca="1" ref="G79" ca="1">MMS_Swine_AtmosphericDeposition_Equations.VEERG_4_5_1_5__2_TotalNitrogenVolatilisedFromMMS(G32,_xlfn.XLOOKUP($E79,$D$62:$D$68,$E$62:$E$68))</f>
        <v>0</v>
      </c>
      <c r="H79" s="50" cm="1">
        <f t="array" aca="1" ref="H79" ca="1">MMS_Swine_AtmosphericDeposition_Equations.VEERG_4_5_1_5__2_TotalNitrogenVolatilisedFromMMS(H32,_xlfn.XLOOKUP($E79,$D$62:$D$68,$E$62:$E$68))</f>
        <v>0</v>
      </c>
      <c r="I79" s="50" cm="1">
        <f t="array" aca="1" ref="I79" ca="1">MMS_Swine_AtmosphericDeposition_Equations.VEERG_4_5_1_5__2_TotalNitrogenVolatilisedFromMMS(I32,_xlfn.XLOOKUP($E79,$D$62:$D$68,$E$62:$E$68))</f>
        <v>0</v>
      </c>
      <c r="J79" s="2"/>
      <c r="N79" s="55" t="str">
        <f>INDEX(X_Table_Swine_Stage1MMS_AnaerobicLagoon,2,1)</f>
        <v>Anaerobic lagoon</v>
      </c>
      <c r="O79" s="55" t="str">
        <f>INDEX(X_Table_Swine_Stage2MMS_From_AnaerobicLagoon,2,1)</f>
        <v>Digester / covered lagoons</v>
      </c>
      <c r="P79" s="50" cm="1">
        <f t="array" aca="1" ref="P79" ca="1">MMS_Swine_AtmosphericDeposition_Equations.VEERG_4_5_1_5__2_TotalNitrogenVolatilisedFromMMS(P32,_xlfn.XLOOKUP($O79,$D$62:$D$68,$E$62:$E$68))</f>
        <v>0</v>
      </c>
      <c r="Q79" s="50" cm="1">
        <f t="array" aca="1" ref="Q79" ca="1">MMS_Swine_AtmosphericDeposition_Equations.VEERG_4_5_1_5__2_TotalNitrogenVolatilisedFromMMS(Q32,_xlfn.XLOOKUP($O79,$D$62:$D$68,$E$62:$E$68))</f>
        <v>0</v>
      </c>
      <c r="R79" s="50" cm="1">
        <f t="array" aca="1" ref="R79" ca="1">MMS_Swine_AtmosphericDeposition_Equations.VEERG_4_5_1_5__2_TotalNitrogenVolatilisedFromMMS(R32,_xlfn.XLOOKUP($O79,$D$62:$D$68,$E$62:$E$68))</f>
        <v>0</v>
      </c>
      <c r="S79" s="50" cm="1">
        <f t="array" aca="1" ref="S79" ca="1">MMS_Swine_AtmosphericDeposition_Equations.VEERG_4_5_1_5__2_TotalNitrogenVolatilisedFromMMS(S32,_xlfn.XLOOKUP($O79,$D$62:$D$68,$E$62:$E$68))</f>
        <v>0</v>
      </c>
      <c r="T79" s="2"/>
    </row>
    <row r="80" spans="4:20" ht="20.100000000000001" customHeight="1" x14ac:dyDescent="0.25">
      <c r="D80" s="55"/>
      <c r="E80" s="55" t="str">
        <f>INDEX(X_Table_Swine_Stage2MMS_From_AnaerobicLagoon,3,1)</f>
        <v>Deep litter</v>
      </c>
      <c r="F80" s="50" cm="1">
        <f t="array" aca="1" ref="F80" ca="1">MMS_Swine_AtmosphericDeposition_Equations.VEERG_4_5_1_5__2_TotalNitrogenVolatilisedFromMMS(F33,_xlfn.XLOOKUP($E80,$D$62:$D$68,$E$62:$E$68))</f>
        <v>2.2666499999999994</v>
      </c>
      <c r="G80" s="50" cm="1">
        <f t="array" aca="1" ref="G80" ca="1">MMS_Swine_AtmosphericDeposition_Equations.VEERG_4_5_1_5__2_TotalNitrogenVolatilisedFromMMS(G33,_xlfn.XLOOKUP($E80,$D$62:$D$68,$E$62:$E$68))</f>
        <v>3.0180937500000002</v>
      </c>
      <c r="H80" s="50" cm="1">
        <f t="array" aca="1" ref="H80" ca="1">MMS_Swine_AtmosphericDeposition_Equations.VEERG_4_5_1_5__2_TotalNitrogenVolatilisedFromMMS(H33,_xlfn.XLOOKUP($E80,$D$62:$D$68,$E$62:$E$68))</f>
        <v>2.833312499999999</v>
      </c>
      <c r="I80" s="50" cm="1">
        <f t="array" aca="1" ref="I80" ca="1">MMS_Swine_AtmosphericDeposition_Equations.VEERG_4_5_1_5__2_TotalNitrogenVolatilisedFromMMS(I33,_xlfn.XLOOKUP($E80,$D$62:$D$68,$E$62:$E$68))</f>
        <v>1.9217249999999995</v>
      </c>
      <c r="J80" s="2"/>
      <c r="N80" s="55"/>
      <c r="O80" s="55" t="str">
        <f>INDEX(X_Table_Swine_Stage2MMS_From_AnaerobicLagoon,3,1)</f>
        <v>Deep litter</v>
      </c>
      <c r="P80" s="50" cm="1">
        <f t="array" aca="1" ref="P80" ca="1">MMS_Swine_AtmosphericDeposition_Equations.VEERG_4_5_1_5__2_TotalNitrogenVolatilisedFromMMS(P33,_xlfn.XLOOKUP($O80,$D$62:$D$68,$E$62:$E$68))</f>
        <v>2.2666499999999994</v>
      </c>
      <c r="Q80" s="50" cm="1">
        <f t="array" aca="1" ref="Q80" ca="1">MMS_Swine_AtmosphericDeposition_Equations.VEERG_4_5_1_5__2_TotalNitrogenVolatilisedFromMMS(Q33,_xlfn.XLOOKUP($O80,$D$62:$D$68,$E$62:$E$68))</f>
        <v>3.0180937500000002</v>
      </c>
      <c r="R80" s="50" cm="1">
        <f t="array" aca="1" ref="R80" ca="1">MMS_Swine_AtmosphericDeposition_Equations.VEERG_4_5_1_5__2_TotalNitrogenVolatilisedFromMMS(R33,_xlfn.XLOOKUP($O80,$D$62:$D$68,$E$62:$E$68))</f>
        <v>2.833312499999999</v>
      </c>
      <c r="S80" s="50" cm="1">
        <f t="array" aca="1" ref="S80" ca="1">MMS_Swine_AtmosphericDeposition_Equations.VEERG_4_5_1_5__2_TotalNitrogenVolatilisedFromMMS(S33,_xlfn.XLOOKUP($O80,$D$62:$D$68,$E$62:$E$68))</f>
        <v>1.9217249999999995</v>
      </c>
      <c r="T80" s="2"/>
    </row>
    <row r="81" spans="4:20" ht="20.100000000000001" customHeight="1" x14ac:dyDescent="0.25">
      <c r="D81" s="55"/>
      <c r="E81" s="55" t="str">
        <f>INDEX(X_Table_Swine_Stage2MMS_From_AnaerobicLagoon,4,1)</f>
        <v>Pit storage</v>
      </c>
      <c r="F81" s="50" cm="1">
        <f t="array" aca="1" ref="F81" ca="1">MMS_Swine_AtmosphericDeposition_Equations.VEERG_4_5_1_5__2_TotalNitrogenVolatilisedFromMMS(F34,_xlfn.XLOOKUP($E81,$D$62:$D$68,$E$62:$E$68))</f>
        <v>4.5332999999999988</v>
      </c>
      <c r="G81" s="50" cm="1">
        <f t="array" aca="1" ref="G81" ca="1">MMS_Swine_AtmosphericDeposition_Equations.VEERG_4_5_1_5__2_TotalNitrogenVolatilisedFromMMS(G34,_xlfn.XLOOKUP($E81,$D$62:$D$68,$E$62:$E$68))</f>
        <v>6.0361875000000005</v>
      </c>
      <c r="H81" s="50" cm="1">
        <f t="array" aca="1" ref="H81" ca="1">MMS_Swine_AtmosphericDeposition_Equations.VEERG_4_5_1_5__2_TotalNitrogenVolatilisedFromMMS(H34,_xlfn.XLOOKUP($E81,$D$62:$D$68,$E$62:$E$68))</f>
        <v>5.666624999999998</v>
      </c>
      <c r="I81" s="50" cm="1">
        <f t="array" aca="1" ref="I81" ca="1">MMS_Swine_AtmosphericDeposition_Equations.VEERG_4_5_1_5__2_TotalNitrogenVolatilisedFromMMS(I34,_xlfn.XLOOKUP($E81,$D$62:$D$68,$E$62:$E$68))</f>
        <v>3.8434499999999989</v>
      </c>
      <c r="J81" s="2"/>
      <c r="N81" s="55"/>
      <c r="O81" s="55" t="str">
        <f>INDEX(X_Table_Swine_Stage2MMS_From_AnaerobicLagoon,4,1)</f>
        <v>Pit storage</v>
      </c>
      <c r="P81" s="50" cm="1">
        <f t="array" aca="1" ref="P81" ca="1">MMS_Swine_AtmosphericDeposition_Equations.VEERG_4_5_1_5__2_TotalNitrogenVolatilisedFromMMS(P34,_xlfn.XLOOKUP($O81,$D$62:$D$68,$E$62:$E$68))</f>
        <v>4.5332999999999988</v>
      </c>
      <c r="Q81" s="50" cm="1">
        <f t="array" aca="1" ref="Q81" ca="1">MMS_Swine_AtmosphericDeposition_Equations.VEERG_4_5_1_5__2_TotalNitrogenVolatilisedFromMMS(Q34,_xlfn.XLOOKUP($O81,$D$62:$D$68,$E$62:$E$68))</f>
        <v>6.0361875000000005</v>
      </c>
      <c r="R81" s="50" cm="1">
        <f t="array" aca="1" ref="R81" ca="1">MMS_Swine_AtmosphericDeposition_Equations.VEERG_4_5_1_5__2_TotalNitrogenVolatilisedFromMMS(R34,_xlfn.XLOOKUP($O81,$D$62:$D$68,$E$62:$E$68))</f>
        <v>5.666624999999998</v>
      </c>
      <c r="S81" s="50" cm="1">
        <f t="array" aca="1" ref="S81" ca="1">MMS_Swine_AtmosphericDeposition_Equations.VEERG_4_5_1_5__2_TotalNitrogenVolatilisedFromMMS(S34,_xlfn.XLOOKUP($O81,$D$62:$D$68,$E$62:$E$68))</f>
        <v>3.8434499999999989</v>
      </c>
      <c r="T81" s="2"/>
    </row>
    <row r="82" spans="4:20" ht="20.100000000000001" customHeight="1" x14ac:dyDescent="0.25">
      <c r="D82" s="55"/>
      <c r="E82" s="55" t="str">
        <f>INDEX(X_Table_Swine_Stage2MMS_From_AnaerobicLagoon,5,1)</f>
        <v>Direct application</v>
      </c>
      <c r="F82" s="50" t="s">
        <v>165</v>
      </c>
      <c r="G82" s="50" t="s">
        <v>165</v>
      </c>
      <c r="H82" s="50" t="s">
        <v>165</v>
      </c>
      <c r="I82" s="50" t="s">
        <v>165</v>
      </c>
      <c r="N82" s="55"/>
      <c r="O82" s="55" t="str">
        <f>INDEX(X_Table_Swine_Stage2MMS_From_AnaerobicLagoon,5,1)</f>
        <v>Direct application</v>
      </c>
      <c r="P82" s="50" t="s">
        <v>165</v>
      </c>
      <c r="Q82" s="50" t="s">
        <v>165</v>
      </c>
      <c r="R82" s="50" t="s">
        <v>165</v>
      </c>
      <c r="S82" s="50" t="s">
        <v>165</v>
      </c>
      <c r="T82" s="2"/>
    </row>
    <row r="83" spans="4:20" ht="20.100000000000001" customHeight="1" x14ac:dyDescent="0.25">
      <c r="D83" s="55" t="str">
        <f>INDEX(X_Table_Swine_Stage1MMS_Drylot,2,1)</f>
        <v>Drylot (feed pad)</v>
      </c>
      <c r="E83" s="55" t="str">
        <f>INDEX(X_Table_Swine_Stage2MMS_From_Drylot,2,1)</f>
        <v>Anaerobic lagoon</v>
      </c>
      <c r="F83" s="50" cm="1">
        <f t="array" aca="1" ref="F83" ca="1">MMS_Swine_AtmosphericDeposition_Equations.VEERG_4_5_1_5__2_TotalNitrogenVolatilisedFromMMS(F36,_xlfn.XLOOKUP($E83,$D$62:$D$68,$E$62:$E$68))</f>
        <v>15.070703999999997</v>
      </c>
      <c r="G83" s="50" cm="1">
        <f t="array" aca="1" ref="G83" ca="1">MMS_Swine_AtmosphericDeposition_Equations.VEERG_4_5_1_5__2_TotalNitrogenVolatilisedFromMMS(G36,_xlfn.XLOOKUP($E83,$D$62:$D$68,$E$62:$E$68))</f>
        <v>20.066970000000005</v>
      </c>
      <c r="H83" s="50" cm="1">
        <f t="array" aca="1" ref="H83" ca="1">MMS_Swine_AtmosphericDeposition_Equations.VEERG_4_5_1_5__2_TotalNitrogenVolatilisedFromMMS(H36,_xlfn.XLOOKUP($E83,$D$62:$D$68,$E$62:$E$68))</f>
        <v>18.838379999999997</v>
      </c>
      <c r="I83" s="50" cm="1">
        <f t="array" aca="1" ref="I83" ca="1">MMS_Swine_AtmosphericDeposition_Equations.VEERG_4_5_1_5__2_TotalNitrogenVolatilisedFromMMS(I36,_xlfn.XLOOKUP($E83,$D$62:$D$68,$E$62:$E$68))</f>
        <v>12.777335999999996</v>
      </c>
      <c r="J83" s="2"/>
      <c r="N83" s="55" t="str">
        <f>INDEX(X_Table_Swine_Stage1MMS_Drylot,2,1)</f>
        <v>Drylot (feed pad)</v>
      </c>
      <c r="O83" s="55" t="str">
        <f>INDEX(X_Table_Swine_Stage2MMS_From_Drylot,2,1)</f>
        <v>Anaerobic lagoon</v>
      </c>
      <c r="P83" s="50" cm="1">
        <f t="array" aca="1" ref="P83" ca="1">MMS_Swine_AtmosphericDeposition_Equations.VEERG_4_5_1_5__2_TotalNitrogenVolatilisedFromMMS(P36,_xlfn.XLOOKUP($O83,$D$62:$D$68,$E$62:$E$68))</f>
        <v>15.070703999999997</v>
      </c>
      <c r="Q83" s="50" cm="1">
        <f t="array" aca="1" ref="Q83" ca="1">MMS_Swine_AtmosphericDeposition_Equations.VEERG_4_5_1_5__2_TotalNitrogenVolatilisedFromMMS(Q36,_xlfn.XLOOKUP($O83,$D$62:$D$68,$E$62:$E$68))</f>
        <v>20.066970000000005</v>
      </c>
      <c r="R83" s="50" cm="1">
        <f t="array" aca="1" ref="R83" ca="1">MMS_Swine_AtmosphericDeposition_Equations.VEERG_4_5_1_5__2_TotalNitrogenVolatilisedFromMMS(R36,_xlfn.XLOOKUP($O83,$D$62:$D$68,$E$62:$E$68))</f>
        <v>18.838379999999997</v>
      </c>
      <c r="S83" s="50" cm="1">
        <f t="array" aca="1" ref="S83" ca="1">MMS_Swine_AtmosphericDeposition_Equations.VEERG_4_5_1_5__2_TotalNitrogenVolatilisedFromMMS(S36,_xlfn.XLOOKUP($O83,$D$62:$D$68,$E$62:$E$68))</f>
        <v>12.777335999999996</v>
      </c>
      <c r="T83" s="2"/>
    </row>
    <row r="84" spans="4:20" ht="20.100000000000001" customHeight="1" x14ac:dyDescent="0.25">
      <c r="D84" s="55"/>
      <c r="E84" s="55" t="str">
        <f>INDEX(X_Table_Swine_Stage2MMS_From_Drylot,3,1)</f>
        <v>Digester / covered lagoons</v>
      </c>
      <c r="F84" s="50" cm="1">
        <f t="array" aca="1" ref="F84" ca="1">MMS_Swine_AtmosphericDeposition_Equations.VEERG_4_5_1_5__2_TotalNitrogenVolatilisedFromMMS(F37,_xlfn.XLOOKUP($E84,$D$62:$D$68,$E$62:$E$68))</f>
        <v>0</v>
      </c>
      <c r="G84" s="50" cm="1">
        <f t="array" aca="1" ref="G84" ca="1">MMS_Swine_AtmosphericDeposition_Equations.VEERG_4_5_1_5__2_TotalNitrogenVolatilisedFromMMS(G37,_xlfn.XLOOKUP($E84,$D$62:$D$68,$E$62:$E$68))</f>
        <v>0</v>
      </c>
      <c r="H84" s="50" cm="1">
        <f t="array" aca="1" ref="H84" ca="1">MMS_Swine_AtmosphericDeposition_Equations.VEERG_4_5_1_5__2_TotalNitrogenVolatilisedFromMMS(H37,_xlfn.XLOOKUP($E84,$D$62:$D$68,$E$62:$E$68))</f>
        <v>0</v>
      </c>
      <c r="I84" s="50" cm="1">
        <f t="array" aca="1" ref="I84" ca="1">MMS_Swine_AtmosphericDeposition_Equations.VEERG_4_5_1_5__2_TotalNitrogenVolatilisedFromMMS(I37,_xlfn.XLOOKUP($E84,$D$62:$D$68,$E$62:$E$68))</f>
        <v>0</v>
      </c>
      <c r="J84" s="2"/>
      <c r="N84" s="55"/>
      <c r="O84" s="55" t="str">
        <f>INDEX(X_Table_Swine_Stage2MMS_From_Drylot,3,1)</f>
        <v>Digester / covered lagoons</v>
      </c>
      <c r="P84" s="50" cm="1">
        <f t="array" aca="1" ref="P84" ca="1">MMS_Swine_AtmosphericDeposition_Equations.VEERG_4_5_1_5__2_TotalNitrogenVolatilisedFromMMS(P37,_xlfn.XLOOKUP($O84,$D$62:$D$68,$E$62:$E$68))</f>
        <v>0</v>
      </c>
      <c r="Q84" s="50" cm="1">
        <f t="array" aca="1" ref="Q84" ca="1">MMS_Swine_AtmosphericDeposition_Equations.VEERG_4_5_1_5__2_TotalNitrogenVolatilisedFromMMS(Q37,_xlfn.XLOOKUP($O84,$D$62:$D$68,$E$62:$E$68))</f>
        <v>0</v>
      </c>
      <c r="R84" s="50" cm="1">
        <f t="array" aca="1" ref="R84" ca="1">MMS_Swine_AtmosphericDeposition_Equations.VEERG_4_5_1_5__2_TotalNitrogenVolatilisedFromMMS(R37,_xlfn.XLOOKUP($O84,$D$62:$D$68,$E$62:$E$68))</f>
        <v>0</v>
      </c>
      <c r="S84" s="50" cm="1">
        <f t="array" aca="1" ref="S84" ca="1">MMS_Swine_AtmosphericDeposition_Equations.VEERG_4_5_1_5__2_TotalNitrogenVolatilisedFromMMS(S37,_xlfn.XLOOKUP($O84,$D$62:$D$68,$E$62:$E$68))</f>
        <v>0</v>
      </c>
      <c r="T84" s="2"/>
    </row>
    <row r="85" spans="4:20" ht="20.100000000000001" customHeight="1" x14ac:dyDescent="0.25">
      <c r="D85" s="55"/>
      <c r="E85" s="55" t="str">
        <f>INDEX(X_Table_Swine_Stage2MMS_From_Drylot,4,1)</f>
        <v>Deep litter</v>
      </c>
      <c r="F85" s="50" cm="1">
        <f t="array" aca="1" ref="F85" ca="1">MMS_Swine_AtmosphericDeposition_Equations.VEERG_4_5_1_5__2_TotalNitrogenVolatilisedFromMMS(F38,_xlfn.XLOOKUP($E85,$D$62:$D$68,$E$62:$E$68))</f>
        <v>3.4251599999999991</v>
      </c>
      <c r="G85" s="50" cm="1">
        <f t="array" aca="1" ref="G85" ca="1">MMS_Swine_AtmosphericDeposition_Equations.VEERG_4_5_1_5__2_TotalNitrogenVolatilisedFromMMS(G38,_xlfn.XLOOKUP($E85,$D$62:$D$68,$E$62:$E$68))</f>
        <v>4.5606750000000007</v>
      </c>
      <c r="H85" s="50" cm="1">
        <f t="array" aca="1" ref="H85" ca="1">MMS_Swine_AtmosphericDeposition_Equations.VEERG_4_5_1_5__2_TotalNitrogenVolatilisedFromMMS(H38,_xlfn.XLOOKUP($E85,$D$62:$D$68,$E$62:$E$68))</f>
        <v>4.2814499999999986</v>
      </c>
      <c r="I85" s="50" cm="1">
        <f t="array" aca="1" ref="I85" ca="1">MMS_Swine_AtmosphericDeposition_Equations.VEERG_4_5_1_5__2_TotalNitrogenVolatilisedFromMMS(I38,_xlfn.XLOOKUP($E85,$D$62:$D$68,$E$62:$E$68))</f>
        <v>2.9039399999999991</v>
      </c>
      <c r="J85" s="2"/>
      <c r="N85" s="55"/>
      <c r="O85" s="55" t="str">
        <f>INDEX(X_Table_Swine_Stage2MMS_From_Drylot,4,1)</f>
        <v>Deep litter</v>
      </c>
      <c r="P85" s="50" cm="1">
        <f t="array" aca="1" ref="P85" ca="1">MMS_Swine_AtmosphericDeposition_Equations.VEERG_4_5_1_5__2_TotalNitrogenVolatilisedFromMMS(P38,_xlfn.XLOOKUP($O85,$D$62:$D$68,$E$62:$E$68))</f>
        <v>3.4251599999999991</v>
      </c>
      <c r="Q85" s="50" cm="1">
        <f t="array" aca="1" ref="Q85" ca="1">MMS_Swine_AtmosphericDeposition_Equations.VEERG_4_5_1_5__2_TotalNitrogenVolatilisedFromMMS(Q38,_xlfn.XLOOKUP($O85,$D$62:$D$68,$E$62:$E$68))</f>
        <v>4.5606750000000007</v>
      </c>
      <c r="R85" s="50" cm="1">
        <f t="array" aca="1" ref="R85" ca="1">MMS_Swine_AtmosphericDeposition_Equations.VEERG_4_5_1_5__2_TotalNitrogenVolatilisedFromMMS(R38,_xlfn.XLOOKUP($O85,$D$62:$D$68,$E$62:$E$68))</f>
        <v>4.2814499999999986</v>
      </c>
      <c r="S85" s="50" cm="1">
        <f t="array" aca="1" ref="S85" ca="1">MMS_Swine_AtmosphericDeposition_Equations.VEERG_4_5_1_5__2_TotalNitrogenVolatilisedFromMMS(S38,_xlfn.XLOOKUP($O85,$D$62:$D$68,$E$62:$E$68))</f>
        <v>2.9039399999999991</v>
      </c>
      <c r="T85" s="2"/>
    </row>
    <row r="86" spans="4:20" ht="20.100000000000001" customHeight="1" x14ac:dyDescent="0.25">
      <c r="D86" s="55"/>
      <c r="E86" s="55" t="str">
        <f>INDEX(X_Table_Swine_Stage2MMS_From_Drylot,5,1)</f>
        <v>Pit storage</v>
      </c>
      <c r="F86" s="50" cm="1">
        <f t="array" aca="1" ref="F86" ca="1">MMS_Swine_AtmosphericDeposition_Equations.VEERG_4_5_1_5__2_TotalNitrogenVolatilisedFromMMS(F39,_xlfn.XLOOKUP($E86,$D$62:$D$68,$E$62:$E$68))</f>
        <v>6.8503199999999982</v>
      </c>
      <c r="G86" s="50" cm="1">
        <f t="array" aca="1" ref="G86" ca="1">MMS_Swine_AtmosphericDeposition_Equations.VEERG_4_5_1_5__2_TotalNitrogenVolatilisedFromMMS(G39,_xlfn.XLOOKUP($E86,$D$62:$D$68,$E$62:$E$68))</f>
        <v>9.1213500000000014</v>
      </c>
      <c r="H86" s="50" cm="1">
        <f t="array" aca="1" ref="H86" ca="1">MMS_Swine_AtmosphericDeposition_Equations.VEERG_4_5_1_5__2_TotalNitrogenVolatilisedFromMMS(H39,_xlfn.XLOOKUP($E86,$D$62:$D$68,$E$62:$E$68))</f>
        <v>8.5628999999999973</v>
      </c>
      <c r="I86" s="50" cm="1">
        <f t="array" aca="1" ref="I86" ca="1">MMS_Swine_AtmosphericDeposition_Equations.VEERG_4_5_1_5__2_TotalNitrogenVolatilisedFromMMS(I39,_xlfn.XLOOKUP($E86,$D$62:$D$68,$E$62:$E$68))</f>
        <v>5.8078799999999982</v>
      </c>
      <c r="J86" s="2"/>
      <c r="N86" s="55"/>
      <c r="O86" s="55" t="str">
        <f>INDEX(X_Table_Swine_Stage2MMS_From_Drylot,5,1)</f>
        <v>Pit storage</v>
      </c>
      <c r="P86" s="50" cm="1">
        <f t="array" aca="1" ref="P86" ca="1">MMS_Swine_AtmosphericDeposition_Equations.VEERG_4_5_1_5__2_TotalNitrogenVolatilisedFromMMS(P39,_xlfn.XLOOKUP($O86,$D$62:$D$68,$E$62:$E$68))</f>
        <v>6.8503199999999982</v>
      </c>
      <c r="Q86" s="50" cm="1">
        <f t="array" aca="1" ref="Q86" ca="1">MMS_Swine_AtmosphericDeposition_Equations.VEERG_4_5_1_5__2_TotalNitrogenVolatilisedFromMMS(Q39,_xlfn.XLOOKUP($O86,$D$62:$D$68,$E$62:$E$68))</f>
        <v>9.1213500000000014</v>
      </c>
      <c r="R86" s="50" cm="1">
        <f t="array" aca="1" ref="R86" ca="1">MMS_Swine_AtmosphericDeposition_Equations.VEERG_4_5_1_5__2_TotalNitrogenVolatilisedFromMMS(R39,_xlfn.XLOOKUP($O86,$D$62:$D$68,$E$62:$E$68))</f>
        <v>8.5628999999999973</v>
      </c>
      <c r="S86" s="50" cm="1">
        <f t="array" aca="1" ref="S86" ca="1">MMS_Swine_AtmosphericDeposition_Equations.VEERG_4_5_1_5__2_TotalNitrogenVolatilisedFromMMS(S39,_xlfn.XLOOKUP($O86,$D$62:$D$68,$E$62:$E$68))</f>
        <v>5.8078799999999982</v>
      </c>
      <c r="T86" s="2"/>
    </row>
    <row r="87" spans="4:20" ht="20.100000000000001" customHeight="1" x14ac:dyDescent="0.25">
      <c r="D87" s="55"/>
      <c r="E87" s="55" t="str">
        <f>INDEX(X_Table_Swine_Stage2MMS_From_Drylot,6,1)</f>
        <v>Direct application</v>
      </c>
      <c r="F87" s="50" t="s">
        <v>165</v>
      </c>
      <c r="G87" s="50" t="s">
        <v>165</v>
      </c>
      <c r="H87" s="50" t="s">
        <v>165</v>
      </c>
      <c r="I87" s="50" t="s">
        <v>165</v>
      </c>
      <c r="N87" s="55"/>
      <c r="O87" s="55" t="str">
        <f>INDEX(X_Table_Swine_Stage2MMS_From_Drylot,6,1)</f>
        <v>Direct application</v>
      </c>
      <c r="P87" s="50" t="s">
        <v>165</v>
      </c>
      <c r="Q87" s="50" t="s">
        <v>165</v>
      </c>
      <c r="R87" s="50" t="s">
        <v>165</v>
      </c>
      <c r="S87" s="50" t="s">
        <v>165</v>
      </c>
      <c r="T87" s="2"/>
    </row>
    <row r="88" spans="4:20" ht="20.100000000000001" customHeight="1" x14ac:dyDescent="0.25">
      <c r="D88" s="55" t="str">
        <f>INDEX(X_Table_Swine_Stage1MMS_DigesterCoveredLagoons,2,1)</f>
        <v>Digester / covered lagoons</v>
      </c>
      <c r="E88" s="55" t="str">
        <f>INDEX(X_Table_Swine_Stage2MMS_From_DigesterCoveredLagoons,2,1)</f>
        <v>Anaerobic lagoon</v>
      </c>
      <c r="F88" s="50" cm="1">
        <f t="array" aca="1" ref="F88" ca="1">MMS_Swine_AtmosphericDeposition_Equations.VEERG_4_5_1_5__2_TotalNitrogenVolatilisedFromMMS(F41,_xlfn.XLOOKUP($E88,$D$62:$D$68,$E$62:$E$68))</f>
        <v>22.162799999999997</v>
      </c>
      <c r="G88" s="50" cm="1">
        <f t="array" aca="1" ref="G88" ca="1">MMS_Swine_AtmosphericDeposition_Equations.VEERG_4_5_1_5__2_TotalNitrogenVolatilisedFromMMS(G41,_xlfn.XLOOKUP($E88,$D$62:$D$68,$E$62:$E$68))</f>
        <v>29.510250000000006</v>
      </c>
      <c r="H88" s="50" cm="1">
        <f t="array" aca="1" ref="H88" ca="1">MMS_Swine_AtmosphericDeposition_Equations.VEERG_4_5_1_5__2_TotalNitrogenVolatilisedFromMMS(H41,_xlfn.XLOOKUP($E88,$D$62:$D$68,$E$62:$E$68))</f>
        <v>27.703499999999998</v>
      </c>
      <c r="I88" s="50" cm="1">
        <f t="array" aca="1" ref="I88" ca="1">MMS_Swine_AtmosphericDeposition_Equations.VEERG_4_5_1_5__2_TotalNitrogenVolatilisedFromMMS(I41,_xlfn.XLOOKUP($E88,$D$62:$D$68,$E$62:$E$68))</f>
        <v>18.790199999999999</v>
      </c>
      <c r="J88" s="2"/>
      <c r="N88" s="55" t="str">
        <f>INDEX(X_Table_Swine_Stage1MMS_DigesterCoveredLagoons,2,1)</f>
        <v>Digester / covered lagoons</v>
      </c>
      <c r="O88" s="55" t="str">
        <f>INDEX(X_Table_Swine_Stage2MMS_From_DigesterCoveredLagoons,2,1)</f>
        <v>Anaerobic lagoon</v>
      </c>
      <c r="P88" s="50" cm="1">
        <f t="array" aca="1" ref="P88" ca="1">MMS_Swine_AtmosphericDeposition_Equations.VEERG_4_5_1_5__2_TotalNitrogenVolatilisedFromMMS(P41,_xlfn.XLOOKUP($O88,$D$62:$D$68,$E$62:$E$68))</f>
        <v>22.162799999999997</v>
      </c>
      <c r="Q88" s="50" cm="1">
        <f t="array" aca="1" ref="Q88" ca="1">MMS_Swine_AtmosphericDeposition_Equations.VEERG_4_5_1_5__2_TotalNitrogenVolatilisedFromMMS(Q41,_xlfn.XLOOKUP($O88,$D$62:$D$68,$E$62:$E$68))</f>
        <v>29.510250000000006</v>
      </c>
      <c r="R88" s="50" cm="1">
        <f t="array" aca="1" ref="R88" ca="1">MMS_Swine_AtmosphericDeposition_Equations.VEERG_4_5_1_5__2_TotalNitrogenVolatilisedFromMMS(R41,_xlfn.XLOOKUP($O88,$D$62:$D$68,$E$62:$E$68))</f>
        <v>27.703499999999998</v>
      </c>
      <c r="S88" s="50" cm="1">
        <f t="array" aca="1" ref="S88" ca="1">MMS_Swine_AtmosphericDeposition_Equations.VEERG_4_5_1_5__2_TotalNitrogenVolatilisedFromMMS(S41,_xlfn.XLOOKUP($O88,$D$62:$D$68,$E$62:$E$68))</f>
        <v>18.790199999999999</v>
      </c>
      <c r="T88" s="2"/>
    </row>
    <row r="89" spans="4:20" ht="20.100000000000001" customHeight="1" x14ac:dyDescent="0.25">
      <c r="D89" s="55"/>
      <c r="E89" s="55" t="str">
        <f>INDEX(X_Table_Swine_Stage2MMS_From_DigesterCoveredLagoons,3,1)</f>
        <v>Deep litter</v>
      </c>
      <c r="F89" s="50" cm="1">
        <f t="array" aca="1" ref="F89" ca="1">MMS_Swine_AtmosphericDeposition_Equations.VEERG_4_5_1_5__2_TotalNitrogenVolatilisedFromMMS(F42,_xlfn.XLOOKUP($E89,$D$62:$D$68,$E$62:$E$68))</f>
        <v>5.036999999999999</v>
      </c>
      <c r="G89" s="50" cm="1">
        <f t="array" aca="1" ref="G89" ca="1">MMS_Swine_AtmosphericDeposition_Equations.VEERG_4_5_1_5__2_TotalNitrogenVolatilisedFromMMS(G42,_xlfn.XLOOKUP($E89,$D$62:$D$68,$E$62:$E$68))</f>
        <v>6.706875000000001</v>
      </c>
      <c r="H89" s="50" cm="1">
        <f t="array" aca="1" ref="H89" ca="1">MMS_Swine_AtmosphericDeposition_Equations.VEERG_4_5_1_5__2_TotalNitrogenVolatilisedFromMMS(H42,_xlfn.XLOOKUP($E89,$D$62:$D$68,$E$62:$E$68))</f>
        <v>6.2962499999999988</v>
      </c>
      <c r="I89" s="50" cm="1">
        <f t="array" aca="1" ref="I89" ca="1">MMS_Swine_AtmosphericDeposition_Equations.VEERG_4_5_1_5__2_TotalNitrogenVolatilisedFromMMS(I42,_xlfn.XLOOKUP($E89,$D$62:$D$68,$E$62:$E$68))</f>
        <v>4.2704999999999993</v>
      </c>
      <c r="J89" s="2"/>
      <c r="N89" s="55"/>
      <c r="O89" s="55" t="str">
        <f>INDEX(X_Table_Swine_Stage2MMS_From_DigesterCoveredLagoons,3,1)</f>
        <v>Deep litter</v>
      </c>
      <c r="P89" s="50" cm="1">
        <f t="array" aca="1" ref="P89" ca="1">MMS_Swine_AtmosphericDeposition_Equations.VEERG_4_5_1_5__2_TotalNitrogenVolatilisedFromMMS(P42,_xlfn.XLOOKUP($O89,$D$62:$D$68,$E$62:$E$68))</f>
        <v>5.036999999999999</v>
      </c>
      <c r="Q89" s="50" cm="1">
        <f t="array" aca="1" ref="Q89" ca="1">MMS_Swine_AtmosphericDeposition_Equations.VEERG_4_5_1_5__2_TotalNitrogenVolatilisedFromMMS(Q42,_xlfn.XLOOKUP($O89,$D$62:$D$68,$E$62:$E$68))</f>
        <v>6.706875000000001</v>
      </c>
      <c r="R89" s="50" cm="1">
        <f t="array" aca="1" ref="R89" ca="1">MMS_Swine_AtmosphericDeposition_Equations.VEERG_4_5_1_5__2_TotalNitrogenVolatilisedFromMMS(R42,_xlfn.XLOOKUP($O89,$D$62:$D$68,$E$62:$E$68))</f>
        <v>6.2962499999999988</v>
      </c>
      <c r="S89" s="50" cm="1">
        <f t="array" aca="1" ref="S89" ca="1">MMS_Swine_AtmosphericDeposition_Equations.VEERG_4_5_1_5__2_TotalNitrogenVolatilisedFromMMS(S42,_xlfn.XLOOKUP($O89,$D$62:$D$68,$E$62:$E$68))</f>
        <v>4.2704999999999993</v>
      </c>
      <c r="T89" s="2"/>
    </row>
    <row r="90" spans="4:20" ht="20.100000000000001" customHeight="1" x14ac:dyDescent="0.25">
      <c r="D90" s="55"/>
      <c r="E90" s="55" t="str">
        <f>INDEX(X_Table_Swine_Stage2MMS_From_DigesterCoveredLagoons,4,1)</f>
        <v>Pit storage</v>
      </c>
      <c r="F90" s="50" cm="1">
        <f t="array" aca="1" ref="F90" ca="1">MMS_Swine_AtmosphericDeposition_Equations.VEERG_4_5_1_5__2_TotalNitrogenVolatilisedFromMMS(F43,_xlfn.XLOOKUP($E90,$D$62:$D$68,$E$62:$E$68))</f>
        <v>10.073999999999998</v>
      </c>
      <c r="G90" s="50" cm="1">
        <f t="array" aca="1" ref="G90" ca="1">MMS_Swine_AtmosphericDeposition_Equations.VEERG_4_5_1_5__2_TotalNitrogenVolatilisedFromMMS(G43,_xlfn.XLOOKUP($E90,$D$62:$D$68,$E$62:$E$68))</f>
        <v>13.413750000000002</v>
      </c>
      <c r="H90" s="50" cm="1">
        <f t="array" aca="1" ref="H90" ca="1">MMS_Swine_AtmosphericDeposition_Equations.VEERG_4_5_1_5__2_TotalNitrogenVolatilisedFromMMS(H43,_xlfn.XLOOKUP($E90,$D$62:$D$68,$E$62:$E$68))</f>
        <v>12.592499999999998</v>
      </c>
      <c r="I90" s="50" cm="1">
        <f t="array" aca="1" ref="I90" ca="1">MMS_Swine_AtmosphericDeposition_Equations.VEERG_4_5_1_5__2_TotalNitrogenVolatilisedFromMMS(I43,_xlfn.XLOOKUP($E90,$D$62:$D$68,$E$62:$E$68))</f>
        <v>8.5409999999999986</v>
      </c>
      <c r="J90" s="2"/>
      <c r="N90" s="55"/>
      <c r="O90" s="55" t="str">
        <f>INDEX(X_Table_Swine_Stage2MMS_From_DigesterCoveredLagoons,4,1)</f>
        <v>Pit storage</v>
      </c>
      <c r="P90" s="50" cm="1">
        <f t="array" aca="1" ref="P90" ca="1">MMS_Swine_AtmosphericDeposition_Equations.VEERG_4_5_1_5__2_TotalNitrogenVolatilisedFromMMS(P43,_xlfn.XLOOKUP($O90,$D$62:$D$68,$E$62:$E$68))</f>
        <v>10.073999999999998</v>
      </c>
      <c r="Q90" s="50" cm="1">
        <f t="array" aca="1" ref="Q90" ca="1">MMS_Swine_AtmosphericDeposition_Equations.VEERG_4_5_1_5__2_TotalNitrogenVolatilisedFromMMS(Q43,_xlfn.XLOOKUP($O90,$D$62:$D$68,$E$62:$E$68))</f>
        <v>13.413750000000002</v>
      </c>
      <c r="R90" s="50" cm="1">
        <f t="array" aca="1" ref="R90" ca="1">MMS_Swine_AtmosphericDeposition_Equations.VEERG_4_5_1_5__2_TotalNitrogenVolatilisedFromMMS(R43,_xlfn.XLOOKUP($O90,$D$62:$D$68,$E$62:$E$68))</f>
        <v>12.592499999999998</v>
      </c>
      <c r="S90" s="50" cm="1">
        <f t="array" aca="1" ref="S90" ca="1">MMS_Swine_AtmosphericDeposition_Equations.VEERG_4_5_1_5__2_TotalNitrogenVolatilisedFromMMS(S43,_xlfn.XLOOKUP($O90,$D$62:$D$68,$E$62:$E$68))</f>
        <v>8.5409999999999986</v>
      </c>
      <c r="T90" s="2"/>
    </row>
    <row r="91" spans="4:20" ht="20.100000000000001" customHeight="1" x14ac:dyDescent="0.25">
      <c r="D91" s="55"/>
      <c r="E91" s="55" t="str">
        <f>INDEX(X_Table_Swine_Stage2MMS_From_DigesterCoveredLagoons,5,1)</f>
        <v>Direct application</v>
      </c>
      <c r="F91" s="50" t="s">
        <v>165</v>
      </c>
      <c r="G91" s="50" t="s">
        <v>165</v>
      </c>
      <c r="H91" s="50" t="s">
        <v>165</v>
      </c>
      <c r="I91" s="50" t="s">
        <v>165</v>
      </c>
      <c r="N91" s="55"/>
      <c r="O91" s="55" t="str">
        <f>INDEX(X_Table_Swine_Stage2MMS_From_DigesterCoveredLagoons,5,1)</f>
        <v>Direct application</v>
      </c>
      <c r="P91" s="50" t="s">
        <v>165</v>
      </c>
      <c r="Q91" s="50" t="s">
        <v>165</v>
      </c>
      <c r="R91" s="50" t="s">
        <v>165</v>
      </c>
      <c r="S91" s="50" t="s">
        <v>165</v>
      </c>
      <c r="T91" s="2"/>
    </row>
    <row r="92" spans="4:20" ht="20.100000000000001" customHeight="1" x14ac:dyDescent="0.25">
      <c r="D92" s="55" t="str">
        <f>INDEX(X_Table_Swine_Stage1MMS_DeepLitter,2,1)</f>
        <v>Deep litter</v>
      </c>
      <c r="E92" s="55" t="str">
        <f>INDEX(X_Table_Swine_Stage2MMS_From_DeepLitter,2,1)</f>
        <v>Anaerobic lagoon</v>
      </c>
      <c r="F92" s="50" cm="1">
        <f t="array" aca="1" ref="F92" ca="1">MMS_Swine_AtmosphericDeposition_Equations.VEERG_4_5_1_5__2_TotalNitrogenVolatilisedFromMMS(F45,_xlfn.XLOOKUP($E92,$D$62:$D$68,$E$62:$E$68))</f>
        <v>19.170821999999998</v>
      </c>
      <c r="G92" s="50" cm="1">
        <f t="array" aca="1" ref="G92" ca="1">MMS_Swine_AtmosphericDeposition_Equations.VEERG_4_5_1_5__2_TotalNitrogenVolatilisedFromMMS(G45,_xlfn.XLOOKUP($E92,$D$62:$D$68,$E$62:$E$68))</f>
        <v>25.526366250000006</v>
      </c>
      <c r="H92" s="50" cm="1">
        <f t="array" aca="1" ref="H92" ca="1">MMS_Swine_AtmosphericDeposition_Equations.VEERG_4_5_1_5__2_TotalNitrogenVolatilisedFromMMS(H45,_xlfn.XLOOKUP($E92,$D$62:$D$68,$E$62:$E$68))</f>
        <v>23.963527499999994</v>
      </c>
      <c r="I92" s="50" cm="1">
        <f t="array" aca="1" ref="I92" ca="1">MMS_Swine_AtmosphericDeposition_Equations.VEERG_4_5_1_5__2_TotalNitrogenVolatilisedFromMMS(I45,_xlfn.XLOOKUP($E92,$D$62:$D$68,$E$62:$E$68))</f>
        <v>16.253522999999998</v>
      </c>
      <c r="J92" s="2"/>
      <c r="N92" s="55" t="str">
        <f>INDEX(X_Table_Swine_Stage1MMS_DeepLitter,2,1)</f>
        <v>Deep litter</v>
      </c>
      <c r="O92" s="55" t="str">
        <f>INDEX(X_Table_Swine_Stage2MMS_From_DeepLitter,2,1)</f>
        <v>Anaerobic lagoon</v>
      </c>
      <c r="P92" s="50" cm="1">
        <f t="array" aca="1" ref="P92" ca="1">MMS_Swine_AtmosphericDeposition_Equations.VEERG_4_5_1_5__2_TotalNitrogenVolatilisedFromMMS(P45,_xlfn.XLOOKUP($O92,$D$62:$D$68,$E$62:$E$68))</f>
        <v>19.170821999999998</v>
      </c>
      <c r="Q92" s="50" cm="1">
        <f t="array" aca="1" ref="Q92" ca="1">MMS_Swine_AtmosphericDeposition_Equations.VEERG_4_5_1_5__2_TotalNitrogenVolatilisedFromMMS(Q45,_xlfn.XLOOKUP($O92,$D$62:$D$68,$E$62:$E$68))</f>
        <v>25.526366250000006</v>
      </c>
      <c r="R92" s="50" cm="1">
        <f t="array" aca="1" ref="R92" ca="1">MMS_Swine_AtmosphericDeposition_Equations.VEERG_4_5_1_5__2_TotalNitrogenVolatilisedFromMMS(R45,_xlfn.XLOOKUP($O92,$D$62:$D$68,$E$62:$E$68))</f>
        <v>23.963527499999994</v>
      </c>
      <c r="S92" s="50" cm="1">
        <f t="array" aca="1" ref="S92" ca="1">MMS_Swine_AtmosphericDeposition_Equations.VEERG_4_5_1_5__2_TotalNitrogenVolatilisedFromMMS(S45,_xlfn.XLOOKUP($O92,$D$62:$D$68,$E$62:$E$68))</f>
        <v>16.253522999999998</v>
      </c>
      <c r="T92" s="2"/>
    </row>
    <row r="93" spans="4:20" ht="20.100000000000001" customHeight="1" x14ac:dyDescent="0.25">
      <c r="D93" s="55"/>
      <c r="E93" s="55" t="str">
        <f>INDEX(X_Table_Swine_Stage2MMS_From_DeepLitter,3,1)</f>
        <v>Digester / covered lagoons</v>
      </c>
      <c r="F93" s="50" cm="1">
        <f t="array" aca="1" ref="F93" ca="1">MMS_Swine_AtmosphericDeposition_Equations.VEERG_4_5_1_5__2_TotalNitrogenVolatilisedFromMMS(F46,_xlfn.XLOOKUP($E93,$D$62:$D$68,$E$62:$E$68))</f>
        <v>0</v>
      </c>
      <c r="G93" s="50" cm="1">
        <f t="array" aca="1" ref="G93" ca="1">MMS_Swine_AtmosphericDeposition_Equations.VEERG_4_5_1_5__2_TotalNitrogenVolatilisedFromMMS(G46,_xlfn.XLOOKUP($E93,$D$62:$D$68,$E$62:$E$68))</f>
        <v>0</v>
      </c>
      <c r="H93" s="50" cm="1">
        <f t="array" aca="1" ref="H93" ca="1">MMS_Swine_AtmosphericDeposition_Equations.VEERG_4_5_1_5__2_TotalNitrogenVolatilisedFromMMS(H46,_xlfn.XLOOKUP($E93,$D$62:$D$68,$E$62:$E$68))</f>
        <v>0</v>
      </c>
      <c r="I93" s="50" cm="1">
        <f t="array" aca="1" ref="I93" ca="1">MMS_Swine_AtmosphericDeposition_Equations.VEERG_4_5_1_5__2_TotalNitrogenVolatilisedFromMMS(I46,_xlfn.XLOOKUP($E93,$D$62:$D$68,$E$62:$E$68))</f>
        <v>0</v>
      </c>
      <c r="J93" s="2"/>
      <c r="N93" s="55"/>
      <c r="O93" s="55" t="str">
        <f>INDEX(X_Table_Swine_Stage2MMS_From_DeepLitter,3,1)</f>
        <v>Digester / covered lagoons</v>
      </c>
      <c r="P93" s="50" cm="1">
        <f t="array" aca="1" ref="P93" ca="1">MMS_Swine_AtmosphericDeposition_Equations.VEERG_4_5_1_5__2_TotalNitrogenVolatilisedFromMMS(P46,_xlfn.XLOOKUP($O93,$D$62:$D$68,$E$62:$E$68))</f>
        <v>0</v>
      </c>
      <c r="Q93" s="50" cm="1">
        <f t="array" aca="1" ref="Q93" ca="1">MMS_Swine_AtmosphericDeposition_Equations.VEERG_4_5_1_5__2_TotalNitrogenVolatilisedFromMMS(Q46,_xlfn.XLOOKUP($O93,$D$62:$D$68,$E$62:$E$68))</f>
        <v>0</v>
      </c>
      <c r="R93" s="50" cm="1">
        <f t="array" aca="1" ref="R93" ca="1">MMS_Swine_AtmosphericDeposition_Equations.VEERG_4_5_1_5__2_TotalNitrogenVolatilisedFromMMS(R46,_xlfn.XLOOKUP($O93,$D$62:$D$68,$E$62:$E$68))</f>
        <v>0</v>
      </c>
      <c r="S93" s="50" cm="1">
        <f t="array" aca="1" ref="S93" ca="1">MMS_Swine_AtmosphericDeposition_Equations.VEERG_4_5_1_5__2_TotalNitrogenVolatilisedFromMMS(S46,_xlfn.XLOOKUP($O93,$D$62:$D$68,$E$62:$E$68))</f>
        <v>0</v>
      </c>
      <c r="T93" s="2"/>
    </row>
    <row r="94" spans="4:20" ht="20.100000000000001" customHeight="1" x14ac:dyDescent="0.25">
      <c r="D94" s="55"/>
      <c r="E94" s="55" t="str">
        <f>INDEX(X_Table_Swine_Stage2MMS_From_DeepLitter,4,1)</f>
        <v>Pit storage</v>
      </c>
      <c r="F94" s="50" cm="1">
        <f t="array" aca="1" ref="F94" ca="1">MMS_Swine_AtmosphericDeposition_Equations.VEERG_4_5_1_5__2_TotalNitrogenVolatilisedFromMMS(F47,_xlfn.XLOOKUP($E94,$D$62:$D$68,$E$62:$E$68))</f>
        <v>8.7140099999999983</v>
      </c>
      <c r="G94" s="50" cm="1">
        <f t="array" aca="1" ref="G94" ca="1">MMS_Swine_AtmosphericDeposition_Equations.VEERG_4_5_1_5__2_TotalNitrogenVolatilisedFromMMS(G47,_xlfn.XLOOKUP($E94,$D$62:$D$68,$E$62:$E$68))</f>
        <v>11.602893750000002</v>
      </c>
      <c r="H94" s="50" cm="1">
        <f t="array" aca="1" ref="H94" ca="1">MMS_Swine_AtmosphericDeposition_Equations.VEERG_4_5_1_5__2_TotalNitrogenVolatilisedFromMMS(H47,_xlfn.XLOOKUP($E94,$D$62:$D$68,$E$62:$E$68))</f>
        <v>10.892512499999997</v>
      </c>
      <c r="I94" s="50" cm="1">
        <f t="array" aca="1" ref="I94" ca="1">MMS_Swine_AtmosphericDeposition_Equations.VEERG_4_5_1_5__2_TotalNitrogenVolatilisedFromMMS(I47,_xlfn.XLOOKUP($E94,$D$62:$D$68,$E$62:$E$68))</f>
        <v>7.3879649999999986</v>
      </c>
      <c r="J94" s="2"/>
      <c r="N94" s="55"/>
      <c r="O94" s="55" t="str">
        <f>INDEX(X_Table_Swine_Stage2MMS_From_DeepLitter,4,1)</f>
        <v>Pit storage</v>
      </c>
      <c r="P94" s="50" cm="1">
        <f t="array" aca="1" ref="P94" ca="1">MMS_Swine_AtmosphericDeposition_Equations.VEERG_4_5_1_5__2_TotalNitrogenVolatilisedFromMMS(P47,_xlfn.XLOOKUP($O94,$D$62:$D$68,$E$62:$E$68))</f>
        <v>8.7140099999999983</v>
      </c>
      <c r="Q94" s="50" cm="1">
        <f t="array" aca="1" ref="Q94" ca="1">MMS_Swine_AtmosphericDeposition_Equations.VEERG_4_5_1_5__2_TotalNitrogenVolatilisedFromMMS(Q47,_xlfn.XLOOKUP($O94,$D$62:$D$68,$E$62:$E$68))</f>
        <v>11.602893750000002</v>
      </c>
      <c r="R94" s="50" cm="1">
        <f t="array" aca="1" ref="R94" ca="1">MMS_Swine_AtmosphericDeposition_Equations.VEERG_4_5_1_5__2_TotalNitrogenVolatilisedFromMMS(R47,_xlfn.XLOOKUP($O94,$D$62:$D$68,$E$62:$E$68))</f>
        <v>10.892512499999997</v>
      </c>
      <c r="S94" s="50" cm="1">
        <f t="array" aca="1" ref="S94" ca="1">MMS_Swine_AtmosphericDeposition_Equations.VEERG_4_5_1_5__2_TotalNitrogenVolatilisedFromMMS(S47,_xlfn.XLOOKUP($O94,$D$62:$D$68,$E$62:$E$68))</f>
        <v>7.3879649999999986</v>
      </c>
      <c r="T94" s="2"/>
    </row>
    <row r="95" spans="4:20" ht="20.100000000000001" customHeight="1" x14ac:dyDescent="0.25">
      <c r="D95" s="55"/>
      <c r="E95" s="55" t="str">
        <f>INDEX(X_Table_Swine_Stage2MMS_From_DeepLitter,5,1)</f>
        <v>Direct application</v>
      </c>
      <c r="F95" s="50" t="s">
        <v>165</v>
      </c>
      <c r="G95" s="50" t="s">
        <v>165</v>
      </c>
      <c r="H95" s="50" t="s">
        <v>165</v>
      </c>
      <c r="I95" s="50" t="s">
        <v>165</v>
      </c>
      <c r="N95" s="55"/>
      <c r="O95" s="55" t="str">
        <f>INDEX(X_Table_Swine_Stage2MMS_From_DeepLitter,5,1)</f>
        <v>Direct application</v>
      </c>
      <c r="P95" s="50" t="s">
        <v>165</v>
      </c>
      <c r="Q95" s="50" t="s">
        <v>165</v>
      </c>
      <c r="R95" s="50" t="s">
        <v>165</v>
      </c>
      <c r="S95" s="50" t="s">
        <v>165</v>
      </c>
      <c r="T95" s="2"/>
    </row>
    <row r="96" spans="4:20" ht="20.100000000000001" customHeight="1" x14ac:dyDescent="0.25">
      <c r="D96" s="55" t="str">
        <f>INDEX(X_Table_Swine_Stage1MMS_PitStorage,2,1)</f>
        <v>Pit storage</v>
      </c>
      <c r="E96" s="55" t="str">
        <f>INDEX(X_Table_Swine_Stage2MMS_From_PitStorage,2,1)</f>
        <v>Anaerobic lagoon</v>
      </c>
      <c r="F96" s="50" cm="1">
        <f t="array" aca="1" ref="F96" ca="1">MMS_Swine_AtmosphericDeposition_Equations.VEERG_4_5_1_5__2_TotalNitrogenVolatilisedFromMMS(F49,_xlfn.XLOOKUP($E96,$D$62:$D$68,$E$62:$E$68))</f>
        <v>16.577774399999999</v>
      </c>
      <c r="G96" s="50" cm="1">
        <f t="array" aca="1" ref="G96" ca="1">MMS_Swine_AtmosphericDeposition_Equations.VEERG_4_5_1_5__2_TotalNitrogenVolatilisedFromMMS(G49,_xlfn.XLOOKUP($E96,$D$62:$D$68,$E$62:$E$68))</f>
        <v>22.073667000000004</v>
      </c>
      <c r="H96" s="50" cm="1">
        <f t="array" aca="1" ref="H96" ca="1">MMS_Swine_AtmosphericDeposition_Equations.VEERG_4_5_1_5__2_TotalNitrogenVolatilisedFromMMS(H49,_xlfn.XLOOKUP($E96,$D$62:$D$68,$E$62:$E$68))</f>
        <v>20.722217999999998</v>
      </c>
      <c r="I96" s="50" cm="1">
        <f t="array" aca="1" ref="I96" ca="1">MMS_Swine_AtmosphericDeposition_Equations.VEERG_4_5_1_5__2_TotalNitrogenVolatilisedFromMMS(I49,_xlfn.XLOOKUP($E96,$D$62:$D$68,$E$62:$E$68))</f>
        <v>14.055069599999999</v>
      </c>
      <c r="J96" s="2"/>
      <c r="N96" s="55" t="str">
        <f>INDEX(X_Table_Swine_Stage1MMS_PitStorage,2,1)</f>
        <v>Pit storage</v>
      </c>
      <c r="O96" s="55" t="str">
        <f>INDEX(X_Table_Swine_Stage2MMS_From_PitStorage,2,1)</f>
        <v>Anaerobic lagoon</v>
      </c>
      <c r="P96" s="50" cm="1">
        <f t="array" aca="1" ref="P96" ca="1">MMS_Swine_AtmosphericDeposition_Equations.VEERG_4_5_1_5__2_TotalNitrogenVolatilisedFromMMS(P49,_xlfn.XLOOKUP($O96,$D$62:$D$68,$E$62:$E$68))</f>
        <v>16.577774399999999</v>
      </c>
      <c r="Q96" s="50" cm="1">
        <f t="array" aca="1" ref="Q96" ca="1">MMS_Swine_AtmosphericDeposition_Equations.VEERG_4_5_1_5__2_TotalNitrogenVolatilisedFromMMS(Q49,_xlfn.XLOOKUP($O96,$D$62:$D$68,$E$62:$E$68))</f>
        <v>22.073667000000004</v>
      </c>
      <c r="R96" s="50" cm="1">
        <f t="array" aca="1" ref="R96" ca="1">MMS_Swine_AtmosphericDeposition_Equations.VEERG_4_5_1_5__2_TotalNitrogenVolatilisedFromMMS(R49,_xlfn.XLOOKUP($O96,$D$62:$D$68,$E$62:$E$68))</f>
        <v>20.722217999999998</v>
      </c>
      <c r="S96" s="50" cm="1">
        <f t="array" aca="1" ref="S96" ca="1">MMS_Swine_AtmosphericDeposition_Equations.VEERG_4_5_1_5__2_TotalNitrogenVolatilisedFromMMS(S49,_xlfn.XLOOKUP($O96,$D$62:$D$68,$E$62:$E$68))</f>
        <v>14.055069599999999</v>
      </c>
      <c r="T96" s="2"/>
    </row>
    <row r="97" spans="3:21" ht="20.100000000000001" customHeight="1" x14ac:dyDescent="0.25">
      <c r="D97" s="55"/>
      <c r="E97" s="55" t="str">
        <f>INDEX(X_Table_Swine_Stage2MMS_From_PitStorage,3,1)</f>
        <v>Digester / covered lagoons</v>
      </c>
      <c r="F97" s="50" cm="1">
        <f t="array" aca="1" ref="F97" ca="1">MMS_Swine_AtmosphericDeposition_Equations.VEERG_4_5_1_5__2_TotalNitrogenVolatilisedFromMMS(F50,_xlfn.XLOOKUP($E97,$D$62:$D$68,$E$62:$E$68))</f>
        <v>0</v>
      </c>
      <c r="G97" s="50" cm="1">
        <f t="array" aca="1" ref="G97" ca="1">MMS_Swine_AtmosphericDeposition_Equations.VEERG_4_5_1_5__2_TotalNitrogenVolatilisedFromMMS(G50,_xlfn.XLOOKUP($E97,$D$62:$D$68,$E$62:$E$68))</f>
        <v>0</v>
      </c>
      <c r="H97" s="50" cm="1">
        <f t="array" aca="1" ref="H97" ca="1">MMS_Swine_AtmosphericDeposition_Equations.VEERG_4_5_1_5__2_TotalNitrogenVolatilisedFromMMS(H50,_xlfn.XLOOKUP($E97,$D$62:$D$68,$E$62:$E$68))</f>
        <v>0</v>
      </c>
      <c r="I97" s="50" cm="1">
        <f t="array" aca="1" ref="I97" ca="1">MMS_Swine_AtmosphericDeposition_Equations.VEERG_4_5_1_5__2_TotalNitrogenVolatilisedFromMMS(I50,_xlfn.XLOOKUP($E97,$D$62:$D$68,$E$62:$E$68))</f>
        <v>0</v>
      </c>
      <c r="J97" s="2"/>
      <c r="N97" s="55"/>
      <c r="O97" s="55" t="str">
        <f>INDEX(X_Table_Swine_Stage2MMS_From_PitStorage,3,1)</f>
        <v>Digester / covered lagoons</v>
      </c>
      <c r="P97" s="50" cm="1">
        <f t="array" aca="1" ref="P97" ca="1">MMS_Swine_AtmosphericDeposition_Equations.VEERG_4_5_1_5__2_TotalNitrogenVolatilisedFromMMS(P50,_xlfn.XLOOKUP($O97,$D$62:$D$68,$E$62:$E$68))</f>
        <v>0</v>
      </c>
      <c r="Q97" s="50" cm="1">
        <f t="array" aca="1" ref="Q97" ca="1">MMS_Swine_AtmosphericDeposition_Equations.VEERG_4_5_1_5__2_TotalNitrogenVolatilisedFromMMS(Q50,_xlfn.XLOOKUP($O97,$D$62:$D$68,$E$62:$E$68))</f>
        <v>0</v>
      </c>
      <c r="R97" s="50" cm="1">
        <f t="array" aca="1" ref="R97" ca="1">MMS_Swine_AtmosphericDeposition_Equations.VEERG_4_5_1_5__2_TotalNitrogenVolatilisedFromMMS(R50,_xlfn.XLOOKUP($O97,$D$62:$D$68,$E$62:$E$68))</f>
        <v>0</v>
      </c>
      <c r="S97" s="50" cm="1">
        <f t="array" aca="1" ref="S97" ca="1">MMS_Swine_AtmosphericDeposition_Equations.VEERG_4_5_1_5__2_TotalNitrogenVolatilisedFromMMS(S50,_xlfn.XLOOKUP($O97,$D$62:$D$68,$E$62:$E$68))</f>
        <v>0</v>
      </c>
      <c r="T97" s="2"/>
    </row>
    <row r="98" spans="3:21" ht="20.100000000000001" customHeight="1" x14ac:dyDescent="0.25">
      <c r="D98" s="55"/>
      <c r="E98" s="55" t="str">
        <f>INDEX(X_Table_Swine_Stage2MMS_From_PitStorage,4,1)</f>
        <v>Deep litter</v>
      </c>
      <c r="F98" s="50" cm="1">
        <f t="array" aca="1" ref="F98" ca="1">MMS_Swine_AtmosphericDeposition_Equations.VEERG_4_5_1_5__2_TotalNitrogenVolatilisedFromMMS(F51,_xlfn.XLOOKUP($E98,$D$62:$D$68,$E$62:$E$68))</f>
        <v>3.7676759999999998</v>
      </c>
      <c r="G98" s="50" cm="1">
        <f t="array" aca="1" ref="G98" ca="1">MMS_Swine_AtmosphericDeposition_Equations.VEERG_4_5_1_5__2_TotalNitrogenVolatilisedFromMMS(G51,_xlfn.XLOOKUP($E98,$D$62:$D$68,$E$62:$E$68))</f>
        <v>5.0167425000000003</v>
      </c>
      <c r="H98" s="50" cm="1">
        <f t="array" aca="1" ref="H98" ca="1">MMS_Swine_AtmosphericDeposition_Equations.VEERG_4_5_1_5__2_TotalNitrogenVolatilisedFromMMS(H51,_xlfn.XLOOKUP($E98,$D$62:$D$68,$E$62:$E$68))</f>
        <v>4.7095949999999993</v>
      </c>
      <c r="I98" s="50" cm="1">
        <f t="array" aca="1" ref="I98" ca="1">MMS_Swine_AtmosphericDeposition_Equations.VEERG_4_5_1_5__2_TotalNitrogenVolatilisedFromMMS(I51,_xlfn.XLOOKUP($E98,$D$62:$D$68,$E$62:$E$68))</f>
        <v>3.1943339999999996</v>
      </c>
      <c r="J98" s="2"/>
      <c r="N98" s="55"/>
      <c r="O98" s="55" t="str">
        <f>INDEX(X_Table_Swine_Stage2MMS_From_PitStorage,4,1)</f>
        <v>Deep litter</v>
      </c>
      <c r="P98" s="50" cm="1">
        <f t="array" aca="1" ref="P98" ca="1">MMS_Swine_AtmosphericDeposition_Equations.VEERG_4_5_1_5__2_TotalNitrogenVolatilisedFromMMS(P51,_xlfn.XLOOKUP($O98,$D$62:$D$68,$E$62:$E$68))</f>
        <v>3.7676759999999998</v>
      </c>
      <c r="Q98" s="50" cm="1">
        <f t="array" aca="1" ref="Q98" ca="1">MMS_Swine_AtmosphericDeposition_Equations.VEERG_4_5_1_5__2_TotalNitrogenVolatilisedFromMMS(Q51,_xlfn.XLOOKUP($O98,$D$62:$D$68,$E$62:$E$68))</f>
        <v>5.0167425000000003</v>
      </c>
      <c r="R98" s="50" cm="1">
        <f t="array" aca="1" ref="R98" ca="1">MMS_Swine_AtmosphericDeposition_Equations.VEERG_4_5_1_5__2_TotalNitrogenVolatilisedFromMMS(R51,_xlfn.XLOOKUP($O98,$D$62:$D$68,$E$62:$E$68))</f>
        <v>4.7095949999999993</v>
      </c>
      <c r="S98" s="50" cm="1">
        <f t="array" aca="1" ref="S98" ca="1">MMS_Swine_AtmosphericDeposition_Equations.VEERG_4_5_1_5__2_TotalNitrogenVolatilisedFromMMS(S51,_xlfn.XLOOKUP($O98,$D$62:$D$68,$E$62:$E$68))</f>
        <v>3.1943339999999996</v>
      </c>
      <c r="T98" s="2"/>
    </row>
    <row r="99" spans="3:21" ht="20.100000000000001" customHeight="1" x14ac:dyDescent="0.25">
      <c r="D99" s="55"/>
      <c r="E99" s="55" t="str">
        <f>INDEX(X_Table_Swine_Stage2MMS_From_PitStorage,5,1)</f>
        <v>Direct application</v>
      </c>
      <c r="F99" s="50" t="s">
        <v>165</v>
      </c>
      <c r="G99" s="50" t="s">
        <v>165</v>
      </c>
      <c r="H99" s="50" t="s">
        <v>165</v>
      </c>
      <c r="I99" s="50" t="s">
        <v>165</v>
      </c>
      <c r="N99" s="55"/>
      <c r="O99" s="55" t="str">
        <f>INDEX(X_Table_Swine_Stage2MMS_From_PitStorage,5,1)</f>
        <v>Direct application</v>
      </c>
      <c r="P99" s="50" t="s">
        <v>165</v>
      </c>
      <c r="Q99" s="50" t="s">
        <v>165</v>
      </c>
      <c r="R99" s="50" t="s">
        <v>165</v>
      </c>
      <c r="S99" s="50" t="s">
        <v>165</v>
      </c>
      <c r="T99" s="2"/>
    </row>
    <row r="100" spans="3:21" ht="20.100000000000001" customHeight="1" x14ac:dyDescent="0.25">
      <c r="D100" s="55" t="s">
        <v>346</v>
      </c>
      <c r="E100" s="55" t="str">
        <f>INDEX(X_Table_Swine_Stage2MMS_From_SolidStorage,2,1)</f>
        <v>Anaerobic lagoon</v>
      </c>
      <c r="F100" s="50" cm="1">
        <f t="array" aca="1" ref="F100" ca="1">MMS_Swine_AtmosphericDeposition_Equations.VEERG_4_5_1_5__2_TotalNitrogenVolatilisedFromMMS(F53,_xlfn.XLOOKUP($E100,$D$62:$D$68,$E$62:$E$68))</f>
        <v>58.731420000000021</v>
      </c>
      <c r="G100" s="50" cm="1">
        <f t="array" aca="1" ref="G100" ca="1">MMS_Swine_AtmosphericDeposition_Equations.VEERG_4_5_1_5__2_TotalNitrogenVolatilisedFromMMS(G53,_xlfn.XLOOKUP($E100,$D$62:$D$68,$E$62:$E$68))</f>
        <v>62.56173000000004</v>
      </c>
      <c r="H100" s="50" cm="1">
        <f t="array" aca="1" ref="H100" ca="1">MMS_Swine_AtmosphericDeposition_Equations.VEERG_4_5_1_5__2_TotalNitrogenVolatilisedFromMMS(H53,_xlfn.XLOOKUP($E100,$D$62:$D$68,$E$62:$E$68))</f>
        <v>58.731420000000021</v>
      </c>
      <c r="I100" s="50" cm="1">
        <f t="array" aca="1" ref="I100" ca="1">MMS_Swine_AtmosphericDeposition_Equations.VEERG_4_5_1_5__2_TotalNitrogenVolatilisedFromMMS(I53,_xlfn.XLOOKUP($E100,$D$62:$D$68,$E$62:$E$68))</f>
        <v>39.835224000000025</v>
      </c>
      <c r="J100" s="2"/>
      <c r="N100" s="55" t="s">
        <v>346</v>
      </c>
      <c r="O100" s="55" t="str">
        <f>INDEX(X_Table_Swine_Stage2MMS_From_SolidStorage,2,1)</f>
        <v>Anaerobic lagoon</v>
      </c>
      <c r="P100" s="50" cm="1">
        <f t="array" aca="1" ref="P100" ca="1">MMS_Swine_AtmosphericDeposition_Equations.VEERG_4_5_1_5__2_TotalNitrogenVolatilisedFromMMS(P53,_xlfn.XLOOKUP($O100,$D$62:$D$68,$E$62:$E$68))</f>
        <v>58.731420000000021</v>
      </c>
      <c r="Q100" s="50" cm="1">
        <f t="array" aca="1" ref="Q100" ca="1">MMS_Swine_AtmosphericDeposition_Equations.VEERG_4_5_1_5__2_TotalNitrogenVolatilisedFromMMS(Q53,_xlfn.XLOOKUP($O100,$D$62:$D$68,$E$62:$E$68))</f>
        <v>62.56173000000004</v>
      </c>
      <c r="R100" s="50" cm="1">
        <f t="array" aca="1" ref="R100" ca="1">MMS_Swine_AtmosphericDeposition_Equations.VEERG_4_5_1_5__2_TotalNitrogenVolatilisedFromMMS(R53,_xlfn.XLOOKUP($O100,$D$62:$D$68,$E$62:$E$68))</f>
        <v>58.731420000000021</v>
      </c>
      <c r="S100" s="50" cm="1">
        <f t="array" aca="1" ref="S100" ca="1">MMS_Swine_AtmosphericDeposition_Equations.VEERG_4_5_1_5__2_TotalNitrogenVolatilisedFromMMS(S53,_xlfn.XLOOKUP($O100,$D$62:$D$68,$E$62:$E$68))</f>
        <v>39.835224000000025</v>
      </c>
      <c r="T100" s="2"/>
    </row>
    <row r="101" spans="3:21" ht="20.100000000000001" customHeight="1" x14ac:dyDescent="0.25">
      <c r="D101" s="55"/>
      <c r="E101" s="55" t="str">
        <f>INDEX(X_Table_Swine_Stage2MMS_From_SolidStorage,3,1)</f>
        <v>Digester / covered lagoons</v>
      </c>
      <c r="F101" s="50" cm="1">
        <f t="array" aca="1" ref="F101" ca="1">MMS_Swine_AtmosphericDeposition_Equations.VEERG_4_5_1_5__2_TotalNitrogenVolatilisedFromMMS(F54,_xlfn.XLOOKUP($E101,$D$62:$D$68,$E$62:$E$68))</f>
        <v>0</v>
      </c>
      <c r="G101" s="50" cm="1">
        <f t="array" aca="1" ref="G101" ca="1">MMS_Swine_AtmosphericDeposition_Equations.VEERG_4_5_1_5__2_TotalNitrogenVolatilisedFromMMS(G54,_xlfn.XLOOKUP($E101,$D$62:$D$68,$E$62:$E$68))</f>
        <v>0</v>
      </c>
      <c r="H101" s="50" cm="1">
        <f t="array" aca="1" ref="H101" ca="1">MMS_Swine_AtmosphericDeposition_Equations.VEERG_4_5_1_5__2_TotalNitrogenVolatilisedFromMMS(H54,_xlfn.XLOOKUP($E101,$D$62:$D$68,$E$62:$E$68))</f>
        <v>0</v>
      </c>
      <c r="I101" s="50" cm="1">
        <f t="array" aca="1" ref="I101" ca="1">MMS_Swine_AtmosphericDeposition_Equations.VEERG_4_5_1_5__2_TotalNitrogenVolatilisedFromMMS(I54,_xlfn.XLOOKUP($E101,$D$62:$D$68,$E$62:$E$68))</f>
        <v>0</v>
      </c>
      <c r="J101" s="2"/>
      <c r="N101" s="55"/>
      <c r="O101" s="55" t="str">
        <f>INDEX(X_Table_Swine_Stage2MMS_From_SolidStorage,3,1)</f>
        <v>Digester / covered lagoons</v>
      </c>
      <c r="P101" s="50" cm="1">
        <f t="array" aca="1" ref="P101" ca="1">MMS_Swine_AtmosphericDeposition_Equations.VEERG_4_5_1_5__2_TotalNitrogenVolatilisedFromMMS(P54,_xlfn.XLOOKUP($O101,$D$62:$D$68,$E$62:$E$68))</f>
        <v>0</v>
      </c>
      <c r="Q101" s="50" cm="1">
        <f t="array" aca="1" ref="Q101" ca="1">MMS_Swine_AtmosphericDeposition_Equations.VEERG_4_5_1_5__2_TotalNitrogenVolatilisedFromMMS(Q54,_xlfn.XLOOKUP($O101,$D$62:$D$68,$E$62:$E$68))</f>
        <v>0</v>
      </c>
      <c r="R101" s="50" cm="1">
        <f t="array" aca="1" ref="R101" ca="1">MMS_Swine_AtmosphericDeposition_Equations.VEERG_4_5_1_5__2_TotalNitrogenVolatilisedFromMMS(R54,_xlfn.XLOOKUP($O101,$D$62:$D$68,$E$62:$E$68))</f>
        <v>0</v>
      </c>
      <c r="S101" s="50" cm="1">
        <f t="array" aca="1" ref="S101" ca="1">MMS_Swine_AtmosphericDeposition_Equations.VEERG_4_5_1_5__2_TotalNitrogenVolatilisedFromMMS(S54,_xlfn.XLOOKUP($O101,$D$62:$D$68,$E$62:$E$68))</f>
        <v>0</v>
      </c>
      <c r="T101" s="2"/>
    </row>
    <row r="102" spans="3:21" ht="20.100000000000001" customHeight="1" x14ac:dyDescent="0.25">
      <c r="D102" s="55"/>
      <c r="E102" s="55" t="str">
        <f>INDEX(X_Table_Swine_Stage2MMS_From_SolidStorage,4,1)</f>
        <v>Deep litter</v>
      </c>
      <c r="F102" s="50" cm="1">
        <f t="array" aca="1" ref="F102" ca="1">MMS_Swine_AtmosphericDeposition_Equations.VEERG_4_5_1_5__2_TotalNitrogenVolatilisedFromMMS(F55,_xlfn.XLOOKUP($E102,$D$62:$D$68,$E$62:$E$68))</f>
        <v>13.348050000000004</v>
      </c>
      <c r="G102" s="50" cm="1">
        <f t="array" aca="1" ref="G102" ca="1">MMS_Swine_AtmosphericDeposition_Equations.VEERG_4_5_1_5__2_TotalNitrogenVolatilisedFromMMS(G55,_xlfn.XLOOKUP($E102,$D$62:$D$68,$E$62:$E$68))</f>
        <v>14.218575000000008</v>
      </c>
      <c r="H102" s="50" cm="1">
        <f t="array" aca="1" ref="H102" ca="1">MMS_Swine_AtmosphericDeposition_Equations.VEERG_4_5_1_5__2_TotalNitrogenVolatilisedFromMMS(H55,_xlfn.XLOOKUP($E102,$D$62:$D$68,$E$62:$E$68))</f>
        <v>13.348050000000004</v>
      </c>
      <c r="I102" s="50" cm="1">
        <f t="array" aca="1" ref="I102" ca="1">MMS_Swine_AtmosphericDeposition_Equations.VEERG_4_5_1_5__2_TotalNitrogenVolatilisedFromMMS(I55,_xlfn.XLOOKUP($E102,$D$62:$D$68,$E$62:$E$68))</f>
        <v>9.0534600000000047</v>
      </c>
      <c r="J102" s="2"/>
      <c r="N102" s="55"/>
      <c r="O102" s="55" t="str">
        <f>INDEX(X_Table_Swine_Stage2MMS_From_SolidStorage,4,1)</f>
        <v>Deep litter</v>
      </c>
      <c r="P102" s="50" cm="1">
        <f t="array" aca="1" ref="P102" ca="1">MMS_Swine_AtmosphericDeposition_Equations.VEERG_4_5_1_5__2_TotalNitrogenVolatilisedFromMMS(P55,_xlfn.XLOOKUP($O102,$D$62:$D$68,$E$62:$E$68))</f>
        <v>13.348050000000004</v>
      </c>
      <c r="Q102" s="50" cm="1">
        <f t="array" aca="1" ref="Q102" ca="1">MMS_Swine_AtmosphericDeposition_Equations.VEERG_4_5_1_5__2_TotalNitrogenVolatilisedFromMMS(Q55,_xlfn.XLOOKUP($O102,$D$62:$D$68,$E$62:$E$68))</f>
        <v>14.218575000000008</v>
      </c>
      <c r="R102" s="50" cm="1">
        <f t="array" aca="1" ref="R102" ca="1">MMS_Swine_AtmosphericDeposition_Equations.VEERG_4_5_1_5__2_TotalNitrogenVolatilisedFromMMS(R55,_xlfn.XLOOKUP($O102,$D$62:$D$68,$E$62:$E$68))</f>
        <v>13.348050000000004</v>
      </c>
      <c r="S102" s="50" cm="1">
        <f t="array" aca="1" ref="S102" ca="1">MMS_Swine_AtmosphericDeposition_Equations.VEERG_4_5_1_5__2_TotalNitrogenVolatilisedFromMMS(S55,_xlfn.XLOOKUP($O102,$D$62:$D$68,$E$62:$E$68))</f>
        <v>9.0534600000000047</v>
      </c>
      <c r="T102" s="2"/>
    </row>
    <row r="103" spans="3:21" ht="20.100000000000001" customHeight="1" x14ac:dyDescent="0.25">
      <c r="D103" s="55"/>
      <c r="E103" s="55" t="str">
        <f>INDEX(X_Table_Swine_Stage2MMS_From_SolidStorage,5,1)</f>
        <v>Pit storage</v>
      </c>
      <c r="F103" s="50" cm="1">
        <f t="array" aca="1" ref="F103" ca="1">MMS_Swine_AtmosphericDeposition_Equations.VEERG_4_5_1_5__2_TotalNitrogenVolatilisedFromMMS(F56,_xlfn.XLOOKUP($E103,$D$62:$D$68,$E$62:$E$68))</f>
        <v>13.348050000000004</v>
      </c>
      <c r="G103" s="50" cm="1">
        <f t="array" aca="1" ref="G103" ca="1">MMS_Swine_AtmosphericDeposition_Equations.VEERG_4_5_1_5__2_TotalNitrogenVolatilisedFromMMS(G56,_xlfn.XLOOKUP($E103,$D$62:$D$68,$E$62:$E$68))</f>
        <v>14.218575000000008</v>
      </c>
      <c r="H103" s="50" cm="1">
        <f t="array" aca="1" ref="H103" ca="1">MMS_Swine_AtmosphericDeposition_Equations.VEERG_4_5_1_5__2_TotalNitrogenVolatilisedFromMMS(H56,_xlfn.XLOOKUP($E103,$D$62:$D$68,$E$62:$E$68))</f>
        <v>13.348050000000004</v>
      </c>
      <c r="I103" s="50" cm="1">
        <f t="array" aca="1" ref="I103" ca="1">MMS_Swine_AtmosphericDeposition_Equations.VEERG_4_5_1_5__2_TotalNitrogenVolatilisedFromMMS(I56,_xlfn.XLOOKUP($E103,$D$62:$D$68,$E$62:$E$68))</f>
        <v>9.0534600000000047</v>
      </c>
      <c r="J103" s="2"/>
      <c r="N103" s="55"/>
      <c r="O103" s="55" t="str">
        <f>INDEX(X_Table_Swine_Stage2MMS_From_SolidStorage,5,1)</f>
        <v>Pit storage</v>
      </c>
      <c r="P103" s="50" cm="1">
        <f t="array" aca="1" ref="P103" ca="1">MMS_Swine_AtmosphericDeposition_Equations.VEERG_4_5_1_5__2_TotalNitrogenVolatilisedFromMMS(P56,_xlfn.XLOOKUP($O103,$D$62:$D$68,$E$62:$E$68))</f>
        <v>13.348050000000004</v>
      </c>
      <c r="Q103" s="50" cm="1">
        <f t="array" aca="1" ref="Q103" ca="1">MMS_Swine_AtmosphericDeposition_Equations.VEERG_4_5_1_5__2_TotalNitrogenVolatilisedFromMMS(Q56,_xlfn.XLOOKUP($O103,$D$62:$D$68,$E$62:$E$68))</f>
        <v>14.218575000000008</v>
      </c>
      <c r="R103" s="50" cm="1">
        <f t="array" aca="1" ref="R103" ca="1">MMS_Swine_AtmosphericDeposition_Equations.VEERG_4_5_1_5__2_TotalNitrogenVolatilisedFromMMS(R56,_xlfn.XLOOKUP($O103,$D$62:$D$68,$E$62:$E$68))</f>
        <v>13.348050000000004</v>
      </c>
      <c r="S103" s="50" cm="1">
        <f t="array" aca="1" ref="S103" ca="1">MMS_Swine_AtmosphericDeposition_Equations.VEERG_4_5_1_5__2_TotalNitrogenVolatilisedFromMMS(S56,_xlfn.XLOOKUP($O103,$D$62:$D$68,$E$62:$E$68))</f>
        <v>9.0534600000000047</v>
      </c>
      <c r="T103" s="2"/>
    </row>
    <row r="104" spans="3:21" ht="20.100000000000001" customHeight="1" x14ac:dyDescent="0.25">
      <c r="D104" s="55"/>
      <c r="E104" s="55" t="str">
        <f>INDEX(X_Table_Swine_Stage2MMS_From_SolidStorage,6,1)</f>
        <v>Direct application</v>
      </c>
      <c r="F104" s="50" t="s">
        <v>165</v>
      </c>
      <c r="G104" s="50" t="s">
        <v>165</v>
      </c>
      <c r="H104" s="50" t="s">
        <v>165</v>
      </c>
      <c r="I104" s="50" t="s">
        <v>165</v>
      </c>
      <c r="N104" s="55"/>
      <c r="O104" s="55" t="str">
        <f>INDEX(X_Table_Swine_Stage2MMS_From_SolidStorage,6,1)</f>
        <v>Direct application</v>
      </c>
      <c r="P104" s="50" t="s">
        <v>165</v>
      </c>
      <c r="Q104" s="50" t="s">
        <v>165</v>
      </c>
      <c r="R104" s="50" t="s">
        <v>165</v>
      </c>
      <c r="S104" s="50" t="s">
        <v>165</v>
      </c>
      <c r="T104" s="2"/>
    </row>
    <row r="105" spans="3:21" ht="20.100000000000001" customHeight="1" x14ac:dyDescent="0.25"/>
    <row r="106" spans="3:21" ht="20.100000000000001" customHeight="1" x14ac:dyDescent="0.25">
      <c r="D106" s="109" t="s">
        <v>254</v>
      </c>
      <c r="E106" s="43">
        <f ca="1">SUM(F73:I104)</f>
        <v>2267.6728942500004</v>
      </c>
      <c r="F106" s="101" t="str">
        <f>$E$11</f>
        <v>kg N</v>
      </c>
      <c r="N106" s="109" t="s">
        <v>254</v>
      </c>
      <c r="O106" s="43">
        <f ca="1">SUM(P73:S104)</f>
        <v>2267.6728942500004</v>
      </c>
      <c r="P106" s="101" t="str">
        <f>$E$11</f>
        <v>kg N</v>
      </c>
    </row>
    <row r="107" spans="3:21" ht="20.100000000000001" customHeight="1" x14ac:dyDescent="0.25"/>
    <row r="108" spans="3:21" ht="20.100000000000001" customHeight="1" x14ac:dyDescent="0.25"/>
    <row r="109" spans="3:21" ht="20.100000000000001" customHeight="1" x14ac:dyDescent="0.25">
      <c r="C109" s="43"/>
      <c r="D109" s="43"/>
      <c r="E109" s="43"/>
      <c r="F109" s="43"/>
      <c r="G109" s="43"/>
      <c r="H109" s="43"/>
      <c r="I109" s="43"/>
      <c r="J109" s="43"/>
      <c r="K109" s="43"/>
      <c r="N109" s="43"/>
      <c r="O109" s="43"/>
      <c r="P109" s="43"/>
      <c r="Q109" s="43"/>
      <c r="R109" s="43"/>
      <c r="S109" s="43"/>
      <c r="T109" s="43"/>
      <c r="U109" s="43"/>
    </row>
    <row r="110" spans="3:21" ht="20.100000000000001" customHeight="1" x14ac:dyDescent="0.25">
      <c r="D110" s="6" t="str" cm="1">
        <f t="array" ref="D110">MMS_Swine_AtmosphericDeposition_Equations.VEERG_4_5_1_5__1_AnnualAtmosphericDepositionEmissionsFromMMS_Title()</f>
        <v>Annual atmospheric deposition emissions from MMS</v>
      </c>
      <c r="N110" s="6" t="str" cm="1">
        <f t="array" ref="N110">MMS_Swine_AtmosphericDeposition_Equations.VEERG_4_5_1_5__1_AnnualAtmosphericDepositionEmissionsFromMMS_Title()</f>
        <v>Annual atmospheric deposition emissions from MMS</v>
      </c>
    </row>
    <row r="111" spans="3:21" ht="20.100000000000001" customHeight="1" x14ac:dyDescent="0.25">
      <c r="D111" s="5" t="str" cm="1">
        <f t="array" ref="D111">MMS_Swine_AtmosphericDeposition_Equations.VEERG_4_5_1_5__1_AnnualAtmosphericDepositionEmissionsFromMMS_Source()</f>
        <v>VEERG 2026: 4.5.1.1, Equation (1)</v>
      </c>
      <c r="N111" s="5" t="str" cm="1">
        <f t="array" ref="N111">MMS_Swine_AtmosphericDeposition_Equations.VEERG_4_5_1_5__1_AnnualAtmosphericDepositionEmissionsFromMMS_Source()</f>
        <v>VEERG 2026: 4.5.1.1, Equation (1)</v>
      </c>
    </row>
    <row r="112" spans="3:21" ht="20.100000000000001" customHeight="1" x14ac:dyDescent="0.25">
      <c r="D112" s="13" t="s">
        <v>23</v>
      </c>
      <c r="E112" s="13" t="str" cm="1">
        <f t="array" aca="1" ref="E112" ca="1">Common_InputFunctions.Utility_DisplayFunctionName(E125)</f>
        <v>=MMS_Swine_AtmosphericDeposition_Equations.VEERG_4_5_1_5__1_AnnualAtmosphericDepositionEmissionsFromMMS</v>
      </c>
      <c r="N112" s="13" t="s">
        <v>23</v>
      </c>
      <c r="O112" s="13" t="str" cm="1">
        <f t="array" aca="1" ref="O112" ca="1">Common_InputFunctions.Utility_DisplayFunctionName(O125)</f>
        <v>=MMS_Swine_AtmosphericDeposition_Equations.VEERG_4_5_1_5__1_AnnualAtmosphericDepositionEmissionsFromMMS</v>
      </c>
    </row>
    <row r="113" spans="4:19" ht="20.100000000000001" customHeight="1" x14ac:dyDescent="0.25"/>
    <row r="114" spans="4:19" ht="20.100000000000001" customHeight="1" x14ac:dyDescent="0.25"/>
    <row r="115" spans="4:19" ht="20.100000000000001" customHeight="1" x14ac:dyDescent="0.25">
      <c r="D115" s="51" t="s">
        <v>26</v>
      </c>
      <c r="E115" s="1" t="str" cm="1">
        <f t="array" ref="E115">MMS_Swine_AtmosphericDeposition_Equations.VEERG_4_5_1_5__1_AnnualAtmosphericDepositionEmissionsFromMMS_Variable()</f>
        <v>E_N2OMMSad</v>
      </c>
      <c r="N115" s="51" t="s">
        <v>26</v>
      </c>
      <c r="O115" s="1" t="str" cm="1">
        <f t="array" ref="O115">MMS_Swine_AtmosphericDeposition_Equations.VEERG_4_5_1_5__1_AnnualAtmosphericDepositionEmissionsFromMMS_Variable()</f>
        <v>E_N2OMMSad</v>
      </c>
    </row>
    <row r="116" spans="4:19" ht="20.100000000000001" customHeight="1" x14ac:dyDescent="0.25">
      <c r="D116" s="51" t="s">
        <v>16</v>
      </c>
      <c r="E116" s="52" t="str" cm="1">
        <f t="array" ref="E116">MMS_Swine_AtmosphericDeposition_Equations.VEERG_4_5_1_5__1_AnnualAtmosphericDepositionEmissionsFromMMS_Unit()</f>
        <v>t N2O</v>
      </c>
      <c r="N116" s="51" t="s">
        <v>16</v>
      </c>
      <c r="O116" s="52" t="str" cm="1">
        <f t="array" ref="O116">MMS_Swine_AtmosphericDeposition_Equations.VEERG_4_5_1_5__1_AnnualAtmosphericDepositionEmissionsFromMMS_Unit()</f>
        <v>t N2O</v>
      </c>
    </row>
    <row r="117" spans="4:19" ht="20.100000000000001" customHeight="1" x14ac:dyDescent="0.25"/>
    <row r="118" spans="4:19" ht="20.100000000000001" customHeight="1" x14ac:dyDescent="0.25">
      <c r="D118" s="55" t="str" cm="1">
        <f t="array" ref="D118:E123">Common_InputFunctions.Utility_DisplayArguments_1_2(MMS_Swine_AtmosphericDeposition_Equations.VEERG_4_5_1_5__1_AnnualAtmosphericDepositionEmissionsFromMMS_Arguments())</f>
        <v>MMS_ATMOS</v>
      </c>
      <c r="E118" s="56" t="str">
        <v>mass of N volatilised from MMS</v>
      </c>
      <c r="F118" s="57"/>
      <c r="G118" s="136" t="str" cm="1">
        <f t="array" ref="G118:H123">Common_InputFunctions.Utility_DisplayArguments_3_4(MMS_Swine_AtmosphericDeposition_Equations.VEERG_4_5_1_5__1_AnnualAtmosphericDepositionEmissionsFromMMS_Arguments())</f>
        <v>kg N</v>
      </c>
      <c r="H118" s="131" t="str">
        <v>Calculated from 4.5.1.5 (2)</v>
      </c>
      <c r="I118" s="136">
        <f ca="1">$E$106</f>
        <v>2267.6728942500004</v>
      </c>
      <c r="N118" s="55" t="str" cm="1">
        <f t="array" ref="N118:O123">Common_InputFunctions.Utility_DisplayArguments_1_2(MMS_Swine_AtmosphericDeposition_Equations.VEERG_4_5_1_5__1_AnnualAtmosphericDepositionEmissionsFromMMS_Arguments())</f>
        <v>MMS_ATMOS</v>
      </c>
      <c r="O118" s="56" t="str">
        <v>mass of N volatilised from MMS</v>
      </c>
      <c r="P118" s="57"/>
      <c r="Q118" s="136" t="str" cm="1">
        <f t="array" ref="Q118:R123">Common_InputFunctions.Utility_DisplayArguments_3_4(MMS_Swine_AtmosphericDeposition_Equations.VEERG_4_5_1_5__1_AnnualAtmosphericDepositionEmissionsFromMMS_Arguments())</f>
        <v>kg N</v>
      </c>
      <c r="R118" s="131" t="str">
        <v>Calculated from 4.5.1.5 (2)</v>
      </c>
      <c r="S118" s="55">
        <f ca="1">$E$106</f>
        <v>2267.6728942500004</v>
      </c>
    </row>
    <row r="119" spans="4:19" ht="20.100000000000001" customHeight="1" x14ac:dyDescent="0.25">
      <c r="D119" s="55" t="str">
        <v>EF_N2O</v>
      </c>
      <c r="E119" s="56" t="str">
        <v>nitrous oxide emission factor for atmospheric deposition</v>
      </c>
      <c r="F119" s="57"/>
      <c r="G119" s="136" t="str">
        <v>kg N2O-N/kg N</v>
      </c>
      <c r="H119" s="131" t="str">
        <v>Constant</v>
      </c>
      <c r="I119" s="136">
        <f>Common_InputFunctions.Utility_LookupN2OEFFromProdIrrigationRainfall(I121,I122,I123,Table_SourceData_Common_EFN2O[Production system only],Table_SourceData_Common_EFN2O[Irrigation method],Table_SourceData_Common_EFN2O[Rainfall zone],Table_SourceData_Common_EFN2O[EFN2O])</f>
        <v>7.0000000000000001E-3</v>
      </c>
      <c r="N119" s="55" t="str">
        <v>EF_N2O</v>
      </c>
      <c r="O119" s="56" t="str">
        <v>nitrous oxide emission factor for atmospheric deposition</v>
      </c>
      <c r="P119" s="57"/>
      <c r="Q119" s="136" t="str">
        <v>kg N2O-N/kg N</v>
      </c>
      <c r="R119" s="131" t="str">
        <v>Constant</v>
      </c>
      <c r="S119" s="55"/>
    </row>
    <row r="120" spans="4:19" ht="20.100000000000001" customHeight="1" x14ac:dyDescent="0.25">
      <c r="D120" s="55" t="str">
        <v>C_N2O</v>
      </c>
      <c r="E120" s="56" t="str">
        <v>factor to convert elemental mass of N2O to molecular mass</v>
      </c>
      <c r="F120" s="57"/>
      <c r="G120" s="136" t="str">
        <v/>
      </c>
      <c r="H120" s="131" t="str">
        <v>Constant</v>
      </c>
      <c r="I120" s="136">
        <f>Common_InputFunctions.Utility_LookupValueInTableNumber("N2O",Table_GasToMolecularConversionFactor[Gas],Table_GasToMolecularConversionFactor[Conversion factor combined])</f>
        <v>1.5714285714285714</v>
      </c>
      <c r="N120" s="55" t="str">
        <v>C_N2O</v>
      </c>
      <c r="O120" s="56" t="str">
        <v>factor to convert elemental mass of N2O to molecular mass</v>
      </c>
      <c r="P120" s="57"/>
      <c r="Q120" s="136" t="str">
        <v/>
      </c>
      <c r="R120" s="131" t="str">
        <v>Constant</v>
      </c>
      <c r="S120" s="55"/>
    </row>
    <row r="121" spans="4:19" ht="20.100000000000001" customHeight="1" x14ac:dyDescent="0.25">
      <c r="D121" s="55" t="str">
        <v>j</v>
      </c>
      <c r="E121" s="56" t="str">
        <v>production system</v>
      </c>
      <c r="F121" s="57"/>
      <c r="G121" s="136" t="str">
        <v/>
      </c>
      <c r="H121" s="132" t="str">
        <v>Input</v>
      </c>
      <c r="I121" s="136" t="str">
        <f>X_Cell_Swine_ManureAppliedProductionSystem</f>
        <v>Crop</v>
      </c>
      <c r="N121" s="55" t="str">
        <v>j</v>
      </c>
      <c r="O121" s="56" t="str">
        <v>production system</v>
      </c>
      <c r="P121" s="57"/>
      <c r="Q121" s="136" t="str">
        <v/>
      </c>
      <c r="R121" s="132" t="str">
        <v>Input</v>
      </c>
      <c r="S121" s="55"/>
    </row>
    <row r="122" spans="4:19" ht="20.100000000000001" customHeight="1" x14ac:dyDescent="0.25">
      <c r="D122" s="55" t="str">
        <v>ir</v>
      </c>
      <c r="E122" s="56" t="str">
        <v>irrigation method</v>
      </c>
      <c r="F122" s="57"/>
      <c r="G122" s="136" t="str">
        <v/>
      </c>
      <c r="H122" s="132" t="str">
        <v>Input</v>
      </c>
      <c r="I122" s="136" t="str">
        <f>X_Cell_Swine_ManureAppliedIrrigationMethod</f>
        <v>Sprinkler irrigation</v>
      </c>
      <c r="N122" s="55" t="str">
        <v>ir</v>
      </c>
      <c r="O122" s="56" t="str">
        <v>irrigation method</v>
      </c>
      <c r="P122" s="57"/>
      <c r="Q122" s="136" t="str">
        <v/>
      </c>
      <c r="R122" s="132" t="str">
        <v>Input</v>
      </c>
      <c r="S122" s="55"/>
    </row>
    <row r="123" spans="4:19" ht="20.100000000000001" customHeight="1" x14ac:dyDescent="0.25">
      <c r="D123" s="55" t="str">
        <v>r</v>
      </c>
      <c r="E123" s="56" t="str">
        <v>rainfall region</v>
      </c>
      <c r="F123" s="57"/>
      <c r="G123" s="136" t="str">
        <v/>
      </c>
      <c r="H123" s="132" t="str">
        <v>Input</v>
      </c>
      <c r="I123" s="136" t="str">
        <f>X_Cell_Site_RainfallZone</f>
        <v>High rainfall</v>
      </c>
      <c r="N123" s="55" t="str">
        <v>r</v>
      </c>
      <c r="O123" s="56" t="str">
        <v>rainfall region</v>
      </c>
      <c r="P123" s="57"/>
      <c r="Q123" s="136" t="str">
        <v/>
      </c>
      <c r="R123" s="132" t="str">
        <v>Input</v>
      </c>
      <c r="S123" s="55"/>
    </row>
    <row r="124" spans="4:19" ht="20.100000000000001" customHeight="1" x14ac:dyDescent="0.25"/>
    <row r="125" spans="4:19" ht="20.100000000000001" customHeight="1" x14ac:dyDescent="0.25">
      <c r="D125" s="97" t="s">
        <v>251</v>
      </c>
      <c r="E125" s="98" cm="1">
        <f t="array" aca="1" ref="E125" ca="1">MMS_Swine_AtmosphericDeposition_Equations.VEERG_4_5_1_5__1_AnnualAtmosphericDepositionEmissionsFromMMS(I118,I119,I120)</f>
        <v>2.4944401836750004E-2</v>
      </c>
      <c r="F125" s="99" t="str">
        <f>E116</f>
        <v>t N2O</v>
      </c>
      <c r="N125" s="97" t="s">
        <v>251</v>
      </c>
      <c r="O125" s="98" cm="1">
        <f t="array" aca="1" ref="O125" ca="1">MMS_Swine_AtmosphericDeposition_Equations.VEERG_4_5_1_5__1_AnnualAtmosphericDepositionEmissionsFromMMS(S118,I119,I120)</f>
        <v>2.4944401836750004E-2</v>
      </c>
      <c r="P125" s="99" t="str">
        <f>O116</f>
        <v>t N2O</v>
      </c>
    </row>
    <row r="126" spans="4:19" ht="20.100000000000001" customHeight="1" x14ac:dyDescent="0.25"/>
    <row r="127" spans="4:19" ht="20.100000000000001" customHeight="1" x14ac:dyDescent="0.25">
      <c r="D127" s="55" t="str" cm="1">
        <f t="array" ref="D127:E128">Common_Equations.Common_ConvertN2OToCO2e_Arguments()</f>
        <v>EN2O</v>
      </c>
      <c r="E127" s="56" t="str">
        <v>Nitrous oxide emissions (t N2O)</v>
      </c>
      <c r="F127" s="100"/>
      <c r="G127" s="50">
        <f ca="1">E125</f>
        <v>2.4944401836750004E-2</v>
      </c>
      <c r="N127" s="55" t="str" cm="1">
        <f t="array" ref="N127:O128">Common_Equations.Common_ConvertN2OToCO2e_Arguments()</f>
        <v>EN2O</v>
      </c>
      <c r="O127" s="56" t="str">
        <v>Nitrous oxide emissions (t N2O)</v>
      </c>
      <c r="P127" s="100"/>
      <c r="Q127" s="50">
        <f ca="1">O125</f>
        <v>2.4944401836750004E-2</v>
      </c>
    </row>
    <row r="128" spans="4:19" ht="20.100000000000001" customHeight="1" x14ac:dyDescent="0.25">
      <c r="D128" s="55" t="str">
        <v>GWPN2O</v>
      </c>
      <c r="E128" s="56" t="str">
        <v>Global warming potential for nitrous oxide (t CO2-e / t N2O)</v>
      </c>
      <c r="F128" s="100"/>
      <c r="G128" s="50">
        <f>Common_InputFunctions.Utility_LookupValueInTableNumber("N2O",Table_GWPData[Gas],Table_GWPData[CO2-e factor])</f>
        <v>265</v>
      </c>
      <c r="N128" s="55" t="str">
        <v>GWPN2O</v>
      </c>
      <c r="O128" s="56" t="str">
        <v>Global warming potential for nitrous oxide (t CO2-e / t N2O)</v>
      </c>
      <c r="P128" s="100"/>
      <c r="Q128" s="50">
        <f>Common_InputFunctions.Utility_LookupValueInTableNumber("N2O",Table_GWPData[Gas],Table_GWPData[CO2-e factor])</f>
        <v>265</v>
      </c>
    </row>
    <row r="129" spans="4:16" ht="20.100000000000001" customHeight="1" x14ac:dyDescent="0.25"/>
    <row r="130" spans="4:16" ht="20.100000000000001" customHeight="1" x14ac:dyDescent="0.25">
      <c r="D130" s="43" t="s">
        <v>94</v>
      </c>
      <c r="E130" s="43" cm="1">
        <f t="array" aca="1" ref="E130" ca="1">Common_Equations.Common_ConvertN2OToCO2e(G127,G128)</f>
        <v>6.6102664867387508</v>
      </c>
      <c r="F130" s="101" t="str" cm="1">
        <f t="array" ref="F130">Common_Equations.Common_ConvertN2OToCO2e_Unit()</f>
        <v>t CO2e</v>
      </c>
      <c r="N130" s="43" t="s">
        <v>94</v>
      </c>
      <c r="O130" s="43" cm="1">
        <f t="array" aca="1" ref="O130" ca="1">Common_Equations.Common_ConvertN2OToCO2e(Q127,Q128)</f>
        <v>6.6102664867387508</v>
      </c>
      <c r="P130" s="101" t="str" cm="1">
        <f t="array" ref="P130">Common_Equations.Common_ConvertN2OToCO2e_Unit()</f>
        <v>t CO2e</v>
      </c>
    </row>
    <row r="131" spans="4:16" ht="20.100000000000001" customHeight="1" x14ac:dyDescent="0.25"/>
    <row r="132" spans="4:16" ht="20.100000000000001" customHeight="1" x14ac:dyDescent="0.25"/>
    <row r="133" spans="4:16" ht="20.100000000000001" customHeight="1" x14ac:dyDescent="0.25"/>
    <row r="134" spans="4:16" ht="20.100000000000001" customHeight="1" x14ac:dyDescent="0.25"/>
    <row r="135" spans="4:16" ht="20.100000000000001" customHeight="1" x14ac:dyDescent="0.25"/>
    <row r="136" spans="4:16" ht="20.100000000000001" customHeight="1" x14ac:dyDescent="0.25"/>
    <row r="137" spans="4:16" ht="20.100000000000001" customHeight="1" x14ac:dyDescent="0.25"/>
    <row r="138" spans="4:16" ht="20.100000000000001" customHeight="1" x14ac:dyDescent="0.25"/>
    <row r="139" spans="4:16" ht="20.100000000000001" customHeight="1" x14ac:dyDescent="0.25"/>
    <row r="140" spans="4:16" ht="20.100000000000001" customHeight="1" x14ac:dyDescent="0.25"/>
    <row r="141" spans="4:16" ht="20.100000000000001" customHeight="1" x14ac:dyDescent="0.25"/>
    <row r="142" spans="4:16" ht="20.100000000000001" customHeight="1" x14ac:dyDescent="0.25"/>
    <row r="143" spans="4:16" ht="20.100000000000001" customHeight="1" x14ac:dyDescent="0.25"/>
    <row r="144" spans="4:16"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sheetPr>
    <tabColor rgb="FF008000"/>
  </sheetPr>
  <dimension ref="A1:S165"/>
  <sheetViews>
    <sheetView showGridLines="0" topLeftCell="A10" zoomScaleNormal="100" workbookViewId="0">
      <selection activeCell="I15" sqref="I1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4" t="e" vm="1">
        <v>#VALUE!</v>
      </c>
      <c r="C1" s="8" t="s">
        <v>279</v>
      </c>
      <c r="K1"/>
    </row>
    <row r="2" spans="1:19" s="9" customFormat="1" ht="20.100000000000001" customHeight="1" x14ac:dyDescent="0.25">
      <c r="A2"/>
      <c r="K2"/>
    </row>
    <row r="3" spans="1:19" ht="20.100000000000001" customHeight="1" x14ac:dyDescent="0.25">
      <c r="A3" s="17" t="str">
        <f>HYPERLINK("#'Home'!A1", "Home")</f>
        <v>Home</v>
      </c>
      <c r="C3" s="4"/>
      <c r="D3" s="4" t="s">
        <v>95</v>
      </c>
      <c r="E3" s="4"/>
      <c r="F3" s="4"/>
      <c r="G3" s="4"/>
      <c r="H3" s="4"/>
      <c r="I3" s="4"/>
      <c r="J3" s="4"/>
      <c r="L3" s="4"/>
      <c r="M3" s="4" t="s">
        <v>96</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MMS_Swine_LeachingAndRunoff_Equations.VEERG_4_5_1_7__2_MassOfNitrogenLostToLeachingAndRunoffFromDrylotMMS_Title()</f>
        <v>Mass of nitrogen lost to leaching and runoff from drylot MMS</v>
      </c>
    </row>
    <row r="6" spans="1:19" ht="20.100000000000001" customHeight="1" x14ac:dyDescent="0.25">
      <c r="D6" s="5" t="str" cm="1">
        <f t="array" ref="D6">MMS_Swine_LeachingAndRunoff_Equations.VEERG_4_5_1_7__2_MassOfNitrogenLostToLeachingAndRunoffFromDrylotMMS_Source()</f>
        <v>VEERG 2026: 4.5.1.7, Equation (2)</v>
      </c>
    </row>
    <row r="7" spans="1:19" ht="20.100000000000001" customHeight="1" x14ac:dyDescent="0.25">
      <c r="D7" s="13" t="s">
        <v>23</v>
      </c>
      <c r="E7" s="13" t="str" cm="1">
        <f t="array" aca="1" ref="E7" ca="1">Common_InputFunctions.Utility_DisplayFunctionName($E$28)</f>
        <v>=MMS_Swine_LeachingAndRunoff_Equations.VEERG_4_5_1_7__2_MassOfNitrogenLostToLeachingAndRunoffFromDrylotMMS</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Swine'!A1", "Swine")</f>
        <v>Swine</v>
      </c>
      <c r="D10" s="51" t="s">
        <v>26</v>
      </c>
      <c r="E10" s="1" t="str" cm="1">
        <f t="array" ref="E10">MMS_Swine_LeachingAndRunoff_Equations.VEERG_4_5_1_7__2_MassOfNitrogenLostToLeachingAndRunoffFromDrylotMMS_Variable()</f>
        <v>MNLeach_jm5</v>
      </c>
      <c r="F10" s="103" t="s">
        <v>266</v>
      </c>
    </row>
    <row r="11" spans="1:19" ht="20.100000000000001" customHeight="1" x14ac:dyDescent="0.25">
      <c r="D11" s="51" t="s">
        <v>16</v>
      </c>
      <c r="E11" s="52" t="str" cm="1">
        <f t="array" ref="E11">MMS_Swine_LeachingAndRunoff_Equations.VEERG_4_5_1_7__2_MassOfNitrogenLostToLeachingAndRunoffFromDrylotMMS_Unit()</f>
        <v>kg N</v>
      </c>
      <c r="F11" s="103" t="s">
        <v>271</v>
      </c>
    </row>
    <row r="12" spans="1:19" ht="20.100000000000001" customHeight="1" x14ac:dyDescent="0.25"/>
    <row r="13" spans="1:19" ht="20.100000000000001" customHeight="1" x14ac:dyDescent="0.25">
      <c r="A13" s="18" t="s">
        <v>71</v>
      </c>
      <c r="D13" s="136" t="str" cm="1">
        <f t="array" ref="D13:E18">Common_InputFunctions.Utility_DisplayArguments_1_2(MMS_Swine_LeachingAndRunoff_Equations.VEERG_4_5_1_7__2_MassOfNitrogenLostToLeachingAndRunoffFromDrylotMMS_Arguments())</f>
        <v>MN_jm5T1</v>
      </c>
      <c r="E13" s="138" t="str">
        <v>nitrogen in treatment stage 1 drylot MMS</v>
      </c>
      <c r="F13" s="137"/>
      <c r="G13" s="136" t="str" cm="1">
        <f t="array" ref="G13:H18">Common_InputFunctions.Utility_DisplayArguments_3_4(MMS_Swine_LeachingAndRunoff_Equations.VEERG_4_5_1_7__2_MassOfNitrogenLostToLeachingAndRunoffFromDrylotMMS_Arguments())</f>
        <v>kg N</v>
      </c>
      <c r="H13" s="131" t="str">
        <v>Calculated from 4.5.1.3 (2)</v>
      </c>
      <c r="I13" s="135" t="str" cm="1">
        <f t="array" aca="1" ref="I13" ca="1">HYPERLINK(Common_InputFunctions.Utility_SourceHyperlink(D20), D20)</f>
        <v>M1_Table_MN_j_m-5_T-1</v>
      </c>
    </row>
    <row r="14" spans="1:19" ht="20.100000000000001" customHeight="1" x14ac:dyDescent="0.25">
      <c r="A14" s="17" t="str">
        <f>HYPERLINK("#'4.5.1.1-2 Methane'!A1", "4.5.1.1-2 Methane")</f>
        <v>4.5.1.1-2 Methane</v>
      </c>
      <c r="D14" s="136" t="str">
        <v>FracWET</v>
      </c>
      <c r="E14" s="138" t="str">
        <v>fraction of N available for leaching and runoff</v>
      </c>
      <c r="F14" s="137"/>
      <c r="G14" s="136" t="str">
        <v>fraction</v>
      </c>
      <c r="H14" s="131" t="str">
        <v>Constant</v>
      </c>
      <c r="I14" s="136">
        <f>Common_InputFunctions.CommonCropping_GetFracWET(I16,I18,Table_SourceData_FracWET[Is in leaching zone],Table_SourceData_FracWET[FracWET],Table_SourceData_FracWETIrrigation[Irrigation type i],Table_SourceData_FracWETIrrigation[FracWET])</f>
        <v>1</v>
      </c>
    </row>
    <row r="15" spans="1:19" ht="20.100000000000001" customHeight="1" x14ac:dyDescent="0.25">
      <c r="A15" s="17" t="str">
        <f>HYPERLINK("#'4.5.1.3-4 Direct N2O'!A1", "4.5.1.3-4 Direct N2O")</f>
        <v>4.5.1.3-4 Direct N2O</v>
      </c>
      <c r="D15" s="136" t="str">
        <v>FracLEACH_MS</v>
      </c>
      <c r="E15" s="138" t="str">
        <v>fraction of N lost through leaching and runoff</v>
      </c>
      <c r="F15" s="137"/>
      <c r="G15" s="136" t="str">
        <v>fraction</v>
      </c>
      <c r="H15" s="131" t="str">
        <v>Constant</v>
      </c>
      <c r="I15" s="136">
        <f>SourceData_Swine_FracLEACH_DrylotMMS_Data</f>
        <v>0.02</v>
      </c>
    </row>
    <row r="16" spans="1:19" ht="20.100000000000001" customHeight="1" x14ac:dyDescent="0.25">
      <c r="A16" s="17" t="str">
        <f>HYPERLINK("#'4.5.1.5-6 Atmos Dep'!A1", "4.5.1.5-6 Atmos Dep")</f>
        <v>4.5.1.5-6 Atmos Dep</v>
      </c>
      <c r="D16" s="136" t="str">
        <v>z</v>
      </c>
      <c r="E16" s="138" t="str">
        <v>location in leaching zone</v>
      </c>
      <c r="F16" s="137"/>
      <c r="G16" s="136" t="str">
        <v/>
      </c>
      <c r="H16" s="132" t="str">
        <v>Input</v>
      </c>
      <c r="I16" s="136" t="str">
        <f>X_Cell_Site_LeachingZone</f>
        <v>NO - Not in leaching zone</v>
      </c>
    </row>
    <row r="17" spans="1:19" ht="20.100000000000001" customHeight="1" x14ac:dyDescent="0.25">
      <c r="A17" s="147" t="str">
        <f>HYPERLINK("#'4.5.1.7-8 Leaching and runoff'!A1", "4.5.1.7-8 Leaching and runoff")</f>
        <v>4.5.1.7-8 Leaching and runoff</v>
      </c>
      <c r="D17" s="136" t="str">
        <v>j</v>
      </c>
      <c r="E17" s="138" t="str">
        <v>production system</v>
      </c>
      <c r="F17" s="137"/>
      <c r="G17" s="136" t="str">
        <v/>
      </c>
      <c r="H17" s="132" t="str">
        <v>Input</v>
      </c>
      <c r="I17" s="136" t="str">
        <f>X_Cell_Swine_ManureAppliedProductionSystem</f>
        <v>Crop</v>
      </c>
    </row>
    <row r="18" spans="1:19" ht="20.100000000000001" customHeight="1" x14ac:dyDescent="0.25">
      <c r="A18" s="17" t="str">
        <f>HYPERLINK("#'4.5.1.9 Manure applied to soils'!A1", "4.5.1.9 Manure applied to soils")</f>
        <v>4.5.1.9 Manure applied to soils</v>
      </c>
      <c r="D18" s="136" t="str">
        <v>ir</v>
      </c>
      <c r="E18" s="138" t="str">
        <v>irrigation method</v>
      </c>
      <c r="F18" s="137"/>
      <c r="G18" s="136" t="str">
        <v/>
      </c>
      <c r="H18" s="132" t="str">
        <v>Input</v>
      </c>
      <c r="I18" s="136" t="str">
        <f>X_Cell_Swine_ManureAppliedIrrigationMethod</f>
        <v>Sprinkler irrigation</v>
      </c>
    </row>
    <row r="19" spans="1:19" ht="20.100000000000001" customHeight="1" x14ac:dyDescent="0.25"/>
    <row r="20" spans="1:19" ht="20.100000000000001" customHeight="1" x14ac:dyDescent="0.25">
      <c r="D20" s="95" t="s">
        <v>267</v>
      </c>
      <c r="M20" s="95" t="s">
        <v>269</v>
      </c>
    </row>
    <row r="21" spans="1:19" ht="20.100000000000001" customHeight="1" x14ac:dyDescent="0.25">
      <c r="A21" s="145" t="s">
        <v>1</v>
      </c>
      <c r="D21" s="94" t="s">
        <v>268</v>
      </c>
      <c r="M21" s="94" t="s">
        <v>270</v>
      </c>
    </row>
    <row r="22" spans="1:19" ht="20.100000000000001" customHeight="1" x14ac:dyDescent="0.25">
      <c r="A22" s="17" t="str">
        <f>HYPERLINK("#'Constants - Swine'!A1", "Constants - Swine")</f>
        <v>Constants - Swine</v>
      </c>
      <c r="D22" s="49" t="s">
        <v>156</v>
      </c>
      <c r="E22" s="49" t="s">
        <v>135</v>
      </c>
      <c r="F22" s="49" t="s">
        <v>136</v>
      </c>
      <c r="G22" s="49" t="s">
        <v>137</v>
      </c>
      <c r="H22" s="49" t="s">
        <v>195</v>
      </c>
      <c r="M22" s="49" t="s">
        <v>156</v>
      </c>
      <c r="N22" s="49" t="s">
        <v>135</v>
      </c>
      <c r="O22" s="49" t="s">
        <v>136</v>
      </c>
      <c r="P22" s="49" t="s">
        <v>137</v>
      </c>
      <c r="Q22" s="49" t="s">
        <v>195</v>
      </c>
    </row>
    <row r="23" spans="1:19" ht="20.100000000000001" customHeight="1" x14ac:dyDescent="0.25">
      <c r="A23" s="17" t="str">
        <f>HYPERLINK("#'Constants - Common'!A1", "Constants - Common")</f>
        <v>Constants - Common</v>
      </c>
      <c r="D23" s="50" t="str">
        <f>INDEX(X_Table_Swine_Stage1MMS_Drylot,2,1)</f>
        <v>Drylot (feed pad)</v>
      </c>
      <c r="E23" s="50">
        <f ca="1">'4.5.1.3-4 Direct N2O'!E119</f>
        <v>201.47999999999996</v>
      </c>
      <c r="F23" s="50">
        <f ca="1">'4.5.1.3-4 Direct N2O'!F119</f>
        <v>214.62000000000003</v>
      </c>
      <c r="G23" s="50">
        <f ca="1">'4.5.1.3-4 Direct N2O'!G119</f>
        <v>201.47999999999996</v>
      </c>
      <c r="H23" s="50">
        <f ca="1">'4.5.1.3-4 Direct N2O'!H119</f>
        <v>136.65599999999998</v>
      </c>
      <c r="I23" s="2" t="str">
        <f>$G$13</f>
        <v>kg N</v>
      </c>
      <c r="M23" s="50" t="str">
        <f>INDEX(X_Table_Swine_Stage1MMS_Drylot,2,1)</f>
        <v>Drylot (feed pad)</v>
      </c>
      <c r="N23" s="50">
        <f ca="1">'4.5.1.3-4 Direct N2O'!O119</f>
        <v>201.47999999999996</v>
      </c>
      <c r="O23" s="50">
        <f ca="1">'4.5.1.3-4 Direct N2O'!P119</f>
        <v>214.62000000000003</v>
      </c>
      <c r="P23" s="50">
        <f ca="1">'4.5.1.3-4 Direct N2O'!Q119</f>
        <v>201.47999999999996</v>
      </c>
      <c r="Q23" s="50">
        <f ca="1">'4.5.1.3-4 Direct N2O'!R119</f>
        <v>136.65599999999998</v>
      </c>
      <c r="R23" s="2" t="str">
        <f>$G$13</f>
        <v>kg N</v>
      </c>
    </row>
    <row r="24" spans="1:19" ht="20.100000000000001" customHeight="1" x14ac:dyDescent="0.25">
      <c r="A24" s="17" t="str">
        <f>HYPERLINK("#'Constants - Livestock'!A1", "Constants - Livestock")</f>
        <v>Constants - Livestock</v>
      </c>
    </row>
    <row r="25" spans="1:19" ht="20.100000000000001" customHeight="1" x14ac:dyDescent="0.25">
      <c r="A25" s="17" t="str">
        <f>HYPERLINK("#'Acknowledgements'!A1", "Acknowledgements")</f>
        <v>Acknowledgements</v>
      </c>
      <c r="D25" s="95" t="s">
        <v>272</v>
      </c>
      <c r="M25" s="95" t="s">
        <v>272</v>
      </c>
    </row>
    <row r="26" spans="1:19" ht="20.100000000000001" customHeight="1" x14ac:dyDescent="0.25">
      <c r="A26" s="17" t="str">
        <f>HYPERLINK("#'Tab template'!A1", "Tab template")</f>
        <v>Tab template</v>
      </c>
      <c r="D26" s="94" t="s">
        <v>273</v>
      </c>
      <c r="M26" s="94" t="s">
        <v>273</v>
      </c>
    </row>
    <row r="27" spans="1:19" ht="20.100000000000001" customHeight="1" x14ac:dyDescent="0.25">
      <c r="D27" s="49" t="s">
        <v>156</v>
      </c>
      <c r="E27" s="49" t="s">
        <v>135</v>
      </c>
      <c r="F27" s="49" t="s">
        <v>136</v>
      </c>
      <c r="G27" s="49" t="s">
        <v>137</v>
      </c>
      <c r="H27" s="49" t="s">
        <v>195</v>
      </c>
      <c r="M27" s="49" t="s">
        <v>156</v>
      </c>
      <c r="N27" s="49" t="s">
        <v>135</v>
      </c>
      <c r="O27" s="49" t="s">
        <v>136</v>
      </c>
      <c r="P27" s="49" t="s">
        <v>137</v>
      </c>
      <c r="Q27" s="49" t="s">
        <v>195</v>
      </c>
    </row>
    <row r="28" spans="1:19" ht="20.100000000000001" customHeight="1" x14ac:dyDescent="0.25">
      <c r="D28" s="50" t="str">
        <f>INDEX(X_Table_Swine_Stage1MMS_Drylot,2,1)</f>
        <v>Drylot (feed pad)</v>
      </c>
      <c r="E28" s="50" cm="1">
        <f t="array" aca="1" ref="E28" ca="1">MMS_Swine_LeachingAndRunoff_Equations.VEERG_4_5_1_7__2_MassOfNitrogenLostToLeachingAndRunoffFromDrylotMMS(E23,$I$14,$I$15)</f>
        <v>4.0295999999999994</v>
      </c>
      <c r="F28" s="50" cm="1">
        <f t="array" aca="1" ref="F28" ca="1">MMS_Swine_LeachingAndRunoff_Equations.VEERG_4_5_1_7__2_MassOfNitrogenLostToLeachingAndRunoffFromDrylotMMS(F23,$I$14,$I$15)</f>
        <v>4.2924000000000007</v>
      </c>
      <c r="G28" s="50" cm="1">
        <f t="array" aca="1" ref="G28" ca="1">MMS_Swine_LeachingAndRunoff_Equations.VEERG_4_5_1_7__2_MassOfNitrogenLostToLeachingAndRunoffFromDrylotMMS(G23,$I$14,$I$15)</f>
        <v>4.0295999999999994</v>
      </c>
      <c r="H28" s="50" cm="1">
        <f t="array" aca="1" ref="H28" ca="1">MMS_Swine_LeachingAndRunoff_Equations.VEERG_4_5_1_7__2_MassOfNitrogenLostToLeachingAndRunoffFromDrylotMMS(H23,$I$14,$I$15)</f>
        <v>2.7331199999999995</v>
      </c>
      <c r="I28" s="2" t="str">
        <f>$E$11</f>
        <v>kg N</v>
      </c>
      <c r="M28" s="50" t="str">
        <f>INDEX(X_Table_Swine_Stage1MMS_Drylot,2,1)</f>
        <v>Drylot (feed pad)</v>
      </c>
      <c r="N28" s="50" cm="1">
        <f t="array" aca="1" ref="N28" ca="1">MMS_Swine_LeachingAndRunoff_Equations.VEERG_4_5_1_7__2_MassOfNitrogenLostToLeachingAndRunoffFromDrylotMMS(N23,$I$14,$I$15)</f>
        <v>4.0295999999999994</v>
      </c>
      <c r="O28" s="50" cm="1">
        <f t="array" aca="1" ref="O28" ca="1">MMS_Swine_LeachingAndRunoff_Equations.VEERG_4_5_1_7__2_MassOfNitrogenLostToLeachingAndRunoffFromDrylotMMS(O23,$I$14,$I$15)</f>
        <v>4.2924000000000007</v>
      </c>
      <c r="P28" s="50" cm="1">
        <f t="array" aca="1" ref="P28" ca="1">MMS_Swine_LeachingAndRunoff_Equations.VEERG_4_5_1_7__2_MassOfNitrogenLostToLeachingAndRunoffFromDrylotMMS(P23,$I$14,$I$15)</f>
        <v>4.0295999999999994</v>
      </c>
      <c r="Q28" s="50" cm="1">
        <f t="array" aca="1" ref="Q28" ca="1">MMS_Swine_LeachingAndRunoff_Equations.VEERG_4_5_1_7__2_MassOfNitrogenLostToLeachingAndRunoffFromDrylotMMS(Q23,$I$14,$I$15)</f>
        <v>2.7331199999999995</v>
      </c>
      <c r="R28" s="2" t="str">
        <f>$E$11</f>
        <v>kg N</v>
      </c>
    </row>
    <row r="29" spans="1:19" ht="20.100000000000001" customHeight="1" x14ac:dyDescent="0.25"/>
    <row r="30" spans="1:19" ht="20.100000000000001" customHeight="1" x14ac:dyDescent="0.25"/>
    <row r="31" spans="1:19" ht="20.100000000000001" customHeight="1" x14ac:dyDescent="0.25">
      <c r="C31" s="43"/>
      <c r="D31" s="43"/>
      <c r="E31" s="43"/>
      <c r="F31" s="43"/>
      <c r="G31" s="43"/>
      <c r="H31" s="43"/>
      <c r="I31" s="43"/>
      <c r="J31" s="43"/>
      <c r="L31" s="43"/>
      <c r="M31" s="43"/>
      <c r="N31" s="43"/>
      <c r="O31" s="43"/>
      <c r="P31" s="43"/>
      <c r="Q31" s="43"/>
      <c r="R31" s="43"/>
      <c r="S31" s="43"/>
    </row>
    <row r="32" spans="1:19" ht="20.100000000000001" customHeight="1" x14ac:dyDescent="0.25">
      <c r="D32" s="6" t="str" cm="1">
        <f t="array" ref="D32">MMS_Swine_LeachingAndRunoff_Equations.VEERG_4_5_1_7__1_AnnualEmissionsFromLeachingAndRunoffFromMMS_Title()</f>
        <v>Annual emissions from leaching and runoff from each MMS</v>
      </c>
    </row>
    <row r="33" spans="4:18" ht="20.100000000000001" customHeight="1" x14ac:dyDescent="0.25">
      <c r="D33" s="5" t="str" cm="1">
        <f t="array" ref="D33">MMS_Swine_LeachingAndRunoff_Equations.VEERG_4_5_1_7__1_AnnualEmissionsFromLeachingAndRunoffFromMMS_Source()</f>
        <v>VEERG 2026: 4.5.1.7, Equation (1)</v>
      </c>
    </row>
    <row r="34" spans="4:18" ht="20.100000000000001" customHeight="1" x14ac:dyDescent="0.25">
      <c r="D34" s="13" t="s">
        <v>23</v>
      </c>
      <c r="E34" s="13" t="str" cm="1">
        <f t="array" aca="1" ref="E34" ca="1">Common_InputFunctions.Utility_DisplayFunctionName($E$47)</f>
        <v>=MMS_Swine_LeachingAndRunoff_Equations.VEERG_4_5_1_7__1_AnnualEmissionsFromLeachingAndRunoffFromMMS</v>
      </c>
    </row>
    <row r="35" spans="4:18" ht="20.100000000000001" customHeight="1" x14ac:dyDescent="0.25"/>
    <row r="36" spans="4:18" ht="20.100000000000001" customHeight="1" x14ac:dyDescent="0.25"/>
    <row r="37" spans="4:18" ht="20.100000000000001" customHeight="1" x14ac:dyDescent="0.25">
      <c r="D37" s="51" t="s">
        <v>26</v>
      </c>
      <c r="E37" s="1" t="str" cm="1">
        <f t="array" ref="E37">MMS_Swine_LeachingAndRunoff_Equations.VEERG_4_5_1_7__1_AnnualEmissionsFromLeachingAndRunoffFromMMS_Variable()</f>
        <v>E_N2Oleach</v>
      </c>
    </row>
    <row r="38" spans="4:18" ht="20.100000000000001" customHeight="1" x14ac:dyDescent="0.25">
      <c r="D38" s="51" t="s">
        <v>16</v>
      </c>
      <c r="E38" s="52" t="str" cm="1">
        <f t="array" ref="E38">MMS_Swine_LeachingAndRunoff_Equations.VEERG_4_5_1_7__1_AnnualEmissionsFromLeachingAndRunoffFromMMS_Unit()</f>
        <v>t N2O</v>
      </c>
    </row>
    <row r="39" spans="4:18" ht="20.100000000000001" customHeight="1" x14ac:dyDescent="0.25"/>
    <row r="40" spans="4:18" ht="20.100000000000001" customHeight="1" x14ac:dyDescent="0.25">
      <c r="D40" s="136" t="str" cm="1">
        <f t="array" ref="D40:E42">Common_InputFunctions.Utility_DisplayArguments_1_2(MMS_Swine_LeachingAndRunoff_Equations.VEERG_4_5_1_7__1_AnnualEmissionsFromLeachingAndRunoffFromMMS_Arguments())</f>
        <v>MNLeach_jm5</v>
      </c>
      <c r="E40" s="138" t="str">
        <v>mass of N lost through leaching and runoff from drylot MMS</v>
      </c>
      <c r="F40" s="137"/>
      <c r="G40" s="136" t="str" cm="1">
        <f t="array" ref="G40:H42">Common_InputFunctions.Utility_DisplayArguments_3_4(MMS_Swine_LeachingAndRunoff_Equations.VEERG_4_5_1_7__1_AnnualEmissionsFromLeachingAndRunoffFromMMS_Arguments())</f>
        <v>kg N</v>
      </c>
      <c r="H40" s="131" t="str">
        <v>Calculated from 4.5.1.7 (2)</v>
      </c>
      <c r="I40" s="135" t="str" cm="1">
        <f t="array" aca="1" ref="I40" ca="1">HYPERLINK(Common_InputFunctions.Utility_SourceHyperlink(D25), D25)</f>
        <v>M1_Table_MN_leach_j_m-5</v>
      </c>
    </row>
    <row r="41" spans="4:18" ht="20.100000000000001" customHeight="1" x14ac:dyDescent="0.25">
      <c r="D41" s="136" t="str">
        <v>EF_leach</v>
      </c>
      <c r="E41" s="138" t="str">
        <v>emission factor for leaching and runoff</v>
      </c>
      <c r="F41" s="137"/>
      <c r="G41" s="136" t="str">
        <v>kg N2O-N/kg N</v>
      </c>
      <c r="H41" s="131" t="str">
        <v>Constant</v>
      </c>
      <c r="I41" s="136">
        <f>'Constants - Common'!$E$170</f>
        <v>1.0999999999999999E-2</v>
      </c>
    </row>
    <row r="42" spans="4:18" ht="20.100000000000001" customHeight="1" x14ac:dyDescent="0.25">
      <c r="D42" s="136" t="str">
        <v>C_N2O</v>
      </c>
      <c r="E42" s="138" t="str">
        <v>factor to convert elemental mass of N2O to molecular mass</v>
      </c>
      <c r="F42" s="137"/>
      <c r="G42" s="136" t="str">
        <v/>
      </c>
      <c r="H42" s="131" t="str">
        <v>Constant</v>
      </c>
      <c r="I42" s="136">
        <f>Common_InputFunctions.Utility_LookupValueInTableNumber("N2O",Table_GasToMolecularConversionFactor[Gas],Table_GasToMolecularConversionFactor[Conversion factor combined])</f>
        <v>1.5714285714285714</v>
      </c>
    </row>
    <row r="43" spans="4:18" ht="20.100000000000001" customHeight="1" x14ac:dyDescent="0.25"/>
    <row r="44" spans="4:18" ht="20.100000000000001" customHeight="1" x14ac:dyDescent="0.25">
      <c r="D44" s="95" t="s">
        <v>274</v>
      </c>
      <c r="M44" s="95" t="s">
        <v>277</v>
      </c>
    </row>
    <row r="45" spans="4:18" ht="20.100000000000001" customHeight="1" x14ac:dyDescent="0.25">
      <c r="D45" s="94" t="s">
        <v>275</v>
      </c>
      <c r="M45" s="94" t="s">
        <v>278</v>
      </c>
    </row>
    <row r="46" spans="4:18" ht="20.100000000000001" customHeight="1" x14ac:dyDescent="0.25">
      <c r="D46" s="49" t="s">
        <v>156</v>
      </c>
      <c r="E46" s="49" t="s">
        <v>135</v>
      </c>
      <c r="F46" s="49" t="s">
        <v>136</v>
      </c>
      <c r="G46" s="49" t="s">
        <v>137</v>
      </c>
      <c r="H46" s="49" t="s">
        <v>195</v>
      </c>
      <c r="M46" s="49" t="s">
        <v>156</v>
      </c>
      <c r="N46" s="49" t="s">
        <v>135</v>
      </c>
      <c r="O46" s="49" t="s">
        <v>136</v>
      </c>
      <c r="P46" s="49" t="s">
        <v>137</v>
      </c>
      <c r="Q46" s="49" t="s">
        <v>195</v>
      </c>
    </row>
    <row r="47" spans="4:18" ht="20.100000000000001" customHeight="1" x14ac:dyDescent="0.25">
      <c r="D47" s="50" t="str">
        <f>INDEX(X_Table_Swine_Stage1MMS_Drylot,2,1)</f>
        <v>Drylot (feed pad)</v>
      </c>
      <c r="E47" s="50" cm="1">
        <f t="array" aca="1" ref="E47" ca="1">MMS_Swine_LeachingAndRunoff_Equations.VEERG_4_5_1_7__1_AnnualEmissionsFromLeachingAndRunoffFromMMS(E28,$I$41,$I$42)</f>
        <v>6.9654514285714269E-5</v>
      </c>
      <c r="F47" s="50" cm="1">
        <f t="array" aca="1" ref="F47" ca="1">MMS_Swine_LeachingAndRunoff_Equations.VEERG_4_5_1_7__1_AnnualEmissionsFromLeachingAndRunoffFromMMS(F28,$I$41,$I$42)</f>
        <v>7.4197200000000009E-5</v>
      </c>
      <c r="G47" s="50" cm="1">
        <f t="array" aca="1" ref="G47" ca="1">MMS_Swine_LeachingAndRunoff_Equations.VEERG_4_5_1_7__1_AnnualEmissionsFromLeachingAndRunoffFromMMS(G28,$I$41,$I$42)</f>
        <v>6.9654514285714269E-5</v>
      </c>
      <c r="H47" s="50" cm="1">
        <f t="array" aca="1" ref="H47" ca="1">MMS_Swine_LeachingAndRunoff_Equations.VEERG_4_5_1_7__1_AnnualEmissionsFromLeachingAndRunoffFromMMS(H28,$I$41,$I$42)</f>
        <v>4.7243931428571419E-5</v>
      </c>
      <c r="I47" s="2" t="str">
        <f>$E$38</f>
        <v>t N2O</v>
      </c>
      <c r="M47" s="50" t="str">
        <f>INDEX(X_Table_Swine_Stage1MMS_Drylot,2,1)</f>
        <v>Drylot (feed pad)</v>
      </c>
      <c r="N47" s="50" cm="1">
        <f t="array" aca="1" ref="N47" ca="1">MMS_Swine_LeachingAndRunoff_Equations.VEERG_4_5_1_7__1_AnnualEmissionsFromLeachingAndRunoffFromMMS(N28,$I$41,$I$42)</f>
        <v>6.9654514285714269E-5</v>
      </c>
      <c r="O47" s="50" cm="1">
        <f t="array" aca="1" ref="O47" ca="1">MMS_Swine_LeachingAndRunoff_Equations.VEERG_4_5_1_7__1_AnnualEmissionsFromLeachingAndRunoffFromMMS(O28,$I$41,$I$42)</f>
        <v>7.4197200000000009E-5</v>
      </c>
      <c r="P47" s="50" cm="1">
        <f t="array" aca="1" ref="P47" ca="1">MMS_Swine_LeachingAndRunoff_Equations.VEERG_4_5_1_7__1_AnnualEmissionsFromLeachingAndRunoffFromMMS(P28,$I$41,$I$42)</f>
        <v>6.9654514285714269E-5</v>
      </c>
      <c r="Q47" s="50" cm="1">
        <f t="array" aca="1" ref="Q47" ca="1">MMS_Swine_LeachingAndRunoff_Equations.VEERG_4_5_1_7__1_AnnualEmissionsFromLeachingAndRunoffFromMMS(Q28,$I$41,$I$42)</f>
        <v>4.7243931428571419E-5</v>
      </c>
      <c r="R47" s="2" t="str">
        <f>$E$38</f>
        <v>t N2O</v>
      </c>
    </row>
    <row r="48" spans="4:18" ht="20.100000000000001" customHeight="1" x14ac:dyDescent="0.25"/>
    <row r="49" spans="4:16" ht="20.100000000000001" customHeight="1" x14ac:dyDescent="0.25">
      <c r="D49" s="97" t="s">
        <v>276</v>
      </c>
      <c r="E49" s="98">
        <f ca="1">SUM(E47:H47)</f>
        <v>2.6075015999999998E-4</v>
      </c>
      <c r="F49" s="99" t="str">
        <f>$E$38</f>
        <v>t N2O</v>
      </c>
      <c r="M49" s="97" t="s">
        <v>276</v>
      </c>
      <c r="N49" s="98">
        <f ca="1">SUM(N47:Q47)</f>
        <v>2.6075015999999998E-4</v>
      </c>
      <c r="O49" s="99" t="str">
        <f>$E$38</f>
        <v>t N2O</v>
      </c>
    </row>
    <row r="50" spans="4:16" ht="20.100000000000001" customHeight="1" x14ac:dyDescent="0.25"/>
    <row r="51" spans="4:16" ht="20.100000000000001" customHeight="1" x14ac:dyDescent="0.25">
      <c r="D51" s="55" t="str" cm="1">
        <f t="array" ref="D51:E52">Common_Equations.Common_ConvertN2OToCO2e_Arguments()</f>
        <v>EN2O</v>
      </c>
      <c r="E51" s="56" t="str">
        <v>Nitrous oxide emissions (t N2O)</v>
      </c>
      <c r="F51" s="100"/>
      <c r="G51" s="50">
        <f ca="1">E49</f>
        <v>2.6075015999999998E-4</v>
      </c>
      <c r="M51" s="55" t="str" cm="1">
        <f t="array" ref="M51:N52">Common_Equations.Common_ConvertN2OToCO2e_Arguments()</f>
        <v>EN2O</v>
      </c>
      <c r="N51" s="56" t="str">
        <v>Nitrous oxide emissions (t N2O)</v>
      </c>
      <c r="O51" s="100"/>
      <c r="P51" s="50">
        <f ca="1">N49</f>
        <v>2.6075015999999998E-4</v>
      </c>
    </row>
    <row r="52" spans="4:16" ht="20.100000000000001" customHeight="1" x14ac:dyDescent="0.25">
      <c r="D52" s="55" t="str">
        <v>GWPN2O</v>
      </c>
      <c r="E52" s="56" t="str">
        <v>Global warming potential for nitrous oxide (t CO2-e / t N2O)</v>
      </c>
      <c r="F52" s="100"/>
      <c r="G52" s="50">
        <f>Common_InputFunctions.Utility_LookupValueInTableNumber("N2O",Table_GWPData[Gas],Table_GWPData[CO2-e factor])</f>
        <v>265</v>
      </c>
      <c r="M52" s="55" t="str">
        <v>GWPN2O</v>
      </c>
      <c r="N52" s="56" t="str">
        <v>Global warming potential for nitrous oxide (t CO2-e / t N2O)</v>
      </c>
      <c r="O52" s="100"/>
      <c r="P52" s="50">
        <f>Common_InputFunctions.Utility_LookupValueInTableNumber("N2O",Table_GWPData[Gas],Table_GWPData[CO2-e factor])</f>
        <v>265</v>
      </c>
    </row>
    <row r="53" spans="4:16" ht="20.100000000000001" customHeight="1" x14ac:dyDescent="0.25"/>
    <row r="54" spans="4:16" ht="20.100000000000001" customHeight="1" x14ac:dyDescent="0.25">
      <c r="D54" s="43" t="s">
        <v>94</v>
      </c>
      <c r="E54" s="43" cm="1">
        <f t="array" aca="1" ref="E54" ca="1">Common_Equations.Common_ConvertN2OToCO2e(G51,G52)</f>
        <v>6.9098792399999998E-2</v>
      </c>
      <c r="F54" s="101" t="str" cm="1">
        <f t="array" ref="F54">Common_Equations.Common_ConvertN2OToCO2e_Unit()</f>
        <v>t CO2e</v>
      </c>
      <c r="M54" s="43" t="s">
        <v>94</v>
      </c>
      <c r="N54" s="43" cm="1">
        <f t="array" aca="1" ref="N54" ca="1">Common_Equations.Common_ConvertN2OToCO2e(P51,P52)</f>
        <v>6.9098792399999998E-2</v>
      </c>
      <c r="O54" s="101" t="str" cm="1">
        <f t="array" ref="O54">Common_Equations.Common_ConvertN2OToCO2e_Unit()</f>
        <v>t CO2e</v>
      </c>
    </row>
    <row r="55" spans="4:16" ht="20.100000000000001" customHeight="1" x14ac:dyDescent="0.25"/>
    <row r="56" spans="4:16" ht="20.100000000000001" customHeight="1" x14ac:dyDescent="0.25"/>
    <row r="57" spans="4:16" ht="20.100000000000001" customHeight="1" x14ac:dyDescent="0.25"/>
    <row r="58" spans="4:16" ht="20.100000000000001" customHeight="1" x14ac:dyDescent="0.25"/>
    <row r="59" spans="4:16" ht="20.100000000000001" customHeight="1" x14ac:dyDescent="0.25"/>
    <row r="60" spans="4:16" ht="20.100000000000001" customHeight="1" x14ac:dyDescent="0.25"/>
    <row r="61" spans="4:16" ht="20.100000000000001" customHeight="1" x14ac:dyDescent="0.25"/>
    <row r="62" spans="4:16" ht="20.100000000000001" customHeight="1" x14ac:dyDescent="0.25"/>
    <row r="63" spans="4:16" ht="20.100000000000001" customHeight="1" x14ac:dyDescent="0.25"/>
    <row r="64" spans="4: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sheetPr>
    <tabColor rgb="FF008000"/>
  </sheetPr>
  <dimension ref="A1:U286"/>
  <sheetViews>
    <sheetView showGridLines="0"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281</v>
      </c>
    </row>
    <row r="2" spans="1:21" s="9" customFormat="1" ht="20.100000000000001" customHeight="1" x14ac:dyDescent="0.25">
      <c r="A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MMS_Swine_ManureAppliedToSoils_Equations.VEERG_4_5_1_9__1_MassOfNitrogenAppliedToSoilsScope1_Title()</f>
        <v>Mass of nitrogen applied to soils for scope 1 emissions</v>
      </c>
    </row>
    <row r="6" spans="1:21" ht="20.100000000000001" customHeight="1" x14ac:dyDescent="0.25">
      <c r="D6" s="5" t="str" cm="1">
        <f t="array" ref="D6">MMS_Swine_ManureAppliedToSoils_Equations.VEERG_4_5_1_9__1_MassOfNitrogenAppliedToSoilsScope1_Source()</f>
        <v>VEERG 2026: 4.5.1.9, Equation (1)</v>
      </c>
    </row>
    <row r="7" spans="1:21" ht="20.100000000000001" customHeight="1" x14ac:dyDescent="0.25">
      <c r="D7" s="13" t="s">
        <v>23</v>
      </c>
      <c r="E7" s="13" t="str" cm="1">
        <f t="array" aca="1" ref="E7" ca="1">Common_InputFunctions.Utility_DisplayFunctionName(F134)</f>
        <v>=MMS_Swine_ManureAppliedToSoils_Equations.VEERG_4_5_1_9__1_MassOfNitrogenAppliedToSoilsScope1</v>
      </c>
    </row>
    <row r="8" spans="1:21" ht="20.100000000000001" customHeight="1" x14ac:dyDescent="0.25">
      <c r="A8" s="19" t="s">
        <v>0</v>
      </c>
    </row>
    <row r="9" spans="1:21" ht="20.100000000000001" customHeight="1" x14ac:dyDescent="0.25">
      <c r="A9" s="17" t="str">
        <f>HYPERLINK("#'Input - Site'!A1", "Site")</f>
        <v>Site</v>
      </c>
      <c r="G9" s="103" t="s">
        <v>283</v>
      </c>
    </row>
    <row r="10" spans="1:21" ht="20.100000000000001" customHeight="1" x14ac:dyDescent="0.25">
      <c r="A10" s="17" t="str">
        <f>HYPERLINK("#'Input - Swine'!A1", "Swine")</f>
        <v>Swine</v>
      </c>
      <c r="D10" s="51" t="s">
        <v>26</v>
      </c>
      <c r="E10" s="1" t="str" cm="1">
        <f t="array" ref="E10">MMS_Swine_ManureAppliedToSoils_Equations.VEERG_4_5_1_9__1_MassOfNitrogenAppliedToSoilsScope1_Variable()</f>
        <v>MNSoil_scope1</v>
      </c>
      <c r="G10" s="5" t="s">
        <v>282</v>
      </c>
    </row>
    <row r="11" spans="1:21" ht="20.100000000000001" customHeight="1" x14ac:dyDescent="0.25">
      <c r="D11" s="51" t="s">
        <v>16</v>
      </c>
      <c r="E11" s="52" t="str" cm="1">
        <f t="array" ref="E11">MMS_Swine_ManureAppliedToSoils_Equations.VEERG_4_5_1_9__1_MassOfNitrogenAppliedToSoilsScope1_Unit()</f>
        <v>kg N</v>
      </c>
    </row>
    <row r="12" spans="1:21" ht="20.100000000000001" customHeight="1" x14ac:dyDescent="0.25"/>
    <row r="13" spans="1:21" ht="20.100000000000001" customHeight="1" x14ac:dyDescent="0.25">
      <c r="A13" s="18" t="s">
        <v>71</v>
      </c>
      <c r="D13" s="55" t="str" cm="1">
        <f t="array" ref="D13:E17">Common_InputFunctions.Utility_DisplayArguments_1_2(MMS_Swine_ManureAppliedToSoils_Equations.VEERG_4_5_1_9__1_MassOfNitrogenAppliedToSoilsScope1_Arguments())</f>
        <v>MN_jmT2</v>
      </c>
      <c r="E13" s="56" t="str">
        <v>mass of N in MMS at treatment stage 2</v>
      </c>
      <c r="F13" s="96"/>
      <c r="G13" s="57" t="str" cm="1">
        <f t="array" ref="G13:H17">Common_InputFunctions.Utility_DisplayArguments_3_4(MMS_Swine_ManureAppliedToSoils_Equations.VEERG_4_5_1_9__1_MassOfNitrogenAppliedToSoilsScope1_Arguments())</f>
        <v>kg N</v>
      </c>
      <c r="H13" s="131" t="str">
        <v>Calculated from 4.5.1.3 (6)</v>
      </c>
      <c r="I13" s="133" t="str" cm="1">
        <f t="array" aca="1" ref="I13" ca="1">HYPERLINK(Common_InputFunctions.Utility_SourceHyperlink(D19), D19)</f>
        <v>M1_Table_MN_j_m_T-2</v>
      </c>
    </row>
    <row r="14" spans="1:21" ht="20.100000000000001" customHeight="1" x14ac:dyDescent="0.25">
      <c r="A14" s="17" t="str">
        <f>HYPERLINK("#'4.5.1.1-2 Methane'!A1", "4.5.1.1-2 Methane")</f>
        <v>4.5.1.1-2 Methane</v>
      </c>
      <c r="D14" s="55" t="str">
        <v>EF_mT2</v>
      </c>
      <c r="E14" s="56" t="str">
        <v>nitrous oxide emission factor for each MMS at treatment stage 2</v>
      </c>
      <c r="F14" s="96"/>
      <c r="G14" s="57" t="str">
        <v>kg N2O-N/kg N</v>
      </c>
      <c r="H14" s="131" t="str">
        <v>Constant</v>
      </c>
      <c r="I14" s="133" t="str" cm="1">
        <f t="array" aca="1" ref="I14" ca="1">HYPERLINK(Common_InputFunctions.Utility_SourceHyperlink(D120), D120)</f>
        <v>Table_EF_m_T</v>
      </c>
    </row>
    <row r="15" spans="1:21" ht="20.100000000000001" customHeight="1" x14ac:dyDescent="0.25">
      <c r="A15" s="17" t="str">
        <f>HYPERLINK("#'4.5.1.3-4 Direct N2O'!A1", "4.5.1.3-4 Direct N2O")</f>
        <v>4.5.1.3-4 Direct N2O</v>
      </c>
      <c r="D15" s="55" t="str">
        <v>FracGASM_mT2</v>
      </c>
      <c r="E15" s="56" t="str">
        <v>fraction of animal waste N volatilised in each MMS at treatment stage 2</v>
      </c>
      <c r="F15" s="96"/>
      <c r="G15" s="57" t="str">
        <v>(kg NH3-N + NOx-N)/kg N</v>
      </c>
      <c r="H15" s="131" t="str">
        <v>Constant</v>
      </c>
      <c r="I15" s="133" t="str" cm="1">
        <f t="array" aca="1" ref="I15" ca="1">HYPERLINK(Common_InputFunctions.Utility_SourceHyperlink(D109), D109)</f>
        <v>Table_FracGASM_m_t</v>
      </c>
    </row>
    <row r="16" spans="1:21" ht="20.100000000000001" customHeight="1" x14ac:dyDescent="0.25">
      <c r="A16" s="17" t="str">
        <f>HYPERLINK("#'4.5.1.5-6 Atmos Dep'!A1", "4.5.1.5-6 Atmos Dep")</f>
        <v>4.5.1.5-6 Atmos Dep</v>
      </c>
      <c r="D16" s="55" t="str">
        <v>MNLeach_jm5</v>
      </c>
      <c r="E16" s="56" t="str">
        <v>mass of N lost to leaching and runoff from drylot MMS</v>
      </c>
      <c r="F16" s="96"/>
      <c r="G16" s="57" t="str">
        <v>kg N</v>
      </c>
      <c r="H16" s="131" t="str">
        <v>Calculated from 4.5.1.7 (2)</v>
      </c>
      <c r="I16" s="133" t="str" cm="1">
        <f t="array" aca="1" ref="I16" ca="1">HYPERLINK(Common_InputFunctions.Utility_SourceHyperlink(D49), D49)</f>
        <v>M1_Table_MN_leach_j_m-5</v>
      </c>
    </row>
    <row r="17" spans="1:20" ht="20.100000000000001" customHeight="1" x14ac:dyDescent="0.25">
      <c r="A17" s="17" t="str">
        <f>HYPERLINK("#'4.5.1.7-8 Leaching and runoff'!A1", "4.5.1.7-8 Leaching and runoff")</f>
        <v>4.5.1.7-8 Leaching and runoff</v>
      </c>
      <c r="D17" s="55" t="str">
        <v>PF</v>
      </c>
      <c r="E17" s="56" t="str">
        <v>fraction of manure applied to soil within the piggery boundary</v>
      </c>
      <c r="F17" s="96"/>
      <c r="G17" s="57" t="str">
        <v>fraction</v>
      </c>
      <c r="H17" s="132" t="str">
        <v>Input</v>
      </c>
      <c r="I17" s="133" t="str" cm="1">
        <f t="array" aca="1" ref="I17" ca="1">HYPERLINK(Common_InputFunctions.Utility_SourceHyperlink(D79), D79)</f>
        <v>M1_Table_PF</v>
      </c>
    </row>
    <row r="18" spans="1:20" ht="20.100000000000001" customHeight="1" x14ac:dyDescent="0.25">
      <c r="A18" s="147" t="str">
        <f>HYPERLINK("#'4.5.1.9 Manure applied to soils'!A1", "4.5.1.9 Manure applied to soils")</f>
        <v>4.5.1.9 Manure applied to soils</v>
      </c>
    </row>
    <row r="19" spans="1:20" ht="20.100000000000001" customHeight="1" x14ac:dyDescent="0.25">
      <c r="D19" s="117" t="s">
        <v>247</v>
      </c>
      <c r="N19" s="117" t="s">
        <v>303</v>
      </c>
    </row>
    <row r="20" spans="1:20" ht="20.100000000000001" customHeight="1" x14ac:dyDescent="0.25">
      <c r="D20" s="118" t="s">
        <v>248</v>
      </c>
      <c r="N20" s="118" t="s">
        <v>304</v>
      </c>
    </row>
    <row r="21" spans="1:20" ht="20.100000000000001" customHeight="1" x14ac:dyDescent="0.25">
      <c r="A21" s="145" t="s">
        <v>1</v>
      </c>
      <c r="D21" s="49" t="s">
        <v>156</v>
      </c>
      <c r="E21" s="49" t="s">
        <v>164</v>
      </c>
      <c r="F21" s="49" t="s">
        <v>135</v>
      </c>
      <c r="G21" s="49" t="s">
        <v>136</v>
      </c>
      <c r="H21" s="49" t="s">
        <v>137</v>
      </c>
      <c r="I21" s="49" t="s">
        <v>195</v>
      </c>
      <c r="N21" s="49" t="s">
        <v>156</v>
      </c>
      <c r="O21" s="49" t="s">
        <v>164</v>
      </c>
      <c r="P21" s="49" t="s">
        <v>135</v>
      </c>
      <c r="Q21" s="49" t="s">
        <v>136</v>
      </c>
      <c r="R21" s="49" t="s">
        <v>137</v>
      </c>
      <c r="S21" s="49" t="s">
        <v>195</v>
      </c>
    </row>
    <row r="22" spans="1:20" ht="20.100000000000001" customHeight="1" x14ac:dyDescent="0.25">
      <c r="A22" s="17" t="str">
        <f>HYPERLINK("#'Constants - Swine'!A1", "Constants - Swine")</f>
        <v>Constants - Swine</v>
      </c>
      <c r="D22" s="55" t="str">
        <f>INDEX(X_Table_Swine_Stage1MMS_AnaerobicLagoon,2,1)</f>
        <v>Anaerobic lagoon</v>
      </c>
      <c r="E22" s="55" t="str">
        <f>INDEX(X_Table_Swine_Stage2MMS_From_AnaerobicLagoon,2,1)</f>
        <v>Digester / covered lagoons</v>
      </c>
      <c r="F22" s="50">
        <f ca="1">'4.5.1.3-4 Direct N2O'!F217</f>
        <v>18.133199999999995</v>
      </c>
      <c r="G22" s="50">
        <f ca="1">'4.5.1.3-4 Direct N2O'!G217</f>
        <v>24.144750000000002</v>
      </c>
      <c r="H22" s="50">
        <f ca="1">'4.5.1.3-4 Direct N2O'!H217</f>
        <v>22.666499999999992</v>
      </c>
      <c r="I22" s="50">
        <f ca="1">'4.5.1.3-4 Direct N2O'!I217</f>
        <v>15.373799999999996</v>
      </c>
      <c r="J22" s="2" t="str">
        <f>$G$13</f>
        <v>kg N</v>
      </c>
      <c r="N22" s="55" t="str">
        <f>INDEX(X_Table_Swine_Stage1MMS_AnaerobicLagoon,2,1)</f>
        <v>Anaerobic lagoon</v>
      </c>
      <c r="O22" s="55" t="str">
        <f>INDEX(X_Table_Swine_Stage2MMS_From_AnaerobicLagoon,2,1)</f>
        <v>Digester / covered lagoons</v>
      </c>
      <c r="P22" s="50">
        <f ca="1">'4.5.1.3-4 Direct N2O'!P217</f>
        <v>18.133199999999995</v>
      </c>
      <c r="Q22" s="50">
        <f ca="1">'4.5.1.3-4 Direct N2O'!Q217</f>
        <v>24.144750000000002</v>
      </c>
      <c r="R22" s="50">
        <f ca="1">'4.5.1.3-4 Direct N2O'!R217</f>
        <v>22.666499999999992</v>
      </c>
      <c r="S22" s="50">
        <f ca="1">'4.5.1.3-4 Direct N2O'!S217</f>
        <v>15.373799999999996</v>
      </c>
      <c r="T22" s="2" t="str">
        <f>$G$13</f>
        <v>kg N</v>
      </c>
    </row>
    <row r="23" spans="1:20" ht="20.100000000000001" customHeight="1" x14ac:dyDescent="0.25">
      <c r="A23" s="17" t="str">
        <f>HYPERLINK("#'Constants - Common'!A1", "Constants - Common")</f>
        <v>Constants - Common</v>
      </c>
      <c r="D23" s="55"/>
      <c r="E23" s="55" t="str">
        <f>INDEX(X_Table_Swine_Stage2MMS_From_AnaerobicLagoon,3,1)</f>
        <v>Deep litter</v>
      </c>
      <c r="F23" s="50">
        <f ca="1">'4.5.1.3-4 Direct N2O'!F218</f>
        <v>18.133199999999995</v>
      </c>
      <c r="G23" s="50">
        <f ca="1">'4.5.1.3-4 Direct N2O'!G218</f>
        <v>24.144750000000002</v>
      </c>
      <c r="H23" s="50">
        <f ca="1">'4.5.1.3-4 Direct N2O'!H218</f>
        <v>22.666499999999992</v>
      </c>
      <c r="I23" s="50">
        <f ca="1">'4.5.1.3-4 Direct N2O'!I218</f>
        <v>15.373799999999996</v>
      </c>
      <c r="J23" s="2"/>
      <c r="N23" s="55"/>
      <c r="O23" s="55" t="str">
        <f>INDEX(X_Table_Swine_Stage2MMS_From_AnaerobicLagoon,3,1)</f>
        <v>Deep litter</v>
      </c>
      <c r="P23" s="50">
        <f ca="1">'4.5.1.3-4 Direct N2O'!P218</f>
        <v>18.133199999999995</v>
      </c>
      <c r="Q23" s="50">
        <f ca="1">'4.5.1.3-4 Direct N2O'!Q218</f>
        <v>24.144750000000002</v>
      </c>
      <c r="R23" s="50">
        <f ca="1">'4.5.1.3-4 Direct N2O'!R218</f>
        <v>22.666499999999992</v>
      </c>
      <c r="S23" s="50">
        <f ca="1">'4.5.1.3-4 Direct N2O'!S218</f>
        <v>15.373799999999996</v>
      </c>
      <c r="T23" s="2"/>
    </row>
    <row r="24" spans="1:20" ht="20.100000000000001" customHeight="1" x14ac:dyDescent="0.25">
      <c r="A24" s="17" t="str">
        <f>HYPERLINK("#'Constants - Livestock'!A1", "Constants - Livestock")</f>
        <v>Constants - Livestock</v>
      </c>
      <c r="D24" s="55"/>
      <c r="E24" s="55" t="str">
        <f>INDEX(X_Table_Swine_Stage2MMS_From_AnaerobicLagoon,4,1)</f>
        <v>Pit storage</v>
      </c>
      <c r="F24" s="50">
        <f ca="1">'4.5.1.3-4 Direct N2O'!F219</f>
        <v>18.133199999999995</v>
      </c>
      <c r="G24" s="50">
        <f ca="1">'4.5.1.3-4 Direct N2O'!G219</f>
        <v>24.144750000000002</v>
      </c>
      <c r="H24" s="50">
        <f ca="1">'4.5.1.3-4 Direct N2O'!H219</f>
        <v>22.666499999999992</v>
      </c>
      <c r="I24" s="50">
        <f ca="1">'4.5.1.3-4 Direct N2O'!I219</f>
        <v>15.373799999999996</v>
      </c>
      <c r="J24" s="2"/>
      <c r="N24" s="55"/>
      <c r="O24" s="55" t="str">
        <f>INDEX(X_Table_Swine_Stage2MMS_From_AnaerobicLagoon,4,1)</f>
        <v>Pit storage</v>
      </c>
      <c r="P24" s="50">
        <f ca="1">'4.5.1.3-4 Direct N2O'!P219</f>
        <v>18.133199999999995</v>
      </c>
      <c r="Q24" s="50">
        <f ca="1">'4.5.1.3-4 Direct N2O'!Q219</f>
        <v>24.144750000000002</v>
      </c>
      <c r="R24" s="50">
        <f ca="1">'4.5.1.3-4 Direct N2O'!R219</f>
        <v>22.666499999999992</v>
      </c>
      <c r="S24" s="50">
        <f ca="1">'4.5.1.3-4 Direct N2O'!S219</f>
        <v>15.373799999999996</v>
      </c>
      <c r="T24" s="2"/>
    </row>
    <row r="25" spans="1:20" ht="20.100000000000001" customHeight="1" x14ac:dyDescent="0.25">
      <c r="A25" s="17" t="str">
        <f>HYPERLINK("#'Acknowledgements'!A1", "Acknowledgements")</f>
        <v>Acknowledgements</v>
      </c>
      <c r="D25" s="55"/>
      <c r="E25" s="55" t="str">
        <f>INDEX(X_Table_Swine_Stage2MMS_From_AnaerobicLagoon,5,1)</f>
        <v>Direct application</v>
      </c>
      <c r="F25" s="50">
        <f ca="1">'4.5.1.3-4 Direct N2O'!F220</f>
        <v>36.266399999999976</v>
      </c>
      <c r="G25" s="50">
        <f ca="1">'4.5.1.3-4 Direct N2O'!G220</f>
        <v>24.144750000000002</v>
      </c>
      <c r="H25" s="50">
        <f ca="1">'4.5.1.3-4 Direct N2O'!H220</f>
        <v>22.666499999999992</v>
      </c>
      <c r="I25" s="50">
        <f ca="1">'4.5.1.3-4 Direct N2O'!I220</f>
        <v>15.373799999999996</v>
      </c>
      <c r="J25" s="2"/>
      <c r="N25" s="55"/>
      <c r="O25" s="55" t="str">
        <f>INDEX(X_Table_Swine_Stage2MMS_From_AnaerobicLagoon,5,1)</f>
        <v>Direct application</v>
      </c>
      <c r="P25" s="50">
        <f ca="1">'4.5.1.3-4 Direct N2O'!P220</f>
        <v>36.266399999999976</v>
      </c>
      <c r="Q25" s="50">
        <f ca="1">'4.5.1.3-4 Direct N2O'!Q220</f>
        <v>24.144750000000002</v>
      </c>
      <c r="R25" s="50">
        <f ca="1">'4.5.1.3-4 Direct N2O'!R220</f>
        <v>22.666499999999992</v>
      </c>
      <c r="S25" s="50">
        <f ca="1">'4.5.1.3-4 Direct N2O'!S220</f>
        <v>15.373799999999996</v>
      </c>
      <c r="T25" s="2"/>
    </row>
    <row r="26" spans="1:20" ht="20.100000000000001" customHeight="1" x14ac:dyDescent="0.25">
      <c r="A26" s="17" t="str">
        <f>HYPERLINK("#'Tab template'!A1", "Tab template")</f>
        <v>Tab template</v>
      </c>
      <c r="D26" s="55" t="str">
        <f>INDEX(X_Table_Swine_Stage1MMS_Drylot,2,1)</f>
        <v>Drylot (feed pad)</v>
      </c>
      <c r="E26" s="55" t="str">
        <f>INDEX(X_Table_Swine_Stage2MMS_From_Drylot,2,1)</f>
        <v>Anaerobic lagoon</v>
      </c>
      <c r="F26" s="50">
        <f ca="1">'4.5.1.3-4 Direct N2O'!F221</f>
        <v>27.401279999999993</v>
      </c>
      <c r="G26" s="50">
        <f ca="1">'4.5.1.3-4 Direct N2O'!G221</f>
        <v>36.485400000000006</v>
      </c>
      <c r="H26" s="50">
        <f ca="1">'4.5.1.3-4 Direct N2O'!H221</f>
        <v>34.251599999999989</v>
      </c>
      <c r="I26" s="50">
        <f ca="1">'4.5.1.3-4 Direct N2O'!I221</f>
        <v>23.231519999999993</v>
      </c>
      <c r="J26" s="2"/>
      <c r="N26" s="55" t="str">
        <f>INDEX(X_Table_Swine_Stage1MMS_Drylot,2,1)</f>
        <v>Drylot (feed pad)</v>
      </c>
      <c r="O26" s="55" t="str">
        <f>INDEX(X_Table_Swine_Stage2MMS_From_Drylot,2,1)</f>
        <v>Anaerobic lagoon</v>
      </c>
      <c r="P26" s="50">
        <f ca="1">'4.5.1.3-4 Direct N2O'!P221</f>
        <v>27.401279999999993</v>
      </c>
      <c r="Q26" s="50">
        <f ca="1">'4.5.1.3-4 Direct N2O'!Q221</f>
        <v>36.485400000000006</v>
      </c>
      <c r="R26" s="50">
        <f ca="1">'4.5.1.3-4 Direct N2O'!R221</f>
        <v>34.251599999999989</v>
      </c>
      <c r="S26" s="50">
        <f ca="1">'4.5.1.3-4 Direct N2O'!S221</f>
        <v>23.231519999999993</v>
      </c>
      <c r="T26" s="2"/>
    </row>
    <row r="27" spans="1:20" ht="20.100000000000001" customHeight="1" x14ac:dyDescent="0.25">
      <c r="D27" s="55"/>
      <c r="E27" s="55" t="str">
        <f>INDEX(X_Table_Swine_Stage2MMS_From_Drylot,3,1)</f>
        <v>Digester / covered lagoons</v>
      </c>
      <c r="F27" s="50">
        <f ca="1">'4.5.1.3-4 Direct N2O'!F222</f>
        <v>27.401279999999993</v>
      </c>
      <c r="G27" s="50">
        <f ca="1">'4.5.1.3-4 Direct N2O'!G222</f>
        <v>36.485400000000006</v>
      </c>
      <c r="H27" s="50">
        <f ca="1">'4.5.1.3-4 Direct N2O'!H222</f>
        <v>34.251599999999989</v>
      </c>
      <c r="I27" s="50">
        <f ca="1">'4.5.1.3-4 Direct N2O'!I222</f>
        <v>23.231519999999993</v>
      </c>
      <c r="J27" s="2"/>
      <c r="N27" s="55"/>
      <c r="O27" s="55" t="str">
        <f>INDEX(X_Table_Swine_Stage2MMS_From_Drylot,3,1)</f>
        <v>Digester / covered lagoons</v>
      </c>
      <c r="P27" s="50">
        <f ca="1">'4.5.1.3-4 Direct N2O'!P222</f>
        <v>27.401279999999993</v>
      </c>
      <c r="Q27" s="50">
        <f ca="1">'4.5.1.3-4 Direct N2O'!Q222</f>
        <v>36.485400000000006</v>
      </c>
      <c r="R27" s="50">
        <f ca="1">'4.5.1.3-4 Direct N2O'!R222</f>
        <v>34.251599999999989</v>
      </c>
      <c r="S27" s="50">
        <f ca="1">'4.5.1.3-4 Direct N2O'!S222</f>
        <v>23.231519999999993</v>
      </c>
      <c r="T27" s="2"/>
    </row>
    <row r="28" spans="1:20" ht="20.100000000000001" customHeight="1" x14ac:dyDescent="0.25">
      <c r="D28" s="55"/>
      <c r="E28" s="55" t="str">
        <f>INDEX(X_Table_Swine_Stage2MMS_From_Drylot,4,1)</f>
        <v>Deep litter</v>
      </c>
      <c r="F28" s="50">
        <f ca="1">'4.5.1.3-4 Direct N2O'!F223</f>
        <v>27.401279999999993</v>
      </c>
      <c r="G28" s="50">
        <f ca="1">'4.5.1.3-4 Direct N2O'!G223</f>
        <v>36.485400000000006</v>
      </c>
      <c r="H28" s="50">
        <f ca="1">'4.5.1.3-4 Direct N2O'!H223</f>
        <v>34.251599999999989</v>
      </c>
      <c r="I28" s="50">
        <f ca="1">'4.5.1.3-4 Direct N2O'!I223</f>
        <v>23.231519999999993</v>
      </c>
      <c r="J28" s="2"/>
      <c r="N28" s="55"/>
      <c r="O28" s="55" t="str">
        <f>INDEX(X_Table_Swine_Stage2MMS_From_Drylot,4,1)</f>
        <v>Deep litter</v>
      </c>
      <c r="P28" s="50">
        <f ca="1">'4.5.1.3-4 Direct N2O'!P223</f>
        <v>27.401279999999993</v>
      </c>
      <c r="Q28" s="50">
        <f ca="1">'4.5.1.3-4 Direct N2O'!Q223</f>
        <v>36.485400000000006</v>
      </c>
      <c r="R28" s="50">
        <f ca="1">'4.5.1.3-4 Direct N2O'!R223</f>
        <v>34.251599999999989</v>
      </c>
      <c r="S28" s="50">
        <f ca="1">'4.5.1.3-4 Direct N2O'!S223</f>
        <v>23.231519999999993</v>
      </c>
      <c r="T28" s="2"/>
    </row>
    <row r="29" spans="1:20" ht="20.100000000000001" customHeight="1" x14ac:dyDescent="0.25">
      <c r="D29" s="55"/>
      <c r="E29" s="55" t="str">
        <f>INDEX(X_Table_Swine_Stage2MMS_From_Drylot,5,1)</f>
        <v>Pit storage</v>
      </c>
      <c r="F29" s="50">
        <f ca="1">'4.5.1.3-4 Direct N2O'!F224</f>
        <v>27.401279999999993</v>
      </c>
      <c r="G29" s="50">
        <f ca="1">'4.5.1.3-4 Direct N2O'!G224</f>
        <v>36.485400000000006</v>
      </c>
      <c r="H29" s="50">
        <f ca="1">'4.5.1.3-4 Direct N2O'!H224</f>
        <v>34.251599999999989</v>
      </c>
      <c r="I29" s="50">
        <f ca="1">'4.5.1.3-4 Direct N2O'!I224</f>
        <v>23.231519999999993</v>
      </c>
      <c r="J29" s="2"/>
      <c r="N29" s="55"/>
      <c r="O29" s="55" t="str">
        <f>INDEX(X_Table_Swine_Stage2MMS_From_Drylot,5,1)</f>
        <v>Pit storage</v>
      </c>
      <c r="P29" s="50">
        <f ca="1">'4.5.1.3-4 Direct N2O'!P224</f>
        <v>27.401279999999993</v>
      </c>
      <c r="Q29" s="50">
        <f ca="1">'4.5.1.3-4 Direct N2O'!Q224</f>
        <v>36.485400000000006</v>
      </c>
      <c r="R29" s="50">
        <f ca="1">'4.5.1.3-4 Direct N2O'!R224</f>
        <v>34.251599999999989</v>
      </c>
      <c r="S29" s="50">
        <f ca="1">'4.5.1.3-4 Direct N2O'!S224</f>
        <v>23.231519999999993</v>
      </c>
      <c r="T29" s="2"/>
    </row>
    <row r="30" spans="1:20" ht="20.100000000000001" customHeight="1" x14ac:dyDescent="0.25">
      <c r="D30" s="55"/>
      <c r="E30" s="55" t="str">
        <f>INDEX(X_Table_Swine_Stage2MMS_From_Drylot,6,1)</f>
        <v>Direct application</v>
      </c>
      <c r="F30" s="50">
        <f ca="1">'4.5.1.3-4 Direct N2O'!F225</f>
        <v>27.401279999999986</v>
      </c>
      <c r="G30" s="50">
        <f ca="1">'4.5.1.3-4 Direct N2O'!G225</f>
        <v>0</v>
      </c>
      <c r="H30" s="50">
        <f ca="1">'4.5.1.3-4 Direct N2O'!H225</f>
        <v>0</v>
      </c>
      <c r="I30" s="50">
        <f ca="1">'4.5.1.3-4 Direct N2O'!I225</f>
        <v>0</v>
      </c>
      <c r="J30" s="2"/>
      <c r="N30" s="55"/>
      <c r="O30" s="55" t="str">
        <f>INDEX(X_Table_Swine_Stage2MMS_From_Drylot,6,1)</f>
        <v>Direct application</v>
      </c>
      <c r="P30" s="50">
        <f ca="1">'4.5.1.3-4 Direct N2O'!P225</f>
        <v>27.401279999999986</v>
      </c>
      <c r="Q30" s="50">
        <f ca="1">'4.5.1.3-4 Direct N2O'!Q225</f>
        <v>0</v>
      </c>
      <c r="R30" s="50">
        <f ca="1">'4.5.1.3-4 Direct N2O'!R225</f>
        <v>0</v>
      </c>
      <c r="S30" s="50">
        <f ca="1">'4.5.1.3-4 Direct N2O'!S225</f>
        <v>0</v>
      </c>
      <c r="T30" s="2"/>
    </row>
    <row r="31" spans="1:20" ht="20.100000000000001" customHeight="1" x14ac:dyDescent="0.25">
      <c r="D31" s="55" t="str">
        <f>INDEX(X_Table_Swine_Stage1MMS_DigesterCoveredLagoons,2,1)</f>
        <v>Digester / covered lagoons</v>
      </c>
      <c r="E31" s="55" t="str">
        <f>INDEX(X_Table_Swine_Stage2MMS_From_DigesterCoveredLagoons,2,1)</f>
        <v>Anaerobic lagoon</v>
      </c>
      <c r="F31" s="50">
        <f ca="1">'4.5.1.3-4 Direct N2O'!F226</f>
        <v>40.295999999999992</v>
      </c>
      <c r="G31" s="50">
        <f ca="1">'4.5.1.3-4 Direct N2O'!G226</f>
        <v>53.655000000000008</v>
      </c>
      <c r="H31" s="50">
        <f ca="1">'4.5.1.3-4 Direct N2O'!H226</f>
        <v>50.36999999999999</v>
      </c>
      <c r="I31" s="50">
        <f ca="1">'4.5.1.3-4 Direct N2O'!I226</f>
        <v>34.163999999999994</v>
      </c>
      <c r="J31" s="2"/>
      <c r="N31" s="55" t="str">
        <f>INDEX(X_Table_Swine_Stage1MMS_DigesterCoveredLagoons,2,1)</f>
        <v>Digester / covered lagoons</v>
      </c>
      <c r="O31" s="55" t="str">
        <f>INDEX(X_Table_Swine_Stage2MMS_From_DigesterCoveredLagoons,2,1)</f>
        <v>Anaerobic lagoon</v>
      </c>
      <c r="P31" s="50">
        <f ca="1">'4.5.1.3-4 Direct N2O'!P226</f>
        <v>40.295999999999992</v>
      </c>
      <c r="Q31" s="50">
        <f ca="1">'4.5.1.3-4 Direct N2O'!Q226</f>
        <v>53.655000000000008</v>
      </c>
      <c r="R31" s="50">
        <f ca="1">'4.5.1.3-4 Direct N2O'!R226</f>
        <v>50.36999999999999</v>
      </c>
      <c r="S31" s="50">
        <f ca="1">'4.5.1.3-4 Direct N2O'!S226</f>
        <v>34.163999999999994</v>
      </c>
      <c r="T31" s="2"/>
    </row>
    <row r="32" spans="1:20" ht="20.100000000000001" customHeight="1" x14ac:dyDescent="0.25">
      <c r="D32" s="55"/>
      <c r="E32" s="55" t="str">
        <f>INDEX(X_Table_Swine_Stage2MMS_From_DigesterCoveredLagoons,3,1)</f>
        <v>Deep litter</v>
      </c>
      <c r="F32" s="50">
        <f ca="1">'4.5.1.3-4 Direct N2O'!F227</f>
        <v>40.295999999999992</v>
      </c>
      <c r="G32" s="50">
        <f ca="1">'4.5.1.3-4 Direct N2O'!G227</f>
        <v>53.655000000000008</v>
      </c>
      <c r="H32" s="50">
        <f ca="1">'4.5.1.3-4 Direct N2O'!H227</f>
        <v>50.36999999999999</v>
      </c>
      <c r="I32" s="50">
        <f ca="1">'4.5.1.3-4 Direct N2O'!I227</f>
        <v>34.163999999999994</v>
      </c>
      <c r="J32" s="2"/>
      <c r="N32" s="55"/>
      <c r="O32" s="55" t="str">
        <f>INDEX(X_Table_Swine_Stage2MMS_From_DigesterCoveredLagoons,3,1)</f>
        <v>Deep litter</v>
      </c>
      <c r="P32" s="50">
        <f ca="1">'4.5.1.3-4 Direct N2O'!P227</f>
        <v>40.295999999999992</v>
      </c>
      <c r="Q32" s="50">
        <f ca="1">'4.5.1.3-4 Direct N2O'!Q227</f>
        <v>53.655000000000008</v>
      </c>
      <c r="R32" s="50">
        <f ca="1">'4.5.1.3-4 Direct N2O'!R227</f>
        <v>50.36999999999999</v>
      </c>
      <c r="S32" s="50">
        <f ca="1">'4.5.1.3-4 Direct N2O'!S227</f>
        <v>34.163999999999994</v>
      </c>
      <c r="T32" s="2"/>
    </row>
    <row r="33" spans="4:20" ht="20.100000000000001" customHeight="1" x14ac:dyDescent="0.25">
      <c r="D33" s="55"/>
      <c r="E33" s="55" t="str">
        <f>INDEX(X_Table_Swine_Stage2MMS_From_DigesterCoveredLagoons,4,1)</f>
        <v>Pit storage</v>
      </c>
      <c r="F33" s="50">
        <f ca="1">'4.5.1.3-4 Direct N2O'!F228</f>
        <v>40.295999999999992</v>
      </c>
      <c r="G33" s="50">
        <f ca="1">'4.5.1.3-4 Direct N2O'!G228</f>
        <v>53.655000000000008</v>
      </c>
      <c r="H33" s="50">
        <f ca="1">'4.5.1.3-4 Direct N2O'!H228</f>
        <v>50.36999999999999</v>
      </c>
      <c r="I33" s="50">
        <f ca="1">'4.5.1.3-4 Direct N2O'!I228</f>
        <v>34.163999999999994</v>
      </c>
      <c r="J33" s="2"/>
      <c r="N33" s="55"/>
      <c r="O33" s="55" t="str">
        <f>INDEX(X_Table_Swine_Stage2MMS_From_DigesterCoveredLagoons,4,1)</f>
        <v>Pit storage</v>
      </c>
      <c r="P33" s="50">
        <f ca="1">'4.5.1.3-4 Direct N2O'!P228</f>
        <v>40.295999999999992</v>
      </c>
      <c r="Q33" s="50">
        <f ca="1">'4.5.1.3-4 Direct N2O'!Q228</f>
        <v>53.655000000000008</v>
      </c>
      <c r="R33" s="50">
        <f ca="1">'4.5.1.3-4 Direct N2O'!R228</f>
        <v>50.36999999999999</v>
      </c>
      <c r="S33" s="50">
        <f ca="1">'4.5.1.3-4 Direct N2O'!S228</f>
        <v>34.163999999999994</v>
      </c>
      <c r="T33" s="2"/>
    </row>
    <row r="34" spans="4:20" ht="20.100000000000001" customHeight="1" x14ac:dyDescent="0.25">
      <c r="D34" s="55"/>
      <c r="E34" s="55" t="str">
        <f>INDEX(X_Table_Swine_Stage2MMS_From_DigesterCoveredLagoons,5,1)</f>
        <v>Direct application</v>
      </c>
      <c r="F34" s="50">
        <f ca="1">'4.5.1.3-4 Direct N2O'!F229</f>
        <v>80.59199999999997</v>
      </c>
      <c r="G34" s="50">
        <f ca="1">'4.5.1.3-4 Direct N2O'!G229</f>
        <v>53.655000000000008</v>
      </c>
      <c r="H34" s="50">
        <f ca="1">'4.5.1.3-4 Direct N2O'!H229</f>
        <v>50.36999999999999</v>
      </c>
      <c r="I34" s="50">
        <f ca="1">'4.5.1.3-4 Direct N2O'!I229</f>
        <v>34.163999999999994</v>
      </c>
      <c r="J34" s="2"/>
      <c r="N34" s="55"/>
      <c r="O34" s="55" t="str">
        <f>INDEX(X_Table_Swine_Stage2MMS_From_DigesterCoveredLagoons,5,1)</f>
        <v>Direct application</v>
      </c>
      <c r="P34" s="50">
        <f ca="1">'4.5.1.3-4 Direct N2O'!P229</f>
        <v>80.59199999999997</v>
      </c>
      <c r="Q34" s="50">
        <f ca="1">'4.5.1.3-4 Direct N2O'!Q229</f>
        <v>53.655000000000008</v>
      </c>
      <c r="R34" s="50">
        <f ca="1">'4.5.1.3-4 Direct N2O'!R229</f>
        <v>50.36999999999999</v>
      </c>
      <c r="S34" s="50">
        <f ca="1">'4.5.1.3-4 Direct N2O'!S229</f>
        <v>34.163999999999994</v>
      </c>
      <c r="T34" s="2"/>
    </row>
    <row r="35" spans="4:20" ht="20.100000000000001" customHeight="1" x14ac:dyDescent="0.25">
      <c r="D35" s="55" t="str">
        <f>INDEX(X_Table_Swine_Stage1MMS_DeepLitter,2,1)</f>
        <v>Deep litter</v>
      </c>
      <c r="E35" s="55" t="str">
        <f>INDEX(X_Table_Swine_Stage2MMS_From_DeepLitter,2,1)</f>
        <v>Anaerobic lagoon</v>
      </c>
      <c r="F35" s="50">
        <f ca="1">'4.5.1.3-4 Direct N2O'!F230</f>
        <v>34.856039999999993</v>
      </c>
      <c r="G35" s="50">
        <f ca="1">'4.5.1.3-4 Direct N2O'!G230</f>
        <v>46.411575000000006</v>
      </c>
      <c r="H35" s="50">
        <f ca="1">'4.5.1.3-4 Direct N2O'!H230</f>
        <v>43.570049999999988</v>
      </c>
      <c r="I35" s="50">
        <f ca="1">'4.5.1.3-4 Direct N2O'!I230</f>
        <v>29.551859999999994</v>
      </c>
      <c r="J35" s="2"/>
      <c r="N35" s="55" t="str">
        <f>INDEX(X_Table_Swine_Stage1MMS_DeepLitter,2,1)</f>
        <v>Deep litter</v>
      </c>
      <c r="O35" s="55" t="str">
        <f>INDEX(X_Table_Swine_Stage2MMS_From_DeepLitter,2,1)</f>
        <v>Anaerobic lagoon</v>
      </c>
      <c r="P35" s="50">
        <f ca="1">'4.5.1.3-4 Direct N2O'!P230</f>
        <v>34.856039999999993</v>
      </c>
      <c r="Q35" s="50">
        <f ca="1">'4.5.1.3-4 Direct N2O'!Q230</f>
        <v>46.411575000000006</v>
      </c>
      <c r="R35" s="50">
        <f ca="1">'4.5.1.3-4 Direct N2O'!R230</f>
        <v>43.570049999999988</v>
      </c>
      <c r="S35" s="50">
        <f ca="1">'4.5.1.3-4 Direct N2O'!S230</f>
        <v>29.551859999999994</v>
      </c>
      <c r="T35" s="2"/>
    </row>
    <row r="36" spans="4:20" ht="20.100000000000001" customHeight="1" x14ac:dyDescent="0.25">
      <c r="D36" s="55"/>
      <c r="E36" s="55" t="str">
        <f>INDEX(X_Table_Swine_Stage2MMS_From_DeepLitter,3,1)</f>
        <v>Digester / covered lagoons</v>
      </c>
      <c r="F36" s="50">
        <f ca="1">'4.5.1.3-4 Direct N2O'!F231</f>
        <v>34.856039999999993</v>
      </c>
      <c r="G36" s="50">
        <f ca="1">'4.5.1.3-4 Direct N2O'!G231</f>
        <v>46.411575000000006</v>
      </c>
      <c r="H36" s="50">
        <f ca="1">'4.5.1.3-4 Direct N2O'!H231</f>
        <v>43.570049999999988</v>
      </c>
      <c r="I36" s="50">
        <f ca="1">'4.5.1.3-4 Direct N2O'!I231</f>
        <v>29.551859999999994</v>
      </c>
      <c r="J36" s="2"/>
      <c r="N36" s="55"/>
      <c r="O36" s="55" t="str">
        <f>INDEX(X_Table_Swine_Stage2MMS_From_DeepLitter,3,1)</f>
        <v>Digester / covered lagoons</v>
      </c>
      <c r="P36" s="50">
        <f ca="1">'4.5.1.3-4 Direct N2O'!P231</f>
        <v>34.856039999999993</v>
      </c>
      <c r="Q36" s="50">
        <f ca="1">'4.5.1.3-4 Direct N2O'!Q231</f>
        <v>46.411575000000006</v>
      </c>
      <c r="R36" s="50">
        <f ca="1">'4.5.1.3-4 Direct N2O'!R231</f>
        <v>43.570049999999988</v>
      </c>
      <c r="S36" s="50">
        <f ca="1">'4.5.1.3-4 Direct N2O'!S231</f>
        <v>29.551859999999994</v>
      </c>
      <c r="T36" s="2"/>
    </row>
    <row r="37" spans="4:20" ht="20.100000000000001" customHeight="1" x14ac:dyDescent="0.25">
      <c r="D37" s="55"/>
      <c r="E37" s="55" t="str">
        <f>INDEX(X_Table_Swine_Stage2MMS_From_DeepLitter,4,1)</f>
        <v>Pit storage</v>
      </c>
      <c r="F37" s="50">
        <f ca="1">'4.5.1.3-4 Direct N2O'!F232</f>
        <v>34.856039999999993</v>
      </c>
      <c r="G37" s="50">
        <f ca="1">'4.5.1.3-4 Direct N2O'!G232</f>
        <v>46.411575000000006</v>
      </c>
      <c r="H37" s="50">
        <f ca="1">'4.5.1.3-4 Direct N2O'!H232</f>
        <v>43.570049999999988</v>
      </c>
      <c r="I37" s="50">
        <f ca="1">'4.5.1.3-4 Direct N2O'!I232</f>
        <v>29.551859999999994</v>
      </c>
      <c r="J37" s="2"/>
      <c r="N37" s="55"/>
      <c r="O37" s="55" t="str">
        <f>INDEX(X_Table_Swine_Stage2MMS_From_DeepLitter,4,1)</f>
        <v>Pit storage</v>
      </c>
      <c r="P37" s="50">
        <f ca="1">'4.5.1.3-4 Direct N2O'!P232</f>
        <v>34.856039999999993</v>
      </c>
      <c r="Q37" s="50">
        <f ca="1">'4.5.1.3-4 Direct N2O'!Q232</f>
        <v>46.411575000000006</v>
      </c>
      <c r="R37" s="50">
        <f ca="1">'4.5.1.3-4 Direct N2O'!R232</f>
        <v>43.570049999999988</v>
      </c>
      <c r="S37" s="50">
        <f ca="1">'4.5.1.3-4 Direct N2O'!S232</f>
        <v>29.551859999999994</v>
      </c>
      <c r="T37" s="2"/>
    </row>
    <row r="38" spans="4:20" ht="20.100000000000001" customHeight="1" x14ac:dyDescent="0.25">
      <c r="D38" s="55"/>
      <c r="E38" s="55" t="str">
        <f>INDEX(X_Table_Swine_Stage2MMS_From_DeepLitter,5,1)</f>
        <v>Direct application</v>
      </c>
      <c r="F38" s="50">
        <f ca="1">'4.5.1.3-4 Direct N2O'!F233</f>
        <v>69.712079999999972</v>
      </c>
      <c r="G38" s="50">
        <f ca="1">'4.5.1.3-4 Direct N2O'!G233</f>
        <v>46.411575000000006</v>
      </c>
      <c r="H38" s="50">
        <f ca="1">'4.5.1.3-4 Direct N2O'!H233</f>
        <v>43.570049999999988</v>
      </c>
      <c r="I38" s="50">
        <f ca="1">'4.5.1.3-4 Direct N2O'!I233</f>
        <v>29.551859999999994</v>
      </c>
      <c r="J38" s="2"/>
      <c r="N38" s="55"/>
      <c r="O38" s="55" t="str">
        <f>INDEX(X_Table_Swine_Stage2MMS_From_DeepLitter,5,1)</f>
        <v>Direct application</v>
      </c>
      <c r="P38" s="50">
        <f ca="1">'4.5.1.3-4 Direct N2O'!P233</f>
        <v>69.712079999999972</v>
      </c>
      <c r="Q38" s="50">
        <f ca="1">'4.5.1.3-4 Direct N2O'!Q233</f>
        <v>46.411575000000006</v>
      </c>
      <c r="R38" s="50">
        <f ca="1">'4.5.1.3-4 Direct N2O'!R233</f>
        <v>43.570049999999988</v>
      </c>
      <c r="S38" s="50">
        <f ca="1">'4.5.1.3-4 Direct N2O'!S233</f>
        <v>29.551859999999994</v>
      </c>
      <c r="T38" s="2"/>
    </row>
    <row r="39" spans="4:20" ht="20.100000000000001" customHeight="1" x14ac:dyDescent="0.25">
      <c r="D39" s="55" t="str">
        <f>INDEX(X_Table_Swine_Stage1MMS_PitStorage,2,1)</f>
        <v>Pit storage</v>
      </c>
      <c r="E39" s="55" t="str">
        <f>INDEX(X_Table_Swine_Stage2MMS_From_PitStorage,2,1)</f>
        <v>Anaerobic lagoon</v>
      </c>
      <c r="F39" s="50">
        <f ca="1">'4.5.1.3-4 Direct N2O'!F234</f>
        <v>30.141407999999998</v>
      </c>
      <c r="G39" s="50">
        <f ca="1">'4.5.1.3-4 Direct N2O'!G234</f>
        <v>40.133940000000003</v>
      </c>
      <c r="H39" s="50">
        <f ca="1">'4.5.1.3-4 Direct N2O'!H234</f>
        <v>37.676759999999994</v>
      </c>
      <c r="I39" s="50">
        <f ca="1">'4.5.1.3-4 Direct N2O'!I234</f>
        <v>25.554671999999997</v>
      </c>
      <c r="J39" s="2"/>
      <c r="N39" s="55" t="str">
        <f>INDEX(X_Table_Swine_Stage1MMS_PitStorage,2,1)</f>
        <v>Pit storage</v>
      </c>
      <c r="O39" s="55" t="str">
        <f>INDEX(X_Table_Swine_Stage2MMS_From_PitStorage,2,1)</f>
        <v>Anaerobic lagoon</v>
      </c>
      <c r="P39" s="50">
        <f ca="1">'4.5.1.3-4 Direct N2O'!P234</f>
        <v>30.141407999999998</v>
      </c>
      <c r="Q39" s="50">
        <f ca="1">'4.5.1.3-4 Direct N2O'!Q234</f>
        <v>40.133940000000003</v>
      </c>
      <c r="R39" s="50">
        <f ca="1">'4.5.1.3-4 Direct N2O'!R234</f>
        <v>37.676759999999994</v>
      </c>
      <c r="S39" s="50">
        <f ca="1">'4.5.1.3-4 Direct N2O'!S234</f>
        <v>25.554671999999997</v>
      </c>
      <c r="T39" s="2"/>
    </row>
    <row r="40" spans="4:20" ht="20.100000000000001" customHeight="1" x14ac:dyDescent="0.25">
      <c r="D40" s="55"/>
      <c r="E40" s="55" t="str">
        <f>INDEX(X_Table_Swine_Stage2MMS_From_PitStorage,3,1)</f>
        <v>Digester / covered lagoons</v>
      </c>
      <c r="F40" s="50">
        <f ca="1">'4.5.1.3-4 Direct N2O'!F235</f>
        <v>30.141407999999998</v>
      </c>
      <c r="G40" s="50">
        <f ca="1">'4.5.1.3-4 Direct N2O'!G235</f>
        <v>40.133940000000003</v>
      </c>
      <c r="H40" s="50">
        <f ca="1">'4.5.1.3-4 Direct N2O'!H235</f>
        <v>37.676759999999994</v>
      </c>
      <c r="I40" s="50">
        <f ca="1">'4.5.1.3-4 Direct N2O'!I235</f>
        <v>25.554671999999997</v>
      </c>
      <c r="J40" s="2"/>
      <c r="N40" s="55"/>
      <c r="O40" s="55" t="str">
        <f>INDEX(X_Table_Swine_Stage2MMS_From_PitStorage,3,1)</f>
        <v>Digester / covered lagoons</v>
      </c>
      <c r="P40" s="50">
        <f ca="1">'4.5.1.3-4 Direct N2O'!P235</f>
        <v>30.141407999999998</v>
      </c>
      <c r="Q40" s="50">
        <f ca="1">'4.5.1.3-4 Direct N2O'!Q235</f>
        <v>40.133940000000003</v>
      </c>
      <c r="R40" s="50">
        <f ca="1">'4.5.1.3-4 Direct N2O'!R235</f>
        <v>37.676759999999994</v>
      </c>
      <c r="S40" s="50">
        <f ca="1">'4.5.1.3-4 Direct N2O'!S235</f>
        <v>25.554671999999997</v>
      </c>
      <c r="T40" s="2"/>
    </row>
    <row r="41" spans="4:20" ht="20.100000000000001" customHeight="1" x14ac:dyDescent="0.25">
      <c r="D41" s="55"/>
      <c r="E41" s="55" t="str">
        <f>INDEX(X_Table_Swine_Stage2MMS_From_PitStorage,4,1)</f>
        <v>Deep litter</v>
      </c>
      <c r="F41" s="50">
        <f ca="1">'4.5.1.3-4 Direct N2O'!F236</f>
        <v>30.141407999999998</v>
      </c>
      <c r="G41" s="50">
        <f ca="1">'4.5.1.3-4 Direct N2O'!G236</f>
        <v>40.133940000000003</v>
      </c>
      <c r="H41" s="50">
        <f ca="1">'4.5.1.3-4 Direct N2O'!H236</f>
        <v>37.676759999999994</v>
      </c>
      <c r="I41" s="50">
        <f ca="1">'4.5.1.3-4 Direct N2O'!I236</f>
        <v>25.554671999999997</v>
      </c>
      <c r="J41" s="2"/>
      <c r="N41" s="55"/>
      <c r="O41" s="55" t="str">
        <f>INDEX(X_Table_Swine_Stage2MMS_From_PitStorage,4,1)</f>
        <v>Deep litter</v>
      </c>
      <c r="P41" s="50">
        <f ca="1">'4.5.1.3-4 Direct N2O'!P236</f>
        <v>30.141407999999998</v>
      </c>
      <c r="Q41" s="50">
        <f ca="1">'4.5.1.3-4 Direct N2O'!Q236</f>
        <v>40.133940000000003</v>
      </c>
      <c r="R41" s="50">
        <f ca="1">'4.5.1.3-4 Direct N2O'!R236</f>
        <v>37.676759999999994</v>
      </c>
      <c r="S41" s="50">
        <f ca="1">'4.5.1.3-4 Direct N2O'!S236</f>
        <v>25.554671999999997</v>
      </c>
      <c r="T41" s="2"/>
    </row>
    <row r="42" spans="4:20" ht="20.100000000000001" customHeight="1" x14ac:dyDescent="0.25">
      <c r="D42" s="55"/>
      <c r="E42" s="55" t="str">
        <f>INDEX(X_Table_Swine_Stage2MMS_From_PitStorage,5,1)</f>
        <v>Direct application</v>
      </c>
      <c r="F42" s="50">
        <f ca="1">'4.5.1.3-4 Direct N2O'!F237</f>
        <v>60.282815999999976</v>
      </c>
      <c r="G42" s="50">
        <f ca="1">'4.5.1.3-4 Direct N2O'!G237</f>
        <v>40.133940000000003</v>
      </c>
      <c r="H42" s="50">
        <f ca="1">'4.5.1.3-4 Direct N2O'!H237</f>
        <v>37.676759999999994</v>
      </c>
      <c r="I42" s="50">
        <f ca="1">'4.5.1.3-4 Direct N2O'!I237</f>
        <v>25.554671999999997</v>
      </c>
      <c r="J42" s="2"/>
      <c r="N42" s="55"/>
      <c r="O42" s="55" t="str">
        <f>INDEX(X_Table_Swine_Stage2MMS_From_PitStorage,5,1)</f>
        <v>Direct application</v>
      </c>
      <c r="P42" s="50">
        <f ca="1">'4.5.1.3-4 Direct N2O'!P237</f>
        <v>60.282815999999976</v>
      </c>
      <c r="Q42" s="50">
        <f ca="1">'4.5.1.3-4 Direct N2O'!Q237</f>
        <v>40.133940000000003</v>
      </c>
      <c r="R42" s="50">
        <f ca="1">'4.5.1.3-4 Direct N2O'!R237</f>
        <v>37.676759999999994</v>
      </c>
      <c r="S42" s="50">
        <f ca="1">'4.5.1.3-4 Direct N2O'!S237</f>
        <v>25.554671999999997</v>
      </c>
      <c r="T42" s="2"/>
    </row>
    <row r="43" spans="4:20" ht="20.100000000000001" customHeight="1" x14ac:dyDescent="0.25">
      <c r="D43" s="55" t="s">
        <v>346</v>
      </c>
      <c r="E43" s="55" t="str">
        <f>INDEX(X_Table_Swine_Stage2MMS_From_SolidStorage,2,1)</f>
        <v>Anaerobic lagoon</v>
      </c>
      <c r="F43" s="50">
        <f ca="1">'4.5.1.3-4 Direct N2O'!F238</f>
        <v>106.78440000000003</v>
      </c>
      <c r="G43" s="50">
        <f ca="1">'4.5.1.3-4 Direct N2O'!G238</f>
        <v>113.74860000000007</v>
      </c>
      <c r="H43" s="50">
        <f ca="1">'4.5.1.3-4 Direct N2O'!H238</f>
        <v>106.78440000000003</v>
      </c>
      <c r="I43" s="50">
        <f ca="1">'4.5.1.3-4 Direct N2O'!I238</f>
        <v>72.427680000000038</v>
      </c>
      <c r="J43" s="2"/>
      <c r="N43" s="55" t="s">
        <v>346</v>
      </c>
      <c r="O43" s="55" t="str">
        <f>INDEX(X_Table_Swine_Stage2MMS_From_SolidStorage,2,1)</f>
        <v>Anaerobic lagoon</v>
      </c>
      <c r="P43" s="50">
        <f ca="1">'4.5.1.3-4 Direct N2O'!P238</f>
        <v>106.78440000000003</v>
      </c>
      <c r="Q43" s="50">
        <f ca="1">'4.5.1.3-4 Direct N2O'!Q238</f>
        <v>113.74860000000007</v>
      </c>
      <c r="R43" s="50">
        <f ca="1">'4.5.1.3-4 Direct N2O'!R238</f>
        <v>106.78440000000003</v>
      </c>
      <c r="S43" s="50">
        <f ca="1">'4.5.1.3-4 Direct N2O'!S238</f>
        <v>72.427680000000038</v>
      </c>
      <c r="T43" s="2"/>
    </row>
    <row r="44" spans="4:20" ht="20.100000000000001" customHeight="1" x14ac:dyDescent="0.25">
      <c r="D44" s="55"/>
      <c r="E44" s="55" t="str">
        <f>INDEX(X_Table_Swine_Stage2MMS_From_SolidStorage,3,1)</f>
        <v>Digester / covered lagoons</v>
      </c>
      <c r="F44" s="50">
        <f ca="1">'4.5.1.3-4 Direct N2O'!F239</f>
        <v>106.78440000000003</v>
      </c>
      <c r="G44" s="50">
        <f ca="1">'4.5.1.3-4 Direct N2O'!G239</f>
        <v>113.74860000000007</v>
      </c>
      <c r="H44" s="50">
        <f ca="1">'4.5.1.3-4 Direct N2O'!H239</f>
        <v>106.78440000000003</v>
      </c>
      <c r="I44" s="50">
        <f ca="1">'4.5.1.3-4 Direct N2O'!I239</f>
        <v>72.427680000000038</v>
      </c>
      <c r="J44" s="2"/>
      <c r="N44" s="55"/>
      <c r="O44" s="55" t="str">
        <f>INDEX(X_Table_Swine_Stage2MMS_From_SolidStorage,3,1)</f>
        <v>Digester / covered lagoons</v>
      </c>
      <c r="P44" s="50">
        <f ca="1">'4.5.1.3-4 Direct N2O'!P239</f>
        <v>106.78440000000003</v>
      </c>
      <c r="Q44" s="50">
        <f ca="1">'4.5.1.3-4 Direct N2O'!Q239</f>
        <v>113.74860000000007</v>
      </c>
      <c r="R44" s="50">
        <f ca="1">'4.5.1.3-4 Direct N2O'!R239</f>
        <v>106.78440000000003</v>
      </c>
      <c r="S44" s="50">
        <f ca="1">'4.5.1.3-4 Direct N2O'!S239</f>
        <v>72.427680000000038</v>
      </c>
      <c r="T44" s="2"/>
    </row>
    <row r="45" spans="4:20" ht="20.100000000000001" customHeight="1" x14ac:dyDescent="0.25">
      <c r="D45" s="55"/>
      <c r="E45" s="55" t="str">
        <f>INDEX(X_Table_Swine_Stage2MMS_From_SolidStorage,4,1)</f>
        <v>Deep litter</v>
      </c>
      <c r="F45" s="50">
        <f ca="1">'4.5.1.3-4 Direct N2O'!F240</f>
        <v>106.78440000000003</v>
      </c>
      <c r="G45" s="50">
        <f ca="1">'4.5.1.3-4 Direct N2O'!G240</f>
        <v>113.74860000000007</v>
      </c>
      <c r="H45" s="50">
        <f ca="1">'4.5.1.3-4 Direct N2O'!H240</f>
        <v>106.78440000000003</v>
      </c>
      <c r="I45" s="50">
        <f ca="1">'4.5.1.3-4 Direct N2O'!I240</f>
        <v>72.427680000000038</v>
      </c>
      <c r="J45" s="2"/>
      <c r="N45" s="55"/>
      <c r="O45" s="55" t="str">
        <f>INDEX(X_Table_Swine_Stage2MMS_From_SolidStorage,4,1)</f>
        <v>Deep litter</v>
      </c>
      <c r="P45" s="50">
        <f ca="1">'4.5.1.3-4 Direct N2O'!P240</f>
        <v>106.78440000000003</v>
      </c>
      <c r="Q45" s="50">
        <f ca="1">'4.5.1.3-4 Direct N2O'!Q240</f>
        <v>113.74860000000007</v>
      </c>
      <c r="R45" s="50">
        <f ca="1">'4.5.1.3-4 Direct N2O'!R240</f>
        <v>106.78440000000003</v>
      </c>
      <c r="S45" s="50">
        <f ca="1">'4.5.1.3-4 Direct N2O'!S240</f>
        <v>72.427680000000038</v>
      </c>
      <c r="T45" s="2"/>
    </row>
    <row r="46" spans="4:20" ht="20.100000000000001" customHeight="1" x14ac:dyDescent="0.25">
      <c r="D46" s="55"/>
      <c r="E46" s="55" t="str">
        <f>INDEX(X_Table_Swine_Stage2MMS_From_SolidStorage,5,1)</f>
        <v>Pit storage</v>
      </c>
      <c r="F46" s="50">
        <f ca="1">'4.5.1.3-4 Direct N2O'!F241</f>
        <v>53.392200000000017</v>
      </c>
      <c r="G46" s="50">
        <f ca="1">'4.5.1.3-4 Direct N2O'!G241</f>
        <v>56.874300000000034</v>
      </c>
      <c r="H46" s="50">
        <f ca="1">'4.5.1.3-4 Direct N2O'!H241</f>
        <v>53.392200000000017</v>
      </c>
      <c r="I46" s="50">
        <f ca="1">'4.5.1.3-4 Direct N2O'!I241</f>
        <v>36.213840000000019</v>
      </c>
      <c r="J46" s="2"/>
      <c r="N46" s="55"/>
      <c r="O46" s="55" t="str">
        <f>INDEX(X_Table_Swine_Stage2MMS_From_SolidStorage,5,1)</f>
        <v>Pit storage</v>
      </c>
      <c r="P46" s="50">
        <f ca="1">'4.5.1.3-4 Direct N2O'!P241</f>
        <v>53.392200000000017</v>
      </c>
      <c r="Q46" s="50">
        <f ca="1">'4.5.1.3-4 Direct N2O'!Q241</f>
        <v>56.874300000000034</v>
      </c>
      <c r="R46" s="50">
        <f ca="1">'4.5.1.3-4 Direct N2O'!R241</f>
        <v>53.392200000000017</v>
      </c>
      <c r="S46" s="50">
        <f ca="1">'4.5.1.3-4 Direct N2O'!S241</f>
        <v>36.213840000000019</v>
      </c>
      <c r="T46" s="2"/>
    </row>
    <row r="47" spans="4:20" ht="20.100000000000001" customHeight="1" x14ac:dyDescent="0.25">
      <c r="D47" s="55"/>
      <c r="E47" s="55" t="str">
        <f>INDEX(X_Table_Swine_Stage2MMS_From_SolidStorage,6,1)</f>
        <v>Direct application</v>
      </c>
      <c r="F47" s="50">
        <f ca="1">'4.5.1.3-4 Direct N2O'!F242</f>
        <v>160.17660000000001</v>
      </c>
      <c r="G47" s="50">
        <f ca="1">'4.5.1.3-4 Direct N2O'!G242</f>
        <v>170.62290000000004</v>
      </c>
      <c r="H47" s="50">
        <f ca="1">'4.5.1.3-4 Direct N2O'!H242</f>
        <v>160.17660000000001</v>
      </c>
      <c r="I47" s="50">
        <f ca="1">'4.5.1.3-4 Direct N2O'!I242</f>
        <v>108.64152000000003</v>
      </c>
      <c r="J47" s="2"/>
      <c r="N47" s="55"/>
      <c r="O47" s="55" t="str">
        <f>INDEX(X_Table_Swine_Stage2MMS_From_SolidStorage,6,1)</f>
        <v>Direct application</v>
      </c>
      <c r="P47" s="50">
        <f ca="1">'4.5.1.3-4 Direct N2O'!P242</f>
        <v>160.17660000000001</v>
      </c>
      <c r="Q47" s="50">
        <f ca="1">'4.5.1.3-4 Direct N2O'!Q242</f>
        <v>170.62290000000004</v>
      </c>
      <c r="R47" s="50">
        <f ca="1">'4.5.1.3-4 Direct N2O'!R242</f>
        <v>160.17660000000001</v>
      </c>
      <c r="S47" s="50">
        <f ca="1">'4.5.1.3-4 Direct N2O'!S242</f>
        <v>108.64152000000003</v>
      </c>
      <c r="T47" s="2"/>
    </row>
    <row r="48" spans="4:20" ht="20.100000000000001" customHeight="1" x14ac:dyDescent="0.25"/>
    <row r="49" spans="4:20" ht="20.100000000000001" customHeight="1" x14ac:dyDescent="0.25">
      <c r="D49" s="117" t="s">
        <v>272</v>
      </c>
      <c r="N49" s="117" t="s">
        <v>272</v>
      </c>
    </row>
    <row r="50" spans="4:20" ht="20.100000000000001" customHeight="1" x14ac:dyDescent="0.25">
      <c r="D50" s="118" t="s">
        <v>292</v>
      </c>
      <c r="N50" s="118" t="s">
        <v>292</v>
      </c>
    </row>
    <row r="51" spans="4:20" ht="20.100000000000001" customHeight="1" x14ac:dyDescent="0.25">
      <c r="D51" s="49" t="s">
        <v>156</v>
      </c>
      <c r="E51" s="49" t="s">
        <v>164</v>
      </c>
      <c r="F51" s="49" t="s">
        <v>135</v>
      </c>
      <c r="G51" s="49" t="s">
        <v>136</v>
      </c>
      <c r="H51" s="49" t="s">
        <v>137</v>
      </c>
      <c r="I51" s="49" t="s">
        <v>195</v>
      </c>
      <c r="N51" s="49" t="s">
        <v>156</v>
      </c>
      <c r="O51" s="49" t="s">
        <v>164</v>
      </c>
      <c r="P51" s="49" t="s">
        <v>135</v>
      </c>
      <c r="Q51" s="49" t="s">
        <v>136</v>
      </c>
      <c r="R51" s="49" t="s">
        <v>137</v>
      </c>
      <c r="S51" s="49" t="s">
        <v>195</v>
      </c>
    </row>
    <row r="52" spans="4:20" ht="20.100000000000001" customHeight="1" x14ac:dyDescent="0.25">
      <c r="D52" s="55" t="str">
        <f>INDEX(X_Table_Swine_Stage1MMS_AnaerobicLagoon,2,1)</f>
        <v>Anaerobic lagoon</v>
      </c>
      <c r="E52" s="55" t="str">
        <f>INDEX(X_Table_Swine_Stage2MMS_From_AnaerobicLagoon,2,1)</f>
        <v>Digester / covered lagoons</v>
      </c>
      <c r="F52" s="50">
        <v>0</v>
      </c>
      <c r="G52" s="50">
        <v>0</v>
      </c>
      <c r="H52" s="50">
        <v>0</v>
      </c>
      <c r="I52" s="50">
        <v>0</v>
      </c>
      <c r="J52" s="2" t="str">
        <f>$G$16</f>
        <v>kg N</v>
      </c>
      <c r="N52" s="55" t="str">
        <f>INDEX(X_Table_Swine_Stage1MMS_AnaerobicLagoon,2,1)</f>
        <v>Anaerobic lagoon</v>
      </c>
      <c r="O52" s="55" t="str">
        <f>INDEX(X_Table_Swine_Stage2MMS_From_AnaerobicLagoon,2,1)</f>
        <v>Digester / covered lagoons</v>
      </c>
      <c r="P52" s="50">
        <v>0</v>
      </c>
      <c r="Q52" s="50">
        <v>0</v>
      </c>
      <c r="R52" s="50">
        <v>0</v>
      </c>
      <c r="S52" s="50">
        <v>0</v>
      </c>
      <c r="T52" s="2" t="str">
        <f>$G$16</f>
        <v>kg N</v>
      </c>
    </row>
    <row r="53" spans="4:20" ht="20.100000000000001" customHeight="1" x14ac:dyDescent="0.25">
      <c r="D53" s="55"/>
      <c r="E53" s="55" t="str">
        <f>INDEX(X_Table_Swine_Stage2MMS_From_AnaerobicLagoon,3,1)</f>
        <v>Deep litter</v>
      </c>
      <c r="F53" s="50">
        <v>0</v>
      </c>
      <c r="G53" s="50">
        <v>0</v>
      </c>
      <c r="H53" s="50">
        <v>0</v>
      </c>
      <c r="I53" s="50">
        <v>0</v>
      </c>
      <c r="J53" s="2"/>
      <c r="N53" s="55"/>
      <c r="O53" s="55" t="str">
        <f>INDEX(X_Table_Swine_Stage2MMS_From_AnaerobicLagoon,3,1)</f>
        <v>Deep litter</v>
      </c>
      <c r="P53" s="50">
        <v>0</v>
      </c>
      <c r="Q53" s="50">
        <v>0</v>
      </c>
      <c r="R53" s="50">
        <v>0</v>
      </c>
      <c r="S53" s="50">
        <v>0</v>
      </c>
      <c r="T53" s="2"/>
    </row>
    <row r="54" spans="4:20" ht="20.100000000000001" customHeight="1" x14ac:dyDescent="0.25">
      <c r="D54" s="55"/>
      <c r="E54" s="55" t="str">
        <f>INDEX(X_Table_Swine_Stage2MMS_From_AnaerobicLagoon,4,1)</f>
        <v>Pit storage</v>
      </c>
      <c r="F54" s="50">
        <v>0</v>
      </c>
      <c r="G54" s="50">
        <v>0</v>
      </c>
      <c r="H54" s="50">
        <v>0</v>
      </c>
      <c r="I54" s="50">
        <v>0</v>
      </c>
      <c r="J54" s="2"/>
      <c r="N54" s="55"/>
      <c r="O54" s="55" t="str">
        <f>INDEX(X_Table_Swine_Stage2MMS_From_AnaerobicLagoon,4,1)</f>
        <v>Pit storage</v>
      </c>
      <c r="P54" s="50">
        <v>0</v>
      </c>
      <c r="Q54" s="50">
        <v>0</v>
      </c>
      <c r="R54" s="50">
        <v>0</v>
      </c>
      <c r="S54" s="50">
        <v>0</v>
      </c>
      <c r="T54" s="2"/>
    </row>
    <row r="55" spans="4:20" ht="20.100000000000001" customHeight="1" x14ac:dyDescent="0.25">
      <c r="D55" s="55"/>
      <c r="E55" s="55" t="str">
        <f>INDEX(X_Table_Swine_Stage2MMS_From_AnaerobicLagoon,5,1)</f>
        <v>Direct application</v>
      </c>
      <c r="F55" s="50">
        <v>0</v>
      </c>
      <c r="G55" s="50">
        <v>0</v>
      </c>
      <c r="H55" s="50">
        <v>0</v>
      </c>
      <c r="I55" s="50">
        <v>0</v>
      </c>
      <c r="J55" s="2"/>
      <c r="N55" s="55"/>
      <c r="O55" s="55" t="str">
        <f>INDEX(X_Table_Swine_Stage2MMS_From_AnaerobicLagoon,5,1)</f>
        <v>Direct application</v>
      </c>
      <c r="P55" s="50">
        <v>0</v>
      </c>
      <c r="Q55" s="50">
        <v>0</v>
      </c>
      <c r="R55" s="50">
        <v>0</v>
      </c>
      <c r="S55" s="50">
        <v>0</v>
      </c>
      <c r="T55" s="2"/>
    </row>
    <row r="56" spans="4:20" ht="20.100000000000001" customHeight="1" x14ac:dyDescent="0.25">
      <c r="D56" s="55" t="str">
        <f>INDEX(X_Table_Swine_Stage1MMS_Drylot,2,1)</f>
        <v>Drylot (feed pad)</v>
      </c>
      <c r="E56" s="55" t="str">
        <f>INDEX(X_Table_Swine_Stage2MMS_From_Drylot,2,1)</f>
        <v>Anaerobic lagoon</v>
      </c>
      <c r="F56" s="50">
        <f ca="1">INDEX(M1_Table_MN_leach_j_m5_Consumer_1,2,2)</f>
        <v>4.0295999999999994</v>
      </c>
      <c r="G56" s="50">
        <f ca="1">INDEX(M1_Table_MN_leach_j_m5_Consumer_1,2,3)</f>
        <v>4.2924000000000007</v>
      </c>
      <c r="H56" s="50">
        <f ca="1">INDEX(M1_Table_MN_leach_j_m5_Consumer_1,2,4)</f>
        <v>4.0295999999999994</v>
      </c>
      <c r="I56" s="50">
        <f ca="1">INDEX(M1_Table_MN_leach_j_m5_Consumer_1,2,5)</f>
        <v>2.7331199999999995</v>
      </c>
      <c r="J56" s="2"/>
      <c r="N56" s="55" t="str">
        <f>INDEX(X_Table_Swine_Stage1MMS_Drylot,2,1)</f>
        <v>Drylot (feed pad)</v>
      </c>
      <c r="O56" s="55" t="str">
        <f>INDEX(X_Table_Swine_Stage2MMS_From_Drylot,2,1)</f>
        <v>Anaerobic lagoon</v>
      </c>
      <c r="P56" s="50">
        <f ca="1">INDEX(M1_Table_MN_leach_j_m5,2,2)</f>
        <v>4.0295999999999994</v>
      </c>
      <c r="Q56" s="50">
        <f ca="1">INDEX(M1_Table_MN_leach_j_m5,2,3)</f>
        <v>4.2924000000000007</v>
      </c>
      <c r="R56" s="50">
        <f ca="1">INDEX(M1_Table_MN_leach_j_m5,2,4)</f>
        <v>4.0295999999999994</v>
      </c>
      <c r="S56" s="50">
        <f ca="1">INDEX(M1_Table_MN_leach_j_m5,2,5)</f>
        <v>2.7331199999999995</v>
      </c>
      <c r="T56" s="2"/>
    </row>
    <row r="57" spans="4:20" ht="20.100000000000001" customHeight="1" x14ac:dyDescent="0.25">
      <c r="D57" s="55"/>
      <c r="E57" s="55" t="str">
        <f>INDEX(X_Table_Swine_Stage2MMS_From_Drylot,3,1)</f>
        <v>Digester / covered lagoons</v>
      </c>
      <c r="F57" s="50">
        <f ca="1">INDEX(M1_Table_MN_leach_j_m5_Consumer_1,2,2)</f>
        <v>4.0295999999999994</v>
      </c>
      <c r="G57" s="50">
        <f ca="1">INDEX(M1_Table_MN_leach_j_m5_Consumer_1,2,3)</f>
        <v>4.2924000000000007</v>
      </c>
      <c r="H57" s="50">
        <f ca="1">INDEX(M1_Table_MN_leach_j_m5_Consumer_1,2,4)</f>
        <v>4.0295999999999994</v>
      </c>
      <c r="I57" s="50">
        <f ca="1">INDEX(M1_Table_MN_leach_j_m5_Consumer_1,2,5)</f>
        <v>2.7331199999999995</v>
      </c>
      <c r="J57" s="2"/>
      <c r="N57" s="55"/>
      <c r="O57" s="55" t="str">
        <f>INDEX(X_Table_Swine_Stage2MMS_From_Drylot,3,1)</f>
        <v>Digester / covered lagoons</v>
      </c>
      <c r="P57" s="50">
        <f ca="1">INDEX(M1_Table_MN_leach_j_m5,2,2)</f>
        <v>4.0295999999999994</v>
      </c>
      <c r="Q57" s="50">
        <f ca="1">INDEX(M1_Table_MN_leach_j_m5,2,3)</f>
        <v>4.2924000000000007</v>
      </c>
      <c r="R57" s="50">
        <f ca="1">INDEX(M1_Table_MN_leach_j_m5,2,4)</f>
        <v>4.0295999999999994</v>
      </c>
      <c r="S57" s="50">
        <f ca="1">INDEX(M1_Table_MN_leach_j_m5,2,5)</f>
        <v>2.7331199999999995</v>
      </c>
      <c r="T57" s="2"/>
    </row>
    <row r="58" spans="4:20" ht="20.100000000000001" customHeight="1" x14ac:dyDescent="0.25">
      <c r="D58" s="55"/>
      <c r="E58" s="55" t="str">
        <f>INDEX(X_Table_Swine_Stage2MMS_From_Drylot,4,1)</f>
        <v>Deep litter</v>
      </c>
      <c r="F58" s="50">
        <f ca="1">INDEX(M1_Table_MN_leach_j_m5_Consumer_1,2,2)</f>
        <v>4.0295999999999994</v>
      </c>
      <c r="G58" s="50">
        <f ca="1">INDEX(M1_Table_MN_leach_j_m5_Consumer_1,2,3)</f>
        <v>4.2924000000000007</v>
      </c>
      <c r="H58" s="50">
        <f ca="1">INDEX(M1_Table_MN_leach_j_m5_Consumer_1,2,4)</f>
        <v>4.0295999999999994</v>
      </c>
      <c r="I58" s="50">
        <f ca="1">INDEX(M1_Table_MN_leach_j_m5_Consumer_1,2,5)</f>
        <v>2.7331199999999995</v>
      </c>
      <c r="J58" s="2"/>
      <c r="N58" s="55"/>
      <c r="O58" s="55" t="str">
        <f>INDEX(X_Table_Swine_Stage2MMS_From_Drylot,4,1)</f>
        <v>Deep litter</v>
      </c>
      <c r="P58" s="50">
        <f ca="1">INDEX(M1_Table_MN_leach_j_m5,2,2)</f>
        <v>4.0295999999999994</v>
      </c>
      <c r="Q58" s="50">
        <f ca="1">INDEX(M1_Table_MN_leach_j_m5,2,3)</f>
        <v>4.2924000000000007</v>
      </c>
      <c r="R58" s="50">
        <f ca="1">INDEX(M1_Table_MN_leach_j_m5,2,4)</f>
        <v>4.0295999999999994</v>
      </c>
      <c r="S58" s="50">
        <f ca="1">INDEX(M1_Table_MN_leach_j_m5,2,5)</f>
        <v>2.7331199999999995</v>
      </c>
      <c r="T58" s="2"/>
    </row>
    <row r="59" spans="4:20" ht="20.100000000000001" customHeight="1" x14ac:dyDescent="0.25">
      <c r="D59" s="55"/>
      <c r="E59" s="55" t="str">
        <f>INDEX(X_Table_Swine_Stage2MMS_From_Drylot,5,1)</f>
        <v>Pit storage</v>
      </c>
      <c r="F59" s="50">
        <f ca="1">INDEX(M1_Table_MN_leach_j_m5_Consumer_1,2,2)</f>
        <v>4.0295999999999994</v>
      </c>
      <c r="G59" s="50">
        <f ca="1">INDEX(M1_Table_MN_leach_j_m5_Consumer_1,2,3)</f>
        <v>4.2924000000000007</v>
      </c>
      <c r="H59" s="50">
        <f ca="1">INDEX(M1_Table_MN_leach_j_m5_Consumer_1,2,4)</f>
        <v>4.0295999999999994</v>
      </c>
      <c r="I59" s="50">
        <f ca="1">INDEX(M1_Table_MN_leach_j_m5_Consumer_1,2,5)</f>
        <v>2.7331199999999995</v>
      </c>
      <c r="J59" s="2"/>
      <c r="N59" s="55"/>
      <c r="O59" s="55" t="str">
        <f>INDEX(X_Table_Swine_Stage2MMS_From_Drylot,5,1)</f>
        <v>Pit storage</v>
      </c>
      <c r="P59" s="50">
        <f ca="1">INDEX(M1_Table_MN_leach_j_m5,2,2)</f>
        <v>4.0295999999999994</v>
      </c>
      <c r="Q59" s="50">
        <f ca="1">INDEX(M1_Table_MN_leach_j_m5,2,3)</f>
        <v>4.2924000000000007</v>
      </c>
      <c r="R59" s="50">
        <f ca="1">INDEX(M1_Table_MN_leach_j_m5,2,4)</f>
        <v>4.0295999999999994</v>
      </c>
      <c r="S59" s="50">
        <f ca="1">INDEX(M1_Table_MN_leach_j_m5,2,5)</f>
        <v>2.7331199999999995</v>
      </c>
      <c r="T59" s="2"/>
    </row>
    <row r="60" spans="4:20" ht="20.100000000000001" customHeight="1" x14ac:dyDescent="0.25">
      <c r="D60" s="55"/>
      <c r="E60" s="55" t="str">
        <f>INDEX(X_Table_Swine_Stage2MMS_From_Drylot,6,1)</f>
        <v>Direct application</v>
      </c>
      <c r="F60" s="50">
        <v>0</v>
      </c>
      <c r="G60" s="50">
        <v>0</v>
      </c>
      <c r="H60" s="50">
        <v>0</v>
      </c>
      <c r="I60" s="50">
        <v>0</v>
      </c>
      <c r="J60" s="2"/>
      <c r="N60" s="55"/>
      <c r="O60" s="55" t="str">
        <f>INDEX(X_Table_Swine_Stage2MMS_From_Drylot,6,1)</f>
        <v>Direct application</v>
      </c>
      <c r="P60" s="50">
        <v>0</v>
      </c>
      <c r="Q60" s="50">
        <v>0</v>
      </c>
      <c r="R60" s="50">
        <v>0</v>
      </c>
      <c r="S60" s="50">
        <v>0</v>
      </c>
      <c r="T60" s="2"/>
    </row>
    <row r="61" spans="4:20" ht="20.100000000000001" customHeight="1" x14ac:dyDescent="0.25">
      <c r="D61" s="55" t="str">
        <f>INDEX(X_Table_Swine_Stage1MMS_DigesterCoveredLagoons,2,1)</f>
        <v>Digester / covered lagoons</v>
      </c>
      <c r="E61" s="55" t="str">
        <f>INDEX(X_Table_Swine_Stage2MMS_From_DigesterCoveredLagoons,2,1)</f>
        <v>Anaerobic lagoon</v>
      </c>
      <c r="F61" s="50">
        <v>0</v>
      </c>
      <c r="G61" s="50">
        <v>0</v>
      </c>
      <c r="H61" s="50">
        <v>0</v>
      </c>
      <c r="I61" s="50">
        <v>0</v>
      </c>
      <c r="J61" s="2"/>
      <c r="N61" s="55" t="str">
        <f>INDEX(X_Table_Swine_Stage1MMS_DigesterCoveredLagoons,2,1)</f>
        <v>Digester / covered lagoons</v>
      </c>
      <c r="O61" s="55" t="str">
        <f>INDEX(X_Table_Swine_Stage2MMS_From_DigesterCoveredLagoons,2,1)</f>
        <v>Anaerobic lagoon</v>
      </c>
      <c r="P61" s="50">
        <v>0</v>
      </c>
      <c r="Q61" s="50">
        <v>0</v>
      </c>
      <c r="R61" s="50">
        <v>0</v>
      </c>
      <c r="S61" s="50">
        <v>0</v>
      </c>
      <c r="T61" s="2"/>
    </row>
    <row r="62" spans="4:20" ht="20.100000000000001" customHeight="1" x14ac:dyDescent="0.25">
      <c r="D62" s="55"/>
      <c r="E62" s="55" t="str">
        <f>INDEX(X_Table_Swine_Stage2MMS_From_DigesterCoveredLagoons,3,1)</f>
        <v>Deep litter</v>
      </c>
      <c r="F62" s="50">
        <v>0</v>
      </c>
      <c r="G62" s="50">
        <v>0</v>
      </c>
      <c r="H62" s="50">
        <v>0</v>
      </c>
      <c r="I62" s="50">
        <v>0</v>
      </c>
      <c r="J62" s="2"/>
      <c r="N62" s="55"/>
      <c r="O62" s="55" t="str">
        <f>INDEX(X_Table_Swine_Stage2MMS_From_DigesterCoveredLagoons,3,1)</f>
        <v>Deep litter</v>
      </c>
      <c r="P62" s="50">
        <v>0</v>
      </c>
      <c r="Q62" s="50">
        <v>0</v>
      </c>
      <c r="R62" s="50">
        <v>0</v>
      </c>
      <c r="S62" s="50">
        <v>0</v>
      </c>
      <c r="T62" s="2"/>
    </row>
    <row r="63" spans="4:20" ht="20.100000000000001" customHeight="1" x14ac:dyDescent="0.25">
      <c r="D63" s="55"/>
      <c r="E63" s="55" t="str">
        <f>INDEX(X_Table_Swine_Stage2MMS_From_DigesterCoveredLagoons,4,1)</f>
        <v>Pit storage</v>
      </c>
      <c r="F63" s="50">
        <v>0</v>
      </c>
      <c r="G63" s="50">
        <v>0</v>
      </c>
      <c r="H63" s="50">
        <v>0</v>
      </c>
      <c r="I63" s="50">
        <v>0</v>
      </c>
      <c r="J63" s="2"/>
      <c r="N63" s="55"/>
      <c r="O63" s="55" t="str">
        <f>INDEX(X_Table_Swine_Stage2MMS_From_DigesterCoveredLagoons,4,1)</f>
        <v>Pit storage</v>
      </c>
      <c r="P63" s="50">
        <v>0</v>
      </c>
      <c r="Q63" s="50">
        <v>0</v>
      </c>
      <c r="R63" s="50">
        <v>0</v>
      </c>
      <c r="S63" s="50">
        <v>0</v>
      </c>
      <c r="T63" s="2"/>
    </row>
    <row r="64" spans="4:20" ht="20.100000000000001" customHeight="1" x14ac:dyDescent="0.25">
      <c r="D64" s="55"/>
      <c r="E64" s="55" t="str">
        <f>INDEX(X_Table_Swine_Stage2MMS_From_DigesterCoveredLagoons,5,1)</f>
        <v>Direct application</v>
      </c>
      <c r="F64" s="50">
        <v>0</v>
      </c>
      <c r="G64" s="50">
        <v>0</v>
      </c>
      <c r="H64" s="50">
        <v>0</v>
      </c>
      <c r="I64" s="50">
        <v>0</v>
      </c>
      <c r="J64" s="2"/>
      <c r="N64" s="55"/>
      <c r="O64" s="55" t="str">
        <f>INDEX(X_Table_Swine_Stage2MMS_From_DigesterCoveredLagoons,5,1)</f>
        <v>Direct application</v>
      </c>
      <c r="P64" s="50">
        <v>0</v>
      </c>
      <c r="Q64" s="50">
        <v>0</v>
      </c>
      <c r="R64" s="50">
        <v>0</v>
      </c>
      <c r="S64" s="50">
        <v>0</v>
      </c>
      <c r="T64" s="2"/>
    </row>
    <row r="65" spans="4:20" ht="20.100000000000001" customHeight="1" x14ac:dyDescent="0.25">
      <c r="D65" s="55" t="str">
        <f>INDEX(X_Table_Swine_Stage1MMS_DeepLitter,2,1)</f>
        <v>Deep litter</v>
      </c>
      <c r="E65" s="55" t="str">
        <f>INDEX(X_Table_Swine_Stage2MMS_From_DeepLitter,2,1)</f>
        <v>Anaerobic lagoon</v>
      </c>
      <c r="F65" s="50">
        <v>0</v>
      </c>
      <c r="G65" s="50">
        <v>0</v>
      </c>
      <c r="H65" s="50">
        <v>0</v>
      </c>
      <c r="I65" s="50">
        <v>0</v>
      </c>
      <c r="J65" s="2"/>
      <c r="N65" s="55" t="str">
        <f>INDEX(X_Table_Swine_Stage1MMS_DeepLitter,2,1)</f>
        <v>Deep litter</v>
      </c>
      <c r="O65" s="55" t="str">
        <f>INDEX(X_Table_Swine_Stage2MMS_From_DeepLitter,2,1)</f>
        <v>Anaerobic lagoon</v>
      </c>
      <c r="P65" s="50">
        <v>0</v>
      </c>
      <c r="Q65" s="50">
        <v>0</v>
      </c>
      <c r="R65" s="50">
        <v>0</v>
      </c>
      <c r="S65" s="50">
        <v>0</v>
      </c>
      <c r="T65" s="2"/>
    </row>
    <row r="66" spans="4:20" ht="20.100000000000001" customHeight="1" x14ac:dyDescent="0.25">
      <c r="D66" s="55"/>
      <c r="E66" s="55" t="str">
        <f>INDEX(X_Table_Swine_Stage2MMS_From_DeepLitter,3,1)</f>
        <v>Digester / covered lagoons</v>
      </c>
      <c r="F66" s="50">
        <v>0</v>
      </c>
      <c r="G66" s="50">
        <v>0</v>
      </c>
      <c r="H66" s="50">
        <v>0</v>
      </c>
      <c r="I66" s="50">
        <v>0</v>
      </c>
      <c r="J66" s="2"/>
      <c r="N66" s="55"/>
      <c r="O66" s="55" t="str">
        <f>INDEX(X_Table_Swine_Stage2MMS_From_DeepLitter,3,1)</f>
        <v>Digester / covered lagoons</v>
      </c>
      <c r="P66" s="50">
        <v>0</v>
      </c>
      <c r="Q66" s="50">
        <v>0</v>
      </c>
      <c r="R66" s="50">
        <v>0</v>
      </c>
      <c r="S66" s="50">
        <v>0</v>
      </c>
      <c r="T66" s="2"/>
    </row>
    <row r="67" spans="4:20" ht="20.100000000000001" customHeight="1" x14ac:dyDescent="0.25">
      <c r="D67" s="55"/>
      <c r="E67" s="55" t="str">
        <f>INDEX(X_Table_Swine_Stage2MMS_From_DeepLitter,4,1)</f>
        <v>Pit storage</v>
      </c>
      <c r="F67" s="50">
        <v>0</v>
      </c>
      <c r="G67" s="50">
        <v>0</v>
      </c>
      <c r="H67" s="50">
        <v>0</v>
      </c>
      <c r="I67" s="50">
        <v>0</v>
      </c>
      <c r="J67" s="2"/>
      <c r="N67" s="55"/>
      <c r="O67" s="55" t="str">
        <f>INDEX(X_Table_Swine_Stage2MMS_From_DeepLitter,4,1)</f>
        <v>Pit storage</v>
      </c>
      <c r="P67" s="50">
        <v>0</v>
      </c>
      <c r="Q67" s="50">
        <v>0</v>
      </c>
      <c r="R67" s="50">
        <v>0</v>
      </c>
      <c r="S67" s="50">
        <v>0</v>
      </c>
      <c r="T67" s="2"/>
    </row>
    <row r="68" spans="4:20" ht="20.100000000000001" customHeight="1" x14ac:dyDescent="0.25">
      <c r="D68" s="55"/>
      <c r="E68" s="55" t="str">
        <f>INDEX(X_Table_Swine_Stage2MMS_From_DeepLitter,5,1)</f>
        <v>Direct application</v>
      </c>
      <c r="F68" s="50">
        <v>0</v>
      </c>
      <c r="G68" s="50">
        <v>0</v>
      </c>
      <c r="H68" s="50">
        <v>0</v>
      </c>
      <c r="I68" s="50">
        <v>0</v>
      </c>
      <c r="J68" s="2"/>
      <c r="N68" s="55"/>
      <c r="O68" s="55" t="str">
        <f>INDEX(X_Table_Swine_Stage2MMS_From_DeepLitter,5,1)</f>
        <v>Direct application</v>
      </c>
      <c r="P68" s="50">
        <v>0</v>
      </c>
      <c r="Q68" s="50">
        <v>0</v>
      </c>
      <c r="R68" s="50">
        <v>0</v>
      </c>
      <c r="S68" s="50">
        <v>0</v>
      </c>
      <c r="T68" s="2"/>
    </row>
    <row r="69" spans="4:20" ht="20.100000000000001" customHeight="1" x14ac:dyDescent="0.25">
      <c r="D69" s="55" t="str">
        <f>INDEX(X_Table_Swine_Stage1MMS_PitStorage,2,1)</f>
        <v>Pit storage</v>
      </c>
      <c r="E69" s="55" t="str">
        <f>INDEX(X_Table_Swine_Stage2MMS_From_PitStorage,2,1)</f>
        <v>Anaerobic lagoon</v>
      </c>
      <c r="F69" s="50">
        <v>0</v>
      </c>
      <c r="G69" s="50">
        <v>0</v>
      </c>
      <c r="H69" s="50">
        <v>0</v>
      </c>
      <c r="I69" s="50">
        <v>0</v>
      </c>
      <c r="J69" s="2"/>
      <c r="N69" s="55" t="str">
        <f>INDEX(X_Table_Swine_Stage1MMS_PitStorage,2,1)</f>
        <v>Pit storage</v>
      </c>
      <c r="O69" s="55" t="str">
        <f>INDEX(X_Table_Swine_Stage2MMS_From_PitStorage,2,1)</f>
        <v>Anaerobic lagoon</v>
      </c>
      <c r="P69" s="50">
        <v>0</v>
      </c>
      <c r="Q69" s="50">
        <v>0</v>
      </c>
      <c r="R69" s="50">
        <v>0</v>
      </c>
      <c r="S69" s="50">
        <v>0</v>
      </c>
      <c r="T69" s="2"/>
    </row>
    <row r="70" spans="4:20" ht="20.100000000000001" customHeight="1" x14ac:dyDescent="0.25">
      <c r="D70" s="55"/>
      <c r="E70" s="55" t="str">
        <f>INDEX(X_Table_Swine_Stage2MMS_From_PitStorage,3,1)</f>
        <v>Digester / covered lagoons</v>
      </c>
      <c r="F70" s="50">
        <v>0</v>
      </c>
      <c r="G70" s="50">
        <v>0</v>
      </c>
      <c r="H70" s="50">
        <v>0</v>
      </c>
      <c r="I70" s="50">
        <v>0</v>
      </c>
      <c r="J70" s="2"/>
      <c r="N70" s="55"/>
      <c r="O70" s="55" t="str">
        <f>INDEX(X_Table_Swine_Stage2MMS_From_PitStorage,3,1)</f>
        <v>Digester / covered lagoons</v>
      </c>
      <c r="P70" s="50">
        <v>0</v>
      </c>
      <c r="Q70" s="50">
        <v>0</v>
      </c>
      <c r="R70" s="50">
        <v>0</v>
      </c>
      <c r="S70" s="50">
        <v>0</v>
      </c>
      <c r="T70" s="2"/>
    </row>
    <row r="71" spans="4:20" ht="20.100000000000001" customHeight="1" x14ac:dyDescent="0.25">
      <c r="D71" s="55"/>
      <c r="E71" s="55" t="str">
        <f>INDEX(X_Table_Swine_Stage2MMS_From_PitStorage,4,1)</f>
        <v>Deep litter</v>
      </c>
      <c r="F71" s="50">
        <v>0</v>
      </c>
      <c r="G71" s="50">
        <v>0</v>
      </c>
      <c r="H71" s="50">
        <v>0</v>
      </c>
      <c r="I71" s="50">
        <v>0</v>
      </c>
      <c r="J71" s="2"/>
      <c r="N71" s="55"/>
      <c r="O71" s="55" t="str">
        <f>INDEX(X_Table_Swine_Stage2MMS_From_PitStorage,4,1)</f>
        <v>Deep litter</v>
      </c>
      <c r="P71" s="50">
        <v>0</v>
      </c>
      <c r="Q71" s="50">
        <v>0</v>
      </c>
      <c r="R71" s="50">
        <v>0</v>
      </c>
      <c r="S71" s="50">
        <v>0</v>
      </c>
      <c r="T71" s="2"/>
    </row>
    <row r="72" spans="4:20" ht="20.100000000000001" customHeight="1" x14ac:dyDescent="0.25">
      <c r="D72" s="55"/>
      <c r="E72" s="55" t="str">
        <f>INDEX(X_Table_Swine_Stage2MMS_From_PitStorage,5,1)</f>
        <v>Direct application</v>
      </c>
      <c r="F72" s="50">
        <v>0</v>
      </c>
      <c r="G72" s="50">
        <v>0</v>
      </c>
      <c r="H72" s="50">
        <v>0</v>
      </c>
      <c r="I72" s="50">
        <v>0</v>
      </c>
      <c r="J72" s="2"/>
      <c r="N72" s="55"/>
      <c r="O72" s="55" t="str">
        <f>INDEX(X_Table_Swine_Stage2MMS_From_PitStorage,5,1)</f>
        <v>Direct application</v>
      </c>
      <c r="P72" s="50">
        <v>0</v>
      </c>
      <c r="Q72" s="50">
        <v>0</v>
      </c>
      <c r="R72" s="50">
        <v>0</v>
      </c>
      <c r="S72" s="50">
        <v>0</v>
      </c>
      <c r="T72" s="2"/>
    </row>
    <row r="73" spans="4:20" ht="20.100000000000001" customHeight="1" x14ac:dyDescent="0.25">
      <c r="D73" s="55" t="s">
        <v>346</v>
      </c>
      <c r="E73" s="55" t="str">
        <f>INDEX(X_Table_Swine_Stage2MMS_From_SolidStorage,2,1)</f>
        <v>Anaerobic lagoon</v>
      </c>
      <c r="F73" s="50">
        <v>0</v>
      </c>
      <c r="G73" s="50">
        <v>0</v>
      </c>
      <c r="H73" s="50">
        <v>0</v>
      </c>
      <c r="I73" s="50">
        <v>0</v>
      </c>
      <c r="J73" s="2"/>
      <c r="N73" s="55" t="s">
        <v>346</v>
      </c>
      <c r="O73" s="55" t="str">
        <f>INDEX(X_Table_Swine_Stage2MMS_From_SolidStorage,2,1)</f>
        <v>Anaerobic lagoon</v>
      </c>
      <c r="P73" s="50">
        <v>0</v>
      </c>
      <c r="Q73" s="50">
        <v>0</v>
      </c>
      <c r="R73" s="50">
        <v>0</v>
      </c>
      <c r="S73" s="50">
        <v>0</v>
      </c>
      <c r="T73" s="2"/>
    </row>
    <row r="74" spans="4:20" ht="20.100000000000001" customHeight="1" x14ac:dyDescent="0.25">
      <c r="D74" s="55"/>
      <c r="E74" s="55" t="str">
        <f>INDEX(X_Table_Swine_Stage2MMS_From_SolidStorage,3,1)</f>
        <v>Digester / covered lagoons</v>
      </c>
      <c r="F74" s="50">
        <v>0</v>
      </c>
      <c r="G74" s="50">
        <v>0</v>
      </c>
      <c r="H74" s="50">
        <v>0</v>
      </c>
      <c r="I74" s="50">
        <v>0</v>
      </c>
      <c r="J74" s="2"/>
      <c r="N74" s="55"/>
      <c r="O74" s="55" t="str">
        <f>INDEX(X_Table_Swine_Stage2MMS_From_SolidStorage,3,1)</f>
        <v>Digester / covered lagoons</v>
      </c>
      <c r="P74" s="50">
        <v>0</v>
      </c>
      <c r="Q74" s="50">
        <v>0</v>
      </c>
      <c r="R74" s="50">
        <v>0</v>
      </c>
      <c r="S74" s="50">
        <v>0</v>
      </c>
      <c r="T74" s="2"/>
    </row>
    <row r="75" spans="4:20" ht="20.100000000000001" customHeight="1" x14ac:dyDescent="0.25">
      <c r="D75" s="55"/>
      <c r="E75" s="55" t="str">
        <f>INDEX(X_Table_Swine_Stage2MMS_From_SolidStorage,4,1)</f>
        <v>Deep litter</v>
      </c>
      <c r="F75" s="50">
        <v>0</v>
      </c>
      <c r="G75" s="50">
        <v>0</v>
      </c>
      <c r="H75" s="50">
        <v>0</v>
      </c>
      <c r="I75" s="50">
        <v>0</v>
      </c>
      <c r="J75" s="2"/>
      <c r="N75" s="55"/>
      <c r="O75" s="55" t="str">
        <f>INDEX(X_Table_Swine_Stage2MMS_From_SolidStorage,4,1)</f>
        <v>Deep litter</v>
      </c>
      <c r="P75" s="50">
        <v>0</v>
      </c>
      <c r="Q75" s="50">
        <v>0</v>
      </c>
      <c r="R75" s="50">
        <v>0</v>
      </c>
      <c r="S75" s="50">
        <v>0</v>
      </c>
      <c r="T75" s="2"/>
    </row>
    <row r="76" spans="4:20" ht="20.100000000000001" customHeight="1" x14ac:dyDescent="0.25">
      <c r="D76" s="55"/>
      <c r="E76" s="55" t="str">
        <f>INDEX(X_Table_Swine_Stage2MMS_From_SolidStorage,5,1)</f>
        <v>Pit storage</v>
      </c>
      <c r="F76" s="50">
        <v>0</v>
      </c>
      <c r="G76" s="50">
        <v>0</v>
      </c>
      <c r="H76" s="50">
        <v>0</v>
      </c>
      <c r="I76" s="50">
        <v>0</v>
      </c>
      <c r="J76" s="2"/>
      <c r="N76" s="55"/>
      <c r="O76" s="55" t="str">
        <f>INDEX(X_Table_Swine_Stage2MMS_From_SolidStorage,5,1)</f>
        <v>Pit storage</v>
      </c>
      <c r="P76" s="50">
        <v>0</v>
      </c>
      <c r="Q76" s="50">
        <v>0</v>
      </c>
      <c r="R76" s="50">
        <v>0</v>
      </c>
      <c r="S76" s="50">
        <v>0</v>
      </c>
      <c r="T76" s="2"/>
    </row>
    <row r="77" spans="4:20" ht="20.100000000000001" customHeight="1" x14ac:dyDescent="0.25">
      <c r="D77" s="55"/>
      <c r="E77" s="55" t="str">
        <f>INDEX(X_Table_Swine_Stage2MMS_From_SolidStorage,6,1)</f>
        <v>Direct application</v>
      </c>
      <c r="F77" s="50">
        <v>0</v>
      </c>
      <c r="G77" s="50">
        <v>0</v>
      </c>
      <c r="H77" s="50">
        <v>0</v>
      </c>
      <c r="I77" s="50">
        <v>0</v>
      </c>
      <c r="J77" s="2"/>
      <c r="N77" s="55"/>
      <c r="O77" s="55" t="str">
        <f>INDEX(X_Table_Swine_Stage2MMS_From_SolidStorage,6,1)</f>
        <v>Direct application</v>
      </c>
      <c r="P77" s="50">
        <v>0</v>
      </c>
      <c r="Q77" s="50">
        <v>0</v>
      </c>
      <c r="R77" s="50">
        <v>0</v>
      </c>
      <c r="S77" s="50">
        <v>0</v>
      </c>
      <c r="T77" s="2"/>
    </row>
    <row r="78" spans="4:20" ht="20.100000000000001" customHeight="1" x14ac:dyDescent="0.25"/>
    <row r="79" spans="4:20" ht="20.100000000000001" customHeight="1" x14ac:dyDescent="0.25">
      <c r="D79" s="117" t="s">
        <v>293</v>
      </c>
    </row>
    <row r="80" spans="4:20" ht="20.100000000000001" customHeight="1" x14ac:dyDescent="0.25">
      <c r="D80" s="118" t="s">
        <v>294</v>
      </c>
    </row>
    <row r="81" spans="4:7" ht="20.100000000000001" customHeight="1" x14ac:dyDescent="0.25">
      <c r="D81" s="115" t="s">
        <v>156</v>
      </c>
      <c r="E81" s="115" t="s">
        <v>164</v>
      </c>
      <c r="F81" s="115" t="s">
        <v>295</v>
      </c>
    </row>
    <row r="82" spans="4:7" ht="20.100000000000001" customHeight="1" x14ac:dyDescent="0.25">
      <c r="D82" s="55" t="str">
        <f>INDEX(X_Table_Swine_Stage1MMS_AnaerobicLagoon,2,1)</f>
        <v>Anaerobic lagoon</v>
      </c>
      <c r="E82" s="55" t="str">
        <f>INDEX(X_Table_Swine_Stage2MMS_From_AnaerobicLagoon,2,1)</f>
        <v>Digester / covered lagoons</v>
      </c>
      <c r="F82" s="50" cm="1">
        <f t="array" aca="1" ref="F82:F85" ca="1">OFFSET(X_Table_Swine_Stage2MMS_From_AnaerobicLagoon_Destinations, 1,2,4,1)+OFFSET(X_Table_Swine_Stage2MMS_From_AnaerobicLagoon_Destinations, 1,3,4,1)</f>
        <v>0.75</v>
      </c>
      <c r="G82" s="2" t="str">
        <f>G17</f>
        <v>fraction</v>
      </c>
    </row>
    <row r="83" spans="4:7" ht="20.100000000000001" customHeight="1" x14ac:dyDescent="0.25">
      <c r="D83" s="55"/>
      <c r="E83" s="55" t="str">
        <f>INDEX(X_Table_Swine_Stage2MMS_From_AnaerobicLagoon,3,1)</f>
        <v>Deep litter</v>
      </c>
      <c r="F83" s="50">
        <f ca="1"/>
        <v>0.75</v>
      </c>
      <c r="G83" s="2"/>
    </row>
    <row r="84" spans="4:7" ht="20.100000000000001" customHeight="1" x14ac:dyDescent="0.25">
      <c r="D84" s="55"/>
      <c r="E84" s="55" t="str">
        <f>INDEX(X_Table_Swine_Stage2MMS_From_AnaerobicLagoon,4,1)</f>
        <v>Pit storage</v>
      </c>
      <c r="F84" s="50">
        <f ca="1"/>
        <v>0.75</v>
      </c>
      <c r="G84" s="2"/>
    </row>
    <row r="85" spans="4:7" ht="20.100000000000001" customHeight="1" x14ac:dyDescent="0.25">
      <c r="D85" s="55"/>
      <c r="E85" s="55" t="str">
        <f>INDEX(X_Table_Swine_Stage2MMS_From_AnaerobicLagoon,5,1)</f>
        <v>Direct application</v>
      </c>
      <c r="F85" s="50">
        <f ca="1"/>
        <v>1</v>
      </c>
    </row>
    <row r="86" spans="4:7" ht="20.100000000000001" customHeight="1" x14ac:dyDescent="0.25">
      <c r="D86" s="55" t="str">
        <f>INDEX(X_Table_Swine_Stage1MMS_Drylot,2,1)</f>
        <v>Drylot (feed pad)</v>
      </c>
      <c r="E86" s="55" t="str">
        <f>INDEX(X_Table_Swine_Stage2MMS_From_Drylot,2,1)</f>
        <v>Anaerobic lagoon</v>
      </c>
      <c r="F86" s="50" cm="1">
        <f t="array" aca="1" ref="F86:F90" ca="1">OFFSET(X_Table_Swine_Stage2MMS_From_Drylot_Destinations, 1,2,5,1)+OFFSET(X_Table_Swine_Stage2MMS_From_Drylot_Destinations, 1,3,5,1)</f>
        <v>0.75</v>
      </c>
      <c r="G86" s="2"/>
    </row>
    <row r="87" spans="4:7" ht="20.100000000000001" customHeight="1" x14ac:dyDescent="0.25">
      <c r="D87" s="55"/>
      <c r="E87" s="55" t="str">
        <f>INDEX(X_Table_Swine_Stage2MMS_From_Drylot,3,1)</f>
        <v>Digester / covered lagoons</v>
      </c>
      <c r="F87" s="50">
        <f ca="1"/>
        <v>0.75</v>
      </c>
      <c r="G87" s="2"/>
    </row>
    <row r="88" spans="4:7" ht="20.100000000000001" customHeight="1" x14ac:dyDescent="0.25">
      <c r="D88" s="55"/>
      <c r="E88" s="55" t="str">
        <f>INDEX(X_Table_Swine_Stage2MMS_From_Drylot,4,1)</f>
        <v>Deep litter</v>
      </c>
      <c r="F88" s="50">
        <f ca="1"/>
        <v>0.75</v>
      </c>
      <c r="G88" s="2"/>
    </row>
    <row r="89" spans="4:7" ht="20.100000000000001" customHeight="1" x14ac:dyDescent="0.25">
      <c r="D89" s="55"/>
      <c r="E89" s="55" t="str">
        <f>INDEX(X_Table_Swine_Stage2MMS_From_Drylot,5,1)</f>
        <v>Pit storage</v>
      </c>
      <c r="F89" s="50">
        <f ca="1"/>
        <v>0.75</v>
      </c>
      <c r="G89" s="2"/>
    </row>
    <row r="90" spans="4:7" ht="20.100000000000001" customHeight="1" x14ac:dyDescent="0.25">
      <c r="D90" s="55"/>
      <c r="E90" s="55" t="str">
        <f>INDEX(X_Table_Swine_Stage2MMS_From_Drylot,6,1)</f>
        <v>Direct application</v>
      </c>
      <c r="F90" s="50">
        <f ca="1"/>
        <v>1</v>
      </c>
    </row>
    <row r="91" spans="4:7" ht="20.100000000000001" customHeight="1" x14ac:dyDescent="0.25">
      <c r="D91" s="55" t="str">
        <f>INDEX(X_Table_Swine_Stage1MMS_DigesterCoveredLagoons,2,1)</f>
        <v>Digester / covered lagoons</v>
      </c>
      <c r="E91" s="55" t="str">
        <f>INDEX(X_Table_Swine_Stage2MMS_From_DigesterCoveredLagoons,2,1)</f>
        <v>Anaerobic lagoon</v>
      </c>
      <c r="F91" s="50" cm="1">
        <f t="array" aca="1" ref="F91:F94" ca="1">OFFSET(X_Table_Swine_Stage2MMS_From_DigesterCoveredLagoons_Destinations, 1,2,4,1)+OFFSET(X_Table_Swine_Stage2MMS_From_DigesterCoveredLagoons_Destinations, 1,3,4,1)</f>
        <v>0.75</v>
      </c>
      <c r="G91" s="2"/>
    </row>
    <row r="92" spans="4:7" ht="20.100000000000001" customHeight="1" x14ac:dyDescent="0.25">
      <c r="D92" s="55"/>
      <c r="E92" s="55" t="str">
        <f>INDEX(X_Table_Swine_Stage2MMS_From_DigesterCoveredLagoons,3,1)</f>
        <v>Deep litter</v>
      </c>
      <c r="F92" s="50">
        <f ca="1"/>
        <v>0.75</v>
      </c>
      <c r="G92" s="2"/>
    </row>
    <row r="93" spans="4:7" ht="20.100000000000001" customHeight="1" x14ac:dyDescent="0.25">
      <c r="D93" s="55"/>
      <c r="E93" s="55" t="str">
        <f>INDEX(X_Table_Swine_Stage2MMS_From_DigesterCoveredLagoons,4,1)</f>
        <v>Pit storage</v>
      </c>
      <c r="F93" s="50">
        <f ca="1"/>
        <v>0.75</v>
      </c>
      <c r="G93" s="2"/>
    </row>
    <row r="94" spans="4:7" ht="20.100000000000001" customHeight="1" x14ac:dyDescent="0.25">
      <c r="D94" s="55"/>
      <c r="E94" s="55" t="str">
        <f>INDEX(X_Table_Swine_Stage2MMS_From_DigesterCoveredLagoons,5,1)</f>
        <v>Direct application</v>
      </c>
      <c r="F94" s="50">
        <f ca="1"/>
        <v>1</v>
      </c>
    </row>
    <row r="95" spans="4:7" ht="20.100000000000001" customHeight="1" x14ac:dyDescent="0.25">
      <c r="D95" s="55" t="str">
        <f>INDEX(X_Table_Swine_Stage1MMS_DeepLitter,2,1)</f>
        <v>Deep litter</v>
      </c>
      <c r="E95" s="55" t="str">
        <f>INDEX(X_Table_Swine_Stage2MMS_From_DeepLitter,2,1)</f>
        <v>Anaerobic lagoon</v>
      </c>
      <c r="F95" s="50" cm="1">
        <f t="array" aca="1" ref="F95:F98" ca="1">OFFSET(X_Table_Swine_Stage2MMS_From_DeepLitter_Destinations, 1,2,4,1)+OFFSET(X_Table_Swine_Stage2MMS_From_DeepLitter_Destinations, 1,3,4,1)</f>
        <v>0.75</v>
      </c>
      <c r="G95" s="2"/>
    </row>
    <row r="96" spans="4:7" ht="20.100000000000001" customHeight="1" x14ac:dyDescent="0.25">
      <c r="D96" s="55"/>
      <c r="E96" s="55" t="str">
        <f>INDEX(X_Table_Swine_Stage2MMS_From_DeepLitter,3,1)</f>
        <v>Digester / covered lagoons</v>
      </c>
      <c r="F96" s="50">
        <f ca="1"/>
        <v>0.75</v>
      </c>
      <c r="G96" s="2"/>
    </row>
    <row r="97" spans="4:7" ht="20.100000000000001" customHeight="1" x14ac:dyDescent="0.25">
      <c r="D97" s="55"/>
      <c r="E97" s="55" t="str">
        <f>INDEX(X_Table_Swine_Stage2MMS_From_DeepLitter,4,1)</f>
        <v>Pit storage</v>
      </c>
      <c r="F97" s="50">
        <f ca="1"/>
        <v>0.75</v>
      </c>
      <c r="G97" s="2"/>
    </row>
    <row r="98" spans="4:7" ht="20.100000000000001" customHeight="1" x14ac:dyDescent="0.25">
      <c r="D98" s="55"/>
      <c r="E98" s="55" t="str">
        <f>INDEX(X_Table_Swine_Stage2MMS_From_DeepLitter,5,1)</f>
        <v>Direct application</v>
      </c>
      <c r="F98" s="50">
        <f ca="1"/>
        <v>1</v>
      </c>
    </row>
    <row r="99" spans="4:7" ht="20.100000000000001" customHeight="1" x14ac:dyDescent="0.25">
      <c r="D99" s="55" t="str">
        <f>INDEX(X_Table_Swine_Stage1MMS_PitStorage,2,1)</f>
        <v>Pit storage</v>
      </c>
      <c r="E99" s="55" t="str">
        <f>INDEX(X_Table_Swine_Stage2MMS_From_PitStorage,2,1)</f>
        <v>Anaerobic lagoon</v>
      </c>
      <c r="F99" s="50" cm="1">
        <f t="array" aca="1" ref="F99:F102" ca="1">OFFSET(X_Table_Swine_Stage2MMS_From_PitStorage_Destinations, 1,2,4,1)+OFFSET(X_Table_Swine_Stage2MMS_From_PitStorage_Destinations, 1,3,4,1)</f>
        <v>0.75</v>
      </c>
      <c r="G99" s="2"/>
    </row>
    <row r="100" spans="4:7" ht="20.100000000000001" customHeight="1" x14ac:dyDescent="0.25">
      <c r="D100" s="55"/>
      <c r="E100" s="55" t="str">
        <f>INDEX(X_Table_Swine_Stage2MMS_From_PitStorage,3,1)</f>
        <v>Digester / covered lagoons</v>
      </c>
      <c r="F100" s="50">
        <f ca="1"/>
        <v>0.75</v>
      </c>
      <c r="G100" s="2"/>
    </row>
    <row r="101" spans="4:7" ht="20.100000000000001" customHeight="1" x14ac:dyDescent="0.25">
      <c r="D101" s="55"/>
      <c r="E101" s="55" t="str">
        <f>INDEX(X_Table_Swine_Stage2MMS_From_PitStorage,4,1)</f>
        <v>Deep litter</v>
      </c>
      <c r="F101" s="50">
        <f ca="1"/>
        <v>0.75</v>
      </c>
      <c r="G101" s="2"/>
    </row>
    <row r="102" spans="4:7" ht="20.100000000000001" customHeight="1" x14ac:dyDescent="0.25">
      <c r="D102" s="55"/>
      <c r="E102" s="55" t="str">
        <f>INDEX(X_Table_Swine_Stage2MMS_From_PitStorage,5,1)</f>
        <v>Direct application</v>
      </c>
      <c r="F102" s="50">
        <f ca="1"/>
        <v>1</v>
      </c>
    </row>
    <row r="103" spans="4:7" ht="20.100000000000001" customHeight="1" x14ac:dyDescent="0.25">
      <c r="D103" s="55" t="s">
        <v>346</v>
      </c>
      <c r="E103" s="55" t="str">
        <f>INDEX(X_Table_Swine_Stage2MMS_From_SolidStorage,2,1)</f>
        <v>Anaerobic lagoon</v>
      </c>
      <c r="F103" s="50" cm="1">
        <f t="array" aca="1" ref="F103:F107" ca="1">OFFSET(X_Table_Swine_Stage2MMS_From_SolidStorage_Destinations, 1,2,5,1)+OFFSET(X_Table_Swine_Stage2MMS_From_SolidStorage_Destinations, 1,3,5,1)</f>
        <v>0.75</v>
      </c>
      <c r="G103" s="2"/>
    </row>
    <row r="104" spans="4:7" ht="20.100000000000001" customHeight="1" x14ac:dyDescent="0.25">
      <c r="D104" s="55"/>
      <c r="E104" s="55" t="str">
        <f>INDEX(X_Table_Swine_Stage2MMS_From_SolidStorage,3,1)</f>
        <v>Digester / covered lagoons</v>
      </c>
      <c r="F104" s="50">
        <f ca="1"/>
        <v>0.75</v>
      </c>
      <c r="G104" s="2"/>
    </row>
    <row r="105" spans="4:7" ht="20.100000000000001" customHeight="1" x14ac:dyDescent="0.25">
      <c r="D105" s="55"/>
      <c r="E105" s="55" t="str">
        <f>INDEX(X_Table_Swine_Stage2MMS_From_SolidStorage,4,1)</f>
        <v>Deep litter</v>
      </c>
      <c r="F105" s="50">
        <f ca="1"/>
        <v>0.75</v>
      </c>
      <c r="G105" s="2"/>
    </row>
    <row r="106" spans="4:7" ht="20.100000000000001" customHeight="1" x14ac:dyDescent="0.25">
      <c r="D106" s="55"/>
      <c r="E106" s="55" t="str">
        <f>INDEX(X_Table_Swine_Stage2MMS_From_SolidStorage,5,1)</f>
        <v>Pit storage</v>
      </c>
      <c r="F106" s="50">
        <f ca="1"/>
        <v>0.75</v>
      </c>
      <c r="G106" s="2"/>
    </row>
    <row r="107" spans="4:7" ht="20.100000000000001" customHeight="1" x14ac:dyDescent="0.25">
      <c r="D107" s="55"/>
      <c r="E107" s="55" t="str">
        <f>INDEX(X_Table_Swine_Stage2MMS_From_SolidStorage,6,1)</f>
        <v>Direct application</v>
      </c>
      <c r="F107" s="50">
        <f ca="1"/>
        <v>1</v>
      </c>
    </row>
    <row r="108" spans="4:7" ht="20.100000000000001" customHeight="1" x14ac:dyDescent="0.25"/>
    <row r="109" spans="4:7" ht="20.100000000000001" customHeight="1" x14ac:dyDescent="0.25">
      <c r="D109" s="117" t="s">
        <v>296</v>
      </c>
    </row>
    <row r="110" spans="4:7" ht="20.100000000000001" customHeight="1" x14ac:dyDescent="0.25">
      <c r="D110" s="118" t="s">
        <v>297</v>
      </c>
    </row>
    <row r="111" spans="4:7" ht="20.100000000000001" customHeight="1" x14ac:dyDescent="0.25">
      <c r="D111" s="49" t="s">
        <v>156</v>
      </c>
      <c r="E111" s="49" t="s">
        <v>240</v>
      </c>
    </row>
    <row r="112" spans="4:7" ht="20.100000000000001" customHeight="1" x14ac:dyDescent="0.25">
      <c r="D112" s="55" t="str">
        <f>INDEX(X_Table_Swine_Stage1MMS_AnaerobicLagoon,2,1)</f>
        <v>Anaerobic lagoon</v>
      </c>
      <c r="E112" s="50" cm="1">
        <f t="array" ref="E112">Common_InputFunctions.Utility_LookupValueInTableNumber(D112, Table_SourceData_Swine_FracGASM[NIR reference],Table_SourceData_Swine_FracGASM[FracGASMmT])</f>
        <v>0.55000000000000004</v>
      </c>
      <c r="F112" s="2" t="str">
        <f>G15</f>
        <v>(kg NH3-N + NOx-N)/kg N</v>
      </c>
    </row>
    <row r="113" spans="4:6" ht="20.100000000000001" customHeight="1" x14ac:dyDescent="0.25">
      <c r="D113" s="55" t="str">
        <f>INDEX(X_Table_Swine_Stage1MMS_Drylot,2,1)</f>
        <v>Drylot (feed pad)</v>
      </c>
      <c r="E113" s="50" cm="1">
        <f t="array" ref="E113">Common_InputFunctions.Utility_LookupValueInTableNumber(D113, Table_SourceData_Swine_FracGASM[NIR reference],Table_SourceData_Swine_FracGASM[FracGASMmT])</f>
        <v>0.3</v>
      </c>
    </row>
    <row r="114" spans="4:6" ht="20.100000000000001" customHeight="1" x14ac:dyDescent="0.25">
      <c r="D114" s="55" t="str">
        <f>INDEX(X_Table_Swine_Stage1MMS_DigesterCoveredLagoons,2,1)</f>
        <v>Digester / covered lagoons</v>
      </c>
      <c r="E114" s="50" cm="1">
        <f t="array" ref="E114">Common_InputFunctions.Utility_LookupValueInTableNumber(D114, Table_SourceData_Swine_FracGASM[NIR reference],Table_SourceData_Swine_FracGASM[FracGASMmT])</f>
        <v>0</v>
      </c>
    </row>
    <row r="115" spans="4:6" ht="20.100000000000001" customHeight="1" x14ac:dyDescent="0.25">
      <c r="D115" s="55" t="str">
        <f>INDEX(X_Table_Swine_Stage1MMS_DeepLitter,2,1)</f>
        <v>Deep litter</v>
      </c>
      <c r="E115" s="50" cm="1">
        <f t="array" ref="E115">Common_InputFunctions.Utility_LookupValueInTableNumber(D115, Table_SourceData_Swine_FracGASM[NIR reference],Table_SourceData_Swine_FracGASM[FracGASMmT])</f>
        <v>0.125</v>
      </c>
    </row>
    <row r="116" spans="4:6" ht="20.100000000000001" customHeight="1" x14ac:dyDescent="0.25">
      <c r="D116" s="55" t="str">
        <f>INDEX(X_Table_Swine_Stage1MMS_PitStorage,2,1)</f>
        <v>Pit storage</v>
      </c>
      <c r="E116" s="50" cm="1">
        <f t="array" ref="E116">Common_InputFunctions.Utility_LookupValueInTableNumber(D116, Table_SourceData_Swine_FracGASM[NIR reference],Table_SourceData_Swine_FracGASM[FracGASMmT])</f>
        <v>0.25</v>
      </c>
    </row>
    <row r="117" spans="4:6" ht="20.100000000000001" customHeight="1" x14ac:dyDescent="0.25">
      <c r="D117" s="55" t="s">
        <v>346</v>
      </c>
      <c r="E117" s="50" cm="1">
        <f t="array" ref="E117">Common_InputFunctions.Utility_LookupValueInTableNumber(D117, Table_SourceData_Swine_FracGASM[NIR reference],Table_SourceData_Swine_FracGASM[FracGASMmT])</f>
        <v>0.2</v>
      </c>
    </row>
    <row r="118" spans="4:6" ht="20.100000000000001" customHeight="1" x14ac:dyDescent="0.25">
      <c r="D118" s="55" t="str">
        <f>'Constants - Swine'!$D$47</f>
        <v>Direct application</v>
      </c>
      <c r="E118" s="50" cm="1">
        <f t="array" ref="E118">Common_InputFunctions.Utility_LookupValueInTableNumber(D118, Table_SourceData_Swine_FracGASM[NIR reference],Table_SourceData_Swine_FracGASM[FracGASMmT])</f>
        <v>0</v>
      </c>
    </row>
    <row r="119" spans="4:6" ht="20.100000000000001" customHeight="1" x14ac:dyDescent="0.25"/>
    <row r="120" spans="4:6" ht="20.100000000000001" customHeight="1" x14ac:dyDescent="0.25">
      <c r="D120" s="117" t="s">
        <v>298</v>
      </c>
    </row>
    <row r="121" spans="4:6" ht="20.100000000000001" customHeight="1" x14ac:dyDescent="0.25">
      <c r="D121" s="118" t="s">
        <v>299</v>
      </c>
    </row>
    <row r="122" spans="4:6" ht="20.100000000000001" customHeight="1" x14ac:dyDescent="0.25">
      <c r="D122" s="49" t="s">
        <v>64</v>
      </c>
      <c r="E122" s="49" t="s">
        <v>243</v>
      </c>
    </row>
    <row r="123" spans="4:6" ht="20.100000000000001" customHeight="1" x14ac:dyDescent="0.25">
      <c r="D123" s="55" t="str">
        <f>INDEX(X_Table_Swine_Stage1MMS_AnaerobicLagoon,2,1)</f>
        <v>Anaerobic lagoon</v>
      </c>
      <c r="E123" s="50" cm="1">
        <f t="array" ref="E123">Common_InputFunctions.Utility_LookupValueInTableNumber(D123, Table_SourceData_Swine_FracGASM28[NIR reference],Table_SourceData_Swine_FracGASM28[EFmT])</f>
        <v>0</v>
      </c>
      <c r="F123" s="2" t="str">
        <f>G14</f>
        <v>kg N2O-N/kg N</v>
      </c>
    </row>
    <row r="124" spans="4:6" ht="20.100000000000001" customHeight="1" x14ac:dyDescent="0.25">
      <c r="D124" s="55" t="str">
        <f>INDEX(X_Table_Swine_Stage1MMS_Drylot,2,1)</f>
        <v>Drylot (feed pad)</v>
      </c>
      <c r="E124" s="50" cm="1">
        <f t="array" ref="E124">Common_InputFunctions.Utility_LookupValueInTableNumber(D124, Table_SourceData_Swine_FracGASM28[NIR reference],Table_SourceData_Swine_FracGASM28[EFmT])</f>
        <v>0.02</v>
      </c>
    </row>
    <row r="125" spans="4:6" ht="20.100000000000001" customHeight="1" x14ac:dyDescent="0.25">
      <c r="D125" s="55" t="str">
        <f>INDEX(X_Table_Swine_Stage1MMS_DigesterCoveredLagoons,2,1)</f>
        <v>Digester / covered lagoons</v>
      </c>
      <c r="E125" s="50" cm="1">
        <f t="array" ref="E125">Common_InputFunctions.Utility_LookupValueInTableNumber(D125, Table_SourceData_Swine_FracGASM28[NIR reference],Table_SourceData_Swine_FracGASM28[EFmT])</f>
        <v>0</v>
      </c>
    </row>
    <row r="126" spans="4:6" ht="20.100000000000001" customHeight="1" x14ac:dyDescent="0.25">
      <c r="D126" s="55" t="str">
        <f>INDEX(X_Table_Swine_Stage1MMS_DeepLitter,2,1)</f>
        <v>Deep litter</v>
      </c>
      <c r="E126" s="50" cm="1">
        <f t="array" ref="E126">Common_InputFunctions.Utility_LookupValueInTableNumber(D126, Table_SourceData_Swine_FracGASM28[NIR reference],Table_SourceData_Swine_FracGASM28[EFmT])</f>
        <v>0.01</v>
      </c>
    </row>
    <row r="127" spans="4:6" ht="20.100000000000001" customHeight="1" x14ac:dyDescent="0.25">
      <c r="D127" s="55" t="str">
        <f>INDEX(X_Table_Swine_Stage1MMS_PitStorage,2,1)</f>
        <v>Pit storage</v>
      </c>
      <c r="E127" s="50" cm="1">
        <f t="array" ref="E127">Common_InputFunctions.Utility_LookupValueInTableNumber(D127, Table_SourceData_Swine_FracGASM28[NIR reference],Table_SourceData_Swine_FracGASM28[EFmT])</f>
        <v>2E-3</v>
      </c>
    </row>
    <row r="128" spans="4:6" ht="20.100000000000001" customHeight="1" x14ac:dyDescent="0.25">
      <c r="D128" s="55" t="s">
        <v>346</v>
      </c>
      <c r="E128" s="50" cm="1">
        <f t="array" ref="E128">Common_InputFunctions.Utility_LookupValueInTableNumber(D128, Table_SourceData_Swine_FracGASM28[NIR reference],Table_SourceData_Swine_FracGASM28[EFmT])</f>
        <v>5.0000000000000001E-3</v>
      </c>
    </row>
    <row r="129" spans="4:20" ht="20.100000000000001" customHeight="1" x14ac:dyDescent="0.25">
      <c r="D129" s="55" t="str">
        <f>'Constants - Swine'!$D$47</f>
        <v>Direct application</v>
      </c>
      <c r="E129" s="50" cm="1">
        <f t="array" ref="E129">Common_InputFunctions.Utility_LookupValueInTableNumber(D129, Table_SourceData_Swine_FracGASM28[NIR reference],Table_SourceData_Swine_FracGASM28[EFmT])</f>
        <v>0</v>
      </c>
    </row>
    <row r="130" spans="4:20" ht="20.100000000000001" customHeight="1" x14ac:dyDescent="0.25"/>
    <row r="131" spans="4:20" ht="20.100000000000001" customHeight="1" x14ac:dyDescent="0.25">
      <c r="D131" s="117" t="s">
        <v>300</v>
      </c>
      <c r="N131" s="117" t="s">
        <v>300</v>
      </c>
    </row>
    <row r="132" spans="4:20" ht="20.100000000000001" customHeight="1" x14ac:dyDescent="0.25">
      <c r="D132" s="118" t="s">
        <v>301</v>
      </c>
      <c r="N132" s="118" t="s">
        <v>301</v>
      </c>
    </row>
    <row r="133" spans="4:20" ht="20.100000000000001" customHeight="1" x14ac:dyDescent="0.25">
      <c r="D133" s="49" t="s">
        <v>156</v>
      </c>
      <c r="E133" s="49" t="s">
        <v>164</v>
      </c>
      <c r="F133" s="49" t="s">
        <v>135</v>
      </c>
      <c r="G133" s="49" t="s">
        <v>136</v>
      </c>
      <c r="H133" s="49" t="s">
        <v>137</v>
      </c>
      <c r="I133" s="49" t="s">
        <v>195</v>
      </c>
      <c r="N133" s="49" t="s">
        <v>156</v>
      </c>
      <c r="O133" s="49" t="s">
        <v>164</v>
      </c>
      <c r="P133" s="49" t="s">
        <v>135</v>
      </c>
      <c r="Q133" s="49" t="s">
        <v>136</v>
      </c>
      <c r="R133" s="49" t="s">
        <v>137</v>
      </c>
      <c r="S133" s="49" t="s">
        <v>195</v>
      </c>
    </row>
    <row r="134" spans="4:20" ht="20.100000000000001" customHeight="1" x14ac:dyDescent="0.25">
      <c r="D134" s="55" t="str">
        <f>INDEX(X_Table_Swine_Stage1MMS_AnaerobicLagoon,2,1)</f>
        <v>Anaerobic lagoon</v>
      </c>
      <c r="E134" s="55" t="str">
        <f>INDEX(X_Table_Swine_Stage2MMS_From_AnaerobicLagoon,2,1)</f>
        <v>Digester / covered lagoons</v>
      </c>
      <c r="F134" s="50" cm="1">
        <f t="array" aca="1" ref="F134" ca="1">MMS_Swine_ManureAppliedToSoils_Equations.VEERG_4_5_1_9__1_MassOfNitrogenAppliedToSoilsScope1(F22,_xlfn.XLOOKUP($E134,$D$123:$D$129,$E$123:$E$129), _xlfn.XLOOKUP($E134,$D$112:$D$118,$E$112:$E$118),F52,$F82)</f>
        <v>13.599899999999996</v>
      </c>
      <c r="G134" s="50" cm="1">
        <f t="array" aca="1" ref="G134" ca="1">MMS_Swine_ManureAppliedToSoils_Equations.VEERG_4_5_1_9__1_MassOfNitrogenAppliedToSoilsScope1(G22,_xlfn.XLOOKUP($E134,$D$123:$D$129,$E$123:$E$129), _xlfn.XLOOKUP($E134,$D$112:$D$118,$E$112:$E$118),G52,$F82)</f>
        <v>18.108562500000001</v>
      </c>
      <c r="H134" s="50" cm="1">
        <f t="array" aca="1" ref="H134" ca="1">MMS_Swine_ManureAppliedToSoils_Equations.VEERG_4_5_1_9__1_MassOfNitrogenAppliedToSoilsScope1(H22,_xlfn.XLOOKUP($E134,$D$123:$D$129,$E$123:$E$129), _xlfn.XLOOKUP($E134,$D$112:$D$118,$E$112:$E$118),H52,$F82)</f>
        <v>16.999874999999996</v>
      </c>
      <c r="I134" s="50" cm="1">
        <f t="array" aca="1" ref="I134" ca="1">MMS_Swine_ManureAppliedToSoils_Equations.VEERG_4_5_1_9__1_MassOfNitrogenAppliedToSoilsScope1(I22,_xlfn.XLOOKUP($E134,$D$123:$D$129,$E$123:$E$129), _xlfn.XLOOKUP($E134,$D$112:$D$118,$E$112:$E$118),I52,$F82)</f>
        <v>11.530349999999997</v>
      </c>
      <c r="J134" s="2" t="str">
        <f>$E$11</f>
        <v>kg N</v>
      </c>
      <c r="N134" s="55" t="str">
        <f>INDEX(X_Table_Swine_Stage1MMS_AnaerobicLagoon,2,1)</f>
        <v>Anaerobic lagoon</v>
      </c>
      <c r="O134" s="55" t="str">
        <f>INDEX(X_Table_Swine_Stage2MMS_From_AnaerobicLagoon,2,1)</f>
        <v>Digester / covered lagoons</v>
      </c>
      <c r="P134" s="50" cm="1">
        <f t="array" aca="1" ref="P134" ca="1">MMS_Swine_ManureAppliedToSoils_Equations.VEERG_4_5_1_9__1_MassOfNitrogenAppliedToSoilsScope1(P22,_xlfn.XLOOKUP($O134,$D$123:$D$129,$E$123:$E$129), _xlfn.XLOOKUP($O134,$D$112:$D$118,$E$112:$E$118),P52,$F82)</f>
        <v>13.599899999999996</v>
      </c>
      <c r="Q134" s="50" cm="1">
        <f t="array" aca="1" ref="Q134" ca="1">MMS_Swine_ManureAppliedToSoils_Equations.VEERG_4_5_1_9__1_MassOfNitrogenAppliedToSoilsScope1(Q22,_xlfn.XLOOKUP($O134,$D$123:$D$129,$E$123:$E$129), _xlfn.XLOOKUP($O134,$D$112:$D$118,$E$112:$E$118),Q52,$F82)</f>
        <v>18.108562500000001</v>
      </c>
      <c r="R134" s="50" cm="1">
        <f t="array" aca="1" ref="R134" ca="1">MMS_Swine_ManureAppliedToSoils_Equations.VEERG_4_5_1_9__1_MassOfNitrogenAppliedToSoilsScope1(R22,_xlfn.XLOOKUP($O134,$D$123:$D$129,$E$123:$E$129), _xlfn.XLOOKUP($O134,$D$112:$D$118,$E$112:$E$118),R52,$F82)</f>
        <v>16.999874999999996</v>
      </c>
      <c r="S134" s="50" cm="1">
        <f t="array" aca="1" ref="S134" ca="1">MMS_Swine_ManureAppliedToSoils_Equations.VEERG_4_5_1_9__1_MassOfNitrogenAppliedToSoilsScope1(S22,_xlfn.XLOOKUP($O134,$D$123:$D$129,$E$123:$E$129), _xlfn.XLOOKUP($O134,$D$112:$D$118,$E$112:$E$118),S52,$F82)</f>
        <v>11.530349999999997</v>
      </c>
      <c r="T134" s="2" t="str">
        <f t="shared" ref="T134" si="0">$E$11</f>
        <v>kg N</v>
      </c>
    </row>
    <row r="135" spans="4:20" ht="20.100000000000001" customHeight="1" x14ac:dyDescent="0.25">
      <c r="D135" s="55"/>
      <c r="E135" s="55" t="str">
        <f>INDEX(X_Table_Swine_Stage2MMS_From_AnaerobicLagoon,3,1)</f>
        <v>Deep litter</v>
      </c>
      <c r="F135" s="50" cm="1">
        <f t="array" aca="1" ref="F135" ca="1">MMS_Swine_ManureAppliedToSoils_Equations.VEERG_4_5_1_9__1_MassOfNitrogenAppliedToSoilsScope1(F23,_xlfn.XLOOKUP($E135,$D$123:$D$129,$E$123:$E$129), _xlfn.XLOOKUP($E135,$D$112:$D$118,$E$112:$E$118),F53,$F83)</f>
        <v>11.763913499999997</v>
      </c>
      <c r="G135" s="50" cm="1">
        <f t="array" aca="1" ref="G135" ca="1">MMS_Swine_ManureAppliedToSoils_Equations.VEERG_4_5_1_9__1_MassOfNitrogenAppliedToSoilsScope1(G23,_xlfn.XLOOKUP($E135,$D$123:$D$129,$E$123:$E$129), _xlfn.XLOOKUP($E135,$D$112:$D$118,$E$112:$E$118),G53,$F83)</f>
        <v>15.663906562499999</v>
      </c>
      <c r="H135" s="50" cm="1">
        <f t="array" aca="1" ref="H135" ca="1">MMS_Swine_ManureAppliedToSoils_Equations.VEERG_4_5_1_9__1_MassOfNitrogenAppliedToSoilsScope1(H23,_xlfn.XLOOKUP($E135,$D$123:$D$129,$E$123:$E$129), _xlfn.XLOOKUP($E135,$D$112:$D$118,$E$112:$E$118),H53,$F83)</f>
        <v>14.704891874999994</v>
      </c>
      <c r="I135" s="50" cm="1">
        <f t="array" aca="1" ref="I135" ca="1">MMS_Swine_ManureAppliedToSoils_Equations.VEERG_4_5_1_9__1_MassOfNitrogenAppliedToSoilsScope1(I23,_xlfn.XLOOKUP($E135,$D$123:$D$129,$E$123:$E$129), _xlfn.XLOOKUP($E135,$D$112:$D$118,$E$112:$E$118),I53,$F83)</f>
        <v>9.9737527499999974</v>
      </c>
      <c r="J135" s="2"/>
      <c r="N135" s="55"/>
      <c r="O135" s="55" t="str">
        <f>INDEX(X_Table_Swine_Stage2MMS_From_AnaerobicLagoon,3,1)</f>
        <v>Deep litter</v>
      </c>
      <c r="P135" s="50" cm="1">
        <f t="array" aca="1" ref="P135" ca="1">MMS_Swine_ManureAppliedToSoils_Equations.VEERG_4_5_1_9__1_MassOfNitrogenAppliedToSoilsScope1(P23,_xlfn.XLOOKUP($O135,$D$123:$D$129,$E$123:$E$129), _xlfn.XLOOKUP($O135,$D$112:$D$118,$E$112:$E$118),P53,$F83)</f>
        <v>11.763913499999997</v>
      </c>
      <c r="Q135" s="50" cm="1">
        <f t="array" aca="1" ref="Q135" ca="1">MMS_Swine_ManureAppliedToSoils_Equations.VEERG_4_5_1_9__1_MassOfNitrogenAppliedToSoilsScope1(Q23,_xlfn.XLOOKUP($O135,$D$123:$D$129,$E$123:$E$129), _xlfn.XLOOKUP($O135,$D$112:$D$118,$E$112:$E$118),Q53,$F83)</f>
        <v>15.663906562499999</v>
      </c>
      <c r="R135" s="50" cm="1">
        <f t="array" aca="1" ref="R135" ca="1">MMS_Swine_ManureAppliedToSoils_Equations.VEERG_4_5_1_9__1_MassOfNitrogenAppliedToSoilsScope1(R23,_xlfn.XLOOKUP($O135,$D$123:$D$129,$E$123:$E$129), _xlfn.XLOOKUP($O135,$D$112:$D$118,$E$112:$E$118),R53,$F83)</f>
        <v>14.704891874999994</v>
      </c>
      <c r="S135" s="50" cm="1">
        <f t="array" aca="1" ref="S135" ca="1">MMS_Swine_ManureAppliedToSoils_Equations.VEERG_4_5_1_9__1_MassOfNitrogenAppliedToSoilsScope1(S23,_xlfn.XLOOKUP($O135,$D$123:$D$129,$E$123:$E$129), _xlfn.XLOOKUP($O135,$D$112:$D$118,$E$112:$E$118),S53,$F83)</f>
        <v>9.9737527499999974</v>
      </c>
      <c r="T135" s="2"/>
    </row>
    <row r="136" spans="4:20" ht="20.100000000000001" customHeight="1" x14ac:dyDescent="0.25">
      <c r="D136" s="55"/>
      <c r="E136" s="55" t="str">
        <f>INDEX(X_Table_Swine_Stage2MMS_From_AnaerobicLagoon,4,1)</f>
        <v>Pit storage</v>
      </c>
      <c r="F136" s="50" cm="1">
        <f t="array" aca="1" ref="F136" ca="1">MMS_Swine_ManureAppliedToSoils_Equations.VEERG_4_5_1_9__1_MassOfNitrogenAppliedToSoilsScope1(F24,_xlfn.XLOOKUP($E136,$D$123:$D$129,$E$123:$E$129), _xlfn.XLOOKUP($E136,$D$112:$D$118,$E$112:$E$118),F54,$F84)</f>
        <v>10.172725199999997</v>
      </c>
      <c r="G136" s="50" cm="1">
        <f t="array" aca="1" ref="G136" ca="1">MMS_Swine_ManureAppliedToSoils_Equations.VEERG_4_5_1_9__1_MassOfNitrogenAppliedToSoilsScope1(G24,_xlfn.XLOOKUP($E136,$D$123:$D$129,$E$123:$E$129), _xlfn.XLOOKUP($E136,$D$112:$D$118,$E$112:$E$118),G54,$F84)</f>
        <v>13.545204750000002</v>
      </c>
      <c r="H136" s="50" cm="1">
        <f t="array" aca="1" ref="H136" ca="1">MMS_Swine_ManureAppliedToSoils_Equations.VEERG_4_5_1_9__1_MassOfNitrogenAppliedToSoilsScope1(H24,_xlfn.XLOOKUP($E136,$D$123:$D$129,$E$123:$E$129), _xlfn.XLOOKUP($E136,$D$112:$D$118,$E$112:$E$118),H54,$F84)</f>
        <v>12.715906499999996</v>
      </c>
      <c r="I136" s="50" cm="1">
        <f t="array" aca="1" ref="I136" ca="1">MMS_Swine_ManureAppliedToSoils_Equations.VEERG_4_5_1_9__1_MassOfNitrogenAppliedToSoilsScope1(I24,_xlfn.XLOOKUP($E136,$D$123:$D$129,$E$123:$E$129), _xlfn.XLOOKUP($E136,$D$112:$D$118,$E$112:$E$118),I54,$F84)</f>
        <v>8.6247017999999969</v>
      </c>
      <c r="J136" s="2"/>
      <c r="N136" s="55"/>
      <c r="O136" s="55" t="str">
        <f>INDEX(X_Table_Swine_Stage2MMS_From_AnaerobicLagoon,4,1)</f>
        <v>Pit storage</v>
      </c>
      <c r="P136" s="50" cm="1">
        <f t="array" aca="1" ref="P136" ca="1">MMS_Swine_ManureAppliedToSoils_Equations.VEERG_4_5_1_9__1_MassOfNitrogenAppliedToSoilsScope1(P24,_xlfn.XLOOKUP($O136,$D$123:$D$129,$E$123:$E$129), _xlfn.XLOOKUP($O136,$D$112:$D$118,$E$112:$E$118),P54,$F84)</f>
        <v>10.172725199999997</v>
      </c>
      <c r="Q136" s="50" cm="1">
        <f t="array" aca="1" ref="Q136" ca="1">MMS_Swine_ManureAppliedToSoils_Equations.VEERG_4_5_1_9__1_MassOfNitrogenAppliedToSoilsScope1(Q24,_xlfn.XLOOKUP($O136,$D$123:$D$129,$E$123:$E$129), _xlfn.XLOOKUP($O136,$D$112:$D$118,$E$112:$E$118),Q54,$F84)</f>
        <v>13.545204750000002</v>
      </c>
      <c r="R136" s="50" cm="1">
        <f t="array" aca="1" ref="R136" ca="1">MMS_Swine_ManureAppliedToSoils_Equations.VEERG_4_5_1_9__1_MassOfNitrogenAppliedToSoilsScope1(R24,_xlfn.XLOOKUP($O136,$D$123:$D$129,$E$123:$E$129), _xlfn.XLOOKUP($O136,$D$112:$D$118,$E$112:$E$118),R54,$F84)</f>
        <v>12.715906499999996</v>
      </c>
      <c r="S136" s="50" cm="1">
        <f t="array" aca="1" ref="S136" ca="1">MMS_Swine_ManureAppliedToSoils_Equations.VEERG_4_5_1_9__1_MassOfNitrogenAppliedToSoilsScope1(S24,_xlfn.XLOOKUP($O136,$D$123:$D$129,$E$123:$E$129), _xlfn.XLOOKUP($O136,$D$112:$D$118,$E$112:$E$118),S54,$F84)</f>
        <v>8.6247017999999969</v>
      </c>
      <c r="T136" s="2"/>
    </row>
    <row r="137" spans="4:20" ht="20.100000000000001" customHeight="1" x14ac:dyDescent="0.25">
      <c r="D137" s="55"/>
      <c r="E137" s="55" t="str">
        <f>INDEX(X_Table_Swine_Stage2MMS_From_AnaerobicLagoon,5,1)</f>
        <v>Direct application</v>
      </c>
      <c r="F137" s="50" cm="1">
        <f t="array" aca="1" ref="F137" ca="1">MMS_Swine_ManureAppliedToSoils_Equations.VEERG_4_5_1_9__1_MassOfNitrogenAppliedToSoilsScope1(F25,_xlfn.XLOOKUP($E137,$D$123:$D$129,$E$123:$E$129), _xlfn.XLOOKUP($E137,$D$112:$D$118,$E$112:$E$118),F55,$F85)</f>
        <v>36.266399999999976</v>
      </c>
      <c r="G137" s="50" cm="1">
        <f t="array" aca="1" ref="G137" ca="1">MMS_Swine_ManureAppliedToSoils_Equations.VEERG_4_5_1_9__1_MassOfNitrogenAppliedToSoilsScope1(G25,_xlfn.XLOOKUP($E137,$D$123:$D$129,$E$123:$E$129), _xlfn.XLOOKUP($E137,$D$112:$D$118,$E$112:$E$118),G55,$F85)</f>
        <v>24.144750000000002</v>
      </c>
      <c r="H137" s="50" cm="1">
        <f t="array" aca="1" ref="H137" ca="1">MMS_Swine_ManureAppliedToSoils_Equations.VEERG_4_5_1_9__1_MassOfNitrogenAppliedToSoilsScope1(H25,_xlfn.XLOOKUP($E137,$D$123:$D$129,$E$123:$E$129), _xlfn.XLOOKUP($E137,$D$112:$D$118,$E$112:$E$118),H55,$F85)</f>
        <v>22.666499999999992</v>
      </c>
      <c r="I137" s="50" cm="1">
        <f t="array" aca="1" ref="I137" ca="1">MMS_Swine_ManureAppliedToSoils_Equations.VEERG_4_5_1_9__1_MassOfNitrogenAppliedToSoilsScope1(I25,_xlfn.XLOOKUP($E137,$D$123:$D$129,$E$123:$E$129), _xlfn.XLOOKUP($E137,$D$112:$D$118,$E$112:$E$118),I55,$F85)</f>
        <v>15.373799999999996</v>
      </c>
      <c r="J137" s="2"/>
      <c r="N137" s="55"/>
      <c r="O137" s="55" t="str">
        <f>INDEX(X_Table_Swine_Stage2MMS_From_AnaerobicLagoon,5,1)</f>
        <v>Direct application</v>
      </c>
      <c r="P137" s="50" cm="1">
        <f t="array" aca="1" ref="P137" ca="1">MMS_Swine_ManureAppliedToSoils_Equations.VEERG_4_5_1_9__1_MassOfNitrogenAppliedToSoilsScope1(P25,_xlfn.XLOOKUP($O137,$D$123:$D$129,$E$123:$E$129), _xlfn.XLOOKUP($O137,$D$112:$D$118,$E$112:$E$118),P55,$F85)</f>
        <v>36.266399999999976</v>
      </c>
      <c r="Q137" s="50" cm="1">
        <f t="array" aca="1" ref="Q137" ca="1">MMS_Swine_ManureAppliedToSoils_Equations.VEERG_4_5_1_9__1_MassOfNitrogenAppliedToSoilsScope1(Q25,_xlfn.XLOOKUP($O137,$D$123:$D$129,$E$123:$E$129), _xlfn.XLOOKUP($O137,$D$112:$D$118,$E$112:$E$118),Q55,$F85)</f>
        <v>24.144750000000002</v>
      </c>
      <c r="R137" s="50" cm="1">
        <f t="array" aca="1" ref="R137" ca="1">MMS_Swine_ManureAppliedToSoils_Equations.VEERG_4_5_1_9__1_MassOfNitrogenAppliedToSoilsScope1(R25,_xlfn.XLOOKUP($O137,$D$123:$D$129,$E$123:$E$129), _xlfn.XLOOKUP($O137,$D$112:$D$118,$E$112:$E$118),R55,$F85)</f>
        <v>22.666499999999992</v>
      </c>
      <c r="S137" s="50" cm="1">
        <f t="array" aca="1" ref="S137" ca="1">MMS_Swine_ManureAppliedToSoils_Equations.VEERG_4_5_1_9__1_MassOfNitrogenAppliedToSoilsScope1(S25,_xlfn.XLOOKUP($O137,$D$123:$D$129,$E$123:$E$129), _xlfn.XLOOKUP($O137,$D$112:$D$118,$E$112:$E$118),S55,$F85)</f>
        <v>15.373799999999996</v>
      </c>
      <c r="T137" s="2"/>
    </row>
    <row r="138" spans="4:20" ht="20.100000000000001" customHeight="1" x14ac:dyDescent="0.25">
      <c r="D138" s="55" t="str">
        <f>INDEX(X_Table_Swine_Stage1MMS_Drylot,2,1)</f>
        <v>Drylot (feed pad)</v>
      </c>
      <c r="E138" s="55" t="str">
        <f>INDEX(X_Table_Swine_Stage2MMS_From_Drylot,2,1)</f>
        <v>Anaerobic lagoon</v>
      </c>
      <c r="F138" s="50" cm="1">
        <f t="array" aca="1" ref="F138" ca="1">MMS_Swine_ManureAppliedToSoils_Equations.VEERG_4_5_1_9__1_MassOfNitrogenAppliedToSoilsScope1(F26,_xlfn.XLOOKUP($E138,$D$123:$D$129,$E$123:$E$129), _xlfn.XLOOKUP($E138,$D$112:$D$118,$E$112:$E$118),F56,$F86)</f>
        <v>6.2257319999999963</v>
      </c>
      <c r="G138" s="50" cm="1">
        <f t="array" aca="1" ref="G138" ca="1">MMS_Swine_ManureAppliedToSoils_Equations.VEERG_4_5_1_9__1_MassOfNitrogenAppliedToSoilsScope1(G26,_xlfn.XLOOKUP($E138,$D$123:$D$129,$E$123:$E$129), _xlfn.XLOOKUP($E138,$D$112:$D$118,$E$112:$E$118),G56,$F86)</f>
        <v>9.0945225000000001</v>
      </c>
      <c r="H138" s="50" cm="1">
        <f t="array" aca="1" ref="H138" ca="1">MMS_Swine_ManureAppliedToSoils_Equations.VEERG_4_5_1_9__1_MassOfNitrogenAppliedToSoilsScope1(H26,_xlfn.XLOOKUP($E138,$D$123:$D$129,$E$123:$E$129), _xlfn.XLOOKUP($E138,$D$112:$D$118,$E$112:$E$118),H56,$F86)</f>
        <v>8.5377149999999951</v>
      </c>
      <c r="I138" s="50" cm="1">
        <f t="array" aca="1" ref="I138" ca="1">MMS_Swine_ManureAppliedToSoils_Equations.VEERG_4_5_1_9__1_MassOfNitrogenAppliedToSoilsScope1(I26,_xlfn.XLOOKUP($E138,$D$123:$D$129,$E$123:$E$129), _xlfn.XLOOKUP($E138,$D$112:$D$118,$E$112:$E$118),I56,$F86)</f>
        <v>5.790797999999997</v>
      </c>
      <c r="J138" s="2"/>
      <c r="N138" s="55" t="str">
        <f>INDEX(X_Table_Swine_Stage1MMS_Drylot,2,1)</f>
        <v>Drylot (feed pad)</v>
      </c>
      <c r="O138" s="55" t="str">
        <f>INDEX(X_Table_Swine_Stage2MMS_From_Drylot,2,1)</f>
        <v>Anaerobic lagoon</v>
      </c>
      <c r="P138" s="50" cm="1">
        <f t="array" aca="1" ref="P138" ca="1">MMS_Swine_ManureAppliedToSoils_Equations.VEERG_4_5_1_9__1_MassOfNitrogenAppliedToSoilsScope1(P26,_xlfn.XLOOKUP($O138,$D$123:$D$129,$E$123:$E$129), _xlfn.XLOOKUP($O138,$D$112:$D$118,$E$112:$E$118),P56,$F86)</f>
        <v>6.2257319999999963</v>
      </c>
      <c r="Q138" s="50" cm="1">
        <f t="array" aca="1" ref="Q138" ca="1">MMS_Swine_ManureAppliedToSoils_Equations.VEERG_4_5_1_9__1_MassOfNitrogenAppliedToSoilsScope1(Q26,_xlfn.XLOOKUP($O138,$D$123:$D$129,$E$123:$E$129), _xlfn.XLOOKUP($O138,$D$112:$D$118,$E$112:$E$118),Q56,$F86)</f>
        <v>9.0945225000000001</v>
      </c>
      <c r="R138" s="50" cm="1">
        <f t="array" aca="1" ref="R138" ca="1">MMS_Swine_ManureAppliedToSoils_Equations.VEERG_4_5_1_9__1_MassOfNitrogenAppliedToSoilsScope1(R26,_xlfn.XLOOKUP($O138,$D$123:$D$129,$E$123:$E$129), _xlfn.XLOOKUP($O138,$D$112:$D$118,$E$112:$E$118),R56,$F86)</f>
        <v>8.5377149999999951</v>
      </c>
      <c r="S138" s="50" cm="1">
        <f t="array" aca="1" ref="S138" ca="1">MMS_Swine_ManureAppliedToSoils_Equations.VEERG_4_5_1_9__1_MassOfNitrogenAppliedToSoilsScope1(S26,_xlfn.XLOOKUP($O138,$D$123:$D$129,$E$123:$E$129), _xlfn.XLOOKUP($O138,$D$112:$D$118,$E$112:$E$118),S56,$F86)</f>
        <v>5.790797999999997</v>
      </c>
      <c r="T138" s="2"/>
    </row>
    <row r="139" spans="4:20" ht="20.100000000000001" customHeight="1" x14ac:dyDescent="0.25">
      <c r="D139" s="55"/>
      <c r="E139" s="55" t="str">
        <f>INDEX(X_Table_Swine_Stage2MMS_From_Drylot,3,1)</f>
        <v>Digester / covered lagoons</v>
      </c>
      <c r="F139" s="50" cm="1">
        <f t="array" aca="1" ref="F139" ca="1">MMS_Swine_ManureAppliedToSoils_Equations.VEERG_4_5_1_9__1_MassOfNitrogenAppliedToSoilsScope1(F27,_xlfn.XLOOKUP($E139,$D$123:$D$129,$E$123:$E$129), _xlfn.XLOOKUP($E139,$D$112:$D$118,$E$112:$E$118),F57,$F87)</f>
        <v>17.528759999999995</v>
      </c>
      <c r="G139" s="50" cm="1">
        <f t="array" aca="1" ref="G139" ca="1">MMS_Swine_ManureAppliedToSoils_Equations.VEERG_4_5_1_9__1_MassOfNitrogenAppliedToSoilsScope1(G27,_xlfn.XLOOKUP($E139,$D$123:$D$129,$E$123:$E$129), _xlfn.XLOOKUP($E139,$D$112:$D$118,$E$112:$E$118),G57,$F87)</f>
        <v>24.144750000000002</v>
      </c>
      <c r="H139" s="50" cm="1">
        <f t="array" aca="1" ref="H139" ca="1">MMS_Swine_ManureAppliedToSoils_Equations.VEERG_4_5_1_9__1_MassOfNitrogenAppliedToSoilsScope1(H27,_xlfn.XLOOKUP($E139,$D$123:$D$129,$E$123:$E$129), _xlfn.XLOOKUP($E139,$D$112:$D$118,$E$112:$E$118),H57,$F87)</f>
        <v>22.666499999999992</v>
      </c>
      <c r="I139" s="50" cm="1">
        <f t="array" aca="1" ref="I139" ca="1">MMS_Swine_ManureAppliedToSoils_Equations.VEERG_4_5_1_9__1_MassOfNitrogenAppliedToSoilsScope1(I27,_xlfn.XLOOKUP($E139,$D$123:$D$129,$E$123:$E$129), _xlfn.XLOOKUP($E139,$D$112:$D$118,$E$112:$E$118),I57,$F87)</f>
        <v>15.373799999999996</v>
      </c>
      <c r="J139" s="2"/>
      <c r="N139" s="55"/>
      <c r="O139" s="55" t="str">
        <f>INDEX(X_Table_Swine_Stage2MMS_From_Drylot,3,1)</f>
        <v>Digester / covered lagoons</v>
      </c>
      <c r="P139" s="50" cm="1">
        <f t="array" aca="1" ref="P139" ca="1">MMS_Swine_ManureAppliedToSoils_Equations.VEERG_4_5_1_9__1_MassOfNitrogenAppliedToSoilsScope1(P27,_xlfn.XLOOKUP($O139,$D$123:$D$129,$E$123:$E$129), _xlfn.XLOOKUP($O139,$D$112:$D$118,$E$112:$E$118),P57,$F87)</f>
        <v>17.528759999999995</v>
      </c>
      <c r="Q139" s="50" cm="1">
        <f t="array" aca="1" ref="Q139" ca="1">MMS_Swine_ManureAppliedToSoils_Equations.VEERG_4_5_1_9__1_MassOfNitrogenAppliedToSoilsScope1(Q27,_xlfn.XLOOKUP($O139,$D$123:$D$129,$E$123:$E$129), _xlfn.XLOOKUP($O139,$D$112:$D$118,$E$112:$E$118),Q57,$F87)</f>
        <v>24.144750000000002</v>
      </c>
      <c r="R139" s="50" cm="1">
        <f t="array" aca="1" ref="R139" ca="1">MMS_Swine_ManureAppliedToSoils_Equations.VEERG_4_5_1_9__1_MassOfNitrogenAppliedToSoilsScope1(R27,_xlfn.XLOOKUP($O139,$D$123:$D$129,$E$123:$E$129), _xlfn.XLOOKUP($O139,$D$112:$D$118,$E$112:$E$118),R57,$F87)</f>
        <v>22.666499999999992</v>
      </c>
      <c r="S139" s="50" cm="1">
        <f t="array" aca="1" ref="S139" ca="1">MMS_Swine_ManureAppliedToSoils_Equations.VEERG_4_5_1_9__1_MassOfNitrogenAppliedToSoilsScope1(S27,_xlfn.XLOOKUP($O139,$D$123:$D$129,$E$123:$E$129), _xlfn.XLOOKUP($O139,$D$112:$D$118,$E$112:$E$118),S57,$F87)</f>
        <v>15.373799999999996</v>
      </c>
      <c r="T139" s="2"/>
    </row>
    <row r="140" spans="4:20" ht="20.100000000000001" customHeight="1" x14ac:dyDescent="0.25">
      <c r="D140" s="55"/>
      <c r="E140" s="55" t="str">
        <f>INDEX(X_Table_Swine_Stage2MMS_From_Drylot,4,1)</f>
        <v>Deep litter</v>
      </c>
      <c r="F140" s="50" cm="1">
        <f t="array" aca="1" ref="F140" ca="1">MMS_Swine_ManureAppliedToSoils_Equations.VEERG_4_5_1_9__1_MassOfNitrogenAppliedToSoilsScope1(F28,_xlfn.XLOOKUP($E140,$D$123:$D$129,$E$123:$E$129), _xlfn.XLOOKUP($E140,$D$112:$D$118,$E$112:$E$118),F58,$F88)</f>
        <v>14.754380399999995</v>
      </c>
      <c r="G140" s="50" cm="1">
        <f t="array" aca="1" ref="G140" ca="1">MMS_Swine_ManureAppliedToSoils_Equations.VEERG_4_5_1_9__1_MassOfNitrogenAppliedToSoilsScope1(G28,_xlfn.XLOOKUP($E140,$D$123:$D$129,$E$123:$E$129), _xlfn.XLOOKUP($E140,$D$112:$D$118,$E$112:$E$118),G58,$F88)</f>
        <v>20.450603250000004</v>
      </c>
      <c r="H140" s="50" cm="1">
        <f t="array" aca="1" ref="H140" ca="1">MMS_Swine_ManureAppliedToSoils_Equations.VEERG_4_5_1_9__1_MassOfNitrogenAppliedToSoilsScope1(H28,_xlfn.XLOOKUP($E140,$D$123:$D$129,$E$123:$E$129), _xlfn.XLOOKUP($E140,$D$112:$D$118,$E$112:$E$118),H58,$F88)</f>
        <v>19.198525499999995</v>
      </c>
      <c r="I140" s="50" cm="1">
        <f t="array" aca="1" ref="I140" ca="1">MMS_Swine_ManureAppliedToSoils_Equations.VEERG_4_5_1_9__1_MassOfNitrogenAppliedToSoilsScope1(I28,_xlfn.XLOOKUP($E140,$D$123:$D$129,$E$123:$E$129), _xlfn.XLOOKUP($E140,$D$112:$D$118,$E$112:$E$118),I58,$F88)</f>
        <v>13.021608599999993</v>
      </c>
      <c r="J140" s="2"/>
      <c r="N140" s="55"/>
      <c r="O140" s="55" t="str">
        <f>INDEX(X_Table_Swine_Stage2MMS_From_Drylot,4,1)</f>
        <v>Deep litter</v>
      </c>
      <c r="P140" s="50" cm="1">
        <f t="array" aca="1" ref="P140" ca="1">MMS_Swine_ManureAppliedToSoils_Equations.VEERG_4_5_1_9__1_MassOfNitrogenAppliedToSoilsScope1(P28,_xlfn.XLOOKUP($O140,$D$123:$D$129,$E$123:$E$129), _xlfn.XLOOKUP($O140,$D$112:$D$118,$E$112:$E$118),P58,$F88)</f>
        <v>14.754380399999995</v>
      </c>
      <c r="Q140" s="50" cm="1">
        <f t="array" aca="1" ref="Q140" ca="1">MMS_Swine_ManureAppliedToSoils_Equations.VEERG_4_5_1_9__1_MassOfNitrogenAppliedToSoilsScope1(Q28,_xlfn.XLOOKUP($O140,$D$123:$D$129,$E$123:$E$129), _xlfn.XLOOKUP($O140,$D$112:$D$118,$E$112:$E$118),Q58,$F88)</f>
        <v>20.450603250000004</v>
      </c>
      <c r="R140" s="50" cm="1">
        <f t="array" aca="1" ref="R140" ca="1">MMS_Swine_ManureAppliedToSoils_Equations.VEERG_4_5_1_9__1_MassOfNitrogenAppliedToSoilsScope1(R28,_xlfn.XLOOKUP($O140,$D$123:$D$129,$E$123:$E$129), _xlfn.XLOOKUP($O140,$D$112:$D$118,$E$112:$E$118),R58,$F88)</f>
        <v>19.198525499999995</v>
      </c>
      <c r="S140" s="50" cm="1">
        <f t="array" aca="1" ref="S140" ca="1">MMS_Swine_ManureAppliedToSoils_Equations.VEERG_4_5_1_9__1_MassOfNitrogenAppliedToSoilsScope1(S28,_xlfn.XLOOKUP($O140,$D$123:$D$129,$E$123:$E$129), _xlfn.XLOOKUP($O140,$D$112:$D$118,$E$112:$E$118),S58,$F88)</f>
        <v>13.021608599999993</v>
      </c>
      <c r="T140" s="2"/>
    </row>
    <row r="141" spans="4:20" ht="20.100000000000001" customHeight="1" x14ac:dyDescent="0.25">
      <c r="D141" s="55"/>
      <c r="E141" s="55" t="str">
        <f>INDEX(X_Table_Swine_Stage2MMS_From_Drylot,5,1)</f>
        <v>Pit storage</v>
      </c>
      <c r="F141" s="50" cm="1">
        <f t="array" aca="1" ref="F141" ca="1">MMS_Swine_ManureAppliedToSoils_Equations.VEERG_4_5_1_9__1_MassOfNitrogenAppliedToSoilsScope1(F29,_xlfn.XLOOKUP($E141,$D$123:$D$129,$E$123:$E$129), _xlfn.XLOOKUP($E141,$D$112:$D$118,$E$112:$E$118),F59,$F89)</f>
        <v>12.349918079999997</v>
      </c>
      <c r="G141" s="50" cm="1">
        <f t="array" aca="1" ref="G141" ca="1">MMS_Swine_ManureAppliedToSoils_Equations.VEERG_4_5_1_9__1_MassOfNitrogenAppliedToSoilsScope1(G29,_xlfn.XLOOKUP($E141,$D$123:$D$129,$E$123:$E$129), _xlfn.XLOOKUP($E141,$D$112:$D$118,$E$112:$E$118),G59,$F89)</f>
        <v>17.249009400000006</v>
      </c>
      <c r="H141" s="50" cm="1">
        <f t="array" aca="1" ref="H141" ca="1">MMS_Swine_ManureAppliedToSoils_Equations.VEERG_4_5_1_9__1_MassOfNitrogenAppliedToSoilsScope1(H29,_xlfn.XLOOKUP($E141,$D$123:$D$129,$E$123:$E$129), _xlfn.XLOOKUP($E141,$D$112:$D$118,$E$112:$E$118),H59,$F89)</f>
        <v>16.192947599999997</v>
      </c>
      <c r="I141" s="50" cm="1">
        <f t="array" aca="1" ref="I141" ca="1">MMS_Swine_ManureAppliedToSoils_Equations.VEERG_4_5_1_9__1_MassOfNitrogenAppliedToSoilsScope1(I29,_xlfn.XLOOKUP($E141,$D$123:$D$129,$E$123:$E$129), _xlfn.XLOOKUP($E141,$D$112:$D$118,$E$112:$E$118),I59,$F89)</f>
        <v>10.983042719999995</v>
      </c>
      <c r="J141" s="2"/>
      <c r="N141" s="55"/>
      <c r="O141" s="55" t="str">
        <f>INDEX(X_Table_Swine_Stage2MMS_From_Drylot,5,1)</f>
        <v>Pit storage</v>
      </c>
      <c r="P141" s="50" cm="1">
        <f t="array" aca="1" ref="P141" ca="1">MMS_Swine_ManureAppliedToSoils_Equations.VEERG_4_5_1_9__1_MassOfNitrogenAppliedToSoilsScope1(P29,_xlfn.XLOOKUP($O141,$D$123:$D$129,$E$123:$E$129), _xlfn.XLOOKUP($O141,$D$112:$D$118,$E$112:$E$118),P59,$F89)</f>
        <v>12.349918079999997</v>
      </c>
      <c r="Q141" s="50" cm="1">
        <f t="array" aca="1" ref="Q141" ca="1">MMS_Swine_ManureAppliedToSoils_Equations.VEERG_4_5_1_9__1_MassOfNitrogenAppliedToSoilsScope1(Q29,_xlfn.XLOOKUP($O141,$D$123:$D$129,$E$123:$E$129), _xlfn.XLOOKUP($O141,$D$112:$D$118,$E$112:$E$118),Q59,$F89)</f>
        <v>17.249009400000006</v>
      </c>
      <c r="R141" s="50" cm="1">
        <f t="array" aca="1" ref="R141" ca="1">MMS_Swine_ManureAppliedToSoils_Equations.VEERG_4_5_1_9__1_MassOfNitrogenAppliedToSoilsScope1(R29,_xlfn.XLOOKUP($O141,$D$123:$D$129,$E$123:$E$129), _xlfn.XLOOKUP($O141,$D$112:$D$118,$E$112:$E$118),R59,$F89)</f>
        <v>16.192947599999997</v>
      </c>
      <c r="S141" s="50" cm="1">
        <f t="array" aca="1" ref="S141" ca="1">MMS_Swine_ManureAppliedToSoils_Equations.VEERG_4_5_1_9__1_MassOfNitrogenAppliedToSoilsScope1(S29,_xlfn.XLOOKUP($O141,$D$123:$D$129,$E$123:$E$129), _xlfn.XLOOKUP($O141,$D$112:$D$118,$E$112:$E$118),S59,$F89)</f>
        <v>10.983042719999995</v>
      </c>
      <c r="T141" s="2"/>
    </row>
    <row r="142" spans="4:20" ht="20.100000000000001" customHeight="1" x14ac:dyDescent="0.25">
      <c r="D142" s="55"/>
      <c r="E142" s="55" t="str">
        <f>INDEX(X_Table_Swine_Stage2MMS_From_Drylot,6,1)</f>
        <v>Direct application</v>
      </c>
      <c r="F142" s="50" cm="1">
        <f t="array" aca="1" ref="F142" ca="1">MMS_Swine_ManureAppliedToSoils_Equations.VEERG_4_5_1_9__1_MassOfNitrogenAppliedToSoilsScope1(F30,_xlfn.XLOOKUP($E142,$D$123:$D$129,$E$123:$E$129), _xlfn.XLOOKUP($E142,$D$112:$D$118,$E$112:$E$118),F60,$F90)</f>
        <v>27.401279999999986</v>
      </c>
      <c r="G142" s="50" cm="1">
        <f t="array" aca="1" ref="G142" ca="1">MMS_Swine_ManureAppliedToSoils_Equations.VEERG_4_5_1_9__1_MassOfNitrogenAppliedToSoilsScope1(G30,_xlfn.XLOOKUP($E142,$D$123:$D$129,$E$123:$E$129), _xlfn.XLOOKUP($E142,$D$112:$D$118,$E$112:$E$118),G60,$F90)</f>
        <v>0</v>
      </c>
      <c r="H142" s="50" cm="1">
        <f t="array" aca="1" ref="H142" ca="1">MMS_Swine_ManureAppliedToSoils_Equations.VEERG_4_5_1_9__1_MassOfNitrogenAppliedToSoilsScope1(H30,_xlfn.XLOOKUP($E142,$D$123:$D$129,$E$123:$E$129), _xlfn.XLOOKUP($E142,$D$112:$D$118,$E$112:$E$118),H60,$F90)</f>
        <v>0</v>
      </c>
      <c r="I142" s="50" cm="1">
        <f t="array" aca="1" ref="I142" ca="1">MMS_Swine_ManureAppliedToSoils_Equations.VEERG_4_5_1_9__1_MassOfNitrogenAppliedToSoilsScope1(I30,_xlfn.XLOOKUP($E142,$D$123:$D$129,$E$123:$E$129), _xlfn.XLOOKUP($E142,$D$112:$D$118,$E$112:$E$118),I60,$F90)</f>
        <v>0</v>
      </c>
      <c r="J142" s="2"/>
      <c r="N142" s="55"/>
      <c r="O142" s="55" t="str">
        <f>INDEX(X_Table_Swine_Stage2MMS_From_Drylot,6,1)</f>
        <v>Direct application</v>
      </c>
      <c r="P142" s="50" cm="1">
        <f t="array" aca="1" ref="P142" ca="1">MMS_Swine_ManureAppliedToSoils_Equations.VEERG_4_5_1_9__1_MassOfNitrogenAppliedToSoilsScope1(P30,_xlfn.XLOOKUP($O142,$D$123:$D$129,$E$123:$E$129), _xlfn.XLOOKUP($O142,$D$112:$D$118,$E$112:$E$118),P60,$F90)</f>
        <v>27.401279999999986</v>
      </c>
      <c r="Q142" s="50" cm="1">
        <f t="array" aca="1" ref="Q142" ca="1">MMS_Swine_ManureAppliedToSoils_Equations.VEERG_4_5_1_9__1_MassOfNitrogenAppliedToSoilsScope1(Q30,_xlfn.XLOOKUP($O142,$D$123:$D$129,$E$123:$E$129), _xlfn.XLOOKUP($O142,$D$112:$D$118,$E$112:$E$118),Q60,$F90)</f>
        <v>0</v>
      </c>
      <c r="R142" s="50" cm="1">
        <f t="array" aca="1" ref="R142" ca="1">MMS_Swine_ManureAppliedToSoils_Equations.VEERG_4_5_1_9__1_MassOfNitrogenAppliedToSoilsScope1(R30,_xlfn.XLOOKUP($O142,$D$123:$D$129,$E$123:$E$129), _xlfn.XLOOKUP($O142,$D$112:$D$118,$E$112:$E$118),R60,$F90)</f>
        <v>0</v>
      </c>
      <c r="S142" s="50" cm="1">
        <f t="array" aca="1" ref="S142" ca="1">MMS_Swine_ManureAppliedToSoils_Equations.VEERG_4_5_1_9__1_MassOfNitrogenAppliedToSoilsScope1(S30,_xlfn.XLOOKUP($O142,$D$123:$D$129,$E$123:$E$129), _xlfn.XLOOKUP($O142,$D$112:$D$118,$E$112:$E$118),S60,$F90)</f>
        <v>0</v>
      </c>
      <c r="T142" s="2"/>
    </row>
    <row r="143" spans="4:20" ht="20.100000000000001" customHeight="1" x14ac:dyDescent="0.25">
      <c r="D143" s="55" t="str">
        <f>INDEX(X_Table_Swine_Stage1MMS_DigesterCoveredLagoons,2,1)</f>
        <v>Digester / covered lagoons</v>
      </c>
      <c r="E143" s="55" t="str">
        <f>INDEX(X_Table_Swine_Stage2MMS_From_DigesterCoveredLagoons,2,1)</f>
        <v>Anaerobic lagoon</v>
      </c>
      <c r="F143" s="50" cm="1">
        <f t="array" aca="1" ref="F143" ca="1">MMS_Swine_ManureAppliedToSoils_Equations.VEERG_4_5_1_9__1_MassOfNitrogenAppliedToSoilsScope1(F31,_xlfn.XLOOKUP($E143,$D$123:$D$129,$E$123:$E$129), _xlfn.XLOOKUP($E143,$D$112:$D$118,$E$112:$E$118),F61,$F91)</f>
        <v>13.599899999999996</v>
      </c>
      <c r="G143" s="50" cm="1">
        <f t="array" aca="1" ref="G143" ca="1">MMS_Swine_ManureAppliedToSoils_Equations.VEERG_4_5_1_9__1_MassOfNitrogenAppliedToSoilsScope1(G31,_xlfn.XLOOKUP($E143,$D$123:$D$129,$E$123:$E$129), _xlfn.XLOOKUP($E143,$D$112:$D$118,$E$112:$E$118),G61,$F91)</f>
        <v>18.108562500000001</v>
      </c>
      <c r="H143" s="50" cm="1">
        <f t="array" aca="1" ref="H143" ca="1">MMS_Swine_ManureAppliedToSoils_Equations.VEERG_4_5_1_9__1_MassOfNitrogenAppliedToSoilsScope1(H31,_xlfn.XLOOKUP($E143,$D$123:$D$129,$E$123:$E$129), _xlfn.XLOOKUP($E143,$D$112:$D$118,$E$112:$E$118),H61,$F91)</f>
        <v>16.999874999999996</v>
      </c>
      <c r="I143" s="50" cm="1">
        <f t="array" aca="1" ref="I143" ca="1">MMS_Swine_ManureAppliedToSoils_Equations.VEERG_4_5_1_9__1_MassOfNitrogenAppliedToSoilsScope1(I31,_xlfn.XLOOKUP($E143,$D$123:$D$129,$E$123:$E$129), _xlfn.XLOOKUP($E143,$D$112:$D$118,$E$112:$E$118),I61,$F91)</f>
        <v>11.530349999999997</v>
      </c>
      <c r="J143" s="2"/>
      <c r="N143" s="55" t="str">
        <f>INDEX(X_Table_Swine_Stage1MMS_DigesterCoveredLagoons,2,1)</f>
        <v>Digester / covered lagoons</v>
      </c>
      <c r="O143" s="55" t="str">
        <f>INDEX(X_Table_Swine_Stage2MMS_From_DigesterCoveredLagoons,2,1)</f>
        <v>Anaerobic lagoon</v>
      </c>
      <c r="P143" s="50" cm="1">
        <f t="array" aca="1" ref="P143" ca="1">MMS_Swine_ManureAppliedToSoils_Equations.VEERG_4_5_1_9__1_MassOfNitrogenAppliedToSoilsScope1(P31,_xlfn.XLOOKUP($O143,$D$123:$D$129,$E$123:$E$129), _xlfn.XLOOKUP($O143,$D$112:$D$118,$E$112:$E$118),P61,$F91)</f>
        <v>13.599899999999996</v>
      </c>
      <c r="Q143" s="50" cm="1">
        <f t="array" aca="1" ref="Q143" ca="1">MMS_Swine_ManureAppliedToSoils_Equations.VEERG_4_5_1_9__1_MassOfNitrogenAppliedToSoilsScope1(Q31,_xlfn.XLOOKUP($O143,$D$123:$D$129,$E$123:$E$129), _xlfn.XLOOKUP($O143,$D$112:$D$118,$E$112:$E$118),Q61,$F91)</f>
        <v>18.108562500000001</v>
      </c>
      <c r="R143" s="50" cm="1">
        <f t="array" aca="1" ref="R143" ca="1">MMS_Swine_ManureAppliedToSoils_Equations.VEERG_4_5_1_9__1_MassOfNitrogenAppliedToSoilsScope1(R31,_xlfn.XLOOKUP($O143,$D$123:$D$129,$E$123:$E$129), _xlfn.XLOOKUP($O143,$D$112:$D$118,$E$112:$E$118),R61,$F91)</f>
        <v>16.999874999999996</v>
      </c>
      <c r="S143" s="50" cm="1">
        <f t="array" aca="1" ref="S143" ca="1">MMS_Swine_ManureAppliedToSoils_Equations.VEERG_4_5_1_9__1_MassOfNitrogenAppliedToSoilsScope1(S31,_xlfn.XLOOKUP($O143,$D$123:$D$129,$E$123:$E$129), _xlfn.XLOOKUP($O143,$D$112:$D$118,$E$112:$E$118),S61,$F91)</f>
        <v>11.530349999999997</v>
      </c>
      <c r="T143" s="2"/>
    </row>
    <row r="144" spans="4:20" ht="20.100000000000001" customHeight="1" x14ac:dyDescent="0.25">
      <c r="D144" s="55"/>
      <c r="E144" s="55" t="str">
        <f>INDEX(X_Table_Swine_Stage2MMS_From_DigesterCoveredLagoons,3,1)</f>
        <v>Deep litter</v>
      </c>
      <c r="F144" s="50" cm="1">
        <f t="array" aca="1" ref="F144" ca="1">MMS_Swine_ManureAppliedToSoils_Equations.VEERG_4_5_1_9__1_MassOfNitrogenAppliedToSoilsScope1(F32,_xlfn.XLOOKUP($E144,$D$123:$D$129,$E$123:$E$129), _xlfn.XLOOKUP($E144,$D$112:$D$118,$E$112:$E$118),F62,$F92)</f>
        <v>26.142029999999995</v>
      </c>
      <c r="G144" s="50" cm="1">
        <f t="array" aca="1" ref="G144" ca="1">MMS_Swine_ManureAppliedToSoils_Equations.VEERG_4_5_1_9__1_MassOfNitrogenAppliedToSoilsScope1(G32,_xlfn.XLOOKUP($E144,$D$123:$D$129,$E$123:$E$129), _xlfn.XLOOKUP($E144,$D$112:$D$118,$E$112:$E$118),G62,$F92)</f>
        <v>34.808681250000006</v>
      </c>
      <c r="H144" s="50" cm="1">
        <f t="array" aca="1" ref="H144" ca="1">MMS_Swine_ManureAppliedToSoils_Equations.VEERG_4_5_1_9__1_MassOfNitrogenAppliedToSoilsScope1(H32,_xlfn.XLOOKUP($E144,$D$123:$D$129,$E$123:$E$129), _xlfn.XLOOKUP($E144,$D$112:$D$118,$E$112:$E$118),H62,$F92)</f>
        <v>32.677537499999993</v>
      </c>
      <c r="I144" s="50" cm="1">
        <f t="array" aca="1" ref="I144" ca="1">MMS_Swine_ManureAppliedToSoils_Equations.VEERG_4_5_1_9__1_MassOfNitrogenAppliedToSoilsScope1(I32,_xlfn.XLOOKUP($E144,$D$123:$D$129,$E$123:$E$129), _xlfn.XLOOKUP($E144,$D$112:$D$118,$E$112:$E$118),I62,$F92)</f>
        <v>22.163894999999997</v>
      </c>
      <c r="J144" s="2"/>
      <c r="N144" s="55"/>
      <c r="O144" s="55" t="str">
        <f>INDEX(X_Table_Swine_Stage2MMS_From_DigesterCoveredLagoons,3,1)</f>
        <v>Deep litter</v>
      </c>
      <c r="P144" s="50" cm="1">
        <f t="array" aca="1" ref="P144" ca="1">MMS_Swine_ManureAppliedToSoils_Equations.VEERG_4_5_1_9__1_MassOfNitrogenAppliedToSoilsScope1(P32,_xlfn.XLOOKUP($O144,$D$123:$D$129,$E$123:$E$129), _xlfn.XLOOKUP($O144,$D$112:$D$118,$E$112:$E$118),P62,$F92)</f>
        <v>26.142029999999995</v>
      </c>
      <c r="Q144" s="50" cm="1">
        <f t="array" aca="1" ref="Q144" ca="1">MMS_Swine_ManureAppliedToSoils_Equations.VEERG_4_5_1_9__1_MassOfNitrogenAppliedToSoilsScope1(Q32,_xlfn.XLOOKUP($O144,$D$123:$D$129,$E$123:$E$129), _xlfn.XLOOKUP($O144,$D$112:$D$118,$E$112:$E$118),Q62,$F92)</f>
        <v>34.808681250000006</v>
      </c>
      <c r="R144" s="50" cm="1">
        <f t="array" aca="1" ref="R144" ca="1">MMS_Swine_ManureAppliedToSoils_Equations.VEERG_4_5_1_9__1_MassOfNitrogenAppliedToSoilsScope1(R32,_xlfn.XLOOKUP($O144,$D$123:$D$129,$E$123:$E$129), _xlfn.XLOOKUP($O144,$D$112:$D$118,$E$112:$E$118),R62,$F92)</f>
        <v>32.677537499999993</v>
      </c>
      <c r="S144" s="50" cm="1">
        <f t="array" aca="1" ref="S144" ca="1">MMS_Swine_ManureAppliedToSoils_Equations.VEERG_4_5_1_9__1_MassOfNitrogenAppliedToSoilsScope1(S32,_xlfn.XLOOKUP($O144,$D$123:$D$129,$E$123:$E$129), _xlfn.XLOOKUP($O144,$D$112:$D$118,$E$112:$E$118),S62,$F92)</f>
        <v>22.163894999999997</v>
      </c>
      <c r="T144" s="2"/>
    </row>
    <row r="145" spans="4:20" ht="20.100000000000001" customHeight="1" x14ac:dyDescent="0.25">
      <c r="D145" s="55"/>
      <c r="E145" s="55" t="str">
        <f>INDEX(X_Table_Swine_Stage2MMS_From_DigesterCoveredLagoons,4,1)</f>
        <v>Pit storage</v>
      </c>
      <c r="F145" s="50" cm="1">
        <f t="array" aca="1" ref="F145" ca="1">MMS_Swine_ManureAppliedToSoils_Equations.VEERG_4_5_1_9__1_MassOfNitrogenAppliedToSoilsScope1(F33,_xlfn.XLOOKUP($E145,$D$123:$D$129,$E$123:$E$129), _xlfn.XLOOKUP($E145,$D$112:$D$118,$E$112:$E$118),F63,$F93)</f>
        <v>22.606055999999995</v>
      </c>
      <c r="G145" s="50" cm="1">
        <f t="array" aca="1" ref="G145" ca="1">MMS_Swine_ManureAppliedToSoils_Equations.VEERG_4_5_1_9__1_MassOfNitrogenAppliedToSoilsScope1(G33,_xlfn.XLOOKUP($E145,$D$123:$D$129,$E$123:$E$129), _xlfn.XLOOKUP($E145,$D$112:$D$118,$E$112:$E$118),G63,$F93)</f>
        <v>30.100455000000004</v>
      </c>
      <c r="H145" s="50" cm="1">
        <f t="array" aca="1" ref="H145" ca="1">MMS_Swine_ManureAppliedToSoils_Equations.VEERG_4_5_1_9__1_MassOfNitrogenAppliedToSoilsScope1(H33,_xlfn.XLOOKUP($E145,$D$123:$D$129,$E$123:$E$129), _xlfn.XLOOKUP($E145,$D$112:$D$118,$E$112:$E$118),H63,$F93)</f>
        <v>28.257569999999994</v>
      </c>
      <c r="I145" s="50" cm="1">
        <f t="array" aca="1" ref="I145" ca="1">MMS_Swine_ManureAppliedToSoils_Equations.VEERG_4_5_1_9__1_MassOfNitrogenAppliedToSoilsScope1(I33,_xlfn.XLOOKUP($E145,$D$123:$D$129,$E$123:$E$129), _xlfn.XLOOKUP($E145,$D$112:$D$118,$E$112:$E$118),I63,$F93)</f>
        <v>19.166003999999997</v>
      </c>
      <c r="J145" s="2"/>
      <c r="N145" s="55"/>
      <c r="O145" s="55" t="str">
        <f>INDEX(X_Table_Swine_Stage2MMS_From_DigesterCoveredLagoons,4,1)</f>
        <v>Pit storage</v>
      </c>
      <c r="P145" s="50" cm="1">
        <f t="array" aca="1" ref="P145" ca="1">MMS_Swine_ManureAppliedToSoils_Equations.VEERG_4_5_1_9__1_MassOfNitrogenAppliedToSoilsScope1(P33,_xlfn.XLOOKUP($O145,$D$123:$D$129,$E$123:$E$129), _xlfn.XLOOKUP($O145,$D$112:$D$118,$E$112:$E$118),P63,$F93)</f>
        <v>22.606055999999995</v>
      </c>
      <c r="Q145" s="50" cm="1">
        <f t="array" aca="1" ref="Q145" ca="1">MMS_Swine_ManureAppliedToSoils_Equations.VEERG_4_5_1_9__1_MassOfNitrogenAppliedToSoilsScope1(Q33,_xlfn.XLOOKUP($O145,$D$123:$D$129,$E$123:$E$129), _xlfn.XLOOKUP($O145,$D$112:$D$118,$E$112:$E$118),Q63,$F93)</f>
        <v>30.100455000000004</v>
      </c>
      <c r="R145" s="50" cm="1">
        <f t="array" aca="1" ref="R145" ca="1">MMS_Swine_ManureAppliedToSoils_Equations.VEERG_4_5_1_9__1_MassOfNitrogenAppliedToSoilsScope1(R33,_xlfn.XLOOKUP($O145,$D$123:$D$129,$E$123:$E$129), _xlfn.XLOOKUP($O145,$D$112:$D$118,$E$112:$E$118),R63,$F93)</f>
        <v>28.257569999999994</v>
      </c>
      <c r="S145" s="50" cm="1">
        <f t="array" aca="1" ref="S145" ca="1">MMS_Swine_ManureAppliedToSoils_Equations.VEERG_4_5_1_9__1_MassOfNitrogenAppliedToSoilsScope1(S33,_xlfn.XLOOKUP($O145,$D$123:$D$129,$E$123:$E$129), _xlfn.XLOOKUP($O145,$D$112:$D$118,$E$112:$E$118),S63,$F93)</f>
        <v>19.166003999999997</v>
      </c>
      <c r="T145" s="2"/>
    </row>
    <row r="146" spans="4:20" ht="20.100000000000001" customHeight="1" x14ac:dyDescent="0.25">
      <c r="D146" s="55"/>
      <c r="E146" s="55" t="str">
        <f>INDEX(X_Table_Swine_Stage2MMS_From_DigesterCoveredLagoons,5,1)</f>
        <v>Direct application</v>
      </c>
      <c r="F146" s="50" cm="1">
        <f t="array" aca="1" ref="F146" ca="1">MMS_Swine_ManureAppliedToSoils_Equations.VEERG_4_5_1_9__1_MassOfNitrogenAppliedToSoilsScope1(F34,_xlfn.XLOOKUP($E146,$D$123:$D$129,$E$123:$E$129), _xlfn.XLOOKUP($E146,$D$112:$D$118,$E$112:$E$118),F64,$F94)</f>
        <v>80.59199999999997</v>
      </c>
      <c r="G146" s="50" cm="1">
        <f t="array" aca="1" ref="G146" ca="1">MMS_Swine_ManureAppliedToSoils_Equations.VEERG_4_5_1_9__1_MassOfNitrogenAppliedToSoilsScope1(G34,_xlfn.XLOOKUP($E146,$D$123:$D$129,$E$123:$E$129), _xlfn.XLOOKUP($E146,$D$112:$D$118,$E$112:$E$118),G64,$F94)</f>
        <v>53.655000000000008</v>
      </c>
      <c r="H146" s="50" cm="1">
        <f t="array" aca="1" ref="H146" ca="1">MMS_Swine_ManureAppliedToSoils_Equations.VEERG_4_5_1_9__1_MassOfNitrogenAppliedToSoilsScope1(H34,_xlfn.XLOOKUP($E146,$D$123:$D$129,$E$123:$E$129), _xlfn.XLOOKUP($E146,$D$112:$D$118,$E$112:$E$118),H64,$F94)</f>
        <v>50.36999999999999</v>
      </c>
      <c r="I146" s="50" cm="1">
        <f t="array" aca="1" ref="I146" ca="1">MMS_Swine_ManureAppliedToSoils_Equations.VEERG_4_5_1_9__1_MassOfNitrogenAppliedToSoilsScope1(I34,_xlfn.XLOOKUP($E146,$D$123:$D$129,$E$123:$E$129), _xlfn.XLOOKUP($E146,$D$112:$D$118,$E$112:$E$118),I64,$F94)</f>
        <v>34.163999999999994</v>
      </c>
      <c r="J146" s="2"/>
      <c r="N146" s="55"/>
      <c r="O146" s="55" t="str">
        <f>INDEX(X_Table_Swine_Stage2MMS_From_DigesterCoveredLagoons,5,1)</f>
        <v>Direct application</v>
      </c>
      <c r="P146" s="50" cm="1">
        <f t="array" aca="1" ref="P146" ca="1">MMS_Swine_ManureAppliedToSoils_Equations.VEERG_4_5_1_9__1_MassOfNitrogenAppliedToSoilsScope1(P34,_xlfn.XLOOKUP($O146,$D$123:$D$129,$E$123:$E$129), _xlfn.XLOOKUP($O146,$D$112:$D$118,$E$112:$E$118),P64,$F94)</f>
        <v>80.59199999999997</v>
      </c>
      <c r="Q146" s="50" cm="1">
        <f t="array" aca="1" ref="Q146" ca="1">MMS_Swine_ManureAppliedToSoils_Equations.VEERG_4_5_1_9__1_MassOfNitrogenAppliedToSoilsScope1(Q34,_xlfn.XLOOKUP($O146,$D$123:$D$129,$E$123:$E$129), _xlfn.XLOOKUP($O146,$D$112:$D$118,$E$112:$E$118),Q64,$F94)</f>
        <v>53.655000000000008</v>
      </c>
      <c r="R146" s="50" cm="1">
        <f t="array" aca="1" ref="R146" ca="1">MMS_Swine_ManureAppliedToSoils_Equations.VEERG_4_5_1_9__1_MassOfNitrogenAppliedToSoilsScope1(R34,_xlfn.XLOOKUP($O146,$D$123:$D$129,$E$123:$E$129), _xlfn.XLOOKUP($O146,$D$112:$D$118,$E$112:$E$118),R64,$F94)</f>
        <v>50.36999999999999</v>
      </c>
      <c r="S146" s="50" cm="1">
        <f t="array" aca="1" ref="S146" ca="1">MMS_Swine_ManureAppliedToSoils_Equations.VEERG_4_5_1_9__1_MassOfNitrogenAppliedToSoilsScope1(S34,_xlfn.XLOOKUP($O146,$D$123:$D$129,$E$123:$E$129), _xlfn.XLOOKUP($O146,$D$112:$D$118,$E$112:$E$118),S64,$F94)</f>
        <v>34.163999999999994</v>
      </c>
      <c r="T146" s="2"/>
    </row>
    <row r="147" spans="4:20" ht="20.100000000000001" customHeight="1" x14ac:dyDescent="0.25">
      <c r="D147" s="55" t="str">
        <f>INDEX(X_Table_Swine_Stage1MMS_DeepLitter,2,1)</f>
        <v>Deep litter</v>
      </c>
      <c r="E147" s="55" t="str">
        <f>INDEX(X_Table_Swine_Stage2MMS_From_DeepLitter,2,1)</f>
        <v>Anaerobic lagoon</v>
      </c>
      <c r="F147" s="50" cm="1">
        <f t="array" aca="1" ref="F147" ca="1">MMS_Swine_ManureAppliedToSoils_Equations.VEERG_4_5_1_9__1_MassOfNitrogenAppliedToSoilsScope1(F35,_xlfn.XLOOKUP($E147,$D$123:$D$129,$E$123:$E$129), _xlfn.XLOOKUP($E147,$D$112:$D$118,$E$112:$E$118),F65,$F95)</f>
        <v>11.763913499999997</v>
      </c>
      <c r="G147" s="50" cm="1">
        <f t="array" aca="1" ref="G147" ca="1">MMS_Swine_ManureAppliedToSoils_Equations.VEERG_4_5_1_9__1_MassOfNitrogenAppliedToSoilsScope1(G35,_xlfn.XLOOKUP($E147,$D$123:$D$129,$E$123:$E$129), _xlfn.XLOOKUP($E147,$D$112:$D$118,$E$112:$E$118),G65,$F95)</f>
        <v>15.663906562499999</v>
      </c>
      <c r="H147" s="50" cm="1">
        <f t="array" aca="1" ref="H147" ca="1">MMS_Swine_ManureAppliedToSoils_Equations.VEERG_4_5_1_9__1_MassOfNitrogenAppliedToSoilsScope1(H35,_xlfn.XLOOKUP($E147,$D$123:$D$129,$E$123:$E$129), _xlfn.XLOOKUP($E147,$D$112:$D$118,$E$112:$E$118),H65,$F95)</f>
        <v>14.704891874999994</v>
      </c>
      <c r="I147" s="50" cm="1">
        <f t="array" aca="1" ref="I147" ca="1">MMS_Swine_ManureAppliedToSoils_Equations.VEERG_4_5_1_9__1_MassOfNitrogenAppliedToSoilsScope1(I35,_xlfn.XLOOKUP($E147,$D$123:$D$129,$E$123:$E$129), _xlfn.XLOOKUP($E147,$D$112:$D$118,$E$112:$E$118),I65,$F95)</f>
        <v>9.9737527499999974</v>
      </c>
      <c r="J147" s="2"/>
      <c r="N147" s="55" t="str">
        <f>INDEX(X_Table_Swine_Stage1MMS_DeepLitter,2,1)</f>
        <v>Deep litter</v>
      </c>
      <c r="O147" s="55" t="str">
        <f>INDEX(X_Table_Swine_Stage2MMS_From_DeepLitter,2,1)</f>
        <v>Anaerobic lagoon</v>
      </c>
      <c r="P147" s="50" cm="1">
        <f t="array" aca="1" ref="P147" ca="1">MMS_Swine_ManureAppliedToSoils_Equations.VEERG_4_5_1_9__1_MassOfNitrogenAppliedToSoilsScope1(P35,_xlfn.XLOOKUP($O147,$D$123:$D$129,$E$123:$E$129), _xlfn.XLOOKUP($O147,$D$112:$D$118,$E$112:$E$118),P65,$F95)</f>
        <v>11.763913499999997</v>
      </c>
      <c r="Q147" s="50" cm="1">
        <f t="array" aca="1" ref="Q147" ca="1">MMS_Swine_ManureAppliedToSoils_Equations.VEERG_4_5_1_9__1_MassOfNitrogenAppliedToSoilsScope1(Q35,_xlfn.XLOOKUP($O147,$D$123:$D$129,$E$123:$E$129), _xlfn.XLOOKUP($O147,$D$112:$D$118,$E$112:$E$118),Q65,$F95)</f>
        <v>15.663906562499999</v>
      </c>
      <c r="R147" s="50" cm="1">
        <f t="array" aca="1" ref="R147" ca="1">MMS_Swine_ManureAppliedToSoils_Equations.VEERG_4_5_1_9__1_MassOfNitrogenAppliedToSoilsScope1(R35,_xlfn.XLOOKUP($O147,$D$123:$D$129,$E$123:$E$129), _xlfn.XLOOKUP($O147,$D$112:$D$118,$E$112:$E$118),R65,$F95)</f>
        <v>14.704891874999994</v>
      </c>
      <c r="S147" s="50" cm="1">
        <f t="array" aca="1" ref="S147" ca="1">MMS_Swine_ManureAppliedToSoils_Equations.VEERG_4_5_1_9__1_MassOfNitrogenAppliedToSoilsScope1(S35,_xlfn.XLOOKUP($O147,$D$123:$D$129,$E$123:$E$129), _xlfn.XLOOKUP($O147,$D$112:$D$118,$E$112:$E$118),S65,$F95)</f>
        <v>9.9737527499999974</v>
      </c>
      <c r="T147" s="2"/>
    </row>
    <row r="148" spans="4:20" ht="20.100000000000001" customHeight="1" x14ac:dyDescent="0.25">
      <c r="D148" s="55"/>
      <c r="E148" s="55" t="str">
        <f>INDEX(X_Table_Swine_Stage2MMS_From_DeepLitter,3,1)</f>
        <v>Digester / covered lagoons</v>
      </c>
      <c r="F148" s="50" cm="1">
        <f t="array" aca="1" ref="F148" ca="1">MMS_Swine_ManureAppliedToSoils_Equations.VEERG_4_5_1_9__1_MassOfNitrogenAppliedToSoilsScope1(F36,_xlfn.XLOOKUP($E148,$D$123:$D$129,$E$123:$E$129), _xlfn.XLOOKUP($E148,$D$112:$D$118,$E$112:$E$118),F66,$F96)</f>
        <v>26.142029999999995</v>
      </c>
      <c r="G148" s="50" cm="1">
        <f t="array" aca="1" ref="G148" ca="1">MMS_Swine_ManureAppliedToSoils_Equations.VEERG_4_5_1_9__1_MassOfNitrogenAppliedToSoilsScope1(G36,_xlfn.XLOOKUP($E148,$D$123:$D$129,$E$123:$E$129), _xlfn.XLOOKUP($E148,$D$112:$D$118,$E$112:$E$118),G66,$F96)</f>
        <v>34.808681250000006</v>
      </c>
      <c r="H148" s="50" cm="1">
        <f t="array" aca="1" ref="H148" ca="1">MMS_Swine_ManureAppliedToSoils_Equations.VEERG_4_5_1_9__1_MassOfNitrogenAppliedToSoilsScope1(H36,_xlfn.XLOOKUP($E148,$D$123:$D$129,$E$123:$E$129), _xlfn.XLOOKUP($E148,$D$112:$D$118,$E$112:$E$118),H66,$F96)</f>
        <v>32.677537499999993</v>
      </c>
      <c r="I148" s="50" cm="1">
        <f t="array" aca="1" ref="I148" ca="1">MMS_Swine_ManureAppliedToSoils_Equations.VEERG_4_5_1_9__1_MassOfNitrogenAppliedToSoilsScope1(I36,_xlfn.XLOOKUP($E148,$D$123:$D$129,$E$123:$E$129), _xlfn.XLOOKUP($E148,$D$112:$D$118,$E$112:$E$118),I66,$F96)</f>
        <v>22.163894999999997</v>
      </c>
      <c r="J148" s="2"/>
      <c r="N148" s="55"/>
      <c r="O148" s="55" t="str">
        <f>INDEX(X_Table_Swine_Stage2MMS_From_DeepLitter,3,1)</f>
        <v>Digester / covered lagoons</v>
      </c>
      <c r="P148" s="50" cm="1">
        <f t="array" aca="1" ref="P148" ca="1">MMS_Swine_ManureAppliedToSoils_Equations.VEERG_4_5_1_9__1_MassOfNitrogenAppliedToSoilsScope1(P36,_xlfn.XLOOKUP($O148,$D$123:$D$129,$E$123:$E$129), _xlfn.XLOOKUP($O148,$D$112:$D$118,$E$112:$E$118),P66,$F96)</f>
        <v>26.142029999999995</v>
      </c>
      <c r="Q148" s="50" cm="1">
        <f t="array" aca="1" ref="Q148" ca="1">MMS_Swine_ManureAppliedToSoils_Equations.VEERG_4_5_1_9__1_MassOfNitrogenAppliedToSoilsScope1(Q36,_xlfn.XLOOKUP($O148,$D$123:$D$129,$E$123:$E$129), _xlfn.XLOOKUP($O148,$D$112:$D$118,$E$112:$E$118),Q66,$F96)</f>
        <v>34.808681250000006</v>
      </c>
      <c r="R148" s="50" cm="1">
        <f t="array" aca="1" ref="R148" ca="1">MMS_Swine_ManureAppliedToSoils_Equations.VEERG_4_5_1_9__1_MassOfNitrogenAppliedToSoilsScope1(R36,_xlfn.XLOOKUP($O148,$D$123:$D$129,$E$123:$E$129), _xlfn.XLOOKUP($O148,$D$112:$D$118,$E$112:$E$118),R66,$F96)</f>
        <v>32.677537499999993</v>
      </c>
      <c r="S148" s="50" cm="1">
        <f t="array" aca="1" ref="S148" ca="1">MMS_Swine_ManureAppliedToSoils_Equations.VEERG_4_5_1_9__1_MassOfNitrogenAppliedToSoilsScope1(S36,_xlfn.XLOOKUP($O148,$D$123:$D$129,$E$123:$E$129), _xlfn.XLOOKUP($O148,$D$112:$D$118,$E$112:$E$118),S66,$F96)</f>
        <v>22.163894999999997</v>
      </c>
      <c r="T148" s="2"/>
    </row>
    <row r="149" spans="4:20" ht="20.100000000000001" customHeight="1" x14ac:dyDescent="0.25">
      <c r="D149" s="55"/>
      <c r="E149" s="55" t="str">
        <f>INDEX(X_Table_Swine_Stage2MMS_From_DeepLitter,4,1)</f>
        <v>Pit storage</v>
      </c>
      <c r="F149" s="50" cm="1">
        <f t="array" aca="1" ref="F149" ca="1">MMS_Swine_ManureAppliedToSoils_Equations.VEERG_4_5_1_9__1_MassOfNitrogenAppliedToSoilsScope1(F37,_xlfn.XLOOKUP($E149,$D$123:$D$129,$E$123:$E$129), _xlfn.XLOOKUP($E149,$D$112:$D$118,$E$112:$E$118),F67,$F97)</f>
        <v>19.554238439999999</v>
      </c>
      <c r="G149" s="50" cm="1">
        <f t="array" aca="1" ref="G149" ca="1">MMS_Swine_ManureAppliedToSoils_Equations.VEERG_4_5_1_9__1_MassOfNitrogenAppliedToSoilsScope1(G37,_xlfn.XLOOKUP($E149,$D$123:$D$129,$E$123:$E$129), _xlfn.XLOOKUP($E149,$D$112:$D$118,$E$112:$E$118),G67,$F97)</f>
        <v>26.036893575000004</v>
      </c>
      <c r="H149" s="50" cm="1">
        <f t="array" aca="1" ref="H149" ca="1">MMS_Swine_ManureAppliedToSoils_Equations.VEERG_4_5_1_9__1_MassOfNitrogenAppliedToSoilsScope1(H37,_xlfn.XLOOKUP($E149,$D$123:$D$129,$E$123:$E$129), _xlfn.XLOOKUP($E149,$D$112:$D$118,$E$112:$E$118),H67,$F97)</f>
        <v>24.442798049999993</v>
      </c>
      <c r="I149" s="50" cm="1">
        <f t="array" aca="1" ref="I149" ca="1">MMS_Swine_ManureAppliedToSoils_Equations.VEERG_4_5_1_9__1_MassOfNitrogenAppliedToSoilsScope1(I37,_xlfn.XLOOKUP($E149,$D$123:$D$129,$E$123:$E$129), _xlfn.XLOOKUP($E149,$D$112:$D$118,$E$112:$E$118),I67,$F97)</f>
        <v>16.578593459999997</v>
      </c>
      <c r="J149" s="2"/>
      <c r="N149" s="55"/>
      <c r="O149" s="55" t="str">
        <f>INDEX(X_Table_Swine_Stage2MMS_From_DeepLitter,4,1)</f>
        <v>Pit storage</v>
      </c>
      <c r="P149" s="50" cm="1">
        <f t="array" aca="1" ref="P149" ca="1">MMS_Swine_ManureAppliedToSoils_Equations.VEERG_4_5_1_9__1_MassOfNitrogenAppliedToSoilsScope1(P37,_xlfn.XLOOKUP($O149,$D$123:$D$129,$E$123:$E$129), _xlfn.XLOOKUP($O149,$D$112:$D$118,$E$112:$E$118),P67,$F97)</f>
        <v>19.554238439999999</v>
      </c>
      <c r="Q149" s="50" cm="1">
        <f t="array" aca="1" ref="Q149" ca="1">MMS_Swine_ManureAppliedToSoils_Equations.VEERG_4_5_1_9__1_MassOfNitrogenAppliedToSoilsScope1(Q37,_xlfn.XLOOKUP($O149,$D$123:$D$129,$E$123:$E$129), _xlfn.XLOOKUP($O149,$D$112:$D$118,$E$112:$E$118),Q67,$F97)</f>
        <v>26.036893575000004</v>
      </c>
      <c r="R149" s="50" cm="1">
        <f t="array" aca="1" ref="R149" ca="1">MMS_Swine_ManureAppliedToSoils_Equations.VEERG_4_5_1_9__1_MassOfNitrogenAppliedToSoilsScope1(R37,_xlfn.XLOOKUP($O149,$D$123:$D$129,$E$123:$E$129), _xlfn.XLOOKUP($O149,$D$112:$D$118,$E$112:$E$118),R67,$F97)</f>
        <v>24.442798049999993</v>
      </c>
      <c r="S149" s="50" cm="1">
        <f t="array" aca="1" ref="S149" ca="1">MMS_Swine_ManureAppliedToSoils_Equations.VEERG_4_5_1_9__1_MassOfNitrogenAppliedToSoilsScope1(S37,_xlfn.XLOOKUP($O149,$D$123:$D$129,$E$123:$E$129), _xlfn.XLOOKUP($O149,$D$112:$D$118,$E$112:$E$118),S67,$F97)</f>
        <v>16.578593459999997</v>
      </c>
      <c r="T149" s="2"/>
    </row>
    <row r="150" spans="4:20" ht="20.100000000000001" customHeight="1" x14ac:dyDescent="0.25">
      <c r="D150" s="55"/>
      <c r="E150" s="55" t="str">
        <f>INDEX(X_Table_Swine_Stage2MMS_From_DeepLitter,5,1)</f>
        <v>Direct application</v>
      </c>
      <c r="F150" s="50" cm="1">
        <f t="array" aca="1" ref="F150" ca="1">MMS_Swine_ManureAppliedToSoils_Equations.VEERG_4_5_1_9__1_MassOfNitrogenAppliedToSoilsScope1(F38,_xlfn.XLOOKUP($E150,$D$123:$D$129,$E$123:$E$129), _xlfn.XLOOKUP($E150,$D$112:$D$118,$E$112:$E$118),F68,$F98)</f>
        <v>69.712079999999972</v>
      </c>
      <c r="G150" s="50" cm="1">
        <f t="array" aca="1" ref="G150" ca="1">MMS_Swine_ManureAppliedToSoils_Equations.VEERG_4_5_1_9__1_MassOfNitrogenAppliedToSoilsScope1(G38,_xlfn.XLOOKUP($E150,$D$123:$D$129,$E$123:$E$129), _xlfn.XLOOKUP($E150,$D$112:$D$118,$E$112:$E$118),G68,$F98)</f>
        <v>46.411575000000006</v>
      </c>
      <c r="H150" s="50" cm="1">
        <f t="array" aca="1" ref="H150" ca="1">MMS_Swine_ManureAppliedToSoils_Equations.VEERG_4_5_1_9__1_MassOfNitrogenAppliedToSoilsScope1(H38,_xlfn.XLOOKUP($E150,$D$123:$D$129,$E$123:$E$129), _xlfn.XLOOKUP($E150,$D$112:$D$118,$E$112:$E$118),H68,$F98)</f>
        <v>43.570049999999988</v>
      </c>
      <c r="I150" s="50" cm="1">
        <f t="array" aca="1" ref="I150" ca="1">MMS_Swine_ManureAppliedToSoils_Equations.VEERG_4_5_1_9__1_MassOfNitrogenAppliedToSoilsScope1(I38,_xlfn.XLOOKUP($E150,$D$123:$D$129,$E$123:$E$129), _xlfn.XLOOKUP($E150,$D$112:$D$118,$E$112:$E$118),I68,$F98)</f>
        <v>29.551859999999994</v>
      </c>
      <c r="J150" s="2"/>
      <c r="N150" s="55"/>
      <c r="O150" s="55" t="str">
        <f>INDEX(X_Table_Swine_Stage2MMS_From_DeepLitter,5,1)</f>
        <v>Direct application</v>
      </c>
      <c r="P150" s="50" cm="1">
        <f t="array" aca="1" ref="P150" ca="1">MMS_Swine_ManureAppliedToSoils_Equations.VEERG_4_5_1_9__1_MassOfNitrogenAppliedToSoilsScope1(P38,_xlfn.XLOOKUP($O150,$D$123:$D$129,$E$123:$E$129), _xlfn.XLOOKUP($O150,$D$112:$D$118,$E$112:$E$118),P68,$F98)</f>
        <v>69.712079999999972</v>
      </c>
      <c r="Q150" s="50" cm="1">
        <f t="array" aca="1" ref="Q150" ca="1">MMS_Swine_ManureAppliedToSoils_Equations.VEERG_4_5_1_9__1_MassOfNitrogenAppliedToSoilsScope1(Q38,_xlfn.XLOOKUP($O150,$D$123:$D$129,$E$123:$E$129), _xlfn.XLOOKUP($O150,$D$112:$D$118,$E$112:$E$118),Q68,$F98)</f>
        <v>46.411575000000006</v>
      </c>
      <c r="R150" s="50" cm="1">
        <f t="array" aca="1" ref="R150" ca="1">MMS_Swine_ManureAppliedToSoils_Equations.VEERG_4_5_1_9__1_MassOfNitrogenAppliedToSoilsScope1(R38,_xlfn.XLOOKUP($O150,$D$123:$D$129,$E$123:$E$129), _xlfn.XLOOKUP($O150,$D$112:$D$118,$E$112:$E$118),R68,$F98)</f>
        <v>43.570049999999988</v>
      </c>
      <c r="S150" s="50" cm="1">
        <f t="array" aca="1" ref="S150" ca="1">MMS_Swine_ManureAppliedToSoils_Equations.VEERG_4_5_1_9__1_MassOfNitrogenAppliedToSoilsScope1(S38,_xlfn.XLOOKUP($O150,$D$123:$D$129,$E$123:$E$129), _xlfn.XLOOKUP($O150,$D$112:$D$118,$E$112:$E$118),S68,$F98)</f>
        <v>29.551859999999994</v>
      </c>
      <c r="T150" s="2"/>
    </row>
    <row r="151" spans="4:20" ht="20.100000000000001" customHeight="1" x14ac:dyDescent="0.25">
      <c r="D151" s="55" t="str">
        <f>INDEX(X_Table_Swine_Stage1MMS_PitStorage,2,1)</f>
        <v>Pit storage</v>
      </c>
      <c r="E151" s="55" t="str">
        <f>INDEX(X_Table_Swine_Stage2MMS_From_PitStorage,2,1)</f>
        <v>Anaerobic lagoon</v>
      </c>
      <c r="F151" s="50" cm="1">
        <f t="array" aca="1" ref="F151" ca="1">MMS_Swine_ManureAppliedToSoils_Equations.VEERG_4_5_1_9__1_MassOfNitrogenAppliedToSoilsScope1(F39,_xlfn.XLOOKUP($E151,$D$123:$D$129,$E$123:$E$129), _xlfn.XLOOKUP($E151,$D$112:$D$118,$E$112:$E$118),F69,$F99)</f>
        <v>10.172725199999999</v>
      </c>
      <c r="G151" s="50" cm="1">
        <f t="array" aca="1" ref="G151" ca="1">MMS_Swine_ManureAppliedToSoils_Equations.VEERG_4_5_1_9__1_MassOfNitrogenAppliedToSoilsScope1(G39,_xlfn.XLOOKUP($E151,$D$123:$D$129,$E$123:$E$129), _xlfn.XLOOKUP($E151,$D$112:$D$118,$E$112:$E$118),G69,$F99)</f>
        <v>13.54520475</v>
      </c>
      <c r="H151" s="50" cm="1">
        <f t="array" aca="1" ref="H151" ca="1">MMS_Swine_ManureAppliedToSoils_Equations.VEERG_4_5_1_9__1_MassOfNitrogenAppliedToSoilsScope1(H39,_xlfn.XLOOKUP($E151,$D$123:$D$129,$E$123:$E$129), _xlfn.XLOOKUP($E151,$D$112:$D$118,$E$112:$E$118),H69,$F99)</f>
        <v>12.715906499999997</v>
      </c>
      <c r="I151" s="50" cm="1">
        <f t="array" aca="1" ref="I151" ca="1">MMS_Swine_ManureAppliedToSoils_Equations.VEERG_4_5_1_9__1_MassOfNitrogenAppliedToSoilsScope1(I39,_xlfn.XLOOKUP($E151,$D$123:$D$129,$E$123:$E$129), _xlfn.XLOOKUP($E151,$D$112:$D$118,$E$112:$E$118),I69,$F99)</f>
        <v>8.6247017999999969</v>
      </c>
      <c r="J151" s="2"/>
      <c r="N151" s="55" t="str">
        <f>INDEX(X_Table_Swine_Stage1MMS_PitStorage,2,1)</f>
        <v>Pit storage</v>
      </c>
      <c r="O151" s="55" t="str">
        <f>INDEX(X_Table_Swine_Stage2MMS_From_PitStorage,2,1)</f>
        <v>Anaerobic lagoon</v>
      </c>
      <c r="P151" s="50" cm="1">
        <f t="array" aca="1" ref="P151" ca="1">MMS_Swine_ManureAppliedToSoils_Equations.VEERG_4_5_1_9__1_MassOfNitrogenAppliedToSoilsScope1(P39,_xlfn.XLOOKUP($O151,$D$123:$D$129,$E$123:$E$129), _xlfn.XLOOKUP($O151,$D$112:$D$118,$E$112:$E$118),P69,$F99)</f>
        <v>10.172725199999999</v>
      </c>
      <c r="Q151" s="50" cm="1">
        <f t="array" aca="1" ref="Q151" ca="1">MMS_Swine_ManureAppliedToSoils_Equations.VEERG_4_5_1_9__1_MassOfNitrogenAppliedToSoilsScope1(Q39,_xlfn.XLOOKUP($O151,$D$123:$D$129,$E$123:$E$129), _xlfn.XLOOKUP($O151,$D$112:$D$118,$E$112:$E$118),Q69,$F99)</f>
        <v>13.54520475</v>
      </c>
      <c r="R151" s="50" cm="1">
        <f t="array" aca="1" ref="R151" ca="1">MMS_Swine_ManureAppliedToSoils_Equations.VEERG_4_5_1_9__1_MassOfNitrogenAppliedToSoilsScope1(R39,_xlfn.XLOOKUP($O151,$D$123:$D$129,$E$123:$E$129), _xlfn.XLOOKUP($O151,$D$112:$D$118,$E$112:$E$118),R69,$F99)</f>
        <v>12.715906499999997</v>
      </c>
      <c r="S151" s="50" cm="1">
        <f t="array" aca="1" ref="S151" ca="1">MMS_Swine_ManureAppliedToSoils_Equations.VEERG_4_5_1_9__1_MassOfNitrogenAppliedToSoilsScope1(S39,_xlfn.XLOOKUP($O151,$D$123:$D$129,$E$123:$E$129), _xlfn.XLOOKUP($O151,$D$112:$D$118,$E$112:$E$118),S69,$F99)</f>
        <v>8.6247017999999969</v>
      </c>
      <c r="T151" s="2"/>
    </row>
    <row r="152" spans="4:20" ht="20.100000000000001" customHeight="1" x14ac:dyDescent="0.25">
      <c r="D152" s="55"/>
      <c r="E152" s="55" t="str">
        <f>INDEX(X_Table_Swine_Stage2MMS_From_PitStorage,3,1)</f>
        <v>Digester / covered lagoons</v>
      </c>
      <c r="F152" s="50" cm="1">
        <f t="array" aca="1" ref="F152" ca="1">MMS_Swine_ManureAppliedToSoils_Equations.VEERG_4_5_1_9__1_MassOfNitrogenAppliedToSoilsScope1(F40,_xlfn.XLOOKUP($E152,$D$123:$D$129,$E$123:$E$129), _xlfn.XLOOKUP($E152,$D$112:$D$118,$E$112:$E$118),F70,$F100)</f>
        <v>22.606055999999999</v>
      </c>
      <c r="G152" s="50" cm="1">
        <f t="array" aca="1" ref="G152" ca="1">MMS_Swine_ManureAppliedToSoils_Equations.VEERG_4_5_1_9__1_MassOfNitrogenAppliedToSoilsScope1(G40,_xlfn.XLOOKUP($E152,$D$123:$D$129,$E$123:$E$129), _xlfn.XLOOKUP($E152,$D$112:$D$118,$E$112:$E$118),G70,$F100)</f>
        <v>30.100455000000004</v>
      </c>
      <c r="H152" s="50" cm="1">
        <f t="array" aca="1" ref="H152" ca="1">MMS_Swine_ManureAppliedToSoils_Equations.VEERG_4_5_1_9__1_MassOfNitrogenAppliedToSoilsScope1(H40,_xlfn.XLOOKUP($E152,$D$123:$D$129,$E$123:$E$129), _xlfn.XLOOKUP($E152,$D$112:$D$118,$E$112:$E$118),H70,$F100)</f>
        <v>28.257569999999994</v>
      </c>
      <c r="I152" s="50" cm="1">
        <f t="array" aca="1" ref="I152" ca="1">MMS_Swine_ManureAppliedToSoils_Equations.VEERG_4_5_1_9__1_MassOfNitrogenAppliedToSoilsScope1(I40,_xlfn.XLOOKUP($E152,$D$123:$D$129,$E$123:$E$129), _xlfn.XLOOKUP($E152,$D$112:$D$118,$E$112:$E$118),I70,$F100)</f>
        <v>19.166003999999997</v>
      </c>
      <c r="J152" s="2"/>
      <c r="N152" s="55"/>
      <c r="O152" s="55" t="str">
        <f>INDEX(X_Table_Swine_Stage2MMS_From_PitStorage,3,1)</f>
        <v>Digester / covered lagoons</v>
      </c>
      <c r="P152" s="50" cm="1">
        <f t="array" aca="1" ref="P152" ca="1">MMS_Swine_ManureAppliedToSoils_Equations.VEERG_4_5_1_9__1_MassOfNitrogenAppliedToSoilsScope1(P40,_xlfn.XLOOKUP($O152,$D$123:$D$129,$E$123:$E$129), _xlfn.XLOOKUP($O152,$D$112:$D$118,$E$112:$E$118),P70,$F100)</f>
        <v>22.606055999999999</v>
      </c>
      <c r="Q152" s="50" cm="1">
        <f t="array" aca="1" ref="Q152" ca="1">MMS_Swine_ManureAppliedToSoils_Equations.VEERG_4_5_1_9__1_MassOfNitrogenAppliedToSoilsScope1(Q40,_xlfn.XLOOKUP($O152,$D$123:$D$129,$E$123:$E$129), _xlfn.XLOOKUP($O152,$D$112:$D$118,$E$112:$E$118),Q70,$F100)</f>
        <v>30.100455000000004</v>
      </c>
      <c r="R152" s="50" cm="1">
        <f t="array" aca="1" ref="R152" ca="1">MMS_Swine_ManureAppliedToSoils_Equations.VEERG_4_5_1_9__1_MassOfNitrogenAppliedToSoilsScope1(R40,_xlfn.XLOOKUP($O152,$D$123:$D$129,$E$123:$E$129), _xlfn.XLOOKUP($O152,$D$112:$D$118,$E$112:$E$118),R70,$F100)</f>
        <v>28.257569999999994</v>
      </c>
      <c r="S152" s="50" cm="1">
        <f t="array" aca="1" ref="S152" ca="1">MMS_Swine_ManureAppliedToSoils_Equations.VEERG_4_5_1_9__1_MassOfNitrogenAppliedToSoilsScope1(S40,_xlfn.XLOOKUP($O152,$D$123:$D$129,$E$123:$E$129), _xlfn.XLOOKUP($O152,$D$112:$D$118,$E$112:$E$118),S70,$F100)</f>
        <v>19.166003999999997</v>
      </c>
      <c r="T152" s="2"/>
    </row>
    <row r="153" spans="4:20" ht="20.100000000000001" customHeight="1" x14ac:dyDescent="0.25">
      <c r="D153" s="55"/>
      <c r="E153" s="55" t="str">
        <f>INDEX(X_Table_Swine_Stage2MMS_From_PitStorage,4,1)</f>
        <v>Deep litter</v>
      </c>
      <c r="F153" s="50" cm="1">
        <f t="array" aca="1" ref="F153" ca="1">MMS_Swine_ManureAppliedToSoils_Equations.VEERG_4_5_1_9__1_MassOfNitrogenAppliedToSoilsScope1(F41,_xlfn.XLOOKUP($E153,$D$123:$D$129,$E$123:$E$129), _xlfn.XLOOKUP($E153,$D$112:$D$118,$E$112:$E$118),F71,$F101)</f>
        <v>19.554238439999999</v>
      </c>
      <c r="G153" s="50" cm="1">
        <f t="array" aca="1" ref="G153" ca="1">MMS_Swine_ManureAppliedToSoils_Equations.VEERG_4_5_1_9__1_MassOfNitrogenAppliedToSoilsScope1(G41,_xlfn.XLOOKUP($E153,$D$123:$D$129,$E$123:$E$129), _xlfn.XLOOKUP($E153,$D$112:$D$118,$E$112:$E$118),G71,$F101)</f>
        <v>26.036893575000001</v>
      </c>
      <c r="H153" s="50" cm="1">
        <f t="array" aca="1" ref="H153" ca="1">MMS_Swine_ManureAppliedToSoils_Equations.VEERG_4_5_1_9__1_MassOfNitrogenAppliedToSoilsScope1(H41,_xlfn.XLOOKUP($E153,$D$123:$D$129,$E$123:$E$129), _xlfn.XLOOKUP($E153,$D$112:$D$118,$E$112:$E$118),H71,$F101)</f>
        <v>24.442798049999993</v>
      </c>
      <c r="I153" s="50" cm="1">
        <f t="array" aca="1" ref="I153" ca="1">MMS_Swine_ManureAppliedToSoils_Equations.VEERG_4_5_1_9__1_MassOfNitrogenAppliedToSoilsScope1(I41,_xlfn.XLOOKUP($E153,$D$123:$D$129,$E$123:$E$129), _xlfn.XLOOKUP($E153,$D$112:$D$118,$E$112:$E$118),I71,$F101)</f>
        <v>16.578593459999997</v>
      </c>
      <c r="J153" s="2"/>
      <c r="N153" s="55"/>
      <c r="O153" s="55" t="str">
        <f>INDEX(X_Table_Swine_Stage2MMS_From_PitStorage,4,1)</f>
        <v>Deep litter</v>
      </c>
      <c r="P153" s="50" cm="1">
        <f t="array" aca="1" ref="P153" ca="1">MMS_Swine_ManureAppliedToSoils_Equations.VEERG_4_5_1_9__1_MassOfNitrogenAppliedToSoilsScope1(P41,_xlfn.XLOOKUP($O153,$D$123:$D$129,$E$123:$E$129), _xlfn.XLOOKUP($O153,$D$112:$D$118,$E$112:$E$118),P71,$F101)</f>
        <v>19.554238439999999</v>
      </c>
      <c r="Q153" s="50" cm="1">
        <f t="array" aca="1" ref="Q153" ca="1">MMS_Swine_ManureAppliedToSoils_Equations.VEERG_4_5_1_9__1_MassOfNitrogenAppliedToSoilsScope1(Q41,_xlfn.XLOOKUP($O153,$D$123:$D$129,$E$123:$E$129), _xlfn.XLOOKUP($O153,$D$112:$D$118,$E$112:$E$118),Q71,$F101)</f>
        <v>26.036893575000001</v>
      </c>
      <c r="R153" s="50" cm="1">
        <f t="array" aca="1" ref="R153" ca="1">MMS_Swine_ManureAppliedToSoils_Equations.VEERG_4_5_1_9__1_MassOfNitrogenAppliedToSoilsScope1(R41,_xlfn.XLOOKUP($O153,$D$123:$D$129,$E$123:$E$129), _xlfn.XLOOKUP($O153,$D$112:$D$118,$E$112:$E$118),R71,$F101)</f>
        <v>24.442798049999993</v>
      </c>
      <c r="S153" s="50" cm="1">
        <f t="array" aca="1" ref="S153" ca="1">MMS_Swine_ManureAppliedToSoils_Equations.VEERG_4_5_1_9__1_MassOfNitrogenAppliedToSoilsScope1(S41,_xlfn.XLOOKUP($O153,$D$123:$D$129,$E$123:$E$129), _xlfn.XLOOKUP($O153,$D$112:$D$118,$E$112:$E$118),S71,$F101)</f>
        <v>16.578593459999997</v>
      </c>
      <c r="T153" s="2"/>
    </row>
    <row r="154" spans="4:20" ht="20.100000000000001" customHeight="1" x14ac:dyDescent="0.25">
      <c r="D154" s="55"/>
      <c r="E154" s="55" t="str">
        <f>INDEX(X_Table_Swine_Stage2MMS_From_PitStorage,5,1)</f>
        <v>Direct application</v>
      </c>
      <c r="F154" s="50" cm="1">
        <f t="array" aca="1" ref="F154" ca="1">MMS_Swine_ManureAppliedToSoils_Equations.VEERG_4_5_1_9__1_MassOfNitrogenAppliedToSoilsScope1(F42,_xlfn.XLOOKUP($E154,$D$123:$D$129,$E$123:$E$129), _xlfn.XLOOKUP($E154,$D$112:$D$118,$E$112:$E$118),F72,$F102)</f>
        <v>60.282815999999976</v>
      </c>
      <c r="G154" s="50" cm="1">
        <f t="array" aca="1" ref="G154" ca="1">MMS_Swine_ManureAppliedToSoils_Equations.VEERG_4_5_1_9__1_MassOfNitrogenAppliedToSoilsScope1(G42,_xlfn.XLOOKUP($E154,$D$123:$D$129,$E$123:$E$129), _xlfn.XLOOKUP($E154,$D$112:$D$118,$E$112:$E$118),G72,$F102)</f>
        <v>40.133940000000003</v>
      </c>
      <c r="H154" s="50" cm="1">
        <f t="array" aca="1" ref="H154" ca="1">MMS_Swine_ManureAppliedToSoils_Equations.VEERG_4_5_1_9__1_MassOfNitrogenAppliedToSoilsScope1(H42,_xlfn.XLOOKUP($E154,$D$123:$D$129,$E$123:$E$129), _xlfn.XLOOKUP($E154,$D$112:$D$118,$E$112:$E$118),H72,$F102)</f>
        <v>37.676759999999994</v>
      </c>
      <c r="I154" s="50" cm="1">
        <f t="array" aca="1" ref="I154" ca="1">MMS_Swine_ManureAppliedToSoils_Equations.VEERG_4_5_1_9__1_MassOfNitrogenAppliedToSoilsScope1(I42,_xlfn.XLOOKUP($E154,$D$123:$D$129,$E$123:$E$129), _xlfn.XLOOKUP($E154,$D$112:$D$118,$E$112:$E$118),I72,$F102)</f>
        <v>25.554671999999997</v>
      </c>
      <c r="J154" s="2"/>
      <c r="N154" s="55"/>
      <c r="O154" s="55" t="str">
        <f>INDEX(X_Table_Swine_Stage2MMS_From_PitStorage,5,1)</f>
        <v>Direct application</v>
      </c>
      <c r="P154" s="50" cm="1">
        <f t="array" aca="1" ref="P154" ca="1">MMS_Swine_ManureAppliedToSoils_Equations.VEERG_4_5_1_9__1_MassOfNitrogenAppliedToSoilsScope1(P42,_xlfn.XLOOKUP($O154,$D$123:$D$129,$E$123:$E$129), _xlfn.XLOOKUP($O154,$D$112:$D$118,$E$112:$E$118),P72,$F102)</f>
        <v>60.282815999999976</v>
      </c>
      <c r="Q154" s="50" cm="1">
        <f t="array" aca="1" ref="Q154" ca="1">MMS_Swine_ManureAppliedToSoils_Equations.VEERG_4_5_1_9__1_MassOfNitrogenAppliedToSoilsScope1(Q42,_xlfn.XLOOKUP($O154,$D$123:$D$129,$E$123:$E$129), _xlfn.XLOOKUP($O154,$D$112:$D$118,$E$112:$E$118),Q72,$F102)</f>
        <v>40.133940000000003</v>
      </c>
      <c r="R154" s="50" cm="1">
        <f t="array" aca="1" ref="R154" ca="1">MMS_Swine_ManureAppliedToSoils_Equations.VEERG_4_5_1_9__1_MassOfNitrogenAppliedToSoilsScope1(R42,_xlfn.XLOOKUP($O154,$D$123:$D$129,$E$123:$E$129), _xlfn.XLOOKUP($O154,$D$112:$D$118,$E$112:$E$118),R72,$F102)</f>
        <v>37.676759999999994</v>
      </c>
      <c r="S154" s="50" cm="1">
        <f t="array" aca="1" ref="S154" ca="1">MMS_Swine_ManureAppliedToSoils_Equations.VEERG_4_5_1_9__1_MassOfNitrogenAppliedToSoilsScope1(S42,_xlfn.XLOOKUP($O154,$D$123:$D$129,$E$123:$E$129), _xlfn.XLOOKUP($O154,$D$112:$D$118,$E$112:$E$118),S72,$F102)</f>
        <v>25.554671999999997</v>
      </c>
      <c r="T154" s="2"/>
    </row>
    <row r="155" spans="4:20" ht="20.100000000000001" customHeight="1" x14ac:dyDescent="0.25">
      <c r="D155" s="55" t="s">
        <v>346</v>
      </c>
      <c r="E155" s="55" t="str">
        <f>INDEX(X_Table_Swine_Stage2MMS_From_SolidStorage,2,1)</f>
        <v>Anaerobic lagoon</v>
      </c>
      <c r="F155" s="50" cm="1">
        <f t="array" aca="1" ref="F155" ca="1">MMS_Swine_ManureAppliedToSoils_Equations.VEERG_4_5_1_9__1_MassOfNitrogenAppliedToSoilsScope1(F43,_xlfn.XLOOKUP($E155,$D$123:$D$129,$E$123:$E$129), _xlfn.XLOOKUP($E155,$D$112:$D$118,$E$112:$E$118),F73,$F103)</f>
        <v>36.039735000000007</v>
      </c>
      <c r="G155" s="50" cm="1">
        <f t="array" aca="1" ref="G155" ca="1">MMS_Swine_ManureAppliedToSoils_Equations.VEERG_4_5_1_9__1_MassOfNitrogenAppliedToSoilsScope1(G43,_xlfn.XLOOKUP($E155,$D$123:$D$129,$E$123:$E$129), _xlfn.XLOOKUP($E155,$D$112:$D$118,$E$112:$E$118),G73,$F103)</f>
        <v>38.390152500000021</v>
      </c>
      <c r="H155" s="50" cm="1">
        <f t="array" aca="1" ref="H155" ca="1">MMS_Swine_ManureAppliedToSoils_Equations.VEERG_4_5_1_9__1_MassOfNitrogenAppliedToSoilsScope1(H43,_xlfn.XLOOKUP($E155,$D$123:$D$129,$E$123:$E$129), _xlfn.XLOOKUP($E155,$D$112:$D$118,$E$112:$E$118),H73,$F103)</f>
        <v>36.039735000000007</v>
      </c>
      <c r="I155" s="50" cm="1">
        <f t="array" aca="1" ref="I155" ca="1">MMS_Swine_ManureAppliedToSoils_Equations.VEERG_4_5_1_9__1_MassOfNitrogenAppliedToSoilsScope1(I43,_xlfn.XLOOKUP($E155,$D$123:$D$129,$E$123:$E$129), _xlfn.XLOOKUP($E155,$D$112:$D$118,$E$112:$E$118),I73,$F103)</f>
        <v>24.44434200000001</v>
      </c>
      <c r="J155" s="2"/>
      <c r="N155" s="55" t="s">
        <v>346</v>
      </c>
      <c r="O155" s="55" t="str">
        <f>INDEX(X_Table_Swine_Stage2MMS_From_SolidStorage,2,1)</f>
        <v>Anaerobic lagoon</v>
      </c>
      <c r="P155" s="50" cm="1">
        <f t="array" aca="1" ref="P155" ca="1">MMS_Swine_ManureAppliedToSoils_Equations.VEERG_4_5_1_9__1_MassOfNitrogenAppliedToSoilsScope1(P43,_xlfn.XLOOKUP($O155,$D$123:$D$129,$E$123:$E$129), _xlfn.XLOOKUP($O155,$D$112:$D$118,$E$112:$E$118),P73,$F103)</f>
        <v>36.039735000000007</v>
      </c>
      <c r="Q155" s="50" cm="1">
        <f t="array" aca="1" ref="Q155" ca="1">MMS_Swine_ManureAppliedToSoils_Equations.VEERG_4_5_1_9__1_MassOfNitrogenAppliedToSoilsScope1(Q43,_xlfn.XLOOKUP($O155,$D$123:$D$129,$E$123:$E$129), _xlfn.XLOOKUP($O155,$D$112:$D$118,$E$112:$E$118),Q73,$F103)</f>
        <v>38.390152500000021</v>
      </c>
      <c r="R155" s="50" cm="1">
        <f t="array" aca="1" ref="R155" ca="1">MMS_Swine_ManureAppliedToSoils_Equations.VEERG_4_5_1_9__1_MassOfNitrogenAppliedToSoilsScope1(R43,_xlfn.XLOOKUP($O155,$D$123:$D$129,$E$123:$E$129), _xlfn.XLOOKUP($O155,$D$112:$D$118,$E$112:$E$118),R73,$F103)</f>
        <v>36.039735000000007</v>
      </c>
      <c r="S155" s="50" cm="1">
        <f t="array" aca="1" ref="S155" ca="1">MMS_Swine_ManureAppliedToSoils_Equations.VEERG_4_5_1_9__1_MassOfNitrogenAppliedToSoilsScope1(S43,_xlfn.XLOOKUP($O155,$D$123:$D$129,$E$123:$E$129), _xlfn.XLOOKUP($O155,$D$112:$D$118,$E$112:$E$118),S73,$F103)</f>
        <v>24.44434200000001</v>
      </c>
      <c r="T155" s="2"/>
    </row>
    <row r="156" spans="4:20" ht="20.100000000000001" customHeight="1" x14ac:dyDescent="0.25">
      <c r="D156" s="55"/>
      <c r="E156" s="55" t="str">
        <f>INDEX(X_Table_Swine_Stage2MMS_From_SolidStorage,3,1)</f>
        <v>Digester / covered lagoons</v>
      </c>
      <c r="F156" s="50" cm="1">
        <f t="array" aca="1" ref="F156" ca="1">MMS_Swine_ManureAppliedToSoils_Equations.VEERG_4_5_1_9__1_MassOfNitrogenAppliedToSoilsScope1(F44,_xlfn.XLOOKUP($E156,$D$123:$D$129,$E$123:$E$129), _xlfn.XLOOKUP($E156,$D$112:$D$118,$E$112:$E$118),F74,$F104)</f>
        <v>80.088300000000032</v>
      </c>
      <c r="G156" s="50" cm="1">
        <f t="array" aca="1" ref="G156" ca="1">MMS_Swine_ManureAppliedToSoils_Equations.VEERG_4_5_1_9__1_MassOfNitrogenAppliedToSoilsScope1(G44,_xlfn.XLOOKUP($E156,$D$123:$D$129,$E$123:$E$129), _xlfn.XLOOKUP($E156,$D$112:$D$118,$E$112:$E$118),G74,$F104)</f>
        <v>85.31145000000005</v>
      </c>
      <c r="H156" s="50" cm="1">
        <f t="array" aca="1" ref="H156" ca="1">MMS_Swine_ManureAppliedToSoils_Equations.VEERG_4_5_1_9__1_MassOfNitrogenAppliedToSoilsScope1(H44,_xlfn.XLOOKUP($E156,$D$123:$D$129,$E$123:$E$129), _xlfn.XLOOKUP($E156,$D$112:$D$118,$E$112:$E$118),H74,$F104)</f>
        <v>80.088300000000032</v>
      </c>
      <c r="I156" s="50" cm="1">
        <f t="array" aca="1" ref="I156" ca="1">MMS_Swine_ManureAppliedToSoils_Equations.VEERG_4_5_1_9__1_MassOfNitrogenAppliedToSoilsScope1(I44,_xlfn.XLOOKUP($E156,$D$123:$D$129,$E$123:$E$129), _xlfn.XLOOKUP($E156,$D$112:$D$118,$E$112:$E$118),I74,$F104)</f>
        <v>54.320760000000028</v>
      </c>
      <c r="J156" s="2"/>
      <c r="N156" s="55"/>
      <c r="O156" s="55" t="str">
        <f>INDEX(X_Table_Swine_Stage2MMS_From_SolidStorage,3,1)</f>
        <v>Digester / covered lagoons</v>
      </c>
      <c r="P156" s="50" cm="1">
        <f t="array" aca="1" ref="P156" ca="1">MMS_Swine_ManureAppliedToSoils_Equations.VEERG_4_5_1_9__1_MassOfNitrogenAppliedToSoilsScope1(P44,_xlfn.XLOOKUP($O156,$D$123:$D$129,$E$123:$E$129), _xlfn.XLOOKUP($O156,$D$112:$D$118,$E$112:$E$118),P74,$F104)</f>
        <v>80.088300000000032</v>
      </c>
      <c r="Q156" s="50" cm="1">
        <f t="array" aca="1" ref="Q156" ca="1">MMS_Swine_ManureAppliedToSoils_Equations.VEERG_4_5_1_9__1_MassOfNitrogenAppliedToSoilsScope1(Q44,_xlfn.XLOOKUP($O156,$D$123:$D$129,$E$123:$E$129), _xlfn.XLOOKUP($O156,$D$112:$D$118,$E$112:$E$118),Q74,$F104)</f>
        <v>85.31145000000005</v>
      </c>
      <c r="R156" s="50" cm="1">
        <f t="array" aca="1" ref="R156" ca="1">MMS_Swine_ManureAppliedToSoils_Equations.VEERG_4_5_1_9__1_MassOfNitrogenAppliedToSoilsScope1(R44,_xlfn.XLOOKUP($O156,$D$123:$D$129,$E$123:$E$129), _xlfn.XLOOKUP($O156,$D$112:$D$118,$E$112:$E$118),R74,$F104)</f>
        <v>80.088300000000032</v>
      </c>
      <c r="S156" s="50" cm="1">
        <f t="array" aca="1" ref="S156" ca="1">MMS_Swine_ManureAppliedToSoils_Equations.VEERG_4_5_1_9__1_MassOfNitrogenAppliedToSoilsScope1(S44,_xlfn.XLOOKUP($O156,$D$123:$D$129,$E$123:$E$129), _xlfn.XLOOKUP($O156,$D$112:$D$118,$E$112:$E$118),S74,$F104)</f>
        <v>54.320760000000028</v>
      </c>
      <c r="T156" s="2"/>
    </row>
    <row r="157" spans="4:20" ht="20.100000000000001" customHeight="1" x14ac:dyDescent="0.25">
      <c r="D157" s="55"/>
      <c r="E157" s="55" t="str">
        <f>INDEX(X_Table_Swine_Stage2MMS_From_SolidStorage,4,1)</f>
        <v>Deep litter</v>
      </c>
      <c r="F157" s="50" cm="1">
        <f t="array" aca="1" ref="F157" ca="1">MMS_Swine_ManureAppliedToSoils_Equations.VEERG_4_5_1_9__1_MassOfNitrogenAppliedToSoilsScope1(F45,_xlfn.XLOOKUP($E157,$D$123:$D$129,$E$123:$E$129), _xlfn.XLOOKUP($E157,$D$112:$D$118,$E$112:$E$118),F75,$F105)</f>
        <v>69.276379500000019</v>
      </c>
      <c r="G157" s="50" cm="1">
        <f t="array" aca="1" ref="G157" ca="1">MMS_Swine_ManureAppliedToSoils_Equations.VEERG_4_5_1_9__1_MassOfNitrogenAppliedToSoilsScope1(G45,_xlfn.XLOOKUP($E157,$D$123:$D$129,$E$123:$E$129), _xlfn.XLOOKUP($E157,$D$112:$D$118,$E$112:$E$118),G75,$F105)</f>
        <v>73.794404250000042</v>
      </c>
      <c r="H157" s="50" cm="1">
        <f t="array" aca="1" ref="H157" ca="1">MMS_Swine_ManureAppliedToSoils_Equations.VEERG_4_5_1_9__1_MassOfNitrogenAppliedToSoilsScope1(H45,_xlfn.XLOOKUP($E157,$D$123:$D$129,$E$123:$E$129), _xlfn.XLOOKUP($E157,$D$112:$D$118,$E$112:$E$118),H75,$F105)</f>
        <v>69.276379500000019</v>
      </c>
      <c r="I157" s="50" cm="1">
        <f t="array" aca="1" ref="I157" ca="1">MMS_Swine_ManureAppliedToSoils_Equations.VEERG_4_5_1_9__1_MassOfNitrogenAppliedToSoilsScope1(I45,_xlfn.XLOOKUP($E157,$D$123:$D$129,$E$123:$E$129), _xlfn.XLOOKUP($E157,$D$112:$D$118,$E$112:$E$118),I75,$F105)</f>
        <v>46.987457400000025</v>
      </c>
      <c r="J157" s="2"/>
      <c r="N157" s="55"/>
      <c r="O157" s="55" t="str">
        <f>INDEX(X_Table_Swine_Stage2MMS_From_SolidStorage,4,1)</f>
        <v>Deep litter</v>
      </c>
      <c r="P157" s="50" cm="1">
        <f t="array" aca="1" ref="P157" ca="1">MMS_Swine_ManureAppliedToSoils_Equations.VEERG_4_5_1_9__1_MassOfNitrogenAppliedToSoilsScope1(P45,_xlfn.XLOOKUP($O157,$D$123:$D$129,$E$123:$E$129), _xlfn.XLOOKUP($O157,$D$112:$D$118,$E$112:$E$118),P75,$F105)</f>
        <v>69.276379500000019</v>
      </c>
      <c r="Q157" s="50" cm="1">
        <f t="array" aca="1" ref="Q157" ca="1">MMS_Swine_ManureAppliedToSoils_Equations.VEERG_4_5_1_9__1_MassOfNitrogenAppliedToSoilsScope1(Q45,_xlfn.XLOOKUP($O157,$D$123:$D$129,$E$123:$E$129), _xlfn.XLOOKUP($O157,$D$112:$D$118,$E$112:$E$118),Q75,$F105)</f>
        <v>73.794404250000042</v>
      </c>
      <c r="R157" s="50" cm="1">
        <f t="array" aca="1" ref="R157" ca="1">MMS_Swine_ManureAppliedToSoils_Equations.VEERG_4_5_1_9__1_MassOfNitrogenAppliedToSoilsScope1(R45,_xlfn.XLOOKUP($O157,$D$123:$D$129,$E$123:$E$129), _xlfn.XLOOKUP($O157,$D$112:$D$118,$E$112:$E$118),R75,$F105)</f>
        <v>69.276379500000019</v>
      </c>
      <c r="S157" s="50" cm="1">
        <f t="array" aca="1" ref="S157" ca="1">MMS_Swine_ManureAppliedToSoils_Equations.VEERG_4_5_1_9__1_MassOfNitrogenAppliedToSoilsScope1(S45,_xlfn.XLOOKUP($O157,$D$123:$D$129,$E$123:$E$129), _xlfn.XLOOKUP($O157,$D$112:$D$118,$E$112:$E$118),S75,$F105)</f>
        <v>46.987457400000025</v>
      </c>
      <c r="T157" s="2"/>
    </row>
    <row r="158" spans="4:20" ht="20.100000000000001" customHeight="1" x14ac:dyDescent="0.25">
      <c r="D158" s="55"/>
      <c r="E158" s="55" t="str">
        <f>INDEX(X_Table_Swine_Stage2MMS_From_SolidStorage,5,1)</f>
        <v>Pit storage</v>
      </c>
      <c r="F158" s="50" cm="1">
        <f t="array" aca="1" ref="F158" ca="1">MMS_Swine_ManureAppliedToSoils_Equations.VEERG_4_5_1_9__1_MassOfNitrogenAppliedToSoilsScope1(F46,_xlfn.XLOOKUP($E158,$D$123:$D$129,$E$123:$E$129), _xlfn.XLOOKUP($E158,$D$112:$D$118,$E$112:$E$118),F76,$F106)</f>
        <v>29.953024200000009</v>
      </c>
      <c r="G158" s="50" cm="1">
        <f t="array" aca="1" ref="G158" ca="1">MMS_Swine_ManureAppliedToSoils_Equations.VEERG_4_5_1_9__1_MassOfNitrogenAppliedToSoilsScope1(G46,_xlfn.XLOOKUP($E158,$D$123:$D$129,$E$123:$E$129), _xlfn.XLOOKUP($E158,$D$112:$D$118,$E$112:$E$118),G76,$F106)</f>
        <v>31.906482300000018</v>
      </c>
      <c r="H158" s="50" cm="1">
        <f t="array" aca="1" ref="H158" ca="1">MMS_Swine_ManureAppliedToSoils_Equations.VEERG_4_5_1_9__1_MassOfNitrogenAppliedToSoilsScope1(H46,_xlfn.XLOOKUP($E158,$D$123:$D$129,$E$123:$E$129), _xlfn.XLOOKUP($E158,$D$112:$D$118,$E$112:$E$118),H76,$F106)</f>
        <v>29.953024200000009</v>
      </c>
      <c r="I158" s="50" cm="1">
        <f t="array" aca="1" ref="I158" ca="1">MMS_Swine_ManureAppliedToSoils_Equations.VEERG_4_5_1_9__1_MassOfNitrogenAppliedToSoilsScope1(I46,_xlfn.XLOOKUP($E158,$D$123:$D$129,$E$123:$E$129), _xlfn.XLOOKUP($E158,$D$112:$D$118,$E$112:$E$118),I76,$F106)</f>
        <v>20.31596424000001</v>
      </c>
      <c r="J158" s="2"/>
      <c r="N158" s="55"/>
      <c r="O158" s="55" t="str">
        <f>INDEX(X_Table_Swine_Stage2MMS_From_SolidStorage,5,1)</f>
        <v>Pit storage</v>
      </c>
      <c r="P158" s="50" cm="1">
        <f t="array" aca="1" ref="P158" ca="1">MMS_Swine_ManureAppliedToSoils_Equations.VEERG_4_5_1_9__1_MassOfNitrogenAppliedToSoilsScope1(P46,_xlfn.XLOOKUP($O158,$D$123:$D$129,$E$123:$E$129), _xlfn.XLOOKUP($O158,$D$112:$D$118,$E$112:$E$118),P76,$F106)</f>
        <v>29.953024200000009</v>
      </c>
      <c r="Q158" s="50" cm="1">
        <f t="array" aca="1" ref="Q158" ca="1">MMS_Swine_ManureAppliedToSoils_Equations.VEERG_4_5_1_9__1_MassOfNitrogenAppliedToSoilsScope1(Q46,_xlfn.XLOOKUP($O158,$D$123:$D$129,$E$123:$E$129), _xlfn.XLOOKUP($O158,$D$112:$D$118,$E$112:$E$118),Q76,$F106)</f>
        <v>31.906482300000018</v>
      </c>
      <c r="R158" s="50" cm="1">
        <f t="array" aca="1" ref="R158" ca="1">MMS_Swine_ManureAppliedToSoils_Equations.VEERG_4_5_1_9__1_MassOfNitrogenAppliedToSoilsScope1(R46,_xlfn.XLOOKUP($O158,$D$123:$D$129,$E$123:$E$129), _xlfn.XLOOKUP($O158,$D$112:$D$118,$E$112:$E$118),R76,$F106)</f>
        <v>29.953024200000009</v>
      </c>
      <c r="S158" s="50" cm="1">
        <f t="array" aca="1" ref="S158" ca="1">MMS_Swine_ManureAppliedToSoils_Equations.VEERG_4_5_1_9__1_MassOfNitrogenAppliedToSoilsScope1(S46,_xlfn.XLOOKUP($O158,$D$123:$D$129,$E$123:$E$129), _xlfn.XLOOKUP($O158,$D$112:$D$118,$E$112:$E$118),S76,$F106)</f>
        <v>20.31596424000001</v>
      </c>
      <c r="T158" s="2"/>
    </row>
    <row r="159" spans="4:20" ht="20.100000000000001" customHeight="1" x14ac:dyDescent="0.25">
      <c r="D159" s="55"/>
      <c r="E159" s="55" t="str">
        <f>INDEX(X_Table_Swine_Stage2MMS_From_SolidStorage,6,1)</f>
        <v>Direct application</v>
      </c>
      <c r="F159" s="50" cm="1">
        <f t="array" aca="1" ref="F159" ca="1">MMS_Swine_ManureAppliedToSoils_Equations.VEERG_4_5_1_9__1_MassOfNitrogenAppliedToSoilsScope1(F47,_xlfn.XLOOKUP($E159,$D$123:$D$129,$E$123:$E$129), _xlfn.XLOOKUP($E159,$D$112:$D$118,$E$112:$E$118),F77,$F107)</f>
        <v>160.17660000000001</v>
      </c>
      <c r="G159" s="50" cm="1">
        <f t="array" aca="1" ref="G159" ca="1">MMS_Swine_ManureAppliedToSoils_Equations.VEERG_4_5_1_9__1_MassOfNitrogenAppliedToSoilsScope1(G47,_xlfn.XLOOKUP($E159,$D$123:$D$129,$E$123:$E$129), _xlfn.XLOOKUP($E159,$D$112:$D$118,$E$112:$E$118),G77,$F107)</f>
        <v>170.62290000000004</v>
      </c>
      <c r="H159" s="50" cm="1">
        <f t="array" aca="1" ref="H159" ca="1">MMS_Swine_ManureAppliedToSoils_Equations.VEERG_4_5_1_9__1_MassOfNitrogenAppliedToSoilsScope1(H47,_xlfn.XLOOKUP($E159,$D$123:$D$129,$E$123:$E$129), _xlfn.XLOOKUP($E159,$D$112:$D$118,$E$112:$E$118),H77,$F107)</f>
        <v>160.17660000000001</v>
      </c>
      <c r="I159" s="50" cm="1">
        <f t="array" aca="1" ref="I159" ca="1">MMS_Swine_ManureAppliedToSoils_Equations.VEERG_4_5_1_9__1_MassOfNitrogenAppliedToSoilsScope1(I47,_xlfn.XLOOKUP($E159,$D$123:$D$129,$E$123:$E$129), _xlfn.XLOOKUP($E159,$D$112:$D$118,$E$112:$E$118),I77,$F107)</f>
        <v>108.64152000000003</v>
      </c>
      <c r="J159" s="2"/>
      <c r="N159" s="55"/>
      <c r="O159" s="55" t="str">
        <f>INDEX(X_Table_Swine_Stage2MMS_From_SolidStorage,6,1)</f>
        <v>Direct application</v>
      </c>
      <c r="P159" s="50" cm="1">
        <f t="array" aca="1" ref="P159" ca="1">MMS_Swine_ManureAppliedToSoils_Equations.VEERG_4_5_1_9__1_MassOfNitrogenAppliedToSoilsScope1(P47,_xlfn.XLOOKUP($O159,$D$123:$D$129,$E$123:$E$129), _xlfn.XLOOKUP($O159,$D$112:$D$118,$E$112:$E$118),P77,$F107)</f>
        <v>160.17660000000001</v>
      </c>
      <c r="Q159" s="50" cm="1">
        <f t="array" aca="1" ref="Q159" ca="1">MMS_Swine_ManureAppliedToSoils_Equations.VEERG_4_5_1_9__1_MassOfNitrogenAppliedToSoilsScope1(Q47,_xlfn.XLOOKUP($O159,$D$123:$D$129,$E$123:$E$129), _xlfn.XLOOKUP($O159,$D$112:$D$118,$E$112:$E$118),Q77,$F107)</f>
        <v>170.62290000000004</v>
      </c>
      <c r="R159" s="50" cm="1">
        <f t="array" aca="1" ref="R159" ca="1">MMS_Swine_ManureAppliedToSoils_Equations.VEERG_4_5_1_9__1_MassOfNitrogenAppliedToSoilsScope1(R47,_xlfn.XLOOKUP($O159,$D$123:$D$129,$E$123:$E$129), _xlfn.XLOOKUP($O159,$D$112:$D$118,$E$112:$E$118),R77,$F107)</f>
        <v>160.17660000000001</v>
      </c>
      <c r="S159" s="50" cm="1">
        <f t="array" aca="1" ref="S159" ca="1">MMS_Swine_ManureAppliedToSoils_Equations.VEERG_4_5_1_9__1_MassOfNitrogenAppliedToSoilsScope1(S47,_xlfn.XLOOKUP($O159,$D$123:$D$129,$E$123:$E$129), _xlfn.XLOOKUP($O159,$D$112:$D$118,$E$112:$E$118),S77,$F107)</f>
        <v>108.64152000000003</v>
      </c>
      <c r="T159" s="2"/>
    </row>
    <row r="160" spans="4:20" ht="20.100000000000001" customHeight="1" x14ac:dyDescent="0.25"/>
    <row r="161" spans="1:21" ht="20.100000000000001" customHeight="1" x14ac:dyDescent="0.25">
      <c r="D161" s="97" t="s">
        <v>302</v>
      </c>
      <c r="E161" s="98">
        <f ca="1">SUM(F134:I159)</f>
        <v>3256.7704915650011</v>
      </c>
      <c r="F161" s="99" t="str">
        <f>$E$11</f>
        <v>kg N</v>
      </c>
      <c r="N161" s="97" t="s">
        <v>302</v>
      </c>
      <c r="O161" s="98">
        <f ca="1">SUM(P134:S159)</f>
        <v>3256.7704915650011</v>
      </c>
      <c r="P161" s="99" t="str">
        <f>$E$11</f>
        <v>kg N</v>
      </c>
    </row>
    <row r="162" spans="1:21" ht="20.100000000000001" customHeight="1" x14ac:dyDescent="0.25"/>
    <row r="163" spans="1:21" ht="20.100000000000001" customHeight="1" x14ac:dyDescent="0.25">
      <c r="A163" s="141" t="str">
        <f>HYPERLINK("#A1", "▲ Back to top")</f>
        <v>▲ Back to top</v>
      </c>
    </row>
    <row r="164" spans="1:21" ht="20.100000000000001" customHeight="1" x14ac:dyDescent="0.25">
      <c r="C164" s="43"/>
      <c r="D164" s="43"/>
      <c r="E164" s="43"/>
      <c r="F164" s="43"/>
      <c r="G164" s="43"/>
      <c r="H164" s="43"/>
      <c r="I164" s="43"/>
      <c r="J164" s="43"/>
      <c r="K164" s="43"/>
      <c r="M164" s="43"/>
      <c r="N164" s="43"/>
      <c r="O164" s="43"/>
      <c r="P164" s="43"/>
      <c r="Q164" s="43"/>
      <c r="R164" s="43"/>
      <c r="S164" s="43"/>
      <c r="T164" s="43"/>
      <c r="U164" s="43"/>
    </row>
    <row r="165" spans="1:21" ht="20.100000000000001" customHeight="1" x14ac:dyDescent="0.25">
      <c r="D165" s="6" t="str" cm="1">
        <f t="array" ref="D165">MMS_Swine_ManureAppliedToSoils_Equations.VEERG_4_5_1_9__2_MassOfNitrogenAppliedToSoilsScope3_Title()</f>
        <v>Mass of nitrogen applied to soils for scope 3 emissions</v>
      </c>
    </row>
    <row r="166" spans="1:21" ht="20.100000000000001" customHeight="1" x14ac:dyDescent="0.25">
      <c r="D166" s="5" t="str" cm="1">
        <f t="array" ref="D166">MMS_Swine_ManureAppliedToSoils_Equations.VEERG_4_5_1_9__2_MassOfNitrogenAppliedToSoilsScope3_Source()</f>
        <v>VEERG 2026: 4.5.1.9, Equation (2)</v>
      </c>
    </row>
    <row r="167" spans="1:21" ht="20.100000000000001" customHeight="1" x14ac:dyDescent="0.25">
      <c r="D167" s="13" t="s">
        <v>23</v>
      </c>
      <c r="E167" s="13" t="str" cm="1">
        <f t="array" aca="1" ref="E167" ca="1">Common_InputFunctions.Utility_DisplayFunctionName(F182)</f>
        <v>=MMS_Swine_ManureAppliedToSoils_Equations.VEERG_4_5_1_9__2_MassOfNitrogenAppliedToSoilsScope3</v>
      </c>
    </row>
    <row r="168" spans="1:21" ht="20.100000000000001" customHeight="1" x14ac:dyDescent="0.25"/>
    <row r="169" spans="1:21" ht="20.100000000000001" customHeight="1" x14ac:dyDescent="0.25"/>
    <row r="170" spans="1:21" ht="20.100000000000001" customHeight="1" x14ac:dyDescent="0.25">
      <c r="D170" s="51" t="s">
        <v>26</v>
      </c>
      <c r="E170" s="1" t="str" cm="1">
        <f t="array" ref="E170">MMS_Swine_ManureAppliedToSoils_Equations.VEERG_4_5_1_9__2_MassOfNitrogenAppliedToSoilsScope3_Variable()</f>
        <v>MNSoil_scope3</v>
      </c>
    </row>
    <row r="171" spans="1:21" ht="20.100000000000001" customHeight="1" x14ac:dyDescent="0.25">
      <c r="D171" s="51" t="s">
        <v>16</v>
      </c>
      <c r="E171" s="52" t="str" cm="1">
        <f t="array" ref="E171">MMS_Swine_ManureAppliedToSoils_Equations.VEERG_4_5_1_9__2_MassOfNitrogenAppliedToSoilsScope3_Unit()</f>
        <v>kg N</v>
      </c>
    </row>
    <row r="172" spans="1:21" ht="20.100000000000001" customHeight="1" x14ac:dyDescent="0.25"/>
    <row r="173" spans="1:21" ht="20.100000000000001" customHeight="1" x14ac:dyDescent="0.25">
      <c r="D173" s="136" t="str" cm="1">
        <f t="array" ref="D173:E177">Common_InputFunctions.Utility_DisplayArguments_1_2(MMS_Swine_ManureAppliedToSoils_Equations.VEERG_4_5_1_9__2_MassOfNitrogenAppliedToSoilsScope3_Arguments())</f>
        <v>MN_jmT2</v>
      </c>
      <c r="E173" s="138" t="str">
        <v>mass of N in MMS at treatment stage 2</v>
      </c>
      <c r="F173" s="137"/>
      <c r="G173" s="136" t="str" cm="1">
        <f t="array" ref="G173:H177">Common_InputFunctions.Utility_DisplayArguments_3_4(MMS_Swine_ManureAppliedToSoils_Equations.VEERG_4_5_1_9__2_MassOfNitrogenAppliedToSoilsScope3_Arguments())</f>
        <v>kg N</v>
      </c>
      <c r="H173" s="131" t="str">
        <v>Calculated from 4.5.1.3 (6)</v>
      </c>
      <c r="I173" s="135" t="str" cm="1">
        <f t="array" aca="1" ref="I173" ca="1">HYPERLINK(Common_InputFunctions.Utility_SourceHyperlink(D19), D19)</f>
        <v>M1_Table_MN_j_m_T-2</v>
      </c>
    </row>
    <row r="174" spans="1:21" ht="20.100000000000001" customHeight="1" x14ac:dyDescent="0.25">
      <c r="D174" s="136" t="str">
        <v>EF_mT2</v>
      </c>
      <c r="E174" s="138" t="str">
        <v>nitrous oxide emission factor for each MMS at treatment stage 2</v>
      </c>
      <c r="F174" s="137"/>
      <c r="G174" s="136" t="str">
        <v>kg N2O-N/kg N</v>
      </c>
      <c r="H174" s="131" t="str">
        <v>Constant</v>
      </c>
      <c r="I174" s="135" t="str" cm="1">
        <f t="array" aca="1" ref="I174" ca="1">HYPERLINK(Common_InputFunctions.Utility_SourceHyperlink(D120), D120)</f>
        <v>Table_EF_m_T</v>
      </c>
    </row>
    <row r="175" spans="1:21" ht="20.100000000000001" customHeight="1" x14ac:dyDescent="0.25">
      <c r="D175" s="136" t="str">
        <v>FracGASM_mT2</v>
      </c>
      <c r="E175" s="138" t="str">
        <v>fraction of animal waste N volatilised in each MMS at treatment stage 2</v>
      </c>
      <c r="F175" s="137"/>
      <c r="G175" s="136" t="str">
        <v>(kg NH3-N + NOx-N)/kg N</v>
      </c>
      <c r="H175" s="131" t="str">
        <v>Constant</v>
      </c>
      <c r="I175" s="135" t="str" cm="1">
        <f t="array" aca="1" ref="I175" ca="1">HYPERLINK(Common_InputFunctions.Utility_SourceHyperlink(D109), D109)</f>
        <v>Table_FracGASM_m_t</v>
      </c>
    </row>
    <row r="176" spans="1:21" ht="20.100000000000001" customHeight="1" x14ac:dyDescent="0.25">
      <c r="D176" s="136" t="str">
        <v>MNLeach_jm5</v>
      </c>
      <c r="E176" s="138" t="str">
        <v>mass of N lost to leaching and runoff from drylot MMS</v>
      </c>
      <c r="F176" s="137"/>
      <c r="G176" s="136" t="str">
        <v>kg N</v>
      </c>
      <c r="H176" s="131" t="str">
        <v>Calculated from 4.5.1.7 (2)</v>
      </c>
      <c r="I176" s="135" t="str" cm="1">
        <f t="array" aca="1" ref="I176" ca="1">HYPERLINK(Common_InputFunctions.Utility_SourceHyperlink(D49), D49)</f>
        <v>M1_Table_MN_leach_j_m-5</v>
      </c>
    </row>
    <row r="177" spans="4:20" ht="20.100000000000001" customHeight="1" x14ac:dyDescent="0.25">
      <c r="D177" s="136" t="str">
        <v>PF</v>
      </c>
      <c r="E177" s="138" t="str">
        <v>fraction of manure applied to soil within the piggery boundary</v>
      </c>
      <c r="F177" s="137"/>
      <c r="G177" s="136" t="str">
        <v>fraction</v>
      </c>
      <c r="H177" s="132" t="str">
        <v>Input</v>
      </c>
      <c r="I177" s="135" t="str" cm="1">
        <f t="array" aca="1" ref="I177" ca="1">HYPERLINK(Common_InputFunctions.Utility_SourceHyperlink(D79), D79)</f>
        <v>M1_Table_PF</v>
      </c>
    </row>
    <row r="178" spans="4:20" ht="20.100000000000001" customHeight="1" x14ac:dyDescent="0.25"/>
    <row r="179" spans="4:20" ht="20.100000000000001" customHeight="1" x14ac:dyDescent="0.25">
      <c r="D179" s="117" t="s">
        <v>305</v>
      </c>
      <c r="N179" s="117" t="s">
        <v>305</v>
      </c>
    </row>
    <row r="180" spans="4:20" ht="20.100000000000001" customHeight="1" x14ac:dyDescent="0.25">
      <c r="D180" s="118" t="s">
        <v>306</v>
      </c>
      <c r="N180" s="118" t="s">
        <v>306</v>
      </c>
    </row>
    <row r="181" spans="4:20" ht="20.100000000000001" customHeight="1" x14ac:dyDescent="0.25">
      <c r="D181" s="49" t="s">
        <v>156</v>
      </c>
      <c r="E181" s="49" t="s">
        <v>164</v>
      </c>
      <c r="F181" s="49" t="s">
        <v>135</v>
      </c>
      <c r="G181" s="49" t="s">
        <v>136</v>
      </c>
      <c r="H181" s="49" t="s">
        <v>137</v>
      </c>
      <c r="I181" s="49" t="s">
        <v>195</v>
      </c>
      <c r="N181" s="49" t="s">
        <v>156</v>
      </c>
      <c r="O181" s="49" t="s">
        <v>164</v>
      </c>
      <c r="P181" s="49" t="s">
        <v>135</v>
      </c>
      <c r="Q181" s="49" t="s">
        <v>136</v>
      </c>
      <c r="R181" s="49" t="s">
        <v>137</v>
      </c>
      <c r="S181" s="49" t="s">
        <v>195</v>
      </c>
    </row>
    <row r="182" spans="4:20" ht="20.100000000000001" customHeight="1" x14ac:dyDescent="0.25">
      <c r="D182" s="55" t="str">
        <f>INDEX(X_Table_Swine_Stage1MMS_AnaerobicLagoon,2,1)</f>
        <v>Anaerobic lagoon</v>
      </c>
      <c r="E182" s="55" t="str">
        <f>INDEX(X_Table_Swine_Stage2MMS_From_AnaerobicLagoon,2,1)</f>
        <v>Digester / covered lagoons</v>
      </c>
      <c r="F182" s="50" cm="1">
        <f t="array" aca="1" ref="F182" ca="1">MMS_Swine_ManureAppliedToSoils_Equations.VEERG_4_5_1_9__2_MassOfNitrogenAppliedToSoilsScope3(F22,_xlfn.XLOOKUP($E182,$D$123:$D$129,$E$123:$E$129), _xlfn.XLOOKUP($E182,$D$112:$D$118,$E$112:$E$118),F52,$F82)</f>
        <v>4.5332999999999988</v>
      </c>
      <c r="G182" s="50" cm="1">
        <f t="array" aca="1" ref="G182" ca="1">MMS_Swine_ManureAppliedToSoils_Equations.VEERG_4_5_1_9__2_MassOfNitrogenAppliedToSoilsScope3(G22,_xlfn.XLOOKUP($E182,$D$123:$D$129,$E$123:$E$129), _xlfn.XLOOKUP($E182,$D$112:$D$118,$E$112:$E$118),G52,$F82)</f>
        <v>6.0361875000000005</v>
      </c>
      <c r="H182" s="50" cm="1">
        <f t="array" aca="1" ref="H182" ca="1">MMS_Swine_ManureAppliedToSoils_Equations.VEERG_4_5_1_9__2_MassOfNitrogenAppliedToSoilsScope3(H22,_xlfn.XLOOKUP($E182,$D$123:$D$129,$E$123:$E$129), _xlfn.XLOOKUP($E182,$D$112:$D$118,$E$112:$E$118),H52,$F82)</f>
        <v>5.666624999999998</v>
      </c>
      <c r="I182" s="50" cm="1">
        <f t="array" aca="1" ref="I182" ca="1">MMS_Swine_ManureAppliedToSoils_Equations.VEERG_4_5_1_9__2_MassOfNitrogenAppliedToSoilsScope3(I22,_xlfn.XLOOKUP($E182,$D$123:$D$129,$E$123:$E$129), _xlfn.XLOOKUP($E182,$D$112:$D$118,$E$112:$E$118),I52,$F82)</f>
        <v>3.8434499999999989</v>
      </c>
      <c r="J182" s="2" t="str">
        <f>$E$171</f>
        <v>kg N</v>
      </c>
      <c r="N182" s="55" t="str">
        <f>INDEX(X_Table_Swine_Stage1MMS_AnaerobicLagoon,2,1)</f>
        <v>Anaerobic lagoon</v>
      </c>
      <c r="O182" s="55" t="str">
        <f>INDEX(X_Table_Swine_Stage2MMS_From_AnaerobicLagoon,2,1)</f>
        <v>Digester / covered lagoons</v>
      </c>
      <c r="P182" s="50" cm="1">
        <f t="array" aca="1" ref="P182" ca="1">MMS_Swine_ManureAppliedToSoils_Equations.VEERG_4_5_1_9__2_MassOfNitrogenAppliedToSoilsScope3(P22,_xlfn.XLOOKUP($O182,$D$123:$D$129,$E$123:$E$129), _xlfn.XLOOKUP($O182,$D$112:$D$118,$E$112:$E$118),P52,$F82)</f>
        <v>4.5332999999999988</v>
      </c>
      <c r="Q182" s="50" cm="1">
        <f t="array" aca="1" ref="Q182" ca="1">MMS_Swine_ManureAppliedToSoils_Equations.VEERG_4_5_1_9__2_MassOfNitrogenAppliedToSoilsScope3(Q22,_xlfn.XLOOKUP($O182,$D$123:$D$129,$E$123:$E$129), _xlfn.XLOOKUP($O182,$D$112:$D$118,$E$112:$E$118),Q52,$F82)</f>
        <v>6.0361875000000005</v>
      </c>
      <c r="R182" s="50" cm="1">
        <f t="array" aca="1" ref="R182" ca="1">MMS_Swine_ManureAppliedToSoils_Equations.VEERG_4_5_1_9__2_MassOfNitrogenAppliedToSoilsScope3(R22,_xlfn.XLOOKUP($O182,$D$123:$D$129,$E$123:$E$129), _xlfn.XLOOKUP($O182,$D$112:$D$118,$E$112:$E$118),R52,$F82)</f>
        <v>5.666624999999998</v>
      </c>
      <c r="S182" s="50" cm="1">
        <f t="array" aca="1" ref="S182" ca="1">MMS_Swine_ManureAppliedToSoils_Equations.VEERG_4_5_1_9__2_MassOfNitrogenAppliedToSoilsScope3(S22,_xlfn.XLOOKUP($O182,$D$123:$D$129,$E$123:$E$129), _xlfn.XLOOKUP($O182,$D$112:$D$118,$E$112:$E$118),S52,$F82)</f>
        <v>3.8434499999999989</v>
      </c>
      <c r="T182" s="2" t="str">
        <f>$E$171</f>
        <v>kg N</v>
      </c>
    </row>
    <row r="183" spans="4:20" ht="20.100000000000001" customHeight="1" x14ac:dyDescent="0.25">
      <c r="D183" s="55"/>
      <c r="E183" s="55" t="str">
        <f>INDEX(X_Table_Swine_Stage2MMS_From_AnaerobicLagoon,3,1)</f>
        <v>Deep litter</v>
      </c>
      <c r="F183" s="50" cm="1">
        <f t="array" aca="1" ref="F183" ca="1">MMS_Swine_ManureAppliedToSoils_Equations.VEERG_4_5_1_9__2_MassOfNitrogenAppliedToSoilsScope3(F23,_xlfn.XLOOKUP($E183,$D$123:$D$129,$E$123:$E$129), _xlfn.XLOOKUP($E183,$D$112:$D$118,$E$112:$E$118),F53,$F83)</f>
        <v>3.9213044999999989</v>
      </c>
      <c r="G183" s="50" cm="1">
        <f t="array" aca="1" ref="G183" ca="1">MMS_Swine_ManureAppliedToSoils_Equations.VEERG_4_5_1_9__2_MassOfNitrogenAppliedToSoilsScope3(G23,_xlfn.XLOOKUP($E183,$D$123:$D$129,$E$123:$E$129), _xlfn.XLOOKUP($E183,$D$112:$D$118,$E$112:$E$118),G53,$F83)</f>
        <v>5.2213021875000001</v>
      </c>
      <c r="H183" s="50" cm="1">
        <f t="array" aca="1" ref="H183" ca="1">MMS_Swine_ManureAppliedToSoils_Equations.VEERG_4_5_1_9__2_MassOfNitrogenAppliedToSoilsScope3(H23,_xlfn.XLOOKUP($E183,$D$123:$D$129,$E$123:$E$129), _xlfn.XLOOKUP($E183,$D$112:$D$118,$E$112:$E$118),H53,$F83)</f>
        <v>4.9016306249999984</v>
      </c>
      <c r="I183" s="50" cm="1">
        <f t="array" aca="1" ref="I183" ca="1">MMS_Swine_ManureAppliedToSoils_Equations.VEERG_4_5_1_9__2_MassOfNitrogenAppliedToSoilsScope3(I23,_xlfn.XLOOKUP($E183,$D$123:$D$129,$E$123:$E$129), _xlfn.XLOOKUP($E183,$D$112:$D$118,$E$112:$E$118),I53,$F83)</f>
        <v>3.3245842499999991</v>
      </c>
      <c r="J183" s="2"/>
      <c r="N183" s="55"/>
      <c r="O183" s="55" t="str">
        <f>INDEX(X_Table_Swine_Stage2MMS_From_AnaerobicLagoon,3,1)</f>
        <v>Deep litter</v>
      </c>
      <c r="P183" s="50" cm="1">
        <f t="array" aca="1" ref="P183" ca="1">MMS_Swine_ManureAppliedToSoils_Equations.VEERG_4_5_1_9__2_MassOfNitrogenAppliedToSoilsScope3(P23,_xlfn.XLOOKUP($O183,$D$123:$D$129,$E$123:$E$129), _xlfn.XLOOKUP($O183,$D$112:$D$118,$E$112:$E$118),P53,$F83)</f>
        <v>3.9213044999999989</v>
      </c>
      <c r="Q183" s="50" cm="1">
        <f t="array" aca="1" ref="Q183" ca="1">MMS_Swine_ManureAppliedToSoils_Equations.VEERG_4_5_1_9__2_MassOfNitrogenAppliedToSoilsScope3(Q23,_xlfn.XLOOKUP($O183,$D$123:$D$129,$E$123:$E$129), _xlfn.XLOOKUP($O183,$D$112:$D$118,$E$112:$E$118),Q53,$F83)</f>
        <v>5.2213021875000001</v>
      </c>
      <c r="R183" s="50" cm="1">
        <f t="array" aca="1" ref="R183" ca="1">MMS_Swine_ManureAppliedToSoils_Equations.VEERG_4_5_1_9__2_MassOfNitrogenAppliedToSoilsScope3(R23,_xlfn.XLOOKUP($O183,$D$123:$D$129,$E$123:$E$129), _xlfn.XLOOKUP($O183,$D$112:$D$118,$E$112:$E$118),R53,$F83)</f>
        <v>4.9016306249999984</v>
      </c>
      <c r="S183" s="50" cm="1">
        <f t="array" aca="1" ref="S183" ca="1">MMS_Swine_ManureAppliedToSoils_Equations.VEERG_4_5_1_9__2_MassOfNitrogenAppliedToSoilsScope3(S23,_xlfn.XLOOKUP($O183,$D$123:$D$129,$E$123:$E$129), _xlfn.XLOOKUP($O183,$D$112:$D$118,$E$112:$E$118),S53,$F83)</f>
        <v>3.3245842499999991</v>
      </c>
      <c r="T183" s="2"/>
    </row>
    <row r="184" spans="4:20" ht="20.100000000000001" customHeight="1" x14ac:dyDescent="0.25">
      <c r="D184" s="55"/>
      <c r="E184" s="55" t="str">
        <f>INDEX(X_Table_Swine_Stage2MMS_From_AnaerobicLagoon,4,1)</f>
        <v>Pit storage</v>
      </c>
      <c r="F184" s="50" cm="1">
        <f t="array" aca="1" ref="F184" ca="1">MMS_Swine_ManureAppliedToSoils_Equations.VEERG_4_5_1_9__2_MassOfNitrogenAppliedToSoilsScope3(F24,_xlfn.XLOOKUP($E184,$D$123:$D$129,$E$123:$E$129), _xlfn.XLOOKUP($E184,$D$112:$D$118,$E$112:$E$118),F54,$F84)</f>
        <v>3.3909083999999989</v>
      </c>
      <c r="G184" s="50" cm="1">
        <f t="array" aca="1" ref="G184" ca="1">MMS_Swine_ManureAppliedToSoils_Equations.VEERG_4_5_1_9__2_MassOfNitrogenAppliedToSoilsScope3(G24,_xlfn.XLOOKUP($E184,$D$123:$D$129,$E$123:$E$129), _xlfn.XLOOKUP($E184,$D$112:$D$118,$E$112:$E$118),G54,$F84)</f>
        <v>4.5150682500000006</v>
      </c>
      <c r="H184" s="50" cm="1">
        <f t="array" aca="1" ref="H184" ca="1">MMS_Swine_ManureAppliedToSoils_Equations.VEERG_4_5_1_9__2_MassOfNitrogenAppliedToSoilsScope3(H24,_xlfn.XLOOKUP($E184,$D$123:$D$129,$E$123:$E$129), _xlfn.XLOOKUP($E184,$D$112:$D$118,$E$112:$E$118),H54,$F84)</f>
        <v>4.2386354999999982</v>
      </c>
      <c r="I184" s="50" cm="1">
        <f t="array" aca="1" ref="I184" ca="1">MMS_Swine_ManureAppliedToSoils_Equations.VEERG_4_5_1_9__2_MassOfNitrogenAppliedToSoilsScope3(I24,_xlfn.XLOOKUP($E184,$D$123:$D$129,$E$123:$E$129), _xlfn.XLOOKUP($E184,$D$112:$D$118,$E$112:$E$118),I54,$F84)</f>
        <v>2.8749005999999993</v>
      </c>
      <c r="J184" s="2"/>
      <c r="N184" s="55"/>
      <c r="O184" s="55" t="str">
        <f>INDEX(X_Table_Swine_Stage2MMS_From_AnaerobicLagoon,4,1)</f>
        <v>Pit storage</v>
      </c>
      <c r="P184" s="50" cm="1">
        <f t="array" aca="1" ref="P184" ca="1">MMS_Swine_ManureAppliedToSoils_Equations.VEERG_4_5_1_9__2_MassOfNitrogenAppliedToSoilsScope3(P24,_xlfn.XLOOKUP($O184,$D$123:$D$129,$E$123:$E$129), _xlfn.XLOOKUP($O184,$D$112:$D$118,$E$112:$E$118),P54,$F84)</f>
        <v>3.3909083999999989</v>
      </c>
      <c r="Q184" s="50" cm="1">
        <f t="array" aca="1" ref="Q184" ca="1">MMS_Swine_ManureAppliedToSoils_Equations.VEERG_4_5_1_9__2_MassOfNitrogenAppliedToSoilsScope3(Q24,_xlfn.XLOOKUP($O184,$D$123:$D$129,$E$123:$E$129), _xlfn.XLOOKUP($O184,$D$112:$D$118,$E$112:$E$118),Q54,$F84)</f>
        <v>4.5150682500000006</v>
      </c>
      <c r="R184" s="50" cm="1">
        <f t="array" aca="1" ref="R184" ca="1">MMS_Swine_ManureAppliedToSoils_Equations.VEERG_4_5_1_9__2_MassOfNitrogenAppliedToSoilsScope3(R24,_xlfn.XLOOKUP($O184,$D$123:$D$129,$E$123:$E$129), _xlfn.XLOOKUP($O184,$D$112:$D$118,$E$112:$E$118),R54,$F84)</f>
        <v>4.2386354999999982</v>
      </c>
      <c r="S184" s="50" cm="1">
        <f t="array" aca="1" ref="S184" ca="1">MMS_Swine_ManureAppliedToSoils_Equations.VEERG_4_5_1_9__2_MassOfNitrogenAppliedToSoilsScope3(S24,_xlfn.XLOOKUP($O184,$D$123:$D$129,$E$123:$E$129), _xlfn.XLOOKUP($O184,$D$112:$D$118,$E$112:$E$118),S54,$F84)</f>
        <v>2.8749005999999993</v>
      </c>
      <c r="T184" s="2"/>
    </row>
    <row r="185" spans="4:20" ht="20.100000000000001" customHeight="1" x14ac:dyDescent="0.25">
      <c r="D185" s="55"/>
      <c r="E185" s="55" t="str">
        <f>INDEX(X_Table_Swine_Stage2MMS_From_AnaerobicLagoon,5,1)</f>
        <v>Direct application</v>
      </c>
      <c r="F185" s="50" cm="1">
        <f t="array" aca="1" ref="F185" ca="1">MMS_Swine_ManureAppliedToSoils_Equations.VEERG_4_5_1_9__2_MassOfNitrogenAppliedToSoilsScope3(F25,_xlfn.XLOOKUP($E185,$D$123:$D$129,$E$123:$E$129), _xlfn.XLOOKUP($E185,$D$112:$D$118,$E$112:$E$118),F55,$F85)</f>
        <v>0</v>
      </c>
      <c r="G185" s="50" cm="1">
        <f t="array" aca="1" ref="G185" ca="1">MMS_Swine_ManureAppliedToSoils_Equations.VEERG_4_5_1_9__2_MassOfNitrogenAppliedToSoilsScope3(G25,_xlfn.XLOOKUP($E185,$D$123:$D$129,$E$123:$E$129), _xlfn.XLOOKUP($E185,$D$112:$D$118,$E$112:$E$118),G55,$F85)</f>
        <v>0</v>
      </c>
      <c r="H185" s="50" cm="1">
        <f t="array" aca="1" ref="H185" ca="1">MMS_Swine_ManureAppliedToSoils_Equations.VEERG_4_5_1_9__2_MassOfNitrogenAppliedToSoilsScope3(H25,_xlfn.XLOOKUP($E185,$D$123:$D$129,$E$123:$E$129), _xlfn.XLOOKUP($E185,$D$112:$D$118,$E$112:$E$118),H55,$F85)</f>
        <v>0</v>
      </c>
      <c r="I185" s="50" cm="1">
        <f t="array" aca="1" ref="I185" ca="1">MMS_Swine_ManureAppliedToSoils_Equations.VEERG_4_5_1_9__2_MassOfNitrogenAppliedToSoilsScope3(I25,_xlfn.XLOOKUP($E185,$D$123:$D$129,$E$123:$E$129), _xlfn.XLOOKUP($E185,$D$112:$D$118,$E$112:$E$118),I55,$F85)</f>
        <v>0</v>
      </c>
      <c r="J185" s="2"/>
      <c r="N185" s="55"/>
      <c r="O185" s="55" t="str">
        <f>INDEX(X_Table_Swine_Stage2MMS_From_AnaerobicLagoon,5,1)</f>
        <v>Direct application</v>
      </c>
      <c r="P185" s="50" cm="1">
        <f t="array" aca="1" ref="P185" ca="1">MMS_Swine_ManureAppliedToSoils_Equations.VEERG_4_5_1_9__2_MassOfNitrogenAppliedToSoilsScope3(P25,_xlfn.XLOOKUP($O185,$D$123:$D$129,$E$123:$E$129), _xlfn.XLOOKUP($O185,$D$112:$D$118,$E$112:$E$118),P55,$F85)</f>
        <v>0</v>
      </c>
      <c r="Q185" s="50" cm="1">
        <f t="array" aca="1" ref="Q185" ca="1">MMS_Swine_ManureAppliedToSoils_Equations.VEERG_4_5_1_9__2_MassOfNitrogenAppliedToSoilsScope3(Q25,_xlfn.XLOOKUP($O185,$D$123:$D$129,$E$123:$E$129), _xlfn.XLOOKUP($O185,$D$112:$D$118,$E$112:$E$118),Q55,$F85)</f>
        <v>0</v>
      </c>
      <c r="R185" s="50" cm="1">
        <f t="array" aca="1" ref="R185" ca="1">MMS_Swine_ManureAppliedToSoils_Equations.VEERG_4_5_1_9__2_MassOfNitrogenAppliedToSoilsScope3(R25,_xlfn.XLOOKUP($O185,$D$123:$D$129,$E$123:$E$129), _xlfn.XLOOKUP($O185,$D$112:$D$118,$E$112:$E$118),R55,$F85)</f>
        <v>0</v>
      </c>
      <c r="S185" s="50" cm="1">
        <f t="array" aca="1" ref="S185" ca="1">MMS_Swine_ManureAppliedToSoils_Equations.VEERG_4_5_1_9__2_MassOfNitrogenAppliedToSoilsScope3(S25,_xlfn.XLOOKUP($O185,$D$123:$D$129,$E$123:$E$129), _xlfn.XLOOKUP($O185,$D$112:$D$118,$E$112:$E$118),S55,$F85)</f>
        <v>0</v>
      </c>
      <c r="T185" s="2"/>
    </row>
    <row r="186" spans="4:20" ht="20.100000000000001" customHeight="1" x14ac:dyDescent="0.25">
      <c r="D186" s="55" t="str">
        <f>INDEX(X_Table_Swine_Stage1MMS_Drylot,2,1)</f>
        <v>Drylot (feed pad)</v>
      </c>
      <c r="E186" s="55" t="str">
        <f>INDEX(X_Table_Swine_Stage2MMS_From_Drylot,2,1)</f>
        <v>Anaerobic lagoon</v>
      </c>
      <c r="F186" s="50" cm="1">
        <f t="array" aca="1" ref="F186" ca="1">MMS_Swine_ManureAppliedToSoils_Equations.VEERG_4_5_1_9__2_MassOfNitrogenAppliedToSoilsScope3(F26,_xlfn.XLOOKUP($E186,$D$123:$D$129,$E$123:$E$129), _xlfn.XLOOKUP($E186,$D$112:$D$118,$E$112:$E$118),F56,$F86)</f>
        <v>2.0752439999999988</v>
      </c>
      <c r="G186" s="50" cm="1">
        <f t="array" aca="1" ref="G186" ca="1">MMS_Swine_ManureAppliedToSoils_Equations.VEERG_4_5_1_9__2_MassOfNitrogenAppliedToSoilsScope3(G26,_xlfn.XLOOKUP($E186,$D$123:$D$129,$E$123:$E$129), _xlfn.XLOOKUP($E186,$D$112:$D$118,$E$112:$E$118),G56,$F86)</f>
        <v>3.0315075</v>
      </c>
      <c r="H186" s="50" cm="1">
        <f t="array" aca="1" ref="H186" ca="1">MMS_Swine_ManureAppliedToSoils_Equations.VEERG_4_5_1_9__2_MassOfNitrogenAppliedToSoilsScope3(H26,_xlfn.XLOOKUP($E186,$D$123:$D$129,$E$123:$E$129), _xlfn.XLOOKUP($E186,$D$112:$D$118,$E$112:$E$118),H56,$F86)</f>
        <v>2.8459049999999984</v>
      </c>
      <c r="I186" s="50" cm="1">
        <f t="array" aca="1" ref="I186" ca="1">MMS_Swine_ManureAppliedToSoils_Equations.VEERG_4_5_1_9__2_MassOfNitrogenAppliedToSoilsScope3(I26,_xlfn.XLOOKUP($E186,$D$123:$D$129,$E$123:$E$129), _xlfn.XLOOKUP($E186,$D$112:$D$118,$E$112:$E$118),I56,$F86)</f>
        <v>1.9302659999999991</v>
      </c>
      <c r="J186" s="2"/>
      <c r="N186" s="55" t="str">
        <f>INDEX(X_Table_Swine_Stage1MMS_Drylot,2,1)</f>
        <v>Drylot (feed pad)</v>
      </c>
      <c r="O186" s="55" t="str">
        <f>INDEX(X_Table_Swine_Stage2MMS_From_Drylot,2,1)</f>
        <v>Anaerobic lagoon</v>
      </c>
      <c r="P186" s="50" cm="1">
        <f t="array" aca="1" ref="P186" ca="1">MMS_Swine_ManureAppliedToSoils_Equations.VEERG_4_5_1_9__2_MassOfNitrogenAppliedToSoilsScope3(P26,_xlfn.XLOOKUP($O186,$D$123:$D$129,$E$123:$E$129), _xlfn.XLOOKUP($O186,$D$112:$D$118,$E$112:$E$118),P56,$F86)</f>
        <v>2.0752439999999988</v>
      </c>
      <c r="Q186" s="50" cm="1">
        <f t="array" aca="1" ref="Q186" ca="1">MMS_Swine_ManureAppliedToSoils_Equations.VEERG_4_5_1_9__2_MassOfNitrogenAppliedToSoilsScope3(Q26,_xlfn.XLOOKUP($O186,$D$123:$D$129,$E$123:$E$129), _xlfn.XLOOKUP($O186,$D$112:$D$118,$E$112:$E$118),Q56,$F86)</f>
        <v>3.0315075</v>
      </c>
      <c r="R186" s="50" cm="1">
        <f t="array" aca="1" ref="R186" ca="1">MMS_Swine_ManureAppliedToSoils_Equations.VEERG_4_5_1_9__2_MassOfNitrogenAppliedToSoilsScope3(R26,_xlfn.XLOOKUP($O186,$D$123:$D$129,$E$123:$E$129), _xlfn.XLOOKUP($O186,$D$112:$D$118,$E$112:$E$118),R56,$F86)</f>
        <v>2.8459049999999984</v>
      </c>
      <c r="S186" s="50" cm="1">
        <f t="array" aca="1" ref="S186" ca="1">MMS_Swine_ManureAppliedToSoils_Equations.VEERG_4_5_1_9__2_MassOfNitrogenAppliedToSoilsScope3(S26,_xlfn.XLOOKUP($O186,$D$123:$D$129,$E$123:$E$129), _xlfn.XLOOKUP($O186,$D$112:$D$118,$E$112:$E$118),S56,$F86)</f>
        <v>1.9302659999999991</v>
      </c>
      <c r="T186" s="2"/>
    </row>
    <row r="187" spans="4:20" ht="20.100000000000001" customHeight="1" x14ac:dyDescent="0.25">
      <c r="D187" s="55"/>
      <c r="E187" s="55" t="str">
        <f>INDEX(X_Table_Swine_Stage2MMS_From_Drylot,3,1)</f>
        <v>Digester / covered lagoons</v>
      </c>
      <c r="F187" s="50" cm="1">
        <f t="array" aca="1" ref="F187" ca="1">MMS_Swine_ManureAppliedToSoils_Equations.VEERG_4_5_1_9__2_MassOfNitrogenAppliedToSoilsScope3(F27,_xlfn.XLOOKUP($E187,$D$123:$D$129,$E$123:$E$129), _xlfn.XLOOKUP($E187,$D$112:$D$118,$E$112:$E$118),F57,$F87)</f>
        <v>5.8429199999999986</v>
      </c>
      <c r="G187" s="50" cm="1">
        <f t="array" aca="1" ref="G187" ca="1">MMS_Swine_ManureAppliedToSoils_Equations.VEERG_4_5_1_9__2_MassOfNitrogenAppliedToSoilsScope3(G27,_xlfn.XLOOKUP($E187,$D$123:$D$129,$E$123:$E$129), _xlfn.XLOOKUP($E187,$D$112:$D$118,$E$112:$E$118),G57,$F87)</f>
        <v>8.0482500000000012</v>
      </c>
      <c r="H187" s="50" cm="1">
        <f t="array" aca="1" ref="H187" ca="1">MMS_Swine_ManureAppliedToSoils_Equations.VEERG_4_5_1_9__2_MassOfNitrogenAppliedToSoilsScope3(H27,_xlfn.XLOOKUP($E187,$D$123:$D$129,$E$123:$E$129), _xlfn.XLOOKUP($E187,$D$112:$D$118,$E$112:$E$118),H57,$F87)</f>
        <v>7.5554999999999977</v>
      </c>
      <c r="I187" s="50" cm="1">
        <f t="array" aca="1" ref="I187" ca="1">MMS_Swine_ManureAppliedToSoils_Equations.VEERG_4_5_1_9__2_MassOfNitrogenAppliedToSoilsScope3(I27,_xlfn.XLOOKUP($E187,$D$123:$D$129,$E$123:$E$129), _xlfn.XLOOKUP($E187,$D$112:$D$118,$E$112:$E$118),I57,$F87)</f>
        <v>5.1245999999999983</v>
      </c>
      <c r="J187" s="2"/>
      <c r="N187" s="55"/>
      <c r="O187" s="55" t="str">
        <f>INDEX(X_Table_Swine_Stage2MMS_From_Drylot,3,1)</f>
        <v>Digester / covered lagoons</v>
      </c>
      <c r="P187" s="50" cm="1">
        <f t="array" aca="1" ref="P187" ca="1">MMS_Swine_ManureAppliedToSoils_Equations.VEERG_4_5_1_9__2_MassOfNitrogenAppliedToSoilsScope3(P27,_xlfn.XLOOKUP($O187,$D$123:$D$129,$E$123:$E$129), _xlfn.XLOOKUP($O187,$D$112:$D$118,$E$112:$E$118),P57,$F87)</f>
        <v>5.8429199999999986</v>
      </c>
      <c r="Q187" s="50" cm="1">
        <f t="array" aca="1" ref="Q187" ca="1">MMS_Swine_ManureAppliedToSoils_Equations.VEERG_4_5_1_9__2_MassOfNitrogenAppliedToSoilsScope3(Q27,_xlfn.XLOOKUP($O187,$D$123:$D$129,$E$123:$E$129), _xlfn.XLOOKUP($O187,$D$112:$D$118,$E$112:$E$118),Q57,$F87)</f>
        <v>8.0482500000000012</v>
      </c>
      <c r="R187" s="50" cm="1">
        <f t="array" aca="1" ref="R187" ca="1">MMS_Swine_ManureAppliedToSoils_Equations.VEERG_4_5_1_9__2_MassOfNitrogenAppliedToSoilsScope3(R27,_xlfn.XLOOKUP($O187,$D$123:$D$129,$E$123:$E$129), _xlfn.XLOOKUP($O187,$D$112:$D$118,$E$112:$E$118),R57,$F87)</f>
        <v>7.5554999999999977</v>
      </c>
      <c r="S187" s="50" cm="1">
        <f t="array" aca="1" ref="S187" ca="1">MMS_Swine_ManureAppliedToSoils_Equations.VEERG_4_5_1_9__2_MassOfNitrogenAppliedToSoilsScope3(S27,_xlfn.XLOOKUP($O187,$D$123:$D$129,$E$123:$E$129), _xlfn.XLOOKUP($O187,$D$112:$D$118,$E$112:$E$118),S57,$F87)</f>
        <v>5.1245999999999983</v>
      </c>
      <c r="T187" s="2"/>
    </row>
    <row r="188" spans="4:20" ht="20.100000000000001" customHeight="1" x14ac:dyDescent="0.25">
      <c r="D188" s="55"/>
      <c r="E188" s="55" t="str">
        <f>INDEX(X_Table_Swine_Stage2MMS_From_Drylot,4,1)</f>
        <v>Deep litter</v>
      </c>
      <c r="F188" s="50" cm="1">
        <f t="array" aca="1" ref="F188" ca="1">MMS_Swine_ManureAppliedToSoils_Equations.VEERG_4_5_1_9__2_MassOfNitrogenAppliedToSoilsScope3(F28,_xlfn.XLOOKUP($E188,$D$123:$D$129,$E$123:$E$129), _xlfn.XLOOKUP($E188,$D$112:$D$118,$E$112:$E$118),F58,$F88)</f>
        <v>4.9181267999999987</v>
      </c>
      <c r="G188" s="50" cm="1">
        <f t="array" aca="1" ref="G188" ca="1">MMS_Swine_ManureAppliedToSoils_Equations.VEERG_4_5_1_9__2_MassOfNitrogenAppliedToSoilsScope3(G28,_xlfn.XLOOKUP($E188,$D$123:$D$129,$E$123:$E$129), _xlfn.XLOOKUP($E188,$D$112:$D$118,$E$112:$E$118),G58,$F88)</f>
        <v>6.816867750000001</v>
      </c>
      <c r="H188" s="50" cm="1">
        <f t="array" aca="1" ref="H188" ca="1">MMS_Swine_ManureAppliedToSoils_Equations.VEERG_4_5_1_9__2_MassOfNitrogenAppliedToSoilsScope3(H28,_xlfn.XLOOKUP($E188,$D$123:$D$129,$E$123:$E$129), _xlfn.XLOOKUP($E188,$D$112:$D$118,$E$112:$E$118),H58,$F88)</f>
        <v>6.3995084999999978</v>
      </c>
      <c r="I188" s="50" cm="1">
        <f t="array" aca="1" ref="I188" ca="1">MMS_Swine_ManureAppliedToSoils_Equations.VEERG_4_5_1_9__2_MassOfNitrogenAppliedToSoilsScope3(I28,_xlfn.XLOOKUP($E188,$D$123:$D$129,$E$123:$E$129), _xlfn.XLOOKUP($E188,$D$112:$D$118,$E$112:$E$118),I58,$F88)</f>
        <v>4.3405361999999981</v>
      </c>
      <c r="J188" s="2"/>
      <c r="N188" s="55"/>
      <c r="O188" s="55" t="str">
        <f>INDEX(X_Table_Swine_Stage2MMS_From_Drylot,4,1)</f>
        <v>Deep litter</v>
      </c>
      <c r="P188" s="50" cm="1">
        <f t="array" aca="1" ref="P188" ca="1">MMS_Swine_ManureAppliedToSoils_Equations.VEERG_4_5_1_9__2_MassOfNitrogenAppliedToSoilsScope3(P28,_xlfn.XLOOKUP($O188,$D$123:$D$129,$E$123:$E$129), _xlfn.XLOOKUP($O188,$D$112:$D$118,$E$112:$E$118),P58,$F88)</f>
        <v>4.9181267999999987</v>
      </c>
      <c r="Q188" s="50" cm="1">
        <f t="array" aca="1" ref="Q188" ca="1">MMS_Swine_ManureAppliedToSoils_Equations.VEERG_4_5_1_9__2_MassOfNitrogenAppliedToSoilsScope3(Q28,_xlfn.XLOOKUP($O188,$D$123:$D$129,$E$123:$E$129), _xlfn.XLOOKUP($O188,$D$112:$D$118,$E$112:$E$118),Q58,$F88)</f>
        <v>6.816867750000001</v>
      </c>
      <c r="R188" s="50" cm="1">
        <f t="array" aca="1" ref="R188" ca="1">MMS_Swine_ManureAppliedToSoils_Equations.VEERG_4_5_1_9__2_MassOfNitrogenAppliedToSoilsScope3(R28,_xlfn.XLOOKUP($O188,$D$123:$D$129,$E$123:$E$129), _xlfn.XLOOKUP($O188,$D$112:$D$118,$E$112:$E$118),R58,$F88)</f>
        <v>6.3995084999999978</v>
      </c>
      <c r="S188" s="50" cm="1">
        <f t="array" aca="1" ref="S188" ca="1">MMS_Swine_ManureAppliedToSoils_Equations.VEERG_4_5_1_9__2_MassOfNitrogenAppliedToSoilsScope3(S28,_xlfn.XLOOKUP($O188,$D$123:$D$129,$E$123:$E$129), _xlfn.XLOOKUP($O188,$D$112:$D$118,$E$112:$E$118),S58,$F88)</f>
        <v>4.3405361999999981</v>
      </c>
      <c r="T188" s="2"/>
    </row>
    <row r="189" spans="4:20" ht="20.100000000000001" customHeight="1" x14ac:dyDescent="0.25">
      <c r="D189" s="55"/>
      <c r="E189" s="55" t="str">
        <f>INDEX(X_Table_Swine_Stage2MMS_From_Drylot,5,1)</f>
        <v>Pit storage</v>
      </c>
      <c r="F189" s="50" cm="1">
        <f t="array" aca="1" ref="F189" ca="1">MMS_Swine_ManureAppliedToSoils_Equations.VEERG_4_5_1_9__2_MassOfNitrogenAppliedToSoilsScope3(F29,_xlfn.XLOOKUP($E189,$D$123:$D$129,$E$123:$E$129), _xlfn.XLOOKUP($E189,$D$112:$D$118,$E$112:$E$118),F59,$F89)</f>
        <v>4.1166393599999989</v>
      </c>
      <c r="G189" s="50" cm="1">
        <f t="array" aca="1" ref="G189" ca="1">MMS_Swine_ManureAppliedToSoils_Equations.VEERG_4_5_1_9__2_MassOfNitrogenAppliedToSoilsScope3(G29,_xlfn.XLOOKUP($E189,$D$123:$D$129,$E$123:$E$129), _xlfn.XLOOKUP($E189,$D$112:$D$118,$E$112:$E$118),G59,$F89)</f>
        <v>5.7496698000000013</v>
      </c>
      <c r="H189" s="50" cm="1">
        <f t="array" aca="1" ref="H189" ca="1">MMS_Swine_ManureAppliedToSoils_Equations.VEERG_4_5_1_9__2_MassOfNitrogenAppliedToSoilsScope3(H29,_xlfn.XLOOKUP($E189,$D$123:$D$129,$E$123:$E$129), _xlfn.XLOOKUP($E189,$D$112:$D$118,$E$112:$E$118),H59,$F89)</f>
        <v>5.3976491999999983</v>
      </c>
      <c r="I189" s="50" cm="1">
        <f t="array" aca="1" ref="I189" ca="1">MMS_Swine_ManureAppliedToSoils_Equations.VEERG_4_5_1_9__2_MassOfNitrogenAppliedToSoilsScope3(I29,_xlfn.XLOOKUP($E189,$D$123:$D$129,$E$123:$E$129), _xlfn.XLOOKUP($E189,$D$112:$D$118,$E$112:$E$118),I59,$F89)</f>
        <v>3.6610142399999983</v>
      </c>
      <c r="J189" s="2"/>
      <c r="N189" s="55"/>
      <c r="O189" s="55" t="str">
        <f>INDEX(X_Table_Swine_Stage2MMS_From_Drylot,5,1)</f>
        <v>Pit storage</v>
      </c>
      <c r="P189" s="50" cm="1">
        <f t="array" aca="1" ref="P189" ca="1">MMS_Swine_ManureAppliedToSoils_Equations.VEERG_4_5_1_9__2_MassOfNitrogenAppliedToSoilsScope3(P29,_xlfn.XLOOKUP($O189,$D$123:$D$129,$E$123:$E$129), _xlfn.XLOOKUP($O189,$D$112:$D$118,$E$112:$E$118),P59,$F89)</f>
        <v>4.1166393599999989</v>
      </c>
      <c r="Q189" s="50" cm="1">
        <f t="array" aca="1" ref="Q189" ca="1">MMS_Swine_ManureAppliedToSoils_Equations.VEERG_4_5_1_9__2_MassOfNitrogenAppliedToSoilsScope3(Q29,_xlfn.XLOOKUP($O189,$D$123:$D$129,$E$123:$E$129), _xlfn.XLOOKUP($O189,$D$112:$D$118,$E$112:$E$118),Q59,$F89)</f>
        <v>5.7496698000000013</v>
      </c>
      <c r="R189" s="50" cm="1">
        <f t="array" aca="1" ref="R189" ca="1">MMS_Swine_ManureAppliedToSoils_Equations.VEERG_4_5_1_9__2_MassOfNitrogenAppliedToSoilsScope3(R29,_xlfn.XLOOKUP($O189,$D$123:$D$129,$E$123:$E$129), _xlfn.XLOOKUP($O189,$D$112:$D$118,$E$112:$E$118),R59,$F89)</f>
        <v>5.3976491999999983</v>
      </c>
      <c r="S189" s="50" cm="1">
        <f t="array" aca="1" ref="S189" ca="1">MMS_Swine_ManureAppliedToSoils_Equations.VEERG_4_5_1_9__2_MassOfNitrogenAppliedToSoilsScope3(S29,_xlfn.XLOOKUP($O189,$D$123:$D$129,$E$123:$E$129), _xlfn.XLOOKUP($O189,$D$112:$D$118,$E$112:$E$118),S59,$F89)</f>
        <v>3.6610142399999983</v>
      </c>
      <c r="T189" s="2"/>
    </row>
    <row r="190" spans="4:20" ht="20.100000000000001" customHeight="1" x14ac:dyDescent="0.25">
      <c r="D190" s="55"/>
      <c r="E190" s="55" t="str">
        <f>INDEX(X_Table_Swine_Stage2MMS_From_Drylot,6,1)</f>
        <v>Direct application</v>
      </c>
      <c r="F190" s="50" cm="1">
        <f t="array" aca="1" ref="F190" ca="1">MMS_Swine_ManureAppliedToSoils_Equations.VEERG_4_5_1_9__2_MassOfNitrogenAppliedToSoilsScope3(F30,_xlfn.XLOOKUP($E190,$D$123:$D$129,$E$123:$E$129), _xlfn.XLOOKUP($E190,$D$112:$D$118,$E$112:$E$118),F60,$F90)</f>
        <v>0</v>
      </c>
      <c r="G190" s="50" cm="1">
        <f t="array" aca="1" ref="G190" ca="1">MMS_Swine_ManureAppliedToSoils_Equations.VEERG_4_5_1_9__2_MassOfNitrogenAppliedToSoilsScope3(G30,_xlfn.XLOOKUP($E190,$D$123:$D$129,$E$123:$E$129), _xlfn.XLOOKUP($E190,$D$112:$D$118,$E$112:$E$118),G60,$F90)</f>
        <v>0</v>
      </c>
      <c r="H190" s="50" cm="1">
        <f t="array" aca="1" ref="H190" ca="1">MMS_Swine_ManureAppliedToSoils_Equations.VEERG_4_5_1_9__2_MassOfNitrogenAppliedToSoilsScope3(H30,_xlfn.XLOOKUP($E190,$D$123:$D$129,$E$123:$E$129), _xlfn.XLOOKUP($E190,$D$112:$D$118,$E$112:$E$118),H60,$F90)</f>
        <v>0</v>
      </c>
      <c r="I190" s="50" cm="1">
        <f t="array" aca="1" ref="I190" ca="1">MMS_Swine_ManureAppliedToSoils_Equations.VEERG_4_5_1_9__2_MassOfNitrogenAppliedToSoilsScope3(I30,_xlfn.XLOOKUP($E190,$D$123:$D$129,$E$123:$E$129), _xlfn.XLOOKUP($E190,$D$112:$D$118,$E$112:$E$118),I60,$F90)</f>
        <v>0</v>
      </c>
      <c r="J190" s="2"/>
      <c r="N190" s="55"/>
      <c r="O190" s="55" t="str">
        <f>INDEX(X_Table_Swine_Stage2MMS_From_Drylot,6,1)</f>
        <v>Direct application</v>
      </c>
      <c r="P190" s="50" cm="1">
        <f t="array" aca="1" ref="P190" ca="1">MMS_Swine_ManureAppliedToSoils_Equations.VEERG_4_5_1_9__2_MassOfNitrogenAppliedToSoilsScope3(P30,_xlfn.XLOOKUP($O190,$D$123:$D$129,$E$123:$E$129), _xlfn.XLOOKUP($O190,$D$112:$D$118,$E$112:$E$118),P60,$F90)</f>
        <v>0</v>
      </c>
      <c r="Q190" s="50" cm="1">
        <f t="array" aca="1" ref="Q190" ca="1">MMS_Swine_ManureAppliedToSoils_Equations.VEERG_4_5_1_9__2_MassOfNitrogenAppliedToSoilsScope3(Q30,_xlfn.XLOOKUP($O190,$D$123:$D$129,$E$123:$E$129), _xlfn.XLOOKUP($O190,$D$112:$D$118,$E$112:$E$118),Q60,$F90)</f>
        <v>0</v>
      </c>
      <c r="R190" s="50" cm="1">
        <f t="array" aca="1" ref="R190" ca="1">MMS_Swine_ManureAppliedToSoils_Equations.VEERG_4_5_1_9__2_MassOfNitrogenAppliedToSoilsScope3(R30,_xlfn.XLOOKUP($O190,$D$123:$D$129,$E$123:$E$129), _xlfn.XLOOKUP($O190,$D$112:$D$118,$E$112:$E$118),R60,$F90)</f>
        <v>0</v>
      </c>
      <c r="S190" s="50" cm="1">
        <f t="array" aca="1" ref="S190" ca="1">MMS_Swine_ManureAppliedToSoils_Equations.VEERG_4_5_1_9__2_MassOfNitrogenAppliedToSoilsScope3(S30,_xlfn.XLOOKUP($O190,$D$123:$D$129,$E$123:$E$129), _xlfn.XLOOKUP($O190,$D$112:$D$118,$E$112:$E$118),S60,$F90)</f>
        <v>0</v>
      </c>
      <c r="T190" s="2"/>
    </row>
    <row r="191" spans="4:20" ht="20.100000000000001" customHeight="1" x14ac:dyDescent="0.25">
      <c r="D191" s="55" t="str">
        <f>INDEX(X_Table_Swine_Stage1MMS_DigesterCoveredLagoons,2,1)</f>
        <v>Digester / covered lagoons</v>
      </c>
      <c r="E191" s="55" t="str">
        <f>INDEX(X_Table_Swine_Stage2MMS_From_DigesterCoveredLagoons,2,1)</f>
        <v>Anaerobic lagoon</v>
      </c>
      <c r="F191" s="50" cm="1">
        <f t="array" aca="1" ref="F191" ca="1">MMS_Swine_ManureAppliedToSoils_Equations.VEERG_4_5_1_9__2_MassOfNitrogenAppliedToSoilsScope3(F31,_xlfn.XLOOKUP($E191,$D$123:$D$129,$E$123:$E$129), _xlfn.XLOOKUP($E191,$D$112:$D$118,$E$112:$E$118),F61,$F91)</f>
        <v>4.5332999999999988</v>
      </c>
      <c r="G191" s="50" cm="1">
        <f t="array" aca="1" ref="G191" ca="1">MMS_Swine_ManureAppliedToSoils_Equations.VEERG_4_5_1_9__2_MassOfNitrogenAppliedToSoilsScope3(G31,_xlfn.XLOOKUP($E191,$D$123:$D$129,$E$123:$E$129), _xlfn.XLOOKUP($E191,$D$112:$D$118,$E$112:$E$118),G61,$F91)</f>
        <v>6.0361875000000005</v>
      </c>
      <c r="H191" s="50" cm="1">
        <f t="array" aca="1" ref="H191" ca="1">MMS_Swine_ManureAppliedToSoils_Equations.VEERG_4_5_1_9__2_MassOfNitrogenAppliedToSoilsScope3(H31,_xlfn.XLOOKUP($E191,$D$123:$D$129,$E$123:$E$129), _xlfn.XLOOKUP($E191,$D$112:$D$118,$E$112:$E$118),H61,$F91)</f>
        <v>5.666624999999998</v>
      </c>
      <c r="I191" s="50" cm="1">
        <f t="array" aca="1" ref="I191" ca="1">MMS_Swine_ManureAppliedToSoils_Equations.VEERG_4_5_1_9__2_MassOfNitrogenAppliedToSoilsScope3(I31,_xlfn.XLOOKUP($E191,$D$123:$D$129,$E$123:$E$129), _xlfn.XLOOKUP($E191,$D$112:$D$118,$E$112:$E$118),I61,$F91)</f>
        <v>3.8434499999999989</v>
      </c>
      <c r="J191" s="2"/>
      <c r="N191" s="55" t="str">
        <f>INDEX(X_Table_Swine_Stage1MMS_DigesterCoveredLagoons,2,1)</f>
        <v>Digester / covered lagoons</v>
      </c>
      <c r="O191" s="55" t="str">
        <f>INDEX(X_Table_Swine_Stage2MMS_From_DigesterCoveredLagoons,2,1)</f>
        <v>Anaerobic lagoon</v>
      </c>
      <c r="P191" s="50" cm="1">
        <f t="array" aca="1" ref="P191" ca="1">MMS_Swine_ManureAppliedToSoils_Equations.VEERG_4_5_1_9__2_MassOfNitrogenAppliedToSoilsScope3(P31,_xlfn.XLOOKUP($O191,$D$123:$D$129,$E$123:$E$129), _xlfn.XLOOKUP($O191,$D$112:$D$118,$E$112:$E$118),P61,$F91)</f>
        <v>4.5332999999999988</v>
      </c>
      <c r="Q191" s="50" cm="1">
        <f t="array" aca="1" ref="Q191" ca="1">MMS_Swine_ManureAppliedToSoils_Equations.VEERG_4_5_1_9__2_MassOfNitrogenAppliedToSoilsScope3(Q31,_xlfn.XLOOKUP($O191,$D$123:$D$129,$E$123:$E$129), _xlfn.XLOOKUP($O191,$D$112:$D$118,$E$112:$E$118),Q61,$F91)</f>
        <v>6.0361875000000005</v>
      </c>
      <c r="R191" s="50" cm="1">
        <f t="array" aca="1" ref="R191" ca="1">MMS_Swine_ManureAppliedToSoils_Equations.VEERG_4_5_1_9__2_MassOfNitrogenAppliedToSoilsScope3(R31,_xlfn.XLOOKUP($O191,$D$123:$D$129,$E$123:$E$129), _xlfn.XLOOKUP($O191,$D$112:$D$118,$E$112:$E$118),R61,$F91)</f>
        <v>5.666624999999998</v>
      </c>
      <c r="S191" s="50" cm="1">
        <f t="array" aca="1" ref="S191" ca="1">MMS_Swine_ManureAppliedToSoils_Equations.VEERG_4_5_1_9__2_MassOfNitrogenAppliedToSoilsScope3(S31,_xlfn.XLOOKUP($O191,$D$123:$D$129,$E$123:$E$129), _xlfn.XLOOKUP($O191,$D$112:$D$118,$E$112:$E$118),S61,$F91)</f>
        <v>3.8434499999999989</v>
      </c>
      <c r="T191" s="2"/>
    </row>
    <row r="192" spans="4:20" ht="20.100000000000001" customHeight="1" x14ac:dyDescent="0.25">
      <c r="D192" s="55"/>
      <c r="E192" s="55" t="str">
        <f>INDEX(X_Table_Swine_Stage2MMS_From_DigesterCoveredLagoons,3,1)</f>
        <v>Deep litter</v>
      </c>
      <c r="F192" s="50" cm="1">
        <f t="array" aca="1" ref="F192" ca="1">MMS_Swine_ManureAppliedToSoils_Equations.VEERG_4_5_1_9__2_MassOfNitrogenAppliedToSoilsScope3(F32,_xlfn.XLOOKUP($E192,$D$123:$D$129,$E$123:$E$129), _xlfn.XLOOKUP($E192,$D$112:$D$118,$E$112:$E$118),F62,$F92)</f>
        <v>8.7140099999999983</v>
      </c>
      <c r="G192" s="50" cm="1">
        <f t="array" aca="1" ref="G192" ca="1">MMS_Swine_ManureAppliedToSoils_Equations.VEERG_4_5_1_9__2_MassOfNitrogenAppliedToSoilsScope3(G32,_xlfn.XLOOKUP($E192,$D$123:$D$129,$E$123:$E$129), _xlfn.XLOOKUP($E192,$D$112:$D$118,$E$112:$E$118),G62,$F92)</f>
        <v>11.602893750000002</v>
      </c>
      <c r="H192" s="50" cm="1">
        <f t="array" aca="1" ref="H192" ca="1">MMS_Swine_ManureAppliedToSoils_Equations.VEERG_4_5_1_9__2_MassOfNitrogenAppliedToSoilsScope3(H32,_xlfn.XLOOKUP($E192,$D$123:$D$129,$E$123:$E$129), _xlfn.XLOOKUP($E192,$D$112:$D$118,$E$112:$E$118),H62,$F92)</f>
        <v>10.892512499999997</v>
      </c>
      <c r="I192" s="50" cm="1">
        <f t="array" aca="1" ref="I192" ca="1">MMS_Swine_ManureAppliedToSoils_Equations.VEERG_4_5_1_9__2_MassOfNitrogenAppliedToSoilsScope3(I32,_xlfn.XLOOKUP($E192,$D$123:$D$129,$E$123:$E$129), _xlfn.XLOOKUP($E192,$D$112:$D$118,$E$112:$E$118),I62,$F92)</f>
        <v>7.3879649999999986</v>
      </c>
      <c r="J192" s="2"/>
      <c r="N192" s="55"/>
      <c r="O192" s="55" t="str">
        <f>INDEX(X_Table_Swine_Stage2MMS_From_DigesterCoveredLagoons,3,1)</f>
        <v>Deep litter</v>
      </c>
      <c r="P192" s="50" cm="1">
        <f t="array" aca="1" ref="P192" ca="1">MMS_Swine_ManureAppliedToSoils_Equations.VEERG_4_5_1_9__2_MassOfNitrogenAppliedToSoilsScope3(P32,_xlfn.XLOOKUP($O192,$D$123:$D$129,$E$123:$E$129), _xlfn.XLOOKUP($O192,$D$112:$D$118,$E$112:$E$118),P62,$F92)</f>
        <v>8.7140099999999983</v>
      </c>
      <c r="Q192" s="50" cm="1">
        <f t="array" aca="1" ref="Q192" ca="1">MMS_Swine_ManureAppliedToSoils_Equations.VEERG_4_5_1_9__2_MassOfNitrogenAppliedToSoilsScope3(Q32,_xlfn.XLOOKUP($O192,$D$123:$D$129,$E$123:$E$129), _xlfn.XLOOKUP($O192,$D$112:$D$118,$E$112:$E$118),Q62,$F92)</f>
        <v>11.602893750000002</v>
      </c>
      <c r="R192" s="50" cm="1">
        <f t="array" aca="1" ref="R192" ca="1">MMS_Swine_ManureAppliedToSoils_Equations.VEERG_4_5_1_9__2_MassOfNitrogenAppliedToSoilsScope3(R32,_xlfn.XLOOKUP($O192,$D$123:$D$129,$E$123:$E$129), _xlfn.XLOOKUP($O192,$D$112:$D$118,$E$112:$E$118),R62,$F92)</f>
        <v>10.892512499999997</v>
      </c>
      <c r="S192" s="50" cm="1">
        <f t="array" aca="1" ref="S192" ca="1">MMS_Swine_ManureAppliedToSoils_Equations.VEERG_4_5_1_9__2_MassOfNitrogenAppliedToSoilsScope3(S32,_xlfn.XLOOKUP($O192,$D$123:$D$129,$E$123:$E$129), _xlfn.XLOOKUP($O192,$D$112:$D$118,$E$112:$E$118),S62,$F92)</f>
        <v>7.3879649999999986</v>
      </c>
      <c r="T192" s="2"/>
    </row>
    <row r="193" spans="4:20" ht="20.100000000000001" customHeight="1" x14ac:dyDescent="0.25">
      <c r="D193" s="55"/>
      <c r="E193" s="55" t="str">
        <f>INDEX(X_Table_Swine_Stage2MMS_From_DigesterCoveredLagoons,4,1)</f>
        <v>Pit storage</v>
      </c>
      <c r="F193" s="50" cm="1">
        <f t="array" aca="1" ref="F193" ca="1">MMS_Swine_ManureAppliedToSoils_Equations.VEERG_4_5_1_9__2_MassOfNitrogenAppliedToSoilsScope3(F33,_xlfn.XLOOKUP($E193,$D$123:$D$129,$E$123:$E$129), _xlfn.XLOOKUP($E193,$D$112:$D$118,$E$112:$E$118),F63,$F93)</f>
        <v>7.5353519999999987</v>
      </c>
      <c r="G193" s="50" cm="1">
        <f t="array" aca="1" ref="G193" ca="1">MMS_Swine_ManureAppliedToSoils_Equations.VEERG_4_5_1_9__2_MassOfNitrogenAppliedToSoilsScope3(G33,_xlfn.XLOOKUP($E193,$D$123:$D$129,$E$123:$E$129), _xlfn.XLOOKUP($E193,$D$112:$D$118,$E$112:$E$118),G63,$F93)</f>
        <v>10.033485000000001</v>
      </c>
      <c r="H193" s="50" cm="1">
        <f t="array" aca="1" ref="H193" ca="1">MMS_Swine_ManureAppliedToSoils_Equations.VEERG_4_5_1_9__2_MassOfNitrogenAppliedToSoilsScope3(H33,_xlfn.XLOOKUP($E193,$D$123:$D$129,$E$123:$E$129), _xlfn.XLOOKUP($E193,$D$112:$D$118,$E$112:$E$118),H63,$F93)</f>
        <v>9.4191899999999986</v>
      </c>
      <c r="I193" s="50" cm="1">
        <f t="array" aca="1" ref="I193" ca="1">MMS_Swine_ManureAppliedToSoils_Equations.VEERG_4_5_1_9__2_MassOfNitrogenAppliedToSoilsScope3(I33,_xlfn.XLOOKUP($E193,$D$123:$D$129,$E$123:$E$129), _xlfn.XLOOKUP($E193,$D$112:$D$118,$E$112:$E$118),I63,$F93)</f>
        <v>6.3886679999999991</v>
      </c>
      <c r="J193" s="2"/>
      <c r="N193" s="55"/>
      <c r="O193" s="55" t="str">
        <f>INDEX(X_Table_Swine_Stage2MMS_From_DigesterCoveredLagoons,4,1)</f>
        <v>Pit storage</v>
      </c>
      <c r="P193" s="50" cm="1">
        <f t="array" aca="1" ref="P193" ca="1">MMS_Swine_ManureAppliedToSoils_Equations.VEERG_4_5_1_9__2_MassOfNitrogenAppliedToSoilsScope3(P33,_xlfn.XLOOKUP($O193,$D$123:$D$129,$E$123:$E$129), _xlfn.XLOOKUP($O193,$D$112:$D$118,$E$112:$E$118),P63,$F93)</f>
        <v>7.5353519999999987</v>
      </c>
      <c r="Q193" s="50" cm="1">
        <f t="array" aca="1" ref="Q193" ca="1">MMS_Swine_ManureAppliedToSoils_Equations.VEERG_4_5_1_9__2_MassOfNitrogenAppliedToSoilsScope3(Q33,_xlfn.XLOOKUP($O193,$D$123:$D$129,$E$123:$E$129), _xlfn.XLOOKUP($O193,$D$112:$D$118,$E$112:$E$118),Q63,$F93)</f>
        <v>10.033485000000001</v>
      </c>
      <c r="R193" s="50" cm="1">
        <f t="array" aca="1" ref="R193" ca="1">MMS_Swine_ManureAppliedToSoils_Equations.VEERG_4_5_1_9__2_MassOfNitrogenAppliedToSoilsScope3(R33,_xlfn.XLOOKUP($O193,$D$123:$D$129,$E$123:$E$129), _xlfn.XLOOKUP($O193,$D$112:$D$118,$E$112:$E$118),R63,$F93)</f>
        <v>9.4191899999999986</v>
      </c>
      <c r="S193" s="50" cm="1">
        <f t="array" aca="1" ref="S193" ca="1">MMS_Swine_ManureAppliedToSoils_Equations.VEERG_4_5_1_9__2_MassOfNitrogenAppliedToSoilsScope3(S33,_xlfn.XLOOKUP($O193,$D$123:$D$129,$E$123:$E$129), _xlfn.XLOOKUP($O193,$D$112:$D$118,$E$112:$E$118),S63,$F93)</f>
        <v>6.3886679999999991</v>
      </c>
      <c r="T193" s="2"/>
    </row>
    <row r="194" spans="4:20" ht="20.100000000000001" customHeight="1" x14ac:dyDescent="0.25">
      <c r="D194" s="55"/>
      <c r="E194" s="55" t="str">
        <f>INDEX(X_Table_Swine_Stage2MMS_From_DigesterCoveredLagoons,5,1)</f>
        <v>Direct application</v>
      </c>
      <c r="F194" s="50" cm="1">
        <f t="array" aca="1" ref="F194" ca="1">MMS_Swine_ManureAppliedToSoils_Equations.VEERG_4_5_1_9__2_MassOfNitrogenAppliedToSoilsScope3(F34,_xlfn.XLOOKUP($E194,$D$123:$D$129,$E$123:$E$129), _xlfn.XLOOKUP($E194,$D$112:$D$118,$E$112:$E$118),F64,$F94)</f>
        <v>0</v>
      </c>
      <c r="G194" s="50" cm="1">
        <f t="array" aca="1" ref="G194" ca="1">MMS_Swine_ManureAppliedToSoils_Equations.VEERG_4_5_1_9__2_MassOfNitrogenAppliedToSoilsScope3(G34,_xlfn.XLOOKUP($E194,$D$123:$D$129,$E$123:$E$129), _xlfn.XLOOKUP($E194,$D$112:$D$118,$E$112:$E$118),G64,$F94)</f>
        <v>0</v>
      </c>
      <c r="H194" s="50" cm="1">
        <f t="array" aca="1" ref="H194" ca="1">MMS_Swine_ManureAppliedToSoils_Equations.VEERG_4_5_1_9__2_MassOfNitrogenAppliedToSoilsScope3(H34,_xlfn.XLOOKUP($E194,$D$123:$D$129,$E$123:$E$129), _xlfn.XLOOKUP($E194,$D$112:$D$118,$E$112:$E$118),H64,$F94)</f>
        <v>0</v>
      </c>
      <c r="I194" s="50" cm="1">
        <f t="array" aca="1" ref="I194" ca="1">MMS_Swine_ManureAppliedToSoils_Equations.VEERG_4_5_1_9__2_MassOfNitrogenAppliedToSoilsScope3(I34,_xlfn.XLOOKUP($E194,$D$123:$D$129,$E$123:$E$129), _xlfn.XLOOKUP($E194,$D$112:$D$118,$E$112:$E$118),I64,$F94)</f>
        <v>0</v>
      </c>
      <c r="J194" s="2"/>
      <c r="N194" s="55"/>
      <c r="O194" s="55" t="str">
        <f>INDEX(X_Table_Swine_Stage2MMS_From_DigesterCoveredLagoons,5,1)</f>
        <v>Direct application</v>
      </c>
      <c r="P194" s="50" cm="1">
        <f t="array" aca="1" ref="P194" ca="1">MMS_Swine_ManureAppliedToSoils_Equations.VEERG_4_5_1_9__2_MassOfNitrogenAppliedToSoilsScope3(P34,_xlfn.XLOOKUP($O194,$D$123:$D$129,$E$123:$E$129), _xlfn.XLOOKUP($O194,$D$112:$D$118,$E$112:$E$118),P64,$F94)</f>
        <v>0</v>
      </c>
      <c r="Q194" s="50" cm="1">
        <f t="array" aca="1" ref="Q194" ca="1">MMS_Swine_ManureAppliedToSoils_Equations.VEERG_4_5_1_9__2_MassOfNitrogenAppliedToSoilsScope3(Q34,_xlfn.XLOOKUP($O194,$D$123:$D$129,$E$123:$E$129), _xlfn.XLOOKUP($O194,$D$112:$D$118,$E$112:$E$118),Q64,$F94)</f>
        <v>0</v>
      </c>
      <c r="R194" s="50" cm="1">
        <f t="array" aca="1" ref="R194" ca="1">MMS_Swine_ManureAppliedToSoils_Equations.VEERG_4_5_1_9__2_MassOfNitrogenAppliedToSoilsScope3(R34,_xlfn.XLOOKUP($O194,$D$123:$D$129,$E$123:$E$129), _xlfn.XLOOKUP($O194,$D$112:$D$118,$E$112:$E$118),R64,$F94)</f>
        <v>0</v>
      </c>
      <c r="S194" s="50" cm="1">
        <f t="array" aca="1" ref="S194" ca="1">MMS_Swine_ManureAppliedToSoils_Equations.VEERG_4_5_1_9__2_MassOfNitrogenAppliedToSoilsScope3(S34,_xlfn.XLOOKUP($O194,$D$123:$D$129,$E$123:$E$129), _xlfn.XLOOKUP($O194,$D$112:$D$118,$E$112:$E$118),S64,$F94)</f>
        <v>0</v>
      </c>
      <c r="T194" s="2"/>
    </row>
    <row r="195" spans="4:20" ht="20.100000000000001" customHeight="1" x14ac:dyDescent="0.25">
      <c r="D195" s="55" t="str">
        <f>INDEX(X_Table_Swine_Stage1MMS_DeepLitter,2,1)</f>
        <v>Deep litter</v>
      </c>
      <c r="E195" s="55" t="str">
        <f>INDEX(X_Table_Swine_Stage2MMS_From_DeepLitter,2,1)</f>
        <v>Anaerobic lagoon</v>
      </c>
      <c r="F195" s="50" cm="1">
        <f t="array" aca="1" ref="F195" ca="1">MMS_Swine_ManureAppliedToSoils_Equations.VEERG_4_5_1_9__2_MassOfNitrogenAppliedToSoilsScope3(F35,_xlfn.XLOOKUP($E195,$D$123:$D$129,$E$123:$E$129), _xlfn.XLOOKUP($E195,$D$112:$D$118,$E$112:$E$118),F65,$F95)</f>
        <v>3.9213044999999989</v>
      </c>
      <c r="G195" s="50" cm="1">
        <f t="array" aca="1" ref="G195" ca="1">MMS_Swine_ManureAppliedToSoils_Equations.VEERG_4_5_1_9__2_MassOfNitrogenAppliedToSoilsScope3(G35,_xlfn.XLOOKUP($E195,$D$123:$D$129,$E$123:$E$129), _xlfn.XLOOKUP($E195,$D$112:$D$118,$E$112:$E$118),G65,$F95)</f>
        <v>5.2213021875000001</v>
      </c>
      <c r="H195" s="50" cm="1">
        <f t="array" aca="1" ref="H195" ca="1">MMS_Swine_ManureAppliedToSoils_Equations.VEERG_4_5_1_9__2_MassOfNitrogenAppliedToSoilsScope3(H35,_xlfn.XLOOKUP($E195,$D$123:$D$129,$E$123:$E$129), _xlfn.XLOOKUP($E195,$D$112:$D$118,$E$112:$E$118),H65,$F95)</f>
        <v>4.9016306249999984</v>
      </c>
      <c r="I195" s="50" cm="1">
        <f t="array" aca="1" ref="I195" ca="1">MMS_Swine_ManureAppliedToSoils_Equations.VEERG_4_5_1_9__2_MassOfNitrogenAppliedToSoilsScope3(I35,_xlfn.XLOOKUP($E195,$D$123:$D$129,$E$123:$E$129), _xlfn.XLOOKUP($E195,$D$112:$D$118,$E$112:$E$118),I65,$F95)</f>
        <v>3.3245842499999991</v>
      </c>
      <c r="J195" s="2"/>
      <c r="N195" s="55" t="str">
        <f>INDEX(X_Table_Swine_Stage1MMS_DeepLitter,2,1)</f>
        <v>Deep litter</v>
      </c>
      <c r="O195" s="55" t="str">
        <f>INDEX(X_Table_Swine_Stage2MMS_From_DeepLitter,2,1)</f>
        <v>Anaerobic lagoon</v>
      </c>
      <c r="P195" s="50" cm="1">
        <f t="array" aca="1" ref="P195" ca="1">MMS_Swine_ManureAppliedToSoils_Equations.VEERG_4_5_1_9__2_MassOfNitrogenAppliedToSoilsScope3(P35,_xlfn.XLOOKUP($O195,$D$123:$D$129,$E$123:$E$129), _xlfn.XLOOKUP($O195,$D$112:$D$118,$E$112:$E$118),P65,$F95)</f>
        <v>3.9213044999999989</v>
      </c>
      <c r="Q195" s="50" cm="1">
        <f t="array" aca="1" ref="Q195" ca="1">MMS_Swine_ManureAppliedToSoils_Equations.VEERG_4_5_1_9__2_MassOfNitrogenAppliedToSoilsScope3(Q35,_xlfn.XLOOKUP($O195,$D$123:$D$129,$E$123:$E$129), _xlfn.XLOOKUP($O195,$D$112:$D$118,$E$112:$E$118),Q65,$F95)</f>
        <v>5.2213021875000001</v>
      </c>
      <c r="R195" s="50" cm="1">
        <f t="array" aca="1" ref="R195" ca="1">MMS_Swine_ManureAppliedToSoils_Equations.VEERG_4_5_1_9__2_MassOfNitrogenAppliedToSoilsScope3(R35,_xlfn.XLOOKUP($O195,$D$123:$D$129,$E$123:$E$129), _xlfn.XLOOKUP($O195,$D$112:$D$118,$E$112:$E$118),R65,$F95)</f>
        <v>4.9016306249999984</v>
      </c>
      <c r="S195" s="50" cm="1">
        <f t="array" aca="1" ref="S195" ca="1">MMS_Swine_ManureAppliedToSoils_Equations.VEERG_4_5_1_9__2_MassOfNitrogenAppliedToSoilsScope3(S35,_xlfn.XLOOKUP($O195,$D$123:$D$129,$E$123:$E$129), _xlfn.XLOOKUP($O195,$D$112:$D$118,$E$112:$E$118),S65,$F95)</f>
        <v>3.3245842499999991</v>
      </c>
      <c r="T195" s="2"/>
    </row>
    <row r="196" spans="4:20" ht="20.100000000000001" customHeight="1" x14ac:dyDescent="0.25">
      <c r="D196" s="55"/>
      <c r="E196" s="55" t="str">
        <f>INDEX(X_Table_Swine_Stage2MMS_From_DeepLitter,3,1)</f>
        <v>Digester / covered lagoons</v>
      </c>
      <c r="F196" s="50" cm="1">
        <f t="array" aca="1" ref="F196" ca="1">MMS_Swine_ManureAppliedToSoils_Equations.VEERG_4_5_1_9__2_MassOfNitrogenAppliedToSoilsScope3(F36,_xlfn.XLOOKUP($E196,$D$123:$D$129,$E$123:$E$129), _xlfn.XLOOKUP($E196,$D$112:$D$118,$E$112:$E$118),F66,$F96)</f>
        <v>8.7140099999999983</v>
      </c>
      <c r="G196" s="50" cm="1">
        <f t="array" aca="1" ref="G196" ca="1">MMS_Swine_ManureAppliedToSoils_Equations.VEERG_4_5_1_9__2_MassOfNitrogenAppliedToSoilsScope3(G36,_xlfn.XLOOKUP($E196,$D$123:$D$129,$E$123:$E$129), _xlfn.XLOOKUP($E196,$D$112:$D$118,$E$112:$E$118),G66,$F96)</f>
        <v>11.602893750000002</v>
      </c>
      <c r="H196" s="50" cm="1">
        <f t="array" aca="1" ref="H196" ca="1">MMS_Swine_ManureAppliedToSoils_Equations.VEERG_4_5_1_9__2_MassOfNitrogenAppliedToSoilsScope3(H36,_xlfn.XLOOKUP($E196,$D$123:$D$129,$E$123:$E$129), _xlfn.XLOOKUP($E196,$D$112:$D$118,$E$112:$E$118),H66,$F96)</f>
        <v>10.892512499999997</v>
      </c>
      <c r="I196" s="50" cm="1">
        <f t="array" aca="1" ref="I196" ca="1">MMS_Swine_ManureAppliedToSoils_Equations.VEERG_4_5_1_9__2_MassOfNitrogenAppliedToSoilsScope3(I36,_xlfn.XLOOKUP($E196,$D$123:$D$129,$E$123:$E$129), _xlfn.XLOOKUP($E196,$D$112:$D$118,$E$112:$E$118),I66,$F96)</f>
        <v>7.3879649999999986</v>
      </c>
      <c r="J196" s="2"/>
      <c r="N196" s="55"/>
      <c r="O196" s="55" t="str">
        <f>INDEX(X_Table_Swine_Stage2MMS_From_DeepLitter,3,1)</f>
        <v>Digester / covered lagoons</v>
      </c>
      <c r="P196" s="50" cm="1">
        <f t="array" aca="1" ref="P196" ca="1">MMS_Swine_ManureAppliedToSoils_Equations.VEERG_4_5_1_9__2_MassOfNitrogenAppliedToSoilsScope3(P36,_xlfn.XLOOKUP($O196,$D$123:$D$129,$E$123:$E$129), _xlfn.XLOOKUP($O196,$D$112:$D$118,$E$112:$E$118),P66,$F96)</f>
        <v>8.7140099999999983</v>
      </c>
      <c r="Q196" s="50" cm="1">
        <f t="array" aca="1" ref="Q196" ca="1">MMS_Swine_ManureAppliedToSoils_Equations.VEERG_4_5_1_9__2_MassOfNitrogenAppliedToSoilsScope3(Q36,_xlfn.XLOOKUP($O196,$D$123:$D$129,$E$123:$E$129), _xlfn.XLOOKUP($O196,$D$112:$D$118,$E$112:$E$118),Q66,$F96)</f>
        <v>11.602893750000002</v>
      </c>
      <c r="R196" s="50" cm="1">
        <f t="array" aca="1" ref="R196" ca="1">MMS_Swine_ManureAppliedToSoils_Equations.VEERG_4_5_1_9__2_MassOfNitrogenAppliedToSoilsScope3(R36,_xlfn.XLOOKUP($O196,$D$123:$D$129,$E$123:$E$129), _xlfn.XLOOKUP($O196,$D$112:$D$118,$E$112:$E$118),R66,$F96)</f>
        <v>10.892512499999997</v>
      </c>
      <c r="S196" s="50" cm="1">
        <f t="array" aca="1" ref="S196" ca="1">MMS_Swine_ManureAppliedToSoils_Equations.VEERG_4_5_1_9__2_MassOfNitrogenAppliedToSoilsScope3(S36,_xlfn.XLOOKUP($O196,$D$123:$D$129,$E$123:$E$129), _xlfn.XLOOKUP($O196,$D$112:$D$118,$E$112:$E$118),S66,$F96)</f>
        <v>7.3879649999999986</v>
      </c>
      <c r="T196" s="2"/>
    </row>
    <row r="197" spans="4:20" ht="20.100000000000001" customHeight="1" x14ac:dyDescent="0.25">
      <c r="D197" s="55"/>
      <c r="E197" s="55" t="str">
        <f>INDEX(X_Table_Swine_Stage2MMS_From_DeepLitter,4,1)</f>
        <v>Pit storage</v>
      </c>
      <c r="F197" s="50" cm="1">
        <f t="array" aca="1" ref="F197" ca="1">MMS_Swine_ManureAppliedToSoils_Equations.VEERG_4_5_1_9__2_MassOfNitrogenAppliedToSoilsScope3(F37,_xlfn.XLOOKUP($E197,$D$123:$D$129,$E$123:$E$129), _xlfn.XLOOKUP($E197,$D$112:$D$118,$E$112:$E$118),F67,$F97)</f>
        <v>6.518079479999999</v>
      </c>
      <c r="G197" s="50" cm="1">
        <f t="array" aca="1" ref="G197" ca="1">MMS_Swine_ManureAppliedToSoils_Equations.VEERG_4_5_1_9__2_MassOfNitrogenAppliedToSoilsScope3(G37,_xlfn.XLOOKUP($E197,$D$123:$D$129,$E$123:$E$129), _xlfn.XLOOKUP($E197,$D$112:$D$118,$E$112:$E$118),G67,$F97)</f>
        <v>8.6789645250000014</v>
      </c>
      <c r="H197" s="50" cm="1">
        <f t="array" aca="1" ref="H197" ca="1">MMS_Swine_ManureAppliedToSoils_Equations.VEERG_4_5_1_9__2_MassOfNitrogenAppliedToSoilsScope3(H37,_xlfn.XLOOKUP($E197,$D$123:$D$129,$E$123:$E$129), _xlfn.XLOOKUP($E197,$D$112:$D$118,$E$112:$E$118),H67,$F97)</f>
        <v>8.1475993499999984</v>
      </c>
      <c r="I197" s="50" cm="1">
        <f t="array" aca="1" ref="I197" ca="1">MMS_Swine_ManureAppliedToSoils_Equations.VEERG_4_5_1_9__2_MassOfNitrogenAppliedToSoilsScope3(I37,_xlfn.XLOOKUP($E197,$D$123:$D$129,$E$123:$E$129), _xlfn.XLOOKUP($E197,$D$112:$D$118,$E$112:$E$118),I67,$F97)</f>
        <v>5.5261978199999993</v>
      </c>
      <c r="J197" s="2"/>
      <c r="N197" s="55"/>
      <c r="O197" s="55" t="str">
        <f>INDEX(X_Table_Swine_Stage2MMS_From_DeepLitter,4,1)</f>
        <v>Pit storage</v>
      </c>
      <c r="P197" s="50" cm="1">
        <f t="array" aca="1" ref="P197" ca="1">MMS_Swine_ManureAppliedToSoils_Equations.VEERG_4_5_1_9__2_MassOfNitrogenAppliedToSoilsScope3(P37,_xlfn.XLOOKUP($O197,$D$123:$D$129,$E$123:$E$129), _xlfn.XLOOKUP($O197,$D$112:$D$118,$E$112:$E$118),P67,$F97)</f>
        <v>6.518079479999999</v>
      </c>
      <c r="Q197" s="50" cm="1">
        <f t="array" aca="1" ref="Q197" ca="1">MMS_Swine_ManureAppliedToSoils_Equations.VEERG_4_5_1_9__2_MassOfNitrogenAppliedToSoilsScope3(Q37,_xlfn.XLOOKUP($O197,$D$123:$D$129,$E$123:$E$129), _xlfn.XLOOKUP($O197,$D$112:$D$118,$E$112:$E$118),Q67,$F97)</f>
        <v>8.6789645250000014</v>
      </c>
      <c r="R197" s="50" cm="1">
        <f t="array" aca="1" ref="R197" ca="1">MMS_Swine_ManureAppliedToSoils_Equations.VEERG_4_5_1_9__2_MassOfNitrogenAppliedToSoilsScope3(R37,_xlfn.XLOOKUP($O197,$D$123:$D$129,$E$123:$E$129), _xlfn.XLOOKUP($O197,$D$112:$D$118,$E$112:$E$118),R67,$F97)</f>
        <v>8.1475993499999984</v>
      </c>
      <c r="S197" s="50" cm="1">
        <f t="array" aca="1" ref="S197" ca="1">MMS_Swine_ManureAppliedToSoils_Equations.VEERG_4_5_1_9__2_MassOfNitrogenAppliedToSoilsScope3(S37,_xlfn.XLOOKUP($O197,$D$123:$D$129,$E$123:$E$129), _xlfn.XLOOKUP($O197,$D$112:$D$118,$E$112:$E$118),S67,$F97)</f>
        <v>5.5261978199999993</v>
      </c>
      <c r="T197" s="2"/>
    </row>
    <row r="198" spans="4:20" ht="20.100000000000001" customHeight="1" x14ac:dyDescent="0.25">
      <c r="D198" s="55"/>
      <c r="E198" s="55" t="str">
        <f>INDEX(X_Table_Swine_Stage2MMS_From_DeepLitter,5,1)</f>
        <v>Direct application</v>
      </c>
      <c r="F198" s="50" cm="1">
        <f t="array" aca="1" ref="F198" ca="1">MMS_Swine_ManureAppliedToSoils_Equations.VEERG_4_5_1_9__2_MassOfNitrogenAppliedToSoilsScope3(F38,_xlfn.XLOOKUP($E198,$D$123:$D$129,$E$123:$E$129), _xlfn.XLOOKUP($E198,$D$112:$D$118,$E$112:$E$118),F68,$F98)</f>
        <v>0</v>
      </c>
      <c r="G198" s="50" cm="1">
        <f t="array" aca="1" ref="G198" ca="1">MMS_Swine_ManureAppliedToSoils_Equations.VEERG_4_5_1_9__2_MassOfNitrogenAppliedToSoilsScope3(G38,_xlfn.XLOOKUP($E198,$D$123:$D$129,$E$123:$E$129), _xlfn.XLOOKUP($E198,$D$112:$D$118,$E$112:$E$118),G68,$F98)</f>
        <v>0</v>
      </c>
      <c r="H198" s="50" cm="1">
        <f t="array" aca="1" ref="H198" ca="1">MMS_Swine_ManureAppliedToSoils_Equations.VEERG_4_5_1_9__2_MassOfNitrogenAppliedToSoilsScope3(H38,_xlfn.XLOOKUP($E198,$D$123:$D$129,$E$123:$E$129), _xlfn.XLOOKUP($E198,$D$112:$D$118,$E$112:$E$118),H68,$F98)</f>
        <v>0</v>
      </c>
      <c r="I198" s="50" cm="1">
        <f t="array" aca="1" ref="I198" ca="1">MMS_Swine_ManureAppliedToSoils_Equations.VEERG_4_5_1_9__2_MassOfNitrogenAppliedToSoilsScope3(I38,_xlfn.XLOOKUP($E198,$D$123:$D$129,$E$123:$E$129), _xlfn.XLOOKUP($E198,$D$112:$D$118,$E$112:$E$118),I68,$F98)</f>
        <v>0</v>
      </c>
      <c r="J198" s="2"/>
      <c r="N198" s="55"/>
      <c r="O198" s="55" t="str">
        <f>INDEX(X_Table_Swine_Stage2MMS_From_DeepLitter,5,1)</f>
        <v>Direct application</v>
      </c>
      <c r="P198" s="50" cm="1">
        <f t="array" aca="1" ref="P198" ca="1">MMS_Swine_ManureAppliedToSoils_Equations.VEERG_4_5_1_9__2_MassOfNitrogenAppliedToSoilsScope3(P38,_xlfn.XLOOKUP($O198,$D$123:$D$129,$E$123:$E$129), _xlfn.XLOOKUP($O198,$D$112:$D$118,$E$112:$E$118),P68,$F98)</f>
        <v>0</v>
      </c>
      <c r="Q198" s="50" cm="1">
        <f t="array" aca="1" ref="Q198" ca="1">MMS_Swine_ManureAppliedToSoils_Equations.VEERG_4_5_1_9__2_MassOfNitrogenAppliedToSoilsScope3(Q38,_xlfn.XLOOKUP($O198,$D$123:$D$129,$E$123:$E$129), _xlfn.XLOOKUP($O198,$D$112:$D$118,$E$112:$E$118),Q68,$F98)</f>
        <v>0</v>
      </c>
      <c r="R198" s="50" cm="1">
        <f t="array" aca="1" ref="R198" ca="1">MMS_Swine_ManureAppliedToSoils_Equations.VEERG_4_5_1_9__2_MassOfNitrogenAppliedToSoilsScope3(R38,_xlfn.XLOOKUP($O198,$D$123:$D$129,$E$123:$E$129), _xlfn.XLOOKUP($O198,$D$112:$D$118,$E$112:$E$118),R68,$F98)</f>
        <v>0</v>
      </c>
      <c r="S198" s="50" cm="1">
        <f t="array" aca="1" ref="S198" ca="1">MMS_Swine_ManureAppliedToSoils_Equations.VEERG_4_5_1_9__2_MassOfNitrogenAppliedToSoilsScope3(S38,_xlfn.XLOOKUP($O198,$D$123:$D$129,$E$123:$E$129), _xlfn.XLOOKUP($O198,$D$112:$D$118,$E$112:$E$118),S68,$F98)</f>
        <v>0</v>
      </c>
      <c r="T198" s="2"/>
    </row>
    <row r="199" spans="4:20" ht="20.100000000000001" customHeight="1" x14ac:dyDescent="0.25">
      <c r="D199" s="55" t="str">
        <f>INDEX(X_Table_Swine_Stage1MMS_PitStorage,2,1)</f>
        <v>Pit storage</v>
      </c>
      <c r="E199" s="55" t="str">
        <f>INDEX(X_Table_Swine_Stage2MMS_From_PitStorage,2,1)</f>
        <v>Anaerobic lagoon</v>
      </c>
      <c r="F199" s="50" cm="1">
        <f t="array" aca="1" ref="F199" ca="1">MMS_Swine_ManureAppliedToSoils_Equations.VEERG_4_5_1_9__2_MassOfNitrogenAppliedToSoilsScope3(F39,_xlfn.XLOOKUP($E199,$D$123:$D$129,$E$123:$E$129), _xlfn.XLOOKUP($E199,$D$112:$D$118,$E$112:$E$118),F69,$F99)</f>
        <v>3.3909083999999994</v>
      </c>
      <c r="G199" s="50" cm="1">
        <f t="array" aca="1" ref="G199" ca="1">MMS_Swine_ManureAppliedToSoils_Equations.VEERG_4_5_1_9__2_MassOfNitrogenAppliedToSoilsScope3(G39,_xlfn.XLOOKUP($E199,$D$123:$D$129,$E$123:$E$129), _xlfn.XLOOKUP($E199,$D$112:$D$118,$E$112:$E$118),G69,$F99)</f>
        <v>4.5150682499999997</v>
      </c>
      <c r="H199" s="50" cm="1">
        <f t="array" aca="1" ref="H199" ca="1">MMS_Swine_ManureAppliedToSoils_Equations.VEERG_4_5_1_9__2_MassOfNitrogenAppliedToSoilsScope3(H39,_xlfn.XLOOKUP($E199,$D$123:$D$129,$E$123:$E$129), _xlfn.XLOOKUP($E199,$D$112:$D$118,$E$112:$E$118),H69,$F99)</f>
        <v>4.2386354999999991</v>
      </c>
      <c r="I199" s="50" cm="1">
        <f t="array" aca="1" ref="I199" ca="1">MMS_Swine_ManureAppliedToSoils_Equations.VEERG_4_5_1_9__2_MassOfNitrogenAppliedToSoilsScope3(I39,_xlfn.XLOOKUP($E199,$D$123:$D$129,$E$123:$E$129), _xlfn.XLOOKUP($E199,$D$112:$D$118,$E$112:$E$118),I69,$F99)</f>
        <v>2.8749005999999993</v>
      </c>
      <c r="J199" s="2"/>
      <c r="N199" s="55" t="str">
        <f>INDEX(X_Table_Swine_Stage1MMS_PitStorage,2,1)</f>
        <v>Pit storage</v>
      </c>
      <c r="O199" s="55" t="str">
        <f>INDEX(X_Table_Swine_Stage2MMS_From_PitStorage,2,1)</f>
        <v>Anaerobic lagoon</v>
      </c>
      <c r="P199" s="50" cm="1">
        <f t="array" aca="1" ref="P199" ca="1">MMS_Swine_ManureAppliedToSoils_Equations.VEERG_4_5_1_9__2_MassOfNitrogenAppliedToSoilsScope3(P39,_xlfn.XLOOKUP($O199,$D$123:$D$129,$E$123:$E$129), _xlfn.XLOOKUP($O199,$D$112:$D$118,$E$112:$E$118),P69,$F99)</f>
        <v>3.3909083999999994</v>
      </c>
      <c r="Q199" s="50" cm="1">
        <f t="array" aca="1" ref="Q199" ca="1">MMS_Swine_ManureAppliedToSoils_Equations.VEERG_4_5_1_9__2_MassOfNitrogenAppliedToSoilsScope3(Q39,_xlfn.XLOOKUP($O199,$D$123:$D$129,$E$123:$E$129), _xlfn.XLOOKUP($O199,$D$112:$D$118,$E$112:$E$118),Q69,$F99)</f>
        <v>4.5150682499999997</v>
      </c>
      <c r="R199" s="50" cm="1">
        <f t="array" aca="1" ref="R199" ca="1">MMS_Swine_ManureAppliedToSoils_Equations.VEERG_4_5_1_9__2_MassOfNitrogenAppliedToSoilsScope3(R39,_xlfn.XLOOKUP($O199,$D$123:$D$129,$E$123:$E$129), _xlfn.XLOOKUP($O199,$D$112:$D$118,$E$112:$E$118),R69,$F99)</f>
        <v>4.2386354999999991</v>
      </c>
      <c r="S199" s="50" cm="1">
        <f t="array" aca="1" ref="S199" ca="1">MMS_Swine_ManureAppliedToSoils_Equations.VEERG_4_5_1_9__2_MassOfNitrogenAppliedToSoilsScope3(S39,_xlfn.XLOOKUP($O199,$D$123:$D$129,$E$123:$E$129), _xlfn.XLOOKUP($O199,$D$112:$D$118,$E$112:$E$118),S69,$F99)</f>
        <v>2.8749005999999993</v>
      </c>
      <c r="T199" s="2"/>
    </row>
    <row r="200" spans="4:20" ht="20.100000000000001" customHeight="1" x14ac:dyDescent="0.25">
      <c r="D200" s="55"/>
      <c r="E200" s="55" t="str">
        <f>INDEX(X_Table_Swine_Stage2MMS_From_PitStorage,3,1)</f>
        <v>Digester / covered lagoons</v>
      </c>
      <c r="F200" s="50" cm="1">
        <f t="array" aca="1" ref="F200" ca="1">MMS_Swine_ManureAppliedToSoils_Equations.VEERG_4_5_1_9__2_MassOfNitrogenAppliedToSoilsScope3(F40,_xlfn.XLOOKUP($E200,$D$123:$D$129,$E$123:$E$129), _xlfn.XLOOKUP($E200,$D$112:$D$118,$E$112:$E$118),F70,$F100)</f>
        <v>7.5353519999999996</v>
      </c>
      <c r="G200" s="50" cm="1">
        <f t="array" aca="1" ref="G200" ca="1">MMS_Swine_ManureAppliedToSoils_Equations.VEERG_4_5_1_9__2_MassOfNitrogenAppliedToSoilsScope3(G40,_xlfn.XLOOKUP($E200,$D$123:$D$129,$E$123:$E$129), _xlfn.XLOOKUP($E200,$D$112:$D$118,$E$112:$E$118),G70,$F100)</f>
        <v>10.033485000000001</v>
      </c>
      <c r="H200" s="50" cm="1">
        <f t="array" aca="1" ref="H200" ca="1">MMS_Swine_ManureAppliedToSoils_Equations.VEERG_4_5_1_9__2_MassOfNitrogenAppliedToSoilsScope3(H40,_xlfn.XLOOKUP($E200,$D$123:$D$129,$E$123:$E$129), _xlfn.XLOOKUP($E200,$D$112:$D$118,$E$112:$E$118),H70,$F100)</f>
        <v>9.4191899999999986</v>
      </c>
      <c r="I200" s="50" cm="1">
        <f t="array" aca="1" ref="I200" ca="1">MMS_Swine_ManureAppliedToSoils_Equations.VEERG_4_5_1_9__2_MassOfNitrogenAppliedToSoilsScope3(I40,_xlfn.XLOOKUP($E200,$D$123:$D$129,$E$123:$E$129), _xlfn.XLOOKUP($E200,$D$112:$D$118,$E$112:$E$118),I70,$F100)</f>
        <v>6.3886679999999991</v>
      </c>
      <c r="J200" s="2"/>
      <c r="N200" s="55"/>
      <c r="O200" s="55" t="str">
        <f>INDEX(X_Table_Swine_Stage2MMS_From_PitStorage,3,1)</f>
        <v>Digester / covered lagoons</v>
      </c>
      <c r="P200" s="50" cm="1">
        <f t="array" aca="1" ref="P200" ca="1">MMS_Swine_ManureAppliedToSoils_Equations.VEERG_4_5_1_9__2_MassOfNitrogenAppliedToSoilsScope3(P40,_xlfn.XLOOKUP($O200,$D$123:$D$129,$E$123:$E$129), _xlfn.XLOOKUP($O200,$D$112:$D$118,$E$112:$E$118),P70,$F100)</f>
        <v>7.5353519999999996</v>
      </c>
      <c r="Q200" s="50" cm="1">
        <f t="array" aca="1" ref="Q200" ca="1">MMS_Swine_ManureAppliedToSoils_Equations.VEERG_4_5_1_9__2_MassOfNitrogenAppliedToSoilsScope3(Q40,_xlfn.XLOOKUP($O200,$D$123:$D$129,$E$123:$E$129), _xlfn.XLOOKUP($O200,$D$112:$D$118,$E$112:$E$118),Q70,$F100)</f>
        <v>10.033485000000001</v>
      </c>
      <c r="R200" s="50" cm="1">
        <f t="array" aca="1" ref="R200" ca="1">MMS_Swine_ManureAppliedToSoils_Equations.VEERG_4_5_1_9__2_MassOfNitrogenAppliedToSoilsScope3(R40,_xlfn.XLOOKUP($O200,$D$123:$D$129,$E$123:$E$129), _xlfn.XLOOKUP($O200,$D$112:$D$118,$E$112:$E$118),R70,$F100)</f>
        <v>9.4191899999999986</v>
      </c>
      <c r="S200" s="50" cm="1">
        <f t="array" aca="1" ref="S200" ca="1">MMS_Swine_ManureAppliedToSoils_Equations.VEERG_4_5_1_9__2_MassOfNitrogenAppliedToSoilsScope3(S40,_xlfn.XLOOKUP($O200,$D$123:$D$129,$E$123:$E$129), _xlfn.XLOOKUP($O200,$D$112:$D$118,$E$112:$E$118),S70,$F100)</f>
        <v>6.3886679999999991</v>
      </c>
      <c r="T200" s="2"/>
    </row>
    <row r="201" spans="4:20" ht="20.100000000000001" customHeight="1" x14ac:dyDescent="0.25">
      <c r="D201" s="55"/>
      <c r="E201" s="55" t="str">
        <f>INDEX(X_Table_Swine_Stage2MMS_From_PitStorage,4,1)</f>
        <v>Deep litter</v>
      </c>
      <c r="F201" s="50" cm="1">
        <f t="array" aca="1" ref="F201" ca="1">MMS_Swine_ManureAppliedToSoils_Equations.VEERG_4_5_1_9__2_MassOfNitrogenAppliedToSoilsScope3(F41,_xlfn.XLOOKUP($E201,$D$123:$D$129,$E$123:$E$129), _xlfn.XLOOKUP($E201,$D$112:$D$118,$E$112:$E$118),F71,$F101)</f>
        <v>6.5180794799999999</v>
      </c>
      <c r="G201" s="50" cm="1">
        <f t="array" aca="1" ref="G201" ca="1">MMS_Swine_ManureAppliedToSoils_Equations.VEERG_4_5_1_9__2_MassOfNitrogenAppliedToSoilsScope3(G41,_xlfn.XLOOKUP($E201,$D$123:$D$129,$E$123:$E$129), _xlfn.XLOOKUP($E201,$D$112:$D$118,$E$112:$E$118),G71,$F101)</f>
        <v>8.6789645249999996</v>
      </c>
      <c r="H201" s="50" cm="1">
        <f t="array" aca="1" ref="H201" ca="1">MMS_Swine_ManureAppliedToSoils_Equations.VEERG_4_5_1_9__2_MassOfNitrogenAppliedToSoilsScope3(H41,_xlfn.XLOOKUP($E201,$D$123:$D$129,$E$123:$E$129), _xlfn.XLOOKUP($E201,$D$112:$D$118,$E$112:$E$118),H71,$F101)</f>
        <v>8.1475993499999984</v>
      </c>
      <c r="I201" s="50" cm="1">
        <f t="array" aca="1" ref="I201" ca="1">MMS_Swine_ManureAppliedToSoils_Equations.VEERG_4_5_1_9__2_MassOfNitrogenAppliedToSoilsScope3(I41,_xlfn.XLOOKUP($E201,$D$123:$D$129,$E$123:$E$129), _xlfn.XLOOKUP($E201,$D$112:$D$118,$E$112:$E$118),I71,$F101)</f>
        <v>5.5261978199999993</v>
      </c>
      <c r="J201" s="2"/>
      <c r="N201" s="55"/>
      <c r="O201" s="55" t="str">
        <f>INDEX(X_Table_Swine_Stage2MMS_From_PitStorage,4,1)</f>
        <v>Deep litter</v>
      </c>
      <c r="P201" s="50" cm="1">
        <f t="array" aca="1" ref="P201" ca="1">MMS_Swine_ManureAppliedToSoils_Equations.VEERG_4_5_1_9__2_MassOfNitrogenAppliedToSoilsScope3(P41,_xlfn.XLOOKUP($O201,$D$123:$D$129,$E$123:$E$129), _xlfn.XLOOKUP($O201,$D$112:$D$118,$E$112:$E$118),P71,$F101)</f>
        <v>6.5180794799999999</v>
      </c>
      <c r="Q201" s="50" cm="1">
        <f t="array" aca="1" ref="Q201" ca="1">MMS_Swine_ManureAppliedToSoils_Equations.VEERG_4_5_1_9__2_MassOfNitrogenAppliedToSoilsScope3(Q41,_xlfn.XLOOKUP($O201,$D$123:$D$129,$E$123:$E$129), _xlfn.XLOOKUP($O201,$D$112:$D$118,$E$112:$E$118),Q71,$F101)</f>
        <v>8.6789645249999996</v>
      </c>
      <c r="R201" s="50" cm="1">
        <f t="array" aca="1" ref="R201" ca="1">MMS_Swine_ManureAppliedToSoils_Equations.VEERG_4_5_1_9__2_MassOfNitrogenAppliedToSoilsScope3(R41,_xlfn.XLOOKUP($O201,$D$123:$D$129,$E$123:$E$129), _xlfn.XLOOKUP($O201,$D$112:$D$118,$E$112:$E$118),R71,$F101)</f>
        <v>8.1475993499999984</v>
      </c>
      <c r="S201" s="50" cm="1">
        <f t="array" aca="1" ref="S201" ca="1">MMS_Swine_ManureAppliedToSoils_Equations.VEERG_4_5_1_9__2_MassOfNitrogenAppliedToSoilsScope3(S41,_xlfn.XLOOKUP($O201,$D$123:$D$129,$E$123:$E$129), _xlfn.XLOOKUP($O201,$D$112:$D$118,$E$112:$E$118),S71,$F101)</f>
        <v>5.5261978199999993</v>
      </c>
      <c r="T201" s="2"/>
    </row>
    <row r="202" spans="4:20" ht="20.100000000000001" customHeight="1" x14ac:dyDescent="0.25">
      <c r="D202" s="55"/>
      <c r="E202" s="55" t="str">
        <f>INDEX(X_Table_Swine_Stage2MMS_From_PitStorage,5,1)</f>
        <v>Direct application</v>
      </c>
      <c r="F202" s="50" cm="1">
        <f t="array" aca="1" ref="F202" ca="1">MMS_Swine_ManureAppliedToSoils_Equations.VEERG_4_5_1_9__2_MassOfNitrogenAppliedToSoilsScope3(F42,_xlfn.XLOOKUP($E202,$D$123:$D$129,$E$123:$E$129), _xlfn.XLOOKUP($E202,$D$112:$D$118,$E$112:$E$118),F72,$F102)</f>
        <v>0</v>
      </c>
      <c r="G202" s="50" cm="1">
        <f t="array" aca="1" ref="G202" ca="1">MMS_Swine_ManureAppliedToSoils_Equations.VEERG_4_5_1_9__2_MassOfNitrogenAppliedToSoilsScope3(G42,_xlfn.XLOOKUP($E202,$D$123:$D$129,$E$123:$E$129), _xlfn.XLOOKUP($E202,$D$112:$D$118,$E$112:$E$118),G72,$F102)</f>
        <v>0</v>
      </c>
      <c r="H202" s="50" cm="1">
        <f t="array" aca="1" ref="H202" ca="1">MMS_Swine_ManureAppliedToSoils_Equations.VEERG_4_5_1_9__2_MassOfNitrogenAppliedToSoilsScope3(H42,_xlfn.XLOOKUP($E202,$D$123:$D$129,$E$123:$E$129), _xlfn.XLOOKUP($E202,$D$112:$D$118,$E$112:$E$118),H72,$F102)</f>
        <v>0</v>
      </c>
      <c r="I202" s="50" cm="1">
        <f t="array" aca="1" ref="I202" ca="1">MMS_Swine_ManureAppliedToSoils_Equations.VEERG_4_5_1_9__2_MassOfNitrogenAppliedToSoilsScope3(I42,_xlfn.XLOOKUP($E202,$D$123:$D$129,$E$123:$E$129), _xlfn.XLOOKUP($E202,$D$112:$D$118,$E$112:$E$118),I72,$F102)</f>
        <v>0</v>
      </c>
      <c r="J202" s="2"/>
      <c r="N202" s="55"/>
      <c r="O202" s="55" t="str">
        <f>INDEX(X_Table_Swine_Stage2MMS_From_PitStorage,5,1)</f>
        <v>Direct application</v>
      </c>
      <c r="P202" s="50" cm="1">
        <f t="array" aca="1" ref="P202" ca="1">MMS_Swine_ManureAppliedToSoils_Equations.VEERG_4_5_1_9__2_MassOfNitrogenAppliedToSoilsScope3(P42,_xlfn.XLOOKUP($O202,$D$123:$D$129,$E$123:$E$129), _xlfn.XLOOKUP($O202,$D$112:$D$118,$E$112:$E$118),P72,$F102)</f>
        <v>0</v>
      </c>
      <c r="Q202" s="50" cm="1">
        <f t="array" aca="1" ref="Q202" ca="1">MMS_Swine_ManureAppliedToSoils_Equations.VEERG_4_5_1_9__2_MassOfNitrogenAppliedToSoilsScope3(Q42,_xlfn.XLOOKUP($O202,$D$123:$D$129,$E$123:$E$129), _xlfn.XLOOKUP($O202,$D$112:$D$118,$E$112:$E$118),Q72,$F102)</f>
        <v>0</v>
      </c>
      <c r="R202" s="50" cm="1">
        <f t="array" aca="1" ref="R202" ca="1">MMS_Swine_ManureAppliedToSoils_Equations.VEERG_4_5_1_9__2_MassOfNitrogenAppliedToSoilsScope3(R42,_xlfn.XLOOKUP($O202,$D$123:$D$129,$E$123:$E$129), _xlfn.XLOOKUP($O202,$D$112:$D$118,$E$112:$E$118),R72,$F102)</f>
        <v>0</v>
      </c>
      <c r="S202" s="50" cm="1">
        <f t="array" aca="1" ref="S202" ca="1">MMS_Swine_ManureAppliedToSoils_Equations.VEERG_4_5_1_9__2_MassOfNitrogenAppliedToSoilsScope3(S42,_xlfn.XLOOKUP($O202,$D$123:$D$129,$E$123:$E$129), _xlfn.XLOOKUP($O202,$D$112:$D$118,$E$112:$E$118),S72,$F102)</f>
        <v>0</v>
      </c>
      <c r="T202" s="2"/>
    </row>
    <row r="203" spans="4:20" ht="20.100000000000001" customHeight="1" x14ac:dyDescent="0.25">
      <c r="D203" s="55" t="s">
        <v>346</v>
      </c>
      <c r="E203" s="55" t="str">
        <f>INDEX(X_Table_Swine_Stage2MMS_From_SolidStorage,2,1)</f>
        <v>Anaerobic lagoon</v>
      </c>
      <c r="F203" s="50" cm="1">
        <f t="array" aca="1" ref="F203" ca="1">MMS_Swine_ManureAppliedToSoils_Equations.VEERG_4_5_1_9__2_MassOfNitrogenAppliedToSoilsScope3(F43,_xlfn.XLOOKUP($E203,$D$123:$D$129,$E$123:$E$129), _xlfn.XLOOKUP($E203,$D$112:$D$118,$E$112:$E$118),F73,$F103)</f>
        <v>12.013245000000003</v>
      </c>
      <c r="G203" s="50" cm="1">
        <f t="array" aca="1" ref="G203" ca="1">MMS_Swine_ManureAppliedToSoils_Equations.VEERG_4_5_1_9__2_MassOfNitrogenAppliedToSoilsScope3(G43,_xlfn.XLOOKUP($E203,$D$123:$D$129,$E$123:$E$129), _xlfn.XLOOKUP($E203,$D$112:$D$118,$E$112:$E$118),G73,$F103)</f>
        <v>12.796717500000007</v>
      </c>
      <c r="H203" s="50" cm="1">
        <f t="array" aca="1" ref="H203" ca="1">MMS_Swine_ManureAppliedToSoils_Equations.VEERG_4_5_1_9__2_MassOfNitrogenAppliedToSoilsScope3(H43,_xlfn.XLOOKUP($E203,$D$123:$D$129,$E$123:$E$129), _xlfn.XLOOKUP($E203,$D$112:$D$118,$E$112:$E$118),H73,$F103)</f>
        <v>12.013245000000003</v>
      </c>
      <c r="I203" s="50" cm="1">
        <f t="array" aca="1" ref="I203" ca="1">MMS_Swine_ManureAppliedToSoils_Equations.VEERG_4_5_1_9__2_MassOfNitrogenAppliedToSoilsScope3(I43,_xlfn.XLOOKUP($E203,$D$123:$D$129,$E$123:$E$129), _xlfn.XLOOKUP($E203,$D$112:$D$118,$E$112:$E$118),I73,$F103)</f>
        <v>8.1481140000000032</v>
      </c>
      <c r="J203" s="2"/>
      <c r="N203" s="55" t="s">
        <v>346</v>
      </c>
      <c r="O203" s="55" t="str">
        <f>INDEX(X_Table_Swine_Stage2MMS_From_SolidStorage,2,1)</f>
        <v>Anaerobic lagoon</v>
      </c>
      <c r="P203" s="50" cm="1">
        <f t="array" aca="1" ref="P203" ca="1">MMS_Swine_ManureAppliedToSoils_Equations.VEERG_4_5_1_9__2_MassOfNitrogenAppliedToSoilsScope3(P43,_xlfn.XLOOKUP($O203,$D$123:$D$129,$E$123:$E$129), _xlfn.XLOOKUP($O203,$D$112:$D$118,$E$112:$E$118),P73,$F103)</f>
        <v>12.013245000000003</v>
      </c>
      <c r="Q203" s="50" cm="1">
        <f t="array" aca="1" ref="Q203" ca="1">MMS_Swine_ManureAppliedToSoils_Equations.VEERG_4_5_1_9__2_MassOfNitrogenAppliedToSoilsScope3(Q43,_xlfn.XLOOKUP($O203,$D$123:$D$129,$E$123:$E$129), _xlfn.XLOOKUP($O203,$D$112:$D$118,$E$112:$E$118),Q73,$F103)</f>
        <v>12.796717500000007</v>
      </c>
      <c r="R203" s="50" cm="1">
        <f t="array" aca="1" ref="R203" ca="1">MMS_Swine_ManureAppliedToSoils_Equations.VEERG_4_5_1_9__2_MassOfNitrogenAppliedToSoilsScope3(R43,_xlfn.XLOOKUP($O203,$D$123:$D$129,$E$123:$E$129), _xlfn.XLOOKUP($O203,$D$112:$D$118,$E$112:$E$118),R73,$F103)</f>
        <v>12.013245000000003</v>
      </c>
      <c r="S203" s="50" cm="1">
        <f t="array" aca="1" ref="S203" ca="1">MMS_Swine_ManureAppliedToSoils_Equations.VEERG_4_5_1_9__2_MassOfNitrogenAppliedToSoilsScope3(S43,_xlfn.XLOOKUP($O203,$D$123:$D$129,$E$123:$E$129), _xlfn.XLOOKUP($O203,$D$112:$D$118,$E$112:$E$118),S73,$F103)</f>
        <v>8.1481140000000032</v>
      </c>
      <c r="T203" s="2"/>
    </row>
    <row r="204" spans="4:20" ht="20.100000000000001" customHeight="1" x14ac:dyDescent="0.25">
      <c r="D204" s="55"/>
      <c r="E204" s="55" t="str">
        <f>INDEX(X_Table_Swine_Stage2MMS_From_SolidStorage,3,1)</f>
        <v>Digester / covered lagoons</v>
      </c>
      <c r="F204" s="50" cm="1">
        <f t="array" aca="1" ref="F204" ca="1">MMS_Swine_ManureAppliedToSoils_Equations.VEERG_4_5_1_9__2_MassOfNitrogenAppliedToSoilsScope3(F44,_xlfn.XLOOKUP($E204,$D$123:$D$129,$E$123:$E$129), _xlfn.XLOOKUP($E204,$D$112:$D$118,$E$112:$E$118),F74,$F104)</f>
        <v>26.696100000000008</v>
      </c>
      <c r="G204" s="50" cm="1">
        <f t="array" aca="1" ref="G204" ca="1">MMS_Swine_ManureAppliedToSoils_Equations.VEERG_4_5_1_9__2_MassOfNitrogenAppliedToSoilsScope3(G44,_xlfn.XLOOKUP($E204,$D$123:$D$129,$E$123:$E$129), _xlfn.XLOOKUP($E204,$D$112:$D$118,$E$112:$E$118),G74,$F104)</f>
        <v>28.437150000000017</v>
      </c>
      <c r="H204" s="50" cm="1">
        <f t="array" aca="1" ref="H204" ca="1">MMS_Swine_ManureAppliedToSoils_Equations.VEERG_4_5_1_9__2_MassOfNitrogenAppliedToSoilsScope3(H44,_xlfn.XLOOKUP($E204,$D$123:$D$129,$E$123:$E$129), _xlfn.XLOOKUP($E204,$D$112:$D$118,$E$112:$E$118),H74,$F104)</f>
        <v>26.696100000000008</v>
      </c>
      <c r="I204" s="50" cm="1">
        <f t="array" aca="1" ref="I204" ca="1">MMS_Swine_ManureAppliedToSoils_Equations.VEERG_4_5_1_9__2_MassOfNitrogenAppliedToSoilsScope3(I44,_xlfn.XLOOKUP($E204,$D$123:$D$129,$E$123:$E$129), _xlfn.XLOOKUP($E204,$D$112:$D$118,$E$112:$E$118),I74,$F104)</f>
        <v>18.106920000000009</v>
      </c>
      <c r="J204" s="2"/>
      <c r="N204" s="55"/>
      <c r="O204" s="55" t="str">
        <f>INDEX(X_Table_Swine_Stage2MMS_From_SolidStorage,3,1)</f>
        <v>Digester / covered lagoons</v>
      </c>
      <c r="P204" s="50" cm="1">
        <f t="array" aca="1" ref="P204" ca="1">MMS_Swine_ManureAppliedToSoils_Equations.VEERG_4_5_1_9__2_MassOfNitrogenAppliedToSoilsScope3(P44,_xlfn.XLOOKUP($O204,$D$123:$D$129,$E$123:$E$129), _xlfn.XLOOKUP($O204,$D$112:$D$118,$E$112:$E$118),P74,$F104)</f>
        <v>26.696100000000008</v>
      </c>
      <c r="Q204" s="50" cm="1">
        <f t="array" aca="1" ref="Q204" ca="1">MMS_Swine_ManureAppliedToSoils_Equations.VEERG_4_5_1_9__2_MassOfNitrogenAppliedToSoilsScope3(Q44,_xlfn.XLOOKUP($O204,$D$123:$D$129,$E$123:$E$129), _xlfn.XLOOKUP($O204,$D$112:$D$118,$E$112:$E$118),Q74,$F104)</f>
        <v>28.437150000000017</v>
      </c>
      <c r="R204" s="50" cm="1">
        <f t="array" aca="1" ref="R204" ca="1">MMS_Swine_ManureAppliedToSoils_Equations.VEERG_4_5_1_9__2_MassOfNitrogenAppliedToSoilsScope3(R44,_xlfn.XLOOKUP($O204,$D$123:$D$129,$E$123:$E$129), _xlfn.XLOOKUP($O204,$D$112:$D$118,$E$112:$E$118),R74,$F104)</f>
        <v>26.696100000000008</v>
      </c>
      <c r="S204" s="50" cm="1">
        <f t="array" aca="1" ref="S204" ca="1">MMS_Swine_ManureAppliedToSoils_Equations.VEERG_4_5_1_9__2_MassOfNitrogenAppliedToSoilsScope3(S44,_xlfn.XLOOKUP($O204,$D$123:$D$129,$E$123:$E$129), _xlfn.XLOOKUP($O204,$D$112:$D$118,$E$112:$E$118),S74,$F104)</f>
        <v>18.106920000000009</v>
      </c>
      <c r="T204" s="2"/>
    </row>
    <row r="205" spans="4:20" ht="20.100000000000001" customHeight="1" x14ac:dyDescent="0.25">
      <c r="D205" s="55"/>
      <c r="E205" s="55" t="str">
        <f>INDEX(X_Table_Swine_Stage2MMS_From_SolidStorage,4,1)</f>
        <v>Deep litter</v>
      </c>
      <c r="F205" s="50" cm="1">
        <f t="array" aca="1" ref="F205" ca="1">MMS_Swine_ManureAppliedToSoils_Equations.VEERG_4_5_1_9__2_MassOfNitrogenAppliedToSoilsScope3(F45,_xlfn.XLOOKUP($E205,$D$123:$D$129,$E$123:$E$129), _xlfn.XLOOKUP($E205,$D$112:$D$118,$E$112:$E$118),F75,$F105)</f>
        <v>23.092126500000006</v>
      </c>
      <c r="G205" s="50" cm="1">
        <f t="array" aca="1" ref="G205" ca="1">MMS_Swine_ManureAppliedToSoils_Equations.VEERG_4_5_1_9__2_MassOfNitrogenAppliedToSoilsScope3(G45,_xlfn.XLOOKUP($E205,$D$123:$D$129,$E$123:$E$129), _xlfn.XLOOKUP($E205,$D$112:$D$118,$E$112:$E$118),G75,$F105)</f>
        <v>24.598134750000014</v>
      </c>
      <c r="H205" s="50" cm="1">
        <f t="array" aca="1" ref="H205" ca="1">MMS_Swine_ManureAppliedToSoils_Equations.VEERG_4_5_1_9__2_MassOfNitrogenAppliedToSoilsScope3(H45,_xlfn.XLOOKUP($E205,$D$123:$D$129,$E$123:$E$129), _xlfn.XLOOKUP($E205,$D$112:$D$118,$E$112:$E$118),H75,$F105)</f>
        <v>23.092126500000006</v>
      </c>
      <c r="I205" s="50" cm="1">
        <f t="array" aca="1" ref="I205" ca="1">MMS_Swine_ManureAppliedToSoils_Equations.VEERG_4_5_1_9__2_MassOfNitrogenAppliedToSoilsScope3(I45,_xlfn.XLOOKUP($E205,$D$123:$D$129,$E$123:$E$129), _xlfn.XLOOKUP($E205,$D$112:$D$118,$E$112:$E$118),I75,$F105)</f>
        <v>15.662485800000008</v>
      </c>
      <c r="J205" s="2"/>
      <c r="N205" s="55"/>
      <c r="O205" s="55" t="str">
        <f>INDEX(X_Table_Swine_Stage2MMS_From_SolidStorage,4,1)</f>
        <v>Deep litter</v>
      </c>
      <c r="P205" s="50" cm="1">
        <f t="array" aca="1" ref="P205" ca="1">MMS_Swine_ManureAppliedToSoils_Equations.VEERG_4_5_1_9__2_MassOfNitrogenAppliedToSoilsScope3(P45,_xlfn.XLOOKUP($O205,$D$123:$D$129,$E$123:$E$129), _xlfn.XLOOKUP($O205,$D$112:$D$118,$E$112:$E$118),P75,$F105)</f>
        <v>23.092126500000006</v>
      </c>
      <c r="Q205" s="50" cm="1">
        <f t="array" aca="1" ref="Q205" ca="1">MMS_Swine_ManureAppliedToSoils_Equations.VEERG_4_5_1_9__2_MassOfNitrogenAppliedToSoilsScope3(Q45,_xlfn.XLOOKUP($O205,$D$123:$D$129,$E$123:$E$129), _xlfn.XLOOKUP($O205,$D$112:$D$118,$E$112:$E$118),Q75,$F105)</f>
        <v>24.598134750000014</v>
      </c>
      <c r="R205" s="50" cm="1">
        <f t="array" aca="1" ref="R205" ca="1">MMS_Swine_ManureAppliedToSoils_Equations.VEERG_4_5_1_9__2_MassOfNitrogenAppliedToSoilsScope3(R45,_xlfn.XLOOKUP($O205,$D$123:$D$129,$E$123:$E$129), _xlfn.XLOOKUP($O205,$D$112:$D$118,$E$112:$E$118),R75,$F105)</f>
        <v>23.092126500000006</v>
      </c>
      <c r="S205" s="50" cm="1">
        <f t="array" aca="1" ref="S205" ca="1">MMS_Swine_ManureAppliedToSoils_Equations.VEERG_4_5_1_9__2_MassOfNitrogenAppliedToSoilsScope3(S45,_xlfn.XLOOKUP($O205,$D$123:$D$129,$E$123:$E$129), _xlfn.XLOOKUP($O205,$D$112:$D$118,$E$112:$E$118),S75,$F105)</f>
        <v>15.662485800000008</v>
      </c>
      <c r="T205" s="2"/>
    </row>
    <row r="206" spans="4:20" ht="20.100000000000001" customHeight="1" x14ac:dyDescent="0.25">
      <c r="D206" s="55"/>
      <c r="E206" s="55" t="str">
        <f>INDEX(X_Table_Swine_Stage2MMS_From_SolidStorage,5,1)</f>
        <v>Pit storage</v>
      </c>
      <c r="F206" s="50" cm="1">
        <f t="array" aca="1" ref="F206" ca="1">MMS_Swine_ManureAppliedToSoils_Equations.VEERG_4_5_1_9__2_MassOfNitrogenAppliedToSoilsScope3(F46,_xlfn.XLOOKUP($E206,$D$123:$D$129,$E$123:$E$129), _xlfn.XLOOKUP($E206,$D$112:$D$118,$E$112:$E$118),F76,$F106)</f>
        <v>9.9843414000000035</v>
      </c>
      <c r="G206" s="50" cm="1">
        <f t="array" aca="1" ref="G206" ca="1">MMS_Swine_ManureAppliedToSoils_Equations.VEERG_4_5_1_9__2_MassOfNitrogenAppliedToSoilsScope3(G46,_xlfn.XLOOKUP($E206,$D$123:$D$129,$E$123:$E$129), _xlfn.XLOOKUP($E206,$D$112:$D$118,$E$112:$E$118),G76,$F106)</f>
        <v>10.635494100000006</v>
      </c>
      <c r="H206" s="50" cm="1">
        <f t="array" aca="1" ref="H206" ca="1">MMS_Swine_ManureAppliedToSoils_Equations.VEERG_4_5_1_9__2_MassOfNitrogenAppliedToSoilsScope3(H46,_xlfn.XLOOKUP($E206,$D$123:$D$129,$E$123:$E$129), _xlfn.XLOOKUP($E206,$D$112:$D$118,$E$112:$E$118),H76,$F106)</f>
        <v>9.9843414000000035</v>
      </c>
      <c r="I206" s="50" cm="1">
        <f t="array" aca="1" ref="I206" ca="1">MMS_Swine_ManureAppliedToSoils_Equations.VEERG_4_5_1_9__2_MassOfNitrogenAppliedToSoilsScope3(I46,_xlfn.XLOOKUP($E206,$D$123:$D$129,$E$123:$E$129), _xlfn.XLOOKUP($E206,$D$112:$D$118,$E$112:$E$118),I76,$F106)</f>
        <v>6.7719880800000034</v>
      </c>
      <c r="J206" s="2"/>
      <c r="N206" s="55"/>
      <c r="O206" s="55" t="str">
        <f>INDEX(X_Table_Swine_Stage2MMS_From_SolidStorage,5,1)</f>
        <v>Pit storage</v>
      </c>
      <c r="P206" s="50" cm="1">
        <f t="array" aca="1" ref="P206" ca="1">MMS_Swine_ManureAppliedToSoils_Equations.VEERG_4_5_1_9__2_MassOfNitrogenAppliedToSoilsScope3(P46,_xlfn.XLOOKUP($O206,$D$123:$D$129,$E$123:$E$129), _xlfn.XLOOKUP($O206,$D$112:$D$118,$E$112:$E$118),P76,$F106)</f>
        <v>9.9843414000000035</v>
      </c>
      <c r="Q206" s="50" cm="1">
        <f t="array" aca="1" ref="Q206" ca="1">MMS_Swine_ManureAppliedToSoils_Equations.VEERG_4_5_1_9__2_MassOfNitrogenAppliedToSoilsScope3(Q46,_xlfn.XLOOKUP($O206,$D$123:$D$129,$E$123:$E$129), _xlfn.XLOOKUP($O206,$D$112:$D$118,$E$112:$E$118),Q76,$F106)</f>
        <v>10.635494100000006</v>
      </c>
      <c r="R206" s="50" cm="1">
        <f t="array" aca="1" ref="R206" ca="1">MMS_Swine_ManureAppliedToSoils_Equations.VEERG_4_5_1_9__2_MassOfNitrogenAppliedToSoilsScope3(R46,_xlfn.XLOOKUP($O206,$D$123:$D$129,$E$123:$E$129), _xlfn.XLOOKUP($O206,$D$112:$D$118,$E$112:$E$118),R76,$F106)</f>
        <v>9.9843414000000035</v>
      </c>
      <c r="S206" s="50" cm="1">
        <f t="array" aca="1" ref="S206" ca="1">MMS_Swine_ManureAppliedToSoils_Equations.VEERG_4_5_1_9__2_MassOfNitrogenAppliedToSoilsScope3(S46,_xlfn.XLOOKUP($O206,$D$123:$D$129,$E$123:$E$129), _xlfn.XLOOKUP($O206,$D$112:$D$118,$E$112:$E$118),S76,$F106)</f>
        <v>6.7719880800000034</v>
      </c>
      <c r="T206" s="2"/>
    </row>
    <row r="207" spans="4:20" ht="20.100000000000001" customHeight="1" x14ac:dyDescent="0.25">
      <c r="D207" s="55"/>
      <c r="E207" s="55" t="str">
        <f>INDEX(X_Table_Swine_Stage2MMS_From_SolidStorage,6,1)</f>
        <v>Direct application</v>
      </c>
      <c r="F207" s="50" cm="1">
        <f t="array" aca="1" ref="F207" ca="1">MMS_Swine_ManureAppliedToSoils_Equations.VEERG_4_5_1_9__2_MassOfNitrogenAppliedToSoilsScope3(F47,_xlfn.XLOOKUP($E207,$D$123:$D$129,$E$123:$E$129), _xlfn.XLOOKUP($E207,$D$112:$D$118,$E$112:$E$118),F77,$F107)</f>
        <v>0</v>
      </c>
      <c r="G207" s="50" cm="1">
        <f t="array" aca="1" ref="G207" ca="1">MMS_Swine_ManureAppliedToSoils_Equations.VEERG_4_5_1_9__2_MassOfNitrogenAppliedToSoilsScope3(G47,_xlfn.XLOOKUP($E207,$D$123:$D$129,$E$123:$E$129), _xlfn.XLOOKUP($E207,$D$112:$D$118,$E$112:$E$118),G77,$F107)</f>
        <v>0</v>
      </c>
      <c r="H207" s="50" cm="1">
        <f t="array" aca="1" ref="H207" ca="1">MMS_Swine_ManureAppliedToSoils_Equations.VEERG_4_5_1_9__2_MassOfNitrogenAppliedToSoilsScope3(H47,_xlfn.XLOOKUP($E207,$D$123:$D$129,$E$123:$E$129), _xlfn.XLOOKUP($E207,$D$112:$D$118,$E$112:$E$118),H77,$F107)</f>
        <v>0</v>
      </c>
      <c r="I207" s="50" cm="1">
        <f t="array" aca="1" ref="I207" ca="1">MMS_Swine_ManureAppliedToSoils_Equations.VEERG_4_5_1_9__2_MassOfNitrogenAppliedToSoilsScope3(I47,_xlfn.XLOOKUP($E207,$D$123:$D$129,$E$123:$E$129), _xlfn.XLOOKUP($E207,$D$112:$D$118,$E$112:$E$118),I77,$F107)</f>
        <v>0</v>
      </c>
      <c r="J207" s="2"/>
      <c r="N207" s="55"/>
      <c r="O207" s="55" t="str">
        <f>INDEX(X_Table_Swine_Stage2MMS_From_SolidStorage,6,1)</f>
        <v>Direct application</v>
      </c>
      <c r="P207" s="50" cm="1">
        <f t="array" aca="1" ref="P207" ca="1">MMS_Swine_ManureAppliedToSoils_Equations.VEERG_4_5_1_9__2_MassOfNitrogenAppliedToSoilsScope3(P47,_xlfn.XLOOKUP($O207,$D$123:$D$129,$E$123:$E$129), _xlfn.XLOOKUP($O207,$D$112:$D$118,$E$112:$E$118),P77,$F107)</f>
        <v>0</v>
      </c>
      <c r="Q207" s="50" cm="1">
        <f t="array" aca="1" ref="Q207" ca="1">MMS_Swine_ManureAppliedToSoils_Equations.VEERG_4_5_1_9__2_MassOfNitrogenAppliedToSoilsScope3(Q47,_xlfn.XLOOKUP($O207,$D$123:$D$129,$E$123:$E$129), _xlfn.XLOOKUP($O207,$D$112:$D$118,$E$112:$E$118),Q77,$F107)</f>
        <v>0</v>
      </c>
      <c r="R207" s="50" cm="1">
        <f t="array" aca="1" ref="R207" ca="1">MMS_Swine_ManureAppliedToSoils_Equations.VEERG_4_5_1_9__2_MassOfNitrogenAppliedToSoilsScope3(R47,_xlfn.XLOOKUP($O207,$D$123:$D$129,$E$123:$E$129), _xlfn.XLOOKUP($O207,$D$112:$D$118,$E$112:$E$118),R77,$F107)</f>
        <v>0</v>
      </c>
      <c r="S207" s="50" cm="1">
        <f t="array" aca="1" ref="S207" ca="1">MMS_Swine_ManureAppliedToSoils_Equations.VEERG_4_5_1_9__2_MassOfNitrogenAppliedToSoilsScope3(S47,_xlfn.XLOOKUP($O207,$D$123:$D$129,$E$123:$E$129), _xlfn.XLOOKUP($O207,$D$112:$D$118,$E$112:$E$118),S77,$F107)</f>
        <v>0</v>
      </c>
      <c r="T207" s="2"/>
    </row>
    <row r="208" spans="4:20" ht="20.100000000000001" customHeight="1" x14ac:dyDescent="0.25"/>
    <row r="209" spans="1:21" ht="20.100000000000001" customHeight="1" x14ac:dyDescent="0.25">
      <c r="D209" s="97" t="s">
        <v>307</v>
      </c>
      <c r="E209" s="98">
        <f ca="1">SUM(F182:I207)</f>
        <v>653.20846285499988</v>
      </c>
      <c r="F209" s="99" t="str">
        <f>$E$11</f>
        <v>kg N</v>
      </c>
      <c r="N209" s="97" t="s">
        <v>307</v>
      </c>
      <c r="O209" s="98">
        <f ca="1">SUM(P182:S207)</f>
        <v>653.20846285499988</v>
      </c>
      <c r="P209" s="99" t="str">
        <f>$E$11</f>
        <v>kg N</v>
      </c>
    </row>
    <row r="210" spans="1:21" ht="20.100000000000001" customHeight="1" x14ac:dyDescent="0.25"/>
    <row r="211" spans="1:21" ht="20.100000000000001" customHeight="1" x14ac:dyDescent="0.25">
      <c r="A211" s="141" t="str">
        <f>HYPERLINK("#A1", "▲ Back to top")</f>
        <v>▲ Back to top</v>
      </c>
    </row>
    <row r="212" spans="1:21" ht="20.100000000000001" customHeight="1" x14ac:dyDescent="0.25">
      <c r="C212" s="43"/>
      <c r="D212" s="43"/>
      <c r="E212" s="43"/>
      <c r="F212" s="43"/>
      <c r="G212" s="43"/>
      <c r="H212" s="43"/>
      <c r="I212" s="43"/>
      <c r="J212" s="43"/>
      <c r="K212" s="43"/>
      <c r="M212" s="43"/>
      <c r="N212" s="43"/>
      <c r="O212" s="43"/>
      <c r="P212" s="43"/>
      <c r="Q212" s="43"/>
      <c r="R212" s="43"/>
      <c r="S212" s="43"/>
      <c r="T212" s="43"/>
      <c r="U212" s="43"/>
    </row>
    <row r="213" spans="1:21" ht="20.100000000000001" customHeight="1" x14ac:dyDescent="0.25">
      <c r="D213" s="128" t="str">
        <f>"Below are applications of " &amp; D110 &amp; " that are applied to the following contexts:"</f>
        <v>Below are applications of Fraction of N volatilised from MMS that are applied to the following contexts:</v>
      </c>
      <c r="E213" s="87"/>
      <c r="F213" s="87"/>
      <c r="G213" s="87"/>
      <c r="H213" s="83"/>
    </row>
    <row r="214" spans="1:21" ht="20.100000000000001" customHeight="1" x14ac:dyDescent="0.25">
      <c r="D214" s="89" t="s">
        <v>308</v>
      </c>
      <c r="E214" s="86"/>
      <c r="F214" s="86"/>
      <c r="G214" s="86"/>
      <c r="H214" s="84"/>
    </row>
    <row r="215" spans="1:21" ht="20.100000000000001" customHeight="1" x14ac:dyDescent="0.25"/>
    <row r="216" spans="1:21" ht="20.100000000000001" customHeight="1" x14ac:dyDescent="0.25">
      <c r="D216" s="6" t="s">
        <v>309</v>
      </c>
    </row>
    <row r="217" spans="1:21" ht="20.100000000000001" customHeight="1" x14ac:dyDescent="0.25"/>
    <row r="218" spans="1:21" ht="20.100000000000001" customHeight="1" x14ac:dyDescent="0.25">
      <c r="D218" s="117" t="s">
        <v>310</v>
      </c>
    </row>
    <row r="219" spans="1:21" ht="20.100000000000001" customHeight="1" x14ac:dyDescent="0.25">
      <c r="D219" s="118" t="s">
        <v>311</v>
      </c>
    </row>
    <row r="220" spans="1:21" ht="20.100000000000001" customHeight="1" x14ac:dyDescent="0.25">
      <c r="D220" s="49" t="s">
        <v>156</v>
      </c>
      <c r="E220" s="49" t="s">
        <v>164</v>
      </c>
      <c r="F220" s="49" t="s">
        <v>312</v>
      </c>
    </row>
    <row r="221" spans="1:21" ht="20.100000000000001" customHeight="1" x14ac:dyDescent="0.25">
      <c r="D221" s="55" t="str">
        <f>INDEX(X_Table_Swine_Stage1MMS_AnaerobicLagoon,2,1)</f>
        <v>Anaerobic lagoon</v>
      </c>
      <c r="E221" s="55" t="str">
        <f>INDEX(X_Table_Swine_Stage2MMS_From_AnaerobicLagoon,2,1)</f>
        <v>Digester / covered lagoons</v>
      </c>
      <c r="F221" s="50">
        <f>INDEX(X_Table_Swine_Stage2MMS_From_AnaerobicLagoon_Destinations,2,3)</f>
        <v>0.25</v>
      </c>
      <c r="G221" s="2" t="s">
        <v>115</v>
      </c>
    </row>
    <row r="222" spans="1:21" ht="20.100000000000001" customHeight="1" x14ac:dyDescent="0.25">
      <c r="D222" s="55"/>
      <c r="E222" s="55" t="str">
        <f>INDEX(X_Table_Swine_Stage2MMS_From_AnaerobicLagoon,3,1)</f>
        <v>Deep litter</v>
      </c>
      <c r="F222" s="50">
        <f>INDEX(X_Table_Swine_Stage2MMS_From_AnaerobicLagoon_Destinations,3,3)</f>
        <v>0.25</v>
      </c>
      <c r="G222" s="2"/>
    </row>
    <row r="223" spans="1:21" ht="20.100000000000001" customHeight="1" x14ac:dyDescent="0.25">
      <c r="D223" s="55"/>
      <c r="E223" s="55" t="str">
        <f>INDEX(X_Table_Swine_Stage2MMS_From_AnaerobicLagoon,4,1)</f>
        <v>Pit storage</v>
      </c>
      <c r="F223" s="50">
        <f>INDEX(X_Table_Swine_Stage2MMS_From_AnaerobicLagoon_Destinations,4,3)</f>
        <v>0.25</v>
      </c>
      <c r="G223" s="2"/>
    </row>
    <row r="224" spans="1:21" ht="20.100000000000001" customHeight="1" x14ac:dyDescent="0.25">
      <c r="D224" s="55"/>
      <c r="E224" s="55" t="str">
        <f>INDEX(X_Table_Swine_Stage2MMS_From_AnaerobicLagoon,5,1)</f>
        <v>Direct application</v>
      </c>
      <c r="F224" s="50">
        <f>INDEX(X_Table_Swine_Stage2MMS_From_AnaerobicLagoon_Destinations,5,3)</f>
        <v>0</v>
      </c>
      <c r="G224" s="2"/>
    </row>
    <row r="225" spans="4:7" ht="20.100000000000001" customHeight="1" x14ac:dyDescent="0.25">
      <c r="D225" s="55" t="str">
        <f>INDEX(X_Table_Swine_Stage1MMS_Drylot,2,1)</f>
        <v>Drylot (feed pad)</v>
      </c>
      <c r="E225" s="55" t="str">
        <f>INDEX(X_Table_Swine_Stage2MMS_From_Drylot,2,1)</f>
        <v>Anaerobic lagoon</v>
      </c>
      <c r="F225" s="50">
        <f>INDEX(X_Table_Swine_Stage2MMS_From_Drylot_Destinations,2,3)</f>
        <v>0.25</v>
      </c>
      <c r="G225" s="2"/>
    </row>
    <row r="226" spans="4:7" ht="20.100000000000001" customHeight="1" x14ac:dyDescent="0.25">
      <c r="D226" s="55"/>
      <c r="E226" s="55" t="str">
        <f>INDEX(X_Table_Swine_Stage2MMS_From_Drylot,3,1)</f>
        <v>Digester / covered lagoons</v>
      </c>
      <c r="F226" s="50">
        <f>INDEX(X_Table_Swine_Stage2MMS_From_Drylot_Destinations,3,3)</f>
        <v>0.25</v>
      </c>
      <c r="G226" s="2"/>
    </row>
    <row r="227" spans="4:7" ht="20.100000000000001" customHeight="1" x14ac:dyDescent="0.25">
      <c r="D227" s="55"/>
      <c r="E227" s="55" t="str">
        <f>INDEX(X_Table_Swine_Stage2MMS_From_Drylot,4,1)</f>
        <v>Deep litter</v>
      </c>
      <c r="F227" s="50">
        <f>INDEX(X_Table_Swine_Stage2MMS_From_Drylot_Destinations,4,3)</f>
        <v>0.25</v>
      </c>
      <c r="G227" s="2"/>
    </row>
    <row r="228" spans="4:7" ht="20.100000000000001" customHeight="1" x14ac:dyDescent="0.25">
      <c r="D228" s="55"/>
      <c r="E228" s="55" t="str">
        <f>INDEX(X_Table_Swine_Stage2MMS_From_Drylot,5,1)</f>
        <v>Pit storage</v>
      </c>
      <c r="F228" s="50">
        <f>INDEX(X_Table_Swine_Stage2MMS_From_Drylot_Destinations,5,3)</f>
        <v>0.25</v>
      </c>
      <c r="G228" s="2"/>
    </row>
    <row r="229" spans="4:7" ht="20.100000000000001" customHeight="1" x14ac:dyDescent="0.25">
      <c r="D229" s="55"/>
      <c r="E229" s="55" t="str">
        <f>INDEX(X_Table_Swine_Stage2MMS_From_Drylot,6,1)</f>
        <v>Direct application</v>
      </c>
      <c r="F229" s="50">
        <f>INDEX(X_Table_Swine_Stage2MMS_From_Drylot_Destinations,6,3)</f>
        <v>0</v>
      </c>
      <c r="G229" s="2"/>
    </row>
    <row r="230" spans="4:7" ht="20.100000000000001" customHeight="1" x14ac:dyDescent="0.25">
      <c r="D230" s="55" t="str">
        <f>INDEX(X_Table_Swine_Stage1MMS_DigesterCoveredLagoons,2,1)</f>
        <v>Digester / covered lagoons</v>
      </c>
      <c r="E230" s="55" t="str">
        <f>INDEX(X_Table_Swine_Stage2MMS_From_DigesterCoveredLagoons,2,1)</f>
        <v>Anaerobic lagoon</v>
      </c>
      <c r="F230" s="50">
        <f>INDEX(X_Table_Swine_Stage2MMS_From_DigesterCoveredLagoons_Destinations,2,3)</f>
        <v>0.25</v>
      </c>
      <c r="G230" s="2"/>
    </row>
    <row r="231" spans="4:7" ht="20.100000000000001" customHeight="1" x14ac:dyDescent="0.25">
      <c r="D231" s="55"/>
      <c r="E231" s="55" t="str">
        <f>INDEX(X_Table_Swine_Stage2MMS_From_DigesterCoveredLagoons,3,1)</f>
        <v>Deep litter</v>
      </c>
      <c r="F231" s="50">
        <f>INDEX(X_Table_Swine_Stage2MMS_From_DigesterCoveredLagoons_Destinations,3,3)</f>
        <v>0.25</v>
      </c>
      <c r="G231" s="2"/>
    </row>
    <row r="232" spans="4:7" ht="20.100000000000001" customHeight="1" x14ac:dyDescent="0.25">
      <c r="D232" s="55"/>
      <c r="E232" s="55" t="str">
        <f>INDEX(X_Table_Swine_Stage2MMS_From_DigesterCoveredLagoons,4,1)</f>
        <v>Pit storage</v>
      </c>
      <c r="F232" s="50">
        <f>INDEX(X_Table_Swine_Stage2MMS_From_DigesterCoveredLagoons_Destinations,4,3)</f>
        <v>0.25</v>
      </c>
      <c r="G232" s="2"/>
    </row>
    <row r="233" spans="4:7" ht="20.100000000000001" customHeight="1" x14ac:dyDescent="0.25">
      <c r="D233" s="55"/>
      <c r="E233" s="55" t="str">
        <f>INDEX(X_Table_Swine_Stage2MMS_From_DigesterCoveredLagoons,5,1)</f>
        <v>Direct application</v>
      </c>
      <c r="F233" s="50">
        <f>INDEX(X_Table_Swine_Stage2MMS_From_DigesterCoveredLagoons_Destinations,5,3)</f>
        <v>0</v>
      </c>
      <c r="G233" s="2"/>
    </row>
    <row r="234" spans="4:7" ht="20.100000000000001" customHeight="1" x14ac:dyDescent="0.25">
      <c r="D234" s="55" t="str">
        <f>INDEX(X_Table_Swine_Stage1MMS_DeepLitter,2,1)</f>
        <v>Deep litter</v>
      </c>
      <c r="E234" s="55" t="str">
        <f>INDEX(X_Table_Swine_Stage2MMS_From_DeepLitter,2,1)</f>
        <v>Anaerobic lagoon</v>
      </c>
      <c r="F234" s="50">
        <f>INDEX(X_Table_Swine_Stage2MMS_From_DeepLitter_Destinations,2,3)</f>
        <v>0.25</v>
      </c>
      <c r="G234" s="2"/>
    </row>
    <row r="235" spans="4:7" ht="20.100000000000001" customHeight="1" x14ac:dyDescent="0.25">
      <c r="D235" s="55"/>
      <c r="E235" s="55" t="str">
        <f>INDEX(X_Table_Swine_Stage2MMS_From_DeepLitter,3,1)</f>
        <v>Digester / covered lagoons</v>
      </c>
      <c r="F235" s="50">
        <f>INDEX(X_Table_Swine_Stage2MMS_From_DeepLitter_Destinations,3,3)</f>
        <v>0.25</v>
      </c>
      <c r="G235" s="2"/>
    </row>
    <row r="236" spans="4:7" ht="20.100000000000001" customHeight="1" x14ac:dyDescent="0.25">
      <c r="D236" s="55"/>
      <c r="E236" s="55" t="str">
        <f>INDEX(X_Table_Swine_Stage2MMS_From_DeepLitter,4,1)</f>
        <v>Pit storage</v>
      </c>
      <c r="F236" s="50">
        <f>INDEX(X_Table_Swine_Stage2MMS_From_DeepLitter_Destinations,4,3)</f>
        <v>0.25</v>
      </c>
      <c r="G236" s="2"/>
    </row>
    <row r="237" spans="4:7" ht="20.100000000000001" customHeight="1" x14ac:dyDescent="0.25">
      <c r="D237" s="55"/>
      <c r="E237" s="55" t="str">
        <f>INDEX(X_Table_Swine_Stage2MMS_From_DeepLitter,5,1)</f>
        <v>Direct application</v>
      </c>
      <c r="F237" s="50">
        <f>INDEX(X_Table_Swine_Stage2MMS_From_DeepLitter_Destinations,5,3)</f>
        <v>0</v>
      </c>
      <c r="G237" s="2"/>
    </row>
    <row r="238" spans="4:7" ht="20.100000000000001" customHeight="1" x14ac:dyDescent="0.25">
      <c r="D238" s="55" t="str">
        <f>INDEX(X_Table_Swine_Stage1MMS_PitStorage,2,1)</f>
        <v>Pit storage</v>
      </c>
      <c r="E238" s="55" t="str">
        <f>INDEX(X_Table_Swine_Stage2MMS_From_PitStorage,2,1)</f>
        <v>Anaerobic lagoon</v>
      </c>
      <c r="F238" s="50">
        <f>INDEX(X_Table_Swine_Stage2MMS_From_PitStorage_Destinations,2,3)</f>
        <v>0.25</v>
      </c>
      <c r="G238" s="2"/>
    </row>
    <row r="239" spans="4:7" ht="20.100000000000001" customHeight="1" x14ac:dyDescent="0.25">
      <c r="D239" s="55"/>
      <c r="E239" s="55" t="str">
        <f>INDEX(X_Table_Swine_Stage2MMS_From_PitStorage,3,1)</f>
        <v>Digester / covered lagoons</v>
      </c>
      <c r="F239" s="50">
        <f>INDEX(X_Table_Swine_Stage2MMS_From_PitStorage_Destinations,3,3)</f>
        <v>0.25</v>
      </c>
      <c r="G239" s="2"/>
    </row>
    <row r="240" spans="4:7" ht="20.100000000000001" customHeight="1" x14ac:dyDescent="0.25">
      <c r="D240" s="55"/>
      <c r="E240" s="55" t="str">
        <f>INDEX(X_Table_Swine_Stage2MMS_From_PitStorage,4,1)</f>
        <v>Deep litter</v>
      </c>
      <c r="F240" s="50">
        <f>INDEX(X_Table_Swine_Stage2MMS_From_PitStorage_Destinations,4,3)</f>
        <v>0.25</v>
      </c>
      <c r="G240" s="2"/>
    </row>
    <row r="241" spans="1:20" ht="20.100000000000001" customHeight="1" x14ac:dyDescent="0.25">
      <c r="D241" s="55"/>
      <c r="E241" s="55" t="str">
        <f>INDEX(X_Table_Swine_Stage2MMS_From_PitStorage,5,1)</f>
        <v>Direct application</v>
      </c>
      <c r="F241" s="50">
        <f>INDEX(X_Table_Swine_Stage2MMS_From_PitStorage_Destinations,5,3)</f>
        <v>0</v>
      </c>
      <c r="G241" s="2"/>
    </row>
    <row r="242" spans="1:20" ht="20.100000000000001" customHeight="1" x14ac:dyDescent="0.25">
      <c r="D242" s="55" t="s">
        <v>346</v>
      </c>
      <c r="E242" s="55" t="str">
        <f>INDEX(X_Table_Swine_Stage2MMS_From_SolidStorage,2,1)</f>
        <v>Anaerobic lagoon</v>
      </c>
      <c r="F242" s="50">
        <f>INDEX(X_Table_Swine_Stage2MMS_From_SolidStorage_Destinations,2,3)</f>
        <v>0.25</v>
      </c>
      <c r="G242" s="2"/>
    </row>
    <row r="243" spans="1:20" ht="20.100000000000001" customHeight="1" x14ac:dyDescent="0.25">
      <c r="D243" s="55"/>
      <c r="E243" s="55" t="str">
        <f>INDEX(X_Table_Swine_Stage2MMS_From_SolidStorage,3,1)</f>
        <v>Digester / covered lagoons</v>
      </c>
      <c r="F243" s="50">
        <f>INDEX(X_Table_Swine_Stage2MMS_From_SolidStorage_Destinations,3,3)</f>
        <v>0.25</v>
      </c>
      <c r="G243" s="2"/>
    </row>
    <row r="244" spans="1:20" ht="20.100000000000001" customHeight="1" x14ac:dyDescent="0.25">
      <c r="D244" s="55"/>
      <c r="E244" s="55" t="str">
        <f>INDEX(X_Table_Swine_Stage2MMS_From_SolidStorage,4,1)</f>
        <v>Deep litter</v>
      </c>
      <c r="F244" s="50">
        <f>INDEX(X_Table_Swine_Stage2MMS_From_SolidStorage_Destinations,4,3)</f>
        <v>0.25</v>
      </c>
      <c r="G244" s="2"/>
    </row>
    <row r="245" spans="1:20" ht="20.100000000000001" customHeight="1" x14ac:dyDescent="0.25">
      <c r="D245" s="55"/>
      <c r="E245" s="55" t="str">
        <f>INDEX(X_Table_Swine_Stage2MMS_From_SolidStorage,5,1)</f>
        <v>Pit storage</v>
      </c>
      <c r="F245" s="50">
        <f>INDEX(X_Table_Swine_Stage2MMS_From_SolidStorage_Destinations,5,3)</f>
        <v>0.25</v>
      </c>
      <c r="G245" s="2"/>
    </row>
    <row r="246" spans="1:20" ht="20.100000000000001" customHeight="1" x14ac:dyDescent="0.25">
      <c r="D246" s="55"/>
      <c r="E246" s="55" t="str">
        <f>INDEX(X_Table_Swine_Stage2MMS_From_SolidStorage,6,1)</f>
        <v>Direct application</v>
      </c>
      <c r="F246" s="50">
        <f>INDEX(X_Table_Swine_Stage2MMS_From_SolidStorage_Destinations,6,3)</f>
        <v>0</v>
      </c>
      <c r="G246" s="2"/>
    </row>
    <row r="247" spans="1:20" ht="20.100000000000001" customHeight="1" x14ac:dyDescent="0.25">
      <c r="A247" s="141" t="str">
        <f>HYPERLINK("#A1", "▲ Back to top")</f>
        <v>▲ Back to top</v>
      </c>
    </row>
    <row r="248" spans="1:20" ht="20.100000000000001" customHeight="1" x14ac:dyDescent="0.25">
      <c r="D248" s="117" t="s">
        <v>313</v>
      </c>
      <c r="N248" s="117" t="s">
        <v>315</v>
      </c>
    </row>
    <row r="249" spans="1:20" ht="20.100000000000001" customHeight="1" x14ac:dyDescent="0.25">
      <c r="D249" s="118" t="s">
        <v>316</v>
      </c>
      <c r="N249" s="118" t="s">
        <v>317</v>
      </c>
    </row>
    <row r="250" spans="1:20" ht="20.100000000000001" customHeight="1" x14ac:dyDescent="0.25">
      <c r="D250" s="49" t="s">
        <v>156</v>
      </c>
      <c r="E250" s="49" t="s">
        <v>164</v>
      </c>
      <c r="F250" s="49" t="s">
        <v>135</v>
      </c>
      <c r="G250" s="49" t="s">
        <v>136</v>
      </c>
      <c r="H250" s="49" t="s">
        <v>137</v>
      </c>
      <c r="I250" s="49" t="s">
        <v>195</v>
      </c>
      <c r="N250" s="49" t="s">
        <v>156</v>
      </c>
      <c r="O250" s="49" t="s">
        <v>164</v>
      </c>
      <c r="P250" s="49" t="s">
        <v>135</v>
      </c>
      <c r="Q250" s="49" t="s">
        <v>136</v>
      </c>
      <c r="R250" s="49" t="s">
        <v>137</v>
      </c>
      <c r="S250" s="49" t="s">
        <v>195</v>
      </c>
    </row>
    <row r="251" spans="1:20" ht="20.100000000000001" customHeight="1" x14ac:dyDescent="0.25">
      <c r="D251" s="55" t="str">
        <f>INDEX(X_Table_Swine_Stage1MMS_AnaerobicLagoon,2,1)</f>
        <v>Anaerobic lagoon</v>
      </c>
      <c r="E251" s="55" t="str">
        <f>INDEX(X_Table_Swine_Stage2MMS_From_AnaerobicLagoon,2,1)</f>
        <v>Digester / covered lagoons</v>
      </c>
      <c r="F251" s="50" cm="1">
        <f t="array" aca="1" ref="F251" ca="1">MMS_Swine_ManureAppliedToSoils_Equations.VEERG_4_5_1_9__1_MassOfNitrogenAppliedToSoilsScope1(F22,_xlfn.XLOOKUP($E251,$D$123:$D$129,$E$123:$E$129), _xlfn.XLOOKUP($E251,$D$112:$D$118,$E$112:$E$118),F52,$F221)</f>
        <v>4.5332999999999988</v>
      </c>
      <c r="G251" s="50" cm="1">
        <f t="array" aca="1" ref="G251" ca="1">MMS_Swine_ManureAppliedToSoils_Equations.VEERG_4_5_1_9__1_MassOfNitrogenAppliedToSoilsScope1(G22,_xlfn.XLOOKUP($E251,$D$123:$D$129,$E$123:$E$129), _xlfn.XLOOKUP($E251,$D$112:$D$118,$E$112:$E$118),G52,$F221)</f>
        <v>6.0361875000000005</v>
      </c>
      <c r="H251" s="50" cm="1">
        <f t="array" aca="1" ref="H251" ca="1">MMS_Swine_ManureAppliedToSoils_Equations.VEERG_4_5_1_9__1_MassOfNitrogenAppliedToSoilsScope1(H22,_xlfn.XLOOKUP($E251,$D$123:$D$129,$E$123:$E$129), _xlfn.XLOOKUP($E251,$D$112:$D$118,$E$112:$E$118),H52,$F221)</f>
        <v>5.666624999999998</v>
      </c>
      <c r="I251" s="50" cm="1">
        <f t="array" aca="1" ref="I251" ca="1">MMS_Swine_ManureAppliedToSoils_Equations.VEERG_4_5_1_9__1_MassOfNitrogenAppliedToSoilsScope1(I22,_xlfn.XLOOKUP($E251,$D$123:$D$129,$E$123:$E$129), _xlfn.XLOOKUP($E251,$D$112:$D$118,$E$112:$E$118),I52,$F221)</f>
        <v>3.8434499999999989</v>
      </c>
      <c r="J251" s="2" t="str">
        <f t="shared" ref="J251" si="1">$E$11</f>
        <v>kg N</v>
      </c>
      <c r="N251" s="55" t="str">
        <f>INDEX(X_Table_Swine_Stage1MMS_AnaerobicLagoon,2,1)</f>
        <v>Anaerobic lagoon</v>
      </c>
      <c r="O251" s="55" t="str">
        <f>INDEX(X_Table_Swine_Stage2MMS_From_AnaerobicLagoon,2,1)</f>
        <v>Digester / covered lagoons</v>
      </c>
      <c r="P251" s="50" cm="1">
        <f t="array" aca="1" ref="P251" ca="1">MMS_Swine_ManureAppliedToSoils_Equations.VEERG_4_5_1_9__1_MassOfNitrogenAppliedToSoilsScope1(P22,_xlfn.XLOOKUP($E251,$D$123:$D$129,$E$123:$E$129), _xlfn.XLOOKUP($E251,$D$112:$D$118,$E$112:$E$118),P52,$F221)</f>
        <v>4.5332999999999988</v>
      </c>
      <c r="Q251" s="50" cm="1">
        <f t="array" aca="1" ref="Q251" ca="1">MMS_Swine_ManureAppliedToSoils_Equations.VEERG_4_5_1_9__1_MassOfNitrogenAppliedToSoilsScope1(Q22,_xlfn.XLOOKUP($E251,$D$123:$D$129,$E$123:$E$129), _xlfn.XLOOKUP($E251,$D$112:$D$118,$E$112:$E$118),Q52,$F221)</f>
        <v>6.0361875000000005</v>
      </c>
      <c r="R251" s="50" cm="1">
        <f t="array" aca="1" ref="R251" ca="1">MMS_Swine_ManureAppliedToSoils_Equations.VEERG_4_5_1_9__1_MassOfNitrogenAppliedToSoilsScope1(R22,_xlfn.XLOOKUP($E251,$D$123:$D$129,$E$123:$E$129), _xlfn.XLOOKUP($E251,$D$112:$D$118,$E$112:$E$118),R52,$F221)</f>
        <v>5.666624999999998</v>
      </c>
      <c r="S251" s="50" cm="1">
        <f t="array" aca="1" ref="S251" ca="1">MMS_Swine_ManureAppliedToSoils_Equations.VEERG_4_5_1_9__1_MassOfNitrogenAppliedToSoilsScope1(S22,_xlfn.XLOOKUP($E251,$D$123:$D$129,$E$123:$E$129), _xlfn.XLOOKUP($E251,$D$112:$D$118,$E$112:$E$118),S52,$F221)</f>
        <v>3.8434499999999989</v>
      </c>
      <c r="T251" s="2" t="str">
        <f>$E$11</f>
        <v>kg N</v>
      </c>
    </row>
    <row r="252" spans="1:20" ht="20.100000000000001" customHeight="1" x14ac:dyDescent="0.25">
      <c r="D252" s="55"/>
      <c r="E252" s="55" t="str">
        <f>INDEX(X_Table_Swine_Stage2MMS_From_AnaerobicLagoon,3,1)</f>
        <v>Deep litter</v>
      </c>
      <c r="F252" s="50" cm="1">
        <f t="array" aca="1" ref="F252" ca="1">MMS_Swine_ManureAppliedToSoils_Equations.VEERG_4_5_1_9__1_MassOfNitrogenAppliedToSoilsScope1(F23,_xlfn.XLOOKUP($E252,$D$123:$D$129,$E$123:$E$129), _xlfn.XLOOKUP($E252,$D$112:$D$118,$E$112:$E$118),F53,$F222)</f>
        <v>3.9213044999999989</v>
      </c>
      <c r="G252" s="50" cm="1">
        <f t="array" aca="1" ref="G252" ca="1">MMS_Swine_ManureAppliedToSoils_Equations.VEERG_4_5_1_9__1_MassOfNitrogenAppliedToSoilsScope1(G23,_xlfn.XLOOKUP($E252,$D$123:$D$129,$E$123:$E$129), _xlfn.XLOOKUP($E252,$D$112:$D$118,$E$112:$E$118),G53,$F222)</f>
        <v>5.2213021875000001</v>
      </c>
      <c r="H252" s="50" cm="1">
        <f t="array" aca="1" ref="H252" ca="1">MMS_Swine_ManureAppliedToSoils_Equations.VEERG_4_5_1_9__1_MassOfNitrogenAppliedToSoilsScope1(H23,_xlfn.XLOOKUP($E252,$D$123:$D$129,$E$123:$E$129), _xlfn.XLOOKUP($E252,$D$112:$D$118,$E$112:$E$118),H53,$F222)</f>
        <v>4.9016306249999984</v>
      </c>
      <c r="I252" s="50" cm="1">
        <f t="array" aca="1" ref="I252" ca="1">MMS_Swine_ManureAppliedToSoils_Equations.VEERG_4_5_1_9__1_MassOfNitrogenAppliedToSoilsScope1(I23,_xlfn.XLOOKUP($E252,$D$123:$D$129,$E$123:$E$129), _xlfn.XLOOKUP($E252,$D$112:$D$118,$E$112:$E$118),I53,$F222)</f>
        <v>3.3245842499999991</v>
      </c>
      <c r="J252" s="2"/>
      <c r="N252" s="55"/>
      <c r="O252" s="55" t="str">
        <f>INDEX(X_Table_Swine_Stage2MMS_From_AnaerobicLagoon,3,1)</f>
        <v>Deep litter</v>
      </c>
      <c r="P252" s="50" cm="1">
        <f t="array" aca="1" ref="P252" ca="1">MMS_Swine_ManureAppliedToSoils_Equations.VEERG_4_5_1_9__1_MassOfNitrogenAppliedToSoilsScope1(P23,_xlfn.XLOOKUP($E252,$D$123:$D$129,$E$123:$E$129), _xlfn.XLOOKUP($E252,$D$112:$D$118,$E$112:$E$118),P53,$F222)</f>
        <v>3.9213044999999989</v>
      </c>
      <c r="Q252" s="50" cm="1">
        <f t="array" aca="1" ref="Q252" ca="1">MMS_Swine_ManureAppliedToSoils_Equations.VEERG_4_5_1_9__1_MassOfNitrogenAppliedToSoilsScope1(Q23,_xlfn.XLOOKUP($E252,$D$123:$D$129,$E$123:$E$129), _xlfn.XLOOKUP($E252,$D$112:$D$118,$E$112:$E$118),Q53,$F222)</f>
        <v>5.2213021875000001</v>
      </c>
      <c r="R252" s="50" cm="1">
        <f t="array" aca="1" ref="R252" ca="1">MMS_Swine_ManureAppliedToSoils_Equations.VEERG_4_5_1_9__1_MassOfNitrogenAppliedToSoilsScope1(R23,_xlfn.XLOOKUP($E252,$D$123:$D$129,$E$123:$E$129), _xlfn.XLOOKUP($E252,$D$112:$D$118,$E$112:$E$118),R53,$F222)</f>
        <v>4.9016306249999984</v>
      </c>
      <c r="S252" s="50" cm="1">
        <f t="array" aca="1" ref="S252" ca="1">MMS_Swine_ManureAppliedToSoils_Equations.VEERG_4_5_1_9__1_MassOfNitrogenAppliedToSoilsScope1(S23,_xlfn.XLOOKUP($E252,$D$123:$D$129,$E$123:$E$129), _xlfn.XLOOKUP($E252,$D$112:$D$118,$E$112:$E$118),S53,$F222)</f>
        <v>3.3245842499999991</v>
      </c>
      <c r="T252" s="2"/>
    </row>
    <row r="253" spans="1:20" ht="20.100000000000001" customHeight="1" x14ac:dyDescent="0.25">
      <c r="D253" s="55"/>
      <c r="E253" s="55" t="str">
        <f>INDEX(X_Table_Swine_Stage2MMS_From_AnaerobicLagoon,4,1)</f>
        <v>Pit storage</v>
      </c>
      <c r="F253" s="50" cm="1">
        <f t="array" aca="1" ref="F253" ca="1">MMS_Swine_ManureAppliedToSoils_Equations.VEERG_4_5_1_9__1_MassOfNitrogenAppliedToSoilsScope1(F24,_xlfn.XLOOKUP($E253,$D$123:$D$129,$E$123:$E$129), _xlfn.XLOOKUP($E253,$D$112:$D$118,$E$112:$E$118),F54,$F223)</f>
        <v>3.3909083999999989</v>
      </c>
      <c r="G253" s="50" cm="1">
        <f t="array" aca="1" ref="G253" ca="1">MMS_Swine_ManureAppliedToSoils_Equations.VEERG_4_5_1_9__1_MassOfNitrogenAppliedToSoilsScope1(G24,_xlfn.XLOOKUP($E253,$D$123:$D$129,$E$123:$E$129), _xlfn.XLOOKUP($E253,$D$112:$D$118,$E$112:$E$118),G54,$F223)</f>
        <v>4.5150682500000006</v>
      </c>
      <c r="H253" s="50" cm="1">
        <f t="array" aca="1" ref="H253" ca="1">MMS_Swine_ManureAppliedToSoils_Equations.VEERG_4_5_1_9__1_MassOfNitrogenAppliedToSoilsScope1(H24,_xlfn.XLOOKUP($E253,$D$123:$D$129,$E$123:$E$129), _xlfn.XLOOKUP($E253,$D$112:$D$118,$E$112:$E$118),H54,$F223)</f>
        <v>4.2386354999999982</v>
      </c>
      <c r="I253" s="50" cm="1">
        <f t="array" aca="1" ref="I253" ca="1">MMS_Swine_ManureAppliedToSoils_Equations.VEERG_4_5_1_9__1_MassOfNitrogenAppliedToSoilsScope1(I24,_xlfn.XLOOKUP($E253,$D$123:$D$129,$E$123:$E$129), _xlfn.XLOOKUP($E253,$D$112:$D$118,$E$112:$E$118),I54,$F223)</f>
        <v>2.8749005999999993</v>
      </c>
      <c r="J253" s="2"/>
      <c r="N253" s="55"/>
      <c r="O253" s="55" t="str">
        <f>INDEX(X_Table_Swine_Stage2MMS_From_AnaerobicLagoon,4,1)</f>
        <v>Pit storage</v>
      </c>
      <c r="P253" s="50" cm="1">
        <f t="array" aca="1" ref="P253" ca="1">MMS_Swine_ManureAppliedToSoils_Equations.VEERG_4_5_1_9__1_MassOfNitrogenAppliedToSoilsScope1(P24,_xlfn.XLOOKUP($E253,$D$123:$D$129,$E$123:$E$129), _xlfn.XLOOKUP($E253,$D$112:$D$118,$E$112:$E$118),P54,$F223)</f>
        <v>3.3909083999999989</v>
      </c>
      <c r="Q253" s="50" cm="1">
        <f t="array" aca="1" ref="Q253" ca="1">MMS_Swine_ManureAppliedToSoils_Equations.VEERG_4_5_1_9__1_MassOfNitrogenAppliedToSoilsScope1(Q24,_xlfn.XLOOKUP($E253,$D$123:$D$129,$E$123:$E$129), _xlfn.XLOOKUP($E253,$D$112:$D$118,$E$112:$E$118),Q54,$F223)</f>
        <v>4.5150682500000006</v>
      </c>
      <c r="R253" s="50" cm="1">
        <f t="array" aca="1" ref="R253" ca="1">MMS_Swine_ManureAppliedToSoils_Equations.VEERG_4_5_1_9__1_MassOfNitrogenAppliedToSoilsScope1(R24,_xlfn.XLOOKUP($E253,$D$123:$D$129,$E$123:$E$129), _xlfn.XLOOKUP($E253,$D$112:$D$118,$E$112:$E$118),R54,$F223)</f>
        <v>4.2386354999999982</v>
      </c>
      <c r="S253" s="50" cm="1">
        <f t="array" aca="1" ref="S253" ca="1">MMS_Swine_ManureAppliedToSoils_Equations.VEERG_4_5_1_9__1_MassOfNitrogenAppliedToSoilsScope1(S24,_xlfn.XLOOKUP($E253,$D$123:$D$129,$E$123:$E$129), _xlfn.XLOOKUP($E253,$D$112:$D$118,$E$112:$E$118),S54,$F223)</f>
        <v>2.8749005999999993</v>
      </c>
      <c r="T253" s="2"/>
    </row>
    <row r="254" spans="1:20" ht="20.100000000000001" customHeight="1" x14ac:dyDescent="0.25">
      <c r="D254" s="55"/>
      <c r="E254" s="55" t="str">
        <f>INDEX(X_Table_Swine_Stage2MMS_From_AnaerobicLagoon,5,1)</f>
        <v>Direct application</v>
      </c>
      <c r="F254" s="50" cm="1">
        <f t="array" aca="1" ref="F254" ca="1">MMS_Swine_ManureAppliedToSoils_Equations.VEERG_4_5_1_9__1_MassOfNitrogenAppliedToSoilsScope1(F25,_xlfn.XLOOKUP($E254,$D$123:$D$129,$E$123:$E$129), _xlfn.XLOOKUP($E254,$D$112:$D$118,$E$112:$E$118),F55,$F224)</f>
        <v>0</v>
      </c>
      <c r="G254" s="50" cm="1">
        <f t="array" aca="1" ref="G254" ca="1">MMS_Swine_ManureAppliedToSoils_Equations.VEERG_4_5_1_9__1_MassOfNitrogenAppliedToSoilsScope1(G25,_xlfn.XLOOKUP($E254,$D$123:$D$129,$E$123:$E$129), _xlfn.XLOOKUP($E254,$D$112:$D$118,$E$112:$E$118),G55,$F224)</f>
        <v>0</v>
      </c>
      <c r="H254" s="50" cm="1">
        <f t="array" aca="1" ref="H254" ca="1">MMS_Swine_ManureAppliedToSoils_Equations.VEERG_4_5_1_9__1_MassOfNitrogenAppliedToSoilsScope1(H25,_xlfn.XLOOKUP($E254,$D$123:$D$129,$E$123:$E$129), _xlfn.XLOOKUP($E254,$D$112:$D$118,$E$112:$E$118),H55,$F224)</f>
        <v>0</v>
      </c>
      <c r="I254" s="50" cm="1">
        <f t="array" aca="1" ref="I254" ca="1">MMS_Swine_ManureAppliedToSoils_Equations.VEERG_4_5_1_9__1_MassOfNitrogenAppliedToSoilsScope1(I25,_xlfn.XLOOKUP($E254,$D$123:$D$129,$E$123:$E$129), _xlfn.XLOOKUP($E254,$D$112:$D$118,$E$112:$E$118),I55,$F224)</f>
        <v>0</v>
      </c>
      <c r="J254" s="2"/>
      <c r="N254" s="55"/>
      <c r="O254" s="55" t="str">
        <f>INDEX(X_Table_Swine_Stage2MMS_From_AnaerobicLagoon,5,1)</f>
        <v>Direct application</v>
      </c>
      <c r="P254" s="50" cm="1">
        <f t="array" aca="1" ref="P254" ca="1">MMS_Swine_ManureAppliedToSoils_Equations.VEERG_4_5_1_9__1_MassOfNitrogenAppliedToSoilsScope1(P25,_xlfn.XLOOKUP($E254,$D$123:$D$129,$E$123:$E$129), _xlfn.XLOOKUP($E254,$D$112:$D$118,$E$112:$E$118),P55,$F224)</f>
        <v>0</v>
      </c>
      <c r="Q254" s="50" cm="1">
        <f t="array" aca="1" ref="Q254" ca="1">MMS_Swine_ManureAppliedToSoils_Equations.VEERG_4_5_1_9__1_MassOfNitrogenAppliedToSoilsScope1(Q25,_xlfn.XLOOKUP($E254,$D$123:$D$129,$E$123:$E$129), _xlfn.XLOOKUP($E254,$D$112:$D$118,$E$112:$E$118),Q55,$F224)</f>
        <v>0</v>
      </c>
      <c r="R254" s="50" cm="1">
        <f t="array" aca="1" ref="R254" ca="1">MMS_Swine_ManureAppliedToSoils_Equations.VEERG_4_5_1_9__1_MassOfNitrogenAppliedToSoilsScope1(R25,_xlfn.XLOOKUP($E254,$D$123:$D$129,$E$123:$E$129), _xlfn.XLOOKUP($E254,$D$112:$D$118,$E$112:$E$118),R55,$F224)</f>
        <v>0</v>
      </c>
      <c r="S254" s="50" cm="1">
        <f t="array" aca="1" ref="S254" ca="1">MMS_Swine_ManureAppliedToSoils_Equations.VEERG_4_5_1_9__1_MassOfNitrogenAppliedToSoilsScope1(S25,_xlfn.XLOOKUP($E254,$D$123:$D$129,$E$123:$E$129), _xlfn.XLOOKUP($E254,$D$112:$D$118,$E$112:$E$118),S55,$F224)</f>
        <v>0</v>
      </c>
      <c r="T254" s="2"/>
    </row>
    <row r="255" spans="1:20" ht="20.100000000000001" customHeight="1" x14ac:dyDescent="0.25">
      <c r="D255" s="55" t="str">
        <f>INDEX(X_Table_Swine_Stage1MMS_Drylot,2,1)</f>
        <v>Drylot (feed pad)</v>
      </c>
      <c r="E255" s="55" t="str">
        <f>INDEX(X_Table_Swine_Stage2MMS_From_Drylot,2,1)</f>
        <v>Anaerobic lagoon</v>
      </c>
      <c r="F255" s="50" cm="1">
        <f t="array" aca="1" ref="F255" ca="1">MMS_Swine_ManureAppliedToSoils_Equations.VEERG_4_5_1_9__1_MassOfNitrogenAppliedToSoilsScope1(F26,_xlfn.XLOOKUP($E255,$D$123:$D$129,$E$123:$E$129), _xlfn.XLOOKUP($E255,$D$112:$D$118,$E$112:$E$118),F56,$F225)</f>
        <v>2.0752439999999988</v>
      </c>
      <c r="G255" s="50" cm="1">
        <f t="array" aca="1" ref="G255" ca="1">MMS_Swine_ManureAppliedToSoils_Equations.VEERG_4_5_1_9__1_MassOfNitrogenAppliedToSoilsScope1(G26,_xlfn.XLOOKUP($E255,$D$123:$D$129,$E$123:$E$129), _xlfn.XLOOKUP($E255,$D$112:$D$118,$E$112:$E$118),G56,$F225)</f>
        <v>3.0315075</v>
      </c>
      <c r="H255" s="50" cm="1">
        <f t="array" aca="1" ref="H255" ca="1">MMS_Swine_ManureAppliedToSoils_Equations.VEERG_4_5_1_9__1_MassOfNitrogenAppliedToSoilsScope1(H26,_xlfn.XLOOKUP($E255,$D$123:$D$129,$E$123:$E$129), _xlfn.XLOOKUP($E255,$D$112:$D$118,$E$112:$E$118),H56,$F225)</f>
        <v>2.8459049999999984</v>
      </c>
      <c r="I255" s="50" cm="1">
        <f t="array" aca="1" ref="I255" ca="1">MMS_Swine_ManureAppliedToSoils_Equations.VEERG_4_5_1_9__1_MassOfNitrogenAppliedToSoilsScope1(I26,_xlfn.XLOOKUP($E255,$D$123:$D$129,$E$123:$E$129), _xlfn.XLOOKUP($E255,$D$112:$D$118,$E$112:$E$118),I56,$F225)</f>
        <v>1.9302659999999991</v>
      </c>
      <c r="J255" s="2"/>
      <c r="N255" s="55" t="str">
        <f>INDEX(X_Table_Swine_Stage1MMS_Drylot,2,1)</f>
        <v>Drylot (feed pad)</v>
      </c>
      <c r="O255" s="55" t="str">
        <f>INDEX(X_Table_Swine_Stage2MMS_From_Drylot,2,1)</f>
        <v>Anaerobic lagoon</v>
      </c>
      <c r="P255" s="50" cm="1">
        <f t="array" aca="1" ref="P255" ca="1">MMS_Swine_ManureAppliedToSoils_Equations.VEERG_4_5_1_9__1_MassOfNitrogenAppliedToSoilsScope1(P26,_xlfn.XLOOKUP($E255,$D$123:$D$129,$E$123:$E$129), _xlfn.XLOOKUP($E255,$D$112:$D$118,$E$112:$E$118),P56,$F225)</f>
        <v>2.0752439999999988</v>
      </c>
      <c r="Q255" s="50" cm="1">
        <f t="array" aca="1" ref="Q255" ca="1">MMS_Swine_ManureAppliedToSoils_Equations.VEERG_4_5_1_9__1_MassOfNitrogenAppliedToSoilsScope1(Q26,_xlfn.XLOOKUP($E255,$D$123:$D$129,$E$123:$E$129), _xlfn.XLOOKUP($E255,$D$112:$D$118,$E$112:$E$118),Q56,$F225)</f>
        <v>3.0315075</v>
      </c>
      <c r="R255" s="50" cm="1">
        <f t="array" aca="1" ref="R255" ca="1">MMS_Swine_ManureAppliedToSoils_Equations.VEERG_4_5_1_9__1_MassOfNitrogenAppliedToSoilsScope1(R26,_xlfn.XLOOKUP($E255,$D$123:$D$129,$E$123:$E$129), _xlfn.XLOOKUP($E255,$D$112:$D$118,$E$112:$E$118),R56,$F225)</f>
        <v>2.8459049999999984</v>
      </c>
      <c r="S255" s="50" cm="1">
        <f t="array" aca="1" ref="S255" ca="1">MMS_Swine_ManureAppliedToSoils_Equations.VEERG_4_5_1_9__1_MassOfNitrogenAppliedToSoilsScope1(S26,_xlfn.XLOOKUP($E255,$D$123:$D$129,$E$123:$E$129), _xlfn.XLOOKUP($E255,$D$112:$D$118,$E$112:$E$118),S56,$F225)</f>
        <v>1.9302659999999991</v>
      </c>
      <c r="T255" s="2"/>
    </row>
    <row r="256" spans="1:20" ht="20.100000000000001" customHeight="1" x14ac:dyDescent="0.25">
      <c r="D256" s="55"/>
      <c r="E256" s="55" t="str">
        <f>INDEX(X_Table_Swine_Stage2MMS_From_Drylot,3,1)</f>
        <v>Digester / covered lagoons</v>
      </c>
      <c r="F256" s="50" cm="1">
        <f t="array" aca="1" ref="F256" ca="1">MMS_Swine_ManureAppliedToSoils_Equations.VEERG_4_5_1_9__1_MassOfNitrogenAppliedToSoilsScope1(F27,_xlfn.XLOOKUP($E256,$D$123:$D$129,$E$123:$E$129), _xlfn.XLOOKUP($E256,$D$112:$D$118,$E$112:$E$118),F57,$F226)</f>
        <v>5.8429199999999986</v>
      </c>
      <c r="G256" s="50" cm="1">
        <f t="array" aca="1" ref="G256" ca="1">MMS_Swine_ManureAppliedToSoils_Equations.VEERG_4_5_1_9__1_MassOfNitrogenAppliedToSoilsScope1(G27,_xlfn.XLOOKUP($E256,$D$123:$D$129,$E$123:$E$129), _xlfn.XLOOKUP($E256,$D$112:$D$118,$E$112:$E$118),G57,$F226)</f>
        <v>8.0482500000000012</v>
      </c>
      <c r="H256" s="50" cm="1">
        <f t="array" aca="1" ref="H256" ca="1">MMS_Swine_ManureAppliedToSoils_Equations.VEERG_4_5_1_9__1_MassOfNitrogenAppliedToSoilsScope1(H27,_xlfn.XLOOKUP($E256,$D$123:$D$129,$E$123:$E$129), _xlfn.XLOOKUP($E256,$D$112:$D$118,$E$112:$E$118),H57,$F226)</f>
        <v>7.5554999999999977</v>
      </c>
      <c r="I256" s="50" cm="1">
        <f t="array" aca="1" ref="I256" ca="1">MMS_Swine_ManureAppliedToSoils_Equations.VEERG_4_5_1_9__1_MassOfNitrogenAppliedToSoilsScope1(I27,_xlfn.XLOOKUP($E256,$D$123:$D$129,$E$123:$E$129), _xlfn.XLOOKUP($E256,$D$112:$D$118,$E$112:$E$118),I57,$F226)</f>
        <v>5.1245999999999983</v>
      </c>
      <c r="J256" s="2"/>
      <c r="N256" s="55"/>
      <c r="O256" s="55" t="str">
        <f>INDEX(X_Table_Swine_Stage2MMS_From_Drylot,3,1)</f>
        <v>Digester / covered lagoons</v>
      </c>
      <c r="P256" s="50" cm="1">
        <f t="array" aca="1" ref="P256" ca="1">MMS_Swine_ManureAppliedToSoils_Equations.VEERG_4_5_1_9__1_MassOfNitrogenAppliedToSoilsScope1(P27,_xlfn.XLOOKUP($E256,$D$123:$D$129,$E$123:$E$129), _xlfn.XLOOKUP($E256,$D$112:$D$118,$E$112:$E$118),P57,$F226)</f>
        <v>5.8429199999999986</v>
      </c>
      <c r="Q256" s="50" cm="1">
        <f t="array" aca="1" ref="Q256" ca="1">MMS_Swine_ManureAppliedToSoils_Equations.VEERG_4_5_1_9__1_MassOfNitrogenAppliedToSoilsScope1(Q27,_xlfn.XLOOKUP($E256,$D$123:$D$129,$E$123:$E$129), _xlfn.XLOOKUP($E256,$D$112:$D$118,$E$112:$E$118),Q57,$F226)</f>
        <v>8.0482500000000012</v>
      </c>
      <c r="R256" s="50" cm="1">
        <f t="array" aca="1" ref="R256" ca="1">MMS_Swine_ManureAppliedToSoils_Equations.VEERG_4_5_1_9__1_MassOfNitrogenAppliedToSoilsScope1(R27,_xlfn.XLOOKUP($E256,$D$123:$D$129,$E$123:$E$129), _xlfn.XLOOKUP($E256,$D$112:$D$118,$E$112:$E$118),R57,$F226)</f>
        <v>7.5554999999999977</v>
      </c>
      <c r="S256" s="50" cm="1">
        <f t="array" aca="1" ref="S256" ca="1">MMS_Swine_ManureAppliedToSoils_Equations.VEERG_4_5_1_9__1_MassOfNitrogenAppliedToSoilsScope1(S27,_xlfn.XLOOKUP($E256,$D$123:$D$129,$E$123:$E$129), _xlfn.XLOOKUP($E256,$D$112:$D$118,$E$112:$E$118),S57,$F226)</f>
        <v>5.1245999999999983</v>
      </c>
      <c r="T256" s="2"/>
    </row>
    <row r="257" spans="4:20" ht="20.100000000000001" customHeight="1" x14ac:dyDescent="0.25">
      <c r="D257" s="55"/>
      <c r="E257" s="55" t="str">
        <f>INDEX(X_Table_Swine_Stage2MMS_From_Drylot,4,1)</f>
        <v>Deep litter</v>
      </c>
      <c r="F257" s="50" cm="1">
        <f t="array" aca="1" ref="F257" ca="1">MMS_Swine_ManureAppliedToSoils_Equations.VEERG_4_5_1_9__1_MassOfNitrogenAppliedToSoilsScope1(F28,_xlfn.XLOOKUP($E257,$D$123:$D$129,$E$123:$E$129), _xlfn.XLOOKUP($E257,$D$112:$D$118,$E$112:$E$118),F58,$F227)</f>
        <v>4.9181267999999987</v>
      </c>
      <c r="G257" s="50" cm="1">
        <f t="array" aca="1" ref="G257" ca="1">MMS_Swine_ManureAppliedToSoils_Equations.VEERG_4_5_1_9__1_MassOfNitrogenAppliedToSoilsScope1(G28,_xlfn.XLOOKUP($E257,$D$123:$D$129,$E$123:$E$129), _xlfn.XLOOKUP($E257,$D$112:$D$118,$E$112:$E$118),G58,$F227)</f>
        <v>6.816867750000001</v>
      </c>
      <c r="H257" s="50" cm="1">
        <f t="array" aca="1" ref="H257" ca="1">MMS_Swine_ManureAppliedToSoils_Equations.VEERG_4_5_1_9__1_MassOfNitrogenAppliedToSoilsScope1(H28,_xlfn.XLOOKUP($E257,$D$123:$D$129,$E$123:$E$129), _xlfn.XLOOKUP($E257,$D$112:$D$118,$E$112:$E$118),H58,$F227)</f>
        <v>6.3995084999999978</v>
      </c>
      <c r="I257" s="50" cm="1">
        <f t="array" aca="1" ref="I257" ca="1">MMS_Swine_ManureAppliedToSoils_Equations.VEERG_4_5_1_9__1_MassOfNitrogenAppliedToSoilsScope1(I28,_xlfn.XLOOKUP($E257,$D$123:$D$129,$E$123:$E$129), _xlfn.XLOOKUP($E257,$D$112:$D$118,$E$112:$E$118),I58,$F227)</f>
        <v>4.3405361999999981</v>
      </c>
      <c r="J257" s="2"/>
      <c r="N257" s="55"/>
      <c r="O257" s="55" t="str">
        <f>INDEX(X_Table_Swine_Stage2MMS_From_Drylot,4,1)</f>
        <v>Deep litter</v>
      </c>
      <c r="P257" s="50" cm="1">
        <f t="array" aca="1" ref="P257" ca="1">MMS_Swine_ManureAppliedToSoils_Equations.VEERG_4_5_1_9__1_MassOfNitrogenAppliedToSoilsScope1(P28,_xlfn.XLOOKUP($E257,$D$123:$D$129,$E$123:$E$129), _xlfn.XLOOKUP($E257,$D$112:$D$118,$E$112:$E$118),P58,$F227)</f>
        <v>4.9181267999999987</v>
      </c>
      <c r="Q257" s="50" cm="1">
        <f t="array" aca="1" ref="Q257" ca="1">MMS_Swine_ManureAppliedToSoils_Equations.VEERG_4_5_1_9__1_MassOfNitrogenAppliedToSoilsScope1(Q28,_xlfn.XLOOKUP($E257,$D$123:$D$129,$E$123:$E$129), _xlfn.XLOOKUP($E257,$D$112:$D$118,$E$112:$E$118),Q58,$F227)</f>
        <v>6.816867750000001</v>
      </c>
      <c r="R257" s="50" cm="1">
        <f t="array" aca="1" ref="R257" ca="1">MMS_Swine_ManureAppliedToSoils_Equations.VEERG_4_5_1_9__1_MassOfNitrogenAppliedToSoilsScope1(R28,_xlfn.XLOOKUP($E257,$D$123:$D$129,$E$123:$E$129), _xlfn.XLOOKUP($E257,$D$112:$D$118,$E$112:$E$118),R58,$F227)</f>
        <v>6.3995084999999978</v>
      </c>
      <c r="S257" s="50" cm="1">
        <f t="array" aca="1" ref="S257" ca="1">MMS_Swine_ManureAppliedToSoils_Equations.VEERG_4_5_1_9__1_MassOfNitrogenAppliedToSoilsScope1(S28,_xlfn.XLOOKUP($E257,$D$123:$D$129,$E$123:$E$129), _xlfn.XLOOKUP($E257,$D$112:$D$118,$E$112:$E$118),S58,$F227)</f>
        <v>4.3405361999999981</v>
      </c>
      <c r="T257" s="2"/>
    </row>
    <row r="258" spans="4:20" ht="20.100000000000001" customHeight="1" x14ac:dyDescent="0.25">
      <c r="D258" s="55"/>
      <c r="E258" s="55" t="str">
        <f>INDEX(X_Table_Swine_Stage2MMS_From_Drylot,5,1)</f>
        <v>Pit storage</v>
      </c>
      <c r="F258" s="50" cm="1">
        <f t="array" aca="1" ref="F258" ca="1">MMS_Swine_ManureAppliedToSoils_Equations.VEERG_4_5_1_9__1_MassOfNitrogenAppliedToSoilsScope1(F29,_xlfn.XLOOKUP($E258,$D$123:$D$129,$E$123:$E$129), _xlfn.XLOOKUP($E258,$D$112:$D$118,$E$112:$E$118),F59,$F228)</f>
        <v>4.1166393599999989</v>
      </c>
      <c r="G258" s="50" cm="1">
        <f t="array" aca="1" ref="G258" ca="1">MMS_Swine_ManureAppliedToSoils_Equations.VEERG_4_5_1_9__1_MassOfNitrogenAppliedToSoilsScope1(G29,_xlfn.XLOOKUP($E258,$D$123:$D$129,$E$123:$E$129), _xlfn.XLOOKUP($E258,$D$112:$D$118,$E$112:$E$118),G59,$F228)</f>
        <v>5.7496698000000013</v>
      </c>
      <c r="H258" s="50" cm="1">
        <f t="array" aca="1" ref="H258" ca="1">MMS_Swine_ManureAppliedToSoils_Equations.VEERG_4_5_1_9__1_MassOfNitrogenAppliedToSoilsScope1(H29,_xlfn.XLOOKUP($E258,$D$123:$D$129,$E$123:$E$129), _xlfn.XLOOKUP($E258,$D$112:$D$118,$E$112:$E$118),H59,$F228)</f>
        <v>5.3976491999999983</v>
      </c>
      <c r="I258" s="50" cm="1">
        <f t="array" aca="1" ref="I258" ca="1">MMS_Swine_ManureAppliedToSoils_Equations.VEERG_4_5_1_9__1_MassOfNitrogenAppliedToSoilsScope1(I29,_xlfn.XLOOKUP($E258,$D$123:$D$129,$E$123:$E$129), _xlfn.XLOOKUP($E258,$D$112:$D$118,$E$112:$E$118),I59,$F228)</f>
        <v>3.6610142399999983</v>
      </c>
      <c r="J258" s="2"/>
      <c r="N258" s="55"/>
      <c r="O258" s="55" t="str">
        <f>INDEX(X_Table_Swine_Stage2MMS_From_Drylot,5,1)</f>
        <v>Pit storage</v>
      </c>
      <c r="P258" s="50" cm="1">
        <f t="array" aca="1" ref="P258" ca="1">MMS_Swine_ManureAppliedToSoils_Equations.VEERG_4_5_1_9__1_MassOfNitrogenAppliedToSoilsScope1(P29,_xlfn.XLOOKUP($E258,$D$123:$D$129,$E$123:$E$129), _xlfn.XLOOKUP($E258,$D$112:$D$118,$E$112:$E$118),P59,$F228)</f>
        <v>4.1166393599999989</v>
      </c>
      <c r="Q258" s="50" cm="1">
        <f t="array" aca="1" ref="Q258" ca="1">MMS_Swine_ManureAppliedToSoils_Equations.VEERG_4_5_1_9__1_MassOfNitrogenAppliedToSoilsScope1(Q29,_xlfn.XLOOKUP($E258,$D$123:$D$129,$E$123:$E$129), _xlfn.XLOOKUP($E258,$D$112:$D$118,$E$112:$E$118),Q59,$F228)</f>
        <v>5.7496698000000013</v>
      </c>
      <c r="R258" s="50" cm="1">
        <f t="array" aca="1" ref="R258" ca="1">MMS_Swine_ManureAppliedToSoils_Equations.VEERG_4_5_1_9__1_MassOfNitrogenAppliedToSoilsScope1(R29,_xlfn.XLOOKUP($E258,$D$123:$D$129,$E$123:$E$129), _xlfn.XLOOKUP($E258,$D$112:$D$118,$E$112:$E$118),R59,$F228)</f>
        <v>5.3976491999999983</v>
      </c>
      <c r="S258" s="50" cm="1">
        <f t="array" aca="1" ref="S258" ca="1">MMS_Swine_ManureAppliedToSoils_Equations.VEERG_4_5_1_9__1_MassOfNitrogenAppliedToSoilsScope1(S29,_xlfn.XLOOKUP($E258,$D$123:$D$129,$E$123:$E$129), _xlfn.XLOOKUP($E258,$D$112:$D$118,$E$112:$E$118),S59,$F228)</f>
        <v>3.6610142399999983</v>
      </c>
      <c r="T258" s="2"/>
    </row>
    <row r="259" spans="4:20" ht="20.100000000000001" customHeight="1" x14ac:dyDescent="0.25">
      <c r="D259" s="55"/>
      <c r="E259" s="55" t="str">
        <f>INDEX(X_Table_Swine_Stage2MMS_From_Drylot,6,1)</f>
        <v>Direct application</v>
      </c>
      <c r="F259" s="50" cm="1">
        <f t="array" aca="1" ref="F259" ca="1">MMS_Swine_ManureAppliedToSoils_Equations.VEERG_4_5_1_9__1_MassOfNitrogenAppliedToSoilsScope1(F30,_xlfn.XLOOKUP($E259,$D$123:$D$129,$E$123:$E$129), _xlfn.XLOOKUP($E259,$D$112:$D$118,$E$112:$E$118),F60,$F229)</f>
        <v>0</v>
      </c>
      <c r="G259" s="50" cm="1">
        <f t="array" aca="1" ref="G259" ca="1">MMS_Swine_ManureAppliedToSoils_Equations.VEERG_4_5_1_9__1_MassOfNitrogenAppliedToSoilsScope1(G30,_xlfn.XLOOKUP($E259,$D$123:$D$129,$E$123:$E$129), _xlfn.XLOOKUP($E259,$D$112:$D$118,$E$112:$E$118),G60,$F229)</f>
        <v>0</v>
      </c>
      <c r="H259" s="50" cm="1">
        <f t="array" aca="1" ref="H259" ca="1">MMS_Swine_ManureAppliedToSoils_Equations.VEERG_4_5_1_9__1_MassOfNitrogenAppliedToSoilsScope1(H30,_xlfn.XLOOKUP($E259,$D$123:$D$129,$E$123:$E$129), _xlfn.XLOOKUP($E259,$D$112:$D$118,$E$112:$E$118),H60,$F229)</f>
        <v>0</v>
      </c>
      <c r="I259" s="50" cm="1">
        <f t="array" aca="1" ref="I259" ca="1">MMS_Swine_ManureAppliedToSoils_Equations.VEERG_4_5_1_9__1_MassOfNitrogenAppliedToSoilsScope1(I30,_xlfn.XLOOKUP($E259,$D$123:$D$129,$E$123:$E$129), _xlfn.XLOOKUP($E259,$D$112:$D$118,$E$112:$E$118),I60,$F229)</f>
        <v>0</v>
      </c>
      <c r="J259" s="2"/>
      <c r="N259" s="55"/>
      <c r="O259" s="55" t="str">
        <f>INDEX(X_Table_Swine_Stage2MMS_From_Drylot,6,1)</f>
        <v>Direct application</v>
      </c>
      <c r="P259" s="50" cm="1">
        <f t="array" aca="1" ref="P259" ca="1">MMS_Swine_ManureAppliedToSoils_Equations.VEERG_4_5_1_9__1_MassOfNitrogenAppliedToSoilsScope1(P30,_xlfn.XLOOKUP($E259,$D$123:$D$129,$E$123:$E$129), _xlfn.XLOOKUP($E259,$D$112:$D$118,$E$112:$E$118),P60,$F229)</f>
        <v>0</v>
      </c>
      <c r="Q259" s="50" cm="1">
        <f t="array" aca="1" ref="Q259" ca="1">MMS_Swine_ManureAppliedToSoils_Equations.VEERG_4_5_1_9__1_MassOfNitrogenAppliedToSoilsScope1(Q30,_xlfn.XLOOKUP($E259,$D$123:$D$129,$E$123:$E$129), _xlfn.XLOOKUP($E259,$D$112:$D$118,$E$112:$E$118),Q60,$F229)</f>
        <v>0</v>
      </c>
      <c r="R259" s="50" cm="1">
        <f t="array" aca="1" ref="R259" ca="1">MMS_Swine_ManureAppliedToSoils_Equations.VEERG_4_5_1_9__1_MassOfNitrogenAppliedToSoilsScope1(R30,_xlfn.XLOOKUP($E259,$D$123:$D$129,$E$123:$E$129), _xlfn.XLOOKUP($E259,$D$112:$D$118,$E$112:$E$118),R60,$F229)</f>
        <v>0</v>
      </c>
      <c r="S259" s="50" cm="1">
        <f t="array" aca="1" ref="S259" ca="1">MMS_Swine_ManureAppliedToSoils_Equations.VEERG_4_5_1_9__1_MassOfNitrogenAppliedToSoilsScope1(S30,_xlfn.XLOOKUP($E259,$D$123:$D$129,$E$123:$E$129), _xlfn.XLOOKUP($E259,$D$112:$D$118,$E$112:$E$118),S60,$F229)</f>
        <v>0</v>
      </c>
      <c r="T259" s="2"/>
    </row>
    <row r="260" spans="4:20" ht="20.100000000000001" customHeight="1" x14ac:dyDescent="0.25">
      <c r="D260" s="55" t="str">
        <f>INDEX(X_Table_Swine_Stage1MMS_DigesterCoveredLagoons,2,1)</f>
        <v>Digester / covered lagoons</v>
      </c>
      <c r="E260" s="55" t="str">
        <f>INDEX(X_Table_Swine_Stage2MMS_From_DigesterCoveredLagoons,2,1)</f>
        <v>Anaerobic lagoon</v>
      </c>
      <c r="F260" s="50" cm="1">
        <f t="array" aca="1" ref="F260" ca="1">MMS_Swine_ManureAppliedToSoils_Equations.VEERG_4_5_1_9__1_MassOfNitrogenAppliedToSoilsScope1(F31,_xlfn.XLOOKUP($E260,$D$123:$D$129,$E$123:$E$129), _xlfn.XLOOKUP($E260,$D$112:$D$118,$E$112:$E$118),F61,$F230)</f>
        <v>4.5332999999999988</v>
      </c>
      <c r="G260" s="50" cm="1">
        <f t="array" aca="1" ref="G260" ca="1">MMS_Swine_ManureAppliedToSoils_Equations.VEERG_4_5_1_9__1_MassOfNitrogenAppliedToSoilsScope1(G31,_xlfn.XLOOKUP($E260,$D$123:$D$129,$E$123:$E$129), _xlfn.XLOOKUP($E260,$D$112:$D$118,$E$112:$E$118),G61,$F230)</f>
        <v>6.0361875000000005</v>
      </c>
      <c r="H260" s="50" cm="1">
        <f t="array" aca="1" ref="H260" ca="1">MMS_Swine_ManureAppliedToSoils_Equations.VEERG_4_5_1_9__1_MassOfNitrogenAppliedToSoilsScope1(H31,_xlfn.XLOOKUP($E260,$D$123:$D$129,$E$123:$E$129), _xlfn.XLOOKUP($E260,$D$112:$D$118,$E$112:$E$118),H61,$F230)</f>
        <v>5.666624999999998</v>
      </c>
      <c r="I260" s="50" cm="1">
        <f t="array" aca="1" ref="I260" ca="1">MMS_Swine_ManureAppliedToSoils_Equations.VEERG_4_5_1_9__1_MassOfNitrogenAppliedToSoilsScope1(I31,_xlfn.XLOOKUP($E260,$D$123:$D$129,$E$123:$E$129), _xlfn.XLOOKUP($E260,$D$112:$D$118,$E$112:$E$118),I61,$F230)</f>
        <v>3.8434499999999989</v>
      </c>
      <c r="J260" s="2"/>
      <c r="N260" s="55" t="str">
        <f>INDEX(X_Table_Swine_Stage1MMS_DigesterCoveredLagoons,2,1)</f>
        <v>Digester / covered lagoons</v>
      </c>
      <c r="O260" s="55" t="str">
        <f>INDEX(X_Table_Swine_Stage2MMS_From_DigesterCoveredLagoons,2,1)</f>
        <v>Anaerobic lagoon</v>
      </c>
      <c r="P260" s="50" cm="1">
        <f t="array" aca="1" ref="P260" ca="1">MMS_Swine_ManureAppliedToSoils_Equations.VEERG_4_5_1_9__1_MassOfNitrogenAppliedToSoilsScope1(P31,_xlfn.XLOOKUP($E260,$D$123:$D$129,$E$123:$E$129), _xlfn.XLOOKUP($E260,$D$112:$D$118,$E$112:$E$118),P61,$F230)</f>
        <v>4.5332999999999988</v>
      </c>
      <c r="Q260" s="50" cm="1">
        <f t="array" aca="1" ref="Q260" ca="1">MMS_Swine_ManureAppliedToSoils_Equations.VEERG_4_5_1_9__1_MassOfNitrogenAppliedToSoilsScope1(Q31,_xlfn.XLOOKUP($E260,$D$123:$D$129,$E$123:$E$129), _xlfn.XLOOKUP($E260,$D$112:$D$118,$E$112:$E$118),Q61,$F230)</f>
        <v>6.0361875000000005</v>
      </c>
      <c r="R260" s="50" cm="1">
        <f t="array" aca="1" ref="R260" ca="1">MMS_Swine_ManureAppliedToSoils_Equations.VEERG_4_5_1_9__1_MassOfNitrogenAppliedToSoilsScope1(R31,_xlfn.XLOOKUP($E260,$D$123:$D$129,$E$123:$E$129), _xlfn.XLOOKUP($E260,$D$112:$D$118,$E$112:$E$118),R61,$F230)</f>
        <v>5.666624999999998</v>
      </c>
      <c r="S260" s="50" cm="1">
        <f t="array" aca="1" ref="S260" ca="1">MMS_Swine_ManureAppliedToSoils_Equations.VEERG_4_5_1_9__1_MassOfNitrogenAppliedToSoilsScope1(S31,_xlfn.XLOOKUP($E260,$D$123:$D$129,$E$123:$E$129), _xlfn.XLOOKUP($E260,$D$112:$D$118,$E$112:$E$118),S61,$F230)</f>
        <v>3.8434499999999989</v>
      </c>
      <c r="T260" s="2"/>
    </row>
    <row r="261" spans="4:20" ht="20.100000000000001" customHeight="1" x14ac:dyDescent="0.25">
      <c r="D261" s="55"/>
      <c r="E261" s="55" t="str">
        <f>INDEX(X_Table_Swine_Stage2MMS_From_DigesterCoveredLagoons,3,1)</f>
        <v>Deep litter</v>
      </c>
      <c r="F261" s="50" cm="1">
        <f t="array" aca="1" ref="F261" ca="1">MMS_Swine_ManureAppliedToSoils_Equations.VEERG_4_5_1_9__1_MassOfNitrogenAppliedToSoilsScope1(F32,_xlfn.XLOOKUP($E261,$D$123:$D$129,$E$123:$E$129), _xlfn.XLOOKUP($E261,$D$112:$D$118,$E$112:$E$118),F62,$F231)</f>
        <v>8.7140099999999983</v>
      </c>
      <c r="G261" s="50" cm="1">
        <f t="array" aca="1" ref="G261" ca="1">MMS_Swine_ManureAppliedToSoils_Equations.VEERG_4_5_1_9__1_MassOfNitrogenAppliedToSoilsScope1(G32,_xlfn.XLOOKUP($E261,$D$123:$D$129,$E$123:$E$129), _xlfn.XLOOKUP($E261,$D$112:$D$118,$E$112:$E$118),G62,$F231)</f>
        <v>11.602893750000002</v>
      </c>
      <c r="H261" s="50" cm="1">
        <f t="array" aca="1" ref="H261" ca="1">MMS_Swine_ManureAppliedToSoils_Equations.VEERG_4_5_1_9__1_MassOfNitrogenAppliedToSoilsScope1(H32,_xlfn.XLOOKUP($E261,$D$123:$D$129,$E$123:$E$129), _xlfn.XLOOKUP($E261,$D$112:$D$118,$E$112:$E$118),H62,$F231)</f>
        <v>10.892512499999997</v>
      </c>
      <c r="I261" s="50" cm="1">
        <f t="array" aca="1" ref="I261" ca="1">MMS_Swine_ManureAppliedToSoils_Equations.VEERG_4_5_1_9__1_MassOfNitrogenAppliedToSoilsScope1(I32,_xlfn.XLOOKUP($E261,$D$123:$D$129,$E$123:$E$129), _xlfn.XLOOKUP($E261,$D$112:$D$118,$E$112:$E$118),I62,$F231)</f>
        <v>7.3879649999999986</v>
      </c>
      <c r="J261" s="2"/>
      <c r="N261" s="55"/>
      <c r="O261" s="55" t="str">
        <f>INDEX(X_Table_Swine_Stage2MMS_From_DigesterCoveredLagoons,3,1)</f>
        <v>Deep litter</v>
      </c>
      <c r="P261" s="50" cm="1">
        <f t="array" aca="1" ref="P261" ca="1">MMS_Swine_ManureAppliedToSoils_Equations.VEERG_4_5_1_9__1_MassOfNitrogenAppliedToSoilsScope1(P32,_xlfn.XLOOKUP($E261,$D$123:$D$129,$E$123:$E$129), _xlfn.XLOOKUP($E261,$D$112:$D$118,$E$112:$E$118),P62,$F231)</f>
        <v>8.7140099999999983</v>
      </c>
      <c r="Q261" s="50" cm="1">
        <f t="array" aca="1" ref="Q261" ca="1">MMS_Swine_ManureAppliedToSoils_Equations.VEERG_4_5_1_9__1_MassOfNitrogenAppliedToSoilsScope1(Q32,_xlfn.XLOOKUP($E261,$D$123:$D$129,$E$123:$E$129), _xlfn.XLOOKUP($E261,$D$112:$D$118,$E$112:$E$118),Q62,$F231)</f>
        <v>11.602893750000002</v>
      </c>
      <c r="R261" s="50" cm="1">
        <f t="array" aca="1" ref="R261" ca="1">MMS_Swine_ManureAppliedToSoils_Equations.VEERG_4_5_1_9__1_MassOfNitrogenAppliedToSoilsScope1(R32,_xlfn.XLOOKUP($E261,$D$123:$D$129,$E$123:$E$129), _xlfn.XLOOKUP($E261,$D$112:$D$118,$E$112:$E$118),R62,$F231)</f>
        <v>10.892512499999997</v>
      </c>
      <c r="S261" s="50" cm="1">
        <f t="array" aca="1" ref="S261" ca="1">MMS_Swine_ManureAppliedToSoils_Equations.VEERG_4_5_1_9__1_MassOfNitrogenAppliedToSoilsScope1(S32,_xlfn.XLOOKUP($E261,$D$123:$D$129,$E$123:$E$129), _xlfn.XLOOKUP($E261,$D$112:$D$118,$E$112:$E$118),S62,$F231)</f>
        <v>7.3879649999999986</v>
      </c>
      <c r="T261" s="2"/>
    </row>
    <row r="262" spans="4:20" ht="20.100000000000001" customHeight="1" x14ac:dyDescent="0.25">
      <c r="D262" s="55"/>
      <c r="E262" s="55" t="str">
        <f>INDEX(X_Table_Swine_Stage2MMS_From_DigesterCoveredLagoons,4,1)</f>
        <v>Pit storage</v>
      </c>
      <c r="F262" s="50" cm="1">
        <f t="array" aca="1" ref="F262" ca="1">MMS_Swine_ManureAppliedToSoils_Equations.VEERG_4_5_1_9__1_MassOfNitrogenAppliedToSoilsScope1(F33,_xlfn.XLOOKUP($E262,$D$123:$D$129,$E$123:$E$129), _xlfn.XLOOKUP($E262,$D$112:$D$118,$E$112:$E$118),F63,$F232)</f>
        <v>7.5353519999999987</v>
      </c>
      <c r="G262" s="50" cm="1">
        <f t="array" aca="1" ref="G262" ca="1">MMS_Swine_ManureAppliedToSoils_Equations.VEERG_4_5_1_9__1_MassOfNitrogenAppliedToSoilsScope1(G33,_xlfn.XLOOKUP($E262,$D$123:$D$129,$E$123:$E$129), _xlfn.XLOOKUP($E262,$D$112:$D$118,$E$112:$E$118),G63,$F232)</f>
        <v>10.033485000000001</v>
      </c>
      <c r="H262" s="50" cm="1">
        <f t="array" aca="1" ref="H262" ca="1">MMS_Swine_ManureAppliedToSoils_Equations.VEERG_4_5_1_9__1_MassOfNitrogenAppliedToSoilsScope1(H33,_xlfn.XLOOKUP($E262,$D$123:$D$129,$E$123:$E$129), _xlfn.XLOOKUP($E262,$D$112:$D$118,$E$112:$E$118),H63,$F232)</f>
        <v>9.4191899999999986</v>
      </c>
      <c r="I262" s="50" cm="1">
        <f t="array" aca="1" ref="I262" ca="1">MMS_Swine_ManureAppliedToSoils_Equations.VEERG_4_5_1_9__1_MassOfNitrogenAppliedToSoilsScope1(I33,_xlfn.XLOOKUP($E262,$D$123:$D$129,$E$123:$E$129), _xlfn.XLOOKUP($E262,$D$112:$D$118,$E$112:$E$118),I63,$F232)</f>
        <v>6.3886679999999991</v>
      </c>
      <c r="J262" s="2"/>
      <c r="N262" s="55"/>
      <c r="O262" s="55" t="str">
        <f>INDEX(X_Table_Swine_Stage2MMS_From_DigesterCoveredLagoons,4,1)</f>
        <v>Pit storage</v>
      </c>
      <c r="P262" s="50" cm="1">
        <f t="array" aca="1" ref="P262" ca="1">MMS_Swine_ManureAppliedToSoils_Equations.VEERG_4_5_1_9__1_MassOfNitrogenAppliedToSoilsScope1(P33,_xlfn.XLOOKUP($E262,$D$123:$D$129,$E$123:$E$129), _xlfn.XLOOKUP($E262,$D$112:$D$118,$E$112:$E$118),P63,$F232)</f>
        <v>7.5353519999999987</v>
      </c>
      <c r="Q262" s="50" cm="1">
        <f t="array" aca="1" ref="Q262" ca="1">MMS_Swine_ManureAppliedToSoils_Equations.VEERG_4_5_1_9__1_MassOfNitrogenAppliedToSoilsScope1(Q33,_xlfn.XLOOKUP($E262,$D$123:$D$129,$E$123:$E$129), _xlfn.XLOOKUP($E262,$D$112:$D$118,$E$112:$E$118),Q63,$F232)</f>
        <v>10.033485000000001</v>
      </c>
      <c r="R262" s="50" cm="1">
        <f t="array" aca="1" ref="R262" ca="1">MMS_Swine_ManureAppliedToSoils_Equations.VEERG_4_5_1_9__1_MassOfNitrogenAppliedToSoilsScope1(R33,_xlfn.XLOOKUP($E262,$D$123:$D$129,$E$123:$E$129), _xlfn.XLOOKUP($E262,$D$112:$D$118,$E$112:$E$118),R63,$F232)</f>
        <v>9.4191899999999986</v>
      </c>
      <c r="S262" s="50" cm="1">
        <f t="array" aca="1" ref="S262" ca="1">MMS_Swine_ManureAppliedToSoils_Equations.VEERG_4_5_1_9__1_MassOfNitrogenAppliedToSoilsScope1(S33,_xlfn.XLOOKUP($E262,$D$123:$D$129,$E$123:$E$129), _xlfn.XLOOKUP($E262,$D$112:$D$118,$E$112:$E$118),S63,$F232)</f>
        <v>6.3886679999999991</v>
      </c>
      <c r="T262" s="2"/>
    </row>
    <row r="263" spans="4:20" ht="20.100000000000001" customHeight="1" x14ac:dyDescent="0.25">
      <c r="D263" s="55"/>
      <c r="E263" s="55" t="str">
        <f>INDEX(X_Table_Swine_Stage2MMS_From_DigesterCoveredLagoons,5,1)</f>
        <v>Direct application</v>
      </c>
      <c r="F263" s="50" cm="1">
        <f t="array" aca="1" ref="F263" ca="1">MMS_Swine_ManureAppliedToSoils_Equations.VEERG_4_5_1_9__1_MassOfNitrogenAppliedToSoilsScope1(F34,_xlfn.XLOOKUP($E263,$D$123:$D$129,$E$123:$E$129), _xlfn.XLOOKUP($E263,$D$112:$D$118,$E$112:$E$118),F64,$F233)</f>
        <v>0</v>
      </c>
      <c r="G263" s="50" cm="1">
        <f t="array" aca="1" ref="G263" ca="1">MMS_Swine_ManureAppliedToSoils_Equations.VEERG_4_5_1_9__1_MassOfNitrogenAppliedToSoilsScope1(G34,_xlfn.XLOOKUP($E263,$D$123:$D$129,$E$123:$E$129), _xlfn.XLOOKUP($E263,$D$112:$D$118,$E$112:$E$118),G64,$F233)</f>
        <v>0</v>
      </c>
      <c r="H263" s="50" cm="1">
        <f t="array" aca="1" ref="H263" ca="1">MMS_Swine_ManureAppliedToSoils_Equations.VEERG_4_5_1_9__1_MassOfNitrogenAppliedToSoilsScope1(H34,_xlfn.XLOOKUP($E263,$D$123:$D$129,$E$123:$E$129), _xlfn.XLOOKUP($E263,$D$112:$D$118,$E$112:$E$118),H64,$F233)</f>
        <v>0</v>
      </c>
      <c r="I263" s="50" cm="1">
        <f t="array" aca="1" ref="I263" ca="1">MMS_Swine_ManureAppliedToSoils_Equations.VEERG_4_5_1_9__1_MassOfNitrogenAppliedToSoilsScope1(I34,_xlfn.XLOOKUP($E263,$D$123:$D$129,$E$123:$E$129), _xlfn.XLOOKUP($E263,$D$112:$D$118,$E$112:$E$118),I64,$F233)</f>
        <v>0</v>
      </c>
      <c r="J263" s="2"/>
      <c r="N263" s="55"/>
      <c r="O263" s="55" t="str">
        <f>INDEX(X_Table_Swine_Stage2MMS_From_DigesterCoveredLagoons,5,1)</f>
        <v>Direct application</v>
      </c>
      <c r="P263" s="50" cm="1">
        <f t="array" aca="1" ref="P263" ca="1">MMS_Swine_ManureAppliedToSoils_Equations.VEERG_4_5_1_9__1_MassOfNitrogenAppliedToSoilsScope1(P34,_xlfn.XLOOKUP($E263,$D$123:$D$129,$E$123:$E$129), _xlfn.XLOOKUP($E263,$D$112:$D$118,$E$112:$E$118),P64,$F233)</f>
        <v>0</v>
      </c>
      <c r="Q263" s="50" cm="1">
        <f t="array" aca="1" ref="Q263" ca="1">MMS_Swine_ManureAppliedToSoils_Equations.VEERG_4_5_1_9__1_MassOfNitrogenAppliedToSoilsScope1(Q34,_xlfn.XLOOKUP($E263,$D$123:$D$129,$E$123:$E$129), _xlfn.XLOOKUP($E263,$D$112:$D$118,$E$112:$E$118),Q64,$F233)</f>
        <v>0</v>
      </c>
      <c r="R263" s="50" cm="1">
        <f t="array" aca="1" ref="R263" ca="1">MMS_Swine_ManureAppliedToSoils_Equations.VEERG_4_5_1_9__1_MassOfNitrogenAppliedToSoilsScope1(R34,_xlfn.XLOOKUP($E263,$D$123:$D$129,$E$123:$E$129), _xlfn.XLOOKUP($E263,$D$112:$D$118,$E$112:$E$118),R64,$F233)</f>
        <v>0</v>
      </c>
      <c r="S263" s="50" cm="1">
        <f t="array" aca="1" ref="S263" ca="1">MMS_Swine_ManureAppliedToSoils_Equations.VEERG_4_5_1_9__1_MassOfNitrogenAppliedToSoilsScope1(S34,_xlfn.XLOOKUP($E263,$D$123:$D$129,$E$123:$E$129), _xlfn.XLOOKUP($E263,$D$112:$D$118,$E$112:$E$118),S64,$F233)</f>
        <v>0</v>
      </c>
      <c r="T263" s="2"/>
    </row>
    <row r="264" spans="4:20" ht="20.100000000000001" customHeight="1" x14ac:dyDescent="0.25">
      <c r="D264" s="55" t="str">
        <f>INDEX(X_Table_Swine_Stage1MMS_DeepLitter,2,1)</f>
        <v>Deep litter</v>
      </c>
      <c r="E264" s="55" t="str">
        <f>INDEX(X_Table_Swine_Stage2MMS_From_DeepLitter,2,1)</f>
        <v>Anaerobic lagoon</v>
      </c>
      <c r="F264" s="50" cm="1">
        <f t="array" aca="1" ref="F264" ca="1">MMS_Swine_ManureAppliedToSoils_Equations.VEERG_4_5_1_9__1_MassOfNitrogenAppliedToSoilsScope1(F35,_xlfn.XLOOKUP($E264,$D$123:$D$129,$E$123:$E$129), _xlfn.XLOOKUP($E264,$D$112:$D$118,$E$112:$E$118),F65,$F234)</f>
        <v>3.9213044999999989</v>
      </c>
      <c r="G264" s="50" cm="1">
        <f t="array" aca="1" ref="G264" ca="1">MMS_Swine_ManureAppliedToSoils_Equations.VEERG_4_5_1_9__1_MassOfNitrogenAppliedToSoilsScope1(G35,_xlfn.XLOOKUP($E264,$D$123:$D$129,$E$123:$E$129), _xlfn.XLOOKUP($E264,$D$112:$D$118,$E$112:$E$118),G65,$F234)</f>
        <v>5.2213021875000001</v>
      </c>
      <c r="H264" s="50" cm="1">
        <f t="array" aca="1" ref="H264" ca="1">MMS_Swine_ManureAppliedToSoils_Equations.VEERG_4_5_1_9__1_MassOfNitrogenAppliedToSoilsScope1(H35,_xlfn.XLOOKUP($E264,$D$123:$D$129,$E$123:$E$129), _xlfn.XLOOKUP($E264,$D$112:$D$118,$E$112:$E$118),H65,$F234)</f>
        <v>4.9016306249999984</v>
      </c>
      <c r="I264" s="50" cm="1">
        <f t="array" aca="1" ref="I264" ca="1">MMS_Swine_ManureAppliedToSoils_Equations.VEERG_4_5_1_9__1_MassOfNitrogenAppliedToSoilsScope1(I35,_xlfn.XLOOKUP($E264,$D$123:$D$129,$E$123:$E$129), _xlfn.XLOOKUP($E264,$D$112:$D$118,$E$112:$E$118),I65,$F234)</f>
        <v>3.3245842499999991</v>
      </c>
      <c r="J264" s="2"/>
      <c r="N264" s="55" t="str">
        <f>INDEX(X_Table_Swine_Stage1MMS_DeepLitter,2,1)</f>
        <v>Deep litter</v>
      </c>
      <c r="O264" s="55" t="str">
        <f>INDEX(X_Table_Swine_Stage2MMS_From_DeepLitter,2,1)</f>
        <v>Anaerobic lagoon</v>
      </c>
      <c r="P264" s="50" cm="1">
        <f t="array" aca="1" ref="P264" ca="1">MMS_Swine_ManureAppliedToSoils_Equations.VEERG_4_5_1_9__1_MassOfNitrogenAppliedToSoilsScope1(P35,_xlfn.XLOOKUP($E264,$D$123:$D$129,$E$123:$E$129), _xlfn.XLOOKUP($E264,$D$112:$D$118,$E$112:$E$118),P65,$F234)</f>
        <v>3.9213044999999989</v>
      </c>
      <c r="Q264" s="50" cm="1">
        <f t="array" aca="1" ref="Q264" ca="1">MMS_Swine_ManureAppliedToSoils_Equations.VEERG_4_5_1_9__1_MassOfNitrogenAppliedToSoilsScope1(Q35,_xlfn.XLOOKUP($E264,$D$123:$D$129,$E$123:$E$129), _xlfn.XLOOKUP($E264,$D$112:$D$118,$E$112:$E$118),Q65,$F234)</f>
        <v>5.2213021875000001</v>
      </c>
      <c r="R264" s="50" cm="1">
        <f t="array" aca="1" ref="R264" ca="1">MMS_Swine_ManureAppliedToSoils_Equations.VEERG_4_5_1_9__1_MassOfNitrogenAppliedToSoilsScope1(R35,_xlfn.XLOOKUP($E264,$D$123:$D$129,$E$123:$E$129), _xlfn.XLOOKUP($E264,$D$112:$D$118,$E$112:$E$118),R65,$F234)</f>
        <v>4.9016306249999984</v>
      </c>
      <c r="S264" s="50" cm="1">
        <f t="array" aca="1" ref="S264" ca="1">MMS_Swine_ManureAppliedToSoils_Equations.VEERG_4_5_1_9__1_MassOfNitrogenAppliedToSoilsScope1(S35,_xlfn.XLOOKUP($E264,$D$123:$D$129,$E$123:$E$129), _xlfn.XLOOKUP($E264,$D$112:$D$118,$E$112:$E$118),S65,$F234)</f>
        <v>3.3245842499999991</v>
      </c>
      <c r="T264" s="2"/>
    </row>
    <row r="265" spans="4:20" ht="20.100000000000001" customHeight="1" x14ac:dyDescent="0.25">
      <c r="D265" s="55"/>
      <c r="E265" s="55" t="str">
        <f>INDEX(X_Table_Swine_Stage2MMS_From_DeepLitter,3,1)</f>
        <v>Digester / covered lagoons</v>
      </c>
      <c r="F265" s="50" cm="1">
        <f t="array" aca="1" ref="F265" ca="1">MMS_Swine_ManureAppliedToSoils_Equations.VEERG_4_5_1_9__1_MassOfNitrogenAppliedToSoilsScope1(F36,_xlfn.XLOOKUP($E265,$D$123:$D$129,$E$123:$E$129), _xlfn.XLOOKUP($E265,$D$112:$D$118,$E$112:$E$118),F66,$F235)</f>
        <v>8.7140099999999983</v>
      </c>
      <c r="G265" s="50" cm="1">
        <f t="array" aca="1" ref="G265" ca="1">MMS_Swine_ManureAppliedToSoils_Equations.VEERG_4_5_1_9__1_MassOfNitrogenAppliedToSoilsScope1(G36,_xlfn.XLOOKUP($E265,$D$123:$D$129,$E$123:$E$129), _xlfn.XLOOKUP($E265,$D$112:$D$118,$E$112:$E$118),G66,$F235)</f>
        <v>11.602893750000002</v>
      </c>
      <c r="H265" s="50" cm="1">
        <f t="array" aca="1" ref="H265" ca="1">MMS_Swine_ManureAppliedToSoils_Equations.VEERG_4_5_1_9__1_MassOfNitrogenAppliedToSoilsScope1(H36,_xlfn.XLOOKUP($E265,$D$123:$D$129,$E$123:$E$129), _xlfn.XLOOKUP($E265,$D$112:$D$118,$E$112:$E$118),H66,$F235)</f>
        <v>10.892512499999997</v>
      </c>
      <c r="I265" s="50" cm="1">
        <f t="array" aca="1" ref="I265" ca="1">MMS_Swine_ManureAppliedToSoils_Equations.VEERG_4_5_1_9__1_MassOfNitrogenAppliedToSoilsScope1(I36,_xlfn.XLOOKUP($E265,$D$123:$D$129,$E$123:$E$129), _xlfn.XLOOKUP($E265,$D$112:$D$118,$E$112:$E$118),I66,$F235)</f>
        <v>7.3879649999999986</v>
      </c>
      <c r="J265" s="2"/>
      <c r="N265" s="55"/>
      <c r="O265" s="55" t="str">
        <f>INDEX(X_Table_Swine_Stage2MMS_From_DeepLitter,3,1)</f>
        <v>Digester / covered lagoons</v>
      </c>
      <c r="P265" s="50" cm="1">
        <f t="array" aca="1" ref="P265" ca="1">MMS_Swine_ManureAppliedToSoils_Equations.VEERG_4_5_1_9__1_MassOfNitrogenAppliedToSoilsScope1(P36,_xlfn.XLOOKUP($E265,$D$123:$D$129,$E$123:$E$129), _xlfn.XLOOKUP($E265,$D$112:$D$118,$E$112:$E$118),P66,$F235)</f>
        <v>8.7140099999999983</v>
      </c>
      <c r="Q265" s="50" cm="1">
        <f t="array" aca="1" ref="Q265" ca="1">MMS_Swine_ManureAppliedToSoils_Equations.VEERG_4_5_1_9__1_MassOfNitrogenAppliedToSoilsScope1(Q36,_xlfn.XLOOKUP($E265,$D$123:$D$129,$E$123:$E$129), _xlfn.XLOOKUP($E265,$D$112:$D$118,$E$112:$E$118),Q66,$F235)</f>
        <v>11.602893750000002</v>
      </c>
      <c r="R265" s="50" cm="1">
        <f t="array" aca="1" ref="R265" ca="1">MMS_Swine_ManureAppliedToSoils_Equations.VEERG_4_5_1_9__1_MassOfNitrogenAppliedToSoilsScope1(R36,_xlfn.XLOOKUP($E265,$D$123:$D$129,$E$123:$E$129), _xlfn.XLOOKUP($E265,$D$112:$D$118,$E$112:$E$118),R66,$F235)</f>
        <v>10.892512499999997</v>
      </c>
      <c r="S265" s="50" cm="1">
        <f t="array" aca="1" ref="S265" ca="1">MMS_Swine_ManureAppliedToSoils_Equations.VEERG_4_5_1_9__1_MassOfNitrogenAppliedToSoilsScope1(S36,_xlfn.XLOOKUP($E265,$D$123:$D$129,$E$123:$E$129), _xlfn.XLOOKUP($E265,$D$112:$D$118,$E$112:$E$118),S66,$F235)</f>
        <v>7.3879649999999986</v>
      </c>
      <c r="T265" s="2"/>
    </row>
    <row r="266" spans="4:20" ht="20.100000000000001" customHeight="1" x14ac:dyDescent="0.25">
      <c r="D266" s="55"/>
      <c r="E266" s="55" t="str">
        <f>INDEX(X_Table_Swine_Stage2MMS_From_DeepLitter,4,1)</f>
        <v>Pit storage</v>
      </c>
      <c r="F266" s="50" cm="1">
        <f t="array" aca="1" ref="F266" ca="1">MMS_Swine_ManureAppliedToSoils_Equations.VEERG_4_5_1_9__1_MassOfNitrogenAppliedToSoilsScope1(F37,_xlfn.XLOOKUP($E266,$D$123:$D$129,$E$123:$E$129), _xlfn.XLOOKUP($E266,$D$112:$D$118,$E$112:$E$118),F67,$F236)</f>
        <v>6.518079479999999</v>
      </c>
      <c r="G266" s="50" cm="1">
        <f t="array" aca="1" ref="G266" ca="1">MMS_Swine_ManureAppliedToSoils_Equations.VEERG_4_5_1_9__1_MassOfNitrogenAppliedToSoilsScope1(G37,_xlfn.XLOOKUP($E266,$D$123:$D$129,$E$123:$E$129), _xlfn.XLOOKUP($E266,$D$112:$D$118,$E$112:$E$118),G67,$F236)</f>
        <v>8.6789645250000014</v>
      </c>
      <c r="H266" s="50" cm="1">
        <f t="array" aca="1" ref="H266" ca="1">MMS_Swine_ManureAppliedToSoils_Equations.VEERG_4_5_1_9__1_MassOfNitrogenAppliedToSoilsScope1(H37,_xlfn.XLOOKUP($E266,$D$123:$D$129,$E$123:$E$129), _xlfn.XLOOKUP($E266,$D$112:$D$118,$E$112:$E$118),H67,$F236)</f>
        <v>8.1475993499999984</v>
      </c>
      <c r="I266" s="50" cm="1">
        <f t="array" aca="1" ref="I266" ca="1">MMS_Swine_ManureAppliedToSoils_Equations.VEERG_4_5_1_9__1_MassOfNitrogenAppliedToSoilsScope1(I37,_xlfn.XLOOKUP($E266,$D$123:$D$129,$E$123:$E$129), _xlfn.XLOOKUP($E266,$D$112:$D$118,$E$112:$E$118),I67,$F236)</f>
        <v>5.5261978199999993</v>
      </c>
      <c r="J266" s="2"/>
      <c r="N266" s="55"/>
      <c r="O266" s="55" t="str">
        <f>INDEX(X_Table_Swine_Stage2MMS_From_DeepLitter,4,1)</f>
        <v>Pit storage</v>
      </c>
      <c r="P266" s="50" cm="1">
        <f t="array" aca="1" ref="P266" ca="1">MMS_Swine_ManureAppliedToSoils_Equations.VEERG_4_5_1_9__1_MassOfNitrogenAppliedToSoilsScope1(P37,_xlfn.XLOOKUP($E266,$D$123:$D$129,$E$123:$E$129), _xlfn.XLOOKUP($E266,$D$112:$D$118,$E$112:$E$118),P67,$F236)</f>
        <v>6.518079479999999</v>
      </c>
      <c r="Q266" s="50" cm="1">
        <f t="array" aca="1" ref="Q266" ca="1">MMS_Swine_ManureAppliedToSoils_Equations.VEERG_4_5_1_9__1_MassOfNitrogenAppliedToSoilsScope1(Q37,_xlfn.XLOOKUP($E266,$D$123:$D$129,$E$123:$E$129), _xlfn.XLOOKUP($E266,$D$112:$D$118,$E$112:$E$118),Q67,$F236)</f>
        <v>8.6789645250000014</v>
      </c>
      <c r="R266" s="50" cm="1">
        <f t="array" aca="1" ref="R266" ca="1">MMS_Swine_ManureAppliedToSoils_Equations.VEERG_4_5_1_9__1_MassOfNitrogenAppliedToSoilsScope1(R37,_xlfn.XLOOKUP($E266,$D$123:$D$129,$E$123:$E$129), _xlfn.XLOOKUP($E266,$D$112:$D$118,$E$112:$E$118),R67,$F236)</f>
        <v>8.1475993499999984</v>
      </c>
      <c r="S266" s="50" cm="1">
        <f t="array" aca="1" ref="S266" ca="1">MMS_Swine_ManureAppliedToSoils_Equations.VEERG_4_5_1_9__1_MassOfNitrogenAppliedToSoilsScope1(S37,_xlfn.XLOOKUP($E266,$D$123:$D$129,$E$123:$E$129), _xlfn.XLOOKUP($E266,$D$112:$D$118,$E$112:$E$118),S67,$F236)</f>
        <v>5.5261978199999993</v>
      </c>
      <c r="T266" s="2"/>
    </row>
    <row r="267" spans="4:20" ht="20.100000000000001" customHeight="1" x14ac:dyDescent="0.25">
      <c r="D267" s="55"/>
      <c r="E267" s="55" t="str">
        <f>INDEX(X_Table_Swine_Stage2MMS_From_DeepLitter,5,1)</f>
        <v>Direct application</v>
      </c>
      <c r="F267" s="50" cm="1">
        <f t="array" aca="1" ref="F267" ca="1">MMS_Swine_ManureAppliedToSoils_Equations.VEERG_4_5_1_9__1_MassOfNitrogenAppliedToSoilsScope1(F38,_xlfn.XLOOKUP($E267,$D$123:$D$129,$E$123:$E$129), _xlfn.XLOOKUP($E267,$D$112:$D$118,$E$112:$E$118),F68,$F237)</f>
        <v>0</v>
      </c>
      <c r="G267" s="50" cm="1">
        <f t="array" aca="1" ref="G267" ca="1">MMS_Swine_ManureAppliedToSoils_Equations.VEERG_4_5_1_9__1_MassOfNitrogenAppliedToSoilsScope1(G38,_xlfn.XLOOKUP($E267,$D$123:$D$129,$E$123:$E$129), _xlfn.XLOOKUP($E267,$D$112:$D$118,$E$112:$E$118),G68,$F237)</f>
        <v>0</v>
      </c>
      <c r="H267" s="50" cm="1">
        <f t="array" aca="1" ref="H267" ca="1">MMS_Swine_ManureAppliedToSoils_Equations.VEERG_4_5_1_9__1_MassOfNitrogenAppliedToSoilsScope1(H38,_xlfn.XLOOKUP($E267,$D$123:$D$129,$E$123:$E$129), _xlfn.XLOOKUP($E267,$D$112:$D$118,$E$112:$E$118),H68,$F237)</f>
        <v>0</v>
      </c>
      <c r="I267" s="50" cm="1">
        <f t="array" aca="1" ref="I267" ca="1">MMS_Swine_ManureAppliedToSoils_Equations.VEERG_4_5_1_9__1_MassOfNitrogenAppliedToSoilsScope1(I38,_xlfn.XLOOKUP($E267,$D$123:$D$129,$E$123:$E$129), _xlfn.XLOOKUP($E267,$D$112:$D$118,$E$112:$E$118),I68,$F237)</f>
        <v>0</v>
      </c>
      <c r="J267" s="2"/>
      <c r="N267" s="55"/>
      <c r="O267" s="55" t="str">
        <f>INDEX(X_Table_Swine_Stage2MMS_From_DeepLitter,5,1)</f>
        <v>Direct application</v>
      </c>
      <c r="P267" s="50" cm="1">
        <f t="array" aca="1" ref="P267" ca="1">MMS_Swine_ManureAppliedToSoils_Equations.VEERG_4_5_1_9__1_MassOfNitrogenAppliedToSoilsScope1(P38,_xlfn.XLOOKUP($E267,$D$123:$D$129,$E$123:$E$129), _xlfn.XLOOKUP($E267,$D$112:$D$118,$E$112:$E$118),P68,$F237)</f>
        <v>0</v>
      </c>
      <c r="Q267" s="50" cm="1">
        <f t="array" aca="1" ref="Q267" ca="1">MMS_Swine_ManureAppliedToSoils_Equations.VEERG_4_5_1_9__1_MassOfNitrogenAppliedToSoilsScope1(Q38,_xlfn.XLOOKUP($E267,$D$123:$D$129,$E$123:$E$129), _xlfn.XLOOKUP($E267,$D$112:$D$118,$E$112:$E$118),Q68,$F237)</f>
        <v>0</v>
      </c>
      <c r="R267" s="50" cm="1">
        <f t="array" aca="1" ref="R267" ca="1">MMS_Swine_ManureAppliedToSoils_Equations.VEERG_4_5_1_9__1_MassOfNitrogenAppliedToSoilsScope1(R38,_xlfn.XLOOKUP($E267,$D$123:$D$129,$E$123:$E$129), _xlfn.XLOOKUP($E267,$D$112:$D$118,$E$112:$E$118),R68,$F237)</f>
        <v>0</v>
      </c>
      <c r="S267" s="50" cm="1">
        <f t="array" aca="1" ref="S267" ca="1">MMS_Swine_ManureAppliedToSoils_Equations.VEERG_4_5_1_9__1_MassOfNitrogenAppliedToSoilsScope1(S38,_xlfn.XLOOKUP($E267,$D$123:$D$129,$E$123:$E$129), _xlfn.XLOOKUP($E267,$D$112:$D$118,$E$112:$E$118),S68,$F237)</f>
        <v>0</v>
      </c>
      <c r="T267" s="2"/>
    </row>
    <row r="268" spans="4:20" ht="20.100000000000001" customHeight="1" x14ac:dyDescent="0.25">
      <c r="D268" s="55" t="str">
        <f>INDEX(X_Table_Swine_Stage1MMS_PitStorage,2,1)</f>
        <v>Pit storage</v>
      </c>
      <c r="E268" s="55" t="str">
        <f>INDEX(X_Table_Swine_Stage2MMS_From_PitStorage,2,1)</f>
        <v>Anaerobic lagoon</v>
      </c>
      <c r="F268" s="50" cm="1">
        <f t="array" aca="1" ref="F268" ca="1">MMS_Swine_ManureAppliedToSoils_Equations.VEERG_4_5_1_9__1_MassOfNitrogenAppliedToSoilsScope1(F39,_xlfn.XLOOKUP($E268,$D$123:$D$129,$E$123:$E$129), _xlfn.XLOOKUP($E268,$D$112:$D$118,$E$112:$E$118),F69,$F238)</f>
        <v>3.3909083999999994</v>
      </c>
      <c r="G268" s="50" cm="1">
        <f t="array" aca="1" ref="G268" ca="1">MMS_Swine_ManureAppliedToSoils_Equations.VEERG_4_5_1_9__1_MassOfNitrogenAppliedToSoilsScope1(G39,_xlfn.XLOOKUP($E268,$D$123:$D$129,$E$123:$E$129), _xlfn.XLOOKUP($E268,$D$112:$D$118,$E$112:$E$118),G69,$F238)</f>
        <v>4.5150682499999997</v>
      </c>
      <c r="H268" s="50" cm="1">
        <f t="array" aca="1" ref="H268" ca="1">MMS_Swine_ManureAppliedToSoils_Equations.VEERG_4_5_1_9__1_MassOfNitrogenAppliedToSoilsScope1(H39,_xlfn.XLOOKUP($E268,$D$123:$D$129,$E$123:$E$129), _xlfn.XLOOKUP($E268,$D$112:$D$118,$E$112:$E$118),H69,$F238)</f>
        <v>4.2386354999999991</v>
      </c>
      <c r="I268" s="50" cm="1">
        <f t="array" aca="1" ref="I268" ca="1">MMS_Swine_ManureAppliedToSoils_Equations.VEERG_4_5_1_9__1_MassOfNitrogenAppliedToSoilsScope1(I39,_xlfn.XLOOKUP($E268,$D$123:$D$129,$E$123:$E$129), _xlfn.XLOOKUP($E268,$D$112:$D$118,$E$112:$E$118),I69,$F238)</f>
        <v>2.8749005999999993</v>
      </c>
      <c r="J268" s="2"/>
      <c r="N268" s="55" t="str">
        <f>INDEX(X_Table_Swine_Stage1MMS_PitStorage,2,1)</f>
        <v>Pit storage</v>
      </c>
      <c r="O268" s="55" t="str">
        <f>INDEX(X_Table_Swine_Stage2MMS_From_PitStorage,2,1)</f>
        <v>Anaerobic lagoon</v>
      </c>
      <c r="P268" s="50" cm="1">
        <f t="array" aca="1" ref="P268" ca="1">MMS_Swine_ManureAppliedToSoils_Equations.VEERG_4_5_1_9__1_MassOfNitrogenAppliedToSoilsScope1(P39,_xlfn.XLOOKUP($E268,$D$123:$D$129,$E$123:$E$129), _xlfn.XLOOKUP($E268,$D$112:$D$118,$E$112:$E$118),P69,$F238)</f>
        <v>3.3909083999999994</v>
      </c>
      <c r="Q268" s="50" cm="1">
        <f t="array" aca="1" ref="Q268" ca="1">MMS_Swine_ManureAppliedToSoils_Equations.VEERG_4_5_1_9__1_MassOfNitrogenAppliedToSoilsScope1(Q39,_xlfn.XLOOKUP($E268,$D$123:$D$129,$E$123:$E$129), _xlfn.XLOOKUP($E268,$D$112:$D$118,$E$112:$E$118),Q69,$F238)</f>
        <v>4.5150682499999997</v>
      </c>
      <c r="R268" s="50" cm="1">
        <f t="array" aca="1" ref="R268" ca="1">MMS_Swine_ManureAppliedToSoils_Equations.VEERG_4_5_1_9__1_MassOfNitrogenAppliedToSoilsScope1(R39,_xlfn.XLOOKUP($E268,$D$123:$D$129,$E$123:$E$129), _xlfn.XLOOKUP($E268,$D$112:$D$118,$E$112:$E$118),R69,$F238)</f>
        <v>4.2386354999999991</v>
      </c>
      <c r="S268" s="50" cm="1">
        <f t="array" aca="1" ref="S268" ca="1">MMS_Swine_ManureAppliedToSoils_Equations.VEERG_4_5_1_9__1_MassOfNitrogenAppliedToSoilsScope1(S39,_xlfn.XLOOKUP($E268,$D$123:$D$129,$E$123:$E$129), _xlfn.XLOOKUP($E268,$D$112:$D$118,$E$112:$E$118),S69,$F238)</f>
        <v>2.8749005999999993</v>
      </c>
      <c r="T268" s="2"/>
    </row>
    <row r="269" spans="4:20" ht="20.100000000000001" customHeight="1" x14ac:dyDescent="0.25">
      <c r="D269" s="55"/>
      <c r="E269" s="55" t="str">
        <f>INDEX(X_Table_Swine_Stage2MMS_From_PitStorage,3,1)</f>
        <v>Digester / covered lagoons</v>
      </c>
      <c r="F269" s="50" cm="1">
        <f t="array" aca="1" ref="F269" ca="1">MMS_Swine_ManureAppliedToSoils_Equations.VEERG_4_5_1_9__1_MassOfNitrogenAppliedToSoilsScope1(F40,_xlfn.XLOOKUP($E269,$D$123:$D$129,$E$123:$E$129), _xlfn.XLOOKUP($E269,$D$112:$D$118,$E$112:$E$118),F70,$F239)</f>
        <v>7.5353519999999996</v>
      </c>
      <c r="G269" s="50" cm="1">
        <f t="array" aca="1" ref="G269" ca="1">MMS_Swine_ManureAppliedToSoils_Equations.VEERG_4_5_1_9__1_MassOfNitrogenAppliedToSoilsScope1(G40,_xlfn.XLOOKUP($E269,$D$123:$D$129,$E$123:$E$129), _xlfn.XLOOKUP($E269,$D$112:$D$118,$E$112:$E$118),G70,$F239)</f>
        <v>10.033485000000001</v>
      </c>
      <c r="H269" s="50" cm="1">
        <f t="array" aca="1" ref="H269" ca="1">MMS_Swine_ManureAppliedToSoils_Equations.VEERG_4_5_1_9__1_MassOfNitrogenAppliedToSoilsScope1(H40,_xlfn.XLOOKUP($E269,$D$123:$D$129,$E$123:$E$129), _xlfn.XLOOKUP($E269,$D$112:$D$118,$E$112:$E$118),H70,$F239)</f>
        <v>9.4191899999999986</v>
      </c>
      <c r="I269" s="50" cm="1">
        <f t="array" aca="1" ref="I269" ca="1">MMS_Swine_ManureAppliedToSoils_Equations.VEERG_4_5_1_9__1_MassOfNitrogenAppliedToSoilsScope1(I40,_xlfn.XLOOKUP($E269,$D$123:$D$129,$E$123:$E$129), _xlfn.XLOOKUP($E269,$D$112:$D$118,$E$112:$E$118),I70,$F239)</f>
        <v>6.3886679999999991</v>
      </c>
      <c r="J269" s="2"/>
      <c r="N269" s="55"/>
      <c r="O269" s="55" t="str">
        <f>INDEX(X_Table_Swine_Stage2MMS_From_PitStorage,3,1)</f>
        <v>Digester / covered lagoons</v>
      </c>
      <c r="P269" s="50" cm="1">
        <f t="array" aca="1" ref="P269" ca="1">MMS_Swine_ManureAppliedToSoils_Equations.VEERG_4_5_1_9__1_MassOfNitrogenAppliedToSoilsScope1(P40,_xlfn.XLOOKUP($E269,$D$123:$D$129,$E$123:$E$129), _xlfn.XLOOKUP($E269,$D$112:$D$118,$E$112:$E$118),P70,$F239)</f>
        <v>7.5353519999999996</v>
      </c>
      <c r="Q269" s="50" cm="1">
        <f t="array" aca="1" ref="Q269" ca="1">MMS_Swine_ManureAppliedToSoils_Equations.VEERG_4_5_1_9__1_MassOfNitrogenAppliedToSoilsScope1(Q40,_xlfn.XLOOKUP($E269,$D$123:$D$129,$E$123:$E$129), _xlfn.XLOOKUP($E269,$D$112:$D$118,$E$112:$E$118),Q70,$F239)</f>
        <v>10.033485000000001</v>
      </c>
      <c r="R269" s="50" cm="1">
        <f t="array" aca="1" ref="R269" ca="1">MMS_Swine_ManureAppliedToSoils_Equations.VEERG_4_5_1_9__1_MassOfNitrogenAppliedToSoilsScope1(R40,_xlfn.XLOOKUP($E269,$D$123:$D$129,$E$123:$E$129), _xlfn.XLOOKUP($E269,$D$112:$D$118,$E$112:$E$118),R70,$F239)</f>
        <v>9.4191899999999986</v>
      </c>
      <c r="S269" s="50" cm="1">
        <f t="array" aca="1" ref="S269" ca="1">MMS_Swine_ManureAppliedToSoils_Equations.VEERG_4_5_1_9__1_MassOfNitrogenAppliedToSoilsScope1(S40,_xlfn.XLOOKUP($E269,$D$123:$D$129,$E$123:$E$129), _xlfn.XLOOKUP($E269,$D$112:$D$118,$E$112:$E$118),S70,$F239)</f>
        <v>6.3886679999999991</v>
      </c>
      <c r="T269" s="2"/>
    </row>
    <row r="270" spans="4:20" ht="20.100000000000001" customHeight="1" x14ac:dyDescent="0.25">
      <c r="D270" s="55"/>
      <c r="E270" s="55" t="str">
        <f>INDEX(X_Table_Swine_Stage2MMS_From_PitStorage,4,1)</f>
        <v>Deep litter</v>
      </c>
      <c r="F270" s="50" cm="1">
        <f t="array" aca="1" ref="F270" ca="1">MMS_Swine_ManureAppliedToSoils_Equations.VEERG_4_5_1_9__1_MassOfNitrogenAppliedToSoilsScope1(F41,_xlfn.XLOOKUP($E270,$D$123:$D$129,$E$123:$E$129), _xlfn.XLOOKUP($E270,$D$112:$D$118,$E$112:$E$118),F71,$F240)</f>
        <v>6.5180794799999999</v>
      </c>
      <c r="G270" s="50" cm="1">
        <f t="array" aca="1" ref="G270" ca="1">MMS_Swine_ManureAppliedToSoils_Equations.VEERG_4_5_1_9__1_MassOfNitrogenAppliedToSoilsScope1(G41,_xlfn.XLOOKUP($E270,$D$123:$D$129,$E$123:$E$129), _xlfn.XLOOKUP($E270,$D$112:$D$118,$E$112:$E$118),G71,$F240)</f>
        <v>8.6789645249999996</v>
      </c>
      <c r="H270" s="50" cm="1">
        <f t="array" aca="1" ref="H270" ca="1">MMS_Swine_ManureAppliedToSoils_Equations.VEERG_4_5_1_9__1_MassOfNitrogenAppliedToSoilsScope1(H41,_xlfn.XLOOKUP($E270,$D$123:$D$129,$E$123:$E$129), _xlfn.XLOOKUP($E270,$D$112:$D$118,$E$112:$E$118),H71,$F240)</f>
        <v>8.1475993499999984</v>
      </c>
      <c r="I270" s="50" cm="1">
        <f t="array" aca="1" ref="I270" ca="1">MMS_Swine_ManureAppliedToSoils_Equations.VEERG_4_5_1_9__1_MassOfNitrogenAppliedToSoilsScope1(I41,_xlfn.XLOOKUP($E270,$D$123:$D$129,$E$123:$E$129), _xlfn.XLOOKUP($E270,$D$112:$D$118,$E$112:$E$118),I71,$F240)</f>
        <v>5.5261978199999993</v>
      </c>
      <c r="J270" s="2"/>
      <c r="N270" s="55"/>
      <c r="O270" s="55" t="str">
        <f>INDEX(X_Table_Swine_Stage2MMS_From_PitStorage,4,1)</f>
        <v>Deep litter</v>
      </c>
      <c r="P270" s="50" cm="1">
        <f t="array" aca="1" ref="P270" ca="1">MMS_Swine_ManureAppliedToSoils_Equations.VEERG_4_5_1_9__1_MassOfNitrogenAppliedToSoilsScope1(P41,_xlfn.XLOOKUP($E270,$D$123:$D$129,$E$123:$E$129), _xlfn.XLOOKUP($E270,$D$112:$D$118,$E$112:$E$118),P71,$F240)</f>
        <v>6.5180794799999999</v>
      </c>
      <c r="Q270" s="50" cm="1">
        <f t="array" aca="1" ref="Q270" ca="1">MMS_Swine_ManureAppliedToSoils_Equations.VEERG_4_5_1_9__1_MassOfNitrogenAppliedToSoilsScope1(Q41,_xlfn.XLOOKUP($E270,$D$123:$D$129,$E$123:$E$129), _xlfn.XLOOKUP($E270,$D$112:$D$118,$E$112:$E$118),Q71,$F240)</f>
        <v>8.6789645249999996</v>
      </c>
      <c r="R270" s="50" cm="1">
        <f t="array" aca="1" ref="R270" ca="1">MMS_Swine_ManureAppliedToSoils_Equations.VEERG_4_5_1_9__1_MassOfNitrogenAppliedToSoilsScope1(R41,_xlfn.XLOOKUP($E270,$D$123:$D$129,$E$123:$E$129), _xlfn.XLOOKUP($E270,$D$112:$D$118,$E$112:$E$118),R71,$F240)</f>
        <v>8.1475993499999984</v>
      </c>
      <c r="S270" s="50" cm="1">
        <f t="array" aca="1" ref="S270" ca="1">MMS_Swine_ManureAppliedToSoils_Equations.VEERG_4_5_1_9__1_MassOfNitrogenAppliedToSoilsScope1(S41,_xlfn.XLOOKUP($E270,$D$123:$D$129,$E$123:$E$129), _xlfn.XLOOKUP($E270,$D$112:$D$118,$E$112:$E$118),S71,$F240)</f>
        <v>5.5261978199999993</v>
      </c>
      <c r="T270" s="2"/>
    </row>
    <row r="271" spans="4:20" ht="20.100000000000001" customHeight="1" x14ac:dyDescent="0.25">
      <c r="D271" s="55"/>
      <c r="E271" s="55" t="str">
        <f>INDEX(X_Table_Swine_Stage2MMS_From_PitStorage,5,1)</f>
        <v>Direct application</v>
      </c>
      <c r="F271" s="50" cm="1">
        <f t="array" aca="1" ref="F271" ca="1">MMS_Swine_ManureAppliedToSoils_Equations.VEERG_4_5_1_9__1_MassOfNitrogenAppliedToSoilsScope1(F42,_xlfn.XLOOKUP($E271,$D$123:$D$129,$E$123:$E$129), _xlfn.XLOOKUP($E271,$D$112:$D$118,$E$112:$E$118),F72,$F241)</f>
        <v>0</v>
      </c>
      <c r="G271" s="50" cm="1">
        <f t="array" aca="1" ref="G271" ca="1">MMS_Swine_ManureAppliedToSoils_Equations.VEERG_4_5_1_9__1_MassOfNitrogenAppliedToSoilsScope1(G42,_xlfn.XLOOKUP($E271,$D$123:$D$129,$E$123:$E$129), _xlfn.XLOOKUP($E271,$D$112:$D$118,$E$112:$E$118),G72,$F241)</f>
        <v>0</v>
      </c>
      <c r="H271" s="50" cm="1">
        <f t="array" aca="1" ref="H271" ca="1">MMS_Swine_ManureAppliedToSoils_Equations.VEERG_4_5_1_9__1_MassOfNitrogenAppliedToSoilsScope1(H42,_xlfn.XLOOKUP($E271,$D$123:$D$129,$E$123:$E$129), _xlfn.XLOOKUP($E271,$D$112:$D$118,$E$112:$E$118),H72,$F241)</f>
        <v>0</v>
      </c>
      <c r="I271" s="50" cm="1">
        <f t="array" aca="1" ref="I271" ca="1">MMS_Swine_ManureAppliedToSoils_Equations.VEERG_4_5_1_9__1_MassOfNitrogenAppliedToSoilsScope1(I42,_xlfn.XLOOKUP($E271,$D$123:$D$129,$E$123:$E$129), _xlfn.XLOOKUP($E271,$D$112:$D$118,$E$112:$E$118),I72,$F241)</f>
        <v>0</v>
      </c>
      <c r="J271" s="2"/>
      <c r="N271" s="55"/>
      <c r="O271" s="55" t="str">
        <f>INDEX(X_Table_Swine_Stage2MMS_From_PitStorage,5,1)</f>
        <v>Direct application</v>
      </c>
      <c r="P271" s="50" cm="1">
        <f t="array" aca="1" ref="P271" ca="1">MMS_Swine_ManureAppliedToSoils_Equations.VEERG_4_5_1_9__1_MassOfNitrogenAppliedToSoilsScope1(P42,_xlfn.XLOOKUP($E271,$D$123:$D$129,$E$123:$E$129), _xlfn.XLOOKUP($E271,$D$112:$D$118,$E$112:$E$118),P72,$F241)</f>
        <v>0</v>
      </c>
      <c r="Q271" s="50" cm="1">
        <f t="array" aca="1" ref="Q271" ca="1">MMS_Swine_ManureAppliedToSoils_Equations.VEERG_4_5_1_9__1_MassOfNitrogenAppliedToSoilsScope1(Q42,_xlfn.XLOOKUP($E271,$D$123:$D$129,$E$123:$E$129), _xlfn.XLOOKUP($E271,$D$112:$D$118,$E$112:$E$118),Q72,$F241)</f>
        <v>0</v>
      </c>
      <c r="R271" s="50" cm="1">
        <f t="array" aca="1" ref="R271" ca="1">MMS_Swine_ManureAppliedToSoils_Equations.VEERG_4_5_1_9__1_MassOfNitrogenAppliedToSoilsScope1(R42,_xlfn.XLOOKUP($E271,$D$123:$D$129,$E$123:$E$129), _xlfn.XLOOKUP($E271,$D$112:$D$118,$E$112:$E$118),R72,$F241)</f>
        <v>0</v>
      </c>
      <c r="S271" s="50" cm="1">
        <f t="array" aca="1" ref="S271" ca="1">MMS_Swine_ManureAppliedToSoils_Equations.VEERG_4_5_1_9__1_MassOfNitrogenAppliedToSoilsScope1(S42,_xlfn.XLOOKUP($E271,$D$123:$D$129,$E$123:$E$129), _xlfn.XLOOKUP($E271,$D$112:$D$118,$E$112:$E$118),S72,$F241)</f>
        <v>0</v>
      </c>
      <c r="T271" s="2"/>
    </row>
    <row r="272" spans="4:20" ht="20.100000000000001" customHeight="1" x14ac:dyDescent="0.25">
      <c r="D272" s="55" t="s">
        <v>346</v>
      </c>
      <c r="E272" s="55" t="str">
        <f>INDEX(X_Table_Swine_Stage2MMS_From_SolidStorage,2,1)</f>
        <v>Anaerobic lagoon</v>
      </c>
      <c r="F272" s="50" cm="1">
        <f t="array" aca="1" ref="F272" ca="1">MMS_Swine_ManureAppliedToSoils_Equations.VEERG_4_5_1_9__1_MassOfNitrogenAppliedToSoilsScope1(F43,_xlfn.XLOOKUP($E272,$D$123:$D$129,$E$123:$E$129), _xlfn.XLOOKUP($E272,$D$112:$D$118,$E$112:$E$118),F73,$F242)</f>
        <v>12.013245000000003</v>
      </c>
      <c r="G272" s="50" cm="1">
        <f t="array" aca="1" ref="G272" ca="1">MMS_Swine_ManureAppliedToSoils_Equations.VEERG_4_5_1_9__1_MassOfNitrogenAppliedToSoilsScope1(G43,_xlfn.XLOOKUP($E272,$D$123:$D$129,$E$123:$E$129), _xlfn.XLOOKUP($E272,$D$112:$D$118,$E$112:$E$118),G73,$F242)</f>
        <v>12.796717500000007</v>
      </c>
      <c r="H272" s="50" cm="1">
        <f t="array" aca="1" ref="H272" ca="1">MMS_Swine_ManureAppliedToSoils_Equations.VEERG_4_5_1_9__1_MassOfNitrogenAppliedToSoilsScope1(H43,_xlfn.XLOOKUP($E272,$D$123:$D$129,$E$123:$E$129), _xlfn.XLOOKUP($E272,$D$112:$D$118,$E$112:$E$118),H73,$F242)</f>
        <v>12.013245000000003</v>
      </c>
      <c r="I272" s="50" cm="1">
        <f t="array" aca="1" ref="I272" ca="1">MMS_Swine_ManureAppliedToSoils_Equations.VEERG_4_5_1_9__1_MassOfNitrogenAppliedToSoilsScope1(I43,_xlfn.XLOOKUP($E272,$D$123:$D$129,$E$123:$E$129), _xlfn.XLOOKUP($E272,$D$112:$D$118,$E$112:$E$118),I73,$F242)</f>
        <v>8.1481140000000032</v>
      </c>
      <c r="J272" s="2"/>
      <c r="N272" s="55" t="s">
        <v>346</v>
      </c>
      <c r="O272" s="55" t="str">
        <f>INDEX(X_Table_Swine_Stage2MMS_From_SolidStorage,2,1)</f>
        <v>Anaerobic lagoon</v>
      </c>
      <c r="P272" s="50" cm="1">
        <f t="array" aca="1" ref="P272" ca="1">MMS_Swine_ManureAppliedToSoils_Equations.VEERG_4_5_1_9__1_MassOfNitrogenAppliedToSoilsScope1(P43,_xlfn.XLOOKUP($E272,$D$123:$D$129,$E$123:$E$129), _xlfn.XLOOKUP($E272,$D$112:$D$118,$E$112:$E$118),P73,$F242)</f>
        <v>12.013245000000003</v>
      </c>
      <c r="Q272" s="50" cm="1">
        <f t="array" aca="1" ref="Q272" ca="1">MMS_Swine_ManureAppliedToSoils_Equations.VEERG_4_5_1_9__1_MassOfNitrogenAppliedToSoilsScope1(Q43,_xlfn.XLOOKUP($E272,$D$123:$D$129,$E$123:$E$129), _xlfn.XLOOKUP($E272,$D$112:$D$118,$E$112:$E$118),Q73,$F242)</f>
        <v>12.796717500000007</v>
      </c>
      <c r="R272" s="50" cm="1">
        <f t="array" aca="1" ref="R272" ca="1">MMS_Swine_ManureAppliedToSoils_Equations.VEERG_4_5_1_9__1_MassOfNitrogenAppliedToSoilsScope1(R43,_xlfn.XLOOKUP($E272,$D$123:$D$129,$E$123:$E$129), _xlfn.XLOOKUP($E272,$D$112:$D$118,$E$112:$E$118),R73,$F242)</f>
        <v>12.013245000000003</v>
      </c>
      <c r="S272" s="50" cm="1">
        <f t="array" aca="1" ref="S272" ca="1">MMS_Swine_ManureAppliedToSoils_Equations.VEERG_4_5_1_9__1_MassOfNitrogenAppliedToSoilsScope1(S43,_xlfn.XLOOKUP($E272,$D$123:$D$129,$E$123:$E$129), _xlfn.XLOOKUP($E272,$D$112:$D$118,$E$112:$E$118),S73,$F242)</f>
        <v>8.1481140000000032</v>
      </c>
      <c r="T272" s="2"/>
    </row>
    <row r="273" spans="1:20" ht="20.100000000000001" customHeight="1" x14ac:dyDescent="0.25">
      <c r="D273" s="55"/>
      <c r="E273" s="55" t="str">
        <f>INDEX(X_Table_Swine_Stage2MMS_From_SolidStorage,3,1)</f>
        <v>Digester / covered lagoons</v>
      </c>
      <c r="F273" s="50" cm="1">
        <f t="array" aca="1" ref="F273" ca="1">MMS_Swine_ManureAppliedToSoils_Equations.VEERG_4_5_1_9__1_MassOfNitrogenAppliedToSoilsScope1(F44,_xlfn.XLOOKUP($E273,$D$123:$D$129,$E$123:$E$129), _xlfn.XLOOKUP($E273,$D$112:$D$118,$E$112:$E$118),F74,$F243)</f>
        <v>26.696100000000008</v>
      </c>
      <c r="G273" s="50" cm="1">
        <f t="array" aca="1" ref="G273" ca="1">MMS_Swine_ManureAppliedToSoils_Equations.VEERG_4_5_1_9__1_MassOfNitrogenAppliedToSoilsScope1(G44,_xlfn.XLOOKUP($E273,$D$123:$D$129,$E$123:$E$129), _xlfn.XLOOKUP($E273,$D$112:$D$118,$E$112:$E$118),G74,$F243)</f>
        <v>28.437150000000017</v>
      </c>
      <c r="H273" s="50" cm="1">
        <f t="array" aca="1" ref="H273" ca="1">MMS_Swine_ManureAppliedToSoils_Equations.VEERG_4_5_1_9__1_MassOfNitrogenAppliedToSoilsScope1(H44,_xlfn.XLOOKUP($E273,$D$123:$D$129,$E$123:$E$129), _xlfn.XLOOKUP($E273,$D$112:$D$118,$E$112:$E$118),H74,$F243)</f>
        <v>26.696100000000008</v>
      </c>
      <c r="I273" s="50" cm="1">
        <f t="array" aca="1" ref="I273" ca="1">MMS_Swine_ManureAppliedToSoils_Equations.VEERG_4_5_1_9__1_MassOfNitrogenAppliedToSoilsScope1(I44,_xlfn.XLOOKUP($E273,$D$123:$D$129,$E$123:$E$129), _xlfn.XLOOKUP($E273,$D$112:$D$118,$E$112:$E$118),I74,$F243)</f>
        <v>18.106920000000009</v>
      </c>
      <c r="J273" s="2"/>
      <c r="N273" s="55"/>
      <c r="O273" s="55" t="str">
        <f>INDEX(X_Table_Swine_Stage2MMS_From_SolidStorage,3,1)</f>
        <v>Digester / covered lagoons</v>
      </c>
      <c r="P273" s="50" cm="1">
        <f t="array" aca="1" ref="P273" ca="1">MMS_Swine_ManureAppliedToSoils_Equations.VEERG_4_5_1_9__1_MassOfNitrogenAppliedToSoilsScope1(P44,_xlfn.XLOOKUP($E273,$D$123:$D$129,$E$123:$E$129), _xlfn.XLOOKUP($E273,$D$112:$D$118,$E$112:$E$118),P74,$F243)</f>
        <v>26.696100000000008</v>
      </c>
      <c r="Q273" s="50" cm="1">
        <f t="array" aca="1" ref="Q273" ca="1">MMS_Swine_ManureAppliedToSoils_Equations.VEERG_4_5_1_9__1_MassOfNitrogenAppliedToSoilsScope1(Q44,_xlfn.XLOOKUP($E273,$D$123:$D$129,$E$123:$E$129), _xlfn.XLOOKUP($E273,$D$112:$D$118,$E$112:$E$118),Q74,$F243)</f>
        <v>28.437150000000017</v>
      </c>
      <c r="R273" s="50" cm="1">
        <f t="array" aca="1" ref="R273" ca="1">MMS_Swine_ManureAppliedToSoils_Equations.VEERG_4_5_1_9__1_MassOfNitrogenAppliedToSoilsScope1(R44,_xlfn.XLOOKUP($E273,$D$123:$D$129,$E$123:$E$129), _xlfn.XLOOKUP($E273,$D$112:$D$118,$E$112:$E$118),R74,$F243)</f>
        <v>26.696100000000008</v>
      </c>
      <c r="S273" s="50" cm="1">
        <f t="array" aca="1" ref="S273" ca="1">MMS_Swine_ManureAppliedToSoils_Equations.VEERG_4_5_1_9__1_MassOfNitrogenAppliedToSoilsScope1(S44,_xlfn.XLOOKUP($E273,$D$123:$D$129,$E$123:$E$129), _xlfn.XLOOKUP($E273,$D$112:$D$118,$E$112:$E$118),S74,$F243)</f>
        <v>18.106920000000009</v>
      </c>
      <c r="T273" s="2"/>
    </row>
    <row r="274" spans="1:20" ht="20.100000000000001" customHeight="1" x14ac:dyDescent="0.25">
      <c r="D274" s="55"/>
      <c r="E274" s="55" t="str">
        <f>INDEX(X_Table_Swine_Stage2MMS_From_SolidStorage,4,1)</f>
        <v>Deep litter</v>
      </c>
      <c r="F274" s="50" cm="1">
        <f t="array" aca="1" ref="F274" ca="1">MMS_Swine_ManureAppliedToSoils_Equations.VEERG_4_5_1_9__1_MassOfNitrogenAppliedToSoilsScope1(F45,_xlfn.XLOOKUP($E274,$D$123:$D$129,$E$123:$E$129), _xlfn.XLOOKUP($E274,$D$112:$D$118,$E$112:$E$118),F75,$F244)</f>
        <v>23.092126500000006</v>
      </c>
      <c r="G274" s="50" cm="1">
        <f t="array" aca="1" ref="G274" ca="1">MMS_Swine_ManureAppliedToSoils_Equations.VEERG_4_5_1_9__1_MassOfNitrogenAppliedToSoilsScope1(G45,_xlfn.XLOOKUP($E274,$D$123:$D$129,$E$123:$E$129), _xlfn.XLOOKUP($E274,$D$112:$D$118,$E$112:$E$118),G75,$F244)</f>
        <v>24.598134750000014</v>
      </c>
      <c r="H274" s="50" cm="1">
        <f t="array" aca="1" ref="H274" ca="1">MMS_Swine_ManureAppliedToSoils_Equations.VEERG_4_5_1_9__1_MassOfNitrogenAppliedToSoilsScope1(H45,_xlfn.XLOOKUP($E274,$D$123:$D$129,$E$123:$E$129), _xlfn.XLOOKUP($E274,$D$112:$D$118,$E$112:$E$118),H75,$F244)</f>
        <v>23.092126500000006</v>
      </c>
      <c r="I274" s="50" cm="1">
        <f t="array" aca="1" ref="I274" ca="1">MMS_Swine_ManureAppliedToSoils_Equations.VEERG_4_5_1_9__1_MassOfNitrogenAppliedToSoilsScope1(I45,_xlfn.XLOOKUP($E274,$D$123:$D$129,$E$123:$E$129), _xlfn.XLOOKUP($E274,$D$112:$D$118,$E$112:$E$118),I75,$F244)</f>
        <v>15.662485800000008</v>
      </c>
      <c r="J274" s="2"/>
      <c r="N274" s="55"/>
      <c r="O274" s="55" t="str">
        <f>INDEX(X_Table_Swine_Stage2MMS_From_SolidStorage,4,1)</f>
        <v>Deep litter</v>
      </c>
      <c r="P274" s="50" cm="1">
        <f t="array" aca="1" ref="P274" ca="1">MMS_Swine_ManureAppliedToSoils_Equations.VEERG_4_5_1_9__1_MassOfNitrogenAppliedToSoilsScope1(P45,_xlfn.XLOOKUP($E274,$D$123:$D$129,$E$123:$E$129), _xlfn.XLOOKUP($E274,$D$112:$D$118,$E$112:$E$118),P75,$F244)</f>
        <v>23.092126500000006</v>
      </c>
      <c r="Q274" s="50" cm="1">
        <f t="array" aca="1" ref="Q274" ca="1">MMS_Swine_ManureAppliedToSoils_Equations.VEERG_4_5_1_9__1_MassOfNitrogenAppliedToSoilsScope1(Q45,_xlfn.XLOOKUP($E274,$D$123:$D$129,$E$123:$E$129), _xlfn.XLOOKUP($E274,$D$112:$D$118,$E$112:$E$118),Q75,$F244)</f>
        <v>24.598134750000014</v>
      </c>
      <c r="R274" s="50" cm="1">
        <f t="array" aca="1" ref="R274" ca="1">MMS_Swine_ManureAppliedToSoils_Equations.VEERG_4_5_1_9__1_MassOfNitrogenAppliedToSoilsScope1(R45,_xlfn.XLOOKUP($E274,$D$123:$D$129,$E$123:$E$129), _xlfn.XLOOKUP($E274,$D$112:$D$118,$E$112:$E$118),R75,$F244)</f>
        <v>23.092126500000006</v>
      </c>
      <c r="S274" s="50" cm="1">
        <f t="array" aca="1" ref="S274" ca="1">MMS_Swine_ManureAppliedToSoils_Equations.VEERG_4_5_1_9__1_MassOfNitrogenAppliedToSoilsScope1(S45,_xlfn.XLOOKUP($E274,$D$123:$D$129,$E$123:$E$129), _xlfn.XLOOKUP($E274,$D$112:$D$118,$E$112:$E$118),S75,$F244)</f>
        <v>15.662485800000008</v>
      </c>
      <c r="T274" s="2"/>
    </row>
    <row r="275" spans="1:20" ht="20.100000000000001" customHeight="1" x14ac:dyDescent="0.25">
      <c r="D275" s="55"/>
      <c r="E275" s="55" t="str">
        <f>INDEX(X_Table_Swine_Stage2MMS_From_SolidStorage,5,1)</f>
        <v>Pit storage</v>
      </c>
      <c r="F275" s="50" cm="1">
        <f t="array" aca="1" ref="F275" ca="1">MMS_Swine_ManureAppliedToSoils_Equations.VEERG_4_5_1_9__1_MassOfNitrogenAppliedToSoilsScope1(F46,_xlfn.XLOOKUP($E275,$D$123:$D$129,$E$123:$E$129), _xlfn.XLOOKUP($E275,$D$112:$D$118,$E$112:$E$118),F76,$F245)</f>
        <v>9.9843414000000035</v>
      </c>
      <c r="G275" s="50" cm="1">
        <f t="array" aca="1" ref="G275" ca="1">MMS_Swine_ManureAppliedToSoils_Equations.VEERG_4_5_1_9__1_MassOfNitrogenAppliedToSoilsScope1(G46,_xlfn.XLOOKUP($E275,$D$123:$D$129,$E$123:$E$129), _xlfn.XLOOKUP($E275,$D$112:$D$118,$E$112:$E$118),G76,$F245)</f>
        <v>10.635494100000006</v>
      </c>
      <c r="H275" s="50" cm="1">
        <f t="array" aca="1" ref="H275" ca="1">MMS_Swine_ManureAppliedToSoils_Equations.VEERG_4_5_1_9__1_MassOfNitrogenAppliedToSoilsScope1(H46,_xlfn.XLOOKUP($E275,$D$123:$D$129,$E$123:$E$129), _xlfn.XLOOKUP($E275,$D$112:$D$118,$E$112:$E$118),H76,$F245)</f>
        <v>9.9843414000000035</v>
      </c>
      <c r="I275" s="50" cm="1">
        <f t="array" aca="1" ref="I275" ca="1">MMS_Swine_ManureAppliedToSoils_Equations.VEERG_4_5_1_9__1_MassOfNitrogenAppliedToSoilsScope1(I46,_xlfn.XLOOKUP($E275,$D$123:$D$129,$E$123:$E$129), _xlfn.XLOOKUP($E275,$D$112:$D$118,$E$112:$E$118),I76,$F245)</f>
        <v>6.7719880800000034</v>
      </c>
      <c r="J275" s="2"/>
      <c r="N275" s="55"/>
      <c r="O275" s="55" t="str">
        <f>INDEX(X_Table_Swine_Stage2MMS_From_SolidStorage,5,1)</f>
        <v>Pit storage</v>
      </c>
      <c r="P275" s="50" cm="1">
        <f t="array" aca="1" ref="P275" ca="1">MMS_Swine_ManureAppliedToSoils_Equations.VEERG_4_5_1_9__1_MassOfNitrogenAppliedToSoilsScope1(P46,_xlfn.XLOOKUP($E275,$D$123:$D$129,$E$123:$E$129), _xlfn.XLOOKUP($E275,$D$112:$D$118,$E$112:$E$118),P76,$F245)</f>
        <v>9.9843414000000035</v>
      </c>
      <c r="Q275" s="50" cm="1">
        <f t="array" aca="1" ref="Q275" ca="1">MMS_Swine_ManureAppliedToSoils_Equations.VEERG_4_5_1_9__1_MassOfNitrogenAppliedToSoilsScope1(Q46,_xlfn.XLOOKUP($E275,$D$123:$D$129,$E$123:$E$129), _xlfn.XLOOKUP($E275,$D$112:$D$118,$E$112:$E$118),Q76,$F245)</f>
        <v>10.635494100000006</v>
      </c>
      <c r="R275" s="50" cm="1">
        <f t="array" aca="1" ref="R275" ca="1">MMS_Swine_ManureAppliedToSoils_Equations.VEERG_4_5_1_9__1_MassOfNitrogenAppliedToSoilsScope1(R46,_xlfn.XLOOKUP($E275,$D$123:$D$129,$E$123:$E$129), _xlfn.XLOOKUP($E275,$D$112:$D$118,$E$112:$E$118),R76,$F245)</f>
        <v>9.9843414000000035</v>
      </c>
      <c r="S275" s="50" cm="1">
        <f t="array" aca="1" ref="S275" ca="1">MMS_Swine_ManureAppliedToSoils_Equations.VEERG_4_5_1_9__1_MassOfNitrogenAppliedToSoilsScope1(S46,_xlfn.XLOOKUP($E275,$D$123:$D$129,$E$123:$E$129), _xlfn.XLOOKUP($E275,$D$112:$D$118,$E$112:$E$118),S76,$F245)</f>
        <v>6.7719880800000034</v>
      </c>
      <c r="T275" s="2"/>
    </row>
    <row r="276" spans="1:20" ht="20.100000000000001" customHeight="1" x14ac:dyDescent="0.25">
      <c r="D276" s="55"/>
      <c r="E276" s="55" t="str">
        <f>INDEX(X_Table_Swine_Stage2MMS_From_SolidStorage,6,1)</f>
        <v>Direct application</v>
      </c>
      <c r="F276" s="50" cm="1">
        <f t="array" aca="1" ref="F276" ca="1">MMS_Swine_ManureAppliedToSoils_Equations.VEERG_4_5_1_9__1_MassOfNitrogenAppliedToSoilsScope1(F47,_xlfn.XLOOKUP($E276,$D$123:$D$129,$E$123:$E$129), _xlfn.XLOOKUP($E276,$D$112:$D$118,$E$112:$E$118),F77,$F246)</f>
        <v>0</v>
      </c>
      <c r="G276" s="50" cm="1">
        <f t="array" aca="1" ref="G276" ca="1">MMS_Swine_ManureAppliedToSoils_Equations.VEERG_4_5_1_9__1_MassOfNitrogenAppliedToSoilsScope1(G47,_xlfn.XLOOKUP($E276,$D$123:$D$129,$E$123:$E$129), _xlfn.XLOOKUP($E276,$D$112:$D$118,$E$112:$E$118),G77,$F246)</f>
        <v>0</v>
      </c>
      <c r="H276" s="50" cm="1">
        <f t="array" aca="1" ref="H276" ca="1">MMS_Swine_ManureAppliedToSoils_Equations.VEERG_4_5_1_9__1_MassOfNitrogenAppliedToSoilsScope1(H47,_xlfn.XLOOKUP($E276,$D$123:$D$129,$E$123:$E$129), _xlfn.XLOOKUP($E276,$D$112:$D$118,$E$112:$E$118),H77,$F246)</f>
        <v>0</v>
      </c>
      <c r="I276" s="50" cm="1">
        <f t="array" aca="1" ref="I276" ca="1">MMS_Swine_ManureAppliedToSoils_Equations.VEERG_4_5_1_9__1_MassOfNitrogenAppliedToSoilsScope1(I47,_xlfn.XLOOKUP($E276,$D$123:$D$129,$E$123:$E$129), _xlfn.XLOOKUP($E276,$D$112:$D$118,$E$112:$E$118),I77,$F246)</f>
        <v>0</v>
      </c>
      <c r="J276" s="2"/>
      <c r="N276" s="55"/>
      <c r="O276" s="55" t="str">
        <f>INDEX(X_Table_Swine_Stage2MMS_From_SolidStorage,6,1)</f>
        <v>Direct application</v>
      </c>
      <c r="P276" s="50" cm="1">
        <f t="array" aca="1" ref="P276" ca="1">MMS_Swine_ManureAppliedToSoils_Equations.VEERG_4_5_1_9__1_MassOfNitrogenAppliedToSoilsScope1(P47,_xlfn.XLOOKUP($E276,$D$123:$D$129,$E$123:$E$129), _xlfn.XLOOKUP($E276,$D$112:$D$118,$E$112:$E$118),P77,$F246)</f>
        <v>0</v>
      </c>
      <c r="Q276" s="50" cm="1">
        <f t="array" aca="1" ref="Q276" ca="1">MMS_Swine_ManureAppliedToSoils_Equations.VEERG_4_5_1_9__1_MassOfNitrogenAppliedToSoilsScope1(Q47,_xlfn.XLOOKUP($E276,$D$123:$D$129,$E$123:$E$129), _xlfn.XLOOKUP($E276,$D$112:$D$118,$E$112:$E$118),Q77,$F246)</f>
        <v>0</v>
      </c>
      <c r="R276" s="50" cm="1">
        <f t="array" aca="1" ref="R276" ca="1">MMS_Swine_ManureAppliedToSoils_Equations.VEERG_4_5_1_9__1_MassOfNitrogenAppliedToSoilsScope1(R47,_xlfn.XLOOKUP($E276,$D$123:$D$129,$E$123:$E$129), _xlfn.XLOOKUP($E276,$D$112:$D$118,$E$112:$E$118),R77,$F246)</f>
        <v>0</v>
      </c>
      <c r="S276" s="50" cm="1">
        <f t="array" aca="1" ref="S276" ca="1">MMS_Swine_ManureAppliedToSoils_Equations.VEERG_4_5_1_9__1_MassOfNitrogenAppliedToSoilsScope1(S47,_xlfn.XLOOKUP($E276,$D$123:$D$129,$E$123:$E$129), _xlfn.XLOOKUP($E276,$D$112:$D$118,$E$112:$E$118),S77,$F246)</f>
        <v>0</v>
      </c>
      <c r="T276" s="2"/>
    </row>
    <row r="277" spans="1:20" ht="20.100000000000001" customHeight="1" x14ac:dyDescent="0.25"/>
    <row r="278" spans="1:20" ht="20.100000000000001" customHeight="1" x14ac:dyDescent="0.25">
      <c r="A278" s="141" t="str">
        <f>HYPERLINK("#A1", "▲ Back to top")</f>
        <v>▲ Back to top</v>
      </c>
      <c r="D278" s="97" t="s">
        <v>314</v>
      </c>
      <c r="E278" s="98">
        <f ca="1">SUM(F251:I276)</f>
        <v>653.20846285499988</v>
      </c>
      <c r="F278" s="99" t="str">
        <f>$E$11</f>
        <v>kg N</v>
      </c>
      <c r="N278" s="97" t="s">
        <v>314</v>
      </c>
      <c r="O278" s="98">
        <f ca="1">SUM(P251:S276)</f>
        <v>653.20846285499988</v>
      </c>
      <c r="P278" s="99" t="str">
        <f>$E$11</f>
        <v>kg N</v>
      </c>
    </row>
    <row r="279" spans="1:20" ht="20.100000000000001" customHeight="1" x14ac:dyDescent="0.25"/>
    <row r="280" spans="1:20" ht="20.100000000000001" customHeight="1" x14ac:dyDescent="0.25"/>
    <row r="281" spans="1:20" ht="20.100000000000001" customHeight="1" x14ac:dyDescent="0.25"/>
    <row r="282" spans="1:20" ht="20.100000000000001" customHeight="1" x14ac:dyDescent="0.25"/>
    <row r="283" spans="1:20" ht="20.100000000000001" customHeight="1" x14ac:dyDescent="0.25"/>
    <row r="284" spans="1:20" ht="20.100000000000001" customHeight="1" x14ac:dyDescent="0.25"/>
    <row r="285" spans="1:20" ht="20.100000000000001" customHeight="1" x14ac:dyDescent="0.25"/>
    <row r="286" spans="1:20"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W452"/>
  <sheetViews>
    <sheetView showGridLines="0" topLeftCell="A102" zoomScaleNormal="100" workbookViewId="0">
      <selection activeCell="G121" sqref="G121"/>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4" t="e" vm="1">
        <v>#VALUE!</v>
      </c>
      <c r="C1" s="8" t="s">
        <v>133</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1"/>
    </row>
    <row r="5" spans="1:21" ht="20.100000000000001" customHeight="1" x14ac:dyDescent="0.25">
      <c r="A5" s="17" t="str">
        <f>HYPERLINK("#'Results'!A1", "Results")</f>
        <v>Results</v>
      </c>
      <c r="M5" s="1"/>
    </row>
    <row r="6" spans="1:21" ht="20.100000000000001" customHeight="1" x14ac:dyDescent="0.25">
      <c r="D6" s="6" t="s">
        <v>253</v>
      </c>
      <c r="G6" s="6" t="s">
        <v>104</v>
      </c>
      <c r="M6" s="1"/>
    </row>
    <row r="7" spans="1:21" ht="20.100000000000001" customHeight="1" x14ac:dyDescent="0.25">
      <c r="M7" s="1"/>
    </row>
    <row r="8" spans="1:21" ht="20.100000000000001" customHeight="1" x14ac:dyDescent="0.25">
      <c r="A8" s="19" t="s">
        <v>0</v>
      </c>
      <c r="D8" s="36" t="s">
        <v>103</v>
      </c>
      <c r="G8" s="36" t="s">
        <v>102</v>
      </c>
      <c r="M8" s="1"/>
    </row>
    <row r="9" spans="1:21" ht="20.100000000000001" customHeight="1" x14ac:dyDescent="0.25">
      <c r="A9" s="17" t="str">
        <f>HYPERLINK("#'Input - Site'!A1", "Site")</f>
        <v>Site</v>
      </c>
      <c r="D9" s="36" t="s">
        <v>335</v>
      </c>
      <c r="G9" s="36" t="s">
        <v>105</v>
      </c>
      <c r="M9" s="1"/>
    </row>
    <row r="10" spans="1:21" ht="20.100000000000001" customHeight="1" x14ac:dyDescent="0.25">
      <c r="A10" s="17" t="str">
        <f>HYPERLINK("#'Input - Swine'!A1", "Swine")</f>
        <v>Swine</v>
      </c>
      <c r="D10" s="1" t="s">
        <v>130</v>
      </c>
      <c r="G10" s="36" t="s">
        <v>106</v>
      </c>
      <c r="M10" s="1"/>
    </row>
    <row r="11" spans="1:21" ht="20.100000000000001" customHeight="1" x14ac:dyDescent="0.25">
      <c r="G11" s="1" t="s">
        <v>107</v>
      </c>
      <c r="M11" s="1"/>
    </row>
    <row r="12" spans="1:21" ht="20.100000000000001" customHeight="1" x14ac:dyDescent="0.25">
      <c r="G12" s="1" t="s">
        <v>108</v>
      </c>
      <c r="M12" s="1"/>
    </row>
    <row r="13" spans="1:21" ht="20.100000000000001" customHeight="1" x14ac:dyDescent="0.25">
      <c r="A13" s="18" t="s">
        <v>71</v>
      </c>
      <c r="G13" s="1" t="s">
        <v>109</v>
      </c>
      <c r="M13" s="1"/>
    </row>
    <row r="14" spans="1:21" ht="20.100000000000001" customHeight="1" x14ac:dyDescent="0.25">
      <c r="A14" s="17" t="str">
        <f>HYPERLINK("#'4.5.1.1-2 Methane'!A1", "4.5.1.1-2 Methane")</f>
        <v>4.5.1.1-2 Methane</v>
      </c>
      <c r="D14" s="6" t="str" cm="1">
        <f t="array" ref="D14">SourceData_Swine.SourceData_Swine_FracLEACH_DrylotMMS_Title()</f>
        <v>Fraction of nitrogen lost through leaching and runoff for drylot MMS</v>
      </c>
      <c r="M14" s="1"/>
    </row>
    <row r="15" spans="1:21" ht="20.100000000000001" customHeight="1" x14ac:dyDescent="0.25">
      <c r="A15" s="17" t="str">
        <f>HYPERLINK("#'4.5.1.3-4 Direct N2O'!A1", "4.5.1.3-4 Direct N2O")</f>
        <v>4.5.1.3-4 Direct N2O</v>
      </c>
      <c r="D15" s="5" t="str" cm="1">
        <f t="array" ref="D15">SourceData_Swine.SourceData_Swine_FracLEACH_DrylotMMS_Source()</f>
        <v>VEERG 2026: 4.5.2.3 CONSTANT</v>
      </c>
      <c r="M15" s="1"/>
    </row>
    <row r="16" spans="1:21" ht="20.100000000000001" customHeight="1" x14ac:dyDescent="0.25">
      <c r="A16" s="17" t="str">
        <f>HYPERLINK("#'4.5.1.5-6 Atmos Dep'!A1", "4.5.1.5-6 Atmos Dep")</f>
        <v>4.5.1.5-6 Atmos Dep</v>
      </c>
      <c r="D16" s="53" t="str" cm="1">
        <f t="array" ref="D16">SourceData_Swine.SourceData_Swine_FracLEACH_DrylotMMS_Variation()</f>
        <v>VARIATION ON SOURCE: Text refers to 'solid storage' MMS, but equation refers to 'drylot' MMS.</v>
      </c>
      <c r="M16" s="1"/>
    </row>
    <row r="17" spans="1:13" ht="20.100000000000001" customHeight="1" x14ac:dyDescent="0.25">
      <c r="A17" s="17" t="str">
        <f>HYPERLINK("#'4.5.1.7-8 Leaching and runoff'!A1", "4.5.1.7-8 Leaching and runoff")</f>
        <v>4.5.1.7-8 Leaching and runoff</v>
      </c>
      <c r="D17" s="51" t="str" cm="1">
        <f t="array" ref="D17">SourceData_Swine.SourceData_Swine_FracLEACH_DrylotMMS_Variable()</f>
        <v>FracLEACH_MS</v>
      </c>
      <c r="E17" s="1" cm="1">
        <f t="array" ref="E17">SourceData_Swine.SourceData_Swine_FracLEACH_DrylotMMS_Data()</f>
        <v>0.02</v>
      </c>
      <c r="F17" s="52" t="str" cm="1">
        <f t="array" ref="F17">SourceData_Swine.SourceData_Swine_FracLEACH_DrylotMMS_Unit()</f>
        <v>fraction</v>
      </c>
      <c r="M17" s="1"/>
    </row>
    <row r="18" spans="1:13" ht="20.100000000000001" customHeight="1" x14ac:dyDescent="0.25">
      <c r="A18" s="17" t="str">
        <f>HYPERLINK("#'4.5.1.9 Manure applied to soils'!A1", "4.5.1.9 Manure applied to soils")</f>
        <v>4.5.1.9 Manure applied to soils</v>
      </c>
      <c r="M18" s="1"/>
    </row>
    <row r="19" spans="1:13" ht="20.100000000000001" customHeight="1" x14ac:dyDescent="0.25">
      <c r="D19" s="6" t="str" cm="1">
        <f t="array" ref="D19">SourceData_Swine.SourceData_Swine_MethaneVolatileSolidsEmissionsPotential_Title()</f>
        <v>Emissions potential of methane per kilogram of volatile solids</v>
      </c>
      <c r="M19" s="1"/>
    </row>
    <row r="20" spans="1:13" ht="20.100000000000001" customHeight="1" x14ac:dyDescent="0.25">
      <c r="D20" s="5" t="str" cm="1">
        <f t="array" ref="D20">SourceData_Swine.SourceData_Swine_MethaneVolatileSolidsEmissionsPotential_Source()</f>
        <v>IPCC (2019), Chapter 10 [4]</v>
      </c>
      <c r="M20" s="1"/>
    </row>
    <row r="21" spans="1:13" ht="20.100000000000001" customHeight="1" x14ac:dyDescent="0.25">
      <c r="A21" s="145" t="s">
        <v>1</v>
      </c>
      <c r="D21" s="51" t="str" cm="1">
        <f t="array" ref="D21">SourceData_Swine.SourceData_Swine_MethaneVolatileSolidsEmissionsPotential_Variable()</f>
        <v>B0</v>
      </c>
      <c r="E21" s="1" cm="1">
        <f t="array" ref="E21">SourceData_Swine.SourceData_Swine_MethaneVolatileSolidsEmissionsPotential_Data()</f>
        <v>0.19</v>
      </c>
      <c r="F21" s="52" t="str" cm="1">
        <f t="array" ref="F21">SourceData_Swine.SourceData_Swine_MethaneVolatileSolidsEmissionsPotential_Unit()</f>
        <v>m3 CH4 / kg VS</v>
      </c>
      <c r="M21" s="1"/>
    </row>
    <row r="22" spans="1:13" ht="20.100000000000001" customHeight="1" x14ac:dyDescent="0.25">
      <c r="A22" s="148" t="str">
        <f>HYPERLINK("#'Constants - Swine'!A1", "Constants - Swine")</f>
        <v>Constants - Swine</v>
      </c>
      <c r="M22" s="1"/>
    </row>
    <row r="23" spans="1:13" ht="20.100000000000001" customHeight="1" x14ac:dyDescent="0.25">
      <c r="A23" s="17" t="str">
        <f>HYPERLINK("#'Constants - Common'!A1", "Constants - Common")</f>
        <v>Constants - Common</v>
      </c>
      <c r="M23" s="1"/>
    </row>
    <row r="24" spans="1:13" ht="20.100000000000001" customHeight="1" x14ac:dyDescent="0.25">
      <c r="A24" s="17" t="str">
        <f>HYPERLINK("#'Constants - Livestock'!A1", "Constants - Livestock")</f>
        <v>Constants - Livestock</v>
      </c>
      <c r="D24" s="6" t="str" cm="1">
        <f t="array" ref="D24">SourceData_Swine.SourceData_Swine_MMS_MCFs_Title()</f>
        <v>Methane conversion factor for temperature zone and manure management system.</v>
      </c>
      <c r="H24" s="103" t="s">
        <v>144</v>
      </c>
      <c r="M24" s="1"/>
    </row>
    <row r="25" spans="1:13" ht="20.100000000000001" customHeight="1" x14ac:dyDescent="0.25">
      <c r="A25" s="17" t="str">
        <f>HYPERLINK("#'Acknowledgements'!A1", "Acknowledgements")</f>
        <v>Acknowledgements</v>
      </c>
      <c r="D25" s="5" t="str" cm="1">
        <f t="array" ref="D25">SourceData_Swine.SourceData_Swine_MMS_MCFs_Source()</f>
        <v>VEERG 2026: Table A.1.6.4: Swine - MCFs (MCFim)</v>
      </c>
      <c r="H25" s="103" t="s">
        <v>145</v>
      </c>
      <c r="M25" s="1"/>
    </row>
    <row r="26" spans="1:13" ht="20.100000000000001" customHeight="1" x14ac:dyDescent="0.25">
      <c r="A26" s="17" t="str">
        <f>HYPERLINK("#'Tab template'!A1", "Tab template")</f>
        <v>Tab template</v>
      </c>
      <c r="D26" s="53"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6" t="s">
        <v>64</v>
      </c>
      <c r="E28" s="36" t="s">
        <v>77</v>
      </c>
      <c r="F28" s="36" t="s">
        <v>76</v>
      </c>
      <c r="G28" s="36" t="s">
        <v>79</v>
      </c>
      <c r="H28" s="36" t="s">
        <v>78</v>
      </c>
      <c r="I28" s="36" t="s">
        <v>80</v>
      </c>
      <c r="J28" s="36" t="s">
        <v>81</v>
      </c>
      <c r="K28" s="36" t="s">
        <v>82</v>
      </c>
      <c r="L28" s="36" t="s">
        <v>83</v>
      </c>
      <c r="M28" s="36" t="s">
        <v>146</v>
      </c>
    </row>
    <row r="29" spans="1:13" ht="20.100000000000001" customHeight="1" x14ac:dyDescent="0.25">
      <c r="D29" s="36" t="str" cm="1">
        <f t="array" ref="D29">Common_InputFunctions.Utility_DisplayArrayInTable(SourceData_Swine.SourceData_Swine_MMS_MCFs_Data(),Table_SourceData_Swine_MMSMCF[[#Headers],[MMS]],0)</f>
        <v>Outdoor (Dry lot)</v>
      </c>
      <c r="E29" s="36" cm="1">
        <f t="array" ref="E29">Common_InputFunctions.Utility_DisplayArrayInTable(SourceData_Swine.SourceData_Swine_MMS_MCFs_Data(),Table_SourceData_Swine_MMSMCF[[#Headers],[MMS]],0)</f>
        <v>0.01</v>
      </c>
      <c r="F29" s="36" cm="1">
        <f t="array" ref="F29">Common_InputFunctions.Utility_DisplayArrayInTable(SourceData_Swine.SourceData_Swine_MMS_MCFs_Data(),Table_SourceData_Swine_MMSMCF[[#Headers],[MMS]],0)</f>
        <v>0.01</v>
      </c>
      <c r="G29" s="36" cm="1">
        <f t="array" ref="G29">Common_InputFunctions.Utility_DisplayArrayInTable(SourceData_Swine.SourceData_Swine_MMS_MCFs_Data(),Table_SourceData_Swine_MMSMCF[[#Headers],[MMS]],0)</f>
        <v>0.03</v>
      </c>
      <c r="H29" s="36" cm="1">
        <f t="array" ref="H29">Common_InputFunctions.Utility_DisplayArrayInTable(SourceData_Swine.SourceData_Swine_MMS_MCFs_Data(),Table_SourceData_Swine_MMSMCF[[#Headers],[MMS]],0)</f>
        <v>0.03</v>
      </c>
      <c r="I29" s="36" cm="1">
        <f t="array" ref="I29">Common_InputFunctions.Utility_DisplayArrayInTable(SourceData_Swine.SourceData_Swine_MMS_MCFs_Data(),Table_SourceData_Swine_MMSMCF[[#Headers],[MMS]],0)</f>
        <v>0.01</v>
      </c>
      <c r="J29" s="36" cm="1">
        <f t="array" ref="J29">Common_InputFunctions.Utility_DisplayArrayInTable(SourceData_Swine.SourceData_Swine_MMS_MCFs_Data(),Table_SourceData_Swine_MMSMCF[[#Headers],[MMS]],0)</f>
        <v>0.01</v>
      </c>
      <c r="K29" s="36" cm="1">
        <f t="array" ref="K29">Common_InputFunctions.Utility_DisplayArrayInTable(SourceData_Swine.SourceData_Swine_MMS_MCFs_Data(),Table_SourceData_Swine_MMSMCF[[#Headers],[MMS]],0)</f>
        <v>0.01</v>
      </c>
      <c r="L29" s="36" cm="1">
        <f t="array" ref="L29">Common_InputFunctions.Utility_DisplayArrayInTable(SourceData_Swine.SourceData_Swine_MMS_MCFs_Data(),Table_SourceData_Swine_MMSMCF[[#Headers],[MMS]],0)</f>
        <v>0.01</v>
      </c>
      <c r="M29" s="36"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6" cm="1">
        <f t="array" ref="E30">Common_InputFunctions.Utility_DisplayArrayInTable(SourceData_Swine.SourceData_Swine_MMS_MCFs_Data(),Table_SourceData_Swine_MMSMCF[[#Headers],[MMS]],0)</f>
        <v>0.04</v>
      </c>
      <c r="F30" s="36" cm="1">
        <f t="array" ref="F30">Common_InputFunctions.Utility_DisplayArrayInTable(SourceData_Swine.SourceData_Swine_MMS_MCFs_Data(),Table_SourceData_Swine_MMSMCF[[#Headers],[MMS]],0)</f>
        <v>0.04</v>
      </c>
      <c r="G30" s="36" cm="1">
        <f t="array" ref="G30">Common_InputFunctions.Utility_DisplayArrayInTable(SourceData_Swine.SourceData_Swine_MMS_MCFs_Data(),Table_SourceData_Swine_MMSMCF[[#Headers],[MMS]],0)</f>
        <v>0.04</v>
      </c>
      <c r="H30" s="36" cm="1">
        <f t="array" ref="H30">Common_InputFunctions.Utility_DisplayArrayInTable(SourceData_Swine.SourceData_Swine_MMS_MCFs_Data(),Table_SourceData_Swine_MMSMCF[[#Headers],[MMS]],0)</f>
        <v>0.04</v>
      </c>
      <c r="I30" s="36" cm="1">
        <f t="array" ref="I30">Common_InputFunctions.Utility_DisplayArrayInTable(SourceData_Swine.SourceData_Swine_MMS_MCFs_Data(),Table_SourceData_Swine_MMSMCF[[#Headers],[MMS]],0)</f>
        <v>0.04</v>
      </c>
      <c r="J30" s="36" cm="1">
        <f t="array" ref="J30">Common_InputFunctions.Utility_DisplayArrayInTable(SourceData_Swine.SourceData_Swine_MMS_MCFs_Data(),Table_SourceData_Swine_MMSMCF[[#Headers],[MMS]],0)</f>
        <v>0.04</v>
      </c>
      <c r="K30" s="36" cm="1">
        <f t="array" ref="K30">Common_InputFunctions.Utility_DisplayArrayInTable(SourceData_Swine.SourceData_Swine_MMS_MCFs_Data(),Table_SourceData_Swine_MMSMCF[[#Headers],[MMS]],0)</f>
        <v>0.04</v>
      </c>
      <c r="L30" s="36" cm="1">
        <f t="array" ref="L30">Common_InputFunctions.Utility_DisplayArrayInTable(SourceData_Swine.SourceData_Swine_MMS_MCFs_Data(),Table_SourceData_Swine_MMSMCF[[#Headers],[MMS]],0)</f>
        <v>0.04</v>
      </c>
      <c r="M30" s="36"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6" cm="1">
        <f t="array" ref="E31">Common_InputFunctions.Utility_DisplayArrayInTable(SourceData_Swine.SourceData_Swine_MMS_MCFs_Data(),Table_SourceData_Swine_MMSMCF[[#Headers],[MMS]],0)</f>
        <v>0.02</v>
      </c>
      <c r="F31" s="36" cm="1">
        <f t="array" ref="F31">Common_InputFunctions.Utility_DisplayArrayInTable(SourceData_Swine.SourceData_Swine_MMS_MCFs_Data(),Table_SourceData_Swine_MMSMCF[[#Headers],[MMS]],0)</f>
        <v>0.02</v>
      </c>
      <c r="G31" s="36" cm="1">
        <f t="array" ref="G31">Common_InputFunctions.Utility_DisplayArrayInTable(SourceData_Swine.SourceData_Swine_MMS_MCFs_Data(),Table_SourceData_Swine_MMSMCF[[#Headers],[MMS]],0)</f>
        <v>0.02</v>
      </c>
      <c r="H31" s="36" cm="1">
        <f t="array" ref="H31">Common_InputFunctions.Utility_DisplayArrayInTable(SourceData_Swine.SourceData_Swine_MMS_MCFs_Data(),Table_SourceData_Swine_MMSMCF[[#Headers],[MMS]],0)</f>
        <v>0.02</v>
      </c>
      <c r="I31" s="36" cm="1">
        <f t="array" ref="I31">Common_InputFunctions.Utility_DisplayArrayInTable(SourceData_Swine.SourceData_Swine_MMS_MCFs_Data(),Table_SourceData_Swine_MMSMCF[[#Headers],[MMS]],0)</f>
        <v>0.02</v>
      </c>
      <c r="J31" s="36" cm="1">
        <f t="array" ref="J31">Common_InputFunctions.Utility_DisplayArrayInTable(SourceData_Swine.SourceData_Swine_MMS_MCFs_Data(),Table_SourceData_Swine_MMSMCF[[#Headers],[MMS]],0)</f>
        <v>0.02</v>
      </c>
      <c r="K31" s="36" cm="1">
        <f t="array" ref="K31">Common_InputFunctions.Utility_DisplayArrayInTable(SourceData_Swine.SourceData_Swine_MMS_MCFs_Data(),Table_SourceData_Swine_MMSMCF[[#Headers],[MMS]],0)</f>
        <v>0.02</v>
      </c>
      <c r="L31" s="36" cm="1">
        <f t="array" ref="L31">Common_InputFunctions.Utility_DisplayArrayInTable(SourceData_Swine.SourceData_Swine_MMS_MCFs_Data(),Table_SourceData_Swine_MMSMCF[[#Headers],[MMS]],0)</f>
        <v>0.02</v>
      </c>
      <c r="M31" s="36"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6" cm="1">
        <f t="array" ref="E32">Common_InputFunctions.Utility_DisplayArrayInTable(SourceData_Swine.SourceData_Swine_MMS_MCFs_Data(),Table_SourceData_Swine_MMSMCF[[#Headers],[MMS]],0)</f>
        <v>0.75</v>
      </c>
      <c r="F32" s="36" cm="1">
        <f t="array" ref="F32">Common_InputFunctions.Utility_DisplayArrayInTable(SourceData_Swine.SourceData_Swine_MMS_MCFs_Data(),Table_SourceData_Swine_MMSMCF[[#Headers],[MMS]],0)</f>
        <v>0.75</v>
      </c>
      <c r="G32" s="36" cm="1">
        <f t="array" ref="G32">Common_InputFunctions.Utility_DisplayArrayInTable(SourceData_Swine.SourceData_Swine_MMS_MCFs_Data(),Table_SourceData_Swine_MMSMCF[[#Headers],[MMS]],0)</f>
        <v>0.78</v>
      </c>
      <c r="H32" s="36" cm="1">
        <f t="array" ref="H32">Common_InputFunctions.Utility_DisplayArrayInTable(SourceData_Swine.SourceData_Swine_MMS_MCFs_Data(),Table_SourceData_Swine_MMSMCF[[#Headers],[MMS]],0)</f>
        <v>0.78</v>
      </c>
      <c r="I32" s="36" cm="1">
        <f t="array" ref="I32">Common_InputFunctions.Utility_DisplayArrayInTable(SourceData_Swine.SourceData_Swine_MMS_MCFs_Data(),Table_SourceData_Swine_MMSMCF[[#Headers],[MMS]],0)</f>
        <v>0.75</v>
      </c>
      <c r="J32" s="36" cm="1">
        <f t="array" ref="J32">Common_InputFunctions.Utility_DisplayArrayInTable(SourceData_Swine.SourceData_Swine_MMS_MCFs_Data(),Table_SourceData_Swine_MMSMCF[[#Headers],[MMS]],0)</f>
        <v>0.7</v>
      </c>
      <c r="K32" s="36" cm="1">
        <f t="array" ref="K32">Common_InputFunctions.Utility_DisplayArrayInTable(SourceData_Swine.SourceData_Swine_MMS_MCFs_Data(),Table_SourceData_Swine_MMSMCF[[#Headers],[MMS]],0)</f>
        <v>0.74</v>
      </c>
      <c r="L32" s="36" cm="1">
        <f t="array" ref="L32">Common_InputFunctions.Utility_DisplayArrayInTable(SourceData_Swine.SourceData_Swine_MMS_MCFs_Data(),Table_SourceData_Swine_MMSMCF[[#Headers],[MMS]],0)</f>
        <v>0.76</v>
      </c>
      <c r="M32" s="36"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6" cm="1">
        <f t="array" ref="E33">Common_InputFunctions.Utility_DisplayArrayInTable(SourceData_Swine.SourceData_Swine_MMS_MCFs_Data(),Table_SourceData_Swine_MMSMCF[[#Headers],[MMS]],0)</f>
        <v>0.1</v>
      </c>
      <c r="F33" s="36" cm="1">
        <f t="array" ref="F33">Common_InputFunctions.Utility_DisplayArrayInTable(SourceData_Swine.SourceData_Swine_MMS_MCFs_Data(),Table_SourceData_Swine_MMSMCF[[#Headers],[MMS]],0)</f>
        <v>0.1</v>
      </c>
      <c r="G33" s="36" cm="1">
        <f t="array" ref="G33">Common_InputFunctions.Utility_DisplayArrayInTable(SourceData_Swine.SourceData_Swine_MMS_MCFs_Data(),Table_SourceData_Swine_MMSMCF[[#Headers],[MMS]],0)</f>
        <v>0.1</v>
      </c>
      <c r="H33" s="36" cm="1">
        <f t="array" ref="H33">Common_InputFunctions.Utility_DisplayArrayInTable(SourceData_Swine.SourceData_Swine_MMS_MCFs_Data(),Table_SourceData_Swine_MMSMCF[[#Headers],[MMS]],0)</f>
        <v>0.1</v>
      </c>
      <c r="I33" s="36" cm="1">
        <f t="array" ref="I33">Common_InputFunctions.Utility_DisplayArrayInTable(SourceData_Swine.SourceData_Swine_MMS_MCFs_Data(),Table_SourceData_Swine_MMSMCF[[#Headers],[MMS]],0)</f>
        <v>0.1</v>
      </c>
      <c r="J33" s="36" cm="1">
        <f t="array" ref="J33">Common_InputFunctions.Utility_DisplayArrayInTable(SourceData_Swine.SourceData_Swine_MMS_MCFs_Data(),Table_SourceData_Swine_MMSMCF[[#Headers],[MMS]],0)</f>
        <v>0.1</v>
      </c>
      <c r="K33" s="36" cm="1">
        <f t="array" ref="K33">Common_InputFunctions.Utility_DisplayArrayInTable(SourceData_Swine.SourceData_Swine_MMS_MCFs_Data(),Table_SourceData_Swine_MMSMCF[[#Headers],[MMS]],0)</f>
        <v>0.1</v>
      </c>
      <c r="L33" s="36" cm="1">
        <f t="array" ref="L33">Common_InputFunctions.Utility_DisplayArrayInTable(SourceData_Swine.SourceData_Swine_MMS_MCFs_Data(),Table_SourceData_Swine_MMSMCF[[#Headers],[MMS]],0)</f>
        <v>0.1</v>
      </c>
      <c r="M33" s="36"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6" cm="1">
        <f t="array" ref="E34">Common_InputFunctions.Utility_DisplayArrayInTable(SourceData_Swine.SourceData_Swine_MMS_MCFs_Data(),Table_SourceData_Swine_MMSMCF[[#Headers],[MMS]],0)</f>
        <v>0.03</v>
      </c>
      <c r="F34" s="36" cm="1">
        <f t="array" ref="F34">Common_InputFunctions.Utility_DisplayArrayInTable(SourceData_Swine.SourceData_Swine_MMS_MCFs_Data(),Table_SourceData_Swine_MMSMCF[[#Headers],[MMS]],0)</f>
        <v>0.03</v>
      </c>
      <c r="G34" s="36" cm="1">
        <f t="array" ref="G34">Common_InputFunctions.Utility_DisplayArrayInTable(SourceData_Swine.SourceData_Swine_MMS_MCFs_Data(),Table_SourceData_Swine_MMSMCF[[#Headers],[MMS]],0)</f>
        <v>0.03</v>
      </c>
      <c r="H34" s="36" cm="1">
        <f t="array" ref="H34">Common_InputFunctions.Utility_DisplayArrayInTable(SourceData_Swine.SourceData_Swine_MMS_MCFs_Data(),Table_SourceData_Swine_MMSMCF[[#Headers],[MMS]],0)</f>
        <v>0.03</v>
      </c>
      <c r="I34" s="36" cm="1">
        <f t="array" ref="I34">Common_InputFunctions.Utility_DisplayArrayInTable(SourceData_Swine.SourceData_Swine_MMS_MCFs_Data(),Table_SourceData_Swine_MMSMCF[[#Headers],[MMS]],0)</f>
        <v>0.03</v>
      </c>
      <c r="J34" s="36" cm="1">
        <f t="array" ref="J34">Common_InputFunctions.Utility_DisplayArrayInTable(SourceData_Swine.SourceData_Swine_MMS_MCFs_Data(),Table_SourceData_Swine_MMSMCF[[#Headers],[MMS]],0)</f>
        <v>0.03</v>
      </c>
      <c r="K34" s="36" cm="1">
        <f t="array" ref="K34">Common_InputFunctions.Utility_DisplayArrayInTable(SourceData_Swine.SourceData_Swine_MMS_MCFs_Data(),Table_SourceData_Swine_MMSMCF[[#Headers],[MMS]],0)</f>
        <v>0.03</v>
      </c>
      <c r="L34" s="36" cm="1">
        <f t="array" ref="L34">Common_InputFunctions.Utility_DisplayArrayInTable(SourceData_Swine.SourceData_Swine_MMS_MCFs_Data(),Table_SourceData_Swine_MMSMCF[[#Headers],[MMS]],0)</f>
        <v>0.03</v>
      </c>
      <c r="M34" s="36"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6" cm="1">
        <f t="array" ref="E35">Common_InputFunctions.Utility_DisplayArrayInTable(SourceData_Swine.SourceData_Swine_MMS_MCFs_Data(),Table_SourceData_Swine_MMSMCF[[#Headers],[MMS]],0)</f>
        <v>0</v>
      </c>
      <c r="F35" s="36" cm="1">
        <f t="array" ref="F35">Common_InputFunctions.Utility_DisplayArrayInTable(SourceData_Swine.SourceData_Swine_MMS_MCFs_Data(),Table_SourceData_Swine_MMSMCF[[#Headers],[MMS]],0)</f>
        <v>0</v>
      </c>
      <c r="G35" s="36" cm="1">
        <f t="array" ref="G35">Common_InputFunctions.Utility_DisplayArrayInTable(SourceData_Swine.SourceData_Swine_MMS_MCFs_Data(),Table_SourceData_Swine_MMSMCF[[#Headers],[MMS]],0)</f>
        <v>0</v>
      </c>
      <c r="H35" s="36" cm="1">
        <f t="array" ref="H35">Common_InputFunctions.Utility_DisplayArrayInTable(SourceData_Swine.SourceData_Swine_MMS_MCFs_Data(),Table_SourceData_Swine_MMSMCF[[#Headers],[MMS]],0)</f>
        <v>0</v>
      </c>
      <c r="I35" s="36" cm="1">
        <f t="array" ref="I35">Common_InputFunctions.Utility_DisplayArrayInTable(SourceData_Swine.SourceData_Swine_MMS_MCFs_Data(),Table_SourceData_Swine_MMSMCF[[#Headers],[MMS]],0)</f>
        <v>0</v>
      </c>
      <c r="J35" s="36" cm="1">
        <f t="array" ref="J35">Common_InputFunctions.Utility_DisplayArrayInTable(SourceData_Swine.SourceData_Swine_MMS_MCFs_Data(),Table_SourceData_Swine_MMSMCF[[#Headers],[MMS]],0)</f>
        <v>0</v>
      </c>
      <c r="K35" s="36" cm="1">
        <f t="array" ref="K35">Common_InputFunctions.Utility_DisplayArrayInTable(SourceData_Swine.SourceData_Swine_MMS_MCFs_Data(),Table_SourceData_Swine_MMSMCF[[#Headers],[MMS]],0)</f>
        <v>0</v>
      </c>
      <c r="L35" s="36" cm="1">
        <f t="array" ref="L35">Common_InputFunctions.Utility_DisplayArrayInTable(SourceData_Swine.SourceData_Swine_MMS_MCFs_Data(),Table_SourceData_Swine_MMSMCF[[#Headers],[MMS]],0)</f>
        <v>0</v>
      </c>
      <c r="M35" s="36"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147</v>
      </c>
      <c r="G38" s="6" t="s">
        <v>148</v>
      </c>
      <c r="K38" s="6" t="s">
        <v>149</v>
      </c>
      <c r="M38" s="1"/>
    </row>
    <row r="39" spans="4:13" ht="20.100000000000001" customHeight="1" x14ac:dyDescent="0.25">
      <c r="M39" s="1"/>
    </row>
    <row r="40" spans="4:13" ht="20.100000000000001" customHeight="1" x14ac:dyDescent="0.25">
      <c r="D40" s="116" t="s">
        <v>64</v>
      </c>
      <c r="E40" s="36" t="s">
        <v>75</v>
      </c>
      <c r="G40" s="116" t="s">
        <v>64</v>
      </c>
      <c r="H40" s="36" t="s">
        <v>75</v>
      </c>
      <c r="K40" s="116" t="s">
        <v>64</v>
      </c>
      <c r="L40" s="36" t="s">
        <v>75</v>
      </c>
      <c r="M40" s="1"/>
    </row>
    <row r="41" spans="4:13" ht="20.100000000000001" customHeight="1" x14ac:dyDescent="0.25">
      <c r="D41" s="36" t="str">
        <f>'Constants - Livestock'!$E$10</f>
        <v>Anaerobic lagoon</v>
      </c>
      <c r="E41" s="36" t="str">
        <f>'Constants - Livestock'!$F$10</f>
        <v>Anaerobic lagoon (m=1)</v>
      </c>
      <c r="G41" s="36" t="str">
        <f>'Constants - Livestock'!$E$10</f>
        <v>Anaerobic lagoon</v>
      </c>
      <c r="H41" s="36" t="str">
        <f>'Constants - Livestock'!$F$10</f>
        <v>Anaerobic lagoon (m=1)</v>
      </c>
      <c r="K41" s="36" t="str">
        <f>'Constants - Livestock'!$E$10</f>
        <v>Anaerobic lagoon</v>
      </c>
      <c r="L41" s="36" t="str">
        <f>'Constants - Livestock'!$F$10</f>
        <v>Anaerobic lagoon (m=1)</v>
      </c>
      <c r="M41" s="1"/>
    </row>
    <row r="42" spans="4:13" ht="20.100000000000001" customHeight="1" x14ac:dyDescent="0.25">
      <c r="D42" s="36" t="str">
        <f>'Constants - Livestock'!$E$15</f>
        <v>Solid storage</v>
      </c>
      <c r="E42" s="36" t="str">
        <f>'Constants - Livestock'!$F$15</f>
        <v>Solid storage (m=4)</v>
      </c>
      <c r="G42" s="36" t="str">
        <f>'Constants - Livestock'!$E$16</f>
        <v>Drylot (feed pad)</v>
      </c>
      <c r="H42" s="36" t="str">
        <f>'Constants - Livestock'!$F$16</f>
        <v>Drylot (feed pad) (m=5)</v>
      </c>
      <c r="K42" s="36" t="str">
        <f>'Constants - Livestock'!$E$15</f>
        <v>Solid storage</v>
      </c>
      <c r="L42" s="36" t="str">
        <f>'Constants - Livestock'!$F$15</f>
        <v>Solid storage (m=4)</v>
      </c>
      <c r="M42" s="1"/>
    </row>
    <row r="43" spans="4:13" ht="20.100000000000001" customHeight="1" x14ac:dyDescent="0.25">
      <c r="D43" s="36" t="str">
        <f>'Constants - Livestock'!$E$16</f>
        <v>Drylot (feed pad)</v>
      </c>
      <c r="E43" s="36" t="str">
        <f>'Constants - Livestock'!$F$16</f>
        <v>Drylot (feed pad) (m=5)</v>
      </c>
      <c r="G43" s="36" t="str">
        <f>'Constants - Livestock'!$E$18</f>
        <v>Digester / covered lagoons</v>
      </c>
      <c r="H43" s="36" t="str">
        <f>'Constants - Livestock'!$F$18</f>
        <v>Digester / covered lagoons (m=7)</v>
      </c>
      <c r="K43" s="36" t="str">
        <f>'Constants - Livestock'!$E$16</f>
        <v>Drylot (feed pad)</v>
      </c>
      <c r="L43" s="36" t="str">
        <f>'Constants - Livestock'!$F$16</f>
        <v>Drylot (feed pad) (m=5)</v>
      </c>
      <c r="M43" s="1"/>
    </row>
    <row r="44" spans="4:13" ht="20.100000000000001" customHeight="1" x14ac:dyDescent="0.25">
      <c r="D44" s="36" t="str">
        <f>'Constants - Livestock'!$E$18</f>
        <v>Digester / covered lagoons</v>
      </c>
      <c r="E44" s="36" t="str">
        <f>'Constants - Livestock'!$F$18</f>
        <v>Digester / covered lagoons (m=7)</v>
      </c>
      <c r="G44" s="36" t="str">
        <f>'Constants - Livestock'!$E$19</f>
        <v>Deep litter</v>
      </c>
      <c r="H44" s="36" t="str">
        <f>'Constants - Livestock'!$F$19</f>
        <v>Deep litter (m=8)</v>
      </c>
      <c r="K44" s="36" t="str">
        <f>'Constants - Livestock'!$E$18</f>
        <v>Digester / covered lagoons</v>
      </c>
      <c r="L44" s="36" t="str">
        <f>'Constants - Livestock'!$F$18</f>
        <v>Digester / covered lagoons (m=7)</v>
      </c>
      <c r="M44" s="1"/>
    </row>
    <row r="45" spans="4:13" ht="20.100000000000001" customHeight="1" x14ac:dyDescent="0.25">
      <c r="D45" s="36" t="str">
        <f>'Constants - Livestock'!$E$19</f>
        <v>Deep litter</v>
      </c>
      <c r="E45" s="36" t="str">
        <f>'Constants - Livestock'!$F$19</f>
        <v>Deep litter (m=8)</v>
      </c>
      <c r="G45" s="36" t="str">
        <f>'Constants - Livestock'!$E$20</f>
        <v>Pit storage</v>
      </c>
      <c r="H45" s="36" t="str">
        <f>'Constants - Livestock'!$F$20</f>
        <v>Pit storage (m=9)</v>
      </c>
      <c r="K45" s="36" t="str">
        <f>'Constants - Livestock'!$E$19</f>
        <v>Deep litter</v>
      </c>
      <c r="L45" s="36" t="str">
        <f>'Constants - Livestock'!$F$19</f>
        <v>Deep litter (m=8)</v>
      </c>
      <c r="M45" s="1"/>
    </row>
    <row r="46" spans="4:13" ht="20.100000000000001" customHeight="1" x14ac:dyDescent="0.25">
      <c r="D46" s="36" t="str">
        <f>'Constants - Livestock'!$E$20</f>
        <v>Pit storage</v>
      </c>
      <c r="E46" s="36" t="str">
        <f>'Constants - Livestock'!$F$20</f>
        <v>Pit storage (m=9)</v>
      </c>
      <c r="K46" s="36" t="str">
        <f>'Constants - Livestock'!$E$20</f>
        <v>Pit storage</v>
      </c>
      <c r="L46" s="36" t="str">
        <f>'Constants - Livestock'!$F$20</f>
        <v>Pit storage (m=9)</v>
      </c>
      <c r="M46" s="1"/>
    </row>
    <row r="47" spans="4:13" ht="20.100000000000001" customHeight="1" x14ac:dyDescent="0.25">
      <c r="D47" s="36" t="str">
        <f>'Constants - Livestock'!$E$26</f>
        <v>Direct application</v>
      </c>
      <c r="E47" s="36" t="str">
        <f>'Constants - Livestock'!$F$26</f>
        <v>Direct application (m=13)</v>
      </c>
      <c r="M47" s="1"/>
    </row>
    <row r="48" spans="4:13" ht="20.100000000000001" customHeight="1" x14ac:dyDescent="0.25">
      <c r="M48" s="1"/>
    </row>
    <row r="49" spans="4:13" ht="20.100000000000001" customHeight="1" x14ac:dyDescent="0.25">
      <c r="M49" s="1"/>
    </row>
    <row r="50" spans="4:13" ht="20.100000000000001" customHeight="1" x14ac:dyDescent="0.25">
      <c r="M50" s="1"/>
    </row>
    <row r="51" spans="4:13" ht="20.100000000000001" customHeight="1" x14ac:dyDescent="0.25">
      <c r="D51" s="6" t="s">
        <v>150</v>
      </c>
      <c r="G51" s="6" t="s">
        <v>151</v>
      </c>
      <c r="M51" s="1"/>
    </row>
    <row r="52" spans="4:13" ht="20.100000000000001" customHeight="1" x14ac:dyDescent="0.25">
      <c r="M52" s="1"/>
    </row>
    <row r="53" spans="4:13" ht="20.100000000000001" customHeight="1" x14ac:dyDescent="0.25">
      <c r="D53" s="116" t="s">
        <v>64</v>
      </c>
      <c r="E53" s="36" t="s">
        <v>152</v>
      </c>
      <c r="G53" s="36" t="s">
        <v>103</v>
      </c>
      <c r="M53" s="1"/>
    </row>
    <row r="54" spans="4:13" ht="20.100000000000001" customHeight="1" x14ac:dyDescent="0.25">
      <c r="D54" s="36" t="str">
        <f>'Constants - Livestock'!$E$10</f>
        <v>Anaerobic lagoon</v>
      </c>
      <c r="E54" s="36">
        <v>0</v>
      </c>
      <c r="G54" s="36" t="str" cm="1">
        <f t="array" ref="G54">Common_InputFunctions.Utility_DisplayArrayInTable(SourceData_Swine.SourceData_Swine_ProductionSystems_Data(), Table_SourceData_Swine_ProductionSystems[[#Headers],[Production system]], 0)</f>
        <v>Conventional housing</v>
      </c>
      <c r="M54" s="1"/>
    </row>
    <row r="55" spans="4:13" ht="20.100000000000001" customHeight="1" x14ac:dyDescent="0.25">
      <c r="D55" s="36" t="str">
        <f>'Constants - Livestock'!$E$15</f>
        <v>Solid storage</v>
      </c>
      <c r="E55" s="36">
        <v>0</v>
      </c>
      <c r="G55" s="36" t="str" cm="1">
        <f t="array" ref="G55">Common_InputFunctions.Utility_DisplayArrayInTable(SourceData_Swine.SourceData_Swine_ProductionSystems_Data(), Table_SourceData_Swine_ProductionSystems[[#Headers],[Production system]], 0)</f>
        <v>Deep litter housing</v>
      </c>
      <c r="M55" s="1"/>
    </row>
    <row r="56" spans="4:13" ht="20.100000000000001" customHeight="1" x14ac:dyDescent="0.25">
      <c r="D56" s="36" t="str">
        <f>'Constants - Livestock'!$E$16</f>
        <v>Drylot (feed pad)</v>
      </c>
      <c r="E56" s="36">
        <v>0</v>
      </c>
      <c r="G56" s="36" t="str" cm="1">
        <f t="array" ref="G56">Common_InputFunctions.Utility_DisplayArrayInTable(SourceData_Swine.SourceData_Swine_ProductionSystems_Data(), Table_SourceData_Swine_ProductionSystems[[#Headers],[Production system]], 0)</f>
        <v>Outdoor/free range</v>
      </c>
      <c r="M56" s="1"/>
    </row>
    <row r="57" spans="4:13" ht="20.100000000000001" customHeight="1" x14ac:dyDescent="0.25">
      <c r="D57" s="36" t="str">
        <f>'Constants - Livestock'!$E$18</f>
        <v>Digester / covered lagoons</v>
      </c>
      <c r="E57" s="36">
        <v>0.75</v>
      </c>
      <c r="M57" s="1"/>
    </row>
    <row r="58" spans="4:13" ht="20.100000000000001" customHeight="1" x14ac:dyDescent="0.25">
      <c r="D58" s="36" t="str">
        <f>'Constants - Livestock'!$E$19</f>
        <v>Deep litter</v>
      </c>
      <c r="E58" s="36">
        <v>0.05</v>
      </c>
      <c r="M58" s="1"/>
    </row>
    <row r="59" spans="4:13" ht="20.100000000000001" customHeight="1" x14ac:dyDescent="0.25">
      <c r="D59" s="36" t="str">
        <f>'Constants - Livestock'!$E$20</f>
        <v>Pit storage</v>
      </c>
      <c r="E59" s="36">
        <v>0</v>
      </c>
      <c r="M59" s="1"/>
    </row>
    <row r="60" spans="4:13" ht="20.100000000000001" customHeight="1" x14ac:dyDescent="0.25">
      <c r="D60" s="36" t="str">
        <f>'Constants - Livestock'!$E$26</f>
        <v>Direct application</v>
      </c>
      <c r="E60" s="36">
        <v>0</v>
      </c>
      <c r="M60" s="1"/>
    </row>
    <row r="61" spans="4:13" ht="20.100000000000001" customHeight="1" x14ac:dyDescent="0.25">
      <c r="M61" s="1"/>
    </row>
    <row r="62" spans="4:13" ht="20.100000000000001" customHeight="1" x14ac:dyDescent="0.25">
      <c r="M62" s="1"/>
    </row>
    <row r="63" spans="4:13" ht="20.100000000000001" customHeight="1" x14ac:dyDescent="0.25">
      <c r="D63" s="6" t="str" cm="1">
        <f t="array" ref="D63">SourceData_Swine.SourceData_Swine_VolatileSolids_Title()</f>
        <v>Swine - Volatile solids (VSj) - 2020 to 2024</v>
      </c>
      <c r="M63" s="1"/>
    </row>
    <row r="64" spans="4: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3"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6" t="s">
        <v>142</v>
      </c>
      <c r="E67" s="36" t="s">
        <v>143</v>
      </c>
      <c r="M67" s="1"/>
    </row>
    <row r="68" spans="4:22" ht="20.100000000000001" customHeight="1" x14ac:dyDescent="0.25">
      <c r="D68" s="36" t="str" cm="1">
        <f t="array" ref="D68">Common_InputFunctions.Utility_DisplayArrayInTable(SourceData_Swine.SourceData_Swine_VolatileSolids_Data(), Table_SourceData_Swine_VolatileSolids[[#Headers],[Class]], 0)</f>
        <v>Boars</v>
      </c>
      <c r="E68" s="36"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6"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6"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6"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3"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6" t="s">
        <v>142</v>
      </c>
      <c r="E78" s="36" t="s">
        <v>221</v>
      </c>
      <c r="M78" s="1"/>
      <c r="V78" s="1"/>
    </row>
    <row r="79" spans="4:22" ht="20.100000000000001" customHeight="1" x14ac:dyDescent="0.25">
      <c r="D79" s="36" t="str" cm="1">
        <f t="array" ref="D79">Common_InputFunctions.Utility_DisplayArrayInTable(SourceData_Swine.SourceData_Swine_FeedIntake_Data(), Table_SourceData_Swine_FeedIntake[[#Headers],[Class]], 0)</f>
        <v>Boars</v>
      </c>
      <c r="E79" s="36" cm="1">
        <f t="array" ref="E79">Common_InputFunctions.Utility_DisplayArrayInTable(SourceData_Swine.SourceData_Swine_FeedIntake_Data(), Table_SourceData_Swine_FeedIntake[[#Headers],[Class]], 0)</f>
        <v>2.62</v>
      </c>
      <c r="M79" s="1"/>
      <c r="V79" s="1"/>
    </row>
    <row r="80" spans="4:22" ht="20.100000000000001" customHeight="1" x14ac:dyDescent="0.25">
      <c r="D80" s="36" t="str" cm="1">
        <f t="array" ref="D80">Common_InputFunctions.Utility_DisplayArrayInTable(SourceData_Swine.SourceData_Swine_FeedIntake_Data(), Table_SourceData_Swine_FeedIntake[[#Headers],[Class]], 0)</f>
        <v>Sows</v>
      </c>
      <c r="E80" s="36"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6" t="str" cm="1">
        <f t="array" ref="D81">Common_InputFunctions.Utility_DisplayArrayInTable(SourceData_Swine.SourceData_Swine_FeedIntake_Data(), Table_SourceData_Swine_FeedIntake[[#Headers],[Class]], 0)</f>
        <v>Gilts</v>
      </c>
      <c r="E81" s="36" cm="1">
        <f t="array" ref="E81">Common_InputFunctions.Utility_DisplayArrayInTable(SourceData_Swine.SourceData_Swine_FeedIntake_Data(), Table_SourceData_Swine_FeedIntake[[#Headers],[Class]], 0)</f>
        <v>2.5</v>
      </c>
      <c r="M81" s="1"/>
      <c r="V81" s="1"/>
    </row>
    <row r="82" spans="4:23" ht="20.100000000000001" customHeight="1" x14ac:dyDescent="0.25">
      <c r="D82" s="36" t="str" cm="1">
        <f t="array" ref="D82">Common_InputFunctions.Utility_DisplayArrayInTable(SourceData_Swine.SourceData_Swine_FeedIntake_Data(), Table_SourceData_Swine_FeedIntake[[#Headers],[Class]], 0)</f>
        <v>Others</v>
      </c>
      <c r="E82" s="36"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3"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6" t="s">
        <v>142</v>
      </c>
      <c r="E89" s="36" t="s">
        <v>219</v>
      </c>
      <c r="F89" s="36" t="s">
        <v>220</v>
      </c>
      <c r="G89" s="36" t="s">
        <v>284</v>
      </c>
      <c r="M89" s="1"/>
      <c r="V89" s="1"/>
      <c r="W89" s="1"/>
    </row>
    <row r="90" spans="4:23" ht="20.100000000000001" customHeight="1" x14ac:dyDescent="0.25">
      <c r="D90" s="36" t="str" cm="1">
        <f t="array" ref="D90">Common_InputFunctions.Utility_DisplayArrayInTable(SourceData_Swine.SourceData_Swine_NitrogenInWaste_Data(), Table_SourceData_Swine_NitrogenInWaste[[#Headers],[Class]], 0)</f>
        <v>Boars</v>
      </c>
      <c r="E90" s="36" cm="1">
        <f t="array" ref="E90">Common_InputFunctions.Utility_DisplayArrayInTable(SourceData_Swine.SourceData_Swine_NitrogenInWaste_Data(), Table_SourceData_Swine_NitrogenInWaste[[#Headers],[Class]], 0)</f>
        <v>4.5999999999999999E-2</v>
      </c>
      <c r="F90" s="36" cm="1">
        <f t="array" ref="F90">Common_InputFunctions.Utility_DisplayArrayInTable(SourceData_Swine.SourceData_Swine_NitrogenInWaste_Data(), Table_SourceData_Swine_NitrogenInWaste[[#Headers],[Class]], 0)</f>
        <v>4.5999999999999999E-2</v>
      </c>
      <c r="G90" s="36"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6" t="str" cm="1">
        <f t="array" ref="D91">Common_InputFunctions.Utility_DisplayArrayInTable(SourceData_Swine.SourceData_Swine_NitrogenInWaste_Data(), Table_SourceData_Swine_NitrogenInWaste[[#Headers],[Class]], 0)</f>
        <v>Sows</v>
      </c>
      <c r="E91" s="36" cm="1">
        <f t="array" ref="E91">Common_InputFunctions.Utility_DisplayArrayInTable(SourceData_Swine.SourceData_Swine_NitrogenInWaste_Data(), Table_SourceData_Swine_NitrogenInWaste[[#Headers],[Class]], 0)</f>
        <v>4.9000000000000002E-2</v>
      </c>
      <c r="F91" s="36" cm="1">
        <f t="array" ref="F91">Common_InputFunctions.Utility_DisplayArrayInTable(SourceData_Swine.SourceData_Swine_NitrogenInWaste_Data(), Table_SourceData_Swine_NitrogenInWaste[[#Headers],[Class]], 0)</f>
        <v>4.9000000000000002E-2</v>
      </c>
      <c r="G91" s="36"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6" t="str" cm="1">
        <f t="array" ref="D92">Common_InputFunctions.Utility_DisplayArrayInTable(SourceData_Swine.SourceData_Swine_NitrogenInWaste_Data(), Table_SourceData_Swine_NitrogenInWaste[[#Headers],[Class]], 0)</f>
        <v>Gilts</v>
      </c>
      <c r="E92" s="36" cm="1">
        <f t="array" ref="E92">Common_InputFunctions.Utility_DisplayArrayInTable(SourceData_Swine.SourceData_Swine_NitrogenInWaste_Data(), Table_SourceData_Swine_NitrogenInWaste[[#Headers],[Class]], 0)</f>
        <v>4.5999999999999999E-2</v>
      </c>
      <c r="F92" s="36" cm="1">
        <f t="array" ref="F92">Common_InputFunctions.Utility_DisplayArrayInTable(SourceData_Swine.SourceData_Swine_NitrogenInWaste_Data(), Table_SourceData_Swine_NitrogenInWaste[[#Headers],[Class]], 0)</f>
        <v>4.5999999999999999E-2</v>
      </c>
      <c r="G92" s="36"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6" t="str" cm="1">
        <f t="array" ref="D93">Common_InputFunctions.Utility_DisplayArrayInTable(SourceData_Swine.SourceData_Swine_NitrogenInWaste_Data(), Table_SourceData_Swine_NitrogenInWaste[[#Headers],[Class]], 0)</f>
        <v>Others (kg/head/year)</v>
      </c>
      <c r="E93" s="36" cm="1">
        <f t="array" ref="E93">Common_InputFunctions.Utility_DisplayArrayInTable(SourceData_Swine.SourceData_Swine_NitrogenInWaste_Data(), Table_SourceData_Swine_NitrogenInWaste[[#Headers],[Class]], 0)</f>
        <v>11.4</v>
      </c>
      <c r="F93" s="36" cm="1">
        <f t="array" ref="F93">Common_InputFunctions.Utility_DisplayArrayInTable(SourceData_Swine.SourceData_Swine_NitrogenInWaste_Data(), Table_SourceData_Swine_NitrogenInWaste[[#Headers],[Class]], 0)</f>
        <v>3.1199999999999999E-2</v>
      </c>
      <c r="G93" s="36"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3" t="str" cm="1">
        <f t="array" ref="D98">SourceData_Swine.SourceData_Swine_FractionNVolatilised_Variation()</f>
        <v>VARIATION ON SOURCE DATA: Added 'NIR reference column to aid lookup.</v>
      </c>
      <c r="M98" s="1"/>
    </row>
    <row r="99" spans="4:13" ht="20.100000000000001" customHeight="1" x14ac:dyDescent="0.25">
      <c r="D99" s="36" t="s">
        <v>222</v>
      </c>
      <c r="E99" s="36" t="s">
        <v>223</v>
      </c>
      <c r="F99" s="36" t="s">
        <v>224</v>
      </c>
      <c r="M99" s="1"/>
    </row>
    <row r="100" spans="4:13" ht="20.100000000000001" customHeight="1" x14ac:dyDescent="0.25">
      <c r="D100" s="36" t="str" cm="1">
        <f t="array" ref="D100">Common_InputFunctions.Utility_DisplayArrayInTable(SourceData_Swine.SourceData_Swine_FractionNVolatilised_Data(), Table_SourceData_Swine_FracGASM[[#Headers],[MMSm]],0)</f>
        <v>Outdoor (Dry lot)</v>
      </c>
      <c r="E100" s="36" cm="1">
        <f t="array" ref="E100">Common_InputFunctions.Utility_DisplayArrayInTable(SourceData_Swine.SourceData_Swine_FractionNVolatilised_Data(), Table_SourceData_Swine_FracGASM[[#Headers],[MMSm]],0)</f>
        <v>0.3</v>
      </c>
      <c r="F100" s="36"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6" t="str" cm="1">
        <f t="array" ref="D101">Common_InputFunctions.Utility_DisplayArrayInTable(SourceData_Swine.SourceData_Swine_FractionNVolatilised_Data(), Table_SourceData_Swine_FracGASM[[#Headers],[MMSm]],0)</f>
        <v>Deep litter</v>
      </c>
      <c r="E101" s="36" cm="1">
        <f t="array" ref="E101">Common_InputFunctions.Utility_DisplayArrayInTable(SourceData_Swine.SourceData_Swine_FractionNVolatilised_Data(), Table_SourceData_Swine_FracGASM[[#Headers],[MMSm]],0)</f>
        <v>0.125</v>
      </c>
      <c r="F101" s="36"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6" t="str" cm="1">
        <f t="array" ref="D102">Common_InputFunctions.Utility_DisplayArrayInTable(SourceData_Swine.SourceData_Swine_FractionNVolatilised_Data(), Table_SourceData_Swine_FracGASM[[#Headers],[MMSm]],0)</f>
        <v>Stockpile (Solid storage)</v>
      </c>
      <c r="E102" s="36" cm="1">
        <f t="array" ref="E102">Common_InputFunctions.Utility_DisplayArrayInTable(SourceData_Swine.SourceData_Swine_FractionNVolatilised_Data(), Table_SourceData_Swine_FracGASM[[#Headers],[MMSm]],0)</f>
        <v>0.2</v>
      </c>
      <c r="F102" s="36"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6" t="str" cm="1">
        <f t="array" ref="D103">Common_InputFunctions.Utility_DisplayArrayInTable(SourceData_Swine.SourceData_Swine_FractionNVolatilised_Data(), Table_SourceData_Swine_FracGASM[[#Headers],[MMSm]],0)</f>
        <v>Effluent pond (Uncovered anaerobic lagoon)</v>
      </c>
      <c r="E103" s="36" cm="1">
        <f t="array" ref="E103">Common_InputFunctions.Utility_DisplayArrayInTable(SourceData_Swine.SourceData_Swine_FractionNVolatilised_Data(), Table_SourceData_Swine_FracGASM[[#Headers],[MMSm]],0)</f>
        <v>0.55000000000000004</v>
      </c>
      <c r="F103" s="36"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6" t="str" cm="1">
        <f t="array" ref="D104">Common_InputFunctions.Utility_DisplayArrayInTable(SourceData_Swine.SourceData_Swine_FractionNVolatilised_Data(), Table_SourceData_Swine_FracGASM[[#Headers],[MMSm]],0)</f>
        <v>Anaerobic digester / Covered lagoon</v>
      </c>
      <c r="E104" s="36" cm="1">
        <f t="array" ref="E104">Common_InputFunctions.Utility_DisplayArrayInTable(SourceData_Swine.SourceData_Swine_FractionNVolatilised_Data(), Table_SourceData_Swine_FracGASM[[#Headers],[MMSm]],0)</f>
        <v>0</v>
      </c>
      <c r="F104" s="36"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6" t="str" cm="1">
        <f t="array" ref="D105">Common_InputFunctions.Utility_DisplayArrayInTable(SourceData_Swine.SourceData_Swine_FractionNVolatilised_Data(), Table_SourceData_Swine_FracGASM[[#Headers],[MMSm]],0)</f>
        <v>Short HRT tank storage &lt; 1 month (pit storage)</v>
      </c>
      <c r="E105" s="36" cm="1">
        <f t="array" ref="E105">Common_InputFunctions.Utility_DisplayArrayInTable(SourceData_Swine.SourceData_Swine_FractionNVolatilised_Data(), Table_SourceData_Swine_FracGASM[[#Headers],[MMSm]],0)</f>
        <v>0.25</v>
      </c>
      <c r="F105" s="36"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3" t="str" cm="1">
        <f t="array" ref="D110">SourceData_Swine.SourceData_Swine_NitrousOxideEFs_Variation()</f>
        <v>VARIATION ON SOURCE DATA: Added 'NIR reference column to aid lookup.</v>
      </c>
      <c r="M110" s="1"/>
    </row>
    <row r="111" spans="4:13" ht="20.100000000000001" customHeight="1" x14ac:dyDescent="0.25">
      <c r="D111" s="36" t="s">
        <v>222</v>
      </c>
      <c r="E111" s="36" t="s">
        <v>244</v>
      </c>
      <c r="F111" s="36" t="s">
        <v>224</v>
      </c>
      <c r="M111" s="1"/>
    </row>
    <row r="112" spans="4:13" ht="20.100000000000001" customHeight="1" x14ac:dyDescent="0.25">
      <c r="D112" s="36" t="str" cm="1">
        <f t="array" ref="D112">Common_InputFunctions.Utility_DisplayArrayInTable(SourceData_Swine.SourceData_Swine_NitrousOxideEFs_Data(), Table_SourceData_Swine_FracGASM28[[#Headers],[MMSm]],0)</f>
        <v>Outdoor (Dry lot)</v>
      </c>
      <c r="E112" s="36" cm="1">
        <f t="array" ref="E112">Common_InputFunctions.Utility_DisplayArrayInTable(SourceData_Swine.SourceData_Swine_NitrousOxideEFs_Data(), Table_SourceData_Swine_FracGASM28[[#Headers],[MMSm]],0)</f>
        <v>0.02</v>
      </c>
      <c r="F112" s="36" t="str" cm="1">
        <f t="array" ref="F112">Common_InputFunctions.Utility_DisplayArrayInTable(SourceData_Swine.SourceData_Swine_NitrousOxideEFs_Data(), Table_SourceData_Swine_FracGASM28[[#Headers],[MMSm]],0)</f>
        <v>Drylot (feed pad)</v>
      </c>
      <c r="M112" s="1"/>
    </row>
    <row r="113" spans="4:22" ht="20.100000000000001" customHeight="1" x14ac:dyDescent="0.25">
      <c r="D113" s="36" t="str" cm="1">
        <f t="array" ref="D113">Common_InputFunctions.Utility_DisplayArrayInTable(SourceData_Swine.SourceData_Swine_NitrousOxideEFs_Data(), Table_SourceData_Swine_FracGASM28[[#Headers],[MMSm]],0)</f>
        <v>Deep litter</v>
      </c>
      <c r="E113" s="36" cm="1">
        <f t="array" ref="E113">Common_InputFunctions.Utility_DisplayArrayInTable(SourceData_Swine.SourceData_Swine_NitrousOxideEFs_Data(), Table_SourceData_Swine_FracGASM28[[#Headers],[MMSm]],0)</f>
        <v>0.01</v>
      </c>
      <c r="F113" s="36" t="str" cm="1">
        <f t="array" ref="F113">Common_InputFunctions.Utility_DisplayArrayInTable(SourceData_Swine.SourceData_Swine_NitrousOxideEFs_Data(), Table_SourceData_Swine_FracGASM28[[#Headers],[MMSm]],0)</f>
        <v>Deep litter</v>
      </c>
      <c r="M113" s="1"/>
    </row>
    <row r="114" spans="4:22" ht="20.100000000000001" customHeight="1" x14ac:dyDescent="0.25">
      <c r="D114" s="36" t="str" cm="1">
        <f t="array" ref="D114">Common_InputFunctions.Utility_DisplayArrayInTable(SourceData_Swine.SourceData_Swine_NitrousOxideEFs_Data(), Table_SourceData_Swine_FracGASM28[[#Headers],[MMSm]],0)</f>
        <v>Stockpile (Solid storage)</v>
      </c>
      <c r="E114" s="36" cm="1">
        <f t="array" ref="E114">Common_InputFunctions.Utility_DisplayArrayInTable(SourceData_Swine.SourceData_Swine_NitrousOxideEFs_Data(), Table_SourceData_Swine_FracGASM28[[#Headers],[MMSm]],0)</f>
        <v>5.0000000000000001E-3</v>
      </c>
      <c r="F114" s="36" t="str" cm="1">
        <f t="array" ref="F114">Common_InputFunctions.Utility_DisplayArrayInTable(SourceData_Swine.SourceData_Swine_NitrousOxideEFs_Data(), Table_SourceData_Swine_FracGASM28[[#Headers],[MMSm]],0)</f>
        <v>Solid storage</v>
      </c>
      <c r="M114" s="1"/>
    </row>
    <row r="115" spans="4:22" ht="20.100000000000001" customHeight="1" x14ac:dyDescent="0.25">
      <c r="D115" s="36" t="str" cm="1">
        <f t="array" ref="D115">Common_InputFunctions.Utility_DisplayArrayInTable(SourceData_Swine.SourceData_Swine_NitrousOxideEFs_Data(), Table_SourceData_Swine_FracGASM28[[#Headers],[MMSm]],0)</f>
        <v>Effluent pond (Uncovered anaerobic lagoon)</v>
      </c>
      <c r="E115" s="36" cm="1">
        <f t="array" ref="E115">Common_InputFunctions.Utility_DisplayArrayInTable(SourceData_Swine.SourceData_Swine_NitrousOxideEFs_Data(), Table_SourceData_Swine_FracGASM28[[#Headers],[MMSm]],0)</f>
        <v>0</v>
      </c>
      <c r="F115" s="36" t="str" cm="1">
        <f t="array" ref="F115">Common_InputFunctions.Utility_DisplayArrayInTable(SourceData_Swine.SourceData_Swine_NitrousOxideEFs_Data(), Table_SourceData_Swine_FracGASM28[[#Headers],[MMSm]],0)</f>
        <v>Anaerobic lagoon</v>
      </c>
      <c r="M115" s="1"/>
      <c r="V115" s="1"/>
    </row>
    <row r="116" spans="4:22" ht="20.100000000000001" customHeight="1" x14ac:dyDescent="0.25">
      <c r="D116" s="36" t="str" cm="1">
        <f t="array" ref="D116">Common_InputFunctions.Utility_DisplayArrayInTable(SourceData_Swine.SourceData_Swine_NitrousOxideEFs_Data(), Table_SourceData_Swine_FracGASM28[[#Headers],[MMSm]],0)</f>
        <v>Anaerobic digestor / Covered lagoon</v>
      </c>
      <c r="E116" s="36" cm="1">
        <f t="array" ref="E116">Common_InputFunctions.Utility_DisplayArrayInTable(SourceData_Swine.SourceData_Swine_NitrousOxideEFs_Data(), Table_SourceData_Swine_FracGASM28[[#Headers],[MMSm]],0)</f>
        <v>0</v>
      </c>
      <c r="F116" s="36" t="str" cm="1">
        <f t="array" ref="F116">Common_InputFunctions.Utility_DisplayArrayInTable(SourceData_Swine.SourceData_Swine_NitrousOxideEFs_Data(), Table_SourceData_Swine_FracGASM28[[#Headers],[MMSm]],0)</f>
        <v>Digester / covered lagoons</v>
      </c>
      <c r="M116" s="1"/>
      <c r="V116" s="1"/>
    </row>
    <row r="117" spans="4:22" ht="20.100000000000001" customHeight="1" x14ac:dyDescent="0.25">
      <c r="D117" s="36" t="str" cm="1">
        <f t="array" ref="D117">Common_InputFunctions.Utility_DisplayArrayInTable(SourceData_Swine.SourceData_Swine_NitrousOxideEFs_Data(), Table_SourceData_Swine_FracGASM28[[#Headers],[MMSm]],0)</f>
        <v>Short HRT tank storage &lt; 1 month (pit storage)</v>
      </c>
      <c r="E117" s="36" cm="1">
        <f t="array" ref="E117">Common_InputFunctions.Utility_DisplayArrayInTable(SourceData_Swine.SourceData_Swine_NitrousOxideEFs_Data(), Table_SourceData_Swine_FracGASM28[[#Headers],[MMSm]],0)</f>
        <v>2E-3</v>
      </c>
      <c r="F117" s="36" t="str" cm="1">
        <f t="array" ref="F117">Common_InputFunctions.Utility_DisplayArrayInTable(SourceData_Swine.SourceData_Swine_NitrousOxideEFs_Data(), Table_SourceData_Swine_FracGASM28[[#Headers],[MMSm]],0)</f>
        <v>Pit storage</v>
      </c>
      <c r="M117" s="1"/>
      <c r="V117" s="1"/>
    </row>
    <row r="118" spans="4:22" ht="20.100000000000001" customHeight="1" x14ac:dyDescent="0.25">
      <c r="M118" s="1"/>
    </row>
    <row r="119" spans="4:22" ht="20.100000000000001" customHeight="1" x14ac:dyDescent="0.25">
      <c r="M119" s="1"/>
    </row>
    <row r="120" spans="4:22" ht="20.100000000000001" customHeight="1" x14ac:dyDescent="0.25">
      <c r="D120" s="6" t="str" cm="1">
        <f t="array" ref="D120">SourceData_Swine.SourceData_Swine_MegajoulesPerKilogramMethane_Title()</f>
        <v>Megajoules per kilogram of methane</v>
      </c>
      <c r="M120" s="1"/>
    </row>
    <row r="121" spans="4:22" ht="20.100000000000001" customHeight="1" x14ac:dyDescent="0.25">
      <c r="D121" s="5" t="str" cm="1">
        <f t="array" ref="D121">SourceData_Swine.SourceData_Swine_MegajoulesPerKilogramMethane_Source()</f>
        <v>VEERG 2026: 3.5.2.3 CONSTANT</v>
      </c>
      <c r="M121" s="1"/>
    </row>
    <row r="122" spans="4:22" ht="20.100000000000001" customHeight="1" x14ac:dyDescent="0.25">
      <c r="D122" s="51" t="str" cm="1">
        <f t="array" ref="D122">SourceData_Swine.SourceData_Swine_MegajoulesPerKilogramMethane_Variable()</f>
        <v>F</v>
      </c>
      <c r="E122" s="1" cm="1">
        <f t="array" ref="E122">SourceData_Swine.SourceData_Swine_MegajoulesPerKilogramMethane_Data()</f>
        <v>55.22</v>
      </c>
      <c r="F122" s="52" t="str" cm="1">
        <f t="array" ref="F122">SourceData_Swine.SourceData_Swine_MegajoulesPerKilogramMethane_Unit()</f>
        <v>MJ / kg CH4</v>
      </c>
      <c r="M122" s="1"/>
    </row>
    <row r="123" spans="4:22" ht="20.100000000000001" customHeight="1" x14ac:dyDescent="0.25">
      <c r="M123" s="1"/>
    </row>
    <row r="124" spans="4:22" ht="20.100000000000001" customHeight="1" x14ac:dyDescent="0.25">
      <c r="M124" s="1"/>
    </row>
    <row r="125" spans="4:22" ht="20.100000000000001" customHeight="1" x14ac:dyDescent="0.25">
      <c r="D125" s="6" t="str" cm="1">
        <f t="array" ref="D125">SourceData_Swine.SourceData_Swine_AverageLiveweight_Title()</f>
        <v>Swine - Average liveweight (inventory defaults) (kg) (Wco)</v>
      </c>
      <c r="M125" s="1"/>
      <c r="V125" s="1"/>
    </row>
    <row r="126" spans="4:22" ht="20.100000000000001" customHeight="1" x14ac:dyDescent="0.25">
      <c r="D126" s="5" t="str" cm="1">
        <f t="array" ref="D126">SourceData_Swine.SourceData_Swine_AverageLiveweight_Source()</f>
        <v>VEERG 2026: Table A.1.6.5: Swine - Average liveweight (inventory defaults) (kg) (Wco)</v>
      </c>
      <c r="M126" s="1"/>
      <c r="V126" s="1"/>
    </row>
    <row r="127" spans="4:22" ht="20.100000000000001" customHeight="1" x14ac:dyDescent="0.25">
      <c r="D127" s="36" t="s">
        <v>362</v>
      </c>
      <c r="E127" s="36" t="s">
        <v>363</v>
      </c>
      <c r="M127" s="1"/>
      <c r="V127" s="1"/>
    </row>
    <row r="128" spans="4:22" ht="20.100000000000001" customHeight="1" x14ac:dyDescent="0.25">
      <c r="D128" s="36" t="str" cm="1">
        <f t="array" ref="D128">Common_InputFunctions.Utility_DisplayArrayInTable(SourceData_Swine.SourceData_Swine_AverageLiveweight_Data(),Table_SourceData_Swine_Liveweight[[#Headers],[Livestock type j]],0)</f>
        <v>Sows</v>
      </c>
      <c r="E128" s="36" cm="1">
        <f t="array" ref="E128">Common_InputFunctions.Utility_DisplayArrayInTable(SourceData_Swine.SourceData_Swine_AverageLiveweight_Data(),Table_SourceData_Swine_Liveweight[[#Headers],[Livestock type j]],0)</f>
        <v>188</v>
      </c>
      <c r="M128" s="1"/>
      <c r="V128" s="1"/>
    </row>
    <row r="129" spans="4:22" ht="20.100000000000001" customHeight="1" x14ac:dyDescent="0.25">
      <c r="D129" s="1" t="str" cm="1">
        <f t="array" ref="D129">Common_InputFunctions.Utility_DisplayArrayInTable(SourceData_Swine.SourceData_Swine_AverageLiveweight_Data(),Table_SourceData_Swine_Liveweight[[#Headers],[Livestock type j]],0)</f>
        <v>Boars</v>
      </c>
      <c r="E129" s="36" cm="1">
        <f t="array" ref="E129">Common_InputFunctions.Utility_DisplayArrayInTable(SourceData_Swine.SourceData_Swine_AverageLiveweight_Data(),Table_SourceData_Swine_Liveweight[[#Headers],[Livestock type j]],0)</f>
        <v>206</v>
      </c>
      <c r="M129" s="1"/>
      <c r="V129" s="1"/>
    </row>
    <row r="130" spans="4:22" ht="20.100000000000001" customHeight="1" x14ac:dyDescent="0.25">
      <c r="D130" s="1" t="str" cm="1">
        <f t="array" ref="D130">Common_InputFunctions.Utility_DisplayArrayInTable(SourceData_Swine.SourceData_Swine_AverageLiveweight_Data(),Table_SourceData_Swine_Liveweight[[#Headers],[Livestock type j]],0)</f>
        <v>Gilts</v>
      </c>
      <c r="E130" s="36" cm="1">
        <f t="array" ref="E130">Common_InputFunctions.Utility_DisplayArrayInTable(SourceData_Swine.SourceData_Swine_AverageLiveweight_Data(),Table_SourceData_Swine_Liveweight[[#Headers],[Livestock type j]],0)</f>
        <v>125</v>
      </c>
      <c r="M130" s="1"/>
      <c r="V130" s="1"/>
    </row>
    <row r="131" spans="4:22" ht="20.100000000000001" customHeight="1" x14ac:dyDescent="0.25">
      <c r="D131" s="1" t="str" cm="1">
        <f t="array" ref="D131">Common_InputFunctions.Utility_DisplayArrayInTable(SourceData_Swine.SourceData_Swine_AverageLiveweight_Data(),Table_SourceData_Swine_Liveweight[[#Headers],[Livestock type j]],0)</f>
        <v>Slaughter pigs</v>
      </c>
      <c r="E131" s="36" cm="1">
        <f t="array" ref="E131">Common_InputFunctions.Utility_DisplayArrayInTable(SourceData_Swine.SourceData_Swine_AverageLiveweight_Data(),Table_SourceData_Swine_Liveweight[[#Headers],[Livestock type j]],0)</f>
        <v>39</v>
      </c>
      <c r="M131" s="1"/>
    </row>
    <row r="132" spans="4:22" ht="20.100000000000001" customHeight="1" x14ac:dyDescent="0.25">
      <c r="D132" s="1" t="str" cm="1">
        <f t="array" ref="D132">Common_InputFunctions.Utility_DisplayArrayInTable(SourceData_Swine.SourceData_Swine_AverageLiveweight_Data(),Table_SourceData_Swine_Liveweight[[#Headers],[Livestock type j]],0)</f>
        <v>Slaughter pigs at turnoff</v>
      </c>
      <c r="E132" s="36" cm="1">
        <f t="array" ref="E132">Common_InputFunctions.Utility_DisplayArrayInTable(SourceData_Swine.SourceData_Swine_AverageLiveweight_Data(),Table_SourceData_Swine_Liveweight[[#Headers],[Livestock type j]],0)</f>
        <v>97</v>
      </c>
      <c r="M132" s="1"/>
    </row>
    <row r="133" spans="4:22" ht="20.100000000000001" customHeight="1" x14ac:dyDescent="0.25">
      <c r="M133" s="1"/>
    </row>
    <row r="134" spans="4:22" ht="20.100000000000001" customHeight="1" x14ac:dyDescent="0.25">
      <c r="M134" s="1"/>
    </row>
    <row r="135" spans="4:22" ht="20.100000000000001" customHeight="1" x14ac:dyDescent="0.25">
      <c r="M135" s="1"/>
    </row>
    <row r="136" spans="4:22" ht="20.100000000000001" customHeight="1" x14ac:dyDescent="0.25">
      <c r="M136" s="1"/>
    </row>
    <row r="137" spans="4:22" ht="20.100000000000001" customHeight="1" x14ac:dyDescent="0.25">
      <c r="M137" s="1"/>
    </row>
    <row r="138" spans="4:22" ht="20.100000000000001" customHeight="1" x14ac:dyDescent="0.25">
      <c r="M138" s="1"/>
    </row>
    <row r="139" spans="4:22" ht="20.100000000000001" customHeight="1" x14ac:dyDescent="0.25">
      <c r="M139" s="1"/>
    </row>
    <row r="140" spans="4:22" ht="20.100000000000001" customHeight="1" x14ac:dyDescent="0.25">
      <c r="M140" s="1"/>
    </row>
    <row r="141" spans="4:22" ht="20.100000000000001" customHeight="1" x14ac:dyDescent="0.25">
      <c r="M141" s="1"/>
    </row>
    <row r="142" spans="4:22" ht="20.100000000000001" customHeight="1" x14ac:dyDescent="0.25">
      <c r="M142" s="1"/>
    </row>
    <row r="143" spans="4:22" ht="20.100000000000001" customHeight="1" x14ac:dyDescent="0.25">
      <c r="M143" s="1"/>
    </row>
    <row r="144" spans="4: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7BC820-F7C6-43FF-A3F3-C9A915D1F37E}">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45" t="s">
        <v>1</v>
      </c>
      <c r="D6" s="36" t="s">
        <v>18</v>
      </c>
      <c r="E6" s="36" t="s">
        <v>19</v>
      </c>
      <c r="F6" s="36" t="s">
        <v>20</v>
      </c>
    </row>
    <row r="7" spans="1:65" ht="20.100000000000001" customHeight="1" x14ac:dyDescent="0.25">
      <c r="A7" s="148"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21</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24</v>
      </c>
      <c r="E36" s="36" t="s">
        <v>25</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24</v>
      </c>
      <c r="E47" s="36" t="s">
        <v>27</v>
      </c>
      <c r="F47" s="36" t="s">
        <v>28</v>
      </c>
      <c r="G47" s="36" t="s">
        <v>29</v>
      </c>
      <c r="H47" s="36" t="s">
        <v>30</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3" t="str" cm="1">
        <f t="array" ref="D59:D61">"⚠️" &amp; Common_SourceData.Common_SourceData_WetAndDryZones_Variation()</f>
        <v>⚠️VARIATION OF SOURCE DATA:</v>
      </c>
    </row>
    <row r="60" spans="1:8" ht="20.100000000000001" customHeight="1" x14ac:dyDescent="0.25">
      <c r="A60"/>
      <c r="D60" s="53" t="str">
        <v>⚠️Added warm / cool temperate moist / dry - low frost and high temp classes to accommodate climate scenarios excluded by VEERG criteria.</v>
      </c>
    </row>
    <row r="61" spans="1:8" ht="20.100000000000001" customHeight="1" x14ac:dyDescent="0.25">
      <c r="A61"/>
      <c r="D61" s="53" t="str">
        <v>⚠️Fixed typo - Changed 'Fry' to 'Dry'.</v>
      </c>
    </row>
    <row r="62" spans="1:8" ht="20.100000000000001" customHeight="1" x14ac:dyDescent="0.25">
      <c r="A62"/>
    </row>
    <row r="63" spans="1:8" ht="20.100000000000001" customHeight="1" x14ac:dyDescent="0.25">
      <c r="A63"/>
      <c r="D63" s="36" t="s">
        <v>7</v>
      </c>
      <c r="E63" s="36" t="s">
        <v>45</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3" t="str" cm="1">
        <f t="array" ref="D83:D87">"⚠️" &amp; Common_SourceData.Common_SourceData_ClimateZones_Variation()</f>
        <v>⚠️VARIATION OF SOURCE DATA:</v>
      </c>
    </row>
    <row r="84" spans="1:20" ht="20.100000000000001" customHeight="1" x14ac:dyDescent="0.25">
      <c r="A84"/>
      <c r="D84" s="53" t="str">
        <v>⚠️Added warm / cool temperate moist / dry - low frost and high temp classes to accommodate climate scenarios excluded by VEERG criteria.</v>
      </c>
    </row>
    <row r="85" spans="1:20" ht="20.100000000000001" customHeight="1" x14ac:dyDescent="0.25">
      <c r="A85"/>
      <c r="D85" s="53" t="str">
        <v>⚠️Fixed typo in MAT value for warm temperate dry - changed 10 to 11.</v>
      </c>
    </row>
    <row r="86" spans="1:20" ht="20.100000000000001" customHeight="1" x14ac:dyDescent="0.25">
      <c r="A86"/>
      <c r="D86" s="53" t="str">
        <v>⚠️Added min and max columns for MAT, MAP, frost days per year, elevation, MAP:PET to calculate zones from real climate data.</v>
      </c>
    </row>
    <row r="87" spans="1:20" ht="20.100000000000001" customHeight="1" x14ac:dyDescent="0.25">
      <c r="A87"/>
      <c r="D87" s="53" t="str">
        <v>⚠️GAF accepts rainfall as a proxy for precipitation.</v>
      </c>
    </row>
    <row r="88" spans="1:20" ht="20.100000000000001" customHeight="1" x14ac:dyDescent="0.25">
      <c r="A88"/>
    </row>
    <row r="89" spans="1:20" ht="20.100000000000001" customHeight="1" x14ac:dyDescent="0.25">
      <c r="A89"/>
      <c r="D89" s="36" t="s">
        <v>7</v>
      </c>
      <c r="E89" s="36" t="s">
        <v>33</v>
      </c>
      <c r="F89" s="36" t="s">
        <v>34</v>
      </c>
      <c r="G89" s="36" t="s">
        <v>35</v>
      </c>
      <c r="H89" s="36" t="s">
        <v>36</v>
      </c>
      <c r="I89" s="36" t="s">
        <v>37</v>
      </c>
      <c r="J89" s="36" t="s">
        <v>38</v>
      </c>
      <c r="K89" s="36" t="s">
        <v>39</v>
      </c>
      <c r="L89" s="36" t="s">
        <v>40</v>
      </c>
      <c r="M89" s="36" t="s">
        <v>41</v>
      </c>
      <c r="N89" s="36" t="s">
        <v>42</v>
      </c>
      <c r="O89" s="36" t="s">
        <v>46</v>
      </c>
      <c r="P89" s="36" t="s">
        <v>43</v>
      </c>
      <c r="Q89" s="36" t="s">
        <v>47</v>
      </c>
      <c r="R89" s="36" t="s">
        <v>44</v>
      </c>
      <c r="S89" s="36" t="s">
        <v>48</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2" t="str" cm="1">
        <f t="array" ref="D99:D102">Common_SourceData.Common_SourceData_ClimateZones_Appendices()</f>
        <v>Note:</v>
      </c>
    </row>
    <row r="100" spans="1:20" ht="20.100000000000001" customHeight="1" x14ac:dyDescent="0.25">
      <c r="A100"/>
      <c r="D100" s="52" t="str">
        <v>MAT = mean annual temperature</v>
      </c>
    </row>
    <row r="101" spans="1:20" ht="20.100000000000001" customHeight="1" x14ac:dyDescent="0.25">
      <c r="A101"/>
      <c r="D101" s="52" t="str">
        <v>MAP = mean annual precipitation</v>
      </c>
    </row>
    <row r="102" spans="1:20" ht="20.100000000000001" customHeight="1" x14ac:dyDescent="0.25">
      <c r="A102"/>
      <c r="D102" s="52" t="str">
        <v>PET = potential evapotranspiration</v>
      </c>
    </row>
    <row r="103" spans="1:20" ht="20.100000000000001" customHeight="1" x14ac:dyDescent="0.25">
      <c r="A103"/>
      <c r="D103" s="5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52</v>
      </c>
      <c r="E109" s="36" t="s">
        <v>33</v>
      </c>
      <c r="F109" s="36" t="s">
        <v>53</v>
      </c>
      <c r="G109" s="36" t="s">
        <v>54</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55</v>
      </c>
      <c r="E119" s="36" t="s">
        <v>56</v>
      </c>
      <c r="F119" s="36" t="s">
        <v>40</v>
      </c>
      <c r="G119" s="36" t="s">
        <v>41</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62</v>
      </c>
      <c r="E127" s="36" t="s">
        <v>63</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119</v>
      </c>
      <c r="E142" s="36" t="s">
        <v>88</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65</v>
      </c>
      <c r="E153" s="36" t="s">
        <v>66</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6" t="s">
        <v>99</v>
      </c>
      <c r="E186" s="36" t="s">
        <v>100</v>
      </c>
      <c r="F186" s="36" t="s">
        <v>101</v>
      </c>
      <c r="G186" s="36" t="s">
        <v>102</v>
      </c>
      <c r="H186" s="36" t="s">
        <v>32</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6" t="s">
        <v>7</v>
      </c>
      <c r="E206" s="36" t="s">
        <v>121</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113</v>
      </c>
      <c r="E212" s="36" t="s">
        <v>126</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49</v>
      </c>
      <c r="E231" s="36" t="s">
        <v>340</v>
      </c>
      <c r="F231" s="35" t="s">
        <v>341</v>
      </c>
      <c r="G231" s="36" t="s">
        <v>342</v>
      </c>
      <c r="H231" s="36" t="s">
        <v>343</v>
      </c>
      <c r="I231" s="36" t="s">
        <v>344</v>
      </c>
      <c r="J231" s="36" t="s">
        <v>345</v>
      </c>
      <c r="K231" s="36" t="s">
        <v>346</v>
      </c>
      <c r="L231" s="36" t="s">
        <v>347</v>
      </c>
      <c r="M231" s="36" t="s">
        <v>348</v>
      </c>
      <c r="N231" s="36" t="s">
        <v>349</v>
      </c>
      <c r="O231" s="36" t="s">
        <v>350</v>
      </c>
      <c r="P231" s="36" t="s">
        <v>351</v>
      </c>
      <c r="Q231" s="36" t="s">
        <v>352</v>
      </c>
      <c r="R231" s="36" t="s">
        <v>353</v>
      </c>
      <c r="S231" s="36" t="s">
        <v>354</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6" x14ac:dyDescent="0.25">
      <c r="D257" s="36" t="s">
        <v>358</v>
      </c>
      <c r="E257" s="36" t="s">
        <v>359</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365</v>
      </c>
    </row>
    <row r="264" spans="4:6" x14ac:dyDescent="0.25">
      <c r="D264" s="1" t="s">
        <v>366</v>
      </c>
    </row>
    <row r="265" spans="4:6" x14ac:dyDescent="0.25">
      <c r="D265" s="36" t="s">
        <v>367</v>
      </c>
      <c r="E265" s="36" t="s">
        <v>368</v>
      </c>
      <c r="F265" s="36" t="s">
        <v>369</v>
      </c>
    </row>
    <row r="266" spans="4:6" x14ac:dyDescent="0.25">
      <c r="D266" s="36" t="s">
        <v>370</v>
      </c>
      <c r="E266" s="36" t="s">
        <v>371</v>
      </c>
      <c r="F266" s="36">
        <v>5</v>
      </c>
    </row>
    <row r="267" spans="4:6" x14ac:dyDescent="0.25">
      <c r="D267" s="36" t="s">
        <v>372</v>
      </c>
      <c r="E267" s="36" t="s">
        <v>373</v>
      </c>
      <c r="F267" s="36">
        <v>4</v>
      </c>
    </row>
    <row r="268" spans="4:6" x14ac:dyDescent="0.25">
      <c r="D268" s="36" t="s">
        <v>374</v>
      </c>
      <c r="E268" s="36" t="s">
        <v>375</v>
      </c>
      <c r="F268" s="36">
        <v>3</v>
      </c>
    </row>
    <row r="269" spans="4:6" x14ac:dyDescent="0.25">
      <c r="D269" s="36" t="s">
        <v>376</v>
      </c>
      <c r="E269" s="36" t="s">
        <v>377</v>
      </c>
      <c r="F269" s="36">
        <v>2</v>
      </c>
    </row>
    <row r="270" spans="4:6" x14ac:dyDescent="0.25">
      <c r="D270" s="36" t="s">
        <v>378</v>
      </c>
      <c r="E270" s="36" t="s">
        <v>379</v>
      </c>
      <c r="F270" s="36">
        <v>1</v>
      </c>
    </row>
    <row r="273" spans="4:6" x14ac:dyDescent="0.25">
      <c r="D273" s="1" t="s">
        <v>380</v>
      </c>
    </row>
    <row r="274" spans="4:6" x14ac:dyDescent="0.25">
      <c r="D274" s="36" t="s">
        <v>367</v>
      </c>
      <c r="E274" s="36" t="s">
        <v>368</v>
      </c>
      <c r="F274" s="36" t="s">
        <v>369</v>
      </c>
    </row>
    <row r="275" spans="4:6" x14ac:dyDescent="0.25">
      <c r="D275" s="36" t="s">
        <v>381</v>
      </c>
      <c r="E275" s="36" t="s">
        <v>382</v>
      </c>
      <c r="F275" s="36">
        <v>5</v>
      </c>
    </row>
    <row r="276" spans="4:6" x14ac:dyDescent="0.25">
      <c r="D276" s="36" t="s">
        <v>383</v>
      </c>
      <c r="E276" s="36" t="s">
        <v>384</v>
      </c>
      <c r="F276" s="36">
        <v>4</v>
      </c>
    </row>
    <row r="277" spans="4:6" x14ac:dyDescent="0.25">
      <c r="D277" s="36" t="s">
        <v>385</v>
      </c>
      <c r="E277" s="36" t="s">
        <v>386</v>
      </c>
      <c r="F277" s="36">
        <v>3</v>
      </c>
    </row>
    <row r="278" spans="4:6" x14ac:dyDescent="0.25">
      <c r="D278" s="36" t="s">
        <v>387</v>
      </c>
      <c r="E278" s="36" t="s">
        <v>388</v>
      </c>
      <c r="F278" s="36">
        <v>2</v>
      </c>
    </row>
    <row r="279" spans="4:6" x14ac:dyDescent="0.25">
      <c r="D279" s="36" t="s">
        <v>389</v>
      </c>
      <c r="E279" s="36" t="s">
        <v>390</v>
      </c>
      <c r="F279" s="36">
        <v>1</v>
      </c>
    </row>
    <row r="282" spans="4:6" x14ac:dyDescent="0.25">
      <c r="D282" s="1" t="s">
        <v>391</v>
      </c>
    </row>
    <row r="283" spans="4:6" x14ac:dyDescent="0.25">
      <c r="D283" s="36" t="s">
        <v>367</v>
      </c>
      <c r="E283" s="36" t="s">
        <v>368</v>
      </c>
      <c r="F283" s="36" t="s">
        <v>369</v>
      </c>
    </row>
    <row r="284" spans="4:6" x14ac:dyDescent="0.25">
      <c r="D284" s="36" t="s">
        <v>392</v>
      </c>
      <c r="E284" s="36" t="s">
        <v>393</v>
      </c>
      <c r="F284" s="36">
        <v>5</v>
      </c>
    </row>
    <row r="285" spans="4:6" x14ac:dyDescent="0.25">
      <c r="D285" s="36" t="s">
        <v>394</v>
      </c>
      <c r="E285" s="36" t="s">
        <v>395</v>
      </c>
      <c r="F285" s="36">
        <v>4</v>
      </c>
    </row>
    <row r="286" spans="4:6" x14ac:dyDescent="0.25">
      <c r="D286" s="36" t="s">
        <v>396</v>
      </c>
      <c r="E286" s="36" t="s">
        <v>397</v>
      </c>
      <c r="F286" s="36">
        <v>3</v>
      </c>
    </row>
    <row r="287" spans="4:6" x14ac:dyDescent="0.25">
      <c r="D287" s="36" t="s">
        <v>398</v>
      </c>
      <c r="E287" s="36" t="s">
        <v>399</v>
      </c>
      <c r="F287" s="36">
        <v>2</v>
      </c>
    </row>
    <row r="288" spans="4:6" x14ac:dyDescent="0.25">
      <c r="D288" s="36" t="s">
        <v>400</v>
      </c>
      <c r="E288" s="36" t="s">
        <v>401</v>
      </c>
      <c r="F288" s="36">
        <v>1</v>
      </c>
    </row>
    <row r="291" spans="4:6" x14ac:dyDescent="0.25">
      <c r="D291" s="1" t="s">
        <v>402</v>
      </c>
    </row>
    <row r="292" spans="4:6" x14ac:dyDescent="0.25">
      <c r="D292" s="36" t="s">
        <v>367</v>
      </c>
      <c r="E292" s="36" t="s">
        <v>368</v>
      </c>
      <c r="F292" s="36" t="s">
        <v>369</v>
      </c>
    </row>
    <row r="293" spans="4:6" x14ac:dyDescent="0.25">
      <c r="D293" s="36" t="s">
        <v>403</v>
      </c>
      <c r="E293" s="36" t="s">
        <v>404</v>
      </c>
      <c r="F293" s="36">
        <v>5</v>
      </c>
    </row>
    <row r="294" spans="4:6" x14ac:dyDescent="0.25">
      <c r="D294" s="36" t="s">
        <v>405</v>
      </c>
      <c r="E294" s="36" t="s">
        <v>406</v>
      </c>
      <c r="F294" s="36">
        <v>4</v>
      </c>
    </row>
    <row r="295" spans="4:6" x14ac:dyDescent="0.25">
      <c r="D295" s="36" t="s">
        <v>407</v>
      </c>
      <c r="E295" s="36" t="s">
        <v>408</v>
      </c>
      <c r="F295" s="36">
        <v>3</v>
      </c>
    </row>
    <row r="296" spans="4:6" x14ac:dyDescent="0.25">
      <c r="D296" s="36" t="s">
        <v>409</v>
      </c>
      <c r="E296" s="36" t="s">
        <v>410</v>
      </c>
      <c r="F296" s="36">
        <v>2</v>
      </c>
    </row>
    <row r="297" spans="4:6" x14ac:dyDescent="0.25">
      <c r="D297" s="36" t="s">
        <v>411</v>
      </c>
      <c r="E297" s="36" t="s">
        <v>412</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5" t="s">
        <v>74</v>
      </c>
      <c r="E9" s="36" t="s">
        <v>17</v>
      </c>
      <c r="F9" s="36" t="s">
        <v>75</v>
      </c>
      <c r="G9" s="3"/>
    </row>
    <row r="10" spans="1:13" ht="20.100000000000001" customHeight="1" x14ac:dyDescent="0.25">
      <c r="A10" s="17" t="str">
        <f>HYPERLINK("#'Input - Swine'!A1", "Swine")</f>
        <v>Swine</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HYPERLINK("#'4.5.1.1-2 Methane'!A1", "4.5.1.1-2 Methane")</f>
        <v>4.5.1.1-2 Methane</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HYPERLINK("#'4.5.1.3-4 Direct N2O'!A1", "4.5.1.3-4 Direct N2O")</f>
        <v>4.5.1.3-4 Direct N2O</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HYPERLINK("#'4.5.1.5-6 Atmos Dep'!A1", "4.5.1.5-6 Atmos Dep")</f>
        <v>4.5.1.5-6 Atmos Dep</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HYPERLINK("#'4.5.1.7-8 Leaching and runoff'!A1", "4.5.1.7-8 Leaching and runoff")</f>
        <v>4.5.1.7-8 Leaching and runoff</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HYPERLINK("#'4.5.1.9 Manure applied to soils'!A1", "4.5.1.9 Manure applied to soils")</f>
        <v>4.5.1.9 Manure applied to soils</v>
      </c>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45" t="s">
        <v>1</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Swine'!A1", "Constants - Swine")</f>
        <v>Constants - Swine</v>
      </c>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HYPERLINK("#'Constants - Common'!A1", "Constants - Common")</f>
        <v>Constants - Common</v>
      </c>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48" t="str">
        <f>HYPERLINK("#'Constants - Livestock'!A1", "Constants - Livestock")</f>
        <v>Constants - Livestock</v>
      </c>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HYPERLINK("#'Acknowledgements'!A1", "Acknowledgements")</f>
        <v>Acknowledgements</v>
      </c>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HYPERLINK("#'Tab template'!A1", "Tab template")</f>
        <v>Tab template</v>
      </c>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6" sqref="A26"/>
    </sheetView>
  </sheetViews>
  <sheetFormatPr defaultRowHeight="15" x14ac:dyDescent="0.25"/>
  <sheetData>
    <row r="1" spans="1:1" x14ac:dyDescent="0.25">
      <c r="A1" t="s">
        <v>413</v>
      </c>
    </row>
    <row r="3" spans="1:1" ht="15.75" x14ac:dyDescent="0.25">
      <c r="A3" s="17" t="str">
        <f>HYPERLINK("#'Home'!A1", "Home")</f>
        <v>Home</v>
      </c>
    </row>
    <row r="6" spans="1:1" x14ac:dyDescent="0.25">
      <c r="A6" s="145" t="s">
        <v>1</v>
      </c>
    </row>
    <row r="7" spans="1:1" ht="15.75" x14ac:dyDescent="0.25">
      <c r="A7" s="17" t="str">
        <f>HYPERLINK("#'Constants - Common'!A1", "Constants - Common")</f>
        <v>Constants - Common</v>
      </c>
    </row>
    <row r="8" spans="1:1" ht="15.75" x14ac:dyDescent="0.25">
      <c r="A8" s="148" t="str">
        <f>HYPERLINK("#'Acknowledgements'!A1", "Acknowledgements")</f>
        <v>Acknowledgements</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4"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row>
    <row r="11" spans="1:21" ht="20.100000000000001" customHeight="1" x14ac:dyDescent="0.25"/>
    <row r="12" spans="1:21" ht="20.100000000000001" customHeight="1" x14ac:dyDescent="0.25"/>
    <row r="13" spans="1:21" ht="20.100000000000001" customHeight="1" x14ac:dyDescent="0.25">
      <c r="A13" s="18" t="s">
        <v>71</v>
      </c>
    </row>
    <row r="14" spans="1:21" ht="20.100000000000001" customHeight="1" x14ac:dyDescent="0.25">
      <c r="A14" s="17" t="str">
        <f>HYPERLINK("#'4.5.1.1-2 Methane'!A1", "4.5.1.1-2 Methane")</f>
        <v>4.5.1.1-2 Methane</v>
      </c>
    </row>
    <row r="15" spans="1:21" ht="20.100000000000001" customHeight="1" x14ac:dyDescent="0.25">
      <c r="A15" s="17" t="str">
        <f>HYPERLINK("#'4.5.1.3-4 Direct N2O'!A1", "4.5.1.3-4 Direct N2O")</f>
        <v>4.5.1.3-4 Direct N2O</v>
      </c>
    </row>
    <row r="16" spans="1:21" ht="20.100000000000001" customHeight="1" x14ac:dyDescent="0.25">
      <c r="A16" s="17" t="str">
        <f>HYPERLINK("#'4.5.1.5-6 Atmos Dep'!A1", "4.5.1.5-6 Atmos Dep")</f>
        <v>4.5.1.5-6 Atmos Dep</v>
      </c>
    </row>
    <row r="17" spans="1:1" ht="20.100000000000001" customHeight="1" x14ac:dyDescent="0.25">
      <c r="A17" s="17" t="str">
        <f>HYPERLINK("#'4.5.1.7-8 Leaching and runoff'!A1", "4.5.1.7-8 Leaching and runoff")</f>
        <v>4.5.1.7-8 Leaching and runoff</v>
      </c>
    </row>
    <row r="18" spans="1:1" ht="20.100000000000001" customHeight="1" x14ac:dyDescent="0.25">
      <c r="A18" s="17" t="str">
        <f>HYPERLINK("#'4.5.1.9 Manure applied to soils'!A1", "4.5.1.9 Manure applied to soils")</f>
        <v>4.5.1.9 Manure applied to soils</v>
      </c>
    </row>
    <row r="19" spans="1:1" ht="20.100000000000001" customHeight="1" x14ac:dyDescent="0.25"/>
    <row r="20" spans="1:1" ht="20.100000000000001" customHeight="1" x14ac:dyDescent="0.25"/>
    <row r="21" spans="1:1" ht="20.100000000000001" customHeight="1" x14ac:dyDescent="0.25">
      <c r="A21" s="145" t="s">
        <v>1</v>
      </c>
    </row>
    <row r="22" spans="1:1" ht="20.100000000000001" customHeight="1" x14ac:dyDescent="0.25">
      <c r="A22" s="17" t="str">
        <f>HYPERLINK("#'Constants - Swine'!A1", "Constants - Swine")</f>
        <v>Constants - Swine</v>
      </c>
    </row>
    <row r="23" spans="1:1" ht="20.100000000000001" customHeight="1" x14ac:dyDescent="0.25">
      <c r="A23" s="17" t="str">
        <f>HYPERLINK("#'Constants - Common'!A1", "Constants - Common")</f>
        <v>Constants - Common</v>
      </c>
    </row>
    <row r="24" spans="1:1" ht="20.100000000000001" customHeight="1" x14ac:dyDescent="0.25">
      <c r="A24" s="17" t="str">
        <f>HYPERLINK("#'Constants - Livestock'!A1", "Constants - Livestock")</f>
        <v>Constants - Livestock</v>
      </c>
    </row>
    <row r="25" spans="1:1" ht="20.100000000000001" customHeight="1" x14ac:dyDescent="0.25">
      <c r="A25" s="17" t="str">
        <f>HYPERLINK("#'Acknowledgements'!A1", "Acknowledgements")</f>
        <v>Acknowledgements</v>
      </c>
    </row>
    <row r="26" spans="1:1" ht="20.100000000000001" customHeight="1" x14ac:dyDescent="0.25">
      <c r="A26" s="148" t="str">
        <f>HYPERLINK("#'Tab template'!A1", "Tab template")</f>
        <v>Tab template</v>
      </c>
    </row>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EUAbgB0AGUAcgBpAGMATQBlAHQAaABhAG4AZQBfAFMAdwBpAG4AZQBfAEUAcQB1AGEAdABpAG8AbgBzACIALAAiAHQAZQB4AHQAIgA6ACIALwAqAFwAbgA9AD0APQA9AD0APQA9AD0APQA9AD0APQA9AD0APQA9AD0APQA9AD0APQA9AD0APQA9AD0APQA9AD0APQA9AD0APQA9AD0APQA9AD0APQA9AD0APQA9AD0APQA9AD0APQA9AD0APQA9AD0APQA9AD0APQA9AD0APQA9AD0APQA9AD0APQA9AD0APQA9AD0APQA9AD0APQA9AFwAbgAzAC4ANQA6ACAARQBuAHQAZQByAGkAYwAgAE0AZQB0AGgAYQBuAGUAIAAtACAAUwB3AGkAbgBlAFwAbgA9AD0APQA9AD0APQA9AD0APQA9AD0APQA9AD0APQA9AD0APQA9AD0APQA9AD0APQA9AD0APQA9AD0APQA9AD0APQA9AD0APQA9AD0APQA9AD0APQA9AD0APQA9AD0APQA9AD0APQA9AD0APQA9AD0APQA9AD0APQA9AD0APQA9AD0APQA9AD0APQA9AD0APQA9AD0APQA9AFwAbgAzAC4ANQAuADEALgAxACAATQBlAHQAaABvAGQAIAAxACAALQAgAEUAbgB0AGUAcgBpAGM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HMAdwBpAG4AZQBcAG4ARQBfAGUAbgB0AGUAcgBpAGMAXABuAHQAIABDAEgANABcAG4ARQBfAHsAZQBuAHQAZQByAGkAYwB9AD0AXABcAHMAdQBtAF8AewBqAH0AKABOAF8AagBcAFwAdABpAG0AZQBzACAATQBfAGoAXABcAHQAaQBtAGUAcwAgAEQAXwBqACkAXABcAHQAaQBtAGUAcwAgADEAMABeAHsALQAzAH0AXABuAE4AXwBqACAAPQAgAG4AdQBtAGIAZQByAHMAIABvAGYAIABzAHcAaQBuAGUAIABvAGYAIABlAGEAYwBoACAAYwBsAGEAcwBzACAAKABoAGUAYQBkACkAXABuAE0AXwBqACAAPQAgAG0AZQB0AGgAYQBuAGUAIABwAHIAbwBkAHUAYwB0AGkAbwBuACAAKABrAGcAIABDAEgANAAvAGgAZQBhAGQALwBkAGEAeQApAFwAbgBEAF8AagAgAD0AIAB0AGgAZQAgAGEAdgBlAHIAYQBnAGUAIABuAHUAbQBiAGUAcgAgAG8AZgAgAGQAYQB5AHMAIABvAG4AIABmAGEAcgBtACAAZgBvAHIAIABlAGEAYwBoACAAcwB3AGkAbgBlACAAYwBsAGEAcwBzACAAKABkAGEAeQBzACkAXABuAC0ALQAtAC0ALQAtAC0ALQAtAC0ALQAtAC0ALQAtAC0ALQAtAC0ALQAtAC0ALQAtAC0ALQAtAC0ALQAtAC0ALQAtAC0ALQAtAC0ALQBcAG4AKgAvAFwAbgBcAG4AVgBFAEUAUgBHAF8AMwBfADUAXwAxAF8AMQBfAF8AMQBfAFQAbwB0AGEAbABBAG4AbgB1AGEAbABNAGUAdABoAGEAbgBlAEYAcgBvAG0ARQBuAHQAZQByAGkAYwBGAGUAcgBtAGUAbgB0AGEAdABpAG8AbgBcAG4AIAAgAD0ATABBAE0AQgBEAEEAKABcAG4AIAAgACAAIABOAF8AagAsACAATQBfAGoALAAgAEQAXwBqACwAXABuACAAIAAgACAAKABOAF8AagAgACoAIABNAF8AagAgACoAIABEAF8AagApACAAKgAgADEAMAAgAF4AIAAtADMAXABuACAAIAApADsAXABuAFwAbgBWAEUARQBSAEcAXwAzAF8AN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HMAdwBpAG4AZQBcACIAKQA7AFwAbgBcAG4AVgBFAEUAUgBHAF8AMwBfADUAXwAxAF8AMQBfAF8AMQBfAFQAbwB0AGEAbABBAG4AbgB1AGEAbABNAGUAdABoAGEAbgBlAEYAcgBvAG0ARQBuAHQAZQByAGkAYwBGAGUAcgBtAGUAbgB0AGEAdABpAG8AbgBfAFYAYQByAGkAYQBiAGwAZQBcAG4AIAAgAD0ATABBAE0AQgBEAEEAKABcACIARQBfAGUAbgB0AGUAcgBpAGMAXAAiACkAOwBcAG4AXABuAFYARQBFAFIARwBfADMAXwA1AF8AMQBfADEAXwBfADEAXwBUAG8AdABhAGwAQQBuAG4AdQBhAGwATQBlAHQAaABhAG4AZQBGAHIAbwBtAEUAbgB0AGUAcgBpAGMARgBlAHIAbQBlAG4AdABhAHQAaQBvAG4AXwBVAG4AaQB0AFwAbgAgACAAPQBMAEEATQBCAEQAQQAoAFwAIgB0ACAAQwBIADQAXAAiACkAOwBcAG4AXABuAFYARQBFAFIARwBfADMAXwA1AF8AMQBfADEAXwBfADEAXwBUAG8AdABhAGwAQQBuAG4AdQBhAGwATQBlAHQAaABhAG4AZQBGAHIAbwBtAEUAbgB0AGUAcgBpAGMARgBlAHIAbQBlAG4AdABhAHQAaQBvAG4AXwBTAG8AdQByAGMAZQBcAG4AIAAgAD0ATABBAE0AQgBEAEEAKABcACIAVgBFAEUAUgBHACAAMgAwADIANgA6ACAAMwAuADUALgAxAC4AMQAsACAARQBxAHUAYQB0AGkAbwBuACAAKAAxACkAXAAiACkAOwBcAG4AXABuAFYARQBFAFIARwBfADMAXwA1AF8AMQBfADEAXwBfADEAXwBUAG8AdABhAGwAQQBuAG4AdQBhAGwATQBlAHQAaABhAG4AZQBGAHIAbwBtAEUAbgB0AGUAcgBpAGMARgBlAHIAbQBlAG4AdABhAHQAaQBvAG4AXwBOAEkAUgBSAGUAZgBlAHIAZQBuAGMAZQBcAG4AIAAgAD0ATABBAE0AQgBEAEEAKABcACIAXAAiACkAOwBcAG4AXABuAFYARQBFAFIARwBfADMAXwA1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OAF8AagBcAFwAdABpAG0AZQBzACAATQBfAGoAXABcAHQAaQBtAGUAcwAgAEQAXwBqACkAXABcAHQAaQBtAGUAcwAgADEAMABeAHsALQAzAH0AXAAiACkAOwBcAG4AXABuAFYARQBFAFIARwBfADMAXwA1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cwAgAG8AZgAgAHMAdwBpAG4AZQAgAG8AZgAgAGUAYQBjAGgAIABjAGwAYQBzAHMAXAAiACwAIABcACIAaABlAGEAZABcACIALAAgAFwAIgBJAG4AcAB1AHQAXAAiADsAXABuACAAIAAgACAAIAAgACAAIAAgACAAXAAiAE0AXwBqAFwAIgAsACAAXAAiAG0AZQB0AGgAYQBuAGUAIABwAHIAbwBkAHUAYwB0AGkAbwBuAFwAIgAsACAAXAAiAGsAZwAgAEMASAA0AC8AaABlAGEAZAAvAGQAYQB5AFwAIgAsACAAXAAiAEMAYQBsAGMAdQBsAGEAdABlAGQAIABmAHIAbwBtACAAMwAuADUALgAxAC4AMQAsACAAKAAyACkAXAAiADsAXABuACAAIAAgACAAIAAgACAAIAAgACAAXAAiAEQAXwBqAFwAIgAsACAAXAAiAHQAaABlACAAYQB2AGUAcgBhAGcAZQAgAG4AdQBtAGIAZQByACAAbwBmACAAZABhAHkAcwAgAG8AbgAgAGYAYQByAG0AIABmAG8AcgAgAGUAYQBjAGgAIABzAHcAaQBuAGU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UAXwAxAF8AMQBfAF8AMgBfAEQAYQBpAGwAeQBFAG4AdABlAHIAaQBjAE0AZQB0AGgAYQBuAGUAUAByAG8AZAB1AGMAdABpAG8AbgBcAG4AVABvAHQAYQBsACAAZABhAGkAbAB5ACAAcAByAG8AZAB1AGMAdABpAG8AbgAgAG8AZgAgAGUAbgB0AGUAcgBpAGMAIABtAGUAdABoAGEAbgBlACAAbwBmACAAcwB3AGkAbgBlAFwAbgBNAF8AagBcAG4AawBnACAAQwBIADQALwBoAGUAYQBkAC8AZABhAHkAXABuAE0AXwBqAD0AXABcAGYAcgBhAGMAewBJAF8AagBcAFwAdABpAG0AZQBzACAAMQA4AC4ANgBcAFwAdABpAG0AZQBzACAAMAAuADAAMAA3AH0AewBGAH0AXABuAEkAXwBqACAAPQAgAGQAYQBpAGwAeQAgAGYAZQBlAGQAIABpAG4AZwBlAHMAdABlAGQAIABiAHkAIABlAGEAYwBoACAAcwB3AGkAbgBlACAAYwBsAGEAcwBzACAAKABrAGcALwBoAGUAYQBkAC8AZABhAHkAKQBcAG4ARgAgAD0AIABtAGUAZwBhAGoAbwB1AGwAZQBzACAAcABlAHIAIABrAGkAbABvAGcAcgBhAG0AIABvAGYAIABtAGUAdABoAGEAbgBlACAAKABNAEoALwBrAGcAIABDAEgANAApAFwAbgAtAC0ALQAtAC0ALQAtAC0ALQAtAC0ALQAtAC0ALQAtAC0ALQAtAC0ALQAtAC0ALQAtAC0ALQAtAC0ALQAtAC0ALQAtAC0ALQAtAC0AXABuACoALwBcAG4AXABuAFYARQBFAFIARwBfADMAXwA1AF8AMQBfADEAXwBfADIAXwBEAGEAaQBsAHkARQBuAHQAZQByAGkAYwBNAGUAdABoAGEAbgBlAFAAcgBvAGQAdQBjAHQAaQBvAG4AXABuACAAIAA9AEwAQQBNAEIARABBACgAXABuACAAIAAgACAASQBfAGoALAAgAEYALABcAG4AIAAgACAAIAAoAEkAXwBqACAAKgAgADEAOAAuADYAIAAqACAAMAAuADAAMAA3ACkAIAAvACAARgBcAG4AIAAgACkAOwBcAG4AXABuAFYARQBFAFIARwBfADMAXwA1AF8AMQBfADEAXwBfADIAXwBEAGEAaQBsAHkARQBuAHQAZQByAGkAYwBNAGUAdABoAGEAbgBlAFAAcgBvAGQAdQBjAHQAaQBvAG4AXwBUAGkAdABsAGUAXABuACAAIAA9AEwAQQBNAEIARABBACgAXAAiAFQAbwB0AGEAbAAgAGQAYQBpAGwAeQAgAHAAcgBvAGQAdQBjAHQAaQBvAG4AIABvAGYAIABlAG4AdABlAHIAaQBjACAAbQBlAHQAaABhAG4AZQAgAG8AZgAgAHMAdwBpAG4AZQBcACIAKQA7AFwAbgBcAG4AVgBFAEUAUgBHAF8AMwBfADUAXwAxAF8AMQBfAF8AMgBfAEQAYQBpAGwAeQBFAG4AdABlAHIAaQBjAE0AZQB0AGgAYQBuAGUAUAByAG8AZAB1AGMAdABpAG8AbgBfAFYAYQByAGkAYQBiAGwAZQBcAG4AIAAgAD0ATABBAE0AQgBEAEEAKABcACIATQBfAGoAXAAiACkAOwBcAG4AXABuAFYARQBFAFIARwBfADMAXwA1AF8AMQBfADEAXwBfADIAXwBEAGEAaQBsAHkARQBuAHQAZQByAGkAYwBNAGUAdABoAGEAbgBlAFAAcgBvAGQAdQBjAHQAaQBvAG4AXwBVAG4AaQB0AFwAbgAgACAAPQBMAEEATQBCAEQAQQAoAFwAIgBrAGcAIABDAEgANAAvAGgAZQBhAGQALwBkAGEAeQBcACIAKQA7AFwAbgBcAG4AVgBFAEUAUgBHAF8AMwBfADUAXwAxAF8AMQBfAF8AMgBfAEQAYQBpAGwAeQBFAG4AdABlAHIAaQBjAE0AZQB0AGgAYQBuAGUAUAByAG8AZAB1AGMAdABpAG8AbgBfAFMAbwB1AHIAYwBlAFwAbgAgACAAPQBMAEEATQBCAEQAQQAoAFwAIgBWAEUARQBSAEcAIAAyADAAMgA2ADoAIAAzAC4ANQAuADEALgAxACwAIABFAHEAdQBhAHQAaQBvAG4AIAAoADIAKQBcACIAKQA7AFwAbgBcAG4AVgBFAEUAUgBHAF8AMwBfADUAXwAxAF8AMQBfAF8AMgBfAEQAYQBpAGwAeQBFAG4AdABlAHIAaQBjAE0AZQB0AGgAYQBuAGUAUAByAG8AZAB1AGMAdABpAG8AbgBfAE4ASQBSAFIAZQBmAGUAcgBlAG4AYwBlAFwAbgAgACAAPQBMAEEATQBCAEQAQQAoAFwAIgBcACIAKQA7AFwAbgBcAG4AVgBFAEUAUgBHAF8AMwBfADUAXwAxAF8AMQBfAF8AMgBfAEQAYQBpAGwAeQBFAG4AdABlAHIAaQBjAE0AZQB0AGgAYQBuAGUAUAByAG8AZAB1AGMAdABpAG8AbgBfAEwAYQB0AGUAeABFAHEAdQBhAHQAaQBvAG4AXABuACAAIAA9AEwAQQBNAEIARABBACgAXAAiAE0AXwBqAD0AXABcAGYAcgBhAGMAewBJAF8AagBcAFwAdABpAG0AZQBzACAAMQA4AC4ANgBcAFwAdABpAG0AZQBzACAAMAAuADAAMAA3AH0AewBGAH0AXAAiACkAOwBcAG4AXABuAFYARQBFAFIARwBfADMAXwA1AF8AMQBfADEAXwBfADIAXwBEAGEAaQBsAHkARQBuAHQAZQByAGkAYwBNAGUAdABoAGEAbgBlAFAAcgBvAGQAdQBjAHQAaQBvAG4AXwBBAHIAZwB1AG0AZQBuAHQAcwBcAG4AIAAgAD0ATABBAE0AQgBEAEEAKABcAG4AIAAgACAAIABNAEEASwBFAEEAUgBSAEEAWQAoADQALAAgADQALABcAG4AIAAgACAAIAAgACAATABBAE0AQgBEAEEAKAByACwAYwAsAFwAbgAgACAAIAAgACAAIAAgACAASQBOAEQARQBYACgAewBcAG4AIAAgACAAIAAgACAAIAAgACAAIABcACIASQBfAGoAXAAiACwAIABcACIAZABhAGkAbAB5ACAAZgBlAGUAZAAgAGkAbgBnAGUAcwB0AGUAZAAgAGIAeQAgAGUAYQBjAGgAIABzAHcAaQBuAGUAIABjAGwAYQBzAHMAXAAiACwAIABcACIAawBnAC8AaABlAGEAZAAvAGQAYQB5AFwAIgAsACAAXAAiAEkAbgBwAHUAdABcACIAOwBcAG4AIAAgACAAIAAgACAAIAAgACAAIABcACIAMQA4AC4ANgBcACIALAAgAFwAIgBnAHIAbwBzAHMAIABlAG4AZQByAGcAeQAgACgARwBFACkAIABjAG8AbgB0AGUAbgB0ACAAbwBmACAAZgBlAGUAZABcACIALAAgAFwAIgBNAEoAIABHAEUALwBrAGcAIABmAGUAZQBkAFwAIgAsACAAXAAiAEMAbwBuAHMAdABhAG4AdABcACIAOwBcAG4AIAAgACAAIAAgACAAIAAgACAAIABcACIAMAAuADAAMAA3AFwAIgAsACAAXAAiAGYAcgBhAGMAdABpAG8AbgAgAG8AZgAgAEcARQAgAGkAbgB0AGEAawBlACAAYwBvAG4AdgBlAHIAdABlAGQAIAB0AG8AIABtAGUAdABoAGEAbgBlACAAYgB5ACAAcwB3AGkAbgBlAFwAIgAsACAAXAAiAGYAcgBhAGMAdABpAG8AbgBcACIALAAgAFwAIgBDAG8AbgBzAHQAYQBuAHQAXAAiADsAXABuACAAIAAgACAAIAAgACAAIAAgACAAXAAiAEYAXAAiACwAIABcACIAbQBlAGcAYQBqAG8AdQBsAGUAcwAgAHAAZQByACAAawBpAGwAbwBnAHIAYQBtACAAbwBmACAAbQBlAHQAaABhAG4AZQBcACIALAAgAFwAIgBNAEoALwBrAGcAIABDAEgANABcACIALAAgAFwAIgBDAG8AbgBzAHQAYQBuAHQAXAAiAFwAbgAgACAAIAAgACAAIAAgACAAfQAsACAAcgAsACAAYwApAFwAbgAgACAAIAAgACAAIAApAFwAbgAgACAAIAAgACkAXABuACAAIAApADsAXABuAFwAbgBcAG4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qAFwAIgAsAFwAIgBsAGUAbgBnAHQAaAAgAG8AZgAgAHMAdABhAHkAIABvAGYAIABlAGEAYwBoACAAYwBsAGEAcwBzACAAbwBmACAAcwB3AGkAbgBlAFwAIgAsACAAXAAiAGQAYQB5AHMAXAAiACwAIABcACIASQBuAHAAdQB0AFwAIgA7AFwAbgAgACAAIAAgACAAIAAgACAAIAAgAFwAIgBNAG0AagBcACIALABcACIAbQBlAHQAaABhAG4AZQAgAHAAcgBvAGQAdQBjAHQAaQBvAG4AIABmAHIAbwBtACAAbQBhAG4AdQByAGUAIABpAG4AIABlAGEAYwBoACAAcwB3AGkAbgBlACAAYwBsAGEAcwBzAFwAIgAsACAAXAAiAGsAZwAgAEMASAA0AC8AaABlAGEAZAAvAGQAYQB5AFwAIgAsACAAXAAiAEMAYQBsAGMAdQBsAGEAdABlAGQAIABmAHIAbwBtACAANAAuADUALgAxAC4AMQAgACgAMgApAFwAIgA7AFwAbgAgACAAIAAgACAAIAAgACAAIAAgAFwAIgBOAGoAXAAiACwAXAAiAG4AdQBtAGIAZQByAHMAIABvAGYAIABzAHcAaQBuAGUAIABpAG4AIABlAGEAYwBoACA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NA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BcACIALAAgAFwAIgBrAGcAIABDAEgANAAvAGgAZQBhAGQALwBkAGEAeQBcACIALAAgAFwAIgBDAGEAbABjAHUAbABhAHQAZQBkACAAZgByAG8AbQAgADQALgA1AC4AMQAuADEAIAAoADMAKQAgAGEAbgBkACAAKAA2AC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CAE8AXAAiACwAXAAiAGUAbQBpAHMAcwBpAG8AbgBzACAAcABvAHQAZQBuAHQAaQBhAGwAXAAiACwAIABcACIAbQAzACAAQwBIADQALwBrAGcAIABWAFMAXAAiACwAIABcACIAQwBvAG4AcwB0AGEAbgB0AFwAIgA7AFwAbgAgACAAIAAgACAAIAAgACAAIAAgAFwAIgByAGgAbwBcACIALABcACIAZABlAG4AcwBpAHQAeQAgAG8AZgAgAG0AZQB0AGgAYQBuAGUAXAAiACwAIABcACIAawBnAC8AbQA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0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NAE0AUwBqAG0ANABUADEAIAArACAAKABNAE0AUwBqAG0AMQA3ADkAVAAxACAAKgAgAFMAUwBtACk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CAAIABNAE0AUwBqAG0ANABUADEAIAArACAAXABuACAAIAAgACAAIAAgACgATQBNAFMAagBtAFQAMQBfADEAIAAqACAAUwBTAGoAbQBUADEAXwAxACkAIAArACAAXABuACAAIAAgACAAIAAgACgATQBNAFMAagBtAFQAMQBfADIAIAAqACAAUwBTAGoAbQBUADEAXwAyACkAIAArACAAXABuACAAIAAgACAAIAAgACgATQBNAFMAagBtAFQAMQBfADMAIAAqACAAUwBTAGoAbQBUADEAXwAzACkAIAArAFwAbgAgACAAIAAgACAAIAAoAE0ATQBTAGoAbQBUADEAXwA0ACAAKgAgAFMAUwBqAG0AVAAxAF8ANAApACAAKwBcAG4AIAAgACAAIAAgACAAKABNAE0AUwBqAG0AVAAxAF8ANQAgACoAIABTAFMAagBtAFQAMQBfADU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BcACIALAAgAFwAIgBmAHIAYQBjAHQAaQBvAG4AXAAiACwAIABcACIASQBuAHAAdQB0AFwAIgA7AFwAbgAgACAAIAAgACAAIAAgACAAIAAgAFwAIgBNAE0AUwBqAG0AMQA3ADkAVAAxAFwAIgAsAFwAIgBmAHIAYQBjAHQAaQBvAG4AIABvAGYAIABtAGEAbgB1AHIAZQAgAGkAbgAgAE0ATQBTACAAMQAsACAANwAsACAAYQBuAGQAIAA5ACAAaQBuACAAdAByAGUAYQB0AG0AZQBuAHQAIABzAHQAYQBnAGUAIAAx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XAAiAHMAdABhAHQAZQBcACIALAAgAFwAIgBcACIALAAgAFwAIgBJAG4AcAB1AHQAXAAiAFwAbgAgACAAIAAgACAAIAAgACAAfQAsACAAcgAsACAAYwApAFwAbgAgACAAIAAgACAAIAApAFwAbgAgACAAIAAgACkAXABuACAAIAApADsAXABuAFwAbgBWAEUARQBSAEcAXwA0AF8ANQBfADEAXwAxAF8AXwA2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VgBTAEwAbQBUADEAXAAiACwAXAAiAGYAcgBhAGMAdABpAG8AbgAgAG8AZgAgAHYAbwBsAGEAdABpAGwAZQAgAHMAbwBsAGkAZABzACAAbABvAHMAdAAgAGQAdQByAGkAbgBnACAAcwB0AG8AcgBhAGcAZQAgAGkAbgAgAHQAaABlACAAcAByAGkAbQBhAHIAeQAgAHMAeQBzAHQAZQBtAFwAIgAsACAAXAAiAGYAcgBhAGMAdABpAG8AbgBcACIALAAgAFwAIgBMAG8AbwBrAHUAcABcACIAXABuACAAIAAgACAAIAAgACAAIAB9ACwAIAByACwAIABjACkAXABuACAAIAAgACAAIAAgACkAXABuACAAIAAgACAAKQBcAG4AIAAgACkAOwAiAH0ALAB7ACIAcABhAHQAaAAiADoAIgAvAHAAcgBvAGoAZQBjAHQAcwAvAE0ATQBTAF8AUwB3AGkAbgBl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wAgAE0AZQB0AGgAbwBkACAAMQAgAC0AIABNAGEAbgB1AHIAZQAgAEQAaQByAGUAYwB0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HMAdwBpAG4AZQAgAGMAbABhAHMAcwAsACAATQBNAFMAIABhAG4AZAAgAHQAcgBlAGEAdABtAGUAbgB0ACAAcwB0AGEAZwBlACAAKABrAGcAIABOACkAXABuAEUARgBfAGoAbQAgAD0AIABuAGkAdAByAG8AdQBzACAAbwB4AGkAZABlACAAZQBtAGkAcwBzAGkAbwBuACAAZgBhAGMAdABvAHIAIABmAG8AcgAgAE0ATQBT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1AF8AMQBfADMAXwBfADEAXwBUAG8AdABhAGwAQQBuAG4AdQBhAGwARABpAHIAZQBjAHQATgBpAHQAcgBvAHUAcwBPAHgAaQBkAGUARQBtAGkAcwBzAGkAbwBuAHMARgByAG8AbQBNAE0AUwBcAG4AIAAgAD0ATABBAE0AQgBEAEEAKABcAG4AIAAgACAAIABNAE4AXwBqAG0AVAAsACAARQBGAF8AagBtACwAIABDAF8ATgAyAE8ALABcAG4AIAAgACAAIABNAE4AXwBqAG0AVAAgACoAIABFAEYAXwBqAG0AIAAqACAAQwBfAE4AMgBPACAAKgAgADEAMAAgAF4AIAAtADMAXABuACAAIAApADsAXABuAFwAbgBWAEUARQBSAEcAXwA0AF8ANQ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UAXwAxAF8AMwBfAF8AMQBfAFQAbwB0AGEAbABBAG4AbgB1AGEAbABEAGkAcgBlAGMAdABOAGkAdAByAG8AdQBzAE8AeABpAGQAZQBFAG0AaQBzAHMAaQBvAG4AcwBGAHIAbwBtAE0ATQBTAF8AVgBhAHIAaQBhAGIAbABlAFwAbgAgACAAPQBMAEEATQBCAEQAQQAoAFwAIgBFAF8ATgAyAE8AZABpAHIAXAAiACkAOwBcAG4AXABuAFYARQBFAFIARwBfADQAXwA1AF8AMQBfADMAXwBfADEAXwBUAG8AdABhAGwAQQBuAG4AdQBhAGwARABpAHIAZQBjAHQATgBpAHQAcgBvAHUAcwBPAHgAaQBkAGUARQBtAGkAcwBzAGkAbwBuAHMARgByAG8AbQBNAE0AUwBfAFUAbgBpAHQAXABuACAAIAA9AEwAQQBNAEIARABBACgAXAAiAHQAIABOADIATwBcACIAKQA7AFwAbgBcAG4AVgBFAEUAUgBHAF8ANABfADUAXwAxAF8AMwBfAF8AMQBfAFQAbwB0AGEAbABBAG4AbgB1AGEAbABEAGkAcgBlAGMAdABOAGkAdAByAG8AdQBzAE8AeABpAGQAZQBFAG0AaQBzAHMAaQBvAG4AcwBGAHIAbwBtAE0ATQBTAF8AUwBvAHUAcgBjAGUAXABuACAAIAA9AEwAQQBNAEIARABBACgAXAAiAFYARQBFAFIARwAgADIAMAAyADYAOgAgADQALgA1AC4AMQAuADMALAAgAEUAcQB1AGEAdABpAG8AbgAgACgAMQApAFwAIgApADsAXABuAFwAbgBWAEUARQBSAEcAXwA0AF8ANQBfADEAXwAzAF8AXwAxAF8AVABvAHQAYQBsAEEAbgBuAHUAYQBsAEQAaQByAGUAYwB0AE4AaQB0AHIAbwB1AHMATwB4AGkAZABlAEUAbQBpAHMAcwBpAG8AbgBzAEYAcgBvAG0ATQBNAFMAXwBOAEkAUgBSAGUAZgBlAHIAZQBuAGMAZQBcAG4AIAAgAD0ATABBAE0AQgBEAEEAKABcACIAXAAiACkAOwBcAG4AXABuAFYARQBFAFIARwBfADQAXwA1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NQ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FAEYAXwBqAG0AXAAiACwAIABcACIAbgBpAHQAcgBvAHUAcwAgAG8AeABpAGQAZQAgAGUAbQBpAHMAcwBpAG8AbgAgAGYAYQBjAHQAbwByACAAZgBvAHIAIABNAE0AUw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zAHcAaQBuAGUAIABjAGwAYQBzAHMAXAAiACwAIABcACIAawBnACAATgBcACIALAAgAFwAIgBDAGEAbABjAHUAbABhAHQAZQBkACAAZgByAG8AbQAgADQALgA1AC4AMQAuADMAIAAoADUAKQBcACIAOwBcAG4AIAAgACAAIAAgACAAIAAgACAAIABcACIARgBOAF8AagBtAFQAMQBcACIALAAgAFwAIgBmAHIAYQBjAHQAaQBvAG4AIABvAGYAIABuAGkAdAByAG8AZwBlAG4AIABpAG4AIABlAGEAYwBoACAAcAByAGkAbQBhAHIAeQAgAE0ATQBTACAAcwB5AHMAdABlAG0AXAAiACwAIABcACIAZgByAGEAYwB0AGkAbwBuAFwAIgAsACAAXAAiAEMAYQBsAGMAdQBsAGEAdABlAGQAIABmAHIAbwBtACAANAAuADUALgAxAC4AMwAgACgAMwApACgANAAp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MAXwBGAHIAYQBjAHQAaQBvAG4ATwBmAE4AaQB0AHIAbwBnAGUAbgBJAG4AUAByAGkAbQBhAHIAeQBNAE0AUwBcAG4ARgByAGEAYwB0AGkAbwBuACAAbwBmACAAbgBpAHQAcgBvAGcAZQBuACAAaQBuACAAZQBhAGMAaAAgAHAAcgBpAG0AYQByAHkAIABNAE0AUwAgACgAZQB4AGMAbAB1AGQAaQBuAGcAIABzAG8AbABpAGQAIABzAHQAbwByAGEAZwBlACkAXABuAEYATgBfAGoAbQBUADEAXABuAGYAcgBhAGMAdABpAG8AbgBcAG4ARgBOAF8AewBqAG0ALABUAD0AMQB9AD0ATQBNAFMAXwB7AGoAbQAsAFQAPQAxAH0AXABcAHQAaQBtAGUAcwAoADEALQBTAE4AXwB7AG0AfQApAFwAbgBNAE0AUwBfAGoAbQBUADEAIAA9ACAAZgByAGEAYwB0AGkAbwBuACAAbwBmACAAbQBhAG4AdQByAGUAIABpAG4AIABwAHIAaQBtAGEAcgB5ACAATQBNAFM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MwBfAEYAcgBhAGMAdABpAG8AbgBPAGYATgBpAHQAcgBvAGcAZQBuAEkAbgBQAHIAaQBtAGEAcgB5AE0ATQBTAFwAbgAgACAAPQBMAEEATQBCAEQAQQAoAFwAbgAgACAAIAAgAE0ATQBTAF8AagBtAFQAMQAsACAAUwBOAF8AbQAsAFwAbgAgACAAIAAgAE0ATQBTAF8AagBtAFQAMQAgACoAIAAoADEAIAAtACAAUwBOAF8AbQApAFwAbgAgACAAKQA7AFwAbgBcAG4AVgBFAEUAUgBHAF8ANABfADUAXwAxAF8AMwBfAF8AMwBfAEYAcgBhAGMAdABpAG8AbgBPAGYATgBpAHQAcgBvAGcAZQBuAEkAbgBQAHIAaQBtAGEAcgB5AE0ATQBTAF8AVABpAHQAbABlAFwAbgAgACAAPQBMAEEATQBCAEQAQQAoAFwAIgBGAHIAYQBjAHQAaQBvAG4AIABvAGYAIABuAGkAdAByAG8AZwBlAG4AIABpAG4AIABlAGEAYwBoACAAcAByAGkAbQBhAHIAeQAgAE0ATQBTACAAKABlAHgAYwBsAHUAZABpAG4AZwAgAHMAbwBsAGkAZAAgAHMAdABvAHIAYQBnAGUAKQBcACIAKQA7AFwAbgBcAG4AVgBFAEUAUgBHAF8ANABfADUAXwAxAF8AMwBfAF8AMwBfAEYAcgBhAGMAdABpAG8AbgBPAGYATgBpAHQAcgBvAGcAZQBuAEkAbgBQAHIAaQBtAGEAcgB5AE0ATQBTAF8AVgBhAHIAaQBhAGIAbABlAFwAbgAgACAAPQBMAEEATQBCAEQAQQAoAFwAIgBGAE4AXwBqAG0AVAAxAFwAIgApADsAXABuAFwAbgBWAEUARQBSAEcAXwA0AF8ANQBfADEAXwAzAF8AXwAzAF8ARgByAGEAYwB0AGkAbwBuAE8AZgBOAGkAdAByAG8AZwBlAG4ASQBuAFAAcgBpAG0AYQByAHkATQBNAFMAXwBVAG4AaQB0AFwAbgAgACAAPQBMAEEATQBCAEQAQQAoAFwAIgBmAHIAYQBjAHQAaQBvAG4AXAAiACkAOwBcAG4AXABuAFYARQBFAFIARwBfADQAXwA1AF8AMQBfADMAXwBfADMAXwBGAHIAYQBjAHQAaQBvAG4ATwBmAE4AaQB0AHIAbwBnAGUAbgBJAG4AUAByAGkAbQBhAHIAeQBNAE0AUwBfAFMAbwB1AHIAYwBlAFwAbgAgACAAPQBMAEEATQBCAEQAQQAoAFwAIgBWAEUARQBSAEcAIAAyADAAMgA2ADoAIAA0AC4ANQAuADEALgAzACwAIABFAHEAdQBhAHQAaQBvAG4AIAAoADMAKQBcACIAKQA7AFwAbgBcAG4AVgBFAEUAUgBHAF8ANABfADUAXwAxAF8AMwBfAF8AMwBfAEYAcgBhAGMAdABpAG8AbgBPAGYATgBpAHQAcgBvAGcAZQBuAEkAbgBQAHIAaQBtAGEAcgB5AE0ATQBTAF8ATgBJAFIAUgBlAGYAZQByAGUAbgBjAGUAXABuACAAIAA9AEwAQQBNAEIARABBACgAXAAiAFwAIgApADsAXABuAFwAbgBWAEUARQBSAEcAXwA0AF8ANQBfADEAXwAzAF8AXwAzAF8ARgByAGEAYwB0AGkAbwBuAE8AZgBOAGkAdAByAG8AZwBlAG4ASQBuAFAAcgBpAG0AYQByAHkATQBNAFMAXwBMAGEAdABlAHgARQBxAHUAYQB0AGkAbwBuAFwAbgAgACAAPQBMAEEATQBCAEQAQQAoAFwAIgBGAE4AXwB7AGoAbQAsAFQAPQAxAH0APQBNAE0AUwBfAHsAagBtACwAVAA9ADEAfQBcAFwAdABpAG0AZQBzACgAMQAtAFMATgBfAHsAbQB9ACkAXAAiACkAOwBcAG4AXABuAFYARQBFAFIARwBfADQAXwA1AF8AMQBfADMAXwBfADMAXwBGAHIAYQBjAHQAaQBvAG4ATwBmAE4AaQB0AHIAbwBnAGUAbgBJAG4AUAByAGkAbQBhAHIAeQBNAE0AUwBfAEEAcgBnAHUAbQBlAG4AdABzAFwAbgAgACAAPQBMAEEATQBCAEQAQQAoAFwAbgAgACAAIAAgAE0AQQBLAEUAQQBSAFIAQQBZACgAMgAsACAANAAsAFwAbgAgACAAIAAgACAAIABMAEEATQBCAEQAQQAoAHIALABjACwAXABuACAAIAAgACAAIAAgACAAIABJAE4ARABFAFgAKAB7AFwAbgAgACAAIAAgACAAIAAgACAAIAAgAFwAIgBNAE0AUwBfAGoAbQBUADEAXAAiACwAIABcACIAZgByAGEAYwB0AGkAbwBuACAAbwBmACAAbQBhAG4AdQByAGUAIABpAG4AIABwAHIAaQBtAGEAcgB5ACAATQBNAFM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CwAIABcACIAZgByAGEAYwB0AGkAbwBuAFwAIgAsACAAXAAiAEkAbgBwAHUAdABcACIAOwBcAG4AIAAgACAAIAAgACAAIAAgACAAIABcACIATQBNAFMAXwBqAG0AMQA3ADkAVAAxAFwAIgAsACAAXAAiAGYAcgBhAGMAdABpAG8AbgAgAG8AZgAgAG0AYQBuAHUAcgBlACAAaQBuACAAcAByAGkAbQBhAHIAeQAgAGwAaQBxAHUAaQBkACAAcwB5AHMAdABlAG0AcwAgACgAbQA9ADEALAA3ACwAOQAp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zAHcAaQBuAGUAIABpAG4AIABlAGEAYwBoACAAZwByAG8AdQBwAFwAIgAsACAAXAAiAGgAZQBhAGQAXAAiACwAIABcACIASQBuAHAAdQB0AFwAIgA7AFwAbgAgACAAIAAgACAAIAAgACAAIAAgAFwAIgBOAFcAXwBqAFwAIgAsACAAXAAiAG4AaQB0AHIAbwBnAGUAbgAgAHAAcgBvAGQAdQBjAGUAZAAgAGkAbgAgAHMAdwBpAG4AZQAgAG0AYQBuAHUAcgBlACAAYQBuAGQAIAB3AGEAcwB0AGUAIABmAGUAZQBkACAAaQBuACAAZQBhAGMAaAAgAGMAbABhAHMAcwBcACIALAAgAFwAIgBrAGcAIABOAC8AaABlAGEAZAAvAGQAYQB5AFwAIgAsACAAXAAiAEkAbgBwAHUAdABcACIAOwBcAG4AIAAgACAAIAAgACAAIAAgACAAIABcACIARABfAGoAXAAiACwAIABcACIAZAB1AHIAYQB0AGkAbwBuACAAbwBmACAAcwB0AGEAeQAgAG8AZgAgAHMAdwBpAG4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XAAiACwAIABcACIAawBnACAATgBcACIALAAgAFwAIgBDAGEAbABjAHUAbABhAHQAZQBkACAAZgByAG8AbQAgADQALgA1AC4AMQAuADMAIAAoADcAKQBcACIAOwBcAG4AIAAgACAAIAAgACAAIAAgACAAIABcACIATQBNAFMAXwBqAG0AVAAyAFwAIgAsACA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3AF8ATgBpAHQAcgBvAGcAZQBuAFQAcgBhAG4AcwBmAGUAcgByAGUAZABUAG8AUwB0AGEAZwBlADIATQBNAFMAXABuAE4AaQB0AHIAbwBnAGUAbgAgAHQAcgBhAG4AcwBmAGUAcgByAGUAZAAgAHQAbwAgAHQAcgBlAGEAdABtAGUAbgB0ACAAcwB0AGEAZwBlACAAMgAgAE0ATQBTAFwAbgBOAFQAXwBqAG0AVAAyAFwAbgBrAGcAIABOAFwAbgBOAFQAXwB7AGoAbQAsAFQAPQAyAH0APQBNAE4AXwB7AGoAbQAsAFQAPQAxAH0AXABcAHQAaQBtAGUAcwAoADEALQBGAHIAYQBjAEcAQQBTAE0AXwB7AG0ALABUAD0AMQB9AC0ARQBGAF8AewBtACwAVAA9ADEAfQApAFwAbgBNAE4AXwBqAG0AVAAxACAAPQAgAG4AaQB0AHIAbwBnAGUAbgAgAHAAZQByACAAcwB3AGkAbgBlACAAYwBsAGEAcwBzACAAaQBuACAAdAByAGUAYQB0AG0AZQBuAHQAIABzAHQAYQBnAGUAIAAxACAATQBNAFMAIAAoAGsAZwAgAE4AKQBcAG4ARgByAGEAYwBHAEEAUwBNAG0AVAAxACAAPQAgAGYAcgBhAGMAdABpAG8AbgAgAG8AZgAgAE4AIAB2AG8AbABhAHQAaQBsAGkAcwBlAGQAIABmAHIAbwBtACAATQBNAFMAIAB0AHIAZQBhAHQAbQBlAG4AdAAgAGEAdAAgAHMAdABhAGcAZQAgADEAXABuAEUARgBfAG0AVAAxACAAPQAgAG4AaQB0AHIAbwB1AHMAIABvAHgAaQBkAGUAIABlAG0AaQBzAHMAaQBvAG4AIABmAGEAYwB0AG8AcgAgAGYAbwByACAATQBNAFMAIAB0AHIAZQBhAHQAbQBlAG4AdAAgAGEAdAAgAHMAdABhAGcAZQAgADEAXABuAC0ALQAtAC0ALQAtAC0ALQAtAC0ALQAtAC0ALQAtAC0ALQAtAC0ALQAtAC0ALQAtAC0ALQAtAC0ALQAtAC0ALQAtAC0ALQAtAC0ALQBcAG4AKgAvAFwAbgBcAG4AVgBFAEUAUgBHAF8ANABfADUAXwAxAF8AMwBfAF8ANwBfAE4AaQB0AHIAbwBnAGUAbgBUAHIAYQBuAHMAZgBlAHIAcgBlAGQAVABvAFMAdABhAGcAZQAyAE0ATQBTAFwAbgAgACAAPQBMAEEATQBCAEQAQQAoAFwAbgAgACAAIAAgAE0ATgBfAGoAbQBUADEALAAgAEYAcgBhAGMARwBBAFMATQBtAFQAMQAsACAARQBGAF8AbQBUADEALABcAG4AIAAgACAAIABNAE4AXwBqAG0AVAAxACAAKgAgACgAMQAgAC0AIABGAHIAYQBjAEcAQQBTAE0AbQBUADEAIAAtACAARQBGAF8AbQBUADEAKQBcAG4AIAAgACkAOwBcAG4AXABuAFYARQBFAFIARwBfADQAXwA1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1AF8AMQBfADMAXwBfADcAXwBOAGkAdAByAG8AZwBlAG4AVAByAGEAbgBzAGYAZQByAHIAZQBkAFQAbwBTAHQAYQBnAGUAMgBNAE0AUwBfAFYAYQByAGkAYQBiAGwAZQBcAG4AIAAgAD0ATABBAE0AQgBEAEEAKABcACIATgBUAF8AagBtAFQAMgBcACIAKQA7AFwAbgBcAG4AVgBFAEUAUgBHAF8ANABfADUAXwAxAF8AMwBfAF8ANwBfAE4AaQB0AHIAbwBnAGUAbgBUAHIAYQBuAHMAZgBlAHIAcgBlAGQAVABvAFMAdABhAGcAZQAyAE0ATQBTAF8AVQBuAGkAdABcAG4AIAAgAD0ATABBAE0AQgBEAEEAKABcACIAawBnACAATgBcACIAKQA7AFwAbgBcAG4AVgBFAEUAUgBHAF8ANABfADUAXwAxAF8AMwBfAF8ANwBfAE4AaQB0AHIAbwBnAGUAbgBUAHIAYQBuAHMAZgBlAHIAcgBlAGQAVABvAFMAdABhAGcAZQAyAE0ATQBTAF8AUwBvAHUAcgBjAGUAXABuACAAIAA9AEwAQQBNAEIARABBACgAXAAiAFYARQBFAFIARwAgADIAMAAyADYAOgAgADQALgA1AC4AMQAuADMALAAgAEUAcQB1AGEAdABpAG8AbgAgACgANwApAFwAIgApADsAXABuAFwAbgBWAEUARQBSAEcAXwA0AF8ANQBfADEAXwAzAF8AXwA3AF8ATgBpAHQAcgBvAGcAZQBuAFQAcgBhAG4AcwBmAGUAcgByAGUAZABUAG8AUwB0AGEAZwBlADIATQBNAFMAXwBOAEkAUgBSAGUAZgBlAHIAZQBuAGMAZQBcAG4AIAAgAD0ATABBAE0AQgBEAEEAKABcACIAXAAiACkAOwBcAG4AXABuAFYARQBFAFIARwBfADQAXwA1AF8AMQBfADMAXwBfADcAXwBOAGkAdAByAG8AZwBlAG4AVAByAGEAbgBzAGYAZQByAHIAZQBkAFQAbwBTAHQAYQBnAGUAMgBNAE0AUwBfAEwAYQB0AGUAeABFAHEAdQBhAHQAaQBvAG4AXABuACAAIAA9AEwAQQBNAEIARABBACgAXAAiAE4AVABfAHsAagBtACwAVAA9ADIAfQA9AE0ATgBfAHsAagBtACwAVAA9ADEAfQBcAFwAdABpAG0AZQBzACgAMQAtAEYAcgBhAGMARwBBAFMATQBfAHsAbQAsAFQAPQAxAH0ALQBFAEYAXwB7AG0ALABUAD0AMQB9ACkAXAAiACkAOwBcAG4AXABuAFYARQBFAFIARwBfADQAXwA1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0AVAAxAFwAIgAsACAAXAAiAG4AaQB0AHIAbwBnAGUAbgAgAHAAZQByACAAcwB3AGkAbgBlACAAYwBsAGEAcwBzACAAaQBuACAAdAByAGUAYQB0AG0AZQBuAHQAIABzAHQAYQBnAGUAIAAxACAATQBNAFMAXAAiACwAIABcACIAawBnACAATgBcACIALAAgAFwAIgBDAGEAbABjAHUAbABhAHQAZQBkACAAZgByAG8AbQAgADQALgA1AC4AMQAuADMAIAAoADIAKQAoADYAKQBcACIAOwBcAG4AIAAgACAAIAAgACAAIAAgACAAIABcACIARgByAGEAYwBHAEEAUwBNAG0AVAAxAFwAIgAsACAAXAAiAGYAcgBhAGMAdABpAG8AbgAgAG8AZgAgAE4AIAB2AG8AbABhAHQAaQBsAGkAcwBlAGQAIABmAHIAbwBtACAATQBNAFMAIAB0AHIAZQBhAHQAbQBlAG4AdAAgAGEAdAAgAHMAdABhAGcAZQAgADEAXAAiACwAIABcACIAZgByAGEAYwB0AGkAbwBuAFwAIgAsACAAXAAiAEwAbwBvAGsAdQBwAFwAIgA7AFwAbgAgACAAIAAgACAAIAAgACAAIAAgAFwAIgBFAEYAXwBtAFQAMQBcACIALAAgAFwAIgBuAGkAdAByAG8AdQBzACAAbwB4AGkAZABlACAAZQBtAGkAcwBzAGkAbwBuACAAZgBhAGMAdABvAHIAIABmAG8AcgAgAE0ATQBTACAAdAByAGUAYQB0AG0AZQBuAHQAIABhAHQAIABzAHQAYQBnAGUAIAAxAFwAIgAsACAAXAAiAGsAZwAgAE4AMgBPAC0ATgAvAGsAZwAgAE4AXAAiACwAIABcACIATABvAG8AawB1AHAAXAAiAFwAbgAgACAAIAAgACAAIAAgACAAfQAsACAAcgAsACAAYwApAFwAbgAgACAAIAAgACAAIAApAFwAbgAgACAAIAAgACkAXABuACAAIAApADsAXABuACIAfQAsAHsAIgBwAGEAdABoACIAOgAiAC8AcAByAG8AagBlAGMAdABzAC8ATQBNAFMAXwBTAHcAaQBuAGU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1ACAATQBlAHQAaABvAGQAIAAxACAALQAgAE0AYQBuAHUAcgBlACAAQQB0AG0AbwBzAHAAaABlAHIAaQBjACAARABlAHAAbwBzAGkAdABpAG8Abg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GEAZAB9AD0ATQBNAFMAXwB7AEEAVABNAE8AUwB9AFwAXAB0AGkAbQBlAHMAIABFAEYAXwB7AE4AMgBPAH0AXABcAHQAaQBtAGUAcwAgAEMAXwB7AE4AMgBPAH0AXABcAHQAaQBtAGUAcwAgADEAMABeAHsALQAzAH0AXABuAE0ATQBT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UAXwAxAF8ANQBfAF8AMQBfAEEAbgBuAHUAYQBsAEEAdABtAG8AcwBwAGgAZQByAGkAYwBEAGUAcABvAHMAaQB0AGkAbwBuAEUAbQBpAHMAcwBpAG8AbgBzAEYAcgBvAG0ATQBNAFMAXABuACAAIAA9AEwAQQBNAEIARABBACgAXABuACAAIAAgACAATQBNAFMAXwBBAFQATQBPAFMALAAgAEUARgBfAE4AMgBPACwAIABDAF8ATgAyAE8ALABcAG4AIAAgACAAIABNAE0AUwBfAEEAVABNAE8AUwAgACoAIABFAEYAXwBOADIATwAgACoAIABDAF8ATgAyAE8AIAAqACAAMQAwACAAXgAgAC0AMwBcAG4AIAAgACkAOwBcAG4AXABuAFYARQBFAFIARwBfADQAXwA1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UAXwAxAF8ANQBfAF8AMQBfAEEAbgBuAHUAYQBsAEEAdABtAG8AcwBwAGgAZQByAGkAYwBEAGUAcABvAHMAaQB0AGkAbwBuAEUAbQBpAHMAcwBpAG8AbgBzAEYAcgBvAG0ATQBNAFMAXwBWAGEAcgBpAGEAYgBsAGUAXABuACAAIAA9AEwAQQBNAEIARABBACgAXAAiAEUAXwBOADIATwBNAE0AUwBhAGQAXAAiACkAOwBcAG4AXABuAFYARQBFAFIARwBfADQAXwA1AF8AMQBfADUAXwBfADEAXwBBAG4AbgB1AGEAbABBAHQAbQBvAHMAcABoAGUAcgBpAGMARABlAHAAbwBzAGkAdABpAG8AbgBFAG0AaQBzAHMAaQBvAG4AcwBGAHIAbwBtAE0ATQBTAF8AVQBuAGkAdABcAG4AIAAgAD0ATABBAE0AQgBEAEEAKABcACIAdAAgAE4AMgBPAFwAIgApADsAXABuAFwAbgBWAEUARQBSAEcAXwA0AF8ANQBfADEAXwA1AF8AXwAxAF8AQQBuAG4AdQBhAGwAQQB0AG0AbwBzAHAAaABlAHIAaQBjAEQAZQBwAG8AcwBpAHQAaQBvAG4ARQBtAGkAcwBzAGkAbwBuAHMARgByAG8AbQBNAE0AUwBfAFMAbwB1AHIAYwBlAFwAbgAgACAAPQBMAEEATQBCAEQAQQAoAFwAIgBWAEUARQBSAEcAIAAyADAAMgA2ADoAIAA0AC4ANQAuADEALgAxACwAIABFAHEAdQBhAHQAaQBvAG4AIAAoADEAKQBcACIAKQA7AFwAbgBcAG4AVgBFAEUAUgBHAF8ANABfADUAXwAxAF8ANQBfAF8AMQBfAEEAbgBuAHUAYQBsAEEAdABtAG8AcwBwAGgAZQByAGkAYwBEAGUAcABvAHMAaQB0AGkAbwBuAEUAbQBpAHMAcwBpAG8AbgBzAEYAcgBvAG0ATQBNAFMAXwBOAEkAUgBSAGUAZgBlAHIAZQBuAGMAZQBcAG4AIAAgAD0ATABBAE0AQgBEAEEAKABcACIAXAAiACkAOwBcAG4AXABuAFYARQBFAFIARwBfADQAXwA1AF8AMQBfADUAXwBfADEAXwBBAG4AbgB1AGEAbABBAHQAbQBvAHMAcABoAGUAcgBpAGMARABlAHAAbwBzAGkAdABpAG8AbgBFAG0AaQBzAHMAaQBvAG4AcwBGAHIAbwBtAE0ATQBTAF8ATABhAHQAZQB4AEUAcQB1AGEAdABpAG8AbgBcAG4AIAAgAD0ATABBAE0AQgBEAEEAKABcACIARQBfAHsATgAyAE8ALABhAGQAfQA9AE0ATQBTAF8AewBBAFQATQBPAFMAfQBcAFwAdABpAG0AZQBzACAARQBGAF8AewBOADIATwB9AFwAXAB0AGkAbQBlAHMAIABDAF8AewBOADIATwB9AFwAXAB0AGkAbQBlAHMAIAAxADAAXgB7AC0AMwB9AFwAIgApADsAXABuAFwAbgBWAEUARQBSAEcAXwA0AF8ANQ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AgAFwAIgBtAGEAcwBzACAAbwBmACAATgAgAHYAbwBsAGEAdABpAGwAaQBzAGUAZAAgAGYAcgBvAG0AIABNAE0AUwBcACIALAAgAFwAIgBrAGcAIABOAFwAIgAsACAAXAAiAEMAYQBsAGMAdQBsAGEAdABlAGQAIABmAHIAbwBtACAANAAuADU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YAcgBhAGMARwBBAFMATQBtAFQAXAAiACwAI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wB3AGkAbgBl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cAIABNAGUAdABoAG8AZAAgADEAIAAtACAATQBhAG4AdQByAGUAIABMAGUAYQBjAGgAaQBuAGcAIABBAG4AZAAgAFIAdQBuAG8AZgBm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D0ANQB9AFwAXAB0AGkAbQBlAHMAIABFAEYAXwB7AGwAZQBhAGMAaAB9AFwAXAB0AGkAbQBlAHMAIABDAF8AewBOADIATwB9AFwAXAB0AGkAbQBlAHMAIAAxADAAXgB7AC0AMwB9AFwAbgBNAE4ATABlAGEAYwBoAF8AagBtADUAIAA9ACAAbQBhAHMAcwAgAG8AZgAgAE4AIABsAG8AcwB0ACAAdABoAHIAbwB1AGcAaAAgAGwAZQBhAGMAaABpAG4AZwAgAGEAbgBkACAAcgB1AG4AbwBmAGYAIABmAHIAbwBtACAAZAByAHkAbABvAHQAIABNAE0AUw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EAHUAZQAgAHQAbwAgAHMAdAByAGkAYwB0ACAAZQBuAHYAaQByAG8AbgBtAGUAbgB0AGEAbAAgAGMAbwBuAHQAcgBvAGwAcwAsACAAZQBtAGkAcwBzAGkAbwBuAHMAIABhAHIAZQAgAGUAcwB0AGkAbQBhAHQAZQBkACAAbwBuAGwAeQAgAGYAbwByACAAZAByAHkAbABvAHQAIABNAE0AUwAgACgAbQA9ADUAKQAuAFwAbgAtAC0ALQAtAC0ALQAtAC0ALQAtAC0ALQAtAC0ALQAtAC0ALQAtAC0ALQAtAC0ALQAtAC0ALQAtAC0ALQAtAC0ALQAtAC0ALQAtAC0AXABuACoALwBcAG4AXABuAFYARQBFAFIARwBfADQAXwA1AF8AMQBfADcAXwBfADEAXwBBAG4AbgB1AGEAbABFAG0AaQBzAHMAaQBvAG4AcwBGAHIAbwBtAEwAZQBhAGMAaABpAG4AZwBBAG4AZABSAHUAbgBvAGYAZgBGAHIAbwBtAE0ATQBTAFwAbgAgACAAPQBMAEEATQBCAEQAQQAoAFwAbgAgACAAIAAgAE0ATgBMAGUAYQBjAGgAXwBqAG0ANQAsACAARQBGAF8AbABlAGEAYwBoACwAIABDAF8ATgAyAE8ALABcAG4AIAAgACAAIABNAE4ATABlAGEAYwBoAF8AagBtADUAIAAqACAARQBGAF8AbABlAGEAYwBoACAAKgAgAEMAXwBOADIATwAgACoAIAAxADAAIABeACAALQAzAFwAbgAgACAAKQA7AFwAbgBcAG4AVgBFAEUAUgBHAF8ANABfADU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1AF8AMQBfADcAXwBfADEAXwBBAG4AbgB1AGEAbABFAG0AaQBzAHMAaQBvAG4AcwBGAHIAbwBtAEwAZQBhAGMAaABpAG4AZwBBAG4AZABSAHUAbgBvAGYAZgBGAHIAbwBtAE0ATQBTAF8AVgBhAHIAaQBhAGIAbABlAFwAbgAgACAAPQBMAEEATQBCAEQAQQAoAFwAIgBFAF8ATgAyAE8AbABlAGEAYwBoAFwAIgApADsAXABuAFwAbgBWAEUARQBSAEcAXwA0AF8ANQBfADEAXwA3AF8AXwAxAF8AQQBuAG4AdQBhAGwARQBtAGkAcwBzAGkAbwBuAHMARgByAG8AbQBMAGUAYQBjAGgAaQBuAGcAQQBuAGQAUgB1AG4AbwBmAGYARgByAG8AbQBNAE0AUwBfAFUAbgBpAHQAXABuACAAIAA9AEwAQQBNAEIARABBACgAXAAiAHQAIABOADIATwBcACIAKQA7AFwAbgBcAG4AVgBFAEUAUgBHAF8ANABfADUAXwAxAF8ANwBfAF8AMQBfAEEAbgBuAHUAYQBsAEUAbQBpAHMAcwBpAG8AbgBzAEYAcgBvAG0ATABlAGEAYwBoAGkAbgBnAEEAbgBkAFIAdQBuAG8AZgBmAEYAcgBvAG0ATQBNAFMAXwBTAG8AdQByAGMAZQBcAG4AIAAgAD0ATABBAE0AQgBEAEEAKABcACIAVgBFAEUAUgBHACAAMgAwADIANgA6ACAANAAuADUALgAxAC4ANwAsACAARQBxAHUAYQB0AGkAbwBuACAAKAAxACkAXAAiACkAOwBcAG4AXABuAFYARQBFAFIARwBfADQAXwA1AF8AMQBfADcAXwBfADEAXwBBAG4AbgB1AGEAbABFAG0AaQBzAHMAaQBvAG4AcwBGAHIAbwBtAEwAZQBhAGMAaABpAG4AZwBBAG4AZABSAHUAbgBvAGYAZgBGAHIAbwBtAE0ATQBTAF8ATgBJAFIAUgBlAGYAZQByAGUAbgBjAGUAXABuACAAIAA9AEwAQQBNAEIARABBACgAXAAiAFwAIgApADsAXABuAFwAbgBWAEUARQBSAEcAXwA0AF8ANQBfADEAXwA3AF8AXwAxAF8AQQBuAG4AdQBhAGwARQBtAGkAcwBzAGkAbwBuAHMARgByAG8AbQBMAGUAYQBjAGgAaQBuAGcAQQBuAGQAUgB1AG4AbwBmAGYARgByAG8AbQBNAE0AUwBfAEwAYQB0AGUAeABFAHEAdQBhAHQAaQBvAG4AXABuACAAIAA9AEwAQQBNAEIARABBACgAXAAiAEUAXwB7AE4AMgBPACwAbABlAGEAYwBoAH0APQBNAE4ATABlAGEAYwBoAF8AewBqAG0APQA1AH0AXABcAHQAaQBtAGUAcwAgAEUARgBfAHsAbABlAGEAYwBoAH0AXABcAHQAaQBtAGUAcwAgAEMAXwB7AE4AMgBPAH0AXABcAHQAaQBtAGUAcwAgADEAMABeAHsALQAzAH0AXAAiACkAOwBcAG4AXABuAFYARQBFAFIARwBfADQAXwA1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NQBcACIALAAgAFwAIgBtAGEAcwBzACAAbwBmACAATgAgAGwAbwBzAHQAIAB0AGgAcgBvAHUAZwBoACAAbABlAGEAYwBoAGkAbgBnACAAYQBuAGQAIAByAHUAbgBvAGYAZgAgAGYAcgBvAG0AIABkAHIAeQBsAG8AdAAgAE0ATQBTAFwAIgAsACAAXAAiAGsAZwAgAE4AXAAiACwAIABcACIAQwBhAGwAYwB1AGwAYQB0AGUAZAAgAGYAcgBvAG0AIAA0AC4ANQ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Q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XAAiACwAIABcACIAawBnACAATgBcACIALAAgAFwAIgBDAGEAbABjAHUAbABhAHQAZQBkACAAZgByAG8AbQAgADQALgA1AC4AMQAuADMAIAAoADIAKQBcACIAOwBcAG4AIAAgACAAIAAgACAAIAAgACAAIABcACIARgByAGEAYwBXAEUAV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XABuAFwAbgAiAH0ALAB7ACIAcABhAHQAaAAiADoAIgAvAHAAcgBvAGoAZQBjAHQAcwAvAE0ATQBTAF8AUwB3AGkAbgBl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xAF8ATQBhAHMAcwBPAGYATgBpAHQAcgBvAGcAZQBuAEEAcABwAGwAaQBlAGQAVABvAFMAbwBpAGwAcwBTAGMAbwBwAGUAMQ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FAARgBcAG4AIAAgACkAOwBcAG4AXABuAFYARQBFAFIARwBfADQAXwA1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QBfADEAXwA5AF8AXwAxAF8ATQBhAHMAcwBPAGYATgBpAHQAcgBvAGcAZQBuAEEAcABwAGwAaQBlAGQAVABvAFMAbwBpAGwAcwBTAGMAbwBwAGUAMQBfAFYAYQByAGkAYQBiAGwAZQBcAG4AIAAgAD0ATABBAE0AQgBEAEEAKABcACIATQBOAFMAbwBpAGwAXwBzAGMAbwBwAGUAMQBcACIAKQA7AFwAbgBcAG4AVgBFAEUAUgBHAF8ANABfADUAXwAxAF8AOQBfAF8AMQBfAE0AYQBzAHMATwBmAE4AaQB0AHIAbwBnAGUAbgBBAHAAcABsAGkAZQBkAFQAbwBTAG8AaQBsAHMAUwBjAG8AcABlADEAXwBVAG4AaQB0AFwAbgAgACAAPQBMAEEATQBCAEQAQQAoAFwAIgBrAGcAIABOAFwAIgApADsAXABuAFwAbgBWAEUARQBSAEcAXwA0AF8ANQBfADEAXwA5AF8AXwAxAF8ATQBhAHMAcwBPAGYATgBpAHQAcgBvAGcAZQBuAEEAcABwAGwAaQBlAGQAVABvAFMAbwBpAGwAcwBTAGMAbwBwAGUAMQBfAFMAbwB1AHIAYwBlAFwAbgAgACAAPQBMAEEATQBCAEQAQQAoAFwAIgBWAEUARQBSAEcAIAAyADAAMgA2ADoAIAA0AC4ANQAuADEALgA5ACwAIABFAHEAdQBhAHQAaQBvAG4AIAAoADEAKQBcACIAKQA7AFwAbgBcAG4AVgBFAEUAUgBHAF8ANABfADUAXwAxAF8AOQBfAF8AMQBfAE0AYQBzAHMATwBmAE4AaQB0AHIAbwBnAGUAbgBBAHAAcABsAGkAZQBkAFQAbwBTAG8AaQBsAHMAUwBjAG8AcABlADEAXwBOAEkAUgBSAGUAZgBlAHIAZQBuAGMAZQBcAG4AIAAgAD0ATABBAE0AQgBEAEEAKABcACIAXAAiACkAOwBcAG4AXABuAFYARQBFAFIARwBfADQAXwA1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IgApADsAXABuAFwAbgBWAEUARQBSAEcAXwA0AF8ANQ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IAXwBNAGEAcwBzAE8AZgBOAGkAdAByAG8AZwBlAG4AQQBwAHAAbABpAGUAZABUAG8AUwBvAGkAbABzAFMAYwBvAHAAZQAz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KAAxACAALQAgAFAARgApAFwAbgAgACAAKQA7AFwAbgBcAG4AVgBFAEUAUgBHAF8ANABfADU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1AF8AMQBfADkAXwBfADIAXwBNAGEAcwBzAE8AZgBOAGkAdAByAG8AZwBlAG4AQQBwAHAAbABpAGUAZABUAG8AUwBvAGkAbABzAFMAYwBvAHAAZQAzAF8AVgBhAHIAaQBhAGIAbABlAFwAbgAgACAAPQBMAEEATQBCAEQAQQAoAFwAIgBNAE4AUwBvAGkAbABfAHMAYwBvAHAAZQAzAFwAIgApADsAXABuAFwAbgBWAEUARQBSAEcAXwA0AF8ANQBfADEAXwA5AF8AXwAyAF8ATQBhAHMAcwBPAGYATgBpAHQAcgBvAGcAZQBuAEEAcABwAGwAaQBlAGQAVABvAFMAbwBpAGwAcwBTAGMAbwBwAGUAMwBfAFUAbgBpAHQAXABuACAAIAA9AEwAQQBNAEIARABBACgAXAAiAGsAZwAgAE4AXAAiACkAOwBcAG4AXABuAFYARQBFAFIARwBfADQAXwA1AF8AMQBfADkAXwBfADIAXwBNAGEAcwBzAE8AZgBOAGkAdAByAG8AZwBlAG4AQQBwAHAAbABpAGUAZABUAG8AUwBvAGkAbABzAFMAYwBvAHAAZQAzAF8AUwBvAHUAcgBjAGUAXABuACAAIAA9AEwAQQBNAEIARABBACgAXAAiAFYARQBFAFIARwAgADIAMAAyADYAOgAgADQALgA1AC4AMQAuADkALAAgAEUAcQB1AGEAdABpAG8AbgAgACgAMgApAFwAIgApADsAXABuAFwAbgBWAEUARQBSAEcAXwA0AF8ANQBfADEAXwA5AF8AXwAyAF8ATQBhAHMAcwBPAGYATgBpAHQAcgBvAGcAZQBuAEEAcABwAGwAaQBlAGQAVABvAFMAbwBpAGwAcwBTAGMAbwBwAGUAMwBfAE4ASQBSAFIAZQBmAGUAcgBlAG4AYwBlAFwAbgAgACAAPQBMAEEATQBCAEQAQQAoAFwAIgBcACIAKQA7AFwAbgBcAG4AVgBFAEUAUgBHAF8ANABfADU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AiACkAOwBcAG4AXABuAFYARQBFAFIARwBfADQAXwA1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E0ATQBTAF8AUwB3AGkAbgBlAF8ATQBlAHQAaABhAG4AZQBfAEUAcQB1AGEAdABpAG8AbgBzAC4AVgBFAEUAUgBHAF8ANABfADUAXwAxAF8AMQBfAF8AMQBfAFQAbwB0AGEAbABBAG4AbgB1AGEAbABNAGUAdABoAGEAbgBlAEUAbQBpAHMAcwBpAG8AbgBzACIALAAiAE0ATQBTAF8AUwB3AGkAbgBlAF8ATQBlAHQAaABhAG4AZQBfAEUAcQB1AGEAdABpAG8AbgBzAC4AVgBFAEUAUgBHAF8ANABfADUAXwAxAF8AMQBfAF8AMQBfAFQAbwB0AGEAbABBAG4AbgB1AGEAbABNAGUAdABoAGEAbgBlAEUAbQBpAHMAcwBpAG8AbgBzAF8AVABpAHQAbABlACIALAAiAE0ATQBTAF8AUwB3AGkAbgBlAF8ATQBlAHQAaABhAG4AZQBfAEUAcQB1AGEAdABpAG8AbgBzAC4AVgBFAEUAUgBHAF8ANABfADUAXwAxAF8AMQBfAF8AMQBfAFQAbwB0AGEAbABBAG4AbgB1AGEAbABNAGUAdABoAGEAbgBlAEUAbQBpAHMAcwBpAG8AbgBzAF8AVgBhAHIAaQBhAGIAbABlACIALAAiAE0ATQBTAF8AUwB3AGkAbgBlAF8ATQBlAHQAaABhAG4AZQBfAEUAcQB1AGEAdABpAG8AbgBzAC4AVgBFAEUAUgBHAF8ANABfADUAXwAxAF8AMQBfAF8AMQBfAFQAbwB0AGEAbABBAG4AbgB1AGEAbABNAGUAdABoAGEAbgBlAEUAbQBpAHMAcwBpAG8AbgBzAF8AVQBuAGkAdAAiACwAIgBNAE0AUwBfAFMAdwBpAG4AZQBfAE0AZQB0AGgAYQBuAGUAXwBFAHEAdQBhAHQAaQBvAG4AcwAuAFYARQBFAFIARwBfADQAXwA1AF8AMQBfADEAXwBfADEAXwBUAG8AdABhAGwAQQBuAG4AdQBhAGwATQBlAHQAaABhAG4AZQBFAG0AaQBzAHMAaQBvAG4AcwBfAFMAbwB1AHIAYwBlACIALAAiAE0ATQBTAF8AUwB3AGkAbgBlAF8ATQBlAHQAaABhAG4AZQBfAEUAcQB1AGEAdABpAG8AbgBzAC4AVgBFAEUAUgBHAF8ANABfADUAXwAxAF8AMQBfAF8AMQBfAFQAbwB0AGEAbABBAG4AbgB1AGEAbABNAGUAdABoAGEAbgBlAEUAbQBpAHMAcwBpAG8AbgBzAF8ATgBJAFIAUgBlAGYAZQByAGUAbgBjAGUAIgAsACIATQBNAFMAXwBTAHcAaQBuAGUAXwBNAGUAdABoAGEAbgBlAF8ARQBxAHUAYQB0AGkAbwBuAHMALgBWAEUARQBSAEcAXwA0AF8ANQBfADEAXwAxAF8AXwAxAF8AVABvAHQAYQBsAEEAbgBuAHUAYQBsAE0AZQB0AGgAYQBuAGUARQBtAGkAcwBzAGkAbwBuAHMAXwBMAGEAdABlAHgARQBxAHUAYQB0AGkAbwBuACIALAAiAE0ATQBTAF8AUwB3AGkAbgBlAF8ATQBlAHQAaABhAG4AZQBfAEUAcQB1AGEAdABpAG8AbgBzAC4AVgBFAEUAUgBHAF8ANABfADUAXwAxAF8AMQBfAF8AMQBfAFQAbwB0AGEAbABBAG4AbgB1AGEAbABNAGUAdABoAGEAbgBlAEUAbQBpAHMAcwBpAG8AbgBzAF8AQQByAGcAdQBtAGUAbgB0AHMAIgAsACIATQBNAFMAXwBTAHcAaQBuAGUAXwBNAGUAdABoAGEAbgBlAF8ARQBxAHUAYQB0AGkAbwBuAHMALgBWAEUARQBSAEcAXwA0AF8ANQBfADEAXwAxAF8AXwAyAF8ATQBlAHQAaABhAG4AZQBQAHIAbwBkAHUAYwB0AGkAbwBuAFAAZQByAEMAbABhAHMAcwAiACwAIgBNAE0AUwBfAFMAdwBpAG4AZQBfAE0AZQB0AGgAYQBuAGUAXwBFAHEAdQBhAHQAaQBvAG4AcwAuAFYARQBFAFIARwBfADQAXwA1AF8AMQBfADEAXwBfADIAXwBNAGUAdABoAGEAbgBlAFAAcgBvAGQAdQBjAHQAaQBvAG4AUABlAHIAQwBsAGEAcwBzAFYAYQByAGkAYQB0AGkAbwBuACIALAAiAE0ATQBTAF8AUwB3AGkAbgBlAF8ATQBlAHQAaABhAG4AZQBfAEUAcQB1AGEAdABpAG8AbgBzAC4AVgBFAEUAUgBHAF8ANABfADUAXwAxAF8AMQBfAF8AMgBfAE0AZQB0AGgAYQBuAGUAUAByAG8AZAB1AGMAdABpAG8AbgBQAGUAcgBDAGwAYQBzAHMAXwBUAGkAdABsAGUAIgAsACIATQBNAFMAXwBTAHcAaQBuAGUAXwBNAGUAdABoAGEAbgBlAF8ARQBxAHUAYQB0AGkAbwBuAHMALgBWAEUARQBSAEcAXwA0AF8ANQBfADEAXwAxAF8AXwAyAF8ATQBlAHQAaABhAG4AZQBQAHIAbwBkAHUAYwB0AGkAbwBuAFAAZQByAEMAbABhAHMAcwBfAFYAYQByAGkAYQBiAGwAZQAiACwAIgBNAE0AUwBfAFMAdwBpAG4AZQBfAE0AZQB0AGgAYQBuAGUAXwBFAHEAdQBhAHQAaQBvAG4AcwAuAFYARQBFAFIARwBfADQAXwA1AF8AMQBfADEAXwBfADIAXwBNAGUAdABoAGEAbgBlAFAAcgBvAGQAdQBjAHQAaQBvAG4AUABlAHIAQwBsAGEAcwBzAF8AVQBuAGkAdAAiACwAIgBNAE0AUwBfAFMAdwBpAG4AZQBfAE0AZQB0AGgAYQBuAGUAXwBFAHEAdQBhAHQAaQBvAG4AcwAuAFYARQBFAFIARwBfADQAXwA1AF8AMQBfADEAXwBfADIAXwBNAGUAdABoAGEAbgBlAFAAcgBvAGQAdQBjAHQAaQBvAG4AUABlAHIAQwBsAGEAcwBzAF8AUwBvAHUAcgBjAGUAIgAsACIATQBNAFMAXwBTAHcAaQBuAGUAXwBNAGUAdABoAGEAbgBlAF8ARQBxAHUAYQB0AGkAbwBuAHMALgBWAEUARQBSAEcAXwA0AF8ANQBfADEAXwAxAF8AXwAyAF8ATQBlAHQAaABhAG4AZQBQAHIAbwBkAHUAYwB0AGkAbwBuAFAAZQByAEMAbABhAHMAcwBfAE4ASQBSAFIAZQBmAGUAcgBlAG4AYwBlACIALAAiAE0ATQBTAF8AUwB3AGkAbgBlAF8ATQBlAHQAaABhAG4AZQBfAEUAcQB1AGEAdABpAG8AbgBzAC4AVgBFAEUAUgBHAF8ANABfADUAXwAxAF8AMQBfAF8AMgBfAE0AZQB0AGgAYQBuAGUAUAByAG8AZAB1AGMAdABpAG8AbgBQAGUAcgBDAGwAYQBzAHMAXwBMAGEAdABlAHgARQBxAHUAYQB0AGkAbwBuACIALAAiAE0ATQBTAF8AUwB3AGkAbgBlAF8ATQBlAHQAaABhAG4AZQBfAEUAcQB1AGEAdABpAG8AbgBzAC4AVgBFAEUAUgBHAF8ANABfADUAXwAxAF8AMQBfAF8AMgBfAE0AZQB0AGgAYQBuAGUAUAByAG8AZAB1AGMAdABpAG8AbgBQAGUAcgBDAGwAYQBzAHMAXwBBAHIAZwB1AG0AZQBuAHQAcwAiACwAIgBNAE0AUwBfAFMAdwBpAG4AZQBfAE0AZQB0AGgAYQBuAGUAXwBFAHEAdQBhAHQAaQBvAG4AcwAuAFYARQBFAFIARwBfADQAXwA1AF8AMQBfADEAXwBfADIAXwBNAGUAdABoAGEAbgBlAFAAcgBvAGQAdQBjAHQAaQBvAG4AUABlAHIAQwBsAGEAcwBzAF8AVgBhAHIAaQBhAHQAaQBvAG4AIgAsACIATQBNAFMAXwBTAHcAaQBuAGUAXwBNAGUAdABoAGEAbgBlAF8ARQBxAHUAYQB0AGkAbwBuAHMALgBWAEUARQBSAEcAXwA0AF8ANQBfADEAXwAxAF8AXwAzAF8AUwB0AGEAZwBlADEATQBlAHQAaABhAG4AZQBQAHIAbwBkAHUAYwB0AGkAbwBuACIALAAiAE0ATQBTAF8AUwB3AGkAbgBlAF8ATQBlAHQAaABhAG4AZQBfAEUAcQB1AGEAdABpAG8AbgBzAC4AVgBFAEUAUgBHAF8ANABfADUAXwAxAF8AMQBfAF8AMwBfAFMAdABhAGcAZQAxAE0AZQB0AGgAYQBuAGUAUAByAG8AZAB1AGMAdABpAG8AbgBfAFQAaQB0AGwAZQAiACwAIgBNAE0AUwBfAFMAdwBpAG4AZQBfAE0AZQB0AGgAYQBuAGUAXwBFAHEAdQBhAHQAaQBvAG4AcwAuAFYARQBFAFIARwBfADQAXwA1AF8AMQBfADEAXwBfADMAXwBTAHQAYQBnAGUAMQBNAGUAdABoAGEAbgBlAFAAcgBvAGQAdQBjAHQAaQBvAG4AXwBWAGEAcgBpAGEAYgBsAGUAIgAsACIATQBNAFMAXwBTAHcAaQBuAGUAXwBNAGUAdABoAGEAbgBlAF8ARQBxAHUAYQB0AGkAbwBuAHMALgBWAEUARQBSAEcAXwA0AF8ANQBfADEAXwAxAF8AXwAzAF8AUwB0AGEAZwBlADEATQBlAHQAaABhAG4AZQBQAHIAbwBkAHUAYwB0AGkAbwBuAF8AVQBuAGkAdAAiACwAIgBNAE0AUwBfAFMAdwBpAG4AZQBfAE0AZQB0AGgAYQBuAGUAXwBFAHEAdQBhAHQAaQBvAG4AcwAuAFYARQBFAFIARwBfADQAXwA1AF8AMQBfADEAXwBfADMAXwBTAHQAYQBnAGUAMQBNAGUAdABoAGEAbgBlAFAAcgBvAGQAdQBjAHQAaQBvAG4AXwBTAG8AdQByAGMAZQAiACwAIgBNAE0AUwBfAFMAdwBpAG4AZQBfAE0AZQB0AGgAYQBuAGUAXwBFAHEAdQBhAHQAaQBvAG4AcwAuAFYARQBFAFIARwBfADQAXwA1AF8AMQBfADEAXwBfADMAXwBTAHQAYQBnAGUAMQBNAGUAdABoAGEAbgBlAFAAcgBvAGQAdQBjAHQAaQBvAG4AXwBOAEkAUgBSAGUAZgBlAHIAZQBuAGMAZQAiACwAIgBNAE0AUwBfAFMAdwBpAG4AZQBfAE0AZQB0AGgAYQBuAGUAXwBFAHEAdQBhAHQAaQBvAG4AcwAuAFYARQBFAFIARwBfADQAXwA1AF8AMQBfADEAXwBfADMAXwBTAHQAYQBnAGUAMQBNAGUAdABoAGEAbgBlAFAAcgBvAGQAdQBjAHQAaQBvAG4AXwBMAGEAdABlAHgARQBxAHUAYQB0AGkAbwBuACIALAAiAE0ATQBTAF8AUwB3AGkAbgBlAF8ATQBlAHQAaABhAG4AZQBfAEUAcQB1AGEAdABpAG8AbgBzAC4AVgBFAEUAUgBHAF8ANABfADUAXwAxAF8AMQBfAF8AMwBfAFMAdABhAGcAZQAxAE0AZQB0AGgAYQBuAGUAUAByAG8AZAB1AGMAdABpAG8AbgBfAEEAcgBnAHUAbQBlAG4AdABzACIALAAiAE0ATQBTAF8AUwB3AGkAbgBlAF8ATQBlAHQAaABhAG4AZQBfAEUAcQB1AGEAdABpAG8AbgBzAC4AVgBFAEUAUgBHAF8ANABfADUAXwAxAF8AMQBfAF8ANABfAEYAcgBhAGMAdABpAG8AbgBWAG8AbABhAHQAaQBsAGUAUwBvAGwAaQBkAHMAUAByAGkAbQBhAHIAeQBTAHkAcwB0AGUAbQAiACwAIgBNAE0AUwBfAFMAdwBpAG4AZQBfAE0AZQB0AGgAYQBuAGUAXwBFAHEAdQBhAHQAaQBvAG4AcwAuAFYARQBFAFIARwBfADQAXwA1AF8AMQBfADEAXwBfADQAXwBGAHIAYQBjAHQAaQBvAG4AVgBvAGwAYQB0AGkAbABlAFMAbwBsAGkAZABzAFAAcgBpAG0AYQByAHkAUwB5AHMAdABlAG0AXwBUAGkAdABsAGUAIgAsACIATQBNAFMAXwBTAHcAaQBuAGUAXwBNAGUAdABoAGEAbgBlAF8ARQBxAHUAYQB0AGkAbwBuAHMALgBWAEUARQBSAEcAXwA0AF8ANQBfADEAXwAxAF8AXwA0AF8ARgByAGEAYwB0AGkAbwBuAFYAbwBsAGEAdABpAGwAZQBTAG8AbABpAGQAcwBQAHIAaQBtAGEAcgB5AFMAeQBzAHQAZQBtAF8AVgBhAHIAaQBhAGIAbABlACIALAAiAE0ATQBTAF8AUwB3AGkAbgBlAF8ATQBlAHQAaABhAG4AZQBfAEUAcQB1AGEAdABpAG8AbgBzAC4AVgBFAEUAUgBHAF8ANABfADUAXwAxAF8AMQBfAF8ANABfAEYAcgBhAGMAdABpAG8AbgBWAG8AbABhAHQAaQBsAGUAUwBvAGwAaQBkAHMAUAByAGkAbQBhAHIAeQBTAHkAcwB0AGUAbQBfAFUAbgBpAHQAIgAsACIATQBNAFMAXwBTAHcAaQBuAGUAXwBNAGUAdABoAGEAbgBlAF8ARQBxAHUAYQB0AGkAbwBuAHMALgBWAEUARQBSAEcAXwA0AF8ANQBfADEAXwAxAF8AXwA0AF8ARgByAGEAYwB0AGkAbwBuAFYAbwBsAGEAdABpAGwAZQBTAG8AbABpAGQAcwBQAHIAaQBtAGEAcgB5AFMAeQBzAHQAZQBtAF8AUwBvAHUAcgBjAGUAIgAsACIATQBNAFMAXwBTAHcAaQBuAGUAXwBNAGUAdABoAGEAbgBlAF8ARQBxAHUAYQB0AGkAbwBuAHMALgBWAEUARQBSAEcAXwA0AF8ANQBfADEAXwAxAF8AXwA0AF8ARgByAGEAYwB0AGkAbwBuAFYAbwBsAGEAdABpAGwAZQBTAG8AbABpAGQAcwBQAHIAaQBtAGEAcgB5AFMAeQBzAHQAZQBtAF8ATgBJAFIAUgBlAGYAZQByAGUAbgBjAGUAIgAsACIATQBNAFMAXwBTAHcAaQBuAGUAXwBNAGUAdABoAGEAbgBlAF8ARQBxAHUAYQB0AGkAbwBuAHMALgBWAEUARQBSAEcAXwA0AF8ANQBfADEAXwAxAF8AXwA0AF8ARgByAGEAYwB0AGkAbwBuAFYAbwBsAGEAdABpAGwAZQBTAG8AbABpAGQAcwBQAHIAaQBtAGEAcgB5AFMAeQBzAHQAZQBtAF8ATABhAHQAZQB4AEUAcQB1AGEAdABpAG8AbgAiACwAIgBNAE0AUwBfAFMAdwBpAG4AZQBfAE0AZQB0AGgAYQBuAGUAXwBFAHEAdQBhAHQAaQBvAG4AcwAuAFYARQBFAFIARwBfADQAXwA1AF8AMQBfADEAXwBfADQAXwBGAHIAYQBjAHQAaQBvAG4AVgBvAGwAYQB0AGkAbABlAFMAbwBsAGkAZABzAFAAcgBpAG0AYQByAHkAUwB5AHMAdABlAG0AXwBBAHIAZwB1AG0AZQBuAHQAcwAiACwAIgBNAE0AUwBfAFMAdwBpAG4AZQBfAE0AZQB0AGgAYQBuAGUAXwBFAHEAdQBhAHQAaQBvAG4AcwAuAFYARQBFAFIARwBfADQAXwA1AF8AMQBfADEAXwBfADQAXwBGAHIAYQBjAHQAaQBvAG4AVgBvAGwAYQB0AGkAbABlAFMAbwBsAGkAZABzAFAAcgBpAG0AYQByAHkAUwB5AHMAdABlAG0AXwBWAGEAcgBpAGEAdABpAG8AbgAiACwAIgBNAE0AUwBfAFMAdwBpAG4AZQBfAE0AZQB0AGgAYQBuAGUAXwBFAHEAdQBhAHQAaQBvAG4AcwAuAFYARQBFAFIARwBfADQAXwA1AF8AMQBfADEAXwBfADUAXwBGAHIAYQBjAHQAaQBvAG4AVgBvAGwAYQB0AGkAbABlAFMAbwBsAGkAZABzAFMAbwBsAGkAZABTAHQAbwByAGEAZwBlACIALAAiAE0ATQBTAF8AUwB3AGkAbgBlAF8ATQBlAHQAaABhAG4AZQBfAEUAcQB1AGEAdABpAG8AbgBzAC4AVgBFAEUAUgBHAF8ANABfADUAXwAxAF8AMQBfAF8ANQBfAEYAcgBhAGMAdABpAG8AbgBWAG8AbABhAHQAaQBsAGUAUwBvAGwAaQBkAHMAUwBvAGwAaQBkAFMAdABvAHIAYQBnAGUAVgBhAHIAaQBhAHQAaQBvAG4AIgAsACIATQBNAFMAXwBTAHcAaQBuAGUAXwBNAGUAdABoAGEAbgBlAF8ARQBxAHUAYQB0AGkAbwBuAHMALgBWAEUARQBSAEcAXwA0AF8ANQBfADEAXwAxAF8AXwA1AF8ARgByAGEAYwB0AGkAbwBuAFYAbwBsAGEAdABpAGwAZQBTAG8AbABpAGQAcwBTAG8AbABpAGQAUwB0AG8AcgBhAGcAZQBfAFQAaQB0AGwAZQAiACwAIgBNAE0AUwBfAFMAdwBpAG4AZQBfAE0AZQB0AGgAYQBuAGUAXwBFAHEAdQBhAHQAaQBvAG4AcwAuAFYARQBFAFIARwBfADQAXwA1AF8AMQBfADEAXwBfADUAXwBGAHIAYQBjAHQAaQBvAG4AVgBvAGwAYQB0AGkAbABlAFMAbwBsAGkAZABzAFMAbwBsAGkAZABTAHQAbwByAGEAZwBlAF8AVgBhAHIAaQBhAGIAbABlACIALAAiAE0ATQBTAF8AUwB3AGkAbgBlAF8ATQBlAHQAaABhAG4AZQBfAEUAcQB1AGEAdABpAG8AbgBzAC4AVgBFAEUAUgBHAF8ANABfADUAXwAxAF8AMQBfAF8ANQBfAEYAcgBhAGMAdABpAG8AbgBWAG8AbABhAHQAaQBsAGUAUwBvAGwAaQBkAHMAUwBvAGwAaQBkAFMAdABvAHIAYQBnAGUAXwBVAG4AaQB0ACIALAAiAE0ATQBTAF8AUwB3AGkAbgBlAF8ATQBlAHQAaABhAG4AZQBfAEUAcQB1AGEAdABpAG8AbgBzAC4AVgBFAEUAUgBHAF8ANABfADUAXwAxAF8AMQBfAF8ANQBfAEYAcgBhAGMAdABpAG8AbgBWAG8AbABhAHQAaQBsAGUAUwBvAGwAaQBkAHMAUwBvAGwAaQBkAFMAdABvAHIAYQBnAGUAXwBTAG8AdQByAGMAZQAiACwAIgBNAE0AUwBfAFMAdwBpAG4AZQBfAE0AZQB0AGgAYQBuAGUAXwBFAHEAdQBhAHQAaQBvAG4AcwAuAFYARQBFAFIARwBfADQAXwA1AF8AMQBfADEAXwBfADUAXwBGAHIAYQBjAHQAaQBvAG4AVgBvAGwAYQB0AGkAbABlAFMAbwBsAGkAZABzAFMAbwBsAGkAZABTAHQAbwByAGEAZwBlAF8ATgBJAFIAUgBlAGYAZQByAGUAbgBjAGUAIgAsACIATQBNAFMAXwBTAHcAaQBuAGUAXwBNAGUAdABoAGEAbgBlAF8ARQBxAHUAYQB0AGkAbwBuAHMALgBWAEUARQBSAEcAXwA0AF8ANQBfADEAXwAxAF8AXwA1AF8ARgByAGEAYwB0AGkAbwBuAFYAbwBsAGEAdABpAGwAZQBTAG8AbABpAGQAcwBTAG8AbABpAGQAUwB0AG8AcgBhAGcAZQBfAEwAYQB0AGUAeABFAHEAdQBhAHQAaQBvAG4AIgAsACIATQBNAFMAXwBTAHcAaQBuAGUAXwBNAGUAdABoAGEAbgBlAF8ARQBxAHUAYQB0AGkAbwBuAHMALgBWAEUARQBSAEcAXwA0AF8ANQBfADEAXwAxAF8AXwA1AF8ARgByAGEAYwB0AGkAbwBuAFYAbwBsAGEAdABpAGwAZQBTAG8AbABpAGQAcwBTAG8AbABpAGQAUwB0AG8AcgBhAGcAZQBfAEwAYQB0AGUAeABFAHEAdQBhAHQAaQBvAG4AVgBhAHIAaQBhAHQAaQBvAG4AIgAsACIATQBNAFMAXwBTAHcAaQBuAGUAXwBNAGUAdABoAGEAbgBlAF8ARQBxAHUAYQB0AGkAbwBuAHMALgBWAEUARQBSAEcAXwA0AF8ANQBfADEAXwAxAF8AXwA1AF8ARgByAGEAYwB0AGkAbwBuAFYAbwBsAGEAdABpAGwAZQBTAG8AbABpAGQAcwBTAG8AbABpAGQAUwB0AG8AcgBhAGcAZQBfAEEAcgBnAHUAbQBlAG4AdABzACIALAAiAE0ATQBTAF8AUwB3AGkAbgBlAF8ATQBlAHQAaABhAG4AZQBfAEUAcQB1AGEAdABpAG8AbgBzAC4AVgBFAEUAUgBHAF8ANABfADUAXwAxAF8AMQBfAF8ANQBfAEYAcgBhAGMAdABpAG8AbgBWAG8AbABhAHQAaQBsAGUAUwBvAGwAaQBkAHMAUwBvAGwAaQBkAFMAdABvAHIAYQBnAGUAXwBWAGEAcgBpAGEAdABpAG8AbgAiACwAIgBNAE0AUwBfAFMAdwBpAG4AZQBfAE0AZQB0AGgAYQBuAGUAXwBFAHEAdQBhAHQAaQBvAG4AcwAuAFYARQBFAFIARwBfADQAXwA1AF8AMQBfADEAXwBfADYAXwBTAHQAYQBnAGUAMgBNAGUAdABoAGEAbgBlAFAAcgBvAGQAdQBjAHQAaQBvAG4AIgAsACIATQBNAFMAXwBTAHcAaQBuAGUAXwBNAGUAdABoAGEAbgBlAF8ARQBxAHUAYQB0AGkAbwBuAHMALgBWAEUARQBSAEcAXwA0AF8ANQBfADEAXwAxAF8AXwA2AF8AUwB0AGEAZwBlADIATQBlAHQAaABhAG4AZQBQAHIAbwBkAHUAYwB0AGkAbwBuAF8AVABpAHQAbABlACIALAAiAE0ATQBTAF8AUwB3AGkAbgBlAF8ATQBlAHQAaABhAG4AZQBfAEUAcQB1AGEAdABpAG8AbgBzAC4AVgBFAEUAUgBHAF8ANABfADUAXwAxAF8AMQBfAF8ANgBfAFMAdABhAGcAZQAyAE0AZQB0AGgAYQBuAGUAUAByAG8AZAB1AGMAdABpAG8AbgBfAFYAYQByAGkAYQBiAGwAZQAiACwAIgBNAE0AUwBfAFMAdwBpAG4AZQBfAE0AZQB0AGgAYQBuAGUAXwBFAHEAdQBhAHQAaQBvAG4AcwAuAFYARQBFAFIARwBfADQAXwA1AF8AMQBfADEAXwBfADYAXwBTAHQAYQBnAGUAMgBNAGUAdABoAGEAbgBlAFAAcgBvAGQAdQBjAHQAaQBvAG4AXwBVAG4AaQB0ACIALAAiAE0ATQBTAF8AUwB3AGkAbgBlAF8ATQBlAHQAaABhAG4AZQBfAEUAcQB1AGEAdABpAG8AbgBzAC4AVgBFAEUAUgBHAF8ANABfADUAXwAxAF8AMQBfAF8ANgBfAFMAdABhAGcAZQAyAE0AZQB0AGgAYQBuAGUAUAByAG8AZAB1AGMAdABpAG8AbgBfAFMAbwB1AHIAYwBlACIALAAiAE0ATQBTAF8AUwB3AGkAbgBlAF8ATQBlAHQAaABhAG4AZQBfAEUAcQB1AGEAdABpAG8AbgBzAC4AVgBFAEUAUgBHAF8ANABfADUAXwAxAF8AMQBfAF8ANgBfAFMAdABhAGcAZQAyAE0AZQB0AGgAYQBuAGUAUAByAG8AZAB1AGMAdABpAG8AbgBfAE4ASQBSAFIAZQBmAGUAcgBlAG4AYwBlACIALAAiAE0ATQBTAF8AUwB3AGkAbgBlAF8ATQBlAHQAaABhAG4AZQBfAEUAcQB1AGEAdABpAG8AbgBzAC4AVgBFAEUAUgBHAF8ANABfADUAXwAxAF8AMQBfAF8ANgBfAFMAdABhAGcAZQAyAE0AZQB0AGgAYQBuAGUAUAByAG8AZAB1AGMAdABpAG8AbgBfAEwAYQB0AGUAeABFAHEAdQBhAHQAaQBvAG4AIgAsACIATQBNAFMAXwBTAHcAaQBuAGUAXwBNAGUAdABoAGEAbgBlAF8ARQBxAHUAYQB0AGkAbwBuAHMALgBWAEUARQBSAEcAXwA0AF8ANQBfADEAXwAxAF8AXwA2AF8AUwB0AGEAZwBlADIATQBlAHQAaABhAG4AZQBQAHIAbwBkAHUAYwB0AGkAbwBuAF8AQQByAGcAdQBtAGUAbgB0AHMAIgAsACIATQBNAFMAXwBTAHcAaQBuAGUAXwBNAGUAdABoAGEAbgBlAF8ARQBxAHUAYQB0AGkAbwBuAHMALgBWAEUARQBSAEcAXwA0AF8ANQBfADEAXwAxAF8AXwA2AF8AUwB0AGEAZwBlADIATQBlAHQAaABhAG4AZQBQAHIAbwBkAHUAYwB0AGkAbwBuAF8AQQByAGcAdQBtAGUAbgB0AHMAXwBNAGUAdABoAG8AZAAyACIALAAiAE0ATQBTAF8AUwB3AGkAbgBlAF8ATQBlAHQAaABhAG4AZQBfAEUAcQB1AGEAdABpAG8AbgBzAC4AVgBFAEUAUgBHAF8ANABfADUAXwAxAF8AMQBfAF8ANwBfAFYAbwBsAGEAdABpAGwAZQBTAG8AbABpAGQAcwBUAHIAYQBuAHMAZgBlAHIAcgBlAGQAUwB0AGEAZwBlADIAIgAsACIATQBNAFMAXwBTAHcAaQBuAGUAXwBNAGUAdABoAGEAbgBlAF8ARQBxAHUAYQB0AGkAbwBuAHMALgBWAEUARQBSAEcAXwA0AF8ANQBfADEAXwAxAF8AXwA3AF8AVgBvAGwAYQB0AGkAbABlAFMAbwBsAGkAZABzAFQAcgBhAG4AcwBmAGUAcgByAGUAZABTAHQAYQBnAGUAMgBfAFQAaQB0AGwAZQAiACwAIgBNAE0AUwBfAFMAdwBpAG4AZQBfAE0AZQB0AGgAYQBuAGUAXwBFAHEAdQBhAHQAaQBvAG4AcwAuAFYARQBFAFIARwBfADQAXwA1AF8AMQBfADEAXwBfADcAXwBWAG8AbABhAHQAaQBsAGUAUwBvAGwAaQBkAHMAVAByAGEAbgBzAGYAZQByAHIAZQBkAFMAdABhAGcAZQAyAF8AVgBhAHIAaQBhAGIAbABlACIALAAiAE0ATQBTAF8AUwB3AGkAbgBlAF8ATQBlAHQAaABhAG4AZQBfAEUAcQB1AGEAdABpAG8AbgBzAC4AVgBFAEUAUgBHAF8ANABfADUAXwAxAF8AMQBfAF8ANwBfAFYAbwBsAGEAdABpAGwAZQBTAG8AbABpAGQAcwBUAHIAYQBuAHMAZgBlAHIAcgBlAGQAUwB0AGEAZwBlADIAXwBVAG4AaQB0ACIALAAiAE0ATQBTAF8AUwB3AGkAbgBlAF8ATQBlAHQAaABhAG4AZQBfAEUAcQB1AGEAdABpAG8AbgBzAC4AVgBFAEUAUgBHAF8ANABfADUAXwAxAF8AMQBfAF8ANwBfAFYAbwBsAGEAdABpAGwAZQBTAG8AbABpAGQAcwBUAHIAYQBuAHMAZgBlAHIAcgBlAGQAUwB0AGEAZwBlADIAXwBTAG8AdQByAGMAZQAiACwAIgBNAE0AUwBfAFMAdwBpAG4AZQBfAE0AZQB0AGgAYQBuAGUAXwBFAHEAdQBhAHQAaQBvAG4AcwAuAFYARQBFAFIARwBfADQAXwA1AF8AMQBfADEAXwBfADcAXwBWAG8AbABhAHQAaQBsAGUAUwBvAGwAaQBkAHMAVAByAGEAbgBzAGYAZQByAHIAZQBkAFMAdABhAGcAZQAyAF8ATgBJAFIAUgBlAGYAZQByAGUAbgBjAGUAIgAsACIATQBNAFMAXwBTAHcAaQBuAGUAXwBNAGUAdABoAGEAbgBlAF8ARQBxAHUAYQB0AGkAbwBuAHMALgBWAEUARQBSAEcAXwA0AF8ANQBfADEAXwAxAF8AXwA3AF8AVgBvAGwAYQB0AGkAbABlAFMAbwBsAGkAZABzAFQAcgBhAG4AcwBmAGUAcgByAGUAZABTAHQAYQBnAGUAMgBfAEwAYQB0AGUAeABFAHEAdQBhAHQAaQBvAG4AIgAsACIATQBNAFMAXwBTAHcAaQBuAGUAXwBNAGUAdABoAGEAbgBlAF8ARQBxAHUAYQB0AGkAbwBuAHMALgBWAEUARQBSAEcAXwA0AF8ANQBfADEAXwAxAF8AXwA3AF8AVgBvAGwAYQB0AGkAbABlAFMAbwBsAGkAZABzAFQAcgBhAG4AcwBmAGUAcgByAGUAZABTAHQAYQBnAGUAMgBfAEEAcgBnAHUAbQBlAG4AdABzACIALAAiAE0ATQBTAF8AUwB3AGkAbgBlAF8ATgAyAE8ARABpAHIAZQBjAHQAXwBFAHEAdQBhAHQAaQBvAG4AcwAuAFYARQBFAFIARwBfADQAXwA1AF8AMQBfADMAXwBfADEAXwBUAG8AdABhAGwAQQBuAG4AdQBhAGwARABpAHIAZQBjAHQATgBpAHQAcgBvAHUAcwBPAHgAaQBkAGUARQBtAGkAcwBzAGkAbwBuAHMARgByAG8AbQBNAE0AUwAiACwAIgBNAE0AUwBfAFMAdwBpAG4AZQBfAE4AMgBPAEQAaQByAGUAYwB0AF8ARQBxAHUAYQB0AGkAbwBuAHMALgBWAEUARQBSAEcAXwA0AF8ANQBfADEAXwAzAF8AXwAxAF8AVABvAHQAYQBsAEEAbgBuAHUAYQBsAEQAaQByAGUAYwB0AE4AaQB0AHIAbwB1AHMATwB4AGkAZABlAEUAbQBpAHMAcwBpAG8AbgBzAEYAcgBvAG0ATQBNAFMAXwBUAGkAdABsAGUAIgAsACIATQBNAFMAXwBTAHcAaQBuAGUAXwBOADIATwBEAGkAcgBlAGMAdABfAEUAcQB1AGEAdABpAG8AbgBzAC4AVgBFAEUAUgBHAF8ANABfADUAXwAxAF8AMwBfAF8AMQBfAFQAbwB0AGEAbABBAG4AbgB1AGEAbABEAGkAcgBlAGMAdABOAGkAdAByAG8AdQBzAE8AeABpAGQAZQBFAG0AaQBzAHMAaQBvAG4AcwBGAHIAbwBtAE0ATQBTAF8AVgBhAHIAaQBhAGIAbABlACIALAAiAE0ATQBTAF8AUwB3AGkAbgBlAF8ATgAyAE8ARABpAHIAZQBjAHQAXwBFAHEAdQBhAHQAaQBvAG4AcwAuAFYARQBFAFIARwBfADQAXwA1AF8AMQBfADMAXwBfADEAXwBUAG8AdABhAGwAQQBuAG4AdQBhAGwARABpAHIAZQBjAHQATgBpAHQAcgBvAHUAcwBPAHgAaQBkAGUARQBtAGkAcwBzAGkAbwBuAHMARgByAG8AbQBNAE0AUwBfAFUAbgBpAHQAIgAsACIATQBNAFMAXwBTAHcAaQBuAGUAXwBOADIATwBEAGkAcgBlAGMAdABfAEUAcQB1AGEAdABpAG8AbgBzAC4AVgBFAEUAUgBHAF8ANABfADUAXwAxAF8AMwBfAF8AMQBfAFQAbwB0AGEAbABBAG4AbgB1AGEAbABEAGkAcgBlAGMAdABOAGkAdAByAG8AdQBzAE8AeABpAGQAZQBFAG0AaQBzAHMAaQBvAG4AcwBGAHIAbwBtAE0ATQBTAF8AUwBvAHUAcgBjAGUAIgAsACIATQBNAFMAXwBTAHcAaQBuAGUAXwBOADIATwBEAGkAcgBlAGMAdABfAEUAcQB1AGEAdABpAG8AbgBzAC4AVgBFAEUAUgBHAF8ANABfADUAXwAxAF8AMwBfAF8AMQBfAFQAbwB0AGEAbABBAG4AbgB1AGEAbABEAGkAcgBlAGMAdABOAGkAdAByAG8AdQBzAE8AeABpAGQAZQBFAG0AaQBzAHMAaQBvAG4AcwBGAHIAbwBtAE0ATQBTAF8ATgBJAFIAUgBlAGYAZQByAGUAbgBjAGUAIgAsACIATQBNAFMAXwBTAHcAaQBuAGUAXwBOADIATwBEAGkAcgBlAGMAdABfAEUAcQB1AGEAdABpAG8AbgBzAC4AVgBFAEUAUgBHAF8ANABfADUAXwAxAF8AMwBfAF8AMQBfAFQAbwB0AGEAbABBAG4AbgB1AGEAbABEAGkAcgBlAGMAdABOAGkAdAByAG8AdQBzAE8AeABpAGQAZQBFAG0AaQBzAHMAaQBvAG4AcwBGAHIAbwBtAE0ATQBTAF8ATABhAHQAZQB4AEUAcQB1AGEAdABpAG8AbgAiACwAIgBNAE0AUwBfAFMAdwBpAG4AZQBfAE4AMgBPAEQAaQByAGUAYwB0AF8ARQBxAHUAYQB0AGkAbwBuAHMALgBWAEUARQBSAEcAXwA0AF8ANQBfADEAXwAzAF8AXwAxAF8AVABvAHQAYQBsAEEAbgBuAHUAYQBsAEQAaQByAGUAYwB0AE4AaQB0AHIAbwB1AHMATwB4AGkAZABlAEUAbQBpAHMAcwBpAG8AbgBzAEYAcgBvAG0ATQBNAFMAXwBBAHIAZwB1AG0AZQBuAHQAcwAiACwAIgBNAE0AUwBfAFMAdwBpAG4AZQBfAE4AMgBPAEQAaQByAGUAYwB0AF8ARQBxAHUAYQB0AGkAbwBuAHMALgBWAEUARQBSAEcAXwA0AF8ANQBfADEAXwAzAF8AXwAyAF8AUwB0AGEAZwBlADEATgBpAHQAcgBvAGcAZQBuAEkAbgBNAE0AUwAiACwAIgBNAE0AUwBfAFMAdwBpAG4AZQBfAE4AMgBPAEQAaQByAGUAYwB0AF8ARQBxAHUAYQB0AGkAbwBuAHMALgBWAEUARQBSAEcAXwA0AF8ANQBfADEAXwAzAF8AXwAyAF8AUwB0AGEAZwBlADEATgBpAHQAcgBvAGcAZQBuAEkAbgBNAE0AUwBfAFQAaQB0AGwAZQAiACwAIgBNAE0AUwBfAFMAdwBpAG4AZQBfAE4AMgBPAEQAaQByAGUAYwB0AF8ARQBxAHUAYQB0AGkAbwBuAHMALgBWAEUARQBSAEcAXwA0AF8ANQBfADEAXwAzAF8AXwAyAF8AUwB0AGEAZwBlADEATgBpAHQAcgBvAGcAZQBuAEkAbgBNAE0AUwBfAFYAYQByAGkAYQBiAGwAZQAiACwAIgBNAE0AUwBfAFMAdwBpAG4AZQBfAE4AMgBPAEQAaQByAGUAYwB0AF8ARQBxAHUAYQB0AGkAbwBuAHMALgBWAEUARQBSAEcAXwA0AF8ANQBfADEAXwAzAF8AXwAyAF8AUwB0AGEAZwBlADEATgBpAHQAcgBvAGcAZQBuAEkAbgBNAE0AUwBfAFUAbgBpAHQAIgAsACIATQBNAFMAXwBTAHcAaQBuAGUAXwBOADIATwBEAGkAcgBlAGMAdABfAEUAcQB1AGEAdABpAG8AbgBzAC4AVgBFAEUAUgBHAF8ANABfADUAXwAxAF8AMwBfAF8AMgBfAFMAdABhAGcAZQAxAE4AaQB0AHIAbwBnAGUAbgBJAG4ATQBNAFMAXwBTAG8AdQByAGMAZQAiACwAIgBNAE0AUwBfAFMAdwBpAG4AZQBfAE4AMgBPAEQAaQByAGUAYwB0AF8ARQBxAHUAYQB0AGkAbwBuAHMALgBWAEUARQBSAEcAXwA0AF8ANQBfADEAXwAzAF8AXwAyAF8AUwB0AGEAZwBlADEATgBpAHQAcgBvAGcAZQBuAEkAbgBNAE0AUwBfAE4ASQBSAFIAZQBmAGUAcgBlAG4AYwBlACIALAAiAE0ATQBTAF8AUwB3AGkAbgBlAF8ATgAyAE8ARABpAHIAZQBjAHQAXwBFAHEAdQBhAHQAaQBvAG4AcwAuAFYARQBFAFIARwBfADQAXwA1AF8AMQBfADMAXwBfADIAXwBTAHQAYQBnAGUAMQBOAGkAdAByAG8AZwBlAG4ASQBuAE0ATQBTAF8ATABhAHQAZQB4AEUAcQB1AGEAdABpAG8AbgAiACwAIgBNAE0AUwBfAFMAdwBpAG4AZQBfAE4AMgBPAEQAaQByAGUAYwB0AF8ARQBxAHUAYQB0AGkAbwBuAHMALgBWAEUARQBSAEcAXwA0AF8ANQBfADEAXwAzAF8AXwAyAF8AUwB0AGEAZwBlADEATgBpAHQAcgBvAGcAZQBuAEkAbgBNAE0AUwBfAEEAcgBnAHUAbQBlAG4AdABzACIALAAiAE0ATQBTAF8AUwB3AGkAbgBlAF8ATgAyAE8ARABpAHIAZQBjAHQAXwBFAHEAdQBhAHQAaQBvAG4AcwAuAFYARQBFAFIARwBfADQAXwA1AF8AMQBfADMAXwBfADMAXwBGAHIAYQBjAHQAaQBvAG4ATwBmAE4AaQB0AHIAbwBnAGUAbgBJAG4AUAByAGkAbQBhAHIAeQBNAE0AUwAiACwAIgBNAE0AUwBfAFMAdwBpAG4AZQBfAE4AMgBPAEQAaQByAGUAYwB0AF8ARQBxAHUAYQB0AGkAbwBuAHMALgBWAEUARQBSAEcAXwA0AF8ANQBfADEAXwAzAF8AXwAzAF8ARgByAGEAYwB0AGkAbwBuAE8AZgBOAGkAdAByAG8AZwBlAG4ASQBuAFAAcgBpAG0AYQByAHkATQBNAFMAXwBUAGkAdABsAGUAIgAsACIATQBNAFMAXwBTAHcAaQBuAGUAXwBOADIATwBEAGkAcgBlAGMAdABfAEUAcQB1AGEAdABpAG8AbgBzAC4AVgBFAEUAUgBHAF8ANABfADUAXwAxAF8AMwBfAF8AMwBfAEYAcgBhAGMAdABpAG8AbgBPAGYATgBpAHQAcgBvAGcAZQBuAEkAbgBQAHIAaQBtAGEAcgB5AE0ATQBTAF8AVgBhAHIAaQBhAGIAbABlACIALAAiAE0ATQBTAF8AUwB3AGkAbgBlAF8ATgAyAE8ARABpAHIAZQBjAHQAXwBFAHEAdQBhAHQAaQBvAG4AcwAuAFYARQBFAFIARwBfADQAXwA1AF8AMQBfADMAXwBfADMAXwBGAHIAYQBjAHQAaQBvAG4ATwBmAE4AaQB0AHIAbwBnAGUAbgBJAG4AUAByAGkAbQBhAHIAeQBNAE0AUwBfAFUAbgBpAHQAIgAsACIATQBNAFMAXwBTAHcAaQBuAGUAXwBOADIATwBEAGkAcgBlAGMAdABfAEUAcQB1AGEAdABpAG8AbgBzAC4AVgBFAEUAUgBHAF8ANABfADUAXwAxAF8AMwBfAF8AMwBfAEYAcgBhAGMAdABpAG8AbgBPAGYATgBpAHQAcgBvAGcAZQBuAEkAbgBQAHIAaQBtAGEAcgB5AE0ATQBTAF8AUwBvAHUAcgBjAGUAIgAsACIATQBNAFMAXwBTAHcAaQBuAGUAXwBOADIATwBEAGkAcgBlAGMAdABfAEUAcQB1AGEAdABpAG8AbgBzAC4AVgBFAEUAUgBHAF8ANABfADUAXwAxAF8AMwBfAF8AMwBfAEYAcgBhAGMAdABpAG8AbgBPAGYATgBpAHQAcgBvAGcAZQBuAEkAbgBQAHIAaQBtAGEAcgB5AE0ATQBTAF8ATgBJAFIAUgBlAGYAZQByAGUAbgBjAGUAIgAsACIATQBNAFMAXwBTAHcAaQBuAGUAXwBOADIATwBEAGkAcgBlAGMAdABfAEUAcQB1AGEAdABpAG8AbgBzAC4AVgBFAEUAUgBHAF8ANABfADUAXwAxAF8AMwBfAF8AMwBfAEYAcgBhAGMAdABpAG8AbgBPAGYATgBpAHQAcgBvAGcAZQBuAEkAbgBQAHIAaQBtAGEAcgB5AE0ATQBTAF8ATABhAHQAZQB4AEUAcQB1AGEAdABpAG8AbgAiACwAIgBNAE0AUwBfAFMAdwBpAG4AZQBfAE4AMgBPAEQAaQByAGUAYwB0AF8ARQBxAHUAYQB0AGkAbwBuAHMALgBWAEUARQBSAEcAXwA0AF8ANQBfADEAXwAzAF8AXwAzAF8ARgByAGEAYwB0AGkAbwBuAE8AZgBOAGkAdAByAG8AZwBlAG4ASQBuAFAAcgBpAG0AYQByAHkATQBNAFMAXwBBAHIAZwB1AG0AZQBuAHQAcwAiACwAIgBNAE0AUwBfAFMAdwBpAG4AZQBfAE4AMgBPAEQAaQByAGUAYwB0AF8ARQBxAHUAYQB0AGkAbwBuAHMALgBWAEUARQBSAEcAXwA0AF8ANQBfADEAXwAzAF8AXwA0AF8ARgByAGEAYwB0AGkAbwBuAE8AZgBOAGkAdAByAG8AZwBlAG4ASQBuAFMAbwBsAGkAZABTAHQAbwByAGEAZwBlACIALAAiAE0ATQBTAF8AUwB3AGkAbgBlAF8ATgAyAE8ARABpAHIAZQBjAHQAXwBFAHEAdQBhAHQAaQBvAG4AcwAuAFYARQBFAFIARwBfADQAXwA1AF8AMQBfADMAXwBfADQAXwBGAHIAYQBjAHQAaQBvAG4ATwBmAE4AaQB0AHIAbwBnAGUAbgBJAG4AUwBvAGwAaQBkAFMAdABvAHIAYQBnAGUAVgBhAHIAaQBhAHQAaQBvAG4AIgAsACIATQBNAFMAXwBTAHcAaQBuAGUAXwBOADIATwBEAGkAcgBlAGMAdABfAEUAcQB1AGEAdABpAG8AbgBzAC4AVgBFAEUAUgBHAF8ANABfADUAXwAxAF8AMwBfAF8ANABfAEYAcgBhAGMAdABpAG8AbgBPAGYATgBpAHQAcgBvAGcAZQBuAEkAbgBTAG8AbABpAGQAUwB0AG8AcgBhAGcAZQBfAFQAaQB0AGwAZQAiACwAIgBNAE0AUwBfAFMAdwBpAG4AZQBfAE4AMgBPAEQAaQByAGUAYwB0AF8ARQBxAHUAYQB0AGkAbwBuAHMALgBWAEUARQBSAEcAXwA0AF8ANQBfADEAXwAzAF8AXwA0AF8ARgByAGEAYwB0AGkAbwBuAE8AZgBOAGkAdAByAG8AZwBlAG4ASQBuAFMAbwBsAGkAZABTAHQAbwByAGEAZwBlAF8AVgBhAHIAaQBhAGIAbABlACIALAAiAE0ATQBTAF8AUwB3AGkAbgBlAF8ATgAyAE8ARABpAHIAZQBjAHQAXwBFAHEAdQBhAHQAaQBvAG4AcwAuAFYARQBFAFIARwBfADQAXwA1AF8AMQBfADMAXwBfADQAXwBGAHIAYQBjAHQAaQBvAG4ATwBmAE4AaQB0AHIAbwBnAGUAbgBJAG4AUwBvAGwAaQBkAFMAdABvAHIAYQBnAGUAXwBVAG4AaQB0ACIALAAiAE0ATQBTAF8AUwB3AGkAbgBlAF8ATgAyAE8ARABpAHIAZQBjAHQAXwBFAHEAdQBhAHQAaQBvAG4AcwAuAFYARQBFAFIARwBfADQAXwA1AF8AMQBfADMAXwBfADQAXwBGAHIAYQBjAHQAaQBvAG4ATwBmAE4AaQB0AHIAbwBnAGUAbgBJAG4AUwBvAGwAaQBkAFMAdABvAHIAYQBnAGUAXwBTAG8AdQByAGMAZQAiACwAIgBNAE0AUwBfAFMAdwBpAG4AZQBfAE4AMgBPAEQAaQByAGUAYwB0AF8ARQBxAHUAYQB0AGkAbwBuAHMALgBWAEUARQBSAEcAXwA0AF8ANQBfADEAXwAzAF8AXwA0AF8ARgByAGEAYwB0AGkAbwBuAE8AZgBOAGkAdAByAG8AZwBlAG4ASQBuAFMAbwBsAGkAZABTAHQAbwByAGEAZwBlAF8ATgBJAFIAUgBlAGYAZQByAGUAbgBjAGUAIgAsACIATQBNAFMAXwBTAHcAaQBuAGUAXwBOADIATwBEAGkAcgBlAGMAdABfAEUAcQB1AGEAdABpAG8AbgBzAC4AVgBFAEUAUgBHAF8ANABfADUAXwAxAF8AMwBfAF8ANABfAEYAcgBhAGMAdABpAG8AbgBPAGYATgBpAHQAcgBvAGcAZQBuAEkAbgBTAG8AbABpAGQAUwB0AG8AcgBhAGcAZQBfAEwAYQB0AGUAeABFAHEAdQBhAHQAaQBvAG4AIgAsACIATQBNAFMAXwBTAHcAaQBuAGUAXwBOADIATwBEAGkAcgBlAGMAdABfAEUAcQB1AGEAdABpAG8AbgBzAC4AVgBFAEUAUgBHAF8ANABfADUAXwAxAF8AMwBfAF8ANABfAEYAcgBhAGMAdABpAG8AbgBPAGYATgBpAHQAcgBvAGcAZQBuAEkAbgBTAG8AbABpAGQAUwB0AG8AcgBhAGcAZQBfAEwAYQB0AGUAeABFAHEAdQBhAHQAaQBvAG4AVgBhAHIAaQBhAHQAaQBvAG4AIgAsACIATQBNAFMAXwBTAHcAaQBuAGUAXwBOADIATwBEAGkAcgBlAGMAdABfAEUAcQB1AGEAdABpAG8AbgBzAC4AVgBFAEUAUgBHAF8ANABfADUAXwAxAF8AMwBfAF8ANABfAEYAcgBhAGMAdABpAG8AbgBPAGYATgBpAHQAcgBvAGcAZQBuAEkAbgBTAG8AbABpAGQAUwB0AG8AcgBhAGcAZQBfAEEAcgBnAHUAbQBlAG4AdABzACIALAAiAE0ATQBTAF8AUwB3AGkAbgBlAF8ATgAyAE8ARABpAHIAZQBjAHQAXwBFAHEAdQBhAHQAaQBvAG4AcwAuAFYARQBFAFIARwBfADQAXwA1AF8AMQBfADMAXwBfADQAXwBGAHIAYQBjAHQAaQBvAG4ATwBmAE4AaQB0AHIAbwBnAGUAbgBJAG4AUwBvAGwAaQBkAFMAdABvAHIAYQBnAGUAXwBWAGEAcgBpAGEAdABpAG8AbgAiACwAIgBNAE0AUwBfAFMAdwBpAG4AZQBfAE4AMgBPAEQAaQByAGUAYwB0AF8ARQBxAHUAYQB0AGkAbwBuAHMALgBWAEUARQBSAEcAXwA0AF8ANQBfADEAXwAzAF8AXwA1AF8AQQBuAG4AdQBhAGwATgBpAHQAcgBvAGcAZQBuAEUAeABjAHIAZQB0AGkAbwBuACIALAAiAE0ATQBTAF8AUwB3AGkAbgBlAF8ATgAyAE8ARABpAHIAZQBjAHQAXwBFAHEAdQBhAHQAaQBvAG4AcwAuAFYARQBFAFIARwBfADQAXwA1AF8AMQBfADMAXwBfADUAXwBBAG4AbgB1AGEAbABOAGkAdAByAG8AZwBlAG4ARQB4AGMAcgBlAHQAaQBvAG4AXwBUAGkAdABsAGUAIgAsACIATQBNAFMAXwBTAHcAaQBuAGUAXwBOADIATwBEAGkAcgBlAGMAdABfAEUAcQB1AGEAdABpAG8AbgBzAC4AVgBFAEUAUgBHAF8ANABfADUAXwAxAF8AMwBfAF8ANQBfAEEAbgBuAHUAYQBsAE4AaQB0AHIAbwBnAGUAbgBFAHgAYwByAGUAdABpAG8AbgBfAFYAYQByAGkAYQBiAGwAZQAiACwAIgBNAE0AUwBfAFMAdwBpAG4AZQBfAE4AMgBPAEQAaQByAGUAYwB0AF8ARQBxAHUAYQB0AGkAbwBuAHMALgBWAEUARQBSAEcAXwA0AF8ANQBfADEAXwAzAF8AXwA1AF8AQQBuAG4AdQBhAGwATgBpAHQAcgBvAGcAZQBuAEUAeABjAHIAZQB0AGkAbwBuAF8AVQBuAGkAdAAiACwAIgBNAE0AUwBfAFMAdwBpAG4AZQBfAE4AMgBPAEQAaQByAGUAYwB0AF8ARQBxAHUAYQB0AGkAbwBuAHMALgBWAEUARQBSAEcAXwA0AF8ANQBfADEAXwAzAF8AXwA1AF8AQQBuAG4AdQBhAGwATgBpAHQAcgBvAGcAZQBuAEUAeABjAHIAZQB0AGkAbwBuAF8AUwBvAHUAcgBjAGUAIgAsACIATQBNAFMAXwBTAHcAaQBuAGUAXwBOADIATwBEAGkAcgBlAGMAdABfAEUAcQB1AGEAdABpAG8AbgBzAC4AVgBFAEUAUgBHAF8ANABfADUAXwAxAF8AMwBfAF8ANQBfAEEAbgBuAHUAYQBsAE4AaQB0AHIAbwBnAGUAbgBFAHgAYwByAGUAdABpAG8AbgBfAE4ASQBSAFIAZQBmAGUAcgBlAG4AYwBlACIALAAiAE0ATQBTAF8AUwB3AGkAbgBlAF8ATgAyAE8ARABpAHIAZQBjAHQAXwBFAHEAdQBhAHQAaQBvAG4AcwAuAFYARQBFAFIARwBfADQAXwA1AF8AMQBfADMAXwBfADUAXwBBAG4AbgB1AGEAbABOAGkAdAByAG8AZwBlAG4ARQB4AGMAcgBlAHQAaQBvAG4AXwBMAGEAdABlAHgARQBxAHUAYQB0AGkAbwBuACIALAAiAE0ATQBTAF8AUwB3AGkAbgBlAF8ATgAyAE8ARABpAHIAZQBjAHQAXwBFAHEAdQBhAHQAaQBvAG4AcwAuAFYARQBFAFIARwBfADQAXwA1AF8AMQBfADMAXwBfADUAXwBBAG4AbgB1AGEAbABOAGkAdAByAG8AZwBlAG4ARQB4AGMAcgBlAHQAaQBvAG4AXwBBAHIAZwB1AG0AZQBuAHQAcwAiACwAIgBNAE0AUwBfAFMAdwBpAG4AZQBfAE4AMgBPAEQAaQByAGUAYwB0AF8ARQBxAHUAYQB0AGkAbwBuAHMALgBWAEUARQBSAEcAXwA0AF8ANQBfADEAXwAzAF8AXwA2AF8AUwB0AGEAZwBlADIATgBpAHQAcgBvAGcAZQBuAEkAbgBNAE0AUwAiACwAIgBNAE0AUwBfAFMAdwBpAG4AZQBfAE4AMgBPAEQAaQByAGUAYwB0AF8ARQBxAHUAYQB0AGkAbwBuAHMALgBWAEUARQBSAEcAXwA0AF8ANQBfADEAXwAzAF8AXwA2AF8AUwB0AGEAZwBlADIATgBpAHQAcgBvAGcAZQBuAEkAbgBNAE0AUwBfAFQAaQB0AGwAZQAiACwAIgBNAE0AUwBfAFMAdwBpAG4AZQBfAE4AMgBPAEQAaQByAGUAYwB0AF8ARQBxAHUAYQB0AGkAbwBuAHMALgBWAEUARQBSAEcAXwA0AF8ANQBfADEAXwAzAF8AXwA2AF8AUwB0AGEAZwBlADIATgBpAHQAcgBvAGcAZQBuAEkAbgBNAE0AUwBfAFYAYQByAGkAYQBiAGwAZQAiACwAIgBNAE0AUwBfAFMAdwBpAG4AZQBfAE4AMgBPAEQAaQByAGUAYwB0AF8ARQBxAHUAYQB0AGkAbwBuAHMALgBWAEUARQBSAEcAXwA0AF8ANQBfADEAXwAzAF8AXwA2AF8AUwB0AGEAZwBlADIATgBpAHQAcgBvAGcAZQBuAEkAbgBNAE0AUwBfAFUAbgBpAHQAIgAsACIATQBNAFMAXwBTAHcAaQBuAGUAXwBOADIATwBEAGkAcgBlAGMAdABfAEUAcQB1AGEAdABpAG8AbgBzAC4AVgBFAEUAUgBHAF8ANABfADUAXwAxAF8AMwBfAF8ANgBfAFMAdABhAGcAZQAyAE4AaQB0AHIAbwBnAGUAbgBJAG4ATQBNAFMAXwBTAG8AdQByAGMAZQAiACwAIgBNAE0AUwBfAFMAdwBpAG4AZQBfAE4AMgBPAEQAaQByAGUAYwB0AF8ARQBxAHUAYQB0AGkAbwBuAHMALgBWAEUARQBSAEcAXwA0AF8ANQBfADEAXwAzAF8AXwA2AF8AUwB0AGEAZwBlADIATgBpAHQAcgBvAGcAZQBuAEkAbgBNAE0AUwBfAE4ASQBSAFIAZQBmAGUAcgBlAG4AYwBlACIALAAiAE0ATQBTAF8AUwB3AGkAbgBlAF8ATgAyAE8ARABpAHIAZQBjAHQAXwBFAHEAdQBhAHQAaQBvAG4AcwAuAFYARQBFAFIARwBfADQAXwA1AF8AMQBfADMAXwBfADYAXwBTAHQAYQBnAGUAMgBOAGkAdAByAG8AZwBlAG4ASQBuAE0ATQBTAF8ATABhAHQAZQB4AEUAcQB1AGEAdABpAG8AbgAiACwAIgBNAE0AUwBfAFMAdwBpAG4AZQBfAE4AMgBPAEQAaQByAGUAYwB0AF8ARQBxAHUAYQB0AGkAbwBuAHMALgBWAEUARQBSAEcAXwA0AF8ANQBfADEAXwAzAF8AXwA2AF8AUwB0AGEAZwBlADIATgBpAHQAcgBvAGcAZQBuAEkAbgBNAE0AUwBfAEEAcgBnAHUAbQBlAG4AdABzACIALAAiAE0ATQBTAF8AUwB3AGkAbgBlAF8ATgAyAE8ARABpAHIAZQBjAHQAXwBFAHEAdQBhAHQAaQBvAG4AcwAuAFYARQBFAFIARwBfADQAXwA1AF8AMQBfADMAXwBfADcAXwBOAGkAdAByAG8AZwBlAG4AVAByAGEAbgBzAGYAZQByAHIAZQBkAFQAbwBTAHQAYQBnAGUAMgBNAE0AUwAiACwAIgBNAE0AUwBfAFMAdwBpAG4AZQBfAE4AMgBPAEQAaQByAGUAYwB0AF8ARQBxAHUAYQB0AGkAbwBuAHMALgBWAEUARQBSAEcAXwA0AF8ANQBfADEAXwAzAF8AXwA3AF8ATgBpAHQAcgBvAGcAZQBuAFQAcgBhAG4AcwBmAGUAcgByAGUAZABUAG8AUwB0AGEAZwBlADIATQBNAFMAXwBUAGkAdABsAGUAIgAsACIATQBNAFMAXwBTAHcAaQBuAGUAXwBOADIATwBEAGkAcgBlAGMAdABfAEUAcQB1AGEAdABpAG8AbgBzAC4AVgBFAEUAUgBHAF8ANABfADUAXwAxAF8AMwBfAF8ANwBfAE4AaQB0AHIAbwBnAGUAbgBUAHIAYQBuAHMAZgBlAHIAcgBlAGQAVABvAFMAdABhAGcAZQAyAE0ATQBTAF8AVgBhAHIAaQBhAGIAbABlACIALAAiAE0ATQBTAF8AUwB3AGkAbgBlAF8ATgAyAE8ARABpAHIAZQBjAHQAXwBFAHEAdQBhAHQAaQBvAG4AcwAuAFYARQBFAFIARwBfADQAXwA1AF8AMQBfADMAXwBfADcAXwBOAGkAdAByAG8AZwBlAG4AVAByAGEAbgBzAGYAZQByAHIAZQBkAFQAbwBTAHQAYQBnAGUAMgBNAE0AUwBfAFUAbgBpAHQAIgAsACIATQBNAFMAXwBTAHcAaQBuAGUAXwBOADIATwBEAGkAcgBlAGMAdABfAEUAcQB1AGEAdABpAG8AbgBzAC4AVgBFAEUAUgBHAF8ANABfADUAXwAxAF8AMwBfAF8ANwBfAE4AaQB0AHIAbwBnAGUAbgBUAHIAYQBuAHMAZgBlAHIAcgBlAGQAVABvAFMAdABhAGcAZQAyAE0ATQBTAF8AUwBvAHUAcgBjAGUAIgAsACIATQBNAFMAXwBTAHcAaQBuAGUAXwBOADIATwBEAGkAcgBlAGMAdABfAEUAcQB1AGEAdABpAG8AbgBzAC4AVgBFAEUAUgBHAF8ANABfADUAXwAxAF8AMwBfAF8ANwBfAE4AaQB0AHIAbwBnAGUAbgBUAHIAYQBuAHMAZgBlAHIAcgBlAGQAVABvAFMAdABhAGcAZQAyAE0ATQBTAF8ATgBJAFIAUgBlAGYAZQByAGUAbgBjAGUAIgAsACIATQBNAFMAXwBTAHcAaQBuAGUAXwBOADIATwBEAGkAcgBlAGMAdABfAEUAcQB1AGEAdABpAG8AbgBzAC4AVgBFAEUAUgBHAF8ANABfADUAXwAxAF8AMwBfAF8ANwBfAE4AaQB0AHIAbwBnAGUAbgBUAHIAYQBuAHMAZgBlAHIAcgBlAGQAVABvAFMAdABhAGcAZQAyAE0ATQBTAF8ATABhAHQAZQB4AEUAcQB1AGEAdABpAG8AbgAiACwAIgBNAE0AUwBfAFMAdwBpAG4AZQBfAE4AMgBPAEQAaQByAGUAYwB0AF8ARQBxAHUAYQB0AGkAbwBuAHMALgBWAEUARQBSAEcAXwA0AF8ANQBfADEAXwAzAF8AXwA3AF8ATgBpAHQAcgBvAGcAZQBuAFQAcgBhAG4AcwBmAGUAcgByAGUAZABUAG8AUwB0AGEAZwBlADIATQBNAFMAXwBBAHIAZwB1AG0AZQBuAHQAc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QAaQB0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YAYQByAGkAYQBi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UAbgBpAHQ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TAG8AdQBy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4ASQBSAFIAZQBmAGUAcgBlAG4AYw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TABhAHQAZQB4AEUAcQB1AGEAdABpAG8Abg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EAcgBnAHUAbQBlAG4AdABzACIALAAiAE0ATQBTAF8AUwB3AGkAbgBlAF8AQQB0AG0AbwBzAHAAaABlAHIAaQBjAEQAZQBwAG8AcwBpAHQAaQBvAG4AXwBFAHEAdQBhAHQAaQBvAG4AcwAuAFYARQBFAFIARwBfADQAXwA1AF8AMQBfADUAXwBfADIAXwBUAG8AdABhAGwATgBpAHQAcgBvAGcAZQBuAFYAbwBsAGEAdABpAGwAaQBzAGUAZABGAHIAbwBtAE0ATQBTACIALAAiAE0ATQBTAF8AUwB3AGkAbgBlAF8AQQB0AG0AbwBzAHAAaABlAHIAaQBjAEQAZQBwAG8AcwBpAHQAaQBvAG4AXwBFAHEAdQBhAHQAaQBvAG4AcwAuAFYARQBFAFIARwBfADQAXwA1AF8AMQBfADUAXwBfADIAXwBUAG8AdABhAGwATgBpAHQAcgBvAGcAZQBuAFYAbwBsAGEAdABpAGwAaQBzAGUAZABGAHIAbwBtAE0ATQBTAF8AVABpAHQAbABlACIALAAiAE0ATQBTAF8AUwB3AGkAbgBlAF8AQQB0AG0AbwBzAHAAaABlAHIAaQBjAEQAZQBwAG8AcwBpAHQAaQBvAG4AXwBFAHEAdQBhAHQAaQBvAG4AcwAuAFYARQBFAFIARwBfADQAXwA1AF8AMQBfADUAXwBfADIAXwBUAG8AdABhAGwATgBpAHQAcgBvAGcAZQBuAFYAbwBsAGEAdABpAGwAaQBzAGUAZABGAHIAbwBtAE0ATQBTAF8AVgBhAHIAaQBhAGIAbABlACIALAAiAE0ATQBTAF8AUwB3AGkAbgBlAF8AQQB0AG0AbwBzAHAAaABlAHIAaQBjAEQAZQBwAG8AcwBpAHQAaQBvAG4AXwBFAHEAdQBhAHQAaQBvAG4AcwAuAFYARQBFAFIARwBfADQAXwA1AF8AMQBfADUAXwBfADIAXwBUAG8AdABhAGwATgBpAHQAcgBvAGcAZQBuAFYAbwBsAGEAdABpAGwAaQBzAGUAZABGAHIAbwBtAE0ATQBTAF8AVQBuAGkAdAAiACwAIgBNAE0AUwBfAFMAdwBpAG4AZQBfAEEAdABtAG8AcwBwAGgAZQByAGkAYwBEAGUAcABvAHMAaQB0AGkAbwBuAF8ARQBxAHUAYQB0AGkAbwBuAHMALgBWAEUARQBSAEcAXwA0AF8ANQBfADEAXwA1AF8AXwAyAF8AVABvAHQAYQBsAE4AaQB0AHIAbwBnAGUAbgBWAG8AbABhAHQAaQBsAGkAcwBlAGQARgByAG8AbQBNAE0AUwBfAFMAbwB1AHIAYwBlACIALAAiAE0ATQBTAF8AUwB3AGkAbgBlAF8AQQB0AG0AbwBzAHAAaABlAHIAaQBjAEQAZQBwAG8AcwBpAHQAaQBvAG4AXwBFAHEAdQBhAHQAaQBvAG4AcwAuAFYARQBFAFIARwBfADQAXwA1AF8AMQBfADUAXwBfADIAXwBUAG8AdABhAGwATgBpAHQAcgBvAGcAZQBuAFYAbwBsAGEAdABpAGwAaQBzAGUAZABGAHIAbwBtAE0ATQBTAF8ATgBJAFIAUgBlAGYAZQByAGUAbgBjAGUAIgAsACIATQBNAFMAXwBTAHcAaQBuAGUAXwBBAHQAbQBvAHMAcABoAGUAcgBpAGMARABlAHAAbwBzAGkAdABpAG8AbgBfAEUAcQB1AGEAdABpAG8AbgBzAC4AVgBFAEUAUgBHAF8ANABfADUAXwAxAF8ANQBfAF8AMgBfAFQAbwB0AGEAbABOAGkAdAByAG8AZwBlAG4AVgBvAGwAYQB0AGkAbABpAHMAZQBkAEYAcgBvAG0ATQBNAFMAXwBMAGEAdABlAHgARQBxAHUAYQB0AGkAbwBuACIALAAiAE0ATQBTAF8AUwB3AGkAbgBlAF8AQQB0AG0AbwBzAHAAaABlAHIAaQBjAEQAZQBwAG8AcwBpAHQAaQBvAG4AXwBFAHEAdQBhAHQAaQBvAG4AcwAuAFYARQBFAFIARwBfADQAXwA1AF8AMQBfADUAXwBfADIAXwBUAG8AdABhAGwATgBpAHQAcgBvAGcAZQBuAFYAbwBsAGEAdABpAGwAaQBzAGUAZABGAHIAbwBtAE0ATQBTAF8AQQByAGcAdQBtAGUAbgB0AHMAIgAsACIATQBNAFMAXwBTAHcAaQBuAGUAXwBMAGUAYQBjAGgAaQBuAGcAQQBuAGQAUgB1AG4AbwBmAGYAXwBFAHEAdQBhAHQAaQBvAG4AcwAuAFYARQBFAFIARwBfADQAXwA1AF8AMQBfADcAXwBfADEAXwBBAG4AbgB1AGEAbABFAG0AaQBzAHMAaQBvAG4AcwBGAHIAbwBtAEwAZQBhAGMAaABpAG4AZwBBAG4AZABSAHUAbgBvAGYAZgBGAHIAbwBtAE0ATQBTACIALAAiAE0ATQBTAF8AUwB3AGkAbgBlAF8ATABlAGEAYwBoAGkAbgBnAEEAbgBkAFIAdQBuAG8AZgBmAF8ARQBxAHUAYQB0AGkAbwBuAHMALgBWAEUARQBSAEcAXwA0AF8ANQBfADEAXwA3AF8AXwAxAF8AQQBuAG4AdQBhAGwARQBtAGkAcwBzAGkAbwBuAHMARgByAG8AbQBMAGUAYQBjAGgAaQBuAGcAQQBuAGQAUgB1AG4AbwBmAGYARgByAG8AbQBNAE0AUwBfAFQAaQB0AGwAZQAiACwAIgBNAE0AUwBfAFMAdwBpAG4AZQBfAEwAZQBhAGMAaABpAG4AZwBBAG4AZABSAHUAbgBvAGYAZgBfAEUAcQB1AGEAdABpAG8AbgBzAC4AVgBFAEUAUgBHAF8ANABfADUAXwAxAF8ANwBfAF8AMQBfAEEAbgBuAHUAYQBsAEUAbQBpAHMAcwBpAG8AbgBzAEYAcgBvAG0ATABlAGEAYwBoAGkAbgBnAEEAbgBkAFIAdQBuAG8AZgBmAEYAcgBvAG0ATQBNAFMAXwBWAGEAcgBpAGEAYgBsAGUAIgAsACIATQBNAFMAXwBTAHcAaQBuAGUAXwBMAGUAYQBjAGgAaQBuAGcAQQBuAGQAUgB1AG4AbwBmAGYAXwBFAHEAdQBhAHQAaQBvAG4AcwAuAFYARQBFAFIARwBfADQAXwA1AF8AMQBfADcAXwBfADEAXwBBAG4AbgB1AGEAbABFAG0AaQBzAHMAaQBvAG4AcwBGAHIAbwBtAEwAZQBhAGMAaABpAG4AZwBBAG4AZABSAHUAbgBvAGYAZgBGAHIAbwBtAE0ATQBTAF8AVQBuAGkAdAAiACwAIgBNAE0AUwBfAFMAdwBpAG4AZQBfAEwAZQBhAGMAaABpAG4AZwBBAG4AZABSAHUAbgBvAGYAZgBfAEUAcQB1AGEAdABpAG8AbgBzAC4AVgBFAEUAUgBHAF8ANABfADUAXwAxAF8ANwBfAF8AMQBfAEEAbgBuAHUAYQBsAEUAbQBpAHMAcwBpAG8AbgBzAEYAcgBvAG0ATABlAGEAYwBoAGkAbgBnAEEAbgBkAFIAdQBuAG8AZgBmAEYAcgBvAG0ATQBNAFMAXwBTAG8AdQByAGMAZQAiACwAIgBNAE0AUwBfAFMAdwBpAG4AZQBfAEwAZQBhAGMAaABpAG4AZwBBAG4AZABSAHUAbgBvAGYAZgBfAEUAcQB1AGEAdABpAG8AbgBzAC4AVgBFAEUAUgBHAF8ANABfADUAXwAxAF8ANwBfAF8AMQBfAEEAbgBuAHUAYQBsAEUAbQBpAHMAcwBpAG8AbgBzAEYAcgBvAG0ATABlAGEAYwBoAGkAbgBnAEEAbgBkAFIAdQBuAG8AZgBmAEYAcgBvAG0ATQBNAFMAXwBOAEkAUgBSAGUAZgBlAHIAZQBuAGMAZQAiACwAIgBNAE0AUwBfAFMAdwBpAG4AZQBfAEwAZQBhAGMAaABpAG4AZwBBAG4AZABSAHUAbgBvAGYAZgBfAEUAcQB1AGEAdABpAG8AbgBzAC4AVgBFAEUAUgBHAF8ANABfADUAXwAxAF8ANwBfAF8AMQBfAEEAbgBuAHUAYQBsAEUAbQBpAHMAcwBpAG8AbgBzAEYAcgBvAG0ATABlAGEAYwBoAGkAbgBnAEEAbgBkAFIAdQBuAG8AZgBmAEYAcgBvAG0ATQBNAFMAXwBMAGEAdABlAHgARQBxAHUAYQB0AGkAbwBuACIALAAiAE0ATQBTAF8AUwB3AGkAbgBlAF8ATABlAGEAYwBoAGkAbgBnAEEAbgBkAFIAdQBuAG8AZgBmAF8ARQBxAHUAYQB0AGkAbwBuAHMALgBWAEUARQBSAEcAXwA0AF8ANQBfADEAXwA3AF8AXwAxAF8AQQBuAG4AdQBhAGwARQBtAGkAcwBzAGkAbwBuAHMARgByAG8AbQBMAGUAYQBjAGgAaQBuAGcAQQBuAGQAUgB1AG4AbwBmAGYARgByAG8AbQBNAE0AUwBfAEEAcgBnAHUAbQBlAG4AdABz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ABpAHQ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gBhAHIAaQBhAGI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QBuAGkAdA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MAbwB1AHI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gBJAFIAUgBlAGYAZQByAGUAbgBj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MAGEAdABlAHgARQBxAHUAYQB0AGkAbwBu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QQByAGcAdQBtAGUAbgB0AHMAIgAsACIATQBNAFMAXwBTAHcAaQBuAGUAXwBNAGEAbgB1AHIAZQBBAHAAcABsAGkAZQBkAFQAbwBTAG8AaQBsAHMAXwBFAHEAdQBhAHQAaQBvAG4AcwAuAFYARQBFAFIARwBfADQAXwA1AF8AMQBfADkAXwBfADEAXwBNAGEAcwBzAE8AZgBOAGkAdAByAG8AZwBlAG4AQQBwAHAAbABpAGUAZABUAG8AUwBvAGkAbABzAFMAYwBvAHAAZQAxACIALAAiAE0ATQBTAF8AUwB3AGkAbgBlAF8ATQBhAG4AdQByAGUAQQBwAHAAbABpAGUAZABUAG8AUwBvAGkAbABzAF8ARQBxAHUAYQB0AGkAbwBuAHMALgBWAEUARQBSAEcAXwA0AF8ANQBfADEAXwA5AF8AXwAxAF8ATQBhAHMAcwBPAGYATgBpAHQAcgBvAGcAZQBuAEEAcABwAGwAaQBlAGQAVABvAFMAbwBpAGwAcwBTAGMAbwBwAGUAMQBfAFQAaQB0AGwAZQAiACwAIgBNAE0AUwBfAFMAdwBpAG4AZQBfAE0AYQBuAHUAcgBlAEEAcABwAGwAaQBlAGQAVABvAFMAbwBpAGwAcwBfAEUAcQB1AGEAdABpAG8AbgBzAC4AVgBFAEUAUgBHAF8ANABfADUAXwAxAF8AOQBfAF8AMQBfAE0AYQBzAHMATwBmAE4AaQB0AHIAbwBnAGUAbgBBAHAAcABsAGkAZQBkAFQAbwBTAG8AaQBsAHMAUwBjAG8AcABlADEAXwBWAGEAcgBpAGEAYgBsAGUAIgAsACIATQBNAFMAXwBTAHcAaQBuAGUAXwBNAGEAbgB1AHIAZQBBAHAAcABsAGkAZQBkAFQAbwBTAG8AaQBsAHMAXwBFAHEAdQBhAHQAaQBvAG4AcwAuAFYARQBFAFIARwBfADQAXwA1AF8AMQBfADkAXwBfADEAXwBNAGEAcwBzAE8AZgBOAGkAdAByAG8AZwBlAG4AQQBwAHAAbABpAGUAZABUAG8AUwBvAGkAbABzAFMAYwBvAHAAZQAxAF8AVQBuAGkAdAAiACwAIgBNAE0AUwBfAFMAdwBpAG4AZQBfAE0AYQBuAHUAcgBlAEEAcABwAGwAaQBlAGQAVABvAFMAbwBpAGwAcwBfAEUAcQB1AGEAdABpAG8AbgBzAC4AVgBFAEUAUgBHAF8ANABfADUAXwAxAF8AOQBfAF8AMQBfAE0AYQBzAHMATwBmAE4AaQB0AHIAbwBnAGUAbgBBAHAAcABsAGkAZQBkAFQAbwBTAG8AaQBsAHMAUwBjAG8AcABlADEAXwBTAG8AdQByAGMAZQAiACwAIgBNAE0AUwBfAFMAdwBpAG4AZQBfAE0AYQBuAHUAcgBlAEEAcABwAGwAaQBlAGQAVABvAFMAbwBpAGwAcwBfAEUAcQB1AGEAdABpAG8AbgBzAC4AVgBFAEUAUgBHAF8ANABfADUAXwAxAF8AOQBfAF8AMQBfAE0AYQBzAHMATwBmAE4AaQB0AHIAbwBnAGUAbgBBAHAAcABsAGkAZQBkAFQAbwBTAG8AaQBsAHMAUwBjAG8AcABlADEAXwBOAEkAUgBSAGUAZgBlAHIAZQBuAGMAZQAiACwAIgBNAE0AUwBfAFMAdwBpAG4AZQBfAE0AYQBuAHUAcgBlAEEAcABwAGwAaQBlAGQAVABvAFMAbwBpAGwAcwBfAEUAcQB1AGEAdABpAG8AbgBzAC4AVgBFAEUAUgBHAF8ANABfADUAXwAxAF8AOQBfAF8AMQBfAE0AYQBzAHMATwBmAE4AaQB0AHIAbwBnAGUAbgBBAHAAcABsAGkAZQBkAFQAbwBTAG8AaQBsAHMAUwBjAG8AcABlADEAXwBMAGEAdABlAHgARQBxAHUAYQB0AGkAbwBuACIALAAiAE0ATQBTAF8AUwB3AGkAbgBlAF8ATQBhAG4AdQByAGUAQQBwAHAAbABpAGUAZABUAG8AUwBvAGkAbABzAF8ARQBxAHUAYQB0AGkAbwBuAHMALgBWAEUARQBSAEcAXwA0AF8ANQBfADEAXwA5AF8AXwAxAF8ATQBhAHMAcwBPAGYATgBpAHQAcgBvAGcAZQBuAEEAcABwAGwAaQBlAGQAVABvAFMAbwBpAGwAcwBTAGMAbwBwAGUAMQBfAEEAcgBnAHUAbQBlAG4AdABzACIALAAiAE0ATQBTAF8AUwB3AGkAbgBlAF8ATQBhAG4AdQByAGUAQQBwAHAAbABpAGUAZABUAG8AUwBvAGkAbABzAF8ARQBxAHUAYQB0AGkAbwBuAHMALgBWAEUARQBSAEcAXwA0AF8ANQBfADEAXwA5AF8AXwAyAF8ATQBhAHMAcwBPAGYATgBpAHQAcgBvAGcAZQBuAEEAcABwAGwAaQBlAGQAVABvAFMAbwBpAGwAcwBTAGMAbwBwAGUAMwAiACwAIgBNAE0AUwBfAFMAdwBpAG4AZQBfAE0AYQBuAHUAcgBlAEEAcABwAGwAaQBlAGQAVABvAFMAbwBpAGwAcwBfAEUAcQB1AGEAdABpAG8AbgBzAC4AVgBFAEUAUgBHAF8ANABfADUAXwAxAF8AOQBfAF8AMgBfAE0AYQBzAHMATwBmAE4AaQB0AHIAbwBnAGUAbgBBAHAAcABsAGkAZQBkAFQAbwBTAG8AaQBsAHMAUwBjAG8AcABlADMAXwBUAGkAdABsAGUAIgAsACIATQBNAFMAXwBTAHcAaQBuAGUAXwBNAGEAbgB1AHIAZQBBAHAAcABsAGkAZQBkAFQAbwBTAG8AaQBsAHMAXwBFAHEAdQBhAHQAaQBvAG4AcwAuAFYARQBFAFIARwBfADQAXwA1AF8AMQBfADkAXwBfADIAXwBNAGEAcwBzAE8AZgBOAGkAdAByAG8AZwBlAG4AQQBwAHAAbABpAGUAZABUAG8AUwBvAGkAbABzAFMAYwBvAHAAZQAzAF8AVgBhAHIAaQBhAGIAbABlACIALAAiAE0ATQBTAF8AUwB3AGkAbgBlAF8ATQBhAG4AdQByAGUAQQBwAHAAbABpAGUAZABUAG8AUwBvAGkAbABzAF8ARQBxAHUAYQB0AGkAbwBuAHMALgBWAEUARQBSAEcAXwA0AF8ANQBfADEAXwA5AF8AXwAyAF8ATQBhAHMAcwBPAGYATgBpAHQAcgBvAGcAZQBuAEEAcABwAGwAaQBlAGQAVABvAFMAbwBpAGwAcwBTAGMAbwBwAGUAMwBfAFUAbgBpAHQAIgAsACIATQBNAFMAXwBTAHcAaQBuAGUAXwBNAGEAbgB1AHIAZQBBAHAAcABsAGkAZQBkAFQAbwBTAG8AaQBsAHMAXwBFAHEAdQBhAHQAaQBvAG4AcwAuAFYARQBFAFIARwBfADQAXwA1AF8AMQBfADkAXwBfADIAXwBNAGEAcwBzAE8AZgBOAGkAdAByAG8AZwBlAG4AQQBwAHAAbABpAGUAZABUAG8AUwBvAGkAbABzAFMAYwBvAHAAZQAzAF8AUwBvAHUAcgBjAGUAIgAsACIATQBNAFMAXwBTAHcAaQBuAGUAXwBNAGEAbgB1AHIAZQBBAHAAcABsAGkAZQBkAFQAbwBTAG8AaQBsAHMAXwBFAHEAdQBhAHQAaQBvAG4AcwAuAFYARQBFAFIARwBfADQAXwA1AF8AMQBfADkAXwBfADIAXwBNAGEAcwBzAE8AZgBOAGkAdAByAG8AZwBlAG4AQQBwAHAAbABpAGUAZABUAG8AUwBvAGkAbABzAFMAYwBvAHAAZQAzAF8ATgBJAFIAUgBlAGYAZQByAGUAbgBjAGUAIgAsACIATQBNAFMAXwBTAHcAaQBuAGUAXwBNAGEAbgB1AHIAZQBBAHAAcABsAGkAZQBkAFQAbwBTAG8AaQBsAHMAXwBFAHEAdQBhAHQAaQBvAG4AcwAuAFYARQBFAFIARwBfADQAXwA1AF8AMQBfADkAXwBfADIAXwBNAGEAcwBzAE8AZgBOAGkAdAByAG8AZwBlAG4AQQBwAHAAbABpAGUAZABUAG8AUwBvAGkAbABzAFMAYwBvAHAAZQAzAF8ATABhAHQAZQB4AEUAcQB1AGEAdABpAG8AbgAiACwAIgBNAE0AUwBfAFMAdwBpAG4AZQBfAE0AYQBuAHUAcgBlAEEAcABwAGwAaQBlAGQAVABvAFMAbwBpAGwAcwBfAEUAcQB1AGEAdABpAG8AbgBzAC4AVgBFAEUAUgBHAF8ANABfADUAXwAxAF8AOQBfAF8AMgBfAE0AYQBzAHMATwBmAE4AaQB0AHIAbwBnAGUAbgBBAHAAcABsAGkAZQBkAFQAbwBTAG8AaQBsAHMAUwBjAG8AcABlADM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67</vt:i4>
      </vt:variant>
    </vt:vector>
  </HeadingPairs>
  <TitlesOfParts>
    <vt:vector size="82" baseType="lpstr">
      <vt:lpstr>Home</vt:lpstr>
      <vt:lpstr>Overview</vt:lpstr>
      <vt:lpstr>Results</vt:lpstr>
      <vt:lpstr>Input - Site</vt:lpstr>
      <vt:lpstr>Input - Swine</vt:lpstr>
      <vt:lpstr>4.5.1.1-2 Methane</vt:lpstr>
      <vt:lpstr>4.5.1.3-4 Direct N2O</vt:lpstr>
      <vt:lpstr>4.5.1.5-6 Atmos Dep</vt:lpstr>
      <vt:lpstr>4.5.1.7-8 Leaching and runoff</vt:lpstr>
      <vt:lpstr>4.5.1.9 Manure applied to soils</vt:lpstr>
      <vt:lpstr>Constants - Swine</vt:lpstr>
      <vt:lpstr>Constants - Common</vt:lpstr>
      <vt:lpstr>Constants - Livestock</vt:lpstr>
      <vt:lpstr>Acknowledgements</vt:lpstr>
      <vt:lpstr>Tab template</vt:lpstr>
      <vt:lpstr>Common_SourceData_DensityOfMethane_Data</vt:lpstr>
      <vt:lpstr>M1_Table_E_N2O_leach</vt:lpstr>
      <vt:lpstr>M1_Table_MN_j_m5_T1</vt:lpstr>
      <vt:lpstr>M1_Table_MN_leach_j_m5</vt:lpstr>
      <vt:lpstr>M1_Table_MN_leach_j_m5_Consumer_1</vt:lpstr>
      <vt:lpstr>M2_Table_E_N2O_leach</vt:lpstr>
      <vt:lpstr>M2_Table_MN_j_m5_T1</vt:lpstr>
      <vt:lpstr>SourceData_Swine_FracLEACH_DrylotMMS_Data</vt:lpstr>
      <vt:lpstr>SourceData_Swine_MethaneVolatileSolidsEmissionsPotential_Data</vt:lpstr>
      <vt:lpstr>VEERG_4_5_1_1__1_TotalAnnualMethaneEmissions_Result_Method1</vt:lpstr>
      <vt:lpstr>VEERG_4_5_1_1__1_TotalAnnualMethaneEmissions_Result_Method2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X_Cell_Swine_ManureAppliedIrrigationMethod</vt:lpstr>
      <vt:lpstr>X_Cell_Swine_ManureAppliedProductionSystem</vt:lpstr>
      <vt:lpstr>X_Cell_Swine_ProductionSystem</vt:lpstr>
      <vt:lpstr>X_Cell_Swine_Stage1MMS_AnaerobicLagoon_AmountSeparated_Method1</vt:lpstr>
      <vt:lpstr>X_Cell_Swine_Stage1MMS_AnaerobicLagoon_AmountSeparated_Method2</vt:lpstr>
      <vt:lpstr>X_Cell_Swine_Stage1MMS_AnaerobicLagoon_SolidsSeparated</vt:lpstr>
      <vt:lpstr>X_Cell_Swine_Stage1MMS_DeepLitter_AmountSeparated_Method1</vt:lpstr>
      <vt:lpstr>X_Cell_Swine_Stage1MMS_DeepLitter_AmountSeparated_Method2</vt:lpstr>
      <vt:lpstr>X_Cell_Swine_Stage1MMS_DeepLitter_SolidsSeparated</vt:lpstr>
      <vt:lpstr>X_Cell_Swine_Stage1MMS_DigesterCoveredLagoons_AmountSeparated_Method1</vt:lpstr>
      <vt:lpstr>X_Cell_Swine_Stage1MMS_DigesterCoveredLagoons_AmountSeparated_Method2</vt:lpstr>
      <vt:lpstr>X_Cell_Swine_Stage1MMS_DigesterCoveredLagoons_SolidsSeparated</vt:lpstr>
      <vt:lpstr>X_Cell_Swine_Stage1MMS_Drylot_AmountSeparated_Method1</vt:lpstr>
      <vt:lpstr>X_Cell_Swine_Stage1MMS_Drylot_AmountSeparated_Method2</vt:lpstr>
      <vt:lpstr>X_Cell_Swine_Stage1MMS_Drylot_SolidsSeparated</vt:lpstr>
      <vt:lpstr>X_Cell_Swine_Stage1MMS_PitStorage_AmountSeparated_Method1</vt:lpstr>
      <vt:lpstr>X_Cell_Swine_Stage1MMS_PitStorage_AmountSeparated_Method2</vt:lpstr>
      <vt:lpstr>X_Cell_Swine_Stage1MMS_PitStorage_SolidsSeparated</vt:lpstr>
      <vt:lpstr>X_Table_Swine_HerdMovement</vt:lpstr>
      <vt:lpstr>X_Table_Swine_ManureProduction_Method1</vt:lpstr>
      <vt:lpstr>X_Table_Swine_ManureProduction_Method2</vt:lpstr>
      <vt:lpstr>X_Table_Swine_Stage1MMS_AnaerobicLagoon</vt:lpstr>
      <vt:lpstr>X_Table_Swine_Stage1MMS_DeepLitter</vt:lpstr>
      <vt:lpstr>X_Table_Swine_Stage1MMS_DigesterCoveredLagoons</vt:lpstr>
      <vt:lpstr>X_Table_Swine_Stage1MMS_Drylot</vt:lpstr>
      <vt:lpstr>X_Table_Swine_Stage1MMS_PitStorage</vt:lpstr>
      <vt:lpstr>X_Table_Swine_Stage1MMS_SolidStorage</vt:lpstr>
      <vt:lpstr>X_Table_Swine_Stage2MMS_From_AnaerobicLagoon</vt:lpstr>
      <vt:lpstr>X_Table_Swine_Stage2MMS_From_AnaerobicLagoon_Destinations</vt:lpstr>
      <vt:lpstr>X_Table_Swine_Stage2MMS_From_DeepLitter</vt:lpstr>
      <vt:lpstr>X_Table_Swine_Stage2MMS_From_DeepLitter_Destinations</vt:lpstr>
      <vt:lpstr>X_Table_Swine_Stage2MMS_From_DigesterCoveredLagoons</vt:lpstr>
      <vt:lpstr>X_Table_Swine_Stage2MMS_From_DigesterCoveredLagoons_Destinations</vt:lpstr>
      <vt:lpstr>X_Table_Swine_Stage2MMS_From_Drylot</vt:lpstr>
      <vt:lpstr>X_Table_Swine_Stage2MMS_From_Drylot_Destinations</vt:lpstr>
      <vt:lpstr>X_Table_Swine_Stage2MMS_From_PitStorage</vt:lpstr>
      <vt:lpstr>X_Table_Swine_Stage2MMS_From_PitStorage_Destinations</vt:lpstr>
      <vt:lpstr>X_Table_Swine_Stage2MMS_From_SolidStorage</vt:lpstr>
      <vt:lpstr>X_Table_Swine_Stage2MMS_From_SolidStorage_Destinations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2026-08-13T23:57:53Z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