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951B12E-16E4-47A2-B2E0-CEF1687DF67D}" xr6:coauthVersionLast="47" xr6:coauthVersionMax="47" xr10:uidLastSave="{00000000-0000-0000-0000-000000000000}"/>
  <bookViews>
    <workbookView xWindow="1950" yWindow="1950" windowWidth="28800" windowHeight="15345" firstSheet="11" activeTab="11"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3"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I41" i="98"/>
  <c r="O160" i="69"/>
  <c r="O159" i="69"/>
  <c r="O158" i="69"/>
  <c r="O157" i="69"/>
  <c r="O155" i="69"/>
  <c r="I14" i="98"/>
  <c r="I119" i="97"/>
  <c r="E30" i="15"/>
  <c r="E33" i="15"/>
  <c r="E32" i="15"/>
  <c r="E31" i="15"/>
  <c r="I42" i="98"/>
  <c r="I120" i="97"/>
  <c r="I256" i="76"/>
  <c r="P52" i="98"/>
  <c r="G52" i="98"/>
  <c r="Q128" i="97"/>
  <c r="G128" i="97"/>
  <c r="Q300" i="76"/>
  <c r="G300" i="76"/>
  <c r="Q264" i="69"/>
  <c r="G264" i="69"/>
  <c r="O156" i="69"/>
  <c r="E160" i="69"/>
  <c r="E159" i="69"/>
  <c r="E158" i="69"/>
  <c r="E157" i="69"/>
  <c r="E156" i="69"/>
  <c r="E155" i="69"/>
  <c r="E259" i="113" a="1"/>
  <c r="E259" i="113" s="1"/>
  <c r="D259" i="113" a="1"/>
  <c r="D259" i="113" s="1"/>
  <c r="E258" i="113" a="1"/>
  <c r="E258" i="113" s="1"/>
  <c r="D258" i="113" a="1"/>
  <c r="D258" i="113" s="1"/>
  <c r="D256" i="113" a="1"/>
  <c r="D256" i="113" s="1"/>
  <c r="D255" i="113" a="1"/>
  <c r="D255" i="113" s="1"/>
  <c r="D254" i="113" a="1"/>
  <c r="D254" i="113" s="1"/>
  <c r="D253" i="113" a="1"/>
  <c r="D253" i="113" s="1"/>
  <c r="S250" i="113" a="1"/>
  <c r="S250" i="113" s="1"/>
  <c r="R250" i="113" a="1"/>
  <c r="R250" i="113" s="1"/>
  <c r="Q250" i="113" a="1"/>
  <c r="Q250" i="113" s="1"/>
  <c r="P250" i="113" a="1"/>
  <c r="P250" i="113" s="1"/>
  <c r="O250" i="113" a="1"/>
  <c r="O250" i="113" s="1"/>
  <c r="N250" i="113" a="1"/>
  <c r="N250" i="113" s="1"/>
  <c r="M250" i="113" a="1"/>
  <c r="M250" i="113" s="1"/>
  <c r="L250" i="113" a="1"/>
  <c r="L250" i="113" s="1"/>
  <c r="K250" i="113" a="1"/>
  <c r="K250" i="113" s="1"/>
  <c r="J250" i="113" a="1"/>
  <c r="J250" i="113" s="1"/>
  <c r="I250" i="113" a="1"/>
  <c r="I250" i="113" s="1"/>
  <c r="H250" i="113" a="1"/>
  <c r="H250" i="113" s="1"/>
  <c r="G250" i="113" a="1"/>
  <c r="G250" i="113" s="1"/>
  <c r="F250" i="113" a="1"/>
  <c r="F250" i="113" s="1"/>
  <c r="E250" i="113" a="1"/>
  <c r="E250" i="113" s="1"/>
  <c r="D250" i="113" a="1"/>
  <c r="D250" i="113" s="1"/>
  <c r="S249" i="113" a="1"/>
  <c r="S249" i="113" s="1"/>
  <c r="R249" i="113" a="1"/>
  <c r="R249" i="113" s="1"/>
  <c r="Q249" i="113" a="1"/>
  <c r="Q249" i="113" s="1"/>
  <c r="P249" i="113" a="1"/>
  <c r="P249" i="113" s="1"/>
  <c r="O249" i="113" a="1"/>
  <c r="O249" i="113" s="1"/>
  <c r="N249" i="113" a="1"/>
  <c r="N249" i="113" s="1"/>
  <c r="M249" i="113" a="1"/>
  <c r="M249" i="113" s="1"/>
  <c r="L249" i="113" a="1"/>
  <c r="L249" i="113" s="1"/>
  <c r="K249" i="113" a="1"/>
  <c r="K249" i="113" s="1"/>
  <c r="J249" i="113" a="1"/>
  <c r="J249" i="113" s="1"/>
  <c r="I249" i="113" a="1"/>
  <c r="I249" i="113" s="1"/>
  <c r="H249" i="113" a="1"/>
  <c r="H249" i="113" s="1"/>
  <c r="G249" i="113" a="1"/>
  <c r="G249" i="113" s="1"/>
  <c r="F249" i="113" a="1"/>
  <c r="F249" i="113" s="1"/>
  <c r="E249" i="113" a="1"/>
  <c r="E249" i="113" s="1"/>
  <c r="D249" i="113" a="1"/>
  <c r="D249" i="113" s="1"/>
  <c r="S248" i="113" a="1"/>
  <c r="S248" i="113" s="1"/>
  <c r="R248" i="113" a="1"/>
  <c r="R248" i="113" s="1"/>
  <c r="Q248" i="113" a="1"/>
  <c r="Q248" i="113" s="1"/>
  <c r="P248" i="113" a="1"/>
  <c r="P248" i="113" s="1"/>
  <c r="O248" i="113" a="1"/>
  <c r="O248" i="113" s="1"/>
  <c r="N248" i="113" a="1"/>
  <c r="N248" i="113" s="1"/>
  <c r="M248" i="113" a="1"/>
  <c r="M248" i="113" s="1"/>
  <c r="L248" i="113" a="1"/>
  <c r="L248" i="113" s="1"/>
  <c r="K248" i="113" a="1"/>
  <c r="K248" i="113" s="1"/>
  <c r="J248" i="113" a="1"/>
  <c r="J248" i="113" s="1"/>
  <c r="I248" i="113" a="1"/>
  <c r="I248" i="113" s="1"/>
  <c r="H248" i="113" a="1"/>
  <c r="H248" i="113" s="1"/>
  <c r="G248" i="113" a="1"/>
  <c r="G248" i="113" s="1"/>
  <c r="F248" i="113" a="1"/>
  <c r="F248" i="113" s="1"/>
  <c r="E248" i="113" a="1"/>
  <c r="E248" i="113" s="1"/>
  <c r="D248" i="113" a="1"/>
  <c r="D248" i="113" s="1"/>
  <c r="S247" i="113" a="1"/>
  <c r="S247" i="113" s="1"/>
  <c r="R247" i="113" a="1"/>
  <c r="R247" i="113" s="1"/>
  <c r="Q247" i="113" a="1"/>
  <c r="Q247" i="113" s="1"/>
  <c r="P247" i="113" a="1"/>
  <c r="P247" i="113" s="1"/>
  <c r="O247" i="113" a="1"/>
  <c r="O247" i="113" s="1"/>
  <c r="N247" i="113" a="1"/>
  <c r="N247" i="113" s="1"/>
  <c r="M247" i="113" a="1"/>
  <c r="M247" i="113" s="1"/>
  <c r="L247" i="113" a="1"/>
  <c r="L247" i="113" s="1"/>
  <c r="K247" i="113" a="1"/>
  <c r="K247" i="113" s="1"/>
  <c r="J247" i="113" a="1"/>
  <c r="J247" i="113" s="1"/>
  <c r="I247" i="113" a="1"/>
  <c r="I247" i="113" s="1"/>
  <c r="H247" i="113" a="1"/>
  <c r="H247" i="113" s="1"/>
  <c r="G247" i="113" a="1"/>
  <c r="G247" i="113" s="1"/>
  <c r="F247" i="113" a="1"/>
  <c r="F247" i="113" s="1"/>
  <c r="E247" i="113" a="1"/>
  <c r="E247" i="113" s="1"/>
  <c r="D247" i="113" a="1"/>
  <c r="D247" i="113" s="1"/>
  <c r="S246" i="113" a="1"/>
  <c r="S246" i="113" s="1"/>
  <c r="R246" i="113" a="1"/>
  <c r="R246" i="113" s="1"/>
  <c r="Q246" i="113" a="1"/>
  <c r="Q246" i="113" s="1"/>
  <c r="P246" i="113" a="1"/>
  <c r="P246" i="113" s="1"/>
  <c r="O246" i="113" a="1"/>
  <c r="O246" i="113" s="1"/>
  <c r="N246" i="113" a="1"/>
  <c r="N246" i="113" s="1"/>
  <c r="M246" i="113" a="1"/>
  <c r="M246" i="113" s="1"/>
  <c r="L246" i="113" a="1"/>
  <c r="L246" i="113" s="1"/>
  <c r="K246" i="113" a="1"/>
  <c r="K246" i="113" s="1"/>
  <c r="J246" i="113" a="1"/>
  <c r="J246" i="113" s="1"/>
  <c r="I246" i="113" a="1"/>
  <c r="I246" i="113" s="1"/>
  <c r="H246" i="113" a="1"/>
  <c r="H246" i="113" s="1"/>
  <c r="G246" i="113" a="1"/>
  <c r="G246" i="113" s="1"/>
  <c r="F246" i="113" a="1"/>
  <c r="F246" i="113" s="1"/>
  <c r="E246" i="113" a="1"/>
  <c r="E246" i="113" s="1"/>
  <c r="D246" i="113" a="1"/>
  <c r="D246" i="113" s="1"/>
  <c r="S245" i="113" a="1"/>
  <c r="S245" i="113" s="1"/>
  <c r="R245" i="113" a="1"/>
  <c r="R245" i="113" s="1"/>
  <c r="Q245" i="113" a="1"/>
  <c r="Q245" i="113" s="1"/>
  <c r="P245" i="113" a="1"/>
  <c r="P245" i="113" s="1"/>
  <c r="O245" i="113" a="1"/>
  <c r="O245" i="113" s="1"/>
  <c r="N245" i="113" a="1"/>
  <c r="N245" i="113" s="1"/>
  <c r="M245" i="113" a="1"/>
  <c r="M245" i="113" s="1"/>
  <c r="L245" i="113" a="1"/>
  <c r="L245" i="113" s="1"/>
  <c r="K245" i="113" a="1"/>
  <c r="K245" i="113" s="1"/>
  <c r="J245" i="113" a="1"/>
  <c r="J245" i="113" s="1"/>
  <c r="I245" i="113" a="1"/>
  <c r="I245" i="113" s="1"/>
  <c r="H245" i="113" a="1"/>
  <c r="H245" i="113" s="1"/>
  <c r="G245" i="113" a="1"/>
  <c r="G245" i="113" s="1"/>
  <c r="F245" i="113" a="1"/>
  <c r="F245" i="113" s="1"/>
  <c r="E245" i="113" a="1"/>
  <c r="E245" i="113" s="1"/>
  <c r="D245" i="113" a="1"/>
  <c r="D245" i="113" s="1"/>
  <c r="S244" i="113" a="1"/>
  <c r="S244" i="113" s="1"/>
  <c r="R244" i="113" a="1"/>
  <c r="R244" i="113" s="1"/>
  <c r="Q244" i="113" a="1"/>
  <c r="Q244" i="113" s="1"/>
  <c r="P244" i="113" a="1"/>
  <c r="P244" i="113" s="1"/>
  <c r="O244" i="113" a="1"/>
  <c r="O244" i="113" s="1"/>
  <c r="N244" i="113" a="1"/>
  <c r="N244" i="113" s="1"/>
  <c r="M244" i="113" a="1"/>
  <c r="M244" i="113" s="1"/>
  <c r="L244" i="113" a="1"/>
  <c r="L244" i="113" s="1"/>
  <c r="K244" i="113" a="1"/>
  <c r="K244" i="113" s="1"/>
  <c r="J244" i="113" a="1"/>
  <c r="J244" i="113" s="1"/>
  <c r="I244" i="113" a="1"/>
  <c r="I244" i="113" s="1"/>
  <c r="H244" i="113" a="1"/>
  <c r="H244" i="113" s="1"/>
  <c r="G244" i="113" a="1"/>
  <c r="G244" i="113" s="1"/>
  <c r="F244" i="113" a="1"/>
  <c r="F244" i="113" s="1"/>
  <c r="E244" i="113" a="1"/>
  <c r="E244" i="113" s="1"/>
  <c r="D244" i="113" a="1"/>
  <c r="D244" i="113" s="1"/>
  <c r="S243" i="113" a="1"/>
  <c r="S243" i="113" s="1"/>
  <c r="R243" i="113" a="1"/>
  <c r="R243" i="113" s="1"/>
  <c r="Q243" i="113" a="1"/>
  <c r="Q243" i="113" s="1"/>
  <c r="P243" i="113" a="1"/>
  <c r="P243" i="113" s="1"/>
  <c r="O243" i="113" a="1"/>
  <c r="O243" i="113" s="1"/>
  <c r="N243" i="113" a="1"/>
  <c r="N243" i="113" s="1"/>
  <c r="M243" i="113" a="1"/>
  <c r="M243" i="113" s="1"/>
  <c r="L243" i="113" a="1"/>
  <c r="L243" i="113" s="1"/>
  <c r="K243" i="113" a="1"/>
  <c r="K243" i="113" s="1"/>
  <c r="J243" i="113" a="1"/>
  <c r="J243" i="113" s="1"/>
  <c r="I243" i="113" a="1"/>
  <c r="I243" i="113" s="1"/>
  <c r="H243" i="113" a="1"/>
  <c r="H243" i="113" s="1"/>
  <c r="G243" i="113" a="1"/>
  <c r="G243" i="113" s="1"/>
  <c r="F243" i="113" a="1"/>
  <c r="F243" i="113" s="1"/>
  <c r="E243" i="113" a="1"/>
  <c r="E243" i="113" s="1"/>
  <c r="D243" i="113" a="1"/>
  <c r="D243" i="113" s="1"/>
  <c r="S242" i="113" a="1"/>
  <c r="S242" i="113" s="1"/>
  <c r="R242" i="113" a="1"/>
  <c r="R242" i="113" s="1"/>
  <c r="Q242" i="113" a="1"/>
  <c r="Q242" i="113" s="1"/>
  <c r="P242" i="113" a="1"/>
  <c r="P242" i="113" s="1"/>
  <c r="O242" i="113" a="1"/>
  <c r="O242" i="113" s="1"/>
  <c r="N242" i="113" a="1"/>
  <c r="N242" i="113" s="1"/>
  <c r="M242" i="113" a="1"/>
  <c r="M242" i="113" s="1"/>
  <c r="L242" i="113" a="1"/>
  <c r="L242" i="113" s="1"/>
  <c r="K242" i="113" a="1"/>
  <c r="K242" i="113" s="1"/>
  <c r="J242" i="113" a="1"/>
  <c r="J242" i="113" s="1"/>
  <c r="I242" i="113" a="1"/>
  <c r="I242" i="113" s="1"/>
  <c r="H242" i="113" a="1"/>
  <c r="H242" i="113" s="1"/>
  <c r="G242" i="113" a="1"/>
  <c r="G242" i="113" s="1"/>
  <c r="F242" i="113" a="1"/>
  <c r="F242" i="113" s="1"/>
  <c r="E242" i="113" a="1"/>
  <c r="E242" i="113" s="1"/>
  <c r="D242" i="113" a="1"/>
  <c r="D242" i="113" s="1"/>
  <c r="S241" i="113" a="1"/>
  <c r="S241" i="113" s="1"/>
  <c r="R241" i="113" a="1"/>
  <c r="R241" i="113" s="1"/>
  <c r="Q241" i="113" a="1"/>
  <c r="Q241" i="113" s="1"/>
  <c r="P241" i="113" a="1"/>
  <c r="P241" i="113" s="1"/>
  <c r="O241" i="113" a="1"/>
  <c r="O241" i="113" s="1"/>
  <c r="N241" i="113" a="1"/>
  <c r="N241" i="113" s="1"/>
  <c r="M241" i="113" a="1"/>
  <c r="M241" i="113" s="1"/>
  <c r="L241" i="113" a="1"/>
  <c r="L241" i="113" s="1"/>
  <c r="K241" i="113" a="1"/>
  <c r="K241" i="113" s="1"/>
  <c r="J241" i="113" a="1"/>
  <c r="J241" i="113" s="1"/>
  <c r="I241" i="113" a="1"/>
  <c r="I241" i="113" s="1"/>
  <c r="H241" i="113" a="1"/>
  <c r="H241" i="113" s="1"/>
  <c r="G241" i="113" a="1"/>
  <c r="G241" i="113" s="1"/>
  <c r="F241" i="113" a="1"/>
  <c r="F241" i="113" s="1"/>
  <c r="E241" i="113" a="1"/>
  <c r="E241" i="113" s="1"/>
  <c r="D241" i="113" a="1"/>
  <c r="D241" i="113" s="1"/>
  <c r="S240" i="113" a="1"/>
  <c r="S240" i="113" s="1"/>
  <c r="R240" i="113" a="1"/>
  <c r="R240" i="113" s="1"/>
  <c r="Q240" i="113" a="1"/>
  <c r="Q240" i="113" s="1"/>
  <c r="P240" i="113" a="1"/>
  <c r="P240" i="113" s="1"/>
  <c r="O240" i="113" a="1"/>
  <c r="O240" i="113" s="1"/>
  <c r="N240" i="113" a="1"/>
  <c r="N240" i="113" s="1"/>
  <c r="M240" i="113" a="1"/>
  <c r="M240" i="113" s="1"/>
  <c r="L240" i="113" a="1"/>
  <c r="L240" i="113" s="1"/>
  <c r="K240" i="113" a="1"/>
  <c r="K240" i="113" s="1"/>
  <c r="J240" i="113" a="1"/>
  <c r="J240" i="113" s="1"/>
  <c r="I240" i="113" a="1"/>
  <c r="I240" i="113" s="1"/>
  <c r="H240" i="113" a="1"/>
  <c r="H240" i="113" s="1"/>
  <c r="G240" i="113" a="1"/>
  <c r="G240" i="113" s="1"/>
  <c r="F240" i="113" a="1"/>
  <c r="F240" i="113" s="1"/>
  <c r="E240" i="113" a="1"/>
  <c r="E240" i="113" s="1"/>
  <c r="D240" i="113" a="1"/>
  <c r="D240" i="113" s="1"/>
  <c r="S239" i="113" a="1"/>
  <c r="S239" i="113" s="1"/>
  <c r="R239" i="113" a="1"/>
  <c r="R239" i="113" s="1"/>
  <c r="Q239" i="113" a="1"/>
  <c r="Q239" i="113" s="1"/>
  <c r="P239" i="113" a="1"/>
  <c r="P239" i="113" s="1"/>
  <c r="O239" i="113" a="1"/>
  <c r="O239" i="113" s="1"/>
  <c r="N239" i="113" a="1"/>
  <c r="N239" i="113" s="1"/>
  <c r="M239" i="113" a="1"/>
  <c r="M239" i="113" s="1"/>
  <c r="L239" i="113" a="1"/>
  <c r="L239" i="113" s="1"/>
  <c r="K239" i="113" a="1"/>
  <c r="K239" i="113" s="1"/>
  <c r="J239" i="113" a="1"/>
  <c r="J239" i="113" s="1"/>
  <c r="I239" i="113" a="1"/>
  <c r="I239" i="113" s="1"/>
  <c r="H239" i="113" a="1"/>
  <c r="H239" i="113" s="1"/>
  <c r="G239" i="113" a="1"/>
  <c r="G239" i="113" s="1"/>
  <c r="F239" i="113" a="1"/>
  <c r="F239" i="113" s="1"/>
  <c r="E239" i="113" a="1"/>
  <c r="E239" i="113" s="1"/>
  <c r="D239" i="113" a="1"/>
  <c r="D239" i="113" s="1"/>
  <c r="S238" i="113" a="1"/>
  <c r="S238" i="113" s="1"/>
  <c r="R238" i="113" a="1"/>
  <c r="R238" i="113" s="1"/>
  <c r="Q238" i="113" a="1"/>
  <c r="Q238" i="113" s="1"/>
  <c r="P238" i="113" a="1"/>
  <c r="P238" i="113" s="1"/>
  <c r="O238" i="113" a="1"/>
  <c r="O238" i="113" s="1"/>
  <c r="N238" i="113" a="1"/>
  <c r="N238" i="113" s="1"/>
  <c r="M238" i="113" a="1"/>
  <c r="M238" i="113" s="1"/>
  <c r="L238" i="113" a="1"/>
  <c r="L238" i="113" s="1"/>
  <c r="K238" i="113" a="1"/>
  <c r="K238" i="113" s="1"/>
  <c r="J238" i="113" a="1"/>
  <c r="J238" i="113" s="1"/>
  <c r="I238" i="113" a="1"/>
  <c r="I238" i="113" s="1"/>
  <c r="H238" i="113" a="1"/>
  <c r="H238" i="113" s="1"/>
  <c r="G238" i="113" a="1"/>
  <c r="G238" i="113" s="1"/>
  <c r="F238" i="113" a="1"/>
  <c r="F238" i="113" s="1"/>
  <c r="E238" i="113" a="1"/>
  <c r="E238" i="113" s="1"/>
  <c r="D238" i="113" a="1"/>
  <c r="D238" i="113" s="1"/>
  <c r="S237" i="113" a="1"/>
  <c r="S237" i="113" s="1"/>
  <c r="R237" i="113" a="1"/>
  <c r="R237" i="113" s="1"/>
  <c r="Q237" i="113" a="1"/>
  <c r="Q237" i="113" s="1"/>
  <c r="P237" i="113" a="1"/>
  <c r="P237" i="113" s="1"/>
  <c r="O237" i="113" a="1"/>
  <c r="O237" i="113" s="1"/>
  <c r="N237" i="113" a="1"/>
  <c r="N237" i="113" s="1"/>
  <c r="M237" i="113" a="1"/>
  <c r="M237" i="113" s="1"/>
  <c r="L237" i="113" a="1"/>
  <c r="L237" i="113" s="1"/>
  <c r="K237" i="113" a="1"/>
  <c r="K237" i="113" s="1"/>
  <c r="J237" i="113" a="1"/>
  <c r="J237" i="113" s="1"/>
  <c r="I237" i="113" a="1"/>
  <c r="I237" i="113" s="1"/>
  <c r="H237" i="113" a="1"/>
  <c r="H237" i="113" s="1"/>
  <c r="G237" i="113" a="1"/>
  <c r="G237" i="113" s="1"/>
  <c r="F237" i="113" a="1"/>
  <c r="F237" i="113" s="1"/>
  <c r="E237" i="113" a="1"/>
  <c r="E237" i="113" s="1"/>
  <c r="D237" i="113" a="1"/>
  <c r="D237" i="113" s="1"/>
  <c r="S236" i="113" a="1"/>
  <c r="S236" i="113" s="1"/>
  <c r="R236" i="113" a="1"/>
  <c r="R236" i="113" s="1"/>
  <c r="Q236" i="113" a="1"/>
  <c r="Q236" i="113" s="1"/>
  <c r="P236" i="113" a="1"/>
  <c r="P236" i="113" s="1"/>
  <c r="O236" i="113" a="1"/>
  <c r="O236" i="113" s="1"/>
  <c r="N236" i="113" a="1"/>
  <c r="N236" i="113" s="1"/>
  <c r="M236" i="113" a="1"/>
  <c r="M236" i="113" s="1"/>
  <c r="L236" i="113" a="1"/>
  <c r="L236" i="113" s="1"/>
  <c r="K236" i="113" a="1"/>
  <c r="K236" i="113" s="1"/>
  <c r="J236" i="113" a="1"/>
  <c r="J236" i="113" s="1"/>
  <c r="I236" i="113" a="1"/>
  <c r="I236" i="113" s="1"/>
  <c r="H236" i="113" a="1"/>
  <c r="H236" i="113" s="1"/>
  <c r="G236" i="113" a="1"/>
  <c r="G236" i="113" s="1"/>
  <c r="F236" i="113" a="1"/>
  <c r="F236" i="113" s="1"/>
  <c r="E236" i="113" a="1"/>
  <c r="E236" i="113" s="1"/>
  <c r="D236" i="113" a="1"/>
  <c r="D236" i="113" s="1"/>
  <c r="S235" i="113" a="1"/>
  <c r="S235" i="113" s="1"/>
  <c r="R235" i="113" a="1"/>
  <c r="R235" i="113" s="1"/>
  <c r="Q235" i="113" a="1"/>
  <c r="Q235" i="113" s="1"/>
  <c r="P235" i="113" a="1"/>
  <c r="P235" i="113" s="1"/>
  <c r="O235" i="113" a="1"/>
  <c r="O235" i="113" s="1"/>
  <c r="N235" i="113" a="1"/>
  <c r="N235" i="113" s="1"/>
  <c r="M235" i="113" a="1"/>
  <c r="M235" i="113" s="1"/>
  <c r="L235" i="113" a="1"/>
  <c r="L235" i="113" s="1"/>
  <c r="K235" i="113" a="1"/>
  <c r="K235" i="113" s="1"/>
  <c r="J235" i="113" a="1"/>
  <c r="J235" i="113" s="1"/>
  <c r="I235" i="113" a="1"/>
  <c r="I235" i="113" s="1"/>
  <c r="H235" i="113" a="1"/>
  <c r="H235" i="113" s="1"/>
  <c r="G235" i="113" a="1"/>
  <c r="G235" i="113" s="1"/>
  <c r="F235" i="113" a="1"/>
  <c r="F235" i="113" s="1"/>
  <c r="E235" i="113" a="1"/>
  <c r="E235" i="113" s="1"/>
  <c r="D235" i="113" a="1"/>
  <c r="D235" i="113" s="1"/>
  <c r="S234" i="113" a="1"/>
  <c r="S234" i="113" s="1"/>
  <c r="R234" i="113" a="1"/>
  <c r="R234" i="113" s="1"/>
  <c r="Q234" i="113" a="1"/>
  <c r="Q234" i="113" s="1"/>
  <c r="P234" i="113" a="1"/>
  <c r="P234" i="113" s="1"/>
  <c r="O234" i="113" a="1"/>
  <c r="O234" i="113" s="1"/>
  <c r="N234" i="113" a="1"/>
  <c r="N234" i="113" s="1"/>
  <c r="M234" i="113" a="1"/>
  <c r="M234" i="113" s="1"/>
  <c r="L234" i="113" a="1"/>
  <c r="L234" i="113" s="1"/>
  <c r="K234" i="113" a="1"/>
  <c r="K234" i="113" s="1"/>
  <c r="J234" i="113" a="1"/>
  <c r="J234" i="113" s="1"/>
  <c r="I234" i="113" a="1"/>
  <c r="I234" i="113" s="1"/>
  <c r="H234" i="113" a="1"/>
  <c r="H234" i="113" s="1"/>
  <c r="G234" i="113" a="1"/>
  <c r="G234" i="113" s="1"/>
  <c r="F234" i="113" a="1"/>
  <c r="F234" i="113" s="1"/>
  <c r="E234" i="113" a="1"/>
  <c r="E234" i="113" s="1"/>
  <c r="D234" i="113" a="1"/>
  <c r="D234" i="113" s="1"/>
  <c r="S233" i="113" a="1"/>
  <c r="S233" i="113" s="1"/>
  <c r="R233" i="113" a="1"/>
  <c r="R233" i="113" s="1"/>
  <c r="Q233" i="113" a="1"/>
  <c r="Q233" i="113" s="1"/>
  <c r="P233" i="113" a="1"/>
  <c r="P233" i="113" s="1"/>
  <c r="O233" i="113" a="1"/>
  <c r="O233" i="113" s="1"/>
  <c r="N233" i="113" a="1"/>
  <c r="N233" i="113" s="1"/>
  <c r="M233" i="113" a="1"/>
  <c r="M233" i="113" s="1"/>
  <c r="L233" i="113" a="1"/>
  <c r="L233" i="113" s="1"/>
  <c r="K233" i="113" a="1"/>
  <c r="K233" i="113" s="1"/>
  <c r="J233" i="113" a="1"/>
  <c r="J233" i="113" s="1"/>
  <c r="I233" i="113" a="1"/>
  <c r="I233" i="113" s="1"/>
  <c r="H233" i="113" a="1"/>
  <c r="H233" i="113" s="1"/>
  <c r="G233" i="113" a="1"/>
  <c r="G233" i="113" s="1"/>
  <c r="F233" i="113" a="1"/>
  <c r="F233" i="113" s="1"/>
  <c r="E233" i="113" a="1"/>
  <c r="E233" i="113" s="1"/>
  <c r="D233" i="113" a="1"/>
  <c r="D233" i="113" s="1"/>
  <c r="S232" i="113" a="1"/>
  <c r="S232" i="113" s="1"/>
  <c r="R232" i="113" a="1"/>
  <c r="R232" i="113" s="1"/>
  <c r="Q232" i="113" a="1"/>
  <c r="Q232" i="113" s="1"/>
  <c r="P232" i="113" a="1"/>
  <c r="P232" i="113" s="1"/>
  <c r="O232" i="113" a="1"/>
  <c r="O232" i="113" s="1"/>
  <c r="N232" i="113" a="1"/>
  <c r="N232" i="113" s="1"/>
  <c r="M232" i="113" a="1"/>
  <c r="M232" i="113" s="1"/>
  <c r="L232" i="113" a="1"/>
  <c r="L232" i="113" s="1"/>
  <c r="K232" i="113" a="1"/>
  <c r="K232" i="113" s="1"/>
  <c r="J232" i="113" a="1"/>
  <c r="J232" i="113" s="1"/>
  <c r="I232" i="113" a="1"/>
  <c r="I232" i="113" s="1"/>
  <c r="H232" i="113" a="1"/>
  <c r="H232" i="113" s="1"/>
  <c r="G232" i="113" a="1"/>
  <c r="G232" i="113" s="1"/>
  <c r="F232" i="113" a="1"/>
  <c r="F232" i="113" s="1"/>
  <c r="E232" i="113" a="1"/>
  <c r="E232" i="113" s="1"/>
  <c r="D232" i="113" a="1"/>
  <c r="D232" i="113" s="1"/>
  <c r="D229" i="113"/>
  <c r="D229" i="113" a="1"/>
  <c r="D228" i="113" a="1"/>
  <c r="D228" i="113" s="1"/>
  <c r="D227" i="113" a="1"/>
  <c r="D227" i="113" s="1"/>
  <c r="E224" i="113" a="1"/>
  <c r="E224" i="113" s="1"/>
  <c r="D224" i="113" a="1"/>
  <c r="D224" i="113" s="1"/>
  <c r="E223" i="113" a="1"/>
  <c r="E223" i="113" s="1"/>
  <c r="D223" i="113" a="1"/>
  <c r="D223" i="113" s="1"/>
  <c r="E222" i="113" a="1"/>
  <c r="E222" i="113" s="1"/>
  <c r="D222" i="113" a="1"/>
  <c r="D222" i="113" s="1"/>
  <c r="E221" i="113" a="1"/>
  <c r="E221" i="113" s="1"/>
  <c r="D221" i="113" a="1"/>
  <c r="D221" i="113" s="1"/>
  <c r="E220" i="113" a="1"/>
  <c r="E220" i="113" s="1"/>
  <c r="D220" i="113" a="1"/>
  <c r="D220" i="113" s="1"/>
  <c r="E219" i="113" a="1"/>
  <c r="E219" i="113" s="1"/>
  <c r="D219" i="113" a="1"/>
  <c r="D219" i="113" s="1"/>
  <c r="E218" i="113" a="1"/>
  <c r="E218" i="113" s="1"/>
  <c r="D218" i="113" a="1"/>
  <c r="D218" i="113" s="1"/>
  <c r="E217" i="113" a="1"/>
  <c r="E217" i="113" s="1"/>
  <c r="D217" i="113" a="1"/>
  <c r="D217" i="113" s="1"/>
  <c r="E216" i="113" a="1"/>
  <c r="E216" i="113" s="1"/>
  <c r="D216" i="113" a="1"/>
  <c r="D216" i="113" s="1"/>
  <c r="E215" i="113" a="1"/>
  <c r="E215" i="113" s="1"/>
  <c r="D215" i="113" a="1"/>
  <c r="D215" i="113" s="1"/>
  <c r="E214" i="113" a="1"/>
  <c r="E214" i="113" s="1"/>
  <c r="D214" i="113" a="1"/>
  <c r="D214" i="113" s="1"/>
  <c r="E213" i="113" a="1"/>
  <c r="E213" i="113" s="1"/>
  <c r="D213" i="113" a="1"/>
  <c r="D213" i="113" s="1"/>
  <c r="D211" i="113" a="1"/>
  <c r="D211" i="113" s="1"/>
  <c r="E208" i="113" a="1"/>
  <c r="E208" i="113" s="1"/>
  <c r="D208" i="113" a="1"/>
  <c r="D208" i="113" s="1"/>
  <c r="E207" i="113" a="1"/>
  <c r="E207" i="113" s="1"/>
  <c r="D207" i="113" a="1"/>
  <c r="D207" i="113" s="1"/>
  <c r="D205" i="113" a="1"/>
  <c r="D205" i="113" s="1"/>
  <c r="D204" i="113" a="1"/>
  <c r="D204" i="113" s="1"/>
  <c r="D203" i="113" a="1"/>
  <c r="D203" i="113" s="1"/>
  <c r="D202" i="113" a="1"/>
  <c r="D202" i="113" s="1"/>
  <c r="H199" i="113" a="1"/>
  <c r="H199" i="113" s="1"/>
  <c r="G199" i="113" a="1"/>
  <c r="G199" i="113" s="1"/>
  <c r="F199" i="113" a="1"/>
  <c r="F199" i="113" s="1"/>
  <c r="E199" i="113" a="1"/>
  <c r="E199" i="113" s="1"/>
  <c r="D199" i="113" a="1"/>
  <c r="D199" i="113" s="1"/>
  <c r="H198" i="113" a="1"/>
  <c r="H198" i="113" s="1"/>
  <c r="G198" i="113" a="1"/>
  <c r="G198" i="113" s="1"/>
  <c r="F198" i="113" a="1"/>
  <c r="F198" i="113" s="1"/>
  <c r="E198" i="113" a="1"/>
  <c r="E198" i="113" s="1"/>
  <c r="D198" i="113" a="1"/>
  <c r="D198" i="113" s="1"/>
  <c r="H197" i="113" a="1"/>
  <c r="H197" i="113" s="1"/>
  <c r="G197" i="113" a="1"/>
  <c r="G197" i="113" s="1"/>
  <c r="F197" i="113" a="1"/>
  <c r="F197" i="113" s="1"/>
  <c r="E197" i="113" a="1"/>
  <c r="E197" i="113" s="1"/>
  <c r="D197" i="113" a="1"/>
  <c r="D197" i="113" s="1"/>
  <c r="H196" i="113" a="1"/>
  <c r="H196" i="113" s="1"/>
  <c r="G196" i="113" a="1"/>
  <c r="G196" i="113" s="1"/>
  <c r="F196" i="113" a="1"/>
  <c r="F196" i="113" s="1"/>
  <c r="E196" i="113" a="1"/>
  <c r="E196" i="113" s="1"/>
  <c r="D196" i="113" a="1"/>
  <c r="D196" i="113" s="1"/>
  <c r="H195" i="113" a="1"/>
  <c r="H195" i="113" s="1"/>
  <c r="G195" i="113" a="1"/>
  <c r="G195" i="113" s="1"/>
  <c r="F195" i="113" a="1"/>
  <c r="F195" i="113" s="1"/>
  <c r="E195" i="113" a="1"/>
  <c r="E195" i="113" s="1"/>
  <c r="D195" i="113" a="1"/>
  <c r="D195" i="113" s="1"/>
  <c r="H194" i="113" a="1"/>
  <c r="H194" i="113" s="1"/>
  <c r="G194" i="113" a="1"/>
  <c r="G194" i="113" s="1"/>
  <c r="F194" i="113" a="1"/>
  <c r="F194" i="113" s="1"/>
  <c r="E194" i="113" a="1"/>
  <c r="E194" i="113" s="1"/>
  <c r="D194" i="113" a="1"/>
  <c r="D194" i="113" s="1"/>
  <c r="H193" i="113" a="1"/>
  <c r="H193" i="113" s="1"/>
  <c r="G193" i="113" a="1"/>
  <c r="G193" i="113" s="1"/>
  <c r="F193" i="113" a="1"/>
  <c r="F193" i="113" s="1"/>
  <c r="E193" i="113" a="1"/>
  <c r="E193" i="113" s="1"/>
  <c r="D193" i="113" a="1"/>
  <c r="D193" i="113" s="1"/>
  <c r="H192" i="113" a="1"/>
  <c r="H192" i="113" s="1"/>
  <c r="G192" i="113" a="1"/>
  <c r="G192" i="113" s="1"/>
  <c r="F192" i="113" a="1"/>
  <c r="F192" i="113" s="1"/>
  <c r="E192" i="113" a="1"/>
  <c r="E192" i="113" s="1"/>
  <c r="D192" i="113" a="1"/>
  <c r="D192" i="113" s="1"/>
  <c r="H191" i="113" a="1"/>
  <c r="H191" i="113" s="1"/>
  <c r="G191" i="113" a="1"/>
  <c r="G191" i="113" s="1"/>
  <c r="F191" i="113" a="1"/>
  <c r="F191" i="113" s="1"/>
  <c r="E191" i="113" a="1"/>
  <c r="E191" i="113" s="1"/>
  <c r="D191" i="113" a="1"/>
  <c r="D191" i="113" s="1"/>
  <c r="H190" i="113" a="1"/>
  <c r="H190" i="113" s="1"/>
  <c r="G190" i="113" a="1"/>
  <c r="G190" i="113" s="1"/>
  <c r="F190" i="113" a="1"/>
  <c r="F190" i="113" s="1"/>
  <c r="E190" i="113" a="1"/>
  <c r="E190" i="113" s="1"/>
  <c r="D190" i="113" a="1"/>
  <c r="D190" i="113" s="1"/>
  <c r="H189" i="113" a="1"/>
  <c r="H189" i="113" s="1"/>
  <c r="G189" i="113" a="1"/>
  <c r="G189" i="113" s="1"/>
  <c r="F189" i="113" a="1"/>
  <c r="F189" i="113" s="1"/>
  <c r="E189" i="113" a="1"/>
  <c r="E189" i="113" s="1"/>
  <c r="D189" i="113" a="1"/>
  <c r="D189" i="113" s="1"/>
  <c r="H188" i="113" a="1"/>
  <c r="H188" i="113" s="1"/>
  <c r="G188" i="113" a="1"/>
  <c r="G188" i="113" s="1"/>
  <c r="F188" i="113" a="1"/>
  <c r="F188" i="113" s="1"/>
  <c r="E188" i="113" a="1"/>
  <c r="E188" i="113" s="1"/>
  <c r="D188" i="113" a="1"/>
  <c r="D188" i="113" s="1"/>
  <c r="H187" i="113" a="1"/>
  <c r="H187" i="113" s="1"/>
  <c r="G187" i="113" a="1"/>
  <c r="G187" i="113" s="1"/>
  <c r="F187" i="113" a="1"/>
  <c r="F187" i="113" s="1"/>
  <c r="E187" i="113" a="1"/>
  <c r="E187" i="113" s="1"/>
  <c r="D187" i="113" a="1"/>
  <c r="D187" i="113" s="1"/>
  <c r="D181" i="113" a="1"/>
  <c r="D181" i="113" s="1"/>
  <c r="D180" i="113" a="1"/>
  <c r="D180" i="113" s="1"/>
  <c r="D179" i="113" a="1"/>
  <c r="D179" i="113" s="1"/>
  <c r="D178" i="113" a="1"/>
  <c r="D178" i="113" s="1"/>
  <c r="E175" i="113" a="1"/>
  <c r="E175" i="113" s="1"/>
  <c r="D175" i="113"/>
  <c r="D175" i="113" a="1"/>
  <c r="D174" i="113" a="1"/>
  <c r="D174" i="113" s="1"/>
  <c r="D173" i="113" a="1"/>
  <c r="D173" i="113" s="1"/>
  <c r="D170" i="113" a="1"/>
  <c r="D170" i="113" s="1"/>
  <c r="D169" i="113" a="1"/>
  <c r="D169" i="113" s="1"/>
  <c r="D168" i="113" a="1"/>
  <c r="D168" i="113" s="1"/>
  <c r="D167" i="113" a="1"/>
  <c r="D167" i="113" s="1"/>
  <c r="D164" i="113" a="1"/>
  <c r="D164" i="113" s="1"/>
  <c r="D163" i="113" a="1"/>
  <c r="D163" i="113" s="1"/>
  <c r="D162" i="113" a="1"/>
  <c r="D162" i="113" s="1"/>
  <c r="D161" i="113" a="1"/>
  <c r="D161" i="113" s="1"/>
  <c r="E158" i="113" a="1"/>
  <c r="E158" i="113" s="1"/>
  <c r="D158" i="113" a="1"/>
  <c r="D158" i="113" s="1"/>
  <c r="E157" i="113" a="1"/>
  <c r="E157" i="113" s="1"/>
  <c r="D157" i="113" a="1"/>
  <c r="D157" i="113" s="1"/>
  <c r="E156" i="113" a="1"/>
  <c r="E156" i="113" s="1"/>
  <c r="D156" i="113" a="1"/>
  <c r="D156" i="113" s="1"/>
  <c r="E155" i="113" a="1"/>
  <c r="E155" i="113" s="1"/>
  <c r="D155" i="113" a="1"/>
  <c r="D155" i="113" s="1"/>
  <c r="E154" i="113" a="1"/>
  <c r="E154" i="113" s="1"/>
  <c r="D154" i="113" a="1"/>
  <c r="D154" i="113" s="1"/>
  <c r="D151" i="113" a="1"/>
  <c r="D151" i="113" s="1"/>
  <c r="D150" i="113" a="1"/>
  <c r="D150" i="113" s="1"/>
  <c r="E147" i="113" a="1"/>
  <c r="E147" i="113" s="1"/>
  <c r="D147" i="113" a="1"/>
  <c r="D147" i="113" s="1"/>
  <c r="E146" i="113" a="1"/>
  <c r="E146" i="113" s="1"/>
  <c r="D146" i="113" a="1"/>
  <c r="D146" i="113" s="1"/>
  <c r="E145" i="113" a="1"/>
  <c r="E145" i="113" s="1"/>
  <c r="D145" i="113" a="1"/>
  <c r="D145" i="113" s="1"/>
  <c r="E144" i="113" a="1"/>
  <c r="E144" i="113" s="1"/>
  <c r="D144" i="113" a="1"/>
  <c r="D144" i="113" s="1"/>
  <c r="E143" i="113" a="1"/>
  <c r="E143" i="113" s="1"/>
  <c r="D143" i="113" a="1"/>
  <c r="D143" i="113" s="1"/>
  <c r="D141" i="113" a="1"/>
  <c r="D141" i="113" s="1"/>
  <c r="D140" i="113" a="1"/>
  <c r="D140" i="113" s="1"/>
  <c r="D139" i="113" a="1"/>
  <c r="D139" i="113" s="1"/>
  <c r="E136" i="113" a="1"/>
  <c r="E136" i="113" s="1"/>
  <c r="D136" i="113" a="1"/>
  <c r="D136" i="113" s="1"/>
  <c r="E135" i="113" a="1"/>
  <c r="E135" i="113" s="1"/>
  <c r="D135" i="113" a="1"/>
  <c r="D135" i="113" s="1"/>
  <c r="D133" i="113" a="1"/>
  <c r="D133" i="113" s="1"/>
  <c r="D132" i="113" a="1"/>
  <c r="D132" i="113" s="1"/>
  <c r="E129" i="113" a="1"/>
  <c r="E129" i="113" s="1"/>
  <c r="D129" i="113" a="1"/>
  <c r="D129" i="113" s="1"/>
  <c r="E128" i="113" a="1"/>
  <c r="E128" i="113" s="1"/>
  <c r="D128" i="113" a="1"/>
  <c r="D128" i="113" s="1"/>
  <c r="D125" i="113" a="1"/>
  <c r="D125" i="113" s="1"/>
  <c r="D124" i="113" a="1"/>
  <c r="D124" i="113" s="1"/>
  <c r="G121" i="113" a="1"/>
  <c r="G121" i="113" s="1"/>
  <c r="F121" i="113" a="1"/>
  <c r="F121" i="113" s="1"/>
  <c r="E121" i="113" a="1"/>
  <c r="E121" i="113" s="1"/>
  <c r="D121" i="113" a="1"/>
  <c r="D121" i="113" s="1"/>
  <c r="G120" i="113" a="1"/>
  <c r="G120" i="113" s="1"/>
  <c r="F120" i="113" a="1"/>
  <c r="F120" i="113" s="1"/>
  <c r="E120" i="113" a="1"/>
  <c r="E120" i="113" s="1"/>
  <c r="D120" i="113" a="1"/>
  <c r="D120" i="113" s="1"/>
  <c r="D117" i="113" a="1"/>
  <c r="D117" i="113" s="1"/>
  <c r="D116" i="113" a="1"/>
  <c r="D116" i="113" s="1"/>
  <c r="D115" i="113" a="1"/>
  <c r="D115" i="113" s="1"/>
  <c r="G112" i="113" a="1"/>
  <c r="G112" i="113" s="1"/>
  <c r="F112" i="113" a="1"/>
  <c r="F112" i="113" s="1"/>
  <c r="E112" i="113" a="1"/>
  <c r="E112" i="113" s="1"/>
  <c r="D112" i="113" a="1"/>
  <c r="D112" i="113" s="1"/>
  <c r="G111" i="113" a="1"/>
  <c r="G111" i="113" s="1"/>
  <c r="F111" i="113" a="1"/>
  <c r="F111" i="113" s="1"/>
  <c r="E111" i="113" a="1"/>
  <c r="E111" i="113" s="1"/>
  <c r="D111" i="113" a="1"/>
  <c r="D111" i="113" s="1"/>
  <c r="G110" i="113" a="1"/>
  <c r="G110" i="113" s="1"/>
  <c r="F110" i="113" a="1"/>
  <c r="F110" i="113" s="1"/>
  <c r="E110" i="113" a="1"/>
  <c r="E110" i="113" s="1"/>
  <c r="D110" i="113" a="1"/>
  <c r="D110" i="113" s="1"/>
  <c r="D107" i="113" a="1"/>
  <c r="D107" i="113" s="1"/>
  <c r="D106" i="113" a="1"/>
  <c r="D106" i="113" s="1"/>
  <c r="D105" i="113" a="1"/>
  <c r="D105" i="113" s="1"/>
  <c r="D99" i="113" a="1"/>
  <c r="D99" i="113" s="1"/>
  <c r="S97" i="113" a="1"/>
  <c r="S97" i="113" s="1"/>
  <c r="R97" i="113" a="1"/>
  <c r="R97" i="113" s="1"/>
  <c r="Q97" i="113" a="1"/>
  <c r="Q97" i="113" s="1"/>
  <c r="P97" i="113" a="1"/>
  <c r="P97" i="113" s="1"/>
  <c r="O97" i="113" a="1"/>
  <c r="O97" i="113" s="1"/>
  <c r="N97" i="113" a="1"/>
  <c r="N97" i="113" s="1"/>
  <c r="M97" i="113" a="1"/>
  <c r="M97" i="113" s="1"/>
  <c r="L97" i="113" a="1"/>
  <c r="L97" i="113" s="1"/>
  <c r="K97" i="113" a="1"/>
  <c r="K97" i="113" s="1"/>
  <c r="J97" i="113" a="1"/>
  <c r="J97" i="113" s="1"/>
  <c r="I97" i="113" a="1"/>
  <c r="I97" i="113" s="1"/>
  <c r="H97" i="113" a="1"/>
  <c r="H97" i="113" s="1"/>
  <c r="G97" i="113" a="1"/>
  <c r="G97" i="113" s="1"/>
  <c r="F97" i="113" a="1"/>
  <c r="F97" i="113" s="1"/>
  <c r="E97" i="113" a="1"/>
  <c r="E97" i="113" s="1"/>
  <c r="D97" i="113" a="1"/>
  <c r="D97" i="113" s="1"/>
  <c r="S96" i="113" a="1"/>
  <c r="S96" i="113" s="1"/>
  <c r="R96" i="113" a="1"/>
  <c r="R96" i="113" s="1"/>
  <c r="Q96" i="113" a="1"/>
  <c r="Q96" i="113" s="1"/>
  <c r="P96" i="113" a="1"/>
  <c r="P96" i="113" s="1"/>
  <c r="O96" i="113" a="1"/>
  <c r="O96" i="113" s="1"/>
  <c r="N96" i="113" a="1"/>
  <c r="N96" i="113" s="1"/>
  <c r="M96" i="113" a="1"/>
  <c r="M96" i="113" s="1"/>
  <c r="L96" i="113" a="1"/>
  <c r="L96" i="113" s="1"/>
  <c r="K96" i="113" a="1"/>
  <c r="K96" i="113" s="1"/>
  <c r="J96" i="113" a="1"/>
  <c r="J96" i="113" s="1"/>
  <c r="I96" i="113" a="1"/>
  <c r="I96" i="113" s="1"/>
  <c r="H96" i="113" a="1"/>
  <c r="H96" i="113" s="1"/>
  <c r="G96" i="113" a="1"/>
  <c r="G96" i="113" s="1"/>
  <c r="F96" i="113" a="1"/>
  <c r="F96" i="113" s="1"/>
  <c r="E96" i="113" a="1"/>
  <c r="E96" i="113" s="1"/>
  <c r="D96" i="113" a="1"/>
  <c r="D96" i="113" s="1"/>
  <c r="S95" i="113" a="1"/>
  <c r="S95" i="113" s="1"/>
  <c r="R95" i="113" a="1"/>
  <c r="R95" i="113" s="1"/>
  <c r="Q95" i="113" a="1"/>
  <c r="Q95" i="113" s="1"/>
  <c r="P95" i="113" a="1"/>
  <c r="P95" i="113" s="1"/>
  <c r="O95" i="113" a="1"/>
  <c r="O95" i="113" s="1"/>
  <c r="N95" i="113" a="1"/>
  <c r="N95" i="113" s="1"/>
  <c r="M95" i="113" a="1"/>
  <c r="M95" i="113" s="1"/>
  <c r="L95" i="113" a="1"/>
  <c r="L95" i="113" s="1"/>
  <c r="K95" i="113" a="1"/>
  <c r="K95" i="113" s="1"/>
  <c r="J95" i="113" a="1"/>
  <c r="J95" i="113" s="1"/>
  <c r="I95" i="113" a="1"/>
  <c r="I95" i="113" s="1"/>
  <c r="H95" i="113" a="1"/>
  <c r="H95" i="113" s="1"/>
  <c r="G95" i="113" a="1"/>
  <c r="G95" i="113" s="1"/>
  <c r="F95" i="113" a="1"/>
  <c r="F95" i="113" s="1"/>
  <c r="E95" i="113" a="1"/>
  <c r="E95" i="113" s="1"/>
  <c r="D95" i="113" a="1"/>
  <c r="D95" i="113" s="1"/>
  <c r="S94" i="113" a="1"/>
  <c r="S94" i="113" s="1"/>
  <c r="R94" i="113" a="1"/>
  <c r="R94" i="113" s="1"/>
  <c r="Q94" i="113" a="1"/>
  <c r="Q94" i="113" s="1"/>
  <c r="P94" i="113" a="1"/>
  <c r="P94" i="113" s="1"/>
  <c r="O94" i="113" a="1"/>
  <c r="O94" i="113" s="1"/>
  <c r="N94" i="113" a="1"/>
  <c r="N94" i="113" s="1"/>
  <c r="M94" i="113" a="1"/>
  <c r="M94" i="113" s="1"/>
  <c r="L94" i="113" a="1"/>
  <c r="L94" i="113" s="1"/>
  <c r="K94" i="113" a="1"/>
  <c r="K94" i="113" s="1"/>
  <c r="J94" i="113" a="1"/>
  <c r="J94" i="113" s="1"/>
  <c r="I94" i="113" a="1"/>
  <c r="I94" i="113" s="1"/>
  <c r="H94" i="113" a="1"/>
  <c r="H94" i="113" s="1"/>
  <c r="G94" i="113" a="1"/>
  <c r="G94" i="113" s="1"/>
  <c r="F94" i="113" a="1"/>
  <c r="F94" i="113" s="1"/>
  <c r="E94" i="113" a="1"/>
  <c r="E94" i="113" s="1"/>
  <c r="D94" i="113" a="1"/>
  <c r="D94" i="113" s="1"/>
  <c r="S93" i="113" a="1"/>
  <c r="S93" i="113" s="1"/>
  <c r="R93" i="113" a="1"/>
  <c r="R93" i="113" s="1"/>
  <c r="Q93" i="113" a="1"/>
  <c r="Q93" i="113" s="1"/>
  <c r="P93" i="113" a="1"/>
  <c r="P93" i="113" s="1"/>
  <c r="O93" i="113" a="1"/>
  <c r="O93" i="113" s="1"/>
  <c r="N93" i="113" a="1"/>
  <c r="N93" i="113" s="1"/>
  <c r="M93" i="113" a="1"/>
  <c r="M93" i="113" s="1"/>
  <c r="L93" i="113" a="1"/>
  <c r="L93" i="113" s="1"/>
  <c r="K93" i="113" a="1"/>
  <c r="K93" i="113" s="1"/>
  <c r="J93" i="113" a="1"/>
  <c r="J93" i="113" s="1"/>
  <c r="I93" i="113" a="1"/>
  <c r="I93" i="113" s="1"/>
  <c r="H93" i="113" a="1"/>
  <c r="H93" i="113" s="1"/>
  <c r="G93" i="113" a="1"/>
  <c r="G93" i="113" s="1"/>
  <c r="F93" i="113" a="1"/>
  <c r="F93" i="113" s="1"/>
  <c r="E93" i="113" a="1"/>
  <c r="E93" i="113" s="1"/>
  <c r="D93" i="113" a="1"/>
  <c r="D93" i="113" s="1"/>
  <c r="S92" i="113" a="1"/>
  <c r="S92" i="113" s="1"/>
  <c r="R92" i="113" a="1"/>
  <c r="R92" i="113" s="1"/>
  <c r="Q92" i="113" a="1"/>
  <c r="Q92" i="113" s="1"/>
  <c r="P92" i="113" a="1"/>
  <c r="P92" i="113" s="1"/>
  <c r="O92" i="113" a="1"/>
  <c r="O92" i="113" s="1"/>
  <c r="N92" i="113" a="1"/>
  <c r="N92" i="113" s="1"/>
  <c r="M92" i="113" a="1"/>
  <c r="M92" i="113" s="1"/>
  <c r="L92" i="113" a="1"/>
  <c r="L92" i="113" s="1"/>
  <c r="K92" i="113" a="1"/>
  <c r="K92" i="113" s="1"/>
  <c r="J92" i="113" a="1"/>
  <c r="J92" i="113" s="1"/>
  <c r="I92" i="113" a="1"/>
  <c r="I92" i="113" s="1"/>
  <c r="H92" i="113" a="1"/>
  <c r="H92" i="113" s="1"/>
  <c r="G92" i="113" a="1"/>
  <c r="G92" i="113" s="1"/>
  <c r="F92" i="113" a="1"/>
  <c r="F92" i="113" s="1"/>
  <c r="E92" i="113" a="1"/>
  <c r="E92" i="113" s="1"/>
  <c r="D92" i="113" a="1"/>
  <c r="D92" i="113" s="1"/>
  <c r="S91" i="113" a="1"/>
  <c r="S91" i="113" s="1"/>
  <c r="R91" i="113" a="1"/>
  <c r="R91" i="113" s="1"/>
  <c r="Q91" i="113" a="1"/>
  <c r="Q91" i="113" s="1"/>
  <c r="P91" i="113" a="1"/>
  <c r="P91" i="113" s="1"/>
  <c r="O91" i="113" a="1"/>
  <c r="O91" i="113" s="1"/>
  <c r="N91" i="113" a="1"/>
  <c r="N91" i="113" s="1"/>
  <c r="M91" i="113" a="1"/>
  <c r="M91" i="113" s="1"/>
  <c r="L91" i="113" a="1"/>
  <c r="L91" i="113" s="1"/>
  <c r="K91" i="113" a="1"/>
  <c r="K91" i="113" s="1"/>
  <c r="J91" i="113" a="1"/>
  <c r="J91" i="113" s="1"/>
  <c r="I91" i="113" a="1"/>
  <c r="I91" i="113" s="1"/>
  <c r="H91" i="113" a="1"/>
  <c r="H91" i="113" s="1"/>
  <c r="G91" i="113" a="1"/>
  <c r="G91" i="113" s="1"/>
  <c r="F91" i="113" a="1"/>
  <c r="F91" i="113" s="1"/>
  <c r="E91" i="113" a="1"/>
  <c r="E91" i="113" s="1"/>
  <c r="D91" i="113" a="1"/>
  <c r="D91" i="113" s="1"/>
  <c r="S90" i="113" a="1"/>
  <c r="S90" i="113" s="1"/>
  <c r="R90" i="113" a="1"/>
  <c r="R90" i="113" s="1"/>
  <c r="Q90" i="113" a="1"/>
  <c r="Q90" i="113" s="1"/>
  <c r="P90" i="113" a="1"/>
  <c r="P90" i="113" s="1"/>
  <c r="O90" i="113" a="1"/>
  <c r="O90" i="113" s="1"/>
  <c r="N90" i="113" a="1"/>
  <c r="N90" i="113" s="1"/>
  <c r="M90" i="113" a="1"/>
  <c r="M90" i="113" s="1"/>
  <c r="L90" i="113" a="1"/>
  <c r="L90" i="113" s="1"/>
  <c r="K90" i="113" a="1"/>
  <c r="K90" i="113" s="1"/>
  <c r="J90" i="113" a="1"/>
  <c r="J90" i="113" s="1"/>
  <c r="I90" i="113" a="1"/>
  <c r="I90" i="113" s="1"/>
  <c r="H90" i="113" a="1"/>
  <c r="H90" i="113" s="1"/>
  <c r="G90" i="113" a="1"/>
  <c r="G90" i="113" s="1"/>
  <c r="F90" i="113" a="1"/>
  <c r="F90" i="113" s="1"/>
  <c r="E90" i="113" a="1"/>
  <c r="E90" i="113" s="1"/>
  <c r="D90" i="113" a="1"/>
  <c r="D90" i="113" s="1"/>
  <c r="D83" i="113" a="1"/>
  <c r="D83" i="113" s="1"/>
  <c r="D82" i="113" a="1"/>
  <c r="D82" i="113" s="1"/>
  <c r="D81" i="113" a="1"/>
  <c r="D81" i="113" s="1"/>
  <c r="E77" i="113" a="1"/>
  <c r="E77" i="113" s="1"/>
  <c r="D77" i="113" a="1"/>
  <c r="D77" i="113" s="1"/>
  <c r="E76" i="113" a="1"/>
  <c r="E76" i="113" s="1"/>
  <c r="D76" i="113" a="1"/>
  <c r="D76" i="113" s="1"/>
  <c r="E75" i="113" a="1"/>
  <c r="E75" i="113" s="1"/>
  <c r="D75" i="113" a="1"/>
  <c r="D75" i="113" s="1"/>
  <c r="E74" i="113" a="1"/>
  <c r="E74" i="113" s="1"/>
  <c r="D74" i="113" a="1"/>
  <c r="D74" i="113" s="1"/>
  <c r="E73" i="113" a="1"/>
  <c r="E73" i="113" s="1"/>
  <c r="D73" i="113" a="1"/>
  <c r="D73" i="113" s="1"/>
  <c r="E72" i="113" a="1"/>
  <c r="E72" i="113" s="1"/>
  <c r="D72" i="113" a="1"/>
  <c r="D72" i="113" s="1"/>
  <c r="E71" i="113" a="1"/>
  <c r="E71" i="113" s="1"/>
  <c r="D71" i="113" a="1"/>
  <c r="D71" i="113" s="1"/>
  <c r="E70" i="113" a="1"/>
  <c r="E70" i="113" s="1"/>
  <c r="D70" i="113" a="1"/>
  <c r="D70" i="113" s="1"/>
  <c r="E69" i="113" a="1"/>
  <c r="E69" i="113" s="1"/>
  <c r="D69" i="113" a="1"/>
  <c r="D69" i="113"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D59" i="113" a="1"/>
  <c r="D59" i="113" s="1"/>
  <c r="D58" i="113" a="1"/>
  <c r="D58" i="113" s="1"/>
  <c r="D57" i="113" a="1"/>
  <c r="D57" i="113" s="1"/>
  <c r="G54" i="113" a="1"/>
  <c r="G54" i="113" s="1"/>
  <c r="F54" i="113" a="1"/>
  <c r="F54" i="113" s="1"/>
  <c r="E54" i="113" a="1"/>
  <c r="E54" i="113" s="1"/>
  <c r="D54" i="113" a="1"/>
  <c r="D54" i="113" s="1"/>
  <c r="G53" i="113" a="1"/>
  <c r="G53" i="113" s="1"/>
  <c r="F53" i="113" a="1"/>
  <c r="F53" i="113" s="1"/>
  <c r="E53" i="113" a="1"/>
  <c r="E53" i="113" s="1"/>
  <c r="D53" i="113" a="1"/>
  <c r="D53" i="113" s="1"/>
  <c r="G52" i="113" a="1"/>
  <c r="G52" i="113" s="1"/>
  <c r="F52" i="113" a="1"/>
  <c r="F52" i="113" s="1"/>
  <c r="E52" i="113" a="1"/>
  <c r="E52" i="113" s="1"/>
  <c r="D52" i="113" a="1"/>
  <c r="D52" i="113" s="1"/>
  <c r="G51" i="113" a="1"/>
  <c r="G51" i="113" s="1"/>
  <c r="F51" i="113" a="1"/>
  <c r="F51" i="113" s="1"/>
  <c r="E51" i="113" a="1"/>
  <c r="E51" i="113" s="1"/>
  <c r="D51" i="113" a="1"/>
  <c r="D51" i="113" s="1"/>
  <c r="G50" i="113" a="1"/>
  <c r="G50" i="113" s="1"/>
  <c r="F50" i="113" a="1"/>
  <c r="F50" i="113" s="1"/>
  <c r="E50" i="113" a="1"/>
  <c r="E50" i="113" s="1"/>
  <c r="D50" i="113" a="1"/>
  <c r="D50" i="113" s="1"/>
  <c r="G49" i="113" a="1"/>
  <c r="G49" i="113" s="1"/>
  <c r="F49" i="113" a="1"/>
  <c r="F49" i="113" s="1"/>
  <c r="E49" i="113" a="1"/>
  <c r="E49" i="113" s="1"/>
  <c r="D49" i="113" a="1"/>
  <c r="D49" i="113" s="1"/>
  <c r="G48" i="113" a="1"/>
  <c r="G48" i="113" s="1"/>
  <c r="F48" i="113" a="1"/>
  <c r="F48" i="113" s="1"/>
  <c r="E48" i="113" a="1"/>
  <c r="E48" i="113" s="1"/>
  <c r="D48" i="113" a="1"/>
  <c r="D48" i="113" s="1"/>
  <c r="D46" i="113" a="1"/>
  <c r="D46" i="113" s="1"/>
  <c r="D45" i="113" a="1"/>
  <c r="D45" i="113" s="1"/>
  <c r="E43" i="113" a="1"/>
  <c r="E43" i="113" s="1"/>
  <c r="D43" i="113" a="1"/>
  <c r="D43" i="113" s="1"/>
  <c r="E42" i="113" a="1"/>
  <c r="E42" i="113" s="1"/>
  <c r="D42" i="113" a="1"/>
  <c r="D42" i="113" s="1"/>
  <c r="E41" i="113" a="1"/>
  <c r="E41" i="113" s="1"/>
  <c r="D41" i="113" a="1"/>
  <c r="D41" i="113" s="1"/>
  <c r="E40" i="113" a="1"/>
  <c r="E40" i="113" s="1"/>
  <c r="D40" i="113" a="1"/>
  <c r="D40" i="113" s="1"/>
  <c r="E39" i="113" a="1"/>
  <c r="E39" i="113" s="1"/>
  <c r="D39" i="113" a="1"/>
  <c r="D39" i="113" s="1"/>
  <c r="E38" i="113" a="1"/>
  <c r="E38" i="113" s="1"/>
  <c r="D38" i="113" a="1"/>
  <c r="D38" i="113" s="1"/>
  <c r="E37" i="113" a="1"/>
  <c r="E37" i="113" s="1"/>
  <c r="D37" i="113" a="1"/>
  <c r="D37" i="113" s="1"/>
  <c r="D35" i="113" a="1"/>
  <c r="D35" i="113" s="1"/>
  <c r="D34" i="113" a="1"/>
  <c r="D34"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19" i="113" a="1"/>
  <c r="D19" i="113" s="1"/>
  <c r="D18" i="113" a="1"/>
  <c r="D18"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F9" i="113" a="1"/>
  <c r="F9" i="113" s="1"/>
  <c r="E9" i="113" a="1"/>
  <c r="E9" i="113" s="1"/>
  <c r="D9" i="113" a="1"/>
  <c r="D9" i="113" s="1"/>
  <c r="F8" i="113" a="1"/>
  <c r="F8" i="113" s="1"/>
  <c r="E8" i="113" a="1"/>
  <c r="E8" i="113" s="1"/>
  <c r="D8" i="113" a="1"/>
  <c r="D8" i="113" s="1"/>
  <c r="A8" i="113"/>
  <c r="F7" i="113" a="1"/>
  <c r="F7" i="113" s="1"/>
  <c r="E7" i="113" a="1"/>
  <c r="E7" i="113" s="1"/>
  <c r="D7" i="113" a="1"/>
  <c r="D7" i="113" s="1"/>
  <c r="A7" i="113"/>
  <c r="D5" i="113" a="1"/>
  <c r="D5" i="113" s="1"/>
  <c r="A3" i="113"/>
  <c r="A8" i="71"/>
  <c r="A7" i="71"/>
  <c r="A3" i="71"/>
  <c r="E102" i="70"/>
  <c r="E95" i="70"/>
  <c r="E88" i="70"/>
  <c r="E81" i="70"/>
  <c r="E73" i="70"/>
  <c r="E66" i="70"/>
  <c r="E132" i="79" a="1"/>
  <c r="E132" i="79" s="1"/>
  <c r="D132" i="79" a="1"/>
  <c r="D132" i="79" s="1"/>
  <c r="E131" i="79" a="1"/>
  <c r="E131" i="79" s="1"/>
  <c r="D131" i="79" a="1"/>
  <c r="D131" i="79" s="1"/>
  <c r="E130" i="79" a="1"/>
  <c r="E130" i="79" s="1"/>
  <c r="D130" i="79" a="1"/>
  <c r="D130" i="79" s="1"/>
  <c r="E129" i="79" a="1"/>
  <c r="E129" i="79" s="1"/>
  <c r="D129" i="79" a="1"/>
  <c r="D129" i="79" s="1"/>
  <c r="E128" i="79" a="1"/>
  <c r="E128" i="79" s="1"/>
  <c r="D128" i="79" a="1"/>
  <c r="D128" i="79" s="1"/>
  <c r="D126" i="79" a="1"/>
  <c r="D126" i="79" s="1"/>
  <c r="D125" i="79" a="1"/>
  <c r="D125" i="79" s="1"/>
  <c r="F122" i="79" a="1"/>
  <c r="F122" i="79" s="1"/>
  <c r="E122" i="79" a="1"/>
  <c r="E122" i="79" s="1"/>
  <c r="D122" i="79" a="1"/>
  <c r="D122" i="79" s="1"/>
  <c r="D121" i="79" a="1"/>
  <c r="D121" i="79" s="1"/>
  <c r="D120" i="79" a="1"/>
  <c r="D120" i="79" s="1"/>
  <c r="H60" i="70"/>
  <c r="G60" i="70"/>
  <c r="F60" i="70"/>
  <c r="E60" i="70"/>
  <c r="H59" i="70"/>
  <c r="G59" i="70"/>
  <c r="F59" i="70"/>
  <c r="E59" i="70"/>
  <c r="E27" i="70"/>
  <c r="E29" i="15"/>
  <c r="E13" i="15"/>
  <c r="D11" i="70" s="1"/>
  <c r="A26" i="74"/>
  <c r="A25" i="74"/>
  <c r="A24" i="74"/>
  <c r="A23" i="74"/>
  <c r="A22" i="74"/>
  <c r="A18" i="74"/>
  <c r="A17" i="74"/>
  <c r="A16" i="74"/>
  <c r="A15" i="74"/>
  <c r="A14" i="74"/>
  <c r="A10" i="74"/>
  <c r="A9" i="74"/>
  <c r="A5" i="74"/>
  <c r="A4" i="74"/>
  <c r="A3" i="74"/>
  <c r="A26" i="43"/>
  <c r="A25" i="43"/>
  <c r="A24" i="43"/>
  <c r="A23" i="43"/>
  <c r="A22" i="43"/>
  <c r="A18" i="43"/>
  <c r="A17" i="43"/>
  <c r="A16" i="43"/>
  <c r="A15" i="43"/>
  <c r="A14" i="43"/>
  <c r="A10" i="43"/>
  <c r="A9" i="43"/>
  <c r="A5" i="43"/>
  <c r="A4" i="43"/>
  <c r="A3" i="43"/>
  <c r="A26" i="79"/>
  <c r="A25" i="79"/>
  <c r="A24" i="79"/>
  <c r="A23" i="79"/>
  <c r="A22" i="79"/>
  <c r="A18" i="79"/>
  <c r="A17" i="79"/>
  <c r="A16" i="79"/>
  <c r="A15" i="79"/>
  <c r="A14" i="79"/>
  <c r="A10" i="79"/>
  <c r="A9" i="79"/>
  <c r="A5" i="79"/>
  <c r="A4" i="79"/>
  <c r="A3" i="79"/>
  <c r="A26" i="105"/>
  <c r="A25" i="105"/>
  <c r="A24" i="105"/>
  <c r="A23" i="105"/>
  <c r="A22" i="105"/>
  <c r="A18" i="105"/>
  <c r="A17" i="105"/>
  <c r="A16" i="105"/>
  <c r="A15" i="105"/>
  <c r="A14" i="105"/>
  <c r="A10" i="105"/>
  <c r="A9" i="105"/>
  <c r="A5" i="105"/>
  <c r="A4" i="105"/>
  <c r="A3" i="105"/>
  <c r="A26" i="98"/>
  <c r="A25" i="98"/>
  <c r="A24" i="98"/>
  <c r="A23" i="98"/>
  <c r="A22" i="98"/>
  <c r="A18" i="98"/>
  <c r="A17" i="98"/>
  <c r="A16" i="98"/>
  <c r="A15" i="98"/>
  <c r="A14" i="98"/>
  <c r="A10" i="98"/>
  <c r="A9" i="98"/>
  <c r="A5" i="98"/>
  <c r="A4" i="98"/>
  <c r="A3" i="98"/>
  <c r="A26" i="97"/>
  <c r="A25" i="97"/>
  <c r="A24" i="97"/>
  <c r="A23" i="97"/>
  <c r="A22" i="97"/>
  <c r="A18" i="97"/>
  <c r="A17" i="97"/>
  <c r="A16" i="97"/>
  <c r="A15" i="97"/>
  <c r="A14" i="97"/>
  <c r="A10" i="97"/>
  <c r="A9" i="97"/>
  <c r="A5" i="97"/>
  <c r="A4" i="97"/>
  <c r="A3" i="97"/>
  <c r="A26" i="76"/>
  <c r="A25" i="76"/>
  <c r="A24" i="76"/>
  <c r="A23" i="76"/>
  <c r="A22" i="76"/>
  <c r="A18" i="76"/>
  <c r="A17" i="76"/>
  <c r="A16" i="76"/>
  <c r="A15" i="76"/>
  <c r="A14" i="76"/>
  <c r="A10" i="76"/>
  <c r="A9" i="76"/>
  <c r="A5" i="76"/>
  <c r="A4" i="76"/>
  <c r="A3" i="76"/>
  <c r="A26" i="69"/>
  <c r="A25" i="69"/>
  <c r="A24" i="69"/>
  <c r="A23" i="69"/>
  <c r="A22" i="69"/>
  <c r="A18" i="69"/>
  <c r="A17" i="69"/>
  <c r="A16" i="69"/>
  <c r="A15" i="69"/>
  <c r="A14" i="69"/>
  <c r="A10" i="69"/>
  <c r="A9" i="69"/>
  <c r="A5" i="69"/>
  <c r="A4" i="69"/>
  <c r="A3" i="69"/>
  <c r="A26" i="70"/>
  <c r="A25" i="70"/>
  <c r="A24" i="70"/>
  <c r="A23" i="70"/>
  <c r="A22" i="70"/>
  <c r="A18" i="70"/>
  <c r="A17" i="70"/>
  <c r="A16" i="70"/>
  <c r="A15" i="70"/>
  <c r="A14" i="70"/>
  <c r="A10" i="70"/>
  <c r="A9" i="70"/>
  <c r="A5" i="70"/>
  <c r="A4" i="70"/>
  <c r="A3" i="70"/>
  <c r="A26" i="15"/>
  <c r="A25" i="15"/>
  <c r="A24" i="15"/>
  <c r="A23" i="15"/>
  <c r="A22" i="15"/>
  <c r="A18" i="15"/>
  <c r="A17" i="15"/>
  <c r="A16" i="15"/>
  <c r="A15" i="15"/>
  <c r="A14" i="15"/>
  <c r="A10" i="15"/>
  <c r="A9" i="15"/>
  <c r="A5" i="15"/>
  <c r="A4" i="15"/>
  <c r="A3" i="15"/>
  <c r="A26" i="13"/>
  <c r="A25" i="13"/>
  <c r="A24" i="13"/>
  <c r="A23" i="13"/>
  <c r="A22" i="13"/>
  <c r="A18" i="13"/>
  <c r="A17" i="13"/>
  <c r="A16" i="13"/>
  <c r="A15" i="13"/>
  <c r="A14" i="13"/>
  <c r="A10" i="13"/>
  <c r="A9" i="13"/>
  <c r="A5" i="13"/>
  <c r="A4" i="13"/>
  <c r="A3" i="13"/>
  <c r="A26" i="109"/>
  <c r="A25" i="109"/>
  <c r="A24" i="109"/>
  <c r="A23" i="109"/>
  <c r="A22" i="109"/>
  <c r="A18" i="109"/>
  <c r="A17" i="109"/>
  <c r="A16" i="109"/>
  <c r="A15" i="109"/>
  <c r="A14" i="109"/>
  <c r="A10" i="109"/>
  <c r="A9" i="109"/>
  <c r="A5" i="109"/>
  <c r="A4" i="109"/>
  <c r="A3" i="109"/>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4" i="113" l="1"/>
  <c r="H48" i="113"/>
  <c r="H51" i="113"/>
  <c r="H50" i="113"/>
  <c r="H53" i="113"/>
  <c r="D10" i="70"/>
  <c r="H49" i="113"/>
  <c r="H52" i="113"/>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7" i="105" a="1"/>
  <c r="E7" i="98" a="1"/>
  <c r="E7" i="97" a="1"/>
  <c r="E34" i="98" a="1"/>
  <c r="E112" i="97" a="1"/>
  <c r="O112" i="97" a="1"/>
  <c r="E248" i="76"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82" i="76" a="1"/>
  <c r="E7" i="76" a="1"/>
  <c r="E129" i="76" a="1"/>
  <c r="E41"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0" i="70"/>
  <c r="G70" i="70"/>
  <c r="F70" i="70"/>
  <c r="H99" i="70"/>
  <c r="G99" i="70"/>
  <c r="F99" i="70"/>
  <c r="H92" i="70"/>
  <c r="G92" i="70"/>
  <c r="F92" i="70"/>
  <c r="H85" i="70"/>
  <c r="G85" i="70"/>
  <c r="F85" i="70"/>
  <c r="H78" i="70"/>
  <c r="G78" i="70"/>
  <c r="F78" i="70"/>
  <c r="D48" i="69" a="1"/>
  <c r="D48" i="69" s="1"/>
  <c r="E47" i="69" a="1"/>
  <c r="E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35" i="69" a="1"/>
  <c r="E190" i="69" a="1"/>
  <c r="E74" i="69" a="1"/>
  <c r="E218"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E63" i="97" s="1" a="1"/>
  <c r="E63" i="97" s="1"/>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E154" i="76" s="1" a="1"/>
  <c r="E154" i="76" s="1"/>
  <c r="N207" i="69"/>
  <c r="N186" i="105"/>
  <c r="N26" i="105"/>
  <c r="D138" i="105"/>
  <c r="D56" i="105"/>
  <c r="M47" i="98"/>
  <c r="D94" i="69"/>
  <c r="E94" i="69" s="1" a="1"/>
  <c r="E94" i="69" s="1"/>
  <c r="D47" i="98"/>
  <c r="N29" i="69"/>
  <c r="D26" i="105"/>
  <c r="D186" i="105"/>
  <c r="N63" i="76"/>
  <c r="N138" i="105"/>
  <c r="D143" i="76"/>
  <c r="D29" i="69"/>
  <c r="D113" i="105"/>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3" i="105" a="1"/>
  <c r="E113" i="105" s="1"/>
  <c r="E116" i="105" a="1"/>
  <c r="E116" i="105" s="1"/>
  <c r="D104" i="70"/>
  <c r="D67" i="70"/>
  <c r="E64" i="97" a="1"/>
  <c r="E64" i="97" s="1"/>
  <c r="E155" i="76" a="1"/>
  <c r="E155" i="76" s="1"/>
  <c r="E144" i="76" a="1"/>
  <c r="E144" i="76" s="1"/>
  <c r="D75" i="70"/>
  <c r="D97" i="70"/>
  <c r="D90" i="70"/>
  <c r="D103" i="70"/>
  <c r="D89" i="70"/>
  <c r="D82" i="70"/>
  <c r="D96" i="70"/>
  <c r="E142" i="76" a="1"/>
  <c r="E142" i="76" s="1"/>
  <c r="D74" i="70"/>
  <c r="E143" i="76" a="1"/>
  <c r="E143" i="76" s="1"/>
  <c r="D68" i="70"/>
  <c r="D76" i="70"/>
  <c r="D83" i="70"/>
  <c r="E156" i="76" a="1"/>
  <c r="E156" i="76" s="1"/>
  <c r="E65" i="97" a="1"/>
  <c r="E65" i="97" s="1"/>
  <c r="D98" i="70"/>
  <c r="D105" i="70"/>
  <c r="D84" i="70"/>
  <c r="D69" i="70"/>
  <c r="D77" i="70"/>
  <c r="D106" i="70"/>
  <c r="D91"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H108" i="69" s="1" a="1"/>
  <c r="H10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F108" i="69" a="1"/>
  <c r="F108" i="69" s="1"/>
  <c r="R108" i="69" a="1"/>
  <c r="R108" i="69" s="1"/>
  <c r="O108" i="69" a="1"/>
  <c r="O108" i="69" s="1"/>
  <c r="E108" i="69" a="1"/>
  <c r="E108" i="69" s="1"/>
  <c r="P108" i="69" l="1" a="1"/>
  <c r="P108" i="69" s="1"/>
  <c r="Q181" i="69" s="1" a="1"/>
  <c r="Q181" i="69" s="1"/>
  <c r="Q108" i="69" a="1"/>
  <c r="Q108" i="69" s="1"/>
  <c r="R184" i="69" s="1" a="1"/>
  <c r="R184" i="69" s="1"/>
  <c r="G108" i="69" a="1"/>
  <c r="G108" i="69" s="1"/>
  <c r="H183" i="69" s="1" a="1"/>
  <c r="H183" i="69" s="1"/>
  <c r="H233" i="76"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G184" i="69" a="1"/>
  <c r="G184" i="69" s="1"/>
  <c r="F184" i="69" a="1"/>
  <c r="F184" i="69" s="1"/>
  <c r="Q264" i="76" a="1"/>
  <c r="Q264" i="76" s="1"/>
  <c r="R264" i="76" a="1"/>
  <c r="R264" i="76" s="1"/>
  <c r="H206" i="69" a="1"/>
  <c r="H206" i="69" s="1"/>
  <c r="F206" i="69" a="1"/>
  <c r="F206" i="69" s="1"/>
  <c r="I183" i="69" a="1"/>
  <c r="I183" i="69" s="1"/>
  <c r="G183" i="69" a="1"/>
  <c r="G183" i="69" s="1"/>
  <c r="F183" i="69" a="1"/>
  <c r="F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F182" i="69" a="1"/>
  <c r="F182" i="69" s="1"/>
  <c r="I182" i="69" a="1"/>
  <c r="I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Q183" i="69" l="1" a="1"/>
  <c r="Q183" i="69" s="1"/>
  <c r="Q184" i="69" a="1"/>
  <c r="Q184" i="69" s="1"/>
  <c r="R182" i="69" a="1"/>
  <c r="R182" i="69" s="1"/>
  <c r="Q182" i="69" a="1"/>
  <c r="Q182" i="69" s="1"/>
  <c r="R183" i="69" a="1"/>
  <c r="R183" i="69" s="1"/>
  <c r="R181" i="69" a="1"/>
  <c r="R181" i="69" s="1"/>
  <c r="H182" i="69" a="1"/>
  <c r="H182" i="69" s="1"/>
  <c r="H181" i="69" a="1"/>
  <c r="H181" i="69" s="1"/>
  <c r="H184" i="69" a="1"/>
  <c r="H184" i="69" s="1"/>
  <c r="H38" i="105"/>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D229" i="69" a="1"/>
  <c r="D229" i="69" s="1"/>
  <c r="D259" i="69" s="1" a="1"/>
  <c r="D259" i="69"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G229" i="69" a="1"/>
  <c r="G229" i="69" s="1"/>
  <c r="G259" i="69" s="1" a="1"/>
  <c r="G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O229" i="69" l="1" a="1"/>
  <c r="O229" i="69" s="1"/>
  <c r="O259" i="69" s="1" a="1"/>
  <c r="O259" i="69" s="1"/>
  <c r="P229" i="69" a="1"/>
  <c r="P229" i="69" s="1"/>
  <c r="P259" i="69" s="1" a="1"/>
  <c r="P259" i="69" s="1"/>
  <c r="F229" i="69" a="1"/>
  <c r="F229" i="69" s="1"/>
  <c r="F259" i="69" s="1" a="1"/>
  <c r="F259" i="69" s="1"/>
  <c r="E261" i="69" s="1"/>
  <c r="H150" i="105"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F33" i="97"/>
  <c r="F80" i="97" s="1" a="1"/>
  <c r="F80" i="97" s="1"/>
  <c r="F34" i="97"/>
  <c r="F81" i="97" s="1" a="1"/>
  <c r="F81" i="97" s="1"/>
  <c r="R32" i="97"/>
  <c r="R79" i="97" s="1" a="1"/>
  <c r="R79" i="97" s="1"/>
  <c r="R34" i="97"/>
  <c r="R81" i="97" s="1" a="1"/>
  <c r="R81" i="97" s="1"/>
  <c r="G32" i="97"/>
  <c r="G79" i="97" s="1" a="1"/>
  <c r="G79" i="97" s="1"/>
  <c r="S34" i="97"/>
  <c r="S81" i="97" s="1" a="1"/>
  <c r="S81" i="97" s="1"/>
  <c r="F32" i="97"/>
  <c r="F79" i="97" s="1" a="1"/>
  <c r="F79" i="97" s="1"/>
  <c r="O261" i="69" l="1"/>
  <c r="F7" i="13" s="1"/>
  <c r="O297" i="76"/>
  <c r="E297" i="76"/>
  <c r="E7" i="13"/>
  <c r="G263" i="69"/>
  <c r="E266" i="69" s="1" a="1"/>
  <c r="E266" i="69" s="1"/>
  <c r="H7" i="13" s="1"/>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l="1"/>
  <c r="O266" i="69" s="1" a="1"/>
  <c r="O266" i="69" s="1"/>
  <c r="I7" i="13" s="1"/>
  <c r="O209" i="105"/>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<sst xmlns="http://schemas.openxmlformats.org/spreadsheetml/2006/main" count="1227" uniqueCount="414">
  <si>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</si>
  <si>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</si>
  <si>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</si>
  <si>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</si>
  <si>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</si>
  <si>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</si>
  <si>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</si>
  <si>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</si>
  <si>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</si>
  <si>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</si>
  <si>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</si>
  <si>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</si>
  <si>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</si>
  <si>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</si>
  <si>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</si>
  <si>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</si>
  <si>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</si>
  <si>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</si>
  <si>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</si>
  <si>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</si>
  <si>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</si>
  <si>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</si>
  <si>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</si>
  <si>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</si>
  <si>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</si>
  <si>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</si>
  <si>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</si>
  <si>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</si>
  <si>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</si>
  <si>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</si>
  <si>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</si>
  <si>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</si>
  <si>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</si>
  <si>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</si>
  <si>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</si>
  <si>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</si>
  <si>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</si>
  <si>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</si>
  <si>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</si>
  <si>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</si>
  <si>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</si>
  <si>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</si>
  <si>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</si>
  <si>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</si>
  <si>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</si>
  <si>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</si>
  <si>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</si>
  <si>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</si>
  <si>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</si>
  <si>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</si>
  <si>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</si>
  <si>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</si>
  <si>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</si>
  <si>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</si>
  <si>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</si>
  <si>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</si>
  <si>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</si>
  <si>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</si>
  <si>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</si>
  <si>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</si>
  <si>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</si>
  <si>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</si>
  <si>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</si>
  <si>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</si>
  <si>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</si>
  <si>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</si>
  <si>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</si>
  <si>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</si>
  <si>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</si>
  <si>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</si>
  <si>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</si>
  <si>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</si>
  <si>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</si>
  <si>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</si>
  <si>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</si>
  <si>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</si>
  <si>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</si>
  <si>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</si>
  <si>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</si>
  <si>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</si>
  <si>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</si>
  <si>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</si>
  <si>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</si>
  <si>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</si>
  <si>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</si>
  <si>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</si>
  <si>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</si>
  <si>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</si>
  <si>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</si>
  <si>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</si>
  <si>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</si>
  <si>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</si>
  <si>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</si>
  <si>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</si>
  <si>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</si>
  <si>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</si>
  <si>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</si>
  <si>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</si>
  <si>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</si>
  <si>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</si>
  <si>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</si>
  <si>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</si>
  <si>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</si>
  <si>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</si>
  <si>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</si>
  <si>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</si>
  <si>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</si>
  <si>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</si>
  <si>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</si>
  <si>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</si>
  <si>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</si>
  <si>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</si>
  <si>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</si>
  <si>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</si>
  <si>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</si>
  <si>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</si>
  <si>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</si>
  <si>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</si>
  <si>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</si>
  <si>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</si>
  <si>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</si>
  <si>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</si>
  <si>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</si>
  <si>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</si>
  <si>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</si>
  <si>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</si>
  <si>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</si>
  <si>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</si>
  <si>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</si>
  <si>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</si>
  <si>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</si>
  <si>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</si>
  <si>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</si>
  <si>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</si>
  <si>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</si>
  <si>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</si>
  <si>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</si>
  <si>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</si>
  <si>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</si>
  <si>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</si>
  <si>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</si>
  <si>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</si>
  <si>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</si>
  <si>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</si>
  <si>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</si>
  <si>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</si>
  <si>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</si>
  <si>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</si>
  <si>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</si>
  <si>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</si>
  <si>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</si>
  <si>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</si>
  <si>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</si>
  <si>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</si>
  <si>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</si>
  <si>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</si>
  <si>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</si>
  <si>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</si>
  <si>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</si>
  <si>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</si>
  <si>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</si>
  <si>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</si>
  <si>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</si>
  <si>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</si>
  <si>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</si>
  <si>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</si>
  <si>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</si>
  <si>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</si>
  <si>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</si>
  <si>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</si>
  <si>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</si>
  <si>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</si>
  <si>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</si>
  <si>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</si>
  <si>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</si>
  <si>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</si>
  <si>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</si>
  <si>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</si>
  <si>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</si>
  <si>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</si>
  <si>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</si>
  <si>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</si>
  <si>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</si>
  <si>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</si>
  <si>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</si>
  <si>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</si>
  <si>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</si>
  <si>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</si>
  <si>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</si>
  <si>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</si>
  <si>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</si>
  <si>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</si>
  <si>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</si>
  <si>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</si>
  <si>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</si>
  <si>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</si>
  <si>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</si>
  <si>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</si>
  <si>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</si>
  <si>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</si>
  <si>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</si>
  <si>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</si>
  <si>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</si>
  <si>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</si>
  <si>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</si>
  <si>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</si>
  <si>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</si>
  <si>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</si>
  <si>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</si>
  <si>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</si>
  <si>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</si>
  <si>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</si>
  <si>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</si>
  <si>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</si>
  <si>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</si>
  <si>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</si>
  <si>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</si>
  <si>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</si>
  <si>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</si>
  <si>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</si>
  <si>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</si>
  <si>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</si>
  <si>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</si>
  <si>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</si>
  <si>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</si>
  <si>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</si>
  <si>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</si>
  <si>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</si>
  <si>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</si>
  <si>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</si>
  <si>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</si>
  <si>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</si>
  <si>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</si>
  <si>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</si>
  <si>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</si>
  <si>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</si>
  <si>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</si>
  <si>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</si>
  <si>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</si>
  <si>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</si>
  <si>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</si>
  <si>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</si>
  <si>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</si>
  <si>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</si>
  <si>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</si>
  <si>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</si>
  <si>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</si>
  <si>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</si>
  <si>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</si>
  <si>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</si>
  <si>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</si>
  <si>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</si>
  <si>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</si>
  <si>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</si>
  <si>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</si>
  <si>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</si>
  <si>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</si>
  <si>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</si>
  <si>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</si>
  <si>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</si>
  <si>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</si>
  <si>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</si>
  <si>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</si>
  <si>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</si>
  <si>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</si>
  <si>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</si>
  <si>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</si>
  <si>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</si>
  <si>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</si>
  <si>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</si>
  <si>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</si>
  <si>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</si>
  <si>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</si>
  <si>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</si>
  <si>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</si>
  <si>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</si>
  <si>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</si>
  <si>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</si>
  <si>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</si>
  <si>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</si>
  <si>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</si>
  <si>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</si>
  <si>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</si>
  <si>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</si>
  <si>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</si>
  <si>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</si>
  <si>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</si>
  <si>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</si>
  <si>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</si>
  <si>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</si>
  <si>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</si>
  <si>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</si>
  <si>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</si>
  <si>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</si>
  <si>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</si>
  <si>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</si>
  <si>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</si>
  <si>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</si>
  <si>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</si>
  <si>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</si>
  <si>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</si>
  <si>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</si>
  <si>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</si>
  <si>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</si>
  <si>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</si>
  <si>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</si>
  <si>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</si>
  <si>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</si>
  <si>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</si>
  <si>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</si>
  <si>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</si>
  <si>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</si>
  <si>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</si>
  <si>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</si>
  <si>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</si>
  <si>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</si>
  <si>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</si>
  <si>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</si>
  <si>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</si>
  <si>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</si>
  <si>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</si>
  <si>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</si>
  <si>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</si>
  <si>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</si>
  <si>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</si>
  <si>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</si>
  <si>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</si>
  <si>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</si>
  <si>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</si>
  <si>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</si>
  <si>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</si>
  <si>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</si>
  <si>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</si>
  <si>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</si>
  <si>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</si>
  <si>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</si>
  <si>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</si>
  <si>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</si>
  <si>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</si>
  <si>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</si>
  <si>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</si>
  <si>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</si>
  <si>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</si>
  <si>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</si>
  <si>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</si>
  <si>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</si>
  <si>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</si>
  <si>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</si>
  <si>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</si>
  <si>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</si>
  <si>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</si>
  <si>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</si>
  <si>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</si>
  <si>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</si>
  <si>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</si>
  <si>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</si>
  <si>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</si>
  <si>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</si>
  <si>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</si>
  <si>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</si>
  <si>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</si>
  <si>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</si>
  <si>
    <t>Livestock type j</t>
  </si>
  <si>
    <t>Average liveweight (kg)</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</si>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</sst>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2"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7"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1" fillId="11" borderId="0">
      <alignment horizontal="left" vertical="center" indent="1"/>
    </xf>
    <xf numFmtId="0" fontId="63" fillId="15" borderId="2">
      <alignment horizontal="center" vertical="center"/>
    </xf>
    <xf numFmtId="0" fontId="64" fillId="16" borderId="2">
      <alignment horizontal="center" vertical="center"/>
    </xf>
    <xf numFmtId="0" fontId="67" fillId="0" borderId="0" applyNumberFormat="0" applyFill="0" applyBorder="0" applyAlignment="0" applyProtection="0"/>
    <xf numFmtId="0" fontId="65" fillId="4" borderId="2">
      <alignment horizontal="left" vertical="center"/>
    </xf>
    <xf numFmtId="0" fontId="34" fillId="4" borderId="2">
      <alignment horizontal="left" vertical="center"/>
    </xf>
    <xf numFmtId="0" fontId="68" fillId="0" borderId="0"/>
  </cellStyleXfs>
  <cellXfs count="150">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3"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6" fillId="0" borderId="0" xfId="5" applyFill="1">
      <alignment horizontal="left" vertical="center"/>
    </xf>
    <xf numFmtId="0" fontId="42"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7"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9" fontId="34" fillId="4" borderId="2" xfId="14" applyFont="1" applyFill="1" applyBorder="1" applyAlignment="1">
      <alignment horizontal="center" vertical="center"/>
    </xf>
    <xf numFmtId="0" fontId="47" fillId="4" borderId="0" xfId="61">
      <alignment horizontal="left" vertical="center"/>
    </xf>
    <xf numFmtId="0" fontId="46" fillId="4" borderId="0" xfId="60">
      <alignment horizontal="left" vertical="center"/>
    </xf>
    <xf numFmtId="0" fontId="34" fillId="4" borderId="19" xfId="55" applyBorder="1" applyAlignment="1">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8"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5" fillId="11" borderId="0" xfId="63">
      <alignment horizontal="center" vertical="center"/>
    </xf>
    <xf numFmtId="0" fontId="56" fillId="0" borderId="0" xfId="2" applyFont="1"/>
    <xf numFmtId="0" fontId="43" fillId="13" borderId="20" xfId="41" applyBorder="1">
      <alignment horizontal="left" vertical="center"/>
    </xf>
    <xf numFmtId="0" fontId="57"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8" fillId="4" borderId="0" xfId="8" applyFont="1">
      <alignment horizontal="left" vertical="center"/>
    </xf>
    <xf numFmtId="0" fontId="59" fillId="4" borderId="0" xfId="8" applyFont="1">
      <alignment horizontal="left" vertical="center"/>
    </xf>
    <xf numFmtId="3" fontId="34" fillId="4" borderId="2" xfId="55" applyNumberFormat="1">
      <alignment horizontal="center" vertical="center"/>
    </xf>
    <xf numFmtId="0" fontId="38" fillId="4" borderId="0" xfId="8" applyAlignment="1">
      <alignment horizontal="left" vertical="center" indent="3"/>
    </xf>
    <xf numFmtId="0" fontId="40" fillId="4" borderId="0" xfId="8" applyFont="1" applyAlignment="1">
      <alignment horizontal="left" vertical="center" indent="3"/>
    </xf>
    <xf numFmtId="0" fontId="38" fillId="4" borderId="0" xfId="8" applyAlignment="1">
      <alignment horizontal="left" vertical="center" indent="6"/>
    </xf>
    <xf numFmtId="0" fontId="13" fillId="6" borderId="0" xfId="29" applyAlignment="1">
      <alignment horizontal="left" vertical="center" indent="3"/>
    </xf>
    <xf numFmtId="0" fontId="57" fillId="6" borderId="0" xfId="30" applyFont="1" applyAlignment="1" applyProtection="1">
      <alignment horizontal="left" vertical="center"/>
    </xf>
    <xf numFmtId="0" fontId="38" fillId="4" borderId="0" xfId="8" applyAlignment="1">
      <alignment horizontal="center" vertical="center"/>
    </xf>
    <xf numFmtId="0" fontId="61" fillId="4" borderId="0" xfId="62" applyFont="1" applyAlignment="1">
      <alignment horizontal="left" vertical="center" indent="2"/>
    </xf>
    <xf numFmtId="0" fontId="61" fillId="4" borderId="0" xfId="62" applyFont="1">
      <alignment horizontal="left" vertical="center"/>
    </xf>
    <xf numFmtId="0" fontId="43" fillId="13" borderId="9" xfId="41" applyBorder="1">
      <alignment horizontal="left" vertical="center"/>
    </xf>
    <xf numFmtId="0" fontId="62" fillId="4" borderId="0" xfId="62" applyFont="1">
      <alignment horizontal="left" vertical="center"/>
    </xf>
    <xf numFmtId="170" fontId="8" fillId="4" borderId="0" xfId="10" applyNumberFormat="1">
      <alignment horizontal="center" vertical="center"/>
    </xf>
    <xf numFmtId="0" fontId="63" fillId="15" borderId="2" xfId="65">
      <alignment horizontal="center" vertical="center"/>
    </xf>
    <xf numFmtId="0" fontId="64" fillId="16" borderId="2" xfId="66">
      <alignment horizontal="center" vertical="center"/>
    </xf>
    <xf numFmtId="0" fontId="65" fillId="4" borderId="2" xfId="55" applyFont="1" applyAlignment="1">
      <alignment horizontal="left" vertical="center"/>
    </xf>
    <xf numFmtId="0" fontId="64" fillId="16" borderId="6" xfId="66" applyBorder="1">
      <alignment horizontal="center" vertical="center"/>
    </xf>
    <xf numFmtId="0" fontId="65"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5" fillId="4" borderId="6" xfId="68" applyBorder="1">
      <alignment horizontal="left" vertical="center"/>
    </xf>
    <xf numFmtId="0" fontId="65" fillId="4" borderId="7" xfId="68" applyBorder="1">
      <alignment horizontal="left" vertical="center"/>
    </xf>
    <xf numFmtId="0" fontId="68" fillId="0" borderId="0" xfId="70"/>
    <xf numFmtId="0" fontId="0" fillId="0" borderId="21" xfId="0" applyBorder="1"/>
    <xf numFmtId="0" fontId="0" fillId="4" borderId="21" xfId="0" applyFill="1" applyBorder="1"/>
    <xf numFmtId="0" fontId="21" fillId="11" borderId="0" xfId="64">
      <alignment horizontal="left" vertical="center" indent="1"/>
    </xf>
    <xf numFmtId="0" fontId="69"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7" fillId="0" borderId="0" xfId="34"/>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9"/>
      <tableStyleElement type="headerRow" dxfId="98"/>
      <tableStyleElement type="totalRow" dxfId="97"/>
      <tableStyleElement type="firstColumn" dxfId="96"/>
      <tableStyleElement type="firstRowStripe" dxfId="95"/>
      <tableStyleElement type="secondRowStripe" dxfId="94"/>
    </tableStyle>
    <tableStyle name="Equation table" pivot="0" count="6" xr9:uid="{B247698E-E41D-4CCD-AA0A-C14817E9DE65}">
      <tableStyleElement type="wholeTable" dxfId="93"/>
      <tableStyleElement type="headerRow" dxfId="92"/>
      <tableStyleElement type="totalRow" dxfId="91"/>
      <tableStyleElement type="firstColumn" dxfId="90"/>
      <tableStyleElement type="firstRowStripe" dxfId="89"/>
      <tableStyleElement type="secondRowStripe" dxfId="88"/>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50"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9"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8"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7"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46"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45"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44"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43"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42"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41"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40"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9"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8"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7"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36"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35" dataCellStyle="Content normal">
  <autoFilter ref="D78:E82" xr:uid="{E34928EB-73E5-43B2-830B-089F30DA4EF0}">
    <filterColumn colId="0" hiddenButton="1"/>
    <filterColumn colId="1" hiddenButton="1"/>
  </autoFilter>
  <tableColumns count="2">
    <tableColumn id="1" xr3:uid="{CAC8EB28-568F-4E9F-8E36-EBDFF74A58D3}" name="Class" dataDxfId="34"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33"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32"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31"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30"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9"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A254605-4CDB-415A-A190-7F77AFC9D7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969FF8AE-5D3E-433B-A365-F49AE6130585}" name="Livestock type j">
      <calculatedColumnFormula array="1">Common_InputFunctions.Utility_DisplayArrayInTable(SourceData_Swine.SourceData_Swine_AverageLiveweight_Data(),Table_SourceData_Swine_Liveweight[[#Headers],[Livestock type j]],0)</calculatedColumnFormula>
    </tableColumn>
    <tableColumn id="2" xr3:uid="{9C7E1D4D-8B61-4284-8391-BB58A293649F}" name="Average liveweight (kg)" dataDxfId="28"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2321E19-EC22-4961-B100-A0CAA0C5C00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5F2D035-0EDD-417E-AFFD-3D15A5017626}" name="State/Territory">
      <calculatedColumnFormula array="1">Common_InputFunctions.Utility_DisplayArrayInTable(Common_SourceData.Common_SourceData_AustralianStatesTerritories_Data(),Table_AustralianStates[[#Headers],[State/Territory]],0)</calculatedColumnFormula>
    </tableColumn>
    <tableColumn id="2" xr3:uid="{A8E594C9-B631-4294-86D9-31489A0C26E7}" name="Common Name">
      <calculatedColumnFormula array="1">Common_InputFunctions.Utility_DisplayArrayInTable(Common_SourceData.Common_SourceData_AustralianStatesTerritories_Data(),Table_AustralianStates[[#Headers],[State/Territory]],0)</calculatedColumnFormula>
    </tableColumn>
    <tableColumn id="3" xr3:uid="{A685156D-827A-43C6-8D0B-83A7015EFDF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8AE6B96-05CE-4AE9-8891-B9D441561FCA}" name="Table_WASA4Areas" displayName="Table_WASA4Areas" ref="D20:D30" totalsRowShown="0">
  <autoFilter ref="D20:D30" xr:uid="{5FA81339-C6C8-4D36-BEEA-6C4AEDD9E676}">
    <filterColumn colId="0" hiddenButton="1"/>
  </autoFilter>
  <tableColumns count="1">
    <tableColumn id="1" xr3:uid="{A8B9B001-BAD1-40F8-966C-77D577D54CD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CEC7A58-CCA8-413D-9CA6-0B6A952A2199}" name="Table_GWPData" displayName="Table_GWPData" ref="D36:E43" totalsRowShown="0">
  <autoFilter ref="D36:E43" xr:uid="{B8E87A66-3E41-4AD3-925D-01EE21B43D7A}">
    <filterColumn colId="0" hiddenButton="1"/>
    <filterColumn colId="1" hiddenButton="1"/>
  </autoFilter>
  <tableColumns count="2">
    <tableColumn id="1" xr3:uid="{3C5B5E6C-E6D2-4BA0-B6BD-A76E14291EA2}" name="Gas">
      <calculatedColumnFormula array="1">Common_InputFunctions.Utility_DisplayArrayInTable(Common_SourceData.Common_SourceData_GWP_Data(), Table_GWPData[[#Headers],[Gas]], 0)</calculatedColumnFormula>
    </tableColumn>
    <tableColumn id="2" xr3:uid="{59C42763-F790-467C-9301-C02B725EE3A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974082-1539-4FE8-93AB-CA05B71D65D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9213204-A9AC-48E7-AE25-EB61714BB288}" name="Gas">
      <calculatedColumnFormula array="1">Common_InputFunctions.Utility_DisplayArrayInTable(Common_SourceData.Common_SourceData_ConvertGasElementalToMolecular_Data(),Table_GasToMolecularConversionFactor[[#Headers],[Gas]], 0)</calculatedColumnFormula>
    </tableColumn>
    <tableColumn id="5" xr3:uid="{6F2B95AB-4CCC-403A-A4F6-1BB5AEAE41D7}" name="Conversion factor">
      <calculatedColumnFormula array="1">Common_InputFunctions.Utility_DisplayArrayInTable(Common_SourceData.Common_SourceData_ConvertGasElementalToMolecular_Data(),Table_GasToMolecularConversionFactor[[#Headers],[Gas]], 0)</calculatedColumnFormula>
    </tableColumn>
    <tableColumn id="2" xr3:uid="{833A2862-BCA7-4CCE-AAED-C41464430EB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807CCD8-108C-451A-A4A9-AFE9C043F26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0CE9C20-713C-4343-AC38-07503C42369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2FD7EF7-800C-45D7-8B76-8D314755051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6B1ED0F-A6F2-43C3-BB8B-CB203D21D61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3E12BA1-0FE0-4E21-9CE9-D493377EBC62}" name="MAT"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3" xr3:uid="{CC988F37-795B-49A9-8CAA-737030981096}" name="MAP"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4" xr3:uid="{A23FDDB7-9293-471B-B6DE-05FDD73A4D6C}" name="Frost days per year"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5" xr3:uid="{9553D823-333F-41BA-836A-A9BD0898945B}" name="Elevation"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6" xr3:uid="{F8CB150D-D82F-46B2-8C2C-B7101013BA43}" name="MAP:PET"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7" xr3:uid="{D16D3FCB-DD48-4D8E-9633-65DC3314C51A}" name="Min temp"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8" xr3:uid="{DD11D9DC-F2AE-423B-968C-D2D012682278}" name="Max temp"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9" xr3:uid="{0EBC8176-C901-493C-B07E-F23B93A70C72}" name="Min rainfall"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0" xr3:uid="{B392F322-EF77-43D3-B534-2164CACD466D}" name="Max rainfall"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1" xr3:uid="{8A2673DE-DBB1-4642-8824-6FDEA898CB48}" name="Min frost days"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5" xr3:uid="{FFCA9D92-A2E9-4003-904D-B4098DEC0118}" name="Max frost days"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2" xr3:uid="{644F23F3-5BB0-4F69-8C86-2B5FBF1CEAEF}" name="Min 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16" xr3:uid="{67004F4F-4CA3-4C25-A38E-645C76CA338C}" name="Max elevation"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13" xr3:uid="{8F99AAB7-67F2-4E18-B460-0BFA225E590E}" name="Min MAP:PET"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17" xr3:uid="{B34A7DFD-1845-4D52-8C16-4F80D22B0AAF}" name="Max MAP:PET" totalsRowDxfId="7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C6116E1-6EFD-4876-83E7-C4C70657585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87C9E14-45E7-4EA1-9CB2-F36C8481AF9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A87C6-B6F3-43BF-8B13-E58DE14A2621}" name="Wet or Dry Zone" totalsRowDxfId="7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65721940-1EA2-41EE-A807-2AD954E4537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8CFEF8-1471-404F-A4DC-EF5CAB24106D}" name="Temperature Zone">
      <calculatedColumnFormula array="1">Common_InputFunctions.Utility_DisplayArrayInTable(Common_SourceData.Common_SourceData_TemperatureZones_Data(),Table_SourceData_TemperatureZones[[#Headers],[Temperature Zone]],0)</calculatedColumnFormula>
    </tableColumn>
    <tableColumn id="2" xr3:uid="{A5E9D2FD-E769-40D2-91F7-EE977DDAAB8F}" name="MAT">
      <calculatedColumnFormula array="1">Common_InputFunctions.Utility_DisplayArrayInTable(Common_SourceData.Common_SourceData_TemperatureZones_Data(),Table_SourceData_TemperatureZones[[#Headers],[Temperature Zone]],0)</calculatedColumnFormula>
    </tableColumn>
    <tableColumn id="3" xr3:uid="{79705DC2-AD77-43FA-9710-A5A8EE581D73}" name="Min MAT">
      <calculatedColumnFormula array="1">Common_InputFunctions.Utility_DisplayArrayInTable(Common_SourceData.Common_SourceData_TemperatureZones_Data(),Table_SourceData_TemperatureZones[[#Headers],[Temperature Zone]],0)</calculatedColumnFormula>
    </tableColumn>
    <tableColumn id="4" xr3:uid="{F8614B55-C48A-4B56-9B71-CEFEF1F5766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D41AD26-C4B7-4797-A17D-D237DAE74F9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9D4169B-AAAB-4DC7-B6D4-07063ED20250}" name="Rainfall Zone">
      <calculatedColumnFormula array="1">Common_InputFunctions.Utility_DisplayArrayInTable(Common_SourceData.Common_SourceData_RainfallZones_Data(),Table_SourceData_RainfallZones[[#Headers],[Rainfall Zone]],0)</calculatedColumnFormula>
    </tableColumn>
    <tableColumn id="2" xr3:uid="{1C77B5A2-EC99-48B3-B77D-348CCFEB9142}" name="Annual rainfall">
      <calculatedColumnFormula array="1">Common_InputFunctions.Utility_DisplayArrayInTable(Common_SourceData.Common_SourceData_RainfallZones_Data(),Table_SourceData_RainfallZones[[#Headers],[Rainfall Zone]],0)</calculatedColumnFormula>
    </tableColumn>
    <tableColumn id="3" xr3:uid="{36981E34-2BC2-481D-9F5D-E07554BCD319}" name="Min rainfall">
      <calculatedColumnFormula array="1">Common_InputFunctions.Utility_DisplayArrayInTable(Common_SourceData.Common_SourceData_RainfallZones_Data(),Table_SourceData_RainfallZones[[#Headers],[Rainfall Zone]],0)</calculatedColumnFormula>
    </tableColumn>
    <tableColumn id="4" xr3:uid="{7BFBB49E-67BC-408D-A35B-EF2909C7370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B0EDF67-36BE-46EC-AE40-BBDA3314870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57111FC-2981-473A-BA2D-54143B7D351F}" name="Leaching Zone">
      <calculatedColumnFormula array="1">Common_InputFunctions.Utility_DisplayArrayInTable(Common_SourceData.Common_SourceData_LeachingZones_Data(), Table_SourceData_LeachingZones[[#Headers],[Leaching Zone]], 0)</calculatedColumnFormula>
    </tableColumn>
    <tableColumn id="2" xr3:uid="{BDFCBA0E-4F50-49F1-BB08-A0FBC1B260B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2C83DAA-53B8-4620-93E2-47154AEF6B5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9C28F87-3DCC-447C-B3E4-35924BE88F7D}" name="Data source">
      <calculatedColumnFormula array="1">Common_InputFunctions.Utility_DisplayArrayInTable(Common_SourceData.Common_SourceData_DataScores_Scope3_Data(), Table_SourceData_DataScores_Scope3[[#Headers],[Data source]], 0)</calculatedColumnFormula>
    </tableColumn>
    <tableColumn id="2" xr3:uid="{6B384029-D6B3-46A0-9494-36708D352D8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04D3569-CD74-43F7-8F31-4F47E01F53CA}" name="Table_SourceData_FracWET" displayName="Table_SourceData_FracWET" ref="D134:E136" totalsRowShown="0">
  <autoFilter ref="D134:E136" xr:uid="{308E99BE-FE1F-47A4-B2CA-97217277C4E9}">
    <filterColumn colId="0" hiddenButton="1"/>
    <filterColumn colId="1" hiddenButton="1"/>
  </autoFilter>
  <tableColumns count="2">
    <tableColumn id="1" xr3:uid="{798E340D-8410-440B-ADD0-7E9A2309EB34}" name="Is in leaching zone">
      <calculatedColumnFormula array="1">Common_InputFunctions.Utility_DisplayArrayInTable(Common_SourceData.Common_SourceData_FracWET_Data(),Table_SourceData_FracWET[[#Headers],[Is in leaching zone]],0)</calculatedColumnFormula>
    </tableColumn>
    <tableColumn id="2" xr3:uid="{EB9A7305-2C6E-4B9B-A957-16BDBFBB81AE}" name="FracWET" dataDxfId="7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F01E0EB-219A-4BCB-AEF4-BFCC58DEF9F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A02EDE0-F7EE-4102-99EE-3D1A27BC1C90}" name="Production system j">
      <calculatedColumnFormula array="1">Common_InputFunctions.Utility_DisplayArrayInTable(Common_SourceData.Common_SourceData_EFN2O_Data(), Table_SourceData_Common_EFN2O[[#Headers],[Production system j]], 0)</calculatedColumnFormula>
    </tableColumn>
    <tableColumn id="2" xr3:uid="{BCF9D728-36AE-40D7-8587-99E7F275BF8D}" name="EFN2O">
      <calculatedColumnFormula array="1">Common_InputFunctions.Utility_DisplayArrayInTable(Common_SourceData.Common_SourceData_EFN2O_Data(), Table_SourceData_Common_EFN2O[[#Headers],[Production system j]], 0)</calculatedColumnFormula>
    </tableColumn>
    <tableColumn id="3" xr3:uid="{7A7B4738-D472-4AB4-B9A5-964ADEAAB916}" name="Production system only">
      <calculatedColumnFormula array="1">Common_InputFunctions.Utility_DisplayArrayInTable(Common_SourceData.Common_SourceData_EFN2O_Data(), Table_SourceData_Common_EFN2O[[#Headers],[Production system j]], 0)</calculatedColumnFormula>
    </tableColumn>
    <tableColumn id="4" xr3:uid="{AAC49652-AC39-4F62-BAC8-D8C6EE33F503}" name="Irrigation method">
      <calculatedColumnFormula array="1">Common_InputFunctions.Utility_DisplayArrayInTable(Common_SourceData.Common_SourceData_EFN2O_Data(), Table_SourceData_Common_EFN2O[[#Headers],[Production system j]], 0)</calculatedColumnFormula>
    </tableColumn>
    <tableColumn id="5" xr3:uid="{86404614-12BA-43A6-BD27-0B8E380F4A3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8D4BF58-A078-4B7A-9EEA-521B7BFB035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782FE33-6F1B-4295-A767-386F74C12A5D}" name="Irrigation type i">
      <calculatedColumnFormula array="1">Common_InputFunctions.Utility_DisplayArrayInTable(Common_SourceData.Common_SourceData_FracWETIrrigation_Data(), Table_SourceData_FracWETIrrigation[[#Headers],[Irrigation type i]], 0)</calculatedColumnFormula>
    </tableColumn>
    <tableColumn id="2" xr3:uid="{0A85ED43-A9BD-44B3-816E-4BD695172D5B}" name="FracWET" dataDxfId="7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FA50572-2B2F-4432-B2B3-6C2D26CBAB8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6A09192-93D2-4E41-8A9A-2373E590678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B198EAD-EDA4-495A-A097-92398F2421FE}" name="EFPRP" dataDxfId="6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995F1E6-12A8-4743-9287-2AF259AA9E9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18979D0-B4F9-4C54-B398-49BD0535D0F7}" name="Month">
      <calculatedColumnFormula array="1">Common_InputFunctions.Utility_DisplayArrayInTable(Common_SourceData.Common_SourceData_MonthsToSeasons_Data(), Table_SourceData_Common_MonthToSeason[[#Headers],[Month]], 0)</calculatedColumnFormula>
    </tableColumn>
    <tableColumn id="2" xr3:uid="{FC6E6589-BE45-4E4B-BE6D-182FB02838E6}" name="Season" dataDxfId="6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BD73C98-AB3A-4450-9762-BE24BABCB90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60829B9-3A6F-4150-AB1C-390198CE168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80F8127-0465-46A9-95C4-C6B9CBF1B660}" name="MAT (ºC)"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02D84E4-1B8F-432B-B959-CE97F4D2AFBD}" name="Anaerobic lago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A9885B2-374B-454D-975B-73E9E8479EEC}" name="Digester / covered lagoons"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D7F4BEB0-4E33-4C58-8138-7F17232C6628}" name="Liquid systems"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A1D00ED-1FE7-45D3-8053-52D711235F2C}" name="Daily spread"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0B5523D-1E91-44C1-A397-194B38073195}" name="Composting (passive windrow)"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0C667FA-B35C-4BD0-9720-AF5A0707E99E}" name="Solid storage"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46FE0E8-7691-484C-92EB-B0F5DAA64304}" name="Pit storage"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D2250DE-56C1-4E6D-AE59-6CBBFCEE2A58}" name="Deep litter"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77D553-5C9F-4A8B-A12A-CA19A3AAF89B}" name="Poultry manure with bedding"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8DE445C-EB2E-4A0F-B027-F6C020C3800E}" name="Poultry manure without bedding"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C35944C-9CFE-4114-A1B5-94DC698F3F8D}" name="Direct processing"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7CDB840-ADA1-43AF-9D1F-A51AC5C03123}" name="Direct application"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6CEF449-3F28-4423-84B3-FDBD9471215E}" name="Pasture range and paddock"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6009C3-3785-41C4-9789-22F141FA1EC5}" name="MAT raw"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6D92C15-491D-4F61-B3E1-9D67276360C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292FB45-9B04-481F-9D90-2BF27E8761D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A3AC136-3919-4153-8F1C-2952002EF224}" name="EFNi &amp; EFN2Oi" dataDxfId="5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C38FA81-9093-4045-882A-68286753779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2E7A6DC4-C9AA-4111-9936-7D4B1FFE043E}" name="Description" dataDxfId="51" dataCellStyle="Content normal"/>
    <tableColumn id="1" xr3:uid="{D062D903-3279-408B-8C33-9DE608A658BA}" name="ID"/>
    <tableColumn id="3" xr3:uid="{E2214ED1-14A3-442B-8441-689D595736D2}"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D277B8F7-9AA0-4411-94C8-E49865BB14B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CE1A6419-3E88-4D1F-B656-87E9E1FA6AB7}" name="Description"/>
    <tableColumn id="2" xr3:uid="{DB18B25C-779C-4A36-B5E4-1FF7166A61A2}" name="ID"/>
    <tableColumn id="3" xr3:uid="{CF56F51D-B8D4-4157-B310-4627B9768EA8}"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B3DAC0B3-AC4F-4031-8086-B97A1E4A3EEA}"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C65A33AC-11D8-4E85-B9B6-C7AADD8FB564}" name="Description"/>
    <tableColumn id="2" xr3:uid="{D90736A7-FDD8-495B-AAB3-B164E6BBCDB6}" name="ID"/>
    <tableColumn id="3" xr3:uid="{B06D0D4C-00BF-4021-BA09-B85AB5CEE3C9}"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2F9E84E-1805-4CF7-A536-BE4A9734F91F}"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6B193F3-B09C-44FE-BF67-12AD1E920B10}" name="Description"/>
    <tableColumn id="2" xr3:uid="{F5EA0E56-3242-4744-9859-83DF8C7B87F2}" name="ID"/>
    <tableColumn id="3" xr3:uid="{68AB24CE-F36B-4E45-8207-9F80DE6CEEAA}"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21" Type="http://schemas.openxmlformats.org/officeDocument/2006/relationships/table" Target="../tables/table34.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20" Type="http://schemas.openxmlformats.org/officeDocument/2006/relationships/table" Target="../tables/table33.xml"/><Relationship Id="rId1" Type="http://schemas.openxmlformats.org/officeDocument/2006/relationships/printerSettings" Target="../printerSettings/printerSettings5.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19" Type="http://schemas.openxmlformats.org/officeDocument/2006/relationships/table" Target="../tables/table32.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 Id="rId22" Type="http://schemas.openxmlformats.org/officeDocument/2006/relationships/table" Target="../tables/table35.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6" sqref="A26"/>
    </sheetView>
  </sheetViews>
  <sheetFormatPr defaultRowHeight="15" x14ac:dyDescent="0.25"/>
  <sheetData>
    <row r="1" spans="1:1" x14ac:dyDescent="0.25">
      <c r="A1" t="s">
        <v>364</v>
      </c>
    </row>
    <row r="3" spans="1:1" x14ac:dyDescent="0.25">
      <c r="A3" s="149"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BV64"/>
  <sheetViews>
    <sheetView showGridLines="0" zoomScaleNormal="100" workbookViewId="0">
      <selection activeCell="A26" sqref="A26"/>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4"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42"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357</v>
      </c>
    </row>
    <row r="37" spans="1:74" s="143"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42"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6" sqref="A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12" t="s">
        <v>131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4" t="str">
        <f>HYPERLINK("#'Results'!A1", "Results")</f>
        <v>Results</v>
      </c>
      <c r="C5" s="21"/>
      <c r="D5" s="25"/>
      <c r="E5" s="26"/>
      <c r="F5" s="26"/>
      <c r="G5" s="26"/>
      <c r="H5" s="23"/>
      <c r="I5" s="21"/>
      <c r="J5" s="21"/>
      <c r="K5" s="21"/>
    </row>
    <row r="6" spans="1:11" ht="20.100000000000001" customHeight="1" x14ac:dyDescent="0.25">
      <c r="C6" s="21"/>
      <c r="D6" s="111" t="s">
        <v>98</v>
      </c>
      <c r="E6" s="111" t="s">
        <v>122</v>
      </c>
      <c r="F6" s="111" t="s">
        <v>123</v>
      </c>
      <c r="G6" s="111" t="s">
        <v>111</v>
      </c>
      <c r="H6" s="111" t="s">
        <v>124</v>
      </c>
      <c r="I6" s="111" t="s">
        <v>125</v>
      </c>
      <c r="J6" s="111" t="s">
        <v>112</v>
      </c>
      <c r="K6" s="21"/>
    </row>
    <row r="7" spans="1:11" ht="20.100000000000001" customHeight="1" x14ac:dyDescent="0.25">
      <c r="C7" s="21"/>
      <c r="D7" s="1" t="s">
        <v>332</v>
      </c>
      <c r="E7" s="130">
        <f ca="1">VEERG_4_5_1_1__1_TotalAnnualMethaneEmissions_Result_Method1</f>
        <v>2.3840372404992007</v>
      </c>
      <c r="F7" s="130">
        <f ca="1">VEERG_4_5_1_1__1_TotalAnnualMethaneEmissions_Result_Method2</f>
        <v>2.4087425821440007</v>
      </c>
      <c r="G7" s="52" t="s">
        <v>118</v>
      </c>
      <c r="H7" s="108">
        <f ca="1">'4.5.1.1-2 Methane'!E266</f>
        <v>66.753042733977622</v>
      </c>
      <c r="I7" s="108">
        <f ca="1">'4.5.1.1-2 Methane'!O266</f>
        <v>67.44479230003202</v>
      </c>
      <c r="J7" s="52" t="s">
        <v>120</v>
      </c>
      <c r="K7" s="21"/>
    </row>
    <row r="8" spans="1:11" ht="20.100000000000001" customHeight="1" x14ac:dyDescent="0.25">
      <c r="A8" s="19" t="s">
        <v>0</v>
      </c>
      <c r="C8" s="21"/>
      <c r="D8" s="1" t="s">
        <v>333</v>
      </c>
      <c r="E8" s="130">
        <f ca="1">'4.5.1.3-4 Direct N2O'!E297</f>
        <v>7.4343140661428567E-2</v>
      </c>
      <c r="F8" s="130">
        <f ca="1">'4.5.1.3-4 Direct N2O'!O297</f>
        <v>7.4343140661428567E-2</v>
      </c>
      <c r="G8" s="52" t="s">
        <v>129</v>
      </c>
      <c r="H8" s="108">
        <f ca="1">'4.5.1.3-4 Direct N2O'!E302</f>
        <v>19.700932275278571</v>
      </c>
      <c r="I8" s="108">
        <f ca="1">'4.5.1.3-4 Direct N2O'!O302</f>
        <v>19.700932275278571</v>
      </c>
      <c r="J8" s="52" t="s">
        <v>120</v>
      </c>
      <c r="K8" s="21"/>
    </row>
    <row r="9" spans="1:11" ht="20.100000000000001" customHeight="1" x14ac:dyDescent="0.25">
      <c r="A9" s="17" t="str">
        <f>HYPERLINK("#'Input - Site'!A1", "Site")</f>
        <v>Site</v>
      </c>
      <c r="C9" s="21"/>
      <c r="D9" s="1" t="s">
        <v>334</v>
      </c>
      <c r="E9" s="130">
        <f ca="1">'4.5.1.5-6 Atmos Dep'!E125</f>
        <v>2.4944401836750004E-2</v>
      </c>
      <c r="F9" s="130">
        <f ca="1">'4.5.1.5-6 Atmos Dep'!O125</f>
        <v>2.4944401836750004E-2</v>
      </c>
      <c r="G9" s="52" t="s">
        <v>129</v>
      </c>
      <c r="H9" s="108">
        <f ca="1">'4.5.1.5-6 Atmos Dep'!E130</f>
        <v>6.6102664867387508</v>
      </c>
      <c r="I9" s="108">
        <f ca="1">'4.5.1.5-6 Atmos Dep'!O130</f>
        <v>6.6102664867387508</v>
      </c>
      <c r="J9" s="52" t="s">
        <v>120</v>
      </c>
      <c r="K9" s="21"/>
    </row>
    <row r="10" spans="1:11" ht="20.100000000000001" customHeight="1" x14ac:dyDescent="0.25">
      <c r="A10" s="17" t="str">
        <f>HYPERLINK("#'Input - Swine'!A1", "Swine")</f>
        <v>Swine</v>
      </c>
      <c r="C10" s="21"/>
      <c r="D10" s="1" t="s">
        <v>265</v>
      </c>
      <c r="E10" s="130">
        <f ca="1">'4.5.1.7-8 Leaching and runoff'!E49</f>
        <v>2.6075015999999998E-4</v>
      </c>
      <c r="F10" s="130">
        <f ca="1">'4.5.1.7-8 Leaching and runoff'!N49</f>
        <v>2.6075015999999998E-4</v>
      </c>
      <c r="G10" s="52" t="s">
        <v>129</v>
      </c>
      <c r="H10" s="108">
        <f ca="1">'4.5.1.7-8 Leaching and runoff'!E54</f>
        <v>6.9098792399999998E-2</v>
      </c>
      <c r="I10" s="108">
        <f ca="1">'4.5.1.7-8 Leaching and runoff'!N54</f>
        <v>6.9098792399999998E-2</v>
      </c>
      <c r="J10" s="52" t="s">
        <v>120</v>
      </c>
      <c r="K10" s="21"/>
    </row>
    <row r="11" spans="1:11" ht="20.100000000000001" customHeight="1" x14ac:dyDescent="0.3">
      <c r="C11" s="21"/>
      <c r="D11" s="28" t="s">
        <v>110</v>
      </c>
      <c r="E11" s="22"/>
      <c r="F11" s="22"/>
      <c r="G11" s="28"/>
      <c r="H11" s="110">
        <f ca="1">SUM(H7:H10)</f>
        <v>93.133340288394947</v>
      </c>
      <c r="I11" s="110">
        <f ca="1">SUM(I7:I10)</f>
        <v>93.825089854449345</v>
      </c>
      <c r="J11" s="101" t="s">
        <v>120</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281</v>
      </c>
      <c r="E13" s="1"/>
      <c r="F13" s="1"/>
      <c r="G13" s="1"/>
      <c r="H13" s="23"/>
      <c r="I13" s="1"/>
      <c r="J13" s="21"/>
      <c r="K13" s="21"/>
    </row>
    <row r="14" spans="1:11" ht="20.100000000000001" customHeight="1" x14ac:dyDescent="0.25">
      <c r="A14" s="17" t="str">
        <f>HYPERLINK("#'4.5.1.1-2 Methane'!A1", "4.5.1.1-2 Methane")</f>
        <v>4.5.1.1-2 Methane</v>
      </c>
      <c r="C14" s="21"/>
      <c r="D14" s="102" t="s">
        <v>318</v>
      </c>
      <c r="E14" s="1"/>
      <c r="F14" s="1"/>
      <c r="G14" s="1"/>
      <c r="H14" s="1"/>
      <c r="I14" s="1"/>
      <c r="J14" s="21"/>
      <c r="K14" s="21"/>
    </row>
    <row r="15" spans="1:11" ht="20.100000000000001" customHeight="1" x14ac:dyDescent="0.25">
      <c r="A15" s="17" t="str">
        <f>HYPERLINK("#'4.5.1.3-4 Direct N2O'!A1", "4.5.1.3-4 Direct N2O")</f>
        <v>4.5.1.3-4 Direct N2O</v>
      </c>
      <c r="C15" s="21"/>
      <c r="D15" s="129" t="s">
        <v>319</v>
      </c>
      <c r="E15" s="1"/>
      <c r="F15" s="1"/>
      <c r="G15" s="1"/>
      <c r="H15" s="1"/>
      <c r="I15" s="1"/>
      <c r="J15" s="21"/>
      <c r="K15" s="21"/>
    </row>
    <row r="16" spans="1:11" ht="20.100000000000001" customHeight="1" x14ac:dyDescent="0.25">
      <c r="A16" s="17" t="str">
        <f>HYPERLINK("#'4.5.1.5-6 Atmos Dep'!A1", "4.5.1.5-6 Atmos Dep")</f>
        <v>4.5.1.5-6 Atmos Dep</v>
      </c>
      <c r="C16" s="21"/>
      <c r="D16" s="111" t="s">
        <v>320</v>
      </c>
      <c r="E16" s="111" t="s">
        <v>321</v>
      </c>
      <c r="F16" s="111" t="s">
        <v>322</v>
      </c>
      <c r="G16" s="111" t="s">
        <v>323</v>
      </c>
      <c r="H16" s="111" t="s">
        <v>324</v>
      </c>
      <c r="I16" s="1"/>
      <c r="J16" s="21"/>
      <c r="K16" s="21"/>
    </row>
    <row r="17" spans="1:11" ht="20.100000000000001" customHeight="1" x14ac:dyDescent="0.25">
      <c r="A17" s="17" t="str">
        <f>HYPERLINK("#'4.5.1.7-8 Leaching and runoff'!A1", "4.5.1.7-8 Leaching and runoff")</f>
        <v>4.5.1.7-8 Leaching and runoff</v>
      </c>
      <c r="C17" s="21"/>
      <c r="D17" s="1" t="s">
        <v>325</v>
      </c>
      <c r="E17" s="125">
        <f ca="1">'4.5.1.9 Manure applied to soils'!E161</f>
        <v>3256.7704915650011</v>
      </c>
      <c r="F17" s="52" t="str">
        <f>'4.5.1.9 Manure applied to soils'!F161</f>
        <v>kg N</v>
      </c>
      <c r="G17" s="1" t="s">
        <v>331</v>
      </c>
      <c r="H17" s="1" t="s">
        <v>326</v>
      </c>
      <c r="I17" s="1"/>
      <c r="J17" s="21"/>
      <c r="K17" s="21"/>
    </row>
    <row r="18" spans="1:11" ht="20.100000000000001" customHeight="1" x14ac:dyDescent="0.25">
      <c r="A18" s="17" t="str">
        <f>HYPERLINK("#'4.5.1.9 Manure applied to soils'!A1", "4.5.1.9 Manure applied to soils")</f>
        <v>4.5.1.9 Manure applied to soils</v>
      </c>
      <c r="C18" s="21"/>
      <c r="D18" s="1" t="s">
        <v>327</v>
      </c>
      <c r="E18" s="125">
        <f ca="1">'4.5.1.9 Manure applied to soils'!E278</f>
        <v>653.20846285499988</v>
      </c>
      <c r="F18" s="52" t="str">
        <f>'4.5.1.9 Manure applied to soils'!F278</f>
        <v>kg N</v>
      </c>
      <c r="G18" s="1" t="s">
        <v>331</v>
      </c>
      <c r="H18" s="1" t="s">
        <v>326</v>
      </c>
      <c r="I18" s="21"/>
      <c r="J18" s="21"/>
      <c r="K18" s="21"/>
    </row>
    <row r="19" spans="1:11" ht="20.100000000000001" customHeight="1" x14ac:dyDescent="0.25">
      <c r="C19" s="21"/>
      <c r="D19" s="1" t="s">
        <v>328</v>
      </c>
      <c r="E19" s="125">
        <f ca="1">'4.5.1.9 Manure applied to soils'!E209</f>
        <v>653.20846285499988</v>
      </c>
      <c r="F19" s="52" t="str">
        <f>'4.5.1.9 Manure applied to soils'!F209</f>
        <v>kg N</v>
      </c>
      <c r="G19" s="1" t="s">
        <v>329</v>
      </c>
      <c r="H19" s="1" t="s">
        <v>330</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5"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Livestock'!A1", "Constants - Livestock")</f>
        <v>Constants -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7"/>
      <c r="J38" s="107"/>
      <c r="K38" s="21"/>
    </row>
    <row r="39" spans="3:11" ht="20.100000000000001" customHeight="1" x14ac:dyDescent="0.25">
      <c r="C39" s="21"/>
      <c r="D39" s="1"/>
      <c r="E39" s="1"/>
      <c r="F39" s="1"/>
      <c r="G39" s="1"/>
      <c r="H39" s="1"/>
      <c r="I39" s="107"/>
      <c r="J39" s="107"/>
      <c r="K39" s="21"/>
    </row>
    <row r="40" spans="3:11" ht="20.100000000000001" customHeight="1" x14ac:dyDescent="0.25">
      <c r="C40" s="21"/>
      <c r="D40" s="1"/>
      <c r="E40" s="1"/>
      <c r="F40" s="1"/>
      <c r="G40" s="1"/>
      <c r="H40" s="1"/>
      <c r="I40" s="107"/>
      <c r="J40" s="107"/>
      <c r="K40" s="21"/>
    </row>
    <row r="41" spans="3:11" ht="20.100000000000001" customHeight="1" x14ac:dyDescent="0.25">
      <c r="C41" s="21"/>
      <c r="D41" s="1"/>
      <c r="E41" s="1"/>
      <c r="F41" s="1"/>
      <c r="G41" s="1"/>
      <c r="H41" s="1"/>
      <c r="I41" s="107"/>
      <c r="J41" s="107"/>
      <c r="K41" s="21"/>
    </row>
    <row r="42" spans="3:11" ht="20.100000000000001" customHeight="1" x14ac:dyDescent="0.25">
      <c r="C42" s="21"/>
      <c r="D42" s="1"/>
      <c r="E42" s="1"/>
      <c r="F42" s="1"/>
      <c r="G42" s="1"/>
      <c r="H42" s="1"/>
      <c r="I42" s="107"/>
      <c r="J42" s="107"/>
      <c r="K42" s="21"/>
    </row>
    <row r="43" spans="3:11" ht="20.100000000000001" customHeight="1" x14ac:dyDescent="0.25">
      <c r="C43" s="21"/>
      <c r="D43" s="1"/>
      <c r="E43" s="1"/>
      <c r="F43" s="1"/>
      <c r="G43" s="1"/>
      <c r="H43" s="1"/>
      <c r="I43" s="107"/>
      <c r="J43" s="107"/>
      <c r="K43" s="21"/>
    </row>
    <row r="44" spans="3:11" ht="20.100000000000001" customHeight="1" x14ac:dyDescent="0.25">
      <c r="C44" s="21"/>
      <c r="D44" s="1"/>
      <c r="E44" s="1"/>
      <c r="F44" s="1"/>
      <c r="G44" s="1"/>
      <c r="H44" s="1"/>
      <c r="I44" s="107"/>
      <c r="J44" s="107"/>
      <c r="K44" s="21"/>
    </row>
    <row r="45" spans="3:11" ht="20.100000000000001" customHeight="1" x14ac:dyDescent="0.25">
      <c r="C45" s="21"/>
      <c r="D45" s="1"/>
      <c r="E45" s="1"/>
      <c r="F45" s="1"/>
      <c r="G45" s="1"/>
      <c r="H45" s="1"/>
      <c r="I45" s="107"/>
      <c r="J45" s="107"/>
      <c r="K45" s="21"/>
    </row>
    <row r="46" spans="3:11" ht="20.100000000000001" customHeight="1" x14ac:dyDescent="0.25">
      <c r="C46" s="21"/>
      <c r="D46" s="1"/>
      <c r="E46" s="1"/>
      <c r="F46" s="1"/>
      <c r="G46" s="1"/>
      <c r="H46" s="1"/>
      <c r="I46" s="107"/>
      <c r="J46" s="107"/>
      <c r="K46" s="21"/>
    </row>
    <row r="47" spans="3:11" ht="20.100000000000001" customHeight="1" x14ac:dyDescent="0.25">
      <c r="C47" s="21"/>
      <c r="D47" s="1"/>
      <c r="E47" s="1"/>
      <c r="F47" s="1"/>
      <c r="G47" s="1"/>
      <c r="H47" s="1"/>
      <c r="I47" s="107"/>
      <c r="J47" s="107"/>
      <c r="K47" s="21"/>
    </row>
    <row r="48" spans="3:11" ht="20.100000000000001" customHeight="1" x14ac:dyDescent="0.25">
      <c r="C48" s="21"/>
      <c r="D48" s="1"/>
      <c r="E48" s="1"/>
      <c r="F48" s="1"/>
      <c r="G48" s="1"/>
      <c r="H48" s="1"/>
      <c r="I48" s="107"/>
      <c r="J48" s="107"/>
      <c r="K48" s="21"/>
    </row>
    <row r="49" spans="3:11" ht="20.100000000000001" customHeight="1" x14ac:dyDescent="0.25">
      <c r="C49" s="21"/>
      <c r="D49" s="1"/>
      <c r="E49" s="1"/>
      <c r="F49" s="1"/>
      <c r="G49" s="1"/>
      <c r="H49" s="107"/>
      <c r="I49" s="107"/>
      <c r="J49" s="107"/>
      <c r="K49" s="21"/>
    </row>
    <row r="50" spans="3:11" ht="20.100000000000001" customHeight="1" x14ac:dyDescent="0.25">
      <c r="C50" s="21"/>
      <c r="D50" s="1"/>
      <c r="E50" s="1"/>
      <c r="F50" s="1"/>
      <c r="G50" s="1"/>
      <c r="H50" s="107"/>
      <c r="I50" s="107"/>
      <c r="J50" s="107"/>
      <c r="K50" s="21"/>
    </row>
    <row r="51" spans="3:11" ht="20.100000000000001" customHeight="1" x14ac:dyDescent="0.25">
      <c r="C51" s="21"/>
      <c r="D51" s="1"/>
      <c r="E51" s="1"/>
      <c r="F51" s="1"/>
      <c r="G51" s="1"/>
      <c r="H51" s="107"/>
      <c r="I51" s="107"/>
      <c r="J51" s="107"/>
      <c r="K51" s="21"/>
    </row>
    <row r="52" spans="3:11" ht="20.100000000000001" customHeight="1" x14ac:dyDescent="0.25">
      <c r="C52" s="21"/>
      <c r="D52" s="1"/>
      <c r="E52" s="1"/>
      <c r="F52" s="1"/>
      <c r="G52" s="1"/>
      <c r="H52" s="107"/>
      <c r="I52" s="107"/>
      <c r="J52" s="107"/>
      <c r="K52" s="21"/>
    </row>
    <row r="53" spans="3:11" ht="20.100000000000001" customHeight="1" x14ac:dyDescent="0.25">
      <c r="C53" s="21"/>
      <c r="D53" s="1"/>
      <c r="E53" s="1"/>
      <c r="F53" s="1"/>
      <c r="G53" s="1"/>
      <c r="H53" s="107"/>
      <c r="I53" s="107"/>
      <c r="J53" s="10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6" sqref="A26"/>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6" t="str">
        <f>HYPERLINK("#'Input - Site'!A1", "Site")</f>
        <v>Site</v>
      </c>
      <c r="N9" s="41"/>
    </row>
    <row r="10" spans="1:24" ht="20.100000000000001" customHeight="1" x14ac:dyDescent="0.25">
      <c r="A10" s="17" t="str">
        <f>HYPERLINK("#'Input - Swine'!A1", "Swine")</f>
        <v>Swine</v>
      </c>
      <c r="D10" s="90" t="s">
        <v>84</v>
      </c>
      <c r="E10" s="88"/>
      <c r="F10" s="91"/>
      <c r="G10" s="85"/>
      <c r="N10" s="41"/>
    </row>
    <row r="11" spans="1:24" ht="20.100000000000001" customHeight="1" x14ac:dyDescent="0.25">
      <c r="A11"/>
      <c r="N11" s="42"/>
    </row>
    <row r="12" spans="1:24" ht="20.100000000000001" customHeight="1" x14ac:dyDescent="0.25">
      <c r="A12"/>
      <c r="D12" s="10" t="s">
        <v>90</v>
      </c>
      <c r="E12" s="62">
        <v>45292</v>
      </c>
      <c r="F12" s="2" t="s">
        <v>67</v>
      </c>
    </row>
    <row r="13" spans="1:24" ht="20.100000000000001" customHeight="1" x14ac:dyDescent="0.25">
      <c r="A13" s="18" t="s">
        <v>71</v>
      </c>
      <c r="D13" s="10" t="s">
        <v>91</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92" t="s">
        <v>13</v>
      </c>
      <c r="E18" s="87"/>
      <c r="F18" s="87"/>
      <c r="G18" s="83"/>
    </row>
    <row r="19" spans="1:25" ht="20.100000000000001" customHeight="1" x14ac:dyDescent="0.25">
      <c r="A19"/>
      <c r="D19" s="89" t="s">
        <v>68</v>
      </c>
      <c r="E19" s="86"/>
      <c r="F19" s="86"/>
      <c r="G19" s="84"/>
      <c r="N19" s="39"/>
    </row>
    <row r="20" spans="1:25" ht="20.100000000000001" customHeight="1" x14ac:dyDescent="0.25">
      <c r="A20"/>
      <c r="D20" s="1"/>
      <c r="E20" s="30"/>
      <c r="F20" s="2"/>
      <c r="N20" s="40"/>
    </row>
    <row r="21" spans="1:25" ht="20.100000000000001" customHeight="1" x14ac:dyDescent="0.25">
      <c r="A21" s="145" t="s">
        <v>1</v>
      </c>
      <c r="D21" s="1" t="s">
        <v>5</v>
      </c>
      <c r="E21" s="38" t="s">
        <v>127</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89</v>
      </c>
      <c r="F23" s="2" t="s">
        <v>8</v>
      </c>
    </row>
    <row r="24" spans="1:25" ht="20.100000000000001" customHeight="1" x14ac:dyDescent="0.25">
      <c r="A24" s="17" t="str">
        <f>HYPERLINK("#'Constants - Livestock'!A1", "Constants - Livestock")</f>
        <v>Constants -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68"/>
      <c r="E38" s="68"/>
      <c r="F38" s="69"/>
      <c r="G38" s="59"/>
      <c r="H38" s="59"/>
      <c r="I38" s="60"/>
      <c r="J38" s="59"/>
      <c r="K38" s="70"/>
      <c r="L38" s="45"/>
      <c r="M38" s="45"/>
      <c r="N38" s="45"/>
      <c r="O38" s="45"/>
      <c r="P38" s="45"/>
      <c r="Q38" s="45"/>
      <c r="R38" s="45"/>
      <c r="S38" s="45"/>
      <c r="T38" s="45"/>
      <c r="U38" s="45"/>
      <c r="V38" s="45"/>
      <c r="W38" s="45"/>
      <c r="X38" s="45"/>
      <c r="Y38" s="45"/>
    </row>
    <row r="39" spans="1:25" ht="20.100000000000001" customHeight="1" x14ac:dyDescent="0.25">
      <c r="A39"/>
      <c r="D39" s="68"/>
      <c r="E39" s="68"/>
      <c r="F39" s="69"/>
      <c r="G39" s="59"/>
      <c r="H39" s="59"/>
      <c r="I39" s="60"/>
      <c r="J39" s="59"/>
      <c r="K39" s="70"/>
      <c r="L39" s="45"/>
      <c r="M39" s="45"/>
      <c r="N39" s="45"/>
      <c r="O39" s="45"/>
      <c r="P39" s="45"/>
      <c r="Q39" s="45"/>
      <c r="R39" s="45"/>
      <c r="S39" s="45"/>
      <c r="T39" s="45"/>
      <c r="U39" s="45"/>
      <c r="V39" s="45"/>
      <c r="W39" s="45"/>
      <c r="X39" s="45"/>
      <c r="Y39" s="45"/>
    </row>
    <row r="40" spans="1:25" ht="20.100000000000001" customHeight="1" x14ac:dyDescent="0.25">
      <c r="A40"/>
      <c r="D40" s="71"/>
      <c r="E40" s="71"/>
      <c r="F40" s="71"/>
      <c r="G40" s="72"/>
      <c r="H40" s="73"/>
      <c r="I40" s="73"/>
      <c r="J40" s="73"/>
      <c r="K40" s="73"/>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4"/>
      <c r="E47" s="74"/>
      <c r="F47" s="74"/>
      <c r="G47" s="74"/>
      <c r="H47" s="74"/>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D54" s="80"/>
      <c r="G54" s="78"/>
    </row>
    <row r="55" spans="1:8" ht="20.100000000000001" customHeight="1" x14ac:dyDescent="0.25">
      <c r="A55"/>
      <c r="D55" s="80"/>
    </row>
    <row r="56" spans="1:8" ht="20.100000000000001" customHeight="1" x14ac:dyDescent="0.25">
      <c r="A56"/>
      <c r="D56" s="80"/>
    </row>
    <row r="57" spans="1:8" ht="20.100000000000001" customHeight="1" x14ac:dyDescent="0.25">
      <c r="A57"/>
      <c r="D57" s="80"/>
      <c r="F57" s="79"/>
    </row>
    <row r="58" spans="1:8" ht="20.100000000000001" customHeight="1" x14ac:dyDescent="0.25">
      <c r="A58"/>
      <c r="D58" s="80"/>
      <c r="E58" s="80"/>
    </row>
    <row r="59" spans="1:8" ht="20.100000000000001" customHeight="1" x14ac:dyDescent="0.25">
      <c r="A59"/>
      <c r="D59" s="80"/>
      <c r="E59" s="80"/>
    </row>
    <row r="60" spans="1:8" ht="20.100000000000001" customHeight="1" x14ac:dyDescent="0.25">
      <c r="A60"/>
      <c r="D60" s="80"/>
      <c r="E60" s="81"/>
    </row>
    <row r="61" spans="1:8" ht="20.100000000000001" customHeight="1" x14ac:dyDescent="0.25">
      <c r="A61"/>
      <c r="D61" s="80"/>
    </row>
    <row r="62" spans="1:8" ht="20.100000000000001" customHeight="1" x14ac:dyDescent="0.25">
      <c r="A62"/>
      <c r="D62" s="80"/>
    </row>
    <row r="63" spans="1:8" ht="20.100000000000001" customHeight="1" x14ac:dyDescent="0.25">
      <c r="A63"/>
      <c r="D63" s="80"/>
    </row>
    <row r="64" spans="1:8" ht="20.100000000000001" customHeight="1" x14ac:dyDescent="0.25">
      <c r="A64"/>
      <c r="D64" s="80"/>
      <c r="E64" s="80"/>
    </row>
    <row r="65" spans="1:9" ht="20.100000000000001" customHeight="1" x14ac:dyDescent="0.25">
      <c r="A65"/>
      <c r="D65" s="80"/>
      <c r="E65" s="80"/>
    </row>
    <row r="66" spans="1:9" ht="20.100000000000001" customHeight="1" x14ac:dyDescent="0.25">
      <c r="A66"/>
      <c r="D66" s="80"/>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77" zoomScaleNormal="100" workbookViewId="0">
      <selection activeCell="E103" sqref="E103"/>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4" customFormat="1" ht="30" customHeight="1" x14ac:dyDescent="0.35">
      <c r="A1" s="64" t="e" vm="1">
        <v>#VALUE!</v>
      </c>
      <c r="C1" s="64" t="s">
        <v>132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2" t="s">
        <v>175</v>
      </c>
      <c r="E5" s="87"/>
      <c r="F5" s="87"/>
      <c r="G5" s="87"/>
      <c r="H5" s="83"/>
      <c r="N5" s="3"/>
      <c r="R5" s="7"/>
    </row>
    <row r="6" spans="1:23" ht="20.100000000000001" customHeight="1" x14ac:dyDescent="0.25">
      <c r="D6" s="89" t="s">
        <v>176</v>
      </c>
      <c r="E6" s="86"/>
      <c r="F6" s="86"/>
      <c r="G6" s="84"/>
      <c r="H6" s="11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14" t="s">
        <v>135</v>
      </c>
      <c r="F9" s="114" t="s">
        <v>136</v>
      </c>
      <c r="G9" s="114" t="s">
        <v>137</v>
      </c>
      <c r="H9" s="114" t="s">
        <v>195</v>
      </c>
      <c r="R9" s="7"/>
    </row>
    <row r="10" spans="1:23" ht="20.100000000000001" customHeight="1" x14ac:dyDescent="0.25">
      <c r="A10" s="146" t="str">
        <f>HYPERLINK("#'Input - Swine'!A1", "Swine")</f>
        <v>Swine</v>
      </c>
      <c r="D10" s="46" t="str">
        <f>"Average duration of stay between " &amp; TEXT(X_Cell_Site_StartDate, "dd mmm yy") &amp; " and " &amp; TEXT('Input - Site'!$E$13, "dd mmm yy")</f>
        <v>Average duration of stay between 01 Jan 24 and 31 Dec 24</v>
      </c>
      <c r="E10" s="63">
        <v>365</v>
      </c>
      <c r="F10" s="63">
        <v>365</v>
      </c>
      <c r="G10" s="63">
        <v>365</v>
      </c>
      <c r="H10" s="63">
        <v>365</v>
      </c>
      <c r="I10" s="2" t="s">
        <v>51</v>
      </c>
      <c r="J10" s="2"/>
      <c r="R10" s="7"/>
    </row>
    <row r="11" spans="1:23" ht="20.100000000000001" customHeight="1" x14ac:dyDescent="0.25">
      <c r="D11" s="46" t="str">
        <f>"Average number of head between " &amp; TEXT(X_Cell_Site_StartDate, "dd mmm yy") &amp; " and " &amp; TEXT('Input - Site'!$E$13, "dd mmm yy")</f>
        <v>Average number of head between 01 Jan 24 and 31 Dec 24</v>
      </c>
      <c r="E11" s="63">
        <v>100</v>
      </c>
      <c r="F11" s="63">
        <v>100</v>
      </c>
      <c r="G11" s="63">
        <v>100</v>
      </c>
      <c r="H11" s="63">
        <v>100</v>
      </c>
      <c r="I11" s="2" t="s">
        <v>93</v>
      </c>
      <c r="J11" s="2"/>
      <c r="R11" s="7"/>
    </row>
    <row r="12" spans="1:23" ht="20.100000000000001" customHeight="1" x14ac:dyDescent="0.25">
      <c r="R12" s="7"/>
    </row>
    <row r="13" spans="1:23" ht="20.100000000000001" customHeight="1" x14ac:dyDescent="0.25">
      <c r="A13" s="18" t="s">
        <v>71</v>
      </c>
      <c r="D13" s="6" t="s">
        <v>134</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192</v>
      </c>
      <c r="E15" s="114" t="s">
        <v>135</v>
      </c>
      <c r="F15" s="114" t="s">
        <v>136</v>
      </c>
      <c r="G15" s="114" t="s">
        <v>137</v>
      </c>
      <c r="H15" s="114" t="s">
        <v>195</v>
      </c>
      <c r="R15" s="37"/>
    </row>
    <row r="16" spans="1:23" ht="20.100000000000001" customHeight="1" x14ac:dyDescent="0.25">
      <c r="A16" s="17" t="str">
        <f>HYPERLINK("#'4.5.1.5-6 Atmos Dep'!A1", "4.5.1.5-6 Atmos Dep")</f>
        <v>4.5.1.5-6 Atmos Dep</v>
      </c>
      <c r="D16" s="1" t="s">
        <v>138</v>
      </c>
      <c r="E16" s="50" cm="1">
        <f t="array" ref="E16">Common_InputFunctions.Utility_LookupValueInTableNumber(E15, Table_SourceData_Swine_VolatileSolids[Class], Table_SourceData_Swine_VolatileSolids[VSj])</f>
        <v>0.4</v>
      </c>
      <c r="F16" s="50" cm="1">
        <f t="array" ref="F16">Common_InputFunctions.Utility_LookupValueInTableNumber(F15, Table_SourceData_Swine_VolatileSolids[Class], Table_SourceData_Swine_VolatileSolids[VSj])</f>
        <v>0.46</v>
      </c>
      <c r="G16" s="50" cm="1">
        <f t="array" ref="G16">Common_InputFunctions.Utility_LookupValueInTableNumber(G15, Table_SourceData_Swine_VolatileSolids[Class], Table_SourceData_Swine_VolatileSolids[VSj])</f>
        <v>0.55000000000000004</v>
      </c>
      <c r="H16" s="50" cm="1">
        <f t="array" ref="H16">Common_InputFunctions.Utility_LookupValueInTableNumber(H15, Table_SourceData_Swine_VolatileSolids[Class], Table_SourceData_Swine_VolatileSolids[VSj])</f>
        <v>0.39</v>
      </c>
      <c r="I16" s="2" t="s">
        <v>114</v>
      </c>
      <c r="J16" s="2"/>
      <c r="R16" s="37"/>
    </row>
    <row r="17" spans="1:18" ht="20.100000000000001" customHeight="1" x14ac:dyDescent="0.25">
      <c r="A17" s="17" t="str">
        <f>HYPERLINK("#'4.5.1.7-8 Leaching and runoff'!A1", "4.5.1.7-8 Leaching and runoff")</f>
        <v>4.5.1.7-8 Leaching and runoff</v>
      </c>
      <c r="D17" s="1" t="s">
        <v>139</v>
      </c>
      <c r="E17" s="50" cm="1">
        <f t="array" ref="E17">Common_InputFunctions.Utility_LookupValueInTableNumber(E15, Table_SourceData_Swine_NitrogenInWaste[Class name], Table_SourceData_Swine_NitrogenInWaste[NWj Daily])</f>
        <v>4.5999999999999999E-2</v>
      </c>
      <c r="F17" s="50" cm="1">
        <f t="array" ref="F17">Common_InputFunctions.Utility_LookupValueInTableNumber(F15, Table_SourceData_Swine_NitrogenInWaste[Class name], Table_SourceData_Swine_NitrogenInWaste[NWj Daily])</f>
        <v>4.9000000000000002E-2</v>
      </c>
      <c r="G17" s="50" cm="1">
        <f t="array" ref="G17">Common_InputFunctions.Utility_LookupValueInTableNumber(G15, Table_SourceData_Swine_NitrogenInWaste[Class name], Table_SourceData_Swine_NitrogenInWaste[NWj Daily])</f>
        <v>4.5999999999999999E-2</v>
      </c>
      <c r="H17" s="50" cm="1">
        <f t="array" ref="H17">Common_InputFunctions.Utility_LookupValueInTableNumber(H15, Table_SourceData_Swine_NitrogenInWaste[Class name], Table_SourceData_Swine_NitrogenInWaste[NWj Daily])</f>
        <v>3.1199999999999999E-2</v>
      </c>
      <c r="I17" s="2" t="s">
        <v>140</v>
      </c>
      <c r="J17" s="2"/>
      <c r="R17" s="7"/>
    </row>
    <row r="18" spans="1:18" ht="20.100000000000001" customHeight="1" x14ac:dyDescent="0.25">
      <c r="A18" s="17" t="str">
        <f>HYPERLINK("#'4.5.1.9 Manure applied to soils'!A1", "4.5.1.9 Manure applied to soils")</f>
        <v>4.5.1.9 Manure applied to soils</v>
      </c>
      <c r="K18" s="2"/>
      <c r="R18" s="7"/>
    </row>
    <row r="19" spans="1:18" ht="20.100000000000001" customHeight="1" x14ac:dyDescent="0.25">
      <c r="D19" s="61" t="s">
        <v>193</v>
      </c>
      <c r="E19" s="114" t="s">
        <v>135</v>
      </c>
      <c r="F19" s="114" t="s">
        <v>136</v>
      </c>
      <c r="G19" s="114" t="s">
        <v>137</v>
      </c>
      <c r="H19" s="114" t="s">
        <v>195</v>
      </c>
      <c r="R19" s="7"/>
    </row>
    <row r="20" spans="1:18" ht="20.100000000000001" customHeight="1" x14ac:dyDescent="0.25">
      <c r="D20" s="1" t="s">
        <v>138</v>
      </c>
      <c r="E20" s="63" cm="1">
        <f t="array" ref="E20">Common_InputFunctions.Utility_LookupValueInTableNumber(E19, Table_SourceData_Swine_VolatileSolids[Class], Table_SourceData_Swine_VolatileSolids[VSj])</f>
        <v>0.4</v>
      </c>
      <c r="F20" s="63" cm="1">
        <f t="array" ref="F20">Common_InputFunctions.Utility_LookupValueInTableNumber(F19, Table_SourceData_Swine_VolatileSolids[Class], Table_SourceData_Swine_VolatileSolids[VSj])</f>
        <v>0.46</v>
      </c>
      <c r="G20" s="63" cm="1">
        <f t="array" ref="G20">Common_InputFunctions.Utility_LookupValueInTableNumber(G19, Table_SourceData_Swine_VolatileSolids[Class], Table_SourceData_Swine_VolatileSolids[VSj])</f>
        <v>0.55000000000000004</v>
      </c>
      <c r="H20" s="63" cm="1">
        <f t="array" ref="H20">Common_InputFunctions.Utility_LookupValueInTableNumber(H19, Table_SourceData_Swine_VolatileSolids[Class], Table_SourceData_Swine_VolatileSolids[VSj])</f>
        <v>0.39</v>
      </c>
      <c r="I20" s="2" t="s">
        <v>114</v>
      </c>
      <c r="J20" s="2"/>
      <c r="R20" s="7"/>
    </row>
    <row r="21" spans="1:18" ht="20.100000000000001" customHeight="1" x14ac:dyDescent="0.25">
      <c r="A21" s="145" t="s">
        <v>1</v>
      </c>
      <c r="D21" s="1" t="s">
        <v>139</v>
      </c>
      <c r="E21" s="63" cm="1">
        <f t="array" ref="E21">Common_InputFunctions.Utility_LookupValueInTableNumber(E19, Table_SourceData_Swine_NitrogenInWaste[Class name], Table_SourceData_Swine_NitrogenInWaste[NWj Daily])</f>
        <v>4.5999999999999999E-2</v>
      </c>
      <c r="F21" s="63" cm="1">
        <f t="array" ref="F21">Common_InputFunctions.Utility_LookupValueInTableNumber(F19, Table_SourceData_Swine_NitrogenInWaste[Class name], Table_SourceData_Swine_NitrogenInWaste[NWj Daily])</f>
        <v>4.9000000000000002E-2</v>
      </c>
      <c r="G21" s="63" cm="1">
        <f t="array" ref="G21">Common_InputFunctions.Utility_LookupValueInTableNumber(G19, Table_SourceData_Swine_NitrogenInWaste[Class name], Table_SourceData_Swine_NitrogenInWaste[NWj Daily])</f>
        <v>4.5999999999999999E-2</v>
      </c>
      <c r="H21" s="63" cm="1">
        <f t="array" ref="H21">Common_InputFunctions.Utility_LookupValueInTableNumber(H19, Table_SourceData_Swine_NitrogenInWaste[Class name], Table_SourceData_Swine_NitrogenInWaste[NWj Daily])</f>
        <v>3.1199999999999999E-2</v>
      </c>
      <c r="I21" s="2" t="s">
        <v>140</v>
      </c>
      <c r="J21" s="2"/>
      <c r="R21" s="7"/>
    </row>
    <row r="22" spans="1:18" ht="20.100000000000001" customHeight="1" x14ac:dyDescent="0.25">
      <c r="A22" s="17" t="str">
        <f>HYPERLINK("#'Constants - Swine'!A1", "Constants - Swine")</f>
        <v>Constants - Swine</v>
      </c>
      <c r="R22" s="7"/>
    </row>
    <row r="23" spans="1:18" ht="20.100000000000001" customHeight="1" x14ac:dyDescent="0.25">
      <c r="A23" s="17" t="str">
        <f>HYPERLINK("#'Constants - Common'!A1", "Constants - Common")</f>
        <v>Constants - Common</v>
      </c>
      <c r="R23" s="7"/>
    </row>
    <row r="24" spans="1:18" ht="20.100000000000001" customHeight="1" x14ac:dyDescent="0.25">
      <c r="A24" s="17" t="str">
        <f>HYPERLINK("#'Constants - Livestock'!A1", "Constants - Livestock")</f>
        <v>Constants - Livestock</v>
      </c>
      <c r="D24" s="6" t="s">
        <v>171</v>
      </c>
      <c r="R24" s="7"/>
    </row>
    <row r="25" spans="1:18" ht="20.100000000000001" customHeight="1" x14ac:dyDescent="0.25">
      <c r="A25" s="17" t="str">
        <f>HYPERLINK("#'Acknowledgements'!A1", "Acknowledgements")</f>
        <v>Acknowledgements</v>
      </c>
      <c r="R25" s="7"/>
    </row>
    <row r="26" spans="1:18" ht="20.100000000000001" customHeight="1" x14ac:dyDescent="0.25">
      <c r="A26" s="17" t="str">
        <f>HYPERLINK("#'Tab template'!A1", "Tab template")</f>
        <v>Tab template</v>
      </c>
      <c r="D26" s="1" t="s">
        <v>103</v>
      </c>
      <c r="E26" s="38" t="s">
        <v>336</v>
      </c>
      <c r="F26" s="2" t="s">
        <v>8</v>
      </c>
      <c r="R26" s="7"/>
    </row>
    <row r="27" spans="1:18" ht="20.100000000000001" customHeight="1" x14ac:dyDescent="0.25">
      <c r="E27" s="102" t="str">
        <f>IF(X_Cell_Swine_ProductionSystem="Outdoor/free range", "In an outdoor/free range system the only likely stage 1 MMS is 'Drylot (feed pad)'", "")</f>
        <v>In an outdoor/free range system the only likely stage 1 MMS is 'Drylot (feed pad)'</v>
      </c>
      <c r="R27" s="7"/>
    </row>
    <row r="28" spans="1:18" ht="20.100000000000001" customHeight="1" x14ac:dyDescent="0.25">
      <c r="D28" s="61" t="s">
        <v>172</v>
      </c>
      <c r="E28" s="114" t="s">
        <v>135</v>
      </c>
      <c r="F28" s="114" t="s">
        <v>136</v>
      </c>
      <c r="G28" s="114" t="s">
        <v>137</v>
      </c>
      <c r="H28" s="114" t="s">
        <v>195</v>
      </c>
      <c r="R28" s="7"/>
    </row>
    <row r="29" spans="1:18" ht="20.100000000000001" customHeight="1" x14ac:dyDescent="0.25">
      <c r="R29" s="7"/>
    </row>
    <row r="30" spans="1:18" ht="20.100000000000001" customHeight="1" x14ac:dyDescent="0.25">
      <c r="D30" s="51" t="str">
        <f>'Constants - Swine'!$G$41</f>
        <v>Anaerobic lagoon</v>
      </c>
      <c r="E30" s="44">
        <v>0.15</v>
      </c>
      <c r="F30" s="44">
        <v>0.15</v>
      </c>
      <c r="G30" s="44">
        <v>0.15</v>
      </c>
      <c r="H30" s="44">
        <v>0.15</v>
      </c>
      <c r="I30" s="2" t="s">
        <v>15</v>
      </c>
      <c r="J30" s="2"/>
      <c r="R30" s="7"/>
    </row>
    <row r="31" spans="1:18" ht="20.100000000000001" customHeight="1" x14ac:dyDescent="0.25">
      <c r="D31" s="120" t="str">
        <f>"Were solids separated from " &amp; $D$30 &amp; "?"</f>
        <v>Were solids separated from Anaerobic lagoon?</v>
      </c>
      <c r="E31" s="38" t="s">
        <v>141</v>
      </c>
      <c r="R31" s="7"/>
    </row>
    <row r="32" spans="1:18" ht="20.100000000000001" customHeight="1" x14ac:dyDescent="0.25">
      <c r="D32" s="120" t="str">
        <f>"Percent solids separated from " &amp; D30 &amp; " (Method 1)"</f>
        <v>Percent solids separated from Anaerobic lagoon (Method 1)</v>
      </c>
      <c r="E32" s="93">
        <v>0.2</v>
      </c>
      <c r="R32" s="7"/>
    </row>
    <row r="33" spans="4:18" ht="20.100000000000001" customHeight="1" x14ac:dyDescent="0.25">
      <c r="D33" s="120" t="str">
        <f>"Percent solids separated from " &amp; D30 &amp; " (Method 2)"</f>
        <v>Percent solids separated from Anaerobic lagoon (Method 2)</v>
      </c>
      <c r="E33" s="44">
        <v>0.2</v>
      </c>
      <c r="R33" s="7"/>
    </row>
    <row r="34" spans="4:18" ht="20.100000000000001" customHeight="1" x14ac:dyDescent="0.25">
      <c r="R34" s="7"/>
    </row>
    <row r="35" spans="4:18" ht="20.100000000000001" customHeight="1" x14ac:dyDescent="0.25">
      <c r="D35" s="51" t="str">
        <f>'Constants - Swine'!$G$42</f>
        <v>Drylot (feed pad)</v>
      </c>
      <c r="E35" s="44">
        <v>0.15</v>
      </c>
      <c r="F35" s="44">
        <v>0.15</v>
      </c>
      <c r="G35" s="44">
        <v>0.15</v>
      </c>
      <c r="H35" s="44">
        <v>0.15</v>
      </c>
      <c r="I35" s="2" t="s">
        <v>15</v>
      </c>
      <c r="J35" s="2"/>
      <c r="R35" s="7"/>
    </row>
    <row r="36" spans="4:18" ht="20.100000000000001" customHeight="1" x14ac:dyDescent="0.25">
      <c r="D36" s="120" t="str">
        <f>"Were solids separated from " &amp; $D$35 &amp; "?"</f>
        <v>Were solids separated from Drylot (feed pad)?</v>
      </c>
      <c r="E36" s="38" t="s">
        <v>141</v>
      </c>
      <c r="R36" s="7"/>
    </row>
    <row r="37" spans="4:18" ht="20.100000000000001" customHeight="1" x14ac:dyDescent="0.25">
      <c r="D37" s="120" t="str">
        <f>"Percent solids separated from " &amp; D35 &amp; " (Method 1)"</f>
        <v>Percent solids separated from Drylot (feed pad) (Method 1)</v>
      </c>
      <c r="E37" s="93">
        <v>0.2</v>
      </c>
      <c r="R37" s="7"/>
    </row>
    <row r="38" spans="4:18" ht="20.100000000000001" customHeight="1" x14ac:dyDescent="0.25">
      <c r="D38" s="120" t="str">
        <f>"Percent solids separated from " &amp; D35 &amp; " (Method 2)"</f>
        <v>Percent solids separated from Drylot (feed pad) (Method 2)</v>
      </c>
      <c r="E38" s="44">
        <v>0.2</v>
      </c>
      <c r="R38" s="7"/>
    </row>
    <row r="39" spans="4:18" ht="20.100000000000001" customHeight="1" x14ac:dyDescent="0.25">
      <c r="R39" s="7"/>
    </row>
    <row r="40" spans="4:18" ht="20.100000000000001" customHeight="1" x14ac:dyDescent="0.25">
      <c r="R40" s="7"/>
    </row>
    <row r="41" spans="4:18" ht="20.100000000000001" customHeight="1" x14ac:dyDescent="0.25">
      <c r="D41" s="51" t="str">
        <f>'Constants - Swine'!$G$43</f>
        <v>Digester / covered lagoons</v>
      </c>
      <c r="E41" s="44">
        <v>0.15</v>
      </c>
      <c r="F41" s="44">
        <v>0.15</v>
      </c>
      <c r="G41" s="44">
        <v>0.15</v>
      </c>
      <c r="H41" s="44">
        <v>0.15</v>
      </c>
      <c r="I41" s="2" t="s">
        <v>15</v>
      </c>
      <c r="J41" s="2"/>
      <c r="R41" s="7"/>
    </row>
    <row r="42" spans="4:18" ht="20.100000000000001" customHeight="1" x14ac:dyDescent="0.25">
      <c r="D42" s="120" t="str">
        <f>"Were solids separated from " &amp; $D$41 &amp; "?"</f>
        <v>Were solids separated from Digester / covered lagoons?</v>
      </c>
      <c r="E42" s="38" t="s">
        <v>141</v>
      </c>
      <c r="R42" s="7"/>
    </row>
    <row r="43" spans="4:18" ht="20.100000000000001" customHeight="1" x14ac:dyDescent="0.25">
      <c r="D43" s="120" t="str">
        <f>"Percent solids separated from " &amp; D41 &amp; " (Method 1)"</f>
        <v>Percent solids separated from Digester / covered lagoons (Method 1)</v>
      </c>
      <c r="E43" s="93">
        <v>0.2</v>
      </c>
      <c r="R43" s="7"/>
    </row>
    <row r="44" spans="4:18" ht="20.100000000000001" customHeight="1" x14ac:dyDescent="0.25">
      <c r="D44" s="120" t="str">
        <f>"Percent solids separated from " &amp; D41 &amp; " (Method 2)"</f>
        <v>Percent solids separated from Digester / covered lagoons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Swine'!$G$44</f>
        <v>Deep litter</v>
      </c>
      <c r="E47" s="44">
        <v>0.15</v>
      </c>
      <c r="F47" s="44">
        <v>0.15</v>
      </c>
      <c r="G47" s="44">
        <v>0.15</v>
      </c>
      <c r="H47" s="44">
        <v>0.15</v>
      </c>
      <c r="I47" s="2" t="s">
        <v>15</v>
      </c>
      <c r="J47" s="2"/>
      <c r="R47" s="7"/>
    </row>
    <row r="48" spans="4:18" ht="20.100000000000001" customHeight="1" x14ac:dyDescent="0.25">
      <c r="D48" s="120" t="str">
        <f>"Were solids separated from " &amp; $D$47 &amp; "?"</f>
        <v>Were solids separated from Deep litter?</v>
      </c>
      <c r="E48" s="38" t="s">
        <v>141</v>
      </c>
      <c r="R48" s="7"/>
    </row>
    <row r="49" spans="4:18" ht="20.100000000000001" customHeight="1" x14ac:dyDescent="0.25">
      <c r="D49" s="120" t="str">
        <f>"Percent solids separated from " &amp; D47 &amp; " (Method 1)"</f>
        <v>Percent solids separated from Deep litter (Method 1)</v>
      </c>
      <c r="E49" s="93">
        <v>0.2</v>
      </c>
      <c r="R49" s="7"/>
    </row>
    <row r="50" spans="4:18" ht="20.100000000000001" customHeight="1" x14ac:dyDescent="0.25">
      <c r="D50" s="120" t="str">
        <f>"Percent solids separated from " &amp; D47 &amp; " (Method 2)"</f>
        <v>Percent solids separated from Deep litter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Swine'!$G$45</f>
        <v>Pit storage</v>
      </c>
      <c r="E53" s="44">
        <v>0.15</v>
      </c>
      <c r="F53" s="44">
        <v>0.15</v>
      </c>
      <c r="G53" s="44">
        <v>0.15</v>
      </c>
      <c r="H53" s="44">
        <v>0.15</v>
      </c>
      <c r="I53" s="2" t="s">
        <v>15</v>
      </c>
      <c r="J53" s="2"/>
      <c r="R53" s="7"/>
    </row>
    <row r="54" spans="4:18" ht="20.100000000000001" customHeight="1" x14ac:dyDescent="0.25">
      <c r="D54" s="120" t="str">
        <f>"Were solids separated from " &amp; $D$53 &amp; "?"</f>
        <v>Were solids separated from Pit storage?</v>
      </c>
      <c r="E54" s="38" t="s">
        <v>141</v>
      </c>
      <c r="R54" s="7"/>
    </row>
    <row r="55" spans="4:18" ht="20.100000000000001" customHeight="1" x14ac:dyDescent="0.25">
      <c r="D55" s="120" t="str">
        <f>"Percent solids separated from " &amp; D53 &amp; " (Method 1)"</f>
        <v>Percent solids separated from Pit storage (Method 1)</v>
      </c>
      <c r="E55" s="93">
        <v>0.2</v>
      </c>
      <c r="R55" s="7"/>
    </row>
    <row r="56" spans="4:18" ht="20.100000000000001" customHeight="1" x14ac:dyDescent="0.25">
      <c r="D56" s="120" t="str">
        <f>"Percent solids separated from " &amp; D53 &amp; " (Method 2)"</f>
        <v>Percent solids separated from Pit storage (Method 2)</v>
      </c>
      <c r="E56" s="44">
        <v>0.2</v>
      </c>
      <c r="R56" s="7"/>
    </row>
    <row r="57" spans="4:18" ht="20.100000000000001" customHeight="1" x14ac:dyDescent="0.25">
      <c r="R57" s="7"/>
    </row>
    <row r="58" spans="4:18" ht="20.100000000000001" customHeight="1" x14ac:dyDescent="0.25">
      <c r="D58" s="51" t="str">
        <f>'Constants - Swine'!$D$42 &amp; " (before solid separation)"</f>
        <v>Solid storage (before solid separation)</v>
      </c>
      <c r="E58" s="44">
        <v>0.25</v>
      </c>
      <c r="F58" s="44">
        <v>0.25</v>
      </c>
      <c r="G58" s="44">
        <v>0.25</v>
      </c>
      <c r="H58" s="44">
        <v>0.25</v>
      </c>
      <c r="I58" s="2" t="s">
        <v>15</v>
      </c>
      <c r="J58" s="2"/>
      <c r="R58" s="7"/>
    </row>
    <row r="59" spans="4:18" ht="20.100000000000001" customHeight="1" x14ac:dyDescent="0.25">
      <c r="D59" s="1" t="s">
        <v>360</v>
      </c>
      <c r="E59" s="93">
        <f>E58+(E30*X_Cell_Swine_Stage1MMS_AnaerobicLagoon_AmountSeparated_Method1)+(E35*X_Cell_Swine_Stage1MMS_Drylot_AmountSeparated_Method1)+(E41*X_Cell_Swine_Stage1MMS_DigesterCoveredLagoons_AmountSeparated_Method1)+(E47*X_Cell_Swine_Stage1MMS_DeepLitter_AmountSeparated_Method1)+(E53*X_Cell_Swine_Stage1MMS_PitStorage_AmountSeparated_Method1)</f>
        <v>0.40000000000000013</v>
      </c>
      <c r="F59" s="93">
        <f>F58+(F30*X_Cell_Swine_Stage1MMS_AnaerobicLagoon_AmountSeparated_Method1)+(F35*X_Cell_Swine_Stage1MMS_Drylot_AmountSeparated_Method1)+(F41*X_Cell_Swine_Stage1MMS_DigesterCoveredLagoons_AmountSeparated_Method1)+(F47*X_Cell_Swine_Stage1MMS_DeepLitter_AmountSeparated_Method1)+(F53*X_Cell_Swine_Stage1MMS_PitStorage_AmountSeparated_Method1)</f>
        <v>0.40000000000000013</v>
      </c>
      <c r="G59" s="93">
        <f>G58+(G30*X_Cell_Swine_Stage1MMS_AnaerobicLagoon_AmountSeparated_Method1)+(G35*X_Cell_Swine_Stage1MMS_Drylot_AmountSeparated_Method1)+(G41*X_Cell_Swine_Stage1MMS_DigesterCoveredLagoons_AmountSeparated_Method1)+(G47*X_Cell_Swine_Stage1MMS_DeepLitter_AmountSeparated_Method1)+(G53*X_Cell_Swine_Stage1MMS_PitStorage_AmountSeparated_Method1)</f>
        <v>0.40000000000000013</v>
      </c>
      <c r="H59" s="93">
        <f>H58+(H30*X_Cell_Swine_Stage1MMS_AnaerobicLagoon_AmountSeparated_Method1)+(H35*X_Cell_Swine_Stage1MMS_Drylot_AmountSeparated_Method1)+(H41*X_Cell_Swine_Stage1MMS_DigesterCoveredLagoons_AmountSeparated_Method1)+(H47*X_Cell_Swine_Stage1MMS_DeepLitter_AmountSeparated_Method1)+(H53*X_Cell_Swine_Stage1MMS_PitStorage_AmountSeparated_Method1)</f>
        <v>0.40000000000000013</v>
      </c>
      <c r="R59" s="7"/>
    </row>
    <row r="60" spans="4:18" ht="20.100000000000001" customHeight="1" x14ac:dyDescent="0.25">
      <c r="D60" s="1" t="s">
        <v>361</v>
      </c>
      <c r="E60" s="93">
        <f>E58+(E30*X_Cell_Swine_Stage1MMS_AnaerobicLagoon_AmountSeparated_Method2)+(E35*X_Cell_Swine_Stage1MMS_Drylot_AmountSeparated_Method2)+(E41*X_Cell_Swine_Stage1MMS_DigesterCoveredLagoons_AmountSeparated_Method2)+(E47*X_Cell_Swine_Stage1MMS_DeepLitter_AmountSeparated_Method2)+(E53*X_Cell_Swine_Stage1MMS_PitStorage_AmountSeparated_Method2)</f>
        <v>0.40000000000000013</v>
      </c>
      <c r="F60" s="93">
        <f>F58+(F30*X_Cell_Swine_Stage1MMS_AnaerobicLagoon_AmountSeparated_Method2)+(F35*X_Cell_Swine_Stage1MMS_Drylot_AmountSeparated_Method2)+(F41*X_Cell_Swine_Stage1MMS_DigesterCoveredLagoons_AmountSeparated_Method2)+(F47*X_Cell_Swine_Stage1MMS_DeepLitter_AmountSeparated_Method2)+(F53*X_Cell_Swine_Stage1MMS_PitStorage_AmountSeparated_Method2)</f>
        <v>0.40000000000000013</v>
      </c>
      <c r="G60" s="93">
        <f>G58+(G30*X_Cell_Swine_Stage1MMS_AnaerobicLagoon_AmountSeparated_Method2)+(G35*X_Cell_Swine_Stage1MMS_Drylot_AmountSeparated_Method2)+(G41*X_Cell_Swine_Stage1MMS_DigesterCoveredLagoons_AmountSeparated_Method2)+(G47*X_Cell_Swine_Stage1MMS_DeepLitter_AmountSeparated_Method2)+(G53*X_Cell_Swine_Stage1MMS_PitStorage_AmountSeparated_Method2)</f>
        <v>0.40000000000000013</v>
      </c>
      <c r="H60" s="93">
        <f>H58+(H30*X_Cell_Swine_Stage1MMS_AnaerobicLagoon_AmountSeparated_Method2)+(H35*X_Cell_Swine_Stage1MMS_Drylot_AmountSeparated_Method2)+(H41*X_Cell_Swine_Stage1MMS_DigesterCoveredLagoons_AmountSeparated_Method2)+(H47*X_Cell_Swine_Stage1MMS_DeepLitter_AmountSeparated_Method2)+(H53*X_Cell_Swine_Stage1MMS_PitStorage_AmountSeparated_Method2)</f>
        <v>0.40000000000000013</v>
      </c>
      <c r="R60" s="7"/>
    </row>
    <row r="61" spans="4:18" ht="20.100000000000001" customHeight="1" x14ac:dyDescent="0.25">
      <c r="R61" s="7"/>
    </row>
    <row r="62" spans="4:18" ht="20.100000000000001" customHeight="1" x14ac:dyDescent="0.25">
      <c r="D62" s="1" t="s">
        <v>173</v>
      </c>
      <c r="E62" s="93">
        <f>SUM(E30,E35,E41,E47,E53,E58)</f>
        <v>1</v>
      </c>
      <c r="F62" s="93">
        <f>SUM(F30,F35,F41,F47,F53,F58)</f>
        <v>1</v>
      </c>
      <c r="G62" s="93">
        <f>SUM(G30,G35,G41,G47,G53,G58)</f>
        <v>1</v>
      </c>
      <c r="H62" s="93">
        <f>SUM(H30,H35,H41,H47,H53,H58)</f>
        <v>1</v>
      </c>
      <c r="R62" s="7"/>
    </row>
    <row r="63" spans="4:18" ht="20.100000000000001" customHeight="1" x14ac:dyDescent="0.25">
      <c r="R63" s="7"/>
    </row>
    <row r="64" spans="4:18" ht="20.100000000000001" customHeight="1" x14ac:dyDescent="0.25">
      <c r="D64" s="126" t="s">
        <v>181</v>
      </c>
      <c r="R64" s="7"/>
    </row>
    <row r="65" spans="4:18" ht="20.100000000000001" customHeight="1" x14ac:dyDescent="0.25">
      <c r="D65" s="123" t="s">
        <v>174</v>
      </c>
      <c r="E65" s="124" t="s">
        <v>135</v>
      </c>
      <c r="F65" s="124" t="s">
        <v>136</v>
      </c>
      <c r="G65" s="124" t="s">
        <v>137</v>
      </c>
      <c r="H65" s="124" t="s">
        <v>195</v>
      </c>
      <c r="I65" s="127" t="s">
        <v>182</v>
      </c>
      <c r="J65" s="127"/>
      <c r="K65" s="61" t="s">
        <v>177</v>
      </c>
      <c r="L65" s="61"/>
      <c r="M65" s="115"/>
      <c r="R65" s="7"/>
    </row>
    <row r="66" spans="4:18" ht="20.100000000000001" customHeight="1" x14ac:dyDescent="0.25">
      <c r="D66" s="121" t="str">
        <f>"From stage 1: " &amp; $D$30</f>
        <v>From stage 1: Anaerobic lagoon</v>
      </c>
      <c r="E66" s="102" t="str">
        <f>IF(SUM(E30:H30)&gt;0,"Manure was sent to this MMS, please complete this section.","NO manure was sent to this MMS. Leave this section blank.")</f>
        <v>Manure was sent to this MMS, please complete this section.</v>
      </c>
      <c r="K66" s="125" t="s">
        <v>178</v>
      </c>
      <c r="L66" s="125" t="s">
        <v>179</v>
      </c>
      <c r="M66" s="125" t="s">
        <v>180</v>
      </c>
      <c r="R66" s="7"/>
    </row>
    <row r="67" spans="4:18" ht="20.100000000000001" customHeight="1" x14ac:dyDescent="0.25">
      <c r="D67" s="122" t="str">
        <f>$D$41</f>
        <v>Digester / covered lagoons</v>
      </c>
      <c r="E67" s="44">
        <v>0.2</v>
      </c>
      <c r="F67" s="44">
        <v>0.25</v>
      </c>
      <c r="G67" s="44">
        <v>0.25</v>
      </c>
      <c r="H67" s="44">
        <v>0.25</v>
      </c>
      <c r="I67" s="2" t="s">
        <v>15</v>
      </c>
      <c r="J67" s="2"/>
      <c r="K67" s="44">
        <v>0.25</v>
      </c>
      <c r="L67" s="44">
        <v>0.25</v>
      </c>
      <c r="M67" s="93">
        <f t="shared" ref="M67:M69" si="0">1-SUM(K67:L67)</f>
        <v>0.5</v>
      </c>
      <c r="R67" s="7"/>
    </row>
    <row r="68" spans="4:18" ht="20.100000000000001" customHeight="1" x14ac:dyDescent="0.25">
      <c r="D68" s="122" t="str">
        <f>$D$47</f>
        <v>Deep litter</v>
      </c>
      <c r="E68" s="44">
        <v>0.2</v>
      </c>
      <c r="F68" s="44">
        <v>0.25</v>
      </c>
      <c r="G68" s="44">
        <v>0.25</v>
      </c>
      <c r="H68" s="44">
        <v>0.25</v>
      </c>
      <c r="I68" s="2" t="s">
        <v>15</v>
      </c>
      <c r="J68" s="2"/>
      <c r="K68" s="44">
        <v>0.25</v>
      </c>
      <c r="L68" s="44">
        <v>0.25</v>
      </c>
      <c r="M68" s="93">
        <f t="shared" si="0"/>
        <v>0.5</v>
      </c>
      <c r="R68" s="7"/>
    </row>
    <row r="69" spans="4:18" ht="20.100000000000001" customHeight="1" x14ac:dyDescent="0.25">
      <c r="D69" s="122" t="str">
        <f>$D$53</f>
        <v>Pit storage</v>
      </c>
      <c r="E69" s="44">
        <v>0.2</v>
      </c>
      <c r="F69" s="44">
        <v>0.25</v>
      </c>
      <c r="G69" s="44">
        <v>0.25</v>
      </c>
      <c r="H69" s="44">
        <v>0.25</v>
      </c>
      <c r="I69" s="2" t="s">
        <v>15</v>
      </c>
      <c r="J69" s="2"/>
      <c r="K69" s="44">
        <v>0.25</v>
      </c>
      <c r="L69" s="44">
        <v>0.25</v>
      </c>
      <c r="M69" s="93">
        <f t="shared" si="0"/>
        <v>0.5</v>
      </c>
      <c r="R69" s="7"/>
    </row>
    <row r="70" spans="4:18" ht="20.100000000000001" customHeight="1" x14ac:dyDescent="0.25">
      <c r="D70" s="122" t="str">
        <f>'Constants - Swine'!$D$47</f>
        <v>Direct application</v>
      </c>
      <c r="E70" s="93">
        <f>1-SUM(E67:E69)</f>
        <v>0.39999999999999991</v>
      </c>
      <c r="F70" s="93">
        <f>1-SUM(F67:F69)</f>
        <v>0.25</v>
      </c>
      <c r="G70" s="93">
        <f>1-SUM(G67:G69)</f>
        <v>0.25</v>
      </c>
      <c r="H70" s="93">
        <f>1-SUM(H67:H69)</f>
        <v>0.25</v>
      </c>
      <c r="I70" s="2" t="s">
        <v>15</v>
      </c>
      <c r="J70" s="2"/>
      <c r="K70" s="93">
        <v>0</v>
      </c>
      <c r="L70" s="93">
        <v>0</v>
      </c>
      <c r="M70" s="93">
        <f>1-SUM(K70:L70)</f>
        <v>1</v>
      </c>
      <c r="R70" s="7"/>
    </row>
    <row r="71" spans="4:18" ht="20.100000000000001" customHeight="1" x14ac:dyDescent="0.25">
      <c r="R71" s="7"/>
    </row>
    <row r="72" spans="4:18" ht="20.100000000000001" customHeight="1" x14ac:dyDescent="0.25">
      <c r="D72" s="122"/>
      <c r="F72" s="2"/>
      <c r="R72" s="7"/>
    </row>
    <row r="73" spans="4:18" ht="20.100000000000001" customHeight="1" x14ac:dyDescent="0.25">
      <c r="D73" s="121" t="str">
        <f>"From stage 1: " &amp; $D$35</f>
        <v>From stage 1: Drylot (feed pad)</v>
      </c>
      <c r="E73" s="102" t="str">
        <f>IF(SUM(E35:H35)&gt;0,"Manure was sent to this MMS, please complete this section.","NO manure was sent to this MMS. Leave this section blank.")</f>
        <v>Manure was sent to this MMS, please complete this section.</v>
      </c>
      <c r="K73" s="125" t="s">
        <v>178</v>
      </c>
      <c r="L73" s="125" t="s">
        <v>179</v>
      </c>
      <c r="M73" s="125" t="s">
        <v>180</v>
      </c>
      <c r="R73" s="7"/>
    </row>
    <row r="74" spans="4:18" ht="20.100000000000001" customHeight="1" x14ac:dyDescent="0.25">
      <c r="D74" s="122" t="str">
        <f>$D$30</f>
        <v>Anaerobic lagoon</v>
      </c>
      <c r="E74" s="44">
        <v>0.2</v>
      </c>
      <c r="F74" s="44">
        <v>0.25</v>
      </c>
      <c r="G74" s="44">
        <v>0.25</v>
      </c>
      <c r="H74" s="44">
        <v>0.25</v>
      </c>
      <c r="I74" s="2" t="s">
        <v>15</v>
      </c>
      <c r="J74" s="2"/>
      <c r="K74" s="44">
        <v>0.25</v>
      </c>
      <c r="L74" s="44">
        <v>0.25</v>
      </c>
      <c r="M74" s="93">
        <f>1-SUM(K74:L74)</f>
        <v>0.5</v>
      </c>
      <c r="R74" s="7"/>
    </row>
    <row r="75" spans="4:18" ht="20.100000000000001" customHeight="1" x14ac:dyDescent="0.25">
      <c r="D75" s="122" t="str">
        <f>$D$41</f>
        <v>Digester / covered lagoons</v>
      </c>
      <c r="E75" s="44">
        <v>0.2</v>
      </c>
      <c r="F75" s="44">
        <v>0.25</v>
      </c>
      <c r="G75" s="44">
        <v>0.25</v>
      </c>
      <c r="H75" s="44">
        <v>0.25</v>
      </c>
      <c r="I75" s="2" t="s">
        <v>15</v>
      </c>
      <c r="J75" s="2"/>
      <c r="K75" s="44">
        <v>0.25</v>
      </c>
      <c r="L75" s="44">
        <v>0.25</v>
      </c>
      <c r="M75" s="93">
        <f t="shared" ref="M75:M77" si="1">1-SUM(K75:L75)</f>
        <v>0.5</v>
      </c>
      <c r="R75" s="7"/>
    </row>
    <row r="76" spans="4:18" ht="20.100000000000001" customHeight="1" x14ac:dyDescent="0.25">
      <c r="D76" s="122" t="str">
        <f>$D$47</f>
        <v>Deep litter</v>
      </c>
      <c r="E76" s="44">
        <v>0.2</v>
      </c>
      <c r="F76" s="44">
        <v>0.25</v>
      </c>
      <c r="G76" s="44">
        <v>0.25</v>
      </c>
      <c r="H76" s="44">
        <v>0.25</v>
      </c>
      <c r="I76" s="2" t="s">
        <v>15</v>
      </c>
      <c r="J76" s="2"/>
      <c r="K76" s="44">
        <v>0.25</v>
      </c>
      <c r="L76" s="44">
        <v>0.25</v>
      </c>
      <c r="M76" s="93">
        <f t="shared" si="1"/>
        <v>0.5</v>
      </c>
      <c r="R76" s="7"/>
    </row>
    <row r="77" spans="4:18" ht="20.100000000000001" customHeight="1" x14ac:dyDescent="0.25">
      <c r="D77" s="122" t="str">
        <f>$D$53</f>
        <v>Pit storage</v>
      </c>
      <c r="E77" s="44">
        <v>0.2</v>
      </c>
      <c r="F77" s="44">
        <v>0.25</v>
      </c>
      <c r="G77" s="44">
        <v>0.25</v>
      </c>
      <c r="H77" s="44">
        <v>0.25</v>
      </c>
      <c r="I77" s="2" t="s">
        <v>15</v>
      </c>
      <c r="J77" s="2"/>
      <c r="K77" s="44">
        <v>0.25</v>
      </c>
      <c r="L77" s="44">
        <v>0.25</v>
      </c>
      <c r="M77" s="93">
        <f t="shared" si="1"/>
        <v>0.5</v>
      </c>
      <c r="R77" s="7"/>
    </row>
    <row r="78" spans="4:18" ht="20.100000000000001" customHeight="1" x14ac:dyDescent="0.25">
      <c r="D78" s="122" t="str">
        <f>'Constants - Swine'!$D$47</f>
        <v>Direct application</v>
      </c>
      <c r="E78" s="93">
        <f>1-SUM(E74:E77)</f>
        <v>0.19999999999999996</v>
      </c>
      <c r="F78" s="93">
        <f t="shared" ref="F78:H78" si="2">1-SUM(F74:F77)</f>
        <v>0</v>
      </c>
      <c r="G78" s="93">
        <f t="shared" si="2"/>
        <v>0</v>
      </c>
      <c r="H78" s="93">
        <f t="shared" si="2"/>
        <v>0</v>
      </c>
      <c r="K78" s="93">
        <v>0</v>
      </c>
      <c r="L78" s="93">
        <v>0</v>
      </c>
      <c r="M78" s="93">
        <f>1-SUM(K78:L78)</f>
        <v>1</v>
      </c>
      <c r="R78" s="7"/>
    </row>
    <row r="79" spans="4:18" ht="20.100000000000001" customHeight="1" x14ac:dyDescent="0.25">
      <c r="R79" s="7"/>
    </row>
    <row r="80" spans="4:18" ht="20.100000000000001" customHeight="1" x14ac:dyDescent="0.25">
      <c r="R80" s="7"/>
    </row>
    <row r="81" spans="4:18" ht="20.100000000000001" customHeight="1" x14ac:dyDescent="0.25">
      <c r="D81" s="121" t="str">
        <f>"From stage 1: " &amp; $D$41</f>
        <v>From stage 1: Digester / covered lagoons</v>
      </c>
      <c r="E81" s="102" t="str">
        <f>IF(SUM(E41:H41)&gt;0,"Manure was sent to this MMS, please complete this section.","NO manure was sent to this MMS. Leave this section blank.")</f>
        <v>Manure was sent to this MMS, please complete this section.</v>
      </c>
      <c r="K81" s="125" t="s">
        <v>178</v>
      </c>
      <c r="L81" s="125" t="s">
        <v>179</v>
      </c>
      <c r="M81" s="125" t="s">
        <v>180</v>
      </c>
      <c r="R81" s="7"/>
    </row>
    <row r="82" spans="4:18" ht="20.100000000000001" customHeight="1" x14ac:dyDescent="0.25">
      <c r="D82" s="122" t="str">
        <f>$D$30</f>
        <v>Anaerobic lagoon</v>
      </c>
      <c r="E82" s="44">
        <v>0.2</v>
      </c>
      <c r="F82" s="44">
        <v>0.25</v>
      </c>
      <c r="G82" s="44">
        <v>0.25</v>
      </c>
      <c r="H82" s="44">
        <v>0.25</v>
      </c>
      <c r="I82" s="2" t="s">
        <v>15</v>
      </c>
      <c r="J82" s="2"/>
      <c r="K82" s="44">
        <v>0.25</v>
      </c>
      <c r="L82" s="44">
        <v>0.25</v>
      </c>
      <c r="M82" s="93">
        <f>1-SUM(K82:L82)</f>
        <v>0.5</v>
      </c>
      <c r="R82" s="7"/>
    </row>
    <row r="83" spans="4:18" ht="20.100000000000001" customHeight="1" x14ac:dyDescent="0.25">
      <c r="D83" s="122" t="str">
        <f>$D$47</f>
        <v>Deep litter</v>
      </c>
      <c r="E83" s="44">
        <v>0.2</v>
      </c>
      <c r="F83" s="44">
        <v>0.25</v>
      </c>
      <c r="G83" s="44">
        <v>0.25</v>
      </c>
      <c r="H83" s="44">
        <v>0.25</v>
      </c>
      <c r="I83" s="2" t="s">
        <v>15</v>
      </c>
      <c r="J83" s="2"/>
      <c r="K83" s="44">
        <v>0.25</v>
      </c>
      <c r="L83" s="44">
        <v>0.25</v>
      </c>
      <c r="M83" s="93">
        <f>1-SUM(K83:L83)</f>
        <v>0.5</v>
      </c>
      <c r="R83" s="7"/>
    </row>
    <row r="84" spans="4:18" ht="20.100000000000001" customHeight="1" x14ac:dyDescent="0.25">
      <c r="D84" s="122" t="str">
        <f>$D$53</f>
        <v>Pit storage</v>
      </c>
      <c r="E84" s="44">
        <v>0.2</v>
      </c>
      <c r="F84" s="44">
        <v>0.25</v>
      </c>
      <c r="G84" s="44">
        <v>0.25</v>
      </c>
      <c r="H84" s="44">
        <v>0.25</v>
      </c>
      <c r="I84" s="2" t="s">
        <v>15</v>
      </c>
      <c r="J84" s="2"/>
      <c r="K84" s="44">
        <v>0.25</v>
      </c>
      <c r="L84" s="44">
        <v>0.25</v>
      </c>
      <c r="M84" s="93">
        <f>1-SUM(K84:L84)</f>
        <v>0.5</v>
      </c>
      <c r="R84" s="7"/>
    </row>
    <row r="85" spans="4:18" ht="20.100000000000001" customHeight="1" x14ac:dyDescent="0.25">
      <c r="D85" s="122" t="str">
        <f>'Constants - Swine'!$D$47</f>
        <v>Direct application</v>
      </c>
      <c r="E85" s="93">
        <f>1-SUM(E82:E84)</f>
        <v>0.39999999999999991</v>
      </c>
      <c r="F85" s="93">
        <f>1-SUM(F82:F84)</f>
        <v>0.25</v>
      </c>
      <c r="G85" s="93">
        <f>1-SUM(G82:G84)</f>
        <v>0.25</v>
      </c>
      <c r="H85" s="93">
        <f>1-SUM(H82:H84)</f>
        <v>0.25</v>
      </c>
      <c r="I85" s="2" t="s">
        <v>15</v>
      </c>
      <c r="J85" s="2"/>
      <c r="K85" s="93">
        <v>0</v>
      </c>
      <c r="L85" s="93">
        <v>0</v>
      </c>
      <c r="M85" s="93">
        <f>1-SUM(K85:L85)</f>
        <v>1</v>
      </c>
      <c r="R85" s="7"/>
    </row>
    <row r="86" spans="4:18" ht="20.100000000000001" customHeight="1" x14ac:dyDescent="0.25">
      <c r="R86" s="7"/>
    </row>
    <row r="87" spans="4:18" ht="20.100000000000001" customHeight="1" x14ac:dyDescent="0.25">
      <c r="D87" s="120"/>
      <c r="R87" s="7"/>
    </row>
    <row r="88" spans="4:18" ht="20.100000000000001" customHeight="1" x14ac:dyDescent="0.25">
      <c r="D88" s="121" t="str">
        <f>"From stage 1: " &amp; $D$47</f>
        <v>From stage 1: Deep litter</v>
      </c>
      <c r="E88" s="102" t="str">
        <f>IF(SUM(E47:H47)&gt;0,"Manure was sent to this MMS, please complete this section.","NO manure was sent to this MMS. Leave this section blank.")</f>
        <v>Manure was sent to this MMS, please complete this section.</v>
      </c>
      <c r="K88" s="125" t="s">
        <v>178</v>
      </c>
      <c r="L88" s="125" t="s">
        <v>179</v>
      </c>
      <c r="M88" s="125" t="s">
        <v>180</v>
      </c>
      <c r="R88" s="7"/>
    </row>
    <row r="89" spans="4:18" ht="20.100000000000001" customHeight="1" x14ac:dyDescent="0.25">
      <c r="D89" s="122" t="str">
        <f>$D$30</f>
        <v>Anaerobic lagoon</v>
      </c>
      <c r="E89" s="44">
        <v>0.2</v>
      </c>
      <c r="F89" s="44">
        <v>0.25</v>
      </c>
      <c r="G89" s="44">
        <v>0.25</v>
      </c>
      <c r="H89" s="44">
        <v>0.25</v>
      </c>
      <c r="I89" s="2" t="s">
        <v>15</v>
      </c>
      <c r="J89" s="2"/>
      <c r="K89" s="44">
        <v>0.25</v>
      </c>
      <c r="L89" s="44">
        <v>0.25</v>
      </c>
      <c r="M89" s="93">
        <f>1-SUM(K89:L89)</f>
        <v>0.5</v>
      </c>
      <c r="R89" s="7"/>
    </row>
    <row r="90" spans="4:18" ht="20.100000000000001" customHeight="1" x14ac:dyDescent="0.25">
      <c r="D90" s="122" t="str">
        <f>$D$41</f>
        <v>Digester / covered lagoons</v>
      </c>
      <c r="E90" s="44">
        <v>0.2</v>
      </c>
      <c r="F90" s="44">
        <v>0.25</v>
      </c>
      <c r="G90" s="44">
        <v>0.25</v>
      </c>
      <c r="H90" s="44">
        <v>0.25</v>
      </c>
      <c r="I90" s="2" t="s">
        <v>15</v>
      </c>
      <c r="J90" s="2"/>
      <c r="K90" s="44">
        <v>0.25</v>
      </c>
      <c r="L90" s="44">
        <v>0.25</v>
      </c>
      <c r="M90" s="93">
        <f>1-SUM(K90:L90)</f>
        <v>0.5</v>
      </c>
      <c r="R90" s="7"/>
    </row>
    <row r="91" spans="4:18" ht="20.100000000000001" customHeight="1" x14ac:dyDescent="0.25">
      <c r="D91" s="122" t="str">
        <f>$D$53</f>
        <v>Pit storage</v>
      </c>
      <c r="E91" s="44">
        <v>0.2</v>
      </c>
      <c r="F91" s="44">
        <v>0.25</v>
      </c>
      <c r="G91" s="44">
        <v>0.25</v>
      </c>
      <c r="H91" s="44">
        <v>0.25</v>
      </c>
      <c r="I91" s="2" t="s">
        <v>15</v>
      </c>
      <c r="J91" s="2"/>
      <c r="K91" s="44">
        <v>0.25</v>
      </c>
      <c r="L91" s="44">
        <v>0.25</v>
      </c>
      <c r="M91" s="93">
        <f>1-SUM(K91:L91)</f>
        <v>0.5</v>
      </c>
      <c r="R91" s="7"/>
    </row>
    <row r="92" spans="4:18" ht="20.100000000000001" customHeight="1" x14ac:dyDescent="0.25">
      <c r="D92" s="122" t="str">
        <f>'Constants - Swine'!$D$47</f>
        <v>Direct application</v>
      </c>
      <c r="E92" s="93">
        <f>1-SUM(E89:E91)</f>
        <v>0.39999999999999991</v>
      </c>
      <c r="F92" s="93">
        <f>1-SUM(F89:F91)</f>
        <v>0.25</v>
      </c>
      <c r="G92" s="93">
        <f>1-SUM(G89:G91)</f>
        <v>0.25</v>
      </c>
      <c r="H92" s="93">
        <f>1-SUM(H89:H91)</f>
        <v>0.25</v>
      </c>
      <c r="I92" s="2" t="s">
        <v>15</v>
      </c>
      <c r="J92" s="2"/>
      <c r="K92" s="93">
        <v>0</v>
      </c>
      <c r="L92" s="93">
        <v>0</v>
      </c>
      <c r="M92" s="93">
        <f>1-SUM(K92:L92)</f>
        <v>1</v>
      </c>
      <c r="R92" s="7"/>
    </row>
    <row r="93" spans="4:18" ht="20.100000000000001" customHeight="1" x14ac:dyDescent="0.25">
      <c r="R93" s="7"/>
    </row>
    <row r="94" spans="4:18" ht="20.100000000000001" customHeight="1" x14ac:dyDescent="0.25">
      <c r="R94" s="7"/>
    </row>
    <row r="95" spans="4:18" ht="20.100000000000001" customHeight="1" x14ac:dyDescent="0.25">
      <c r="D95" s="121" t="str">
        <f>"From stage 1: " &amp; $D$53</f>
        <v>From stage 1: Pit storage</v>
      </c>
      <c r="E95" s="102" t="str">
        <f>IF(SUM(E53:H53)&gt;0,"Manure was sent to this MMS, please complete this section.","NO manure was sent to this MMS. Leave this section blank.")</f>
        <v>Manure was sent to this MMS, please complete this section.</v>
      </c>
      <c r="K95" s="125" t="s">
        <v>178</v>
      </c>
      <c r="L95" s="125" t="s">
        <v>179</v>
      </c>
      <c r="M95" s="125" t="s">
        <v>180</v>
      </c>
      <c r="R95" s="7"/>
    </row>
    <row r="96" spans="4:18" ht="20.100000000000001" customHeight="1" x14ac:dyDescent="0.25">
      <c r="D96" s="122" t="str">
        <f>$D$30</f>
        <v>Anaerobic lagoon</v>
      </c>
      <c r="E96" s="44">
        <v>0.2</v>
      </c>
      <c r="F96" s="44">
        <v>0.25</v>
      </c>
      <c r="G96" s="44">
        <v>0.25</v>
      </c>
      <c r="H96" s="44">
        <v>0.25</v>
      </c>
      <c r="I96" s="2" t="s">
        <v>15</v>
      </c>
      <c r="J96" s="2"/>
      <c r="K96" s="44">
        <v>0.25</v>
      </c>
      <c r="L96" s="44">
        <v>0.25</v>
      </c>
      <c r="M96" s="93">
        <f>1-SUM(K96:L96)</f>
        <v>0.5</v>
      </c>
      <c r="R96" s="7"/>
    </row>
    <row r="97" spans="4:18" ht="20.100000000000001" customHeight="1" x14ac:dyDescent="0.25">
      <c r="D97" s="122" t="str">
        <f>$D$41</f>
        <v>Digester / covered lagoons</v>
      </c>
      <c r="E97" s="44">
        <v>0.2</v>
      </c>
      <c r="F97" s="44">
        <v>0.25</v>
      </c>
      <c r="G97" s="44">
        <v>0.25</v>
      </c>
      <c r="H97" s="44">
        <v>0.25</v>
      </c>
      <c r="I97" s="2" t="s">
        <v>15</v>
      </c>
      <c r="J97" s="2"/>
      <c r="K97" s="44">
        <v>0.25</v>
      </c>
      <c r="L97" s="44">
        <v>0.25</v>
      </c>
      <c r="M97" s="93">
        <f>1-SUM(K97:L97)</f>
        <v>0.5</v>
      </c>
      <c r="R97" s="7"/>
    </row>
    <row r="98" spans="4:18" ht="20.100000000000001" customHeight="1" x14ac:dyDescent="0.25">
      <c r="D98" s="122" t="str">
        <f>$D$47</f>
        <v>Deep litter</v>
      </c>
      <c r="E98" s="44">
        <v>0.2</v>
      </c>
      <c r="F98" s="44">
        <v>0.25</v>
      </c>
      <c r="G98" s="44">
        <v>0.25</v>
      </c>
      <c r="H98" s="44">
        <v>0.25</v>
      </c>
      <c r="I98" s="2" t="s">
        <v>15</v>
      </c>
      <c r="J98" s="2"/>
      <c r="K98" s="44">
        <v>0.25</v>
      </c>
      <c r="L98" s="44">
        <v>0.25</v>
      </c>
      <c r="M98" s="93">
        <f>1-SUM(K98:L98)</f>
        <v>0.5</v>
      </c>
      <c r="R98" s="7"/>
    </row>
    <row r="99" spans="4:18" ht="20.100000000000001" customHeight="1" x14ac:dyDescent="0.25">
      <c r="D99" s="122" t="str">
        <f>'Constants - Swine'!$D$47</f>
        <v>Direct application</v>
      </c>
      <c r="E99" s="93">
        <f>1-SUM(E96:E98)</f>
        <v>0.39999999999999991</v>
      </c>
      <c r="F99" s="93">
        <f>1-SUM(F96:F98)</f>
        <v>0.25</v>
      </c>
      <c r="G99" s="93">
        <f>1-SUM(G96:G98)</f>
        <v>0.25</v>
      </c>
      <c r="H99" s="93">
        <f>1-SUM(H96:H98)</f>
        <v>0.25</v>
      </c>
      <c r="I99" s="2" t="s">
        <v>15</v>
      </c>
      <c r="J99" s="2"/>
      <c r="K99" s="93">
        <v>0</v>
      </c>
      <c r="L99" s="93">
        <v>0</v>
      </c>
      <c r="M99" s="93">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1" t="str">
        <f>"From stage 1: " &amp; SUBSTITUTE($D$58, " (before solid separation)", "")</f>
        <v>From stage 1: Solid storage</v>
      </c>
      <c r="E102" s="102" t="str">
        <f>IF(OR(SUM(E58:H58)&gt;0,COUNTIF(E30:E62,"Yes")&gt;0),"Manure was sent to this MMS, please complete this section.","NO manure was sent to this MMS. Leave this section blank.")</f>
        <v>Manure was sent to this MMS, please complete this section.</v>
      </c>
      <c r="K102" s="125" t="s">
        <v>178</v>
      </c>
      <c r="L102" s="125" t="s">
        <v>179</v>
      </c>
      <c r="M102" s="125" t="s">
        <v>180</v>
      </c>
      <c r="R102" s="7"/>
    </row>
    <row r="103" spans="4:18" ht="20.100000000000001" customHeight="1" x14ac:dyDescent="0.25">
      <c r="D103" s="122" t="str">
        <f>$D$30</f>
        <v>Anaerobic lagoon</v>
      </c>
      <c r="E103" s="44">
        <v>0.2</v>
      </c>
      <c r="F103" s="44">
        <v>0.2</v>
      </c>
      <c r="G103" s="44">
        <v>0.2</v>
      </c>
      <c r="H103" s="44">
        <v>0.2</v>
      </c>
      <c r="I103" s="2" t="s">
        <v>15</v>
      </c>
      <c r="J103" s="2"/>
      <c r="K103" s="44">
        <v>0.25</v>
      </c>
      <c r="L103" s="44">
        <v>0.25</v>
      </c>
      <c r="M103" s="93">
        <f>1-SUM(K103:L103)</f>
        <v>0.5</v>
      </c>
      <c r="R103" s="7"/>
    </row>
    <row r="104" spans="4:18" ht="20.100000000000001" customHeight="1" x14ac:dyDescent="0.25">
      <c r="D104" s="122" t="str">
        <f>$D$41</f>
        <v>Digester / covered lagoons</v>
      </c>
      <c r="E104" s="44">
        <v>0.2</v>
      </c>
      <c r="F104" s="44">
        <v>0.2</v>
      </c>
      <c r="G104" s="44">
        <v>0.2</v>
      </c>
      <c r="H104" s="44">
        <v>0.2</v>
      </c>
      <c r="I104" s="2" t="s">
        <v>15</v>
      </c>
      <c r="J104" s="2"/>
      <c r="K104" s="44">
        <v>0.25</v>
      </c>
      <c r="L104" s="44">
        <v>0.25</v>
      </c>
      <c r="M104" s="93">
        <f>1-SUM(K104:L104)</f>
        <v>0.5</v>
      </c>
      <c r="R104" s="7"/>
    </row>
    <row r="105" spans="4:18" ht="20.100000000000001" customHeight="1" x14ac:dyDescent="0.25">
      <c r="D105" s="122" t="str">
        <f>$D$47</f>
        <v>Deep litter</v>
      </c>
      <c r="E105" s="44">
        <v>0.2</v>
      </c>
      <c r="F105" s="44">
        <v>0.2</v>
      </c>
      <c r="G105" s="44">
        <v>0.2</v>
      </c>
      <c r="H105" s="44">
        <v>0.2</v>
      </c>
      <c r="I105" s="2" t="s">
        <v>15</v>
      </c>
      <c r="J105" s="2"/>
      <c r="K105" s="44">
        <v>0.25</v>
      </c>
      <c r="L105" s="44">
        <v>0.25</v>
      </c>
      <c r="M105" s="93">
        <f>1-SUM(K105:L105)</f>
        <v>0.5</v>
      </c>
      <c r="R105" s="7"/>
    </row>
    <row r="106" spans="4:18" ht="20.100000000000001" customHeight="1" x14ac:dyDescent="0.25">
      <c r="D106" s="122" t="str">
        <f>$D$53</f>
        <v>Pit storage</v>
      </c>
      <c r="E106" s="44">
        <v>0.1</v>
      </c>
      <c r="F106" s="44">
        <v>0.1</v>
      </c>
      <c r="G106" s="44">
        <v>0.1</v>
      </c>
      <c r="H106" s="44">
        <v>0.1</v>
      </c>
      <c r="I106" s="2" t="s">
        <v>15</v>
      </c>
      <c r="J106" s="2"/>
      <c r="K106" s="44">
        <v>0.25</v>
      </c>
      <c r="L106" s="44">
        <v>0.25</v>
      </c>
      <c r="M106" s="93">
        <f>1-SUM(K106:L106)</f>
        <v>0.5</v>
      </c>
      <c r="R106" s="7"/>
    </row>
    <row r="107" spans="4:18" ht="20.100000000000001" customHeight="1" x14ac:dyDescent="0.25">
      <c r="D107" s="122" t="str">
        <f>'Constants - Swine'!$D$47</f>
        <v>Direct application</v>
      </c>
      <c r="E107" s="93">
        <f>1-SUM(E103:E106)</f>
        <v>0.29999999999999993</v>
      </c>
      <c r="F107" s="93">
        <f>1-SUM(F103:F106)</f>
        <v>0.29999999999999993</v>
      </c>
      <c r="G107" s="93">
        <f>1-SUM(G103:G106)</f>
        <v>0.29999999999999993</v>
      </c>
      <c r="H107" s="93">
        <f>1-SUM(H103:H106)</f>
        <v>0.29999999999999993</v>
      </c>
      <c r="I107" s="2" t="s">
        <v>15</v>
      </c>
      <c r="J107" s="2"/>
      <c r="K107" s="93">
        <v>0</v>
      </c>
      <c r="L107" s="93">
        <v>0</v>
      </c>
      <c r="M107" s="93">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252</v>
      </c>
      <c r="E110" s="38" t="s">
        <v>130</v>
      </c>
      <c r="F110" s="2" t="s">
        <v>8</v>
      </c>
      <c r="N110" s="3"/>
    </row>
    <row r="111" spans="4:18" ht="20.100000000000001" customHeight="1" x14ac:dyDescent="0.25">
      <c r="D111" s="1" t="s">
        <v>102</v>
      </c>
      <c r="E111" s="38" t="s">
        <v>107</v>
      </c>
      <c r="F111" s="2" t="s">
        <v>8</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2"/>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153</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6"/>
      <c r="G13" s="55" t="str" cm="1">
        <f t="array" ref="G13:H14">Common_InputFunctions.Utility_DisplayArguments_3_4(MMS_Swine_Methane_Equations.VEERG_4_5_1_1__4_FractionVolatileSolidsPrimarySystem_Arguments())</f>
        <v>fraction</v>
      </c>
      <c r="H13" s="134" t="str">
        <v>Input</v>
      </c>
      <c r="I13" s="135" t="str" cm="1">
        <f t="array" aca="1" ref="I13" ca="1">HYPERLINK(Common_InputFunctions.Utility_SourceHyperlink($D$16), $D$16)</f>
        <v>Table_MMS_j_m_T-1</v>
      </c>
    </row>
    <row r="14" spans="1:21" ht="20.100000000000001" customHeight="1" x14ac:dyDescent="0.25">
      <c r="A14" s="147" t="str">
        <f>HYPERLINK("#'4.5.1.1-2 Methane'!A1", "4.5.1.1-2 Methane")</f>
        <v>4.5.1.1-2 Methane</v>
      </c>
      <c r="D14" s="55" t="str">
        <v>SSm</v>
      </c>
      <c r="E14" s="56" t="str">
        <v>fraction of volatile solids separated to solid storage for each MMS</v>
      </c>
      <c r="F14" s="96"/>
      <c r="G14" s="55" t="str">
        <v>fraction</v>
      </c>
      <c r="H14" s="134" t="str">
        <v>Input</v>
      </c>
      <c r="I14" s="135"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7" t="s">
        <v>233</v>
      </c>
    </row>
    <row r="17" spans="1:19" ht="20.100000000000001" customHeight="1" x14ac:dyDescent="0.25">
      <c r="A17" s="17" t="str">
        <f>HYPERLINK("#'4.5.1.7-8 Leaching and runoff'!A1", "4.5.1.7-8 Leaching and runoff")</f>
        <v>4.5.1.7-8 Leaching and runoff</v>
      </c>
      <c r="D17" s="118" t="s">
        <v>155</v>
      </c>
    </row>
    <row r="18" spans="1:19" ht="20.100000000000001" customHeight="1" x14ac:dyDescent="0.25">
      <c r="A18" s="17" t="str">
        <f>HYPERLINK("#'4.5.1.9 Manure applied to soils'!A1", "4.5.1.9 Manure applied to soils")</f>
        <v>4.5.1.9 Manure applied to soils</v>
      </c>
      <c r="D18" s="115" t="s">
        <v>156</v>
      </c>
      <c r="E18" s="115" t="s">
        <v>135</v>
      </c>
      <c r="F18" s="115" t="s">
        <v>136</v>
      </c>
      <c r="G18" s="115" t="s">
        <v>137</v>
      </c>
      <c r="H18" s="115" t="s">
        <v>195</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5"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117" t="s">
        <v>234</v>
      </c>
      <c r="N25" s="117" t="s">
        <v>196</v>
      </c>
    </row>
    <row r="26" spans="1:19" ht="20.100000000000001" customHeight="1" x14ac:dyDescent="0.25">
      <c r="A26" s="17" t="str">
        <f>HYPERLINK("#'Tab template'!A1", "Tab template")</f>
        <v>Tab template</v>
      </c>
      <c r="D26" s="118" t="s">
        <v>183</v>
      </c>
      <c r="N26" s="118" t="s">
        <v>197</v>
      </c>
    </row>
    <row r="27" spans="1:19" ht="20.100000000000001" customHeight="1" x14ac:dyDescent="0.25">
      <c r="D27" s="115" t="s">
        <v>156</v>
      </c>
      <c r="E27" s="115" t="s">
        <v>135</v>
      </c>
      <c r="F27" s="115" t="s">
        <v>136</v>
      </c>
      <c r="G27" s="115" t="s">
        <v>137</v>
      </c>
      <c r="H27" s="115" t="s">
        <v>195</v>
      </c>
      <c r="N27" s="115" t="s">
        <v>156</v>
      </c>
      <c r="O27" s="115" t="s">
        <v>135</v>
      </c>
      <c r="P27" s="115" t="s">
        <v>136</v>
      </c>
      <c r="Q27" s="115" t="s">
        <v>137</v>
      </c>
      <c r="R27" s="115" t="s">
        <v>195</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7" t="s">
        <v>231</v>
      </c>
      <c r="N34" s="117" t="s">
        <v>232</v>
      </c>
    </row>
    <row r="35" spans="3:21" ht="20.100000000000001" customHeight="1" x14ac:dyDescent="0.25">
      <c r="D35" s="118" t="s">
        <v>184</v>
      </c>
      <c r="N35" s="118" t="s">
        <v>198</v>
      </c>
    </row>
    <row r="36" spans="3:21" ht="20.100000000000001" customHeight="1" x14ac:dyDescent="0.25">
      <c r="D36" s="49" t="s">
        <v>156</v>
      </c>
      <c r="E36" s="49" t="s">
        <v>135</v>
      </c>
      <c r="F36" s="49" t="s">
        <v>136</v>
      </c>
      <c r="G36" s="49" t="s">
        <v>137</v>
      </c>
      <c r="H36" s="49" t="s">
        <v>195</v>
      </c>
      <c r="N36" s="49" t="s">
        <v>156</v>
      </c>
      <c r="O36" s="49" t="s">
        <v>135</v>
      </c>
      <c r="P36" s="49" t="s">
        <v>136</v>
      </c>
      <c r="Q36" s="49" t="s">
        <v>137</v>
      </c>
      <c r="R36" s="49" t="s">
        <v>195</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4" t="str" cm="1">
        <f t="array" ref="D56:E58">Common_InputFunctions.Utility_DisplayArguments_1_2(MMS_Swine_Methane_Equations.VEERG_4_5_1_1__5_FractionVolatileSolidsSolidStorage_Arguments())</f>
        <v>MMSjm4T1</v>
      </c>
      <c r="E56" s="106" t="str">
        <v>fraction of manure in solid storage primary system</v>
      </c>
      <c r="F56" s="105"/>
      <c r="G56" s="104" t="str" cm="1">
        <f t="array" ref="G56:H58">Common_InputFunctions.Utility_DisplayArguments_3_4(MMS_Swine_Methane_Equations.VEERG_4_5_1_1__5_FractionVolatileSolidsSolidStorage_Arguments())</f>
        <v>fraction</v>
      </c>
      <c r="H56" s="132" t="str">
        <v>Input</v>
      </c>
      <c r="I56" s="135" t="str" cm="1">
        <f t="array" aca="1" ref="I56" ca="1">HYPERLINK(Common_InputFunctions.Utility_SourceHyperlink($D$60), $D$60)</f>
        <v>Table_MMS_j_m-4_T-1</v>
      </c>
    </row>
    <row r="57" spans="4:9" ht="20.100000000000001" customHeight="1" x14ac:dyDescent="0.25">
      <c r="D57" s="104" t="str">
        <v>MMSjm179T1</v>
      </c>
      <c r="E57" s="106" t="str">
        <v>fraction of manure in MMS 1, 7, and 9 in treatment stage 1</v>
      </c>
      <c r="F57" s="105"/>
      <c r="G57" s="104" t="str">
        <v>fraction</v>
      </c>
      <c r="H57" s="132" t="str">
        <v>Input</v>
      </c>
      <c r="I57" s="135" t="str" cm="1">
        <f t="array" aca="1" ref="I57" ca="1">HYPERLINK(Common_InputFunctions.Utility_SourceHyperlink($D$16), $D$16)</f>
        <v>Table_MMS_j_m_T-1</v>
      </c>
    </row>
    <row r="58" spans="4:9" ht="20.100000000000001" customHeight="1" x14ac:dyDescent="0.25">
      <c r="D58" s="104" t="str">
        <v>SSm</v>
      </c>
      <c r="E58" s="106" t="str">
        <v>fraction of volatile solids separated to solid storage for each MMS</v>
      </c>
      <c r="F58" s="105"/>
      <c r="G58" s="104" t="str">
        <v>fraction</v>
      </c>
      <c r="H58" s="132" t="str">
        <v>Input</v>
      </c>
      <c r="I58" s="135" t="str" cm="1">
        <f t="array" aca="1" ref="I58" ca="1">HYPERLINK(Common_InputFunctions.Utility_SourceHyperlink($D$25), $D$25)</f>
        <v>M1_Table_SS_m</v>
      </c>
    </row>
    <row r="59" spans="4:9" ht="20.100000000000001" customHeight="1" x14ac:dyDescent="0.25"/>
    <row r="60" spans="4:9" ht="20.100000000000001" customHeight="1" x14ac:dyDescent="0.25">
      <c r="D60" s="117" t="s">
        <v>157</v>
      </c>
    </row>
    <row r="61" spans="4:9" ht="20.100000000000001" customHeight="1" x14ac:dyDescent="0.25">
      <c r="D61" s="118" t="s">
        <v>158</v>
      </c>
    </row>
    <row r="62" spans="4:9" ht="20.100000000000001" customHeight="1" x14ac:dyDescent="0.25">
      <c r="D62" s="115" t="s">
        <v>156</v>
      </c>
      <c r="E62" s="115" t="s">
        <v>135</v>
      </c>
      <c r="F62" s="115" t="s">
        <v>136</v>
      </c>
      <c r="G62" s="115" t="s">
        <v>137</v>
      </c>
      <c r="H62" s="115" t="s">
        <v>195</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7" t="s">
        <v>185</v>
      </c>
      <c r="N65" s="117" t="s">
        <v>199</v>
      </c>
    </row>
    <row r="66" spans="3:21" ht="20.100000000000001" customHeight="1" x14ac:dyDescent="0.25">
      <c r="D66" s="118" t="s">
        <v>186</v>
      </c>
      <c r="N66" s="118" t="s">
        <v>200</v>
      </c>
    </row>
    <row r="67" spans="3:21" ht="20.100000000000001" customHeight="1" x14ac:dyDescent="0.25">
      <c r="D67" s="49" t="s">
        <v>156</v>
      </c>
      <c r="E67" s="49" t="s">
        <v>135</v>
      </c>
      <c r="F67" s="49" t="s">
        <v>136</v>
      </c>
      <c r="G67" s="49" t="s">
        <v>137</v>
      </c>
      <c r="H67" s="49" t="s">
        <v>195</v>
      </c>
      <c r="N67" s="49" t="s">
        <v>156</v>
      </c>
      <c r="O67" s="49" t="s">
        <v>135</v>
      </c>
      <c r="P67" s="49" t="s">
        <v>136</v>
      </c>
      <c r="Q67" s="49" t="s">
        <v>137</v>
      </c>
      <c r="R67" s="49" t="s">
        <v>195</v>
      </c>
    </row>
    <row r="68" spans="3:21" ht="20.100000000000001" customHeight="1" x14ac:dyDescent="0.25">
      <c r="D68" s="55" t="s">
        <v>346</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346</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32" t="str">
        <v>Input</v>
      </c>
      <c r="I81" s="135" t="str" cm="1">
        <f t="array" aca="1" ref="I81" ca="1">HYPERLINK(Common_InputFunctions.Utility_SourceHyperlink(D85), D85)</f>
        <v>M1_Table_VS_j</v>
      </c>
      <c r="J81" s="135"/>
    </row>
    <row r="82" spans="4:18" ht="20.100000000000001" customHeight="1" x14ac:dyDescent="0.25">
      <c r="D82" s="55" t="str">
        <v>FVSjmT1</v>
      </c>
      <c r="E82" s="56" t="str">
        <v>fraction of volatile solids in each primary system</v>
      </c>
      <c r="F82" s="57"/>
      <c r="G82" s="55" t="str">
        <v>fraction</v>
      </c>
      <c r="H82" s="131" t="str">
        <v>Calculated from 4.5.1.1 (4)(5)</v>
      </c>
      <c r="I82" s="135" t="str" cm="1">
        <f t="array" aca="1" ref="I82" ca="1">HYPERLINK(Common_InputFunctions.Utility_SourceHyperlink($D$34), $D$34)</f>
        <v>M1_Table_FVS_j_m_T-1</v>
      </c>
      <c r="J82" s="135"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31" t="str">
        <v>Lookup</v>
      </c>
      <c r="I83" s="135" t="str" cm="1">
        <f t="array" aca="1" ref="I83" ca="1">HYPERLINK(Common_InputFunctions.Utility_SourceHyperlink($D$90), $D$90)</f>
        <v>Table_VSL_m_T-1</v>
      </c>
      <c r="J83" s="135"/>
    </row>
    <row r="84" spans="4:18" ht="20.100000000000001" customHeight="1" x14ac:dyDescent="0.25"/>
    <row r="85" spans="4:18" ht="20.100000000000001" customHeight="1" x14ac:dyDescent="0.25">
      <c r="D85" s="117" t="s">
        <v>201</v>
      </c>
      <c r="N85" s="117" t="s">
        <v>203</v>
      </c>
    </row>
    <row r="86" spans="4:18" ht="20.100000000000001" customHeight="1" x14ac:dyDescent="0.25">
      <c r="D86" s="118" t="s">
        <v>202</v>
      </c>
      <c r="N86" s="118" t="s">
        <v>204</v>
      </c>
    </row>
    <row r="87" spans="4:18" ht="20.100000000000001" customHeight="1" x14ac:dyDescent="0.25">
      <c r="D87" s="115" t="s">
        <v>135</v>
      </c>
      <c r="E87" s="115" t="s">
        <v>136</v>
      </c>
      <c r="F87" s="115" t="s">
        <v>137</v>
      </c>
      <c r="G87" s="115" t="s">
        <v>195</v>
      </c>
      <c r="I87" s="2"/>
      <c r="J87" s="2"/>
      <c r="N87" s="115" t="s">
        <v>135</v>
      </c>
      <c r="O87" s="115" t="s">
        <v>136</v>
      </c>
      <c r="P87" s="115" t="s">
        <v>137</v>
      </c>
      <c r="Q87" s="115" t="s">
        <v>195</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7" t="s">
        <v>159</v>
      </c>
    </row>
    <row r="91" spans="4:18" ht="20.100000000000001" customHeight="1" x14ac:dyDescent="0.25">
      <c r="D91" s="118" t="s">
        <v>150</v>
      </c>
    </row>
    <row r="92" spans="4:18" ht="20.100000000000001" customHeight="1" x14ac:dyDescent="0.25">
      <c r="D92" s="49" t="s">
        <v>156</v>
      </c>
      <c r="E92" s="49" t="s">
        <v>160</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3" t="s">
        <v>161</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7" t="s">
        <v>190</v>
      </c>
      <c r="N100" s="117" t="s">
        <v>205</v>
      </c>
    </row>
    <row r="101" spans="3:21" ht="20.100000000000001" customHeight="1" x14ac:dyDescent="0.25">
      <c r="D101" s="118" t="s">
        <v>191</v>
      </c>
      <c r="N101" s="118" t="s">
        <v>206</v>
      </c>
    </row>
    <row r="102" spans="3:21" ht="20.100000000000001" customHeight="1" x14ac:dyDescent="0.25">
      <c r="D102" s="49" t="s">
        <v>156</v>
      </c>
      <c r="E102" s="49" t="s">
        <v>135</v>
      </c>
      <c r="F102" s="49" t="s">
        <v>136</v>
      </c>
      <c r="G102" s="49" t="s">
        <v>137</v>
      </c>
      <c r="H102" s="49" t="s">
        <v>195</v>
      </c>
      <c r="N102" s="49" t="s">
        <v>156</v>
      </c>
      <c r="O102" s="49" t="s">
        <v>135</v>
      </c>
      <c r="P102" s="49" t="s">
        <v>136</v>
      </c>
      <c r="Q102" s="49" t="s">
        <v>137</v>
      </c>
      <c r="R102" s="49" t="s">
        <v>195</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346</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346</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6" t="str" cm="1">
        <f t="array" ref="D121:E126">Common_InputFunctions.Utility_DisplayArguments_1_2(MMS_Swine_Methane_Equations.VEERG_4_5_1_1__6_Stage2MethaneProduction_Arguments())</f>
        <v>VSTjmT2</v>
      </c>
      <c r="E121" s="138" t="str">
        <v>volatile solids transferred to treatment stage 2 MMS</v>
      </c>
      <c r="F121" s="137"/>
      <c r="G121" s="136" t="str" cm="1">
        <f t="array" ref="G121:H126">Common_InputFunctions.Utility_DisplayArguments_3_4(MMS_Swine_Methane_Equations.VEERG_4_5_1_1__6_Stage2MethaneProduction_Arguments())</f>
        <v>kg/head/day</v>
      </c>
      <c r="H121" s="131" t="str">
        <v>Calculated from 4.5.1.1 (7)</v>
      </c>
      <c r="I121" s="135"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31" t="str">
        <v>Calculated from 4.5.1.1 (7)</v>
      </c>
      <c r="S121" s="135"/>
    </row>
    <row r="122" spans="4:19" ht="20.100000000000001" customHeight="1" x14ac:dyDescent="0.25">
      <c r="D122" s="136" t="str">
        <v>BO</v>
      </c>
      <c r="E122" s="138" t="str">
        <v>emissions potential</v>
      </c>
      <c r="F122" s="137"/>
      <c r="G122" s="136" t="str">
        <v>m3 CH4/kg VS</v>
      </c>
      <c r="H122" s="131" t="str">
        <v>Constant</v>
      </c>
      <c r="I122" s="136">
        <f>SourceData_Swine_MethaneVolatileSolidsEmissionsPotential_Data</f>
        <v>0.19</v>
      </c>
      <c r="N122" s="55" t="str">
        <v>BO</v>
      </c>
      <c r="O122" s="56" t="str">
        <v>emissions potential</v>
      </c>
      <c r="P122" s="57"/>
      <c r="Q122" s="55" t="str">
        <v>m3 CH4/kg VS</v>
      </c>
      <c r="R122" s="131" t="str">
        <v>Constant</v>
      </c>
      <c r="S122" s="55">
        <f>SourceData_Swine_MethaneVolatileSolidsEmissionsPotential_Data</f>
        <v>0.19</v>
      </c>
    </row>
    <row r="123" spans="4:19" ht="20.100000000000001" customHeight="1" x14ac:dyDescent="0.25">
      <c r="D123" s="136" t="str">
        <v>MMSjmT2</v>
      </c>
      <c r="E123" s="138" t="str">
        <v>fraction of manure in each secondary system</v>
      </c>
      <c r="F123" s="137"/>
      <c r="G123" s="136" t="str">
        <v>fraction</v>
      </c>
      <c r="H123" s="132" t="str">
        <v>Input</v>
      </c>
      <c r="I123" s="135" t="str" cm="1">
        <f t="array" aca="1" ref="I123" ca="1">HYPERLINK(Common_InputFunctions.Utility_SourceHyperlink($D$128), $D$128)</f>
        <v>Table_MMS_j_m_T-2</v>
      </c>
      <c r="N123" s="55" t="str">
        <v>MMSjmT2</v>
      </c>
      <c r="O123" s="56" t="str">
        <v>fraction of manure in each secondary system</v>
      </c>
      <c r="P123" s="57"/>
      <c r="Q123" s="55" t="str">
        <v>fraction</v>
      </c>
      <c r="R123" s="132" t="str">
        <v>Input</v>
      </c>
      <c r="S123" s="135"/>
    </row>
    <row r="124" spans="4:19" ht="20.100000000000001" customHeight="1" x14ac:dyDescent="0.25">
      <c r="D124" s="136" t="str">
        <v>MCFim</v>
      </c>
      <c r="E124" s="138" t="str">
        <v>methane conversion factor for temperate zone and system</v>
      </c>
      <c r="F124" s="137"/>
      <c r="G124" s="136" t="str">
        <v>fraction</v>
      </c>
      <c r="H124" s="131" t="str">
        <v>Constant</v>
      </c>
      <c r="I124" s="135" t="str" cm="1">
        <f t="array" aca="1" ref="I124" ca="1">HYPERLINK(Common_InputFunctions.Utility_SourceHyperlink($D$152), $D$152)</f>
        <v>M1_Table_MCF_i_m</v>
      </c>
      <c r="N124" s="55" t="str">
        <v>MCFim</v>
      </c>
      <c r="O124" s="56" t="str">
        <v>methane conversion factor for temperate zone and system</v>
      </c>
      <c r="P124" s="57"/>
      <c r="Q124" s="55" t="str">
        <v>fraction</v>
      </c>
      <c r="R124" s="131" t="str">
        <v>Constant</v>
      </c>
      <c r="S124" s="135"/>
    </row>
    <row r="125" spans="4:19" ht="20.100000000000001" customHeight="1" x14ac:dyDescent="0.25">
      <c r="D125" s="136" t="str">
        <v>rho</v>
      </c>
      <c r="E125" s="138" t="str">
        <v>density of methane</v>
      </c>
      <c r="F125" s="137"/>
      <c r="G125" s="136" t="str">
        <v>kg/m3</v>
      </c>
      <c r="H125" s="131" t="str">
        <v>Constant</v>
      </c>
      <c r="I125" s="136">
        <f>Common_SourceData_DensityOfMethane_Data</f>
        <v>0.6784</v>
      </c>
      <c r="N125" s="55" t="str">
        <v>rho</v>
      </c>
      <c r="O125" s="56" t="str">
        <v>density of methane</v>
      </c>
      <c r="P125" s="57"/>
      <c r="Q125" s="55" t="str">
        <v>kg/m3</v>
      </c>
      <c r="R125" s="131" t="str">
        <v>Constant</v>
      </c>
      <c r="S125" s="55"/>
    </row>
    <row r="126" spans="4:19" ht="20.100000000000001" customHeight="1" x14ac:dyDescent="0.25">
      <c r="D126" s="136" t="str">
        <v>i</v>
      </c>
      <c r="E126" s="138" t="str">
        <v>state</v>
      </c>
      <c r="F126" s="137"/>
      <c r="G126" s="136" t="str">
        <v/>
      </c>
      <c r="H126" s="132" t="str">
        <v>Input</v>
      </c>
      <c r="I126" s="136" t="str">
        <f>X_Cell_Site_State</f>
        <v>Western Australia</v>
      </c>
      <c r="N126" s="55" t="str">
        <v>MAT</v>
      </c>
      <c r="O126" s="56" t="str">
        <v>Mean annual temperature</v>
      </c>
      <c r="P126" s="57"/>
      <c r="Q126" s="55" t="str">
        <v>°C</v>
      </c>
      <c r="R126" s="132" t="str">
        <v>Input</v>
      </c>
      <c r="S126" s="55">
        <f>X_Cell_Site_AverageTemperature</f>
        <v>18</v>
      </c>
    </row>
    <row r="127" spans="4:19" ht="20.100000000000001" customHeight="1" x14ac:dyDescent="0.25"/>
    <row r="128" spans="4:19" ht="20.100000000000001" customHeight="1" x14ac:dyDescent="0.25">
      <c r="D128" s="117" t="s">
        <v>162</v>
      </c>
    </row>
    <row r="129" spans="4:10" ht="20.100000000000001" customHeight="1" x14ac:dyDescent="0.25">
      <c r="D129" s="118" t="s">
        <v>163</v>
      </c>
    </row>
    <row r="130" spans="4:10" ht="20.100000000000001" customHeight="1" x14ac:dyDescent="0.25">
      <c r="D130" s="115" t="s">
        <v>156</v>
      </c>
      <c r="E130" s="115" t="s">
        <v>164</v>
      </c>
      <c r="F130" s="115" t="s">
        <v>135</v>
      </c>
      <c r="G130" s="115" t="s">
        <v>136</v>
      </c>
      <c r="H130" s="115" t="s">
        <v>137</v>
      </c>
      <c r="I130" s="115" t="s">
        <v>195</v>
      </c>
    </row>
    <row r="131" spans="4:10" ht="20.100000000000001" customHeight="1" x14ac:dyDescent="0.25">
      <c r="D131" s="55" t="str">
        <f>INDEX(X_Table_Swine_Stage1MMS_AnaerobicLagoon,2,1)</f>
        <v>Anaerobic lagoon</v>
      </c>
      <c r="E131" s="104"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4" t="str">
        <f ca="1"/>
        <v>Deep litter</v>
      </c>
      <c r="F132" s="50">
        <f ca="1"/>
        <v>0.2</v>
      </c>
      <c r="G132" s="50">
        <f ca="1"/>
        <v>0.25</v>
      </c>
      <c r="H132" s="50">
        <f ca="1"/>
        <v>0.25</v>
      </c>
      <c r="I132" s="50">
        <f ca="1"/>
        <v>0.25</v>
      </c>
      <c r="J132" s="2"/>
    </row>
    <row r="133" spans="4:10" ht="20.100000000000001" customHeight="1" x14ac:dyDescent="0.25">
      <c r="D133" s="55"/>
      <c r="E133" s="104"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4"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4" t="str">
        <f ca="1"/>
        <v>Digester / covered lagoons</v>
      </c>
      <c r="F135" s="50">
        <f ca="1"/>
        <v>0.2</v>
      </c>
      <c r="G135" s="50">
        <f ca="1"/>
        <v>0.25</v>
      </c>
      <c r="H135" s="50">
        <f ca="1"/>
        <v>0.25</v>
      </c>
      <c r="I135" s="50">
        <f ca="1"/>
        <v>0.25</v>
      </c>
      <c r="J135" s="2"/>
    </row>
    <row r="136" spans="4:10" ht="20.100000000000001" customHeight="1" x14ac:dyDescent="0.25">
      <c r="D136" s="55"/>
      <c r="E136" s="104" t="str">
        <f ca="1"/>
        <v>Deep litter</v>
      </c>
      <c r="F136" s="50">
        <f ca="1"/>
        <v>0.2</v>
      </c>
      <c r="G136" s="50">
        <f ca="1"/>
        <v>0.25</v>
      </c>
      <c r="H136" s="50">
        <f ca="1"/>
        <v>0.25</v>
      </c>
      <c r="I136" s="50">
        <f ca="1"/>
        <v>0.25</v>
      </c>
      <c r="J136" s="2"/>
    </row>
    <row r="137" spans="4:10" ht="20.100000000000001" customHeight="1" x14ac:dyDescent="0.25">
      <c r="D137" s="55"/>
      <c r="E137" s="104"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4"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4" t="str">
        <f ca="1"/>
        <v>Deep litter</v>
      </c>
      <c r="F139" s="50">
        <f ca="1"/>
        <v>0.2</v>
      </c>
      <c r="G139" s="50">
        <f ca="1"/>
        <v>0.25</v>
      </c>
      <c r="H139" s="50">
        <f ca="1"/>
        <v>0.25</v>
      </c>
      <c r="I139" s="50">
        <f ca="1"/>
        <v>0.25</v>
      </c>
      <c r="J139" s="2"/>
    </row>
    <row r="140" spans="4:10" ht="20.100000000000001" customHeight="1" x14ac:dyDescent="0.25">
      <c r="D140" s="55"/>
      <c r="E140" s="104"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4"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4" t="str">
        <f ca="1"/>
        <v>Digester / covered lagoons</v>
      </c>
      <c r="F142" s="50">
        <f ca="1"/>
        <v>0.2</v>
      </c>
      <c r="G142" s="50">
        <f ca="1"/>
        <v>0.25</v>
      </c>
      <c r="H142" s="50">
        <f ca="1"/>
        <v>0.25</v>
      </c>
      <c r="I142" s="50">
        <f ca="1"/>
        <v>0.25</v>
      </c>
      <c r="J142" s="2"/>
    </row>
    <row r="143" spans="4:10" ht="20.100000000000001" customHeight="1" x14ac:dyDescent="0.25">
      <c r="D143" s="55"/>
      <c r="E143" s="104"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4"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4" t="str">
        <f ca="1"/>
        <v>Digester / covered lagoons</v>
      </c>
      <c r="F145" s="50">
        <f ca="1"/>
        <v>0.2</v>
      </c>
      <c r="G145" s="50">
        <f ca="1"/>
        <v>0.25</v>
      </c>
      <c r="H145" s="50">
        <f ca="1"/>
        <v>0.25</v>
      </c>
      <c r="I145" s="50">
        <f ca="1"/>
        <v>0.25</v>
      </c>
      <c r="J145" s="2"/>
    </row>
    <row r="146" spans="4:16" ht="20.100000000000001" customHeight="1" x14ac:dyDescent="0.25">
      <c r="D146" s="55"/>
      <c r="E146" s="104" t="str">
        <f ca="1"/>
        <v>Deep litter</v>
      </c>
      <c r="F146" s="50">
        <f ca="1"/>
        <v>0.2</v>
      </c>
      <c r="G146" s="50">
        <f ca="1"/>
        <v>0.25</v>
      </c>
      <c r="H146" s="50">
        <f ca="1"/>
        <v>0.25</v>
      </c>
      <c r="I146" s="50">
        <f ca="1"/>
        <v>0.25</v>
      </c>
      <c r="J146" s="2"/>
    </row>
    <row r="147" spans="4:16" ht="20.100000000000001" customHeight="1" x14ac:dyDescent="0.25">
      <c r="D147" s="55" t="s">
        <v>346</v>
      </c>
      <c r="E147" s="104"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4" t="str">
        <f ca="1"/>
        <v>Digester / covered lagoons</v>
      </c>
      <c r="F148" s="50">
        <f ca="1"/>
        <v>0.2</v>
      </c>
      <c r="G148" s="50">
        <f ca="1"/>
        <v>0.2</v>
      </c>
      <c r="H148" s="50">
        <f ca="1"/>
        <v>0.2</v>
      </c>
      <c r="I148" s="50">
        <f ca="1"/>
        <v>0.2</v>
      </c>
      <c r="J148" s="2"/>
    </row>
    <row r="149" spans="4:16" ht="20.100000000000001" customHeight="1" x14ac:dyDescent="0.25">
      <c r="D149" s="55"/>
      <c r="E149" s="104" t="str">
        <f ca="1"/>
        <v>Deep litter</v>
      </c>
      <c r="F149" s="50">
        <f ca="1"/>
        <v>0.2</v>
      </c>
      <c r="G149" s="50">
        <f ca="1"/>
        <v>0.2</v>
      </c>
      <c r="H149" s="50">
        <f ca="1"/>
        <v>0.2</v>
      </c>
      <c r="I149" s="50">
        <f ca="1"/>
        <v>0.2</v>
      </c>
      <c r="J149" s="2"/>
    </row>
    <row r="150" spans="4:16" ht="20.100000000000001" customHeight="1" x14ac:dyDescent="0.25">
      <c r="D150" s="55"/>
      <c r="E150" s="104" t="str">
        <f ca="1"/>
        <v>Pit storage</v>
      </c>
      <c r="F150" s="50">
        <f ca="1"/>
        <v>0.1</v>
      </c>
      <c r="G150" s="50">
        <f ca="1"/>
        <v>0.1</v>
      </c>
      <c r="H150" s="50">
        <f ca="1"/>
        <v>0.1</v>
      </c>
      <c r="I150" s="50">
        <f ca="1"/>
        <v>0.1</v>
      </c>
      <c r="J150" s="2"/>
      <c r="N150" s="20" t="s">
        <v>356</v>
      </c>
      <c r="O150" s="20"/>
      <c r="P150" s="20"/>
    </row>
    <row r="151" spans="4:16" ht="20.100000000000001" customHeight="1" x14ac:dyDescent="0.25"/>
    <row r="152" spans="4:16" ht="20.100000000000001" customHeight="1" x14ac:dyDescent="0.25">
      <c r="D152" s="117" t="s">
        <v>116</v>
      </c>
      <c r="N152" s="117" t="s">
        <v>116</v>
      </c>
    </row>
    <row r="153" spans="4:16" ht="20.100000000000001" customHeight="1" x14ac:dyDescent="0.25">
      <c r="D153" s="118" t="s">
        <v>187</v>
      </c>
      <c r="N153" s="118" t="s">
        <v>355</v>
      </c>
    </row>
    <row r="154" spans="4:16" ht="20.100000000000001" customHeight="1" x14ac:dyDescent="0.25">
      <c r="D154" s="49" t="s">
        <v>64</v>
      </c>
      <c r="E154" s="49" t="s">
        <v>92</v>
      </c>
      <c r="N154" s="49" t="s">
        <v>64</v>
      </c>
      <c r="O154" s="49" t="s">
        <v>92</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346</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346</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7" t="s">
        <v>188</v>
      </c>
      <c r="N162" s="117" t="s">
        <v>207</v>
      </c>
    </row>
    <row r="163" spans="4:20" ht="20.100000000000001" customHeight="1" x14ac:dyDescent="0.25">
      <c r="D163" s="118" t="s">
        <v>189</v>
      </c>
      <c r="N163" s="118" t="s">
        <v>208</v>
      </c>
    </row>
    <row r="164" spans="4:20" ht="20.100000000000001" customHeight="1" x14ac:dyDescent="0.25">
      <c r="D164" s="49" t="s">
        <v>156</v>
      </c>
      <c r="E164" s="49" t="s">
        <v>164</v>
      </c>
      <c r="F164" s="49" t="s">
        <v>135</v>
      </c>
      <c r="G164" s="49" t="s">
        <v>136</v>
      </c>
      <c r="H164" s="49" t="s">
        <v>137</v>
      </c>
      <c r="I164" s="49" t="s">
        <v>195</v>
      </c>
      <c r="N164" s="49" t="s">
        <v>156</v>
      </c>
      <c r="O164" s="49" t="s">
        <v>164</v>
      </c>
      <c r="P164" s="49" t="s">
        <v>135</v>
      </c>
      <c r="Q164" s="49" t="s">
        <v>136</v>
      </c>
      <c r="R164" s="49" t="s">
        <v>137</v>
      </c>
      <c r="S164" s="49" t="s">
        <v>195</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346</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346</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1"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6" t="str" cm="1">
        <f t="array" ref="D197:E201">Common_InputFunctions.Utility_DisplayArguments_1_2(MMS_Swine_Methane_Equations.VEERG_4_5_1_1__3_Stage1MethaneProduction_Arguments())</f>
        <v>VSj</v>
      </c>
      <c r="E197" s="138" t="str">
        <v>volatile solid production from swine in each class</v>
      </c>
      <c r="F197" s="137"/>
      <c r="G197" s="136" t="str" cm="1">
        <f t="array" ref="G197:H201">Common_InputFunctions.Utility_DisplayArguments_3_4(MMS_Swine_Methane_Equations.VEERG_4_5_1_1__3_Stage1MethaneProduction_Arguments())</f>
        <v>kg/head/day</v>
      </c>
      <c r="H197" s="132" t="str">
        <v>Input</v>
      </c>
      <c r="I197" s="135" t="str" cm="1">
        <f t="array" aca="1" ref="I197" ca="1">HYPERLINK(Common_InputFunctions.Utility_SourceHyperlink($D$85), $D$85)</f>
        <v>M1_Table_VS_j</v>
      </c>
      <c r="J197" s="135"/>
    </row>
    <row r="198" spans="4:19" ht="20.100000000000001" customHeight="1" x14ac:dyDescent="0.25">
      <c r="D198" s="136" t="str">
        <v>FVSjmT1</v>
      </c>
      <c r="E198" s="138" t="str">
        <v>fraction of volatile solids in each primary system</v>
      </c>
      <c r="F198" s="137"/>
      <c r="G198" s="136" t="str">
        <v>fraction</v>
      </c>
      <c r="H198" s="131" t="str">
        <v>Calculated from 4.5.1.1 (4)(5)</v>
      </c>
      <c r="I198" s="135" t="str" cm="1">
        <f t="array" aca="1" ref="I198" ca="1">HYPERLINK(Common_InputFunctions.Utility_SourceHyperlink($D$34), $D$34)</f>
        <v>M1_Table_FVS_j_m_T-1</v>
      </c>
      <c r="J198" s="135" t="str" cm="1">
        <f t="array" aca="1" ref="J198" ca="1">HYPERLINK(Common_InputFunctions.Utility_SourceHyperlink($D$65), $D$65)</f>
        <v>M1_Table_FVS_j_m-4_T-1</v>
      </c>
    </row>
    <row r="199" spans="4:19" ht="20.100000000000001" customHeight="1" x14ac:dyDescent="0.25">
      <c r="D199" s="136" t="str">
        <v>MCFim</v>
      </c>
      <c r="E199" s="138" t="str">
        <v>methane conversion factor for temperate zone and system</v>
      </c>
      <c r="F199" s="137"/>
      <c r="G199" s="136" t="str">
        <v>fraction</v>
      </c>
      <c r="H199" s="131" t="str">
        <v>Constant</v>
      </c>
      <c r="I199" s="135" t="str" cm="1">
        <f t="array" aca="1" ref="I199" ca="1">HYPERLINK(Common_InputFunctions.Utility_SourceHyperlink($D$152), $D$152)</f>
        <v>M1_Table_MCF_i_m</v>
      </c>
      <c r="J199" s="135"/>
    </row>
    <row r="200" spans="4:19" ht="20.100000000000001" customHeight="1" x14ac:dyDescent="0.25">
      <c r="D200" s="136" t="str">
        <v>BO</v>
      </c>
      <c r="E200" s="138" t="str">
        <v>emissions potential</v>
      </c>
      <c r="F200" s="137"/>
      <c r="G200" s="136" t="str">
        <v>m3 CH4/kg VS</v>
      </c>
      <c r="H200" s="131" t="str">
        <v>Constant</v>
      </c>
      <c r="I200" s="136">
        <f>SourceData_Swine_MethaneVolatileSolidsEmissionsPotential_Data</f>
        <v>0.19</v>
      </c>
      <c r="J200" s="57"/>
    </row>
    <row r="201" spans="4:19" ht="20.100000000000001" customHeight="1" x14ac:dyDescent="0.25">
      <c r="D201" s="136" t="str">
        <v>rho</v>
      </c>
      <c r="E201" s="138" t="str">
        <v>density of methane</v>
      </c>
      <c r="F201" s="137"/>
      <c r="G201" s="136" t="str">
        <v>kg/m3</v>
      </c>
      <c r="H201" s="131" t="str">
        <v>Constant</v>
      </c>
      <c r="I201" s="136">
        <f>Common_SourceData_DensityOfMethane_Data</f>
        <v>0.6784</v>
      </c>
      <c r="J201" s="57"/>
    </row>
    <row r="202" spans="4:19" ht="20.100000000000001" customHeight="1" x14ac:dyDescent="0.25"/>
    <row r="203" spans="4:19" ht="20.100000000000001" customHeight="1" x14ac:dyDescent="0.25">
      <c r="D203" s="117" t="s">
        <v>211</v>
      </c>
      <c r="N203" s="117" t="s">
        <v>209</v>
      </c>
    </row>
    <row r="204" spans="4:19" ht="20.100000000000001" customHeight="1" x14ac:dyDescent="0.25">
      <c r="D204" s="118" t="s">
        <v>212</v>
      </c>
      <c r="N204" s="118" t="s">
        <v>210</v>
      </c>
    </row>
    <row r="205" spans="4:19" ht="20.100000000000001" customHeight="1" x14ac:dyDescent="0.25">
      <c r="D205" s="49" t="s">
        <v>156</v>
      </c>
      <c r="E205" s="49" t="s">
        <v>135</v>
      </c>
      <c r="F205" s="49" t="s">
        <v>136</v>
      </c>
      <c r="G205" s="49" t="s">
        <v>137</v>
      </c>
      <c r="H205" s="49" t="s">
        <v>195</v>
      </c>
      <c r="N205" s="49" t="s">
        <v>156</v>
      </c>
      <c r="O205" s="49" t="s">
        <v>135</v>
      </c>
      <c r="P205" s="49" t="s">
        <v>136</v>
      </c>
      <c r="Q205" s="49" t="s">
        <v>137</v>
      </c>
      <c r="R205" s="49" t="s">
        <v>195</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346</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346</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1"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6"/>
      <c r="G224" s="55" t="str" cm="1">
        <f t="array" ref="G224:H224">_xlfn.CHOOSECOLS(MMS_Swine_Methane_Equations.VEERG_4_5_1_1__2_MethaneProductionPerClass_Arguments(), 3,4)</f>
        <v>kg CH4/head/day</v>
      </c>
      <c r="H224" s="131" t="str">
        <v>Calculated from 4.5.1.1 (3) and (6)</v>
      </c>
      <c r="I224" s="135" t="str" cm="1">
        <f t="array" aca="1" ref="I224" ca="1">HYPERLINK(Common_InputFunctions.Utility_SourceHyperlink(D203), D203)</f>
        <v>M1_Table_M_i_j_m_T-1</v>
      </c>
      <c r="J224" s="13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213</v>
      </c>
      <c r="N226" s="117" t="s">
        <v>215</v>
      </c>
    </row>
    <row r="227" spans="1:21" ht="20.100000000000001" customHeight="1" x14ac:dyDescent="0.25">
      <c r="D227" s="118" t="s">
        <v>214</v>
      </c>
      <c r="N227" s="118" t="s">
        <v>216</v>
      </c>
    </row>
    <row r="228" spans="1:21" ht="20.100000000000001" customHeight="1" x14ac:dyDescent="0.25">
      <c r="D228" s="49" t="s">
        <v>135</v>
      </c>
      <c r="E228" s="49" t="s">
        <v>136</v>
      </c>
      <c r="F228" s="49" t="s">
        <v>137</v>
      </c>
      <c r="G228" s="49" t="s">
        <v>195</v>
      </c>
      <c r="N228" s="49" t="s">
        <v>135</v>
      </c>
      <c r="O228" s="49" t="s">
        <v>136</v>
      </c>
      <c r="P228" s="49" t="s">
        <v>137</v>
      </c>
      <c r="Q228" s="49" t="s">
        <v>195</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1"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32" t="str">
        <v>Input</v>
      </c>
      <c r="I242" s="135"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31" t="str">
        <v>Calculated from 4.5.1.1 (2)</v>
      </c>
      <c r="I243" s="135"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32" t="str">
        <v>Input</v>
      </c>
      <c r="I244" s="13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166</v>
      </c>
    </row>
    <row r="247" spans="4:14" ht="20.100000000000001" customHeight="1" x14ac:dyDescent="0.25">
      <c r="D247" s="118" t="s">
        <v>167</v>
      </c>
    </row>
    <row r="248" spans="4:14" ht="20.100000000000001" customHeight="1" x14ac:dyDescent="0.25">
      <c r="D248" s="115" t="s">
        <v>135</v>
      </c>
      <c r="E248" s="115" t="s">
        <v>136</v>
      </c>
      <c r="F248" s="115" t="s">
        <v>137</v>
      </c>
      <c r="G248" s="115" t="s">
        <v>195</v>
      </c>
    </row>
    <row r="249" spans="4:14" ht="20.100000000000001" customHeight="1" x14ac:dyDescent="0.25">
      <c r="D249" s="50" cm="1">
        <f t="array" aca="1" ref="D249:G249" ca="1">OFFSET(X_Table_Swine_HerdMovement,1,1,1,4)</f>
        <v>365</v>
      </c>
      <c r="E249" s="119">
        <f ca="1"/>
        <v>365</v>
      </c>
      <c r="F249" s="119">
        <f ca="1"/>
        <v>365</v>
      </c>
      <c r="G249" s="119">
        <f ca="1"/>
        <v>365</v>
      </c>
      <c r="H249" s="2" t="str">
        <f>G242</f>
        <v>days</v>
      </c>
    </row>
    <row r="250" spans="4:14" ht="20.100000000000001" customHeight="1" x14ac:dyDescent="0.25"/>
    <row r="251" spans="4:14" ht="20.100000000000001" customHeight="1" x14ac:dyDescent="0.25">
      <c r="D251" s="117" t="s">
        <v>168</v>
      </c>
    </row>
    <row r="252" spans="4:14" ht="20.100000000000001" customHeight="1" x14ac:dyDescent="0.25">
      <c r="D252" s="118" t="s">
        <v>169</v>
      </c>
    </row>
    <row r="253" spans="4:14" ht="20.100000000000001" customHeight="1" x14ac:dyDescent="0.25">
      <c r="D253" s="115" t="s">
        <v>135</v>
      </c>
      <c r="E253" s="115" t="s">
        <v>136</v>
      </c>
      <c r="F253" s="115" t="s">
        <v>137</v>
      </c>
      <c r="G253" s="115" t="s">
        <v>195</v>
      </c>
    </row>
    <row r="254" spans="4:14" ht="20.100000000000001" customHeight="1" x14ac:dyDescent="0.25">
      <c r="D254" s="50" cm="1">
        <f t="array" aca="1" ref="D254:G254" ca="1">OFFSET(X_Table_Swine_HerdMovement,2,1,1,4)</f>
        <v>100</v>
      </c>
      <c r="E254" s="119">
        <f ca="1"/>
        <v>100</v>
      </c>
      <c r="F254" s="119">
        <f ca="1"/>
        <v>100</v>
      </c>
      <c r="G254" s="119">
        <f ca="1"/>
        <v>100</v>
      </c>
      <c r="H254" s="2" t="str">
        <f>G244</f>
        <v>head</v>
      </c>
    </row>
    <row r="255" spans="4:14" ht="20.100000000000001" customHeight="1" x14ac:dyDescent="0.25"/>
    <row r="256" spans="4:14" ht="20.100000000000001" customHeight="1" x14ac:dyDescent="0.25">
      <c r="D256" s="117" t="s">
        <v>117</v>
      </c>
      <c r="N256" s="117" t="s">
        <v>128</v>
      </c>
    </row>
    <row r="257" spans="1:18" ht="20.100000000000001" customHeight="1" x14ac:dyDescent="0.25">
      <c r="D257" s="118" t="s">
        <v>194</v>
      </c>
      <c r="N257" s="118" t="s">
        <v>217</v>
      </c>
    </row>
    <row r="258" spans="1:18" ht="20.100000000000001" customHeight="1" x14ac:dyDescent="0.25">
      <c r="D258" s="49" t="s">
        <v>135</v>
      </c>
      <c r="E258" s="49" t="s">
        <v>136</v>
      </c>
      <c r="F258" s="49" t="s">
        <v>137</v>
      </c>
      <c r="G258" s="49" t="s">
        <v>195</v>
      </c>
      <c r="N258" s="49" t="s">
        <v>135</v>
      </c>
      <c r="O258" s="49" t="s">
        <v>136</v>
      </c>
      <c r="P258" s="49" t="s">
        <v>137</v>
      </c>
      <c r="Q258" s="49" t="s">
        <v>195</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7" t="s">
        <v>170</v>
      </c>
      <c r="E261" s="98">
        <f ca="1">SUM(D259:G259)</f>
        <v>2.3840372404992007</v>
      </c>
      <c r="F261" s="99" t="str">
        <f>$E$240</f>
        <v>t CH4</v>
      </c>
      <c r="N261" s="97" t="s">
        <v>170</v>
      </c>
      <c r="O261" s="98">
        <f ca="1">SUM(N259:Q259)</f>
        <v>2.4087425821440007</v>
      </c>
      <c r="P261" s="99"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100"/>
      <c r="G263" s="50">
        <f ca="1">VEERG_4_5_1_1__1_TotalAnnualMethaneEmissions_Result_Method1</f>
        <v>2.3840372404992007</v>
      </c>
      <c r="N263" s="55" t="str" cm="1">
        <f t="array" ref="N263:O264">Common_Equations.Common_ConvertCH4ToCO2e_Arguments()</f>
        <v>ECH4</v>
      </c>
      <c r="O263" s="56" t="str">
        <v>Methane emissions (t CH4)</v>
      </c>
      <c r="P263" s="100"/>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100"/>
      <c r="G264" s="50">
        <f>Common_InputFunctions.Utility_LookupValueInTableNumber("CH4",Table_GWPData[Gas],Table_GWPData[CO2-e factor])</f>
        <v>28</v>
      </c>
      <c r="N264" s="55" t="str">
        <v>GWPCH4</v>
      </c>
      <c r="O264" s="56" t="str">
        <v>Global warming potential for methane (t CO2-e / t CH4)</v>
      </c>
      <c r="P264" s="100"/>
      <c r="Q264" s="50">
        <f>Common_InputFunctions.Utility_LookupValueInTableNumber("CH4",Table_GWPData[Gas],Table_GWPData[CO2-e factor])</f>
        <v>28</v>
      </c>
    </row>
    <row r="265" spans="1:18" ht="20.100000000000001" customHeight="1" x14ac:dyDescent="0.25"/>
    <row r="266" spans="1:18" ht="20.100000000000001" customHeight="1" x14ac:dyDescent="0.25">
      <c r="A266" s="141" t="str">
        <f>HYPERLINK("#A1", "▲ Back to top")</f>
        <v>▲ Back to top</v>
      </c>
      <c r="D266" s="43" t="s">
        <v>94</v>
      </c>
      <c r="E266" s="43" cm="1">
        <f t="array" aca="1" ref="E266" ca="1">Common_Equations.Common_ConvertCH4ToCO2e(G263,G264)</f>
        <v>66.753042733977622</v>
      </c>
      <c r="F266" s="101" t="str" cm="1">
        <f t="array" ref="F266">Common_Equations.Common_ConvertN2OToCO2e_Unit()</f>
        <v>t CO2e</v>
      </c>
      <c r="N266" s="43" t="s">
        <v>94</v>
      </c>
      <c r="O266" s="43" cm="1">
        <f t="array" aca="1" ref="O266" ca="1">Common_Equations.Common_ConvertCH4ToCO2e(Q263,Q264)</f>
        <v>67.44479230003202</v>
      </c>
      <c r="P266" s="101"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G265" zoomScaleNormal="100" workbookViewId="0">
      <selection activeCell="O298" sqref="O29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218</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6" t="str" cm="1">
        <f t="array" ref="D13:E15">Common_InputFunctions.Utility_DisplayArguments_1_2(MMS_Swine_N2ODirect_Equations.VEERG_4_5_1_3__5_AnnualNitrogenExcretion_Arguments())</f>
        <v>N_j</v>
      </c>
      <c r="E13" s="138" t="str">
        <v>number of swine in each group</v>
      </c>
      <c r="F13" s="137"/>
      <c r="G13" s="136" t="str" cm="1">
        <f t="array" ref="G13:H15">Common_InputFunctions.Utility_DisplayArguments_3_4(MMS_Swine_N2ODirect_Equations.VEERG_4_5_1_3__5_AnnualNitrogenExcretion_Arguments())</f>
        <v>head</v>
      </c>
      <c r="H13" s="132" t="str">
        <v>Input</v>
      </c>
      <c r="I13" s="135" t="str" cm="1">
        <f t="array" aca="1" ref="I13" ca="1">HYPERLINK(Common_InputFunctions.Utility_SourceHyperlink(D17), D17)</f>
        <v>Table_N_j</v>
      </c>
    </row>
    <row r="14" spans="1:21" ht="20.100000000000001" customHeight="1" x14ac:dyDescent="0.25">
      <c r="A14" s="17" t="str">
        <f>HYPERLINK("#'4.5.1.1-2 Methane'!A1", "4.5.1.1-2 Methane")</f>
        <v>4.5.1.1-2 Methane</v>
      </c>
      <c r="D14" s="136" t="str">
        <v>NW_j</v>
      </c>
      <c r="E14" s="136" t="str">
        <v>nitrogen produced in swine manure and waste feed in each class</v>
      </c>
      <c r="F14" s="136"/>
      <c r="G14" s="136" t="str">
        <v>kg N/head/day</v>
      </c>
      <c r="H14" s="132" t="str">
        <v>Input</v>
      </c>
      <c r="I14" s="135" t="str" cm="1">
        <f t="array" aca="1" ref="I14" ca="1">HYPERLINK(Common_InputFunctions.Utility_SourceHyperlink(D22), D22)</f>
        <v>M1_Table_NW_j</v>
      </c>
    </row>
    <row r="15" spans="1:21" ht="20.100000000000001" customHeight="1" x14ac:dyDescent="0.25">
      <c r="A15" s="147" t="str">
        <f>HYPERLINK("#'4.5.1.3-4 Direct N2O'!A1", "4.5.1.3-4 Direct N2O")</f>
        <v>4.5.1.3-4 Direct N2O</v>
      </c>
      <c r="D15" s="136" t="str">
        <v>D_j</v>
      </c>
      <c r="E15" s="138" t="str">
        <v>duration of stay of swine group</v>
      </c>
      <c r="F15" s="137"/>
      <c r="G15" s="136" t="str">
        <v>days</v>
      </c>
      <c r="H15" s="132" t="str">
        <v>Input</v>
      </c>
      <c r="I15" s="135"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7" t="s">
        <v>168</v>
      </c>
    </row>
    <row r="18" spans="1:18" ht="20.100000000000001" customHeight="1" x14ac:dyDescent="0.25">
      <c r="A18" s="17" t="str">
        <f>HYPERLINK("#'4.5.1.9 Manure applied to soils'!A1", "4.5.1.9 Manure applied to soils")</f>
        <v>4.5.1.9 Manure applied to soils</v>
      </c>
      <c r="D18" s="118" t="s">
        <v>169</v>
      </c>
    </row>
    <row r="19" spans="1:18" ht="20.100000000000001" customHeight="1" x14ac:dyDescent="0.25">
      <c r="D19" s="115" t="s">
        <v>135</v>
      </c>
      <c r="E19" s="115" t="s">
        <v>136</v>
      </c>
      <c r="F19" s="115" t="s">
        <v>137</v>
      </c>
      <c r="G19" s="115" t="s">
        <v>195</v>
      </c>
    </row>
    <row r="20" spans="1:18" ht="20.100000000000001" customHeight="1" x14ac:dyDescent="0.25">
      <c r="D20" s="50" cm="1">
        <f t="array" aca="1" ref="D20:G20" ca="1">OFFSET(X_Table_Swine_HerdMovement,2,1,1,4)</f>
        <v>100</v>
      </c>
      <c r="E20" s="119">
        <f ca="1"/>
        <v>100</v>
      </c>
      <c r="F20" s="119">
        <f ca="1"/>
        <v>100</v>
      </c>
      <c r="G20" s="119">
        <f ca="1"/>
        <v>100</v>
      </c>
      <c r="H20" s="2" t="str">
        <f>G13</f>
        <v>head</v>
      </c>
    </row>
    <row r="21" spans="1:18" ht="20.100000000000001" customHeight="1" x14ac:dyDescent="0.25">
      <c r="A21" s="145" t="s">
        <v>1</v>
      </c>
    </row>
    <row r="22" spans="1:18" ht="20.100000000000001" customHeight="1" x14ac:dyDescent="0.25">
      <c r="A22" s="17" t="str">
        <f>HYPERLINK("#'Constants - Swine'!A1", "Constants - Swine")</f>
        <v>Constants - Swine</v>
      </c>
      <c r="D22" s="117" t="s">
        <v>225</v>
      </c>
      <c r="N22" s="117" t="s">
        <v>286</v>
      </c>
    </row>
    <row r="23" spans="1:18" ht="20.100000000000001" customHeight="1" x14ac:dyDescent="0.25">
      <c r="A23" s="17" t="str">
        <f>HYPERLINK("#'Constants - Common'!A1", "Constants - Common")</f>
        <v>Constants - Common</v>
      </c>
      <c r="D23" s="118" t="s">
        <v>285</v>
      </c>
      <c r="N23" s="118" t="s">
        <v>287</v>
      </c>
    </row>
    <row r="24" spans="1:18" ht="20.100000000000001" customHeight="1" x14ac:dyDescent="0.25">
      <c r="A24" s="17" t="str">
        <f>HYPERLINK("#'Constants - Livestock'!A1", "Constants - Livestock")</f>
        <v>Constants - Livestock</v>
      </c>
      <c r="D24" s="115" t="s">
        <v>135</v>
      </c>
      <c r="E24" s="115" t="s">
        <v>136</v>
      </c>
      <c r="F24" s="115" t="s">
        <v>137</v>
      </c>
      <c r="G24" s="115" t="s">
        <v>195</v>
      </c>
      <c r="N24" s="115" t="s">
        <v>135</v>
      </c>
      <c r="O24" s="115" t="s">
        <v>136</v>
      </c>
      <c r="P24" s="115" t="s">
        <v>137</v>
      </c>
      <c r="Q24" s="115" t="s">
        <v>195</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7" t="s">
        <v>166</v>
      </c>
    </row>
    <row r="28" spans="1:18" ht="20.100000000000001" customHeight="1" x14ac:dyDescent="0.25">
      <c r="D28" s="118" t="s">
        <v>226</v>
      </c>
    </row>
    <row r="29" spans="1:18" ht="20.100000000000001" customHeight="1" x14ac:dyDescent="0.25">
      <c r="D29" s="115" t="s">
        <v>135</v>
      </c>
      <c r="E29" s="115" t="s">
        <v>136</v>
      </c>
      <c r="F29" s="115" t="s">
        <v>137</v>
      </c>
      <c r="G29" s="115" t="s">
        <v>195</v>
      </c>
    </row>
    <row r="30" spans="1:18" ht="20.100000000000001" customHeight="1" x14ac:dyDescent="0.25">
      <c r="D30" s="50" cm="1">
        <f t="array" aca="1" ref="D30:G30" ca="1">OFFSET(X_Table_Swine_HerdMovement,1,1,1,4)</f>
        <v>365</v>
      </c>
      <c r="E30" s="119">
        <f ca="1"/>
        <v>365</v>
      </c>
      <c r="F30" s="119">
        <f ca="1"/>
        <v>365</v>
      </c>
      <c r="G30" s="119">
        <f ca="1"/>
        <v>365</v>
      </c>
      <c r="H30" s="2" t="str">
        <f>G15</f>
        <v>days</v>
      </c>
    </row>
    <row r="31" spans="1:18" ht="20.100000000000001" customHeight="1" x14ac:dyDescent="0.25"/>
    <row r="32" spans="1:18" ht="20.100000000000001" customHeight="1" x14ac:dyDescent="0.25">
      <c r="D32" s="117" t="s">
        <v>288</v>
      </c>
      <c r="N32" s="117" t="s">
        <v>290</v>
      </c>
    </row>
    <row r="33" spans="3:18" ht="20.100000000000001" customHeight="1" x14ac:dyDescent="0.25">
      <c r="D33" s="118" t="s">
        <v>289</v>
      </c>
      <c r="N33" s="118" t="s">
        <v>291</v>
      </c>
    </row>
    <row r="34" spans="3:18" ht="20.100000000000001" customHeight="1" x14ac:dyDescent="0.25">
      <c r="D34" s="49" t="s">
        <v>135</v>
      </c>
      <c r="E34" s="49" t="s">
        <v>136</v>
      </c>
      <c r="F34" s="49" t="s">
        <v>137</v>
      </c>
      <c r="G34" s="49" t="s">
        <v>195</v>
      </c>
      <c r="N34" s="49" t="s">
        <v>135</v>
      </c>
      <c r="O34" s="49" t="s">
        <v>136</v>
      </c>
      <c r="P34" s="49" t="s">
        <v>137</v>
      </c>
      <c r="Q34" s="49" t="s">
        <v>195</v>
      </c>
    </row>
    <row r="35" spans="3:18" ht="20.100000000000001" customHeight="1" x14ac:dyDescent="0.25">
      <c r="D35" s="119" cm="1">
        <f t="array" aca="1" ref="D35" ca="1">MMS_Swine_N2ODirect_Equations.VEERG_4_5_1_3__5_AnnualNitrogenExcretion(D20,D25,D30)</f>
        <v>1678.9999999999998</v>
      </c>
      <c r="E35" s="119" cm="1">
        <f t="array" aca="1" ref="E35" ca="1">MMS_Swine_N2ODirect_Equations.VEERG_4_5_1_3__5_AnnualNitrogenExcretion(E20,E25,E30)</f>
        <v>1788.5000000000002</v>
      </c>
      <c r="F35" s="119" cm="1">
        <f t="array" aca="1" ref="F35" ca="1">MMS_Swine_N2ODirect_Equations.VEERG_4_5_1_3__5_AnnualNitrogenExcretion(F20,F25,F30)</f>
        <v>1678.9999999999998</v>
      </c>
      <c r="G35" s="119" cm="1">
        <f t="array" aca="1" ref="G35" ca="1">MMS_Swine_N2ODirect_Equations.VEERG_4_5_1_3__5_AnnualNitrogenExcretion(G20,G25,G30)</f>
        <v>1138.8</v>
      </c>
      <c r="H35" s="2" t="str">
        <f>$E$11</f>
        <v>kg N</v>
      </c>
      <c r="N35" s="119" cm="1">
        <f t="array" aca="1" ref="N35" ca="1">MMS_Swine_N2ODirect_Equations.VEERG_4_5_1_3__5_AnnualNitrogenExcretion(D20,N25,D30)</f>
        <v>1678.9999999999998</v>
      </c>
      <c r="O35" s="119" cm="1">
        <f t="array" aca="1" ref="O35" ca="1">MMS_Swine_N2ODirect_Equations.VEERG_4_5_1_3__5_AnnualNitrogenExcretion(E20,O25,E30)</f>
        <v>1788.5000000000002</v>
      </c>
      <c r="P35" s="119" cm="1">
        <f t="array" aca="1" ref="P35" ca="1">MMS_Swine_N2ODirect_Equations.VEERG_4_5_1_3__5_AnnualNitrogenExcretion(F20,P25,F30)</f>
        <v>1678.9999999999998</v>
      </c>
      <c r="Q35" s="119"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6" t="str" cm="1">
        <f t="array" ref="G47:H48">Common_InputFunctions.Utility_DisplayArguments_3_4(MMS_Swine_N2ODirect_Equations.VEERG_4_5_1_3__3_FractionOfNitrogenInPrimaryMMS_Arguments())</f>
        <v>fraction</v>
      </c>
      <c r="H47" s="132" t="str">
        <v>Input</v>
      </c>
      <c r="I47" s="135"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6" t="str">
        <v>fraction</v>
      </c>
      <c r="H48" s="132" t="str">
        <v>Input</v>
      </c>
      <c r="I48" s="135" t="str" cm="1">
        <f t="array" aca="1" ref="I48" ca="1">HYPERLINK(Common_InputFunctions.Utility_SourceHyperlink(D59), D59)</f>
        <v>M1_Table_SN_m-1-7-9</v>
      </c>
    </row>
    <row r="49" spans="4:19" ht="20.100000000000001" customHeight="1" x14ac:dyDescent="0.25"/>
    <row r="50" spans="4:19" ht="20.100000000000001" customHeight="1" x14ac:dyDescent="0.25">
      <c r="D50" s="117" t="s">
        <v>154</v>
      </c>
    </row>
    <row r="51" spans="4:19" ht="20.100000000000001" customHeight="1" x14ac:dyDescent="0.25">
      <c r="D51" s="118" t="s">
        <v>227</v>
      </c>
    </row>
    <row r="52" spans="4:19" ht="20.100000000000001" customHeight="1" x14ac:dyDescent="0.25">
      <c r="D52" s="115" t="s">
        <v>156</v>
      </c>
      <c r="E52" s="115" t="s">
        <v>135</v>
      </c>
      <c r="F52" s="115" t="s">
        <v>136</v>
      </c>
      <c r="G52" s="115" t="s">
        <v>137</v>
      </c>
      <c r="H52" s="115" t="s">
        <v>195</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7" t="s">
        <v>228</v>
      </c>
      <c r="N59" s="117" t="s">
        <v>255</v>
      </c>
    </row>
    <row r="60" spans="4:19" ht="20.100000000000001" customHeight="1" x14ac:dyDescent="0.25">
      <c r="D60" s="118" t="s">
        <v>229</v>
      </c>
      <c r="N60" s="118" t="s">
        <v>256</v>
      </c>
    </row>
    <row r="61" spans="4:19" ht="20.100000000000001" customHeight="1" x14ac:dyDescent="0.25">
      <c r="D61" s="115" t="s">
        <v>156</v>
      </c>
      <c r="E61" s="115" t="s">
        <v>135</v>
      </c>
      <c r="F61" s="115" t="s">
        <v>136</v>
      </c>
      <c r="G61" s="115" t="s">
        <v>137</v>
      </c>
      <c r="H61" s="115" t="s">
        <v>195</v>
      </c>
      <c r="N61" s="115" t="s">
        <v>156</v>
      </c>
      <c r="O61" s="115" t="s">
        <v>135</v>
      </c>
      <c r="P61" s="115" t="s">
        <v>136</v>
      </c>
      <c r="Q61" s="115" t="s">
        <v>137</v>
      </c>
      <c r="R61" s="115" t="s">
        <v>195</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7" t="s">
        <v>230</v>
      </c>
      <c r="N68" s="117" t="s">
        <v>261</v>
      </c>
    </row>
    <row r="69" spans="3:21" ht="20.100000000000001" customHeight="1" x14ac:dyDescent="0.25">
      <c r="D69" s="118" t="s">
        <v>235</v>
      </c>
      <c r="N69" s="118" t="s">
        <v>262</v>
      </c>
    </row>
    <row r="70" spans="3:21" ht="20.100000000000001" customHeight="1" x14ac:dyDescent="0.25">
      <c r="D70" s="49" t="s">
        <v>156</v>
      </c>
      <c r="E70" s="49" t="s">
        <v>135</v>
      </c>
      <c r="F70" s="49" t="s">
        <v>136</v>
      </c>
      <c r="G70" s="49" t="s">
        <v>137</v>
      </c>
      <c r="H70" s="49" t="s">
        <v>195</v>
      </c>
      <c r="N70" s="49" t="s">
        <v>156</v>
      </c>
      <c r="O70" s="49" t="s">
        <v>135</v>
      </c>
      <c r="P70" s="49" t="s">
        <v>136</v>
      </c>
      <c r="Q70" s="49" t="s">
        <v>137</v>
      </c>
      <c r="R70" s="49" t="s">
        <v>195</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6" t="str" cm="1">
        <f t="array" ref="D88:E90">Common_InputFunctions.Utility_DisplayArguments_1_2(MMS_Swine_N2ODirect_Equations.VEERG_4_5_1_3__4_FractionOfNitrogenInSolidStorage_Arguments())</f>
        <v>MMS_jm4T1</v>
      </c>
      <c r="E88" s="136" t="str">
        <v>fraction of manure in solid storage MMS</v>
      </c>
      <c r="F88" s="136"/>
      <c r="G88" s="136" t="str" cm="1">
        <f t="array" ref="G88:H90">Common_InputFunctions.Utility_DisplayArguments_3_4(MMS_Swine_N2ODirect_Equations.VEERG_4_5_1_3__4_FractionOfNitrogenInSolidStorage_Arguments())</f>
        <v>fraction</v>
      </c>
      <c r="H88" s="132" t="str">
        <v>Input</v>
      </c>
      <c r="I88" s="135" t="str" cm="1">
        <f t="array" aca="1" ref="I88" ca="1">HYPERLINK(Common_InputFunctions.Utility_SourceHyperlink($D$92), $D$92)</f>
        <v>Table_MMS_j_m-4_T-1</v>
      </c>
    </row>
    <row r="89" spans="4:9" ht="20.100000000000001" customHeight="1" x14ac:dyDescent="0.25">
      <c r="D89" s="136" t="str">
        <v>MMS_jm179T1</v>
      </c>
      <c r="E89" s="136" t="str">
        <v>fraction of manure in primary liquid systems (m=1,7,9)</v>
      </c>
      <c r="F89" s="136"/>
      <c r="G89" s="136" t="str">
        <v>fraction</v>
      </c>
      <c r="H89" s="132" t="str">
        <v>Input</v>
      </c>
      <c r="I89" s="135" t="str" cm="1">
        <f t="array" aca="1" ref="I89" ca="1">HYPERLINK(Common_InputFunctions.Utility_SourceHyperlink($D$50), $D$50)</f>
        <v>Table_MMS_j_m-1-7-9-8_T-1</v>
      </c>
    </row>
    <row r="90" spans="4:9" ht="20.100000000000001" customHeight="1" x14ac:dyDescent="0.25">
      <c r="D90" s="136" t="str">
        <v>SN_m</v>
      </c>
      <c r="E90" s="136" t="str">
        <v>fraction of nitrogen separated to solid storage for each MMS</v>
      </c>
      <c r="F90" s="136"/>
      <c r="G90" s="136" t="str">
        <v>fraction</v>
      </c>
      <c r="H90" s="132" t="str">
        <v>Input</v>
      </c>
      <c r="I90" s="135" t="str" cm="1">
        <f t="array" aca="1" ref="I90" ca="1">HYPERLINK(Common_InputFunctions.Utility_SourceHyperlink($D$59), $D$59)</f>
        <v>M1_Table_SN_m-1-7-9</v>
      </c>
    </row>
    <row r="91" spans="4:9" ht="20.100000000000001" customHeight="1" x14ac:dyDescent="0.25"/>
    <row r="92" spans="4:9" ht="20.100000000000001" customHeight="1" x14ac:dyDescent="0.25">
      <c r="D92" s="117" t="s">
        <v>157</v>
      </c>
    </row>
    <row r="93" spans="4:9" ht="20.100000000000001" customHeight="1" x14ac:dyDescent="0.25">
      <c r="D93" s="118" t="s">
        <v>158</v>
      </c>
    </row>
    <row r="94" spans="4:9" ht="20.100000000000001" customHeight="1" x14ac:dyDescent="0.25">
      <c r="D94" s="115" t="s">
        <v>156</v>
      </c>
      <c r="E94" s="115" t="s">
        <v>135</v>
      </c>
      <c r="F94" s="115" t="s">
        <v>136</v>
      </c>
      <c r="G94" s="115" t="s">
        <v>137</v>
      </c>
      <c r="H94" s="115" t="s">
        <v>195</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115</v>
      </c>
    </row>
    <row r="96" spans="4:9" ht="20.100000000000001" customHeight="1" x14ac:dyDescent="0.25"/>
    <row r="97" spans="3:21" ht="20.100000000000001" customHeight="1" x14ac:dyDescent="0.25">
      <c r="D97" s="117" t="s">
        <v>185</v>
      </c>
      <c r="N97" s="117" t="s">
        <v>199</v>
      </c>
    </row>
    <row r="98" spans="3:21" ht="20.100000000000001" customHeight="1" x14ac:dyDescent="0.25">
      <c r="D98" s="118" t="s">
        <v>186</v>
      </c>
      <c r="N98" s="118" t="s">
        <v>200</v>
      </c>
    </row>
    <row r="99" spans="3:21" ht="20.100000000000001" customHeight="1" x14ac:dyDescent="0.25">
      <c r="D99" s="49" t="s">
        <v>156</v>
      </c>
      <c r="E99" s="49" t="s">
        <v>135</v>
      </c>
      <c r="F99" s="49" t="s">
        <v>136</v>
      </c>
      <c r="G99" s="49" t="s">
        <v>137</v>
      </c>
      <c r="H99" s="49" t="s">
        <v>195</v>
      </c>
      <c r="N99" s="49" t="s">
        <v>156</v>
      </c>
      <c r="O99" s="49" t="s">
        <v>135</v>
      </c>
      <c r="P99" s="49" t="s">
        <v>136</v>
      </c>
      <c r="Q99" s="49" t="s">
        <v>137</v>
      </c>
      <c r="R99" s="49" t="s">
        <v>195</v>
      </c>
    </row>
    <row r="100" spans="3:21" ht="20.100000000000001" customHeight="1" x14ac:dyDescent="0.25">
      <c r="D100" s="55" t="s">
        <v>346</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346</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6" t="str" cm="1">
        <f t="array" ref="G112:H113">Common_InputFunctions.Utility_DisplayArguments_3_4(MMS_Swine_N2ODirect_Equations.VEERG_4_5_1_3__2_Stage1NitrogenInMMS_Arguments())</f>
        <v>kg N</v>
      </c>
      <c r="H112" s="131" t="str">
        <v>Calculated from 4.5.1.3 (5)</v>
      </c>
      <c r="I112" s="135" t="str" cm="1">
        <f t="array" aca="1" ref="I112" ca="1">HYPERLINK(Common_InputFunctions.Utility_SourceHyperlink(D32), D32)</f>
        <v>M1_Table_AE_j</v>
      </c>
      <c r="J112" s="135"/>
    </row>
    <row r="113" spans="3:21" ht="20.100000000000001" customHeight="1" x14ac:dyDescent="0.25">
      <c r="D113" s="55" t="str">
        <v>FN_jmT1</v>
      </c>
      <c r="E113" s="56" t="str">
        <v>fraction of nitrogen in each primary MMS system</v>
      </c>
      <c r="F113" s="57"/>
      <c r="G113" s="136" t="str">
        <v>fraction</v>
      </c>
      <c r="H113" s="131" t="str">
        <v>Calculated from 4.5.1.3 (3)(4)</v>
      </c>
      <c r="I113" s="135" t="str" cm="1">
        <f t="array" aca="1" ref="I113" ca="1">HYPERLINK(Common_InputFunctions.Utility_SourceHyperlink(D68), D68)</f>
        <v>M1_Table_FN_j_m_T-1</v>
      </c>
      <c r="J113" s="13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236</v>
      </c>
      <c r="N115" s="117" t="s">
        <v>257</v>
      </c>
    </row>
    <row r="116" spans="3:21" ht="20.100000000000001" customHeight="1" x14ac:dyDescent="0.25">
      <c r="D116" s="118" t="s">
        <v>237</v>
      </c>
      <c r="N116" s="118" t="s">
        <v>258</v>
      </c>
    </row>
    <row r="117" spans="3:21" ht="20.100000000000001" customHeight="1" x14ac:dyDescent="0.25">
      <c r="D117" s="49" t="s">
        <v>156</v>
      </c>
      <c r="E117" s="49" t="s">
        <v>135</v>
      </c>
      <c r="F117" s="49" t="s">
        <v>136</v>
      </c>
      <c r="G117" s="49" t="s">
        <v>137</v>
      </c>
      <c r="H117" s="49" t="s">
        <v>195</v>
      </c>
      <c r="N117" s="49" t="s">
        <v>156</v>
      </c>
      <c r="O117" s="49" t="s">
        <v>135</v>
      </c>
      <c r="P117" s="49" t="s">
        <v>136</v>
      </c>
      <c r="Q117" s="49" t="s">
        <v>137</v>
      </c>
      <c r="R117" s="49" t="s">
        <v>195</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346</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346</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6" t="str" cm="1">
        <f t="array" ref="G135:H137">Common_InputFunctions.Utility_DisplayArguments_3_4(MMS_Swine_N2ODirect_Equations.VEERG_4_5_1_3__7_NitrogenTransferredToStage2MMS_Arguments())</f>
        <v>kg N</v>
      </c>
      <c r="H135" s="131" t="str">
        <v>Calculated from 4.5.1.3 (2)(6)</v>
      </c>
      <c r="I135" s="135"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6" t="str">
        <v>fraction</v>
      </c>
      <c r="H136" s="131" t="str">
        <v>Lookup</v>
      </c>
      <c r="I136" s="135"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6" t="str">
        <v>kg N2O-N/kg N</v>
      </c>
      <c r="H137" s="131" t="str">
        <v>Lookup</v>
      </c>
      <c r="I137" s="135" t="str" cm="1">
        <f t="array" aca="1" ref="I137" ca="1">HYPERLINK(Common_InputFunctions.Utility_SourceHyperlink(D150), D150)</f>
        <v>Table_EF_m_t-1</v>
      </c>
    </row>
    <row r="138" spans="4:9" ht="20.100000000000001" customHeight="1" x14ac:dyDescent="0.25"/>
    <row r="139" spans="4:9" ht="20.100000000000001" customHeight="1" x14ac:dyDescent="0.25">
      <c r="D139" s="117" t="s">
        <v>238</v>
      </c>
    </row>
    <row r="140" spans="4:9" ht="20.100000000000001" customHeight="1" x14ac:dyDescent="0.25">
      <c r="D140" s="118" t="s">
        <v>239</v>
      </c>
    </row>
    <row r="141" spans="4:9" ht="20.100000000000001" customHeight="1" x14ac:dyDescent="0.25">
      <c r="D141" s="49" t="s">
        <v>64</v>
      </c>
      <c r="E141" s="49" t="s">
        <v>240</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346</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241</v>
      </c>
    </row>
    <row r="151" spans="4:6" ht="20.100000000000001" customHeight="1" x14ac:dyDescent="0.25">
      <c r="D151" s="118" t="s">
        <v>242</v>
      </c>
    </row>
    <row r="152" spans="4:6" ht="20.100000000000001" customHeight="1" x14ac:dyDescent="0.25">
      <c r="D152" s="49" t="s">
        <v>64</v>
      </c>
      <c r="E152" s="49" t="s">
        <v>243</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346</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245</v>
      </c>
      <c r="N161" s="117" t="s">
        <v>259</v>
      </c>
    </row>
    <row r="162" spans="1:21" ht="20.100000000000001" customHeight="1" x14ac:dyDescent="0.25">
      <c r="D162" s="118" t="s">
        <v>246</v>
      </c>
      <c r="N162" s="118" t="s">
        <v>260</v>
      </c>
    </row>
    <row r="163" spans="1:21" ht="20.100000000000001" customHeight="1" x14ac:dyDescent="0.25">
      <c r="D163" s="49" t="s">
        <v>156</v>
      </c>
      <c r="E163" s="49" t="s">
        <v>135</v>
      </c>
      <c r="F163" s="49" t="s">
        <v>136</v>
      </c>
      <c r="G163" s="49" t="s">
        <v>137</v>
      </c>
      <c r="H163" s="49" t="s">
        <v>195</v>
      </c>
      <c r="N163" s="49" t="s">
        <v>156</v>
      </c>
      <c r="O163" s="49" t="s">
        <v>135</v>
      </c>
      <c r="P163" s="49" t="s">
        <v>136</v>
      </c>
      <c r="Q163" s="49" t="s">
        <v>137</v>
      </c>
      <c r="R163" s="49" t="s">
        <v>195</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346</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346</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1"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4" t="str" cm="1">
        <f t="array" ref="D181:E182">Common_InputFunctions.Utility_DisplayArguments_1_2(MMS_Swine_N2ODirect_Equations.VEERG_4_5_1_3__6_Stage2NitrogenInMMS_Arguments())</f>
        <v>NT_jmT2</v>
      </c>
      <c r="E181" s="106" t="str">
        <v>nitrogen transferred to secondary treatment MMS</v>
      </c>
      <c r="F181" s="105"/>
      <c r="G181" s="136" t="str" cm="1">
        <f t="array" ref="G181:H182">Common_InputFunctions.Utility_DisplayArguments_3_4(MMS_Swine_N2ODirect_Equations.VEERG_4_5_1_3__6_Stage2NitrogenInMMS_Arguments())</f>
        <v>kg N</v>
      </c>
      <c r="H181" s="131" t="str">
        <v>Calculated from 4.5.1.3 (7)</v>
      </c>
      <c r="I181" s="135" t="str" cm="1">
        <f t="array" aca="1" ref="I181" ca="1">HYPERLINK(Common_InputFunctions.Utility_SourceHyperlink(D161), D161)</f>
        <v>M1_Table_NT_j_m_T-2</v>
      </c>
    </row>
    <row r="182" spans="4:10" ht="20.100000000000001" customHeight="1" x14ac:dyDescent="0.25">
      <c r="D182" s="104" t="str">
        <v>MMS_jmT2</v>
      </c>
      <c r="E182" s="106" t="str">
        <v>fraction of manure in each secondary system</v>
      </c>
      <c r="F182" s="105"/>
      <c r="G182" s="136" t="str">
        <v>fraction</v>
      </c>
      <c r="H182" s="132" t="str">
        <v>Input</v>
      </c>
      <c r="I182" s="13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162</v>
      </c>
    </row>
    <row r="185" spans="4:10" ht="20.100000000000001" customHeight="1" x14ac:dyDescent="0.25">
      <c r="D185" s="118" t="s">
        <v>163</v>
      </c>
    </row>
    <row r="186" spans="4:10" ht="20.100000000000001" customHeight="1" x14ac:dyDescent="0.25">
      <c r="D186" s="115" t="s">
        <v>156</v>
      </c>
      <c r="E186" s="115" t="s">
        <v>164</v>
      </c>
      <c r="F186" s="115" t="s">
        <v>135</v>
      </c>
      <c r="G186" s="115" t="s">
        <v>136</v>
      </c>
      <c r="H186" s="115" t="s">
        <v>137</v>
      </c>
      <c r="I186" s="115" t="s">
        <v>195</v>
      </c>
    </row>
    <row r="187" spans="4:10" ht="20.100000000000001" customHeight="1" x14ac:dyDescent="0.25">
      <c r="D187" s="55" t="str">
        <f>INDEX(X_Table_Swine_Stage1MMS_AnaerobicLagoon,2,1)</f>
        <v>Anaerobic lagoon</v>
      </c>
      <c r="E187" s="104"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4" t="str">
        <f ca="1"/>
        <v>Deep litter</v>
      </c>
      <c r="F188" s="50">
        <f ca="1"/>
        <v>0.2</v>
      </c>
      <c r="G188" s="50">
        <f ca="1"/>
        <v>0.25</v>
      </c>
      <c r="H188" s="50">
        <f ca="1"/>
        <v>0.25</v>
      </c>
      <c r="I188" s="50">
        <f ca="1"/>
        <v>0.25</v>
      </c>
      <c r="J188" s="2"/>
    </row>
    <row r="189" spans="4:10" ht="20.100000000000001" customHeight="1" x14ac:dyDescent="0.25">
      <c r="D189" s="55"/>
      <c r="E189" s="104"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4"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4" t="str">
        <f ca="1"/>
        <v>Digester / covered lagoons</v>
      </c>
      <c r="F192" s="50">
        <f ca="1"/>
        <v>0.2</v>
      </c>
      <c r="G192" s="50">
        <f ca="1"/>
        <v>0.25</v>
      </c>
      <c r="H192" s="50">
        <f ca="1"/>
        <v>0.25</v>
      </c>
      <c r="I192" s="50">
        <f ca="1"/>
        <v>0.25</v>
      </c>
      <c r="J192" s="2"/>
    </row>
    <row r="193" spans="4:10" ht="20.100000000000001" customHeight="1" x14ac:dyDescent="0.25">
      <c r="D193" s="55"/>
      <c r="E193" s="104" t="str">
        <f ca="1"/>
        <v>Deep litter</v>
      </c>
      <c r="F193" s="50">
        <f ca="1"/>
        <v>0.2</v>
      </c>
      <c r="G193" s="50">
        <f ca="1"/>
        <v>0.25</v>
      </c>
      <c r="H193" s="50">
        <f ca="1"/>
        <v>0.25</v>
      </c>
      <c r="I193" s="50">
        <f ca="1"/>
        <v>0.25</v>
      </c>
      <c r="J193" s="2"/>
    </row>
    <row r="194" spans="4:10" ht="20.100000000000001" customHeight="1" x14ac:dyDescent="0.25">
      <c r="D194" s="55"/>
      <c r="E194" s="104"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4"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4" t="str">
        <f ca="1"/>
        <v>Deep litter</v>
      </c>
      <c r="F197" s="50">
        <f ca="1"/>
        <v>0.2</v>
      </c>
      <c r="G197" s="50">
        <f ca="1"/>
        <v>0.25</v>
      </c>
      <c r="H197" s="50">
        <f ca="1"/>
        <v>0.25</v>
      </c>
      <c r="I197" s="50">
        <f ca="1"/>
        <v>0.25</v>
      </c>
      <c r="J197" s="2"/>
    </row>
    <row r="198" spans="4:10" ht="20.100000000000001" customHeight="1" x14ac:dyDescent="0.25">
      <c r="D198" s="55"/>
      <c r="E198" s="104"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4"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4" t="str">
        <f ca="1"/>
        <v>Digester / covered lagoons</v>
      </c>
      <c r="F201" s="50">
        <f ca="1"/>
        <v>0.2</v>
      </c>
      <c r="G201" s="50">
        <f ca="1"/>
        <v>0.25</v>
      </c>
      <c r="H201" s="50">
        <f ca="1"/>
        <v>0.25</v>
      </c>
      <c r="I201" s="50">
        <f ca="1"/>
        <v>0.25</v>
      </c>
      <c r="J201" s="2"/>
    </row>
    <row r="202" spans="4:10" ht="20.100000000000001" customHeight="1" x14ac:dyDescent="0.25">
      <c r="D202" s="55"/>
      <c r="E202" s="104"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4"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4" t="str">
        <f ca="1"/>
        <v>Digester / covered lagoons</v>
      </c>
      <c r="F205" s="50">
        <f ca="1"/>
        <v>0.2</v>
      </c>
      <c r="G205" s="50">
        <f ca="1"/>
        <v>0.25</v>
      </c>
      <c r="H205" s="50">
        <f ca="1"/>
        <v>0.25</v>
      </c>
      <c r="I205" s="50">
        <f ca="1"/>
        <v>0.25</v>
      </c>
      <c r="J205" s="2"/>
    </row>
    <row r="206" spans="4:10" ht="20.100000000000001" customHeight="1" x14ac:dyDescent="0.25">
      <c r="D206" s="55"/>
      <c r="E206" s="104"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346</v>
      </c>
      <c r="E208" s="104"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4" t="str">
        <f ca="1"/>
        <v>Digester / covered lagoons</v>
      </c>
      <c r="F209" s="50">
        <f ca="1"/>
        <v>0.2</v>
      </c>
      <c r="G209" s="50">
        <f ca="1"/>
        <v>0.2</v>
      </c>
      <c r="H209" s="50">
        <f ca="1"/>
        <v>0.2</v>
      </c>
      <c r="I209" s="50">
        <f ca="1"/>
        <v>0.2</v>
      </c>
      <c r="J209" s="2"/>
    </row>
    <row r="210" spans="4:20" ht="20.100000000000001" customHeight="1" x14ac:dyDescent="0.25">
      <c r="D210" s="55"/>
      <c r="E210" s="104" t="str">
        <f ca="1"/>
        <v>Deep litter</v>
      </c>
      <c r="F210" s="50">
        <f ca="1"/>
        <v>0.2</v>
      </c>
      <c r="G210" s="50">
        <f ca="1"/>
        <v>0.2</v>
      </c>
      <c r="H210" s="50">
        <f ca="1"/>
        <v>0.2</v>
      </c>
      <c r="I210" s="50">
        <f ca="1"/>
        <v>0.2</v>
      </c>
      <c r="J210" s="2"/>
    </row>
    <row r="211" spans="4:20" ht="20.100000000000001" customHeight="1" x14ac:dyDescent="0.25">
      <c r="D211" s="55"/>
      <c r="E211" s="104"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7" t="s">
        <v>247</v>
      </c>
      <c r="N214" s="117" t="s">
        <v>303</v>
      </c>
    </row>
    <row r="215" spans="4:20" ht="20.100000000000001" customHeight="1" x14ac:dyDescent="0.25">
      <c r="D215" s="118" t="s">
        <v>248</v>
      </c>
      <c r="N215" s="118" t="s">
        <v>304</v>
      </c>
    </row>
    <row r="216" spans="4:20" ht="20.100000000000001" customHeight="1" x14ac:dyDescent="0.25">
      <c r="D216" s="49" t="s">
        <v>156</v>
      </c>
      <c r="E216" s="49" t="s">
        <v>164</v>
      </c>
      <c r="F216" s="49" t="s">
        <v>135</v>
      </c>
      <c r="G216" s="49" t="s">
        <v>136</v>
      </c>
      <c r="H216" s="49" t="s">
        <v>137</v>
      </c>
      <c r="I216" s="49" t="s">
        <v>195</v>
      </c>
      <c r="N216" s="49" t="s">
        <v>156</v>
      </c>
      <c r="O216" s="49" t="s">
        <v>164</v>
      </c>
      <c r="P216" s="49" t="s">
        <v>135</v>
      </c>
      <c r="Q216" s="49" t="s">
        <v>136</v>
      </c>
      <c r="R216" s="49" t="s">
        <v>137</v>
      </c>
      <c r="S216" s="49" t="s">
        <v>195</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346</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346</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1"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4" t="str" cm="1">
        <f t="array" ref="D254:E256">Common_InputFunctions.Utility_DisplayArguments_1_2(MMS_Swine_N2ODirect_Equations.VEERG_4_5_1_3__1_TotalAnnualDirectNitrousOxideEmissionsFromMMS_Arguments())</f>
        <v>MN_jmT</v>
      </c>
      <c r="E254" s="106" t="str">
        <v>nitrogen per swine class, MMS and treatment stage</v>
      </c>
      <c r="F254" s="105"/>
      <c r="G254" s="136" t="str" cm="1">
        <f t="array" ref="G254:H256">Common_InputFunctions.Utility_DisplayArguments_3_4(MMS_Swine_N2ODirect_Equations.VEERG_4_5_1_3__1_TotalAnnualDirectNitrousOxideEmissionsFromMMS_Arguments())</f>
        <v>kg N</v>
      </c>
      <c r="H254" s="131" t="str">
        <v>Calculated from 4.5.1.3 (2)(6)</v>
      </c>
      <c r="I254" s="135" t="str" cm="1">
        <f t="array" aca="1" ref="I254" ca="1">HYPERLINK(Common_InputFunctions.Utility_SourceHyperlink(D115), D115)</f>
        <v>M1_Table_MN_j_m_T-1</v>
      </c>
      <c r="J254" s="135" t="str" cm="1">
        <f t="array" aca="1" ref="J254" ca="1">HYPERLINK(Common_InputFunctions.Utility_SourceHyperlink(D214), D214)</f>
        <v>M1_Table_MN_j_m_T-2</v>
      </c>
    </row>
    <row r="255" spans="1:21" ht="20.100000000000001" customHeight="1" x14ac:dyDescent="0.25">
      <c r="D255" s="104" t="str">
        <v>EF_jm</v>
      </c>
      <c r="E255" s="106" t="str">
        <v>nitrous oxide emission factor for MMS</v>
      </c>
      <c r="F255" s="105"/>
      <c r="G255" s="136" t="str">
        <v>kg N2O-N/kg N</v>
      </c>
      <c r="H255" s="131" t="str">
        <v>Constant</v>
      </c>
      <c r="I255" s="140" t="str" cm="1">
        <f t="array" aca="1" ref="I255" ca="1">HYPERLINK(Common_InputFunctions.Utility_SourceHyperlink(D150), D150)</f>
        <v>Table_EF_m_t-1</v>
      </c>
      <c r="J255" s="139"/>
    </row>
    <row r="256" spans="1:21" ht="20.100000000000001" customHeight="1" x14ac:dyDescent="0.25">
      <c r="D256" s="104" t="str">
        <v>C_N2O</v>
      </c>
      <c r="E256" s="106" t="str">
        <v>factor to convert elemental mass of nitrous oxide to molecular mass</v>
      </c>
      <c r="F256" s="105"/>
      <c r="G256" s="136" t="str">
        <v/>
      </c>
      <c r="H256" s="131" t="str">
        <v>Constant</v>
      </c>
      <c r="I256" s="56">
        <f>Common_InputFunctions.Utility_LookupValueInTableNumber("N2O",Table_GasToMolecularConversionFactor[Gas],Table_GasToMolecularConversionFactor[Conversion factor combined])</f>
        <v>1.5714285714285714</v>
      </c>
      <c r="J256" s="105"/>
    </row>
    <row r="257" spans="4:20" ht="20.100000000000001" customHeight="1" x14ac:dyDescent="0.25"/>
    <row r="258" spans="4:20" ht="20.100000000000001" customHeight="1" x14ac:dyDescent="0.25">
      <c r="D258" s="128" t="s">
        <v>339</v>
      </c>
      <c r="E258" s="87"/>
      <c r="F258" s="87"/>
      <c r="G258" s="83"/>
    </row>
    <row r="259" spans="4:20" ht="20.100000000000001" customHeight="1" x14ac:dyDescent="0.25">
      <c r="D259" s="89" t="s">
        <v>337</v>
      </c>
      <c r="E259" s="86"/>
      <c r="F259" s="86"/>
      <c r="G259" s="84"/>
    </row>
    <row r="260" spans="4:20" ht="20.100000000000001" customHeight="1" x14ac:dyDescent="0.25"/>
    <row r="261" spans="4:20" ht="20.100000000000001" customHeight="1" x14ac:dyDescent="0.25">
      <c r="D261" s="117" t="s">
        <v>249</v>
      </c>
      <c r="N261" s="117" t="s">
        <v>263</v>
      </c>
    </row>
    <row r="262" spans="4:20" ht="20.100000000000001" customHeight="1" x14ac:dyDescent="0.25">
      <c r="D262" s="118" t="s">
        <v>250</v>
      </c>
      <c r="N262" s="118" t="s">
        <v>264</v>
      </c>
    </row>
    <row r="263" spans="4:20" ht="20.100000000000001" customHeight="1" x14ac:dyDescent="0.25">
      <c r="D263" s="49" t="s">
        <v>156</v>
      </c>
      <c r="E263" s="49" t="s">
        <v>164</v>
      </c>
      <c r="F263" s="49" t="s">
        <v>135</v>
      </c>
      <c r="G263" s="49" t="s">
        <v>136</v>
      </c>
      <c r="H263" s="49" t="s">
        <v>137</v>
      </c>
      <c r="I263" s="49" t="s">
        <v>195</v>
      </c>
      <c r="N263" s="49" t="s">
        <v>156</v>
      </c>
      <c r="O263" s="49" t="s">
        <v>164</v>
      </c>
      <c r="P263" s="49" t="s">
        <v>135</v>
      </c>
      <c r="Q263" s="49" t="s">
        <v>136</v>
      </c>
      <c r="R263" s="49" t="s">
        <v>137</v>
      </c>
      <c r="S263" s="49" t="s">
        <v>195</v>
      </c>
    </row>
    <row r="264" spans="4:20" ht="20.100000000000001" customHeight="1" x14ac:dyDescent="0.25">
      <c r="D264" s="55" t="str">
        <f>INDEX(X_Table_Swine_Stage1MMS_AnaerobicLagoon,2,1)</f>
        <v>Anaerobic lagoon</v>
      </c>
      <c r="E264" s="55" t="s">
        <v>165</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165</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165</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165</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165</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165</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165</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165</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165</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165</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346</v>
      </c>
      <c r="E269" s="55" t="s">
        <v>165</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346</v>
      </c>
      <c r="O269" s="55" t="s">
        <v>165</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165</v>
      </c>
      <c r="G273" s="50" t="s">
        <v>165</v>
      </c>
      <c r="H273" s="50" t="s">
        <v>165</v>
      </c>
      <c r="I273" s="50" t="s">
        <v>165</v>
      </c>
      <c r="J273" s="2"/>
      <c r="N273" s="55"/>
      <c r="O273" s="55" t="str">
        <f>INDEX(X_Table_Swine_Stage2MMS_From_AnaerobicLagoon,5,1)</f>
        <v>Direct application</v>
      </c>
      <c r="P273" s="50" t="s">
        <v>165</v>
      </c>
      <c r="Q273" s="50" t="s">
        <v>165</v>
      </c>
      <c r="R273" s="50" t="s">
        <v>165</v>
      </c>
      <c r="S273" s="50" t="s">
        <v>165</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165</v>
      </c>
      <c r="G278" s="50" t="s">
        <v>165</v>
      </c>
      <c r="H278" s="50" t="s">
        <v>165</v>
      </c>
      <c r="I278" s="50" t="s">
        <v>165</v>
      </c>
      <c r="J278" s="2"/>
      <c r="N278" s="55"/>
      <c r="O278" s="55" t="str">
        <f>INDEX(X_Table_Swine_Stage2MMS_From_Drylot,6,1)</f>
        <v>Direct application</v>
      </c>
      <c r="P278" s="50" t="s">
        <v>165</v>
      </c>
      <c r="Q278" s="50" t="s">
        <v>165</v>
      </c>
      <c r="R278" s="50" t="s">
        <v>165</v>
      </c>
      <c r="S278" s="50" t="s">
        <v>165</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165</v>
      </c>
      <c r="G282" s="50" t="s">
        <v>165</v>
      </c>
      <c r="H282" s="50" t="s">
        <v>165</v>
      </c>
      <c r="I282" s="50" t="s">
        <v>165</v>
      </c>
      <c r="J282" s="2"/>
      <c r="N282" s="55"/>
      <c r="O282" s="55" t="str">
        <f>INDEX(X_Table_Swine_Stage2MMS_From_DigesterCoveredLagoons,5,1)</f>
        <v>Direct application</v>
      </c>
      <c r="P282" s="50" t="s">
        <v>165</v>
      </c>
      <c r="Q282" s="50" t="s">
        <v>165</v>
      </c>
      <c r="R282" s="50" t="s">
        <v>165</v>
      </c>
      <c r="S282" s="50" t="s">
        <v>165</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165</v>
      </c>
      <c r="G286" s="50" t="s">
        <v>165</v>
      </c>
      <c r="H286" s="50" t="s">
        <v>165</v>
      </c>
      <c r="I286" s="50" t="s">
        <v>165</v>
      </c>
      <c r="J286" s="2"/>
      <c r="N286" s="55"/>
      <c r="O286" s="55" t="str">
        <f>INDEX(X_Table_Swine_Stage2MMS_From_DeepLitter,5,1)</f>
        <v>Direct application</v>
      </c>
      <c r="P286" s="50" t="s">
        <v>165</v>
      </c>
      <c r="Q286" s="50" t="s">
        <v>165</v>
      </c>
      <c r="R286" s="50" t="s">
        <v>165</v>
      </c>
      <c r="S286" s="50" t="s">
        <v>165</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165</v>
      </c>
      <c r="G290" s="50" t="s">
        <v>165</v>
      </c>
      <c r="H290" s="50" t="s">
        <v>165</v>
      </c>
      <c r="I290" s="50" t="s">
        <v>165</v>
      </c>
      <c r="J290" s="2"/>
      <c r="N290" s="55"/>
      <c r="O290" s="55" t="str">
        <f>INDEX(X_Table_Swine_Stage2MMS_From_PitStorage,5,1)</f>
        <v>Direct application</v>
      </c>
      <c r="P290" s="50" t="s">
        <v>165</v>
      </c>
      <c r="Q290" s="50" t="s">
        <v>165</v>
      </c>
      <c r="R290" s="50" t="s">
        <v>165</v>
      </c>
      <c r="S290" s="50" t="s">
        <v>165</v>
      </c>
      <c r="T290" s="2"/>
    </row>
    <row r="291" spans="1:20" ht="20.100000000000001" customHeight="1" x14ac:dyDescent="0.25">
      <c r="D291" s="55" t="s">
        <v>346</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346</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165</v>
      </c>
      <c r="G295" s="50" t="s">
        <v>165</v>
      </c>
      <c r="H295" s="50" t="s">
        <v>165</v>
      </c>
      <c r="I295" s="50" t="s">
        <v>165</v>
      </c>
      <c r="J295" s="2"/>
      <c r="N295" s="55"/>
      <c r="O295" s="55" t="str">
        <f>INDEX(X_Table_Swine_Stage2MMS_From_SolidStorage,6,1)</f>
        <v>Direct application</v>
      </c>
      <c r="P295" s="50" t="s">
        <v>165</v>
      </c>
      <c r="Q295" s="50" t="s">
        <v>165</v>
      </c>
      <c r="R295" s="50" t="s">
        <v>165</v>
      </c>
      <c r="S295" s="50" t="s">
        <v>165</v>
      </c>
      <c r="T295" s="2"/>
    </row>
    <row r="296" spans="1:20" ht="20.100000000000001" customHeight="1" x14ac:dyDescent="0.25"/>
    <row r="297" spans="1:20" ht="20.100000000000001" customHeight="1" x14ac:dyDescent="0.25">
      <c r="D297" s="97" t="s">
        <v>97</v>
      </c>
      <c r="E297" s="98">
        <f ca="1">SUM(F264:I295)</f>
        <v>7.4343140661428567E-2</v>
      </c>
      <c r="F297" s="99" t="str">
        <f>$E$252</f>
        <v>t N2O</v>
      </c>
      <c r="N297" s="97" t="s">
        <v>97</v>
      </c>
      <c r="O297" s="98">
        <f ca="1">SUM(P264:S295)</f>
        <v>7.4343140661428567E-2</v>
      </c>
      <c r="P297" s="99"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100"/>
      <c r="G299" s="50">
        <f ca="1">E297</f>
        <v>7.4343140661428567E-2</v>
      </c>
      <c r="N299" s="55" t="str" cm="1">
        <f t="array" ref="N299:O300">Common_Equations.Common_ConvertN2OToCO2e_Arguments()</f>
        <v>EN2O</v>
      </c>
      <c r="O299" s="56" t="str">
        <v>Nitrous oxide emissions (t N2O)</v>
      </c>
      <c r="P299" s="100"/>
      <c r="Q299" s="50">
        <f ca="1">O297</f>
        <v>7.4343140661428567E-2</v>
      </c>
    </row>
    <row r="300" spans="1:20" ht="20.100000000000001" customHeight="1" x14ac:dyDescent="0.25">
      <c r="D300" s="55" t="str">
        <v>GWPN2O</v>
      </c>
      <c r="E300" s="56" t="str">
        <v>Global warming potential for nitrous oxide (t CO2-e / t N2O)</v>
      </c>
      <c r="F300" s="100"/>
      <c r="G300" s="50">
        <f>Common_InputFunctions.Utility_LookupValueInTableNumber("N2O",Table_GWPData[Gas],Table_GWPData[CO2-e factor])</f>
        <v>265</v>
      </c>
      <c r="N300" s="55" t="str">
        <v>GWPN2O</v>
      </c>
      <c r="O300" s="56" t="str">
        <v>Global warming potential for nitrous oxide (t CO2-e / t N2O)</v>
      </c>
      <c r="P300" s="100"/>
      <c r="Q300" s="50">
        <f>Common_InputFunctions.Utility_LookupValueInTableNumber("N2O",Table_GWPData[Gas],Table_GWPData[CO2-e factor])</f>
        <v>265</v>
      </c>
    </row>
    <row r="301" spans="1:20" ht="20.100000000000001" customHeight="1" x14ac:dyDescent="0.25"/>
    <row r="302" spans="1:20" ht="20.100000000000001" customHeight="1" x14ac:dyDescent="0.25">
      <c r="A302" s="141" t="str">
        <f>HYPERLINK("#A1", "▲ Back to top")</f>
        <v>▲ Back to top</v>
      </c>
      <c r="D302" s="43" t="s">
        <v>94</v>
      </c>
      <c r="E302" s="43" cm="1">
        <f t="array" aca="1" ref="E302" ca="1">Common_Equations.Common_ConvertN2OToCO2e(G299,G300)</f>
        <v>19.700932275278571</v>
      </c>
      <c r="F302" s="101" t="str" cm="1">
        <f t="array" ref="F302">Common_Equations.Common_ConvertN2OToCO2e_Unit()</f>
        <v>t CO2e</v>
      </c>
      <c r="N302" s="43" t="s">
        <v>94</v>
      </c>
      <c r="O302" s="43" cm="1">
        <f t="array" aca="1" ref="O302" ca="1">Common_Equations.Common_ConvertN2OToCO2e(Q299,Q300)</f>
        <v>19.700932275278571</v>
      </c>
      <c r="P302" s="101"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6" t="str" cm="1">
        <f t="array" ref="G13:H14">Common_InputFunctions.Utility_DisplayArguments_3_4(MMS_Swine_AtmosphericDeposition_Equations.VEERG_4_5_1_5__2_TotalNitrogenVolatilisedFromMMS_Arguments())</f>
        <v>kg N</v>
      </c>
      <c r="H13" s="131" t="str">
        <v>Calculated from 4.5.1.3 (2)(6)</v>
      </c>
      <c r="I13" s="135" t="str" cm="1">
        <f t="array" aca="1" ref="I13" ca="1">HYPERLINK(Common_InputFunctions.Utility_SourceHyperlink(D19), D19)</f>
        <v>M1_Table_MN_j_m_T-1</v>
      </c>
      <c r="J13" s="135"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6" t="str">
        <v>(kg NH3-N + NOx-N)/kg N</v>
      </c>
      <c r="H14" s="131" t="str">
        <v>Constant</v>
      </c>
      <c r="I14" s="140" t="str" cm="1">
        <f t="array" aca="1" ref="I14" ca="1">HYPERLINK(Common_InputFunctions.Utility_SourceHyperlink(D59), D59)</f>
        <v>Table_FracGASM_m_t</v>
      </c>
      <c r="J14" s="139"/>
    </row>
    <row r="15" spans="1:21" ht="20.100000000000001" customHeight="1" x14ac:dyDescent="0.25">
      <c r="A15" s="17" t="str">
        <f>HYPERLINK("#'4.5.1.3-4 Direct N2O'!A1", "4.5.1.3-4 Direct N2O")</f>
        <v>4.5.1.3-4 Direct N2O</v>
      </c>
    </row>
    <row r="16" spans="1:21" ht="20.100000000000001" customHeight="1" x14ac:dyDescent="0.25">
      <c r="A16" s="147" t="str">
        <f>HYPERLINK("#'4.5.1.5-6 Atmos Dep'!A1", "4.5.1.5-6 Atmos Dep")</f>
        <v>4.5.1.5-6 Atmos Dep</v>
      </c>
      <c r="D16" s="128" t="s">
        <v>338</v>
      </c>
      <c r="E16" s="87"/>
      <c r="F16" s="87"/>
      <c r="G16" s="83"/>
    </row>
    <row r="17" spans="1:20" ht="20.100000000000001" customHeight="1" x14ac:dyDescent="0.25">
      <c r="A17" s="17" t="str">
        <f>HYPERLINK("#'4.5.1.7-8 Leaching and runoff'!A1", "4.5.1.7-8 Leaching and runoff")</f>
        <v>4.5.1.7-8 Leaching and runoff</v>
      </c>
      <c r="D17" s="89" t="s">
        <v>337</v>
      </c>
      <c r="E17" s="86"/>
      <c r="F17" s="86"/>
      <c r="G17" s="84"/>
    </row>
    <row r="18" spans="1:20" ht="20.100000000000001" customHeight="1" x14ac:dyDescent="0.25">
      <c r="A18" s="17" t="str">
        <f>HYPERLINK("#'4.5.1.9 Manure applied to soils'!A1", "4.5.1.9 Manure applied to soils")</f>
        <v>4.5.1.9 Manure applied to soils</v>
      </c>
    </row>
    <row r="19" spans="1:20" ht="20.100000000000001" customHeight="1" x14ac:dyDescent="0.25">
      <c r="D19" s="117" t="s">
        <v>236</v>
      </c>
      <c r="N19" s="117" t="s">
        <v>236</v>
      </c>
    </row>
    <row r="20" spans="1:20" ht="20.100000000000001" customHeight="1" x14ac:dyDescent="0.25">
      <c r="D20" s="118" t="s">
        <v>237</v>
      </c>
      <c r="N20" s="118" t="s">
        <v>237</v>
      </c>
    </row>
    <row r="21" spans="1:20" ht="20.100000000000001" customHeight="1" x14ac:dyDescent="0.25">
      <c r="A21" s="145" t="s">
        <v>1</v>
      </c>
      <c r="D21" s="49" t="s">
        <v>156</v>
      </c>
      <c r="E21" s="49" t="s">
        <v>135</v>
      </c>
      <c r="F21" s="49" t="s">
        <v>136</v>
      </c>
      <c r="G21" s="49" t="s">
        <v>137</v>
      </c>
      <c r="H21" s="49" t="s">
        <v>195</v>
      </c>
      <c r="N21" s="49" t="s">
        <v>156</v>
      </c>
      <c r="O21" s="49" t="s">
        <v>135</v>
      </c>
      <c r="P21" s="49" t="s">
        <v>136</v>
      </c>
      <c r="Q21" s="49" t="s">
        <v>137</v>
      </c>
      <c r="R21" s="49" t="s">
        <v>195</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Livestock'!A1", "Constants - Livestock")</f>
        <v>Constants -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346</v>
      </c>
      <c r="E27" s="50">
        <f ca="1">'4.5.1.3-4 Direct N2O'!E123</f>
        <v>671.60000000000014</v>
      </c>
      <c r="F27" s="50">
        <f ca="1">'4.5.1.3-4 Direct N2O'!F123</f>
        <v>715.40000000000032</v>
      </c>
      <c r="G27" s="50">
        <f ca="1">'4.5.1.3-4 Direct N2O'!G123</f>
        <v>671.60000000000014</v>
      </c>
      <c r="H27" s="50">
        <f ca="1">'4.5.1.3-4 Direct N2O'!H123</f>
        <v>455.52000000000015</v>
      </c>
      <c r="I27" s="2"/>
      <c r="N27" s="55" t="s">
        <v>346</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7" t="s">
        <v>247</v>
      </c>
      <c r="N29" s="117" t="s">
        <v>247</v>
      </c>
    </row>
    <row r="30" spans="1:20" ht="20.100000000000001" customHeight="1" x14ac:dyDescent="0.25">
      <c r="D30" s="118" t="s">
        <v>248</v>
      </c>
      <c r="N30" s="118" t="s">
        <v>248</v>
      </c>
    </row>
    <row r="31" spans="1:20" ht="20.100000000000001" customHeight="1" x14ac:dyDescent="0.25">
      <c r="D31" s="49" t="s">
        <v>156</v>
      </c>
      <c r="E31" s="49" t="s">
        <v>164</v>
      </c>
      <c r="F31" s="49" t="s">
        <v>135</v>
      </c>
      <c r="G31" s="49" t="s">
        <v>136</v>
      </c>
      <c r="H31" s="49" t="s">
        <v>137</v>
      </c>
      <c r="I31" s="49" t="s">
        <v>195</v>
      </c>
      <c r="N31" s="49" t="s">
        <v>156</v>
      </c>
      <c r="O31" s="49" t="s">
        <v>164</v>
      </c>
      <c r="P31" s="49" t="s">
        <v>135</v>
      </c>
      <c r="Q31" s="49" t="s">
        <v>136</v>
      </c>
      <c r="R31" s="49" t="s">
        <v>137</v>
      </c>
      <c r="S31" s="49" t="s">
        <v>195</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346</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346</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7" t="s">
        <v>296</v>
      </c>
    </row>
    <row r="60" spans="4:20" ht="20.100000000000001" customHeight="1" x14ac:dyDescent="0.25">
      <c r="D60" s="118" t="s">
        <v>297</v>
      </c>
    </row>
    <row r="61" spans="4:20" ht="20.100000000000001" customHeight="1" x14ac:dyDescent="0.25">
      <c r="D61" s="49" t="s">
        <v>156</v>
      </c>
      <c r="E61" s="49" t="s">
        <v>240</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346</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249</v>
      </c>
      <c r="N70" s="117" t="s">
        <v>249</v>
      </c>
    </row>
    <row r="71" spans="4:20" ht="20.100000000000001" customHeight="1" x14ac:dyDescent="0.25">
      <c r="D71" s="118" t="s">
        <v>250</v>
      </c>
      <c r="N71" s="118" t="s">
        <v>250</v>
      </c>
    </row>
    <row r="72" spans="4:20" ht="20.100000000000001" customHeight="1" x14ac:dyDescent="0.25">
      <c r="D72" s="49" t="s">
        <v>156</v>
      </c>
      <c r="E72" s="49" t="s">
        <v>164</v>
      </c>
      <c r="F72" s="49" t="s">
        <v>135</v>
      </c>
      <c r="G72" s="49" t="s">
        <v>136</v>
      </c>
      <c r="H72" s="49" t="s">
        <v>137</v>
      </c>
      <c r="I72" s="49" t="s">
        <v>195</v>
      </c>
      <c r="N72" s="49" t="s">
        <v>156</v>
      </c>
      <c r="O72" s="49" t="s">
        <v>164</v>
      </c>
      <c r="P72" s="49" t="s">
        <v>135</v>
      </c>
      <c r="Q72" s="49" t="s">
        <v>136</v>
      </c>
      <c r="R72" s="49" t="s">
        <v>137</v>
      </c>
      <c r="S72" s="49" t="s">
        <v>195</v>
      </c>
    </row>
    <row r="73" spans="4:20" ht="20.100000000000001" customHeight="1" x14ac:dyDescent="0.25">
      <c r="D73" s="55" t="str">
        <f>INDEX(X_Table_Swine_Stage1MMS_AnaerobicLagoon,2,1)</f>
        <v>Anaerobic lagoon</v>
      </c>
      <c r="E73" s="55" t="s">
        <v>165</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165</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165</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165</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165</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165</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165</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165</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165</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165</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346</v>
      </c>
      <c r="E78" s="55" t="s">
        <v>165</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346</v>
      </c>
      <c r="O78" s="55" t="s">
        <v>165</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165</v>
      </c>
      <c r="G82" s="50" t="s">
        <v>165</v>
      </c>
      <c r="H82" s="50" t="s">
        <v>165</v>
      </c>
      <c r="I82" s="50" t="s">
        <v>165</v>
      </c>
      <c r="N82" s="55"/>
      <c r="O82" s="55" t="str">
        <f>INDEX(X_Table_Swine_Stage2MMS_From_AnaerobicLagoon,5,1)</f>
        <v>Direct application</v>
      </c>
      <c r="P82" s="50" t="s">
        <v>165</v>
      </c>
      <c r="Q82" s="50" t="s">
        <v>165</v>
      </c>
      <c r="R82" s="50" t="s">
        <v>165</v>
      </c>
      <c r="S82" s="50" t="s">
        <v>165</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165</v>
      </c>
      <c r="G87" s="50" t="s">
        <v>165</v>
      </c>
      <c r="H87" s="50" t="s">
        <v>165</v>
      </c>
      <c r="I87" s="50" t="s">
        <v>165</v>
      </c>
      <c r="N87" s="55"/>
      <c r="O87" s="55" t="str">
        <f>INDEX(X_Table_Swine_Stage2MMS_From_Drylot,6,1)</f>
        <v>Direct application</v>
      </c>
      <c r="P87" s="50" t="s">
        <v>165</v>
      </c>
      <c r="Q87" s="50" t="s">
        <v>165</v>
      </c>
      <c r="R87" s="50" t="s">
        <v>165</v>
      </c>
      <c r="S87" s="50" t="s">
        <v>165</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165</v>
      </c>
      <c r="G91" s="50" t="s">
        <v>165</v>
      </c>
      <c r="H91" s="50" t="s">
        <v>165</v>
      </c>
      <c r="I91" s="50" t="s">
        <v>165</v>
      </c>
      <c r="N91" s="55"/>
      <c r="O91" s="55" t="str">
        <f>INDEX(X_Table_Swine_Stage2MMS_From_DigesterCoveredLagoons,5,1)</f>
        <v>Direct application</v>
      </c>
      <c r="P91" s="50" t="s">
        <v>165</v>
      </c>
      <c r="Q91" s="50" t="s">
        <v>165</v>
      </c>
      <c r="R91" s="50" t="s">
        <v>165</v>
      </c>
      <c r="S91" s="50" t="s">
        <v>165</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165</v>
      </c>
      <c r="G95" s="50" t="s">
        <v>165</v>
      </c>
      <c r="H95" s="50" t="s">
        <v>165</v>
      </c>
      <c r="I95" s="50" t="s">
        <v>165</v>
      </c>
      <c r="N95" s="55"/>
      <c r="O95" s="55" t="str">
        <f>INDEX(X_Table_Swine_Stage2MMS_From_DeepLitter,5,1)</f>
        <v>Direct application</v>
      </c>
      <c r="P95" s="50" t="s">
        <v>165</v>
      </c>
      <c r="Q95" s="50" t="s">
        <v>165</v>
      </c>
      <c r="R95" s="50" t="s">
        <v>165</v>
      </c>
      <c r="S95" s="50" t="s">
        <v>165</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165</v>
      </c>
      <c r="G99" s="50" t="s">
        <v>165</v>
      </c>
      <c r="H99" s="50" t="s">
        <v>165</v>
      </c>
      <c r="I99" s="50" t="s">
        <v>165</v>
      </c>
      <c r="N99" s="55"/>
      <c r="O99" s="55" t="str">
        <f>INDEX(X_Table_Swine_Stage2MMS_From_PitStorage,5,1)</f>
        <v>Direct application</v>
      </c>
      <c r="P99" s="50" t="s">
        <v>165</v>
      </c>
      <c r="Q99" s="50" t="s">
        <v>165</v>
      </c>
      <c r="R99" s="50" t="s">
        <v>165</v>
      </c>
      <c r="S99" s="50" t="s">
        <v>165</v>
      </c>
      <c r="T99" s="2"/>
    </row>
    <row r="100" spans="3:21" ht="20.100000000000001" customHeight="1" x14ac:dyDescent="0.25">
      <c r="D100" s="55" t="s">
        <v>346</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346</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165</v>
      </c>
      <c r="G104" s="50" t="s">
        <v>165</v>
      </c>
      <c r="H104" s="50" t="s">
        <v>165</v>
      </c>
      <c r="I104" s="50" t="s">
        <v>165</v>
      </c>
      <c r="N104" s="55"/>
      <c r="O104" s="55" t="str">
        <f>INDEX(X_Table_Swine_Stage2MMS_From_SolidStorage,6,1)</f>
        <v>Direct application</v>
      </c>
      <c r="P104" s="50" t="s">
        <v>165</v>
      </c>
      <c r="Q104" s="50" t="s">
        <v>165</v>
      </c>
      <c r="R104" s="50" t="s">
        <v>165</v>
      </c>
      <c r="S104" s="50" t="s">
        <v>165</v>
      </c>
      <c r="T104" s="2"/>
    </row>
    <row r="105" spans="3:21" ht="20.100000000000001" customHeight="1" x14ac:dyDescent="0.25"/>
    <row r="106" spans="3:21" ht="20.100000000000001" customHeight="1" x14ac:dyDescent="0.25">
      <c r="D106" s="109" t="s">
        <v>254</v>
      </c>
      <c r="E106" s="43">
        <f ca="1">SUM(F73:I104)</f>
        <v>2267.6728942500004</v>
      </c>
      <c r="F106" s="101" t="str">
        <f>$E$11</f>
        <v>kg N</v>
      </c>
      <c r="N106" s="109" t="s">
        <v>254</v>
      </c>
      <c r="O106" s="43">
        <f ca="1">SUM(P73:S104)</f>
        <v>2267.6728942500004</v>
      </c>
      <c r="P106" s="101"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6" t="str" cm="1">
        <f t="array" ref="G118:H123">Common_InputFunctions.Utility_DisplayArguments_3_4(MMS_Swine_AtmosphericDeposition_Equations.VEERG_4_5_1_5__1_AnnualAtmosphericDepositionEmissionsFromMMS_Arguments())</f>
        <v>kg N</v>
      </c>
      <c r="H118" s="131" t="str">
        <v>Calculated from 4.5.1.5 (2)</v>
      </c>
      <c r="I118" s="136">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6" t="str" cm="1">
        <f t="array" ref="Q118:R123">Common_InputFunctions.Utility_DisplayArguments_3_4(MMS_Swine_AtmosphericDeposition_Equations.VEERG_4_5_1_5__1_AnnualAtmosphericDepositionEmissionsFromMMS_Arguments())</f>
        <v>kg N</v>
      </c>
      <c r="R118" s="131"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6" t="str">
        <v>kg N2O-N/kg N</v>
      </c>
      <c r="H119" s="131" t="str">
        <v>Constant</v>
      </c>
      <c r="I119" s="136">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6" t="str">
        <v>kg N2O-N/kg N</v>
      </c>
      <c r="R119" s="131" t="str">
        <v>Constant</v>
      </c>
      <c r="S119" s="55"/>
    </row>
    <row r="120" spans="4:19" ht="20.100000000000001" customHeight="1" x14ac:dyDescent="0.25">
      <c r="D120" s="55" t="str">
        <v>C_N2O</v>
      </c>
      <c r="E120" s="56" t="str">
        <v>factor to convert elemental mass of N2O to molecular mass</v>
      </c>
      <c r="F120" s="57"/>
      <c r="G120" s="136" t="str">
        <v/>
      </c>
      <c r="H120" s="131" t="str">
        <v>Constant</v>
      </c>
      <c r="I120" s="136">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6" t="str">
        <v/>
      </c>
      <c r="R120" s="131" t="str">
        <v>Constant</v>
      </c>
      <c r="S120" s="55"/>
    </row>
    <row r="121" spans="4:19" ht="20.100000000000001" customHeight="1" x14ac:dyDescent="0.25">
      <c r="D121" s="55" t="str">
        <v>j</v>
      </c>
      <c r="E121" s="56" t="str">
        <v>production system</v>
      </c>
      <c r="F121" s="57"/>
      <c r="G121" s="136" t="str">
        <v/>
      </c>
      <c r="H121" s="132" t="str">
        <v>Input</v>
      </c>
      <c r="I121" s="136" t="str">
        <f>X_Cell_Swine_ManureAppliedProductionSystem</f>
        <v>Crop</v>
      </c>
      <c r="N121" s="55" t="str">
        <v>j</v>
      </c>
      <c r="O121" s="56" t="str">
        <v>production system</v>
      </c>
      <c r="P121" s="57"/>
      <c r="Q121" s="136" t="str">
        <v/>
      </c>
      <c r="R121" s="132" t="str">
        <v>Input</v>
      </c>
      <c r="S121" s="55"/>
    </row>
    <row r="122" spans="4:19" ht="20.100000000000001" customHeight="1" x14ac:dyDescent="0.25">
      <c r="D122" s="55" t="str">
        <v>ir</v>
      </c>
      <c r="E122" s="56" t="str">
        <v>irrigation method</v>
      </c>
      <c r="F122" s="57"/>
      <c r="G122" s="136" t="str">
        <v/>
      </c>
      <c r="H122" s="132" t="str">
        <v>Input</v>
      </c>
      <c r="I122" s="136" t="str">
        <f>X_Cell_Swine_ManureAppliedIrrigationMethod</f>
        <v>Sprinkler irrigation</v>
      </c>
      <c r="N122" s="55" t="str">
        <v>ir</v>
      </c>
      <c r="O122" s="56" t="str">
        <v>irrigation method</v>
      </c>
      <c r="P122" s="57"/>
      <c r="Q122" s="136" t="str">
        <v/>
      </c>
      <c r="R122" s="132" t="str">
        <v>Input</v>
      </c>
      <c r="S122" s="55"/>
    </row>
    <row r="123" spans="4:19" ht="20.100000000000001" customHeight="1" x14ac:dyDescent="0.25">
      <c r="D123" s="55" t="str">
        <v>r</v>
      </c>
      <c r="E123" s="56" t="str">
        <v>rainfall region</v>
      </c>
      <c r="F123" s="57"/>
      <c r="G123" s="136" t="str">
        <v/>
      </c>
      <c r="H123" s="132" t="str">
        <v>Input</v>
      </c>
      <c r="I123" s="136" t="str">
        <f>X_Cell_Site_RainfallZone</f>
        <v>High rainfall</v>
      </c>
      <c r="N123" s="55" t="str">
        <v>r</v>
      </c>
      <c r="O123" s="56" t="str">
        <v>rainfall region</v>
      </c>
      <c r="P123" s="57"/>
      <c r="Q123" s="136" t="str">
        <v/>
      </c>
      <c r="R123" s="132" t="str">
        <v>Input</v>
      </c>
      <c r="S123" s="55"/>
    </row>
    <row r="124" spans="4:19" ht="20.100000000000001" customHeight="1" x14ac:dyDescent="0.25"/>
    <row r="125" spans="4:19" ht="20.100000000000001" customHeight="1" x14ac:dyDescent="0.25">
      <c r="D125" s="97" t="s">
        <v>251</v>
      </c>
      <c r="E125" s="98" cm="1">
        <f t="array" aca="1" ref="E125" ca="1">MMS_Swine_AtmosphericDeposition_Equations.VEERG_4_5_1_5__1_AnnualAtmosphericDepositionEmissionsFromMMS(I118,I119,I120)</f>
        <v>2.4944401836750004E-2</v>
      </c>
      <c r="F125" s="99" t="str">
        <f>E116</f>
        <v>t N2O</v>
      </c>
      <c r="N125" s="97" t="s">
        <v>251</v>
      </c>
      <c r="O125" s="98" cm="1">
        <f t="array" aca="1" ref="O125" ca="1">MMS_Swine_AtmosphericDeposition_Equations.VEERG_4_5_1_5__1_AnnualAtmosphericDepositionEmissionsFromMMS(S118,I119,I120)</f>
        <v>2.4944401836750004E-2</v>
      </c>
      <c r="P125" s="99"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100"/>
      <c r="G127" s="50">
        <f ca="1">E125</f>
        <v>2.4944401836750004E-2</v>
      </c>
      <c r="N127" s="55" t="str" cm="1">
        <f t="array" ref="N127:O128">Common_Equations.Common_ConvertN2OToCO2e_Arguments()</f>
        <v>EN2O</v>
      </c>
      <c r="O127" s="56" t="str">
        <v>Nitrous oxide emissions (t N2O)</v>
      </c>
      <c r="P127" s="100"/>
      <c r="Q127" s="50">
        <f ca="1">O125</f>
        <v>2.4944401836750004E-2</v>
      </c>
    </row>
    <row r="128" spans="4:19" ht="20.100000000000001" customHeight="1" x14ac:dyDescent="0.25">
      <c r="D128" s="55" t="str">
        <v>GWPN2O</v>
      </c>
      <c r="E128" s="56" t="str">
        <v>Global warming potential for nitrous oxide (t CO2-e / t N2O)</v>
      </c>
      <c r="F128" s="100"/>
      <c r="G128" s="50">
        <f>Common_InputFunctions.Utility_LookupValueInTableNumber("N2O",Table_GWPData[Gas],Table_GWPData[CO2-e factor])</f>
        <v>265</v>
      </c>
      <c r="N128" s="55" t="str">
        <v>GWPN2O</v>
      </c>
      <c r="O128" s="56" t="str">
        <v>Global warming potential for nitrous oxide (t CO2-e / t N2O)</v>
      </c>
      <c r="P128" s="100"/>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94</v>
      </c>
      <c r="E130" s="43" cm="1">
        <f t="array" aca="1" ref="E130" ca="1">Common_Equations.Common_ConvertN2OToCO2e(G127,G128)</f>
        <v>6.6102664867387508</v>
      </c>
      <c r="F130" s="101" t="str" cm="1">
        <f t="array" ref="F130">Common_Equations.Common_ConvertN2OToCO2e_Unit()</f>
        <v>t CO2e</v>
      </c>
      <c r="N130" s="43" t="s">
        <v>94</v>
      </c>
      <c r="O130" s="43" cm="1">
        <f t="array" aca="1" ref="O130" ca="1">Common_Equations.Common_ConvertN2OToCO2e(Q127,Q128)</f>
        <v>6.6102664867387508</v>
      </c>
      <c r="P130" s="101"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1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279</v>
      </c>
      <c r="K1"/>
    </row>
    <row r="2" spans="1:19" s="9" customFormat="1" ht="20.100000000000001" customHeight="1" x14ac:dyDescent="0.25">
      <c r="A2"/>
      <c r="K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3" t="s">
        <v>266</v>
      </c>
    </row>
    <row r="11" spans="1:19" ht="20.100000000000001" customHeight="1" x14ac:dyDescent="0.25">
      <c r="D11" s="51" t="s">
        <v>16</v>
      </c>
      <c r="E11" s="52" t="str" cm="1">
        <f t="array" ref="E11">MMS_Swine_LeachingAndRunoff_Equations.VEERG_4_5_1_7__2_MassOfNitrogenLostToLeachingAndRunoffFromDrylotMMS_Unit()</f>
        <v>kg N</v>
      </c>
      <c r="F11" s="103" t="s">
        <v>271</v>
      </c>
    </row>
    <row r="12" spans="1:19" ht="20.100000000000001" customHeight="1" x14ac:dyDescent="0.25"/>
    <row r="13" spans="1:19" ht="20.100000000000001" customHeight="1" x14ac:dyDescent="0.25">
      <c r="A13" s="18" t="s">
        <v>71</v>
      </c>
      <c r="D13" s="136" t="str" cm="1">
        <f t="array" ref="D13:E18">Common_InputFunctions.Utility_DisplayArguments_1_2(MMS_Swine_LeachingAndRunoff_Equations.VEERG_4_5_1_7__2_MassOfNitrogenLostToLeachingAndRunoffFromDrylotMMS_Arguments())</f>
        <v>MN_jm5T1</v>
      </c>
      <c r="E13" s="138" t="str">
        <v>nitrogen in treatment stage 1 drylot MMS</v>
      </c>
      <c r="F13" s="137"/>
      <c r="G13" s="136" t="str" cm="1">
        <f t="array" ref="G13:H18">Common_InputFunctions.Utility_DisplayArguments_3_4(MMS_Swine_LeachingAndRunoff_Equations.VEERG_4_5_1_7__2_MassOfNitrogenLostToLeachingAndRunoffFromDrylotMMS_Arguments())</f>
        <v>kg N</v>
      </c>
      <c r="H13" s="131" t="str">
        <v>Calculated from 4.5.1.3 (2)</v>
      </c>
      <c r="I13" s="135" t="str" cm="1">
        <f t="array" aca="1" ref="I13" ca="1">HYPERLINK(Common_InputFunctions.Utility_SourceHyperlink(D20), D20)</f>
        <v>M1_Table_MN_j_m-5_T-1</v>
      </c>
    </row>
    <row r="14" spans="1:19" ht="20.100000000000001" customHeight="1" x14ac:dyDescent="0.25">
      <c r="A14" s="17" t="str">
        <f>HYPERLINK("#'4.5.1.1-2 Methane'!A1", "4.5.1.1-2 Methane")</f>
        <v>4.5.1.1-2 Methane</v>
      </c>
      <c r="D14" s="136" t="str">
        <v>FracWET</v>
      </c>
      <c r="E14" s="138" t="str">
        <v>fraction of N available for leaching and runoff</v>
      </c>
      <c r="F14" s="137"/>
      <c r="G14" s="136" t="str">
        <v>fraction</v>
      </c>
      <c r="H14" s="131" t="str">
        <v>Constant</v>
      </c>
      <c r="I14" s="136">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5">
      <c r="A15" s="17" t="str">
        <f>HYPERLINK("#'4.5.1.3-4 Direct N2O'!A1", "4.5.1.3-4 Direct N2O")</f>
        <v>4.5.1.3-4 Direct N2O</v>
      </c>
      <c r="D15" s="136" t="str">
        <v>FracLEACH_MS</v>
      </c>
      <c r="E15" s="138" t="str">
        <v>fraction of N lost through leaching and runoff</v>
      </c>
      <c r="F15" s="137"/>
      <c r="G15" s="136" t="str">
        <v>fraction</v>
      </c>
      <c r="H15" s="131" t="str">
        <v>Constant</v>
      </c>
      <c r="I15" s="136">
        <f>SourceData_Swine_FracLEACH_DrylotMMS_Data</f>
        <v>0.02</v>
      </c>
    </row>
    <row r="16" spans="1:19" ht="20.100000000000001" customHeight="1" x14ac:dyDescent="0.25">
      <c r="A16" s="17" t="str">
        <f>HYPERLINK("#'4.5.1.5-6 Atmos Dep'!A1", "4.5.1.5-6 Atmos Dep")</f>
        <v>4.5.1.5-6 Atmos Dep</v>
      </c>
      <c r="D16" s="136" t="str">
        <v>z</v>
      </c>
      <c r="E16" s="138" t="str">
        <v>location in leaching zone</v>
      </c>
      <c r="F16" s="137"/>
      <c r="G16" s="136" t="str">
        <v/>
      </c>
      <c r="H16" s="132" t="str">
        <v>Input</v>
      </c>
      <c r="I16" s="136" t="str">
        <f>X_Cell_Site_LeachingZone</f>
        <v>NO - Not in leaching zone</v>
      </c>
    </row>
    <row r="17" spans="1:19" ht="20.100000000000001" customHeight="1" x14ac:dyDescent="0.25">
      <c r="A17" s="147" t="str">
        <f>HYPERLINK("#'4.5.1.7-8 Leaching and runoff'!A1", "4.5.1.7-8 Leaching and runoff")</f>
        <v>4.5.1.7-8 Leaching and runoff</v>
      </c>
      <c r="D17" s="136" t="str">
        <v>j</v>
      </c>
      <c r="E17" s="138" t="str">
        <v>production system</v>
      </c>
      <c r="F17" s="137"/>
      <c r="G17" s="136" t="str">
        <v/>
      </c>
      <c r="H17" s="132" t="str">
        <v>Input</v>
      </c>
      <c r="I17" s="136" t="str">
        <f>X_Cell_Swine_ManureAppliedProductionSystem</f>
        <v>Crop</v>
      </c>
    </row>
    <row r="18" spans="1:19" ht="20.100000000000001" customHeight="1" x14ac:dyDescent="0.25">
      <c r="A18" s="17" t="str">
        <f>HYPERLINK("#'4.5.1.9 Manure applied to soils'!A1", "4.5.1.9 Manure applied to soils")</f>
        <v>4.5.1.9 Manure applied to soils</v>
      </c>
      <c r="D18" s="136" t="str">
        <v>ir</v>
      </c>
      <c r="E18" s="138" t="str">
        <v>irrigation method</v>
      </c>
      <c r="F18" s="137"/>
      <c r="G18" s="136" t="str">
        <v/>
      </c>
      <c r="H18" s="132" t="str">
        <v>Input</v>
      </c>
      <c r="I18" s="136" t="str">
        <f>X_Cell_Swine_ManureAppliedIrrigationMethod</f>
        <v>Sprinkler irrigation</v>
      </c>
    </row>
    <row r="19" spans="1:19" ht="20.100000000000001" customHeight="1" x14ac:dyDescent="0.25"/>
    <row r="20" spans="1:19" ht="20.100000000000001" customHeight="1" x14ac:dyDescent="0.25">
      <c r="D20" s="95" t="s">
        <v>267</v>
      </c>
      <c r="M20" s="95" t="s">
        <v>269</v>
      </c>
    </row>
    <row r="21" spans="1:19" ht="20.100000000000001" customHeight="1" x14ac:dyDescent="0.25">
      <c r="A21" s="145" t="s">
        <v>1</v>
      </c>
      <c r="D21" s="94" t="s">
        <v>268</v>
      </c>
      <c r="M21" s="94" t="s">
        <v>270</v>
      </c>
    </row>
    <row r="22" spans="1:19" ht="20.100000000000001" customHeight="1" x14ac:dyDescent="0.25">
      <c r="A22" s="17" t="str">
        <f>HYPERLINK("#'Constants - Swine'!A1", "Constants - Swine")</f>
        <v>Constants - Swine</v>
      </c>
      <c r="D22" s="49" t="s">
        <v>156</v>
      </c>
      <c r="E22" s="49" t="s">
        <v>135</v>
      </c>
      <c r="F22" s="49" t="s">
        <v>136</v>
      </c>
      <c r="G22" s="49" t="s">
        <v>137</v>
      </c>
      <c r="H22" s="49" t="s">
        <v>195</v>
      </c>
      <c r="M22" s="49" t="s">
        <v>156</v>
      </c>
      <c r="N22" s="49" t="s">
        <v>135</v>
      </c>
      <c r="O22" s="49" t="s">
        <v>136</v>
      </c>
      <c r="P22" s="49" t="s">
        <v>137</v>
      </c>
      <c r="Q22" s="49" t="s">
        <v>195</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95" t="s">
        <v>272</v>
      </c>
      <c r="M25" s="95" t="s">
        <v>272</v>
      </c>
    </row>
    <row r="26" spans="1:19" ht="20.100000000000001" customHeight="1" x14ac:dyDescent="0.25">
      <c r="A26" s="17" t="str">
        <f>HYPERLINK("#'Tab template'!A1", "Tab template")</f>
        <v>Tab template</v>
      </c>
      <c r="D26" s="94" t="s">
        <v>273</v>
      </c>
      <c r="M26" s="94" t="s">
        <v>273</v>
      </c>
    </row>
    <row r="27" spans="1:19" ht="20.100000000000001" customHeight="1" x14ac:dyDescent="0.25">
      <c r="D27" s="49" t="s">
        <v>156</v>
      </c>
      <c r="E27" s="49" t="s">
        <v>135</v>
      </c>
      <c r="F27" s="49" t="s">
        <v>136</v>
      </c>
      <c r="G27" s="49" t="s">
        <v>137</v>
      </c>
      <c r="H27" s="49" t="s">
        <v>195</v>
      </c>
      <c r="M27" s="49" t="s">
        <v>156</v>
      </c>
      <c r="N27" s="49" t="s">
        <v>135</v>
      </c>
      <c r="O27" s="49" t="s">
        <v>136</v>
      </c>
      <c r="P27" s="49" t="s">
        <v>137</v>
      </c>
      <c r="Q27" s="49" t="s">
        <v>195</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6" t="str" cm="1">
        <f t="array" ref="D40:E42">Common_InputFunctions.Utility_DisplayArguments_1_2(MMS_Swine_LeachingAndRunoff_Equations.VEERG_4_5_1_7__1_AnnualEmissionsFromLeachingAndRunoffFromMMS_Arguments())</f>
        <v>MNLeach_jm5</v>
      </c>
      <c r="E40" s="138" t="str">
        <v>mass of N lost through leaching and runoff from drylot MMS</v>
      </c>
      <c r="F40" s="137"/>
      <c r="G40" s="136" t="str" cm="1">
        <f t="array" ref="G40:H42">Common_InputFunctions.Utility_DisplayArguments_3_4(MMS_Swine_LeachingAndRunoff_Equations.VEERG_4_5_1_7__1_AnnualEmissionsFromLeachingAndRunoffFromMMS_Arguments())</f>
        <v>kg N</v>
      </c>
      <c r="H40" s="131" t="str">
        <v>Calculated from 4.5.1.7 (2)</v>
      </c>
      <c r="I40" s="135" t="str" cm="1">
        <f t="array" aca="1" ref="I40" ca="1">HYPERLINK(Common_InputFunctions.Utility_SourceHyperlink(D25), D25)</f>
        <v>M1_Table_MN_leach_j_m-5</v>
      </c>
    </row>
    <row r="41" spans="4:18" ht="20.100000000000001" customHeight="1" x14ac:dyDescent="0.25">
      <c r="D41" s="136" t="str">
        <v>EF_leach</v>
      </c>
      <c r="E41" s="138" t="str">
        <v>emission factor for leaching and runoff</v>
      </c>
      <c r="F41" s="137"/>
      <c r="G41" s="136" t="str">
        <v>kg N2O-N/kg N</v>
      </c>
      <c r="H41" s="131" t="str">
        <v>Constant</v>
      </c>
      <c r="I41" s="136">
        <f>'Constants - Common'!$E$170</f>
        <v>1.0999999999999999E-2</v>
      </c>
    </row>
    <row r="42" spans="4:18" ht="20.100000000000001" customHeight="1" x14ac:dyDescent="0.25">
      <c r="D42" s="136" t="str">
        <v>C_N2O</v>
      </c>
      <c r="E42" s="138" t="str">
        <v>factor to convert elemental mass of N2O to molecular mass</v>
      </c>
      <c r="F42" s="137"/>
      <c r="G42" s="136" t="str">
        <v/>
      </c>
      <c r="H42" s="131" t="str">
        <v>Constant</v>
      </c>
      <c r="I42" s="136">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5" t="s">
        <v>274</v>
      </c>
      <c r="M44" s="95" t="s">
        <v>277</v>
      </c>
    </row>
    <row r="45" spans="4:18" ht="20.100000000000001" customHeight="1" x14ac:dyDescent="0.25">
      <c r="D45" s="94" t="s">
        <v>275</v>
      </c>
      <c r="M45" s="94" t="s">
        <v>278</v>
      </c>
    </row>
    <row r="46" spans="4:18" ht="20.100000000000001" customHeight="1" x14ac:dyDescent="0.25">
      <c r="D46" s="49" t="s">
        <v>156</v>
      </c>
      <c r="E46" s="49" t="s">
        <v>135</v>
      </c>
      <c r="F46" s="49" t="s">
        <v>136</v>
      </c>
      <c r="G46" s="49" t="s">
        <v>137</v>
      </c>
      <c r="H46" s="49" t="s">
        <v>195</v>
      </c>
      <c r="M46" s="49" t="s">
        <v>156</v>
      </c>
      <c r="N46" s="49" t="s">
        <v>135</v>
      </c>
      <c r="O46" s="49" t="s">
        <v>136</v>
      </c>
      <c r="P46" s="49" t="s">
        <v>137</v>
      </c>
      <c r="Q46" s="49" t="s">
        <v>195</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7" t="s">
        <v>276</v>
      </c>
      <c r="E49" s="98">
        <f ca="1">SUM(E47:H47)</f>
        <v>2.6075015999999998E-4</v>
      </c>
      <c r="F49" s="99" t="str">
        <f>$E$38</f>
        <v>t N2O</v>
      </c>
      <c r="M49" s="97" t="s">
        <v>276</v>
      </c>
      <c r="N49" s="98">
        <f ca="1">SUM(N47:Q47)</f>
        <v>2.6075015999999998E-4</v>
      </c>
      <c r="O49" s="99"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100"/>
      <c r="G51" s="50">
        <f ca="1">E49</f>
        <v>2.6075015999999998E-4</v>
      </c>
      <c r="M51" s="55" t="str" cm="1">
        <f t="array" ref="M51:N52">Common_Equations.Common_ConvertN2OToCO2e_Arguments()</f>
        <v>EN2O</v>
      </c>
      <c r="N51" s="56" t="str">
        <v>Nitrous oxide emissions (t N2O)</v>
      </c>
      <c r="O51" s="100"/>
      <c r="P51" s="50">
        <f ca="1">N49</f>
        <v>2.6075015999999998E-4</v>
      </c>
    </row>
    <row r="52" spans="4:16" ht="20.100000000000001" customHeight="1" x14ac:dyDescent="0.25">
      <c r="D52" s="55" t="str">
        <v>GWPN2O</v>
      </c>
      <c r="E52" s="56" t="str">
        <v>Global warming potential for nitrous oxide (t CO2-e / t N2O)</v>
      </c>
      <c r="F52" s="100"/>
      <c r="G52" s="50">
        <f>Common_InputFunctions.Utility_LookupValueInTableNumber("N2O",Table_GWPData[Gas],Table_GWPData[CO2-e factor])</f>
        <v>265</v>
      </c>
      <c r="M52" s="55" t="str">
        <v>GWPN2O</v>
      </c>
      <c r="N52" s="56" t="str">
        <v>Global warming potential for nitrous oxide (t CO2-e / t N2O)</v>
      </c>
      <c r="O52" s="100"/>
      <c r="P52" s="50">
        <f>Common_InputFunctions.Utility_LookupValueInTableNumber("N2O",Table_GWPData[Gas],Table_GWPData[CO2-e factor])</f>
        <v>265</v>
      </c>
    </row>
    <row r="53" spans="4:16" ht="20.100000000000001" customHeight="1" x14ac:dyDescent="0.25"/>
    <row r="54" spans="4:16" ht="20.100000000000001" customHeight="1" x14ac:dyDescent="0.25">
      <c r="D54" s="43" t="s">
        <v>94</v>
      </c>
      <c r="E54" s="43" cm="1">
        <f t="array" aca="1" ref="E54" ca="1">Common_Equations.Common_ConvertN2OToCO2e(G51,G52)</f>
        <v>6.9098792399999998E-2</v>
      </c>
      <c r="F54" s="101" t="str" cm="1">
        <f t="array" ref="F54">Common_Equations.Common_ConvertN2OToCO2e_Unit()</f>
        <v>t CO2e</v>
      </c>
      <c r="M54" s="43" t="s">
        <v>94</v>
      </c>
      <c r="N54" s="43" cm="1">
        <f t="array" aca="1" ref="N54" ca="1">Common_Equations.Common_ConvertN2OToCO2e(P51,P52)</f>
        <v>6.9098792399999998E-2</v>
      </c>
      <c r="O54" s="101"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281</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3" t="s">
        <v>283</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282</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6"/>
      <c r="G13" s="57" t="str" cm="1">
        <f t="array" ref="G13:H17">Common_InputFunctions.Utility_DisplayArguments_3_4(MMS_Swine_ManureAppliedToSoils_Equations.VEERG_4_5_1_9__1_MassOfNitrogenAppliedToSoilsScope1_Arguments())</f>
        <v>kg N</v>
      </c>
      <c r="H13" s="131" t="str">
        <v>Calculated from 4.5.1.3 (6)</v>
      </c>
      <c r="I13" s="133"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6"/>
      <c r="G14" s="57" t="str">
        <v>kg N2O-N/kg N</v>
      </c>
      <c r="H14" s="131" t="str">
        <v>Constant</v>
      </c>
      <c r="I14" s="133"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6"/>
      <c r="G15" s="57" t="str">
        <v>(kg NH3-N + NOx-N)/kg N</v>
      </c>
      <c r="H15" s="131" t="str">
        <v>Constant</v>
      </c>
      <c r="I15" s="133"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6"/>
      <c r="G16" s="57" t="str">
        <v>kg N</v>
      </c>
      <c r="H16" s="131" t="str">
        <v>Calculated from 4.5.1.7 (2)</v>
      </c>
      <c r="I16" s="133"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6"/>
      <c r="G17" s="57" t="str">
        <v>fraction</v>
      </c>
      <c r="H17" s="132" t="str">
        <v>Input</v>
      </c>
      <c r="I17" s="133" t="str" cm="1">
        <f t="array" aca="1" ref="I17" ca="1">HYPERLINK(Common_InputFunctions.Utility_SourceHyperlink(D79), D79)</f>
        <v>M1_Table_PF</v>
      </c>
    </row>
    <row r="18" spans="1:20" ht="20.100000000000001" customHeight="1" x14ac:dyDescent="0.25">
      <c r="A18" s="147" t="str">
        <f>HYPERLINK("#'4.5.1.9 Manure applied to soils'!A1", "4.5.1.9 Manure applied to soils")</f>
        <v>4.5.1.9 Manure applied to soils</v>
      </c>
    </row>
    <row r="19" spans="1:20" ht="20.100000000000001" customHeight="1" x14ac:dyDescent="0.25">
      <c r="D19" s="117" t="s">
        <v>247</v>
      </c>
      <c r="N19" s="117" t="s">
        <v>303</v>
      </c>
    </row>
    <row r="20" spans="1:20" ht="20.100000000000001" customHeight="1" x14ac:dyDescent="0.25">
      <c r="D20" s="118" t="s">
        <v>248</v>
      </c>
      <c r="N20" s="118" t="s">
        <v>304</v>
      </c>
    </row>
    <row r="21" spans="1:20" ht="20.100000000000001" customHeight="1" x14ac:dyDescent="0.25">
      <c r="A21" s="145" t="s">
        <v>1</v>
      </c>
      <c r="D21" s="49" t="s">
        <v>156</v>
      </c>
      <c r="E21" s="49" t="s">
        <v>164</v>
      </c>
      <c r="F21" s="49" t="s">
        <v>135</v>
      </c>
      <c r="G21" s="49" t="s">
        <v>136</v>
      </c>
      <c r="H21" s="49" t="s">
        <v>137</v>
      </c>
      <c r="I21" s="49" t="s">
        <v>195</v>
      </c>
      <c r="N21" s="49" t="s">
        <v>156</v>
      </c>
      <c r="O21" s="49" t="s">
        <v>164</v>
      </c>
      <c r="P21" s="49" t="s">
        <v>135</v>
      </c>
      <c r="Q21" s="49" t="s">
        <v>136</v>
      </c>
      <c r="R21" s="49" t="s">
        <v>137</v>
      </c>
      <c r="S21" s="49" t="s">
        <v>195</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Livestock'!A1", "Constants - Livestock")</f>
        <v>Constants -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346</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346</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7" t="s">
        <v>272</v>
      </c>
      <c r="N49" s="117" t="s">
        <v>272</v>
      </c>
    </row>
    <row r="50" spans="4:20" ht="20.100000000000001" customHeight="1" x14ac:dyDescent="0.25">
      <c r="D50" s="118" t="s">
        <v>292</v>
      </c>
      <c r="N50" s="118" t="s">
        <v>292</v>
      </c>
    </row>
    <row r="51" spans="4:20" ht="20.100000000000001" customHeight="1" x14ac:dyDescent="0.25">
      <c r="D51" s="49" t="s">
        <v>156</v>
      </c>
      <c r="E51" s="49" t="s">
        <v>164</v>
      </c>
      <c r="F51" s="49" t="s">
        <v>135</v>
      </c>
      <c r="G51" s="49" t="s">
        <v>136</v>
      </c>
      <c r="H51" s="49" t="s">
        <v>137</v>
      </c>
      <c r="I51" s="49" t="s">
        <v>195</v>
      </c>
      <c r="N51" s="49" t="s">
        <v>156</v>
      </c>
      <c r="O51" s="49" t="s">
        <v>164</v>
      </c>
      <c r="P51" s="49" t="s">
        <v>135</v>
      </c>
      <c r="Q51" s="49" t="s">
        <v>136</v>
      </c>
      <c r="R51" s="49" t="s">
        <v>137</v>
      </c>
      <c r="S51" s="49" t="s">
        <v>195</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346</v>
      </c>
      <c r="E73" s="55" t="str">
        <f>INDEX(X_Table_Swine_Stage2MMS_From_SolidStorage,2,1)</f>
        <v>Anaerobic lagoon</v>
      </c>
      <c r="F73" s="50">
        <v>0</v>
      </c>
      <c r="G73" s="50">
        <v>0</v>
      </c>
      <c r="H73" s="50">
        <v>0</v>
      </c>
      <c r="I73" s="50">
        <v>0</v>
      </c>
      <c r="J73" s="2"/>
      <c r="N73" s="55" t="s">
        <v>346</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7" t="s">
        <v>293</v>
      </c>
    </row>
    <row r="80" spans="4:20" ht="20.100000000000001" customHeight="1" x14ac:dyDescent="0.25">
      <c r="D80" s="118" t="s">
        <v>294</v>
      </c>
    </row>
    <row r="81" spans="4:7" ht="20.100000000000001" customHeight="1" x14ac:dyDescent="0.25">
      <c r="D81" s="115" t="s">
        <v>156</v>
      </c>
      <c r="E81" s="115" t="s">
        <v>164</v>
      </c>
      <c r="F81" s="115" t="s">
        <v>295</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346</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7" t="s">
        <v>296</v>
      </c>
    </row>
    <row r="110" spans="4:7" ht="20.100000000000001" customHeight="1" x14ac:dyDescent="0.25">
      <c r="D110" s="118" t="s">
        <v>297</v>
      </c>
    </row>
    <row r="111" spans="4:7" ht="20.100000000000001" customHeight="1" x14ac:dyDescent="0.25">
      <c r="D111" s="49" t="s">
        <v>156</v>
      </c>
      <c r="E111" s="49" t="s">
        <v>240</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346</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298</v>
      </c>
    </row>
    <row r="121" spans="4:6" ht="20.100000000000001" customHeight="1" x14ac:dyDescent="0.25">
      <c r="D121" s="118" t="s">
        <v>299</v>
      </c>
    </row>
    <row r="122" spans="4:6" ht="20.100000000000001" customHeight="1" x14ac:dyDescent="0.25">
      <c r="D122" s="49" t="s">
        <v>64</v>
      </c>
      <c r="E122" s="49" t="s">
        <v>243</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346</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300</v>
      </c>
      <c r="N131" s="117" t="s">
        <v>300</v>
      </c>
    </row>
    <row r="132" spans="4:20" ht="20.100000000000001" customHeight="1" x14ac:dyDescent="0.25">
      <c r="D132" s="118" t="s">
        <v>301</v>
      </c>
      <c r="N132" s="118" t="s">
        <v>301</v>
      </c>
    </row>
    <row r="133" spans="4:20" ht="20.100000000000001" customHeight="1" x14ac:dyDescent="0.25">
      <c r="D133" s="49" t="s">
        <v>156</v>
      </c>
      <c r="E133" s="49" t="s">
        <v>164</v>
      </c>
      <c r="F133" s="49" t="s">
        <v>135</v>
      </c>
      <c r="G133" s="49" t="s">
        <v>136</v>
      </c>
      <c r="H133" s="49" t="s">
        <v>137</v>
      </c>
      <c r="I133" s="49" t="s">
        <v>195</v>
      </c>
      <c r="N133" s="49" t="s">
        <v>156</v>
      </c>
      <c r="O133" s="49" t="s">
        <v>164</v>
      </c>
      <c r="P133" s="49" t="s">
        <v>135</v>
      </c>
      <c r="Q133" s="49" t="s">
        <v>136</v>
      </c>
      <c r="R133" s="49" t="s">
        <v>137</v>
      </c>
      <c r="S133" s="49" t="s">
        <v>195</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346</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346</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7" t="s">
        <v>302</v>
      </c>
      <c r="E161" s="98">
        <f ca="1">SUM(F134:I159)</f>
        <v>3256.7704915650011</v>
      </c>
      <c r="F161" s="99" t="str">
        <f>$E$11</f>
        <v>kg N</v>
      </c>
      <c r="N161" s="97" t="s">
        <v>302</v>
      </c>
      <c r="O161" s="98">
        <f ca="1">SUM(P134:S159)</f>
        <v>3256.7704915650011</v>
      </c>
      <c r="P161" s="99" t="str">
        <f>$E$11</f>
        <v>kg N</v>
      </c>
    </row>
    <row r="162" spans="1:21" ht="20.100000000000001" customHeight="1" x14ac:dyDescent="0.25"/>
    <row r="163" spans="1:21" ht="20.100000000000001" customHeight="1" x14ac:dyDescent="0.25">
      <c r="A163" s="141"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6" t="str" cm="1">
        <f t="array" ref="D173:E177">Common_InputFunctions.Utility_DisplayArguments_1_2(MMS_Swine_ManureAppliedToSoils_Equations.VEERG_4_5_1_9__2_MassOfNitrogenAppliedToSoilsScope3_Arguments())</f>
        <v>MN_jmT2</v>
      </c>
      <c r="E173" s="138" t="str">
        <v>mass of N in MMS at treatment stage 2</v>
      </c>
      <c r="F173" s="137"/>
      <c r="G173" s="136" t="str" cm="1">
        <f t="array" ref="G173:H177">Common_InputFunctions.Utility_DisplayArguments_3_4(MMS_Swine_ManureAppliedToSoils_Equations.VEERG_4_5_1_9__2_MassOfNitrogenAppliedToSoilsScope3_Arguments())</f>
        <v>kg N</v>
      </c>
      <c r="H173" s="131" t="str">
        <v>Calculated from 4.5.1.3 (6)</v>
      </c>
      <c r="I173" s="135" t="str" cm="1">
        <f t="array" aca="1" ref="I173" ca="1">HYPERLINK(Common_InputFunctions.Utility_SourceHyperlink(D19), D19)</f>
        <v>M1_Table_MN_j_m_T-2</v>
      </c>
    </row>
    <row r="174" spans="1:21" ht="20.100000000000001" customHeight="1" x14ac:dyDescent="0.25">
      <c r="D174" s="136" t="str">
        <v>EF_mT2</v>
      </c>
      <c r="E174" s="138" t="str">
        <v>nitrous oxide emission factor for each MMS at treatment stage 2</v>
      </c>
      <c r="F174" s="137"/>
      <c r="G174" s="136" t="str">
        <v>kg N2O-N/kg N</v>
      </c>
      <c r="H174" s="131" t="str">
        <v>Constant</v>
      </c>
      <c r="I174" s="135" t="str" cm="1">
        <f t="array" aca="1" ref="I174" ca="1">HYPERLINK(Common_InputFunctions.Utility_SourceHyperlink(D120), D120)</f>
        <v>Table_EF_m_T</v>
      </c>
    </row>
    <row r="175" spans="1:21" ht="20.100000000000001" customHeight="1" x14ac:dyDescent="0.25">
      <c r="D175" s="136" t="str">
        <v>FracGASM_mT2</v>
      </c>
      <c r="E175" s="138" t="str">
        <v>fraction of animal waste N volatilised in each MMS at treatment stage 2</v>
      </c>
      <c r="F175" s="137"/>
      <c r="G175" s="136" t="str">
        <v>(kg NH3-N + NOx-N)/kg N</v>
      </c>
      <c r="H175" s="131" t="str">
        <v>Constant</v>
      </c>
      <c r="I175" s="135" t="str" cm="1">
        <f t="array" aca="1" ref="I175" ca="1">HYPERLINK(Common_InputFunctions.Utility_SourceHyperlink(D109), D109)</f>
        <v>Table_FracGASM_m_t</v>
      </c>
    </row>
    <row r="176" spans="1:21" ht="20.100000000000001" customHeight="1" x14ac:dyDescent="0.25">
      <c r="D176" s="136" t="str">
        <v>MNLeach_jm5</v>
      </c>
      <c r="E176" s="138" t="str">
        <v>mass of N lost to leaching and runoff from drylot MMS</v>
      </c>
      <c r="F176" s="137"/>
      <c r="G176" s="136" t="str">
        <v>kg N</v>
      </c>
      <c r="H176" s="131" t="str">
        <v>Calculated from 4.5.1.7 (2)</v>
      </c>
      <c r="I176" s="135" t="str" cm="1">
        <f t="array" aca="1" ref="I176" ca="1">HYPERLINK(Common_InputFunctions.Utility_SourceHyperlink(D49), D49)</f>
        <v>M1_Table_MN_leach_j_m-5</v>
      </c>
    </row>
    <row r="177" spans="4:20" ht="20.100000000000001" customHeight="1" x14ac:dyDescent="0.25">
      <c r="D177" s="136" t="str">
        <v>PF</v>
      </c>
      <c r="E177" s="138" t="str">
        <v>fraction of manure applied to soil within the piggery boundary</v>
      </c>
      <c r="F177" s="137"/>
      <c r="G177" s="136" t="str">
        <v>fraction</v>
      </c>
      <c r="H177" s="132" t="str">
        <v>Input</v>
      </c>
      <c r="I177" s="135" t="str" cm="1">
        <f t="array" aca="1" ref="I177" ca="1">HYPERLINK(Common_InputFunctions.Utility_SourceHyperlink(D79), D79)</f>
        <v>M1_Table_PF</v>
      </c>
    </row>
    <row r="178" spans="4:20" ht="20.100000000000001" customHeight="1" x14ac:dyDescent="0.25"/>
    <row r="179" spans="4:20" ht="20.100000000000001" customHeight="1" x14ac:dyDescent="0.25">
      <c r="D179" s="117" t="s">
        <v>305</v>
      </c>
      <c r="N179" s="117" t="s">
        <v>305</v>
      </c>
    </row>
    <row r="180" spans="4:20" ht="20.100000000000001" customHeight="1" x14ac:dyDescent="0.25">
      <c r="D180" s="118" t="s">
        <v>306</v>
      </c>
      <c r="N180" s="118" t="s">
        <v>306</v>
      </c>
    </row>
    <row r="181" spans="4:20" ht="20.100000000000001" customHeight="1" x14ac:dyDescent="0.25">
      <c r="D181" s="49" t="s">
        <v>156</v>
      </c>
      <c r="E181" s="49" t="s">
        <v>164</v>
      </c>
      <c r="F181" s="49" t="s">
        <v>135</v>
      </c>
      <c r="G181" s="49" t="s">
        <v>136</v>
      </c>
      <c r="H181" s="49" t="s">
        <v>137</v>
      </c>
      <c r="I181" s="49" t="s">
        <v>195</v>
      </c>
      <c r="N181" s="49" t="s">
        <v>156</v>
      </c>
      <c r="O181" s="49" t="s">
        <v>164</v>
      </c>
      <c r="P181" s="49" t="s">
        <v>135</v>
      </c>
      <c r="Q181" s="49" t="s">
        <v>136</v>
      </c>
      <c r="R181" s="49" t="s">
        <v>137</v>
      </c>
      <c r="S181" s="49" t="s">
        <v>195</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346</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346</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7" t="s">
        <v>307</v>
      </c>
      <c r="E209" s="98">
        <f ca="1">SUM(F182:I207)</f>
        <v>653.20846285499988</v>
      </c>
      <c r="F209" s="99" t="str">
        <f>$E$11</f>
        <v>kg N</v>
      </c>
      <c r="N209" s="97" t="s">
        <v>307</v>
      </c>
      <c r="O209" s="98">
        <f ca="1">SUM(P182:S207)</f>
        <v>653.20846285499988</v>
      </c>
      <c r="P209" s="99" t="str">
        <f>$E$11</f>
        <v>kg N</v>
      </c>
    </row>
    <row r="210" spans="1:21" ht="20.100000000000001" customHeight="1" x14ac:dyDescent="0.25"/>
    <row r="211" spans="1:21" ht="20.100000000000001" customHeight="1" x14ac:dyDescent="0.25">
      <c r="A211" s="141"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8" t="str">
        <f>"Below are applications of " &amp; D110 &amp; " that are applied to the following contexts:"</f>
        <v>Below are applications of Fraction of N volatilised from MMS that are applied to the following contexts:</v>
      </c>
      <c r="E213" s="87"/>
      <c r="F213" s="87"/>
      <c r="G213" s="87"/>
      <c r="H213" s="83"/>
    </row>
    <row r="214" spans="1:21" ht="20.100000000000001" customHeight="1" x14ac:dyDescent="0.25">
      <c r="D214" s="89" t="s">
        <v>308</v>
      </c>
      <c r="E214" s="86"/>
      <c r="F214" s="86"/>
      <c r="G214" s="86"/>
      <c r="H214" s="84"/>
    </row>
    <row r="215" spans="1:21" ht="20.100000000000001" customHeight="1" x14ac:dyDescent="0.25"/>
    <row r="216" spans="1:21" ht="20.100000000000001" customHeight="1" x14ac:dyDescent="0.25">
      <c r="D216" s="6" t="s">
        <v>309</v>
      </c>
    </row>
    <row r="217" spans="1:21" ht="20.100000000000001" customHeight="1" x14ac:dyDescent="0.25"/>
    <row r="218" spans="1:21" ht="20.100000000000001" customHeight="1" x14ac:dyDescent="0.25">
      <c r="D218" s="117" t="s">
        <v>310</v>
      </c>
    </row>
    <row r="219" spans="1:21" ht="20.100000000000001" customHeight="1" x14ac:dyDescent="0.25">
      <c r="D219" s="118" t="s">
        <v>311</v>
      </c>
    </row>
    <row r="220" spans="1:21" ht="20.100000000000001" customHeight="1" x14ac:dyDescent="0.25">
      <c r="D220" s="49" t="s">
        <v>156</v>
      </c>
      <c r="E220" s="49" t="s">
        <v>164</v>
      </c>
      <c r="F220" s="49" t="s">
        <v>312</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115</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346</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41" t="str">
        <f>HYPERLINK("#A1", "▲ Back to top")</f>
        <v>▲ Back to top</v>
      </c>
    </row>
    <row r="248" spans="1:20" ht="20.100000000000001" customHeight="1" x14ac:dyDescent="0.25">
      <c r="D248" s="117" t="s">
        <v>313</v>
      </c>
      <c r="N248" s="117" t="s">
        <v>315</v>
      </c>
    </row>
    <row r="249" spans="1:20" ht="20.100000000000001" customHeight="1" x14ac:dyDescent="0.25">
      <c r="D249" s="118" t="s">
        <v>316</v>
      </c>
      <c r="N249" s="118" t="s">
        <v>317</v>
      </c>
    </row>
    <row r="250" spans="1:20" ht="20.100000000000001" customHeight="1" x14ac:dyDescent="0.25">
      <c r="D250" s="49" t="s">
        <v>156</v>
      </c>
      <c r="E250" s="49" t="s">
        <v>164</v>
      </c>
      <c r="F250" s="49" t="s">
        <v>135</v>
      </c>
      <c r="G250" s="49" t="s">
        <v>136</v>
      </c>
      <c r="H250" s="49" t="s">
        <v>137</v>
      </c>
      <c r="I250" s="49" t="s">
        <v>195</v>
      </c>
      <c r="N250" s="49" t="s">
        <v>156</v>
      </c>
      <c r="O250" s="49" t="s">
        <v>164</v>
      </c>
      <c r="P250" s="49" t="s">
        <v>135</v>
      </c>
      <c r="Q250" s="49" t="s">
        <v>136</v>
      </c>
      <c r="R250" s="49" t="s">
        <v>137</v>
      </c>
      <c r="S250" s="49" t="s">
        <v>195</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346</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346</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1" t="str">
        <f>HYPERLINK("#A1", "▲ Back to top")</f>
        <v>▲ Back to top</v>
      </c>
      <c r="D278" s="97" t="s">
        <v>314</v>
      </c>
      <c r="E278" s="98">
        <f ca="1">SUM(F251:I276)</f>
        <v>653.20846285499988</v>
      </c>
      <c r="F278" s="99" t="str">
        <f>$E$11</f>
        <v>kg N</v>
      </c>
      <c r="N278" s="97" t="s">
        <v>314</v>
      </c>
      <c r="O278" s="98">
        <f ca="1">SUM(P251:S276)</f>
        <v>653.20846285499988</v>
      </c>
      <c r="P278" s="99"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2" zoomScaleNormal="100" workbookViewId="0">
      <selection activeCell="G121" sqref="G1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253</v>
      </c>
      <c r="G6" s="6" t="s">
        <v>104</v>
      </c>
      <c r="M6" s="1"/>
    </row>
    <row r="7" spans="1:21" ht="20.100000000000001" customHeight="1" x14ac:dyDescent="0.25">
      <c r="M7" s="1"/>
    </row>
    <row r="8" spans="1:21" ht="20.100000000000001" customHeight="1" x14ac:dyDescent="0.25">
      <c r="A8" s="19" t="s">
        <v>0</v>
      </c>
      <c r="D8" s="36" t="s">
        <v>103</v>
      </c>
      <c r="G8" s="36" t="s">
        <v>102</v>
      </c>
      <c r="M8" s="1"/>
    </row>
    <row r="9" spans="1:21" ht="20.100000000000001" customHeight="1" x14ac:dyDescent="0.25">
      <c r="A9" s="17" t="str">
        <f>HYPERLINK("#'Input - Site'!A1", "Site")</f>
        <v>Site</v>
      </c>
      <c r="D9" s="36" t="s">
        <v>335</v>
      </c>
      <c r="G9" s="36" t="s">
        <v>105</v>
      </c>
      <c r="M9" s="1"/>
    </row>
    <row r="10" spans="1:21" ht="20.100000000000001" customHeight="1" x14ac:dyDescent="0.25">
      <c r="A10" s="17" t="str">
        <f>HYPERLINK("#'Input - Swine'!A1", "Swine")</f>
        <v>Swine</v>
      </c>
      <c r="D10" s="1" t="s">
        <v>130</v>
      </c>
      <c r="G10" s="36" t="s">
        <v>106</v>
      </c>
      <c r="M10" s="1"/>
    </row>
    <row r="11" spans="1:21" ht="20.100000000000001" customHeight="1" x14ac:dyDescent="0.25">
      <c r="G11" s="1" t="s">
        <v>107</v>
      </c>
      <c r="M11" s="1"/>
    </row>
    <row r="12" spans="1:21" ht="20.100000000000001" customHeight="1" x14ac:dyDescent="0.25">
      <c r="G12" s="1" t="s">
        <v>108</v>
      </c>
      <c r="M12" s="1"/>
    </row>
    <row r="13" spans="1:21" ht="20.100000000000001" customHeight="1" x14ac:dyDescent="0.25">
      <c r="A13" s="18" t="s">
        <v>71</v>
      </c>
      <c r="G13" s="1" t="s">
        <v>109</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5"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8"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Livestock'!A1", "Constants - Livestock")</f>
        <v>Constants - Livestock</v>
      </c>
      <c r="D24" s="6" t="str" cm="1">
        <f t="array" ref="D24">SourceData_Swine.SourceData_Swine_MMS_MCFs_Title()</f>
        <v>Methane conversion factor for temperature zone and manure management system.</v>
      </c>
      <c r="H24" s="103" t="s">
        <v>144</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3" t="s">
        <v>145</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77</v>
      </c>
      <c r="F28" s="36" t="s">
        <v>76</v>
      </c>
      <c r="G28" s="36" t="s">
        <v>79</v>
      </c>
      <c r="H28" s="36" t="s">
        <v>78</v>
      </c>
      <c r="I28" s="36" t="s">
        <v>80</v>
      </c>
      <c r="J28" s="36" t="s">
        <v>81</v>
      </c>
      <c r="K28" s="36" t="s">
        <v>82</v>
      </c>
      <c r="L28" s="36" t="s">
        <v>83</v>
      </c>
      <c r="M28" s="36" t="s">
        <v>146</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147</v>
      </c>
      <c r="G38" s="6" t="s">
        <v>148</v>
      </c>
      <c r="K38" s="6" t="s">
        <v>149</v>
      </c>
      <c r="M38" s="1"/>
    </row>
    <row r="39" spans="4:13" ht="20.100000000000001" customHeight="1" x14ac:dyDescent="0.25">
      <c r="M39" s="1"/>
    </row>
    <row r="40" spans="4:13" ht="20.100000000000001" customHeight="1" x14ac:dyDescent="0.25">
      <c r="D40" s="116" t="s">
        <v>64</v>
      </c>
      <c r="E40" s="36" t="s">
        <v>75</v>
      </c>
      <c r="G40" s="116" t="s">
        <v>64</v>
      </c>
      <c r="H40" s="36" t="s">
        <v>75</v>
      </c>
      <c r="K40" s="116" t="s">
        <v>64</v>
      </c>
      <c r="L40" s="36" t="s">
        <v>75</v>
      </c>
      <c r="M40" s="1"/>
    </row>
    <row r="41" spans="4:13" ht="20.100000000000001" customHeight="1" x14ac:dyDescent="0.25">
      <c r="D41" s="36" t="str">
        <f>'Constants - Livestock'!$E$10</f>
        <v>Anaerobic lagoon</v>
      </c>
      <c r="E41" s="36" t="str">
        <f>'Constants - Livestock'!$F$10</f>
        <v>Anaerobic lagoon (m=1)</v>
      </c>
      <c r="G41" s="36" t="str">
        <f>'Constants - Livestock'!$E$10</f>
        <v>Anaerobic lagoon</v>
      </c>
      <c r="H41" s="36" t="str">
        <f>'Constants - Livestock'!$F$10</f>
        <v>Anaerobic lagoon (m=1)</v>
      </c>
      <c r="K41" s="36" t="str">
        <f>'Constants - Livestock'!$E$10</f>
        <v>Anaerobic lagoon</v>
      </c>
      <c r="L41" s="36" t="str">
        <f>'Constants - Livestock'!$F$10</f>
        <v>Anaerobic lagoon (m=1)</v>
      </c>
      <c r="M41" s="1"/>
    </row>
    <row r="42" spans="4:13" ht="20.100000000000001" customHeight="1" x14ac:dyDescent="0.25">
      <c r="D42" s="36" t="str">
        <f>'Constants - Livestock'!$E$15</f>
        <v>Solid storage</v>
      </c>
      <c r="E42" s="36" t="str">
        <f>'Constants - Livestock'!$F$15</f>
        <v>Solid storage (m=4)</v>
      </c>
      <c r="G42" s="36" t="str">
        <f>'Constants - Livestock'!$E$16</f>
        <v>Drylot (feed pad)</v>
      </c>
      <c r="H42" s="36" t="str">
        <f>'Constants - Livestock'!$F$16</f>
        <v>Drylot (feed pad) (m=5)</v>
      </c>
      <c r="K42" s="36" t="str">
        <f>'Constants - Livestock'!$E$15</f>
        <v>Solid storage</v>
      </c>
      <c r="L42" s="36" t="str">
        <f>'Constants - Livestock'!$F$15</f>
        <v>Solid storage (m=4)</v>
      </c>
      <c r="M42" s="1"/>
    </row>
    <row r="43" spans="4:13" ht="20.100000000000001" customHeight="1" x14ac:dyDescent="0.25">
      <c r="D43" s="36" t="str">
        <f>'Constants - Livestock'!$E$16</f>
        <v>Drylot (feed pad)</v>
      </c>
      <c r="E43" s="36" t="str">
        <f>'Constants - Livestock'!$F$16</f>
        <v>Drylot (feed pad) (m=5)</v>
      </c>
      <c r="G43" s="36" t="str">
        <f>'Constants - Livestock'!$E$18</f>
        <v>Digester / covered lagoons</v>
      </c>
      <c r="H43" s="36" t="str">
        <f>'Constants - Livestock'!$F$18</f>
        <v>Digester / covered lagoons (m=7)</v>
      </c>
      <c r="K43" s="36" t="str">
        <f>'Constants - Livestock'!$E$16</f>
        <v>Drylot (feed pad)</v>
      </c>
      <c r="L43" s="36" t="str">
        <f>'Constants - Livestock'!$F$16</f>
        <v>Drylot (feed pad) (m=5)</v>
      </c>
      <c r="M43" s="1"/>
    </row>
    <row r="44" spans="4:13" ht="20.100000000000001" customHeight="1" x14ac:dyDescent="0.25">
      <c r="D44" s="36" t="str">
        <f>'Constants - Livestock'!$E$18</f>
        <v>Digester / covered lagoons</v>
      </c>
      <c r="E44" s="36" t="str">
        <f>'Constants - Livestock'!$F$18</f>
        <v>Digester / covered lagoons (m=7)</v>
      </c>
      <c r="G44" s="36" t="str">
        <f>'Constants - Livestock'!$E$19</f>
        <v>Deep litter</v>
      </c>
      <c r="H44" s="36" t="str">
        <f>'Constants - Livestock'!$F$19</f>
        <v>Deep litter (m=8)</v>
      </c>
      <c r="K44" s="36" t="str">
        <f>'Constants - Livestock'!$E$18</f>
        <v>Digester / covered lagoons</v>
      </c>
      <c r="L44" s="36" t="str">
        <f>'Constants - Livestock'!$F$18</f>
        <v>Digester / covered lagoons (m=7)</v>
      </c>
      <c r="M44" s="1"/>
    </row>
    <row r="45" spans="4:13" ht="20.100000000000001" customHeight="1" x14ac:dyDescent="0.25">
      <c r="D45" s="36" t="str">
        <f>'Constants - Livestock'!$E$19</f>
        <v>Deep litter</v>
      </c>
      <c r="E45" s="36" t="str">
        <f>'Constants - Livestock'!$F$19</f>
        <v>Deep litter (m=8)</v>
      </c>
      <c r="G45" s="36" t="str">
        <f>'Constants - Livestock'!$E$20</f>
        <v>Pit storage</v>
      </c>
      <c r="H45" s="36" t="str">
        <f>'Constants - Livestock'!$F$20</f>
        <v>Pit storage (m=9)</v>
      </c>
      <c r="K45" s="36" t="str">
        <f>'Constants - Livestock'!$E$19</f>
        <v>Deep litter</v>
      </c>
      <c r="L45" s="36" t="str">
        <f>'Constants - Livestock'!$F$19</f>
        <v>Deep litter (m=8)</v>
      </c>
      <c r="M45" s="1"/>
    </row>
    <row r="46" spans="4:13" ht="20.100000000000001" customHeight="1" x14ac:dyDescent="0.25">
      <c r="D46" s="36" t="str">
        <f>'Constants - Livestock'!$E$20</f>
        <v>Pit storage</v>
      </c>
      <c r="E46" s="36" t="str">
        <f>'Constants - Livestock'!$F$20</f>
        <v>Pit storage (m=9)</v>
      </c>
      <c r="K46" s="36" t="str">
        <f>'Constants - Livestock'!$E$20</f>
        <v>Pit storage</v>
      </c>
      <c r="L46" s="36" t="str">
        <f>'Constants - Livestock'!$F$20</f>
        <v>Pit storage (m=9)</v>
      </c>
      <c r="M46" s="1"/>
    </row>
    <row r="47" spans="4:13" ht="20.100000000000001" customHeight="1" x14ac:dyDescent="0.25">
      <c r="D47" s="36" t="str">
        <f>'Constants - Livestock'!$E$26</f>
        <v>Direct application</v>
      </c>
      <c r="E47" s="36"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150</v>
      </c>
      <c r="G51" s="6" t="s">
        <v>151</v>
      </c>
      <c r="M51" s="1"/>
    </row>
    <row r="52" spans="4:13" ht="20.100000000000001" customHeight="1" x14ac:dyDescent="0.25">
      <c r="M52" s="1"/>
    </row>
    <row r="53" spans="4:13" ht="20.100000000000001" customHeight="1" x14ac:dyDescent="0.25">
      <c r="D53" s="116" t="s">
        <v>64</v>
      </c>
      <c r="E53" s="36" t="s">
        <v>152</v>
      </c>
      <c r="G53" s="36" t="s">
        <v>103</v>
      </c>
      <c r="M53" s="1"/>
    </row>
    <row r="54" spans="4:13" ht="20.100000000000001" customHeight="1" x14ac:dyDescent="0.25">
      <c r="D54" s="36" t="str">
        <f>'Constants -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Livestock'!$E$18</f>
        <v>Digester / covered lagoons</v>
      </c>
      <c r="E57" s="36">
        <v>0.75</v>
      </c>
      <c r="M57" s="1"/>
    </row>
    <row r="58" spans="4:13" ht="20.100000000000001" customHeight="1" x14ac:dyDescent="0.25">
      <c r="D58" s="36" t="str">
        <f>'Constants - Livestock'!$E$19</f>
        <v>Deep litter</v>
      </c>
      <c r="E58" s="36">
        <v>0.05</v>
      </c>
      <c r="M58" s="1"/>
    </row>
    <row r="59" spans="4:13" ht="20.100000000000001" customHeight="1" x14ac:dyDescent="0.25">
      <c r="D59" s="36" t="str">
        <f>'Constants - Livestock'!$E$20</f>
        <v>Pit storage</v>
      </c>
      <c r="E59" s="36">
        <v>0</v>
      </c>
      <c r="M59" s="1"/>
    </row>
    <row r="60" spans="4:13" ht="20.100000000000001" customHeight="1" x14ac:dyDescent="0.25">
      <c r="D60" s="36" t="str">
        <f>'Constants -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142</v>
      </c>
      <c r="E67" s="36" t="s">
        <v>143</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142</v>
      </c>
      <c r="E78" s="36" t="s">
        <v>221</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142</v>
      </c>
      <c r="E89" s="36" t="s">
        <v>219</v>
      </c>
      <c r="F89" s="36" t="s">
        <v>220</v>
      </c>
      <c r="G89" s="36" t="s">
        <v>284</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222</v>
      </c>
      <c r="E99" s="36" t="s">
        <v>223</v>
      </c>
      <c r="F99" s="36" t="s">
        <v>224</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222</v>
      </c>
      <c r="E111" s="36" t="s">
        <v>244</v>
      </c>
      <c r="F111" s="36" t="s">
        <v>224</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51" t="str" cm="1">
        <f t="array" ref="D122">SourceData_Swine.SourceData_Swine_MegajoulesPerKilogramMethane_Variable()</f>
        <v>F</v>
      </c>
      <c r="E122" s="1" cm="1">
        <f t="array" ref="E122">SourceData_Swine.SourceData_Swine_MegajoulesPerKilogramMethane_Data()</f>
        <v>55.22</v>
      </c>
      <c r="F122" s="52"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6" t="s">
        <v>362</v>
      </c>
      <c r="E127" s="36" t="s">
        <v>363</v>
      </c>
      <c r="M127" s="1"/>
      <c r="V127" s="1"/>
    </row>
    <row r="128" spans="4:22" ht="20.100000000000001" customHeight="1" x14ac:dyDescent="0.25">
      <c r="D128" s="36" t="str" cm="1">
        <f t="array" ref="D128">Common_InputFunctions.Utility_DisplayArrayInTable(SourceData_Swine.SourceData_Swine_AverageLiveweight_Data(),Table_SourceData_Swine_Liveweight[[#Headers],[Livestock type j]],0)</f>
        <v>Sows</v>
      </c>
      <c r="E128" s="3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6"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6"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6"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6"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6CC71-8BFF-4334-984D-F1BB9908E186}">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6" t="s">
        <v>18</v>
      </c>
      <c r="E6" s="36" t="s">
        <v>19</v>
      </c>
      <c r="F6" s="36" t="s">
        <v>20</v>
      </c>
    </row>
    <row r="7" spans="1:65" ht="20.100000000000001" customHeight="1" x14ac:dyDescent="0.25">
      <c r="A7" s="14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119</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99</v>
      </c>
      <c r="E186" s="36" t="s">
        <v>100</v>
      </c>
      <c r="F186" s="36" t="s">
        <v>101</v>
      </c>
      <c r="G186" s="36" t="s">
        <v>102</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113</v>
      </c>
      <c r="E212" s="36" t="s">
        <v>126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340</v>
      </c>
      <c r="F231" s="35" t="s">
        <v>341</v>
      </c>
      <c r="G231" s="36" t="s">
        <v>342</v>
      </c>
      <c r="H231" s="36" t="s">
        <v>343</v>
      </c>
      <c r="I231" s="36" t="s">
        <v>344</v>
      </c>
      <c r="J231" s="36" t="s">
        <v>345</v>
      </c>
      <c r="K231" s="36" t="s">
        <v>346</v>
      </c>
      <c r="L231" s="36" t="s">
        <v>347</v>
      </c>
      <c r="M231" s="36" t="s">
        <v>348</v>
      </c>
      <c r="N231" s="36" t="s">
        <v>349</v>
      </c>
      <c r="O231" s="36" t="s">
        <v>350</v>
      </c>
      <c r="P231" s="36" t="s">
        <v>351</v>
      </c>
      <c r="Q231" s="36" t="s">
        <v>352</v>
      </c>
      <c r="R231" s="36" t="s">
        <v>353</v>
      </c>
      <c r="S231" s="36" t="s">
        <v>354</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358</v>
      </c>
      <c r="E257" s="36" t="s">
        <v>359</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365</v>
      </c>
    </row>
    <row r="264" spans="4:6" x14ac:dyDescent="0.25">
      <c r="D264" s="1" t="s">
        <v>366</v>
      </c>
    </row>
    <row r="265" spans="4:6" x14ac:dyDescent="0.25">
      <c r="D265" s="36" t="s">
        <v>367</v>
      </c>
      <c r="E265" s="36" t="s">
        <v>368</v>
      </c>
      <c r="F265" s="36" t="s">
        <v>369</v>
      </c>
    </row>
    <row r="266" spans="4:6" x14ac:dyDescent="0.25">
      <c r="D266" s="36" t="s">
        <v>370</v>
      </c>
      <c r="E266" s="36" t="s">
        <v>371</v>
      </c>
      <c r="F266" s="36">
        <v>5</v>
      </c>
    </row>
    <row r="267" spans="4:6" x14ac:dyDescent="0.25">
      <c r="D267" s="36" t="s">
        <v>372</v>
      </c>
      <c r="E267" s="36" t="s">
        <v>373</v>
      </c>
      <c r="F267" s="36">
        <v>4</v>
      </c>
    </row>
    <row r="268" spans="4:6" x14ac:dyDescent="0.25">
      <c r="D268" s="36" t="s">
        <v>374</v>
      </c>
      <c r="E268" s="36" t="s">
        <v>375</v>
      </c>
      <c r="F268" s="36">
        <v>3</v>
      </c>
    </row>
    <row r="269" spans="4:6" x14ac:dyDescent="0.25">
      <c r="D269" s="36" t="s">
        <v>376</v>
      </c>
      <c r="E269" s="36" t="s">
        <v>377</v>
      </c>
      <c r="F269" s="36">
        <v>2</v>
      </c>
    </row>
    <row r="270" spans="4:6" x14ac:dyDescent="0.25">
      <c r="D270" s="36" t="s">
        <v>378</v>
      </c>
      <c r="E270" s="36" t="s">
        <v>379</v>
      </c>
      <c r="F270" s="36">
        <v>1</v>
      </c>
    </row>
    <row r="273" spans="4:6" x14ac:dyDescent="0.25">
      <c r="D273" s="1" t="s">
        <v>380</v>
      </c>
    </row>
    <row r="274" spans="4:6" x14ac:dyDescent="0.25">
      <c r="D274" s="36" t="s">
        <v>367</v>
      </c>
      <c r="E274" s="36" t="s">
        <v>368</v>
      </c>
      <c r="F274" s="36" t="s">
        <v>369</v>
      </c>
    </row>
    <row r="275" spans="4:6" x14ac:dyDescent="0.25">
      <c r="D275" s="36" t="s">
        <v>381</v>
      </c>
      <c r="E275" s="36" t="s">
        <v>382</v>
      </c>
      <c r="F275" s="36">
        <v>5</v>
      </c>
    </row>
    <row r="276" spans="4:6" x14ac:dyDescent="0.25">
      <c r="D276" s="36" t="s">
        <v>383</v>
      </c>
      <c r="E276" s="36" t="s">
        <v>384</v>
      </c>
      <c r="F276" s="36">
        <v>4</v>
      </c>
    </row>
    <row r="277" spans="4:6" x14ac:dyDescent="0.25">
      <c r="D277" s="36" t="s">
        <v>385</v>
      </c>
      <c r="E277" s="36" t="s">
        <v>386</v>
      </c>
      <c r="F277" s="36">
        <v>3</v>
      </c>
    </row>
    <row r="278" spans="4:6" x14ac:dyDescent="0.25">
      <c r="D278" s="36" t="s">
        <v>387</v>
      </c>
      <c r="E278" s="36" t="s">
        <v>388</v>
      </c>
      <c r="F278" s="36">
        <v>2</v>
      </c>
    </row>
    <row r="279" spans="4:6" x14ac:dyDescent="0.25">
      <c r="D279" s="36" t="s">
        <v>389</v>
      </c>
      <c r="E279" s="36" t="s">
        <v>390</v>
      </c>
      <c r="F279" s="36">
        <v>1</v>
      </c>
    </row>
    <row r="282" spans="4:6" x14ac:dyDescent="0.25">
      <c r="D282" s="1" t="s">
        <v>391</v>
      </c>
    </row>
    <row r="283" spans="4:6" x14ac:dyDescent="0.25">
      <c r="D283" s="36" t="s">
        <v>367</v>
      </c>
      <c r="E283" s="36" t="s">
        <v>368</v>
      </c>
      <c r="F283" s="36" t="s">
        <v>369</v>
      </c>
    </row>
    <row r="284" spans="4:6" x14ac:dyDescent="0.25">
      <c r="D284" s="36" t="s">
        <v>392</v>
      </c>
      <c r="E284" s="36" t="s">
        <v>393</v>
      </c>
      <c r="F284" s="36">
        <v>5</v>
      </c>
    </row>
    <row r="285" spans="4:6" x14ac:dyDescent="0.25">
      <c r="D285" s="36" t="s">
        <v>394</v>
      </c>
      <c r="E285" s="36" t="s">
        <v>395</v>
      </c>
      <c r="F285" s="36">
        <v>4</v>
      </c>
    </row>
    <row r="286" spans="4:6" x14ac:dyDescent="0.25">
      <c r="D286" s="36" t="s">
        <v>396</v>
      </c>
      <c r="E286" s="36" t="s">
        <v>397</v>
      </c>
      <c r="F286" s="36">
        <v>3</v>
      </c>
    </row>
    <row r="287" spans="4:6" x14ac:dyDescent="0.25">
      <c r="D287" s="36" t="s">
        <v>398</v>
      </c>
      <c r="E287" s="36" t="s">
        <v>399</v>
      </c>
      <c r="F287" s="36">
        <v>2</v>
      </c>
    </row>
    <row r="288" spans="4:6" x14ac:dyDescent="0.25">
      <c r="D288" s="36" t="s">
        <v>400</v>
      </c>
      <c r="E288" s="36" t="s">
        <v>401</v>
      </c>
      <c r="F288" s="36">
        <v>1</v>
      </c>
    </row>
    <row r="291" spans="4:6" x14ac:dyDescent="0.25">
      <c r="D291" s="1" t="s">
        <v>402</v>
      </c>
    </row>
    <row r="292" spans="4:6" x14ac:dyDescent="0.25">
      <c r="D292" s="36" t="s">
        <v>367</v>
      </c>
      <c r="E292" s="36" t="s">
        <v>368</v>
      </c>
      <c r="F292" s="36" t="s">
        <v>369</v>
      </c>
    </row>
    <row r="293" spans="4:6" x14ac:dyDescent="0.25">
      <c r="D293" s="36" t="s">
        <v>403</v>
      </c>
      <c r="E293" s="36" t="s">
        <v>404</v>
      </c>
      <c r="F293" s="36">
        <v>5</v>
      </c>
    </row>
    <row r="294" spans="4:6" x14ac:dyDescent="0.25">
      <c r="D294" s="36" t="s">
        <v>405</v>
      </c>
      <c r="E294" s="36" t="s">
        <v>406</v>
      </c>
      <c r="F294" s="36">
        <v>4</v>
      </c>
    </row>
    <row r="295" spans="4:6" x14ac:dyDescent="0.25">
      <c r="D295" s="36" t="s">
        <v>407</v>
      </c>
      <c r="E295" s="36" t="s">
        <v>408</v>
      </c>
      <c r="F295" s="36">
        <v>3</v>
      </c>
    </row>
    <row r="296" spans="4:6" x14ac:dyDescent="0.25">
      <c r="D296" s="36" t="s">
        <v>409</v>
      </c>
      <c r="E296" s="36" t="s">
        <v>410</v>
      </c>
      <c r="F296" s="36">
        <v>2</v>
      </c>
    </row>
    <row r="297" spans="4:6" x14ac:dyDescent="0.25">
      <c r="D297" s="36" t="s">
        <v>411</v>
      </c>
      <c r="E297" s="36" t="s">
        <v>412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5"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8" t="str">
        <f>HYPERLINK("#'Constants - Livestock'!A1", "Constants - Livestock")</f>
        <v>Constants -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6" sqref="A26"/>
    </sheetView>
  </sheetViews>
  <sheetFormatPr defaultRowHeight="15" x14ac:dyDescent="0.25"/>
  <sheetData>
    <row r="1" spans="1:1" x14ac:dyDescent="0.25">
      <c r="A1" t="s">
        <v>413</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148" t="str">
        <f>HYPERLINK("#'Acknowledgements'!A1", "Acknowledgements")</f>
        <v>Acknowledgements</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5"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Livestock'!A1", "Constants - Livestock")</f>
        <v>Constants - Livestock</v>
      </c>
    </row>
    <row r="25" spans="1:1" ht="20.100000000000001" customHeight="1" x14ac:dyDescent="0.25">
      <c r="A25" s="17" t="str">
        <f>HYPERLINK("#'Acknowledgements'!A1", "Acknowledgements")</f>
        <v>Acknowledgements</v>
      </c>
    </row>
    <row r="26" spans="1:1" ht="20.100000000000001" customHeight="1" x14ac:dyDescent="0.25">
      <c r="A26" s="148"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